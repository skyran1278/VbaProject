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25" codeName="{A93C3448-2578-E12B-C58C-25EFAD1D314E}"/>
  <workbookPr codeName="ThisWorkbook"/>
  <mc:AlternateContent xmlns:mc="http://schemas.openxmlformats.org/markup-compatibility/2006">
    <mc:Choice Requires="x15">
      <x15ac:absPath xmlns:x15ac="http://schemas.microsoft.com/office/spreadsheetml/2010/11/ac" url="D:\GitHub\VbaProject\20180126_SmartSplice\"/>
    </mc:Choice>
  </mc:AlternateContent>
  <xr:revisionPtr revIDLastSave="0" documentId="13_ncr:1_{847C8162-C4DD-429D-AD49-682CFB996AC6}" xr6:coauthVersionLast="34" xr6:coauthVersionMax="34" xr10:uidLastSave="{00000000-0000-0000-0000-000000000000}"/>
  <bookViews>
    <workbookView xWindow="0" yWindow="465" windowWidth="28800" windowHeight="15945" tabRatio="500" firstSheet="1" activeTab="7" xr2:uid="{00000000-000D-0000-FFFF-FFFF00000000}"/>
  </bookViews>
  <sheets>
    <sheet name="General Information" sheetId="16" r:id="rId1"/>
    <sheet name="大梁配筋" sheetId="9" r:id="rId2"/>
    <sheet name="最佳化斷筋點" sheetId="5" r:id="rId3"/>
    <sheet name="Release Notes" sheetId="12" r:id="rId4"/>
    <sheet name="TEST" sheetId="11" r:id="rId5"/>
    <sheet name="General Information TEST" sheetId="18" r:id="rId6"/>
    <sheet name="大梁配筋 TEST" sheetId="17" r:id="rId7"/>
    <sheet name="最佳化斷筋點 TEST" sheetId="20" r:id="rId8"/>
    <sheet name="Rebar Size" sheetId="7" r:id="rId9"/>
  </sheets>
  <functionGroups builtInGroupCount="19"/>
  <calcPr calcId="179021" refMode="R1C1" concurrentCalc="0"/>
  <extLst>
    <ext xmlns:x14="http://schemas.microsoft.com/office/spreadsheetml/2009/9/main" uri="{79F54976-1DA5-4618-B147-4CDE4B953A38}">
      <x14:workbookPr defaultImageDpi="330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Z10" i="20" l="1"/>
  <c r="Y10" i="20"/>
  <c r="X10" i="20"/>
  <c r="W10" i="20"/>
  <c r="V10" i="20"/>
  <c r="U10" i="20"/>
  <c r="T10" i="20"/>
  <c r="S10" i="20"/>
  <c r="R10" i="20"/>
  <c r="Q10" i="20"/>
  <c r="P10" i="20"/>
  <c r="O10" i="20"/>
  <c r="N10" i="20"/>
  <c r="M10" i="20"/>
  <c r="L10" i="20"/>
  <c r="K10" i="20"/>
  <c r="J10" i="20"/>
  <c r="I10" i="20"/>
  <c r="H10" i="20"/>
  <c r="G10" i="20"/>
  <c r="F10" i="20"/>
  <c r="Z9" i="20"/>
  <c r="Y9" i="20"/>
  <c r="X9" i="20"/>
  <c r="W9" i="20"/>
  <c r="V9" i="20"/>
  <c r="U9" i="20"/>
  <c r="T9" i="20"/>
  <c r="S9" i="20"/>
  <c r="R9" i="20"/>
  <c r="Q9" i="20"/>
  <c r="P9" i="20"/>
  <c r="O9" i="20"/>
  <c r="N9" i="20"/>
  <c r="M9" i="20"/>
  <c r="L9" i="20"/>
  <c r="K9" i="20"/>
  <c r="J9" i="20"/>
  <c r="I9" i="20"/>
  <c r="H9" i="20"/>
  <c r="G9" i="20"/>
  <c r="F9" i="20"/>
  <c r="Z8" i="20"/>
  <c r="Y8" i="20"/>
  <c r="X8" i="20"/>
  <c r="W8" i="20"/>
  <c r="V8" i="20"/>
  <c r="U8" i="20"/>
  <c r="T8" i="20"/>
  <c r="S8" i="20"/>
  <c r="R8" i="20"/>
  <c r="Q8" i="20"/>
  <c r="P8" i="20"/>
  <c r="O8" i="20"/>
  <c r="N8" i="20"/>
  <c r="M8" i="20"/>
  <c r="L8" i="20"/>
  <c r="K8" i="20"/>
  <c r="J8" i="20"/>
  <c r="I8" i="20"/>
  <c r="H8" i="20"/>
  <c r="G8" i="20"/>
  <c r="F8" i="20"/>
  <c r="Z7" i="20"/>
  <c r="Y7" i="20"/>
  <c r="X7" i="20"/>
  <c r="W7" i="20"/>
  <c r="V7" i="20"/>
  <c r="U7" i="20"/>
  <c r="T7" i="20"/>
  <c r="S7" i="20"/>
  <c r="R7" i="20"/>
  <c r="Q7" i="20"/>
  <c r="P7" i="20"/>
  <c r="O7" i="20"/>
  <c r="N7" i="20"/>
  <c r="M7" i="20"/>
  <c r="L7" i="20"/>
  <c r="K7" i="20"/>
  <c r="J7" i="20"/>
  <c r="I7" i="20"/>
  <c r="H7" i="20"/>
  <c r="G7" i="20"/>
  <c r="F7" i="20"/>
  <c r="AC4" i="11"/>
  <c r="AD4" i="11"/>
  <c r="AE4" i="11"/>
  <c r="AF4" i="11"/>
  <c r="AG4" i="11"/>
  <c r="AH4" i="11"/>
  <c r="AI4" i="11"/>
  <c r="AJ4" i="11"/>
  <c r="AK4" i="11"/>
  <c r="AL4" i="11"/>
  <c r="AM4" i="11"/>
  <c r="AN4" i="11"/>
  <c r="AO4" i="11"/>
  <c r="AP4" i="11"/>
  <c r="AQ4" i="11"/>
  <c r="AR4" i="11"/>
  <c r="AS4" i="11"/>
  <c r="AT4" i="11"/>
  <c r="AU4" i="11"/>
  <c r="AV4" i="11"/>
  <c r="AW4" i="11"/>
  <c r="AC5" i="11"/>
  <c r="AD5" i="11"/>
  <c r="AE5" i="11"/>
  <c r="AF5" i="11"/>
  <c r="AG5" i="11"/>
  <c r="AH5" i="11"/>
  <c r="AI5" i="11"/>
  <c r="AJ5" i="11"/>
  <c r="AK5" i="11"/>
  <c r="AL5" i="11"/>
  <c r="AM5" i="11"/>
  <c r="AN5" i="11"/>
  <c r="AO5" i="11"/>
  <c r="AP5" i="11"/>
  <c r="AQ5" i="11"/>
  <c r="AR5" i="11"/>
  <c r="AS5" i="11"/>
  <c r="AT5" i="11"/>
  <c r="AU5" i="11"/>
  <c r="AV5" i="11"/>
  <c r="AW5" i="11"/>
  <c r="AC6" i="11"/>
  <c r="AD6" i="11"/>
  <c r="AE6" i="11"/>
  <c r="AF6" i="11"/>
  <c r="AG6" i="11"/>
  <c r="AH6" i="11"/>
  <c r="AI6" i="11"/>
  <c r="AJ6" i="11"/>
  <c r="AK6" i="11"/>
  <c r="AL6" i="11"/>
  <c r="AM6" i="11"/>
  <c r="AN6" i="11"/>
  <c r="AO6" i="11"/>
  <c r="AP6" i="11"/>
  <c r="AQ6" i="11"/>
  <c r="AR6" i="11"/>
  <c r="AS6" i="11"/>
  <c r="AT6" i="11"/>
  <c r="AU6" i="11"/>
  <c r="AV6" i="11"/>
  <c r="AW6" i="11"/>
  <c r="AC7" i="11"/>
  <c r="AD7" i="11"/>
  <c r="AE7" i="11"/>
  <c r="AF7" i="11"/>
  <c r="AG7" i="11"/>
  <c r="AH7" i="11"/>
  <c r="AI7" i="11"/>
  <c r="AJ7" i="11"/>
  <c r="AK7" i="11"/>
  <c r="AL7" i="11"/>
  <c r="AM7" i="11"/>
  <c r="AN7" i="11"/>
  <c r="AO7" i="11"/>
  <c r="AP7" i="11"/>
  <c r="AQ7" i="11"/>
  <c r="AR7" i="11"/>
  <c r="AS7" i="11"/>
  <c r="AT7" i="11"/>
  <c r="AU7" i="11"/>
  <c r="AV7" i="11"/>
  <c r="AW7" i="11"/>
  <c r="AC8" i="11"/>
  <c r="AD8" i="11"/>
  <c r="AE8" i="11"/>
  <c r="AF8" i="11"/>
  <c r="AG8" i="11"/>
  <c r="AH8" i="11"/>
  <c r="AI8" i="11"/>
  <c r="AJ8" i="11"/>
  <c r="AK8" i="11"/>
  <c r="AL8" i="11"/>
  <c r="AM8" i="11"/>
  <c r="AN8" i="11"/>
  <c r="AO8" i="11"/>
  <c r="AP8" i="11"/>
  <c r="AQ8" i="11"/>
  <c r="AR8" i="11"/>
  <c r="AS8" i="11"/>
  <c r="AT8" i="11"/>
  <c r="AU8" i="11"/>
  <c r="AV8" i="11"/>
  <c r="AW8" i="11"/>
  <c r="AC9" i="11"/>
  <c r="AD9" i="11"/>
  <c r="AE9" i="11"/>
  <c r="AF9" i="11"/>
  <c r="AG9" i="11"/>
  <c r="AH9" i="11"/>
  <c r="AI9" i="11"/>
  <c r="AJ9" i="11"/>
  <c r="AK9" i="11"/>
  <c r="AL9" i="11"/>
  <c r="AM9" i="11"/>
  <c r="AN9" i="11"/>
  <c r="AO9" i="11"/>
  <c r="AP9" i="11"/>
  <c r="AQ9" i="11"/>
  <c r="AR9" i="11"/>
  <c r="AS9" i="11"/>
  <c r="AT9" i="11"/>
  <c r="AU9" i="11"/>
  <c r="AV9" i="11"/>
  <c r="AW9" i="11"/>
  <c r="AC10" i="11"/>
  <c r="AD10" i="11"/>
  <c r="AE10" i="11"/>
  <c r="AF10" i="11"/>
  <c r="AG10" i="11"/>
  <c r="AH10" i="11"/>
  <c r="AI10" i="11"/>
  <c r="AJ10" i="11"/>
  <c r="AK10" i="11"/>
  <c r="AL10" i="11"/>
  <c r="AM10" i="11"/>
  <c r="AN10" i="11"/>
  <c r="AO10" i="11"/>
  <c r="AP10" i="11"/>
  <c r="AQ10" i="11"/>
  <c r="AR10" i="11"/>
  <c r="AS10" i="11"/>
  <c r="AT10" i="11"/>
  <c r="AU10" i="11"/>
  <c r="AV10" i="11"/>
  <c r="AW10" i="11"/>
  <c r="AC11" i="11"/>
  <c r="AD11" i="11"/>
  <c r="AE11" i="11"/>
  <c r="AF11" i="11"/>
  <c r="AG11" i="11"/>
  <c r="AH11" i="11"/>
  <c r="AI11" i="11"/>
  <c r="AJ11" i="11"/>
  <c r="AK11" i="11"/>
  <c r="AL11" i="11"/>
  <c r="AM11" i="11"/>
  <c r="AN11" i="11"/>
  <c r="AO11" i="11"/>
  <c r="AP11" i="11"/>
  <c r="AQ11" i="11"/>
  <c r="AR11" i="11"/>
  <c r="AS11" i="11"/>
  <c r="AT11" i="11"/>
  <c r="AU11" i="11"/>
  <c r="AV11" i="11"/>
  <c r="AW11" i="11"/>
  <c r="AC12" i="11"/>
  <c r="AD12" i="11"/>
  <c r="AE12" i="11"/>
  <c r="AF12" i="11"/>
  <c r="AG12" i="11"/>
  <c r="AH12" i="11"/>
  <c r="AI12" i="11"/>
  <c r="AJ12" i="11"/>
  <c r="AK12" i="11"/>
  <c r="AL12" i="11"/>
  <c r="AM12" i="11"/>
  <c r="AN12" i="11"/>
  <c r="AO12" i="11"/>
  <c r="AP12" i="11"/>
  <c r="AQ12" i="11"/>
  <c r="AR12" i="11"/>
  <c r="AS12" i="11"/>
  <c r="AT12" i="11"/>
  <c r="AU12" i="11"/>
  <c r="AV12" i="11"/>
  <c r="AW12" i="11"/>
  <c r="AC13" i="11"/>
  <c r="AD13" i="11"/>
  <c r="AE13" i="11"/>
  <c r="AF13" i="11"/>
  <c r="AG13" i="11"/>
  <c r="AH13" i="11"/>
  <c r="AI13" i="11"/>
  <c r="AJ13" i="11"/>
  <c r="AK13" i="11"/>
  <c r="AL13" i="11"/>
  <c r="AM13" i="11"/>
  <c r="AN13" i="11"/>
  <c r="AO13" i="11"/>
  <c r="AP13" i="11"/>
  <c r="AQ13" i="11"/>
  <c r="AR13" i="11"/>
  <c r="AS13" i="11"/>
  <c r="AT13" i="11"/>
  <c r="AU13" i="11"/>
  <c r="AV13" i="11"/>
  <c r="AW13" i="11"/>
  <c r="AC14" i="11"/>
  <c r="AD14" i="11"/>
  <c r="AE14" i="11"/>
  <c r="AF14" i="11"/>
  <c r="AG14" i="11"/>
  <c r="AH14" i="11"/>
  <c r="AI14" i="11"/>
  <c r="AJ14" i="11"/>
  <c r="AK14" i="11"/>
  <c r="AL14" i="11"/>
  <c r="AM14" i="11"/>
  <c r="AN14" i="11"/>
  <c r="AO14" i="11"/>
  <c r="AP14" i="11"/>
  <c r="AQ14" i="11"/>
  <c r="AR14" i="11"/>
  <c r="AS14" i="11"/>
  <c r="AT14" i="11"/>
  <c r="AU14" i="11"/>
  <c r="AV14" i="11"/>
  <c r="AW14" i="11"/>
  <c r="AC15" i="11"/>
  <c r="AD15" i="11"/>
  <c r="AE15" i="11"/>
  <c r="AF15" i="11"/>
  <c r="AG15" i="11"/>
  <c r="AH15" i="11"/>
  <c r="AI15" i="11"/>
  <c r="AJ15" i="11"/>
  <c r="AK15" i="11"/>
  <c r="AL15" i="11"/>
  <c r="AM15" i="11"/>
  <c r="AN15" i="11"/>
  <c r="AO15" i="11"/>
  <c r="AP15" i="11"/>
  <c r="AQ15" i="11"/>
  <c r="AR15" i="11"/>
  <c r="AS15" i="11"/>
  <c r="AT15" i="11"/>
  <c r="AU15" i="11"/>
  <c r="AV15" i="11"/>
  <c r="AW15" i="11"/>
  <c r="AC16" i="11"/>
  <c r="AD16" i="11"/>
  <c r="AE16" i="11"/>
  <c r="AF16" i="11"/>
  <c r="AG16" i="11"/>
  <c r="AH16" i="11"/>
  <c r="AI16" i="11"/>
  <c r="AJ16" i="11"/>
  <c r="AK16" i="11"/>
  <c r="AL16" i="11"/>
  <c r="AM16" i="11"/>
  <c r="AN16" i="11"/>
  <c r="AO16" i="11"/>
  <c r="AP16" i="11"/>
  <c r="AQ16" i="11"/>
  <c r="AR16" i="11"/>
  <c r="AS16" i="11"/>
  <c r="AT16" i="11"/>
  <c r="AU16" i="11"/>
  <c r="AV16" i="11"/>
  <c r="AW16" i="11"/>
  <c r="AC17" i="11"/>
  <c r="AD17" i="11"/>
  <c r="AE17" i="11"/>
  <c r="AF17" i="11"/>
  <c r="AG17" i="11"/>
  <c r="AH17" i="11"/>
  <c r="AI17" i="11"/>
  <c r="AJ17" i="11"/>
  <c r="AK17" i="11"/>
  <c r="AL17" i="11"/>
  <c r="AM17" i="11"/>
  <c r="AN17" i="11"/>
  <c r="AO17" i="11"/>
  <c r="AP17" i="11"/>
  <c r="AQ17" i="11"/>
  <c r="AR17" i="11"/>
  <c r="AS17" i="11"/>
  <c r="AT17" i="11"/>
  <c r="AU17" i="11"/>
  <c r="AV17" i="11"/>
  <c r="AW17" i="11"/>
  <c r="AC18" i="11"/>
  <c r="AD18" i="11"/>
  <c r="AE18" i="11"/>
  <c r="AF18" i="11"/>
  <c r="AG18" i="11"/>
  <c r="AH18" i="11"/>
  <c r="AI18" i="11"/>
  <c r="AJ18" i="11"/>
  <c r="AK18" i="11"/>
  <c r="AL18" i="11"/>
  <c r="AM18" i="11"/>
  <c r="AN18" i="11"/>
  <c r="AO18" i="11"/>
  <c r="AP18" i="11"/>
  <c r="AQ18" i="11"/>
  <c r="AR18" i="11"/>
  <c r="AS18" i="11"/>
  <c r="AT18" i="11"/>
  <c r="AU18" i="11"/>
  <c r="AV18" i="11"/>
  <c r="AW18" i="11"/>
  <c r="AC19" i="11"/>
  <c r="AD19" i="11"/>
  <c r="AE19" i="11"/>
  <c r="AF19" i="11"/>
  <c r="AG19" i="11"/>
  <c r="AH19" i="11"/>
  <c r="AI19" i="11"/>
  <c r="AJ19" i="11"/>
  <c r="AK19" i="11"/>
  <c r="AL19" i="11"/>
  <c r="AM19" i="11"/>
  <c r="AN19" i="11"/>
  <c r="AO19" i="11"/>
  <c r="AP19" i="11"/>
  <c r="AQ19" i="11"/>
  <c r="AR19" i="11"/>
  <c r="AS19" i="11"/>
  <c r="AT19" i="11"/>
  <c r="AU19" i="11"/>
  <c r="AV19" i="11"/>
  <c r="AW19" i="11"/>
  <c r="AC20" i="11"/>
  <c r="AD20" i="11"/>
  <c r="AE20" i="11"/>
  <c r="AF20" i="11"/>
  <c r="AG20" i="11"/>
  <c r="AH20" i="11"/>
  <c r="AI20" i="11"/>
  <c r="AJ20" i="11"/>
  <c r="AK20" i="11"/>
  <c r="AL20" i="11"/>
  <c r="AM20" i="11"/>
  <c r="AN20" i="11"/>
  <c r="AO20" i="11"/>
  <c r="AP20" i="11"/>
  <c r="AQ20" i="11"/>
  <c r="AR20" i="11"/>
  <c r="AS20" i="11"/>
  <c r="AT20" i="11"/>
  <c r="AU20" i="11"/>
  <c r="AV20" i="11"/>
  <c r="AW20" i="11"/>
  <c r="AC21" i="11"/>
  <c r="AD21" i="11"/>
  <c r="AE21" i="11"/>
  <c r="AF21" i="11"/>
  <c r="AG21" i="11"/>
  <c r="AH21" i="11"/>
  <c r="AI21" i="11"/>
  <c r="AJ21" i="11"/>
  <c r="AK21" i="11"/>
  <c r="AL21" i="11"/>
  <c r="AM21" i="11"/>
  <c r="AN21" i="11"/>
  <c r="AO21" i="11"/>
  <c r="AP21" i="11"/>
  <c r="AQ21" i="11"/>
  <c r="AR21" i="11"/>
  <c r="AS21" i="11"/>
  <c r="AT21" i="11"/>
  <c r="AU21" i="11"/>
  <c r="AV21" i="11"/>
  <c r="AW21" i="11"/>
  <c r="AC22" i="11"/>
  <c r="AD22" i="11"/>
  <c r="AE22" i="11"/>
  <c r="AF22" i="11"/>
  <c r="AG22" i="11"/>
  <c r="AH22" i="11"/>
  <c r="AI22" i="11"/>
  <c r="AJ22" i="11"/>
  <c r="AK22" i="11"/>
  <c r="AL22" i="11"/>
  <c r="AM22" i="11"/>
  <c r="AN22" i="11"/>
  <c r="AO22" i="11"/>
  <c r="AP22" i="11"/>
  <c r="AQ22" i="11"/>
  <c r="AR22" i="11"/>
  <c r="AS22" i="11"/>
  <c r="AT22" i="11"/>
  <c r="AU22" i="11"/>
  <c r="AV22" i="11"/>
  <c r="AW22" i="11"/>
  <c r="AC23" i="11"/>
  <c r="AD23" i="11"/>
  <c r="AE23" i="11"/>
  <c r="AF23" i="11"/>
  <c r="AG23" i="11"/>
  <c r="AH23" i="11"/>
  <c r="AI23" i="11"/>
  <c r="AJ23" i="11"/>
  <c r="AK23" i="11"/>
  <c r="AL23" i="11"/>
  <c r="AM23" i="11"/>
  <c r="AN23" i="11"/>
  <c r="AO23" i="11"/>
  <c r="AP23" i="11"/>
  <c r="AQ23" i="11"/>
  <c r="AR23" i="11"/>
  <c r="AS23" i="11"/>
  <c r="AT23" i="11"/>
  <c r="AU23" i="11"/>
  <c r="AV23" i="11"/>
  <c r="AW23" i="11"/>
  <c r="AC24" i="11"/>
  <c r="AD24" i="11"/>
  <c r="AE24" i="11"/>
  <c r="AF24" i="11"/>
  <c r="AG24" i="11"/>
  <c r="AH24" i="11"/>
  <c r="AI24" i="11"/>
  <c r="AJ24" i="11"/>
  <c r="AK24" i="11"/>
  <c r="AL24" i="11"/>
  <c r="AM24" i="11"/>
  <c r="AN24" i="11"/>
  <c r="AO24" i="11"/>
  <c r="AP24" i="11"/>
  <c r="AQ24" i="11"/>
  <c r="AR24" i="11"/>
  <c r="AS24" i="11"/>
  <c r="AT24" i="11"/>
  <c r="AU24" i="11"/>
  <c r="AV24" i="11"/>
  <c r="AW24" i="11"/>
  <c r="AC25" i="11"/>
  <c r="AD25" i="11"/>
  <c r="AE25" i="11"/>
  <c r="AF25" i="11"/>
  <c r="AG25" i="11"/>
  <c r="AH25" i="11"/>
  <c r="AI25" i="11"/>
  <c r="AJ25" i="11"/>
  <c r="AK25" i="11"/>
  <c r="AL25" i="11"/>
  <c r="AM25" i="11"/>
  <c r="AN25" i="11"/>
  <c r="AO25" i="11"/>
  <c r="AP25" i="11"/>
  <c r="AQ25" i="11"/>
  <c r="AR25" i="11"/>
  <c r="AS25" i="11"/>
  <c r="AT25" i="11"/>
  <c r="AU25" i="11"/>
  <c r="AV25" i="11"/>
  <c r="AW25" i="11"/>
  <c r="AC26" i="11"/>
  <c r="AD26" i="11"/>
  <c r="AE26" i="11"/>
  <c r="AF26" i="11"/>
  <c r="AG26" i="11"/>
  <c r="AH26" i="11"/>
  <c r="AI26" i="11"/>
  <c r="AJ26" i="11"/>
  <c r="AK26" i="11"/>
  <c r="AL26" i="11"/>
  <c r="AM26" i="11"/>
  <c r="AN26" i="11"/>
  <c r="AO26" i="11"/>
  <c r="AP26" i="11"/>
  <c r="AQ26" i="11"/>
  <c r="AR26" i="11"/>
  <c r="AS26" i="11"/>
  <c r="AT26" i="11"/>
  <c r="AU26" i="11"/>
  <c r="AV26" i="11"/>
  <c r="AW26" i="11"/>
  <c r="AC27" i="11"/>
  <c r="AD27" i="11"/>
  <c r="AE27" i="11"/>
  <c r="AF27" i="11"/>
  <c r="AG27" i="11"/>
  <c r="AH27" i="11"/>
  <c r="AI27" i="11"/>
  <c r="AJ27" i="11"/>
  <c r="AK27" i="11"/>
  <c r="AL27" i="11"/>
  <c r="AM27" i="11"/>
  <c r="AN27" i="11"/>
  <c r="AO27" i="11"/>
  <c r="AP27" i="11"/>
  <c r="AQ27" i="11"/>
  <c r="AR27" i="11"/>
  <c r="AS27" i="11"/>
  <c r="AT27" i="11"/>
  <c r="AU27" i="11"/>
  <c r="AV27" i="11"/>
  <c r="AW27" i="11"/>
  <c r="AC28" i="11"/>
  <c r="AD28" i="11"/>
  <c r="AE28" i="11"/>
  <c r="AF28" i="11"/>
  <c r="AG28" i="11"/>
  <c r="AH28" i="11"/>
  <c r="AI28" i="11"/>
  <c r="AJ28" i="11"/>
  <c r="AK28" i="11"/>
  <c r="AL28" i="11"/>
  <c r="AM28" i="11"/>
  <c r="AN28" i="11"/>
  <c r="AO28" i="11"/>
  <c r="AP28" i="11"/>
  <c r="AQ28" i="11"/>
  <c r="AR28" i="11"/>
  <c r="AS28" i="11"/>
  <c r="AT28" i="11"/>
  <c r="AU28" i="11"/>
  <c r="AV28" i="11"/>
  <c r="AW28" i="11"/>
  <c r="AC29" i="11"/>
  <c r="AD29" i="11"/>
  <c r="AE29" i="11"/>
  <c r="AF29" i="11"/>
  <c r="AG29" i="11"/>
  <c r="AH29" i="11"/>
  <c r="AI29" i="11"/>
  <c r="AJ29" i="11"/>
  <c r="AK29" i="11"/>
  <c r="AL29" i="11"/>
  <c r="AM29" i="11"/>
  <c r="AN29" i="11"/>
  <c r="AO29" i="11"/>
  <c r="AP29" i="11"/>
  <c r="AQ29" i="11"/>
  <c r="AR29" i="11"/>
  <c r="AS29" i="11"/>
  <c r="AT29" i="11"/>
  <c r="AU29" i="11"/>
  <c r="AV29" i="11"/>
  <c r="AW29" i="11"/>
  <c r="AC30" i="11"/>
  <c r="AD30" i="11"/>
  <c r="AE30" i="11"/>
  <c r="AF30" i="11"/>
  <c r="AG30" i="11"/>
  <c r="AH30" i="11"/>
  <c r="AI30" i="11"/>
  <c r="AJ30" i="11"/>
  <c r="AK30" i="11"/>
  <c r="AL30" i="11"/>
  <c r="AM30" i="11"/>
  <c r="AN30" i="11"/>
  <c r="AO30" i="11"/>
  <c r="AP30" i="11"/>
  <c r="AQ30" i="11"/>
  <c r="AR30" i="11"/>
  <c r="AS30" i="11"/>
  <c r="AT30" i="11"/>
  <c r="AU30" i="11"/>
  <c r="AV30" i="11"/>
  <c r="AW30" i="11"/>
  <c r="AC31" i="11"/>
  <c r="AD31" i="11"/>
  <c r="AE31" i="11"/>
  <c r="AF31" i="11"/>
  <c r="AG31" i="11"/>
  <c r="AH31" i="11"/>
  <c r="AI31" i="11"/>
  <c r="AJ31" i="11"/>
  <c r="AK31" i="11"/>
  <c r="AL31" i="11"/>
  <c r="AM31" i="11"/>
  <c r="AN31" i="11"/>
  <c r="AO31" i="11"/>
  <c r="AP31" i="11"/>
  <c r="AQ31" i="11"/>
  <c r="AR31" i="11"/>
  <c r="AS31" i="11"/>
  <c r="AT31" i="11"/>
  <c r="AU31" i="11"/>
  <c r="AV31" i="11"/>
  <c r="AW31" i="11"/>
  <c r="AC32" i="11"/>
  <c r="AD32" i="11"/>
  <c r="AE32" i="11"/>
  <c r="AF32" i="11"/>
  <c r="AG32" i="11"/>
  <c r="AH32" i="11"/>
  <c r="AI32" i="11"/>
  <c r="AJ32" i="11"/>
  <c r="AK32" i="11"/>
  <c r="AL32" i="11"/>
  <c r="AM32" i="11"/>
  <c r="AN32" i="11"/>
  <c r="AO32" i="11"/>
  <c r="AP32" i="11"/>
  <c r="AQ32" i="11"/>
  <c r="AR32" i="11"/>
  <c r="AS32" i="11"/>
  <c r="AT32" i="11"/>
  <c r="AU32" i="11"/>
  <c r="AV32" i="11"/>
  <c r="AW32" i="11"/>
  <c r="AC33" i="11"/>
  <c r="AD33" i="11"/>
  <c r="AE33" i="11"/>
  <c r="AF33" i="11"/>
  <c r="AG33" i="11"/>
  <c r="AH33" i="11"/>
  <c r="AI33" i="11"/>
  <c r="AJ33" i="11"/>
  <c r="AK33" i="11"/>
  <c r="AL33" i="11"/>
  <c r="AM33" i="11"/>
  <c r="AN33" i="11"/>
  <c r="AO33" i="11"/>
  <c r="AP33" i="11"/>
  <c r="AQ33" i="11"/>
  <c r="AR33" i="11"/>
  <c r="AS33" i="11"/>
  <c r="AT33" i="11"/>
  <c r="AU33" i="11"/>
  <c r="AV33" i="11"/>
  <c r="AW33" i="11"/>
  <c r="AC34" i="11"/>
  <c r="AD34" i="11"/>
  <c r="AE34" i="11"/>
  <c r="AF34" i="11"/>
  <c r="AG34" i="11"/>
  <c r="AH34" i="11"/>
  <c r="AI34" i="11"/>
  <c r="AJ34" i="11"/>
  <c r="AK34" i="11"/>
  <c r="AL34" i="11"/>
  <c r="AM34" i="11"/>
  <c r="AN34" i="11"/>
  <c r="AO34" i="11"/>
  <c r="AP34" i="11"/>
  <c r="AQ34" i="11"/>
  <c r="AR34" i="11"/>
  <c r="AS34" i="11"/>
  <c r="AT34" i="11"/>
  <c r="AU34" i="11"/>
  <c r="AV34" i="11"/>
  <c r="AW34" i="11"/>
  <c r="AC35" i="11"/>
  <c r="AD35" i="11"/>
  <c r="AE35" i="11"/>
  <c r="AF35" i="11"/>
  <c r="AG35" i="11"/>
  <c r="AH35" i="11"/>
  <c r="AI35" i="11"/>
  <c r="AJ35" i="11"/>
  <c r="AK35" i="11"/>
  <c r="AL35" i="11"/>
  <c r="AM35" i="11"/>
  <c r="AN35" i="11"/>
  <c r="AO35" i="11"/>
  <c r="AP35" i="11"/>
  <c r="AQ35" i="11"/>
  <c r="AR35" i="11"/>
  <c r="AS35" i="11"/>
  <c r="AT35" i="11"/>
  <c r="AU35" i="11"/>
  <c r="AV35" i="11"/>
  <c r="AW35" i="11"/>
  <c r="AC36" i="11"/>
  <c r="AD36" i="11"/>
  <c r="AE36" i="11"/>
  <c r="AF36" i="11"/>
  <c r="AG36" i="11"/>
  <c r="AH36" i="11"/>
  <c r="AI36" i="11"/>
  <c r="AJ36" i="11"/>
  <c r="AK36" i="11"/>
  <c r="AL36" i="11"/>
  <c r="AM36" i="11"/>
  <c r="AN36" i="11"/>
  <c r="AO36" i="11"/>
  <c r="AP36" i="11"/>
  <c r="AQ36" i="11"/>
  <c r="AR36" i="11"/>
  <c r="AS36" i="11"/>
  <c r="AT36" i="11"/>
  <c r="AU36" i="11"/>
  <c r="AV36" i="11"/>
  <c r="AW36" i="11"/>
  <c r="AC37" i="11"/>
  <c r="AD37" i="11"/>
  <c r="AE37" i="11"/>
  <c r="AF37" i="11"/>
  <c r="AG37" i="11"/>
  <c r="AH37" i="11"/>
  <c r="AI37" i="11"/>
  <c r="AJ37" i="11"/>
  <c r="AK37" i="11"/>
  <c r="AL37" i="11"/>
  <c r="AM37" i="11"/>
  <c r="AN37" i="11"/>
  <c r="AO37" i="11"/>
  <c r="AP37" i="11"/>
  <c r="AQ37" i="11"/>
  <c r="AR37" i="11"/>
  <c r="AS37" i="11"/>
  <c r="AT37" i="11"/>
  <c r="AU37" i="11"/>
  <c r="AV37" i="11"/>
  <c r="AW37" i="11"/>
  <c r="AC38" i="11"/>
  <c r="AD38" i="11"/>
  <c r="AE38" i="11"/>
  <c r="AF38" i="11"/>
  <c r="AG38" i="11"/>
  <c r="AH38" i="11"/>
  <c r="AI38" i="11"/>
  <c r="AJ38" i="11"/>
  <c r="AK38" i="11"/>
  <c r="AL38" i="11"/>
  <c r="AM38" i="11"/>
  <c r="AN38" i="11"/>
  <c r="AO38" i="11"/>
  <c r="AP38" i="11"/>
  <c r="AQ38" i="11"/>
  <c r="AR38" i="11"/>
  <c r="AS38" i="11"/>
  <c r="AT38" i="11"/>
  <c r="AU38" i="11"/>
  <c r="AV38" i="11"/>
  <c r="AW38" i="11"/>
  <c r="AC39" i="11"/>
  <c r="AD39" i="11"/>
  <c r="AE39" i="11"/>
  <c r="AF39" i="11"/>
  <c r="AG39" i="11"/>
  <c r="AH39" i="11"/>
  <c r="AI39" i="11"/>
  <c r="AJ39" i="11"/>
  <c r="AK39" i="11"/>
  <c r="AL39" i="11"/>
  <c r="AM39" i="11"/>
  <c r="AN39" i="11"/>
  <c r="AO39" i="11"/>
  <c r="AP39" i="11"/>
  <c r="AQ39" i="11"/>
  <c r="AR39" i="11"/>
  <c r="AS39" i="11"/>
  <c r="AT39" i="11"/>
  <c r="AU39" i="11"/>
  <c r="AV39" i="11"/>
  <c r="AW39" i="11"/>
  <c r="AC40" i="11"/>
  <c r="AD40" i="11"/>
  <c r="AE40" i="11"/>
  <c r="AF40" i="11"/>
  <c r="AG40" i="11"/>
  <c r="AH40" i="11"/>
  <c r="AI40" i="11"/>
  <c r="AJ40" i="11"/>
  <c r="AK40" i="11"/>
  <c r="AL40" i="11"/>
  <c r="AM40" i="11"/>
  <c r="AN40" i="11"/>
  <c r="AO40" i="11"/>
  <c r="AP40" i="11"/>
  <c r="AQ40" i="11"/>
  <c r="AR40" i="11"/>
  <c r="AS40" i="11"/>
  <c r="AT40" i="11"/>
  <c r="AU40" i="11"/>
  <c r="AV40" i="11"/>
  <c r="AW40" i="11"/>
  <c r="AC41" i="11"/>
  <c r="AD41" i="11"/>
  <c r="AE41" i="11"/>
  <c r="AF41" i="11"/>
  <c r="AG41" i="11"/>
  <c r="AH41" i="11"/>
  <c r="AI41" i="11"/>
  <c r="AJ41" i="11"/>
  <c r="AK41" i="11"/>
  <c r="AL41" i="11"/>
  <c r="AM41" i="11"/>
  <c r="AN41" i="11"/>
  <c r="AO41" i="11"/>
  <c r="AP41" i="11"/>
  <c r="AQ41" i="11"/>
  <c r="AR41" i="11"/>
  <c r="AS41" i="11"/>
  <c r="AT41" i="11"/>
  <c r="AU41" i="11"/>
  <c r="AV41" i="11"/>
  <c r="AW41" i="11"/>
  <c r="AC42" i="11"/>
  <c r="AD42" i="11"/>
  <c r="AE42" i="11"/>
  <c r="AF42" i="11"/>
  <c r="AG42" i="11"/>
  <c r="AH42" i="11"/>
  <c r="AI42" i="11"/>
  <c r="AJ42" i="11"/>
  <c r="AK42" i="11"/>
  <c r="AL42" i="11"/>
  <c r="AM42" i="11"/>
  <c r="AN42" i="11"/>
  <c r="AO42" i="11"/>
  <c r="AP42" i="11"/>
  <c r="AQ42" i="11"/>
  <c r="AR42" i="11"/>
  <c r="AS42" i="11"/>
  <c r="AT42" i="11"/>
  <c r="AU42" i="11"/>
  <c r="AV42" i="11"/>
  <c r="AW42" i="11"/>
  <c r="AC43" i="11"/>
  <c r="AD43" i="11"/>
  <c r="AE43" i="11"/>
  <c r="AF43" i="11"/>
  <c r="AG43" i="11"/>
  <c r="AH43" i="11"/>
  <c r="AI43" i="11"/>
  <c r="AJ43" i="11"/>
  <c r="AK43" i="11"/>
  <c r="AL43" i="11"/>
  <c r="AM43" i="11"/>
  <c r="AN43" i="11"/>
  <c r="AO43" i="11"/>
  <c r="AP43" i="11"/>
  <c r="AQ43" i="11"/>
  <c r="AR43" i="11"/>
  <c r="AS43" i="11"/>
  <c r="AT43" i="11"/>
  <c r="AU43" i="11"/>
  <c r="AV43" i="11"/>
  <c r="AW43" i="11"/>
  <c r="AC44" i="11"/>
  <c r="AD44" i="11"/>
  <c r="AE44" i="11"/>
  <c r="AF44" i="11"/>
  <c r="AG44" i="11"/>
  <c r="AH44" i="11"/>
  <c r="AI44" i="11"/>
  <c r="AJ44" i="11"/>
  <c r="AK44" i="11"/>
  <c r="AL44" i="11"/>
  <c r="AM44" i="11"/>
  <c r="AN44" i="11"/>
  <c r="AO44" i="11"/>
  <c r="AP44" i="11"/>
  <c r="AQ44" i="11"/>
  <c r="AR44" i="11"/>
  <c r="AS44" i="11"/>
  <c r="AT44" i="11"/>
  <c r="AU44" i="11"/>
  <c r="AV44" i="11"/>
  <c r="AW44" i="11"/>
  <c r="AC45" i="11"/>
  <c r="AD45" i="11"/>
  <c r="AE45" i="11"/>
  <c r="AF45" i="11"/>
  <c r="AG45" i="11"/>
  <c r="AH45" i="11"/>
  <c r="AI45" i="11"/>
  <c r="AJ45" i="11"/>
  <c r="AK45" i="11"/>
  <c r="AL45" i="11"/>
  <c r="AM45" i="11"/>
  <c r="AN45" i="11"/>
  <c r="AO45" i="11"/>
  <c r="AP45" i="11"/>
  <c r="AQ45" i="11"/>
  <c r="AR45" i="11"/>
  <c r="AS45" i="11"/>
  <c r="AT45" i="11"/>
  <c r="AU45" i="11"/>
  <c r="AV45" i="11"/>
  <c r="AW45" i="11"/>
  <c r="AC46" i="11"/>
  <c r="AD46" i="11"/>
  <c r="AE46" i="11"/>
  <c r="AF46" i="11"/>
  <c r="AG46" i="11"/>
  <c r="AH46" i="11"/>
  <c r="AI46" i="11"/>
  <c r="AJ46" i="11"/>
  <c r="AK46" i="11"/>
  <c r="AL46" i="11"/>
  <c r="AM46" i="11"/>
  <c r="AN46" i="11"/>
  <c r="AO46" i="11"/>
  <c r="AP46" i="11"/>
  <c r="AQ46" i="11"/>
  <c r="AR46" i="11"/>
  <c r="AS46" i="11"/>
  <c r="AT46" i="11"/>
  <c r="AU46" i="11"/>
  <c r="AV46" i="11"/>
  <c r="AW46" i="11"/>
  <c r="AC47" i="11"/>
  <c r="AD47" i="11"/>
  <c r="AE47" i="11"/>
  <c r="AF47" i="11"/>
  <c r="AG47" i="11"/>
  <c r="AH47" i="11"/>
  <c r="AI47" i="11"/>
  <c r="AJ47" i="11"/>
  <c r="AK47" i="11"/>
  <c r="AL47" i="11"/>
  <c r="AM47" i="11"/>
  <c r="AN47" i="11"/>
  <c r="AO47" i="11"/>
  <c r="AP47" i="11"/>
  <c r="AQ47" i="11"/>
  <c r="AR47" i="11"/>
  <c r="AS47" i="11"/>
  <c r="AT47" i="11"/>
  <c r="AU47" i="11"/>
  <c r="AV47" i="11"/>
  <c r="AW47" i="11"/>
  <c r="AC48" i="11"/>
  <c r="AD48" i="11"/>
  <c r="AE48" i="11"/>
  <c r="AF48" i="11"/>
  <c r="AG48" i="11"/>
  <c r="AH48" i="11"/>
  <c r="AI48" i="11"/>
  <c r="AJ48" i="11"/>
  <c r="AK48" i="11"/>
  <c r="AL48" i="11"/>
  <c r="AM48" i="11"/>
  <c r="AN48" i="11"/>
  <c r="AO48" i="11"/>
  <c r="AP48" i="11"/>
  <c r="AQ48" i="11"/>
  <c r="AR48" i="11"/>
  <c r="AS48" i="11"/>
  <c r="AT48" i="11"/>
  <c r="AU48" i="11"/>
  <c r="AV48" i="11"/>
  <c r="AW48" i="11"/>
  <c r="AC49" i="11"/>
  <c r="AD49" i="11"/>
  <c r="AE49" i="11"/>
  <c r="AF49" i="11"/>
  <c r="AG49" i="11"/>
  <c r="AH49" i="11"/>
  <c r="AI49" i="11"/>
  <c r="AJ49" i="11"/>
  <c r="AK49" i="11"/>
  <c r="AL49" i="11"/>
  <c r="AM49" i="11"/>
  <c r="AN49" i="11"/>
  <c r="AO49" i="11"/>
  <c r="AP49" i="11"/>
  <c r="AQ49" i="11"/>
  <c r="AR49" i="11"/>
  <c r="AS49" i="11"/>
  <c r="AT49" i="11"/>
  <c r="AU49" i="11"/>
  <c r="AV49" i="11"/>
  <c r="AW49" i="11"/>
  <c r="AC50" i="11"/>
  <c r="AD50" i="11"/>
  <c r="AE50" i="11"/>
  <c r="AF50" i="11"/>
  <c r="AG50" i="11"/>
  <c r="AH50" i="11"/>
  <c r="AI50" i="11"/>
  <c r="AJ50" i="11"/>
  <c r="AK50" i="11"/>
  <c r="AL50" i="11"/>
  <c r="AM50" i="11"/>
  <c r="AN50" i="11"/>
  <c r="AO50" i="11"/>
  <c r="AP50" i="11"/>
  <c r="AQ50" i="11"/>
  <c r="AR50" i="11"/>
  <c r="AS50" i="11"/>
  <c r="AT50" i="11"/>
  <c r="AU50" i="11"/>
  <c r="AV50" i="11"/>
  <c r="AW50" i="11"/>
  <c r="AC51" i="11"/>
  <c r="AD51" i="11"/>
  <c r="AE51" i="11"/>
  <c r="AF51" i="11"/>
  <c r="AG51" i="11"/>
  <c r="AH51" i="11"/>
  <c r="AI51" i="11"/>
  <c r="AJ51" i="11"/>
  <c r="AK51" i="11"/>
  <c r="AL51" i="11"/>
  <c r="AM51" i="11"/>
  <c r="AN51" i="11"/>
  <c r="AO51" i="11"/>
  <c r="AP51" i="11"/>
  <c r="AQ51" i="11"/>
  <c r="AR51" i="11"/>
  <c r="AS51" i="11"/>
  <c r="AT51" i="11"/>
  <c r="AU51" i="11"/>
  <c r="AV51" i="11"/>
  <c r="AW51" i="11"/>
  <c r="AC52" i="11"/>
  <c r="AD52" i="11"/>
  <c r="AE52" i="11"/>
  <c r="AF52" i="11"/>
  <c r="AG52" i="11"/>
  <c r="AH52" i="11"/>
  <c r="AI52" i="11"/>
  <c r="AJ52" i="11"/>
  <c r="AK52" i="11"/>
  <c r="AL52" i="11"/>
  <c r="AM52" i="11"/>
  <c r="AN52" i="11"/>
  <c r="AO52" i="11"/>
  <c r="AP52" i="11"/>
  <c r="AQ52" i="11"/>
  <c r="AR52" i="11"/>
  <c r="AS52" i="11"/>
  <c r="AT52" i="11"/>
  <c r="AU52" i="11"/>
  <c r="AV52" i="11"/>
  <c r="AW52" i="11"/>
  <c r="AC53" i="11"/>
  <c r="AD53" i="11"/>
  <c r="AE53" i="11"/>
  <c r="AF53" i="11"/>
  <c r="AG53" i="11"/>
  <c r="AH53" i="11"/>
  <c r="AI53" i="11"/>
  <c r="AJ53" i="11"/>
  <c r="AK53" i="11"/>
  <c r="AL53" i="11"/>
  <c r="AM53" i="11"/>
  <c r="AN53" i="11"/>
  <c r="AO53" i="11"/>
  <c r="AP53" i="11"/>
  <c r="AQ53" i="11"/>
  <c r="AR53" i="11"/>
  <c r="AS53" i="11"/>
  <c r="AT53" i="11"/>
  <c r="AU53" i="11"/>
  <c r="AV53" i="11"/>
  <c r="AW53" i="11"/>
  <c r="AC54" i="11"/>
  <c r="AD54" i="11"/>
  <c r="AE54" i="11"/>
  <c r="AF54" i="11"/>
  <c r="AG54" i="11"/>
  <c r="AH54" i="11"/>
  <c r="AI54" i="11"/>
  <c r="AJ54" i="11"/>
  <c r="AK54" i="11"/>
  <c r="AL54" i="11"/>
  <c r="AM54" i="11"/>
  <c r="AN54" i="11"/>
  <c r="AO54" i="11"/>
  <c r="AP54" i="11"/>
  <c r="AQ54" i="11"/>
  <c r="AR54" i="11"/>
  <c r="AS54" i="11"/>
  <c r="AT54" i="11"/>
  <c r="AU54" i="11"/>
  <c r="AV54" i="11"/>
  <c r="AW54" i="11"/>
  <c r="AC55" i="11"/>
  <c r="AD55" i="11"/>
  <c r="AE55" i="11"/>
  <c r="AF55" i="11"/>
  <c r="AG55" i="11"/>
  <c r="AH55" i="11"/>
  <c r="AI55" i="11"/>
  <c r="AJ55" i="11"/>
  <c r="AK55" i="11"/>
  <c r="AL55" i="11"/>
  <c r="AM55" i="11"/>
  <c r="AN55" i="11"/>
  <c r="AO55" i="11"/>
  <c r="AP55" i="11"/>
  <c r="AQ55" i="11"/>
  <c r="AR55" i="11"/>
  <c r="AS55" i="11"/>
  <c r="AT55" i="11"/>
  <c r="AU55" i="11"/>
  <c r="AV55" i="11"/>
  <c r="AW55" i="11"/>
  <c r="AC56" i="11"/>
  <c r="AD56" i="11"/>
  <c r="AE56" i="11"/>
  <c r="AF56" i="11"/>
  <c r="AG56" i="11"/>
  <c r="AH56" i="11"/>
  <c r="AI56" i="11"/>
  <c r="AJ56" i="11"/>
  <c r="AK56" i="11"/>
  <c r="AL56" i="11"/>
  <c r="AM56" i="11"/>
  <c r="AN56" i="11"/>
  <c r="AO56" i="11"/>
  <c r="AP56" i="11"/>
  <c r="AQ56" i="11"/>
  <c r="AR56" i="11"/>
  <c r="AS56" i="11"/>
  <c r="AT56" i="11"/>
  <c r="AU56" i="11"/>
  <c r="AV56" i="11"/>
  <c r="AW56" i="11"/>
  <c r="AC57" i="11"/>
  <c r="AD57" i="11"/>
  <c r="AE57" i="11"/>
  <c r="AF57" i="11"/>
  <c r="AG57" i="11"/>
  <c r="AH57" i="11"/>
  <c r="AI57" i="11"/>
  <c r="AJ57" i="11"/>
  <c r="AK57" i="11"/>
  <c r="AL57" i="11"/>
  <c r="AM57" i="11"/>
  <c r="AN57" i="11"/>
  <c r="AO57" i="11"/>
  <c r="AP57" i="11"/>
  <c r="AQ57" i="11"/>
  <c r="AR57" i="11"/>
  <c r="AS57" i="11"/>
  <c r="AT57" i="11"/>
  <c r="AU57" i="11"/>
  <c r="AV57" i="11"/>
  <c r="AW57" i="11"/>
  <c r="AC58" i="11"/>
  <c r="AD58" i="11"/>
  <c r="AE58" i="11"/>
  <c r="AF58" i="11"/>
  <c r="AG58" i="11"/>
  <c r="AH58" i="11"/>
  <c r="AI58" i="11"/>
  <c r="AJ58" i="11"/>
  <c r="AK58" i="11"/>
  <c r="AL58" i="11"/>
  <c r="AM58" i="11"/>
  <c r="AN58" i="11"/>
  <c r="AO58" i="11"/>
  <c r="AP58" i="11"/>
  <c r="AQ58" i="11"/>
  <c r="AR58" i="11"/>
  <c r="AS58" i="11"/>
  <c r="AT58" i="11"/>
  <c r="AU58" i="11"/>
  <c r="AV58" i="11"/>
  <c r="AW58" i="11"/>
  <c r="AC59" i="11"/>
  <c r="AD59" i="11"/>
  <c r="AE59" i="11"/>
  <c r="AF59" i="11"/>
  <c r="AG59" i="11"/>
  <c r="AH59" i="11"/>
  <c r="AI59" i="11"/>
  <c r="AJ59" i="11"/>
  <c r="AK59" i="11"/>
  <c r="AL59" i="11"/>
  <c r="AM59" i="11"/>
  <c r="AN59" i="11"/>
  <c r="AO59" i="11"/>
  <c r="AP59" i="11"/>
  <c r="AQ59" i="11"/>
  <c r="AR59" i="11"/>
  <c r="AS59" i="11"/>
  <c r="AT59" i="11"/>
  <c r="AU59" i="11"/>
  <c r="AV59" i="11"/>
  <c r="AW59" i="11"/>
  <c r="AC60" i="11"/>
  <c r="AD60" i="11"/>
  <c r="AE60" i="11"/>
  <c r="AF60" i="11"/>
  <c r="AG60" i="11"/>
  <c r="AH60" i="11"/>
  <c r="AI60" i="11"/>
  <c r="AJ60" i="11"/>
  <c r="AK60" i="11"/>
  <c r="AL60" i="11"/>
  <c r="AM60" i="11"/>
  <c r="AN60" i="11"/>
  <c r="AO60" i="11"/>
  <c r="AP60" i="11"/>
  <c r="AQ60" i="11"/>
  <c r="AR60" i="11"/>
  <c r="AS60" i="11"/>
  <c r="AT60" i="11"/>
  <c r="AU60" i="11"/>
  <c r="AV60" i="11"/>
  <c r="AW60" i="11"/>
  <c r="AC61" i="11"/>
  <c r="AD61" i="11"/>
  <c r="AE61" i="11"/>
  <c r="AF61" i="11"/>
  <c r="AG61" i="11"/>
  <c r="AH61" i="11"/>
  <c r="AI61" i="11"/>
  <c r="AJ61" i="11"/>
  <c r="AK61" i="11"/>
  <c r="AL61" i="11"/>
  <c r="AM61" i="11"/>
  <c r="AN61" i="11"/>
  <c r="AO61" i="11"/>
  <c r="AP61" i="11"/>
  <c r="AQ61" i="11"/>
  <c r="AR61" i="11"/>
  <c r="AS61" i="11"/>
  <c r="AT61" i="11"/>
  <c r="AU61" i="11"/>
  <c r="AV61" i="11"/>
  <c r="AW61" i="11"/>
  <c r="AC62" i="11"/>
  <c r="AD62" i="11"/>
  <c r="AE62" i="11"/>
  <c r="AF62" i="11"/>
  <c r="AG62" i="11"/>
  <c r="AH62" i="11"/>
  <c r="AI62" i="11"/>
  <c r="AJ62" i="11"/>
  <c r="AK62" i="11"/>
  <c r="AL62" i="11"/>
  <c r="AM62" i="11"/>
  <c r="AN62" i="11"/>
  <c r="AO62" i="11"/>
  <c r="AP62" i="11"/>
  <c r="AQ62" i="11"/>
  <c r="AR62" i="11"/>
  <c r="AS62" i="11"/>
  <c r="AT62" i="11"/>
  <c r="AU62" i="11"/>
  <c r="AV62" i="11"/>
  <c r="AW62" i="11"/>
  <c r="AC63" i="11"/>
  <c r="AD63" i="11"/>
  <c r="AE63" i="11"/>
  <c r="AF63" i="11"/>
  <c r="AG63" i="11"/>
  <c r="AH63" i="11"/>
  <c r="AI63" i="11"/>
  <c r="AJ63" i="11"/>
  <c r="AK63" i="11"/>
  <c r="AL63" i="11"/>
  <c r="AM63" i="11"/>
  <c r="AN63" i="11"/>
  <c r="AO63" i="11"/>
  <c r="AP63" i="11"/>
  <c r="AQ63" i="11"/>
  <c r="AR63" i="11"/>
  <c r="AS63" i="11"/>
  <c r="AT63" i="11"/>
  <c r="AU63" i="11"/>
  <c r="AV63" i="11"/>
  <c r="AW63" i="11"/>
  <c r="AC64" i="11"/>
  <c r="AD64" i="11"/>
  <c r="AE64" i="11"/>
  <c r="AF64" i="11"/>
  <c r="AG64" i="11"/>
  <c r="AH64" i="11"/>
  <c r="AI64" i="11"/>
  <c r="AJ64" i="11"/>
  <c r="AK64" i="11"/>
  <c r="AL64" i="11"/>
  <c r="AM64" i="11"/>
  <c r="AN64" i="11"/>
  <c r="AO64" i="11"/>
  <c r="AP64" i="11"/>
  <c r="AQ64" i="11"/>
  <c r="AR64" i="11"/>
  <c r="AS64" i="11"/>
  <c r="AT64" i="11"/>
  <c r="AU64" i="11"/>
  <c r="AV64" i="11"/>
  <c r="AW64" i="11"/>
  <c r="AC65" i="11"/>
  <c r="AD65" i="11"/>
  <c r="AE65" i="11"/>
  <c r="AF65" i="11"/>
  <c r="AG65" i="11"/>
  <c r="AH65" i="11"/>
  <c r="AI65" i="11"/>
  <c r="AJ65" i="11"/>
  <c r="AK65" i="11"/>
  <c r="AL65" i="11"/>
  <c r="AM65" i="11"/>
  <c r="AN65" i="11"/>
  <c r="AO65" i="11"/>
  <c r="AP65" i="11"/>
  <c r="AQ65" i="11"/>
  <c r="AR65" i="11"/>
  <c r="AS65" i="11"/>
  <c r="AT65" i="11"/>
  <c r="AU65" i="11"/>
  <c r="AV65" i="11"/>
  <c r="AW65" i="11"/>
  <c r="AC66" i="11"/>
  <c r="AD66" i="11"/>
  <c r="AE66" i="11"/>
  <c r="AF66" i="11"/>
  <c r="AG66" i="11"/>
  <c r="AH66" i="11"/>
  <c r="AI66" i="11"/>
  <c r="AJ66" i="11"/>
  <c r="AK66" i="11"/>
  <c r="AL66" i="11"/>
  <c r="AM66" i="11"/>
  <c r="AN66" i="11"/>
  <c r="AO66" i="11"/>
  <c r="AP66" i="11"/>
  <c r="AQ66" i="11"/>
  <c r="AR66" i="11"/>
  <c r="AS66" i="11"/>
  <c r="AT66" i="11"/>
  <c r="AU66" i="11"/>
  <c r="AV66" i="11"/>
  <c r="AW66" i="11"/>
  <c r="AC67" i="11"/>
  <c r="AD67" i="11"/>
  <c r="AE67" i="11"/>
  <c r="AF67" i="11"/>
  <c r="AG67" i="11"/>
  <c r="AH67" i="11"/>
  <c r="AI67" i="11"/>
  <c r="AJ67" i="11"/>
  <c r="AK67" i="11"/>
  <c r="AL67" i="11"/>
  <c r="AM67" i="11"/>
  <c r="AN67" i="11"/>
  <c r="AO67" i="11"/>
  <c r="AP67" i="11"/>
  <c r="AQ67" i="11"/>
  <c r="AR67" i="11"/>
  <c r="AS67" i="11"/>
  <c r="AT67" i="11"/>
  <c r="AU67" i="11"/>
  <c r="AV67" i="11"/>
  <c r="AW67" i="11"/>
  <c r="AC68" i="11"/>
  <c r="AD68" i="11"/>
  <c r="AE68" i="11"/>
  <c r="AF68" i="11"/>
  <c r="AG68" i="11"/>
  <c r="AH68" i="11"/>
  <c r="AI68" i="11"/>
  <c r="AJ68" i="11"/>
  <c r="AK68" i="11"/>
  <c r="AL68" i="11"/>
  <c r="AM68" i="11"/>
  <c r="AN68" i="11"/>
  <c r="AO68" i="11"/>
  <c r="AP68" i="11"/>
  <c r="AQ68" i="11"/>
  <c r="AR68" i="11"/>
  <c r="AS68" i="11"/>
  <c r="AT68" i="11"/>
  <c r="AU68" i="11"/>
  <c r="AV68" i="11"/>
  <c r="AW68" i="11"/>
  <c r="AC69" i="11"/>
  <c r="AD69" i="11"/>
  <c r="AE69" i="11"/>
  <c r="AF69" i="11"/>
  <c r="AG69" i="11"/>
  <c r="AH69" i="11"/>
  <c r="AI69" i="11"/>
  <c r="AJ69" i="11"/>
  <c r="AK69" i="11"/>
  <c r="AL69" i="11"/>
  <c r="AM69" i="11"/>
  <c r="AN69" i="11"/>
  <c r="AO69" i="11"/>
  <c r="AP69" i="11"/>
  <c r="AQ69" i="11"/>
  <c r="AR69" i="11"/>
  <c r="AS69" i="11"/>
  <c r="AT69" i="11"/>
  <c r="AU69" i="11"/>
  <c r="AV69" i="11"/>
  <c r="AW69" i="11"/>
  <c r="AC70" i="11"/>
  <c r="AD70" i="11"/>
  <c r="AE70" i="11"/>
  <c r="AF70" i="11"/>
  <c r="AG70" i="11"/>
  <c r="AH70" i="11"/>
  <c r="AI70" i="11"/>
  <c r="AJ70" i="11"/>
  <c r="AK70" i="11"/>
  <c r="AL70" i="11"/>
  <c r="AM70" i="11"/>
  <c r="AN70" i="11"/>
  <c r="AO70" i="11"/>
  <c r="AP70" i="11"/>
  <c r="AQ70" i="11"/>
  <c r="AR70" i="11"/>
  <c r="AS70" i="11"/>
  <c r="AT70" i="11"/>
  <c r="AU70" i="11"/>
  <c r="AV70" i="11"/>
  <c r="AW70" i="11"/>
  <c r="AC71" i="11"/>
  <c r="AD71" i="11"/>
  <c r="AE71" i="11"/>
  <c r="AF71" i="11"/>
  <c r="AG71" i="11"/>
  <c r="AH71" i="11"/>
  <c r="AI71" i="11"/>
  <c r="AJ71" i="11"/>
  <c r="AK71" i="11"/>
  <c r="AL71" i="11"/>
  <c r="AM71" i="11"/>
  <c r="AN71" i="11"/>
  <c r="AO71" i="11"/>
  <c r="AP71" i="11"/>
  <c r="AQ71" i="11"/>
  <c r="AR71" i="11"/>
  <c r="AS71" i="11"/>
  <c r="AT71" i="11"/>
  <c r="AU71" i="11"/>
  <c r="AV71" i="11"/>
  <c r="AW71" i="11"/>
  <c r="AC72" i="11"/>
  <c r="AD72" i="11"/>
  <c r="AE72" i="11"/>
  <c r="AF72" i="11"/>
  <c r="AG72" i="11"/>
  <c r="AH72" i="11"/>
  <c r="AI72" i="11"/>
  <c r="AJ72" i="11"/>
  <c r="AK72" i="11"/>
  <c r="AL72" i="11"/>
  <c r="AM72" i="11"/>
  <c r="AN72" i="11"/>
  <c r="AO72" i="11"/>
  <c r="AP72" i="11"/>
  <c r="AQ72" i="11"/>
  <c r="AR72" i="11"/>
  <c r="AS72" i="11"/>
  <c r="AT72" i="11"/>
  <c r="AU72" i="11"/>
  <c r="AV72" i="11"/>
  <c r="AW72" i="11"/>
  <c r="AC73" i="11"/>
  <c r="AD73" i="11"/>
  <c r="AE73" i="11"/>
  <c r="AF73" i="11"/>
  <c r="AG73" i="11"/>
  <c r="AH73" i="11"/>
  <c r="AI73" i="11"/>
  <c r="AJ73" i="11"/>
  <c r="AK73" i="11"/>
  <c r="AL73" i="11"/>
  <c r="AM73" i="11"/>
  <c r="AN73" i="11"/>
  <c r="AO73" i="11"/>
  <c r="AP73" i="11"/>
  <c r="AQ73" i="11"/>
  <c r="AR73" i="11"/>
  <c r="AS73" i="11"/>
  <c r="AT73" i="11"/>
  <c r="AU73" i="11"/>
  <c r="AV73" i="11"/>
  <c r="AW73" i="11"/>
  <c r="AC74" i="11"/>
  <c r="AD74" i="11"/>
  <c r="AE74" i="11"/>
  <c r="AF74" i="11"/>
  <c r="AG74" i="11"/>
  <c r="AH74" i="11"/>
  <c r="AI74" i="11"/>
  <c r="AJ74" i="11"/>
  <c r="AK74" i="11"/>
  <c r="AL74" i="11"/>
  <c r="AM74" i="11"/>
  <c r="AN74" i="11"/>
  <c r="AO74" i="11"/>
  <c r="AP74" i="11"/>
  <c r="AQ74" i="11"/>
  <c r="AR74" i="11"/>
  <c r="AS74" i="11"/>
  <c r="AT74" i="11"/>
  <c r="AU74" i="11"/>
  <c r="AV74" i="11"/>
  <c r="AW74" i="11"/>
  <c r="AC75" i="11"/>
  <c r="AD75" i="11"/>
  <c r="AE75" i="11"/>
  <c r="AF75" i="11"/>
  <c r="AG75" i="11"/>
  <c r="AH75" i="11"/>
  <c r="AI75" i="11"/>
  <c r="AJ75" i="11"/>
  <c r="AK75" i="11"/>
  <c r="AL75" i="11"/>
  <c r="AM75" i="11"/>
  <c r="AN75" i="11"/>
  <c r="AO75" i="11"/>
  <c r="AP75" i="11"/>
  <c r="AQ75" i="11"/>
  <c r="AR75" i="11"/>
  <c r="AS75" i="11"/>
  <c r="AT75" i="11"/>
  <c r="AU75" i="11"/>
  <c r="AV75" i="11"/>
  <c r="AW75" i="11"/>
  <c r="AC76" i="11"/>
  <c r="AD76" i="11"/>
  <c r="AE76" i="11"/>
  <c r="AF76" i="11"/>
  <c r="AG76" i="11"/>
  <c r="AH76" i="11"/>
  <c r="AI76" i="11"/>
  <c r="AJ76" i="11"/>
  <c r="AK76" i="11"/>
  <c r="AL76" i="11"/>
  <c r="AM76" i="11"/>
  <c r="AN76" i="11"/>
  <c r="AO76" i="11"/>
  <c r="AP76" i="11"/>
  <c r="AQ76" i="11"/>
  <c r="AR76" i="11"/>
  <c r="AS76" i="11"/>
  <c r="AT76" i="11"/>
  <c r="AU76" i="11"/>
  <c r="AV76" i="11"/>
  <c r="AW76" i="11"/>
  <c r="AC77" i="11"/>
  <c r="AD77" i="11"/>
  <c r="AE77" i="11"/>
  <c r="AF77" i="11"/>
  <c r="AG77" i="11"/>
  <c r="AH77" i="11"/>
  <c r="AI77" i="11"/>
  <c r="AJ77" i="11"/>
  <c r="AK77" i="11"/>
  <c r="AL77" i="11"/>
  <c r="AM77" i="11"/>
  <c r="AN77" i="11"/>
  <c r="AO77" i="11"/>
  <c r="AP77" i="11"/>
  <c r="AQ77" i="11"/>
  <c r="AR77" i="11"/>
  <c r="AS77" i="11"/>
  <c r="AT77" i="11"/>
  <c r="AU77" i="11"/>
  <c r="AV77" i="11"/>
  <c r="AW77" i="11"/>
  <c r="AC78" i="11"/>
  <c r="AD78" i="11"/>
  <c r="AE78" i="11"/>
  <c r="AF78" i="11"/>
  <c r="AG78" i="11"/>
  <c r="AH78" i="11"/>
  <c r="AI78" i="11"/>
  <c r="AJ78" i="11"/>
  <c r="AK78" i="11"/>
  <c r="AL78" i="11"/>
  <c r="AM78" i="11"/>
  <c r="AN78" i="11"/>
  <c r="AO78" i="11"/>
  <c r="AP78" i="11"/>
  <c r="AQ78" i="11"/>
  <c r="AR78" i="11"/>
  <c r="AS78" i="11"/>
  <c r="AT78" i="11"/>
  <c r="AU78" i="11"/>
  <c r="AV78" i="11"/>
  <c r="AW78" i="11"/>
  <c r="AC79" i="11"/>
  <c r="AD79" i="11"/>
  <c r="AE79" i="11"/>
  <c r="AF79" i="11"/>
  <c r="AG79" i="11"/>
  <c r="AH79" i="11"/>
  <c r="AI79" i="11"/>
  <c r="AJ79" i="11"/>
  <c r="AK79" i="11"/>
  <c r="AL79" i="11"/>
  <c r="AM79" i="11"/>
  <c r="AN79" i="11"/>
  <c r="AO79" i="11"/>
  <c r="AP79" i="11"/>
  <c r="AQ79" i="11"/>
  <c r="AR79" i="11"/>
  <c r="AS79" i="11"/>
  <c r="AT79" i="11"/>
  <c r="AU79" i="11"/>
  <c r="AV79" i="11"/>
  <c r="AW79" i="11"/>
  <c r="AC80" i="11"/>
  <c r="AD80" i="11"/>
  <c r="AE80" i="11"/>
  <c r="AF80" i="11"/>
  <c r="AG80" i="11"/>
  <c r="AH80" i="11"/>
  <c r="AI80" i="11"/>
  <c r="AJ80" i="11"/>
  <c r="AK80" i="11"/>
  <c r="AL80" i="11"/>
  <c r="AM80" i="11"/>
  <c r="AN80" i="11"/>
  <c r="AO80" i="11"/>
  <c r="AP80" i="11"/>
  <c r="AQ80" i="11"/>
  <c r="AR80" i="11"/>
  <c r="AS80" i="11"/>
  <c r="AT80" i="11"/>
  <c r="AU80" i="11"/>
  <c r="AV80" i="11"/>
  <c r="AW80" i="11"/>
  <c r="AC81" i="11"/>
  <c r="AD81" i="11"/>
  <c r="AE81" i="11"/>
  <c r="AF81" i="11"/>
  <c r="AG81" i="11"/>
  <c r="AH81" i="11"/>
  <c r="AI81" i="11"/>
  <c r="AJ81" i="11"/>
  <c r="AK81" i="11"/>
  <c r="AL81" i="11"/>
  <c r="AM81" i="11"/>
  <c r="AN81" i="11"/>
  <c r="AO81" i="11"/>
  <c r="AP81" i="11"/>
  <c r="AQ81" i="11"/>
  <c r="AR81" i="11"/>
  <c r="AS81" i="11"/>
  <c r="AT81" i="11"/>
  <c r="AU81" i="11"/>
  <c r="AV81" i="11"/>
  <c r="AW81" i="11"/>
  <c r="AC82" i="11"/>
  <c r="AD82" i="11"/>
  <c r="AE82" i="11"/>
  <c r="AF82" i="11"/>
  <c r="AG82" i="11"/>
  <c r="AH82" i="11"/>
  <c r="AI82" i="11"/>
  <c r="AJ82" i="11"/>
  <c r="AK82" i="11"/>
  <c r="AL82" i="11"/>
  <c r="AM82" i="11"/>
  <c r="AN82" i="11"/>
  <c r="AO82" i="11"/>
  <c r="AP82" i="11"/>
  <c r="AQ82" i="11"/>
  <c r="AR82" i="11"/>
  <c r="AS82" i="11"/>
  <c r="AT82" i="11"/>
  <c r="AU82" i="11"/>
  <c r="AV82" i="11"/>
  <c r="AW82" i="11"/>
  <c r="AC83" i="11"/>
  <c r="AD83" i="11"/>
  <c r="AE83" i="11"/>
  <c r="AF83" i="11"/>
  <c r="AG83" i="11"/>
  <c r="AH83" i="11"/>
  <c r="AI83" i="11"/>
  <c r="AJ83" i="11"/>
  <c r="AK83" i="11"/>
  <c r="AL83" i="11"/>
  <c r="AM83" i="11"/>
  <c r="AN83" i="11"/>
  <c r="AO83" i="11"/>
  <c r="AP83" i="11"/>
  <c r="AQ83" i="11"/>
  <c r="AR83" i="11"/>
  <c r="AS83" i="11"/>
  <c r="AT83" i="11"/>
  <c r="AU83" i="11"/>
  <c r="AV83" i="11"/>
  <c r="AW83" i="11"/>
  <c r="AC84" i="11"/>
  <c r="AD84" i="11"/>
  <c r="AE84" i="11"/>
  <c r="AF84" i="11"/>
  <c r="AG84" i="11"/>
  <c r="AH84" i="11"/>
  <c r="AI84" i="11"/>
  <c r="AJ84" i="11"/>
  <c r="AK84" i="11"/>
  <c r="AL84" i="11"/>
  <c r="AM84" i="11"/>
  <c r="AN84" i="11"/>
  <c r="AO84" i="11"/>
  <c r="AP84" i="11"/>
  <c r="AQ84" i="11"/>
  <c r="AR84" i="11"/>
  <c r="AS84" i="11"/>
  <c r="AT84" i="11"/>
  <c r="AU84" i="11"/>
  <c r="AV84" i="11"/>
  <c r="AW84" i="11"/>
  <c r="AC85" i="11"/>
  <c r="AD85" i="11"/>
  <c r="AE85" i="11"/>
  <c r="AF85" i="11"/>
  <c r="AG85" i="11"/>
  <c r="AH85" i="11"/>
  <c r="AI85" i="11"/>
  <c r="AJ85" i="11"/>
  <c r="AK85" i="11"/>
  <c r="AL85" i="11"/>
  <c r="AM85" i="11"/>
  <c r="AN85" i="11"/>
  <c r="AO85" i="11"/>
  <c r="AP85" i="11"/>
  <c r="AQ85" i="11"/>
  <c r="AR85" i="11"/>
  <c r="AS85" i="11"/>
  <c r="AT85" i="11"/>
  <c r="AU85" i="11"/>
  <c r="AV85" i="11"/>
  <c r="AW85" i="11"/>
  <c r="AC86" i="11"/>
  <c r="AD86" i="11"/>
  <c r="AE86" i="11"/>
  <c r="AF86" i="11"/>
  <c r="AG86" i="11"/>
  <c r="AH86" i="11"/>
  <c r="AI86" i="11"/>
  <c r="AJ86" i="11"/>
  <c r="AK86" i="11"/>
  <c r="AL86" i="11"/>
  <c r="AM86" i="11"/>
  <c r="AN86" i="11"/>
  <c r="AO86" i="11"/>
  <c r="AP86" i="11"/>
  <c r="AQ86" i="11"/>
  <c r="AR86" i="11"/>
  <c r="AS86" i="11"/>
  <c r="AT86" i="11"/>
  <c r="AU86" i="11"/>
  <c r="AV86" i="11"/>
  <c r="AW86" i="11"/>
  <c r="AC87" i="11"/>
  <c r="AD87" i="11"/>
  <c r="AE87" i="11"/>
  <c r="AF87" i="11"/>
  <c r="AG87" i="11"/>
  <c r="AH87" i="11"/>
  <c r="AI87" i="11"/>
  <c r="AJ87" i="11"/>
  <c r="AK87" i="11"/>
  <c r="AL87" i="11"/>
  <c r="AM87" i="11"/>
  <c r="AN87" i="11"/>
  <c r="AO87" i="11"/>
  <c r="AP87" i="11"/>
  <c r="AQ87" i="11"/>
  <c r="AR87" i="11"/>
  <c r="AS87" i="11"/>
  <c r="AT87" i="11"/>
  <c r="AU87" i="11"/>
  <c r="AV87" i="11"/>
  <c r="AW87" i="11"/>
  <c r="AC88" i="11"/>
  <c r="AD88" i="11"/>
  <c r="AE88" i="11"/>
  <c r="AF88" i="11"/>
  <c r="AG88" i="11"/>
  <c r="AH88" i="11"/>
  <c r="AI88" i="11"/>
  <c r="AJ88" i="11"/>
  <c r="AK88" i="11"/>
  <c r="AL88" i="11"/>
  <c r="AM88" i="11"/>
  <c r="AN88" i="11"/>
  <c r="AO88" i="11"/>
  <c r="AP88" i="11"/>
  <c r="AQ88" i="11"/>
  <c r="AR88" i="11"/>
  <c r="AS88" i="11"/>
  <c r="AT88" i="11"/>
  <c r="AU88" i="11"/>
  <c r="AV88" i="11"/>
  <c r="AW88" i="11"/>
  <c r="D1" i="20"/>
  <c r="F19" i="20"/>
  <c r="G19" i="20"/>
  <c r="H19" i="20"/>
  <c r="I19" i="20"/>
  <c r="J19" i="20"/>
  <c r="K19" i="20"/>
  <c r="L19" i="20"/>
  <c r="M19" i="20"/>
  <c r="N19" i="20"/>
  <c r="O19" i="20"/>
  <c r="P19" i="20"/>
  <c r="Q19" i="20"/>
  <c r="R19" i="20"/>
  <c r="S19" i="20"/>
  <c r="T19" i="20"/>
  <c r="U19" i="20"/>
  <c r="V19" i="20"/>
  <c r="W19" i="20"/>
  <c r="X19" i="20"/>
  <c r="Y19" i="20"/>
  <c r="Z19" i="20"/>
  <c r="F20" i="20"/>
  <c r="G20" i="20"/>
  <c r="H20" i="20"/>
  <c r="I20" i="20"/>
  <c r="J20" i="20"/>
  <c r="K20" i="20"/>
  <c r="L20" i="20"/>
  <c r="M20" i="20"/>
  <c r="N20" i="20"/>
  <c r="O20" i="20"/>
  <c r="P20" i="20"/>
  <c r="Q20" i="20"/>
  <c r="R20" i="20"/>
  <c r="S20" i="20"/>
  <c r="T20" i="20"/>
  <c r="U20" i="20"/>
  <c r="V20" i="20"/>
  <c r="W20" i="20"/>
  <c r="X20" i="20"/>
  <c r="Y20" i="20"/>
  <c r="Z20" i="20"/>
  <c r="F21" i="20"/>
  <c r="G21" i="20"/>
  <c r="H21" i="20"/>
  <c r="I21" i="20"/>
  <c r="J21" i="20"/>
  <c r="K21" i="20"/>
  <c r="L21" i="20"/>
  <c r="M21" i="20"/>
  <c r="N21" i="20"/>
  <c r="O21" i="20"/>
  <c r="P21" i="20"/>
  <c r="Q21" i="20"/>
  <c r="R21" i="20"/>
  <c r="S21" i="20"/>
  <c r="T21" i="20"/>
  <c r="U21" i="20"/>
  <c r="V21" i="20"/>
  <c r="W21" i="20"/>
  <c r="X21" i="20"/>
  <c r="Y21" i="20"/>
  <c r="Z21" i="20"/>
  <c r="F22" i="20"/>
  <c r="G22" i="20"/>
  <c r="H22" i="20"/>
  <c r="I22" i="20"/>
  <c r="J22" i="20"/>
  <c r="K22" i="20"/>
  <c r="L22" i="20"/>
  <c r="M22" i="20"/>
  <c r="N22" i="20"/>
  <c r="O22" i="20"/>
  <c r="P22" i="20"/>
  <c r="Q22" i="20"/>
  <c r="R22" i="20"/>
  <c r="S22" i="20"/>
  <c r="T22" i="20"/>
  <c r="U22" i="20"/>
  <c r="V22" i="20"/>
  <c r="W22" i="20"/>
  <c r="X22" i="20"/>
  <c r="Y22" i="20"/>
  <c r="Z22" i="20"/>
  <c r="F15" i="20"/>
  <c r="G15" i="20"/>
  <c r="H15" i="20"/>
  <c r="I15" i="20"/>
  <c r="J15" i="20"/>
  <c r="K15" i="20"/>
  <c r="L15" i="20"/>
  <c r="M15" i="20"/>
  <c r="N15" i="20"/>
  <c r="O15" i="20"/>
  <c r="P15" i="20"/>
  <c r="Q15" i="20"/>
  <c r="R15" i="20"/>
  <c r="S15" i="20"/>
  <c r="T15" i="20"/>
  <c r="U15" i="20"/>
  <c r="V15" i="20"/>
  <c r="W15" i="20"/>
  <c r="X15" i="20"/>
  <c r="Y15" i="20"/>
  <c r="Z15" i="20"/>
  <c r="F16" i="20"/>
  <c r="G16" i="20"/>
  <c r="H16" i="20"/>
  <c r="I16" i="20"/>
  <c r="J16" i="20"/>
  <c r="K16" i="20"/>
  <c r="L16" i="20"/>
  <c r="M16" i="20"/>
  <c r="N16" i="20"/>
  <c r="O16" i="20"/>
  <c r="P16" i="20"/>
  <c r="Q16" i="20"/>
  <c r="R16" i="20"/>
  <c r="S16" i="20"/>
  <c r="T16" i="20"/>
  <c r="U16" i="20"/>
  <c r="V16" i="20"/>
  <c r="W16" i="20"/>
  <c r="X16" i="20"/>
  <c r="Y16" i="20"/>
  <c r="Z16" i="20"/>
  <c r="F17" i="20"/>
  <c r="G17" i="20"/>
  <c r="H17" i="20"/>
  <c r="I17" i="20"/>
  <c r="J17" i="20"/>
  <c r="K17" i="20"/>
  <c r="L17" i="20"/>
  <c r="M17" i="20"/>
  <c r="N17" i="20"/>
  <c r="O17" i="20"/>
  <c r="P17" i="20"/>
  <c r="Q17" i="20"/>
  <c r="R17" i="20"/>
  <c r="S17" i="20"/>
  <c r="T17" i="20"/>
  <c r="U17" i="20"/>
  <c r="V17" i="20"/>
  <c r="W17" i="20"/>
  <c r="X17" i="20"/>
  <c r="Y17" i="20"/>
  <c r="Z17" i="20"/>
  <c r="F18" i="20"/>
  <c r="G18" i="20"/>
  <c r="H18" i="20"/>
  <c r="I18" i="20"/>
  <c r="J18" i="20"/>
  <c r="K18" i="20"/>
  <c r="L18" i="20"/>
  <c r="M18" i="20"/>
  <c r="N18" i="20"/>
  <c r="O18" i="20"/>
  <c r="P18" i="20"/>
  <c r="Q18" i="20"/>
  <c r="R18" i="20"/>
  <c r="S18" i="20"/>
  <c r="T18" i="20"/>
  <c r="U18" i="20"/>
  <c r="V18" i="20"/>
  <c r="W18" i="20"/>
  <c r="X18" i="20"/>
  <c r="Y18" i="20"/>
  <c r="Z18" i="20"/>
  <c r="F23" i="20"/>
  <c r="G23" i="20"/>
  <c r="H23" i="20"/>
  <c r="I23" i="20"/>
  <c r="J23" i="20"/>
  <c r="K23" i="20"/>
  <c r="L23" i="20"/>
  <c r="M23" i="20"/>
  <c r="N23" i="20"/>
  <c r="O23" i="20"/>
  <c r="P23" i="20"/>
  <c r="Q23" i="20"/>
  <c r="R23" i="20"/>
  <c r="S23" i="20"/>
  <c r="T23" i="20"/>
  <c r="U23" i="20"/>
  <c r="V23" i="20"/>
  <c r="W23" i="20"/>
  <c r="X23" i="20"/>
  <c r="Y23" i="20"/>
  <c r="Z23" i="20"/>
  <c r="F24" i="20"/>
  <c r="G24" i="20"/>
  <c r="H24" i="20"/>
  <c r="I24" i="20"/>
  <c r="J24" i="20"/>
  <c r="K24" i="20"/>
  <c r="L24" i="20"/>
  <c r="M24" i="20"/>
  <c r="N24" i="20"/>
  <c r="O24" i="20"/>
  <c r="P24" i="20"/>
  <c r="Q24" i="20"/>
  <c r="R24" i="20"/>
  <c r="S24" i="20"/>
  <c r="T24" i="20"/>
  <c r="U24" i="20"/>
  <c r="V24" i="20"/>
  <c r="W24" i="20"/>
  <c r="X24" i="20"/>
  <c r="Y24" i="20"/>
  <c r="Z24" i="20"/>
  <c r="F25" i="20"/>
  <c r="G25" i="20"/>
  <c r="H25" i="20"/>
  <c r="I25" i="20"/>
  <c r="J25" i="20"/>
  <c r="K25" i="20"/>
  <c r="L25" i="20"/>
  <c r="M25" i="20"/>
  <c r="N25" i="20"/>
  <c r="O25" i="20"/>
  <c r="P25" i="20"/>
  <c r="Q25" i="20"/>
  <c r="R25" i="20"/>
  <c r="S25" i="20"/>
  <c r="T25" i="20"/>
  <c r="U25" i="20"/>
  <c r="V25" i="20"/>
  <c r="W25" i="20"/>
  <c r="X25" i="20"/>
  <c r="Y25" i="20"/>
  <c r="Z25" i="20"/>
  <c r="F26" i="20"/>
  <c r="G26" i="20"/>
  <c r="H26" i="20"/>
  <c r="I26" i="20"/>
  <c r="J26" i="20"/>
  <c r="K26" i="20"/>
  <c r="L26" i="20"/>
  <c r="M26" i="20"/>
  <c r="N26" i="20"/>
  <c r="O26" i="20"/>
  <c r="P26" i="20"/>
  <c r="Q26" i="20"/>
  <c r="R26" i="20"/>
  <c r="S26" i="20"/>
  <c r="T26" i="20"/>
  <c r="U26" i="20"/>
  <c r="V26" i="20"/>
  <c r="W26" i="20"/>
  <c r="X26" i="20"/>
  <c r="Y26" i="20"/>
  <c r="Z26" i="20"/>
  <c r="F27" i="20"/>
  <c r="G27" i="20"/>
  <c r="H27" i="20"/>
  <c r="I27" i="20"/>
  <c r="J27" i="20"/>
  <c r="K27" i="20"/>
  <c r="L27" i="20"/>
  <c r="M27" i="20"/>
  <c r="N27" i="20"/>
  <c r="O27" i="20"/>
  <c r="P27" i="20"/>
  <c r="Q27" i="20"/>
  <c r="R27" i="20"/>
  <c r="S27" i="20"/>
  <c r="T27" i="20"/>
  <c r="U27" i="20"/>
  <c r="V27" i="20"/>
  <c r="W27" i="20"/>
  <c r="X27" i="20"/>
  <c r="Y27" i="20"/>
  <c r="Z27" i="20"/>
  <c r="F28" i="20"/>
  <c r="G28" i="20"/>
  <c r="H28" i="20"/>
  <c r="I28" i="20"/>
  <c r="J28" i="20"/>
  <c r="K28" i="20"/>
  <c r="L28" i="20"/>
  <c r="M28" i="20"/>
  <c r="N28" i="20"/>
  <c r="O28" i="20"/>
  <c r="P28" i="20"/>
  <c r="Q28" i="20"/>
  <c r="R28" i="20"/>
  <c r="S28" i="20"/>
  <c r="T28" i="20"/>
  <c r="U28" i="20"/>
  <c r="V28" i="20"/>
  <c r="W28" i="20"/>
  <c r="X28" i="20"/>
  <c r="Y28" i="20"/>
  <c r="Z28" i="20"/>
  <c r="F29" i="20"/>
  <c r="G29" i="20"/>
  <c r="H29" i="20"/>
  <c r="I29" i="20"/>
  <c r="J29" i="20"/>
  <c r="K29" i="20"/>
  <c r="L29" i="20"/>
  <c r="M29" i="20"/>
  <c r="N29" i="20"/>
  <c r="O29" i="20"/>
  <c r="P29" i="20"/>
  <c r="Q29" i="20"/>
  <c r="R29" i="20"/>
  <c r="S29" i="20"/>
  <c r="T29" i="20"/>
  <c r="U29" i="20"/>
  <c r="V29" i="20"/>
  <c r="W29" i="20"/>
  <c r="X29" i="20"/>
  <c r="Y29" i="20"/>
  <c r="Z29" i="20"/>
  <c r="F30" i="20"/>
  <c r="G30" i="20"/>
  <c r="H30" i="20"/>
  <c r="I30" i="20"/>
  <c r="J30" i="20"/>
  <c r="K30" i="20"/>
  <c r="L30" i="20"/>
  <c r="M30" i="20"/>
  <c r="N30" i="20"/>
  <c r="O30" i="20"/>
  <c r="P30" i="20"/>
  <c r="Q30" i="20"/>
  <c r="R30" i="20"/>
  <c r="S30" i="20"/>
  <c r="T30" i="20"/>
  <c r="U30" i="20"/>
  <c r="V30" i="20"/>
  <c r="W30" i="20"/>
  <c r="X30" i="20"/>
  <c r="Y30" i="20"/>
  <c r="Z30" i="20"/>
  <c r="F11" i="20"/>
  <c r="G11" i="20"/>
  <c r="H11" i="20"/>
  <c r="I11" i="20"/>
  <c r="J11" i="20"/>
  <c r="K11" i="20"/>
  <c r="L11" i="20"/>
  <c r="M11" i="20"/>
  <c r="N11" i="20"/>
  <c r="O11" i="20"/>
  <c r="P11" i="20"/>
  <c r="Q11" i="20"/>
  <c r="R11" i="20"/>
  <c r="S11" i="20"/>
  <c r="T11" i="20"/>
  <c r="U11" i="20"/>
  <c r="V11" i="20"/>
  <c r="W11" i="20"/>
  <c r="X11" i="20"/>
  <c r="Y11" i="20"/>
  <c r="Z11" i="20"/>
  <c r="F12" i="20"/>
  <c r="G12" i="20"/>
  <c r="H12" i="20"/>
  <c r="I12" i="20"/>
  <c r="J12" i="20"/>
  <c r="K12" i="20"/>
  <c r="L12" i="20"/>
  <c r="M12" i="20"/>
  <c r="N12" i="20"/>
  <c r="O12" i="20"/>
  <c r="P12" i="20"/>
  <c r="Q12" i="20"/>
  <c r="R12" i="20"/>
  <c r="S12" i="20"/>
  <c r="T12" i="20"/>
  <c r="U12" i="20"/>
  <c r="V12" i="20"/>
  <c r="W12" i="20"/>
  <c r="X12" i="20"/>
  <c r="Y12" i="20"/>
  <c r="Z12" i="20"/>
  <c r="F13" i="20"/>
  <c r="G13" i="20"/>
  <c r="H13" i="20"/>
  <c r="I13" i="20"/>
  <c r="J13" i="20"/>
  <c r="K13" i="20"/>
  <c r="L13" i="20"/>
  <c r="M13" i="20"/>
  <c r="N13" i="20"/>
  <c r="O13" i="20"/>
  <c r="P13" i="20"/>
  <c r="Q13" i="20"/>
  <c r="R13" i="20"/>
  <c r="S13" i="20"/>
  <c r="T13" i="20"/>
  <c r="U13" i="20"/>
  <c r="V13" i="20"/>
  <c r="W13" i="20"/>
  <c r="X13" i="20"/>
  <c r="Y13" i="20"/>
  <c r="Z13" i="20"/>
  <c r="F14" i="20"/>
  <c r="G14" i="20"/>
  <c r="H14" i="20"/>
  <c r="I14" i="20"/>
  <c r="J14" i="20"/>
  <c r="K14" i="20"/>
  <c r="L14" i="20"/>
  <c r="M14" i="20"/>
  <c r="N14" i="20"/>
  <c r="O14" i="20"/>
  <c r="P14" i="20"/>
  <c r="Q14" i="20"/>
  <c r="R14" i="20"/>
  <c r="S14" i="20"/>
  <c r="T14" i="20"/>
  <c r="U14" i="20"/>
  <c r="V14" i="20"/>
  <c r="W14" i="20"/>
  <c r="X14" i="20"/>
  <c r="Y14" i="20"/>
  <c r="Z14" i="20"/>
  <c r="F31" i="20"/>
  <c r="G31" i="20"/>
  <c r="H31" i="20"/>
  <c r="I31" i="20"/>
  <c r="J31" i="20"/>
  <c r="K31" i="20"/>
  <c r="L31" i="20"/>
  <c r="M31" i="20"/>
  <c r="N31" i="20"/>
  <c r="O31" i="20"/>
  <c r="P31" i="20"/>
  <c r="Q31" i="20"/>
  <c r="R31" i="20"/>
  <c r="S31" i="20"/>
  <c r="T31" i="20"/>
  <c r="U31" i="20"/>
  <c r="V31" i="20"/>
  <c r="W31" i="20"/>
  <c r="X31" i="20"/>
  <c r="Y31" i="20"/>
  <c r="Z31" i="20"/>
  <c r="F32" i="20"/>
  <c r="G32" i="20"/>
  <c r="H32" i="20"/>
  <c r="I32" i="20"/>
  <c r="J32" i="20"/>
  <c r="K32" i="20"/>
  <c r="L32" i="20"/>
  <c r="M32" i="20"/>
  <c r="N32" i="20"/>
  <c r="O32" i="20"/>
  <c r="P32" i="20"/>
  <c r="Q32" i="20"/>
  <c r="R32" i="20"/>
  <c r="S32" i="20"/>
  <c r="T32" i="20"/>
  <c r="U32" i="20"/>
  <c r="V32" i="20"/>
  <c r="W32" i="20"/>
  <c r="X32" i="20"/>
  <c r="Y32" i="20"/>
  <c r="Z32" i="20"/>
  <c r="F33" i="20"/>
  <c r="G33" i="20"/>
  <c r="H33" i="20"/>
  <c r="I33" i="20"/>
  <c r="J33" i="20"/>
  <c r="K33" i="20"/>
  <c r="L33" i="20"/>
  <c r="M33" i="20"/>
  <c r="N33" i="20"/>
  <c r="O33" i="20"/>
  <c r="P33" i="20"/>
  <c r="Q33" i="20"/>
  <c r="R33" i="20"/>
  <c r="S33" i="20"/>
  <c r="T33" i="20"/>
  <c r="U33" i="20"/>
  <c r="V33" i="20"/>
  <c r="W33" i="20"/>
  <c r="X33" i="20"/>
  <c r="Y33" i="20"/>
  <c r="Z33" i="20"/>
  <c r="F34" i="20"/>
  <c r="G34" i="20"/>
  <c r="H34" i="20"/>
  <c r="I34" i="20"/>
  <c r="J34" i="20"/>
  <c r="K34" i="20"/>
  <c r="L34" i="20"/>
  <c r="M34" i="20"/>
  <c r="N34" i="20"/>
  <c r="O34" i="20"/>
  <c r="P34" i="20"/>
  <c r="Q34" i="20"/>
  <c r="R34" i="20"/>
  <c r="S34" i="20"/>
  <c r="T34" i="20"/>
  <c r="U34" i="20"/>
  <c r="V34" i="20"/>
  <c r="W34" i="20"/>
  <c r="X34" i="20"/>
  <c r="Y34" i="20"/>
  <c r="Z34" i="20"/>
  <c r="D2" i="20"/>
  <c r="AC3" i="11"/>
  <c r="F3" i="11"/>
  <c r="AD3" i="11"/>
  <c r="G3" i="11"/>
  <c r="AE3" i="11"/>
  <c r="H3" i="11"/>
  <c r="AF3" i="11"/>
  <c r="I3" i="11"/>
  <c r="AG3" i="11"/>
  <c r="J3" i="11"/>
  <c r="AH3" i="11"/>
  <c r="K3" i="11"/>
  <c r="AI3" i="11"/>
  <c r="L3" i="11"/>
  <c r="AJ3" i="11"/>
  <c r="M3" i="11"/>
  <c r="AK3" i="11"/>
  <c r="N3" i="11"/>
  <c r="AL3" i="11"/>
  <c r="O3" i="11"/>
  <c r="AM3" i="11"/>
  <c r="P3" i="11"/>
  <c r="AN3" i="11"/>
  <c r="Q3" i="11"/>
  <c r="AO3" i="11"/>
  <c r="R3" i="11"/>
  <c r="AP3" i="11"/>
  <c r="S3" i="11"/>
  <c r="AQ3" i="11"/>
  <c r="T3" i="11"/>
  <c r="AR3" i="11"/>
  <c r="U3" i="11"/>
  <c r="AS3" i="11"/>
  <c r="V3" i="11"/>
  <c r="AT3" i="11"/>
  <c r="W3" i="11"/>
  <c r="AU3" i="11"/>
  <c r="X3" i="11"/>
  <c r="AV3" i="11"/>
  <c r="Y3" i="11"/>
  <c r="AW3" i="11"/>
  <c r="Z3" i="11"/>
  <c r="F4" i="11"/>
  <c r="G4" i="11"/>
  <c r="H4" i="11"/>
  <c r="I4" i="11"/>
  <c r="J4" i="11"/>
  <c r="K4" i="11"/>
  <c r="L4" i="11"/>
  <c r="M4" i="11"/>
  <c r="N4" i="11"/>
  <c r="O4" i="11"/>
  <c r="P4" i="11"/>
  <c r="Q4" i="11"/>
  <c r="R4" i="11"/>
  <c r="S4" i="11"/>
  <c r="T4" i="11"/>
  <c r="U4" i="11"/>
  <c r="V4" i="11"/>
  <c r="W4" i="11"/>
  <c r="X4" i="11"/>
  <c r="Y4" i="11"/>
  <c r="Z4" i="11"/>
  <c r="F5" i="11"/>
  <c r="G5" i="11"/>
  <c r="H5" i="11"/>
  <c r="I5" i="11"/>
  <c r="J5" i="11"/>
  <c r="K5" i="11"/>
  <c r="L5" i="11"/>
  <c r="M5" i="11"/>
  <c r="N5" i="11"/>
  <c r="O5" i="11"/>
  <c r="P5" i="11"/>
  <c r="Q5" i="11"/>
  <c r="R5" i="11"/>
  <c r="S5" i="11"/>
  <c r="T5" i="11"/>
  <c r="U5" i="11"/>
  <c r="V5" i="11"/>
  <c r="W5" i="11"/>
  <c r="X5" i="11"/>
  <c r="Y5" i="11"/>
  <c r="Z5" i="11"/>
  <c r="F6" i="11"/>
  <c r="G6" i="11"/>
  <c r="H6" i="11"/>
  <c r="I6" i="11"/>
  <c r="J6" i="11"/>
  <c r="K6" i="11"/>
  <c r="L6" i="11"/>
  <c r="M6" i="11"/>
  <c r="N6" i="11"/>
  <c r="O6" i="11"/>
  <c r="P6" i="11"/>
  <c r="Q6" i="11"/>
  <c r="R6" i="11"/>
  <c r="S6" i="11"/>
  <c r="T6" i="11"/>
  <c r="U6" i="11"/>
  <c r="V6" i="11"/>
  <c r="W6" i="11"/>
  <c r="X6" i="11"/>
  <c r="Y6" i="11"/>
  <c r="Z6" i="11"/>
  <c r="F7" i="11"/>
  <c r="G7" i="11"/>
  <c r="H7" i="11"/>
  <c r="I7" i="11"/>
  <c r="J7" i="11"/>
  <c r="K7" i="11"/>
  <c r="L7" i="11"/>
  <c r="M7" i="11"/>
  <c r="N7" i="11"/>
  <c r="O7" i="11"/>
  <c r="P7" i="11"/>
  <c r="Q7" i="11"/>
  <c r="R7" i="11"/>
  <c r="S7" i="11"/>
  <c r="T7" i="11"/>
  <c r="U7" i="11"/>
  <c r="V7" i="11"/>
  <c r="W7" i="11"/>
  <c r="X7" i="11"/>
  <c r="Y7" i="11"/>
  <c r="Z7" i="11"/>
  <c r="F8" i="11"/>
  <c r="G8" i="11"/>
  <c r="H8" i="11"/>
  <c r="I8" i="11"/>
  <c r="J8" i="11"/>
  <c r="K8" i="11"/>
  <c r="L8" i="11"/>
  <c r="M8" i="11"/>
  <c r="N8" i="11"/>
  <c r="O8" i="11"/>
  <c r="P8" i="11"/>
  <c r="Q8" i="11"/>
  <c r="R8" i="11"/>
  <c r="S8" i="11"/>
  <c r="T8" i="11"/>
  <c r="U8" i="11"/>
  <c r="V8" i="11"/>
  <c r="W8" i="11"/>
  <c r="X8" i="11"/>
  <c r="Y8" i="11"/>
  <c r="Z8" i="11"/>
  <c r="F9" i="11"/>
  <c r="G9" i="11"/>
  <c r="H9" i="11"/>
  <c r="I9" i="11"/>
  <c r="J9" i="11"/>
  <c r="K9" i="11"/>
  <c r="L9" i="11"/>
  <c r="M9" i="11"/>
  <c r="N9" i="11"/>
  <c r="O9" i="11"/>
  <c r="P9" i="11"/>
  <c r="Q9" i="11"/>
  <c r="R9" i="11"/>
  <c r="S9" i="11"/>
  <c r="T9" i="11"/>
  <c r="U9" i="11"/>
  <c r="V9" i="11"/>
  <c r="W9" i="11"/>
  <c r="X9" i="11"/>
  <c r="Y9" i="11"/>
  <c r="Z9" i="11"/>
  <c r="F10" i="11"/>
  <c r="G10" i="11"/>
  <c r="H10" i="11"/>
  <c r="I10" i="11"/>
  <c r="J10" i="11"/>
  <c r="K10" i="11"/>
  <c r="L10" i="11"/>
  <c r="M10" i="11"/>
  <c r="N10" i="11"/>
  <c r="O10" i="11"/>
  <c r="P10" i="11"/>
  <c r="Q10" i="11"/>
  <c r="R10" i="11"/>
  <c r="S10" i="11"/>
  <c r="T10" i="11"/>
  <c r="U10" i="11"/>
  <c r="V10" i="11"/>
  <c r="W10" i="11"/>
  <c r="X10" i="11"/>
  <c r="Y10" i="11"/>
  <c r="Z10" i="11"/>
  <c r="F11" i="11"/>
  <c r="G11" i="11"/>
  <c r="H11" i="11"/>
  <c r="I11" i="11"/>
  <c r="J11" i="11"/>
  <c r="K11" i="11"/>
  <c r="L11" i="11"/>
  <c r="M11" i="11"/>
  <c r="N11" i="11"/>
  <c r="O11" i="11"/>
  <c r="P11" i="11"/>
  <c r="Q11" i="11"/>
  <c r="R11" i="11"/>
  <c r="S11" i="11"/>
  <c r="T11" i="11"/>
  <c r="U11" i="11"/>
  <c r="V11" i="11"/>
  <c r="W11" i="11"/>
  <c r="X11" i="11"/>
  <c r="Y11" i="11"/>
  <c r="Z11" i="11"/>
  <c r="F12" i="11"/>
  <c r="G12" i="11"/>
  <c r="H12" i="11"/>
  <c r="I12" i="11"/>
  <c r="J12" i="11"/>
  <c r="K12" i="11"/>
  <c r="L12" i="11"/>
  <c r="M12" i="11"/>
  <c r="N12" i="11"/>
  <c r="O12" i="11"/>
  <c r="P12" i="11"/>
  <c r="Q12" i="11"/>
  <c r="R12" i="11"/>
  <c r="S12" i="11"/>
  <c r="T12" i="11"/>
  <c r="U12" i="11"/>
  <c r="V12" i="11"/>
  <c r="W12" i="11"/>
  <c r="X12" i="11"/>
  <c r="Y12" i="11"/>
  <c r="Z12" i="11"/>
  <c r="F13" i="11"/>
  <c r="G13" i="11"/>
  <c r="H13" i="11"/>
  <c r="I13" i="11"/>
  <c r="J13" i="11"/>
  <c r="K13" i="11"/>
  <c r="L13" i="11"/>
  <c r="M13" i="11"/>
  <c r="N13" i="11"/>
  <c r="O13" i="11"/>
  <c r="P13" i="11"/>
  <c r="Q13" i="11"/>
  <c r="R13" i="11"/>
  <c r="S13" i="11"/>
  <c r="T13" i="11"/>
  <c r="U13" i="11"/>
  <c r="V13" i="11"/>
  <c r="W13" i="11"/>
  <c r="X13" i="11"/>
  <c r="Y13" i="11"/>
  <c r="Z13" i="11"/>
  <c r="F14" i="11"/>
  <c r="G14" i="11"/>
  <c r="H14" i="11"/>
  <c r="I14" i="11"/>
  <c r="J14" i="11"/>
  <c r="K14" i="11"/>
  <c r="L14" i="11"/>
  <c r="M14" i="11"/>
  <c r="N14" i="11"/>
  <c r="O14" i="11"/>
  <c r="P14" i="11"/>
  <c r="Q14" i="11"/>
  <c r="R14" i="11"/>
  <c r="S14" i="11"/>
  <c r="T14" i="11"/>
  <c r="U14" i="11"/>
  <c r="V14" i="11"/>
  <c r="W14" i="11"/>
  <c r="X14" i="11"/>
  <c r="Y14" i="11"/>
  <c r="Z14" i="11"/>
  <c r="F15" i="11"/>
  <c r="G15" i="11"/>
  <c r="H15" i="11"/>
  <c r="I15" i="11"/>
  <c r="J15" i="11"/>
  <c r="K15" i="11"/>
  <c r="L15" i="11"/>
  <c r="M15" i="11"/>
  <c r="N15" i="11"/>
  <c r="O15" i="11"/>
  <c r="P15" i="11"/>
  <c r="Q15" i="11"/>
  <c r="R15" i="11"/>
  <c r="S15" i="11"/>
  <c r="T15" i="11"/>
  <c r="U15" i="11"/>
  <c r="V15" i="11"/>
  <c r="W15" i="11"/>
  <c r="X15" i="11"/>
  <c r="Y15" i="11"/>
  <c r="Z15" i="11"/>
  <c r="F16" i="11"/>
  <c r="G16" i="11"/>
  <c r="H16" i="11"/>
  <c r="I16" i="11"/>
  <c r="J16" i="11"/>
  <c r="K16" i="11"/>
  <c r="L16" i="11"/>
  <c r="M16" i="11"/>
  <c r="N16" i="11"/>
  <c r="O16" i="11"/>
  <c r="P16" i="11"/>
  <c r="Q16" i="11"/>
  <c r="R16" i="11"/>
  <c r="S16" i="11"/>
  <c r="T16" i="11"/>
  <c r="U16" i="11"/>
  <c r="V16" i="11"/>
  <c r="W16" i="11"/>
  <c r="X16" i="11"/>
  <c r="Y16" i="11"/>
  <c r="Z16" i="11"/>
  <c r="F17" i="11"/>
  <c r="G17" i="11"/>
  <c r="H17" i="11"/>
  <c r="I17" i="11"/>
  <c r="J17" i="11"/>
  <c r="K17" i="11"/>
  <c r="L17" i="11"/>
  <c r="M17" i="11"/>
  <c r="N17" i="11"/>
  <c r="O17" i="11"/>
  <c r="P17" i="11"/>
  <c r="Q17" i="11"/>
  <c r="R17" i="11"/>
  <c r="S17" i="11"/>
  <c r="T17" i="11"/>
  <c r="U17" i="11"/>
  <c r="V17" i="11"/>
  <c r="W17" i="11"/>
  <c r="X17" i="11"/>
  <c r="Y17" i="11"/>
  <c r="Z17" i="11"/>
  <c r="F18" i="11"/>
  <c r="G18" i="11"/>
  <c r="H18" i="11"/>
  <c r="I18" i="11"/>
  <c r="J18" i="11"/>
  <c r="K18" i="11"/>
  <c r="L18" i="11"/>
  <c r="M18" i="11"/>
  <c r="N18" i="11"/>
  <c r="O18" i="11"/>
  <c r="P18" i="11"/>
  <c r="Q18" i="11"/>
  <c r="R18" i="11"/>
  <c r="S18" i="11"/>
  <c r="T18" i="11"/>
  <c r="U18" i="11"/>
  <c r="V18" i="11"/>
  <c r="W18" i="11"/>
  <c r="X18" i="11"/>
  <c r="Y18" i="11"/>
  <c r="Z18" i="11"/>
  <c r="F19" i="11"/>
  <c r="G19" i="11"/>
  <c r="H19" i="11"/>
  <c r="I19" i="11"/>
  <c r="J19" i="11"/>
  <c r="K19" i="11"/>
  <c r="L19" i="11"/>
  <c r="M19" i="11"/>
  <c r="N19" i="11"/>
  <c r="O19" i="11"/>
  <c r="P19" i="11"/>
  <c r="Q19" i="11"/>
  <c r="R19" i="11"/>
  <c r="S19" i="11"/>
  <c r="T19" i="11"/>
  <c r="U19" i="11"/>
  <c r="V19" i="11"/>
  <c r="W19" i="11"/>
  <c r="X19" i="11"/>
  <c r="Y19" i="11"/>
  <c r="Z19" i="11"/>
  <c r="F20" i="11"/>
  <c r="G20" i="11"/>
  <c r="H20" i="11"/>
  <c r="I20" i="11"/>
  <c r="J20" i="11"/>
  <c r="K20" i="11"/>
  <c r="L20" i="11"/>
  <c r="M20" i="11"/>
  <c r="N20" i="11"/>
  <c r="O20" i="11"/>
  <c r="P20" i="11"/>
  <c r="Q20" i="11"/>
  <c r="R20" i="11"/>
  <c r="S20" i="11"/>
  <c r="T20" i="11"/>
  <c r="U20" i="11"/>
  <c r="V20" i="11"/>
  <c r="W20" i="11"/>
  <c r="X20" i="11"/>
  <c r="Y20" i="11"/>
  <c r="Z20" i="11"/>
  <c r="F21" i="11"/>
  <c r="G21" i="11"/>
  <c r="H21" i="11"/>
  <c r="I21" i="11"/>
  <c r="J21" i="11"/>
  <c r="K21" i="11"/>
  <c r="L21" i="11"/>
  <c r="M21" i="11"/>
  <c r="N21" i="11"/>
  <c r="O21" i="11"/>
  <c r="P21" i="11"/>
  <c r="Q21" i="11"/>
  <c r="R21" i="11"/>
  <c r="S21" i="11"/>
  <c r="T21" i="11"/>
  <c r="U21" i="11"/>
  <c r="V21" i="11"/>
  <c r="W21" i="11"/>
  <c r="X21" i="11"/>
  <c r="Y21" i="11"/>
  <c r="Z21" i="11"/>
  <c r="F22" i="11"/>
  <c r="G22" i="11"/>
  <c r="H22" i="11"/>
  <c r="I22" i="11"/>
  <c r="J22" i="11"/>
  <c r="K22" i="11"/>
  <c r="L22" i="11"/>
  <c r="M22" i="11"/>
  <c r="N22" i="11"/>
  <c r="O22" i="11"/>
  <c r="P22" i="11"/>
  <c r="Q22" i="11"/>
  <c r="R22" i="11"/>
  <c r="S22" i="11"/>
  <c r="T22" i="11"/>
  <c r="U22" i="11"/>
  <c r="V22" i="11"/>
  <c r="W22" i="11"/>
  <c r="X22" i="11"/>
  <c r="Y22" i="11"/>
  <c r="Z22" i="11"/>
  <c r="F23" i="11"/>
  <c r="G23" i="11"/>
  <c r="H23" i="11"/>
  <c r="I23" i="11"/>
  <c r="J23" i="11"/>
  <c r="K23" i="11"/>
  <c r="L23" i="11"/>
  <c r="M23" i="11"/>
  <c r="N23" i="11"/>
  <c r="O23" i="11"/>
  <c r="P23" i="11"/>
  <c r="Q23" i="11"/>
  <c r="R23" i="11"/>
  <c r="S23" i="11"/>
  <c r="T23" i="11"/>
  <c r="U23" i="11"/>
  <c r="V23" i="11"/>
  <c r="W23" i="11"/>
  <c r="X23" i="11"/>
  <c r="Y23" i="11"/>
  <c r="Z23" i="11"/>
  <c r="F24" i="11"/>
  <c r="G24" i="11"/>
  <c r="H24" i="11"/>
  <c r="I24" i="11"/>
  <c r="J24" i="11"/>
  <c r="K24" i="11"/>
  <c r="L24" i="11"/>
  <c r="M24" i="11"/>
  <c r="N24" i="11"/>
  <c r="O24" i="11"/>
  <c r="P24" i="11"/>
  <c r="Q24" i="11"/>
  <c r="R24" i="11"/>
  <c r="S24" i="11"/>
  <c r="T24" i="11"/>
  <c r="U24" i="11"/>
  <c r="V24" i="11"/>
  <c r="W24" i="11"/>
  <c r="X24" i="11"/>
  <c r="Y24" i="11"/>
  <c r="Z24" i="11"/>
  <c r="F25" i="11"/>
  <c r="G25" i="11"/>
  <c r="H25" i="11"/>
  <c r="I25" i="11"/>
  <c r="J25" i="11"/>
  <c r="K25" i="11"/>
  <c r="L25" i="11"/>
  <c r="M25" i="11"/>
  <c r="N25" i="11"/>
  <c r="O25" i="11"/>
  <c r="P25" i="11"/>
  <c r="Q25" i="11"/>
  <c r="R25" i="11"/>
  <c r="S25" i="11"/>
  <c r="T25" i="11"/>
  <c r="U25" i="11"/>
  <c r="V25" i="11"/>
  <c r="W25" i="11"/>
  <c r="X25" i="11"/>
  <c r="Y25" i="11"/>
  <c r="Z25" i="11"/>
  <c r="F26" i="11"/>
  <c r="G26" i="11"/>
  <c r="H26" i="11"/>
  <c r="I26" i="11"/>
  <c r="J26" i="11"/>
  <c r="K26" i="11"/>
  <c r="L26" i="11"/>
  <c r="M26" i="11"/>
  <c r="N26" i="11"/>
  <c r="O26" i="11"/>
  <c r="P26" i="11"/>
  <c r="Q26" i="11"/>
  <c r="R26" i="11"/>
  <c r="S26" i="11"/>
  <c r="T26" i="11"/>
  <c r="U26" i="11"/>
  <c r="V26" i="11"/>
  <c r="W26" i="11"/>
  <c r="X26" i="11"/>
  <c r="Y26" i="11"/>
  <c r="Z26" i="11"/>
  <c r="F27" i="11"/>
  <c r="G27" i="11"/>
  <c r="H27" i="11"/>
  <c r="I27" i="11"/>
  <c r="J27" i="11"/>
  <c r="K27" i="11"/>
  <c r="L27" i="11"/>
  <c r="M27" i="11"/>
  <c r="N27" i="11"/>
  <c r="O27" i="11"/>
  <c r="P27" i="11"/>
  <c r="Q27" i="11"/>
  <c r="R27" i="11"/>
  <c r="S27" i="11"/>
  <c r="T27" i="11"/>
  <c r="U27" i="11"/>
  <c r="V27" i="11"/>
  <c r="W27" i="11"/>
  <c r="X27" i="11"/>
  <c r="Y27" i="11"/>
  <c r="Z27" i="11"/>
  <c r="F28" i="11"/>
  <c r="G28" i="11"/>
  <c r="H28" i="11"/>
  <c r="I28" i="11"/>
  <c r="J28" i="11"/>
  <c r="K28" i="11"/>
  <c r="L28" i="11"/>
  <c r="M28" i="11"/>
  <c r="N28" i="11"/>
  <c r="O28" i="11"/>
  <c r="P28" i="11"/>
  <c r="Q28" i="11"/>
  <c r="R28" i="11"/>
  <c r="S28" i="11"/>
  <c r="T28" i="11"/>
  <c r="U28" i="11"/>
  <c r="V28" i="11"/>
  <c r="W28" i="11"/>
  <c r="X28" i="11"/>
  <c r="Y28" i="11"/>
  <c r="Z28" i="11"/>
  <c r="F29" i="11"/>
  <c r="G29" i="11"/>
  <c r="H29" i="11"/>
  <c r="I29" i="11"/>
  <c r="J29" i="11"/>
  <c r="K29" i="11"/>
  <c r="L29" i="11"/>
  <c r="M29" i="11"/>
  <c r="N29" i="11"/>
  <c r="O29" i="11"/>
  <c r="P29" i="11"/>
  <c r="Q29" i="11"/>
  <c r="R29" i="11"/>
  <c r="S29" i="11"/>
  <c r="T29" i="11"/>
  <c r="U29" i="11"/>
  <c r="V29" i="11"/>
  <c r="W29" i="11"/>
  <c r="X29" i="11"/>
  <c r="Y29" i="11"/>
  <c r="Z29" i="11"/>
  <c r="F30" i="11"/>
  <c r="G30" i="11"/>
  <c r="H30" i="11"/>
  <c r="I30" i="11"/>
  <c r="J30" i="11"/>
  <c r="K30" i="11"/>
  <c r="L30" i="11"/>
  <c r="M30" i="11"/>
  <c r="N30" i="11"/>
  <c r="O30" i="11"/>
  <c r="P30" i="11"/>
  <c r="Q30" i="11"/>
  <c r="R30" i="11"/>
  <c r="S30" i="11"/>
  <c r="T30" i="11"/>
  <c r="U30" i="11"/>
  <c r="V30" i="11"/>
  <c r="W30" i="11"/>
  <c r="X30" i="11"/>
  <c r="Y30" i="11"/>
  <c r="Z30" i="11"/>
  <c r="F31" i="11"/>
  <c r="G31" i="11"/>
  <c r="H31" i="11"/>
  <c r="I31" i="11"/>
  <c r="J31" i="11"/>
  <c r="K31" i="11"/>
  <c r="L31" i="11"/>
  <c r="M31" i="11"/>
  <c r="N31" i="11"/>
  <c r="O31" i="11"/>
  <c r="P31" i="11"/>
  <c r="Q31" i="11"/>
  <c r="R31" i="11"/>
  <c r="S31" i="11"/>
  <c r="T31" i="11"/>
  <c r="U31" i="11"/>
  <c r="V31" i="11"/>
  <c r="W31" i="11"/>
  <c r="X31" i="11"/>
  <c r="Y31" i="11"/>
  <c r="Z31" i="11"/>
  <c r="F32" i="11"/>
  <c r="G32" i="11"/>
  <c r="H32" i="11"/>
  <c r="I32" i="11"/>
  <c r="J32" i="11"/>
  <c r="K32" i="11"/>
  <c r="L32" i="11"/>
  <c r="M32" i="11"/>
  <c r="N32" i="11"/>
  <c r="O32" i="11"/>
  <c r="P32" i="11"/>
  <c r="Q32" i="11"/>
  <c r="R32" i="11"/>
  <c r="S32" i="11"/>
  <c r="T32" i="11"/>
  <c r="U32" i="11"/>
  <c r="V32" i="11"/>
  <c r="W32" i="11"/>
  <c r="X32" i="11"/>
  <c r="Y32" i="11"/>
  <c r="Z32" i="11"/>
  <c r="F33" i="11"/>
  <c r="G33" i="11"/>
  <c r="H33" i="11"/>
  <c r="I33" i="11"/>
  <c r="J33" i="11"/>
  <c r="K33" i="11"/>
  <c r="L33" i="11"/>
  <c r="M33" i="11"/>
  <c r="N33" i="11"/>
  <c r="O33" i="11"/>
  <c r="P33" i="11"/>
  <c r="Q33" i="11"/>
  <c r="R33" i="11"/>
  <c r="S33" i="11"/>
  <c r="T33" i="11"/>
  <c r="U33" i="11"/>
  <c r="V33" i="11"/>
  <c r="W33" i="11"/>
  <c r="X33" i="11"/>
  <c r="Y33" i="11"/>
  <c r="Z33" i="11"/>
  <c r="F34" i="11"/>
  <c r="G34" i="11"/>
  <c r="H34" i="11"/>
  <c r="I34" i="11"/>
  <c r="J34" i="11"/>
  <c r="K34" i="11"/>
  <c r="L34" i="11"/>
  <c r="M34" i="11"/>
  <c r="N34" i="11"/>
  <c r="O34" i="11"/>
  <c r="P34" i="11"/>
  <c r="Q34" i="11"/>
  <c r="R34" i="11"/>
  <c r="S34" i="11"/>
  <c r="T34" i="11"/>
  <c r="U34" i="11"/>
  <c r="V34" i="11"/>
  <c r="W34" i="11"/>
  <c r="X34" i="11"/>
  <c r="Y34" i="11"/>
  <c r="Z34" i="11"/>
  <c r="F35" i="11"/>
  <c r="G35" i="11"/>
  <c r="H35" i="11"/>
  <c r="I35" i="11"/>
  <c r="J35" i="11"/>
  <c r="K35" i="11"/>
  <c r="L35" i="11"/>
  <c r="M35" i="11"/>
  <c r="N35" i="11"/>
  <c r="O35" i="11"/>
  <c r="P35" i="11"/>
  <c r="Q35" i="11"/>
  <c r="R35" i="11"/>
  <c r="S35" i="11"/>
  <c r="T35" i="11"/>
  <c r="U35" i="11"/>
  <c r="V35" i="11"/>
  <c r="W35" i="11"/>
  <c r="X35" i="11"/>
  <c r="Y35" i="11"/>
  <c r="Z35" i="11"/>
  <c r="F36" i="11"/>
  <c r="G36" i="11"/>
  <c r="H36" i="11"/>
  <c r="I36" i="11"/>
  <c r="J36" i="11"/>
  <c r="K36" i="11"/>
  <c r="L36" i="11"/>
  <c r="M36" i="11"/>
  <c r="N36" i="11"/>
  <c r="O36" i="11"/>
  <c r="P36" i="11"/>
  <c r="Q36" i="11"/>
  <c r="R36" i="11"/>
  <c r="S36" i="11"/>
  <c r="T36" i="11"/>
  <c r="U36" i="11"/>
  <c r="V36" i="11"/>
  <c r="W36" i="11"/>
  <c r="X36" i="11"/>
  <c r="Y36" i="11"/>
  <c r="Z36" i="11"/>
  <c r="F37" i="11"/>
  <c r="G37" i="11"/>
  <c r="H37" i="11"/>
  <c r="I37" i="11"/>
  <c r="J37" i="11"/>
  <c r="K37" i="11"/>
  <c r="L37" i="11"/>
  <c r="M37" i="11"/>
  <c r="N37" i="11"/>
  <c r="O37" i="11"/>
  <c r="P37" i="11"/>
  <c r="Q37" i="11"/>
  <c r="R37" i="11"/>
  <c r="S37" i="11"/>
  <c r="T37" i="11"/>
  <c r="U37" i="11"/>
  <c r="V37" i="11"/>
  <c r="W37" i="11"/>
  <c r="X37" i="11"/>
  <c r="Y37" i="11"/>
  <c r="Z37" i="11"/>
  <c r="F38" i="11"/>
  <c r="G38" i="11"/>
  <c r="H38" i="11"/>
  <c r="I38" i="11"/>
  <c r="J38" i="11"/>
  <c r="K38" i="11"/>
  <c r="L38" i="11"/>
  <c r="M38" i="11"/>
  <c r="N38" i="11"/>
  <c r="O38" i="11"/>
  <c r="P38" i="11"/>
  <c r="Q38" i="11"/>
  <c r="R38" i="11"/>
  <c r="S38" i="11"/>
  <c r="T38" i="11"/>
  <c r="U38" i="11"/>
  <c r="V38" i="11"/>
  <c r="W38" i="11"/>
  <c r="X38" i="11"/>
  <c r="Y38" i="11"/>
  <c r="Z38" i="11"/>
  <c r="F39" i="11"/>
  <c r="G39" i="11"/>
  <c r="H39" i="11"/>
  <c r="I39" i="11"/>
  <c r="J39" i="11"/>
  <c r="K39" i="11"/>
  <c r="L39" i="11"/>
  <c r="M39" i="11"/>
  <c r="N39" i="11"/>
  <c r="O39" i="11"/>
  <c r="P39" i="11"/>
  <c r="Q39" i="11"/>
  <c r="R39" i="11"/>
  <c r="S39" i="11"/>
  <c r="T39" i="11"/>
  <c r="U39" i="11"/>
  <c r="V39" i="11"/>
  <c r="W39" i="11"/>
  <c r="X39" i="11"/>
  <c r="Y39" i="11"/>
  <c r="Z39" i="11"/>
  <c r="F40" i="11"/>
  <c r="G40" i="11"/>
  <c r="H40" i="11"/>
  <c r="I40" i="11"/>
  <c r="J40" i="11"/>
  <c r="K40" i="11"/>
  <c r="L40" i="11"/>
  <c r="M40" i="11"/>
  <c r="N40" i="11"/>
  <c r="O40" i="11"/>
  <c r="P40" i="11"/>
  <c r="Q40" i="11"/>
  <c r="R40" i="11"/>
  <c r="S40" i="11"/>
  <c r="T40" i="11"/>
  <c r="U40" i="11"/>
  <c r="V40" i="11"/>
  <c r="W40" i="11"/>
  <c r="X40" i="11"/>
  <c r="Y40" i="11"/>
  <c r="Z40" i="11"/>
  <c r="F41" i="11"/>
  <c r="G41" i="11"/>
  <c r="H41" i="11"/>
  <c r="I41" i="11"/>
  <c r="J41" i="11"/>
  <c r="K41" i="11"/>
  <c r="L41" i="11"/>
  <c r="M41" i="11"/>
  <c r="N41" i="11"/>
  <c r="O41" i="11"/>
  <c r="P41" i="11"/>
  <c r="Q41" i="11"/>
  <c r="R41" i="11"/>
  <c r="S41" i="11"/>
  <c r="T41" i="11"/>
  <c r="U41" i="11"/>
  <c r="V41" i="11"/>
  <c r="W41" i="11"/>
  <c r="X41" i="11"/>
  <c r="Y41" i="11"/>
  <c r="Z41" i="11"/>
  <c r="F42" i="11"/>
  <c r="G42" i="11"/>
  <c r="H42" i="11"/>
  <c r="I42" i="11"/>
  <c r="J42" i="11"/>
  <c r="K42" i="11"/>
  <c r="L42" i="11"/>
  <c r="M42" i="11"/>
  <c r="N42" i="11"/>
  <c r="O42" i="11"/>
  <c r="P42" i="11"/>
  <c r="Q42" i="11"/>
  <c r="R42" i="11"/>
  <c r="S42" i="11"/>
  <c r="T42" i="11"/>
  <c r="U42" i="11"/>
  <c r="V42" i="11"/>
  <c r="W42" i="11"/>
  <c r="X42" i="11"/>
  <c r="Y42" i="11"/>
  <c r="Z42" i="11"/>
  <c r="F43" i="11"/>
  <c r="G43" i="11"/>
  <c r="H43" i="11"/>
  <c r="I43" i="11"/>
  <c r="J43" i="11"/>
  <c r="K43" i="11"/>
  <c r="L43" i="11"/>
  <c r="M43" i="11"/>
  <c r="N43" i="11"/>
  <c r="O43" i="11"/>
  <c r="P43" i="11"/>
  <c r="Q43" i="11"/>
  <c r="R43" i="11"/>
  <c r="S43" i="11"/>
  <c r="T43" i="11"/>
  <c r="U43" i="11"/>
  <c r="V43" i="11"/>
  <c r="W43" i="11"/>
  <c r="X43" i="11"/>
  <c r="Y43" i="11"/>
  <c r="Z43" i="11"/>
  <c r="F44" i="11"/>
  <c r="G44" i="11"/>
  <c r="H44" i="11"/>
  <c r="I44" i="11"/>
  <c r="J44" i="11"/>
  <c r="K44" i="11"/>
  <c r="L44" i="11"/>
  <c r="M44" i="11"/>
  <c r="N44" i="11"/>
  <c r="O44" i="11"/>
  <c r="P44" i="11"/>
  <c r="Q44" i="11"/>
  <c r="R44" i="11"/>
  <c r="S44" i="11"/>
  <c r="T44" i="11"/>
  <c r="U44" i="11"/>
  <c r="V44" i="11"/>
  <c r="W44" i="11"/>
  <c r="X44" i="11"/>
  <c r="Y44" i="11"/>
  <c r="Z44" i="11"/>
  <c r="F45" i="11"/>
  <c r="G45" i="11"/>
  <c r="H45" i="11"/>
  <c r="I45" i="11"/>
  <c r="J45" i="11"/>
  <c r="K45" i="11"/>
  <c r="L45" i="11"/>
  <c r="M45" i="11"/>
  <c r="N45" i="11"/>
  <c r="O45" i="11"/>
  <c r="P45" i="11"/>
  <c r="Q45" i="11"/>
  <c r="R45" i="11"/>
  <c r="S45" i="11"/>
  <c r="T45" i="11"/>
  <c r="U45" i="11"/>
  <c r="V45" i="11"/>
  <c r="W45" i="11"/>
  <c r="X45" i="11"/>
  <c r="Y45" i="11"/>
  <c r="Z45" i="11"/>
  <c r="F46" i="11"/>
  <c r="G46" i="11"/>
  <c r="H46" i="11"/>
  <c r="I46" i="11"/>
  <c r="J46" i="11"/>
  <c r="K46" i="11"/>
  <c r="L46" i="11"/>
  <c r="M46" i="11"/>
  <c r="N46" i="11"/>
  <c r="O46" i="11"/>
  <c r="P46" i="11"/>
  <c r="Q46" i="11"/>
  <c r="R46" i="11"/>
  <c r="S46" i="11"/>
  <c r="T46" i="11"/>
  <c r="U46" i="11"/>
  <c r="V46" i="11"/>
  <c r="W46" i="11"/>
  <c r="X46" i="11"/>
  <c r="Y46" i="11"/>
  <c r="Z46" i="11"/>
  <c r="F47" i="11"/>
  <c r="G47" i="11"/>
  <c r="H47" i="11"/>
  <c r="I47" i="11"/>
  <c r="J47" i="11"/>
  <c r="K47" i="11"/>
  <c r="L47" i="11"/>
  <c r="M47" i="11"/>
  <c r="N47" i="11"/>
  <c r="O47" i="11"/>
  <c r="P47" i="11"/>
  <c r="Q47" i="11"/>
  <c r="R47" i="11"/>
  <c r="S47" i="11"/>
  <c r="T47" i="11"/>
  <c r="U47" i="11"/>
  <c r="V47" i="11"/>
  <c r="W47" i="11"/>
  <c r="X47" i="11"/>
  <c r="Y47" i="11"/>
  <c r="Z47" i="11"/>
  <c r="F48" i="11"/>
  <c r="G48" i="11"/>
  <c r="H48" i="11"/>
  <c r="I48" i="11"/>
  <c r="J48" i="11"/>
  <c r="K48" i="11"/>
  <c r="L48" i="11"/>
  <c r="M48" i="11"/>
  <c r="N48" i="11"/>
  <c r="O48" i="11"/>
  <c r="P48" i="11"/>
  <c r="Q48" i="11"/>
  <c r="R48" i="11"/>
  <c r="S48" i="11"/>
  <c r="T48" i="11"/>
  <c r="U48" i="11"/>
  <c r="V48" i="11"/>
  <c r="W48" i="11"/>
  <c r="X48" i="11"/>
  <c r="Y48" i="11"/>
  <c r="Z48" i="11"/>
  <c r="F49" i="11"/>
  <c r="G49" i="11"/>
  <c r="H49" i="11"/>
  <c r="I49" i="11"/>
  <c r="J49" i="11"/>
  <c r="K49" i="11"/>
  <c r="L49" i="11"/>
  <c r="M49" i="11"/>
  <c r="N49" i="11"/>
  <c r="O49" i="11"/>
  <c r="P49" i="11"/>
  <c r="Q49" i="11"/>
  <c r="R49" i="11"/>
  <c r="S49" i="11"/>
  <c r="T49" i="11"/>
  <c r="U49" i="11"/>
  <c r="V49" i="11"/>
  <c r="W49" i="11"/>
  <c r="X49" i="11"/>
  <c r="Y49" i="11"/>
  <c r="Z49" i="11"/>
  <c r="F50" i="11"/>
  <c r="G50" i="11"/>
  <c r="H50" i="11"/>
  <c r="I50" i="11"/>
  <c r="J50" i="11"/>
  <c r="K50" i="11"/>
  <c r="L50" i="11"/>
  <c r="M50" i="11"/>
  <c r="N50" i="11"/>
  <c r="O50" i="11"/>
  <c r="P50" i="11"/>
  <c r="Q50" i="11"/>
  <c r="R50" i="11"/>
  <c r="S50" i="11"/>
  <c r="T50" i="11"/>
  <c r="U50" i="11"/>
  <c r="V50" i="11"/>
  <c r="W50" i="11"/>
  <c r="X50" i="11"/>
  <c r="Y50" i="11"/>
  <c r="Z50" i="11"/>
  <c r="F51" i="11"/>
  <c r="G51" i="11"/>
  <c r="H51" i="11"/>
  <c r="I51" i="11"/>
  <c r="J51" i="11"/>
  <c r="K51" i="11"/>
  <c r="L51" i="11"/>
  <c r="M51" i="11"/>
  <c r="N51" i="11"/>
  <c r="O51" i="11"/>
  <c r="P51" i="11"/>
  <c r="Q51" i="11"/>
  <c r="R51" i="11"/>
  <c r="S51" i="11"/>
  <c r="T51" i="11"/>
  <c r="U51" i="11"/>
  <c r="V51" i="11"/>
  <c r="W51" i="11"/>
  <c r="X51" i="11"/>
  <c r="Y51" i="11"/>
  <c r="Z51" i="11"/>
  <c r="F52" i="11"/>
  <c r="G52" i="11"/>
  <c r="H52" i="11"/>
  <c r="I52" i="11"/>
  <c r="J52" i="11"/>
  <c r="K52" i="11"/>
  <c r="L52" i="11"/>
  <c r="M52" i="11"/>
  <c r="N52" i="11"/>
  <c r="O52" i="11"/>
  <c r="P52" i="11"/>
  <c r="Q52" i="11"/>
  <c r="R52" i="11"/>
  <c r="S52" i="11"/>
  <c r="T52" i="11"/>
  <c r="U52" i="11"/>
  <c r="V52" i="11"/>
  <c r="W52" i="11"/>
  <c r="X52" i="11"/>
  <c r="Y52" i="11"/>
  <c r="Z52" i="11"/>
  <c r="F53" i="11"/>
  <c r="G53" i="11"/>
  <c r="H53" i="11"/>
  <c r="I53" i="11"/>
  <c r="J53" i="11"/>
  <c r="K53" i="11"/>
  <c r="L53" i="11"/>
  <c r="M53" i="11"/>
  <c r="N53" i="11"/>
  <c r="O53" i="11"/>
  <c r="P53" i="11"/>
  <c r="Q53" i="11"/>
  <c r="R53" i="11"/>
  <c r="S53" i="11"/>
  <c r="T53" i="11"/>
  <c r="U53" i="11"/>
  <c r="V53" i="11"/>
  <c r="W53" i="11"/>
  <c r="X53" i="11"/>
  <c r="Y53" i="11"/>
  <c r="Z53" i="11"/>
  <c r="F54" i="11"/>
  <c r="G54" i="11"/>
  <c r="H54" i="11"/>
  <c r="I54" i="11"/>
  <c r="J54" i="11"/>
  <c r="K54" i="11"/>
  <c r="L54" i="11"/>
  <c r="M54" i="11"/>
  <c r="N54" i="11"/>
  <c r="O54" i="11"/>
  <c r="P54" i="11"/>
  <c r="Q54" i="11"/>
  <c r="R54" i="11"/>
  <c r="S54" i="11"/>
  <c r="T54" i="11"/>
  <c r="U54" i="11"/>
  <c r="V54" i="11"/>
  <c r="W54" i="11"/>
  <c r="X54" i="11"/>
  <c r="Y54" i="11"/>
  <c r="Z54" i="11"/>
  <c r="F55" i="11"/>
  <c r="G55" i="11"/>
  <c r="H55" i="11"/>
  <c r="I55" i="11"/>
  <c r="J55" i="11"/>
  <c r="K55" i="11"/>
  <c r="L55" i="11"/>
  <c r="M55" i="11"/>
  <c r="N55" i="11"/>
  <c r="O55" i="11"/>
  <c r="P55" i="11"/>
  <c r="Q55" i="11"/>
  <c r="R55" i="11"/>
  <c r="S55" i="11"/>
  <c r="T55" i="11"/>
  <c r="U55" i="11"/>
  <c r="V55" i="11"/>
  <c r="W55" i="11"/>
  <c r="X55" i="11"/>
  <c r="Y55" i="11"/>
  <c r="Z55" i="11"/>
  <c r="F56" i="11"/>
  <c r="G56" i="11"/>
  <c r="H56" i="11"/>
  <c r="I56" i="11"/>
  <c r="J56" i="11"/>
  <c r="K56" i="11"/>
  <c r="L56" i="11"/>
  <c r="M56" i="11"/>
  <c r="N56" i="11"/>
  <c r="O56" i="11"/>
  <c r="P56" i="11"/>
  <c r="Q56" i="11"/>
  <c r="R56" i="11"/>
  <c r="S56" i="11"/>
  <c r="T56" i="11"/>
  <c r="U56" i="11"/>
  <c r="V56" i="11"/>
  <c r="W56" i="11"/>
  <c r="X56" i="11"/>
  <c r="Y56" i="11"/>
  <c r="Z56" i="11"/>
  <c r="F57" i="11"/>
  <c r="G57" i="11"/>
  <c r="H57" i="11"/>
  <c r="I57" i="11"/>
  <c r="J57" i="11"/>
  <c r="K57" i="11"/>
  <c r="L57" i="11"/>
  <c r="M57" i="11"/>
  <c r="N57" i="11"/>
  <c r="O57" i="11"/>
  <c r="P57" i="11"/>
  <c r="Q57" i="11"/>
  <c r="R57" i="11"/>
  <c r="S57" i="11"/>
  <c r="T57" i="11"/>
  <c r="U57" i="11"/>
  <c r="V57" i="11"/>
  <c r="W57" i="11"/>
  <c r="X57" i="11"/>
  <c r="Y57" i="11"/>
  <c r="Z57" i="11"/>
  <c r="F58" i="11"/>
  <c r="G58" i="11"/>
  <c r="H58" i="11"/>
  <c r="I58" i="11"/>
  <c r="J58" i="11"/>
  <c r="K58" i="11"/>
  <c r="L58" i="11"/>
  <c r="M58" i="11"/>
  <c r="N58" i="11"/>
  <c r="O58" i="11"/>
  <c r="P58" i="11"/>
  <c r="Q58" i="11"/>
  <c r="R58" i="11"/>
  <c r="S58" i="11"/>
  <c r="T58" i="11"/>
  <c r="U58" i="11"/>
  <c r="V58" i="11"/>
  <c r="W58" i="11"/>
  <c r="X58" i="11"/>
  <c r="Y58" i="11"/>
  <c r="Z58" i="11"/>
  <c r="F59" i="11"/>
  <c r="G59" i="11"/>
  <c r="H59" i="11"/>
  <c r="I59" i="11"/>
  <c r="J59" i="11"/>
  <c r="K59" i="11"/>
  <c r="L59" i="11"/>
  <c r="M59" i="11"/>
  <c r="N59" i="11"/>
  <c r="O59" i="11"/>
  <c r="P59" i="11"/>
  <c r="Q59" i="11"/>
  <c r="R59" i="11"/>
  <c r="S59" i="11"/>
  <c r="T59" i="11"/>
  <c r="U59" i="11"/>
  <c r="V59" i="11"/>
  <c r="W59" i="11"/>
  <c r="X59" i="11"/>
  <c r="Y59" i="11"/>
  <c r="Z59" i="11"/>
  <c r="F60" i="11"/>
  <c r="G60" i="11"/>
  <c r="H60" i="11"/>
  <c r="I60" i="11"/>
  <c r="J60" i="11"/>
  <c r="K60" i="11"/>
  <c r="L60" i="11"/>
  <c r="M60" i="11"/>
  <c r="N60" i="11"/>
  <c r="O60" i="11"/>
  <c r="P60" i="11"/>
  <c r="Q60" i="11"/>
  <c r="R60" i="11"/>
  <c r="S60" i="11"/>
  <c r="T60" i="11"/>
  <c r="U60" i="11"/>
  <c r="V60" i="11"/>
  <c r="W60" i="11"/>
  <c r="X60" i="11"/>
  <c r="Y60" i="11"/>
  <c r="Z60" i="11"/>
  <c r="F61" i="11"/>
  <c r="G61" i="11"/>
  <c r="H61" i="11"/>
  <c r="I61" i="11"/>
  <c r="J61" i="11"/>
  <c r="K61" i="11"/>
  <c r="L61" i="11"/>
  <c r="M61" i="11"/>
  <c r="N61" i="11"/>
  <c r="O61" i="11"/>
  <c r="P61" i="11"/>
  <c r="Q61" i="11"/>
  <c r="R61" i="11"/>
  <c r="S61" i="11"/>
  <c r="T61" i="11"/>
  <c r="U61" i="11"/>
  <c r="V61" i="11"/>
  <c r="W61" i="11"/>
  <c r="X61" i="11"/>
  <c r="Y61" i="11"/>
  <c r="Z61" i="11"/>
  <c r="F62" i="11"/>
  <c r="G62" i="11"/>
  <c r="H62" i="11"/>
  <c r="I62" i="11"/>
  <c r="J62" i="11"/>
  <c r="K62" i="11"/>
  <c r="L62" i="11"/>
  <c r="M62" i="11"/>
  <c r="N62" i="11"/>
  <c r="O62" i="11"/>
  <c r="P62" i="11"/>
  <c r="Q62" i="11"/>
  <c r="R62" i="11"/>
  <c r="S62" i="11"/>
  <c r="T62" i="11"/>
  <c r="U62" i="11"/>
  <c r="V62" i="11"/>
  <c r="W62" i="11"/>
  <c r="X62" i="11"/>
  <c r="Y62" i="11"/>
  <c r="Z62" i="11"/>
  <c r="F63" i="11"/>
  <c r="G63" i="11"/>
  <c r="H63" i="11"/>
  <c r="I63" i="11"/>
  <c r="J63" i="11"/>
  <c r="K63" i="11"/>
  <c r="L63" i="11"/>
  <c r="M63" i="11"/>
  <c r="N63" i="11"/>
  <c r="O63" i="11"/>
  <c r="P63" i="11"/>
  <c r="Q63" i="11"/>
  <c r="R63" i="11"/>
  <c r="S63" i="11"/>
  <c r="T63" i="11"/>
  <c r="U63" i="11"/>
  <c r="V63" i="11"/>
  <c r="W63" i="11"/>
  <c r="X63" i="11"/>
  <c r="Y63" i="11"/>
  <c r="Z63" i="11"/>
  <c r="F64" i="11"/>
  <c r="G64" i="11"/>
  <c r="H64" i="11"/>
  <c r="I64" i="11"/>
  <c r="J64" i="11"/>
  <c r="K64" i="11"/>
  <c r="L64" i="11"/>
  <c r="M64" i="11"/>
  <c r="N64" i="11"/>
  <c r="O64" i="11"/>
  <c r="P64" i="11"/>
  <c r="Q64" i="11"/>
  <c r="R64" i="11"/>
  <c r="S64" i="11"/>
  <c r="T64" i="11"/>
  <c r="U64" i="11"/>
  <c r="V64" i="11"/>
  <c r="W64" i="11"/>
  <c r="X64" i="11"/>
  <c r="Y64" i="11"/>
  <c r="Z64" i="11"/>
  <c r="F65" i="11"/>
  <c r="G65" i="11"/>
  <c r="H65" i="11"/>
  <c r="I65" i="11"/>
  <c r="J65" i="11"/>
  <c r="K65" i="11"/>
  <c r="L65" i="11"/>
  <c r="M65" i="11"/>
  <c r="N65" i="11"/>
  <c r="O65" i="11"/>
  <c r="P65" i="11"/>
  <c r="Q65" i="11"/>
  <c r="R65" i="11"/>
  <c r="S65" i="11"/>
  <c r="T65" i="11"/>
  <c r="U65" i="11"/>
  <c r="V65" i="11"/>
  <c r="W65" i="11"/>
  <c r="X65" i="11"/>
  <c r="Y65" i="11"/>
  <c r="Z65" i="11"/>
  <c r="F66" i="11"/>
  <c r="G66" i="11"/>
  <c r="H66" i="11"/>
  <c r="I66" i="11"/>
  <c r="J66" i="11"/>
  <c r="K66" i="11"/>
  <c r="L66" i="11"/>
  <c r="M66" i="11"/>
  <c r="N66" i="11"/>
  <c r="O66" i="11"/>
  <c r="P66" i="11"/>
  <c r="Q66" i="11"/>
  <c r="R66" i="11"/>
  <c r="S66" i="11"/>
  <c r="T66" i="11"/>
  <c r="U66" i="11"/>
  <c r="V66" i="11"/>
  <c r="W66" i="11"/>
  <c r="X66" i="11"/>
  <c r="Y66" i="11"/>
  <c r="Z66" i="11"/>
  <c r="F67" i="11"/>
  <c r="G67" i="11"/>
  <c r="H67" i="11"/>
  <c r="I67" i="11"/>
  <c r="J67" i="11"/>
  <c r="K67" i="11"/>
  <c r="L67" i="11"/>
  <c r="M67" i="11"/>
  <c r="N67" i="11"/>
  <c r="O67" i="11"/>
  <c r="P67" i="11"/>
  <c r="Q67" i="11"/>
  <c r="R67" i="11"/>
  <c r="S67" i="11"/>
  <c r="T67" i="11"/>
  <c r="U67" i="11"/>
  <c r="V67" i="11"/>
  <c r="W67" i="11"/>
  <c r="X67" i="11"/>
  <c r="Y67" i="11"/>
  <c r="Z67" i="11"/>
  <c r="F68" i="11"/>
  <c r="G68" i="11"/>
  <c r="H68" i="11"/>
  <c r="I68" i="11"/>
  <c r="J68" i="11"/>
  <c r="K68" i="11"/>
  <c r="L68" i="11"/>
  <c r="M68" i="11"/>
  <c r="N68" i="11"/>
  <c r="O68" i="11"/>
  <c r="P68" i="11"/>
  <c r="Q68" i="11"/>
  <c r="R68" i="11"/>
  <c r="S68" i="11"/>
  <c r="T68" i="11"/>
  <c r="U68" i="11"/>
  <c r="V68" i="11"/>
  <c r="W68" i="11"/>
  <c r="X68" i="11"/>
  <c r="Y68" i="11"/>
  <c r="Z68" i="11"/>
  <c r="F69" i="11"/>
  <c r="G69" i="11"/>
  <c r="H69" i="11"/>
  <c r="I69" i="11"/>
  <c r="J69" i="11"/>
  <c r="K69" i="11"/>
  <c r="L69" i="11"/>
  <c r="M69" i="11"/>
  <c r="N69" i="11"/>
  <c r="O69" i="11"/>
  <c r="P69" i="11"/>
  <c r="Q69" i="11"/>
  <c r="R69" i="11"/>
  <c r="S69" i="11"/>
  <c r="T69" i="11"/>
  <c r="U69" i="11"/>
  <c r="V69" i="11"/>
  <c r="W69" i="11"/>
  <c r="X69" i="11"/>
  <c r="Y69" i="11"/>
  <c r="Z69" i="11"/>
  <c r="F70" i="11"/>
  <c r="G70" i="11"/>
  <c r="H70" i="11"/>
  <c r="I70" i="11"/>
  <c r="J70" i="11"/>
  <c r="K70" i="11"/>
  <c r="L70" i="11"/>
  <c r="M70" i="11"/>
  <c r="N70" i="11"/>
  <c r="O70" i="11"/>
  <c r="P70" i="11"/>
  <c r="Q70" i="11"/>
  <c r="R70" i="11"/>
  <c r="S70" i="11"/>
  <c r="T70" i="11"/>
  <c r="U70" i="11"/>
  <c r="V70" i="11"/>
  <c r="W70" i="11"/>
  <c r="X70" i="11"/>
  <c r="Y70" i="11"/>
  <c r="Z70" i="11"/>
  <c r="F71" i="11"/>
  <c r="G71" i="11"/>
  <c r="H71" i="11"/>
  <c r="I71" i="11"/>
  <c r="J71" i="11"/>
  <c r="K71" i="11"/>
  <c r="L71" i="11"/>
  <c r="M71" i="11"/>
  <c r="N71" i="11"/>
  <c r="O71" i="11"/>
  <c r="P71" i="11"/>
  <c r="Q71" i="11"/>
  <c r="R71" i="11"/>
  <c r="S71" i="11"/>
  <c r="T71" i="11"/>
  <c r="U71" i="11"/>
  <c r="V71" i="11"/>
  <c r="W71" i="11"/>
  <c r="X71" i="11"/>
  <c r="Y71" i="11"/>
  <c r="Z71" i="11"/>
  <c r="F72" i="11"/>
  <c r="G72" i="11"/>
  <c r="H72" i="11"/>
  <c r="I72" i="11"/>
  <c r="J72" i="11"/>
  <c r="K72" i="11"/>
  <c r="L72" i="11"/>
  <c r="M72" i="11"/>
  <c r="N72" i="11"/>
  <c r="O72" i="11"/>
  <c r="P72" i="11"/>
  <c r="Q72" i="11"/>
  <c r="R72" i="11"/>
  <c r="S72" i="11"/>
  <c r="T72" i="11"/>
  <c r="U72" i="11"/>
  <c r="V72" i="11"/>
  <c r="W72" i="11"/>
  <c r="X72" i="11"/>
  <c r="Y72" i="11"/>
  <c r="Z72" i="11"/>
  <c r="F73" i="11"/>
  <c r="G73" i="11"/>
  <c r="H73" i="11"/>
  <c r="I73" i="11"/>
  <c r="J73" i="11"/>
  <c r="K73" i="11"/>
  <c r="L73" i="11"/>
  <c r="M73" i="11"/>
  <c r="N73" i="11"/>
  <c r="O73" i="11"/>
  <c r="P73" i="11"/>
  <c r="Q73" i="11"/>
  <c r="R73" i="11"/>
  <c r="S73" i="11"/>
  <c r="T73" i="11"/>
  <c r="U73" i="11"/>
  <c r="V73" i="11"/>
  <c r="W73" i="11"/>
  <c r="X73" i="11"/>
  <c r="Y73" i="11"/>
  <c r="Z73" i="11"/>
  <c r="F74" i="11"/>
  <c r="G74" i="11"/>
  <c r="H74" i="11"/>
  <c r="I74" i="11"/>
  <c r="J74" i="11"/>
  <c r="K74" i="11"/>
  <c r="L74" i="11"/>
  <c r="M74" i="11"/>
  <c r="N74" i="11"/>
  <c r="O74" i="11"/>
  <c r="P74" i="11"/>
  <c r="Q74" i="11"/>
  <c r="R74" i="11"/>
  <c r="S74" i="11"/>
  <c r="T74" i="11"/>
  <c r="U74" i="11"/>
  <c r="V74" i="11"/>
  <c r="W74" i="11"/>
  <c r="X74" i="11"/>
  <c r="Y74" i="11"/>
  <c r="Z74" i="11"/>
  <c r="F75" i="11"/>
  <c r="G75" i="11"/>
  <c r="H75" i="11"/>
  <c r="I75" i="11"/>
  <c r="J75" i="11"/>
  <c r="K75" i="11"/>
  <c r="L75" i="11"/>
  <c r="M75" i="11"/>
  <c r="N75" i="11"/>
  <c r="O75" i="11"/>
  <c r="P75" i="11"/>
  <c r="Q75" i="11"/>
  <c r="R75" i="11"/>
  <c r="S75" i="11"/>
  <c r="T75" i="11"/>
  <c r="U75" i="11"/>
  <c r="V75" i="11"/>
  <c r="W75" i="11"/>
  <c r="X75" i="11"/>
  <c r="Y75" i="11"/>
  <c r="Z75" i="11"/>
  <c r="F76" i="11"/>
  <c r="G76" i="11"/>
  <c r="H76" i="11"/>
  <c r="I76" i="11"/>
  <c r="J76" i="11"/>
  <c r="K76" i="11"/>
  <c r="L76" i="11"/>
  <c r="M76" i="11"/>
  <c r="N76" i="11"/>
  <c r="O76" i="11"/>
  <c r="P76" i="11"/>
  <c r="Q76" i="11"/>
  <c r="R76" i="11"/>
  <c r="S76" i="11"/>
  <c r="T76" i="11"/>
  <c r="U76" i="11"/>
  <c r="V76" i="11"/>
  <c r="W76" i="11"/>
  <c r="X76" i="11"/>
  <c r="Y76" i="11"/>
  <c r="Z76" i="11"/>
  <c r="F77" i="11"/>
  <c r="G77" i="11"/>
  <c r="H77" i="11"/>
  <c r="I77" i="11"/>
  <c r="J77" i="11"/>
  <c r="K77" i="11"/>
  <c r="L77" i="11"/>
  <c r="M77" i="11"/>
  <c r="N77" i="11"/>
  <c r="O77" i="11"/>
  <c r="P77" i="11"/>
  <c r="Q77" i="11"/>
  <c r="R77" i="11"/>
  <c r="S77" i="11"/>
  <c r="T77" i="11"/>
  <c r="U77" i="11"/>
  <c r="V77" i="11"/>
  <c r="W77" i="11"/>
  <c r="X77" i="11"/>
  <c r="Y77" i="11"/>
  <c r="Z77" i="11"/>
  <c r="F78" i="11"/>
  <c r="G78" i="11"/>
  <c r="H78" i="11"/>
  <c r="I78" i="11"/>
  <c r="J78" i="11"/>
  <c r="K78" i="11"/>
  <c r="L78" i="11"/>
  <c r="M78" i="11"/>
  <c r="N78" i="11"/>
  <c r="O78" i="11"/>
  <c r="P78" i="11"/>
  <c r="Q78" i="11"/>
  <c r="R78" i="11"/>
  <c r="S78" i="11"/>
  <c r="T78" i="11"/>
  <c r="U78" i="11"/>
  <c r="V78" i="11"/>
  <c r="W78" i="11"/>
  <c r="X78" i="11"/>
  <c r="Y78" i="11"/>
  <c r="Z78" i="11"/>
  <c r="F79" i="11"/>
  <c r="G79" i="11"/>
  <c r="H79" i="11"/>
  <c r="I79" i="11"/>
  <c r="J79" i="11"/>
  <c r="K79" i="11"/>
  <c r="L79" i="11"/>
  <c r="M79" i="11"/>
  <c r="N79" i="11"/>
  <c r="O79" i="11"/>
  <c r="P79" i="11"/>
  <c r="Q79" i="11"/>
  <c r="R79" i="11"/>
  <c r="S79" i="11"/>
  <c r="T79" i="11"/>
  <c r="U79" i="11"/>
  <c r="V79" i="11"/>
  <c r="W79" i="11"/>
  <c r="X79" i="11"/>
  <c r="Y79" i="11"/>
  <c r="Z79" i="11"/>
  <c r="F80" i="11"/>
  <c r="G80" i="11"/>
  <c r="H80" i="11"/>
  <c r="I80" i="11"/>
  <c r="J80" i="11"/>
  <c r="K80" i="11"/>
  <c r="L80" i="11"/>
  <c r="M80" i="11"/>
  <c r="N80" i="11"/>
  <c r="O80" i="11"/>
  <c r="P80" i="11"/>
  <c r="Q80" i="11"/>
  <c r="R80" i="11"/>
  <c r="S80" i="11"/>
  <c r="T80" i="11"/>
  <c r="U80" i="11"/>
  <c r="V80" i="11"/>
  <c r="W80" i="11"/>
  <c r="X80" i="11"/>
  <c r="Y80" i="11"/>
  <c r="Z80" i="11"/>
  <c r="F81" i="11"/>
  <c r="G81" i="11"/>
  <c r="H81" i="11"/>
  <c r="I81" i="11"/>
  <c r="J81" i="11"/>
  <c r="K81" i="11"/>
  <c r="L81" i="11"/>
  <c r="M81" i="11"/>
  <c r="N81" i="11"/>
  <c r="O81" i="11"/>
  <c r="P81" i="11"/>
  <c r="Q81" i="11"/>
  <c r="R81" i="11"/>
  <c r="S81" i="11"/>
  <c r="T81" i="11"/>
  <c r="U81" i="11"/>
  <c r="V81" i="11"/>
  <c r="W81" i="11"/>
  <c r="X81" i="11"/>
  <c r="Y81" i="11"/>
  <c r="Z81" i="11"/>
  <c r="F82" i="11"/>
  <c r="G82" i="11"/>
  <c r="H82" i="11"/>
  <c r="I82" i="11"/>
  <c r="J82" i="11"/>
  <c r="K82" i="11"/>
  <c r="L82" i="11"/>
  <c r="M82" i="11"/>
  <c r="N82" i="11"/>
  <c r="O82" i="11"/>
  <c r="P82" i="11"/>
  <c r="Q82" i="11"/>
  <c r="R82" i="11"/>
  <c r="S82" i="11"/>
  <c r="T82" i="11"/>
  <c r="U82" i="11"/>
  <c r="V82" i="11"/>
  <c r="W82" i="11"/>
  <c r="X82" i="11"/>
  <c r="Y82" i="11"/>
  <c r="Z82" i="11"/>
  <c r="F83" i="11"/>
  <c r="G83" i="11"/>
  <c r="H83" i="11"/>
  <c r="I83" i="11"/>
  <c r="J83" i="11"/>
  <c r="K83" i="11"/>
  <c r="L83" i="11"/>
  <c r="M83" i="11"/>
  <c r="N83" i="11"/>
  <c r="O83" i="11"/>
  <c r="P83" i="11"/>
  <c r="Q83" i="11"/>
  <c r="R83" i="11"/>
  <c r="S83" i="11"/>
  <c r="T83" i="11"/>
  <c r="U83" i="11"/>
  <c r="V83" i="11"/>
  <c r="W83" i="11"/>
  <c r="X83" i="11"/>
  <c r="Y83" i="11"/>
  <c r="Z83" i="11"/>
  <c r="F84" i="11"/>
  <c r="G84" i="11"/>
  <c r="H84" i="11"/>
  <c r="I84" i="11"/>
  <c r="J84" i="11"/>
  <c r="K84" i="11"/>
  <c r="L84" i="11"/>
  <c r="M84" i="11"/>
  <c r="N84" i="11"/>
  <c r="O84" i="11"/>
  <c r="P84" i="11"/>
  <c r="Q84" i="11"/>
  <c r="R84" i="11"/>
  <c r="S84" i="11"/>
  <c r="T84" i="11"/>
  <c r="U84" i="11"/>
  <c r="V84" i="11"/>
  <c r="W84" i="11"/>
  <c r="X84" i="11"/>
  <c r="Y84" i="11"/>
  <c r="Z84" i="11"/>
  <c r="F85" i="11"/>
  <c r="G85" i="11"/>
  <c r="H85" i="11"/>
  <c r="I85" i="11"/>
  <c r="J85" i="11"/>
  <c r="K85" i="11"/>
  <c r="L85" i="11"/>
  <c r="M85" i="11"/>
  <c r="N85" i="11"/>
  <c r="O85" i="11"/>
  <c r="P85" i="11"/>
  <c r="Q85" i="11"/>
  <c r="R85" i="11"/>
  <c r="S85" i="11"/>
  <c r="T85" i="11"/>
  <c r="U85" i="11"/>
  <c r="V85" i="11"/>
  <c r="W85" i="11"/>
  <c r="X85" i="11"/>
  <c r="Y85" i="11"/>
  <c r="Z85" i="11"/>
  <c r="F86" i="11"/>
  <c r="G86" i="11"/>
  <c r="H86" i="11"/>
  <c r="I86" i="11"/>
  <c r="J86" i="11"/>
  <c r="K86" i="11"/>
  <c r="L86" i="11"/>
  <c r="M86" i="11"/>
  <c r="N86" i="11"/>
  <c r="O86" i="11"/>
  <c r="P86" i="11"/>
  <c r="Q86" i="11"/>
  <c r="R86" i="11"/>
  <c r="S86" i="11"/>
  <c r="T86" i="11"/>
  <c r="U86" i="11"/>
  <c r="V86" i="11"/>
  <c r="W86" i="11"/>
  <c r="X86" i="11"/>
  <c r="Y86" i="11"/>
  <c r="Z86" i="11"/>
  <c r="F87" i="11"/>
  <c r="G87" i="11"/>
  <c r="H87" i="11"/>
  <c r="I87" i="11"/>
  <c r="J87" i="11"/>
  <c r="K87" i="11"/>
  <c r="L87" i="11"/>
  <c r="M87" i="11"/>
  <c r="N87" i="11"/>
  <c r="O87" i="11"/>
  <c r="P87" i="11"/>
  <c r="Q87" i="11"/>
  <c r="R87" i="11"/>
  <c r="S87" i="11"/>
  <c r="T87" i="11"/>
  <c r="U87" i="11"/>
  <c r="V87" i="11"/>
  <c r="W87" i="11"/>
  <c r="X87" i="11"/>
  <c r="Y87" i="11"/>
  <c r="Z87" i="11"/>
  <c r="F88" i="11"/>
  <c r="G88" i="11"/>
  <c r="H88" i="11"/>
  <c r="I88" i="11"/>
  <c r="J88" i="11"/>
  <c r="K88" i="11"/>
  <c r="L88" i="11"/>
  <c r="M88" i="11"/>
  <c r="N88" i="11"/>
  <c r="O88" i="11"/>
  <c r="P88" i="11"/>
  <c r="Q88" i="11"/>
  <c r="R88" i="11"/>
  <c r="S88" i="11"/>
  <c r="T88" i="11"/>
  <c r="U88" i="11"/>
  <c r="V88" i="11"/>
  <c r="W88" i="11"/>
  <c r="X88" i="11"/>
  <c r="Y88" i="11"/>
  <c r="Z88" i="11"/>
  <c r="AC89" i="11"/>
  <c r="F89" i="11"/>
  <c r="AD89" i="11"/>
  <c r="G89" i="11"/>
  <c r="AE89" i="11"/>
  <c r="H89" i="11"/>
  <c r="AF89" i="11"/>
  <c r="I89" i="11"/>
  <c r="AG89" i="11"/>
  <c r="J89" i="11"/>
  <c r="AH89" i="11"/>
  <c r="K89" i="11"/>
  <c r="AI89" i="11"/>
  <c r="L89" i="11"/>
  <c r="AJ89" i="11"/>
  <c r="M89" i="11"/>
  <c r="AK89" i="11"/>
  <c r="N89" i="11"/>
  <c r="AL89" i="11"/>
  <c r="O89" i="11"/>
  <c r="AM89" i="11"/>
  <c r="P89" i="11"/>
  <c r="AN89" i="11"/>
  <c r="Q89" i="11"/>
  <c r="AO89" i="11"/>
  <c r="R89" i="11"/>
  <c r="AP89" i="11"/>
  <c r="S89" i="11"/>
  <c r="AQ89" i="11"/>
  <c r="T89" i="11"/>
  <c r="AR89" i="11"/>
  <c r="U89" i="11"/>
  <c r="AS89" i="11"/>
  <c r="V89" i="11"/>
  <c r="AT89" i="11"/>
  <c r="W89" i="11"/>
  <c r="AU89" i="11"/>
  <c r="X89" i="11"/>
  <c r="AV89" i="11"/>
  <c r="Y89" i="11"/>
  <c r="AW89" i="11"/>
  <c r="Z89" i="11"/>
  <c r="AC90" i="11"/>
  <c r="F90" i="11"/>
  <c r="AD90" i="11"/>
  <c r="G90" i="11"/>
  <c r="AE90" i="11"/>
  <c r="H90" i="11"/>
  <c r="AF90" i="11"/>
  <c r="I90" i="11"/>
  <c r="AG90" i="11"/>
  <c r="J90" i="11"/>
  <c r="AH90" i="11"/>
  <c r="K90" i="11"/>
  <c r="AI90" i="11"/>
  <c r="L90" i="11"/>
  <c r="AJ90" i="11"/>
  <c r="M90" i="11"/>
  <c r="AK90" i="11"/>
  <c r="N90" i="11"/>
  <c r="AL90" i="11"/>
  <c r="O90" i="11"/>
  <c r="AM90" i="11"/>
  <c r="P90" i="11"/>
  <c r="AN90" i="11"/>
  <c r="Q90" i="11"/>
  <c r="AO90" i="11"/>
  <c r="R90" i="11"/>
  <c r="AP90" i="11"/>
  <c r="S90" i="11"/>
  <c r="AQ90" i="11"/>
  <c r="T90" i="11"/>
  <c r="AR90" i="11"/>
  <c r="U90" i="11"/>
  <c r="AS90" i="11"/>
  <c r="V90" i="11"/>
  <c r="AT90" i="11"/>
  <c r="W90" i="11"/>
  <c r="AU90" i="11"/>
  <c r="X90" i="11"/>
  <c r="AV90" i="11"/>
  <c r="Y90" i="11"/>
  <c r="AW90" i="11"/>
  <c r="Z90" i="11"/>
  <c r="AC91" i="11"/>
  <c r="F91" i="11"/>
  <c r="AD91" i="11"/>
  <c r="G91" i="11"/>
  <c r="AE91" i="11"/>
  <c r="H91" i="11"/>
  <c r="AF91" i="11"/>
  <c r="I91" i="11"/>
  <c r="AG91" i="11"/>
  <c r="J91" i="11"/>
  <c r="AH91" i="11"/>
  <c r="K91" i="11"/>
  <c r="AI91" i="11"/>
  <c r="L91" i="11"/>
  <c r="AJ91" i="11"/>
  <c r="M91" i="11"/>
  <c r="AK91" i="11"/>
  <c r="N91" i="11"/>
  <c r="AL91" i="11"/>
  <c r="O91" i="11"/>
  <c r="AM91" i="11"/>
  <c r="P91" i="11"/>
  <c r="AN91" i="11"/>
  <c r="Q91" i="11"/>
  <c r="AO91" i="11"/>
  <c r="R91" i="11"/>
  <c r="AP91" i="11"/>
  <c r="S91" i="11"/>
  <c r="AQ91" i="11"/>
  <c r="T91" i="11"/>
  <c r="AR91" i="11"/>
  <c r="U91" i="11"/>
  <c r="AS91" i="11"/>
  <c r="V91" i="11"/>
  <c r="AT91" i="11"/>
  <c r="W91" i="11"/>
  <c r="AU91" i="11"/>
  <c r="X91" i="11"/>
  <c r="AV91" i="11"/>
  <c r="Y91" i="11"/>
  <c r="AW91" i="11"/>
  <c r="Z91" i="11"/>
  <c r="AC92" i="11"/>
  <c r="F92" i="11"/>
  <c r="AD92" i="11"/>
  <c r="G92" i="11"/>
  <c r="AE92" i="11"/>
  <c r="H92" i="11"/>
  <c r="AF92" i="11"/>
  <c r="I92" i="11"/>
  <c r="AG92" i="11"/>
  <c r="J92" i="11"/>
  <c r="AH92" i="11"/>
  <c r="K92" i="11"/>
  <c r="AI92" i="11"/>
  <c r="L92" i="11"/>
  <c r="AJ92" i="11"/>
  <c r="M92" i="11"/>
  <c r="AK92" i="11"/>
  <c r="N92" i="11"/>
  <c r="AL92" i="11"/>
  <c r="O92" i="11"/>
  <c r="AM92" i="11"/>
  <c r="P92" i="11"/>
  <c r="AN92" i="11"/>
  <c r="Q92" i="11"/>
  <c r="AO92" i="11"/>
  <c r="R92" i="11"/>
  <c r="AP92" i="11"/>
  <c r="S92" i="11"/>
  <c r="AQ92" i="11"/>
  <c r="T92" i="11"/>
  <c r="AR92" i="11"/>
  <c r="U92" i="11"/>
  <c r="AS92" i="11"/>
  <c r="V92" i="11"/>
  <c r="AT92" i="11"/>
  <c r="W92" i="11"/>
  <c r="AU92" i="11"/>
  <c r="X92" i="11"/>
  <c r="AV92" i="11"/>
  <c r="Y92" i="11"/>
  <c r="AW92" i="11"/>
  <c r="Z92" i="11"/>
  <c r="AC93" i="11"/>
  <c r="F93" i="11"/>
  <c r="AD93" i="11"/>
  <c r="G93" i="11"/>
  <c r="AE93" i="11"/>
  <c r="H93" i="11"/>
  <c r="AF93" i="11"/>
  <c r="I93" i="11"/>
  <c r="AG93" i="11"/>
  <c r="J93" i="11"/>
  <c r="AH93" i="11"/>
  <c r="K93" i="11"/>
  <c r="AI93" i="11"/>
  <c r="L93" i="11"/>
  <c r="AJ93" i="11"/>
  <c r="M93" i="11"/>
  <c r="AK93" i="11"/>
  <c r="N93" i="11"/>
  <c r="AL93" i="11"/>
  <c r="O93" i="11"/>
  <c r="AM93" i="11"/>
  <c r="P93" i="11"/>
  <c r="AN93" i="11"/>
  <c r="Q93" i="11"/>
  <c r="AO93" i="11"/>
  <c r="R93" i="11"/>
  <c r="AP93" i="11"/>
  <c r="S93" i="11"/>
  <c r="AQ93" i="11"/>
  <c r="T93" i="11"/>
  <c r="AR93" i="11"/>
  <c r="U93" i="11"/>
  <c r="AS93" i="11"/>
  <c r="V93" i="11"/>
  <c r="AT93" i="11"/>
  <c r="W93" i="11"/>
  <c r="AU93" i="11"/>
  <c r="X93" i="11"/>
  <c r="AV93" i="11"/>
  <c r="Y93" i="11"/>
  <c r="AW93" i="11"/>
  <c r="Z93" i="11"/>
  <c r="AC94" i="11"/>
  <c r="F94" i="11"/>
  <c r="AD94" i="11"/>
  <c r="G94" i="11"/>
  <c r="AE94" i="11"/>
  <c r="H94" i="11"/>
  <c r="AF94" i="11"/>
  <c r="I94" i="11"/>
  <c r="AG94" i="11"/>
  <c r="J94" i="11"/>
  <c r="AH94" i="11"/>
  <c r="K94" i="11"/>
  <c r="AI94" i="11"/>
  <c r="L94" i="11"/>
  <c r="AJ94" i="11"/>
  <c r="M94" i="11"/>
  <c r="AK94" i="11"/>
  <c r="N94" i="11"/>
  <c r="AL94" i="11"/>
  <c r="O94" i="11"/>
  <c r="AM94" i="11"/>
  <c r="P94" i="11"/>
  <c r="AN94" i="11"/>
  <c r="Q94" i="11"/>
  <c r="AO94" i="11"/>
  <c r="R94" i="11"/>
  <c r="AP94" i="11"/>
  <c r="S94" i="11"/>
  <c r="AQ94" i="11"/>
  <c r="T94" i="11"/>
  <c r="AR94" i="11"/>
  <c r="U94" i="11"/>
  <c r="AS94" i="11"/>
  <c r="V94" i="11"/>
  <c r="AT94" i="11"/>
  <c r="W94" i="11"/>
  <c r="AU94" i="11"/>
  <c r="X94" i="11"/>
  <c r="AV94" i="11"/>
  <c r="Y94" i="11"/>
  <c r="AW94" i="11"/>
  <c r="Z94" i="11"/>
  <c r="AC95" i="11"/>
  <c r="F95" i="11"/>
  <c r="AD95" i="11"/>
  <c r="G95" i="11"/>
  <c r="AE95" i="11"/>
  <c r="H95" i="11"/>
  <c r="AF95" i="11"/>
  <c r="I95" i="11"/>
  <c r="AG95" i="11"/>
  <c r="J95" i="11"/>
  <c r="AH95" i="11"/>
  <c r="K95" i="11"/>
  <c r="AI95" i="11"/>
  <c r="L95" i="11"/>
  <c r="AJ95" i="11"/>
  <c r="M95" i="11"/>
  <c r="AK95" i="11"/>
  <c r="N95" i="11"/>
  <c r="AL95" i="11"/>
  <c r="O95" i="11"/>
  <c r="AM95" i="11"/>
  <c r="P95" i="11"/>
  <c r="AN95" i="11"/>
  <c r="Q95" i="11"/>
  <c r="AO95" i="11"/>
  <c r="R95" i="11"/>
  <c r="AP95" i="11"/>
  <c r="S95" i="11"/>
  <c r="AQ95" i="11"/>
  <c r="T95" i="11"/>
  <c r="AR95" i="11"/>
  <c r="U95" i="11"/>
  <c r="AS95" i="11"/>
  <c r="V95" i="11"/>
  <c r="AT95" i="11"/>
  <c r="W95" i="11"/>
  <c r="AU95" i="11"/>
  <c r="X95" i="11"/>
  <c r="AV95" i="11"/>
  <c r="Y95" i="11"/>
  <c r="AW95" i="11"/>
  <c r="Z95" i="11"/>
  <c r="AC96" i="11"/>
  <c r="F96" i="11"/>
  <c r="AD96" i="11"/>
  <c r="G96" i="11"/>
  <c r="AE96" i="11"/>
  <c r="H96" i="11"/>
  <c r="AF96" i="11"/>
  <c r="I96" i="11"/>
  <c r="AG96" i="11"/>
  <c r="J96" i="11"/>
  <c r="AH96" i="11"/>
  <c r="K96" i="11"/>
  <c r="AI96" i="11"/>
  <c r="L96" i="11"/>
  <c r="AJ96" i="11"/>
  <c r="M96" i="11"/>
  <c r="AK96" i="11"/>
  <c r="N96" i="11"/>
  <c r="AL96" i="11"/>
  <c r="O96" i="11"/>
  <c r="AM96" i="11"/>
  <c r="P96" i="11"/>
  <c r="AN96" i="11"/>
  <c r="Q96" i="11"/>
  <c r="AO96" i="11"/>
  <c r="R96" i="11"/>
  <c r="AP96" i="11"/>
  <c r="S96" i="11"/>
  <c r="AQ96" i="11"/>
  <c r="T96" i="11"/>
  <c r="AR96" i="11"/>
  <c r="U96" i="11"/>
  <c r="AS96" i="11"/>
  <c r="V96" i="11"/>
  <c r="AT96" i="11"/>
  <c r="W96" i="11"/>
  <c r="AU96" i="11"/>
  <c r="X96" i="11"/>
  <c r="AV96" i="11"/>
  <c r="Y96" i="11"/>
  <c r="AW96" i="11"/>
  <c r="Z96" i="11"/>
  <c r="AC97" i="11"/>
  <c r="F97" i="11"/>
  <c r="AD97" i="11"/>
  <c r="G97" i="11"/>
  <c r="AE97" i="11"/>
  <c r="H97" i="11"/>
  <c r="AF97" i="11"/>
  <c r="I97" i="11"/>
  <c r="AG97" i="11"/>
  <c r="J97" i="11"/>
  <c r="AH97" i="11"/>
  <c r="K97" i="11"/>
  <c r="AI97" i="11"/>
  <c r="L97" i="11"/>
  <c r="AJ97" i="11"/>
  <c r="M97" i="11"/>
  <c r="AK97" i="11"/>
  <c r="N97" i="11"/>
  <c r="AL97" i="11"/>
  <c r="O97" i="11"/>
  <c r="AM97" i="11"/>
  <c r="P97" i="11"/>
  <c r="AN97" i="11"/>
  <c r="Q97" i="11"/>
  <c r="AO97" i="11"/>
  <c r="R97" i="11"/>
  <c r="AP97" i="11"/>
  <c r="S97" i="11"/>
  <c r="AQ97" i="11"/>
  <c r="T97" i="11"/>
  <c r="AR97" i="11"/>
  <c r="U97" i="11"/>
  <c r="AS97" i="11"/>
  <c r="V97" i="11"/>
  <c r="AT97" i="11"/>
  <c r="W97" i="11"/>
  <c r="AU97" i="11"/>
  <c r="X97" i="11"/>
  <c r="AV97" i="11"/>
  <c r="Y97" i="11"/>
  <c r="AW97" i="11"/>
  <c r="Z97" i="11"/>
  <c r="AC98" i="11"/>
  <c r="F98" i="11"/>
  <c r="AD98" i="11"/>
  <c r="G98" i="11"/>
  <c r="AE98" i="11"/>
  <c r="H98" i="11"/>
  <c r="AF98" i="11"/>
  <c r="I98" i="11"/>
  <c r="AG98" i="11"/>
  <c r="J98" i="11"/>
  <c r="AH98" i="11"/>
  <c r="K98" i="11"/>
  <c r="AI98" i="11"/>
  <c r="L98" i="11"/>
  <c r="AJ98" i="11"/>
  <c r="M98" i="11"/>
  <c r="AK98" i="11"/>
  <c r="N98" i="11"/>
  <c r="AL98" i="11"/>
  <c r="O98" i="11"/>
  <c r="AM98" i="11"/>
  <c r="P98" i="11"/>
  <c r="AN98" i="11"/>
  <c r="Q98" i="11"/>
  <c r="AO98" i="11"/>
  <c r="R98" i="11"/>
  <c r="AP98" i="11"/>
  <c r="S98" i="11"/>
  <c r="AQ98" i="11"/>
  <c r="T98" i="11"/>
  <c r="AR98" i="11"/>
  <c r="U98" i="11"/>
  <c r="AS98" i="11"/>
  <c r="V98" i="11"/>
  <c r="AT98" i="11"/>
  <c r="W98" i="11"/>
  <c r="AU98" i="11"/>
  <c r="X98" i="11"/>
  <c r="AV98" i="11"/>
  <c r="Y98" i="11"/>
  <c r="AW98" i="11"/>
  <c r="Z98" i="11"/>
  <c r="AC99" i="11"/>
  <c r="F99" i="11"/>
  <c r="AD99" i="11"/>
  <c r="G99" i="11"/>
  <c r="AE99" i="11"/>
  <c r="H99" i="11"/>
  <c r="AF99" i="11"/>
  <c r="I99" i="11"/>
  <c r="AG99" i="11"/>
  <c r="J99" i="11"/>
  <c r="AH99" i="11"/>
  <c r="K99" i="11"/>
  <c r="AI99" i="11"/>
  <c r="L99" i="11"/>
  <c r="AJ99" i="11"/>
  <c r="M99" i="11"/>
  <c r="AK99" i="11"/>
  <c r="N99" i="11"/>
  <c r="AL99" i="11"/>
  <c r="O99" i="11"/>
  <c r="AM99" i="11"/>
  <c r="P99" i="11"/>
  <c r="AN99" i="11"/>
  <c r="Q99" i="11"/>
  <c r="AO99" i="11"/>
  <c r="R99" i="11"/>
  <c r="AP99" i="11"/>
  <c r="S99" i="11"/>
  <c r="AQ99" i="11"/>
  <c r="T99" i="11"/>
  <c r="AR99" i="11"/>
  <c r="U99" i="11"/>
  <c r="AS99" i="11"/>
  <c r="V99" i="11"/>
  <c r="AT99" i="11"/>
  <c r="W99" i="11"/>
  <c r="AU99" i="11"/>
  <c r="X99" i="11"/>
  <c r="AV99" i="11"/>
  <c r="Y99" i="11"/>
  <c r="AW99" i="11"/>
  <c r="Z99" i="11"/>
  <c r="AC100" i="11"/>
  <c r="F100" i="11"/>
  <c r="AD100" i="11"/>
  <c r="G100" i="11"/>
  <c r="AE100" i="11"/>
  <c r="H100" i="11"/>
  <c r="AF100" i="11"/>
  <c r="I100" i="11"/>
  <c r="AG100" i="11"/>
  <c r="J100" i="11"/>
  <c r="AH100" i="11"/>
  <c r="K100" i="11"/>
  <c r="AI100" i="11"/>
  <c r="L100" i="11"/>
  <c r="AJ100" i="11"/>
  <c r="M100" i="11"/>
  <c r="AK100" i="11"/>
  <c r="N100" i="11"/>
  <c r="AL100" i="11"/>
  <c r="O100" i="11"/>
  <c r="AM100" i="11"/>
  <c r="P100" i="11"/>
  <c r="AN100" i="11"/>
  <c r="Q100" i="11"/>
  <c r="AO100" i="11"/>
  <c r="R100" i="11"/>
  <c r="AP100" i="11"/>
  <c r="S100" i="11"/>
  <c r="AQ100" i="11"/>
  <c r="T100" i="11"/>
  <c r="AR100" i="11"/>
  <c r="U100" i="11"/>
  <c r="AS100" i="11"/>
  <c r="V100" i="11"/>
  <c r="AT100" i="11"/>
  <c r="W100" i="11"/>
  <c r="AU100" i="11"/>
  <c r="X100" i="11"/>
  <c r="AV100" i="11"/>
  <c r="Y100" i="11"/>
  <c r="AW100" i="11"/>
  <c r="Z100" i="11"/>
  <c r="AC101" i="11"/>
  <c r="F101" i="11"/>
  <c r="AD101" i="11"/>
  <c r="G101" i="11"/>
  <c r="AE101" i="11"/>
  <c r="H101" i="11"/>
  <c r="AF101" i="11"/>
  <c r="I101" i="11"/>
  <c r="AG101" i="11"/>
  <c r="J101" i="11"/>
  <c r="AH101" i="11"/>
  <c r="K101" i="11"/>
  <c r="AI101" i="11"/>
  <c r="L101" i="11"/>
  <c r="AJ101" i="11"/>
  <c r="M101" i="11"/>
  <c r="AK101" i="11"/>
  <c r="N101" i="11"/>
  <c r="AL101" i="11"/>
  <c r="O101" i="11"/>
  <c r="AM101" i="11"/>
  <c r="P101" i="11"/>
  <c r="AN101" i="11"/>
  <c r="Q101" i="11"/>
  <c r="AO101" i="11"/>
  <c r="R101" i="11"/>
  <c r="AP101" i="11"/>
  <c r="S101" i="11"/>
  <c r="AQ101" i="11"/>
  <c r="T101" i="11"/>
  <c r="AR101" i="11"/>
  <c r="U101" i="11"/>
  <c r="AS101" i="11"/>
  <c r="V101" i="11"/>
  <c r="AT101" i="11"/>
  <c r="W101" i="11"/>
  <c r="AU101" i="11"/>
  <c r="X101" i="11"/>
  <c r="AV101" i="11"/>
  <c r="Y101" i="11"/>
  <c r="AW101" i="11"/>
  <c r="Z101" i="11"/>
  <c r="AC102" i="11"/>
  <c r="F102" i="11"/>
  <c r="AD102" i="11"/>
  <c r="G102" i="11"/>
  <c r="AE102" i="11"/>
  <c r="H102" i="11"/>
  <c r="AF102" i="11"/>
  <c r="I102" i="11"/>
  <c r="AG102" i="11"/>
  <c r="J102" i="11"/>
  <c r="AH102" i="11"/>
  <c r="K102" i="11"/>
  <c r="AI102" i="11"/>
  <c r="L102" i="11"/>
  <c r="AJ102" i="11"/>
  <c r="M102" i="11"/>
  <c r="AK102" i="11"/>
  <c r="N102" i="11"/>
  <c r="AL102" i="11"/>
  <c r="O102" i="11"/>
  <c r="AM102" i="11"/>
  <c r="P102" i="11"/>
  <c r="AN102" i="11"/>
  <c r="Q102" i="11"/>
  <c r="AO102" i="11"/>
  <c r="R102" i="11"/>
  <c r="AP102" i="11"/>
  <c r="S102" i="11"/>
  <c r="AQ102" i="11"/>
  <c r="T102" i="11"/>
  <c r="AR102" i="11"/>
  <c r="U102" i="11"/>
  <c r="AS102" i="11"/>
  <c r="V102" i="11"/>
  <c r="AT102" i="11"/>
  <c r="W102" i="11"/>
  <c r="AU102" i="11"/>
  <c r="X102" i="11"/>
  <c r="AV102" i="11"/>
  <c r="Y102" i="11"/>
  <c r="AW102" i="11"/>
  <c r="Z102" i="11"/>
  <c r="AC103" i="11"/>
  <c r="F103" i="11"/>
  <c r="AD103" i="11"/>
  <c r="G103" i="11"/>
  <c r="AE103" i="11"/>
  <c r="H103" i="11"/>
  <c r="AF103" i="11"/>
  <c r="I103" i="11"/>
  <c r="AG103" i="11"/>
  <c r="J103" i="11"/>
  <c r="AH103" i="11"/>
  <c r="K103" i="11"/>
  <c r="AI103" i="11"/>
  <c r="L103" i="11"/>
  <c r="AJ103" i="11"/>
  <c r="M103" i="11"/>
  <c r="AK103" i="11"/>
  <c r="N103" i="11"/>
  <c r="AL103" i="11"/>
  <c r="O103" i="11"/>
  <c r="AM103" i="11"/>
  <c r="P103" i="11"/>
  <c r="AN103" i="11"/>
  <c r="Q103" i="11"/>
  <c r="AO103" i="11"/>
  <c r="R103" i="11"/>
  <c r="AP103" i="11"/>
  <c r="S103" i="11"/>
  <c r="AQ103" i="11"/>
  <c r="T103" i="11"/>
  <c r="AR103" i="11"/>
  <c r="U103" i="11"/>
  <c r="AS103" i="11"/>
  <c r="V103" i="11"/>
  <c r="AT103" i="11"/>
  <c r="W103" i="11"/>
  <c r="AU103" i="11"/>
  <c r="X103" i="11"/>
  <c r="AV103" i="11"/>
  <c r="Y103" i="11"/>
  <c r="AW103" i="11"/>
  <c r="Z103" i="11"/>
  <c r="AC104" i="11"/>
  <c r="F104" i="11"/>
  <c r="AD104" i="11"/>
  <c r="G104" i="11"/>
  <c r="AE104" i="11"/>
  <c r="H104" i="11"/>
  <c r="AF104" i="11"/>
  <c r="I104" i="11"/>
  <c r="AG104" i="11"/>
  <c r="J104" i="11"/>
  <c r="AH104" i="11"/>
  <c r="K104" i="11"/>
  <c r="AI104" i="11"/>
  <c r="L104" i="11"/>
  <c r="AJ104" i="11"/>
  <c r="M104" i="11"/>
  <c r="AK104" i="11"/>
  <c r="N104" i="11"/>
  <c r="AL104" i="11"/>
  <c r="O104" i="11"/>
  <c r="AM104" i="11"/>
  <c r="P104" i="11"/>
  <c r="AN104" i="11"/>
  <c r="Q104" i="11"/>
  <c r="AO104" i="11"/>
  <c r="R104" i="11"/>
  <c r="AP104" i="11"/>
  <c r="S104" i="11"/>
  <c r="AQ104" i="11"/>
  <c r="T104" i="11"/>
  <c r="AR104" i="11"/>
  <c r="U104" i="11"/>
  <c r="AS104" i="11"/>
  <c r="V104" i="11"/>
  <c r="AT104" i="11"/>
  <c r="W104" i="11"/>
  <c r="AU104" i="11"/>
  <c r="X104" i="11"/>
  <c r="AV104" i="11"/>
  <c r="Y104" i="11"/>
  <c r="AW104" i="11"/>
  <c r="Z104" i="11"/>
  <c r="AC105" i="11"/>
  <c r="F105" i="11"/>
  <c r="AD105" i="11"/>
  <c r="G105" i="11"/>
  <c r="AE105" i="11"/>
  <c r="H105" i="11"/>
  <c r="AF105" i="11"/>
  <c r="I105" i="11"/>
  <c r="AG105" i="11"/>
  <c r="J105" i="11"/>
  <c r="AH105" i="11"/>
  <c r="K105" i="11"/>
  <c r="AI105" i="11"/>
  <c r="L105" i="11"/>
  <c r="AJ105" i="11"/>
  <c r="M105" i="11"/>
  <c r="AK105" i="11"/>
  <c r="N105" i="11"/>
  <c r="AL105" i="11"/>
  <c r="O105" i="11"/>
  <c r="AM105" i="11"/>
  <c r="P105" i="11"/>
  <c r="AN105" i="11"/>
  <c r="Q105" i="11"/>
  <c r="AO105" i="11"/>
  <c r="R105" i="11"/>
  <c r="AP105" i="11"/>
  <c r="S105" i="11"/>
  <c r="AQ105" i="11"/>
  <c r="T105" i="11"/>
  <c r="AR105" i="11"/>
  <c r="U105" i="11"/>
  <c r="AS105" i="11"/>
  <c r="V105" i="11"/>
  <c r="AT105" i="11"/>
  <c r="W105" i="11"/>
  <c r="AU105" i="11"/>
  <c r="X105" i="11"/>
  <c r="AV105" i="11"/>
  <c r="Y105" i="11"/>
  <c r="AW105" i="11"/>
  <c r="Z105" i="11"/>
  <c r="AC106" i="11"/>
  <c r="F106" i="11"/>
  <c r="AD106" i="11"/>
  <c r="G106" i="11"/>
  <c r="AE106" i="11"/>
  <c r="H106" i="11"/>
  <c r="AF106" i="11"/>
  <c r="I106" i="11"/>
  <c r="AG106" i="11"/>
  <c r="J106" i="11"/>
  <c r="AH106" i="11"/>
  <c r="K106" i="11"/>
  <c r="AI106" i="11"/>
  <c r="L106" i="11"/>
  <c r="AJ106" i="11"/>
  <c r="M106" i="11"/>
  <c r="AK106" i="11"/>
  <c r="N106" i="11"/>
  <c r="AL106" i="11"/>
  <c r="O106" i="11"/>
  <c r="AM106" i="11"/>
  <c r="P106" i="11"/>
  <c r="AN106" i="11"/>
  <c r="Q106" i="11"/>
  <c r="AO106" i="11"/>
  <c r="R106" i="11"/>
  <c r="AP106" i="11"/>
  <c r="S106" i="11"/>
  <c r="AQ106" i="11"/>
  <c r="T106" i="11"/>
  <c r="AR106" i="11"/>
  <c r="U106" i="11"/>
  <c r="AS106" i="11"/>
  <c r="V106" i="11"/>
  <c r="AT106" i="11"/>
  <c r="W106" i="11"/>
  <c r="AU106" i="11"/>
  <c r="X106" i="11"/>
  <c r="AV106" i="11"/>
  <c r="Y106" i="11"/>
  <c r="AW106" i="11"/>
  <c r="Z106" i="11"/>
  <c r="AC107" i="11"/>
  <c r="F107" i="11"/>
  <c r="AD107" i="11"/>
  <c r="G107" i="11"/>
  <c r="AE107" i="11"/>
  <c r="H107" i="11"/>
  <c r="AF107" i="11"/>
  <c r="I107" i="11"/>
  <c r="AG107" i="11"/>
  <c r="J107" i="11"/>
  <c r="AH107" i="11"/>
  <c r="K107" i="11"/>
  <c r="AI107" i="11"/>
  <c r="L107" i="11"/>
  <c r="AJ107" i="11"/>
  <c r="M107" i="11"/>
  <c r="AK107" i="11"/>
  <c r="N107" i="11"/>
  <c r="AL107" i="11"/>
  <c r="O107" i="11"/>
  <c r="AM107" i="11"/>
  <c r="P107" i="11"/>
  <c r="AN107" i="11"/>
  <c r="Q107" i="11"/>
  <c r="AO107" i="11"/>
  <c r="R107" i="11"/>
  <c r="AP107" i="11"/>
  <c r="S107" i="11"/>
  <c r="AQ107" i="11"/>
  <c r="T107" i="11"/>
  <c r="AR107" i="11"/>
  <c r="U107" i="11"/>
  <c r="AS107" i="11"/>
  <c r="V107" i="11"/>
  <c r="AT107" i="11"/>
  <c r="W107" i="11"/>
  <c r="AU107" i="11"/>
  <c r="X107" i="11"/>
  <c r="AV107" i="11"/>
  <c r="Y107" i="11"/>
  <c r="AW107" i="11"/>
  <c r="Z107" i="11"/>
  <c r="AC108" i="11"/>
  <c r="F108" i="11"/>
  <c r="AD108" i="11"/>
  <c r="G108" i="11"/>
  <c r="AE108" i="11"/>
  <c r="H108" i="11"/>
  <c r="AF108" i="11"/>
  <c r="I108" i="11"/>
  <c r="AG108" i="11"/>
  <c r="J108" i="11"/>
  <c r="AH108" i="11"/>
  <c r="K108" i="11"/>
  <c r="AI108" i="11"/>
  <c r="L108" i="11"/>
  <c r="AJ108" i="11"/>
  <c r="M108" i="11"/>
  <c r="AK108" i="11"/>
  <c r="N108" i="11"/>
  <c r="AL108" i="11"/>
  <c r="O108" i="11"/>
  <c r="AM108" i="11"/>
  <c r="P108" i="11"/>
  <c r="AN108" i="11"/>
  <c r="Q108" i="11"/>
  <c r="AO108" i="11"/>
  <c r="R108" i="11"/>
  <c r="AP108" i="11"/>
  <c r="S108" i="11"/>
  <c r="AQ108" i="11"/>
  <c r="T108" i="11"/>
  <c r="AR108" i="11"/>
  <c r="U108" i="11"/>
  <c r="AS108" i="11"/>
  <c r="V108" i="11"/>
  <c r="AT108" i="11"/>
  <c r="W108" i="11"/>
  <c r="AU108" i="11"/>
  <c r="X108" i="11"/>
  <c r="AV108" i="11"/>
  <c r="Y108" i="11"/>
  <c r="AW108" i="11"/>
  <c r="Z108" i="11"/>
  <c r="AC109" i="11"/>
  <c r="F109" i="11"/>
  <c r="AD109" i="11"/>
  <c r="G109" i="11"/>
  <c r="AE109" i="11"/>
  <c r="H109" i="11"/>
  <c r="AF109" i="11"/>
  <c r="I109" i="11"/>
  <c r="AG109" i="11"/>
  <c r="J109" i="11"/>
  <c r="AH109" i="11"/>
  <c r="K109" i="11"/>
  <c r="AI109" i="11"/>
  <c r="L109" i="11"/>
  <c r="AJ109" i="11"/>
  <c r="M109" i="11"/>
  <c r="AK109" i="11"/>
  <c r="N109" i="11"/>
  <c r="AL109" i="11"/>
  <c r="O109" i="11"/>
  <c r="AM109" i="11"/>
  <c r="P109" i="11"/>
  <c r="AN109" i="11"/>
  <c r="Q109" i="11"/>
  <c r="AO109" i="11"/>
  <c r="R109" i="11"/>
  <c r="AP109" i="11"/>
  <c r="S109" i="11"/>
  <c r="AQ109" i="11"/>
  <c r="T109" i="11"/>
  <c r="AR109" i="11"/>
  <c r="U109" i="11"/>
  <c r="AS109" i="11"/>
  <c r="V109" i="11"/>
  <c r="AT109" i="11"/>
  <c r="W109" i="11"/>
  <c r="AU109" i="11"/>
  <c r="X109" i="11"/>
  <c r="AV109" i="11"/>
  <c r="Y109" i="11"/>
  <c r="AW109" i="11"/>
  <c r="Z109" i="11"/>
  <c r="AC110" i="11"/>
  <c r="F110" i="11"/>
  <c r="AD110" i="11"/>
  <c r="G110" i="11"/>
  <c r="AE110" i="11"/>
  <c r="H110" i="11"/>
  <c r="AF110" i="11"/>
  <c r="I110" i="11"/>
  <c r="AG110" i="11"/>
  <c r="J110" i="11"/>
  <c r="AH110" i="11"/>
  <c r="K110" i="11"/>
  <c r="AI110" i="11"/>
  <c r="L110" i="11"/>
  <c r="AJ110" i="11"/>
  <c r="M110" i="11"/>
  <c r="AK110" i="11"/>
  <c r="N110" i="11"/>
  <c r="AL110" i="11"/>
  <c r="O110" i="11"/>
  <c r="AM110" i="11"/>
  <c r="P110" i="11"/>
  <c r="AN110" i="11"/>
  <c r="Q110" i="11"/>
  <c r="AO110" i="11"/>
  <c r="R110" i="11"/>
  <c r="AP110" i="11"/>
  <c r="S110" i="11"/>
  <c r="AQ110" i="11"/>
  <c r="T110" i="11"/>
  <c r="AR110" i="11"/>
  <c r="U110" i="11"/>
  <c r="AS110" i="11"/>
  <c r="V110" i="11"/>
  <c r="AT110" i="11"/>
  <c r="W110" i="11"/>
  <c r="AU110" i="11"/>
  <c r="X110" i="11"/>
  <c r="AV110" i="11"/>
  <c r="Y110" i="11"/>
  <c r="AW110" i="11"/>
  <c r="Z110" i="11"/>
  <c r="AC111" i="11"/>
  <c r="F111" i="11"/>
  <c r="AD111" i="11"/>
  <c r="G111" i="11"/>
  <c r="AE111" i="11"/>
  <c r="H111" i="11"/>
  <c r="AF111" i="11"/>
  <c r="I111" i="11"/>
  <c r="AG111" i="11"/>
  <c r="J111" i="11"/>
  <c r="AH111" i="11"/>
  <c r="K111" i="11"/>
  <c r="AI111" i="11"/>
  <c r="L111" i="11"/>
  <c r="AJ111" i="11"/>
  <c r="M111" i="11"/>
  <c r="AK111" i="11"/>
  <c r="N111" i="11"/>
  <c r="AL111" i="11"/>
  <c r="O111" i="11"/>
  <c r="AM111" i="11"/>
  <c r="P111" i="11"/>
  <c r="AN111" i="11"/>
  <c r="Q111" i="11"/>
  <c r="AO111" i="11"/>
  <c r="R111" i="11"/>
  <c r="AP111" i="11"/>
  <c r="S111" i="11"/>
  <c r="AQ111" i="11"/>
  <c r="T111" i="11"/>
  <c r="AR111" i="11"/>
  <c r="U111" i="11"/>
  <c r="AS111" i="11"/>
  <c r="V111" i="11"/>
  <c r="AT111" i="11"/>
  <c r="W111" i="11"/>
  <c r="AU111" i="11"/>
  <c r="X111" i="11"/>
  <c r="AV111" i="11"/>
  <c r="Y111" i="11"/>
  <c r="AW111" i="11"/>
  <c r="Z111" i="11"/>
  <c r="AC112" i="11"/>
  <c r="F112" i="11"/>
  <c r="AD112" i="11"/>
  <c r="G112" i="11"/>
  <c r="AE112" i="11"/>
  <c r="H112" i="11"/>
  <c r="AF112" i="11"/>
  <c r="I112" i="11"/>
  <c r="AG112" i="11"/>
  <c r="J112" i="11"/>
  <c r="AH112" i="11"/>
  <c r="K112" i="11"/>
  <c r="AI112" i="11"/>
  <c r="L112" i="11"/>
  <c r="AJ112" i="11"/>
  <c r="M112" i="11"/>
  <c r="AK112" i="11"/>
  <c r="N112" i="11"/>
  <c r="AL112" i="11"/>
  <c r="O112" i="11"/>
  <c r="AM112" i="11"/>
  <c r="P112" i="11"/>
  <c r="AN112" i="11"/>
  <c r="Q112" i="11"/>
  <c r="AO112" i="11"/>
  <c r="R112" i="11"/>
  <c r="AP112" i="11"/>
  <c r="S112" i="11"/>
  <c r="AQ112" i="11"/>
  <c r="T112" i="11"/>
  <c r="AR112" i="11"/>
  <c r="U112" i="11"/>
  <c r="AS112" i="11"/>
  <c r="V112" i="11"/>
  <c r="AT112" i="11"/>
  <c r="W112" i="11"/>
  <c r="AU112" i="11"/>
  <c r="X112" i="11"/>
  <c r="AV112" i="11"/>
  <c r="Y112" i="11"/>
  <c r="AW112" i="11"/>
  <c r="Z112" i="11"/>
  <c r="AC113" i="11"/>
  <c r="F113" i="11"/>
  <c r="AD113" i="11"/>
  <c r="G113" i="11"/>
  <c r="AE113" i="11"/>
  <c r="H113" i="11"/>
  <c r="AF113" i="11"/>
  <c r="I113" i="11"/>
  <c r="AG113" i="11"/>
  <c r="J113" i="11"/>
  <c r="AH113" i="11"/>
  <c r="K113" i="11"/>
  <c r="AI113" i="11"/>
  <c r="L113" i="11"/>
  <c r="AJ113" i="11"/>
  <c r="M113" i="11"/>
  <c r="AK113" i="11"/>
  <c r="N113" i="11"/>
  <c r="AL113" i="11"/>
  <c r="O113" i="11"/>
  <c r="AM113" i="11"/>
  <c r="P113" i="11"/>
  <c r="AN113" i="11"/>
  <c r="Q113" i="11"/>
  <c r="AO113" i="11"/>
  <c r="R113" i="11"/>
  <c r="AP113" i="11"/>
  <c r="S113" i="11"/>
  <c r="AQ113" i="11"/>
  <c r="T113" i="11"/>
  <c r="AR113" i="11"/>
  <c r="U113" i="11"/>
  <c r="AS113" i="11"/>
  <c r="V113" i="11"/>
  <c r="AT113" i="11"/>
  <c r="W113" i="11"/>
  <c r="AU113" i="11"/>
  <c r="X113" i="11"/>
  <c r="AV113" i="11"/>
  <c r="Y113" i="11"/>
  <c r="AW113" i="11"/>
  <c r="Z113" i="11"/>
  <c r="AC114" i="11"/>
  <c r="F114" i="11"/>
  <c r="AD114" i="11"/>
  <c r="G114" i="11"/>
  <c r="AE114" i="11"/>
  <c r="H114" i="11"/>
  <c r="AF114" i="11"/>
  <c r="I114" i="11"/>
  <c r="AG114" i="11"/>
  <c r="J114" i="11"/>
  <c r="AH114" i="11"/>
  <c r="K114" i="11"/>
  <c r="AI114" i="11"/>
  <c r="L114" i="11"/>
  <c r="AJ114" i="11"/>
  <c r="M114" i="11"/>
  <c r="AK114" i="11"/>
  <c r="N114" i="11"/>
  <c r="AL114" i="11"/>
  <c r="O114" i="11"/>
  <c r="AM114" i="11"/>
  <c r="P114" i="11"/>
  <c r="AN114" i="11"/>
  <c r="Q114" i="11"/>
  <c r="AO114" i="11"/>
  <c r="R114" i="11"/>
  <c r="AP114" i="11"/>
  <c r="S114" i="11"/>
  <c r="AQ114" i="11"/>
  <c r="T114" i="11"/>
  <c r="AR114" i="11"/>
  <c r="U114" i="11"/>
  <c r="AS114" i="11"/>
  <c r="V114" i="11"/>
  <c r="AT114" i="11"/>
  <c r="W114" i="11"/>
  <c r="AU114" i="11"/>
  <c r="X114" i="11"/>
  <c r="AV114" i="11"/>
  <c r="Y114" i="11"/>
  <c r="AW114" i="11"/>
  <c r="Z114" i="11"/>
  <c r="AC115" i="11"/>
  <c r="F115" i="11"/>
  <c r="AD115" i="11"/>
  <c r="G115" i="11"/>
  <c r="AE115" i="11"/>
  <c r="H115" i="11"/>
  <c r="AF115" i="11"/>
  <c r="I115" i="11"/>
  <c r="AG115" i="11"/>
  <c r="J115" i="11"/>
  <c r="AH115" i="11"/>
  <c r="K115" i="11"/>
  <c r="AI115" i="11"/>
  <c r="L115" i="11"/>
  <c r="AJ115" i="11"/>
  <c r="M115" i="11"/>
  <c r="AK115" i="11"/>
  <c r="N115" i="11"/>
  <c r="AL115" i="11"/>
  <c r="O115" i="11"/>
  <c r="AM115" i="11"/>
  <c r="P115" i="11"/>
  <c r="AN115" i="11"/>
  <c r="Q115" i="11"/>
  <c r="AO115" i="11"/>
  <c r="R115" i="11"/>
  <c r="AP115" i="11"/>
  <c r="S115" i="11"/>
  <c r="AQ115" i="11"/>
  <c r="T115" i="11"/>
  <c r="AR115" i="11"/>
  <c r="U115" i="11"/>
  <c r="AS115" i="11"/>
  <c r="V115" i="11"/>
  <c r="AT115" i="11"/>
  <c r="W115" i="11"/>
  <c r="AU115" i="11"/>
  <c r="X115" i="11"/>
  <c r="AV115" i="11"/>
  <c r="Y115" i="11"/>
  <c r="AW115" i="11"/>
  <c r="Z115" i="11"/>
  <c r="AC116" i="11"/>
  <c r="F116" i="11"/>
  <c r="AD116" i="11"/>
  <c r="G116" i="11"/>
  <c r="AE116" i="11"/>
  <c r="H116" i="11"/>
  <c r="AF116" i="11"/>
  <c r="I116" i="11"/>
  <c r="AG116" i="11"/>
  <c r="J116" i="11"/>
  <c r="AH116" i="11"/>
  <c r="K116" i="11"/>
  <c r="AI116" i="11"/>
  <c r="L116" i="11"/>
  <c r="AJ116" i="11"/>
  <c r="M116" i="11"/>
  <c r="AK116" i="11"/>
  <c r="N116" i="11"/>
  <c r="AL116" i="11"/>
  <c r="O116" i="11"/>
  <c r="AM116" i="11"/>
  <c r="P116" i="11"/>
  <c r="AN116" i="11"/>
  <c r="Q116" i="11"/>
  <c r="AO116" i="11"/>
  <c r="R116" i="11"/>
  <c r="AP116" i="11"/>
  <c r="S116" i="11"/>
  <c r="AQ116" i="11"/>
  <c r="T116" i="11"/>
  <c r="AR116" i="11"/>
  <c r="U116" i="11"/>
  <c r="AS116" i="11"/>
  <c r="V116" i="11"/>
  <c r="AT116" i="11"/>
  <c r="W116" i="11"/>
  <c r="AU116" i="11"/>
  <c r="X116" i="11"/>
  <c r="AV116" i="11"/>
  <c r="Y116" i="11"/>
  <c r="AW116" i="11"/>
  <c r="Z116" i="11"/>
  <c r="AC117" i="11"/>
  <c r="F117" i="11"/>
  <c r="AD117" i="11"/>
  <c r="G117" i="11"/>
  <c r="AE117" i="11"/>
  <c r="H117" i="11"/>
  <c r="AF117" i="11"/>
  <c r="I117" i="11"/>
  <c r="AG117" i="11"/>
  <c r="J117" i="11"/>
  <c r="AH117" i="11"/>
  <c r="K117" i="11"/>
  <c r="AI117" i="11"/>
  <c r="L117" i="11"/>
  <c r="AJ117" i="11"/>
  <c r="M117" i="11"/>
  <c r="AK117" i="11"/>
  <c r="N117" i="11"/>
  <c r="AL117" i="11"/>
  <c r="O117" i="11"/>
  <c r="AM117" i="11"/>
  <c r="P117" i="11"/>
  <c r="AN117" i="11"/>
  <c r="Q117" i="11"/>
  <c r="AO117" i="11"/>
  <c r="R117" i="11"/>
  <c r="AP117" i="11"/>
  <c r="S117" i="11"/>
  <c r="AQ117" i="11"/>
  <c r="T117" i="11"/>
  <c r="AR117" i="11"/>
  <c r="U117" i="11"/>
  <c r="AS117" i="11"/>
  <c r="V117" i="11"/>
  <c r="AT117" i="11"/>
  <c r="W117" i="11"/>
  <c r="AU117" i="11"/>
  <c r="X117" i="11"/>
  <c r="AV117" i="11"/>
  <c r="Y117" i="11"/>
  <c r="AW117" i="11"/>
  <c r="Z117" i="11"/>
  <c r="AC118" i="11"/>
  <c r="F118" i="11"/>
  <c r="AD118" i="11"/>
  <c r="G118" i="11"/>
  <c r="AE118" i="11"/>
  <c r="H118" i="11"/>
  <c r="AF118" i="11"/>
  <c r="I118" i="11"/>
  <c r="AG118" i="11"/>
  <c r="J118" i="11"/>
  <c r="AH118" i="11"/>
  <c r="K118" i="11"/>
  <c r="AI118" i="11"/>
  <c r="L118" i="11"/>
  <c r="AJ118" i="11"/>
  <c r="M118" i="11"/>
  <c r="AK118" i="11"/>
  <c r="N118" i="11"/>
  <c r="AL118" i="11"/>
  <c r="O118" i="11"/>
  <c r="AM118" i="11"/>
  <c r="P118" i="11"/>
  <c r="AN118" i="11"/>
  <c r="Q118" i="11"/>
  <c r="AO118" i="11"/>
  <c r="R118" i="11"/>
  <c r="AP118" i="11"/>
  <c r="S118" i="11"/>
  <c r="AQ118" i="11"/>
  <c r="T118" i="11"/>
  <c r="AR118" i="11"/>
  <c r="U118" i="11"/>
  <c r="AS118" i="11"/>
  <c r="V118" i="11"/>
  <c r="AT118" i="11"/>
  <c r="W118" i="11"/>
  <c r="AU118" i="11"/>
  <c r="X118" i="11"/>
  <c r="AV118" i="11"/>
  <c r="Y118" i="11"/>
  <c r="AW118" i="11"/>
  <c r="Z118" i="11"/>
  <c r="AC119" i="11"/>
  <c r="F119" i="11"/>
  <c r="AD119" i="11"/>
  <c r="G119" i="11"/>
  <c r="AE119" i="11"/>
  <c r="H119" i="11"/>
  <c r="AF119" i="11"/>
  <c r="I119" i="11"/>
  <c r="AG119" i="11"/>
  <c r="J119" i="11"/>
  <c r="AH119" i="11"/>
  <c r="K119" i="11"/>
  <c r="AI119" i="11"/>
  <c r="L119" i="11"/>
  <c r="AJ119" i="11"/>
  <c r="M119" i="11"/>
  <c r="AK119" i="11"/>
  <c r="N119" i="11"/>
  <c r="AL119" i="11"/>
  <c r="O119" i="11"/>
  <c r="AM119" i="11"/>
  <c r="P119" i="11"/>
  <c r="AN119" i="11"/>
  <c r="Q119" i="11"/>
  <c r="AO119" i="11"/>
  <c r="R119" i="11"/>
  <c r="AP119" i="11"/>
  <c r="S119" i="11"/>
  <c r="AQ119" i="11"/>
  <c r="T119" i="11"/>
  <c r="AR119" i="11"/>
  <c r="U119" i="11"/>
  <c r="AS119" i="11"/>
  <c r="V119" i="11"/>
  <c r="AT119" i="11"/>
  <c r="W119" i="11"/>
  <c r="AU119" i="11"/>
  <c r="X119" i="11"/>
  <c r="AV119" i="11"/>
  <c r="Y119" i="11"/>
  <c r="AW119" i="11"/>
  <c r="Z119" i="11"/>
  <c r="AC120" i="11"/>
  <c r="F120" i="11"/>
  <c r="AD120" i="11"/>
  <c r="G120" i="11"/>
  <c r="AE120" i="11"/>
  <c r="H120" i="11"/>
  <c r="AF120" i="11"/>
  <c r="I120" i="11"/>
  <c r="AG120" i="11"/>
  <c r="J120" i="11"/>
  <c r="AH120" i="11"/>
  <c r="K120" i="11"/>
  <c r="AI120" i="11"/>
  <c r="L120" i="11"/>
  <c r="AJ120" i="11"/>
  <c r="M120" i="11"/>
  <c r="AK120" i="11"/>
  <c r="N120" i="11"/>
  <c r="AL120" i="11"/>
  <c r="O120" i="11"/>
  <c r="AM120" i="11"/>
  <c r="P120" i="11"/>
  <c r="AN120" i="11"/>
  <c r="Q120" i="11"/>
  <c r="AO120" i="11"/>
  <c r="R120" i="11"/>
  <c r="AP120" i="11"/>
  <c r="S120" i="11"/>
  <c r="AQ120" i="11"/>
  <c r="T120" i="11"/>
  <c r="AR120" i="11"/>
  <c r="U120" i="11"/>
  <c r="AS120" i="11"/>
  <c r="V120" i="11"/>
  <c r="AT120" i="11"/>
  <c r="W120" i="11"/>
  <c r="AU120" i="11"/>
  <c r="X120" i="11"/>
  <c r="AV120" i="11"/>
  <c r="Y120" i="11"/>
  <c r="AW120" i="11"/>
  <c r="Z120" i="11"/>
  <c r="AC121" i="11"/>
  <c r="F121" i="11"/>
  <c r="AD121" i="11"/>
  <c r="G121" i="11"/>
  <c r="AE121" i="11"/>
  <c r="H121" i="11"/>
  <c r="AF121" i="11"/>
  <c r="I121" i="11"/>
  <c r="AG121" i="11"/>
  <c r="J121" i="11"/>
  <c r="AH121" i="11"/>
  <c r="K121" i="11"/>
  <c r="AI121" i="11"/>
  <c r="L121" i="11"/>
  <c r="AJ121" i="11"/>
  <c r="M121" i="11"/>
  <c r="AK121" i="11"/>
  <c r="N121" i="11"/>
  <c r="AL121" i="11"/>
  <c r="O121" i="11"/>
  <c r="AM121" i="11"/>
  <c r="P121" i="11"/>
  <c r="AN121" i="11"/>
  <c r="Q121" i="11"/>
  <c r="AO121" i="11"/>
  <c r="R121" i="11"/>
  <c r="AP121" i="11"/>
  <c r="S121" i="11"/>
  <c r="AQ121" i="11"/>
  <c r="T121" i="11"/>
  <c r="AR121" i="11"/>
  <c r="U121" i="11"/>
  <c r="AS121" i="11"/>
  <c r="V121" i="11"/>
  <c r="AT121" i="11"/>
  <c r="W121" i="11"/>
  <c r="AU121" i="11"/>
  <c r="X121" i="11"/>
  <c r="AV121" i="11"/>
  <c r="Y121" i="11"/>
  <c r="AW121" i="11"/>
  <c r="Z121" i="11"/>
  <c r="AC122" i="11"/>
  <c r="F122" i="11"/>
  <c r="AD122" i="11"/>
  <c r="G122" i="11"/>
  <c r="AE122" i="11"/>
  <c r="H122" i="11"/>
  <c r="AF122" i="11"/>
  <c r="I122" i="11"/>
  <c r="AG122" i="11"/>
  <c r="J122" i="11"/>
  <c r="AH122" i="11"/>
  <c r="K122" i="11"/>
  <c r="AI122" i="11"/>
  <c r="L122" i="11"/>
  <c r="AJ122" i="11"/>
  <c r="M122" i="11"/>
  <c r="AK122" i="11"/>
  <c r="N122" i="11"/>
  <c r="AL122" i="11"/>
  <c r="O122" i="11"/>
  <c r="AM122" i="11"/>
  <c r="P122" i="11"/>
  <c r="AN122" i="11"/>
  <c r="Q122" i="11"/>
  <c r="AO122" i="11"/>
  <c r="R122" i="11"/>
  <c r="AP122" i="11"/>
  <c r="S122" i="11"/>
  <c r="AQ122" i="11"/>
  <c r="T122" i="11"/>
  <c r="AR122" i="11"/>
  <c r="U122" i="11"/>
  <c r="AS122" i="11"/>
  <c r="V122" i="11"/>
  <c r="AT122" i="11"/>
  <c r="W122" i="11"/>
  <c r="AU122" i="11"/>
  <c r="X122" i="11"/>
  <c r="AV122" i="11"/>
  <c r="Y122" i="11"/>
  <c r="AW122" i="11"/>
  <c r="Z122" i="11"/>
  <c r="AC123" i="11"/>
  <c r="F123" i="11"/>
  <c r="AD123" i="11"/>
  <c r="G123" i="11"/>
  <c r="AE123" i="11"/>
  <c r="H123" i="11"/>
  <c r="AF123" i="11"/>
  <c r="I123" i="11"/>
  <c r="AG123" i="11"/>
  <c r="J123" i="11"/>
  <c r="AH123" i="11"/>
  <c r="K123" i="11"/>
  <c r="AI123" i="11"/>
  <c r="L123" i="11"/>
  <c r="AJ123" i="11"/>
  <c r="M123" i="11"/>
  <c r="AK123" i="11"/>
  <c r="N123" i="11"/>
  <c r="AL123" i="11"/>
  <c r="O123" i="11"/>
  <c r="AM123" i="11"/>
  <c r="P123" i="11"/>
  <c r="AN123" i="11"/>
  <c r="Q123" i="11"/>
  <c r="AO123" i="11"/>
  <c r="R123" i="11"/>
  <c r="AP123" i="11"/>
  <c r="S123" i="11"/>
  <c r="AQ123" i="11"/>
  <c r="T123" i="11"/>
  <c r="AR123" i="11"/>
  <c r="U123" i="11"/>
  <c r="AS123" i="11"/>
  <c r="V123" i="11"/>
  <c r="AT123" i="11"/>
  <c r="W123" i="11"/>
  <c r="AU123" i="11"/>
  <c r="X123" i="11"/>
  <c r="AV123" i="11"/>
  <c r="Y123" i="11"/>
  <c r="AW123" i="11"/>
  <c r="Z123" i="11"/>
  <c r="AC124" i="11"/>
  <c r="F124" i="11"/>
  <c r="AD124" i="11"/>
  <c r="G124" i="11"/>
  <c r="AE124" i="11"/>
  <c r="H124" i="11"/>
  <c r="AF124" i="11"/>
  <c r="I124" i="11"/>
  <c r="AG124" i="11"/>
  <c r="J124" i="11"/>
  <c r="AH124" i="11"/>
  <c r="K124" i="11"/>
  <c r="AI124" i="11"/>
  <c r="L124" i="11"/>
  <c r="AJ124" i="11"/>
  <c r="M124" i="11"/>
  <c r="AK124" i="11"/>
  <c r="N124" i="11"/>
  <c r="AL124" i="11"/>
  <c r="O124" i="11"/>
  <c r="AM124" i="11"/>
  <c r="P124" i="11"/>
  <c r="AN124" i="11"/>
  <c r="Q124" i="11"/>
  <c r="AO124" i="11"/>
  <c r="R124" i="11"/>
  <c r="AP124" i="11"/>
  <c r="S124" i="11"/>
  <c r="AQ124" i="11"/>
  <c r="T124" i="11"/>
  <c r="AR124" i="11"/>
  <c r="U124" i="11"/>
  <c r="AS124" i="11"/>
  <c r="V124" i="11"/>
  <c r="AT124" i="11"/>
  <c r="W124" i="11"/>
  <c r="AU124" i="11"/>
  <c r="X124" i="11"/>
  <c r="AV124" i="11"/>
  <c r="Y124" i="11"/>
  <c r="AW124" i="11"/>
  <c r="Z124" i="11"/>
  <c r="AC125" i="11"/>
  <c r="F125" i="11"/>
  <c r="AD125" i="11"/>
  <c r="G125" i="11"/>
  <c r="AE125" i="11"/>
  <c r="H125" i="11"/>
  <c r="AF125" i="11"/>
  <c r="I125" i="11"/>
  <c r="AG125" i="11"/>
  <c r="J125" i="11"/>
  <c r="AH125" i="11"/>
  <c r="K125" i="11"/>
  <c r="AI125" i="11"/>
  <c r="L125" i="11"/>
  <c r="AJ125" i="11"/>
  <c r="M125" i="11"/>
  <c r="AK125" i="11"/>
  <c r="N125" i="11"/>
  <c r="AL125" i="11"/>
  <c r="O125" i="11"/>
  <c r="AM125" i="11"/>
  <c r="P125" i="11"/>
  <c r="AN125" i="11"/>
  <c r="Q125" i="11"/>
  <c r="AO125" i="11"/>
  <c r="R125" i="11"/>
  <c r="AP125" i="11"/>
  <c r="S125" i="11"/>
  <c r="AQ125" i="11"/>
  <c r="T125" i="11"/>
  <c r="AR125" i="11"/>
  <c r="U125" i="11"/>
  <c r="AS125" i="11"/>
  <c r="V125" i="11"/>
  <c r="AT125" i="11"/>
  <c r="W125" i="11"/>
  <c r="AU125" i="11"/>
  <c r="X125" i="11"/>
  <c r="AV125" i="11"/>
  <c r="Y125" i="11"/>
  <c r="AW125" i="11"/>
  <c r="Z125" i="11"/>
  <c r="AC126" i="11"/>
  <c r="F126" i="11"/>
  <c r="AD126" i="11"/>
  <c r="G126" i="11"/>
  <c r="AE126" i="11"/>
  <c r="H126" i="11"/>
  <c r="AF126" i="11"/>
  <c r="I126" i="11"/>
  <c r="AG126" i="11"/>
  <c r="J126" i="11"/>
  <c r="AH126" i="11"/>
  <c r="K126" i="11"/>
  <c r="AI126" i="11"/>
  <c r="L126" i="11"/>
  <c r="AJ126" i="11"/>
  <c r="M126" i="11"/>
  <c r="AK126" i="11"/>
  <c r="N126" i="11"/>
  <c r="AL126" i="11"/>
  <c r="O126" i="11"/>
  <c r="AM126" i="11"/>
  <c r="P126" i="11"/>
  <c r="AN126" i="11"/>
  <c r="Q126" i="11"/>
  <c r="AO126" i="11"/>
  <c r="R126" i="11"/>
  <c r="AP126" i="11"/>
  <c r="S126" i="11"/>
  <c r="AQ126" i="11"/>
  <c r="T126" i="11"/>
  <c r="AR126" i="11"/>
  <c r="U126" i="11"/>
  <c r="AS126" i="11"/>
  <c r="V126" i="11"/>
  <c r="AT126" i="11"/>
  <c r="W126" i="11"/>
  <c r="AU126" i="11"/>
  <c r="X126" i="11"/>
  <c r="AV126" i="11"/>
  <c r="Y126" i="11"/>
  <c r="AW126" i="11"/>
  <c r="Z126" i="11"/>
  <c r="AC127" i="11"/>
  <c r="F127" i="11"/>
  <c r="AD127" i="11"/>
  <c r="G127" i="11"/>
  <c r="AE127" i="11"/>
  <c r="H127" i="11"/>
  <c r="AF127" i="11"/>
  <c r="I127" i="11"/>
  <c r="AG127" i="11"/>
  <c r="J127" i="11"/>
  <c r="AH127" i="11"/>
  <c r="K127" i="11"/>
  <c r="AI127" i="11"/>
  <c r="L127" i="11"/>
  <c r="AJ127" i="11"/>
  <c r="M127" i="11"/>
  <c r="AK127" i="11"/>
  <c r="N127" i="11"/>
  <c r="AL127" i="11"/>
  <c r="O127" i="11"/>
  <c r="AM127" i="11"/>
  <c r="P127" i="11"/>
  <c r="AN127" i="11"/>
  <c r="Q127" i="11"/>
  <c r="AO127" i="11"/>
  <c r="R127" i="11"/>
  <c r="AP127" i="11"/>
  <c r="S127" i="11"/>
  <c r="AQ127" i="11"/>
  <c r="T127" i="11"/>
  <c r="AR127" i="11"/>
  <c r="U127" i="11"/>
  <c r="AS127" i="11"/>
  <c r="V127" i="11"/>
  <c r="AT127" i="11"/>
  <c r="W127" i="11"/>
  <c r="AU127" i="11"/>
  <c r="X127" i="11"/>
  <c r="AV127" i="11"/>
  <c r="Y127" i="11"/>
  <c r="AW127" i="11"/>
  <c r="Z127" i="11"/>
  <c r="AC128" i="11"/>
  <c r="F128" i="11"/>
  <c r="AD128" i="11"/>
  <c r="G128" i="11"/>
  <c r="AE128" i="11"/>
  <c r="H128" i="11"/>
  <c r="AF128" i="11"/>
  <c r="I128" i="11"/>
  <c r="AG128" i="11"/>
  <c r="J128" i="11"/>
  <c r="AH128" i="11"/>
  <c r="K128" i="11"/>
  <c r="AI128" i="11"/>
  <c r="L128" i="11"/>
  <c r="AJ128" i="11"/>
  <c r="M128" i="11"/>
  <c r="AK128" i="11"/>
  <c r="N128" i="11"/>
  <c r="AL128" i="11"/>
  <c r="O128" i="11"/>
  <c r="AM128" i="11"/>
  <c r="P128" i="11"/>
  <c r="AN128" i="11"/>
  <c r="Q128" i="11"/>
  <c r="AO128" i="11"/>
  <c r="R128" i="11"/>
  <c r="AP128" i="11"/>
  <c r="S128" i="11"/>
  <c r="AQ128" i="11"/>
  <c r="T128" i="11"/>
  <c r="AR128" i="11"/>
  <c r="U128" i="11"/>
  <c r="AS128" i="11"/>
  <c r="V128" i="11"/>
  <c r="AT128" i="11"/>
  <c r="W128" i="11"/>
  <c r="AU128" i="11"/>
  <c r="X128" i="11"/>
  <c r="AV128" i="11"/>
  <c r="Y128" i="11"/>
  <c r="AW128" i="11"/>
  <c r="Z128" i="11"/>
  <c r="AC129" i="11"/>
  <c r="F129" i="11"/>
  <c r="AD129" i="11"/>
  <c r="G129" i="11"/>
  <c r="AE129" i="11"/>
  <c r="H129" i="11"/>
  <c r="AF129" i="11"/>
  <c r="I129" i="11"/>
  <c r="AG129" i="11"/>
  <c r="J129" i="11"/>
  <c r="AH129" i="11"/>
  <c r="K129" i="11"/>
  <c r="AI129" i="11"/>
  <c r="L129" i="11"/>
  <c r="AJ129" i="11"/>
  <c r="M129" i="11"/>
  <c r="AK129" i="11"/>
  <c r="N129" i="11"/>
  <c r="AL129" i="11"/>
  <c r="O129" i="11"/>
  <c r="AM129" i="11"/>
  <c r="P129" i="11"/>
  <c r="AN129" i="11"/>
  <c r="Q129" i="11"/>
  <c r="AO129" i="11"/>
  <c r="R129" i="11"/>
  <c r="AP129" i="11"/>
  <c r="S129" i="11"/>
  <c r="AQ129" i="11"/>
  <c r="T129" i="11"/>
  <c r="AR129" i="11"/>
  <c r="U129" i="11"/>
  <c r="AS129" i="11"/>
  <c r="V129" i="11"/>
  <c r="AT129" i="11"/>
  <c r="W129" i="11"/>
  <c r="AU129" i="11"/>
  <c r="X129" i="11"/>
  <c r="AV129" i="11"/>
  <c r="Y129" i="11"/>
  <c r="AW129" i="11"/>
  <c r="Z129" i="11"/>
  <c r="AC130" i="11"/>
  <c r="F130" i="11"/>
  <c r="AD130" i="11"/>
  <c r="G130" i="11"/>
  <c r="AE130" i="11"/>
  <c r="H130" i="11"/>
  <c r="AF130" i="11"/>
  <c r="I130" i="11"/>
  <c r="AG130" i="11"/>
  <c r="J130" i="11"/>
  <c r="AH130" i="11"/>
  <c r="K130" i="11"/>
  <c r="AI130" i="11"/>
  <c r="L130" i="11"/>
  <c r="AJ130" i="11"/>
  <c r="M130" i="11"/>
  <c r="AK130" i="11"/>
  <c r="N130" i="11"/>
  <c r="AL130" i="11"/>
  <c r="O130" i="11"/>
  <c r="AM130" i="11"/>
  <c r="P130" i="11"/>
  <c r="AN130" i="11"/>
  <c r="Q130" i="11"/>
  <c r="AO130" i="11"/>
  <c r="R130" i="11"/>
  <c r="AP130" i="11"/>
  <c r="S130" i="11"/>
  <c r="AQ130" i="11"/>
  <c r="T130" i="11"/>
  <c r="AR130" i="11"/>
  <c r="U130" i="11"/>
  <c r="AS130" i="11"/>
  <c r="V130" i="11"/>
  <c r="AT130" i="11"/>
  <c r="W130" i="11"/>
  <c r="AU130" i="11"/>
  <c r="X130" i="11"/>
  <c r="AV130" i="11"/>
  <c r="Y130" i="11"/>
  <c r="AW130" i="11"/>
  <c r="Z130" i="11"/>
  <c r="AC131" i="11"/>
  <c r="F131" i="11"/>
  <c r="AD131" i="11"/>
  <c r="G131" i="11"/>
  <c r="AE131" i="11"/>
  <c r="H131" i="11"/>
  <c r="AF131" i="11"/>
  <c r="I131" i="11"/>
  <c r="AG131" i="11"/>
  <c r="J131" i="11"/>
  <c r="AH131" i="11"/>
  <c r="K131" i="11"/>
  <c r="AI131" i="11"/>
  <c r="L131" i="11"/>
  <c r="AJ131" i="11"/>
  <c r="M131" i="11"/>
  <c r="AK131" i="11"/>
  <c r="N131" i="11"/>
  <c r="AL131" i="11"/>
  <c r="O131" i="11"/>
  <c r="AM131" i="11"/>
  <c r="P131" i="11"/>
  <c r="AN131" i="11"/>
  <c r="Q131" i="11"/>
  <c r="AO131" i="11"/>
  <c r="R131" i="11"/>
  <c r="AP131" i="11"/>
  <c r="S131" i="11"/>
  <c r="AQ131" i="11"/>
  <c r="T131" i="11"/>
  <c r="AR131" i="11"/>
  <c r="U131" i="11"/>
  <c r="AS131" i="11"/>
  <c r="V131" i="11"/>
  <c r="AT131" i="11"/>
  <c r="W131" i="11"/>
  <c r="AU131" i="11"/>
  <c r="X131" i="11"/>
  <c r="AV131" i="11"/>
  <c r="Y131" i="11"/>
  <c r="AW131" i="11"/>
  <c r="Z131" i="11"/>
  <c r="AC132" i="11"/>
  <c r="F132" i="11"/>
  <c r="AD132" i="11"/>
  <c r="G132" i="11"/>
  <c r="AE132" i="11"/>
  <c r="H132" i="11"/>
  <c r="AF132" i="11"/>
  <c r="I132" i="11"/>
  <c r="AG132" i="11"/>
  <c r="J132" i="11"/>
  <c r="AH132" i="11"/>
  <c r="K132" i="11"/>
  <c r="AI132" i="11"/>
  <c r="L132" i="11"/>
  <c r="AJ132" i="11"/>
  <c r="M132" i="11"/>
  <c r="AK132" i="11"/>
  <c r="N132" i="11"/>
  <c r="AL132" i="11"/>
  <c r="O132" i="11"/>
  <c r="AM132" i="11"/>
  <c r="P132" i="11"/>
  <c r="AN132" i="11"/>
  <c r="Q132" i="11"/>
  <c r="AO132" i="11"/>
  <c r="R132" i="11"/>
  <c r="AP132" i="11"/>
  <c r="S132" i="11"/>
  <c r="AQ132" i="11"/>
  <c r="T132" i="11"/>
  <c r="AR132" i="11"/>
  <c r="U132" i="11"/>
  <c r="AS132" i="11"/>
  <c r="V132" i="11"/>
  <c r="AT132" i="11"/>
  <c r="W132" i="11"/>
  <c r="AU132" i="11"/>
  <c r="X132" i="11"/>
  <c r="AV132" i="11"/>
  <c r="Y132" i="11"/>
  <c r="AW132" i="11"/>
  <c r="Z132" i="11"/>
  <c r="AC133" i="11"/>
  <c r="F133" i="11"/>
  <c r="AD133" i="11"/>
  <c r="G133" i="11"/>
  <c r="AE133" i="11"/>
  <c r="H133" i="11"/>
  <c r="AF133" i="11"/>
  <c r="I133" i="11"/>
  <c r="AG133" i="11"/>
  <c r="J133" i="11"/>
  <c r="AH133" i="11"/>
  <c r="K133" i="11"/>
  <c r="AI133" i="11"/>
  <c r="L133" i="11"/>
  <c r="AJ133" i="11"/>
  <c r="M133" i="11"/>
  <c r="AK133" i="11"/>
  <c r="N133" i="11"/>
  <c r="AL133" i="11"/>
  <c r="O133" i="11"/>
  <c r="AM133" i="11"/>
  <c r="P133" i="11"/>
  <c r="AN133" i="11"/>
  <c r="Q133" i="11"/>
  <c r="AO133" i="11"/>
  <c r="R133" i="11"/>
  <c r="AP133" i="11"/>
  <c r="S133" i="11"/>
  <c r="AQ133" i="11"/>
  <c r="T133" i="11"/>
  <c r="AR133" i="11"/>
  <c r="U133" i="11"/>
  <c r="AS133" i="11"/>
  <c r="V133" i="11"/>
  <c r="AT133" i="11"/>
  <c r="W133" i="11"/>
  <c r="AU133" i="11"/>
  <c r="X133" i="11"/>
  <c r="AV133" i="11"/>
  <c r="Y133" i="11"/>
  <c r="AW133" i="11"/>
  <c r="Z133" i="11"/>
  <c r="AC134" i="11"/>
  <c r="F134" i="11"/>
  <c r="AD134" i="11"/>
  <c r="G134" i="11"/>
  <c r="AE134" i="11"/>
  <c r="H134" i="11"/>
  <c r="AF134" i="11"/>
  <c r="I134" i="11"/>
  <c r="AG134" i="11"/>
  <c r="J134" i="11"/>
  <c r="AH134" i="11"/>
  <c r="K134" i="11"/>
  <c r="AI134" i="11"/>
  <c r="L134" i="11"/>
  <c r="AJ134" i="11"/>
  <c r="M134" i="11"/>
  <c r="AK134" i="11"/>
  <c r="N134" i="11"/>
  <c r="AL134" i="11"/>
  <c r="O134" i="11"/>
  <c r="AM134" i="11"/>
  <c r="P134" i="11"/>
  <c r="AN134" i="11"/>
  <c r="Q134" i="11"/>
  <c r="AO134" i="11"/>
  <c r="R134" i="11"/>
  <c r="AP134" i="11"/>
  <c r="S134" i="11"/>
  <c r="AQ134" i="11"/>
  <c r="T134" i="11"/>
  <c r="AR134" i="11"/>
  <c r="U134" i="11"/>
  <c r="AS134" i="11"/>
  <c r="V134" i="11"/>
  <c r="AT134" i="11"/>
  <c r="W134" i="11"/>
  <c r="AU134" i="11"/>
  <c r="X134" i="11"/>
  <c r="AV134" i="11"/>
  <c r="Y134" i="11"/>
  <c r="AW134" i="11"/>
  <c r="Z134" i="11"/>
  <c r="AC135" i="11"/>
  <c r="F135" i="11"/>
  <c r="AD135" i="11"/>
  <c r="G135" i="11"/>
  <c r="AE135" i="11"/>
  <c r="H135" i="11"/>
  <c r="AF135" i="11"/>
  <c r="I135" i="11"/>
  <c r="AG135" i="11"/>
  <c r="J135" i="11"/>
  <c r="AH135" i="11"/>
  <c r="K135" i="11"/>
  <c r="AI135" i="11"/>
  <c r="L135" i="11"/>
  <c r="AJ135" i="11"/>
  <c r="M135" i="11"/>
  <c r="AK135" i="11"/>
  <c r="N135" i="11"/>
  <c r="AL135" i="11"/>
  <c r="O135" i="11"/>
  <c r="AM135" i="11"/>
  <c r="P135" i="11"/>
  <c r="AN135" i="11"/>
  <c r="Q135" i="11"/>
  <c r="AO135" i="11"/>
  <c r="R135" i="11"/>
  <c r="AP135" i="11"/>
  <c r="S135" i="11"/>
  <c r="AQ135" i="11"/>
  <c r="T135" i="11"/>
  <c r="AR135" i="11"/>
  <c r="U135" i="11"/>
  <c r="AS135" i="11"/>
  <c r="V135" i="11"/>
  <c r="AT135" i="11"/>
  <c r="W135" i="11"/>
  <c r="AU135" i="11"/>
  <c r="X135" i="11"/>
  <c r="AV135" i="11"/>
  <c r="Y135" i="11"/>
  <c r="AW135" i="11"/>
  <c r="Z135" i="11"/>
  <c r="AC136" i="11"/>
  <c r="F136" i="11"/>
  <c r="AD136" i="11"/>
  <c r="G136" i="11"/>
  <c r="AE136" i="11"/>
  <c r="H136" i="11"/>
  <c r="AF136" i="11"/>
  <c r="I136" i="11"/>
  <c r="AG136" i="11"/>
  <c r="J136" i="11"/>
  <c r="AH136" i="11"/>
  <c r="K136" i="11"/>
  <c r="AI136" i="11"/>
  <c r="L136" i="11"/>
  <c r="AJ136" i="11"/>
  <c r="M136" i="11"/>
  <c r="AK136" i="11"/>
  <c r="N136" i="11"/>
  <c r="AL136" i="11"/>
  <c r="O136" i="11"/>
  <c r="AM136" i="11"/>
  <c r="P136" i="11"/>
  <c r="AN136" i="11"/>
  <c r="Q136" i="11"/>
  <c r="AO136" i="11"/>
  <c r="R136" i="11"/>
  <c r="AP136" i="11"/>
  <c r="S136" i="11"/>
  <c r="AQ136" i="11"/>
  <c r="T136" i="11"/>
  <c r="AR136" i="11"/>
  <c r="U136" i="11"/>
  <c r="AS136" i="11"/>
  <c r="V136" i="11"/>
  <c r="AT136" i="11"/>
  <c r="W136" i="11"/>
  <c r="AU136" i="11"/>
  <c r="X136" i="11"/>
  <c r="AV136" i="11"/>
  <c r="Y136" i="11"/>
  <c r="AW136" i="11"/>
  <c r="Z136" i="11"/>
  <c r="AC137" i="11"/>
  <c r="F137" i="11"/>
  <c r="AD137" i="11"/>
  <c r="G137" i="11"/>
  <c r="AE137" i="11"/>
  <c r="H137" i="11"/>
  <c r="AF137" i="11"/>
  <c r="I137" i="11"/>
  <c r="AG137" i="11"/>
  <c r="J137" i="11"/>
  <c r="AH137" i="11"/>
  <c r="K137" i="11"/>
  <c r="AI137" i="11"/>
  <c r="L137" i="11"/>
  <c r="AJ137" i="11"/>
  <c r="M137" i="11"/>
  <c r="AK137" i="11"/>
  <c r="N137" i="11"/>
  <c r="AL137" i="11"/>
  <c r="O137" i="11"/>
  <c r="AM137" i="11"/>
  <c r="P137" i="11"/>
  <c r="AN137" i="11"/>
  <c r="Q137" i="11"/>
  <c r="AO137" i="11"/>
  <c r="R137" i="11"/>
  <c r="AP137" i="11"/>
  <c r="S137" i="11"/>
  <c r="AQ137" i="11"/>
  <c r="T137" i="11"/>
  <c r="AR137" i="11"/>
  <c r="U137" i="11"/>
  <c r="AS137" i="11"/>
  <c r="V137" i="11"/>
  <c r="AT137" i="11"/>
  <c r="W137" i="11"/>
  <c r="AU137" i="11"/>
  <c r="X137" i="11"/>
  <c r="AV137" i="11"/>
  <c r="Y137" i="11"/>
  <c r="AW137" i="11"/>
  <c r="Z137" i="11"/>
  <c r="AC138" i="11"/>
  <c r="F138" i="11"/>
  <c r="AD138" i="11"/>
  <c r="G138" i="11"/>
  <c r="AE138" i="11"/>
  <c r="H138" i="11"/>
  <c r="AF138" i="11"/>
  <c r="I138" i="11"/>
  <c r="AG138" i="11"/>
  <c r="J138" i="11"/>
  <c r="AH138" i="11"/>
  <c r="K138" i="11"/>
  <c r="AI138" i="11"/>
  <c r="L138" i="11"/>
  <c r="AJ138" i="11"/>
  <c r="M138" i="11"/>
  <c r="AK138" i="11"/>
  <c r="N138" i="11"/>
  <c r="AL138" i="11"/>
  <c r="O138" i="11"/>
  <c r="AM138" i="11"/>
  <c r="P138" i="11"/>
  <c r="AN138" i="11"/>
  <c r="Q138" i="11"/>
  <c r="AO138" i="11"/>
  <c r="R138" i="11"/>
  <c r="AP138" i="11"/>
  <c r="S138" i="11"/>
  <c r="AQ138" i="11"/>
  <c r="T138" i="11"/>
  <c r="AR138" i="11"/>
  <c r="U138" i="11"/>
  <c r="AS138" i="11"/>
  <c r="V138" i="11"/>
  <c r="AT138" i="11"/>
  <c r="W138" i="11"/>
  <c r="AU138" i="11"/>
  <c r="X138" i="11"/>
  <c r="AV138" i="11"/>
  <c r="Y138" i="11"/>
  <c r="AW138" i="11"/>
  <c r="Z138" i="11"/>
  <c r="AC139" i="11"/>
  <c r="F139" i="11"/>
  <c r="AD139" i="11"/>
  <c r="G139" i="11"/>
  <c r="AE139" i="11"/>
  <c r="H139" i="11"/>
  <c r="AF139" i="11"/>
  <c r="I139" i="11"/>
  <c r="AG139" i="11"/>
  <c r="J139" i="11"/>
  <c r="AH139" i="11"/>
  <c r="K139" i="11"/>
  <c r="AI139" i="11"/>
  <c r="L139" i="11"/>
  <c r="AJ139" i="11"/>
  <c r="M139" i="11"/>
  <c r="AK139" i="11"/>
  <c r="N139" i="11"/>
  <c r="AL139" i="11"/>
  <c r="O139" i="11"/>
  <c r="AM139" i="11"/>
  <c r="P139" i="11"/>
  <c r="AN139" i="11"/>
  <c r="Q139" i="11"/>
  <c r="AO139" i="11"/>
  <c r="R139" i="11"/>
  <c r="AP139" i="11"/>
  <c r="S139" i="11"/>
  <c r="AQ139" i="11"/>
  <c r="T139" i="11"/>
  <c r="AR139" i="11"/>
  <c r="U139" i="11"/>
  <c r="AS139" i="11"/>
  <c r="V139" i="11"/>
  <c r="AT139" i="11"/>
  <c r="W139" i="11"/>
  <c r="AU139" i="11"/>
  <c r="X139" i="11"/>
  <c r="AV139" i="11"/>
  <c r="Y139" i="11"/>
  <c r="AW139" i="11"/>
  <c r="Z139" i="11"/>
  <c r="AC140" i="11"/>
  <c r="F140" i="11"/>
  <c r="AD140" i="11"/>
  <c r="G140" i="11"/>
  <c r="AE140" i="11"/>
  <c r="H140" i="11"/>
  <c r="AF140" i="11"/>
  <c r="I140" i="11"/>
  <c r="AG140" i="11"/>
  <c r="J140" i="11"/>
  <c r="AH140" i="11"/>
  <c r="K140" i="11"/>
  <c r="AI140" i="11"/>
  <c r="L140" i="11"/>
  <c r="AJ140" i="11"/>
  <c r="M140" i="11"/>
  <c r="AK140" i="11"/>
  <c r="N140" i="11"/>
  <c r="AL140" i="11"/>
  <c r="O140" i="11"/>
  <c r="AM140" i="11"/>
  <c r="P140" i="11"/>
  <c r="AN140" i="11"/>
  <c r="Q140" i="11"/>
  <c r="AO140" i="11"/>
  <c r="R140" i="11"/>
  <c r="AP140" i="11"/>
  <c r="S140" i="11"/>
  <c r="AQ140" i="11"/>
  <c r="T140" i="11"/>
  <c r="AR140" i="11"/>
  <c r="U140" i="11"/>
  <c r="AS140" i="11"/>
  <c r="V140" i="11"/>
  <c r="AT140" i="11"/>
  <c r="W140" i="11"/>
  <c r="AU140" i="11"/>
  <c r="X140" i="11"/>
  <c r="AV140" i="11"/>
  <c r="Y140" i="11"/>
  <c r="AW140" i="11"/>
  <c r="Z140" i="11"/>
  <c r="AC141" i="11"/>
  <c r="F141" i="11"/>
  <c r="AD141" i="11"/>
  <c r="G141" i="11"/>
  <c r="AE141" i="11"/>
  <c r="H141" i="11"/>
  <c r="AF141" i="11"/>
  <c r="I141" i="11"/>
  <c r="AG141" i="11"/>
  <c r="J141" i="11"/>
  <c r="AH141" i="11"/>
  <c r="K141" i="11"/>
  <c r="AI141" i="11"/>
  <c r="L141" i="11"/>
  <c r="AJ141" i="11"/>
  <c r="M141" i="11"/>
  <c r="AK141" i="11"/>
  <c r="N141" i="11"/>
  <c r="AL141" i="11"/>
  <c r="O141" i="11"/>
  <c r="AM141" i="11"/>
  <c r="P141" i="11"/>
  <c r="AN141" i="11"/>
  <c r="Q141" i="11"/>
  <c r="AO141" i="11"/>
  <c r="R141" i="11"/>
  <c r="AP141" i="11"/>
  <c r="S141" i="11"/>
  <c r="AQ141" i="11"/>
  <c r="T141" i="11"/>
  <c r="AR141" i="11"/>
  <c r="U141" i="11"/>
  <c r="AS141" i="11"/>
  <c r="V141" i="11"/>
  <c r="AT141" i="11"/>
  <c r="W141" i="11"/>
  <c r="AU141" i="11"/>
  <c r="X141" i="11"/>
  <c r="AV141" i="11"/>
  <c r="Y141" i="11"/>
  <c r="AW141" i="11"/>
  <c r="Z141" i="11"/>
  <c r="AC142" i="11"/>
  <c r="F142" i="11"/>
  <c r="AD142" i="11"/>
  <c r="G142" i="11"/>
  <c r="AE142" i="11"/>
  <c r="H142" i="11"/>
  <c r="AF142" i="11"/>
  <c r="I142" i="11"/>
  <c r="AG142" i="11"/>
  <c r="J142" i="11"/>
  <c r="AH142" i="11"/>
  <c r="K142" i="11"/>
  <c r="AI142" i="11"/>
  <c r="L142" i="11"/>
  <c r="AJ142" i="11"/>
  <c r="M142" i="11"/>
  <c r="AK142" i="11"/>
  <c r="N142" i="11"/>
  <c r="AL142" i="11"/>
  <c r="O142" i="11"/>
  <c r="AM142" i="11"/>
  <c r="P142" i="11"/>
  <c r="AN142" i="11"/>
  <c r="Q142" i="11"/>
  <c r="AO142" i="11"/>
  <c r="R142" i="11"/>
  <c r="AP142" i="11"/>
  <c r="S142" i="11"/>
  <c r="AQ142" i="11"/>
  <c r="T142" i="11"/>
  <c r="AR142" i="11"/>
  <c r="U142" i="11"/>
  <c r="AS142" i="11"/>
  <c r="V142" i="11"/>
  <c r="AT142" i="11"/>
  <c r="W142" i="11"/>
  <c r="AU142" i="11"/>
  <c r="X142" i="11"/>
  <c r="AV142" i="11"/>
  <c r="Y142" i="11"/>
  <c r="AW142" i="11"/>
  <c r="Z142" i="11"/>
  <c r="AC143" i="11"/>
  <c r="F143" i="11"/>
  <c r="AD143" i="11"/>
  <c r="G143" i="11"/>
  <c r="AE143" i="11"/>
  <c r="H143" i="11"/>
  <c r="AF143" i="11"/>
  <c r="I143" i="11"/>
  <c r="AG143" i="11"/>
  <c r="J143" i="11"/>
  <c r="AH143" i="11"/>
  <c r="K143" i="11"/>
  <c r="AI143" i="11"/>
  <c r="L143" i="11"/>
  <c r="AJ143" i="11"/>
  <c r="M143" i="11"/>
  <c r="AK143" i="11"/>
  <c r="N143" i="11"/>
  <c r="AL143" i="11"/>
  <c r="O143" i="11"/>
  <c r="AM143" i="11"/>
  <c r="P143" i="11"/>
  <c r="AN143" i="11"/>
  <c r="Q143" i="11"/>
  <c r="AO143" i="11"/>
  <c r="R143" i="11"/>
  <c r="AP143" i="11"/>
  <c r="S143" i="11"/>
  <c r="AQ143" i="11"/>
  <c r="T143" i="11"/>
  <c r="AR143" i="11"/>
  <c r="U143" i="11"/>
  <c r="AS143" i="11"/>
  <c r="V143" i="11"/>
  <c r="AT143" i="11"/>
  <c r="W143" i="11"/>
  <c r="AU143" i="11"/>
  <c r="X143" i="11"/>
  <c r="AV143" i="11"/>
  <c r="Y143" i="11"/>
  <c r="AW143" i="11"/>
  <c r="Z143" i="11"/>
  <c r="AC144" i="11"/>
  <c r="F144" i="11"/>
  <c r="AD144" i="11"/>
  <c r="G144" i="11"/>
  <c r="AE144" i="11"/>
  <c r="H144" i="11"/>
  <c r="AF144" i="11"/>
  <c r="I144" i="11"/>
  <c r="AG144" i="11"/>
  <c r="J144" i="11"/>
  <c r="AH144" i="11"/>
  <c r="K144" i="11"/>
  <c r="AI144" i="11"/>
  <c r="L144" i="11"/>
  <c r="AJ144" i="11"/>
  <c r="M144" i="11"/>
  <c r="AK144" i="11"/>
  <c r="N144" i="11"/>
  <c r="AL144" i="11"/>
  <c r="O144" i="11"/>
  <c r="AM144" i="11"/>
  <c r="P144" i="11"/>
  <c r="AN144" i="11"/>
  <c r="Q144" i="11"/>
  <c r="AO144" i="11"/>
  <c r="R144" i="11"/>
  <c r="AP144" i="11"/>
  <c r="S144" i="11"/>
  <c r="AQ144" i="11"/>
  <c r="T144" i="11"/>
  <c r="AR144" i="11"/>
  <c r="U144" i="11"/>
  <c r="AS144" i="11"/>
  <c r="V144" i="11"/>
  <c r="AT144" i="11"/>
  <c r="W144" i="11"/>
  <c r="AU144" i="11"/>
  <c r="X144" i="11"/>
  <c r="AV144" i="11"/>
  <c r="Y144" i="11"/>
  <c r="AW144" i="11"/>
  <c r="Z144" i="11"/>
  <c r="AC145" i="11"/>
  <c r="F145" i="11"/>
  <c r="AD145" i="11"/>
  <c r="G145" i="11"/>
  <c r="AE145" i="11"/>
  <c r="H145" i="11"/>
  <c r="AF145" i="11"/>
  <c r="I145" i="11"/>
  <c r="AG145" i="11"/>
  <c r="J145" i="11"/>
  <c r="AH145" i="11"/>
  <c r="K145" i="11"/>
  <c r="AI145" i="11"/>
  <c r="L145" i="11"/>
  <c r="AJ145" i="11"/>
  <c r="M145" i="11"/>
  <c r="AK145" i="11"/>
  <c r="N145" i="11"/>
  <c r="AL145" i="11"/>
  <c r="O145" i="11"/>
  <c r="AM145" i="11"/>
  <c r="P145" i="11"/>
  <c r="AN145" i="11"/>
  <c r="Q145" i="11"/>
  <c r="AO145" i="11"/>
  <c r="R145" i="11"/>
  <c r="AP145" i="11"/>
  <c r="S145" i="11"/>
  <c r="AQ145" i="11"/>
  <c r="T145" i="11"/>
  <c r="AR145" i="11"/>
  <c r="U145" i="11"/>
  <c r="AS145" i="11"/>
  <c r="V145" i="11"/>
  <c r="AT145" i="11"/>
  <c r="W145" i="11"/>
  <c r="AU145" i="11"/>
  <c r="X145" i="11"/>
  <c r="AV145" i="11"/>
  <c r="Y145" i="11"/>
  <c r="AW145" i="11"/>
  <c r="Z145" i="11"/>
  <c r="AC146" i="11"/>
  <c r="F146" i="11"/>
  <c r="AD146" i="11"/>
  <c r="G146" i="11"/>
  <c r="AE146" i="11"/>
  <c r="H146" i="11"/>
  <c r="AF146" i="11"/>
  <c r="I146" i="11"/>
  <c r="AG146" i="11"/>
  <c r="J146" i="11"/>
  <c r="AH146" i="11"/>
  <c r="K146" i="11"/>
  <c r="AI146" i="11"/>
  <c r="L146" i="11"/>
  <c r="AJ146" i="11"/>
  <c r="M146" i="11"/>
  <c r="AK146" i="11"/>
  <c r="N146" i="11"/>
  <c r="AL146" i="11"/>
  <c r="O146" i="11"/>
  <c r="AM146" i="11"/>
  <c r="P146" i="11"/>
  <c r="AN146" i="11"/>
  <c r="Q146" i="11"/>
  <c r="AO146" i="11"/>
  <c r="R146" i="11"/>
  <c r="AP146" i="11"/>
  <c r="S146" i="11"/>
  <c r="AQ146" i="11"/>
  <c r="T146" i="11"/>
  <c r="AR146" i="11"/>
  <c r="U146" i="11"/>
  <c r="AS146" i="11"/>
  <c r="V146" i="11"/>
  <c r="AT146" i="11"/>
  <c r="W146" i="11"/>
  <c r="AU146" i="11"/>
  <c r="X146" i="11"/>
  <c r="AV146" i="11"/>
  <c r="Y146" i="11"/>
  <c r="AW146" i="11"/>
  <c r="Z146" i="11"/>
  <c r="AC147" i="11"/>
  <c r="F147" i="11"/>
  <c r="AD147" i="11"/>
  <c r="G147" i="11"/>
  <c r="AE147" i="11"/>
  <c r="H147" i="11"/>
  <c r="AF147" i="11"/>
  <c r="I147" i="11"/>
  <c r="AG147" i="11"/>
  <c r="J147" i="11"/>
  <c r="AH147" i="11"/>
  <c r="K147" i="11"/>
  <c r="AI147" i="11"/>
  <c r="L147" i="11"/>
  <c r="AJ147" i="11"/>
  <c r="M147" i="11"/>
  <c r="AK147" i="11"/>
  <c r="N147" i="11"/>
  <c r="AL147" i="11"/>
  <c r="O147" i="11"/>
  <c r="AM147" i="11"/>
  <c r="P147" i="11"/>
  <c r="AN147" i="11"/>
  <c r="Q147" i="11"/>
  <c r="AO147" i="11"/>
  <c r="R147" i="11"/>
  <c r="AP147" i="11"/>
  <c r="S147" i="11"/>
  <c r="AQ147" i="11"/>
  <c r="T147" i="11"/>
  <c r="AR147" i="11"/>
  <c r="U147" i="11"/>
  <c r="AS147" i="11"/>
  <c r="V147" i="11"/>
  <c r="AT147" i="11"/>
  <c r="W147" i="11"/>
  <c r="AU147" i="11"/>
  <c r="X147" i="11"/>
  <c r="AV147" i="11"/>
  <c r="Y147" i="11"/>
  <c r="AW147" i="11"/>
  <c r="Z147" i="11"/>
  <c r="AC148" i="11"/>
  <c r="F148" i="11"/>
  <c r="AD148" i="11"/>
  <c r="G148" i="11"/>
  <c r="AE148" i="11"/>
  <c r="H148" i="11"/>
  <c r="AF148" i="11"/>
  <c r="I148" i="11"/>
  <c r="AG148" i="11"/>
  <c r="J148" i="11"/>
  <c r="AH148" i="11"/>
  <c r="K148" i="11"/>
  <c r="AI148" i="11"/>
  <c r="L148" i="11"/>
  <c r="AJ148" i="11"/>
  <c r="M148" i="11"/>
  <c r="AK148" i="11"/>
  <c r="N148" i="11"/>
  <c r="AL148" i="11"/>
  <c r="O148" i="11"/>
  <c r="AM148" i="11"/>
  <c r="P148" i="11"/>
  <c r="AN148" i="11"/>
  <c r="Q148" i="11"/>
  <c r="AO148" i="11"/>
  <c r="R148" i="11"/>
  <c r="AP148" i="11"/>
  <c r="S148" i="11"/>
  <c r="AQ148" i="11"/>
  <c r="T148" i="11"/>
  <c r="AR148" i="11"/>
  <c r="U148" i="11"/>
  <c r="AS148" i="11"/>
  <c r="V148" i="11"/>
  <c r="AT148" i="11"/>
  <c r="W148" i="11"/>
  <c r="AU148" i="11"/>
  <c r="X148" i="11"/>
  <c r="AV148" i="11"/>
  <c r="Y148" i="11"/>
  <c r="AW148" i="11"/>
  <c r="Z148" i="11"/>
  <c r="AC149" i="11"/>
  <c r="F149" i="11"/>
  <c r="AD149" i="11"/>
  <c r="G149" i="11"/>
  <c r="AE149" i="11"/>
  <c r="H149" i="11"/>
  <c r="AF149" i="11"/>
  <c r="I149" i="11"/>
  <c r="AG149" i="11"/>
  <c r="J149" i="11"/>
  <c r="AH149" i="11"/>
  <c r="K149" i="11"/>
  <c r="AI149" i="11"/>
  <c r="L149" i="11"/>
  <c r="AJ149" i="11"/>
  <c r="M149" i="11"/>
  <c r="AK149" i="11"/>
  <c r="N149" i="11"/>
  <c r="AL149" i="11"/>
  <c r="O149" i="11"/>
  <c r="AM149" i="11"/>
  <c r="P149" i="11"/>
  <c r="AN149" i="11"/>
  <c r="Q149" i="11"/>
  <c r="AO149" i="11"/>
  <c r="R149" i="11"/>
  <c r="AP149" i="11"/>
  <c r="S149" i="11"/>
  <c r="AQ149" i="11"/>
  <c r="T149" i="11"/>
  <c r="AR149" i="11"/>
  <c r="U149" i="11"/>
  <c r="AS149" i="11"/>
  <c r="V149" i="11"/>
  <c r="AT149" i="11"/>
  <c r="W149" i="11"/>
  <c r="AU149" i="11"/>
  <c r="X149" i="11"/>
  <c r="AV149" i="11"/>
  <c r="Y149" i="11"/>
  <c r="AW149" i="11"/>
  <c r="Z149" i="11"/>
  <c r="AC150" i="11"/>
  <c r="F150" i="11"/>
  <c r="AD150" i="11"/>
  <c r="G150" i="11"/>
  <c r="AE150" i="11"/>
  <c r="H150" i="11"/>
  <c r="AF150" i="11"/>
  <c r="I150" i="11"/>
  <c r="AG150" i="11"/>
  <c r="J150" i="11"/>
  <c r="AH150" i="11"/>
  <c r="K150" i="11"/>
  <c r="AI150" i="11"/>
  <c r="L150" i="11"/>
  <c r="AJ150" i="11"/>
  <c r="M150" i="11"/>
  <c r="AK150" i="11"/>
  <c r="N150" i="11"/>
  <c r="AL150" i="11"/>
  <c r="O150" i="11"/>
  <c r="AM150" i="11"/>
  <c r="P150" i="11"/>
  <c r="AN150" i="11"/>
  <c r="Q150" i="11"/>
  <c r="AO150" i="11"/>
  <c r="R150" i="11"/>
  <c r="AP150" i="11"/>
  <c r="S150" i="11"/>
  <c r="AQ150" i="11"/>
  <c r="T150" i="11"/>
  <c r="AR150" i="11"/>
  <c r="U150" i="11"/>
  <c r="AS150" i="11"/>
  <c r="V150" i="11"/>
  <c r="AT150" i="11"/>
  <c r="W150" i="11"/>
  <c r="AU150" i="11"/>
  <c r="X150" i="11"/>
  <c r="AV150" i="11"/>
  <c r="Y150" i="11"/>
  <c r="AW150" i="11"/>
  <c r="Z150" i="11"/>
  <c r="AC151" i="11"/>
  <c r="F151" i="11"/>
  <c r="AD151" i="11"/>
  <c r="G151" i="11"/>
  <c r="AE151" i="11"/>
  <c r="H151" i="11"/>
  <c r="AF151" i="11"/>
  <c r="I151" i="11"/>
  <c r="AG151" i="11"/>
  <c r="J151" i="11"/>
  <c r="AH151" i="11"/>
  <c r="K151" i="11"/>
  <c r="AI151" i="11"/>
  <c r="L151" i="11"/>
  <c r="AJ151" i="11"/>
  <c r="M151" i="11"/>
  <c r="AK151" i="11"/>
  <c r="N151" i="11"/>
  <c r="AL151" i="11"/>
  <c r="O151" i="11"/>
  <c r="AM151" i="11"/>
  <c r="P151" i="11"/>
  <c r="AN151" i="11"/>
  <c r="Q151" i="11"/>
  <c r="AO151" i="11"/>
  <c r="R151" i="11"/>
  <c r="AP151" i="11"/>
  <c r="S151" i="11"/>
  <c r="AQ151" i="11"/>
  <c r="T151" i="11"/>
  <c r="AR151" i="11"/>
  <c r="U151" i="11"/>
  <c r="AS151" i="11"/>
  <c r="V151" i="11"/>
  <c r="AT151" i="11"/>
  <c r="W151" i="11"/>
  <c r="AU151" i="11"/>
  <c r="X151" i="11"/>
  <c r="AV151" i="11"/>
  <c r="Y151" i="11"/>
  <c r="AW151" i="11"/>
  <c r="Z151" i="11"/>
  <c r="AC152" i="11"/>
  <c r="F152" i="11"/>
  <c r="AD152" i="11"/>
  <c r="G152" i="11"/>
  <c r="AE152" i="11"/>
  <c r="H152" i="11"/>
  <c r="AF152" i="11"/>
  <c r="I152" i="11"/>
  <c r="AG152" i="11"/>
  <c r="J152" i="11"/>
  <c r="AH152" i="11"/>
  <c r="K152" i="11"/>
  <c r="AI152" i="11"/>
  <c r="L152" i="11"/>
  <c r="AJ152" i="11"/>
  <c r="M152" i="11"/>
  <c r="AK152" i="11"/>
  <c r="N152" i="11"/>
  <c r="AL152" i="11"/>
  <c r="O152" i="11"/>
  <c r="AM152" i="11"/>
  <c r="P152" i="11"/>
  <c r="AN152" i="11"/>
  <c r="Q152" i="11"/>
  <c r="AO152" i="11"/>
  <c r="R152" i="11"/>
  <c r="AP152" i="11"/>
  <c r="S152" i="11"/>
  <c r="AQ152" i="11"/>
  <c r="T152" i="11"/>
  <c r="AR152" i="11"/>
  <c r="U152" i="11"/>
  <c r="AS152" i="11"/>
  <c r="V152" i="11"/>
  <c r="AT152" i="11"/>
  <c r="W152" i="11"/>
  <c r="AU152" i="11"/>
  <c r="X152" i="11"/>
  <c r="AV152" i="11"/>
  <c r="Y152" i="11"/>
  <c r="AW152" i="11"/>
  <c r="Z152" i="11"/>
  <c r="AC153" i="11"/>
  <c r="F153" i="11"/>
  <c r="AD153" i="11"/>
  <c r="G153" i="11"/>
  <c r="AE153" i="11"/>
  <c r="H153" i="11"/>
  <c r="AF153" i="11"/>
  <c r="I153" i="11"/>
  <c r="AG153" i="11"/>
  <c r="J153" i="11"/>
  <c r="AH153" i="11"/>
  <c r="K153" i="11"/>
  <c r="AI153" i="11"/>
  <c r="L153" i="11"/>
  <c r="AJ153" i="11"/>
  <c r="M153" i="11"/>
  <c r="AK153" i="11"/>
  <c r="N153" i="11"/>
  <c r="AL153" i="11"/>
  <c r="O153" i="11"/>
  <c r="AM153" i="11"/>
  <c r="P153" i="11"/>
  <c r="AN153" i="11"/>
  <c r="Q153" i="11"/>
  <c r="AO153" i="11"/>
  <c r="R153" i="11"/>
  <c r="AP153" i="11"/>
  <c r="S153" i="11"/>
  <c r="AQ153" i="11"/>
  <c r="T153" i="11"/>
  <c r="AR153" i="11"/>
  <c r="U153" i="11"/>
  <c r="AS153" i="11"/>
  <c r="V153" i="11"/>
  <c r="AT153" i="11"/>
  <c r="W153" i="11"/>
  <c r="AU153" i="11"/>
  <c r="X153" i="11"/>
  <c r="AV153" i="11"/>
  <c r="Y153" i="11"/>
  <c r="AW153" i="11"/>
  <c r="Z153" i="11"/>
  <c r="AC154" i="11"/>
  <c r="F154" i="11"/>
  <c r="AD154" i="11"/>
  <c r="G154" i="11"/>
  <c r="AE154" i="11"/>
  <c r="H154" i="11"/>
  <c r="AF154" i="11"/>
  <c r="I154" i="11"/>
  <c r="AG154" i="11"/>
  <c r="J154" i="11"/>
  <c r="AH154" i="11"/>
  <c r="K154" i="11"/>
  <c r="AI154" i="11"/>
  <c r="L154" i="11"/>
  <c r="AJ154" i="11"/>
  <c r="M154" i="11"/>
  <c r="AK154" i="11"/>
  <c r="N154" i="11"/>
  <c r="AL154" i="11"/>
  <c r="O154" i="11"/>
  <c r="AM154" i="11"/>
  <c r="P154" i="11"/>
  <c r="AN154" i="11"/>
  <c r="Q154" i="11"/>
  <c r="AO154" i="11"/>
  <c r="R154" i="11"/>
  <c r="AP154" i="11"/>
  <c r="S154" i="11"/>
  <c r="AQ154" i="11"/>
  <c r="T154" i="11"/>
  <c r="AR154" i="11"/>
  <c r="U154" i="11"/>
  <c r="AS154" i="11"/>
  <c r="V154" i="11"/>
  <c r="AT154" i="11"/>
  <c r="W154" i="11"/>
  <c r="AU154" i="11"/>
  <c r="X154" i="11"/>
  <c r="AV154" i="11"/>
  <c r="Y154" i="11"/>
  <c r="AW154" i="11"/>
  <c r="Z154" i="11"/>
  <c r="AC155" i="11"/>
  <c r="F155" i="11"/>
  <c r="AD155" i="11"/>
  <c r="G155" i="11"/>
  <c r="AE155" i="11"/>
  <c r="H155" i="11"/>
  <c r="AF155" i="11"/>
  <c r="I155" i="11"/>
  <c r="AG155" i="11"/>
  <c r="J155" i="11"/>
  <c r="AH155" i="11"/>
  <c r="K155" i="11"/>
  <c r="AI155" i="11"/>
  <c r="L155" i="11"/>
  <c r="AJ155" i="11"/>
  <c r="M155" i="11"/>
  <c r="AK155" i="11"/>
  <c r="N155" i="11"/>
  <c r="AL155" i="11"/>
  <c r="O155" i="11"/>
  <c r="AM155" i="11"/>
  <c r="P155" i="11"/>
  <c r="AN155" i="11"/>
  <c r="Q155" i="11"/>
  <c r="AO155" i="11"/>
  <c r="R155" i="11"/>
  <c r="AP155" i="11"/>
  <c r="S155" i="11"/>
  <c r="AQ155" i="11"/>
  <c r="T155" i="11"/>
  <c r="AR155" i="11"/>
  <c r="U155" i="11"/>
  <c r="AS155" i="11"/>
  <c r="V155" i="11"/>
  <c r="AT155" i="11"/>
  <c r="W155" i="11"/>
  <c r="AU155" i="11"/>
  <c r="X155" i="11"/>
  <c r="AV155" i="11"/>
  <c r="Y155" i="11"/>
  <c r="AW155" i="11"/>
  <c r="Z155" i="11"/>
  <c r="AC156" i="11"/>
  <c r="F156" i="11"/>
  <c r="AD156" i="11"/>
  <c r="G156" i="11"/>
  <c r="AE156" i="11"/>
  <c r="H156" i="11"/>
  <c r="AF156" i="11"/>
  <c r="I156" i="11"/>
  <c r="AG156" i="11"/>
  <c r="J156" i="11"/>
  <c r="AH156" i="11"/>
  <c r="K156" i="11"/>
  <c r="AI156" i="11"/>
  <c r="L156" i="11"/>
  <c r="AJ156" i="11"/>
  <c r="M156" i="11"/>
  <c r="AK156" i="11"/>
  <c r="N156" i="11"/>
  <c r="AL156" i="11"/>
  <c r="O156" i="11"/>
  <c r="AM156" i="11"/>
  <c r="P156" i="11"/>
  <c r="AN156" i="11"/>
  <c r="Q156" i="11"/>
  <c r="AO156" i="11"/>
  <c r="R156" i="11"/>
  <c r="AP156" i="11"/>
  <c r="S156" i="11"/>
  <c r="AQ156" i="11"/>
  <c r="T156" i="11"/>
  <c r="AR156" i="11"/>
  <c r="U156" i="11"/>
  <c r="AS156" i="11"/>
  <c r="V156" i="11"/>
  <c r="AT156" i="11"/>
  <c r="W156" i="11"/>
  <c r="AU156" i="11"/>
  <c r="X156" i="11"/>
  <c r="AV156" i="11"/>
  <c r="Y156" i="11"/>
  <c r="AW156" i="11"/>
  <c r="Z156" i="11"/>
  <c r="AC157" i="11"/>
  <c r="F157" i="11"/>
  <c r="AD157" i="11"/>
  <c r="G157" i="11"/>
  <c r="AE157" i="11"/>
  <c r="H157" i="11"/>
  <c r="AF157" i="11"/>
  <c r="I157" i="11"/>
  <c r="AG157" i="11"/>
  <c r="J157" i="11"/>
  <c r="AH157" i="11"/>
  <c r="K157" i="11"/>
  <c r="AI157" i="11"/>
  <c r="L157" i="11"/>
  <c r="AJ157" i="11"/>
  <c r="M157" i="11"/>
  <c r="AK157" i="11"/>
  <c r="N157" i="11"/>
  <c r="AL157" i="11"/>
  <c r="O157" i="11"/>
  <c r="AM157" i="11"/>
  <c r="P157" i="11"/>
  <c r="AN157" i="11"/>
  <c r="Q157" i="11"/>
  <c r="AO157" i="11"/>
  <c r="R157" i="11"/>
  <c r="AP157" i="11"/>
  <c r="S157" i="11"/>
  <c r="AQ157" i="11"/>
  <c r="T157" i="11"/>
  <c r="AR157" i="11"/>
  <c r="U157" i="11"/>
  <c r="AS157" i="11"/>
  <c r="V157" i="11"/>
  <c r="AT157" i="11"/>
  <c r="W157" i="11"/>
  <c r="AU157" i="11"/>
  <c r="X157" i="11"/>
  <c r="AV157" i="11"/>
  <c r="Y157" i="11"/>
  <c r="AW157" i="11"/>
  <c r="Z157" i="11"/>
  <c r="AC158" i="11"/>
  <c r="F158" i="11"/>
  <c r="AD158" i="11"/>
  <c r="G158" i="11"/>
  <c r="AE158" i="11"/>
  <c r="H158" i="11"/>
  <c r="AF158" i="11"/>
  <c r="I158" i="11"/>
  <c r="AG158" i="11"/>
  <c r="J158" i="11"/>
  <c r="AH158" i="11"/>
  <c r="K158" i="11"/>
  <c r="AI158" i="11"/>
  <c r="L158" i="11"/>
  <c r="AJ158" i="11"/>
  <c r="M158" i="11"/>
  <c r="AK158" i="11"/>
  <c r="N158" i="11"/>
  <c r="AL158" i="11"/>
  <c r="O158" i="11"/>
  <c r="AM158" i="11"/>
  <c r="P158" i="11"/>
  <c r="AN158" i="11"/>
  <c r="Q158" i="11"/>
  <c r="AO158" i="11"/>
  <c r="R158" i="11"/>
  <c r="AP158" i="11"/>
  <c r="S158" i="11"/>
  <c r="AQ158" i="11"/>
  <c r="T158" i="11"/>
  <c r="AR158" i="11"/>
  <c r="U158" i="11"/>
  <c r="AS158" i="11"/>
  <c r="V158" i="11"/>
  <c r="AT158" i="11"/>
  <c r="W158" i="11"/>
  <c r="AU158" i="11"/>
  <c r="X158" i="11"/>
  <c r="AV158" i="11"/>
  <c r="Y158" i="11"/>
  <c r="AW158" i="11"/>
  <c r="Z158" i="11"/>
  <c r="AC159" i="11"/>
  <c r="F159" i="11"/>
  <c r="AD159" i="11"/>
  <c r="G159" i="11"/>
  <c r="AE159" i="11"/>
  <c r="H159" i="11"/>
  <c r="AF159" i="11"/>
  <c r="I159" i="11"/>
  <c r="AG159" i="11"/>
  <c r="J159" i="11"/>
  <c r="AH159" i="11"/>
  <c r="K159" i="11"/>
  <c r="AI159" i="11"/>
  <c r="L159" i="11"/>
  <c r="AJ159" i="11"/>
  <c r="M159" i="11"/>
  <c r="AK159" i="11"/>
  <c r="N159" i="11"/>
  <c r="AL159" i="11"/>
  <c r="O159" i="11"/>
  <c r="AM159" i="11"/>
  <c r="P159" i="11"/>
  <c r="AN159" i="11"/>
  <c r="Q159" i="11"/>
  <c r="AO159" i="11"/>
  <c r="R159" i="11"/>
  <c r="AP159" i="11"/>
  <c r="S159" i="11"/>
  <c r="AQ159" i="11"/>
  <c r="T159" i="11"/>
  <c r="AR159" i="11"/>
  <c r="U159" i="11"/>
  <c r="AS159" i="11"/>
  <c r="V159" i="11"/>
  <c r="AT159" i="11"/>
  <c r="W159" i="11"/>
  <c r="AU159" i="11"/>
  <c r="X159" i="11"/>
  <c r="AV159" i="11"/>
  <c r="Y159" i="11"/>
  <c r="AW159" i="11"/>
  <c r="Z159" i="11"/>
  <c r="AC160" i="11"/>
  <c r="F160" i="11"/>
  <c r="AD160" i="11"/>
  <c r="G160" i="11"/>
  <c r="AE160" i="11"/>
  <c r="H160" i="11"/>
  <c r="AF160" i="11"/>
  <c r="I160" i="11"/>
  <c r="AG160" i="11"/>
  <c r="J160" i="11"/>
  <c r="AH160" i="11"/>
  <c r="K160" i="11"/>
  <c r="AI160" i="11"/>
  <c r="L160" i="11"/>
  <c r="AJ160" i="11"/>
  <c r="M160" i="11"/>
  <c r="AK160" i="11"/>
  <c r="N160" i="11"/>
  <c r="AL160" i="11"/>
  <c r="O160" i="11"/>
  <c r="AM160" i="11"/>
  <c r="P160" i="11"/>
  <c r="AN160" i="11"/>
  <c r="Q160" i="11"/>
  <c r="AO160" i="11"/>
  <c r="R160" i="11"/>
  <c r="AP160" i="11"/>
  <c r="S160" i="11"/>
  <c r="AQ160" i="11"/>
  <c r="T160" i="11"/>
  <c r="AR160" i="11"/>
  <c r="U160" i="11"/>
  <c r="AS160" i="11"/>
  <c r="V160" i="11"/>
  <c r="AT160" i="11"/>
  <c r="W160" i="11"/>
  <c r="AU160" i="11"/>
  <c r="X160" i="11"/>
  <c r="AV160" i="11"/>
  <c r="Y160" i="11"/>
  <c r="AW160" i="11"/>
  <c r="Z160" i="11"/>
  <c r="AC161" i="11"/>
  <c r="F161" i="11"/>
  <c r="AD161" i="11"/>
  <c r="G161" i="11"/>
  <c r="AE161" i="11"/>
  <c r="H161" i="11"/>
  <c r="AF161" i="11"/>
  <c r="I161" i="11"/>
  <c r="AG161" i="11"/>
  <c r="J161" i="11"/>
  <c r="AH161" i="11"/>
  <c r="K161" i="11"/>
  <c r="AI161" i="11"/>
  <c r="L161" i="11"/>
  <c r="AJ161" i="11"/>
  <c r="M161" i="11"/>
  <c r="AK161" i="11"/>
  <c r="N161" i="11"/>
  <c r="AL161" i="11"/>
  <c r="O161" i="11"/>
  <c r="AM161" i="11"/>
  <c r="P161" i="11"/>
  <c r="AN161" i="11"/>
  <c r="Q161" i="11"/>
  <c r="AO161" i="11"/>
  <c r="R161" i="11"/>
  <c r="AP161" i="11"/>
  <c r="S161" i="11"/>
  <c r="AQ161" i="11"/>
  <c r="T161" i="11"/>
  <c r="AR161" i="11"/>
  <c r="U161" i="11"/>
  <c r="AS161" i="11"/>
  <c r="V161" i="11"/>
  <c r="AT161" i="11"/>
  <c r="W161" i="11"/>
  <c r="AU161" i="11"/>
  <c r="X161" i="11"/>
  <c r="AV161" i="11"/>
  <c r="Y161" i="11"/>
  <c r="AW161" i="11"/>
  <c r="Z161" i="11"/>
  <c r="AC162" i="11"/>
  <c r="F162" i="11"/>
  <c r="AD162" i="11"/>
  <c r="G162" i="11"/>
  <c r="AE162" i="11"/>
  <c r="H162" i="11"/>
  <c r="AF162" i="11"/>
  <c r="I162" i="11"/>
  <c r="AG162" i="11"/>
  <c r="J162" i="11"/>
  <c r="AH162" i="11"/>
  <c r="K162" i="11"/>
  <c r="AI162" i="11"/>
  <c r="L162" i="11"/>
  <c r="AJ162" i="11"/>
  <c r="M162" i="11"/>
  <c r="AK162" i="11"/>
  <c r="N162" i="11"/>
  <c r="AL162" i="11"/>
  <c r="O162" i="11"/>
  <c r="AM162" i="11"/>
  <c r="P162" i="11"/>
  <c r="AN162" i="11"/>
  <c r="Q162" i="11"/>
  <c r="AO162" i="11"/>
  <c r="R162" i="11"/>
  <c r="AP162" i="11"/>
  <c r="S162" i="11"/>
  <c r="AQ162" i="11"/>
  <c r="T162" i="11"/>
  <c r="AR162" i="11"/>
  <c r="U162" i="11"/>
  <c r="AS162" i="11"/>
  <c r="V162" i="11"/>
  <c r="AT162" i="11"/>
  <c r="W162" i="11"/>
  <c r="AU162" i="11"/>
  <c r="X162" i="11"/>
  <c r="AV162" i="11"/>
  <c r="Y162" i="11"/>
  <c r="AW162" i="11"/>
  <c r="Z162" i="11"/>
  <c r="AC163" i="11"/>
  <c r="F163" i="11"/>
  <c r="AD163" i="11"/>
  <c r="G163" i="11"/>
  <c r="AE163" i="11"/>
  <c r="H163" i="11"/>
  <c r="AF163" i="11"/>
  <c r="I163" i="11"/>
  <c r="AG163" i="11"/>
  <c r="J163" i="11"/>
  <c r="AH163" i="11"/>
  <c r="K163" i="11"/>
  <c r="AI163" i="11"/>
  <c r="L163" i="11"/>
  <c r="AJ163" i="11"/>
  <c r="M163" i="11"/>
  <c r="AK163" i="11"/>
  <c r="N163" i="11"/>
  <c r="AL163" i="11"/>
  <c r="O163" i="11"/>
  <c r="AM163" i="11"/>
  <c r="P163" i="11"/>
  <c r="AN163" i="11"/>
  <c r="Q163" i="11"/>
  <c r="AO163" i="11"/>
  <c r="R163" i="11"/>
  <c r="AP163" i="11"/>
  <c r="S163" i="11"/>
  <c r="AQ163" i="11"/>
  <c r="T163" i="11"/>
  <c r="AR163" i="11"/>
  <c r="U163" i="11"/>
  <c r="AS163" i="11"/>
  <c r="V163" i="11"/>
  <c r="AT163" i="11"/>
  <c r="W163" i="11"/>
  <c r="AU163" i="11"/>
  <c r="X163" i="11"/>
  <c r="AV163" i="11"/>
  <c r="Y163" i="11"/>
  <c r="AW163" i="11"/>
  <c r="Z163" i="11"/>
  <c r="AC164" i="11"/>
  <c r="F164" i="11"/>
  <c r="AD164" i="11"/>
  <c r="G164" i="11"/>
  <c r="AE164" i="11"/>
  <c r="H164" i="11"/>
  <c r="AF164" i="11"/>
  <c r="I164" i="11"/>
  <c r="AG164" i="11"/>
  <c r="J164" i="11"/>
  <c r="AH164" i="11"/>
  <c r="K164" i="11"/>
  <c r="AI164" i="11"/>
  <c r="L164" i="11"/>
  <c r="AJ164" i="11"/>
  <c r="M164" i="11"/>
  <c r="AK164" i="11"/>
  <c r="N164" i="11"/>
  <c r="AL164" i="11"/>
  <c r="O164" i="11"/>
  <c r="AM164" i="11"/>
  <c r="P164" i="11"/>
  <c r="AN164" i="11"/>
  <c r="Q164" i="11"/>
  <c r="AO164" i="11"/>
  <c r="R164" i="11"/>
  <c r="AP164" i="11"/>
  <c r="S164" i="11"/>
  <c r="AQ164" i="11"/>
  <c r="T164" i="11"/>
  <c r="AR164" i="11"/>
  <c r="U164" i="11"/>
  <c r="AS164" i="11"/>
  <c r="V164" i="11"/>
  <c r="AT164" i="11"/>
  <c r="W164" i="11"/>
  <c r="AU164" i="11"/>
  <c r="X164" i="11"/>
  <c r="AV164" i="11"/>
  <c r="Y164" i="11"/>
  <c r="AW164" i="11"/>
  <c r="Z164" i="11"/>
  <c r="AC165" i="11"/>
  <c r="F165" i="11"/>
  <c r="AD165" i="11"/>
  <c r="G165" i="11"/>
  <c r="AE165" i="11"/>
  <c r="H165" i="11"/>
  <c r="AF165" i="11"/>
  <c r="I165" i="11"/>
  <c r="AG165" i="11"/>
  <c r="J165" i="11"/>
  <c r="AH165" i="11"/>
  <c r="K165" i="11"/>
  <c r="AI165" i="11"/>
  <c r="L165" i="11"/>
  <c r="AJ165" i="11"/>
  <c r="M165" i="11"/>
  <c r="AK165" i="11"/>
  <c r="N165" i="11"/>
  <c r="AL165" i="11"/>
  <c r="O165" i="11"/>
  <c r="AM165" i="11"/>
  <c r="P165" i="11"/>
  <c r="AN165" i="11"/>
  <c r="Q165" i="11"/>
  <c r="AO165" i="11"/>
  <c r="R165" i="11"/>
  <c r="AP165" i="11"/>
  <c r="S165" i="11"/>
  <c r="AQ165" i="11"/>
  <c r="T165" i="11"/>
  <c r="AR165" i="11"/>
  <c r="U165" i="11"/>
  <c r="AS165" i="11"/>
  <c r="V165" i="11"/>
  <c r="AT165" i="11"/>
  <c r="W165" i="11"/>
  <c r="AU165" i="11"/>
  <c r="X165" i="11"/>
  <c r="AV165" i="11"/>
  <c r="Y165" i="11"/>
  <c r="AW165" i="11"/>
  <c r="Z165" i="11"/>
  <c r="AC166" i="11"/>
  <c r="F166" i="11"/>
  <c r="AD166" i="11"/>
  <c r="G166" i="11"/>
  <c r="AE166" i="11"/>
  <c r="H166" i="11"/>
  <c r="AF166" i="11"/>
  <c r="I166" i="11"/>
  <c r="AG166" i="11"/>
  <c r="J166" i="11"/>
  <c r="AH166" i="11"/>
  <c r="K166" i="11"/>
  <c r="AI166" i="11"/>
  <c r="L166" i="11"/>
  <c r="AJ166" i="11"/>
  <c r="M166" i="11"/>
  <c r="AK166" i="11"/>
  <c r="N166" i="11"/>
  <c r="AL166" i="11"/>
  <c r="O166" i="11"/>
  <c r="AM166" i="11"/>
  <c r="P166" i="11"/>
  <c r="AN166" i="11"/>
  <c r="Q166" i="11"/>
  <c r="AO166" i="11"/>
  <c r="R166" i="11"/>
  <c r="AP166" i="11"/>
  <c r="S166" i="11"/>
  <c r="AQ166" i="11"/>
  <c r="T166" i="11"/>
  <c r="AR166" i="11"/>
  <c r="U166" i="11"/>
  <c r="AS166" i="11"/>
  <c r="V166" i="11"/>
  <c r="AT166" i="11"/>
  <c r="W166" i="11"/>
  <c r="AU166" i="11"/>
  <c r="X166" i="11"/>
  <c r="AV166" i="11"/>
  <c r="Y166" i="11"/>
  <c r="AW166" i="11"/>
  <c r="Z166" i="11"/>
  <c r="AC167" i="11"/>
  <c r="F167" i="11"/>
  <c r="AD167" i="11"/>
  <c r="G167" i="11"/>
  <c r="AE167" i="11"/>
  <c r="H167" i="11"/>
  <c r="AF167" i="11"/>
  <c r="I167" i="11"/>
  <c r="AG167" i="11"/>
  <c r="J167" i="11"/>
  <c r="AH167" i="11"/>
  <c r="K167" i="11"/>
  <c r="AI167" i="11"/>
  <c r="L167" i="11"/>
  <c r="AJ167" i="11"/>
  <c r="M167" i="11"/>
  <c r="AK167" i="11"/>
  <c r="N167" i="11"/>
  <c r="AL167" i="11"/>
  <c r="O167" i="11"/>
  <c r="AM167" i="11"/>
  <c r="P167" i="11"/>
  <c r="AN167" i="11"/>
  <c r="Q167" i="11"/>
  <c r="AO167" i="11"/>
  <c r="R167" i="11"/>
  <c r="AP167" i="11"/>
  <c r="S167" i="11"/>
  <c r="AQ167" i="11"/>
  <c r="T167" i="11"/>
  <c r="AR167" i="11"/>
  <c r="U167" i="11"/>
  <c r="AS167" i="11"/>
  <c r="V167" i="11"/>
  <c r="AT167" i="11"/>
  <c r="W167" i="11"/>
  <c r="AU167" i="11"/>
  <c r="X167" i="11"/>
  <c r="AV167" i="11"/>
  <c r="Y167" i="11"/>
  <c r="AW167" i="11"/>
  <c r="Z167" i="11"/>
  <c r="AC168" i="11"/>
  <c r="F168" i="11"/>
  <c r="AD168" i="11"/>
  <c r="G168" i="11"/>
  <c r="AE168" i="11"/>
  <c r="H168" i="11"/>
  <c r="AF168" i="11"/>
  <c r="I168" i="11"/>
  <c r="AG168" i="11"/>
  <c r="J168" i="11"/>
  <c r="AH168" i="11"/>
  <c r="K168" i="11"/>
  <c r="AI168" i="11"/>
  <c r="L168" i="11"/>
  <c r="AJ168" i="11"/>
  <c r="M168" i="11"/>
  <c r="AK168" i="11"/>
  <c r="N168" i="11"/>
  <c r="AL168" i="11"/>
  <c r="O168" i="11"/>
  <c r="AM168" i="11"/>
  <c r="P168" i="11"/>
  <c r="AN168" i="11"/>
  <c r="Q168" i="11"/>
  <c r="AO168" i="11"/>
  <c r="R168" i="11"/>
  <c r="AP168" i="11"/>
  <c r="S168" i="11"/>
  <c r="AQ168" i="11"/>
  <c r="T168" i="11"/>
  <c r="AR168" i="11"/>
  <c r="U168" i="11"/>
  <c r="AS168" i="11"/>
  <c r="V168" i="11"/>
  <c r="AT168" i="11"/>
  <c r="W168" i="11"/>
  <c r="AU168" i="11"/>
  <c r="X168" i="11"/>
  <c r="AV168" i="11"/>
  <c r="Y168" i="11"/>
  <c r="AW168" i="11"/>
  <c r="Z168" i="11"/>
  <c r="AC169" i="11"/>
  <c r="F169" i="11"/>
  <c r="AD169" i="11"/>
  <c r="G169" i="11"/>
  <c r="AE169" i="11"/>
  <c r="H169" i="11"/>
  <c r="AF169" i="11"/>
  <c r="I169" i="11"/>
  <c r="AG169" i="11"/>
  <c r="J169" i="11"/>
  <c r="AH169" i="11"/>
  <c r="K169" i="11"/>
  <c r="AI169" i="11"/>
  <c r="L169" i="11"/>
  <c r="AJ169" i="11"/>
  <c r="M169" i="11"/>
  <c r="AK169" i="11"/>
  <c r="N169" i="11"/>
  <c r="AL169" i="11"/>
  <c r="O169" i="11"/>
  <c r="AM169" i="11"/>
  <c r="P169" i="11"/>
  <c r="AN169" i="11"/>
  <c r="Q169" i="11"/>
  <c r="AO169" i="11"/>
  <c r="R169" i="11"/>
  <c r="AP169" i="11"/>
  <c r="S169" i="11"/>
  <c r="AQ169" i="11"/>
  <c r="T169" i="11"/>
  <c r="AR169" i="11"/>
  <c r="U169" i="11"/>
  <c r="AS169" i="11"/>
  <c r="V169" i="11"/>
  <c r="AT169" i="11"/>
  <c r="W169" i="11"/>
  <c r="AU169" i="11"/>
  <c r="X169" i="11"/>
  <c r="AV169" i="11"/>
  <c r="Y169" i="11"/>
  <c r="AW169" i="11"/>
  <c r="Z169" i="11"/>
  <c r="AC170" i="11"/>
  <c r="F170" i="11"/>
  <c r="AD170" i="11"/>
  <c r="G170" i="11"/>
  <c r="AE170" i="11"/>
  <c r="H170" i="11"/>
  <c r="AF170" i="11"/>
  <c r="I170" i="11"/>
  <c r="AG170" i="11"/>
  <c r="J170" i="11"/>
  <c r="AH170" i="11"/>
  <c r="K170" i="11"/>
  <c r="AI170" i="11"/>
  <c r="L170" i="11"/>
  <c r="AJ170" i="11"/>
  <c r="M170" i="11"/>
  <c r="AK170" i="11"/>
  <c r="N170" i="11"/>
  <c r="AL170" i="11"/>
  <c r="O170" i="11"/>
  <c r="AM170" i="11"/>
  <c r="P170" i="11"/>
  <c r="AN170" i="11"/>
  <c r="Q170" i="11"/>
  <c r="AO170" i="11"/>
  <c r="R170" i="11"/>
  <c r="AP170" i="11"/>
  <c r="S170" i="11"/>
  <c r="AQ170" i="11"/>
  <c r="T170" i="11"/>
  <c r="AR170" i="11"/>
  <c r="U170" i="11"/>
  <c r="AS170" i="11"/>
  <c r="V170" i="11"/>
  <c r="AT170" i="11"/>
  <c r="W170" i="11"/>
  <c r="AU170" i="11"/>
  <c r="X170" i="11"/>
  <c r="AV170" i="11"/>
  <c r="Y170" i="11"/>
  <c r="AW170" i="11"/>
  <c r="Z170" i="11"/>
  <c r="AC171" i="11"/>
  <c r="F171" i="11"/>
  <c r="AD171" i="11"/>
  <c r="G171" i="11"/>
  <c r="AE171" i="11"/>
  <c r="H171" i="11"/>
  <c r="AF171" i="11"/>
  <c r="I171" i="11"/>
  <c r="AG171" i="11"/>
  <c r="J171" i="11"/>
  <c r="AH171" i="11"/>
  <c r="K171" i="11"/>
  <c r="AI171" i="11"/>
  <c r="L171" i="11"/>
  <c r="AJ171" i="11"/>
  <c r="M171" i="11"/>
  <c r="AK171" i="11"/>
  <c r="N171" i="11"/>
  <c r="AL171" i="11"/>
  <c r="O171" i="11"/>
  <c r="AM171" i="11"/>
  <c r="P171" i="11"/>
  <c r="AN171" i="11"/>
  <c r="Q171" i="11"/>
  <c r="AO171" i="11"/>
  <c r="R171" i="11"/>
  <c r="AP171" i="11"/>
  <c r="S171" i="11"/>
  <c r="AQ171" i="11"/>
  <c r="T171" i="11"/>
  <c r="AR171" i="11"/>
  <c r="U171" i="11"/>
  <c r="AS171" i="11"/>
  <c r="V171" i="11"/>
  <c r="AT171" i="11"/>
  <c r="W171" i="11"/>
  <c r="AU171" i="11"/>
  <c r="X171" i="11"/>
  <c r="AV171" i="11"/>
  <c r="Y171" i="11"/>
  <c r="AW171" i="11"/>
  <c r="Z171" i="11"/>
  <c r="AC172" i="11"/>
  <c r="F172" i="11"/>
  <c r="AD172" i="11"/>
  <c r="G172" i="11"/>
  <c r="AE172" i="11"/>
  <c r="H172" i="11"/>
  <c r="AF172" i="11"/>
  <c r="I172" i="11"/>
  <c r="AG172" i="11"/>
  <c r="J172" i="11"/>
  <c r="AH172" i="11"/>
  <c r="K172" i="11"/>
  <c r="AI172" i="11"/>
  <c r="L172" i="11"/>
  <c r="AJ172" i="11"/>
  <c r="M172" i="11"/>
  <c r="AK172" i="11"/>
  <c r="N172" i="11"/>
  <c r="AL172" i="11"/>
  <c r="O172" i="11"/>
  <c r="AM172" i="11"/>
  <c r="P172" i="11"/>
  <c r="AN172" i="11"/>
  <c r="Q172" i="11"/>
  <c r="AO172" i="11"/>
  <c r="R172" i="11"/>
  <c r="AP172" i="11"/>
  <c r="S172" i="11"/>
  <c r="AQ172" i="11"/>
  <c r="T172" i="11"/>
  <c r="AR172" i="11"/>
  <c r="U172" i="11"/>
  <c r="AS172" i="11"/>
  <c r="V172" i="11"/>
  <c r="AT172" i="11"/>
  <c r="W172" i="11"/>
  <c r="AU172" i="11"/>
  <c r="X172" i="11"/>
  <c r="AV172" i="11"/>
  <c r="Y172" i="11"/>
  <c r="AW172" i="11"/>
  <c r="Z172" i="11"/>
  <c r="AC173" i="11"/>
  <c r="F173" i="11"/>
  <c r="AD173" i="11"/>
  <c r="G173" i="11"/>
  <c r="AE173" i="11"/>
  <c r="H173" i="11"/>
  <c r="AF173" i="11"/>
  <c r="I173" i="11"/>
  <c r="AG173" i="11"/>
  <c r="J173" i="11"/>
  <c r="AH173" i="11"/>
  <c r="K173" i="11"/>
  <c r="AI173" i="11"/>
  <c r="L173" i="11"/>
  <c r="AJ173" i="11"/>
  <c r="M173" i="11"/>
  <c r="AK173" i="11"/>
  <c r="N173" i="11"/>
  <c r="AL173" i="11"/>
  <c r="O173" i="11"/>
  <c r="AM173" i="11"/>
  <c r="P173" i="11"/>
  <c r="AN173" i="11"/>
  <c r="Q173" i="11"/>
  <c r="AO173" i="11"/>
  <c r="R173" i="11"/>
  <c r="AP173" i="11"/>
  <c r="S173" i="11"/>
  <c r="AQ173" i="11"/>
  <c r="T173" i="11"/>
  <c r="AR173" i="11"/>
  <c r="U173" i="11"/>
  <c r="AS173" i="11"/>
  <c r="V173" i="11"/>
  <c r="AT173" i="11"/>
  <c r="W173" i="11"/>
  <c r="AU173" i="11"/>
  <c r="X173" i="11"/>
  <c r="AV173" i="11"/>
  <c r="Y173" i="11"/>
  <c r="AW173" i="11"/>
  <c r="Z173" i="11"/>
  <c r="AC174" i="11"/>
  <c r="F174" i="11"/>
  <c r="AD174" i="11"/>
  <c r="G174" i="11"/>
  <c r="AE174" i="11"/>
  <c r="H174" i="11"/>
  <c r="AF174" i="11"/>
  <c r="I174" i="11"/>
  <c r="AG174" i="11"/>
  <c r="J174" i="11"/>
  <c r="AH174" i="11"/>
  <c r="K174" i="11"/>
  <c r="AI174" i="11"/>
  <c r="L174" i="11"/>
  <c r="AJ174" i="11"/>
  <c r="M174" i="11"/>
  <c r="AK174" i="11"/>
  <c r="N174" i="11"/>
  <c r="AL174" i="11"/>
  <c r="O174" i="11"/>
  <c r="AM174" i="11"/>
  <c r="P174" i="11"/>
  <c r="AN174" i="11"/>
  <c r="Q174" i="11"/>
  <c r="AO174" i="11"/>
  <c r="R174" i="11"/>
  <c r="AP174" i="11"/>
  <c r="S174" i="11"/>
  <c r="AQ174" i="11"/>
  <c r="T174" i="11"/>
  <c r="AR174" i="11"/>
  <c r="U174" i="11"/>
  <c r="AS174" i="11"/>
  <c r="V174" i="11"/>
  <c r="AT174" i="11"/>
  <c r="W174" i="11"/>
  <c r="AU174" i="11"/>
  <c r="X174" i="11"/>
  <c r="AV174" i="11"/>
  <c r="Y174" i="11"/>
  <c r="AW174" i="11"/>
  <c r="Z174" i="11"/>
  <c r="AC175" i="11"/>
  <c r="F175" i="11"/>
  <c r="AD175" i="11"/>
  <c r="G175" i="11"/>
  <c r="AE175" i="11"/>
  <c r="H175" i="11"/>
  <c r="AF175" i="11"/>
  <c r="I175" i="11"/>
  <c r="AG175" i="11"/>
  <c r="J175" i="11"/>
  <c r="AH175" i="11"/>
  <c r="K175" i="11"/>
  <c r="AI175" i="11"/>
  <c r="L175" i="11"/>
  <c r="AJ175" i="11"/>
  <c r="M175" i="11"/>
  <c r="AK175" i="11"/>
  <c r="N175" i="11"/>
  <c r="AL175" i="11"/>
  <c r="O175" i="11"/>
  <c r="AM175" i="11"/>
  <c r="P175" i="11"/>
  <c r="AN175" i="11"/>
  <c r="Q175" i="11"/>
  <c r="AO175" i="11"/>
  <c r="R175" i="11"/>
  <c r="AP175" i="11"/>
  <c r="S175" i="11"/>
  <c r="AQ175" i="11"/>
  <c r="T175" i="11"/>
  <c r="AR175" i="11"/>
  <c r="U175" i="11"/>
  <c r="AS175" i="11"/>
  <c r="V175" i="11"/>
  <c r="AT175" i="11"/>
  <c r="W175" i="11"/>
  <c r="AU175" i="11"/>
  <c r="X175" i="11"/>
  <c r="AV175" i="11"/>
  <c r="Y175" i="11"/>
  <c r="AW175" i="11"/>
  <c r="Z175" i="11"/>
  <c r="AC176" i="11"/>
  <c r="F176" i="11"/>
  <c r="AD176" i="11"/>
  <c r="G176" i="11"/>
  <c r="AE176" i="11"/>
  <c r="H176" i="11"/>
  <c r="AF176" i="11"/>
  <c r="I176" i="11"/>
  <c r="AG176" i="11"/>
  <c r="J176" i="11"/>
  <c r="AH176" i="11"/>
  <c r="K176" i="11"/>
  <c r="AI176" i="11"/>
  <c r="L176" i="11"/>
  <c r="AJ176" i="11"/>
  <c r="M176" i="11"/>
  <c r="AK176" i="11"/>
  <c r="N176" i="11"/>
  <c r="AL176" i="11"/>
  <c r="O176" i="11"/>
  <c r="AM176" i="11"/>
  <c r="P176" i="11"/>
  <c r="AN176" i="11"/>
  <c r="Q176" i="11"/>
  <c r="AO176" i="11"/>
  <c r="R176" i="11"/>
  <c r="AP176" i="11"/>
  <c r="S176" i="11"/>
  <c r="AQ176" i="11"/>
  <c r="T176" i="11"/>
  <c r="AR176" i="11"/>
  <c r="U176" i="11"/>
  <c r="AS176" i="11"/>
  <c r="V176" i="11"/>
  <c r="AT176" i="11"/>
  <c r="W176" i="11"/>
  <c r="AU176" i="11"/>
  <c r="X176" i="11"/>
  <c r="AV176" i="11"/>
  <c r="Y176" i="11"/>
  <c r="AW176" i="11"/>
  <c r="Z176" i="11"/>
  <c r="AC177" i="11"/>
  <c r="F177" i="11"/>
  <c r="AD177" i="11"/>
  <c r="G177" i="11"/>
  <c r="AE177" i="11"/>
  <c r="H177" i="11"/>
  <c r="AF177" i="11"/>
  <c r="I177" i="11"/>
  <c r="AG177" i="11"/>
  <c r="J177" i="11"/>
  <c r="AH177" i="11"/>
  <c r="K177" i="11"/>
  <c r="AI177" i="11"/>
  <c r="L177" i="11"/>
  <c r="AJ177" i="11"/>
  <c r="M177" i="11"/>
  <c r="AK177" i="11"/>
  <c r="N177" i="11"/>
  <c r="AL177" i="11"/>
  <c r="O177" i="11"/>
  <c r="AM177" i="11"/>
  <c r="P177" i="11"/>
  <c r="AN177" i="11"/>
  <c r="Q177" i="11"/>
  <c r="AO177" i="11"/>
  <c r="R177" i="11"/>
  <c r="AP177" i="11"/>
  <c r="S177" i="11"/>
  <c r="AQ177" i="11"/>
  <c r="T177" i="11"/>
  <c r="AR177" i="11"/>
  <c r="U177" i="11"/>
  <c r="AS177" i="11"/>
  <c r="V177" i="11"/>
  <c r="AT177" i="11"/>
  <c r="W177" i="11"/>
  <c r="AU177" i="11"/>
  <c r="X177" i="11"/>
  <c r="AV177" i="11"/>
  <c r="Y177" i="11"/>
  <c r="AW177" i="11"/>
  <c r="Z177" i="11"/>
  <c r="AC178" i="11"/>
  <c r="F178" i="11"/>
  <c r="AD178" i="11"/>
  <c r="G178" i="11"/>
  <c r="AE178" i="11"/>
  <c r="H178" i="11"/>
  <c r="AF178" i="11"/>
  <c r="I178" i="11"/>
  <c r="AG178" i="11"/>
  <c r="J178" i="11"/>
  <c r="AH178" i="11"/>
  <c r="K178" i="11"/>
  <c r="AI178" i="11"/>
  <c r="L178" i="11"/>
  <c r="AJ178" i="11"/>
  <c r="M178" i="11"/>
  <c r="AK178" i="11"/>
  <c r="N178" i="11"/>
  <c r="AL178" i="11"/>
  <c r="O178" i="11"/>
  <c r="AM178" i="11"/>
  <c r="P178" i="11"/>
  <c r="AN178" i="11"/>
  <c r="Q178" i="11"/>
  <c r="AO178" i="11"/>
  <c r="R178" i="11"/>
  <c r="AP178" i="11"/>
  <c r="S178" i="11"/>
  <c r="AQ178" i="11"/>
  <c r="T178" i="11"/>
  <c r="AR178" i="11"/>
  <c r="U178" i="11"/>
  <c r="AS178" i="11"/>
  <c r="V178" i="11"/>
  <c r="AT178" i="11"/>
  <c r="W178" i="11"/>
  <c r="AU178" i="11"/>
  <c r="X178" i="11"/>
  <c r="AV178" i="11"/>
  <c r="Y178" i="11"/>
  <c r="AW178" i="11"/>
  <c r="Z178" i="11"/>
  <c r="AC179" i="11"/>
  <c r="F179" i="11"/>
  <c r="AD179" i="11"/>
  <c r="G179" i="11"/>
  <c r="AE179" i="11"/>
  <c r="H179" i="11"/>
  <c r="AF179" i="11"/>
  <c r="I179" i="11"/>
  <c r="AG179" i="11"/>
  <c r="J179" i="11"/>
  <c r="AH179" i="11"/>
  <c r="K179" i="11"/>
  <c r="AI179" i="11"/>
  <c r="L179" i="11"/>
  <c r="AJ179" i="11"/>
  <c r="M179" i="11"/>
  <c r="AK179" i="11"/>
  <c r="N179" i="11"/>
  <c r="AL179" i="11"/>
  <c r="O179" i="11"/>
  <c r="AM179" i="11"/>
  <c r="P179" i="11"/>
  <c r="AN179" i="11"/>
  <c r="Q179" i="11"/>
  <c r="AO179" i="11"/>
  <c r="R179" i="11"/>
  <c r="AP179" i="11"/>
  <c r="S179" i="11"/>
  <c r="AQ179" i="11"/>
  <c r="T179" i="11"/>
  <c r="AR179" i="11"/>
  <c r="U179" i="11"/>
  <c r="AS179" i="11"/>
  <c r="V179" i="11"/>
  <c r="AT179" i="11"/>
  <c r="W179" i="11"/>
  <c r="AU179" i="11"/>
  <c r="X179" i="11"/>
  <c r="AV179" i="11"/>
  <c r="Y179" i="11"/>
  <c r="AW179" i="11"/>
  <c r="Z179" i="11"/>
  <c r="AC180" i="11"/>
  <c r="F180" i="11"/>
  <c r="AD180" i="11"/>
  <c r="G180" i="11"/>
  <c r="AE180" i="11"/>
  <c r="H180" i="11"/>
  <c r="AF180" i="11"/>
  <c r="I180" i="11"/>
  <c r="AG180" i="11"/>
  <c r="J180" i="11"/>
  <c r="AH180" i="11"/>
  <c r="K180" i="11"/>
  <c r="AI180" i="11"/>
  <c r="L180" i="11"/>
  <c r="AJ180" i="11"/>
  <c r="M180" i="11"/>
  <c r="AK180" i="11"/>
  <c r="N180" i="11"/>
  <c r="AL180" i="11"/>
  <c r="O180" i="11"/>
  <c r="AM180" i="11"/>
  <c r="P180" i="11"/>
  <c r="AN180" i="11"/>
  <c r="Q180" i="11"/>
  <c r="AO180" i="11"/>
  <c r="R180" i="11"/>
  <c r="AP180" i="11"/>
  <c r="S180" i="11"/>
  <c r="AQ180" i="11"/>
  <c r="T180" i="11"/>
  <c r="AR180" i="11"/>
  <c r="U180" i="11"/>
  <c r="AS180" i="11"/>
  <c r="V180" i="11"/>
  <c r="AT180" i="11"/>
  <c r="W180" i="11"/>
  <c r="AU180" i="11"/>
  <c r="X180" i="11"/>
  <c r="AV180" i="11"/>
  <c r="Y180" i="11"/>
  <c r="AW180" i="11"/>
  <c r="Z180" i="11"/>
  <c r="AC181" i="11"/>
  <c r="F181" i="11"/>
  <c r="AD181" i="11"/>
  <c r="G181" i="11"/>
  <c r="AE181" i="11"/>
  <c r="H181" i="11"/>
  <c r="AF181" i="11"/>
  <c r="I181" i="11"/>
  <c r="AG181" i="11"/>
  <c r="J181" i="11"/>
  <c r="AH181" i="11"/>
  <c r="K181" i="11"/>
  <c r="AI181" i="11"/>
  <c r="L181" i="11"/>
  <c r="AJ181" i="11"/>
  <c r="M181" i="11"/>
  <c r="AK181" i="11"/>
  <c r="N181" i="11"/>
  <c r="AL181" i="11"/>
  <c r="O181" i="11"/>
  <c r="AM181" i="11"/>
  <c r="P181" i="11"/>
  <c r="AN181" i="11"/>
  <c r="Q181" i="11"/>
  <c r="AO181" i="11"/>
  <c r="R181" i="11"/>
  <c r="AP181" i="11"/>
  <c r="S181" i="11"/>
  <c r="AQ181" i="11"/>
  <c r="T181" i="11"/>
  <c r="AR181" i="11"/>
  <c r="U181" i="11"/>
  <c r="AS181" i="11"/>
  <c r="V181" i="11"/>
  <c r="AT181" i="11"/>
  <c r="W181" i="11"/>
  <c r="AU181" i="11"/>
  <c r="X181" i="11"/>
  <c r="AV181" i="11"/>
  <c r="Y181" i="11"/>
  <c r="AW181" i="11"/>
  <c r="Z181" i="11"/>
  <c r="AC182" i="11"/>
  <c r="F182" i="11"/>
  <c r="AD182" i="11"/>
  <c r="G182" i="11"/>
  <c r="AE182" i="11"/>
  <c r="H182" i="11"/>
  <c r="AF182" i="11"/>
  <c r="I182" i="11"/>
  <c r="AG182" i="11"/>
  <c r="J182" i="11"/>
  <c r="AH182" i="11"/>
  <c r="K182" i="11"/>
  <c r="AI182" i="11"/>
  <c r="L182" i="11"/>
  <c r="AJ182" i="11"/>
  <c r="M182" i="11"/>
  <c r="AK182" i="11"/>
  <c r="N182" i="11"/>
  <c r="AL182" i="11"/>
  <c r="O182" i="11"/>
  <c r="AM182" i="11"/>
  <c r="P182" i="11"/>
  <c r="AN182" i="11"/>
  <c r="Q182" i="11"/>
  <c r="AO182" i="11"/>
  <c r="R182" i="11"/>
  <c r="AP182" i="11"/>
  <c r="S182" i="11"/>
  <c r="AQ182" i="11"/>
  <c r="T182" i="11"/>
  <c r="AR182" i="11"/>
  <c r="U182" i="11"/>
  <c r="AS182" i="11"/>
  <c r="V182" i="11"/>
  <c r="AT182" i="11"/>
  <c r="W182" i="11"/>
  <c r="AU182" i="11"/>
  <c r="X182" i="11"/>
  <c r="AV182" i="11"/>
  <c r="Y182" i="11"/>
  <c r="AW182" i="11"/>
  <c r="Z182" i="11"/>
  <c r="AC183" i="11"/>
  <c r="F183" i="11"/>
  <c r="AD183" i="11"/>
  <c r="G183" i="11"/>
  <c r="AE183" i="11"/>
  <c r="H183" i="11"/>
  <c r="AF183" i="11"/>
  <c r="I183" i="11"/>
  <c r="AG183" i="11"/>
  <c r="J183" i="11"/>
  <c r="AH183" i="11"/>
  <c r="K183" i="11"/>
  <c r="AI183" i="11"/>
  <c r="L183" i="11"/>
  <c r="AJ183" i="11"/>
  <c r="M183" i="11"/>
  <c r="AK183" i="11"/>
  <c r="N183" i="11"/>
  <c r="AL183" i="11"/>
  <c r="O183" i="11"/>
  <c r="AM183" i="11"/>
  <c r="P183" i="11"/>
  <c r="AN183" i="11"/>
  <c r="Q183" i="11"/>
  <c r="AO183" i="11"/>
  <c r="R183" i="11"/>
  <c r="AP183" i="11"/>
  <c r="S183" i="11"/>
  <c r="AQ183" i="11"/>
  <c r="T183" i="11"/>
  <c r="AR183" i="11"/>
  <c r="U183" i="11"/>
  <c r="AS183" i="11"/>
  <c r="V183" i="11"/>
  <c r="AT183" i="11"/>
  <c r="W183" i="11"/>
  <c r="AU183" i="11"/>
  <c r="X183" i="11"/>
  <c r="AV183" i="11"/>
  <c r="Y183" i="11"/>
  <c r="AW183" i="11"/>
  <c r="Z183" i="11"/>
  <c r="AC184" i="11"/>
  <c r="F184" i="11"/>
  <c r="AD184" i="11"/>
  <c r="G184" i="11"/>
  <c r="AE184" i="11"/>
  <c r="H184" i="11"/>
  <c r="AF184" i="11"/>
  <c r="I184" i="11"/>
  <c r="AG184" i="11"/>
  <c r="J184" i="11"/>
  <c r="AH184" i="11"/>
  <c r="K184" i="11"/>
  <c r="AI184" i="11"/>
  <c r="L184" i="11"/>
  <c r="AJ184" i="11"/>
  <c r="M184" i="11"/>
  <c r="AK184" i="11"/>
  <c r="N184" i="11"/>
  <c r="AL184" i="11"/>
  <c r="O184" i="11"/>
  <c r="AM184" i="11"/>
  <c r="P184" i="11"/>
  <c r="AN184" i="11"/>
  <c r="Q184" i="11"/>
  <c r="AO184" i="11"/>
  <c r="R184" i="11"/>
  <c r="AP184" i="11"/>
  <c r="S184" i="11"/>
  <c r="AQ184" i="11"/>
  <c r="T184" i="11"/>
  <c r="AR184" i="11"/>
  <c r="U184" i="11"/>
  <c r="AS184" i="11"/>
  <c r="V184" i="11"/>
  <c r="AT184" i="11"/>
  <c r="W184" i="11"/>
  <c r="AU184" i="11"/>
  <c r="X184" i="11"/>
  <c r="AV184" i="11"/>
  <c r="Y184" i="11"/>
  <c r="AW184" i="11"/>
  <c r="Z184" i="11"/>
  <c r="AC185" i="11"/>
  <c r="F185" i="11"/>
  <c r="AD185" i="11"/>
  <c r="G185" i="11"/>
  <c r="AE185" i="11"/>
  <c r="H185" i="11"/>
  <c r="AF185" i="11"/>
  <c r="I185" i="11"/>
  <c r="AG185" i="11"/>
  <c r="J185" i="11"/>
  <c r="AH185" i="11"/>
  <c r="K185" i="11"/>
  <c r="AI185" i="11"/>
  <c r="L185" i="11"/>
  <c r="AJ185" i="11"/>
  <c r="M185" i="11"/>
  <c r="AK185" i="11"/>
  <c r="N185" i="11"/>
  <c r="AL185" i="11"/>
  <c r="O185" i="11"/>
  <c r="AM185" i="11"/>
  <c r="P185" i="11"/>
  <c r="AN185" i="11"/>
  <c r="Q185" i="11"/>
  <c r="AO185" i="11"/>
  <c r="R185" i="11"/>
  <c r="AP185" i="11"/>
  <c r="S185" i="11"/>
  <c r="AQ185" i="11"/>
  <c r="T185" i="11"/>
  <c r="AR185" i="11"/>
  <c r="U185" i="11"/>
  <c r="AS185" i="11"/>
  <c r="V185" i="11"/>
  <c r="AT185" i="11"/>
  <c r="W185" i="11"/>
  <c r="AU185" i="11"/>
  <c r="X185" i="11"/>
  <c r="AV185" i="11"/>
  <c r="Y185" i="11"/>
  <c r="AW185" i="11"/>
  <c r="Z185" i="11"/>
  <c r="AC186" i="11"/>
  <c r="F186" i="11"/>
  <c r="AD186" i="11"/>
  <c r="G186" i="11"/>
  <c r="AE186" i="11"/>
  <c r="H186" i="11"/>
  <c r="AF186" i="11"/>
  <c r="I186" i="11"/>
  <c r="AG186" i="11"/>
  <c r="J186" i="11"/>
  <c r="AH186" i="11"/>
  <c r="K186" i="11"/>
  <c r="AI186" i="11"/>
  <c r="L186" i="11"/>
  <c r="AJ186" i="11"/>
  <c r="M186" i="11"/>
  <c r="AK186" i="11"/>
  <c r="N186" i="11"/>
  <c r="AL186" i="11"/>
  <c r="O186" i="11"/>
  <c r="AM186" i="11"/>
  <c r="P186" i="11"/>
  <c r="AN186" i="11"/>
  <c r="Q186" i="11"/>
  <c r="AO186" i="11"/>
  <c r="R186" i="11"/>
  <c r="AP186" i="11"/>
  <c r="S186" i="11"/>
  <c r="AQ186" i="11"/>
  <c r="T186" i="11"/>
  <c r="AR186" i="11"/>
  <c r="U186" i="11"/>
  <c r="AS186" i="11"/>
  <c r="V186" i="11"/>
  <c r="AT186" i="11"/>
  <c r="W186" i="11"/>
  <c r="AU186" i="11"/>
  <c r="X186" i="11"/>
  <c r="AV186" i="11"/>
  <c r="Y186" i="11"/>
  <c r="AW186" i="11"/>
  <c r="Z186" i="11"/>
  <c r="AC187" i="11"/>
  <c r="F187" i="11"/>
  <c r="AD187" i="11"/>
  <c r="G187" i="11"/>
  <c r="AE187" i="11"/>
  <c r="H187" i="11"/>
  <c r="AF187" i="11"/>
  <c r="I187" i="11"/>
  <c r="AG187" i="11"/>
  <c r="J187" i="11"/>
  <c r="AH187" i="11"/>
  <c r="K187" i="11"/>
  <c r="AI187" i="11"/>
  <c r="L187" i="11"/>
  <c r="AJ187" i="11"/>
  <c r="M187" i="11"/>
  <c r="AK187" i="11"/>
  <c r="N187" i="11"/>
  <c r="AL187" i="11"/>
  <c r="O187" i="11"/>
  <c r="AM187" i="11"/>
  <c r="P187" i="11"/>
  <c r="AN187" i="11"/>
  <c r="Q187" i="11"/>
  <c r="AO187" i="11"/>
  <c r="R187" i="11"/>
  <c r="AP187" i="11"/>
  <c r="S187" i="11"/>
  <c r="AQ187" i="11"/>
  <c r="T187" i="11"/>
  <c r="AR187" i="11"/>
  <c r="U187" i="11"/>
  <c r="AS187" i="11"/>
  <c r="V187" i="11"/>
  <c r="AT187" i="11"/>
  <c r="W187" i="11"/>
  <c r="AU187" i="11"/>
  <c r="X187" i="11"/>
  <c r="AV187" i="11"/>
  <c r="Y187" i="11"/>
  <c r="AW187" i="11"/>
  <c r="Z187" i="11"/>
  <c r="AC188" i="11"/>
  <c r="F188" i="11"/>
  <c r="AD188" i="11"/>
  <c r="G188" i="11"/>
  <c r="AE188" i="11"/>
  <c r="H188" i="11"/>
  <c r="AF188" i="11"/>
  <c r="I188" i="11"/>
  <c r="AG188" i="11"/>
  <c r="J188" i="11"/>
  <c r="AH188" i="11"/>
  <c r="K188" i="11"/>
  <c r="AI188" i="11"/>
  <c r="L188" i="11"/>
  <c r="AJ188" i="11"/>
  <c r="M188" i="11"/>
  <c r="AK188" i="11"/>
  <c r="N188" i="11"/>
  <c r="AL188" i="11"/>
  <c r="O188" i="11"/>
  <c r="AM188" i="11"/>
  <c r="P188" i="11"/>
  <c r="AN188" i="11"/>
  <c r="Q188" i="11"/>
  <c r="AO188" i="11"/>
  <c r="R188" i="11"/>
  <c r="AP188" i="11"/>
  <c r="S188" i="11"/>
  <c r="AQ188" i="11"/>
  <c r="T188" i="11"/>
  <c r="AR188" i="11"/>
  <c r="U188" i="11"/>
  <c r="AS188" i="11"/>
  <c r="V188" i="11"/>
  <c r="AT188" i="11"/>
  <c r="W188" i="11"/>
  <c r="AU188" i="11"/>
  <c r="X188" i="11"/>
  <c r="AV188" i="11"/>
  <c r="Y188" i="11"/>
  <c r="AW188" i="11"/>
  <c r="Z188" i="11"/>
  <c r="AC189" i="11"/>
  <c r="F189" i="11"/>
  <c r="AD189" i="11"/>
  <c r="G189" i="11"/>
  <c r="AE189" i="11"/>
  <c r="H189" i="11"/>
  <c r="AF189" i="11"/>
  <c r="I189" i="11"/>
  <c r="AG189" i="11"/>
  <c r="J189" i="11"/>
  <c r="AH189" i="11"/>
  <c r="K189" i="11"/>
  <c r="AI189" i="11"/>
  <c r="L189" i="11"/>
  <c r="AJ189" i="11"/>
  <c r="M189" i="11"/>
  <c r="AK189" i="11"/>
  <c r="N189" i="11"/>
  <c r="AL189" i="11"/>
  <c r="O189" i="11"/>
  <c r="AM189" i="11"/>
  <c r="P189" i="11"/>
  <c r="AN189" i="11"/>
  <c r="Q189" i="11"/>
  <c r="AO189" i="11"/>
  <c r="R189" i="11"/>
  <c r="AP189" i="11"/>
  <c r="S189" i="11"/>
  <c r="AQ189" i="11"/>
  <c r="T189" i="11"/>
  <c r="AR189" i="11"/>
  <c r="U189" i="11"/>
  <c r="AS189" i="11"/>
  <c r="V189" i="11"/>
  <c r="AT189" i="11"/>
  <c r="W189" i="11"/>
  <c r="AU189" i="11"/>
  <c r="X189" i="11"/>
  <c r="AV189" i="11"/>
  <c r="Y189" i="11"/>
  <c r="AW189" i="11"/>
  <c r="Z189" i="11"/>
  <c r="AC190" i="11"/>
  <c r="F190" i="11"/>
  <c r="AD190" i="11"/>
  <c r="G190" i="11"/>
  <c r="AE190" i="11"/>
  <c r="H190" i="11"/>
  <c r="AF190" i="11"/>
  <c r="I190" i="11"/>
  <c r="AG190" i="11"/>
  <c r="J190" i="11"/>
  <c r="AH190" i="11"/>
  <c r="K190" i="11"/>
  <c r="AI190" i="11"/>
  <c r="L190" i="11"/>
  <c r="AJ190" i="11"/>
  <c r="M190" i="11"/>
  <c r="AK190" i="11"/>
  <c r="N190" i="11"/>
  <c r="AL190" i="11"/>
  <c r="O190" i="11"/>
  <c r="AM190" i="11"/>
  <c r="P190" i="11"/>
  <c r="AN190" i="11"/>
  <c r="Q190" i="11"/>
  <c r="AO190" i="11"/>
  <c r="R190" i="11"/>
  <c r="AP190" i="11"/>
  <c r="S190" i="11"/>
  <c r="AQ190" i="11"/>
  <c r="T190" i="11"/>
  <c r="AR190" i="11"/>
  <c r="U190" i="11"/>
  <c r="AS190" i="11"/>
  <c r="V190" i="11"/>
  <c r="AT190" i="11"/>
  <c r="W190" i="11"/>
  <c r="AU190" i="11"/>
  <c r="X190" i="11"/>
  <c r="AV190" i="11"/>
  <c r="Y190" i="11"/>
  <c r="AW190" i="11"/>
  <c r="Z190" i="11"/>
  <c r="AC191" i="11"/>
  <c r="F191" i="11"/>
  <c r="AD191" i="11"/>
  <c r="G191" i="11"/>
  <c r="AE191" i="11"/>
  <c r="H191" i="11"/>
  <c r="AF191" i="11"/>
  <c r="I191" i="11"/>
  <c r="AG191" i="11"/>
  <c r="J191" i="11"/>
  <c r="AH191" i="11"/>
  <c r="K191" i="11"/>
  <c r="AI191" i="11"/>
  <c r="L191" i="11"/>
  <c r="AJ191" i="11"/>
  <c r="M191" i="11"/>
  <c r="AK191" i="11"/>
  <c r="N191" i="11"/>
  <c r="AL191" i="11"/>
  <c r="O191" i="11"/>
  <c r="AM191" i="11"/>
  <c r="P191" i="11"/>
  <c r="AN191" i="11"/>
  <c r="Q191" i="11"/>
  <c r="AO191" i="11"/>
  <c r="R191" i="11"/>
  <c r="AP191" i="11"/>
  <c r="S191" i="11"/>
  <c r="AQ191" i="11"/>
  <c r="T191" i="11"/>
  <c r="AR191" i="11"/>
  <c r="U191" i="11"/>
  <c r="AS191" i="11"/>
  <c r="V191" i="11"/>
  <c r="AT191" i="11"/>
  <c r="W191" i="11"/>
  <c r="AU191" i="11"/>
  <c r="X191" i="11"/>
  <c r="AV191" i="11"/>
  <c r="Y191" i="11"/>
  <c r="AW191" i="11"/>
  <c r="Z191" i="11"/>
  <c r="AC192" i="11"/>
  <c r="F192" i="11"/>
  <c r="AD192" i="11"/>
  <c r="G192" i="11"/>
  <c r="AE192" i="11"/>
  <c r="H192" i="11"/>
  <c r="AF192" i="11"/>
  <c r="I192" i="11"/>
  <c r="AG192" i="11"/>
  <c r="J192" i="11"/>
  <c r="AH192" i="11"/>
  <c r="K192" i="11"/>
  <c r="AI192" i="11"/>
  <c r="L192" i="11"/>
  <c r="AJ192" i="11"/>
  <c r="M192" i="11"/>
  <c r="AK192" i="11"/>
  <c r="N192" i="11"/>
  <c r="AL192" i="11"/>
  <c r="O192" i="11"/>
  <c r="AM192" i="11"/>
  <c r="P192" i="11"/>
  <c r="AN192" i="11"/>
  <c r="Q192" i="11"/>
  <c r="AO192" i="11"/>
  <c r="R192" i="11"/>
  <c r="AP192" i="11"/>
  <c r="S192" i="11"/>
  <c r="AQ192" i="11"/>
  <c r="T192" i="11"/>
  <c r="AR192" i="11"/>
  <c r="U192" i="11"/>
  <c r="AS192" i="11"/>
  <c r="V192" i="11"/>
  <c r="AT192" i="11"/>
  <c r="W192" i="11"/>
  <c r="AU192" i="11"/>
  <c r="X192" i="11"/>
  <c r="AV192" i="11"/>
  <c r="Y192" i="11"/>
  <c r="AW192" i="11"/>
  <c r="Z192" i="11"/>
  <c r="AC193" i="11"/>
  <c r="F193" i="11"/>
  <c r="AD193" i="11"/>
  <c r="G193" i="11"/>
  <c r="AE193" i="11"/>
  <c r="H193" i="11"/>
  <c r="AF193" i="11"/>
  <c r="I193" i="11"/>
  <c r="AG193" i="11"/>
  <c r="J193" i="11"/>
  <c r="AH193" i="11"/>
  <c r="K193" i="11"/>
  <c r="AI193" i="11"/>
  <c r="L193" i="11"/>
  <c r="AJ193" i="11"/>
  <c r="M193" i="11"/>
  <c r="AK193" i="11"/>
  <c r="N193" i="11"/>
  <c r="AL193" i="11"/>
  <c r="O193" i="11"/>
  <c r="AM193" i="11"/>
  <c r="P193" i="11"/>
  <c r="AN193" i="11"/>
  <c r="Q193" i="11"/>
  <c r="AO193" i="11"/>
  <c r="R193" i="11"/>
  <c r="AP193" i="11"/>
  <c r="S193" i="11"/>
  <c r="AQ193" i="11"/>
  <c r="T193" i="11"/>
  <c r="AR193" i="11"/>
  <c r="U193" i="11"/>
  <c r="AS193" i="11"/>
  <c r="V193" i="11"/>
  <c r="AT193" i="11"/>
  <c r="W193" i="11"/>
  <c r="AU193" i="11"/>
  <c r="X193" i="11"/>
  <c r="AV193" i="11"/>
  <c r="Y193" i="11"/>
  <c r="AW193" i="11"/>
  <c r="Z193" i="11"/>
  <c r="AC194" i="11"/>
  <c r="F194" i="11"/>
  <c r="AD194" i="11"/>
  <c r="G194" i="11"/>
  <c r="AE194" i="11"/>
  <c r="H194" i="11"/>
  <c r="AF194" i="11"/>
  <c r="I194" i="11"/>
  <c r="AG194" i="11"/>
  <c r="J194" i="11"/>
  <c r="AH194" i="11"/>
  <c r="K194" i="11"/>
  <c r="AI194" i="11"/>
  <c r="L194" i="11"/>
  <c r="AJ194" i="11"/>
  <c r="M194" i="11"/>
  <c r="AK194" i="11"/>
  <c r="N194" i="11"/>
  <c r="AL194" i="11"/>
  <c r="O194" i="11"/>
  <c r="AM194" i="11"/>
  <c r="P194" i="11"/>
  <c r="AN194" i="11"/>
  <c r="Q194" i="11"/>
  <c r="AO194" i="11"/>
  <c r="R194" i="11"/>
  <c r="AP194" i="11"/>
  <c r="S194" i="11"/>
  <c r="AQ194" i="11"/>
  <c r="T194" i="11"/>
  <c r="AR194" i="11"/>
  <c r="U194" i="11"/>
  <c r="AS194" i="11"/>
  <c r="V194" i="11"/>
  <c r="AT194" i="11"/>
  <c r="W194" i="11"/>
  <c r="AU194" i="11"/>
  <c r="X194" i="11"/>
  <c r="AV194" i="11"/>
  <c r="Y194" i="11"/>
  <c r="AW194" i="11"/>
  <c r="Z194" i="11"/>
  <c r="AC195" i="11"/>
  <c r="F195" i="11"/>
  <c r="AD195" i="11"/>
  <c r="G195" i="11"/>
  <c r="AE195" i="11"/>
  <c r="H195" i="11"/>
  <c r="AF195" i="11"/>
  <c r="I195" i="11"/>
  <c r="AG195" i="11"/>
  <c r="J195" i="11"/>
  <c r="AH195" i="11"/>
  <c r="K195" i="11"/>
  <c r="AI195" i="11"/>
  <c r="L195" i="11"/>
  <c r="AJ195" i="11"/>
  <c r="M195" i="11"/>
  <c r="AK195" i="11"/>
  <c r="N195" i="11"/>
  <c r="AL195" i="11"/>
  <c r="O195" i="11"/>
  <c r="AM195" i="11"/>
  <c r="P195" i="11"/>
  <c r="AN195" i="11"/>
  <c r="Q195" i="11"/>
  <c r="AO195" i="11"/>
  <c r="R195" i="11"/>
  <c r="AP195" i="11"/>
  <c r="S195" i="11"/>
  <c r="AQ195" i="11"/>
  <c r="T195" i="11"/>
  <c r="AR195" i="11"/>
  <c r="U195" i="11"/>
  <c r="AS195" i="11"/>
  <c r="V195" i="11"/>
  <c r="AT195" i="11"/>
  <c r="W195" i="11"/>
  <c r="AU195" i="11"/>
  <c r="X195" i="11"/>
  <c r="AV195" i="11"/>
  <c r="Y195" i="11"/>
  <c r="AW195" i="11"/>
  <c r="Z195" i="11"/>
  <c r="AC196" i="11"/>
  <c r="F196" i="11"/>
  <c r="AD196" i="11"/>
  <c r="G196" i="11"/>
  <c r="AE196" i="11"/>
  <c r="H196" i="11"/>
  <c r="AF196" i="11"/>
  <c r="I196" i="11"/>
  <c r="AG196" i="11"/>
  <c r="J196" i="11"/>
  <c r="AH196" i="11"/>
  <c r="K196" i="11"/>
  <c r="AI196" i="11"/>
  <c r="L196" i="11"/>
  <c r="AJ196" i="11"/>
  <c r="M196" i="11"/>
  <c r="AK196" i="11"/>
  <c r="N196" i="11"/>
  <c r="AL196" i="11"/>
  <c r="O196" i="11"/>
  <c r="AM196" i="11"/>
  <c r="P196" i="11"/>
  <c r="AN196" i="11"/>
  <c r="Q196" i="11"/>
  <c r="AO196" i="11"/>
  <c r="R196" i="11"/>
  <c r="AP196" i="11"/>
  <c r="S196" i="11"/>
  <c r="AQ196" i="11"/>
  <c r="T196" i="11"/>
  <c r="AR196" i="11"/>
  <c r="U196" i="11"/>
  <c r="AS196" i="11"/>
  <c r="V196" i="11"/>
  <c r="AT196" i="11"/>
  <c r="W196" i="11"/>
  <c r="AU196" i="11"/>
  <c r="X196" i="11"/>
  <c r="AV196" i="11"/>
  <c r="Y196" i="11"/>
  <c r="AW196" i="11"/>
  <c r="Z196" i="11"/>
  <c r="AC197" i="11"/>
  <c r="F197" i="11"/>
  <c r="AD197" i="11"/>
  <c r="G197" i="11"/>
  <c r="AE197" i="11"/>
  <c r="H197" i="11"/>
  <c r="AF197" i="11"/>
  <c r="I197" i="11"/>
  <c r="AG197" i="11"/>
  <c r="J197" i="11"/>
  <c r="AH197" i="11"/>
  <c r="K197" i="11"/>
  <c r="AI197" i="11"/>
  <c r="L197" i="11"/>
  <c r="AJ197" i="11"/>
  <c r="M197" i="11"/>
  <c r="AK197" i="11"/>
  <c r="N197" i="11"/>
  <c r="AL197" i="11"/>
  <c r="O197" i="11"/>
  <c r="AM197" i="11"/>
  <c r="P197" i="11"/>
  <c r="AN197" i="11"/>
  <c r="Q197" i="11"/>
  <c r="AO197" i="11"/>
  <c r="R197" i="11"/>
  <c r="AP197" i="11"/>
  <c r="S197" i="11"/>
  <c r="AQ197" i="11"/>
  <c r="T197" i="11"/>
  <c r="AR197" i="11"/>
  <c r="U197" i="11"/>
  <c r="AS197" i="11"/>
  <c r="V197" i="11"/>
  <c r="AT197" i="11"/>
  <c r="W197" i="11"/>
  <c r="AU197" i="11"/>
  <c r="X197" i="11"/>
  <c r="AV197" i="11"/>
  <c r="Y197" i="11"/>
  <c r="AW197" i="11"/>
  <c r="Z197" i="11"/>
  <c r="AC198" i="11"/>
  <c r="F198" i="11"/>
  <c r="AD198" i="11"/>
  <c r="G198" i="11"/>
  <c r="AE198" i="11"/>
  <c r="H198" i="11"/>
  <c r="AF198" i="11"/>
  <c r="I198" i="11"/>
  <c r="AG198" i="11"/>
  <c r="J198" i="11"/>
  <c r="AH198" i="11"/>
  <c r="K198" i="11"/>
  <c r="AI198" i="11"/>
  <c r="L198" i="11"/>
  <c r="AJ198" i="11"/>
  <c r="M198" i="11"/>
  <c r="AK198" i="11"/>
  <c r="N198" i="11"/>
  <c r="AL198" i="11"/>
  <c r="O198" i="11"/>
  <c r="AM198" i="11"/>
  <c r="P198" i="11"/>
  <c r="AN198" i="11"/>
  <c r="Q198" i="11"/>
  <c r="AO198" i="11"/>
  <c r="R198" i="11"/>
  <c r="AP198" i="11"/>
  <c r="S198" i="11"/>
  <c r="AQ198" i="11"/>
  <c r="T198" i="11"/>
  <c r="AR198" i="11"/>
  <c r="U198" i="11"/>
  <c r="AS198" i="11"/>
  <c r="V198" i="11"/>
  <c r="AT198" i="11"/>
  <c r="W198" i="11"/>
  <c r="AU198" i="11"/>
  <c r="X198" i="11"/>
  <c r="AV198" i="11"/>
  <c r="Y198" i="11"/>
  <c r="AW198" i="11"/>
  <c r="Z198" i="11"/>
  <c r="AC199" i="11"/>
  <c r="F199" i="11"/>
  <c r="AD199" i="11"/>
  <c r="G199" i="11"/>
  <c r="AE199" i="11"/>
  <c r="H199" i="11"/>
  <c r="AF199" i="11"/>
  <c r="I199" i="11"/>
  <c r="AG199" i="11"/>
  <c r="J199" i="11"/>
  <c r="AH199" i="11"/>
  <c r="K199" i="11"/>
  <c r="AI199" i="11"/>
  <c r="L199" i="11"/>
  <c r="AJ199" i="11"/>
  <c r="M199" i="11"/>
  <c r="AK199" i="11"/>
  <c r="N199" i="11"/>
  <c r="AL199" i="11"/>
  <c r="O199" i="11"/>
  <c r="AM199" i="11"/>
  <c r="P199" i="11"/>
  <c r="AN199" i="11"/>
  <c r="Q199" i="11"/>
  <c r="AO199" i="11"/>
  <c r="R199" i="11"/>
  <c r="AP199" i="11"/>
  <c r="S199" i="11"/>
  <c r="AQ199" i="11"/>
  <c r="T199" i="11"/>
  <c r="AR199" i="11"/>
  <c r="U199" i="11"/>
  <c r="AS199" i="11"/>
  <c r="V199" i="11"/>
  <c r="AT199" i="11"/>
  <c r="W199" i="11"/>
  <c r="AU199" i="11"/>
  <c r="X199" i="11"/>
  <c r="AV199" i="11"/>
  <c r="Y199" i="11"/>
  <c r="AW199" i="11"/>
  <c r="Z199" i="11"/>
  <c r="AC200" i="11"/>
  <c r="F200" i="11"/>
  <c r="AD200" i="11"/>
  <c r="G200" i="11"/>
  <c r="AE200" i="11"/>
  <c r="H200" i="11"/>
  <c r="AF200" i="11"/>
  <c r="I200" i="11"/>
  <c r="AG200" i="11"/>
  <c r="J200" i="11"/>
  <c r="AH200" i="11"/>
  <c r="K200" i="11"/>
  <c r="AI200" i="11"/>
  <c r="L200" i="11"/>
  <c r="AJ200" i="11"/>
  <c r="M200" i="11"/>
  <c r="AK200" i="11"/>
  <c r="N200" i="11"/>
  <c r="AL200" i="11"/>
  <c r="O200" i="11"/>
  <c r="AM200" i="11"/>
  <c r="P200" i="11"/>
  <c r="AN200" i="11"/>
  <c r="Q200" i="11"/>
  <c r="AO200" i="11"/>
  <c r="R200" i="11"/>
  <c r="AP200" i="11"/>
  <c r="S200" i="11"/>
  <c r="AQ200" i="11"/>
  <c r="T200" i="11"/>
  <c r="AR200" i="11"/>
  <c r="U200" i="11"/>
  <c r="AS200" i="11"/>
  <c r="V200" i="11"/>
  <c r="AT200" i="11"/>
  <c r="W200" i="11"/>
  <c r="AU200" i="11"/>
  <c r="X200" i="11"/>
  <c r="AV200" i="11"/>
  <c r="Y200" i="11"/>
  <c r="AW200" i="11"/>
  <c r="Z200" i="11"/>
  <c r="AC201" i="11"/>
  <c r="F201" i="11"/>
  <c r="AD201" i="11"/>
  <c r="G201" i="11"/>
  <c r="AE201" i="11"/>
  <c r="H201" i="11"/>
  <c r="AF201" i="11"/>
  <c r="I201" i="11"/>
  <c r="AG201" i="11"/>
  <c r="J201" i="11"/>
  <c r="AH201" i="11"/>
  <c r="K201" i="11"/>
  <c r="AI201" i="11"/>
  <c r="L201" i="11"/>
  <c r="AJ201" i="11"/>
  <c r="M201" i="11"/>
  <c r="AK201" i="11"/>
  <c r="N201" i="11"/>
  <c r="AL201" i="11"/>
  <c r="O201" i="11"/>
  <c r="AM201" i="11"/>
  <c r="P201" i="11"/>
  <c r="AN201" i="11"/>
  <c r="Q201" i="11"/>
  <c r="AO201" i="11"/>
  <c r="R201" i="11"/>
  <c r="AP201" i="11"/>
  <c r="S201" i="11"/>
  <c r="AQ201" i="11"/>
  <c r="T201" i="11"/>
  <c r="AR201" i="11"/>
  <c r="U201" i="11"/>
  <c r="AS201" i="11"/>
  <c r="V201" i="11"/>
  <c r="AT201" i="11"/>
  <c r="W201" i="11"/>
  <c r="AU201" i="11"/>
  <c r="X201" i="11"/>
  <c r="AV201" i="11"/>
  <c r="Y201" i="11"/>
  <c r="AW201" i="11"/>
  <c r="Z201" i="11"/>
  <c r="AC202" i="11"/>
  <c r="F202" i="11"/>
  <c r="AD202" i="11"/>
  <c r="G202" i="11"/>
  <c r="AE202" i="11"/>
  <c r="H202" i="11"/>
  <c r="AF202" i="11"/>
  <c r="I202" i="11"/>
  <c r="AG202" i="11"/>
  <c r="J202" i="11"/>
  <c r="AH202" i="11"/>
  <c r="K202" i="11"/>
  <c r="AI202" i="11"/>
  <c r="L202" i="11"/>
  <c r="AJ202" i="11"/>
  <c r="M202" i="11"/>
  <c r="AK202" i="11"/>
  <c r="N202" i="11"/>
  <c r="AL202" i="11"/>
  <c r="O202" i="11"/>
  <c r="AM202" i="11"/>
  <c r="P202" i="11"/>
  <c r="AN202" i="11"/>
  <c r="Q202" i="11"/>
  <c r="AO202" i="11"/>
  <c r="R202" i="11"/>
  <c r="AP202" i="11"/>
  <c r="S202" i="11"/>
  <c r="AQ202" i="11"/>
  <c r="T202" i="11"/>
  <c r="AR202" i="11"/>
  <c r="U202" i="11"/>
  <c r="AS202" i="11"/>
  <c r="V202" i="11"/>
  <c r="AT202" i="11"/>
  <c r="W202" i="11"/>
  <c r="AU202" i="11"/>
  <c r="X202" i="11"/>
  <c r="AV202" i="11"/>
  <c r="Y202" i="11"/>
  <c r="AW202" i="11"/>
  <c r="Z202" i="11"/>
  <c r="AC203" i="11"/>
  <c r="F203" i="11"/>
  <c r="AD203" i="11"/>
  <c r="G203" i="11"/>
  <c r="AE203" i="11"/>
  <c r="H203" i="11"/>
  <c r="AF203" i="11"/>
  <c r="I203" i="11"/>
  <c r="AG203" i="11"/>
  <c r="J203" i="11"/>
  <c r="AH203" i="11"/>
  <c r="K203" i="11"/>
  <c r="AI203" i="11"/>
  <c r="L203" i="11"/>
  <c r="AJ203" i="11"/>
  <c r="M203" i="11"/>
  <c r="AK203" i="11"/>
  <c r="N203" i="11"/>
  <c r="AL203" i="11"/>
  <c r="O203" i="11"/>
  <c r="AM203" i="11"/>
  <c r="P203" i="11"/>
  <c r="AN203" i="11"/>
  <c r="Q203" i="11"/>
  <c r="AO203" i="11"/>
  <c r="R203" i="11"/>
  <c r="AP203" i="11"/>
  <c r="S203" i="11"/>
  <c r="AQ203" i="11"/>
  <c r="T203" i="11"/>
  <c r="AR203" i="11"/>
  <c r="U203" i="11"/>
  <c r="AS203" i="11"/>
  <c r="V203" i="11"/>
  <c r="AT203" i="11"/>
  <c r="W203" i="11"/>
  <c r="AU203" i="11"/>
  <c r="X203" i="11"/>
  <c r="AV203" i="11"/>
  <c r="Y203" i="11"/>
  <c r="AW203" i="11"/>
  <c r="Z203" i="11"/>
  <c r="AC204" i="11"/>
  <c r="F204" i="11"/>
  <c r="AD204" i="11"/>
  <c r="G204" i="11"/>
  <c r="AE204" i="11"/>
  <c r="H204" i="11"/>
  <c r="AF204" i="11"/>
  <c r="I204" i="11"/>
  <c r="AG204" i="11"/>
  <c r="J204" i="11"/>
  <c r="AH204" i="11"/>
  <c r="K204" i="11"/>
  <c r="AI204" i="11"/>
  <c r="L204" i="11"/>
  <c r="AJ204" i="11"/>
  <c r="M204" i="11"/>
  <c r="AK204" i="11"/>
  <c r="N204" i="11"/>
  <c r="AL204" i="11"/>
  <c r="O204" i="11"/>
  <c r="AM204" i="11"/>
  <c r="P204" i="11"/>
  <c r="AN204" i="11"/>
  <c r="Q204" i="11"/>
  <c r="AO204" i="11"/>
  <c r="R204" i="11"/>
  <c r="AP204" i="11"/>
  <c r="S204" i="11"/>
  <c r="AQ204" i="11"/>
  <c r="T204" i="11"/>
  <c r="AR204" i="11"/>
  <c r="U204" i="11"/>
  <c r="AS204" i="11"/>
  <c r="V204" i="11"/>
  <c r="AT204" i="11"/>
  <c r="W204" i="11"/>
  <c r="AU204" i="11"/>
  <c r="X204" i="11"/>
  <c r="AV204" i="11"/>
  <c r="Y204" i="11"/>
  <c r="AW204" i="11"/>
  <c r="Z204" i="11"/>
  <c r="AC205" i="11"/>
  <c r="F205" i="11"/>
  <c r="AD205" i="11"/>
  <c r="G205" i="11"/>
  <c r="AE205" i="11"/>
  <c r="H205" i="11"/>
  <c r="AF205" i="11"/>
  <c r="I205" i="11"/>
  <c r="AG205" i="11"/>
  <c r="J205" i="11"/>
  <c r="AH205" i="11"/>
  <c r="K205" i="11"/>
  <c r="AI205" i="11"/>
  <c r="L205" i="11"/>
  <c r="AJ205" i="11"/>
  <c r="M205" i="11"/>
  <c r="AK205" i="11"/>
  <c r="N205" i="11"/>
  <c r="AL205" i="11"/>
  <c r="O205" i="11"/>
  <c r="AM205" i="11"/>
  <c r="P205" i="11"/>
  <c r="AN205" i="11"/>
  <c r="Q205" i="11"/>
  <c r="AO205" i="11"/>
  <c r="R205" i="11"/>
  <c r="AP205" i="11"/>
  <c r="S205" i="11"/>
  <c r="AQ205" i="11"/>
  <c r="T205" i="11"/>
  <c r="AR205" i="11"/>
  <c r="U205" i="11"/>
  <c r="AS205" i="11"/>
  <c r="V205" i="11"/>
  <c r="AT205" i="11"/>
  <c r="W205" i="11"/>
  <c r="AU205" i="11"/>
  <c r="X205" i="11"/>
  <c r="AV205" i="11"/>
  <c r="Y205" i="11"/>
  <c r="AW205" i="11"/>
  <c r="Z205" i="11"/>
  <c r="AC206" i="11"/>
  <c r="F206" i="11"/>
  <c r="AD206" i="11"/>
  <c r="G206" i="11"/>
  <c r="AE206" i="11"/>
  <c r="H206" i="11"/>
  <c r="AF206" i="11"/>
  <c r="I206" i="11"/>
  <c r="AG206" i="11"/>
  <c r="J206" i="11"/>
  <c r="AH206" i="11"/>
  <c r="K206" i="11"/>
  <c r="AI206" i="11"/>
  <c r="L206" i="11"/>
  <c r="AJ206" i="11"/>
  <c r="M206" i="11"/>
  <c r="AK206" i="11"/>
  <c r="N206" i="11"/>
  <c r="AL206" i="11"/>
  <c r="O206" i="11"/>
  <c r="AM206" i="11"/>
  <c r="P206" i="11"/>
  <c r="AN206" i="11"/>
  <c r="Q206" i="11"/>
  <c r="AO206" i="11"/>
  <c r="R206" i="11"/>
  <c r="AP206" i="11"/>
  <c r="S206" i="11"/>
  <c r="AQ206" i="11"/>
  <c r="T206" i="11"/>
  <c r="AR206" i="11"/>
  <c r="U206" i="11"/>
  <c r="AS206" i="11"/>
  <c r="V206" i="11"/>
  <c r="AT206" i="11"/>
  <c r="W206" i="11"/>
  <c r="AU206" i="11"/>
  <c r="X206" i="11"/>
  <c r="AV206" i="11"/>
  <c r="Y206" i="11"/>
  <c r="AW206" i="11"/>
  <c r="Z206" i="11"/>
  <c r="AC207" i="11"/>
  <c r="F207" i="11"/>
  <c r="AD207" i="11"/>
  <c r="G207" i="11"/>
  <c r="AE207" i="11"/>
  <c r="H207" i="11"/>
  <c r="AF207" i="11"/>
  <c r="I207" i="11"/>
  <c r="AG207" i="11"/>
  <c r="J207" i="11"/>
  <c r="AH207" i="11"/>
  <c r="K207" i="11"/>
  <c r="AI207" i="11"/>
  <c r="L207" i="11"/>
  <c r="AJ207" i="11"/>
  <c r="M207" i="11"/>
  <c r="AK207" i="11"/>
  <c r="N207" i="11"/>
  <c r="AL207" i="11"/>
  <c r="O207" i="11"/>
  <c r="AM207" i="11"/>
  <c r="P207" i="11"/>
  <c r="AN207" i="11"/>
  <c r="Q207" i="11"/>
  <c r="AO207" i="11"/>
  <c r="R207" i="11"/>
  <c r="AP207" i="11"/>
  <c r="S207" i="11"/>
  <c r="AQ207" i="11"/>
  <c r="T207" i="11"/>
  <c r="AR207" i="11"/>
  <c r="U207" i="11"/>
  <c r="AS207" i="11"/>
  <c r="V207" i="11"/>
  <c r="AT207" i="11"/>
  <c r="W207" i="11"/>
  <c r="AU207" i="11"/>
  <c r="X207" i="11"/>
  <c r="AV207" i="11"/>
  <c r="Y207" i="11"/>
  <c r="AW207" i="11"/>
  <c r="Z207" i="11"/>
  <c r="AC208" i="11"/>
  <c r="F208" i="11"/>
  <c r="AD208" i="11"/>
  <c r="G208" i="11"/>
  <c r="AE208" i="11"/>
  <c r="H208" i="11"/>
  <c r="AF208" i="11"/>
  <c r="I208" i="11"/>
  <c r="AG208" i="11"/>
  <c r="J208" i="11"/>
  <c r="AH208" i="11"/>
  <c r="K208" i="11"/>
  <c r="AI208" i="11"/>
  <c r="L208" i="11"/>
  <c r="AJ208" i="11"/>
  <c r="M208" i="11"/>
  <c r="AK208" i="11"/>
  <c r="N208" i="11"/>
  <c r="AL208" i="11"/>
  <c r="O208" i="11"/>
  <c r="AM208" i="11"/>
  <c r="P208" i="11"/>
  <c r="AN208" i="11"/>
  <c r="Q208" i="11"/>
  <c r="AO208" i="11"/>
  <c r="R208" i="11"/>
  <c r="AP208" i="11"/>
  <c r="S208" i="11"/>
  <c r="AQ208" i="11"/>
  <c r="T208" i="11"/>
  <c r="AR208" i="11"/>
  <c r="U208" i="11"/>
  <c r="AS208" i="11"/>
  <c r="V208" i="11"/>
  <c r="AT208" i="11"/>
  <c r="W208" i="11"/>
  <c r="AU208" i="11"/>
  <c r="X208" i="11"/>
  <c r="AV208" i="11"/>
  <c r="Y208" i="11"/>
  <c r="AW208" i="11"/>
  <c r="Z208" i="11"/>
  <c r="AC209" i="11"/>
  <c r="F209" i="11"/>
  <c r="AD209" i="11"/>
  <c r="G209" i="11"/>
  <c r="AE209" i="11"/>
  <c r="H209" i="11"/>
  <c r="AF209" i="11"/>
  <c r="I209" i="11"/>
  <c r="AG209" i="11"/>
  <c r="J209" i="11"/>
  <c r="AH209" i="11"/>
  <c r="K209" i="11"/>
  <c r="AI209" i="11"/>
  <c r="L209" i="11"/>
  <c r="AJ209" i="11"/>
  <c r="M209" i="11"/>
  <c r="AK209" i="11"/>
  <c r="N209" i="11"/>
  <c r="AL209" i="11"/>
  <c r="O209" i="11"/>
  <c r="AM209" i="11"/>
  <c r="P209" i="11"/>
  <c r="AN209" i="11"/>
  <c r="Q209" i="11"/>
  <c r="AO209" i="11"/>
  <c r="R209" i="11"/>
  <c r="AP209" i="11"/>
  <c r="S209" i="11"/>
  <c r="AQ209" i="11"/>
  <c r="T209" i="11"/>
  <c r="AR209" i="11"/>
  <c r="U209" i="11"/>
  <c r="AS209" i="11"/>
  <c r="V209" i="11"/>
  <c r="AT209" i="11"/>
  <c r="W209" i="11"/>
  <c r="AU209" i="11"/>
  <c r="X209" i="11"/>
  <c r="AV209" i="11"/>
  <c r="Y209" i="11"/>
  <c r="AW209" i="11"/>
  <c r="Z209" i="11"/>
  <c r="AC210" i="11"/>
  <c r="F210" i="11"/>
  <c r="AD210" i="11"/>
  <c r="G210" i="11"/>
  <c r="AE210" i="11"/>
  <c r="H210" i="11"/>
  <c r="AF210" i="11"/>
  <c r="I210" i="11"/>
  <c r="AG210" i="11"/>
  <c r="J210" i="11"/>
  <c r="AH210" i="11"/>
  <c r="K210" i="11"/>
  <c r="AI210" i="11"/>
  <c r="L210" i="11"/>
  <c r="AJ210" i="11"/>
  <c r="M210" i="11"/>
  <c r="AK210" i="11"/>
  <c r="N210" i="11"/>
  <c r="AL210" i="11"/>
  <c r="O210" i="11"/>
  <c r="AM210" i="11"/>
  <c r="P210" i="11"/>
  <c r="AN210" i="11"/>
  <c r="Q210" i="11"/>
  <c r="AO210" i="11"/>
  <c r="R210" i="11"/>
  <c r="AP210" i="11"/>
  <c r="S210" i="11"/>
  <c r="AQ210" i="11"/>
  <c r="T210" i="11"/>
  <c r="AR210" i="11"/>
  <c r="U210" i="11"/>
  <c r="AS210" i="11"/>
  <c r="V210" i="11"/>
  <c r="AT210" i="11"/>
  <c r="W210" i="11"/>
  <c r="AU210" i="11"/>
  <c r="X210" i="11"/>
  <c r="AV210" i="11"/>
  <c r="Y210" i="11"/>
  <c r="AW210" i="11"/>
  <c r="Z210" i="11"/>
  <c r="AC211" i="11"/>
  <c r="F211" i="11"/>
  <c r="AD211" i="11"/>
  <c r="G211" i="11"/>
  <c r="AE211" i="11"/>
  <c r="H211" i="11"/>
  <c r="AF211" i="11"/>
  <c r="I211" i="11"/>
  <c r="AG211" i="11"/>
  <c r="J211" i="11"/>
  <c r="AH211" i="11"/>
  <c r="K211" i="11"/>
  <c r="AI211" i="11"/>
  <c r="L211" i="11"/>
  <c r="AJ211" i="11"/>
  <c r="M211" i="11"/>
  <c r="AK211" i="11"/>
  <c r="N211" i="11"/>
  <c r="AL211" i="11"/>
  <c r="O211" i="11"/>
  <c r="AM211" i="11"/>
  <c r="P211" i="11"/>
  <c r="AN211" i="11"/>
  <c r="Q211" i="11"/>
  <c r="AO211" i="11"/>
  <c r="R211" i="11"/>
  <c r="AP211" i="11"/>
  <c r="S211" i="11"/>
  <c r="AQ211" i="11"/>
  <c r="T211" i="11"/>
  <c r="AR211" i="11"/>
  <c r="U211" i="11"/>
  <c r="AS211" i="11"/>
  <c r="V211" i="11"/>
  <c r="AT211" i="11"/>
  <c r="W211" i="11"/>
  <c r="AU211" i="11"/>
  <c r="X211" i="11"/>
  <c r="AV211" i="11"/>
  <c r="Y211" i="11"/>
  <c r="AW211" i="11"/>
  <c r="Z211" i="11"/>
  <c r="AC212" i="11"/>
  <c r="F212" i="11"/>
  <c r="AD212" i="11"/>
  <c r="G212" i="11"/>
  <c r="AE212" i="11"/>
  <c r="H212" i="11"/>
  <c r="AF212" i="11"/>
  <c r="I212" i="11"/>
  <c r="AG212" i="11"/>
  <c r="J212" i="11"/>
  <c r="AH212" i="11"/>
  <c r="K212" i="11"/>
  <c r="AI212" i="11"/>
  <c r="L212" i="11"/>
  <c r="AJ212" i="11"/>
  <c r="M212" i="11"/>
  <c r="AK212" i="11"/>
  <c r="N212" i="11"/>
  <c r="AL212" i="11"/>
  <c r="O212" i="11"/>
  <c r="AM212" i="11"/>
  <c r="P212" i="11"/>
  <c r="AN212" i="11"/>
  <c r="Q212" i="11"/>
  <c r="AO212" i="11"/>
  <c r="R212" i="11"/>
  <c r="AP212" i="11"/>
  <c r="S212" i="11"/>
  <c r="AQ212" i="11"/>
  <c r="T212" i="11"/>
  <c r="AR212" i="11"/>
  <c r="U212" i="11"/>
  <c r="AS212" i="11"/>
  <c r="V212" i="11"/>
  <c r="AT212" i="11"/>
  <c r="W212" i="11"/>
  <c r="AU212" i="11"/>
  <c r="X212" i="11"/>
  <c r="AV212" i="11"/>
  <c r="Y212" i="11"/>
  <c r="AW212" i="11"/>
  <c r="Z212" i="11"/>
  <c r="AC213" i="11"/>
  <c r="F213" i="11"/>
  <c r="AD213" i="11"/>
  <c r="G213" i="11"/>
  <c r="AE213" i="11"/>
  <c r="H213" i="11"/>
  <c r="AF213" i="11"/>
  <c r="I213" i="11"/>
  <c r="AG213" i="11"/>
  <c r="J213" i="11"/>
  <c r="AH213" i="11"/>
  <c r="K213" i="11"/>
  <c r="AI213" i="11"/>
  <c r="L213" i="11"/>
  <c r="AJ213" i="11"/>
  <c r="M213" i="11"/>
  <c r="AK213" i="11"/>
  <c r="N213" i="11"/>
  <c r="AL213" i="11"/>
  <c r="O213" i="11"/>
  <c r="AM213" i="11"/>
  <c r="P213" i="11"/>
  <c r="AN213" i="11"/>
  <c r="Q213" i="11"/>
  <c r="AO213" i="11"/>
  <c r="R213" i="11"/>
  <c r="AP213" i="11"/>
  <c r="S213" i="11"/>
  <c r="AQ213" i="11"/>
  <c r="T213" i="11"/>
  <c r="AR213" i="11"/>
  <c r="U213" i="11"/>
  <c r="AS213" i="11"/>
  <c r="V213" i="11"/>
  <c r="AT213" i="11"/>
  <c r="W213" i="11"/>
  <c r="AU213" i="11"/>
  <c r="X213" i="11"/>
  <c r="AV213" i="11"/>
  <c r="Y213" i="11"/>
  <c r="AW213" i="11"/>
  <c r="Z213" i="11"/>
  <c r="AC214" i="11"/>
  <c r="F214" i="11"/>
  <c r="AD214" i="11"/>
  <c r="G214" i="11"/>
  <c r="AE214" i="11"/>
  <c r="H214" i="11"/>
  <c r="AF214" i="11"/>
  <c r="I214" i="11"/>
  <c r="AG214" i="11"/>
  <c r="J214" i="11"/>
  <c r="AH214" i="11"/>
  <c r="K214" i="11"/>
  <c r="AI214" i="11"/>
  <c r="L214" i="11"/>
  <c r="AJ214" i="11"/>
  <c r="M214" i="11"/>
  <c r="AK214" i="11"/>
  <c r="N214" i="11"/>
  <c r="AL214" i="11"/>
  <c r="O214" i="11"/>
  <c r="AM214" i="11"/>
  <c r="P214" i="11"/>
  <c r="AN214" i="11"/>
  <c r="Q214" i="11"/>
  <c r="AO214" i="11"/>
  <c r="R214" i="11"/>
  <c r="AP214" i="11"/>
  <c r="S214" i="11"/>
  <c r="AQ214" i="11"/>
  <c r="T214" i="11"/>
  <c r="AR214" i="11"/>
  <c r="U214" i="11"/>
  <c r="AS214" i="11"/>
  <c r="V214" i="11"/>
  <c r="AT214" i="11"/>
  <c r="W214" i="11"/>
  <c r="AU214" i="11"/>
  <c r="X214" i="11"/>
  <c r="AV214" i="11"/>
  <c r="Y214" i="11"/>
  <c r="AW214" i="11"/>
  <c r="Z214" i="11"/>
  <c r="AC215" i="11"/>
  <c r="F215" i="11"/>
  <c r="AD215" i="11"/>
  <c r="G215" i="11"/>
  <c r="AE215" i="11"/>
  <c r="H215" i="11"/>
  <c r="AF215" i="11"/>
  <c r="I215" i="11"/>
  <c r="AG215" i="11"/>
  <c r="J215" i="11"/>
  <c r="AH215" i="11"/>
  <c r="K215" i="11"/>
  <c r="AI215" i="11"/>
  <c r="L215" i="11"/>
  <c r="AJ215" i="11"/>
  <c r="M215" i="11"/>
  <c r="AK215" i="11"/>
  <c r="N215" i="11"/>
  <c r="AL215" i="11"/>
  <c r="O215" i="11"/>
  <c r="AM215" i="11"/>
  <c r="P215" i="11"/>
  <c r="AN215" i="11"/>
  <c r="Q215" i="11"/>
  <c r="AO215" i="11"/>
  <c r="R215" i="11"/>
  <c r="AP215" i="11"/>
  <c r="S215" i="11"/>
  <c r="AQ215" i="11"/>
  <c r="T215" i="11"/>
  <c r="AR215" i="11"/>
  <c r="U215" i="11"/>
  <c r="AS215" i="11"/>
  <c r="V215" i="11"/>
  <c r="AT215" i="11"/>
  <c r="W215" i="11"/>
  <c r="AU215" i="11"/>
  <c r="X215" i="11"/>
  <c r="AV215" i="11"/>
  <c r="Y215" i="11"/>
  <c r="AW215" i="11"/>
  <c r="Z215" i="11"/>
  <c r="AC216" i="11"/>
  <c r="F216" i="11"/>
  <c r="AD216" i="11"/>
  <c r="G216" i="11"/>
  <c r="AE216" i="11"/>
  <c r="H216" i="11"/>
  <c r="AF216" i="11"/>
  <c r="I216" i="11"/>
  <c r="AG216" i="11"/>
  <c r="J216" i="11"/>
  <c r="AH216" i="11"/>
  <c r="K216" i="11"/>
  <c r="AI216" i="11"/>
  <c r="L216" i="11"/>
  <c r="AJ216" i="11"/>
  <c r="M216" i="11"/>
  <c r="AK216" i="11"/>
  <c r="N216" i="11"/>
  <c r="AL216" i="11"/>
  <c r="O216" i="11"/>
  <c r="AM216" i="11"/>
  <c r="P216" i="11"/>
  <c r="AN216" i="11"/>
  <c r="Q216" i="11"/>
  <c r="AO216" i="11"/>
  <c r="R216" i="11"/>
  <c r="AP216" i="11"/>
  <c r="S216" i="11"/>
  <c r="AQ216" i="11"/>
  <c r="T216" i="11"/>
  <c r="AR216" i="11"/>
  <c r="U216" i="11"/>
  <c r="AS216" i="11"/>
  <c r="V216" i="11"/>
  <c r="AT216" i="11"/>
  <c r="W216" i="11"/>
  <c r="AU216" i="11"/>
  <c r="X216" i="11"/>
  <c r="AV216" i="11"/>
  <c r="Y216" i="11"/>
  <c r="AW216" i="11"/>
  <c r="Z216" i="11"/>
  <c r="AC217" i="11"/>
  <c r="F217" i="11"/>
  <c r="AD217" i="11"/>
  <c r="G217" i="11"/>
  <c r="AE217" i="11"/>
  <c r="H217" i="11"/>
  <c r="AF217" i="11"/>
  <c r="I217" i="11"/>
  <c r="AG217" i="11"/>
  <c r="J217" i="11"/>
  <c r="AH217" i="11"/>
  <c r="K217" i="11"/>
  <c r="AI217" i="11"/>
  <c r="L217" i="11"/>
  <c r="AJ217" i="11"/>
  <c r="M217" i="11"/>
  <c r="AK217" i="11"/>
  <c r="N217" i="11"/>
  <c r="AL217" i="11"/>
  <c r="O217" i="11"/>
  <c r="AM217" i="11"/>
  <c r="P217" i="11"/>
  <c r="AN217" i="11"/>
  <c r="Q217" i="11"/>
  <c r="AO217" i="11"/>
  <c r="R217" i="11"/>
  <c r="AP217" i="11"/>
  <c r="S217" i="11"/>
  <c r="AQ217" i="11"/>
  <c r="T217" i="11"/>
  <c r="AR217" i="11"/>
  <c r="U217" i="11"/>
  <c r="AS217" i="11"/>
  <c r="V217" i="11"/>
  <c r="AT217" i="11"/>
  <c r="W217" i="11"/>
  <c r="AU217" i="11"/>
  <c r="X217" i="11"/>
  <c r="AV217" i="11"/>
  <c r="Y217" i="11"/>
  <c r="AW217" i="11"/>
  <c r="Z217" i="11"/>
  <c r="AC218" i="11"/>
  <c r="F218" i="11"/>
  <c r="AD218" i="11"/>
  <c r="G218" i="11"/>
  <c r="AE218" i="11"/>
  <c r="H218" i="11"/>
  <c r="AF218" i="11"/>
  <c r="I218" i="11"/>
  <c r="AG218" i="11"/>
  <c r="J218" i="11"/>
  <c r="AH218" i="11"/>
  <c r="K218" i="11"/>
  <c r="AI218" i="11"/>
  <c r="L218" i="11"/>
  <c r="AJ218" i="11"/>
  <c r="M218" i="11"/>
  <c r="AK218" i="11"/>
  <c r="N218" i="11"/>
  <c r="AL218" i="11"/>
  <c r="O218" i="11"/>
  <c r="AM218" i="11"/>
  <c r="P218" i="11"/>
  <c r="AN218" i="11"/>
  <c r="Q218" i="11"/>
  <c r="AO218" i="11"/>
  <c r="R218" i="11"/>
  <c r="AP218" i="11"/>
  <c r="S218" i="11"/>
  <c r="AQ218" i="11"/>
  <c r="T218" i="11"/>
  <c r="AR218" i="11"/>
  <c r="U218" i="11"/>
  <c r="AS218" i="11"/>
  <c r="V218" i="11"/>
  <c r="AT218" i="11"/>
  <c r="W218" i="11"/>
  <c r="AU218" i="11"/>
  <c r="X218" i="11"/>
  <c r="AV218" i="11"/>
  <c r="Y218" i="11"/>
  <c r="AW218" i="11"/>
  <c r="Z218" i="11"/>
  <c r="AC219" i="11"/>
  <c r="F219" i="11"/>
  <c r="AD219" i="11"/>
  <c r="G219" i="11"/>
  <c r="AE219" i="11"/>
  <c r="H219" i="11"/>
  <c r="AF219" i="11"/>
  <c r="I219" i="11"/>
  <c r="AG219" i="11"/>
  <c r="J219" i="11"/>
  <c r="AH219" i="11"/>
  <c r="K219" i="11"/>
  <c r="AI219" i="11"/>
  <c r="L219" i="11"/>
  <c r="AJ219" i="11"/>
  <c r="M219" i="11"/>
  <c r="AK219" i="11"/>
  <c r="N219" i="11"/>
  <c r="AL219" i="11"/>
  <c r="O219" i="11"/>
  <c r="AM219" i="11"/>
  <c r="P219" i="11"/>
  <c r="AN219" i="11"/>
  <c r="Q219" i="11"/>
  <c r="AO219" i="11"/>
  <c r="R219" i="11"/>
  <c r="AP219" i="11"/>
  <c r="S219" i="11"/>
  <c r="AQ219" i="11"/>
  <c r="T219" i="11"/>
  <c r="AR219" i="11"/>
  <c r="U219" i="11"/>
  <c r="AS219" i="11"/>
  <c r="V219" i="11"/>
  <c r="AT219" i="11"/>
  <c r="W219" i="11"/>
  <c r="AU219" i="11"/>
  <c r="X219" i="11"/>
  <c r="AV219" i="11"/>
  <c r="Y219" i="11"/>
  <c r="AW219" i="11"/>
  <c r="Z219" i="11"/>
  <c r="AC220" i="11"/>
  <c r="F220" i="11"/>
  <c r="AD220" i="11"/>
  <c r="G220" i="11"/>
  <c r="AE220" i="11"/>
  <c r="H220" i="11"/>
  <c r="AF220" i="11"/>
  <c r="I220" i="11"/>
  <c r="AG220" i="11"/>
  <c r="J220" i="11"/>
  <c r="AH220" i="11"/>
  <c r="K220" i="11"/>
  <c r="AI220" i="11"/>
  <c r="L220" i="11"/>
  <c r="AJ220" i="11"/>
  <c r="M220" i="11"/>
  <c r="AK220" i="11"/>
  <c r="N220" i="11"/>
  <c r="AL220" i="11"/>
  <c r="O220" i="11"/>
  <c r="AM220" i="11"/>
  <c r="P220" i="11"/>
  <c r="AN220" i="11"/>
  <c r="Q220" i="11"/>
  <c r="AO220" i="11"/>
  <c r="R220" i="11"/>
  <c r="AP220" i="11"/>
  <c r="S220" i="11"/>
  <c r="AQ220" i="11"/>
  <c r="T220" i="11"/>
  <c r="AR220" i="11"/>
  <c r="U220" i="11"/>
  <c r="AS220" i="11"/>
  <c r="V220" i="11"/>
  <c r="AT220" i="11"/>
  <c r="W220" i="11"/>
  <c r="AU220" i="11"/>
  <c r="X220" i="11"/>
  <c r="AV220" i="11"/>
  <c r="Y220" i="11"/>
  <c r="AW220" i="11"/>
  <c r="Z220" i="11"/>
  <c r="AC221" i="11"/>
  <c r="F221" i="11"/>
  <c r="AD221" i="11"/>
  <c r="G221" i="11"/>
  <c r="AE221" i="11"/>
  <c r="H221" i="11"/>
  <c r="AF221" i="11"/>
  <c r="I221" i="11"/>
  <c r="AG221" i="11"/>
  <c r="J221" i="11"/>
  <c r="AH221" i="11"/>
  <c r="K221" i="11"/>
  <c r="AI221" i="11"/>
  <c r="L221" i="11"/>
  <c r="AJ221" i="11"/>
  <c r="M221" i="11"/>
  <c r="AK221" i="11"/>
  <c r="N221" i="11"/>
  <c r="AL221" i="11"/>
  <c r="O221" i="11"/>
  <c r="AM221" i="11"/>
  <c r="P221" i="11"/>
  <c r="AN221" i="11"/>
  <c r="Q221" i="11"/>
  <c r="AO221" i="11"/>
  <c r="R221" i="11"/>
  <c r="AP221" i="11"/>
  <c r="S221" i="11"/>
  <c r="AQ221" i="11"/>
  <c r="T221" i="11"/>
  <c r="AR221" i="11"/>
  <c r="U221" i="11"/>
  <c r="AS221" i="11"/>
  <c r="V221" i="11"/>
  <c r="AT221" i="11"/>
  <c r="W221" i="11"/>
  <c r="AU221" i="11"/>
  <c r="X221" i="11"/>
  <c r="AV221" i="11"/>
  <c r="Y221" i="11"/>
  <c r="AW221" i="11"/>
  <c r="Z221" i="11"/>
  <c r="AC222" i="11"/>
  <c r="F222" i="11"/>
  <c r="AD222" i="11"/>
  <c r="G222" i="11"/>
  <c r="AE222" i="11"/>
  <c r="H222" i="11"/>
  <c r="AF222" i="11"/>
  <c r="I222" i="11"/>
  <c r="AG222" i="11"/>
  <c r="J222" i="11"/>
  <c r="AH222" i="11"/>
  <c r="K222" i="11"/>
  <c r="AI222" i="11"/>
  <c r="L222" i="11"/>
  <c r="AJ222" i="11"/>
  <c r="M222" i="11"/>
  <c r="AK222" i="11"/>
  <c r="N222" i="11"/>
  <c r="AL222" i="11"/>
  <c r="O222" i="11"/>
  <c r="AM222" i="11"/>
  <c r="P222" i="11"/>
  <c r="AN222" i="11"/>
  <c r="Q222" i="11"/>
  <c r="AO222" i="11"/>
  <c r="R222" i="11"/>
  <c r="AP222" i="11"/>
  <c r="S222" i="11"/>
  <c r="AQ222" i="11"/>
  <c r="T222" i="11"/>
  <c r="AR222" i="11"/>
  <c r="U222" i="11"/>
  <c r="AS222" i="11"/>
  <c r="V222" i="11"/>
  <c r="AT222" i="11"/>
  <c r="W222" i="11"/>
  <c r="AU222" i="11"/>
  <c r="X222" i="11"/>
  <c r="AV222" i="11"/>
  <c r="Y222" i="11"/>
  <c r="AW222" i="11"/>
  <c r="Z222" i="11"/>
  <c r="AC223" i="11"/>
  <c r="F223" i="11"/>
  <c r="AD223" i="11"/>
  <c r="G223" i="11"/>
  <c r="AE223" i="11"/>
  <c r="H223" i="11"/>
  <c r="AF223" i="11"/>
  <c r="I223" i="11"/>
  <c r="AG223" i="11"/>
  <c r="J223" i="11"/>
  <c r="AH223" i="11"/>
  <c r="K223" i="11"/>
  <c r="AI223" i="11"/>
  <c r="L223" i="11"/>
  <c r="AJ223" i="11"/>
  <c r="M223" i="11"/>
  <c r="AK223" i="11"/>
  <c r="N223" i="11"/>
  <c r="AL223" i="11"/>
  <c r="O223" i="11"/>
  <c r="AM223" i="11"/>
  <c r="P223" i="11"/>
  <c r="AN223" i="11"/>
  <c r="Q223" i="11"/>
  <c r="AO223" i="11"/>
  <c r="R223" i="11"/>
  <c r="AP223" i="11"/>
  <c r="S223" i="11"/>
  <c r="AQ223" i="11"/>
  <c r="T223" i="11"/>
  <c r="AR223" i="11"/>
  <c r="U223" i="11"/>
  <c r="AS223" i="11"/>
  <c r="V223" i="11"/>
  <c r="AT223" i="11"/>
  <c r="W223" i="11"/>
  <c r="AU223" i="11"/>
  <c r="X223" i="11"/>
  <c r="AV223" i="11"/>
  <c r="Y223" i="11"/>
  <c r="AW223" i="11"/>
  <c r="Z223" i="11"/>
  <c r="AC224" i="11"/>
  <c r="F224" i="11"/>
  <c r="AD224" i="11"/>
  <c r="G224" i="11"/>
  <c r="AE224" i="11"/>
  <c r="H224" i="11"/>
  <c r="AF224" i="11"/>
  <c r="I224" i="11"/>
  <c r="AG224" i="11"/>
  <c r="J224" i="11"/>
  <c r="AH224" i="11"/>
  <c r="K224" i="11"/>
  <c r="AI224" i="11"/>
  <c r="L224" i="11"/>
  <c r="AJ224" i="11"/>
  <c r="M224" i="11"/>
  <c r="AK224" i="11"/>
  <c r="N224" i="11"/>
  <c r="AL224" i="11"/>
  <c r="O224" i="11"/>
  <c r="AM224" i="11"/>
  <c r="P224" i="11"/>
  <c r="AN224" i="11"/>
  <c r="Q224" i="11"/>
  <c r="AO224" i="11"/>
  <c r="R224" i="11"/>
  <c r="AP224" i="11"/>
  <c r="S224" i="11"/>
  <c r="AQ224" i="11"/>
  <c r="T224" i="11"/>
  <c r="AR224" i="11"/>
  <c r="U224" i="11"/>
  <c r="AS224" i="11"/>
  <c r="V224" i="11"/>
  <c r="AT224" i="11"/>
  <c r="W224" i="11"/>
  <c r="AU224" i="11"/>
  <c r="X224" i="11"/>
  <c r="AV224" i="11"/>
  <c r="Y224" i="11"/>
  <c r="AW224" i="11"/>
  <c r="Z224" i="11"/>
  <c r="AC225" i="11"/>
  <c r="F225" i="11"/>
  <c r="AD225" i="11"/>
  <c r="G225" i="11"/>
  <c r="AE225" i="11"/>
  <c r="H225" i="11"/>
  <c r="AF225" i="11"/>
  <c r="I225" i="11"/>
  <c r="AG225" i="11"/>
  <c r="J225" i="11"/>
  <c r="AH225" i="11"/>
  <c r="K225" i="11"/>
  <c r="AI225" i="11"/>
  <c r="L225" i="11"/>
  <c r="AJ225" i="11"/>
  <c r="M225" i="11"/>
  <c r="AK225" i="11"/>
  <c r="N225" i="11"/>
  <c r="AL225" i="11"/>
  <c r="O225" i="11"/>
  <c r="AM225" i="11"/>
  <c r="P225" i="11"/>
  <c r="AN225" i="11"/>
  <c r="Q225" i="11"/>
  <c r="AO225" i="11"/>
  <c r="R225" i="11"/>
  <c r="AP225" i="11"/>
  <c r="S225" i="11"/>
  <c r="AQ225" i="11"/>
  <c r="T225" i="11"/>
  <c r="AR225" i="11"/>
  <c r="U225" i="11"/>
  <c r="AS225" i="11"/>
  <c r="V225" i="11"/>
  <c r="AT225" i="11"/>
  <c r="W225" i="11"/>
  <c r="AU225" i="11"/>
  <c r="X225" i="11"/>
  <c r="AV225" i="11"/>
  <c r="Y225" i="11"/>
  <c r="AW225" i="11"/>
  <c r="Z225" i="11"/>
  <c r="AC226" i="11"/>
  <c r="F226" i="11"/>
  <c r="AD226" i="11"/>
  <c r="G226" i="11"/>
  <c r="AE226" i="11"/>
  <c r="H226" i="11"/>
  <c r="AF226" i="11"/>
  <c r="I226" i="11"/>
  <c r="AG226" i="11"/>
  <c r="J226" i="11"/>
  <c r="AH226" i="11"/>
  <c r="K226" i="11"/>
  <c r="AI226" i="11"/>
  <c r="L226" i="11"/>
  <c r="AJ226" i="11"/>
  <c r="M226" i="11"/>
  <c r="AK226" i="11"/>
  <c r="N226" i="11"/>
  <c r="AL226" i="11"/>
  <c r="O226" i="11"/>
  <c r="AM226" i="11"/>
  <c r="P226" i="11"/>
  <c r="AN226" i="11"/>
  <c r="Q226" i="11"/>
  <c r="AO226" i="11"/>
  <c r="R226" i="11"/>
  <c r="AP226" i="11"/>
  <c r="S226" i="11"/>
  <c r="AQ226" i="11"/>
  <c r="T226" i="11"/>
  <c r="AR226" i="11"/>
  <c r="U226" i="11"/>
  <c r="AS226" i="11"/>
  <c r="V226" i="11"/>
  <c r="AT226" i="11"/>
  <c r="W226" i="11"/>
  <c r="AU226" i="11"/>
  <c r="X226" i="11"/>
  <c r="AV226" i="11"/>
  <c r="Y226" i="11"/>
  <c r="AW226" i="11"/>
  <c r="Z226" i="11"/>
  <c r="AC227" i="11"/>
  <c r="F227" i="11"/>
  <c r="AD227" i="11"/>
  <c r="G227" i="11"/>
  <c r="AE227" i="11"/>
  <c r="H227" i="11"/>
  <c r="AF227" i="11"/>
  <c r="I227" i="11"/>
  <c r="AG227" i="11"/>
  <c r="J227" i="11"/>
  <c r="AH227" i="11"/>
  <c r="K227" i="11"/>
  <c r="AI227" i="11"/>
  <c r="L227" i="11"/>
  <c r="AJ227" i="11"/>
  <c r="M227" i="11"/>
  <c r="AK227" i="11"/>
  <c r="N227" i="11"/>
  <c r="AL227" i="11"/>
  <c r="O227" i="11"/>
  <c r="AM227" i="11"/>
  <c r="P227" i="11"/>
  <c r="AN227" i="11"/>
  <c r="Q227" i="11"/>
  <c r="AO227" i="11"/>
  <c r="R227" i="11"/>
  <c r="AP227" i="11"/>
  <c r="S227" i="11"/>
  <c r="AQ227" i="11"/>
  <c r="T227" i="11"/>
  <c r="AR227" i="11"/>
  <c r="U227" i="11"/>
  <c r="AS227" i="11"/>
  <c r="V227" i="11"/>
  <c r="AT227" i="11"/>
  <c r="W227" i="11"/>
  <c r="AU227" i="11"/>
  <c r="X227" i="11"/>
  <c r="AV227" i="11"/>
  <c r="Y227" i="11"/>
  <c r="AW227" i="11"/>
  <c r="Z227" i="11"/>
  <c r="AC228" i="11"/>
  <c r="F228" i="11"/>
  <c r="AD228" i="11"/>
  <c r="G228" i="11"/>
  <c r="AE228" i="11"/>
  <c r="H228" i="11"/>
  <c r="AF228" i="11"/>
  <c r="I228" i="11"/>
  <c r="AG228" i="11"/>
  <c r="J228" i="11"/>
  <c r="AH228" i="11"/>
  <c r="K228" i="11"/>
  <c r="AI228" i="11"/>
  <c r="L228" i="11"/>
  <c r="AJ228" i="11"/>
  <c r="M228" i="11"/>
  <c r="AK228" i="11"/>
  <c r="N228" i="11"/>
  <c r="AL228" i="11"/>
  <c r="O228" i="11"/>
  <c r="AM228" i="11"/>
  <c r="P228" i="11"/>
  <c r="AN228" i="11"/>
  <c r="Q228" i="11"/>
  <c r="AO228" i="11"/>
  <c r="R228" i="11"/>
  <c r="AP228" i="11"/>
  <c r="S228" i="11"/>
  <c r="AQ228" i="11"/>
  <c r="T228" i="11"/>
  <c r="AR228" i="11"/>
  <c r="U228" i="11"/>
  <c r="AS228" i="11"/>
  <c r="V228" i="11"/>
  <c r="AT228" i="11"/>
  <c r="W228" i="11"/>
  <c r="AU228" i="11"/>
  <c r="X228" i="11"/>
  <c r="AV228" i="11"/>
  <c r="Y228" i="11"/>
  <c r="AW228" i="11"/>
  <c r="Z228" i="11"/>
  <c r="AC229" i="11"/>
  <c r="F229" i="11"/>
  <c r="AD229" i="11"/>
  <c r="G229" i="11"/>
  <c r="AE229" i="11"/>
  <c r="H229" i="11"/>
  <c r="AF229" i="11"/>
  <c r="I229" i="11"/>
  <c r="AG229" i="11"/>
  <c r="J229" i="11"/>
  <c r="AH229" i="11"/>
  <c r="K229" i="11"/>
  <c r="AI229" i="11"/>
  <c r="L229" i="11"/>
  <c r="AJ229" i="11"/>
  <c r="M229" i="11"/>
  <c r="AK229" i="11"/>
  <c r="N229" i="11"/>
  <c r="AL229" i="11"/>
  <c r="O229" i="11"/>
  <c r="AM229" i="11"/>
  <c r="P229" i="11"/>
  <c r="AN229" i="11"/>
  <c r="Q229" i="11"/>
  <c r="AO229" i="11"/>
  <c r="R229" i="11"/>
  <c r="AP229" i="11"/>
  <c r="S229" i="11"/>
  <c r="AQ229" i="11"/>
  <c r="T229" i="11"/>
  <c r="AR229" i="11"/>
  <c r="U229" i="11"/>
  <c r="AS229" i="11"/>
  <c r="V229" i="11"/>
  <c r="AT229" i="11"/>
  <c r="W229" i="11"/>
  <c r="AU229" i="11"/>
  <c r="X229" i="11"/>
  <c r="AV229" i="11"/>
  <c r="Y229" i="11"/>
  <c r="AW229" i="11"/>
  <c r="Z229" i="11"/>
  <c r="AC230" i="11"/>
  <c r="F230" i="11"/>
  <c r="AD230" i="11"/>
  <c r="G230" i="11"/>
  <c r="AE230" i="11"/>
  <c r="H230" i="11"/>
  <c r="AF230" i="11"/>
  <c r="I230" i="11"/>
  <c r="AG230" i="11"/>
  <c r="J230" i="11"/>
  <c r="AH230" i="11"/>
  <c r="K230" i="11"/>
  <c r="AI230" i="11"/>
  <c r="L230" i="11"/>
  <c r="AJ230" i="11"/>
  <c r="M230" i="11"/>
  <c r="AK230" i="11"/>
  <c r="N230" i="11"/>
  <c r="AL230" i="11"/>
  <c r="O230" i="11"/>
  <c r="AM230" i="11"/>
  <c r="P230" i="11"/>
  <c r="AN230" i="11"/>
  <c r="Q230" i="11"/>
  <c r="AO230" i="11"/>
  <c r="R230" i="11"/>
  <c r="AP230" i="11"/>
  <c r="S230" i="11"/>
  <c r="AQ230" i="11"/>
  <c r="T230" i="11"/>
  <c r="AR230" i="11"/>
  <c r="U230" i="11"/>
  <c r="AS230" i="11"/>
  <c r="V230" i="11"/>
  <c r="AT230" i="11"/>
  <c r="W230" i="11"/>
  <c r="AU230" i="11"/>
  <c r="X230" i="11"/>
  <c r="AV230" i="11"/>
  <c r="Y230" i="11"/>
  <c r="AW230" i="11"/>
  <c r="Z230" i="11"/>
  <c r="AC231" i="11"/>
  <c r="F231" i="11"/>
  <c r="AD231" i="11"/>
  <c r="G231" i="11"/>
  <c r="AE231" i="11"/>
  <c r="H231" i="11"/>
  <c r="AF231" i="11"/>
  <c r="I231" i="11"/>
  <c r="AG231" i="11"/>
  <c r="J231" i="11"/>
  <c r="AH231" i="11"/>
  <c r="K231" i="11"/>
  <c r="AI231" i="11"/>
  <c r="L231" i="11"/>
  <c r="AJ231" i="11"/>
  <c r="M231" i="11"/>
  <c r="AK231" i="11"/>
  <c r="N231" i="11"/>
  <c r="AL231" i="11"/>
  <c r="O231" i="11"/>
  <c r="AM231" i="11"/>
  <c r="P231" i="11"/>
  <c r="AN231" i="11"/>
  <c r="Q231" i="11"/>
  <c r="AO231" i="11"/>
  <c r="R231" i="11"/>
  <c r="AP231" i="11"/>
  <c r="S231" i="11"/>
  <c r="AQ231" i="11"/>
  <c r="T231" i="11"/>
  <c r="AR231" i="11"/>
  <c r="U231" i="11"/>
  <c r="AS231" i="11"/>
  <c r="V231" i="11"/>
  <c r="AT231" i="11"/>
  <c r="W231" i="11"/>
  <c r="AU231" i="11"/>
  <c r="X231" i="11"/>
  <c r="AV231" i="11"/>
  <c r="Y231" i="11"/>
  <c r="AW231" i="11"/>
  <c r="Z231" i="11"/>
  <c r="AC232" i="11"/>
  <c r="F232" i="11"/>
  <c r="AD232" i="11"/>
  <c r="G232" i="11"/>
  <c r="AE232" i="11"/>
  <c r="H232" i="11"/>
  <c r="AF232" i="11"/>
  <c r="I232" i="11"/>
  <c r="AG232" i="11"/>
  <c r="J232" i="11"/>
  <c r="AH232" i="11"/>
  <c r="K232" i="11"/>
  <c r="AI232" i="11"/>
  <c r="L232" i="11"/>
  <c r="AJ232" i="11"/>
  <c r="M232" i="11"/>
  <c r="AK232" i="11"/>
  <c r="N232" i="11"/>
  <c r="AL232" i="11"/>
  <c r="O232" i="11"/>
  <c r="AM232" i="11"/>
  <c r="P232" i="11"/>
  <c r="AN232" i="11"/>
  <c r="Q232" i="11"/>
  <c r="AO232" i="11"/>
  <c r="R232" i="11"/>
  <c r="AP232" i="11"/>
  <c r="S232" i="11"/>
  <c r="AQ232" i="11"/>
  <c r="T232" i="11"/>
  <c r="AR232" i="11"/>
  <c r="U232" i="11"/>
  <c r="AS232" i="11"/>
  <c r="V232" i="11"/>
  <c r="AT232" i="11"/>
  <c r="W232" i="11"/>
  <c r="AU232" i="11"/>
  <c r="X232" i="11"/>
  <c r="AV232" i="11"/>
  <c r="Y232" i="11"/>
  <c r="AW232" i="11"/>
  <c r="Z232" i="11"/>
  <c r="AC233" i="11"/>
  <c r="F233" i="11"/>
  <c r="AD233" i="11"/>
  <c r="G233" i="11"/>
  <c r="AE233" i="11"/>
  <c r="H233" i="11"/>
  <c r="AF233" i="11"/>
  <c r="I233" i="11"/>
  <c r="AG233" i="11"/>
  <c r="J233" i="11"/>
  <c r="AH233" i="11"/>
  <c r="K233" i="11"/>
  <c r="AI233" i="11"/>
  <c r="L233" i="11"/>
  <c r="AJ233" i="11"/>
  <c r="M233" i="11"/>
  <c r="AK233" i="11"/>
  <c r="N233" i="11"/>
  <c r="AL233" i="11"/>
  <c r="O233" i="11"/>
  <c r="AM233" i="11"/>
  <c r="P233" i="11"/>
  <c r="AN233" i="11"/>
  <c r="Q233" i="11"/>
  <c r="AO233" i="11"/>
  <c r="R233" i="11"/>
  <c r="AP233" i="11"/>
  <c r="S233" i="11"/>
  <c r="AQ233" i="11"/>
  <c r="T233" i="11"/>
  <c r="AR233" i="11"/>
  <c r="U233" i="11"/>
  <c r="AS233" i="11"/>
  <c r="V233" i="11"/>
  <c r="AT233" i="11"/>
  <c r="W233" i="11"/>
  <c r="AU233" i="11"/>
  <c r="X233" i="11"/>
  <c r="AV233" i="11"/>
  <c r="Y233" i="11"/>
  <c r="AW233" i="11"/>
  <c r="Z233" i="11"/>
  <c r="AC234" i="11"/>
  <c r="F234" i="11"/>
  <c r="AD234" i="11"/>
  <c r="G234" i="11"/>
  <c r="AE234" i="11"/>
  <c r="H234" i="11"/>
  <c r="AF234" i="11"/>
  <c r="I234" i="11"/>
  <c r="AG234" i="11"/>
  <c r="J234" i="11"/>
  <c r="AH234" i="11"/>
  <c r="K234" i="11"/>
  <c r="AI234" i="11"/>
  <c r="L234" i="11"/>
  <c r="AJ234" i="11"/>
  <c r="M234" i="11"/>
  <c r="AK234" i="11"/>
  <c r="N234" i="11"/>
  <c r="AL234" i="11"/>
  <c r="O234" i="11"/>
  <c r="AM234" i="11"/>
  <c r="P234" i="11"/>
  <c r="AN234" i="11"/>
  <c r="Q234" i="11"/>
  <c r="AO234" i="11"/>
  <c r="R234" i="11"/>
  <c r="AP234" i="11"/>
  <c r="S234" i="11"/>
  <c r="AQ234" i="11"/>
  <c r="T234" i="11"/>
  <c r="AR234" i="11"/>
  <c r="U234" i="11"/>
  <c r="AS234" i="11"/>
  <c r="V234" i="11"/>
  <c r="AT234" i="11"/>
  <c r="W234" i="11"/>
  <c r="AU234" i="11"/>
  <c r="X234" i="11"/>
  <c r="AV234" i="11"/>
  <c r="Y234" i="11"/>
  <c r="AW234" i="11"/>
  <c r="Z234" i="11"/>
  <c r="AC235" i="11"/>
  <c r="F235" i="11"/>
  <c r="AD235" i="11"/>
  <c r="G235" i="11"/>
  <c r="AE235" i="11"/>
  <c r="H235" i="11"/>
  <c r="AF235" i="11"/>
  <c r="I235" i="11"/>
  <c r="AG235" i="11"/>
  <c r="J235" i="11"/>
  <c r="AH235" i="11"/>
  <c r="K235" i="11"/>
  <c r="AI235" i="11"/>
  <c r="L235" i="11"/>
  <c r="AJ235" i="11"/>
  <c r="M235" i="11"/>
  <c r="AK235" i="11"/>
  <c r="N235" i="11"/>
  <c r="AL235" i="11"/>
  <c r="O235" i="11"/>
  <c r="AM235" i="11"/>
  <c r="P235" i="11"/>
  <c r="AN235" i="11"/>
  <c r="Q235" i="11"/>
  <c r="AO235" i="11"/>
  <c r="R235" i="11"/>
  <c r="AP235" i="11"/>
  <c r="S235" i="11"/>
  <c r="AQ235" i="11"/>
  <c r="T235" i="11"/>
  <c r="AR235" i="11"/>
  <c r="U235" i="11"/>
  <c r="AS235" i="11"/>
  <c r="V235" i="11"/>
  <c r="AT235" i="11"/>
  <c r="W235" i="11"/>
  <c r="AU235" i="11"/>
  <c r="X235" i="11"/>
  <c r="AV235" i="11"/>
  <c r="Y235" i="11"/>
  <c r="AW235" i="11"/>
  <c r="Z235" i="11"/>
  <c r="AC236" i="11"/>
  <c r="F236" i="11"/>
  <c r="AD236" i="11"/>
  <c r="G236" i="11"/>
  <c r="AE236" i="11"/>
  <c r="H236" i="11"/>
  <c r="AF236" i="11"/>
  <c r="I236" i="11"/>
  <c r="AG236" i="11"/>
  <c r="J236" i="11"/>
  <c r="AH236" i="11"/>
  <c r="K236" i="11"/>
  <c r="AI236" i="11"/>
  <c r="L236" i="11"/>
  <c r="AJ236" i="11"/>
  <c r="M236" i="11"/>
  <c r="AK236" i="11"/>
  <c r="N236" i="11"/>
  <c r="AL236" i="11"/>
  <c r="O236" i="11"/>
  <c r="AM236" i="11"/>
  <c r="P236" i="11"/>
  <c r="AN236" i="11"/>
  <c r="Q236" i="11"/>
  <c r="AO236" i="11"/>
  <c r="R236" i="11"/>
  <c r="AP236" i="11"/>
  <c r="S236" i="11"/>
  <c r="AQ236" i="11"/>
  <c r="T236" i="11"/>
  <c r="AR236" i="11"/>
  <c r="U236" i="11"/>
  <c r="AS236" i="11"/>
  <c r="V236" i="11"/>
  <c r="AT236" i="11"/>
  <c r="W236" i="11"/>
  <c r="AU236" i="11"/>
  <c r="X236" i="11"/>
  <c r="AV236" i="11"/>
  <c r="Y236" i="11"/>
  <c r="AW236" i="11"/>
  <c r="Z236" i="11"/>
  <c r="AC237" i="11"/>
  <c r="F237" i="11"/>
  <c r="AD237" i="11"/>
  <c r="G237" i="11"/>
  <c r="AE237" i="11"/>
  <c r="H237" i="11"/>
  <c r="AF237" i="11"/>
  <c r="I237" i="11"/>
  <c r="AG237" i="11"/>
  <c r="J237" i="11"/>
  <c r="AH237" i="11"/>
  <c r="K237" i="11"/>
  <c r="AI237" i="11"/>
  <c r="L237" i="11"/>
  <c r="AJ237" i="11"/>
  <c r="M237" i="11"/>
  <c r="AK237" i="11"/>
  <c r="N237" i="11"/>
  <c r="AL237" i="11"/>
  <c r="O237" i="11"/>
  <c r="AM237" i="11"/>
  <c r="P237" i="11"/>
  <c r="AN237" i="11"/>
  <c r="Q237" i="11"/>
  <c r="AO237" i="11"/>
  <c r="R237" i="11"/>
  <c r="AP237" i="11"/>
  <c r="S237" i="11"/>
  <c r="AQ237" i="11"/>
  <c r="T237" i="11"/>
  <c r="AR237" i="11"/>
  <c r="U237" i="11"/>
  <c r="AS237" i="11"/>
  <c r="V237" i="11"/>
  <c r="AT237" i="11"/>
  <c r="W237" i="11"/>
  <c r="AU237" i="11"/>
  <c r="X237" i="11"/>
  <c r="AV237" i="11"/>
  <c r="Y237" i="11"/>
  <c r="AW237" i="11"/>
  <c r="Z237" i="11"/>
  <c r="AC238" i="11"/>
  <c r="F238" i="11"/>
  <c r="AD238" i="11"/>
  <c r="G238" i="11"/>
  <c r="AE238" i="11"/>
  <c r="H238" i="11"/>
  <c r="AF238" i="11"/>
  <c r="I238" i="11"/>
  <c r="AG238" i="11"/>
  <c r="J238" i="11"/>
  <c r="AH238" i="11"/>
  <c r="K238" i="11"/>
  <c r="AI238" i="11"/>
  <c r="L238" i="11"/>
  <c r="AJ238" i="11"/>
  <c r="M238" i="11"/>
  <c r="AK238" i="11"/>
  <c r="N238" i="11"/>
  <c r="AL238" i="11"/>
  <c r="O238" i="11"/>
  <c r="AM238" i="11"/>
  <c r="P238" i="11"/>
  <c r="AN238" i="11"/>
  <c r="Q238" i="11"/>
  <c r="AO238" i="11"/>
  <c r="R238" i="11"/>
  <c r="AP238" i="11"/>
  <c r="S238" i="11"/>
  <c r="AQ238" i="11"/>
  <c r="T238" i="11"/>
  <c r="AR238" i="11"/>
  <c r="U238" i="11"/>
  <c r="AS238" i="11"/>
  <c r="V238" i="11"/>
  <c r="AT238" i="11"/>
  <c r="W238" i="11"/>
  <c r="AU238" i="11"/>
  <c r="X238" i="11"/>
  <c r="AV238" i="11"/>
  <c r="Y238" i="11"/>
  <c r="AW238" i="11"/>
  <c r="Z238" i="11"/>
  <c r="AC239" i="11"/>
  <c r="F239" i="11"/>
  <c r="AD239" i="11"/>
  <c r="G239" i="11"/>
  <c r="AE239" i="11"/>
  <c r="H239" i="11"/>
  <c r="AF239" i="11"/>
  <c r="I239" i="11"/>
  <c r="AG239" i="11"/>
  <c r="J239" i="11"/>
  <c r="AH239" i="11"/>
  <c r="K239" i="11"/>
  <c r="AI239" i="11"/>
  <c r="L239" i="11"/>
  <c r="AJ239" i="11"/>
  <c r="M239" i="11"/>
  <c r="AK239" i="11"/>
  <c r="N239" i="11"/>
  <c r="AL239" i="11"/>
  <c r="O239" i="11"/>
  <c r="AM239" i="11"/>
  <c r="P239" i="11"/>
  <c r="AN239" i="11"/>
  <c r="Q239" i="11"/>
  <c r="AO239" i="11"/>
  <c r="R239" i="11"/>
  <c r="AP239" i="11"/>
  <c r="S239" i="11"/>
  <c r="AQ239" i="11"/>
  <c r="T239" i="11"/>
  <c r="AR239" i="11"/>
  <c r="U239" i="11"/>
  <c r="AS239" i="11"/>
  <c r="V239" i="11"/>
  <c r="AT239" i="11"/>
  <c r="W239" i="11"/>
  <c r="AU239" i="11"/>
  <c r="X239" i="11"/>
  <c r="AV239" i="11"/>
  <c r="Y239" i="11"/>
  <c r="AW239" i="11"/>
  <c r="Z239" i="11"/>
  <c r="AC240" i="11"/>
  <c r="F240" i="11"/>
  <c r="AD240" i="11"/>
  <c r="G240" i="11"/>
  <c r="AE240" i="11"/>
  <c r="H240" i="11"/>
  <c r="AF240" i="11"/>
  <c r="I240" i="11"/>
  <c r="AG240" i="11"/>
  <c r="J240" i="11"/>
  <c r="AH240" i="11"/>
  <c r="K240" i="11"/>
  <c r="AI240" i="11"/>
  <c r="L240" i="11"/>
  <c r="AJ240" i="11"/>
  <c r="M240" i="11"/>
  <c r="AK240" i="11"/>
  <c r="N240" i="11"/>
  <c r="AL240" i="11"/>
  <c r="O240" i="11"/>
  <c r="AM240" i="11"/>
  <c r="P240" i="11"/>
  <c r="AN240" i="11"/>
  <c r="Q240" i="11"/>
  <c r="AO240" i="11"/>
  <c r="R240" i="11"/>
  <c r="AP240" i="11"/>
  <c r="S240" i="11"/>
  <c r="AQ240" i="11"/>
  <c r="T240" i="11"/>
  <c r="AR240" i="11"/>
  <c r="U240" i="11"/>
  <c r="AS240" i="11"/>
  <c r="V240" i="11"/>
  <c r="AT240" i="11"/>
  <c r="W240" i="11"/>
  <c r="AU240" i="11"/>
  <c r="X240" i="11"/>
  <c r="AV240" i="11"/>
  <c r="Y240" i="11"/>
  <c r="AW240" i="11"/>
  <c r="Z240" i="11"/>
  <c r="AC241" i="11"/>
  <c r="F241" i="11"/>
  <c r="AD241" i="11"/>
  <c r="G241" i="11"/>
  <c r="AE241" i="11"/>
  <c r="H241" i="11"/>
  <c r="AF241" i="11"/>
  <c r="I241" i="11"/>
  <c r="AG241" i="11"/>
  <c r="J241" i="11"/>
  <c r="AH241" i="11"/>
  <c r="K241" i="11"/>
  <c r="AI241" i="11"/>
  <c r="L241" i="11"/>
  <c r="AJ241" i="11"/>
  <c r="M241" i="11"/>
  <c r="AK241" i="11"/>
  <c r="N241" i="11"/>
  <c r="AL241" i="11"/>
  <c r="O241" i="11"/>
  <c r="AM241" i="11"/>
  <c r="P241" i="11"/>
  <c r="AN241" i="11"/>
  <c r="Q241" i="11"/>
  <c r="AO241" i="11"/>
  <c r="R241" i="11"/>
  <c r="AP241" i="11"/>
  <c r="S241" i="11"/>
  <c r="AQ241" i="11"/>
  <c r="T241" i="11"/>
  <c r="AR241" i="11"/>
  <c r="U241" i="11"/>
  <c r="AS241" i="11"/>
  <c r="V241" i="11"/>
  <c r="AT241" i="11"/>
  <c r="W241" i="11"/>
  <c r="AU241" i="11"/>
  <c r="X241" i="11"/>
  <c r="AV241" i="11"/>
  <c r="Y241" i="11"/>
  <c r="AW241" i="11"/>
  <c r="Z241" i="11"/>
  <c r="AC242" i="11"/>
  <c r="F242" i="11"/>
  <c r="AD242" i="11"/>
  <c r="G242" i="11"/>
  <c r="AE242" i="11"/>
  <c r="H242" i="11"/>
  <c r="AF242" i="11"/>
  <c r="I242" i="11"/>
  <c r="AG242" i="11"/>
  <c r="J242" i="11"/>
  <c r="AH242" i="11"/>
  <c r="K242" i="11"/>
  <c r="AI242" i="11"/>
  <c r="L242" i="11"/>
  <c r="AJ242" i="11"/>
  <c r="M242" i="11"/>
  <c r="AK242" i="11"/>
  <c r="N242" i="11"/>
  <c r="AL242" i="11"/>
  <c r="O242" i="11"/>
  <c r="AM242" i="11"/>
  <c r="P242" i="11"/>
  <c r="AN242" i="11"/>
  <c r="Q242" i="11"/>
  <c r="AO242" i="11"/>
  <c r="R242" i="11"/>
  <c r="AP242" i="11"/>
  <c r="S242" i="11"/>
  <c r="AQ242" i="11"/>
  <c r="T242" i="11"/>
  <c r="AR242" i="11"/>
  <c r="U242" i="11"/>
  <c r="AS242" i="11"/>
  <c r="V242" i="11"/>
  <c r="AT242" i="11"/>
  <c r="W242" i="11"/>
  <c r="AU242" i="11"/>
  <c r="X242" i="11"/>
  <c r="AV242" i="11"/>
  <c r="Y242" i="11"/>
  <c r="AW242" i="11"/>
  <c r="Z242" i="11"/>
  <c r="AC243" i="11"/>
  <c r="F243" i="11"/>
  <c r="AD243" i="11"/>
  <c r="G243" i="11"/>
  <c r="AE243" i="11"/>
  <c r="H243" i="11"/>
  <c r="AF243" i="11"/>
  <c r="I243" i="11"/>
  <c r="AG243" i="11"/>
  <c r="J243" i="11"/>
  <c r="AH243" i="11"/>
  <c r="K243" i="11"/>
  <c r="AI243" i="11"/>
  <c r="L243" i="11"/>
  <c r="AJ243" i="11"/>
  <c r="M243" i="11"/>
  <c r="AK243" i="11"/>
  <c r="N243" i="11"/>
  <c r="AL243" i="11"/>
  <c r="O243" i="11"/>
  <c r="AM243" i="11"/>
  <c r="P243" i="11"/>
  <c r="AN243" i="11"/>
  <c r="Q243" i="11"/>
  <c r="AO243" i="11"/>
  <c r="R243" i="11"/>
  <c r="AP243" i="11"/>
  <c r="S243" i="11"/>
  <c r="AQ243" i="11"/>
  <c r="T243" i="11"/>
  <c r="AR243" i="11"/>
  <c r="U243" i="11"/>
  <c r="AS243" i="11"/>
  <c r="V243" i="11"/>
  <c r="AT243" i="11"/>
  <c r="W243" i="11"/>
  <c r="AU243" i="11"/>
  <c r="X243" i="11"/>
  <c r="AV243" i="11"/>
  <c r="Y243" i="11"/>
  <c r="AW243" i="11"/>
  <c r="Z243" i="11"/>
  <c r="AC244" i="11"/>
  <c r="F244" i="11"/>
  <c r="AD244" i="11"/>
  <c r="G244" i="11"/>
  <c r="AE244" i="11"/>
  <c r="H244" i="11"/>
  <c r="AF244" i="11"/>
  <c r="I244" i="11"/>
  <c r="AG244" i="11"/>
  <c r="J244" i="11"/>
  <c r="AH244" i="11"/>
  <c r="K244" i="11"/>
  <c r="AI244" i="11"/>
  <c r="L244" i="11"/>
  <c r="AJ244" i="11"/>
  <c r="M244" i="11"/>
  <c r="AK244" i="11"/>
  <c r="N244" i="11"/>
  <c r="AL244" i="11"/>
  <c r="O244" i="11"/>
  <c r="AM244" i="11"/>
  <c r="P244" i="11"/>
  <c r="AN244" i="11"/>
  <c r="Q244" i="11"/>
  <c r="AO244" i="11"/>
  <c r="R244" i="11"/>
  <c r="AP244" i="11"/>
  <c r="S244" i="11"/>
  <c r="AQ244" i="11"/>
  <c r="T244" i="11"/>
  <c r="AR244" i="11"/>
  <c r="U244" i="11"/>
  <c r="AS244" i="11"/>
  <c r="V244" i="11"/>
  <c r="AT244" i="11"/>
  <c r="W244" i="11"/>
  <c r="AU244" i="11"/>
  <c r="X244" i="11"/>
  <c r="AV244" i="11"/>
  <c r="Y244" i="11"/>
  <c r="AW244" i="11"/>
  <c r="Z244" i="11"/>
  <c r="AC245" i="11"/>
  <c r="F245" i="11"/>
  <c r="AD245" i="11"/>
  <c r="G245" i="11"/>
  <c r="AE245" i="11"/>
  <c r="H245" i="11"/>
  <c r="AF245" i="11"/>
  <c r="I245" i="11"/>
  <c r="AG245" i="11"/>
  <c r="J245" i="11"/>
  <c r="AH245" i="11"/>
  <c r="K245" i="11"/>
  <c r="AI245" i="11"/>
  <c r="L245" i="11"/>
  <c r="AJ245" i="11"/>
  <c r="M245" i="11"/>
  <c r="AK245" i="11"/>
  <c r="N245" i="11"/>
  <c r="AL245" i="11"/>
  <c r="O245" i="11"/>
  <c r="AM245" i="11"/>
  <c r="P245" i="11"/>
  <c r="AN245" i="11"/>
  <c r="Q245" i="11"/>
  <c r="AO245" i="11"/>
  <c r="R245" i="11"/>
  <c r="AP245" i="11"/>
  <c r="S245" i="11"/>
  <c r="AQ245" i="11"/>
  <c r="T245" i="11"/>
  <c r="AR245" i="11"/>
  <c r="U245" i="11"/>
  <c r="AS245" i="11"/>
  <c r="V245" i="11"/>
  <c r="AT245" i="11"/>
  <c r="W245" i="11"/>
  <c r="AU245" i="11"/>
  <c r="X245" i="11"/>
  <c r="AV245" i="11"/>
  <c r="Y245" i="11"/>
  <c r="AW245" i="11"/>
  <c r="Z245" i="11"/>
  <c r="AC246" i="11"/>
  <c r="F246" i="11"/>
  <c r="AD246" i="11"/>
  <c r="G246" i="11"/>
  <c r="AE246" i="11"/>
  <c r="H246" i="11"/>
  <c r="AF246" i="11"/>
  <c r="I246" i="11"/>
  <c r="AG246" i="11"/>
  <c r="J246" i="11"/>
  <c r="AH246" i="11"/>
  <c r="K246" i="11"/>
  <c r="AI246" i="11"/>
  <c r="L246" i="11"/>
  <c r="AJ246" i="11"/>
  <c r="M246" i="11"/>
  <c r="AK246" i="11"/>
  <c r="N246" i="11"/>
  <c r="AL246" i="11"/>
  <c r="O246" i="11"/>
  <c r="AM246" i="11"/>
  <c r="P246" i="11"/>
  <c r="AN246" i="11"/>
  <c r="Q246" i="11"/>
  <c r="AO246" i="11"/>
  <c r="R246" i="11"/>
  <c r="AP246" i="11"/>
  <c r="S246" i="11"/>
  <c r="AQ246" i="11"/>
  <c r="T246" i="11"/>
  <c r="AR246" i="11"/>
  <c r="U246" i="11"/>
  <c r="AS246" i="11"/>
  <c r="V246" i="11"/>
  <c r="AT246" i="11"/>
  <c r="W246" i="11"/>
  <c r="AU246" i="11"/>
  <c r="X246" i="11"/>
  <c r="AV246" i="11"/>
  <c r="Y246" i="11"/>
  <c r="AW246" i="11"/>
  <c r="Z246" i="11"/>
  <c r="AC247" i="11"/>
  <c r="F247" i="11"/>
  <c r="AD247" i="11"/>
  <c r="G247" i="11"/>
  <c r="AE247" i="11"/>
  <c r="H247" i="11"/>
  <c r="AF247" i="11"/>
  <c r="I247" i="11"/>
  <c r="AG247" i="11"/>
  <c r="J247" i="11"/>
  <c r="AH247" i="11"/>
  <c r="K247" i="11"/>
  <c r="AI247" i="11"/>
  <c r="L247" i="11"/>
  <c r="AJ247" i="11"/>
  <c r="M247" i="11"/>
  <c r="AK247" i="11"/>
  <c r="N247" i="11"/>
  <c r="AL247" i="11"/>
  <c r="O247" i="11"/>
  <c r="AM247" i="11"/>
  <c r="P247" i="11"/>
  <c r="AN247" i="11"/>
  <c r="Q247" i="11"/>
  <c r="AO247" i="11"/>
  <c r="R247" i="11"/>
  <c r="AP247" i="11"/>
  <c r="S247" i="11"/>
  <c r="AQ247" i="11"/>
  <c r="T247" i="11"/>
  <c r="AR247" i="11"/>
  <c r="U247" i="11"/>
  <c r="AS247" i="11"/>
  <c r="V247" i="11"/>
  <c r="AT247" i="11"/>
  <c r="W247" i="11"/>
  <c r="AU247" i="11"/>
  <c r="X247" i="11"/>
  <c r="AV247" i="11"/>
  <c r="Y247" i="11"/>
  <c r="AW247" i="11"/>
  <c r="Z247" i="11"/>
  <c r="AC248" i="11"/>
  <c r="F248" i="11"/>
  <c r="AD248" i="11"/>
  <c r="G248" i="11"/>
  <c r="AE248" i="11"/>
  <c r="H248" i="11"/>
  <c r="AF248" i="11"/>
  <c r="I248" i="11"/>
  <c r="AG248" i="11"/>
  <c r="J248" i="11"/>
  <c r="AH248" i="11"/>
  <c r="K248" i="11"/>
  <c r="AI248" i="11"/>
  <c r="L248" i="11"/>
  <c r="AJ248" i="11"/>
  <c r="M248" i="11"/>
  <c r="AK248" i="11"/>
  <c r="N248" i="11"/>
  <c r="AL248" i="11"/>
  <c r="O248" i="11"/>
  <c r="AM248" i="11"/>
  <c r="P248" i="11"/>
  <c r="AN248" i="11"/>
  <c r="Q248" i="11"/>
  <c r="AO248" i="11"/>
  <c r="R248" i="11"/>
  <c r="AP248" i="11"/>
  <c r="S248" i="11"/>
  <c r="AQ248" i="11"/>
  <c r="T248" i="11"/>
  <c r="AR248" i="11"/>
  <c r="U248" i="11"/>
  <c r="AS248" i="11"/>
  <c r="V248" i="11"/>
  <c r="AT248" i="11"/>
  <c r="W248" i="11"/>
  <c r="AU248" i="11"/>
  <c r="X248" i="11"/>
  <c r="AV248" i="11"/>
  <c r="Y248" i="11"/>
  <c r="AW248" i="11"/>
  <c r="Z248" i="11"/>
  <c r="AC249" i="11"/>
  <c r="F249" i="11"/>
  <c r="AD249" i="11"/>
  <c r="G249" i="11"/>
  <c r="AE249" i="11"/>
  <c r="H249" i="11"/>
  <c r="AF249" i="11"/>
  <c r="I249" i="11"/>
  <c r="AG249" i="11"/>
  <c r="J249" i="11"/>
  <c r="AH249" i="11"/>
  <c r="K249" i="11"/>
  <c r="AI249" i="11"/>
  <c r="L249" i="11"/>
  <c r="AJ249" i="11"/>
  <c r="M249" i="11"/>
  <c r="AK249" i="11"/>
  <c r="N249" i="11"/>
  <c r="AL249" i="11"/>
  <c r="O249" i="11"/>
  <c r="AM249" i="11"/>
  <c r="P249" i="11"/>
  <c r="AN249" i="11"/>
  <c r="Q249" i="11"/>
  <c r="AO249" i="11"/>
  <c r="R249" i="11"/>
  <c r="AP249" i="11"/>
  <c r="S249" i="11"/>
  <c r="AQ249" i="11"/>
  <c r="T249" i="11"/>
  <c r="AR249" i="11"/>
  <c r="U249" i="11"/>
  <c r="AS249" i="11"/>
  <c r="V249" i="11"/>
  <c r="AT249" i="11"/>
  <c r="W249" i="11"/>
  <c r="AU249" i="11"/>
  <c r="X249" i="11"/>
  <c r="AV249" i="11"/>
  <c r="Y249" i="11"/>
  <c r="AW249" i="11"/>
  <c r="Z249" i="11"/>
  <c r="AC250" i="11"/>
  <c r="F250" i="11"/>
  <c r="AD250" i="11"/>
  <c r="G250" i="11"/>
  <c r="AE250" i="11"/>
  <c r="H250" i="11"/>
  <c r="AF250" i="11"/>
  <c r="I250" i="11"/>
  <c r="AG250" i="11"/>
  <c r="J250" i="11"/>
  <c r="AH250" i="11"/>
  <c r="K250" i="11"/>
  <c r="AI250" i="11"/>
  <c r="L250" i="11"/>
  <c r="AJ250" i="11"/>
  <c r="M250" i="11"/>
  <c r="AK250" i="11"/>
  <c r="N250" i="11"/>
  <c r="AL250" i="11"/>
  <c r="O250" i="11"/>
  <c r="AM250" i="11"/>
  <c r="P250" i="11"/>
  <c r="AN250" i="11"/>
  <c r="Q250" i="11"/>
  <c r="AO250" i="11"/>
  <c r="R250" i="11"/>
  <c r="AP250" i="11"/>
  <c r="S250" i="11"/>
  <c r="AQ250" i="11"/>
  <c r="T250" i="11"/>
  <c r="AR250" i="11"/>
  <c r="U250" i="11"/>
  <c r="AS250" i="11"/>
  <c r="V250" i="11"/>
  <c r="AT250" i="11"/>
  <c r="W250" i="11"/>
  <c r="AU250" i="11"/>
  <c r="X250" i="11"/>
  <c r="AV250" i="11"/>
  <c r="Y250" i="11"/>
  <c r="AW250" i="11"/>
  <c r="Z250" i="11"/>
  <c r="AC251" i="11"/>
  <c r="F251" i="11"/>
  <c r="AD251" i="11"/>
  <c r="G251" i="11"/>
  <c r="AE251" i="11"/>
  <c r="H251" i="11"/>
  <c r="AF251" i="11"/>
  <c r="I251" i="11"/>
  <c r="AG251" i="11"/>
  <c r="J251" i="11"/>
  <c r="AH251" i="11"/>
  <c r="K251" i="11"/>
  <c r="AI251" i="11"/>
  <c r="L251" i="11"/>
  <c r="AJ251" i="11"/>
  <c r="M251" i="11"/>
  <c r="AK251" i="11"/>
  <c r="N251" i="11"/>
  <c r="AL251" i="11"/>
  <c r="O251" i="11"/>
  <c r="AM251" i="11"/>
  <c r="P251" i="11"/>
  <c r="AN251" i="11"/>
  <c r="Q251" i="11"/>
  <c r="AO251" i="11"/>
  <c r="R251" i="11"/>
  <c r="AP251" i="11"/>
  <c r="S251" i="11"/>
  <c r="AQ251" i="11"/>
  <c r="T251" i="11"/>
  <c r="AR251" i="11"/>
  <c r="U251" i="11"/>
  <c r="AS251" i="11"/>
  <c r="V251" i="11"/>
  <c r="AT251" i="11"/>
  <c r="W251" i="11"/>
  <c r="AU251" i="11"/>
  <c r="X251" i="11"/>
  <c r="AV251" i="11"/>
  <c r="Y251" i="11"/>
  <c r="AW251" i="11"/>
  <c r="Z251" i="11"/>
  <c r="AC252" i="11"/>
  <c r="F252" i="11"/>
  <c r="AD252" i="11"/>
  <c r="G252" i="11"/>
  <c r="AE252" i="11"/>
  <c r="H252" i="11"/>
  <c r="AF252" i="11"/>
  <c r="I252" i="11"/>
  <c r="AG252" i="11"/>
  <c r="J252" i="11"/>
  <c r="AH252" i="11"/>
  <c r="K252" i="11"/>
  <c r="AI252" i="11"/>
  <c r="L252" i="11"/>
  <c r="AJ252" i="11"/>
  <c r="M252" i="11"/>
  <c r="AK252" i="11"/>
  <c r="N252" i="11"/>
  <c r="AL252" i="11"/>
  <c r="O252" i="11"/>
  <c r="AM252" i="11"/>
  <c r="P252" i="11"/>
  <c r="AN252" i="11"/>
  <c r="Q252" i="11"/>
  <c r="AO252" i="11"/>
  <c r="R252" i="11"/>
  <c r="AP252" i="11"/>
  <c r="S252" i="11"/>
  <c r="AQ252" i="11"/>
  <c r="T252" i="11"/>
  <c r="AR252" i="11"/>
  <c r="U252" i="11"/>
  <c r="AS252" i="11"/>
  <c r="V252" i="11"/>
  <c r="AT252" i="11"/>
  <c r="W252" i="11"/>
  <c r="AU252" i="11"/>
  <c r="X252" i="11"/>
  <c r="AV252" i="11"/>
  <c r="Y252" i="11"/>
  <c r="AW252" i="11"/>
  <c r="Z252" i="11"/>
  <c r="AC253" i="11"/>
  <c r="F253" i="11"/>
  <c r="AD253" i="11"/>
  <c r="G253" i="11"/>
  <c r="AE253" i="11"/>
  <c r="H253" i="11"/>
  <c r="AF253" i="11"/>
  <c r="I253" i="11"/>
  <c r="AG253" i="11"/>
  <c r="J253" i="11"/>
  <c r="AH253" i="11"/>
  <c r="K253" i="11"/>
  <c r="AI253" i="11"/>
  <c r="L253" i="11"/>
  <c r="AJ253" i="11"/>
  <c r="M253" i="11"/>
  <c r="AK253" i="11"/>
  <c r="N253" i="11"/>
  <c r="AL253" i="11"/>
  <c r="O253" i="11"/>
  <c r="AM253" i="11"/>
  <c r="P253" i="11"/>
  <c r="AN253" i="11"/>
  <c r="Q253" i="11"/>
  <c r="AO253" i="11"/>
  <c r="R253" i="11"/>
  <c r="AP253" i="11"/>
  <c r="S253" i="11"/>
  <c r="AQ253" i="11"/>
  <c r="T253" i="11"/>
  <c r="AR253" i="11"/>
  <c r="U253" i="11"/>
  <c r="AS253" i="11"/>
  <c r="V253" i="11"/>
  <c r="AT253" i="11"/>
  <c r="W253" i="11"/>
  <c r="AU253" i="11"/>
  <c r="X253" i="11"/>
  <c r="AV253" i="11"/>
  <c r="Y253" i="11"/>
  <c r="AW253" i="11"/>
  <c r="Z253" i="11"/>
  <c r="AC254" i="11"/>
  <c r="F254" i="11"/>
  <c r="AD254" i="11"/>
  <c r="G254" i="11"/>
  <c r="AE254" i="11"/>
  <c r="H254" i="11"/>
  <c r="AF254" i="11"/>
  <c r="I254" i="11"/>
  <c r="AG254" i="11"/>
  <c r="J254" i="11"/>
  <c r="AH254" i="11"/>
  <c r="K254" i="11"/>
  <c r="AI254" i="11"/>
  <c r="L254" i="11"/>
  <c r="AJ254" i="11"/>
  <c r="M254" i="11"/>
  <c r="AK254" i="11"/>
  <c r="N254" i="11"/>
  <c r="AL254" i="11"/>
  <c r="O254" i="11"/>
  <c r="AM254" i="11"/>
  <c r="P254" i="11"/>
  <c r="AN254" i="11"/>
  <c r="Q254" i="11"/>
  <c r="AO254" i="11"/>
  <c r="R254" i="11"/>
  <c r="AP254" i="11"/>
  <c r="S254" i="11"/>
  <c r="AQ254" i="11"/>
  <c r="T254" i="11"/>
  <c r="AR254" i="11"/>
  <c r="U254" i="11"/>
  <c r="AS254" i="11"/>
  <c r="V254" i="11"/>
  <c r="AT254" i="11"/>
  <c r="W254" i="11"/>
  <c r="AU254" i="11"/>
  <c r="X254" i="11"/>
  <c r="AV254" i="11"/>
  <c r="Y254" i="11"/>
  <c r="AW254" i="11"/>
  <c r="Z254" i="11"/>
  <c r="AC255" i="11"/>
  <c r="F255" i="11"/>
  <c r="AD255" i="11"/>
  <c r="G255" i="11"/>
  <c r="AE255" i="11"/>
  <c r="H255" i="11"/>
  <c r="AF255" i="11"/>
  <c r="I255" i="11"/>
  <c r="AG255" i="11"/>
  <c r="J255" i="11"/>
  <c r="AH255" i="11"/>
  <c r="K255" i="11"/>
  <c r="AI255" i="11"/>
  <c r="L255" i="11"/>
  <c r="AJ255" i="11"/>
  <c r="M255" i="11"/>
  <c r="AK255" i="11"/>
  <c r="N255" i="11"/>
  <c r="AL255" i="11"/>
  <c r="O255" i="11"/>
  <c r="AM255" i="11"/>
  <c r="P255" i="11"/>
  <c r="AN255" i="11"/>
  <c r="Q255" i="11"/>
  <c r="AO255" i="11"/>
  <c r="R255" i="11"/>
  <c r="AP255" i="11"/>
  <c r="S255" i="11"/>
  <c r="AQ255" i="11"/>
  <c r="T255" i="11"/>
  <c r="AR255" i="11"/>
  <c r="U255" i="11"/>
  <c r="AS255" i="11"/>
  <c r="V255" i="11"/>
  <c r="AT255" i="11"/>
  <c r="W255" i="11"/>
  <c r="AU255" i="11"/>
  <c r="X255" i="11"/>
  <c r="AV255" i="11"/>
  <c r="Y255" i="11"/>
  <c r="AW255" i="11"/>
  <c r="Z255" i="11"/>
  <c r="AC256" i="11"/>
  <c r="F256" i="11"/>
  <c r="AD256" i="11"/>
  <c r="G256" i="11"/>
  <c r="AE256" i="11"/>
  <c r="H256" i="11"/>
  <c r="AF256" i="11"/>
  <c r="I256" i="11"/>
  <c r="AG256" i="11"/>
  <c r="J256" i="11"/>
  <c r="AH256" i="11"/>
  <c r="K256" i="11"/>
  <c r="AI256" i="11"/>
  <c r="L256" i="11"/>
  <c r="AJ256" i="11"/>
  <c r="M256" i="11"/>
  <c r="AK256" i="11"/>
  <c r="N256" i="11"/>
  <c r="AL256" i="11"/>
  <c r="O256" i="11"/>
  <c r="AM256" i="11"/>
  <c r="P256" i="11"/>
  <c r="AN256" i="11"/>
  <c r="Q256" i="11"/>
  <c r="AO256" i="11"/>
  <c r="R256" i="11"/>
  <c r="AP256" i="11"/>
  <c r="S256" i="11"/>
  <c r="AQ256" i="11"/>
  <c r="T256" i="11"/>
  <c r="AR256" i="11"/>
  <c r="U256" i="11"/>
  <c r="AS256" i="11"/>
  <c r="V256" i="11"/>
  <c r="AT256" i="11"/>
  <c r="W256" i="11"/>
  <c r="AU256" i="11"/>
  <c r="X256" i="11"/>
  <c r="AV256" i="11"/>
  <c r="Y256" i="11"/>
  <c r="AW256" i="11"/>
  <c r="Z256" i="11"/>
  <c r="AC257" i="11"/>
  <c r="F257" i="11"/>
  <c r="AD257" i="11"/>
  <c r="G257" i="11"/>
  <c r="AE257" i="11"/>
  <c r="H257" i="11"/>
  <c r="AF257" i="11"/>
  <c r="I257" i="11"/>
  <c r="AG257" i="11"/>
  <c r="J257" i="11"/>
  <c r="AH257" i="11"/>
  <c r="K257" i="11"/>
  <c r="AI257" i="11"/>
  <c r="L257" i="11"/>
  <c r="AJ257" i="11"/>
  <c r="M257" i="11"/>
  <c r="AK257" i="11"/>
  <c r="N257" i="11"/>
  <c r="AL257" i="11"/>
  <c r="O257" i="11"/>
  <c r="AM257" i="11"/>
  <c r="P257" i="11"/>
  <c r="AN257" i="11"/>
  <c r="Q257" i="11"/>
  <c r="AO257" i="11"/>
  <c r="R257" i="11"/>
  <c r="AP257" i="11"/>
  <c r="S257" i="11"/>
  <c r="AQ257" i="11"/>
  <c r="T257" i="11"/>
  <c r="AR257" i="11"/>
  <c r="U257" i="11"/>
  <c r="AS257" i="11"/>
  <c r="V257" i="11"/>
  <c r="AT257" i="11"/>
  <c r="W257" i="11"/>
  <c r="AU257" i="11"/>
  <c r="X257" i="11"/>
  <c r="AV257" i="11"/>
  <c r="Y257" i="11"/>
  <c r="AW257" i="11"/>
  <c r="Z257" i="11"/>
  <c r="AC258" i="11"/>
  <c r="F258" i="11"/>
  <c r="AD258" i="11"/>
  <c r="G258" i="11"/>
  <c r="AE258" i="11"/>
  <c r="H258" i="11"/>
  <c r="AF258" i="11"/>
  <c r="I258" i="11"/>
  <c r="AG258" i="11"/>
  <c r="J258" i="11"/>
  <c r="AH258" i="11"/>
  <c r="K258" i="11"/>
  <c r="AI258" i="11"/>
  <c r="L258" i="11"/>
  <c r="AJ258" i="11"/>
  <c r="M258" i="11"/>
  <c r="AK258" i="11"/>
  <c r="N258" i="11"/>
  <c r="AL258" i="11"/>
  <c r="O258" i="11"/>
  <c r="AM258" i="11"/>
  <c r="P258" i="11"/>
  <c r="AN258" i="11"/>
  <c r="Q258" i="11"/>
  <c r="AO258" i="11"/>
  <c r="R258" i="11"/>
  <c r="AP258" i="11"/>
  <c r="S258" i="11"/>
  <c r="AQ258" i="11"/>
  <c r="T258" i="11"/>
  <c r="AR258" i="11"/>
  <c r="U258" i="11"/>
  <c r="AS258" i="11"/>
  <c r="V258" i="11"/>
  <c r="AT258" i="11"/>
  <c r="W258" i="11"/>
  <c r="AU258" i="11"/>
  <c r="X258" i="11"/>
  <c r="AV258" i="11"/>
  <c r="Y258" i="11"/>
  <c r="AW258" i="11"/>
  <c r="Z258" i="11"/>
  <c r="AC259" i="11"/>
  <c r="F259" i="11"/>
  <c r="AD259" i="11"/>
  <c r="G259" i="11"/>
  <c r="AE259" i="11"/>
  <c r="H259" i="11"/>
  <c r="AF259" i="11"/>
  <c r="I259" i="11"/>
  <c r="AG259" i="11"/>
  <c r="J259" i="11"/>
  <c r="AH259" i="11"/>
  <c r="K259" i="11"/>
  <c r="AI259" i="11"/>
  <c r="L259" i="11"/>
  <c r="AJ259" i="11"/>
  <c r="M259" i="11"/>
  <c r="AK259" i="11"/>
  <c r="N259" i="11"/>
  <c r="AL259" i="11"/>
  <c r="O259" i="11"/>
  <c r="AM259" i="11"/>
  <c r="P259" i="11"/>
  <c r="AN259" i="11"/>
  <c r="Q259" i="11"/>
  <c r="AO259" i="11"/>
  <c r="R259" i="11"/>
  <c r="AP259" i="11"/>
  <c r="S259" i="11"/>
  <c r="AQ259" i="11"/>
  <c r="T259" i="11"/>
  <c r="AR259" i="11"/>
  <c r="U259" i="11"/>
  <c r="AS259" i="11"/>
  <c r="V259" i="11"/>
  <c r="AT259" i="11"/>
  <c r="W259" i="11"/>
  <c r="AU259" i="11"/>
  <c r="X259" i="11"/>
  <c r="AV259" i="11"/>
  <c r="Y259" i="11"/>
  <c r="AW259" i="11"/>
  <c r="Z259" i="11"/>
  <c r="AC260" i="11"/>
  <c r="F260" i="11"/>
  <c r="AD260" i="11"/>
  <c r="G260" i="11"/>
  <c r="AE260" i="11"/>
  <c r="H260" i="11"/>
  <c r="AF260" i="11"/>
  <c r="I260" i="11"/>
  <c r="AG260" i="11"/>
  <c r="J260" i="11"/>
  <c r="AH260" i="11"/>
  <c r="K260" i="11"/>
  <c r="AI260" i="11"/>
  <c r="L260" i="11"/>
  <c r="AJ260" i="11"/>
  <c r="M260" i="11"/>
  <c r="AK260" i="11"/>
  <c r="N260" i="11"/>
  <c r="AL260" i="11"/>
  <c r="O260" i="11"/>
  <c r="AM260" i="11"/>
  <c r="P260" i="11"/>
  <c r="AN260" i="11"/>
  <c r="Q260" i="11"/>
  <c r="AO260" i="11"/>
  <c r="R260" i="11"/>
  <c r="AP260" i="11"/>
  <c r="S260" i="11"/>
  <c r="AQ260" i="11"/>
  <c r="T260" i="11"/>
  <c r="AR260" i="11"/>
  <c r="U260" i="11"/>
  <c r="AS260" i="11"/>
  <c r="V260" i="11"/>
  <c r="AT260" i="11"/>
  <c r="W260" i="11"/>
  <c r="AU260" i="11"/>
  <c r="X260" i="11"/>
  <c r="AV260" i="11"/>
  <c r="Y260" i="11"/>
  <c r="AW260" i="11"/>
  <c r="Z260" i="11"/>
  <c r="AC261" i="11"/>
  <c r="F261" i="11"/>
  <c r="AD261" i="11"/>
  <c r="G261" i="11"/>
  <c r="AE261" i="11"/>
  <c r="H261" i="11"/>
  <c r="AF261" i="11"/>
  <c r="I261" i="11"/>
  <c r="AG261" i="11"/>
  <c r="J261" i="11"/>
  <c r="AH261" i="11"/>
  <c r="K261" i="11"/>
  <c r="AI261" i="11"/>
  <c r="L261" i="11"/>
  <c r="AJ261" i="11"/>
  <c r="M261" i="11"/>
  <c r="AK261" i="11"/>
  <c r="N261" i="11"/>
  <c r="AL261" i="11"/>
  <c r="O261" i="11"/>
  <c r="AM261" i="11"/>
  <c r="P261" i="11"/>
  <c r="AN261" i="11"/>
  <c r="Q261" i="11"/>
  <c r="AO261" i="11"/>
  <c r="R261" i="11"/>
  <c r="AP261" i="11"/>
  <c r="S261" i="11"/>
  <c r="AQ261" i="11"/>
  <c r="T261" i="11"/>
  <c r="AR261" i="11"/>
  <c r="U261" i="11"/>
  <c r="AS261" i="11"/>
  <c r="V261" i="11"/>
  <c r="AT261" i="11"/>
  <c r="W261" i="11"/>
  <c r="AU261" i="11"/>
  <c r="X261" i="11"/>
  <c r="AV261" i="11"/>
  <c r="Y261" i="11"/>
  <c r="AW261" i="11"/>
  <c r="Z261" i="11"/>
  <c r="AC262" i="11"/>
  <c r="F262" i="11"/>
  <c r="AD262" i="11"/>
  <c r="G262" i="11"/>
  <c r="AE262" i="11"/>
  <c r="H262" i="11"/>
  <c r="AF262" i="11"/>
  <c r="I262" i="11"/>
  <c r="AG262" i="11"/>
  <c r="J262" i="11"/>
  <c r="AH262" i="11"/>
  <c r="K262" i="11"/>
  <c r="AI262" i="11"/>
  <c r="L262" i="11"/>
  <c r="AJ262" i="11"/>
  <c r="M262" i="11"/>
  <c r="AK262" i="11"/>
  <c r="N262" i="11"/>
  <c r="AL262" i="11"/>
  <c r="O262" i="11"/>
  <c r="AM262" i="11"/>
  <c r="P262" i="11"/>
  <c r="AN262" i="11"/>
  <c r="Q262" i="11"/>
  <c r="AO262" i="11"/>
  <c r="R262" i="11"/>
  <c r="AP262" i="11"/>
  <c r="S262" i="11"/>
  <c r="AQ262" i="11"/>
  <c r="T262" i="11"/>
  <c r="AR262" i="11"/>
  <c r="U262" i="11"/>
  <c r="AS262" i="11"/>
  <c r="V262" i="11"/>
  <c r="AT262" i="11"/>
  <c r="W262" i="11"/>
  <c r="AU262" i="11"/>
  <c r="X262" i="11"/>
  <c r="AV262" i="11"/>
  <c r="Y262" i="11"/>
  <c r="AW262" i="11"/>
  <c r="Z262" i="11"/>
  <c r="AC263" i="11"/>
  <c r="F263" i="11"/>
  <c r="AD263" i="11"/>
  <c r="G263" i="11"/>
  <c r="AE263" i="11"/>
  <c r="H263" i="11"/>
  <c r="AF263" i="11"/>
  <c r="I263" i="11"/>
  <c r="AG263" i="11"/>
  <c r="J263" i="11"/>
  <c r="AH263" i="11"/>
  <c r="K263" i="11"/>
  <c r="AI263" i="11"/>
  <c r="L263" i="11"/>
  <c r="AJ263" i="11"/>
  <c r="M263" i="11"/>
  <c r="AK263" i="11"/>
  <c r="N263" i="11"/>
  <c r="AL263" i="11"/>
  <c r="O263" i="11"/>
  <c r="AM263" i="11"/>
  <c r="P263" i="11"/>
  <c r="AN263" i="11"/>
  <c r="Q263" i="11"/>
  <c r="AO263" i="11"/>
  <c r="R263" i="11"/>
  <c r="AP263" i="11"/>
  <c r="S263" i="11"/>
  <c r="AQ263" i="11"/>
  <c r="T263" i="11"/>
  <c r="AR263" i="11"/>
  <c r="U263" i="11"/>
  <c r="AS263" i="11"/>
  <c r="V263" i="11"/>
  <c r="AT263" i="11"/>
  <c r="W263" i="11"/>
  <c r="AU263" i="11"/>
  <c r="X263" i="11"/>
  <c r="AV263" i="11"/>
  <c r="Y263" i="11"/>
  <c r="AW263" i="11"/>
  <c r="Z263" i="11"/>
  <c r="AC264" i="11"/>
  <c r="F264" i="11"/>
  <c r="AD264" i="11"/>
  <c r="G264" i="11"/>
  <c r="AE264" i="11"/>
  <c r="H264" i="11"/>
  <c r="AF264" i="11"/>
  <c r="I264" i="11"/>
  <c r="AG264" i="11"/>
  <c r="J264" i="11"/>
  <c r="AH264" i="11"/>
  <c r="K264" i="11"/>
  <c r="AI264" i="11"/>
  <c r="L264" i="11"/>
  <c r="AJ264" i="11"/>
  <c r="M264" i="11"/>
  <c r="AK264" i="11"/>
  <c r="N264" i="11"/>
  <c r="AL264" i="11"/>
  <c r="O264" i="11"/>
  <c r="AM264" i="11"/>
  <c r="P264" i="11"/>
  <c r="AN264" i="11"/>
  <c r="Q264" i="11"/>
  <c r="AO264" i="11"/>
  <c r="R264" i="11"/>
  <c r="AP264" i="11"/>
  <c r="S264" i="11"/>
  <c r="AQ264" i="11"/>
  <c r="T264" i="11"/>
  <c r="AR264" i="11"/>
  <c r="U264" i="11"/>
  <c r="AS264" i="11"/>
  <c r="V264" i="11"/>
  <c r="AT264" i="11"/>
  <c r="W264" i="11"/>
  <c r="AU264" i="11"/>
  <c r="X264" i="11"/>
  <c r="AV264" i="11"/>
  <c r="Y264" i="11"/>
  <c r="AW264" i="11"/>
  <c r="Z264" i="11"/>
  <c r="AC265" i="11"/>
  <c r="F265" i="11"/>
  <c r="AD265" i="11"/>
  <c r="G265" i="11"/>
  <c r="AE265" i="11"/>
  <c r="H265" i="11"/>
  <c r="AF265" i="11"/>
  <c r="I265" i="11"/>
  <c r="AG265" i="11"/>
  <c r="J265" i="11"/>
  <c r="AH265" i="11"/>
  <c r="K265" i="11"/>
  <c r="AI265" i="11"/>
  <c r="L265" i="11"/>
  <c r="AJ265" i="11"/>
  <c r="M265" i="11"/>
  <c r="AK265" i="11"/>
  <c r="N265" i="11"/>
  <c r="AL265" i="11"/>
  <c r="O265" i="11"/>
  <c r="AM265" i="11"/>
  <c r="P265" i="11"/>
  <c r="AN265" i="11"/>
  <c r="Q265" i="11"/>
  <c r="AO265" i="11"/>
  <c r="R265" i="11"/>
  <c r="AP265" i="11"/>
  <c r="S265" i="11"/>
  <c r="AQ265" i="11"/>
  <c r="T265" i="11"/>
  <c r="AR265" i="11"/>
  <c r="U265" i="11"/>
  <c r="AS265" i="11"/>
  <c r="V265" i="11"/>
  <c r="AT265" i="11"/>
  <c r="W265" i="11"/>
  <c r="AU265" i="11"/>
  <c r="X265" i="11"/>
  <c r="AV265" i="11"/>
  <c r="Y265" i="11"/>
  <c r="AW265" i="11"/>
  <c r="Z265" i="11"/>
  <c r="AC266" i="11"/>
  <c r="F266" i="11"/>
  <c r="AD266" i="11"/>
  <c r="G266" i="11"/>
  <c r="AE266" i="11"/>
  <c r="H266" i="11"/>
  <c r="AF266" i="11"/>
  <c r="I266" i="11"/>
  <c r="AG266" i="11"/>
  <c r="J266" i="11"/>
  <c r="AH266" i="11"/>
  <c r="K266" i="11"/>
  <c r="AI266" i="11"/>
  <c r="L266" i="11"/>
  <c r="AJ266" i="11"/>
  <c r="M266" i="11"/>
  <c r="AK266" i="11"/>
  <c r="N266" i="11"/>
  <c r="AL266" i="11"/>
  <c r="O266" i="11"/>
  <c r="AM266" i="11"/>
  <c r="P266" i="11"/>
  <c r="AN266" i="11"/>
  <c r="Q266" i="11"/>
  <c r="AO266" i="11"/>
  <c r="R266" i="11"/>
  <c r="AP266" i="11"/>
  <c r="S266" i="11"/>
  <c r="AQ266" i="11"/>
  <c r="T266" i="11"/>
  <c r="AR266" i="11"/>
  <c r="U266" i="11"/>
  <c r="AS266" i="11"/>
  <c r="V266" i="11"/>
  <c r="AT266" i="11"/>
  <c r="W266" i="11"/>
  <c r="AU266" i="11"/>
  <c r="X266" i="11"/>
  <c r="AV266" i="11"/>
  <c r="Y266" i="11"/>
  <c r="AW266" i="11"/>
  <c r="Z266" i="11"/>
  <c r="AC267" i="11"/>
  <c r="F267" i="11"/>
  <c r="AD267" i="11"/>
  <c r="G267" i="11"/>
  <c r="AE267" i="11"/>
  <c r="H267" i="11"/>
  <c r="AF267" i="11"/>
  <c r="I267" i="11"/>
  <c r="AG267" i="11"/>
  <c r="J267" i="11"/>
  <c r="AH267" i="11"/>
  <c r="K267" i="11"/>
  <c r="AI267" i="11"/>
  <c r="L267" i="11"/>
  <c r="AJ267" i="11"/>
  <c r="M267" i="11"/>
  <c r="AK267" i="11"/>
  <c r="N267" i="11"/>
  <c r="AL267" i="11"/>
  <c r="O267" i="11"/>
  <c r="AM267" i="11"/>
  <c r="P267" i="11"/>
  <c r="AN267" i="11"/>
  <c r="Q267" i="11"/>
  <c r="AO267" i="11"/>
  <c r="R267" i="11"/>
  <c r="AP267" i="11"/>
  <c r="S267" i="11"/>
  <c r="AQ267" i="11"/>
  <c r="T267" i="11"/>
  <c r="AR267" i="11"/>
  <c r="U267" i="11"/>
  <c r="AS267" i="11"/>
  <c r="V267" i="11"/>
  <c r="AT267" i="11"/>
  <c r="W267" i="11"/>
  <c r="AU267" i="11"/>
  <c r="X267" i="11"/>
  <c r="AV267" i="11"/>
  <c r="Y267" i="11"/>
  <c r="AW267" i="11"/>
  <c r="Z267" i="11"/>
  <c r="AC268" i="11"/>
  <c r="F268" i="11"/>
  <c r="AD268" i="11"/>
  <c r="G268" i="11"/>
  <c r="AE268" i="11"/>
  <c r="H268" i="11"/>
  <c r="AF268" i="11"/>
  <c r="I268" i="11"/>
  <c r="AG268" i="11"/>
  <c r="J268" i="11"/>
  <c r="AH268" i="11"/>
  <c r="K268" i="11"/>
  <c r="AI268" i="11"/>
  <c r="L268" i="11"/>
  <c r="AJ268" i="11"/>
  <c r="M268" i="11"/>
  <c r="AK268" i="11"/>
  <c r="N268" i="11"/>
  <c r="AL268" i="11"/>
  <c r="O268" i="11"/>
  <c r="AM268" i="11"/>
  <c r="P268" i="11"/>
  <c r="AN268" i="11"/>
  <c r="Q268" i="11"/>
  <c r="AO268" i="11"/>
  <c r="R268" i="11"/>
  <c r="AP268" i="11"/>
  <c r="S268" i="11"/>
  <c r="AQ268" i="11"/>
  <c r="T268" i="11"/>
  <c r="AR268" i="11"/>
  <c r="U268" i="11"/>
  <c r="AS268" i="11"/>
  <c r="V268" i="11"/>
  <c r="AT268" i="11"/>
  <c r="W268" i="11"/>
  <c r="AU268" i="11"/>
  <c r="X268" i="11"/>
  <c r="AV268" i="11"/>
  <c r="Y268" i="11"/>
  <c r="AW268" i="11"/>
  <c r="Z268" i="11"/>
  <c r="AC269" i="11"/>
  <c r="F269" i="11"/>
  <c r="AD269" i="11"/>
  <c r="G269" i="11"/>
  <c r="AE269" i="11"/>
  <c r="H269" i="11"/>
  <c r="AF269" i="11"/>
  <c r="I269" i="11"/>
  <c r="AG269" i="11"/>
  <c r="J269" i="11"/>
  <c r="AH269" i="11"/>
  <c r="K269" i="11"/>
  <c r="AI269" i="11"/>
  <c r="L269" i="11"/>
  <c r="AJ269" i="11"/>
  <c r="M269" i="11"/>
  <c r="AK269" i="11"/>
  <c r="N269" i="11"/>
  <c r="AL269" i="11"/>
  <c r="O269" i="11"/>
  <c r="AM269" i="11"/>
  <c r="P269" i="11"/>
  <c r="AN269" i="11"/>
  <c r="Q269" i="11"/>
  <c r="AO269" i="11"/>
  <c r="R269" i="11"/>
  <c r="AP269" i="11"/>
  <c r="S269" i="11"/>
  <c r="AQ269" i="11"/>
  <c r="T269" i="11"/>
  <c r="AR269" i="11"/>
  <c r="U269" i="11"/>
  <c r="AS269" i="11"/>
  <c r="V269" i="11"/>
  <c r="AT269" i="11"/>
  <c r="W269" i="11"/>
  <c r="AU269" i="11"/>
  <c r="X269" i="11"/>
  <c r="AV269" i="11"/>
  <c r="Y269" i="11"/>
  <c r="AW269" i="11"/>
  <c r="Z269" i="11"/>
  <c r="AC270" i="11"/>
  <c r="F270" i="11"/>
  <c r="AD270" i="11"/>
  <c r="G270" i="11"/>
  <c r="AE270" i="11"/>
  <c r="H270" i="11"/>
  <c r="AF270" i="11"/>
  <c r="I270" i="11"/>
  <c r="AG270" i="11"/>
  <c r="J270" i="11"/>
  <c r="AH270" i="11"/>
  <c r="K270" i="11"/>
  <c r="AI270" i="11"/>
  <c r="L270" i="11"/>
  <c r="AJ270" i="11"/>
  <c r="M270" i="11"/>
  <c r="AK270" i="11"/>
  <c r="N270" i="11"/>
  <c r="AL270" i="11"/>
  <c r="O270" i="11"/>
  <c r="AM270" i="11"/>
  <c r="P270" i="11"/>
  <c r="AN270" i="11"/>
  <c r="Q270" i="11"/>
  <c r="AO270" i="11"/>
  <c r="R270" i="11"/>
  <c r="AP270" i="11"/>
  <c r="S270" i="11"/>
  <c r="AQ270" i="11"/>
  <c r="T270" i="11"/>
  <c r="AR270" i="11"/>
  <c r="U270" i="11"/>
  <c r="AS270" i="11"/>
  <c r="V270" i="11"/>
  <c r="AT270" i="11"/>
  <c r="W270" i="11"/>
  <c r="AU270" i="11"/>
  <c r="X270" i="11"/>
  <c r="AV270" i="11"/>
  <c r="Y270" i="11"/>
  <c r="AW270" i="11"/>
  <c r="Z270" i="11"/>
  <c r="AC271" i="11"/>
  <c r="F271" i="11"/>
  <c r="AD271" i="11"/>
  <c r="G271" i="11"/>
  <c r="AE271" i="11"/>
  <c r="H271" i="11"/>
  <c r="AF271" i="11"/>
  <c r="I271" i="11"/>
  <c r="AG271" i="11"/>
  <c r="J271" i="11"/>
  <c r="AH271" i="11"/>
  <c r="K271" i="11"/>
  <c r="AI271" i="11"/>
  <c r="L271" i="11"/>
  <c r="AJ271" i="11"/>
  <c r="M271" i="11"/>
  <c r="AK271" i="11"/>
  <c r="N271" i="11"/>
  <c r="AL271" i="11"/>
  <c r="O271" i="11"/>
  <c r="AM271" i="11"/>
  <c r="P271" i="11"/>
  <c r="AN271" i="11"/>
  <c r="Q271" i="11"/>
  <c r="AO271" i="11"/>
  <c r="R271" i="11"/>
  <c r="AP271" i="11"/>
  <c r="S271" i="11"/>
  <c r="AQ271" i="11"/>
  <c r="T271" i="11"/>
  <c r="AR271" i="11"/>
  <c r="U271" i="11"/>
  <c r="AS271" i="11"/>
  <c r="V271" i="11"/>
  <c r="AT271" i="11"/>
  <c r="W271" i="11"/>
  <c r="AU271" i="11"/>
  <c r="X271" i="11"/>
  <c r="AV271" i="11"/>
  <c r="Y271" i="11"/>
  <c r="AW271" i="11"/>
  <c r="Z271" i="11"/>
  <c r="AC272" i="11"/>
  <c r="F272" i="11"/>
  <c r="AD272" i="11"/>
  <c r="G272" i="11"/>
  <c r="AE272" i="11"/>
  <c r="H272" i="11"/>
  <c r="AF272" i="11"/>
  <c r="I272" i="11"/>
  <c r="AG272" i="11"/>
  <c r="J272" i="11"/>
  <c r="AH272" i="11"/>
  <c r="K272" i="11"/>
  <c r="AI272" i="11"/>
  <c r="L272" i="11"/>
  <c r="AJ272" i="11"/>
  <c r="M272" i="11"/>
  <c r="AK272" i="11"/>
  <c r="N272" i="11"/>
  <c r="AL272" i="11"/>
  <c r="O272" i="11"/>
  <c r="AM272" i="11"/>
  <c r="P272" i="11"/>
  <c r="AN272" i="11"/>
  <c r="Q272" i="11"/>
  <c r="AO272" i="11"/>
  <c r="R272" i="11"/>
  <c r="AP272" i="11"/>
  <c r="S272" i="11"/>
  <c r="AQ272" i="11"/>
  <c r="T272" i="11"/>
  <c r="AR272" i="11"/>
  <c r="U272" i="11"/>
  <c r="AS272" i="11"/>
  <c r="V272" i="11"/>
  <c r="AT272" i="11"/>
  <c r="W272" i="11"/>
  <c r="AU272" i="11"/>
  <c r="X272" i="11"/>
  <c r="AV272" i="11"/>
  <c r="Y272" i="11"/>
  <c r="AW272" i="11"/>
  <c r="Z272" i="11"/>
  <c r="AC273" i="11"/>
  <c r="F273" i="11"/>
  <c r="AD273" i="11"/>
  <c r="G273" i="11"/>
  <c r="AE273" i="11"/>
  <c r="H273" i="11"/>
  <c r="AF273" i="11"/>
  <c r="I273" i="11"/>
  <c r="AG273" i="11"/>
  <c r="J273" i="11"/>
  <c r="AH273" i="11"/>
  <c r="K273" i="11"/>
  <c r="AI273" i="11"/>
  <c r="L273" i="11"/>
  <c r="AJ273" i="11"/>
  <c r="M273" i="11"/>
  <c r="AK273" i="11"/>
  <c r="N273" i="11"/>
  <c r="AL273" i="11"/>
  <c r="O273" i="11"/>
  <c r="AM273" i="11"/>
  <c r="P273" i="11"/>
  <c r="AN273" i="11"/>
  <c r="Q273" i="11"/>
  <c r="AO273" i="11"/>
  <c r="R273" i="11"/>
  <c r="AP273" i="11"/>
  <c r="S273" i="11"/>
  <c r="AQ273" i="11"/>
  <c r="T273" i="11"/>
  <c r="AR273" i="11"/>
  <c r="U273" i="11"/>
  <c r="AS273" i="11"/>
  <c r="V273" i="11"/>
  <c r="AT273" i="11"/>
  <c r="W273" i="11"/>
  <c r="AU273" i="11"/>
  <c r="X273" i="11"/>
  <c r="AV273" i="11"/>
  <c r="Y273" i="11"/>
  <c r="AW273" i="11"/>
  <c r="Z273" i="11"/>
  <c r="AC274" i="11"/>
  <c r="F274" i="11"/>
  <c r="AD274" i="11"/>
  <c r="G274" i="11"/>
  <c r="AE274" i="11"/>
  <c r="H274" i="11"/>
  <c r="AF274" i="11"/>
  <c r="I274" i="11"/>
  <c r="AG274" i="11"/>
  <c r="J274" i="11"/>
  <c r="AH274" i="11"/>
  <c r="K274" i="11"/>
  <c r="AI274" i="11"/>
  <c r="L274" i="11"/>
  <c r="AJ274" i="11"/>
  <c r="M274" i="11"/>
  <c r="AK274" i="11"/>
  <c r="N274" i="11"/>
  <c r="AL274" i="11"/>
  <c r="O274" i="11"/>
  <c r="AM274" i="11"/>
  <c r="P274" i="11"/>
  <c r="AN274" i="11"/>
  <c r="Q274" i="11"/>
  <c r="AO274" i="11"/>
  <c r="R274" i="11"/>
  <c r="AP274" i="11"/>
  <c r="S274" i="11"/>
  <c r="AQ274" i="11"/>
  <c r="T274" i="11"/>
  <c r="AR274" i="11"/>
  <c r="U274" i="11"/>
  <c r="AS274" i="11"/>
  <c r="V274" i="11"/>
  <c r="AT274" i="11"/>
  <c r="W274" i="11"/>
  <c r="AU274" i="11"/>
  <c r="X274" i="11"/>
  <c r="AV274" i="11"/>
  <c r="Y274" i="11"/>
  <c r="AW274" i="11"/>
  <c r="Z274" i="11"/>
  <c r="AC275" i="11"/>
  <c r="F275" i="11"/>
  <c r="AD275" i="11"/>
  <c r="G275" i="11"/>
  <c r="AE275" i="11"/>
  <c r="H275" i="11"/>
  <c r="AF275" i="11"/>
  <c r="I275" i="11"/>
  <c r="AG275" i="11"/>
  <c r="J275" i="11"/>
  <c r="AH275" i="11"/>
  <c r="K275" i="11"/>
  <c r="AI275" i="11"/>
  <c r="L275" i="11"/>
  <c r="AJ275" i="11"/>
  <c r="M275" i="11"/>
  <c r="AK275" i="11"/>
  <c r="N275" i="11"/>
  <c r="AL275" i="11"/>
  <c r="O275" i="11"/>
  <c r="AM275" i="11"/>
  <c r="P275" i="11"/>
  <c r="AN275" i="11"/>
  <c r="Q275" i="11"/>
  <c r="AO275" i="11"/>
  <c r="R275" i="11"/>
  <c r="AP275" i="11"/>
  <c r="S275" i="11"/>
  <c r="AQ275" i="11"/>
  <c r="T275" i="11"/>
  <c r="AR275" i="11"/>
  <c r="U275" i="11"/>
  <c r="AS275" i="11"/>
  <c r="V275" i="11"/>
  <c r="AT275" i="11"/>
  <c r="W275" i="11"/>
  <c r="AU275" i="11"/>
  <c r="X275" i="11"/>
  <c r="AV275" i="11"/>
  <c r="Y275" i="11"/>
  <c r="AW275" i="11"/>
  <c r="Z275" i="11"/>
  <c r="AC276" i="11"/>
  <c r="F276" i="11"/>
  <c r="AD276" i="11"/>
  <c r="G276" i="11"/>
  <c r="AE276" i="11"/>
  <c r="H276" i="11"/>
  <c r="AF276" i="11"/>
  <c r="I276" i="11"/>
  <c r="AG276" i="11"/>
  <c r="J276" i="11"/>
  <c r="AH276" i="11"/>
  <c r="K276" i="11"/>
  <c r="AI276" i="11"/>
  <c r="L276" i="11"/>
  <c r="AJ276" i="11"/>
  <c r="M276" i="11"/>
  <c r="AK276" i="11"/>
  <c r="N276" i="11"/>
  <c r="AL276" i="11"/>
  <c r="O276" i="11"/>
  <c r="AM276" i="11"/>
  <c r="P276" i="11"/>
  <c r="AN276" i="11"/>
  <c r="Q276" i="11"/>
  <c r="AO276" i="11"/>
  <c r="R276" i="11"/>
  <c r="AP276" i="11"/>
  <c r="S276" i="11"/>
  <c r="AQ276" i="11"/>
  <c r="T276" i="11"/>
  <c r="AR276" i="11"/>
  <c r="U276" i="11"/>
  <c r="AS276" i="11"/>
  <c r="V276" i="11"/>
  <c r="AT276" i="11"/>
  <c r="W276" i="11"/>
  <c r="AU276" i="11"/>
  <c r="X276" i="11"/>
  <c r="AV276" i="11"/>
  <c r="Y276" i="11"/>
  <c r="AW276" i="11"/>
  <c r="Z276" i="11"/>
  <c r="AC277" i="11"/>
  <c r="F277" i="11"/>
  <c r="AD277" i="11"/>
  <c r="G277" i="11"/>
  <c r="AE277" i="11"/>
  <c r="H277" i="11"/>
  <c r="AF277" i="11"/>
  <c r="I277" i="11"/>
  <c r="AG277" i="11"/>
  <c r="J277" i="11"/>
  <c r="AH277" i="11"/>
  <c r="K277" i="11"/>
  <c r="AI277" i="11"/>
  <c r="L277" i="11"/>
  <c r="AJ277" i="11"/>
  <c r="M277" i="11"/>
  <c r="AK277" i="11"/>
  <c r="N277" i="11"/>
  <c r="AL277" i="11"/>
  <c r="O277" i="11"/>
  <c r="AM277" i="11"/>
  <c r="P277" i="11"/>
  <c r="AN277" i="11"/>
  <c r="Q277" i="11"/>
  <c r="AO277" i="11"/>
  <c r="R277" i="11"/>
  <c r="AP277" i="11"/>
  <c r="S277" i="11"/>
  <c r="AQ277" i="11"/>
  <c r="T277" i="11"/>
  <c r="AR277" i="11"/>
  <c r="U277" i="11"/>
  <c r="AS277" i="11"/>
  <c r="V277" i="11"/>
  <c r="AT277" i="11"/>
  <c r="W277" i="11"/>
  <c r="AU277" i="11"/>
  <c r="X277" i="11"/>
  <c r="AV277" i="11"/>
  <c r="Y277" i="11"/>
  <c r="AW277" i="11"/>
  <c r="Z277" i="11"/>
  <c r="AC278" i="11"/>
  <c r="F278" i="11"/>
  <c r="AD278" i="11"/>
  <c r="G278" i="11"/>
  <c r="AE278" i="11"/>
  <c r="H278" i="11"/>
  <c r="AF278" i="11"/>
  <c r="I278" i="11"/>
  <c r="AG278" i="11"/>
  <c r="J278" i="11"/>
  <c r="AH278" i="11"/>
  <c r="K278" i="11"/>
  <c r="AI278" i="11"/>
  <c r="L278" i="11"/>
  <c r="AJ278" i="11"/>
  <c r="M278" i="11"/>
  <c r="AK278" i="11"/>
  <c r="N278" i="11"/>
  <c r="AL278" i="11"/>
  <c r="O278" i="11"/>
  <c r="AM278" i="11"/>
  <c r="P278" i="11"/>
  <c r="AN278" i="11"/>
  <c r="Q278" i="11"/>
  <c r="AO278" i="11"/>
  <c r="R278" i="11"/>
  <c r="AP278" i="11"/>
  <c r="S278" i="11"/>
  <c r="AQ278" i="11"/>
  <c r="T278" i="11"/>
  <c r="AR278" i="11"/>
  <c r="U278" i="11"/>
  <c r="AS278" i="11"/>
  <c r="V278" i="11"/>
  <c r="AT278" i="11"/>
  <c r="W278" i="11"/>
  <c r="AU278" i="11"/>
  <c r="X278" i="11"/>
  <c r="AV278" i="11"/>
  <c r="Y278" i="11"/>
  <c r="AW278" i="11"/>
  <c r="Z278" i="11"/>
  <c r="AC279" i="11"/>
  <c r="F279" i="11"/>
  <c r="AD279" i="11"/>
  <c r="G279" i="11"/>
  <c r="AE279" i="11"/>
  <c r="H279" i="11"/>
  <c r="AF279" i="11"/>
  <c r="I279" i="11"/>
  <c r="AG279" i="11"/>
  <c r="J279" i="11"/>
  <c r="AH279" i="11"/>
  <c r="K279" i="11"/>
  <c r="AI279" i="11"/>
  <c r="L279" i="11"/>
  <c r="AJ279" i="11"/>
  <c r="M279" i="11"/>
  <c r="AK279" i="11"/>
  <c r="N279" i="11"/>
  <c r="AL279" i="11"/>
  <c r="O279" i="11"/>
  <c r="AM279" i="11"/>
  <c r="P279" i="11"/>
  <c r="AN279" i="11"/>
  <c r="Q279" i="11"/>
  <c r="AO279" i="11"/>
  <c r="R279" i="11"/>
  <c r="AP279" i="11"/>
  <c r="S279" i="11"/>
  <c r="AQ279" i="11"/>
  <c r="T279" i="11"/>
  <c r="AR279" i="11"/>
  <c r="U279" i="11"/>
  <c r="AS279" i="11"/>
  <c r="V279" i="11"/>
  <c r="AT279" i="11"/>
  <c r="W279" i="11"/>
  <c r="AU279" i="11"/>
  <c r="X279" i="11"/>
  <c r="AV279" i="11"/>
  <c r="Y279" i="11"/>
  <c r="AW279" i="11"/>
  <c r="Z279" i="11"/>
  <c r="AC280" i="11"/>
  <c r="F280" i="11"/>
  <c r="AD280" i="11"/>
  <c r="G280" i="11"/>
  <c r="AE280" i="11"/>
  <c r="H280" i="11"/>
  <c r="AF280" i="11"/>
  <c r="I280" i="11"/>
  <c r="AG280" i="11"/>
  <c r="J280" i="11"/>
  <c r="AH280" i="11"/>
  <c r="K280" i="11"/>
  <c r="AI280" i="11"/>
  <c r="L280" i="11"/>
  <c r="AJ280" i="11"/>
  <c r="M280" i="11"/>
  <c r="AK280" i="11"/>
  <c r="N280" i="11"/>
  <c r="AL280" i="11"/>
  <c r="O280" i="11"/>
  <c r="AM280" i="11"/>
  <c r="P280" i="11"/>
  <c r="AN280" i="11"/>
  <c r="Q280" i="11"/>
  <c r="AO280" i="11"/>
  <c r="R280" i="11"/>
  <c r="AP280" i="11"/>
  <c r="S280" i="11"/>
  <c r="AQ280" i="11"/>
  <c r="T280" i="11"/>
  <c r="AR280" i="11"/>
  <c r="U280" i="11"/>
  <c r="AS280" i="11"/>
  <c r="V280" i="11"/>
  <c r="AT280" i="11"/>
  <c r="W280" i="11"/>
  <c r="AU280" i="11"/>
  <c r="X280" i="11"/>
  <c r="AV280" i="11"/>
  <c r="Y280" i="11"/>
  <c r="AW280" i="11"/>
  <c r="Z280" i="11"/>
  <c r="AC281" i="11"/>
  <c r="F281" i="11"/>
  <c r="AD281" i="11"/>
  <c r="G281" i="11"/>
  <c r="AE281" i="11"/>
  <c r="H281" i="11"/>
  <c r="AF281" i="11"/>
  <c r="I281" i="11"/>
  <c r="AG281" i="11"/>
  <c r="J281" i="11"/>
  <c r="AH281" i="11"/>
  <c r="K281" i="11"/>
  <c r="AI281" i="11"/>
  <c r="L281" i="11"/>
  <c r="AJ281" i="11"/>
  <c r="M281" i="11"/>
  <c r="AK281" i="11"/>
  <c r="N281" i="11"/>
  <c r="AL281" i="11"/>
  <c r="O281" i="11"/>
  <c r="AM281" i="11"/>
  <c r="P281" i="11"/>
  <c r="AN281" i="11"/>
  <c r="Q281" i="11"/>
  <c r="AO281" i="11"/>
  <c r="R281" i="11"/>
  <c r="AP281" i="11"/>
  <c r="S281" i="11"/>
  <c r="AQ281" i="11"/>
  <c r="T281" i="11"/>
  <c r="AR281" i="11"/>
  <c r="U281" i="11"/>
  <c r="AS281" i="11"/>
  <c r="V281" i="11"/>
  <c r="AT281" i="11"/>
  <c r="W281" i="11"/>
  <c r="AU281" i="11"/>
  <c r="X281" i="11"/>
  <c r="AV281" i="11"/>
  <c r="Y281" i="11"/>
  <c r="AW281" i="11"/>
  <c r="Z281" i="11"/>
  <c r="AC282" i="11"/>
  <c r="F282" i="11"/>
  <c r="AD282" i="11"/>
  <c r="G282" i="11"/>
  <c r="AE282" i="11"/>
  <c r="H282" i="11"/>
  <c r="AF282" i="11"/>
  <c r="I282" i="11"/>
  <c r="AG282" i="11"/>
  <c r="J282" i="11"/>
  <c r="AH282" i="11"/>
  <c r="K282" i="11"/>
  <c r="AI282" i="11"/>
  <c r="L282" i="11"/>
  <c r="AJ282" i="11"/>
  <c r="M282" i="11"/>
  <c r="AK282" i="11"/>
  <c r="N282" i="11"/>
  <c r="AL282" i="11"/>
  <c r="O282" i="11"/>
  <c r="AM282" i="11"/>
  <c r="P282" i="11"/>
  <c r="AN282" i="11"/>
  <c r="Q282" i="11"/>
  <c r="AO282" i="11"/>
  <c r="R282" i="11"/>
  <c r="AP282" i="11"/>
  <c r="S282" i="11"/>
  <c r="AQ282" i="11"/>
  <c r="T282" i="11"/>
  <c r="AR282" i="11"/>
  <c r="U282" i="11"/>
  <c r="AS282" i="11"/>
  <c r="V282" i="11"/>
  <c r="AT282" i="11"/>
  <c r="W282" i="11"/>
  <c r="AU282" i="11"/>
  <c r="X282" i="11"/>
  <c r="AV282" i="11"/>
  <c r="Y282" i="11"/>
  <c r="AW282" i="11"/>
  <c r="Z282" i="11"/>
  <c r="AC283" i="11"/>
  <c r="F283" i="11"/>
  <c r="AD283" i="11"/>
  <c r="G283" i="11"/>
  <c r="AE283" i="11"/>
  <c r="H283" i="11"/>
  <c r="AF283" i="11"/>
  <c r="I283" i="11"/>
  <c r="AG283" i="11"/>
  <c r="J283" i="11"/>
  <c r="AH283" i="11"/>
  <c r="K283" i="11"/>
  <c r="AI283" i="11"/>
  <c r="L283" i="11"/>
  <c r="AJ283" i="11"/>
  <c r="M283" i="11"/>
  <c r="AK283" i="11"/>
  <c r="N283" i="11"/>
  <c r="AL283" i="11"/>
  <c r="O283" i="11"/>
  <c r="AM283" i="11"/>
  <c r="P283" i="11"/>
  <c r="AN283" i="11"/>
  <c r="Q283" i="11"/>
  <c r="AO283" i="11"/>
  <c r="R283" i="11"/>
  <c r="AP283" i="11"/>
  <c r="S283" i="11"/>
  <c r="AQ283" i="11"/>
  <c r="T283" i="11"/>
  <c r="AR283" i="11"/>
  <c r="U283" i="11"/>
  <c r="AS283" i="11"/>
  <c r="V283" i="11"/>
  <c r="AT283" i="11"/>
  <c r="W283" i="11"/>
  <c r="AU283" i="11"/>
  <c r="X283" i="11"/>
  <c r="AV283" i="11"/>
  <c r="Y283" i="11"/>
  <c r="AW283" i="11"/>
  <c r="Z283" i="11"/>
  <c r="AC284" i="11"/>
  <c r="F284" i="11"/>
  <c r="AD284" i="11"/>
  <c r="G284" i="11"/>
  <c r="AE284" i="11"/>
  <c r="H284" i="11"/>
  <c r="AF284" i="11"/>
  <c r="I284" i="11"/>
  <c r="AG284" i="11"/>
  <c r="J284" i="11"/>
  <c r="AH284" i="11"/>
  <c r="K284" i="11"/>
  <c r="AI284" i="11"/>
  <c r="L284" i="11"/>
  <c r="AJ284" i="11"/>
  <c r="M284" i="11"/>
  <c r="AK284" i="11"/>
  <c r="N284" i="11"/>
  <c r="AL284" i="11"/>
  <c r="O284" i="11"/>
  <c r="AM284" i="11"/>
  <c r="P284" i="11"/>
  <c r="AN284" i="11"/>
  <c r="Q284" i="11"/>
  <c r="AO284" i="11"/>
  <c r="R284" i="11"/>
  <c r="AP284" i="11"/>
  <c r="S284" i="11"/>
  <c r="AQ284" i="11"/>
  <c r="T284" i="11"/>
  <c r="AR284" i="11"/>
  <c r="U284" i="11"/>
  <c r="AS284" i="11"/>
  <c r="V284" i="11"/>
  <c r="AT284" i="11"/>
  <c r="W284" i="11"/>
  <c r="AU284" i="11"/>
  <c r="X284" i="11"/>
  <c r="AV284" i="11"/>
  <c r="Y284" i="11"/>
  <c r="AW284" i="11"/>
  <c r="Z284" i="11"/>
  <c r="AC285" i="11"/>
  <c r="F285" i="11"/>
  <c r="AD285" i="11"/>
  <c r="G285" i="11"/>
  <c r="AE285" i="11"/>
  <c r="H285" i="11"/>
  <c r="AF285" i="11"/>
  <c r="I285" i="11"/>
  <c r="AG285" i="11"/>
  <c r="J285" i="11"/>
  <c r="AH285" i="11"/>
  <c r="K285" i="11"/>
  <c r="AI285" i="11"/>
  <c r="L285" i="11"/>
  <c r="AJ285" i="11"/>
  <c r="M285" i="11"/>
  <c r="AK285" i="11"/>
  <c r="N285" i="11"/>
  <c r="AL285" i="11"/>
  <c r="O285" i="11"/>
  <c r="AM285" i="11"/>
  <c r="P285" i="11"/>
  <c r="AN285" i="11"/>
  <c r="Q285" i="11"/>
  <c r="AO285" i="11"/>
  <c r="R285" i="11"/>
  <c r="AP285" i="11"/>
  <c r="S285" i="11"/>
  <c r="AQ285" i="11"/>
  <c r="T285" i="11"/>
  <c r="AR285" i="11"/>
  <c r="U285" i="11"/>
  <c r="AS285" i="11"/>
  <c r="V285" i="11"/>
  <c r="AT285" i="11"/>
  <c r="W285" i="11"/>
  <c r="AU285" i="11"/>
  <c r="X285" i="11"/>
  <c r="AV285" i="11"/>
  <c r="Y285" i="11"/>
  <c r="AW285" i="11"/>
  <c r="Z285" i="11"/>
  <c r="AC286" i="11"/>
  <c r="F286" i="11"/>
  <c r="AD286" i="11"/>
  <c r="G286" i="11"/>
  <c r="AE286" i="11"/>
  <c r="H286" i="11"/>
  <c r="AF286" i="11"/>
  <c r="I286" i="11"/>
  <c r="AG286" i="11"/>
  <c r="J286" i="11"/>
  <c r="AH286" i="11"/>
  <c r="K286" i="11"/>
  <c r="AI286" i="11"/>
  <c r="L286" i="11"/>
  <c r="AJ286" i="11"/>
  <c r="M286" i="11"/>
  <c r="AK286" i="11"/>
  <c r="N286" i="11"/>
  <c r="AL286" i="11"/>
  <c r="O286" i="11"/>
  <c r="AM286" i="11"/>
  <c r="P286" i="11"/>
  <c r="AN286" i="11"/>
  <c r="Q286" i="11"/>
  <c r="AO286" i="11"/>
  <c r="R286" i="11"/>
  <c r="AP286" i="11"/>
  <c r="S286" i="11"/>
  <c r="AQ286" i="11"/>
  <c r="T286" i="11"/>
  <c r="AR286" i="11"/>
  <c r="U286" i="11"/>
  <c r="AS286" i="11"/>
  <c r="V286" i="11"/>
  <c r="AT286" i="11"/>
  <c r="W286" i="11"/>
  <c r="AU286" i="11"/>
  <c r="X286" i="11"/>
  <c r="AV286" i="11"/>
  <c r="Y286" i="11"/>
  <c r="AW286" i="11"/>
  <c r="Z286" i="11"/>
  <c r="AC287" i="11"/>
  <c r="F287" i="11"/>
  <c r="AD287" i="11"/>
  <c r="G287" i="11"/>
  <c r="AE287" i="11"/>
  <c r="H287" i="11"/>
  <c r="AF287" i="11"/>
  <c r="I287" i="11"/>
  <c r="AG287" i="11"/>
  <c r="J287" i="11"/>
  <c r="AH287" i="11"/>
  <c r="K287" i="11"/>
  <c r="AI287" i="11"/>
  <c r="L287" i="11"/>
  <c r="AJ287" i="11"/>
  <c r="M287" i="11"/>
  <c r="AK287" i="11"/>
  <c r="N287" i="11"/>
  <c r="AL287" i="11"/>
  <c r="O287" i="11"/>
  <c r="AM287" i="11"/>
  <c r="P287" i="11"/>
  <c r="AN287" i="11"/>
  <c r="Q287" i="11"/>
  <c r="AO287" i="11"/>
  <c r="R287" i="11"/>
  <c r="AP287" i="11"/>
  <c r="S287" i="11"/>
  <c r="AQ287" i="11"/>
  <c r="T287" i="11"/>
  <c r="AR287" i="11"/>
  <c r="U287" i="11"/>
  <c r="AS287" i="11"/>
  <c r="V287" i="11"/>
  <c r="AT287" i="11"/>
  <c r="W287" i="11"/>
  <c r="AU287" i="11"/>
  <c r="X287" i="11"/>
  <c r="AV287" i="11"/>
  <c r="Y287" i="11"/>
  <c r="AW287" i="11"/>
  <c r="Z287" i="11"/>
  <c r="AC288" i="11"/>
  <c r="F288" i="11"/>
  <c r="AD288" i="11"/>
  <c r="G288" i="11"/>
  <c r="AE288" i="11"/>
  <c r="H288" i="11"/>
  <c r="AF288" i="11"/>
  <c r="I288" i="11"/>
  <c r="AG288" i="11"/>
  <c r="J288" i="11"/>
  <c r="AH288" i="11"/>
  <c r="K288" i="11"/>
  <c r="AI288" i="11"/>
  <c r="L288" i="11"/>
  <c r="AJ288" i="11"/>
  <c r="M288" i="11"/>
  <c r="AK288" i="11"/>
  <c r="N288" i="11"/>
  <c r="AL288" i="11"/>
  <c r="O288" i="11"/>
  <c r="AM288" i="11"/>
  <c r="P288" i="11"/>
  <c r="AN288" i="11"/>
  <c r="Q288" i="11"/>
  <c r="AO288" i="11"/>
  <c r="R288" i="11"/>
  <c r="AP288" i="11"/>
  <c r="S288" i="11"/>
  <c r="AQ288" i="11"/>
  <c r="T288" i="11"/>
  <c r="AR288" i="11"/>
  <c r="U288" i="11"/>
  <c r="AS288" i="11"/>
  <c r="V288" i="11"/>
  <c r="AT288" i="11"/>
  <c r="W288" i="11"/>
  <c r="AU288" i="11"/>
  <c r="X288" i="11"/>
  <c r="AV288" i="11"/>
  <c r="Y288" i="11"/>
  <c r="AW288" i="11"/>
  <c r="Z288" i="11"/>
  <c r="AC289" i="11"/>
  <c r="F289" i="11"/>
  <c r="AD289" i="11"/>
  <c r="G289" i="11"/>
  <c r="AE289" i="11"/>
  <c r="H289" i="11"/>
  <c r="AF289" i="11"/>
  <c r="I289" i="11"/>
  <c r="AG289" i="11"/>
  <c r="J289" i="11"/>
  <c r="AH289" i="11"/>
  <c r="K289" i="11"/>
  <c r="AI289" i="11"/>
  <c r="L289" i="11"/>
  <c r="AJ289" i="11"/>
  <c r="M289" i="11"/>
  <c r="AK289" i="11"/>
  <c r="N289" i="11"/>
  <c r="AL289" i="11"/>
  <c r="O289" i="11"/>
  <c r="AM289" i="11"/>
  <c r="P289" i="11"/>
  <c r="AN289" i="11"/>
  <c r="Q289" i="11"/>
  <c r="AO289" i="11"/>
  <c r="R289" i="11"/>
  <c r="AP289" i="11"/>
  <c r="S289" i="11"/>
  <c r="AQ289" i="11"/>
  <c r="T289" i="11"/>
  <c r="AR289" i="11"/>
  <c r="U289" i="11"/>
  <c r="AS289" i="11"/>
  <c r="V289" i="11"/>
  <c r="AT289" i="11"/>
  <c r="W289" i="11"/>
  <c r="AU289" i="11"/>
  <c r="X289" i="11"/>
  <c r="AV289" i="11"/>
  <c r="Y289" i="11"/>
  <c r="AW289" i="11"/>
  <c r="Z289" i="11"/>
  <c r="AC290" i="11"/>
  <c r="F290" i="11"/>
  <c r="AD290" i="11"/>
  <c r="G290" i="11"/>
  <c r="AE290" i="11"/>
  <c r="H290" i="11"/>
  <c r="AF290" i="11"/>
  <c r="I290" i="11"/>
  <c r="AG290" i="11"/>
  <c r="J290" i="11"/>
  <c r="AH290" i="11"/>
  <c r="K290" i="11"/>
  <c r="AI290" i="11"/>
  <c r="L290" i="11"/>
  <c r="AJ290" i="11"/>
  <c r="M290" i="11"/>
  <c r="AK290" i="11"/>
  <c r="N290" i="11"/>
  <c r="AL290" i="11"/>
  <c r="O290" i="11"/>
  <c r="AM290" i="11"/>
  <c r="P290" i="11"/>
  <c r="AN290" i="11"/>
  <c r="Q290" i="11"/>
  <c r="AO290" i="11"/>
  <c r="R290" i="11"/>
  <c r="AP290" i="11"/>
  <c r="S290" i="11"/>
  <c r="AQ290" i="11"/>
  <c r="T290" i="11"/>
  <c r="AR290" i="11"/>
  <c r="U290" i="11"/>
  <c r="AS290" i="11"/>
  <c r="V290" i="11"/>
  <c r="AT290" i="11"/>
  <c r="W290" i="11"/>
  <c r="AU290" i="11"/>
  <c r="X290" i="11"/>
  <c r="AV290" i="11"/>
  <c r="Y290" i="11"/>
  <c r="AW290" i="11"/>
  <c r="Z290" i="11"/>
  <c r="AC291" i="11"/>
  <c r="F291" i="11"/>
  <c r="AD291" i="11"/>
  <c r="G291" i="11"/>
  <c r="AE291" i="11"/>
  <c r="H291" i="11"/>
  <c r="AF291" i="11"/>
  <c r="I291" i="11"/>
  <c r="AG291" i="11"/>
  <c r="J291" i="11"/>
  <c r="AH291" i="11"/>
  <c r="K291" i="11"/>
  <c r="AI291" i="11"/>
  <c r="L291" i="11"/>
  <c r="AJ291" i="11"/>
  <c r="M291" i="11"/>
  <c r="AK291" i="11"/>
  <c r="N291" i="11"/>
  <c r="AL291" i="11"/>
  <c r="O291" i="11"/>
  <c r="AM291" i="11"/>
  <c r="P291" i="11"/>
  <c r="AN291" i="11"/>
  <c r="Q291" i="11"/>
  <c r="AO291" i="11"/>
  <c r="R291" i="11"/>
  <c r="AP291" i="11"/>
  <c r="S291" i="11"/>
  <c r="AQ291" i="11"/>
  <c r="T291" i="11"/>
  <c r="AR291" i="11"/>
  <c r="U291" i="11"/>
  <c r="AS291" i="11"/>
  <c r="V291" i="11"/>
  <c r="AT291" i="11"/>
  <c r="W291" i="11"/>
  <c r="AU291" i="11"/>
  <c r="X291" i="11"/>
  <c r="AV291" i="11"/>
  <c r="Y291" i="11"/>
  <c r="AW291" i="11"/>
  <c r="Z291" i="11"/>
  <c r="AC292" i="11"/>
  <c r="F292" i="11"/>
  <c r="AD292" i="11"/>
  <c r="G292" i="11"/>
  <c r="AE292" i="11"/>
  <c r="H292" i="11"/>
  <c r="AF292" i="11"/>
  <c r="I292" i="11"/>
  <c r="AG292" i="11"/>
  <c r="J292" i="11"/>
  <c r="AH292" i="11"/>
  <c r="K292" i="11"/>
  <c r="AI292" i="11"/>
  <c r="L292" i="11"/>
  <c r="AJ292" i="11"/>
  <c r="M292" i="11"/>
  <c r="AK292" i="11"/>
  <c r="N292" i="11"/>
  <c r="AL292" i="11"/>
  <c r="O292" i="11"/>
  <c r="AM292" i="11"/>
  <c r="P292" i="11"/>
  <c r="AN292" i="11"/>
  <c r="Q292" i="11"/>
  <c r="AO292" i="11"/>
  <c r="R292" i="11"/>
  <c r="AP292" i="11"/>
  <c r="S292" i="11"/>
  <c r="AQ292" i="11"/>
  <c r="T292" i="11"/>
  <c r="AR292" i="11"/>
  <c r="U292" i="11"/>
  <c r="AS292" i="11"/>
  <c r="V292" i="11"/>
  <c r="AT292" i="11"/>
  <c r="W292" i="11"/>
  <c r="AU292" i="11"/>
  <c r="X292" i="11"/>
  <c r="AV292" i="11"/>
  <c r="Y292" i="11"/>
  <c r="AW292" i="11"/>
  <c r="Z292" i="11"/>
  <c r="AC293" i="11"/>
  <c r="F293" i="11"/>
  <c r="AD293" i="11"/>
  <c r="G293" i="11"/>
  <c r="AE293" i="11"/>
  <c r="H293" i="11"/>
  <c r="AF293" i="11"/>
  <c r="I293" i="11"/>
  <c r="AG293" i="11"/>
  <c r="J293" i="11"/>
  <c r="AH293" i="11"/>
  <c r="K293" i="11"/>
  <c r="AI293" i="11"/>
  <c r="L293" i="11"/>
  <c r="AJ293" i="11"/>
  <c r="M293" i="11"/>
  <c r="AK293" i="11"/>
  <c r="N293" i="11"/>
  <c r="AL293" i="11"/>
  <c r="O293" i="11"/>
  <c r="AM293" i="11"/>
  <c r="P293" i="11"/>
  <c r="AN293" i="11"/>
  <c r="Q293" i="11"/>
  <c r="AO293" i="11"/>
  <c r="R293" i="11"/>
  <c r="AP293" i="11"/>
  <c r="S293" i="11"/>
  <c r="AQ293" i="11"/>
  <c r="T293" i="11"/>
  <c r="AR293" i="11"/>
  <c r="U293" i="11"/>
  <c r="AS293" i="11"/>
  <c r="V293" i="11"/>
  <c r="AT293" i="11"/>
  <c r="W293" i="11"/>
  <c r="AU293" i="11"/>
  <c r="X293" i="11"/>
  <c r="AV293" i="11"/>
  <c r="Y293" i="11"/>
  <c r="AW293" i="11"/>
  <c r="Z293" i="11"/>
  <c r="AC294" i="11"/>
  <c r="F294" i="11"/>
  <c r="AD294" i="11"/>
  <c r="G294" i="11"/>
  <c r="AE294" i="11"/>
  <c r="H294" i="11"/>
  <c r="AF294" i="11"/>
  <c r="I294" i="11"/>
  <c r="AG294" i="11"/>
  <c r="J294" i="11"/>
  <c r="AH294" i="11"/>
  <c r="K294" i="11"/>
  <c r="AI294" i="11"/>
  <c r="L294" i="11"/>
  <c r="AJ294" i="11"/>
  <c r="M294" i="11"/>
  <c r="AK294" i="11"/>
  <c r="N294" i="11"/>
  <c r="AL294" i="11"/>
  <c r="O294" i="11"/>
  <c r="AM294" i="11"/>
  <c r="P294" i="11"/>
  <c r="AN294" i="11"/>
  <c r="Q294" i="11"/>
  <c r="AO294" i="11"/>
  <c r="R294" i="11"/>
  <c r="AP294" i="11"/>
  <c r="S294" i="11"/>
  <c r="AQ294" i="11"/>
  <c r="T294" i="11"/>
  <c r="AR294" i="11"/>
  <c r="U294" i="11"/>
  <c r="AS294" i="11"/>
  <c r="V294" i="11"/>
  <c r="AT294" i="11"/>
  <c r="W294" i="11"/>
  <c r="AU294" i="11"/>
  <c r="X294" i="11"/>
  <c r="AV294" i="11"/>
  <c r="Y294" i="11"/>
  <c r="AW294" i="11"/>
  <c r="Z294" i="11"/>
  <c r="AC295" i="11"/>
  <c r="F295" i="11"/>
  <c r="AD295" i="11"/>
  <c r="G295" i="11"/>
  <c r="AE295" i="11"/>
  <c r="H295" i="11"/>
  <c r="AF295" i="11"/>
  <c r="I295" i="11"/>
  <c r="AG295" i="11"/>
  <c r="J295" i="11"/>
  <c r="AH295" i="11"/>
  <c r="K295" i="11"/>
  <c r="AI295" i="11"/>
  <c r="L295" i="11"/>
  <c r="AJ295" i="11"/>
  <c r="M295" i="11"/>
  <c r="AK295" i="11"/>
  <c r="N295" i="11"/>
  <c r="AL295" i="11"/>
  <c r="O295" i="11"/>
  <c r="AM295" i="11"/>
  <c r="P295" i="11"/>
  <c r="AN295" i="11"/>
  <c r="Q295" i="11"/>
  <c r="AO295" i="11"/>
  <c r="R295" i="11"/>
  <c r="AP295" i="11"/>
  <c r="S295" i="11"/>
  <c r="AQ295" i="11"/>
  <c r="T295" i="11"/>
  <c r="AR295" i="11"/>
  <c r="U295" i="11"/>
  <c r="AS295" i="11"/>
  <c r="V295" i="11"/>
  <c r="AT295" i="11"/>
  <c r="W295" i="11"/>
  <c r="AU295" i="11"/>
  <c r="X295" i="11"/>
  <c r="AV295" i="11"/>
  <c r="Y295" i="11"/>
  <c r="AW295" i="11"/>
  <c r="Z295" i="11"/>
  <c r="AC296" i="11"/>
  <c r="F296" i="11"/>
  <c r="AD296" i="11"/>
  <c r="G296" i="11"/>
  <c r="AE296" i="11"/>
  <c r="H296" i="11"/>
  <c r="AF296" i="11"/>
  <c r="I296" i="11"/>
  <c r="AG296" i="11"/>
  <c r="J296" i="11"/>
  <c r="AH296" i="11"/>
  <c r="K296" i="11"/>
  <c r="AI296" i="11"/>
  <c r="L296" i="11"/>
  <c r="AJ296" i="11"/>
  <c r="M296" i="11"/>
  <c r="AK296" i="11"/>
  <c r="N296" i="11"/>
  <c r="AL296" i="11"/>
  <c r="O296" i="11"/>
  <c r="AM296" i="11"/>
  <c r="P296" i="11"/>
  <c r="AN296" i="11"/>
  <c r="Q296" i="11"/>
  <c r="AO296" i="11"/>
  <c r="R296" i="11"/>
  <c r="AP296" i="11"/>
  <c r="S296" i="11"/>
  <c r="AQ296" i="11"/>
  <c r="T296" i="11"/>
  <c r="AR296" i="11"/>
  <c r="U296" i="11"/>
  <c r="AS296" i="11"/>
  <c r="V296" i="11"/>
  <c r="AT296" i="11"/>
  <c r="W296" i="11"/>
  <c r="AU296" i="11"/>
  <c r="X296" i="11"/>
  <c r="AV296" i="11"/>
  <c r="Y296" i="11"/>
  <c r="AW296" i="11"/>
  <c r="Z296" i="11"/>
  <c r="AC297" i="11"/>
  <c r="F297" i="11"/>
  <c r="AD297" i="11"/>
  <c r="G297" i="11"/>
  <c r="AE297" i="11"/>
  <c r="H297" i="11"/>
  <c r="AF297" i="11"/>
  <c r="I297" i="11"/>
  <c r="AG297" i="11"/>
  <c r="J297" i="11"/>
  <c r="AH297" i="11"/>
  <c r="K297" i="11"/>
  <c r="AI297" i="11"/>
  <c r="L297" i="11"/>
  <c r="AJ297" i="11"/>
  <c r="M297" i="11"/>
  <c r="AK297" i="11"/>
  <c r="N297" i="11"/>
  <c r="AL297" i="11"/>
  <c r="O297" i="11"/>
  <c r="AM297" i="11"/>
  <c r="P297" i="11"/>
  <c r="AN297" i="11"/>
  <c r="Q297" i="11"/>
  <c r="AO297" i="11"/>
  <c r="R297" i="11"/>
  <c r="AP297" i="11"/>
  <c r="S297" i="11"/>
  <c r="AQ297" i="11"/>
  <c r="T297" i="11"/>
  <c r="AR297" i="11"/>
  <c r="U297" i="11"/>
  <c r="AS297" i="11"/>
  <c r="V297" i="11"/>
  <c r="AT297" i="11"/>
  <c r="W297" i="11"/>
  <c r="AU297" i="11"/>
  <c r="X297" i="11"/>
  <c r="AV297" i="11"/>
  <c r="Y297" i="11"/>
  <c r="AW297" i="11"/>
  <c r="Z297" i="11"/>
  <c r="AC298" i="11"/>
  <c r="F298" i="11"/>
  <c r="AD298" i="11"/>
  <c r="G298" i="11"/>
  <c r="AE298" i="11"/>
  <c r="H298" i="11"/>
  <c r="AF298" i="11"/>
  <c r="I298" i="11"/>
  <c r="AG298" i="11"/>
  <c r="J298" i="11"/>
  <c r="AH298" i="11"/>
  <c r="K298" i="11"/>
  <c r="AI298" i="11"/>
  <c r="L298" i="11"/>
  <c r="AJ298" i="11"/>
  <c r="M298" i="11"/>
  <c r="AK298" i="11"/>
  <c r="N298" i="11"/>
  <c r="AL298" i="11"/>
  <c r="O298" i="11"/>
  <c r="AM298" i="11"/>
  <c r="P298" i="11"/>
  <c r="AN298" i="11"/>
  <c r="Q298" i="11"/>
  <c r="AO298" i="11"/>
  <c r="R298" i="11"/>
  <c r="AP298" i="11"/>
  <c r="S298" i="11"/>
  <c r="AQ298" i="11"/>
  <c r="T298" i="11"/>
  <c r="AR298" i="11"/>
  <c r="U298" i="11"/>
  <c r="AS298" i="11"/>
  <c r="V298" i="11"/>
  <c r="AT298" i="11"/>
  <c r="W298" i="11"/>
  <c r="AU298" i="11"/>
  <c r="X298" i="11"/>
  <c r="AV298" i="11"/>
  <c r="Y298" i="11"/>
  <c r="AW298" i="11"/>
  <c r="Z298" i="11"/>
  <c r="AC299" i="11"/>
  <c r="F299" i="11"/>
  <c r="AD299" i="11"/>
  <c r="G299" i="11"/>
  <c r="AE299" i="11"/>
  <c r="H299" i="11"/>
  <c r="AF299" i="11"/>
  <c r="I299" i="11"/>
  <c r="AG299" i="11"/>
  <c r="J299" i="11"/>
  <c r="AH299" i="11"/>
  <c r="K299" i="11"/>
  <c r="AI299" i="11"/>
  <c r="L299" i="11"/>
  <c r="AJ299" i="11"/>
  <c r="M299" i="11"/>
  <c r="AK299" i="11"/>
  <c r="N299" i="11"/>
  <c r="AL299" i="11"/>
  <c r="O299" i="11"/>
  <c r="AM299" i="11"/>
  <c r="P299" i="11"/>
  <c r="AN299" i="11"/>
  <c r="Q299" i="11"/>
  <c r="AO299" i="11"/>
  <c r="R299" i="11"/>
  <c r="AP299" i="11"/>
  <c r="S299" i="11"/>
  <c r="AQ299" i="11"/>
  <c r="T299" i="11"/>
  <c r="AR299" i="11"/>
  <c r="U299" i="11"/>
  <c r="AS299" i="11"/>
  <c r="V299" i="11"/>
  <c r="AT299" i="11"/>
  <c r="W299" i="11"/>
  <c r="AU299" i="11"/>
  <c r="X299" i="11"/>
  <c r="AV299" i="11"/>
  <c r="Y299" i="11"/>
  <c r="AW299" i="11"/>
  <c r="Z299" i="11"/>
  <c r="AC300" i="11"/>
  <c r="F300" i="11"/>
  <c r="AD300" i="11"/>
  <c r="G300" i="11"/>
  <c r="AE300" i="11"/>
  <c r="H300" i="11"/>
  <c r="AF300" i="11"/>
  <c r="I300" i="11"/>
  <c r="AG300" i="11"/>
  <c r="J300" i="11"/>
  <c r="AH300" i="11"/>
  <c r="K300" i="11"/>
  <c r="AI300" i="11"/>
  <c r="L300" i="11"/>
  <c r="AJ300" i="11"/>
  <c r="M300" i="11"/>
  <c r="AK300" i="11"/>
  <c r="N300" i="11"/>
  <c r="AL300" i="11"/>
  <c r="O300" i="11"/>
  <c r="AM300" i="11"/>
  <c r="P300" i="11"/>
  <c r="AN300" i="11"/>
  <c r="Q300" i="11"/>
  <c r="AO300" i="11"/>
  <c r="R300" i="11"/>
  <c r="AP300" i="11"/>
  <c r="S300" i="11"/>
  <c r="AQ300" i="11"/>
  <c r="T300" i="11"/>
  <c r="AR300" i="11"/>
  <c r="U300" i="11"/>
  <c r="AS300" i="11"/>
  <c r="V300" i="11"/>
  <c r="AT300" i="11"/>
  <c r="W300" i="11"/>
  <c r="AU300" i="11"/>
  <c r="X300" i="11"/>
  <c r="AV300" i="11"/>
  <c r="Y300" i="11"/>
  <c r="AW300" i="11"/>
  <c r="Z300" i="11"/>
  <c r="AC301" i="11"/>
  <c r="F301" i="11"/>
  <c r="AD301" i="11"/>
  <c r="G301" i="11"/>
  <c r="AE301" i="11"/>
  <c r="H301" i="11"/>
  <c r="AF301" i="11"/>
  <c r="I301" i="11"/>
  <c r="AG301" i="11"/>
  <c r="J301" i="11"/>
  <c r="AH301" i="11"/>
  <c r="K301" i="11"/>
  <c r="AI301" i="11"/>
  <c r="L301" i="11"/>
  <c r="AJ301" i="11"/>
  <c r="M301" i="11"/>
  <c r="AK301" i="11"/>
  <c r="N301" i="11"/>
  <c r="AL301" i="11"/>
  <c r="O301" i="11"/>
  <c r="AM301" i="11"/>
  <c r="P301" i="11"/>
  <c r="AN301" i="11"/>
  <c r="Q301" i="11"/>
  <c r="AO301" i="11"/>
  <c r="R301" i="11"/>
  <c r="AP301" i="11"/>
  <c r="S301" i="11"/>
  <c r="AQ301" i="11"/>
  <c r="T301" i="11"/>
  <c r="AR301" i="11"/>
  <c r="U301" i="11"/>
  <c r="AS301" i="11"/>
  <c r="V301" i="11"/>
  <c r="AT301" i="11"/>
  <c r="W301" i="11"/>
  <c r="AU301" i="11"/>
  <c r="X301" i="11"/>
  <c r="AV301" i="11"/>
  <c r="Y301" i="11"/>
  <c r="AW301" i="11"/>
  <c r="Z301" i="11"/>
  <c r="AC302" i="11"/>
  <c r="F302" i="11"/>
  <c r="AD302" i="11"/>
  <c r="G302" i="11"/>
  <c r="AE302" i="11"/>
  <c r="H302" i="11"/>
  <c r="AF302" i="11"/>
  <c r="I302" i="11"/>
  <c r="AG302" i="11"/>
  <c r="J302" i="11"/>
  <c r="AH302" i="11"/>
  <c r="K302" i="11"/>
  <c r="AI302" i="11"/>
  <c r="L302" i="11"/>
  <c r="AJ302" i="11"/>
  <c r="M302" i="11"/>
  <c r="AK302" i="11"/>
  <c r="N302" i="11"/>
  <c r="AL302" i="11"/>
  <c r="O302" i="11"/>
  <c r="AM302" i="11"/>
  <c r="P302" i="11"/>
  <c r="AN302" i="11"/>
  <c r="Q302" i="11"/>
  <c r="AO302" i="11"/>
  <c r="R302" i="11"/>
  <c r="AP302" i="11"/>
  <c r="S302" i="11"/>
  <c r="AQ302" i="11"/>
  <c r="T302" i="11"/>
  <c r="AR302" i="11"/>
  <c r="U302" i="11"/>
  <c r="AS302" i="11"/>
  <c r="V302" i="11"/>
  <c r="AT302" i="11"/>
  <c r="W302" i="11"/>
  <c r="AU302" i="11"/>
  <c r="X302" i="11"/>
  <c r="AV302" i="11"/>
  <c r="Y302" i="11"/>
  <c r="AW302" i="11"/>
  <c r="Z302" i="11"/>
  <c r="AC303" i="11"/>
  <c r="F303" i="11"/>
  <c r="AD303" i="11"/>
  <c r="G303" i="11"/>
  <c r="AE303" i="11"/>
  <c r="H303" i="11"/>
  <c r="AF303" i="11"/>
  <c r="I303" i="11"/>
  <c r="AG303" i="11"/>
  <c r="J303" i="11"/>
  <c r="AH303" i="11"/>
  <c r="K303" i="11"/>
  <c r="AI303" i="11"/>
  <c r="L303" i="11"/>
  <c r="AJ303" i="11"/>
  <c r="M303" i="11"/>
  <c r="AK303" i="11"/>
  <c r="N303" i="11"/>
  <c r="AL303" i="11"/>
  <c r="O303" i="11"/>
  <c r="AM303" i="11"/>
  <c r="P303" i="11"/>
  <c r="AN303" i="11"/>
  <c r="Q303" i="11"/>
  <c r="AO303" i="11"/>
  <c r="R303" i="11"/>
  <c r="AP303" i="11"/>
  <c r="S303" i="11"/>
  <c r="AQ303" i="11"/>
  <c r="T303" i="11"/>
  <c r="AR303" i="11"/>
  <c r="U303" i="11"/>
  <c r="AS303" i="11"/>
  <c r="V303" i="11"/>
  <c r="AT303" i="11"/>
  <c r="W303" i="11"/>
  <c r="AU303" i="11"/>
  <c r="X303" i="11"/>
  <c r="AV303" i="11"/>
  <c r="Y303" i="11"/>
  <c r="AW303" i="11"/>
  <c r="Z303" i="11"/>
  <c r="AC304" i="11"/>
  <c r="F304" i="11"/>
  <c r="AD304" i="11"/>
  <c r="G304" i="11"/>
  <c r="AE304" i="11"/>
  <c r="H304" i="11"/>
  <c r="AF304" i="11"/>
  <c r="I304" i="11"/>
  <c r="AG304" i="11"/>
  <c r="J304" i="11"/>
  <c r="AH304" i="11"/>
  <c r="K304" i="11"/>
  <c r="AI304" i="11"/>
  <c r="L304" i="11"/>
  <c r="AJ304" i="11"/>
  <c r="M304" i="11"/>
  <c r="AK304" i="11"/>
  <c r="N304" i="11"/>
  <c r="AL304" i="11"/>
  <c r="O304" i="11"/>
  <c r="AM304" i="11"/>
  <c r="P304" i="11"/>
  <c r="AN304" i="11"/>
  <c r="Q304" i="11"/>
  <c r="AO304" i="11"/>
  <c r="R304" i="11"/>
  <c r="AP304" i="11"/>
  <c r="S304" i="11"/>
  <c r="AQ304" i="11"/>
  <c r="T304" i="11"/>
  <c r="AR304" i="11"/>
  <c r="U304" i="11"/>
  <c r="AS304" i="11"/>
  <c r="V304" i="11"/>
  <c r="AT304" i="11"/>
  <c r="W304" i="11"/>
  <c r="AU304" i="11"/>
  <c r="X304" i="11"/>
  <c r="AV304" i="11"/>
  <c r="Y304" i="11"/>
  <c r="AW304" i="11"/>
  <c r="Z304" i="11"/>
  <c r="AC305" i="11"/>
  <c r="F305" i="11"/>
  <c r="AD305" i="11"/>
  <c r="G305" i="11"/>
  <c r="AE305" i="11"/>
  <c r="H305" i="11"/>
  <c r="AF305" i="11"/>
  <c r="I305" i="11"/>
  <c r="AG305" i="11"/>
  <c r="J305" i="11"/>
  <c r="AH305" i="11"/>
  <c r="K305" i="11"/>
  <c r="AI305" i="11"/>
  <c r="L305" i="11"/>
  <c r="AJ305" i="11"/>
  <c r="M305" i="11"/>
  <c r="AK305" i="11"/>
  <c r="N305" i="11"/>
  <c r="AL305" i="11"/>
  <c r="O305" i="11"/>
  <c r="AM305" i="11"/>
  <c r="P305" i="11"/>
  <c r="AN305" i="11"/>
  <c r="Q305" i="11"/>
  <c r="AO305" i="11"/>
  <c r="R305" i="11"/>
  <c r="AP305" i="11"/>
  <c r="S305" i="11"/>
  <c r="AQ305" i="11"/>
  <c r="T305" i="11"/>
  <c r="AR305" i="11"/>
  <c r="U305" i="11"/>
  <c r="AS305" i="11"/>
  <c r="V305" i="11"/>
  <c r="AT305" i="11"/>
  <c r="W305" i="11"/>
  <c r="AU305" i="11"/>
  <c r="X305" i="11"/>
  <c r="AV305" i="11"/>
  <c r="Y305" i="11"/>
  <c r="AW305" i="11"/>
  <c r="Z305" i="11"/>
  <c r="AC306" i="11"/>
  <c r="F306" i="11"/>
  <c r="AD306" i="11"/>
  <c r="G306" i="11"/>
  <c r="AE306" i="11"/>
  <c r="H306" i="11"/>
  <c r="AF306" i="11"/>
  <c r="I306" i="11"/>
  <c r="AG306" i="11"/>
  <c r="J306" i="11"/>
  <c r="AH306" i="11"/>
  <c r="K306" i="11"/>
  <c r="AI306" i="11"/>
  <c r="L306" i="11"/>
  <c r="AJ306" i="11"/>
  <c r="M306" i="11"/>
  <c r="AK306" i="11"/>
  <c r="N306" i="11"/>
  <c r="AL306" i="11"/>
  <c r="O306" i="11"/>
  <c r="AM306" i="11"/>
  <c r="P306" i="11"/>
  <c r="AN306" i="11"/>
  <c r="Q306" i="11"/>
  <c r="AO306" i="11"/>
  <c r="R306" i="11"/>
  <c r="AP306" i="11"/>
  <c r="S306" i="11"/>
  <c r="AQ306" i="11"/>
  <c r="T306" i="11"/>
  <c r="AR306" i="11"/>
  <c r="U306" i="11"/>
  <c r="AS306" i="11"/>
  <c r="V306" i="11"/>
  <c r="AT306" i="11"/>
  <c r="W306" i="11"/>
  <c r="AU306" i="11"/>
  <c r="X306" i="11"/>
  <c r="AV306" i="11"/>
  <c r="Y306" i="11"/>
  <c r="AW306" i="11"/>
  <c r="Z306" i="11"/>
  <c r="AC307" i="11"/>
  <c r="F307" i="11"/>
  <c r="AD307" i="11"/>
  <c r="G307" i="11"/>
  <c r="AE307" i="11"/>
  <c r="H307" i="11"/>
  <c r="AF307" i="11"/>
  <c r="I307" i="11"/>
  <c r="AG307" i="11"/>
  <c r="J307" i="11"/>
  <c r="AH307" i="11"/>
  <c r="K307" i="11"/>
  <c r="AI307" i="11"/>
  <c r="L307" i="11"/>
  <c r="AJ307" i="11"/>
  <c r="M307" i="11"/>
  <c r="AK307" i="11"/>
  <c r="N307" i="11"/>
  <c r="AL307" i="11"/>
  <c r="O307" i="11"/>
  <c r="AM307" i="11"/>
  <c r="P307" i="11"/>
  <c r="AN307" i="11"/>
  <c r="Q307" i="11"/>
  <c r="AO307" i="11"/>
  <c r="R307" i="11"/>
  <c r="AP307" i="11"/>
  <c r="S307" i="11"/>
  <c r="AQ307" i="11"/>
  <c r="T307" i="11"/>
  <c r="AR307" i="11"/>
  <c r="U307" i="11"/>
  <c r="AS307" i="11"/>
  <c r="V307" i="11"/>
  <c r="AT307" i="11"/>
  <c r="W307" i="11"/>
  <c r="AU307" i="11"/>
  <c r="X307" i="11"/>
  <c r="AV307" i="11"/>
  <c r="Y307" i="11"/>
  <c r="AW307" i="11"/>
  <c r="Z307" i="11"/>
  <c r="AC308" i="11"/>
  <c r="F308" i="11"/>
  <c r="AD308" i="11"/>
  <c r="G308" i="11"/>
  <c r="AE308" i="11"/>
  <c r="H308" i="11"/>
  <c r="AF308" i="11"/>
  <c r="I308" i="11"/>
  <c r="AG308" i="11"/>
  <c r="J308" i="11"/>
  <c r="AH308" i="11"/>
  <c r="K308" i="11"/>
  <c r="AI308" i="11"/>
  <c r="L308" i="11"/>
  <c r="AJ308" i="11"/>
  <c r="M308" i="11"/>
  <c r="AK308" i="11"/>
  <c r="N308" i="11"/>
  <c r="AL308" i="11"/>
  <c r="O308" i="11"/>
  <c r="AM308" i="11"/>
  <c r="P308" i="11"/>
  <c r="AN308" i="11"/>
  <c r="Q308" i="11"/>
  <c r="AO308" i="11"/>
  <c r="R308" i="11"/>
  <c r="AP308" i="11"/>
  <c r="S308" i="11"/>
  <c r="AQ308" i="11"/>
  <c r="T308" i="11"/>
  <c r="AR308" i="11"/>
  <c r="U308" i="11"/>
  <c r="AS308" i="11"/>
  <c r="V308" i="11"/>
  <c r="AT308" i="11"/>
  <c r="W308" i="11"/>
  <c r="AU308" i="11"/>
  <c r="X308" i="11"/>
  <c r="AV308" i="11"/>
  <c r="Y308" i="11"/>
  <c r="AW308" i="11"/>
  <c r="Z308" i="11"/>
  <c r="AC309" i="11"/>
  <c r="F309" i="11"/>
  <c r="AD309" i="11"/>
  <c r="G309" i="11"/>
  <c r="AE309" i="11"/>
  <c r="H309" i="11"/>
  <c r="AF309" i="11"/>
  <c r="I309" i="11"/>
  <c r="AG309" i="11"/>
  <c r="J309" i="11"/>
  <c r="AH309" i="11"/>
  <c r="K309" i="11"/>
  <c r="AI309" i="11"/>
  <c r="L309" i="11"/>
  <c r="AJ309" i="11"/>
  <c r="M309" i="11"/>
  <c r="AK309" i="11"/>
  <c r="N309" i="11"/>
  <c r="AL309" i="11"/>
  <c r="O309" i="11"/>
  <c r="AM309" i="11"/>
  <c r="P309" i="11"/>
  <c r="AN309" i="11"/>
  <c r="Q309" i="11"/>
  <c r="AO309" i="11"/>
  <c r="R309" i="11"/>
  <c r="AP309" i="11"/>
  <c r="S309" i="11"/>
  <c r="AQ309" i="11"/>
  <c r="T309" i="11"/>
  <c r="AR309" i="11"/>
  <c r="U309" i="11"/>
  <c r="AS309" i="11"/>
  <c r="V309" i="11"/>
  <c r="AT309" i="11"/>
  <c r="W309" i="11"/>
  <c r="AU309" i="11"/>
  <c r="X309" i="11"/>
  <c r="AV309" i="11"/>
  <c r="Y309" i="11"/>
  <c r="AW309" i="11"/>
  <c r="Z309" i="11"/>
  <c r="AC310" i="11"/>
  <c r="F310" i="11"/>
  <c r="AD310" i="11"/>
  <c r="G310" i="11"/>
  <c r="AE310" i="11"/>
  <c r="H310" i="11"/>
  <c r="AF310" i="11"/>
  <c r="I310" i="11"/>
  <c r="AG310" i="11"/>
  <c r="J310" i="11"/>
  <c r="AH310" i="11"/>
  <c r="K310" i="11"/>
  <c r="AI310" i="11"/>
  <c r="L310" i="11"/>
  <c r="AJ310" i="11"/>
  <c r="M310" i="11"/>
  <c r="AK310" i="11"/>
  <c r="N310" i="11"/>
  <c r="AL310" i="11"/>
  <c r="O310" i="11"/>
  <c r="AM310" i="11"/>
  <c r="P310" i="11"/>
  <c r="AN310" i="11"/>
  <c r="Q310" i="11"/>
  <c r="AO310" i="11"/>
  <c r="R310" i="11"/>
  <c r="AP310" i="11"/>
  <c r="S310" i="11"/>
  <c r="AQ310" i="11"/>
  <c r="T310" i="11"/>
  <c r="AR310" i="11"/>
  <c r="U310" i="11"/>
  <c r="AS310" i="11"/>
  <c r="V310" i="11"/>
  <c r="AT310" i="11"/>
  <c r="W310" i="11"/>
  <c r="AU310" i="11"/>
  <c r="X310" i="11"/>
  <c r="AV310" i="11"/>
  <c r="Y310" i="11"/>
  <c r="AW310" i="11"/>
  <c r="Z310" i="11"/>
  <c r="AC311" i="11"/>
  <c r="F311" i="11"/>
  <c r="AD311" i="11"/>
  <c r="G311" i="11"/>
  <c r="AE311" i="11"/>
  <c r="H311" i="11"/>
  <c r="AF311" i="11"/>
  <c r="I311" i="11"/>
  <c r="AG311" i="11"/>
  <c r="J311" i="11"/>
  <c r="AH311" i="11"/>
  <c r="K311" i="11"/>
  <c r="AI311" i="11"/>
  <c r="L311" i="11"/>
  <c r="AJ311" i="11"/>
  <c r="M311" i="11"/>
  <c r="AK311" i="11"/>
  <c r="N311" i="11"/>
  <c r="AL311" i="11"/>
  <c r="O311" i="11"/>
  <c r="AM311" i="11"/>
  <c r="P311" i="11"/>
  <c r="AN311" i="11"/>
  <c r="Q311" i="11"/>
  <c r="AO311" i="11"/>
  <c r="R311" i="11"/>
  <c r="AP311" i="11"/>
  <c r="S311" i="11"/>
  <c r="AQ311" i="11"/>
  <c r="T311" i="11"/>
  <c r="AR311" i="11"/>
  <c r="U311" i="11"/>
  <c r="AS311" i="11"/>
  <c r="V311" i="11"/>
  <c r="AT311" i="11"/>
  <c r="W311" i="11"/>
  <c r="AU311" i="11"/>
  <c r="X311" i="11"/>
  <c r="AV311" i="11"/>
  <c r="Y311" i="11"/>
  <c r="AW311" i="11"/>
  <c r="Z311" i="11"/>
  <c r="AC312" i="11"/>
  <c r="F312" i="11"/>
  <c r="AD312" i="11"/>
  <c r="G312" i="11"/>
  <c r="AE312" i="11"/>
  <c r="H312" i="11"/>
  <c r="AF312" i="11"/>
  <c r="I312" i="11"/>
  <c r="AG312" i="11"/>
  <c r="J312" i="11"/>
  <c r="AH312" i="11"/>
  <c r="K312" i="11"/>
  <c r="AI312" i="11"/>
  <c r="L312" i="11"/>
  <c r="AJ312" i="11"/>
  <c r="M312" i="11"/>
  <c r="AK312" i="11"/>
  <c r="N312" i="11"/>
  <c r="AL312" i="11"/>
  <c r="O312" i="11"/>
  <c r="AM312" i="11"/>
  <c r="P312" i="11"/>
  <c r="AN312" i="11"/>
  <c r="Q312" i="11"/>
  <c r="AO312" i="11"/>
  <c r="R312" i="11"/>
  <c r="AP312" i="11"/>
  <c r="S312" i="11"/>
  <c r="AQ312" i="11"/>
  <c r="T312" i="11"/>
  <c r="AR312" i="11"/>
  <c r="U312" i="11"/>
  <c r="AS312" i="11"/>
  <c r="V312" i="11"/>
  <c r="AT312" i="11"/>
  <c r="W312" i="11"/>
  <c r="AU312" i="11"/>
  <c r="X312" i="11"/>
  <c r="AV312" i="11"/>
  <c r="Y312" i="11"/>
  <c r="AW312" i="11"/>
  <c r="Z312" i="11"/>
  <c r="AC313" i="11"/>
  <c r="F313" i="11"/>
  <c r="AD313" i="11"/>
  <c r="G313" i="11"/>
  <c r="AE313" i="11"/>
  <c r="H313" i="11"/>
  <c r="AF313" i="11"/>
  <c r="I313" i="11"/>
  <c r="AG313" i="11"/>
  <c r="J313" i="11"/>
  <c r="AH313" i="11"/>
  <c r="K313" i="11"/>
  <c r="AI313" i="11"/>
  <c r="L313" i="11"/>
  <c r="AJ313" i="11"/>
  <c r="M313" i="11"/>
  <c r="AK313" i="11"/>
  <c r="N313" i="11"/>
  <c r="AL313" i="11"/>
  <c r="O313" i="11"/>
  <c r="AM313" i="11"/>
  <c r="P313" i="11"/>
  <c r="AN313" i="11"/>
  <c r="Q313" i="11"/>
  <c r="AO313" i="11"/>
  <c r="R313" i="11"/>
  <c r="AP313" i="11"/>
  <c r="S313" i="11"/>
  <c r="AQ313" i="11"/>
  <c r="T313" i="11"/>
  <c r="AR313" i="11"/>
  <c r="U313" i="11"/>
  <c r="AS313" i="11"/>
  <c r="V313" i="11"/>
  <c r="AT313" i="11"/>
  <c r="W313" i="11"/>
  <c r="AU313" i="11"/>
  <c r="X313" i="11"/>
  <c r="AV313" i="11"/>
  <c r="Y313" i="11"/>
  <c r="AW313" i="11"/>
  <c r="Z313" i="11"/>
  <c r="AC314" i="11"/>
  <c r="F314" i="11"/>
  <c r="AD314" i="11"/>
  <c r="G314" i="11"/>
  <c r="AE314" i="11"/>
  <c r="H314" i="11"/>
  <c r="AF314" i="11"/>
  <c r="I314" i="11"/>
  <c r="AG314" i="11"/>
  <c r="J314" i="11"/>
  <c r="AH314" i="11"/>
  <c r="K314" i="11"/>
  <c r="AI314" i="11"/>
  <c r="L314" i="11"/>
  <c r="AJ314" i="11"/>
  <c r="M314" i="11"/>
  <c r="AK314" i="11"/>
  <c r="N314" i="11"/>
  <c r="AL314" i="11"/>
  <c r="O314" i="11"/>
  <c r="AM314" i="11"/>
  <c r="P314" i="11"/>
  <c r="AN314" i="11"/>
  <c r="Q314" i="11"/>
  <c r="AO314" i="11"/>
  <c r="R314" i="11"/>
  <c r="AP314" i="11"/>
  <c r="S314" i="11"/>
  <c r="AQ314" i="11"/>
  <c r="T314" i="11"/>
  <c r="AR314" i="11"/>
  <c r="U314" i="11"/>
  <c r="AS314" i="11"/>
  <c r="V314" i="11"/>
  <c r="AT314" i="11"/>
  <c r="W314" i="11"/>
  <c r="AU314" i="11"/>
  <c r="X314" i="11"/>
  <c r="AV314" i="11"/>
  <c r="Y314" i="11"/>
  <c r="AW314" i="11"/>
  <c r="Z314" i="11"/>
  <c r="AC315" i="11"/>
  <c r="F315" i="11"/>
  <c r="AD315" i="11"/>
  <c r="G315" i="11"/>
  <c r="AE315" i="11"/>
  <c r="H315" i="11"/>
  <c r="AF315" i="11"/>
  <c r="I315" i="11"/>
  <c r="AG315" i="11"/>
  <c r="J315" i="11"/>
  <c r="AH315" i="11"/>
  <c r="K315" i="11"/>
  <c r="AI315" i="11"/>
  <c r="L315" i="11"/>
  <c r="AJ315" i="11"/>
  <c r="M315" i="11"/>
  <c r="AK315" i="11"/>
  <c r="N315" i="11"/>
  <c r="AL315" i="11"/>
  <c r="O315" i="11"/>
  <c r="AM315" i="11"/>
  <c r="P315" i="11"/>
  <c r="AN315" i="11"/>
  <c r="Q315" i="11"/>
  <c r="AO315" i="11"/>
  <c r="R315" i="11"/>
  <c r="AP315" i="11"/>
  <c r="S315" i="11"/>
  <c r="AQ315" i="11"/>
  <c r="T315" i="11"/>
  <c r="AR315" i="11"/>
  <c r="U315" i="11"/>
  <c r="AS315" i="11"/>
  <c r="V315" i="11"/>
  <c r="AT315" i="11"/>
  <c r="W315" i="11"/>
  <c r="AU315" i="11"/>
  <c r="X315" i="11"/>
  <c r="AV315" i="11"/>
  <c r="Y315" i="11"/>
  <c r="AW315" i="11"/>
  <c r="Z315" i="11"/>
  <c r="AC316" i="11"/>
  <c r="F316" i="11"/>
  <c r="AD316" i="11"/>
  <c r="G316" i="11"/>
  <c r="AE316" i="11"/>
  <c r="H316" i="11"/>
  <c r="AF316" i="11"/>
  <c r="I316" i="11"/>
  <c r="AG316" i="11"/>
  <c r="J316" i="11"/>
  <c r="AH316" i="11"/>
  <c r="K316" i="11"/>
  <c r="AI316" i="11"/>
  <c r="L316" i="11"/>
  <c r="AJ316" i="11"/>
  <c r="M316" i="11"/>
  <c r="AK316" i="11"/>
  <c r="N316" i="11"/>
  <c r="AL316" i="11"/>
  <c r="O316" i="11"/>
  <c r="AM316" i="11"/>
  <c r="P316" i="11"/>
  <c r="AN316" i="11"/>
  <c r="Q316" i="11"/>
  <c r="AO316" i="11"/>
  <c r="R316" i="11"/>
  <c r="AP316" i="11"/>
  <c r="S316" i="11"/>
  <c r="AQ316" i="11"/>
  <c r="T316" i="11"/>
  <c r="AR316" i="11"/>
  <c r="U316" i="11"/>
  <c r="AS316" i="11"/>
  <c r="V316" i="11"/>
  <c r="AT316" i="11"/>
  <c r="W316" i="11"/>
  <c r="AU316" i="11"/>
  <c r="X316" i="11"/>
  <c r="AV316" i="11"/>
  <c r="Y316" i="11"/>
  <c r="AW316" i="11"/>
  <c r="Z316" i="11"/>
  <c r="AC317" i="11"/>
  <c r="F317" i="11"/>
  <c r="AD317" i="11"/>
  <c r="G317" i="11"/>
  <c r="AE317" i="11"/>
  <c r="H317" i="11"/>
  <c r="AF317" i="11"/>
  <c r="I317" i="11"/>
  <c r="AG317" i="11"/>
  <c r="J317" i="11"/>
  <c r="AH317" i="11"/>
  <c r="K317" i="11"/>
  <c r="AI317" i="11"/>
  <c r="L317" i="11"/>
  <c r="AJ317" i="11"/>
  <c r="M317" i="11"/>
  <c r="AK317" i="11"/>
  <c r="N317" i="11"/>
  <c r="AL317" i="11"/>
  <c r="O317" i="11"/>
  <c r="AM317" i="11"/>
  <c r="P317" i="11"/>
  <c r="AN317" i="11"/>
  <c r="Q317" i="11"/>
  <c r="AO317" i="11"/>
  <c r="R317" i="11"/>
  <c r="AP317" i="11"/>
  <c r="S317" i="11"/>
  <c r="AQ317" i="11"/>
  <c r="T317" i="11"/>
  <c r="AR317" i="11"/>
  <c r="U317" i="11"/>
  <c r="AS317" i="11"/>
  <c r="V317" i="11"/>
  <c r="AT317" i="11"/>
  <c r="W317" i="11"/>
  <c r="AU317" i="11"/>
  <c r="X317" i="11"/>
  <c r="AV317" i="11"/>
  <c r="Y317" i="11"/>
  <c r="AW317" i="11"/>
  <c r="Z317" i="11"/>
  <c r="AC318" i="11"/>
  <c r="F318" i="11"/>
  <c r="AD318" i="11"/>
  <c r="G318" i="11"/>
  <c r="AE318" i="11"/>
  <c r="H318" i="11"/>
  <c r="AF318" i="11"/>
  <c r="I318" i="11"/>
  <c r="AG318" i="11"/>
  <c r="J318" i="11"/>
  <c r="AH318" i="11"/>
  <c r="K318" i="11"/>
  <c r="AI318" i="11"/>
  <c r="L318" i="11"/>
  <c r="AJ318" i="11"/>
  <c r="M318" i="11"/>
  <c r="AK318" i="11"/>
  <c r="N318" i="11"/>
  <c r="AL318" i="11"/>
  <c r="O318" i="11"/>
  <c r="AM318" i="11"/>
  <c r="P318" i="11"/>
  <c r="AN318" i="11"/>
  <c r="Q318" i="11"/>
  <c r="AO318" i="11"/>
  <c r="R318" i="11"/>
  <c r="AP318" i="11"/>
  <c r="S318" i="11"/>
  <c r="AQ318" i="11"/>
  <c r="T318" i="11"/>
  <c r="AR318" i="11"/>
  <c r="U318" i="11"/>
  <c r="AS318" i="11"/>
  <c r="V318" i="11"/>
  <c r="AT318" i="11"/>
  <c r="W318" i="11"/>
  <c r="AU318" i="11"/>
  <c r="X318" i="11"/>
  <c r="AV318" i="11"/>
  <c r="Y318" i="11"/>
  <c r="AW318" i="11"/>
  <c r="Z318" i="11"/>
  <c r="AC319" i="11"/>
  <c r="F319" i="11"/>
  <c r="AD319" i="11"/>
  <c r="G319" i="11"/>
  <c r="AE319" i="11"/>
  <c r="H319" i="11"/>
  <c r="AF319" i="11"/>
  <c r="I319" i="11"/>
  <c r="AG319" i="11"/>
  <c r="J319" i="11"/>
  <c r="AH319" i="11"/>
  <c r="K319" i="11"/>
  <c r="AI319" i="11"/>
  <c r="L319" i="11"/>
  <c r="AJ319" i="11"/>
  <c r="M319" i="11"/>
  <c r="AK319" i="11"/>
  <c r="N319" i="11"/>
  <c r="AL319" i="11"/>
  <c r="O319" i="11"/>
  <c r="AM319" i="11"/>
  <c r="P319" i="11"/>
  <c r="AN319" i="11"/>
  <c r="Q319" i="11"/>
  <c r="AO319" i="11"/>
  <c r="R319" i="11"/>
  <c r="AP319" i="11"/>
  <c r="S319" i="11"/>
  <c r="AQ319" i="11"/>
  <c r="T319" i="11"/>
  <c r="AR319" i="11"/>
  <c r="U319" i="11"/>
  <c r="AS319" i="11"/>
  <c r="V319" i="11"/>
  <c r="AT319" i="11"/>
  <c r="W319" i="11"/>
  <c r="AU319" i="11"/>
  <c r="X319" i="11"/>
  <c r="AV319" i="11"/>
  <c r="Y319" i="11"/>
  <c r="AW319" i="11"/>
  <c r="Z319" i="11"/>
  <c r="AC320" i="11"/>
  <c r="F320" i="11"/>
  <c r="AD320" i="11"/>
  <c r="G320" i="11"/>
  <c r="AE320" i="11"/>
  <c r="H320" i="11"/>
  <c r="AF320" i="11"/>
  <c r="I320" i="11"/>
  <c r="AG320" i="11"/>
  <c r="J320" i="11"/>
  <c r="AH320" i="11"/>
  <c r="K320" i="11"/>
  <c r="AI320" i="11"/>
  <c r="L320" i="11"/>
  <c r="AJ320" i="11"/>
  <c r="M320" i="11"/>
  <c r="AK320" i="11"/>
  <c r="N320" i="11"/>
  <c r="AL320" i="11"/>
  <c r="O320" i="11"/>
  <c r="AM320" i="11"/>
  <c r="P320" i="11"/>
  <c r="AN320" i="11"/>
  <c r="Q320" i="11"/>
  <c r="AO320" i="11"/>
  <c r="R320" i="11"/>
  <c r="AP320" i="11"/>
  <c r="S320" i="11"/>
  <c r="AQ320" i="11"/>
  <c r="T320" i="11"/>
  <c r="AR320" i="11"/>
  <c r="U320" i="11"/>
  <c r="AS320" i="11"/>
  <c r="V320" i="11"/>
  <c r="AT320" i="11"/>
  <c r="W320" i="11"/>
  <c r="AU320" i="11"/>
  <c r="X320" i="11"/>
  <c r="AV320" i="11"/>
  <c r="Y320" i="11"/>
  <c r="AW320" i="11"/>
  <c r="Z320" i="11"/>
  <c r="AC321" i="11"/>
  <c r="F321" i="11"/>
  <c r="AD321" i="11"/>
  <c r="G321" i="11"/>
  <c r="AE321" i="11"/>
  <c r="H321" i="11"/>
  <c r="AF321" i="11"/>
  <c r="I321" i="11"/>
  <c r="AG321" i="11"/>
  <c r="J321" i="11"/>
  <c r="AH321" i="11"/>
  <c r="K321" i="11"/>
  <c r="AI321" i="11"/>
  <c r="L321" i="11"/>
  <c r="AJ321" i="11"/>
  <c r="M321" i="11"/>
  <c r="AK321" i="11"/>
  <c r="N321" i="11"/>
  <c r="AL321" i="11"/>
  <c r="O321" i="11"/>
  <c r="AM321" i="11"/>
  <c r="P321" i="11"/>
  <c r="AN321" i="11"/>
  <c r="Q321" i="11"/>
  <c r="AO321" i="11"/>
  <c r="R321" i="11"/>
  <c r="AP321" i="11"/>
  <c r="S321" i="11"/>
  <c r="AQ321" i="11"/>
  <c r="T321" i="11"/>
  <c r="AR321" i="11"/>
  <c r="U321" i="11"/>
  <c r="AS321" i="11"/>
  <c r="V321" i="11"/>
  <c r="AT321" i="11"/>
  <c r="W321" i="11"/>
  <c r="AU321" i="11"/>
  <c r="X321" i="11"/>
  <c r="AV321" i="11"/>
  <c r="Y321" i="11"/>
  <c r="AW321" i="11"/>
  <c r="Z321" i="11"/>
  <c r="AC322" i="11"/>
  <c r="F322" i="11"/>
  <c r="AD322" i="11"/>
  <c r="G322" i="11"/>
  <c r="AE322" i="11"/>
  <c r="H322" i="11"/>
  <c r="AF322" i="11"/>
  <c r="I322" i="11"/>
  <c r="AG322" i="11"/>
  <c r="J322" i="11"/>
  <c r="AH322" i="11"/>
  <c r="K322" i="11"/>
  <c r="AI322" i="11"/>
  <c r="L322" i="11"/>
  <c r="AJ322" i="11"/>
  <c r="M322" i="11"/>
  <c r="AK322" i="11"/>
  <c r="N322" i="11"/>
  <c r="AL322" i="11"/>
  <c r="O322" i="11"/>
  <c r="AM322" i="11"/>
  <c r="P322" i="11"/>
  <c r="AN322" i="11"/>
  <c r="Q322" i="11"/>
  <c r="AO322" i="11"/>
  <c r="R322" i="11"/>
  <c r="AP322" i="11"/>
  <c r="S322" i="11"/>
  <c r="AQ322" i="11"/>
  <c r="T322" i="11"/>
  <c r="AR322" i="11"/>
  <c r="U322" i="11"/>
  <c r="AS322" i="11"/>
  <c r="V322" i="11"/>
  <c r="AT322" i="11"/>
  <c r="W322" i="11"/>
  <c r="AU322" i="11"/>
  <c r="X322" i="11"/>
  <c r="AV322" i="11"/>
  <c r="Y322" i="11"/>
  <c r="AW322" i="11"/>
  <c r="Z322" i="11"/>
  <c r="AC323" i="11"/>
  <c r="F323" i="11"/>
  <c r="AD323" i="11"/>
  <c r="G323" i="11"/>
  <c r="AE323" i="11"/>
  <c r="H323" i="11"/>
  <c r="AF323" i="11"/>
  <c r="I323" i="11"/>
  <c r="AG323" i="11"/>
  <c r="J323" i="11"/>
  <c r="AH323" i="11"/>
  <c r="K323" i="11"/>
  <c r="AI323" i="11"/>
  <c r="L323" i="11"/>
  <c r="AJ323" i="11"/>
  <c r="M323" i="11"/>
  <c r="AK323" i="11"/>
  <c r="N323" i="11"/>
  <c r="AL323" i="11"/>
  <c r="O323" i="11"/>
  <c r="AM323" i="11"/>
  <c r="P323" i="11"/>
  <c r="AN323" i="11"/>
  <c r="Q323" i="11"/>
  <c r="AO323" i="11"/>
  <c r="R323" i="11"/>
  <c r="AP323" i="11"/>
  <c r="S323" i="11"/>
  <c r="AQ323" i="11"/>
  <c r="T323" i="11"/>
  <c r="AR323" i="11"/>
  <c r="U323" i="11"/>
  <c r="AS323" i="11"/>
  <c r="V323" i="11"/>
  <c r="AT323" i="11"/>
  <c r="W323" i="11"/>
  <c r="AU323" i="11"/>
  <c r="X323" i="11"/>
  <c r="AV323" i="11"/>
  <c r="Y323" i="11"/>
  <c r="AW323" i="11"/>
  <c r="Z323" i="11"/>
  <c r="AC324" i="11"/>
  <c r="F324" i="11"/>
  <c r="AD324" i="11"/>
  <c r="G324" i="11"/>
  <c r="AE324" i="11"/>
  <c r="H324" i="11"/>
  <c r="AF324" i="11"/>
  <c r="I324" i="11"/>
  <c r="AG324" i="11"/>
  <c r="J324" i="11"/>
  <c r="AH324" i="11"/>
  <c r="K324" i="11"/>
  <c r="AI324" i="11"/>
  <c r="L324" i="11"/>
  <c r="AJ324" i="11"/>
  <c r="M324" i="11"/>
  <c r="AK324" i="11"/>
  <c r="N324" i="11"/>
  <c r="AL324" i="11"/>
  <c r="O324" i="11"/>
  <c r="AM324" i="11"/>
  <c r="P324" i="11"/>
  <c r="AN324" i="11"/>
  <c r="Q324" i="11"/>
  <c r="AO324" i="11"/>
  <c r="R324" i="11"/>
  <c r="AP324" i="11"/>
  <c r="S324" i="11"/>
  <c r="AQ324" i="11"/>
  <c r="T324" i="11"/>
  <c r="AR324" i="11"/>
  <c r="U324" i="11"/>
  <c r="AS324" i="11"/>
  <c r="V324" i="11"/>
  <c r="AT324" i="11"/>
  <c r="W324" i="11"/>
  <c r="AU324" i="11"/>
  <c r="X324" i="11"/>
  <c r="AV324" i="11"/>
  <c r="Y324" i="11"/>
  <c r="AW324" i="11"/>
  <c r="Z324" i="11"/>
  <c r="AC325" i="11"/>
  <c r="F325" i="11"/>
  <c r="AD325" i="11"/>
  <c r="G325" i="11"/>
  <c r="AE325" i="11"/>
  <c r="H325" i="11"/>
  <c r="AF325" i="11"/>
  <c r="I325" i="11"/>
  <c r="AG325" i="11"/>
  <c r="J325" i="11"/>
  <c r="AH325" i="11"/>
  <c r="K325" i="11"/>
  <c r="AI325" i="11"/>
  <c r="L325" i="11"/>
  <c r="AJ325" i="11"/>
  <c r="M325" i="11"/>
  <c r="AK325" i="11"/>
  <c r="N325" i="11"/>
  <c r="AL325" i="11"/>
  <c r="O325" i="11"/>
  <c r="AM325" i="11"/>
  <c r="P325" i="11"/>
  <c r="AN325" i="11"/>
  <c r="Q325" i="11"/>
  <c r="AO325" i="11"/>
  <c r="R325" i="11"/>
  <c r="AP325" i="11"/>
  <c r="S325" i="11"/>
  <c r="AQ325" i="11"/>
  <c r="T325" i="11"/>
  <c r="AR325" i="11"/>
  <c r="U325" i="11"/>
  <c r="AS325" i="11"/>
  <c r="V325" i="11"/>
  <c r="AT325" i="11"/>
  <c r="W325" i="11"/>
  <c r="AU325" i="11"/>
  <c r="X325" i="11"/>
  <c r="AV325" i="11"/>
  <c r="Y325" i="11"/>
  <c r="AW325" i="11"/>
  <c r="Z325" i="11"/>
  <c r="AC326" i="11"/>
  <c r="F326" i="11"/>
  <c r="AD326" i="11"/>
  <c r="G326" i="11"/>
  <c r="AE326" i="11"/>
  <c r="H326" i="11"/>
  <c r="AF326" i="11"/>
  <c r="I326" i="11"/>
  <c r="AG326" i="11"/>
  <c r="J326" i="11"/>
  <c r="AH326" i="11"/>
  <c r="K326" i="11"/>
  <c r="AI326" i="11"/>
  <c r="L326" i="11"/>
  <c r="AJ326" i="11"/>
  <c r="M326" i="11"/>
  <c r="AK326" i="11"/>
  <c r="N326" i="11"/>
  <c r="AL326" i="11"/>
  <c r="O326" i="11"/>
  <c r="AM326" i="11"/>
  <c r="P326" i="11"/>
  <c r="AN326" i="11"/>
  <c r="Q326" i="11"/>
  <c r="AO326" i="11"/>
  <c r="R326" i="11"/>
  <c r="AP326" i="11"/>
  <c r="S326" i="11"/>
  <c r="AQ326" i="11"/>
  <c r="T326" i="11"/>
  <c r="AR326" i="11"/>
  <c r="U326" i="11"/>
  <c r="AS326" i="11"/>
  <c r="V326" i="11"/>
  <c r="AT326" i="11"/>
  <c r="W326" i="11"/>
  <c r="AU326" i="11"/>
  <c r="X326" i="11"/>
  <c r="AV326" i="11"/>
  <c r="Y326" i="11"/>
  <c r="AW326" i="11"/>
  <c r="Z326" i="11"/>
  <c r="AC327" i="11"/>
  <c r="F327" i="11"/>
  <c r="AD327" i="11"/>
  <c r="G327" i="11"/>
  <c r="AE327" i="11"/>
  <c r="H327" i="11"/>
  <c r="AF327" i="11"/>
  <c r="I327" i="11"/>
  <c r="AG327" i="11"/>
  <c r="J327" i="11"/>
  <c r="AH327" i="11"/>
  <c r="K327" i="11"/>
  <c r="AI327" i="11"/>
  <c r="L327" i="11"/>
  <c r="AJ327" i="11"/>
  <c r="M327" i="11"/>
  <c r="AK327" i="11"/>
  <c r="N327" i="11"/>
  <c r="AL327" i="11"/>
  <c r="O327" i="11"/>
  <c r="AM327" i="11"/>
  <c r="P327" i="11"/>
  <c r="AN327" i="11"/>
  <c r="Q327" i="11"/>
  <c r="AO327" i="11"/>
  <c r="R327" i="11"/>
  <c r="AP327" i="11"/>
  <c r="S327" i="11"/>
  <c r="AQ327" i="11"/>
  <c r="T327" i="11"/>
  <c r="AR327" i="11"/>
  <c r="U327" i="11"/>
  <c r="AS327" i="11"/>
  <c r="V327" i="11"/>
  <c r="AT327" i="11"/>
  <c r="W327" i="11"/>
  <c r="AU327" i="11"/>
  <c r="X327" i="11"/>
  <c r="AV327" i="11"/>
  <c r="Y327" i="11"/>
  <c r="AW327" i="11"/>
  <c r="Z327" i="11"/>
  <c r="AC328" i="11"/>
  <c r="F328" i="11"/>
  <c r="AD328" i="11"/>
  <c r="G328" i="11"/>
  <c r="AE328" i="11"/>
  <c r="H328" i="11"/>
  <c r="AF328" i="11"/>
  <c r="I328" i="11"/>
  <c r="AG328" i="11"/>
  <c r="J328" i="11"/>
  <c r="AH328" i="11"/>
  <c r="K328" i="11"/>
  <c r="AI328" i="11"/>
  <c r="L328" i="11"/>
  <c r="AJ328" i="11"/>
  <c r="M328" i="11"/>
  <c r="AK328" i="11"/>
  <c r="N328" i="11"/>
  <c r="AL328" i="11"/>
  <c r="O328" i="11"/>
  <c r="AM328" i="11"/>
  <c r="P328" i="11"/>
  <c r="AN328" i="11"/>
  <c r="Q328" i="11"/>
  <c r="AO328" i="11"/>
  <c r="R328" i="11"/>
  <c r="AP328" i="11"/>
  <c r="S328" i="11"/>
  <c r="AQ328" i="11"/>
  <c r="T328" i="11"/>
  <c r="AR328" i="11"/>
  <c r="U328" i="11"/>
  <c r="AS328" i="11"/>
  <c r="V328" i="11"/>
  <c r="AT328" i="11"/>
  <c r="W328" i="11"/>
  <c r="AU328" i="11"/>
  <c r="X328" i="11"/>
  <c r="AV328" i="11"/>
  <c r="Y328" i="11"/>
  <c r="AW328" i="11"/>
  <c r="Z328" i="11"/>
  <c r="AC329" i="11"/>
  <c r="F329" i="11"/>
  <c r="AD329" i="11"/>
  <c r="G329" i="11"/>
  <c r="AE329" i="11"/>
  <c r="H329" i="11"/>
  <c r="AF329" i="11"/>
  <c r="I329" i="11"/>
  <c r="AG329" i="11"/>
  <c r="J329" i="11"/>
  <c r="AH329" i="11"/>
  <c r="K329" i="11"/>
  <c r="AI329" i="11"/>
  <c r="L329" i="11"/>
  <c r="AJ329" i="11"/>
  <c r="M329" i="11"/>
  <c r="AK329" i="11"/>
  <c r="N329" i="11"/>
  <c r="AL329" i="11"/>
  <c r="O329" i="11"/>
  <c r="AM329" i="11"/>
  <c r="P329" i="11"/>
  <c r="AN329" i="11"/>
  <c r="Q329" i="11"/>
  <c r="AO329" i="11"/>
  <c r="R329" i="11"/>
  <c r="AP329" i="11"/>
  <c r="S329" i="11"/>
  <c r="AQ329" i="11"/>
  <c r="T329" i="11"/>
  <c r="AR329" i="11"/>
  <c r="U329" i="11"/>
  <c r="AS329" i="11"/>
  <c r="V329" i="11"/>
  <c r="AT329" i="11"/>
  <c r="W329" i="11"/>
  <c r="AU329" i="11"/>
  <c r="X329" i="11"/>
  <c r="AV329" i="11"/>
  <c r="Y329" i="11"/>
  <c r="AW329" i="11"/>
  <c r="Z329" i="11"/>
  <c r="AC330" i="11"/>
  <c r="F330" i="11"/>
  <c r="AD330" i="11"/>
  <c r="G330" i="11"/>
  <c r="AE330" i="11"/>
  <c r="H330" i="11"/>
  <c r="AF330" i="11"/>
  <c r="I330" i="11"/>
  <c r="AG330" i="11"/>
  <c r="J330" i="11"/>
  <c r="AH330" i="11"/>
  <c r="K330" i="11"/>
  <c r="AI330" i="11"/>
  <c r="L330" i="11"/>
  <c r="AJ330" i="11"/>
  <c r="M330" i="11"/>
  <c r="AK330" i="11"/>
  <c r="N330" i="11"/>
  <c r="AL330" i="11"/>
  <c r="O330" i="11"/>
  <c r="AM330" i="11"/>
  <c r="P330" i="11"/>
  <c r="AN330" i="11"/>
  <c r="Q330" i="11"/>
  <c r="AO330" i="11"/>
  <c r="R330" i="11"/>
  <c r="AP330" i="11"/>
  <c r="S330" i="11"/>
  <c r="AQ330" i="11"/>
  <c r="T330" i="11"/>
  <c r="AR330" i="11"/>
  <c r="U330" i="11"/>
  <c r="AS330" i="11"/>
  <c r="V330" i="11"/>
  <c r="AT330" i="11"/>
  <c r="W330" i="11"/>
  <c r="AU330" i="11"/>
  <c r="X330" i="11"/>
  <c r="AV330" i="11"/>
  <c r="Y330" i="11"/>
  <c r="AW330" i="11"/>
  <c r="Z330" i="11"/>
  <c r="AC331" i="11"/>
  <c r="F331" i="11"/>
  <c r="AD331" i="11"/>
  <c r="G331" i="11"/>
  <c r="AE331" i="11"/>
  <c r="H331" i="11"/>
  <c r="AF331" i="11"/>
  <c r="I331" i="11"/>
  <c r="AG331" i="11"/>
  <c r="J331" i="11"/>
  <c r="AH331" i="11"/>
  <c r="K331" i="11"/>
  <c r="AI331" i="11"/>
  <c r="L331" i="11"/>
  <c r="AJ331" i="11"/>
  <c r="M331" i="11"/>
  <c r="AK331" i="11"/>
  <c r="N331" i="11"/>
  <c r="AL331" i="11"/>
  <c r="O331" i="11"/>
  <c r="AM331" i="11"/>
  <c r="P331" i="11"/>
  <c r="AN331" i="11"/>
  <c r="Q331" i="11"/>
  <c r="AO331" i="11"/>
  <c r="R331" i="11"/>
  <c r="AP331" i="11"/>
  <c r="S331" i="11"/>
  <c r="AQ331" i="11"/>
  <c r="T331" i="11"/>
  <c r="AR331" i="11"/>
  <c r="U331" i="11"/>
  <c r="AS331" i="11"/>
  <c r="V331" i="11"/>
  <c r="AT331" i="11"/>
  <c r="W331" i="11"/>
  <c r="AU331" i="11"/>
  <c r="X331" i="11"/>
  <c r="AV331" i="11"/>
  <c r="Y331" i="11"/>
  <c r="AW331" i="11"/>
  <c r="Z331" i="11"/>
  <c r="AC332" i="11"/>
  <c r="F332" i="11"/>
  <c r="AD332" i="11"/>
  <c r="G332" i="11"/>
  <c r="AE332" i="11"/>
  <c r="H332" i="11"/>
  <c r="AF332" i="11"/>
  <c r="I332" i="11"/>
  <c r="AG332" i="11"/>
  <c r="J332" i="11"/>
  <c r="AH332" i="11"/>
  <c r="K332" i="11"/>
  <c r="AI332" i="11"/>
  <c r="L332" i="11"/>
  <c r="AJ332" i="11"/>
  <c r="M332" i="11"/>
  <c r="AK332" i="11"/>
  <c r="N332" i="11"/>
  <c r="AL332" i="11"/>
  <c r="O332" i="11"/>
  <c r="AM332" i="11"/>
  <c r="P332" i="11"/>
  <c r="AN332" i="11"/>
  <c r="Q332" i="11"/>
  <c r="AO332" i="11"/>
  <c r="R332" i="11"/>
  <c r="AP332" i="11"/>
  <c r="S332" i="11"/>
  <c r="AQ332" i="11"/>
  <c r="T332" i="11"/>
  <c r="AR332" i="11"/>
  <c r="U332" i="11"/>
  <c r="AS332" i="11"/>
  <c r="V332" i="11"/>
  <c r="AT332" i="11"/>
  <c r="W332" i="11"/>
  <c r="AU332" i="11"/>
  <c r="X332" i="11"/>
  <c r="AV332" i="11"/>
  <c r="Y332" i="11"/>
  <c r="AW332" i="11"/>
  <c r="Z332" i="11"/>
  <c r="AC333" i="11"/>
  <c r="F333" i="11"/>
  <c r="AD333" i="11"/>
  <c r="G333" i="11"/>
  <c r="AE333" i="11"/>
  <c r="H333" i="11"/>
  <c r="AF333" i="11"/>
  <c r="I333" i="11"/>
  <c r="AG333" i="11"/>
  <c r="J333" i="11"/>
  <c r="AH333" i="11"/>
  <c r="K333" i="11"/>
  <c r="AI333" i="11"/>
  <c r="L333" i="11"/>
  <c r="AJ333" i="11"/>
  <c r="M333" i="11"/>
  <c r="AK333" i="11"/>
  <c r="N333" i="11"/>
  <c r="AL333" i="11"/>
  <c r="O333" i="11"/>
  <c r="AM333" i="11"/>
  <c r="P333" i="11"/>
  <c r="AN333" i="11"/>
  <c r="Q333" i="11"/>
  <c r="AO333" i="11"/>
  <c r="R333" i="11"/>
  <c r="AP333" i="11"/>
  <c r="S333" i="11"/>
  <c r="AQ333" i="11"/>
  <c r="T333" i="11"/>
  <c r="AR333" i="11"/>
  <c r="U333" i="11"/>
  <c r="AS333" i="11"/>
  <c r="V333" i="11"/>
  <c r="AT333" i="11"/>
  <c r="W333" i="11"/>
  <c r="AU333" i="11"/>
  <c r="X333" i="11"/>
  <c r="AV333" i="11"/>
  <c r="Y333" i="11"/>
  <c r="AW333" i="11"/>
  <c r="Z333" i="11"/>
  <c r="AC334" i="11"/>
  <c r="F334" i="11"/>
  <c r="AD334" i="11"/>
  <c r="G334" i="11"/>
  <c r="AE334" i="11"/>
  <c r="H334" i="11"/>
  <c r="AF334" i="11"/>
  <c r="I334" i="11"/>
  <c r="AG334" i="11"/>
  <c r="J334" i="11"/>
  <c r="AH334" i="11"/>
  <c r="K334" i="11"/>
  <c r="AI334" i="11"/>
  <c r="L334" i="11"/>
  <c r="AJ334" i="11"/>
  <c r="M334" i="11"/>
  <c r="AK334" i="11"/>
  <c r="N334" i="11"/>
  <c r="AL334" i="11"/>
  <c r="O334" i="11"/>
  <c r="AM334" i="11"/>
  <c r="P334" i="11"/>
  <c r="AN334" i="11"/>
  <c r="Q334" i="11"/>
  <c r="AO334" i="11"/>
  <c r="R334" i="11"/>
  <c r="AP334" i="11"/>
  <c r="S334" i="11"/>
  <c r="AQ334" i="11"/>
  <c r="T334" i="11"/>
  <c r="AR334" i="11"/>
  <c r="U334" i="11"/>
  <c r="AS334" i="11"/>
  <c r="V334" i="11"/>
  <c r="AT334" i="11"/>
  <c r="W334" i="11"/>
  <c r="AU334" i="11"/>
  <c r="X334" i="11"/>
  <c r="AV334" i="11"/>
  <c r="Y334" i="11"/>
  <c r="AW334" i="11"/>
  <c r="Z334" i="11"/>
  <c r="AC335" i="11"/>
  <c r="F335" i="11"/>
  <c r="AD335" i="11"/>
  <c r="G335" i="11"/>
  <c r="AE335" i="11"/>
  <c r="H335" i="11"/>
  <c r="AF335" i="11"/>
  <c r="I335" i="11"/>
  <c r="AG335" i="11"/>
  <c r="J335" i="11"/>
  <c r="AH335" i="11"/>
  <c r="K335" i="11"/>
  <c r="AI335" i="11"/>
  <c r="L335" i="11"/>
  <c r="AJ335" i="11"/>
  <c r="M335" i="11"/>
  <c r="AK335" i="11"/>
  <c r="N335" i="11"/>
  <c r="AL335" i="11"/>
  <c r="O335" i="11"/>
  <c r="AM335" i="11"/>
  <c r="P335" i="11"/>
  <c r="AN335" i="11"/>
  <c r="Q335" i="11"/>
  <c r="AO335" i="11"/>
  <c r="R335" i="11"/>
  <c r="AP335" i="11"/>
  <c r="S335" i="11"/>
  <c r="AQ335" i="11"/>
  <c r="T335" i="11"/>
  <c r="AR335" i="11"/>
  <c r="U335" i="11"/>
  <c r="AS335" i="11"/>
  <c r="V335" i="11"/>
  <c r="AT335" i="11"/>
  <c r="W335" i="11"/>
  <c r="AU335" i="11"/>
  <c r="X335" i="11"/>
  <c r="AV335" i="11"/>
  <c r="Y335" i="11"/>
  <c r="AW335" i="11"/>
  <c r="Z335" i="11"/>
  <c r="AC336" i="11"/>
  <c r="F336" i="11"/>
  <c r="AD336" i="11"/>
  <c r="G336" i="11"/>
  <c r="AE336" i="11"/>
  <c r="H336" i="11"/>
  <c r="AF336" i="11"/>
  <c r="I336" i="11"/>
  <c r="AG336" i="11"/>
  <c r="J336" i="11"/>
  <c r="AH336" i="11"/>
  <c r="K336" i="11"/>
  <c r="AI336" i="11"/>
  <c r="L336" i="11"/>
  <c r="AJ336" i="11"/>
  <c r="M336" i="11"/>
  <c r="AK336" i="11"/>
  <c r="N336" i="11"/>
  <c r="AL336" i="11"/>
  <c r="O336" i="11"/>
  <c r="AM336" i="11"/>
  <c r="P336" i="11"/>
  <c r="AN336" i="11"/>
  <c r="Q336" i="11"/>
  <c r="AO336" i="11"/>
  <c r="R336" i="11"/>
  <c r="AP336" i="11"/>
  <c r="S336" i="11"/>
  <c r="AQ336" i="11"/>
  <c r="T336" i="11"/>
  <c r="AR336" i="11"/>
  <c r="U336" i="11"/>
  <c r="AS336" i="11"/>
  <c r="V336" i="11"/>
  <c r="AT336" i="11"/>
  <c r="W336" i="11"/>
  <c r="AU336" i="11"/>
  <c r="X336" i="11"/>
  <c r="AV336" i="11"/>
  <c r="Y336" i="11"/>
  <c r="AW336" i="11"/>
  <c r="Z336" i="11"/>
  <c r="AC337" i="11"/>
  <c r="F337" i="11"/>
  <c r="AD337" i="11"/>
  <c r="G337" i="11"/>
  <c r="AE337" i="11"/>
  <c r="H337" i="11"/>
  <c r="AF337" i="11"/>
  <c r="I337" i="11"/>
  <c r="AG337" i="11"/>
  <c r="J337" i="11"/>
  <c r="AH337" i="11"/>
  <c r="K337" i="11"/>
  <c r="AI337" i="11"/>
  <c r="L337" i="11"/>
  <c r="AJ337" i="11"/>
  <c r="M337" i="11"/>
  <c r="AK337" i="11"/>
  <c r="N337" i="11"/>
  <c r="AL337" i="11"/>
  <c r="O337" i="11"/>
  <c r="AM337" i="11"/>
  <c r="P337" i="11"/>
  <c r="AN337" i="11"/>
  <c r="Q337" i="11"/>
  <c r="AO337" i="11"/>
  <c r="R337" i="11"/>
  <c r="AP337" i="11"/>
  <c r="S337" i="11"/>
  <c r="AQ337" i="11"/>
  <c r="T337" i="11"/>
  <c r="AR337" i="11"/>
  <c r="U337" i="11"/>
  <c r="AS337" i="11"/>
  <c r="V337" i="11"/>
  <c r="AT337" i="11"/>
  <c r="W337" i="11"/>
  <c r="AU337" i="11"/>
  <c r="X337" i="11"/>
  <c r="AV337" i="11"/>
  <c r="Y337" i="11"/>
  <c r="AW337" i="11"/>
  <c r="Z337" i="11"/>
  <c r="AC338" i="11"/>
  <c r="F338" i="11"/>
  <c r="AD338" i="11"/>
  <c r="G338" i="11"/>
  <c r="AE338" i="11"/>
  <c r="H338" i="11"/>
  <c r="AF338" i="11"/>
  <c r="I338" i="11"/>
  <c r="AG338" i="11"/>
  <c r="J338" i="11"/>
  <c r="AH338" i="11"/>
  <c r="K338" i="11"/>
  <c r="AI338" i="11"/>
  <c r="L338" i="11"/>
  <c r="AJ338" i="11"/>
  <c r="M338" i="11"/>
  <c r="AK338" i="11"/>
  <c r="N338" i="11"/>
  <c r="AL338" i="11"/>
  <c r="O338" i="11"/>
  <c r="AM338" i="11"/>
  <c r="P338" i="11"/>
  <c r="AN338" i="11"/>
  <c r="Q338" i="11"/>
  <c r="AO338" i="11"/>
  <c r="R338" i="11"/>
  <c r="AP338" i="11"/>
  <c r="S338" i="11"/>
  <c r="AQ338" i="11"/>
  <c r="T338" i="11"/>
  <c r="AR338" i="11"/>
  <c r="U338" i="11"/>
  <c r="AS338" i="11"/>
  <c r="V338" i="11"/>
  <c r="AT338" i="11"/>
  <c r="W338" i="11"/>
  <c r="AU338" i="11"/>
  <c r="X338" i="11"/>
  <c r="AV338" i="11"/>
  <c r="Y338" i="11"/>
  <c r="AW338" i="11"/>
  <c r="Z338" i="11"/>
  <c r="AC339" i="11"/>
  <c r="F339" i="11"/>
  <c r="AD339" i="11"/>
  <c r="G339" i="11"/>
  <c r="AE339" i="11"/>
  <c r="H339" i="11"/>
  <c r="AF339" i="11"/>
  <c r="I339" i="11"/>
  <c r="AG339" i="11"/>
  <c r="J339" i="11"/>
  <c r="AH339" i="11"/>
  <c r="K339" i="11"/>
  <c r="AI339" i="11"/>
  <c r="L339" i="11"/>
  <c r="AJ339" i="11"/>
  <c r="M339" i="11"/>
  <c r="AK339" i="11"/>
  <c r="N339" i="11"/>
  <c r="AL339" i="11"/>
  <c r="O339" i="11"/>
  <c r="AM339" i="11"/>
  <c r="P339" i="11"/>
  <c r="AN339" i="11"/>
  <c r="Q339" i="11"/>
  <c r="AO339" i="11"/>
  <c r="R339" i="11"/>
  <c r="AP339" i="11"/>
  <c r="S339" i="11"/>
  <c r="AQ339" i="11"/>
  <c r="T339" i="11"/>
  <c r="AR339" i="11"/>
  <c r="U339" i="11"/>
  <c r="AS339" i="11"/>
  <c r="V339" i="11"/>
  <c r="AT339" i="11"/>
  <c r="W339" i="11"/>
  <c r="AU339" i="11"/>
  <c r="X339" i="11"/>
  <c r="AV339" i="11"/>
  <c r="Y339" i="11"/>
  <c r="AW339" i="11"/>
  <c r="Z339" i="11"/>
  <c r="AC340" i="11"/>
  <c r="F340" i="11"/>
  <c r="AD340" i="11"/>
  <c r="G340" i="11"/>
  <c r="AE340" i="11"/>
  <c r="H340" i="11"/>
  <c r="AF340" i="11"/>
  <c r="I340" i="11"/>
  <c r="AG340" i="11"/>
  <c r="J340" i="11"/>
  <c r="AH340" i="11"/>
  <c r="K340" i="11"/>
  <c r="AI340" i="11"/>
  <c r="L340" i="11"/>
  <c r="AJ340" i="11"/>
  <c r="M340" i="11"/>
  <c r="AK340" i="11"/>
  <c r="N340" i="11"/>
  <c r="AL340" i="11"/>
  <c r="O340" i="11"/>
  <c r="AM340" i="11"/>
  <c r="P340" i="11"/>
  <c r="AN340" i="11"/>
  <c r="Q340" i="11"/>
  <c r="AO340" i="11"/>
  <c r="R340" i="11"/>
  <c r="AP340" i="11"/>
  <c r="S340" i="11"/>
  <c r="AQ340" i="11"/>
  <c r="T340" i="11"/>
  <c r="AR340" i="11"/>
  <c r="U340" i="11"/>
  <c r="AS340" i="11"/>
  <c r="V340" i="11"/>
  <c r="AT340" i="11"/>
  <c r="W340" i="11"/>
  <c r="AU340" i="11"/>
  <c r="X340" i="11"/>
  <c r="AV340" i="11"/>
  <c r="Y340" i="11"/>
  <c r="AW340" i="11"/>
  <c r="Z340" i="11"/>
  <c r="AC341" i="11"/>
  <c r="F341" i="11"/>
  <c r="AD341" i="11"/>
  <c r="G341" i="11"/>
  <c r="AE341" i="11"/>
  <c r="H341" i="11"/>
  <c r="AF341" i="11"/>
  <c r="I341" i="11"/>
  <c r="AG341" i="11"/>
  <c r="J341" i="11"/>
  <c r="AH341" i="11"/>
  <c r="K341" i="11"/>
  <c r="AI341" i="11"/>
  <c r="L341" i="11"/>
  <c r="AJ341" i="11"/>
  <c r="M341" i="11"/>
  <c r="AK341" i="11"/>
  <c r="N341" i="11"/>
  <c r="AL341" i="11"/>
  <c r="O341" i="11"/>
  <c r="AM341" i="11"/>
  <c r="P341" i="11"/>
  <c r="AN341" i="11"/>
  <c r="Q341" i="11"/>
  <c r="AO341" i="11"/>
  <c r="R341" i="11"/>
  <c r="AP341" i="11"/>
  <c r="S341" i="11"/>
  <c r="AQ341" i="11"/>
  <c r="T341" i="11"/>
  <c r="AR341" i="11"/>
  <c r="U341" i="11"/>
  <c r="AS341" i="11"/>
  <c r="V341" i="11"/>
  <c r="AT341" i="11"/>
  <c r="W341" i="11"/>
  <c r="AU341" i="11"/>
  <c r="X341" i="11"/>
  <c r="AV341" i="11"/>
  <c r="Y341" i="11"/>
  <c r="AW341" i="11"/>
  <c r="Z341" i="11"/>
  <c r="AC342" i="11"/>
  <c r="F342" i="11"/>
  <c r="AD342" i="11"/>
  <c r="G342" i="11"/>
  <c r="AE342" i="11"/>
  <c r="H342" i="11"/>
  <c r="AF342" i="11"/>
  <c r="I342" i="11"/>
  <c r="AG342" i="11"/>
  <c r="J342" i="11"/>
  <c r="AH342" i="11"/>
  <c r="K342" i="11"/>
  <c r="AI342" i="11"/>
  <c r="L342" i="11"/>
  <c r="AJ342" i="11"/>
  <c r="M342" i="11"/>
  <c r="AK342" i="11"/>
  <c r="N342" i="11"/>
  <c r="AL342" i="11"/>
  <c r="O342" i="11"/>
  <c r="AM342" i="11"/>
  <c r="P342" i="11"/>
  <c r="AN342" i="11"/>
  <c r="Q342" i="11"/>
  <c r="AO342" i="11"/>
  <c r="R342" i="11"/>
  <c r="AP342" i="11"/>
  <c r="S342" i="11"/>
  <c r="AQ342" i="11"/>
  <c r="T342" i="11"/>
  <c r="AR342" i="11"/>
  <c r="U342" i="11"/>
  <c r="AS342" i="11"/>
  <c r="V342" i="11"/>
  <c r="AT342" i="11"/>
  <c r="W342" i="11"/>
  <c r="AU342" i="11"/>
  <c r="X342" i="11"/>
  <c r="AV342" i="11"/>
  <c r="Y342" i="11"/>
  <c r="AW342" i="11"/>
  <c r="Z342" i="11"/>
  <c r="AC343" i="11"/>
  <c r="F343" i="11"/>
  <c r="AD343" i="11"/>
  <c r="G343" i="11"/>
  <c r="AE343" i="11"/>
  <c r="H343" i="11"/>
  <c r="AF343" i="11"/>
  <c r="I343" i="11"/>
  <c r="AG343" i="11"/>
  <c r="J343" i="11"/>
  <c r="AH343" i="11"/>
  <c r="K343" i="11"/>
  <c r="AI343" i="11"/>
  <c r="L343" i="11"/>
  <c r="AJ343" i="11"/>
  <c r="M343" i="11"/>
  <c r="AK343" i="11"/>
  <c r="N343" i="11"/>
  <c r="AL343" i="11"/>
  <c r="O343" i="11"/>
  <c r="AM343" i="11"/>
  <c r="P343" i="11"/>
  <c r="AN343" i="11"/>
  <c r="Q343" i="11"/>
  <c r="AO343" i="11"/>
  <c r="R343" i="11"/>
  <c r="AP343" i="11"/>
  <c r="S343" i="11"/>
  <c r="AQ343" i="11"/>
  <c r="T343" i="11"/>
  <c r="AR343" i="11"/>
  <c r="U343" i="11"/>
  <c r="AS343" i="11"/>
  <c r="V343" i="11"/>
  <c r="AT343" i="11"/>
  <c r="W343" i="11"/>
  <c r="AU343" i="11"/>
  <c r="X343" i="11"/>
  <c r="AV343" i="11"/>
  <c r="Y343" i="11"/>
  <c r="AW343" i="11"/>
  <c r="Z343" i="11"/>
  <c r="AC344" i="11"/>
  <c r="F344" i="11"/>
  <c r="AD344" i="11"/>
  <c r="G344" i="11"/>
  <c r="AE344" i="11"/>
  <c r="H344" i="11"/>
  <c r="AF344" i="11"/>
  <c r="I344" i="11"/>
  <c r="AG344" i="11"/>
  <c r="J344" i="11"/>
  <c r="AH344" i="11"/>
  <c r="K344" i="11"/>
  <c r="AI344" i="11"/>
  <c r="L344" i="11"/>
  <c r="AJ344" i="11"/>
  <c r="M344" i="11"/>
  <c r="AK344" i="11"/>
  <c r="N344" i="11"/>
  <c r="AL344" i="11"/>
  <c r="O344" i="11"/>
  <c r="AM344" i="11"/>
  <c r="P344" i="11"/>
  <c r="AN344" i="11"/>
  <c r="Q344" i="11"/>
  <c r="AO344" i="11"/>
  <c r="R344" i="11"/>
  <c r="AP344" i="11"/>
  <c r="S344" i="11"/>
  <c r="AQ344" i="11"/>
  <c r="T344" i="11"/>
  <c r="AR344" i="11"/>
  <c r="U344" i="11"/>
  <c r="AS344" i="11"/>
  <c r="V344" i="11"/>
  <c r="AT344" i="11"/>
  <c r="W344" i="11"/>
  <c r="AU344" i="11"/>
  <c r="X344" i="11"/>
  <c r="AV344" i="11"/>
  <c r="Y344" i="11"/>
  <c r="AW344" i="11"/>
  <c r="Z344" i="11"/>
  <c r="AC345" i="11"/>
  <c r="F345" i="11"/>
  <c r="AD345" i="11"/>
  <c r="G345" i="11"/>
  <c r="AE345" i="11"/>
  <c r="H345" i="11"/>
  <c r="AF345" i="11"/>
  <c r="I345" i="11"/>
  <c r="AG345" i="11"/>
  <c r="J345" i="11"/>
  <c r="AH345" i="11"/>
  <c r="K345" i="11"/>
  <c r="AI345" i="11"/>
  <c r="L345" i="11"/>
  <c r="AJ345" i="11"/>
  <c r="M345" i="11"/>
  <c r="AK345" i="11"/>
  <c r="N345" i="11"/>
  <c r="AL345" i="11"/>
  <c r="O345" i="11"/>
  <c r="AM345" i="11"/>
  <c r="P345" i="11"/>
  <c r="AN345" i="11"/>
  <c r="Q345" i="11"/>
  <c r="AO345" i="11"/>
  <c r="R345" i="11"/>
  <c r="AP345" i="11"/>
  <c r="S345" i="11"/>
  <c r="AQ345" i="11"/>
  <c r="T345" i="11"/>
  <c r="AR345" i="11"/>
  <c r="U345" i="11"/>
  <c r="AS345" i="11"/>
  <c r="V345" i="11"/>
  <c r="AT345" i="11"/>
  <c r="W345" i="11"/>
  <c r="AU345" i="11"/>
  <c r="X345" i="11"/>
  <c r="AV345" i="11"/>
  <c r="Y345" i="11"/>
  <c r="AW345" i="11"/>
  <c r="Z345" i="11"/>
  <c r="AC346" i="11"/>
  <c r="F346" i="11"/>
  <c r="AD346" i="11"/>
  <c r="G346" i="11"/>
  <c r="AE346" i="11"/>
  <c r="H346" i="11"/>
  <c r="AF346" i="11"/>
  <c r="I346" i="11"/>
  <c r="AG346" i="11"/>
  <c r="J346" i="11"/>
  <c r="AH346" i="11"/>
  <c r="K346" i="11"/>
  <c r="AI346" i="11"/>
  <c r="L346" i="11"/>
  <c r="AJ346" i="11"/>
  <c r="M346" i="11"/>
  <c r="AK346" i="11"/>
  <c r="N346" i="11"/>
  <c r="AL346" i="11"/>
  <c r="O346" i="11"/>
  <c r="AM346" i="11"/>
  <c r="P346" i="11"/>
  <c r="AN346" i="11"/>
  <c r="Q346" i="11"/>
  <c r="AO346" i="11"/>
  <c r="R346" i="11"/>
  <c r="AP346" i="11"/>
  <c r="S346" i="11"/>
  <c r="AQ346" i="11"/>
  <c r="T346" i="11"/>
  <c r="AR346" i="11"/>
  <c r="U346" i="11"/>
  <c r="AS346" i="11"/>
  <c r="V346" i="11"/>
  <c r="AT346" i="11"/>
  <c r="W346" i="11"/>
  <c r="AU346" i="11"/>
  <c r="X346" i="11"/>
  <c r="AV346" i="11"/>
  <c r="Y346" i="11"/>
  <c r="AW346" i="11"/>
  <c r="Z346" i="11"/>
  <c r="AC347" i="11"/>
  <c r="F347" i="11"/>
  <c r="AD347" i="11"/>
  <c r="G347" i="11"/>
  <c r="AE347" i="11"/>
  <c r="H347" i="11"/>
  <c r="AF347" i="11"/>
  <c r="I347" i="11"/>
  <c r="AG347" i="11"/>
  <c r="J347" i="11"/>
  <c r="AH347" i="11"/>
  <c r="K347" i="11"/>
  <c r="AI347" i="11"/>
  <c r="L347" i="11"/>
  <c r="AJ347" i="11"/>
  <c r="M347" i="11"/>
  <c r="AK347" i="11"/>
  <c r="N347" i="11"/>
  <c r="AL347" i="11"/>
  <c r="O347" i="11"/>
  <c r="AM347" i="11"/>
  <c r="P347" i="11"/>
  <c r="AN347" i="11"/>
  <c r="Q347" i="11"/>
  <c r="AO347" i="11"/>
  <c r="R347" i="11"/>
  <c r="AP347" i="11"/>
  <c r="S347" i="11"/>
  <c r="AQ347" i="11"/>
  <c r="T347" i="11"/>
  <c r="AR347" i="11"/>
  <c r="U347" i="11"/>
  <c r="AS347" i="11"/>
  <c r="V347" i="11"/>
  <c r="AT347" i="11"/>
  <c r="W347" i="11"/>
  <c r="AU347" i="11"/>
  <c r="X347" i="11"/>
  <c r="AV347" i="11"/>
  <c r="Y347" i="11"/>
  <c r="AW347" i="11"/>
  <c r="Z347" i="11"/>
  <c r="AC348" i="11"/>
  <c r="F348" i="11"/>
  <c r="AD348" i="11"/>
  <c r="G348" i="11"/>
  <c r="AE348" i="11"/>
  <c r="H348" i="11"/>
  <c r="AF348" i="11"/>
  <c r="I348" i="11"/>
  <c r="AG348" i="11"/>
  <c r="J348" i="11"/>
  <c r="AH348" i="11"/>
  <c r="K348" i="11"/>
  <c r="AI348" i="11"/>
  <c r="L348" i="11"/>
  <c r="AJ348" i="11"/>
  <c r="M348" i="11"/>
  <c r="AK348" i="11"/>
  <c r="N348" i="11"/>
  <c r="AL348" i="11"/>
  <c r="O348" i="11"/>
  <c r="AM348" i="11"/>
  <c r="P348" i="11"/>
  <c r="AN348" i="11"/>
  <c r="Q348" i="11"/>
  <c r="AO348" i="11"/>
  <c r="R348" i="11"/>
  <c r="AP348" i="11"/>
  <c r="S348" i="11"/>
  <c r="AQ348" i="11"/>
  <c r="T348" i="11"/>
  <c r="AR348" i="11"/>
  <c r="U348" i="11"/>
  <c r="AS348" i="11"/>
  <c r="V348" i="11"/>
  <c r="AT348" i="11"/>
  <c r="W348" i="11"/>
  <c r="AU348" i="11"/>
  <c r="X348" i="11"/>
  <c r="AV348" i="11"/>
  <c r="Y348" i="11"/>
  <c r="AW348" i="11"/>
  <c r="Z348" i="11"/>
  <c r="AC349" i="11"/>
  <c r="F349" i="11"/>
  <c r="AD349" i="11"/>
  <c r="G349" i="11"/>
  <c r="AE349" i="11"/>
  <c r="H349" i="11"/>
  <c r="AF349" i="11"/>
  <c r="I349" i="11"/>
  <c r="AG349" i="11"/>
  <c r="J349" i="11"/>
  <c r="AH349" i="11"/>
  <c r="K349" i="11"/>
  <c r="AI349" i="11"/>
  <c r="L349" i="11"/>
  <c r="AJ349" i="11"/>
  <c r="M349" i="11"/>
  <c r="AK349" i="11"/>
  <c r="N349" i="11"/>
  <c r="AL349" i="11"/>
  <c r="O349" i="11"/>
  <c r="AM349" i="11"/>
  <c r="P349" i="11"/>
  <c r="AN349" i="11"/>
  <c r="Q349" i="11"/>
  <c r="AO349" i="11"/>
  <c r="R349" i="11"/>
  <c r="AP349" i="11"/>
  <c r="S349" i="11"/>
  <c r="AQ349" i="11"/>
  <c r="T349" i="11"/>
  <c r="AR349" i="11"/>
  <c r="U349" i="11"/>
  <c r="AS349" i="11"/>
  <c r="V349" i="11"/>
  <c r="AT349" i="11"/>
  <c r="W349" i="11"/>
  <c r="AU349" i="11"/>
  <c r="X349" i="11"/>
  <c r="AV349" i="11"/>
  <c r="Y349" i="11"/>
  <c r="AW349" i="11"/>
  <c r="Z349" i="11"/>
  <c r="AC350" i="11"/>
  <c r="F350" i="11"/>
  <c r="AD350" i="11"/>
  <c r="G350" i="11"/>
  <c r="AE350" i="11"/>
  <c r="H350" i="11"/>
  <c r="AF350" i="11"/>
  <c r="I350" i="11"/>
  <c r="AG350" i="11"/>
  <c r="J350" i="11"/>
  <c r="AH350" i="11"/>
  <c r="K350" i="11"/>
  <c r="AI350" i="11"/>
  <c r="L350" i="11"/>
  <c r="AJ350" i="11"/>
  <c r="M350" i="11"/>
  <c r="AK350" i="11"/>
  <c r="N350" i="11"/>
  <c r="AL350" i="11"/>
  <c r="O350" i="11"/>
  <c r="AM350" i="11"/>
  <c r="P350" i="11"/>
  <c r="AN350" i="11"/>
  <c r="Q350" i="11"/>
  <c r="AO350" i="11"/>
  <c r="R350" i="11"/>
  <c r="AP350" i="11"/>
  <c r="S350" i="11"/>
  <c r="AQ350" i="11"/>
  <c r="T350" i="11"/>
  <c r="AR350" i="11"/>
  <c r="U350" i="11"/>
  <c r="AS350" i="11"/>
  <c r="V350" i="11"/>
  <c r="AT350" i="11"/>
  <c r="W350" i="11"/>
  <c r="AU350" i="11"/>
  <c r="X350" i="11"/>
  <c r="AV350" i="11"/>
  <c r="Y350" i="11"/>
  <c r="AW350" i="11"/>
  <c r="Z350" i="11"/>
  <c r="AC351" i="11"/>
  <c r="F351" i="11"/>
  <c r="AD351" i="11"/>
  <c r="G351" i="11"/>
  <c r="AE351" i="11"/>
  <c r="H351" i="11"/>
  <c r="AF351" i="11"/>
  <c r="I351" i="11"/>
  <c r="AG351" i="11"/>
  <c r="J351" i="11"/>
  <c r="AH351" i="11"/>
  <c r="K351" i="11"/>
  <c r="AI351" i="11"/>
  <c r="L351" i="11"/>
  <c r="AJ351" i="11"/>
  <c r="M351" i="11"/>
  <c r="AK351" i="11"/>
  <c r="N351" i="11"/>
  <c r="AL351" i="11"/>
  <c r="O351" i="11"/>
  <c r="AM351" i="11"/>
  <c r="P351" i="11"/>
  <c r="AN351" i="11"/>
  <c r="Q351" i="11"/>
  <c r="AO351" i="11"/>
  <c r="R351" i="11"/>
  <c r="AP351" i="11"/>
  <c r="S351" i="11"/>
  <c r="AQ351" i="11"/>
  <c r="T351" i="11"/>
  <c r="AR351" i="11"/>
  <c r="U351" i="11"/>
  <c r="AS351" i="11"/>
  <c r="V351" i="11"/>
  <c r="AT351" i="11"/>
  <c r="W351" i="11"/>
  <c r="AU351" i="11"/>
  <c r="X351" i="11"/>
  <c r="AV351" i="11"/>
  <c r="Y351" i="11"/>
  <c r="AW351" i="11"/>
  <c r="Z351" i="11"/>
  <c r="AC352" i="11"/>
  <c r="F352" i="11"/>
  <c r="AD352" i="11"/>
  <c r="G352" i="11"/>
  <c r="AE352" i="11"/>
  <c r="H352" i="11"/>
  <c r="AF352" i="11"/>
  <c r="I352" i="11"/>
  <c r="AG352" i="11"/>
  <c r="J352" i="11"/>
  <c r="AH352" i="11"/>
  <c r="K352" i="11"/>
  <c r="AI352" i="11"/>
  <c r="L352" i="11"/>
  <c r="AJ352" i="11"/>
  <c r="M352" i="11"/>
  <c r="AK352" i="11"/>
  <c r="N352" i="11"/>
  <c r="AL352" i="11"/>
  <c r="O352" i="11"/>
  <c r="AM352" i="11"/>
  <c r="P352" i="11"/>
  <c r="AN352" i="11"/>
  <c r="Q352" i="11"/>
  <c r="AO352" i="11"/>
  <c r="R352" i="11"/>
  <c r="AP352" i="11"/>
  <c r="S352" i="11"/>
  <c r="AQ352" i="11"/>
  <c r="T352" i="11"/>
  <c r="AR352" i="11"/>
  <c r="U352" i="11"/>
  <c r="AS352" i="11"/>
  <c r="V352" i="11"/>
  <c r="AT352" i="11"/>
  <c r="W352" i="11"/>
  <c r="AU352" i="11"/>
  <c r="X352" i="11"/>
  <c r="AV352" i="11"/>
  <c r="Y352" i="11"/>
  <c r="AW352" i="11"/>
  <c r="Z352" i="11"/>
  <c r="AC353" i="11"/>
  <c r="F353" i="11"/>
  <c r="AD353" i="11"/>
  <c r="G353" i="11"/>
  <c r="AE353" i="11"/>
  <c r="H353" i="11"/>
  <c r="AF353" i="11"/>
  <c r="I353" i="11"/>
  <c r="AG353" i="11"/>
  <c r="J353" i="11"/>
  <c r="AH353" i="11"/>
  <c r="K353" i="11"/>
  <c r="AI353" i="11"/>
  <c r="L353" i="11"/>
  <c r="AJ353" i="11"/>
  <c r="M353" i="11"/>
  <c r="AK353" i="11"/>
  <c r="N353" i="11"/>
  <c r="AL353" i="11"/>
  <c r="O353" i="11"/>
  <c r="AM353" i="11"/>
  <c r="P353" i="11"/>
  <c r="AN353" i="11"/>
  <c r="Q353" i="11"/>
  <c r="AO353" i="11"/>
  <c r="R353" i="11"/>
  <c r="AP353" i="11"/>
  <c r="S353" i="11"/>
  <c r="AQ353" i="11"/>
  <c r="T353" i="11"/>
  <c r="AR353" i="11"/>
  <c r="U353" i="11"/>
  <c r="AS353" i="11"/>
  <c r="V353" i="11"/>
  <c r="AT353" i="11"/>
  <c r="W353" i="11"/>
  <c r="AU353" i="11"/>
  <c r="X353" i="11"/>
  <c r="AV353" i="11"/>
  <c r="Y353" i="11"/>
  <c r="AW353" i="11"/>
  <c r="Z353" i="11"/>
  <c r="AC354" i="11"/>
  <c r="F354" i="11"/>
  <c r="AD354" i="11"/>
  <c r="G354" i="11"/>
  <c r="AE354" i="11"/>
  <c r="H354" i="11"/>
  <c r="AF354" i="11"/>
  <c r="I354" i="11"/>
  <c r="AG354" i="11"/>
  <c r="J354" i="11"/>
  <c r="AH354" i="11"/>
  <c r="K354" i="11"/>
  <c r="AI354" i="11"/>
  <c r="L354" i="11"/>
  <c r="AJ354" i="11"/>
  <c r="M354" i="11"/>
  <c r="AK354" i="11"/>
  <c r="N354" i="11"/>
  <c r="AL354" i="11"/>
  <c r="O354" i="11"/>
  <c r="AM354" i="11"/>
  <c r="P354" i="11"/>
  <c r="AN354" i="11"/>
  <c r="Q354" i="11"/>
  <c r="AO354" i="11"/>
  <c r="R354" i="11"/>
  <c r="AP354" i="11"/>
  <c r="S354" i="11"/>
  <c r="AQ354" i="11"/>
  <c r="T354" i="11"/>
  <c r="AR354" i="11"/>
  <c r="U354" i="11"/>
  <c r="AS354" i="11"/>
  <c r="V354" i="11"/>
  <c r="AT354" i="11"/>
  <c r="W354" i="11"/>
  <c r="AU354" i="11"/>
  <c r="X354" i="11"/>
  <c r="AV354" i="11"/>
  <c r="Y354" i="11"/>
  <c r="AW354" i="11"/>
  <c r="Z354" i="11"/>
  <c r="AC355" i="11"/>
  <c r="F355" i="11"/>
  <c r="AD355" i="11"/>
  <c r="G355" i="11"/>
  <c r="AE355" i="11"/>
  <c r="H355" i="11"/>
  <c r="AF355" i="11"/>
  <c r="I355" i="11"/>
  <c r="AG355" i="11"/>
  <c r="J355" i="11"/>
  <c r="AH355" i="11"/>
  <c r="K355" i="11"/>
  <c r="AI355" i="11"/>
  <c r="L355" i="11"/>
  <c r="AJ355" i="11"/>
  <c r="M355" i="11"/>
  <c r="AK355" i="11"/>
  <c r="N355" i="11"/>
  <c r="AL355" i="11"/>
  <c r="O355" i="11"/>
  <c r="AM355" i="11"/>
  <c r="P355" i="11"/>
  <c r="AN355" i="11"/>
  <c r="Q355" i="11"/>
  <c r="AO355" i="11"/>
  <c r="R355" i="11"/>
  <c r="AP355" i="11"/>
  <c r="S355" i="11"/>
  <c r="AQ355" i="11"/>
  <c r="T355" i="11"/>
  <c r="AR355" i="11"/>
  <c r="U355" i="11"/>
  <c r="AS355" i="11"/>
  <c r="V355" i="11"/>
  <c r="AT355" i="11"/>
  <c r="W355" i="11"/>
  <c r="AU355" i="11"/>
  <c r="X355" i="11"/>
  <c r="AV355" i="11"/>
  <c r="Y355" i="11"/>
  <c r="AW355" i="11"/>
  <c r="Z355" i="11"/>
  <c r="AC356" i="11"/>
  <c r="F356" i="11"/>
  <c r="AD356" i="11"/>
  <c r="G356" i="11"/>
  <c r="AE356" i="11"/>
  <c r="H356" i="11"/>
  <c r="AF356" i="11"/>
  <c r="I356" i="11"/>
  <c r="AG356" i="11"/>
  <c r="J356" i="11"/>
  <c r="AH356" i="11"/>
  <c r="K356" i="11"/>
  <c r="AI356" i="11"/>
  <c r="L356" i="11"/>
  <c r="AJ356" i="11"/>
  <c r="M356" i="11"/>
  <c r="AK356" i="11"/>
  <c r="N356" i="11"/>
  <c r="AL356" i="11"/>
  <c r="O356" i="11"/>
  <c r="AM356" i="11"/>
  <c r="P356" i="11"/>
  <c r="AN356" i="11"/>
  <c r="Q356" i="11"/>
  <c r="AO356" i="11"/>
  <c r="R356" i="11"/>
  <c r="AP356" i="11"/>
  <c r="S356" i="11"/>
  <c r="AQ356" i="11"/>
  <c r="T356" i="11"/>
  <c r="AR356" i="11"/>
  <c r="U356" i="11"/>
  <c r="AS356" i="11"/>
  <c r="V356" i="11"/>
  <c r="AT356" i="11"/>
  <c r="W356" i="11"/>
  <c r="AU356" i="11"/>
  <c r="X356" i="11"/>
  <c r="AV356" i="11"/>
  <c r="Y356" i="11"/>
  <c r="AW356" i="11"/>
  <c r="Z356" i="11"/>
  <c r="AC357" i="11"/>
  <c r="F357" i="11"/>
  <c r="AD357" i="11"/>
  <c r="G357" i="11"/>
  <c r="AE357" i="11"/>
  <c r="H357" i="11"/>
  <c r="AF357" i="11"/>
  <c r="I357" i="11"/>
  <c r="AG357" i="11"/>
  <c r="J357" i="11"/>
  <c r="AH357" i="11"/>
  <c r="K357" i="11"/>
  <c r="AI357" i="11"/>
  <c r="L357" i="11"/>
  <c r="AJ357" i="11"/>
  <c r="M357" i="11"/>
  <c r="AK357" i="11"/>
  <c r="N357" i="11"/>
  <c r="AL357" i="11"/>
  <c r="O357" i="11"/>
  <c r="AM357" i="11"/>
  <c r="P357" i="11"/>
  <c r="AN357" i="11"/>
  <c r="Q357" i="11"/>
  <c r="AO357" i="11"/>
  <c r="R357" i="11"/>
  <c r="AP357" i="11"/>
  <c r="S357" i="11"/>
  <c r="AQ357" i="11"/>
  <c r="T357" i="11"/>
  <c r="AR357" i="11"/>
  <c r="U357" i="11"/>
  <c r="AS357" i="11"/>
  <c r="V357" i="11"/>
  <c r="AT357" i="11"/>
  <c r="W357" i="11"/>
  <c r="AU357" i="11"/>
  <c r="X357" i="11"/>
  <c r="AV357" i="11"/>
  <c r="Y357" i="11"/>
  <c r="AW357" i="11"/>
  <c r="Z357" i="11"/>
  <c r="AC358" i="11"/>
  <c r="F358" i="11"/>
  <c r="AD358" i="11"/>
  <c r="G358" i="11"/>
  <c r="AE358" i="11"/>
  <c r="H358" i="11"/>
  <c r="AF358" i="11"/>
  <c r="I358" i="11"/>
  <c r="AG358" i="11"/>
  <c r="J358" i="11"/>
  <c r="AH358" i="11"/>
  <c r="K358" i="11"/>
  <c r="AI358" i="11"/>
  <c r="L358" i="11"/>
  <c r="AJ358" i="11"/>
  <c r="M358" i="11"/>
  <c r="AK358" i="11"/>
  <c r="N358" i="11"/>
  <c r="AL358" i="11"/>
  <c r="O358" i="11"/>
  <c r="AM358" i="11"/>
  <c r="P358" i="11"/>
  <c r="AN358" i="11"/>
  <c r="Q358" i="11"/>
  <c r="AO358" i="11"/>
  <c r="R358" i="11"/>
  <c r="AP358" i="11"/>
  <c r="S358" i="11"/>
  <c r="AQ358" i="11"/>
  <c r="T358" i="11"/>
  <c r="AR358" i="11"/>
  <c r="U358" i="11"/>
  <c r="AS358" i="11"/>
  <c r="V358" i="11"/>
  <c r="AT358" i="11"/>
  <c r="W358" i="11"/>
  <c r="AU358" i="11"/>
  <c r="X358" i="11"/>
  <c r="AV358" i="11"/>
  <c r="Y358" i="11"/>
  <c r="AW358" i="11"/>
  <c r="Z358" i="11"/>
  <c r="AC359" i="11"/>
  <c r="F359" i="11"/>
  <c r="AD359" i="11"/>
  <c r="G359" i="11"/>
  <c r="AE359" i="11"/>
  <c r="H359" i="11"/>
  <c r="AF359" i="11"/>
  <c r="I359" i="11"/>
  <c r="AG359" i="11"/>
  <c r="J359" i="11"/>
  <c r="AH359" i="11"/>
  <c r="K359" i="11"/>
  <c r="AI359" i="11"/>
  <c r="L359" i="11"/>
  <c r="AJ359" i="11"/>
  <c r="M359" i="11"/>
  <c r="AK359" i="11"/>
  <c r="N359" i="11"/>
  <c r="AL359" i="11"/>
  <c r="O359" i="11"/>
  <c r="AM359" i="11"/>
  <c r="P359" i="11"/>
  <c r="AN359" i="11"/>
  <c r="Q359" i="11"/>
  <c r="AO359" i="11"/>
  <c r="R359" i="11"/>
  <c r="AP359" i="11"/>
  <c r="S359" i="11"/>
  <c r="AQ359" i="11"/>
  <c r="T359" i="11"/>
  <c r="AR359" i="11"/>
  <c r="U359" i="11"/>
  <c r="AS359" i="11"/>
  <c r="V359" i="11"/>
  <c r="AT359" i="11"/>
  <c r="W359" i="11"/>
  <c r="AU359" i="11"/>
  <c r="X359" i="11"/>
  <c r="AV359" i="11"/>
  <c r="Y359" i="11"/>
  <c r="AW359" i="11"/>
  <c r="Z359" i="11"/>
  <c r="AC360" i="11"/>
  <c r="F360" i="11"/>
  <c r="AD360" i="11"/>
  <c r="G360" i="11"/>
  <c r="AE360" i="11"/>
  <c r="H360" i="11"/>
  <c r="AF360" i="11"/>
  <c r="I360" i="11"/>
  <c r="AG360" i="11"/>
  <c r="J360" i="11"/>
  <c r="AH360" i="11"/>
  <c r="K360" i="11"/>
  <c r="AI360" i="11"/>
  <c r="L360" i="11"/>
  <c r="AJ360" i="11"/>
  <c r="M360" i="11"/>
  <c r="AK360" i="11"/>
  <c r="N360" i="11"/>
  <c r="AL360" i="11"/>
  <c r="O360" i="11"/>
  <c r="AM360" i="11"/>
  <c r="P360" i="11"/>
  <c r="AN360" i="11"/>
  <c r="Q360" i="11"/>
  <c r="AO360" i="11"/>
  <c r="R360" i="11"/>
  <c r="AP360" i="11"/>
  <c r="S360" i="11"/>
  <c r="AQ360" i="11"/>
  <c r="T360" i="11"/>
  <c r="AR360" i="11"/>
  <c r="U360" i="11"/>
  <c r="AS360" i="11"/>
  <c r="V360" i="11"/>
  <c r="AT360" i="11"/>
  <c r="W360" i="11"/>
  <c r="AU360" i="11"/>
  <c r="X360" i="11"/>
  <c r="AV360" i="11"/>
  <c r="Y360" i="11"/>
  <c r="AW360" i="11"/>
  <c r="Z360" i="11"/>
  <c r="AC361" i="11"/>
  <c r="F361" i="11"/>
  <c r="AD361" i="11"/>
  <c r="G361" i="11"/>
  <c r="AE361" i="11"/>
  <c r="H361" i="11"/>
  <c r="AF361" i="11"/>
  <c r="I361" i="11"/>
  <c r="AG361" i="11"/>
  <c r="J361" i="11"/>
  <c r="AH361" i="11"/>
  <c r="K361" i="11"/>
  <c r="AI361" i="11"/>
  <c r="L361" i="11"/>
  <c r="AJ361" i="11"/>
  <c r="M361" i="11"/>
  <c r="AK361" i="11"/>
  <c r="N361" i="11"/>
  <c r="AL361" i="11"/>
  <c r="O361" i="11"/>
  <c r="AM361" i="11"/>
  <c r="P361" i="11"/>
  <c r="AN361" i="11"/>
  <c r="Q361" i="11"/>
  <c r="AO361" i="11"/>
  <c r="R361" i="11"/>
  <c r="AP361" i="11"/>
  <c r="S361" i="11"/>
  <c r="AQ361" i="11"/>
  <c r="T361" i="11"/>
  <c r="AR361" i="11"/>
  <c r="U361" i="11"/>
  <c r="AS361" i="11"/>
  <c r="V361" i="11"/>
  <c r="AT361" i="11"/>
  <c r="W361" i="11"/>
  <c r="AU361" i="11"/>
  <c r="X361" i="11"/>
  <c r="AV361" i="11"/>
  <c r="Y361" i="11"/>
  <c r="AW361" i="11"/>
  <c r="Z361" i="11"/>
  <c r="AC362" i="11"/>
  <c r="F362" i="11"/>
  <c r="AD362" i="11"/>
  <c r="G362" i="11"/>
  <c r="AE362" i="11"/>
  <c r="H362" i="11"/>
  <c r="AF362" i="11"/>
  <c r="I362" i="11"/>
  <c r="AG362" i="11"/>
  <c r="J362" i="11"/>
  <c r="AH362" i="11"/>
  <c r="K362" i="11"/>
  <c r="AI362" i="11"/>
  <c r="L362" i="11"/>
  <c r="AJ362" i="11"/>
  <c r="M362" i="11"/>
  <c r="AK362" i="11"/>
  <c r="N362" i="11"/>
  <c r="AL362" i="11"/>
  <c r="O362" i="11"/>
  <c r="AM362" i="11"/>
  <c r="P362" i="11"/>
  <c r="AN362" i="11"/>
  <c r="Q362" i="11"/>
  <c r="AO362" i="11"/>
  <c r="R362" i="11"/>
  <c r="AP362" i="11"/>
  <c r="S362" i="11"/>
  <c r="AQ362" i="11"/>
  <c r="T362" i="11"/>
  <c r="AR362" i="11"/>
  <c r="U362" i="11"/>
  <c r="AS362" i="11"/>
  <c r="V362" i="11"/>
  <c r="AT362" i="11"/>
  <c r="W362" i="11"/>
  <c r="AU362" i="11"/>
  <c r="X362" i="11"/>
  <c r="AV362" i="11"/>
  <c r="Y362" i="11"/>
  <c r="AW362" i="11"/>
  <c r="Z362" i="11"/>
  <c r="AC363" i="11"/>
  <c r="F363" i="11"/>
  <c r="AD363" i="11"/>
  <c r="G363" i="11"/>
  <c r="AE363" i="11"/>
  <c r="H363" i="11"/>
  <c r="AF363" i="11"/>
  <c r="I363" i="11"/>
  <c r="AG363" i="11"/>
  <c r="J363" i="11"/>
  <c r="AH363" i="11"/>
  <c r="K363" i="11"/>
  <c r="AI363" i="11"/>
  <c r="L363" i="11"/>
  <c r="AJ363" i="11"/>
  <c r="M363" i="11"/>
  <c r="AK363" i="11"/>
  <c r="N363" i="11"/>
  <c r="AL363" i="11"/>
  <c r="O363" i="11"/>
  <c r="AM363" i="11"/>
  <c r="P363" i="11"/>
  <c r="AN363" i="11"/>
  <c r="Q363" i="11"/>
  <c r="AO363" i="11"/>
  <c r="R363" i="11"/>
  <c r="AP363" i="11"/>
  <c r="S363" i="11"/>
  <c r="AQ363" i="11"/>
  <c r="T363" i="11"/>
  <c r="AR363" i="11"/>
  <c r="U363" i="11"/>
  <c r="AS363" i="11"/>
  <c r="V363" i="11"/>
  <c r="AT363" i="11"/>
  <c r="W363" i="11"/>
  <c r="AU363" i="11"/>
  <c r="X363" i="11"/>
  <c r="AV363" i="11"/>
  <c r="Y363" i="11"/>
  <c r="AW363" i="11"/>
  <c r="Z363" i="11"/>
  <c r="AC364" i="11"/>
  <c r="F364" i="11"/>
  <c r="AD364" i="11"/>
  <c r="G364" i="11"/>
  <c r="AE364" i="11"/>
  <c r="H364" i="11"/>
  <c r="AF364" i="11"/>
  <c r="I364" i="11"/>
  <c r="AG364" i="11"/>
  <c r="J364" i="11"/>
  <c r="AH364" i="11"/>
  <c r="K364" i="11"/>
  <c r="AI364" i="11"/>
  <c r="L364" i="11"/>
  <c r="AJ364" i="11"/>
  <c r="M364" i="11"/>
  <c r="AK364" i="11"/>
  <c r="N364" i="11"/>
  <c r="AL364" i="11"/>
  <c r="O364" i="11"/>
  <c r="AM364" i="11"/>
  <c r="P364" i="11"/>
  <c r="AN364" i="11"/>
  <c r="Q364" i="11"/>
  <c r="AO364" i="11"/>
  <c r="R364" i="11"/>
  <c r="AP364" i="11"/>
  <c r="S364" i="11"/>
  <c r="AQ364" i="11"/>
  <c r="T364" i="11"/>
  <c r="AR364" i="11"/>
  <c r="U364" i="11"/>
  <c r="AS364" i="11"/>
  <c r="V364" i="11"/>
  <c r="AT364" i="11"/>
  <c r="W364" i="11"/>
  <c r="AU364" i="11"/>
  <c r="X364" i="11"/>
  <c r="AV364" i="11"/>
  <c r="Y364" i="11"/>
  <c r="AW364" i="11"/>
  <c r="Z364" i="11"/>
  <c r="AC365" i="11"/>
  <c r="F365" i="11"/>
  <c r="AD365" i="11"/>
  <c r="G365" i="11"/>
  <c r="AE365" i="11"/>
  <c r="H365" i="11"/>
  <c r="AF365" i="11"/>
  <c r="I365" i="11"/>
  <c r="AG365" i="11"/>
  <c r="J365" i="11"/>
  <c r="AH365" i="11"/>
  <c r="K365" i="11"/>
  <c r="AI365" i="11"/>
  <c r="L365" i="11"/>
  <c r="AJ365" i="11"/>
  <c r="M365" i="11"/>
  <c r="AK365" i="11"/>
  <c r="N365" i="11"/>
  <c r="AL365" i="11"/>
  <c r="O365" i="11"/>
  <c r="AM365" i="11"/>
  <c r="P365" i="11"/>
  <c r="AN365" i="11"/>
  <c r="Q365" i="11"/>
  <c r="AO365" i="11"/>
  <c r="R365" i="11"/>
  <c r="AP365" i="11"/>
  <c r="S365" i="11"/>
  <c r="AQ365" i="11"/>
  <c r="T365" i="11"/>
  <c r="AR365" i="11"/>
  <c r="U365" i="11"/>
  <c r="AS365" i="11"/>
  <c r="V365" i="11"/>
  <c r="AT365" i="11"/>
  <c r="W365" i="11"/>
  <c r="AU365" i="11"/>
  <c r="X365" i="11"/>
  <c r="AV365" i="11"/>
  <c r="Y365" i="11"/>
  <c r="AW365" i="11"/>
  <c r="Z365" i="11"/>
  <c r="AC366" i="11"/>
  <c r="F366" i="11"/>
  <c r="AD366" i="11"/>
  <c r="G366" i="11"/>
  <c r="AE366" i="11"/>
  <c r="H366" i="11"/>
  <c r="AF366" i="11"/>
  <c r="I366" i="11"/>
  <c r="AG366" i="11"/>
  <c r="J366" i="11"/>
  <c r="AH366" i="11"/>
  <c r="K366" i="11"/>
  <c r="AI366" i="11"/>
  <c r="L366" i="11"/>
  <c r="AJ366" i="11"/>
  <c r="M366" i="11"/>
  <c r="AK366" i="11"/>
  <c r="N366" i="11"/>
  <c r="AL366" i="11"/>
  <c r="O366" i="11"/>
  <c r="AM366" i="11"/>
  <c r="P366" i="11"/>
  <c r="AN366" i="11"/>
  <c r="Q366" i="11"/>
  <c r="AO366" i="11"/>
  <c r="R366" i="11"/>
  <c r="AP366" i="11"/>
  <c r="S366" i="11"/>
  <c r="AQ366" i="11"/>
  <c r="T366" i="11"/>
  <c r="AR366" i="11"/>
  <c r="U366" i="11"/>
  <c r="AS366" i="11"/>
  <c r="V366" i="11"/>
  <c r="AT366" i="11"/>
  <c r="W366" i="11"/>
  <c r="AU366" i="11"/>
  <c r="X366" i="11"/>
  <c r="AV366" i="11"/>
  <c r="Y366" i="11"/>
  <c r="AW366" i="11"/>
  <c r="Z366" i="11"/>
  <c r="AC367" i="11"/>
  <c r="F367" i="11"/>
  <c r="AD367" i="11"/>
  <c r="G367" i="11"/>
  <c r="AE367" i="11"/>
  <c r="H367" i="11"/>
  <c r="AF367" i="11"/>
  <c r="I367" i="11"/>
  <c r="AG367" i="11"/>
  <c r="J367" i="11"/>
  <c r="AH367" i="11"/>
  <c r="K367" i="11"/>
  <c r="AI367" i="11"/>
  <c r="L367" i="11"/>
  <c r="AJ367" i="11"/>
  <c r="M367" i="11"/>
  <c r="AK367" i="11"/>
  <c r="N367" i="11"/>
  <c r="AL367" i="11"/>
  <c r="O367" i="11"/>
  <c r="AM367" i="11"/>
  <c r="P367" i="11"/>
  <c r="AN367" i="11"/>
  <c r="Q367" i="11"/>
  <c r="AO367" i="11"/>
  <c r="R367" i="11"/>
  <c r="AP367" i="11"/>
  <c r="S367" i="11"/>
  <c r="AQ367" i="11"/>
  <c r="T367" i="11"/>
  <c r="AR367" i="11"/>
  <c r="U367" i="11"/>
  <c r="AS367" i="11"/>
  <c r="V367" i="11"/>
  <c r="AT367" i="11"/>
  <c r="W367" i="11"/>
  <c r="AU367" i="11"/>
  <c r="X367" i="11"/>
  <c r="AV367" i="11"/>
  <c r="Y367" i="11"/>
  <c r="AW367" i="11"/>
  <c r="Z367" i="11"/>
  <c r="AC368" i="11"/>
  <c r="F368" i="11"/>
  <c r="AD368" i="11"/>
  <c r="G368" i="11"/>
  <c r="AE368" i="11"/>
  <c r="H368" i="11"/>
  <c r="AF368" i="11"/>
  <c r="I368" i="11"/>
  <c r="AG368" i="11"/>
  <c r="J368" i="11"/>
  <c r="AH368" i="11"/>
  <c r="K368" i="11"/>
  <c r="AI368" i="11"/>
  <c r="L368" i="11"/>
  <c r="AJ368" i="11"/>
  <c r="M368" i="11"/>
  <c r="AK368" i="11"/>
  <c r="N368" i="11"/>
  <c r="AL368" i="11"/>
  <c r="O368" i="11"/>
  <c r="AM368" i="11"/>
  <c r="P368" i="11"/>
  <c r="AN368" i="11"/>
  <c r="Q368" i="11"/>
  <c r="AO368" i="11"/>
  <c r="R368" i="11"/>
  <c r="AP368" i="11"/>
  <c r="S368" i="11"/>
  <c r="AQ368" i="11"/>
  <c r="T368" i="11"/>
  <c r="AR368" i="11"/>
  <c r="U368" i="11"/>
  <c r="AS368" i="11"/>
  <c r="V368" i="11"/>
  <c r="AT368" i="11"/>
  <c r="W368" i="11"/>
  <c r="AU368" i="11"/>
  <c r="X368" i="11"/>
  <c r="AV368" i="11"/>
  <c r="Y368" i="11"/>
  <c r="AW368" i="11"/>
  <c r="Z368" i="11"/>
  <c r="AC369" i="11"/>
  <c r="F369" i="11"/>
  <c r="AD369" i="11"/>
  <c r="G369" i="11"/>
  <c r="AE369" i="11"/>
  <c r="H369" i="11"/>
  <c r="AF369" i="11"/>
  <c r="I369" i="11"/>
  <c r="AG369" i="11"/>
  <c r="J369" i="11"/>
  <c r="AH369" i="11"/>
  <c r="K369" i="11"/>
  <c r="AI369" i="11"/>
  <c r="L369" i="11"/>
  <c r="AJ369" i="11"/>
  <c r="M369" i="11"/>
  <c r="AK369" i="11"/>
  <c r="N369" i="11"/>
  <c r="AL369" i="11"/>
  <c r="O369" i="11"/>
  <c r="AM369" i="11"/>
  <c r="P369" i="11"/>
  <c r="AN369" i="11"/>
  <c r="Q369" i="11"/>
  <c r="AO369" i="11"/>
  <c r="R369" i="11"/>
  <c r="AP369" i="11"/>
  <c r="S369" i="11"/>
  <c r="AQ369" i="11"/>
  <c r="T369" i="11"/>
  <c r="AR369" i="11"/>
  <c r="U369" i="11"/>
  <c r="AS369" i="11"/>
  <c r="V369" i="11"/>
  <c r="AT369" i="11"/>
  <c r="W369" i="11"/>
  <c r="AU369" i="11"/>
  <c r="X369" i="11"/>
  <c r="AV369" i="11"/>
  <c r="Y369" i="11"/>
  <c r="AW369" i="11"/>
  <c r="Z369" i="11"/>
  <c r="AC370" i="11"/>
  <c r="F370" i="11"/>
  <c r="AD370" i="11"/>
  <c r="G370" i="11"/>
  <c r="AE370" i="11"/>
  <c r="H370" i="11"/>
  <c r="AF370" i="11"/>
  <c r="I370" i="11"/>
  <c r="AG370" i="11"/>
  <c r="J370" i="11"/>
  <c r="AH370" i="11"/>
  <c r="K370" i="11"/>
  <c r="AI370" i="11"/>
  <c r="L370" i="11"/>
  <c r="AJ370" i="11"/>
  <c r="M370" i="11"/>
  <c r="AK370" i="11"/>
  <c r="N370" i="11"/>
  <c r="AL370" i="11"/>
  <c r="O370" i="11"/>
  <c r="AM370" i="11"/>
  <c r="P370" i="11"/>
  <c r="AN370" i="11"/>
  <c r="Q370" i="11"/>
  <c r="AO370" i="11"/>
  <c r="R370" i="11"/>
  <c r="AP370" i="11"/>
  <c r="S370" i="11"/>
  <c r="AQ370" i="11"/>
  <c r="T370" i="11"/>
  <c r="AR370" i="11"/>
  <c r="U370" i="11"/>
  <c r="AS370" i="11"/>
  <c r="V370" i="11"/>
  <c r="AT370" i="11"/>
  <c r="W370" i="11"/>
  <c r="AU370" i="11"/>
  <c r="X370" i="11"/>
  <c r="AV370" i="11"/>
  <c r="Y370" i="11"/>
  <c r="AW370" i="11"/>
  <c r="Z370" i="11"/>
  <c r="AC371" i="11"/>
  <c r="F371" i="11"/>
  <c r="AD371" i="11"/>
  <c r="G371" i="11"/>
  <c r="AE371" i="11"/>
  <c r="H371" i="11"/>
  <c r="AF371" i="11"/>
  <c r="I371" i="11"/>
  <c r="AG371" i="11"/>
  <c r="J371" i="11"/>
  <c r="AH371" i="11"/>
  <c r="K371" i="11"/>
  <c r="AI371" i="11"/>
  <c r="L371" i="11"/>
  <c r="AJ371" i="11"/>
  <c r="M371" i="11"/>
  <c r="AK371" i="11"/>
  <c r="N371" i="11"/>
  <c r="AL371" i="11"/>
  <c r="O371" i="11"/>
  <c r="AM371" i="11"/>
  <c r="P371" i="11"/>
  <c r="AN371" i="11"/>
  <c r="Q371" i="11"/>
  <c r="AO371" i="11"/>
  <c r="R371" i="11"/>
  <c r="AP371" i="11"/>
  <c r="S371" i="11"/>
  <c r="AQ371" i="11"/>
  <c r="T371" i="11"/>
  <c r="AR371" i="11"/>
  <c r="U371" i="11"/>
  <c r="AS371" i="11"/>
  <c r="V371" i="11"/>
  <c r="AT371" i="11"/>
  <c r="W371" i="11"/>
  <c r="AU371" i="11"/>
  <c r="X371" i="11"/>
  <c r="AV371" i="11"/>
  <c r="Y371" i="11"/>
  <c r="AW371" i="11"/>
  <c r="Z371" i="11"/>
  <c r="AC372" i="11"/>
  <c r="F372" i="11"/>
  <c r="AD372" i="11"/>
  <c r="G372" i="11"/>
  <c r="AE372" i="11"/>
  <c r="H372" i="11"/>
  <c r="AF372" i="11"/>
  <c r="I372" i="11"/>
  <c r="AG372" i="11"/>
  <c r="J372" i="11"/>
  <c r="AH372" i="11"/>
  <c r="K372" i="11"/>
  <c r="AI372" i="11"/>
  <c r="L372" i="11"/>
  <c r="AJ372" i="11"/>
  <c r="M372" i="11"/>
  <c r="AK372" i="11"/>
  <c r="N372" i="11"/>
  <c r="AL372" i="11"/>
  <c r="O372" i="11"/>
  <c r="AM372" i="11"/>
  <c r="P372" i="11"/>
  <c r="AN372" i="11"/>
  <c r="Q372" i="11"/>
  <c r="AO372" i="11"/>
  <c r="R372" i="11"/>
  <c r="AP372" i="11"/>
  <c r="S372" i="11"/>
  <c r="AQ372" i="11"/>
  <c r="T372" i="11"/>
  <c r="AR372" i="11"/>
  <c r="U372" i="11"/>
  <c r="AS372" i="11"/>
  <c r="V372" i="11"/>
  <c r="AT372" i="11"/>
  <c r="W372" i="11"/>
  <c r="AU372" i="11"/>
  <c r="X372" i="11"/>
  <c r="AV372" i="11"/>
  <c r="Y372" i="11"/>
  <c r="AW372" i="11"/>
  <c r="Z372" i="11"/>
  <c r="AC373" i="11"/>
  <c r="F373" i="11"/>
  <c r="AD373" i="11"/>
  <c r="G373" i="11"/>
  <c r="AE373" i="11"/>
  <c r="H373" i="11"/>
  <c r="AF373" i="11"/>
  <c r="I373" i="11"/>
  <c r="AG373" i="11"/>
  <c r="J373" i="11"/>
  <c r="AH373" i="11"/>
  <c r="K373" i="11"/>
  <c r="AI373" i="11"/>
  <c r="L373" i="11"/>
  <c r="AJ373" i="11"/>
  <c r="M373" i="11"/>
  <c r="AK373" i="11"/>
  <c r="N373" i="11"/>
  <c r="AL373" i="11"/>
  <c r="O373" i="11"/>
  <c r="AM373" i="11"/>
  <c r="P373" i="11"/>
  <c r="AN373" i="11"/>
  <c r="Q373" i="11"/>
  <c r="AO373" i="11"/>
  <c r="R373" i="11"/>
  <c r="AP373" i="11"/>
  <c r="S373" i="11"/>
  <c r="AQ373" i="11"/>
  <c r="T373" i="11"/>
  <c r="AR373" i="11"/>
  <c r="U373" i="11"/>
  <c r="AS373" i="11"/>
  <c r="V373" i="11"/>
  <c r="AT373" i="11"/>
  <c r="W373" i="11"/>
  <c r="AU373" i="11"/>
  <c r="X373" i="11"/>
  <c r="AV373" i="11"/>
  <c r="Y373" i="11"/>
  <c r="AW373" i="11"/>
  <c r="Z373" i="11"/>
  <c r="AC374" i="11"/>
  <c r="F374" i="11"/>
  <c r="AD374" i="11"/>
  <c r="G374" i="11"/>
  <c r="AE374" i="11"/>
  <c r="H374" i="11"/>
  <c r="AF374" i="11"/>
  <c r="I374" i="11"/>
  <c r="AG374" i="11"/>
  <c r="J374" i="11"/>
  <c r="AH374" i="11"/>
  <c r="K374" i="11"/>
  <c r="AI374" i="11"/>
  <c r="L374" i="11"/>
  <c r="AJ374" i="11"/>
  <c r="M374" i="11"/>
  <c r="AK374" i="11"/>
  <c r="N374" i="11"/>
  <c r="AL374" i="11"/>
  <c r="O374" i="11"/>
  <c r="AM374" i="11"/>
  <c r="P374" i="11"/>
  <c r="AN374" i="11"/>
  <c r="Q374" i="11"/>
  <c r="AO374" i="11"/>
  <c r="R374" i="11"/>
  <c r="AP374" i="11"/>
  <c r="S374" i="11"/>
  <c r="AQ374" i="11"/>
  <c r="T374" i="11"/>
  <c r="AR374" i="11"/>
  <c r="U374" i="11"/>
  <c r="AS374" i="11"/>
  <c r="V374" i="11"/>
  <c r="AT374" i="11"/>
  <c r="W374" i="11"/>
  <c r="AU374" i="11"/>
  <c r="X374" i="11"/>
  <c r="AV374" i="11"/>
  <c r="Y374" i="11"/>
  <c r="AW374" i="11"/>
  <c r="Z374" i="11"/>
  <c r="AC375" i="11"/>
  <c r="F375" i="11"/>
  <c r="AD375" i="11"/>
  <c r="G375" i="11"/>
  <c r="AE375" i="11"/>
  <c r="H375" i="11"/>
  <c r="AF375" i="11"/>
  <c r="I375" i="11"/>
  <c r="AG375" i="11"/>
  <c r="J375" i="11"/>
  <c r="AH375" i="11"/>
  <c r="K375" i="11"/>
  <c r="AI375" i="11"/>
  <c r="L375" i="11"/>
  <c r="AJ375" i="11"/>
  <c r="M375" i="11"/>
  <c r="AK375" i="11"/>
  <c r="N375" i="11"/>
  <c r="AL375" i="11"/>
  <c r="O375" i="11"/>
  <c r="AM375" i="11"/>
  <c r="P375" i="11"/>
  <c r="AN375" i="11"/>
  <c r="Q375" i="11"/>
  <c r="AO375" i="11"/>
  <c r="R375" i="11"/>
  <c r="AP375" i="11"/>
  <c r="S375" i="11"/>
  <c r="AQ375" i="11"/>
  <c r="T375" i="11"/>
  <c r="AR375" i="11"/>
  <c r="U375" i="11"/>
  <c r="AS375" i="11"/>
  <c r="V375" i="11"/>
  <c r="AT375" i="11"/>
  <c r="W375" i="11"/>
  <c r="AU375" i="11"/>
  <c r="X375" i="11"/>
  <c r="AV375" i="11"/>
  <c r="Y375" i="11"/>
  <c r="AW375" i="11"/>
  <c r="Z375" i="11"/>
  <c r="AC376" i="11"/>
  <c r="F376" i="11"/>
  <c r="AD376" i="11"/>
  <c r="G376" i="11"/>
  <c r="AE376" i="11"/>
  <c r="H376" i="11"/>
  <c r="AF376" i="11"/>
  <c r="I376" i="11"/>
  <c r="AG376" i="11"/>
  <c r="J376" i="11"/>
  <c r="AH376" i="11"/>
  <c r="K376" i="11"/>
  <c r="AI376" i="11"/>
  <c r="L376" i="11"/>
  <c r="AJ376" i="11"/>
  <c r="M376" i="11"/>
  <c r="AK376" i="11"/>
  <c r="N376" i="11"/>
  <c r="AL376" i="11"/>
  <c r="O376" i="11"/>
  <c r="AM376" i="11"/>
  <c r="P376" i="11"/>
  <c r="AN376" i="11"/>
  <c r="Q376" i="11"/>
  <c r="AO376" i="11"/>
  <c r="R376" i="11"/>
  <c r="AP376" i="11"/>
  <c r="S376" i="11"/>
  <c r="AQ376" i="11"/>
  <c r="T376" i="11"/>
  <c r="AR376" i="11"/>
  <c r="U376" i="11"/>
  <c r="AS376" i="11"/>
  <c r="V376" i="11"/>
  <c r="AT376" i="11"/>
  <c r="W376" i="11"/>
  <c r="AU376" i="11"/>
  <c r="X376" i="11"/>
  <c r="AV376" i="11"/>
  <c r="Y376" i="11"/>
  <c r="AW376" i="11"/>
  <c r="Z376" i="11"/>
  <c r="AC377" i="11"/>
  <c r="F377" i="11"/>
  <c r="AD377" i="11"/>
  <c r="G377" i="11"/>
  <c r="AE377" i="11"/>
  <c r="H377" i="11"/>
  <c r="AF377" i="11"/>
  <c r="I377" i="11"/>
  <c r="AG377" i="11"/>
  <c r="J377" i="11"/>
  <c r="AH377" i="11"/>
  <c r="K377" i="11"/>
  <c r="AI377" i="11"/>
  <c r="L377" i="11"/>
  <c r="AJ377" i="11"/>
  <c r="M377" i="11"/>
  <c r="AK377" i="11"/>
  <c r="N377" i="11"/>
  <c r="AL377" i="11"/>
  <c r="O377" i="11"/>
  <c r="AM377" i="11"/>
  <c r="P377" i="11"/>
  <c r="AN377" i="11"/>
  <c r="Q377" i="11"/>
  <c r="AO377" i="11"/>
  <c r="R377" i="11"/>
  <c r="AP377" i="11"/>
  <c r="S377" i="11"/>
  <c r="AQ377" i="11"/>
  <c r="T377" i="11"/>
  <c r="AR377" i="11"/>
  <c r="U377" i="11"/>
  <c r="AS377" i="11"/>
  <c r="V377" i="11"/>
  <c r="AT377" i="11"/>
  <c r="W377" i="11"/>
  <c r="AU377" i="11"/>
  <c r="X377" i="11"/>
  <c r="AV377" i="11"/>
  <c r="Y377" i="11"/>
  <c r="AW377" i="11"/>
  <c r="Z377" i="11"/>
  <c r="AC378" i="11"/>
  <c r="F378" i="11"/>
  <c r="AD378" i="11"/>
  <c r="G378" i="11"/>
  <c r="AE378" i="11"/>
  <c r="H378" i="11"/>
  <c r="AF378" i="11"/>
  <c r="I378" i="11"/>
  <c r="AG378" i="11"/>
  <c r="J378" i="11"/>
  <c r="AH378" i="11"/>
  <c r="K378" i="11"/>
  <c r="AI378" i="11"/>
  <c r="L378" i="11"/>
  <c r="AJ378" i="11"/>
  <c r="M378" i="11"/>
  <c r="AK378" i="11"/>
  <c r="N378" i="11"/>
  <c r="AL378" i="11"/>
  <c r="O378" i="11"/>
  <c r="AM378" i="11"/>
  <c r="P378" i="11"/>
  <c r="AN378" i="11"/>
  <c r="Q378" i="11"/>
  <c r="AO378" i="11"/>
  <c r="R378" i="11"/>
  <c r="AP378" i="11"/>
  <c r="S378" i="11"/>
  <c r="AQ378" i="11"/>
  <c r="T378" i="11"/>
  <c r="AR378" i="11"/>
  <c r="U378" i="11"/>
  <c r="AS378" i="11"/>
  <c r="V378" i="11"/>
  <c r="AT378" i="11"/>
  <c r="W378" i="11"/>
  <c r="AU378" i="11"/>
  <c r="X378" i="11"/>
  <c r="AV378" i="11"/>
  <c r="Y378" i="11"/>
  <c r="AW378" i="11"/>
  <c r="Z378" i="11"/>
  <c r="AC379" i="11"/>
  <c r="F379" i="11"/>
  <c r="AD379" i="11"/>
  <c r="G379" i="11"/>
  <c r="AE379" i="11"/>
  <c r="H379" i="11"/>
  <c r="AF379" i="11"/>
  <c r="I379" i="11"/>
  <c r="AG379" i="11"/>
  <c r="J379" i="11"/>
  <c r="AH379" i="11"/>
  <c r="K379" i="11"/>
  <c r="AI379" i="11"/>
  <c r="L379" i="11"/>
  <c r="AJ379" i="11"/>
  <c r="M379" i="11"/>
  <c r="AK379" i="11"/>
  <c r="N379" i="11"/>
  <c r="AL379" i="11"/>
  <c r="O379" i="11"/>
  <c r="AM379" i="11"/>
  <c r="P379" i="11"/>
  <c r="AN379" i="11"/>
  <c r="Q379" i="11"/>
  <c r="AO379" i="11"/>
  <c r="R379" i="11"/>
  <c r="AP379" i="11"/>
  <c r="S379" i="11"/>
  <c r="AQ379" i="11"/>
  <c r="T379" i="11"/>
  <c r="AR379" i="11"/>
  <c r="U379" i="11"/>
  <c r="AS379" i="11"/>
  <c r="V379" i="11"/>
  <c r="AT379" i="11"/>
  <c r="W379" i="11"/>
  <c r="AU379" i="11"/>
  <c r="X379" i="11"/>
  <c r="AV379" i="11"/>
  <c r="Y379" i="11"/>
  <c r="AW379" i="11"/>
  <c r="Z379" i="11"/>
  <c r="AC380" i="11"/>
  <c r="F380" i="11"/>
  <c r="AD380" i="11"/>
  <c r="G380" i="11"/>
  <c r="AE380" i="11"/>
  <c r="H380" i="11"/>
  <c r="AF380" i="11"/>
  <c r="I380" i="11"/>
  <c r="AG380" i="11"/>
  <c r="J380" i="11"/>
  <c r="AH380" i="11"/>
  <c r="K380" i="11"/>
  <c r="AI380" i="11"/>
  <c r="L380" i="11"/>
  <c r="AJ380" i="11"/>
  <c r="M380" i="11"/>
  <c r="AK380" i="11"/>
  <c r="N380" i="11"/>
  <c r="AL380" i="11"/>
  <c r="O380" i="11"/>
  <c r="AM380" i="11"/>
  <c r="P380" i="11"/>
  <c r="AN380" i="11"/>
  <c r="Q380" i="11"/>
  <c r="AO380" i="11"/>
  <c r="R380" i="11"/>
  <c r="AP380" i="11"/>
  <c r="S380" i="11"/>
  <c r="AQ380" i="11"/>
  <c r="T380" i="11"/>
  <c r="AR380" i="11"/>
  <c r="U380" i="11"/>
  <c r="AS380" i="11"/>
  <c r="V380" i="11"/>
  <c r="AT380" i="11"/>
  <c r="W380" i="11"/>
  <c r="AU380" i="11"/>
  <c r="X380" i="11"/>
  <c r="AV380" i="11"/>
  <c r="Y380" i="11"/>
  <c r="AW380" i="11"/>
  <c r="Z380" i="11"/>
  <c r="AC381" i="11"/>
  <c r="F381" i="11"/>
  <c r="AD381" i="11"/>
  <c r="G381" i="11"/>
  <c r="AE381" i="11"/>
  <c r="H381" i="11"/>
  <c r="AF381" i="11"/>
  <c r="I381" i="11"/>
  <c r="AG381" i="11"/>
  <c r="J381" i="11"/>
  <c r="AH381" i="11"/>
  <c r="K381" i="11"/>
  <c r="AI381" i="11"/>
  <c r="L381" i="11"/>
  <c r="AJ381" i="11"/>
  <c r="M381" i="11"/>
  <c r="AK381" i="11"/>
  <c r="N381" i="11"/>
  <c r="AL381" i="11"/>
  <c r="O381" i="11"/>
  <c r="AM381" i="11"/>
  <c r="P381" i="11"/>
  <c r="AN381" i="11"/>
  <c r="Q381" i="11"/>
  <c r="AO381" i="11"/>
  <c r="R381" i="11"/>
  <c r="AP381" i="11"/>
  <c r="S381" i="11"/>
  <c r="AQ381" i="11"/>
  <c r="T381" i="11"/>
  <c r="AR381" i="11"/>
  <c r="U381" i="11"/>
  <c r="AS381" i="11"/>
  <c r="V381" i="11"/>
  <c r="AT381" i="11"/>
  <c r="W381" i="11"/>
  <c r="AU381" i="11"/>
  <c r="X381" i="11"/>
  <c r="AV381" i="11"/>
  <c r="Y381" i="11"/>
  <c r="AW381" i="11"/>
  <c r="Z381" i="11"/>
  <c r="AC382" i="11"/>
  <c r="F382" i="11"/>
  <c r="AD382" i="11"/>
  <c r="G382" i="11"/>
  <c r="AE382" i="11"/>
  <c r="H382" i="11"/>
  <c r="AF382" i="11"/>
  <c r="I382" i="11"/>
  <c r="AG382" i="11"/>
  <c r="J382" i="11"/>
  <c r="AH382" i="11"/>
  <c r="K382" i="11"/>
  <c r="AI382" i="11"/>
  <c r="L382" i="11"/>
  <c r="AJ382" i="11"/>
  <c r="M382" i="11"/>
  <c r="AK382" i="11"/>
  <c r="N382" i="11"/>
  <c r="AL382" i="11"/>
  <c r="O382" i="11"/>
  <c r="AM382" i="11"/>
  <c r="P382" i="11"/>
  <c r="AN382" i="11"/>
  <c r="Q382" i="11"/>
  <c r="AO382" i="11"/>
  <c r="R382" i="11"/>
  <c r="AP382" i="11"/>
  <c r="S382" i="11"/>
  <c r="AQ382" i="11"/>
  <c r="T382" i="11"/>
  <c r="AR382" i="11"/>
  <c r="U382" i="11"/>
  <c r="AS382" i="11"/>
  <c r="V382" i="11"/>
  <c r="AT382" i="11"/>
  <c r="W382" i="11"/>
  <c r="AU382" i="11"/>
  <c r="X382" i="11"/>
  <c r="AV382" i="11"/>
  <c r="Y382" i="11"/>
  <c r="AW382" i="11"/>
  <c r="Z382" i="11"/>
  <c r="AC383" i="11"/>
  <c r="F383" i="11"/>
  <c r="AD383" i="11"/>
  <c r="G383" i="11"/>
  <c r="AE383" i="11"/>
  <c r="H383" i="11"/>
  <c r="AF383" i="11"/>
  <c r="I383" i="11"/>
  <c r="AG383" i="11"/>
  <c r="J383" i="11"/>
  <c r="AH383" i="11"/>
  <c r="K383" i="11"/>
  <c r="AI383" i="11"/>
  <c r="L383" i="11"/>
  <c r="AJ383" i="11"/>
  <c r="M383" i="11"/>
  <c r="AK383" i="11"/>
  <c r="N383" i="11"/>
  <c r="AL383" i="11"/>
  <c r="O383" i="11"/>
  <c r="AM383" i="11"/>
  <c r="P383" i="11"/>
  <c r="AN383" i="11"/>
  <c r="Q383" i="11"/>
  <c r="AO383" i="11"/>
  <c r="R383" i="11"/>
  <c r="AP383" i="11"/>
  <c r="S383" i="11"/>
  <c r="AQ383" i="11"/>
  <c r="T383" i="11"/>
  <c r="AR383" i="11"/>
  <c r="U383" i="11"/>
  <c r="AS383" i="11"/>
  <c r="V383" i="11"/>
  <c r="AT383" i="11"/>
  <c r="W383" i="11"/>
  <c r="AU383" i="11"/>
  <c r="X383" i="11"/>
  <c r="AV383" i="11"/>
  <c r="Y383" i="11"/>
  <c r="AW383" i="11"/>
  <c r="Z383" i="11"/>
  <c r="AC384" i="11"/>
  <c r="F384" i="11"/>
  <c r="AD384" i="11"/>
  <c r="G384" i="11"/>
  <c r="AE384" i="11"/>
  <c r="H384" i="11"/>
  <c r="AF384" i="11"/>
  <c r="I384" i="11"/>
  <c r="AG384" i="11"/>
  <c r="J384" i="11"/>
  <c r="AH384" i="11"/>
  <c r="K384" i="11"/>
  <c r="AI384" i="11"/>
  <c r="L384" i="11"/>
  <c r="AJ384" i="11"/>
  <c r="M384" i="11"/>
  <c r="AK384" i="11"/>
  <c r="N384" i="11"/>
  <c r="AL384" i="11"/>
  <c r="O384" i="11"/>
  <c r="AM384" i="11"/>
  <c r="P384" i="11"/>
  <c r="AN384" i="11"/>
  <c r="Q384" i="11"/>
  <c r="AO384" i="11"/>
  <c r="R384" i="11"/>
  <c r="AP384" i="11"/>
  <c r="S384" i="11"/>
  <c r="AQ384" i="11"/>
  <c r="T384" i="11"/>
  <c r="AR384" i="11"/>
  <c r="U384" i="11"/>
  <c r="AS384" i="11"/>
  <c r="V384" i="11"/>
  <c r="AT384" i="11"/>
  <c r="W384" i="11"/>
  <c r="AU384" i="11"/>
  <c r="X384" i="11"/>
  <c r="AV384" i="11"/>
  <c r="Y384" i="11"/>
  <c r="AW384" i="11"/>
  <c r="Z384" i="11"/>
  <c r="AC385" i="11"/>
  <c r="F385" i="11"/>
  <c r="AD385" i="11"/>
  <c r="G385" i="11"/>
  <c r="AE385" i="11"/>
  <c r="H385" i="11"/>
  <c r="AF385" i="11"/>
  <c r="I385" i="11"/>
  <c r="AG385" i="11"/>
  <c r="J385" i="11"/>
  <c r="AH385" i="11"/>
  <c r="K385" i="11"/>
  <c r="AI385" i="11"/>
  <c r="L385" i="11"/>
  <c r="AJ385" i="11"/>
  <c r="M385" i="11"/>
  <c r="AK385" i="11"/>
  <c r="N385" i="11"/>
  <c r="AL385" i="11"/>
  <c r="O385" i="11"/>
  <c r="AM385" i="11"/>
  <c r="P385" i="11"/>
  <c r="AN385" i="11"/>
  <c r="Q385" i="11"/>
  <c r="AO385" i="11"/>
  <c r="R385" i="11"/>
  <c r="AP385" i="11"/>
  <c r="S385" i="11"/>
  <c r="AQ385" i="11"/>
  <c r="T385" i="11"/>
  <c r="AR385" i="11"/>
  <c r="U385" i="11"/>
  <c r="AS385" i="11"/>
  <c r="V385" i="11"/>
  <c r="AT385" i="11"/>
  <c r="W385" i="11"/>
  <c r="AU385" i="11"/>
  <c r="X385" i="11"/>
  <c r="AV385" i="11"/>
  <c r="Y385" i="11"/>
  <c r="AW385" i="11"/>
  <c r="Z385" i="11"/>
  <c r="AC386" i="11"/>
  <c r="F386" i="11"/>
  <c r="AD386" i="11"/>
  <c r="G386" i="11"/>
  <c r="AE386" i="11"/>
  <c r="H386" i="11"/>
  <c r="AF386" i="11"/>
  <c r="I386" i="11"/>
  <c r="AG386" i="11"/>
  <c r="J386" i="11"/>
  <c r="AH386" i="11"/>
  <c r="K386" i="11"/>
  <c r="AI386" i="11"/>
  <c r="L386" i="11"/>
  <c r="AJ386" i="11"/>
  <c r="M386" i="11"/>
  <c r="AK386" i="11"/>
  <c r="N386" i="11"/>
  <c r="AL386" i="11"/>
  <c r="O386" i="11"/>
  <c r="AM386" i="11"/>
  <c r="P386" i="11"/>
  <c r="AN386" i="11"/>
  <c r="Q386" i="11"/>
  <c r="AO386" i="11"/>
  <c r="R386" i="11"/>
  <c r="AP386" i="11"/>
  <c r="S386" i="11"/>
  <c r="AQ386" i="11"/>
  <c r="T386" i="11"/>
  <c r="AR386" i="11"/>
  <c r="U386" i="11"/>
  <c r="AS386" i="11"/>
  <c r="V386" i="11"/>
  <c r="AT386" i="11"/>
  <c r="W386" i="11"/>
  <c r="AU386" i="11"/>
  <c r="X386" i="11"/>
  <c r="AV386" i="11"/>
  <c r="Y386" i="11"/>
  <c r="AW386" i="11"/>
  <c r="Z386" i="11"/>
  <c r="AC387" i="11"/>
  <c r="F387" i="11"/>
  <c r="AD387" i="11"/>
  <c r="G387" i="11"/>
  <c r="AE387" i="11"/>
  <c r="H387" i="11"/>
  <c r="AF387" i="11"/>
  <c r="I387" i="11"/>
  <c r="AG387" i="11"/>
  <c r="J387" i="11"/>
  <c r="AH387" i="11"/>
  <c r="K387" i="11"/>
  <c r="AI387" i="11"/>
  <c r="L387" i="11"/>
  <c r="AJ387" i="11"/>
  <c r="M387" i="11"/>
  <c r="AK387" i="11"/>
  <c r="N387" i="11"/>
  <c r="AL387" i="11"/>
  <c r="O387" i="11"/>
  <c r="AM387" i="11"/>
  <c r="P387" i="11"/>
  <c r="AN387" i="11"/>
  <c r="Q387" i="11"/>
  <c r="AO387" i="11"/>
  <c r="R387" i="11"/>
  <c r="AP387" i="11"/>
  <c r="S387" i="11"/>
  <c r="AQ387" i="11"/>
  <c r="T387" i="11"/>
  <c r="AR387" i="11"/>
  <c r="U387" i="11"/>
  <c r="AS387" i="11"/>
  <c r="V387" i="11"/>
  <c r="AT387" i="11"/>
  <c r="W387" i="11"/>
  <c r="AU387" i="11"/>
  <c r="X387" i="11"/>
  <c r="AV387" i="11"/>
  <c r="Y387" i="11"/>
  <c r="AW387" i="11"/>
  <c r="Z387" i="11"/>
  <c r="AC388" i="11"/>
  <c r="F388" i="11"/>
  <c r="AD388" i="11"/>
  <c r="G388" i="11"/>
  <c r="AE388" i="11"/>
  <c r="H388" i="11"/>
  <c r="AF388" i="11"/>
  <c r="I388" i="11"/>
  <c r="AG388" i="11"/>
  <c r="J388" i="11"/>
  <c r="AH388" i="11"/>
  <c r="K388" i="11"/>
  <c r="AI388" i="11"/>
  <c r="L388" i="11"/>
  <c r="AJ388" i="11"/>
  <c r="M388" i="11"/>
  <c r="AK388" i="11"/>
  <c r="N388" i="11"/>
  <c r="AL388" i="11"/>
  <c r="O388" i="11"/>
  <c r="AM388" i="11"/>
  <c r="P388" i="11"/>
  <c r="AN388" i="11"/>
  <c r="Q388" i="11"/>
  <c r="AO388" i="11"/>
  <c r="R388" i="11"/>
  <c r="AP388" i="11"/>
  <c r="S388" i="11"/>
  <c r="AQ388" i="11"/>
  <c r="T388" i="11"/>
  <c r="AR388" i="11"/>
  <c r="U388" i="11"/>
  <c r="AS388" i="11"/>
  <c r="V388" i="11"/>
  <c r="AT388" i="11"/>
  <c r="W388" i="11"/>
  <c r="AU388" i="11"/>
  <c r="X388" i="11"/>
  <c r="AV388" i="11"/>
  <c r="Y388" i="11"/>
  <c r="AW388" i="11"/>
  <c r="Z388" i="11"/>
  <c r="AC389" i="11"/>
  <c r="F389" i="11"/>
  <c r="AD389" i="11"/>
  <c r="G389" i="11"/>
  <c r="AE389" i="11"/>
  <c r="H389" i="11"/>
  <c r="AF389" i="11"/>
  <c r="I389" i="11"/>
  <c r="AG389" i="11"/>
  <c r="J389" i="11"/>
  <c r="AH389" i="11"/>
  <c r="K389" i="11"/>
  <c r="AI389" i="11"/>
  <c r="L389" i="11"/>
  <c r="AJ389" i="11"/>
  <c r="M389" i="11"/>
  <c r="AK389" i="11"/>
  <c r="N389" i="11"/>
  <c r="AL389" i="11"/>
  <c r="O389" i="11"/>
  <c r="AM389" i="11"/>
  <c r="P389" i="11"/>
  <c r="AN389" i="11"/>
  <c r="Q389" i="11"/>
  <c r="AO389" i="11"/>
  <c r="R389" i="11"/>
  <c r="AP389" i="11"/>
  <c r="S389" i="11"/>
  <c r="AQ389" i="11"/>
  <c r="T389" i="11"/>
  <c r="AR389" i="11"/>
  <c r="U389" i="11"/>
  <c r="AS389" i="11"/>
  <c r="V389" i="11"/>
  <c r="AT389" i="11"/>
  <c r="W389" i="11"/>
  <c r="AU389" i="11"/>
  <c r="X389" i="11"/>
  <c r="AV389" i="11"/>
  <c r="Y389" i="11"/>
  <c r="AW389" i="11"/>
  <c r="Z389" i="11"/>
  <c r="AC390" i="11"/>
  <c r="F390" i="11"/>
  <c r="AD390" i="11"/>
  <c r="G390" i="11"/>
  <c r="AE390" i="11"/>
  <c r="H390" i="11"/>
  <c r="AF390" i="11"/>
  <c r="I390" i="11"/>
  <c r="AG390" i="11"/>
  <c r="J390" i="11"/>
  <c r="AH390" i="11"/>
  <c r="K390" i="11"/>
  <c r="AI390" i="11"/>
  <c r="L390" i="11"/>
  <c r="AJ390" i="11"/>
  <c r="M390" i="11"/>
  <c r="AK390" i="11"/>
  <c r="N390" i="11"/>
  <c r="AL390" i="11"/>
  <c r="O390" i="11"/>
  <c r="AM390" i="11"/>
  <c r="P390" i="11"/>
  <c r="AN390" i="11"/>
  <c r="Q390" i="11"/>
  <c r="AO390" i="11"/>
  <c r="R390" i="11"/>
  <c r="AP390" i="11"/>
  <c r="S390" i="11"/>
  <c r="AQ390" i="11"/>
  <c r="T390" i="11"/>
  <c r="AR390" i="11"/>
  <c r="U390" i="11"/>
  <c r="AS390" i="11"/>
  <c r="V390" i="11"/>
  <c r="AT390" i="11"/>
  <c r="W390" i="11"/>
  <c r="AU390" i="11"/>
  <c r="X390" i="11"/>
  <c r="AV390" i="11"/>
  <c r="Y390" i="11"/>
  <c r="AW390" i="11"/>
  <c r="Z390" i="11"/>
  <c r="AC391" i="11"/>
  <c r="F391" i="11"/>
  <c r="AD391" i="11"/>
  <c r="G391" i="11"/>
  <c r="AE391" i="11"/>
  <c r="H391" i="11"/>
  <c r="AF391" i="11"/>
  <c r="I391" i="11"/>
  <c r="AG391" i="11"/>
  <c r="J391" i="11"/>
  <c r="AH391" i="11"/>
  <c r="K391" i="11"/>
  <c r="AI391" i="11"/>
  <c r="L391" i="11"/>
  <c r="AJ391" i="11"/>
  <c r="M391" i="11"/>
  <c r="AK391" i="11"/>
  <c r="N391" i="11"/>
  <c r="AL391" i="11"/>
  <c r="O391" i="11"/>
  <c r="AM391" i="11"/>
  <c r="P391" i="11"/>
  <c r="AN391" i="11"/>
  <c r="Q391" i="11"/>
  <c r="AO391" i="11"/>
  <c r="R391" i="11"/>
  <c r="AP391" i="11"/>
  <c r="S391" i="11"/>
  <c r="AQ391" i="11"/>
  <c r="T391" i="11"/>
  <c r="AR391" i="11"/>
  <c r="U391" i="11"/>
  <c r="AS391" i="11"/>
  <c r="V391" i="11"/>
  <c r="AT391" i="11"/>
  <c r="W391" i="11"/>
  <c r="AU391" i="11"/>
  <c r="X391" i="11"/>
  <c r="AV391" i="11"/>
  <c r="Y391" i="11"/>
  <c r="AW391" i="11"/>
  <c r="Z391" i="11"/>
  <c r="AC392" i="11"/>
  <c r="F392" i="11"/>
  <c r="AD392" i="11"/>
  <c r="G392" i="11"/>
  <c r="AE392" i="11"/>
  <c r="H392" i="11"/>
  <c r="AF392" i="11"/>
  <c r="I392" i="11"/>
  <c r="AG392" i="11"/>
  <c r="J392" i="11"/>
  <c r="AH392" i="11"/>
  <c r="K392" i="11"/>
  <c r="AI392" i="11"/>
  <c r="L392" i="11"/>
  <c r="AJ392" i="11"/>
  <c r="M392" i="11"/>
  <c r="AK392" i="11"/>
  <c r="N392" i="11"/>
  <c r="AL392" i="11"/>
  <c r="O392" i="11"/>
  <c r="AM392" i="11"/>
  <c r="P392" i="11"/>
  <c r="AN392" i="11"/>
  <c r="Q392" i="11"/>
  <c r="AO392" i="11"/>
  <c r="R392" i="11"/>
  <c r="AP392" i="11"/>
  <c r="S392" i="11"/>
  <c r="AQ392" i="11"/>
  <c r="T392" i="11"/>
  <c r="AR392" i="11"/>
  <c r="U392" i="11"/>
  <c r="AS392" i="11"/>
  <c r="V392" i="11"/>
  <c r="AT392" i="11"/>
  <c r="W392" i="11"/>
  <c r="AU392" i="11"/>
  <c r="X392" i="11"/>
  <c r="AV392" i="11"/>
  <c r="Y392" i="11"/>
  <c r="AW392" i="11"/>
  <c r="Z392" i="11"/>
  <c r="AC393" i="11"/>
  <c r="F393" i="11"/>
  <c r="AD393" i="11"/>
  <c r="G393" i="11"/>
  <c r="AE393" i="11"/>
  <c r="H393" i="11"/>
  <c r="AF393" i="11"/>
  <c r="I393" i="11"/>
  <c r="AG393" i="11"/>
  <c r="J393" i="11"/>
  <c r="AH393" i="11"/>
  <c r="K393" i="11"/>
  <c r="AI393" i="11"/>
  <c r="L393" i="11"/>
  <c r="AJ393" i="11"/>
  <c r="M393" i="11"/>
  <c r="AK393" i="11"/>
  <c r="N393" i="11"/>
  <c r="AL393" i="11"/>
  <c r="O393" i="11"/>
  <c r="AM393" i="11"/>
  <c r="P393" i="11"/>
  <c r="AN393" i="11"/>
  <c r="Q393" i="11"/>
  <c r="AO393" i="11"/>
  <c r="R393" i="11"/>
  <c r="AP393" i="11"/>
  <c r="S393" i="11"/>
  <c r="AQ393" i="11"/>
  <c r="T393" i="11"/>
  <c r="AR393" i="11"/>
  <c r="U393" i="11"/>
  <c r="AS393" i="11"/>
  <c r="V393" i="11"/>
  <c r="AT393" i="11"/>
  <c r="W393" i="11"/>
  <c r="AU393" i="11"/>
  <c r="X393" i="11"/>
  <c r="AV393" i="11"/>
  <c r="Y393" i="11"/>
  <c r="AW393" i="11"/>
  <c r="Z393" i="11"/>
  <c r="AC394" i="11"/>
  <c r="F394" i="11"/>
  <c r="AD394" i="11"/>
  <c r="G394" i="11"/>
  <c r="AE394" i="11"/>
  <c r="H394" i="11"/>
  <c r="AF394" i="11"/>
  <c r="I394" i="11"/>
  <c r="AG394" i="11"/>
  <c r="J394" i="11"/>
  <c r="AH394" i="11"/>
  <c r="K394" i="11"/>
  <c r="AI394" i="11"/>
  <c r="L394" i="11"/>
  <c r="AJ394" i="11"/>
  <c r="M394" i="11"/>
  <c r="AK394" i="11"/>
  <c r="N394" i="11"/>
  <c r="AL394" i="11"/>
  <c r="O394" i="11"/>
  <c r="AM394" i="11"/>
  <c r="P394" i="11"/>
  <c r="AN394" i="11"/>
  <c r="Q394" i="11"/>
  <c r="AO394" i="11"/>
  <c r="R394" i="11"/>
  <c r="AP394" i="11"/>
  <c r="S394" i="11"/>
  <c r="AQ394" i="11"/>
  <c r="T394" i="11"/>
  <c r="AR394" i="11"/>
  <c r="U394" i="11"/>
  <c r="AS394" i="11"/>
  <c r="V394" i="11"/>
  <c r="AT394" i="11"/>
  <c r="W394" i="11"/>
  <c r="AU394" i="11"/>
  <c r="X394" i="11"/>
  <c r="AV394" i="11"/>
  <c r="Y394" i="11"/>
  <c r="AW394" i="11"/>
  <c r="Z394" i="11"/>
  <c r="AC395" i="11"/>
  <c r="F395" i="11"/>
  <c r="AD395" i="11"/>
  <c r="G395" i="11"/>
  <c r="AE395" i="11"/>
  <c r="H395" i="11"/>
  <c r="AF395" i="11"/>
  <c r="I395" i="11"/>
  <c r="AG395" i="11"/>
  <c r="J395" i="11"/>
  <c r="AH395" i="11"/>
  <c r="K395" i="11"/>
  <c r="AI395" i="11"/>
  <c r="L395" i="11"/>
  <c r="AJ395" i="11"/>
  <c r="M395" i="11"/>
  <c r="AK395" i="11"/>
  <c r="N395" i="11"/>
  <c r="AL395" i="11"/>
  <c r="O395" i="11"/>
  <c r="AM395" i="11"/>
  <c r="P395" i="11"/>
  <c r="AN395" i="11"/>
  <c r="Q395" i="11"/>
  <c r="AO395" i="11"/>
  <c r="R395" i="11"/>
  <c r="AP395" i="11"/>
  <c r="S395" i="11"/>
  <c r="AQ395" i="11"/>
  <c r="T395" i="11"/>
  <c r="AR395" i="11"/>
  <c r="U395" i="11"/>
  <c r="AS395" i="11"/>
  <c r="V395" i="11"/>
  <c r="AT395" i="11"/>
  <c r="W395" i="11"/>
  <c r="AU395" i="11"/>
  <c r="X395" i="11"/>
  <c r="AV395" i="11"/>
  <c r="Y395" i="11"/>
  <c r="AW395" i="11"/>
  <c r="Z395" i="11"/>
  <c r="AC396" i="11"/>
  <c r="F396" i="11"/>
  <c r="AD396" i="11"/>
  <c r="G396" i="11"/>
  <c r="AE396" i="11"/>
  <c r="H396" i="11"/>
  <c r="AF396" i="11"/>
  <c r="I396" i="11"/>
  <c r="AG396" i="11"/>
  <c r="J396" i="11"/>
  <c r="AH396" i="11"/>
  <c r="K396" i="11"/>
  <c r="AI396" i="11"/>
  <c r="L396" i="11"/>
  <c r="AJ396" i="11"/>
  <c r="M396" i="11"/>
  <c r="AK396" i="11"/>
  <c r="N396" i="11"/>
  <c r="AL396" i="11"/>
  <c r="O396" i="11"/>
  <c r="AM396" i="11"/>
  <c r="P396" i="11"/>
  <c r="AN396" i="11"/>
  <c r="Q396" i="11"/>
  <c r="AO396" i="11"/>
  <c r="R396" i="11"/>
  <c r="AP396" i="11"/>
  <c r="S396" i="11"/>
  <c r="AQ396" i="11"/>
  <c r="T396" i="11"/>
  <c r="AR396" i="11"/>
  <c r="U396" i="11"/>
  <c r="AS396" i="11"/>
  <c r="V396" i="11"/>
  <c r="AT396" i="11"/>
  <c r="W396" i="11"/>
  <c r="AU396" i="11"/>
  <c r="X396" i="11"/>
  <c r="AV396" i="11"/>
  <c r="Y396" i="11"/>
  <c r="AW396" i="11"/>
  <c r="Z396" i="11"/>
  <c r="AC397" i="11"/>
  <c r="F397" i="11"/>
  <c r="AD397" i="11"/>
  <c r="G397" i="11"/>
  <c r="AE397" i="11"/>
  <c r="H397" i="11"/>
  <c r="AF397" i="11"/>
  <c r="I397" i="11"/>
  <c r="AG397" i="11"/>
  <c r="J397" i="11"/>
  <c r="AH397" i="11"/>
  <c r="K397" i="11"/>
  <c r="AI397" i="11"/>
  <c r="L397" i="11"/>
  <c r="AJ397" i="11"/>
  <c r="M397" i="11"/>
  <c r="AK397" i="11"/>
  <c r="N397" i="11"/>
  <c r="AL397" i="11"/>
  <c r="O397" i="11"/>
  <c r="AM397" i="11"/>
  <c r="P397" i="11"/>
  <c r="AN397" i="11"/>
  <c r="Q397" i="11"/>
  <c r="AO397" i="11"/>
  <c r="R397" i="11"/>
  <c r="AP397" i="11"/>
  <c r="S397" i="11"/>
  <c r="AQ397" i="11"/>
  <c r="T397" i="11"/>
  <c r="AR397" i="11"/>
  <c r="U397" i="11"/>
  <c r="AS397" i="11"/>
  <c r="V397" i="11"/>
  <c r="AT397" i="11"/>
  <c r="W397" i="11"/>
  <c r="AU397" i="11"/>
  <c r="X397" i="11"/>
  <c r="AV397" i="11"/>
  <c r="Y397" i="11"/>
  <c r="AW397" i="11"/>
  <c r="Z397" i="11"/>
  <c r="AC398" i="11"/>
  <c r="F398" i="11"/>
  <c r="AD398" i="11"/>
  <c r="G398" i="11"/>
  <c r="AE398" i="11"/>
  <c r="H398" i="11"/>
  <c r="AF398" i="11"/>
  <c r="I398" i="11"/>
  <c r="AG398" i="11"/>
  <c r="J398" i="11"/>
  <c r="AH398" i="11"/>
  <c r="K398" i="11"/>
  <c r="AI398" i="11"/>
  <c r="L398" i="11"/>
  <c r="AJ398" i="11"/>
  <c r="M398" i="11"/>
  <c r="AK398" i="11"/>
  <c r="N398" i="11"/>
  <c r="AL398" i="11"/>
  <c r="O398" i="11"/>
  <c r="AM398" i="11"/>
  <c r="P398" i="11"/>
  <c r="AN398" i="11"/>
  <c r="Q398" i="11"/>
  <c r="AO398" i="11"/>
  <c r="R398" i="11"/>
  <c r="AP398" i="11"/>
  <c r="S398" i="11"/>
  <c r="AQ398" i="11"/>
  <c r="T398" i="11"/>
  <c r="AR398" i="11"/>
  <c r="U398" i="11"/>
  <c r="AS398" i="11"/>
  <c r="V398" i="11"/>
  <c r="AT398" i="11"/>
  <c r="W398" i="11"/>
  <c r="AU398" i="11"/>
  <c r="X398" i="11"/>
  <c r="AV398" i="11"/>
  <c r="Y398" i="11"/>
  <c r="AW398" i="11"/>
  <c r="Z398" i="11"/>
  <c r="AC399" i="11"/>
  <c r="F399" i="11"/>
  <c r="AD399" i="11"/>
  <c r="G399" i="11"/>
  <c r="AE399" i="11"/>
  <c r="H399" i="11"/>
  <c r="AF399" i="11"/>
  <c r="I399" i="11"/>
  <c r="AG399" i="11"/>
  <c r="J399" i="11"/>
  <c r="AH399" i="11"/>
  <c r="K399" i="11"/>
  <c r="AI399" i="11"/>
  <c r="L399" i="11"/>
  <c r="AJ399" i="11"/>
  <c r="M399" i="11"/>
  <c r="AK399" i="11"/>
  <c r="N399" i="11"/>
  <c r="AL399" i="11"/>
  <c r="O399" i="11"/>
  <c r="AM399" i="11"/>
  <c r="P399" i="11"/>
  <c r="AN399" i="11"/>
  <c r="Q399" i="11"/>
  <c r="AO399" i="11"/>
  <c r="R399" i="11"/>
  <c r="AP399" i="11"/>
  <c r="S399" i="11"/>
  <c r="AQ399" i="11"/>
  <c r="T399" i="11"/>
  <c r="AR399" i="11"/>
  <c r="U399" i="11"/>
  <c r="AS399" i="11"/>
  <c r="V399" i="11"/>
  <c r="AT399" i="11"/>
  <c r="W399" i="11"/>
  <c r="AU399" i="11"/>
  <c r="X399" i="11"/>
  <c r="AV399" i="11"/>
  <c r="Y399" i="11"/>
  <c r="AW399" i="11"/>
  <c r="Z399" i="11"/>
  <c r="AC400" i="11"/>
  <c r="F400" i="11"/>
  <c r="AD400" i="11"/>
  <c r="G400" i="11"/>
  <c r="AE400" i="11"/>
  <c r="H400" i="11"/>
  <c r="AF400" i="11"/>
  <c r="I400" i="11"/>
  <c r="AG400" i="11"/>
  <c r="J400" i="11"/>
  <c r="AH400" i="11"/>
  <c r="K400" i="11"/>
  <c r="AI400" i="11"/>
  <c r="L400" i="11"/>
  <c r="AJ400" i="11"/>
  <c r="M400" i="11"/>
  <c r="AK400" i="11"/>
  <c r="N400" i="11"/>
  <c r="AL400" i="11"/>
  <c r="O400" i="11"/>
  <c r="AM400" i="11"/>
  <c r="P400" i="11"/>
  <c r="AN400" i="11"/>
  <c r="Q400" i="11"/>
  <c r="AO400" i="11"/>
  <c r="R400" i="11"/>
  <c r="AP400" i="11"/>
  <c r="S400" i="11"/>
  <c r="AQ400" i="11"/>
  <c r="T400" i="11"/>
  <c r="AR400" i="11"/>
  <c r="U400" i="11"/>
  <c r="AS400" i="11"/>
  <c r="V400" i="11"/>
  <c r="AT400" i="11"/>
  <c r="W400" i="11"/>
  <c r="AU400" i="11"/>
  <c r="X400" i="11"/>
  <c r="AV400" i="11"/>
  <c r="Y400" i="11"/>
  <c r="AW400" i="11"/>
  <c r="Z400" i="11"/>
  <c r="AC401" i="11"/>
  <c r="F401" i="11"/>
  <c r="AD401" i="11"/>
  <c r="G401" i="11"/>
  <c r="AE401" i="11"/>
  <c r="H401" i="11"/>
  <c r="AF401" i="11"/>
  <c r="I401" i="11"/>
  <c r="AG401" i="11"/>
  <c r="J401" i="11"/>
  <c r="AH401" i="11"/>
  <c r="K401" i="11"/>
  <c r="AI401" i="11"/>
  <c r="L401" i="11"/>
  <c r="AJ401" i="11"/>
  <c r="M401" i="11"/>
  <c r="AK401" i="11"/>
  <c r="N401" i="11"/>
  <c r="AL401" i="11"/>
  <c r="O401" i="11"/>
  <c r="AM401" i="11"/>
  <c r="P401" i="11"/>
  <c r="AN401" i="11"/>
  <c r="Q401" i="11"/>
  <c r="AO401" i="11"/>
  <c r="R401" i="11"/>
  <c r="AP401" i="11"/>
  <c r="S401" i="11"/>
  <c r="AQ401" i="11"/>
  <c r="T401" i="11"/>
  <c r="AR401" i="11"/>
  <c r="U401" i="11"/>
  <c r="AS401" i="11"/>
  <c r="V401" i="11"/>
  <c r="AT401" i="11"/>
  <c r="W401" i="11"/>
  <c r="AU401" i="11"/>
  <c r="X401" i="11"/>
  <c r="AV401" i="11"/>
  <c r="Y401" i="11"/>
  <c r="AW401" i="11"/>
  <c r="Z401" i="11"/>
  <c r="AC402" i="11"/>
  <c r="F402" i="11"/>
  <c r="AD402" i="11"/>
  <c r="G402" i="11"/>
  <c r="AE402" i="11"/>
  <c r="H402" i="11"/>
  <c r="AF402" i="11"/>
  <c r="I402" i="11"/>
  <c r="AG402" i="11"/>
  <c r="J402" i="11"/>
  <c r="AH402" i="11"/>
  <c r="K402" i="11"/>
  <c r="AI402" i="11"/>
  <c r="L402" i="11"/>
  <c r="AJ402" i="11"/>
  <c r="M402" i="11"/>
  <c r="AK402" i="11"/>
  <c r="N402" i="11"/>
  <c r="AL402" i="11"/>
  <c r="O402" i="11"/>
  <c r="AM402" i="11"/>
  <c r="P402" i="11"/>
  <c r="AN402" i="11"/>
  <c r="Q402" i="11"/>
  <c r="AO402" i="11"/>
  <c r="R402" i="11"/>
  <c r="AP402" i="11"/>
  <c r="S402" i="11"/>
  <c r="AQ402" i="11"/>
  <c r="T402" i="11"/>
  <c r="AR402" i="11"/>
  <c r="U402" i="11"/>
  <c r="AS402" i="11"/>
  <c r="V402" i="11"/>
  <c r="AT402" i="11"/>
  <c r="W402" i="11"/>
  <c r="AU402" i="11"/>
  <c r="X402" i="11"/>
  <c r="AV402" i="11"/>
  <c r="Y402" i="11"/>
  <c r="AW402" i="11"/>
  <c r="Z402" i="11"/>
  <c r="AC403" i="11"/>
  <c r="F403" i="11"/>
  <c r="AD403" i="11"/>
  <c r="G403" i="11"/>
  <c r="AE403" i="11"/>
  <c r="H403" i="11"/>
  <c r="AF403" i="11"/>
  <c r="I403" i="11"/>
  <c r="AG403" i="11"/>
  <c r="J403" i="11"/>
  <c r="AH403" i="11"/>
  <c r="K403" i="11"/>
  <c r="AI403" i="11"/>
  <c r="L403" i="11"/>
  <c r="AJ403" i="11"/>
  <c r="M403" i="11"/>
  <c r="AK403" i="11"/>
  <c r="N403" i="11"/>
  <c r="AL403" i="11"/>
  <c r="O403" i="11"/>
  <c r="AM403" i="11"/>
  <c r="P403" i="11"/>
  <c r="AN403" i="11"/>
  <c r="Q403" i="11"/>
  <c r="AO403" i="11"/>
  <c r="R403" i="11"/>
  <c r="AP403" i="11"/>
  <c r="S403" i="11"/>
  <c r="AQ403" i="11"/>
  <c r="T403" i="11"/>
  <c r="AR403" i="11"/>
  <c r="U403" i="11"/>
  <c r="AS403" i="11"/>
  <c r="V403" i="11"/>
  <c r="AT403" i="11"/>
  <c r="W403" i="11"/>
  <c r="AU403" i="11"/>
  <c r="X403" i="11"/>
  <c r="AV403" i="11"/>
  <c r="Y403" i="11"/>
  <c r="AW403" i="11"/>
  <c r="Z403" i="11"/>
  <c r="AC404" i="11"/>
  <c r="F404" i="11"/>
  <c r="AD404" i="11"/>
  <c r="G404" i="11"/>
  <c r="AE404" i="11"/>
  <c r="H404" i="11"/>
  <c r="AF404" i="11"/>
  <c r="I404" i="11"/>
  <c r="AG404" i="11"/>
  <c r="J404" i="11"/>
  <c r="AH404" i="11"/>
  <c r="K404" i="11"/>
  <c r="AI404" i="11"/>
  <c r="L404" i="11"/>
  <c r="AJ404" i="11"/>
  <c r="M404" i="11"/>
  <c r="AK404" i="11"/>
  <c r="N404" i="11"/>
  <c r="AL404" i="11"/>
  <c r="O404" i="11"/>
  <c r="AM404" i="11"/>
  <c r="P404" i="11"/>
  <c r="AN404" i="11"/>
  <c r="Q404" i="11"/>
  <c r="AO404" i="11"/>
  <c r="R404" i="11"/>
  <c r="AP404" i="11"/>
  <c r="S404" i="11"/>
  <c r="AQ404" i="11"/>
  <c r="T404" i="11"/>
  <c r="AR404" i="11"/>
  <c r="U404" i="11"/>
  <c r="AS404" i="11"/>
  <c r="V404" i="11"/>
  <c r="AT404" i="11"/>
  <c r="W404" i="11"/>
  <c r="AU404" i="11"/>
  <c r="X404" i="11"/>
  <c r="AV404" i="11"/>
  <c r="Y404" i="11"/>
  <c r="AW404" i="11"/>
  <c r="Z404" i="11"/>
  <c r="AC405" i="11"/>
  <c r="F405" i="11"/>
  <c r="AD405" i="11"/>
  <c r="G405" i="11"/>
  <c r="AE405" i="11"/>
  <c r="H405" i="11"/>
  <c r="AF405" i="11"/>
  <c r="I405" i="11"/>
  <c r="AG405" i="11"/>
  <c r="J405" i="11"/>
  <c r="AH405" i="11"/>
  <c r="K405" i="11"/>
  <c r="AI405" i="11"/>
  <c r="L405" i="11"/>
  <c r="AJ405" i="11"/>
  <c r="M405" i="11"/>
  <c r="AK405" i="11"/>
  <c r="N405" i="11"/>
  <c r="AL405" i="11"/>
  <c r="O405" i="11"/>
  <c r="AM405" i="11"/>
  <c r="P405" i="11"/>
  <c r="AN405" i="11"/>
  <c r="Q405" i="11"/>
  <c r="AO405" i="11"/>
  <c r="R405" i="11"/>
  <c r="AP405" i="11"/>
  <c r="S405" i="11"/>
  <c r="AQ405" i="11"/>
  <c r="T405" i="11"/>
  <c r="AR405" i="11"/>
  <c r="U405" i="11"/>
  <c r="AS405" i="11"/>
  <c r="V405" i="11"/>
  <c r="AT405" i="11"/>
  <c r="W405" i="11"/>
  <c r="AU405" i="11"/>
  <c r="X405" i="11"/>
  <c r="AV405" i="11"/>
  <c r="Y405" i="11"/>
  <c r="AW405" i="11"/>
  <c r="Z405" i="11"/>
  <c r="AC406" i="11"/>
  <c r="F406" i="11"/>
  <c r="AD406" i="11"/>
  <c r="G406" i="11"/>
  <c r="AE406" i="11"/>
  <c r="H406" i="11"/>
  <c r="AF406" i="11"/>
  <c r="I406" i="11"/>
  <c r="AG406" i="11"/>
  <c r="J406" i="11"/>
  <c r="AH406" i="11"/>
  <c r="K406" i="11"/>
  <c r="AI406" i="11"/>
  <c r="L406" i="11"/>
  <c r="AJ406" i="11"/>
  <c r="M406" i="11"/>
  <c r="AK406" i="11"/>
  <c r="N406" i="11"/>
  <c r="AL406" i="11"/>
  <c r="O406" i="11"/>
  <c r="AM406" i="11"/>
  <c r="P406" i="11"/>
  <c r="AN406" i="11"/>
  <c r="Q406" i="11"/>
  <c r="AO406" i="11"/>
  <c r="R406" i="11"/>
  <c r="AP406" i="11"/>
  <c r="S406" i="11"/>
  <c r="AQ406" i="11"/>
  <c r="T406" i="11"/>
  <c r="AR406" i="11"/>
  <c r="U406" i="11"/>
  <c r="AS406" i="11"/>
  <c r="V406" i="11"/>
  <c r="AT406" i="11"/>
  <c r="W406" i="11"/>
  <c r="AU406" i="11"/>
  <c r="X406" i="11"/>
  <c r="AV406" i="11"/>
  <c r="Y406" i="11"/>
  <c r="AW406" i="11"/>
  <c r="Z406" i="11"/>
  <c r="AC407" i="11"/>
  <c r="F407" i="11"/>
  <c r="AD407" i="11"/>
  <c r="G407" i="11"/>
  <c r="AE407" i="11"/>
  <c r="H407" i="11"/>
  <c r="AF407" i="11"/>
  <c r="I407" i="11"/>
  <c r="AG407" i="11"/>
  <c r="J407" i="11"/>
  <c r="AH407" i="11"/>
  <c r="K407" i="11"/>
  <c r="AI407" i="11"/>
  <c r="L407" i="11"/>
  <c r="AJ407" i="11"/>
  <c r="M407" i="11"/>
  <c r="AK407" i="11"/>
  <c r="N407" i="11"/>
  <c r="AL407" i="11"/>
  <c r="O407" i="11"/>
  <c r="AM407" i="11"/>
  <c r="P407" i="11"/>
  <c r="AN407" i="11"/>
  <c r="Q407" i="11"/>
  <c r="AO407" i="11"/>
  <c r="R407" i="11"/>
  <c r="AP407" i="11"/>
  <c r="S407" i="11"/>
  <c r="AQ407" i="11"/>
  <c r="T407" i="11"/>
  <c r="AR407" i="11"/>
  <c r="U407" i="11"/>
  <c r="AS407" i="11"/>
  <c r="V407" i="11"/>
  <c r="AT407" i="11"/>
  <c r="W407" i="11"/>
  <c r="AU407" i="11"/>
  <c r="X407" i="11"/>
  <c r="AV407" i="11"/>
  <c r="Y407" i="11"/>
  <c r="AW407" i="11"/>
  <c r="Z407" i="11"/>
  <c r="AC408" i="11"/>
  <c r="F408" i="11"/>
  <c r="AD408" i="11"/>
  <c r="G408" i="11"/>
  <c r="AE408" i="11"/>
  <c r="H408" i="11"/>
  <c r="AF408" i="11"/>
  <c r="I408" i="11"/>
  <c r="AG408" i="11"/>
  <c r="J408" i="11"/>
  <c r="AH408" i="11"/>
  <c r="K408" i="11"/>
  <c r="AI408" i="11"/>
  <c r="L408" i="11"/>
  <c r="AJ408" i="11"/>
  <c r="M408" i="11"/>
  <c r="AK408" i="11"/>
  <c r="N408" i="11"/>
  <c r="AL408" i="11"/>
  <c r="O408" i="11"/>
  <c r="AM408" i="11"/>
  <c r="P408" i="11"/>
  <c r="AN408" i="11"/>
  <c r="Q408" i="11"/>
  <c r="AO408" i="11"/>
  <c r="R408" i="11"/>
  <c r="AP408" i="11"/>
  <c r="S408" i="11"/>
  <c r="AQ408" i="11"/>
  <c r="T408" i="11"/>
  <c r="AR408" i="11"/>
  <c r="U408" i="11"/>
  <c r="AS408" i="11"/>
  <c r="V408" i="11"/>
  <c r="AT408" i="11"/>
  <c r="W408" i="11"/>
  <c r="AU408" i="11"/>
  <c r="X408" i="11"/>
  <c r="AV408" i="11"/>
  <c r="Y408" i="11"/>
  <c r="AW408" i="11"/>
  <c r="Z408" i="11"/>
  <c r="AC409" i="11"/>
  <c r="F409" i="11"/>
  <c r="AD409" i="11"/>
  <c r="G409" i="11"/>
  <c r="AE409" i="11"/>
  <c r="H409" i="11"/>
  <c r="AF409" i="11"/>
  <c r="I409" i="11"/>
  <c r="AG409" i="11"/>
  <c r="J409" i="11"/>
  <c r="AH409" i="11"/>
  <c r="K409" i="11"/>
  <c r="AI409" i="11"/>
  <c r="L409" i="11"/>
  <c r="AJ409" i="11"/>
  <c r="M409" i="11"/>
  <c r="AK409" i="11"/>
  <c r="N409" i="11"/>
  <c r="AL409" i="11"/>
  <c r="O409" i="11"/>
  <c r="AM409" i="11"/>
  <c r="P409" i="11"/>
  <c r="AN409" i="11"/>
  <c r="Q409" i="11"/>
  <c r="AO409" i="11"/>
  <c r="R409" i="11"/>
  <c r="AP409" i="11"/>
  <c r="S409" i="11"/>
  <c r="AQ409" i="11"/>
  <c r="T409" i="11"/>
  <c r="AR409" i="11"/>
  <c r="U409" i="11"/>
  <c r="AS409" i="11"/>
  <c r="V409" i="11"/>
  <c r="AT409" i="11"/>
  <c r="W409" i="11"/>
  <c r="AU409" i="11"/>
  <c r="X409" i="11"/>
  <c r="AV409" i="11"/>
  <c r="Y409" i="11"/>
  <c r="AW409" i="11"/>
  <c r="Z409" i="11"/>
  <c r="AC410" i="11"/>
  <c r="F410" i="11"/>
  <c r="AD410" i="11"/>
  <c r="G410" i="11"/>
  <c r="AE410" i="11"/>
  <c r="H410" i="11"/>
  <c r="AF410" i="11"/>
  <c r="I410" i="11"/>
  <c r="AG410" i="11"/>
  <c r="J410" i="11"/>
  <c r="AH410" i="11"/>
  <c r="K410" i="11"/>
  <c r="AI410" i="11"/>
  <c r="L410" i="11"/>
  <c r="AJ410" i="11"/>
  <c r="M410" i="11"/>
  <c r="AK410" i="11"/>
  <c r="N410" i="11"/>
  <c r="AL410" i="11"/>
  <c r="O410" i="11"/>
  <c r="AM410" i="11"/>
  <c r="P410" i="11"/>
  <c r="AN410" i="11"/>
  <c r="Q410" i="11"/>
  <c r="AO410" i="11"/>
  <c r="R410" i="11"/>
  <c r="AP410" i="11"/>
  <c r="S410" i="11"/>
  <c r="AQ410" i="11"/>
  <c r="T410" i="11"/>
  <c r="AR410" i="11"/>
  <c r="U410" i="11"/>
  <c r="AS410" i="11"/>
  <c r="V410" i="11"/>
  <c r="AT410" i="11"/>
  <c r="W410" i="11"/>
  <c r="AU410" i="11"/>
  <c r="X410" i="11"/>
  <c r="AV410" i="11"/>
  <c r="Y410" i="11"/>
  <c r="AW410" i="11"/>
  <c r="Z410" i="11"/>
  <c r="AC411" i="11"/>
  <c r="F411" i="11"/>
  <c r="AD411" i="11"/>
  <c r="G411" i="11"/>
  <c r="AE411" i="11"/>
  <c r="H411" i="11"/>
  <c r="AF411" i="11"/>
  <c r="I411" i="11"/>
  <c r="AG411" i="11"/>
  <c r="J411" i="11"/>
  <c r="AH411" i="11"/>
  <c r="K411" i="11"/>
  <c r="AI411" i="11"/>
  <c r="L411" i="11"/>
  <c r="AJ411" i="11"/>
  <c r="M411" i="11"/>
  <c r="AK411" i="11"/>
  <c r="N411" i="11"/>
  <c r="AL411" i="11"/>
  <c r="O411" i="11"/>
  <c r="AM411" i="11"/>
  <c r="P411" i="11"/>
  <c r="AN411" i="11"/>
  <c r="Q411" i="11"/>
  <c r="AO411" i="11"/>
  <c r="R411" i="11"/>
  <c r="AP411" i="11"/>
  <c r="S411" i="11"/>
  <c r="AQ411" i="11"/>
  <c r="T411" i="11"/>
  <c r="AR411" i="11"/>
  <c r="U411" i="11"/>
  <c r="AS411" i="11"/>
  <c r="V411" i="11"/>
  <c r="AT411" i="11"/>
  <c r="W411" i="11"/>
  <c r="AU411" i="11"/>
  <c r="X411" i="11"/>
  <c r="AV411" i="11"/>
  <c r="Y411" i="11"/>
  <c r="AW411" i="11"/>
  <c r="Z411" i="11"/>
  <c r="AC412" i="11"/>
  <c r="F412" i="11"/>
  <c r="AD412" i="11"/>
  <c r="G412" i="11"/>
  <c r="AE412" i="11"/>
  <c r="H412" i="11"/>
  <c r="AF412" i="11"/>
  <c r="I412" i="11"/>
  <c r="AG412" i="11"/>
  <c r="J412" i="11"/>
  <c r="AH412" i="11"/>
  <c r="K412" i="11"/>
  <c r="AI412" i="11"/>
  <c r="L412" i="11"/>
  <c r="AJ412" i="11"/>
  <c r="M412" i="11"/>
  <c r="AK412" i="11"/>
  <c r="N412" i="11"/>
  <c r="AL412" i="11"/>
  <c r="O412" i="11"/>
  <c r="AM412" i="11"/>
  <c r="P412" i="11"/>
  <c r="AN412" i="11"/>
  <c r="Q412" i="11"/>
  <c r="AO412" i="11"/>
  <c r="R412" i="11"/>
  <c r="AP412" i="11"/>
  <c r="S412" i="11"/>
  <c r="AQ412" i="11"/>
  <c r="T412" i="11"/>
  <c r="AR412" i="11"/>
  <c r="U412" i="11"/>
  <c r="AS412" i="11"/>
  <c r="V412" i="11"/>
  <c r="AT412" i="11"/>
  <c r="W412" i="11"/>
  <c r="AU412" i="11"/>
  <c r="X412" i="11"/>
  <c r="AV412" i="11"/>
  <c r="Y412" i="11"/>
  <c r="AW412" i="11"/>
  <c r="Z412" i="11"/>
  <c r="AC413" i="11"/>
  <c r="F413" i="11"/>
  <c r="AD413" i="11"/>
  <c r="G413" i="11"/>
  <c r="AE413" i="11"/>
  <c r="H413" i="11"/>
  <c r="AF413" i="11"/>
  <c r="I413" i="11"/>
  <c r="AG413" i="11"/>
  <c r="J413" i="11"/>
  <c r="AH413" i="11"/>
  <c r="K413" i="11"/>
  <c r="AI413" i="11"/>
  <c r="L413" i="11"/>
  <c r="AJ413" i="11"/>
  <c r="M413" i="11"/>
  <c r="AK413" i="11"/>
  <c r="N413" i="11"/>
  <c r="AL413" i="11"/>
  <c r="O413" i="11"/>
  <c r="AM413" i="11"/>
  <c r="P413" i="11"/>
  <c r="AN413" i="11"/>
  <c r="Q413" i="11"/>
  <c r="AO413" i="11"/>
  <c r="R413" i="11"/>
  <c r="AP413" i="11"/>
  <c r="S413" i="11"/>
  <c r="AQ413" i="11"/>
  <c r="T413" i="11"/>
  <c r="AR413" i="11"/>
  <c r="U413" i="11"/>
  <c r="AS413" i="11"/>
  <c r="V413" i="11"/>
  <c r="AT413" i="11"/>
  <c r="W413" i="11"/>
  <c r="AU413" i="11"/>
  <c r="X413" i="11"/>
  <c r="AV413" i="11"/>
  <c r="Y413" i="11"/>
  <c r="AW413" i="11"/>
  <c r="Z413" i="11"/>
  <c r="AC414" i="11"/>
  <c r="F414" i="11"/>
  <c r="AD414" i="11"/>
  <c r="G414" i="11"/>
  <c r="AE414" i="11"/>
  <c r="H414" i="11"/>
  <c r="AF414" i="11"/>
  <c r="I414" i="11"/>
  <c r="AG414" i="11"/>
  <c r="J414" i="11"/>
  <c r="AH414" i="11"/>
  <c r="K414" i="11"/>
  <c r="AI414" i="11"/>
  <c r="L414" i="11"/>
  <c r="AJ414" i="11"/>
  <c r="M414" i="11"/>
  <c r="AK414" i="11"/>
  <c r="N414" i="11"/>
  <c r="AL414" i="11"/>
  <c r="O414" i="11"/>
  <c r="AM414" i="11"/>
  <c r="P414" i="11"/>
  <c r="AN414" i="11"/>
  <c r="Q414" i="11"/>
  <c r="AO414" i="11"/>
  <c r="R414" i="11"/>
  <c r="AP414" i="11"/>
  <c r="S414" i="11"/>
  <c r="AQ414" i="11"/>
  <c r="T414" i="11"/>
  <c r="AR414" i="11"/>
  <c r="U414" i="11"/>
  <c r="AS414" i="11"/>
  <c r="V414" i="11"/>
  <c r="AT414" i="11"/>
  <c r="W414" i="11"/>
  <c r="AU414" i="11"/>
  <c r="X414" i="11"/>
  <c r="AV414" i="11"/>
  <c r="Y414" i="11"/>
  <c r="AW414" i="11"/>
  <c r="Z414" i="11"/>
  <c r="AC415" i="11"/>
  <c r="F415" i="11"/>
  <c r="AD415" i="11"/>
  <c r="G415" i="11"/>
  <c r="AE415" i="11"/>
  <c r="H415" i="11"/>
  <c r="AF415" i="11"/>
  <c r="I415" i="11"/>
  <c r="AG415" i="11"/>
  <c r="J415" i="11"/>
  <c r="AH415" i="11"/>
  <c r="K415" i="11"/>
  <c r="AI415" i="11"/>
  <c r="L415" i="11"/>
  <c r="AJ415" i="11"/>
  <c r="M415" i="11"/>
  <c r="AK415" i="11"/>
  <c r="N415" i="11"/>
  <c r="AL415" i="11"/>
  <c r="O415" i="11"/>
  <c r="AM415" i="11"/>
  <c r="P415" i="11"/>
  <c r="AN415" i="11"/>
  <c r="Q415" i="11"/>
  <c r="AO415" i="11"/>
  <c r="R415" i="11"/>
  <c r="AP415" i="11"/>
  <c r="S415" i="11"/>
  <c r="AQ415" i="11"/>
  <c r="T415" i="11"/>
  <c r="AR415" i="11"/>
  <c r="U415" i="11"/>
  <c r="AS415" i="11"/>
  <c r="V415" i="11"/>
  <c r="AT415" i="11"/>
  <c r="W415" i="11"/>
  <c r="AU415" i="11"/>
  <c r="X415" i="11"/>
  <c r="AV415" i="11"/>
  <c r="Y415" i="11"/>
  <c r="AW415" i="11"/>
  <c r="Z415" i="11"/>
  <c r="AC416" i="11"/>
  <c r="F416" i="11"/>
  <c r="AD416" i="11"/>
  <c r="G416" i="11"/>
  <c r="AE416" i="11"/>
  <c r="H416" i="11"/>
  <c r="AF416" i="11"/>
  <c r="I416" i="11"/>
  <c r="AG416" i="11"/>
  <c r="J416" i="11"/>
  <c r="AH416" i="11"/>
  <c r="K416" i="11"/>
  <c r="AI416" i="11"/>
  <c r="L416" i="11"/>
  <c r="AJ416" i="11"/>
  <c r="M416" i="11"/>
  <c r="AK416" i="11"/>
  <c r="N416" i="11"/>
  <c r="AL416" i="11"/>
  <c r="O416" i="11"/>
  <c r="AM416" i="11"/>
  <c r="P416" i="11"/>
  <c r="AN416" i="11"/>
  <c r="Q416" i="11"/>
  <c r="AO416" i="11"/>
  <c r="R416" i="11"/>
  <c r="AP416" i="11"/>
  <c r="S416" i="11"/>
  <c r="AQ416" i="11"/>
  <c r="T416" i="11"/>
  <c r="AR416" i="11"/>
  <c r="U416" i="11"/>
  <c r="AS416" i="11"/>
  <c r="V416" i="11"/>
  <c r="AT416" i="11"/>
  <c r="W416" i="11"/>
  <c r="AU416" i="11"/>
  <c r="X416" i="11"/>
  <c r="AV416" i="11"/>
  <c r="Y416" i="11"/>
  <c r="AW416" i="11"/>
  <c r="Z416" i="11"/>
  <c r="AC417" i="11"/>
  <c r="F417" i="11"/>
  <c r="AD417" i="11"/>
  <c r="G417" i="11"/>
  <c r="AE417" i="11"/>
  <c r="H417" i="11"/>
  <c r="AF417" i="11"/>
  <c r="I417" i="11"/>
  <c r="AG417" i="11"/>
  <c r="J417" i="11"/>
  <c r="AH417" i="11"/>
  <c r="K417" i="11"/>
  <c r="AI417" i="11"/>
  <c r="L417" i="11"/>
  <c r="AJ417" i="11"/>
  <c r="M417" i="11"/>
  <c r="AK417" i="11"/>
  <c r="N417" i="11"/>
  <c r="AL417" i="11"/>
  <c r="O417" i="11"/>
  <c r="AM417" i="11"/>
  <c r="P417" i="11"/>
  <c r="AN417" i="11"/>
  <c r="Q417" i="11"/>
  <c r="AO417" i="11"/>
  <c r="R417" i="11"/>
  <c r="AP417" i="11"/>
  <c r="S417" i="11"/>
  <c r="AQ417" i="11"/>
  <c r="T417" i="11"/>
  <c r="AR417" i="11"/>
  <c r="U417" i="11"/>
  <c r="AS417" i="11"/>
  <c r="V417" i="11"/>
  <c r="AT417" i="11"/>
  <c r="W417" i="11"/>
  <c r="AU417" i="11"/>
  <c r="X417" i="11"/>
  <c r="AV417" i="11"/>
  <c r="Y417" i="11"/>
  <c r="AW417" i="11"/>
  <c r="Z417" i="11"/>
  <c r="AC418" i="11"/>
  <c r="F418" i="11"/>
  <c r="AD418" i="11"/>
  <c r="G418" i="11"/>
  <c r="AE418" i="11"/>
  <c r="H418" i="11"/>
  <c r="AF418" i="11"/>
  <c r="I418" i="11"/>
  <c r="AG418" i="11"/>
  <c r="J418" i="11"/>
  <c r="AH418" i="11"/>
  <c r="K418" i="11"/>
  <c r="AI418" i="11"/>
  <c r="L418" i="11"/>
  <c r="AJ418" i="11"/>
  <c r="M418" i="11"/>
  <c r="AK418" i="11"/>
  <c r="N418" i="11"/>
  <c r="AL418" i="11"/>
  <c r="O418" i="11"/>
  <c r="AM418" i="11"/>
  <c r="P418" i="11"/>
  <c r="AN418" i="11"/>
  <c r="Q418" i="11"/>
  <c r="AO418" i="11"/>
  <c r="R418" i="11"/>
  <c r="AP418" i="11"/>
  <c r="S418" i="11"/>
  <c r="AQ418" i="11"/>
  <c r="T418" i="11"/>
  <c r="AR418" i="11"/>
  <c r="U418" i="11"/>
  <c r="AS418" i="11"/>
  <c r="V418" i="11"/>
  <c r="AT418" i="11"/>
  <c r="W418" i="11"/>
  <c r="AU418" i="11"/>
  <c r="X418" i="11"/>
  <c r="AV418" i="11"/>
  <c r="Y418" i="11"/>
  <c r="AW418" i="11"/>
  <c r="Z418" i="11"/>
  <c r="AC419" i="11"/>
  <c r="F419" i="11"/>
  <c r="AD419" i="11"/>
  <c r="G419" i="11"/>
  <c r="AE419" i="11"/>
  <c r="H419" i="11"/>
  <c r="AF419" i="11"/>
  <c r="I419" i="11"/>
  <c r="AG419" i="11"/>
  <c r="J419" i="11"/>
  <c r="AH419" i="11"/>
  <c r="K419" i="11"/>
  <c r="AI419" i="11"/>
  <c r="L419" i="11"/>
  <c r="AJ419" i="11"/>
  <c r="M419" i="11"/>
  <c r="AK419" i="11"/>
  <c r="N419" i="11"/>
  <c r="AL419" i="11"/>
  <c r="O419" i="11"/>
  <c r="AM419" i="11"/>
  <c r="P419" i="11"/>
  <c r="AN419" i="11"/>
  <c r="Q419" i="11"/>
  <c r="AO419" i="11"/>
  <c r="R419" i="11"/>
  <c r="AP419" i="11"/>
  <c r="S419" i="11"/>
  <c r="AQ419" i="11"/>
  <c r="T419" i="11"/>
  <c r="AR419" i="11"/>
  <c r="U419" i="11"/>
  <c r="AS419" i="11"/>
  <c r="V419" i="11"/>
  <c r="AT419" i="11"/>
  <c r="W419" i="11"/>
  <c r="AU419" i="11"/>
  <c r="X419" i="11"/>
  <c r="AV419" i="11"/>
  <c r="Y419" i="11"/>
  <c r="AW419" i="11"/>
  <c r="Z419" i="11"/>
  <c r="AC420" i="11"/>
  <c r="F420" i="11"/>
  <c r="AD420" i="11"/>
  <c r="G420" i="11"/>
  <c r="AE420" i="11"/>
  <c r="H420" i="11"/>
  <c r="AF420" i="11"/>
  <c r="I420" i="11"/>
  <c r="AG420" i="11"/>
  <c r="J420" i="11"/>
  <c r="AH420" i="11"/>
  <c r="K420" i="11"/>
  <c r="AI420" i="11"/>
  <c r="L420" i="11"/>
  <c r="AJ420" i="11"/>
  <c r="M420" i="11"/>
  <c r="AK420" i="11"/>
  <c r="N420" i="11"/>
  <c r="AL420" i="11"/>
  <c r="O420" i="11"/>
  <c r="AM420" i="11"/>
  <c r="P420" i="11"/>
  <c r="AN420" i="11"/>
  <c r="Q420" i="11"/>
  <c r="AO420" i="11"/>
  <c r="R420" i="11"/>
  <c r="AP420" i="11"/>
  <c r="S420" i="11"/>
  <c r="AQ420" i="11"/>
  <c r="T420" i="11"/>
  <c r="AR420" i="11"/>
  <c r="U420" i="11"/>
  <c r="AS420" i="11"/>
  <c r="V420" i="11"/>
  <c r="AT420" i="11"/>
  <c r="W420" i="11"/>
  <c r="AU420" i="11"/>
  <c r="X420" i="11"/>
  <c r="AV420" i="11"/>
  <c r="Y420" i="11"/>
  <c r="AW420" i="11"/>
  <c r="Z420" i="11"/>
  <c r="AC421" i="11"/>
  <c r="F421" i="11"/>
  <c r="AD421" i="11"/>
  <c r="G421" i="11"/>
  <c r="AE421" i="11"/>
  <c r="H421" i="11"/>
  <c r="AF421" i="11"/>
  <c r="I421" i="11"/>
  <c r="AG421" i="11"/>
  <c r="J421" i="11"/>
  <c r="AH421" i="11"/>
  <c r="K421" i="11"/>
  <c r="AI421" i="11"/>
  <c r="L421" i="11"/>
  <c r="AJ421" i="11"/>
  <c r="M421" i="11"/>
  <c r="AK421" i="11"/>
  <c r="N421" i="11"/>
  <c r="AL421" i="11"/>
  <c r="O421" i="11"/>
  <c r="AM421" i="11"/>
  <c r="P421" i="11"/>
  <c r="AN421" i="11"/>
  <c r="Q421" i="11"/>
  <c r="AO421" i="11"/>
  <c r="R421" i="11"/>
  <c r="AP421" i="11"/>
  <c r="S421" i="11"/>
  <c r="AQ421" i="11"/>
  <c r="T421" i="11"/>
  <c r="AR421" i="11"/>
  <c r="U421" i="11"/>
  <c r="AS421" i="11"/>
  <c r="V421" i="11"/>
  <c r="AT421" i="11"/>
  <c r="W421" i="11"/>
  <c r="AU421" i="11"/>
  <c r="X421" i="11"/>
  <c r="AV421" i="11"/>
  <c r="Y421" i="11"/>
  <c r="AW421" i="11"/>
  <c r="Z421" i="11"/>
  <c r="AC422" i="11"/>
  <c r="F422" i="11"/>
  <c r="AD422" i="11"/>
  <c r="G422" i="11"/>
  <c r="AE422" i="11"/>
  <c r="H422" i="11"/>
  <c r="AF422" i="11"/>
  <c r="I422" i="11"/>
  <c r="AG422" i="11"/>
  <c r="J422" i="11"/>
  <c r="AH422" i="11"/>
  <c r="K422" i="11"/>
  <c r="AI422" i="11"/>
  <c r="L422" i="11"/>
  <c r="AJ422" i="11"/>
  <c r="M422" i="11"/>
  <c r="AK422" i="11"/>
  <c r="N422" i="11"/>
  <c r="AL422" i="11"/>
  <c r="O422" i="11"/>
  <c r="AM422" i="11"/>
  <c r="P422" i="11"/>
  <c r="AN422" i="11"/>
  <c r="Q422" i="11"/>
  <c r="AO422" i="11"/>
  <c r="R422" i="11"/>
  <c r="AP422" i="11"/>
  <c r="S422" i="11"/>
  <c r="AQ422" i="11"/>
  <c r="T422" i="11"/>
  <c r="AR422" i="11"/>
  <c r="U422" i="11"/>
  <c r="AS422" i="11"/>
  <c r="V422" i="11"/>
  <c r="AT422" i="11"/>
  <c r="W422" i="11"/>
  <c r="AU422" i="11"/>
  <c r="X422" i="11"/>
  <c r="AV422" i="11"/>
  <c r="Y422" i="11"/>
  <c r="AW422" i="11"/>
  <c r="Z422" i="11"/>
  <c r="AC423" i="11"/>
  <c r="F423" i="11"/>
  <c r="AD423" i="11"/>
  <c r="G423" i="11"/>
  <c r="AE423" i="11"/>
  <c r="H423" i="11"/>
  <c r="AF423" i="11"/>
  <c r="I423" i="11"/>
  <c r="AG423" i="11"/>
  <c r="J423" i="11"/>
  <c r="AH423" i="11"/>
  <c r="K423" i="11"/>
  <c r="AI423" i="11"/>
  <c r="L423" i="11"/>
  <c r="AJ423" i="11"/>
  <c r="M423" i="11"/>
  <c r="AK423" i="11"/>
  <c r="N423" i="11"/>
  <c r="AL423" i="11"/>
  <c r="O423" i="11"/>
  <c r="AM423" i="11"/>
  <c r="P423" i="11"/>
  <c r="AN423" i="11"/>
  <c r="Q423" i="11"/>
  <c r="AO423" i="11"/>
  <c r="R423" i="11"/>
  <c r="AP423" i="11"/>
  <c r="S423" i="11"/>
  <c r="AQ423" i="11"/>
  <c r="T423" i="11"/>
  <c r="AR423" i="11"/>
  <c r="U423" i="11"/>
  <c r="AS423" i="11"/>
  <c r="V423" i="11"/>
  <c r="AT423" i="11"/>
  <c r="W423" i="11"/>
  <c r="AU423" i="11"/>
  <c r="X423" i="11"/>
  <c r="AV423" i="11"/>
  <c r="Y423" i="11"/>
  <c r="AW423" i="11"/>
  <c r="Z423" i="11"/>
  <c r="AC424" i="11"/>
  <c r="F424" i="11"/>
  <c r="AD424" i="11"/>
  <c r="G424" i="11"/>
  <c r="AE424" i="11"/>
  <c r="H424" i="11"/>
  <c r="AF424" i="11"/>
  <c r="I424" i="11"/>
  <c r="AG424" i="11"/>
  <c r="J424" i="11"/>
  <c r="AH424" i="11"/>
  <c r="K424" i="11"/>
  <c r="AI424" i="11"/>
  <c r="L424" i="11"/>
  <c r="AJ424" i="11"/>
  <c r="M424" i="11"/>
  <c r="AK424" i="11"/>
  <c r="N424" i="11"/>
  <c r="AL424" i="11"/>
  <c r="O424" i="11"/>
  <c r="AM424" i="11"/>
  <c r="P424" i="11"/>
  <c r="AN424" i="11"/>
  <c r="Q424" i="11"/>
  <c r="AO424" i="11"/>
  <c r="R424" i="11"/>
  <c r="AP424" i="11"/>
  <c r="S424" i="11"/>
  <c r="AQ424" i="11"/>
  <c r="T424" i="11"/>
  <c r="AR424" i="11"/>
  <c r="U424" i="11"/>
  <c r="AS424" i="11"/>
  <c r="V424" i="11"/>
  <c r="AT424" i="11"/>
  <c r="W424" i="11"/>
  <c r="AU424" i="11"/>
  <c r="X424" i="11"/>
  <c r="AV424" i="11"/>
  <c r="Y424" i="11"/>
  <c r="AW424" i="11"/>
  <c r="Z424" i="11"/>
  <c r="AC425" i="11"/>
  <c r="F425" i="11"/>
  <c r="AD425" i="11"/>
  <c r="G425" i="11"/>
  <c r="AE425" i="11"/>
  <c r="H425" i="11"/>
  <c r="AF425" i="11"/>
  <c r="I425" i="11"/>
  <c r="AG425" i="11"/>
  <c r="J425" i="11"/>
  <c r="AH425" i="11"/>
  <c r="K425" i="11"/>
  <c r="AI425" i="11"/>
  <c r="L425" i="11"/>
  <c r="AJ425" i="11"/>
  <c r="M425" i="11"/>
  <c r="AK425" i="11"/>
  <c r="N425" i="11"/>
  <c r="AL425" i="11"/>
  <c r="O425" i="11"/>
  <c r="AM425" i="11"/>
  <c r="P425" i="11"/>
  <c r="AN425" i="11"/>
  <c r="Q425" i="11"/>
  <c r="AO425" i="11"/>
  <c r="R425" i="11"/>
  <c r="AP425" i="11"/>
  <c r="S425" i="11"/>
  <c r="AQ425" i="11"/>
  <c r="T425" i="11"/>
  <c r="AR425" i="11"/>
  <c r="U425" i="11"/>
  <c r="AS425" i="11"/>
  <c r="V425" i="11"/>
  <c r="AT425" i="11"/>
  <c r="W425" i="11"/>
  <c r="AU425" i="11"/>
  <c r="X425" i="11"/>
  <c r="AV425" i="11"/>
  <c r="Y425" i="11"/>
  <c r="AW425" i="11"/>
  <c r="Z425" i="11"/>
  <c r="AC426" i="11"/>
  <c r="F426" i="11"/>
  <c r="AD426" i="11"/>
  <c r="G426" i="11"/>
  <c r="AE426" i="11"/>
  <c r="H426" i="11"/>
  <c r="AF426" i="11"/>
  <c r="I426" i="11"/>
  <c r="AG426" i="11"/>
  <c r="J426" i="11"/>
  <c r="AH426" i="11"/>
  <c r="K426" i="11"/>
  <c r="AI426" i="11"/>
  <c r="L426" i="11"/>
  <c r="AJ426" i="11"/>
  <c r="M426" i="11"/>
  <c r="AK426" i="11"/>
  <c r="N426" i="11"/>
  <c r="AL426" i="11"/>
  <c r="O426" i="11"/>
  <c r="AM426" i="11"/>
  <c r="P426" i="11"/>
  <c r="AN426" i="11"/>
  <c r="Q426" i="11"/>
  <c r="AO426" i="11"/>
  <c r="R426" i="11"/>
  <c r="AP426" i="11"/>
  <c r="S426" i="11"/>
  <c r="AQ426" i="11"/>
  <c r="T426" i="11"/>
  <c r="AR426" i="11"/>
  <c r="U426" i="11"/>
  <c r="AS426" i="11"/>
  <c r="V426" i="11"/>
  <c r="AT426" i="11"/>
  <c r="W426" i="11"/>
  <c r="AU426" i="11"/>
  <c r="X426" i="11"/>
  <c r="AV426" i="11"/>
  <c r="Y426" i="11"/>
  <c r="AW426" i="11"/>
  <c r="Z426" i="11"/>
  <c r="AC427" i="11"/>
  <c r="F427" i="11"/>
  <c r="AD427" i="11"/>
  <c r="G427" i="11"/>
  <c r="AE427" i="11"/>
  <c r="H427" i="11"/>
  <c r="AF427" i="11"/>
  <c r="I427" i="11"/>
  <c r="AG427" i="11"/>
  <c r="J427" i="11"/>
  <c r="AH427" i="11"/>
  <c r="K427" i="11"/>
  <c r="AI427" i="11"/>
  <c r="L427" i="11"/>
  <c r="AJ427" i="11"/>
  <c r="M427" i="11"/>
  <c r="AK427" i="11"/>
  <c r="N427" i="11"/>
  <c r="AL427" i="11"/>
  <c r="O427" i="11"/>
  <c r="AM427" i="11"/>
  <c r="P427" i="11"/>
  <c r="AN427" i="11"/>
  <c r="Q427" i="11"/>
  <c r="AO427" i="11"/>
  <c r="R427" i="11"/>
  <c r="AP427" i="11"/>
  <c r="S427" i="11"/>
  <c r="AQ427" i="11"/>
  <c r="T427" i="11"/>
  <c r="AR427" i="11"/>
  <c r="U427" i="11"/>
  <c r="AS427" i="11"/>
  <c r="V427" i="11"/>
  <c r="AT427" i="11"/>
  <c r="W427" i="11"/>
  <c r="AU427" i="11"/>
  <c r="X427" i="11"/>
  <c r="AV427" i="11"/>
  <c r="Y427" i="11"/>
  <c r="AW427" i="11"/>
  <c r="Z427" i="11"/>
  <c r="AC428" i="11"/>
  <c r="F428" i="11"/>
  <c r="AD428" i="11"/>
  <c r="G428" i="11"/>
  <c r="AE428" i="11"/>
  <c r="H428" i="11"/>
  <c r="AF428" i="11"/>
  <c r="I428" i="11"/>
  <c r="AG428" i="11"/>
  <c r="J428" i="11"/>
  <c r="AH428" i="11"/>
  <c r="K428" i="11"/>
  <c r="AI428" i="11"/>
  <c r="L428" i="11"/>
  <c r="AJ428" i="11"/>
  <c r="M428" i="11"/>
  <c r="AK428" i="11"/>
  <c r="N428" i="11"/>
  <c r="AL428" i="11"/>
  <c r="O428" i="11"/>
  <c r="AM428" i="11"/>
  <c r="P428" i="11"/>
  <c r="AN428" i="11"/>
  <c r="Q428" i="11"/>
  <c r="AO428" i="11"/>
  <c r="R428" i="11"/>
  <c r="AP428" i="11"/>
  <c r="S428" i="11"/>
  <c r="AQ428" i="11"/>
  <c r="T428" i="11"/>
  <c r="AR428" i="11"/>
  <c r="U428" i="11"/>
  <c r="AS428" i="11"/>
  <c r="V428" i="11"/>
  <c r="AT428" i="11"/>
  <c r="W428" i="11"/>
  <c r="AU428" i="11"/>
  <c r="X428" i="11"/>
  <c r="AV428" i="11"/>
  <c r="Y428" i="11"/>
  <c r="AW428" i="11"/>
  <c r="Z428" i="11"/>
  <c r="AC429" i="11"/>
  <c r="F429" i="11"/>
  <c r="AD429" i="11"/>
  <c r="G429" i="11"/>
  <c r="AE429" i="11"/>
  <c r="H429" i="11"/>
  <c r="AF429" i="11"/>
  <c r="I429" i="11"/>
  <c r="AG429" i="11"/>
  <c r="J429" i="11"/>
  <c r="AH429" i="11"/>
  <c r="K429" i="11"/>
  <c r="AI429" i="11"/>
  <c r="L429" i="11"/>
  <c r="AJ429" i="11"/>
  <c r="M429" i="11"/>
  <c r="AK429" i="11"/>
  <c r="N429" i="11"/>
  <c r="AL429" i="11"/>
  <c r="O429" i="11"/>
  <c r="AM429" i="11"/>
  <c r="P429" i="11"/>
  <c r="AN429" i="11"/>
  <c r="Q429" i="11"/>
  <c r="AO429" i="11"/>
  <c r="R429" i="11"/>
  <c r="AP429" i="11"/>
  <c r="S429" i="11"/>
  <c r="AQ429" i="11"/>
  <c r="T429" i="11"/>
  <c r="AR429" i="11"/>
  <c r="U429" i="11"/>
  <c r="AS429" i="11"/>
  <c r="V429" i="11"/>
  <c r="AT429" i="11"/>
  <c r="W429" i="11"/>
  <c r="AU429" i="11"/>
  <c r="X429" i="11"/>
  <c r="AV429" i="11"/>
  <c r="Y429" i="11"/>
  <c r="AW429" i="11"/>
  <c r="Z429" i="11"/>
  <c r="AC430" i="11"/>
  <c r="F430" i="11"/>
  <c r="AD430" i="11"/>
  <c r="G430" i="11"/>
  <c r="AE430" i="11"/>
  <c r="H430" i="11"/>
  <c r="AF430" i="11"/>
  <c r="I430" i="11"/>
  <c r="AG430" i="11"/>
  <c r="J430" i="11"/>
  <c r="AH430" i="11"/>
  <c r="K430" i="11"/>
  <c r="AI430" i="11"/>
  <c r="L430" i="11"/>
  <c r="AJ430" i="11"/>
  <c r="M430" i="11"/>
  <c r="AK430" i="11"/>
  <c r="N430" i="11"/>
  <c r="AL430" i="11"/>
  <c r="O430" i="11"/>
  <c r="AM430" i="11"/>
  <c r="P430" i="11"/>
  <c r="AN430" i="11"/>
  <c r="Q430" i="11"/>
  <c r="AO430" i="11"/>
  <c r="R430" i="11"/>
  <c r="AP430" i="11"/>
  <c r="S430" i="11"/>
  <c r="AQ430" i="11"/>
  <c r="T430" i="11"/>
  <c r="AR430" i="11"/>
  <c r="U430" i="11"/>
  <c r="AS430" i="11"/>
  <c r="V430" i="11"/>
  <c r="AT430" i="11"/>
  <c r="W430" i="11"/>
  <c r="AU430" i="11"/>
  <c r="X430" i="11"/>
  <c r="AV430" i="11"/>
  <c r="Y430" i="11"/>
  <c r="AW430" i="11"/>
  <c r="Z430" i="11"/>
  <c r="AC431" i="11"/>
  <c r="F431" i="11"/>
  <c r="AD431" i="11"/>
  <c r="G431" i="11"/>
  <c r="AE431" i="11"/>
  <c r="H431" i="11"/>
  <c r="AF431" i="11"/>
  <c r="I431" i="11"/>
  <c r="AG431" i="11"/>
  <c r="J431" i="11"/>
  <c r="AH431" i="11"/>
  <c r="K431" i="11"/>
  <c r="AI431" i="11"/>
  <c r="L431" i="11"/>
  <c r="AJ431" i="11"/>
  <c r="M431" i="11"/>
  <c r="AK431" i="11"/>
  <c r="N431" i="11"/>
  <c r="AL431" i="11"/>
  <c r="O431" i="11"/>
  <c r="AM431" i="11"/>
  <c r="P431" i="11"/>
  <c r="AN431" i="11"/>
  <c r="Q431" i="11"/>
  <c r="AO431" i="11"/>
  <c r="R431" i="11"/>
  <c r="AP431" i="11"/>
  <c r="S431" i="11"/>
  <c r="AQ431" i="11"/>
  <c r="T431" i="11"/>
  <c r="AR431" i="11"/>
  <c r="U431" i="11"/>
  <c r="AS431" i="11"/>
  <c r="V431" i="11"/>
  <c r="AT431" i="11"/>
  <c r="W431" i="11"/>
  <c r="AU431" i="11"/>
  <c r="X431" i="11"/>
  <c r="AV431" i="11"/>
  <c r="Y431" i="11"/>
  <c r="AW431" i="11"/>
  <c r="Z431" i="11"/>
  <c r="AC432" i="11"/>
  <c r="F432" i="11"/>
  <c r="AD432" i="11"/>
  <c r="G432" i="11"/>
  <c r="AE432" i="11"/>
  <c r="H432" i="11"/>
  <c r="AF432" i="11"/>
  <c r="I432" i="11"/>
  <c r="AG432" i="11"/>
  <c r="J432" i="11"/>
  <c r="AH432" i="11"/>
  <c r="K432" i="11"/>
  <c r="AI432" i="11"/>
  <c r="L432" i="11"/>
  <c r="AJ432" i="11"/>
  <c r="M432" i="11"/>
  <c r="AK432" i="11"/>
  <c r="N432" i="11"/>
  <c r="AL432" i="11"/>
  <c r="O432" i="11"/>
  <c r="AM432" i="11"/>
  <c r="P432" i="11"/>
  <c r="AN432" i="11"/>
  <c r="Q432" i="11"/>
  <c r="AO432" i="11"/>
  <c r="R432" i="11"/>
  <c r="AP432" i="11"/>
  <c r="S432" i="11"/>
  <c r="AQ432" i="11"/>
  <c r="T432" i="11"/>
  <c r="AR432" i="11"/>
  <c r="U432" i="11"/>
  <c r="AS432" i="11"/>
  <c r="V432" i="11"/>
  <c r="AT432" i="11"/>
  <c r="W432" i="11"/>
  <c r="AU432" i="11"/>
  <c r="X432" i="11"/>
  <c r="AV432" i="11"/>
  <c r="Y432" i="11"/>
  <c r="AW432" i="11"/>
  <c r="Z432" i="11"/>
  <c r="AC433" i="11"/>
  <c r="F433" i="11"/>
  <c r="AD433" i="11"/>
  <c r="G433" i="11"/>
  <c r="AE433" i="11"/>
  <c r="H433" i="11"/>
  <c r="AF433" i="11"/>
  <c r="I433" i="11"/>
  <c r="AG433" i="11"/>
  <c r="J433" i="11"/>
  <c r="AH433" i="11"/>
  <c r="K433" i="11"/>
  <c r="AI433" i="11"/>
  <c r="L433" i="11"/>
  <c r="AJ433" i="11"/>
  <c r="M433" i="11"/>
  <c r="AK433" i="11"/>
  <c r="N433" i="11"/>
  <c r="AL433" i="11"/>
  <c r="O433" i="11"/>
  <c r="AM433" i="11"/>
  <c r="P433" i="11"/>
  <c r="AN433" i="11"/>
  <c r="Q433" i="11"/>
  <c r="AO433" i="11"/>
  <c r="R433" i="11"/>
  <c r="AP433" i="11"/>
  <c r="S433" i="11"/>
  <c r="AQ433" i="11"/>
  <c r="T433" i="11"/>
  <c r="AR433" i="11"/>
  <c r="U433" i="11"/>
  <c r="AS433" i="11"/>
  <c r="V433" i="11"/>
  <c r="AT433" i="11"/>
  <c r="W433" i="11"/>
  <c r="AU433" i="11"/>
  <c r="X433" i="11"/>
  <c r="AV433" i="11"/>
  <c r="Y433" i="11"/>
  <c r="AW433" i="11"/>
  <c r="Z433" i="11"/>
  <c r="AC434" i="11"/>
  <c r="F434" i="11"/>
  <c r="AD434" i="11"/>
  <c r="G434" i="11"/>
  <c r="AE434" i="11"/>
  <c r="H434" i="11"/>
  <c r="AF434" i="11"/>
  <c r="I434" i="11"/>
  <c r="AG434" i="11"/>
  <c r="J434" i="11"/>
  <c r="AH434" i="11"/>
  <c r="K434" i="11"/>
  <c r="AI434" i="11"/>
  <c r="L434" i="11"/>
  <c r="AJ434" i="11"/>
  <c r="M434" i="11"/>
  <c r="AK434" i="11"/>
  <c r="N434" i="11"/>
  <c r="AL434" i="11"/>
  <c r="O434" i="11"/>
  <c r="AM434" i="11"/>
  <c r="P434" i="11"/>
  <c r="AN434" i="11"/>
  <c r="Q434" i="11"/>
  <c r="AO434" i="11"/>
  <c r="R434" i="11"/>
  <c r="AP434" i="11"/>
  <c r="S434" i="11"/>
  <c r="AQ434" i="11"/>
  <c r="T434" i="11"/>
  <c r="AR434" i="11"/>
  <c r="U434" i="11"/>
  <c r="AS434" i="11"/>
  <c r="V434" i="11"/>
  <c r="AT434" i="11"/>
  <c r="W434" i="11"/>
  <c r="AU434" i="11"/>
  <c r="X434" i="11"/>
  <c r="AV434" i="11"/>
  <c r="Y434" i="11"/>
  <c r="AW434" i="11"/>
  <c r="Z434" i="11"/>
  <c r="AC435" i="11"/>
  <c r="F435" i="11"/>
  <c r="AD435" i="11"/>
  <c r="G435" i="11"/>
  <c r="AE435" i="11"/>
  <c r="H435" i="11"/>
  <c r="AF435" i="11"/>
  <c r="I435" i="11"/>
  <c r="AG435" i="11"/>
  <c r="J435" i="11"/>
  <c r="AH435" i="11"/>
  <c r="K435" i="11"/>
  <c r="AI435" i="11"/>
  <c r="L435" i="11"/>
  <c r="AJ435" i="11"/>
  <c r="M435" i="11"/>
  <c r="AK435" i="11"/>
  <c r="N435" i="11"/>
  <c r="AL435" i="11"/>
  <c r="O435" i="11"/>
  <c r="AM435" i="11"/>
  <c r="P435" i="11"/>
  <c r="AN435" i="11"/>
  <c r="Q435" i="11"/>
  <c r="AO435" i="11"/>
  <c r="R435" i="11"/>
  <c r="AP435" i="11"/>
  <c r="S435" i="11"/>
  <c r="AQ435" i="11"/>
  <c r="T435" i="11"/>
  <c r="AR435" i="11"/>
  <c r="U435" i="11"/>
  <c r="AS435" i="11"/>
  <c r="V435" i="11"/>
  <c r="AT435" i="11"/>
  <c r="W435" i="11"/>
  <c r="AU435" i="11"/>
  <c r="X435" i="11"/>
  <c r="AV435" i="11"/>
  <c r="Y435" i="11"/>
  <c r="AW435" i="11"/>
  <c r="Z435" i="11"/>
  <c r="AC436" i="11"/>
  <c r="F436" i="11"/>
  <c r="AD436" i="11"/>
  <c r="G436" i="11"/>
  <c r="AE436" i="11"/>
  <c r="H436" i="11"/>
  <c r="AF436" i="11"/>
  <c r="I436" i="11"/>
  <c r="AG436" i="11"/>
  <c r="J436" i="11"/>
  <c r="AH436" i="11"/>
  <c r="K436" i="11"/>
  <c r="AI436" i="11"/>
  <c r="L436" i="11"/>
  <c r="AJ436" i="11"/>
  <c r="M436" i="11"/>
  <c r="AK436" i="11"/>
  <c r="N436" i="11"/>
  <c r="AL436" i="11"/>
  <c r="O436" i="11"/>
  <c r="AM436" i="11"/>
  <c r="P436" i="11"/>
  <c r="AN436" i="11"/>
  <c r="Q436" i="11"/>
  <c r="AO436" i="11"/>
  <c r="R436" i="11"/>
  <c r="AP436" i="11"/>
  <c r="S436" i="11"/>
  <c r="AQ436" i="11"/>
  <c r="T436" i="11"/>
  <c r="AR436" i="11"/>
  <c r="U436" i="11"/>
  <c r="AS436" i="11"/>
  <c r="V436" i="11"/>
  <c r="AT436" i="11"/>
  <c r="W436" i="11"/>
  <c r="AU436" i="11"/>
  <c r="X436" i="11"/>
  <c r="AV436" i="11"/>
  <c r="Y436" i="11"/>
  <c r="AW436" i="11"/>
  <c r="Z436" i="11"/>
  <c r="AC437" i="11"/>
  <c r="F437" i="11"/>
  <c r="AD437" i="11"/>
  <c r="G437" i="11"/>
  <c r="AE437" i="11"/>
  <c r="H437" i="11"/>
  <c r="AF437" i="11"/>
  <c r="I437" i="11"/>
  <c r="AG437" i="11"/>
  <c r="J437" i="11"/>
  <c r="AH437" i="11"/>
  <c r="K437" i="11"/>
  <c r="AI437" i="11"/>
  <c r="L437" i="11"/>
  <c r="AJ437" i="11"/>
  <c r="M437" i="11"/>
  <c r="AK437" i="11"/>
  <c r="N437" i="11"/>
  <c r="AL437" i="11"/>
  <c r="O437" i="11"/>
  <c r="AM437" i="11"/>
  <c r="P437" i="11"/>
  <c r="AN437" i="11"/>
  <c r="Q437" i="11"/>
  <c r="AO437" i="11"/>
  <c r="R437" i="11"/>
  <c r="AP437" i="11"/>
  <c r="S437" i="11"/>
  <c r="AQ437" i="11"/>
  <c r="T437" i="11"/>
  <c r="AR437" i="11"/>
  <c r="U437" i="11"/>
  <c r="AS437" i="11"/>
  <c r="V437" i="11"/>
  <c r="AT437" i="11"/>
  <c r="W437" i="11"/>
  <c r="AU437" i="11"/>
  <c r="X437" i="11"/>
  <c r="AV437" i="11"/>
  <c r="Y437" i="11"/>
  <c r="AW437" i="11"/>
  <c r="Z437" i="11"/>
  <c r="AC438" i="11"/>
  <c r="F438" i="11"/>
  <c r="AD438" i="11"/>
  <c r="G438" i="11"/>
  <c r="AE438" i="11"/>
  <c r="H438" i="11"/>
  <c r="AF438" i="11"/>
  <c r="I438" i="11"/>
  <c r="AG438" i="11"/>
  <c r="J438" i="11"/>
  <c r="AH438" i="11"/>
  <c r="K438" i="11"/>
  <c r="AI438" i="11"/>
  <c r="L438" i="11"/>
  <c r="AJ438" i="11"/>
  <c r="M438" i="11"/>
  <c r="AK438" i="11"/>
  <c r="N438" i="11"/>
  <c r="AL438" i="11"/>
  <c r="O438" i="11"/>
  <c r="AM438" i="11"/>
  <c r="P438" i="11"/>
  <c r="AN438" i="11"/>
  <c r="Q438" i="11"/>
  <c r="AO438" i="11"/>
  <c r="R438" i="11"/>
  <c r="AP438" i="11"/>
  <c r="S438" i="11"/>
  <c r="AQ438" i="11"/>
  <c r="T438" i="11"/>
  <c r="AR438" i="11"/>
  <c r="U438" i="11"/>
  <c r="AS438" i="11"/>
  <c r="V438" i="11"/>
  <c r="AT438" i="11"/>
  <c r="W438" i="11"/>
  <c r="AU438" i="11"/>
  <c r="X438" i="11"/>
  <c r="AV438" i="11"/>
  <c r="Y438" i="11"/>
  <c r="AW438" i="11"/>
  <c r="Z438" i="11"/>
  <c r="AC439" i="11"/>
  <c r="F439" i="11"/>
  <c r="AD439" i="11"/>
  <c r="G439" i="11"/>
  <c r="AE439" i="11"/>
  <c r="H439" i="11"/>
  <c r="AF439" i="11"/>
  <c r="I439" i="11"/>
  <c r="AG439" i="11"/>
  <c r="J439" i="11"/>
  <c r="AH439" i="11"/>
  <c r="K439" i="11"/>
  <c r="AI439" i="11"/>
  <c r="L439" i="11"/>
  <c r="AJ439" i="11"/>
  <c r="M439" i="11"/>
  <c r="AK439" i="11"/>
  <c r="N439" i="11"/>
  <c r="AL439" i="11"/>
  <c r="O439" i="11"/>
  <c r="AM439" i="11"/>
  <c r="P439" i="11"/>
  <c r="AN439" i="11"/>
  <c r="Q439" i="11"/>
  <c r="AO439" i="11"/>
  <c r="R439" i="11"/>
  <c r="AP439" i="11"/>
  <c r="S439" i="11"/>
  <c r="AQ439" i="11"/>
  <c r="T439" i="11"/>
  <c r="AR439" i="11"/>
  <c r="U439" i="11"/>
  <c r="AS439" i="11"/>
  <c r="V439" i="11"/>
  <c r="AT439" i="11"/>
  <c r="W439" i="11"/>
  <c r="AU439" i="11"/>
  <c r="X439" i="11"/>
  <c r="AV439" i="11"/>
  <c r="Y439" i="11"/>
  <c r="AW439" i="11"/>
  <c r="Z439" i="11"/>
  <c r="AC440" i="11"/>
  <c r="F440" i="11"/>
  <c r="AD440" i="11"/>
  <c r="G440" i="11"/>
  <c r="AE440" i="11"/>
  <c r="H440" i="11"/>
  <c r="AF440" i="11"/>
  <c r="I440" i="11"/>
  <c r="AG440" i="11"/>
  <c r="J440" i="11"/>
  <c r="AH440" i="11"/>
  <c r="K440" i="11"/>
  <c r="AI440" i="11"/>
  <c r="L440" i="11"/>
  <c r="AJ440" i="11"/>
  <c r="M440" i="11"/>
  <c r="AK440" i="11"/>
  <c r="N440" i="11"/>
  <c r="AL440" i="11"/>
  <c r="O440" i="11"/>
  <c r="AM440" i="11"/>
  <c r="P440" i="11"/>
  <c r="AN440" i="11"/>
  <c r="Q440" i="11"/>
  <c r="AO440" i="11"/>
  <c r="R440" i="11"/>
  <c r="AP440" i="11"/>
  <c r="S440" i="11"/>
  <c r="AQ440" i="11"/>
  <c r="T440" i="11"/>
  <c r="AR440" i="11"/>
  <c r="U440" i="11"/>
  <c r="AS440" i="11"/>
  <c r="V440" i="11"/>
  <c r="AT440" i="11"/>
  <c r="W440" i="11"/>
  <c r="AU440" i="11"/>
  <c r="X440" i="11"/>
  <c r="AV440" i="11"/>
  <c r="Y440" i="11"/>
  <c r="AW440" i="11"/>
  <c r="Z440" i="11"/>
  <c r="AC441" i="11"/>
  <c r="F441" i="11"/>
  <c r="AD441" i="11"/>
  <c r="G441" i="11"/>
  <c r="AE441" i="11"/>
  <c r="H441" i="11"/>
  <c r="AF441" i="11"/>
  <c r="I441" i="11"/>
  <c r="AG441" i="11"/>
  <c r="J441" i="11"/>
  <c r="AH441" i="11"/>
  <c r="K441" i="11"/>
  <c r="AI441" i="11"/>
  <c r="L441" i="11"/>
  <c r="AJ441" i="11"/>
  <c r="M441" i="11"/>
  <c r="AK441" i="11"/>
  <c r="N441" i="11"/>
  <c r="AL441" i="11"/>
  <c r="O441" i="11"/>
  <c r="AM441" i="11"/>
  <c r="P441" i="11"/>
  <c r="AN441" i="11"/>
  <c r="Q441" i="11"/>
  <c r="AO441" i="11"/>
  <c r="R441" i="11"/>
  <c r="AP441" i="11"/>
  <c r="S441" i="11"/>
  <c r="AQ441" i="11"/>
  <c r="T441" i="11"/>
  <c r="AR441" i="11"/>
  <c r="U441" i="11"/>
  <c r="AS441" i="11"/>
  <c r="V441" i="11"/>
  <c r="AT441" i="11"/>
  <c r="W441" i="11"/>
  <c r="AU441" i="11"/>
  <c r="X441" i="11"/>
  <c r="AV441" i="11"/>
  <c r="Y441" i="11"/>
  <c r="AW441" i="11"/>
  <c r="Z441" i="11"/>
  <c r="AC442" i="11"/>
  <c r="F442" i="11"/>
  <c r="AD442" i="11"/>
  <c r="G442" i="11"/>
  <c r="AE442" i="11"/>
  <c r="H442" i="11"/>
  <c r="AF442" i="11"/>
  <c r="I442" i="11"/>
  <c r="AG442" i="11"/>
  <c r="J442" i="11"/>
  <c r="AH442" i="11"/>
  <c r="K442" i="11"/>
  <c r="AI442" i="11"/>
  <c r="L442" i="11"/>
  <c r="AJ442" i="11"/>
  <c r="M442" i="11"/>
  <c r="AK442" i="11"/>
  <c r="N442" i="11"/>
  <c r="AL442" i="11"/>
  <c r="O442" i="11"/>
  <c r="AM442" i="11"/>
  <c r="P442" i="11"/>
  <c r="AN442" i="11"/>
  <c r="Q442" i="11"/>
  <c r="AO442" i="11"/>
  <c r="R442" i="11"/>
  <c r="AP442" i="11"/>
  <c r="S442" i="11"/>
  <c r="AQ442" i="11"/>
  <c r="T442" i="11"/>
  <c r="AR442" i="11"/>
  <c r="U442" i="11"/>
  <c r="AS442" i="11"/>
  <c r="V442" i="11"/>
  <c r="AT442" i="11"/>
  <c r="W442" i="11"/>
  <c r="AU442" i="11"/>
  <c r="X442" i="11"/>
  <c r="AV442" i="11"/>
  <c r="Y442" i="11"/>
  <c r="AW442" i="11"/>
  <c r="Z442" i="11"/>
  <c r="AC443" i="11"/>
  <c r="F443" i="11"/>
  <c r="AD443" i="11"/>
  <c r="G443" i="11"/>
  <c r="AE443" i="11"/>
  <c r="H443" i="11"/>
  <c r="AF443" i="11"/>
  <c r="I443" i="11"/>
  <c r="AG443" i="11"/>
  <c r="J443" i="11"/>
  <c r="AH443" i="11"/>
  <c r="K443" i="11"/>
  <c r="AI443" i="11"/>
  <c r="L443" i="11"/>
  <c r="AJ443" i="11"/>
  <c r="M443" i="11"/>
  <c r="AK443" i="11"/>
  <c r="N443" i="11"/>
  <c r="AL443" i="11"/>
  <c r="O443" i="11"/>
  <c r="AM443" i="11"/>
  <c r="P443" i="11"/>
  <c r="AN443" i="11"/>
  <c r="Q443" i="11"/>
  <c r="AO443" i="11"/>
  <c r="R443" i="11"/>
  <c r="AP443" i="11"/>
  <c r="S443" i="11"/>
  <c r="AQ443" i="11"/>
  <c r="T443" i="11"/>
  <c r="AR443" i="11"/>
  <c r="U443" i="11"/>
  <c r="AS443" i="11"/>
  <c r="V443" i="11"/>
  <c r="AT443" i="11"/>
  <c r="W443" i="11"/>
  <c r="AU443" i="11"/>
  <c r="X443" i="11"/>
  <c r="AV443" i="11"/>
  <c r="Y443" i="11"/>
  <c r="AW443" i="11"/>
  <c r="Z443" i="11"/>
  <c r="AC444" i="11"/>
  <c r="F444" i="11"/>
  <c r="AD444" i="11"/>
  <c r="G444" i="11"/>
  <c r="AE444" i="11"/>
  <c r="H444" i="11"/>
  <c r="AF444" i="11"/>
  <c r="I444" i="11"/>
  <c r="AG444" i="11"/>
  <c r="J444" i="11"/>
  <c r="AH444" i="11"/>
  <c r="K444" i="11"/>
  <c r="AI444" i="11"/>
  <c r="L444" i="11"/>
  <c r="AJ444" i="11"/>
  <c r="M444" i="11"/>
  <c r="AK444" i="11"/>
  <c r="N444" i="11"/>
  <c r="AL444" i="11"/>
  <c r="O444" i="11"/>
  <c r="AM444" i="11"/>
  <c r="P444" i="11"/>
  <c r="AN444" i="11"/>
  <c r="Q444" i="11"/>
  <c r="AO444" i="11"/>
  <c r="R444" i="11"/>
  <c r="AP444" i="11"/>
  <c r="S444" i="11"/>
  <c r="AQ444" i="11"/>
  <c r="T444" i="11"/>
  <c r="AR444" i="11"/>
  <c r="U444" i="11"/>
  <c r="AS444" i="11"/>
  <c r="V444" i="11"/>
  <c r="AT444" i="11"/>
  <c r="W444" i="11"/>
  <c r="AU444" i="11"/>
  <c r="X444" i="11"/>
  <c r="AV444" i="11"/>
  <c r="Y444" i="11"/>
  <c r="AW444" i="11"/>
  <c r="Z444" i="11"/>
  <c r="AC445" i="11"/>
  <c r="F445" i="11"/>
  <c r="AD445" i="11"/>
  <c r="G445" i="11"/>
  <c r="AE445" i="11"/>
  <c r="H445" i="11"/>
  <c r="AF445" i="11"/>
  <c r="I445" i="11"/>
  <c r="AG445" i="11"/>
  <c r="J445" i="11"/>
  <c r="AH445" i="11"/>
  <c r="K445" i="11"/>
  <c r="AI445" i="11"/>
  <c r="L445" i="11"/>
  <c r="AJ445" i="11"/>
  <c r="M445" i="11"/>
  <c r="AK445" i="11"/>
  <c r="N445" i="11"/>
  <c r="AL445" i="11"/>
  <c r="O445" i="11"/>
  <c r="AM445" i="11"/>
  <c r="P445" i="11"/>
  <c r="AN445" i="11"/>
  <c r="Q445" i="11"/>
  <c r="AO445" i="11"/>
  <c r="R445" i="11"/>
  <c r="AP445" i="11"/>
  <c r="S445" i="11"/>
  <c r="AQ445" i="11"/>
  <c r="T445" i="11"/>
  <c r="AR445" i="11"/>
  <c r="U445" i="11"/>
  <c r="AS445" i="11"/>
  <c r="V445" i="11"/>
  <c r="AT445" i="11"/>
  <c r="W445" i="11"/>
  <c r="AU445" i="11"/>
  <c r="X445" i="11"/>
  <c r="AV445" i="11"/>
  <c r="Y445" i="11"/>
  <c r="AW445" i="11"/>
  <c r="Z445" i="11"/>
  <c r="AC446" i="11"/>
  <c r="F446" i="11"/>
  <c r="AD446" i="11"/>
  <c r="G446" i="11"/>
  <c r="AE446" i="11"/>
  <c r="H446" i="11"/>
  <c r="AF446" i="11"/>
  <c r="I446" i="11"/>
  <c r="AG446" i="11"/>
  <c r="J446" i="11"/>
  <c r="AH446" i="11"/>
  <c r="K446" i="11"/>
  <c r="AI446" i="11"/>
  <c r="L446" i="11"/>
  <c r="AJ446" i="11"/>
  <c r="M446" i="11"/>
  <c r="AK446" i="11"/>
  <c r="N446" i="11"/>
  <c r="AL446" i="11"/>
  <c r="O446" i="11"/>
  <c r="AM446" i="11"/>
  <c r="P446" i="11"/>
  <c r="AN446" i="11"/>
  <c r="Q446" i="11"/>
  <c r="AO446" i="11"/>
  <c r="R446" i="11"/>
  <c r="AP446" i="11"/>
  <c r="S446" i="11"/>
  <c r="AQ446" i="11"/>
  <c r="T446" i="11"/>
  <c r="AR446" i="11"/>
  <c r="U446" i="11"/>
  <c r="AS446" i="11"/>
  <c r="V446" i="11"/>
  <c r="AT446" i="11"/>
  <c r="W446" i="11"/>
  <c r="AU446" i="11"/>
  <c r="X446" i="11"/>
  <c r="AV446" i="11"/>
  <c r="Y446" i="11"/>
  <c r="AW446" i="11"/>
  <c r="Z446" i="11"/>
  <c r="AC447" i="11"/>
  <c r="F447" i="11"/>
  <c r="AD447" i="11"/>
  <c r="G447" i="11"/>
  <c r="AE447" i="11"/>
  <c r="H447" i="11"/>
  <c r="AF447" i="11"/>
  <c r="I447" i="11"/>
  <c r="AG447" i="11"/>
  <c r="J447" i="11"/>
  <c r="AH447" i="11"/>
  <c r="K447" i="11"/>
  <c r="AI447" i="11"/>
  <c r="L447" i="11"/>
  <c r="AJ447" i="11"/>
  <c r="M447" i="11"/>
  <c r="AK447" i="11"/>
  <c r="N447" i="11"/>
  <c r="AL447" i="11"/>
  <c r="O447" i="11"/>
  <c r="AM447" i="11"/>
  <c r="P447" i="11"/>
  <c r="AN447" i="11"/>
  <c r="Q447" i="11"/>
  <c r="AO447" i="11"/>
  <c r="R447" i="11"/>
  <c r="AP447" i="11"/>
  <c r="S447" i="11"/>
  <c r="AQ447" i="11"/>
  <c r="T447" i="11"/>
  <c r="AR447" i="11"/>
  <c r="U447" i="11"/>
  <c r="AS447" i="11"/>
  <c r="V447" i="11"/>
  <c r="AT447" i="11"/>
  <c r="W447" i="11"/>
  <c r="AU447" i="11"/>
  <c r="X447" i="11"/>
  <c r="AV447" i="11"/>
  <c r="Y447" i="11"/>
  <c r="AW447" i="11"/>
  <c r="Z447" i="11"/>
  <c r="AC448" i="11"/>
  <c r="F448" i="11"/>
  <c r="AD448" i="11"/>
  <c r="G448" i="11"/>
  <c r="AE448" i="11"/>
  <c r="H448" i="11"/>
  <c r="AF448" i="11"/>
  <c r="I448" i="11"/>
  <c r="AG448" i="11"/>
  <c r="J448" i="11"/>
  <c r="AH448" i="11"/>
  <c r="K448" i="11"/>
  <c r="AI448" i="11"/>
  <c r="L448" i="11"/>
  <c r="AJ448" i="11"/>
  <c r="M448" i="11"/>
  <c r="AK448" i="11"/>
  <c r="N448" i="11"/>
  <c r="AL448" i="11"/>
  <c r="O448" i="11"/>
  <c r="AM448" i="11"/>
  <c r="P448" i="11"/>
  <c r="AN448" i="11"/>
  <c r="Q448" i="11"/>
  <c r="AO448" i="11"/>
  <c r="R448" i="11"/>
  <c r="AP448" i="11"/>
  <c r="S448" i="11"/>
  <c r="AQ448" i="11"/>
  <c r="T448" i="11"/>
  <c r="AR448" i="11"/>
  <c r="U448" i="11"/>
  <c r="AS448" i="11"/>
  <c r="V448" i="11"/>
  <c r="AT448" i="11"/>
  <c r="W448" i="11"/>
  <c r="AU448" i="11"/>
  <c r="X448" i="11"/>
  <c r="AV448" i="11"/>
  <c r="Y448" i="11"/>
  <c r="AW448" i="11"/>
  <c r="Z448" i="11"/>
  <c r="AC449" i="11"/>
  <c r="F449" i="11"/>
  <c r="AD449" i="11"/>
  <c r="G449" i="11"/>
  <c r="AE449" i="11"/>
  <c r="H449" i="11"/>
  <c r="AF449" i="11"/>
  <c r="I449" i="11"/>
  <c r="AG449" i="11"/>
  <c r="J449" i="11"/>
  <c r="AH449" i="11"/>
  <c r="K449" i="11"/>
  <c r="AI449" i="11"/>
  <c r="L449" i="11"/>
  <c r="AJ449" i="11"/>
  <c r="M449" i="11"/>
  <c r="AK449" i="11"/>
  <c r="N449" i="11"/>
  <c r="AL449" i="11"/>
  <c r="O449" i="11"/>
  <c r="AM449" i="11"/>
  <c r="P449" i="11"/>
  <c r="AN449" i="11"/>
  <c r="Q449" i="11"/>
  <c r="AO449" i="11"/>
  <c r="R449" i="11"/>
  <c r="AP449" i="11"/>
  <c r="S449" i="11"/>
  <c r="AQ449" i="11"/>
  <c r="T449" i="11"/>
  <c r="AR449" i="11"/>
  <c r="U449" i="11"/>
  <c r="AS449" i="11"/>
  <c r="V449" i="11"/>
  <c r="AT449" i="11"/>
  <c r="W449" i="11"/>
  <c r="AU449" i="11"/>
  <c r="X449" i="11"/>
  <c r="AV449" i="11"/>
  <c r="Y449" i="11"/>
  <c r="AW449" i="11"/>
  <c r="Z449" i="11"/>
  <c r="AC450" i="11"/>
  <c r="F450" i="11"/>
  <c r="AD450" i="11"/>
  <c r="G450" i="11"/>
  <c r="AE450" i="11"/>
  <c r="H450" i="11"/>
  <c r="AF450" i="11"/>
  <c r="I450" i="11"/>
  <c r="AG450" i="11"/>
  <c r="J450" i="11"/>
  <c r="AH450" i="11"/>
  <c r="K450" i="11"/>
  <c r="AI450" i="11"/>
  <c r="L450" i="11"/>
  <c r="AJ450" i="11"/>
  <c r="M450" i="11"/>
  <c r="AK450" i="11"/>
  <c r="N450" i="11"/>
  <c r="AL450" i="11"/>
  <c r="O450" i="11"/>
  <c r="AM450" i="11"/>
  <c r="P450" i="11"/>
  <c r="AN450" i="11"/>
  <c r="Q450" i="11"/>
  <c r="AO450" i="11"/>
  <c r="R450" i="11"/>
  <c r="AP450" i="11"/>
  <c r="S450" i="11"/>
  <c r="AQ450" i="11"/>
  <c r="T450" i="11"/>
  <c r="AR450" i="11"/>
  <c r="U450" i="11"/>
  <c r="AS450" i="11"/>
  <c r="V450" i="11"/>
  <c r="AT450" i="11"/>
  <c r="W450" i="11"/>
  <c r="AU450" i="11"/>
  <c r="X450" i="11"/>
  <c r="AV450" i="11"/>
  <c r="Y450" i="11"/>
  <c r="AW450" i="11"/>
  <c r="Z450" i="11"/>
  <c r="AC451" i="11"/>
  <c r="F451" i="11"/>
  <c r="AD451" i="11"/>
  <c r="G451" i="11"/>
  <c r="AE451" i="11"/>
  <c r="H451" i="11"/>
  <c r="AF451" i="11"/>
  <c r="I451" i="11"/>
  <c r="AG451" i="11"/>
  <c r="J451" i="11"/>
  <c r="AH451" i="11"/>
  <c r="K451" i="11"/>
  <c r="AI451" i="11"/>
  <c r="L451" i="11"/>
  <c r="AJ451" i="11"/>
  <c r="M451" i="11"/>
  <c r="AK451" i="11"/>
  <c r="N451" i="11"/>
  <c r="AL451" i="11"/>
  <c r="O451" i="11"/>
  <c r="AM451" i="11"/>
  <c r="P451" i="11"/>
  <c r="AN451" i="11"/>
  <c r="Q451" i="11"/>
  <c r="AO451" i="11"/>
  <c r="R451" i="11"/>
  <c r="AP451" i="11"/>
  <c r="S451" i="11"/>
  <c r="AQ451" i="11"/>
  <c r="T451" i="11"/>
  <c r="AR451" i="11"/>
  <c r="U451" i="11"/>
  <c r="AS451" i="11"/>
  <c r="V451" i="11"/>
  <c r="AT451" i="11"/>
  <c r="W451" i="11"/>
  <c r="AU451" i="11"/>
  <c r="X451" i="11"/>
  <c r="AV451" i="11"/>
  <c r="Y451" i="11"/>
  <c r="AW451" i="11"/>
  <c r="Z451" i="11"/>
  <c r="AC452" i="11"/>
  <c r="F452" i="11"/>
  <c r="AD452" i="11"/>
  <c r="G452" i="11"/>
  <c r="AE452" i="11"/>
  <c r="H452" i="11"/>
  <c r="AF452" i="11"/>
  <c r="I452" i="11"/>
  <c r="AG452" i="11"/>
  <c r="J452" i="11"/>
  <c r="AH452" i="11"/>
  <c r="K452" i="11"/>
  <c r="AI452" i="11"/>
  <c r="L452" i="11"/>
  <c r="AJ452" i="11"/>
  <c r="M452" i="11"/>
  <c r="AK452" i="11"/>
  <c r="N452" i="11"/>
  <c r="AL452" i="11"/>
  <c r="O452" i="11"/>
  <c r="AM452" i="11"/>
  <c r="P452" i="11"/>
  <c r="AN452" i="11"/>
  <c r="Q452" i="11"/>
  <c r="AO452" i="11"/>
  <c r="R452" i="11"/>
  <c r="AP452" i="11"/>
  <c r="S452" i="11"/>
  <c r="AQ452" i="11"/>
  <c r="T452" i="11"/>
  <c r="AR452" i="11"/>
  <c r="U452" i="11"/>
  <c r="AS452" i="11"/>
  <c r="V452" i="11"/>
  <c r="AT452" i="11"/>
  <c r="W452" i="11"/>
  <c r="AU452" i="11"/>
  <c r="X452" i="11"/>
  <c r="AV452" i="11"/>
  <c r="Y452" i="11"/>
  <c r="AW452" i="11"/>
  <c r="Z452" i="11"/>
  <c r="AC453" i="11"/>
  <c r="F453" i="11"/>
  <c r="AD453" i="11"/>
  <c r="G453" i="11"/>
  <c r="AE453" i="11"/>
  <c r="H453" i="11"/>
  <c r="AF453" i="11"/>
  <c r="I453" i="11"/>
  <c r="AG453" i="11"/>
  <c r="J453" i="11"/>
  <c r="AH453" i="11"/>
  <c r="K453" i="11"/>
  <c r="AI453" i="11"/>
  <c r="L453" i="11"/>
  <c r="AJ453" i="11"/>
  <c r="M453" i="11"/>
  <c r="AK453" i="11"/>
  <c r="N453" i="11"/>
  <c r="AL453" i="11"/>
  <c r="O453" i="11"/>
  <c r="AM453" i="11"/>
  <c r="P453" i="11"/>
  <c r="AN453" i="11"/>
  <c r="Q453" i="11"/>
  <c r="AO453" i="11"/>
  <c r="R453" i="11"/>
  <c r="AP453" i="11"/>
  <c r="S453" i="11"/>
  <c r="AQ453" i="11"/>
  <c r="T453" i="11"/>
  <c r="AR453" i="11"/>
  <c r="U453" i="11"/>
  <c r="AS453" i="11"/>
  <c r="V453" i="11"/>
  <c r="AT453" i="11"/>
  <c r="W453" i="11"/>
  <c r="AU453" i="11"/>
  <c r="X453" i="11"/>
  <c r="AV453" i="11"/>
  <c r="Y453" i="11"/>
  <c r="AW453" i="11"/>
  <c r="Z453" i="11"/>
  <c r="AC454" i="11"/>
  <c r="F454" i="11"/>
  <c r="AD454" i="11"/>
  <c r="G454" i="11"/>
  <c r="AE454" i="11"/>
  <c r="H454" i="11"/>
  <c r="AF454" i="11"/>
  <c r="I454" i="11"/>
  <c r="AG454" i="11"/>
  <c r="J454" i="11"/>
  <c r="AH454" i="11"/>
  <c r="K454" i="11"/>
  <c r="AI454" i="11"/>
  <c r="L454" i="11"/>
  <c r="AJ454" i="11"/>
  <c r="M454" i="11"/>
  <c r="AK454" i="11"/>
  <c r="N454" i="11"/>
  <c r="AL454" i="11"/>
  <c r="O454" i="11"/>
  <c r="AM454" i="11"/>
  <c r="P454" i="11"/>
  <c r="AN454" i="11"/>
  <c r="Q454" i="11"/>
  <c r="AO454" i="11"/>
  <c r="R454" i="11"/>
  <c r="AP454" i="11"/>
  <c r="S454" i="11"/>
  <c r="AQ454" i="11"/>
  <c r="T454" i="11"/>
  <c r="AR454" i="11"/>
  <c r="U454" i="11"/>
  <c r="AS454" i="11"/>
  <c r="V454" i="11"/>
  <c r="AT454" i="11"/>
  <c r="W454" i="11"/>
  <c r="AU454" i="11"/>
  <c r="X454" i="11"/>
  <c r="AV454" i="11"/>
  <c r="Y454" i="11"/>
  <c r="AW454" i="11"/>
  <c r="Z454" i="11"/>
  <c r="AC455" i="11"/>
  <c r="F455" i="11"/>
  <c r="AD455" i="11"/>
  <c r="G455" i="11"/>
  <c r="AE455" i="11"/>
  <c r="H455" i="11"/>
  <c r="AF455" i="11"/>
  <c r="I455" i="11"/>
  <c r="AG455" i="11"/>
  <c r="J455" i="11"/>
  <c r="AH455" i="11"/>
  <c r="K455" i="11"/>
  <c r="AI455" i="11"/>
  <c r="L455" i="11"/>
  <c r="AJ455" i="11"/>
  <c r="M455" i="11"/>
  <c r="AK455" i="11"/>
  <c r="N455" i="11"/>
  <c r="AL455" i="11"/>
  <c r="O455" i="11"/>
  <c r="AM455" i="11"/>
  <c r="P455" i="11"/>
  <c r="AN455" i="11"/>
  <c r="Q455" i="11"/>
  <c r="AO455" i="11"/>
  <c r="R455" i="11"/>
  <c r="AP455" i="11"/>
  <c r="S455" i="11"/>
  <c r="AQ455" i="11"/>
  <c r="T455" i="11"/>
  <c r="AR455" i="11"/>
  <c r="U455" i="11"/>
  <c r="AS455" i="11"/>
  <c r="V455" i="11"/>
  <c r="AT455" i="11"/>
  <c r="W455" i="11"/>
  <c r="AU455" i="11"/>
  <c r="X455" i="11"/>
  <c r="AV455" i="11"/>
  <c r="Y455" i="11"/>
  <c r="AW455" i="11"/>
  <c r="Z455" i="11"/>
  <c r="AC456" i="11"/>
  <c r="F456" i="11"/>
  <c r="AD456" i="11"/>
  <c r="G456" i="11"/>
  <c r="AE456" i="11"/>
  <c r="H456" i="11"/>
  <c r="AF456" i="11"/>
  <c r="I456" i="11"/>
  <c r="AG456" i="11"/>
  <c r="J456" i="11"/>
  <c r="AH456" i="11"/>
  <c r="K456" i="11"/>
  <c r="AI456" i="11"/>
  <c r="L456" i="11"/>
  <c r="AJ456" i="11"/>
  <c r="M456" i="11"/>
  <c r="AK456" i="11"/>
  <c r="N456" i="11"/>
  <c r="AL456" i="11"/>
  <c r="O456" i="11"/>
  <c r="AM456" i="11"/>
  <c r="P456" i="11"/>
  <c r="AN456" i="11"/>
  <c r="Q456" i="11"/>
  <c r="AO456" i="11"/>
  <c r="R456" i="11"/>
  <c r="AP456" i="11"/>
  <c r="S456" i="11"/>
  <c r="AQ456" i="11"/>
  <c r="T456" i="11"/>
  <c r="AR456" i="11"/>
  <c r="U456" i="11"/>
  <c r="AS456" i="11"/>
  <c r="V456" i="11"/>
  <c r="AT456" i="11"/>
  <c r="W456" i="11"/>
  <c r="AU456" i="11"/>
  <c r="X456" i="11"/>
  <c r="AV456" i="11"/>
  <c r="Y456" i="11"/>
  <c r="AW456" i="11"/>
  <c r="Z456" i="11"/>
  <c r="AC457" i="11"/>
  <c r="F457" i="11"/>
  <c r="AD457" i="11"/>
  <c r="G457" i="11"/>
  <c r="AE457" i="11"/>
  <c r="H457" i="11"/>
  <c r="AF457" i="11"/>
  <c r="I457" i="11"/>
  <c r="AG457" i="11"/>
  <c r="J457" i="11"/>
  <c r="AH457" i="11"/>
  <c r="K457" i="11"/>
  <c r="AI457" i="11"/>
  <c r="L457" i="11"/>
  <c r="AJ457" i="11"/>
  <c r="M457" i="11"/>
  <c r="AK457" i="11"/>
  <c r="N457" i="11"/>
  <c r="AL457" i="11"/>
  <c r="O457" i="11"/>
  <c r="AM457" i="11"/>
  <c r="P457" i="11"/>
  <c r="AN457" i="11"/>
  <c r="Q457" i="11"/>
  <c r="AO457" i="11"/>
  <c r="R457" i="11"/>
  <c r="AP457" i="11"/>
  <c r="S457" i="11"/>
  <c r="AQ457" i="11"/>
  <c r="T457" i="11"/>
  <c r="AR457" i="11"/>
  <c r="U457" i="11"/>
  <c r="AS457" i="11"/>
  <c r="V457" i="11"/>
  <c r="AT457" i="11"/>
  <c r="W457" i="11"/>
  <c r="AU457" i="11"/>
  <c r="X457" i="11"/>
  <c r="AV457" i="11"/>
  <c r="Y457" i="11"/>
  <c r="AW457" i="11"/>
  <c r="Z457" i="11"/>
  <c r="AC458" i="11"/>
  <c r="F458" i="11"/>
  <c r="AD458" i="11"/>
  <c r="G458" i="11"/>
  <c r="AE458" i="11"/>
  <c r="H458" i="11"/>
  <c r="AF458" i="11"/>
  <c r="I458" i="11"/>
  <c r="AG458" i="11"/>
  <c r="J458" i="11"/>
  <c r="AH458" i="11"/>
  <c r="K458" i="11"/>
  <c r="AI458" i="11"/>
  <c r="L458" i="11"/>
  <c r="AJ458" i="11"/>
  <c r="M458" i="11"/>
  <c r="AK458" i="11"/>
  <c r="N458" i="11"/>
  <c r="AL458" i="11"/>
  <c r="O458" i="11"/>
  <c r="AM458" i="11"/>
  <c r="P458" i="11"/>
  <c r="AN458" i="11"/>
  <c r="Q458" i="11"/>
  <c r="AO458" i="11"/>
  <c r="R458" i="11"/>
  <c r="AP458" i="11"/>
  <c r="S458" i="11"/>
  <c r="AQ458" i="11"/>
  <c r="T458" i="11"/>
  <c r="AR458" i="11"/>
  <c r="U458" i="11"/>
  <c r="AS458" i="11"/>
  <c r="V458" i="11"/>
  <c r="AT458" i="11"/>
  <c r="W458" i="11"/>
  <c r="AU458" i="11"/>
  <c r="X458" i="11"/>
  <c r="AV458" i="11"/>
  <c r="Y458" i="11"/>
  <c r="AW458" i="11"/>
  <c r="Z458" i="11"/>
  <c r="AC459" i="11"/>
  <c r="F459" i="11"/>
  <c r="AD459" i="11"/>
  <c r="G459" i="11"/>
  <c r="AE459" i="11"/>
  <c r="H459" i="11"/>
  <c r="AF459" i="11"/>
  <c r="I459" i="11"/>
  <c r="AG459" i="11"/>
  <c r="J459" i="11"/>
  <c r="AH459" i="11"/>
  <c r="K459" i="11"/>
  <c r="AI459" i="11"/>
  <c r="L459" i="11"/>
  <c r="AJ459" i="11"/>
  <c r="M459" i="11"/>
  <c r="AK459" i="11"/>
  <c r="N459" i="11"/>
  <c r="AL459" i="11"/>
  <c r="O459" i="11"/>
  <c r="AM459" i="11"/>
  <c r="P459" i="11"/>
  <c r="AN459" i="11"/>
  <c r="Q459" i="11"/>
  <c r="AO459" i="11"/>
  <c r="R459" i="11"/>
  <c r="AP459" i="11"/>
  <c r="S459" i="11"/>
  <c r="AQ459" i="11"/>
  <c r="T459" i="11"/>
  <c r="AR459" i="11"/>
  <c r="U459" i="11"/>
  <c r="AS459" i="11"/>
  <c r="V459" i="11"/>
  <c r="AT459" i="11"/>
  <c r="W459" i="11"/>
  <c r="AU459" i="11"/>
  <c r="X459" i="11"/>
  <c r="AV459" i="11"/>
  <c r="Y459" i="11"/>
  <c r="AW459" i="11"/>
  <c r="Z459" i="11"/>
  <c r="AC460" i="11"/>
  <c r="F460" i="11"/>
  <c r="AD460" i="11"/>
  <c r="G460" i="11"/>
  <c r="AE460" i="11"/>
  <c r="H460" i="11"/>
  <c r="AF460" i="11"/>
  <c r="I460" i="11"/>
  <c r="AG460" i="11"/>
  <c r="J460" i="11"/>
  <c r="AH460" i="11"/>
  <c r="K460" i="11"/>
  <c r="AI460" i="11"/>
  <c r="L460" i="11"/>
  <c r="AJ460" i="11"/>
  <c r="M460" i="11"/>
  <c r="AK460" i="11"/>
  <c r="N460" i="11"/>
  <c r="AL460" i="11"/>
  <c r="O460" i="11"/>
  <c r="AM460" i="11"/>
  <c r="P460" i="11"/>
  <c r="AN460" i="11"/>
  <c r="Q460" i="11"/>
  <c r="AO460" i="11"/>
  <c r="R460" i="11"/>
  <c r="AP460" i="11"/>
  <c r="S460" i="11"/>
  <c r="AQ460" i="11"/>
  <c r="T460" i="11"/>
  <c r="AR460" i="11"/>
  <c r="U460" i="11"/>
  <c r="AS460" i="11"/>
  <c r="V460" i="11"/>
  <c r="AT460" i="11"/>
  <c r="W460" i="11"/>
  <c r="AU460" i="11"/>
  <c r="X460" i="11"/>
  <c r="AV460" i="11"/>
  <c r="Y460" i="11"/>
  <c r="AW460" i="11"/>
  <c r="Z460" i="11"/>
  <c r="AC461" i="11"/>
  <c r="F461" i="11"/>
  <c r="AD461" i="11"/>
  <c r="G461" i="11"/>
  <c r="AE461" i="11"/>
  <c r="H461" i="11"/>
  <c r="AF461" i="11"/>
  <c r="I461" i="11"/>
  <c r="AG461" i="11"/>
  <c r="J461" i="11"/>
  <c r="AH461" i="11"/>
  <c r="K461" i="11"/>
  <c r="AI461" i="11"/>
  <c r="L461" i="11"/>
  <c r="AJ461" i="11"/>
  <c r="M461" i="11"/>
  <c r="AK461" i="11"/>
  <c r="N461" i="11"/>
  <c r="AL461" i="11"/>
  <c r="O461" i="11"/>
  <c r="AM461" i="11"/>
  <c r="P461" i="11"/>
  <c r="AN461" i="11"/>
  <c r="Q461" i="11"/>
  <c r="AO461" i="11"/>
  <c r="R461" i="11"/>
  <c r="AP461" i="11"/>
  <c r="S461" i="11"/>
  <c r="AQ461" i="11"/>
  <c r="T461" i="11"/>
  <c r="AR461" i="11"/>
  <c r="U461" i="11"/>
  <c r="AS461" i="11"/>
  <c r="V461" i="11"/>
  <c r="AT461" i="11"/>
  <c r="W461" i="11"/>
  <c r="AU461" i="11"/>
  <c r="X461" i="11"/>
  <c r="AV461" i="11"/>
  <c r="Y461" i="11"/>
  <c r="AW461" i="11"/>
  <c r="Z461" i="11"/>
  <c r="AC462" i="11"/>
  <c r="F462" i="11"/>
  <c r="AD462" i="11"/>
  <c r="G462" i="11"/>
  <c r="AE462" i="11"/>
  <c r="H462" i="11"/>
  <c r="AF462" i="11"/>
  <c r="I462" i="11"/>
  <c r="AG462" i="11"/>
  <c r="J462" i="11"/>
  <c r="AH462" i="11"/>
  <c r="K462" i="11"/>
  <c r="AI462" i="11"/>
  <c r="L462" i="11"/>
  <c r="AJ462" i="11"/>
  <c r="M462" i="11"/>
  <c r="AK462" i="11"/>
  <c r="N462" i="11"/>
  <c r="AL462" i="11"/>
  <c r="O462" i="11"/>
  <c r="AM462" i="11"/>
  <c r="P462" i="11"/>
  <c r="AN462" i="11"/>
  <c r="Q462" i="11"/>
  <c r="AO462" i="11"/>
  <c r="R462" i="11"/>
  <c r="AP462" i="11"/>
  <c r="S462" i="11"/>
  <c r="AQ462" i="11"/>
  <c r="T462" i="11"/>
  <c r="AR462" i="11"/>
  <c r="U462" i="11"/>
  <c r="AS462" i="11"/>
  <c r="V462" i="11"/>
  <c r="AT462" i="11"/>
  <c r="W462" i="11"/>
  <c r="AU462" i="11"/>
  <c r="X462" i="11"/>
  <c r="AV462" i="11"/>
  <c r="Y462" i="11"/>
  <c r="AW462" i="11"/>
  <c r="Z462" i="11"/>
  <c r="AC463" i="11"/>
  <c r="F463" i="11"/>
  <c r="AD463" i="11"/>
  <c r="G463" i="11"/>
  <c r="AE463" i="11"/>
  <c r="H463" i="11"/>
  <c r="AF463" i="11"/>
  <c r="I463" i="11"/>
  <c r="AG463" i="11"/>
  <c r="J463" i="11"/>
  <c r="AH463" i="11"/>
  <c r="K463" i="11"/>
  <c r="AI463" i="11"/>
  <c r="L463" i="11"/>
  <c r="AJ463" i="11"/>
  <c r="M463" i="11"/>
  <c r="AK463" i="11"/>
  <c r="N463" i="11"/>
  <c r="AL463" i="11"/>
  <c r="O463" i="11"/>
  <c r="AM463" i="11"/>
  <c r="P463" i="11"/>
  <c r="AN463" i="11"/>
  <c r="Q463" i="11"/>
  <c r="AO463" i="11"/>
  <c r="R463" i="11"/>
  <c r="AP463" i="11"/>
  <c r="S463" i="11"/>
  <c r="AQ463" i="11"/>
  <c r="T463" i="11"/>
  <c r="AR463" i="11"/>
  <c r="U463" i="11"/>
  <c r="AS463" i="11"/>
  <c r="V463" i="11"/>
  <c r="AT463" i="11"/>
  <c r="W463" i="11"/>
  <c r="AU463" i="11"/>
  <c r="X463" i="11"/>
  <c r="AV463" i="11"/>
  <c r="Y463" i="11"/>
  <c r="AW463" i="11"/>
  <c r="Z463" i="11"/>
  <c r="AC464" i="11"/>
  <c r="F464" i="11"/>
  <c r="AD464" i="11"/>
  <c r="G464" i="11"/>
  <c r="AE464" i="11"/>
  <c r="H464" i="11"/>
  <c r="AF464" i="11"/>
  <c r="I464" i="11"/>
  <c r="AG464" i="11"/>
  <c r="J464" i="11"/>
  <c r="AH464" i="11"/>
  <c r="K464" i="11"/>
  <c r="AI464" i="11"/>
  <c r="L464" i="11"/>
  <c r="AJ464" i="11"/>
  <c r="M464" i="11"/>
  <c r="AK464" i="11"/>
  <c r="N464" i="11"/>
  <c r="AL464" i="11"/>
  <c r="O464" i="11"/>
  <c r="AM464" i="11"/>
  <c r="P464" i="11"/>
  <c r="AN464" i="11"/>
  <c r="Q464" i="11"/>
  <c r="AO464" i="11"/>
  <c r="R464" i="11"/>
  <c r="AP464" i="11"/>
  <c r="S464" i="11"/>
  <c r="AQ464" i="11"/>
  <c r="T464" i="11"/>
  <c r="AR464" i="11"/>
  <c r="U464" i="11"/>
  <c r="AS464" i="11"/>
  <c r="V464" i="11"/>
  <c r="AT464" i="11"/>
  <c r="W464" i="11"/>
  <c r="AU464" i="11"/>
  <c r="X464" i="11"/>
  <c r="AV464" i="11"/>
  <c r="Y464" i="11"/>
  <c r="AW464" i="11"/>
  <c r="Z464" i="11"/>
  <c r="AC465" i="11"/>
  <c r="F465" i="11"/>
  <c r="AD465" i="11"/>
  <c r="G465" i="11"/>
  <c r="AE465" i="11"/>
  <c r="H465" i="11"/>
  <c r="AF465" i="11"/>
  <c r="I465" i="11"/>
  <c r="AG465" i="11"/>
  <c r="J465" i="11"/>
  <c r="AH465" i="11"/>
  <c r="K465" i="11"/>
  <c r="AI465" i="11"/>
  <c r="L465" i="11"/>
  <c r="AJ465" i="11"/>
  <c r="M465" i="11"/>
  <c r="AK465" i="11"/>
  <c r="N465" i="11"/>
  <c r="AL465" i="11"/>
  <c r="O465" i="11"/>
  <c r="AM465" i="11"/>
  <c r="P465" i="11"/>
  <c r="AN465" i="11"/>
  <c r="Q465" i="11"/>
  <c r="AO465" i="11"/>
  <c r="R465" i="11"/>
  <c r="AP465" i="11"/>
  <c r="S465" i="11"/>
  <c r="AQ465" i="11"/>
  <c r="T465" i="11"/>
  <c r="AR465" i="11"/>
  <c r="U465" i="11"/>
  <c r="AS465" i="11"/>
  <c r="V465" i="11"/>
  <c r="AT465" i="11"/>
  <c r="W465" i="11"/>
  <c r="AU465" i="11"/>
  <c r="X465" i="11"/>
  <c r="AV465" i="11"/>
  <c r="Y465" i="11"/>
  <c r="AW465" i="11"/>
  <c r="Z465" i="11"/>
  <c r="AC466" i="11"/>
  <c r="F466" i="11"/>
  <c r="AD466" i="11"/>
  <c r="G466" i="11"/>
  <c r="AE466" i="11"/>
  <c r="H466" i="11"/>
  <c r="AF466" i="11"/>
  <c r="I466" i="11"/>
  <c r="AG466" i="11"/>
  <c r="J466" i="11"/>
  <c r="AH466" i="11"/>
  <c r="K466" i="11"/>
  <c r="AI466" i="11"/>
  <c r="L466" i="11"/>
  <c r="AJ466" i="11"/>
  <c r="M466" i="11"/>
  <c r="AK466" i="11"/>
  <c r="N466" i="11"/>
  <c r="AL466" i="11"/>
  <c r="O466" i="11"/>
  <c r="AM466" i="11"/>
  <c r="P466" i="11"/>
  <c r="AN466" i="11"/>
  <c r="Q466" i="11"/>
  <c r="AO466" i="11"/>
  <c r="R466" i="11"/>
  <c r="AP466" i="11"/>
  <c r="S466" i="11"/>
  <c r="AQ466" i="11"/>
  <c r="T466" i="11"/>
  <c r="AR466" i="11"/>
  <c r="U466" i="11"/>
  <c r="AS466" i="11"/>
  <c r="V466" i="11"/>
  <c r="AT466" i="11"/>
  <c r="W466" i="11"/>
  <c r="AU466" i="11"/>
  <c r="X466" i="11"/>
  <c r="AV466" i="11"/>
  <c r="Y466" i="11"/>
  <c r="AW466" i="11"/>
  <c r="Z466" i="11"/>
  <c r="AC467" i="11"/>
  <c r="F467" i="11"/>
  <c r="AD467" i="11"/>
  <c r="G467" i="11"/>
  <c r="AE467" i="11"/>
  <c r="H467" i="11"/>
  <c r="AF467" i="11"/>
  <c r="I467" i="11"/>
  <c r="AG467" i="11"/>
  <c r="J467" i="11"/>
  <c r="AH467" i="11"/>
  <c r="K467" i="11"/>
  <c r="AI467" i="11"/>
  <c r="L467" i="11"/>
  <c r="AJ467" i="11"/>
  <c r="M467" i="11"/>
  <c r="AK467" i="11"/>
  <c r="N467" i="11"/>
  <c r="AL467" i="11"/>
  <c r="O467" i="11"/>
  <c r="AM467" i="11"/>
  <c r="P467" i="11"/>
  <c r="AN467" i="11"/>
  <c r="Q467" i="11"/>
  <c r="AO467" i="11"/>
  <c r="R467" i="11"/>
  <c r="AP467" i="11"/>
  <c r="S467" i="11"/>
  <c r="AQ467" i="11"/>
  <c r="T467" i="11"/>
  <c r="AR467" i="11"/>
  <c r="U467" i="11"/>
  <c r="AS467" i="11"/>
  <c r="V467" i="11"/>
  <c r="AT467" i="11"/>
  <c r="W467" i="11"/>
  <c r="AU467" i="11"/>
  <c r="X467" i="11"/>
  <c r="AV467" i="11"/>
  <c r="Y467" i="11"/>
  <c r="AW467" i="11"/>
  <c r="Z467" i="11"/>
  <c r="AC468" i="11"/>
  <c r="F468" i="11"/>
  <c r="AD468" i="11"/>
  <c r="G468" i="11"/>
  <c r="AE468" i="11"/>
  <c r="H468" i="11"/>
  <c r="AF468" i="11"/>
  <c r="I468" i="11"/>
  <c r="AG468" i="11"/>
  <c r="J468" i="11"/>
  <c r="AH468" i="11"/>
  <c r="K468" i="11"/>
  <c r="AI468" i="11"/>
  <c r="L468" i="11"/>
  <c r="AJ468" i="11"/>
  <c r="M468" i="11"/>
  <c r="AK468" i="11"/>
  <c r="N468" i="11"/>
  <c r="AL468" i="11"/>
  <c r="O468" i="11"/>
  <c r="AM468" i="11"/>
  <c r="P468" i="11"/>
  <c r="AN468" i="11"/>
  <c r="Q468" i="11"/>
  <c r="AO468" i="11"/>
  <c r="R468" i="11"/>
  <c r="AP468" i="11"/>
  <c r="S468" i="11"/>
  <c r="AQ468" i="11"/>
  <c r="T468" i="11"/>
  <c r="AR468" i="11"/>
  <c r="U468" i="11"/>
  <c r="AS468" i="11"/>
  <c r="V468" i="11"/>
  <c r="AT468" i="11"/>
  <c r="W468" i="11"/>
  <c r="AU468" i="11"/>
  <c r="X468" i="11"/>
  <c r="AV468" i="11"/>
  <c r="Y468" i="11"/>
  <c r="AW468" i="11"/>
  <c r="Z468" i="11"/>
  <c r="AC469" i="11"/>
  <c r="F469" i="11"/>
  <c r="AD469" i="11"/>
  <c r="G469" i="11"/>
  <c r="AE469" i="11"/>
  <c r="H469" i="11"/>
  <c r="AF469" i="11"/>
  <c r="I469" i="11"/>
  <c r="AG469" i="11"/>
  <c r="J469" i="11"/>
  <c r="AH469" i="11"/>
  <c r="K469" i="11"/>
  <c r="AI469" i="11"/>
  <c r="L469" i="11"/>
  <c r="AJ469" i="11"/>
  <c r="M469" i="11"/>
  <c r="AK469" i="11"/>
  <c r="N469" i="11"/>
  <c r="AL469" i="11"/>
  <c r="O469" i="11"/>
  <c r="AM469" i="11"/>
  <c r="P469" i="11"/>
  <c r="AN469" i="11"/>
  <c r="Q469" i="11"/>
  <c r="AO469" i="11"/>
  <c r="R469" i="11"/>
  <c r="AP469" i="11"/>
  <c r="S469" i="11"/>
  <c r="AQ469" i="11"/>
  <c r="T469" i="11"/>
  <c r="AR469" i="11"/>
  <c r="U469" i="11"/>
  <c r="AS469" i="11"/>
  <c r="V469" i="11"/>
  <c r="AT469" i="11"/>
  <c r="W469" i="11"/>
  <c r="AU469" i="11"/>
  <c r="X469" i="11"/>
  <c r="AV469" i="11"/>
  <c r="Y469" i="11"/>
  <c r="AW469" i="11"/>
  <c r="Z469" i="11"/>
  <c r="AC470" i="11"/>
  <c r="F470" i="11"/>
  <c r="AD470" i="11"/>
  <c r="G470" i="11"/>
  <c r="AE470" i="11"/>
  <c r="H470" i="11"/>
  <c r="AF470" i="11"/>
  <c r="I470" i="11"/>
  <c r="AG470" i="11"/>
  <c r="J470" i="11"/>
  <c r="AH470" i="11"/>
  <c r="K470" i="11"/>
  <c r="AI470" i="11"/>
  <c r="L470" i="11"/>
  <c r="AJ470" i="11"/>
  <c r="M470" i="11"/>
  <c r="AK470" i="11"/>
  <c r="N470" i="11"/>
  <c r="AL470" i="11"/>
  <c r="O470" i="11"/>
  <c r="AM470" i="11"/>
  <c r="P470" i="11"/>
  <c r="AN470" i="11"/>
  <c r="Q470" i="11"/>
  <c r="AO470" i="11"/>
  <c r="R470" i="11"/>
  <c r="AP470" i="11"/>
  <c r="S470" i="11"/>
  <c r="AQ470" i="11"/>
  <c r="T470" i="11"/>
  <c r="AR470" i="11"/>
  <c r="U470" i="11"/>
  <c r="AS470" i="11"/>
  <c r="V470" i="11"/>
  <c r="AT470" i="11"/>
  <c r="W470" i="11"/>
  <c r="AU470" i="11"/>
  <c r="X470" i="11"/>
  <c r="AV470" i="11"/>
  <c r="Y470" i="11"/>
  <c r="AW470" i="11"/>
  <c r="Z470" i="11"/>
  <c r="AC471" i="11"/>
  <c r="F471" i="11"/>
  <c r="AD471" i="11"/>
  <c r="G471" i="11"/>
  <c r="AE471" i="11"/>
  <c r="H471" i="11"/>
  <c r="AF471" i="11"/>
  <c r="I471" i="11"/>
  <c r="AG471" i="11"/>
  <c r="J471" i="11"/>
  <c r="AH471" i="11"/>
  <c r="K471" i="11"/>
  <c r="AI471" i="11"/>
  <c r="L471" i="11"/>
  <c r="AJ471" i="11"/>
  <c r="M471" i="11"/>
  <c r="AK471" i="11"/>
  <c r="N471" i="11"/>
  <c r="AL471" i="11"/>
  <c r="O471" i="11"/>
  <c r="AM471" i="11"/>
  <c r="P471" i="11"/>
  <c r="AN471" i="11"/>
  <c r="Q471" i="11"/>
  <c r="AO471" i="11"/>
  <c r="R471" i="11"/>
  <c r="AP471" i="11"/>
  <c r="S471" i="11"/>
  <c r="AQ471" i="11"/>
  <c r="T471" i="11"/>
  <c r="AR471" i="11"/>
  <c r="U471" i="11"/>
  <c r="AS471" i="11"/>
  <c r="V471" i="11"/>
  <c r="AT471" i="11"/>
  <c r="W471" i="11"/>
  <c r="AU471" i="11"/>
  <c r="X471" i="11"/>
  <c r="AV471" i="11"/>
  <c r="Y471" i="11"/>
  <c r="AW471" i="11"/>
  <c r="Z471" i="11"/>
  <c r="AC472" i="11"/>
  <c r="F472" i="11"/>
  <c r="AD472" i="11"/>
  <c r="G472" i="11"/>
  <c r="AE472" i="11"/>
  <c r="H472" i="11"/>
  <c r="AF472" i="11"/>
  <c r="I472" i="11"/>
  <c r="AG472" i="11"/>
  <c r="J472" i="11"/>
  <c r="AH472" i="11"/>
  <c r="K472" i="11"/>
  <c r="AI472" i="11"/>
  <c r="L472" i="11"/>
  <c r="AJ472" i="11"/>
  <c r="M472" i="11"/>
  <c r="AK472" i="11"/>
  <c r="N472" i="11"/>
  <c r="AL472" i="11"/>
  <c r="O472" i="11"/>
  <c r="AM472" i="11"/>
  <c r="P472" i="11"/>
  <c r="AN472" i="11"/>
  <c r="Q472" i="11"/>
  <c r="AO472" i="11"/>
  <c r="R472" i="11"/>
  <c r="AP472" i="11"/>
  <c r="S472" i="11"/>
  <c r="AQ472" i="11"/>
  <c r="T472" i="11"/>
  <c r="AR472" i="11"/>
  <c r="U472" i="11"/>
  <c r="AS472" i="11"/>
  <c r="V472" i="11"/>
  <c r="AT472" i="11"/>
  <c r="W472" i="11"/>
  <c r="AU472" i="11"/>
  <c r="X472" i="11"/>
  <c r="AV472" i="11"/>
  <c r="Y472" i="11"/>
  <c r="AW472" i="11"/>
  <c r="Z472" i="11"/>
  <c r="AC473" i="11"/>
  <c r="F473" i="11"/>
  <c r="AD473" i="11"/>
  <c r="G473" i="11"/>
  <c r="AE473" i="11"/>
  <c r="H473" i="11"/>
  <c r="AF473" i="11"/>
  <c r="I473" i="11"/>
  <c r="AG473" i="11"/>
  <c r="J473" i="11"/>
  <c r="AH473" i="11"/>
  <c r="K473" i="11"/>
  <c r="AI473" i="11"/>
  <c r="L473" i="11"/>
  <c r="AJ473" i="11"/>
  <c r="M473" i="11"/>
  <c r="AK473" i="11"/>
  <c r="N473" i="11"/>
  <c r="AL473" i="11"/>
  <c r="O473" i="11"/>
  <c r="AM473" i="11"/>
  <c r="P473" i="11"/>
  <c r="AN473" i="11"/>
  <c r="Q473" i="11"/>
  <c r="AO473" i="11"/>
  <c r="R473" i="11"/>
  <c r="AP473" i="11"/>
  <c r="S473" i="11"/>
  <c r="AQ473" i="11"/>
  <c r="T473" i="11"/>
  <c r="AR473" i="11"/>
  <c r="U473" i="11"/>
  <c r="AS473" i="11"/>
  <c r="V473" i="11"/>
  <c r="AT473" i="11"/>
  <c r="W473" i="11"/>
  <c r="AU473" i="11"/>
  <c r="X473" i="11"/>
  <c r="AV473" i="11"/>
  <c r="Y473" i="11"/>
  <c r="AW473" i="11"/>
  <c r="Z473" i="11"/>
  <c r="AC474" i="11"/>
  <c r="F474" i="11"/>
  <c r="AD474" i="11"/>
  <c r="G474" i="11"/>
  <c r="AE474" i="11"/>
  <c r="H474" i="11"/>
  <c r="AF474" i="11"/>
  <c r="I474" i="11"/>
  <c r="AG474" i="11"/>
  <c r="J474" i="11"/>
  <c r="AH474" i="11"/>
  <c r="K474" i="11"/>
  <c r="AI474" i="11"/>
  <c r="L474" i="11"/>
  <c r="AJ474" i="11"/>
  <c r="M474" i="11"/>
  <c r="AK474" i="11"/>
  <c r="N474" i="11"/>
  <c r="AL474" i="11"/>
  <c r="O474" i="11"/>
  <c r="AM474" i="11"/>
  <c r="P474" i="11"/>
  <c r="AN474" i="11"/>
  <c r="Q474" i="11"/>
  <c r="AO474" i="11"/>
  <c r="R474" i="11"/>
  <c r="AP474" i="11"/>
  <c r="S474" i="11"/>
  <c r="AQ474" i="11"/>
  <c r="T474" i="11"/>
  <c r="AR474" i="11"/>
  <c r="U474" i="11"/>
  <c r="AS474" i="11"/>
  <c r="V474" i="11"/>
  <c r="AT474" i="11"/>
  <c r="W474" i="11"/>
  <c r="AU474" i="11"/>
  <c r="X474" i="11"/>
  <c r="AV474" i="11"/>
  <c r="Y474" i="11"/>
  <c r="AW474" i="11"/>
  <c r="Z474" i="11"/>
  <c r="AC475" i="11"/>
  <c r="F475" i="11"/>
  <c r="AD475" i="11"/>
  <c r="G475" i="11"/>
  <c r="AE475" i="11"/>
  <c r="H475" i="11"/>
  <c r="AF475" i="11"/>
  <c r="I475" i="11"/>
  <c r="AG475" i="11"/>
  <c r="J475" i="11"/>
  <c r="AH475" i="11"/>
  <c r="K475" i="11"/>
  <c r="AI475" i="11"/>
  <c r="L475" i="11"/>
  <c r="AJ475" i="11"/>
  <c r="M475" i="11"/>
  <c r="AK475" i="11"/>
  <c r="N475" i="11"/>
  <c r="AL475" i="11"/>
  <c r="O475" i="11"/>
  <c r="AM475" i="11"/>
  <c r="P475" i="11"/>
  <c r="AN475" i="11"/>
  <c r="Q475" i="11"/>
  <c r="AO475" i="11"/>
  <c r="R475" i="11"/>
  <c r="AP475" i="11"/>
  <c r="S475" i="11"/>
  <c r="AQ475" i="11"/>
  <c r="T475" i="11"/>
  <c r="AR475" i="11"/>
  <c r="U475" i="11"/>
  <c r="AS475" i="11"/>
  <c r="V475" i="11"/>
  <c r="AT475" i="11"/>
  <c r="W475" i="11"/>
  <c r="AU475" i="11"/>
  <c r="X475" i="11"/>
  <c r="AV475" i="11"/>
  <c r="Y475" i="11"/>
  <c r="AW475" i="11"/>
  <c r="Z475" i="11"/>
  <c r="AC476" i="11"/>
  <c r="F476" i="11"/>
  <c r="AD476" i="11"/>
  <c r="G476" i="11"/>
  <c r="AE476" i="11"/>
  <c r="H476" i="11"/>
  <c r="AF476" i="11"/>
  <c r="I476" i="11"/>
  <c r="AG476" i="11"/>
  <c r="J476" i="11"/>
  <c r="AH476" i="11"/>
  <c r="K476" i="11"/>
  <c r="AI476" i="11"/>
  <c r="L476" i="11"/>
  <c r="AJ476" i="11"/>
  <c r="M476" i="11"/>
  <c r="AK476" i="11"/>
  <c r="N476" i="11"/>
  <c r="AL476" i="11"/>
  <c r="O476" i="11"/>
  <c r="AM476" i="11"/>
  <c r="P476" i="11"/>
  <c r="AN476" i="11"/>
  <c r="Q476" i="11"/>
  <c r="AO476" i="11"/>
  <c r="R476" i="11"/>
  <c r="AP476" i="11"/>
  <c r="S476" i="11"/>
  <c r="AQ476" i="11"/>
  <c r="T476" i="11"/>
  <c r="AR476" i="11"/>
  <c r="U476" i="11"/>
  <c r="AS476" i="11"/>
  <c r="V476" i="11"/>
  <c r="AT476" i="11"/>
  <c r="W476" i="11"/>
  <c r="AU476" i="11"/>
  <c r="X476" i="11"/>
  <c r="AV476" i="11"/>
  <c r="Y476" i="11"/>
  <c r="AW476" i="11"/>
  <c r="Z476" i="11"/>
  <c r="AC477" i="11"/>
  <c r="F477" i="11"/>
  <c r="AD477" i="11"/>
  <c r="G477" i="11"/>
  <c r="AE477" i="11"/>
  <c r="H477" i="11"/>
  <c r="AF477" i="11"/>
  <c r="I477" i="11"/>
  <c r="AG477" i="11"/>
  <c r="J477" i="11"/>
  <c r="AH477" i="11"/>
  <c r="K477" i="11"/>
  <c r="AI477" i="11"/>
  <c r="L477" i="11"/>
  <c r="AJ477" i="11"/>
  <c r="M477" i="11"/>
  <c r="AK477" i="11"/>
  <c r="N477" i="11"/>
  <c r="AL477" i="11"/>
  <c r="O477" i="11"/>
  <c r="AM477" i="11"/>
  <c r="P477" i="11"/>
  <c r="AN477" i="11"/>
  <c r="Q477" i="11"/>
  <c r="AO477" i="11"/>
  <c r="R477" i="11"/>
  <c r="AP477" i="11"/>
  <c r="S477" i="11"/>
  <c r="AQ477" i="11"/>
  <c r="T477" i="11"/>
  <c r="AR477" i="11"/>
  <c r="U477" i="11"/>
  <c r="AS477" i="11"/>
  <c r="V477" i="11"/>
  <c r="AT477" i="11"/>
  <c r="W477" i="11"/>
  <c r="AU477" i="11"/>
  <c r="X477" i="11"/>
  <c r="AV477" i="11"/>
  <c r="Y477" i="11"/>
  <c r="AW477" i="11"/>
  <c r="Z477" i="11"/>
  <c r="AC478" i="11"/>
  <c r="F478" i="11"/>
  <c r="AD478" i="11"/>
  <c r="G478" i="11"/>
  <c r="AE478" i="11"/>
  <c r="H478" i="11"/>
  <c r="AF478" i="11"/>
  <c r="I478" i="11"/>
  <c r="AG478" i="11"/>
  <c r="J478" i="11"/>
  <c r="AH478" i="11"/>
  <c r="K478" i="11"/>
  <c r="AI478" i="11"/>
  <c r="L478" i="11"/>
  <c r="AJ478" i="11"/>
  <c r="M478" i="11"/>
  <c r="AK478" i="11"/>
  <c r="N478" i="11"/>
  <c r="AL478" i="11"/>
  <c r="O478" i="11"/>
  <c r="AM478" i="11"/>
  <c r="P478" i="11"/>
  <c r="AN478" i="11"/>
  <c r="Q478" i="11"/>
  <c r="AO478" i="11"/>
  <c r="R478" i="11"/>
  <c r="AP478" i="11"/>
  <c r="S478" i="11"/>
  <c r="AQ478" i="11"/>
  <c r="T478" i="11"/>
  <c r="AR478" i="11"/>
  <c r="U478" i="11"/>
  <c r="AS478" i="11"/>
  <c r="V478" i="11"/>
  <c r="AT478" i="11"/>
  <c r="W478" i="11"/>
  <c r="AU478" i="11"/>
  <c r="X478" i="11"/>
  <c r="AV478" i="11"/>
  <c r="Y478" i="11"/>
  <c r="AW478" i="11"/>
  <c r="Z478" i="11"/>
  <c r="AC479" i="11"/>
  <c r="F479" i="11"/>
  <c r="AD479" i="11"/>
  <c r="G479" i="11"/>
  <c r="AE479" i="11"/>
  <c r="H479" i="11"/>
  <c r="AF479" i="11"/>
  <c r="I479" i="11"/>
  <c r="AG479" i="11"/>
  <c r="J479" i="11"/>
  <c r="AH479" i="11"/>
  <c r="K479" i="11"/>
  <c r="AI479" i="11"/>
  <c r="L479" i="11"/>
  <c r="AJ479" i="11"/>
  <c r="M479" i="11"/>
  <c r="AK479" i="11"/>
  <c r="N479" i="11"/>
  <c r="AL479" i="11"/>
  <c r="O479" i="11"/>
  <c r="AM479" i="11"/>
  <c r="P479" i="11"/>
  <c r="AN479" i="11"/>
  <c r="Q479" i="11"/>
  <c r="AO479" i="11"/>
  <c r="R479" i="11"/>
  <c r="AP479" i="11"/>
  <c r="S479" i="11"/>
  <c r="AQ479" i="11"/>
  <c r="T479" i="11"/>
  <c r="AR479" i="11"/>
  <c r="U479" i="11"/>
  <c r="AS479" i="11"/>
  <c r="V479" i="11"/>
  <c r="AT479" i="11"/>
  <c r="W479" i="11"/>
  <c r="AU479" i="11"/>
  <c r="X479" i="11"/>
  <c r="AV479" i="11"/>
  <c r="Y479" i="11"/>
  <c r="AW479" i="11"/>
  <c r="Z479" i="11"/>
  <c r="AC480" i="11"/>
  <c r="F480" i="11"/>
  <c r="AD480" i="11"/>
  <c r="G480" i="11"/>
  <c r="AE480" i="11"/>
  <c r="H480" i="11"/>
  <c r="AF480" i="11"/>
  <c r="I480" i="11"/>
  <c r="AG480" i="11"/>
  <c r="J480" i="11"/>
  <c r="AH480" i="11"/>
  <c r="K480" i="11"/>
  <c r="AI480" i="11"/>
  <c r="L480" i="11"/>
  <c r="AJ480" i="11"/>
  <c r="M480" i="11"/>
  <c r="AK480" i="11"/>
  <c r="N480" i="11"/>
  <c r="AL480" i="11"/>
  <c r="O480" i="11"/>
  <c r="AM480" i="11"/>
  <c r="P480" i="11"/>
  <c r="AN480" i="11"/>
  <c r="Q480" i="11"/>
  <c r="AO480" i="11"/>
  <c r="R480" i="11"/>
  <c r="AP480" i="11"/>
  <c r="S480" i="11"/>
  <c r="AQ480" i="11"/>
  <c r="T480" i="11"/>
  <c r="AR480" i="11"/>
  <c r="U480" i="11"/>
  <c r="AS480" i="11"/>
  <c r="V480" i="11"/>
  <c r="AT480" i="11"/>
  <c r="W480" i="11"/>
  <c r="AU480" i="11"/>
  <c r="X480" i="11"/>
  <c r="AV480" i="11"/>
  <c r="Y480" i="11"/>
  <c r="AW480" i="11"/>
  <c r="Z480" i="11"/>
  <c r="AC481" i="11"/>
  <c r="F481" i="11"/>
  <c r="AD481" i="11"/>
  <c r="G481" i="11"/>
  <c r="AE481" i="11"/>
  <c r="H481" i="11"/>
  <c r="AF481" i="11"/>
  <c r="I481" i="11"/>
  <c r="AG481" i="11"/>
  <c r="J481" i="11"/>
  <c r="AH481" i="11"/>
  <c r="K481" i="11"/>
  <c r="AI481" i="11"/>
  <c r="L481" i="11"/>
  <c r="AJ481" i="11"/>
  <c r="M481" i="11"/>
  <c r="AK481" i="11"/>
  <c r="N481" i="11"/>
  <c r="AL481" i="11"/>
  <c r="O481" i="11"/>
  <c r="AM481" i="11"/>
  <c r="P481" i="11"/>
  <c r="AN481" i="11"/>
  <c r="Q481" i="11"/>
  <c r="AO481" i="11"/>
  <c r="R481" i="11"/>
  <c r="AP481" i="11"/>
  <c r="S481" i="11"/>
  <c r="AQ481" i="11"/>
  <c r="T481" i="11"/>
  <c r="AR481" i="11"/>
  <c r="U481" i="11"/>
  <c r="AS481" i="11"/>
  <c r="V481" i="11"/>
  <c r="AT481" i="11"/>
  <c r="W481" i="11"/>
  <c r="AU481" i="11"/>
  <c r="X481" i="11"/>
  <c r="AV481" i="11"/>
  <c r="Y481" i="11"/>
  <c r="AW481" i="11"/>
  <c r="Z481" i="11"/>
  <c r="AC482" i="11"/>
  <c r="F482" i="11"/>
  <c r="AD482" i="11"/>
  <c r="G482" i="11"/>
  <c r="AE482" i="11"/>
  <c r="H482" i="11"/>
  <c r="AF482" i="11"/>
  <c r="I482" i="11"/>
  <c r="AG482" i="11"/>
  <c r="J482" i="11"/>
  <c r="AH482" i="11"/>
  <c r="K482" i="11"/>
  <c r="AI482" i="11"/>
  <c r="L482" i="11"/>
  <c r="AJ482" i="11"/>
  <c r="M482" i="11"/>
  <c r="AK482" i="11"/>
  <c r="N482" i="11"/>
  <c r="AL482" i="11"/>
  <c r="O482" i="11"/>
  <c r="AM482" i="11"/>
  <c r="P482" i="11"/>
  <c r="AN482" i="11"/>
  <c r="Q482" i="11"/>
  <c r="AO482" i="11"/>
  <c r="R482" i="11"/>
  <c r="AP482" i="11"/>
  <c r="S482" i="11"/>
  <c r="AQ482" i="11"/>
  <c r="T482" i="11"/>
  <c r="AR482" i="11"/>
  <c r="U482" i="11"/>
  <c r="AS482" i="11"/>
  <c r="V482" i="11"/>
  <c r="AT482" i="11"/>
  <c r="W482" i="11"/>
  <c r="AU482" i="11"/>
  <c r="X482" i="11"/>
  <c r="AV482" i="11"/>
  <c r="Y482" i="11"/>
  <c r="AW482" i="11"/>
  <c r="Z482" i="11"/>
  <c r="AC483" i="11"/>
  <c r="F483" i="11"/>
  <c r="AD483" i="11"/>
  <c r="G483" i="11"/>
  <c r="AE483" i="11"/>
  <c r="H483" i="11"/>
  <c r="AF483" i="11"/>
  <c r="I483" i="11"/>
  <c r="AG483" i="11"/>
  <c r="J483" i="11"/>
  <c r="AH483" i="11"/>
  <c r="K483" i="11"/>
  <c r="AI483" i="11"/>
  <c r="L483" i="11"/>
  <c r="AJ483" i="11"/>
  <c r="M483" i="11"/>
  <c r="AK483" i="11"/>
  <c r="N483" i="11"/>
  <c r="AL483" i="11"/>
  <c r="O483" i="11"/>
  <c r="AM483" i="11"/>
  <c r="P483" i="11"/>
  <c r="AN483" i="11"/>
  <c r="Q483" i="11"/>
  <c r="AO483" i="11"/>
  <c r="R483" i="11"/>
  <c r="AP483" i="11"/>
  <c r="S483" i="11"/>
  <c r="AQ483" i="11"/>
  <c r="T483" i="11"/>
  <c r="AR483" i="11"/>
  <c r="U483" i="11"/>
  <c r="AS483" i="11"/>
  <c r="V483" i="11"/>
  <c r="AT483" i="11"/>
  <c r="W483" i="11"/>
  <c r="AU483" i="11"/>
  <c r="X483" i="11"/>
  <c r="AV483" i="11"/>
  <c r="Y483" i="11"/>
  <c r="AW483" i="11"/>
  <c r="Z483" i="11"/>
  <c r="AC484" i="11"/>
  <c r="F484" i="11"/>
  <c r="AD484" i="11"/>
  <c r="G484" i="11"/>
  <c r="AE484" i="11"/>
  <c r="H484" i="11"/>
  <c r="AF484" i="11"/>
  <c r="I484" i="11"/>
  <c r="AG484" i="11"/>
  <c r="J484" i="11"/>
  <c r="AH484" i="11"/>
  <c r="K484" i="11"/>
  <c r="AI484" i="11"/>
  <c r="L484" i="11"/>
  <c r="AJ484" i="11"/>
  <c r="M484" i="11"/>
  <c r="AK484" i="11"/>
  <c r="N484" i="11"/>
  <c r="AL484" i="11"/>
  <c r="O484" i="11"/>
  <c r="AM484" i="11"/>
  <c r="P484" i="11"/>
  <c r="AN484" i="11"/>
  <c r="Q484" i="11"/>
  <c r="AO484" i="11"/>
  <c r="R484" i="11"/>
  <c r="AP484" i="11"/>
  <c r="S484" i="11"/>
  <c r="AQ484" i="11"/>
  <c r="T484" i="11"/>
  <c r="AR484" i="11"/>
  <c r="U484" i="11"/>
  <c r="AS484" i="11"/>
  <c r="V484" i="11"/>
  <c r="AT484" i="11"/>
  <c r="W484" i="11"/>
  <c r="AU484" i="11"/>
  <c r="X484" i="11"/>
  <c r="AV484" i="11"/>
  <c r="Y484" i="11"/>
  <c r="AW484" i="11"/>
  <c r="Z484" i="11"/>
  <c r="AC485" i="11"/>
  <c r="F485" i="11"/>
  <c r="AD485" i="11"/>
  <c r="G485" i="11"/>
  <c r="AE485" i="11"/>
  <c r="H485" i="11"/>
  <c r="AF485" i="11"/>
  <c r="I485" i="11"/>
  <c r="AG485" i="11"/>
  <c r="J485" i="11"/>
  <c r="AH485" i="11"/>
  <c r="K485" i="11"/>
  <c r="AI485" i="11"/>
  <c r="L485" i="11"/>
  <c r="AJ485" i="11"/>
  <c r="M485" i="11"/>
  <c r="AK485" i="11"/>
  <c r="N485" i="11"/>
  <c r="AL485" i="11"/>
  <c r="O485" i="11"/>
  <c r="AM485" i="11"/>
  <c r="P485" i="11"/>
  <c r="AN485" i="11"/>
  <c r="Q485" i="11"/>
  <c r="AO485" i="11"/>
  <c r="R485" i="11"/>
  <c r="AP485" i="11"/>
  <c r="S485" i="11"/>
  <c r="AQ485" i="11"/>
  <c r="T485" i="11"/>
  <c r="AR485" i="11"/>
  <c r="U485" i="11"/>
  <c r="AS485" i="11"/>
  <c r="V485" i="11"/>
  <c r="AT485" i="11"/>
  <c r="W485" i="11"/>
  <c r="AU485" i="11"/>
  <c r="X485" i="11"/>
  <c r="AV485" i="11"/>
  <c r="Y485" i="11"/>
  <c r="AW485" i="11"/>
  <c r="Z485" i="11"/>
  <c r="AC486" i="11"/>
  <c r="F486" i="11"/>
  <c r="AD486" i="11"/>
  <c r="G486" i="11"/>
  <c r="AE486" i="11"/>
  <c r="H486" i="11"/>
  <c r="AF486" i="11"/>
  <c r="I486" i="11"/>
  <c r="AG486" i="11"/>
  <c r="J486" i="11"/>
  <c r="AH486" i="11"/>
  <c r="K486" i="11"/>
  <c r="AI486" i="11"/>
  <c r="L486" i="11"/>
  <c r="AJ486" i="11"/>
  <c r="M486" i="11"/>
  <c r="AK486" i="11"/>
  <c r="N486" i="11"/>
  <c r="AL486" i="11"/>
  <c r="O486" i="11"/>
  <c r="AM486" i="11"/>
  <c r="P486" i="11"/>
  <c r="AN486" i="11"/>
  <c r="Q486" i="11"/>
  <c r="AO486" i="11"/>
  <c r="R486" i="11"/>
  <c r="AP486" i="11"/>
  <c r="S486" i="11"/>
  <c r="AQ486" i="11"/>
  <c r="T486" i="11"/>
  <c r="AR486" i="11"/>
  <c r="U486" i="11"/>
  <c r="AS486" i="11"/>
  <c r="V486" i="11"/>
  <c r="AT486" i="11"/>
  <c r="W486" i="11"/>
  <c r="AU486" i="11"/>
  <c r="X486" i="11"/>
  <c r="AV486" i="11"/>
  <c r="Y486" i="11"/>
  <c r="AW486" i="11"/>
  <c r="Z486" i="11"/>
  <c r="AC487" i="11"/>
  <c r="F487" i="11"/>
  <c r="AD487" i="11"/>
  <c r="G487" i="11"/>
  <c r="AE487" i="11"/>
  <c r="H487" i="11"/>
  <c r="AF487" i="11"/>
  <c r="I487" i="11"/>
  <c r="AG487" i="11"/>
  <c r="J487" i="11"/>
  <c r="AH487" i="11"/>
  <c r="K487" i="11"/>
  <c r="AI487" i="11"/>
  <c r="L487" i="11"/>
  <c r="AJ487" i="11"/>
  <c r="M487" i="11"/>
  <c r="AK487" i="11"/>
  <c r="N487" i="11"/>
  <c r="AL487" i="11"/>
  <c r="O487" i="11"/>
  <c r="AM487" i="11"/>
  <c r="P487" i="11"/>
  <c r="AN487" i="11"/>
  <c r="Q487" i="11"/>
  <c r="AO487" i="11"/>
  <c r="R487" i="11"/>
  <c r="AP487" i="11"/>
  <c r="S487" i="11"/>
  <c r="AQ487" i="11"/>
  <c r="T487" i="11"/>
  <c r="AR487" i="11"/>
  <c r="U487" i="11"/>
  <c r="AS487" i="11"/>
  <c r="V487" i="11"/>
  <c r="AT487" i="11"/>
  <c r="W487" i="11"/>
  <c r="AU487" i="11"/>
  <c r="X487" i="11"/>
  <c r="AV487" i="11"/>
  <c r="Y487" i="11"/>
  <c r="AW487" i="11"/>
  <c r="Z487" i="11"/>
  <c r="AC488" i="11"/>
  <c r="F488" i="11"/>
  <c r="AD488" i="11"/>
  <c r="G488" i="11"/>
  <c r="AE488" i="11"/>
  <c r="H488" i="11"/>
  <c r="AF488" i="11"/>
  <c r="I488" i="11"/>
  <c r="AG488" i="11"/>
  <c r="J488" i="11"/>
  <c r="AH488" i="11"/>
  <c r="K488" i="11"/>
  <c r="AI488" i="11"/>
  <c r="L488" i="11"/>
  <c r="AJ488" i="11"/>
  <c r="M488" i="11"/>
  <c r="AK488" i="11"/>
  <c r="N488" i="11"/>
  <c r="AL488" i="11"/>
  <c r="O488" i="11"/>
  <c r="AM488" i="11"/>
  <c r="P488" i="11"/>
  <c r="AN488" i="11"/>
  <c r="Q488" i="11"/>
  <c r="AO488" i="11"/>
  <c r="R488" i="11"/>
  <c r="AP488" i="11"/>
  <c r="S488" i="11"/>
  <c r="AQ488" i="11"/>
  <c r="T488" i="11"/>
  <c r="AR488" i="11"/>
  <c r="U488" i="11"/>
  <c r="AS488" i="11"/>
  <c r="V488" i="11"/>
  <c r="AT488" i="11"/>
  <c r="W488" i="11"/>
  <c r="AU488" i="11"/>
  <c r="X488" i="11"/>
  <c r="AV488" i="11"/>
  <c r="Y488" i="11"/>
  <c r="AW488" i="11"/>
  <c r="Z488" i="11"/>
  <c r="AC489" i="11"/>
  <c r="F489" i="11"/>
  <c r="AD489" i="11"/>
  <c r="G489" i="11"/>
  <c r="AE489" i="11"/>
  <c r="H489" i="11"/>
  <c r="AF489" i="11"/>
  <c r="I489" i="11"/>
  <c r="AG489" i="11"/>
  <c r="J489" i="11"/>
  <c r="AH489" i="11"/>
  <c r="K489" i="11"/>
  <c r="AI489" i="11"/>
  <c r="L489" i="11"/>
  <c r="AJ489" i="11"/>
  <c r="M489" i="11"/>
  <c r="AK489" i="11"/>
  <c r="N489" i="11"/>
  <c r="AL489" i="11"/>
  <c r="O489" i="11"/>
  <c r="AM489" i="11"/>
  <c r="P489" i="11"/>
  <c r="AN489" i="11"/>
  <c r="Q489" i="11"/>
  <c r="AO489" i="11"/>
  <c r="R489" i="11"/>
  <c r="AP489" i="11"/>
  <c r="S489" i="11"/>
  <c r="AQ489" i="11"/>
  <c r="T489" i="11"/>
  <c r="AR489" i="11"/>
  <c r="U489" i="11"/>
  <c r="AS489" i="11"/>
  <c r="V489" i="11"/>
  <c r="AT489" i="11"/>
  <c r="W489" i="11"/>
  <c r="AU489" i="11"/>
  <c r="X489" i="11"/>
  <c r="AV489" i="11"/>
  <c r="Y489" i="11"/>
  <c r="AW489" i="11"/>
  <c r="Z489" i="11"/>
  <c r="AC490" i="11"/>
  <c r="F490" i="11"/>
  <c r="AD490" i="11"/>
  <c r="G490" i="11"/>
  <c r="AE490" i="11"/>
  <c r="H490" i="11"/>
  <c r="AF490" i="11"/>
  <c r="I490" i="11"/>
  <c r="AG490" i="11"/>
  <c r="J490" i="11"/>
  <c r="AH490" i="11"/>
  <c r="K490" i="11"/>
  <c r="AI490" i="11"/>
  <c r="L490" i="11"/>
  <c r="AJ490" i="11"/>
  <c r="M490" i="11"/>
  <c r="AK490" i="11"/>
  <c r="N490" i="11"/>
  <c r="AL490" i="11"/>
  <c r="O490" i="11"/>
  <c r="AM490" i="11"/>
  <c r="P490" i="11"/>
  <c r="AN490" i="11"/>
  <c r="Q490" i="11"/>
  <c r="AO490" i="11"/>
  <c r="R490" i="11"/>
  <c r="AP490" i="11"/>
  <c r="S490" i="11"/>
  <c r="AQ490" i="11"/>
  <c r="T490" i="11"/>
  <c r="AR490" i="11"/>
  <c r="U490" i="11"/>
  <c r="AS490" i="11"/>
  <c r="V490" i="11"/>
  <c r="AT490" i="11"/>
  <c r="W490" i="11"/>
  <c r="AU490" i="11"/>
  <c r="X490" i="11"/>
  <c r="AV490" i="11"/>
  <c r="Y490" i="11"/>
  <c r="AW490" i="11"/>
  <c r="Z490" i="11"/>
  <c r="AC491" i="11"/>
  <c r="F491" i="11"/>
  <c r="AD491" i="11"/>
  <c r="G491" i="11"/>
  <c r="AE491" i="11"/>
  <c r="H491" i="11"/>
  <c r="AF491" i="11"/>
  <c r="I491" i="11"/>
  <c r="AG491" i="11"/>
  <c r="J491" i="11"/>
  <c r="AH491" i="11"/>
  <c r="K491" i="11"/>
  <c r="AI491" i="11"/>
  <c r="L491" i="11"/>
  <c r="AJ491" i="11"/>
  <c r="M491" i="11"/>
  <c r="AK491" i="11"/>
  <c r="N491" i="11"/>
  <c r="AL491" i="11"/>
  <c r="O491" i="11"/>
  <c r="AM491" i="11"/>
  <c r="P491" i="11"/>
  <c r="AN491" i="11"/>
  <c r="Q491" i="11"/>
  <c r="AO491" i="11"/>
  <c r="R491" i="11"/>
  <c r="AP491" i="11"/>
  <c r="S491" i="11"/>
  <c r="AQ491" i="11"/>
  <c r="T491" i="11"/>
  <c r="AR491" i="11"/>
  <c r="U491" i="11"/>
  <c r="AS491" i="11"/>
  <c r="V491" i="11"/>
  <c r="AT491" i="11"/>
  <c r="W491" i="11"/>
  <c r="AU491" i="11"/>
  <c r="X491" i="11"/>
  <c r="AV491" i="11"/>
  <c r="Y491" i="11"/>
  <c r="AW491" i="11"/>
  <c r="Z491" i="11"/>
  <c r="AC492" i="11"/>
  <c r="F492" i="11"/>
  <c r="AD492" i="11"/>
  <c r="G492" i="11"/>
  <c r="AE492" i="11"/>
  <c r="H492" i="11"/>
  <c r="AF492" i="11"/>
  <c r="I492" i="11"/>
  <c r="AG492" i="11"/>
  <c r="J492" i="11"/>
  <c r="AH492" i="11"/>
  <c r="K492" i="11"/>
  <c r="AI492" i="11"/>
  <c r="L492" i="11"/>
  <c r="AJ492" i="11"/>
  <c r="M492" i="11"/>
  <c r="AK492" i="11"/>
  <c r="N492" i="11"/>
  <c r="AL492" i="11"/>
  <c r="O492" i="11"/>
  <c r="AM492" i="11"/>
  <c r="P492" i="11"/>
  <c r="AN492" i="11"/>
  <c r="Q492" i="11"/>
  <c r="AO492" i="11"/>
  <c r="R492" i="11"/>
  <c r="AP492" i="11"/>
  <c r="S492" i="11"/>
  <c r="AQ492" i="11"/>
  <c r="T492" i="11"/>
  <c r="AR492" i="11"/>
  <c r="U492" i="11"/>
  <c r="AS492" i="11"/>
  <c r="V492" i="11"/>
  <c r="AT492" i="11"/>
  <c r="W492" i="11"/>
  <c r="AU492" i="11"/>
  <c r="X492" i="11"/>
  <c r="AV492" i="11"/>
  <c r="Y492" i="11"/>
  <c r="AW492" i="11"/>
  <c r="Z492" i="11"/>
  <c r="AC493" i="11"/>
  <c r="F493" i="11"/>
  <c r="AD493" i="11"/>
  <c r="G493" i="11"/>
  <c r="AE493" i="11"/>
  <c r="H493" i="11"/>
  <c r="AF493" i="11"/>
  <c r="I493" i="11"/>
  <c r="AG493" i="11"/>
  <c r="J493" i="11"/>
  <c r="AH493" i="11"/>
  <c r="K493" i="11"/>
  <c r="AI493" i="11"/>
  <c r="L493" i="11"/>
  <c r="AJ493" i="11"/>
  <c r="M493" i="11"/>
  <c r="AK493" i="11"/>
  <c r="N493" i="11"/>
  <c r="AL493" i="11"/>
  <c r="O493" i="11"/>
  <c r="AM493" i="11"/>
  <c r="P493" i="11"/>
  <c r="AN493" i="11"/>
  <c r="Q493" i="11"/>
  <c r="AO493" i="11"/>
  <c r="R493" i="11"/>
  <c r="AP493" i="11"/>
  <c r="S493" i="11"/>
  <c r="AQ493" i="11"/>
  <c r="T493" i="11"/>
  <c r="AR493" i="11"/>
  <c r="U493" i="11"/>
  <c r="AS493" i="11"/>
  <c r="V493" i="11"/>
  <c r="AT493" i="11"/>
  <c r="W493" i="11"/>
  <c r="AU493" i="11"/>
  <c r="X493" i="11"/>
  <c r="AV493" i="11"/>
  <c r="Y493" i="11"/>
  <c r="AW493" i="11"/>
  <c r="Z493" i="11"/>
  <c r="AC494" i="11"/>
  <c r="F494" i="11"/>
  <c r="AD494" i="11"/>
  <c r="G494" i="11"/>
  <c r="AE494" i="11"/>
  <c r="H494" i="11"/>
  <c r="AF494" i="11"/>
  <c r="I494" i="11"/>
  <c r="AG494" i="11"/>
  <c r="J494" i="11"/>
  <c r="AH494" i="11"/>
  <c r="K494" i="11"/>
  <c r="AI494" i="11"/>
  <c r="L494" i="11"/>
  <c r="AJ494" i="11"/>
  <c r="M494" i="11"/>
  <c r="AK494" i="11"/>
  <c r="N494" i="11"/>
  <c r="AL494" i="11"/>
  <c r="O494" i="11"/>
  <c r="AM494" i="11"/>
  <c r="P494" i="11"/>
  <c r="AN494" i="11"/>
  <c r="Q494" i="11"/>
  <c r="AO494" i="11"/>
  <c r="R494" i="11"/>
  <c r="AP494" i="11"/>
  <c r="S494" i="11"/>
  <c r="AQ494" i="11"/>
  <c r="T494" i="11"/>
  <c r="AR494" i="11"/>
  <c r="U494" i="11"/>
  <c r="AS494" i="11"/>
  <c r="V494" i="11"/>
  <c r="AT494" i="11"/>
  <c r="W494" i="11"/>
  <c r="AU494" i="11"/>
  <c r="X494" i="11"/>
  <c r="AV494" i="11"/>
  <c r="Y494" i="11"/>
  <c r="AW494" i="11"/>
  <c r="Z494" i="11"/>
  <c r="AC495" i="11"/>
  <c r="F495" i="11"/>
  <c r="AD495" i="11"/>
  <c r="G495" i="11"/>
  <c r="AE495" i="11"/>
  <c r="H495" i="11"/>
  <c r="AF495" i="11"/>
  <c r="I495" i="11"/>
  <c r="AG495" i="11"/>
  <c r="J495" i="11"/>
  <c r="AH495" i="11"/>
  <c r="K495" i="11"/>
  <c r="AI495" i="11"/>
  <c r="L495" i="11"/>
  <c r="AJ495" i="11"/>
  <c r="M495" i="11"/>
  <c r="AK495" i="11"/>
  <c r="N495" i="11"/>
  <c r="AL495" i="11"/>
  <c r="O495" i="11"/>
  <c r="AM495" i="11"/>
  <c r="P495" i="11"/>
  <c r="AN495" i="11"/>
  <c r="Q495" i="11"/>
  <c r="AO495" i="11"/>
  <c r="R495" i="11"/>
  <c r="AP495" i="11"/>
  <c r="S495" i="11"/>
  <c r="AQ495" i="11"/>
  <c r="T495" i="11"/>
  <c r="AR495" i="11"/>
  <c r="U495" i="11"/>
  <c r="AS495" i="11"/>
  <c r="V495" i="11"/>
  <c r="AT495" i="11"/>
  <c r="W495" i="11"/>
  <c r="AU495" i="11"/>
  <c r="X495" i="11"/>
  <c r="AV495" i="11"/>
  <c r="Y495" i="11"/>
  <c r="AW495" i="11"/>
  <c r="Z495" i="11"/>
  <c r="AC496" i="11"/>
  <c r="F496" i="11"/>
  <c r="AD496" i="11"/>
  <c r="G496" i="11"/>
  <c r="AE496" i="11"/>
  <c r="H496" i="11"/>
  <c r="AF496" i="11"/>
  <c r="I496" i="11"/>
  <c r="AG496" i="11"/>
  <c r="J496" i="11"/>
  <c r="AH496" i="11"/>
  <c r="K496" i="11"/>
  <c r="AI496" i="11"/>
  <c r="L496" i="11"/>
  <c r="AJ496" i="11"/>
  <c r="M496" i="11"/>
  <c r="AK496" i="11"/>
  <c r="N496" i="11"/>
  <c r="AL496" i="11"/>
  <c r="O496" i="11"/>
  <c r="AM496" i="11"/>
  <c r="P496" i="11"/>
  <c r="AN496" i="11"/>
  <c r="Q496" i="11"/>
  <c r="AO496" i="11"/>
  <c r="R496" i="11"/>
  <c r="AP496" i="11"/>
  <c r="S496" i="11"/>
  <c r="AQ496" i="11"/>
  <c r="T496" i="11"/>
  <c r="AR496" i="11"/>
  <c r="U496" i="11"/>
  <c r="AS496" i="11"/>
  <c r="V496" i="11"/>
  <c r="AT496" i="11"/>
  <c r="W496" i="11"/>
  <c r="AU496" i="11"/>
  <c r="X496" i="11"/>
  <c r="AV496" i="11"/>
  <c r="Y496" i="11"/>
  <c r="AW496" i="11"/>
  <c r="Z496" i="11"/>
  <c r="AC497" i="11"/>
  <c r="F497" i="11"/>
  <c r="AD497" i="11"/>
  <c r="G497" i="11"/>
  <c r="AE497" i="11"/>
  <c r="H497" i="11"/>
  <c r="AF497" i="11"/>
  <c r="I497" i="11"/>
  <c r="AG497" i="11"/>
  <c r="J497" i="11"/>
  <c r="AH497" i="11"/>
  <c r="K497" i="11"/>
  <c r="AI497" i="11"/>
  <c r="L497" i="11"/>
  <c r="AJ497" i="11"/>
  <c r="M497" i="11"/>
  <c r="AK497" i="11"/>
  <c r="N497" i="11"/>
  <c r="AL497" i="11"/>
  <c r="O497" i="11"/>
  <c r="AM497" i="11"/>
  <c r="P497" i="11"/>
  <c r="AN497" i="11"/>
  <c r="Q497" i="11"/>
  <c r="AO497" i="11"/>
  <c r="R497" i="11"/>
  <c r="AP497" i="11"/>
  <c r="S497" i="11"/>
  <c r="AQ497" i="11"/>
  <c r="T497" i="11"/>
  <c r="AR497" i="11"/>
  <c r="U497" i="11"/>
  <c r="AS497" i="11"/>
  <c r="V497" i="11"/>
  <c r="AT497" i="11"/>
  <c r="W497" i="11"/>
  <c r="AU497" i="11"/>
  <c r="X497" i="11"/>
  <c r="AV497" i="11"/>
  <c r="Y497" i="11"/>
  <c r="AW497" i="11"/>
  <c r="Z497" i="11"/>
  <c r="AC498" i="11"/>
  <c r="F498" i="11"/>
  <c r="AD498" i="11"/>
  <c r="G498" i="11"/>
  <c r="AE498" i="11"/>
  <c r="H498" i="11"/>
  <c r="AF498" i="11"/>
  <c r="I498" i="11"/>
  <c r="AG498" i="11"/>
  <c r="J498" i="11"/>
  <c r="AH498" i="11"/>
  <c r="K498" i="11"/>
  <c r="AI498" i="11"/>
  <c r="L498" i="11"/>
  <c r="AJ498" i="11"/>
  <c r="M498" i="11"/>
  <c r="AK498" i="11"/>
  <c r="N498" i="11"/>
  <c r="AL498" i="11"/>
  <c r="O498" i="11"/>
  <c r="AM498" i="11"/>
  <c r="P498" i="11"/>
  <c r="AN498" i="11"/>
  <c r="Q498" i="11"/>
  <c r="AO498" i="11"/>
  <c r="R498" i="11"/>
  <c r="AP498" i="11"/>
  <c r="S498" i="11"/>
  <c r="AQ498" i="11"/>
  <c r="T498" i="11"/>
  <c r="AR498" i="11"/>
  <c r="U498" i="11"/>
  <c r="AS498" i="11"/>
  <c r="V498" i="11"/>
  <c r="AT498" i="11"/>
  <c r="W498" i="11"/>
  <c r="AU498" i="11"/>
  <c r="X498" i="11"/>
  <c r="AV498" i="11"/>
  <c r="Y498" i="11"/>
  <c r="AW498" i="11"/>
  <c r="Z498" i="11"/>
  <c r="AC499" i="11"/>
  <c r="F499" i="11"/>
  <c r="AD499" i="11"/>
  <c r="G499" i="11"/>
  <c r="AE499" i="11"/>
  <c r="H499" i="11"/>
  <c r="AF499" i="11"/>
  <c r="I499" i="11"/>
  <c r="AG499" i="11"/>
  <c r="J499" i="11"/>
  <c r="AH499" i="11"/>
  <c r="K499" i="11"/>
  <c r="AI499" i="11"/>
  <c r="L499" i="11"/>
  <c r="AJ499" i="11"/>
  <c r="M499" i="11"/>
  <c r="AK499" i="11"/>
  <c r="N499" i="11"/>
  <c r="AL499" i="11"/>
  <c r="O499" i="11"/>
  <c r="AM499" i="11"/>
  <c r="P499" i="11"/>
  <c r="AN499" i="11"/>
  <c r="Q499" i="11"/>
  <c r="AO499" i="11"/>
  <c r="R499" i="11"/>
  <c r="AP499" i="11"/>
  <c r="S499" i="11"/>
  <c r="AQ499" i="11"/>
  <c r="T499" i="11"/>
  <c r="AR499" i="11"/>
  <c r="U499" i="11"/>
  <c r="AS499" i="11"/>
  <c r="V499" i="11"/>
  <c r="AT499" i="11"/>
  <c r="W499" i="11"/>
  <c r="AU499" i="11"/>
  <c r="X499" i="11"/>
  <c r="AV499" i="11"/>
  <c r="Y499" i="11"/>
  <c r="AW499" i="11"/>
  <c r="Z499" i="11"/>
  <c r="AC500" i="11"/>
  <c r="F500" i="11"/>
  <c r="AD500" i="11"/>
  <c r="G500" i="11"/>
  <c r="AE500" i="11"/>
  <c r="H500" i="11"/>
  <c r="AF500" i="11"/>
  <c r="I500" i="11"/>
  <c r="AG500" i="11"/>
  <c r="J500" i="11"/>
  <c r="AH500" i="11"/>
  <c r="K500" i="11"/>
  <c r="AI500" i="11"/>
  <c r="L500" i="11"/>
  <c r="AJ500" i="11"/>
  <c r="M500" i="11"/>
  <c r="AK500" i="11"/>
  <c r="N500" i="11"/>
  <c r="AL500" i="11"/>
  <c r="O500" i="11"/>
  <c r="AM500" i="11"/>
  <c r="P500" i="11"/>
  <c r="AN500" i="11"/>
  <c r="Q500" i="11"/>
  <c r="AO500" i="11"/>
  <c r="R500" i="11"/>
  <c r="AP500" i="11"/>
  <c r="S500" i="11"/>
  <c r="AQ500" i="11"/>
  <c r="T500" i="11"/>
  <c r="AR500" i="11"/>
  <c r="U500" i="11"/>
  <c r="AS500" i="11"/>
  <c r="V500" i="11"/>
  <c r="AT500" i="11"/>
  <c r="W500" i="11"/>
  <c r="AU500" i="11"/>
  <c r="X500" i="11"/>
  <c r="AV500" i="11"/>
  <c r="Y500" i="11"/>
  <c r="AW500" i="11"/>
  <c r="Z500" i="11"/>
  <c r="AC501" i="11"/>
  <c r="F501" i="11"/>
  <c r="AD501" i="11"/>
  <c r="G501" i="11"/>
  <c r="AE501" i="11"/>
  <c r="H501" i="11"/>
  <c r="AF501" i="11"/>
  <c r="I501" i="11"/>
  <c r="AG501" i="11"/>
  <c r="J501" i="11"/>
  <c r="AH501" i="11"/>
  <c r="K501" i="11"/>
  <c r="AI501" i="11"/>
  <c r="L501" i="11"/>
  <c r="AJ501" i="11"/>
  <c r="M501" i="11"/>
  <c r="AK501" i="11"/>
  <c r="N501" i="11"/>
  <c r="AL501" i="11"/>
  <c r="O501" i="11"/>
  <c r="AM501" i="11"/>
  <c r="P501" i="11"/>
  <c r="AN501" i="11"/>
  <c r="Q501" i="11"/>
  <c r="AO501" i="11"/>
  <c r="R501" i="11"/>
  <c r="AP501" i="11"/>
  <c r="S501" i="11"/>
  <c r="AQ501" i="11"/>
  <c r="T501" i="11"/>
  <c r="AR501" i="11"/>
  <c r="U501" i="11"/>
  <c r="AS501" i="11"/>
  <c r="V501" i="11"/>
  <c r="AT501" i="11"/>
  <c r="W501" i="11"/>
  <c r="AU501" i="11"/>
  <c r="X501" i="11"/>
  <c r="AV501" i="11"/>
  <c r="Y501" i="11"/>
  <c r="AW501" i="11"/>
  <c r="Z501" i="11"/>
  <c r="AC502" i="11"/>
  <c r="F502" i="11"/>
  <c r="AD502" i="11"/>
  <c r="G502" i="11"/>
  <c r="AE502" i="11"/>
  <c r="H502" i="11"/>
  <c r="AF502" i="11"/>
  <c r="I502" i="11"/>
  <c r="AG502" i="11"/>
  <c r="J502" i="11"/>
  <c r="AH502" i="11"/>
  <c r="K502" i="11"/>
  <c r="AI502" i="11"/>
  <c r="L502" i="11"/>
  <c r="AJ502" i="11"/>
  <c r="M502" i="11"/>
  <c r="AK502" i="11"/>
  <c r="N502" i="11"/>
  <c r="AL502" i="11"/>
  <c r="O502" i="11"/>
  <c r="AM502" i="11"/>
  <c r="P502" i="11"/>
  <c r="AN502" i="11"/>
  <c r="Q502" i="11"/>
  <c r="AO502" i="11"/>
  <c r="R502" i="11"/>
  <c r="AP502" i="11"/>
  <c r="S502" i="11"/>
  <c r="AQ502" i="11"/>
  <c r="T502" i="11"/>
  <c r="AR502" i="11"/>
  <c r="U502" i="11"/>
  <c r="AS502" i="11"/>
  <c r="V502" i="11"/>
  <c r="AT502" i="11"/>
  <c r="W502" i="11"/>
  <c r="AU502" i="11"/>
  <c r="X502" i="11"/>
  <c r="AV502" i="11"/>
  <c r="Y502" i="11"/>
  <c r="AW502" i="11"/>
  <c r="Z502" i="11"/>
  <c r="AC503" i="11"/>
  <c r="F503" i="11"/>
  <c r="AD503" i="11"/>
  <c r="G503" i="11"/>
  <c r="AE503" i="11"/>
  <c r="H503" i="11"/>
  <c r="AF503" i="11"/>
  <c r="I503" i="11"/>
  <c r="AG503" i="11"/>
  <c r="J503" i="11"/>
  <c r="AH503" i="11"/>
  <c r="K503" i="11"/>
  <c r="AI503" i="11"/>
  <c r="L503" i="11"/>
  <c r="AJ503" i="11"/>
  <c r="M503" i="11"/>
  <c r="AK503" i="11"/>
  <c r="N503" i="11"/>
  <c r="AL503" i="11"/>
  <c r="O503" i="11"/>
  <c r="AM503" i="11"/>
  <c r="P503" i="11"/>
  <c r="AN503" i="11"/>
  <c r="Q503" i="11"/>
  <c r="AO503" i="11"/>
  <c r="R503" i="11"/>
  <c r="AP503" i="11"/>
  <c r="S503" i="11"/>
  <c r="AQ503" i="11"/>
  <c r="T503" i="11"/>
  <c r="AR503" i="11"/>
  <c r="U503" i="11"/>
  <c r="AS503" i="11"/>
  <c r="V503" i="11"/>
  <c r="AT503" i="11"/>
  <c r="W503" i="11"/>
  <c r="AU503" i="11"/>
  <c r="X503" i="11"/>
  <c r="AV503" i="11"/>
  <c r="Y503" i="11"/>
  <c r="AW503" i="11"/>
  <c r="Z503" i="11"/>
  <c r="AC504" i="11"/>
  <c r="F504" i="11"/>
  <c r="AD504" i="11"/>
  <c r="G504" i="11"/>
  <c r="AE504" i="11"/>
  <c r="H504" i="11"/>
  <c r="AF504" i="11"/>
  <c r="I504" i="11"/>
  <c r="AG504" i="11"/>
  <c r="J504" i="11"/>
  <c r="AH504" i="11"/>
  <c r="K504" i="11"/>
  <c r="AI504" i="11"/>
  <c r="L504" i="11"/>
  <c r="AJ504" i="11"/>
  <c r="M504" i="11"/>
  <c r="AK504" i="11"/>
  <c r="N504" i="11"/>
  <c r="AL504" i="11"/>
  <c r="O504" i="11"/>
  <c r="AM504" i="11"/>
  <c r="P504" i="11"/>
  <c r="AN504" i="11"/>
  <c r="Q504" i="11"/>
  <c r="AO504" i="11"/>
  <c r="R504" i="11"/>
  <c r="AP504" i="11"/>
  <c r="S504" i="11"/>
  <c r="AQ504" i="11"/>
  <c r="T504" i="11"/>
  <c r="AR504" i="11"/>
  <c r="U504" i="11"/>
  <c r="AS504" i="11"/>
  <c r="V504" i="11"/>
  <c r="AT504" i="11"/>
  <c r="W504" i="11"/>
  <c r="AU504" i="11"/>
  <c r="X504" i="11"/>
  <c r="AV504" i="11"/>
  <c r="Y504" i="11"/>
  <c r="AW504" i="11"/>
  <c r="Z504" i="11"/>
  <c r="AC505" i="11"/>
  <c r="F505" i="11"/>
  <c r="AD505" i="11"/>
  <c r="G505" i="11"/>
  <c r="AE505" i="11"/>
  <c r="H505" i="11"/>
  <c r="AF505" i="11"/>
  <c r="I505" i="11"/>
  <c r="AG505" i="11"/>
  <c r="J505" i="11"/>
  <c r="AH505" i="11"/>
  <c r="K505" i="11"/>
  <c r="AI505" i="11"/>
  <c r="L505" i="11"/>
  <c r="AJ505" i="11"/>
  <c r="M505" i="11"/>
  <c r="AK505" i="11"/>
  <c r="N505" i="11"/>
  <c r="AL505" i="11"/>
  <c r="O505" i="11"/>
  <c r="AM505" i="11"/>
  <c r="P505" i="11"/>
  <c r="AN505" i="11"/>
  <c r="Q505" i="11"/>
  <c r="AO505" i="11"/>
  <c r="R505" i="11"/>
  <c r="AP505" i="11"/>
  <c r="S505" i="11"/>
  <c r="AQ505" i="11"/>
  <c r="T505" i="11"/>
  <c r="AR505" i="11"/>
  <c r="U505" i="11"/>
  <c r="AS505" i="11"/>
  <c r="V505" i="11"/>
  <c r="AT505" i="11"/>
  <c r="W505" i="11"/>
  <c r="AU505" i="11"/>
  <c r="X505" i="11"/>
  <c r="AV505" i="11"/>
  <c r="Y505" i="11"/>
  <c r="AW505" i="11"/>
  <c r="Z505" i="11"/>
  <c r="AC506" i="11"/>
  <c r="F506" i="11"/>
  <c r="AD506" i="11"/>
  <c r="G506" i="11"/>
  <c r="AE506" i="11"/>
  <c r="H506" i="11"/>
  <c r="AF506" i="11"/>
  <c r="I506" i="11"/>
  <c r="AG506" i="11"/>
  <c r="J506" i="11"/>
  <c r="AH506" i="11"/>
  <c r="K506" i="11"/>
  <c r="AI506" i="11"/>
  <c r="L506" i="11"/>
  <c r="AJ506" i="11"/>
  <c r="M506" i="11"/>
  <c r="AK506" i="11"/>
  <c r="N506" i="11"/>
  <c r="AL506" i="11"/>
  <c r="O506" i="11"/>
  <c r="AM506" i="11"/>
  <c r="P506" i="11"/>
  <c r="AN506" i="11"/>
  <c r="Q506" i="11"/>
  <c r="AO506" i="11"/>
  <c r="R506" i="11"/>
  <c r="AP506" i="11"/>
  <c r="S506" i="11"/>
  <c r="AQ506" i="11"/>
  <c r="T506" i="11"/>
  <c r="AR506" i="11"/>
  <c r="U506" i="11"/>
  <c r="AS506" i="11"/>
  <c r="V506" i="11"/>
  <c r="AT506" i="11"/>
  <c r="W506" i="11"/>
  <c r="AU506" i="11"/>
  <c r="X506" i="11"/>
  <c r="AV506" i="11"/>
  <c r="Y506" i="11"/>
  <c r="AW506" i="11"/>
  <c r="Z506" i="11"/>
  <c r="AC507" i="11"/>
  <c r="F507" i="11"/>
  <c r="AD507" i="11"/>
  <c r="G507" i="11"/>
  <c r="AE507" i="11"/>
  <c r="H507" i="11"/>
  <c r="AF507" i="11"/>
  <c r="I507" i="11"/>
  <c r="AG507" i="11"/>
  <c r="J507" i="11"/>
  <c r="AH507" i="11"/>
  <c r="K507" i="11"/>
  <c r="AI507" i="11"/>
  <c r="L507" i="11"/>
  <c r="AJ507" i="11"/>
  <c r="M507" i="11"/>
  <c r="AK507" i="11"/>
  <c r="N507" i="11"/>
  <c r="AL507" i="11"/>
  <c r="O507" i="11"/>
  <c r="AM507" i="11"/>
  <c r="P507" i="11"/>
  <c r="AN507" i="11"/>
  <c r="Q507" i="11"/>
  <c r="AO507" i="11"/>
  <c r="R507" i="11"/>
  <c r="AP507" i="11"/>
  <c r="S507" i="11"/>
  <c r="AQ507" i="11"/>
  <c r="T507" i="11"/>
  <c r="AR507" i="11"/>
  <c r="U507" i="11"/>
  <c r="AS507" i="11"/>
  <c r="V507" i="11"/>
  <c r="AT507" i="11"/>
  <c r="W507" i="11"/>
  <c r="AU507" i="11"/>
  <c r="X507" i="11"/>
  <c r="AV507" i="11"/>
  <c r="Y507" i="11"/>
  <c r="AW507" i="11"/>
  <c r="Z507" i="11"/>
  <c r="AC508" i="11"/>
  <c r="F508" i="11"/>
  <c r="AD508" i="11"/>
  <c r="G508" i="11"/>
  <c r="AE508" i="11"/>
  <c r="H508" i="11"/>
  <c r="AF508" i="11"/>
  <c r="I508" i="11"/>
  <c r="AG508" i="11"/>
  <c r="J508" i="11"/>
  <c r="AH508" i="11"/>
  <c r="K508" i="11"/>
  <c r="AI508" i="11"/>
  <c r="L508" i="11"/>
  <c r="AJ508" i="11"/>
  <c r="M508" i="11"/>
  <c r="AK508" i="11"/>
  <c r="N508" i="11"/>
  <c r="AL508" i="11"/>
  <c r="O508" i="11"/>
  <c r="AM508" i="11"/>
  <c r="P508" i="11"/>
  <c r="AN508" i="11"/>
  <c r="Q508" i="11"/>
  <c r="AO508" i="11"/>
  <c r="R508" i="11"/>
  <c r="AP508" i="11"/>
  <c r="S508" i="11"/>
  <c r="AQ508" i="11"/>
  <c r="T508" i="11"/>
  <c r="AR508" i="11"/>
  <c r="U508" i="11"/>
  <c r="AS508" i="11"/>
  <c r="V508" i="11"/>
  <c r="AT508" i="11"/>
  <c r="W508" i="11"/>
  <c r="AU508" i="11"/>
  <c r="X508" i="11"/>
  <c r="AV508" i="11"/>
  <c r="Y508" i="11"/>
  <c r="AW508" i="11"/>
  <c r="Z508" i="11"/>
  <c r="AC509" i="11"/>
  <c r="F509" i="11"/>
  <c r="AD509" i="11"/>
  <c r="G509" i="11"/>
  <c r="AE509" i="11"/>
  <c r="H509" i="11"/>
  <c r="AF509" i="11"/>
  <c r="I509" i="11"/>
  <c r="AG509" i="11"/>
  <c r="J509" i="11"/>
  <c r="AH509" i="11"/>
  <c r="K509" i="11"/>
  <c r="AI509" i="11"/>
  <c r="L509" i="11"/>
  <c r="AJ509" i="11"/>
  <c r="M509" i="11"/>
  <c r="AK509" i="11"/>
  <c r="N509" i="11"/>
  <c r="AL509" i="11"/>
  <c r="O509" i="11"/>
  <c r="AM509" i="11"/>
  <c r="P509" i="11"/>
  <c r="AN509" i="11"/>
  <c r="Q509" i="11"/>
  <c r="AO509" i="11"/>
  <c r="R509" i="11"/>
  <c r="AP509" i="11"/>
  <c r="S509" i="11"/>
  <c r="AQ509" i="11"/>
  <c r="T509" i="11"/>
  <c r="AR509" i="11"/>
  <c r="U509" i="11"/>
  <c r="AS509" i="11"/>
  <c r="V509" i="11"/>
  <c r="AT509" i="11"/>
  <c r="W509" i="11"/>
  <c r="AU509" i="11"/>
  <c r="X509" i="11"/>
  <c r="AV509" i="11"/>
  <c r="Y509" i="11"/>
  <c r="AW509" i="11"/>
  <c r="Z509" i="11"/>
  <c r="AC510" i="11"/>
  <c r="F510" i="11"/>
  <c r="AD510" i="11"/>
  <c r="G510" i="11"/>
  <c r="AE510" i="11"/>
  <c r="H510" i="11"/>
  <c r="AF510" i="11"/>
  <c r="I510" i="11"/>
  <c r="AG510" i="11"/>
  <c r="J510" i="11"/>
  <c r="AH510" i="11"/>
  <c r="K510" i="11"/>
  <c r="AI510" i="11"/>
  <c r="L510" i="11"/>
  <c r="AJ510" i="11"/>
  <c r="M510" i="11"/>
  <c r="AK510" i="11"/>
  <c r="N510" i="11"/>
  <c r="AL510" i="11"/>
  <c r="O510" i="11"/>
  <c r="AM510" i="11"/>
  <c r="P510" i="11"/>
  <c r="AN510" i="11"/>
  <c r="Q510" i="11"/>
  <c r="AO510" i="11"/>
  <c r="R510" i="11"/>
  <c r="AP510" i="11"/>
  <c r="S510" i="11"/>
  <c r="AQ510" i="11"/>
  <c r="T510" i="11"/>
  <c r="AR510" i="11"/>
  <c r="U510" i="11"/>
  <c r="AS510" i="11"/>
  <c r="V510" i="11"/>
  <c r="AT510" i="11"/>
  <c r="W510" i="11"/>
  <c r="AU510" i="11"/>
  <c r="X510" i="11"/>
  <c r="AV510" i="11"/>
  <c r="Y510" i="11"/>
  <c r="AW510" i="11"/>
  <c r="Z510" i="11"/>
  <c r="AC511" i="11"/>
  <c r="F511" i="11"/>
  <c r="AD511" i="11"/>
  <c r="G511" i="11"/>
  <c r="AE511" i="11"/>
  <c r="H511" i="11"/>
  <c r="AF511" i="11"/>
  <c r="I511" i="11"/>
  <c r="AG511" i="11"/>
  <c r="J511" i="11"/>
  <c r="AH511" i="11"/>
  <c r="K511" i="11"/>
  <c r="AI511" i="11"/>
  <c r="L511" i="11"/>
  <c r="AJ511" i="11"/>
  <c r="M511" i="11"/>
  <c r="AK511" i="11"/>
  <c r="N511" i="11"/>
  <c r="AL511" i="11"/>
  <c r="O511" i="11"/>
  <c r="AM511" i="11"/>
  <c r="P511" i="11"/>
  <c r="AN511" i="11"/>
  <c r="Q511" i="11"/>
  <c r="AO511" i="11"/>
  <c r="R511" i="11"/>
  <c r="AP511" i="11"/>
  <c r="S511" i="11"/>
  <c r="AQ511" i="11"/>
  <c r="T511" i="11"/>
  <c r="AR511" i="11"/>
  <c r="U511" i="11"/>
  <c r="AS511" i="11"/>
  <c r="V511" i="11"/>
  <c r="AT511" i="11"/>
  <c r="W511" i="11"/>
  <c r="AU511" i="11"/>
  <c r="X511" i="11"/>
  <c r="AV511" i="11"/>
  <c r="Y511" i="11"/>
  <c r="AW511" i="11"/>
  <c r="Z511" i="11"/>
  <c r="AC512" i="11"/>
  <c r="F512" i="11"/>
  <c r="AD512" i="11"/>
  <c r="G512" i="11"/>
  <c r="AE512" i="11"/>
  <c r="H512" i="11"/>
  <c r="AF512" i="11"/>
  <c r="I512" i="11"/>
  <c r="AG512" i="11"/>
  <c r="J512" i="11"/>
  <c r="AH512" i="11"/>
  <c r="K512" i="11"/>
  <c r="AI512" i="11"/>
  <c r="L512" i="11"/>
  <c r="AJ512" i="11"/>
  <c r="M512" i="11"/>
  <c r="AK512" i="11"/>
  <c r="N512" i="11"/>
  <c r="AL512" i="11"/>
  <c r="O512" i="11"/>
  <c r="AM512" i="11"/>
  <c r="P512" i="11"/>
  <c r="AN512" i="11"/>
  <c r="Q512" i="11"/>
  <c r="AO512" i="11"/>
  <c r="R512" i="11"/>
  <c r="AP512" i="11"/>
  <c r="S512" i="11"/>
  <c r="AQ512" i="11"/>
  <c r="T512" i="11"/>
  <c r="AR512" i="11"/>
  <c r="U512" i="11"/>
  <c r="AS512" i="11"/>
  <c r="V512" i="11"/>
  <c r="AT512" i="11"/>
  <c r="W512" i="11"/>
  <c r="AU512" i="11"/>
  <c r="X512" i="11"/>
  <c r="AV512" i="11"/>
  <c r="Y512" i="11"/>
  <c r="AW512" i="11"/>
  <c r="Z512" i="11"/>
  <c r="AC513" i="11"/>
  <c r="F513" i="11"/>
  <c r="AD513" i="11"/>
  <c r="G513" i="11"/>
  <c r="AE513" i="11"/>
  <c r="H513" i="11"/>
  <c r="AF513" i="11"/>
  <c r="I513" i="11"/>
  <c r="AG513" i="11"/>
  <c r="J513" i="11"/>
  <c r="AH513" i="11"/>
  <c r="K513" i="11"/>
  <c r="AI513" i="11"/>
  <c r="L513" i="11"/>
  <c r="AJ513" i="11"/>
  <c r="M513" i="11"/>
  <c r="AK513" i="11"/>
  <c r="N513" i="11"/>
  <c r="AL513" i="11"/>
  <c r="O513" i="11"/>
  <c r="AM513" i="11"/>
  <c r="P513" i="11"/>
  <c r="AN513" i="11"/>
  <c r="Q513" i="11"/>
  <c r="AO513" i="11"/>
  <c r="R513" i="11"/>
  <c r="AP513" i="11"/>
  <c r="S513" i="11"/>
  <c r="AQ513" i="11"/>
  <c r="T513" i="11"/>
  <c r="AR513" i="11"/>
  <c r="U513" i="11"/>
  <c r="AS513" i="11"/>
  <c r="V513" i="11"/>
  <c r="AT513" i="11"/>
  <c r="W513" i="11"/>
  <c r="AU513" i="11"/>
  <c r="X513" i="11"/>
  <c r="AV513" i="11"/>
  <c r="Y513" i="11"/>
  <c r="AW513" i="11"/>
  <c r="Z513" i="11"/>
  <c r="AC514" i="11"/>
  <c r="F514" i="11"/>
  <c r="AD514" i="11"/>
  <c r="G514" i="11"/>
  <c r="AE514" i="11"/>
  <c r="H514" i="11"/>
  <c r="AF514" i="11"/>
  <c r="I514" i="11"/>
  <c r="AG514" i="11"/>
  <c r="J514" i="11"/>
  <c r="AH514" i="11"/>
  <c r="K514" i="11"/>
  <c r="AI514" i="11"/>
  <c r="L514" i="11"/>
  <c r="AJ514" i="11"/>
  <c r="M514" i="11"/>
  <c r="AK514" i="11"/>
  <c r="N514" i="11"/>
  <c r="AL514" i="11"/>
  <c r="O514" i="11"/>
  <c r="AM514" i="11"/>
  <c r="P514" i="11"/>
  <c r="AN514" i="11"/>
  <c r="Q514" i="11"/>
  <c r="AO514" i="11"/>
  <c r="R514" i="11"/>
  <c r="AP514" i="11"/>
  <c r="S514" i="11"/>
  <c r="AQ514" i="11"/>
  <c r="T514" i="11"/>
  <c r="AR514" i="11"/>
  <c r="U514" i="11"/>
  <c r="AS514" i="11"/>
  <c r="V514" i="11"/>
  <c r="AT514" i="11"/>
  <c r="W514" i="11"/>
  <c r="AU514" i="11"/>
  <c r="X514" i="11"/>
  <c r="AV514" i="11"/>
  <c r="Y514" i="11"/>
  <c r="AW514" i="11"/>
  <c r="Z514" i="11"/>
  <c r="AC515" i="11"/>
  <c r="F515" i="11"/>
  <c r="AD515" i="11"/>
  <c r="G515" i="11"/>
  <c r="AE515" i="11"/>
  <c r="H515" i="11"/>
  <c r="AF515" i="11"/>
  <c r="I515" i="11"/>
  <c r="AG515" i="11"/>
  <c r="J515" i="11"/>
  <c r="AH515" i="11"/>
  <c r="K515" i="11"/>
  <c r="AI515" i="11"/>
  <c r="L515" i="11"/>
  <c r="AJ515" i="11"/>
  <c r="M515" i="11"/>
  <c r="AK515" i="11"/>
  <c r="N515" i="11"/>
  <c r="AL515" i="11"/>
  <c r="O515" i="11"/>
  <c r="AM515" i="11"/>
  <c r="P515" i="11"/>
  <c r="AN515" i="11"/>
  <c r="Q515" i="11"/>
  <c r="AO515" i="11"/>
  <c r="R515" i="11"/>
  <c r="AP515" i="11"/>
  <c r="S515" i="11"/>
  <c r="AQ515" i="11"/>
  <c r="T515" i="11"/>
  <c r="AR515" i="11"/>
  <c r="U515" i="11"/>
  <c r="AS515" i="11"/>
  <c r="V515" i="11"/>
  <c r="AT515" i="11"/>
  <c r="W515" i="11"/>
  <c r="AU515" i="11"/>
  <c r="X515" i="11"/>
  <c r="AV515" i="11"/>
  <c r="Y515" i="11"/>
  <c r="AW515" i="11"/>
  <c r="Z515" i="11"/>
  <c r="AC516" i="11"/>
  <c r="F516" i="11"/>
  <c r="AD516" i="11"/>
  <c r="G516" i="11"/>
  <c r="AE516" i="11"/>
  <c r="H516" i="11"/>
  <c r="AF516" i="11"/>
  <c r="I516" i="11"/>
  <c r="AG516" i="11"/>
  <c r="J516" i="11"/>
  <c r="AH516" i="11"/>
  <c r="K516" i="11"/>
  <c r="AI516" i="11"/>
  <c r="L516" i="11"/>
  <c r="AJ516" i="11"/>
  <c r="M516" i="11"/>
  <c r="AK516" i="11"/>
  <c r="N516" i="11"/>
  <c r="AL516" i="11"/>
  <c r="O516" i="11"/>
  <c r="AM516" i="11"/>
  <c r="P516" i="11"/>
  <c r="AN516" i="11"/>
  <c r="Q516" i="11"/>
  <c r="AO516" i="11"/>
  <c r="R516" i="11"/>
  <c r="AP516" i="11"/>
  <c r="S516" i="11"/>
  <c r="AQ516" i="11"/>
  <c r="T516" i="11"/>
  <c r="AR516" i="11"/>
  <c r="U516" i="11"/>
  <c r="AS516" i="11"/>
  <c r="V516" i="11"/>
  <c r="AT516" i="11"/>
  <c r="W516" i="11"/>
  <c r="AU516" i="11"/>
  <c r="X516" i="11"/>
  <c r="AV516" i="11"/>
  <c r="Y516" i="11"/>
  <c r="AW516" i="11"/>
  <c r="Z516" i="11"/>
  <c r="AC517" i="11"/>
  <c r="F517" i="11"/>
  <c r="AD517" i="11"/>
  <c r="G517" i="11"/>
  <c r="AE517" i="11"/>
  <c r="H517" i="11"/>
  <c r="AF517" i="11"/>
  <c r="I517" i="11"/>
  <c r="AG517" i="11"/>
  <c r="J517" i="11"/>
  <c r="AH517" i="11"/>
  <c r="K517" i="11"/>
  <c r="AI517" i="11"/>
  <c r="L517" i="11"/>
  <c r="AJ517" i="11"/>
  <c r="M517" i="11"/>
  <c r="AK517" i="11"/>
  <c r="N517" i="11"/>
  <c r="AL517" i="11"/>
  <c r="O517" i="11"/>
  <c r="AM517" i="11"/>
  <c r="P517" i="11"/>
  <c r="AN517" i="11"/>
  <c r="Q517" i="11"/>
  <c r="AO517" i="11"/>
  <c r="R517" i="11"/>
  <c r="AP517" i="11"/>
  <c r="S517" i="11"/>
  <c r="AQ517" i="11"/>
  <c r="T517" i="11"/>
  <c r="AR517" i="11"/>
  <c r="U517" i="11"/>
  <c r="AS517" i="11"/>
  <c r="V517" i="11"/>
  <c r="AT517" i="11"/>
  <c r="W517" i="11"/>
  <c r="AU517" i="11"/>
  <c r="X517" i="11"/>
  <c r="AV517" i="11"/>
  <c r="Y517" i="11"/>
  <c r="AW517" i="11"/>
  <c r="Z517" i="11"/>
  <c r="AC518" i="11"/>
  <c r="F518" i="11"/>
  <c r="AD518" i="11"/>
  <c r="G518" i="11"/>
  <c r="AE518" i="11"/>
  <c r="H518" i="11"/>
  <c r="AF518" i="11"/>
  <c r="I518" i="11"/>
  <c r="AG518" i="11"/>
  <c r="J518" i="11"/>
  <c r="AH518" i="11"/>
  <c r="K518" i="11"/>
  <c r="AI518" i="11"/>
  <c r="L518" i="11"/>
  <c r="AJ518" i="11"/>
  <c r="M518" i="11"/>
  <c r="AK518" i="11"/>
  <c r="N518" i="11"/>
  <c r="AL518" i="11"/>
  <c r="O518" i="11"/>
  <c r="AM518" i="11"/>
  <c r="P518" i="11"/>
  <c r="AN518" i="11"/>
  <c r="Q518" i="11"/>
  <c r="AO518" i="11"/>
  <c r="R518" i="11"/>
  <c r="AP518" i="11"/>
  <c r="S518" i="11"/>
  <c r="AQ518" i="11"/>
  <c r="T518" i="11"/>
  <c r="AR518" i="11"/>
  <c r="U518" i="11"/>
  <c r="AS518" i="11"/>
  <c r="V518" i="11"/>
  <c r="AT518" i="11"/>
  <c r="W518" i="11"/>
  <c r="AU518" i="11"/>
  <c r="X518" i="11"/>
  <c r="AV518" i="11"/>
  <c r="Y518" i="11"/>
  <c r="AW518" i="11"/>
  <c r="Z518" i="11"/>
  <c r="AC519" i="11"/>
  <c r="F519" i="11"/>
  <c r="AD519" i="11"/>
  <c r="G519" i="11"/>
  <c r="AE519" i="11"/>
  <c r="H519" i="11"/>
  <c r="AF519" i="11"/>
  <c r="I519" i="11"/>
  <c r="AG519" i="11"/>
  <c r="J519" i="11"/>
  <c r="AH519" i="11"/>
  <c r="K519" i="11"/>
  <c r="AI519" i="11"/>
  <c r="L519" i="11"/>
  <c r="AJ519" i="11"/>
  <c r="M519" i="11"/>
  <c r="AK519" i="11"/>
  <c r="N519" i="11"/>
  <c r="AL519" i="11"/>
  <c r="O519" i="11"/>
  <c r="AM519" i="11"/>
  <c r="P519" i="11"/>
  <c r="AN519" i="11"/>
  <c r="Q519" i="11"/>
  <c r="AO519" i="11"/>
  <c r="R519" i="11"/>
  <c r="AP519" i="11"/>
  <c r="S519" i="11"/>
  <c r="AQ519" i="11"/>
  <c r="T519" i="11"/>
  <c r="AR519" i="11"/>
  <c r="U519" i="11"/>
  <c r="AS519" i="11"/>
  <c r="V519" i="11"/>
  <c r="AT519" i="11"/>
  <c r="W519" i="11"/>
  <c r="AU519" i="11"/>
  <c r="X519" i="11"/>
  <c r="AV519" i="11"/>
  <c r="Y519" i="11"/>
  <c r="AW519" i="11"/>
  <c r="Z519" i="11"/>
  <c r="AC520" i="11"/>
  <c r="F520" i="11"/>
  <c r="AD520" i="11"/>
  <c r="G520" i="11"/>
  <c r="AE520" i="11"/>
  <c r="H520" i="11"/>
  <c r="AF520" i="11"/>
  <c r="I520" i="11"/>
  <c r="AG520" i="11"/>
  <c r="J520" i="11"/>
  <c r="AH520" i="11"/>
  <c r="K520" i="11"/>
  <c r="AI520" i="11"/>
  <c r="L520" i="11"/>
  <c r="AJ520" i="11"/>
  <c r="M520" i="11"/>
  <c r="AK520" i="11"/>
  <c r="N520" i="11"/>
  <c r="AL520" i="11"/>
  <c r="O520" i="11"/>
  <c r="AM520" i="11"/>
  <c r="P520" i="11"/>
  <c r="AN520" i="11"/>
  <c r="Q520" i="11"/>
  <c r="AO520" i="11"/>
  <c r="R520" i="11"/>
  <c r="AP520" i="11"/>
  <c r="S520" i="11"/>
  <c r="AQ520" i="11"/>
  <c r="T520" i="11"/>
  <c r="AR520" i="11"/>
  <c r="U520" i="11"/>
  <c r="AS520" i="11"/>
  <c r="V520" i="11"/>
  <c r="AT520" i="11"/>
  <c r="W520" i="11"/>
  <c r="AU520" i="11"/>
  <c r="X520" i="11"/>
  <c r="AV520" i="11"/>
  <c r="Y520" i="11"/>
  <c r="AW520" i="11"/>
  <c r="Z520" i="11"/>
  <c r="AC521" i="11"/>
  <c r="F521" i="11"/>
  <c r="AD521" i="11"/>
  <c r="G521" i="11"/>
  <c r="AE521" i="11"/>
  <c r="H521" i="11"/>
  <c r="AF521" i="11"/>
  <c r="I521" i="11"/>
  <c r="AG521" i="11"/>
  <c r="J521" i="11"/>
  <c r="AH521" i="11"/>
  <c r="K521" i="11"/>
  <c r="AI521" i="11"/>
  <c r="L521" i="11"/>
  <c r="AJ521" i="11"/>
  <c r="M521" i="11"/>
  <c r="AK521" i="11"/>
  <c r="N521" i="11"/>
  <c r="AL521" i="11"/>
  <c r="O521" i="11"/>
  <c r="AM521" i="11"/>
  <c r="P521" i="11"/>
  <c r="AN521" i="11"/>
  <c r="Q521" i="11"/>
  <c r="AO521" i="11"/>
  <c r="R521" i="11"/>
  <c r="AP521" i="11"/>
  <c r="S521" i="11"/>
  <c r="AQ521" i="11"/>
  <c r="T521" i="11"/>
  <c r="AR521" i="11"/>
  <c r="U521" i="11"/>
  <c r="AS521" i="11"/>
  <c r="V521" i="11"/>
  <c r="AT521" i="11"/>
  <c r="W521" i="11"/>
  <c r="AU521" i="11"/>
  <c r="X521" i="11"/>
  <c r="AV521" i="11"/>
  <c r="Y521" i="11"/>
  <c r="AW521" i="11"/>
  <c r="Z521" i="11"/>
  <c r="AC522" i="11"/>
  <c r="F522" i="11"/>
  <c r="AD522" i="11"/>
  <c r="G522" i="11"/>
  <c r="AE522" i="11"/>
  <c r="H522" i="11"/>
  <c r="AF522" i="11"/>
  <c r="I522" i="11"/>
  <c r="AG522" i="11"/>
  <c r="J522" i="11"/>
  <c r="AH522" i="11"/>
  <c r="K522" i="11"/>
  <c r="AI522" i="11"/>
  <c r="L522" i="11"/>
  <c r="AJ522" i="11"/>
  <c r="M522" i="11"/>
  <c r="AK522" i="11"/>
  <c r="N522" i="11"/>
  <c r="AL522" i="11"/>
  <c r="O522" i="11"/>
  <c r="AM522" i="11"/>
  <c r="P522" i="11"/>
  <c r="AN522" i="11"/>
  <c r="Q522" i="11"/>
  <c r="AO522" i="11"/>
  <c r="R522" i="11"/>
  <c r="AP522" i="11"/>
  <c r="S522" i="11"/>
  <c r="AQ522" i="11"/>
  <c r="T522" i="11"/>
  <c r="AR522" i="11"/>
  <c r="U522" i="11"/>
  <c r="AS522" i="11"/>
  <c r="V522" i="11"/>
  <c r="AT522" i="11"/>
  <c r="W522" i="11"/>
  <c r="AU522" i="11"/>
  <c r="X522" i="11"/>
  <c r="AV522" i="11"/>
  <c r="Y522" i="11"/>
  <c r="AW522" i="11"/>
  <c r="Z522" i="11"/>
  <c r="AC523" i="11"/>
  <c r="F523" i="11"/>
  <c r="AD523" i="11"/>
  <c r="G523" i="11"/>
  <c r="AE523" i="11"/>
  <c r="H523" i="11"/>
  <c r="AF523" i="11"/>
  <c r="I523" i="11"/>
  <c r="AG523" i="11"/>
  <c r="J523" i="11"/>
  <c r="AH523" i="11"/>
  <c r="K523" i="11"/>
  <c r="AI523" i="11"/>
  <c r="L523" i="11"/>
  <c r="AJ523" i="11"/>
  <c r="M523" i="11"/>
  <c r="AK523" i="11"/>
  <c r="N523" i="11"/>
  <c r="AL523" i="11"/>
  <c r="O523" i="11"/>
  <c r="AM523" i="11"/>
  <c r="P523" i="11"/>
  <c r="AN523" i="11"/>
  <c r="Q523" i="11"/>
  <c r="AO523" i="11"/>
  <c r="R523" i="11"/>
  <c r="AP523" i="11"/>
  <c r="S523" i="11"/>
  <c r="AQ523" i="11"/>
  <c r="T523" i="11"/>
  <c r="AR523" i="11"/>
  <c r="U523" i="11"/>
  <c r="AS523" i="11"/>
  <c r="V523" i="11"/>
  <c r="AT523" i="11"/>
  <c r="W523" i="11"/>
  <c r="AU523" i="11"/>
  <c r="X523" i="11"/>
  <c r="AV523" i="11"/>
  <c r="Y523" i="11"/>
  <c r="AW523" i="11"/>
  <c r="Z523" i="11"/>
  <c r="AC524" i="11"/>
  <c r="F524" i="11"/>
  <c r="AD524" i="11"/>
  <c r="G524" i="11"/>
  <c r="AE524" i="11"/>
  <c r="H524" i="11"/>
  <c r="AF524" i="11"/>
  <c r="I524" i="11"/>
  <c r="AG524" i="11"/>
  <c r="J524" i="11"/>
  <c r="AH524" i="11"/>
  <c r="K524" i="11"/>
  <c r="AI524" i="11"/>
  <c r="L524" i="11"/>
  <c r="AJ524" i="11"/>
  <c r="M524" i="11"/>
  <c r="AK524" i="11"/>
  <c r="N524" i="11"/>
  <c r="AL524" i="11"/>
  <c r="O524" i="11"/>
  <c r="AM524" i="11"/>
  <c r="P524" i="11"/>
  <c r="AN524" i="11"/>
  <c r="Q524" i="11"/>
  <c r="AO524" i="11"/>
  <c r="R524" i="11"/>
  <c r="AP524" i="11"/>
  <c r="S524" i="11"/>
  <c r="AQ524" i="11"/>
  <c r="T524" i="11"/>
  <c r="AR524" i="11"/>
  <c r="U524" i="11"/>
  <c r="AS524" i="11"/>
  <c r="V524" i="11"/>
  <c r="AT524" i="11"/>
  <c r="W524" i="11"/>
  <c r="AU524" i="11"/>
  <c r="X524" i="11"/>
  <c r="AV524" i="11"/>
  <c r="Y524" i="11"/>
  <c r="AW524" i="11"/>
  <c r="Z524" i="11"/>
  <c r="AC525" i="11"/>
  <c r="F525" i="11"/>
  <c r="AD525" i="11"/>
  <c r="G525" i="11"/>
  <c r="AE525" i="11"/>
  <c r="H525" i="11"/>
  <c r="AF525" i="11"/>
  <c r="I525" i="11"/>
  <c r="AG525" i="11"/>
  <c r="J525" i="11"/>
  <c r="AH525" i="11"/>
  <c r="K525" i="11"/>
  <c r="AI525" i="11"/>
  <c r="L525" i="11"/>
  <c r="AJ525" i="11"/>
  <c r="M525" i="11"/>
  <c r="AK525" i="11"/>
  <c r="N525" i="11"/>
  <c r="AL525" i="11"/>
  <c r="O525" i="11"/>
  <c r="AM525" i="11"/>
  <c r="P525" i="11"/>
  <c r="AN525" i="11"/>
  <c r="Q525" i="11"/>
  <c r="AO525" i="11"/>
  <c r="R525" i="11"/>
  <c r="AP525" i="11"/>
  <c r="S525" i="11"/>
  <c r="AQ525" i="11"/>
  <c r="T525" i="11"/>
  <c r="AR525" i="11"/>
  <c r="U525" i="11"/>
  <c r="AS525" i="11"/>
  <c r="V525" i="11"/>
  <c r="AT525" i="11"/>
  <c r="W525" i="11"/>
  <c r="AU525" i="11"/>
  <c r="X525" i="11"/>
  <c r="AV525" i="11"/>
  <c r="Y525" i="11"/>
  <c r="AW525" i="11"/>
  <c r="Z525" i="11"/>
  <c r="AC526" i="11"/>
  <c r="F526" i="11"/>
  <c r="AD526" i="11"/>
  <c r="G526" i="11"/>
  <c r="AE526" i="11"/>
  <c r="H526" i="11"/>
  <c r="AF526" i="11"/>
  <c r="I526" i="11"/>
  <c r="AG526" i="11"/>
  <c r="J526" i="11"/>
  <c r="AH526" i="11"/>
  <c r="K526" i="11"/>
  <c r="AI526" i="11"/>
  <c r="L526" i="11"/>
  <c r="AJ526" i="11"/>
  <c r="M526" i="11"/>
  <c r="AK526" i="11"/>
  <c r="N526" i="11"/>
  <c r="AL526" i="11"/>
  <c r="O526" i="11"/>
  <c r="AM526" i="11"/>
  <c r="P526" i="11"/>
  <c r="AN526" i="11"/>
  <c r="Q526" i="11"/>
  <c r="AO526" i="11"/>
  <c r="R526" i="11"/>
  <c r="AP526" i="11"/>
  <c r="S526" i="11"/>
  <c r="AQ526" i="11"/>
  <c r="T526" i="11"/>
  <c r="AR526" i="11"/>
  <c r="U526" i="11"/>
  <c r="AS526" i="11"/>
  <c r="V526" i="11"/>
  <c r="AT526" i="11"/>
  <c r="W526" i="11"/>
  <c r="AU526" i="11"/>
  <c r="X526" i="11"/>
  <c r="AV526" i="11"/>
  <c r="Y526" i="11"/>
  <c r="AW526" i="11"/>
  <c r="Z526" i="11"/>
  <c r="AC527" i="11"/>
  <c r="F527" i="11"/>
  <c r="AD527" i="11"/>
  <c r="G527" i="11"/>
  <c r="AE527" i="11"/>
  <c r="H527" i="11"/>
  <c r="AF527" i="11"/>
  <c r="I527" i="11"/>
  <c r="AG527" i="11"/>
  <c r="J527" i="11"/>
  <c r="AH527" i="11"/>
  <c r="K527" i="11"/>
  <c r="AI527" i="11"/>
  <c r="L527" i="11"/>
  <c r="AJ527" i="11"/>
  <c r="M527" i="11"/>
  <c r="AK527" i="11"/>
  <c r="N527" i="11"/>
  <c r="AL527" i="11"/>
  <c r="O527" i="11"/>
  <c r="AM527" i="11"/>
  <c r="P527" i="11"/>
  <c r="AN527" i="11"/>
  <c r="Q527" i="11"/>
  <c r="AO527" i="11"/>
  <c r="R527" i="11"/>
  <c r="AP527" i="11"/>
  <c r="S527" i="11"/>
  <c r="AQ527" i="11"/>
  <c r="T527" i="11"/>
  <c r="AR527" i="11"/>
  <c r="U527" i="11"/>
  <c r="AS527" i="11"/>
  <c r="V527" i="11"/>
  <c r="AT527" i="11"/>
  <c r="W527" i="11"/>
  <c r="AU527" i="11"/>
  <c r="X527" i="11"/>
  <c r="AV527" i="11"/>
  <c r="Y527" i="11"/>
  <c r="AW527" i="11"/>
  <c r="Z527" i="11"/>
  <c r="AC528" i="11"/>
  <c r="F528" i="11"/>
  <c r="AD528" i="11"/>
  <c r="G528" i="11"/>
  <c r="AE528" i="11"/>
  <c r="H528" i="11"/>
  <c r="AF528" i="11"/>
  <c r="I528" i="11"/>
  <c r="AG528" i="11"/>
  <c r="J528" i="11"/>
  <c r="AH528" i="11"/>
  <c r="K528" i="11"/>
  <c r="AI528" i="11"/>
  <c r="L528" i="11"/>
  <c r="AJ528" i="11"/>
  <c r="M528" i="11"/>
  <c r="AK528" i="11"/>
  <c r="N528" i="11"/>
  <c r="AL528" i="11"/>
  <c r="O528" i="11"/>
  <c r="AM528" i="11"/>
  <c r="P528" i="11"/>
  <c r="AN528" i="11"/>
  <c r="Q528" i="11"/>
  <c r="AO528" i="11"/>
  <c r="R528" i="11"/>
  <c r="AP528" i="11"/>
  <c r="S528" i="11"/>
  <c r="AQ528" i="11"/>
  <c r="T528" i="11"/>
  <c r="AR528" i="11"/>
  <c r="U528" i="11"/>
  <c r="AS528" i="11"/>
  <c r="V528" i="11"/>
  <c r="AT528" i="11"/>
  <c r="W528" i="11"/>
  <c r="AU528" i="11"/>
  <c r="X528" i="11"/>
  <c r="AV528" i="11"/>
  <c r="Y528" i="11"/>
  <c r="AW528" i="11"/>
  <c r="Z528" i="11"/>
  <c r="AC529" i="11"/>
  <c r="F529" i="11"/>
  <c r="AD529" i="11"/>
  <c r="G529" i="11"/>
  <c r="AE529" i="11"/>
  <c r="H529" i="11"/>
  <c r="AF529" i="11"/>
  <c r="I529" i="11"/>
  <c r="AG529" i="11"/>
  <c r="J529" i="11"/>
  <c r="AH529" i="11"/>
  <c r="K529" i="11"/>
  <c r="AI529" i="11"/>
  <c r="L529" i="11"/>
  <c r="AJ529" i="11"/>
  <c r="M529" i="11"/>
  <c r="AK529" i="11"/>
  <c r="N529" i="11"/>
  <c r="AL529" i="11"/>
  <c r="O529" i="11"/>
  <c r="AM529" i="11"/>
  <c r="P529" i="11"/>
  <c r="AN529" i="11"/>
  <c r="Q529" i="11"/>
  <c r="AO529" i="11"/>
  <c r="R529" i="11"/>
  <c r="AP529" i="11"/>
  <c r="S529" i="11"/>
  <c r="AQ529" i="11"/>
  <c r="T529" i="11"/>
  <c r="AR529" i="11"/>
  <c r="U529" i="11"/>
  <c r="AS529" i="11"/>
  <c r="V529" i="11"/>
  <c r="AT529" i="11"/>
  <c r="W529" i="11"/>
  <c r="AU529" i="11"/>
  <c r="X529" i="11"/>
  <c r="AV529" i="11"/>
  <c r="Y529" i="11"/>
  <c r="AW529" i="11"/>
  <c r="Z529" i="11"/>
  <c r="AC530" i="11"/>
  <c r="F530" i="11"/>
  <c r="AD530" i="11"/>
  <c r="G530" i="11"/>
  <c r="AE530" i="11"/>
  <c r="H530" i="11"/>
  <c r="AF530" i="11"/>
  <c r="I530" i="11"/>
  <c r="AG530" i="11"/>
  <c r="J530" i="11"/>
  <c r="AH530" i="11"/>
  <c r="K530" i="11"/>
  <c r="AI530" i="11"/>
  <c r="L530" i="11"/>
  <c r="AJ530" i="11"/>
  <c r="M530" i="11"/>
  <c r="AK530" i="11"/>
  <c r="N530" i="11"/>
  <c r="AL530" i="11"/>
  <c r="O530" i="11"/>
  <c r="AM530" i="11"/>
  <c r="P530" i="11"/>
  <c r="AN530" i="11"/>
  <c r="Q530" i="11"/>
  <c r="AO530" i="11"/>
  <c r="R530" i="11"/>
  <c r="AP530" i="11"/>
  <c r="S530" i="11"/>
  <c r="AQ530" i="11"/>
  <c r="T530" i="11"/>
  <c r="AR530" i="11"/>
  <c r="U530" i="11"/>
  <c r="AS530" i="11"/>
  <c r="V530" i="11"/>
  <c r="AT530" i="11"/>
  <c r="W530" i="11"/>
  <c r="AU530" i="11"/>
  <c r="X530" i="11"/>
  <c r="AV530" i="11"/>
  <c r="Y530" i="11"/>
  <c r="AW530" i="11"/>
  <c r="Z530" i="11"/>
  <c r="AC531" i="11"/>
  <c r="F531" i="11"/>
  <c r="AD531" i="11"/>
  <c r="G531" i="11"/>
  <c r="AE531" i="11"/>
  <c r="H531" i="11"/>
  <c r="AF531" i="11"/>
  <c r="I531" i="11"/>
  <c r="AG531" i="11"/>
  <c r="J531" i="11"/>
  <c r="AH531" i="11"/>
  <c r="K531" i="11"/>
  <c r="AI531" i="11"/>
  <c r="L531" i="11"/>
  <c r="AJ531" i="11"/>
  <c r="M531" i="11"/>
  <c r="AK531" i="11"/>
  <c r="N531" i="11"/>
  <c r="AL531" i="11"/>
  <c r="O531" i="11"/>
  <c r="AM531" i="11"/>
  <c r="P531" i="11"/>
  <c r="AN531" i="11"/>
  <c r="Q531" i="11"/>
  <c r="AO531" i="11"/>
  <c r="R531" i="11"/>
  <c r="AP531" i="11"/>
  <c r="S531" i="11"/>
  <c r="AQ531" i="11"/>
  <c r="T531" i="11"/>
  <c r="AR531" i="11"/>
  <c r="U531" i="11"/>
  <c r="AS531" i="11"/>
  <c r="V531" i="11"/>
  <c r="AT531" i="11"/>
  <c r="W531" i="11"/>
  <c r="AU531" i="11"/>
  <c r="X531" i="11"/>
  <c r="AV531" i="11"/>
  <c r="Y531" i="11"/>
  <c r="AW531" i="11"/>
  <c r="Z531" i="11"/>
  <c r="AC532" i="11"/>
  <c r="F532" i="11"/>
  <c r="AD532" i="11"/>
  <c r="G532" i="11"/>
  <c r="AE532" i="11"/>
  <c r="H532" i="11"/>
  <c r="AF532" i="11"/>
  <c r="I532" i="11"/>
  <c r="AG532" i="11"/>
  <c r="J532" i="11"/>
  <c r="AH532" i="11"/>
  <c r="K532" i="11"/>
  <c r="AI532" i="11"/>
  <c r="L532" i="11"/>
  <c r="AJ532" i="11"/>
  <c r="M532" i="11"/>
  <c r="AK532" i="11"/>
  <c r="N532" i="11"/>
  <c r="AL532" i="11"/>
  <c r="O532" i="11"/>
  <c r="AM532" i="11"/>
  <c r="P532" i="11"/>
  <c r="AN532" i="11"/>
  <c r="Q532" i="11"/>
  <c r="AO532" i="11"/>
  <c r="R532" i="11"/>
  <c r="AP532" i="11"/>
  <c r="S532" i="11"/>
  <c r="AQ532" i="11"/>
  <c r="T532" i="11"/>
  <c r="AR532" i="11"/>
  <c r="U532" i="11"/>
  <c r="AS532" i="11"/>
  <c r="V532" i="11"/>
  <c r="AT532" i="11"/>
  <c r="W532" i="11"/>
  <c r="AU532" i="11"/>
  <c r="X532" i="11"/>
  <c r="AV532" i="11"/>
  <c r="Y532" i="11"/>
  <c r="AW532" i="11"/>
  <c r="Z532" i="11"/>
  <c r="AC533" i="11"/>
  <c r="F533" i="11"/>
  <c r="AD533" i="11"/>
  <c r="G533" i="11"/>
  <c r="AE533" i="11"/>
  <c r="H533" i="11"/>
  <c r="AF533" i="11"/>
  <c r="I533" i="11"/>
  <c r="AG533" i="11"/>
  <c r="J533" i="11"/>
  <c r="AH533" i="11"/>
  <c r="K533" i="11"/>
  <c r="AI533" i="11"/>
  <c r="L533" i="11"/>
  <c r="AJ533" i="11"/>
  <c r="M533" i="11"/>
  <c r="AK533" i="11"/>
  <c r="N533" i="11"/>
  <c r="AL533" i="11"/>
  <c r="O533" i="11"/>
  <c r="AM533" i="11"/>
  <c r="P533" i="11"/>
  <c r="AN533" i="11"/>
  <c r="Q533" i="11"/>
  <c r="AO533" i="11"/>
  <c r="R533" i="11"/>
  <c r="AP533" i="11"/>
  <c r="S533" i="11"/>
  <c r="AQ533" i="11"/>
  <c r="T533" i="11"/>
  <c r="AR533" i="11"/>
  <c r="U533" i="11"/>
  <c r="AS533" i="11"/>
  <c r="V533" i="11"/>
  <c r="AT533" i="11"/>
  <c r="W533" i="11"/>
  <c r="AU533" i="11"/>
  <c r="X533" i="11"/>
  <c r="AV533" i="11"/>
  <c r="Y533" i="11"/>
  <c r="AW533" i="11"/>
  <c r="Z533" i="11"/>
  <c r="AC534" i="11"/>
  <c r="F534" i="11"/>
  <c r="AD534" i="11"/>
  <c r="G534" i="11"/>
  <c r="AE534" i="11"/>
  <c r="H534" i="11"/>
  <c r="AF534" i="11"/>
  <c r="I534" i="11"/>
  <c r="AG534" i="11"/>
  <c r="J534" i="11"/>
  <c r="AH534" i="11"/>
  <c r="K534" i="11"/>
  <c r="AI534" i="11"/>
  <c r="L534" i="11"/>
  <c r="AJ534" i="11"/>
  <c r="M534" i="11"/>
  <c r="AK534" i="11"/>
  <c r="N534" i="11"/>
  <c r="AL534" i="11"/>
  <c r="O534" i="11"/>
  <c r="AM534" i="11"/>
  <c r="P534" i="11"/>
  <c r="AN534" i="11"/>
  <c r="Q534" i="11"/>
  <c r="AO534" i="11"/>
  <c r="R534" i="11"/>
  <c r="AP534" i="11"/>
  <c r="S534" i="11"/>
  <c r="AQ534" i="11"/>
  <c r="T534" i="11"/>
  <c r="AR534" i="11"/>
  <c r="U534" i="11"/>
  <c r="AS534" i="11"/>
  <c r="V534" i="11"/>
  <c r="AT534" i="11"/>
  <c r="W534" i="11"/>
  <c r="AU534" i="11"/>
  <c r="X534" i="11"/>
  <c r="AV534" i="11"/>
  <c r="Y534" i="11"/>
  <c r="AW534" i="11"/>
  <c r="Z534" i="11"/>
  <c r="AC535" i="11"/>
  <c r="F535" i="11"/>
  <c r="AD535" i="11"/>
  <c r="G535" i="11"/>
  <c r="AE535" i="11"/>
  <c r="H535" i="11"/>
  <c r="AF535" i="11"/>
  <c r="I535" i="11"/>
  <c r="AG535" i="11"/>
  <c r="J535" i="11"/>
  <c r="AH535" i="11"/>
  <c r="K535" i="11"/>
  <c r="AI535" i="11"/>
  <c r="L535" i="11"/>
  <c r="AJ535" i="11"/>
  <c r="M535" i="11"/>
  <c r="AK535" i="11"/>
  <c r="N535" i="11"/>
  <c r="AL535" i="11"/>
  <c r="O535" i="11"/>
  <c r="AM535" i="11"/>
  <c r="P535" i="11"/>
  <c r="AN535" i="11"/>
  <c r="Q535" i="11"/>
  <c r="AO535" i="11"/>
  <c r="R535" i="11"/>
  <c r="AP535" i="11"/>
  <c r="S535" i="11"/>
  <c r="AQ535" i="11"/>
  <c r="T535" i="11"/>
  <c r="AR535" i="11"/>
  <c r="U535" i="11"/>
  <c r="AS535" i="11"/>
  <c r="V535" i="11"/>
  <c r="AT535" i="11"/>
  <c r="W535" i="11"/>
  <c r="AU535" i="11"/>
  <c r="X535" i="11"/>
  <c r="AV535" i="11"/>
  <c r="Y535" i="11"/>
  <c r="AW535" i="11"/>
  <c r="Z535" i="11"/>
  <c r="AC536" i="11"/>
  <c r="F536" i="11"/>
  <c r="AD536" i="11"/>
  <c r="G536" i="11"/>
  <c r="AE536" i="11"/>
  <c r="H536" i="11"/>
  <c r="AF536" i="11"/>
  <c r="I536" i="11"/>
  <c r="AG536" i="11"/>
  <c r="J536" i="11"/>
  <c r="AH536" i="11"/>
  <c r="K536" i="11"/>
  <c r="AI536" i="11"/>
  <c r="L536" i="11"/>
  <c r="AJ536" i="11"/>
  <c r="M536" i="11"/>
  <c r="AK536" i="11"/>
  <c r="N536" i="11"/>
  <c r="AL536" i="11"/>
  <c r="O536" i="11"/>
  <c r="AM536" i="11"/>
  <c r="P536" i="11"/>
  <c r="AN536" i="11"/>
  <c r="Q536" i="11"/>
  <c r="AO536" i="11"/>
  <c r="R536" i="11"/>
  <c r="AP536" i="11"/>
  <c r="S536" i="11"/>
  <c r="AQ536" i="11"/>
  <c r="T536" i="11"/>
  <c r="AR536" i="11"/>
  <c r="U536" i="11"/>
  <c r="AS536" i="11"/>
  <c r="V536" i="11"/>
  <c r="AT536" i="11"/>
  <c r="W536" i="11"/>
  <c r="AU536" i="11"/>
  <c r="X536" i="11"/>
  <c r="AV536" i="11"/>
  <c r="Y536" i="11"/>
  <c r="AW536" i="11"/>
  <c r="Z536" i="11"/>
  <c r="AC537" i="11"/>
  <c r="F537" i="11"/>
  <c r="AD537" i="11"/>
  <c r="G537" i="11"/>
  <c r="AE537" i="11"/>
  <c r="H537" i="11"/>
  <c r="AF537" i="11"/>
  <c r="I537" i="11"/>
  <c r="AG537" i="11"/>
  <c r="J537" i="11"/>
  <c r="AH537" i="11"/>
  <c r="K537" i="11"/>
  <c r="AI537" i="11"/>
  <c r="L537" i="11"/>
  <c r="AJ537" i="11"/>
  <c r="M537" i="11"/>
  <c r="AK537" i="11"/>
  <c r="N537" i="11"/>
  <c r="AL537" i="11"/>
  <c r="O537" i="11"/>
  <c r="AM537" i="11"/>
  <c r="P537" i="11"/>
  <c r="AN537" i="11"/>
  <c r="Q537" i="11"/>
  <c r="AO537" i="11"/>
  <c r="R537" i="11"/>
  <c r="AP537" i="11"/>
  <c r="S537" i="11"/>
  <c r="AQ537" i="11"/>
  <c r="T537" i="11"/>
  <c r="AR537" i="11"/>
  <c r="U537" i="11"/>
  <c r="AS537" i="11"/>
  <c r="V537" i="11"/>
  <c r="AT537" i="11"/>
  <c r="W537" i="11"/>
  <c r="AU537" i="11"/>
  <c r="X537" i="11"/>
  <c r="AV537" i="11"/>
  <c r="Y537" i="11"/>
  <c r="AW537" i="11"/>
  <c r="Z537" i="11"/>
  <c r="AC538" i="11"/>
  <c r="F538" i="11"/>
  <c r="AD538" i="11"/>
  <c r="G538" i="11"/>
  <c r="AE538" i="11"/>
  <c r="H538" i="11"/>
  <c r="AF538" i="11"/>
  <c r="I538" i="11"/>
  <c r="AG538" i="11"/>
  <c r="J538" i="11"/>
  <c r="AH538" i="11"/>
  <c r="K538" i="11"/>
  <c r="AI538" i="11"/>
  <c r="L538" i="11"/>
  <c r="AJ538" i="11"/>
  <c r="M538" i="11"/>
  <c r="AK538" i="11"/>
  <c r="N538" i="11"/>
  <c r="AL538" i="11"/>
  <c r="O538" i="11"/>
  <c r="AM538" i="11"/>
  <c r="P538" i="11"/>
  <c r="AN538" i="11"/>
  <c r="Q538" i="11"/>
  <c r="AO538" i="11"/>
  <c r="R538" i="11"/>
  <c r="AP538" i="11"/>
  <c r="S538" i="11"/>
  <c r="AQ538" i="11"/>
  <c r="T538" i="11"/>
  <c r="AR538" i="11"/>
  <c r="U538" i="11"/>
  <c r="AS538" i="11"/>
  <c r="V538" i="11"/>
  <c r="AT538" i="11"/>
  <c r="W538" i="11"/>
  <c r="AU538" i="11"/>
  <c r="X538" i="11"/>
  <c r="AV538" i="11"/>
  <c r="Y538" i="11"/>
  <c r="AW538" i="11"/>
  <c r="Z538" i="11"/>
  <c r="AC539" i="11"/>
  <c r="F539" i="11"/>
  <c r="AD539" i="11"/>
  <c r="G539" i="11"/>
  <c r="AE539" i="11"/>
  <c r="H539" i="11"/>
  <c r="AF539" i="11"/>
  <c r="I539" i="11"/>
  <c r="AG539" i="11"/>
  <c r="J539" i="11"/>
  <c r="AH539" i="11"/>
  <c r="K539" i="11"/>
  <c r="AI539" i="11"/>
  <c r="L539" i="11"/>
  <c r="AJ539" i="11"/>
  <c r="M539" i="11"/>
  <c r="AK539" i="11"/>
  <c r="N539" i="11"/>
  <c r="AL539" i="11"/>
  <c r="O539" i="11"/>
  <c r="AM539" i="11"/>
  <c r="P539" i="11"/>
  <c r="AN539" i="11"/>
  <c r="Q539" i="11"/>
  <c r="AO539" i="11"/>
  <c r="R539" i="11"/>
  <c r="AP539" i="11"/>
  <c r="S539" i="11"/>
  <c r="AQ539" i="11"/>
  <c r="T539" i="11"/>
  <c r="AR539" i="11"/>
  <c r="U539" i="11"/>
  <c r="AS539" i="11"/>
  <c r="V539" i="11"/>
  <c r="AT539" i="11"/>
  <c r="W539" i="11"/>
  <c r="AU539" i="11"/>
  <c r="X539" i="11"/>
  <c r="AV539" i="11"/>
  <c r="Y539" i="11"/>
  <c r="AW539" i="11"/>
  <c r="Z539" i="11"/>
  <c r="AC540" i="11"/>
  <c r="F540" i="11"/>
  <c r="AD540" i="11"/>
  <c r="G540" i="11"/>
  <c r="AE540" i="11"/>
  <c r="H540" i="11"/>
  <c r="AF540" i="11"/>
  <c r="I540" i="11"/>
  <c r="AG540" i="11"/>
  <c r="J540" i="11"/>
  <c r="AH540" i="11"/>
  <c r="K540" i="11"/>
  <c r="AI540" i="11"/>
  <c r="L540" i="11"/>
  <c r="AJ540" i="11"/>
  <c r="M540" i="11"/>
  <c r="AK540" i="11"/>
  <c r="N540" i="11"/>
  <c r="AL540" i="11"/>
  <c r="O540" i="11"/>
  <c r="AM540" i="11"/>
  <c r="P540" i="11"/>
  <c r="AN540" i="11"/>
  <c r="Q540" i="11"/>
  <c r="AO540" i="11"/>
  <c r="R540" i="11"/>
  <c r="AP540" i="11"/>
  <c r="S540" i="11"/>
  <c r="AQ540" i="11"/>
  <c r="T540" i="11"/>
  <c r="AR540" i="11"/>
  <c r="U540" i="11"/>
  <c r="AS540" i="11"/>
  <c r="V540" i="11"/>
  <c r="AT540" i="11"/>
  <c r="W540" i="11"/>
  <c r="AU540" i="11"/>
  <c r="X540" i="11"/>
  <c r="AV540" i="11"/>
  <c r="Y540" i="11"/>
  <c r="AW540" i="11"/>
  <c r="Z540" i="11"/>
  <c r="AC541" i="11"/>
  <c r="F541" i="11"/>
  <c r="AD541" i="11"/>
  <c r="G541" i="11"/>
  <c r="AE541" i="11"/>
  <c r="H541" i="11"/>
  <c r="AF541" i="11"/>
  <c r="I541" i="11"/>
  <c r="AG541" i="11"/>
  <c r="J541" i="11"/>
  <c r="AH541" i="11"/>
  <c r="K541" i="11"/>
  <c r="AI541" i="11"/>
  <c r="L541" i="11"/>
  <c r="AJ541" i="11"/>
  <c r="M541" i="11"/>
  <c r="AK541" i="11"/>
  <c r="N541" i="11"/>
  <c r="AL541" i="11"/>
  <c r="O541" i="11"/>
  <c r="AM541" i="11"/>
  <c r="P541" i="11"/>
  <c r="AN541" i="11"/>
  <c r="Q541" i="11"/>
  <c r="AO541" i="11"/>
  <c r="R541" i="11"/>
  <c r="AP541" i="11"/>
  <c r="S541" i="11"/>
  <c r="AQ541" i="11"/>
  <c r="T541" i="11"/>
  <c r="AR541" i="11"/>
  <c r="U541" i="11"/>
  <c r="AS541" i="11"/>
  <c r="V541" i="11"/>
  <c r="AT541" i="11"/>
  <c r="W541" i="11"/>
  <c r="AU541" i="11"/>
  <c r="X541" i="11"/>
  <c r="AV541" i="11"/>
  <c r="Y541" i="11"/>
  <c r="AW541" i="11"/>
  <c r="Z541" i="11"/>
  <c r="AC542" i="11"/>
  <c r="F542" i="11"/>
  <c r="AD542" i="11"/>
  <c r="G542" i="11"/>
  <c r="AE542" i="11"/>
  <c r="H542" i="11"/>
  <c r="AF542" i="11"/>
  <c r="I542" i="11"/>
  <c r="AG542" i="11"/>
  <c r="J542" i="11"/>
  <c r="AH542" i="11"/>
  <c r="K542" i="11"/>
  <c r="AI542" i="11"/>
  <c r="L542" i="11"/>
  <c r="AJ542" i="11"/>
  <c r="M542" i="11"/>
  <c r="AK542" i="11"/>
  <c r="N542" i="11"/>
  <c r="AL542" i="11"/>
  <c r="O542" i="11"/>
  <c r="AM542" i="11"/>
  <c r="P542" i="11"/>
  <c r="AN542" i="11"/>
  <c r="Q542" i="11"/>
  <c r="AO542" i="11"/>
  <c r="R542" i="11"/>
  <c r="AP542" i="11"/>
  <c r="S542" i="11"/>
  <c r="AQ542" i="11"/>
  <c r="T542" i="11"/>
  <c r="AR542" i="11"/>
  <c r="U542" i="11"/>
  <c r="AS542" i="11"/>
  <c r="V542" i="11"/>
  <c r="AT542" i="11"/>
  <c r="W542" i="11"/>
  <c r="AU542" i="11"/>
  <c r="X542" i="11"/>
  <c r="AV542" i="11"/>
  <c r="Y542" i="11"/>
  <c r="AW542" i="11"/>
  <c r="Z542" i="11"/>
  <c r="AC543" i="11"/>
  <c r="F543" i="11"/>
  <c r="AD543" i="11"/>
  <c r="G543" i="11"/>
  <c r="AE543" i="11"/>
  <c r="H543" i="11"/>
  <c r="AF543" i="11"/>
  <c r="I543" i="11"/>
  <c r="AG543" i="11"/>
  <c r="J543" i="11"/>
  <c r="AH543" i="11"/>
  <c r="K543" i="11"/>
  <c r="AI543" i="11"/>
  <c r="L543" i="11"/>
  <c r="AJ543" i="11"/>
  <c r="M543" i="11"/>
  <c r="AK543" i="11"/>
  <c r="N543" i="11"/>
  <c r="AL543" i="11"/>
  <c r="O543" i="11"/>
  <c r="AM543" i="11"/>
  <c r="P543" i="11"/>
  <c r="AN543" i="11"/>
  <c r="Q543" i="11"/>
  <c r="AO543" i="11"/>
  <c r="R543" i="11"/>
  <c r="AP543" i="11"/>
  <c r="S543" i="11"/>
  <c r="AQ543" i="11"/>
  <c r="T543" i="11"/>
  <c r="AR543" i="11"/>
  <c r="U543" i="11"/>
  <c r="AS543" i="11"/>
  <c r="V543" i="11"/>
  <c r="AT543" i="11"/>
  <c r="W543" i="11"/>
  <c r="AU543" i="11"/>
  <c r="X543" i="11"/>
  <c r="AV543" i="11"/>
  <c r="Y543" i="11"/>
  <c r="AW543" i="11"/>
  <c r="Z543" i="11"/>
  <c r="AC544" i="11"/>
  <c r="F544" i="11"/>
  <c r="AD544" i="11"/>
  <c r="G544" i="11"/>
  <c r="AE544" i="11"/>
  <c r="H544" i="11"/>
  <c r="AF544" i="11"/>
  <c r="I544" i="11"/>
  <c r="AG544" i="11"/>
  <c r="J544" i="11"/>
  <c r="AH544" i="11"/>
  <c r="K544" i="11"/>
  <c r="AI544" i="11"/>
  <c r="L544" i="11"/>
  <c r="AJ544" i="11"/>
  <c r="M544" i="11"/>
  <c r="AK544" i="11"/>
  <c r="N544" i="11"/>
  <c r="AL544" i="11"/>
  <c r="O544" i="11"/>
  <c r="AM544" i="11"/>
  <c r="P544" i="11"/>
  <c r="AN544" i="11"/>
  <c r="Q544" i="11"/>
  <c r="AO544" i="11"/>
  <c r="R544" i="11"/>
  <c r="AP544" i="11"/>
  <c r="S544" i="11"/>
  <c r="AQ544" i="11"/>
  <c r="T544" i="11"/>
  <c r="AR544" i="11"/>
  <c r="U544" i="11"/>
  <c r="AS544" i="11"/>
  <c r="V544" i="11"/>
  <c r="AT544" i="11"/>
  <c r="W544" i="11"/>
  <c r="AU544" i="11"/>
  <c r="X544" i="11"/>
  <c r="AV544" i="11"/>
  <c r="Y544" i="11"/>
  <c r="AW544" i="11"/>
  <c r="Z544" i="11"/>
  <c r="AC545" i="11"/>
  <c r="F545" i="11"/>
  <c r="AD545" i="11"/>
  <c r="G545" i="11"/>
  <c r="AE545" i="11"/>
  <c r="H545" i="11"/>
  <c r="AF545" i="11"/>
  <c r="I545" i="11"/>
  <c r="AG545" i="11"/>
  <c r="J545" i="11"/>
  <c r="AH545" i="11"/>
  <c r="K545" i="11"/>
  <c r="AI545" i="11"/>
  <c r="L545" i="11"/>
  <c r="AJ545" i="11"/>
  <c r="M545" i="11"/>
  <c r="AK545" i="11"/>
  <c r="N545" i="11"/>
  <c r="AL545" i="11"/>
  <c r="O545" i="11"/>
  <c r="AM545" i="11"/>
  <c r="P545" i="11"/>
  <c r="AN545" i="11"/>
  <c r="Q545" i="11"/>
  <c r="AO545" i="11"/>
  <c r="R545" i="11"/>
  <c r="AP545" i="11"/>
  <c r="S545" i="11"/>
  <c r="AQ545" i="11"/>
  <c r="T545" i="11"/>
  <c r="AR545" i="11"/>
  <c r="U545" i="11"/>
  <c r="AS545" i="11"/>
  <c r="V545" i="11"/>
  <c r="AT545" i="11"/>
  <c r="W545" i="11"/>
  <c r="AU545" i="11"/>
  <c r="X545" i="11"/>
  <c r="AV545" i="11"/>
  <c r="Y545" i="11"/>
  <c r="AW545" i="11"/>
  <c r="Z545" i="11"/>
  <c r="AC546" i="11"/>
  <c r="F546" i="11"/>
  <c r="AD546" i="11"/>
  <c r="G546" i="11"/>
  <c r="AE546" i="11"/>
  <c r="H546" i="11"/>
  <c r="AF546" i="11"/>
  <c r="I546" i="11"/>
  <c r="AG546" i="11"/>
  <c r="J546" i="11"/>
  <c r="AH546" i="11"/>
  <c r="K546" i="11"/>
  <c r="AI546" i="11"/>
  <c r="L546" i="11"/>
  <c r="AJ546" i="11"/>
  <c r="M546" i="11"/>
  <c r="AK546" i="11"/>
  <c r="N546" i="11"/>
  <c r="AL546" i="11"/>
  <c r="O546" i="11"/>
  <c r="AM546" i="11"/>
  <c r="P546" i="11"/>
  <c r="AN546" i="11"/>
  <c r="Q546" i="11"/>
  <c r="AO546" i="11"/>
  <c r="R546" i="11"/>
  <c r="AP546" i="11"/>
  <c r="S546" i="11"/>
  <c r="AQ546" i="11"/>
  <c r="T546" i="11"/>
  <c r="AR546" i="11"/>
  <c r="U546" i="11"/>
  <c r="AS546" i="11"/>
  <c r="V546" i="11"/>
  <c r="AT546" i="11"/>
  <c r="W546" i="11"/>
  <c r="AU546" i="11"/>
  <c r="X546" i="11"/>
  <c r="AV546" i="11"/>
  <c r="Y546" i="11"/>
  <c r="AW546" i="11"/>
  <c r="Z546" i="11"/>
  <c r="AC547" i="11"/>
  <c r="F547" i="11"/>
  <c r="AD547" i="11"/>
  <c r="G547" i="11"/>
  <c r="AE547" i="11"/>
  <c r="H547" i="11"/>
  <c r="AF547" i="11"/>
  <c r="I547" i="11"/>
  <c r="AG547" i="11"/>
  <c r="J547" i="11"/>
  <c r="AH547" i="11"/>
  <c r="K547" i="11"/>
  <c r="AI547" i="11"/>
  <c r="L547" i="11"/>
  <c r="AJ547" i="11"/>
  <c r="M547" i="11"/>
  <c r="AK547" i="11"/>
  <c r="N547" i="11"/>
  <c r="AL547" i="11"/>
  <c r="O547" i="11"/>
  <c r="AM547" i="11"/>
  <c r="P547" i="11"/>
  <c r="AN547" i="11"/>
  <c r="Q547" i="11"/>
  <c r="AO547" i="11"/>
  <c r="R547" i="11"/>
  <c r="AP547" i="11"/>
  <c r="S547" i="11"/>
  <c r="AQ547" i="11"/>
  <c r="T547" i="11"/>
  <c r="AR547" i="11"/>
  <c r="U547" i="11"/>
  <c r="AS547" i="11"/>
  <c r="V547" i="11"/>
  <c r="AT547" i="11"/>
  <c r="W547" i="11"/>
  <c r="AU547" i="11"/>
  <c r="X547" i="11"/>
  <c r="AV547" i="11"/>
  <c r="Y547" i="11"/>
  <c r="AW547" i="11"/>
  <c r="Z547" i="11"/>
  <c r="AC548" i="11"/>
  <c r="F548" i="11"/>
  <c r="AD548" i="11"/>
  <c r="G548" i="11"/>
  <c r="AE548" i="11"/>
  <c r="H548" i="11"/>
  <c r="AF548" i="11"/>
  <c r="I548" i="11"/>
  <c r="AG548" i="11"/>
  <c r="J548" i="11"/>
  <c r="AH548" i="11"/>
  <c r="K548" i="11"/>
  <c r="AI548" i="11"/>
  <c r="L548" i="11"/>
  <c r="AJ548" i="11"/>
  <c r="M548" i="11"/>
  <c r="AK548" i="11"/>
  <c r="N548" i="11"/>
  <c r="AL548" i="11"/>
  <c r="O548" i="11"/>
  <c r="AM548" i="11"/>
  <c r="P548" i="11"/>
  <c r="AN548" i="11"/>
  <c r="Q548" i="11"/>
  <c r="AO548" i="11"/>
  <c r="R548" i="11"/>
  <c r="AP548" i="11"/>
  <c r="S548" i="11"/>
  <c r="AQ548" i="11"/>
  <c r="T548" i="11"/>
  <c r="AR548" i="11"/>
  <c r="U548" i="11"/>
  <c r="AS548" i="11"/>
  <c r="V548" i="11"/>
  <c r="AT548" i="11"/>
  <c r="W548" i="11"/>
  <c r="AU548" i="11"/>
  <c r="X548" i="11"/>
  <c r="AV548" i="11"/>
  <c r="Y548" i="11"/>
  <c r="AW548" i="11"/>
  <c r="Z548" i="11"/>
  <c r="AC549" i="11"/>
  <c r="F549" i="11"/>
  <c r="AD549" i="11"/>
  <c r="G549" i="11"/>
  <c r="AE549" i="11"/>
  <c r="H549" i="11"/>
  <c r="AF549" i="11"/>
  <c r="I549" i="11"/>
  <c r="AG549" i="11"/>
  <c r="J549" i="11"/>
  <c r="AH549" i="11"/>
  <c r="K549" i="11"/>
  <c r="AI549" i="11"/>
  <c r="L549" i="11"/>
  <c r="AJ549" i="11"/>
  <c r="M549" i="11"/>
  <c r="AK549" i="11"/>
  <c r="N549" i="11"/>
  <c r="AL549" i="11"/>
  <c r="O549" i="11"/>
  <c r="AM549" i="11"/>
  <c r="P549" i="11"/>
  <c r="AN549" i="11"/>
  <c r="Q549" i="11"/>
  <c r="AO549" i="11"/>
  <c r="R549" i="11"/>
  <c r="AP549" i="11"/>
  <c r="S549" i="11"/>
  <c r="AQ549" i="11"/>
  <c r="T549" i="11"/>
  <c r="AR549" i="11"/>
  <c r="U549" i="11"/>
  <c r="AS549" i="11"/>
  <c r="V549" i="11"/>
  <c r="AT549" i="11"/>
  <c r="W549" i="11"/>
  <c r="AU549" i="11"/>
  <c r="X549" i="11"/>
  <c r="AV549" i="11"/>
  <c r="Y549" i="11"/>
  <c r="AW549" i="11"/>
  <c r="Z549" i="11"/>
  <c r="AC550" i="11"/>
  <c r="F550" i="11"/>
  <c r="AD550" i="11"/>
  <c r="G550" i="11"/>
  <c r="AE550" i="11"/>
  <c r="H550" i="11"/>
  <c r="AF550" i="11"/>
  <c r="I550" i="11"/>
  <c r="AG550" i="11"/>
  <c r="J550" i="11"/>
  <c r="AH550" i="11"/>
  <c r="K550" i="11"/>
  <c r="AI550" i="11"/>
  <c r="L550" i="11"/>
  <c r="AJ550" i="11"/>
  <c r="M550" i="11"/>
  <c r="AK550" i="11"/>
  <c r="N550" i="11"/>
  <c r="AL550" i="11"/>
  <c r="O550" i="11"/>
  <c r="AM550" i="11"/>
  <c r="P550" i="11"/>
  <c r="AN550" i="11"/>
  <c r="Q550" i="11"/>
  <c r="AO550" i="11"/>
  <c r="R550" i="11"/>
  <c r="AP550" i="11"/>
  <c r="S550" i="11"/>
  <c r="AQ550" i="11"/>
  <c r="T550" i="11"/>
  <c r="AR550" i="11"/>
  <c r="U550" i="11"/>
  <c r="AS550" i="11"/>
  <c r="V550" i="11"/>
  <c r="AT550" i="11"/>
  <c r="W550" i="11"/>
  <c r="AU550" i="11"/>
  <c r="X550" i="11"/>
  <c r="AV550" i="11"/>
  <c r="Y550" i="11"/>
  <c r="AW550" i="11"/>
  <c r="Z550" i="11"/>
  <c r="AC551" i="11"/>
  <c r="F551" i="11"/>
  <c r="AD551" i="11"/>
  <c r="G551" i="11"/>
  <c r="AE551" i="11"/>
  <c r="H551" i="11"/>
  <c r="AF551" i="11"/>
  <c r="I551" i="11"/>
  <c r="AG551" i="11"/>
  <c r="J551" i="11"/>
  <c r="AH551" i="11"/>
  <c r="K551" i="11"/>
  <c r="AI551" i="11"/>
  <c r="L551" i="11"/>
  <c r="AJ551" i="11"/>
  <c r="M551" i="11"/>
  <c r="AK551" i="11"/>
  <c r="N551" i="11"/>
  <c r="AL551" i="11"/>
  <c r="O551" i="11"/>
  <c r="AM551" i="11"/>
  <c r="P551" i="11"/>
  <c r="AN551" i="11"/>
  <c r="Q551" i="11"/>
  <c r="AO551" i="11"/>
  <c r="R551" i="11"/>
  <c r="AP551" i="11"/>
  <c r="S551" i="11"/>
  <c r="AQ551" i="11"/>
  <c r="T551" i="11"/>
  <c r="AR551" i="11"/>
  <c r="U551" i="11"/>
  <c r="AS551" i="11"/>
  <c r="V551" i="11"/>
  <c r="AT551" i="11"/>
  <c r="W551" i="11"/>
  <c r="AU551" i="11"/>
  <c r="X551" i="11"/>
  <c r="AV551" i="11"/>
  <c r="Y551" i="11"/>
  <c r="AW551" i="11"/>
  <c r="Z551" i="11"/>
  <c r="AC552" i="11"/>
  <c r="F552" i="11"/>
  <c r="AD552" i="11"/>
  <c r="G552" i="11"/>
  <c r="AE552" i="11"/>
  <c r="H552" i="11"/>
  <c r="AF552" i="11"/>
  <c r="I552" i="11"/>
  <c r="AG552" i="11"/>
  <c r="J552" i="11"/>
  <c r="AH552" i="11"/>
  <c r="K552" i="11"/>
  <c r="AI552" i="11"/>
  <c r="L552" i="11"/>
  <c r="AJ552" i="11"/>
  <c r="M552" i="11"/>
  <c r="AK552" i="11"/>
  <c r="N552" i="11"/>
  <c r="AL552" i="11"/>
  <c r="O552" i="11"/>
  <c r="AM552" i="11"/>
  <c r="P552" i="11"/>
  <c r="AN552" i="11"/>
  <c r="Q552" i="11"/>
  <c r="AO552" i="11"/>
  <c r="R552" i="11"/>
  <c r="AP552" i="11"/>
  <c r="S552" i="11"/>
  <c r="AQ552" i="11"/>
  <c r="T552" i="11"/>
  <c r="AR552" i="11"/>
  <c r="U552" i="11"/>
  <c r="AS552" i="11"/>
  <c r="V552" i="11"/>
  <c r="AT552" i="11"/>
  <c r="W552" i="11"/>
  <c r="AU552" i="11"/>
  <c r="X552" i="11"/>
  <c r="AV552" i="11"/>
  <c r="Y552" i="11"/>
  <c r="AW552" i="11"/>
  <c r="Z552" i="11"/>
  <c r="AC553" i="11"/>
  <c r="F553" i="11"/>
  <c r="AD553" i="11"/>
  <c r="G553" i="11"/>
  <c r="AE553" i="11"/>
  <c r="H553" i="11"/>
  <c r="AF553" i="11"/>
  <c r="I553" i="11"/>
  <c r="AG553" i="11"/>
  <c r="J553" i="11"/>
  <c r="AH553" i="11"/>
  <c r="K553" i="11"/>
  <c r="AI553" i="11"/>
  <c r="L553" i="11"/>
  <c r="AJ553" i="11"/>
  <c r="M553" i="11"/>
  <c r="AK553" i="11"/>
  <c r="N553" i="11"/>
  <c r="AL553" i="11"/>
  <c r="O553" i="11"/>
  <c r="AM553" i="11"/>
  <c r="P553" i="11"/>
  <c r="AN553" i="11"/>
  <c r="Q553" i="11"/>
  <c r="AO553" i="11"/>
  <c r="R553" i="11"/>
  <c r="AP553" i="11"/>
  <c r="S553" i="11"/>
  <c r="AQ553" i="11"/>
  <c r="T553" i="11"/>
  <c r="AR553" i="11"/>
  <c r="U553" i="11"/>
  <c r="AS553" i="11"/>
  <c r="V553" i="11"/>
  <c r="AT553" i="11"/>
  <c r="W553" i="11"/>
  <c r="AU553" i="11"/>
  <c r="X553" i="11"/>
  <c r="AV553" i="11"/>
  <c r="Y553" i="11"/>
  <c r="AW553" i="11"/>
  <c r="Z553" i="11"/>
  <c r="AC554" i="11"/>
  <c r="F554" i="11"/>
  <c r="AD554" i="11"/>
  <c r="G554" i="11"/>
  <c r="AE554" i="11"/>
  <c r="H554" i="11"/>
  <c r="AF554" i="11"/>
  <c r="I554" i="11"/>
  <c r="AG554" i="11"/>
  <c r="J554" i="11"/>
  <c r="AH554" i="11"/>
  <c r="K554" i="11"/>
  <c r="AI554" i="11"/>
  <c r="L554" i="11"/>
  <c r="AJ554" i="11"/>
  <c r="M554" i="11"/>
  <c r="AK554" i="11"/>
  <c r="N554" i="11"/>
  <c r="AL554" i="11"/>
  <c r="O554" i="11"/>
  <c r="AM554" i="11"/>
  <c r="P554" i="11"/>
  <c r="AN554" i="11"/>
  <c r="Q554" i="11"/>
  <c r="AO554" i="11"/>
  <c r="R554" i="11"/>
  <c r="AP554" i="11"/>
  <c r="S554" i="11"/>
  <c r="AQ554" i="11"/>
  <c r="T554" i="11"/>
  <c r="AR554" i="11"/>
  <c r="U554" i="11"/>
  <c r="AS554" i="11"/>
  <c r="V554" i="11"/>
  <c r="AT554" i="11"/>
  <c r="W554" i="11"/>
  <c r="AU554" i="11"/>
  <c r="X554" i="11"/>
  <c r="AV554" i="11"/>
  <c r="Y554" i="11"/>
  <c r="AW554" i="11"/>
  <c r="Z554" i="11"/>
  <c r="AC555" i="11"/>
  <c r="F555" i="11"/>
  <c r="AD555" i="11"/>
  <c r="G555" i="11"/>
  <c r="AE555" i="11"/>
  <c r="H555" i="11"/>
  <c r="AF555" i="11"/>
  <c r="I555" i="11"/>
  <c r="AG555" i="11"/>
  <c r="J555" i="11"/>
  <c r="AH555" i="11"/>
  <c r="K555" i="11"/>
  <c r="AI555" i="11"/>
  <c r="L555" i="11"/>
  <c r="AJ555" i="11"/>
  <c r="M555" i="11"/>
  <c r="AK555" i="11"/>
  <c r="N555" i="11"/>
  <c r="AL555" i="11"/>
  <c r="O555" i="11"/>
  <c r="AM555" i="11"/>
  <c r="P555" i="11"/>
  <c r="AN555" i="11"/>
  <c r="Q555" i="11"/>
  <c r="AO555" i="11"/>
  <c r="R555" i="11"/>
  <c r="AP555" i="11"/>
  <c r="S555" i="11"/>
  <c r="AQ555" i="11"/>
  <c r="T555" i="11"/>
  <c r="AR555" i="11"/>
  <c r="U555" i="11"/>
  <c r="AS555" i="11"/>
  <c r="V555" i="11"/>
  <c r="AT555" i="11"/>
  <c r="W555" i="11"/>
  <c r="AU555" i="11"/>
  <c r="X555" i="11"/>
  <c r="AV555" i="11"/>
  <c r="Y555" i="11"/>
  <c r="AW555" i="11"/>
  <c r="Z555" i="11"/>
  <c r="AC556" i="11"/>
  <c r="F556" i="11"/>
  <c r="AD556" i="11"/>
  <c r="G556" i="11"/>
  <c r="AE556" i="11"/>
  <c r="H556" i="11"/>
  <c r="AF556" i="11"/>
  <c r="I556" i="11"/>
  <c r="AG556" i="11"/>
  <c r="J556" i="11"/>
  <c r="AH556" i="11"/>
  <c r="K556" i="11"/>
  <c r="AI556" i="11"/>
  <c r="L556" i="11"/>
  <c r="AJ556" i="11"/>
  <c r="M556" i="11"/>
  <c r="AK556" i="11"/>
  <c r="N556" i="11"/>
  <c r="AL556" i="11"/>
  <c r="O556" i="11"/>
  <c r="AM556" i="11"/>
  <c r="P556" i="11"/>
  <c r="AN556" i="11"/>
  <c r="Q556" i="11"/>
  <c r="AO556" i="11"/>
  <c r="R556" i="11"/>
  <c r="AP556" i="11"/>
  <c r="S556" i="11"/>
  <c r="AQ556" i="11"/>
  <c r="T556" i="11"/>
  <c r="AR556" i="11"/>
  <c r="U556" i="11"/>
  <c r="AS556" i="11"/>
  <c r="V556" i="11"/>
  <c r="AT556" i="11"/>
  <c r="W556" i="11"/>
  <c r="AU556" i="11"/>
  <c r="X556" i="11"/>
  <c r="AV556" i="11"/>
  <c r="Y556" i="11"/>
  <c r="AW556" i="11"/>
  <c r="Z556" i="11"/>
  <c r="AC557" i="11"/>
  <c r="F557" i="11"/>
  <c r="AD557" i="11"/>
  <c r="G557" i="11"/>
  <c r="AE557" i="11"/>
  <c r="H557" i="11"/>
  <c r="AF557" i="11"/>
  <c r="I557" i="11"/>
  <c r="AG557" i="11"/>
  <c r="J557" i="11"/>
  <c r="AH557" i="11"/>
  <c r="K557" i="11"/>
  <c r="AI557" i="11"/>
  <c r="L557" i="11"/>
  <c r="AJ557" i="11"/>
  <c r="M557" i="11"/>
  <c r="AK557" i="11"/>
  <c r="N557" i="11"/>
  <c r="AL557" i="11"/>
  <c r="O557" i="11"/>
  <c r="AM557" i="11"/>
  <c r="P557" i="11"/>
  <c r="AN557" i="11"/>
  <c r="Q557" i="11"/>
  <c r="AO557" i="11"/>
  <c r="R557" i="11"/>
  <c r="AP557" i="11"/>
  <c r="S557" i="11"/>
  <c r="AQ557" i="11"/>
  <c r="T557" i="11"/>
  <c r="AR557" i="11"/>
  <c r="U557" i="11"/>
  <c r="AS557" i="11"/>
  <c r="V557" i="11"/>
  <c r="AT557" i="11"/>
  <c r="W557" i="11"/>
  <c r="AU557" i="11"/>
  <c r="X557" i="11"/>
  <c r="AV557" i="11"/>
  <c r="Y557" i="11"/>
  <c r="AW557" i="11"/>
  <c r="Z557" i="11"/>
  <c r="AC558" i="11"/>
  <c r="F558" i="11"/>
  <c r="AD558" i="11"/>
  <c r="G558" i="11"/>
  <c r="AE558" i="11"/>
  <c r="H558" i="11"/>
  <c r="AF558" i="11"/>
  <c r="I558" i="11"/>
  <c r="AG558" i="11"/>
  <c r="J558" i="11"/>
  <c r="AH558" i="11"/>
  <c r="K558" i="11"/>
  <c r="AI558" i="11"/>
  <c r="L558" i="11"/>
  <c r="AJ558" i="11"/>
  <c r="M558" i="11"/>
  <c r="AK558" i="11"/>
  <c r="N558" i="11"/>
  <c r="AL558" i="11"/>
  <c r="O558" i="11"/>
  <c r="AM558" i="11"/>
  <c r="P558" i="11"/>
  <c r="AN558" i="11"/>
  <c r="Q558" i="11"/>
  <c r="AO558" i="11"/>
  <c r="R558" i="11"/>
  <c r="AP558" i="11"/>
  <c r="S558" i="11"/>
  <c r="AQ558" i="11"/>
  <c r="T558" i="11"/>
  <c r="AR558" i="11"/>
  <c r="U558" i="11"/>
  <c r="AS558" i="11"/>
  <c r="V558" i="11"/>
  <c r="AT558" i="11"/>
  <c r="W558" i="11"/>
  <c r="AU558" i="11"/>
  <c r="X558" i="11"/>
  <c r="AV558" i="11"/>
  <c r="Y558" i="11"/>
  <c r="AW558" i="11"/>
  <c r="Z558" i="11"/>
  <c r="AC559" i="11"/>
  <c r="F559" i="11"/>
  <c r="AD559" i="11"/>
  <c r="G559" i="11"/>
  <c r="AE559" i="11"/>
  <c r="H559" i="11"/>
  <c r="AF559" i="11"/>
  <c r="I559" i="11"/>
  <c r="AG559" i="11"/>
  <c r="J559" i="11"/>
  <c r="AH559" i="11"/>
  <c r="K559" i="11"/>
  <c r="AI559" i="11"/>
  <c r="L559" i="11"/>
  <c r="AJ559" i="11"/>
  <c r="M559" i="11"/>
  <c r="AK559" i="11"/>
  <c r="N559" i="11"/>
  <c r="AL559" i="11"/>
  <c r="O559" i="11"/>
  <c r="AM559" i="11"/>
  <c r="P559" i="11"/>
  <c r="AN559" i="11"/>
  <c r="Q559" i="11"/>
  <c r="AO559" i="11"/>
  <c r="R559" i="11"/>
  <c r="AP559" i="11"/>
  <c r="S559" i="11"/>
  <c r="AQ559" i="11"/>
  <c r="T559" i="11"/>
  <c r="AR559" i="11"/>
  <c r="U559" i="11"/>
  <c r="AS559" i="11"/>
  <c r="V559" i="11"/>
  <c r="AT559" i="11"/>
  <c r="W559" i="11"/>
  <c r="AU559" i="11"/>
  <c r="X559" i="11"/>
  <c r="AV559" i="11"/>
  <c r="Y559" i="11"/>
  <c r="AW559" i="11"/>
  <c r="Z559" i="11"/>
  <c r="AC560" i="11"/>
  <c r="F560" i="11"/>
  <c r="AD560" i="11"/>
  <c r="G560" i="11"/>
  <c r="AE560" i="11"/>
  <c r="H560" i="11"/>
  <c r="AF560" i="11"/>
  <c r="I560" i="11"/>
  <c r="AG560" i="11"/>
  <c r="J560" i="11"/>
  <c r="AH560" i="11"/>
  <c r="K560" i="11"/>
  <c r="AI560" i="11"/>
  <c r="L560" i="11"/>
  <c r="AJ560" i="11"/>
  <c r="M560" i="11"/>
  <c r="AK560" i="11"/>
  <c r="N560" i="11"/>
  <c r="AL560" i="11"/>
  <c r="O560" i="11"/>
  <c r="AM560" i="11"/>
  <c r="P560" i="11"/>
  <c r="AN560" i="11"/>
  <c r="Q560" i="11"/>
  <c r="AO560" i="11"/>
  <c r="R560" i="11"/>
  <c r="AP560" i="11"/>
  <c r="S560" i="11"/>
  <c r="AQ560" i="11"/>
  <c r="T560" i="11"/>
  <c r="AR560" i="11"/>
  <c r="U560" i="11"/>
  <c r="AS560" i="11"/>
  <c r="V560" i="11"/>
  <c r="AT560" i="11"/>
  <c r="W560" i="11"/>
  <c r="AU560" i="11"/>
  <c r="X560" i="11"/>
  <c r="AV560" i="11"/>
  <c r="Y560" i="11"/>
  <c r="AW560" i="11"/>
  <c r="Z560" i="11"/>
  <c r="AC561" i="11"/>
  <c r="F561" i="11"/>
  <c r="AD561" i="11"/>
  <c r="G561" i="11"/>
  <c r="AE561" i="11"/>
  <c r="H561" i="11"/>
  <c r="AF561" i="11"/>
  <c r="I561" i="11"/>
  <c r="AG561" i="11"/>
  <c r="J561" i="11"/>
  <c r="AH561" i="11"/>
  <c r="K561" i="11"/>
  <c r="AI561" i="11"/>
  <c r="L561" i="11"/>
  <c r="AJ561" i="11"/>
  <c r="M561" i="11"/>
  <c r="AK561" i="11"/>
  <c r="N561" i="11"/>
  <c r="AL561" i="11"/>
  <c r="O561" i="11"/>
  <c r="AM561" i="11"/>
  <c r="P561" i="11"/>
  <c r="AN561" i="11"/>
  <c r="Q561" i="11"/>
  <c r="AO561" i="11"/>
  <c r="R561" i="11"/>
  <c r="AP561" i="11"/>
  <c r="S561" i="11"/>
  <c r="AQ561" i="11"/>
  <c r="T561" i="11"/>
  <c r="AR561" i="11"/>
  <c r="U561" i="11"/>
  <c r="AS561" i="11"/>
  <c r="V561" i="11"/>
  <c r="AT561" i="11"/>
  <c r="W561" i="11"/>
  <c r="AU561" i="11"/>
  <c r="X561" i="11"/>
  <c r="AV561" i="11"/>
  <c r="Y561" i="11"/>
  <c r="AW561" i="11"/>
  <c r="Z561" i="11"/>
  <c r="AC562" i="11"/>
  <c r="F562" i="11"/>
  <c r="AD562" i="11"/>
  <c r="G562" i="11"/>
  <c r="AE562" i="11"/>
  <c r="H562" i="11"/>
  <c r="AF562" i="11"/>
  <c r="I562" i="11"/>
  <c r="AG562" i="11"/>
  <c r="J562" i="11"/>
  <c r="AH562" i="11"/>
  <c r="K562" i="11"/>
  <c r="AI562" i="11"/>
  <c r="L562" i="11"/>
  <c r="AJ562" i="11"/>
  <c r="M562" i="11"/>
  <c r="AK562" i="11"/>
  <c r="N562" i="11"/>
  <c r="AL562" i="11"/>
  <c r="O562" i="11"/>
  <c r="AM562" i="11"/>
  <c r="P562" i="11"/>
  <c r="AN562" i="11"/>
  <c r="Q562" i="11"/>
  <c r="AO562" i="11"/>
  <c r="R562" i="11"/>
  <c r="AP562" i="11"/>
  <c r="S562" i="11"/>
  <c r="AQ562" i="11"/>
  <c r="T562" i="11"/>
  <c r="AR562" i="11"/>
  <c r="U562" i="11"/>
  <c r="AS562" i="11"/>
  <c r="V562" i="11"/>
  <c r="AT562" i="11"/>
  <c r="W562" i="11"/>
  <c r="AU562" i="11"/>
  <c r="X562" i="11"/>
  <c r="AV562" i="11"/>
  <c r="Y562" i="11"/>
  <c r="AW562" i="11"/>
  <c r="Z562" i="11"/>
  <c r="AC563" i="11"/>
  <c r="F563" i="11"/>
  <c r="AD563" i="11"/>
  <c r="G563" i="11"/>
  <c r="AE563" i="11"/>
  <c r="H563" i="11"/>
  <c r="AF563" i="11"/>
  <c r="I563" i="11"/>
  <c r="AG563" i="11"/>
  <c r="J563" i="11"/>
  <c r="AH563" i="11"/>
  <c r="K563" i="11"/>
  <c r="AI563" i="11"/>
  <c r="L563" i="11"/>
  <c r="AJ563" i="11"/>
  <c r="M563" i="11"/>
  <c r="AK563" i="11"/>
  <c r="N563" i="11"/>
  <c r="AL563" i="11"/>
  <c r="O563" i="11"/>
  <c r="AM563" i="11"/>
  <c r="P563" i="11"/>
  <c r="AN563" i="11"/>
  <c r="Q563" i="11"/>
  <c r="AO563" i="11"/>
  <c r="R563" i="11"/>
  <c r="AP563" i="11"/>
  <c r="S563" i="11"/>
  <c r="AQ563" i="11"/>
  <c r="T563" i="11"/>
  <c r="AR563" i="11"/>
  <c r="U563" i="11"/>
  <c r="AS563" i="11"/>
  <c r="V563" i="11"/>
  <c r="AT563" i="11"/>
  <c r="W563" i="11"/>
  <c r="AU563" i="11"/>
  <c r="X563" i="11"/>
  <c r="AV563" i="11"/>
  <c r="Y563" i="11"/>
  <c r="AW563" i="11"/>
  <c r="Z563" i="11"/>
  <c r="AC564" i="11"/>
  <c r="F564" i="11"/>
  <c r="AD564" i="11"/>
  <c r="G564" i="11"/>
  <c r="AE564" i="11"/>
  <c r="H564" i="11"/>
  <c r="AF564" i="11"/>
  <c r="I564" i="11"/>
  <c r="AG564" i="11"/>
  <c r="J564" i="11"/>
  <c r="AH564" i="11"/>
  <c r="K564" i="11"/>
  <c r="AI564" i="11"/>
  <c r="L564" i="11"/>
  <c r="AJ564" i="11"/>
  <c r="M564" i="11"/>
  <c r="AK564" i="11"/>
  <c r="N564" i="11"/>
  <c r="AL564" i="11"/>
  <c r="O564" i="11"/>
  <c r="AM564" i="11"/>
  <c r="P564" i="11"/>
  <c r="AN564" i="11"/>
  <c r="Q564" i="11"/>
  <c r="AO564" i="11"/>
  <c r="R564" i="11"/>
  <c r="AP564" i="11"/>
  <c r="S564" i="11"/>
  <c r="AQ564" i="11"/>
  <c r="T564" i="11"/>
  <c r="AR564" i="11"/>
  <c r="U564" i="11"/>
  <c r="AS564" i="11"/>
  <c r="V564" i="11"/>
  <c r="AT564" i="11"/>
  <c r="W564" i="11"/>
  <c r="AU564" i="11"/>
  <c r="X564" i="11"/>
  <c r="AV564" i="11"/>
  <c r="Y564" i="11"/>
  <c r="AW564" i="11"/>
  <c r="Z564" i="11"/>
  <c r="AC565" i="11"/>
  <c r="F565" i="11"/>
  <c r="AD565" i="11"/>
  <c r="G565" i="11"/>
  <c r="AE565" i="11"/>
  <c r="H565" i="11"/>
  <c r="AF565" i="11"/>
  <c r="I565" i="11"/>
  <c r="AG565" i="11"/>
  <c r="J565" i="11"/>
  <c r="AH565" i="11"/>
  <c r="K565" i="11"/>
  <c r="AI565" i="11"/>
  <c r="L565" i="11"/>
  <c r="AJ565" i="11"/>
  <c r="M565" i="11"/>
  <c r="AK565" i="11"/>
  <c r="N565" i="11"/>
  <c r="AL565" i="11"/>
  <c r="O565" i="11"/>
  <c r="AM565" i="11"/>
  <c r="P565" i="11"/>
  <c r="AN565" i="11"/>
  <c r="Q565" i="11"/>
  <c r="AO565" i="11"/>
  <c r="R565" i="11"/>
  <c r="AP565" i="11"/>
  <c r="S565" i="11"/>
  <c r="AQ565" i="11"/>
  <c r="T565" i="11"/>
  <c r="AR565" i="11"/>
  <c r="U565" i="11"/>
  <c r="AS565" i="11"/>
  <c r="V565" i="11"/>
  <c r="AT565" i="11"/>
  <c r="W565" i="11"/>
  <c r="AU565" i="11"/>
  <c r="X565" i="11"/>
  <c r="AV565" i="11"/>
  <c r="Y565" i="11"/>
  <c r="AW565" i="11"/>
  <c r="Z565" i="11"/>
  <c r="AC566" i="11"/>
  <c r="F566" i="11"/>
  <c r="AD566" i="11"/>
  <c r="G566" i="11"/>
  <c r="AE566" i="11"/>
  <c r="H566" i="11"/>
  <c r="AF566" i="11"/>
  <c r="I566" i="11"/>
  <c r="AG566" i="11"/>
  <c r="J566" i="11"/>
  <c r="AH566" i="11"/>
  <c r="K566" i="11"/>
  <c r="AI566" i="11"/>
  <c r="L566" i="11"/>
  <c r="AJ566" i="11"/>
  <c r="M566" i="11"/>
  <c r="AK566" i="11"/>
  <c r="N566" i="11"/>
  <c r="AL566" i="11"/>
  <c r="O566" i="11"/>
  <c r="AM566" i="11"/>
  <c r="P566" i="11"/>
  <c r="AN566" i="11"/>
  <c r="Q566" i="11"/>
  <c r="AO566" i="11"/>
  <c r="R566" i="11"/>
  <c r="AP566" i="11"/>
  <c r="S566" i="11"/>
  <c r="AQ566" i="11"/>
  <c r="T566" i="11"/>
  <c r="AR566" i="11"/>
  <c r="U566" i="11"/>
  <c r="AS566" i="11"/>
  <c r="V566" i="11"/>
  <c r="AT566" i="11"/>
  <c r="W566" i="11"/>
  <c r="AU566" i="11"/>
  <c r="X566" i="11"/>
  <c r="AV566" i="11"/>
  <c r="Y566" i="11"/>
  <c r="AW566" i="11"/>
  <c r="Z566" i="11"/>
  <c r="AC567" i="11"/>
  <c r="F567" i="11"/>
  <c r="AD567" i="11"/>
  <c r="G567" i="11"/>
  <c r="AE567" i="11"/>
  <c r="H567" i="11"/>
  <c r="AF567" i="11"/>
  <c r="I567" i="11"/>
  <c r="AG567" i="11"/>
  <c r="J567" i="11"/>
  <c r="AH567" i="11"/>
  <c r="K567" i="11"/>
  <c r="AI567" i="11"/>
  <c r="L567" i="11"/>
  <c r="AJ567" i="11"/>
  <c r="M567" i="11"/>
  <c r="AK567" i="11"/>
  <c r="N567" i="11"/>
  <c r="AL567" i="11"/>
  <c r="O567" i="11"/>
  <c r="AM567" i="11"/>
  <c r="P567" i="11"/>
  <c r="AN567" i="11"/>
  <c r="Q567" i="11"/>
  <c r="AO567" i="11"/>
  <c r="R567" i="11"/>
  <c r="AP567" i="11"/>
  <c r="S567" i="11"/>
  <c r="AQ567" i="11"/>
  <c r="T567" i="11"/>
  <c r="AR567" i="11"/>
  <c r="U567" i="11"/>
  <c r="AS567" i="11"/>
  <c r="V567" i="11"/>
  <c r="AT567" i="11"/>
  <c r="W567" i="11"/>
  <c r="AU567" i="11"/>
  <c r="X567" i="11"/>
  <c r="AV567" i="11"/>
  <c r="Y567" i="11"/>
  <c r="AW567" i="11"/>
  <c r="Z567" i="11"/>
  <c r="AC568" i="11"/>
  <c r="F568" i="11"/>
  <c r="AD568" i="11"/>
  <c r="G568" i="11"/>
  <c r="AE568" i="11"/>
  <c r="H568" i="11"/>
  <c r="AF568" i="11"/>
  <c r="I568" i="11"/>
  <c r="AG568" i="11"/>
  <c r="J568" i="11"/>
  <c r="AH568" i="11"/>
  <c r="K568" i="11"/>
  <c r="AI568" i="11"/>
  <c r="L568" i="11"/>
  <c r="AJ568" i="11"/>
  <c r="M568" i="11"/>
  <c r="AK568" i="11"/>
  <c r="N568" i="11"/>
  <c r="AL568" i="11"/>
  <c r="O568" i="11"/>
  <c r="AM568" i="11"/>
  <c r="P568" i="11"/>
  <c r="AN568" i="11"/>
  <c r="Q568" i="11"/>
  <c r="AO568" i="11"/>
  <c r="R568" i="11"/>
  <c r="AP568" i="11"/>
  <c r="S568" i="11"/>
  <c r="AQ568" i="11"/>
  <c r="T568" i="11"/>
  <c r="AR568" i="11"/>
  <c r="U568" i="11"/>
  <c r="AS568" i="11"/>
  <c r="V568" i="11"/>
  <c r="AT568" i="11"/>
  <c r="W568" i="11"/>
  <c r="AU568" i="11"/>
  <c r="X568" i="11"/>
  <c r="AV568" i="11"/>
  <c r="Y568" i="11"/>
  <c r="AW568" i="11"/>
  <c r="Z568" i="11"/>
  <c r="AC569" i="11"/>
  <c r="F569" i="11"/>
  <c r="AD569" i="11"/>
  <c r="G569" i="11"/>
  <c r="AE569" i="11"/>
  <c r="H569" i="11"/>
  <c r="AF569" i="11"/>
  <c r="I569" i="11"/>
  <c r="AG569" i="11"/>
  <c r="J569" i="11"/>
  <c r="AH569" i="11"/>
  <c r="K569" i="11"/>
  <c r="AI569" i="11"/>
  <c r="L569" i="11"/>
  <c r="AJ569" i="11"/>
  <c r="M569" i="11"/>
  <c r="AK569" i="11"/>
  <c r="N569" i="11"/>
  <c r="AL569" i="11"/>
  <c r="O569" i="11"/>
  <c r="AM569" i="11"/>
  <c r="P569" i="11"/>
  <c r="AN569" i="11"/>
  <c r="Q569" i="11"/>
  <c r="AO569" i="11"/>
  <c r="R569" i="11"/>
  <c r="AP569" i="11"/>
  <c r="S569" i="11"/>
  <c r="AQ569" i="11"/>
  <c r="T569" i="11"/>
  <c r="AR569" i="11"/>
  <c r="U569" i="11"/>
  <c r="AS569" i="11"/>
  <c r="V569" i="11"/>
  <c r="AT569" i="11"/>
  <c r="W569" i="11"/>
  <c r="AU569" i="11"/>
  <c r="X569" i="11"/>
  <c r="AV569" i="11"/>
  <c r="Y569" i="11"/>
  <c r="AW569" i="11"/>
  <c r="Z569" i="11"/>
  <c r="AC570" i="11"/>
  <c r="F570" i="11"/>
  <c r="AD570" i="11"/>
  <c r="G570" i="11"/>
  <c r="AE570" i="11"/>
  <c r="H570" i="11"/>
  <c r="AF570" i="11"/>
  <c r="I570" i="11"/>
  <c r="AG570" i="11"/>
  <c r="J570" i="11"/>
  <c r="AH570" i="11"/>
  <c r="K570" i="11"/>
  <c r="AI570" i="11"/>
  <c r="L570" i="11"/>
  <c r="AJ570" i="11"/>
  <c r="M570" i="11"/>
  <c r="AK570" i="11"/>
  <c r="N570" i="11"/>
  <c r="AL570" i="11"/>
  <c r="O570" i="11"/>
  <c r="AM570" i="11"/>
  <c r="P570" i="11"/>
  <c r="AN570" i="11"/>
  <c r="Q570" i="11"/>
  <c r="AO570" i="11"/>
  <c r="R570" i="11"/>
  <c r="AP570" i="11"/>
  <c r="S570" i="11"/>
  <c r="AQ570" i="11"/>
  <c r="T570" i="11"/>
  <c r="AR570" i="11"/>
  <c r="U570" i="11"/>
  <c r="AS570" i="11"/>
  <c r="V570" i="11"/>
  <c r="AT570" i="11"/>
  <c r="W570" i="11"/>
  <c r="AU570" i="11"/>
  <c r="X570" i="11"/>
  <c r="AV570" i="11"/>
  <c r="Y570" i="11"/>
  <c r="AW570" i="11"/>
  <c r="Z570" i="11"/>
  <c r="AC571" i="11"/>
  <c r="F571" i="11"/>
  <c r="AD571" i="11"/>
  <c r="G571" i="11"/>
  <c r="AE571" i="11"/>
  <c r="H571" i="11"/>
  <c r="AF571" i="11"/>
  <c r="I571" i="11"/>
  <c r="AG571" i="11"/>
  <c r="J571" i="11"/>
  <c r="AH571" i="11"/>
  <c r="K571" i="11"/>
  <c r="AI571" i="11"/>
  <c r="L571" i="11"/>
  <c r="AJ571" i="11"/>
  <c r="M571" i="11"/>
  <c r="AK571" i="11"/>
  <c r="N571" i="11"/>
  <c r="AL571" i="11"/>
  <c r="O571" i="11"/>
  <c r="AM571" i="11"/>
  <c r="P571" i="11"/>
  <c r="AN571" i="11"/>
  <c r="Q571" i="11"/>
  <c r="AO571" i="11"/>
  <c r="R571" i="11"/>
  <c r="AP571" i="11"/>
  <c r="S571" i="11"/>
  <c r="AQ571" i="11"/>
  <c r="T571" i="11"/>
  <c r="AR571" i="11"/>
  <c r="U571" i="11"/>
  <c r="AS571" i="11"/>
  <c r="V571" i="11"/>
  <c r="AT571" i="11"/>
  <c r="W571" i="11"/>
  <c r="AU571" i="11"/>
  <c r="X571" i="11"/>
  <c r="AV571" i="11"/>
  <c r="Y571" i="11"/>
  <c r="AW571" i="11"/>
  <c r="Z571" i="11"/>
  <c r="AC572" i="11"/>
  <c r="F572" i="11"/>
  <c r="AD572" i="11"/>
  <c r="G572" i="11"/>
  <c r="AE572" i="11"/>
  <c r="H572" i="11"/>
  <c r="AF572" i="11"/>
  <c r="I572" i="11"/>
  <c r="AG572" i="11"/>
  <c r="J572" i="11"/>
  <c r="AH572" i="11"/>
  <c r="K572" i="11"/>
  <c r="AI572" i="11"/>
  <c r="L572" i="11"/>
  <c r="AJ572" i="11"/>
  <c r="M572" i="11"/>
  <c r="AK572" i="11"/>
  <c r="N572" i="11"/>
  <c r="AL572" i="11"/>
  <c r="O572" i="11"/>
  <c r="AM572" i="11"/>
  <c r="P572" i="11"/>
  <c r="AN572" i="11"/>
  <c r="Q572" i="11"/>
  <c r="AO572" i="11"/>
  <c r="R572" i="11"/>
  <c r="AP572" i="11"/>
  <c r="S572" i="11"/>
  <c r="AQ572" i="11"/>
  <c r="T572" i="11"/>
  <c r="AR572" i="11"/>
  <c r="U572" i="11"/>
  <c r="AS572" i="11"/>
  <c r="V572" i="11"/>
  <c r="AT572" i="11"/>
  <c r="W572" i="11"/>
  <c r="AU572" i="11"/>
  <c r="X572" i="11"/>
  <c r="AV572" i="11"/>
  <c r="Y572" i="11"/>
  <c r="AW572" i="11"/>
  <c r="Z572" i="11"/>
  <c r="AC573" i="11"/>
  <c r="F573" i="11"/>
  <c r="AD573" i="11"/>
  <c r="G573" i="11"/>
  <c r="AE573" i="11"/>
  <c r="H573" i="11"/>
  <c r="AF573" i="11"/>
  <c r="I573" i="11"/>
  <c r="AG573" i="11"/>
  <c r="J573" i="11"/>
  <c r="AH573" i="11"/>
  <c r="K573" i="11"/>
  <c r="AI573" i="11"/>
  <c r="L573" i="11"/>
  <c r="AJ573" i="11"/>
  <c r="M573" i="11"/>
  <c r="AK573" i="11"/>
  <c r="N573" i="11"/>
  <c r="AL573" i="11"/>
  <c r="O573" i="11"/>
  <c r="AM573" i="11"/>
  <c r="P573" i="11"/>
  <c r="AN573" i="11"/>
  <c r="Q573" i="11"/>
  <c r="AO573" i="11"/>
  <c r="R573" i="11"/>
  <c r="AP573" i="11"/>
  <c r="S573" i="11"/>
  <c r="AQ573" i="11"/>
  <c r="T573" i="11"/>
  <c r="AR573" i="11"/>
  <c r="U573" i="11"/>
  <c r="AS573" i="11"/>
  <c r="V573" i="11"/>
  <c r="AT573" i="11"/>
  <c r="W573" i="11"/>
  <c r="AU573" i="11"/>
  <c r="X573" i="11"/>
  <c r="AV573" i="11"/>
  <c r="Y573" i="11"/>
  <c r="AW573" i="11"/>
  <c r="Z573" i="11"/>
  <c r="AC574" i="11"/>
  <c r="F574" i="11"/>
  <c r="AD574" i="11"/>
  <c r="G574" i="11"/>
  <c r="AE574" i="11"/>
  <c r="H574" i="11"/>
  <c r="AF574" i="11"/>
  <c r="I574" i="11"/>
  <c r="AG574" i="11"/>
  <c r="J574" i="11"/>
  <c r="AH574" i="11"/>
  <c r="K574" i="11"/>
  <c r="AI574" i="11"/>
  <c r="L574" i="11"/>
  <c r="AJ574" i="11"/>
  <c r="M574" i="11"/>
  <c r="AK574" i="11"/>
  <c r="N574" i="11"/>
  <c r="AL574" i="11"/>
  <c r="O574" i="11"/>
  <c r="AM574" i="11"/>
  <c r="P574" i="11"/>
  <c r="AN574" i="11"/>
  <c r="Q574" i="11"/>
  <c r="AO574" i="11"/>
  <c r="R574" i="11"/>
  <c r="AP574" i="11"/>
  <c r="S574" i="11"/>
  <c r="AQ574" i="11"/>
  <c r="T574" i="11"/>
  <c r="AR574" i="11"/>
  <c r="U574" i="11"/>
  <c r="AS574" i="11"/>
  <c r="V574" i="11"/>
  <c r="AT574" i="11"/>
  <c r="W574" i="11"/>
  <c r="AU574" i="11"/>
  <c r="X574" i="11"/>
  <c r="AV574" i="11"/>
  <c r="Y574" i="11"/>
  <c r="AW574" i="11"/>
  <c r="Z574" i="11"/>
  <c r="AC575" i="11"/>
  <c r="F575" i="11"/>
  <c r="AD575" i="11"/>
  <c r="G575" i="11"/>
  <c r="AE575" i="11"/>
  <c r="H575" i="11"/>
  <c r="AF575" i="11"/>
  <c r="I575" i="11"/>
  <c r="AG575" i="11"/>
  <c r="J575" i="11"/>
  <c r="AH575" i="11"/>
  <c r="K575" i="11"/>
  <c r="AI575" i="11"/>
  <c r="L575" i="11"/>
  <c r="AJ575" i="11"/>
  <c r="M575" i="11"/>
  <c r="AK575" i="11"/>
  <c r="N575" i="11"/>
  <c r="AL575" i="11"/>
  <c r="O575" i="11"/>
  <c r="AM575" i="11"/>
  <c r="P575" i="11"/>
  <c r="AN575" i="11"/>
  <c r="Q575" i="11"/>
  <c r="AO575" i="11"/>
  <c r="R575" i="11"/>
  <c r="AP575" i="11"/>
  <c r="S575" i="11"/>
  <c r="AQ575" i="11"/>
  <c r="T575" i="11"/>
  <c r="AR575" i="11"/>
  <c r="U575" i="11"/>
  <c r="AS575" i="11"/>
  <c r="V575" i="11"/>
  <c r="AT575" i="11"/>
  <c r="W575" i="11"/>
  <c r="AU575" i="11"/>
  <c r="X575" i="11"/>
  <c r="AV575" i="11"/>
  <c r="Y575" i="11"/>
  <c r="AW575" i="11"/>
  <c r="Z575" i="11"/>
  <c r="AC576" i="11"/>
  <c r="F576" i="11"/>
  <c r="AD576" i="11"/>
  <c r="G576" i="11"/>
  <c r="AE576" i="11"/>
  <c r="H576" i="11"/>
  <c r="AF576" i="11"/>
  <c r="I576" i="11"/>
  <c r="AG576" i="11"/>
  <c r="J576" i="11"/>
  <c r="AH576" i="11"/>
  <c r="K576" i="11"/>
  <c r="AI576" i="11"/>
  <c r="L576" i="11"/>
  <c r="AJ576" i="11"/>
  <c r="M576" i="11"/>
  <c r="AK576" i="11"/>
  <c r="N576" i="11"/>
  <c r="AL576" i="11"/>
  <c r="O576" i="11"/>
  <c r="AM576" i="11"/>
  <c r="P576" i="11"/>
  <c r="AN576" i="11"/>
  <c r="Q576" i="11"/>
  <c r="AO576" i="11"/>
  <c r="R576" i="11"/>
  <c r="AP576" i="11"/>
  <c r="S576" i="11"/>
  <c r="AQ576" i="11"/>
  <c r="T576" i="11"/>
  <c r="AR576" i="11"/>
  <c r="U576" i="11"/>
  <c r="AS576" i="11"/>
  <c r="V576" i="11"/>
  <c r="AT576" i="11"/>
  <c r="W576" i="11"/>
  <c r="AU576" i="11"/>
  <c r="X576" i="11"/>
  <c r="AV576" i="11"/>
  <c r="Y576" i="11"/>
  <c r="AW576" i="11"/>
  <c r="Z576" i="11"/>
  <c r="AC577" i="11"/>
  <c r="F577" i="11"/>
  <c r="AD577" i="11"/>
  <c r="G577" i="11"/>
  <c r="AE577" i="11"/>
  <c r="H577" i="11"/>
  <c r="AF577" i="11"/>
  <c r="I577" i="11"/>
  <c r="AG577" i="11"/>
  <c r="J577" i="11"/>
  <c r="AH577" i="11"/>
  <c r="K577" i="11"/>
  <c r="AI577" i="11"/>
  <c r="L577" i="11"/>
  <c r="AJ577" i="11"/>
  <c r="M577" i="11"/>
  <c r="AK577" i="11"/>
  <c r="N577" i="11"/>
  <c r="AL577" i="11"/>
  <c r="O577" i="11"/>
  <c r="AM577" i="11"/>
  <c r="P577" i="11"/>
  <c r="AN577" i="11"/>
  <c r="Q577" i="11"/>
  <c r="AO577" i="11"/>
  <c r="R577" i="11"/>
  <c r="AP577" i="11"/>
  <c r="S577" i="11"/>
  <c r="AQ577" i="11"/>
  <c r="T577" i="11"/>
  <c r="AR577" i="11"/>
  <c r="U577" i="11"/>
  <c r="AS577" i="11"/>
  <c r="V577" i="11"/>
  <c r="AT577" i="11"/>
  <c r="W577" i="11"/>
  <c r="AU577" i="11"/>
  <c r="X577" i="11"/>
  <c r="AV577" i="11"/>
  <c r="Y577" i="11"/>
  <c r="AW577" i="11"/>
  <c r="Z577" i="11"/>
  <c r="AC578" i="11"/>
  <c r="F578" i="11"/>
  <c r="AD578" i="11"/>
  <c r="G578" i="11"/>
  <c r="AE578" i="11"/>
  <c r="H578" i="11"/>
  <c r="AF578" i="11"/>
  <c r="I578" i="11"/>
  <c r="AG578" i="11"/>
  <c r="J578" i="11"/>
  <c r="AH578" i="11"/>
  <c r="K578" i="11"/>
  <c r="AI578" i="11"/>
  <c r="L578" i="11"/>
  <c r="AJ578" i="11"/>
  <c r="M578" i="11"/>
  <c r="AK578" i="11"/>
  <c r="N578" i="11"/>
  <c r="AL578" i="11"/>
  <c r="O578" i="11"/>
  <c r="AM578" i="11"/>
  <c r="P578" i="11"/>
  <c r="AN578" i="11"/>
  <c r="Q578" i="11"/>
  <c r="AO578" i="11"/>
  <c r="R578" i="11"/>
  <c r="AP578" i="11"/>
  <c r="S578" i="11"/>
  <c r="AQ578" i="11"/>
  <c r="T578" i="11"/>
  <c r="AR578" i="11"/>
  <c r="U578" i="11"/>
  <c r="AS578" i="11"/>
  <c r="V578" i="11"/>
  <c r="AT578" i="11"/>
  <c r="W578" i="11"/>
  <c r="AU578" i="11"/>
  <c r="X578" i="11"/>
  <c r="AV578" i="11"/>
  <c r="Y578" i="11"/>
  <c r="AW578" i="11"/>
  <c r="Z578" i="11"/>
  <c r="AC579" i="11"/>
  <c r="F579" i="11"/>
  <c r="AD579" i="11"/>
  <c r="G579" i="11"/>
  <c r="AE579" i="11"/>
  <c r="H579" i="11"/>
  <c r="AF579" i="11"/>
  <c r="I579" i="11"/>
  <c r="AG579" i="11"/>
  <c r="J579" i="11"/>
  <c r="AH579" i="11"/>
  <c r="K579" i="11"/>
  <c r="AI579" i="11"/>
  <c r="L579" i="11"/>
  <c r="AJ579" i="11"/>
  <c r="M579" i="11"/>
  <c r="AK579" i="11"/>
  <c r="N579" i="11"/>
  <c r="AL579" i="11"/>
  <c r="O579" i="11"/>
  <c r="AM579" i="11"/>
  <c r="P579" i="11"/>
  <c r="AN579" i="11"/>
  <c r="Q579" i="11"/>
  <c r="AO579" i="11"/>
  <c r="R579" i="11"/>
  <c r="AP579" i="11"/>
  <c r="S579" i="11"/>
  <c r="AQ579" i="11"/>
  <c r="T579" i="11"/>
  <c r="AR579" i="11"/>
  <c r="U579" i="11"/>
  <c r="AS579" i="11"/>
  <c r="V579" i="11"/>
  <c r="AT579" i="11"/>
  <c r="W579" i="11"/>
  <c r="AU579" i="11"/>
  <c r="X579" i="11"/>
  <c r="AV579" i="11"/>
  <c r="Y579" i="11"/>
  <c r="AW579" i="11"/>
  <c r="Z579" i="11"/>
  <c r="AC580" i="11"/>
  <c r="F580" i="11"/>
  <c r="AD580" i="11"/>
  <c r="G580" i="11"/>
  <c r="AE580" i="11"/>
  <c r="H580" i="11"/>
  <c r="AF580" i="11"/>
  <c r="I580" i="11"/>
  <c r="AG580" i="11"/>
  <c r="J580" i="11"/>
  <c r="AH580" i="11"/>
  <c r="K580" i="11"/>
  <c r="AI580" i="11"/>
  <c r="L580" i="11"/>
  <c r="AJ580" i="11"/>
  <c r="M580" i="11"/>
  <c r="AK580" i="11"/>
  <c r="N580" i="11"/>
  <c r="AL580" i="11"/>
  <c r="O580" i="11"/>
  <c r="AM580" i="11"/>
  <c r="P580" i="11"/>
  <c r="AN580" i="11"/>
  <c r="Q580" i="11"/>
  <c r="AO580" i="11"/>
  <c r="R580" i="11"/>
  <c r="AP580" i="11"/>
  <c r="S580" i="11"/>
  <c r="AQ580" i="11"/>
  <c r="T580" i="11"/>
  <c r="AR580" i="11"/>
  <c r="U580" i="11"/>
  <c r="AS580" i="11"/>
  <c r="V580" i="11"/>
  <c r="AT580" i="11"/>
  <c r="W580" i="11"/>
  <c r="AU580" i="11"/>
  <c r="X580" i="11"/>
  <c r="AV580" i="11"/>
  <c r="Y580" i="11"/>
  <c r="AW580" i="11"/>
  <c r="Z580" i="11"/>
  <c r="AC581" i="11"/>
  <c r="F581" i="11"/>
  <c r="AD581" i="11"/>
  <c r="G581" i="11"/>
  <c r="AE581" i="11"/>
  <c r="H581" i="11"/>
  <c r="AF581" i="11"/>
  <c r="I581" i="11"/>
  <c r="AG581" i="11"/>
  <c r="J581" i="11"/>
  <c r="AH581" i="11"/>
  <c r="K581" i="11"/>
  <c r="AI581" i="11"/>
  <c r="L581" i="11"/>
  <c r="AJ581" i="11"/>
  <c r="M581" i="11"/>
  <c r="AK581" i="11"/>
  <c r="N581" i="11"/>
  <c r="AL581" i="11"/>
  <c r="O581" i="11"/>
  <c r="AM581" i="11"/>
  <c r="P581" i="11"/>
  <c r="AN581" i="11"/>
  <c r="Q581" i="11"/>
  <c r="AO581" i="11"/>
  <c r="R581" i="11"/>
  <c r="AP581" i="11"/>
  <c r="S581" i="11"/>
  <c r="AQ581" i="11"/>
  <c r="T581" i="11"/>
  <c r="AR581" i="11"/>
  <c r="U581" i="11"/>
  <c r="AS581" i="11"/>
  <c r="V581" i="11"/>
  <c r="AT581" i="11"/>
  <c r="W581" i="11"/>
  <c r="AU581" i="11"/>
  <c r="X581" i="11"/>
  <c r="AV581" i="11"/>
  <c r="Y581" i="11"/>
  <c r="AW581" i="11"/>
  <c r="Z581" i="11"/>
  <c r="AC582" i="11"/>
  <c r="F582" i="11"/>
  <c r="AD582" i="11"/>
  <c r="G582" i="11"/>
  <c r="AE582" i="11"/>
  <c r="H582" i="11"/>
  <c r="AF582" i="11"/>
  <c r="I582" i="11"/>
  <c r="AG582" i="11"/>
  <c r="J582" i="11"/>
  <c r="AH582" i="11"/>
  <c r="K582" i="11"/>
  <c r="AI582" i="11"/>
  <c r="L582" i="11"/>
  <c r="AJ582" i="11"/>
  <c r="M582" i="11"/>
  <c r="AK582" i="11"/>
  <c r="N582" i="11"/>
  <c r="AL582" i="11"/>
  <c r="O582" i="11"/>
  <c r="AM582" i="11"/>
  <c r="P582" i="11"/>
  <c r="AN582" i="11"/>
  <c r="Q582" i="11"/>
  <c r="AO582" i="11"/>
  <c r="R582" i="11"/>
  <c r="AP582" i="11"/>
  <c r="S582" i="11"/>
  <c r="AQ582" i="11"/>
  <c r="T582" i="11"/>
  <c r="AR582" i="11"/>
  <c r="U582" i="11"/>
  <c r="AS582" i="11"/>
  <c r="V582" i="11"/>
  <c r="AT582" i="11"/>
  <c r="W582" i="11"/>
  <c r="AU582" i="11"/>
  <c r="X582" i="11"/>
  <c r="AV582" i="11"/>
  <c r="Y582" i="11"/>
  <c r="AW582" i="11"/>
  <c r="Z582" i="11"/>
  <c r="AC583" i="11"/>
  <c r="F583" i="11"/>
  <c r="AD583" i="11"/>
  <c r="G583" i="11"/>
  <c r="AE583" i="11"/>
  <c r="H583" i="11"/>
  <c r="AF583" i="11"/>
  <c r="I583" i="11"/>
  <c r="AG583" i="11"/>
  <c r="J583" i="11"/>
  <c r="AH583" i="11"/>
  <c r="K583" i="11"/>
  <c r="AI583" i="11"/>
  <c r="L583" i="11"/>
  <c r="AJ583" i="11"/>
  <c r="M583" i="11"/>
  <c r="AK583" i="11"/>
  <c r="N583" i="11"/>
  <c r="AL583" i="11"/>
  <c r="O583" i="11"/>
  <c r="AM583" i="11"/>
  <c r="P583" i="11"/>
  <c r="AN583" i="11"/>
  <c r="Q583" i="11"/>
  <c r="AO583" i="11"/>
  <c r="R583" i="11"/>
  <c r="AP583" i="11"/>
  <c r="S583" i="11"/>
  <c r="AQ583" i="11"/>
  <c r="T583" i="11"/>
  <c r="AR583" i="11"/>
  <c r="U583" i="11"/>
  <c r="AS583" i="11"/>
  <c r="V583" i="11"/>
  <c r="AT583" i="11"/>
  <c r="W583" i="11"/>
  <c r="AU583" i="11"/>
  <c r="X583" i="11"/>
  <c r="AV583" i="11"/>
  <c r="Y583" i="11"/>
  <c r="AW583" i="11"/>
  <c r="Z583" i="11"/>
  <c r="AC584" i="11"/>
  <c r="F584" i="11"/>
  <c r="AD584" i="11"/>
  <c r="G584" i="11"/>
  <c r="AE584" i="11"/>
  <c r="H584" i="11"/>
  <c r="AF584" i="11"/>
  <c r="I584" i="11"/>
  <c r="AG584" i="11"/>
  <c r="J584" i="11"/>
  <c r="AH584" i="11"/>
  <c r="K584" i="11"/>
  <c r="AI584" i="11"/>
  <c r="L584" i="11"/>
  <c r="AJ584" i="11"/>
  <c r="M584" i="11"/>
  <c r="AK584" i="11"/>
  <c r="N584" i="11"/>
  <c r="AL584" i="11"/>
  <c r="O584" i="11"/>
  <c r="AM584" i="11"/>
  <c r="P584" i="11"/>
  <c r="AN584" i="11"/>
  <c r="Q584" i="11"/>
  <c r="AO584" i="11"/>
  <c r="R584" i="11"/>
  <c r="AP584" i="11"/>
  <c r="S584" i="11"/>
  <c r="AQ584" i="11"/>
  <c r="T584" i="11"/>
  <c r="AR584" i="11"/>
  <c r="U584" i="11"/>
  <c r="AS584" i="11"/>
  <c r="V584" i="11"/>
  <c r="AT584" i="11"/>
  <c r="W584" i="11"/>
  <c r="AU584" i="11"/>
  <c r="X584" i="11"/>
  <c r="AV584" i="11"/>
  <c r="Y584" i="11"/>
  <c r="AW584" i="11"/>
  <c r="Z584" i="11"/>
  <c r="AC585" i="11"/>
  <c r="F585" i="11"/>
  <c r="AD585" i="11"/>
  <c r="G585" i="11"/>
  <c r="AE585" i="11"/>
  <c r="H585" i="11"/>
  <c r="AF585" i="11"/>
  <c r="I585" i="11"/>
  <c r="AG585" i="11"/>
  <c r="J585" i="11"/>
  <c r="AH585" i="11"/>
  <c r="K585" i="11"/>
  <c r="AI585" i="11"/>
  <c r="L585" i="11"/>
  <c r="AJ585" i="11"/>
  <c r="M585" i="11"/>
  <c r="AK585" i="11"/>
  <c r="N585" i="11"/>
  <c r="AL585" i="11"/>
  <c r="O585" i="11"/>
  <c r="AM585" i="11"/>
  <c r="P585" i="11"/>
  <c r="AN585" i="11"/>
  <c r="Q585" i="11"/>
  <c r="AO585" i="11"/>
  <c r="R585" i="11"/>
  <c r="AP585" i="11"/>
  <c r="S585" i="11"/>
  <c r="AQ585" i="11"/>
  <c r="T585" i="11"/>
  <c r="AR585" i="11"/>
  <c r="U585" i="11"/>
  <c r="AS585" i="11"/>
  <c r="V585" i="11"/>
  <c r="AT585" i="11"/>
  <c r="W585" i="11"/>
  <c r="AU585" i="11"/>
  <c r="X585" i="11"/>
  <c r="AV585" i="11"/>
  <c r="Y585" i="11"/>
  <c r="AW585" i="11"/>
  <c r="Z585" i="11"/>
  <c r="AC586" i="11"/>
  <c r="F586" i="11"/>
  <c r="AD586" i="11"/>
  <c r="G586" i="11"/>
  <c r="AE586" i="11"/>
  <c r="H586" i="11"/>
  <c r="AF586" i="11"/>
  <c r="I586" i="11"/>
  <c r="AG586" i="11"/>
  <c r="J586" i="11"/>
  <c r="AH586" i="11"/>
  <c r="K586" i="11"/>
  <c r="AI586" i="11"/>
  <c r="L586" i="11"/>
  <c r="AJ586" i="11"/>
  <c r="M586" i="11"/>
  <c r="AK586" i="11"/>
  <c r="N586" i="11"/>
  <c r="AL586" i="11"/>
  <c r="O586" i="11"/>
  <c r="AM586" i="11"/>
  <c r="P586" i="11"/>
  <c r="AN586" i="11"/>
  <c r="Q586" i="11"/>
  <c r="AO586" i="11"/>
  <c r="R586" i="11"/>
  <c r="AP586" i="11"/>
  <c r="S586" i="11"/>
  <c r="AQ586" i="11"/>
  <c r="T586" i="11"/>
  <c r="AR586" i="11"/>
  <c r="U586" i="11"/>
  <c r="AS586" i="11"/>
  <c r="V586" i="11"/>
  <c r="AT586" i="11"/>
  <c r="W586" i="11"/>
  <c r="AU586" i="11"/>
  <c r="X586" i="11"/>
  <c r="AV586" i="11"/>
  <c r="Y586" i="11"/>
  <c r="AW586" i="11"/>
  <c r="Z586" i="11"/>
  <c r="AC587" i="11"/>
  <c r="F587" i="11"/>
  <c r="AD587" i="11"/>
  <c r="G587" i="11"/>
  <c r="AE587" i="11"/>
  <c r="H587" i="11"/>
  <c r="AF587" i="11"/>
  <c r="I587" i="11"/>
  <c r="AG587" i="11"/>
  <c r="J587" i="11"/>
  <c r="AH587" i="11"/>
  <c r="K587" i="11"/>
  <c r="AI587" i="11"/>
  <c r="L587" i="11"/>
  <c r="AJ587" i="11"/>
  <c r="M587" i="11"/>
  <c r="AK587" i="11"/>
  <c r="N587" i="11"/>
  <c r="AL587" i="11"/>
  <c r="O587" i="11"/>
  <c r="AM587" i="11"/>
  <c r="P587" i="11"/>
  <c r="AN587" i="11"/>
  <c r="Q587" i="11"/>
  <c r="AO587" i="11"/>
  <c r="R587" i="11"/>
  <c r="AP587" i="11"/>
  <c r="S587" i="11"/>
  <c r="AQ587" i="11"/>
  <c r="T587" i="11"/>
  <c r="AR587" i="11"/>
  <c r="U587" i="11"/>
  <c r="AS587" i="11"/>
  <c r="V587" i="11"/>
  <c r="AT587" i="11"/>
  <c r="W587" i="11"/>
  <c r="AU587" i="11"/>
  <c r="X587" i="11"/>
  <c r="AV587" i="11"/>
  <c r="Y587" i="11"/>
  <c r="AW587" i="11"/>
  <c r="Z587" i="11"/>
  <c r="AC588" i="11"/>
  <c r="F588" i="11"/>
  <c r="AD588" i="11"/>
  <c r="G588" i="11"/>
  <c r="AE588" i="11"/>
  <c r="H588" i="11"/>
  <c r="AF588" i="11"/>
  <c r="I588" i="11"/>
  <c r="AG588" i="11"/>
  <c r="J588" i="11"/>
  <c r="AH588" i="11"/>
  <c r="K588" i="11"/>
  <c r="AI588" i="11"/>
  <c r="L588" i="11"/>
  <c r="AJ588" i="11"/>
  <c r="M588" i="11"/>
  <c r="AK588" i="11"/>
  <c r="N588" i="11"/>
  <c r="AL588" i="11"/>
  <c r="O588" i="11"/>
  <c r="AM588" i="11"/>
  <c r="P588" i="11"/>
  <c r="AN588" i="11"/>
  <c r="Q588" i="11"/>
  <c r="AO588" i="11"/>
  <c r="R588" i="11"/>
  <c r="AP588" i="11"/>
  <c r="S588" i="11"/>
  <c r="AQ588" i="11"/>
  <c r="T588" i="11"/>
  <c r="AR588" i="11"/>
  <c r="U588" i="11"/>
  <c r="AS588" i="11"/>
  <c r="V588" i="11"/>
  <c r="AT588" i="11"/>
  <c r="W588" i="11"/>
  <c r="AU588" i="11"/>
  <c r="X588" i="11"/>
  <c r="AV588" i="11"/>
  <c r="Y588" i="11"/>
  <c r="AW588" i="11"/>
  <c r="Z588" i="11"/>
  <c r="AC589" i="11"/>
  <c r="F589" i="11"/>
  <c r="AD589" i="11"/>
  <c r="G589" i="11"/>
  <c r="AE589" i="11"/>
  <c r="H589" i="11"/>
  <c r="AF589" i="11"/>
  <c r="I589" i="11"/>
  <c r="AG589" i="11"/>
  <c r="J589" i="11"/>
  <c r="AH589" i="11"/>
  <c r="K589" i="11"/>
  <c r="AI589" i="11"/>
  <c r="L589" i="11"/>
  <c r="AJ589" i="11"/>
  <c r="M589" i="11"/>
  <c r="AK589" i="11"/>
  <c r="N589" i="11"/>
  <c r="AL589" i="11"/>
  <c r="O589" i="11"/>
  <c r="AM589" i="11"/>
  <c r="P589" i="11"/>
  <c r="AN589" i="11"/>
  <c r="Q589" i="11"/>
  <c r="AO589" i="11"/>
  <c r="R589" i="11"/>
  <c r="AP589" i="11"/>
  <c r="S589" i="11"/>
  <c r="AQ589" i="11"/>
  <c r="T589" i="11"/>
  <c r="AR589" i="11"/>
  <c r="U589" i="11"/>
  <c r="AS589" i="11"/>
  <c r="V589" i="11"/>
  <c r="AT589" i="11"/>
  <c r="W589" i="11"/>
  <c r="AU589" i="11"/>
  <c r="X589" i="11"/>
  <c r="AV589" i="11"/>
  <c r="Y589" i="11"/>
  <c r="AW589" i="11"/>
  <c r="Z589" i="11"/>
  <c r="AC590" i="11"/>
  <c r="F590" i="11"/>
  <c r="AD590" i="11"/>
  <c r="G590" i="11"/>
  <c r="AE590" i="11"/>
  <c r="H590" i="11"/>
  <c r="AF590" i="11"/>
  <c r="I590" i="11"/>
  <c r="AG590" i="11"/>
  <c r="J590" i="11"/>
  <c r="AH590" i="11"/>
  <c r="K590" i="11"/>
  <c r="AI590" i="11"/>
  <c r="L590" i="11"/>
  <c r="AJ590" i="11"/>
  <c r="M590" i="11"/>
  <c r="AK590" i="11"/>
  <c r="N590" i="11"/>
  <c r="AL590" i="11"/>
  <c r="O590" i="11"/>
  <c r="AM590" i="11"/>
  <c r="P590" i="11"/>
  <c r="AN590" i="11"/>
  <c r="Q590" i="11"/>
  <c r="AO590" i="11"/>
  <c r="R590" i="11"/>
  <c r="AP590" i="11"/>
  <c r="S590" i="11"/>
  <c r="AQ590" i="11"/>
  <c r="T590" i="11"/>
  <c r="AR590" i="11"/>
  <c r="U590" i="11"/>
  <c r="AS590" i="11"/>
  <c r="V590" i="11"/>
  <c r="AT590" i="11"/>
  <c r="W590" i="11"/>
  <c r="AU590" i="11"/>
  <c r="X590" i="11"/>
  <c r="AV590" i="11"/>
  <c r="Y590" i="11"/>
  <c r="AW590" i="11"/>
  <c r="Z590" i="11"/>
  <c r="AC591" i="11"/>
  <c r="F591" i="11"/>
  <c r="AD591" i="11"/>
  <c r="G591" i="11"/>
  <c r="AE591" i="11"/>
  <c r="H591" i="11"/>
  <c r="AF591" i="11"/>
  <c r="I591" i="11"/>
  <c r="AG591" i="11"/>
  <c r="J591" i="11"/>
  <c r="AH591" i="11"/>
  <c r="K591" i="11"/>
  <c r="AI591" i="11"/>
  <c r="L591" i="11"/>
  <c r="AJ591" i="11"/>
  <c r="M591" i="11"/>
  <c r="AK591" i="11"/>
  <c r="N591" i="11"/>
  <c r="AL591" i="11"/>
  <c r="O591" i="11"/>
  <c r="AM591" i="11"/>
  <c r="P591" i="11"/>
  <c r="AN591" i="11"/>
  <c r="Q591" i="11"/>
  <c r="AO591" i="11"/>
  <c r="R591" i="11"/>
  <c r="AP591" i="11"/>
  <c r="S591" i="11"/>
  <c r="AQ591" i="11"/>
  <c r="T591" i="11"/>
  <c r="AR591" i="11"/>
  <c r="U591" i="11"/>
  <c r="AS591" i="11"/>
  <c r="V591" i="11"/>
  <c r="AT591" i="11"/>
  <c r="W591" i="11"/>
  <c r="AU591" i="11"/>
  <c r="X591" i="11"/>
  <c r="AV591" i="11"/>
  <c r="Y591" i="11"/>
  <c r="AW591" i="11"/>
  <c r="Z591" i="11"/>
  <c r="AC592" i="11"/>
  <c r="F592" i="11"/>
  <c r="AD592" i="11"/>
  <c r="G592" i="11"/>
  <c r="AE592" i="11"/>
  <c r="H592" i="11"/>
  <c r="AF592" i="11"/>
  <c r="I592" i="11"/>
  <c r="AG592" i="11"/>
  <c r="J592" i="11"/>
  <c r="AH592" i="11"/>
  <c r="K592" i="11"/>
  <c r="AI592" i="11"/>
  <c r="L592" i="11"/>
  <c r="AJ592" i="11"/>
  <c r="M592" i="11"/>
  <c r="AK592" i="11"/>
  <c r="N592" i="11"/>
  <c r="AL592" i="11"/>
  <c r="O592" i="11"/>
  <c r="AM592" i="11"/>
  <c r="P592" i="11"/>
  <c r="AN592" i="11"/>
  <c r="Q592" i="11"/>
  <c r="AO592" i="11"/>
  <c r="R592" i="11"/>
  <c r="AP592" i="11"/>
  <c r="S592" i="11"/>
  <c r="AQ592" i="11"/>
  <c r="T592" i="11"/>
  <c r="AR592" i="11"/>
  <c r="U592" i="11"/>
  <c r="AS592" i="11"/>
  <c r="V592" i="11"/>
  <c r="AT592" i="11"/>
  <c r="W592" i="11"/>
  <c r="AU592" i="11"/>
  <c r="X592" i="11"/>
  <c r="AV592" i="11"/>
  <c r="Y592" i="11"/>
  <c r="AW592" i="11"/>
  <c r="Z592" i="11"/>
  <c r="AC593" i="11"/>
  <c r="F593" i="11"/>
  <c r="AD593" i="11"/>
  <c r="G593" i="11"/>
  <c r="AE593" i="11"/>
  <c r="H593" i="11"/>
  <c r="AF593" i="11"/>
  <c r="I593" i="11"/>
  <c r="AG593" i="11"/>
  <c r="J593" i="11"/>
  <c r="AH593" i="11"/>
  <c r="K593" i="11"/>
  <c r="AI593" i="11"/>
  <c r="L593" i="11"/>
  <c r="AJ593" i="11"/>
  <c r="M593" i="11"/>
  <c r="AK593" i="11"/>
  <c r="N593" i="11"/>
  <c r="AL593" i="11"/>
  <c r="O593" i="11"/>
  <c r="AM593" i="11"/>
  <c r="P593" i="11"/>
  <c r="AN593" i="11"/>
  <c r="Q593" i="11"/>
  <c r="AO593" i="11"/>
  <c r="R593" i="11"/>
  <c r="AP593" i="11"/>
  <c r="S593" i="11"/>
  <c r="AQ593" i="11"/>
  <c r="T593" i="11"/>
  <c r="AR593" i="11"/>
  <c r="U593" i="11"/>
  <c r="AS593" i="11"/>
  <c r="V593" i="11"/>
  <c r="AT593" i="11"/>
  <c r="W593" i="11"/>
  <c r="AU593" i="11"/>
  <c r="X593" i="11"/>
  <c r="AV593" i="11"/>
  <c r="Y593" i="11"/>
  <c r="AW593" i="11"/>
  <c r="Z593" i="11"/>
  <c r="AC594" i="11"/>
  <c r="F594" i="11"/>
  <c r="AD594" i="11"/>
  <c r="G594" i="11"/>
  <c r="AE594" i="11"/>
  <c r="H594" i="11"/>
  <c r="AF594" i="11"/>
  <c r="I594" i="11"/>
  <c r="AG594" i="11"/>
  <c r="J594" i="11"/>
  <c r="AH594" i="11"/>
  <c r="K594" i="11"/>
  <c r="AI594" i="11"/>
  <c r="L594" i="11"/>
  <c r="AJ594" i="11"/>
  <c r="M594" i="11"/>
  <c r="AK594" i="11"/>
  <c r="N594" i="11"/>
  <c r="AL594" i="11"/>
  <c r="O594" i="11"/>
  <c r="AM594" i="11"/>
  <c r="P594" i="11"/>
  <c r="AN594" i="11"/>
  <c r="Q594" i="11"/>
  <c r="AO594" i="11"/>
  <c r="R594" i="11"/>
  <c r="AP594" i="11"/>
  <c r="S594" i="11"/>
  <c r="AQ594" i="11"/>
  <c r="T594" i="11"/>
  <c r="AR594" i="11"/>
  <c r="U594" i="11"/>
  <c r="AS594" i="11"/>
  <c r="V594" i="11"/>
  <c r="AT594" i="11"/>
  <c r="W594" i="11"/>
  <c r="AU594" i="11"/>
  <c r="X594" i="11"/>
  <c r="AV594" i="11"/>
  <c r="Y594" i="11"/>
  <c r="AW594" i="11"/>
  <c r="Z594" i="11"/>
  <c r="AC595" i="11"/>
  <c r="F595" i="11"/>
  <c r="AD595" i="11"/>
  <c r="G595" i="11"/>
  <c r="AE595" i="11"/>
  <c r="H595" i="11"/>
  <c r="AF595" i="11"/>
  <c r="I595" i="11"/>
  <c r="AG595" i="11"/>
  <c r="J595" i="11"/>
  <c r="AH595" i="11"/>
  <c r="K595" i="11"/>
  <c r="AI595" i="11"/>
  <c r="L595" i="11"/>
  <c r="AJ595" i="11"/>
  <c r="M595" i="11"/>
  <c r="AK595" i="11"/>
  <c r="N595" i="11"/>
  <c r="AL595" i="11"/>
  <c r="O595" i="11"/>
  <c r="AM595" i="11"/>
  <c r="P595" i="11"/>
  <c r="AN595" i="11"/>
  <c r="Q595" i="11"/>
  <c r="AO595" i="11"/>
  <c r="R595" i="11"/>
  <c r="AP595" i="11"/>
  <c r="S595" i="11"/>
  <c r="AQ595" i="11"/>
  <c r="T595" i="11"/>
  <c r="AR595" i="11"/>
  <c r="U595" i="11"/>
  <c r="AS595" i="11"/>
  <c r="V595" i="11"/>
  <c r="AT595" i="11"/>
  <c r="W595" i="11"/>
  <c r="AU595" i="11"/>
  <c r="X595" i="11"/>
  <c r="AV595" i="11"/>
  <c r="Y595" i="11"/>
  <c r="AW595" i="11"/>
  <c r="Z595" i="11"/>
  <c r="AC596" i="11"/>
  <c r="F596" i="11"/>
  <c r="AD596" i="11"/>
  <c r="G596" i="11"/>
  <c r="AE596" i="11"/>
  <c r="H596" i="11"/>
  <c r="AF596" i="11"/>
  <c r="I596" i="11"/>
  <c r="AG596" i="11"/>
  <c r="J596" i="11"/>
  <c r="AH596" i="11"/>
  <c r="K596" i="11"/>
  <c r="AI596" i="11"/>
  <c r="L596" i="11"/>
  <c r="AJ596" i="11"/>
  <c r="M596" i="11"/>
  <c r="AK596" i="11"/>
  <c r="N596" i="11"/>
  <c r="AL596" i="11"/>
  <c r="O596" i="11"/>
  <c r="AM596" i="11"/>
  <c r="P596" i="11"/>
  <c r="AN596" i="11"/>
  <c r="Q596" i="11"/>
  <c r="AO596" i="11"/>
  <c r="R596" i="11"/>
  <c r="AP596" i="11"/>
  <c r="S596" i="11"/>
  <c r="AQ596" i="11"/>
  <c r="T596" i="11"/>
  <c r="AR596" i="11"/>
  <c r="U596" i="11"/>
  <c r="AS596" i="11"/>
  <c r="V596" i="11"/>
  <c r="AT596" i="11"/>
  <c r="W596" i="11"/>
  <c r="AU596" i="11"/>
  <c r="X596" i="11"/>
  <c r="AV596" i="11"/>
  <c r="Y596" i="11"/>
  <c r="AW596" i="11"/>
  <c r="Z596" i="11"/>
  <c r="AC597" i="11"/>
  <c r="F597" i="11"/>
  <c r="AD597" i="11"/>
  <c r="G597" i="11"/>
  <c r="AE597" i="11"/>
  <c r="H597" i="11"/>
  <c r="AF597" i="11"/>
  <c r="I597" i="11"/>
  <c r="AG597" i="11"/>
  <c r="J597" i="11"/>
  <c r="AH597" i="11"/>
  <c r="K597" i="11"/>
  <c r="AI597" i="11"/>
  <c r="L597" i="11"/>
  <c r="AJ597" i="11"/>
  <c r="M597" i="11"/>
  <c r="AK597" i="11"/>
  <c r="N597" i="11"/>
  <c r="AL597" i="11"/>
  <c r="O597" i="11"/>
  <c r="AM597" i="11"/>
  <c r="P597" i="11"/>
  <c r="AN597" i="11"/>
  <c r="Q597" i="11"/>
  <c r="AO597" i="11"/>
  <c r="R597" i="11"/>
  <c r="AP597" i="11"/>
  <c r="S597" i="11"/>
  <c r="AQ597" i="11"/>
  <c r="T597" i="11"/>
  <c r="AR597" i="11"/>
  <c r="U597" i="11"/>
  <c r="AS597" i="11"/>
  <c r="V597" i="11"/>
  <c r="AT597" i="11"/>
  <c r="W597" i="11"/>
  <c r="AU597" i="11"/>
  <c r="X597" i="11"/>
  <c r="AV597" i="11"/>
  <c r="Y597" i="11"/>
  <c r="AW597" i="11"/>
  <c r="Z597" i="11"/>
  <c r="AC598" i="11"/>
  <c r="F598" i="11"/>
  <c r="AD598" i="11"/>
  <c r="G598" i="11"/>
  <c r="AE598" i="11"/>
  <c r="H598" i="11"/>
  <c r="AF598" i="11"/>
  <c r="I598" i="11"/>
  <c r="AG598" i="11"/>
  <c r="J598" i="11"/>
  <c r="AH598" i="11"/>
  <c r="K598" i="11"/>
  <c r="AI598" i="11"/>
  <c r="L598" i="11"/>
  <c r="AJ598" i="11"/>
  <c r="M598" i="11"/>
  <c r="AK598" i="11"/>
  <c r="N598" i="11"/>
  <c r="AL598" i="11"/>
  <c r="O598" i="11"/>
  <c r="AM598" i="11"/>
  <c r="P598" i="11"/>
  <c r="AN598" i="11"/>
  <c r="Q598" i="11"/>
  <c r="AO598" i="11"/>
  <c r="R598" i="11"/>
  <c r="AP598" i="11"/>
  <c r="S598" i="11"/>
  <c r="AQ598" i="11"/>
  <c r="T598" i="11"/>
  <c r="AR598" i="11"/>
  <c r="U598" i="11"/>
  <c r="AS598" i="11"/>
  <c r="V598" i="11"/>
  <c r="AT598" i="11"/>
  <c r="W598" i="11"/>
  <c r="AU598" i="11"/>
  <c r="X598" i="11"/>
  <c r="AV598" i="11"/>
  <c r="Y598" i="11"/>
  <c r="AW598" i="11"/>
  <c r="Z598" i="11"/>
  <c r="AC599" i="11"/>
  <c r="F599" i="11"/>
  <c r="AD599" i="11"/>
  <c r="G599" i="11"/>
  <c r="AE599" i="11"/>
  <c r="H599" i="11"/>
  <c r="AF599" i="11"/>
  <c r="I599" i="11"/>
  <c r="AG599" i="11"/>
  <c r="J599" i="11"/>
  <c r="AH599" i="11"/>
  <c r="K599" i="11"/>
  <c r="AI599" i="11"/>
  <c r="L599" i="11"/>
  <c r="AJ599" i="11"/>
  <c r="M599" i="11"/>
  <c r="AK599" i="11"/>
  <c r="N599" i="11"/>
  <c r="AL599" i="11"/>
  <c r="O599" i="11"/>
  <c r="AM599" i="11"/>
  <c r="P599" i="11"/>
  <c r="AN599" i="11"/>
  <c r="Q599" i="11"/>
  <c r="AO599" i="11"/>
  <c r="R599" i="11"/>
  <c r="AP599" i="11"/>
  <c r="S599" i="11"/>
  <c r="AQ599" i="11"/>
  <c r="T599" i="11"/>
  <c r="AR599" i="11"/>
  <c r="U599" i="11"/>
  <c r="AS599" i="11"/>
  <c r="V599" i="11"/>
  <c r="AT599" i="11"/>
  <c r="W599" i="11"/>
  <c r="AU599" i="11"/>
  <c r="X599" i="11"/>
  <c r="AV599" i="11"/>
  <c r="Y599" i="11"/>
  <c r="AW599" i="11"/>
  <c r="Z599" i="11"/>
  <c r="AC600" i="11"/>
  <c r="F600" i="11"/>
  <c r="AD600" i="11"/>
  <c r="G600" i="11"/>
  <c r="AE600" i="11"/>
  <c r="H600" i="11"/>
  <c r="AF600" i="11"/>
  <c r="I600" i="11"/>
  <c r="AG600" i="11"/>
  <c r="J600" i="11"/>
  <c r="AH600" i="11"/>
  <c r="K600" i="11"/>
  <c r="AI600" i="11"/>
  <c r="L600" i="11"/>
  <c r="AJ600" i="11"/>
  <c r="M600" i="11"/>
  <c r="AK600" i="11"/>
  <c r="N600" i="11"/>
  <c r="AL600" i="11"/>
  <c r="O600" i="11"/>
  <c r="AM600" i="11"/>
  <c r="P600" i="11"/>
  <c r="AN600" i="11"/>
  <c r="Q600" i="11"/>
  <c r="AO600" i="11"/>
  <c r="R600" i="11"/>
  <c r="AP600" i="11"/>
  <c r="S600" i="11"/>
  <c r="AQ600" i="11"/>
  <c r="T600" i="11"/>
  <c r="AR600" i="11"/>
  <c r="U600" i="11"/>
  <c r="AS600" i="11"/>
  <c r="V600" i="11"/>
  <c r="AT600" i="11"/>
  <c r="W600" i="11"/>
  <c r="AU600" i="11"/>
  <c r="X600" i="11"/>
  <c r="AV600" i="11"/>
  <c r="Y600" i="11"/>
  <c r="AW600" i="11"/>
  <c r="Z600" i="11"/>
  <c r="AC601" i="11"/>
  <c r="F601" i="11"/>
  <c r="AD601" i="11"/>
  <c r="G601" i="11"/>
  <c r="AE601" i="11"/>
  <c r="H601" i="11"/>
  <c r="AF601" i="11"/>
  <c r="I601" i="11"/>
  <c r="AG601" i="11"/>
  <c r="J601" i="11"/>
  <c r="AH601" i="11"/>
  <c r="K601" i="11"/>
  <c r="AI601" i="11"/>
  <c r="L601" i="11"/>
  <c r="AJ601" i="11"/>
  <c r="M601" i="11"/>
  <c r="AK601" i="11"/>
  <c r="N601" i="11"/>
  <c r="AL601" i="11"/>
  <c r="O601" i="11"/>
  <c r="AM601" i="11"/>
  <c r="P601" i="11"/>
  <c r="AN601" i="11"/>
  <c r="Q601" i="11"/>
  <c r="AO601" i="11"/>
  <c r="R601" i="11"/>
  <c r="AP601" i="11"/>
  <c r="S601" i="11"/>
  <c r="AQ601" i="11"/>
  <c r="T601" i="11"/>
  <c r="AR601" i="11"/>
  <c r="U601" i="11"/>
  <c r="AS601" i="11"/>
  <c r="V601" i="11"/>
  <c r="AT601" i="11"/>
  <c r="W601" i="11"/>
  <c r="AU601" i="11"/>
  <c r="X601" i="11"/>
  <c r="AV601" i="11"/>
  <c r="Y601" i="11"/>
  <c r="AW601" i="11"/>
  <c r="Z601" i="11"/>
  <c r="AC602" i="11"/>
  <c r="F602" i="11"/>
  <c r="AD602" i="11"/>
  <c r="G602" i="11"/>
  <c r="AE602" i="11"/>
  <c r="H602" i="11"/>
  <c r="AF602" i="11"/>
  <c r="I602" i="11"/>
  <c r="AG602" i="11"/>
  <c r="J602" i="11"/>
  <c r="AH602" i="11"/>
  <c r="K602" i="11"/>
  <c r="AI602" i="11"/>
  <c r="L602" i="11"/>
  <c r="AJ602" i="11"/>
  <c r="M602" i="11"/>
  <c r="AK602" i="11"/>
  <c r="N602" i="11"/>
  <c r="AL602" i="11"/>
  <c r="O602" i="11"/>
  <c r="AM602" i="11"/>
  <c r="P602" i="11"/>
  <c r="AN602" i="11"/>
  <c r="Q602" i="11"/>
  <c r="AO602" i="11"/>
  <c r="R602" i="11"/>
  <c r="AP602" i="11"/>
  <c r="S602" i="11"/>
  <c r="AQ602" i="11"/>
  <c r="T602" i="11"/>
  <c r="AR602" i="11"/>
  <c r="U602" i="11"/>
  <c r="AS602" i="11"/>
  <c r="V602" i="11"/>
  <c r="AT602" i="11"/>
  <c r="W602" i="11"/>
  <c r="AU602" i="11"/>
  <c r="X602" i="11"/>
  <c r="AV602" i="11"/>
  <c r="Y602" i="11"/>
  <c r="AW602" i="11"/>
  <c r="Z602" i="11"/>
  <c r="AC603" i="11"/>
  <c r="F603" i="11"/>
  <c r="AD603" i="11"/>
  <c r="G603" i="11"/>
  <c r="AE603" i="11"/>
  <c r="H603" i="11"/>
  <c r="AF603" i="11"/>
  <c r="I603" i="11"/>
  <c r="AG603" i="11"/>
  <c r="J603" i="11"/>
  <c r="AH603" i="11"/>
  <c r="K603" i="11"/>
  <c r="AI603" i="11"/>
  <c r="L603" i="11"/>
  <c r="AJ603" i="11"/>
  <c r="M603" i="11"/>
  <c r="AK603" i="11"/>
  <c r="N603" i="11"/>
  <c r="AL603" i="11"/>
  <c r="O603" i="11"/>
  <c r="AM603" i="11"/>
  <c r="P603" i="11"/>
  <c r="AN603" i="11"/>
  <c r="Q603" i="11"/>
  <c r="AO603" i="11"/>
  <c r="R603" i="11"/>
  <c r="AP603" i="11"/>
  <c r="S603" i="11"/>
  <c r="AQ603" i="11"/>
  <c r="T603" i="11"/>
  <c r="AR603" i="11"/>
  <c r="U603" i="11"/>
  <c r="AS603" i="11"/>
  <c r="V603" i="11"/>
  <c r="AT603" i="11"/>
  <c r="W603" i="11"/>
  <c r="AU603" i="11"/>
  <c r="X603" i="11"/>
  <c r="AV603" i="11"/>
  <c r="Y603" i="11"/>
  <c r="AW603" i="11"/>
  <c r="Z603" i="11"/>
  <c r="AC604" i="11"/>
  <c r="F604" i="11"/>
  <c r="AD604" i="11"/>
  <c r="G604" i="11"/>
  <c r="AE604" i="11"/>
  <c r="H604" i="11"/>
  <c r="AF604" i="11"/>
  <c r="I604" i="11"/>
  <c r="AG604" i="11"/>
  <c r="J604" i="11"/>
  <c r="AH604" i="11"/>
  <c r="K604" i="11"/>
  <c r="AI604" i="11"/>
  <c r="L604" i="11"/>
  <c r="AJ604" i="11"/>
  <c r="M604" i="11"/>
  <c r="AK604" i="11"/>
  <c r="N604" i="11"/>
  <c r="AL604" i="11"/>
  <c r="O604" i="11"/>
  <c r="AM604" i="11"/>
  <c r="P604" i="11"/>
  <c r="AN604" i="11"/>
  <c r="Q604" i="11"/>
  <c r="AO604" i="11"/>
  <c r="R604" i="11"/>
  <c r="AP604" i="11"/>
  <c r="S604" i="11"/>
  <c r="AQ604" i="11"/>
  <c r="T604" i="11"/>
  <c r="AR604" i="11"/>
  <c r="U604" i="11"/>
  <c r="AS604" i="11"/>
  <c r="V604" i="11"/>
  <c r="AT604" i="11"/>
  <c r="W604" i="11"/>
  <c r="AU604" i="11"/>
  <c r="X604" i="11"/>
  <c r="AV604" i="11"/>
  <c r="Y604" i="11"/>
  <c r="AW604" i="11"/>
  <c r="Z604" i="11"/>
  <c r="AC605" i="11"/>
  <c r="F605" i="11"/>
  <c r="AD605" i="11"/>
  <c r="G605" i="11"/>
  <c r="AE605" i="11"/>
  <c r="H605" i="11"/>
  <c r="AF605" i="11"/>
  <c r="I605" i="11"/>
  <c r="AG605" i="11"/>
  <c r="J605" i="11"/>
  <c r="AH605" i="11"/>
  <c r="K605" i="11"/>
  <c r="AI605" i="11"/>
  <c r="L605" i="11"/>
  <c r="AJ605" i="11"/>
  <c r="M605" i="11"/>
  <c r="AK605" i="11"/>
  <c r="N605" i="11"/>
  <c r="AL605" i="11"/>
  <c r="O605" i="11"/>
  <c r="AM605" i="11"/>
  <c r="P605" i="11"/>
  <c r="AN605" i="11"/>
  <c r="Q605" i="11"/>
  <c r="AO605" i="11"/>
  <c r="R605" i="11"/>
  <c r="AP605" i="11"/>
  <c r="S605" i="11"/>
  <c r="AQ605" i="11"/>
  <c r="T605" i="11"/>
  <c r="AR605" i="11"/>
  <c r="U605" i="11"/>
  <c r="AS605" i="11"/>
  <c r="V605" i="11"/>
  <c r="AT605" i="11"/>
  <c r="W605" i="11"/>
  <c r="AU605" i="11"/>
  <c r="X605" i="11"/>
  <c r="AV605" i="11"/>
  <c r="Y605" i="11"/>
  <c r="AW605" i="11"/>
  <c r="Z605" i="11"/>
  <c r="AC606" i="11"/>
  <c r="F606" i="11"/>
  <c r="AD606" i="11"/>
  <c r="G606" i="11"/>
  <c r="AE606" i="11"/>
  <c r="H606" i="11"/>
  <c r="AF606" i="11"/>
  <c r="I606" i="11"/>
  <c r="AG606" i="11"/>
  <c r="J606" i="11"/>
  <c r="AH606" i="11"/>
  <c r="K606" i="11"/>
  <c r="AI606" i="11"/>
  <c r="L606" i="11"/>
  <c r="AJ606" i="11"/>
  <c r="M606" i="11"/>
  <c r="AK606" i="11"/>
  <c r="N606" i="11"/>
  <c r="AL606" i="11"/>
  <c r="O606" i="11"/>
  <c r="AM606" i="11"/>
  <c r="P606" i="11"/>
  <c r="AN606" i="11"/>
  <c r="Q606" i="11"/>
  <c r="AO606" i="11"/>
  <c r="R606" i="11"/>
  <c r="AP606" i="11"/>
  <c r="S606" i="11"/>
  <c r="AQ606" i="11"/>
  <c r="T606" i="11"/>
  <c r="AR606" i="11"/>
  <c r="U606" i="11"/>
  <c r="AS606" i="11"/>
  <c r="V606" i="11"/>
  <c r="AT606" i="11"/>
  <c r="W606" i="11"/>
  <c r="AU606" i="11"/>
  <c r="X606" i="11"/>
  <c r="AV606" i="11"/>
  <c r="Y606" i="11"/>
  <c r="AW606" i="11"/>
  <c r="Z606" i="11"/>
  <c r="AC607" i="11"/>
  <c r="F607" i="11"/>
  <c r="AD607" i="11"/>
  <c r="G607" i="11"/>
  <c r="AE607" i="11"/>
  <c r="H607" i="11"/>
  <c r="AF607" i="11"/>
  <c r="I607" i="11"/>
  <c r="AG607" i="11"/>
  <c r="J607" i="11"/>
  <c r="AH607" i="11"/>
  <c r="K607" i="11"/>
  <c r="AI607" i="11"/>
  <c r="L607" i="11"/>
  <c r="AJ607" i="11"/>
  <c r="M607" i="11"/>
  <c r="AK607" i="11"/>
  <c r="N607" i="11"/>
  <c r="AL607" i="11"/>
  <c r="O607" i="11"/>
  <c r="AM607" i="11"/>
  <c r="P607" i="11"/>
  <c r="AN607" i="11"/>
  <c r="Q607" i="11"/>
  <c r="AO607" i="11"/>
  <c r="R607" i="11"/>
  <c r="AP607" i="11"/>
  <c r="S607" i="11"/>
  <c r="AQ607" i="11"/>
  <c r="T607" i="11"/>
  <c r="AR607" i="11"/>
  <c r="U607" i="11"/>
  <c r="AS607" i="11"/>
  <c r="V607" i="11"/>
  <c r="AT607" i="11"/>
  <c r="W607" i="11"/>
  <c r="AU607" i="11"/>
  <c r="X607" i="11"/>
  <c r="AV607" i="11"/>
  <c r="Y607" i="11"/>
  <c r="AW607" i="11"/>
  <c r="Z607" i="11"/>
  <c r="AC608" i="11"/>
  <c r="F608" i="11"/>
  <c r="AD608" i="11"/>
  <c r="G608" i="11"/>
  <c r="AE608" i="11"/>
  <c r="H608" i="11"/>
  <c r="AF608" i="11"/>
  <c r="I608" i="11"/>
  <c r="AG608" i="11"/>
  <c r="J608" i="11"/>
  <c r="AH608" i="11"/>
  <c r="K608" i="11"/>
  <c r="AI608" i="11"/>
  <c r="L608" i="11"/>
  <c r="AJ608" i="11"/>
  <c r="M608" i="11"/>
  <c r="AK608" i="11"/>
  <c r="N608" i="11"/>
  <c r="AL608" i="11"/>
  <c r="O608" i="11"/>
  <c r="AM608" i="11"/>
  <c r="P608" i="11"/>
  <c r="AN608" i="11"/>
  <c r="Q608" i="11"/>
  <c r="AO608" i="11"/>
  <c r="R608" i="11"/>
  <c r="AP608" i="11"/>
  <c r="S608" i="11"/>
  <c r="AQ608" i="11"/>
  <c r="T608" i="11"/>
  <c r="AR608" i="11"/>
  <c r="U608" i="11"/>
  <c r="AS608" i="11"/>
  <c r="V608" i="11"/>
  <c r="AT608" i="11"/>
  <c r="W608" i="11"/>
  <c r="AU608" i="11"/>
  <c r="X608" i="11"/>
  <c r="AV608" i="11"/>
  <c r="Y608" i="11"/>
  <c r="AW608" i="11"/>
  <c r="Z608" i="11"/>
  <c r="AC609" i="11"/>
  <c r="F609" i="11"/>
  <c r="AD609" i="11"/>
  <c r="G609" i="11"/>
  <c r="AE609" i="11"/>
  <c r="H609" i="11"/>
  <c r="AF609" i="11"/>
  <c r="I609" i="11"/>
  <c r="AG609" i="11"/>
  <c r="J609" i="11"/>
  <c r="AH609" i="11"/>
  <c r="K609" i="11"/>
  <c r="AI609" i="11"/>
  <c r="L609" i="11"/>
  <c r="AJ609" i="11"/>
  <c r="M609" i="11"/>
  <c r="AK609" i="11"/>
  <c r="N609" i="11"/>
  <c r="AL609" i="11"/>
  <c r="O609" i="11"/>
  <c r="AM609" i="11"/>
  <c r="P609" i="11"/>
  <c r="AN609" i="11"/>
  <c r="Q609" i="11"/>
  <c r="AO609" i="11"/>
  <c r="R609" i="11"/>
  <c r="AP609" i="11"/>
  <c r="S609" i="11"/>
  <c r="AQ609" i="11"/>
  <c r="T609" i="11"/>
  <c r="AR609" i="11"/>
  <c r="U609" i="11"/>
  <c r="AS609" i="11"/>
  <c r="V609" i="11"/>
  <c r="AT609" i="11"/>
  <c r="W609" i="11"/>
  <c r="AU609" i="11"/>
  <c r="X609" i="11"/>
  <c r="AV609" i="11"/>
  <c r="Y609" i="11"/>
  <c r="AW609" i="11"/>
  <c r="Z609" i="11"/>
  <c r="AC610" i="11"/>
  <c r="F610" i="11"/>
  <c r="AD610" i="11"/>
  <c r="G610" i="11"/>
  <c r="AE610" i="11"/>
  <c r="H610" i="11"/>
  <c r="AF610" i="11"/>
  <c r="I610" i="11"/>
  <c r="AG610" i="11"/>
  <c r="J610" i="11"/>
  <c r="AH610" i="11"/>
  <c r="K610" i="11"/>
  <c r="AI610" i="11"/>
  <c r="L610" i="11"/>
  <c r="AJ610" i="11"/>
  <c r="M610" i="11"/>
  <c r="AK610" i="11"/>
  <c r="N610" i="11"/>
  <c r="AL610" i="11"/>
  <c r="O610" i="11"/>
  <c r="AM610" i="11"/>
  <c r="P610" i="11"/>
  <c r="AN610" i="11"/>
  <c r="Q610" i="11"/>
  <c r="AO610" i="11"/>
  <c r="R610" i="11"/>
  <c r="AP610" i="11"/>
  <c r="S610" i="11"/>
  <c r="AQ610" i="11"/>
  <c r="T610" i="11"/>
  <c r="AR610" i="11"/>
  <c r="U610" i="11"/>
  <c r="AS610" i="11"/>
  <c r="V610" i="11"/>
  <c r="AT610" i="11"/>
  <c r="W610" i="11"/>
  <c r="AU610" i="11"/>
  <c r="X610" i="11"/>
  <c r="AV610" i="11"/>
  <c r="Y610" i="11"/>
  <c r="AW610" i="11"/>
  <c r="Z610" i="11"/>
  <c r="AC611" i="11"/>
  <c r="F611" i="11"/>
  <c r="AD611" i="11"/>
  <c r="G611" i="11"/>
  <c r="AE611" i="11"/>
  <c r="H611" i="11"/>
  <c r="AF611" i="11"/>
  <c r="I611" i="11"/>
  <c r="AG611" i="11"/>
  <c r="J611" i="11"/>
  <c r="AH611" i="11"/>
  <c r="K611" i="11"/>
  <c r="AI611" i="11"/>
  <c r="L611" i="11"/>
  <c r="AJ611" i="11"/>
  <c r="M611" i="11"/>
  <c r="AK611" i="11"/>
  <c r="N611" i="11"/>
  <c r="AL611" i="11"/>
  <c r="O611" i="11"/>
  <c r="AM611" i="11"/>
  <c r="P611" i="11"/>
  <c r="AN611" i="11"/>
  <c r="Q611" i="11"/>
  <c r="AO611" i="11"/>
  <c r="R611" i="11"/>
  <c r="AP611" i="11"/>
  <c r="S611" i="11"/>
  <c r="AQ611" i="11"/>
  <c r="T611" i="11"/>
  <c r="AR611" i="11"/>
  <c r="U611" i="11"/>
  <c r="AS611" i="11"/>
  <c r="V611" i="11"/>
  <c r="AT611" i="11"/>
  <c r="W611" i="11"/>
  <c r="AU611" i="11"/>
  <c r="X611" i="11"/>
  <c r="AV611" i="11"/>
  <c r="Y611" i="11"/>
  <c r="AW611" i="11"/>
  <c r="Z611" i="11"/>
  <c r="AC612" i="11"/>
  <c r="F612" i="11"/>
  <c r="AD612" i="11"/>
  <c r="G612" i="11"/>
  <c r="AE612" i="11"/>
  <c r="H612" i="11"/>
  <c r="AF612" i="11"/>
  <c r="I612" i="11"/>
  <c r="AG612" i="11"/>
  <c r="J612" i="11"/>
  <c r="AH612" i="11"/>
  <c r="K612" i="11"/>
  <c r="AI612" i="11"/>
  <c r="L612" i="11"/>
  <c r="AJ612" i="11"/>
  <c r="M612" i="11"/>
  <c r="AK612" i="11"/>
  <c r="N612" i="11"/>
  <c r="AL612" i="11"/>
  <c r="O612" i="11"/>
  <c r="AM612" i="11"/>
  <c r="P612" i="11"/>
  <c r="AN612" i="11"/>
  <c r="Q612" i="11"/>
  <c r="AO612" i="11"/>
  <c r="R612" i="11"/>
  <c r="AP612" i="11"/>
  <c r="S612" i="11"/>
  <c r="AQ612" i="11"/>
  <c r="T612" i="11"/>
  <c r="AR612" i="11"/>
  <c r="U612" i="11"/>
  <c r="AS612" i="11"/>
  <c r="V612" i="11"/>
  <c r="AT612" i="11"/>
  <c r="W612" i="11"/>
  <c r="AU612" i="11"/>
  <c r="X612" i="11"/>
  <c r="AV612" i="11"/>
  <c r="Y612" i="11"/>
  <c r="AW612" i="11"/>
  <c r="Z612" i="11"/>
  <c r="AC613" i="11"/>
  <c r="F613" i="11"/>
  <c r="AD613" i="11"/>
  <c r="G613" i="11"/>
  <c r="AE613" i="11"/>
  <c r="H613" i="11"/>
  <c r="AF613" i="11"/>
  <c r="I613" i="11"/>
  <c r="AG613" i="11"/>
  <c r="J613" i="11"/>
  <c r="AH613" i="11"/>
  <c r="K613" i="11"/>
  <c r="AI613" i="11"/>
  <c r="L613" i="11"/>
  <c r="AJ613" i="11"/>
  <c r="M613" i="11"/>
  <c r="AK613" i="11"/>
  <c r="N613" i="11"/>
  <c r="AL613" i="11"/>
  <c r="O613" i="11"/>
  <c r="AM613" i="11"/>
  <c r="P613" i="11"/>
  <c r="AN613" i="11"/>
  <c r="Q613" i="11"/>
  <c r="AO613" i="11"/>
  <c r="R613" i="11"/>
  <c r="AP613" i="11"/>
  <c r="S613" i="11"/>
  <c r="AQ613" i="11"/>
  <c r="T613" i="11"/>
  <c r="AR613" i="11"/>
  <c r="U613" i="11"/>
  <c r="AS613" i="11"/>
  <c r="V613" i="11"/>
  <c r="AT613" i="11"/>
  <c r="W613" i="11"/>
  <c r="AU613" i="11"/>
  <c r="X613" i="11"/>
  <c r="AV613" i="11"/>
  <c r="Y613" i="11"/>
  <c r="AW613" i="11"/>
  <c r="Z613" i="11"/>
  <c r="AC614" i="11"/>
  <c r="F614" i="11"/>
  <c r="AD614" i="11"/>
  <c r="G614" i="11"/>
  <c r="AE614" i="11"/>
  <c r="H614" i="11"/>
  <c r="AF614" i="11"/>
  <c r="I614" i="11"/>
  <c r="AG614" i="11"/>
  <c r="J614" i="11"/>
  <c r="AH614" i="11"/>
  <c r="K614" i="11"/>
  <c r="AI614" i="11"/>
  <c r="L614" i="11"/>
  <c r="AJ614" i="11"/>
  <c r="M614" i="11"/>
  <c r="AK614" i="11"/>
  <c r="N614" i="11"/>
  <c r="AL614" i="11"/>
  <c r="O614" i="11"/>
  <c r="AM614" i="11"/>
  <c r="P614" i="11"/>
  <c r="AN614" i="11"/>
  <c r="Q614" i="11"/>
  <c r="AO614" i="11"/>
  <c r="R614" i="11"/>
  <c r="AP614" i="11"/>
  <c r="S614" i="11"/>
  <c r="AQ614" i="11"/>
  <c r="T614" i="11"/>
  <c r="AR614" i="11"/>
  <c r="U614" i="11"/>
  <c r="AS614" i="11"/>
  <c r="V614" i="11"/>
  <c r="AT614" i="11"/>
  <c r="W614" i="11"/>
  <c r="AU614" i="11"/>
  <c r="X614" i="11"/>
  <c r="AV614" i="11"/>
  <c r="Y614" i="11"/>
  <c r="AW614" i="11"/>
  <c r="Z614" i="11"/>
  <c r="AC615" i="11"/>
  <c r="F615" i="11"/>
  <c r="AD615" i="11"/>
  <c r="G615" i="11"/>
  <c r="AE615" i="11"/>
  <c r="H615" i="11"/>
  <c r="AF615" i="11"/>
  <c r="I615" i="11"/>
  <c r="AG615" i="11"/>
  <c r="J615" i="11"/>
  <c r="AH615" i="11"/>
  <c r="K615" i="11"/>
  <c r="AI615" i="11"/>
  <c r="L615" i="11"/>
  <c r="AJ615" i="11"/>
  <c r="M615" i="11"/>
  <c r="AK615" i="11"/>
  <c r="N615" i="11"/>
  <c r="AL615" i="11"/>
  <c r="O615" i="11"/>
  <c r="AM615" i="11"/>
  <c r="P615" i="11"/>
  <c r="AN615" i="11"/>
  <c r="Q615" i="11"/>
  <c r="AO615" i="11"/>
  <c r="R615" i="11"/>
  <c r="AP615" i="11"/>
  <c r="S615" i="11"/>
  <c r="AQ615" i="11"/>
  <c r="T615" i="11"/>
  <c r="AR615" i="11"/>
  <c r="U615" i="11"/>
  <c r="AS615" i="11"/>
  <c r="V615" i="11"/>
  <c r="AT615" i="11"/>
  <c r="W615" i="11"/>
  <c r="AU615" i="11"/>
  <c r="X615" i="11"/>
  <c r="AV615" i="11"/>
  <c r="Y615" i="11"/>
  <c r="AW615" i="11"/>
  <c r="Z615" i="11"/>
  <c r="AC616" i="11"/>
  <c r="F616" i="11"/>
  <c r="AD616" i="11"/>
  <c r="G616" i="11"/>
  <c r="AE616" i="11"/>
  <c r="H616" i="11"/>
  <c r="AF616" i="11"/>
  <c r="I616" i="11"/>
  <c r="AG616" i="11"/>
  <c r="J616" i="11"/>
  <c r="AH616" i="11"/>
  <c r="K616" i="11"/>
  <c r="AI616" i="11"/>
  <c r="L616" i="11"/>
  <c r="AJ616" i="11"/>
  <c r="M616" i="11"/>
  <c r="AK616" i="11"/>
  <c r="N616" i="11"/>
  <c r="AL616" i="11"/>
  <c r="O616" i="11"/>
  <c r="AM616" i="11"/>
  <c r="P616" i="11"/>
  <c r="AN616" i="11"/>
  <c r="Q616" i="11"/>
  <c r="AO616" i="11"/>
  <c r="R616" i="11"/>
  <c r="AP616" i="11"/>
  <c r="S616" i="11"/>
  <c r="AQ616" i="11"/>
  <c r="T616" i="11"/>
  <c r="AR616" i="11"/>
  <c r="U616" i="11"/>
  <c r="AS616" i="11"/>
  <c r="V616" i="11"/>
  <c r="AT616" i="11"/>
  <c r="W616" i="11"/>
  <c r="AU616" i="11"/>
  <c r="X616" i="11"/>
  <c r="AV616" i="11"/>
  <c r="Y616" i="11"/>
  <c r="AW616" i="11"/>
  <c r="Z616" i="11"/>
  <c r="AC617" i="11"/>
  <c r="F617" i="11"/>
  <c r="AD617" i="11"/>
  <c r="G617" i="11"/>
  <c r="AE617" i="11"/>
  <c r="H617" i="11"/>
  <c r="AF617" i="11"/>
  <c r="I617" i="11"/>
  <c r="AG617" i="11"/>
  <c r="J617" i="11"/>
  <c r="AH617" i="11"/>
  <c r="K617" i="11"/>
  <c r="AI617" i="11"/>
  <c r="L617" i="11"/>
  <c r="AJ617" i="11"/>
  <c r="M617" i="11"/>
  <c r="AK617" i="11"/>
  <c r="N617" i="11"/>
  <c r="AL617" i="11"/>
  <c r="O617" i="11"/>
  <c r="AM617" i="11"/>
  <c r="P617" i="11"/>
  <c r="AN617" i="11"/>
  <c r="Q617" i="11"/>
  <c r="AO617" i="11"/>
  <c r="R617" i="11"/>
  <c r="AP617" i="11"/>
  <c r="S617" i="11"/>
  <c r="AQ617" i="11"/>
  <c r="T617" i="11"/>
  <c r="AR617" i="11"/>
  <c r="U617" i="11"/>
  <c r="AS617" i="11"/>
  <c r="V617" i="11"/>
  <c r="AT617" i="11"/>
  <c r="W617" i="11"/>
  <c r="AU617" i="11"/>
  <c r="X617" i="11"/>
  <c r="AV617" i="11"/>
  <c r="Y617" i="11"/>
  <c r="AW617" i="11"/>
  <c r="Z617" i="11"/>
  <c r="AC618" i="11"/>
  <c r="F618" i="11"/>
  <c r="AD618" i="11"/>
  <c r="G618" i="11"/>
  <c r="AE618" i="11"/>
  <c r="H618" i="11"/>
  <c r="AF618" i="11"/>
  <c r="I618" i="11"/>
  <c r="AG618" i="11"/>
  <c r="J618" i="11"/>
  <c r="AH618" i="11"/>
  <c r="K618" i="11"/>
  <c r="AI618" i="11"/>
  <c r="L618" i="11"/>
  <c r="AJ618" i="11"/>
  <c r="M618" i="11"/>
  <c r="AK618" i="11"/>
  <c r="N618" i="11"/>
  <c r="AL618" i="11"/>
  <c r="O618" i="11"/>
  <c r="AM618" i="11"/>
  <c r="P618" i="11"/>
  <c r="AN618" i="11"/>
  <c r="Q618" i="11"/>
  <c r="AO618" i="11"/>
  <c r="R618" i="11"/>
  <c r="AP618" i="11"/>
  <c r="S618" i="11"/>
  <c r="AQ618" i="11"/>
  <c r="T618" i="11"/>
  <c r="AR618" i="11"/>
  <c r="U618" i="11"/>
  <c r="AS618" i="11"/>
  <c r="V618" i="11"/>
  <c r="AT618" i="11"/>
  <c r="W618" i="11"/>
  <c r="AU618" i="11"/>
  <c r="X618" i="11"/>
  <c r="AV618" i="11"/>
  <c r="Y618" i="11"/>
  <c r="AW618" i="11"/>
  <c r="Z618" i="11"/>
  <c r="AC619" i="11"/>
  <c r="F619" i="11"/>
  <c r="AD619" i="11"/>
  <c r="G619" i="11"/>
  <c r="AE619" i="11"/>
  <c r="H619" i="11"/>
  <c r="AF619" i="11"/>
  <c r="I619" i="11"/>
  <c r="AG619" i="11"/>
  <c r="J619" i="11"/>
  <c r="AH619" i="11"/>
  <c r="K619" i="11"/>
  <c r="AI619" i="11"/>
  <c r="L619" i="11"/>
  <c r="AJ619" i="11"/>
  <c r="M619" i="11"/>
  <c r="AK619" i="11"/>
  <c r="N619" i="11"/>
  <c r="AL619" i="11"/>
  <c r="O619" i="11"/>
  <c r="AM619" i="11"/>
  <c r="P619" i="11"/>
  <c r="AN619" i="11"/>
  <c r="Q619" i="11"/>
  <c r="AO619" i="11"/>
  <c r="R619" i="11"/>
  <c r="AP619" i="11"/>
  <c r="S619" i="11"/>
  <c r="AQ619" i="11"/>
  <c r="T619" i="11"/>
  <c r="AR619" i="11"/>
  <c r="U619" i="11"/>
  <c r="AS619" i="11"/>
  <c r="V619" i="11"/>
  <c r="AT619" i="11"/>
  <c r="W619" i="11"/>
  <c r="AU619" i="11"/>
  <c r="X619" i="11"/>
  <c r="AV619" i="11"/>
  <c r="Y619" i="11"/>
  <c r="AW619" i="11"/>
  <c r="Z619" i="11"/>
  <c r="AC620" i="11"/>
  <c r="F620" i="11"/>
  <c r="AD620" i="11"/>
  <c r="G620" i="11"/>
  <c r="AE620" i="11"/>
  <c r="H620" i="11"/>
  <c r="AF620" i="11"/>
  <c r="I620" i="11"/>
  <c r="AG620" i="11"/>
  <c r="J620" i="11"/>
  <c r="AH620" i="11"/>
  <c r="K620" i="11"/>
  <c r="AI620" i="11"/>
  <c r="L620" i="11"/>
  <c r="AJ620" i="11"/>
  <c r="M620" i="11"/>
  <c r="AK620" i="11"/>
  <c r="N620" i="11"/>
  <c r="AL620" i="11"/>
  <c r="O620" i="11"/>
  <c r="AM620" i="11"/>
  <c r="P620" i="11"/>
  <c r="AN620" i="11"/>
  <c r="Q620" i="11"/>
  <c r="AO620" i="11"/>
  <c r="R620" i="11"/>
  <c r="AP620" i="11"/>
  <c r="S620" i="11"/>
  <c r="AQ620" i="11"/>
  <c r="T620" i="11"/>
  <c r="AR620" i="11"/>
  <c r="U620" i="11"/>
  <c r="AS620" i="11"/>
  <c r="V620" i="11"/>
  <c r="AT620" i="11"/>
  <c r="W620" i="11"/>
  <c r="AU620" i="11"/>
  <c r="X620" i="11"/>
  <c r="AV620" i="11"/>
  <c r="Y620" i="11"/>
  <c r="AW620" i="11"/>
  <c r="Z620" i="11"/>
  <c r="AC621" i="11"/>
  <c r="F621" i="11"/>
  <c r="AD621" i="11"/>
  <c r="G621" i="11"/>
  <c r="AE621" i="11"/>
  <c r="H621" i="11"/>
  <c r="AF621" i="11"/>
  <c r="I621" i="11"/>
  <c r="AG621" i="11"/>
  <c r="J621" i="11"/>
  <c r="AH621" i="11"/>
  <c r="K621" i="11"/>
  <c r="AI621" i="11"/>
  <c r="L621" i="11"/>
  <c r="AJ621" i="11"/>
  <c r="M621" i="11"/>
  <c r="AK621" i="11"/>
  <c r="N621" i="11"/>
  <c r="AL621" i="11"/>
  <c r="O621" i="11"/>
  <c r="AM621" i="11"/>
  <c r="P621" i="11"/>
  <c r="AN621" i="11"/>
  <c r="Q621" i="11"/>
  <c r="AO621" i="11"/>
  <c r="R621" i="11"/>
  <c r="AP621" i="11"/>
  <c r="S621" i="11"/>
  <c r="AQ621" i="11"/>
  <c r="T621" i="11"/>
  <c r="AR621" i="11"/>
  <c r="U621" i="11"/>
  <c r="AS621" i="11"/>
  <c r="V621" i="11"/>
  <c r="AT621" i="11"/>
  <c r="W621" i="11"/>
  <c r="AU621" i="11"/>
  <c r="X621" i="11"/>
  <c r="AV621" i="11"/>
  <c r="Y621" i="11"/>
  <c r="AW621" i="11"/>
  <c r="Z621" i="11"/>
  <c r="AC622" i="11"/>
  <c r="F622" i="11"/>
  <c r="AD622" i="11"/>
  <c r="G622" i="11"/>
  <c r="AE622" i="11"/>
  <c r="H622" i="11"/>
  <c r="AF622" i="11"/>
  <c r="I622" i="11"/>
  <c r="AG622" i="11"/>
  <c r="J622" i="11"/>
  <c r="AH622" i="11"/>
  <c r="K622" i="11"/>
  <c r="AI622" i="11"/>
  <c r="L622" i="11"/>
  <c r="AJ622" i="11"/>
  <c r="M622" i="11"/>
  <c r="AK622" i="11"/>
  <c r="N622" i="11"/>
  <c r="AL622" i="11"/>
  <c r="O622" i="11"/>
  <c r="AM622" i="11"/>
  <c r="P622" i="11"/>
  <c r="AN622" i="11"/>
  <c r="Q622" i="11"/>
  <c r="AO622" i="11"/>
  <c r="R622" i="11"/>
  <c r="AP622" i="11"/>
  <c r="S622" i="11"/>
  <c r="AQ622" i="11"/>
  <c r="T622" i="11"/>
  <c r="AR622" i="11"/>
  <c r="U622" i="11"/>
  <c r="AS622" i="11"/>
  <c r="V622" i="11"/>
  <c r="AT622" i="11"/>
  <c r="W622" i="11"/>
  <c r="AU622" i="11"/>
  <c r="X622" i="11"/>
  <c r="AV622" i="11"/>
  <c r="Y622" i="11"/>
  <c r="AW622" i="11"/>
  <c r="Z622" i="11"/>
  <c r="AC623" i="11"/>
  <c r="F623" i="11"/>
  <c r="AD623" i="11"/>
  <c r="G623" i="11"/>
  <c r="AE623" i="11"/>
  <c r="H623" i="11"/>
  <c r="AF623" i="11"/>
  <c r="I623" i="11"/>
  <c r="AG623" i="11"/>
  <c r="J623" i="11"/>
  <c r="AH623" i="11"/>
  <c r="K623" i="11"/>
  <c r="AI623" i="11"/>
  <c r="L623" i="11"/>
  <c r="AJ623" i="11"/>
  <c r="M623" i="11"/>
  <c r="AK623" i="11"/>
  <c r="N623" i="11"/>
  <c r="AL623" i="11"/>
  <c r="O623" i="11"/>
  <c r="AM623" i="11"/>
  <c r="P623" i="11"/>
  <c r="AN623" i="11"/>
  <c r="Q623" i="11"/>
  <c r="AO623" i="11"/>
  <c r="R623" i="11"/>
  <c r="AP623" i="11"/>
  <c r="S623" i="11"/>
  <c r="AQ623" i="11"/>
  <c r="T623" i="11"/>
  <c r="AR623" i="11"/>
  <c r="U623" i="11"/>
  <c r="AS623" i="11"/>
  <c r="V623" i="11"/>
  <c r="AT623" i="11"/>
  <c r="W623" i="11"/>
  <c r="AU623" i="11"/>
  <c r="X623" i="11"/>
  <c r="AV623" i="11"/>
  <c r="Y623" i="11"/>
  <c r="AW623" i="11"/>
  <c r="Z623" i="11"/>
  <c r="AC624" i="11"/>
  <c r="F624" i="11"/>
  <c r="AD624" i="11"/>
  <c r="G624" i="11"/>
  <c r="AE624" i="11"/>
  <c r="H624" i="11"/>
  <c r="AF624" i="11"/>
  <c r="I624" i="11"/>
  <c r="AG624" i="11"/>
  <c r="J624" i="11"/>
  <c r="AH624" i="11"/>
  <c r="K624" i="11"/>
  <c r="AI624" i="11"/>
  <c r="L624" i="11"/>
  <c r="AJ624" i="11"/>
  <c r="M624" i="11"/>
  <c r="AK624" i="11"/>
  <c r="N624" i="11"/>
  <c r="AL624" i="11"/>
  <c r="O624" i="11"/>
  <c r="AM624" i="11"/>
  <c r="P624" i="11"/>
  <c r="AN624" i="11"/>
  <c r="Q624" i="11"/>
  <c r="AO624" i="11"/>
  <c r="R624" i="11"/>
  <c r="AP624" i="11"/>
  <c r="S624" i="11"/>
  <c r="AQ624" i="11"/>
  <c r="T624" i="11"/>
  <c r="AR624" i="11"/>
  <c r="U624" i="11"/>
  <c r="AS624" i="11"/>
  <c r="V624" i="11"/>
  <c r="AT624" i="11"/>
  <c r="W624" i="11"/>
  <c r="AU624" i="11"/>
  <c r="X624" i="11"/>
  <c r="AV624" i="11"/>
  <c r="Y624" i="11"/>
  <c r="AW624" i="11"/>
  <c r="Z624" i="11"/>
  <c r="AC625" i="11"/>
  <c r="F625" i="11"/>
  <c r="AD625" i="11"/>
  <c r="G625" i="11"/>
  <c r="AE625" i="11"/>
  <c r="H625" i="11"/>
  <c r="AF625" i="11"/>
  <c r="I625" i="11"/>
  <c r="AG625" i="11"/>
  <c r="J625" i="11"/>
  <c r="AH625" i="11"/>
  <c r="K625" i="11"/>
  <c r="AI625" i="11"/>
  <c r="L625" i="11"/>
  <c r="AJ625" i="11"/>
  <c r="M625" i="11"/>
  <c r="AK625" i="11"/>
  <c r="N625" i="11"/>
  <c r="AL625" i="11"/>
  <c r="O625" i="11"/>
  <c r="AM625" i="11"/>
  <c r="P625" i="11"/>
  <c r="AN625" i="11"/>
  <c r="Q625" i="11"/>
  <c r="AO625" i="11"/>
  <c r="R625" i="11"/>
  <c r="AP625" i="11"/>
  <c r="S625" i="11"/>
  <c r="AQ625" i="11"/>
  <c r="T625" i="11"/>
  <c r="AR625" i="11"/>
  <c r="U625" i="11"/>
  <c r="AS625" i="11"/>
  <c r="V625" i="11"/>
  <c r="AT625" i="11"/>
  <c r="W625" i="11"/>
  <c r="AU625" i="11"/>
  <c r="X625" i="11"/>
  <c r="AV625" i="11"/>
  <c r="Y625" i="11"/>
  <c r="AW625" i="11"/>
  <c r="Z625" i="11"/>
  <c r="AC626" i="11"/>
  <c r="F626" i="11"/>
  <c r="AD626" i="11"/>
  <c r="G626" i="11"/>
  <c r="AE626" i="11"/>
  <c r="H626" i="11"/>
  <c r="AF626" i="11"/>
  <c r="I626" i="11"/>
  <c r="AG626" i="11"/>
  <c r="J626" i="11"/>
  <c r="AH626" i="11"/>
  <c r="K626" i="11"/>
  <c r="AI626" i="11"/>
  <c r="L626" i="11"/>
  <c r="AJ626" i="11"/>
  <c r="M626" i="11"/>
  <c r="AK626" i="11"/>
  <c r="N626" i="11"/>
  <c r="AL626" i="11"/>
  <c r="O626" i="11"/>
  <c r="AM626" i="11"/>
  <c r="P626" i="11"/>
  <c r="AN626" i="11"/>
  <c r="Q626" i="11"/>
  <c r="AO626" i="11"/>
  <c r="R626" i="11"/>
  <c r="AP626" i="11"/>
  <c r="S626" i="11"/>
  <c r="AQ626" i="11"/>
  <c r="T626" i="11"/>
  <c r="AR626" i="11"/>
  <c r="U626" i="11"/>
  <c r="AS626" i="11"/>
  <c r="V626" i="11"/>
  <c r="AT626" i="11"/>
  <c r="W626" i="11"/>
  <c r="AU626" i="11"/>
  <c r="X626" i="11"/>
  <c r="AV626" i="11"/>
  <c r="Y626" i="11"/>
  <c r="AW626" i="11"/>
  <c r="Z626" i="11"/>
  <c r="AC627" i="11"/>
  <c r="F627" i="11"/>
  <c r="AD627" i="11"/>
  <c r="G627" i="11"/>
  <c r="AE627" i="11"/>
  <c r="H627" i="11"/>
  <c r="AF627" i="11"/>
  <c r="I627" i="11"/>
  <c r="AG627" i="11"/>
  <c r="J627" i="11"/>
  <c r="AH627" i="11"/>
  <c r="K627" i="11"/>
  <c r="AI627" i="11"/>
  <c r="L627" i="11"/>
  <c r="AJ627" i="11"/>
  <c r="M627" i="11"/>
  <c r="AK627" i="11"/>
  <c r="N627" i="11"/>
  <c r="AL627" i="11"/>
  <c r="O627" i="11"/>
  <c r="AM627" i="11"/>
  <c r="P627" i="11"/>
  <c r="AN627" i="11"/>
  <c r="Q627" i="11"/>
  <c r="AO627" i="11"/>
  <c r="R627" i="11"/>
  <c r="AP627" i="11"/>
  <c r="S627" i="11"/>
  <c r="AQ627" i="11"/>
  <c r="T627" i="11"/>
  <c r="AR627" i="11"/>
  <c r="U627" i="11"/>
  <c r="AS627" i="11"/>
  <c r="V627" i="11"/>
  <c r="AT627" i="11"/>
  <c r="W627" i="11"/>
  <c r="AU627" i="11"/>
  <c r="X627" i="11"/>
  <c r="AV627" i="11"/>
  <c r="Y627" i="11"/>
  <c r="AW627" i="11"/>
  <c r="Z627" i="11"/>
  <c r="AC628" i="11"/>
  <c r="F628" i="11"/>
  <c r="AD628" i="11"/>
  <c r="G628" i="11"/>
  <c r="AE628" i="11"/>
  <c r="H628" i="11"/>
  <c r="AF628" i="11"/>
  <c r="I628" i="11"/>
  <c r="AG628" i="11"/>
  <c r="J628" i="11"/>
  <c r="AH628" i="11"/>
  <c r="K628" i="11"/>
  <c r="AI628" i="11"/>
  <c r="L628" i="11"/>
  <c r="AJ628" i="11"/>
  <c r="M628" i="11"/>
  <c r="AK628" i="11"/>
  <c r="N628" i="11"/>
  <c r="AL628" i="11"/>
  <c r="O628" i="11"/>
  <c r="AM628" i="11"/>
  <c r="P628" i="11"/>
  <c r="AN628" i="11"/>
  <c r="Q628" i="11"/>
  <c r="AO628" i="11"/>
  <c r="R628" i="11"/>
  <c r="AP628" i="11"/>
  <c r="S628" i="11"/>
  <c r="AQ628" i="11"/>
  <c r="T628" i="11"/>
  <c r="AR628" i="11"/>
  <c r="U628" i="11"/>
  <c r="AS628" i="11"/>
  <c r="V628" i="11"/>
  <c r="AT628" i="11"/>
  <c r="W628" i="11"/>
  <c r="AU628" i="11"/>
  <c r="X628" i="11"/>
  <c r="AV628" i="11"/>
  <c r="Y628" i="11"/>
  <c r="AW628" i="11"/>
  <c r="Z628" i="11"/>
  <c r="AC629" i="11"/>
  <c r="F629" i="11"/>
  <c r="AD629" i="11"/>
  <c r="G629" i="11"/>
  <c r="AE629" i="11"/>
  <c r="H629" i="11"/>
  <c r="AF629" i="11"/>
  <c r="I629" i="11"/>
  <c r="AG629" i="11"/>
  <c r="J629" i="11"/>
  <c r="AH629" i="11"/>
  <c r="K629" i="11"/>
  <c r="AI629" i="11"/>
  <c r="L629" i="11"/>
  <c r="AJ629" i="11"/>
  <c r="M629" i="11"/>
  <c r="AK629" i="11"/>
  <c r="N629" i="11"/>
  <c r="AL629" i="11"/>
  <c r="O629" i="11"/>
  <c r="AM629" i="11"/>
  <c r="P629" i="11"/>
  <c r="AN629" i="11"/>
  <c r="Q629" i="11"/>
  <c r="AO629" i="11"/>
  <c r="R629" i="11"/>
  <c r="AP629" i="11"/>
  <c r="S629" i="11"/>
  <c r="AQ629" i="11"/>
  <c r="T629" i="11"/>
  <c r="AR629" i="11"/>
  <c r="U629" i="11"/>
  <c r="AS629" i="11"/>
  <c r="V629" i="11"/>
  <c r="AT629" i="11"/>
  <c r="W629" i="11"/>
  <c r="AU629" i="11"/>
  <c r="X629" i="11"/>
  <c r="AV629" i="11"/>
  <c r="Y629" i="11"/>
  <c r="AW629" i="11"/>
  <c r="Z629" i="11"/>
  <c r="AC630" i="11"/>
  <c r="F630" i="11"/>
  <c r="AD630" i="11"/>
  <c r="G630" i="11"/>
  <c r="AE630" i="11"/>
  <c r="H630" i="11"/>
  <c r="AF630" i="11"/>
  <c r="I630" i="11"/>
  <c r="AG630" i="11"/>
  <c r="J630" i="11"/>
  <c r="AH630" i="11"/>
  <c r="K630" i="11"/>
  <c r="AI630" i="11"/>
  <c r="L630" i="11"/>
  <c r="AJ630" i="11"/>
  <c r="M630" i="11"/>
  <c r="AK630" i="11"/>
  <c r="N630" i="11"/>
  <c r="AL630" i="11"/>
  <c r="O630" i="11"/>
  <c r="AM630" i="11"/>
  <c r="P630" i="11"/>
  <c r="AN630" i="11"/>
  <c r="Q630" i="11"/>
  <c r="AO630" i="11"/>
  <c r="R630" i="11"/>
  <c r="AP630" i="11"/>
  <c r="S630" i="11"/>
  <c r="AQ630" i="11"/>
  <c r="T630" i="11"/>
  <c r="AR630" i="11"/>
  <c r="U630" i="11"/>
  <c r="AS630" i="11"/>
  <c r="V630" i="11"/>
  <c r="AT630" i="11"/>
  <c r="W630" i="11"/>
  <c r="AU630" i="11"/>
  <c r="X630" i="11"/>
  <c r="AV630" i="11"/>
  <c r="Y630" i="11"/>
  <c r="AW630" i="11"/>
  <c r="Z630" i="11"/>
  <c r="AC631" i="11"/>
  <c r="F631" i="11"/>
  <c r="AD631" i="11"/>
  <c r="G631" i="11"/>
  <c r="AE631" i="11"/>
  <c r="H631" i="11"/>
  <c r="AF631" i="11"/>
  <c r="I631" i="11"/>
  <c r="AG631" i="11"/>
  <c r="J631" i="11"/>
  <c r="AH631" i="11"/>
  <c r="K631" i="11"/>
  <c r="AI631" i="11"/>
  <c r="L631" i="11"/>
  <c r="AJ631" i="11"/>
  <c r="M631" i="11"/>
  <c r="AK631" i="11"/>
  <c r="N631" i="11"/>
  <c r="AL631" i="11"/>
  <c r="O631" i="11"/>
  <c r="AM631" i="11"/>
  <c r="P631" i="11"/>
  <c r="AN631" i="11"/>
  <c r="Q631" i="11"/>
  <c r="AO631" i="11"/>
  <c r="R631" i="11"/>
  <c r="AP631" i="11"/>
  <c r="S631" i="11"/>
  <c r="AQ631" i="11"/>
  <c r="T631" i="11"/>
  <c r="AR631" i="11"/>
  <c r="U631" i="11"/>
  <c r="AS631" i="11"/>
  <c r="V631" i="11"/>
  <c r="AT631" i="11"/>
  <c r="W631" i="11"/>
  <c r="AU631" i="11"/>
  <c r="X631" i="11"/>
  <c r="AV631" i="11"/>
  <c r="Y631" i="11"/>
  <c r="AW631" i="11"/>
  <c r="Z631" i="11"/>
  <c r="AC632" i="11"/>
  <c r="F632" i="11"/>
  <c r="AD632" i="11"/>
  <c r="G632" i="11"/>
  <c r="AE632" i="11"/>
  <c r="H632" i="11"/>
  <c r="AF632" i="11"/>
  <c r="I632" i="11"/>
  <c r="AG632" i="11"/>
  <c r="J632" i="11"/>
  <c r="AH632" i="11"/>
  <c r="K632" i="11"/>
  <c r="AI632" i="11"/>
  <c r="L632" i="11"/>
  <c r="AJ632" i="11"/>
  <c r="M632" i="11"/>
  <c r="AK632" i="11"/>
  <c r="N632" i="11"/>
  <c r="AL632" i="11"/>
  <c r="O632" i="11"/>
  <c r="AM632" i="11"/>
  <c r="P632" i="11"/>
  <c r="AN632" i="11"/>
  <c r="Q632" i="11"/>
  <c r="AO632" i="11"/>
  <c r="R632" i="11"/>
  <c r="AP632" i="11"/>
  <c r="S632" i="11"/>
  <c r="AQ632" i="11"/>
  <c r="T632" i="11"/>
  <c r="AR632" i="11"/>
  <c r="U632" i="11"/>
  <c r="AS632" i="11"/>
  <c r="V632" i="11"/>
  <c r="AT632" i="11"/>
  <c r="W632" i="11"/>
  <c r="AU632" i="11"/>
  <c r="X632" i="11"/>
  <c r="AV632" i="11"/>
  <c r="Y632" i="11"/>
  <c r="AW632" i="11"/>
  <c r="Z632" i="11"/>
  <c r="AC633" i="11"/>
  <c r="F633" i="11"/>
  <c r="AD633" i="11"/>
  <c r="G633" i="11"/>
  <c r="AE633" i="11"/>
  <c r="H633" i="11"/>
  <c r="AF633" i="11"/>
  <c r="I633" i="11"/>
  <c r="AG633" i="11"/>
  <c r="J633" i="11"/>
  <c r="AH633" i="11"/>
  <c r="K633" i="11"/>
  <c r="AI633" i="11"/>
  <c r="L633" i="11"/>
  <c r="AJ633" i="11"/>
  <c r="M633" i="11"/>
  <c r="AK633" i="11"/>
  <c r="N633" i="11"/>
  <c r="AL633" i="11"/>
  <c r="O633" i="11"/>
  <c r="AM633" i="11"/>
  <c r="P633" i="11"/>
  <c r="AN633" i="11"/>
  <c r="Q633" i="11"/>
  <c r="AO633" i="11"/>
  <c r="R633" i="11"/>
  <c r="AP633" i="11"/>
  <c r="S633" i="11"/>
  <c r="AQ633" i="11"/>
  <c r="T633" i="11"/>
  <c r="AR633" i="11"/>
  <c r="U633" i="11"/>
  <c r="AS633" i="11"/>
  <c r="V633" i="11"/>
  <c r="AT633" i="11"/>
  <c r="W633" i="11"/>
  <c r="AU633" i="11"/>
  <c r="X633" i="11"/>
  <c r="AV633" i="11"/>
  <c r="Y633" i="11"/>
  <c r="AW633" i="11"/>
  <c r="Z633" i="11"/>
  <c r="AC634" i="11"/>
  <c r="F634" i="11"/>
  <c r="AD634" i="11"/>
  <c r="G634" i="11"/>
  <c r="AE634" i="11"/>
  <c r="H634" i="11"/>
  <c r="AF634" i="11"/>
  <c r="I634" i="11"/>
  <c r="AG634" i="11"/>
  <c r="J634" i="11"/>
  <c r="AH634" i="11"/>
  <c r="K634" i="11"/>
  <c r="AI634" i="11"/>
  <c r="L634" i="11"/>
  <c r="AJ634" i="11"/>
  <c r="M634" i="11"/>
  <c r="AK634" i="11"/>
  <c r="N634" i="11"/>
  <c r="AL634" i="11"/>
  <c r="O634" i="11"/>
  <c r="AM634" i="11"/>
  <c r="P634" i="11"/>
  <c r="AN634" i="11"/>
  <c r="Q634" i="11"/>
  <c r="AO634" i="11"/>
  <c r="R634" i="11"/>
  <c r="AP634" i="11"/>
  <c r="S634" i="11"/>
  <c r="AQ634" i="11"/>
  <c r="T634" i="11"/>
  <c r="AR634" i="11"/>
  <c r="U634" i="11"/>
  <c r="AS634" i="11"/>
  <c r="V634" i="11"/>
  <c r="AT634" i="11"/>
  <c r="W634" i="11"/>
  <c r="AU634" i="11"/>
  <c r="X634" i="11"/>
  <c r="AV634" i="11"/>
  <c r="Y634" i="11"/>
  <c r="AW634" i="11"/>
  <c r="Z634" i="11"/>
  <c r="AC635" i="11"/>
  <c r="F635" i="11"/>
  <c r="AD635" i="11"/>
  <c r="G635" i="11"/>
  <c r="AE635" i="11"/>
  <c r="H635" i="11"/>
  <c r="AF635" i="11"/>
  <c r="I635" i="11"/>
  <c r="AG635" i="11"/>
  <c r="J635" i="11"/>
  <c r="AH635" i="11"/>
  <c r="K635" i="11"/>
  <c r="AI635" i="11"/>
  <c r="L635" i="11"/>
  <c r="AJ635" i="11"/>
  <c r="M635" i="11"/>
  <c r="AK635" i="11"/>
  <c r="N635" i="11"/>
  <c r="AL635" i="11"/>
  <c r="O635" i="11"/>
  <c r="AM635" i="11"/>
  <c r="P635" i="11"/>
  <c r="AN635" i="11"/>
  <c r="Q635" i="11"/>
  <c r="AO635" i="11"/>
  <c r="R635" i="11"/>
  <c r="AP635" i="11"/>
  <c r="S635" i="11"/>
  <c r="AQ635" i="11"/>
  <c r="T635" i="11"/>
  <c r="AR635" i="11"/>
  <c r="U635" i="11"/>
  <c r="AS635" i="11"/>
  <c r="V635" i="11"/>
  <c r="AT635" i="11"/>
  <c r="W635" i="11"/>
  <c r="AU635" i="11"/>
  <c r="X635" i="11"/>
  <c r="AV635" i="11"/>
  <c r="Y635" i="11"/>
  <c r="AW635" i="11"/>
  <c r="Z635" i="11"/>
  <c r="AC636" i="11"/>
  <c r="F636" i="11"/>
  <c r="AD636" i="11"/>
  <c r="G636" i="11"/>
  <c r="AE636" i="11"/>
  <c r="H636" i="11"/>
  <c r="AF636" i="11"/>
  <c r="I636" i="11"/>
  <c r="AG636" i="11"/>
  <c r="J636" i="11"/>
  <c r="AH636" i="11"/>
  <c r="K636" i="11"/>
  <c r="AI636" i="11"/>
  <c r="L636" i="11"/>
  <c r="AJ636" i="11"/>
  <c r="M636" i="11"/>
  <c r="AK636" i="11"/>
  <c r="N636" i="11"/>
  <c r="AL636" i="11"/>
  <c r="O636" i="11"/>
  <c r="AM636" i="11"/>
  <c r="P636" i="11"/>
  <c r="AN636" i="11"/>
  <c r="Q636" i="11"/>
  <c r="AO636" i="11"/>
  <c r="R636" i="11"/>
  <c r="AP636" i="11"/>
  <c r="S636" i="11"/>
  <c r="AQ636" i="11"/>
  <c r="T636" i="11"/>
  <c r="AR636" i="11"/>
  <c r="U636" i="11"/>
  <c r="AS636" i="11"/>
  <c r="V636" i="11"/>
  <c r="AT636" i="11"/>
  <c r="W636" i="11"/>
  <c r="AU636" i="11"/>
  <c r="X636" i="11"/>
  <c r="AV636" i="11"/>
  <c r="Y636" i="11"/>
  <c r="AW636" i="11"/>
  <c r="Z636" i="11"/>
  <c r="AC637" i="11"/>
  <c r="F637" i="11"/>
  <c r="AD637" i="11"/>
  <c r="G637" i="11"/>
  <c r="AE637" i="11"/>
  <c r="H637" i="11"/>
  <c r="AF637" i="11"/>
  <c r="I637" i="11"/>
  <c r="AG637" i="11"/>
  <c r="J637" i="11"/>
  <c r="AH637" i="11"/>
  <c r="K637" i="11"/>
  <c r="AI637" i="11"/>
  <c r="L637" i="11"/>
  <c r="AJ637" i="11"/>
  <c r="M637" i="11"/>
  <c r="AK637" i="11"/>
  <c r="N637" i="11"/>
  <c r="AL637" i="11"/>
  <c r="O637" i="11"/>
  <c r="AM637" i="11"/>
  <c r="P637" i="11"/>
  <c r="AN637" i="11"/>
  <c r="Q637" i="11"/>
  <c r="AO637" i="11"/>
  <c r="R637" i="11"/>
  <c r="AP637" i="11"/>
  <c r="S637" i="11"/>
  <c r="AQ637" i="11"/>
  <c r="T637" i="11"/>
  <c r="AR637" i="11"/>
  <c r="U637" i="11"/>
  <c r="AS637" i="11"/>
  <c r="V637" i="11"/>
  <c r="AT637" i="11"/>
  <c r="W637" i="11"/>
  <c r="AU637" i="11"/>
  <c r="X637" i="11"/>
  <c r="AV637" i="11"/>
  <c r="Y637" i="11"/>
  <c r="AW637" i="11"/>
  <c r="Z637" i="11"/>
  <c r="AC638" i="11"/>
  <c r="F638" i="11"/>
  <c r="AD638" i="11"/>
  <c r="G638" i="11"/>
  <c r="AE638" i="11"/>
  <c r="H638" i="11"/>
  <c r="AF638" i="11"/>
  <c r="I638" i="11"/>
  <c r="AG638" i="11"/>
  <c r="J638" i="11"/>
  <c r="AH638" i="11"/>
  <c r="K638" i="11"/>
  <c r="AI638" i="11"/>
  <c r="L638" i="11"/>
  <c r="AJ638" i="11"/>
  <c r="M638" i="11"/>
  <c r="AK638" i="11"/>
  <c r="N638" i="11"/>
  <c r="AL638" i="11"/>
  <c r="O638" i="11"/>
  <c r="AM638" i="11"/>
  <c r="P638" i="11"/>
  <c r="AN638" i="11"/>
  <c r="Q638" i="11"/>
  <c r="AO638" i="11"/>
  <c r="R638" i="11"/>
  <c r="AP638" i="11"/>
  <c r="S638" i="11"/>
  <c r="AQ638" i="11"/>
  <c r="T638" i="11"/>
  <c r="AR638" i="11"/>
  <c r="U638" i="11"/>
  <c r="AS638" i="11"/>
  <c r="V638" i="11"/>
  <c r="AT638" i="11"/>
  <c r="W638" i="11"/>
  <c r="AU638" i="11"/>
  <c r="X638" i="11"/>
  <c r="AV638" i="11"/>
  <c r="Y638" i="11"/>
  <c r="AW638" i="11"/>
  <c r="Z638" i="11"/>
  <c r="AC639" i="11"/>
  <c r="F639" i="11"/>
  <c r="AD639" i="11"/>
  <c r="G639" i="11"/>
  <c r="AE639" i="11"/>
  <c r="H639" i="11"/>
  <c r="AF639" i="11"/>
  <c r="I639" i="11"/>
  <c r="AG639" i="11"/>
  <c r="J639" i="11"/>
  <c r="AH639" i="11"/>
  <c r="K639" i="11"/>
  <c r="AI639" i="11"/>
  <c r="L639" i="11"/>
  <c r="AJ639" i="11"/>
  <c r="M639" i="11"/>
  <c r="AK639" i="11"/>
  <c r="N639" i="11"/>
  <c r="AL639" i="11"/>
  <c r="O639" i="11"/>
  <c r="AM639" i="11"/>
  <c r="P639" i="11"/>
  <c r="AN639" i="11"/>
  <c r="Q639" i="11"/>
  <c r="AO639" i="11"/>
  <c r="R639" i="11"/>
  <c r="AP639" i="11"/>
  <c r="S639" i="11"/>
  <c r="AQ639" i="11"/>
  <c r="T639" i="11"/>
  <c r="AR639" i="11"/>
  <c r="U639" i="11"/>
  <c r="AS639" i="11"/>
  <c r="V639" i="11"/>
  <c r="AT639" i="11"/>
  <c r="W639" i="11"/>
  <c r="AU639" i="11"/>
  <c r="X639" i="11"/>
  <c r="AV639" i="11"/>
  <c r="Y639" i="11"/>
  <c r="AW639" i="11"/>
  <c r="Z639" i="11"/>
  <c r="AC640" i="11"/>
  <c r="F640" i="11"/>
  <c r="AD640" i="11"/>
  <c r="G640" i="11"/>
  <c r="AE640" i="11"/>
  <c r="H640" i="11"/>
  <c r="AF640" i="11"/>
  <c r="I640" i="11"/>
  <c r="AG640" i="11"/>
  <c r="J640" i="11"/>
  <c r="AH640" i="11"/>
  <c r="K640" i="11"/>
  <c r="AI640" i="11"/>
  <c r="L640" i="11"/>
  <c r="AJ640" i="11"/>
  <c r="M640" i="11"/>
  <c r="AK640" i="11"/>
  <c r="N640" i="11"/>
  <c r="AL640" i="11"/>
  <c r="O640" i="11"/>
  <c r="AM640" i="11"/>
  <c r="P640" i="11"/>
  <c r="AN640" i="11"/>
  <c r="Q640" i="11"/>
  <c r="AO640" i="11"/>
  <c r="R640" i="11"/>
  <c r="AP640" i="11"/>
  <c r="S640" i="11"/>
  <c r="AQ640" i="11"/>
  <c r="T640" i="11"/>
  <c r="AR640" i="11"/>
  <c r="U640" i="11"/>
  <c r="AS640" i="11"/>
  <c r="V640" i="11"/>
  <c r="AT640" i="11"/>
  <c r="W640" i="11"/>
  <c r="AU640" i="11"/>
  <c r="X640" i="11"/>
  <c r="AV640" i="11"/>
  <c r="Y640" i="11"/>
  <c r="AW640" i="11"/>
  <c r="Z640" i="11"/>
  <c r="AC641" i="11"/>
  <c r="F641" i="11"/>
  <c r="AD641" i="11"/>
  <c r="G641" i="11"/>
  <c r="AE641" i="11"/>
  <c r="H641" i="11"/>
  <c r="AF641" i="11"/>
  <c r="I641" i="11"/>
  <c r="AG641" i="11"/>
  <c r="J641" i="11"/>
  <c r="AH641" i="11"/>
  <c r="K641" i="11"/>
  <c r="AI641" i="11"/>
  <c r="L641" i="11"/>
  <c r="AJ641" i="11"/>
  <c r="M641" i="11"/>
  <c r="AK641" i="11"/>
  <c r="N641" i="11"/>
  <c r="AL641" i="11"/>
  <c r="O641" i="11"/>
  <c r="AM641" i="11"/>
  <c r="P641" i="11"/>
  <c r="AN641" i="11"/>
  <c r="Q641" i="11"/>
  <c r="AO641" i="11"/>
  <c r="R641" i="11"/>
  <c r="AP641" i="11"/>
  <c r="S641" i="11"/>
  <c r="AQ641" i="11"/>
  <c r="T641" i="11"/>
  <c r="AR641" i="11"/>
  <c r="U641" i="11"/>
  <c r="AS641" i="11"/>
  <c r="V641" i="11"/>
  <c r="AT641" i="11"/>
  <c r="W641" i="11"/>
  <c r="AU641" i="11"/>
  <c r="X641" i="11"/>
  <c r="AV641" i="11"/>
  <c r="Y641" i="11"/>
  <c r="AW641" i="11"/>
  <c r="Z641" i="11"/>
  <c r="AC642" i="11"/>
  <c r="F642" i="11"/>
  <c r="AD642" i="11"/>
  <c r="G642" i="11"/>
  <c r="AE642" i="11"/>
  <c r="H642" i="11"/>
  <c r="AF642" i="11"/>
  <c r="I642" i="11"/>
  <c r="AG642" i="11"/>
  <c r="J642" i="11"/>
  <c r="AH642" i="11"/>
  <c r="K642" i="11"/>
  <c r="AI642" i="11"/>
  <c r="L642" i="11"/>
  <c r="AJ642" i="11"/>
  <c r="M642" i="11"/>
  <c r="AK642" i="11"/>
  <c r="N642" i="11"/>
  <c r="AL642" i="11"/>
  <c r="O642" i="11"/>
  <c r="AM642" i="11"/>
  <c r="P642" i="11"/>
  <c r="AN642" i="11"/>
  <c r="Q642" i="11"/>
  <c r="AO642" i="11"/>
  <c r="R642" i="11"/>
  <c r="AP642" i="11"/>
  <c r="S642" i="11"/>
  <c r="AQ642" i="11"/>
  <c r="T642" i="11"/>
  <c r="AR642" i="11"/>
  <c r="U642" i="11"/>
  <c r="AS642" i="11"/>
  <c r="V642" i="11"/>
  <c r="AT642" i="11"/>
  <c r="W642" i="11"/>
  <c r="AU642" i="11"/>
  <c r="X642" i="11"/>
  <c r="AV642" i="11"/>
  <c r="Y642" i="11"/>
  <c r="AW642" i="11"/>
  <c r="Z642" i="11"/>
  <c r="AC643" i="11"/>
  <c r="F643" i="11"/>
  <c r="AD643" i="11"/>
  <c r="G643" i="11"/>
  <c r="AE643" i="11"/>
  <c r="H643" i="11"/>
  <c r="AF643" i="11"/>
  <c r="I643" i="11"/>
  <c r="AG643" i="11"/>
  <c r="J643" i="11"/>
  <c r="AH643" i="11"/>
  <c r="K643" i="11"/>
  <c r="AI643" i="11"/>
  <c r="L643" i="11"/>
  <c r="AJ643" i="11"/>
  <c r="M643" i="11"/>
  <c r="AK643" i="11"/>
  <c r="N643" i="11"/>
  <c r="AL643" i="11"/>
  <c r="O643" i="11"/>
  <c r="AM643" i="11"/>
  <c r="P643" i="11"/>
  <c r="AN643" i="11"/>
  <c r="Q643" i="11"/>
  <c r="AO643" i="11"/>
  <c r="R643" i="11"/>
  <c r="AP643" i="11"/>
  <c r="S643" i="11"/>
  <c r="AQ643" i="11"/>
  <c r="T643" i="11"/>
  <c r="AR643" i="11"/>
  <c r="U643" i="11"/>
  <c r="AS643" i="11"/>
  <c r="V643" i="11"/>
  <c r="AT643" i="11"/>
  <c r="W643" i="11"/>
  <c r="AU643" i="11"/>
  <c r="X643" i="11"/>
  <c r="AV643" i="11"/>
  <c r="Y643" i="11"/>
  <c r="AW643" i="11"/>
  <c r="Z643" i="11"/>
  <c r="AC644" i="11"/>
  <c r="F644" i="11"/>
  <c r="AD644" i="11"/>
  <c r="G644" i="11"/>
  <c r="AE644" i="11"/>
  <c r="H644" i="11"/>
  <c r="AF644" i="11"/>
  <c r="I644" i="11"/>
  <c r="AG644" i="11"/>
  <c r="J644" i="11"/>
  <c r="AH644" i="11"/>
  <c r="K644" i="11"/>
  <c r="AI644" i="11"/>
  <c r="L644" i="11"/>
  <c r="AJ644" i="11"/>
  <c r="M644" i="11"/>
  <c r="AK644" i="11"/>
  <c r="N644" i="11"/>
  <c r="AL644" i="11"/>
  <c r="O644" i="11"/>
  <c r="AM644" i="11"/>
  <c r="P644" i="11"/>
  <c r="AN644" i="11"/>
  <c r="Q644" i="11"/>
  <c r="AO644" i="11"/>
  <c r="R644" i="11"/>
  <c r="AP644" i="11"/>
  <c r="S644" i="11"/>
  <c r="AQ644" i="11"/>
  <c r="T644" i="11"/>
  <c r="AR644" i="11"/>
  <c r="U644" i="11"/>
  <c r="AS644" i="11"/>
  <c r="V644" i="11"/>
  <c r="AT644" i="11"/>
  <c r="W644" i="11"/>
  <c r="AU644" i="11"/>
  <c r="X644" i="11"/>
  <c r="AV644" i="11"/>
  <c r="Y644" i="11"/>
  <c r="AW644" i="11"/>
  <c r="Z644" i="11"/>
  <c r="AC645" i="11"/>
  <c r="F645" i="11"/>
  <c r="AD645" i="11"/>
  <c r="G645" i="11"/>
  <c r="AE645" i="11"/>
  <c r="H645" i="11"/>
  <c r="AF645" i="11"/>
  <c r="I645" i="11"/>
  <c r="AG645" i="11"/>
  <c r="J645" i="11"/>
  <c r="AH645" i="11"/>
  <c r="K645" i="11"/>
  <c r="AI645" i="11"/>
  <c r="L645" i="11"/>
  <c r="AJ645" i="11"/>
  <c r="M645" i="11"/>
  <c r="AK645" i="11"/>
  <c r="N645" i="11"/>
  <c r="AL645" i="11"/>
  <c r="O645" i="11"/>
  <c r="AM645" i="11"/>
  <c r="P645" i="11"/>
  <c r="AN645" i="11"/>
  <c r="Q645" i="11"/>
  <c r="AO645" i="11"/>
  <c r="R645" i="11"/>
  <c r="AP645" i="11"/>
  <c r="S645" i="11"/>
  <c r="AQ645" i="11"/>
  <c r="T645" i="11"/>
  <c r="AR645" i="11"/>
  <c r="U645" i="11"/>
  <c r="AS645" i="11"/>
  <c r="V645" i="11"/>
  <c r="AT645" i="11"/>
  <c r="W645" i="11"/>
  <c r="AU645" i="11"/>
  <c r="X645" i="11"/>
  <c r="AV645" i="11"/>
  <c r="Y645" i="11"/>
  <c r="AW645" i="11"/>
  <c r="Z645" i="11"/>
  <c r="AC646" i="11"/>
  <c r="F646" i="11"/>
  <c r="AD646" i="11"/>
  <c r="G646" i="11"/>
  <c r="AE646" i="11"/>
  <c r="H646" i="11"/>
  <c r="AF646" i="11"/>
  <c r="I646" i="11"/>
  <c r="AG646" i="11"/>
  <c r="J646" i="11"/>
  <c r="AH646" i="11"/>
  <c r="K646" i="11"/>
  <c r="AI646" i="11"/>
  <c r="L646" i="11"/>
  <c r="AJ646" i="11"/>
  <c r="M646" i="11"/>
  <c r="AK646" i="11"/>
  <c r="N646" i="11"/>
  <c r="AL646" i="11"/>
  <c r="O646" i="11"/>
  <c r="AM646" i="11"/>
  <c r="P646" i="11"/>
  <c r="AN646" i="11"/>
  <c r="Q646" i="11"/>
  <c r="AO646" i="11"/>
  <c r="R646" i="11"/>
  <c r="AP646" i="11"/>
  <c r="S646" i="11"/>
  <c r="AQ646" i="11"/>
  <c r="T646" i="11"/>
  <c r="AR646" i="11"/>
  <c r="U646" i="11"/>
  <c r="AS646" i="11"/>
  <c r="V646" i="11"/>
  <c r="AT646" i="11"/>
  <c r="W646" i="11"/>
  <c r="AU646" i="11"/>
  <c r="X646" i="11"/>
  <c r="AV646" i="11"/>
  <c r="Y646" i="11"/>
  <c r="AW646" i="11"/>
  <c r="Z646" i="11"/>
  <c r="AC647" i="11"/>
  <c r="F647" i="11"/>
  <c r="AD647" i="11"/>
  <c r="G647" i="11"/>
  <c r="AE647" i="11"/>
  <c r="H647" i="11"/>
  <c r="AF647" i="11"/>
  <c r="I647" i="11"/>
  <c r="AG647" i="11"/>
  <c r="J647" i="11"/>
  <c r="AH647" i="11"/>
  <c r="K647" i="11"/>
  <c r="AI647" i="11"/>
  <c r="L647" i="11"/>
  <c r="AJ647" i="11"/>
  <c r="M647" i="11"/>
  <c r="AK647" i="11"/>
  <c r="N647" i="11"/>
  <c r="AL647" i="11"/>
  <c r="O647" i="11"/>
  <c r="AM647" i="11"/>
  <c r="P647" i="11"/>
  <c r="AN647" i="11"/>
  <c r="Q647" i="11"/>
  <c r="AO647" i="11"/>
  <c r="R647" i="11"/>
  <c r="AP647" i="11"/>
  <c r="S647" i="11"/>
  <c r="AQ647" i="11"/>
  <c r="T647" i="11"/>
  <c r="AR647" i="11"/>
  <c r="U647" i="11"/>
  <c r="AS647" i="11"/>
  <c r="V647" i="11"/>
  <c r="AT647" i="11"/>
  <c r="W647" i="11"/>
  <c r="AU647" i="11"/>
  <c r="X647" i="11"/>
  <c r="AV647" i="11"/>
  <c r="Y647" i="11"/>
  <c r="AW647" i="11"/>
  <c r="Z647" i="11"/>
  <c r="AC648" i="11"/>
  <c r="F648" i="11"/>
  <c r="AD648" i="11"/>
  <c r="G648" i="11"/>
  <c r="AE648" i="11"/>
  <c r="H648" i="11"/>
  <c r="AF648" i="11"/>
  <c r="I648" i="11"/>
  <c r="AG648" i="11"/>
  <c r="J648" i="11"/>
  <c r="AH648" i="11"/>
  <c r="K648" i="11"/>
  <c r="AI648" i="11"/>
  <c r="L648" i="11"/>
  <c r="AJ648" i="11"/>
  <c r="M648" i="11"/>
  <c r="AK648" i="11"/>
  <c r="N648" i="11"/>
  <c r="AL648" i="11"/>
  <c r="O648" i="11"/>
  <c r="AM648" i="11"/>
  <c r="P648" i="11"/>
  <c r="AN648" i="11"/>
  <c r="Q648" i="11"/>
  <c r="AO648" i="11"/>
  <c r="R648" i="11"/>
  <c r="AP648" i="11"/>
  <c r="S648" i="11"/>
  <c r="AQ648" i="11"/>
  <c r="T648" i="11"/>
  <c r="AR648" i="11"/>
  <c r="U648" i="11"/>
  <c r="AS648" i="11"/>
  <c r="V648" i="11"/>
  <c r="AT648" i="11"/>
  <c r="W648" i="11"/>
  <c r="AU648" i="11"/>
  <c r="X648" i="11"/>
  <c r="AV648" i="11"/>
  <c r="Y648" i="11"/>
  <c r="AW648" i="11"/>
  <c r="Z648" i="11"/>
  <c r="AC649" i="11"/>
  <c r="F649" i="11"/>
  <c r="AD649" i="11"/>
  <c r="G649" i="11"/>
  <c r="AE649" i="11"/>
  <c r="H649" i="11"/>
  <c r="AF649" i="11"/>
  <c r="I649" i="11"/>
  <c r="AG649" i="11"/>
  <c r="J649" i="11"/>
  <c r="AH649" i="11"/>
  <c r="K649" i="11"/>
  <c r="AI649" i="11"/>
  <c r="L649" i="11"/>
  <c r="AJ649" i="11"/>
  <c r="M649" i="11"/>
  <c r="AK649" i="11"/>
  <c r="N649" i="11"/>
  <c r="AL649" i="11"/>
  <c r="O649" i="11"/>
  <c r="AM649" i="11"/>
  <c r="P649" i="11"/>
  <c r="AN649" i="11"/>
  <c r="Q649" i="11"/>
  <c r="AO649" i="11"/>
  <c r="R649" i="11"/>
  <c r="AP649" i="11"/>
  <c r="S649" i="11"/>
  <c r="AQ649" i="11"/>
  <c r="T649" i="11"/>
  <c r="AR649" i="11"/>
  <c r="U649" i="11"/>
  <c r="AS649" i="11"/>
  <c r="V649" i="11"/>
  <c r="AT649" i="11"/>
  <c r="W649" i="11"/>
  <c r="AU649" i="11"/>
  <c r="X649" i="11"/>
  <c r="AV649" i="11"/>
  <c r="Y649" i="11"/>
  <c r="AW649" i="11"/>
  <c r="Z649" i="11"/>
  <c r="AC650" i="11"/>
  <c r="F650" i="11"/>
  <c r="AD650" i="11"/>
  <c r="G650" i="11"/>
  <c r="AE650" i="11"/>
  <c r="H650" i="11"/>
  <c r="AF650" i="11"/>
  <c r="I650" i="11"/>
  <c r="AG650" i="11"/>
  <c r="J650" i="11"/>
  <c r="AH650" i="11"/>
  <c r="K650" i="11"/>
  <c r="AI650" i="11"/>
  <c r="L650" i="11"/>
  <c r="AJ650" i="11"/>
  <c r="M650" i="11"/>
  <c r="AK650" i="11"/>
  <c r="N650" i="11"/>
  <c r="AL650" i="11"/>
  <c r="O650" i="11"/>
  <c r="AM650" i="11"/>
  <c r="P650" i="11"/>
  <c r="AN650" i="11"/>
  <c r="Q650" i="11"/>
  <c r="AO650" i="11"/>
  <c r="R650" i="11"/>
  <c r="AP650" i="11"/>
  <c r="S650" i="11"/>
  <c r="AQ650" i="11"/>
  <c r="T650" i="11"/>
  <c r="AR650" i="11"/>
  <c r="U650" i="11"/>
  <c r="AS650" i="11"/>
  <c r="V650" i="11"/>
  <c r="AT650" i="11"/>
  <c r="W650" i="11"/>
  <c r="AU650" i="11"/>
  <c r="X650" i="11"/>
  <c r="AV650" i="11"/>
  <c r="Y650" i="11"/>
  <c r="AW650" i="11"/>
  <c r="Z650" i="11"/>
  <c r="AC651" i="11"/>
  <c r="F651" i="11"/>
  <c r="AD651" i="11"/>
  <c r="G651" i="11"/>
  <c r="AE651" i="11"/>
  <c r="H651" i="11"/>
  <c r="AF651" i="11"/>
  <c r="I651" i="11"/>
  <c r="AG651" i="11"/>
  <c r="J651" i="11"/>
  <c r="AH651" i="11"/>
  <c r="K651" i="11"/>
  <c r="AI651" i="11"/>
  <c r="L651" i="11"/>
  <c r="AJ651" i="11"/>
  <c r="M651" i="11"/>
  <c r="AK651" i="11"/>
  <c r="N651" i="11"/>
  <c r="AL651" i="11"/>
  <c r="O651" i="11"/>
  <c r="AM651" i="11"/>
  <c r="P651" i="11"/>
  <c r="AN651" i="11"/>
  <c r="Q651" i="11"/>
  <c r="AO651" i="11"/>
  <c r="R651" i="11"/>
  <c r="AP651" i="11"/>
  <c r="S651" i="11"/>
  <c r="AQ651" i="11"/>
  <c r="T651" i="11"/>
  <c r="AR651" i="11"/>
  <c r="U651" i="11"/>
  <c r="AS651" i="11"/>
  <c r="V651" i="11"/>
  <c r="AT651" i="11"/>
  <c r="W651" i="11"/>
  <c r="AU651" i="11"/>
  <c r="X651" i="11"/>
  <c r="AV651" i="11"/>
  <c r="Y651" i="11"/>
  <c r="AW651" i="11"/>
  <c r="Z651" i="11"/>
  <c r="AC652" i="11"/>
  <c r="F652" i="11"/>
  <c r="AD652" i="11"/>
  <c r="G652" i="11"/>
  <c r="AE652" i="11"/>
  <c r="H652" i="11"/>
  <c r="AF652" i="11"/>
  <c r="I652" i="11"/>
  <c r="AG652" i="11"/>
  <c r="J652" i="11"/>
  <c r="AH652" i="11"/>
  <c r="K652" i="11"/>
  <c r="AI652" i="11"/>
  <c r="L652" i="11"/>
  <c r="AJ652" i="11"/>
  <c r="M652" i="11"/>
  <c r="AK652" i="11"/>
  <c r="N652" i="11"/>
  <c r="AL652" i="11"/>
  <c r="O652" i="11"/>
  <c r="AM652" i="11"/>
  <c r="P652" i="11"/>
  <c r="AN652" i="11"/>
  <c r="Q652" i="11"/>
  <c r="AO652" i="11"/>
  <c r="R652" i="11"/>
  <c r="AP652" i="11"/>
  <c r="S652" i="11"/>
  <c r="AQ652" i="11"/>
  <c r="T652" i="11"/>
  <c r="AR652" i="11"/>
  <c r="U652" i="11"/>
  <c r="AS652" i="11"/>
  <c r="V652" i="11"/>
  <c r="AT652" i="11"/>
  <c r="W652" i="11"/>
  <c r="AU652" i="11"/>
  <c r="X652" i="11"/>
  <c r="AV652" i="11"/>
  <c r="Y652" i="11"/>
  <c r="AW652" i="11"/>
  <c r="Z652" i="11"/>
  <c r="AC653" i="11"/>
  <c r="F653" i="11"/>
  <c r="AD653" i="11"/>
  <c r="G653" i="11"/>
  <c r="AE653" i="11"/>
  <c r="H653" i="11"/>
  <c r="AF653" i="11"/>
  <c r="I653" i="11"/>
  <c r="AG653" i="11"/>
  <c r="J653" i="11"/>
  <c r="AH653" i="11"/>
  <c r="K653" i="11"/>
  <c r="AI653" i="11"/>
  <c r="L653" i="11"/>
  <c r="AJ653" i="11"/>
  <c r="M653" i="11"/>
  <c r="AK653" i="11"/>
  <c r="N653" i="11"/>
  <c r="AL653" i="11"/>
  <c r="O653" i="11"/>
  <c r="AM653" i="11"/>
  <c r="P653" i="11"/>
  <c r="AN653" i="11"/>
  <c r="Q653" i="11"/>
  <c r="AO653" i="11"/>
  <c r="R653" i="11"/>
  <c r="AP653" i="11"/>
  <c r="S653" i="11"/>
  <c r="AQ653" i="11"/>
  <c r="T653" i="11"/>
  <c r="AR653" i="11"/>
  <c r="U653" i="11"/>
  <c r="AS653" i="11"/>
  <c r="V653" i="11"/>
  <c r="AT653" i="11"/>
  <c r="W653" i="11"/>
  <c r="AU653" i="11"/>
  <c r="X653" i="11"/>
  <c r="AV653" i="11"/>
  <c r="Y653" i="11"/>
  <c r="AW653" i="11"/>
  <c r="Z653" i="11"/>
  <c r="AC654" i="11"/>
  <c r="F654" i="11"/>
  <c r="AD654" i="11"/>
  <c r="G654" i="11"/>
  <c r="AE654" i="11"/>
  <c r="H654" i="11"/>
  <c r="AF654" i="11"/>
  <c r="I654" i="11"/>
  <c r="AG654" i="11"/>
  <c r="J654" i="11"/>
  <c r="AH654" i="11"/>
  <c r="K654" i="11"/>
  <c r="AI654" i="11"/>
  <c r="L654" i="11"/>
  <c r="AJ654" i="11"/>
  <c r="M654" i="11"/>
  <c r="AK654" i="11"/>
  <c r="N654" i="11"/>
  <c r="AL654" i="11"/>
  <c r="O654" i="11"/>
  <c r="AM654" i="11"/>
  <c r="P654" i="11"/>
  <c r="AN654" i="11"/>
  <c r="Q654" i="11"/>
  <c r="AO654" i="11"/>
  <c r="R654" i="11"/>
  <c r="AP654" i="11"/>
  <c r="S654" i="11"/>
  <c r="AQ654" i="11"/>
  <c r="T654" i="11"/>
  <c r="AR654" i="11"/>
  <c r="U654" i="11"/>
  <c r="AS654" i="11"/>
  <c r="V654" i="11"/>
  <c r="AT654" i="11"/>
  <c r="W654" i="11"/>
  <c r="AU654" i="11"/>
  <c r="X654" i="11"/>
  <c r="AV654" i="11"/>
  <c r="Y654" i="11"/>
  <c r="AW654" i="11"/>
  <c r="Z654" i="11"/>
  <c r="AC655" i="11"/>
  <c r="F655" i="11"/>
  <c r="AD655" i="11"/>
  <c r="G655" i="11"/>
  <c r="AE655" i="11"/>
  <c r="H655" i="11"/>
  <c r="AF655" i="11"/>
  <c r="I655" i="11"/>
  <c r="AG655" i="11"/>
  <c r="J655" i="11"/>
  <c r="AH655" i="11"/>
  <c r="K655" i="11"/>
  <c r="AI655" i="11"/>
  <c r="L655" i="11"/>
  <c r="AJ655" i="11"/>
  <c r="M655" i="11"/>
  <c r="AK655" i="11"/>
  <c r="N655" i="11"/>
  <c r="AL655" i="11"/>
  <c r="O655" i="11"/>
  <c r="AM655" i="11"/>
  <c r="P655" i="11"/>
  <c r="AN655" i="11"/>
  <c r="Q655" i="11"/>
  <c r="AO655" i="11"/>
  <c r="R655" i="11"/>
  <c r="AP655" i="11"/>
  <c r="S655" i="11"/>
  <c r="AQ655" i="11"/>
  <c r="T655" i="11"/>
  <c r="AR655" i="11"/>
  <c r="U655" i="11"/>
  <c r="AS655" i="11"/>
  <c r="V655" i="11"/>
  <c r="AT655" i="11"/>
  <c r="W655" i="11"/>
  <c r="AU655" i="11"/>
  <c r="X655" i="11"/>
  <c r="AV655" i="11"/>
  <c r="Y655" i="11"/>
  <c r="AW655" i="11"/>
  <c r="Z655" i="11"/>
  <c r="AC656" i="11"/>
  <c r="F656" i="11"/>
  <c r="AD656" i="11"/>
  <c r="G656" i="11"/>
  <c r="AE656" i="11"/>
  <c r="H656" i="11"/>
  <c r="AF656" i="11"/>
  <c r="I656" i="11"/>
  <c r="AG656" i="11"/>
  <c r="J656" i="11"/>
  <c r="AH656" i="11"/>
  <c r="K656" i="11"/>
  <c r="AI656" i="11"/>
  <c r="L656" i="11"/>
  <c r="AJ656" i="11"/>
  <c r="M656" i="11"/>
  <c r="AK656" i="11"/>
  <c r="N656" i="11"/>
  <c r="AL656" i="11"/>
  <c r="O656" i="11"/>
  <c r="AM656" i="11"/>
  <c r="P656" i="11"/>
  <c r="AN656" i="11"/>
  <c r="Q656" i="11"/>
  <c r="AO656" i="11"/>
  <c r="R656" i="11"/>
  <c r="AP656" i="11"/>
  <c r="S656" i="11"/>
  <c r="AQ656" i="11"/>
  <c r="T656" i="11"/>
  <c r="AR656" i="11"/>
  <c r="U656" i="11"/>
  <c r="AS656" i="11"/>
  <c r="V656" i="11"/>
  <c r="AT656" i="11"/>
  <c r="W656" i="11"/>
  <c r="AU656" i="11"/>
  <c r="X656" i="11"/>
  <c r="AV656" i="11"/>
  <c r="Y656" i="11"/>
  <c r="AW656" i="11"/>
  <c r="Z656" i="11"/>
  <c r="AC657" i="11"/>
  <c r="F657" i="11"/>
  <c r="AD657" i="11"/>
  <c r="G657" i="11"/>
  <c r="AE657" i="11"/>
  <c r="H657" i="11"/>
  <c r="AF657" i="11"/>
  <c r="I657" i="11"/>
  <c r="AG657" i="11"/>
  <c r="J657" i="11"/>
  <c r="AH657" i="11"/>
  <c r="K657" i="11"/>
  <c r="AI657" i="11"/>
  <c r="L657" i="11"/>
  <c r="AJ657" i="11"/>
  <c r="M657" i="11"/>
  <c r="AK657" i="11"/>
  <c r="N657" i="11"/>
  <c r="AL657" i="11"/>
  <c r="O657" i="11"/>
  <c r="AM657" i="11"/>
  <c r="P657" i="11"/>
  <c r="AN657" i="11"/>
  <c r="Q657" i="11"/>
  <c r="AO657" i="11"/>
  <c r="R657" i="11"/>
  <c r="AP657" i="11"/>
  <c r="S657" i="11"/>
  <c r="AQ657" i="11"/>
  <c r="T657" i="11"/>
  <c r="AR657" i="11"/>
  <c r="U657" i="11"/>
  <c r="AS657" i="11"/>
  <c r="V657" i="11"/>
  <c r="AT657" i="11"/>
  <c r="W657" i="11"/>
  <c r="AU657" i="11"/>
  <c r="X657" i="11"/>
  <c r="AV657" i="11"/>
  <c r="Y657" i="11"/>
  <c r="AW657" i="11"/>
  <c r="Z657" i="11"/>
  <c r="AC658" i="11"/>
  <c r="F658" i="11"/>
  <c r="AD658" i="11"/>
  <c r="G658" i="11"/>
  <c r="AE658" i="11"/>
  <c r="H658" i="11"/>
  <c r="AF658" i="11"/>
  <c r="I658" i="11"/>
  <c r="AG658" i="11"/>
  <c r="J658" i="11"/>
  <c r="AH658" i="11"/>
  <c r="K658" i="11"/>
  <c r="AI658" i="11"/>
  <c r="L658" i="11"/>
  <c r="AJ658" i="11"/>
  <c r="M658" i="11"/>
  <c r="AK658" i="11"/>
  <c r="N658" i="11"/>
  <c r="AL658" i="11"/>
  <c r="O658" i="11"/>
  <c r="AM658" i="11"/>
  <c r="P658" i="11"/>
  <c r="AN658" i="11"/>
  <c r="Q658" i="11"/>
  <c r="AO658" i="11"/>
  <c r="R658" i="11"/>
  <c r="AP658" i="11"/>
  <c r="S658" i="11"/>
  <c r="AQ658" i="11"/>
  <c r="T658" i="11"/>
  <c r="AR658" i="11"/>
  <c r="U658" i="11"/>
  <c r="AS658" i="11"/>
  <c r="V658" i="11"/>
  <c r="AT658" i="11"/>
  <c r="W658" i="11"/>
  <c r="AU658" i="11"/>
  <c r="X658" i="11"/>
  <c r="AV658" i="11"/>
  <c r="Y658" i="11"/>
  <c r="AW658" i="11"/>
  <c r="Z658" i="11"/>
  <c r="AC659" i="11"/>
  <c r="F659" i="11"/>
  <c r="AD659" i="11"/>
  <c r="G659" i="11"/>
  <c r="AE659" i="11"/>
  <c r="H659" i="11"/>
  <c r="AF659" i="11"/>
  <c r="I659" i="11"/>
  <c r="AG659" i="11"/>
  <c r="J659" i="11"/>
  <c r="AH659" i="11"/>
  <c r="K659" i="11"/>
  <c r="AI659" i="11"/>
  <c r="L659" i="11"/>
  <c r="AJ659" i="11"/>
  <c r="M659" i="11"/>
  <c r="AK659" i="11"/>
  <c r="N659" i="11"/>
  <c r="AL659" i="11"/>
  <c r="O659" i="11"/>
  <c r="AM659" i="11"/>
  <c r="P659" i="11"/>
  <c r="AN659" i="11"/>
  <c r="Q659" i="11"/>
  <c r="AO659" i="11"/>
  <c r="R659" i="11"/>
  <c r="AP659" i="11"/>
  <c r="S659" i="11"/>
  <c r="AQ659" i="11"/>
  <c r="T659" i="11"/>
  <c r="AR659" i="11"/>
  <c r="U659" i="11"/>
  <c r="AS659" i="11"/>
  <c r="V659" i="11"/>
  <c r="AT659" i="11"/>
  <c r="W659" i="11"/>
  <c r="AU659" i="11"/>
  <c r="X659" i="11"/>
  <c r="AV659" i="11"/>
  <c r="Y659" i="11"/>
  <c r="AW659" i="11"/>
  <c r="Z659" i="11"/>
  <c r="AC660" i="11"/>
  <c r="F660" i="11"/>
  <c r="AD660" i="11"/>
  <c r="G660" i="11"/>
  <c r="AE660" i="11"/>
  <c r="H660" i="11"/>
  <c r="AF660" i="11"/>
  <c r="I660" i="11"/>
  <c r="AG660" i="11"/>
  <c r="J660" i="11"/>
  <c r="AH660" i="11"/>
  <c r="K660" i="11"/>
  <c r="AI660" i="11"/>
  <c r="L660" i="11"/>
  <c r="AJ660" i="11"/>
  <c r="M660" i="11"/>
  <c r="AK660" i="11"/>
  <c r="N660" i="11"/>
  <c r="AL660" i="11"/>
  <c r="O660" i="11"/>
  <c r="AM660" i="11"/>
  <c r="P660" i="11"/>
  <c r="AN660" i="11"/>
  <c r="Q660" i="11"/>
  <c r="AO660" i="11"/>
  <c r="R660" i="11"/>
  <c r="AP660" i="11"/>
  <c r="S660" i="11"/>
  <c r="AQ660" i="11"/>
  <c r="T660" i="11"/>
  <c r="AR660" i="11"/>
  <c r="U660" i="11"/>
  <c r="AS660" i="11"/>
  <c r="V660" i="11"/>
  <c r="AT660" i="11"/>
  <c r="W660" i="11"/>
  <c r="AU660" i="11"/>
  <c r="X660" i="11"/>
  <c r="AV660" i="11"/>
  <c r="Y660" i="11"/>
  <c r="AW660" i="11"/>
  <c r="Z660" i="11"/>
  <c r="AC661" i="11"/>
  <c r="F661" i="11"/>
  <c r="AD661" i="11"/>
  <c r="G661" i="11"/>
  <c r="AE661" i="11"/>
  <c r="H661" i="11"/>
  <c r="AF661" i="11"/>
  <c r="I661" i="11"/>
  <c r="AG661" i="11"/>
  <c r="J661" i="11"/>
  <c r="AH661" i="11"/>
  <c r="K661" i="11"/>
  <c r="AI661" i="11"/>
  <c r="L661" i="11"/>
  <c r="AJ661" i="11"/>
  <c r="M661" i="11"/>
  <c r="AK661" i="11"/>
  <c r="N661" i="11"/>
  <c r="AL661" i="11"/>
  <c r="O661" i="11"/>
  <c r="AM661" i="11"/>
  <c r="P661" i="11"/>
  <c r="AN661" i="11"/>
  <c r="Q661" i="11"/>
  <c r="AO661" i="11"/>
  <c r="R661" i="11"/>
  <c r="AP661" i="11"/>
  <c r="S661" i="11"/>
  <c r="AQ661" i="11"/>
  <c r="T661" i="11"/>
  <c r="AR661" i="11"/>
  <c r="U661" i="11"/>
  <c r="AS661" i="11"/>
  <c r="V661" i="11"/>
  <c r="AT661" i="11"/>
  <c r="W661" i="11"/>
  <c r="AU661" i="11"/>
  <c r="X661" i="11"/>
  <c r="AV661" i="11"/>
  <c r="Y661" i="11"/>
  <c r="AW661" i="11"/>
  <c r="Z661" i="11"/>
  <c r="AC662" i="11"/>
  <c r="F662" i="11"/>
  <c r="AD662" i="11"/>
  <c r="G662" i="11"/>
  <c r="AE662" i="11"/>
  <c r="H662" i="11"/>
  <c r="AF662" i="11"/>
  <c r="I662" i="11"/>
  <c r="AG662" i="11"/>
  <c r="J662" i="11"/>
  <c r="AH662" i="11"/>
  <c r="K662" i="11"/>
  <c r="AI662" i="11"/>
  <c r="L662" i="11"/>
  <c r="AJ662" i="11"/>
  <c r="M662" i="11"/>
  <c r="AK662" i="11"/>
  <c r="N662" i="11"/>
  <c r="AL662" i="11"/>
  <c r="O662" i="11"/>
  <c r="AM662" i="11"/>
  <c r="P662" i="11"/>
  <c r="AN662" i="11"/>
  <c r="Q662" i="11"/>
  <c r="AO662" i="11"/>
  <c r="R662" i="11"/>
  <c r="AP662" i="11"/>
  <c r="S662" i="11"/>
  <c r="AQ662" i="11"/>
  <c r="T662" i="11"/>
  <c r="AR662" i="11"/>
  <c r="U662" i="11"/>
  <c r="AS662" i="11"/>
  <c r="V662" i="11"/>
  <c r="AT662" i="11"/>
  <c r="W662" i="11"/>
  <c r="AU662" i="11"/>
  <c r="X662" i="11"/>
  <c r="AV662" i="11"/>
  <c r="Y662" i="11"/>
  <c r="AW662" i="11"/>
  <c r="Z662" i="11"/>
  <c r="AC663" i="11"/>
  <c r="F663" i="11"/>
  <c r="AD663" i="11"/>
  <c r="G663" i="11"/>
  <c r="AE663" i="11"/>
  <c r="H663" i="11"/>
  <c r="AF663" i="11"/>
  <c r="I663" i="11"/>
  <c r="AG663" i="11"/>
  <c r="J663" i="11"/>
  <c r="AH663" i="11"/>
  <c r="K663" i="11"/>
  <c r="AI663" i="11"/>
  <c r="L663" i="11"/>
  <c r="AJ663" i="11"/>
  <c r="M663" i="11"/>
  <c r="AK663" i="11"/>
  <c r="N663" i="11"/>
  <c r="AL663" i="11"/>
  <c r="O663" i="11"/>
  <c r="AM663" i="11"/>
  <c r="P663" i="11"/>
  <c r="AN663" i="11"/>
  <c r="Q663" i="11"/>
  <c r="AO663" i="11"/>
  <c r="R663" i="11"/>
  <c r="AP663" i="11"/>
  <c r="S663" i="11"/>
  <c r="AQ663" i="11"/>
  <c r="T663" i="11"/>
  <c r="AR663" i="11"/>
  <c r="U663" i="11"/>
  <c r="AS663" i="11"/>
  <c r="V663" i="11"/>
  <c r="AT663" i="11"/>
  <c r="W663" i="11"/>
  <c r="AU663" i="11"/>
  <c r="X663" i="11"/>
  <c r="AV663" i="11"/>
  <c r="Y663" i="11"/>
  <c r="AW663" i="11"/>
  <c r="Z663" i="11"/>
  <c r="AC664" i="11"/>
  <c r="F664" i="11"/>
  <c r="AD664" i="11"/>
  <c r="G664" i="11"/>
  <c r="AE664" i="11"/>
  <c r="H664" i="11"/>
  <c r="AF664" i="11"/>
  <c r="I664" i="11"/>
  <c r="AG664" i="11"/>
  <c r="J664" i="11"/>
  <c r="AH664" i="11"/>
  <c r="K664" i="11"/>
  <c r="AI664" i="11"/>
  <c r="L664" i="11"/>
  <c r="AJ664" i="11"/>
  <c r="M664" i="11"/>
  <c r="AK664" i="11"/>
  <c r="N664" i="11"/>
  <c r="AL664" i="11"/>
  <c r="O664" i="11"/>
  <c r="AM664" i="11"/>
  <c r="P664" i="11"/>
  <c r="AN664" i="11"/>
  <c r="Q664" i="11"/>
  <c r="AO664" i="11"/>
  <c r="R664" i="11"/>
  <c r="AP664" i="11"/>
  <c r="S664" i="11"/>
  <c r="AQ664" i="11"/>
  <c r="T664" i="11"/>
  <c r="AR664" i="11"/>
  <c r="U664" i="11"/>
  <c r="AS664" i="11"/>
  <c r="V664" i="11"/>
  <c r="AT664" i="11"/>
  <c r="W664" i="11"/>
  <c r="AU664" i="11"/>
  <c r="X664" i="11"/>
  <c r="AV664" i="11"/>
  <c r="Y664" i="11"/>
  <c r="AW664" i="11"/>
  <c r="Z664" i="11"/>
  <c r="AC665" i="11"/>
  <c r="F665" i="11"/>
  <c r="AD665" i="11"/>
  <c r="G665" i="11"/>
  <c r="AE665" i="11"/>
  <c r="H665" i="11"/>
  <c r="AF665" i="11"/>
  <c r="I665" i="11"/>
  <c r="AG665" i="11"/>
  <c r="J665" i="11"/>
  <c r="AH665" i="11"/>
  <c r="K665" i="11"/>
  <c r="AI665" i="11"/>
  <c r="L665" i="11"/>
  <c r="AJ665" i="11"/>
  <c r="M665" i="11"/>
  <c r="AK665" i="11"/>
  <c r="N665" i="11"/>
  <c r="AL665" i="11"/>
  <c r="O665" i="11"/>
  <c r="AM665" i="11"/>
  <c r="P665" i="11"/>
  <c r="AN665" i="11"/>
  <c r="Q665" i="11"/>
  <c r="AO665" i="11"/>
  <c r="R665" i="11"/>
  <c r="AP665" i="11"/>
  <c r="S665" i="11"/>
  <c r="AQ665" i="11"/>
  <c r="T665" i="11"/>
  <c r="AR665" i="11"/>
  <c r="U665" i="11"/>
  <c r="AS665" i="11"/>
  <c r="V665" i="11"/>
  <c r="AT665" i="11"/>
  <c r="W665" i="11"/>
  <c r="AU665" i="11"/>
  <c r="X665" i="11"/>
  <c r="AV665" i="11"/>
  <c r="Y665" i="11"/>
  <c r="AW665" i="11"/>
  <c r="Z665" i="11"/>
  <c r="AC666" i="11"/>
  <c r="F666" i="11"/>
  <c r="AD666" i="11"/>
  <c r="G666" i="11"/>
  <c r="AE666" i="11"/>
  <c r="H666" i="11"/>
  <c r="AF666" i="11"/>
  <c r="I666" i="11"/>
  <c r="AG666" i="11"/>
  <c r="J666" i="11"/>
  <c r="AH666" i="11"/>
  <c r="K666" i="11"/>
  <c r="AI666" i="11"/>
  <c r="L666" i="11"/>
  <c r="AJ666" i="11"/>
  <c r="M666" i="11"/>
  <c r="AK666" i="11"/>
  <c r="N666" i="11"/>
  <c r="AL666" i="11"/>
  <c r="O666" i="11"/>
  <c r="AM666" i="11"/>
  <c r="P666" i="11"/>
  <c r="AN666" i="11"/>
  <c r="Q666" i="11"/>
  <c r="AO666" i="11"/>
  <c r="R666" i="11"/>
  <c r="AP666" i="11"/>
  <c r="S666" i="11"/>
  <c r="AQ666" i="11"/>
  <c r="T666" i="11"/>
  <c r="AR666" i="11"/>
  <c r="U666" i="11"/>
  <c r="AS666" i="11"/>
  <c r="V666" i="11"/>
  <c r="AT666" i="11"/>
  <c r="W666" i="11"/>
  <c r="AU666" i="11"/>
  <c r="X666" i="11"/>
  <c r="AV666" i="11"/>
  <c r="Y666" i="11"/>
  <c r="AW666" i="11"/>
  <c r="Z666" i="11"/>
  <c r="AC667" i="11"/>
  <c r="F667" i="11"/>
  <c r="AD667" i="11"/>
  <c r="G667" i="11"/>
  <c r="AE667" i="11"/>
  <c r="H667" i="11"/>
  <c r="AF667" i="11"/>
  <c r="I667" i="11"/>
  <c r="AG667" i="11"/>
  <c r="J667" i="11"/>
  <c r="AH667" i="11"/>
  <c r="K667" i="11"/>
  <c r="AI667" i="11"/>
  <c r="L667" i="11"/>
  <c r="AJ667" i="11"/>
  <c r="M667" i="11"/>
  <c r="AK667" i="11"/>
  <c r="N667" i="11"/>
  <c r="AL667" i="11"/>
  <c r="O667" i="11"/>
  <c r="AM667" i="11"/>
  <c r="P667" i="11"/>
  <c r="AN667" i="11"/>
  <c r="Q667" i="11"/>
  <c r="AO667" i="11"/>
  <c r="R667" i="11"/>
  <c r="AP667" i="11"/>
  <c r="S667" i="11"/>
  <c r="AQ667" i="11"/>
  <c r="T667" i="11"/>
  <c r="AR667" i="11"/>
  <c r="U667" i="11"/>
  <c r="AS667" i="11"/>
  <c r="V667" i="11"/>
  <c r="AT667" i="11"/>
  <c r="W667" i="11"/>
  <c r="AU667" i="11"/>
  <c r="X667" i="11"/>
  <c r="AV667" i="11"/>
  <c r="Y667" i="11"/>
  <c r="AW667" i="11"/>
  <c r="Z667" i="11"/>
  <c r="AC668" i="11"/>
  <c r="F668" i="11"/>
  <c r="AD668" i="11"/>
  <c r="G668" i="11"/>
  <c r="AE668" i="11"/>
  <c r="H668" i="11"/>
  <c r="AF668" i="11"/>
  <c r="I668" i="11"/>
  <c r="AG668" i="11"/>
  <c r="J668" i="11"/>
  <c r="AH668" i="11"/>
  <c r="K668" i="11"/>
  <c r="AI668" i="11"/>
  <c r="L668" i="11"/>
  <c r="AJ668" i="11"/>
  <c r="M668" i="11"/>
  <c r="AK668" i="11"/>
  <c r="N668" i="11"/>
  <c r="AL668" i="11"/>
  <c r="O668" i="11"/>
  <c r="AM668" i="11"/>
  <c r="P668" i="11"/>
  <c r="AN668" i="11"/>
  <c r="Q668" i="11"/>
  <c r="AO668" i="11"/>
  <c r="R668" i="11"/>
  <c r="AP668" i="11"/>
  <c r="S668" i="11"/>
  <c r="AQ668" i="11"/>
  <c r="T668" i="11"/>
  <c r="AR668" i="11"/>
  <c r="U668" i="11"/>
  <c r="AS668" i="11"/>
  <c r="V668" i="11"/>
  <c r="AT668" i="11"/>
  <c r="W668" i="11"/>
  <c r="AU668" i="11"/>
  <c r="X668" i="11"/>
  <c r="AV668" i="11"/>
  <c r="Y668" i="11"/>
  <c r="AW668" i="11"/>
  <c r="Z668" i="11"/>
  <c r="AC669" i="11"/>
  <c r="F669" i="11"/>
  <c r="AD669" i="11"/>
  <c r="G669" i="11"/>
  <c r="AE669" i="11"/>
  <c r="H669" i="11"/>
  <c r="AF669" i="11"/>
  <c r="I669" i="11"/>
  <c r="AG669" i="11"/>
  <c r="J669" i="11"/>
  <c r="AH669" i="11"/>
  <c r="K669" i="11"/>
  <c r="AI669" i="11"/>
  <c r="L669" i="11"/>
  <c r="AJ669" i="11"/>
  <c r="M669" i="11"/>
  <c r="AK669" i="11"/>
  <c r="N669" i="11"/>
  <c r="AL669" i="11"/>
  <c r="O669" i="11"/>
  <c r="AM669" i="11"/>
  <c r="P669" i="11"/>
  <c r="AN669" i="11"/>
  <c r="Q669" i="11"/>
  <c r="AO669" i="11"/>
  <c r="R669" i="11"/>
  <c r="AP669" i="11"/>
  <c r="S669" i="11"/>
  <c r="AQ669" i="11"/>
  <c r="T669" i="11"/>
  <c r="AR669" i="11"/>
  <c r="U669" i="11"/>
  <c r="AS669" i="11"/>
  <c r="V669" i="11"/>
  <c r="AT669" i="11"/>
  <c r="W669" i="11"/>
  <c r="AU669" i="11"/>
  <c r="X669" i="11"/>
  <c r="AV669" i="11"/>
  <c r="Y669" i="11"/>
  <c r="AW669" i="11"/>
  <c r="Z669" i="11"/>
  <c r="AC670" i="11"/>
  <c r="F670" i="11"/>
  <c r="AD670" i="11"/>
  <c r="G670" i="11"/>
  <c r="AE670" i="11"/>
  <c r="H670" i="11"/>
  <c r="AF670" i="11"/>
  <c r="I670" i="11"/>
  <c r="AG670" i="11"/>
  <c r="J670" i="11"/>
  <c r="AH670" i="11"/>
  <c r="K670" i="11"/>
  <c r="AI670" i="11"/>
  <c r="L670" i="11"/>
  <c r="AJ670" i="11"/>
  <c r="M670" i="11"/>
  <c r="AK670" i="11"/>
  <c r="N670" i="11"/>
  <c r="AL670" i="11"/>
  <c r="O670" i="11"/>
  <c r="AM670" i="11"/>
  <c r="P670" i="11"/>
  <c r="AN670" i="11"/>
  <c r="Q670" i="11"/>
  <c r="AO670" i="11"/>
  <c r="R670" i="11"/>
  <c r="AP670" i="11"/>
  <c r="S670" i="11"/>
  <c r="AQ670" i="11"/>
  <c r="T670" i="11"/>
  <c r="AR670" i="11"/>
  <c r="U670" i="11"/>
  <c r="AS670" i="11"/>
  <c r="V670" i="11"/>
  <c r="AT670" i="11"/>
  <c r="W670" i="11"/>
  <c r="AU670" i="11"/>
  <c r="X670" i="11"/>
  <c r="AV670" i="11"/>
  <c r="Y670" i="11"/>
  <c r="AW670" i="11"/>
  <c r="Z670" i="11"/>
  <c r="AC671" i="11"/>
  <c r="F671" i="11"/>
  <c r="AD671" i="11"/>
  <c r="G671" i="11"/>
  <c r="AE671" i="11"/>
  <c r="H671" i="11"/>
  <c r="AF671" i="11"/>
  <c r="I671" i="11"/>
  <c r="AG671" i="11"/>
  <c r="J671" i="11"/>
  <c r="AH671" i="11"/>
  <c r="K671" i="11"/>
  <c r="AI671" i="11"/>
  <c r="L671" i="11"/>
  <c r="AJ671" i="11"/>
  <c r="M671" i="11"/>
  <c r="AK671" i="11"/>
  <c r="N671" i="11"/>
  <c r="AL671" i="11"/>
  <c r="O671" i="11"/>
  <c r="AM671" i="11"/>
  <c r="P671" i="11"/>
  <c r="AN671" i="11"/>
  <c r="Q671" i="11"/>
  <c r="AO671" i="11"/>
  <c r="R671" i="11"/>
  <c r="AP671" i="11"/>
  <c r="S671" i="11"/>
  <c r="AQ671" i="11"/>
  <c r="T671" i="11"/>
  <c r="AR671" i="11"/>
  <c r="U671" i="11"/>
  <c r="AS671" i="11"/>
  <c r="V671" i="11"/>
  <c r="AT671" i="11"/>
  <c r="W671" i="11"/>
  <c r="AU671" i="11"/>
  <c r="X671" i="11"/>
  <c r="AV671" i="11"/>
  <c r="Y671" i="11"/>
  <c r="AW671" i="11"/>
  <c r="Z671" i="11"/>
  <c r="AC672" i="11"/>
  <c r="F672" i="11"/>
  <c r="AD672" i="11"/>
  <c r="G672" i="11"/>
  <c r="AE672" i="11"/>
  <c r="H672" i="11"/>
  <c r="AF672" i="11"/>
  <c r="I672" i="11"/>
  <c r="AG672" i="11"/>
  <c r="J672" i="11"/>
  <c r="AH672" i="11"/>
  <c r="K672" i="11"/>
  <c r="AI672" i="11"/>
  <c r="L672" i="11"/>
  <c r="AJ672" i="11"/>
  <c r="M672" i="11"/>
  <c r="AK672" i="11"/>
  <c r="N672" i="11"/>
  <c r="AL672" i="11"/>
  <c r="O672" i="11"/>
  <c r="AM672" i="11"/>
  <c r="P672" i="11"/>
  <c r="AN672" i="11"/>
  <c r="Q672" i="11"/>
  <c r="AO672" i="11"/>
  <c r="R672" i="11"/>
  <c r="AP672" i="11"/>
  <c r="S672" i="11"/>
  <c r="AQ672" i="11"/>
  <c r="T672" i="11"/>
  <c r="AR672" i="11"/>
  <c r="U672" i="11"/>
  <c r="AS672" i="11"/>
  <c r="V672" i="11"/>
  <c r="AT672" i="11"/>
  <c r="W672" i="11"/>
  <c r="AU672" i="11"/>
  <c r="X672" i="11"/>
  <c r="AV672" i="11"/>
  <c r="Y672" i="11"/>
  <c r="AW672" i="11"/>
  <c r="Z672" i="11"/>
  <c r="AC673" i="11"/>
  <c r="F673" i="11"/>
  <c r="AD673" i="11"/>
  <c r="G673" i="11"/>
  <c r="AE673" i="11"/>
  <c r="H673" i="11"/>
  <c r="AF673" i="11"/>
  <c r="I673" i="11"/>
  <c r="AG673" i="11"/>
  <c r="J673" i="11"/>
  <c r="AH673" i="11"/>
  <c r="K673" i="11"/>
  <c r="AI673" i="11"/>
  <c r="L673" i="11"/>
  <c r="AJ673" i="11"/>
  <c r="M673" i="11"/>
  <c r="AK673" i="11"/>
  <c r="N673" i="11"/>
  <c r="AL673" i="11"/>
  <c r="O673" i="11"/>
  <c r="AM673" i="11"/>
  <c r="P673" i="11"/>
  <c r="AN673" i="11"/>
  <c r="Q673" i="11"/>
  <c r="AO673" i="11"/>
  <c r="R673" i="11"/>
  <c r="AP673" i="11"/>
  <c r="S673" i="11"/>
  <c r="AQ673" i="11"/>
  <c r="T673" i="11"/>
  <c r="AR673" i="11"/>
  <c r="U673" i="11"/>
  <c r="AS673" i="11"/>
  <c r="V673" i="11"/>
  <c r="AT673" i="11"/>
  <c r="W673" i="11"/>
  <c r="AU673" i="11"/>
  <c r="X673" i="11"/>
  <c r="AV673" i="11"/>
  <c r="Y673" i="11"/>
  <c r="AW673" i="11"/>
  <c r="Z673" i="11"/>
  <c r="AC674" i="11"/>
  <c r="F674" i="11"/>
  <c r="AD674" i="11"/>
  <c r="G674" i="11"/>
  <c r="AE674" i="11"/>
  <c r="H674" i="11"/>
  <c r="AF674" i="11"/>
  <c r="I674" i="11"/>
  <c r="AG674" i="11"/>
  <c r="J674" i="11"/>
  <c r="AH674" i="11"/>
  <c r="K674" i="11"/>
  <c r="AI674" i="11"/>
  <c r="L674" i="11"/>
  <c r="AJ674" i="11"/>
  <c r="M674" i="11"/>
  <c r="AK674" i="11"/>
  <c r="N674" i="11"/>
  <c r="AL674" i="11"/>
  <c r="O674" i="11"/>
  <c r="AM674" i="11"/>
  <c r="P674" i="11"/>
  <c r="AN674" i="11"/>
  <c r="Q674" i="11"/>
  <c r="AO674" i="11"/>
  <c r="R674" i="11"/>
  <c r="AP674" i="11"/>
  <c r="S674" i="11"/>
  <c r="AQ674" i="11"/>
  <c r="T674" i="11"/>
  <c r="AR674" i="11"/>
  <c r="U674" i="11"/>
  <c r="AS674" i="11"/>
  <c r="V674" i="11"/>
  <c r="AT674" i="11"/>
  <c r="W674" i="11"/>
  <c r="AU674" i="11"/>
  <c r="X674" i="11"/>
  <c r="AV674" i="11"/>
  <c r="Y674" i="11"/>
  <c r="AW674" i="11"/>
  <c r="Z674" i="11"/>
  <c r="AC675" i="11"/>
  <c r="F675" i="11"/>
  <c r="AD675" i="11"/>
  <c r="G675" i="11"/>
  <c r="AE675" i="11"/>
  <c r="H675" i="11"/>
  <c r="AF675" i="11"/>
  <c r="I675" i="11"/>
  <c r="AG675" i="11"/>
  <c r="J675" i="11"/>
  <c r="AH675" i="11"/>
  <c r="K675" i="11"/>
  <c r="AI675" i="11"/>
  <c r="L675" i="11"/>
  <c r="AJ675" i="11"/>
  <c r="M675" i="11"/>
  <c r="AK675" i="11"/>
  <c r="N675" i="11"/>
  <c r="AL675" i="11"/>
  <c r="O675" i="11"/>
  <c r="AM675" i="11"/>
  <c r="P675" i="11"/>
  <c r="AN675" i="11"/>
  <c r="Q675" i="11"/>
  <c r="AO675" i="11"/>
  <c r="R675" i="11"/>
  <c r="AP675" i="11"/>
  <c r="S675" i="11"/>
  <c r="AQ675" i="11"/>
  <c r="T675" i="11"/>
  <c r="AR675" i="11"/>
  <c r="U675" i="11"/>
  <c r="AS675" i="11"/>
  <c r="V675" i="11"/>
  <c r="AT675" i="11"/>
  <c r="W675" i="11"/>
  <c r="AU675" i="11"/>
  <c r="X675" i="11"/>
  <c r="AV675" i="11"/>
  <c r="Y675" i="11"/>
  <c r="AW675" i="11"/>
  <c r="Z675" i="11"/>
  <c r="AC676" i="11"/>
  <c r="F676" i="11"/>
  <c r="AD676" i="11"/>
  <c r="G676" i="11"/>
  <c r="AE676" i="11"/>
  <c r="H676" i="11"/>
  <c r="AF676" i="11"/>
  <c r="I676" i="11"/>
  <c r="AG676" i="11"/>
  <c r="J676" i="11"/>
  <c r="AH676" i="11"/>
  <c r="K676" i="11"/>
  <c r="AI676" i="11"/>
  <c r="L676" i="11"/>
  <c r="AJ676" i="11"/>
  <c r="M676" i="11"/>
  <c r="AK676" i="11"/>
  <c r="N676" i="11"/>
  <c r="AL676" i="11"/>
  <c r="O676" i="11"/>
  <c r="AM676" i="11"/>
  <c r="P676" i="11"/>
  <c r="AN676" i="11"/>
  <c r="Q676" i="11"/>
  <c r="AO676" i="11"/>
  <c r="R676" i="11"/>
  <c r="AP676" i="11"/>
  <c r="S676" i="11"/>
  <c r="AQ676" i="11"/>
  <c r="T676" i="11"/>
  <c r="AR676" i="11"/>
  <c r="U676" i="11"/>
  <c r="AS676" i="11"/>
  <c r="V676" i="11"/>
  <c r="AT676" i="11"/>
  <c r="W676" i="11"/>
  <c r="AU676" i="11"/>
  <c r="X676" i="11"/>
  <c r="AV676" i="11"/>
  <c r="Y676" i="11"/>
  <c r="AW676" i="11"/>
  <c r="Z676" i="11"/>
  <c r="AC677" i="11"/>
  <c r="F677" i="11"/>
  <c r="AD677" i="11"/>
  <c r="G677" i="11"/>
  <c r="AE677" i="11"/>
  <c r="H677" i="11"/>
  <c r="AF677" i="11"/>
  <c r="I677" i="11"/>
  <c r="AG677" i="11"/>
  <c r="J677" i="11"/>
  <c r="AH677" i="11"/>
  <c r="K677" i="11"/>
  <c r="AI677" i="11"/>
  <c r="L677" i="11"/>
  <c r="AJ677" i="11"/>
  <c r="M677" i="11"/>
  <c r="AK677" i="11"/>
  <c r="N677" i="11"/>
  <c r="AL677" i="11"/>
  <c r="O677" i="11"/>
  <c r="AM677" i="11"/>
  <c r="P677" i="11"/>
  <c r="AN677" i="11"/>
  <c r="Q677" i="11"/>
  <c r="AO677" i="11"/>
  <c r="R677" i="11"/>
  <c r="AP677" i="11"/>
  <c r="S677" i="11"/>
  <c r="AQ677" i="11"/>
  <c r="T677" i="11"/>
  <c r="AR677" i="11"/>
  <c r="U677" i="11"/>
  <c r="AS677" i="11"/>
  <c r="V677" i="11"/>
  <c r="AT677" i="11"/>
  <c r="W677" i="11"/>
  <c r="AU677" i="11"/>
  <c r="X677" i="11"/>
  <c r="AV677" i="11"/>
  <c r="Y677" i="11"/>
  <c r="AW677" i="11"/>
  <c r="Z677" i="11"/>
  <c r="AC678" i="11"/>
  <c r="F678" i="11"/>
  <c r="AD678" i="11"/>
  <c r="G678" i="11"/>
  <c r="AE678" i="11"/>
  <c r="H678" i="11"/>
  <c r="AF678" i="11"/>
  <c r="I678" i="11"/>
  <c r="AG678" i="11"/>
  <c r="J678" i="11"/>
  <c r="AH678" i="11"/>
  <c r="K678" i="11"/>
  <c r="AI678" i="11"/>
  <c r="L678" i="11"/>
  <c r="AJ678" i="11"/>
  <c r="M678" i="11"/>
  <c r="AK678" i="11"/>
  <c r="N678" i="11"/>
  <c r="AL678" i="11"/>
  <c r="O678" i="11"/>
  <c r="AM678" i="11"/>
  <c r="P678" i="11"/>
  <c r="AN678" i="11"/>
  <c r="Q678" i="11"/>
  <c r="AO678" i="11"/>
  <c r="R678" i="11"/>
  <c r="AP678" i="11"/>
  <c r="S678" i="11"/>
  <c r="AQ678" i="11"/>
  <c r="T678" i="11"/>
  <c r="AR678" i="11"/>
  <c r="U678" i="11"/>
  <c r="AS678" i="11"/>
  <c r="V678" i="11"/>
  <c r="AT678" i="11"/>
  <c r="W678" i="11"/>
  <c r="AU678" i="11"/>
  <c r="X678" i="11"/>
  <c r="AV678" i="11"/>
  <c r="Y678" i="11"/>
  <c r="AW678" i="11"/>
  <c r="Z678" i="11"/>
  <c r="AC679" i="11"/>
  <c r="F679" i="11"/>
  <c r="AD679" i="11"/>
  <c r="G679" i="11"/>
  <c r="AE679" i="11"/>
  <c r="H679" i="11"/>
  <c r="AF679" i="11"/>
  <c r="I679" i="11"/>
  <c r="AG679" i="11"/>
  <c r="J679" i="11"/>
  <c r="AH679" i="11"/>
  <c r="K679" i="11"/>
  <c r="AI679" i="11"/>
  <c r="L679" i="11"/>
  <c r="AJ679" i="11"/>
  <c r="M679" i="11"/>
  <c r="AK679" i="11"/>
  <c r="N679" i="11"/>
  <c r="AL679" i="11"/>
  <c r="O679" i="11"/>
  <c r="AM679" i="11"/>
  <c r="P679" i="11"/>
  <c r="AN679" i="11"/>
  <c r="Q679" i="11"/>
  <c r="AO679" i="11"/>
  <c r="R679" i="11"/>
  <c r="AP679" i="11"/>
  <c r="S679" i="11"/>
  <c r="AQ679" i="11"/>
  <c r="T679" i="11"/>
  <c r="AR679" i="11"/>
  <c r="U679" i="11"/>
  <c r="AS679" i="11"/>
  <c r="V679" i="11"/>
  <c r="AT679" i="11"/>
  <c r="W679" i="11"/>
  <c r="AU679" i="11"/>
  <c r="X679" i="11"/>
  <c r="AV679" i="11"/>
  <c r="Y679" i="11"/>
  <c r="AW679" i="11"/>
  <c r="Z679" i="11"/>
  <c r="AC680" i="11"/>
  <c r="F680" i="11"/>
  <c r="AD680" i="11"/>
  <c r="G680" i="11"/>
  <c r="AE680" i="11"/>
  <c r="H680" i="11"/>
  <c r="AF680" i="11"/>
  <c r="I680" i="11"/>
  <c r="AG680" i="11"/>
  <c r="J680" i="11"/>
  <c r="AH680" i="11"/>
  <c r="K680" i="11"/>
  <c r="AI680" i="11"/>
  <c r="L680" i="11"/>
  <c r="AJ680" i="11"/>
  <c r="M680" i="11"/>
  <c r="AK680" i="11"/>
  <c r="N680" i="11"/>
  <c r="AL680" i="11"/>
  <c r="O680" i="11"/>
  <c r="AM680" i="11"/>
  <c r="P680" i="11"/>
  <c r="AN680" i="11"/>
  <c r="Q680" i="11"/>
  <c r="AO680" i="11"/>
  <c r="R680" i="11"/>
  <c r="AP680" i="11"/>
  <c r="S680" i="11"/>
  <c r="AQ680" i="11"/>
  <c r="T680" i="11"/>
  <c r="AR680" i="11"/>
  <c r="U680" i="11"/>
  <c r="AS680" i="11"/>
  <c r="V680" i="11"/>
  <c r="AT680" i="11"/>
  <c r="W680" i="11"/>
  <c r="AU680" i="11"/>
  <c r="X680" i="11"/>
  <c r="AV680" i="11"/>
  <c r="Y680" i="11"/>
  <c r="AW680" i="11"/>
  <c r="Z680" i="11"/>
  <c r="AC681" i="11"/>
  <c r="F681" i="11"/>
  <c r="AD681" i="11"/>
  <c r="G681" i="11"/>
  <c r="AE681" i="11"/>
  <c r="H681" i="11"/>
  <c r="AF681" i="11"/>
  <c r="I681" i="11"/>
  <c r="AG681" i="11"/>
  <c r="J681" i="11"/>
  <c r="AH681" i="11"/>
  <c r="K681" i="11"/>
  <c r="AI681" i="11"/>
  <c r="L681" i="11"/>
  <c r="AJ681" i="11"/>
  <c r="M681" i="11"/>
  <c r="AK681" i="11"/>
  <c r="N681" i="11"/>
  <c r="AL681" i="11"/>
  <c r="O681" i="11"/>
  <c r="AM681" i="11"/>
  <c r="P681" i="11"/>
  <c r="AN681" i="11"/>
  <c r="Q681" i="11"/>
  <c r="AO681" i="11"/>
  <c r="R681" i="11"/>
  <c r="AP681" i="11"/>
  <c r="S681" i="11"/>
  <c r="AQ681" i="11"/>
  <c r="T681" i="11"/>
  <c r="AR681" i="11"/>
  <c r="U681" i="11"/>
  <c r="AS681" i="11"/>
  <c r="V681" i="11"/>
  <c r="AT681" i="11"/>
  <c r="W681" i="11"/>
  <c r="AU681" i="11"/>
  <c r="X681" i="11"/>
  <c r="AV681" i="11"/>
  <c r="Y681" i="11"/>
  <c r="AW681" i="11"/>
  <c r="Z681" i="11"/>
  <c r="AC682" i="11"/>
  <c r="F682" i="11"/>
  <c r="AD682" i="11"/>
  <c r="G682" i="11"/>
  <c r="AE682" i="11"/>
  <c r="H682" i="11"/>
  <c r="AF682" i="11"/>
  <c r="I682" i="11"/>
  <c r="AG682" i="11"/>
  <c r="J682" i="11"/>
  <c r="AH682" i="11"/>
  <c r="K682" i="11"/>
  <c r="AI682" i="11"/>
  <c r="L682" i="11"/>
  <c r="AJ682" i="11"/>
  <c r="M682" i="11"/>
  <c r="AK682" i="11"/>
  <c r="N682" i="11"/>
  <c r="AL682" i="11"/>
  <c r="O682" i="11"/>
  <c r="AM682" i="11"/>
  <c r="P682" i="11"/>
  <c r="AN682" i="11"/>
  <c r="Q682" i="11"/>
  <c r="AO682" i="11"/>
  <c r="R682" i="11"/>
  <c r="AP682" i="11"/>
  <c r="S682" i="11"/>
  <c r="AQ682" i="11"/>
  <c r="T682" i="11"/>
  <c r="AR682" i="11"/>
  <c r="U682" i="11"/>
  <c r="AS682" i="11"/>
  <c r="V682" i="11"/>
  <c r="AT682" i="11"/>
  <c r="W682" i="11"/>
  <c r="AU682" i="11"/>
  <c r="X682" i="11"/>
  <c r="AV682" i="11"/>
  <c r="Y682" i="11"/>
  <c r="AW682" i="11"/>
  <c r="Z682" i="11"/>
  <c r="AC683" i="11"/>
  <c r="F683" i="11"/>
  <c r="AD683" i="11"/>
  <c r="G683" i="11"/>
  <c r="AE683" i="11"/>
  <c r="H683" i="11"/>
  <c r="AF683" i="11"/>
  <c r="I683" i="11"/>
  <c r="AG683" i="11"/>
  <c r="J683" i="11"/>
  <c r="AH683" i="11"/>
  <c r="K683" i="11"/>
  <c r="AI683" i="11"/>
  <c r="L683" i="11"/>
  <c r="AJ683" i="11"/>
  <c r="M683" i="11"/>
  <c r="AK683" i="11"/>
  <c r="N683" i="11"/>
  <c r="AL683" i="11"/>
  <c r="O683" i="11"/>
  <c r="AM683" i="11"/>
  <c r="P683" i="11"/>
  <c r="AN683" i="11"/>
  <c r="Q683" i="11"/>
  <c r="AO683" i="11"/>
  <c r="R683" i="11"/>
  <c r="AP683" i="11"/>
  <c r="S683" i="11"/>
  <c r="AQ683" i="11"/>
  <c r="T683" i="11"/>
  <c r="AR683" i="11"/>
  <c r="U683" i="11"/>
  <c r="AS683" i="11"/>
  <c r="V683" i="11"/>
  <c r="AT683" i="11"/>
  <c r="W683" i="11"/>
  <c r="AU683" i="11"/>
  <c r="X683" i="11"/>
  <c r="AV683" i="11"/>
  <c r="Y683" i="11"/>
  <c r="AW683" i="11"/>
  <c r="Z683" i="11"/>
  <c r="AC684" i="11"/>
  <c r="F684" i="11"/>
  <c r="AD684" i="11"/>
  <c r="G684" i="11"/>
  <c r="AE684" i="11"/>
  <c r="H684" i="11"/>
  <c r="AF684" i="11"/>
  <c r="I684" i="11"/>
  <c r="AG684" i="11"/>
  <c r="J684" i="11"/>
  <c r="AH684" i="11"/>
  <c r="K684" i="11"/>
  <c r="AI684" i="11"/>
  <c r="L684" i="11"/>
  <c r="AJ684" i="11"/>
  <c r="M684" i="11"/>
  <c r="AK684" i="11"/>
  <c r="N684" i="11"/>
  <c r="AL684" i="11"/>
  <c r="O684" i="11"/>
  <c r="AM684" i="11"/>
  <c r="P684" i="11"/>
  <c r="AN684" i="11"/>
  <c r="Q684" i="11"/>
  <c r="AO684" i="11"/>
  <c r="R684" i="11"/>
  <c r="AP684" i="11"/>
  <c r="S684" i="11"/>
  <c r="AQ684" i="11"/>
  <c r="T684" i="11"/>
  <c r="AR684" i="11"/>
  <c r="U684" i="11"/>
  <c r="AS684" i="11"/>
  <c r="V684" i="11"/>
  <c r="AT684" i="11"/>
  <c r="W684" i="11"/>
  <c r="AU684" i="11"/>
  <c r="X684" i="11"/>
  <c r="AV684" i="11"/>
  <c r="Y684" i="11"/>
  <c r="AW684" i="11"/>
  <c r="Z684" i="11"/>
  <c r="AC685" i="11"/>
  <c r="F685" i="11"/>
  <c r="AD685" i="11"/>
  <c r="G685" i="11"/>
  <c r="AE685" i="11"/>
  <c r="H685" i="11"/>
  <c r="AF685" i="11"/>
  <c r="I685" i="11"/>
  <c r="AG685" i="11"/>
  <c r="J685" i="11"/>
  <c r="AH685" i="11"/>
  <c r="K685" i="11"/>
  <c r="AI685" i="11"/>
  <c r="L685" i="11"/>
  <c r="AJ685" i="11"/>
  <c r="M685" i="11"/>
  <c r="AK685" i="11"/>
  <c r="N685" i="11"/>
  <c r="AL685" i="11"/>
  <c r="O685" i="11"/>
  <c r="AM685" i="11"/>
  <c r="P685" i="11"/>
  <c r="AN685" i="11"/>
  <c r="Q685" i="11"/>
  <c r="AO685" i="11"/>
  <c r="R685" i="11"/>
  <c r="AP685" i="11"/>
  <c r="S685" i="11"/>
  <c r="AQ685" i="11"/>
  <c r="T685" i="11"/>
  <c r="AR685" i="11"/>
  <c r="U685" i="11"/>
  <c r="AS685" i="11"/>
  <c r="V685" i="11"/>
  <c r="AT685" i="11"/>
  <c r="W685" i="11"/>
  <c r="AU685" i="11"/>
  <c r="X685" i="11"/>
  <c r="AV685" i="11"/>
  <c r="Y685" i="11"/>
  <c r="AW685" i="11"/>
  <c r="Z685" i="11"/>
  <c r="AC686" i="11"/>
  <c r="F686" i="11"/>
  <c r="AD686" i="11"/>
  <c r="G686" i="11"/>
  <c r="AE686" i="11"/>
  <c r="H686" i="11"/>
  <c r="AF686" i="11"/>
  <c r="I686" i="11"/>
  <c r="AG686" i="11"/>
  <c r="J686" i="11"/>
  <c r="AH686" i="11"/>
  <c r="K686" i="11"/>
  <c r="AI686" i="11"/>
  <c r="L686" i="11"/>
  <c r="AJ686" i="11"/>
  <c r="M686" i="11"/>
  <c r="AK686" i="11"/>
  <c r="N686" i="11"/>
  <c r="AL686" i="11"/>
  <c r="O686" i="11"/>
  <c r="AM686" i="11"/>
  <c r="P686" i="11"/>
  <c r="AN686" i="11"/>
  <c r="Q686" i="11"/>
  <c r="AO686" i="11"/>
  <c r="R686" i="11"/>
  <c r="AP686" i="11"/>
  <c r="S686" i="11"/>
  <c r="AQ686" i="11"/>
  <c r="T686" i="11"/>
  <c r="AR686" i="11"/>
  <c r="U686" i="11"/>
  <c r="AS686" i="11"/>
  <c r="V686" i="11"/>
  <c r="AT686" i="11"/>
  <c r="W686" i="11"/>
  <c r="AU686" i="11"/>
  <c r="X686" i="11"/>
  <c r="AV686" i="11"/>
  <c r="Y686" i="11"/>
  <c r="AW686" i="11"/>
  <c r="Z686" i="11"/>
  <c r="AC687" i="11"/>
  <c r="F687" i="11"/>
  <c r="AD687" i="11"/>
  <c r="G687" i="11"/>
  <c r="AE687" i="11"/>
  <c r="H687" i="11"/>
  <c r="AF687" i="11"/>
  <c r="I687" i="11"/>
  <c r="AG687" i="11"/>
  <c r="J687" i="11"/>
  <c r="AH687" i="11"/>
  <c r="K687" i="11"/>
  <c r="AI687" i="11"/>
  <c r="L687" i="11"/>
  <c r="AJ687" i="11"/>
  <c r="M687" i="11"/>
  <c r="AK687" i="11"/>
  <c r="N687" i="11"/>
  <c r="AL687" i="11"/>
  <c r="O687" i="11"/>
  <c r="AM687" i="11"/>
  <c r="P687" i="11"/>
  <c r="AN687" i="11"/>
  <c r="Q687" i="11"/>
  <c r="AO687" i="11"/>
  <c r="R687" i="11"/>
  <c r="AP687" i="11"/>
  <c r="S687" i="11"/>
  <c r="AQ687" i="11"/>
  <c r="T687" i="11"/>
  <c r="AR687" i="11"/>
  <c r="U687" i="11"/>
  <c r="AS687" i="11"/>
  <c r="V687" i="11"/>
  <c r="AT687" i="11"/>
  <c r="W687" i="11"/>
  <c r="AU687" i="11"/>
  <c r="X687" i="11"/>
  <c r="AV687" i="11"/>
  <c r="Y687" i="11"/>
  <c r="AW687" i="11"/>
  <c r="Z687" i="11"/>
  <c r="AC688" i="11"/>
  <c r="F688" i="11"/>
  <c r="AD688" i="11"/>
  <c r="G688" i="11"/>
  <c r="AE688" i="11"/>
  <c r="H688" i="11"/>
  <c r="AF688" i="11"/>
  <c r="I688" i="11"/>
  <c r="AG688" i="11"/>
  <c r="J688" i="11"/>
  <c r="AH688" i="11"/>
  <c r="K688" i="11"/>
  <c r="AI688" i="11"/>
  <c r="L688" i="11"/>
  <c r="AJ688" i="11"/>
  <c r="M688" i="11"/>
  <c r="AK688" i="11"/>
  <c r="N688" i="11"/>
  <c r="AL688" i="11"/>
  <c r="O688" i="11"/>
  <c r="AM688" i="11"/>
  <c r="P688" i="11"/>
  <c r="AN688" i="11"/>
  <c r="Q688" i="11"/>
  <c r="AO688" i="11"/>
  <c r="R688" i="11"/>
  <c r="AP688" i="11"/>
  <c r="S688" i="11"/>
  <c r="AQ688" i="11"/>
  <c r="T688" i="11"/>
  <c r="AR688" i="11"/>
  <c r="U688" i="11"/>
  <c r="AS688" i="11"/>
  <c r="V688" i="11"/>
  <c r="AT688" i="11"/>
  <c r="W688" i="11"/>
  <c r="AU688" i="11"/>
  <c r="X688" i="11"/>
  <c r="AV688" i="11"/>
  <c r="Y688" i="11"/>
  <c r="AW688" i="11"/>
  <c r="Z688" i="11"/>
  <c r="AC689" i="11"/>
  <c r="F689" i="11"/>
  <c r="AD689" i="11"/>
  <c r="G689" i="11"/>
  <c r="AE689" i="11"/>
  <c r="H689" i="11"/>
  <c r="AF689" i="11"/>
  <c r="I689" i="11"/>
  <c r="AG689" i="11"/>
  <c r="J689" i="11"/>
  <c r="AH689" i="11"/>
  <c r="K689" i="11"/>
  <c r="AI689" i="11"/>
  <c r="L689" i="11"/>
  <c r="AJ689" i="11"/>
  <c r="M689" i="11"/>
  <c r="AK689" i="11"/>
  <c r="N689" i="11"/>
  <c r="AL689" i="11"/>
  <c r="O689" i="11"/>
  <c r="AM689" i="11"/>
  <c r="P689" i="11"/>
  <c r="AN689" i="11"/>
  <c r="Q689" i="11"/>
  <c r="AO689" i="11"/>
  <c r="R689" i="11"/>
  <c r="AP689" i="11"/>
  <c r="S689" i="11"/>
  <c r="AQ689" i="11"/>
  <c r="T689" i="11"/>
  <c r="AR689" i="11"/>
  <c r="U689" i="11"/>
  <c r="AS689" i="11"/>
  <c r="V689" i="11"/>
  <c r="AT689" i="11"/>
  <c r="W689" i="11"/>
  <c r="AU689" i="11"/>
  <c r="X689" i="11"/>
  <c r="AV689" i="11"/>
  <c r="Y689" i="11"/>
  <c r="AW689" i="11"/>
  <c r="Z689" i="11"/>
  <c r="AC690" i="11"/>
  <c r="F690" i="11"/>
  <c r="AD690" i="11"/>
  <c r="G690" i="11"/>
  <c r="AE690" i="11"/>
  <c r="H690" i="11"/>
  <c r="AF690" i="11"/>
  <c r="I690" i="11"/>
  <c r="AG690" i="11"/>
  <c r="J690" i="11"/>
  <c r="AH690" i="11"/>
  <c r="K690" i="11"/>
  <c r="AI690" i="11"/>
  <c r="L690" i="11"/>
  <c r="AJ690" i="11"/>
  <c r="M690" i="11"/>
  <c r="AK690" i="11"/>
  <c r="N690" i="11"/>
  <c r="AL690" i="11"/>
  <c r="O690" i="11"/>
  <c r="AM690" i="11"/>
  <c r="P690" i="11"/>
  <c r="AN690" i="11"/>
  <c r="Q690" i="11"/>
  <c r="AO690" i="11"/>
  <c r="R690" i="11"/>
  <c r="AP690" i="11"/>
  <c r="S690" i="11"/>
  <c r="AQ690" i="11"/>
  <c r="T690" i="11"/>
  <c r="AR690" i="11"/>
  <c r="U690" i="11"/>
  <c r="AS690" i="11"/>
  <c r="V690" i="11"/>
  <c r="AT690" i="11"/>
  <c r="W690" i="11"/>
  <c r="AU690" i="11"/>
  <c r="X690" i="11"/>
  <c r="AV690" i="11"/>
  <c r="Y690" i="11"/>
  <c r="AW690" i="11"/>
  <c r="Z690" i="11"/>
  <c r="AC691" i="11"/>
  <c r="F691" i="11"/>
  <c r="AD691" i="11"/>
  <c r="G691" i="11"/>
  <c r="AE691" i="11"/>
  <c r="H691" i="11"/>
  <c r="AF691" i="11"/>
  <c r="I691" i="11"/>
  <c r="AG691" i="11"/>
  <c r="J691" i="11"/>
  <c r="AH691" i="11"/>
  <c r="K691" i="11"/>
  <c r="AI691" i="11"/>
  <c r="L691" i="11"/>
  <c r="AJ691" i="11"/>
  <c r="M691" i="11"/>
  <c r="AK691" i="11"/>
  <c r="N691" i="11"/>
  <c r="AL691" i="11"/>
  <c r="O691" i="11"/>
  <c r="AM691" i="11"/>
  <c r="P691" i="11"/>
  <c r="AN691" i="11"/>
  <c r="Q691" i="11"/>
  <c r="AO691" i="11"/>
  <c r="R691" i="11"/>
  <c r="AP691" i="11"/>
  <c r="S691" i="11"/>
  <c r="AQ691" i="11"/>
  <c r="T691" i="11"/>
  <c r="AR691" i="11"/>
  <c r="U691" i="11"/>
  <c r="AS691" i="11"/>
  <c r="V691" i="11"/>
  <c r="AT691" i="11"/>
  <c r="W691" i="11"/>
  <c r="AU691" i="11"/>
  <c r="X691" i="11"/>
  <c r="AV691" i="11"/>
  <c r="Y691" i="11"/>
  <c r="AW691" i="11"/>
  <c r="Z691" i="11"/>
  <c r="AC692" i="11"/>
  <c r="F692" i="11"/>
  <c r="AD692" i="11"/>
  <c r="G692" i="11"/>
  <c r="AE692" i="11"/>
  <c r="H692" i="11"/>
  <c r="AF692" i="11"/>
  <c r="I692" i="11"/>
  <c r="AG692" i="11"/>
  <c r="J692" i="11"/>
  <c r="AH692" i="11"/>
  <c r="K692" i="11"/>
  <c r="AI692" i="11"/>
  <c r="L692" i="11"/>
  <c r="AJ692" i="11"/>
  <c r="M692" i="11"/>
  <c r="AK692" i="11"/>
  <c r="N692" i="11"/>
  <c r="AL692" i="11"/>
  <c r="O692" i="11"/>
  <c r="AM692" i="11"/>
  <c r="P692" i="11"/>
  <c r="AN692" i="11"/>
  <c r="Q692" i="11"/>
  <c r="AO692" i="11"/>
  <c r="R692" i="11"/>
  <c r="AP692" i="11"/>
  <c r="S692" i="11"/>
  <c r="AQ692" i="11"/>
  <c r="T692" i="11"/>
  <c r="AR692" i="11"/>
  <c r="U692" i="11"/>
  <c r="AS692" i="11"/>
  <c r="V692" i="11"/>
  <c r="AT692" i="11"/>
  <c r="W692" i="11"/>
  <c r="AU692" i="11"/>
  <c r="X692" i="11"/>
  <c r="AV692" i="11"/>
  <c r="Y692" i="11"/>
  <c r="AW692" i="11"/>
  <c r="Z692" i="11"/>
  <c r="AC693" i="11"/>
  <c r="F693" i="11"/>
  <c r="AD693" i="11"/>
  <c r="G693" i="11"/>
  <c r="AE693" i="11"/>
  <c r="H693" i="11"/>
  <c r="AF693" i="11"/>
  <c r="I693" i="11"/>
  <c r="AG693" i="11"/>
  <c r="J693" i="11"/>
  <c r="AH693" i="11"/>
  <c r="K693" i="11"/>
  <c r="AI693" i="11"/>
  <c r="L693" i="11"/>
  <c r="AJ693" i="11"/>
  <c r="M693" i="11"/>
  <c r="AK693" i="11"/>
  <c r="N693" i="11"/>
  <c r="AL693" i="11"/>
  <c r="O693" i="11"/>
  <c r="AM693" i="11"/>
  <c r="P693" i="11"/>
  <c r="AN693" i="11"/>
  <c r="Q693" i="11"/>
  <c r="AO693" i="11"/>
  <c r="R693" i="11"/>
  <c r="AP693" i="11"/>
  <c r="S693" i="11"/>
  <c r="AQ693" i="11"/>
  <c r="T693" i="11"/>
  <c r="AR693" i="11"/>
  <c r="U693" i="11"/>
  <c r="AS693" i="11"/>
  <c r="V693" i="11"/>
  <c r="AT693" i="11"/>
  <c r="W693" i="11"/>
  <c r="AU693" i="11"/>
  <c r="X693" i="11"/>
  <c r="AV693" i="11"/>
  <c r="Y693" i="11"/>
  <c r="AW693" i="11"/>
  <c r="Z693" i="11"/>
  <c r="AC694" i="11"/>
  <c r="F694" i="11"/>
  <c r="AD694" i="11"/>
  <c r="G694" i="11"/>
  <c r="AE694" i="11"/>
  <c r="H694" i="11"/>
  <c r="AF694" i="11"/>
  <c r="I694" i="11"/>
  <c r="AG694" i="11"/>
  <c r="J694" i="11"/>
  <c r="AH694" i="11"/>
  <c r="K694" i="11"/>
  <c r="AI694" i="11"/>
  <c r="L694" i="11"/>
  <c r="AJ694" i="11"/>
  <c r="M694" i="11"/>
  <c r="AK694" i="11"/>
  <c r="N694" i="11"/>
  <c r="AL694" i="11"/>
  <c r="O694" i="11"/>
  <c r="AM694" i="11"/>
  <c r="P694" i="11"/>
  <c r="AN694" i="11"/>
  <c r="Q694" i="11"/>
  <c r="AO694" i="11"/>
  <c r="R694" i="11"/>
  <c r="AP694" i="11"/>
  <c r="S694" i="11"/>
  <c r="AQ694" i="11"/>
  <c r="T694" i="11"/>
  <c r="AR694" i="11"/>
  <c r="U694" i="11"/>
  <c r="AS694" i="11"/>
  <c r="V694" i="11"/>
  <c r="AT694" i="11"/>
  <c r="W694" i="11"/>
  <c r="AU694" i="11"/>
  <c r="X694" i="11"/>
  <c r="AV694" i="11"/>
  <c r="Y694" i="11"/>
  <c r="AW694" i="11"/>
  <c r="Z694" i="11"/>
  <c r="AC695" i="11"/>
  <c r="F695" i="11"/>
  <c r="AD695" i="11"/>
  <c r="G695" i="11"/>
  <c r="AE695" i="11"/>
  <c r="H695" i="11"/>
  <c r="AF695" i="11"/>
  <c r="I695" i="11"/>
  <c r="AG695" i="11"/>
  <c r="J695" i="11"/>
  <c r="AH695" i="11"/>
  <c r="K695" i="11"/>
  <c r="AI695" i="11"/>
  <c r="L695" i="11"/>
  <c r="AJ695" i="11"/>
  <c r="M695" i="11"/>
  <c r="AK695" i="11"/>
  <c r="N695" i="11"/>
  <c r="AL695" i="11"/>
  <c r="O695" i="11"/>
  <c r="AM695" i="11"/>
  <c r="P695" i="11"/>
  <c r="AN695" i="11"/>
  <c r="Q695" i="11"/>
  <c r="AO695" i="11"/>
  <c r="R695" i="11"/>
  <c r="AP695" i="11"/>
  <c r="S695" i="11"/>
  <c r="AQ695" i="11"/>
  <c r="T695" i="11"/>
  <c r="AR695" i="11"/>
  <c r="U695" i="11"/>
  <c r="AS695" i="11"/>
  <c r="V695" i="11"/>
  <c r="AT695" i="11"/>
  <c r="W695" i="11"/>
  <c r="AU695" i="11"/>
  <c r="X695" i="11"/>
  <c r="AV695" i="11"/>
  <c r="Y695" i="11"/>
  <c r="AW695" i="11"/>
  <c r="Z695" i="11"/>
  <c r="AC696" i="11"/>
  <c r="F696" i="11"/>
  <c r="AD696" i="11"/>
  <c r="G696" i="11"/>
  <c r="AE696" i="11"/>
  <c r="H696" i="11"/>
  <c r="AF696" i="11"/>
  <c r="I696" i="11"/>
  <c r="AG696" i="11"/>
  <c r="J696" i="11"/>
  <c r="AH696" i="11"/>
  <c r="K696" i="11"/>
  <c r="AI696" i="11"/>
  <c r="L696" i="11"/>
  <c r="AJ696" i="11"/>
  <c r="M696" i="11"/>
  <c r="AK696" i="11"/>
  <c r="N696" i="11"/>
  <c r="AL696" i="11"/>
  <c r="O696" i="11"/>
  <c r="AM696" i="11"/>
  <c r="P696" i="11"/>
  <c r="AN696" i="11"/>
  <c r="Q696" i="11"/>
  <c r="AO696" i="11"/>
  <c r="R696" i="11"/>
  <c r="AP696" i="11"/>
  <c r="S696" i="11"/>
  <c r="AQ696" i="11"/>
  <c r="T696" i="11"/>
  <c r="AR696" i="11"/>
  <c r="U696" i="11"/>
  <c r="AS696" i="11"/>
  <c r="V696" i="11"/>
  <c r="AT696" i="11"/>
  <c r="W696" i="11"/>
  <c r="AU696" i="11"/>
  <c r="X696" i="11"/>
  <c r="AV696" i="11"/>
  <c r="Y696" i="11"/>
  <c r="AW696" i="11"/>
  <c r="Z696" i="11"/>
  <c r="AC697" i="11"/>
  <c r="F697" i="11"/>
  <c r="AD697" i="11"/>
  <c r="G697" i="11"/>
  <c r="AE697" i="11"/>
  <c r="H697" i="11"/>
  <c r="AF697" i="11"/>
  <c r="I697" i="11"/>
  <c r="AG697" i="11"/>
  <c r="J697" i="11"/>
  <c r="AH697" i="11"/>
  <c r="K697" i="11"/>
  <c r="AI697" i="11"/>
  <c r="L697" i="11"/>
  <c r="AJ697" i="11"/>
  <c r="M697" i="11"/>
  <c r="AK697" i="11"/>
  <c r="N697" i="11"/>
  <c r="AL697" i="11"/>
  <c r="O697" i="11"/>
  <c r="AM697" i="11"/>
  <c r="P697" i="11"/>
  <c r="AN697" i="11"/>
  <c r="Q697" i="11"/>
  <c r="AO697" i="11"/>
  <c r="R697" i="11"/>
  <c r="AP697" i="11"/>
  <c r="S697" i="11"/>
  <c r="AQ697" i="11"/>
  <c r="T697" i="11"/>
  <c r="AR697" i="11"/>
  <c r="U697" i="11"/>
  <c r="AS697" i="11"/>
  <c r="V697" i="11"/>
  <c r="AT697" i="11"/>
  <c r="W697" i="11"/>
  <c r="AU697" i="11"/>
  <c r="X697" i="11"/>
  <c r="AV697" i="11"/>
  <c r="Y697" i="11"/>
  <c r="AW697" i="11"/>
  <c r="Z697" i="11"/>
  <c r="AC698" i="11"/>
  <c r="F698" i="11"/>
  <c r="AD698" i="11"/>
  <c r="G698" i="11"/>
  <c r="AE698" i="11"/>
  <c r="H698" i="11"/>
  <c r="AF698" i="11"/>
  <c r="I698" i="11"/>
  <c r="AG698" i="11"/>
  <c r="J698" i="11"/>
  <c r="AH698" i="11"/>
  <c r="K698" i="11"/>
  <c r="AI698" i="11"/>
  <c r="L698" i="11"/>
  <c r="AJ698" i="11"/>
  <c r="M698" i="11"/>
  <c r="AK698" i="11"/>
  <c r="N698" i="11"/>
  <c r="AL698" i="11"/>
  <c r="O698" i="11"/>
  <c r="AM698" i="11"/>
  <c r="P698" i="11"/>
  <c r="AN698" i="11"/>
  <c r="Q698" i="11"/>
  <c r="AO698" i="11"/>
  <c r="R698" i="11"/>
  <c r="AP698" i="11"/>
  <c r="S698" i="11"/>
  <c r="AQ698" i="11"/>
  <c r="T698" i="11"/>
  <c r="AR698" i="11"/>
  <c r="U698" i="11"/>
  <c r="AS698" i="11"/>
  <c r="V698" i="11"/>
  <c r="AT698" i="11"/>
  <c r="W698" i="11"/>
  <c r="AU698" i="11"/>
  <c r="X698" i="11"/>
  <c r="AV698" i="11"/>
  <c r="Y698" i="11"/>
  <c r="AW698" i="11"/>
  <c r="Z698" i="11"/>
  <c r="AC699" i="11"/>
  <c r="F699" i="11"/>
  <c r="AD699" i="11"/>
  <c r="G699" i="11"/>
  <c r="AE699" i="11"/>
  <c r="H699" i="11"/>
  <c r="AF699" i="11"/>
  <c r="I699" i="11"/>
  <c r="AG699" i="11"/>
  <c r="J699" i="11"/>
  <c r="AH699" i="11"/>
  <c r="K699" i="11"/>
  <c r="AI699" i="11"/>
  <c r="L699" i="11"/>
  <c r="AJ699" i="11"/>
  <c r="M699" i="11"/>
  <c r="AK699" i="11"/>
  <c r="N699" i="11"/>
  <c r="AL699" i="11"/>
  <c r="O699" i="11"/>
  <c r="AM699" i="11"/>
  <c r="P699" i="11"/>
  <c r="AN699" i="11"/>
  <c r="Q699" i="11"/>
  <c r="AO699" i="11"/>
  <c r="R699" i="11"/>
  <c r="AP699" i="11"/>
  <c r="S699" i="11"/>
  <c r="AQ699" i="11"/>
  <c r="T699" i="11"/>
  <c r="AR699" i="11"/>
  <c r="U699" i="11"/>
  <c r="AS699" i="11"/>
  <c r="V699" i="11"/>
  <c r="AT699" i="11"/>
  <c r="W699" i="11"/>
  <c r="AU699" i="11"/>
  <c r="X699" i="11"/>
  <c r="AV699" i="11"/>
  <c r="Y699" i="11"/>
  <c r="AW699" i="11"/>
  <c r="Z699" i="11"/>
  <c r="AC700" i="11"/>
  <c r="F700" i="11"/>
  <c r="AD700" i="11"/>
  <c r="G700" i="11"/>
  <c r="AE700" i="11"/>
  <c r="H700" i="11"/>
  <c r="AF700" i="11"/>
  <c r="I700" i="11"/>
  <c r="AG700" i="11"/>
  <c r="J700" i="11"/>
  <c r="AH700" i="11"/>
  <c r="K700" i="11"/>
  <c r="AI700" i="11"/>
  <c r="L700" i="11"/>
  <c r="AJ700" i="11"/>
  <c r="M700" i="11"/>
  <c r="AK700" i="11"/>
  <c r="N700" i="11"/>
  <c r="AL700" i="11"/>
  <c r="O700" i="11"/>
  <c r="AM700" i="11"/>
  <c r="P700" i="11"/>
  <c r="AN700" i="11"/>
  <c r="Q700" i="11"/>
  <c r="AO700" i="11"/>
  <c r="R700" i="11"/>
  <c r="AP700" i="11"/>
  <c r="S700" i="11"/>
  <c r="AQ700" i="11"/>
  <c r="T700" i="11"/>
  <c r="AR700" i="11"/>
  <c r="U700" i="11"/>
  <c r="AS700" i="11"/>
  <c r="V700" i="11"/>
  <c r="AT700" i="11"/>
  <c r="W700" i="11"/>
  <c r="AU700" i="11"/>
  <c r="X700" i="11"/>
  <c r="AV700" i="11"/>
  <c r="Y700" i="11"/>
  <c r="AW700" i="11"/>
  <c r="Z700" i="11"/>
  <c r="AC701" i="11"/>
  <c r="F701" i="11"/>
  <c r="AD701" i="11"/>
  <c r="G701" i="11"/>
  <c r="AE701" i="11"/>
  <c r="H701" i="11"/>
  <c r="AF701" i="11"/>
  <c r="I701" i="11"/>
  <c r="AG701" i="11"/>
  <c r="J701" i="11"/>
  <c r="AH701" i="11"/>
  <c r="K701" i="11"/>
  <c r="AI701" i="11"/>
  <c r="L701" i="11"/>
  <c r="AJ701" i="11"/>
  <c r="M701" i="11"/>
  <c r="AK701" i="11"/>
  <c r="N701" i="11"/>
  <c r="AL701" i="11"/>
  <c r="O701" i="11"/>
  <c r="AM701" i="11"/>
  <c r="P701" i="11"/>
  <c r="AN701" i="11"/>
  <c r="Q701" i="11"/>
  <c r="AO701" i="11"/>
  <c r="R701" i="11"/>
  <c r="AP701" i="11"/>
  <c r="S701" i="11"/>
  <c r="AQ701" i="11"/>
  <c r="T701" i="11"/>
  <c r="AR701" i="11"/>
  <c r="U701" i="11"/>
  <c r="AS701" i="11"/>
  <c r="V701" i="11"/>
  <c r="AT701" i="11"/>
  <c r="W701" i="11"/>
  <c r="AU701" i="11"/>
  <c r="X701" i="11"/>
  <c r="AV701" i="11"/>
  <c r="Y701" i="11"/>
  <c r="AW701" i="11"/>
  <c r="Z701" i="11"/>
  <c r="AC702" i="11"/>
  <c r="F702" i="11"/>
  <c r="AD702" i="11"/>
  <c r="G702" i="11"/>
  <c r="AE702" i="11"/>
  <c r="H702" i="11"/>
  <c r="AF702" i="11"/>
  <c r="I702" i="11"/>
  <c r="AG702" i="11"/>
  <c r="J702" i="11"/>
  <c r="AH702" i="11"/>
  <c r="K702" i="11"/>
  <c r="AI702" i="11"/>
  <c r="L702" i="11"/>
  <c r="AJ702" i="11"/>
  <c r="M702" i="11"/>
  <c r="AK702" i="11"/>
  <c r="N702" i="11"/>
  <c r="AL702" i="11"/>
  <c r="O702" i="11"/>
  <c r="AM702" i="11"/>
  <c r="P702" i="11"/>
  <c r="AN702" i="11"/>
  <c r="Q702" i="11"/>
  <c r="AO702" i="11"/>
  <c r="R702" i="11"/>
  <c r="AP702" i="11"/>
  <c r="S702" i="11"/>
  <c r="AQ702" i="11"/>
  <c r="T702" i="11"/>
  <c r="AR702" i="11"/>
  <c r="U702" i="11"/>
  <c r="AS702" i="11"/>
  <c r="V702" i="11"/>
  <c r="AT702" i="11"/>
  <c r="W702" i="11"/>
  <c r="AU702" i="11"/>
  <c r="X702" i="11"/>
  <c r="AV702" i="11"/>
  <c r="Y702" i="11"/>
  <c r="AW702" i="11"/>
  <c r="Z702" i="11"/>
  <c r="AC703" i="11"/>
  <c r="F703" i="11"/>
  <c r="AD703" i="11"/>
  <c r="G703" i="11"/>
  <c r="AE703" i="11"/>
  <c r="H703" i="11"/>
  <c r="AF703" i="11"/>
  <c r="I703" i="11"/>
  <c r="AG703" i="11"/>
  <c r="J703" i="11"/>
  <c r="AH703" i="11"/>
  <c r="K703" i="11"/>
  <c r="AI703" i="11"/>
  <c r="L703" i="11"/>
  <c r="AJ703" i="11"/>
  <c r="M703" i="11"/>
  <c r="AK703" i="11"/>
  <c r="N703" i="11"/>
  <c r="AL703" i="11"/>
  <c r="O703" i="11"/>
  <c r="AM703" i="11"/>
  <c r="P703" i="11"/>
  <c r="AN703" i="11"/>
  <c r="Q703" i="11"/>
  <c r="AO703" i="11"/>
  <c r="R703" i="11"/>
  <c r="AP703" i="11"/>
  <c r="S703" i="11"/>
  <c r="AQ703" i="11"/>
  <c r="T703" i="11"/>
  <c r="AR703" i="11"/>
  <c r="U703" i="11"/>
  <c r="AS703" i="11"/>
  <c r="V703" i="11"/>
  <c r="AT703" i="11"/>
  <c r="W703" i="11"/>
  <c r="AU703" i="11"/>
  <c r="X703" i="11"/>
  <c r="AV703" i="11"/>
  <c r="Y703" i="11"/>
  <c r="AW703" i="11"/>
  <c r="Z703" i="11"/>
  <c r="AC704" i="11"/>
  <c r="F704" i="11"/>
  <c r="AD704" i="11"/>
  <c r="G704" i="11"/>
  <c r="AE704" i="11"/>
  <c r="H704" i="11"/>
  <c r="AF704" i="11"/>
  <c r="I704" i="11"/>
  <c r="AG704" i="11"/>
  <c r="J704" i="11"/>
  <c r="AH704" i="11"/>
  <c r="K704" i="11"/>
  <c r="AI704" i="11"/>
  <c r="L704" i="11"/>
  <c r="AJ704" i="11"/>
  <c r="M704" i="11"/>
  <c r="AK704" i="11"/>
  <c r="N704" i="11"/>
  <c r="AL704" i="11"/>
  <c r="O704" i="11"/>
  <c r="AM704" i="11"/>
  <c r="P704" i="11"/>
  <c r="AN704" i="11"/>
  <c r="Q704" i="11"/>
  <c r="AO704" i="11"/>
  <c r="R704" i="11"/>
  <c r="AP704" i="11"/>
  <c r="S704" i="11"/>
  <c r="AQ704" i="11"/>
  <c r="T704" i="11"/>
  <c r="AR704" i="11"/>
  <c r="U704" i="11"/>
  <c r="AS704" i="11"/>
  <c r="V704" i="11"/>
  <c r="AT704" i="11"/>
  <c r="W704" i="11"/>
  <c r="AU704" i="11"/>
  <c r="X704" i="11"/>
  <c r="AV704" i="11"/>
  <c r="Y704" i="11"/>
  <c r="AW704" i="11"/>
  <c r="Z704" i="11"/>
  <c r="AC705" i="11"/>
  <c r="F705" i="11"/>
  <c r="AD705" i="11"/>
  <c r="G705" i="11"/>
  <c r="AE705" i="11"/>
  <c r="H705" i="11"/>
  <c r="AF705" i="11"/>
  <c r="I705" i="11"/>
  <c r="AG705" i="11"/>
  <c r="J705" i="11"/>
  <c r="AH705" i="11"/>
  <c r="K705" i="11"/>
  <c r="AI705" i="11"/>
  <c r="L705" i="11"/>
  <c r="AJ705" i="11"/>
  <c r="M705" i="11"/>
  <c r="AK705" i="11"/>
  <c r="N705" i="11"/>
  <c r="AL705" i="11"/>
  <c r="O705" i="11"/>
  <c r="AM705" i="11"/>
  <c r="P705" i="11"/>
  <c r="AN705" i="11"/>
  <c r="Q705" i="11"/>
  <c r="AO705" i="11"/>
  <c r="R705" i="11"/>
  <c r="AP705" i="11"/>
  <c r="S705" i="11"/>
  <c r="AQ705" i="11"/>
  <c r="T705" i="11"/>
  <c r="AR705" i="11"/>
  <c r="U705" i="11"/>
  <c r="AS705" i="11"/>
  <c r="V705" i="11"/>
  <c r="AT705" i="11"/>
  <c r="W705" i="11"/>
  <c r="AU705" i="11"/>
  <c r="X705" i="11"/>
  <c r="AV705" i="11"/>
  <c r="Y705" i="11"/>
  <c r="AW705" i="11"/>
  <c r="Z705" i="11"/>
  <c r="AC706" i="11"/>
  <c r="F706" i="11"/>
  <c r="AD706" i="11"/>
  <c r="G706" i="11"/>
  <c r="AE706" i="11"/>
  <c r="H706" i="11"/>
  <c r="AF706" i="11"/>
  <c r="I706" i="11"/>
  <c r="AG706" i="11"/>
  <c r="J706" i="11"/>
  <c r="AH706" i="11"/>
  <c r="K706" i="11"/>
  <c r="AI706" i="11"/>
  <c r="L706" i="11"/>
  <c r="AJ706" i="11"/>
  <c r="M706" i="11"/>
  <c r="AK706" i="11"/>
  <c r="N706" i="11"/>
  <c r="AL706" i="11"/>
  <c r="O706" i="11"/>
  <c r="AM706" i="11"/>
  <c r="P706" i="11"/>
  <c r="AN706" i="11"/>
  <c r="Q706" i="11"/>
  <c r="AO706" i="11"/>
  <c r="R706" i="11"/>
  <c r="AP706" i="11"/>
  <c r="S706" i="11"/>
  <c r="AQ706" i="11"/>
  <c r="T706" i="11"/>
  <c r="AR706" i="11"/>
  <c r="U706" i="11"/>
  <c r="AS706" i="11"/>
  <c r="V706" i="11"/>
  <c r="AT706" i="11"/>
  <c r="W706" i="11"/>
  <c r="AU706" i="11"/>
  <c r="X706" i="11"/>
  <c r="AV706" i="11"/>
  <c r="Y706" i="11"/>
  <c r="AW706" i="11"/>
  <c r="Z706" i="11"/>
  <c r="AC707" i="11"/>
  <c r="F707" i="11"/>
  <c r="AD707" i="11"/>
  <c r="G707" i="11"/>
  <c r="AE707" i="11"/>
  <c r="H707" i="11"/>
  <c r="AF707" i="11"/>
  <c r="I707" i="11"/>
  <c r="AG707" i="11"/>
  <c r="J707" i="11"/>
  <c r="AH707" i="11"/>
  <c r="K707" i="11"/>
  <c r="AI707" i="11"/>
  <c r="L707" i="11"/>
  <c r="AJ707" i="11"/>
  <c r="M707" i="11"/>
  <c r="AK707" i="11"/>
  <c r="N707" i="11"/>
  <c r="AL707" i="11"/>
  <c r="O707" i="11"/>
  <c r="AM707" i="11"/>
  <c r="P707" i="11"/>
  <c r="AN707" i="11"/>
  <c r="Q707" i="11"/>
  <c r="AO707" i="11"/>
  <c r="R707" i="11"/>
  <c r="AP707" i="11"/>
  <c r="S707" i="11"/>
  <c r="AQ707" i="11"/>
  <c r="T707" i="11"/>
  <c r="AR707" i="11"/>
  <c r="U707" i="11"/>
  <c r="AS707" i="11"/>
  <c r="V707" i="11"/>
  <c r="AT707" i="11"/>
  <c r="W707" i="11"/>
  <c r="AU707" i="11"/>
  <c r="X707" i="11"/>
  <c r="AV707" i="11"/>
  <c r="Y707" i="11"/>
  <c r="AW707" i="11"/>
  <c r="Z707" i="11"/>
  <c r="AC708" i="11"/>
  <c r="F708" i="11"/>
  <c r="AD708" i="11"/>
  <c r="G708" i="11"/>
  <c r="AE708" i="11"/>
  <c r="H708" i="11"/>
  <c r="AF708" i="11"/>
  <c r="I708" i="11"/>
  <c r="AG708" i="11"/>
  <c r="J708" i="11"/>
  <c r="AH708" i="11"/>
  <c r="K708" i="11"/>
  <c r="AI708" i="11"/>
  <c r="L708" i="11"/>
  <c r="AJ708" i="11"/>
  <c r="M708" i="11"/>
  <c r="AK708" i="11"/>
  <c r="N708" i="11"/>
  <c r="AL708" i="11"/>
  <c r="O708" i="11"/>
  <c r="AM708" i="11"/>
  <c r="P708" i="11"/>
  <c r="AN708" i="11"/>
  <c r="Q708" i="11"/>
  <c r="AO708" i="11"/>
  <c r="R708" i="11"/>
  <c r="AP708" i="11"/>
  <c r="S708" i="11"/>
  <c r="AQ708" i="11"/>
  <c r="T708" i="11"/>
  <c r="AR708" i="11"/>
  <c r="U708" i="11"/>
  <c r="AS708" i="11"/>
  <c r="V708" i="11"/>
  <c r="AT708" i="11"/>
  <c r="W708" i="11"/>
  <c r="AU708" i="11"/>
  <c r="X708" i="11"/>
  <c r="AV708" i="11"/>
  <c r="Y708" i="11"/>
  <c r="AW708" i="11"/>
  <c r="Z708" i="11"/>
  <c r="AC709" i="11"/>
  <c r="F709" i="11"/>
  <c r="AD709" i="11"/>
  <c r="G709" i="11"/>
  <c r="AE709" i="11"/>
  <c r="H709" i="11"/>
  <c r="AF709" i="11"/>
  <c r="I709" i="11"/>
  <c r="AG709" i="11"/>
  <c r="J709" i="11"/>
  <c r="AH709" i="11"/>
  <c r="K709" i="11"/>
  <c r="AI709" i="11"/>
  <c r="L709" i="11"/>
  <c r="AJ709" i="11"/>
  <c r="M709" i="11"/>
  <c r="AK709" i="11"/>
  <c r="N709" i="11"/>
  <c r="AL709" i="11"/>
  <c r="O709" i="11"/>
  <c r="AM709" i="11"/>
  <c r="P709" i="11"/>
  <c r="AN709" i="11"/>
  <c r="Q709" i="11"/>
  <c r="AO709" i="11"/>
  <c r="R709" i="11"/>
  <c r="AP709" i="11"/>
  <c r="S709" i="11"/>
  <c r="AQ709" i="11"/>
  <c r="T709" i="11"/>
  <c r="AR709" i="11"/>
  <c r="U709" i="11"/>
  <c r="AS709" i="11"/>
  <c r="V709" i="11"/>
  <c r="AT709" i="11"/>
  <c r="W709" i="11"/>
  <c r="AU709" i="11"/>
  <c r="X709" i="11"/>
  <c r="AV709" i="11"/>
  <c r="Y709" i="11"/>
  <c r="AW709" i="11"/>
  <c r="Z709" i="11"/>
  <c r="AC710" i="11"/>
  <c r="F710" i="11"/>
  <c r="AD710" i="11"/>
  <c r="G710" i="11"/>
  <c r="AE710" i="11"/>
  <c r="H710" i="11"/>
  <c r="AF710" i="11"/>
  <c r="I710" i="11"/>
  <c r="AG710" i="11"/>
  <c r="J710" i="11"/>
  <c r="AH710" i="11"/>
  <c r="K710" i="11"/>
  <c r="AI710" i="11"/>
  <c r="L710" i="11"/>
  <c r="AJ710" i="11"/>
  <c r="M710" i="11"/>
  <c r="AK710" i="11"/>
  <c r="N710" i="11"/>
  <c r="AL710" i="11"/>
  <c r="O710" i="11"/>
  <c r="AM710" i="11"/>
  <c r="P710" i="11"/>
  <c r="AN710" i="11"/>
  <c r="Q710" i="11"/>
  <c r="AO710" i="11"/>
  <c r="R710" i="11"/>
  <c r="AP710" i="11"/>
  <c r="S710" i="11"/>
  <c r="AQ710" i="11"/>
  <c r="T710" i="11"/>
  <c r="AR710" i="11"/>
  <c r="U710" i="11"/>
  <c r="AS710" i="11"/>
  <c r="V710" i="11"/>
  <c r="AT710" i="11"/>
  <c r="W710" i="11"/>
  <c r="AU710" i="11"/>
  <c r="X710" i="11"/>
  <c r="AV710" i="11"/>
  <c r="Y710" i="11"/>
  <c r="AW710" i="11"/>
  <c r="Z710" i="11"/>
  <c r="AC711" i="11"/>
  <c r="F711" i="11"/>
  <c r="AD711" i="11"/>
  <c r="G711" i="11"/>
  <c r="AE711" i="11"/>
  <c r="H711" i="11"/>
  <c r="AF711" i="11"/>
  <c r="I711" i="11"/>
  <c r="AG711" i="11"/>
  <c r="J711" i="11"/>
  <c r="AH711" i="11"/>
  <c r="K711" i="11"/>
  <c r="AI711" i="11"/>
  <c r="L711" i="11"/>
  <c r="AJ711" i="11"/>
  <c r="M711" i="11"/>
  <c r="AK711" i="11"/>
  <c r="N711" i="11"/>
  <c r="AL711" i="11"/>
  <c r="O711" i="11"/>
  <c r="AM711" i="11"/>
  <c r="P711" i="11"/>
  <c r="AN711" i="11"/>
  <c r="Q711" i="11"/>
  <c r="AO711" i="11"/>
  <c r="R711" i="11"/>
  <c r="AP711" i="11"/>
  <c r="S711" i="11"/>
  <c r="AQ711" i="11"/>
  <c r="T711" i="11"/>
  <c r="AR711" i="11"/>
  <c r="U711" i="11"/>
  <c r="AS711" i="11"/>
  <c r="V711" i="11"/>
  <c r="AT711" i="11"/>
  <c r="W711" i="11"/>
  <c r="AU711" i="11"/>
  <c r="X711" i="11"/>
  <c r="AV711" i="11"/>
  <c r="Y711" i="11"/>
  <c r="AW711" i="11"/>
  <c r="Z711" i="11"/>
  <c r="AC712" i="11"/>
  <c r="F712" i="11"/>
  <c r="AD712" i="11"/>
  <c r="G712" i="11"/>
  <c r="AE712" i="11"/>
  <c r="H712" i="11"/>
  <c r="AF712" i="11"/>
  <c r="I712" i="11"/>
  <c r="AG712" i="11"/>
  <c r="J712" i="11"/>
  <c r="AH712" i="11"/>
  <c r="K712" i="11"/>
  <c r="AI712" i="11"/>
  <c r="L712" i="11"/>
  <c r="AJ712" i="11"/>
  <c r="M712" i="11"/>
  <c r="AK712" i="11"/>
  <c r="N712" i="11"/>
  <c r="AL712" i="11"/>
  <c r="O712" i="11"/>
  <c r="AM712" i="11"/>
  <c r="P712" i="11"/>
  <c r="AN712" i="11"/>
  <c r="Q712" i="11"/>
  <c r="AO712" i="11"/>
  <c r="R712" i="11"/>
  <c r="AP712" i="11"/>
  <c r="S712" i="11"/>
  <c r="AQ712" i="11"/>
  <c r="T712" i="11"/>
  <c r="AR712" i="11"/>
  <c r="U712" i="11"/>
  <c r="AS712" i="11"/>
  <c r="V712" i="11"/>
  <c r="AT712" i="11"/>
  <c r="W712" i="11"/>
  <c r="AU712" i="11"/>
  <c r="X712" i="11"/>
  <c r="AV712" i="11"/>
  <c r="Y712" i="11"/>
  <c r="AW712" i="11"/>
  <c r="Z712" i="11"/>
  <c r="AC713" i="11"/>
  <c r="F713" i="11"/>
  <c r="AD713" i="11"/>
  <c r="G713" i="11"/>
  <c r="AE713" i="11"/>
  <c r="H713" i="11"/>
  <c r="AF713" i="11"/>
  <c r="I713" i="11"/>
  <c r="AG713" i="11"/>
  <c r="J713" i="11"/>
  <c r="AH713" i="11"/>
  <c r="K713" i="11"/>
  <c r="AI713" i="11"/>
  <c r="L713" i="11"/>
  <c r="AJ713" i="11"/>
  <c r="M713" i="11"/>
  <c r="AK713" i="11"/>
  <c r="N713" i="11"/>
  <c r="AL713" i="11"/>
  <c r="O713" i="11"/>
  <c r="AM713" i="11"/>
  <c r="P713" i="11"/>
  <c r="AN713" i="11"/>
  <c r="Q713" i="11"/>
  <c r="AO713" i="11"/>
  <c r="R713" i="11"/>
  <c r="AP713" i="11"/>
  <c r="S713" i="11"/>
  <c r="AQ713" i="11"/>
  <c r="T713" i="11"/>
  <c r="AR713" i="11"/>
  <c r="U713" i="11"/>
  <c r="AS713" i="11"/>
  <c r="V713" i="11"/>
  <c r="AT713" i="11"/>
  <c r="W713" i="11"/>
  <c r="AU713" i="11"/>
  <c r="X713" i="11"/>
  <c r="AV713" i="11"/>
  <c r="Y713" i="11"/>
  <c r="AW713" i="11"/>
  <c r="Z713" i="11"/>
  <c r="AC714" i="11"/>
  <c r="F714" i="11"/>
  <c r="AD714" i="11"/>
  <c r="G714" i="11"/>
  <c r="AE714" i="11"/>
  <c r="H714" i="11"/>
  <c r="AF714" i="11"/>
  <c r="I714" i="11"/>
  <c r="AG714" i="11"/>
  <c r="J714" i="11"/>
  <c r="AH714" i="11"/>
  <c r="K714" i="11"/>
  <c r="AI714" i="11"/>
  <c r="L714" i="11"/>
  <c r="AJ714" i="11"/>
  <c r="M714" i="11"/>
  <c r="AK714" i="11"/>
  <c r="N714" i="11"/>
  <c r="AL714" i="11"/>
  <c r="O714" i="11"/>
  <c r="AM714" i="11"/>
  <c r="P714" i="11"/>
  <c r="AN714" i="11"/>
  <c r="Q714" i="11"/>
  <c r="AO714" i="11"/>
  <c r="R714" i="11"/>
  <c r="AP714" i="11"/>
  <c r="S714" i="11"/>
  <c r="AQ714" i="11"/>
  <c r="T714" i="11"/>
  <c r="AR714" i="11"/>
  <c r="U714" i="11"/>
  <c r="AS714" i="11"/>
  <c r="V714" i="11"/>
  <c r="AT714" i="11"/>
  <c r="W714" i="11"/>
  <c r="AU714" i="11"/>
  <c r="X714" i="11"/>
  <c r="AV714" i="11"/>
  <c r="Y714" i="11"/>
  <c r="AW714" i="11"/>
  <c r="Z714" i="11"/>
  <c r="AC715" i="11"/>
  <c r="F715" i="11"/>
  <c r="AD715" i="11"/>
  <c r="G715" i="11"/>
  <c r="AE715" i="11"/>
  <c r="H715" i="11"/>
  <c r="AF715" i="11"/>
  <c r="I715" i="11"/>
  <c r="AG715" i="11"/>
  <c r="J715" i="11"/>
  <c r="AH715" i="11"/>
  <c r="K715" i="11"/>
  <c r="AI715" i="11"/>
  <c r="L715" i="11"/>
  <c r="AJ715" i="11"/>
  <c r="M715" i="11"/>
  <c r="AK715" i="11"/>
  <c r="N715" i="11"/>
  <c r="AL715" i="11"/>
  <c r="O715" i="11"/>
  <c r="AM715" i="11"/>
  <c r="P715" i="11"/>
  <c r="AN715" i="11"/>
  <c r="Q715" i="11"/>
  <c r="AO715" i="11"/>
  <c r="R715" i="11"/>
  <c r="AP715" i="11"/>
  <c r="S715" i="11"/>
  <c r="AQ715" i="11"/>
  <c r="T715" i="11"/>
  <c r="AR715" i="11"/>
  <c r="U715" i="11"/>
  <c r="AS715" i="11"/>
  <c r="V715" i="11"/>
  <c r="AT715" i="11"/>
  <c r="W715" i="11"/>
  <c r="AU715" i="11"/>
  <c r="X715" i="11"/>
  <c r="AV715" i="11"/>
  <c r="Y715" i="11"/>
  <c r="AW715" i="11"/>
  <c r="Z715" i="11"/>
  <c r="AC716" i="11"/>
  <c r="F716" i="11"/>
  <c r="AD716" i="11"/>
  <c r="G716" i="11"/>
  <c r="AE716" i="11"/>
  <c r="H716" i="11"/>
  <c r="AF716" i="11"/>
  <c r="I716" i="11"/>
  <c r="AG716" i="11"/>
  <c r="J716" i="11"/>
  <c r="AH716" i="11"/>
  <c r="K716" i="11"/>
  <c r="AI716" i="11"/>
  <c r="L716" i="11"/>
  <c r="AJ716" i="11"/>
  <c r="M716" i="11"/>
  <c r="AK716" i="11"/>
  <c r="N716" i="11"/>
  <c r="AL716" i="11"/>
  <c r="O716" i="11"/>
  <c r="AM716" i="11"/>
  <c r="P716" i="11"/>
  <c r="AN716" i="11"/>
  <c r="Q716" i="11"/>
  <c r="AO716" i="11"/>
  <c r="R716" i="11"/>
  <c r="AP716" i="11"/>
  <c r="S716" i="11"/>
  <c r="AQ716" i="11"/>
  <c r="T716" i="11"/>
  <c r="AR716" i="11"/>
  <c r="U716" i="11"/>
  <c r="AS716" i="11"/>
  <c r="V716" i="11"/>
  <c r="AT716" i="11"/>
  <c r="W716" i="11"/>
  <c r="AU716" i="11"/>
  <c r="X716" i="11"/>
  <c r="AV716" i="11"/>
  <c r="Y716" i="11"/>
  <c r="AW716" i="11"/>
  <c r="Z716" i="11"/>
  <c r="AC717" i="11"/>
  <c r="F717" i="11"/>
  <c r="AD717" i="11"/>
  <c r="G717" i="11"/>
  <c r="AE717" i="11"/>
  <c r="H717" i="11"/>
  <c r="AF717" i="11"/>
  <c r="I717" i="11"/>
  <c r="AG717" i="11"/>
  <c r="J717" i="11"/>
  <c r="AH717" i="11"/>
  <c r="K717" i="11"/>
  <c r="AI717" i="11"/>
  <c r="L717" i="11"/>
  <c r="AJ717" i="11"/>
  <c r="M717" i="11"/>
  <c r="AK717" i="11"/>
  <c r="N717" i="11"/>
  <c r="AL717" i="11"/>
  <c r="O717" i="11"/>
  <c r="AM717" i="11"/>
  <c r="P717" i="11"/>
  <c r="AN717" i="11"/>
  <c r="Q717" i="11"/>
  <c r="AO717" i="11"/>
  <c r="R717" i="11"/>
  <c r="AP717" i="11"/>
  <c r="S717" i="11"/>
  <c r="AQ717" i="11"/>
  <c r="T717" i="11"/>
  <c r="AR717" i="11"/>
  <c r="U717" i="11"/>
  <c r="AS717" i="11"/>
  <c r="V717" i="11"/>
  <c r="AT717" i="11"/>
  <c r="W717" i="11"/>
  <c r="AU717" i="11"/>
  <c r="X717" i="11"/>
  <c r="AV717" i="11"/>
  <c r="Y717" i="11"/>
  <c r="AW717" i="11"/>
  <c r="Z717" i="11"/>
  <c r="AC718" i="11"/>
  <c r="F718" i="11"/>
  <c r="AD718" i="11"/>
  <c r="G718" i="11"/>
  <c r="AE718" i="11"/>
  <c r="H718" i="11"/>
  <c r="AF718" i="11"/>
  <c r="I718" i="11"/>
  <c r="AG718" i="11"/>
  <c r="J718" i="11"/>
  <c r="AH718" i="11"/>
  <c r="K718" i="11"/>
  <c r="AI718" i="11"/>
  <c r="L718" i="11"/>
  <c r="AJ718" i="11"/>
  <c r="M718" i="11"/>
  <c r="AK718" i="11"/>
  <c r="N718" i="11"/>
  <c r="AL718" i="11"/>
  <c r="O718" i="11"/>
  <c r="AM718" i="11"/>
  <c r="P718" i="11"/>
  <c r="AN718" i="11"/>
  <c r="Q718" i="11"/>
  <c r="AO718" i="11"/>
  <c r="R718" i="11"/>
  <c r="AP718" i="11"/>
  <c r="S718" i="11"/>
  <c r="AQ718" i="11"/>
  <c r="T718" i="11"/>
  <c r="AR718" i="11"/>
  <c r="U718" i="11"/>
  <c r="AS718" i="11"/>
  <c r="V718" i="11"/>
  <c r="AT718" i="11"/>
  <c r="W718" i="11"/>
  <c r="AU718" i="11"/>
  <c r="X718" i="11"/>
  <c r="AV718" i="11"/>
  <c r="Y718" i="11"/>
  <c r="AW718" i="11"/>
  <c r="Z718" i="11"/>
  <c r="AC719" i="11"/>
  <c r="F719" i="11"/>
  <c r="AD719" i="11"/>
  <c r="G719" i="11"/>
  <c r="AE719" i="11"/>
  <c r="H719" i="11"/>
  <c r="AF719" i="11"/>
  <c r="I719" i="11"/>
  <c r="AG719" i="11"/>
  <c r="J719" i="11"/>
  <c r="AH719" i="11"/>
  <c r="K719" i="11"/>
  <c r="AI719" i="11"/>
  <c r="L719" i="11"/>
  <c r="AJ719" i="11"/>
  <c r="M719" i="11"/>
  <c r="AK719" i="11"/>
  <c r="N719" i="11"/>
  <c r="AL719" i="11"/>
  <c r="O719" i="11"/>
  <c r="AM719" i="11"/>
  <c r="P719" i="11"/>
  <c r="AN719" i="11"/>
  <c r="Q719" i="11"/>
  <c r="AO719" i="11"/>
  <c r="R719" i="11"/>
  <c r="AP719" i="11"/>
  <c r="S719" i="11"/>
  <c r="AQ719" i="11"/>
  <c r="T719" i="11"/>
  <c r="AR719" i="11"/>
  <c r="U719" i="11"/>
  <c r="AS719" i="11"/>
  <c r="V719" i="11"/>
  <c r="AT719" i="11"/>
  <c r="W719" i="11"/>
  <c r="AU719" i="11"/>
  <c r="X719" i="11"/>
  <c r="AV719" i="11"/>
  <c r="Y719" i="11"/>
  <c r="AW719" i="11"/>
  <c r="Z719" i="11"/>
  <c r="AC720" i="11"/>
  <c r="F720" i="11"/>
  <c r="AD720" i="11"/>
  <c r="G720" i="11"/>
  <c r="AE720" i="11"/>
  <c r="H720" i="11"/>
  <c r="AF720" i="11"/>
  <c r="I720" i="11"/>
  <c r="AG720" i="11"/>
  <c r="J720" i="11"/>
  <c r="AH720" i="11"/>
  <c r="K720" i="11"/>
  <c r="AI720" i="11"/>
  <c r="L720" i="11"/>
  <c r="AJ720" i="11"/>
  <c r="M720" i="11"/>
  <c r="AK720" i="11"/>
  <c r="N720" i="11"/>
  <c r="AL720" i="11"/>
  <c r="O720" i="11"/>
  <c r="AM720" i="11"/>
  <c r="P720" i="11"/>
  <c r="AN720" i="11"/>
  <c r="Q720" i="11"/>
  <c r="AO720" i="11"/>
  <c r="R720" i="11"/>
  <c r="AP720" i="11"/>
  <c r="S720" i="11"/>
  <c r="AQ720" i="11"/>
  <c r="T720" i="11"/>
  <c r="AR720" i="11"/>
  <c r="U720" i="11"/>
  <c r="AS720" i="11"/>
  <c r="V720" i="11"/>
  <c r="AT720" i="11"/>
  <c r="W720" i="11"/>
  <c r="AU720" i="11"/>
  <c r="X720" i="11"/>
  <c r="AV720" i="11"/>
  <c r="Y720" i="11"/>
  <c r="AW720" i="11"/>
  <c r="Z720" i="11"/>
  <c r="AC721" i="11"/>
  <c r="F721" i="11"/>
  <c r="AD721" i="11"/>
  <c r="G721" i="11"/>
  <c r="AE721" i="11"/>
  <c r="H721" i="11"/>
  <c r="AF721" i="11"/>
  <c r="I721" i="11"/>
  <c r="AG721" i="11"/>
  <c r="J721" i="11"/>
  <c r="AH721" i="11"/>
  <c r="K721" i="11"/>
  <c r="AI721" i="11"/>
  <c r="L721" i="11"/>
  <c r="AJ721" i="11"/>
  <c r="M721" i="11"/>
  <c r="AK721" i="11"/>
  <c r="N721" i="11"/>
  <c r="AL721" i="11"/>
  <c r="O721" i="11"/>
  <c r="AM721" i="11"/>
  <c r="P721" i="11"/>
  <c r="AN721" i="11"/>
  <c r="Q721" i="11"/>
  <c r="AO721" i="11"/>
  <c r="R721" i="11"/>
  <c r="AP721" i="11"/>
  <c r="S721" i="11"/>
  <c r="AQ721" i="11"/>
  <c r="T721" i="11"/>
  <c r="AR721" i="11"/>
  <c r="U721" i="11"/>
  <c r="AS721" i="11"/>
  <c r="V721" i="11"/>
  <c r="AT721" i="11"/>
  <c r="W721" i="11"/>
  <c r="AU721" i="11"/>
  <c r="X721" i="11"/>
  <c r="AV721" i="11"/>
  <c r="Y721" i="11"/>
  <c r="AW721" i="11"/>
  <c r="Z721" i="11"/>
  <c r="AC722" i="11"/>
  <c r="F722" i="11"/>
  <c r="AD722" i="11"/>
  <c r="G722" i="11"/>
  <c r="AE722" i="11"/>
  <c r="H722" i="11"/>
  <c r="AF722" i="11"/>
  <c r="I722" i="11"/>
  <c r="AG722" i="11"/>
  <c r="J722" i="11"/>
  <c r="AH722" i="11"/>
  <c r="K722" i="11"/>
  <c r="AI722" i="11"/>
  <c r="L722" i="11"/>
  <c r="AJ722" i="11"/>
  <c r="M722" i="11"/>
  <c r="AK722" i="11"/>
  <c r="N722" i="11"/>
  <c r="AL722" i="11"/>
  <c r="O722" i="11"/>
  <c r="AM722" i="11"/>
  <c r="P722" i="11"/>
  <c r="AN722" i="11"/>
  <c r="Q722" i="11"/>
  <c r="AO722" i="11"/>
  <c r="R722" i="11"/>
  <c r="AP722" i="11"/>
  <c r="S722" i="11"/>
  <c r="AQ722" i="11"/>
  <c r="T722" i="11"/>
  <c r="AR722" i="11"/>
  <c r="U722" i="11"/>
  <c r="AS722" i="11"/>
  <c r="V722" i="11"/>
  <c r="AT722" i="11"/>
  <c r="W722" i="11"/>
  <c r="AU722" i="11"/>
  <c r="X722" i="11"/>
  <c r="AV722" i="11"/>
  <c r="Y722" i="11"/>
  <c r="AW722" i="11"/>
  <c r="Z722" i="11"/>
  <c r="AC723" i="11"/>
  <c r="F723" i="11"/>
  <c r="AD723" i="11"/>
  <c r="G723" i="11"/>
  <c r="AE723" i="11"/>
  <c r="H723" i="11"/>
  <c r="AF723" i="11"/>
  <c r="I723" i="11"/>
  <c r="AG723" i="11"/>
  <c r="J723" i="11"/>
  <c r="AH723" i="11"/>
  <c r="K723" i="11"/>
  <c r="AI723" i="11"/>
  <c r="L723" i="11"/>
  <c r="AJ723" i="11"/>
  <c r="M723" i="11"/>
  <c r="AK723" i="11"/>
  <c r="N723" i="11"/>
  <c r="AL723" i="11"/>
  <c r="O723" i="11"/>
  <c r="AM723" i="11"/>
  <c r="P723" i="11"/>
  <c r="AN723" i="11"/>
  <c r="Q723" i="11"/>
  <c r="AO723" i="11"/>
  <c r="R723" i="11"/>
  <c r="AP723" i="11"/>
  <c r="S723" i="11"/>
  <c r="AQ723" i="11"/>
  <c r="T723" i="11"/>
  <c r="AR723" i="11"/>
  <c r="U723" i="11"/>
  <c r="AS723" i="11"/>
  <c r="V723" i="11"/>
  <c r="AT723" i="11"/>
  <c r="W723" i="11"/>
  <c r="AU723" i="11"/>
  <c r="X723" i="11"/>
  <c r="AV723" i="11"/>
  <c r="Y723" i="11"/>
  <c r="AW723" i="11"/>
  <c r="Z723" i="11"/>
  <c r="AC724" i="11"/>
  <c r="F724" i="11"/>
  <c r="AD724" i="11"/>
  <c r="G724" i="11"/>
  <c r="AE724" i="11"/>
  <c r="H724" i="11"/>
  <c r="AF724" i="11"/>
  <c r="I724" i="11"/>
  <c r="AG724" i="11"/>
  <c r="J724" i="11"/>
  <c r="AH724" i="11"/>
  <c r="K724" i="11"/>
  <c r="AI724" i="11"/>
  <c r="L724" i="11"/>
  <c r="AJ724" i="11"/>
  <c r="M724" i="11"/>
  <c r="AK724" i="11"/>
  <c r="N724" i="11"/>
  <c r="AL724" i="11"/>
  <c r="O724" i="11"/>
  <c r="AM724" i="11"/>
  <c r="P724" i="11"/>
  <c r="AN724" i="11"/>
  <c r="Q724" i="11"/>
  <c r="AO724" i="11"/>
  <c r="R724" i="11"/>
  <c r="AP724" i="11"/>
  <c r="S724" i="11"/>
  <c r="AQ724" i="11"/>
  <c r="T724" i="11"/>
  <c r="AR724" i="11"/>
  <c r="U724" i="11"/>
  <c r="AS724" i="11"/>
  <c r="V724" i="11"/>
  <c r="AT724" i="11"/>
  <c r="W724" i="11"/>
  <c r="AU724" i="11"/>
  <c r="X724" i="11"/>
  <c r="AV724" i="11"/>
  <c r="Y724" i="11"/>
  <c r="AW724" i="11"/>
  <c r="Z724" i="11"/>
  <c r="AC725" i="11"/>
  <c r="F725" i="11"/>
  <c r="AD725" i="11"/>
  <c r="G725" i="11"/>
  <c r="AE725" i="11"/>
  <c r="H725" i="11"/>
  <c r="AF725" i="11"/>
  <c r="I725" i="11"/>
  <c r="AG725" i="11"/>
  <c r="J725" i="11"/>
  <c r="AH725" i="11"/>
  <c r="K725" i="11"/>
  <c r="AI725" i="11"/>
  <c r="L725" i="11"/>
  <c r="AJ725" i="11"/>
  <c r="M725" i="11"/>
  <c r="AK725" i="11"/>
  <c r="N725" i="11"/>
  <c r="AL725" i="11"/>
  <c r="O725" i="11"/>
  <c r="AM725" i="11"/>
  <c r="P725" i="11"/>
  <c r="AN725" i="11"/>
  <c r="Q725" i="11"/>
  <c r="AO725" i="11"/>
  <c r="R725" i="11"/>
  <c r="AP725" i="11"/>
  <c r="S725" i="11"/>
  <c r="AQ725" i="11"/>
  <c r="T725" i="11"/>
  <c r="AR725" i="11"/>
  <c r="U725" i="11"/>
  <c r="AS725" i="11"/>
  <c r="V725" i="11"/>
  <c r="AT725" i="11"/>
  <c r="W725" i="11"/>
  <c r="AU725" i="11"/>
  <c r="X725" i="11"/>
  <c r="AV725" i="11"/>
  <c r="Y725" i="11"/>
  <c r="AW725" i="11"/>
  <c r="Z725" i="11"/>
  <c r="AC726" i="11"/>
  <c r="F726" i="11"/>
  <c r="AD726" i="11"/>
  <c r="G726" i="11"/>
  <c r="AE726" i="11"/>
  <c r="H726" i="11"/>
  <c r="AF726" i="11"/>
  <c r="I726" i="11"/>
  <c r="AG726" i="11"/>
  <c r="J726" i="11"/>
  <c r="AH726" i="11"/>
  <c r="K726" i="11"/>
  <c r="AI726" i="11"/>
  <c r="L726" i="11"/>
  <c r="AJ726" i="11"/>
  <c r="M726" i="11"/>
  <c r="AK726" i="11"/>
  <c r="N726" i="11"/>
  <c r="AL726" i="11"/>
  <c r="O726" i="11"/>
  <c r="AM726" i="11"/>
  <c r="P726" i="11"/>
  <c r="AN726" i="11"/>
  <c r="Q726" i="11"/>
  <c r="AO726" i="11"/>
  <c r="R726" i="11"/>
  <c r="AP726" i="11"/>
  <c r="S726" i="11"/>
  <c r="AQ726" i="11"/>
  <c r="T726" i="11"/>
  <c r="AR726" i="11"/>
  <c r="U726" i="11"/>
  <c r="AS726" i="11"/>
  <c r="V726" i="11"/>
  <c r="AT726" i="11"/>
  <c r="W726" i="11"/>
  <c r="AU726" i="11"/>
  <c r="X726" i="11"/>
  <c r="AV726" i="11"/>
  <c r="Y726" i="11"/>
  <c r="AW726" i="11"/>
  <c r="Z726" i="11"/>
  <c r="AC727" i="11"/>
  <c r="F727" i="11"/>
  <c r="AD727" i="11"/>
  <c r="G727" i="11"/>
  <c r="AE727" i="11"/>
  <c r="H727" i="11"/>
  <c r="AF727" i="11"/>
  <c r="I727" i="11"/>
  <c r="AG727" i="11"/>
  <c r="J727" i="11"/>
  <c r="AH727" i="11"/>
  <c r="K727" i="11"/>
  <c r="AI727" i="11"/>
  <c r="L727" i="11"/>
  <c r="AJ727" i="11"/>
  <c r="M727" i="11"/>
  <c r="AK727" i="11"/>
  <c r="N727" i="11"/>
  <c r="AL727" i="11"/>
  <c r="O727" i="11"/>
  <c r="AM727" i="11"/>
  <c r="P727" i="11"/>
  <c r="AN727" i="11"/>
  <c r="Q727" i="11"/>
  <c r="AO727" i="11"/>
  <c r="R727" i="11"/>
  <c r="AP727" i="11"/>
  <c r="S727" i="11"/>
  <c r="AQ727" i="11"/>
  <c r="T727" i="11"/>
  <c r="AR727" i="11"/>
  <c r="U727" i="11"/>
  <c r="AS727" i="11"/>
  <c r="V727" i="11"/>
  <c r="AT727" i="11"/>
  <c r="W727" i="11"/>
  <c r="AU727" i="11"/>
  <c r="X727" i="11"/>
  <c r="AV727" i="11"/>
  <c r="Y727" i="11"/>
  <c r="AW727" i="11"/>
  <c r="Z727" i="11"/>
  <c r="AC728" i="11"/>
  <c r="F728" i="11"/>
  <c r="AD728" i="11"/>
  <c r="G728" i="11"/>
  <c r="AE728" i="11"/>
  <c r="H728" i="11"/>
  <c r="AF728" i="11"/>
  <c r="I728" i="11"/>
  <c r="AG728" i="11"/>
  <c r="J728" i="11"/>
  <c r="AH728" i="11"/>
  <c r="K728" i="11"/>
  <c r="AI728" i="11"/>
  <c r="L728" i="11"/>
  <c r="AJ728" i="11"/>
  <c r="M728" i="11"/>
  <c r="AK728" i="11"/>
  <c r="N728" i="11"/>
  <c r="AL728" i="11"/>
  <c r="O728" i="11"/>
  <c r="AM728" i="11"/>
  <c r="P728" i="11"/>
  <c r="AN728" i="11"/>
  <c r="Q728" i="11"/>
  <c r="AO728" i="11"/>
  <c r="R728" i="11"/>
  <c r="AP728" i="11"/>
  <c r="S728" i="11"/>
  <c r="AQ728" i="11"/>
  <c r="T728" i="11"/>
  <c r="AR728" i="11"/>
  <c r="U728" i="11"/>
  <c r="AS728" i="11"/>
  <c r="V728" i="11"/>
  <c r="AT728" i="11"/>
  <c r="W728" i="11"/>
  <c r="AU728" i="11"/>
  <c r="X728" i="11"/>
  <c r="AV728" i="11"/>
  <c r="Y728" i="11"/>
  <c r="AW728" i="11"/>
  <c r="Z728" i="11"/>
  <c r="AC729" i="11"/>
  <c r="F729" i="11"/>
  <c r="AD729" i="11"/>
  <c r="G729" i="11"/>
  <c r="AE729" i="11"/>
  <c r="H729" i="11"/>
  <c r="AF729" i="11"/>
  <c r="I729" i="11"/>
  <c r="AG729" i="11"/>
  <c r="J729" i="11"/>
  <c r="AH729" i="11"/>
  <c r="K729" i="11"/>
  <c r="AI729" i="11"/>
  <c r="L729" i="11"/>
  <c r="AJ729" i="11"/>
  <c r="M729" i="11"/>
  <c r="AK729" i="11"/>
  <c r="N729" i="11"/>
  <c r="AL729" i="11"/>
  <c r="O729" i="11"/>
  <c r="AM729" i="11"/>
  <c r="P729" i="11"/>
  <c r="AN729" i="11"/>
  <c r="Q729" i="11"/>
  <c r="AO729" i="11"/>
  <c r="R729" i="11"/>
  <c r="AP729" i="11"/>
  <c r="S729" i="11"/>
  <c r="AQ729" i="11"/>
  <c r="T729" i="11"/>
  <c r="AR729" i="11"/>
  <c r="U729" i="11"/>
  <c r="AS729" i="11"/>
  <c r="V729" i="11"/>
  <c r="AT729" i="11"/>
  <c r="W729" i="11"/>
  <c r="AU729" i="11"/>
  <c r="X729" i="11"/>
  <c r="AV729" i="11"/>
  <c r="Y729" i="11"/>
  <c r="AW729" i="11"/>
  <c r="Z729" i="11"/>
  <c r="AC730" i="11"/>
  <c r="F730" i="11"/>
  <c r="AD730" i="11"/>
  <c r="G730" i="11"/>
  <c r="AE730" i="11"/>
  <c r="H730" i="11"/>
  <c r="AF730" i="11"/>
  <c r="I730" i="11"/>
  <c r="AG730" i="11"/>
  <c r="J730" i="11"/>
  <c r="AH730" i="11"/>
  <c r="K730" i="11"/>
  <c r="AI730" i="11"/>
  <c r="L730" i="11"/>
  <c r="AJ730" i="11"/>
  <c r="M730" i="11"/>
  <c r="AK730" i="11"/>
  <c r="N730" i="11"/>
  <c r="AL730" i="11"/>
  <c r="O730" i="11"/>
  <c r="AM730" i="11"/>
  <c r="P730" i="11"/>
  <c r="AN730" i="11"/>
  <c r="Q730" i="11"/>
  <c r="AO730" i="11"/>
  <c r="R730" i="11"/>
  <c r="AP730" i="11"/>
  <c r="S730" i="11"/>
  <c r="AQ730" i="11"/>
  <c r="T730" i="11"/>
  <c r="AR730" i="11"/>
  <c r="U730" i="11"/>
  <c r="AS730" i="11"/>
  <c r="V730" i="11"/>
  <c r="AT730" i="11"/>
  <c r="W730" i="11"/>
  <c r="AU730" i="11"/>
  <c r="X730" i="11"/>
  <c r="AV730" i="11"/>
  <c r="Y730" i="11"/>
  <c r="AW730" i="11"/>
  <c r="Z730" i="11"/>
  <c r="AC731" i="11"/>
  <c r="F731" i="11"/>
  <c r="AD731" i="11"/>
  <c r="G731" i="11"/>
  <c r="AE731" i="11"/>
  <c r="H731" i="11"/>
  <c r="AF731" i="11"/>
  <c r="I731" i="11"/>
  <c r="AG731" i="11"/>
  <c r="J731" i="11"/>
  <c r="AH731" i="11"/>
  <c r="K731" i="11"/>
  <c r="AI731" i="11"/>
  <c r="L731" i="11"/>
  <c r="AJ731" i="11"/>
  <c r="M731" i="11"/>
  <c r="AK731" i="11"/>
  <c r="N731" i="11"/>
  <c r="AL731" i="11"/>
  <c r="O731" i="11"/>
  <c r="AM731" i="11"/>
  <c r="P731" i="11"/>
  <c r="AN731" i="11"/>
  <c r="Q731" i="11"/>
  <c r="AO731" i="11"/>
  <c r="R731" i="11"/>
  <c r="AP731" i="11"/>
  <c r="S731" i="11"/>
  <c r="AQ731" i="11"/>
  <c r="T731" i="11"/>
  <c r="AR731" i="11"/>
  <c r="U731" i="11"/>
  <c r="AS731" i="11"/>
  <c r="V731" i="11"/>
  <c r="AT731" i="11"/>
  <c r="W731" i="11"/>
  <c r="AU731" i="11"/>
  <c r="X731" i="11"/>
  <c r="AV731" i="11"/>
  <c r="Y731" i="11"/>
  <c r="AW731" i="11"/>
  <c r="Z731" i="11"/>
  <c r="AC732" i="11"/>
  <c r="F732" i="11"/>
  <c r="AD732" i="11"/>
  <c r="G732" i="11"/>
  <c r="AE732" i="11"/>
  <c r="H732" i="11"/>
  <c r="AF732" i="11"/>
  <c r="I732" i="11"/>
  <c r="AG732" i="11"/>
  <c r="J732" i="11"/>
  <c r="AH732" i="11"/>
  <c r="K732" i="11"/>
  <c r="AI732" i="11"/>
  <c r="L732" i="11"/>
  <c r="AJ732" i="11"/>
  <c r="M732" i="11"/>
  <c r="AK732" i="11"/>
  <c r="N732" i="11"/>
  <c r="AL732" i="11"/>
  <c r="O732" i="11"/>
  <c r="AM732" i="11"/>
  <c r="P732" i="11"/>
  <c r="AN732" i="11"/>
  <c r="Q732" i="11"/>
  <c r="AO732" i="11"/>
  <c r="R732" i="11"/>
  <c r="AP732" i="11"/>
  <c r="S732" i="11"/>
  <c r="AQ732" i="11"/>
  <c r="T732" i="11"/>
  <c r="AR732" i="11"/>
  <c r="U732" i="11"/>
  <c r="AS732" i="11"/>
  <c r="V732" i="11"/>
  <c r="AT732" i="11"/>
  <c r="W732" i="11"/>
  <c r="AU732" i="11"/>
  <c r="X732" i="11"/>
  <c r="AV732" i="11"/>
  <c r="Y732" i="11"/>
  <c r="AW732" i="11"/>
  <c r="Z732" i="11"/>
  <c r="AC733" i="11"/>
  <c r="F733" i="11"/>
  <c r="AD733" i="11"/>
  <c r="G733" i="11"/>
  <c r="AE733" i="11"/>
  <c r="H733" i="11"/>
  <c r="AF733" i="11"/>
  <c r="I733" i="11"/>
  <c r="AG733" i="11"/>
  <c r="J733" i="11"/>
  <c r="AH733" i="11"/>
  <c r="K733" i="11"/>
  <c r="AI733" i="11"/>
  <c r="L733" i="11"/>
  <c r="AJ733" i="11"/>
  <c r="M733" i="11"/>
  <c r="AK733" i="11"/>
  <c r="N733" i="11"/>
  <c r="AL733" i="11"/>
  <c r="O733" i="11"/>
  <c r="AM733" i="11"/>
  <c r="P733" i="11"/>
  <c r="AN733" i="11"/>
  <c r="Q733" i="11"/>
  <c r="AO733" i="11"/>
  <c r="R733" i="11"/>
  <c r="AP733" i="11"/>
  <c r="S733" i="11"/>
  <c r="AQ733" i="11"/>
  <c r="T733" i="11"/>
  <c r="AR733" i="11"/>
  <c r="U733" i="11"/>
  <c r="AS733" i="11"/>
  <c r="V733" i="11"/>
  <c r="AT733" i="11"/>
  <c r="W733" i="11"/>
  <c r="AU733" i="11"/>
  <c r="X733" i="11"/>
  <c r="AV733" i="11"/>
  <c r="Y733" i="11"/>
  <c r="AW733" i="11"/>
  <c r="Z733" i="11"/>
  <c r="AC734" i="11"/>
  <c r="F734" i="11"/>
  <c r="AD734" i="11"/>
  <c r="G734" i="11"/>
  <c r="AE734" i="11"/>
  <c r="H734" i="11"/>
  <c r="AF734" i="11"/>
  <c r="I734" i="11"/>
  <c r="AG734" i="11"/>
  <c r="J734" i="11"/>
  <c r="AH734" i="11"/>
  <c r="K734" i="11"/>
  <c r="AI734" i="11"/>
  <c r="L734" i="11"/>
  <c r="AJ734" i="11"/>
  <c r="M734" i="11"/>
  <c r="AK734" i="11"/>
  <c r="N734" i="11"/>
  <c r="AL734" i="11"/>
  <c r="O734" i="11"/>
  <c r="AM734" i="11"/>
  <c r="P734" i="11"/>
  <c r="AN734" i="11"/>
  <c r="Q734" i="11"/>
  <c r="AO734" i="11"/>
  <c r="R734" i="11"/>
  <c r="AP734" i="11"/>
  <c r="S734" i="11"/>
  <c r="AQ734" i="11"/>
  <c r="T734" i="11"/>
  <c r="AR734" i="11"/>
  <c r="U734" i="11"/>
  <c r="AS734" i="11"/>
  <c r="V734" i="11"/>
  <c r="AT734" i="11"/>
  <c r="W734" i="11"/>
  <c r="AU734" i="11"/>
  <c r="X734" i="11"/>
  <c r="AV734" i="11"/>
  <c r="Y734" i="11"/>
  <c r="AW734" i="11"/>
  <c r="Z734" i="11"/>
  <c r="AC735" i="11"/>
  <c r="F735" i="11"/>
  <c r="AD735" i="11"/>
  <c r="G735" i="11"/>
  <c r="AE735" i="11"/>
  <c r="H735" i="11"/>
  <c r="AF735" i="11"/>
  <c r="I735" i="11"/>
  <c r="AG735" i="11"/>
  <c r="J735" i="11"/>
  <c r="AH735" i="11"/>
  <c r="K735" i="11"/>
  <c r="AI735" i="11"/>
  <c r="L735" i="11"/>
  <c r="AJ735" i="11"/>
  <c r="M735" i="11"/>
  <c r="AK735" i="11"/>
  <c r="N735" i="11"/>
  <c r="AL735" i="11"/>
  <c r="O735" i="11"/>
  <c r="AM735" i="11"/>
  <c r="P735" i="11"/>
  <c r="AN735" i="11"/>
  <c r="Q735" i="11"/>
  <c r="AO735" i="11"/>
  <c r="R735" i="11"/>
  <c r="AP735" i="11"/>
  <c r="S735" i="11"/>
  <c r="AQ735" i="11"/>
  <c r="T735" i="11"/>
  <c r="AR735" i="11"/>
  <c r="U735" i="11"/>
  <c r="AS735" i="11"/>
  <c r="V735" i="11"/>
  <c r="AT735" i="11"/>
  <c r="W735" i="11"/>
  <c r="AU735" i="11"/>
  <c r="X735" i="11"/>
  <c r="AV735" i="11"/>
  <c r="Y735" i="11"/>
  <c r="AW735" i="11"/>
  <c r="Z735" i="11"/>
  <c r="AC736" i="11"/>
  <c r="F736" i="11"/>
  <c r="AD736" i="11"/>
  <c r="G736" i="11"/>
  <c r="AE736" i="11"/>
  <c r="H736" i="11"/>
  <c r="AF736" i="11"/>
  <c r="I736" i="11"/>
  <c r="AG736" i="11"/>
  <c r="J736" i="11"/>
  <c r="AH736" i="11"/>
  <c r="K736" i="11"/>
  <c r="AI736" i="11"/>
  <c r="L736" i="11"/>
  <c r="AJ736" i="11"/>
  <c r="M736" i="11"/>
  <c r="AK736" i="11"/>
  <c r="N736" i="11"/>
  <c r="AL736" i="11"/>
  <c r="O736" i="11"/>
  <c r="AM736" i="11"/>
  <c r="P736" i="11"/>
  <c r="AN736" i="11"/>
  <c r="Q736" i="11"/>
  <c r="AO736" i="11"/>
  <c r="R736" i="11"/>
  <c r="AP736" i="11"/>
  <c r="S736" i="11"/>
  <c r="AQ736" i="11"/>
  <c r="T736" i="11"/>
  <c r="AR736" i="11"/>
  <c r="U736" i="11"/>
  <c r="AS736" i="11"/>
  <c r="V736" i="11"/>
  <c r="AT736" i="11"/>
  <c r="W736" i="11"/>
  <c r="AU736" i="11"/>
  <c r="X736" i="11"/>
  <c r="AV736" i="11"/>
  <c r="Y736" i="11"/>
  <c r="AW736" i="11"/>
  <c r="Z736" i="11"/>
  <c r="AC737" i="11"/>
  <c r="F737" i="11"/>
  <c r="AD737" i="11"/>
  <c r="G737" i="11"/>
  <c r="AE737" i="11"/>
  <c r="H737" i="11"/>
  <c r="AF737" i="11"/>
  <c r="I737" i="11"/>
  <c r="AG737" i="11"/>
  <c r="J737" i="11"/>
  <c r="AH737" i="11"/>
  <c r="K737" i="11"/>
  <c r="AI737" i="11"/>
  <c r="L737" i="11"/>
  <c r="AJ737" i="11"/>
  <c r="M737" i="11"/>
  <c r="AK737" i="11"/>
  <c r="N737" i="11"/>
  <c r="AL737" i="11"/>
  <c r="O737" i="11"/>
  <c r="AM737" i="11"/>
  <c r="P737" i="11"/>
  <c r="AN737" i="11"/>
  <c r="Q737" i="11"/>
  <c r="AO737" i="11"/>
  <c r="R737" i="11"/>
  <c r="AP737" i="11"/>
  <c r="S737" i="11"/>
  <c r="AQ737" i="11"/>
  <c r="T737" i="11"/>
  <c r="AR737" i="11"/>
  <c r="U737" i="11"/>
  <c r="AS737" i="11"/>
  <c r="V737" i="11"/>
  <c r="AT737" i="11"/>
  <c r="W737" i="11"/>
  <c r="AU737" i="11"/>
  <c r="X737" i="11"/>
  <c r="AV737" i="11"/>
  <c r="Y737" i="11"/>
  <c r="AW737" i="11"/>
  <c r="Z737" i="11"/>
  <c r="AC738" i="11"/>
  <c r="F738" i="11"/>
  <c r="AD738" i="11"/>
  <c r="G738" i="11"/>
  <c r="AE738" i="11"/>
  <c r="H738" i="11"/>
  <c r="AF738" i="11"/>
  <c r="I738" i="11"/>
  <c r="AG738" i="11"/>
  <c r="J738" i="11"/>
  <c r="AH738" i="11"/>
  <c r="K738" i="11"/>
  <c r="AI738" i="11"/>
  <c r="L738" i="11"/>
  <c r="AJ738" i="11"/>
  <c r="M738" i="11"/>
  <c r="AK738" i="11"/>
  <c r="N738" i="11"/>
  <c r="AL738" i="11"/>
  <c r="O738" i="11"/>
  <c r="AM738" i="11"/>
  <c r="P738" i="11"/>
  <c r="AN738" i="11"/>
  <c r="Q738" i="11"/>
  <c r="AO738" i="11"/>
  <c r="R738" i="11"/>
  <c r="AP738" i="11"/>
  <c r="S738" i="11"/>
  <c r="AQ738" i="11"/>
  <c r="T738" i="11"/>
  <c r="AR738" i="11"/>
  <c r="U738" i="11"/>
  <c r="AS738" i="11"/>
  <c r="V738" i="11"/>
  <c r="AT738" i="11"/>
  <c r="W738" i="11"/>
  <c r="AU738" i="11"/>
  <c r="X738" i="11"/>
  <c r="AV738" i="11"/>
  <c r="Y738" i="11"/>
  <c r="AW738" i="11"/>
  <c r="Z738" i="11"/>
  <c r="AC739" i="11"/>
  <c r="F739" i="11"/>
  <c r="AD739" i="11"/>
  <c r="G739" i="11"/>
  <c r="AE739" i="11"/>
  <c r="H739" i="11"/>
  <c r="AF739" i="11"/>
  <c r="I739" i="11"/>
  <c r="AG739" i="11"/>
  <c r="J739" i="11"/>
  <c r="AH739" i="11"/>
  <c r="K739" i="11"/>
  <c r="AI739" i="11"/>
  <c r="L739" i="11"/>
  <c r="AJ739" i="11"/>
  <c r="M739" i="11"/>
  <c r="AK739" i="11"/>
  <c r="N739" i="11"/>
  <c r="AL739" i="11"/>
  <c r="O739" i="11"/>
  <c r="AM739" i="11"/>
  <c r="P739" i="11"/>
  <c r="AN739" i="11"/>
  <c r="Q739" i="11"/>
  <c r="AO739" i="11"/>
  <c r="R739" i="11"/>
  <c r="AP739" i="11"/>
  <c r="S739" i="11"/>
  <c r="AQ739" i="11"/>
  <c r="T739" i="11"/>
  <c r="AR739" i="11"/>
  <c r="U739" i="11"/>
  <c r="AS739" i="11"/>
  <c r="V739" i="11"/>
  <c r="AT739" i="11"/>
  <c r="W739" i="11"/>
  <c r="AU739" i="11"/>
  <c r="X739" i="11"/>
  <c r="AV739" i="11"/>
  <c r="Y739" i="11"/>
  <c r="AW739" i="11"/>
  <c r="Z739" i="11"/>
  <c r="AC740" i="11"/>
  <c r="F740" i="11"/>
  <c r="AD740" i="11"/>
  <c r="G740" i="11"/>
  <c r="AE740" i="11"/>
  <c r="H740" i="11"/>
  <c r="AF740" i="11"/>
  <c r="I740" i="11"/>
  <c r="AG740" i="11"/>
  <c r="J740" i="11"/>
  <c r="AH740" i="11"/>
  <c r="K740" i="11"/>
  <c r="AI740" i="11"/>
  <c r="L740" i="11"/>
  <c r="AJ740" i="11"/>
  <c r="M740" i="11"/>
  <c r="AK740" i="11"/>
  <c r="N740" i="11"/>
  <c r="AL740" i="11"/>
  <c r="O740" i="11"/>
  <c r="AM740" i="11"/>
  <c r="P740" i="11"/>
  <c r="AN740" i="11"/>
  <c r="Q740" i="11"/>
  <c r="AO740" i="11"/>
  <c r="R740" i="11"/>
  <c r="AP740" i="11"/>
  <c r="S740" i="11"/>
  <c r="AQ740" i="11"/>
  <c r="T740" i="11"/>
  <c r="AR740" i="11"/>
  <c r="U740" i="11"/>
  <c r="AS740" i="11"/>
  <c r="V740" i="11"/>
  <c r="AT740" i="11"/>
  <c r="W740" i="11"/>
  <c r="AU740" i="11"/>
  <c r="X740" i="11"/>
  <c r="AV740" i="11"/>
  <c r="Y740" i="11"/>
  <c r="AW740" i="11"/>
  <c r="Z740" i="11"/>
  <c r="AC741" i="11"/>
  <c r="F741" i="11"/>
  <c r="AD741" i="11"/>
  <c r="G741" i="11"/>
  <c r="AE741" i="11"/>
  <c r="H741" i="11"/>
  <c r="AF741" i="11"/>
  <c r="I741" i="11"/>
  <c r="AG741" i="11"/>
  <c r="J741" i="11"/>
  <c r="AH741" i="11"/>
  <c r="K741" i="11"/>
  <c r="AI741" i="11"/>
  <c r="L741" i="11"/>
  <c r="AJ741" i="11"/>
  <c r="M741" i="11"/>
  <c r="AK741" i="11"/>
  <c r="N741" i="11"/>
  <c r="AL741" i="11"/>
  <c r="O741" i="11"/>
  <c r="AM741" i="11"/>
  <c r="P741" i="11"/>
  <c r="AN741" i="11"/>
  <c r="Q741" i="11"/>
  <c r="AO741" i="11"/>
  <c r="R741" i="11"/>
  <c r="AP741" i="11"/>
  <c r="S741" i="11"/>
  <c r="AQ741" i="11"/>
  <c r="T741" i="11"/>
  <c r="AR741" i="11"/>
  <c r="U741" i="11"/>
  <c r="AS741" i="11"/>
  <c r="V741" i="11"/>
  <c r="AT741" i="11"/>
  <c r="W741" i="11"/>
  <c r="AU741" i="11"/>
  <c r="X741" i="11"/>
  <c r="AV741" i="11"/>
  <c r="Y741" i="11"/>
  <c r="AW741" i="11"/>
  <c r="Z741" i="11"/>
  <c r="AC742" i="11"/>
  <c r="F742" i="11"/>
  <c r="AD742" i="11"/>
  <c r="G742" i="11"/>
  <c r="AE742" i="11"/>
  <c r="H742" i="11"/>
  <c r="AF742" i="11"/>
  <c r="I742" i="11"/>
  <c r="AG742" i="11"/>
  <c r="J742" i="11"/>
  <c r="AH742" i="11"/>
  <c r="K742" i="11"/>
  <c r="AI742" i="11"/>
  <c r="L742" i="11"/>
  <c r="AJ742" i="11"/>
  <c r="M742" i="11"/>
  <c r="AK742" i="11"/>
  <c r="N742" i="11"/>
  <c r="AL742" i="11"/>
  <c r="O742" i="11"/>
  <c r="AM742" i="11"/>
  <c r="P742" i="11"/>
  <c r="AN742" i="11"/>
  <c r="Q742" i="11"/>
  <c r="AO742" i="11"/>
  <c r="R742" i="11"/>
  <c r="AP742" i="11"/>
  <c r="S742" i="11"/>
  <c r="AQ742" i="11"/>
  <c r="T742" i="11"/>
  <c r="AR742" i="11"/>
  <c r="U742" i="11"/>
  <c r="AS742" i="11"/>
  <c r="V742" i="11"/>
  <c r="AT742" i="11"/>
  <c r="W742" i="11"/>
  <c r="AU742" i="11"/>
  <c r="X742" i="11"/>
  <c r="AV742" i="11"/>
  <c r="Y742" i="11"/>
  <c r="AW742" i="11"/>
  <c r="Z742" i="11"/>
  <c r="AC743" i="11"/>
  <c r="F743" i="11"/>
  <c r="AD743" i="11"/>
  <c r="G743" i="11"/>
  <c r="AE743" i="11"/>
  <c r="H743" i="11"/>
  <c r="AF743" i="11"/>
  <c r="I743" i="11"/>
  <c r="AG743" i="11"/>
  <c r="J743" i="11"/>
  <c r="AH743" i="11"/>
  <c r="K743" i="11"/>
  <c r="AI743" i="11"/>
  <c r="L743" i="11"/>
  <c r="AJ743" i="11"/>
  <c r="M743" i="11"/>
  <c r="AK743" i="11"/>
  <c r="N743" i="11"/>
  <c r="AL743" i="11"/>
  <c r="O743" i="11"/>
  <c r="AM743" i="11"/>
  <c r="P743" i="11"/>
  <c r="AN743" i="11"/>
  <c r="Q743" i="11"/>
  <c r="AO743" i="11"/>
  <c r="R743" i="11"/>
  <c r="AP743" i="11"/>
  <c r="S743" i="11"/>
  <c r="AQ743" i="11"/>
  <c r="T743" i="11"/>
  <c r="AR743" i="11"/>
  <c r="U743" i="11"/>
  <c r="AS743" i="11"/>
  <c r="V743" i="11"/>
  <c r="AT743" i="11"/>
  <c r="W743" i="11"/>
  <c r="AU743" i="11"/>
  <c r="X743" i="11"/>
  <c r="AV743" i="11"/>
  <c r="Y743" i="11"/>
  <c r="AW743" i="11"/>
  <c r="Z743" i="11"/>
  <c r="AC744" i="11"/>
  <c r="F744" i="11"/>
  <c r="AD744" i="11"/>
  <c r="G744" i="11"/>
  <c r="AE744" i="11"/>
  <c r="H744" i="11"/>
  <c r="AF744" i="11"/>
  <c r="I744" i="11"/>
  <c r="AG744" i="11"/>
  <c r="J744" i="11"/>
  <c r="AH744" i="11"/>
  <c r="K744" i="11"/>
  <c r="AI744" i="11"/>
  <c r="L744" i="11"/>
  <c r="AJ744" i="11"/>
  <c r="M744" i="11"/>
  <c r="AK744" i="11"/>
  <c r="N744" i="11"/>
  <c r="AL744" i="11"/>
  <c r="O744" i="11"/>
  <c r="AM744" i="11"/>
  <c r="P744" i="11"/>
  <c r="AN744" i="11"/>
  <c r="Q744" i="11"/>
  <c r="AO744" i="11"/>
  <c r="R744" i="11"/>
  <c r="AP744" i="11"/>
  <c r="S744" i="11"/>
  <c r="AQ744" i="11"/>
  <c r="T744" i="11"/>
  <c r="AR744" i="11"/>
  <c r="U744" i="11"/>
  <c r="AS744" i="11"/>
  <c r="V744" i="11"/>
  <c r="AT744" i="11"/>
  <c r="W744" i="11"/>
  <c r="AU744" i="11"/>
  <c r="X744" i="11"/>
  <c r="AV744" i="11"/>
  <c r="Y744" i="11"/>
  <c r="AW744" i="11"/>
  <c r="Z744" i="11"/>
  <c r="AC745" i="11"/>
  <c r="F745" i="11"/>
  <c r="AD745" i="11"/>
  <c r="G745" i="11"/>
  <c r="AE745" i="11"/>
  <c r="H745" i="11"/>
  <c r="AF745" i="11"/>
  <c r="I745" i="11"/>
  <c r="AG745" i="11"/>
  <c r="J745" i="11"/>
  <c r="AH745" i="11"/>
  <c r="K745" i="11"/>
  <c r="AI745" i="11"/>
  <c r="L745" i="11"/>
  <c r="AJ745" i="11"/>
  <c r="M745" i="11"/>
  <c r="AK745" i="11"/>
  <c r="N745" i="11"/>
  <c r="AL745" i="11"/>
  <c r="O745" i="11"/>
  <c r="AM745" i="11"/>
  <c r="P745" i="11"/>
  <c r="AN745" i="11"/>
  <c r="Q745" i="11"/>
  <c r="AO745" i="11"/>
  <c r="R745" i="11"/>
  <c r="AP745" i="11"/>
  <c r="S745" i="11"/>
  <c r="AQ745" i="11"/>
  <c r="T745" i="11"/>
  <c r="AR745" i="11"/>
  <c r="U745" i="11"/>
  <c r="AS745" i="11"/>
  <c r="V745" i="11"/>
  <c r="AT745" i="11"/>
  <c r="W745" i="11"/>
  <c r="AU745" i="11"/>
  <c r="X745" i="11"/>
  <c r="AV745" i="11"/>
  <c r="Y745" i="11"/>
  <c r="AW745" i="11"/>
  <c r="Z745" i="11"/>
  <c r="AC746" i="11"/>
  <c r="F746" i="11"/>
  <c r="AD746" i="11"/>
  <c r="G746" i="11"/>
  <c r="AE746" i="11"/>
  <c r="H746" i="11"/>
  <c r="AF746" i="11"/>
  <c r="I746" i="11"/>
  <c r="AG746" i="11"/>
  <c r="J746" i="11"/>
  <c r="AH746" i="11"/>
  <c r="K746" i="11"/>
  <c r="AI746" i="11"/>
  <c r="L746" i="11"/>
  <c r="AJ746" i="11"/>
  <c r="M746" i="11"/>
  <c r="AK746" i="11"/>
  <c r="N746" i="11"/>
  <c r="AL746" i="11"/>
  <c r="O746" i="11"/>
  <c r="AM746" i="11"/>
  <c r="P746" i="11"/>
  <c r="AN746" i="11"/>
  <c r="Q746" i="11"/>
  <c r="AO746" i="11"/>
  <c r="R746" i="11"/>
  <c r="AP746" i="11"/>
  <c r="S746" i="11"/>
  <c r="AQ746" i="11"/>
  <c r="T746" i="11"/>
  <c r="AR746" i="11"/>
  <c r="U746" i="11"/>
  <c r="AS746" i="11"/>
  <c r="V746" i="11"/>
  <c r="AT746" i="11"/>
  <c r="W746" i="11"/>
  <c r="AU746" i="11"/>
  <c r="X746" i="11"/>
  <c r="AV746" i="11"/>
  <c r="Y746" i="11"/>
  <c r="AW746" i="11"/>
  <c r="Z746" i="11"/>
  <c r="AC747" i="11"/>
  <c r="F747" i="11"/>
  <c r="AD747" i="11"/>
  <c r="G747" i="11"/>
  <c r="AE747" i="11"/>
  <c r="H747" i="11"/>
  <c r="AF747" i="11"/>
  <c r="I747" i="11"/>
  <c r="AG747" i="11"/>
  <c r="J747" i="11"/>
  <c r="AH747" i="11"/>
  <c r="K747" i="11"/>
  <c r="AI747" i="11"/>
  <c r="L747" i="11"/>
  <c r="AJ747" i="11"/>
  <c r="M747" i="11"/>
  <c r="AK747" i="11"/>
  <c r="N747" i="11"/>
  <c r="AL747" i="11"/>
  <c r="O747" i="11"/>
  <c r="AM747" i="11"/>
  <c r="P747" i="11"/>
  <c r="AN747" i="11"/>
  <c r="Q747" i="11"/>
  <c r="AO747" i="11"/>
  <c r="R747" i="11"/>
  <c r="AP747" i="11"/>
  <c r="S747" i="11"/>
  <c r="AQ747" i="11"/>
  <c r="T747" i="11"/>
  <c r="AR747" i="11"/>
  <c r="U747" i="11"/>
  <c r="AS747" i="11"/>
  <c r="V747" i="11"/>
  <c r="AT747" i="11"/>
  <c r="W747" i="11"/>
  <c r="AU747" i="11"/>
  <c r="X747" i="11"/>
  <c r="AV747" i="11"/>
  <c r="Y747" i="11"/>
  <c r="AW747" i="11"/>
  <c r="Z747" i="11"/>
  <c r="AC748" i="11"/>
  <c r="F748" i="11"/>
  <c r="AD748" i="11"/>
  <c r="G748" i="11"/>
  <c r="AE748" i="11"/>
  <c r="H748" i="11"/>
  <c r="AF748" i="11"/>
  <c r="I748" i="11"/>
  <c r="AG748" i="11"/>
  <c r="J748" i="11"/>
  <c r="AH748" i="11"/>
  <c r="K748" i="11"/>
  <c r="AI748" i="11"/>
  <c r="L748" i="11"/>
  <c r="AJ748" i="11"/>
  <c r="M748" i="11"/>
  <c r="AK748" i="11"/>
  <c r="N748" i="11"/>
  <c r="AL748" i="11"/>
  <c r="O748" i="11"/>
  <c r="AM748" i="11"/>
  <c r="P748" i="11"/>
  <c r="AN748" i="11"/>
  <c r="Q748" i="11"/>
  <c r="AO748" i="11"/>
  <c r="R748" i="11"/>
  <c r="AP748" i="11"/>
  <c r="S748" i="11"/>
  <c r="AQ748" i="11"/>
  <c r="T748" i="11"/>
  <c r="AR748" i="11"/>
  <c r="U748" i="11"/>
  <c r="AS748" i="11"/>
  <c r="V748" i="11"/>
  <c r="AT748" i="11"/>
  <c r="W748" i="11"/>
  <c r="AU748" i="11"/>
  <c r="X748" i="11"/>
  <c r="AV748" i="11"/>
  <c r="Y748" i="11"/>
  <c r="AW748" i="11"/>
  <c r="Z748" i="11"/>
  <c r="AC749" i="11"/>
  <c r="F749" i="11"/>
  <c r="AD749" i="11"/>
  <c r="G749" i="11"/>
  <c r="AE749" i="11"/>
  <c r="H749" i="11"/>
  <c r="AF749" i="11"/>
  <c r="I749" i="11"/>
  <c r="AG749" i="11"/>
  <c r="J749" i="11"/>
  <c r="AH749" i="11"/>
  <c r="K749" i="11"/>
  <c r="AI749" i="11"/>
  <c r="L749" i="11"/>
  <c r="AJ749" i="11"/>
  <c r="M749" i="11"/>
  <c r="AK749" i="11"/>
  <c r="N749" i="11"/>
  <c r="AL749" i="11"/>
  <c r="O749" i="11"/>
  <c r="AM749" i="11"/>
  <c r="P749" i="11"/>
  <c r="AN749" i="11"/>
  <c r="Q749" i="11"/>
  <c r="AO749" i="11"/>
  <c r="R749" i="11"/>
  <c r="AP749" i="11"/>
  <c r="S749" i="11"/>
  <c r="AQ749" i="11"/>
  <c r="T749" i="11"/>
  <c r="AR749" i="11"/>
  <c r="U749" i="11"/>
  <c r="AS749" i="11"/>
  <c r="V749" i="11"/>
  <c r="AT749" i="11"/>
  <c r="W749" i="11"/>
  <c r="AU749" i="11"/>
  <c r="X749" i="11"/>
  <c r="AV749" i="11"/>
  <c r="Y749" i="11"/>
  <c r="AW749" i="11"/>
  <c r="Z749" i="11"/>
  <c r="AC750" i="11"/>
  <c r="F750" i="11"/>
  <c r="AD750" i="11"/>
  <c r="G750" i="11"/>
  <c r="AE750" i="11"/>
  <c r="H750" i="11"/>
  <c r="AF750" i="11"/>
  <c r="I750" i="11"/>
  <c r="AG750" i="11"/>
  <c r="J750" i="11"/>
  <c r="AH750" i="11"/>
  <c r="K750" i="11"/>
  <c r="AI750" i="11"/>
  <c r="L750" i="11"/>
  <c r="AJ750" i="11"/>
  <c r="M750" i="11"/>
  <c r="AK750" i="11"/>
  <c r="N750" i="11"/>
  <c r="AL750" i="11"/>
  <c r="O750" i="11"/>
  <c r="AM750" i="11"/>
  <c r="P750" i="11"/>
  <c r="AN750" i="11"/>
  <c r="Q750" i="11"/>
  <c r="AO750" i="11"/>
  <c r="R750" i="11"/>
  <c r="AP750" i="11"/>
  <c r="S750" i="11"/>
  <c r="AQ750" i="11"/>
  <c r="T750" i="11"/>
  <c r="AR750" i="11"/>
  <c r="U750" i="11"/>
  <c r="AS750" i="11"/>
  <c r="V750" i="11"/>
  <c r="AT750" i="11"/>
  <c r="W750" i="11"/>
  <c r="AU750" i="11"/>
  <c r="X750" i="11"/>
  <c r="AV750" i="11"/>
  <c r="Y750" i="11"/>
  <c r="AW750" i="11"/>
  <c r="Z750" i="11"/>
  <c r="AC751" i="11"/>
  <c r="F751" i="11"/>
  <c r="AD751" i="11"/>
  <c r="G751" i="11"/>
  <c r="AE751" i="11"/>
  <c r="H751" i="11"/>
  <c r="AF751" i="11"/>
  <c r="I751" i="11"/>
  <c r="AG751" i="11"/>
  <c r="J751" i="11"/>
  <c r="AH751" i="11"/>
  <c r="K751" i="11"/>
  <c r="AI751" i="11"/>
  <c r="L751" i="11"/>
  <c r="AJ751" i="11"/>
  <c r="M751" i="11"/>
  <c r="AK751" i="11"/>
  <c r="N751" i="11"/>
  <c r="AL751" i="11"/>
  <c r="O751" i="11"/>
  <c r="AM751" i="11"/>
  <c r="P751" i="11"/>
  <c r="AN751" i="11"/>
  <c r="Q751" i="11"/>
  <c r="AO751" i="11"/>
  <c r="R751" i="11"/>
  <c r="AP751" i="11"/>
  <c r="S751" i="11"/>
  <c r="AQ751" i="11"/>
  <c r="T751" i="11"/>
  <c r="AR751" i="11"/>
  <c r="U751" i="11"/>
  <c r="AS751" i="11"/>
  <c r="V751" i="11"/>
  <c r="AT751" i="11"/>
  <c r="W751" i="11"/>
  <c r="AU751" i="11"/>
  <c r="X751" i="11"/>
  <c r="AV751" i="11"/>
  <c r="Y751" i="11"/>
  <c r="AW751" i="11"/>
  <c r="Z751" i="11"/>
  <c r="AC752" i="11"/>
  <c r="F752" i="11"/>
  <c r="AD752" i="11"/>
  <c r="G752" i="11"/>
  <c r="AE752" i="11"/>
  <c r="H752" i="11"/>
  <c r="AF752" i="11"/>
  <c r="I752" i="11"/>
  <c r="AG752" i="11"/>
  <c r="J752" i="11"/>
  <c r="AH752" i="11"/>
  <c r="K752" i="11"/>
  <c r="AI752" i="11"/>
  <c r="L752" i="11"/>
  <c r="AJ752" i="11"/>
  <c r="M752" i="11"/>
  <c r="AK752" i="11"/>
  <c r="N752" i="11"/>
  <c r="AL752" i="11"/>
  <c r="O752" i="11"/>
  <c r="AM752" i="11"/>
  <c r="P752" i="11"/>
  <c r="AN752" i="11"/>
  <c r="Q752" i="11"/>
  <c r="AO752" i="11"/>
  <c r="R752" i="11"/>
  <c r="AP752" i="11"/>
  <c r="S752" i="11"/>
  <c r="AQ752" i="11"/>
  <c r="T752" i="11"/>
  <c r="AR752" i="11"/>
  <c r="U752" i="11"/>
  <c r="AS752" i="11"/>
  <c r="V752" i="11"/>
  <c r="AT752" i="11"/>
  <c r="W752" i="11"/>
  <c r="AU752" i="11"/>
  <c r="X752" i="11"/>
  <c r="AV752" i="11"/>
  <c r="Y752" i="11"/>
  <c r="AW752" i="11"/>
  <c r="Z752" i="11"/>
  <c r="AC753" i="11"/>
  <c r="F753" i="11"/>
  <c r="AD753" i="11"/>
  <c r="G753" i="11"/>
  <c r="AE753" i="11"/>
  <c r="H753" i="11"/>
  <c r="AF753" i="11"/>
  <c r="I753" i="11"/>
  <c r="AG753" i="11"/>
  <c r="J753" i="11"/>
  <c r="AH753" i="11"/>
  <c r="K753" i="11"/>
  <c r="AI753" i="11"/>
  <c r="L753" i="11"/>
  <c r="AJ753" i="11"/>
  <c r="M753" i="11"/>
  <c r="AK753" i="11"/>
  <c r="N753" i="11"/>
  <c r="AL753" i="11"/>
  <c r="O753" i="11"/>
  <c r="AM753" i="11"/>
  <c r="P753" i="11"/>
  <c r="AN753" i="11"/>
  <c r="Q753" i="11"/>
  <c r="AO753" i="11"/>
  <c r="R753" i="11"/>
  <c r="AP753" i="11"/>
  <c r="S753" i="11"/>
  <c r="AQ753" i="11"/>
  <c r="T753" i="11"/>
  <c r="AR753" i="11"/>
  <c r="U753" i="11"/>
  <c r="AS753" i="11"/>
  <c r="V753" i="11"/>
  <c r="AT753" i="11"/>
  <c r="W753" i="11"/>
  <c r="AU753" i="11"/>
  <c r="X753" i="11"/>
  <c r="AV753" i="11"/>
  <c r="Y753" i="11"/>
  <c r="AW753" i="11"/>
  <c r="Z753" i="11"/>
  <c r="AC754" i="11"/>
  <c r="F754" i="11"/>
  <c r="AD754" i="11"/>
  <c r="G754" i="11"/>
  <c r="AE754" i="11"/>
  <c r="H754" i="11"/>
  <c r="AF754" i="11"/>
  <c r="I754" i="11"/>
  <c r="AG754" i="11"/>
  <c r="J754" i="11"/>
  <c r="AH754" i="11"/>
  <c r="K754" i="11"/>
  <c r="AI754" i="11"/>
  <c r="L754" i="11"/>
  <c r="AJ754" i="11"/>
  <c r="M754" i="11"/>
  <c r="AK754" i="11"/>
  <c r="N754" i="11"/>
  <c r="AL754" i="11"/>
  <c r="O754" i="11"/>
  <c r="AM754" i="11"/>
  <c r="P754" i="11"/>
  <c r="AN754" i="11"/>
  <c r="Q754" i="11"/>
  <c r="AO754" i="11"/>
  <c r="R754" i="11"/>
  <c r="AP754" i="11"/>
  <c r="S754" i="11"/>
  <c r="AQ754" i="11"/>
  <c r="T754" i="11"/>
  <c r="AR754" i="11"/>
  <c r="U754" i="11"/>
  <c r="AS754" i="11"/>
  <c r="V754" i="11"/>
  <c r="AT754" i="11"/>
  <c r="W754" i="11"/>
  <c r="AU754" i="11"/>
  <c r="X754" i="11"/>
  <c r="AV754" i="11"/>
  <c r="Y754" i="11"/>
  <c r="AW754" i="11"/>
  <c r="Z754" i="11"/>
  <c r="AC755" i="11"/>
  <c r="F755" i="11"/>
  <c r="AD755" i="11"/>
  <c r="G755" i="11"/>
  <c r="AE755" i="11"/>
  <c r="H755" i="11"/>
  <c r="AF755" i="11"/>
  <c r="I755" i="11"/>
  <c r="AG755" i="11"/>
  <c r="J755" i="11"/>
  <c r="AH755" i="11"/>
  <c r="K755" i="11"/>
  <c r="AI755" i="11"/>
  <c r="L755" i="11"/>
  <c r="AJ755" i="11"/>
  <c r="M755" i="11"/>
  <c r="AK755" i="11"/>
  <c r="N755" i="11"/>
  <c r="AL755" i="11"/>
  <c r="O755" i="11"/>
  <c r="AM755" i="11"/>
  <c r="P755" i="11"/>
  <c r="AN755" i="11"/>
  <c r="Q755" i="11"/>
  <c r="AO755" i="11"/>
  <c r="R755" i="11"/>
  <c r="AP755" i="11"/>
  <c r="S755" i="11"/>
  <c r="AQ755" i="11"/>
  <c r="T755" i="11"/>
  <c r="AR755" i="11"/>
  <c r="U755" i="11"/>
  <c r="AS755" i="11"/>
  <c r="V755" i="11"/>
  <c r="AT755" i="11"/>
  <c r="W755" i="11"/>
  <c r="AU755" i="11"/>
  <c r="X755" i="11"/>
  <c r="AV755" i="11"/>
  <c r="Y755" i="11"/>
  <c r="AW755" i="11"/>
  <c r="Z755" i="11"/>
  <c r="AC756" i="11"/>
  <c r="F756" i="11"/>
  <c r="AD756" i="11"/>
  <c r="G756" i="11"/>
  <c r="AE756" i="11"/>
  <c r="H756" i="11"/>
  <c r="AF756" i="11"/>
  <c r="I756" i="11"/>
  <c r="AG756" i="11"/>
  <c r="J756" i="11"/>
  <c r="AH756" i="11"/>
  <c r="K756" i="11"/>
  <c r="AI756" i="11"/>
  <c r="L756" i="11"/>
  <c r="AJ756" i="11"/>
  <c r="M756" i="11"/>
  <c r="AK756" i="11"/>
  <c r="N756" i="11"/>
  <c r="AL756" i="11"/>
  <c r="O756" i="11"/>
  <c r="AM756" i="11"/>
  <c r="P756" i="11"/>
  <c r="AN756" i="11"/>
  <c r="Q756" i="11"/>
  <c r="AO756" i="11"/>
  <c r="R756" i="11"/>
  <c r="AP756" i="11"/>
  <c r="S756" i="11"/>
  <c r="AQ756" i="11"/>
  <c r="T756" i="11"/>
  <c r="AR756" i="11"/>
  <c r="U756" i="11"/>
  <c r="AS756" i="11"/>
  <c r="V756" i="11"/>
  <c r="AT756" i="11"/>
  <c r="W756" i="11"/>
  <c r="AU756" i="11"/>
  <c r="X756" i="11"/>
  <c r="AV756" i="11"/>
  <c r="Y756" i="11"/>
  <c r="AW756" i="11"/>
  <c r="Z756" i="11"/>
  <c r="AC757" i="11"/>
  <c r="F757" i="11"/>
  <c r="AD757" i="11"/>
  <c r="G757" i="11"/>
  <c r="AE757" i="11"/>
  <c r="H757" i="11"/>
  <c r="AF757" i="11"/>
  <c r="I757" i="11"/>
  <c r="AG757" i="11"/>
  <c r="J757" i="11"/>
  <c r="AH757" i="11"/>
  <c r="K757" i="11"/>
  <c r="AI757" i="11"/>
  <c r="L757" i="11"/>
  <c r="AJ757" i="11"/>
  <c r="M757" i="11"/>
  <c r="AK757" i="11"/>
  <c r="N757" i="11"/>
  <c r="AL757" i="11"/>
  <c r="O757" i="11"/>
  <c r="AM757" i="11"/>
  <c r="P757" i="11"/>
  <c r="AN757" i="11"/>
  <c r="Q757" i="11"/>
  <c r="AO757" i="11"/>
  <c r="R757" i="11"/>
  <c r="AP757" i="11"/>
  <c r="S757" i="11"/>
  <c r="AQ757" i="11"/>
  <c r="T757" i="11"/>
  <c r="AR757" i="11"/>
  <c r="U757" i="11"/>
  <c r="AS757" i="11"/>
  <c r="V757" i="11"/>
  <c r="AT757" i="11"/>
  <c r="W757" i="11"/>
  <c r="AU757" i="11"/>
  <c r="X757" i="11"/>
  <c r="AV757" i="11"/>
  <c r="Y757" i="11"/>
  <c r="AW757" i="11"/>
  <c r="Z757" i="11"/>
  <c r="AC758" i="11"/>
  <c r="F758" i="11"/>
  <c r="AD758" i="11"/>
  <c r="G758" i="11"/>
  <c r="AE758" i="11"/>
  <c r="H758" i="11"/>
  <c r="AF758" i="11"/>
  <c r="I758" i="11"/>
  <c r="AG758" i="11"/>
  <c r="J758" i="11"/>
  <c r="AH758" i="11"/>
  <c r="K758" i="11"/>
  <c r="AI758" i="11"/>
  <c r="L758" i="11"/>
  <c r="AJ758" i="11"/>
  <c r="M758" i="11"/>
  <c r="AK758" i="11"/>
  <c r="N758" i="11"/>
  <c r="AL758" i="11"/>
  <c r="O758" i="11"/>
  <c r="AM758" i="11"/>
  <c r="P758" i="11"/>
  <c r="AN758" i="11"/>
  <c r="Q758" i="11"/>
  <c r="AO758" i="11"/>
  <c r="R758" i="11"/>
  <c r="AP758" i="11"/>
  <c r="S758" i="11"/>
  <c r="AQ758" i="11"/>
  <c r="T758" i="11"/>
  <c r="AR758" i="11"/>
  <c r="U758" i="11"/>
  <c r="AS758" i="11"/>
  <c r="V758" i="11"/>
  <c r="AT758" i="11"/>
  <c r="W758" i="11"/>
  <c r="AU758" i="11"/>
  <c r="X758" i="11"/>
  <c r="AV758" i="11"/>
  <c r="Y758" i="11"/>
  <c r="AW758" i="11"/>
  <c r="Z758" i="11"/>
  <c r="AC759" i="11"/>
  <c r="F759" i="11"/>
  <c r="AD759" i="11"/>
  <c r="G759" i="11"/>
  <c r="AE759" i="11"/>
  <c r="H759" i="11"/>
  <c r="AF759" i="11"/>
  <c r="I759" i="11"/>
  <c r="AG759" i="11"/>
  <c r="J759" i="11"/>
  <c r="AH759" i="11"/>
  <c r="K759" i="11"/>
  <c r="AI759" i="11"/>
  <c r="L759" i="11"/>
  <c r="AJ759" i="11"/>
  <c r="M759" i="11"/>
  <c r="AK759" i="11"/>
  <c r="N759" i="11"/>
  <c r="AL759" i="11"/>
  <c r="O759" i="11"/>
  <c r="AM759" i="11"/>
  <c r="P759" i="11"/>
  <c r="AN759" i="11"/>
  <c r="Q759" i="11"/>
  <c r="AO759" i="11"/>
  <c r="R759" i="11"/>
  <c r="AP759" i="11"/>
  <c r="S759" i="11"/>
  <c r="AQ759" i="11"/>
  <c r="T759" i="11"/>
  <c r="AR759" i="11"/>
  <c r="U759" i="11"/>
  <c r="AS759" i="11"/>
  <c r="V759" i="11"/>
  <c r="AT759" i="11"/>
  <c r="W759" i="11"/>
  <c r="AU759" i="11"/>
  <c r="X759" i="11"/>
  <c r="AV759" i="11"/>
  <c r="Y759" i="11"/>
  <c r="AW759" i="11"/>
  <c r="Z759" i="11"/>
  <c r="AC760" i="11"/>
  <c r="F760" i="11"/>
  <c r="AD760" i="11"/>
  <c r="G760" i="11"/>
  <c r="AE760" i="11"/>
  <c r="H760" i="11"/>
  <c r="AF760" i="11"/>
  <c r="I760" i="11"/>
  <c r="AG760" i="11"/>
  <c r="J760" i="11"/>
  <c r="AH760" i="11"/>
  <c r="K760" i="11"/>
  <c r="AI760" i="11"/>
  <c r="L760" i="11"/>
  <c r="AJ760" i="11"/>
  <c r="M760" i="11"/>
  <c r="AK760" i="11"/>
  <c r="N760" i="11"/>
  <c r="AL760" i="11"/>
  <c r="O760" i="11"/>
  <c r="AM760" i="11"/>
  <c r="P760" i="11"/>
  <c r="AN760" i="11"/>
  <c r="Q760" i="11"/>
  <c r="AO760" i="11"/>
  <c r="R760" i="11"/>
  <c r="AP760" i="11"/>
  <c r="S760" i="11"/>
  <c r="AQ760" i="11"/>
  <c r="T760" i="11"/>
  <c r="AR760" i="11"/>
  <c r="U760" i="11"/>
  <c r="AS760" i="11"/>
  <c r="V760" i="11"/>
  <c r="AT760" i="11"/>
  <c r="W760" i="11"/>
  <c r="AU760" i="11"/>
  <c r="X760" i="11"/>
  <c r="AV760" i="11"/>
  <c r="Y760" i="11"/>
  <c r="AW760" i="11"/>
  <c r="Z760" i="11"/>
  <c r="AC761" i="11"/>
  <c r="F761" i="11"/>
  <c r="AD761" i="11"/>
  <c r="G761" i="11"/>
  <c r="AE761" i="11"/>
  <c r="H761" i="11"/>
  <c r="AF761" i="11"/>
  <c r="I761" i="11"/>
  <c r="AG761" i="11"/>
  <c r="J761" i="11"/>
  <c r="AH761" i="11"/>
  <c r="K761" i="11"/>
  <c r="AI761" i="11"/>
  <c r="L761" i="11"/>
  <c r="AJ761" i="11"/>
  <c r="M761" i="11"/>
  <c r="AK761" i="11"/>
  <c r="N761" i="11"/>
  <c r="AL761" i="11"/>
  <c r="O761" i="11"/>
  <c r="AM761" i="11"/>
  <c r="P761" i="11"/>
  <c r="AN761" i="11"/>
  <c r="Q761" i="11"/>
  <c r="AO761" i="11"/>
  <c r="R761" i="11"/>
  <c r="AP761" i="11"/>
  <c r="S761" i="11"/>
  <c r="AQ761" i="11"/>
  <c r="T761" i="11"/>
  <c r="AR761" i="11"/>
  <c r="U761" i="11"/>
  <c r="AS761" i="11"/>
  <c r="V761" i="11"/>
  <c r="AT761" i="11"/>
  <c r="W761" i="11"/>
  <c r="AU761" i="11"/>
  <c r="X761" i="11"/>
  <c r="AV761" i="11"/>
  <c r="Y761" i="11"/>
  <c r="AW761" i="11"/>
  <c r="Z761" i="11"/>
  <c r="AC762" i="11"/>
  <c r="F762" i="11"/>
  <c r="AD762" i="11"/>
  <c r="G762" i="11"/>
  <c r="AE762" i="11"/>
  <c r="H762" i="11"/>
  <c r="AF762" i="11"/>
  <c r="I762" i="11"/>
  <c r="AG762" i="11"/>
  <c r="J762" i="11"/>
  <c r="AH762" i="11"/>
  <c r="K762" i="11"/>
  <c r="AI762" i="11"/>
  <c r="L762" i="11"/>
  <c r="AJ762" i="11"/>
  <c r="M762" i="11"/>
  <c r="AK762" i="11"/>
  <c r="N762" i="11"/>
  <c r="AL762" i="11"/>
  <c r="O762" i="11"/>
  <c r="AM762" i="11"/>
  <c r="P762" i="11"/>
  <c r="AN762" i="11"/>
  <c r="Q762" i="11"/>
  <c r="AO762" i="11"/>
  <c r="R762" i="11"/>
  <c r="AP762" i="11"/>
  <c r="S762" i="11"/>
  <c r="AQ762" i="11"/>
  <c r="T762" i="11"/>
  <c r="AR762" i="11"/>
  <c r="U762" i="11"/>
  <c r="AS762" i="11"/>
  <c r="V762" i="11"/>
  <c r="AT762" i="11"/>
  <c r="W762" i="11"/>
  <c r="AU762" i="11"/>
  <c r="X762" i="11"/>
  <c r="AV762" i="11"/>
  <c r="Y762" i="11"/>
  <c r="AW762" i="11"/>
  <c r="Z762" i="11"/>
  <c r="AC763" i="11"/>
  <c r="F763" i="11"/>
  <c r="AD763" i="11"/>
  <c r="G763" i="11"/>
  <c r="AE763" i="11"/>
  <c r="H763" i="11"/>
  <c r="AF763" i="11"/>
  <c r="I763" i="11"/>
  <c r="AG763" i="11"/>
  <c r="J763" i="11"/>
  <c r="AH763" i="11"/>
  <c r="K763" i="11"/>
  <c r="AI763" i="11"/>
  <c r="L763" i="11"/>
  <c r="AJ763" i="11"/>
  <c r="M763" i="11"/>
  <c r="AK763" i="11"/>
  <c r="N763" i="11"/>
  <c r="AL763" i="11"/>
  <c r="O763" i="11"/>
  <c r="AM763" i="11"/>
  <c r="P763" i="11"/>
  <c r="AN763" i="11"/>
  <c r="Q763" i="11"/>
  <c r="AO763" i="11"/>
  <c r="R763" i="11"/>
  <c r="AP763" i="11"/>
  <c r="S763" i="11"/>
  <c r="AQ763" i="11"/>
  <c r="T763" i="11"/>
  <c r="AR763" i="11"/>
  <c r="U763" i="11"/>
  <c r="AS763" i="11"/>
  <c r="V763" i="11"/>
  <c r="AT763" i="11"/>
  <c r="W763" i="11"/>
  <c r="AU763" i="11"/>
  <c r="X763" i="11"/>
  <c r="AV763" i="11"/>
  <c r="Y763" i="11"/>
  <c r="AW763" i="11"/>
  <c r="Z763" i="11"/>
  <c r="AC764" i="11"/>
  <c r="F764" i="11"/>
  <c r="AD764" i="11"/>
  <c r="G764" i="11"/>
  <c r="AE764" i="11"/>
  <c r="H764" i="11"/>
  <c r="AF764" i="11"/>
  <c r="I764" i="11"/>
  <c r="AG764" i="11"/>
  <c r="J764" i="11"/>
  <c r="AH764" i="11"/>
  <c r="K764" i="11"/>
  <c r="AI764" i="11"/>
  <c r="L764" i="11"/>
  <c r="AJ764" i="11"/>
  <c r="M764" i="11"/>
  <c r="AK764" i="11"/>
  <c r="N764" i="11"/>
  <c r="AL764" i="11"/>
  <c r="O764" i="11"/>
  <c r="AM764" i="11"/>
  <c r="P764" i="11"/>
  <c r="AN764" i="11"/>
  <c r="Q764" i="11"/>
  <c r="AO764" i="11"/>
  <c r="R764" i="11"/>
  <c r="AP764" i="11"/>
  <c r="S764" i="11"/>
  <c r="AQ764" i="11"/>
  <c r="T764" i="11"/>
  <c r="AR764" i="11"/>
  <c r="U764" i="11"/>
  <c r="AS764" i="11"/>
  <c r="V764" i="11"/>
  <c r="AT764" i="11"/>
  <c r="W764" i="11"/>
  <c r="AU764" i="11"/>
  <c r="X764" i="11"/>
  <c r="AV764" i="11"/>
  <c r="Y764" i="11"/>
  <c r="AW764" i="11"/>
  <c r="Z764" i="11"/>
  <c r="AC765" i="11"/>
  <c r="F765" i="11"/>
  <c r="AD765" i="11"/>
  <c r="G765" i="11"/>
  <c r="AE765" i="11"/>
  <c r="H765" i="11"/>
  <c r="AF765" i="11"/>
  <c r="I765" i="11"/>
  <c r="AG765" i="11"/>
  <c r="J765" i="11"/>
  <c r="AH765" i="11"/>
  <c r="K765" i="11"/>
  <c r="AI765" i="11"/>
  <c r="L765" i="11"/>
  <c r="AJ765" i="11"/>
  <c r="M765" i="11"/>
  <c r="AK765" i="11"/>
  <c r="N765" i="11"/>
  <c r="AL765" i="11"/>
  <c r="O765" i="11"/>
  <c r="AM765" i="11"/>
  <c r="P765" i="11"/>
  <c r="AN765" i="11"/>
  <c r="Q765" i="11"/>
  <c r="AO765" i="11"/>
  <c r="R765" i="11"/>
  <c r="AP765" i="11"/>
  <c r="S765" i="11"/>
  <c r="AQ765" i="11"/>
  <c r="T765" i="11"/>
  <c r="AR765" i="11"/>
  <c r="U765" i="11"/>
  <c r="AS765" i="11"/>
  <c r="V765" i="11"/>
  <c r="AT765" i="11"/>
  <c r="W765" i="11"/>
  <c r="AU765" i="11"/>
  <c r="X765" i="11"/>
  <c r="AV765" i="11"/>
  <c r="Y765" i="11"/>
  <c r="AW765" i="11"/>
  <c r="Z765" i="11"/>
  <c r="AC766" i="11"/>
  <c r="F766" i="11"/>
  <c r="AD766" i="11"/>
  <c r="G766" i="11"/>
  <c r="AE766" i="11"/>
  <c r="H766" i="11"/>
  <c r="AF766" i="11"/>
  <c r="I766" i="11"/>
  <c r="AG766" i="11"/>
  <c r="J766" i="11"/>
  <c r="AH766" i="11"/>
  <c r="K766" i="11"/>
  <c r="AI766" i="11"/>
  <c r="L766" i="11"/>
  <c r="AJ766" i="11"/>
  <c r="M766" i="11"/>
  <c r="AK766" i="11"/>
  <c r="N766" i="11"/>
  <c r="AL766" i="11"/>
  <c r="O766" i="11"/>
  <c r="AM766" i="11"/>
  <c r="P766" i="11"/>
  <c r="AN766" i="11"/>
  <c r="Q766" i="11"/>
  <c r="AO766" i="11"/>
  <c r="R766" i="11"/>
  <c r="AP766" i="11"/>
  <c r="S766" i="11"/>
  <c r="AQ766" i="11"/>
  <c r="T766" i="11"/>
  <c r="AR766" i="11"/>
  <c r="U766" i="11"/>
  <c r="AS766" i="11"/>
  <c r="V766" i="11"/>
  <c r="AT766" i="11"/>
  <c r="W766" i="11"/>
  <c r="AU766" i="11"/>
  <c r="X766" i="11"/>
  <c r="AV766" i="11"/>
  <c r="Y766" i="11"/>
  <c r="AW766" i="11"/>
  <c r="Z766" i="11"/>
  <c r="AC767" i="11"/>
  <c r="F767" i="11"/>
  <c r="AD767" i="11"/>
  <c r="G767" i="11"/>
  <c r="AE767" i="11"/>
  <c r="H767" i="11"/>
  <c r="AF767" i="11"/>
  <c r="I767" i="11"/>
  <c r="AG767" i="11"/>
  <c r="J767" i="11"/>
  <c r="AH767" i="11"/>
  <c r="K767" i="11"/>
  <c r="AI767" i="11"/>
  <c r="L767" i="11"/>
  <c r="AJ767" i="11"/>
  <c r="M767" i="11"/>
  <c r="AK767" i="11"/>
  <c r="N767" i="11"/>
  <c r="AL767" i="11"/>
  <c r="O767" i="11"/>
  <c r="AM767" i="11"/>
  <c r="P767" i="11"/>
  <c r="AN767" i="11"/>
  <c r="Q767" i="11"/>
  <c r="AO767" i="11"/>
  <c r="R767" i="11"/>
  <c r="AP767" i="11"/>
  <c r="S767" i="11"/>
  <c r="AQ767" i="11"/>
  <c r="T767" i="11"/>
  <c r="AR767" i="11"/>
  <c r="U767" i="11"/>
  <c r="AS767" i="11"/>
  <c r="V767" i="11"/>
  <c r="AT767" i="11"/>
  <c r="W767" i="11"/>
  <c r="AU767" i="11"/>
  <c r="X767" i="11"/>
  <c r="AV767" i="11"/>
  <c r="Y767" i="11"/>
  <c r="AW767" i="11"/>
  <c r="Z767" i="11"/>
  <c r="AC768" i="11"/>
  <c r="F768" i="11"/>
  <c r="AD768" i="11"/>
  <c r="G768" i="11"/>
  <c r="AE768" i="11"/>
  <c r="H768" i="11"/>
  <c r="AF768" i="11"/>
  <c r="I768" i="11"/>
  <c r="AG768" i="11"/>
  <c r="J768" i="11"/>
  <c r="AH768" i="11"/>
  <c r="K768" i="11"/>
  <c r="AI768" i="11"/>
  <c r="L768" i="11"/>
  <c r="AJ768" i="11"/>
  <c r="M768" i="11"/>
  <c r="AK768" i="11"/>
  <c r="N768" i="11"/>
  <c r="AL768" i="11"/>
  <c r="O768" i="11"/>
  <c r="AM768" i="11"/>
  <c r="P768" i="11"/>
  <c r="AN768" i="11"/>
  <c r="Q768" i="11"/>
  <c r="AO768" i="11"/>
  <c r="R768" i="11"/>
  <c r="AP768" i="11"/>
  <c r="S768" i="11"/>
  <c r="AQ768" i="11"/>
  <c r="T768" i="11"/>
  <c r="AR768" i="11"/>
  <c r="U768" i="11"/>
  <c r="AS768" i="11"/>
  <c r="V768" i="11"/>
  <c r="AT768" i="11"/>
  <c r="W768" i="11"/>
  <c r="AU768" i="11"/>
  <c r="X768" i="11"/>
  <c r="AV768" i="11"/>
  <c r="Y768" i="11"/>
  <c r="AW768" i="11"/>
  <c r="Z768" i="11"/>
  <c r="AC769" i="11"/>
  <c r="F769" i="11"/>
  <c r="AD769" i="11"/>
  <c r="G769" i="11"/>
  <c r="AE769" i="11"/>
  <c r="H769" i="11"/>
  <c r="AF769" i="11"/>
  <c r="I769" i="11"/>
  <c r="AG769" i="11"/>
  <c r="J769" i="11"/>
  <c r="AH769" i="11"/>
  <c r="K769" i="11"/>
  <c r="AI769" i="11"/>
  <c r="L769" i="11"/>
  <c r="AJ769" i="11"/>
  <c r="M769" i="11"/>
  <c r="AK769" i="11"/>
  <c r="N769" i="11"/>
  <c r="AL769" i="11"/>
  <c r="O769" i="11"/>
  <c r="AM769" i="11"/>
  <c r="P769" i="11"/>
  <c r="AN769" i="11"/>
  <c r="Q769" i="11"/>
  <c r="AO769" i="11"/>
  <c r="R769" i="11"/>
  <c r="AP769" i="11"/>
  <c r="S769" i="11"/>
  <c r="AQ769" i="11"/>
  <c r="T769" i="11"/>
  <c r="AR769" i="11"/>
  <c r="U769" i="11"/>
  <c r="AS769" i="11"/>
  <c r="V769" i="11"/>
  <c r="AT769" i="11"/>
  <c r="W769" i="11"/>
  <c r="AU769" i="11"/>
  <c r="X769" i="11"/>
  <c r="AV769" i="11"/>
  <c r="Y769" i="11"/>
  <c r="AW769" i="11"/>
  <c r="Z769" i="11"/>
  <c r="AC770" i="11"/>
  <c r="F770" i="11"/>
  <c r="AD770" i="11"/>
  <c r="G770" i="11"/>
  <c r="AE770" i="11"/>
  <c r="H770" i="11"/>
  <c r="AF770" i="11"/>
  <c r="I770" i="11"/>
  <c r="AG770" i="11"/>
  <c r="J770" i="11"/>
  <c r="AH770" i="11"/>
  <c r="K770" i="11"/>
  <c r="AI770" i="11"/>
  <c r="L770" i="11"/>
  <c r="AJ770" i="11"/>
  <c r="M770" i="11"/>
  <c r="AK770" i="11"/>
  <c r="N770" i="11"/>
  <c r="AL770" i="11"/>
  <c r="O770" i="11"/>
  <c r="AM770" i="11"/>
  <c r="P770" i="11"/>
  <c r="AN770" i="11"/>
  <c r="Q770" i="11"/>
  <c r="AO770" i="11"/>
  <c r="R770" i="11"/>
  <c r="AP770" i="11"/>
  <c r="S770" i="11"/>
  <c r="AQ770" i="11"/>
  <c r="T770" i="11"/>
  <c r="AR770" i="11"/>
  <c r="U770" i="11"/>
  <c r="AS770" i="11"/>
  <c r="V770" i="11"/>
  <c r="AT770" i="11"/>
  <c r="W770" i="11"/>
  <c r="AU770" i="11"/>
  <c r="X770" i="11"/>
  <c r="AV770" i="11"/>
  <c r="Y770" i="11"/>
  <c r="AW770" i="11"/>
  <c r="Z770" i="11"/>
  <c r="AC771" i="11"/>
  <c r="F771" i="11"/>
  <c r="AD771" i="11"/>
  <c r="G771" i="11"/>
  <c r="AE771" i="11"/>
  <c r="H771" i="11"/>
  <c r="AF771" i="11"/>
  <c r="I771" i="11"/>
  <c r="AG771" i="11"/>
  <c r="J771" i="11"/>
  <c r="AH771" i="11"/>
  <c r="K771" i="11"/>
  <c r="AI771" i="11"/>
  <c r="L771" i="11"/>
  <c r="AJ771" i="11"/>
  <c r="M771" i="11"/>
  <c r="AK771" i="11"/>
  <c r="N771" i="11"/>
  <c r="AL771" i="11"/>
  <c r="O771" i="11"/>
  <c r="AM771" i="11"/>
  <c r="P771" i="11"/>
  <c r="AN771" i="11"/>
  <c r="Q771" i="11"/>
  <c r="AO771" i="11"/>
  <c r="R771" i="11"/>
  <c r="AP771" i="11"/>
  <c r="S771" i="11"/>
  <c r="AQ771" i="11"/>
  <c r="T771" i="11"/>
  <c r="AR771" i="11"/>
  <c r="U771" i="11"/>
  <c r="AS771" i="11"/>
  <c r="V771" i="11"/>
  <c r="AT771" i="11"/>
  <c r="W771" i="11"/>
  <c r="AU771" i="11"/>
  <c r="X771" i="11"/>
  <c r="AV771" i="11"/>
  <c r="Y771" i="11"/>
  <c r="AW771" i="11"/>
  <c r="Z771" i="11"/>
  <c r="AC772" i="11"/>
  <c r="F772" i="11"/>
  <c r="AD772" i="11"/>
  <c r="G772" i="11"/>
  <c r="AE772" i="11"/>
  <c r="H772" i="11"/>
  <c r="AF772" i="11"/>
  <c r="I772" i="11"/>
  <c r="AG772" i="11"/>
  <c r="J772" i="11"/>
  <c r="AH772" i="11"/>
  <c r="K772" i="11"/>
  <c r="AI772" i="11"/>
  <c r="L772" i="11"/>
  <c r="AJ772" i="11"/>
  <c r="M772" i="11"/>
  <c r="AK772" i="11"/>
  <c r="N772" i="11"/>
  <c r="AL772" i="11"/>
  <c r="O772" i="11"/>
  <c r="AM772" i="11"/>
  <c r="P772" i="11"/>
  <c r="AN772" i="11"/>
  <c r="Q772" i="11"/>
  <c r="AO772" i="11"/>
  <c r="R772" i="11"/>
  <c r="AP772" i="11"/>
  <c r="S772" i="11"/>
  <c r="AQ772" i="11"/>
  <c r="T772" i="11"/>
  <c r="AR772" i="11"/>
  <c r="U772" i="11"/>
  <c r="AS772" i="11"/>
  <c r="V772" i="11"/>
  <c r="AT772" i="11"/>
  <c r="W772" i="11"/>
  <c r="AU772" i="11"/>
  <c r="X772" i="11"/>
  <c r="AV772" i="11"/>
  <c r="Y772" i="11"/>
  <c r="AW772" i="11"/>
  <c r="Z772" i="11"/>
  <c r="AC773" i="11"/>
  <c r="F773" i="11"/>
  <c r="AD773" i="11"/>
  <c r="G773" i="11"/>
  <c r="AE773" i="11"/>
  <c r="H773" i="11"/>
  <c r="AF773" i="11"/>
  <c r="I773" i="11"/>
  <c r="AG773" i="11"/>
  <c r="J773" i="11"/>
  <c r="AH773" i="11"/>
  <c r="K773" i="11"/>
  <c r="AI773" i="11"/>
  <c r="L773" i="11"/>
  <c r="AJ773" i="11"/>
  <c r="M773" i="11"/>
  <c r="AK773" i="11"/>
  <c r="N773" i="11"/>
  <c r="AL773" i="11"/>
  <c r="O773" i="11"/>
  <c r="AM773" i="11"/>
  <c r="P773" i="11"/>
  <c r="AN773" i="11"/>
  <c r="Q773" i="11"/>
  <c r="AO773" i="11"/>
  <c r="R773" i="11"/>
  <c r="AP773" i="11"/>
  <c r="S773" i="11"/>
  <c r="AQ773" i="11"/>
  <c r="T773" i="11"/>
  <c r="AR773" i="11"/>
  <c r="U773" i="11"/>
  <c r="AS773" i="11"/>
  <c r="V773" i="11"/>
  <c r="AT773" i="11"/>
  <c r="W773" i="11"/>
  <c r="AU773" i="11"/>
  <c r="X773" i="11"/>
  <c r="AV773" i="11"/>
  <c r="Y773" i="11"/>
  <c r="AW773" i="11"/>
  <c r="Z773" i="11"/>
  <c r="AC774" i="11"/>
  <c r="F774" i="11"/>
  <c r="AD774" i="11"/>
  <c r="G774" i="11"/>
  <c r="AE774" i="11"/>
  <c r="H774" i="11"/>
  <c r="AF774" i="11"/>
  <c r="I774" i="11"/>
  <c r="AG774" i="11"/>
  <c r="J774" i="11"/>
  <c r="AH774" i="11"/>
  <c r="K774" i="11"/>
  <c r="AI774" i="11"/>
  <c r="L774" i="11"/>
  <c r="AJ774" i="11"/>
  <c r="M774" i="11"/>
  <c r="AK774" i="11"/>
  <c r="N774" i="11"/>
  <c r="AL774" i="11"/>
  <c r="O774" i="11"/>
  <c r="AM774" i="11"/>
  <c r="P774" i="11"/>
  <c r="AN774" i="11"/>
  <c r="Q774" i="11"/>
  <c r="AO774" i="11"/>
  <c r="R774" i="11"/>
  <c r="AP774" i="11"/>
  <c r="S774" i="11"/>
  <c r="AQ774" i="11"/>
  <c r="T774" i="11"/>
  <c r="AR774" i="11"/>
  <c r="U774" i="11"/>
  <c r="AS774" i="11"/>
  <c r="V774" i="11"/>
  <c r="AT774" i="11"/>
  <c r="W774" i="11"/>
  <c r="AU774" i="11"/>
  <c r="X774" i="11"/>
  <c r="AV774" i="11"/>
  <c r="Y774" i="11"/>
  <c r="AW774" i="11"/>
  <c r="Z774" i="11"/>
  <c r="AC775" i="11"/>
  <c r="F775" i="11"/>
  <c r="AD775" i="11"/>
  <c r="G775" i="11"/>
  <c r="AE775" i="11"/>
  <c r="H775" i="11"/>
  <c r="AF775" i="11"/>
  <c r="I775" i="11"/>
  <c r="AG775" i="11"/>
  <c r="J775" i="11"/>
  <c r="AH775" i="11"/>
  <c r="K775" i="11"/>
  <c r="AI775" i="11"/>
  <c r="L775" i="11"/>
  <c r="AJ775" i="11"/>
  <c r="M775" i="11"/>
  <c r="AK775" i="11"/>
  <c r="N775" i="11"/>
  <c r="AL775" i="11"/>
  <c r="O775" i="11"/>
  <c r="AM775" i="11"/>
  <c r="P775" i="11"/>
  <c r="AN775" i="11"/>
  <c r="Q775" i="11"/>
  <c r="AO775" i="11"/>
  <c r="R775" i="11"/>
  <c r="AP775" i="11"/>
  <c r="S775" i="11"/>
  <c r="AQ775" i="11"/>
  <c r="T775" i="11"/>
  <c r="AR775" i="11"/>
  <c r="U775" i="11"/>
  <c r="AS775" i="11"/>
  <c r="V775" i="11"/>
  <c r="AT775" i="11"/>
  <c r="W775" i="11"/>
  <c r="AU775" i="11"/>
  <c r="X775" i="11"/>
  <c r="AV775" i="11"/>
  <c r="Y775" i="11"/>
  <c r="AW775" i="11"/>
  <c r="Z775" i="11"/>
  <c r="AC776" i="11"/>
  <c r="F776" i="11"/>
  <c r="AD776" i="11"/>
  <c r="G776" i="11"/>
  <c r="AE776" i="11"/>
  <c r="H776" i="11"/>
  <c r="AF776" i="11"/>
  <c r="I776" i="11"/>
  <c r="AG776" i="11"/>
  <c r="J776" i="11"/>
  <c r="AH776" i="11"/>
  <c r="K776" i="11"/>
  <c r="AI776" i="11"/>
  <c r="L776" i="11"/>
  <c r="AJ776" i="11"/>
  <c r="M776" i="11"/>
  <c r="AK776" i="11"/>
  <c r="N776" i="11"/>
  <c r="AL776" i="11"/>
  <c r="O776" i="11"/>
  <c r="AM776" i="11"/>
  <c r="P776" i="11"/>
  <c r="AN776" i="11"/>
  <c r="Q776" i="11"/>
  <c r="AO776" i="11"/>
  <c r="R776" i="11"/>
  <c r="AP776" i="11"/>
  <c r="S776" i="11"/>
  <c r="AQ776" i="11"/>
  <c r="T776" i="11"/>
  <c r="AR776" i="11"/>
  <c r="U776" i="11"/>
  <c r="AS776" i="11"/>
  <c r="V776" i="11"/>
  <c r="AT776" i="11"/>
  <c r="W776" i="11"/>
  <c r="AU776" i="11"/>
  <c r="X776" i="11"/>
  <c r="AV776" i="11"/>
  <c r="Y776" i="11"/>
  <c r="AW776" i="11"/>
  <c r="Z776" i="11"/>
  <c r="AC777" i="11"/>
  <c r="F777" i="11"/>
  <c r="AD777" i="11"/>
  <c r="G777" i="11"/>
  <c r="AE777" i="11"/>
  <c r="H777" i="11"/>
  <c r="AF777" i="11"/>
  <c r="I777" i="11"/>
  <c r="AG777" i="11"/>
  <c r="J777" i="11"/>
  <c r="AH777" i="11"/>
  <c r="K777" i="11"/>
  <c r="AI777" i="11"/>
  <c r="L777" i="11"/>
  <c r="AJ777" i="11"/>
  <c r="M777" i="11"/>
  <c r="AK777" i="11"/>
  <c r="N777" i="11"/>
  <c r="AL777" i="11"/>
  <c r="O777" i="11"/>
  <c r="AM777" i="11"/>
  <c r="P777" i="11"/>
  <c r="AN777" i="11"/>
  <c r="Q777" i="11"/>
  <c r="AO777" i="11"/>
  <c r="R777" i="11"/>
  <c r="AP777" i="11"/>
  <c r="S777" i="11"/>
  <c r="AQ777" i="11"/>
  <c r="T777" i="11"/>
  <c r="AR777" i="11"/>
  <c r="U777" i="11"/>
  <c r="AS777" i="11"/>
  <c r="V777" i="11"/>
  <c r="AT777" i="11"/>
  <c r="W777" i="11"/>
  <c r="AU777" i="11"/>
  <c r="X777" i="11"/>
  <c r="AV777" i="11"/>
  <c r="Y777" i="11"/>
  <c r="AW777" i="11"/>
  <c r="Z777" i="11"/>
  <c r="AC778" i="11"/>
  <c r="F778" i="11"/>
  <c r="AD778" i="11"/>
  <c r="G778" i="11"/>
  <c r="AE778" i="11"/>
  <c r="H778" i="11"/>
  <c r="AF778" i="11"/>
  <c r="I778" i="11"/>
  <c r="AG778" i="11"/>
  <c r="J778" i="11"/>
  <c r="AH778" i="11"/>
  <c r="K778" i="11"/>
  <c r="AI778" i="11"/>
  <c r="L778" i="11"/>
  <c r="AJ778" i="11"/>
  <c r="M778" i="11"/>
  <c r="AK778" i="11"/>
  <c r="N778" i="11"/>
  <c r="AL778" i="11"/>
  <c r="O778" i="11"/>
  <c r="AM778" i="11"/>
  <c r="P778" i="11"/>
  <c r="AN778" i="11"/>
  <c r="Q778" i="11"/>
  <c r="AO778" i="11"/>
  <c r="R778" i="11"/>
  <c r="AP778" i="11"/>
  <c r="S778" i="11"/>
  <c r="AQ778" i="11"/>
  <c r="T778" i="11"/>
  <c r="AR778" i="11"/>
  <c r="U778" i="11"/>
  <c r="AS778" i="11"/>
  <c r="V778" i="11"/>
  <c r="AT778" i="11"/>
  <c r="W778" i="11"/>
  <c r="AU778" i="11"/>
  <c r="X778" i="11"/>
  <c r="AV778" i="11"/>
  <c r="Y778" i="11"/>
  <c r="AW778" i="11"/>
  <c r="Z778" i="11"/>
  <c r="AC779" i="11"/>
  <c r="F779" i="11"/>
  <c r="AD779" i="11"/>
  <c r="G779" i="11"/>
  <c r="AE779" i="11"/>
  <c r="H779" i="11"/>
  <c r="AF779" i="11"/>
  <c r="I779" i="11"/>
  <c r="AG779" i="11"/>
  <c r="J779" i="11"/>
  <c r="AH779" i="11"/>
  <c r="K779" i="11"/>
  <c r="AI779" i="11"/>
  <c r="L779" i="11"/>
  <c r="AJ779" i="11"/>
  <c r="M779" i="11"/>
  <c r="AK779" i="11"/>
  <c r="N779" i="11"/>
  <c r="AL779" i="11"/>
  <c r="O779" i="11"/>
  <c r="AM779" i="11"/>
  <c r="P779" i="11"/>
  <c r="AN779" i="11"/>
  <c r="Q779" i="11"/>
  <c r="AO779" i="11"/>
  <c r="R779" i="11"/>
  <c r="AP779" i="11"/>
  <c r="S779" i="11"/>
  <c r="AQ779" i="11"/>
  <c r="T779" i="11"/>
  <c r="AR779" i="11"/>
  <c r="U779" i="11"/>
  <c r="AS779" i="11"/>
  <c r="V779" i="11"/>
  <c r="AT779" i="11"/>
  <c r="W779" i="11"/>
  <c r="AU779" i="11"/>
  <c r="X779" i="11"/>
  <c r="AV779" i="11"/>
  <c r="Y779" i="11"/>
  <c r="AW779" i="11"/>
  <c r="Z779" i="11"/>
  <c r="AC780" i="11"/>
  <c r="F780" i="11"/>
  <c r="AD780" i="11"/>
  <c r="G780" i="11"/>
  <c r="AE780" i="11"/>
  <c r="H780" i="11"/>
  <c r="AF780" i="11"/>
  <c r="I780" i="11"/>
  <c r="AG780" i="11"/>
  <c r="J780" i="11"/>
  <c r="AH780" i="11"/>
  <c r="K780" i="11"/>
  <c r="AI780" i="11"/>
  <c r="L780" i="11"/>
  <c r="AJ780" i="11"/>
  <c r="M780" i="11"/>
  <c r="AK780" i="11"/>
  <c r="N780" i="11"/>
  <c r="AL780" i="11"/>
  <c r="O780" i="11"/>
  <c r="AM780" i="11"/>
  <c r="P780" i="11"/>
  <c r="AN780" i="11"/>
  <c r="Q780" i="11"/>
  <c r="AO780" i="11"/>
  <c r="R780" i="11"/>
  <c r="AP780" i="11"/>
  <c r="S780" i="11"/>
  <c r="AQ780" i="11"/>
  <c r="T780" i="11"/>
  <c r="AR780" i="11"/>
  <c r="U780" i="11"/>
  <c r="AS780" i="11"/>
  <c r="V780" i="11"/>
  <c r="AT780" i="11"/>
  <c r="W780" i="11"/>
  <c r="AU780" i="11"/>
  <c r="X780" i="11"/>
  <c r="AV780" i="11"/>
  <c r="Y780" i="11"/>
  <c r="AW780" i="11"/>
  <c r="Z780" i="11"/>
  <c r="AC781" i="11"/>
  <c r="F781" i="11"/>
  <c r="AD781" i="11"/>
  <c r="G781" i="11"/>
  <c r="AE781" i="11"/>
  <c r="H781" i="11"/>
  <c r="AF781" i="11"/>
  <c r="I781" i="11"/>
  <c r="AG781" i="11"/>
  <c r="J781" i="11"/>
  <c r="AH781" i="11"/>
  <c r="K781" i="11"/>
  <c r="AI781" i="11"/>
  <c r="L781" i="11"/>
  <c r="AJ781" i="11"/>
  <c r="M781" i="11"/>
  <c r="AK781" i="11"/>
  <c r="N781" i="11"/>
  <c r="AL781" i="11"/>
  <c r="O781" i="11"/>
  <c r="AM781" i="11"/>
  <c r="P781" i="11"/>
  <c r="AN781" i="11"/>
  <c r="Q781" i="11"/>
  <c r="AO781" i="11"/>
  <c r="R781" i="11"/>
  <c r="AP781" i="11"/>
  <c r="S781" i="11"/>
  <c r="AQ781" i="11"/>
  <c r="T781" i="11"/>
  <c r="AR781" i="11"/>
  <c r="U781" i="11"/>
  <c r="AS781" i="11"/>
  <c r="V781" i="11"/>
  <c r="AT781" i="11"/>
  <c r="W781" i="11"/>
  <c r="AU781" i="11"/>
  <c r="X781" i="11"/>
  <c r="AV781" i="11"/>
  <c r="Y781" i="11"/>
  <c r="AW781" i="11"/>
  <c r="Z781" i="11"/>
  <c r="AC782" i="11"/>
  <c r="F782" i="11"/>
  <c r="AD782" i="11"/>
  <c r="G782" i="11"/>
  <c r="AE782" i="11"/>
  <c r="H782" i="11"/>
  <c r="AF782" i="11"/>
  <c r="I782" i="11"/>
  <c r="AG782" i="11"/>
  <c r="J782" i="11"/>
  <c r="AH782" i="11"/>
  <c r="K782" i="11"/>
  <c r="AI782" i="11"/>
  <c r="L782" i="11"/>
  <c r="AJ782" i="11"/>
  <c r="M782" i="11"/>
  <c r="AK782" i="11"/>
  <c r="N782" i="11"/>
  <c r="AL782" i="11"/>
  <c r="O782" i="11"/>
  <c r="AM782" i="11"/>
  <c r="P782" i="11"/>
  <c r="AN782" i="11"/>
  <c r="Q782" i="11"/>
  <c r="AO782" i="11"/>
  <c r="R782" i="11"/>
  <c r="AP782" i="11"/>
  <c r="S782" i="11"/>
  <c r="AQ782" i="11"/>
  <c r="T782" i="11"/>
  <c r="AR782" i="11"/>
  <c r="U782" i="11"/>
  <c r="AS782" i="11"/>
  <c r="V782" i="11"/>
  <c r="AT782" i="11"/>
  <c r="W782" i="11"/>
  <c r="AU782" i="11"/>
  <c r="X782" i="11"/>
  <c r="AV782" i="11"/>
  <c r="Y782" i="11"/>
  <c r="AW782" i="11"/>
  <c r="Z782" i="11"/>
  <c r="AC783" i="11"/>
  <c r="F783" i="11"/>
  <c r="AD783" i="11"/>
  <c r="G783" i="11"/>
  <c r="AE783" i="11"/>
  <c r="H783" i="11"/>
  <c r="AF783" i="11"/>
  <c r="I783" i="11"/>
  <c r="AG783" i="11"/>
  <c r="J783" i="11"/>
  <c r="AH783" i="11"/>
  <c r="K783" i="11"/>
  <c r="AI783" i="11"/>
  <c r="L783" i="11"/>
  <c r="AJ783" i="11"/>
  <c r="M783" i="11"/>
  <c r="AK783" i="11"/>
  <c r="N783" i="11"/>
  <c r="AL783" i="11"/>
  <c r="O783" i="11"/>
  <c r="AM783" i="11"/>
  <c r="P783" i="11"/>
  <c r="AN783" i="11"/>
  <c r="Q783" i="11"/>
  <c r="AO783" i="11"/>
  <c r="R783" i="11"/>
  <c r="AP783" i="11"/>
  <c r="S783" i="11"/>
  <c r="AQ783" i="11"/>
  <c r="T783" i="11"/>
  <c r="AR783" i="11"/>
  <c r="U783" i="11"/>
  <c r="AS783" i="11"/>
  <c r="V783" i="11"/>
  <c r="AT783" i="11"/>
  <c r="W783" i="11"/>
  <c r="AU783" i="11"/>
  <c r="X783" i="11"/>
  <c r="AV783" i="11"/>
  <c r="Y783" i="11"/>
  <c r="AW783" i="11"/>
  <c r="Z783" i="11"/>
  <c r="AC784" i="11"/>
  <c r="F784" i="11"/>
  <c r="AD784" i="11"/>
  <c r="G784" i="11"/>
  <c r="AE784" i="11"/>
  <c r="H784" i="11"/>
  <c r="AF784" i="11"/>
  <c r="I784" i="11"/>
  <c r="AG784" i="11"/>
  <c r="J784" i="11"/>
  <c r="AH784" i="11"/>
  <c r="K784" i="11"/>
  <c r="AI784" i="11"/>
  <c r="L784" i="11"/>
  <c r="AJ784" i="11"/>
  <c r="M784" i="11"/>
  <c r="AK784" i="11"/>
  <c r="N784" i="11"/>
  <c r="AL784" i="11"/>
  <c r="O784" i="11"/>
  <c r="AM784" i="11"/>
  <c r="P784" i="11"/>
  <c r="AN784" i="11"/>
  <c r="Q784" i="11"/>
  <c r="AO784" i="11"/>
  <c r="R784" i="11"/>
  <c r="AP784" i="11"/>
  <c r="S784" i="11"/>
  <c r="AQ784" i="11"/>
  <c r="T784" i="11"/>
  <c r="AR784" i="11"/>
  <c r="U784" i="11"/>
  <c r="AS784" i="11"/>
  <c r="V784" i="11"/>
  <c r="AT784" i="11"/>
  <c r="W784" i="11"/>
  <c r="AU784" i="11"/>
  <c r="X784" i="11"/>
  <c r="AV784" i="11"/>
  <c r="Y784" i="11"/>
  <c r="AW784" i="11"/>
  <c r="Z784" i="11"/>
  <c r="AC785" i="11"/>
  <c r="F785" i="11"/>
  <c r="AD785" i="11"/>
  <c r="G785" i="11"/>
  <c r="AE785" i="11"/>
  <c r="H785" i="11"/>
  <c r="AF785" i="11"/>
  <c r="I785" i="11"/>
  <c r="AG785" i="11"/>
  <c r="J785" i="11"/>
  <c r="AH785" i="11"/>
  <c r="K785" i="11"/>
  <c r="AI785" i="11"/>
  <c r="L785" i="11"/>
  <c r="AJ785" i="11"/>
  <c r="M785" i="11"/>
  <c r="AK785" i="11"/>
  <c r="N785" i="11"/>
  <c r="AL785" i="11"/>
  <c r="O785" i="11"/>
  <c r="AM785" i="11"/>
  <c r="P785" i="11"/>
  <c r="AN785" i="11"/>
  <c r="Q785" i="11"/>
  <c r="AO785" i="11"/>
  <c r="R785" i="11"/>
  <c r="AP785" i="11"/>
  <c r="S785" i="11"/>
  <c r="AQ785" i="11"/>
  <c r="T785" i="11"/>
  <c r="AR785" i="11"/>
  <c r="U785" i="11"/>
  <c r="AS785" i="11"/>
  <c r="V785" i="11"/>
  <c r="AT785" i="11"/>
  <c r="W785" i="11"/>
  <c r="AU785" i="11"/>
  <c r="X785" i="11"/>
  <c r="AV785" i="11"/>
  <c r="Y785" i="11"/>
  <c r="AW785" i="11"/>
  <c r="Z785" i="11"/>
  <c r="AC786" i="11"/>
  <c r="F786" i="11"/>
  <c r="AD786" i="11"/>
  <c r="G786" i="11"/>
  <c r="AE786" i="11"/>
  <c r="H786" i="11"/>
  <c r="AF786" i="11"/>
  <c r="I786" i="11"/>
  <c r="AG786" i="11"/>
  <c r="J786" i="11"/>
  <c r="AH786" i="11"/>
  <c r="K786" i="11"/>
  <c r="AI786" i="11"/>
  <c r="L786" i="11"/>
  <c r="AJ786" i="11"/>
  <c r="M786" i="11"/>
  <c r="AK786" i="11"/>
  <c r="N786" i="11"/>
  <c r="AL786" i="11"/>
  <c r="O786" i="11"/>
  <c r="AM786" i="11"/>
  <c r="P786" i="11"/>
  <c r="AN786" i="11"/>
  <c r="Q786" i="11"/>
  <c r="AO786" i="11"/>
  <c r="R786" i="11"/>
  <c r="AP786" i="11"/>
  <c r="S786" i="11"/>
  <c r="AQ786" i="11"/>
  <c r="T786" i="11"/>
  <c r="AR786" i="11"/>
  <c r="U786" i="11"/>
  <c r="AS786" i="11"/>
  <c r="V786" i="11"/>
  <c r="AT786" i="11"/>
  <c r="W786" i="11"/>
  <c r="AU786" i="11"/>
  <c r="X786" i="11"/>
  <c r="AV786" i="11"/>
  <c r="Y786" i="11"/>
  <c r="AW786" i="11"/>
  <c r="Z786" i="11"/>
  <c r="AC787" i="11"/>
  <c r="F787" i="11"/>
  <c r="AD787" i="11"/>
  <c r="G787" i="11"/>
  <c r="AE787" i="11"/>
  <c r="H787" i="11"/>
  <c r="AF787" i="11"/>
  <c r="I787" i="11"/>
  <c r="AG787" i="11"/>
  <c r="J787" i="11"/>
  <c r="AH787" i="11"/>
  <c r="K787" i="11"/>
  <c r="AI787" i="11"/>
  <c r="L787" i="11"/>
  <c r="AJ787" i="11"/>
  <c r="M787" i="11"/>
  <c r="AK787" i="11"/>
  <c r="N787" i="11"/>
  <c r="AL787" i="11"/>
  <c r="O787" i="11"/>
  <c r="AM787" i="11"/>
  <c r="P787" i="11"/>
  <c r="AN787" i="11"/>
  <c r="Q787" i="11"/>
  <c r="AO787" i="11"/>
  <c r="R787" i="11"/>
  <c r="AP787" i="11"/>
  <c r="S787" i="11"/>
  <c r="AQ787" i="11"/>
  <c r="T787" i="11"/>
  <c r="AR787" i="11"/>
  <c r="U787" i="11"/>
  <c r="AS787" i="11"/>
  <c r="V787" i="11"/>
  <c r="AT787" i="11"/>
  <c r="W787" i="11"/>
  <c r="AU787" i="11"/>
  <c r="X787" i="11"/>
  <c r="AV787" i="11"/>
  <c r="Y787" i="11"/>
  <c r="AW787" i="11"/>
  <c r="Z787" i="11"/>
  <c r="AC788" i="11"/>
  <c r="F788" i="11"/>
  <c r="AD788" i="11"/>
  <c r="G788" i="11"/>
  <c r="AE788" i="11"/>
  <c r="H788" i="11"/>
  <c r="AF788" i="11"/>
  <c r="I788" i="11"/>
  <c r="AG788" i="11"/>
  <c r="J788" i="11"/>
  <c r="AH788" i="11"/>
  <c r="K788" i="11"/>
  <c r="AI788" i="11"/>
  <c r="L788" i="11"/>
  <c r="AJ788" i="11"/>
  <c r="M788" i="11"/>
  <c r="AK788" i="11"/>
  <c r="N788" i="11"/>
  <c r="AL788" i="11"/>
  <c r="O788" i="11"/>
  <c r="AM788" i="11"/>
  <c r="P788" i="11"/>
  <c r="AN788" i="11"/>
  <c r="Q788" i="11"/>
  <c r="AO788" i="11"/>
  <c r="R788" i="11"/>
  <c r="AP788" i="11"/>
  <c r="S788" i="11"/>
  <c r="AQ788" i="11"/>
  <c r="T788" i="11"/>
  <c r="AR788" i="11"/>
  <c r="U788" i="11"/>
  <c r="AS788" i="11"/>
  <c r="V788" i="11"/>
  <c r="AT788" i="11"/>
  <c r="W788" i="11"/>
  <c r="AU788" i="11"/>
  <c r="X788" i="11"/>
  <c r="AV788" i="11"/>
  <c r="Y788" i="11"/>
  <c r="AW788" i="11"/>
  <c r="Z788" i="11"/>
  <c r="AC789" i="11"/>
  <c r="F789" i="11"/>
  <c r="AD789" i="11"/>
  <c r="G789" i="11"/>
  <c r="AE789" i="11"/>
  <c r="H789" i="11"/>
  <c r="AF789" i="11"/>
  <c r="I789" i="11"/>
  <c r="AG789" i="11"/>
  <c r="J789" i="11"/>
  <c r="AH789" i="11"/>
  <c r="K789" i="11"/>
  <c r="AI789" i="11"/>
  <c r="L789" i="11"/>
  <c r="AJ789" i="11"/>
  <c r="M789" i="11"/>
  <c r="AK789" i="11"/>
  <c r="N789" i="11"/>
  <c r="AL789" i="11"/>
  <c r="O789" i="11"/>
  <c r="AM789" i="11"/>
  <c r="P789" i="11"/>
  <c r="AN789" i="11"/>
  <c r="Q789" i="11"/>
  <c r="AO789" i="11"/>
  <c r="R789" i="11"/>
  <c r="AP789" i="11"/>
  <c r="S789" i="11"/>
  <c r="AQ789" i="11"/>
  <c r="T789" i="11"/>
  <c r="AR789" i="11"/>
  <c r="U789" i="11"/>
  <c r="AS789" i="11"/>
  <c r="V789" i="11"/>
  <c r="AT789" i="11"/>
  <c r="W789" i="11"/>
  <c r="AU789" i="11"/>
  <c r="X789" i="11"/>
  <c r="AV789" i="11"/>
  <c r="Y789" i="11"/>
  <c r="AW789" i="11"/>
  <c r="Z789" i="11"/>
  <c r="AC790" i="11"/>
  <c r="F790" i="11"/>
  <c r="AD790" i="11"/>
  <c r="G790" i="11"/>
  <c r="AE790" i="11"/>
  <c r="H790" i="11"/>
  <c r="AF790" i="11"/>
  <c r="I790" i="11"/>
  <c r="AG790" i="11"/>
  <c r="J790" i="11"/>
  <c r="AH790" i="11"/>
  <c r="K790" i="11"/>
  <c r="AI790" i="11"/>
  <c r="L790" i="11"/>
  <c r="AJ790" i="11"/>
  <c r="M790" i="11"/>
  <c r="AK790" i="11"/>
  <c r="N790" i="11"/>
  <c r="AL790" i="11"/>
  <c r="O790" i="11"/>
  <c r="AM790" i="11"/>
  <c r="P790" i="11"/>
  <c r="AN790" i="11"/>
  <c r="Q790" i="11"/>
  <c r="AO790" i="11"/>
  <c r="R790" i="11"/>
  <c r="AP790" i="11"/>
  <c r="S790" i="11"/>
  <c r="AQ790" i="11"/>
  <c r="T790" i="11"/>
  <c r="AR790" i="11"/>
  <c r="U790" i="11"/>
  <c r="AS790" i="11"/>
  <c r="V790" i="11"/>
  <c r="AT790" i="11"/>
  <c r="W790" i="11"/>
  <c r="AU790" i="11"/>
  <c r="X790" i="11"/>
  <c r="AV790" i="11"/>
  <c r="Y790" i="11"/>
  <c r="AW790" i="11"/>
  <c r="Z790" i="11"/>
  <c r="AC791" i="11"/>
  <c r="F791" i="11"/>
  <c r="AD791" i="11"/>
  <c r="G791" i="11"/>
  <c r="AE791" i="11"/>
  <c r="H791" i="11"/>
  <c r="AF791" i="11"/>
  <c r="I791" i="11"/>
  <c r="AG791" i="11"/>
  <c r="J791" i="11"/>
  <c r="AH791" i="11"/>
  <c r="K791" i="11"/>
  <c r="AI791" i="11"/>
  <c r="L791" i="11"/>
  <c r="AJ791" i="11"/>
  <c r="M791" i="11"/>
  <c r="AK791" i="11"/>
  <c r="N791" i="11"/>
  <c r="AL791" i="11"/>
  <c r="O791" i="11"/>
  <c r="AM791" i="11"/>
  <c r="P791" i="11"/>
  <c r="AN791" i="11"/>
  <c r="Q791" i="11"/>
  <c r="AO791" i="11"/>
  <c r="R791" i="11"/>
  <c r="AP791" i="11"/>
  <c r="S791" i="11"/>
  <c r="AQ791" i="11"/>
  <c r="T791" i="11"/>
  <c r="AR791" i="11"/>
  <c r="U791" i="11"/>
  <c r="AS791" i="11"/>
  <c r="V791" i="11"/>
  <c r="AT791" i="11"/>
  <c r="W791" i="11"/>
  <c r="AU791" i="11"/>
  <c r="X791" i="11"/>
  <c r="AV791" i="11"/>
  <c r="Y791" i="11"/>
  <c r="AW791" i="11"/>
  <c r="Z791" i="11"/>
  <c r="AC792" i="11"/>
  <c r="F792" i="11"/>
  <c r="AD792" i="11"/>
  <c r="G792" i="11"/>
  <c r="AE792" i="11"/>
  <c r="H792" i="11"/>
  <c r="AF792" i="11"/>
  <c r="I792" i="11"/>
  <c r="AG792" i="11"/>
  <c r="J792" i="11"/>
  <c r="AH792" i="11"/>
  <c r="K792" i="11"/>
  <c r="AI792" i="11"/>
  <c r="L792" i="11"/>
  <c r="AJ792" i="11"/>
  <c r="M792" i="11"/>
  <c r="AK792" i="11"/>
  <c r="N792" i="11"/>
  <c r="AL792" i="11"/>
  <c r="O792" i="11"/>
  <c r="AM792" i="11"/>
  <c r="P792" i="11"/>
  <c r="AN792" i="11"/>
  <c r="Q792" i="11"/>
  <c r="AO792" i="11"/>
  <c r="R792" i="11"/>
  <c r="AP792" i="11"/>
  <c r="S792" i="11"/>
  <c r="AQ792" i="11"/>
  <c r="T792" i="11"/>
  <c r="AR792" i="11"/>
  <c r="U792" i="11"/>
  <c r="AS792" i="11"/>
  <c r="V792" i="11"/>
  <c r="AT792" i="11"/>
  <c r="W792" i="11"/>
  <c r="AU792" i="11"/>
  <c r="X792" i="11"/>
  <c r="AV792" i="11"/>
  <c r="Y792" i="11"/>
  <c r="AW792" i="11"/>
  <c r="Z792" i="11"/>
  <c r="AC793" i="11"/>
  <c r="F793" i="11"/>
  <c r="AD793" i="11"/>
  <c r="G793" i="11"/>
  <c r="AE793" i="11"/>
  <c r="H793" i="11"/>
  <c r="AF793" i="11"/>
  <c r="I793" i="11"/>
  <c r="AG793" i="11"/>
  <c r="J793" i="11"/>
  <c r="AH793" i="11"/>
  <c r="K793" i="11"/>
  <c r="AI793" i="11"/>
  <c r="L793" i="11"/>
  <c r="AJ793" i="11"/>
  <c r="M793" i="11"/>
  <c r="AK793" i="11"/>
  <c r="N793" i="11"/>
  <c r="AL793" i="11"/>
  <c r="O793" i="11"/>
  <c r="AM793" i="11"/>
  <c r="P793" i="11"/>
  <c r="AN793" i="11"/>
  <c r="Q793" i="11"/>
  <c r="AO793" i="11"/>
  <c r="R793" i="11"/>
  <c r="AP793" i="11"/>
  <c r="S793" i="11"/>
  <c r="AQ793" i="11"/>
  <c r="T793" i="11"/>
  <c r="AR793" i="11"/>
  <c r="U793" i="11"/>
  <c r="AS793" i="11"/>
  <c r="V793" i="11"/>
  <c r="AT793" i="11"/>
  <c r="W793" i="11"/>
  <c r="AU793" i="11"/>
  <c r="X793" i="11"/>
  <c r="AV793" i="11"/>
  <c r="Y793" i="11"/>
  <c r="AW793" i="11"/>
  <c r="Z793" i="11"/>
  <c r="AC794" i="11"/>
  <c r="F794" i="11"/>
  <c r="AD794" i="11"/>
  <c r="G794" i="11"/>
  <c r="AE794" i="11"/>
  <c r="H794" i="11"/>
  <c r="AF794" i="11"/>
  <c r="I794" i="11"/>
  <c r="AG794" i="11"/>
  <c r="J794" i="11"/>
  <c r="AH794" i="11"/>
  <c r="K794" i="11"/>
  <c r="AI794" i="11"/>
  <c r="L794" i="11"/>
  <c r="AJ794" i="11"/>
  <c r="M794" i="11"/>
  <c r="AK794" i="11"/>
  <c r="N794" i="11"/>
  <c r="AL794" i="11"/>
  <c r="O794" i="11"/>
  <c r="AM794" i="11"/>
  <c r="P794" i="11"/>
  <c r="AN794" i="11"/>
  <c r="Q794" i="11"/>
  <c r="AO794" i="11"/>
  <c r="R794" i="11"/>
  <c r="AP794" i="11"/>
  <c r="S794" i="11"/>
  <c r="AQ794" i="11"/>
  <c r="T794" i="11"/>
  <c r="AR794" i="11"/>
  <c r="U794" i="11"/>
  <c r="AS794" i="11"/>
  <c r="V794" i="11"/>
  <c r="AT794" i="11"/>
  <c r="W794" i="11"/>
  <c r="AU794" i="11"/>
  <c r="X794" i="11"/>
  <c r="AV794" i="11"/>
  <c r="Y794" i="11"/>
  <c r="AW794" i="11"/>
  <c r="Z794" i="11"/>
  <c r="AC795" i="11"/>
  <c r="F795" i="11"/>
  <c r="AD795" i="11"/>
  <c r="G795" i="11"/>
  <c r="AE795" i="11"/>
  <c r="H795" i="11"/>
  <c r="AF795" i="11"/>
  <c r="I795" i="11"/>
  <c r="AG795" i="11"/>
  <c r="J795" i="11"/>
  <c r="AH795" i="11"/>
  <c r="K795" i="11"/>
  <c r="AI795" i="11"/>
  <c r="L795" i="11"/>
  <c r="AJ795" i="11"/>
  <c r="M795" i="11"/>
  <c r="AK795" i="11"/>
  <c r="N795" i="11"/>
  <c r="AL795" i="11"/>
  <c r="O795" i="11"/>
  <c r="AM795" i="11"/>
  <c r="P795" i="11"/>
  <c r="AN795" i="11"/>
  <c r="Q795" i="11"/>
  <c r="AO795" i="11"/>
  <c r="R795" i="11"/>
  <c r="AP795" i="11"/>
  <c r="S795" i="11"/>
  <c r="AQ795" i="11"/>
  <c r="T795" i="11"/>
  <c r="AR795" i="11"/>
  <c r="U795" i="11"/>
  <c r="AS795" i="11"/>
  <c r="V795" i="11"/>
  <c r="AT795" i="11"/>
  <c r="W795" i="11"/>
  <c r="AU795" i="11"/>
  <c r="X795" i="11"/>
  <c r="AV795" i="11"/>
  <c r="Y795" i="11"/>
  <c r="AW795" i="11"/>
  <c r="Z795" i="11"/>
  <c r="AC796" i="11"/>
  <c r="F796" i="11"/>
  <c r="AD796" i="11"/>
  <c r="G796" i="11"/>
  <c r="AE796" i="11"/>
  <c r="H796" i="11"/>
  <c r="AF796" i="11"/>
  <c r="I796" i="11"/>
  <c r="AG796" i="11"/>
  <c r="J796" i="11"/>
  <c r="AH796" i="11"/>
  <c r="K796" i="11"/>
  <c r="AI796" i="11"/>
  <c r="L796" i="11"/>
  <c r="AJ796" i="11"/>
  <c r="M796" i="11"/>
  <c r="AK796" i="11"/>
  <c r="N796" i="11"/>
  <c r="AL796" i="11"/>
  <c r="O796" i="11"/>
  <c r="AM796" i="11"/>
  <c r="P796" i="11"/>
  <c r="AN796" i="11"/>
  <c r="Q796" i="11"/>
  <c r="AO796" i="11"/>
  <c r="R796" i="11"/>
  <c r="AP796" i="11"/>
  <c r="S796" i="11"/>
  <c r="AQ796" i="11"/>
  <c r="T796" i="11"/>
  <c r="AR796" i="11"/>
  <c r="U796" i="11"/>
  <c r="AS796" i="11"/>
  <c r="V796" i="11"/>
  <c r="AT796" i="11"/>
  <c r="W796" i="11"/>
  <c r="AU796" i="11"/>
  <c r="X796" i="11"/>
  <c r="AV796" i="11"/>
  <c r="Y796" i="11"/>
  <c r="AW796" i="11"/>
  <c r="Z796" i="11"/>
  <c r="AC797" i="11"/>
  <c r="F797" i="11"/>
  <c r="AD797" i="11"/>
  <c r="G797" i="11"/>
  <c r="AE797" i="11"/>
  <c r="H797" i="11"/>
  <c r="AF797" i="11"/>
  <c r="I797" i="11"/>
  <c r="AG797" i="11"/>
  <c r="J797" i="11"/>
  <c r="AH797" i="11"/>
  <c r="K797" i="11"/>
  <c r="AI797" i="11"/>
  <c r="L797" i="11"/>
  <c r="AJ797" i="11"/>
  <c r="M797" i="11"/>
  <c r="AK797" i="11"/>
  <c r="N797" i="11"/>
  <c r="AL797" i="11"/>
  <c r="O797" i="11"/>
  <c r="AM797" i="11"/>
  <c r="P797" i="11"/>
  <c r="AN797" i="11"/>
  <c r="Q797" i="11"/>
  <c r="AO797" i="11"/>
  <c r="R797" i="11"/>
  <c r="AP797" i="11"/>
  <c r="S797" i="11"/>
  <c r="AQ797" i="11"/>
  <c r="T797" i="11"/>
  <c r="AR797" i="11"/>
  <c r="U797" i="11"/>
  <c r="AS797" i="11"/>
  <c r="V797" i="11"/>
  <c r="AT797" i="11"/>
  <c r="W797" i="11"/>
  <c r="AU797" i="11"/>
  <c r="X797" i="11"/>
  <c r="AV797" i="11"/>
  <c r="Y797" i="11"/>
  <c r="AW797" i="11"/>
  <c r="Z797" i="11"/>
  <c r="AC798" i="11"/>
  <c r="F798" i="11"/>
  <c r="AD798" i="11"/>
  <c r="G798" i="11"/>
  <c r="AE798" i="11"/>
  <c r="H798" i="11"/>
  <c r="AF798" i="11"/>
  <c r="I798" i="11"/>
  <c r="AG798" i="11"/>
  <c r="J798" i="11"/>
  <c r="AH798" i="11"/>
  <c r="K798" i="11"/>
  <c r="AI798" i="11"/>
  <c r="L798" i="11"/>
  <c r="AJ798" i="11"/>
  <c r="M798" i="11"/>
  <c r="AK798" i="11"/>
  <c r="N798" i="11"/>
  <c r="AL798" i="11"/>
  <c r="O798" i="11"/>
  <c r="AM798" i="11"/>
  <c r="P798" i="11"/>
  <c r="AN798" i="11"/>
  <c r="Q798" i="11"/>
  <c r="AO798" i="11"/>
  <c r="R798" i="11"/>
  <c r="AP798" i="11"/>
  <c r="S798" i="11"/>
  <c r="AQ798" i="11"/>
  <c r="T798" i="11"/>
  <c r="AR798" i="11"/>
  <c r="U798" i="11"/>
  <c r="AS798" i="11"/>
  <c r="V798" i="11"/>
  <c r="AT798" i="11"/>
  <c r="W798" i="11"/>
  <c r="AU798" i="11"/>
  <c r="X798" i="11"/>
  <c r="AV798" i="11"/>
  <c r="Y798" i="11"/>
  <c r="AW798" i="11"/>
  <c r="Z798" i="11"/>
  <c r="AC799" i="11"/>
  <c r="F799" i="11"/>
  <c r="AD799" i="11"/>
  <c r="G799" i="11"/>
  <c r="AE799" i="11"/>
  <c r="H799" i="11"/>
  <c r="AF799" i="11"/>
  <c r="I799" i="11"/>
  <c r="AG799" i="11"/>
  <c r="J799" i="11"/>
  <c r="AH799" i="11"/>
  <c r="K799" i="11"/>
  <c r="AI799" i="11"/>
  <c r="L799" i="11"/>
  <c r="AJ799" i="11"/>
  <c r="M799" i="11"/>
  <c r="AK799" i="11"/>
  <c r="N799" i="11"/>
  <c r="AL799" i="11"/>
  <c r="O799" i="11"/>
  <c r="AM799" i="11"/>
  <c r="P799" i="11"/>
  <c r="AN799" i="11"/>
  <c r="Q799" i="11"/>
  <c r="AO799" i="11"/>
  <c r="R799" i="11"/>
  <c r="AP799" i="11"/>
  <c r="S799" i="11"/>
  <c r="AQ799" i="11"/>
  <c r="T799" i="11"/>
  <c r="AR799" i="11"/>
  <c r="U799" i="11"/>
  <c r="AS799" i="11"/>
  <c r="V799" i="11"/>
  <c r="AT799" i="11"/>
  <c r="W799" i="11"/>
  <c r="AU799" i="11"/>
  <c r="X799" i="11"/>
  <c r="AV799" i="11"/>
  <c r="Y799" i="11"/>
  <c r="AW799" i="11"/>
  <c r="Z799" i="11"/>
  <c r="AC800" i="11"/>
  <c r="F800" i="11"/>
  <c r="AD800" i="11"/>
  <c r="G800" i="11"/>
  <c r="AE800" i="11"/>
  <c r="H800" i="11"/>
  <c r="AF800" i="11"/>
  <c r="I800" i="11"/>
  <c r="AG800" i="11"/>
  <c r="J800" i="11"/>
  <c r="AH800" i="11"/>
  <c r="K800" i="11"/>
  <c r="AI800" i="11"/>
  <c r="L800" i="11"/>
  <c r="AJ800" i="11"/>
  <c r="M800" i="11"/>
  <c r="AK800" i="11"/>
  <c r="N800" i="11"/>
  <c r="AL800" i="11"/>
  <c r="O800" i="11"/>
  <c r="AM800" i="11"/>
  <c r="P800" i="11"/>
  <c r="AN800" i="11"/>
  <c r="Q800" i="11"/>
  <c r="AO800" i="11"/>
  <c r="R800" i="11"/>
  <c r="AP800" i="11"/>
  <c r="S800" i="11"/>
  <c r="AQ800" i="11"/>
  <c r="T800" i="11"/>
  <c r="AR800" i="11"/>
  <c r="U800" i="11"/>
  <c r="AS800" i="11"/>
  <c r="V800" i="11"/>
  <c r="AT800" i="11"/>
  <c r="W800" i="11"/>
  <c r="AU800" i="11"/>
  <c r="X800" i="11"/>
  <c r="AV800" i="11"/>
  <c r="Y800" i="11"/>
  <c r="AW800" i="11"/>
  <c r="Z800" i="11"/>
  <c r="AC801" i="11"/>
  <c r="F801" i="11"/>
  <c r="AD801" i="11"/>
  <c r="G801" i="11"/>
  <c r="AE801" i="11"/>
  <c r="H801" i="11"/>
  <c r="AF801" i="11"/>
  <c r="I801" i="11"/>
  <c r="AG801" i="11"/>
  <c r="J801" i="11"/>
  <c r="AH801" i="11"/>
  <c r="K801" i="11"/>
  <c r="AI801" i="11"/>
  <c r="L801" i="11"/>
  <c r="AJ801" i="11"/>
  <c r="M801" i="11"/>
  <c r="AK801" i="11"/>
  <c r="N801" i="11"/>
  <c r="AL801" i="11"/>
  <c r="O801" i="11"/>
  <c r="AM801" i="11"/>
  <c r="P801" i="11"/>
  <c r="AN801" i="11"/>
  <c r="Q801" i="11"/>
  <c r="AO801" i="11"/>
  <c r="R801" i="11"/>
  <c r="AP801" i="11"/>
  <c r="S801" i="11"/>
  <c r="AQ801" i="11"/>
  <c r="T801" i="11"/>
  <c r="AR801" i="11"/>
  <c r="U801" i="11"/>
  <c r="AS801" i="11"/>
  <c r="V801" i="11"/>
  <c r="AT801" i="11"/>
  <c r="W801" i="11"/>
  <c r="AU801" i="11"/>
  <c r="X801" i="11"/>
  <c r="AV801" i="11"/>
  <c r="Y801" i="11"/>
  <c r="AW801" i="11"/>
  <c r="Z801" i="11"/>
  <c r="AC802" i="11"/>
  <c r="F802" i="11"/>
  <c r="AD802" i="11"/>
  <c r="G802" i="11"/>
  <c r="AE802" i="11"/>
  <c r="H802" i="11"/>
  <c r="AF802" i="11"/>
  <c r="I802" i="11"/>
  <c r="AG802" i="11"/>
  <c r="J802" i="11"/>
  <c r="AH802" i="11"/>
  <c r="K802" i="11"/>
  <c r="AI802" i="11"/>
  <c r="L802" i="11"/>
  <c r="AJ802" i="11"/>
  <c r="M802" i="11"/>
  <c r="AK802" i="11"/>
  <c r="N802" i="11"/>
  <c r="AL802" i="11"/>
  <c r="O802" i="11"/>
  <c r="AM802" i="11"/>
  <c r="P802" i="11"/>
  <c r="AN802" i="11"/>
  <c r="Q802" i="11"/>
  <c r="AO802" i="11"/>
  <c r="R802" i="11"/>
  <c r="AP802" i="11"/>
  <c r="S802" i="11"/>
  <c r="AQ802" i="11"/>
  <c r="T802" i="11"/>
  <c r="AR802" i="11"/>
  <c r="U802" i="11"/>
  <c r="AS802" i="11"/>
  <c r="V802" i="11"/>
  <c r="AT802" i="11"/>
  <c r="W802" i="11"/>
  <c r="AU802" i="11"/>
  <c r="X802" i="11"/>
  <c r="AV802" i="11"/>
  <c r="Y802" i="11"/>
  <c r="AW802" i="11"/>
  <c r="Z802" i="11"/>
  <c r="AC803" i="11"/>
  <c r="F803" i="11"/>
  <c r="AD803" i="11"/>
  <c r="G803" i="11"/>
  <c r="AE803" i="11"/>
  <c r="H803" i="11"/>
  <c r="AF803" i="11"/>
  <c r="I803" i="11"/>
  <c r="AG803" i="11"/>
  <c r="J803" i="11"/>
  <c r="AH803" i="11"/>
  <c r="K803" i="11"/>
  <c r="AI803" i="11"/>
  <c r="L803" i="11"/>
  <c r="AJ803" i="11"/>
  <c r="M803" i="11"/>
  <c r="AK803" i="11"/>
  <c r="N803" i="11"/>
  <c r="AL803" i="11"/>
  <c r="O803" i="11"/>
  <c r="AM803" i="11"/>
  <c r="P803" i="11"/>
  <c r="AN803" i="11"/>
  <c r="Q803" i="11"/>
  <c r="AO803" i="11"/>
  <c r="R803" i="11"/>
  <c r="AP803" i="11"/>
  <c r="S803" i="11"/>
  <c r="AQ803" i="11"/>
  <c r="T803" i="11"/>
  <c r="AR803" i="11"/>
  <c r="U803" i="11"/>
  <c r="AS803" i="11"/>
  <c r="V803" i="11"/>
  <c r="AT803" i="11"/>
  <c r="W803" i="11"/>
  <c r="AU803" i="11"/>
  <c r="X803" i="11"/>
  <c r="AV803" i="11"/>
  <c r="Y803" i="11"/>
  <c r="AW803" i="11"/>
  <c r="Z803" i="11"/>
  <c r="AC804" i="11"/>
  <c r="F804" i="11"/>
  <c r="AD804" i="11"/>
  <c r="G804" i="11"/>
  <c r="AE804" i="11"/>
  <c r="H804" i="11"/>
  <c r="AF804" i="11"/>
  <c r="I804" i="11"/>
  <c r="AG804" i="11"/>
  <c r="J804" i="11"/>
  <c r="AH804" i="11"/>
  <c r="K804" i="11"/>
  <c r="AI804" i="11"/>
  <c r="L804" i="11"/>
  <c r="AJ804" i="11"/>
  <c r="M804" i="11"/>
  <c r="AK804" i="11"/>
  <c r="N804" i="11"/>
  <c r="AL804" i="11"/>
  <c r="O804" i="11"/>
  <c r="AM804" i="11"/>
  <c r="P804" i="11"/>
  <c r="AN804" i="11"/>
  <c r="Q804" i="11"/>
  <c r="AO804" i="11"/>
  <c r="R804" i="11"/>
  <c r="AP804" i="11"/>
  <c r="S804" i="11"/>
  <c r="AQ804" i="11"/>
  <c r="T804" i="11"/>
  <c r="AR804" i="11"/>
  <c r="U804" i="11"/>
  <c r="AS804" i="11"/>
  <c r="V804" i="11"/>
  <c r="AT804" i="11"/>
  <c r="W804" i="11"/>
  <c r="AU804" i="11"/>
  <c r="X804" i="11"/>
  <c r="AV804" i="11"/>
  <c r="Y804" i="11"/>
  <c r="AW804" i="11"/>
  <c r="Z804" i="11"/>
  <c r="AC805" i="11"/>
  <c r="F805" i="11"/>
  <c r="AD805" i="11"/>
  <c r="G805" i="11"/>
  <c r="AE805" i="11"/>
  <c r="H805" i="11"/>
  <c r="AF805" i="11"/>
  <c r="I805" i="11"/>
  <c r="AG805" i="11"/>
  <c r="J805" i="11"/>
  <c r="AH805" i="11"/>
  <c r="K805" i="11"/>
  <c r="AI805" i="11"/>
  <c r="L805" i="11"/>
  <c r="AJ805" i="11"/>
  <c r="M805" i="11"/>
  <c r="AK805" i="11"/>
  <c r="N805" i="11"/>
  <c r="AL805" i="11"/>
  <c r="O805" i="11"/>
  <c r="AM805" i="11"/>
  <c r="P805" i="11"/>
  <c r="AN805" i="11"/>
  <c r="Q805" i="11"/>
  <c r="AO805" i="11"/>
  <c r="R805" i="11"/>
  <c r="AP805" i="11"/>
  <c r="S805" i="11"/>
  <c r="AQ805" i="11"/>
  <c r="T805" i="11"/>
  <c r="AR805" i="11"/>
  <c r="U805" i="11"/>
  <c r="AS805" i="11"/>
  <c r="V805" i="11"/>
  <c r="AT805" i="11"/>
  <c r="W805" i="11"/>
  <c r="AU805" i="11"/>
  <c r="X805" i="11"/>
  <c r="AV805" i="11"/>
  <c r="Y805" i="11"/>
  <c r="AW805" i="11"/>
  <c r="Z805" i="11"/>
  <c r="AC806" i="11"/>
  <c r="F806" i="11"/>
  <c r="AD806" i="11"/>
  <c r="G806" i="11"/>
  <c r="AE806" i="11"/>
  <c r="H806" i="11"/>
  <c r="AF806" i="11"/>
  <c r="I806" i="11"/>
  <c r="AG806" i="11"/>
  <c r="J806" i="11"/>
  <c r="AH806" i="11"/>
  <c r="K806" i="11"/>
  <c r="AI806" i="11"/>
  <c r="L806" i="11"/>
  <c r="AJ806" i="11"/>
  <c r="M806" i="11"/>
  <c r="AK806" i="11"/>
  <c r="N806" i="11"/>
  <c r="AL806" i="11"/>
  <c r="O806" i="11"/>
  <c r="AM806" i="11"/>
  <c r="P806" i="11"/>
  <c r="AN806" i="11"/>
  <c r="Q806" i="11"/>
  <c r="AO806" i="11"/>
  <c r="R806" i="11"/>
  <c r="AP806" i="11"/>
  <c r="S806" i="11"/>
  <c r="AQ806" i="11"/>
  <c r="T806" i="11"/>
  <c r="AR806" i="11"/>
  <c r="U806" i="11"/>
  <c r="AS806" i="11"/>
  <c r="V806" i="11"/>
  <c r="AT806" i="11"/>
  <c r="W806" i="11"/>
  <c r="AU806" i="11"/>
  <c r="X806" i="11"/>
  <c r="AV806" i="11"/>
  <c r="Y806" i="11"/>
  <c r="AW806" i="11"/>
  <c r="Z806" i="11"/>
  <c r="AC807" i="11"/>
  <c r="F807" i="11"/>
  <c r="AD807" i="11"/>
  <c r="G807" i="11"/>
  <c r="AE807" i="11"/>
  <c r="H807" i="11"/>
  <c r="AF807" i="11"/>
  <c r="I807" i="11"/>
  <c r="AG807" i="11"/>
  <c r="J807" i="11"/>
  <c r="AH807" i="11"/>
  <c r="K807" i="11"/>
  <c r="AI807" i="11"/>
  <c r="L807" i="11"/>
  <c r="AJ807" i="11"/>
  <c r="M807" i="11"/>
  <c r="AK807" i="11"/>
  <c r="N807" i="11"/>
  <c r="AL807" i="11"/>
  <c r="O807" i="11"/>
  <c r="AM807" i="11"/>
  <c r="P807" i="11"/>
  <c r="AN807" i="11"/>
  <c r="Q807" i="11"/>
  <c r="AO807" i="11"/>
  <c r="R807" i="11"/>
  <c r="AP807" i="11"/>
  <c r="S807" i="11"/>
  <c r="AQ807" i="11"/>
  <c r="T807" i="11"/>
  <c r="AR807" i="11"/>
  <c r="U807" i="11"/>
  <c r="AS807" i="11"/>
  <c r="V807" i="11"/>
  <c r="AT807" i="11"/>
  <c r="W807" i="11"/>
  <c r="AU807" i="11"/>
  <c r="X807" i="11"/>
  <c r="AV807" i="11"/>
  <c r="Y807" i="11"/>
  <c r="AW807" i="11"/>
  <c r="Z807" i="11"/>
  <c r="AC808" i="11"/>
  <c r="F808" i="11"/>
  <c r="AD808" i="11"/>
  <c r="G808" i="11"/>
  <c r="AE808" i="11"/>
  <c r="H808" i="11"/>
  <c r="AF808" i="11"/>
  <c r="I808" i="11"/>
  <c r="AG808" i="11"/>
  <c r="J808" i="11"/>
  <c r="AH808" i="11"/>
  <c r="K808" i="11"/>
  <c r="AI808" i="11"/>
  <c r="L808" i="11"/>
  <c r="AJ808" i="11"/>
  <c r="M808" i="11"/>
  <c r="AK808" i="11"/>
  <c r="N808" i="11"/>
  <c r="AL808" i="11"/>
  <c r="O808" i="11"/>
  <c r="AM808" i="11"/>
  <c r="P808" i="11"/>
  <c r="AN808" i="11"/>
  <c r="Q808" i="11"/>
  <c r="AO808" i="11"/>
  <c r="R808" i="11"/>
  <c r="AP808" i="11"/>
  <c r="S808" i="11"/>
  <c r="AQ808" i="11"/>
  <c r="T808" i="11"/>
  <c r="AR808" i="11"/>
  <c r="U808" i="11"/>
  <c r="AS808" i="11"/>
  <c r="V808" i="11"/>
  <c r="AT808" i="11"/>
  <c r="W808" i="11"/>
  <c r="AU808" i="11"/>
  <c r="X808" i="11"/>
  <c r="AV808" i="11"/>
  <c r="Y808" i="11"/>
  <c r="AW808" i="11"/>
  <c r="Z808" i="11"/>
  <c r="AC809" i="11"/>
  <c r="F809" i="11"/>
  <c r="AD809" i="11"/>
  <c r="G809" i="11"/>
  <c r="AE809" i="11"/>
  <c r="H809" i="11"/>
  <c r="AF809" i="11"/>
  <c r="I809" i="11"/>
  <c r="AG809" i="11"/>
  <c r="J809" i="11"/>
  <c r="AH809" i="11"/>
  <c r="K809" i="11"/>
  <c r="AI809" i="11"/>
  <c r="L809" i="11"/>
  <c r="AJ809" i="11"/>
  <c r="M809" i="11"/>
  <c r="AK809" i="11"/>
  <c r="N809" i="11"/>
  <c r="AL809" i="11"/>
  <c r="O809" i="11"/>
  <c r="AM809" i="11"/>
  <c r="P809" i="11"/>
  <c r="AN809" i="11"/>
  <c r="Q809" i="11"/>
  <c r="AO809" i="11"/>
  <c r="R809" i="11"/>
  <c r="AP809" i="11"/>
  <c r="S809" i="11"/>
  <c r="AQ809" i="11"/>
  <c r="T809" i="11"/>
  <c r="AR809" i="11"/>
  <c r="U809" i="11"/>
  <c r="AS809" i="11"/>
  <c r="V809" i="11"/>
  <c r="AT809" i="11"/>
  <c r="W809" i="11"/>
  <c r="AU809" i="11"/>
  <c r="X809" i="11"/>
  <c r="AV809" i="11"/>
  <c r="Y809" i="11"/>
  <c r="AW809" i="11"/>
  <c r="Z809" i="11"/>
  <c r="AC810" i="11"/>
  <c r="F810" i="11"/>
  <c r="AD810" i="11"/>
  <c r="G810" i="11"/>
  <c r="AE810" i="11"/>
  <c r="H810" i="11"/>
  <c r="AF810" i="11"/>
  <c r="I810" i="11"/>
  <c r="AG810" i="11"/>
  <c r="J810" i="11"/>
  <c r="AH810" i="11"/>
  <c r="K810" i="11"/>
  <c r="AI810" i="11"/>
  <c r="L810" i="11"/>
  <c r="AJ810" i="11"/>
  <c r="M810" i="11"/>
  <c r="AK810" i="11"/>
  <c r="N810" i="11"/>
  <c r="AL810" i="11"/>
  <c r="O810" i="11"/>
  <c r="AM810" i="11"/>
  <c r="P810" i="11"/>
  <c r="AN810" i="11"/>
  <c r="Q810" i="11"/>
  <c r="AO810" i="11"/>
  <c r="R810" i="11"/>
  <c r="AP810" i="11"/>
  <c r="S810" i="11"/>
  <c r="AQ810" i="11"/>
  <c r="T810" i="11"/>
  <c r="AR810" i="11"/>
  <c r="U810" i="11"/>
  <c r="AS810" i="11"/>
  <c r="V810" i="11"/>
  <c r="AT810" i="11"/>
  <c r="W810" i="11"/>
  <c r="AU810" i="11"/>
  <c r="X810" i="11"/>
  <c r="AV810" i="11"/>
  <c r="Y810" i="11"/>
  <c r="AW810" i="11"/>
  <c r="Z810" i="11"/>
  <c r="AC811" i="11"/>
  <c r="F811" i="11"/>
  <c r="AD811" i="11"/>
  <c r="G811" i="11"/>
  <c r="AE811" i="11"/>
  <c r="H811" i="11"/>
  <c r="AF811" i="11"/>
  <c r="I811" i="11"/>
  <c r="AG811" i="11"/>
  <c r="J811" i="11"/>
  <c r="AH811" i="11"/>
  <c r="K811" i="11"/>
  <c r="AI811" i="11"/>
  <c r="L811" i="11"/>
  <c r="AJ811" i="11"/>
  <c r="M811" i="11"/>
  <c r="AK811" i="11"/>
  <c r="N811" i="11"/>
  <c r="AL811" i="11"/>
  <c r="O811" i="11"/>
  <c r="AM811" i="11"/>
  <c r="P811" i="11"/>
  <c r="AN811" i="11"/>
  <c r="Q811" i="11"/>
  <c r="AO811" i="11"/>
  <c r="R811" i="11"/>
  <c r="AP811" i="11"/>
  <c r="S811" i="11"/>
  <c r="AQ811" i="11"/>
  <c r="T811" i="11"/>
  <c r="AR811" i="11"/>
  <c r="U811" i="11"/>
  <c r="AS811" i="11"/>
  <c r="V811" i="11"/>
  <c r="AT811" i="11"/>
  <c r="W811" i="11"/>
  <c r="AU811" i="11"/>
  <c r="X811" i="11"/>
  <c r="AV811" i="11"/>
  <c r="Y811" i="11"/>
  <c r="AW811" i="11"/>
  <c r="Z811" i="11"/>
  <c r="AC812" i="11"/>
  <c r="F812" i="11"/>
  <c r="AD812" i="11"/>
  <c r="G812" i="11"/>
  <c r="AE812" i="11"/>
  <c r="H812" i="11"/>
  <c r="AF812" i="11"/>
  <c r="I812" i="11"/>
  <c r="AG812" i="11"/>
  <c r="J812" i="11"/>
  <c r="AH812" i="11"/>
  <c r="K812" i="11"/>
  <c r="AI812" i="11"/>
  <c r="L812" i="11"/>
  <c r="AJ812" i="11"/>
  <c r="M812" i="11"/>
  <c r="AK812" i="11"/>
  <c r="N812" i="11"/>
  <c r="AL812" i="11"/>
  <c r="O812" i="11"/>
  <c r="AM812" i="11"/>
  <c r="P812" i="11"/>
  <c r="AN812" i="11"/>
  <c r="Q812" i="11"/>
  <c r="AO812" i="11"/>
  <c r="R812" i="11"/>
  <c r="AP812" i="11"/>
  <c r="S812" i="11"/>
  <c r="AQ812" i="11"/>
  <c r="T812" i="11"/>
  <c r="AR812" i="11"/>
  <c r="U812" i="11"/>
  <c r="AS812" i="11"/>
  <c r="V812" i="11"/>
  <c r="AT812" i="11"/>
  <c r="W812" i="11"/>
  <c r="AU812" i="11"/>
  <c r="X812" i="11"/>
  <c r="AV812" i="11"/>
  <c r="Y812" i="11"/>
  <c r="AW812" i="11"/>
  <c r="Z812" i="11"/>
  <c r="AC813" i="11"/>
  <c r="F813" i="11"/>
  <c r="AD813" i="11"/>
  <c r="G813" i="11"/>
  <c r="AE813" i="11"/>
  <c r="H813" i="11"/>
  <c r="AF813" i="11"/>
  <c r="I813" i="11"/>
  <c r="AG813" i="11"/>
  <c r="J813" i="11"/>
  <c r="AH813" i="11"/>
  <c r="K813" i="11"/>
  <c r="AI813" i="11"/>
  <c r="L813" i="11"/>
  <c r="AJ813" i="11"/>
  <c r="M813" i="11"/>
  <c r="AK813" i="11"/>
  <c r="N813" i="11"/>
  <c r="AL813" i="11"/>
  <c r="O813" i="11"/>
  <c r="AM813" i="11"/>
  <c r="P813" i="11"/>
  <c r="AN813" i="11"/>
  <c r="Q813" i="11"/>
  <c r="AO813" i="11"/>
  <c r="R813" i="11"/>
  <c r="AP813" i="11"/>
  <c r="S813" i="11"/>
  <c r="AQ813" i="11"/>
  <c r="T813" i="11"/>
  <c r="AR813" i="11"/>
  <c r="U813" i="11"/>
  <c r="AS813" i="11"/>
  <c r="V813" i="11"/>
  <c r="AT813" i="11"/>
  <c r="W813" i="11"/>
  <c r="AU813" i="11"/>
  <c r="X813" i="11"/>
  <c r="AV813" i="11"/>
  <c r="Y813" i="11"/>
  <c r="AW813" i="11"/>
  <c r="Z813" i="11"/>
  <c r="AC814" i="11"/>
  <c r="F814" i="11"/>
  <c r="AD814" i="11"/>
  <c r="G814" i="11"/>
  <c r="AE814" i="11"/>
  <c r="H814" i="11"/>
  <c r="AF814" i="11"/>
  <c r="I814" i="11"/>
  <c r="AG814" i="11"/>
  <c r="J814" i="11"/>
  <c r="AH814" i="11"/>
  <c r="K814" i="11"/>
  <c r="AI814" i="11"/>
  <c r="L814" i="11"/>
  <c r="AJ814" i="11"/>
  <c r="M814" i="11"/>
  <c r="AK814" i="11"/>
  <c r="N814" i="11"/>
  <c r="AL814" i="11"/>
  <c r="O814" i="11"/>
  <c r="AM814" i="11"/>
  <c r="P814" i="11"/>
  <c r="AN814" i="11"/>
  <c r="Q814" i="11"/>
  <c r="AO814" i="11"/>
  <c r="R814" i="11"/>
  <c r="AP814" i="11"/>
  <c r="S814" i="11"/>
  <c r="AQ814" i="11"/>
  <c r="T814" i="11"/>
  <c r="AR814" i="11"/>
  <c r="U814" i="11"/>
  <c r="AS814" i="11"/>
  <c r="V814" i="11"/>
  <c r="AT814" i="11"/>
  <c r="W814" i="11"/>
  <c r="AU814" i="11"/>
  <c r="X814" i="11"/>
  <c r="AV814" i="11"/>
  <c r="Y814" i="11"/>
  <c r="AW814" i="11"/>
  <c r="Z814" i="11"/>
  <c r="AC815" i="11"/>
  <c r="F815" i="11"/>
  <c r="AD815" i="11"/>
  <c r="G815" i="11"/>
  <c r="AE815" i="11"/>
  <c r="H815" i="11"/>
  <c r="AF815" i="11"/>
  <c r="I815" i="11"/>
  <c r="AG815" i="11"/>
  <c r="J815" i="11"/>
  <c r="AH815" i="11"/>
  <c r="K815" i="11"/>
  <c r="AI815" i="11"/>
  <c r="L815" i="11"/>
  <c r="AJ815" i="11"/>
  <c r="M815" i="11"/>
  <c r="AK815" i="11"/>
  <c r="N815" i="11"/>
  <c r="AL815" i="11"/>
  <c r="O815" i="11"/>
  <c r="AM815" i="11"/>
  <c r="P815" i="11"/>
  <c r="AN815" i="11"/>
  <c r="Q815" i="11"/>
  <c r="AO815" i="11"/>
  <c r="R815" i="11"/>
  <c r="AP815" i="11"/>
  <c r="S815" i="11"/>
  <c r="AQ815" i="11"/>
  <c r="T815" i="11"/>
  <c r="AR815" i="11"/>
  <c r="U815" i="11"/>
  <c r="AS815" i="11"/>
  <c r="V815" i="11"/>
  <c r="AT815" i="11"/>
  <c r="W815" i="11"/>
  <c r="AU815" i="11"/>
  <c r="X815" i="11"/>
  <c r="AV815" i="11"/>
  <c r="Y815" i="11"/>
  <c r="AW815" i="11"/>
  <c r="Z815" i="11"/>
  <c r="AC816" i="11"/>
  <c r="F816" i="11"/>
  <c r="AD816" i="11"/>
  <c r="G816" i="11"/>
  <c r="AE816" i="11"/>
  <c r="H816" i="11"/>
  <c r="AF816" i="11"/>
  <c r="I816" i="11"/>
  <c r="AG816" i="11"/>
  <c r="J816" i="11"/>
  <c r="AH816" i="11"/>
  <c r="K816" i="11"/>
  <c r="AI816" i="11"/>
  <c r="L816" i="11"/>
  <c r="AJ816" i="11"/>
  <c r="M816" i="11"/>
  <c r="AK816" i="11"/>
  <c r="N816" i="11"/>
  <c r="AL816" i="11"/>
  <c r="O816" i="11"/>
  <c r="AM816" i="11"/>
  <c r="P816" i="11"/>
  <c r="AN816" i="11"/>
  <c r="Q816" i="11"/>
  <c r="AO816" i="11"/>
  <c r="R816" i="11"/>
  <c r="AP816" i="11"/>
  <c r="S816" i="11"/>
  <c r="AQ816" i="11"/>
  <c r="T816" i="11"/>
  <c r="AR816" i="11"/>
  <c r="U816" i="11"/>
  <c r="AS816" i="11"/>
  <c r="V816" i="11"/>
  <c r="AT816" i="11"/>
  <c r="W816" i="11"/>
  <c r="AU816" i="11"/>
  <c r="X816" i="11"/>
  <c r="AV816" i="11"/>
  <c r="Y816" i="11"/>
  <c r="AW816" i="11"/>
  <c r="Z816" i="11"/>
  <c r="AC817" i="11"/>
  <c r="F817" i="11"/>
  <c r="AD817" i="11"/>
  <c r="G817" i="11"/>
  <c r="AE817" i="11"/>
  <c r="H817" i="11"/>
  <c r="AF817" i="11"/>
  <c r="I817" i="11"/>
  <c r="AG817" i="11"/>
  <c r="J817" i="11"/>
  <c r="AH817" i="11"/>
  <c r="K817" i="11"/>
  <c r="AI817" i="11"/>
  <c r="L817" i="11"/>
  <c r="AJ817" i="11"/>
  <c r="M817" i="11"/>
  <c r="AK817" i="11"/>
  <c r="N817" i="11"/>
  <c r="AL817" i="11"/>
  <c r="O817" i="11"/>
  <c r="AM817" i="11"/>
  <c r="P817" i="11"/>
  <c r="AN817" i="11"/>
  <c r="Q817" i="11"/>
  <c r="AO817" i="11"/>
  <c r="R817" i="11"/>
  <c r="AP817" i="11"/>
  <c r="S817" i="11"/>
  <c r="AQ817" i="11"/>
  <c r="T817" i="11"/>
  <c r="AR817" i="11"/>
  <c r="U817" i="11"/>
  <c r="AS817" i="11"/>
  <c r="V817" i="11"/>
  <c r="AT817" i="11"/>
  <c r="W817" i="11"/>
  <c r="AU817" i="11"/>
  <c r="X817" i="11"/>
  <c r="AV817" i="11"/>
  <c r="Y817" i="11"/>
  <c r="AW817" i="11"/>
  <c r="Z817" i="11"/>
  <c r="AC818" i="11"/>
  <c r="F818" i="11"/>
  <c r="AD818" i="11"/>
  <c r="G818" i="11"/>
  <c r="AE818" i="11"/>
  <c r="H818" i="11"/>
  <c r="AF818" i="11"/>
  <c r="I818" i="11"/>
  <c r="AG818" i="11"/>
  <c r="J818" i="11"/>
  <c r="AH818" i="11"/>
  <c r="K818" i="11"/>
  <c r="AI818" i="11"/>
  <c r="L818" i="11"/>
  <c r="AJ818" i="11"/>
  <c r="M818" i="11"/>
  <c r="AK818" i="11"/>
  <c r="N818" i="11"/>
  <c r="AL818" i="11"/>
  <c r="O818" i="11"/>
  <c r="AM818" i="11"/>
  <c r="P818" i="11"/>
  <c r="AN818" i="11"/>
  <c r="Q818" i="11"/>
  <c r="AO818" i="11"/>
  <c r="R818" i="11"/>
  <c r="AP818" i="11"/>
  <c r="S818" i="11"/>
  <c r="AQ818" i="11"/>
  <c r="T818" i="11"/>
  <c r="AR818" i="11"/>
  <c r="U818" i="11"/>
  <c r="AS818" i="11"/>
  <c r="V818" i="11"/>
  <c r="AT818" i="11"/>
  <c r="W818" i="11"/>
  <c r="AU818" i="11"/>
  <c r="X818" i="11"/>
  <c r="AV818" i="11"/>
  <c r="Y818" i="11"/>
  <c r="AW818" i="11"/>
  <c r="Z818" i="11"/>
  <c r="AC819" i="11"/>
  <c r="F819" i="11"/>
  <c r="AD819" i="11"/>
  <c r="G819" i="11"/>
  <c r="AE819" i="11"/>
  <c r="H819" i="11"/>
  <c r="AF819" i="11"/>
  <c r="I819" i="11"/>
  <c r="AG819" i="11"/>
  <c r="J819" i="11"/>
  <c r="AH819" i="11"/>
  <c r="K819" i="11"/>
  <c r="AI819" i="11"/>
  <c r="L819" i="11"/>
  <c r="AJ819" i="11"/>
  <c r="M819" i="11"/>
  <c r="AK819" i="11"/>
  <c r="N819" i="11"/>
  <c r="AL819" i="11"/>
  <c r="O819" i="11"/>
  <c r="AM819" i="11"/>
  <c r="P819" i="11"/>
  <c r="AN819" i="11"/>
  <c r="Q819" i="11"/>
  <c r="AO819" i="11"/>
  <c r="R819" i="11"/>
  <c r="AP819" i="11"/>
  <c r="S819" i="11"/>
  <c r="AQ819" i="11"/>
  <c r="T819" i="11"/>
  <c r="AR819" i="11"/>
  <c r="U819" i="11"/>
  <c r="AS819" i="11"/>
  <c r="V819" i="11"/>
  <c r="AT819" i="11"/>
  <c r="W819" i="11"/>
  <c r="AU819" i="11"/>
  <c r="X819" i="11"/>
  <c r="AV819" i="11"/>
  <c r="Y819" i="11"/>
  <c r="AW819" i="11"/>
  <c r="Z819" i="11"/>
  <c r="AC820" i="11"/>
  <c r="F820" i="11"/>
  <c r="AD820" i="11"/>
  <c r="G820" i="11"/>
  <c r="AE820" i="11"/>
  <c r="H820" i="11"/>
  <c r="AF820" i="11"/>
  <c r="I820" i="11"/>
  <c r="AG820" i="11"/>
  <c r="J820" i="11"/>
  <c r="AH820" i="11"/>
  <c r="K820" i="11"/>
  <c r="AI820" i="11"/>
  <c r="L820" i="11"/>
  <c r="AJ820" i="11"/>
  <c r="M820" i="11"/>
  <c r="AK820" i="11"/>
  <c r="N820" i="11"/>
  <c r="AL820" i="11"/>
  <c r="O820" i="11"/>
  <c r="AM820" i="11"/>
  <c r="P820" i="11"/>
  <c r="AN820" i="11"/>
  <c r="Q820" i="11"/>
  <c r="AO820" i="11"/>
  <c r="R820" i="11"/>
  <c r="AP820" i="11"/>
  <c r="S820" i="11"/>
  <c r="AQ820" i="11"/>
  <c r="T820" i="11"/>
  <c r="AR820" i="11"/>
  <c r="U820" i="11"/>
  <c r="AS820" i="11"/>
  <c r="V820" i="11"/>
  <c r="AT820" i="11"/>
  <c r="W820" i="11"/>
  <c r="AU820" i="11"/>
  <c r="X820" i="11"/>
  <c r="AV820" i="11"/>
  <c r="Y820" i="11"/>
  <c r="AW820" i="11"/>
  <c r="Z820" i="11"/>
  <c r="AC821" i="11"/>
  <c r="F821" i="11"/>
  <c r="AD821" i="11"/>
  <c r="G821" i="11"/>
  <c r="AE821" i="11"/>
  <c r="H821" i="11"/>
  <c r="AF821" i="11"/>
  <c r="I821" i="11"/>
  <c r="AG821" i="11"/>
  <c r="J821" i="11"/>
  <c r="AH821" i="11"/>
  <c r="K821" i="11"/>
  <c r="AI821" i="11"/>
  <c r="L821" i="11"/>
  <c r="AJ821" i="11"/>
  <c r="M821" i="11"/>
  <c r="AK821" i="11"/>
  <c r="N821" i="11"/>
  <c r="AL821" i="11"/>
  <c r="O821" i="11"/>
  <c r="AM821" i="11"/>
  <c r="P821" i="11"/>
  <c r="AN821" i="11"/>
  <c r="Q821" i="11"/>
  <c r="AO821" i="11"/>
  <c r="R821" i="11"/>
  <c r="AP821" i="11"/>
  <c r="S821" i="11"/>
  <c r="AQ821" i="11"/>
  <c r="T821" i="11"/>
  <c r="AR821" i="11"/>
  <c r="U821" i="11"/>
  <c r="AS821" i="11"/>
  <c r="V821" i="11"/>
  <c r="AT821" i="11"/>
  <c r="W821" i="11"/>
  <c r="AU821" i="11"/>
  <c r="X821" i="11"/>
  <c r="AV821" i="11"/>
  <c r="Y821" i="11"/>
  <c r="AW821" i="11"/>
  <c r="Z821" i="11"/>
  <c r="AC822" i="11"/>
  <c r="F822" i="11"/>
  <c r="AD822" i="11"/>
  <c r="G822" i="11"/>
  <c r="AE822" i="11"/>
  <c r="H822" i="11"/>
  <c r="AF822" i="11"/>
  <c r="I822" i="11"/>
  <c r="AG822" i="11"/>
  <c r="J822" i="11"/>
  <c r="AH822" i="11"/>
  <c r="K822" i="11"/>
  <c r="AI822" i="11"/>
  <c r="L822" i="11"/>
  <c r="AJ822" i="11"/>
  <c r="M822" i="11"/>
  <c r="AK822" i="11"/>
  <c r="N822" i="11"/>
  <c r="AL822" i="11"/>
  <c r="O822" i="11"/>
  <c r="AM822" i="11"/>
  <c r="P822" i="11"/>
  <c r="AN822" i="11"/>
  <c r="Q822" i="11"/>
  <c r="AO822" i="11"/>
  <c r="R822" i="11"/>
  <c r="AP822" i="11"/>
  <c r="S822" i="11"/>
  <c r="AQ822" i="11"/>
  <c r="T822" i="11"/>
  <c r="AR822" i="11"/>
  <c r="U822" i="11"/>
  <c r="AS822" i="11"/>
  <c r="V822" i="11"/>
  <c r="AT822" i="11"/>
  <c r="W822" i="11"/>
  <c r="AU822" i="11"/>
  <c r="X822" i="11"/>
  <c r="AV822" i="11"/>
  <c r="Y822" i="11"/>
  <c r="AW822" i="11"/>
  <c r="Z822" i="11"/>
  <c r="AC823" i="11"/>
  <c r="F823" i="11"/>
  <c r="AD823" i="11"/>
  <c r="G823" i="11"/>
  <c r="AE823" i="11"/>
  <c r="H823" i="11"/>
  <c r="AF823" i="11"/>
  <c r="I823" i="11"/>
  <c r="AG823" i="11"/>
  <c r="J823" i="11"/>
  <c r="AH823" i="11"/>
  <c r="K823" i="11"/>
  <c r="AI823" i="11"/>
  <c r="L823" i="11"/>
  <c r="AJ823" i="11"/>
  <c r="M823" i="11"/>
  <c r="AK823" i="11"/>
  <c r="N823" i="11"/>
  <c r="AL823" i="11"/>
  <c r="O823" i="11"/>
  <c r="AM823" i="11"/>
  <c r="P823" i="11"/>
  <c r="AN823" i="11"/>
  <c r="Q823" i="11"/>
  <c r="AO823" i="11"/>
  <c r="R823" i="11"/>
  <c r="AP823" i="11"/>
  <c r="S823" i="11"/>
  <c r="AQ823" i="11"/>
  <c r="T823" i="11"/>
  <c r="AR823" i="11"/>
  <c r="U823" i="11"/>
  <c r="AS823" i="11"/>
  <c r="V823" i="11"/>
  <c r="AT823" i="11"/>
  <c r="W823" i="11"/>
  <c r="AU823" i="11"/>
  <c r="X823" i="11"/>
  <c r="AV823" i="11"/>
  <c r="Y823" i="11"/>
  <c r="AW823" i="11"/>
  <c r="Z823" i="11"/>
  <c r="AC824" i="11"/>
  <c r="F824" i="11"/>
  <c r="AD824" i="11"/>
  <c r="G824" i="11"/>
  <c r="AE824" i="11"/>
  <c r="H824" i="11"/>
  <c r="AF824" i="11"/>
  <c r="I824" i="11"/>
  <c r="AG824" i="11"/>
  <c r="J824" i="11"/>
  <c r="AH824" i="11"/>
  <c r="K824" i="11"/>
  <c r="AI824" i="11"/>
  <c r="L824" i="11"/>
  <c r="AJ824" i="11"/>
  <c r="M824" i="11"/>
  <c r="AK824" i="11"/>
  <c r="N824" i="11"/>
  <c r="AL824" i="11"/>
  <c r="O824" i="11"/>
  <c r="AM824" i="11"/>
  <c r="P824" i="11"/>
  <c r="AN824" i="11"/>
  <c r="Q824" i="11"/>
  <c r="AO824" i="11"/>
  <c r="R824" i="11"/>
  <c r="AP824" i="11"/>
  <c r="S824" i="11"/>
  <c r="AQ824" i="11"/>
  <c r="T824" i="11"/>
  <c r="AR824" i="11"/>
  <c r="U824" i="11"/>
  <c r="AS824" i="11"/>
  <c r="V824" i="11"/>
  <c r="AT824" i="11"/>
  <c r="W824" i="11"/>
  <c r="AU824" i="11"/>
  <c r="X824" i="11"/>
  <c r="AV824" i="11"/>
  <c r="Y824" i="11"/>
  <c r="AW824" i="11"/>
  <c r="Z824" i="11"/>
  <c r="AC825" i="11"/>
  <c r="F825" i="11"/>
  <c r="AD825" i="11"/>
  <c r="G825" i="11"/>
  <c r="AE825" i="11"/>
  <c r="H825" i="11"/>
  <c r="AF825" i="11"/>
  <c r="I825" i="11"/>
  <c r="AG825" i="11"/>
  <c r="J825" i="11"/>
  <c r="AH825" i="11"/>
  <c r="K825" i="11"/>
  <c r="AI825" i="11"/>
  <c r="L825" i="11"/>
  <c r="AJ825" i="11"/>
  <c r="M825" i="11"/>
  <c r="AK825" i="11"/>
  <c r="N825" i="11"/>
  <c r="AL825" i="11"/>
  <c r="O825" i="11"/>
  <c r="AM825" i="11"/>
  <c r="P825" i="11"/>
  <c r="AN825" i="11"/>
  <c r="Q825" i="11"/>
  <c r="AO825" i="11"/>
  <c r="R825" i="11"/>
  <c r="AP825" i="11"/>
  <c r="S825" i="11"/>
  <c r="AQ825" i="11"/>
  <c r="T825" i="11"/>
  <c r="AR825" i="11"/>
  <c r="U825" i="11"/>
  <c r="AS825" i="11"/>
  <c r="V825" i="11"/>
  <c r="AT825" i="11"/>
  <c r="W825" i="11"/>
  <c r="AU825" i="11"/>
  <c r="X825" i="11"/>
  <c r="AV825" i="11"/>
  <c r="Y825" i="11"/>
  <c r="AW825" i="11"/>
  <c r="Z825" i="11"/>
  <c r="AC826" i="11"/>
  <c r="F826" i="11"/>
  <c r="AD826" i="11"/>
  <c r="G826" i="11"/>
  <c r="AE826" i="11"/>
  <c r="H826" i="11"/>
  <c r="AF826" i="11"/>
  <c r="I826" i="11"/>
  <c r="AG826" i="11"/>
  <c r="J826" i="11"/>
  <c r="AH826" i="11"/>
  <c r="K826" i="11"/>
  <c r="AI826" i="11"/>
  <c r="L826" i="11"/>
  <c r="AJ826" i="11"/>
  <c r="M826" i="11"/>
  <c r="AK826" i="11"/>
  <c r="N826" i="11"/>
  <c r="AL826" i="11"/>
  <c r="O826" i="11"/>
  <c r="AM826" i="11"/>
  <c r="P826" i="11"/>
  <c r="AN826" i="11"/>
  <c r="Q826" i="11"/>
  <c r="AO826" i="11"/>
  <c r="R826" i="11"/>
  <c r="AP826" i="11"/>
  <c r="S826" i="11"/>
  <c r="AQ826" i="11"/>
  <c r="T826" i="11"/>
  <c r="AR826" i="11"/>
  <c r="U826" i="11"/>
  <c r="AS826" i="11"/>
  <c r="V826" i="11"/>
  <c r="AT826" i="11"/>
  <c r="W826" i="11"/>
  <c r="AU826" i="11"/>
  <c r="X826" i="11"/>
  <c r="AV826" i="11"/>
  <c r="Y826" i="11"/>
  <c r="AW826" i="11"/>
  <c r="Z826" i="11"/>
  <c r="AC827" i="11"/>
  <c r="F827" i="11"/>
  <c r="AD827" i="11"/>
  <c r="G827" i="11"/>
  <c r="AE827" i="11"/>
  <c r="H827" i="11"/>
  <c r="AF827" i="11"/>
  <c r="I827" i="11"/>
  <c r="AG827" i="11"/>
  <c r="J827" i="11"/>
  <c r="AH827" i="11"/>
  <c r="K827" i="11"/>
  <c r="AI827" i="11"/>
  <c r="L827" i="11"/>
  <c r="AJ827" i="11"/>
  <c r="M827" i="11"/>
  <c r="AK827" i="11"/>
  <c r="N827" i="11"/>
  <c r="AL827" i="11"/>
  <c r="O827" i="11"/>
  <c r="AM827" i="11"/>
  <c r="P827" i="11"/>
  <c r="AN827" i="11"/>
  <c r="Q827" i="11"/>
  <c r="AO827" i="11"/>
  <c r="R827" i="11"/>
  <c r="AP827" i="11"/>
  <c r="S827" i="11"/>
  <c r="AQ827" i="11"/>
  <c r="T827" i="11"/>
  <c r="AR827" i="11"/>
  <c r="U827" i="11"/>
  <c r="AS827" i="11"/>
  <c r="V827" i="11"/>
  <c r="AT827" i="11"/>
  <c r="W827" i="11"/>
  <c r="AU827" i="11"/>
  <c r="X827" i="11"/>
  <c r="AV827" i="11"/>
  <c r="Y827" i="11"/>
  <c r="AW827" i="11"/>
  <c r="Z827" i="11"/>
  <c r="AC828" i="11"/>
  <c r="F828" i="11"/>
  <c r="AD828" i="11"/>
  <c r="G828" i="11"/>
  <c r="AE828" i="11"/>
  <c r="H828" i="11"/>
  <c r="AF828" i="11"/>
  <c r="I828" i="11"/>
  <c r="AG828" i="11"/>
  <c r="J828" i="11"/>
  <c r="AH828" i="11"/>
  <c r="K828" i="11"/>
  <c r="AI828" i="11"/>
  <c r="L828" i="11"/>
  <c r="AJ828" i="11"/>
  <c r="M828" i="11"/>
  <c r="AK828" i="11"/>
  <c r="N828" i="11"/>
  <c r="AL828" i="11"/>
  <c r="O828" i="11"/>
  <c r="AM828" i="11"/>
  <c r="P828" i="11"/>
  <c r="AN828" i="11"/>
  <c r="Q828" i="11"/>
  <c r="AO828" i="11"/>
  <c r="R828" i="11"/>
  <c r="AP828" i="11"/>
  <c r="S828" i="11"/>
  <c r="AQ828" i="11"/>
  <c r="T828" i="11"/>
  <c r="AR828" i="11"/>
  <c r="U828" i="11"/>
  <c r="AS828" i="11"/>
  <c r="V828" i="11"/>
  <c r="AT828" i="11"/>
  <c r="W828" i="11"/>
  <c r="AU828" i="11"/>
  <c r="X828" i="11"/>
  <c r="AV828" i="11"/>
  <c r="Y828" i="11"/>
  <c r="AW828" i="11"/>
  <c r="Z828" i="11"/>
  <c r="AC829" i="11"/>
  <c r="F829" i="11"/>
  <c r="AD829" i="11"/>
  <c r="G829" i="11"/>
  <c r="AE829" i="11"/>
  <c r="H829" i="11"/>
  <c r="AF829" i="11"/>
  <c r="I829" i="11"/>
  <c r="AG829" i="11"/>
  <c r="J829" i="11"/>
  <c r="AH829" i="11"/>
  <c r="K829" i="11"/>
  <c r="AI829" i="11"/>
  <c r="L829" i="11"/>
  <c r="AJ829" i="11"/>
  <c r="M829" i="11"/>
  <c r="AK829" i="11"/>
  <c r="N829" i="11"/>
  <c r="AL829" i="11"/>
  <c r="O829" i="11"/>
  <c r="AM829" i="11"/>
  <c r="P829" i="11"/>
  <c r="AN829" i="11"/>
  <c r="Q829" i="11"/>
  <c r="AO829" i="11"/>
  <c r="R829" i="11"/>
  <c r="AP829" i="11"/>
  <c r="S829" i="11"/>
  <c r="AQ829" i="11"/>
  <c r="T829" i="11"/>
  <c r="AR829" i="11"/>
  <c r="U829" i="11"/>
  <c r="AS829" i="11"/>
  <c r="V829" i="11"/>
  <c r="AT829" i="11"/>
  <c r="W829" i="11"/>
  <c r="AU829" i="11"/>
  <c r="X829" i="11"/>
  <c r="AV829" i="11"/>
  <c r="Y829" i="11"/>
  <c r="AW829" i="11"/>
  <c r="Z829" i="11"/>
  <c r="AC830" i="11"/>
  <c r="F830" i="11"/>
  <c r="AD830" i="11"/>
  <c r="G830" i="11"/>
  <c r="AE830" i="11"/>
  <c r="H830" i="11"/>
  <c r="AF830" i="11"/>
  <c r="I830" i="11"/>
  <c r="AG830" i="11"/>
  <c r="J830" i="11"/>
  <c r="AH830" i="11"/>
  <c r="K830" i="11"/>
  <c r="AI830" i="11"/>
  <c r="L830" i="11"/>
  <c r="AJ830" i="11"/>
  <c r="M830" i="11"/>
  <c r="AK830" i="11"/>
  <c r="N830" i="11"/>
  <c r="AL830" i="11"/>
  <c r="O830" i="11"/>
  <c r="AM830" i="11"/>
  <c r="P830" i="11"/>
  <c r="AN830" i="11"/>
  <c r="Q830" i="11"/>
  <c r="AO830" i="11"/>
  <c r="R830" i="11"/>
  <c r="AP830" i="11"/>
  <c r="S830" i="11"/>
  <c r="AQ830" i="11"/>
  <c r="T830" i="11"/>
  <c r="AR830" i="11"/>
  <c r="U830" i="11"/>
  <c r="AS830" i="11"/>
  <c r="V830" i="11"/>
  <c r="AT830" i="11"/>
  <c r="W830" i="11"/>
  <c r="AU830" i="11"/>
  <c r="X830" i="11"/>
  <c r="AV830" i="11"/>
  <c r="Y830" i="11"/>
  <c r="AW830" i="11"/>
  <c r="Z830" i="11"/>
  <c r="AC831" i="11"/>
  <c r="F831" i="11"/>
  <c r="AD831" i="11"/>
  <c r="G831" i="11"/>
  <c r="AE831" i="11"/>
  <c r="H831" i="11"/>
  <c r="AF831" i="11"/>
  <c r="I831" i="11"/>
  <c r="AG831" i="11"/>
  <c r="J831" i="11"/>
  <c r="AH831" i="11"/>
  <c r="K831" i="11"/>
  <c r="AI831" i="11"/>
  <c r="L831" i="11"/>
  <c r="AJ831" i="11"/>
  <c r="M831" i="11"/>
  <c r="AK831" i="11"/>
  <c r="N831" i="11"/>
  <c r="AL831" i="11"/>
  <c r="O831" i="11"/>
  <c r="AM831" i="11"/>
  <c r="P831" i="11"/>
  <c r="AN831" i="11"/>
  <c r="Q831" i="11"/>
  <c r="AO831" i="11"/>
  <c r="R831" i="11"/>
  <c r="AP831" i="11"/>
  <c r="S831" i="11"/>
  <c r="AQ831" i="11"/>
  <c r="T831" i="11"/>
  <c r="AR831" i="11"/>
  <c r="U831" i="11"/>
  <c r="AS831" i="11"/>
  <c r="V831" i="11"/>
  <c r="AT831" i="11"/>
  <c r="W831" i="11"/>
  <c r="AU831" i="11"/>
  <c r="X831" i="11"/>
  <c r="AV831" i="11"/>
  <c r="Y831" i="11"/>
  <c r="AW831" i="11"/>
  <c r="Z831" i="11"/>
  <c r="AC832" i="11"/>
  <c r="F832" i="11"/>
  <c r="AD832" i="11"/>
  <c r="G832" i="11"/>
  <c r="AE832" i="11"/>
  <c r="H832" i="11"/>
  <c r="AF832" i="11"/>
  <c r="I832" i="11"/>
  <c r="AG832" i="11"/>
  <c r="J832" i="11"/>
  <c r="AH832" i="11"/>
  <c r="K832" i="11"/>
  <c r="AI832" i="11"/>
  <c r="L832" i="11"/>
  <c r="AJ832" i="11"/>
  <c r="M832" i="11"/>
  <c r="AK832" i="11"/>
  <c r="N832" i="11"/>
  <c r="AL832" i="11"/>
  <c r="O832" i="11"/>
  <c r="AM832" i="11"/>
  <c r="P832" i="11"/>
  <c r="AN832" i="11"/>
  <c r="Q832" i="11"/>
  <c r="AO832" i="11"/>
  <c r="R832" i="11"/>
  <c r="AP832" i="11"/>
  <c r="S832" i="11"/>
  <c r="AQ832" i="11"/>
  <c r="T832" i="11"/>
  <c r="AR832" i="11"/>
  <c r="U832" i="11"/>
  <c r="AS832" i="11"/>
  <c r="V832" i="11"/>
  <c r="AT832" i="11"/>
  <c r="W832" i="11"/>
  <c r="AU832" i="11"/>
  <c r="X832" i="11"/>
  <c r="AV832" i="11"/>
  <c r="Y832" i="11"/>
  <c r="AW832" i="11"/>
  <c r="Z832" i="11"/>
  <c r="AC833" i="11"/>
  <c r="F833" i="11"/>
  <c r="AD833" i="11"/>
  <c r="G833" i="11"/>
  <c r="AE833" i="11"/>
  <c r="H833" i="11"/>
  <c r="AF833" i="11"/>
  <c r="I833" i="11"/>
  <c r="AG833" i="11"/>
  <c r="J833" i="11"/>
  <c r="AH833" i="11"/>
  <c r="K833" i="11"/>
  <c r="AI833" i="11"/>
  <c r="L833" i="11"/>
  <c r="AJ833" i="11"/>
  <c r="M833" i="11"/>
  <c r="AK833" i="11"/>
  <c r="N833" i="11"/>
  <c r="AL833" i="11"/>
  <c r="O833" i="11"/>
  <c r="AM833" i="11"/>
  <c r="P833" i="11"/>
  <c r="AN833" i="11"/>
  <c r="Q833" i="11"/>
  <c r="AO833" i="11"/>
  <c r="R833" i="11"/>
  <c r="AP833" i="11"/>
  <c r="S833" i="11"/>
  <c r="AQ833" i="11"/>
  <c r="T833" i="11"/>
  <c r="AR833" i="11"/>
  <c r="U833" i="11"/>
  <c r="AS833" i="11"/>
  <c r="V833" i="11"/>
  <c r="AT833" i="11"/>
  <c r="W833" i="11"/>
  <c r="AU833" i="11"/>
  <c r="X833" i="11"/>
  <c r="AV833" i="11"/>
  <c r="Y833" i="11"/>
  <c r="AW833" i="11"/>
  <c r="Z833" i="11"/>
  <c r="AC834" i="11"/>
  <c r="F834" i="11"/>
  <c r="AD834" i="11"/>
  <c r="G834" i="11"/>
  <c r="AE834" i="11"/>
  <c r="H834" i="11"/>
  <c r="AF834" i="11"/>
  <c r="I834" i="11"/>
  <c r="AG834" i="11"/>
  <c r="J834" i="11"/>
  <c r="AH834" i="11"/>
  <c r="K834" i="11"/>
  <c r="AI834" i="11"/>
  <c r="L834" i="11"/>
  <c r="AJ834" i="11"/>
  <c r="M834" i="11"/>
  <c r="AK834" i="11"/>
  <c r="N834" i="11"/>
  <c r="AL834" i="11"/>
  <c r="O834" i="11"/>
  <c r="AM834" i="11"/>
  <c r="P834" i="11"/>
  <c r="AN834" i="11"/>
  <c r="Q834" i="11"/>
  <c r="AO834" i="11"/>
  <c r="R834" i="11"/>
  <c r="AP834" i="11"/>
  <c r="S834" i="11"/>
  <c r="AQ834" i="11"/>
  <c r="T834" i="11"/>
  <c r="AR834" i="11"/>
  <c r="U834" i="11"/>
  <c r="AS834" i="11"/>
  <c r="V834" i="11"/>
  <c r="AT834" i="11"/>
  <c r="W834" i="11"/>
  <c r="AU834" i="11"/>
  <c r="X834" i="11"/>
  <c r="AV834" i="11"/>
  <c r="Y834" i="11"/>
  <c r="AW834" i="11"/>
  <c r="Z834" i="11"/>
  <c r="AC835" i="11"/>
  <c r="F835" i="11"/>
  <c r="AD835" i="11"/>
  <c r="G835" i="11"/>
  <c r="AE835" i="11"/>
  <c r="H835" i="11"/>
  <c r="AF835" i="11"/>
  <c r="I835" i="11"/>
  <c r="AG835" i="11"/>
  <c r="J835" i="11"/>
  <c r="AH835" i="11"/>
  <c r="K835" i="11"/>
  <c r="AI835" i="11"/>
  <c r="L835" i="11"/>
  <c r="AJ835" i="11"/>
  <c r="M835" i="11"/>
  <c r="AK835" i="11"/>
  <c r="N835" i="11"/>
  <c r="AL835" i="11"/>
  <c r="O835" i="11"/>
  <c r="AM835" i="11"/>
  <c r="P835" i="11"/>
  <c r="AN835" i="11"/>
  <c r="Q835" i="11"/>
  <c r="AO835" i="11"/>
  <c r="R835" i="11"/>
  <c r="AP835" i="11"/>
  <c r="S835" i="11"/>
  <c r="AQ835" i="11"/>
  <c r="T835" i="11"/>
  <c r="AR835" i="11"/>
  <c r="U835" i="11"/>
  <c r="AS835" i="11"/>
  <c r="V835" i="11"/>
  <c r="AT835" i="11"/>
  <c r="W835" i="11"/>
  <c r="AU835" i="11"/>
  <c r="X835" i="11"/>
  <c r="AV835" i="11"/>
  <c r="Y835" i="11"/>
  <c r="AW835" i="11"/>
  <c r="Z835" i="11"/>
  <c r="AC836" i="11"/>
  <c r="F836" i="11"/>
  <c r="AD836" i="11"/>
  <c r="G836" i="11"/>
  <c r="AE836" i="11"/>
  <c r="H836" i="11"/>
  <c r="AF836" i="11"/>
  <c r="I836" i="11"/>
  <c r="AG836" i="11"/>
  <c r="J836" i="11"/>
  <c r="AH836" i="11"/>
  <c r="K836" i="11"/>
  <c r="AI836" i="11"/>
  <c r="L836" i="11"/>
  <c r="AJ836" i="11"/>
  <c r="M836" i="11"/>
  <c r="AK836" i="11"/>
  <c r="N836" i="11"/>
  <c r="AL836" i="11"/>
  <c r="O836" i="11"/>
  <c r="AM836" i="11"/>
  <c r="P836" i="11"/>
  <c r="AN836" i="11"/>
  <c r="Q836" i="11"/>
  <c r="AO836" i="11"/>
  <c r="R836" i="11"/>
  <c r="AP836" i="11"/>
  <c r="S836" i="11"/>
  <c r="AQ836" i="11"/>
  <c r="T836" i="11"/>
  <c r="AR836" i="11"/>
  <c r="U836" i="11"/>
  <c r="AS836" i="11"/>
  <c r="V836" i="11"/>
  <c r="AT836" i="11"/>
  <c r="W836" i="11"/>
  <c r="AU836" i="11"/>
  <c r="X836" i="11"/>
  <c r="AV836" i="11"/>
  <c r="Y836" i="11"/>
  <c r="AW836" i="11"/>
  <c r="Z836" i="11"/>
  <c r="AC837" i="11"/>
  <c r="F837" i="11"/>
  <c r="AD837" i="11"/>
  <c r="G837" i="11"/>
  <c r="AE837" i="11"/>
  <c r="H837" i="11"/>
  <c r="AF837" i="11"/>
  <c r="I837" i="11"/>
  <c r="AG837" i="11"/>
  <c r="J837" i="11"/>
  <c r="AH837" i="11"/>
  <c r="K837" i="11"/>
  <c r="AI837" i="11"/>
  <c r="L837" i="11"/>
  <c r="AJ837" i="11"/>
  <c r="M837" i="11"/>
  <c r="AK837" i="11"/>
  <c r="N837" i="11"/>
  <c r="AL837" i="11"/>
  <c r="O837" i="11"/>
  <c r="AM837" i="11"/>
  <c r="P837" i="11"/>
  <c r="AN837" i="11"/>
  <c r="Q837" i="11"/>
  <c r="AO837" i="11"/>
  <c r="R837" i="11"/>
  <c r="AP837" i="11"/>
  <c r="S837" i="11"/>
  <c r="AQ837" i="11"/>
  <c r="T837" i="11"/>
  <c r="AR837" i="11"/>
  <c r="U837" i="11"/>
  <c r="AS837" i="11"/>
  <c r="V837" i="11"/>
  <c r="AT837" i="11"/>
  <c r="W837" i="11"/>
  <c r="AU837" i="11"/>
  <c r="X837" i="11"/>
  <c r="AV837" i="11"/>
  <c r="Y837" i="11"/>
  <c r="AW837" i="11"/>
  <c r="Z837" i="11"/>
  <c r="AC838" i="11"/>
  <c r="F838" i="11"/>
  <c r="AD838" i="11"/>
  <c r="G838" i="11"/>
  <c r="AE838" i="11"/>
  <c r="H838" i="11"/>
  <c r="AF838" i="11"/>
  <c r="I838" i="11"/>
  <c r="AG838" i="11"/>
  <c r="J838" i="11"/>
  <c r="AH838" i="11"/>
  <c r="K838" i="11"/>
  <c r="AI838" i="11"/>
  <c r="L838" i="11"/>
  <c r="AJ838" i="11"/>
  <c r="M838" i="11"/>
  <c r="AK838" i="11"/>
  <c r="N838" i="11"/>
  <c r="AL838" i="11"/>
  <c r="O838" i="11"/>
  <c r="AM838" i="11"/>
  <c r="P838" i="11"/>
  <c r="AN838" i="11"/>
  <c r="Q838" i="11"/>
  <c r="AO838" i="11"/>
  <c r="R838" i="11"/>
  <c r="AP838" i="11"/>
  <c r="S838" i="11"/>
  <c r="AQ838" i="11"/>
  <c r="T838" i="11"/>
  <c r="AR838" i="11"/>
  <c r="U838" i="11"/>
  <c r="AS838" i="11"/>
  <c r="V838" i="11"/>
  <c r="AT838" i="11"/>
  <c r="W838" i="11"/>
  <c r="AU838" i="11"/>
  <c r="X838" i="11"/>
  <c r="AV838" i="11"/>
  <c r="Y838" i="11"/>
  <c r="AW838" i="11"/>
  <c r="Z838" i="11"/>
  <c r="AC839" i="11"/>
  <c r="F839" i="11"/>
  <c r="AD839" i="11"/>
  <c r="G839" i="11"/>
  <c r="AE839" i="11"/>
  <c r="H839" i="11"/>
  <c r="AF839" i="11"/>
  <c r="I839" i="11"/>
  <c r="AG839" i="11"/>
  <c r="J839" i="11"/>
  <c r="AH839" i="11"/>
  <c r="K839" i="11"/>
  <c r="AI839" i="11"/>
  <c r="L839" i="11"/>
  <c r="AJ839" i="11"/>
  <c r="M839" i="11"/>
  <c r="AK839" i="11"/>
  <c r="N839" i="11"/>
  <c r="AL839" i="11"/>
  <c r="O839" i="11"/>
  <c r="AM839" i="11"/>
  <c r="P839" i="11"/>
  <c r="AN839" i="11"/>
  <c r="Q839" i="11"/>
  <c r="AO839" i="11"/>
  <c r="R839" i="11"/>
  <c r="AP839" i="11"/>
  <c r="S839" i="11"/>
  <c r="AQ839" i="11"/>
  <c r="T839" i="11"/>
  <c r="AR839" i="11"/>
  <c r="U839" i="11"/>
  <c r="AS839" i="11"/>
  <c r="V839" i="11"/>
  <c r="AT839" i="11"/>
  <c r="W839" i="11"/>
  <c r="AU839" i="11"/>
  <c r="X839" i="11"/>
  <c r="AV839" i="11"/>
  <c r="Y839" i="11"/>
  <c r="AW839" i="11"/>
  <c r="Z839" i="11"/>
  <c r="AC840" i="11"/>
  <c r="F840" i="11"/>
  <c r="AD840" i="11"/>
  <c r="G840" i="11"/>
  <c r="AE840" i="11"/>
  <c r="H840" i="11"/>
  <c r="AF840" i="11"/>
  <c r="I840" i="11"/>
  <c r="AG840" i="11"/>
  <c r="J840" i="11"/>
  <c r="AH840" i="11"/>
  <c r="K840" i="11"/>
  <c r="AI840" i="11"/>
  <c r="L840" i="11"/>
  <c r="AJ840" i="11"/>
  <c r="M840" i="11"/>
  <c r="AK840" i="11"/>
  <c r="N840" i="11"/>
  <c r="AL840" i="11"/>
  <c r="O840" i="11"/>
  <c r="AM840" i="11"/>
  <c r="P840" i="11"/>
  <c r="AN840" i="11"/>
  <c r="Q840" i="11"/>
  <c r="AO840" i="11"/>
  <c r="R840" i="11"/>
  <c r="AP840" i="11"/>
  <c r="S840" i="11"/>
  <c r="AQ840" i="11"/>
  <c r="T840" i="11"/>
  <c r="AR840" i="11"/>
  <c r="U840" i="11"/>
  <c r="AS840" i="11"/>
  <c r="V840" i="11"/>
  <c r="AT840" i="11"/>
  <c r="W840" i="11"/>
  <c r="AU840" i="11"/>
  <c r="X840" i="11"/>
  <c r="AV840" i="11"/>
  <c r="Y840" i="11"/>
  <c r="AW840" i="11"/>
  <c r="Z840" i="11"/>
  <c r="AC841" i="11"/>
  <c r="F841" i="11"/>
  <c r="AD841" i="11"/>
  <c r="G841" i="11"/>
  <c r="AE841" i="11"/>
  <c r="H841" i="11"/>
  <c r="AF841" i="11"/>
  <c r="I841" i="11"/>
  <c r="AG841" i="11"/>
  <c r="J841" i="11"/>
  <c r="AH841" i="11"/>
  <c r="K841" i="11"/>
  <c r="AI841" i="11"/>
  <c r="L841" i="11"/>
  <c r="AJ841" i="11"/>
  <c r="M841" i="11"/>
  <c r="AK841" i="11"/>
  <c r="N841" i="11"/>
  <c r="AL841" i="11"/>
  <c r="O841" i="11"/>
  <c r="AM841" i="11"/>
  <c r="P841" i="11"/>
  <c r="AN841" i="11"/>
  <c r="Q841" i="11"/>
  <c r="AO841" i="11"/>
  <c r="R841" i="11"/>
  <c r="AP841" i="11"/>
  <c r="S841" i="11"/>
  <c r="AQ841" i="11"/>
  <c r="T841" i="11"/>
  <c r="AR841" i="11"/>
  <c r="U841" i="11"/>
  <c r="AS841" i="11"/>
  <c r="V841" i="11"/>
  <c r="AT841" i="11"/>
  <c r="W841" i="11"/>
  <c r="AU841" i="11"/>
  <c r="X841" i="11"/>
  <c r="AV841" i="11"/>
  <c r="Y841" i="11"/>
  <c r="AW841" i="11"/>
  <c r="Z841" i="11"/>
  <c r="AC842" i="11"/>
  <c r="F842" i="11"/>
  <c r="AD842" i="11"/>
  <c r="G842" i="11"/>
  <c r="AE842" i="11"/>
  <c r="H842" i="11"/>
  <c r="AF842" i="11"/>
  <c r="I842" i="11"/>
  <c r="AG842" i="11"/>
  <c r="J842" i="11"/>
  <c r="AH842" i="11"/>
  <c r="K842" i="11"/>
  <c r="AI842" i="11"/>
  <c r="L842" i="11"/>
  <c r="AJ842" i="11"/>
  <c r="M842" i="11"/>
  <c r="AK842" i="11"/>
  <c r="N842" i="11"/>
  <c r="AL842" i="11"/>
  <c r="O842" i="11"/>
  <c r="AM842" i="11"/>
  <c r="P842" i="11"/>
  <c r="AN842" i="11"/>
  <c r="Q842" i="11"/>
  <c r="AO842" i="11"/>
  <c r="R842" i="11"/>
  <c r="AP842" i="11"/>
  <c r="S842" i="11"/>
  <c r="AQ842" i="11"/>
  <c r="T842" i="11"/>
  <c r="AR842" i="11"/>
  <c r="U842" i="11"/>
  <c r="AS842" i="11"/>
  <c r="V842" i="11"/>
  <c r="AT842" i="11"/>
  <c r="W842" i="11"/>
  <c r="AU842" i="11"/>
  <c r="X842" i="11"/>
  <c r="AV842" i="11"/>
  <c r="Y842" i="11"/>
  <c r="AW842" i="11"/>
  <c r="Z842" i="11"/>
  <c r="AC843" i="11"/>
  <c r="F843" i="11"/>
  <c r="AD843" i="11"/>
  <c r="G843" i="11"/>
  <c r="AE843" i="11"/>
  <c r="H843" i="11"/>
  <c r="AF843" i="11"/>
  <c r="I843" i="11"/>
  <c r="AG843" i="11"/>
  <c r="J843" i="11"/>
  <c r="AH843" i="11"/>
  <c r="K843" i="11"/>
  <c r="AI843" i="11"/>
  <c r="L843" i="11"/>
  <c r="AJ843" i="11"/>
  <c r="M843" i="11"/>
  <c r="AK843" i="11"/>
  <c r="N843" i="11"/>
  <c r="AL843" i="11"/>
  <c r="O843" i="11"/>
  <c r="AM843" i="11"/>
  <c r="P843" i="11"/>
  <c r="AN843" i="11"/>
  <c r="Q843" i="11"/>
  <c r="AO843" i="11"/>
  <c r="R843" i="11"/>
  <c r="AP843" i="11"/>
  <c r="S843" i="11"/>
  <c r="AQ843" i="11"/>
  <c r="T843" i="11"/>
  <c r="AR843" i="11"/>
  <c r="U843" i="11"/>
  <c r="AS843" i="11"/>
  <c r="V843" i="11"/>
  <c r="AT843" i="11"/>
  <c r="W843" i="11"/>
  <c r="AU843" i="11"/>
  <c r="X843" i="11"/>
  <c r="AV843" i="11"/>
  <c r="Y843" i="11"/>
  <c r="AW843" i="11"/>
  <c r="Z843" i="11"/>
  <c r="AC844" i="11"/>
  <c r="F844" i="11"/>
  <c r="AD844" i="11"/>
  <c r="G844" i="11"/>
  <c r="AE844" i="11"/>
  <c r="H844" i="11"/>
  <c r="AF844" i="11"/>
  <c r="I844" i="11"/>
  <c r="AG844" i="11"/>
  <c r="J844" i="11"/>
  <c r="AH844" i="11"/>
  <c r="K844" i="11"/>
  <c r="AI844" i="11"/>
  <c r="L844" i="11"/>
  <c r="AJ844" i="11"/>
  <c r="M844" i="11"/>
  <c r="AK844" i="11"/>
  <c r="N844" i="11"/>
  <c r="AL844" i="11"/>
  <c r="O844" i="11"/>
  <c r="AM844" i="11"/>
  <c r="P844" i="11"/>
  <c r="AN844" i="11"/>
  <c r="Q844" i="11"/>
  <c r="AO844" i="11"/>
  <c r="R844" i="11"/>
  <c r="AP844" i="11"/>
  <c r="S844" i="11"/>
  <c r="AQ844" i="11"/>
  <c r="T844" i="11"/>
  <c r="AR844" i="11"/>
  <c r="U844" i="11"/>
  <c r="AS844" i="11"/>
  <c r="V844" i="11"/>
  <c r="AT844" i="11"/>
  <c r="W844" i="11"/>
  <c r="AU844" i="11"/>
  <c r="X844" i="11"/>
  <c r="AV844" i="11"/>
  <c r="Y844" i="11"/>
  <c r="AW844" i="11"/>
  <c r="Z844" i="11"/>
  <c r="AC845" i="11"/>
  <c r="F845" i="11"/>
  <c r="AD845" i="11"/>
  <c r="G845" i="11"/>
  <c r="AE845" i="11"/>
  <c r="H845" i="11"/>
  <c r="AF845" i="11"/>
  <c r="I845" i="11"/>
  <c r="AG845" i="11"/>
  <c r="J845" i="11"/>
  <c r="AH845" i="11"/>
  <c r="K845" i="11"/>
  <c r="AI845" i="11"/>
  <c r="L845" i="11"/>
  <c r="AJ845" i="11"/>
  <c r="M845" i="11"/>
  <c r="AK845" i="11"/>
  <c r="N845" i="11"/>
  <c r="AL845" i="11"/>
  <c r="O845" i="11"/>
  <c r="AM845" i="11"/>
  <c r="P845" i="11"/>
  <c r="AN845" i="11"/>
  <c r="Q845" i="11"/>
  <c r="AO845" i="11"/>
  <c r="R845" i="11"/>
  <c r="AP845" i="11"/>
  <c r="S845" i="11"/>
  <c r="AQ845" i="11"/>
  <c r="T845" i="11"/>
  <c r="AR845" i="11"/>
  <c r="U845" i="11"/>
  <c r="AS845" i="11"/>
  <c r="V845" i="11"/>
  <c r="AT845" i="11"/>
  <c r="W845" i="11"/>
  <c r="AU845" i="11"/>
  <c r="X845" i="11"/>
  <c r="AV845" i="11"/>
  <c r="Y845" i="11"/>
  <c r="AW845" i="11"/>
  <c r="Z845" i="11"/>
  <c r="AC846" i="11"/>
  <c r="F846" i="11"/>
  <c r="AD846" i="11"/>
  <c r="G846" i="11"/>
  <c r="AE846" i="11"/>
  <c r="H846" i="11"/>
  <c r="AF846" i="11"/>
  <c r="I846" i="11"/>
  <c r="AG846" i="11"/>
  <c r="J846" i="11"/>
  <c r="AH846" i="11"/>
  <c r="K846" i="11"/>
  <c r="AI846" i="11"/>
  <c r="L846" i="11"/>
  <c r="AJ846" i="11"/>
  <c r="M846" i="11"/>
  <c r="AK846" i="11"/>
  <c r="N846" i="11"/>
  <c r="AL846" i="11"/>
  <c r="O846" i="11"/>
  <c r="AM846" i="11"/>
  <c r="P846" i="11"/>
  <c r="AN846" i="11"/>
  <c r="Q846" i="11"/>
  <c r="AO846" i="11"/>
  <c r="R846" i="11"/>
  <c r="AP846" i="11"/>
  <c r="S846" i="11"/>
  <c r="AQ846" i="11"/>
  <c r="T846" i="11"/>
  <c r="AR846" i="11"/>
  <c r="U846" i="11"/>
  <c r="AS846" i="11"/>
  <c r="V846" i="11"/>
  <c r="AT846" i="11"/>
  <c r="W846" i="11"/>
  <c r="AU846" i="11"/>
  <c r="X846" i="11"/>
  <c r="AV846" i="11"/>
  <c r="Y846" i="11"/>
  <c r="AW846" i="11"/>
  <c r="Z846" i="11"/>
  <c r="AC847" i="11"/>
  <c r="F847" i="11"/>
  <c r="AD847" i="11"/>
  <c r="G847" i="11"/>
  <c r="AE847" i="11"/>
  <c r="H847" i="11"/>
  <c r="AF847" i="11"/>
  <c r="I847" i="11"/>
  <c r="AG847" i="11"/>
  <c r="J847" i="11"/>
  <c r="AH847" i="11"/>
  <c r="K847" i="11"/>
  <c r="AI847" i="11"/>
  <c r="L847" i="11"/>
  <c r="AJ847" i="11"/>
  <c r="M847" i="11"/>
  <c r="AK847" i="11"/>
  <c r="N847" i="11"/>
  <c r="AL847" i="11"/>
  <c r="O847" i="11"/>
  <c r="AM847" i="11"/>
  <c r="P847" i="11"/>
  <c r="AN847" i="11"/>
  <c r="Q847" i="11"/>
  <c r="AO847" i="11"/>
  <c r="R847" i="11"/>
  <c r="AP847" i="11"/>
  <c r="S847" i="11"/>
  <c r="AQ847" i="11"/>
  <c r="T847" i="11"/>
  <c r="AR847" i="11"/>
  <c r="U847" i="11"/>
  <c r="AS847" i="11"/>
  <c r="V847" i="11"/>
  <c r="AT847" i="11"/>
  <c r="W847" i="11"/>
  <c r="AU847" i="11"/>
  <c r="X847" i="11"/>
  <c r="AV847" i="11"/>
  <c r="Y847" i="11"/>
  <c r="AW847" i="11"/>
  <c r="Z847" i="11"/>
  <c r="AC848" i="11"/>
  <c r="F848" i="11"/>
  <c r="AD848" i="11"/>
  <c r="G848" i="11"/>
  <c r="AE848" i="11"/>
  <c r="H848" i="11"/>
  <c r="AF848" i="11"/>
  <c r="I848" i="11"/>
  <c r="AG848" i="11"/>
  <c r="J848" i="11"/>
  <c r="AH848" i="11"/>
  <c r="K848" i="11"/>
  <c r="AI848" i="11"/>
  <c r="L848" i="11"/>
  <c r="AJ848" i="11"/>
  <c r="M848" i="11"/>
  <c r="AK848" i="11"/>
  <c r="N848" i="11"/>
  <c r="AL848" i="11"/>
  <c r="O848" i="11"/>
  <c r="AM848" i="11"/>
  <c r="P848" i="11"/>
  <c r="AN848" i="11"/>
  <c r="Q848" i="11"/>
  <c r="AO848" i="11"/>
  <c r="R848" i="11"/>
  <c r="AP848" i="11"/>
  <c r="S848" i="11"/>
  <c r="AQ848" i="11"/>
  <c r="T848" i="11"/>
  <c r="AR848" i="11"/>
  <c r="U848" i="11"/>
  <c r="AS848" i="11"/>
  <c r="V848" i="11"/>
  <c r="AT848" i="11"/>
  <c r="W848" i="11"/>
  <c r="AU848" i="11"/>
  <c r="X848" i="11"/>
  <c r="AV848" i="11"/>
  <c r="Y848" i="11"/>
  <c r="AW848" i="11"/>
  <c r="Z848" i="11"/>
  <c r="AC849" i="11"/>
  <c r="F849" i="11"/>
  <c r="AD849" i="11"/>
  <c r="G849" i="11"/>
  <c r="AE849" i="11"/>
  <c r="H849" i="11"/>
  <c r="AF849" i="11"/>
  <c r="I849" i="11"/>
  <c r="AG849" i="11"/>
  <c r="J849" i="11"/>
  <c r="AH849" i="11"/>
  <c r="K849" i="11"/>
  <c r="AI849" i="11"/>
  <c r="L849" i="11"/>
  <c r="AJ849" i="11"/>
  <c r="M849" i="11"/>
  <c r="AK849" i="11"/>
  <c r="N849" i="11"/>
  <c r="AL849" i="11"/>
  <c r="O849" i="11"/>
  <c r="AM849" i="11"/>
  <c r="P849" i="11"/>
  <c r="AN849" i="11"/>
  <c r="Q849" i="11"/>
  <c r="AO849" i="11"/>
  <c r="R849" i="11"/>
  <c r="AP849" i="11"/>
  <c r="S849" i="11"/>
  <c r="AQ849" i="11"/>
  <c r="T849" i="11"/>
  <c r="AR849" i="11"/>
  <c r="U849" i="11"/>
  <c r="AS849" i="11"/>
  <c r="V849" i="11"/>
  <c r="AT849" i="11"/>
  <c r="W849" i="11"/>
  <c r="AU849" i="11"/>
  <c r="X849" i="11"/>
  <c r="AV849" i="11"/>
  <c r="Y849" i="11"/>
  <c r="AW849" i="11"/>
  <c r="Z849" i="11"/>
  <c r="AC850" i="11"/>
  <c r="F850" i="11"/>
  <c r="AD850" i="11"/>
  <c r="G850" i="11"/>
  <c r="AE850" i="11"/>
  <c r="H850" i="11"/>
  <c r="AF850" i="11"/>
  <c r="I850" i="11"/>
  <c r="AG850" i="11"/>
  <c r="J850" i="11"/>
  <c r="AH850" i="11"/>
  <c r="K850" i="11"/>
  <c r="AI850" i="11"/>
  <c r="L850" i="11"/>
  <c r="AJ850" i="11"/>
  <c r="M850" i="11"/>
  <c r="AK850" i="11"/>
  <c r="N850" i="11"/>
  <c r="AL850" i="11"/>
  <c r="O850" i="11"/>
  <c r="AM850" i="11"/>
  <c r="P850" i="11"/>
  <c r="AN850" i="11"/>
  <c r="Q850" i="11"/>
  <c r="AO850" i="11"/>
  <c r="R850" i="11"/>
  <c r="AP850" i="11"/>
  <c r="S850" i="11"/>
  <c r="AQ850" i="11"/>
  <c r="T850" i="11"/>
  <c r="AR850" i="11"/>
  <c r="U850" i="11"/>
  <c r="AS850" i="11"/>
  <c r="V850" i="11"/>
  <c r="AT850" i="11"/>
  <c r="W850" i="11"/>
  <c r="AU850" i="11"/>
  <c r="X850" i="11"/>
  <c r="AV850" i="11"/>
  <c r="Y850" i="11"/>
  <c r="AW850" i="11"/>
  <c r="Z850" i="11"/>
  <c r="AC851" i="11"/>
  <c r="F851" i="11"/>
  <c r="AD851" i="11"/>
  <c r="G851" i="11"/>
  <c r="AE851" i="11"/>
  <c r="H851" i="11"/>
  <c r="AF851" i="11"/>
  <c r="I851" i="11"/>
  <c r="AG851" i="11"/>
  <c r="J851" i="11"/>
  <c r="AH851" i="11"/>
  <c r="K851" i="11"/>
  <c r="AI851" i="11"/>
  <c r="L851" i="11"/>
  <c r="AJ851" i="11"/>
  <c r="M851" i="11"/>
  <c r="AK851" i="11"/>
  <c r="N851" i="11"/>
  <c r="AL851" i="11"/>
  <c r="O851" i="11"/>
  <c r="AM851" i="11"/>
  <c r="P851" i="11"/>
  <c r="AN851" i="11"/>
  <c r="Q851" i="11"/>
  <c r="AO851" i="11"/>
  <c r="R851" i="11"/>
  <c r="AP851" i="11"/>
  <c r="S851" i="11"/>
  <c r="AQ851" i="11"/>
  <c r="T851" i="11"/>
  <c r="AR851" i="11"/>
  <c r="U851" i="11"/>
  <c r="AS851" i="11"/>
  <c r="V851" i="11"/>
  <c r="AT851" i="11"/>
  <c r="W851" i="11"/>
  <c r="AU851" i="11"/>
  <c r="X851" i="11"/>
  <c r="AV851" i="11"/>
  <c r="Y851" i="11"/>
  <c r="AW851" i="11"/>
  <c r="Z851" i="11"/>
  <c r="AC852" i="11"/>
  <c r="F852" i="11"/>
  <c r="AD852" i="11"/>
  <c r="G852" i="11"/>
  <c r="AE852" i="11"/>
  <c r="H852" i="11"/>
  <c r="AF852" i="11"/>
  <c r="I852" i="11"/>
  <c r="AG852" i="11"/>
  <c r="J852" i="11"/>
  <c r="AH852" i="11"/>
  <c r="K852" i="11"/>
  <c r="AI852" i="11"/>
  <c r="L852" i="11"/>
  <c r="AJ852" i="11"/>
  <c r="M852" i="11"/>
  <c r="AK852" i="11"/>
  <c r="N852" i="11"/>
  <c r="AL852" i="11"/>
  <c r="O852" i="11"/>
  <c r="AM852" i="11"/>
  <c r="P852" i="11"/>
  <c r="AN852" i="11"/>
  <c r="Q852" i="11"/>
  <c r="AO852" i="11"/>
  <c r="R852" i="11"/>
  <c r="AP852" i="11"/>
  <c r="S852" i="11"/>
  <c r="AQ852" i="11"/>
  <c r="T852" i="11"/>
  <c r="AR852" i="11"/>
  <c r="U852" i="11"/>
  <c r="AS852" i="11"/>
  <c r="V852" i="11"/>
  <c r="AT852" i="11"/>
  <c r="W852" i="11"/>
  <c r="AU852" i="11"/>
  <c r="X852" i="11"/>
  <c r="AV852" i="11"/>
  <c r="Y852" i="11"/>
  <c r="AW852" i="11"/>
  <c r="Z852" i="11"/>
  <c r="AC853" i="11"/>
  <c r="F853" i="11"/>
  <c r="AD853" i="11"/>
  <c r="G853" i="11"/>
  <c r="AE853" i="11"/>
  <c r="H853" i="11"/>
  <c r="AF853" i="11"/>
  <c r="I853" i="11"/>
  <c r="AG853" i="11"/>
  <c r="J853" i="11"/>
  <c r="AH853" i="11"/>
  <c r="K853" i="11"/>
  <c r="AI853" i="11"/>
  <c r="L853" i="11"/>
  <c r="AJ853" i="11"/>
  <c r="M853" i="11"/>
  <c r="AK853" i="11"/>
  <c r="N853" i="11"/>
  <c r="AL853" i="11"/>
  <c r="O853" i="11"/>
  <c r="AM853" i="11"/>
  <c r="P853" i="11"/>
  <c r="AN853" i="11"/>
  <c r="Q853" i="11"/>
  <c r="AO853" i="11"/>
  <c r="R853" i="11"/>
  <c r="AP853" i="11"/>
  <c r="S853" i="11"/>
  <c r="AQ853" i="11"/>
  <c r="T853" i="11"/>
  <c r="AR853" i="11"/>
  <c r="U853" i="11"/>
  <c r="AS853" i="11"/>
  <c r="V853" i="11"/>
  <c r="AT853" i="11"/>
  <c r="W853" i="11"/>
  <c r="AU853" i="11"/>
  <c r="X853" i="11"/>
  <c r="AV853" i="11"/>
  <c r="Y853" i="11"/>
  <c r="AW853" i="11"/>
  <c r="Z853" i="11"/>
  <c r="AC854" i="11"/>
  <c r="F854" i="11"/>
  <c r="AD854" i="11"/>
  <c r="G854" i="11"/>
  <c r="AE854" i="11"/>
  <c r="H854" i="11"/>
  <c r="AF854" i="11"/>
  <c r="I854" i="11"/>
  <c r="AG854" i="11"/>
  <c r="J854" i="11"/>
  <c r="AH854" i="11"/>
  <c r="K854" i="11"/>
  <c r="AI854" i="11"/>
  <c r="L854" i="11"/>
  <c r="AJ854" i="11"/>
  <c r="M854" i="11"/>
  <c r="AK854" i="11"/>
  <c r="N854" i="11"/>
  <c r="AL854" i="11"/>
  <c r="O854" i="11"/>
  <c r="AM854" i="11"/>
  <c r="P854" i="11"/>
  <c r="AN854" i="11"/>
  <c r="Q854" i="11"/>
  <c r="AO854" i="11"/>
  <c r="R854" i="11"/>
  <c r="AP854" i="11"/>
  <c r="S854" i="11"/>
  <c r="AQ854" i="11"/>
  <c r="T854" i="11"/>
  <c r="AR854" i="11"/>
  <c r="U854" i="11"/>
  <c r="AS854" i="11"/>
  <c r="V854" i="11"/>
  <c r="AT854" i="11"/>
  <c r="W854" i="11"/>
  <c r="AU854" i="11"/>
  <c r="X854" i="11"/>
  <c r="AV854" i="11"/>
  <c r="Y854" i="11"/>
  <c r="AW854" i="11"/>
  <c r="Z854" i="11"/>
  <c r="AC855" i="11"/>
  <c r="F855" i="11"/>
  <c r="AD855" i="11"/>
  <c r="G855" i="11"/>
  <c r="AE855" i="11"/>
  <c r="H855" i="11"/>
  <c r="AF855" i="11"/>
  <c r="I855" i="11"/>
  <c r="AG855" i="11"/>
  <c r="J855" i="11"/>
  <c r="AH855" i="11"/>
  <c r="K855" i="11"/>
  <c r="AI855" i="11"/>
  <c r="L855" i="11"/>
  <c r="AJ855" i="11"/>
  <c r="M855" i="11"/>
  <c r="AK855" i="11"/>
  <c r="N855" i="11"/>
  <c r="AL855" i="11"/>
  <c r="O855" i="11"/>
  <c r="AM855" i="11"/>
  <c r="P855" i="11"/>
  <c r="AN855" i="11"/>
  <c r="Q855" i="11"/>
  <c r="AO855" i="11"/>
  <c r="R855" i="11"/>
  <c r="AP855" i="11"/>
  <c r="S855" i="11"/>
  <c r="AQ855" i="11"/>
  <c r="T855" i="11"/>
  <c r="AR855" i="11"/>
  <c r="U855" i="11"/>
  <c r="AS855" i="11"/>
  <c r="V855" i="11"/>
  <c r="AT855" i="11"/>
  <c r="W855" i="11"/>
  <c r="AU855" i="11"/>
  <c r="X855" i="11"/>
  <c r="AV855" i="11"/>
  <c r="Y855" i="11"/>
  <c r="AW855" i="11"/>
  <c r="Z855" i="11"/>
  <c r="AC856" i="11"/>
  <c r="F856" i="11"/>
  <c r="AD856" i="11"/>
  <c r="G856" i="11"/>
  <c r="AE856" i="11"/>
  <c r="H856" i="11"/>
  <c r="AF856" i="11"/>
  <c r="I856" i="11"/>
  <c r="AG856" i="11"/>
  <c r="J856" i="11"/>
  <c r="AH856" i="11"/>
  <c r="K856" i="11"/>
  <c r="AI856" i="11"/>
  <c r="L856" i="11"/>
  <c r="AJ856" i="11"/>
  <c r="M856" i="11"/>
  <c r="AK856" i="11"/>
  <c r="N856" i="11"/>
  <c r="AL856" i="11"/>
  <c r="O856" i="11"/>
  <c r="AM856" i="11"/>
  <c r="P856" i="11"/>
  <c r="AN856" i="11"/>
  <c r="Q856" i="11"/>
  <c r="AO856" i="11"/>
  <c r="R856" i="11"/>
  <c r="AP856" i="11"/>
  <c r="S856" i="11"/>
  <c r="AQ856" i="11"/>
  <c r="T856" i="11"/>
  <c r="AR856" i="11"/>
  <c r="U856" i="11"/>
  <c r="AS856" i="11"/>
  <c r="V856" i="11"/>
  <c r="AT856" i="11"/>
  <c r="W856" i="11"/>
  <c r="AU856" i="11"/>
  <c r="X856" i="11"/>
  <c r="AV856" i="11"/>
  <c r="Y856" i="11"/>
  <c r="AW856" i="11"/>
  <c r="Z856" i="11"/>
  <c r="AC857" i="11"/>
  <c r="F857" i="11"/>
  <c r="AD857" i="11"/>
  <c r="G857" i="11"/>
  <c r="AE857" i="11"/>
  <c r="H857" i="11"/>
  <c r="AF857" i="11"/>
  <c r="I857" i="11"/>
  <c r="AG857" i="11"/>
  <c r="J857" i="11"/>
  <c r="AH857" i="11"/>
  <c r="K857" i="11"/>
  <c r="AI857" i="11"/>
  <c r="L857" i="11"/>
  <c r="AJ857" i="11"/>
  <c r="M857" i="11"/>
  <c r="AK857" i="11"/>
  <c r="N857" i="11"/>
  <c r="AL857" i="11"/>
  <c r="O857" i="11"/>
  <c r="AM857" i="11"/>
  <c r="P857" i="11"/>
  <c r="AN857" i="11"/>
  <c r="Q857" i="11"/>
  <c r="AO857" i="11"/>
  <c r="R857" i="11"/>
  <c r="AP857" i="11"/>
  <c r="S857" i="11"/>
  <c r="AQ857" i="11"/>
  <c r="T857" i="11"/>
  <c r="AR857" i="11"/>
  <c r="U857" i="11"/>
  <c r="AS857" i="11"/>
  <c r="V857" i="11"/>
  <c r="AT857" i="11"/>
  <c r="W857" i="11"/>
  <c r="AU857" i="11"/>
  <c r="X857" i="11"/>
  <c r="AV857" i="11"/>
  <c r="Y857" i="11"/>
  <c r="AW857" i="11"/>
  <c r="Z857" i="11"/>
  <c r="AC858" i="11"/>
  <c r="F858" i="11"/>
  <c r="AD858" i="11"/>
  <c r="G858" i="11"/>
  <c r="AE858" i="11"/>
  <c r="H858" i="11"/>
  <c r="AF858" i="11"/>
  <c r="I858" i="11"/>
  <c r="AG858" i="11"/>
  <c r="J858" i="11"/>
  <c r="AH858" i="11"/>
  <c r="K858" i="11"/>
  <c r="AI858" i="11"/>
  <c r="L858" i="11"/>
  <c r="AJ858" i="11"/>
  <c r="M858" i="11"/>
  <c r="AK858" i="11"/>
  <c r="N858" i="11"/>
  <c r="AL858" i="11"/>
  <c r="O858" i="11"/>
  <c r="AM858" i="11"/>
  <c r="P858" i="11"/>
  <c r="AN858" i="11"/>
  <c r="Q858" i="11"/>
  <c r="AO858" i="11"/>
  <c r="R858" i="11"/>
  <c r="AP858" i="11"/>
  <c r="S858" i="11"/>
  <c r="AQ858" i="11"/>
  <c r="T858" i="11"/>
  <c r="AR858" i="11"/>
  <c r="U858" i="11"/>
  <c r="AS858" i="11"/>
  <c r="V858" i="11"/>
  <c r="AT858" i="11"/>
  <c r="W858" i="11"/>
  <c r="AU858" i="11"/>
  <c r="X858" i="11"/>
  <c r="AV858" i="11"/>
  <c r="Y858" i="11"/>
  <c r="AW858" i="11"/>
  <c r="Z858" i="11"/>
  <c r="AC859" i="11"/>
  <c r="F859" i="11"/>
  <c r="AD859" i="11"/>
  <c r="G859" i="11"/>
  <c r="AE859" i="11"/>
  <c r="H859" i="11"/>
  <c r="AF859" i="11"/>
  <c r="I859" i="11"/>
  <c r="AG859" i="11"/>
  <c r="J859" i="11"/>
  <c r="AH859" i="11"/>
  <c r="K859" i="11"/>
  <c r="AI859" i="11"/>
  <c r="L859" i="11"/>
  <c r="AJ859" i="11"/>
  <c r="M859" i="11"/>
  <c r="AK859" i="11"/>
  <c r="N859" i="11"/>
  <c r="AL859" i="11"/>
  <c r="O859" i="11"/>
  <c r="AM859" i="11"/>
  <c r="P859" i="11"/>
  <c r="AN859" i="11"/>
  <c r="Q859" i="11"/>
  <c r="AO859" i="11"/>
  <c r="R859" i="11"/>
  <c r="AP859" i="11"/>
  <c r="S859" i="11"/>
  <c r="AQ859" i="11"/>
  <c r="T859" i="11"/>
  <c r="AR859" i="11"/>
  <c r="U859" i="11"/>
  <c r="AS859" i="11"/>
  <c r="V859" i="11"/>
  <c r="AT859" i="11"/>
  <c r="W859" i="11"/>
  <c r="AU859" i="11"/>
  <c r="X859" i="11"/>
  <c r="AV859" i="11"/>
  <c r="Y859" i="11"/>
  <c r="AW859" i="11"/>
  <c r="Z859" i="11"/>
  <c r="AC860" i="11"/>
  <c r="F860" i="11"/>
  <c r="AD860" i="11"/>
  <c r="G860" i="11"/>
  <c r="AE860" i="11"/>
  <c r="H860" i="11"/>
  <c r="AF860" i="11"/>
  <c r="I860" i="11"/>
  <c r="AG860" i="11"/>
  <c r="J860" i="11"/>
  <c r="AH860" i="11"/>
  <c r="K860" i="11"/>
  <c r="AI860" i="11"/>
  <c r="L860" i="11"/>
  <c r="AJ860" i="11"/>
  <c r="M860" i="11"/>
  <c r="AK860" i="11"/>
  <c r="N860" i="11"/>
  <c r="AL860" i="11"/>
  <c r="O860" i="11"/>
  <c r="AM860" i="11"/>
  <c r="P860" i="11"/>
  <c r="AN860" i="11"/>
  <c r="Q860" i="11"/>
  <c r="AO860" i="11"/>
  <c r="R860" i="11"/>
  <c r="AP860" i="11"/>
  <c r="S860" i="11"/>
  <c r="AQ860" i="11"/>
  <c r="T860" i="11"/>
  <c r="AR860" i="11"/>
  <c r="U860" i="11"/>
  <c r="AS860" i="11"/>
  <c r="V860" i="11"/>
  <c r="AT860" i="11"/>
  <c r="W860" i="11"/>
  <c r="AU860" i="11"/>
  <c r="X860" i="11"/>
  <c r="AV860" i="11"/>
  <c r="Y860" i="11"/>
  <c r="AW860" i="11"/>
  <c r="Z860" i="11"/>
  <c r="AC861" i="11"/>
  <c r="F861" i="11"/>
  <c r="AD861" i="11"/>
  <c r="G861" i="11"/>
  <c r="AE861" i="11"/>
  <c r="H861" i="11"/>
  <c r="AF861" i="11"/>
  <c r="I861" i="11"/>
  <c r="AG861" i="11"/>
  <c r="J861" i="11"/>
  <c r="AH861" i="11"/>
  <c r="K861" i="11"/>
  <c r="AI861" i="11"/>
  <c r="L861" i="11"/>
  <c r="AJ861" i="11"/>
  <c r="M861" i="11"/>
  <c r="AK861" i="11"/>
  <c r="N861" i="11"/>
  <c r="AL861" i="11"/>
  <c r="O861" i="11"/>
  <c r="AM861" i="11"/>
  <c r="P861" i="11"/>
  <c r="AN861" i="11"/>
  <c r="Q861" i="11"/>
  <c r="AO861" i="11"/>
  <c r="R861" i="11"/>
  <c r="AP861" i="11"/>
  <c r="S861" i="11"/>
  <c r="AQ861" i="11"/>
  <c r="T861" i="11"/>
  <c r="AR861" i="11"/>
  <c r="U861" i="11"/>
  <c r="AS861" i="11"/>
  <c r="V861" i="11"/>
  <c r="AT861" i="11"/>
  <c r="W861" i="11"/>
  <c r="AU861" i="11"/>
  <c r="X861" i="11"/>
  <c r="AV861" i="11"/>
  <c r="Y861" i="11"/>
  <c r="AW861" i="11"/>
  <c r="Z861" i="11"/>
  <c r="AC862" i="11"/>
  <c r="F862" i="11"/>
  <c r="AD862" i="11"/>
  <c r="G862" i="11"/>
  <c r="AE862" i="11"/>
  <c r="H862" i="11"/>
  <c r="AF862" i="11"/>
  <c r="I862" i="11"/>
  <c r="AG862" i="11"/>
  <c r="J862" i="11"/>
  <c r="AH862" i="11"/>
  <c r="K862" i="11"/>
  <c r="AI862" i="11"/>
  <c r="L862" i="11"/>
  <c r="AJ862" i="11"/>
  <c r="M862" i="11"/>
  <c r="AK862" i="11"/>
  <c r="N862" i="11"/>
  <c r="AL862" i="11"/>
  <c r="O862" i="11"/>
  <c r="AM862" i="11"/>
  <c r="P862" i="11"/>
  <c r="AN862" i="11"/>
  <c r="Q862" i="11"/>
  <c r="AO862" i="11"/>
  <c r="R862" i="11"/>
  <c r="AP862" i="11"/>
  <c r="S862" i="11"/>
  <c r="AQ862" i="11"/>
  <c r="T862" i="11"/>
  <c r="AR862" i="11"/>
  <c r="U862" i="11"/>
  <c r="AS862" i="11"/>
  <c r="V862" i="11"/>
  <c r="AT862" i="11"/>
  <c r="W862" i="11"/>
  <c r="AU862" i="11"/>
  <c r="X862" i="11"/>
  <c r="AV862" i="11"/>
  <c r="Y862" i="11"/>
  <c r="AW862" i="11"/>
  <c r="Z862" i="11"/>
  <c r="AC863" i="11"/>
  <c r="F863" i="11"/>
  <c r="AD863" i="11"/>
  <c r="G863" i="11"/>
  <c r="AE863" i="11"/>
  <c r="H863" i="11"/>
  <c r="AF863" i="11"/>
  <c r="I863" i="11"/>
  <c r="AG863" i="11"/>
  <c r="J863" i="11"/>
  <c r="AH863" i="11"/>
  <c r="K863" i="11"/>
  <c r="AI863" i="11"/>
  <c r="L863" i="11"/>
  <c r="AJ863" i="11"/>
  <c r="M863" i="11"/>
  <c r="AK863" i="11"/>
  <c r="N863" i="11"/>
  <c r="AL863" i="11"/>
  <c r="O863" i="11"/>
  <c r="AM863" i="11"/>
  <c r="P863" i="11"/>
  <c r="AN863" i="11"/>
  <c r="Q863" i="11"/>
  <c r="AO863" i="11"/>
  <c r="R863" i="11"/>
  <c r="AP863" i="11"/>
  <c r="S863" i="11"/>
  <c r="AQ863" i="11"/>
  <c r="T863" i="11"/>
  <c r="AR863" i="11"/>
  <c r="U863" i="11"/>
  <c r="AS863" i="11"/>
  <c r="V863" i="11"/>
  <c r="AT863" i="11"/>
  <c r="W863" i="11"/>
  <c r="AU863" i="11"/>
  <c r="X863" i="11"/>
  <c r="AV863" i="11"/>
  <c r="Y863" i="11"/>
  <c r="AW863" i="11"/>
  <c r="Z863" i="11"/>
  <c r="AC864" i="11"/>
  <c r="F864" i="11"/>
  <c r="AD864" i="11"/>
  <c r="G864" i="11"/>
  <c r="AE864" i="11"/>
  <c r="H864" i="11"/>
  <c r="AF864" i="11"/>
  <c r="I864" i="11"/>
  <c r="AG864" i="11"/>
  <c r="J864" i="11"/>
  <c r="AH864" i="11"/>
  <c r="K864" i="11"/>
  <c r="AI864" i="11"/>
  <c r="L864" i="11"/>
  <c r="AJ864" i="11"/>
  <c r="M864" i="11"/>
  <c r="AK864" i="11"/>
  <c r="N864" i="11"/>
  <c r="AL864" i="11"/>
  <c r="O864" i="11"/>
  <c r="AM864" i="11"/>
  <c r="P864" i="11"/>
  <c r="AN864" i="11"/>
  <c r="Q864" i="11"/>
  <c r="AO864" i="11"/>
  <c r="R864" i="11"/>
  <c r="AP864" i="11"/>
  <c r="S864" i="11"/>
  <c r="AQ864" i="11"/>
  <c r="T864" i="11"/>
  <c r="AR864" i="11"/>
  <c r="U864" i="11"/>
  <c r="AS864" i="11"/>
  <c r="V864" i="11"/>
  <c r="AT864" i="11"/>
  <c r="W864" i="11"/>
  <c r="AU864" i="11"/>
  <c r="X864" i="11"/>
  <c r="AV864" i="11"/>
  <c r="Y864" i="11"/>
  <c r="AW864" i="11"/>
  <c r="Z864" i="11"/>
  <c r="AC865" i="11"/>
  <c r="F865" i="11"/>
  <c r="AD865" i="11"/>
  <c r="G865" i="11"/>
  <c r="AE865" i="11"/>
  <c r="H865" i="11"/>
  <c r="AF865" i="11"/>
  <c r="I865" i="11"/>
  <c r="AG865" i="11"/>
  <c r="J865" i="11"/>
  <c r="AH865" i="11"/>
  <c r="K865" i="11"/>
  <c r="AI865" i="11"/>
  <c r="L865" i="11"/>
  <c r="AJ865" i="11"/>
  <c r="M865" i="11"/>
  <c r="AK865" i="11"/>
  <c r="N865" i="11"/>
  <c r="AL865" i="11"/>
  <c r="O865" i="11"/>
  <c r="AM865" i="11"/>
  <c r="P865" i="11"/>
  <c r="AN865" i="11"/>
  <c r="Q865" i="11"/>
  <c r="AO865" i="11"/>
  <c r="R865" i="11"/>
  <c r="AP865" i="11"/>
  <c r="S865" i="11"/>
  <c r="AQ865" i="11"/>
  <c r="T865" i="11"/>
  <c r="AR865" i="11"/>
  <c r="U865" i="11"/>
  <c r="AS865" i="11"/>
  <c r="V865" i="11"/>
  <c r="AT865" i="11"/>
  <c r="W865" i="11"/>
  <c r="AU865" i="11"/>
  <c r="X865" i="11"/>
  <c r="AV865" i="11"/>
  <c r="Y865" i="11"/>
  <c r="AW865" i="11"/>
  <c r="Z865" i="11"/>
  <c r="AC866" i="11"/>
  <c r="F866" i="11"/>
  <c r="AD866" i="11"/>
  <c r="G866" i="11"/>
  <c r="AE866" i="11"/>
  <c r="H866" i="11"/>
  <c r="AF866" i="11"/>
  <c r="I866" i="11"/>
  <c r="AG866" i="11"/>
  <c r="J866" i="11"/>
  <c r="AH866" i="11"/>
  <c r="K866" i="11"/>
  <c r="AI866" i="11"/>
  <c r="L866" i="11"/>
  <c r="AJ866" i="11"/>
  <c r="M866" i="11"/>
  <c r="AK866" i="11"/>
  <c r="N866" i="11"/>
  <c r="AL866" i="11"/>
  <c r="O866" i="11"/>
  <c r="AM866" i="11"/>
  <c r="P866" i="11"/>
  <c r="AN866" i="11"/>
  <c r="Q866" i="11"/>
  <c r="AO866" i="11"/>
  <c r="R866" i="11"/>
  <c r="AP866" i="11"/>
  <c r="S866" i="11"/>
  <c r="AQ866" i="11"/>
  <c r="T866" i="11"/>
  <c r="AR866" i="11"/>
  <c r="U866" i="11"/>
  <c r="AS866" i="11"/>
  <c r="V866" i="11"/>
  <c r="AT866" i="11"/>
  <c r="W866" i="11"/>
  <c r="AU866" i="11"/>
  <c r="X866" i="11"/>
  <c r="AV866" i="11"/>
  <c r="Y866" i="11"/>
  <c r="AW866" i="11"/>
  <c r="Z866" i="11"/>
  <c r="AC867" i="11"/>
  <c r="F867" i="11"/>
  <c r="AD867" i="11"/>
  <c r="G867" i="11"/>
  <c r="AE867" i="11"/>
  <c r="H867" i="11"/>
  <c r="AF867" i="11"/>
  <c r="I867" i="11"/>
  <c r="AG867" i="11"/>
  <c r="J867" i="11"/>
  <c r="AH867" i="11"/>
  <c r="K867" i="11"/>
  <c r="AI867" i="11"/>
  <c r="L867" i="11"/>
  <c r="AJ867" i="11"/>
  <c r="M867" i="11"/>
  <c r="AK867" i="11"/>
  <c r="N867" i="11"/>
  <c r="AL867" i="11"/>
  <c r="O867" i="11"/>
  <c r="AM867" i="11"/>
  <c r="P867" i="11"/>
  <c r="AN867" i="11"/>
  <c r="Q867" i="11"/>
  <c r="AO867" i="11"/>
  <c r="R867" i="11"/>
  <c r="AP867" i="11"/>
  <c r="S867" i="11"/>
  <c r="AQ867" i="11"/>
  <c r="T867" i="11"/>
  <c r="AR867" i="11"/>
  <c r="U867" i="11"/>
  <c r="AS867" i="11"/>
  <c r="V867" i="11"/>
  <c r="AT867" i="11"/>
  <c r="W867" i="11"/>
  <c r="AU867" i="11"/>
  <c r="X867" i="11"/>
  <c r="AV867" i="11"/>
  <c r="Y867" i="11"/>
  <c r="AW867" i="11"/>
  <c r="Z867" i="11"/>
  <c r="AC868" i="11"/>
  <c r="F868" i="11"/>
  <c r="AD868" i="11"/>
  <c r="G868" i="11"/>
  <c r="AE868" i="11"/>
  <c r="H868" i="11"/>
  <c r="AF868" i="11"/>
  <c r="I868" i="11"/>
  <c r="AG868" i="11"/>
  <c r="J868" i="11"/>
  <c r="AH868" i="11"/>
  <c r="K868" i="11"/>
  <c r="AI868" i="11"/>
  <c r="L868" i="11"/>
  <c r="AJ868" i="11"/>
  <c r="M868" i="11"/>
  <c r="AK868" i="11"/>
  <c r="N868" i="11"/>
  <c r="AL868" i="11"/>
  <c r="O868" i="11"/>
  <c r="AM868" i="11"/>
  <c r="P868" i="11"/>
  <c r="AN868" i="11"/>
  <c r="Q868" i="11"/>
  <c r="AO868" i="11"/>
  <c r="R868" i="11"/>
  <c r="AP868" i="11"/>
  <c r="S868" i="11"/>
  <c r="AQ868" i="11"/>
  <c r="T868" i="11"/>
  <c r="AR868" i="11"/>
  <c r="U868" i="11"/>
  <c r="AS868" i="11"/>
  <c r="V868" i="11"/>
  <c r="AT868" i="11"/>
  <c r="W868" i="11"/>
  <c r="AU868" i="11"/>
  <c r="X868" i="11"/>
  <c r="AV868" i="11"/>
  <c r="Y868" i="11"/>
  <c r="AW868" i="11"/>
  <c r="Z868" i="11"/>
  <c r="AC869" i="11"/>
  <c r="F869" i="11"/>
  <c r="AD869" i="11"/>
  <c r="G869" i="11"/>
  <c r="AE869" i="11"/>
  <c r="H869" i="11"/>
  <c r="AF869" i="11"/>
  <c r="I869" i="11"/>
  <c r="AG869" i="11"/>
  <c r="J869" i="11"/>
  <c r="AH869" i="11"/>
  <c r="K869" i="11"/>
  <c r="AI869" i="11"/>
  <c r="L869" i="11"/>
  <c r="AJ869" i="11"/>
  <c r="M869" i="11"/>
  <c r="AK869" i="11"/>
  <c r="N869" i="11"/>
  <c r="AL869" i="11"/>
  <c r="O869" i="11"/>
  <c r="AM869" i="11"/>
  <c r="P869" i="11"/>
  <c r="AN869" i="11"/>
  <c r="Q869" i="11"/>
  <c r="AO869" i="11"/>
  <c r="R869" i="11"/>
  <c r="AP869" i="11"/>
  <c r="S869" i="11"/>
  <c r="AQ869" i="11"/>
  <c r="T869" i="11"/>
  <c r="AR869" i="11"/>
  <c r="U869" i="11"/>
  <c r="AS869" i="11"/>
  <c r="V869" i="11"/>
  <c r="AT869" i="11"/>
  <c r="W869" i="11"/>
  <c r="AU869" i="11"/>
  <c r="X869" i="11"/>
  <c r="AV869" i="11"/>
  <c r="Y869" i="11"/>
  <c r="AW869" i="11"/>
  <c r="Z869" i="11"/>
  <c r="AC870" i="11"/>
  <c r="F870" i="11"/>
  <c r="AD870" i="11"/>
  <c r="G870" i="11"/>
  <c r="AE870" i="11"/>
  <c r="H870" i="11"/>
  <c r="AF870" i="11"/>
  <c r="I870" i="11"/>
  <c r="AG870" i="11"/>
  <c r="J870" i="11"/>
  <c r="AH870" i="11"/>
  <c r="K870" i="11"/>
  <c r="AI870" i="11"/>
  <c r="L870" i="11"/>
  <c r="AJ870" i="11"/>
  <c r="M870" i="11"/>
  <c r="AK870" i="11"/>
  <c r="N870" i="11"/>
  <c r="AL870" i="11"/>
  <c r="O870" i="11"/>
  <c r="AM870" i="11"/>
  <c r="P870" i="11"/>
  <c r="AN870" i="11"/>
  <c r="Q870" i="11"/>
  <c r="AO870" i="11"/>
  <c r="R870" i="11"/>
  <c r="AP870" i="11"/>
  <c r="S870" i="11"/>
  <c r="AQ870" i="11"/>
  <c r="T870" i="11"/>
  <c r="AR870" i="11"/>
  <c r="U870" i="11"/>
  <c r="AS870" i="11"/>
  <c r="V870" i="11"/>
  <c r="AT870" i="11"/>
  <c r="W870" i="11"/>
  <c r="AU870" i="11"/>
  <c r="X870" i="11"/>
  <c r="AV870" i="11"/>
  <c r="Y870" i="11"/>
  <c r="AW870" i="11"/>
  <c r="Z870" i="11"/>
  <c r="AC871" i="11"/>
  <c r="F871" i="11"/>
  <c r="AD871" i="11"/>
  <c r="G871" i="11"/>
  <c r="AE871" i="11"/>
  <c r="H871" i="11"/>
  <c r="AF871" i="11"/>
  <c r="I871" i="11"/>
  <c r="AG871" i="11"/>
  <c r="J871" i="11"/>
  <c r="AH871" i="11"/>
  <c r="K871" i="11"/>
  <c r="AI871" i="11"/>
  <c r="L871" i="11"/>
  <c r="AJ871" i="11"/>
  <c r="M871" i="11"/>
  <c r="AK871" i="11"/>
  <c r="N871" i="11"/>
  <c r="AL871" i="11"/>
  <c r="O871" i="11"/>
  <c r="AM871" i="11"/>
  <c r="P871" i="11"/>
  <c r="AN871" i="11"/>
  <c r="Q871" i="11"/>
  <c r="AO871" i="11"/>
  <c r="R871" i="11"/>
  <c r="AP871" i="11"/>
  <c r="S871" i="11"/>
  <c r="AQ871" i="11"/>
  <c r="T871" i="11"/>
  <c r="AR871" i="11"/>
  <c r="U871" i="11"/>
  <c r="AS871" i="11"/>
  <c r="V871" i="11"/>
  <c r="AT871" i="11"/>
  <c r="W871" i="11"/>
  <c r="AU871" i="11"/>
  <c r="X871" i="11"/>
  <c r="AV871" i="11"/>
  <c r="Y871" i="11"/>
  <c r="AW871" i="11"/>
  <c r="Z871" i="11"/>
  <c r="AC872" i="11"/>
  <c r="F872" i="11"/>
  <c r="AD872" i="11"/>
  <c r="G872" i="11"/>
  <c r="AE872" i="11"/>
  <c r="H872" i="11"/>
  <c r="AF872" i="11"/>
  <c r="I872" i="11"/>
  <c r="AG872" i="11"/>
  <c r="J872" i="11"/>
  <c r="AH872" i="11"/>
  <c r="K872" i="11"/>
  <c r="AI872" i="11"/>
  <c r="L872" i="11"/>
  <c r="AJ872" i="11"/>
  <c r="M872" i="11"/>
  <c r="AK872" i="11"/>
  <c r="N872" i="11"/>
  <c r="AL872" i="11"/>
  <c r="O872" i="11"/>
  <c r="AM872" i="11"/>
  <c r="P872" i="11"/>
  <c r="AN872" i="11"/>
  <c r="Q872" i="11"/>
  <c r="AO872" i="11"/>
  <c r="R872" i="11"/>
  <c r="AP872" i="11"/>
  <c r="S872" i="11"/>
  <c r="AQ872" i="11"/>
  <c r="T872" i="11"/>
  <c r="AR872" i="11"/>
  <c r="U872" i="11"/>
  <c r="AS872" i="11"/>
  <c r="V872" i="11"/>
  <c r="AT872" i="11"/>
  <c r="W872" i="11"/>
  <c r="AU872" i="11"/>
  <c r="X872" i="11"/>
  <c r="AV872" i="11"/>
  <c r="Y872" i="11"/>
  <c r="AW872" i="11"/>
  <c r="Z872" i="11"/>
  <c r="AC873" i="11"/>
  <c r="F873" i="11"/>
  <c r="AD873" i="11"/>
  <c r="G873" i="11"/>
  <c r="AE873" i="11"/>
  <c r="H873" i="11"/>
  <c r="AF873" i="11"/>
  <c r="I873" i="11"/>
  <c r="AG873" i="11"/>
  <c r="J873" i="11"/>
  <c r="AH873" i="11"/>
  <c r="K873" i="11"/>
  <c r="AI873" i="11"/>
  <c r="L873" i="11"/>
  <c r="AJ873" i="11"/>
  <c r="M873" i="11"/>
  <c r="AK873" i="11"/>
  <c r="N873" i="11"/>
  <c r="AL873" i="11"/>
  <c r="O873" i="11"/>
  <c r="AM873" i="11"/>
  <c r="P873" i="11"/>
  <c r="AN873" i="11"/>
  <c r="Q873" i="11"/>
  <c r="AO873" i="11"/>
  <c r="R873" i="11"/>
  <c r="AP873" i="11"/>
  <c r="S873" i="11"/>
  <c r="AQ873" i="11"/>
  <c r="T873" i="11"/>
  <c r="AR873" i="11"/>
  <c r="U873" i="11"/>
  <c r="AS873" i="11"/>
  <c r="V873" i="11"/>
  <c r="AT873" i="11"/>
  <c r="W873" i="11"/>
  <c r="AU873" i="11"/>
  <c r="X873" i="11"/>
  <c r="AV873" i="11"/>
  <c r="Y873" i="11"/>
  <c r="AW873" i="11"/>
  <c r="Z873" i="11"/>
  <c r="AC874" i="11"/>
  <c r="F874" i="11"/>
  <c r="AD874" i="11"/>
  <c r="G874" i="11"/>
  <c r="AE874" i="11"/>
  <c r="H874" i="11"/>
  <c r="AF874" i="11"/>
  <c r="I874" i="11"/>
  <c r="AG874" i="11"/>
  <c r="J874" i="11"/>
  <c r="AH874" i="11"/>
  <c r="K874" i="11"/>
  <c r="AI874" i="11"/>
  <c r="L874" i="11"/>
  <c r="AJ874" i="11"/>
  <c r="M874" i="11"/>
  <c r="AK874" i="11"/>
  <c r="N874" i="11"/>
  <c r="AL874" i="11"/>
  <c r="O874" i="11"/>
  <c r="AM874" i="11"/>
  <c r="P874" i="11"/>
  <c r="AN874" i="11"/>
  <c r="Q874" i="11"/>
  <c r="AO874" i="11"/>
  <c r="R874" i="11"/>
  <c r="AP874" i="11"/>
  <c r="S874" i="11"/>
  <c r="AQ874" i="11"/>
  <c r="T874" i="11"/>
  <c r="AR874" i="11"/>
  <c r="U874" i="11"/>
  <c r="AS874" i="11"/>
  <c r="V874" i="11"/>
  <c r="AT874" i="11"/>
  <c r="W874" i="11"/>
  <c r="AU874" i="11"/>
  <c r="X874" i="11"/>
  <c r="AV874" i="11"/>
  <c r="Y874" i="11"/>
  <c r="AW874" i="11"/>
  <c r="Z874" i="11"/>
  <c r="AC875" i="11"/>
  <c r="F875" i="11"/>
  <c r="AD875" i="11"/>
  <c r="G875" i="11"/>
  <c r="AE875" i="11"/>
  <c r="H875" i="11"/>
  <c r="AF875" i="11"/>
  <c r="I875" i="11"/>
  <c r="AG875" i="11"/>
  <c r="J875" i="11"/>
  <c r="AH875" i="11"/>
  <c r="K875" i="11"/>
  <c r="AI875" i="11"/>
  <c r="L875" i="11"/>
  <c r="AJ875" i="11"/>
  <c r="M875" i="11"/>
  <c r="AK875" i="11"/>
  <c r="N875" i="11"/>
  <c r="AL875" i="11"/>
  <c r="O875" i="11"/>
  <c r="AM875" i="11"/>
  <c r="P875" i="11"/>
  <c r="AN875" i="11"/>
  <c r="Q875" i="11"/>
  <c r="AO875" i="11"/>
  <c r="R875" i="11"/>
  <c r="AP875" i="11"/>
  <c r="S875" i="11"/>
  <c r="AQ875" i="11"/>
  <c r="T875" i="11"/>
  <c r="AR875" i="11"/>
  <c r="U875" i="11"/>
  <c r="AS875" i="11"/>
  <c r="V875" i="11"/>
  <c r="AT875" i="11"/>
  <c r="W875" i="11"/>
  <c r="AU875" i="11"/>
  <c r="X875" i="11"/>
  <c r="AV875" i="11"/>
  <c r="Y875" i="11"/>
  <c r="AW875" i="11"/>
  <c r="Z875" i="11"/>
  <c r="AC876" i="11"/>
  <c r="F876" i="11"/>
  <c r="AD876" i="11"/>
  <c r="G876" i="11"/>
  <c r="AE876" i="11"/>
  <c r="H876" i="11"/>
  <c r="AF876" i="11"/>
  <c r="I876" i="11"/>
  <c r="AG876" i="11"/>
  <c r="J876" i="11"/>
  <c r="AH876" i="11"/>
  <c r="K876" i="11"/>
  <c r="AI876" i="11"/>
  <c r="L876" i="11"/>
  <c r="AJ876" i="11"/>
  <c r="M876" i="11"/>
  <c r="AK876" i="11"/>
  <c r="N876" i="11"/>
  <c r="AL876" i="11"/>
  <c r="O876" i="11"/>
  <c r="AM876" i="11"/>
  <c r="P876" i="11"/>
  <c r="AN876" i="11"/>
  <c r="Q876" i="11"/>
  <c r="AO876" i="11"/>
  <c r="R876" i="11"/>
  <c r="AP876" i="11"/>
  <c r="S876" i="11"/>
  <c r="AQ876" i="11"/>
  <c r="T876" i="11"/>
  <c r="AR876" i="11"/>
  <c r="U876" i="11"/>
  <c r="AS876" i="11"/>
  <c r="V876" i="11"/>
  <c r="AT876" i="11"/>
  <c r="W876" i="11"/>
  <c r="AU876" i="11"/>
  <c r="X876" i="11"/>
  <c r="AV876" i="11"/>
  <c r="Y876" i="11"/>
  <c r="AW876" i="11"/>
  <c r="Z876" i="11"/>
  <c r="AC877" i="11"/>
  <c r="F877" i="11"/>
  <c r="AD877" i="11"/>
  <c r="G877" i="11"/>
  <c r="AE877" i="11"/>
  <c r="H877" i="11"/>
  <c r="AF877" i="11"/>
  <c r="I877" i="11"/>
  <c r="AG877" i="11"/>
  <c r="J877" i="11"/>
  <c r="AH877" i="11"/>
  <c r="K877" i="11"/>
  <c r="AI877" i="11"/>
  <c r="L877" i="11"/>
  <c r="AJ877" i="11"/>
  <c r="M877" i="11"/>
  <c r="AK877" i="11"/>
  <c r="N877" i="11"/>
  <c r="AL877" i="11"/>
  <c r="O877" i="11"/>
  <c r="AM877" i="11"/>
  <c r="P877" i="11"/>
  <c r="AN877" i="11"/>
  <c r="Q877" i="11"/>
  <c r="AO877" i="11"/>
  <c r="R877" i="11"/>
  <c r="AP877" i="11"/>
  <c r="S877" i="11"/>
  <c r="AQ877" i="11"/>
  <c r="T877" i="11"/>
  <c r="AR877" i="11"/>
  <c r="U877" i="11"/>
  <c r="AS877" i="11"/>
  <c r="V877" i="11"/>
  <c r="AT877" i="11"/>
  <c r="W877" i="11"/>
  <c r="AU877" i="11"/>
  <c r="X877" i="11"/>
  <c r="AV877" i="11"/>
  <c r="Y877" i="11"/>
  <c r="AW877" i="11"/>
  <c r="Z877" i="11"/>
  <c r="AC878" i="11"/>
  <c r="F878" i="11"/>
  <c r="AD878" i="11"/>
  <c r="G878" i="11"/>
  <c r="AE878" i="11"/>
  <c r="H878" i="11"/>
  <c r="AF878" i="11"/>
  <c r="I878" i="11"/>
  <c r="AG878" i="11"/>
  <c r="J878" i="11"/>
  <c r="AH878" i="11"/>
  <c r="K878" i="11"/>
  <c r="AI878" i="11"/>
  <c r="L878" i="11"/>
  <c r="AJ878" i="11"/>
  <c r="M878" i="11"/>
  <c r="AK878" i="11"/>
  <c r="N878" i="11"/>
  <c r="AL878" i="11"/>
  <c r="O878" i="11"/>
  <c r="AM878" i="11"/>
  <c r="P878" i="11"/>
  <c r="AN878" i="11"/>
  <c r="Q878" i="11"/>
  <c r="AO878" i="11"/>
  <c r="R878" i="11"/>
  <c r="AP878" i="11"/>
  <c r="S878" i="11"/>
  <c r="AQ878" i="11"/>
  <c r="T878" i="11"/>
  <c r="AR878" i="11"/>
  <c r="U878" i="11"/>
  <c r="AS878" i="11"/>
  <c r="V878" i="11"/>
  <c r="AT878" i="11"/>
  <c r="W878" i="11"/>
  <c r="AU878" i="11"/>
  <c r="X878" i="11"/>
  <c r="AV878" i="11"/>
  <c r="Y878" i="11"/>
  <c r="AW878" i="11"/>
  <c r="Z878" i="11"/>
  <c r="AC879" i="11"/>
  <c r="F879" i="11"/>
  <c r="AD879" i="11"/>
  <c r="G879" i="11"/>
  <c r="AE879" i="11"/>
  <c r="H879" i="11"/>
  <c r="AF879" i="11"/>
  <c r="I879" i="11"/>
  <c r="AG879" i="11"/>
  <c r="J879" i="11"/>
  <c r="AH879" i="11"/>
  <c r="K879" i="11"/>
  <c r="AI879" i="11"/>
  <c r="L879" i="11"/>
  <c r="AJ879" i="11"/>
  <c r="M879" i="11"/>
  <c r="AK879" i="11"/>
  <c r="N879" i="11"/>
  <c r="AL879" i="11"/>
  <c r="O879" i="11"/>
  <c r="AM879" i="11"/>
  <c r="P879" i="11"/>
  <c r="AN879" i="11"/>
  <c r="Q879" i="11"/>
  <c r="AO879" i="11"/>
  <c r="R879" i="11"/>
  <c r="AP879" i="11"/>
  <c r="S879" i="11"/>
  <c r="AQ879" i="11"/>
  <c r="T879" i="11"/>
  <c r="AR879" i="11"/>
  <c r="U879" i="11"/>
  <c r="AS879" i="11"/>
  <c r="V879" i="11"/>
  <c r="AT879" i="11"/>
  <c r="W879" i="11"/>
  <c r="AU879" i="11"/>
  <c r="X879" i="11"/>
  <c r="AV879" i="11"/>
  <c r="Y879" i="11"/>
  <c r="AW879" i="11"/>
  <c r="Z879" i="11"/>
  <c r="AC880" i="11"/>
  <c r="F880" i="11"/>
  <c r="AD880" i="11"/>
  <c r="G880" i="11"/>
  <c r="AE880" i="11"/>
  <c r="H880" i="11"/>
  <c r="AF880" i="11"/>
  <c r="I880" i="11"/>
  <c r="AG880" i="11"/>
  <c r="J880" i="11"/>
  <c r="AH880" i="11"/>
  <c r="K880" i="11"/>
  <c r="AI880" i="11"/>
  <c r="L880" i="11"/>
  <c r="AJ880" i="11"/>
  <c r="M880" i="11"/>
  <c r="AK880" i="11"/>
  <c r="N880" i="11"/>
  <c r="AL880" i="11"/>
  <c r="O880" i="11"/>
  <c r="AM880" i="11"/>
  <c r="P880" i="11"/>
  <c r="AN880" i="11"/>
  <c r="Q880" i="11"/>
  <c r="AO880" i="11"/>
  <c r="R880" i="11"/>
  <c r="AP880" i="11"/>
  <c r="S880" i="11"/>
  <c r="AQ880" i="11"/>
  <c r="T880" i="11"/>
  <c r="AR880" i="11"/>
  <c r="U880" i="11"/>
  <c r="AS880" i="11"/>
  <c r="V880" i="11"/>
  <c r="AT880" i="11"/>
  <c r="W880" i="11"/>
  <c r="AU880" i="11"/>
  <c r="X880" i="11"/>
  <c r="AV880" i="11"/>
  <c r="Y880" i="11"/>
  <c r="AW880" i="11"/>
  <c r="Z880" i="11"/>
  <c r="AC881" i="11"/>
  <c r="F881" i="11"/>
  <c r="AD881" i="11"/>
  <c r="G881" i="11"/>
  <c r="AE881" i="11"/>
  <c r="H881" i="11"/>
  <c r="AF881" i="11"/>
  <c r="I881" i="11"/>
  <c r="AG881" i="11"/>
  <c r="J881" i="11"/>
  <c r="AH881" i="11"/>
  <c r="K881" i="11"/>
  <c r="AI881" i="11"/>
  <c r="L881" i="11"/>
  <c r="AJ881" i="11"/>
  <c r="M881" i="11"/>
  <c r="AK881" i="11"/>
  <c r="N881" i="11"/>
  <c r="AL881" i="11"/>
  <c r="O881" i="11"/>
  <c r="AM881" i="11"/>
  <c r="P881" i="11"/>
  <c r="AN881" i="11"/>
  <c r="Q881" i="11"/>
  <c r="AO881" i="11"/>
  <c r="R881" i="11"/>
  <c r="AP881" i="11"/>
  <c r="S881" i="11"/>
  <c r="AQ881" i="11"/>
  <c r="T881" i="11"/>
  <c r="AR881" i="11"/>
  <c r="U881" i="11"/>
  <c r="AS881" i="11"/>
  <c r="V881" i="11"/>
  <c r="AT881" i="11"/>
  <c r="W881" i="11"/>
  <c r="AU881" i="11"/>
  <c r="X881" i="11"/>
  <c r="AV881" i="11"/>
  <c r="Y881" i="11"/>
  <c r="AW881" i="11"/>
  <c r="Z881" i="11"/>
  <c r="AC882" i="11"/>
  <c r="F882" i="11"/>
  <c r="AD882" i="11"/>
  <c r="G882" i="11"/>
  <c r="AE882" i="11"/>
  <c r="H882" i="11"/>
  <c r="AF882" i="11"/>
  <c r="I882" i="11"/>
  <c r="AG882" i="11"/>
  <c r="J882" i="11"/>
  <c r="AH882" i="11"/>
  <c r="K882" i="11"/>
  <c r="AI882" i="11"/>
  <c r="L882" i="11"/>
  <c r="AJ882" i="11"/>
  <c r="M882" i="11"/>
  <c r="AK882" i="11"/>
  <c r="N882" i="11"/>
  <c r="AL882" i="11"/>
  <c r="O882" i="11"/>
  <c r="AM882" i="11"/>
  <c r="P882" i="11"/>
  <c r="AN882" i="11"/>
  <c r="Q882" i="11"/>
  <c r="AO882" i="11"/>
  <c r="R882" i="11"/>
  <c r="AP882" i="11"/>
  <c r="S882" i="11"/>
  <c r="AQ882" i="11"/>
  <c r="T882" i="11"/>
  <c r="AR882" i="11"/>
  <c r="U882" i="11"/>
  <c r="AS882" i="11"/>
  <c r="V882" i="11"/>
  <c r="AT882" i="11"/>
  <c r="W882" i="11"/>
  <c r="AU882" i="11"/>
  <c r="X882" i="11"/>
  <c r="AV882" i="11"/>
  <c r="Y882" i="11"/>
  <c r="AW882" i="11"/>
  <c r="Z882" i="11"/>
  <c r="AC883" i="11"/>
  <c r="F883" i="11"/>
  <c r="AD883" i="11"/>
  <c r="G883" i="11"/>
  <c r="AE883" i="11"/>
  <c r="H883" i="11"/>
  <c r="AF883" i="11"/>
  <c r="I883" i="11"/>
  <c r="AG883" i="11"/>
  <c r="J883" i="11"/>
  <c r="AH883" i="11"/>
  <c r="K883" i="11"/>
  <c r="AI883" i="11"/>
  <c r="L883" i="11"/>
  <c r="AJ883" i="11"/>
  <c r="M883" i="11"/>
  <c r="AK883" i="11"/>
  <c r="N883" i="11"/>
  <c r="AL883" i="11"/>
  <c r="O883" i="11"/>
  <c r="AM883" i="11"/>
  <c r="P883" i="11"/>
  <c r="AN883" i="11"/>
  <c r="Q883" i="11"/>
  <c r="AO883" i="11"/>
  <c r="R883" i="11"/>
  <c r="AP883" i="11"/>
  <c r="S883" i="11"/>
  <c r="AQ883" i="11"/>
  <c r="T883" i="11"/>
  <c r="AR883" i="11"/>
  <c r="U883" i="11"/>
  <c r="AS883" i="11"/>
  <c r="V883" i="11"/>
  <c r="AT883" i="11"/>
  <c r="W883" i="11"/>
  <c r="AU883" i="11"/>
  <c r="X883" i="11"/>
  <c r="AV883" i="11"/>
  <c r="Y883" i="11"/>
  <c r="AW883" i="11"/>
  <c r="Z883" i="11"/>
  <c r="AC884" i="11"/>
  <c r="F884" i="11"/>
  <c r="AD884" i="11"/>
  <c r="G884" i="11"/>
  <c r="AE884" i="11"/>
  <c r="H884" i="11"/>
  <c r="AF884" i="11"/>
  <c r="I884" i="11"/>
  <c r="AG884" i="11"/>
  <c r="J884" i="11"/>
  <c r="AH884" i="11"/>
  <c r="K884" i="11"/>
  <c r="AI884" i="11"/>
  <c r="L884" i="11"/>
  <c r="AJ884" i="11"/>
  <c r="M884" i="11"/>
  <c r="AK884" i="11"/>
  <c r="N884" i="11"/>
  <c r="AL884" i="11"/>
  <c r="O884" i="11"/>
  <c r="AM884" i="11"/>
  <c r="P884" i="11"/>
  <c r="AN884" i="11"/>
  <c r="Q884" i="11"/>
  <c r="AO884" i="11"/>
  <c r="R884" i="11"/>
  <c r="AP884" i="11"/>
  <c r="S884" i="11"/>
  <c r="AQ884" i="11"/>
  <c r="T884" i="11"/>
  <c r="AR884" i="11"/>
  <c r="U884" i="11"/>
  <c r="AS884" i="11"/>
  <c r="V884" i="11"/>
  <c r="AT884" i="11"/>
  <c r="W884" i="11"/>
  <c r="AU884" i="11"/>
  <c r="X884" i="11"/>
  <c r="AV884" i="11"/>
  <c r="Y884" i="11"/>
  <c r="AW884" i="11"/>
  <c r="Z884" i="11"/>
  <c r="AC885" i="11"/>
  <c r="F885" i="11"/>
  <c r="AD885" i="11"/>
  <c r="G885" i="11"/>
  <c r="AE885" i="11"/>
  <c r="H885" i="11"/>
  <c r="AF885" i="11"/>
  <c r="I885" i="11"/>
  <c r="AG885" i="11"/>
  <c r="J885" i="11"/>
  <c r="AH885" i="11"/>
  <c r="K885" i="11"/>
  <c r="AI885" i="11"/>
  <c r="L885" i="11"/>
  <c r="AJ885" i="11"/>
  <c r="M885" i="11"/>
  <c r="AK885" i="11"/>
  <c r="N885" i="11"/>
  <c r="AL885" i="11"/>
  <c r="O885" i="11"/>
  <c r="AM885" i="11"/>
  <c r="P885" i="11"/>
  <c r="AN885" i="11"/>
  <c r="Q885" i="11"/>
  <c r="AO885" i="11"/>
  <c r="R885" i="11"/>
  <c r="AP885" i="11"/>
  <c r="S885" i="11"/>
  <c r="AQ885" i="11"/>
  <c r="T885" i="11"/>
  <c r="AR885" i="11"/>
  <c r="U885" i="11"/>
  <c r="AS885" i="11"/>
  <c r="V885" i="11"/>
  <c r="AT885" i="11"/>
  <c r="W885" i="11"/>
  <c r="AU885" i="11"/>
  <c r="X885" i="11"/>
  <c r="AV885" i="11"/>
  <c r="Y885" i="11"/>
  <c r="AW885" i="11"/>
  <c r="Z885" i="11"/>
  <c r="AC886" i="11"/>
  <c r="F886" i="11"/>
  <c r="AD886" i="11"/>
  <c r="G886" i="11"/>
  <c r="AE886" i="11"/>
  <c r="H886" i="11"/>
  <c r="AF886" i="11"/>
  <c r="I886" i="11"/>
  <c r="AG886" i="11"/>
  <c r="J886" i="11"/>
  <c r="AH886" i="11"/>
  <c r="K886" i="11"/>
  <c r="AI886" i="11"/>
  <c r="L886" i="11"/>
  <c r="AJ886" i="11"/>
  <c r="M886" i="11"/>
  <c r="AK886" i="11"/>
  <c r="N886" i="11"/>
  <c r="AL886" i="11"/>
  <c r="O886" i="11"/>
  <c r="AM886" i="11"/>
  <c r="P886" i="11"/>
  <c r="AN886" i="11"/>
  <c r="Q886" i="11"/>
  <c r="AO886" i="11"/>
  <c r="R886" i="11"/>
  <c r="AP886" i="11"/>
  <c r="S886" i="11"/>
  <c r="AQ886" i="11"/>
  <c r="T886" i="11"/>
  <c r="AR886" i="11"/>
  <c r="U886" i="11"/>
  <c r="AS886" i="11"/>
  <c r="V886" i="11"/>
  <c r="AT886" i="11"/>
  <c r="W886" i="11"/>
  <c r="AU886" i="11"/>
  <c r="X886" i="11"/>
  <c r="AV886" i="11"/>
  <c r="Y886" i="11"/>
  <c r="AW886" i="11"/>
  <c r="Z886" i="11"/>
  <c r="AC887" i="11"/>
  <c r="F887" i="11"/>
  <c r="AD887" i="11"/>
  <c r="G887" i="11"/>
  <c r="AE887" i="11"/>
  <c r="H887" i="11"/>
  <c r="AF887" i="11"/>
  <c r="I887" i="11"/>
  <c r="AG887" i="11"/>
  <c r="J887" i="11"/>
  <c r="AH887" i="11"/>
  <c r="K887" i="11"/>
  <c r="AI887" i="11"/>
  <c r="L887" i="11"/>
  <c r="AJ887" i="11"/>
  <c r="M887" i="11"/>
  <c r="AK887" i="11"/>
  <c r="N887" i="11"/>
  <c r="AL887" i="11"/>
  <c r="O887" i="11"/>
  <c r="AM887" i="11"/>
  <c r="P887" i="11"/>
  <c r="AN887" i="11"/>
  <c r="Q887" i="11"/>
  <c r="AO887" i="11"/>
  <c r="R887" i="11"/>
  <c r="AP887" i="11"/>
  <c r="S887" i="11"/>
  <c r="AQ887" i="11"/>
  <c r="T887" i="11"/>
  <c r="AR887" i="11"/>
  <c r="U887" i="11"/>
  <c r="AS887" i="11"/>
  <c r="V887" i="11"/>
  <c r="AT887" i="11"/>
  <c r="W887" i="11"/>
  <c r="AU887" i="11"/>
  <c r="X887" i="11"/>
  <c r="AV887" i="11"/>
  <c r="Y887" i="11"/>
  <c r="AW887" i="11"/>
  <c r="Z887" i="11"/>
  <c r="AC888" i="11"/>
  <c r="F888" i="11"/>
  <c r="AD888" i="11"/>
  <c r="G888" i="11"/>
  <c r="AE888" i="11"/>
  <c r="H888" i="11"/>
  <c r="AF888" i="11"/>
  <c r="I888" i="11"/>
  <c r="AG888" i="11"/>
  <c r="J888" i="11"/>
  <c r="AH888" i="11"/>
  <c r="K888" i="11"/>
  <c r="AI888" i="11"/>
  <c r="L888" i="11"/>
  <c r="AJ888" i="11"/>
  <c r="M888" i="11"/>
  <c r="AK888" i="11"/>
  <c r="N888" i="11"/>
  <c r="AL888" i="11"/>
  <c r="O888" i="11"/>
  <c r="AM888" i="11"/>
  <c r="P888" i="11"/>
  <c r="AN888" i="11"/>
  <c r="Q888" i="11"/>
  <c r="AO888" i="11"/>
  <c r="R888" i="11"/>
  <c r="AP888" i="11"/>
  <c r="S888" i="11"/>
  <c r="AQ888" i="11"/>
  <c r="T888" i="11"/>
  <c r="AR888" i="11"/>
  <c r="U888" i="11"/>
  <c r="AS888" i="11"/>
  <c r="V888" i="11"/>
  <c r="AT888" i="11"/>
  <c r="W888" i="11"/>
  <c r="AU888" i="11"/>
  <c r="X888" i="11"/>
  <c r="AV888" i="11"/>
  <c r="Y888" i="11"/>
  <c r="AW888" i="11"/>
  <c r="Z888" i="11"/>
  <c r="AC889" i="11"/>
  <c r="F889" i="11"/>
  <c r="AD889" i="11"/>
  <c r="G889" i="11"/>
  <c r="AE889" i="11"/>
  <c r="H889" i="11"/>
  <c r="AF889" i="11"/>
  <c r="I889" i="11"/>
  <c r="AG889" i="11"/>
  <c r="J889" i="11"/>
  <c r="AH889" i="11"/>
  <c r="K889" i="11"/>
  <c r="AI889" i="11"/>
  <c r="L889" i="11"/>
  <c r="AJ889" i="11"/>
  <c r="M889" i="11"/>
  <c r="AK889" i="11"/>
  <c r="N889" i="11"/>
  <c r="AL889" i="11"/>
  <c r="O889" i="11"/>
  <c r="AM889" i="11"/>
  <c r="P889" i="11"/>
  <c r="AN889" i="11"/>
  <c r="Q889" i="11"/>
  <c r="AO889" i="11"/>
  <c r="R889" i="11"/>
  <c r="AP889" i="11"/>
  <c r="S889" i="11"/>
  <c r="AQ889" i="11"/>
  <c r="T889" i="11"/>
  <c r="AR889" i="11"/>
  <c r="U889" i="11"/>
  <c r="AS889" i="11"/>
  <c r="V889" i="11"/>
  <c r="AT889" i="11"/>
  <c r="W889" i="11"/>
  <c r="AU889" i="11"/>
  <c r="X889" i="11"/>
  <c r="AV889" i="11"/>
  <c r="Y889" i="11"/>
  <c r="AW889" i="11"/>
  <c r="Z889" i="11"/>
  <c r="AC890" i="11"/>
  <c r="F890" i="11"/>
  <c r="AD890" i="11"/>
  <c r="G890" i="11"/>
  <c r="AE890" i="11"/>
  <c r="H890" i="11"/>
  <c r="AF890" i="11"/>
  <c r="I890" i="11"/>
  <c r="AG890" i="11"/>
  <c r="J890" i="11"/>
  <c r="AH890" i="11"/>
  <c r="K890" i="11"/>
  <c r="AI890" i="11"/>
  <c r="L890" i="11"/>
  <c r="AJ890" i="11"/>
  <c r="M890" i="11"/>
  <c r="AK890" i="11"/>
  <c r="N890" i="11"/>
  <c r="AL890" i="11"/>
  <c r="O890" i="11"/>
  <c r="AM890" i="11"/>
  <c r="P890" i="11"/>
  <c r="AN890" i="11"/>
  <c r="Q890" i="11"/>
  <c r="AO890" i="11"/>
  <c r="R890" i="11"/>
  <c r="AP890" i="11"/>
  <c r="S890" i="11"/>
  <c r="AQ890" i="11"/>
  <c r="T890" i="11"/>
  <c r="AR890" i="11"/>
  <c r="U890" i="11"/>
  <c r="AS890" i="11"/>
  <c r="V890" i="11"/>
  <c r="AT890" i="11"/>
  <c r="W890" i="11"/>
  <c r="AU890" i="11"/>
  <c r="X890" i="11"/>
  <c r="AV890" i="11"/>
  <c r="Y890" i="11"/>
  <c r="AW890" i="11"/>
  <c r="Z890" i="11"/>
  <c r="AC891" i="11"/>
  <c r="F891" i="11"/>
  <c r="AD891" i="11"/>
  <c r="G891" i="11"/>
  <c r="AE891" i="11"/>
  <c r="H891" i="11"/>
  <c r="AF891" i="11"/>
  <c r="I891" i="11"/>
  <c r="AG891" i="11"/>
  <c r="J891" i="11"/>
  <c r="AH891" i="11"/>
  <c r="K891" i="11"/>
  <c r="AI891" i="11"/>
  <c r="L891" i="11"/>
  <c r="AJ891" i="11"/>
  <c r="M891" i="11"/>
  <c r="AK891" i="11"/>
  <c r="N891" i="11"/>
  <c r="AL891" i="11"/>
  <c r="O891" i="11"/>
  <c r="AM891" i="11"/>
  <c r="P891" i="11"/>
  <c r="AN891" i="11"/>
  <c r="Q891" i="11"/>
  <c r="AO891" i="11"/>
  <c r="R891" i="11"/>
  <c r="AP891" i="11"/>
  <c r="S891" i="11"/>
  <c r="AQ891" i="11"/>
  <c r="T891" i="11"/>
  <c r="AR891" i="11"/>
  <c r="U891" i="11"/>
  <c r="AS891" i="11"/>
  <c r="V891" i="11"/>
  <c r="AT891" i="11"/>
  <c r="W891" i="11"/>
  <c r="AU891" i="11"/>
  <c r="X891" i="11"/>
  <c r="AV891" i="11"/>
  <c r="Y891" i="11"/>
  <c r="AW891" i="11"/>
  <c r="Z891" i="11"/>
  <c r="AC892" i="11"/>
  <c r="F892" i="11"/>
  <c r="AD892" i="11"/>
  <c r="G892" i="11"/>
  <c r="AE892" i="11"/>
  <c r="H892" i="11"/>
  <c r="AF892" i="11"/>
  <c r="I892" i="11"/>
  <c r="AG892" i="11"/>
  <c r="J892" i="11"/>
  <c r="AH892" i="11"/>
  <c r="K892" i="11"/>
  <c r="AI892" i="11"/>
  <c r="L892" i="11"/>
  <c r="AJ892" i="11"/>
  <c r="M892" i="11"/>
  <c r="AK892" i="11"/>
  <c r="N892" i="11"/>
  <c r="AL892" i="11"/>
  <c r="O892" i="11"/>
  <c r="AM892" i="11"/>
  <c r="P892" i="11"/>
  <c r="AN892" i="11"/>
  <c r="Q892" i="11"/>
  <c r="AO892" i="11"/>
  <c r="R892" i="11"/>
  <c r="AP892" i="11"/>
  <c r="S892" i="11"/>
  <c r="AQ892" i="11"/>
  <c r="T892" i="11"/>
  <c r="AR892" i="11"/>
  <c r="U892" i="11"/>
  <c r="AS892" i="11"/>
  <c r="V892" i="11"/>
  <c r="AT892" i="11"/>
  <c r="W892" i="11"/>
  <c r="AU892" i="11"/>
  <c r="X892" i="11"/>
  <c r="AV892" i="11"/>
  <c r="Y892" i="11"/>
  <c r="AW892" i="11"/>
  <c r="Z892" i="11"/>
  <c r="AC893" i="11"/>
  <c r="F893" i="11"/>
  <c r="AD893" i="11"/>
  <c r="G893" i="11"/>
  <c r="AE893" i="11"/>
  <c r="H893" i="11"/>
  <c r="AF893" i="11"/>
  <c r="I893" i="11"/>
  <c r="AG893" i="11"/>
  <c r="J893" i="11"/>
  <c r="AH893" i="11"/>
  <c r="K893" i="11"/>
  <c r="AI893" i="11"/>
  <c r="L893" i="11"/>
  <c r="AJ893" i="11"/>
  <c r="M893" i="11"/>
  <c r="AK893" i="11"/>
  <c r="N893" i="11"/>
  <c r="AL893" i="11"/>
  <c r="O893" i="11"/>
  <c r="AM893" i="11"/>
  <c r="P893" i="11"/>
  <c r="AN893" i="11"/>
  <c r="Q893" i="11"/>
  <c r="AO893" i="11"/>
  <c r="R893" i="11"/>
  <c r="AP893" i="11"/>
  <c r="S893" i="11"/>
  <c r="AQ893" i="11"/>
  <c r="T893" i="11"/>
  <c r="AR893" i="11"/>
  <c r="U893" i="11"/>
  <c r="AS893" i="11"/>
  <c r="V893" i="11"/>
  <c r="AT893" i="11"/>
  <c r="W893" i="11"/>
  <c r="AU893" i="11"/>
  <c r="X893" i="11"/>
  <c r="AV893" i="11"/>
  <c r="Y893" i="11"/>
  <c r="AW893" i="11"/>
  <c r="Z893" i="11"/>
  <c r="AC894" i="11"/>
  <c r="F894" i="11"/>
  <c r="AD894" i="11"/>
  <c r="G894" i="11"/>
  <c r="AE894" i="11"/>
  <c r="H894" i="11"/>
  <c r="AF894" i="11"/>
  <c r="I894" i="11"/>
  <c r="AG894" i="11"/>
  <c r="J894" i="11"/>
  <c r="AH894" i="11"/>
  <c r="K894" i="11"/>
  <c r="AI894" i="11"/>
  <c r="L894" i="11"/>
  <c r="AJ894" i="11"/>
  <c r="M894" i="11"/>
  <c r="AK894" i="11"/>
  <c r="N894" i="11"/>
  <c r="AL894" i="11"/>
  <c r="O894" i="11"/>
  <c r="AM894" i="11"/>
  <c r="P894" i="11"/>
  <c r="AN894" i="11"/>
  <c r="Q894" i="11"/>
  <c r="AO894" i="11"/>
  <c r="R894" i="11"/>
  <c r="AP894" i="11"/>
  <c r="S894" i="11"/>
  <c r="AQ894" i="11"/>
  <c r="T894" i="11"/>
  <c r="AR894" i="11"/>
  <c r="U894" i="11"/>
  <c r="AS894" i="11"/>
  <c r="V894" i="11"/>
  <c r="AT894" i="11"/>
  <c r="W894" i="11"/>
  <c r="AU894" i="11"/>
  <c r="X894" i="11"/>
  <c r="AV894" i="11"/>
  <c r="Y894" i="11"/>
  <c r="AW894" i="11"/>
  <c r="Z894" i="11"/>
  <c r="AC895" i="11"/>
  <c r="F895" i="11"/>
  <c r="AD895" i="11"/>
  <c r="G895" i="11"/>
  <c r="AE895" i="11"/>
  <c r="H895" i="11"/>
  <c r="AF895" i="11"/>
  <c r="I895" i="11"/>
  <c r="AG895" i="11"/>
  <c r="J895" i="11"/>
  <c r="AH895" i="11"/>
  <c r="K895" i="11"/>
  <c r="AI895" i="11"/>
  <c r="L895" i="11"/>
  <c r="AJ895" i="11"/>
  <c r="M895" i="11"/>
  <c r="AK895" i="11"/>
  <c r="N895" i="11"/>
  <c r="AL895" i="11"/>
  <c r="O895" i="11"/>
  <c r="AM895" i="11"/>
  <c r="P895" i="11"/>
  <c r="AN895" i="11"/>
  <c r="Q895" i="11"/>
  <c r="AO895" i="11"/>
  <c r="R895" i="11"/>
  <c r="AP895" i="11"/>
  <c r="S895" i="11"/>
  <c r="AQ895" i="11"/>
  <c r="T895" i="11"/>
  <c r="AR895" i="11"/>
  <c r="U895" i="11"/>
  <c r="AS895" i="11"/>
  <c r="V895" i="11"/>
  <c r="AT895" i="11"/>
  <c r="W895" i="11"/>
  <c r="AU895" i="11"/>
  <c r="X895" i="11"/>
  <c r="AV895" i="11"/>
  <c r="Y895" i="11"/>
  <c r="AW895" i="11"/>
  <c r="Z895" i="11"/>
  <c r="AC896" i="11"/>
  <c r="F896" i="11"/>
  <c r="AD896" i="11"/>
  <c r="G896" i="11"/>
  <c r="AE896" i="11"/>
  <c r="H896" i="11"/>
  <c r="AF896" i="11"/>
  <c r="I896" i="11"/>
  <c r="AG896" i="11"/>
  <c r="J896" i="11"/>
  <c r="AH896" i="11"/>
  <c r="K896" i="11"/>
  <c r="AI896" i="11"/>
  <c r="L896" i="11"/>
  <c r="AJ896" i="11"/>
  <c r="M896" i="11"/>
  <c r="AK896" i="11"/>
  <c r="N896" i="11"/>
  <c r="AL896" i="11"/>
  <c r="O896" i="11"/>
  <c r="AM896" i="11"/>
  <c r="P896" i="11"/>
  <c r="AN896" i="11"/>
  <c r="Q896" i="11"/>
  <c r="AO896" i="11"/>
  <c r="R896" i="11"/>
  <c r="AP896" i="11"/>
  <c r="S896" i="11"/>
  <c r="AQ896" i="11"/>
  <c r="T896" i="11"/>
  <c r="AR896" i="11"/>
  <c r="U896" i="11"/>
  <c r="AS896" i="11"/>
  <c r="V896" i="11"/>
  <c r="AT896" i="11"/>
  <c r="W896" i="11"/>
  <c r="AU896" i="11"/>
  <c r="X896" i="11"/>
  <c r="AV896" i="11"/>
  <c r="Y896" i="11"/>
  <c r="AW896" i="11"/>
  <c r="Z896" i="11"/>
  <c r="AC897" i="11"/>
  <c r="F897" i="11"/>
  <c r="AD897" i="11"/>
  <c r="G897" i="11"/>
  <c r="AE897" i="11"/>
  <c r="H897" i="11"/>
  <c r="AF897" i="11"/>
  <c r="I897" i="11"/>
  <c r="AG897" i="11"/>
  <c r="J897" i="11"/>
  <c r="AH897" i="11"/>
  <c r="K897" i="11"/>
  <c r="AI897" i="11"/>
  <c r="L897" i="11"/>
  <c r="AJ897" i="11"/>
  <c r="M897" i="11"/>
  <c r="AK897" i="11"/>
  <c r="N897" i="11"/>
  <c r="AL897" i="11"/>
  <c r="O897" i="11"/>
  <c r="AM897" i="11"/>
  <c r="P897" i="11"/>
  <c r="AN897" i="11"/>
  <c r="Q897" i="11"/>
  <c r="AO897" i="11"/>
  <c r="R897" i="11"/>
  <c r="AP897" i="11"/>
  <c r="S897" i="11"/>
  <c r="AQ897" i="11"/>
  <c r="T897" i="11"/>
  <c r="AR897" i="11"/>
  <c r="U897" i="11"/>
  <c r="AS897" i="11"/>
  <c r="V897" i="11"/>
  <c r="AT897" i="11"/>
  <c r="W897" i="11"/>
  <c r="AU897" i="11"/>
  <c r="X897" i="11"/>
  <c r="AV897" i="11"/>
  <c r="Y897" i="11"/>
  <c r="AW897" i="11"/>
  <c r="Z897" i="11"/>
  <c r="AC898" i="11"/>
  <c r="F898" i="11"/>
  <c r="AD898" i="11"/>
  <c r="G898" i="11"/>
  <c r="AE898" i="11"/>
  <c r="H898" i="11"/>
  <c r="AF898" i="11"/>
  <c r="I898" i="11"/>
  <c r="AG898" i="11"/>
  <c r="J898" i="11"/>
  <c r="AH898" i="11"/>
  <c r="K898" i="11"/>
  <c r="AI898" i="11"/>
  <c r="L898" i="11"/>
  <c r="AJ898" i="11"/>
  <c r="M898" i="11"/>
  <c r="AK898" i="11"/>
  <c r="N898" i="11"/>
  <c r="AL898" i="11"/>
  <c r="O898" i="11"/>
  <c r="AM898" i="11"/>
  <c r="P898" i="11"/>
  <c r="AN898" i="11"/>
  <c r="Q898" i="11"/>
  <c r="AO898" i="11"/>
  <c r="R898" i="11"/>
  <c r="AP898" i="11"/>
  <c r="S898" i="11"/>
  <c r="AQ898" i="11"/>
  <c r="T898" i="11"/>
  <c r="AR898" i="11"/>
  <c r="U898" i="11"/>
  <c r="AS898" i="11"/>
  <c r="V898" i="11"/>
  <c r="AT898" i="11"/>
  <c r="W898" i="11"/>
  <c r="AU898" i="11"/>
  <c r="X898" i="11"/>
  <c r="AV898" i="11"/>
  <c r="Y898" i="11"/>
  <c r="AW898" i="11"/>
  <c r="Z898" i="11"/>
  <c r="AC899" i="11"/>
  <c r="F899" i="11"/>
  <c r="AD899" i="11"/>
  <c r="G899" i="11"/>
  <c r="AE899" i="11"/>
  <c r="H899" i="11"/>
  <c r="AF899" i="11"/>
  <c r="I899" i="11"/>
  <c r="AG899" i="11"/>
  <c r="J899" i="11"/>
  <c r="AH899" i="11"/>
  <c r="K899" i="11"/>
  <c r="AI899" i="11"/>
  <c r="L899" i="11"/>
  <c r="AJ899" i="11"/>
  <c r="M899" i="11"/>
  <c r="AK899" i="11"/>
  <c r="N899" i="11"/>
  <c r="AL899" i="11"/>
  <c r="O899" i="11"/>
  <c r="AM899" i="11"/>
  <c r="P899" i="11"/>
  <c r="AN899" i="11"/>
  <c r="Q899" i="11"/>
  <c r="AO899" i="11"/>
  <c r="R899" i="11"/>
  <c r="AP899" i="11"/>
  <c r="S899" i="11"/>
  <c r="AQ899" i="11"/>
  <c r="T899" i="11"/>
  <c r="AR899" i="11"/>
  <c r="U899" i="11"/>
  <c r="AS899" i="11"/>
  <c r="V899" i="11"/>
  <c r="AT899" i="11"/>
  <c r="W899" i="11"/>
  <c r="AU899" i="11"/>
  <c r="X899" i="11"/>
  <c r="AV899" i="11"/>
  <c r="Y899" i="11"/>
  <c r="AW899" i="11"/>
  <c r="Z899" i="11"/>
  <c r="AC900" i="11"/>
  <c r="F900" i="11"/>
  <c r="AD900" i="11"/>
  <c r="G900" i="11"/>
  <c r="AE900" i="11"/>
  <c r="H900" i="11"/>
  <c r="AF900" i="11"/>
  <c r="I900" i="11"/>
  <c r="AG900" i="11"/>
  <c r="J900" i="11"/>
  <c r="AH900" i="11"/>
  <c r="K900" i="11"/>
  <c r="AI900" i="11"/>
  <c r="L900" i="11"/>
  <c r="AJ900" i="11"/>
  <c r="M900" i="11"/>
  <c r="AK900" i="11"/>
  <c r="N900" i="11"/>
  <c r="AL900" i="11"/>
  <c r="O900" i="11"/>
  <c r="AM900" i="11"/>
  <c r="P900" i="11"/>
  <c r="AN900" i="11"/>
  <c r="Q900" i="11"/>
  <c r="AO900" i="11"/>
  <c r="R900" i="11"/>
  <c r="AP900" i="11"/>
  <c r="S900" i="11"/>
  <c r="AQ900" i="11"/>
  <c r="T900" i="11"/>
  <c r="AR900" i="11"/>
  <c r="U900" i="11"/>
  <c r="AS900" i="11"/>
  <c r="V900" i="11"/>
  <c r="AT900" i="11"/>
  <c r="W900" i="11"/>
  <c r="AU900" i="11"/>
  <c r="X900" i="11"/>
  <c r="AV900" i="11"/>
  <c r="Y900" i="11"/>
  <c r="AW900" i="11"/>
  <c r="Z900" i="11"/>
  <c r="AC901" i="11"/>
  <c r="F901" i="11"/>
  <c r="AD901" i="11"/>
  <c r="G901" i="11"/>
  <c r="AE901" i="11"/>
  <c r="H901" i="11"/>
  <c r="AF901" i="11"/>
  <c r="I901" i="11"/>
  <c r="AG901" i="11"/>
  <c r="J901" i="11"/>
  <c r="AH901" i="11"/>
  <c r="K901" i="11"/>
  <c r="AI901" i="11"/>
  <c r="L901" i="11"/>
  <c r="AJ901" i="11"/>
  <c r="M901" i="11"/>
  <c r="AK901" i="11"/>
  <c r="N901" i="11"/>
  <c r="AL901" i="11"/>
  <c r="O901" i="11"/>
  <c r="AM901" i="11"/>
  <c r="P901" i="11"/>
  <c r="AN901" i="11"/>
  <c r="Q901" i="11"/>
  <c r="AO901" i="11"/>
  <c r="R901" i="11"/>
  <c r="AP901" i="11"/>
  <c r="S901" i="11"/>
  <c r="AQ901" i="11"/>
  <c r="T901" i="11"/>
  <c r="AR901" i="11"/>
  <c r="U901" i="11"/>
  <c r="AS901" i="11"/>
  <c r="V901" i="11"/>
  <c r="AT901" i="11"/>
  <c r="W901" i="11"/>
  <c r="AU901" i="11"/>
  <c r="X901" i="11"/>
  <c r="AV901" i="11"/>
  <c r="Y901" i="11"/>
  <c r="AW901" i="11"/>
  <c r="Z901" i="11"/>
  <c r="AC902" i="11"/>
  <c r="F902" i="11"/>
  <c r="AD902" i="11"/>
  <c r="G902" i="11"/>
  <c r="AE902" i="11"/>
  <c r="H902" i="11"/>
  <c r="AF902" i="11"/>
  <c r="I902" i="11"/>
  <c r="AG902" i="11"/>
  <c r="J902" i="11"/>
  <c r="AH902" i="11"/>
  <c r="K902" i="11"/>
  <c r="AI902" i="11"/>
  <c r="L902" i="11"/>
  <c r="AJ902" i="11"/>
  <c r="M902" i="11"/>
  <c r="AK902" i="11"/>
  <c r="N902" i="11"/>
  <c r="AL902" i="11"/>
  <c r="O902" i="11"/>
  <c r="AM902" i="11"/>
  <c r="P902" i="11"/>
  <c r="AN902" i="11"/>
  <c r="Q902" i="11"/>
  <c r="AO902" i="11"/>
  <c r="R902" i="11"/>
  <c r="AP902" i="11"/>
  <c r="S902" i="11"/>
  <c r="AQ902" i="11"/>
  <c r="T902" i="11"/>
  <c r="AR902" i="11"/>
  <c r="U902" i="11"/>
  <c r="AS902" i="11"/>
  <c r="V902" i="11"/>
  <c r="AT902" i="11"/>
  <c r="W902" i="11"/>
  <c r="AU902" i="11"/>
  <c r="X902" i="11"/>
  <c r="AV902" i="11"/>
  <c r="Y902" i="11"/>
  <c r="AW902" i="11"/>
  <c r="Z902" i="11"/>
  <c r="AC903" i="11"/>
  <c r="F903" i="11"/>
  <c r="AD903" i="11"/>
  <c r="G903" i="11"/>
  <c r="AE903" i="11"/>
  <c r="H903" i="11"/>
  <c r="AF903" i="11"/>
  <c r="I903" i="11"/>
  <c r="AG903" i="11"/>
  <c r="J903" i="11"/>
  <c r="AH903" i="11"/>
  <c r="K903" i="11"/>
  <c r="AI903" i="11"/>
  <c r="L903" i="11"/>
  <c r="AJ903" i="11"/>
  <c r="M903" i="11"/>
  <c r="AK903" i="11"/>
  <c r="N903" i="11"/>
  <c r="AL903" i="11"/>
  <c r="O903" i="11"/>
  <c r="AM903" i="11"/>
  <c r="P903" i="11"/>
  <c r="AN903" i="11"/>
  <c r="Q903" i="11"/>
  <c r="AO903" i="11"/>
  <c r="R903" i="11"/>
  <c r="AP903" i="11"/>
  <c r="S903" i="11"/>
  <c r="AQ903" i="11"/>
  <c r="T903" i="11"/>
  <c r="AR903" i="11"/>
  <c r="U903" i="11"/>
  <c r="AS903" i="11"/>
  <c r="V903" i="11"/>
  <c r="AT903" i="11"/>
  <c r="W903" i="11"/>
  <c r="AU903" i="11"/>
  <c r="X903" i="11"/>
  <c r="AV903" i="11"/>
  <c r="Y903" i="11"/>
  <c r="AW903" i="11"/>
  <c r="Z903" i="11"/>
  <c r="AC904" i="11"/>
  <c r="F904" i="11"/>
  <c r="AD904" i="11"/>
  <c r="G904" i="11"/>
  <c r="AE904" i="11"/>
  <c r="H904" i="11"/>
  <c r="AF904" i="11"/>
  <c r="I904" i="11"/>
  <c r="AG904" i="11"/>
  <c r="J904" i="11"/>
  <c r="AH904" i="11"/>
  <c r="K904" i="11"/>
  <c r="AI904" i="11"/>
  <c r="L904" i="11"/>
  <c r="AJ904" i="11"/>
  <c r="M904" i="11"/>
  <c r="AK904" i="11"/>
  <c r="N904" i="11"/>
  <c r="AL904" i="11"/>
  <c r="O904" i="11"/>
  <c r="AM904" i="11"/>
  <c r="P904" i="11"/>
  <c r="AN904" i="11"/>
  <c r="Q904" i="11"/>
  <c r="AO904" i="11"/>
  <c r="R904" i="11"/>
  <c r="AP904" i="11"/>
  <c r="S904" i="11"/>
  <c r="AQ904" i="11"/>
  <c r="T904" i="11"/>
  <c r="AR904" i="11"/>
  <c r="U904" i="11"/>
  <c r="AS904" i="11"/>
  <c r="V904" i="11"/>
  <c r="AT904" i="11"/>
  <c r="W904" i="11"/>
  <c r="AU904" i="11"/>
  <c r="X904" i="11"/>
  <c r="AV904" i="11"/>
  <c r="Y904" i="11"/>
  <c r="AW904" i="11"/>
  <c r="Z904" i="11"/>
  <c r="AC905" i="11"/>
  <c r="F905" i="11"/>
  <c r="AD905" i="11"/>
  <c r="G905" i="11"/>
  <c r="AE905" i="11"/>
  <c r="H905" i="11"/>
  <c r="AF905" i="11"/>
  <c r="I905" i="11"/>
  <c r="AG905" i="11"/>
  <c r="J905" i="11"/>
  <c r="AH905" i="11"/>
  <c r="K905" i="11"/>
  <c r="AI905" i="11"/>
  <c r="L905" i="11"/>
  <c r="AJ905" i="11"/>
  <c r="M905" i="11"/>
  <c r="AK905" i="11"/>
  <c r="N905" i="11"/>
  <c r="AL905" i="11"/>
  <c r="O905" i="11"/>
  <c r="AM905" i="11"/>
  <c r="P905" i="11"/>
  <c r="AN905" i="11"/>
  <c r="Q905" i="11"/>
  <c r="AO905" i="11"/>
  <c r="R905" i="11"/>
  <c r="AP905" i="11"/>
  <c r="S905" i="11"/>
  <c r="AQ905" i="11"/>
  <c r="T905" i="11"/>
  <c r="AR905" i="11"/>
  <c r="U905" i="11"/>
  <c r="AS905" i="11"/>
  <c r="V905" i="11"/>
  <c r="AT905" i="11"/>
  <c r="W905" i="11"/>
  <c r="AU905" i="11"/>
  <c r="X905" i="11"/>
  <c r="AV905" i="11"/>
  <c r="Y905" i="11"/>
  <c r="AW905" i="11"/>
  <c r="Z905" i="11"/>
  <c r="AC906" i="11"/>
  <c r="F906" i="11"/>
  <c r="AD906" i="11"/>
  <c r="G906" i="11"/>
  <c r="AE906" i="11"/>
  <c r="H906" i="11"/>
  <c r="AF906" i="11"/>
  <c r="I906" i="11"/>
  <c r="AG906" i="11"/>
  <c r="J906" i="11"/>
  <c r="AH906" i="11"/>
  <c r="K906" i="11"/>
  <c r="AI906" i="11"/>
  <c r="L906" i="11"/>
  <c r="AJ906" i="11"/>
  <c r="M906" i="11"/>
  <c r="AK906" i="11"/>
  <c r="N906" i="11"/>
  <c r="AL906" i="11"/>
  <c r="O906" i="11"/>
  <c r="AM906" i="11"/>
  <c r="P906" i="11"/>
  <c r="AN906" i="11"/>
  <c r="Q906" i="11"/>
  <c r="AO906" i="11"/>
  <c r="R906" i="11"/>
  <c r="AP906" i="11"/>
  <c r="S906" i="11"/>
  <c r="AQ906" i="11"/>
  <c r="T906" i="11"/>
  <c r="AR906" i="11"/>
  <c r="U906" i="11"/>
  <c r="AS906" i="11"/>
  <c r="V906" i="11"/>
  <c r="AT906" i="11"/>
  <c r="W906" i="11"/>
  <c r="AU906" i="11"/>
  <c r="X906" i="11"/>
  <c r="AV906" i="11"/>
  <c r="Y906" i="11"/>
  <c r="AW906" i="11"/>
  <c r="Z906" i="11"/>
  <c r="AC907" i="11"/>
  <c r="F907" i="11"/>
  <c r="AD907" i="11"/>
  <c r="G907" i="11"/>
  <c r="AE907" i="11"/>
  <c r="H907" i="11"/>
  <c r="AF907" i="11"/>
  <c r="I907" i="11"/>
  <c r="AG907" i="11"/>
  <c r="J907" i="11"/>
  <c r="AH907" i="11"/>
  <c r="K907" i="11"/>
  <c r="AI907" i="11"/>
  <c r="L907" i="11"/>
  <c r="AJ907" i="11"/>
  <c r="M907" i="11"/>
  <c r="AK907" i="11"/>
  <c r="N907" i="11"/>
  <c r="AL907" i="11"/>
  <c r="O907" i="11"/>
  <c r="AM907" i="11"/>
  <c r="P907" i="11"/>
  <c r="AN907" i="11"/>
  <c r="Q907" i="11"/>
  <c r="AO907" i="11"/>
  <c r="R907" i="11"/>
  <c r="AP907" i="11"/>
  <c r="S907" i="11"/>
  <c r="AQ907" i="11"/>
  <c r="T907" i="11"/>
  <c r="AR907" i="11"/>
  <c r="U907" i="11"/>
  <c r="AS907" i="11"/>
  <c r="V907" i="11"/>
  <c r="AT907" i="11"/>
  <c r="W907" i="11"/>
  <c r="AU907" i="11"/>
  <c r="X907" i="11"/>
  <c r="AV907" i="11"/>
  <c r="Y907" i="11"/>
  <c r="AW907" i="11"/>
  <c r="Z907" i="11"/>
  <c r="AC908" i="11"/>
  <c r="F908" i="11"/>
  <c r="AD908" i="11"/>
  <c r="G908" i="11"/>
  <c r="AE908" i="11"/>
  <c r="H908" i="11"/>
  <c r="AF908" i="11"/>
  <c r="I908" i="11"/>
  <c r="AG908" i="11"/>
  <c r="J908" i="11"/>
  <c r="AH908" i="11"/>
  <c r="K908" i="11"/>
  <c r="AI908" i="11"/>
  <c r="L908" i="11"/>
  <c r="AJ908" i="11"/>
  <c r="M908" i="11"/>
  <c r="AK908" i="11"/>
  <c r="N908" i="11"/>
  <c r="AL908" i="11"/>
  <c r="O908" i="11"/>
  <c r="AM908" i="11"/>
  <c r="P908" i="11"/>
  <c r="AN908" i="11"/>
  <c r="Q908" i="11"/>
  <c r="AO908" i="11"/>
  <c r="R908" i="11"/>
  <c r="AP908" i="11"/>
  <c r="S908" i="11"/>
  <c r="AQ908" i="11"/>
  <c r="T908" i="11"/>
  <c r="AR908" i="11"/>
  <c r="U908" i="11"/>
  <c r="AS908" i="11"/>
  <c r="V908" i="11"/>
  <c r="AT908" i="11"/>
  <c r="W908" i="11"/>
  <c r="AU908" i="11"/>
  <c r="X908" i="11"/>
  <c r="AV908" i="11"/>
  <c r="Y908" i="11"/>
  <c r="AW908" i="11"/>
  <c r="Z908" i="11"/>
  <c r="AC909" i="11"/>
  <c r="F909" i="11"/>
  <c r="AD909" i="11"/>
  <c r="G909" i="11"/>
  <c r="AE909" i="11"/>
  <c r="H909" i="11"/>
  <c r="AF909" i="11"/>
  <c r="I909" i="11"/>
  <c r="AG909" i="11"/>
  <c r="J909" i="11"/>
  <c r="AH909" i="11"/>
  <c r="K909" i="11"/>
  <c r="AI909" i="11"/>
  <c r="L909" i="11"/>
  <c r="AJ909" i="11"/>
  <c r="M909" i="11"/>
  <c r="AK909" i="11"/>
  <c r="N909" i="11"/>
  <c r="AL909" i="11"/>
  <c r="O909" i="11"/>
  <c r="AM909" i="11"/>
  <c r="P909" i="11"/>
  <c r="AN909" i="11"/>
  <c r="Q909" i="11"/>
  <c r="AO909" i="11"/>
  <c r="R909" i="11"/>
  <c r="AP909" i="11"/>
  <c r="S909" i="11"/>
  <c r="AQ909" i="11"/>
  <c r="T909" i="11"/>
  <c r="AR909" i="11"/>
  <c r="U909" i="11"/>
  <c r="AS909" i="11"/>
  <c r="V909" i="11"/>
  <c r="AT909" i="11"/>
  <c r="W909" i="11"/>
  <c r="AU909" i="11"/>
  <c r="X909" i="11"/>
  <c r="AV909" i="11"/>
  <c r="Y909" i="11"/>
  <c r="AW909" i="11"/>
  <c r="Z909" i="11"/>
  <c r="AC910" i="11"/>
  <c r="F910" i="11"/>
  <c r="AD910" i="11"/>
  <c r="G910" i="11"/>
  <c r="AE910" i="11"/>
  <c r="H910" i="11"/>
  <c r="AF910" i="11"/>
  <c r="I910" i="11"/>
  <c r="AG910" i="11"/>
  <c r="J910" i="11"/>
  <c r="AH910" i="11"/>
  <c r="K910" i="11"/>
  <c r="AI910" i="11"/>
  <c r="L910" i="11"/>
  <c r="AJ910" i="11"/>
  <c r="M910" i="11"/>
  <c r="AK910" i="11"/>
  <c r="N910" i="11"/>
  <c r="AL910" i="11"/>
  <c r="O910" i="11"/>
  <c r="AM910" i="11"/>
  <c r="P910" i="11"/>
  <c r="AN910" i="11"/>
  <c r="Q910" i="11"/>
  <c r="AO910" i="11"/>
  <c r="R910" i="11"/>
  <c r="AP910" i="11"/>
  <c r="S910" i="11"/>
  <c r="AQ910" i="11"/>
  <c r="T910" i="11"/>
  <c r="AR910" i="11"/>
  <c r="U910" i="11"/>
  <c r="AS910" i="11"/>
  <c r="V910" i="11"/>
  <c r="AT910" i="11"/>
  <c r="W910" i="11"/>
  <c r="AU910" i="11"/>
  <c r="X910" i="11"/>
  <c r="AV910" i="11"/>
  <c r="Y910" i="11"/>
  <c r="AW910" i="11"/>
  <c r="Z910" i="11"/>
  <c r="AC911" i="11"/>
  <c r="F911" i="11"/>
  <c r="AD911" i="11"/>
  <c r="G911" i="11"/>
  <c r="AE911" i="11"/>
  <c r="H911" i="11"/>
  <c r="AF911" i="11"/>
  <c r="I911" i="11"/>
  <c r="AG911" i="11"/>
  <c r="J911" i="11"/>
  <c r="AH911" i="11"/>
  <c r="K911" i="11"/>
  <c r="AI911" i="11"/>
  <c r="L911" i="11"/>
  <c r="AJ911" i="11"/>
  <c r="M911" i="11"/>
  <c r="AK911" i="11"/>
  <c r="N911" i="11"/>
  <c r="AL911" i="11"/>
  <c r="O911" i="11"/>
  <c r="AM911" i="11"/>
  <c r="P911" i="11"/>
  <c r="AN911" i="11"/>
  <c r="Q911" i="11"/>
  <c r="AO911" i="11"/>
  <c r="R911" i="11"/>
  <c r="AP911" i="11"/>
  <c r="S911" i="11"/>
  <c r="AQ911" i="11"/>
  <c r="T911" i="11"/>
  <c r="AR911" i="11"/>
  <c r="U911" i="11"/>
  <c r="AS911" i="11"/>
  <c r="V911" i="11"/>
  <c r="AT911" i="11"/>
  <c r="W911" i="11"/>
  <c r="AU911" i="11"/>
  <c r="X911" i="11"/>
  <c r="AV911" i="11"/>
  <c r="Y911" i="11"/>
  <c r="AW911" i="11"/>
  <c r="Z911" i="11"/>
  <c r="AC912" i="11"/>
  <c r="F912" i="11"/>
  <c r="AD912" i="11"/>
  <c r="G912" i="11"/>
  <c r="AE912" i="11"/>
  <c r="H912" i="11"/>
  <c r="AF912" i="11"/>
  <c r="I912" i="11"/>
  <c r="AG912" i="11"/>
  <c r="J912" i="11"/>
  <c r="AH912" i="11"/>
  <c r="K912" i="11"/>
  <c r="AI912" i="11"/>
  <c r="L912" i="11"/>
  <c r="AJ912" i="11"/>
  <c r="M912" i="11"/>
  <c r="AK912" i="11"/>
  <c r="N912" i="11"/>
  <c r="AL912" i="11"/>
  <c r="O912" i="11"/>
  <c r="AM912" i="11"/>
  <c r="P912" i="11"/>
  <c r="AN912" i="11"/>
  <c r="Q912" i="11"/>
  <c r="AO912" i="11"/>
  <c r="R912" i="11"/>
  <c r="AP912" i="11"/>
  <c r="S912" i="11"/>
  <c r="AQ912" i="11"/>
  <c r="T912" i="11"/>
  <c r="AR912" i="11"/>
  <c r="U912" i="11"/>
  <c r="AS912" i="11"/>
  <c r="V912" i="11"/>
  <c r="AT912" i="11"/>
  <c r="W912" i="11"/>
  <c r="AU912" i="11"/>
  <c r="X912" i="11"/>
  <c r="AV912" i="11"/>
  <c r="Y912" i="11"/>
  <c r="AW912" i="11"/>
  <c r="Z912" i="11"/>
  <c r="AC913" i="11"/>
  <c r="F913" i="11"/>
  <c r="AD913" i="11"/>
  <c r="G913" i="11"/>
  <c r="AE913" i="11"/>
  <c r="H913" i="11"/>
  <c r="AF913" i="11"/>
  <c r="I913" i="11"/>
  <c r="AG913" i="11"/>
  <c r="J913" i="11"/>
  <c r="AH913" i="11"/>
  <c r="K913" i="11"/>
  <c r="AI913" i="11"/>
  <c r="L913" i="11"/>
  <c r="AJ913" i="11"/>
  <c r="M913" i="11"/>
  <c r="AK913" i="11"/>
  <c r="N913" i="11"/>
  <c r="AL913" i="11"/>
  <c r="O913" i="11"/>
  <c r="AM913" i="11"/>
  <c r="P913" i="11"/>
  <c r="AN913" i="11"/>
  <c r="Q913" i="11"/>
  <c r="AO913" i="11"/>
  <c r="R913" i="11"/>
  <c r="AP913" i="11"/>
  <c r="S913" i="11"/>
  <c r="AQ913" i="11"/>
  <c r="T913" i="11"/>
  <c r="AR913" i="11"/>
  <c r="U913" i="11"/>
  <c r="AS913" i="11"/>
  <c r="V913" i="11"/>
  <c r="AT913" i="11"/>
  <c r="W913" i="11"/>
  <c r="AU913" i="11"/>
  <c r="X913" i="11"/>
  <c r="AV913" i="11"/>
  <c r="Y913" i="11"/>
  <c r="AW913" i="11"/>
  <c r="Z913" i="11"/>
  <c r="AC914" i="11"/>
  <c r="F914" i="11"/>
  <c r="AD914" i="11"/>
  <c r="G914" i="11"/>
  <c r="AE914" i="11"/>
  <c r="H914" i="11"/>
  <c r="AF914" i="11"/>
  <c r="I914" i="11"/>
  <c r="AG914" i="11"/>
  <c r="J914" i="11"/>
  <c r="AH914" i="11"/>
  <c r="K914" i="11"/>
  <c r="AI914" i="11"/>
  <c r="L914" i="11"/>
  <c r="AJ914" i="11"/>
  <c r="M914" i="11"/>
  <c r="AK914" i="11"/>
  <c r="N914" i="11"/>
  <c r="AL914" i="11"/>
  <c r="O914" i="11"/>
  <c r="AM914" i="11"/>
  <c r="P914" i="11"/>
  <c r="AN914" i="11"/>
  <c r="Q914" i="11"/>
  <c r="AO914" i="11"/>
  <c r="R914" i="11"/>
  <c r="AP914" i="11"/>
  <c r="S914" i="11"/>
  <c r="AQ914" i="11"/>
  <c r="T914" i="11"/>
  <c r="AR914" i="11"/>
  <c r="U914" i="11"/>
  <c r="AS914" i="11"/>
  <c r="V914" i="11"/>
  <c r="AT914" i="11"/>
  <c r="W914" i="11"/>
  <c r="AU914" i="11"/>
  <c r="X914" i="11"/>
  <c r="AV914" i="11"/>
  <c r="Y914" i="11"/>
  <c r="AW914" i="11"/>
  <c r="Z914" i="11"/>
  <c r="AC915" i="11"/>
  <c r="F915" i="11"/>
  <c r="AD915" i="11"/>
  <c r="G915" i="11"/>
  <c r="AE915" i="11"/>
  <c r="H915" i="11"/>
  <c r="AF915" i="11"/>
  <c r="I915" i="11"/>
  <c r="AG915" i="11"/>
  <c r="J915" i="11"/>
  <c r="AH915" i="11"/>
  <c r="K915" i="11"/>
  <c r="AI915" i="11"/>
  <c r="L915" i="11"/>
  <c r="AJ915" i="11"/>
  <c r="M915" i="11"/>
  <c r="AK915" i="11"/>
  <c r="N915" i="11"/>
  <c r="AL915" i="11"/>
  <c r="O915" i="11"/>
  <c r="AM915" i="11"/>
  <c r="P915" i="11"/>
  <c r="AN915" i="11"/>
  <c r="Q915" i="11"/>
  <c r="AO915" i="11"/>
  <c r="R915" i="11"/>
  <c r="AP915" i="11"/>
  <c r="S915" i="11"/>
  <c r="AQ915" i="11"/>
  <c r="T915" i="11"/>
  <c r="AR915" i="11"/>
  <c r="U915" i="11"/>
  <c r="AS915" i="11"/>
  <c r="V915" i="11"/>
  <c r="AT915" i="11"/>
  <c r="W915" i="11"/>
  <c r="AU915" i="11"/>
  <c r="X915" i="11"/>
  <c r="AV915" i="11"/>
  <c r="Y915" i="11"/>
  <c r="AW915" i="11"/>
  <c r="Z915" i="11"/>
  <c r="AC916" i="11"/>
  <c r="F916" i="11"/>
  <c r="AD916" i="11"/>
  <c r="G916" i="11"/>
  <c r="AE916" i="11"/>
  <c r="H916" i="11"/>
  <c r="AF916" i="11"/>
  <c r="I916" i="11"/>
  <c r="AG916" i="11"/>
  <c r="J916" i="11"/>
  <c r="AH916" i="11"/>
  <c r="K916" i="11"/>
  <c r="AI916" i="11"/>
  <c r="L916" i="11"/>
  <c r="AJ916" i="11"/>
  <c r="M916" i="11"/>
  <c r="AK916" i="11"/>
  <c r="N916" i="11"/>
  <c r="AL916" i="11"/>
  <c r="O916" i="11"/>
  <c r="AM916" i="11"/>
  <c r="P916" i="11"/>
  <c r="AN916" i="11"/>
  <c r="Q916" i="11"/>
  <c r="AO916" i="11"/>
  <c r="R916" i="11"/>
  <c r="AP916" i="11"/>
  <c r="S916" i="11"/>
  <c r="AQ916" i="11"/>
  <c r="T916" i="11"/>
  <c r="AR916" i="11"/>
  <c r="U916" i="11"/>
  <c r="AS916" i="11"/>
  <c r="V916" i="11"/>
  <c r="AT916" i="11"/>
  <c r="W916" i="11"/>
  <c r="AU916" i="11"/>
  <c r="X916" i="11"/>
  <c r="AV916" i="11"/>
  <c r="Y916" i="11"/>
  <c r="AW916" i="11"/>
  <c r="Z916" i="11"/>
  <c r="AC917" i="11"/>
  <c r="F917" i="11"/>
  <c r="AD917" i="11"/>
  <c r="G917" i="11"/>
  <c r="AE917" i="11"/>
  <c r="H917" i="11"/>
  <c r="AF917" i="11"/>
  <c r="I917" i="11"/>
  <c r="AG917" i="11"/>
  <c r="J917" i="11"/>
  <c r="AH917" i="11"/>
  <c r="K917" i="11"/>
  <c r="AI917" i="11"/>
  <c r="L917" i="11"/>
  <c r="AJ917" i="11"/>
  <c r="M917" i="11"/>
  <c r="AK917" i="11"/>
  <c r="N917" i="11"/>
  <c r="AL917" i="11"/>
  <c r="O917" i="11"/>
  <c r="AM917" i="11"/>
  <c r="P917" i="11"/>
  <c r="AN917" i="11"/>
  <c r="Q917" i="11"/>
  <c r="AO917" i="11"/>
  <c r="R917" i="11"/>
  <c r="AP917" i="11"/>
  <c r="S917" i="11"/>
  <c r="AQ917" i="11"/>
  <c r="T917" i="11"/>
  <c r="AR917" i="11"/>
  <c r="U917" i="11"/>
  <c r="AS917" i="11"/>
  <c r="V917" i="11"/>
  <c r="AT917" i="11"/>
  <c r="W917" i="11"/>
  <c r="AU917" i="11"/>
  <c r="X917" i="11"/>
  <c r="AV917" i="11"/>
  <c r="Y917" i="11"/>
  <c r="AW917" i="11"/>
  <c r="Z917" i="11"/>
  <c r="AC918" i="11"/>
  <c r="F918" i="11"/>
  <c r="AD918" i="11"/>
  <c r="G918" i="11"/>
  <c r="AE918" i="11"/>
  <c r="H918" i="11"/>
  <c r="AF918" i="11"/>
  <c r="I918" i="11"/>
  <c r="AG918" i="11"/>
  <c r="J918" i="11"/>
  <c r="AH918" i="11"/>
  <c r="K918" i="11"/>
  <c r="AI918" i="11"/>
  <c r="L918" i="11"/>
  <c r="AJ918" i="11"/>
  <c r="M918" i="11"/>
  <c r="AK918" i="11"/>
  <c r="N918" i="11"/>
  <c r="AL918" i="11"/>
  <c r="O918" i="11"/>
  <c r="AM918" i="11"/>
  <c r="P918" i="11"/>
  <c r="AN918" i="11"/>
  <c r="Q918" i="11"/>
  <c r="AO918" i="11"/>
  <c r="R918" i="11"/>
  <c r="AP918" i="11"/>
  <c r="S918" i="11"/>
  <c r="AQ918" i="11"/>
  <c r="T918" i="11"/>
  <c r="AR918" i="11"/>
  <c r="U918" i="11"/>
  <c r="AS918" i="11"/>
  <c r="V918" i="11"/>
  <c r="AT918" i="11"/>
  <c r="W918" i="11"/>
  <c r="AU918" i="11"/>
  <c r="X918" i="11"/>
  <c r="AV918" i="11"/>
  <c r="Y918" i="11"/>
  <c r="AW918" i="11"/>
  <c r="Z918" i="11"/>
  <c r="AC919" i="11"/>
  <c r="F919" i="11"/>
  <c r="AD919" i="11"/>
  <c r="G919" i="11"/>
  <c r="AE919" i="11"/>
  <c r="H919" i="11"/>
  <c r="AF919" i="11"/>
  <c r="I919" i="11"/>
  <c r="AG919" i="11"/>
  <c r="J919" i="11"/>
  <c r="AH919" i="11"/>
  <c r="K919" i="11"/>
  <c r="AI919" i="11"/>
  <c r="L919" i="11"/>
  <c r="AJ919" i="11"/>
  <c r="M919" i="11"/>
  <c r="AK919" i="11"/>
  <c r="N919" i="11"/>
  <c r="AL919" i="11"/>
  <c r="O919" i="11"/>
  <c r="AM919" i="11"/>
  <c r="P919" i="11"/>
  <c r="AN919" i="11"/>
  <c r="Q919" i="11"/>
  <c r="AO919" i="11"/>
  <c r="R919" i="11"/>
  <c r="AP919" i="11"/>
  <c r="S919" i="11"/>
  <c r="AQ919" i="11"/>
  <c r="T919" i="11"/>
  <c r="AR919" i="11"/>
  <c r="U919" i="11"/>
  <c r="AS919" i="11"/>
  <c r="V919" i="11"/>
  <c r="AT919" i="11"/>
  <c r="W919" i="11"/>
  <c r="AU919" i="11"/>
  <c r="X919" i="11"/>
  <c r="AV919" i="11"/>
  <c r="Y919" i="11"/>
  <c r="AW919" i="11"/>
  <c r="Z919" i="11"/>
  <c r="AC920" i="11"/>
  <c r="F920" i="11"/>
  <c r="AD920" i="11"/>
  <c r="G920" i="11"/>
  <c r="AE920" i="11"/>
  <c r="H920" i="11"/>
  <c r="AF920" i="11"/>
  <c r="I920" i="11"/>
  <c r="AG920" i="11"/>
  <c r="J920" i="11"/>
  <c r="AH920" i="11"/>
  <c r="K920" i="11"/>
  <c r="AI920" i="11"/>
  <c r="L920" i="11"/>
  <c r="AJ920" i="11"/>
  <c r="M920" i="11"/>
  <c r="AK920" i="11"/>
  <c r="N920" i="11"/>
  <c r="AL920" i="11"/>
  <c r="O920" i="11"/>
  <c r="AM920" i="11"/>
  <c r="P920" i="11"/>
  <c r="AN920" i="11"/>
  <c r="Q920" i="11"/>
  <c r="AO920" i="11"/>
  <c r="R920" i="11"/>
  <c r="AP920" i="11"/>
  <c r="S920" i="11"/>
  <c r="AQ920" i="11"/>
  <c r="T920" i="11"/>
  <c r="AR920" i="11"/>
  <c r="U920" i="11"/>
  <c r="AS920" i="11"/>
  <c r="V920" i="11"/>
  <c r="AT920" i="11"/>
  <c r="W920" i="11"/>
  <c r="AU920" i="11"/>
  <c r="X920" i="11"/>
  <c r="AV920" i="11"/>
  <c r="Y920" i="11"/>
  <c r="AW920" i="11"/>
  <c r="Z920" i="11"/>
  <c r="AC921" i="11"/>
  <c r="F921" i="11"/>
  <c r="AD921" i="11"/>
  <c r="G921" i="11"/>
  <c r="AE921" i="11"/>
  <c r="H921" i="11"/>
  <c r="AF921" i="11"/>
  <c r="I921" i="11"/>
  <c r="AG921" i="11"/>
  <c r="J921" i="11"/>
  <c r="AH921" i="11"/>
  <c r="K921" i="11"/>
  <c r="AI921" i="11"/>
  <c r="L921" i="11"/>
  <c r="AJ921" i="11"/>
  <c r="M921" i="11"/>
  <c r="AK921" i="11"/>
  <c r="N921" i="11"/>
  <c r="AL921" i="11"/>
  <c r="O921" i="11"/>
  <c r="AM921" i="11"/>
  <c r="P921" i="11"/>
  <c r="AN921" i="11"/>
  <c r="Q921" i="11"/>
  <c r="AO921" i="11"/>
  <c r="R921" i="11"/>
  <c r="AP921" i="11"/>
  <c r="S921" i="11"/>
  <c r="AQ921" i="11"/>
  <c r="T921" i="11"/>
  <c r="AR921" i="11"/>
  <c r="U921" i="11"/>
  <c r="AS921" i="11"/>
  <c r="V921" i="11"/>
  <c r="AT921" i="11"/>
  <c r="W921" i="11"/>
  <c r="AU921" i="11"/>
  <c r="X921" i="11"/>
  <c r="AV921" i="11"/>
  <c r="Y921" i="11"/>
  <c r="AW921" i="11"/>
  <c r="Z921" i="11"/>
  <c r="AC922" i="11"/>
  <c r="F922" i="11"/>
  <c r="AD922" i="11"/>
  <c r="G922" i="11"/>
  <c r="AE922" i="11"/>
  <c r="H922" i="11"/>
  <c r="AF922" i="11"/>
  <c r="I922" i="11"/>
  <c r="AG922" i="11"/>
  <c r="J922" i="11"/>
  <c r="AH922" i="11"/>
  <c r="K922" i="11"/>
  <c r="AI922" i="11"/>
  <c r="L922" i="11"/>
  <c r="AJ922" i="11"/>
  <c r="M922" i="11"/>
  <c r="AK922" i="11"/>
  <c r="N922" i="11"/>
  <c r="AL922" i="11"/>
  <c r="O922" i="11"/>
  <c r="AM922" i="11"/>
  <c r="P922" i="11"/>
  <c r="AN922" i="11"/>
  <c r="Q922" i="11"/>
  <c r="AO922" i="11"/>
  <c r="R922" i="11"/>
  <c r="AP922" i="11"/>
  <c r="S922" i="11"/>
  <c r="AQ922" i="11"/>
  <c r="T922" i="11"/>
  <c r="AR922" i="11"/>
  <c r="U922" i="11"/>
  <c r="AS922" i="11"/>
  <c r="V922" i="11"/>
  <c r="AT922" i="11"/>
  <c r="W922" i="11"/>
  <c r="AU922" i="11"/>
  <c r="X922" i="11"/>
  <c r="AV922" i="11"/>
  <c r="Y922" i="11"/>
  <c r="AW922" i="11"/>
  <c r="Z922" i="11"/>
  <c r="AC923" i="11"/>
  <c r="F923" i="11"/>
  <c r="AD923" i="11"/>
  <c r="G923" i="11"/>
  <c r="AE923" i="11"/>
  <c r="H923" i="11"/>
  <c r="AF923" i="11"/>
  <c r="I923" i="11"/>
  <c r="AG923" i="11"/>
  <c r="J923" i="11"/>
  <c r="AH923" i="11"/>
  <c r="K923" i="11"/>
  <c r="AI923" i="11"/>
  <c r="L923" i="11"/>
  <c r="AJ923" i="11"/>
  <c r="M923" i="11"/>
  <c r="AK923" i="11"/>
  <c r="N923" i="11"/>
  <c r="AL923" i="11"/>
  <c r="O923" i="11"/>
  <c r="AM923" i="11"/>
  <c r="P923" i="11"/>
  <c r="AN923" i="11"/>
  <c r="Q923" i="11"/>
  <c r="AO923" i="11"/>
  <c r="R923" i="11"/>
  <c r="AP923" i="11"/>
  <c r="S923" i="11"/>
  <c r="AQ923" i="11"/>
  <c r="T923" i="11"/>
  <c r="AR923" i="11"/>
  <c r="U923" i="11"/>
  <c r="AS923" i="11"/>
  <c r="V923" i="11"/>
  <c r="AT923" i="11"/>
  <c r="W923" i="11"/>
  <c r="AU923" i="11"/>
  <c r="X923" i="11"/>
  <c r="AV923" i="11"/>
  <c r="Y923" i="11"/>
  <c r="AW923" i="11"/>
  <c r="Z923" i="11"/>
  <c r="AC924" i="11"/>
  <c r="F924" i="11"/>
  <c r="AD924" i="11"/>
  <c r="G924" i="11"/>
  <c r="AE924" i="11"/>
  <c r="H924" i="11"/>
  <c r="AF924" i="11"/>
  <c r="I924" i="11"/>
  <c r="AG924" i="11"/>
  <c r="J924" i="11"/>
  <c r="AH924" i="11"/>
  <c r="K924" i="11"/>
  <c r="AI924" i="11"/>
  <c r="L924" i="11"/>
  <c r="AJ924" i="11"/>
  <c r="M924" i="11"/>
  <c r="AK924" i="11"/>
  <c r="N924" i="11"/>
  <c r="AL924" i="11"/>
  <c r="O924" i="11"/>
  <c r="AM924" i="11"/>
  <c r="P924" i="11"/>
  <c r="AN924" i="11"/>
  <c r="Q924" i="11"/>
  <c r="AO924" i="11"/>
  <c r="R924" i="11"/>
  <c r="AP924" i="11"/>
  <c r="S924" i="11"/>
  <c r="AQ924" i="11"/>
  <c r="T924" i="11"/>
  <c r="AR924" i="11"/>
  <c r="U924" i="11"/>
  <c r="AS924" i="11"/>
  <c r="V924" i="11"/>
  <c r="AT924" i="11"/>
  <c r="W924" i="11"/>
  <c r="AU924" i="11"/>
  <c r="X924" i="11"/>
  <c r="AV924" i="11"/>
  <c r="Y924" i="11"/>
  <c r="AW924" i="11"/>
  <c r="Z924" i="11"/>
  <c r="AC925" i="11"/>
  <c r="F925" i="11"/>
  <c r="AD925" i="11"/>
  <c r="G925" i="11"/>
  <c r="AE925" i="11"/>
  <c r="H925" i="11"/>
  <c r="AF925" i="11"/>
  <c r="I925" i="11"/>
  <c r="AG925" i="11"/>
  <c r="J925" i="11"/>
  <c r="AH925" i="11"/>
  <c r="K925" i="11"/>
  <c r="AI925" i="11"/>
  <c r="L925" i="11"/>
  <c r="AJ925" i="11"/>
  <c r="M925" i="11"/>
  <c r="AK925" i="11"/>
  <c r="N925" i="11"/>
  <c r="AL925" i="11"/>
  <c r="O925" i="11"/>
  <c r="AM925" i="11"/>
  <c r="P925" i="11"/>
  <c r="AN925" i="11"/>
  <c r="Q925" i="11"/>
  <c r="AO925" i="11"/>
  <c r="R925" i="11"/>
  <c r="AP925" i="11"/>
  <c r="S925" i="11"/>
  <c r="AQ925" i="11"/>
  <c r="T925" i="11"/>
  <c r="AR925" i="11"/>
  <c r="U925" i="11"/>
  <c r="AS925" i="11"/>
  <c r="V925" i="11"/>
  <c r="AT925" i="11"/>
  <c r="W925" i="11"/>
  <c r="AU925" i="11"/>
  <c r="X925" i="11"/>
  <c r="AV925" i="11"/>
  <c r="Y925" i="11"/>
  <c r="AW925" i="11"/>
  <c r="Z925" i="11"/>
  <c r="AC926" i="11"/>
  <c r="F926" i="11"/>
  <c r="AD926" i="11"/>
  <c r="G926" i="11"/>
  <c r="AE926" i="11"/>
  <c r="H926" i="11"/>
  <c r="AF926" i="11"/>
  <c r="I926" i="11"/>
  <c r="AG926" i="11"/>
  <c r="J926" i="11"/>
  <c r="AH926" i="11"/>
  <c r="K926" i="11"/>
  <c r="AI926" i="11"/>
  <c r="L926" i="11"/>
  <c r="AJ926" i="11"/>
  <c r="M926" i="11"/>
  <c r="AK926" i="11"/>
  <c r="N926" i="11"/>
  <c r="AL926" i="11"/>
  <c r="O926" i="11"/>
  <c r="AM926" i="11"/>
  <c r="P926" i="11"/>
  <c r="AN926" i="11"/>
  <c r="Q926" i="11"/>
  <c r="AO926" i="11"/>
  <c r="R926" i="11"/>
  <c r="AP926" i="11"/>
  <c r="S926" i="11"/>
  <c r="AQ926" i="11"/>
  <c r="T926" i="11"/>
  <c r="AR926" i="11"/>
  <c r="U926" i="11"/>
  <c r="AS926" i="11"/>
  <c r="V926" i="11"/>
  <c r="AT926" i="11"/>
  <c r="W926" i="11"/>
  <c r="AU926" i="11"/>
  <c r="X926" i="11"/>
  <c r="AV926" i="11"/>
  <c r="Y926" i="11"/>
  <c r="AW926" i="11"/>
  <c r="Z926" i="11"/>
  <c r="AC927" i="11"/>
  <c r="F927" i="11"/>
  <c r="AD927" i="11"/>
  <c r="G927" i="11"/>
  <c r="AE927" i="11"/>
  <c r="H927" i="11"/>
  <c r="AF927" i="11"/>
  <c r="I927" i="11"/>
  <c r="AG927" i="11"/>
  <c r="J927" i="11"/>
  <c r="AH927" i="11"/>
  <c r="K927" i="11"/>
  <c r="AI927" i="11"/>
  <c r="L927" i="11"/>
  <c r="AJ927" i="11"/>
  <c r="M927" i="11"/>
  <c r="AK927" i="11"/>
  <c r="N927" i="11"/>
  <c r="AL927" i="11"/>
  <c r="O927" i="11"/>
  <c r="AM927" i="11"/>
  <c r="P927" i="11"/>
  <c r="AN927" i="11"/>
  <c r="Q927" i="11"/>
  <c r="AO927" i="11"/>
  <c r="R927" i="11"/>
  <c r="AP927" i="11"/>
  <c r="S927" i="11"/>
  <c r="AQ927" i="11"/>
  <c r="T927" i="11"/>
  <c r="AR927" i="11"/>
  <c r="U927" i="11"/>
  <c r="AS927" i="11"/>
  <c r="V927" i="11"/>
  <c r="AT927" i="11"/>
  <c r="W927" i="11"/>
  <c r="AU927" i="11"/>
  <c r="X927" i="11"/>
  <c r="AV927" i="11"/>
  <c r="Y927" i="11"/>
  <c r="AW927" i="11"/>
  <c r="Z927" i="11"/>
  <c r="AC928" i="11"/>
  <c r="F928" i="11"/>
  <c r="AD928" i="11"/>
  <c r="G928" i="11"/>
  <c r="AE928" i="11"/>
  <c r="H928" i="11"/>
  <c r="AF928" i="11"/>
  <c r="I928" i="11"/>
  <c r="AG928" i="11"/>
  <c r="J928" i="11"/>
  <c r="AH928" i="11"/>
  <c r="K928" i="11"/>
  <c r="AI928" i="11"/>
  <c r="L928" i="11"/>
  <c r="AJ928" i="11"/>
  <c r="M928" i="11"/>
  <c r="AK928" i="11"/>
  <c r="N928" i="11"/>
  <c r="AL928" i="11"/>
  <c r="O928" i="11"/>
  <c r="AM928" i="11"/>
  <c r="P928" i="11"/>
  <c r="AN928" i="11"/>
  <c r="Q928" i="11"/>
  <c r="AO928" i="11"/>
  <c r="R928" i="11"/>
  <c r="AP928" i="11"/>
  <c r="S928" i="11"/>
  <c r="AQ928" i="11"/>
  <c r="T928" i="11"/>
  <c r="AR928" i="11"/>
  <c r="U928" i="11"/>
  <c r="AS928" i="11"/>
  <c r="V928" i="11"/>
  <c r="AT928" i="11"/>
  <c r="W928" i="11"/>
  <c r="AU928" i="11"/>
  <c r="X928" i="11"/>
  <c r="AV928" i="11"/>
  <c r="Y928" i="11"/>
  <c r="AW928" i="11"/>
  <c r="Z928" i="11"/>
  <c r="AC929" i="11"/>
  <c r="F929" i="11"/>
  <c r="AD929" i="11"/>
  <c r="G929" i="11"/>
  <c r="AE929" i="11"/>
  <c r="H929" i="11"/>
  <c r="AF929" i="11"/>
  <c r="I929" i="11"/>
  <c r="AG929" i="11"/>
  <c r="J929" i="11"/>
  <c r="AH929" i="11"/>
  <c r="K929" i="11"/>
  <c r="AI929" i="11"/>
  <c r="L929" i="11"/>
  <c r="AJ929" i="11"/>
  <c r="M929" i="11"/>
  <c r="AK929" i="11"/>
  <c r="N929" i="11"/>
  <c r="AL929" i="11"/>
  <c r="O929" i="11"/>
  <c r="AM929" i="11"/>
  <c r="P929" i="11"/>
  <c r="AN929" i="11"/>
  <c r="Q929" i="11"/>
  <c r="AO929" i="11"/>
  <c r="R929" i="11"/>
  <c r="AP929" i="11"/>
  <c r="S929" i="11"/>
  <c r="AQ929" i="11"/>
  <c r="T929" i="11"/>
  <c r="AR929" i="11"/>
  <c r="U929" i="11"/>
  <c r="AS929" i="11"/>
  <c r="V929" i="11"/>
  <c r="AT929" i="11"/>
  <c r="W929" i="11"/>
  <c r="AU929" i="11"/>
  <c r="X929" i="11"/>
  <c r="AV929" i="11"/>
  <c r="Y929" i="11"/>
  <c r="AW929" i="11"/>
  <c r="Z929" i="11"/>
  <c r="AC930" i="11"/>
  <c r="F930" i="11"/>
  <c r="AD930" i="11"/>
  <c r="G930" i="11"/>
  <c r="AE930" i="11"/>
  <c r="H930" i="11"/>
  <c r="AF930" i="11"/>
  <c r="I930" i="11"/>
  <c r="AG930" i="11"/>
  <c r="J930" i="11"/>
  <c r="AH930" i="11"/>
  <c r="K930" i="11"/>
  <c r="AI930" i="11"/>
  <c r="L930" i="11"/>
  <c r="AJ930" i="11"/>
  <c r="M930" i="11"/>
  <c r="AK930" i="11"/>
  <c r="N930" i="11"/>
  <c r="AL930" i="11"/>
  <c r="O930" i="11"/>
  <c r="AM930" i="11"/>
  <c r="P930" i="11"/>
  <c r="AN930" i="11"/>
  <c r="Q930" i="11"/>
  <c r="AO930" i="11"/>
  <c r="R930" i="11"/>
  <c r="AP930" i="11"/>
  <c r="S930" i="11"/>
  <c r="AQ930" i="11"/>
  <c r="T930" i="11"/>
  <c r="AR930" i="11"/>
  <c r="U930" i="11"/>
  <c r="AS930" i="11"/>
  <c r="V930" i="11"/>
  <c r="AT930" i="11"/>
  <c r="W930" i="11"/>
  <c r="AU930" i="11"/>
  <c r="X930" i="11"/>
  <c r="AV930" i="11"/>
  <c r="Y930" i="11"/>
  <c r="AW930" i="11"/>
  <c r="Z930" i="11"/>
  <c r="AC931" i="11"/>
  <c r="F931" i="11"/>
  <c r="AD931" i="11"/>
  <c r="G931" i="11"/>
  <c r="AE931" i="11"/>
  <c r="H931" i="11"/>
  <c r="AF931" i="11"/>
  <c r="I931" i="11"/>
  <c r="AG931" i="11"/>
  <c r="J931" i="11"/>
  <c r="AH931" i="11"/>
  <c r="K931" i="11"/>
  <c r="AI931" i="11"/>
  <c r="L931" i="11"/>
  <c r="AJ931" i="11"/>
  <c r="M931" i="11"/>
  <c r="AK931" i="11"/>
  <c r="N931" i="11"/>
  <c r="AL931" i="11"/>
  <c r="O931" i="11"/>
  <c r="AM931" i="11"/>
  <c r="P931" i="11"/>
  <c r="AN931" i="11"/>
  <c r="Q931" i="11"/>
  <c r="AO931" i="11"/>
  <c r="R931" i="11"/>
  <c r="AP931" i="11"/>
  <c r="S931" i="11"/>
  <c r="AQ931" i="11"/>
  <c r="T931" i="11"/>
  <c r="AR931" i="11"/>
  <c r="U931" i="11"/>
  <c r="AS931" i="11"/>
  <c r="V931" i="11"/>
  <c r="AT931" i="11"/>
  <c r="W931" i="11"/>
  <c r="AU931" i="11"/>
  <c r="X931" i="11"/>
  <c r="AV931" i="11"/>
  <c r="Y931" i="11"/>
  <c r="AW931" i="11"/>
  <c r="Z931" i="11"/>
  <c r="AC932" i="11"/>
  <c r="F932" i="11"/>
  <c r="AD932" i="11"/>
  <c r="G932" i="11"/>
  <c r="AE932" i="11"/>
  <c r="H932" i="11"/>
  <c r="AF932" i="11"/>
  <c r="I932" i="11"/>
  <c r="AG932" i="11"/>
  <c r="J932" i="11"/>
  <c r="AH932" i="11"/>
  <c r="K932" i="11"/>
  <c r="AI932" i="11"/>
  <c r="L932" i="11"/>
  <c r="AJ932" i="11"/>
  <c r="M932" i="11"/>
  <c r="AK932" i="11"/>
  <c r="N932" i="11"/>
  <c r="AL932" i="11"/>
  <c r="O932" i="11"/>
  <c r="AM932" i="11"/>
  <c r="P932" i="11"/>
  <c r="AN932" i="11"/>
  <c r="Q932" i="11"/>
  <c r="AO932" i="11"/>
  <c r="R932" i="11"/>
  <c r="AP932" i="11"/>
  <c r="S932" i="11"/>
  <c r="AQ932" i="11"/>
  <c r="T932" i="11"/>
  <c r="AR932" i="11"/>
  <c r="U932" i="11"/>
  <c r="AS932" i="11"/>
  <c r="V932" i="11"/>
  <c r="AT932" i="11"/>
  <c r="W932" i="11"/>
  <c r="AU932" i="11"/>
  <c r="X932" i="11"/>
  <c r="AV932" i="11"/>
  <c r="Y932" i="11"/>
  <c r="AW932" i="11"/>
  <c r="Z932" i="11"/>
  <c r="AC933" i="11"/>
  <c r="F933" i="11"/>
  <c r="AD933" i="11"/>
  <c r="G933" i="11"/>
  <c r="AE933" i="11"/>
  <c r="H933" i="11"/>
  <c r="AF933" i="11"/>
  <c r="I933" i="11"/>
  <c r="AG933" i="11"/>
  <c r="J933" i="11"/>
  <c r="AH933" i="11"/>
  <c r="K933" i="11"/>
  <c r="AI933" i="11"/>
  <c r="L933" i="11"/>
  <c r="AJ933" i="11"/>
  <c r="M933" i="11"/>
  <c r="AK933" i="11"/>
  <c r="N933" i="11"/>
  <c r="AL933" i="11"/>
  <c r="O933" i="11"/>
  <c r="AM933" i="11"/>
  <c r="P933" i="11"/>
  <c r="AN933" i="11"/>
  <c r="Q933" i="11"/>
  <c r="AO933" i="11"/>
  <c r="R933" i="11"/>
  <c r="AP933" i="11"/>
  <c r="S933" i="11"/>
  <c r="AQ933" i="11"/>
  <c r="T933" i="11"/>
  <c r="AR933" i="11"/>
  <c r="U933" i="11"/>
  <c r="AS933" i="11"/>
  <c r="V933" i="11"/>
  <c r="AT933" i="11"/>
  <c r="W933" i="11"/>
  <c r="AU933" i="11"/>
  <c r="X933" i="11"/>
  <c r="AV933" i="11"/>
  <c r="Y933" i="11"/>
  <c r="AW933" i="11"/>
  <c r="Z933" i="11"/>
  <c r="AC934" i="11"/>
  <c r="F934" i="11"/>
  <c r="AD934" i="11"/>
  <c r="G934" i="11"/>
  <c r="AE934" i="11"/>
  <c r="H934" i="11"/>
  <c r="AF934" i="11"/>
  <c r="I934" i="11"/>
  <c r="AG934" i="11"/>
  <c r="J934" i="11"/>
  <c r="AH934" i="11"/>
  <c r="K934" i="11"/>
  <c r="AI934" i="11"/>
  <c r="L934" i="11"/>
  <c r="AJ934" i="11"/>
  <c r="M934" i="11"/>
  <c r="AK934" i="11"/>
  <c r="N934" i="11"/>
  <c r="AL934" i="11"/>
  <c r="O934" i="11"/>
  <c r="AM934" i="11"/>
  <c r="P934" i="11"/>
  <c r="AN934" i="11"/>
  <c r="Q934" i="11"/>
  <c r="AO934" i="11"/>
  <c r="R934" i="11"/>
  <c r="AP934" i="11"/>
  <c r="S934" i="11"/>
  <c r="AQ934" i="11"/>
  <c r="T934" i="11"/>
  <c r="AR934" i="11"/>
  <c r="U934" i="11"/>
  <c r="AS934" i="11"/>
  <c r="V934" i="11"/>
  <c r="AT934" i="11"/>
  <c r="W934" i="11"/>
  <c r="AU934" i="11"/>
  <c r="X934" i="11"/>
  <c r="AV934" i="11"/>
  <c r="Y934" i="11"/>
  <c r="AW934" i="11"/>
  <c r="Z934" i="11"/>
  <c r="AC935" i="11"/>
  <c r="F935" i="11"/>
  <c r="AD935" i="11"/>
  <c r="G935" i="11"/>
  <c r="AE935" i="11"/>
  <c r="H935" i="11"/>
  <c r="AF935" i="11"/>
  <c r="I935" i="11"/>
  <c r="AG935" i="11"/>
  <c r="J935" i="11"/>
  <c r="AH935" i="11"/>
  <c r="K935" i="11"/>
  <c r="AI935" i="11"/>
  <c r="L935" i="11"/>
  <c r="AJ935" i="11"/>
  <c r="M935" i="11"/>
  <c r="AK935" i="11"/>
  <c r="N935" i="11"/>
  <c r="AL935" i="11"/>
  <c r="O935" i="11"/>
  <c r="AM935" i="11"/>
  <c r="P935" i="11"/>
  <c r="AN935" i="11"/>
  <c r="Q935" i="11"/>
  <c r="AO935" i="11"/>
  <c r="R935" i="11"/>
  <c r="AP935" i="11"/>
  <c r="S935" i="11"/>
  <c r="AQ935" i="11"/>
  <c r="T935" i="11"/>
  <c r="AR935" i="11"/>
  <c r="U935" i="11"/>
  <c r="AS935" i="11"/>
  <c r="V935" i="11"/>
  <c r="AT935" i="11"/>
  <c r="W935" i="11"/>
  <c r="AU935" i="11"/>
  <c r="X935" i="11"/>
  <c r="AV935" i="11"/>
  <c r="Y935" i="11"/>
  <c r="AW935" i="11"/>
  <c r="Z935" i="11"/>
  <c r="AC936" i="11"/>
  <c r="F936" i="11"/>
  <c r="AD936" i="11"/>
  <c r="G936" i="11"/>
  <c r="AE936" i="11"/>
  <c r="H936" i="11"/>
  <c r="AF936" i="11"/>
  <c r="I936" i="11"/>
  <c r="AG936" i="11"/>
  <c r="J936" i="11"/>
  <c r="AH936" i="11"/>
  <c r="K936" i="11"/>
  <c r="AI936" i="11"/>
  <c r="L936" i="11"/>
  <c r="AJ936" i="11"/>
  <c r="M936" i="11"/>
  <c r="AK936" i="11"/>
  <c r="N936" i="11"/>
  <c r="AL936" i="11"/>
  <c r="O936" i="11"/>
  <c r="AM936" i="11"/>
  <c r="P936" i="11"/>
  <c r="AN936" i="11"/>
  <c r="Q936" i="11"/>
  <c r="AO936" i="11"/>
  <c r="R936" i="11"/>
  <c r="AP936" i="11"/>
  <c r="S936" i="11"/>
  <c r="AQ936" i="11"/>
  <c r="T936" i="11"/>
  <c r="AR936" i="11"/>
  <c r="U936" i="11"/>
  <c r="AS936" i="11"/>
  <c r="V936" i="11"/>
  <c r="AT936" i="11"/>
  <c r="W936" i="11"/>
  <c r="AU936" i="11"/>
  <c r="X936" i="11"/>
  <c r="AV936" i="11"/>
  <c r="Y936" i="11"/>
  <c r="AW936" i="11"/>
  <c r="Z936" i="11"/>
  <c r="AC937" i="11"/>
  <c r="F937" i="11"/>
  <c r="AD937" i="11"/>
  <c r="G937" i="11"/>
  <c r="AE937" i="11"/>
  <c r="H937" i="11"/>
  <c r="AF937" i="11"/>
  <c r="I937" i="11"/>
  <c r="AG937" i="11"/>
  <c r="J937" i="11"/>
  <c r="AH937" i="11"/>
  <c r="K937" i="11"/>
  <c r="AI937" i="11"/>
  <c r="L937" i="11"/>
  <c r="AJ937" i="11"/>
  <c r="M937" i="11"/>
  <c r="AK937" i="11"/>
  <c r="N937" i="11"/>
  <c r="AL937" i="11"/>
  <c r="O937" i="11"/>
  <c r="AM937" i="11"/>
  <c r="P937" i="11"/>
  <c r="AN937" i="11"/>
  <c r="Q937" i="11"/>
  <c r="AO937" i="11"/>
  <c r="R937" i="11"/>
  <c r="AP937" i="11"/>
  <c r="S937" i="11"/>
  <c r="AQ937" i="11"/>
  <c r="T937" i="11"/>
  <c r="AR937" i="11"/>
  <c r="U937" i="11"/>
  <c r="AS937" i="11"/>
  <c r="V937" i="11"/>
  <c r="AT937" i="11"/>
  <c r="W937" i="11"/>
  <c r="AU937" i="11"/>
  <c r="X937" i="11"/>
  <c r="AV937" i="11"/>
  <c r="Y937" i="11"/>
  <c r="AW937" i="11"/>
  <c r="Z937" i="11"/>
  <c r="AC938" i="11"/>
  <c r="F938" i="11"/>
  <c r="AD938" i="11"/>
  <c r="G938" i="11"/>
  <c r="AE938" i="11"/>
  <c r="H938" i="11"/>
  <c r="AF938" i="11"/>
  <c r="I938" i="11"/>
  <c r="AG938" i="11"/>
  <c r="J938" i="11"/>
  <c r="AH938" i="11"/>
  <c r="K938" i="11"/>
  <c r="AI938" i="11"/>
  <c r="L938" i="11"/>
  <c r="AJ938" i="11"/>
  <c r="M938" i="11"/>
  <c r="AK938" i="11"/>
  <c r="N938" i="11"/>
  <c r="AL938" i="11"/>
  <c r="O938" i="11"/>
  <c r="AM938" i="11"/>
  <c r="P938" i="11"/>
  <c r="AN938" i="11"/>
  <c r="Q938" i="11"/>
  <c r="AO938" i="11"/>
  <c r="R938" i="11"/>
  <c r="AP938" i="11"/>
  <c r="S938" i="11"/>
  <c r="AQ938" i="11"/>
  <c r="T938" i="11"/>
  <c r="AR938" i="11"/>
  <c r="U938" i="11"/>
  <c r="AS938" i="11"/>
  <c r="V938" i="11"/>
  <c r="AT938" i="11"/>
  <c r="W938" i="11"/>
  <c r="AU938" i="11"/>
  <c r="X938" i="11"/>
  <c r="AV938" i="11"/>
  <c r="Y938" i="11"/>
  <c r="AW938" i="11"/>
  <c r="Z938" i="11"/>
  <c r="AC939" i="11"/>
  <c r="F939" i="11"/>
  <c r="AD939" i="11"/>
  <c r="G939" i="11"/>
  <c r="AE939" i="11"/>
  <c r="H939" i="11"/>
  <c r="AF939" i="11"/>
  <c r="I939" i="11"/>
  <c r="AG939" i="11"/>
  <c r="J939" i="11"/>
  <c r="AH939" i="11"/>
  <c r="K939" i="11"/>
  <c r="AI939" i="11"/>
  <c r="L939" i="11"/>
  <c r="AJ939" i="11"/>
  <c r="M939" i="11"/>
  <c r="AK939" i="11"/>
  <c r="N939" i="11"/>
  <c r="AL939" i="11"/>
  <c r="O939" i="11"/>
  <c r="AM939" i="11"/>
  <c r="P939" i="11"/>
  <c r="AN939" i="11"/>
  <c r="Q939" i="11"/>
  <c r="AO939" i="11"/>
  <c r="R939" i="11"/>
  <c r="AP939" i="11"/>
  <c r="S939" i="11"/>
  <c r="AQ939" i="11"/>
  <c r="T939" i="11"/>
  <c r="AR939" i="11"/>
  <c r="U939" i="11"/>
  <c r="AS939" i="11"/>
  <c r="V939" i="11"/>
  <c r="AT939" i="11"/>
  <c r="W939" i="11"/>
  <c r="AU939" i="11"/>
  <c r="X939" i="11"/>
  <c r="AV939" i="11"/>
  <c r="Y939" i="11"/>
  <c r="AW939" i="11"/>
  <c r="Z939" i="11"/>
  <c r="AC940" i="11"/>
  <c r="F940" i="11"/>
  <c r="AD940" i="11"/>
  <c r="G940" i="11"/>
  <c r="AE940" i="11"/>
  <c r="H940" i="11"/>
  <c r="AF940" i="11"/>
  <c r="I940" i="11"/>
  <c r="AG940" i="11"/>
  <c r="J940" i="11"/>
  <c r="AH940" i="11"/>
  <c r="K940" i="11"/>
  <c r="AI940" i="11"/>
  <c r="L940" i="11"/>
  <c r="AJ940" i="11"/>
  <c r="M940" i="11"/>
  <c r="AK940" i="11"/>
  <c r="N940" i="11"/>
  <c r="AL940" i="11"/>
  <c r="O940" i="11"/>
  <c r="AM940" i="11"/>
  <c r="P940" i="11"/>
  <c r="AN940" i="11"/>
  <c r="Q940" i="11"/>
  <c r="AO940" i="11"/>
  <c r="R940" i="11"/>
  <c r="AP940" i="11"/>
  <c r="S940" i="11"/>
  <c r="AQ940" i="11"/>
  <c r="T940" i="11"/>
  <c r="AR940" i="11"/>
  <c r="U940" i="11"/>
  <c r="AS940" i="11"/>
  <c r="V940" i="11"/>
  <c r="AT940" i="11"/>
  <c r="W940" i="11"/>
  <c r="AU940" i="11"/>
  <c r="X940" i="11"/>
  <c r="AV940" i="11"/>
  <c r="Y940" i="11"/>
  <c r="AW940" i="11"/>
  <c r="Z940" i="11"/>
  <c r="AC941" i="11"/>
  <c r="F941" i="11"/>
  <c r="AD941" i="11"/>
  <c r="G941" i="11"/>
  <c r="AE941" i="11"/>
  <c r="H941" i="11"/>
  <c r="AF941" i="11"/>
  <c r="I941" i="11"/>
  <c r="AG941" i="11"/>
  <c r="J941" i="11"/>
  <c r="AH941" i="11"/>
  <c r="K941" i="11"/>
  <c r="AI941" i="11"/>
  <c r="L941" i="11"/>
  <c r="AJ941" i="11"/>
  <c r="M941" i="11"/>
  <c r="AK941" i="11"/>
  <c r="N941" i="11"/>
  <c r="AL941" i="11"/>
  <c r="O941" i="11"/>
  <c r="AM941" i="11"/>
  <c r="P941" i="11"/>
  <c r="AN941" i="11"/>
  <c r="Q941" i="11"/>
  <c r="AO941" i="11"/>
  <c r="R941" i="11"/>
  <c r="AP941" i="11"/>
  <c r="S941" i="11"/>
  <c r="AQ941" i="11"/>
  <c r="T941" i="11"/>
  <c r="AR941" i="11"/>
  <c r="U941" i="11"/>
  <c r="AS941" i="11"/>
  <c r="V941" i="11"/>
  <c r="AT941" i="11"/>
  <c r="W941" i="11"/>
  <c r="AU941" i="11"/>
  <c r="X941" i="11"/>
  <c r="AV941" i="11"/>
  <c r="Y941" i="11"/>
  <c r="AW941" i="11"/>
  <c r="Z941" i="11"/>
  <c r="AC942" i="11"/>
  <c r="F942" i="11"/>
  <c r="AD942" i="11"/>
  <c r="G942" i="11"/>
  <c r="AE942" i="11"/>
  <c r="H942" i="11"/>
  <c r="AF942" i="11"/>
  <c r="I942" i="11"/>
  <c r="AG942" i="11"/>
  <c r="J942" i="11"/>
  <c r="AH942" i="11"/>
  <c r="K942" i="11"/>
  <c r="AI942" i="11"/>
  <c r="L942" i="11"/>
  <c r="AJ942" i="11"/>
  <c r="M942" i="11"/>
  <c r="AK942" i="11"/>
  <c r="N942" i="11"/>
  <c r="AL942" i="11"/>
  <c r="O942" i="11"/>
  <c r="AM942" i="11"/>
  <c r="P942" i="11"/>
  <c r="AN942" i="11"/>
  <c r="Q942" i="11"/>
  <c r="AO942" i="11"/>
  <c r="R942" i="11"/>
  <c r="AP942" i="11"/>
  <c r="S942" i="11"/>
  <c r="AQ942" i="11"/>
  <c r="T942" i="11"/>
  <c r="AR942" i="11"/>
  <c r="U942" i="11"/>
  <c r="AS942" i="11"/>
  <c r="V942" i="11"/>
  <c r="AT942" i="11"/>
  <c r="W942" i="11"/>
  <c r="AU942" i="11"/>
  <c r="X942" i="11"/>
  <c r="AV942" i="11"/>
  <c r="Y942" i="11"/>
  <c r="AW942" i="11"/>
  <c r="Z942" i="11"/>
  <c r="AC943" i="11"/>
  <c r="F943" i="11"/>
  <c r="AD943" i="11"/>
  <c r="G943" i="11"/>
  <c r="AE943" i="11"/>
  <c r="H943" i="11"/>
  <c r="AF943" i="11"/>
  <c r="I943" i="11"/>
  <c r="AG943" i="11"/>
  <c r="J943" i="11"/>
  <c r="AH943" i="11"/>
  <c r="K943" i="11"/>
  <c r="AI943" i="11"/>
  <c r="L943" i="11"/>
  <c r="AJ943" i="11"/>
  <c r="M943" i="11"/>
  <c r="AK943" i="11"/>
  <c r="N943" i="11"/>
  <c r="AL943" i="11"/>
  <c r="O943" i="11"/>
  <c r="AM943" i="11"/>
  <c r="P943" i="11"/>
  <c r="AN943" i="11"/>
  <c r="Q943" i="11"/>
  <c r="AO943" i="11"/>
  <c r="R943" i="11"/>
  <c r="AP943" i="11"/>
  <c r="S943" i="11"/>
  <c r="AQ943" i="11"/>
  <c r="T943" i="11"/>
  <c r="AR943" i="11"/>
  <c r="U943" i="11"/>
  <c r="AS943" i="11"/>
  <c r="V943" i="11"/>
  <c r="AT943" i="11"/>
  <c r="W943" i="11"/>
  <c r="AU943" i="11"/>
  <c r="X943" i="11"/>
  <c r="AV943" i="11"/>
  <c r="Y943" i="11"/>
  <c r="AW943" i="11"/>
  <c r="Z943" i="11"/>
  <c r="AC944" i="11"/>
  <c r="F944" i="11"/>
  <c r="AD944" i="11"/>
  <c r="G944" i="11"/>
  <c r="AE944" i="11"/>
  <c r="H944" i="11"/>
  <c r="AF944" i="11"/>
  <c r="I944" i="11"/>
  <c r="AG944" i="11"/>
  <c r="J944" i="11"/>
  <c r="AH944" i="11"/>
  <c r="K944" i="11"/>
  <c r="AI944" i="11"/>
  <c r="L944" i="11"/>
  <c r="AJ944" i="11"/>
  <c r="M944" i="11"/>
  <c r="AK944" i="11"/>
  <c r="N944" i="11"/>
  <c r="AL944" i="11"/>
  <c r="O944" i="11"/>
  <c r="AM944" i="11"/>
  <c r="P944" i="11"/>
  <c r="AN944" i="11"/>
  <c r="Q944" i="11"/>
  <c r="AO944" i="11"/>
  <c r="R944" i="11"/>
  <c r="AP944" i="11"/>
  <c r="S944" i="11"/>
  <c r="AQ944" i="11"/>
  <c r="T944" i="11"/>
  <c r="AR944" i="11"/>
  <c r="U944" i="11"/>
  <c r="AS944" i="11"/>
  <c r="V944" i="11"/>
  <c r="AT944" i="11"/>
  <c r="W944" i="11"/>
  <c r="AU944" i="11"/>
  <c r="X944" i="11"/>
  <c r="AV944" i="11"/>
  <c r="Y944" i="11"/>
  <c r="AW944" i="11"/>
  <c r="Z944" i="11"/>
  <c r="AC945" i="11"/>
  <c r="F945" i="11"/>
  <c r="AD945" i="11"/>
  <c r="G945" i="11"/>
  <c r="AE945" i="11"/>
  <c r="H945" i="11"/>
  <c r="AF945" i="11"/>
  <c r="I945" i="11"/>
  <c r="AG945" i="11"/>
  <c r="J945" i="11"/>
  <c r="AH945" i="11"/>
  <c r="K945" i="11"/>
  <c r="AI945" i="11"/>
  <c r="L945" i="11"/>
  <c r="AJ945" i="11"/>
  <c r="M945" i="11"/>
  <c r="AK945" i="11"/>
  <c r="N945" i="11"/>
  <c r="AL945" i="11"/>
  <c r="O945" i="11"/>
  <c r="AM945" i="11"/>
  <c r="P945" i="11"/>
  <c r="AN945" i="11"/>
  <c r="Q945" i="11"/>
  <c r="AO945" i="11"/>
  <c r="R945" i="11"/>
  <c r="AP945" i="11"/>
  <c r="S945" i="11"/>
  <c r="AQ945" i="11"/>
  <c r="T945" i="11"/>
  <c r="AR945" i="11"/>
  <c r="U945" i="11"/>
  <c r="AS945" i="11"/>
  <c r="V945" i="11"/>
  <c r="AT945" i="11"/>
  <c r="W945" i="11"/>
  <c r="AU945" i="11"/>
  <c r="X945" i="11"/>
  <c r="AV945" i="11"/>
  <c r="Y945" i="11"/>
  <c r="AW945" i="11"/>
  <c r="Z945" i="11"/>
  <c r="AC946" i="11"/>
  <c r="F946" i="11"/>
  <c r="AD946" i="11"/>
  <c r="G946" i="11"/>
  <c r="AE946" i="11"/>
  <c r="H946" i="11"/>
  <c r="AF946" i="11"/>
  <c r="I946" i="11"/>
  <c r="AG946" i="11"/>
  <c r="J946" i="11"/>
  <c r="AH946" i="11"/>
  <c r="K946" i="11"/>
  <c r="AI946" i="11"/>
  <c r="L946" i="11"/>
  <c r="AJ946" i="11"/>
  <c r="M946" i="11"/>
  <c r="AK946" i="11"/>
  <c r="N946" i="11"/>
  <c r="AL946" i="11"/>
  <c r="O946" i="11"/>
  <c r="AM946" i="11"/>
  <c r="P946" i="11"/>
  <c r="AN946" i="11"/>
  <c r="Q946" i="11"/>
  <c r="AO946" i="11"/>
  <c r="R946" i="11"/>
  <c r="AP946" i="11"/>
  <c r="S946" i="11"/>
  <c r="AQ946" i="11"/>
  <c r="T946" i="11"/>
  <c r="AR946" i="11"/>
  <c r="U946" i="11"/>
  <c r="AS946" i="11"/>
  <c r="V946" i="11"/>
  <c r="AT946" i="11"/>
  <c r="W946" i="11"/>
  <c r="AU946" i="11"/>
  <c r="X946" i="11"/>
  <c r="AV946" i="11"/>
  <c r="Y946" i="11"/>
  <c r="AW946" i="11"/>
  <c r="Z946" i="11"/>
  <c r="AC947" i="11"/>
  <c r="F947" i="11"/>
  <c r="AD947" i="11"/>
  <c r="G947" i="11"/>
  <c r="AE947" i="11"/>
  <c r="H947" i="11"/>
  <c r="AF947" i="11"/>
  <c r="I947" i="11"/>
  <c r="AG947" i="11"/>
  <c r="J947" i="11"/>
  <c r="AH947" i="11"/>
  <c r="K947" i="11"/>
  <c r="AI947" i="11"/>
  <c r="L947" i="11"/>
  <c r="AJ947" i="11"/>
  <c r="M947" i="11"/>
  <c r="AK947" i="11"/>
  <c r="N947" i="11"/>
  <c r="AL947" i="11"/>
  <c r="O947" i="11"/>
  <c r="AM947" i="11"/>
  <c r="P947" i="11"/>
  <c r="AN947" i="11"/>
  <c r="Q947" i="11"/>
  <c r="AO947" i="11"/>
  <c r="R947" i="11"/>
  <c r="AP947" i="11"/>
  <c r="S947" i="11"/>
  <c r="AQ947" i="11"/>
  <c r="T947" i="11"/>
  <c r="AR947" i="11"/>
  <c r="U947" i="11"/>
  <c r="AS947" i="11"/>
  <c r="V947" i="11"/>
  <c r="AT947" i="11"/>
  <c r="W947" i="11"/>
  <c r="AU947" i="11"/>
  <c r="X947" i="11"/>
  <c r="AV947" i="11"/>
  <c r="Y947" i="11"/>
  <c r="AW947" i="11"/>
  <c r="Z947" i="11"/>
  <c r="AC948" i="11"/>
  <c r="F948" i="11"/>
  <c r="AD948" i="11"/>
  <c r="G948" i="11"/>
  <c r="AE948" i="11"/>
  <c r="H948" i="11"/>
  <c r="AF948" i="11"/>
  <c r="I948" i="11"/>
  <c r="AG948" i="11"/>
  <c r="J948" i="11"/>
  <c r="AH948" i="11"/>
  <c r="K948" i="11"/>
  <c r="AI948" i="11"/>
  <c r="L948" i="11"/>
  <c r="AJ948" i="11"/>
  <c r="M948" i="11"/>
  <c r="AK948" i="11"/>
  <c r="N948" i="11"/>
  <c r="AL948" i="11"/>
  <c r="O948" i="11"/>
  <c r="AM948" i="11"/>
  <c r="P948" i="11"/>
  <c r="AN948" i="11"/>
  <c r="Q948" i="11"/>
  <c r="AO948" i="11"/>
  <c r="R948" i="11"/>
  <c r="AP948" i="11"/>
  <c r="S948" i="11"/>
  <c r="AQ948" i="11"/>
  <c r="T948" i="11"/>
  <c r="AR948" i="11"/>
  <c r="U948" i="11"/>
  <c r="AS948" i="11"/>
  <c r="V948" i="11"/>
  <c r="AT948" i="11"/>
  <c r="W948" i="11"/>
  <c r="AU948" i="11"/>
  <c r="X948" i="11"/>
  <c r="AV948" i="11"/>
  <c r="Y948" i="11"/>
  <c r="AW948" i="11"/>
  <c r="Z948" i="11"/>
  <c r="AC949" i="11"/>
  <c r="F949" i="11"/>
  <c r="AD949" i="11"/>
  <c r="G949" i="11"/>
  <c r="AE949" i="11"/>
  <c r="H949" i="11"/>
  <c r="AF949" i="11"/>
  <c r="I949" i="11"/>
  <c r="AG949" i="11"/>
  <c r="J949" i="11"/>
  <c r="AH949" i="11"/>
  <c r="K949" i="11"/>
  <c r="AI949" i="11"/>
  <c r="L949" i="11"/>
  <c r="AJ949" i="11"/>
  <c r="M949" i="11"/>
  <c r="AK949" i="11"/>
  <c r="N949" i="11"/>
  <c r="AL949" i="11"/>
  <c r="O949" i="11"/>
  <c r="AM949" i="11"/>
  <c r="P949" i="11"/>
  <c r="AN949" i="11"/>
  <c r="Q949" i="11"/>
  <c r="AO949" i="11"/>
  <c r="R949" i="11"/>
  <c r="AP949" i="11"/>
  <c r="S949" i="11"/>
  <c r="AQ949" i="11"/>
  <c r="T949" i="11"/>
  <c r="AR949" i="11"/>
  <c r="U949" i="11"/>
  <c r="AS949" i="11"/>
  <c r="V949" i="11"/>
  <c r="AT949" i="11"/>
  <c r="W949" i="11"/>
  <c r="AU949" i="11"/>
  <c r="X949" i="11"/>
  <c r="AV949" i="11"/>
  <c r="Y949" i="11"/>
  <c r="AW949" i="11"/>
  <c r="Z949" i="11"/>
  <c r="AC950" i="11"/>
  <c r="F950" i="11"/>
  <c r="AD950" i="11"/>
  <c r="G950" i="11"/>
  <c r="AE950" i="11"/>
  <c r="H950" i="11"/>
  <c r="AF950" i="11"/>
  <c r="I950" i="11"/>
  <c r="AG950" i="11"/>
  <c r="J950" i="11"/>
  <c r="AH950" i="11"/>
  <c r="K950" i="11"/>
  <c r="AI950" i="11"/>
  <c r="L950" i="11"/>
  <c r="AJ950" i="11"/>
  <c r="M950" i="11"/>
  <c r="AK950" i="11"/>
  <c r="N950" i="11"/>
  <c r="AL950" i="11"/>
  <c r="O950" i="11"/>
  <c r="AM950" i="11"/>
  <c r="P950" i="11"/>
  <c r="AN950" i="11"/>
  <c r="Q950" i="11"/>
  <c r="AO950" i="11"/>
  <c r="R950" i="11"/>
  <c r="AP950" i="11"/>
  <c r="S950" i="11"/>
  <c r="AQ950" i="11"/>
  <c r="T950" i="11"/>
  <c r="AR950" i="11"/>
  <c r="U950" i="11"/>
  <c r="AS950" i="11"/>
  <c r="V950" i="11"/>
  <c r="AT950" i="11"/>
  <c r="W950" i="11"/>
  <c r="AU950" i="11"/>
  <c r="X950" i="11"/>
  <c r="AV950" i="11"/>
  <c r="Y950" i="11"/>
  <c r="AW950" i="11"/>
  <c r="Z950" i="11"/>
  <c r="AC951" i="11"/>
  <c r="F951" i="11"/>
  <c r="AD951" i="11"/>
  <c r="G951" i="11"/>
  <c r="AE951" i="11"/>
  <c r="H951" i="11"/>
  <c r="AF951" i="11"/>
  <c r="I951" i="11"/>
  <c r="AG951" i="11"/>
  <c r="J951" i="11"/>
  <c r="AH951" i="11"/>
  <c r="K951" i="11"/>
  <c r="AI951" i="11"/>
  <c r="L951" i="11"/>
  <c r="AJ951" i="11"/>
  <c r="M951" i="11"/>
  <c r="AK951" i="11"/>
  <c r="N951" i="11"/>
  <c r="AL951" i="11"/>
  <c r="O951" i="11"/>
  <c r="AM951" i="11"/>
  <c r="P951" i="11"/>
  <c r="AN951" i="11"/>
  <c r="Q951" i="11"/>
  <c r="AO951" i="11"/>
  <c r="R951" i="11"/>
  <c r="AP951" i="11"/>
  <c r="S951" i="11"/>
  <c r="AQ951" i="11"/>
  <c r="T951" i="11"/>
  <c r="AR951" i="11"/>
  <c r="U951" i="11"/>
  <c r="AS951" i="11"/>
  <c r="V951" i="11"/>
  <c r="AT951" i="11"/>
  <c r="W951" i="11"/>
  <c r="AU951" i="11"/>
  <c r="X951" i="11"/>
  <c r="AV951" i="11"/>
  <c r="Y951" i="11"/>
  <c r="AW951" i="11"/>
  <c r="Z951" i="11"/>
  <c r="AC952" i="11"/>
  <c r="F952" i="11"/>
  <c r="AD952" i="11"/>
  <c r="G952" i="11"/>
  <c r="AE952" i="11"/>
  <c r="H952" i="11"/>
  <c r="AF952" i="11"/>
  <c r="I952" i="11"/>
  <c r="AG952" i="11"/>
  <c r="J952" i="11"/>
  <c r="AH952" i="11"/>
  <c r="K952" i="11"/>
  <c r="AI952" i="11"/>
  <c r="L952" i="11"/>
  <c r="AJ952" i="11"/>
  <c r="M952" i="11"/>
  <c r="AK952" i="11"/>
  <c r="N952" i="11"/>
  <c r="AL952" i="11"/>
  <c r="O952" i="11"/>
  <c r="AM952" i="11"/>
  <c r="P952" i="11"/>
  <c r="AN952" i="11"/>
  <c r="Q952" i="11"/>
  <c r="AO952" i="11"/>
  <c r="R952" i="11"/>
  <c r="AP952" i="11"/>
  <c r="S952" i="11"/>
  <c r="AQ952" i="11"/>
  <c r="T952" i="11"/>
  <c r="AR952" i="11"/>
  <c r="U952" i="11"/>
  <c r="AS952" i="11"/>
  <c r="V952" i="11"/>
  <c r="AT952" i="11"/>
  <c r="W952" i="11"/>
  <c r="AU952" i="11"/>
  <c r="X952" i="11"/>
  <c r="AV952" i="11"/>
  <c r="Y952" i="11"/>
  <c r="AW952" i="11"/>
  <c r="Z952" i="11"/>
  <c r="AC953" i="11"/>
  <c r="F953" i="11"/>
  <c r="AD953" i="11"/>
  <c r="G953" i="11"/>
  <c r="AE953" i="11"/>
  <c r="H953" i="11"/>
  <c r="AF953" i="11"/>
  <c r="I953" i="11"/>
  <c r="AG953" i="11"/>
  <c r="J953" i="11"/>
  <c r="AH953" i="11"/>
  <c r="K953" i="11"/>
  <c r="AI953" i="11"/>
  <c r="L953" i="11"/>
  <c r="AJ953" i="11"/>
  <c r="M953" i="11"/>
  <c r="AK953" i="11"/>
  <c r="N953" i="11"/>
  <c r="AL953" i="11"/>
  <c r="O953" i="11"/>
  <c r="AM953" i="11"/>
  <c r="P953" i="11"/>
  <c r="AN953" i="11"/>
  <c r="Q953" i="11"/>
  <c r="AO953" i="11"/>
  <c r="R953" i="11"/>
  <c r="AP953" i="11"/>
  <c r="S953" i="11"/>
  <c r="AQ953" i="11"/>
  <c r="T953" i="11"/>
  <c r="AR953" i="11"/>
  <c r="U953" i="11"/>
  <c r="AS953" i="11"/>
  <c r="V953" i="11"/>
  <c r="AT953" i="11"/>
  <c r="W953" i="11"/>
  <c r="AU953" i="11"/>
  <c r="X953" i="11"/>
  <c r="AV953" i="11"/>
  <c r="Y953" i="11"/>
  <c r="AW953" i="11"/>
  <c r="Z953" i="11"/>
  <c r="AC954" i="11"/>
  <c r="F954" i="11"/>
  <c r="AD954" i="11"/>
  <c r="G954" i="11"/>
  <c r="AE954" i="11"/>
  <c r="H954" i="11"/>
  <c r="AF954" i="11"/>
  <c r="I954" i="11"/>
  <c r="AG954" i="11"/>
  <c r="J954" i="11"/>
  <c r="AH954" i="11"/>
  <c r="K954" i="11"/>
  <c r="AI954" i="11"/>
  <c r="L954" i="11"/>
  <c r="AJ954" i="11"/>
  <c r="M954" i="11"/>
  <c r="AK954" i="11"/>
  <c r="N954" i="11"/>
  <c r="AL954" i="11"/>
  <c r="O954" i="11"/>
  <c r="AM954" i="11"/>
  <c r="P954" i="11"/>
  <c r="AN954" i="11"/>
  <c r="Q954" i="11"/>
  <c r="AO954" i="11"/>
  <c r="R954" i="11"/>
  <c r="AP954" i="11"/>
  <c r="S954" i="11"/>
  <c r="AQ954" i="11"/>
  <c r="T954" i="11"/>
  <c r="AR954" i="11"/>
  <c r="U954" i="11"/>
  <c r="AS954" i="11"/>
  <c r="V954" i="11"/>
  <c r="AT954" i="11"/>
  <c r="W954" i="11"/>
  <c r="AU954" i="11"/>
  <c r="X954" i="11"/>
  <c r="AV954" i="11"/>
  <c r="Y954" i="11"/>
  <c r="AW954" i="11"/>
  <c r="Z954" i="11"/>
  <c r="AC955" i="11"/>
  <c r="F955" i="11"/>
  <c r="AD955" i="11"/>
  <c r="G955" i="11"/>
  <c r="AE955" i="11"/>
  <c r="H955" i="11"/>
  <c r="AF955" i="11"/>
  <c r="I955" i="11"/>
  <c r="AG955" i="11"/>
  <c r="J955" i="11"/>
  <c r="AH955" i="11"/>
  <c r="K955" i="11"/>
  <c r="AI955" i="11"/>
  <c r="L955" i="11"/>
  <c r="AJ955" i="11"/>
  <c r="M955" i="11"/>
  <c r="AK955" i="11"/>
  <c r="N955" i="11"/>
  <c r="AL955" i="11"/>
  <c r="O955" i="11"/>
  <c r="AM955" i="11"/>
  <c r="P955" i="11"/>
  <c r="AN955" i="11"/>
  <c r="Q955" i="11"/>
  <c r="AO955" i="11"/>
  <c r="R955" i="11"/>
  <c r="AP955" i="11"/>
  <c r="S955" i="11"/>
  <c r="AQ955" i="11"/>
  <c r="T955" i="11"/>
  <c r="AR955" i="11"/>
  <c r="U955" i="11"/>
  <c r="AS955" i="11"/>
  <c r="V955" i="11"/>
  <c r="AT955" i="11"/>
  <c r="W955" i="11"/>
  <c r="AU955" i="11"/>
  <c r="X955" i="11"/>
  <c r="AV955" i="11"/>
  <c r="Y955" i="11"/>
  <c r="AW955" i="11"/>
  <c r="Z955" i="11"/>
  <c r="AC956" i="11"/>
  <c r="F956" i="11"/>
  <c r="AD956" i="11"/>
  <c r="G956" i="11"/>
  <c r="AE956" i="11"/>
  <c r="H956" i="11"/>
  <c r="AF956" i="11"/>
  <c r="I956" i="11"/>
  <c r="AG956" i="11"/>
  <c r="J956" i="11"/>
  <c r="AH956" i="11"/>
  <c r="K956" i="11"/>
  <c r="AI956" i="11"/>
  <c r="L956" i="11"/>
  <c r="AJ956" i="11"/>
  <c r="M956" i="11"/>
  <c r="AK956" i="11"/>
  <c r="N956" i="11"/>
  <c r="AL956" i="11"/>
  <c r="O956" i="11"/>
  <c r="AM956" i="11"/>
  <c r="P956" i="11"/>
  <c r="AN956" i="11"/>
  <c r="Q956" i="11"/>
  <c r="AO956" i="11"/>
  <c r="R956" i="11"/>
  <c r="AP956" i="11"/>
  <c r="S956" i="11"/>
  <c r="AQ956" i="11"/>
  <c r="T956" i="11"/>
  <c r="AR956" i="11"/>
  <c r="U956" i="11"/>
  <c r="AS956" i="11"/>
  <c r="V956" i="11"/>
  <c r="AT956" i="11"/>
  <c r="W956" i="11"/>
  <c r="AU956" i="11"/>
  <c r="X956" i="11"/>
  <c r="AV956" i="11"/>
  <c r="Y956" i="11"/>
  <c r="AW956" i="11"/>
  <c r="Z956" i="11"/>
  <c r="AC957" i="11"/>
  <c r="F957" i="11"/>
  <c r="AD957" i="11"/>
  <c r="G957" i="11"/>
  <c r="AE957" i="11"/>
  <c r="H957" i="11"/>
  <c r="AF957" i="11"/>
  <c r="I957" i="11"/>
  <c r="AG957" i="11"/>
  <c r="J957" i="11"/>
  <c r="AH957" i="11"/>
  <c r="K957" i="11"/>
  <c r="AI957" i="11"/>
  <c r="L957" i="11"/>
  <c r="AJ957" i="11"/>
  <c r="M957" i="11"/>
  <c r="AK957" i="11"/>
  <c r="N957" i="11"/>
  <c r="AL957" i="11"/>
  <c r="O957" i="11"/>
  <c r="AM957" i="11"/>
  <c r="P957" i="11"/>
  <c r="AN957" i="11"/>
  <c r="Q957" i="11"/>
  <c r="AO957" i="11"/>
  <c r="R957" i="11"/>
  <c r="AP957" i="11"/>
  <c r="S957" i="11"/>
  <c r="AQ957" i="11"/>
  <c r="T957" i="11"/>
  <c r="AR957" i="11"/>
  <c r="U957" i="11"/>
  <c r="AS957" i="11"/>
  <c r="V957" i="11"/>
  <c r="AT957" i="11"/>
  <c r="W957" i="11"/>
  <c r="AU957" i="11"/>
  <c r="X957" i="11"/>
  <c r="AV957" i="11"/>
  <c r="Y957" i="11"/>
  <c r="AW957" i="11"/>
  <c r="Z957" i="11"/>
  <c r="AC958" i="11"/>
  <c r="F958" i="11"/>
  <c r="AD958" i="11"/>
  <c r="G958" i="11"/>
  <c r="AE958" i="11"/>
  <c r="H958" i="11"/>
  <c r="AF958" i="11"/>
  <c r="I958" i="11"/>
  <c r="AG958" i="11"/>
  <c r="J958" i="11"/>
  <c r="AH958" i="11"/>
  <c r="K958" i="11"/>
  <c r="AI958" i="11"/>
  <c r="L958" i="11"/>
  <c r="AJ958" i="11"/>
  <c r="M958" i="11"/>
  <c r="AK958" i="11"/>
  <c r="N958" i="11"/>
  <c r="AL958" i="11"/>
  <c r="O958" i="11"/>
  <c r="AM958" i="11"/>
  <c r="P958" i="11"/>
  <c r="AN958" i="11"/>
  <c r="Q958" i="11"/>
  <c r="AO958" i="11"/>
  <c r="R958" i="11"/>
  <c r="AP958" i="11"/>
  <c r="S958" i="11"/>
  <c r="AQ958" i="11"/>
  <c r="T958" i="11"/>
  <c r="AR958" i="11"/>
  <c r="U958" i="11"/>
  <c r="AS958" i="11"/>
  <c r="V958" i="11"/>
  <c r="AT958" i="11"/>
  <c r="W958" i="11"/>
  <c r="AU958" i="11"/>
  <c r="X958" i="11"/>
  <c r="AV958" i="11"/>
  <c r="Y958" i="11"/>
  <c r="AW958" i="11"/>
  <c r="Z958" i="11"/>
  <c r="AC959" i="11"/>
  <c r="F959" i="11"/>
  <c r="AD959" i="11"/>
  <c r="G959" i="11"/>
  <c r="AE959" i="11"/>
  <c r="H959" i="11"/>
  <c r="AF959" i="11"/>
  <c r="I959" i="11"/>
  <c r="AG959" i="11"/>
  <c r="J959" i="11"/>
  <c r="AH959" i="11"/>
  <c r="K959" i="11"/>
  <c r="AI959" i="11"/>
  <c r="L959" i="11"/>
  <c r="AJ959" i="11"/>
  <c r="M959" i="11"/>
  <c r="AK959" i="11"/>
  <c r="N959" i="11"/>
  <c r="AL959" i="11"/>
  <c r="O959" i="11"/>
  <c r="AM959" i="11"/>
  <c r="P959" i="11"/>
  <c r="AN959" i="11"/>
  <c r="Q959" i="11"/>
  <c r="AO959" i="11"/>
  <c r="R959" i="11"/>
  <c r="AP959" i="11"/>
  <c r="S959" i="11"/>
  <c r="AQ959" i="11"/>
  <c r="T959" i="11"/>
  <c r="AR959" i="11"/>
  <c r="U959" i="11"/>
  <c r="AS959" i="11"/>
  <c r="V959" i="11"/>
  <c r="AT959" i="11"/>
  <c r="W959" i="11"/>
  <c r="AU959" i="11"/>
  <c r="X959" i="11"/>
  <c r="AV959" i="11"/>
  <c r="Y959" i="11"/>
  <c r="AW959" i="11"/>
  <c r="Z959" i="11"/>
  <c r="AC960" i="11"/>
  <c r="F960" i="11"/>
  <c r="AD960" i="11"/>
  <c r="G960" i="11"/>
  <c r="AE960" i="11"/>
  <c r="H960" i="11"/>
  <c r="AF960" i="11"/>
  <c r="I960" i="11"/>
  <c r="AG960" i="11"/>
  <c r="J960" i="11"/>
  <c r="AH960" i="11"/>
  <c r="K960" i="11"/>
  <c r="AI960" i="11"/>
  <c r="L960" i="11"/>
  <c r="AJ960" i="11"/>
  <c r="M960" i="11"/>
  <c r="AK960" i="11"/>
  <c r="N960" i="11"/>
  <c r="AL960" i="11"/>
  <c r="O960" i="11"/>
  <c r="AM960" i="11"/>
  <c r="P960" i="11"/>
  <c r="AN960" i="11"/>
  <c r="Q960" i="11"/>
  <c r="AO960" i="11"/>
  <c r="R960" i="11"/>
  <c r="AP960" i="11"/>
  <c r="S960" i="11"/>
  <c r="AQ960" i="11"/>
  <c r="T960" i="11"/>
  <c r="AR960" i="11"/>
  <c r="U960" i="11"/>
  <c r="AS960" i="11"/>
  <c r="V960" i="11"/>
  <c r="AT960" i="11"/>
  <c r="W960" i="11"/>
  <c r="AU960" i="11"/>
  <c r="X960" i="11"/>
  <c r="AV960" i="11"/>
  <c r="Y960" i="11"/>
  <c r="AW960" i="11"/>
  <c r="Z960" i="11"/>
  <c r="AC961" i="11"/>
  <c r="F961" i="11"/>
  <c r="AD961" i="11"/>
  <c r="G961" i="11"/>
  <c r="AE961" i="11"/>
  <c r="H961" i="11"/>
  <c r="AF961" i="11"/>
  <c r="I961" i="11"/>
  <c r="AG961" i="11"/>
  <c r="J961" i="11"/>
  <c r="AH961" i="11"/>
  <c r="K961" i="11"/>
  <c r="AI961" i="11"/>
  <c r="L961" i="11"/>
  <c r="AJ961" i="11"/>
  <c r="M961" i="11"/>
  <c r="AK961" i="11"/>
  <c r="N961" i="11"/>
  <c r="AL961" i="11"/>
  <c r="O961" i="11"/>
  <c r="AM961" i="11"/>
  <c r="P961" i="11"/>
  <c r="AN961" i="11"/>
  <c r="Q961" i="11"/>
  <c r="AO961" i="11"/>
  <c r="R961" i="11"/>
  <c r="AP961" i="11"/>
  <c r="S961" i="11"/>
  <c r="AQ961" i="11"/>
  <c r="T961" i="11"/>
  <c r="AR961" i="11"/>
  <c r="U961" i="11"/>
  <c r="AS961" i="11"/>
  <c r="V961" i="11"/>
  <c r="AT961" i="11"/>
  <c r="W961" i="11"/>
  <c r="AU961" i="11"/>
  <c r="X961" i="11"/>
  <c r="AV961" i="11"/>
  <c r="Y961" i="11"/>
  <c r="AW961" i="11"/>
  <c r="Z961" i="11"/>
  <c r="AC962" i="11"/>
  <c r="F962" i="11"/>
  <c r="AD962" i="11"/>
  <c r="G962" i="11"/>
  <c r="AE962" i="11"/>
  <c r="H962" i="11"/>
  <c r="AF962" i="11"/>
  <c r="I962" i="11"/>
  <c r="AG962" i="11"/>
  <c r="J962" i="11"/>
  <c r="AH962" i="11"/>
  <c r="K962" i="11"/>
  <c r="AI962" i="11"/>
  <c r="L962" i="11"/>
  <c r="AJ962" i="11"/>
  <c r="M962" i="11"/>
  <c r="AK962" i="11"/>
  <c r="N962" i="11"/>
  <c r="AL962" i="11"/>
  <c r="O962" i="11"/>
  <c r="AM962" i="11"/>
  <c r="P962" i="11"/>
  <c r="AN962" i="11"/>
  <c r="Q962" i="11"/>
  <c r="AO962" i="11"/>
  <c r="R962" i="11"/>
  <c r="AP962" i="11"/>
  <c r="S962" i="11"/>
  <c r="AQ962" i="11"/>
  <c r="T962" i="11"/>
  <c r="AR962" i="11"/>
  <c r="U962" i="11"/>
  <c r="AS962" i="11"/>
  <c r="V962" i="11"/>
  <c r="AT962" i="11"/>
  <c r="W962" i="11"/>
  <c r="AU962" i="11"/>
  <c r="X962" i="11"/>
  <c r="AV962" i="11"/>
  <c r="Y962" i="11"/>
  <c r="AW962" i="11"/>
  <c r="Z962" i="11"/>
  <c r="AC963" i="11"/>
  <c r="F963" i="11"/>
  <c r="AD963" i="11"/>
  <c r="G963" i="11"/>
  <c r="AE963" i="11"/>
  <c r="H963" i="11"/>
  <c r="AF963" i="11"/>
  <c r="I963" i="11"/>
  <c r="AG963" i="11"/>
  <c r="J963" i="11"/>
  <c r="AH963" i="11"/>
  <c r="K963" i="11"/>
  <c r="AI963" i="11"/>
  <c r="L963" i="11"/>
  <c r="AJ963" i="11"/>
  <c r="M963" i="11"/>
  <c r="AK963" i="11"/>
  <c r="N963" i="11"/>
  <c r="AL963" i="11"/>
  <c r="O963" i="11"/>
  <c r="AM963" i="11"/>
  <c r="P963" i="11"/>
  <c r="AN963" i="11"/>
  <c r="Q963" i="11"/>
  <c r="AO963" i="11"/>
  <c r="R963" i="11"/>
  <c r="AP963" i="11"/>
  <c r="S963" i="11"/>
  <c r="AQ963" i="11"/>
  <c r="T963" i="11"/>
  <c r="AR963" i="11"/>
  <c r="U963" i="11"/>
  <c r="AS963" i="11"/>
  <c r="V963" i="11"/>
  <c r="AT963" i="11"/>
  <c r="W963" i="11"/>
  <c r="AU963" i="11"/>
  <c r="X963" i="11"/>
  <c r="AV963" i="11"/>
  <c r="Y963" i="11"/>
  <c r="AW963" i="11"/>
  <c r="Z963" i="11"/>
  <c r="AC964" i="11"/>
  <c r="F964" i="11"/>
  <c r="AD964" i="11"/>
  <c r="G964" i="11"/>
  <c r="AE964" i="11"/>
  <c r="H964" i="11"/>
  <c r="AF964" i="11"/>
  <c r="I964" i="11"/>
  <c r="AG964" i="11"/>
  <c r="J964" i="11"/>
  <c r="AH964" i="11"/>
  <c r="K964" i="11"/>
  <c r="AI964" i="11"/>
  <c r="L964" i="11"/>
  <c r="AJ964" i="11"/>
  <c r="M964" i="11"/>
  <c r="AK964" i="11"/>
  <c r="N964" i="11"/>
  <c r="AL964" i="11"/>
  <c r="O964" i="11"/>
  <c r="AM964" i="11"/>
  <c r="P964" i="11"/>
  <c r="AN964" i="11"/>
  <c r="Q964" i="11"/>
  <c r="AO964" i="11"/>
  <c r="R964" i="11"/>
  <c r="AP964" i="11"/>
  <c r="S964" i="11"/>
  <c r="AQ964" i="11"/>
  <c r="T964" i="11"/>
  <c r="AR964" i="11"/>
  <c r="U964" i="11"/>
  <c r="AS964" i="11"/>
  <c r="V964" i="11"/>
  <c r="AT964" i="11"/>
  <c r="W964" i="11"/>
  <c r="AU964" i="11"/>
  <c r="X964" i="11"/>
  <c r="AV964" i="11"/>
  <c r="Y964" i="11"/>
  <c r="AW964" i="11"/>
  <c r="Z964" i="11"/>
  <c r="AC965" i="11"/>
  <c r="F965" i="11"/>
  <c r="AD965" i="11"/>
  <c r="G965" i="11"/>
  <c r="AE965" i="11"/>
  <c r="H965" i="11"/>
  <c r="AF965" i="11"/>
  <c r="I965" i="11"/>
  <c r="AG965" i="11"/>
  <c r="J965" i="11"/>
  <c r="AH965" i="11"/>
  <c r="K965" i="11"/>
  <c r="AI965" i="11"/>
  <c r="L965" i="11"/>
  <c r="AJ965" i="11"/>
  <c r="M965" i="11"/>
  <c r="AK965" i="11"/>
  <c r="N965" i="11"/>
  <c r="AL965" i="11"/>
  <c r="O965" i="11"/>
  <c r="AM965" i="11"/>
  <c r="P965" i="11"/>
  <c r="AN965" i="11"/>
  <c r="Q965" i="11"/>
  <c r="AO965" i="11"/>
  <c r="R965" i="11"/>
  <c r="AP965" i="11"/>
  <c r="S965" i="11"/>
  <c r="AQ965" i="11"/>
  <c r="T965" i="11"/>
  <c r="AR965" i="11"/>
  <c r="U965" i="11"/>
  <c r="AS965" i="11"/>
  <c r="V965" i="11"/>
  <c r="AT965" i="11"/>
  <c r="W965" i="11"/>
  <c r="AU965" i="11"/>
  <c r="X965" i="11"/>
  <c r="AV965" i="11"/>
  <c r="Y965" i="11"/>
  <c r="AW965" i="11"/>
  <c r="Z965" i="11"/>
  <c r="AC966" i="11"/>
  <c r="F966" i="11"/>
  <c r="AD966" i="11"/>
  <c r="G966" i="11"/>
  <c r="AE966" i="11"/>
  <c r="H966" i="11"/>
  <c r="AF966" i="11"/>
  <c r="I966" i="11"/>
  <c r="AG966" i="11"/>
  <c r="J966" i="11"/>
  <c r="AH966" i="11"/>
  <c r="K966" i="11"/>
  <c r="AI966" i="11"/>
  <c r="L966" i="11"/>
  <c r="AJ966" i="11"/>
  <c r="M966" i="11"/>
  <c r="AK966" i="11"/>
  <c r="N966" i="11"/>
  <c r="AL966" i="11"/>
  <c r="O966" i="11"/>
  <c r="AM966" i="11"/>
  <c r="P966" i="11"/>
  <c r="AN966" i="11"/>
  <c r="Q966" i="11"/>
  <c r="AO966" i="11"/>
  <c r="R966" i="11"/>
  <c r="AP966" i="11"/>
  <c r="S966" i="11"/>
  <c r="AQ966" i="11"/>
  <c r="T966" i="11"/>
  <c r="AR966" i="11"/>
  <c r="U966" i="11"/>
  <c r="AS966" i="11"/>
  <c r="V966" i="11"/>
  <c r="AT966" i="11"/>
  <c r="W966" i="11"/>
  <c r="AU966" i="11"/>
  <c r="X966" i="11"/>
  <c r="AV966" i="11"/>
  <c r="Y966" i="11"/>
  <c r="AW966" i="11"/>
  <c r="Z966" i="11"/>
  <c r="AC967" i="11"/>
  <c r="F967" i="11"/>
  <c r="AD967" i="11"/>
  <c r="G967" i="11"/>
  <c r="AE967" i="11"/>
  <c r="H967" i="11"/>
  <c r="AF967" i="11"/>
  <c r="I967" i="11"/>
  <c r="AG967" i="11"/>
  <c r="J967" i="11"/>
  <c r="AH967" i="11"/>
  <c r="K967" i="11"/>
  <c r="AI967" i="11"/>
  <c r="L967" i="11"/>
  <c r="AJ967" i="11"/>
  <c r="M967" i="11"/>
  <c r="AK967" i="11"/>
  <c r="N967" i="11"/>
  <c r="AL967" i="11"/>
  <c r="O967" i="11"/>
  <c r="AM967" i="11"/>
  <c r="P967" i="11"/>
  <c r="AN967" i="11"/>
  <c r="Q967" i="11"/>
  <c r="AO967" i="11"/>
  <c r="R967" i="11"/>
  <c r="AP967" i="11"/>
  <c r="S967" i="11"/>
  <c r="AQ967" i="11"/>
  <c r="T967" i="11"/>
  <c r="AR967" i="11"/>
  <c r="U967" i="11"/>
  <c r="AS967" i="11"/>
  <c r="V967" i="11"/>
  <c r="AT967" i="11"/>
  <c r="W967" i="11"/>
  <c r="AU967" i="11"/>
  <c r="X967" i="11"/>
  <c r="AV967" i="11"/>
  <c r="Y967" i="11"/>
  <c r="AW967" i="11"/>
  <c r="Z967" i="11"/>
  <c r="AC968" i="11"/>
  <c r="F968" i="11"/>
  <c r="AD968" i="11"/>
  <c r="G968" i="11"/>
  <c r="AE968" i="11"/>
  <c r="H968" i="11"/>
  <c r="AF968" i="11"/>
  <c r="I968" i="11"/>
  <c r="AG968" i="11"/>
  <c r="J968" i="11"/>
  <c r="AH968" i="11"/>
  <c r="K968" i="11"/>
  <c r="AI968" i="11"/>
  <c r="L968" i="11"/>
  <c r="AJ968" i="11"/>
  <c r="M968" i="11"/>
  <c r="AK968" i="11"/>
  <c r="N968" i="11"/>
  <c r="AL968" i="11"/>
  <c r="O968" i="11"/>
  <c r="AM968" i="11"/>
  <c r="P968" i="11"/>
  <c r="AN968" i="11"/>
  <c r="Q968" i="11"/>
  <c r="AO968" i="11"/>
  <c r="R968" i="11"/>
  <c r="AP968" i="11"/>
  <c r="S968" i="11"/>
  <c r="AQ968" i="11"/>
  <c r="T968" i="11"/>
  <c r="AR968" i="11"/>
  <c r="U968" i="11"/>
  <c r="AS968" i="11"/>
  <c r="V968" i="11"/>
  <c r="AT968" i="11"/>
  <c r="W968" i="11"/>
  <c r="AU968" i="11"/>
  <c r="X968" i="11"/>
  <c r="AV968" i="11"/>
  <c r="Y968" i="11"/>
  <c r="AW968" i="11"/>
  <c r="Z968" i="11"/>
  <c r="AC969" i="11"/>
  <c r="F969" i="11"/>
  <c r="AD969" i="11"/>
  <c r="G969" i="11"/>
  <c r="AE969" i="11"/>
  <c r="H969" i="11"/>
  <c r="AF969" i="11"/>
  <c r="I969" i="11"/>
  <c r="AG969" i="11"/>
  <c r="J969" i="11"/>
  <c r="AH969" i="11"/>
  <c r="K969" i="11"/>
  <c r="AI969" i="11"/>
  <c r="L969" i="11"/>
  <c r="AJ969" i="11"/>
  <c r="M969" i="11"/>
  <c r="AK969" i="11"/>
  <c r="N969" i="11"/>
  <c r="AL969" i="11"/>
  <c r="O969" i="11"/>
  <c r="AM969" i="11"/>
  <c r="P969" i="11"/>
  <c r="AN969" i="11"/>
  <c r="Q969" i="11"/>
  <c r="AO969" i="11"/>
  <c r="R969" i="11"/>
  <c r="AP969" i="11"/>
  <c r="S969" i="11"/>
  <c r="AQ969" i="11"/>
  <c r="T969" i="11"/>
  <c r="AR969" i="11"/>
  <c r="U969" i="11"/>
  <c r="AS969" i="11"/>
  <c r="V969" i="11"/>
  <c r="AT969" i="11"/>
  <c r="W969" i="11"/>
  <c r="AU969" i="11"/>
  <c r="X969" i="11"/>
  <c r="AV969" i="11"/>
  <c r="Y969" i="11"/>
  <c r="AW969" i="11"/>
  <c r="Z969" i="11"/>
  <c r="AC970" i="11"/>
  <c r="F970" i="11"/>
  <c r="AD970" i="11"/>
  <c r="G970" i="11"/>
  <c r="AE970" i="11"/>
  <c r="H970" i="11"/>
  <c r="AF970" i="11"/>
  <c r="I970" i="11"/>
  <c r="AG970" i="11"/>
  <c r="J970" i="11"/>
  <c r="AH970" i="11"/>
  <c r="K970" i="11"/>
  <c r="AI970" i="11"/>
  <c r="L970" i="11"/>
  <c r="AJ970" i="11"/>
  <c r="M970" i="11"/>
  <c r="AK970" i="11"/>
  <c r="N970" i="11"/>
  <c r="AL970" i="11"/>
  <c r="O970" i="11"/>
  <c r="AM970" i="11"/>
  <c r="P970" i="11"/>
  <c r="AN970" i="11"/>
  <c r="Q970" i="11"/>
  <c r="AO970" i="11"/>
  <c r="R970" i="11"/>
  <c r="AP970" i="11"/>
  <c r="S970" i="11"/>
  <c r="AQ970" i="11"/>
  <c r="T970" i="11"/>
  <c r="AR970" i="11"/>
  <c r="U970" i="11"/>
  <c r="AS970" i="11"/>
  <c r="V970" i="11"/>
  <c r="AT970" i="11"/>
  <c r="W970" i="11"/>
  <c r="AU970" i="11"/>
  <c r="X970" i="11"/>
  <c r="AV970" i="11"/>
  <c r="Y970" i="11"/>
  <c r="AW970" i="11"/>
  <c r="Z970" i="11"/>
  <c r="AC971" i="11"/>
  <c r="F971" i="11"/>
  <c r="AD971" i="11"/>
  <c r="G971" i="11"/>
  <c r="AE971" i="11"/>
  <c r="H971" i="11"/>
  <c r="AF971" i="11"/>
  <c r="I971" i="11"/>
  <c r="AG971" i="11"/>
  <c r="J971" i="11"/>
  <c r="AH971" i="11"/>
  <c r="K971" i="11"/>
  <c r="AI971" i="11"/>
  <c r="L971" i="11"/>
  <c r="AJ971" i="11"/>
  <c r="M971" i="11"/>
  <c r="AK971" i="11"/>
  <c r="N971" i="11"/>
  <c r="AL971" i="11"/>
  <c r="O971" i="11"/>
  <c r="AM971" i="11"/>
  <c r="P971" i="11"/>
  <c r="AN971" i="11"/>
  <c r="Q971" i="11"/>
  <c r="AO971" i="11"/>
  <c r="R971" i="11"/>
  <c r="AP971" i="11"/>
  <c r="S971" i="11"/>
  <c r="AQ971" i="11"/>
  <c r="T971" i="11"/>
  <c r="AR971" i="11"/>
  <c r="U971" i="11"/>
  <c r="AS971" i="11"/>
  <c r="V971" i="11"/>
  <c r="AT971" i="11"/>
  <c r="W971" i="11"/>
  <c r="AU971" i="11"/>
  <c r="X971" i="11"/>
  <c r="AV971" i="11"/>
  <c r="Y971" i="11"/>
  <c r="AW971" i="11"/>
  <c r="Z971" i="11"/>
  <c r="AC972" i="11"/>
  <c r="F972" i="11"/>
  <c r="AD972" i="11"/>
  <c r="G972" i="11"/>
  <c r="AE972" i="11"/>
  <c r="H972" i="11"/>
  <c r="AF972" i="11"/>
  <c r="I972" i="11"/>
  <c r="AG972" i="11"/>
  <c r="J972" i="11"/>
  <c r="AH972" i="11"/>
  <c r="K972" i="11"/>
  <c r="AI972" i="11"/>
  <c r="L972" i="11"/>
  <c r="AJ972" i="11"/>
  <c r="M972" i="11"/>
  <c r="AK972" i="11"/>
  <c r="N972" i="11"/>
  <c r="AL972" i="11"/>
  <c r="O972" i="11"/>
  <c r="AM972" i="11"/>
  <c r="P972" i="11"/>
  <c r="AN972" i="11"/>
  <c r="Q972" i="11"/>
  <c r="AO972" i="11"/>
  <c r="R972" i="11"/>
  <c r="AP972" i="11"/>
  <c r="S972" i="11"/>
  <c r="AQ972" i="11"/>
  <c r="T972" i="11"/>
  <c r="AR972" i="11"/>
  <c r="U972" i="11"/>
  <c r="AS972" i="11"/>
  <c r="V972" i="11"/>
  <c r="AT972" i="11"/>
  <c r="W972" i="11"/>
  <c r="AU972" i="11"/>
  <c r="X972" i="11"/>
  <c r="AV972" i="11"/>
  <c r="Y972" i="11"/>
  <c r="AW972" i="11"/>
  <c r="Z972" i="11"/>
  <c r="AC973" i="11"/>
  <c r="F973" i="11"/>
  <c r="AD973" i="11"/>
  <c r="G973" i="11"/>
  <c r="AE973" i="11"/>
  <c r="H973" i="11"/>
  <c r="AF973" i="11"/>
  <c r="I973" i="11"/>
  <c r="AG973" i="11"/>
  <c r="J973" i="11"/>
  <c r="AH973" i="11"/>
  <c r="K973" i="11"/>
  <c r="AI973" i="11"/>
  <c r="L973" i="11"/>
  <c r="AJ973" i="11"/>
  <c r="M973" i="11"/>
  <c r="AK973" i="11"/>
  <c r="N973" i="11"/>
  <c r="AL973" i="11"/>
  <c r="O973" i="11"/>
  <c r="AM973" i="11"/>
  <c r="P973" i="11"/>
  <c r="AN973" i="11"/>
  <c r="Q973" i="11"/>
  <c r="AO973" i="11"/>
  <c r="R973" i="11"/>
  <c r="AP973" i="11"/>
  <c r="S973" i="11"/>
  <c r="AQ973" i="11"/>
  <c r="T973" i="11"/>
  <c r="AR973" i="11"/>
  <c r="U973" i="11"/>
  <c r="AS973" i="11"/>
  <c r="V973" i="11"/>
  <c r="AT973" i="11"/>
  <c r="W973" i="11"/>
  <c r="AU973" i="11"/>
  <c r="X973" i="11"/>
  <c r="AV973" i="11"/>
  <c r="Y973" i="11"/>
  <c r="AW973" i="11"/>
  <c r="Z973" i="11"/>
  <c r="AC974" i="11"/>
  <c r="F974" i="11"/>
  <c r="AD974" i="11"/>
  <c r="G974" i="11"/>
  <c r="AE974" i="11"/>
  <c r="H974" i="11"/>
  <c r="AF974" i="11"/>
  <c r="I974" i="11"/>
  <c r="AG974" i="11"/>
  <c r="J974" i="11"/>
  <c r="AH974" i="11"/>
  <c r="K974" i="11"/>
  <c r="AI974" i="11"/>
  <c r="L974" i="11"/>
  <c r="AJ974" i="11"/>
  <c r="M974" i="11"/>
  <c r="AK974" i="11"/>
  <c r="N974" i="11"/>
  <c r="AL974" i="11"/>
  <c r="O974" i="11"/>
  <c r="AM974" i="11"/>
  <c r="P974" i="11"/>
  <c r="AN974" i="11"/>
  <c r="Q974" i="11"/>
  <c r="AO974" i="11"/>
  <c r="R974" i="11"/>
  <c r="AP974" i="11"/>
  <c r="S974" i="11"/>
  <c r="AQ974" i="11"/>
  <c r="T974" i="11"/>
  <c r="AR974" i="11"/>
  <c r="U974" i="11"/>
  <c r="AS974" i="11"/>
  <c r="V974" i="11"/>
  <c r="AT974" i="11"/>
  <c r="W974" i="11"/>
  <c r="AU974" i="11"/>
  <c r="X974" i="11"/>
  <c r="AV974" i="11"/>
  <c r="Y974" i="11"/>
  <c r="AW974" i="11"/>
  <c r="Z974" i="11"/>
  <c r="AC975" i="11"/>
  <c r="F975" i="11"/>
  <c r="AD975" i="11"/>
  <c r="G975" i="11"/>
  <c r="AE975" i="11"/>
  <c r="H975" i="11"/>
  <c r="AF975" i="11"/>
  <c r="I975" i="11"/>
  <c r="AG975" i="11"/>
  <c r="J975" i="11"/>
  <c r="AH975" i="11"/>
  <c r="K975" i="11"/>
  <c r="AI975" i="11"/>
  <c r="L975" i="11"/>
  <c r="AJ975" i="11"/>
  <c r="M975" i="11"/>
  <c r="AK975" i="11"/>
  <c r="N975" i="11"/>
  <c r="AL975" i="11"/>
  <c r="O975" i="11"/>
  <c r="AM975" i="11"/>
  <c r="P975" i="11"/>
  <c r="AN975" i="11"/>
  <c r="Q975" i="11"/>
  <c r="AO975" i="11"/>
  <c r="R975" i="11"/>
  <c r="AP975" i="11"/>
  <c r="S975" i="11"/>
  <c r="AQ975" i="11"/>
  <c r="T975" i="11"/>
  <c r="AR975" i="11"/>
  <c r="U975" i="11"/>
  <c r="AS975" i="11"/>
  <c r="V975" i="11"/>
  <c r="AT975" i="11"/>
  <c r="W975" i="11"/>
  <c r="AU975" i="11"/>
  <c r="X975" i="11"/>
  <c r="AV975" i="11"/>
  <c r="Y975" i="11"/>
  <c r="AW975" i="11"/>
  <c r="Z975" i="11"/>
  <c r="AC976" i="11"/>
  <c r="F976" i="11"/>
  <c r="AD976" i="11"/>
  <c r="G976" i="11"/>
  <c r="AE976" i="11"/>
  <c r="H976" i="11"/>
  <c r="AF976" i="11"/>
  <c r="I976" i="11"/>
  <c r="AG976" i="11"/>
  <c r="J976" i="11"/>
  <c r="AH976" i="11"/>
  <c r="K976" i="11"/>
  <c r="AI976" i="11"/>
  <c r="L976" i="11"/>
  <c r="AJ976" i="11"/>
  <c r="M976" i="11"/>
  <c r="AK976" i="11"/>
  <c r="N976" i="11"/>
  <c r="AL976" i="11"/>
  <c r="O976" i="11"/>
  <c r="AM976" i="11"/>
  <c r="P976" i="11"/>
  <c r="AN976" i="11"/>
  <c r="Q976" i="11"/>
  <c r="AO976" i="11"/>
  <c r="R976" i="11"/>
  <c r="AP976" i="11"/>
  <c r="S976" i="11"/>
  <c r="AQ976" i="11"/>
  <c r="T976" i="11"/>
  <c r="AR976" i="11"/>
  <c r="U976" i="11"/>
  <c r="AS976" i="11"/>
  <c r="V976" i="11"/>
  <c r="AT976" i="11"/>
  <c r="W976" i="11"/>
  <c r="AU976" i="11"/>
  <c r="X976" i="11"/>
  <c r="AV976" i="11"/>
  <c r="Y976" i="11"/>
  <c r="AW976" i="11"/>
  <c r="Z976" i="11"/>
  <c r="AC977" i="11"/>
  <c r="F977" i="11"/>
  <c r="AD977" i="11"/>
  <c r="G977" i="11"/>
  <c r="AE977" i="11"/>
  <c r="H977" i="11"/>
  <c r="AF977" i="11"/>
  <c r="I977" i="11"/>
  <c r="AG977" i="11"/>
  <c r="J977" i="11"/>
  <c r="AH977" i="11"/>
  <c r="K977" i="11"/>
  <c r="AI977" i="11"/>
  <c r="L977" i="11"/>
  <c r="AJ977" i="11"/>
  <c r="M977" i="11"/>
  <c r="AK977" i="11"/>
  <c r="N977" i="11"/>
  <c r="AL977" i="11"/>
  <c r="O977" i="11"/>
  <c r="AM977" i="11"/>
  <c r="P977" i="11"/>
  <c r="AN977" i="11"/>
  <c r="Q977" i="11"/>
  <c r="AO977" i="11"/>
  <c r="R977" i="11"/>
  <c r="AP977" i="11"/>
  <c r="S977" i="11"/>
  <c r="AQ977" i="11"/>
  <c r="T977" i="11"/>
  <c r="AR977" i="11"/>
  <c r="U977" i="11"/>
  <c r="AS977" i="11"/>
  <c r="V977" i="11"/>
  <c r="AT977" i="11"/>
  <c r="W977" i="11"/>
  <c r="AU977" i="11"/>
  <c r="X977" i="11"/>
  <c r="AV977" i="11"/>
  <c r="Y977" i="11"/>
  <c r="AW977" i="11"/>
  <c r="Z977" i="11"/>
  <c r="AC978" i="11"/>
  <c r="F978" i="11"/>
  <c r="AD978" i="11"/>
  <c r="G978" i="11"/>
  <c r="AE978" i="11"/>
  <c r="H978" i="11"/>
  <c r="AF978" i="11"/>
  <c r="I978" i="11"/>
  <c r="AG978" i="11"/>
  <c r="J978" i="11"/>
  <c r="AH978" i="11"/>
  <c r="K978" i="11"/>
  <c r="AI978" i="11"/>
  <c r="L978" i="11"/>
  <c r="AJ978" i="11"/>
  <c r="M978" i="11"/>
  <c r="AK978" i="11"/>
  <c r="N978" i="11"/>
  <c r="AL978" i="11"/>
  <c r="O978" i="11"/>
  <c r="AM978" i="11"/>
  <c r="P978" i="11"/>
  <c r="AN978" i="11"/>
  <c r="Q978" i="11"/>
  <c r="AO978" i="11"/>
  <c r="R978" i="11"/>
  <c r="AP978" i="11"/>
  <c r="S978" i="11"/>
  <c r="AQ978" i="11"/>
  <c r="T978" i="11"/>
  <c r="AR978" i="11"/>
  <c r="U978" i="11"/>
  <c r="AS978" i="11"/>
  <c r="V978" i="11"/>
  <c r="AT978" i="11"/>
  <c r="W978" i="11"/>
  <c r="AU978" i="11"/>
  <c r="X978" i="11"/>
  <c r="AV978" i="11"/>
  <c r="Y978" i="11"/>
  <c r="AW978" i="11"/>
  <c r="Z978" i="11"/>
  <c r="AC979" i="11"/>
  <c r="F979" i="11"/>
  <c r="AD979" i="11"/>
  <c r="G979" i="11"/>
  <c r="AE979" i="11"/>
  <c r="H979" i="11"/>
  <c r="AF979" i="11"/>
  <c r="I979" i="11"/>
  <c r="AG979" i="11"/>
  <c r="J979" i="11"/>
  <c r="AH979" i="11"/>
  <c r="K979" i="11"/>
  <c r="AI979" i="11"/>
  <c r="L979" i="11"/>
  <c r="AJ979" i="11"/>
  <c r="M979" i="11"/>
  <c r="AK979" i="11"/>
  <c r="N979" i="11"/>
  <c r="AL979" i="11"/>
  <c r="O979" i="11"/>
  <c r="AM979" i="11"/>
  <c r="P979" i="11"/>
  <c r="AN979" i="11"/>
  <c r="Q979" i="11"/>
  <c r="AO979" i="11"/>
  <c r="R979" i="11"/>
  <c r="AP979" i="11"/>
  <c r="S979" i="11"/>
  <c r="AQ979" i="11"/>
  <c r="T979" i="11"/>
  <c r="AR979" i="11"/>
  <c r="U979" i="11"/>
  <c r="AS979" i="11"/>
  <c r="V979" i="11"/>
  <c r="AT979" i="11"/>
  <c r="W979" i="11"/>
  <c r="AU979" i="11"/>
  <c r="X979" i="11"/>
  <c r="AV979" i="11"/>
  <c r="Y979" i="11"/>
  <c r="AW979" i="11"/>
  <c r="Z979" i="11"/>
  <c r="AC980" i="11"/>
  <c r="F980" i="11"/>
  <c r="AD980" i="11"/>
  <c r="G980" i="11"/>
  <c r="AE980" i="11"/>
  <c r="H980" i="11"/>
  <c r="AF980" i="11"/>
  <c r="I980" i="11"/>
  <c r="AG980" i="11"/>
  <c r="J980" i="11"/>
  <c r="AH980" i="11"/>
  <c r="K980" i="11"/>
  <c r="AI980" i="11"/>
  <c r="L980" i="11"/>
  <c r="AJ980" i="11"/>
  <c r="M980" i="11"/>
  <c r="AK980" i="11"/>
  <c r="N980" i="11"/>
  <c r="AL980" i="11"/>
  <c r="O980" i="11"/>
  <c r="AM980" i="11"/>
  <c r="P980" i="11"/>
  <c r="AN980" i="11"/>
  <c r="Q980" i="11"/>
  <c r="AO980" i="11"/>
  <c r="R980" i="11"/>
  <c r="AP980" i="11"/>
  <c r="S980" i="11"/>
  <c r="AQ980" i="11"/>
  <c r="T980" i="11"/>
  <c r="AR980" i="11"/>
  <c r="U980" i="11"/>
  <c r="AS980" i="11"/>
  <c r="V980" i="11"/>
  <c r="AT980" i="11"/>
  <c r="W980" i="11"/>
  <c r="AU980" i="11"/>
  <c r="X980" i="11"/>
  <c r="AV980" i="11"/>
  <c r="Y980" i="11"/>
  <c r="AW980" i="11"/>
  <c r="Z980" i="11"/>
  <c r="AC981" i="11"/>
  <c r="F981" i="11"/>
  <c r="AD981" i="11"/>
  <c r="G981" i="11"/>
  <c r="AE981" i="11"/>
  <c r="H981" i="11"/>
  <c r="AF981" i="11"/>
  <c r="I981" i="11"/>
  <c r="AG981" i="11"/>
  <c r="J981" i="11"/>
  <c r="AH981" i="11"/>
  <c r="K981" i="11"/>
  <c r="AI981" i="11"/>
  <c r="L981" i="11"/>
  <c r="AJ981" i="11"/>
  <c r="M981" i="11"/>
  <c r="AK981" i="11"/>
  <c r="N981" i="11"/>
  <c r="AL981" i="11"/>
  <c r="O981" i="11"/>
  <c r="AM981" i="11"/>
  <c r="P981" i="11"/>
  <c r="AN981" i="11"/>
  <c r="Q981" i="11"/>
  <c r="AO981" i="11"/>
  <c r="R981" i="11"/>
  <c r="AP981" i="11"/>
  <c r="S981" i="11"/>
  <c r="AQ981" i="11"/>
  <c r="T981" i="11"/>
  <c r="AR981" i="11"/>
  <c r="U981" i="11"/>
  <c r="AS981" i="11"/>
  <c r="V981" i="11"/>
  <c r="AT981" i="11"/>
  <c r="W981" i="11"/>
  <c r="AU981" i="11"/>
  <c r="X981" i="11"/>
  <c r="AV981" i="11"/>
  <c r="Y981" i="11"/>
  <c r="AW981" i="11"/>
  <c r="Z981" i="11"/>
  <c r="AC982" i="11"/>
  <c r="F982" i="11"/>
  <c r="AD982" i="11"/>
  <c r="G982" i="11"/>
  <c r="AE982" i="11"/>
  <c r="H982" i="11"/>
  <c r="AF982" i="11"/>
  <c r="I982" i="11"/>
  <c r="AG982" i="11"/>
  <c r="J982" i="11"/>
  <c r="AH982" i="11"/>
  <c r="K982" i="11"/>
  <c r="AI982" i="11"/>
  <c r="L982" i="11"/>
  <c r="AJ982" i="11"/>
  <c r="M982" i="11"/>
  <c r="AK982" i="11"/>
  <c r="N982" i="11"/>
  <c r="AL982" i="11"/>
  <c r="O982" i="11"/>
  <c r="AM982" i="11"/>
  <c r="P982" i="11"/>
  <c r="AN982" i="11"/>
  <c r="Q982" i="11"/>
  <c r="AO982" i="11"/>
  <c r="R982" i="11"/>
  <c r="AP982" i="11"/>
  <c r="S982" i="11"/>
  <c r="AQ982" i="11"/>
  <c r="T982" i="11"/>
  <c r="AR982" i="11"/>
  <c r="U982" i="11"/>
  <c r="AS982" i="11"/>
  <c r="V982" i="11"/>
  <c r="AT982" i="11"/>
  <c r="W982" i="11"/>
  <c r="AU982" i="11"/>
  <c r="X982" i="11"/>
  <c r="AV982" i="11"/>
  <c r="Y982" i="11"/>
  <c r="AW982" i="11"/>
  <c r="Z982" i="11"/>
  <c r="AC983" i="11"/>
  <c r="F983" i="11"/>
  <c r="AD983" i="11"/>
  <c r="G983" i="11"/>
  <c r="AE983" i="11"/>
  <c r="H983" i="11"/>
  <c r="AF983" i="11"/>
  <c r="I983" i="11"/>
  <c r="AG983" i="11"/>
  <c r="J983" i="11"/>
  <c r="AH983" i="11"/>
  <c r="K983" i="11"/>
  <c r="AI983" i="11"/>
  <c r="L983" i="11"/>
  <c r="AJ983" i="11"/>
  <c r="M983" i="11"/>
  <c r="AK983" i="11"/>
  <c r="N983" i="11"/>
  <c r="AL983" i="11"/>
  <c r="O983" i="11"/>
  <c r="AM983" i="11"/>
  <c r="P983" i="11"/>
  <c r="AN983" i="11"/>
  <c r="Q983" i="11"/>
  <c r="AO983" i="11"/>
  <c r="R983" i="11"/>
  <c r="AP983" i="11"/>
  <c r="S983" i="11"/>
  <c r="AQ983" i="11"/>
  <c r="T983" i="11"/>
  <c r="AR983" i="11"/>
  <c r="U983" i="11"/>
  <c r="AS983" i="11"/>
  <c r="V983" i="11"/>
  <c r="AT983" i="11"/>
  <c r="W983" i="11"/>
  <c r="AU983" i="11"/>
  <c r="X983" i="11"/>
  <c r="AV983" i="11"/>
  <c r="Y983" i="11"/>
  <c r="AW983" i="11"/>
  <c r="Z983" i="11"/>
  <c r="AC984" i="11"/>
  <c r="F984" i="11"/>
  <c r="AD984" i="11"/>
  <c r="G984" i="11"/>
  <c r="AE984" i="11"/>
  <c r="H984" i="11"/>
  <c r="AF984" i="11"/>
  <c r="I984" i="11"/>
  <c r="AG984" i="11"/>
  <c r="J984" i="11"/>
  <c r="AH984" i="11"/>
  <c r="K984" i="11"/>
  <c r="AI984" i="11"/>
  <c r="L984" i="11"/>
  <c r="AJ984" i="11"/>
  <c r="M984" i="11"/>
  <c r="AK984" i="11"/>
  <c r="N984" i="11"/>
  <c r="AL984" i="11"/>
  <c r="O984" i="11"/>
  <c r="AM984" i="11"/>
  <c r="P984" i="11"/>
  <c r="AN984" i="11"/>
  <c r="Q984" i="11"/>
  <c r="AO984" i="11"/>
  <c r="R984" i="11"/>
  <c r="AP984" i="11"/>
  <c r="S984" i="11"/>
  <c r="AQ984" i="11"/>
  <c r="T984" i="11"/>
  <c r="AR984" i="11"/>
  <c r="U984" i="11"/>
  <c r="AS984" i="11"/>
  <c r="V984" i="11"/>
  <c r="AT984" i="11"/>
  <c r="W984" i="11"/>
  <c r="AU984" i="11"/>
  <c r="X984" i="11"/>
  <c r="AV984" i="11"/>
  <c r="Y984" i="11"/>
  <c r="AW984" i="11"/>
  <c r="Z984" i="11"/>
  <c r="AC985" i="11"/>
  <c r="F985" i="11"/>
  <c r="AD985" i="11"/>
  <c r="G985" i="11"/>
  <c r="AE985" i="11"/>
  <c r="H985" i="11"/>
  <c r="AF985" i="11"/>
  <c r="I985" i="11"/>
  <c r="AG985" i="11"/>
  <c r="J985" i="11"/>
  <c r="AH985" i="11"/>
  <c r="K985" i="11"/>
  <c r="AI985" i="11"/>
  <c r="L985" i="11"/>
  <c r="AJ985" i="11"/>
  <c r="M985" i="11"/>
  <c r="AK985" i="11"/>
  <c r="N985" i="11"/>
  <c r="AL985" i="11"/>
  <c r="O985" i="11"/>
  <c r="AM985" i="11"/>
  <c r="P985" i="11"/>
  <c r="AN985" i="11"/>
  <c r="Q985" i="11"/>
  <c r="AO985" i="11"/>
  <c r="R985" i="11"/>
  <c r="AP985" i="11"/>
  <c r="S985" i="11"/>
  <c r="AQ985" i="11"/>
  <c r="T985" i="11"/>
  <c r="AR985" i="11"/>
  <c r="U985" i="11"/>
  <c r="AS985" i="11"/>
  <c r="V985" i="11"/>
  <c r="AT985" i="11"/>
  <c r="W985" i="11"/>
  <c r="AU985" i="11"/>
  <c r="X985" i="11"/>
  <c r="AV985" i="11"/>
  <c r="Y985" i="11"/>
  <c r="AW985" i="11"/>
  <c r="Z985" i="11"/>
  <c r="AC986" i="11"/>
  <c r="F986" i="11"/>
  <c r="AD986" i="11"/>
  <c r="G986" i="11"/>
  <c r="AE986" i="11"/>
  <c r="H986" i="11"/>
  <c r="AF986" i="11"/>
  <c r="I986" i="11"/>
  <c r="AG986" i="11"/>
  <c r="J986" i="11"/>
  <c r="AH986" i="11"/>
  <c r="K986" i="11"/>
  <c r="AI986" i="11"/>
  <c r="L986" i="11"/>
  <c r="AJ986" i="11"/>
  <c r="M986" i="11"/>
  <c r="AK986" i="11"/>
  <c r="N986" i="11"/>
  <c r="AL986" i="11"/>
  <c r="O986" i="11"/>
  <c r="AM986" i="11"/>
  <c r="P986" i="11"/>
  <c r="AN986" i="11"/>
  <c r="Q986" i="11"/>
  <c r="AO986" i="11"/>
  <c r="R986" i="11"/>
  <c r="AP986" i="11"/>
  <c r="S986" i="11"/>
  <c r="AQ986" i="11"/>
  <c r="T986" i="11"/>
  <c r="AR986" i="11"/>
  <c r="U986" i="11"/>
  <c r="AS986" i="11"/>
  <c r="V986" i="11"/>
  <c r="AT986" i="11"/>
  <c r="W986" i="11"/>
  <c r="AU986" i="11"/>
  <c r="X986" i="11"/>
  <c r="AV986" i="11"/>
  <c r="Y986" i="11"/>
  <c r="AW986" i="11"/>
  <c r="Z986" i="11"/>
  <c r="AC987" i="11"/>
  <c r="F987" i="11"/>
  <c r="AD987" i="11"/>
  <c r="G987" i="11"/>
  <c r="AE987" i="11"/>
  <c r="H987" i="11"/>
  <c r="AF987" i="11"/>
  <c r="I987" i="11"/>
  <c r="AG987" i="11"/>
  <c r="J987" i="11"/>
  <c r="AH987" i="11"/>
  <c r="K987" i="11"/>
  <c r="AI987" i="11"/>
  <c r="L987" i="11"/>
  <c r="AJ987" i="11"/>
  <c r="M987" i="11"/>
  <c r="AK987" i="11"/>
  <c r="N987" i="11"/>
  <c r="AL987" i="11"/>
  <c r="O987" i="11"/>
  <c r="AM987" i="11"/>
  <c r="P987" i="11"/>
  <c r="AN987" i="11"/>
  <c r="Q987" i="11"/>
  <c r="AO987" i="11"/>
  <c r="R987" i="11"/>
  <c r="AP987" i="11"/>
  <c r="S987" i="11"/>
  <c r="AQ987" i="11"/>
  <c r="T987" i="11"/>
  <c r="AR987" i="11"/>
  <c r="U987" i="11"/>
  <c r="AS987" i="11"/>
  <c r="V987" i="11"/>
  <c r="AT987" i="11"/>
  <c r="W987" i="11"/>
  <c r="AU987" i="11"/>
  <c r="X987" i="11"/>
  <c r="AV987" i="11"/>
  <c r="Y987" i="11"/>
  <c r="AW987" i="11"/>
  <c r="Z987" i="11"/>
  <c r="AC988" i="11"/>
  <c r="F988" i="11"/>
  <c r="AD988" i="11"/>
  <c r="G988" i="11"/>
  <c r="AE988" i="11"/>
  <c r="H988" i="11"/>
  <c r="AF988" i="11"/>
  <c r="I988" i="11"/>
  <c r="AG988" i="11"/>
  <c r="J988" i="11"/>
  <c r="AH988" i="11"/>
  <c r="K988" i="11"/>
  <c r="AI988" i="11"/>
  <c r="L988" i="11"/>
  <c r="AJ988" i="11"/>
  <c r="M988" i="11"/>
  <c r="AK988" i="11"/>
  <c r="N988" i="11"/>
  <c r="AL988" i="11"/>
  <c r="O988" i="11"/>
  <c r="AM988" i="11"/>
  <c r="P988" i="11"/>
  <c r="AN988" i="11"/>
  <c r="Q988" i="11"/>
  <c r="AO988" i="11"/>
  <c r="R988" i="11"/>
  <c r="AP988" i="11"/>
  <c r="S988" i="11"/>
  <c r="AQ988" i="11"/>
  <c r="T988" i="11"/>
  <c r="AR988" i="11"/>
  <c r="U988" i="11"/>
  <c r="AS988" i="11"/>
  <c r="V988" i="11"/>
  <c r="AT988" i="11"/>
  <c r="W988" i="11"/>
  <c r="AU988" i="11"/>
  <c r="X988" i="11"/>
  <c r="AV988" i="11"/>
  <c r="Y988" i="11"/>
  <c r="AW988" i="11"/>
  <c r="Z988" i="11"/>
  <c r="AC989" i="11"/>
  <c r="F989" i="11"/>
  <c r="AD989" i="11"/>
  <c r="G989" i="11"/>
  <c r="AE989" i="11"/>
  <c r="H989" i="11"/>
  <c r="AF989" i="11"/>
  <c r="I989" i="11"/>
  <c r="AG989" i="11"/>
  <c r="J989" i="11"/>
  <c r="AH989" i="11"/>
  <c r="K989" i="11"/>
  <c r="AI989" i="11"/>
  <c r="L989" i="11"/>
  <c r="AJ989" i="11"/>
  <c r="M989" i="11"/>
  <c r="AK989" i="11"/>
  <c r="N989" i="11"/>
  <c r="AL989" i="11"/>
  <c r="O989" i="11"/>
  <c r="AM989" i="11"/>
  <c r="P989" i="11"/>
  <c r="AN989" i="11"/>
  <c r="Q989" i="11"/>
  <c r="AO989" i="11"/>
  <c r="R989" i="11"/>
  <c r="AP989" i="11"/>
  <c r="S989" i="11"/>
  <c r="AQ989" i="11"/>
  <c r="T989" i="11"/>
  <c r="AR989" i="11"/>
  <c r="U989" i="11"/>
  <c r="AS989" i="11"/>
  <c r="V989" i="11"/>
  <c r="AT989" i="11"/>
  <c r="W989" i="11"/>
  <c r="AU989" i="11"/>
  <c r="X989" i="11"/>
  <c r="AV989" i="11"/>
  <c r="Y989" i="11"/>
  <c r="AW989" i="11"/>
  <c r="Z989" i="11"/>
  <c r="AC990" i="11"/>
  <c r="F990" i="11"/>
  <c r="AD990" i="11"/>
  <c r="G990" i="11"/>
  <c r="AE990" i="11"/>
  <c r="H990" i="11"/>
  <c r="AF990" i="11"/>
  <c r="I990" i="11"/>
  <c r="AG990" i="11"/>
  <c r="J990" i="11"/>
  <c r="AH990" i="11"/>
  <c r="K990" i="11"/>
  <c r="AI990" i="11"/>
  <c r="L990" i="11"/>
  <c r="AJ990" i="11"/>
  <c r="M990" i="11"/>
  <c r="AK990" i="11"/>
  <c r="N990" i="11"/>
  <c r="AL990" i="11"/>
  <c r="O990" i="11"/>
  <c r="AM990" i="11"/>
  <c r="P990" i="11"/>
  <c r="AN990" i="11"/>
  <c r="Q990" i="11"/>
  <c r="AO990" i="11"/>
  <c r="R990" i="11"/>
  <c r="AP990" i="11"/>
  <c r="S990" i="11"/>
  <c r="AQ990" i="11"/>
  <c r="T990" i="11"/>
  <c r="AR990" i="11"/>
  <c r="U990" i="11"/>
  <c r="AS990" i="11"/>
  <c r="V990" i="11"/>
  <c r="AT990" i="11"/>
  <c r="W990" i="11"/>
  <c r="AU990" i="11"/>
  <c r="X990" i="11"/>
  <c r="AV990" i="11"/>
  <c r="Y990" i="11"/>
  <c r="AW990" i="11"/>
  <c r="Z990" i="11"/>
  <c r="AC991" i="11"/>
  <c r="F991" i="11"/>
  <c r="AD991" i="11"/>
  <c r="G991" i="11"/>
  <c r="AE991" i="11"/>
  <c r="H991" i="11"/>
  <c r="AF991" i="11"/>
  <c r="I991" i="11"/>
  <c r="AG991" i="11"/>
  <c r="J991" i="11"/>
  <c r="AH991" i="11"/>
  <c r="K991" i="11"/>
  <c r="AI991" i="11"/>
  <c r="L991" i="11"/>
  <c r="AJ991" i="11"/>
  <c r="M991" i="11"/>
  <c r="AK991" i="11"/>
  <c r="N991" i="11"/>
  <c r="AL991" i="11"/>
  <c r="O991" i="11"/>
  <c r="AM991" i="11"/>
  <c r="P991" i="11"/>
  <c r="AN991" i="11"/>
  <c r="Q991" i="11"/>
  <c r="AO991" i="11"/>
  <c r="R991" i="11"/>
  <c r="AP991" i="11"/>
  <c r="S991" i="11"/>
  <c r="AQ991" i="11"/>
  <c r="T991" i="11"/>
  <c r="AR991" i="11"/>
  <c r="U991" i="11"/>
  <c r="AS991" i="11"/>
  <c r="V991" i="11"/>
  <c r="AT991" i="11"/>
  <c r="W991" i="11"/>
  <c r="AU991" i="11"/>
  <c r="X991" i="11"/>
  <c r="AV991" i="11"/>
  <c r="Y991" i="11"/>
  <c r="AW991" i="11"/>
  <c r="Z991" i="11"/>
  <c r="AC992" i="11"/>
  <c r="F992" i="11"/>
  <c r="AD992" i="11"/>
  <c r="G992" i="11"/>
  <c r="AE992" i="11"/>
  <c r="H992" i="11"/>
  <c r="AF992" i="11"/>
  <c r="I992" i="11"/>
  <c r="AG992" i="11"/>
  <c r="J992" i="11"/>
  <c r="AH992" i="11"/>
  <c r="K992" i="11"/>
  <c r="AI992" i="11"/>
  <c r="L992" i="11"/>
  <c r="AJ992" i="11"/>
  <c r="M992" i="11"/>
  <c r="AK992" i="11"/>
  <c r="N992" i="11"/>
  <c r="AL992" i="11"/>
  <c r="O992" i="11"/>
  <c r="AM992" i="11"/>
  <c r="P992" i="11"/>
  <c r="AN992" i="11"/>
  <c r="Q992" i="11"/>
  <c r="AO992" i="11"/>
  <c r="R992" i="11"/>
  <c r="AP992" i="11"/>
  <c r="S992" i="11"/>
  <c r="AQ992" i="11"/>
  <c r="T992" i="11"/>
  <c r="AR992" i="11"/>
  <c r="U992" i="11"/>
  <c r="AS992" i="11"/>
  <c r="V992" i="11"/>
  <c r="AT992" i="11"/>
  <c r="W992" i="11"/>
  <c r="AU992" i="11"/>
  <c r="X992" i="11"/>
  <c r="AV992" i="11"/>
  <c r="Y992" i="11"/>
  <c r="AW992" i="11"/>
  <c r="Z992" i="11"/>
  <c r="AC993" i="11"/>
  <c r="F993" i="11"/>
  <c r="AD993" i="11"/>
  <c r="G993" i="11"/>
  <c r="AE993" i="11"/>
  <c r="H993" i="11"/>
  <c r="AF993" i="11"/>
  <c r="I993" i="11"/>
  <c r="AG993" i="11"/>
  <c r="J993" i="11"/>
  <c r="AH993" i="11"/>
  <c r="K993" i="11"/>
  <c r="AI993" i="11"/>
  <c r="L993" i="11"/>
  <c r="AJ993" i="11"/>
  <c r="M993" i="11"/>
  <c r="AK993" i="11"/>
  <c r="N993" i="11"/>
  <c r="AL993" i="11"/>
  <c r="O993" i="11"/>
  <c r="AM993" i="11"/>
  <c r="P993" i="11"/>
  <c r="AN993" i="11"/>
  <c r="Q993" i="11"/>
  <c r="AO993" i="11"/>
  <c r="R993" i="11"/>
  <c r="AP993" i="11"/>
  <c r="S993" i="11"/>
  <c r="AQ993" i="11"/>
  <c r="T993" i="11"/>
  <c r="AR993" i="11"/>
  <c r="U993" i="11"/>
  <c r="AS993" i="11"/>
  <c r="V993" i="11"/>
  <c r="AT993" i="11"/>
  <c r="W993" i="11"/>
  <c r="AU993" i="11"/>
  <c r="X993" i="11"/>
  <c r="AV993" i="11"/>
  <c r="Y993" i="11"/>
  <c r="AW993" i="11"/>
  <c r="Z993" i="11"/>
  <c r="AC994" i="11"/>
  <c r="F994" i="11"/>
  <c r="AD994" i="11"/>
  <c r="G994" i="11"/>
  <c r="AE994" i="11"/>
  <c r="H994" i="11"/>
  <c r="AF994" i="11"/>
  <c r="I994" i="11"/>
  <c r="AG994" i="11"/>
  <c r="J994" i="11"/>
  <c r="AH994" i="11"/>
  <c r="K994" i="11"/>
  <c r="AI994" i="11"/>
  <c r="L994" i="11"/>
  <c r="AJ994" i="11"/>
  <c r="M994" i="11"/>
  <c r="AK994" i="11"/>
  <c r="N994" i="11"/>
  <c r="AL994" i="11"/>
  <c r="O994" i="11"/>
  <c r="AM994" i="11"/>
  <c r="P994" i="11"/>
  <c r="AN994" i="11"/>
  <c r="Q994" i="11"/>
  <c r="AO994" i="11"/>
  <c r="R994" i="11"/>
  <c r="AP994" i="11"/>
  <c r="S994" i="11"/>
  <c r="AQ994" i="11"/>
  <c r="T994" i="11"/>
  <c r="AR994" i="11"/>
  <c r="U994" i="11"/>
  <c r="AS994" i="11"/>
  <c r="V994" i="11"/>
  <c r="AT994" i="11"/>
  <c r="W994" i="11"/>
  <c r="AU994" i="11"/>
  <c r="X994" i="11"/>
  <c r="AV994" i="11"/>
  <c r="Y994" i="11"/>
  <c r="AW994" i="11"/>
  <c r="Z994" i="11"/>
  <c r="AC995" i="11"/>
  <c r="F995" i="11"/>
  <c r="AD995" i="11"/>
  <c r="G995" i="11"/>
  <c r="AE995" i="11"/>
  <c r="H995" i="11"/>
  <c r="AF995" i="11"/>
  <c r="I995" i="11"/>
  <c r="AG995" i="11"/>
  <c r="J995" i="11"/>
  <c r="AH995" i="11"/>
  <c r="K995" i="11"/>
  <c r="AI995" i="11"/>
  <c r="L995" i="11"/>
  <c r="AJ995" i="11"/>
  <c r="M995" i="11"/>
  <c r="AK995" i="11"/>
  <c r="N995" i="11"/>
  <c r="AL995" i="11"/>
  <c r="O995" i="11"/>
  <c r="AM995" i="11"/>
  <c r="P995" i="11"/>
  <c r="AN995" i="11"/>
  <c r="Q995" i="11"/>
  <c r="AO995" i="11"/>
  <c r="R995" i="11"/>
  <c r="AP995" i="11"/>
  <c r="S995" i="11"/>
  <c r="AQ995" i="11"/>
  <c r="T995" i="11"/>
  <c r="AR995" i="11"/>
  <c r="U995" i="11"/>
  <c r="AS995" i="11"/>
  <c r="V995" i="11"/>
  <c r="AT995" i="11"/>
  <c r="W995" i="11"/>
  <c r="AU995" i="11"/>
  <c r="X995" i="11"/>
  <c r="AV995" i="11"/>
  <c r="Y995" i="11"/>
  <c r="AW995" i="11"/>
  <c r="Z995" i="11"/>
  <c r="AC996" i="11"/>
  <c r="F996" i="11"/>
  <c r="AD996" i="11"/>
  <c r="G996" i="11"/>
  <c r="AE996" i="11"/>
  <c r="H996" i="11"/>
  <c r="AF996" i="11"/>
  <c r="I996" i="11"/>
  <c r="AG996" i="11"/>
  <c r="J996" i="11"/>
  <c r="AH996" i="11"/>
  <c r="K996" i="11"/>
  <c r="AI996" i="11"/>
  <c r="L996" i="11"/>
  <c r="AJ996" i="11"/>
  <c r="M996" i="11"/>
  <c r="AK996" i="11"/>
  <c r="N996" i="11"/>
  <c r="AL996" i="11"/>
  <c r="O996" i="11"/>
  <c r="AM996" i="11"/>
  <c r="P996" i="11"/>
  <c r="AN996" i="11"/>
  <c r="Q996" i="11"/>
  <c r="AO996" i="11"/>
  <c r="R996" i="11"/>
  <c r="AP996" i="11"/>
  <c r="S996" i="11"/>
  <c r="AQ996" i="11"/>
  <c r="T996" i="11"/>
  <c r="AR996" i="11"/>
  <c r="U996" i="11"/>
  <c r="AS996" i="11"/>
  <c r="V996" i="11"/>
  <c r="AT996" i="11"/>
  <c r="W996" i="11"/>
  <c r="AU996" i="11"/>
  <c r="X996" i="11"/>
  <c r="AV996" i="11"/>
  <c r="Y996" i="11"/>
  <c r="AW996" i="11"/>
  <c r="Z996" i="11"/>
  <c r="AC997" i="11"/>
  <c r="F997" i="11"/>
  <c r="AD997" i="11"/>
  <c r="G997" i="11"/>
  <c r="AE997" i="11"/>
  <c r="H997" i="11"/>
  <c r="AF997" i="11"/>
  <c r="I997" i="11"/>
  <c r="AG997" i="11"/>
  <c r="J997" i="11"/>
  <c r="AH997" i="11"/>
  <c r="K997" i="11"/>
  <c r="AI997" i="11"/>
  <c r="L997" i="11"/>
  <c r="AJ997" i="11"/>
  <c r="M997" i="11"/>
  <c r="AK997" i="11"/>
  <c r="N997" i="11"/>
  <c r="AL997" i="11"/>
  <c r="O997" i="11"/>
  <c r="AM997" i="11"/>
  <c r="P997" i="11"/>
  <c r="AN997" i="11"/>
  <c r="Q997" i="11"/>
  <c r="AO997" i="11"/>
  <c r="R997" i="11"/>
  <c r="AP997" i="11"/>
  <c r="S997" i="11"/>
  <c r="AQ997" i="11"/>
  <c r="T997" i="11"/>
  <c r="AR997" i="11"/>
  <c r="U997" i="11"/>
  <c r="AS997" i="11"/>
  <c r="V997" i="11"/>
  <c r="AT997" i="11"/>
  <c r="W997" i="11"/>
  <c r="AU997" i="11"/>
  <c r="X997" i="11"/>
  <c r="AV997" i="11"/>
  <c r="Y997" i="11"/>
  <c r="AW997" i="11"/>
  <c r="Z997" i="11"/>
  <c r="AC998" i="11"/>
  <c r="F998" i="11"/>
  <c r="AD998" i="11"/>
  <c r="G998" i="11"/>
  <c r="AE998" i="11"/>
  <c r="H998" i="11"/>
  <c r="AF998" i="11"/>
  <c r="I998" i="11"/>
  <c r="AG998" i="11"/>
  <c r="J998" i="11"/>
  <c r="AH998" i="11"/>
  <c r="K998" i="11"/>
  <c r="AI998" i="11"/>
  <c r="L998" i="11"/>
  <c r="AJ998" i="11"/>
  <c r="M998" i="11"/>
  <c r="AK998" i="11"/>
  <c r="N998" i="11"/>
  <c r="AL998" i="11"/>
  <c r="O998" i="11"/>
  <c r="AM998" i="11"/>
  <c r="P998" i="11"/>
  <c r="AN998" i="11"/>
  <c r="Q998" i="11"/>
  <c r="AO998" i="11"/>
  <c r="R998" i="11"/>
  <c r="AP998" i="11"/>
  <c r="S998" i="11"/>
  <c r="AQ998" i="11"/>
  <c r="T998" i="11"/>
  <c r="AR998" i="11"/>
  <c r="U998" i="11"/>
  <c r="AS998" i="11"/>
  <c r="V998" i="11"/>
  <c r="AT998" i="11"/>
  <c r="W998" i="11"/>
  <c r="AU998" i="11"/>
  <c r="X998" i="11"/>
  <c r="AV998" i="11"/>
  <c r="Y998" i="11"/>
  <c r="AW998" i="11"/>
  <c r="Z998" i="11"/>
  <c r="AC999" i="11"/>
  <c r="F999" i="11"/>
  <c r="AD999" i="11"/>
  <c r="G999" i="11"/>
  <c r="AE999" i="11"/>
  <c r="H999" i="11"/>
  <c r="AF999" i="11"/>
  <c r="I999" i="11"/>
  <c r="AG999" i="11"/>
  <c r="J999" i="11"/>
  <c r="AH999" i="11"/>
  <c r="K999" i="11"/>
  <c r="AI999" i="11"/>
  <c r="L999" i="11"/>
  <c r="AJ999" i="11"/>
  <c r="M999" i="11"/>
  <c r="AK999" i="11"/>
  <c r="N999" i="11"/>
  <c r="AL999" i="11"/>
  <c r="O999" i="11"/>
  <c r="AM999" i="11"/>
  <c r="P999" i="11"/>
  <c r="AN999" i="11"/>
  <c r="Q999" i="11"/>
  <c r="AO999" i="11"/>
  <c r="R999" i="11"/>
  <c r="AP999" i="11"/>
  <c r="S999" i="11"/>
  <c r="AQ999" i="11"/>
  <c r="T999" i="11"/>
  <c r="AR999" i="11"/>
  <c r="U999" i="11"/>
  <c r="AS999" i="11"/>
  <c r="V999" i="11"/>
  <c r="AT999" i="11"/>
  <c r="W999" i="11"/>
  <c r="AU999" i="11"/>
  <c r="X999" i="11"/>
  <c r="AV999" i="11"/>
  <c r="Y999" i="11"/>
  <c r="AW999" i="11"/>
  <c r="Z999" i="11"/>
  <c r="AC1000" i="11"/>
  <c r="F1000" i="11"/>
  <c r="AD1000" i="11"/>
  <c r="G1000" i="11"/>
  <c r="AE1000" i="11"/>
  <c r="H1000" i="11"/>
  <c r="AF1000" i="11"/>
  <c r="I1000" i="11"/>
  <c r="AG1000" i="11"/>
  <c r="J1000" i="11"/>
  <c r="AH1000" i="11"/>
  <c r="K1000" i="11"/>
  <c r="AI1000" i="11"/>
  <c r="L1000" i="11"/>
  <c r="AJ1000" i="11"/>
  <c r="M1000" i="11"/>
  <c r="AK1000" i="11"/>
  <c r="N1000" i="11"/>
  <c r="AL1000" i="11"/>
  <c r="O1000" i="11"/>
  <c r="AM1000" i="11"/>
  <c r="P1000" i="11"/>
  <c r="AN1000" i="11"/>
  <c r="Q1000" i="11"/>
  <c r="AO1000" i="11"/>
  <c r="R1000" i="11"/>
  <c r="AP1000" i="11"/>
  <c r="S1000" i="11"/>
  <c r="AQ1000" i="11"/>
  <c r="T1000" i="11"/>
  <c r="AR1000" i="11"/>
  <c r="U1000" i="11"/>
  <c r="AS1000" i="11"/>
  <c r="V1000" i="11"/>
  <c r="AT1000" i="11"/>
  <c r="W1000" i="11"/>
  <c r="AU1000" i="11"/>
  <c r="X1000" i="11"/>
  <c r="AV1000" i="11"/>
  <c r="Y1000" i="11"/>
  <c r="AW1000" i="11"/>
  <c r="Z1000" i="11"/>
  <c r="AC1001" i="11"/>
  <c r="F1001" i="11"/>
  <c r="AD1001" i="11"/>
  <c r="G1001" i="11"/>
  <c r="AE1001" i="11"/>
  <c r="H1001" i="11"/>
  <c r="AF1001" i="11"/>
  <c r="I1001" i="11"/>
  <c r="AG1001" i="11"/>
  <c r="J1001" i="11"/>
  <c r="AH1001" i="11"/>
  <c r="K1001" i="11"/>
  <c r="AI1001" i="11"/>
  <c r="L1001" i="11"/>
  <c r="AJ1001" i="11"/>
  <c r="M1001" i="11"/>
  <c r="AK1001" i="11"/>
  <c r="N1001" i="11"/>
  <c r="AL1001" i="11"/>
  <c r="O1001" i="11"/>
  <c r="AM1001" i="11"/>
  <c r="P1001" i="11"/>
  <c r="AN1001" i="11"/>
  <c r="Q1001" i="11"/>
  <c r="AO1001" i="11"/>
  <c r="R1001" i="11"/>
  <c r="AP1001" i="11"/>
  <c r="S1001" i="11"/>
  <c r="AQ1001" i="11"/>
  <c r="T1001" i="11"/>
  <c r="AR1001" i="11"/>
  <c r="U1001" i="11"/>
  <c r="AS1001" i="11"/>
  <c r="V1001" i="11"/>
  <c r="AT1001" i="11"/>
  <c r="W1001" i="11"/>
  <c r="AU1001" i="11"/>
  <c r="X1001" i="11"/>
  <c r="AV1001" i="11"/>
  <c r="Y1001" i="11"/>
  <c r="AW1001" i="11"/>
  <c r="Z1001" i="11"/>
  <c r="AC1002" i="11"/>
  <c r="F1002" i="11"/>
  <c r="AD1002" i="11"/>
  <c r="G1002" i="11"/>
  <c r="AE1002" i="11"/>
  <c r="H1002" i="11"/>
  <c r="AF1002" i="11"/>
  <c r="I1002" i="11"/>
  <c r="AG1002" i="11"/>
  <c r="J1002" i="11"/>
  <c r="AH1002" i="11"/>
  <c r="K1002" i="11"/>
  <c r="AI1002" i="11"/>
  <c r="L1002" i="11"/>
  <c r="AJ1002" i="11"/>
  <c r="M1002" i="11"/>
  <c r="AK1002" i="11"/>
  <c r="N1002" i="11"/>
  <c r="AL1002" i="11"/>
  <c r="O1002" i="11"/>
  <c r="AM1002" i="11"/>
  <c r="P1002" i="11"/>
  <c r="AN1002" i="11"/>
  <c r="Q1002" i="11"/>
  <c r="AO1002" i="11"/>
  <c r="R1002" i="11"/>
  <c r="AP1002" i="11"/>
  <c r="S1002" i="11"/>
  <c r="AQ1002" i="11"/>
  <c r="T1002" i="11"/>
  <c r="AR1002" i="11"/>
  <c r="U1002" i="11"/>
  <c r="AS1002" i="11"/>
  <c r="V1002" i="11"/>
  <c r="AT1002" i="11"/>
  <c r="W1002" i="11"/>
  <c r="AU1002" i="11"/>
  <c r="X1002" i="11"/>
  <c r="AV1002" i="11"/>
  <c r="Y1002" i="11"/>
  <c r="AW1002" i="11"/>
  <c r="Z1002" i="11"/>
  <c r="AC1003" i="11"/>
  <c r="F1003" i="11"/>
  <c r="AD1003" i="11"/>
  <c r="G1003" i="11"/>
  <c r="AE1003" i="11"/>
  <c r="H1003" i="11"/>
  <c r="AF1003" i="11"/>
  <c r="I1003" i="11"/>
  <c r="AG1003" i="11"/>
  <c r="J1003" i="11"/>
  <c r="AH1003" i="11"/>
  <c r="K1003" i="11"/>
  <c r="AI1003" i="11"/>
  <c r="L1003" i="11"/>
  <c r="AJ1003" i="11"/>
  <c r="M1003" i="11"/>
  <c r="AK1003" i="11"/>
  <c r="N1003" i="11"/>
  <c r="AL1003" i="11"/>
  <c r="O1003" i="11"/>
  <c r="AM1003" i="11"/>
  <c r="P1003" i="11"/>
  <c r="AN1003" i="11"/>
  <c r="Q1003" i="11"/>
  <c r="AO1003" i="11"/>
  <c r="R1003" i="11"/>
  <c r="AP1003" i="11"/>
  <c r="S1003" i="11"/>
  <c r="AQ1003" i="11"/>
  <c r="T1003" i="11"/>
  <c r="AR1003" i="11"/>
  <c r="U1003" i="11"/>
  <c r="AS1003" i="11"/>
  <c r="V1003" i="11"/>
  <c r="AT1003" i="11"/>
  <c r="W1003" i="11"/>
  <c r="AU1003" i="11"/>
  <c r="X1003" i="11"/>
  <c r="AV1003" i="11"/>
  <c r="Y1003" i="11"/>
  <c r="AW1003" i="11"/>
  <c r="Z1003" i="11"/>
  <c r="AC1004" i="11"/>
  <c r="F1004" i="11"/>
  <c r="AD1004" i="11"/>
  <c r="G1004" i="11"/>
  <c r="AE1004" i="11"/>
  <c r="H1004" i="11"/>
  <c r="AF1004" i="11"/>
  <c r="I1004" i="11"/>
  <c r="AG1004" i="11"/>
  <c r="J1004" i="11"/>
  <c r="AH1004" i="11"/>
  <c r="K1004" i="11"/>
  <c r="AI1004" i="11"/>
  <c r="L1004" i="11"/>
  <c r="AJ1004" i="11"/>
  <c r="M1004" i="11"/>
  <c r="AK1004" i="11"/>
  <c r="N1004" i="11"/>
  <c r="AL1004" i="11"/>
  <c r="O1004" i="11"/>
  <c r="AM1004" i="11"/>
  <c r="P1004" i="11"/>
  <c r="AN1004" i="11"/>
  <c r="Q1004" i="11"/>
  <c r="AO1004" i="11"/>
  <c r="R1004" i="11"/>
  <c r="AP1004" i="11"/>
  <c r="S1004" i="11"/>
  <c r="AQ1004" i="11"/>
  <c r="T1004" i="11"/>
  <c r="AR1004" i="11"/>
  <c r="U1004" i="11"/>
  <c r="AS1004" i="11"/>
  <c r="V1004" i="11"/>
  <c r="AT1004" i="11"/>
  <c r="W1004" i="11"/>
  <c r="AU1004" i="11"/>
  <c r="X1004" i="11"/>
  <c r="AV1004" i="11"/>
  <c r="Y1004" i="11"/>
  <c r="AW1004" i="11"/>
  <c r="Z1004" i="11"/>
  <c r="AC1005" i="11"/>
  <c r="F1005" i="11"/>
  <c r="AD1005" i="11"/>
  <c r="G1005" i="11"/>
  <c r="AE1005" i="11"/>
  <c r="H1005" i="11"/>
  <c r="AF1005" i="11"/>
  <c r="I1005" i="11"/>
  <c r="AG1005" i="11"/>
  <c r="J1005" i="11"/>
  <c r="AH1005" i="11"/>
  <c r="K1005" i="11"/>
  <c r="AI1005" i="11"/>
  <c r="L1005" i="11"/>
  <c r="AJ1005" i="11"/>
  <c r="M1005" i="11"/>
  <c r="AK1005" i="11"/>
  <c r="N1005" i="11"/>
  <c r="AL1005" i="11"/>
  <c r="O1005" i="11"/>
  <c r="AM1005" i="11"/>
  <c r="P1005" i="11"/>
  <c r="AN1005" i="11"/>
  <c r="Q1005" i="11"/>
  <c r="AO1005" i="11"/>
  <c r="R1005" i="11"/>
  <c r="AP1005" i="11"/>
  <c r="S1005" i="11"/>
  <c r="AQ1005" i="11"/>
  <c r="T1005" i="11"/>
  <c r="AR1005" i="11"/>
  <c r="U1005" i="11"/>
  <c r="AS1005" i="11"/>
  <c r="V1005" i="11"/>
  <c r="AT1005" i="11"/>
  <c r="W1005" i="11"/>
  <c r="AU1005" i="11"/>
  <c r="X1005" i="11"/>
  <c r="AV1005" i="11"/>
  <c r="Y1005" i="11"/>
  <c r="AW1005" i="11"/>
  <c r="Z1005" i="11"/>
  <c r="AC1006" i="11"/>
  <c r="F1006" i="11"/>
  <c r="AD1006" i="11"/>
  <c r="G1006" i="11"/>
  <c r="AE1006" i="11"/>
  <c r="H1006" i="11"/>
  <c r="AF1006" i="11"/>
  <c r="I1006" i="11"/>
  <c r="AG1006" i="11"/>
  <c r="J1006" i="11"/>
  <c r="AH1006" i="11"/>
  <c r="K1006" i="11"/>
  <c r="AI1006" i="11"/>
  <c r="L1006" i="11"/>
  <c r="AJ1006" i="11"/>
  <c r="M1006" i="11"/>
  <c r="AK1006" i="11"/>
  <c r="N1006" i="11"/>
  <c r="AL1006" i="11"/>
  <c r="O1006" i="11"/>
  <c r="AM1006" i="11"/>
  <c r="P1006" i="11"/>
  <c r="AN1006" i="11"/>
  <c r="Q1006" i="11"/>
  <c r="AO1006" i="11"/>
  <c r="R1006" i="11"/>
  <c r="AP1006" i="11"/>
  <c r="S1006" i="11"/>
  <c r="AQ1006" i="11"/>
  <c r="T1006" i="11"/>
  <c r="AR1006" i="11"/>
  <c r="U1006" i="11"/>
  <c r="AS1006" i="11"/>
  <c r="V1006" i="11"/>
  <c r="AT1006" i="11"/>
  <c r="W1006" i="11"/>
  <c r="AU1006" i="11"/>
  <c r="X1006" i="11"/>
  <c r="AV1006" i="11"/>
  <c r="Y1006" i="11"/>
  <c r="AW1006" i="11"/>
  <c r="Z1006" i="11"/>
  <c r="AC1007" i="11"/>
  <c r="F1007" i="11"/>
  <c r="AD1007" i="11"/>
  <c r="G1007" i="11"/>
  <c r="AE1007" i="11"/>
  <c r="H1007" i="11"/>
  <c r="AF1007" i="11"/>
  <c r="I1007" i="11"/>
  <c r="AG1007" i="11"/>
  <c r="J1007" i="11"/>
  <c r="AH1007" i="11"/>
  <c r="K1007" i="11"/>
  <c r="AI1007" i="11"/>
  <c r="L1007" i="11"/>
  <c r="AJ1007" i="11"/>
  <c r="M1007" i="11"/>
  <c r="AK1007" i="11"/>
  <c r="N1007" i="11"/>
  <c r="AL1007" i="11"/>
  <c r="O1007" i="11"/>
  <c r="AM1007" i="11"/>
  <c r="P1007" i="11"/>
  <c r="AN1007" i="11"/>
  <c r="Q1007" i="11"/>
  <c r="AO1007" i="11"/>
  <c r="R1007" i="11"/>
  <c r="AP1007" i="11"/>
  <c r="S1007" i="11"/>
  <c r="AQ1007" i="11"/>
  <c r="T1007" i="11"/>
  <c r="AR1007" i="11"/>
  <c r="U1007" i="11"/>
  <c r="AS1007" i="11"/>
  <c r="V1007" i="11"/>
  <c r="AT1007" i="11"/>
  <c r="W1007" i="11"/>
  <c r="AU1007" i="11"/>
  <c r="X1007" i="11"/>
  <c r="AV1007" i="11"/>
  <c r="Y1007" i="11"/>
  <c r="AW1007" i="11"/>
  <c r="Z1007" i="11"/>
  <c r="AC1008" i="11"/>
  <c r="F1008" i="11"/>
  <c r="AD1008" i="11"/>
  <c r="G1008" i="11"/>
  <c r="AE1008" i="11"/>
  <c r="H1008" i="11"/>
  <c r="AF1008" i="11"/>
  <c r="I1008" i="11"/>
  <c r="AG1008" i="11"/>
  <c r="J1008" i="11"/>
  <c r="AH1008" i="11"/>
  <c r="K1008" i="11"/>
  <c r="AI1008" i="11"/>
  <c r="L1008" i="11"/>
  <c r="AJ1008" i="11"/>
  <c r="M1008" i="11"/>
  <c r="AK1008" i="11"/>
  <c r="N1008" i="11"/>
  <c r="AL1008" i="11"/>
  <c r="O1008" i="11"/>
  <c r="AM1008" i="11"/>
  <c r="P1008" i="11"/>
  <c r="AN1008" i="11"/>
  <c r="Q1008" i="11"/>
  <c r="AO1008" i="11"/>
  <c r="R1008" i="11"/>
  <c r="AP1008" i="11"/>
  <c r="S1008" i="11"/>
  <c r="AQ1008" i="11"/>
  <c r="T1008" i="11"/>
  <c r="AR1008" i="11"/>
  <c r="U1008" i="11"/>
  <c r="AS1008" i="11"/>
  <c r="V1008" i="11"/>
  <c r="AT1008" i="11"/>
  <c r="W1008" i="11"/>
  <c r="AU1008" i="11"/>
  <c r="X1008" i="11"/>
  <c r="AV1008" i="11"/>
  <c r="Y1008" i="11"/>
  <c r="AW1008" i="11"/>
  <c r="Z1008" i="11"/>
  <c r="AC1009" i="11"/>
  <c r="F1009" i="11"/>
  <c r="AD1009" i="11"/>
  <c r="G1009" i="11"/>
  <c r="AE1009" i="11"/>
  <c r="H1009" i="11"/>
  <c r="AF1009" i="11"/>
  <c r="I1009" i="11"/>
  <c r="AG1009" i="11"/>
  <c r="J1009" i="11"/>
  <c r="AH1009" i="11"/>
  <c r="K1009" i="11"/>
  <c r="AI1009" i="11"/>
  <c r="L1009" i="11"/>
  <c r="AJ1009" i="11"/>
  <c r="M1009" i="11"/>
  <c r="AK1009" i="11"/>
  <c r="N1009" i="11"/>
  <c r="AL1009" i="11"/>
  <c r="O1009" i="11"/>
  <c r="AM1009" i="11"/>
  <c r="P1009" i="11"/>
  <c r="AN1009" i="11"/>
  <c r="Q1009" i="11"/>
  <c r="AO1009" i="11"/>
  <c r="R1009" i="11"/>
  <c r="AP1009" i="11"/>
  <c r="S1009" i="11"/>
  <c r="AQ1009" i="11"/>
  <c r="T1009" i="11"/>
  <c r="AR1009" i="11"/>
  <c r="U1009" i="11"/>
  <c r="AS1009" i="11"/>
  <c r="V1009" i="11"/>
  <c r="AT1009" i="11"/>
  <c r="W1009" i="11"/>
  <c r="AU1009" i="11"/>
  <c r="X1009" i="11"/>
  <c r="AV1009" i="11"/>
  <c r="Y1009" i="11"/>
  <c r="AW1009" i="11"/>
  <c r="Z1009" i="11"/>
  <c r="AC1010" i="11"/>
  <c r="F1010" i="11"/>
  <c r="AD1010" i="11"/>
  <c r="G1010" i="11"/>
  <c r="AE1010" i="11"/>
  <c r="H1010" i="11"/>
  <c r="AF1010" i="11"/>
  <c r="I1010" i="11"/>
  <c r="AG1010" i="11"/>
  <c r="J1010" i="11"/>
  <c r="AH1010" i="11"/>
  <c r="K1010" i="11"/>
  <c r="AI1010" i="11"/>
  <c r="L1010" i="11"/>
  <c r="AJ1010" i="11"/>
  <c r="M1010" i="11"/>
  <c r="AK1010" i="11"/>
  <c r="N1010" i="11"/>
  <c r="AL1010" i="11"/>
  <c r="O1010" i="11"/>
  <c r="AM1010" i="11"/>
  <c r="P1010" i="11"/>
  <c r="AN1010" i="11"/>
  <c r="Q1010" i="11"/>
  <c r="AO1010" i="11"/>
  <c r="R1010" i="11"/>
  <c r="AP1010" i="11"/>
  <c r="S1010" i="11"/>
  <c r="AQ1010" i="11"/>
  <c r="T1010" i="11"/>
  <c r="AR1010" i="11"/>
  <c r="U1010" i="11"/>
  <c r="AS1010" i="11"/>
  <c r="V1010" i="11"/>
  <c r="AT1010" i="11"/>
  <c r="W1010" i="11"/>
  <c r="AU1010" i="11"/>
  <c r="X1010" i="11"/>
  <c r="AV1010" i="11"/>
  <c r="Y1010" i="11"/>
  <c r="AW1010" i="11"/>
  <c r="Z1010" i="11"/>
  <c r="AC1011" i="11"/>
  <c r="F1011" i="11"/>
  <c r="AD1011" i="11"/>
  <c r="G1011" i="11"/>
  <c r="AE1011" i="11"/>
  <c r="H1011" i="11"/>
  <c r="AF1011" i="11"/>
  <c r="I1011" i="11"/>
  <c r="AG1011" i="11"/>
  <c r="J1011" i="11"/>
  <c r="AH1011" i="11"/>
  <c r="K1011" i="11"/>
  <c r="AI1011" i="11"/>
  <c r="L1011" i="11"/>
  <c r="AJ1011" i="11"/>
  <c r="M1011" i="11"/>
  <c r="AK1011" i="11"/>
  <c r="N1011" i="11"/>
  <c r="AL1011" i="11"/>
  <c r="O1011" i="11"/>
  <c r="AM1011" i="11"/>
  <c r="P1011" i="11"/>
  <c r="AN1011" i="11"/>
  <c r="Q1011" i="11"/>
  <c r="AO1011" i="11"/>
  <c r="R1011" i="11"/>
  <c r="AP1011" i="11"/>
  <c r="S1011" i="11"/>
  <c r="AQ1011" i="11"/>
  <c r="T1011" i="11"/>
  <c r="AR1011" i="11"/>
  <c r="U1011" i="11"/>
  <c r="AS1011" i="11"/>
  <c r="V1011" i="11"/>
  <c r="AT1011" i="11"/>
  <c r="W1011" i="11"/>
  <c r="AU1011" i="11"/>
  <c r="X1011" i="11"/>
  <c r="AV1011" i="11"/>
  <c r="Y1011" i="11"/>
  <c r="AW1011" i="11"/>
  <c r="Z1011" i="11"/>
  <c r="AC1012" i="11"/>
  <c r="F1012" i="11"/>
  <c r="AD1012" i="11"/>
  <c r="G1012" i="11"/>
  <c r="AE1012" i="11"/>
  <c r="H1012" i="11"/>
  <c r="AF1012" i="11"/>
  <c r="I1012" i="11"/>
  <c r="AG1012" i="11"/>
  <c r="J1012" i="11"/>
  <c r="AH1012" i="11"/>
  <c r="K1012" i="11"/>
  <c r="AI1012" i="11"/>
  <c r="L1012" i="11"/>
  <c r="AJ1012" i="11"/>
  <c r="M1012" i="11"/>
  <c r="AK1012" i="11"/>
  <c r="N1012" i="11"/>
  <c r="AL1012" i="11"/>
  <c r="O1012" i="11"/>
  <c r="AM1012" i="11"/>
  <c r="P1012" i="11"/>
  <c r="AN1012" i="11"/>
  <c r="Q1012" i="11"/>
  <c r="AO1012" i="11"/>
  <c r="R1012" i="11"/>
  <c r="AP1012" i="11"/>
  <c r="S1012" i="11"/>
  <c r="AQ1012" i="11"/>
  <c r="T1012" i="11"/>
  <c r="AR1012" i="11"/>
  <c r="U1012" i="11"/>
  <c r="AS1012" i="11"/>
  <c r="V1012" i="11"/>
  <c r="AT1012" i="11"/>
  <c r="W1012" i="11"/>
  <c r="AU1012" i="11"/>
  <c r="X1012" i="11"/>
  <c r="AV1012" i="11"/>
  <c r="Y1012" i="11"/>
  <c r="AW1012" i="11"/>
  <c r="Z1012" i="11"/>
  <c r="AC1013" i="11"/>
  <c r="F1013" i="11"/>
  <c r="AD1013" i="11"/>
  <c r="G1013" i="11"/>
  <c r="AE1013" i="11"/>
  <c r="H1013" i="11"/>
  <c r="AF1013" i="11"/>
  <c r="I1013" i="11"/>
  <c r="AG1013" i="11"/>
  <c r="J1013" i="11"/>
  <c r="AH1013" i="11"/>
  <c r="K1013" i="11"/>
  <c r="AI1013" i="11"/>
  <c r="L1013" i="11"/>
  <c r="AJ1013" i="11"/>
  <c r="M1013" i="11"/>
  <c r="AK1013" i="11"/>
  <c r="N1013" i="11"/>
  <c r="AL1013" i="11"/>
  <c r="O1013" i="11"/>
  <c r="AM1013" i="11"/>
  <c r="P1013" i="11"/>
  <c r="AN1013" i="11"/>
  <c r="Q1013" i="11"/>
  <c r="AO1013" i="11"/>
  <c r="R1013" i="11"/>
  <c r="AP1013" i="11"/>
  <c r="S1013" i="11"/>
  <c r="AQ1013" i="11"/>
  <c r="T1013" i="11"/>
  <c r="AR1013" i="11"/>
  <c r="U1013" i="11"/>
  <c r="AS1013" i="11"/>
  <c r="V1013" i="11"/>
  <c r="AT1013" i="11"/>
  <c r="W1013" i="11"/>
  <c r="AU1013" i="11"/>
  <c r="X1013" i="11"/>
  <c r="AV1013" i="11"/>
  <c r="Y1013" i="11"/>
  <c r="AW1013" i="11"/>
  <c r="Z1013" i="11"/>
  <c r="AC1014" i="11"/>
  <c r="F1014" i="11"/>
  <c r="AD1014" i="11"/>
  <c r="G1014" i="11"/>
  <c r="AE1014" i="11"/>
  <c r="H1014" i="11"/>
  <c r="AF1014" i="11"/>
  <c r="I1014" i="11"/>
  <c r="AG1014" i="11"/>
  <c r="J1014" i="11"/>
  <c r="AH1014" i="11"/>
  <c r="K1014" i="11"/>
  <c r="AI1014" i="11"/>
  <c r="L1014" i="11"/>
  <c r="AJ1014" i="11"/>
  <c r="M1014" i="11"/>
  <c r="AK1014" i="11"/>
  <c r="N1014" i="11"/>
  <c r="AL1014" i="11"/>
  <c r="O1014" i="11"/>
  <c r="AM1014" i="11"/>
  <c r="P1014" i="11"/>
  <c r="AN1014" i="11"/>
  <c r="Q1014" i="11"/>
  <c r="AO1014" i="11"/>
  <c r="R1014" i="11"/>
  <c r="AP1014" i="11"/>
  <c r="S1014" i="11"/>
  <c r="AQ1014" i="11"/>
  <c r="T1014" i="11"/>
  <c r="AR1014" i="11"/>
  <c r="U1014" i="11"/>
  <c r="AS1014" i="11"/>
  <c r="V1014" i="11"/>
  <c r="AT1014" i="11"/>
  <c r="W1014" i="11"/>
  <c r="AU1014" i="11"/>
  <c r="X1014" i="11"/>
  <c r="AV1014" i="11"/>
  <c r="Y1014" i="11"/>
  <c r="AW1014" i="11"/>
  <c r="Z1014" i="11"/>
  <c r="AC1015" i="11"/>
  <c r="F1015" i="11"/>
  <c r="AD1015" i="11"/>
  <c r="G1015" i="11"/>
  <c r="AE1015" i="11"/>
  <c r="H1015" i="11"/>
  <c r="AF1015" i="11"/>
  <c r="I1015" i="11"/>
  <c r="AG1015" i="11"/>
  <c r="J1015" i="11"/>
  <c r="AH1015" i="11"/>
  <c r="K1015" i="11"/>
  <c r="AI1015" i="11"/>
  <c r="L1015" i="11"/>
  <c r="AJ1015" i="11"/>
  <c r="M1015" i="11"/>
  <c r="AK1015" i="11"/>
  <c r="N1015" i="11"/>
  <c r="AL1015" i="11"/>
  <c r="O1015" i="11"/>
  <c r="AM1015" i="11"/>
  <c r="P1015" i="11"/>
  <c r="AN1015" i="11"/>
  <c r="Q1015" i="11"/>
  <c r="AO1015" i="11"/>
  <c r="R1015" i="11"/>
  <c r="AP1015" i="11"/>
  <c r="S1015" i="11"/>
  <c r="AQ1015" i="11"/>
  <c r="T1015" i="11"/>
  <c r="AR1015" i="11"/>
  <c r="U1015" i="11"/>
  <c r="AS1015" i="11"/>
  <c r="V1015" i="11"/>
  <c r="AT1015" i="11"/>
  <c r="W1015" i="11"/>
  <c r="AU1015" i="11"/>
  <c r="X1015" i="11"/>
  <c r="AV1015" i="11"/>
  <c r="Y1015" i="11"/>
  <c r="AW1015" i="11"/>
  <c r="Z1015" i="11"/>
  <c r="AC1016" i="11"/>
  <c r="F1016" i="11"/>
  <c r="AD1016" i="11"/>
  <c r="G1016" i="11"/>
  <c r="AE1016" i="11"/>
  <c r="H1016" i="11"/>
  <c r="AF1016" i="11"/>
  <c r="I1016" i="11"/>
  <c r="AG1016" i="11"/>
  <c r="J1016" i="11"/>
  <c r="AH1016" i="11"/>
  <c r="K1016" i="11"/>
  <c r="AI1016" i="11"/>
  <c r="L1016" i="11"/>
  <c r="AJ1016" i="11"/>
  <c r="M1016" i="11"/>
  <c r="AK1016" i="11"/>
  <c r="N1016" i="11"/>
  <c r="AL1016" i="11"/>
  <c r="O1016" i="11"/>
  <c r="AM1016" i="11"/>
  <c r="P1016" i="11"/>
  <c r="AN1016" i="11"/>
  <c r="Q1016" i="11"/>
  <c r="AO1016" i="11"/>
  <c r="R1016" i="11"/>
  <c r="AP1016" i="11"/>
  <c r="S1016" i="11"/>
  <c r="AQ1016" i="11"/>
  <c r="T1016" i="11"/>
  <c r="AR1016" i="11"/>
  <c r="U1016" i="11"/>
  <c r="AS1016" i="11"/>
  <c r="V1016" i="11"/>
  <c r="AT1016" i="11"/>
  <c r="W1016" i="11"/>
  <c r="AU1016" i="11"/>
  <c r="X1016" i="11"/>
  <c r="AV1016" i="11"/>
  <c r="Y1016" i="11"/>
  <c r="AW1016" i="11"/>
  <c r="Z1016" i="11"/>
  <c r="AC1017" i="11"/>
  <c r="F1017" i="11"/>
  <c r="AD1017" i="11"/>
  <c r="G1017" i="11"/>
  <c r="AE1017" i="11"/>
  <c r="H1017" i="11"/>
  <c r="AF1017" i="11"/>
  <c r="I1017" i="11"/>
  <c r="AG1017" i="11"/>
  <c r="J1017" i="11"/>
  <c r="AH1017" i="11"/>
  <c r="K1017" i="11"/>
  <c r="AI1017" i="11"/>
  <c r="L1017" i="11"/>
  <c r="AJ1017" i="11"/>
  <c r="M1017" i="11"/>
  <c r="AK1017" i="11"/>
  <c r="N1017" i="11"/>
  <c r="AL1017" i="11"/>
  <c r="O1017" i="11"/>
  <c r="AM1017" i="11"/>
  <c r="P1017" i="11"/>
  <c r="AN1017" i="11"/>
  <c r="Q1017" i="11"/>
  <c r="AO1017" i="11"/>
  <c r="R1017" i="11"/>
  <c r="AP1017" i="11"/>
  <c r="S1017" i="11"/>
  <c r="AQ1017" i="11"/>
  <c r="T1017" i="11"/>
  <c r="AR1017" i="11"/>
  <c r="U1017" i="11"/>
  <c r="AS1017" i="11"/>
  <c r="V1017" i="11"/>
  <c r="AT1017" i="11"/>
  <c r="W1017" i="11"/>
  <c r="AU1017" i="11"/>
  <c r="X1017" i="11"/>
  <c r="AV1017" i="11"/>
  <c r="Y1017" i="11"/>
  <c r="AW1017" i="11"/>
  <c r="Z1017" i="11"/>
  <c r="AC1018" i="11"/>
  <c r="F1018" i="11"/>
  <c r="AD1018" i="11"/>
  <c r="G1018" i="11"/>
  <c r="AE1018" i="11"/>
  <c r="H1018" i="11"/>
  <c r="AF1018" i="11"/>
  <c r="I1018" i="11"/>
  <c r="AG1018" i="11"/>
  <c r="J1018" i="11"/>
  <c r="AH1018" i="11"/>
  <c r="K1018" i="11"/>
  <c r="AI1018" i="11"/>
  <c r="L1018" i="11"/>
  <c r="AJ1018" i="11"/>
  <c r="M1018" i="11"/>
  <c r="AK1018" i="11"/>
  <c r="N1018" i="11"/>
  <c r="AL1018" i="11"/>
  <c r="O1018" i="11"/>
  <c r="AM1018" i="11"/>
  <c r="P1018" i="11"/>
  <c r="AN1018" i="11"/>
  <c r="Q1018" i="11"/>
  <c r="AO1018" i="11"/>
  <c r="R1018" i="11"/>
  <c r="AP1018" i="11"/>
  <c r="S1018" i="11"/>
  <c r="AQ1018" i="11"/>
  <c r="T1018" i="11"/>
  <c r="AR1018" i="11"/>
  <c r="U1018" i="11"/>
  <c r="AS1018" i="11"/>
  <c r="V1018" i="11"/>
  <c r="AT1018" i="11"/>
  <c r="W1018" i="11"/>
  <c r="AU1018" i="11"/>
  <c r="X1018" i="11"/>
  <c r="AV1018" i="11"/>
  <c r="Y1018" i="11"/>
  <c r="AW1018" i="11"/>
  <c r="Z1018" i="11"/>
  <c r="AC1019" i="11"/>
  <c r="F1019" i="11"/>
  <c r="AD1019" i="11"/>
  <c r="G1019" i="11"/>
  <c r="AE1019" i="11"/>
  <c r="H1019" i="11"/>
  <c r="AF1019" i="11"/>
  <c r="I1019" i="11"/>
  <c r="AG1019" i="11"/>
  <c r="J1019" i="11"/>
  <c r="AH1019" i="11"/>
  <c r="K1019" i="11"/>
  <c r="AI1019" i="11"/>
  <c r="L1019" i="11"/>
  <c r="AJ1019" i="11"/>
  <c r="M1019" i="11"/>
  <c r="AK1019" i="11"/>
  <c r="N1019" i="11"/>
  <c r="AL1019" i="11"/>
  <c r="O1019" i="11"/>
  <c r="AM1019" i="11"/>
  <c r="P1019" i="11"/>
  <c r="AN1019" i="11"/>
  <c r="Q1019" i="11"/>
  <c r="AO1019" i="11"/>
  <c r="R1019" i="11"/>
  <c r="AP1019" i="11"/>
  <c r="S1019" i="11"/>
  <c r="AQ1019" i="11"/>
  <c r="T1019" i="11"/>
  <c r="AR1019" i="11"/>
  <c r="U1019" i="11"/>
  <c r="AS1019" i="11"/>
  <c r="V1019" i="11"/>
  <c r="AT1019" i="11"/>
  <c r="W1019" i="11"/>
  <c r="AU1019" i="11"/>
  <c r="X1019" i="11"/>
  <c r="AV1019" i="11"/>
  <c r="Y1019" i="11"/>
  <c r="AW1019" i="11"/>
  <c r="Z1019" i="11"/>
  <c r="AC1020" i="11"/>
  <c r="F1020" i="11"/>
  <c r="AD1020" i="11"/>
  <c r="G1020" i="11"/>
  <c r="AE1020" i="11"/>
  <c r="H1020" i="11"/>
  <c r="AF1020" i="11"/>
  <c r="I1020" i="11"/>
  <c r="AG1020" i="11"/>
  <c r="J1020" i="11"/>
  <c r="AH1020" i="11"/>
  <c r="K1020" i="11"/>
  <c r="AI1020" i="11"/>
  <c r="L1020" i="11"/>
  <c r="AJ1020" i="11"/>
  <c r="M1020" i="11"/>
  <c r="AK1020" i="11"/>
  <c r="N1020" i="11"/>
  <c r="AL1020" i="11"/>
  <c r="O1020" i="11"/>
  <c r="AM1020" i="11"/>
  <c r="P1020" i="11"/>
  <c r="AN1020" i="11"/>
  <c r="Q1020" i="11"/>
  <c r="AO1020" i="11"/>
  <c r="R1020" i="11"/>
  <c r="AP1020" i="11"/>
  <c r="S1020" i="11"/>
  <c r="AQ1020" i="11"/>
  <c r="T1020" i="11"/>
  <c r="AR1020" i="11"/>
  <c r="U1020" i="11"/>
  <c r="AS1020" i="11"/>
  <c r="V1020" i="11"/>
  <c r="AT1020" i="11"/>
  <c r="W1020" i="11"/>
  <c r="AU1020" i="11"/>
  <c r="X1020" i="11"/>
  <c r="AV1020" i="11"/>
  <c r="Y1020" i="11"/>
  <c r="AW1020" i="11"/>
  <c r="Z1020" i="11"/>
  <c r="AC1021" i="11"/>
  <c r="F1021" i="11"/>
  <c r="AD1021" i="11"/>
  <c r="G1021" i="11"/>
  <c r="AE1021" i="11"/>
  <c r="H1021" i="11"/>
  <c r="AF1021" i="11"/>
  <c r="I1021" i="11"/>
  <c r="AG1021" i="11"/>
  <c r="J1021" i="11"/>
  <c r="AH1021" i="11"/>
  <c r="K1021" i="11"/>
  <c r="AI1021" i="11"/>
  <c r="L1021" i="11"/>
  <c r="AJ1021" i="11"/>
  <c r="M1021" i="11"/>
  <c r="AK1021" i="11"/>
  <c r="N1021" i="11"/>
  <c r="AL1021" i="11"/>
  <c r="O1021" i="11"/>
  <c r="AM1021" i="11"/>
  <c r="P1021" i="11"/>
  <c r="AN1021" i="11"/>
  <c r="Q1021" i="11"/>
  <c r="AO1021" i="11"/>
  <c r="R1021" i="11"/>
  <c r="AP1021" i="11"/>
  <c r="S1021" i="11"/>
  <c r="AQ1021" i="11"/>
  <c r="T1021" i="11"/>
  <c r="AR1021" i="11"/>
  <c r="U1021" i="11"/>
  <c r="AS1021" i="11"/>
  <c r="V1021" i="11"/>
  <c r="AT1021" i="11"/>
  <c r="W1021" i="11"/>
  <c r="AU1021" i="11"/>
  <c r="X1021" i="11"/>
  <c r="AV1021" i="11"/>
  <c r="Y1021" i="11"/>
  <c r="AW1021" i="11"/>
  <c r="Z1021" i="11"/>
  <c r="AC1022" i="11"/>
  <c r="F1022" i="11"/>
  <c r="AD1022" i="11"/>
  <c r="G1022" i="11"/>
  <c r="AE1022" i="11"/>
  <c r="H1022" i="11"/>
  <c r="AF1022" i="11"/>
  <c r="I1022" i="11"/>
  <c r="AG1022" i="11"/>
  <c r="J1022" i="11"/>
  <c r="AH1022" i="11"/>
  <c r="K1022" i="11"/>
  <c r="AI1022" i="11"/>
  <c r="L1022" i="11"/>
  <c r="AJ1022" i="11"/>
  <c r="M1022" i="11"/>
  <c r="AK1022" i="11"/>
  <c r="N1022" i="11"/>
  <c r="AL1022" i="11"/>
  <c r="O1022" i="11"/>
  <c r="AM1022" i="11"/>
  <c r="P1022" i="11"/>
  <c r="AN1022" i="11"/>
  <c r="Q1022" i="11"/>
  <c r="AO1022" i="11"/>
  <c r="R1022" i="11"/>
  <c r="AP1022" i="11"/>
  <c r="S1022" i="11"/>
  <c r="AQ1022" i="11"/>
  <c r="T1022" i="11"/>
  <c r="AR1022" i="11"/>
  <c r="U1022" i="11"/>
  <c r="AS1022" i="11"/>
  <c r="V1022" i="11"/>
  <c r="AT1022" i="11"/>
  <c r="W1022" i="11"/>
  <c r="AU1022" i="11"/>
  <c r="X1022" i="11"/>
  <c r="AV1022" i="11"/>
  <c r="Y1022" i="11"/>
  <c r="AW1022" i="11"/>
  <c r="Z1022" i="11"/>
  <c r="AC1023" i="11"/>
  <c r="F1023" i="11"/>
  <c r="AD1023" i="11"/>
  <c r="G1023" i="11"/>
  <c r="AE1023" i="11"/>
  <c r="H1023" i="11"/>
  <c r="AF1023" i="11"/>
  <c r="I1023" i="11"/>
  <c r="AG1023" i="11"/>
  <c r="J1023" i="11"/>
  <c r="AH1023" i="11"/>
  <c r="K1023" i="11"/>
  <c r="AI1023" i="11"/>
  <c r="L1023" i="11"/>
  <c r="AJ1023" i="11"/>
  <c r="M1023" i="11"/>
  <c r="AK1023" i="11"/>
  <c r="N1023" i="11"/>
  <c r="AL1023" i="11"/>
  <c r="O1023" i="11"/>
  <c r="AM1023" i="11"/>
  <c r="P1023" i="11"/>
  <c r="AN1023" i="11"/>
  <c r="Q1023" i="11"/>
  <c r="AO1023" i="11"/>
  <c r="R1023" i="11"/>
  <c r="AP1023" i="11"/>
  <c r="S1023" i="11"/>
  <c r="AQ1023" i="11"/>
  <c r="T1023" i="11"/>
  <c r="AR1023" i="11"/>
  <c r="U1023" i="11"/>
  <c r="AS1023" i="11"/>
  <c r="V1023" i="11"/>
  <c r="AT1023" i="11"/>
  <c r="W1023" i="11"/>
  <c r="AU1023" i="11"/>
  <c r="X1023" i="11"/>
  <c r="AV1023" i="11"/>
  <c r="Y1023" i="11"/>
  <c r="AW1023" i="11"/>
  <c r="Z1023" i="11"/>
  <c r="AC1024" i="11"/>
  <c r="F1024" i="11"/>
  <c r="AD1024" i="11"/>
  <c r="G1024" i="11"/>
  <c r="AE1024" i="11"/>
  <c r="H1024" i="11"/>
  <c r="AF1024" i="11"/>
  <c r="I1024" i="11"/>
  <c r="AG1024" i="11"/>
  <c r="J1024" i="11"/>
  <c r="AH1024" i="11"/>
  <c r="K1024" i="11"/>
  <c r="AI1024" i="11"/>
  <c r="L1024" i="11"/>
  <c r="AJ1024" i="11"/>
  <c r="M1024" i="11"/>
  <c r="AK1024" i="11"/>
  <c r="N1024" i="11"/>
  <c r="AL1024" i="11"/>
  <c r="O1024" i="11"/>
  <c r="AM1024" i="11"/>
  <c r="P1024" i="11"/>
  <c r="AN1024" i="11"/>
  <c r="Q1024" i="11"/>
  <c r="AO1024" i="11"/>
  <c r="R1024" i="11"/>
  <c r="AP1024" i="11"/>
  <c r="S1024" i="11"/>
  <c r="AQ1024" i="11"/>
  <c r="T1024" i="11"/>
  <c r="AR1024" i="11"/>
  <c r="U1024" i="11"/>
  <c r="AS1024" i="11"/>
  <c r="V1024" i="11"/>
  <c r="AT1024" i="11"/>
  <c r="W1024" i="11"/>
  <c r="AU1024" i="11"/>
  <c r="X1024" i="11"/>
  <c r="AV1024" i="11"/>
  <c r="Y1024" i="11"/>
  <c r="AW1024" i="11"/>
  <c r="Z1024" i="11"/>
  <c r="AC1025" i="11"/>
  <c r="F1025" i="11"/>
  <c r="AD1025" i="11"/>
  <c r="G1025" i="11"/>
  <c r="AE1025" i="11"/>
  <c r="H1025" i="11"/>
  <c r="AF1025" i="11"/>
  <c r="I1025" i="11"/>
  <c r="AG1025" i="11"/>
  <c r="J1025" i="11"/>
  <c r="AH1025" i="11"/>
  <c r="K1025" i="11"/>
  <c r="AI1025" i="11"/>
  <c r="L1025" i="11"/>
  <c r="AJ1025" i="11"/>
  <c r="M1025" i="11"/>
  <c r="AK1025" i="11"/>
  <c r="N1025" i="11"/>
  <c r="AL1025" i="11"/>
  <c r="O1025" i="11"/>
  <c r="AM1025" i="11"/>
  <c r="P1025" i="11"/>
  <c r="AN1025" i="11"/>
  <c r="Q1025" i="11"/>
  <c r="AO1025" i="11"/>
  <c r="R1025" i="11"/>
  <c r="AP1025" i="11"/>
  <c r="S1025" i="11"/>
  <c r="AQ1025" i="11"/>
  <c r="T1025" i="11"/>
  <c r="AR1025" i="11"/>
  <c r="U1025" i="11"/>
  <c r="AS1025" i="11"/>
  <c r="V1025" i="11"/>
  <c r="AT1025" i="11"/>
  <c r="W1025" i="11"/>
  <c r="AU1025" i="11"/>
  <c r="X1025" i="11"/>
  <c r="AV1025" i="11"/>
  <c r="Y1025" i="11"/>
  <c r="AW1025" i="11"/>
  <c r="Z1025" i="11"/>
  <c r="AC1026" i="11"/>
  <c r="F1026" i="11"/>
  <c r="AD1026" i="11"/>
  <c r="G1026" i="11"/>
  <c r="AE1026" i="11"/>
  <c r="H1026" i="11"/>
  <c r="AF1026" i="11"/>
  <c r="I1026" i="11"/>
  <c r="AG1026" i="11"/>
  <c r="J1026" i="11"/>
  <c r="AH1026" i="11"/>
  <c r="K1026" i="11"/>
  <c r="AI1026" i="11"/>
  <c r="L1026" i="11"/>
  <c r="AJ1026" i="11"/>
  <c r="M1026" i="11"/>
  <c r="AK1026" i="11"/>
  <c r="N1026" i="11"/>
  <c r="AL1026" i="11"/>
  <c r="O1026" i="11"/>
  <c r="AM1026" i="11"/>
  <c r="P1026" i="11"/>
  <c r="AN1026" i="11"/>
  <c r="Q1026" i="11"/>
  <c r="AO1026" i="11"/>
  <c r="R1026" i="11"/>
  <c r="AP1026" i="11"/>
  <c r="S1026" i="11"/>
  <c r="AQ1026" i="11"/>
  <c r="T1026" i="11"/>
  <c r="AR1026" i="11"/>
  <c r="U1026" i="11"/>
  <c r="AS1026" i="11"/>
  <c r="V1026" i="11"/>
  <c r="AT1026" i="11"/>
  <c r="W1026" i="11"/>
  <c r="AU1026" i="11"/>
  <c r="X1026" i="11"/>
  <c r="AV1026" i="11"/>
  <c r="Y1026" i="11"/>
  <c r="AW1026" i="11"/>
  <c r="Z1026" i="11"/>
  <c r="AC1027" i="11"/>
  <c r="F1027" i="11"/>
  <c r="AD1027" i="11"/>
  <c r="G1027" i="11"/>
  <c r="AE1027" i="11"/>
  <c r="H1027" i="11"/>
  <c r="AF1027" i="11"/>
  <c r="I1027" i="11"/>
  <c r="AG1027" i="11"/>
  <c r="J1027" i="11"/>
  <c r="AH1027" i="11"/>
  <c r="K1027" i="11"/>
  <c r="AI1027" i="11"/>
  <c r="L1027" i="11"/>
  <c r="AJ1027" i="11"/>
  <c r="M1027" i="11"/>
  <c r="AK1027" i="11"/>
  <c r="N1027" i="11"/>
  <c r="AL1027" i="11"/>
  <c r="O1027" i="11"/>
  <c r="AM1027" i="11"/>
  <c r="P1027" i="11"/>
  <c r="AN1027" i="11"/>
  <c r="Q1027" i="11"/>
  <c r="AO1027" i="11"/>
  <c r="R1027" i="11"/>
  <c r="AP1027" i="11"/>
  <c r="S1027" i="11"/>
  <c r="AQ1027" i="11"/>
  <c r="T1027" i="11"/>
  <c r="AR1027" i="11"/>
  <c r="U1027" i="11"/>
  <c r="AS1027" i="11"/>
  <c r="V1027" i="11"/>
  <c r="AT1027" i="11"/>
  <c r="W1027" i="11"/>
  <c r="AU1027" i="11"/>
  <c r="X1027" i="11"/>
  <c r="AV1027" i="11"/>
  <c r="Y1027" i="11"/>
  <c r="AW1027" i="11"/>
  <c r="Z1027" i="11"/>
  <c r="AC1028" i="11"/>
  <c r="F1028" i="11"/>
  <c r="AD1028" i="11"/>
  <c r="G1028" i="11"/>
  <c r="AE1028" i="11"/>
  <c r="H1028" i="11"/>
  <c r="AF1028" i="11"/>
  <c r="I1028" i="11"/>
  <c r="AG1028" i="11"/>
  <c r="J1028" i="11"/>
  <c r="AH1028" i="11"/>
  <c r="K1028" i="11"/>
  <c r="AI1028" i="11"/>
  <c r="L1028" i="11"/>
  <c r="AJ1028" i="11"/>
  <c r="M1028" i="11"/>
  <c r="AK1028" i="11"/>
  <c r="N1028" i="11"/>
  <c r="AL1028" i="11"/>
  <c r="O1028" i="11"/>
  <c r="AM1028" i="11"/>
  <c r="P1028" i="11"/>
  <c r="AN1028" i="11"/>
  <c r="Q1028" i="11"/>
  <c r="AO1028" i="11"/>
  <c r="R1028" i="11"/>
  <c r="AP1028" i="11"/>
  <c r="S1028" i="11"/>
  <c r="AQ1028" i="11"/>
  <c r="T1028" i="11"/>
  <c r="AR1028" i="11"/>
  <c r="U1028" i="11"/>
  <c r="AS1028" i="11"/>
  <c r="V1028" i="11"/>
  <c r="AT1028" i="11"/>
  <c r="W1028" i="11"/>
  <c r="AU1028" i="11"/>
  <c r="X1028" i="11"/>
  <c r="AV1028" i="11"/>
  <c r="Y1028" i="11"/>
  <c r="AW1028" i="11"/>
  <c r="Z1028" i="11"/>
  <c r="AC1029" i="11"/>
  <c r="F1029" i="11"/>
  <c r="AD1029" i="11"/>
  <c r="G1029" i="11"/>
  <c r="AE1029" i="11"/>
  <c r="H1029" i="11"/>
  <c r="AF1029" i="11"/>
  <c r="I1029" i="11"/>
  <c r="AG1029" i="11"/>
  <c r="J1029" i="11"/>
  <c r="AH1029" i="11"/>
  <c r="K1029" i="11"/>
  <c r="AI1029" i="11"/>
  <c r="L1029" i="11"/>
  <c r="AJ1029" i="11"/>
  <c r="M1029" i="11"/>
  <c r="AK1029" i="11"/>
  <c r="N1029" i="11"/>
  <c r="AL1029" i="11"/>
  <c r="O1029" i="11"/>
  <c r="AM1029" i="11"/>
  <c r="P1029" i="11"/>
  <c r="AN1029" i="11"/>
  <c r="Q1029" i="11"/>
  <c r="AO1029" i="11"/>
  <c r="R1029" i="11"/>
  <c r="AP1029" i="11"/>
  <c r="S1029" i="11"/>
  <c r="AQ1029" i="11"/>
  <c r="T1029" i="11"/>
  <c r="AR1029" i="11"/>
  <c r="U1029" i="11"/>
  <c r="AS1029" i="11"/>
  <c r="V1029" i="11"/>
  <c r="AT1029" i="11"/>
  <c r="W1029" i="11"/>
  <c r="AU1029" i="11"/>
  <c r="X1029" i="11"/>
  <c r="AV1029" i="11"/>
  <c r="Y1029" i="11"/>
  <c r="AW1029" i="11"/>
  <c r="Z1029" i="11"/>
  <c r="AC1030" i="11"/>
  <c r="F1030" i="11"/>
  <c r="AD1030" i="11"/>
  <c r="G1030" i="11"/>
  <c r="AE1030" i="11"/>
  <c r="H1030" i="11"/>
  <c r="AF1030" i="11"/>
  <c r="I1030" i="11"/>
  <c r="AG1030" i="11"/>
  <c r="J1030" i="11"/>
  <c r="AH1030" i="11"/>
  <c r="K1030" i="11"/>
  <c r="AI1030" i="11"/>
  <c r="L1030" i="11"/>
  <c r="AJ1030" i="11"/>
  <c r="M1030" i="11"/>
  <c r="AK1030" i="11"/>
  <c r="N1030" i="11"/>
  <c r="AL1030" i="11"/>
  <c r="O1030" i="11"/>
  <c r="AM1030" i="11"/>
  <c r="P1030" i="11"/>
  <c r="AN1030" i="11"/>
  <c r="Q1030" i="11"/>
  <c r="AO1030" i="11"/>
  <c r="R1030" i="11"/>
  <c r="AP1030" i="11"/>
  <c r="S1030" i="11"/>
  <c r="AQ1030" i="11"/>
  <c r="T1030" i="11"/>
  <c r="AR1030" i="11"/>
  <c r="U1030" i="11"/>
  <c r="AS1030" i="11"/>
  <c r="V1030" i="11"/>
  <c r="AT1030" i="11"/>
  <c r="W1030" i="11"/>
  <c r="AU1030" i="11"/>
  <c r="X1030" i="11"/>
  <c r="AV1030" i="11"/>
  <c r="Y1030" i="11"/>
  <c r="AW1030" i="11"/>
  <c r="Z1030" i="11"/>
  <c r="AC1031" i="11"/>
  <c r="F1031" i="11"/>
  <c r="AD1031" i="11"/>
  <c r="G1031" i="11"/>
  <c r="AE1031" i="11"/>
  <c r="H1031" i="11"/>
  <c r="AF1031" i="11"/>
  <c r="I1031" i="11"/>
  <c r="AG1031" i="11"/>
  <c r="J1031" i="11"/>
  <c r="AH1031" i="11"/>
  <c r="K1031" i="11"/>
  <c r="AI1031" i="11"/>
  <c r="L1031" i="11"/>
  <c r="AJ1031" i="11"/>
  <c r="M1031" i="11"/>
  <c r="AK1031" i="11"/>
  <c r="N1031" i="11"/>
  <c r="AL1031" i="11"/>
  <c r="O1031" i="11"/>
  <c r="AM1031" i="11"/>
  <c r="P1031" i="11"/>
  <c r="AN1031" i="11"/>
  <c r="Q1031" i="11"/>
  <c r="AO1031" i="11"/>
  <c r="R1031" i="11"/>
  <c r="AP1031" i="11"/>
  <c r="S1031" i="11"/>
  <c r="AQ1031" i="11"/>
  <c r="T1031" i="11"/>
  <c r="AR1031" i="11"/>
  <c r="U1031" i="11"/>
  <c r="AS1031" i="11"/>
  <c r="V1031" i="11"/>
  <c r="AT1031" i="11"/>
  <c r="W1031" i="11"/>
  <c r="AU1031" i="11"/>
  <c r="X1031" i="11"/>
  <c r="AV1031" i="11"/>
  <c r="Y1031" i="11"/>
  <c r="AW1031" i="11"/>
  <c r="Z1031" i="11"/>
  <c r="AC1032" i="11"/>
  <c r="F1032" i="11"/>
  <c r="AD1032" i="11"/>
  <c r="G1032" i="11"/>
  <c r="AE1032" i="11"/>
  <c r="H1032" i="11"/>
  <c r="AF1032" i="11"/>
  <c r="I1032" i="11"/>
  <c r="AG1032" i="11"/>
  <c r="J1032" i="11"/>
  <c r="AH1032" i="11"/>
  <c r="K1032" i="11"/>
  <c r="AI1032" i="11"/>
  <c r="L1032" i="11"/>
  <c r="AJ1032" i="11"/>
  <c r="M1032" i="11"/>
  <c r="AK1032" i="11"/>
  <c r="N1032" i="11"/>
  <c r="AL1032" i="11"/>
  <c r="O1032" i="11"/>
  <c r="AM1032" i="11"/>
  <c r="P1032" i="11"/>
  <c r="AN1032" i="11"/>
  <c r="Q1032" i="11"/>
  <c r="AO1032" i="11"/>
  <c r="R1032" i="11"/>
  <c r="AP1032" i="11"/>
  <c r="S1032" i="11"/>
  <c r="AQ1032" i="11"/>
  <c r="T1032" i="11"/>
  <c r="AR1032" i="11"/>
  <c r="U1032" i="11"/>
  <c r="AS1032" i="11"/>
  <c r="V1032" i="11"/>
  <c r="AT1032" i="11"/>
  <c r="W1032" i="11"/>
  <c r="AU1032" i="11"/>
  <c r="X1032" i="11"/>
  <c r="AV1032" i="11"/>
  <c r="Y1032" i="11"/>
  <c r="AW1032" i="11"/>
  <c r="Z1032" i="11"/>
  <c r="AC1033" i="11"/>
  <c r="F1033" i="11"/>
  <c r="AD1033" i="11"/>
  <c r="G1033" i="11"/>
  <c r="AE1033" i="11"/>
  <c r="H1033" i="11"/>
  <c r="AF1033" i="11"/>
  <c r="I1033" i="11"/>
  <c r="AG1033" i="11"/>
  <c r="J1033" i="11"/>
  <c r="AH1033" i="11"/>
  <c r="K1033" i="11"/>
  <c r="AI1033" i="11"/>
  <c r="L1033" i="11"/>
  <c r="AJ1033" i="11"/>
  <c r="M1033" i="11"/>
  <c r="AK1033" i="11"/>
  <c r="N1033" i="11"/>
  <c r="AL1033" i="11"/>
  <c r="O1033" i="11"/>
  <c r="AM1033" i="11"/>
  <c r="P1033" i="11"/>
  <c r="AN1033" i="11"/>
  <c r="Q1033" i="11"/>
  <c r="AO1033" i="11"/>
  <c r="R1033" i="11"/>
  <c r="AP1033" i="11"/>
  <c r="S1033" i="11"/>
  <c r="AQ1033" i="11"/>
  <c r="T1033" i="11"/>
  <c r="AR1033" i="11"/>
  <c r="U1033" i="11"/>
  <c r="AS1033" i="11"/>
  <c r="V1033" i="11"/>
  <c r="AT1033" i="11"/>
  <c r="W1033" i="11"/>
  <c r="AU1033" i="11"/>
  <c r="X1033" i="11"/>
  <c r="AV1033" i="11"/>
  <c r="Y1033" i="11"/>
  <c r="AW1033" i="11"/>
  <c r="Z1033" i="11"/>
  <c r="AC1034" i="11"/>
  <c r="F1034" i="11"/>
  <c r="AD1034" i="11"/>
  <c r="G1034" i="11"/>
  <c r="AE1034" i="11"/>
  <c r="H1034" i="11"/>
  <c r="AF1034" i="11"/>
  <c r="I1034" i="11"/>
  <c r="AG1034" i="11"/>
  <c r="J1034" i="11"/>
  <c r="AH1034" i="11"/>
  <c r="K1034" i="11"/>
  <c r="AI1034" i="11"/>
  <c r="L1034" i="11"/>
  <c r="AJ1034" i="11"/>
  <c r="M1034" i="11"/>
  <c r="AK1034" i="11"/>
  <c r="N1034" i="11"/>
  <c r="AL1034" i="11"/>
  <c r="O1034" i="11"/>
  <c r="AM1034" i="11"/>
  <c r="P1034" i="11"/>
  <c r="AN1034" i="11"/>
  <c r="Q1034" i="11"/>
  <c r="AO1034" i="11"/>
  <c r="R1034" i="11"/>
  <c r="AP1034" i="11"/>
  <c r="S1034" i="11"/>
  <c r="AQ1034" i="11"/>
  <c r="T1034" i="11"/>
  <c r="AR1034" i="11"/>
  <c r="U1034" i="11"/>
  <c r="AS1034" i="11"/>
  <c r="V1034" i="11"/>
  <c r="AT1034" i="11"/>
  <c r="W1034" i="11"/>
  <c r="AU1034" i="11"/>
  <c r="X1034" i="11"/>
  <c r="AV1034" i="11"/>
  <c r="Y1034" i="11"/>
  <c r="AW1034" i="11"/>
  <c r="Z1034" i="11"/>
  <c r="AC1035" i="11"/>
  <c r="F1035" i="11"/>
  <c r="AD1035" i="11"/>
  <c r="G1035" i="11"/>
  <c r="AE1035" i="11"/>
  <c r="H1035" i="11"/>
  <c r="AF1035" i="11"/>
  <c r="I1035" i="11"/>
  <c r="AG1035" i="11"/>
  <c r="J1035" i="11"/>
  <c r="AH1035" i="11"/>
  <c r="K1035" i="11"/>
  <c r="AI1035" i="11"/>
  <c r="L1035" i="11"/>
  <c r="AJ1035" i="11"/>
  <c r="M1035" i="11"/>
  <c r="AK1035" i="11"/>
  <c r="N1035" i="11"/>
  <c r="AL1035" i="11"/>
  <c r="O1035" i="11"/>
  <c r="AM1035" i="11"/>
  <c r="P1035" i="11"/>
  <c r="AN1035" i="11"/>
  <c r="Q1035" i="11"/>
  <c r="AO1035" i="11"/>
  <c r="R1035" i="11"/>
  <c r="AP1035" i="11"/>
  <c r="S1035" i="11"/>
  <c r="AQ1035" i="11"/>
  <c r="T1035" i="11"/>
  <c r="AR1035" i="11"/>
  <c r="U1035" i="11"/>
  <c r="AS1035" i="11"/>
  <c r="V1035" i="11"/>
  <c r="AT1035" i="11"/>
  <c r="W1035" i="11"/>
  <c r="AU1035" i="11"/>
  <c r="X1035" i="11"/>
  <c r="AV1035" i="11"/>
  <c r="Y1035" i="11"/>
  <c r="AW1035" i="11"/>
  <c r="Z1035" i="11"/>
  <c r="AC1036" i="11"/>
  <c r="F1036" i="11"/>
  <c r="AD1036" i="11"/>
  <c r="G1036" i="11"/>
  <c r="AE1036" i="11"/>
  <c r="H1036" i="11"/>
  <c r="AF1036" i="11"/>
  <c r="I1036" i="11"/>
  <c r="AG1036" i="11"/>
  <c r="J1036" i="11"/>
  <c r="AH1036" i="11"/>
  <c r="K1036" i="11"/>
  <c r="AI1036" i="11"/>
  <c r="L1036" i="11"/>
  <c r="AJ1036" i="11"/>
  <c r="M1036" i="11"/>
  <c r="AK1036" i="11"/>
  <c r="N1036" i="11"/>
  <c r="AL1036" i="11"/>
  <c r="O1036" i="11"/>
  <c r="AM1036" i="11"/>
  <c r="P1036" i="11"/>
  <c r="AN1036" i="11"/>
  <c r="Q1036" i="11"/>
  <c r="AO1036" i="11"/>
  <c r="R1036" i="11"/>
  <c r="AP1036" i="11"/>
  <c r="S1036" i="11"/>
  <c r="AQ1036" i="11"/>
  <c r="T1036" i="11"/>
  <c r="AR1036" i="11"/>
  <c r="U1036" i="11"/>
  <c r="AS1036" i="11"/>
  <c r="V1036" i="11"/>
  <c r="AT1036" i="11"/>
  <c r="W1036" i="11"/>
  <c r="AU1036" i="11"/>
  <c r="X1036" i="11"/>
  <c r="AV1036" i="11"/>
  <c r="Y1036" i="11"/>
  <c r="AW1036" i="11"/>
  <c r="Z1036" i="11"/>
  <c r="AC1037" i="11"/>
  <c r="F1037" i="11"/>
  <c r="AD1037" i="11"/>
  <c r="G1037" i="11"/>
  <c r="AE1037" i="11"/>
  <c r="H1037" i="11"/>
  <c r="AF1037" i="11"/>
  <c r="I1037" i="11"/>
  <c r="AG1037" i="11"/>
  <c r="J1037" i="11"/>
  <c r="AH1037" i="11"/>
  <c r="K1037" i="11"/>
  <c r="AI1037" i="11"/>
  <c r="L1037" i="11"/>
  <c r="AJ1037" i="11"/>
  <c r="M1037" i="11"/>
  <c r="AK1037" i="11"/>
  <c r="N1037" i="11"/>
  <c r="AL1037" i="11"/>
  <c r="O1037" i="11"/>
  <c r="AM1037" i="11"/>
  <c r="P1037" i="11"/>
  <c r="AN1037" i="11"/>
  <c r="Q1037" i="11"/>
  <c r="AO1037" i="11"/>
  <c r="R1037" i="11"/>
  <c r="AP1037" i="11"/>
  <c r="S1037" i="11"/>
  <c r="AQ1037" i="11"/>
  <c r="T1037" i="11"/>
  <c r="AR1037" i="11"/>
  <c r="U1037" i="11"/>
  <c r="AS1037" i="11"/>
  <c r="V1037" i="11"/>
  <c r="AT1037" i="11"/>
  <c r="W1037" i="11"/>
  <c r="AU1037" i="11"/>
  <c r="X1037" i="11"/>
  <c r="AV1037" i="11"/>
  <c r="Y1037" i="11"/>
  <c r="AW1037" i="11"/>
  <c r="Z1037" i="11"/>
  <c r="AC1038" i="11"/>
  <c r="F1038" i="11"/>
  <c r="AD1038" i="11"/>
  <c r="G1038" i="11"/>
  <c r="AE1038" i="11"/>
  <c r="H1038" i="11"/>
  <c r="AF1038" i="11"/>
  <c r="I1038" i="11"/>
  <c r="AG1038" i="11"/>
  <c r="J1038" i="11"/>
  <c r="AH1038" i="11"/>
  <c r="K1038" i="11"/>
  <c r="AI1038" i="11"/>
  <c r="L1038" i="11"/>
  <c r="AJ1038" i="11"/>
  <c r="M1038" i="11"/>
  <c r="AK1038" i="11"/>
  <c r="N1038" i="11"/>
  <c r="AL1038" i="11"/>
  <c r="O1038" i="11"/>
  <c r="AM1038" i="11"/>
  <c r="P1038" i="11"/>
  <c r="AN1038" i="11"/>
  <c r="Q1038" i="11"/>
  <c r="AO1038" i="11"/>
  <c r="R1038" i="11"/>
  <c r="AP1038" i="11"/>
  <c r="S1038" i="11"/>
  <c r="AQ1038" i="11"/>
  <c r="T1038" i="11"/>
  <c r="AR1038" i="11"/>
  <c r="U1038" i="11"/>
  <c r="AS1038" i="11"/>
  <c r="V1038" i="11"/>
  <c r="AT1038" i="11"/>
  <c r="W1038" i="11"/>
  <c r="AU1038" i="11"/>
  <c r="X1038" i="11"/>
  <c r="AV1038" i="11"/>
  <c r="Y1038" i="11"/>
  <c r="AW1038" i="11"/>
  <c r="Z1038" i="11"/>
  <c r="AC1039" i="11"/>
  <c r="F1039" i="11"/>
  <c r="AD1039" i="11"/>
  <c r="G1039" i="11"/>
  <c r="AE1039" i="11"/>
  <c r="H1039" i="11"/>
  <c r="AF1039" i="11"/>
  <c r="I1039" i="11"/>
  <c r="AG1039" i="11"/>
  <c r="J1039" i="11"/>
  <c r="AH1039" i="11"/>
  <c r="K1039" i="11"/>
  <c r="AI1039" i="11"/>
  <c r="L1039" i="11"/>
  <c r="AJ1039" i="11"/>
  <c r="M1039" i="11"/>
  <c r="AK1039" i="11"/>
  <c r="N1039" i="11"/>
  <c r="AL1039" i="11"/>
  <c r="O1039" i="11"/>
  <c r="AM1039" i="11"/>
  <c r="P1039" i="11"/>
  <c r="AN1039" i="11"/>
  <c r="Q1039" i="11"/>
  <c r="AO1039" i="11"/>
  <c r="R1039" i="11"/>
  <c r="AP1039" i="11"/>
  <c r="S1039" i="11"/>
  <c r="AQ1039" i="11"/>
  <c r="T1039" i="11"/>
  <c r="AR1039" i="11"/>
  <c r="U1039" i="11"/>
  <c r="AS1039" i="11"/>
  <c r="V1039" i="11"/>
  <c r="AT1039" i="11"/>
  <c r="W1039" i="11"/>
  <c r="AU1039" i="11"/>
  <c r="X1039" i="11"/>
  <c r="AV1039" i="11"/>
  <c r="Y1039" i="11"/>
  <c r="AW1039" i="11"/>
  <c r="Z1039" i="11"/>
  <c r="AC1040" i="11"/>
  <c r="F1040" i="11"/>
  <c r="AD1040" i="11"/>
  <c r="G1040" i="11"/>
  <c r="AE1040" i="11"/>
  <c r="H1040" i="11"/>
  <c r="AF1040" i="11"/>
  <c r="I1040" i="11"/>
  <c r="AG1040" i="11"/>
  <c r="J1040" i="11"/>
  <c r="AH1040" i="11"/>
  <c r="K1040" i="11"/>
  <c r="AI1040" i="11"/>
  <c r="L1040" i="11"/>
  <c r="AJ1040" i="11"/>
  <c r="M1040" i="11"/>
  <c r="AK1040" i="11"/>
  <c r="N1040" i="11"/>
  <c r="AL1040" i="11"/>
  <c r="O1040" i="11"/>
  <c r="AM1040" i="11"/>
  <c r="P1040" i="11"/>
  <c r="AN1040" i="11"/>
  <c r="Q1040" i="11"/>
  <c r="AO1040" i="11"/>
  <c r="R1040" i="11"/>
  <c r="AP1040" i="11"/>
  <c r="S1040" i="11"/>
  <c r="AQ1040" i="11"/>
  <c r="T1040" i="11"/>
  <c r="AR1040" i="11"/>
  <c r="U1040" i="11"/>
  <c r="AS1040" i="11"/>
  <c r="V1040" i="11"/>
  <c r="AT1040" i="11"/>
  <c r="W1040" i="11"/>
  <c r="AU1040" i="11"/>
  <c r="X1040" i="11"/>
  <c r="AV1040" i="11"/>
  <c r="Y1040" i="11"/>
  <c r="AW1040" i="11"/>
  <c r="Z1040" i="11"/>
  <c r="AC1041" i="11"/>
  <c r="F1041" i="11"/>
  <c r="AD1041" i="11"/>
  <c r="G1041" i="11"/>
  <c r="AE1041" i="11"/>
  <c r="H1041" i="11"/>
  <c r="AF1041" i="11"/>
  <c r="I1041" i="11"/>
  <c r="AG1041" i="11"/>
  <c r="J1041" i="11"/>
  <c r="AH1041" i="11"/>
  <c r="K1041" i="11"/>
  <c r="AI1041" i="11"/>
  <c r="L1041" i="11"/>
  <c r="AJ1041" i="11"/>
  <c r="M1041" i="11"/>
  <c r="AK1041" i="11"/>
  <c r="N1041" i="11"/>
  <c r="AL1041" i="11"/>
  <c r="O1041" i="11"/>
  <c r="AM1041" i="11"/>
  <c r="P1041" i="11"/>
  <c r="AN1041" i="11"/>
  <c r="Q1041" i="11"/>
  <c r="AO1041" i="11"/>
  <c r="R1041" i="11"/>
  <c r="AP1041" i="11"/>
  <c r="S1041" i="11"/>
  <c r="AQ1041" i="11"/>
  <c r="T1041" i="11"/>
  <c r="AR1041" i="11"/>
  <c r="U1041" i="11"/>
  <c r="AS1041" i="11"/>
  <c r="V1041" i="11"/>
  <c r="AT1041" i="11"/>
  <c r="W1041" i="11"/>
  <c r="AU1041" i="11"/>
  <c r="X1041" i="11"/>
  <c r="AV1041" i="11"/>
  <c r="Y1041" i="11"/>
  <c r="AW1041" i="11"/>
  <c r="Z1041" i="11"/>
  <c r="AC1042" i="11"/>
  <c r="F1042" i="11"/>
  <c r="AD1042" i="11"/>
  <c r="G1042" i="11"/>
  <c r="AE1042" i="11"/>
  <c r="H1042" i="11"/>
  <c r="AF1042" i="11"/>
  <c r="I1042" i="11"/>
  <c r="AG1042" i="11"/>
  <c r="J1042" i="11"/>
  <c r="AH1042" i="11"/>
  <c r="K1042" i="11"/>
  <c r="AI1042" i="11"/>
  <c r="L1042" i="11"/>
  <c r="AJ1042" i="11"/>
  <c r="M1042" i="11"/>
  <c r="AK1042" i="11"/>
  <c r="N1042" i="11"/>
  <c r="AL1042" i="11"/>
  <c r="O1042" i="11"/>
  <c r="AM1042" i="11"/>
  <c r="P1042" i="11"/>
  <c r="AN1042" i="11"/>
  <c r="Q1042" i="11"/>
  <c r="AO1042" i="11"/>
  <c r="R1042" i="11"/>
  <c r="AP1042" i="11"/>
  <c r="S1042" i="11"/>
  <c r="AQ1042" i="11"/>
  <c r="T1042" i="11"/>
  <c r="AR1042" i="11"/>
  <c r="U1042" i="11"/>
  <c r="AS1042" i="11"/>
  <c r="V1042" i="11"/>
  <c r="AT1042" i="11"/>
  <c r="W1042" i="11"/>
  <c r="AU1042" i="11"/>
  <c r="X1042" i="11"/>
  <c r="AV1042" i="11"/>
  <c r="Y1042" i="11"/>
  <c r="AW1042" i="11"/>
  <c r="Z1042" i="11"/>
  <c r="AC1043" i="11"/>
  <c r="F1043" i="11"/>
  <c r="AD1043" i="11"/>
  <c r="G1043" i="11"/>
  <c r="AE1043" i="11"/>
  <c r="H1043" i="11"/>
  <c r="AF1043" i="11"/>
  <c r="I1043" i="11"/>
  <c r="AG1043" i="11"/>
  <c r="J1043" i="11"/>
  <c r="AH1043" i="11"/>
  <c r="K1043" i="11"/>
  <c r="AI1043" i="11"/>
  <c r="L1043" i="11"/>
  <c r="AJ1043" i="11"/>
  <c r="M1043" i="11"/>
  <c r="AK1043" i="11"/>
  <c r="N1043" i="11"/>
  <c r="AL1043" i="11"/>
  <c r="O1043" i="11"/>
  <c r="AM1043" i="11"/>
  <c r="P1043" i="11"/>
  <c r="AN1043" i="11"/>
  <c r="Q1043" i="11"/>
  <c r="AO1043" i="11"/>
  <c r="R1043" i="11"/>
  <c r="AP1043" i="11"/>
  <c r="S1043" i="11"/>
  <c r="AQ1043" i="11"/>
  <c r="T1043" i="11"/>
  <c r="AR1043" i="11"/>
  <c r="U1043" i="11"/>
  <c r="AS1043" i="11"/>
  <c r="V1043" i="11"/>
  <c r="AT1043" i="11"/>
  <c r="W1043" i="11"/>
  <c r="AU1043" i="11"/>
  <c r="X1043" i="11"/>
  <c r="AV1043" i="11"/>
  <c r="Y1043" i="11"/>
  <c r="AW1043" i="11"/>
  <c r="Z1043" i="11"/>
  <c r="AC1044" i="11"/>
  <c r="F1044" i="11"/>
  <c r="AD1044" i="11"/>
  <c r="G1044" i="11"/>
  <c r="AE1044" i="11"/>
  <c r="H1044" i="11"/>
  <c r="AF1044" i="11"/>
  <c r="I1044" i="11"/>
  <c r="AG1044" i="11"/>
  <c r="J1044" i="11"/>
  <c r="AH1044" i="11"/>
  <c r="K1044" i="11"/>
  <c r="AI1044" i="11"/>
  <c r="L1044" i="11"/>
  <c r="AJ1044" i="11"/>
  <c r="M1044" i="11"/>
  <c r="AK1044" i="11"/>
  <c r="N1044" i="11"/>
  <c r="AL1044" i="11"/>
  <c r="O1044" i="11"/>
  <c r="AM1044" i="11"/>
  <c r="P1044" i="11"/>
  <c r="AN1044" i="11"/>
  <c r="Q1044" i="11"/>
  <c r="AO1044" i="11"/>
  <c r="R1044" i="11"/>
  <c r="AP1044" i="11"/>
  <c r="S1044" i="11"/>
  <c r="AQ1044" i="11"/>
  <c r="T1044" i="11"/>
  <c r="AR1044" i="11"/>
  <c r="U1044" i="11"/>
  <c r="AS1044" i="11"/>
  <c r="V1044" i="11"/>
  <c r="AT1044" i="11"/>
  <c r="W1044" i="11"/>
  <c r="AU1044" i="11"/>
  <c r="X1044" i="11"/>
  <c r="AV1044" i="11"/>
  <c r="Y1044" i="11"/>
  <c r="AW1044" i="11"/>
  <c r="Z1044" i="11"/>
  <c r="AC1045" i="11"/>
  <c r="F1045" i="11"/>
  <c r="AD1045" i="11"/>
  <c r="G1045" i="11"/>
  <c r="AE1045" i="11"/>
  <c r="H1045" i="11"/>
  <c r="AF1045" i="11"/>
  <c r="I1045" i="11"/>
  <c r="AG1045" i="11"/>
  <c r="J1045" i="11"/>
  <c r="AH1045" i="11"/>
  <c r="K1045" i="11"/>
  <c r="AI1045" i="11"/>
  <c r="L1045" i="11"/>
  <c r="AJ1045" i="11"/>
  <c r="M1045" i="11"/>
  <c r="AK1045" i="11"/>
  <c r="N1045" i="11"/>
  <c r="AL1045" i="11"/>
  <c r="O1045" i="11"/>
  <c r="AM1045" i="11"/>
  <c r="P1045" i="11"/>
  <c r="AN1045" i="11"/>
  <c r="Q1045" i="11"/>
  <c r="AO1045" i="11"/>
  <c r="R1045" i="11"/>
  <c r="AP1045" i="11"/>
  <c r="S1045" i="11"/>
  <c r="AQ1045" i="11"/>
  <c r="T1045" i="11"/>
  <c r="AR1045" i="11"/>
  <c r="U1045" i="11"/>
  <c r="AS1045" i="11"/>
  <c r="V1045" i="11"/>
  <c r="AT1045" i="11"/>
  <c r="W1045" i="11"/>
  <c r="AU1045" i="11"/>
  <c r="X1045" i="11"/>
  <c r="AV1045" i="11"/>
  <c r="Y1045" i="11"/>
  <c r="AW1045" i="11"/>
  <c r="Z1045" i="11"/>
  <c r="AC1046" i="11"/>
  <c r="F1046" i="11"/>
  <c r="AD1046" i="11"/>
  <c r="G1046" i="11"/>
  <c r="AE1046" i="11"/>
  <c r="H1046" i="11"/>
  <c r="AF1046" i="11"/>
  <c r="I1046" i="11"/>
  <c r="AG1046" i="11"/>
  <c r="J1046" i="11"/>
  <c r="AH1046" i="11"/>
  <c r="K1046" i="11"/>
  <c r="AI1046" i="11"/>
  <c r="L1046" i="11"/>
  <c r="AJ1046" i="11"/>
  <c r="M1046" i="11"/>
  <c r="AK1046" i="11"/>
  <c r="N1046" i="11"/>
  <c r="AL1046" i="11"/>
  <c r="O1046" i="11"/>
  <c r="AM1046" i="11"/>
  <c r="P1046" i="11"/>
  <c r="AN1046" i="11"/>
  <c r="Q1046" i="11"/>
  <c r="AO1046" i="11"/>
  <c r="R1046" i="11"/>
  <c r="AP1046" i="11"/>
  <c r="S1046" i="11"/>
  <c r="AQ1046" i="11"/>
  <c r="T1046" i="11"/>
  <c r="AR1046" i="11"/>
  <c r="U1046" i="11"/>
  <c r="AS1046" i="11"/>
  <c r="V1046" i="11"/>
  <c r="AT1046" i="11"/>
  <c r="W1046" i="11"/>
  <c r="AU1046" i="11"/>
  <c r="X1046" i="11"/>
  <c r="AV1046" i="11"/>
  <c r="Y1046" i="11"/>
  <c r="AW1046" i="11"/>
  <c r="Z1046" i="11"/>
  <c r="AC1047" i="11"/>
  <c r="F1047" i="11"/>
  <c r="AD1047" i="11"/>
  <c r="G1047" i="11"/>
  <c r="AE1047" i="11"/>
  <c r="H1047" i="11"/>
  <c r="AF1047" i="11"/>
  <c r="I1047" i="11"/>
  <c r="AG1047" i="11"/>
  <c r="J1047" i="11"/>
  <c r="AH1047" i="11"/>
  <c r="K1047" i="11"/>
  <c r="AI1047" i="11"/>
  <c r="L1047" i="11"/>
  <c r="AJ1047" i="11"/>
  <c r="M1047" i="11"/>
  <c r="AK1047" i="11"/>
  <c r="N1047" i="11"/>
  <c r="AL1047" i="11"/>
  <c r="O1047" i="11"/>
  <c r="AM1047" i="11"/>
  <c r="P1047" i="11"/>
  <c r="AN1047" i="11"/>
  <c r="Q1047" i="11"/>
  <c r="AO1047" i="11"/>
  <c r="R1047" i="11"/>
  <c r="AP1047" i="11"/>
  <c r="S1047" i="11"/>
  <c r="AQ1047" i="11"/>
  <c r="T1047" i="11"/>
  <c r="AR1047" i="11"/>
  <c r="U1047" i="11"/>
  <c r="AS1047" i="11"/>
  <c r="V1047" i="11"/>
  <c r="AT1047" i="11"/>
  <c r="W1047" i="11"/>
  <c r="AU1047" i="11"/>
  <c r="X1047" i="11"/>
  <c r="AV1047" i="11"/>
  <c r="Y1047" i="11"/>
  <c r="AW1047" i="11"/>
  <c r="Z1047" i="11"/>
  <c r="AC1048" i="11"/>
  <c r="F1048" i="11"/>
  <c r="AD1048" i="11"/>
  <c r="G1048" i="11"/>
  <c r="AE1048" i="11"/>
  <c r="H1048" i="11"/>
  <c r="AF1048" i="11"/>
  <c r="I1048" i="11"/>
  <c r="AG1048" i="11"/>
  <c r="J1048" i="11"/>
  <c r="AH1048" i="11"/>
  <c r="K1048" i="11"/>
  <c r="AI1048" i="11"/>
  <c r="L1048" i="11"/>
  <c r="AJ1048" i="11"/>
  <c r="M1048" i="11"/>
  <c r="AK1048" i="11"/>
  <c r="N1048" i="11"/>
  <c r="AL1048" i="11"/>
  <c r="O1048" i="11"/>
  <c r="AM1048" i="11"/>
  <c r="P1048" i="11"/>
  <c r="AN1048" i="11"/>
  <c r="Q1048" i="11"/>
  <c r="AO1048" i="11"/>
  <c r="R1048" i="11"/>
  <c r="AP1048" i="11"/>
  <c r="S1048" i="11"/>
  <c r="AQ1048" i="11"/>
  <c r="T1048" i="11"/>
  <c r="AR1048" i="11"/>
  <c r="U1048" i="11"/>
  <c r="AS1048" i="11"/>
  <c r="V1048" i="11"/>
  <c r="AT1048" i="11"/>
  <c r="W1048" i="11"/>
  <c r="AU1048" i="11"/>
  <c r="X1048" i="11"/>
  <c r="AV1048" i="11"/>
  <c r="Y1048" i="11"/>
  <c r="AW1048" i="11"/>
  <c r="Z1048" i="11"/>
  <c r="AC1049" i="11"/>
  <c r="F1049" i="11"/>
  <c r="AD1049" i="11"/>
  <c r="G1049" i="11"/>
  <c r="AE1049" i="11"/>
  <c r="H1049" i="11"/>
  <c r="AF1049" i="11"/>
  <c r="I1049" i="11"/>
  <c r="AG1049" i="11"/>
  <c r="J1049" i="11"/>
  <c r="AH1049" i="11"/>
  <c r="K1049" i="11"/>
  <c r="AI1049" i="11"/>
  <c r="L1049" i="11"/>
  <c r="AJ1049" i="11"/>
  <c r="M1049" i="11"/>
  <c r="AK1049" i="11"/>
  <c r="N1049" i="11"/>
  <c r="AL1049" i="11"/>
  <c r="O1049" i="11"/>
  <c r="AM1049" i="11"/>
  <c r="P1049" i="11"/>
  <c r="AN1049" i="11"/>
  <c r="Q1049" i="11"/>
  <c r="AO1049" i="11"/>
  <c r="R1049" i="11"/>
  <c r="AP1049" i="11"/>
  <c r="S1049" i="11"/>
  <c r="AQ1049" i="11"/>
  <c r="T1049" i="11"/>
  <c r="AR1049" i="11"/>
  <c r="U1049" i="11"/>
  <c r="AS1049" i="11"/>
  <c r="V1049" i="11"/>
  <c r="AT1049" i="11"/>
  <c r="W1049" i="11"/>
  <c r="AU1049" i="11"/>
  <c r="X1049" i="11"/>
  <c r="AV1049" i="11"/>
  <c r="Y1049" i="11"/>
  <c r="AW1049" i="11"/>
  <c r="Z1049" i="11"/>
  <c r="AC1050" i="11"/>
  <c r="F1050" i="11"/>
  <c r="AD1050" i="11"/>
  <c r="G1050" i="11"/>
  <c r="AE1050" i="11"/>
  <c r="H1050" i="11"/>
  <c r="AF1050" i="11"/>
  <c r="I1050" i="11"/>
  <c r="AG1050" i="11"/>
  <c r="J1050" i="11"/>
  <c r="AH1050" i="11"/>
  <c r="K1050" i="11"/>
  <c r="AI1050" i="11"/>
  <c r="L1050" i="11"/>
  <c r="AJ1050" i="11"/>
  <c r="M1050" i="11"/>
  <c r="AK1050" i="11"/>
  <c r="N1050" i="11"/>
  <c r="AL1050" i="11"/>
  <c r="O1050" i="11"/>
  <c r="AM1050" i="11"/>
  <c r="P1050" i="11"/>
  <c r="AN1050" i="11"/>
  <c r="Q1050" i="11"/>
  <c r="AO1050" i="11"/>
  <c r="R1050" i="11"/>
  <c r="AP1050" i="11"/>
  <c r="S1050" i="11"/>
  <c r="AQ1050" i="11"/>
  <c r="T1050" i="11"/>
  <c r="AR1050" i="11"/>
  <c r="U1050" i="11"/>
  <c r="AS1050" i="11"/>
  <c r="V1050" i="11"/>
  <c r="AT1050" i="11"/>
  <c r="W1050" i="11"/>
  <c r="AU1050" i="11"/>
  <c r="X1050" i="11"/>
  <c r="AV1050" i="11"/>
  <c r="Y1050" i="11"/>
  <c r="AW1050" i="11"/>
  <c r="Z1050" i="11"/>
  <c r="AC1051" i="11"/>
  <c r="F1051" i="11"/>
  <c r="AD1051" i="11"/>
  <c r="G1051" i="11"/>
  <c r="AE1051" i="11"/>
  <c r="H1051" i="11"/>
  <c r="AF1051" i="11"/>
  <c r="I1051" i="11"/>
  <c r="AG1051" i="11"/>
  <c r="J1051" i="11"/>
  <c r="AH1051" i="11"/>
  <c r="K1051" i="11"/>
  <c r="AI1051" i="11"/>
  <c r="L1051" i="11"/>
  <c r="AJ1051" i="11"/>
  <c r="M1051" i="11"/>
  <c r="AK1051" i="11"/>
  <c r="N1051" i="11"/>
  <c r="AL1051" i="11"/>
  <c r="O1051" i="11"/>
  <c r="AM1051" i="11"/>
  <c r="P1051" i="11"/>
  <c r="AN1051" i="11"/>
  <c r="Q1051" i="11"/>
  <c r="AO1051" i="11"/>
  <c r="R1051" i="11"/>
  <c r="AP1051" i="11"/>
  <c r="S1051" i="11"/>
  <c r="AQ1051" i="11"/>
  <c r="T1051" i="11"/>
  <c r="AR1051" i="11"/>
  <c r="U1051" i="11"/>
  <c r="AS1051" i="11"/>
  <c r="V1051" i="11"/>
  <c r="AT1051" i="11"/>
  <c r="W1051" i="11"/>
  <c r="AU1051" i="11"/>
  <c r="X1051" i="11"/>
  <c r="AV1051" i="11"/>
  <c r="Y1051" i="11"/>
  <c r="AW1051" i="11"/>
  <c r="Z1051" i="11"/>
  <c r="AC1052" i="11"/>
  <c r="F1052" i="11"/>
  <c r="AD1052" i="11"/>
  <c r="G1052" i="11"/>
  <c r="AE1052" i="11"/>
  <c r="H1052" i="11"/>
  <c r="AF1052" i="11"/>
  <c r="I1052" i="11"/>
  <c r="AG1052" i="11"/>
  <c r="J1052" i="11"/>
  <c r="AH1052" i="11"/>
  <c r="K1052" i="11"/>
  <c r="AI1052" i="11"/>
  <c r="L1052" i="11"/>
  <c r="AJ1052" i="11"/>
  <c r="M1052" i="11"/>
  <c r="AK1052" i="11"/>
  <c r="N1052" i="11"/>
  <c r="AL1052" i="11"/>
  <c r="O1052" i="11"/>
  <c r="AM1052" i="11"/>
  <c r="P1052" i="11"/>
  <c r="AN1052" i="11"/>
  <c r="Q1052" i="11"/>
  <c r="AO1052" i="11"/>
  <c r="R1052" i="11"/>
  <c r="AP1052" i="11"/>
  <c r="S1052" i="11"/>
  <c r="AQ1052" i="11"/>
  <c r="T1052" i="11"/>
  <c r="AR1052" i="11"/>
  <c r="U1052" i="11"/>
  <c r="AS1052" i="11"/>
  <c r="V1052" i="11"/>
  <c r="AT1052" i="11"/>
  <c r="W1052" i="11"/>
  <c r="AU1052" i="11"/>
  <c r="X1052" i="11"/>
  <c r="AV1052" i="11"/>
  <c r="Y1052" i="11"/>
  <c r="AW1052" i="11"/>
  <c r="Z1052" i="11"/>
  <c r="AC1053" i="11"/>
  <c r="F1053" i="11"/>
  <c r="AD1053" i="11"/>
  <c r="G1053" i="11"/>
  <c r="AE1053" i="11"/>
  <c r="H1053" i="11"/>
  <c r="AF1053" i="11"/>
  <c r="I1053" i="11"/>
  <c r="AG1053" i="11"/>
  <c r="J1053" i="11"/>
  <c r="AH1053" i="11"/>
  <c r="K1053" i="11"/>
  <c r="AI1053" i="11"/>
  <c r="L1053" i="11"/>
  <c r="AJ1053" i="11"/>
  <c r="M1053" i="11"/>
  <c r="AK1053" i="11"/>
  <c r="N1053" i="11"/>
  <c r="AL1053" i="11"/>
  <c r="O1053" i="11"/>
  <c r="AM1053" i="11"/>
  <c r="P1053" i="11"/>
  <c r="AN1053" i="11"/>
  <c r="Q1053" i="11"/>
  <c r="AO1053" i="11"/>
  <c r="R1053" i="11"/>
  <c r="AP1053" i="11"/>
  <c r="S1053" i="11"/>
  <c r="AQ1053" i="11"/>
  <c r="T1053" i="11"/>
  <c r="AR1053" i="11"/>
  <c r="U1053" i="11"/>
  <c r="AS1053" i="11"/>
  <c r="V1053" i="11"/>
  <c r="AT1053" i="11"/>
  <c r="W1053" i="11"/>
  <c r="AU1053" i="11"/>
  <c r="X1053" i="11"/>
  <c r="AV1053" i="11"/>
  <c r="Y1053" i="11"/>
  <c r="AW1053" i="11"/>
  <c r="Z1053" i="11"/>
  <c r="AC1054" i="11"/>
  <c r="F1054" i="11"/>
  <c r="AD1054" i="11"/>
  <c r="G1054" i="11"/>
  <c r="AE1054" i="11"/>
  <c r="H1054" i="11"/>
  <c r="AF1054" i="11"/>
  <c r="I1054" i="11"/>
  <c r="AG1054" i="11"/>
  <c r="J1054" i="11"/>
  <c r="AH1054" i="11"/>
  <c r="K1054" i="11"/>
  <c r="AI1054" i="11"/>
  <c r="L1054" i="11"/>
  <c r="AJ1054" i="11"/>
  <c r="M1054" i="11"/>
  <c r="AK1054" i="11"/>
  <c r="N1054" i="11"/>
  <c r="AL1054" i="11"/>
  <c r="O1054" i="11"/>
  <c r="AM1054" i="11"/>
  <c r="P1054" i="11"/>
  <c r="AN1054" i="11"/>
  <c r="Q1054" i="11"/>
  <c r="AO1054" i="11"/>
  <c r="R1054" i="11"/>
  <c r="AP1054" i="11"/>
  <c r="S1054" i="11"/>
  <c r="AQ1054" i="11"/>
  <c r="T1054" i="11"/>
  <c r="AR1054" i="11"/>
  <c r="U1054" i="11"/>
  <c r="AS1054" i="11"/>
  <c r="V1054" i="11"/>
  <c r="AT1054" i="11"/>
  <c r="W1054" i="11"/>
  <c r="AU1054" i="11"/>
  <c r="X1054" i="11"/>
  <c r="AV1054" i="11"/>
  <c r="Y1054" i="11"/>
  <c r="AW1054" i="11"/>
  <c r="Z1054" i="11"/>
  <c r="AC1055" i="11"/>
  <c r="F1055" i="11"/>
  <c r="AD1055" i="11"/>
  <c r="G1055" i="11"/>
  <c r="AE1055" i="11"/>
  <c r="H1055" i="11"/>
  <c r="AF1055" i="11"/>
  <c r="I1055" i="11"/>
  <c r="AG1055" i="11"/>
  <c r="J1055" i="11"/>
  <c r="AH1055" i="11"/>
  <c r="K1055" i="11"/>
  <c r="AI1055" i="11"/>
  <c r="L1055" i="11"/>
  <c r="AJ1055" i="11"/>
  <c r="M1055" i="11"/>
  <c r="AK1055" i="11"/>
  <c r="N1055" i="11"/>
  <c r="AL1055" i="11"/>
  <c r="O1055" i="11"/>
  <c r="AM1055" i="11"/>
  <c r="P1055" i="11"/>
  <c r="AN1055" i="11"/>
  <c r="Q1055" i="11"/>
  <c r="AO1055" i="11"/>
  <c r="R1055" i="11"/>
  <c r="AP1055" i="11"/>
  <c r="S1055" i="11"/>
  <c r="AQ1055" i="11"/>
  <c r="T1055" i="11"/>
  <c r="AR1055" i="11"/>
  <c r="U1055" i="11"/>
  <c r="AS1055" i="11"/>
  <c r="V1055" i="11"/>
  <c r="AT1055" i="11"/>
  <c r="W1055" i="11"/>
  <c r="AU1055" i="11"/>
  <c r="X1055" i="11"/>
  <c r="AV1055" i="11"/>
  <c r="Y1055" i="11"/>
  <c r="AW1055" i="11"/>
  <c r="Z1055" i="11"/>
  <c r="AC1056" i="11"/>
  <c r="F1056" i="11"/>
  <c r="AD1056" i="11"/>
  <c r="G1056" i="11"/>
  <c r="AE1056" i="11"/>
  <c r="H1056" i="11"/>
  <c r="AF1056" i="11"/>
  <c r="I1056" i="11"/>
  <c r="AG1056" i="11"/>
  <c r="J1056" i="11"/>
  <c r="AH1056" i="11"/>
  <c r="K1056" i="11"/>
  <c r="AI1056" i="11"/>
  <c r="L1056" i="11"/>
  <c r="AJ1056" i="11"/>
  <c r="M1056" i="11"/>
  <c r="AK1056" i="11"/>
  <c r="N1056" i="11"/>
  <c r="AL1056" i="11"/>
  <c r="O1056" i="11"/>
  <c r="AM1056" i="11"/>
  <c r="P1056" i="11"/>
  <c r="AN1056" i="11"/>
  <c r="Q1056" i="11"/>
  <c r="AO1056" i="11"/>
  <c r="R1056" i="11"/>
  <c r="AP1056" i="11"/>
  <c r="S1056" i="11"/>
  <c r="AQ1056" i="11"/>
  <c r="T1056" i="11"/>
  <c r="AR1056" i="11"/>
  <c r="U1056" i="11"/>
  <c r="AS1056" i="11"/>
  <c r="V1056" i="11"/>
  <c r="AT1056" i="11"/>
  <c r="W1056" i="11"/>
  <c r="AU1056" i="11"/>
  <c r="X1056" i="11"/>
  <c r="AV1056" i="11"/>
  <c r="Y1056" i="11"/>
  <c r="AW1056" i="11"/>
  <c r="Z1056" i="11"/>
  <c r="AC1057" i="11"/>
  <c r="F1057" i="11"/>
  <c r="AD1057" i="11"/>
  <c r="G1057" i="11"/>
  <c r="AE1057" i="11"/>
  <c r="H1057" i="11"/>
  <c r="AF1057" i="11"/>
  <c r="I1057" i="11"/>
  <c r="AG1057" i="11"/>
  <c r="J1057" i="11"/>
  <c r="AH1057" i="11"/>
  <c r="K1057" i="11"/>
  <c r="AI1057" i="11"/>
  <c r="L1057" i="11"/>
  <c r="AJ1057" i="11"/>
  <c r="M1057" i="11"/>
  <c r="AK1057" i="11"/>
  <c r="N1057" i="11"/>
  <c r="AL1057" i="11"/>
  <c r="O1057" i="11"/>
  <c r="AM1057" i="11"/>
  <c r="P1057" i="11"/>
  <c r="AN1057" i="11"/>
  <c r="Q1057" i="11"/>
  <c r="AO1057" i="11"/>
  <c r="R1057" i="11"/>
  <c r="AP1057" i="11"/>
  <c r="S1057" i="11"/>
  <c r="AQ1057" i="11"/>
  <c r="T1057" i="11"/>
  <c r="AR1057" i="11"/>
  <c r="U1057" i="11"/>
  <c r="AS1057" i="11"/>
  <c r="V1057" i="11"/>
  <c r="AT1057" i="11"/>
  <c r="W1057" i="11"/>
  <c r="AU1057" i="11"/>
  <c r="X1057" i="11"/>
  <c r="AV1057" i="11"/>
  <c r="Y1057" i="11"/>
  <c r="AW1057" i="11"/>
  <c r="Z1057" i="11"/>
  <c r="AC1058" i="11"/>
  <c r="F1058" i="11"/>
  <c r="AD1058" i="11"/>
  <c r="G1058" i="11"/>
  <c r="AE1058" i="11"/>
  <c r="H1058" i="11"/>
  <c r="AF1058" i="11"/>
  <c r="I1058" i="11"/>
  <c r="AG1058" i="11"/>
  <c r="J1058" i="11"/>
  <c r="AH1058" i="11"/>
  <c r="K1058" i="11"/>
  <c r="AI1058" i="11"/>
  <c r="L1058" i="11"/>
  <c r="AJ1058" i="11"/>
  <c r="M1058" i="11"/>
  <c r="AK1058" i="11"/>
  <c r="N1058" i="11"/>
  <c r="AL1058" i="11"/>
  <c r="O1058" i="11"/>
  <c r="AM1058" i="11"/>
  <c r="P1058" i="11"/>
  <c r="AN1058" i="11"/>
  <c r="Q1058" i="11"/>
  <c r="AO1058" i="11"/>
  <c r="R1058" i="11"/>
  <c r="AP1058" i="11"/>
  <c r="S1058" i="11"/>
  <c r="AQ1058" i="11"/>
  <c r="T1058" i="11"/>
  <c r="AR1058" i="11"/>
  <c r="U1058" i="11"/>
  <c r="AS1058" i="11"/>
  <c r="V1058" i="11"/>
  <c r="AT1058" i="11"/>
  <c r="W1058" i="11"/>
  <c r="AU1058" i="11"/>
  <c r="X1058" i="11"/>
  <c r="AV1058" i="11"/>
  <c r="Y1058" i="11"/>
  <c r="AW1058" i="11"/>
  <c r="Z1058" i="11"/>
  <c r="AC1059" i="11"/>
  <c r="F1059" i="11"/>
  <c r="AD1059" i="11"/>
  <c r="G1059" i="11"/>
  <c r="AE1059" i="11"/>
  <c r="H1059" i="11"/>
  <c r="AF1059" i="11"/>
  <c r="I1059" i="11"/>
  <c r="AG1059" i="11"/>
  <c r="J1059" i="11"/>
  <c r="AH1059" i="11"/>
  <c r="K1059" i="11"/>
  <c r="AI1059" i="11"/>
  <c r="L1059" i="11"/>
  <c r="AJ1059" i="11"/>
  <c r="M1059" i="11"/>
  <c r="AK1059" i="11"/>
  <c r="N1059" i="11"/>
  <c r="AL1059" i="11"/>
  <c r="O1059" i="11"/>
  <c r="AM1059" i="11"/>
  <c r="P1059" i="11"/>
  <c r="AN1059" i="11"/>
  <c r="Q1059" i="11"/>
  <c r="AO1059" i="11"/>
  <c r="R1059" i="11"/>
  <c r="AP1059" i="11"/>
  <c r="S1059" i="11"/>
  <c r="AQ1059" i="11"/>
  <c r="T1059" i="11"/>
  <c r="AR1059" i="11"/>
  <c r="U1059" i="11"/>
  <c r="AS1059" i="11"/>
  <c r="V1059" i="11"/>
  <c r="AT1059" i="11"/>
  <c r="W1059" i="11"/>
  <c r="AU1059" i="11"/>
  <c r="X1059" i="11"/>
  <c r="AV1059" i="11"/>
  <c r="Y1059" i="11"/>
  <c r="AW1059" i="11"/>
  <c r="Z1059" i="11"/>
  <c r="AC1060" i="11"/>
  <c r="F1060" i="11"/>
  <c r="AD1060" i="11"/>
  <c r="G1060" i="11"/>
  <c r="AE1060" i="11"/>
  <c r="H1060" i="11"/>
  <c r="AF1060" i="11"/>
  <c r="I1060" i="11"/>
  <c r="AG1060" i="11"/>
  <c r="J1060" i="11"/>
  <c r="AH1060" i="11"/>
  <c r="K1060" i="11"/>
  <c r="AI1060" i="11"/>
  <c r="L1060" i="11"/>
  <c r="AJ1060" i="11"/>
  <c r="M1060" i="11"/>
  <c r="AK1060" i="11"/>
  <c r="N1060" i="11"/>
  <c r="AL1060" i="11"/>
  <c r="O1060" i="11"/>
  <c r="AM1060" i="11"/>
  <c r="P1060" i="11"/>
  <c r="AN1060" i="11"/>
  <c r="Q1060" i="11"/>
  <c r="AO1060" i="11"/>
  <c r="R1060" i="11"/>
  <c r="AP1060" i="11"/>
  <c r="S1060" i="11"/>
  <c r="AQ1060" i="11"/>
  <c r="T1060" i="11"/>
  <c r="AR1060" i="11"/>
  <c r="U1060" i="11"/>
  <c r="AS1060" i="11"/>
  <c r="V1060" i="11"/>
  <c r="AT1060" i="11"/>
  <c r="W1060" i="11"/>
  <c r="AU1060" i="11"/>
  <c r="X1060" i="11"/>
  <c r="AV1060" i="11"/>
  <c r="Y1060" i="11"/>
  <c r="AW1060" i="11"/>
  <c r="Z1060" i="11"/>
  <c r="AC1061" i="11"/>
  <c r="F1061" i="11"/>
  <c r="AD1061" i="11"/>
  <c r="G1061" i="11"/>
  <c r="AE1061" i="11"/>
  <c r="H1061" i="11"/>
  <c r="AF1061" i="11"/>
  <c r="I1061" i="11"/>
  <c r="AG1061" i="11"/>
  <c r="J1061" i="11"/>
  <c r="AH1061" i="11"/>
  <c r="K1061" i="11"/>
  <c r="AI1061" i="11"/>
  <c r="L1061" i="11"/>
  <c r="AJ1061" i="11"/>
  <c r="M1061" i="11"/>
  <c r="AK1061" i="11"/>
  <c r="N1061" i="11"/>
  <c r="AL1061" i="11"/>
  <c r="O1061" i="11"/>
  <c r="AM1061" i="11"/>
  <c r="P1061" i="11"/>
  <c r="AN1061" i="11"/>
  <c r="Q1061" i="11"/>
  <c r="AO1061" i="11"/>
  <c r="R1061" i="11"/>
  <c r="AP1061" i="11"/>
  <c r="S1061" i="11"/>
  <c r="AQ1061" i="11"/>
  <c r="T1061" i="11"/>
  <c r="AR1061" i="11"/>
  <c r="U1061" i="11"/>
  <c r="AS1061" i="11"/>
  <c r="V1061" i="11"/>
  <c r="AT1061" i="11"/>
  <c r="W1061" i="11"/>
  <c r="AU1061" i="11"/>
  <c r="X1061" i="11"/>
  <c r="AV1061" i="11"/>
  <c r="Y1061" i="11"/>
  <c r="AW1061" i="11"/>
  <c r="Z1061" i="11"/>
  <c r="AC1062" i="11"/>
  <c r="F1062" i="11"/>
  <c r="AD1062" i="11"/>
  <c r="G1062" i="11"/>
  <c r="AE1062" i="11"/>
  <c r="H1062" i="11"/>
  <c r="AF1062" i="11"/>
  <c r="I1062" i="11"/>
  <c r="AG1062" i="11"/>
  <c r="J1062" i="11"/>
  <c r="AH1062" i="11"/>
  <c r="K1062" i="11"/>
  <c r="AI1062" i="11"/>
  <c r="L1062" i="11"/>
  <c r="AJ1062" i="11"/>
  <c r="M1062" i="11"/>
  <c r="AK1062" i="11"/>
  <c r="N1062" i="11"/>
  <c r="AL1062" i="11"/>
  <c r="O1062" i="11"/>
  <c r="AM1062" i="11"/>
  <c r="P1062" i="11"/>
  <c r="AN1062" i="11"/>
  <c r="Q1062" i="11"/>
  <c r="AO1062" i="11"/>
  <c r="R1062" i="11"/>
  <c r="AP1062" i="11"/>
  <c r="S1062" i="11"/>
  <c r="AQ1062" i="11"/>
  <c r="T1062" i="11"/>
  <c r="AR1062" i="11"/>
  <c r="U1062" i="11"/>
  <c r="AS1062" i="11"/>
  <c r="V1062" i="11"/>
  <c r="AT1062" i="11"/>
  <c r="W1062" i="11"/>
  <c r="AU1062" i="11"/>
  <c r="X1062" i="11"/>
  <c r="AV1062" i="11"/>
  <c r="Y1062" i="11"/>
  <c r="AW1062" i="11"/>
  <c r="Z1062" i="11"/>
  <c r="AC1063" i="11"/>
  <c r="F1063" i="11"/>
  <c r="AD1063" i="11"/>
  <c r="G1063" i="11"/>
  <c r="AE1063" i="11"/>
  <c r="H1063" i="11"/>
  <c r="AF1063" i="11"/>
  <c r="I1063" i="11"/>
  <c r="AG1063" i="11"/>
  <c r="J1063" i="11"/>
  <c r="AH1063" i="11"/>
  <c r="K1063" i="11"/>
  <c r="AI1063" i="11"/>
  <c r="L1063" i="11"/>
  <c r="AJ1063" i="11"/>
  <c r="M1063" i="11"/>
  <c r="AK1063" i="11"/>
  <c r="N1063" i="11"/>
  <c r="AL1063" i="11"/>
  <c r="O1063" i="11"/>
  <c r="AM1063" i="11"/>
  <c r="P1063" i="11"/>
  <c r="AN1063" i="11"/>
  <c r="Q1063" i="11"/>
  <c r="AO1063" i="11"/>
  <c r="R1063" i="11"/>
  <c r="AP1063" i="11"/>
  <c r="S1063" i="11"/>
  <c r="AQ1063" i="11"/>
  <c r="T1063" i="11"/>
  <c r="AR1063" i="11"/>
  <c r="U1063" i="11"/>
  <c r="AS1063" i="11"/>
  <c r="V1063" i="11"/>
  <c r="AT1063" i="11"/>
  <c r="W1063" i="11"/>
  <c r="AU1063" i="11"/>
  <c r="X1063" i="11"/>
  <c r="AV1063" i="11"/>
  <c r="Y1063" i="11"/>
  <c r="AW1063" i="11"/>
  <c r="Z1063" i="11"/>
  <c r="AC1064" i="11"/>
  <c r="F1064" i="11"/>
  <c r="AD1064" i="11"/>
  <c r="G1064" i="11"/>
  <c r="AE1064" i="11"/>
  <c r="H1064" i="11"/>
  <c r="AF1064" i="11"/>
  <c r="I1064" i="11"/>
  <c r="AG1064" i="11"/>
  <c r="J1064" i="11"/>
  <c r="AH1064" i="11"/>
  <c r="K1064" i="11"/>
  <c r="AI1064" i="11"/>
  <c r="L1064" i="11"/>
  <c r="AJ1064" i="11"/>
  <c r="M1064" i="11"/>
  <c r="AK1064" i="11"/>
  <c r="N1064" i="11"/>
  <c r="AL1064" i="11"/>
  <c r="O1064" i="11"/>
  <c r="AM1064" i="11"/>
  <c r="P1064" i="11"/>
  <c r="AN1064" i="11"/>
  <c r="Q1064" i="11"/>
  <c r="AO1064" i="11"/>
  <c r="R1064" i="11"/>
  <c r="AP1064" i="11"/>
  <c r="S1064" i="11"/>
  <c r="AQ1064" i="11"/>
  <c r="T1064" i="11"/>
  <c r="AR1064" i="11"/>
  <c r="U1064" i="11"/>
  <c r="AS1064" i="11"/>
  <c r="V1064" i="11"/>
  <c r="AT1064" i="11"/>
  <c r="W1064" i="11"/>
  <c r="AU1064" i="11"/>
  <c r="X1064" i="11"/>
  <c r="AV1064" i="11"/>
  <c r="Y1064" i="11"/>
  <c r="AW1064" i="11"/>
  <c r="Z1064" i="11"/>
  <c r="AC1065" i="11"/>
  <c r="F1065" i="11"/>
  <c r="AD1065" i="11"/>
  <c r="G1065" i="11"/>
  <c r="AE1065" i="11"/>
  <c r="H1065" i="11"/>
  <c r="AF1065" i="11"/>
  <c r="I1065" i="11"/>
  <c r="AG1065" i="11"/>
  <c r="J1065" i="11"/>
  <c r="AH1065" i="11"/>
  <c r="K1065" i="11"/>
  <c r="AI1065" i="11"/>
  <c r="L1065" i="11"/>
  <c r="AJ1065" i="11"/>
  <c r="M1065" i="11"/>
  <c r="AK1065" i="11"/>
  <c r="N1065" i="11"/>
  <c r="AL1065" i="11"/>
  <c r="O1065" i="11"/>
  <c r="AM1065" i="11"/>
  <c r="P1065" i="11"/>
  <c r="AN1065" i="11"/>
  <c r="Q1065" i="11"/>
  <c r="AO1065" i="11"/>
  <c r="R1065" i="11"/>
  <c r="AP1065" i="11"/>
  <c r="S1065" i="11"/>
  <c r="AQ1065" i="11"/>
  <c r="T1065" i="11"/>
  <c r="AR1065" i="11"/>
  <c r="U1065" i="11"/>
  <c r="AS1065" i="11"/>
  <c r="V1065" i="11"/>
  <c r="AT1065" i="11"/>
  <c r="W1065" i="11"/>
  <c r="AU1065" i="11"/>
  <c r="X1065" i="11"/>
  <c r="AV1065" i="11"/>
  <c r="Y1065" i="11"/>
  <c r="AW1065" i="11"/>
  <c r="Z1065" i="11"/>
  <c r="AC1066" i="11"/>
  <c r="F1066" i="11"/>
  <c r="AD1066" i="11"/>
  <c r="G1066" i="11"/>
  <c r="AE1066" i="11"/>
  <c r="H1066" i="11"/>
  <c r="AF1066" i="11"/>
  <c r="I1066" i="11"/>
  <c r="AG1066" i="11"/>
  <c r="J1066" i="11"/>
  <c r="AH1066" i="11"/>
  <c r="K1066" i="11"/>
  <c r="AI1066" i="11"/>
  <c r="L1066" i="11"/>
  <c r="AJ1066" i="11"/>
  <c r="M1066" i="11"/>
  <c r="AK1066" i="11"/>
  <c r="N1066" i="11"/>
  <c r="AL1066" i="11"/>
  <c r="O1066" i="11"/>
  <c r="AM1066" i="11"/>
  <c r="P1066" i="11"/>
  <c r="AN1066" i="11"/>
  <c r="Q1066" i="11"/>
  <c r="AO1066" i="11"/>
  <c r="R1066" i="11"/>
  <c r="AP1066" i="11"/>
  <c r="S1066" i="11"/>
  <c r="AQ1066" i="11"/>
  <c r="T1066" i="11"/>
  <c r="AR1066" i="11"/>
  <c r="U1066" i="11"/>
  <c r="AS1066" i="11"/>
  <c r="V1066" i="11"/>
  <c r="AT1066" i="11"/>
  <c r="W1066" i="11"/>
  <c r="AU1066" i="11"/>
  <c r="X1066" i="11"/>
  <c r="AV1066" i="11"/>
  <c r="Y1066" i="11"/>
  <c r="AW1066" i="11"/>
  <c r="Z1066" i="11"/>
  <c r="AC1067" i="11"/>
  <c r="F1067" i="11"/>
  <c r="AD1067" i="11"/>
  <c r="G1067" i="11"/>
  <c r="AE1067" i="11"/>
  <c r="H1067" i="11"/>
  <c r="AF1067" i="11"/>
  <c r="I1067" i="11"/>
  <c r="AG1067" i="11"/>
  <c r="J1067" i="11"/>
  <c r="AH1067" i="11"/>
  <c r="K1067" i="11"/>
  <c r="AI1067" i="11"/>
  <c r="L1067" i="11"/>
  <c r="AJ1067" i="11"/>
  <c r="M1067" i="11"/>
  <c r="AK1067" i="11"/>
  <c r="N1067" i="11"/>
  <c r="AL1067" i="11"/>
  <c r="O1067" i="11"/>
  <c r="AM1067" i="11"/>
  <c r="P1067" i="11"/>
  <c r="AN1067" i="11"/>
  <c r="Q1067" i="11"/>
  <c r="AO1067" i="11"/>
  <c r="R1067" i="11"/>
  <c r="AP1067" i="11"/>
  <c r="S1067" i="11"/>
  <c r="AQ1067" i="11"/>
  <c r="T1067" i="11"/>
  <c r="AR1067" i="11"/>
  <c r="U1067" i="11"/>
  <c r="AS1067" i="11"/>
  <c r="V1067" i="11"/>
  <c r="AT1067" i="11"/>
  <c r="W1067" i="11"/>
  <c r="AU1067" i="11"/>
  <c r="X1067" i="11"/>
  <c r="AV1067" i="11"/>
  <c r="Y1067" i="11"/>
  <c r="AW1067" i="11"/>
  <c r="Z1067" i="11"/>
  <c r="AC1068" i="11"/>
  <c r="F1068" i="11"/>
  <c r="AD1068" i="11"/>
  <c r="G1068" i="11"/>
  <c r="AE1068" i="11"/>
  <c r="H1068" i="11"/>
  <c r="AF1068" i="11"/>
  <c r="I1068" i="11"/>
  <c r="AG1068" i="11"/>
  <c r="J1068" i="11"/>
  <c r="AH1068" i="11"/>
  <c r="K1068" i="11"/>
  <c r="AI1068" i="11"/>
  <c r="L1068" i="11"/>
  <c r="AJ1068" i="11"/>
  <c r="M1068" i="11"/>
  <c r="AK1068" i="11"/>
  <c r="N1068" i="11"/>
  <c r="AL1068" i="11"/>
  <c r="O1068" i="11"/>
  <c r="AM1068" i="11"/>
  <c r="P1068" i="11"/>
  <c r="AN1068" i="11"/>
  <c r="Q1068" i="11"/>
  <c r="AO1068" i="11"/>
  <c r="R1068" i="11"/>
  <c r="AP1068" i="11"/>
  <c r="S1068" i="11"/>
  <c r="AQ1068" i="11"/>
  <c r="T1068" i="11"/>
  <c r="AR1068" i="11"/>
  <c r="U1068" i="11"/>
  <c r="AS1068" i="11"/>
  <c r="V1068" i="11"/>
  <c r="AT1068" i="11"/>
  <c r="W1068" i="11"/>
  <c r="AU1068" i="11"/>
  <c r="X1068" i="11"/>
  <c r="AV1068" i="11"/>
  <c r="Y1068" i="11"/>
  <c r="AW1068" i="11"/>
  <c r="Z1068" i="11"/>
  <c r="AC1069" i="11"/>
  <c r="F1069" i="11"/>
  <c r="AD1069" i="11"/>
  <c r="G1069" i="11"/>
  <c r="AE1069" i="11"/>
  <c r="H1069" i="11"/>
  <c r="AF1069" i="11"/>
  <c r="I1069" i="11"/>
  <c r="AG1069" i="11"/>
  <c r="J1069" i="11"/>
  <c r="AH1069" i="11"/>
  <c r="K1069" i="11"/>
  <c r="AI1069" i="11"/>
  <c r="L1069" i="11"/>
  <c r="AJ1069" i="11"/>
  <c r="M1069" i="11"/>
  <c r="AK1069" i="11"/>
  <c r="N1069" i="11"/>
  <c r="AL1069" i="11"/>
  <c r="O1069" i="11"/>
  <c r="AM1069" i="11"/>
  <c r="P1069" i="11"/>
  <c r="AN1069" i="11"/>
  <c r="Q1069" i="11"/>
  <c r="AO1069" i="11"/>
  <c r="R1069" i="11"/>
  <c r="AP1069" i="11"/>
  <c r="S1069" i="11"/>
  <c r="AQ1069" i="11"/>
  <c r="T1069" i="11"/>
  <c r="AR1069" i="11"/>
  <c r="U1069" i="11"/>
  <c r="AS1069" i="11"/>
  <c r="V1069" i="11"/>
  <c r="AT1069" i="11"/>
  <c r="W1069" i="11"/>
  <c r="AU1069" i="11"/>
  <c r="X1069" i="11"/>
  <c r="AV1069" i="11"/>
  <c r="Y1069" i="11"/>
  <c r="AW1069" i="11"/>
  <c r="Z1069" i="11"/>
  <c r="AC1070" i="11"/>
  <c r="F1070" i="11"/>
  <c r="AD1070" i="11"/>
  <c r="G1070" i="11"/>
  <c r="AE1070" i="11"/>
  <c r="H1070" i="11"/>
  <c r="AF1070" i="11"/>
  <c r="I1070" i="11"/>
  <c r="AG1070" i="11"/>
  <c r="J1070" i="11"/>
  <c r="AH1070" i="11"/>
  <c r="K1070" i="11"/>
  <c r="AI1070" i="11"/>
  <c r="L1070" i="11"/>
  <c r="AJ1070" i="11"/>
  <c r="M1070" i="11"/>
  <c r="AK1070" i="11"/>
  <c r="N1070" i="11"/>
  <c r="AL1070" i="11"/>
  <c r="O1070" i="11"/>
  <c r="AM1070" i="11"/>
  <c r="P1070" i="11"/>
  <c r="AN1070" i="11"/>
  <c r="Q1070" i="11"/>
  <c r="AO1070" i="11"/>
  <c r="R1070" i="11"/>
  <c r="AP1070" i="11"/>
  <c r="S1070" i="11"/>
  <c r="AQ1070" i="11"/>
  <c r="T1070" i="11"/>
  <c r="AR1070" i="11"/>
  <c r="U1070" i="11"/>
  <c r="AS1070" i="11"/>
  <c r="V1070" i="11"/>
  <c r="AT1070" i="11"/>
  <c r="W1070" i="11"/>
  <c r="AU1070" i="11"/>
  <c r="X1070" i="11"/>
  <c r="AV1070" i="11"/>
  <c r="Y1070" i="11"/>
  <c r="AW1070" i="11"/>
  <c r="Z1070" i="11"/>
  <c r="AC1071" i="11"/>
  <c r="F1071" i="11"/>
  <c r="AD1071" i="11"/>
  <c r="G1071" i="11"/>
  <c r="AE1071" i="11"/>
  <c r="H1071" i="11"/>
  <c r="AF1071" i="11"/>
  <c r="I1071" i="11"/>
  <c r="AG1071" i="11"/>
  <c r="J1071" i="11"/>
  <c r="AH1071" i="11"/>
  <c r="K1071" i="11"/>
  <c r="AI1071" i="11"/>
  <c r="L1071" i="11"/>
  <c r="AJ1071" i="11"/>
  <c r="M1071" i="11"/>
  <c r="AK1071" i="11"/>
  <c r="N1071" i="11"/>
  <c r="AL1071" i="11"/>
  <c r="O1071" i="11"/>
  <c r="AM1071" i="11"/>
  <c r="P1071" i="11"/>
  <c r="AN1071" i="11"/>
  <c r="Q1071" i="11"/>
  <c r="AO1071" i="11"/>
  <c r="R1071" i="11"/>
  <c r="AP1071" i="11"/>
  <c r="S1071" i="11"/>
  <c r="AQ1071" i="11"/>
  <c r="T1071" i="11"/>
  <c r="AR1071" i="11"/>
  <c r="U1071" i="11"/>
  <c r="AS1071" i="11"/>
  <c r="V1071" i="11"/>
  <c r="AT1071" i="11"/>
  <c r="W1071" i="11"/>
  <c r="AU1071" i="11"/>
  <c r="X1071" i="11"/>
  <c r="AV1071" i="11"/>
  <c r="Y1071" i="11"/>
  <c r="AW1071" i="11"/>
  <c r="Z1071" i="11"/>
  <c r="AC1072" i="11"/>
  <c r="F1072" i="11"/>
  <c r="AD1072" i="11"/>
  <c r="G1072" i="11"/>
  <c r="AE1072" i="11"/>
  <c r="H1072" i="11"/>
  <c r="AF1072" i="11"/>
  <c r="I1072" i="11"/>
  <c r="AG1072" i="11"/>
  <c r="J1072" i="11"/>
  <c r="AH1072" i="11"/>
  <c r="K1072" i="11"/>
  <c r="AI1072" i="11"/>
  <c r="L1072" i="11"/>
  <c r="AJ1072" i="11"/>
  <c r="M1072" i="11"/>
  <c r="AK1072" i="11"/>
  <c r="N1072" i="11"/>
  <c r="AL1072" i="11"/>
  <c r="O1072" i="11"/>
  <c r="AM1072" i="11"/>
  <c r="P1072" i="11"/>
  <c r="AN1072" i="11"/>
  <c r="Q1072" i="11"/>
  <c r="AO1072" i="11"/>
  <c r="R1072" i="11"/>
  <c r="AP1072" i="11"/>
  <c r="S1072" i="11"/>
  <c r="AQ1072" i="11"/>
  <c r="T1072" i="11"/>
  <c r="AR1072" i="11"/>
  <c r="U1072" i="11"/>
  <c r="AS1072" i="11"/>
  <c r="V1072" i="11"/>
  <c r="AT1072" i="11"/>
  <c r="W1072" i="11"/>
  <c r="AU1072" i="11"/>
  <c r="X1072" i="11"/>
  <c r="AV1072" i="11"/>
  <c r="Y1072" i="11"/>
  <c r="AW1072" i="11"/>
  <c r="Z1072" i="11"/>
  <c r="AC1073" i="11"/>
  <c r="F1073" i="11"/>
  <c r="AD1073" i="11"/>
  <c r="G1073" i="11"/>
  <c r="AE1073" i="11"/>
  <c r="H1073" i="11"/>
  <c r="AF1073" i="11"/>
  <c r="I1073" i="11"/>
  <c r="AG1073" i="11"/>
  <c r="J1073" i="11"/>
  <c r="AH1073" i="11"/>
  <c r="K1073" i="11"/>
  <c r="AI1073" i="11"/>
  <c r="L1073" i="11"/>
  <c r="AJ1073" i="11"/>
  <c r="M1073" i="11"/>
  <c r="AK1073" i="11"/>
  <c r="N1073" i="11"/>
  <c r="AL1073" i="11"/>
  <c r="O1073" i="11"/>
  <c r="AM1073" i="11"/>
  <c r="P1073" i="11"/>
  <c r="AN1073" i="11"/>
  <c r="Q1073" i="11"/>
  <c r="AO1073" i="11"/>
  <c r="R1073" i="11"/>
  <c r="AP1073" i="11"/>
  <c r="S1073" i="11"/>
  <c r="AQ1073" i="11"/>
  <c r="T1073" i="11"/>
  <c r="AR1073" i="11"/>
  <c r="U1073" i="11"/>
  <c r="AS1073" i="11"/>
  <c r="V1073" i="11"/>
  <c r="AT1073" i="11"/>
  <c r="W1073" i="11"/>
  <c r="AU1073" i="11"/>
  <c r="X1073" i="11"/>
  <c r="AV1073" i="11"/>
  <c r="Y1073" i="11"/>
  <c r="AW1073" i="11"/>
  <c r="Z1073" i="11"/>
  <c r="AC1074" i="11"/>
  <c r="F1074" i="11"/>
  <c r="AD1074" i="11"/>
  <c r="G1074" i="11"/>
  <c r="AE1074" i="11"/>
  <c r="H1074" i="11"/>
  <c r="AF1074" i="11"/>
  <c r="I1074" i="11"/>
  <c r="AG1074" i="11"/>
  <c r="J1074" i="11"/>
  <c r="AH1074" i="11"/>
  <c r="K1074" i="11"/>
  <c r="AI1074" i="11"/>
  <c r="L1074" i="11"/>
  <c r="AJ1074" i="11"/>
  <c r="M1074" i="11"/>
  <c r="AK1074" i="11"/>
  <c r="N1074" i="11"/>
  <c r="AL1074" i="11"/>
  <c r="O1074" i="11"/>
  <c r="AM1074" i="11"/>
  <c r="P1074" i="11"/>
  <c r="AN1074" i="11"/>
  <c r="Q1074" i="11"/>
  <c r="AO1074" i="11"/>
  <c r="R1074" i="11"/>
  <c r="AP1074" i="11"/>
  <c r="S1074" i="11"/>
  <c r="AQ1074" i="11"/>
  <c r="T1074" i="11"/>
  <c r="AR1074" i="11"/>
  <c r="U1074" i="11"/>
  <c r="AS1074" i="11"/>
  <c r="V1074" i="11"/>
  <c r="AT1074" i="11"/>
  <c r="W1074" i="11"/>
  <c r="AU1074" i="11"/>
  <c r="X1074" i="11"/>
  <c r="AV1074" i="11"/>
  <c r="Y1074" i="11"/>
  <c r="AW1074" i="11"/>
  <c r="Z1074" i="11"/>
  <c r="AC1075" i="11"/>
  <c r="F1075" i="11"/>
  <c r="AD1075" i="11"/>
  <c r="G1075" i="11"/>
  <c r="AE1075" i="11"/>
  <c r="H1075" i="11"/>
  <c r="AF1075" i="11"/>
  <c r="I1075" i="11"/>
  <c r="AG1075" i="11"/>
  <c r="J1075" i="11"/>
  <c r="AH1075" i="11"/>
  <c r="K1075" i="11"/>
  <c r="AI1075" i="11"/>
  <c r="L1075" i="11"/>
  <c r="AJ1075" i="11"/>
  <c r="M1075" i="11"/>
  <c r="AK1075" i="11"/>
  <c r="N1075" i="11"/>
  <c r="AL1075" i="11"/>
  <c r="O1075" i="11"/>
  <c r="AM1075" i="11"/>
  <c r="P1075" i="11"/>
  <c r="AN1075" i="11"/>
  <c r="Q1075" i="11"/>
  <c r="AO1075" i="11"/>
  <c r="R1075" i="11"/>
  <c r="AP1075" i="11"/>
  <c r="S1075" i="11"/>
  <c r="AQ1075" i="11"/>
  <c r="T1075" i="11"/>
  <c r="AR1075" i="11"/>
  <c r="U1075" i="11"/>
  <c r="AS1075" i="11"/>
  <c r="V1075" i="11"/>
  <c r="AT1075" i="11"/>
  <c r="W1075" i="11"/>
  <c r="AU1075" i="11"/>
  <c r="X1075" i="11"/>
  <c r="AV1075" i="11"/>
  <c r="Y1075" i="11"/>
  <c r="AW1075" i="11"/>
  <c r="Z1075" i="11"/>
  <c r="AC1076" i="11"/>
  <c r="F1076" i="11"/>
  <c r="AD1076" i="11"/>
  <c r="G1076" i="11"/>
  <c r="AE1076" i="11"/>
  <c r="H1076" i="11"/>
  <c r="AF1076" i="11"/>
  <c r="I1076" i="11"/>
  <c r="AG1076" i="11"/>
  <c r="J1076" i="11"/>
  <c r="AH1076" i="11"/>
  <c r="K1076" i="11"/>
  <c r="AI1076" i="11"/>
  <c r="L1076" i="11"/>
  <c r="AJ1076" i="11"/>
  <c r="M1076" i="11"/>
  <c r="AK1076" i="11"/>
  <c r="N1076" i="11"/>
  <c r="AL1076" i="11"/>
  <c r="O1076" i="11"/>
  <c r="AM1076" i="11"/>
  <c r="P1076" i="11"/>
  <c r="AN1076" i="11"/>
  <c r="Q1076" i="11"/>
  <c r="AO1076" i="11"/>
  <c r="R1076" i="11"/>
  <c r="AP1076" i="11"/>
  <c r="S1076" i="11"/>
  <c r="AQ1076" i="11"/>
  <c r="T1076" i="11"/>
  <c r="AR1076" i="11"/>
  <c r="U1076" i="11"/>
  <c r="AS1076" i="11"/>
  <c r="V1076" i="11"/>
  <c r="AT1076" i="11"/>
  <c r="W1076" i="11"/>
  <c r="AU1076" i="11"/>
  <c r="X1076" i="11"/>
  <c r="AV1076" i="11"/>
  <c r="Y1076" i="11"/>
  <c r="AW1076" i="11"/>
  <c r="Z1076" i="11"/>
  <c r="AC1077" i="11"/>
  <c r="F1077" i="11"/>
  <c r="AD1077" i="11"/>
  <c r="G1077" i="11"/>
  <c r="AE1077" i="11"/>
  <c r="H1077" i="11"/>
  <c r="AF1077" i="11"/>
  <c r="I1077" i="11"/>
  <c r="AG1077" i="11"/>
  <c r="J1077" i="11"/>
  <c r="AH1077" i="11"/>
  <c r="K1077" i="11"/>
  <c r="AI1077" i="11"/>
  <c r="L1077" i="11"/>
  <c r="AJ1077" i="11"/>
  <c r="M1077" i="11"/>
  <c r="AK1077" i="11"/>
  <c r="N1077" i="11"/>
  <c r="AL1077" i="11"/>
  <c r="O1077" i="11"/>
  <c r="AM1077" i="11"/>
  <c r="P1077" i="11"/>
  <c r="AN1077" i="11"/>
  <c r="Q1077" i="11"/>
  <c r="AO1077" i="11"/>
  <c r="R1077" i="11"/>
  <c r="AP1077" i="11"/>
  <c r="S1077" i="11"/>
  <c r="AQ1077" i="11"/>
  <c r="T1077" i="11"/>
  <c r="AR1077" i="11"/>
  <c r="U1077" i="11"/>
  <c r="AS1077" i="11"/>
  <c r="V1077" i="11"/>
  <c r="AT1077" i="11"/>
  <c r="W1077" i="11"/>
  <c r="AU1077" i="11"/>
  <c r="X1077" i="11"/>
  <c r="AV1077" i="11"/>
  <c r="Y1077" i="11"/>
  <c r="AW1077" i="11"/>
  <c r="Z1077" i="11"/>
  <c r="AC1078" i="11"/>
  <c r="F1078" i="11"/>
  <c r="AD1078" i="11"/>
  <c r="G1078" i="11"/>
  <c r="AE1078" i="11"/>
  <c r="H1078" i="11"/>
  <c r="AF1078" i="11"/>
  <c r="I1078" i="11"/>
  <c r="AG1078" i="11"/>
  <c r="J1078" i="11"/>
  <c r="AH1078" i="11"/>
  <c r="K1078" i="11"/>
  <c r="AI1078" i="11"/>
  <c r="L1078" i="11"/>
  <c r="AJ1078" i="11"/>
  <c r="M1078" i="11"/>
  <c r="AK1078" i="11"/>
  <c r="N1078" i="11"/>
  <c r="AL1078" i="11"/>
  <c r="O1078" i="11"/>
  <c r="AM1078" i="11"/>
  <c r="P1078" i="11"/>
  <c r="AN1078" i="11"/>
  <c r="Q1078" i="11"/>
  <c r="AO1078" i="11"/>
  <c r="R1078" i="11"/>
  <c r="AP1078" i="11"/>
  <c r="S1078" i="11"/>
  <c r="AQ1078" i="11"/>
  <c r="T1078" i="11"/>
  <c r="AR1078" i="11"/>
  <c r="U1078" i="11"/>
  <c r="AS1078" i="11"/>
  <c r="V1078" i="11"/>
  <c r="AT1078" i="11"/>
  <c r="W1078" i="11"/>
  <c r="AU1078" i="11"/>
  <c r="X1078" i="11"/>
  <c r="AV1078" i="11"/>
  <c r="Y1078" i="11"/>
  <c r="AW1078" i="11"/>
  <c r="Z1078" i="11"/>
  <c r="AC1079" i="11"/>
  <c r="F1079" i="11"/>
  <c r="AD1079" i="11"/>
  <c r="G1079" i="11"/>
  <c r="AE1079" i="11"/>
  <c r="H1079" i="11"/>
  <c r="AF1079" i="11"/>
  <c r="I1079" i="11"/>
  <c r="AG1079" i="11"/>
  <c r="J1079" i="11"/>
  <c r="AH1079" i="11"/>
  <c r="K1079" i="11"/>
  <c r="AI1079" i="11"/>
  <c r="L1079" i="11"/>
  <c r="AJ1079" i="11"/>
  <c r="M1079" i="11"/>
  <c r="AK1079" i="11"/>
  <c r="N1079" i="11"/>
  <c r="AL1079" i="11"/>
  <c r="O1079" i="11"/>
  <c r="AM1079" i="11"/>
  <c r="P1079" i="11"/>
  <c r="AN1079" i="11"/>
  <c r="Q1079" i="11"/>
  <c r="AO1079" i="11"/>
  <c r="R1079" i="11"/>
  <c r="AP1079" i="11"/>
  <c r="S1079" i="11"/>
  <c r="AQ1079" i="11"/>
  <c r="T1079" i="11"/>
  <c r="AR1079" i="11"/>
  <c r="U1079" i="11"/>
  <c r="AS1079" i="11"/>
  <c r="V1079" i="11"/>
  <c r="AT1079" i="11"/>
  <c r="W1079" i="11"/>
  <c r="AU1079" i="11"/>
  <c r="X1079" i="11"/>
  <c r="AV1079" i="11"/>
  <c r="Y1079" i="11"/>
  <c r="AW1079" i="11"/>
  <c r="Z1079" i="11"/>
  <c r="AC1080" i="11"/>
  <c r="F1080" i="11"/>
  <c r="AD1080" i="11"/>
  <c r="G1080" i="11"/>
  <c r="AE1080" i="11"/>
  <c r="H1080" i="11"/>
  <c r="AF1080" i="11"/>
  <c r="I1080" i="11"/>
  <c r="AG1080" i="11"/>
  <c r="J1080" i="11"/>
  <c r="AH1080" i="11"/>
  <c r="K1080" i="11"/>
  <c r="AI1080" i="11"/>
  <c r="L1080" i="11"/>
  <c r="AJ1080" i="11"/>
  <c r="M1080" i="11"/>
  <c r="AK1080" i="11"/>
  <c r="N1080" i="11"/>
  <c r="AL1080" i="11"/>
  <c r="O1080" i="11"/>
  <c r="AM1080" i="11"/>
  <c r="P1080" i="11"/>
  <c r="AN1080" i="11"/>
  <c r="Q1080" i="11"/>
  <c r="AO1080" i="11"/>
  <c r="R1080" i="11"/>
  <c r="AP1080" i="11"/>
  <c r="S1080" i="11"/>
  <c r="AQ1080" i="11"/>
  <c r="T1080" i="11"/>
  <c r="AR1080" i="11"/>
  <c r="U1080" i="11"/>
  <c r="AS1080" i="11"/>
  <c r="V1080" i="11"/>
  <c r="AT1080" i="11"/>
  <c r="W1080" i="11"/>
  <c r="AU1080" i="11"/>
  <c r="X1080" i="11"/>
  <c r="AV1080" i="11"/>
  <c r="Y1080" i="11"/>
  <c r="AW1080" i="11"/>
  <c r="Z1080" i="11"/>
  <c r="AC1081" i="11"/>
  <c r="F1081" i="11"/>
  <c r="AD1081" i="11"/>
  <c r="G1081" i="11"/>
  <c r="AE1081" i="11"/>
  <c r="H1081" i="11"/>
  <c r="AF1081" i="11"/>
  <c r="I1081" i="11"/>
  <c r="AG1081" i="11"/>
  <c r="J1081" i="11"/>
  <c r="AH1081" i="11"/>
  <c r="K1081" i="11"/>
  <c r="AI1081" i="11"/>
  <c r="L1081" i="11"/>
  <c r="AJ1081" i="11"/>
  <c r="M1081" i="11"/>
  <c r="AK1081" i="11"/>
  <c r="N1081" i="11"/>
  <c r="AL1081" i="11"/>
  <c r="O1081" i="11"/>
  <c r="AM1081" i="11"/>
  <c r="P1081" i="11"/>
  <c r="AN1081" i="11"/>
  <c r="Q1081" i="11"/>
  <c r="AO1081" i="11"/>
  <c r="R1081" i="11"/>
  <c r="AP1081" i="11"/>
  <c r="S1081" i="11"/>
  <c r="AQ1081" i="11"/>
  <c r="T1081" i="11"/>
  <c r="AR1081" i="11"/>
  <c r="U1081" i="11"/>
  <c r="AS1081" i="11"/>
  <c r="V1081" i="11"/>
  <c r="AT1081" i="11"/>
  <c r="W1081" i="11"/>
  <c r="AU1081" i="11"/>
  <c r="X1081" i="11"/>
  <c r="AV1081" i="11"/>
  <c r="Y1081" i="11"/>
  <c r="AW1081" i="11"/>
  <c r="Z1081" i="11"/>
  <c r="AC1082" i="11"/>
  <c r="F1082" i="11"/>
  <c r="AD1082" i="11"/>
  <c r="G1082" i="11"/>
  <c r="AE1082" i="11"/>
  <c r="H1082" i="11"/>
  <c r="AF1082" i="11"/>
  <c r="I1082" i="11"/>
  <c r="AG1082" i="11"/>
  <c r="J1082" i="11"/>
  <c r="AH1082" i="11"/>
  <c r="K1082" i="11"/>
  <c r="AI1082" i="11"/>
  <c r="L1082" i="11"/>
  <c r="AJ1082" i="11"/>
  <c r="M1082" i="11"/>
  <c r="AK1082" i="11"/>
  <c r="N1082" i="11"/>
  <c r="AL1082" i="11"/>
  <c r="O1082" i="11"/>
  <c r="AM1082" i="11"/>
  <c r="P1082" i="11"/>
  <c r="AN1082" i="11"/>
  <c r="Q1082" i="11"/>
  <c r="AO1082" i="11"/>
  <c r="R1082" i="11"/>
  <c r="AP1082" i="11"/>
  <c r="S1082" i="11"/>
  <c r="AQ1082" i="11"/>
  <c r="T1082" i="11"/>
  <c r="AR1082" i="11"/>
  <c r="U1082" i="11"/>
  <c r="AS1082" i="11"/>
  <c r="V1082" i="11"/>
  <c r="AT1082" i="11"/>
  <c r="W1082" i="11"/>
  <c r="AU1082" i="11"/>
  <c r="X1082" i="11"/>
  <c r="AV1082" i="11"/>
  <c r="Y1082" i="11"/>
  <c r="AW1082" i="11"/>
  <c r="Z1082" i="11"/>
  <c r="AC1083" i="11"/>
  <c r="F1083" i="11"/>
  <c r="AD1083" i="11"/>
  <c r="G1083" i="11"/>
  <c r="AE1083" i="11"/>
  <c r="H1083" i="11"/>
  <c r="AF1083" i="11"/>
  <c r="I1083" i="11"/>
  <c r="AG1083" i="11"/>
  <c r="J1083" i="11"/>
  <c r="AH1083" i="11"/>
  <c r="K1083" i="11"/>
  <c r="AI1083" i="11"/>
  <c r="L1083" i="11"/>
  <c r="AJ1083" i="11"/>
  <c r="M1083" i="11"/>
  <c r="AK1083" i="11"/>
  <c r="N1083" i="11"/>
  <c r="AL1083" i="11"/>
  <c r="O1083" i="11"/>
  <c r="AM1083" i="11"/>
  <c r="P1083" i="11"/>
  <c r="AN1083" i="11"/>
  <c r="Q1083" i="11"/>
  <c r="AO1083" i="11"/>
  <c r="R1083" i="11"/>
  <c r="AP1083" i="11"/>
  <c r="S1083" i="11"/>
  <c r="AQ1083" i="11"/>
  <c r="T1083" i="11"/>
  <c r="AR1083" i="11"/>
  <c r="U1083" i="11"/>
  <c r="AS1083" i="11"/>
  <c r="V1083" i="11"/>
  <c r="AT1083" i="11"/>
  <c r="W1083" i="11"/>
  <c r="AU1083" i="11"/>
  <c r="X1083" i="11"/>
  <c r="AV1083" i="11"/>
  <c r="Y1083" i="11"/>
  <c r="AW1083" i="11"/>
  <c r="Z1083" i="11"/>
  <c r="AC1084" i="11"/>
  <c r="F1084" i="11"/>
  <c r="AD1084" i="11"/>
  <c r="G1084" i="11"/>
  <c r="AE1084" i="11"/>
  <c r="H1084" i="11"/>
  <c r="AF1084" i="11"/>
  <c r="I1084" i="11"/>
  <c r="AG1084" i="11"/>
  <c r="J1084" i="11"/>
  <c r="AH1084" i="11"/>
  <c r="K1084" i="11"/>
  <c r="AI1084" i="11"/>
  <c r="L1084" i="11"/>
  <c r="AJ1084" i="11"/>
  <c r="M1084" i="11"/>
  <c r="AK1084" i="11"/>
  <c r="N1084" i="11"/>
  <c r="AL1084" i="11"/>
  <c r="O1084" i="11"/>
  <c r="AM1084" i="11"/>
  <c r="P1084" i="11"/>
  <c r="AN1084" i="11"/>
  <c r="Q1084" i="11"/>
  <c r="AO1084" i="11"/>
  <c r="R1084" i="11"/>
  <c r="AP1084" i="11"/>
  <c r="S1084" i="11"/>
  <c r="AQ1084" i="11"/>
  <c r="T1084" i="11"/>
  <c r="AR1084" i="11"/>
  <c r="U1084" i="11"/>
  <c r="AS1084" i="11"/>
  <c r="V1084" i="11"/>
  <c r="AT1084" i="11"/>
  <c r="W1084" i="11"/>
  <c r="AU1084" i="11"/>
  <c r="X1084" i="11"/>
  <c r="AV1084" i="11"/>
  <c r="Y1084" i="11"/>
  <c r="AW1084" i="11"/>
  <c r="Z1084" i="11"/>
  <c r="AC1085" i="11"/>
  <c r="F1085" i="11"/>
  <c r="AD1085" i="11"/>
  <c r="G1085" i="11"/>
  <c r="AE1085" i="11"/>
  <c r="H1085" i="11"/>
  <c r="AF1085" i="11"/>
  <c r="I1085" i="11"/>
  <c r="AG1085" i="11"/>
  <c r="J1085" i="11"/>
  <c r="AH1085" i="11"/>
  <c r="K1085" i="11"/>
  <c r="AI1085" i="11"/>
  <c r="L1085" i="11"/>
  <c r="AJ1085" i="11"/>
  <c r="M1085" i="11"/>
  <c r="AK1085" i="11"/>
  <c r="N1085" i="11"/>
  <c r="AL1085" i="11"/>
  <c r="O1085" i="11"/>
  <c r="AM1085" i="11"/>
  <c r="P1085" i="11"/>
  <c r="AN1085" i="11"/>
  <c r="Q1085" i="11"/>
  <c r="AO1085" i="11"/>
  <c r="R1085" i="11"/>
  <c r="AP1085" i="11"/>
  <c r="S1085" i="11"/>
  <c r="AQ1085" i="11"/>
  <c r="T1085" i="11"/>
  <c r="AR1085" i="11"/>
  <c r="U1085" i="11"/>
  <c r="AS1085" i="11"/>
  <c r="V1085" i="11"/>
  <c r="AT1085" i="11"/>
  <c r="W1085" i="11"/>
  <c r="AU1085" i="11"/>
  <c r="X1085" i="11"/>
  <c r="AV1085" i="11"/>
  <c r="Y1085" i="11"/>
  <c r="AW1085" i="11"/>
  <c r="Z1085" i="11"/>
  <c r="AC1086" i="11"/>
  <c r="F1086" i="11"/>
  <c r="AD1086" i="11"/>
  <c r="G1086" i="11"/>
  <c r="AE1086" i="11"/>
  <c r="H1086" i="11"/>
  <c r="AF1086" i="11"/>
  <c r="I1086" i="11"/>
  <c r="AG1086" i="11"/>
  <c r="J1086" i="11"/>
  <c r="AH1086" i="11"/>
  <c r="K1086" i="11"/>
  <c r="AI1086" i="11"/>
  <c r="L1086" i="11"/>
  <c r="AJ1086" i="11"/>
  <c r="M1086" i="11"/>
  <c r="AK1086" i="11"/>
  <c r="N1086" i="11"/>
  <c r="AL1086" i="11"/>
  <c r="O1086" i="11"/>
  <c r="AM1086" i="11"/>
  <c r="P1086" i="11"/>
  <c r="AN1086" i="11"/>
  <c r="Q1086" i="11"/>
  <c r="AO1086" i="11"/>
  <c r="R1086" i="11"/>
  <c r="AP1086" i="11"/>
  <c r="S1086" i="11"/>
  <c r="AQ1086" i="11"/>
  <c r="T1086" i="11"/>
  <c r="AR1086" i="11"/>
  <c r="U1086" i="11"/>
  <c r="AS1086" i="11"/>
  <c r="V1086" i="11"/>
  <c r="AT1086" i="11"/>
  <c r="W1086" i="11"/>
  <c r="AU1086" i="11"/>
  <c r="X1086" i="11"/>
  <c r="AV1086" i="11"/>
  <c r="Y1086" i="11"/>
  <c r="AW1086" i="11"/>
  <c r="Z1086" i="11"/>
  <c r="AC1087" i="11"/>
  <c r="F1087" i="11"/>
  <c r="AD1087" i="11"/>
  <c r="G1087" i="11"/>
  <c r="AE1087" i="11"/>
  <c r="H1087" i="11"/>
  <c r="AF1087" i="11"/>
  <c r="I1087" i="11"/>
  <c r="AG1087" i="11"/>
  <c r="J1087" i="11"/>
  <c r="AH1087" i="11"/>
  <c r="K1087" i="11"/>
  <c r="AI1087" i="11"/>
  <c r="L1087" i="11"/>
  <c r="AJ1087" i="11"/>
  <c r="M1087" i="11"/>
  <c r="AK1087" i="11"/>
  <c r="N1087" i="11"/>
  <c r="AL1087" i="11"/>
  <c r="O1087" i="11"/>
  <c r="AM1087" i="11"/>
  <c r="P1087" i="11"/>
  <c r="AN1087" i="11"/>
  <c r="Q1087" i="11"/>
  <c r="AO1087" i="11"/>
  <c r="R1087" i="11"/>
  <c r="AP1087" i="11"/>
  <c r="S1087" i="11"/>
  <c r="AQ1087" i="11"/>
  <c r="T1087" i="11"/>
  <c r="AR1087" i="11"/>
  <c r="U1087" i="11"/>
  <c r="AS1087" i="11"/>
  <c r="V1087" i="11"/>
  <c r="AT1087" i="11"/>
  <c r="W1087" i="11"/>
  <c r="AU1087" i="11"/>
  <c r="X1087" i="11"/>
  <c r="AV1087" i="11"/>
  <c r="Y1087" i="11"/>
  <c r="AW1087" i="11"/>
  <c r="Z1087" i="11"/>
  <c r="AC1088" i="11"/>
  <c r="F1088" i="11"/>
  <c r="AD1088" i="11"/>
  <c r="G1088" i="11"/>
  <c r="AE1088" i="11"/>
  <c r="H1088" i="11"/>
  <c r="AF1088" i="11"/>
  <c r="I1088" i="11"/>
  <c r="AG1088" i="11"/>
  <c r="J1088" i="11"/>
  <c r="AH1088" i="11"/>
  <c r="K1088" i="11"/>
  <c r="AI1088" i="11"/>
  <c r="L1088" i="11"/>
  <c r="AJ1088" i="11"/>
  <c r="M1088" i="11"/>
  <c r="AK1088" i="11"/>
  <c r="N1088" i="11"/>
  <c r="AL1088" i="11"/>
  <c r="O1088" i="11"/>
  <c r="AM1088" i="11"/>
  <c r="P1088" i="11"/>
  <c r="AN1088" i="11"/>
  <c r="Q1088" i="11"/>
  <c r="AO1088" i="11"/>
  <c r="R1088" i="11"/>
  <c r="AP1088" i="11"/>
  <c r="S1088" i="11"/>
  <c r="AQ1088" i="11"/>
  <c r="T1088" i="11"/>
  <c r="AR1088" i="11"/>
  <c r="U1088" i="11"/>
  <c r="AS1088" i="11"/>
  <c r="V1088" i="11"/>
  <c r="AT1088" i="11"/>
  <c r="W1088" i="11"/>
  <c r="AU1088" i="11"/>
  <c r="X1088" i="11"/>
  <c r="AV1088" i="11"/>
  <c r="Y1088" i="11"/>
  <c r="AW1088" i="11"/>
  <c r="Z1088" i="11"/>
  <c r="AC1089" i="11"/>
  <c r="F1089" i="11"/>
  <c r="AD1089" i="11"/>
  <c r="G1089" i="11"/>
  <c r="AE1089" i="11"/>
  <c r="H1089" i="11"/>
  <c r="AF1089" i="11"/>
  <c r="I1089" i="11"/>
  <c r="AG1089" i="11"/>
  <c r="J1089" i="11"/>
  <c r="AH1089" i="11"/>
  <c r="K1089" i="11"/>
  <c r="AI1089" i="11"/>
  <c r="L1089" i="11"/>
  <c r="AJ1089" i="11"/>
  <c r="M1089" i="11"/>
  <c r="AK1089" i="11"/>
  <c r="N1089" i="11"/>
  <c r="AL1089" i="11"/>
  <c r="O1089" i="11"/>
  <c r="AM1089" i="11"/>
  <c r="P1089" i="11"/>
  <c r="AN1089" i="11"/>
  <c r="Q1089" i="11"/>
  <c r="AO1089" i="11"/>
  <c r="R1089" i="11"/>
  <c r="AP1089" i="11"/>
  <c r="S1089" i="11"/>
  <c r="AQ1089" i="11"/>
  <c r="T1089" i="11"/>
  <c r="AR1089" i="11"/>
  <c r="U1089" i="11"/>
  <c r="AS1089" i="11"/>
  <c r="V1089" i="11"/>
  <c r="AT1089" i="11"/>
  <c r="W1089" i="11"/>
  <c r="AU1089" i="11"/>
  <c r="X1089" i="11"/>
  <c r="AV1089" i="11"/>
  <c r="Y1089" i="11"/>
  <c r="AW1089" i="11"/>
  <c r="Z1089" i="11"/>
  <c r="AC1090" i="11"/>
  <c r="F1090" i="11"/>
  <c r="AD1090" i="11"/>
  <c r="G1090" i="11"/>
  <c r="AE1090" i="11"/>
  <c r="H1090" i="11"/>
  <c r="AF1090" i="11"/>
  <c r="I1090" i="11"/>
  <c r="AG1090" i="11"/>
  <c r="J1090" i="11"/>
  <c r="AH1090" i="11"/>
  <c r="K1090" i="11"/>
  <c r="AI1090" i="11"/>
  <c r="L1090" i="11"/>
  <c r="AJ1090" i="11"/>
  <c r="M1090" i="11"/>
  <c r="AK1090" i="11"/>
  <c r="N1090" i="11"/>
  <c r="AL1090" i="11"/>
  <c r="O1090" i="11"/>
  <c r="AM1090" i="11"/>
  <c r="P1090" i="11"/>
  <c r="AN1090" i="11"/>
  <c r="Q1090" i="11"/>
  <c r="AO1090" i="11"/>
  <c r="R1090" i="11"/>
  <c r="AP1090" i="11"/>
  <c r="S1090" i="11"/>
  <c r="AQ1090" i="11"/>
  <c r="T1090" i="11"/>
  <c r="AR1090" i="11"/>
  <c r="U1090" i="11"/>
  <c r="AS1090" i="11"/>
  <c r="V1090" i="11"/>
  <c r="AT1090" i="11"/>
  <c r="W1090" i="11"/>
  <c r="AU1090" i="11"/>
  <c r="X1090" i="11"/>
  <c r="AV1090" i="11"/>
  <c r="Y1090" i="11"/>
  <c r="AW1090" i="11"/>
  <c r="Z1090" i="11"/>
  <c r="AC1091" i="11"/>
  <c r="F1091" i="11"/>
  <c r="AD1091" i="11"/>
  <c r="G1091" i="11"/>
  <c r="AE1091" i="11"/>
  <c r="H1091" i="11"/>
  <c r="AF1091" i="11"/>
  <c r="I1091" i="11"/>
  <c r="AG1091" i="11"/>
  <c r="J1091" i="11"/>
  <c r="AH1091" i="11"/>
  <c r="K1091" i="11"/>
  <c r="AI1091" i="11"/>
  <c r="L1091" i="11"/>
  <c r="AJ1091" i="11"/>
  <c r="M1091" i="11"/>
  <c r="AK1091" i="11"/>
  <c r="N1091" i="11"/>
  <c r="AL1091" i="11"/>
  <c r="O1091" i="11"/>
  <c r="AM1091" i="11"/>
  <c r="P1091" i="11"/>
  <c r="AN1091" i="11"/>
  <c r="Q1091" i="11"/>
  <c r="AO1091" i="11"/>
  <c r="R1091" i="11"/>
  <c r="AP1091" i="11"/>
  <c r="S1091" i="11"/>
  <c r="AQ1091" i="11"/>
  <c r="T1091" i="11"/>
  <c r="AR1091" i="11"/>
  <c r="U1091" i="11"/>
  <c r="AS1091" i="11"/>
  <c r="V1091" i="11"/>
  <c r="AT1091" i="11"/>
  <c r="W1091" i="11"/>
  <c r="AU1091" i="11"/>
  <c r="X1091" i="11"/>
  <c r="AV1091" i="11"/>
  <c r="Y1091" i="11"/>
  <c r="AW1091" i="11"/>
  <c r="Z1091" i="11"/>
  <c r="AC1092" i="11"/>
  <c r="F1092" i="11"/>
  <c r="AD1092" i="11"/>
  <c r="G1092" i="11"/>
  <c r="AE1092" i="11"/>
  <c r="H1092" i="11"/>
  <c r="AF1092" i="11"/>
  <c r="I1092" i="11"/>
  <c r="AG1092" i="11"/>
  <c r="J1092" i="11"/>
  <c r="AH1092" i="11"/>
  <c r="K1092" i="11"/>
  <c r="AI1092" i="11"/>
  <c r="L1092" i="11"/>
  <c r="AJ1092" i="11"/>
  <c r="M1092" i="11"/>
  <c r="AK1092" i="11"/>
  <c r="N1092" i="11"/>
  <c r="AL1092" i="11"/>
  <c r="O1092" i="11"/>
  <c r="AM1092" i="11"/>
  <c r="P1092" i="11"/>
  <c r="AN1092" i="11"/>
  <c r="Q1092" i="11"/>
  <c r="AO1092" i="11"/>
  <c r="R1092" i="11"/>
  <c r="AP1092" i="11"/>
  <c r="S1092" i="11"/>
  <c r="AQ1092" i="11"/>
  <c r="T1092" i="11"/>
  <c r="AR1092" i="11"/>
  <c r="U1092" i="11"/>
  <c r="AS1092" i="11"/>
  <c r="V1092" i="11"/>
  <c r="AT1092" i="11"/>
  <c r="W1092" i="11"/>
  <c r="AU1092" i="11"/>
  <c r="X1092" i="11"/>
  <c r="AV1092" i="11"/>
  <c r="Y1092" i="11"/>
  <c r="AW1092" i="11"/>
  <c r="Z1092" i="11"/>
  <c r="AC1093" i="11"/>
  <c r="F1093" i="11"/>
  <c r="AD1093" i="11"/>
  <c r="G1093" i="11"/>
  <c r="AE1093" i="11"/>
  <c r="H1093" i="11"/>
  <c r="AF1093" i="11"/>
  <c r="I1093" i="11"/>
  <c r="AG1093" i="11"/>
  <c r="J1093" i="11"/>
  <c r="AH1093" i="11"/>
  <c r="K1093" i="11"/>
  <c r="AI1093" i="11"/>
  <c r="L1093" i="11"/>
  <c r="AJ1093" i="11"/>
  <c r="M1093" i="11"/>
  <c r="AK1093" i="11"/>
  <c r="N1093" i="11"/>
  <c r="AL1093" i="11"/>
  <c r="O1093" i="11"/>
  <c r="AM1093" i="11"/>
  <c r="P1093" i="11"/>
  <c r="AN1093" i="11"/>
  <c r="Q1093" i="11"/>
  <c r="AO1093" i="11"/>
  <c r="R1093" i="11"/>
  <c r="AP1093" i="11"/>
  <c r="S1093" i="11"/>
  <c r="AQ1093" i="11"/>
  <c r="T1093" i="11"/>
  <c r="AR1093" i="11"/>
  <c r="U1093" i="11"/>
  <c r="AS1093" i="11"/>
  <c r="V1093" i="11"/>
  <c r="AT1093" i="11"/>
  <c r="W1093" i="11"/>
  <c r="AU1093" i="11"/>
  <c r="X1093" i="11"/>
  <c r="AV1093" i="11"/>
  <c r="Y1093" i="11"/>
  <c r="AW1093" i="11"/>
  <c r="Z1093" i="11"/>
  <c r="AC1094" i="11"/>
  <c r="F1094" i="11"/>
  <c r="AD1094" i="11"/>
  <c r="G1094" i="11"/>
  <c r="AE1094" i="11"/>
  <c r="H1094" i="11"/>
  <c r="AF1094" i="11"/>
  <c r="I1094" i="11"/>
  <c r="AG1094" i="11"/>
  <c r="J1094" i="11"/>
  <c r="AH1094" i="11"/>
  <c r="K1094" i="11"/>
  <c r="AI1094" i="11"/>
  <c r="L1094" i="11"/>
  <c r="AJ1094" i="11"/>
  <c r="M1094" i="11"/>
  <c r="AK1094" i="11"/>
  <c r="N1094" i="11"/>
  <c r="AL1094" i="11"/>
  <c r="O1094" i="11"/>
  <c r="AM1094" i="11"/>
  <c r="P1094" i="11"/>
  <c r="AN1094" i="11"/>
  <c r="Q1094" i="11"/>
  <c r="AO1094" i="11"/>
  <c r="R1094" i="11"/>
  <c r="AP1094" i="11"/>
  <c r="S1094" i="11"/>
  <c r="AQ1094" i="11"/>
  <c r="T1094" i="11"/>
  <c r="AR1094" i="11"/>
  <c r="U1094" i="11"/>
  <c r="AS1094" i="11"/>
  <c r="V1094" i="11"/>
  <c r="AT1094" i="11"/>
  <c r="W1094" i="11"/>
  <c r="AU1094" i="11"/>
  <c r="X1094" i="11"/>
  <c r="AV1094" i="11"/>
  <c r="Y1094" i="11"/>
  <c r="AW1094" i="11"/>
  <c r="Z1094" i="11"/>
  <c r="AC1095" i="11"/>
  <c r="F1095" i="11"/>
  <c r="AD1095" i="11"/>
  <c r="G1095" i="11"/>
  <c r="AE1095" i="11"/>
  <c r="H1095" i="11"/>
  <c r="AF1095" i="11"/>
  <c r="I1095" i="11"/>
  <c r="AG1095" i="11"/>
  <c r="J1095" i="11"/>
  <c r="AH1095" i="11"/>
  <c r="K1095" i="11"/>
  <c r="AI1095" i="11"/>
  <c r="L1095" i="11"/>
  <c r="AJ1095" i="11"/>
  <c r="M1095" i="11"/>
  <c r="AK1095" i="11"/>
  <c r="N1095" i="11"/>
  <c r="AL1095" i="11"/>
  <c r="O1095" i="11"/>
  <c r="AM1095" i="11"/>
  <c r="P1095" i="11"/>
  <c r="AN1095" i="11"/>
  <c r="Q1095" i="11"/>
  <c r="AO1095" i="11"/>
  <c r="R1095" i="11"/>
  <c r="AP1095" i="11"/>
  <c r="S1095" i="11"/>
  <c r="AQ1095" i="11"/>
  <c r="T1095" i="11"/>
  <c r="AR1095" i="11"/>
  <c r="U1095" i="11"/>
  <c r="AS1095" i="11"/>
  <c r="V1095" i="11"/>
  <c r="AT1095" i="11"/>
  <c r="W1095" i="11"/>
  <c r="AU1095" i="11"/>
  <c r="X1095" i="11"/>
  <c r="AV1095" i="11"/>
  <c r="Y1095" i="11"/>
  <c r="AW1095" i="11"/>
  <c r="Z1095" i="11"/>
  <c r="AC1096" i="11"/>
  <c r="F1096" i="11"/>
  <c r="AD1096" i="11"/>
  <c r="G1096" i="11"/>
  <c r="AE1096" i="11"/>
  <c r="H1096" i="11"/>
  <c r="AF1096" i="11"/>
  <c r="I1096" i="11"/>
  <c r="AG1096" i="11"/>
  <c r="J1096" i="11"/>
  <c r="AH1096" i="11"/>
  <c r="K1096" i="11"/>
  <c r="AI1096" i="11"/>
  <c r="L1096" i="11"/>
  <c r="AJ1096" i="11"/>
  <c r="M1096" i="11"/>
  <c r="AK1096" i="11"/>
  <c r="N1096" i="11"/>
  <c r="AL1096" i="11"/>
  <c r="O1096" i="11"/>
  <c r="AM1096" i="11"/>
  <c r="P1096" i="11"/>
  <c r="AN1096" i="11"/>
  <c r="Q1096" i="11"/>
  <c r="AO1096" i="11"/>
  <c r="R1096" i="11"/>
  <c r="AP1096" i="11"/>
  <c r="S1096" i="11"/>
  <c r="AQ1096" i="11"/>
  <c r="T1096" i="11"/>
  <c r="AR1096" i="11"/>
  <c r="U1096" i="11"/>
  <c r="AS1096" i="11"/>
  <c r="V1096" i="11"/>
  <c r="AT1096" i="11"/>
  <c r="W1096" i="11"/>
  <c r="AU1096" i="11"/>
  <c r="X1096" i="11"/>
  <c r="AV1096" i="11"/>
  <c r="Y1096" i="11"/>
  <c r="AW1096" i="11"/>
  <c r="Z1096" i="11"/>
  <c r="AC1097" i="11"/>
  <c r="F1097" i="11"/>
  <c r="AD1097" i="11"/>
  <c r="G1097" i="11"/>
  <c r="AE1097" i="11"/>
  <c r="H1097" i="11"/>
  <c r="AF1097" i="11"/>
  <c r="I1097" i="11"/>
  <c r="AG1097" i="11"/>
  <c r="J1097" i="11"/>
  <c r="AH1097" i="11"/>
  <c r="K1097" i="11"/>
  <c r="AI1097" i="11"/>
  <c r="L1097" i="11"/>
  <c r="AJ1097" i="11"/>
  <c r="M1097" i="11"/>
  <c r="AK1097" i="11"/>
  <c r="N1097" i="11"/>
  <c r="AL1097" i="11"/>
  <c r="O1097" i="11"/>
  <c r="AM1097" i="11"/>
  <c r="P1097" i="11"/>
  <c r="AN1097" i="11"/>
  <c r="Q1097" i="11"/>
  <c r="AO1097" i="11"/>
  <c r="R1097" i="11"/>
  <c r="AP1097" i="11"/>
  <c r="S1097" i="11"/>
  <c r="AQ1097" i="11"/>
  <c r="T1097" i="11"/>
  <c r="AR1097" i="11"/>
  <c r="U1097" i="11"/>
  <c r="AS1097" i="11"/>
  <c r="V1097" i="11"/>
  <c r="AT1097" i="11"/>
  <c r="W1097" i="11"/>
  <c r="AU1097" i="11"/>
  <c r="X1097" i="11"/>
  <c r="AV1097" i="11"/>
  <c r="Y1097" i="11"/>
  <c r="AW1097" i="11"/>
  <c r="Z1097" i="11"/>
  <c r="AC1098" i="11"/>
  <c r="F1098" i="11"/>
  <c r="AD1098" i="11"/>
  <c r="G1098" i="11"/>
  <c r="AE1098" i="11"/>
  <c r="H1098" i="11"/>
  <c r="AF1098" i="11"/>
  <c r="I1098" i="11"/>
  <c r="AG1098" i="11"/>
  <c r="J1098" i="11"/>
  <c r="AH1098" i="11"/>
  <c r="K1098" i="11"/>
  <c r="AI1098" i="11"/>
  <c r="L1098" i="11"/>
  <c r="AJ1098" i="11"/>
  <c r="M1098" i="11"/>
  <c r="AK1098" i="11"/>
  <c r="N1098" i="11"/>
  <c r="AL1098" i="11"/>
  <c r="O1098" i="11"/>
  <c r="AM1098" i="11"/>
  <c r="P1098" i="11"/>
  <c r="AN1098" i="11"/>
  <c r="Q1098" i="11"/>
  <c r="AO1098" i="11"/>
  <c r="R1098" i="11"/>
  <c r="AP1098" i="11"/>
  <c r="S1098" i="11"/>
  <c r="AQ1098" i="11"/>
  <c r="T1098" i="11"/>
  <c r="AR1098" i="11"/>
  <c r="U1098" i="11"/>
  <c r="AS1098" i="11"/>
  <c r="V1098" i="11"/>
  <c r="AT1098" i="11"/>
  <c r="W1098" i="11"/>
  <c r="AU1098" i="11"/>
  <c r="X1098" i="11"/>
  <c r="AV1098" i="11"/>
  <c r="Y1098" i="11"/>
  <c r="AW1098" i="11"/>
  <c r="Z1098" i="11"/>
  <c r="AC1099" i="11"/>
  <c r="F1099" i="11"/>
  <c r="AD1099" i="11"/>
  <c r="G1099" i="11"/>
  <c r="AE1099" i="11"/>
  <c r="H1099" i="11"/>
  <c r="AF1099" i="11"/>
  <c r="I1099" i="11"/>
  <c r="AG1099" i="11"/>
  <c r="J1099" i="11"/>
  <c r="AH1099" i="11"/>
  <c r="K1099" i="11"/>
  <c r="AI1099" i="11"/>
  <c r="L1099" i="11"/>
  <c r="AJ1099" i="11"/>
  <c r="M1099" i="11"/>
  <c r="AK1099" i="11"/>
  <c r="N1099" i="11"/>
  <c r="AL1099" i="11"/>
  <c r="O1099" i="11"/>
  <c r="AM1099" i="11"/>
  <c r="P1099" i="11"/>
  <c r="AN1099" i="11"/>
  <c r="Q1099" i="11"/>
  <c r="AO1099" i="11"/>
  <c r="R1099" i="11"/>
  <c r="AP1099" i="11"/>
  <c r="S1099" i="11"/>
  <c r="AQ1099" i="11"/>
  <c r="T1099" i="11"/>
  <c r="AR1099" i="11"/>
  <c r="U1099" i="11"/>
  <c r="AS1099" i="11"/>
  <c r="V1099" i="11"/>
  <c r="AT1099" i="11"/>
  <c r="W1099" i="11"/>
  <c r="AU1099" i="11"/>
  <c r="X1099" i="11"/>
  <c r="AV1099" i="11"/>
  <c r="Y1099" i="11"/>
  <c r="AW1099" i="11"/>
  <c r="Z1099" i="11"/>
  <c r="AC1100" i="11"/>
  <c r="F1100" i="11"/>
  <c r="AD1100" i="11"/>
  <c r="G1100" i="11"/>
  <c r="AE1100" i="11"/>
  <c r="H1100" i="11"/>
  <c r="AF1100" i="11"/>
  <c r="I1100" i="11"/>
  <c r="AG1100" i="11"/>
  <c r="J1100" i="11"/>
  <c r="AH1100" i="11"/>
  <c r="K1100" i="11"/>
  <c r="AI1100" i="11"/>
  <c r="L1100" i="11"/>
  <c r="AJ1100" i="11"/>
  <c r="M1100" i="11"/>
  <c r="AK1100" i="11"/>
  <c r="N1100" i="11"/>
  <c r="AL1100" i="11"/>
  <c r="O1100" i="11"/>
  <c r="AM1100" i="11"/>
  <c r="P1100" i="11"/>
  <c r="AN1100" i="11"/>
  <c r="Q1100" i="11"/>
  <c r="AO1100" i="11"/>
  <c r="R1100" i="11"/>
  <c r="AP1100" i="11"/>
  <c r="S1100" i="11"/>
  <c r="AQ1100" i="11"/>
  <c r="T1100" i="11"/>
  <c r="AR1100" i="11"/>
  <c r="U1100" i="11"/>
  <c r="AS1100" i="11"/>
  <c r="V1100" i="11"/>
  <c r="AT1100" i="11"/>
  <c r="W1100" i="11"/>
  <c r="AU1100" i="11"/>
  <c r="X1100" i="11"/>
  <c r="AV1100" i="11"/>
  <c r="Y1100" i="11"/>
  <c r="AW1100" i="11"/>
  <c r="Z1100" i="11"/>
  <c r="AC1101" i="11"/>
  <c r="F1101" i="11"/>
  <c r="AD1101" i="11"/>
  <c r="G1101" i="11"/>
  <c r="AE1101" i="11"/>
  <c r="H1101" i="11"/>
  <c r="AF1101" i="11"/>
  <c r="I1101" i="11"/>
  <c r="AG1101" i="11"/>
  <c r="J1101" i="11"/>
  <c r="AH1101" i="11"/>
  <c r="K1101" i="11"/>
  <c r="AI1101" i="11"/>
  <c r="L1101" i="11"/>
  <c r="AJ1101" i="11"/>
  <c r="M1101" i="11"/>
  <c r="AK1101" i="11"/>
  <c r="N1101" i="11"/>
  <c r="AL1101" i="11"/>
  <c r="O1101" i="11"/>
  <c r="AM1101" i="11"/>
  <c r="P1101" i="11"/>
  <c r="AN1101" i="11"/>
  <c r="Q1101" i="11"/>
  <c r="AO1101" i="11"/>
  <c r="R1101" i="11"/>
  <c r="AP1101" i="11"/>
  <c r="S1101" i="11"/>
  <c r="AQ1101" i="11"/>
  <c r="T1101" i="11"/>
  <c r="AR1101" i="11"/>
  <c r="U1101" i="11"/>
  <c r="AS1101" i="11"/>
  <c r="V1101" i="11"/>
  <c r="AT1101" i="11"/>
  <c r="W1101" i="11"/>
  <c r="AU1101" i="11"/>
  <c r="X1101" i="11"/>
  <c r="AV1101" i="11"/>
  <c r="Y1101" i="11"/>
  <c r="AW1101" i="11"/>
  <c r="Z1101" i="11"/>
  <c r="AC1102" i="11"/>
  <c r="F1102" i="11"/>
  <c r="AD1102" i="11"/>
  <c r="G1102" i="11"/>
  <c r="AE1102" i="11"/>
  <c r="H1102" i="11"/>
  <c r="AF1102" i="11"/>
  <c r="I1102" i="11"/>
  <c r="AG1102" i="11"/>
  <c r="J1102" i="11"/>
  <c r="AH1102" i="11"/>
  <c r="K1102" i="11"/>
  <c r="AI1102" i="11"/>
  <c r="L1102" i="11"/>
  <c r="AJ1102" i="11"/>
  <c r="M1102" i="11"/>
  <c r="AK1102" i="11"/>
  <c r="N1102" i="11"/>
  <c r="AL1102" i="11"/>
  <c r="O1102" i="11"/>
  <c r="AM1102" i="11"/>
  <c r="P1102" i="11"/>
  <c r="AN1102" i="11"/>
  <c r="Q1102" i="11"/>
  <c r="AO1102" i="11"/>
  <c r="R1102" i="11"/>
  <c r="AP1102" i="11"/>
  <c r="S1102" i="11"/>
  <c r="AQ1102" i="11"/>
  <c r="T1102" i="11"/>
  <c r="AR1102" i="11"/>
  <c r="U1102" i="11"/>
  <c r="AS1102" i="11"/>
  <c r="V1102" i="11"/>
  <c r="AT1102" i="11"/>
  <c r="W1102" i="11"/>
  <c r="AU1102" i="11"/>
  <c r="X1102" i="11"/>
  <c r="AV1102" i="11"/>
  <c r="Y1102" i="11"/>
  <c r="AW1102" i="11"/>
  <c r="Z1102" i="11"/>
  <c r="AC1103" i="11"/>
  <c r="F1103" i="11"/>
  <c r="AD1103" i="11"/>
  <c r="G1103" i="11"/>
  <c r="AE1103" i="11"/>
  <c r="H1103" i="11"/>
  <c r="AF1103" i="11"/>
  <c r="I1103" i="11"/>
  <c r="AG1103" i="11"/>
  <c r="J1103" i="11"/>
  <c r="AH1103" i="11"/>
  <c r="K1103" i="11"/>
  <c r="AI1103" i="11"/>
  <c r="L1103" i="11"/>
  <c r="AJ1103" i="11"/>
  <c r="M1103" i="11"/>
  <c r="AK1103" i="11"/>
  <c r="N1103" i="11"/>
  <c r="AL1103" i="11"/>
  <c r="O1103" i="11"/>
  <c r="AM1103" i="11"/>
  <c r="P1103" i="11"/>
  <c r="AN1103" i="11"/>
  <c r="Q1103" i="11"/>
  <c r="AO1103" i="11"/>
  <c r="R1103" i="11"/>
  <c r="AP1103" i="11"/>
  <c r="S1103" i="11"/>
  <c r="AQ1103" i="11"/>
  <c r="T1103" i="11"/>
  <c r="AR1103" i="11"/>
  <c r="U1103" i="11"/>
  <c r="AS1103" i="11"/>
  <c r="V1103" i="11"/>
  <c r="AT1103" i="11"/>
  <c r="W1103" i="11"/>
  <c r="AU1103" i="11"/>
  <c r="X1103" i="11"/>
  <c r="AV1103" i="11"/>
  <c r="Y1103" i="11"/>
  <c r="AW1103" i="11"/>
  <c r="Z1103" i="11"/>
  <c r="AC1104" i="11"/>
  <c r="F1104" i="11"/>
  <c r="AD1104" i="11"/>
  <c r="G1104" i="11"/>
  <c r="AE1104" i="11"/>
  <c r="H1104" i="11"/>
  <c r="AF1104" i="11"/>
  <c r="I1104" i="11"/>
  <c r="AG1104" i="11"/>
  <c r="J1104" i="11"/>
  <c r="AH1104" i="11"/>
  <c r="K1104" i="11"/>
  <c r="AI1104" i="11"/>
  <c r="L1104" i="11"/>
  <c r="AJ1104" i="11"/>
  <c r="M1104" i="11"/>
  <c r="AK1104" i="11"/>
  <c r="N1104" i="11"/>
  <c r="AL1104" i="11"/>
  <c r="O1104" i="11"/>
  <c r="AM1104" i="11"/>
  <c r="P1104" i="11"/>
  <c r="AN1104" i="11"/>
  <c r="Q1104" i="11"/>
  <c r="AO1104" i="11"/>
  <c r="R1104" i="11"/>
  <c r="AP1104" i="11"/>
  <c r="S1104" i="11"/>
  <c r="AQ1104" i="11"/>
  <c r="T1104" i="11"/>
  <c r="AR1104" i="11"/>
  <c r="U1104" i="11"/>
  <c r="AS1104" i="11"/>
  <c r="V1104" i="11"/>
  <c r="AT1104" i="11"/>
  <c r="W1104" i="11"/>
  <c r="AU1104" i="11"/>
  <c r="X1104" i="11"/>
  <c r="AV1104" i="11"/>
  <c r="Y1104" i="11"/>
  <c r="AW1104" i="11"/>
  <c r="Z1104" i="11"/>
  <c r="AC1105" i="11"/>
  <c r="F1105" i="11"/>
  <c r="AD1105" i="11"/>
  <c r="G1105" i="11"/>
  <c r="AE1105" i="11"/>
  <c r="H1105" i="11"/>
  <c r="AF1105" i="11"/>
  <c r="I1105" i="11"/>
  <c r="AG1105" i="11"/>
  <c r="J1105" i="11"/>
  <c r="AH1105" i="11"/>
  <c r="K1105" i="11"/>
  <c r="AI1105" i="11"/>
  <c r="L1105" i="11"/>
  <c r="AJ1105" i="11"/>
  <c r="M1105" i="11"/>
  <c r="AK1105" i="11"/>
  <c r="N1105" i="11"/>
  <c r="AL1105" i="11"/>
  <c r="O1105" i="11"/>
  <c r="AM1105" i="11"/>
  <c r="P1105" i="11"/>
  <c r="AN1105" i="11"/>
  <c r="Q1105" i="11"/>
  <c r="AO1105" i="11"/>
  <c r="R1105" i="11"/>
  <c r="AP1105" i="11"/>
  <c r="S1105" i="11"/>
  <c r="AQ1105" i="11"/>
  <c r="T1105" i="11"/>
  <c r="AR1105" i="11"/>
  <c r="U1105" i="11"/>
  <c r="AS1105" i="11"/>
  <c r="V1105" i="11"/>
  <c r="AT1105" i="11"/>
  <c r="W1105" i="11"/>
  <c r="AU1105" i="11"/>
  <c r="X1105" i="11"/>
  <c r="AV1105" i="11"/>
  <c r="Y1105" i="11"/>
  <c r="AW1105" i="11"/>
  <c r="Z1105" i="11"/>
  <c r="AC1106" i="11"/>
  <c r="F1106" i="11"/>
  <c r="AD1106" i="11"/>
  <c r="G1106" i="11"/>
  <c r="AE1106" i="11"/>
  <c r="H1106" i="11"/>
  <c r="AF1106" i="11"/>
  <c r="I1106" i="11"/>
  <c r="AG1106" i="11"/>
  <c r="J1106" i="11"/>
  <c r="AH1106" i="11"/>
  <c r="K1106" i="11"/>
  <c r="AI1106" i="11"/>
  <c r="L1106" i="11"/>
  <c r="AJ1106" i="11"/>
  <c r="M1106" i="11"/>
  <c r="AK1106" i="11"/>
  <c r="N1106" i="11"/>
  <c r="AL1106" i="11"/>
  <c r="O1106" i="11"/>
  <c r="AM1106" i="11"/>
  <c r="P1106" i="11"/>
  <c r="AN1106" i="11"/>
  <c r="Q1106" i="11"/>
  <c r="AO1106" i="11"/>
  <c r="R1106" i="11"/>
  <c r="AP1106" i="11"/>
  <c r="S1106" i="11"/>
  <c r="AQ1106" i="11"/>
  <c r="T1106" i="11"/>
  <c r="AR1106" i="11"/>
  <c r="U1106" i="11"/>
  <c r="AS1106" i="11"/>
  <c r="V1106" i="11"/>
  <c r="AT1106" i="11"/>
  <c r="W1106" i="11"/>
  <c r="AU1106" i="11"/>
  <c r="X1106" i="11"/>
  <c r="AV1106" i="11"/>
  <c r="Y1106" i="11"/>
  <c r="AW1106" i="11"/>
  <c r="Z1106" i="11"/>
  <c r="AC1107" i="11"/>
  <c r="F1107" i="11"/>
  <c r="AD1107" i="11"/>
  <c r="G1107" i="11"/>
  <c r="AE1107" i="11"/>
  <c r="H1107" i="11"/>
  <c r="AF1107" i="11"/>
  <c r="I1107" i="11"/>
  <c r="AG1107" i="11"/>
  <c r="J1107" i="11"/>
  <c r="AH1107" i="11"/>
  <c r="K1107" i="11"/>
  <c r="AI1107" i="11"/>
  <c r="L1107" i="11"/>
  <c r="AJ1107" i="11"/>
  <c r="M1107" i="11"/>
  <c r="AK1107" i="11"/>
  <c r="N1107" i="11"/>
  <c r="AL1107" i="11"/>
  <c r="O1107" i="11"/>
  <c r="AM1107" i="11"/>
  <c r="P1107" i="11"/>
  <c r="AN1107" i="11"/>
  <c r="Q1107" i="11"/>
  <c r="AO1107" i="11"/>
  <c r="R1107" i="11"/>
  <c r="AP1107" i="11"/>
  <c r="S1107" i="11"/>
  <c r="AQ1107" i="11"/>
  <c r="T1107" i="11"/>
  <c r="AR1107" i="11"/>
  <c r="U1107" i="11"/>
  <c r="AS1107" i="11"/>
  <c r="V1107" i="11"/>
  <c r="AT1107" i="11"/>
  <c r="W1107" i="11"/>
  <c r="AU1107" i="11"/>
  <c r="X1107" i="11"/>
  <c r="AV1107" i="11"/>
  <c r="Y1107" i="11"/>
  <c r="AW1107" i="11"/>
  <c r="Z1107" i="11"/>
  <c r="AC1108" i="11"/>
  <c r="F1108" i="11"/>
  <c r="AD1108" i="11"/>
  <c r="G1108" i="11"/>
  <c r="AE1108" i="11"/>
  <c r="H1108" i="11"/>
  <c r="AF1108" i="11"/>
  <c r="I1108" i="11"/>
  <c r="AG1108" i="11"/>
  <c r="J1108" i="11"/>
  <c r="AH1108" i="11"/>
  <c r="K1108" i="11"/>
  <c r="AI1108" i="11"/>
  <c r="L1108" i="11"/>
  <c r="AJ1108" i="11"/>
  <c r="M1108" i="11"/>
  <c r="AK1108" i="11"/>
  <c r="N1108" i="11"/>
  <c r="AL1108" i="11"/>
  <c r="O1108" i="11"/>
  <c r="AM1108" i="11"/>
  <c r="P1108" i="11"/>
  <c r="AN1108" i="11"/>
  <c r="Q1108" i="11"/>
  <c r="AO1108" i="11"/>
  <c r="R1108" i="11"/>
  <c r="AP1108" i="11"/>
  <c r="S1108" i="11"/>
  <c r="AQ1108" i="11"/>
  <c r="T1108" i="11"/>
  <c r="AR1108" i="11"/>
  <c r="U1108" i="11"/>
  <c r="AS1108" i="11"/>
  <c r="V1108" i="11"/>
  <c r="AT1108" i="11"/>
  <c r="W1108" i="11"/>
  <c r="AU1108" i="11"/>
  <c r="X1108" i="11"/>
  <c r="AV1108" i="11"/>
  <c r="Y1108" i="11"/>
  <c r="AW1108" i="11"/>
  <c r="Z1108" i="11"/>
  <c r="AC1109" i="11"/>
  <c r="F1109" i="11"/>
  <c r="AD1109" i="11"/>
  <c r="G1109" i="11"/>
  <c r="AE1109" i="11"/>
  <c r="H1109" i="11"/>
  <c r="AF1109" i="11"/>
  <c r="I1109" i="11"/>
  <c r="AG1109" i="11"/>
  <c r="J1109" i="11"/>
  <c r="AH1109" i="11"/>
  <c r="K1109" i="11"/>
  <c r="AI1109" i="11"/>
  <c r="L1109" i="11"/>
  <c r="AJ1109" i="11"/>
  <c r="M1109" i="11"/>
  <c r="AK1109" i="11"/>
  <c r="N1109" i="11"/>
  <c r="AL1109" i="11"/>
  <c r="O1109" i="11"/>
  <c r="AM1109" i="11"/>
  <c r="P1109" i="11"/>
  <c r="AN1109" i="11"/>
  <c r="Q1109" i="11"/>
  <c r="AO1109" i="11"/>
  <c r="R1109" i="11"/>
  <c r="AP1109" i="11"/>
  <c r="S1109" i="11"/>
  <c r="AQ1109" i="11"/>
  <c r="T1109" i="11"/>
  <c r="AR1109" i="11"/>
  <c r="U1109" i="11"/>
  <c r="AS1109" i="11"/>
  <c r="V1109" i="11"/>
  <c r="AT1109" i="11"/>
  <c r="W1109" i="11"/>
  <c r="AU1109" i="11"/>
  <c r="X1109" i="11"/>
  <c r="AV1109" i="11"/>
  <c r="Y1109" i="11"/>
  <c r="AW1109" i="11"/>
  <c r="Z1109" i="11"/>
  <c r="AC1110" i="11"/>
  <c r="F1110" i="11"/>
  <c r="AD1110" i="11"/>
  <c r="G1110" i="11"/>
  <c r="AE1110" i="11"/>
  <c r="H1110" i="11"/>
  <c r="AF1110" i="11"/>
  <c r="I1110" i="11"/>
  <c r="AG1110" i="11"/>
  <c r="J1110" i="11"/>
  <c r="AH1110" i="11"/>
  <c r="K1110" i="11"/>
  <c r="AI1110" i="11"/>
  <c r="L1110" i="11"/>
  <c r="AJ1110" i="11"/>
  <c r="M1110" i="11"/>
  <c r="AK1110" i="11"/>
  <c r="N1110" i="11"/>
  <c r="AL1110" i="11"/>
  <c r="O1110" i="11"/>
  <c r="AM1110" i="11"/>
  <c r="P1110" i="11"/>
  <c r="AN1110" i="11"/>
  <c r="Q1110" i="11"/>
  <c r="AO1110" i="11"/>
  <c r="R1110" i="11"/>
  <c r="AP1110" i="11"/>
  <c r="S1110" i="11"/>
  <c r="AQ1110" i="11"/>
  <c r="T1110" i="11"/>
  <c r="AR1110" i="11"/>
  <c r="U1110" i="11"/>
  <c r="AS1110" i="11"/>
  <c r="V1110" i="11"/>
  <c r="AT1110" i="11"/>
  <c r="W1110" i="11"/>
  <c r="AU1110" i="11"/>
  <c r="X1110" i="11"/>
  <c r="AV1110" i="11"/>
  <c r="Y1110" i="11"/>
  <c r="AW1110" i="11"/>
  <c r="Z1110" i="11"/>
  <c r="AC1111" i="11"/>
  <c r="F1111" i="11"/>
  <c r="AD1111" i="11"/>
  <c r="G1111" i="11"/>
  <c r="AE1111" i="11"/>
  <c r="H1111" i="11"/>
  <c r="AF1111" i="11"/>
  <c r="I1111" i="11"/>
  <c r="AG1111" i="11"/>
  <c r="J1111" i="11"/>
  <c r="AH1111" i="11"/>
  <c r="K1111" i="11"/>
  <c r="AI1111" i="11"/>
  <c r="L1111" i="11"/>
  <c r="AJ1111" i="11"/>
  <c r="M1111" i="11"/>
  <c r="AK1111" i="11"/>
  <c r="N1111" i="11"/>
  <c r="AL1111" i="11"/>
  <c r="O1111" i="11"/>
  <c r="AM1111" i="11"/>
  <c r="P1111" i="11"/>
  <c r="AN1111" i="11"/>
  <c r="Q1111" i="11"/>
  <c r="AO1111" i="11"/>
  <c r="R1111" i="11"/>
  <c r="AP1111" i="11"/>
  <c r="S1111" i="11"/>
  <c r="AQ1111" i="11"/>
  <c r="T1111" i="11"/>
  <c r="AR1111" i="11"/>
  <c r="U1111" i="11"/>
  <c r="AS1111" i="11"/>
  <c r="V1111" i="11"/>
  <c r="AT1111" i="11"/>
  <c r="W1111" i="11"/>
  <c r="AU1111" i="11"/>
  <c r="X1111" i="11"/>
  <c r="AV1111" i="11"/>
  <c r="Y1111" i="11"/>
  <c r="AW1111" i="11"/>
  <c r="Z1111" i="11"/>
  <c r="AC1112" i="11"/>
  <c r="F1112" i="11"/>
  <c r="AD1112" i="11"/>
  <c r="G1112" i="11"/>
  <c r="AE1112" i="11"/>
  <c r="H1112" i="11"/>
  <c r="AF1112" i="11"/>
  <c r="I1112" i="11"/>
  <c r="AG1112" i="11"/>
  <c r="J1112" i="11"/>
  <c r="AH1112" i="11"/>
  <c r="K1112" i="11"/>
  <c r="AI1112" i="11"/>
  <c r="L1112" i="11"/>
  <c r="AJ1112" i="11"/>
  <c r="M1112" i="11"/>
  <c r="AK1112" i="11"/>
  <c r="N1112" i="11"/>
  <c r="AL1112" i="11"/>
  <c r="O1112" i="11"/>
  <c r="AM1112" i="11"/>
  <c r="P1112" i="11"/>
  <c r="AN1112" i="11"/>
  <c r="Q1112" i="11"/>
  <c r="AO1112" i="11"/>
  <c r="R1112" i="11"/>
  <c r="AP1112" i="11"/>
  <c r="S1112" i="11"/>
  <c r="AQ1112" i="11"/>
  <c r="T1112" i="11"/>
  <c r="AR1112" i="11"/>
  <c r="U1112" i="11"/>
  <c r="AS1112" i="11"/>
  <c r="V1112" i="11"/>
  <c r="AT1112" i="11"/>
  <c r="W1112" i="11"/>
  <c r="AU1112" i="11"/>
  <c r="X1112" i="11"/>
  <c r="AV1112" i="11"/>
  <c r="Y1112" i="11"/>
  <c r="AW1112" i="11"/>
  <c r="Z1112" i="11"/>
  <c r="AC1113" i="11"/>
  <c r="F1113" i="11"/>
  <c r="AD1113" i="11"/>
  <c r="G1113" i="11"/>
  <c r="AE1113" i="11"/>
  <c r="H1113" i="11"/>
  <c r="AF1113" i="11"/>
  <c r="I1113" i="11"/>
  <c r="AG1113" i="11"/>
  <c r="J1113" i="11"/>
  <c r="AH1113" i="11"/>
  <c r="K1113" i="11"/>
  <c r="AI1113" i="11"/>
  <c r="L1113" i="11"/>
  <c r="AJ1113" i="11"/>
  <c r="M1113" i="11"/>
  <c r="AK1113" i="11"/>
  <c r="N1113" i="11"/>
  <c r="AL1113" i="11"/>
  <c r="O1113" i="11"/>
  <c r="AM1113" i="11"/>
  <c r="P1113" i="11"/>
  <c r="AN1113" i="11"/>
  <c r="Q1113" i="11"/>
  <c r="AO1113" i="11"/>
  <c r="R1113" i="11"/>
  <c r="AP1113" i="11"/>
  <c r="S1113" i="11"/>
  <c r="AQ1113" i="11"/>
  <c r="T1113" i="11"/>
  <c r="AR1113" i="11"/>
  <c r="U1113" i="11"/>
  <c r="AS1113" i="11"/>
  <c r="V1113" i="11"/>
  <c r="AT1113" i="11"/>
  <c r="W1113" i="11"/>
  <c r="AU1113" i="11"/>
  <c r="X1113" i="11"/>
  <c r="AV1113" i="11"/>
  <c r="Y1113" i="11"/>
  <c r="AW1113" i="11"/>
  <c r="Z1113" i="11"/>
  <c r="AC1114" i="11"/>
  <c r="F1114" i="11"/>
  <c r="AD1114" i="11"/>
  <c r="G1114" i="11"/>
  <c r="AE1114" i="11"/>
  <c r="H1114" i="11"/>
  <c r="AF1114" i="11"/>
  <c r="I1114" i="11"/>
  <c r="AG1114" i="11"/>
  <c r="J1114" i="11"/>
  <c r="AH1114" i="11"/>
  <c r="K1114" i="11"/>
  <c r="AI1114" i="11"/>
  <c r="L1114" i="11"/>
  <c r="AJ1114" i="11"/>
  <c r="M1114" i="11"/>
  <c r="AK1114" i="11"/>
  <c r="N1114" i="11"/>
  <c r="AL1114" i="11"/>
  <c r="O1114" i="11"/>
  <c r="AM1114" i="11"/>
  <c r="P1114" i="11"/>
  <c r="AN1114" i="11"/>
  <c r="Q1114" i="11"/>
  <c r="AO1114" i="11"/>
  <c r="R1114" i="11"/>
  <c r="AP1114" i="11"/>
  <c r="S1114" i="11"/>
  <c r="AQ1114" i="11"/>
  <c r="T1114" i="11"/>
  <c r="AR1114" i="11"/>
  <c r="U1114" i="11"/>
  <c r="AS1114" i="11"/>
  <c r="V1114" i="11"/>
  <c r="AT1114" i="11"/>
  <c r="W1114" i="11"/>
  <c r="AU1114" i="11"/>
  <c r="X1114" i="11"/>
  <c r="AV1114" i="11"/>
  <c r="Y1114" i="11"/>
  <c r="AW1114" i="11"/>
  <c r="Z1114" i="11"/>
  <c r="AC1115" i="11"/>
  <c r="F1115" i="11"/>
  <c r="AD1115" i="11"/>
  <c r="G1115" i="11"/>
  <c r="AE1115" i="11"/>
  <c r="H1115" i="11"/>
  <c r="AF1115" i="11"/>
  <c r="I1115" i="11"/>
  <c r="AG1115" i="11"/>
  <c r="J1115" i="11"/>
  <c r="AH1115" i="11"/>
  <c r="K1115" i="11"/>
  <c r="AI1115" i="11"/>
  <c r="L1115" i="11"/>
  <c r="AJ1115" i="11"/>
  <c r="M1115" i="11"/>
  <c r="AK1115" i="11"/>
  <c r="N1115" i="11"/>
  <c r="AL1115" i="11"/>
  <c r="O1115" i="11"/>
  <c r="AM1115" i="11"/>
  <c r="P1115" i="11"/>
  <c r="AN1115" i="11"/>
  <c r="Q1115" i="11"/>
  <c r="AO1115" i="11"/>
  <c r="R1115" i="11"/>
  <c r="AP1115" i="11"/>
  <c r="S1115" i="11"/>
  <c r="AQ1115" i="11"/>
  <c r="T1115" i="11"/>
  <c r="AR1115" i="11"/>
  <c r="U1115" i="11"/>
  <c r="AS1115" i="11"/>
  <c r="V1115" i="11"/>
  <c r="AT1115" i="11"/>
  <c r="W1115" i="11"/>
  <c r="AU1115" i="11"/>
  <c r="X1115" i="11"/>
  <c r="AV1115" i="11"/>
  <c r="Y1115" i="11"/>
  <c r="AW1115" i="11"/>
  <c r="Z1115" i="11"/>
  <c r="AC1116" i="11"/>
  <c r="F1116" i="11"/>
  <c r="AD1116" i="11"/>
  <c r="G1116" i="11"/>
  <c r="AE1116" i="11"/>
  <c r="H1116" i="11"/>
  <c r="AF1116" i="11"/>
  <c r="I1116" i="11"/>
  <c r="AG1116" i="11"/>
  <c r="J1116" i="11"/>
  <c r="AH1116" i="11"/>
  <c r="K1116" i="11"/>
  <c r="AI1116" i="11"/>
  <c r="L1116" i="11"/>
  <c r="AJ1116" i="11"/>
  <c r="M1116" i="11"/>
  <c r="AK1116" i="11"/>
  <c r="N1116" i="11"/>
  <c r="AL1116" i="11"/>
  <c r="O1116" i="11"/>
  <c r="AM1116" i="11"/>
  <c r="P1116" i="11"/>
  <c r="AN1116" i="11"/>
  <c r="Q1116" i="11"/>
  <c r="AO1116" i="11"/>
  <c r="R1116" i="11"/>
  <c r="AP1116" i="11"/>
  <c r="S1116" i="11"/>
  <c r="AQ1116" i="11"/>
  <c r="T1116" i="11"/>
  <c r="AR1116" i="11"/>
  <c r="U1116" i="11"/>
  <c r="AS1116" i="11"/>
  <c r="V1116" i="11"/>
  <c r="AT1116" i="11"/>
  <c r="W1116" i="11"/>
  <c r="AU1116" i="11"/>
  <c r="X1116" i="11"/>
  <c r="AV1116" i="11"/>
  <c r="Y1116" i="11"/>
  <c r="AW1116" i="11"/>
  <c r="Z1116" i="11"/>
  <c r="AC1117" i="11"/>
  <c r="F1117" i="11"/>
  <c r="AD1117" i="11"/>
  <c r="G1117" i="11"/>
  <c r="AE1117" i="11"/>
  <c r="H1117" i="11"/>
  <c r="AF1117" i="11"/>
  <c r="I1117" i="11"/>
  <c r="AG1117" i="11"/>
  <c r="J1117" i="11"/>
  <c r="AH1117" i="11"/>
  <c r="K1117" i="11"/>
  <c r="AI1117" i="11"/>
  <c r="L1117" i="11"/>
  <c r="AJ1117" i="11"/>
  <c r="M1117" i="11"/>
  <c r="AK1117" i="11"/>
  <c r="N1117" i="11"/>
  <c r="AL1117" i="11"/>
  <c r="O1117" i="11"/>
  <c r="AM1117" i="11"/>
  <c r="P1117" i="11"/>
  <c r="AN1117" i="11"/>
  <c r="Q1117" i="11"/>
  <c r="AO1117" i="11"/>
  <c r="R1117" i="11"/>
  <c r="AP1117" i="11"/>
  <c r="S1117" i="11"/>
  <c r="AQ1117" i="11"/>
  <c r="T1117" i="11"/>
  <c r="AR1117" i="11"/>
  <c r="U1117" i="11"/>
  <c r="AS1117" i="11"/>
  <c r="V1117" i="11"/>
  <c r="AT1117" i="11"/>
  <c r="W1117" i="11"/>
  <c r="AU1117" i="11"/>
  <c r="X1117" i="11"/>
  <c r="AV1117" i="11"/>
  <c r="Y1117" i="11"/>
  <c r="AW1117" i="11"/>
  <c r="Z1117" i="11"/>
  <c r="AC1118" i="11"/>
  <c r="F1118" i="11"/>
  <c r="AD1118" i="11"/>
  <c r="G1118" i="11"/>
  <c r="AE1118" i="11"/>
  <c r="H1118" i="11"/>
  <c r="AF1118" i="11"/>
  <c r="I1118" i="11"/>
  <c r="AG1118" i="11"/>
  <c r="J1118" i="11"/>
  <c r="AH1118" i="11"/>
  <c r="K1118" i="11"/>
  <c r="AI1118" i="11"/>
  <c r="L1118" i="11"/>
  <c r="AJ1118" i="11"/>
  <c r="M1118" i="11"/>
  <c r="AK1118" i="11"/>
  <c r="N1118" i="11"/>
  <c r="AL1118" i="11"/>
  <c r="O1118" i="11"/>
  <c r="AM1118" i="11"/>
  <c r="P1118" i="11"/>
  <c r="AN1118" i="11"/>
  <c r="Q1118" i="11"/>
  <c r="AO1118" i="11"/>
  <c r="R1118" i="11"/>
  <c r="AP1118" i="11"/>
  <c r="S1118" i="11"/>
  <c r="AQ1118" i="11"/>
  <c r="T1118" i="11"/>
  <c r="AR1118" i="11"/>
  <c r="U1118" i="11"/>
  <c r="AS1118" i="11"/>
  <c r="V1118" i="11"/>
  <c r="AT1118" i="11"/>
  <c r="W1118" i="11"/>
  <c r="AU1118" i="11"/>
  <c r="X1118" i="11"/>
  <c r="AV1118" i="11"/>
  <c r="Y1118" i="11"/>
  <c r="AW1118" i="11"/>
  <c r="Z1118" i="11"/>
  <c r="AC1119" i="11"/>
  <c r="F1119" i="11"/>
  <c r="AD1119" i="11"/>
  <c r="G1119" i="11"/>
  <c r="AE1119" i="11"/>
  <c r="H1119" i="11"/>
  <c r="AF1119" i="11"/>
  <c r="I1119" i="11"/>
  <c r="AG1119" i="11"/>
  <c r="J1119" i="11"/>
  <c r="AH1119" i="11"/>
  <c r="K1119" i="11"/>
  <c r="AI1119" i="11"/>
  <c r="L1119" i="11"/>
  <c r="AJ1119" i="11"/>
  <c r="M1119" i="11"/>
  <c r="AK1119" i="11"/>
  <c r="N1119" i="11"/>
  <c r="AL1119" i="11"/>
  <c r="O1119" i="11"/>
  <c r="AM1119" i="11"/>
  <c r="P1119" i="11"/>
  <c r="AN1119" i="11"/>
  <c r="Q1119" i="11"/>
  <c r="AO1119" i="11"/>
  <c r="R1119" i="11"/>
  <c r="AP1119" i="11"/>
  <c r="S1119" i="11"/>
  <c r="AQ1119" i="11"/>
  <c r="T1119" i="11"/>
  <c r="AR1119" i="11"/>
  <c r="U1119" i="11"/>
  <c r="AS1119" i="11"/>
  <c r="V1119" i="11"/>
  <c r="AT1119" i="11"/>
  <c r="W1119" i="11"/>
  <c r="AU1119" i="11"/>
  <c r="X1119" i="11"/>
  <c r="AV1119" i="11"/>
  <c r="Y1119" i="11"/>
  <c r="AW1119" i="11"/>
  <c r="Z1119" i="11"/>
  <c r="AC1120" i="11"/>
  <c r="F1120" i="11"/>
  <c r="AD1120" i="11"/>
  <c r="G1120" i="11"/>
  <c r="AE1120" i="11"/>
  <c r="H1120" i="11"/>
  <c r="AF1120" i="11"/>
  <c r="I1120" i="11"/>
  <c r="AG1120" i="11"/>
  <c r="J1120" i="11"/>
  <c r="AH1120" i="11"/>
  <c r="K1120" i="11"/>
  <c r="AI1120" i="11"/>
  <c r="L1120" i="11"/>
  <c r="AJ1120" i="11"/>
  <c r="M1120" i="11"/>
  <c r="AK1120" i="11"/>
  <c r="N1120" i="11"/>
  <c r="AL1120" i="11"/>
  <c r="O1120" i="11"/>
  <c r="AM1120" i="11"/>
  <c r="P1120" i="11"/>
  <c r="AN1120" i="11"/>
  <c r="Q1120" i="11"/>
  <c r="AO1120" i="11"/>
  <c r="R1120" i="11"/>
  <c r="AP1120" i="11"/>
  <c r="S1120" i="11"/>
  <c r="AQ1120" i="11"/>
  <c r="T1120" i="11"/>
  <c r="AR1120" i="11"/>
  <c r="U1120" i="11"/>
  <c r="AS1120" i="11"/>
  <c r="V1120" i="11"/>
  <c r="AT1120" i="11"/>
  <c r="W1120" i="11"/>
  <c r="AU1120" i="11"/>
  <c r="X1120" i="11"/>
  <c r="AV1120" i="11"/>
  <c r="Y1120" i="11"/>
  <c r="AW1120" i="11"/>
  <c r="Z1120" i="11"/>
  <c r="AC1121" i="11"/>
  <c r="F1121" i="11"/>
  <c r="AD1121" i="11"/>
  <c r="G1121" i="11"/>
  <c r="AE1121" i="11"/>
  <c r="H1121" i="11"/>
  <c r="AF1121" i="11"/>
  <c r="I1121" i="11"/>
  <c r="AG1121" i="11"/>
  <c r="J1121" i="11"/>
  <c r="AH1121" i="11"/>
  <c r="K1121" i="11"/>
  <c r="AI1121" i="11"/>
  <c r="L1121" i="11"/>
  <c r="AJ1121" i="11"/>
  <c r="M1121" i="11"/>
  <c r="AK1121" i="11"/>
  <c r="N1121" i="11"/>
  <c r="AL1121" i="11"/>
  <c r="O1121" i="11"/>
  <c r="AM1121" i="11"/>
  <c r="P1121" i="11"/>
  <c r="AN1121" i="11"/>
  <c r="Q1121" i="11"/>
  <c r="AO1121" i="11"/>
  <c r="R1121" i="11"/>
  <c r="AP1121" i="11"/>
  <c r="S1121" i="11"/>
  <c r="AQ1121" i="11"/>
  <c r="T1121" i="11"/>
  <c r="AR1121" i="11"/>
  <c r="U1121" i="11"/>
  <c r="AS1121" i="11"/>
  <c r="V1121" i="11"/>
  <c r="AT1121" i="11"/>
  <c r="W1121" i="11"/>
  <c r="AU1121" i="11"/>
  <c r="X1121" i="11"/>
  <c r="AV1121" i="11"/>
  <c r="Y1121" i="11"/>
  <c r="AW1121" i="11"/>
  <c r="Z1121" i="11"/>
  <c r="AC1122" i="11"/>
  <c r="F1122" i="11"/>
  <c r="AD1122" i="11"/>
  <c r="G1122" i="11"/>
  <c r="AE1122" i="11"/>
  <c r="H1122" i="11"/>
  <c r="AF1122" i="11"/>
  <c r="I1122" i="11"/>
  <c r="AG1122" i="11"/>
  <c r="J1122" i="11"/>
  <c r="AH1122" i="11"/>
  <c r="K1122" i="11"/>
  <c r="AI1122" i="11"/>
  <c r="L1122" i="11"/>
  <c r="AJ1122" i="11"/>
  <c r="M1122" i="11"/>
  <c r="AK1122" i="11"/>
  <c r="N1122" i="11"/>
  <c r="AL1122" i="11"/>
  <c r="O1122" i="11"/>
  <c r="AM1122" i="11"/>
  <c r="P1122" i="11"/>
  <c r="AN1122" i="11"/>
  <c r="Q1122" i="11"/>
  <c r="AO1122" i="11"/>
  <c r="R1122" i="11"/>
  <c r="AP1122" i="11"/>
  <c r="S1122" i="11"/>
  <c r="AQ1122" i="11"/>
  <c r="T1122" i="11"/>
  <c r="AR1122" i="11"/>
  <c r="U1122" i="11"/>
  <c r="AS1122" i="11"/>
  <c r="V1122" i="11"/>
  <c r="AT1122" i="11"/>
  <c r="W1122" i="11"/>
  <c r="AU1122" i="11"/>
  <c r="X1122" i="11"/>
  <c r="AV1122" i="11"/>
  <c r="Y1122" i="11"/>
  <c r="AW1122" i="11"/>
  <c r="Z1122" i="11"/>
  <c r="AC1123" i="11"/>
  <c r="F1123" i="11"/>
  <c r="AD1123" i="11"/>
  <c r="G1123" i="11"/>
  <c r="AE1123" i="11"/>
  <c r="H1123" i="11"/>
  <c r="AF1123" i="11"/>
  <c r="I1123" i="11"/>
  <c r="AG1123" i="11"/>
  <c r="J1123" i="11"/>
  <c r="AH1123" i="11"/>
  <c r="K1123" i="11"/>
  <c r="AI1123" i="11"/>
  <c r="L1123" i="11"/>
  <c r="AJ1123" i="11"/>
  <c r="M1123" i="11"/>
  <c r="AK1123" i="11"/>
  <c r="N1123" i="11"/>
  <c r="AL1123" i="11"/>
  <c r="O1123" i="11"/>
  <c r="AM1123" i="11"/>
  <c r="P1123" i="11"/>
  <c r="AN1123" i="11"/>
  <c r="Q1123" i="11"/>
  <c r="AO1123" i="11"/>
  <c r="R1123" i="11"/>
  <c r="AP1123" i="11"/>
  <c r="S1123" i="11"/>
  <c r="AQ1123" i="11"/>
  <c r="T1123" i="11"/>
  <c r="AR1123" i="11"/>
  <c r="U1123" i="11"/>
  <c r="AS1123" i="11"/>
  <c r="V1123" i="11"/>
  <c r="AT1123" i="11"/>
  <c r="W1123" i="11"/>
  <c r="AU1123" i="11"/>
  <c r="X1123" i="11"/>
  <c r="AV1123" i="11"/>
  <c r="Y1123" i="11"/>
  <c r="AW1123" i="11"/>
  <c r="Z1123" i="11"/>
  <c r="AC1124" i="11"/>
  <c r="F1124" i="11"/>
  <c r="AD1124" i="11"/>
  <c r="G1124" i="11"/>
  <c r="AE1124" i="11"/>
  <c r="H1124" i="11"/>
  <c r="AF1124" i="11"/>
  <c r="I1124" i="11"/>
  <c r="AG1124" i="11"/>
  <c r="J1124" i="11"/>
  <c r="AH1124" i="11"/>
  <c r="K1124" i="11"/>
  <c r="AI1124" i="11"/>
  <c r="L1124" i="11"/>
  <c r="AJ1124" i="11"/>
  <c r="M1124" i="11"/>
  <c r="AK1124" i="11"/>
  <c r="N1124" i="11"/>
  <c r="AL1124" i="11"/>
  <c r="O1124" i="11"/>
  <c r="AM1124" i="11"/>
  <c r="P1124" i="11"/>
  <c r="AN1124" i="11"/>
  <c r="Q1124" i="11"/>
  <c r="AO1124" i="11"/>
  <c r="R1124" i="11"/>
  <c r="AP1124" i="11"/>
  <c r="S1124" i="11"/>
  <c r="AQ1124" i="11"/>
  <c r="T1124" i="11"/>
  <c r="AR1124" i="11"/>
  <c r="U1124" i="11"/>
  <c r="AS1124" i="11"/>
  <c r="V1124" i="11"/>
  <c r="AT1124" i="11"/>
  <c r="W1124" i="11"/>
  <c r="AU1124" i="11"/>
  <c r="X1124" i="11"/>
  <c r="AV1124" i="11"/>
  <c r="Y1124" i="11"/>
  <c r="AW1124" i="11"/>
  <c r="Z1124" i="11"/>
  <c r="AC1125" i="11"/>
  <c r="F1125" i="11"/>
  <c r="AD1125" i="11"/>
  <c r="G1125" i="11"/>
  <c r="AE1125" i="11"/>
  <c r="H1125" i="11"/>
  <c r="AF1125" i="11"/>
  <c r="I1125" i="11"/>
  <c r="AG1125" i="11"/>
  <c r="J1125" i="11"/>
  <c r="AH1125" i="11"/>
  <c r="K1125" i="11"/>
  <c r="AI1125" i="11"/>
  <c r="L1125" i="11"/>
  <c r="AJ1125" i="11"/>
  <c r="M1125" i="11"/>
  <c r="AK1125" i="11"/>
  <c r="N1125" i="11"/>
  <c r="AL1125" i="11"/>
  <c r="O1125" i="11"/>
  <c r="AM1125" i="11"/>
  <c r="P1125" i="11"/>
  <c r="AN1125" i="11"/>
  <c r="Q1125" i="11"/>
  <c r="AO1125" i="11"/>
  <c r="R1125" i="11"/>
  <c r="AP1125" i="11"/>
  <c r="S1125" i="11"/>
  <c r="AQ1125" i="11"/>
  <c r="T1125" i="11"/>
  <c r="AR1125" i="11"/>
  <c r="U1125" i="11"/>
  <c r="AS1125" i="11"/>
  <c r="V1125" i="11"/>
  <c r="AT1125" i="11"/>
  <c r="W1125" i="11"/>
  <c r="AU1125" i="11"/>
  <c r="X1125" i="11"/>
  <c r="AV1125" i="11"/>
  <c r="Y1125" i="11"/>
  <c r="AW1125" i="11"/>
  <c r="Z1125" i="11"/>
  <c r="AC1126" i="11"/>
  <c r="F1126" i="11"/>
  <c r="AD1126" i="11"/>
  <c r="G1126" i="11"/>
  <c r="AE1126" i="11"/>
  <c r="H1126" i="11"/>
  <c r="AF1126" i="11"/>
  <c r="I1126" i="11"/>
  <c r="AG1126" i="11"/>
  <c r="J1126" i="11"/>
  <c r="AH1126" i="11"/>
  <c r="K1126" i="11"/>
  <c r="AI1126" i="11"/>
  <c r="L1126" i="11"/>
  <c r="AJ1126" i="11"/>
  <c r="M1126" i="11"/>
  <c r="AK1126" i="11"/>
  <c r="N1126" i="11"/>
  <c r="AL1126" i="11"/>
  <c r="O1126" i="11"/>
  <c r="AM1126" i="11"/>
  <c r="P1126" i="11"/>
  <c r="AN1126" i="11"/>
  <c r="Q1126" i="11"/>
  <c r="AO1126" i="11"/>
  <c r="R1126" i="11"/>
  <c r="AP1126" i="11"/>
  <c r="S1126" i="11"/>
  <c r="AQ1126" i="11"/>
  <c r="T1126" i="11"/>
  <c r="AR1126" i="11"/>
  <c r="U1126" i="11"/>
  <c r="AS1126" i="11"/>
  <c r="V1126" i="11"/>
  <c r="AT1126" i="11"/>
  <c r="W1126" i="11"/>
  <c r="AU1126" i="11"/>
  <c r="X1126" i="11"/>
  <c r="AV1126" i="11"/>
  <c r="Y1126" i="11"/>
  <c r="AW1126" i="11"/>
  <c r="Z1126" i="11"/>
  <c r="AC1127" i="11"/>
  <c r="F1127" i="11"/>
  <c r="AD1127" i="11"/>
  <c r="G1127" i="11"/>
  <c r="AE1127" i="11"/>
  <c r="H1127" i="11"/>
  <c r="AF1127" i="11"/>
  <c r="I1127" i="11"/>
  <c r="AG1127" i="11"/>
  <c r="J1127" i="11"/>
  <c r="AH1127" i="11"/>
  <c r="K1127" i="11"/>
  <c r="AI1127" i="11"/>
  <c r="L1127" i="11"/>
  <c r="AJ1127" i="11"/>
  <c r="M1127" i="11"/>
  <c r="AK1127" i="11"/>
  <c r="N1127" i="11"/>
  <c r="AL1127" i="11"/>
  <c r="O1127" i="11"/>
  <c r="AM1127" i="11"/>
  <c r="P1127" i="11"/>
  <c r="AN1127" i="11"/>
  <c r="Q1127" i="11"/>
  <c r="AO1127" i="11"/>
  <c r="R1127" i="11"/>
  <c r="AP1127" i="11"/>
  <c r="S1127" i="11"/>
  <c r="AQ1127" i="11"/>
  <c r="T1127" i="11"/>
  <c r="AR1127" i="11"/>
  <c r="U1127" i="11"/>
  <c r="AS1127" i="11"/>
  <c r="V1127" i="11"/>
  <c r="AT1127" i="11"/>
  <c r="W1127" i="11"/>
  <c r="AU1127" i="11"/>
  <c r="X1127" i="11"/>
  <c r="AV1127" i="11"/>
  <c r="Y1127" i="11"/>
  <c r="AW1127" i="11"/>
  <c r="Z1127" i="11"/>
  <c r="AC1128" i="11"/>
  <c r="F1128" i="11"/>
  <c r="AD1128" i="11"/>
  <c r="G1128" i="11"/>
  <c r="AE1128" i="11"/>
  <c r="H1128" i="11"/>
  <c r="AF1128" i="11"/>
  <c r="I1128" i="11"/>
  <c r="AG1128" i="11"/>
  <c r="J1128" i="11"/>
  <c r="AH1128" i="11"/>
  <c r="K1128" i="11"/>
  <c r="AI1128" i="11"/>
  <c r="L1128" i="11"/>
  <c r="AJ1128" i="11"/>
  <c r="M1128" i="11"/>
  <c r="AK1128" i="11"/>
  <c r="N1128" i="11"/>
  <c r="AL1128" i="11"/>
  <c r="O1128" i="11"/>
  <c r="AM1128" i="11"/>
  <c r="P1128" i="11"/>
  <c r="AN1128" i="11"/>
  <c r="Q1128" i="11"/>
  <c r="AO1128" i="11"/>
  <c r="R1128" i="11"/>
  <c r="AP1128" i="11"/>
  <c r="S1128" i="11"/>
  <c r="AQ1128" i="11"/>
  <c r="T1128" i="11"/>
  <c r="AR1128" i="11"/>
  <c r="U1128" i="11"/>
  <c r="AS1128" i="11"/>
  <c r="V1128" i="11"/>
  <c r="AT1128" i="11"/>
  <c r="W1128" i="11"/>
  <c r="AU1128" i="11"/>
  <c r="X1128" i="11"/>
  <c r="AV1128" i="11"/>
  <c r="Y1128" i="11"/>
  <c r="AW1128" i="11"/>
  <c r="Z1128" i="11"/>
  <c r="AC1129" i="11"/>
  <c r="F1129" i="11"/>
  <c r="AD1129" i="11"/>
  <c r="G1129" i="11"/>
  <c r="AE1129" i="11"/>
  <c r="H1129" i="11"/>
  <c r="AF1129" i="11"/>
  <c r="I1129" i="11"/>
  <c r="AG1129" i="11"/>
  <c r="J1129" i="11"/>
  <c r="AH1129" i="11"/>
  <c r="K1129" i="11"/>
  <c r="AI1129" i="11"/>
  <c r="L1129" i="11"/>
  <c r="AJ1129" i="11"/>
  <c r="M1129" i="11"/>
  <c r="AK1129" i="11"/>
  <c r="N1129" i="11"/>
  <c r="AL1129" i="11"/>
  <c r="O1129" i="11"/>
  <c r="AM1129" i="11"/>
  <c r="P1129" i="11"/>
  <c r="AN1129" i="11"/>
  <c r="Q1129" i="11"/>
  <c r="AO1129" i="11"/>
  <c r="R1129" i="11"/>
  <c r="AP1129" i="11"/>
  <c r="S1129" i="11"/>
  <c r="AQ1129" i="11"/>
  <c r="T1129" i="11"/>
  <c r="AR1129" i="11"/>
  <c r="U1129" i="11"/>
  <c r="AS1129" i="11"/>
  <c r="V1129" i="11"/>
  <c r="AT1129" i="11"/>
  <c r="W1129" i="11"/>
  <c r="AU1129" i="11"/>
  <c r="X1129" i="11"/>
  <c r="AV1129" i="11"/>
  <c r="Y1129" i="11"/>
  <c r="AW1129" i="11"/>
  <c r="Z1129" i="11"/>
  <c r="AC1130" i="11"/>
  <c r="F1130" i="11"/>
  <c r="AD1130" i="11"/>
  <c r="G1130" i="11"/>
  <c r="AE1130" i="11"/>
  <c r="H1130" i="11"/>
  <c r="AF1130" i="11"/>
  <c r="I1130" i="11"/>
  <c r="AG1130" i="11"/>
  <c r="J1130" i="11"/>
  <c r="AH1130" i="11"/>
  <c r="K1130" i="11"/>
  <c r="AI1130" i="11"/>
  <c r="L1130" i="11"/>
  <c r="AJ1130" i="11"/>
  <c r="M1130" i="11"/>
  <c r="AK1130" i="11"/>
  <c r="N1130" i="11"/>
  <c r="AL1130" i="11"/>
  <c r="O1130" i="11"/>
  <c r="AM1130" i="11"/>
  <c r="P1130" i="11"/>
  <c r="AN1130" i="11"/>
  <c r="Q1130" i="11"/>
  <c r="AO1130" i="11"/>
  <c r="R1130" i="11"/>
  <c r="AP1130" i="11"/>
  <c r="S1130" i="11"/>
  <c r="AQ1130" i="11"/>
  <c r="T1130" i="11"/>
  <c r="AR1130" i="11"/>
  <c r="U1130" i="11"/>
  <c r="AS1130" i="11"/>
  <c r="V1130" i="11"/>
  <c r="AT1130" i="11"/>
  <c r="W1130" i="11"/>
  <c r="AU1130" i="11"/>
  <c r="X1130" i="11"/>
  <c r="AV1130" i="11"/>
  <c r="Y1130" i="11"/>
  <c r="AW1130" i="11"/>
  <c r="Z1130" i="11"/>
  <c r="AC1131" i="11"/>
  <c r="F1131" i="11"/>
  <c r="AD1131" i="11"/>
  <c r="G1131" i="11"/>
  <c r="AE1131" i="11"/>
  <c r="H1131" i="11"/>
  <c r="AF1131" i="11"/>
  <c r="I1131" i="11"/>
  <c r="AG1131" i="11"/>
  <c r="J1131" i="11"/>
  <c r="AH1131" i="11"/>
  <c r="K1131" i="11"/>
  <c r="AI1131" i="11"/>
  <c r="L1131" i="11"/>
  <c r="AJ1131" i="11"/>
  <c r="M1131" i="11"/>
  <c r="AK1131" i="11"/>
  <c r="N1131" i="11"/>
  <c r="AL1131" i="11"/>
  <c r="O1131" i="11"/>
  <c r="AM1131" i="11"/>
  <c r="P1131" i="11"/>
  <c r="AN1131" i="11"/>
  <c r="Q1131" i="11"/>
  <c r="AO1131" i="11"/>
  <c r="R1131" i="11"/>
  <c r="AP1131" i="11"/>
  <c r="S1131" i="11"/>
  <c r="AQ1131" i="11"/>
  <c r="T1131" i="11"/>
  <c r="AR1131" i="11"/>
  <c r="U1131" i="11"/>
  <c r="AS1131" i="11"/>
  <c r="V1131" i="11"/>
  <c r="AT1131" i="11"/>
  <c r="W1131" i="11"/>
  <c r="AU1131" i="11"/>
  <c r="X1131" i="11"/>
  <c r="AV1131" i="11"/>
  <c r="Y1131" i="11"/>
  <c r="AW1131" i="11"/>
  <c r="Z1131" i="11"/>
  <c r="AC1132" i="11"/>
  <c r="F1132" i="11"/>
  <c r="AD1132" i="11"/>
  <c r="G1132" i="11"/>
  <c r="AE1132" i="11"/>
  <c r="H1132" i="11"/>
  <c r="AF1132" i="11"/>
  <c r="I1132" i="11"/>
  <c r="AG1132" i="11"/>
  <c r="J1132" i="11"/>
  <c r="AH1132" i="11"/>
  <c r="K1132" i="11"/>
  <c r="AI1132" i="11"/>
  <c r="L1132" i="11"/>
  <c r="AJ1132" i="11"/>
  <c r="M1132" i="11"/>
  <c r="AK1132" i="11"/>
  <c r="N1132" i="11"/>
  <c r="AL1132" i="11"/>
  <c r="O1132" i="11"/>
  <c r="AM1132" i="11"/>
  <c r="P1132" i="11"/>
  <c r="AN1132" i="11"/>
  <c r="Q1132" i="11"/>
  <c r="AO1132" i="11"/>
  <c r="R1132" i="11"/>
  <c r="AP1132" i="11"/>
  <c r="S1132" i="11"/>
  <c r="AQ1132" i="11"/>
  <c r="T1132" i="11"/>
  <c r="AR1132" i="11"/>
  <c r="U1132" i="11"/>
  <c r="AS1132" i="11"/>
  <c r="V1132" i="11"/>
  <c r="AT1132" i="11"/>
  <c r="W1132" i="11"/>
  <c r="AU1132" i="11"/>
  <c r="X1132" i="11"/>
  <c r="AV1132" i="11"/>
  <c r="Y1132" i="11"/>
  <c r="AW1132" i="11"/>
  <c r="Z1132" i="11"/>
  <c r="AC1133" i="11"/>
  <c r="F1133" i="11"/>
  <c r="AD1133" i="11"/>
  <c r="G1133" i="11"/>
  <c r="AE1133" i="11"/>
  <c r="H1133" i="11"/>
  <c r="AF1133" i="11"/>
  <c r="I1133" i="11"/>
  <c r="AG1133" i="11"/>
  <c r="J1133" i="11"/>
  <c r="AH1133" i="11"/>
  <c r="K1133" i="11"/>
  <c r="AI1133" i="11"/>
  <c r="L1133" i="11"/>
  <c r="AJ1133" i="11"/>
  <c r="M1133" i="11"/>
  <c r="AK1133" i="11"/>
  <c r="N1133" i="11"/>
  <c r="AL1133" i="11"/>
  <c r="O1133" i="11"/>
  <c r="AM1133" i="11"/>
  <c r="P1133" i="11"/>
  <c r="AN1133" i="11"/>
  <c r="Q1133" i="11"/>
  <c r="AO1133" i="11"/>
  <c r="R1133" i="11"/>
  <c r="AP1133" i="11"/>
  <c r="S1133" i="11"/>
  <c r="AQ1133" i="11"/>
  <c r="T1133" i="11"/>
  <c r="AR1133" i="11"/>
  <c r="U1133" i="11"/>
  <c r="AS1133" i="11"/>
  <c r="V1133" i="11"/>
  <c r="AT1133" i="11"/>
  <c r="W1133" i="11"/>
  <c r="AU1133" i="11"/>
  <c r="X1133" i="11"/>
  <c r="AV1133" i="11"/>
  <c r="Y1133" i="11"/>
  <c r="AW1133" i="11"/>
  <c r="Z1133" i="11"/>
  <c r="AC1134" i="11"/>
  <c r="F1134" i="11"/>
  <c r="AD1134" i="11"/>
  <c r="G1134" i="11"/>
  <c r="AE1134" i="11"/>
  <c r="H1134" i="11"/>
  <c r="AF1134" i="11"/>
  <c r="I1134" i="11"/>
  <c r="AG1134" i="11"/>
  <c r="J1134" i="11"/>
  <c r="AH1134" i="11"/>
  <c r="K1134" i="11"/>
  <c r="AI1134" i="11"/>
  <c r="L1134" i="11"/>
  <c r="AJ1134" i="11"/>
  <c r="M1134" i="11"/>
  <c r="AK1134" i="11"/>
  <c r="N1134" i="11"/>
  <c r="AL1134" i="11"/>
  <c r="O1134" i="11"/>
  <c r="AM1134" i="11"/>
  <c r="P1134" i="11"/>
  <c r="AN1134" i="11"/>
  <c r="Q1134" i="11"/>
  <c r="AO1134" i="11"/>
  <c r="R1134" i="11"/>
  <c r="AP1134" i="11"/>
  <c r="S1134" i="11"/>
  <c r="AQ1134" i="11"/>
  <c r="T1134" i="11"/>
  <c r="AR1134" i="11"/>
  <c r="U1134" i="11"/>
  <c r="AS1134" i="11"/>
  <c r="V1134" i="11"/>
  <c r="AT1134" i="11"/>
  <c r="W1134" i="11"/>
  <c r="AU1134" i="11"/>
  <c r="X1134" i="11"/>
  <c r="AV1134" i="11"/>
  <c r="Y1134" i="11"/>
  <c r="AW1134" i="11"/>
  <c r="Z1134" i="11"/>
  <c r="AC1135" i="11"/>
  <c r="F1135" i="11"/>
  <c r="AD1135" i="11"/>
  <c r="G1135" i="11"/>
  <c r="AE1135" i="11"/>
  <c r="H1135" i="11"/>
  <c r="AF1135" i="11"/>
  <c r="I1135" i="11"/>
  <c r="AG1135" i="11"/>
  <c r="J1135" i="11"/>
  <c r="AH1135" i="11"/>
  <c r="K1135" i="11"/>
  <c r="AI1135" i="11"/>
  <c r="L1135" i="11"/>
  <c r="AJ1135" i="11"/>
  <c r="M1135" i="11"/>
  <c r="AK1135" i="11"/>
  <c r="N1135" i="11"/>
  <c r="AL1135" i="11"/>
  <c r="O1135" i="11"/>
  <c r="AM1135" i="11"/>
  <c r="P1135" i="11"/>
  <c r="AN1135" i="11"/>
  <c r="Q1135" i="11"/>
  <c r="AO1135" i="11"/>
  <c r="R1135" i="11"/>
  <c r="AP1135" i="11"/>
  <c r="S1135" i="11"/>
  <c r="AQ1135" i="11"/>
  <c r="T1135" i="11"/>
  <c r="AR1135" i="11"/>
  <c r="U1135" i="11"/>
  <c r="AS1135" i="11"/>
  <c r="V1135" i="11"/>
  <c r="AT1135" i="11"/>
  <c r="W1135" i="11"/>
  <c r="AU1135" i="11"/>
  <c r="X1135" i="11"/>
  <c r="AV1135" i="11"/>
  <c r="Y1135" i="11"/>
  <c r="AW1135" i="11"/>
  <c r="Z1135" i="11"/>
  <c r="AC1136" i="11"/>
  <c r="F1136" i="11"/>
  <c r="AD1136" i="11"/>
  <c r="G1136" i="11"/>
  <c r="AE1136" i="11"/>
  <c r="H1136" i="11"/>
  <c r="AF1136" i="11"/>
  <c r="I1136" i="11"/>
  <c r="AG1136" i="11"/>
  <c r="J1136" i="11"/>
  <c r="AH1136" i="11"/>
  <c r="K1136" i="11"/>
  <c r="AI1136" i="11"/>
  <c r="L1136" i="11"/>
  <c r="AJ1136" i="11"/>
  <c r="M1136" i="11"/>
  <c r="AK1136" i="11"/>
  <c r="N1136" i="11"/>
  <c r="AL1136" i="11"/>
  <c r="O1136" i="11"/>
  <c r="AM1136" i="11"/>
  <c r="P1136" i="11"/>
  <c r="AN1136" i="11"/>
  <c r="Q1136" i="11"/>
  <c r="AO1136" i="11"/>
  <c r="R1136" i="11"/>
  <c r="AP1136" i="11"/>
  <c r="S1136" i="11"/>
  <c r="AQ1136" i="11"/>
  <c r="T1136" i="11"/>
  <c r="AR1136" i="11"/>
  <c r="U1136" i="11"/>
  <c r="AS1136" i="11"/>
  <c r="V1136" i="11"/>
  <c r="AT1136" i="11"/>
  <c r="W1136" i="11"/>
  <c r="AU1136" i="11"/>
  <c r="X1136" i="11"/>
  <c r="AV1136" i="11"/>
  <c r="Y1136" i="11"/>
  <c r="AW1136" i="11"/>
  <c r="Z1136" i="11"/>
  <c r="AC1137" i="11"/>
  <c r="F1137" i="11"/>
  <c r="AD1137" i="11"/>
  <c r="G1137" i="11"/>
  <c r="AE1137" i="11"/>
  <c r="H1137" i="11"/>
  <c r="AF1137" i="11"/>
  <c r="I1137" i="11"/>
  <c r="AG1137" i="11"/>
  <c r="J1137" i="11"/>
  <c r="AH1137" i="11"/>
  <c r="K1137" i="11"/>
  <c r="AI1137" i="11"/>
  <c r="L1137" i="11"/>
  <c r="AJ1137" i="11"/>
  <c r="M1137" i="11"/>
  <c r="AK1137" i="11"/>
  <c r="N1137" i="11"/>
  <c r="AL1137" i="11"/>
  <c r="O1137" i="11"/>
  <c r="AM1137" i="11"/>
  <c r="P1137" i="11"/>
  <c r="AN1137" i="11"/>
  <c r="Q1137" i="11"/>
  <c r="AO1137" i="11"/>
  <c r="R1137" i="11"/>
  <c r="AP1137" i="11"/>
  <c r="S1137" i="11"/>
  <c r="AQ1137" i="11"/>
  <c r="T1137" i="11"/>
  <c r="AR1137" i="11"/>
  <c r="U1137" i="11"/>
  <c r="AS1137" i="11"/>
  <c r="V1137" i="11"/>
  <c r="AT1137" i="11"/>
  <c r="W1137" i="11"/>
  <c r="AU1137" i="11"/>
  <c r="X1137" i="11"/>
  <c r="AV1137" i="11"/>
  <c r="Y1137" i="11"/>
  <c r="AW1137" i="11"/>
  <c r="Z1137" i="11"/>
  <c r="AC1138" i="11"/>
  <c r="F1138" i="11"/>
  <c r="AD1138" i="11"/>
  <c r="G1138" i="11"/>
  <c r="AE1138" i="11"/>
  <c r="H1138" i="11"/>
  <c r="AF1138" i="11"/>
  <c r="I1138" i="11"/>
  <c r="AG1138" i="11"/>
  <c r="J1138" i="11"/>
  <c r="AH1138" i="11"/>
  <c r="K1138" i="11"/>
  <c r="AI1138" i="11"/>
  <c r="L1138" i="11"/>
  <c r="AJ1138" i="11"/>
  <c r="M1138" i="11"/>
  <c r="AK1138" i="11"/>
  <c r="N1138" i="11"/>
  <c r="AL1138" i="11"/>
  <c r="O1138" i="11"/>
  <c r="AM1138" i="11"/>
  <c r="P1138" i="11"/>
  <c r="AN1138" i="11"/>
  <c r="Q1138" i="11"/>
  <c r="AO1138" i="11"/>
  <c r="R1138" i="11"/>
  <c r="AP1138" i="11"/>
  <c r="S1138" i="11"/>
  <c r="AQ1138" i="11"/>
  <c r="T1138" i="11"/>
  <c r="AR1138" i="11"/>
  <c r="U1138" i="11"/>
  <c r="AS1138" i="11"/>
  <c r="V1138" i="11"/>
  <c r="AT1138" i="11"/>
  <c r="W1138" i="11"/>
  <c r="AU1138" i="11"/>
  <c r="X1138" i="11"/>
  <c r="AV1138" i="11"/>
  <c r="Y1138" i="11"/>
  <c r="AW1138" i="11"/>
  <c r="Z1138" i="11"/>
  <c r="AC1139" i="11"/>
  <c r="F1139" i="11"/>
  <c r="AD1139" i="11"/>
  <c r="G1139" i="11"/>
  <c r="AE1139" i="11"/>
  <c r="H1139" i="11"/>
  <c r="AF1139" i="11"/>
  <c r="I1139" i="11"/>
  <c r="AG1139" i="11"/>
  <c r="J1139" i="11"/>
  <c r="AH1139" i="11"/>
  <c r="K1139" i="11"/>
  <c r="AI1139" i="11"/>
  <c r="L1139" i="11"/>
  <c r="AJ1139" i="11"/>
  <c r="M1139" i="11"/>
  <c r="AK1139" i="11"/>
  <c r="N1139" i="11"/>
  <c r="AL1139" i="11"/>
  <c r="O1139" i="11"/>
  <c r="AM1139" i="11"/>
  <c r="P1139" i="11"/>
  <c r="AN1139" i="11"/>
  <c r="Q1139" i="11"/>
  <c r="AO1139" i="11"/>
  <c r="R1139" i="11"/>
  <c r="AP1139" i="11"/>
  <c r="S1139" i="11"/>
  <c r="AQ1139" i="11"/>
  <c r="T1139" i="11"/>
  <c r="AR1139" i="11"/>
  <c r="U1139" i="11"/>
  <c r="AS1139" i="11"/>
  <c r="V1139" i="11"/>
  <c r="AT1139" i="11"/>
  <c r="W1139" i="11"/>
  <c r="AU1139" i="11"/>
  <c r="X1139" i="11"/>
  <c r="AV1139" i="11"/>
  <c r="Y1139" i="11"/>
  <c r="AW1139" i="11"/>
  <c r="Z1139" i="11"/>
  <c r="AC1140" i="11"/>
  <c r="F1140" i="11"/>
  <c r="AD1140" i="11"/>
  <c r="G1140" i="11"/>
  <c r="AE1140" i="11"/>
  <c r="H1140" i="11"/>
  <c r="AF1140" i="11"/>
  <c r="I1140" i="11"/>
  <c r="AG1140" i="11"/>
  <c r="J1140" i="11"/>
  <c r="AH1140" i="11"/>
  <c r="K1140" i="11"/>
  <c r="AI1140" i="11"/>
  <c r="L1140" i="11"/>
  <c r="AJ1140" i="11"/>
  <c r="M1140" i="11"/>
  <c r="AK1140" i="11"/>
  <c r="N1140" i="11"/>
  <c r="AL1140" i="11"/>
  <c r="O1140" i="11"/>
  <c r="AM1140" i="11"/>
  <c r="P1140" i="11"/>
  <c r="AN1140" i="11"/>
  <c r="Q1140" i="11"/>
  <c r="AO1140" i="11"/>
  <c r="R1140" i="11"/>
  <c r="AP1140" i="11"/>
  <c r="S1140" i="11"/>
  <c r="AQ1140" i="11"/>
  <c r="T1140" i="11"/>
  <c r="AR1140" i="11"/>
  <c r="U1140" i="11"/>
  <c r="AS1140" i="11"/>
  <c r="V1140" i="11"/>
  <c r="AT1140" i="11"/>
  <c r="W1140" i="11"/>
  <c r="AU1140" i="11"/>
  <c r="X1140" i="11"/>
  <c r="AV1140" i="11"/>
  <c r="Y1140" i="11"/>
  <c r="AW1140" i="11"/>
  <c r="Z1140" i="11"/>
  <c r="AC1141" i="11"/>
  <c r="F1141" i="11"/>
  <c r="AD1141" i="11"/>
  <c r="G1141" i="11"/>
  <c r="AE1141" i="11"/>
  <c r="H1141" i="11"/>
  <c r="AF1141" i="11"/>
  <c r="I1141" i="11"/>
  <c r="AG1141" i="11"/>
  <c r="J1141" i="11"/>
  <c r="AH1141" i="11"/>
  <c r="K1141" i="11"/>
  <c r="AI1141" i="11"/>
  <c r="L1141" i="11"/>
  <c r="AJ1141" i="11"/>
  <c r="M1141" i="11"/>
  <c r="AK1141" i="11"/>
  <c r="N1141" i="11"/>
  <c r="AL1141" i="11"/>
  <c r="O1141" i="11"/>
  <c r="AM1141" i="11"/>
  <c r="P1141" i="11"/>
  <c r="AN1141" i="11"/>
  <c r="Q1141" i="11"/>
  <c r="AO1141" i="11"/>
  <c r="R1141" i="11"/>
  <c r="AP1141" i="11"/>
  <c r="S1141" i="11"/>
  <c r="AQ1141" i="11"/>
  <c r="T1141" i="11"/>
  <c r="AR1141" i="11"/>
  <c r="U1141" i="11"/>
  <c r="AS1141" i="11"/>
  <c r="V1141" i="11"/>
  <c r="AT1141" i="11"/>
  <c r="W1141" i="11"/>
  <c r="AU1141" i="11"/>
  <c r="X1141" i="11"/>
  <c r="AV1141" i="11"/>
  <c r="Y1141" i="11"/>
  <c r="AW1141" i="11"/>
  <c r="Z1141" i="11"/>
  <c r="AC1142" i="11"/>
  <c r="F1142" i="11"/>
  <c r="AD1142" i="11"/>
  <c r="G1142" i="11"/>
  <c r="AE1142" i="11"/>
  <c r="H1142" i="11"/>
  <c r="AF1142" i="11"/>
  <c r="I1142" i="11"/>
  <c r="AG1142" i="11"/>
  <c r="J1142" i="11"/>
  <c r="AH1142" i="11"/>
  <c r="K1142" i="11"/>
  <c r="AI1142" i="11"/>
  <c r="L1142" i="11"/>
  <c r="AJ1142" i="11"/>
  <c r="M1142" i="11"/>
  <c r="AK1142" i="11"/>
  <c r="N1142" i="11"/>
  <c r="AL1142" i="11"/>
  <c r="O1142" i="11"/>
  <c r="AM1142" i="11"/>
  <c r="P1142" i="11"/>
  <c r="AN1142" i="11"/>
  <c r="Q1142" i="11"/>
  <c r="AO1142" i="11"/>
  <c r="R1142" i="11"/>
  <c r="AP1142" i="11"/>
  <c r="S1142" i="11"/>
  <c r="AQ1142" i="11"/>
  <c r="T1142" i="11"/>
  <c r="AR1142" i="11"/>
  <c r="U1142" i="11"/>
  <c r="AS1142" i="11"/>
  <c r="V1142" i="11"/>
  <c r="AT1142" i="11"/>
  <c r="W1142" i="11"/>
  <c r="AU1142" i="11"/>
  <c r="X1142" i="11"/>
  <c r="AV1142" i="11"/>
  <c r="Y1142" i="11"/>
  <c r="AW1142" i="11"/>
  <c r="Z1142" i="11"/>
  <c r="AC1143" i="11"/>
  <c r="F1143" i="11"/>
  <c r="AD1143" i="11"/>
  <c r="G1143" i="11"/>
  <c r="AE1143" i="11"/>
  <c r="H1143" i="11"/>
  <c r="AF1143" i="11"/>
  <c r="I1143" i="11"/>
  <c r="AG1143" i="11"/>
  <c r="J1143" i="11"/>
  <c r="AH1143" i="11"/>
  <c r="K1143" i="11"/>
  <c r="AI1143" i="11"/>
  <c r="L1143" i="11"/>
  <c r="AJ1143" i="11"/>
  <c r="M1143" i="11"/>
  <c r="AK1143" i="11"/>
  <c r="N1143" i="11"/>
  <c r="AL1143" i="11"/>
  <c r="O1143" i="11"/>
  <c r="AM1143" i="11"/>
  <c r="P1143" i="11"/>
  <c r="AN1143" i="11"/>
  <c r="Q1143" i="11"/>
  <c r="AO1143" i="11"/>
  <c r="R1143" i="11"/>
  <c r="AP1143" i="11"/>
  <c r="S1143" i="11"/>
  <c r="AQ1143" i="11"/>
  <c r="T1143" i="11"/>
  <c r="AR1143" i="11"/>
  <c r="U1143" i="11"/>
  <c r="AS1143" i="11"/>
  <c r="V1143" i="11"/>
  <c r="AT1143" i="11"/>
  <c r="W1143" i="11"/>
  <c r="AU1143" i="11"/>
  <c r="X1143" i="11"/>
  <c r="AV1143" i="11"/>
  <c r="Y1143" i="11"/>
  <c r="AW1143" i="11"/>
  <c r="Z1143" i="11"/>
  <c r="AC1144" i="11"/>
  <c r="F1144" i="11"/>
  <c r="AD1144" i="11"/>
  <c r="G1144" i="11"/>
  <c r="AE1144" i="11"/>
  <c r="H1144" i="11"/>
  <c r="AF1144" i="11"/>
  <c r="I1144" i="11"/>
  <c r="AG1144" i="11"/>
  <c r="J1144" i="11"/>
  <c r="AH1144" i="11"/>
  <c r="K1144" i="11"/>
  <c r="AI1144" i="11"/>
  <c r="L1144" i="11"/>
  <c r="AJ1144" i="11"/>
  <c r="M1144" i="11"/>
  <c r="AK1144" i="11"/>
  <c r="N1144" i="11"/>
  <c r="AL1144" i="11"/>
  <c r="O1144" i="11"/>
  <c r="AM1144" i="11"/>
  <c r="P1144" i="11"/>
  <c r="AN1144" i="11"/>
  <c r="Q1144" i="11"/>
  <c r="AO1144" i="11"/>
  <c r="R1144" i="11"/>
  <c r="AP1144" i="11"/>
  <c r="S1144" i="11"/>
  <c r="AQ1144" i="11"/>
  <c r="T1144" i="11"/>
  <c r="AR1144" i="11"/>
  <c r="U1144" i="11"/>
  <c r="AS1144" i="11"/>
  <c r="V1144" i="11"/>
  <c r="AT1144" i="11"/>
  <c r="W1144" i="11"/>
  <c r="AU1144" i="11"/>
  <c r="X1144" i="11"/>
  <c r="AV1144" i="11"/>
  <c r="Y1144" i="11"/>
  <c r="AW1144" i="11"/>
  <c r="Z1144" i="11"/>
  <c r="AC1145" i="11"/>
  <c r="F1145" i="11"/>
  <c r="AD1145" i="11"/>
  <c r="G1145" i="11"/>
  <c r="AE1145" i="11"/>
  <c r="H1145" i="11"/>
  <c r="AF1145" i="11"/>
  <c r="I1145" i="11"/>
  <c r="AG1145" i="11"/>
  <c r="J1145" i="11"/>
  <c r="AH1145" i="11"/>
  <c r="K1145" i="11"/>
  <c r="AI1145" i="11"/>
  <c r="L1145" i="11"/>
  <c r="AJ1145" i="11"/>
  <c r="M1145" i="11"/>
  <c r="AK1145" i="11"/>
  <c r="N1145" i="11"/>
  <c r="AL1145" i="11"/>
  <c r="O1145" i="11"/>
  <c r="AM1145" i="11"/>
  <c r="P1145" i="11"/>
  <c r="AN1145" i="11"/>
  <c r="Q1145" i="11"/>
  <c r="AO1145" i="11"/>
  <c r="R1145" i="11"/>
  <c r="AP1145" i="11"/>
  <c r="S1145" i="11"/>
  <c r="AQ1145" i="11"/>
  <c r="T1145" i="11"/>
  <c r="AR1145" i="11"/>
  <c r="U1145" i="11"/>
  <c r="AS1145" i="11"/>
  <c r="V1145" i="11"/>
  <c r="AT1145" i="11"/>
  <c r="W1145" i="11"/>
  <c r="AU1145" i="11"/>
  <c r="X1145" i="11"/>
  <c r="AV1145" i="11"/>
  <c r="Y1145" i="11"/>
  <c r="AW1145" i="11"/>
  <c r="Z1145" i="11"/>
  <c r="AC1146" i="11"/>
  <c r="F1146" i="11"/>
  <c r="AD1146" i="11"/>
  <c r="G1146" i="11"/>
  <c r="AE1146" i="11"/>
  <c r="H1146" i="11"/>
  <c r="AF1146" i="11"/>
  <c r="I1146" i="11"/>
  <c r="AG1146" i="11"/>
  <c r="J1146" i="11"/>
  <c r="AH1146" i="11"/>
  <c r="K1146" i="11"/>
  <c r="AI1146" i="11"/>
  <c r="L1146" i="11"/>
  <c r="AJ1146" i="11"/>
  <c r="M1146" i="11"/>
  <c r="AK1146" i="11"/>
  <c r="N1146" i="11"/>
  <c r="AL1146" i="11"/>
  <c r="O1146" i="11"/>
  <c r="AM1146" i="11"/>
  <c r="P1146" i="11"/>
  <c r="AN1146" i="11"/>
  <c r="Q1146" i="11"/>
  <c r="AO1146" i="11"/>
  <c r="R1146" i="11"/>
  <c r="AP1146" i="11"/>
  <c r="S1146" i="11"/>
  <c r="AQ1146" i="11"/>
  <c r="T1146" i="11"/>
  <c r="AR1146" i="11"/>
  <c r="U1146" i="11"/>
  <c r="AS1146" i="11"/>
  <c r="V1146" i="11"/>
  <c r="AT1146" i="11"/>
  <c r="W1146" i="11"/>
  <c r="AU1146" i="11"/>
  <c r="X1146" i="11"/>
  <c r="AV1146" i="11"/>
  <c r="Y1146" i="11"/>
  <c r="AW1146" i="11"/>
  <c r="Z1146" i="11"/>
  <c r="AC1147" i="11"/>
  <c r="F1147" i="11"/>
  <c r="AD1147" i="11"/>
  <c r="G1147" i="11"/>
  <c r="AE1147" i="11"/>
  <c r="H1147" i="11"/>
  <c r="AF1147" i="11"/>
  <c r="I1147" i="11"/>
  <c r="AG1147" i="11"/>
  <c r="J1147" i="11"/>
  <c r="AH1147" i="11"/>
  <c r="K1147" i="11"/>
  <c r="AI1147" i="11"/>
  <c r="L1147" i="11"/>
  <c r="AJ1147" i="11"/>
  <c r="M1147" i="11"/>
  <c r="AK1147" i="11"/>
  <c r="N1147" i="11"/>
  <c r="AL1147" i="11"/>
  <c r="O1147" i="11"/>
  <c r="AM1147" i="11"/>
  <c r="P1147" i="11"/>
  <c r="AN1147" i="11"/>
  <c r="Q1147" i="11"/>
  <c r="AO1147" i="11"/>
  <c r="R1147" i="11"/>
  <c r="AP1147" i="11"/>
  <c r="S1147" i="11"/>
  <c r="AQ1147" i="11"/>
  <c r="T1147" i="11"/>
  <c r="AR1147" i="11"/>
  <c r="U1147" i="11"/>
  <c r="AS1147" i="11"/>
  <c r="V1147" i="11"/>
  <c r="AT1147" i="11"/>
  <c r="W1147" i="11"/>
  <c r="AU1147" i="11"/>
  <c r="X1147" i="11"/>
  <c r="AV1147" i="11"/>
  <c r="Y1147" i="11"/>
  <c r="AW1147" i="11"/>
  <c r="Z1147" i="11"/>
  <c r="AC1148" i="11"/>
  <c r="F1148" i="11"/>
  <c r="AD1148" i="11"/>
  <c r="G1148" i="11"/>
  <c r="AE1148" i="11"/>
  <c r="H1148" i="11"/>
  <c r="AF1148" i="11"/>
  <c r="I1148" i="11"/>
  <c r="AG1148" i="11"/>
  <c r="J1148" i="11"/>
  <c r="AH1148" i="11"/>
  <c r="K1148" i="11"/>
  <c r="AI1148" i="11"/>
  <c r="L1148" i="11"/>
  <c r="AJ1148" i="11"/>
  <c r="M1148" i="11"/>
  <c r="AK1148" i="11"/>
  <c r="N1148" i="11"/>
  <c r="AL1148" i="11"/>
  <c r="O1148" i="11"/>
  <c r="AM1148" i="11"/>
  <c r="P1148" i="11"/>
  <c r="AN1148" i="11"/>
  <c r="Q1148" i="11"/>
  <c r="AO1148" i="11"/>
  <c r="R1148" i="11"/>
  <c r="AP1148" i="11"/>
  <c r="S1148" i="11"/>
  <c r="AQ1148" i="11"/>
  <c r="T1148" i="11"/>
  <c r="AR1148" i="11"/>
  <c r="U1148" i="11"/>
  <c r="AS1148" i="11"/>
  <c r="V1148" i="11"/>
  <c r="AT1148" i="11"/>
  <c r="W1148" i="11"/>
  <c r="AU1148" i="11"/>
  <c r="X1148" i="11"/>
  <c r="AV1148" i="11"/>
  <c r="Y1148" i="11"/>
  <c r="AW1148" i="11"/>
  <c r="Z1148" i="11"/>
  <c r="AC1149" i="11"/>
  <c r="F1149" i="11"/>
  <c r="AD1149" i="11"/>
  <c r="G1149" i="11"/>
  <c r="AE1149" i="11"/>
  <c r="H1149" i="11"/>
  <c r="AF1149" i="11"/>
  <c r="I1149" i="11"/>
  <c r="AG1149" i="11"/>
  <c r="J1149" i="11"/>
  <c r="AH1149" i="11"/>
  <c r="K1149" i="11"/>
  <c r="AI1149" i="11"/>
  <c r="L1149" i="11"/>
  <c r="AJ1149" i="11"/>
  <c r="M1149" i="11"/>
  <c r="AK1149" i="11"/>
  <c r="N1149" i="11"/>
  <c r="AL1149" i="11"/>
  <c r="O1149" i="11"/>
  <c r="AM1149" i="11"/>
  <c r="P1149" i="11"/>
  <c r="AN1149" i="11"/>
  <c r="Q1149" i="11"/>
  <c r="AO1149" i="11"/>
  <c r="R1149" i="11"/>
  <c r="AP1149" i="11"/>
  <c r="S1149" i="11"/>
  <c r="AQ1149" i="11"/>
  <c r="T1149" i="11"/>
  <c r="AR1149" i="11"/>
  <c r="U1149" i="11"/>
  <c r="AS1149" i="11"/>
  <c r="V1149" i="11"/>
  <c r="AT1149" i="11"/>
  <c r="W1149" i="11"/>
  <c r="AU1149" i="11"/>
  <c r="X1149" i="11"/>
  <c r="AV1149" i="11"/>
  <c r="Y1149" i="11"/>
  <c r="AW1149" i="11"/>
  <c r="Z1149" i="11"/>
  <c r="AC1150" i="11"/>
  <c r="F1150" i="11"/>
  <c r="AD1150" i="11"/>
  <c r="G1150" i="11"/>
  <c r="AE1150" i="11"/>
  <c r="H1150" i="11"/>
  <c r="AF1150" i="11"/>
  <c r="I1150" i="11"/>
  <c r="AG1150" i="11"/>
  <c r="J1150" i="11"/>
  <c r="AH1150" i="11"/>
  <c r="K1150" i="11"/>
  <c r="AI1150" i="11"/>
  <c r="L1150" i="11"/>
  <c r="AJ1150" i="11"/>
  <c r="M1150" i="11"/>
  <c r="AK1150" i="11"/>
  <c r="N1150" i="11"/>
  <c r="AL1150" i="11"/>
  <c r="O1150" i="11"/>
  <c r="AM1150" i="11"/>
  <c r="P1150" i="11"/>
  <c r="AN1150" i="11"/>
  <c r="Q1150" i="11"/>
  <c r="AO1150" i="11"/>
  <c r="R1150" i="11"/>
  <c r="AP1150" i="11"/>
  <c r="S1150" i="11"/>
  <c r="AQ1150" i="11"/>
  <c r="T1150" i="11"/>
  <c r="AR1150" i="11"/>
  <c r="U1150" i="11"/>
  <c r="AS1150" i="11"/>
  <c r="V1150" i="11"/>
  <c r="AT1150" i="11"/>
  <c r="W1150" i="11"/>
  <c r="AU1150" i="11"/>
  <c r="X1150" i="11"/>
  <c r="AV1150" i="11"/>
  <c r="Y1150" i="11"/>
  <c r="AW1150" i="11"/>
  <c r="Z1150" i="11"/>
  <c r="AC1151" i="11"/>
  <c r="F1151" i="11"/>
  <c r="AD1151" i="11"/>
  <c r="G1151" i="11"/>
  <c r="AE1151" i="11"/>
  <c r="H1151" i="11"/>
  <c r="AF1151" i="11"/>
  <c r="I1151" i="11"/>
  <c r="AG1151" i="11"/>
  <c r="J1151" i="11"/>
  <c r="AH1151" i="11"/>
  <c r="K1151" i="11"/>
  <c r="AI1151" i="11"/>
  <c r="L1151" i="11"/>
  <c r="AJ1151" i="11"/>
  <c r="M1151" i="11"/>
  <c r="AK1151" i="11"/>
  <c r="N1151" i="11"/>
  <c r="AL1151" i="11"/>
  <c r="O1151" i="11"/>
  <c r="AM1151" i="11"/>
  <c r="P1151" i="11"/>
  <c r="AN1151" i="11"/>
  <c r="Q1151" i="11"/>
  <c r="AO1151" i="11"/>
  <c r="R1151" i="11"/>
  <c r="AP1151" i="11"/>
  <c r="S1151" i="11"/>
  <c r="AQ1151" i="11"/>
  <c r="T1151" i="11"/>
  <c r="AR1151" i="11"/>
  <c r="U1151" i="11"/>
  <c r="AS1151" i="11"/>
  <c r="V1151" i="11"/>
  <c r="AT1151" i="11"/>
  <c r="W1151" i="11"/>
  <c r="AU1151" i="11"/>
  <c r="X1151" i="11"/>
  <c r="AV1151" i="11"/>
  <c r="Y1151" i="11"/>
  <c r="AW1151" i="11"/>
  <c r="Z1151" i="11"/>
  <c r="AC1152" i="11"/>
  <c r="F1152" i="11"/>
  <c r="AD1152" i="11"/>
  <c r="G1152" i="11"/>
  <c r="AE1152" i="11"/>
  <c r="H1152" i="11"/>
  <c r="AF1152" i="11"/>
  <c r="I1152" i="11"/>
  <c r="AG1152" i="11"/>
  <c r="J1152" i="11"/>
  <c r="AH1152" i="11"/>
  <c r="K1152" i="11"/>
  <c r="AI1152" i="11"/>
  <c r="L1152" i="11"/>
  <c r="AJ1152" i="11"/>
  <c r="M1152" i="11"/>
  <c r="AK1152" i="11"/>
  <c r="N1152" i="11"/>
  <c r="AL1152" i="11"/>
  <c r="O1152" i="11"/>
  <c r="AM1152" i="11"/>
  <c r="P1152" i="11"/>
  <c r="AN1152" i="11"/>
  <c r="Q1152" i="11"/>
  <c r="AO1152" i="11"/>
  <c r="R1152" i="11"/>
  <c r="AP1152" i="11"/>
  <c r="S1152" i="11"/>
  <c r="AQ1152" i="11"/>
  <c r="T1152" i="11"/>
  <c r="AR1152" i="11"/>
  <c r="U1152" i="11"/>
  <c r="AS1152" i="11"/>
  <c r="V1152" i="11"/>
  <c r="AT1152" i="11"/>
  <c r="W1152" i="11"/>
  <c r="AU1152" i="11"/>
  <c r="X1152" i="11"/>
  <c r="AV1152" i="11"/>
  <c r="Y1152" i="11"/>
  <c r="AW1152" i="11"/>
  <c r="Z1152" i="11"/>
  <c r="AC1153" i="11"/>
  <c r="F1153" i="11"/>
  <c r="AD1153" i="11"/>
  <c r="G1153" i="11"/>
  <c r="AE1153" i="11"/>
  <c r="H1153" i="11"/>
  <c r="AF1153" i="11"/>
  <c r="I1153" i="11"/>
  <c r="AG1153" i="11"/>
  <c r="J1153" i="11"/>
  <c r="AH1153" i="11"/>
  <c r="K1153" i="11"/>
  <c r="AI1153" i="11"/>
  <c r="L1153" i="11"/>
  <c r="AJ1153" i="11"/>
  <c r="M1153" i="11"/>
  <c r="AK1153" i="11"/>
  <c r="N1153" i="11"/>
  <c r="AL1153" i="11"/>
  <c r="O1153" i="11"/>
  <c r="AM1153" i="11"/>
  <c r="P1153" i="11"/>
  <c r="AN1153" i="11"/>
  <c r="Q1153" i="11"/>
  <c r="AO1153" i="11"/>
  <c r="R1153" i="11"/>
  <c r="AP1153" i="11"/>
  <c r="S1153" i="11"/>
  <c r="AQ1153" i="11"/>
  <c r="T1153" i="11"/>
  <c r="AR1153" i="11"/>
  <c r="U1153" i="11"/>
  <c r="AS1153" i="11"/>
  <c r="V1153" i="11"/>
  <c r="AT1153" i="11"/>
  <c r="W1153" i="11"/>
  <c r="AU1153" i="11"/>
  <c r="X1153" i="11"/>
  <c r="AV1153" i="11"/>
  <c r="Y1153" i="11"/>
  <c r="AW1153" i="11"/>
  <c r="Z1153" i="11"/>
  <c r="AC1154" i="11"/>
  <c r="F1154" i="11"/>
  <c r="AD1154" i="11"/>
  <c r="G1154" i="11"/>
  <c r="AE1154" i="11"/>
  <c r="H1154" i="11"/>
  <c r="AF1154" i="11"/>
  <c r="I1154" i="11"/>
  <c r="AG1154" i="11"/>
  <c r="J1154" i="11"/>
  <c r="AH1154" i="11"/>
  <c r="K1154" i="11"/>
  <c r="AI1154" i="11"/>
  <c r="L1154" i="11"/>
  <c r="AJ1154" i="11"/>
  <c r="M1154" i="11"/>
  <c r="AK1154" i="11"/>
  <c r="N1154" i="11"/>
  <c r="AL1154" i="11"/>
  <c r="O1154" i="11"/>
  <c r="AM1154" i="11"/>
  <c r="P1154" i="11"/>
  <c r="AN1154" i="11"/>
  <c r="Q1154" i="11"/>
  <c r="AO1154" i="11"/>
  <c r="R1154" i="11"/>
  <c r="AP1154" i="11"/>
  <c r="S1154" i="11"/>
  <c r="AQ1154" i="11"/>
  <c r="T1154" i="11"/>
  <c r="AR1154" i="11"/>
  <c r="U1154" i="11"/>
  <c r="AS1154" i="11"/>
  <c r="V1154" i="11"/>
  <c r="AT1154" i="11"/>
  <c r="W1154" i="11"/>
  <c r="AU1154" i="11"/>
  <c r="X1154" i="11"/>
  <c r="AV1154" i="11"/>
  <c r="Y1154" i="11"/>
  <c r="AW1154" i="11"/>
  <c r="Z1154" i="11"/>
  <c r="AC1155" i="11"/>
  <c r="F1155" i="11"/>
  <c r="AD1155" i="11"/>
  <c r="G1155" i="11"/>
  <c r="AE1155" i="11"/>
  <c r="H1155" i="11"/>
  <c r="AF1155" i="11"/>
  <c r="I1155" i="11"/>
  <c r="AG1155" i="11"/>
  <c r="J1155" i="11"/>
  <c r="AH1155" i="11"/>
  <c r="K1155" i="11"/>
  <c r="AI1155" i="11"/>
  <c r="L1155" i="11"/>
  <c r="AJ1155" i="11"/>
  <c r="M1155" i="11"/>
  <c r="AK1155" i="11"/>
  <c r="N1155" i="11"/>
  <c r="AL1155" i="11"/>
  <c r="O1155" i="11"/>
  <c r="AM1155" i="11"/>
  <c r="P1155" i="11"/>
  <c r="AN1155" i="11"/>
  <c r="Q1155" i="11"/>
  <c r="AO1155" i="11"/>
  <c r="R1155" i="11"/>
  <c r="AP1155" i="11"/>
  <c r="S1155" i="11"/>
  <c r="AQ1155" i="11"/>
  <c r="T1155" i="11"/>
  <c r="AR1155" i="11"/>
  <c r="U1155" i="11"/>
  <c r="AS1155" i="11"/>
  <c r="V1155" i="11"/>
  <c r="AT1155" i="11"/>
  <c r="W1155" i="11"/>
  <c r="AU1155" i="11"/>
  <c r="X1155" i="11"/>
  <c r="AV1155" i="11"/>
  <c r="Y1155" i="11"/>
  <c r="AW1155" i="11"/>
  <c r="Z1155" i="11"/>
  <c r="AC1156" i="11"/>
  <c r="F1156" i="11"/>
  <c r="AD1156" i="11"/>
  <c r="G1156" i="11"/>
  <c r="AE1156" i="11"/>
  <c r="H1156" i="11"/>
  <c r="AF1156" i="11"/>
  <c r="I1156" i="11"/>
  <c r="AG1156" i="11"/>
  <c r="J1156" i="11"/>
  <c r="AH1156" i="11"/>
  <c r="K1156" i="11"/>
  <c r="AI1156" i="11"/>
  <c r="L1156" i="11"/>
  <c r="AJ1156" i="11"/>
  <c r="M1156" i="11"/>
  <c r="AK1156" i="11"/>
  <c r="N1156" i="11"/>
  <c r="AL1156" i="11"/>
  <c r="O1156" i="11"/>
  <c r="AM1156" i="11"/>
  <c r="P1156" i="11"/>
  <c r="AN1156" i="11"/>
  <c r="Q1156" i="11"/>
  <c r="AO1156" i="11"/>
  <c r="R1156" i="11"/>
  <c r="AP1156" i="11"/>
  <c r="S1156" i="11"/>
  <c r="AQ1156" i="11"/>
  <c r="T1156" i="11"/>
  <c r="AR1156" i="11"/>
  <c r="U1156" i="11"/>
  <c r="AS1156" i="11"/>
  <c r="V1156" i="11"/>
  <c r="AT1156" i="11"/>
  <c r="W1156" i="11"/>
  <c r="AU1156" i="11"/>
  <c r="X1156" i="11"/>
  <c r="AV1156" i="11"/>
  <c r="Y1156" i="11"/>
  <c r="AW1156" i="11"/>
  <c r="Z1156" i="11"/>
  <c r="AC1157" i="11"/>
  <c r="F1157" i="11"/>
  <c r="AD1157" i="11"/>
  <c r="G1157" i="11"/>
  <c r="AE1157" i="11"/>
  <c r="H1157" i="11"/>
  <c r="AF1157" i="11"/>
  <c r="I1157" i="11"/>
  <c r="AG1157" i="11"/>
  <c r="J1157" i="11"/>
  <c r="AH1157" i="11"/>
  <c r="K1157" i="11"/>
  <c r="AI1157" i="11"/>
  <c r="L1157" i="11"/>
  <c r="AJ1157" i="11"/>
  <c r="M1157" i="11"/>
  <c r="AK1157" i="11"/>
  <c r="N1157" i="11"/>
  <c r="AL1157" i="11"/>
  <c r="O1157" i="11"/>
  <c r="AM1157" i="11"/>
  <c r="P1157" i="11"/>
  <c r="AN1157" i="11"/>
  <c r="Q1157" i="11"/>
  <c r="AO1157" i="11"/>
  <c r="R1157" i="11"/>
  <c r="AP1157" i="11"/>
  <c r="S1157" i="11"/>
  <c r="AQ1157" i="11"/>
  <c r="T1157" i="11"/>
  <c r="AR1157" i="11"/>
  <c r="U1157" i="11"/>
  <c r="AS1157" i="11"/>
  <c r="V1157" i="11"/>
  <c r="AT1157" i="11"/>
  <c r="W1157" i="11"/>
  <c r="AU1157" i="11"/>
  <c r="X1157" i="11"/>
  <c r="AV1157" i="11"/>
  <c r="Y1157" i="11"/>
  <c r="AW1157" i="11"/>
  <c r="Z1157" i="11"/>
  <c r="AC1158" i="11"/>
  <c r="F1158" i="11"/>
  <c r="AD1158" i="11"/>
  <c r="G1158" i="11"/>
  <c r="AE1158" i="11"/>
  <c r="H1158" i="11"/>
  <c r="AF1158" i="11"/>
  <c r="I1158" i="11"/>
  <c r="AG1158" i="11"/>
  <c r="J1158" i="11"/>
  <c r="AH1158" i="11"/>
  <c r="K1158" i="11"/>
  <c r="AI1158" i="11"/>
  <c r="L1158" i="11"/>
  <c r="AJ1158" i="11"/>
  <c r="M1158" i="11"/>
  <c r="AK1158" i="11"/>
  <c r="N1158" i="11"/>
  <c r="AL1158" i="11"/>
  <c r="O1158" i="11"/>
  <c r="AM1158" i="11"/>
  <c r="P1158" i="11"/>
  <c r="AN1158" i="11"/>
  <c r="Q1158" i="11"/>
  <c r="AO1158" i="11"/>
  <c r="R1158" i="11"/>
  <c r="AP1158" i="11"/>
  <c r="S1158" i="11"/>
  <c r="AQ1158" i="11"/>
  <c r="T1158" i="11"/>
  <c r="AR1158" i="11"/>
  <c r="U1158" i="11"/>
  <c r="AS1158" i="11"/>
  <c r="V1158" i="11"/>
  <c r="AT1158" i="11"/>
  <c r="W1158" i="11"/>
  <c r="AU1158" i="11"/>
  <c r="X1158" i="11"/>
  <c r="AV1158" i="11"/>
  <c r="Y1158" i="11"/>
  <c r="AW1158" i="11"/>
  <c r="Z1158" i="11"/>
  <c r="AC1159" i="11"/>
  <c r="F1159" i="11"/>
  <c r="AD1159" i="11"/>
  <c r="G1159" i="11"/>
  <c r="AE1159" i="11"/>
  <c r="H1159" i="11"/>
  <c r="AF1159" i="11"/>
  <c r="I1159" i="11"/>
  <c r="AG1159" i="11"/>
  <c r="J1159" i="11"/>
  <c r="AH1159" i="11"/>
  <c r="K1159" i="11"/>
  <c r="AI1159" i="11"/>
  <c r="L1159" i="11"/>
  <c r="AJ1159" i="11"/>
  <c r="M1159" i="11"/>
  <c r="AK1159" i="11"/>
  <c r="N1159" i="11"/>
  <c r="AL1159" i="11"/>
  <c r="O1159" i="11"/>
  <c r="AM1159" i="11"/>
  <c r="P1159" i="11"/>
  <c r="AN1159" i="11"/>
  <c r="Q1159" i="11"/>
  <c r="AO1159" i="11"/>
  <c r="R1159" i="11"/>
  <c r="AP1159" i="11"/>
  <c r="S1159" i="11"/>
  <c r="AQ1159" i="11"/>
  <c r="T1159" i="11"/>
  <c r="AR1159" i="11"/>
  <c r="U1159" i="11"/>
  <c r="AS1159" i="11"/>
  <c r="V1159" i="11"/>
  <c r="AT1159" i="11"/>
  <c r="W1159" i="11"/>
  <c r="AU1159" i="11"/>
  <c r="X1159" i="11"/>
  <c r="AV1159" i="11"/>
  <c r="Y1159" i="11"/>
  <c r="AW1159" i="11"/>
  <c r="Z1159" i="11"/>
  <c r="AC1160" i="11"/>
  <c r="F1160" i="11"/>
  <c r="AD1160" i="11"/>
  <c r="G1160" i="11"/>
  <c r="AE1160" i="11"/>
  <c r="H1160" i="11"/>
  <c r="AF1160" i="11"/>
  <c r="I1160" i="11"/>
  <c r="AG1160" i="11"/>
  <c r="J1160" i="11"/>
  <c r="AH1160" i="11"/>
  <c r="K1160" i="11"/>
  <c r="AI1160" i="11"/>
  <c r="L1160" i="11"/>
  <c r="AJ1160" i="11"/>
  <c r="M1160" i="11"/>
  <c r="AK1160" i="11"/>
  <c r="N1160" i="11"/>
  <c r="AL1160" i="11"/>
  <c r="O1160" i="11"/>
  <c r="AM1160" i="11"/>
  <c r="P1160" i="11"/>
  <c r="AN1160" i="11"/>
  <c r="Q1160" i="11"/>
  <c r="AO1160" i="11"/>
  <c r="R1160" i="11"/>
  <c r="AP1160" i="11"/>
  <c r="S1160" i="11"/>
  <c r="AQ1160" i="11"/>
  <c r="T1160" i="11"/>
  <c r="AR1160" i="11"/>
  <c r="U1160" i="11"/>
  <c r="AS1160" i="11"/>
  <c r="V1160" i="11"/>
  <c r="AT1160" i="11"/>
  <c r="W1160" i="11"/>
  <c r="AU1160" i="11"/>
  <c r="X1160" i="11"/>
  <c r="AV1160" i="11"/>
  <c r="Y1160" i="11"/>
  <c r="AW1160" i="11"/>
  <c r="Z1160" i="11"/>
  <c r="AC1161" i="11"/>
  <c r="F1161" i="11"/>
  <c r="AD1161" i="11"/>
  <c r="G1161" i="11"/>
  <c r="AE1161" i="11"/>
  <c r="H1161" i="11"/>
  <c r="AF1161" i="11"/>
  <c r="I1161" i="11"/>
  <c r="AG1161" i="11"/>
  <c r="J1161" i="11"/>
  <c r="AH1161" i="11"/>
  <c r="K1161" i="11"/>
  <c r="AI1161" i="11"/>
  <c r="L1161" i="11"/>
  <c r="AJ1161" i="11"/>
  <c r="M1161" i="11"/>
  <c r="AK1161" i="11"/>
  <c r="N1161" i="11"/>
  <c r="AL1161" i="11"/>
  <c r="O1161" i="11"/>
  <c r="AM1161" i="11"/>
  <c r="P1161" i="11"/>
  <c r="AN1161" i="11"/>
  <c r="Q1161" i="11"/>
  <c r="AO1161" i="11"/>
  <c r="R1161" i="11"/>
  <c r="AP1161" i="11"/>
  <c r="S1161" i="11"/>
  <c r="AQ1161" i="11"/>
  <c r="T1161" i="11"/>
  <c r="AR1161" i="11"/>
  <c r="U1161" i="11"/>
  <c r="AS1161" i="11"/>
  <c r="V1161" i="11"/>
  <c r="AT1161" i="11"/>
  <c r="W1161" i="11"/>
  <c r="AU1161" i="11"/>
  <c r="X1161" i="11"/>
  <c r="AV1161" i="11"/>
  <c r="Y1161" i="11"/>
  <c r="AW1161" i="11"/>
  <c r="Z1161" i="11"/>
  <c r="AC1162" i="11"/>
  <c r="F1162" i="11"/>
  <c r="AD1162" i="11"/>
  <c r="G1162" i="11"/>
  <c r="AE1162" i="11"/>
  <c r="H1162" i="11"/>
  <c r="AF1162" i="11"/>
  <c r="I1162" i="11"/>
  <c r="AG1162" i="11"/>
  <c r="J1162" i="11"/>
  <c r="AH1162" i="11"/>
  <c r="K1162" i="11"/>
  <c r="AI1162" i="11"/>
  <c r="L1162" i="11"/>
  <c r="AJ1162" i="11"/>
  <c r="M1162" i="11"/>
  <c r="AK1162" i="11"/>
  <c r="N1162" i="11"/>
  <c r="AL1162" i="11"/>
  <c r="O1162" i="11"/>
  <c r="AM1162" i="11"/>
  <c r="P1162" i="11"/>
  <c r="AN1162" i="11"/>
  <c r="Q1162" i="11"/>
  <c r="AO1162" i="11"/>
  <c r="R1162" i="11"/>
  <c r="AP1162" i="11"/>
  <c r="S1162" i="11"/>
  <c r="AQ1162" i="11"/>
  <c r="T1162" i="11"/>
  <c r="AR1162" i="11"/>
  <c r="U1162" i="11"/>
  <c r="AS1162" i="11"/>
  <c r="V1162" i="11"/>
  <c r="AT1162" i="11"/>
  <c r="W1162" i="11"/>
  <c r="AU1162" i="11"/>
  <c r="X1162" i="11"/>
  <c r="AV1162" i="11"/>
  <c r="Y1162" i="11"/>
  <c r="AW1162" i="11"/>
  <c r="Z1162" i="11"/>
  <c r="AC1163" i="11"/>
  <c r="F1163" i="11"/>
  <c r="AD1163" i="11"/>
  <c r="G1163" i="11"/>
  <c r="AE1163" i="11"/>
  <c r="H1163" i="11"/>
  <c r="AF1163" i="11"/>
  <c r="I1163" i="11"/>
  <c r="AG1163" i="11"/>
  <c r="J1163" i="11"/>
  <c r="AH1163" i="11"/>
  <c r="K1163" i="11"/>
  <c r="AI1163" i="11"/>
  <c r="L1163" i="11"/>
  <c r="AJ1163" i="11"/>
  <c r="M1163" i="11"/>
  <c r="AK1163" i="11"/>
  <c r="N1163" i="11"/>
  <c r="AL1163" i="11"/>
  <c r="O1163" i="11"/>
  <c r="AM1163" i="11"/>
  <c r="P1163" i="11"/>
  <c r="AN1163" i="11"/>
  <c r="Q1163" i="11"/>
  <c r="AO1163" i="11"/>
  <c r="R1163" i="11"/>
  <c r="AP1163" i="11"/>
  <c r="S1163" i="11"/>
  <c r="AQ1163" i="11"/>
  <c r="T1163" i="11"/>
  <c r="AR1163" i="11"/>
  <c r="U1163" i="11"/>
  <c r="AS1163" i="11"/>
  <c r="V1163" i="11"/>
  <c r="AT1163" i="11"/>
  <c r="W1163" i="11"/>
  <c r="AU1163" i="11"/>
  <c r="X1163" i="11"/>
  <c r="AV1163" i="11"/>
  <c r="Y1163" i="11"/>
  <c r="AW1163" i="11"/>
  <c r="Z1163" i="11"/>
  <c r="AC1164" i="11"/>
  <c r="F1164" i="11"/>
  <c r="AD1164" i="11"/>
  <c r="G1164" i="11"/>
  <c r="AE1164" i="11"/>
  <c r="H1164" i="11"/>
  <c r="AF1164" i="11"/>
  <c r="I1164" i="11"/>
  <c r="AG1164" i="11"/>
  <c r="J1164" i="11"/>
  <c r="AH1164" i="11"/>
  <c r="K1164" i="11"/>
  <c r="AI1164" i="11"/>
  <c r="L1164" i="11"/>
  <c r="AJ1164" i="11"/>
  <c r="M1164" i="11"/>
  <c r="AK1164" i="11"/>
  <c r="N1164" i="11"/>
  <c r="AL1164" i="11"/>
  <c r="O1164" i="11"/>
  <c r="AM1164" i="11"/>
  <c r="P1164" i="11"/>
  <c r="AN1164" i="11"/>
  <c r="Q1164" i="11"/>
  <c r="AO1164" i="11"/>
  <c r="R1164" i="11"/>
  <c r="AP1164" i="11"/>
  <c r="S1164" i="11"/>
  <c r="AQ1164" i="11"/>
  <c r="T1164" i="11"/>
  <c r="AR1164" i="11"/>
  <c r="U1164" i="11"/>
  <c r="AS1164" i="11"/>
  <c r="V1164" i="11"/>
  <c r="AT1164" i="11"/>
  <c r="W1164" i="11"/>
  <c r="AU1164" i="11"/>
  <c r="X1164" i="11"/>
  <c r="AV1164" i="11"/>
  <c r="Y1164" i="11"/>
  <c r="AW1164" i="11"/>
  <c r="Z1164" i="11"/>
  <c r="AC1165" i="11"/>
  <c r="F1165" i="11"/>
  <c r="AD1165" i="11"/>
  <c r="G1165" i="11"/>
  <c r="AE1165" i="11"/>
  <c r="H1165" i="11"/>
  <c r="AF1165" i="11"/>
  <c r="I1165" i="11"/>
  <c r="AG1165" i="11"/>
  <c r="J1165" i="11"/>
  <c r="AH1165" i="11"/>
  <c r="K1165" i="11"/>
  <c r="AI1165" i="11"/>
  <c r="L1165" i="11"/>
  <c r="AJ1165" i="11"/>
  <c r="M1165" i="11"/>
  <c r="AK1165" i="11"/>
  <c r="N1165" i="11"/>
  <c r="AL1165" i="11"/>
  <c r="O1165" i="11"/>
  <c r="AM1165" i="11"/>
  <c r="P1165" i="11"/>
  <c r="AN1165" i="11"/>
  <c r="Q1165" i="11"/>
  <c r="AO1165" i="11"/>
  <c r="R1165" i="11"/>
  <c r="AP1165" i="11"/>
  <c r="S1165" i="11"/>
  <c r="AQ1165" i="11"/>
  <c r="T1165" i="11"/>
  <c r="AR1165" i="11"/>
  <c r="U1165" i="11"/>
  <c r="AS1165" i="11"/>
  <c r="V1165" i="11"/>
  <c r="AT1165" i="11"/>
  <c r="W1165" i="11"/>
  <c r="AU1165" i="11"/>
  <c r="X1165" i="11"/>
  <c r="AV1165" i="11"/>
  <c r="Y1165" i="11"/>
  <c r="AW1165" i="11"/>
  <c r="Z1165" i="11"/>
  <c r="AC1166" i="11"/>
  <c r="F1166" i="11"/>
  <c r="AD1166" i="11"/>
  <c r="G1166" i="11"/>
  <c r="AE1166" i="11"/>
  <c r="H1166" i="11"/>
  <c r="AF1166" i="11"/>
  <c r="I1166" i="11"/>
  <c r="AG1166" i="11"/>
  <c r="J1166" i="11"/>
  <c r="AH1166" i="11"/>
  <c r="K1166" i="11"/>
  <c r="AI1166" i="11"/>
  <c r="L1166" i="11"/>
  <c r="AJ1166" i="11"/>
  <c r="M1166" i="11"/>
  <c r="AK1166" i="11"/>
  <c r="N1166" i="11"/>
  <c r="AL1166" i="11"/>
  <c r="O1166" i="11"/>
  <c r="AM1166" i="11"/>
  <c r="P1166" i="11"/>
  <c r="AN1166" i="11"/>
  <c r="Q1166" i="11"/>
  <c r="AO1166" i="11"/>
  <c r="R1166" i="11"/>
  <c r="AP1166" i="11"/>
  <c r="S1166" i="11"/>
  <c r="AQ1166" i="11"/>
  <c r="T1166" i="11"/>
  <c r="AR1166" i="11"/>
  <c r="U1166" i="11"/>
  <c r="AS1166" i="11"/>
  <c r="V1166" i="11"/>
  <c r="AT1166" i="11"/>
  <c r="W1166" i="11"/>
  <c r="AU1166" i="11"/>
  <c r="X1166" i="11"/>
  <c r="AV1166" i="11"/>
  <c r="Y1166" i="11"/>
  <c r="AW1166" i="11"/>
  <c r="Z1166" i="11"/>
  <c r="AC1167" i="11"/>
  <c r="F1167" i="11"/>
  <c r="AD1167" i="11"/>
  <c r="G1167" i="11"/>
  <c r="AE1167" i="11"/>
  <c r="H1167" i="11"/>
  <c r="AF1167" i="11"/>
  <c r="I1167" i="11"/>
  <c r="AG1167" i="11"/>
  <c r="J1167" i="11"/>
  <c r="AH1167" i="11"/>
  <c r="K1167" i="11"/>
  <c r="AI1167" i="11"/>
  <c r="L1167" i="11"/>
  <c r="AJ1167" i="11"/>
  <c r="M1167" i="11"/>
  <c r="AK1167" i="11"/>
  <c r="N1167" i="11"/>
  <c r="AL1167" i="11"/>
  <c r="O1167" i="11"/>
  <c r="AM1167" i="11"/>
  <c r="P1167" i="11"/>
  <c r="AN1167" i="11"/>
  <c r="Q1167" i="11"/>
  <c r="AO1167" i="11"/>
  <c r="R1167" i="11"/>
  <c r="AP1167" i="11"/>
  <c r="S1167" i="11"/>
  <c r="AQ1167" i="11"/>
  <c r="T1167" i="11"/>
  <c r="AR1167" i="11"/>
  <c r="U1167" i="11"/>
  <c r="AS1167" i="11"/>
  <c r="V1167" i="11"/>
  <c r="AT1167" i="11"/>
  <c r="W1167" i="11"/>
  <c r="AU1167" i="11"/>
  <c r="X1167" i="11"/>
  <c r="AV1167" i="11"/>
  <c r="Y1167" i="11"/>
  <c r="AW1167" i="11"/>
  <c r="Z1167" i="11"/>
  <c r="AC1168" i="11"/>
  <c r="F1168" i="11"/>
  <c r="AD1168" i="11"/>
  <c r="G1168" i="11"/>
  <c r="AE1168" i="11"/>
  <c r="H1168" i="11"/>
  <c r="AF1168" i="11"/>
  <c r="I1168" i="11"/>
  <c r="AG1168" i="11"/>
  <c r="J1168" i="11"/>
  <c r="AH1168" i="11"/>
  <c r="K1168" i="11"/>
  <c r="AI1168" i="11"/>
  <c r="L1168" i="11"/>
  <c r="AJ1168" i="11"/>
  <c r="M1168" i="11"/>
  <c r="AK1168" i="11"/>
  <c r="N1168" i="11"/>
  <c r="AL1168" i="11"/>
  <c r="O1168" i="11"/>
  <c r="AM1168" i="11"/>
  <c r="P1168" i="11"/>
  <c r="AN1168" i="11"/>
  <c r="Q1168" i="11"/>
  <c r="AO1168" i="11"/>
  <c r="R1168" i="11"/>
  <c r="AP1168" i="11"/>
  <c r="S1168" i="11"/>
  <c r="AQ1168" i="11"/>
  <c r="T1168" i="11"/>
  <c r="AR1168" i="11"/>
  <c r="U1168" i="11"/>
  <c r="AS1168" i="11"/>
  <c r="V1168" i="11"/>
  <c r="AT1168" i="11"/>
  <c r="W1168" i="11"/>
  <c r="AU1168" i="11"/>
  <c r="X1168" i="11"/>
  <c r="AV1168" i="11"/>
  <c r="Y1168" i="11"/>
  <c r="AW1168" i="11"/>
  <c r="Z1168" i="11"/>
  <c r="AC1169" i="11"/>
  <c r="F1169" i="11"/>
  <c r="AD1169" i="11"/>
  <c r="G1169" i="11"/>
  <c r="AE1169" i="11"/>
  <c r="H1169" i="11"/>
  <c r="AF1169" i="11"/>
  <c r="I1169" i="11"/>
  <c r="AG1169" i="11"/>
  <c r="J1169" i="11"/>
  <c r="AH1169" i="11"/>
  <c r="K1169" i="11"/>
  <c r="AI1169" i="11"/>
  <c r="L1169" i="11"/>
  <c r="AJ1169" i="11"/>
  <c r="M1169" i="11"/>
  <c r="AK1169" i="11"/>
  <c r="N1169" i="11"/>
  <c r="AL1169" i="11"/>
  <c r="O1169" i="11"/>
  <c r="AM1169" i="11"/>
  <c r="P1169" i="11"/>
  <c r="AN1169" i="11"/>
  <c r="Q1169" i="11"/>
  <c r="AO1169" i="11"/>
  <c r="R1169" i="11"/>
  <c r="AP1169" i="11"/>
  <c r="S1169" i="11"/>
  <c r="AQ1169" i="11"/>
  <c r="T1169" i="11"/>
  <c r="AR1169" i="11"/>
  <c r="U1169" i="11"/>
  <c r="AS1169" i="11"/>
  <c r="V1169" i="11"/>
  <c r="AT1169" i="11"/>
  <c r="W1169" i="11"/>
  <c r="AU1169" i="11"/>
  <c r="X1169" i="11"/>
  <c r="AV1169" i="11"/>
  <c r="Y1169" i="11"/>
  <c r="AW1169" i="11"/>
  <c r="Z1169" i="11"/>
  <c r="AC1170" i="11"/>
  <c r="F1170" i="11"/>
  <c r="AD1170" i="11"/>
  <c r="G1170" i="11"/>
  <c r="AE1170" i="11"/>
  <c r="H1170" i="11"/>
  <c r="AF1170" i="11"/>
  <c r="I1170" i="11"/>
  <c r="AG1170" i="11"/>
  <c r="J1170" i="11"/>
  <c r="AH1170" i="11"/>
  <c r="K1170" i="11"/>
  <c r="AI1170" i="11"/>
  <c r="L1170" i="11"/>
  <c r="AJ1170" i="11"/>
  <c r="M1170" i="11"/>
  <c r="AK1170" i="11"/>
  <c r="N1170" i="11"/>
  <c r="AL1170" i="11"/>
  <c r="O1170" i="11"/>
  <c r="AM1170" i="11"/>
  <c r="P1170" i="11"/>
  <c r="AN1170" i="11"/>
  <c r="Q1170" i="11"/>
  <c r="AO1170" i="11"/>
  <c r="R1170" i="11"/>
  <c r="AP1170" i="11"/>
  <c r="S1170" i="11"/>
  <c r="AQ1170" i="11"/>
  <c r="T1170" i="11"/>
  <c r="AR1170" i="11"/>
  <c r="U1170" i="11"/>
  <c r="AS1170" i="11"/>
  <c r="V1170" i="11"/>
  <c r="AT1170" i="11"/>
  <c r="W1170" i="11"/>
  <c r="AU1170" i="11"/>
  <c r="X1170" i="11"/>
  <c r="AV1170" i="11"/>
  <c r="Y1170" i="11"/>
  <c r="AW1170" i="11"/>
  <c r="Z1170" i="11"/>
  <c r="AC1171" i="11"/>
  <c r="F1171" i="11"/>
  <c r="AD1171" i="11"/>
  <c r="G1171" i="11"/>
  <c r="AE1171" i="11"/>
  <c r="H1171" i="11"/>
  <c r="AF1171" i="11"/>
  <c r="I1171" i="11"/>
  <c r="AG1171" i="11"/>
  <c r="J1171" i="11"/>
  <c r="AH1171" i="11"/>
  <c r="K1171" i="11"/>
  <c r="AI1171" i="11"/>
  <c r="L1171" i="11"/>
  <c r="AJ1171" i="11"/>
  <c r="M1171" i="11"/>
  <c r="AK1171" i="11"/>
  <c r="N1171" i="11"/>
  <c r="AL1171" i="11"/>
  <c r="O1171" i="11"/>
  <c r="AM1171" i="11"/>
  <c r="P1171" i="11"/>
  <c r="AN1171" i="11"/>
  <c r="Q1171" i="11"/>
  <c r="AO1171" i="11"/>
  <c r="R1171" i="11"/>
  <c r="AP1171" i="11"/>
  <c r="S1171" i="11"/>
  <c r="AQ1171" i="11"/>
  <c r="T1171" i="11"/>
  <c r="AR1171" i="11"/>
  <c r="U1171" i="11"/>
  <c r="AS1171" i="11"/>
  <c r="V1171" i="11"/>
  <c r="AT1171" i="11"/>
  <c r="W1171" i="11"/>
  <c r="AU1171" i="11"/>
  <c r="X1171" i="11"/>
  <c r="AV1171" i="11"/>
  <c r="Y1171" i="11"/>
  <c r="AW1171" i="11"/>
  <c r="Z1171" i="11"/>
  <c r="AC1172" i="11"/>
  <c r="F1172" i="11"/>
  <c r="AD1172" i="11"/>
  <c r="G1172" i="11"/>
  <c r="AE1172" i="11"/>
  <c r="H1172" i="11"/>
  <c r="AF1172" i="11"/>
  <c r="I1172" i="11"/>
  <c r="AG1172" i="11"/>
  <c r="J1172" i="11"/>
  <c r="AH1172" i="11"/>
  <c r="K1172" i="11"/>
  <c r="AI1172" i="11"/>
  <c r="L1172" i="11"/>
  <c r="AJ1172" i="11"/>
  <c r="M1172" i="11"/>
  <c r="AK1172" i="11"/>
  <c r="N1172" i="11"/>
  <c r="AL1172" i="11"/>
  <c r="O1172" i="11"/>
  <c r="AM1172" i="11"/>
  <c r="P1172" i="11"/>
  <c r="AN1172" i="11"/>
  <c r="Q1172" i="11"/>
  <c r="AO1172" i="11"/>
  <c r="R1172" i="11"/>
  <c r="AP1172" i="11"/>
  <c r="S1172" i="11"/>
  <c r="AQ1172" i="11"/>
  <c r="T1172" i="11"/>
  <c r="AR1172" i="11"/>
  <c r="U1172" i="11"/>
  <c r="AS1172" i="11"/>
  <c r="V1172" i="11"/>
  <c r="AT1172" i="11"/>
  <c r="W1172" i="11"/>
  <c r="AU1172" i="11"/>
  <c r="X1172" i="11"/>
  <c r="AV1172" i="11"/>
  <c r="Y1172" i="11"/>
  <c r="AW1172" i="11"/>
  <c r="Z1172" i="11"/>
  <c r="AC1173" i="11"/>
  <c r="F1173" i="11"/>
  <c r="AD1173" i="11"/>
  <c r="G1173" i="11"/>
  <c r="AE1173" i="11"/>
  <c r="H1173" i="11"/>
  <c r="AF1173" i="11"/>
  <c r="I1173" i="11"/>
  <c r="AG1173" i="11"/>
  <c r="J1173" i="11"/>
  <c r="AH1173" i="11"/>
  <c r="K1173" i="11"/>
  <c r="AI1173" i="11"/>
  <c r="L1173" i="11"/>
  <c r="AJ1173" i="11"/>
  <c r="M1173" i="11"/>
  <c r="AK1173" i="11"/>
  <c r="N1173" i="11"/>
  <c r="AL1173" i="11"/>
  <c r="O1173" i="11"/>
  <c r="AM1173" i="11"/>
  <c r="P1173" i="11"/>
  <c r="AN1173" i="11"/>
  <c r="Q1173" i="11"/>
  <c r="AO1173" i="11"/>
  <c r="R1173" i="11"/>
  <c r="AP1173" i="11"/>
  <c r="S1173" i="11"/>
  <c r="AQ1173" i="11"/>
  <c r="T1173" i="11"/>
  <c r="AR1173" i="11"/>
  <c r="U1173" i="11"/>
  <c r="AS1173" i="11"/>
  <c r="V1173" i="11"/>
  <c r="AT1173" i="11"/>
  <c r="W1173" i="11"/>
  <c r="AU1173" i="11"/>
  <c r="X1173" i="11"/>
  <c r="AV1173" i="11"/>
  <c r="Y1173" i="11"/>
  <c r="AW1173" i="11"/>
  <c r="Z1173" i="11"/>
  <c r="AC1174" i="11"/>
  <c r="F1174" i="11"/>
  <c r="AD1174" i="11"/>
  <c r="G1174" i="11"/>
  <c r="AE1174" i="11"/>
  <c r="H1174" i="11"/>
  <c r="AF1174" i="11"/>
  <c r="I1174" i="11"/>
  <c r="AG1174" i="11"/>
  <c r="J1174" i="11"/>
  <c r="AH1174" i="11"/>
  <c r="K1174" i="11"/>
  <c r="AI1174" i="11"/>
  <c r="L1174" i="11"/>
  <c r="AJ1174" i="11"/>
  <c r="M1174" i="11"/>
  <c r="AK1174" i="11"/>
  <c r="N1174" i="11"/>
  <c r="AL1174" i="11"/>
  <c r="O1174" i="11"/>
  <c r="AM1174" i="11"/>
  <c r="P1174" i="11"/>
  <c r="AN1174" i="11"/>
  <c r="Q1174" i="11"/>
  <c r="AO1174" i="11"/>
  <c r="R1174" i="11"/>
  <c r="AP1174" i="11"/>
  <c r="S1174" i="11"/>
  <c r="AQ1174" i="11"/>
  <c r="T1174" i="11"/>
  <c r="AR1174" i="11"/>
  <c r="U1174" i="11"/>
  <c r="AS1174" i="11"/>
  <c r="V1174" i="11"/>
  <c r="AT1174" i="11"/>
  <c r="W1174" i="11"/>
  <c r="AU1174" i="11"/>
  <c r="X1174" i="11"/>
  <c r="AV1174" i="11"/>
  <c r="Y1174" i="11"/>
  <c r="AW1174" i="11"/>
  <c r="Z1174" i="11"/>
  <c r="AC1175" i="11"/>
  <c r="F1175" i="11"/>
  <c r="AD1175" i="11"/>
  <c r="G1175" i="11"/>
  <c r="AE1175" i="11"/>
  <c r="H1175" i="11"/>
  <c r="AF1175" i="11"/>
  <c r="I1175" i="11"/>
  <c r="AG1175" i="11"/>
  <c r="J1175" i="11"/>
  <c r="AH1175" i="11"/>
  <c r="K1175" i="11"/>
  <c r="AI1175" i="11"/>
  <c r="L1175" i="11"/>
  <c r="AJ1175" i="11"/>
  <c r="M1175" i="11"/>
  <c r="AK1175" i="11"/>
  <c r="N1175" i="11"/>
  <c r="AL1175" i="11"/>
  <c r="O1175" i="11"/>
  <c r="AM1175" i="11"/>
  <c r="P1175" i="11"/>
  <c r="AN1175" i="11"/>
  <c r="Q1175" i="11"/>
  <c r="AO1175" i="11"/>
  <c r="R1175" i="11"/>
  <c r="AP1175" i="11"/>
  <c r="S1175" i="11"/>
  <c r="AQ1175" i="11"/>
  <c r="T1175" i="11"/>
  <c r="AR1175" i="11"/>
  <c r="U1175" i="11"/>
  <c r="AS1175" i="11"/>
  <c r="V1175" i="11"/>
  <c r="AT1175" i="11"/>
  <c r="W1175" i="11"/>
  <c r="AU1175" i="11"/>
  <c r="X1175" i="11"/>
  <c r="AV1175" i="11"/>
  <c r="Y1175" i="11"/>
  <c r="AW1175" i="11"/>
  <c r="Z1175" i="11"/>
  <c r="AC1176" i="11"/>
  <c r="F1176" i="11"/>
  <c r="AD1176" i="11"/>
  <c r="G1176" i="11"/>
  <c r="AE1176" i="11"/>
  <c r="H1176" i="11"/>
  <c r="AF1176" i="11"/>
  <c r="I1176" i="11"/>
  <c r="AG1176" i="11"/>
  <c r="J1176" i="11"/>
  <c r="AH1176" i="11"/>
  <c r="K1176" i="11"/>
  <c r="AI1176" i="11"/>
  <c r="L1176" i="11"/>
  <c r="AJ1176" i="11"/>
  <c r="M1176" i="11"/>
  <c r="AK1176" i="11"/>
  <c r="N1176" i="11"/>
  <c r="AL1176" i="11"/>
  <c r="O1176" i="11"/>
  <c r="AM1176" i="11"/>
  <c r="P1176" i="11"/>
  <c r="AN1176" i="11"/>
  <c r="Q1176" i="11"/>
  <c r="AO1176" i="11"/>
  <c r="R1176" i="11"/>
  <c r="AP1176" i="11"/>
  <c r="S1176" i="11"/>
  <c r="AQ1176" i="11"/>
  <c r="T1176" i="11"/>
  <c r="AR1176" i="11"/>
  <c r="U1176" i="11"/>
  <c r="AS1176" i="11"/>
  <c r="V1176" i="11"/>
  <c r="AT1176" i="11"/>
  <c r="W1176" i="11"/>
  <c r="AU1176" i="11"/>
  <c r="X1176" i="11"/>
  <c r="AV1176" i="11"/>
  <c r="Y1176" i="11"/>
  <c r="AW1176" i="11"/>
  <c r="Z1176" i="11"/>
  <c r="AC1177" i="11"/>
  <c r="F1177" i="11"/>
  <c r="AD1177" i="11"/>
  <c r="G1177" i="11"/>
  <c r="AE1177" i="11"/>
  <c r="H1177" i="11"/>
  <c r="AF1177" i="11"/>
  <c r="I1177" i="11"/>
  <c r="AG1177" i="11"/>
  <c r="J1177" i="11"/>
  <c r="AH1177" i="11"/>
  <c r="K1177" i="11"/>
  <c r="AI1177" i="11"/>
  <c r="L1177" i="11"/>
  <c r="AJ1177" i="11"/>
  <c r="M1177" i="11"/>
  <c r="AK1177" i="11"/>
  <c r="N1177" i="11"/>
  <c r="AL1177" i="11"/>
  <c r="O1177" i="11"/>
  <c r="AM1177" i="11"/>
  <c r="P1177" i="11"/>
  <c r="AN1177" i="11"/>
  <c r="Q1177" i="11"/>
  <c r="AO1177" i="11"/>
  <c r="R1177" i="11"/>
  <c r="AP1177" i="11"/>
  <c r="S1177" i="11"/>
  <c r="AQ1177" i="11"/>
  <c r="T1177" i="11"/>
  <c r="AR1177" i="11"/>
  <c r="U1177" i="11"/>
  <c r="AS1177" i="11"/>
  <c r="V1177" i="11"/>
  <c r="AT1177" i="11"/>
  <c r="W1177" i="11"/>
  <c r="AU1177" i="11"/>
  <c r="X1177" i="11"/>
  <c r="AV1177" i="11"/>
  <c r="Y1177" i="11"/>
  <c r="AW1177" i="11"/>
  <c r="Z1177" i="11"/>
  <c r="AC1178" i="11"/>
  <c r="F1178" i="11"/>
  <c r="AD1178" i="11"/>
  <c r="G1178" i="11"/>
  <c r="AE1178" i="11"/>
  <c r="H1178" i="11"/>
  <c r="AF1178" i="11"/>
  <c r="I1178" i="11"/>
  <c r="AG1178" i="11"/>
  <c r="J1178" i="11"/>
  <c r="AH1178" i="11"/>
  <c r="K1178" i="11"/>
  <c r="AI1178" i="11"/>
  <c r="L1178" i="11"/>
  <c r="AJ1178" i="11"/>
  <c r="M1178" i="11"/>
  <c r="AK1178" i="11"/>
  <c r="N1178" i="11"/>
  <c r="AL1178" i="11"/>
  <c r="O1178" i="11"/>
  <c r="AM1178" i="11"/>
  <c r="P1178" i="11"/>
  <c r="AN1178" i="11"/>
  <c r="Q1178" i="11"/>
  <c r="AO1178" i="11"/>
  <c r="R1178" i="11"/>
  <c r="AP1178" i="11"/>
  <c r="S1178" i="11"/>
  <c r="AQ1178" i="11"/>
  <c r="T1178" i="11"/>
  <c r="AR1178" i="11"/>
  <c r="U1178" i="11"/>
  <c r="AS1178" i="11"/>
  <c r="V1178" i="11"/>
  <c r="AT1178" i="11"/>
  <c r="W1178" i="11"/>
  <c r="AU1178" i="11"/>
  <c r="X1178" i="11"/>
  <c r="AV1178" i="11"/>
  <c r="Y1178" i="11"/>
  <c r="AW1178" i="11"/>
  <c r="Z1178" i="11"/>
  <c r="AC1179" i="11"/>
  <c r="F1179" i="11"/>
  <c r="AD1179" i="11"/>
  <c r="G1179" i="11"/>
  <c r="AE1179" i="11"/>
  <c r="H1179" i="11"/>
  <c r="AF1179" i="11"/>
  <c r="I1179" i="11"/>
  <c r="AG1179" i="11"/>
  <c r="J1179" i="11"/>
  <c r="AH1179" i="11"/>
  <c r="K1179" i="11"/>
  <c r="AI1179" i="11"/>
  <c r="L1179" i="11"/>
  <c r="AJ1179" i="11"/>
  <c r="M1179" i="11"/>
  <c r="AK1179" i="11"/>
  <c r="N1179" i="11"/>
  <c r="AL1179" i="11"/>
  <c r="O1179" i="11"/>
  <c r="AM1179" i="11"/>
  <c r="P1179" i="11"/>
  <c r="AN1179" i="11"/>
  <c r="Q1179" i="11"/>
  <c r="AO1179" i="11"/>
  <c r="R1179" i="11"/>
  <c r="AP1179" i="11"/>
  <c r="S1179" i="11"/>
  <c r="AQ1179" i="11"/>
  <c r="T1179" i="11"/>
  <c r="AR1179" i="11"/>
  <c r="U1179" i="11"/>
  <c r="AS1179" i="11"/>
  <c r="V1179" i="11"/>
  <c r="AT1179" i="11"/>
  <c r="W1179" i="11"/>
  <c r="AU1179" i="11"/>
  <c r="X1179" i="11"/>
  <c r="AV1179" i="11"/>
  <c r="Y1179" i="11"/>
  <c r="AW1179" i="11"/>
  <c r="Z1179" i="11"/>
  <c r="AC1180" i="11"/>
  <c r="F1180" i="11"/>
  <c r="AD1180" i="11"/>
  <c r="G1180" i="11"/>
  <c r="AE1180" i="11"/>
  <c r="H1180" i="11"/>
  <c r="AF1180" i="11"/>
  <c r="I1180" i="11"/>
  <c r="AG1180" i="11"/>
  <c r="J1180" i="11"/>
  <c r="AH1180" i="11"/>
  <c r="K1180" i="11"/>
  <c r="AI1180" i="11"/>
  <c r="L1180" i="11"/>
  <c r="AJ1180" i="11"/>
  <c r="M1180" i="11"/>
  <c r="AK1180" i="11"/>
  <c r="N1180" i="11"/>
  <c r="AL1180" i="11"/>
  <c r="O1180" i="11"/>
  <c r="AM1180" i="11"/>
  <c r="P1180" i="11"/>
  <c r="AN1180" i="11"/>
  <c r="Q1180" i="11"/>
  <c r="AO1180" i="11"/>
  <c r="R1180" i="11"/>
  <c r="AP1180" i="11"/>
  <c r="S1180" i="11"/>
  <c r="AQ1180" i="11"/>
  <c r="T1180" i="11"/>
  <c r="AR1180" i="11"/>
  <c r="U1180" i="11"/>
  <c r="AS1180" i="11"/>
  <c r="V1180" i="11"/>
  <c r="AT1180" i="11"/>
  <c r="W1180" i="11"/>
  <c r="AU1180" i="11"/>
  <c r="X1180" i="11"/>
  <c r="AV1180" i="11"/>
  <c r="Y1180" i="11"/>
  <c r="AW1180" i="11"/>
  <c r="Z1180" i="11"/>
  <c r="AC1181" i="11"/>
  <c r="F1181" i="11"/>
  <c r="AD1181" i="11"/>
  <c r="G1181" i="11"/>
  <c r="AE1181" i="11"/>
  <c r="H1181" i="11"/>
  <c r="AF1181" i="11"/>
  <c r="I1181" i="11"/>
  <c r="AG1181" i="11"/>
  <c r="J1181" i="11"/>
  <c r="AH1181" i="11"/>
  <c r="K1181" i="11"/>
  <c r="AI1181" i="11"/>
  <c r="L1181" i="11"/>
  <c r="AJ1181" i="11"/>
  <c r="M1181" i="11"/>
  <c r="AK1181" i="11"/>
  <c r="N1181" i="11"/>
  <c r="AL1181" i="11"/>
  <c r="O1181" i="11"/>
  <c r="AM1181" i="11"/>
  <c r="P1181" i="11"/>
  <c r="AN1181" i="11"/>
  <c r="Q1181" i="11"/>
  <c r="AO1181" i="11"/>
  <c r="R1181" i="11"/>
  <c r="AP1181" i="11"/>
  <c r="S1181" i="11"/>
  <c r="AQ1181" i="11"/>
  <c r="T1181" i="11"/>
  <c r="AR1181" i="11"/>
  <c r="U1181" i="11"/>
  <c r="AS1181" i="11"/>
  <c r="V1181" i="11"/>
  <c r="AT1181" i="11"/>
  <c r="W1181" i="11"/>
  <c r="AU1181" i="11"/>
  <c r="X1181" i="11"/>
  <c r="AV1181" i="11"/>
  <c r="Y1181" i="11"/>
  <c r="AW1181" i="11"/>
  <c r="Z1181" i="11"/>
  <c r="AC1182" i="11"/>
  <c r="F1182" i="11"/>
  <c r="AD1182" i="11"/>
  <c r="G1182" i="11"/>
  <c r="AE1182" i="11"/>
  <c r="H1182" i="11"/>
  <c r="AF1182" i="11"/>
  <c r="I1182" i="11"/>
  <c r="AG1182" i="11"/>
  <c r="J1182" i="11"/>
  <c r="AH1182" i="11"/>
  <c r="K1182" i="11"/>
  <c r="AI1182" i="11"/>
  <c r="L1182" i="11"/>
  <c r="AJ1182" i="11"/>
  <c r="M1182" i="11"/>
  <c r="AK1182" i="11"/>
  <c r="N1182" i="11"/>
  <c r="AL1182" i="11"/>
  <c r="O1182" i="11"/>
  <c r="AM1182" i="11"/>
  <c r="P1182" i="11"/>
  <c r="AN1182" i="11"/>
  <c r="Q1182" i="11"/>
  <c r="AO1182" i="11"/>
  <c r="R1182" i="11"/>
  <c r="AP1182" i="11"/>
  <c r="S1182" i="11"/>
  <c r="AQ1182" i="11"/>
  <c r="T1182" i="11"/>
  <c r="AR1182" i="11"/>
  <c r="U1182" i="11"/>
  <c r="AS1182" i="11"/>
  <c r="V1182" i="11"/>
  <c r="AT1182" i="11"/>
  <c r="W1182" i="11"/>
  <c r="AU1182" i="11"/>
  <c r="X1182" i="11"/>
  <c r="AV1182" i="11"/>
  <c r="Y1182" i="11"/>
  <c r="AW1182" i="11"/>
  <c r="Z1182" i="11"/>
  <c r="AC1183" i="11"/>
  <c r="F1183" i="11"/>
  <c r="AD1183" i="11"/>
  <c r="G1183" i="11"/>
  <c r="AE1183" i="11"/>
  <c r="H1183" i="11"/>
  <c r="AF1183" i="11"/>
  <c r="I1183" i="11"/>
  <c r="AG1183" i="11"/>
  <c r="J1183" i="11"/>
  <c r="AH1183" i="11"/>
  <c r="K1183" i="11"/>
  <c r="AI1183" i="11"/>
  <c r="L1183" i="11"/>
  <c r="AJ1183" i="11"/>
  <c r="M1183" i="11"/>
  <c r="AK1183" i="11"/>
  <c r="N1183" i="11"/>
  <c r="AL1183" i="11"/>
  <c r="O1183" i="11"/>
  <c r="AM1183" i="11"/>
  <c r="P1183" i="11"/>
  <c r="AN1183" i="11"/>
  <c r="Q1183" i="11"/>
  <c r="AO1183" i="11"/>
  <c r="R1183" i="11"/>
  <c r="AP1183" i="11"/>
  <c r="S1183" i="11"/>
  <c r="AQ1183" i="11"/>
  <c r="T1183" i="11"/>
  <c r="AR1183" i="11"/>
  <c r="U1183" i="11"/>
  <c r="AS1183" i="11"/>
  <c r="V1183" i="11"/>
  <c r="AT1183" i="11"/>
  <c r="W1183" i="11"/>
  <c r="AU1183" i="11"/>
  <c r="X1183" i="11"/>
  <c r="AV1183" i="11"/>
  <c r="Y1183" i="11"/>
  <c r="AW1183" i="11"/>
  <c r="Z1183" i="11"/>
  <c r="AC1184" i="11"/>
  <c r="F1184" i="11"/>
  <c r="AD1184" i="11"/>
  <c r="G1184" i="11"/>
  <c r="AE1184" i="11"/>
  <c r="H1184" i="11"/>
  <c r="AF1184" i="11"/>
  <c r="I1184" i="11"/>
  <c r="AG1184" i="11"/>
  <c r="J1184" i="11"/>
  <c r="AH1184" i="11"/>
  <c r="K1184" i="11"/>
  <c r="AI1184" i="11"/>
  <c r="L1184" i="11"/>
  <c r="AJ1184" i="11"/>
  <c r="M1184" i="11"/>
  <c r="AK1184" i="11"/>
  <c r="N1184" i="11"/>
  <c r="AL1184" i="11"/>
  <c r="O1184" i="11"/>
  <c r="AM1184" i="11"/>
  <c r="P1184" i="11"/>
  <c r="AN1184" i="11"/>
  <c r="Q1184" i="11"/>
  <c r="AO1184" i="11"/>
  <c r="R1184" i="11"/>
  <c r="AP1184" i="11"/>
  <c r="S1184" i="11"/>
  <c r="AQ1184" i="11"/>
  <c r="T1184" i="11"/>
  <c r="AR1184" i="11"/>
  <c r="U1184" i="11"/>
  <c r="AS1184" i="11"/>
  <c r="V1184" i="11"/>
  <c r="AT1184" i="11"/>
  <c r="W1184" i="11"/>
  <c r="AU1184" i="11"/>
  <c r="X1184" i="11"/>
  <c r="AV1184" i="11"/>
  <c r="Y1184" i="11"/>
  <c r="AW1184" i="11"/>
  <c r="Z1184" i="11"/>
  <c r="AC1185" i="11"/>
  <c r="F1185" i="11"/>
  <c r="AD1185" i="11"/>
  <c r="G1185" i="11"/>
  <c r="AE1185" i="11"/>
  <c r="H1185" i="11"/>
  <c r="AF1185" i="11"/>
  <c r="I1185" i="11"/>
  <c r="AG1185" i="11"/>
  <c r="J1185" i="11"/>
  <c r="AH1185" i="11"/>
  <c r="K1185" i="11"/>
  <c r="AI1185" i="11"/>
  <c r="L1185" i="11"/>
  <c r="AJ1185" i="11"/>
  <c r="M1185" i="11"/>
  <c r="AK1185" i="11"/>
  <c r="N1185" i="11"/>
  <c r="AL1185" i="11"/>
  <c r="O1185" i="11"/>
  <c r="AM1185" i="11"/>
  <c r="P1185" i="11"/>
  <c r="AN1185" i="11"/>
  <c r="Q1185" i="11"/>
  <c r="AO1185" i="11"/>
  <c r="R1185" i="11"/>
  <c r="AP1185" i="11"/>
  <c r="S1185" i="11"/>
  <c r="AQ1185" i="11"/>
  <c r="T1185" i="11"/>
  <c r="AR1185" i="11"/>
  <c r="U1185" i="11"/>
  <c r="AS1185" i="11"/>
  <c r="V1185" i="11"/>
  <c r="AT1185" i="11"/>
  <c r="W1185" i="11"/>
  <c r="AU1185" i="11"/>
  <c r="X1185" i="11"/>
  <c r="AV1185" i="11"/>
  <c r="Y1185" i="11"/>
  <c r="AW1185" i="11"/>
  <c r="Z1185" i="11"/>
  <c r="AC1186" i="11"/>
  <c r="F1186" i="11"/>
  <c r="AD1186" i="11"/>
  <c r="G1186" i="11"/>
  <c r="AE1186" i="11"/>
  <c r="H1186" i="11"/>
  <c r="AF1186" i="11"/>
  <c r="I1186" i="11"/>
  <c r="AG1186" i="11"/>
  <c r="J1186" i="11"/>
  <c r="AH1186" i="11"/>
  <c r="K1186" i="11"/>
  <c r="AI1186" i="11"/>
  <c r="L1186" i="11"/>
  <c r="AJ1186" i="11"/>
  <c r="M1186" i="11"/>
  <c r="AK1186" i="11"/>
  <c r="N1186" i="11"/>
  <c r="AL1186" i="11"/>
  <c r="O1186" i="11"/>
  <c r="AM1186" i="11"/>
  <c r="P1186" i="11"/>
  <c r="AN1186" i="11"/>
  <c r="Q1186" i="11"/>
  <c r="AO1186" i="11"/>
  <c r="R1186" i="11"/>
  <c r="AP1186" i="11"/>
  <c r="S1186" i="11"/>
  <c r="AQ1186" i="11"/>
  <c r="T1186" i="11"/>
  <c r="AR1186" i="11"/>
  <c r="U1186" i="11"/>
  <c r="AS1186" i="11"/>
  <c r="V1186" i="11"/>
  <c r="AT1186" i="11"/>
  <c r="W1186" i="11"/>
  <c r="AU1186" i="11"/>
  <c r="X1186" i="11"/>
  <c r="AV1186" i="11"/>
  <c r="Y1186" i="11"/>
  <c r="AW1186" i="11"/>
  <c r="Z1186" i="11"/>
  <c r="AC1187" i="11"/>
  <c r="F1187" i="11"/>
  <c r="AD1187" i="11"/>
  <c r="G1187" i="11"/>
  <c r="AE1187" i="11"/>
  <c r="H1187" i="11"/>
  <c r="AF1187" i="11"/>
  <c r="I1187" i="11"/>
  <c r="AG1187" i="11"/>
  <c r="J1187" i="11"/>
  <c r="AH1187" i="11"/>
  <c r="K1187" i="11"/>
  <c r="AI1187" i="11"/>
  <c r="L1187" i="11"/>
  <c r="AJ1187" i="11"/>
  <c r="M1187" i="11"/>
  <c r="AK1187" i="11"/>
  <c r="N1187" i="11"/>
  <c r="AL1187" i="11"/>
  <c r="O1187" i="11"/>
  <c r="AM1187" i="11"/>
  <c r="P1187" i="11"/>
  <c r="AN1187" i="11"/>
  <c r="Q1187" i="11"/>
  <c r="AO1187" i="11"/>
  <c r="R1187" i="11"/>
  <c r="AP1187" i="11"/>
  <c r="S1187" i="11"/>
  <c r="AQ1187" i="11"/>
  <c r="T1187" i="11"/>
  <c r="AR1187" i="11"/>
  <c r="U1187" i="11"/>
  <c r="AS1187" i="11"/>
  <c r="V1187" i="11"/>
  <c r="AT1187" i="11"/>
  <c r="W1187" i="11"/>
  <c r="AU1187" i="11"/>
  <c r="X1187" i="11"/>
  <c r="AV1187" i="11"/>
  <c r="Y1187" i="11"/>
  <c r="AW1187" i="11"/>
  <c r="Z1187" i="11"/>
  <c r="AC1188" i="11"/>
  <c r="F1188" i="11"/>
  <c r="AD1188" i="11"/>
  <c r="G1188" i="11"/>
  <c r="AE1188" i="11"/>
  <c r="H1188" i="11"/>
  <c r="AF1188" i="11"/>
  <c r="I1188" i="11"/>
  <c r="AG1188" i="11"/>
  <c r="J1188" i="11"/>
  <c r="AH1188" i="11"/>
  <c r="K1188" i="11"/>
  <c r="AI1188" i="11"/>
  <c r="L1188" i="11"/>
  <c r="AJ1188" i="11"/>
  <c r="M1188" i="11"/>
  <c r="AK1188" i="11"/>
  <c r="N1188" i="11"/>
  <c r="AL1188" i="11"/>
  <c r="O1188" i="11"/>
  <c r="AM1188" i="11"/>
  <c r="P1188" i="11"/>
  <c r="AN1188" i="11"/>
  <c r="Q1188" i="11"/>
  <c r="AO1188" i="11"/>
  <c r="R1188" i="11"/>
  <c r="AP1188" i="11"/>
  <c r="S1188" i="11"/>
  <c r="AQ1188" i="11"/>
  <c r="T1188" i="11"/>
  <c r="AR1188" i="11"/>
  <c r="U1188" i="11"/>
  <c r="AS1188" i="11"/>
  <c r="V1188" i="11"/>
  <c r="AT1188" i="11"/>
  <c r="W1188" i="11"/>
  <c r="AU1188" i="11"/>
  <c r="X1188" i="11"/>
  <c r="AV1188" i="11"/>
  <c r="Y1188" i="11"/>
  <c r="AW1188" i="11"/>
  <c r="Z1188" i="11"/>
  <c r="AC1189" i="11"/>
  <c r="F1189" i="11"/>
  <c r="AD1189" i="11"/>
  <c r="G1189" i="11"/>
  <c r="AE1189" i="11"/>
  <c r="H1189" i="11"/>
  <c r="AF1189" i="11"/>
  <c r="I1189" i="11"/>
  <c r="AG1189" i="11"/>
  <c r="J1189" i="11"/>
  <c r="AH1189" i="11"/>
  <c r="K1189" i="11"/>
  <c r="AI1189" i="11"/>
  <c r="L1189" i="11"/>
  <c r="AJ1189" i="11"/>
  <c r="M1189" i="11"/>
  <c r="AK1189" i="11"/>
  <c r="N1189" i="11"/>
  <c r="AL1189" i="11"/>
  <c r="O1189" i="11"/>
  <c r="AM1189" i="11"/>
  <c r="P1189" i="11"/>
  <c r="AN1189" i="11"/>
  <c r="Q1189" i="11"/>
  <c r="AO1189" i="11"/>
  <c r="R1189" i="11"/>
  <c r="AP1189" i="11"/>
  <c r="S1189" i="11"/>
  <c r="AQ1189" i="11"/>
  <c r="T1189" i="11"/>
  <c r="AR1189" i="11"/>
  <c r="U1189" i="11"/>
  <c r="AS1189" i="11"/>
  <c r="V1189" i="11"/>
  <c r="AT1189" i="11"/>
  <c r="W1189" i="11"/>
  <c r="AU1189" i="11"/>
  <c r="X1189" i="11"/>
  <c r="AV1189" i="11"/>
  <c r="Y1189" i="11"/>
  <c r="AW1189" i="11"/>
  <c r="Z1189" i="11"/>
  <c r="AC1190" i="11"/>
  <c r="F1190" i="11"/>
  <c r="AD1190" i="11"/>
  <c r="G1190" i="11"/>
  <c r="AE1190" i="11"/>
  <c r="H1190" i="11"/>
  <c r="AF1190" i="11"/>
  <c r="I1190" i="11"/>
  <c r="AG1190" i="11"/>
  <c r="J1190" i="11"/>
  <c r="AH1190" i="11"/>
  <c r="K1190" i="11"/>
  <c r="AI1190" i="11"/>
  <c r="L1190" i="11"/>
  <c r="AJ1190" i="11"/>
  <c r="M1190" i="11"/>
  <c r="AK1190" i="11"/>
  <c r="N1190" i="11"/>
  <c r="AL1190" i="11"/>
  <c r="O1190" i="11"/>
  <c r="AM1190" i="11"/>
  <c r="P1190" i="11"/>
  <c r="AN1190" i="11"/>
  <c r="Q1190" i="11"/>
  <c r="AO1190" i="11"/>
  <c r="R1190" i="11"/>
  <c r="AP1190" i="11"/>
  <c r="S1190" i="11"/>
  <c r="AQ1190" i="11"/>
  <c r="T1190" i="11"/>
  <c r="AR1190" i="11"/>
  <c r="U1190" i="11"/>
  <c r="AS1190" i="11"/>
  <c r="V1190" i="11"/>
  <c r="AT1190" i="11"/>
  <c r="W1190" i="11"/>
  <c r="AU1190" i="11"/>
  <c r="X1190" i="11"/>
  <c r="AV1190" i="11"/>
  <c r="Y1190" i="11"/>
  <c r="AW1190" i="11"/>
  <c r="Z1190" i="11"/>
  <c r="AC1191" i="11"/>
  <c r="F1191" i="11"/>
  <c r="AD1191" i="11"/>
  <c r="G1191" i="11"/>
  <c r="AE1191" i="11"/>
  <c r="H1191" i="11"/>
  <c r="AF1191" i="11"/>
  <c r="I1191" i="11"/>
  <c r="AG1191" i="11"/>
  <c r="J1191" i="11"/>
  <c r="AH1191" i="11"/>
  <c r="K1191" i="11"/>
  <c r="AI1191" i="11"/>
  <c r="L1191" i="11"/>
  <c r="AJ1191" i="11"/>
  <c r="M1191" i="11"/>
  <c r="AK1191" i="11"/>
  <c r="N1191" i="11"/>
  <c r="AL1191" i="11"/>
  <c r="O1191" i="11"/>
  <c r="AM1191" i="11"/>
  <c r="P1191" i="11"/>
  <c r="AN1191" i="11"/>
  <c r="Q1191" i="11"/>
  <c r="AO1191" i="11"/>
  <c r="R1191" i="11"/>
  <c r="AP1191" i="11"/>
  <c r="S1191" i="11"/>
  <c r="AQ1191" i="11"/>
  <c r="T1191" i="11"/>
  <c r="AR1191" i="11"/>
  <c r="U1191" i="11"/>
  <c r="AS1191" i="11"/>
  <c r="V1191" i="11"/>
  <c r="AT1191" i="11"/>
  <c r="W1191" i="11"/>
  <c r="AU1191" i="11"/>
  <c r="X1191" i="11"/>
  <c r="AV1191" i="11"/>
  <c r="Y1191" i="11"/>
  <c r="AW1191" i="11"/>
  <c r="Z1191" i="11"/>
  <c r="AC1192" i="11"/>
  <c r="F1192" i="11"/>
  <c r="AD1192" i="11"/>
  <c r="G1192" i="11"/>
  <c r="AE1192" i="11"/>
  <c r="H1192" i="11"/>
  <c r="AF1192" i="11"/>
  <c r="I1192" i="11"/>
  <c r="AG1192" i="11"/>
  <c r="J1192" i="11"/>
  <c r="AH1192" i="11"/>
  <c r="K1192" i="11"/>
  <c r="AI1192" i="11"/>
  <c r="L1192" i="11"/>
  <c r="AJ1192" i="11"/>
  <c r="M1192" i="11"/>
  <c r="AK1192" i="11"/>
  <c r="N1192" i="11"/>
  <c r="AL1192" i="11"/>
  <c r="O1192" i="11"/>
  <c r="AM1192" i="11"/>
  <c r="P1192" i="11"/>
  <c r="AN1192" i="11"/>
  <c r="Q1192" i="11"/>
  <c r="AO1192" i="11"/>
  <c r="R1192" i="11"/>
  <c r="AP1192" i="11"/>
  <c r="S1192" i="11"/>
  <c r="AQ1192" i="11"/>
  <c r="T1192" i="11"/>
  <c r="AR1192" i="11"/>
  <c r="U1192" i="11"/>
  <c r="AS1192" i="11"/>
  <c r="V1192" i="11"/>
  <c r="AT1192" i="11"/>
  <c r="W1192" i="11"/>
  <c r="AU1192" i="11"/>
  <c r="X1192" i="11"/>
  <c r="AV1192" i="11"/>
  <c r="Y1192" i="11"/>
  <c r="AW1192" i="11"/>
  <c r="Z1192" i="11"/>
  <c r="AC1193" i="11"/>
  <c r="F1193" i="11"/>
  <c r="AD1193" i="11"/>
  <c r="G1193" i="11"/>
  <c r="AE1193" i="11"/>
  <c r="H1193" i="11"/>
  <c r="AF1193" i="11"/>
  <c r="I1193" i="11"/>
  <c r="AG1193" i="11"/>
  <c r="J1193" i="11"/>
  <c r="AH1193" i="11"/>
  <c r="K1193" i="11"/>
  <c r="AI1193" i="11"/>
  <c r="L1193" i="11"/>
  <c r="AJ1193" i="11"/>
  <c r="M1193" i="11"/>
  <c r="AK1193" i="11"/>
  <c r="N1193" i="11"/>
  <c r="AL1193" i="11"/>
  <c r="O1193" i="11"/>
  <c r="AM1193" i="11"/>
  <c r="P1193" i="11"/>
  <c r="AN1193" i="11"/>
  <c r="Q1193" i="11"/>
  <c r="AO1193" i="11"/>
  <c r="R1193" i="11"/>
  <c r="AP1193" i="11"/>
  <c r="S1193" i="11"/>
  <c r="AQ1193" i="11"/>
  <c r="T1193" i="11"/>
  <c r="AR1193" i="11"/>
  <c r="U1193" i="11"/>
  <c r="AS1193" i="11"/>
  <c r="V1193" i="11"/>
  <c r="AT1193" i="11"/>
  <c r="W1193" i="11"/>
  <c r="AU1193" i="11"/>
  <c r="X1193" i="11"/>
  <c r="AV1193" i="11"/>
  <c r="Y1193" i="11"/>
  <c r="AW1193" i="11"/>
  <c r="Z1193" i="11"/>
  <c r="AC1194" i="11"/>
  <c r="F1194" i="11"/>
  <c r="AD1194" i="11"/>
  <c r="G1194" i="11"/>
  <c r="AE1194" i="11"/>
  <c r="H1194" i="11"/>
  <c r="AF1194" i="11"/>
  <c r="I1194" i="11"/>
  <c r="AG1194" i="11"/>
  <c r="J1194" i="11"/>
  <c r="AH1194" i="11"/>
  <c r="K1194" i="11"/>
  <c r="AI1194" i="11"/>
  <c r="L1194" i="11"/>
  <c r="AJ1194" i="11"/>
  <c r="M1194" i="11"/>
  <c r="AK1194" i="11"/>
  <c r="N1194" i="11"/>
  <c r="AL1194" i="11"/>
  <c r="O1194" i="11"/>
  <c r="AM1194" i="11"/>
  <c r="P1194" i="11"/>
  <c r="AN1194" i="11"/>
  <c r="Q1194" i="11"/>
  <c r="AO1194" i="11"/>
  <c r="R1194" i="11"/>
  <c r="AP1194" i="11"/>
  <c r="S1194" i="11"/>
  <c r="AQ1194" i="11"/>
  <c r="T1194" i="11"/>
  <c r="AR1194" i="11"/>
  <c r="U1194" i="11"/>
  <c r="AS1194" i="11"/>
  <c r="V1194" i="11"/>
  <c r="AT1194" i="11"/>
  <c r="W1194" i="11"/>
  <c r="AU1194" i="11"/>
  <c r="X1194" i="11"/>
  <c r="AV1194" i="11"/>
  <c r="Y1194" i="11"/>
  <c r="AW1194" i="11"/>
  <c r="Z1194" i="11"/>
  <c r="AC1195" i="11"/>
  <c r="F1195" i="11"/>
  <c r="AD1195" i="11"/>
  <c r="G1195" i="11"/>
  <c r="AE1195" i="11"/>
  <c r="H1195" i="11"/>
  <c r="AF1195" i="11"/>
  <c r="I1195" i="11"/>
  <c r="AG1195" i="11"/>
  <c r="J1195" i="11"/>
  <c r="AH1195" i="11"/>
  <c r="K1195" i="11"/>
  <c r="AI1195" i="11"/>
  <c r="L1195" i="11"/>
  <c r="AJ1195" i="11"/>
  <c r="M1195" i="11"/>
  <c r="AK1195" i="11"/>
  <c r="N1195" i="11"/>
  <c r="AL1195" i="11"/>
  <c r="O1195" i="11"/>
  <c r="AM1195" i="11"/>
  <c r="P1195" i="11"/>
  <c r="AN1195" i="11"/>
  <c r="Q1195" i="11"/>
  <c r="AO1195" i="11"/>
  <c r="R1195" i="11"/>
  <c r="AP1195" i="11"/>
  <c r="S1195" i="11"/>
  <c r="AQ1195" i="11"/>
  <c r="T1195" i="11"/>
  <c r="AR1195" i="11"/>
  <c r="U1195" i="11"/>
  <c r="AS1195" i="11"/>
  <c r="V1195" i="11"/>
  <c r="AT1195" i="11"/>
  <c r="W1195" i="11"/>
  <c r="AU1195" i="11"/>
  <c r="X1195" i="11"/>
  <c r="AV1195" i="11"/>
  <c r="Y1195" i="11"/>
  <c r="AW1195" i="11"/>
  <c r="Z1195" i="11"/>
  <c r="AC1196" i="11"/>
  <c r="F1196" i="11"/>
  <c r="AD1196" i="11"/>
  <c r="G1196" i="11"/>
  <c r="AE1196" i="11"/>
  <c r="H1196" i="11"/>
  <c r="AF1196" i="11"/>
  <c r="I1196" i="11"/>
  <c r="AG1196" i="11"/>
  <c r="J1196" i="11"/>
  <c r="AH1196" i="11"/>
  <c r="K1196" i="11"/>
  <c r="AI1196" i="11"/>
  <c r="L1196" i="11"/>
  <c r="AJ1196" i="11"/>
  <c r="M1196" i="11"/>
  <c r="AK1196" i="11"/>
  <c r="N1196" i="11"/>
  <c r="AL1196" i="11"/>
  <c r="O1196" i="11"/>
  <c r="AM1196" i="11"/>
  <c r="P1196" i="11"/>
  <c r="AN1196" i="11"/>
  <c r="Q1196" i="11"/>
  <c r="AO1196" i="11"/>
  <c r="R1196" i="11"/>
  <c r="AP1196" i="11"/>
  <c r="S1196" i="11"/>
  <c r="AQ1196" i="11"/>
  <c r="T1196" i="11"/>
  <c r="AR1196" i="11"/>
  <c r="U1196" i="11"/>
  <c r="AS1196" i="11"/>
  <c r="V1196" i="11"/>
  <c r="AT1196" i="11"/>
  <c r="W1196" i="11"/>
  <c r="AU1196" i="11"/>
  <c r="X1196" i="11"/>
  <c r="AV1196" i="11"/>
  <c r="Y1196" i="11"/>
  <c r="AW1196" i="11"/>
  <c r="Z1196" i="11"/>
  <c r="AC1197" i="11"/>
  <c r="F1197" i="11"/>
  <c r="AD1197" i="11"/>
  <c r="G1197" i="11"/>
  <c r="AE1197" i="11"/>
  <c r="H1197" i="11"/>
  <c r="AF1197" i="11"/>
  <c r="I1197" i="11"/>
  <c r="AG1197" i="11"/>
  <c r="J1197" i="11"/>
  <c r="AH1197" i="11"/>
  <c r="K1197" i="11"/>
  <c r="AI1197" i="11"/>
  <c r="L1197" i="11"/>
  <c r="AJ1197" i="11"/>
  <c r="M1197" i="11"/>
  <c r="AK1197" i="11"/>
  <c r="N1197" i="11"/>
  <c r="AL1197" i="11"/>
  <c r="O1197" i="11"/>
  <c r="AM1197" i="11"/>
  <c r="P1197" i="11"/>
  <c r="AN1197" i="11"/>
  <c r="Q1197" i="11"/>
  <c r="AO1197" i="11"/>
  <c r="R1197" i="11"/>
  <c r="AP1197" i="11"/>
  <c r="S1197" i="11"/>
  <c r="AQ1197" i="11"/>
  <c r="T1197" i="11"/>
  <c r="AR1197" i="11"/>
  <c r="U1197" i="11"/>
  <c r="AS1197" i="11"/>
  <c r="V1197" i="11"/>
  <c r="AT1197" i="11"/>
  <c r="W1197" i="11"/>
  <c r="AU1197" i="11"/>
  <c r="X1197" i="11"/>
  <c r="AV1197" i="11"/>
  <c r="Y1197" i="11"/>
  <c r="AW1197" i="11"/>
  <c r="Z1197" i="11"/>
  <c r="AC1198" i="11"/>
  <c r="F1198" i="11"/>
  <c r="AD1198" i="11"/>
  <c r="G1198" i="11"/>
  <c r="AE1198" i="11"/>
  <c r="H1198" i="11"/>
  <c r="AF1198" i="11"/>
  <c r="I1198" i="11"/>
  <c r="AG1198" i="11"/>
  <c r="J1198" i="11"/>
  <c r="AH1198" i="11"/>
  <c r="K1198" i="11"/>
  <c r="AI1198" i="11"/>
  <c r="L1198" i="11"/>
  <c r="AJ1198" i="11"/>
  <c r="M1198" i="11"/>
  <c r="AK1198" i="11"/>
  <c r="N1198" i="11"/>
  <c r="AL1198" i="11"/>
  <c r="O1198" i="11"/>
  <c r="AM1198" i="11"/>
  <c r="P1198" i="11"/>
  <c r="AN1198" i="11"/>
  <c r="Q1198" i="11"/>
  <c r="AO1198" i="11"/>
  <c r="R1198" i="11"/>
  <c r="AP1198" i="11"/>
  <c r="S1198" i="11"/>
  <c r="AQ1198" i="11"/>
  <c r="T1198" i="11"/>
  <c r="AR1198" i="11"/>
  <c r="U1198" i="11"/>
  <c r="AS1198" i="11"/>
  <c r="V1198" i="11"/>
  <c r="AT1198" i="11"/>
  <c r="W1198" i="11"/>
  <c r="AU1198" i="11"/>
  <c r="X1198" i="11"/>
  <c r="AV1198" i="11"/>
  <c r="Y1198" i="11"/>
  <c r="AW1198" i="11"/>
  <c r="Z1198" i="11"/>
  <c r="AC1199" i="11"/>
  <c r="F1199" i="11"/>
  <c r="AD1199" i="11"/>
  <c r="G1199" i="11"/>
  <c r="AE1199" i="11"/>
  <c r="H1199" i="11"/>
  <c r="AF1199" i="11"/>
  <c r="I1199" i="11"/>
  <c r="AG1199" i="11"/>
  <c r="J1199" i="11"/>
  <c r="AH1199" i="11"/>
  <c r="K1199" i="11"/>
  <c r="AI1199" i="11"/>
  <c r="L1199" i="11"/>
  <c r="AJ1199" i="11"/>
  <c r="M1199" i="11"/>
  <c r="AK1199" i="11"/>
  <c r="N1199" i="11"/>
  <c r="AL1199" i="11"/>
  <c r="O1199" i="11"/>
  <c r="AM1199" i="11"/>
  <c r="P1199" i="11"/>
  <c r="AN1199" i="11"/>
  <c r="Q1199" i="11"/>
  <c r="AO1199" i="11"/>
  <c r="R1199" i="11"/>
  <c r="AP1199" i="11"/>
  <c r="S1199" i="11"/>
  <c r="AQ1199" i="11"/>
  <c r="T1199" i="11"/>
  <c r="AR1199" i="11"/>
  <c r="U1199" i="11"/>
  <c r="AS1199" i="11"/>
  <c r="V1199" i="11"/>
  <c r="AT1199" i="11"/>
  <c r="W1199" i="11"/>
  <c r="AU1199" i="11"/>
  <c r="X1199" i="11"/>
  <c r="AV1199" i="11"/>
  <c r="Y1199" i="11"/>
  <c r="AW1199" i="11"/>
  <c r="Z1199" i="11"/>
  <c r="AC1200" i="11"/>
  <c r="F1200" i="11"/>
  <c r="AD1200" i="11"/>
  <c r="G1200" i="11"/>
  <c r="AE1200" i="11"/>
  <c r="H1200" i="11"/>
  <c r="AF1200" i="11"/>
  <c r="I1200" i="11"/>
  <c r="AG1200" i="11"/>
  <c r="J1200" i="11"/>
  <c r="AH1200" i="11"/>
  <c r="K1200" i="11"/>
  <c r="AI1200" i="11"/>
  <c r="L1200" i="11"/>
  <c r="AJ1200" i="11"/>
  <c r="M1200" i="11"/>
  <c r="AK1200" i="11"/>
  <c r="N1200" i="11"/>
  <c r="AL1200" i="11"/>
  <c r="O1200" i="11"/>
  <c r="AM1200" i="11"/>
  <c r="P1200" i="11"/>
  <c r="AN1200" i="11"/>
  <c r="Q1200" i="11"/>
  <c r="AO1200" i="11"/>
  <c r="R1200" i="11"/>
  <c r="AP1200" i="11"/>
  <c r="S1200" i="11"/>
  <c r="AQ1200" i="11"/>
  <c r="T1200" i="11"/>
  <c r="AR1200" i="11"/>
  <c r="U1200" i="11"/>
  <c r="AS1200" i="11"/>
  <c r="V1200" i="11"/>
  <c r="AT1200" i="11"/>
  <c r="W1200" i="11"/>
  <c r="AU1200" i="11"/>
  <c r="X1200" i="11"/>
  <c r="AV1200" i="11"/>
  <c r="Y1200" i="11"/>
  <c r="AW1200" i="11"/>
  <c r="Z1200" i="11"/>
  <c r="AC1201" i="11"/>
  <c r="F1201" i="11"/>
  <c r="AD1201" i="11"/>
  <c r="G1201" i="11"/>
  <c r="AE1201" i="11"/>
  <c r="H1201" i="11"/>
  <c r="AF1201" i="11"/>
  <c r="I1201" i="11"/>
  <c r="AG1201" i="11"/>
  <c r="J1201" i="11"/>
  <c r="AH1201" i="11"/>
  <c r="K1201" i="11"/>
  <c r="AI1201" i="11"/>
  <c r="L1201" i="11"/>
  <c r="AJ1201" i="11"/>
  <c r="M1201" i="11"/>
  <c r="AK1201" i="11"/>
  <c r="N1201" i="11"/>
  <c r="AL1201" i="11"/>
  <c r="O1201" i="11"/>
  <c r="AM1201" i="11"/>
  <c r="P1201" i="11"/>
  <c r="AN1201" i="11"/>
  <c r="Q1201" i="11"/>
  <c r="AO1201" i="11"/>
  <c r="R1201" i="11"/>
  <c r="AP1201" i="11"/>
  <c r="S1201" i="11"/>
  <c r="AQ1201" i="11"/>
  <c r="T1201" i="11"/>
  <c r="AR1201" i="11"/>
  <c r="U1201" i="11"/>
  <c r="AS1201" i="11"/>
  <c r="V1201" i="11"/>
  <c r="AT1201" i="11"/>
  <c r="W1201" i="11"/>
  <c r="AU1201" i="11"/>
  <c r="X1201" i="11"/>
  <c r="AV1201" i="11"/>
  <c r="Y1201" i="11"/>
  <c r="AW1201" i="11"/>
  <c r="Z1201" i="11"/>
  <c r="AC1202" i="11"/>
  <c r="F1202" i="11"/>
  <c r="AD1202" i="11"/>
  <c r="G1202" i="11"/>
  <c r="AE1202" i="11"/>
  <c r="H1202" i="11"/>
  <c r="AF1202" i="11"/>
  <c r="I1202" i="11"/>
  <c r="AG1202" i="11"/>
  <c r="J1202" i="11"/>
  <c r="AH1202" i="11"/>
  <c r="K1202" i="11"/>
  <c r="AI1202" i="11"/>
  <c r="L1202" i="11"/>
  <c r="AJ1202" i="11"/>
  <c r="M1202" i="11"/>
  <c r="AK1202" i="11"/>
  <c r="N1202" i="11"/>
  <c r="AL1202" i="11"/>
  <c r="O1202" i="11"/>
  <c r="AM1202" i="11"/>
  <c r="P1202" i="11"/>
  <c r="AN1202" i="11"/>
  <c r="Q1202" i="11"/>
  <c r="AO1202" i="11"/>
  <c r="R1202" i="11"/>
  <c r="AP1202" i="11"/>
  <c r="S1202" i="11"/>
  <c r="AQ1202" i="11"/>
  <c r="T1202" i="11"/>
  <c r="AR1202" i="11"/>
  <c r="U1202" i="11"/>
  <c r="AS1202" i="11"/>
  <c r="V1202" i="11"/>
  <c r="AT1202" i="11"/>
  <c r="W1202" i="11"/>
  <c r="AU1202" i="11"/>
  <c r="X1202" i="11"/>
  <c r="AV1202" i="11"/>
  <c r="Y1202" i="11"/>
  <c r="AW1202" i="11"/>
  <c r="Z1202" i="11"/>
  <c r="AC1203" i="11"/>
  <c r="F1203" i="11"/>
  <c r="AD1203" i="11"/>
  <c r="G1203" i="11"/>
  <c r="AE1203" i="11"/>
  <c r="H1203" i="11"/>
  <c r="AF1203" i="11"/>
  <c r="I1203" i="11"/>
  <c r="AG1203" i="11"/>
  <c r="J1203" i="11"/>
  <c r="AH1203" i="11"/>
  <c r="K1203" i="11"/>
  <c r="AI1203" i="11"/>
  <c r="L1203" i="11"/>
  <c r="AJ1203" i="11"/>
  <c r="M1203" i="11"/>
  <c r="AK1203" i="11"/>
  <c r="N1203" i="11"/>
  <c r="AL1203" i="11"/>
  <c r="O1203" i="11"/>
  <c r="AM1203" i="11"/>
  <c r="P1203" i="11"/>
  <c r="AN1203" i="11"/>
  <c r="Q1203" i="11"/>
  <c r="AO1203" i="11"/>
  <c r="R1203" i="11"/>
  <c r="AP1203" i="11"/>
  <c r="S1203" i="11"/>
  <c r="AQ1203" i="11"/>
  <c r="T1203" i="11"/>
  <c r="AR1203" i="11"/>
  <c r="U1203" i="11"/>
  <c r="AS1203" i="11"/>
  <c r="V1203" i="11"/>
  <c r="AT1203" i="11"/>
  <c r="W1203" i="11"/>
  <c r="AU1203" i="11"/>
  <c r="X1203" i="11"/>
  <c r="AV1203" i="11"/>
  <c r="Y1203" i="11"/>
  <c r="AW1203" i="11"/>
  <c r="Z1203" i="11"/>
  <c r="AC1204" i="11"/>
  <c r="F1204" i="11"/>
  <c r="AD1204" i="11"/>
  <c r="G1204" i="11"/>
  <c r="AE1204" i="11"/>
  <c r="H1204" i="11"/>
  <c r="AF1204" i="11"/>
  <c r="I1204" i="11"/>
  <c r="AG1204" i="11"/>
  <c r="J1204" i="11"/>
  <c r="AH1204" i="11"/>
  <c r="K1204" i="11"/>
  <c r="AI1204" i="11"/>
  <c r="L1204" i="11"/>
  <c r="AJ1204" i="11"/>
  <c r="M1204" i="11"/>
  <c r="AK1204" i="11"/>
  <c r="N1204" i="11"/>
  <c r="AL1204" i="11"/>
  <c r="O1204" i="11"/>
  <c r="AM1204" i="11"/>
  <c r="P1204" i="11"/>
  <c r="AN1204" i="11"/>
  <c r="Q1204" i="11"/>
  <c r="AO1204" i="11"/>
  <c r="R1204" i="11"/>
  <c r="AP1204" i="11"/>
  <c r="S1204" i="11"/>
  <c r="AQ1204" i="11"/>
  <c r="T1204" i="11"/>
  <c r="AR1204" i="11"/>
  <c r="U1204" i="11"/>
  <c r="AS1204" i="11"/>
  <c r="V1204" i="11"/>
  <c r="AT1204" i="11"/>
  <c r="W1204" i="11"/>
  <c r="AU1204" i="11"/>
  <c r="X1204" i="11"/>
  <c r="AV1204" i="11"/>
  <c r="Y1204" i="11"/>
  <c r="AW1204" i="11"/>
  <c r="Z1204" i="11"/>
  <c r="AC1205" i="11"/>
  <c r="F1205" i="11"/>
  <c r="AD1205" i="11"/>
  <c r="G1205" i="11"/>
  <c r="AE1205" i="11"/>
  <c r="H1205" i="11"/>
  <c r="AF1205" i="11"/>
  <c r="I1205" i="11"/>
  <c r="AG1205" i="11"/>
  <c r="J1205" i="11"/>
  <c r="AH1205" i="11"/>
  <c r="K1205" i="11"/>
  <c r="AI1205" i="11"/>
  <c r="L1205" i="11"/>
  <c r="AJ1205" i="11"/>
  <c r="M1205" i="11"/>
  <c r="AK1205" i="11"/>
  <c r="N1205" i="11"/>
  <c r="AL1205" i="11"/>
  <c r="O1205" i="11"/>
  <c r="AM1205" i="11"/>
  <c r="P1205" i="11"/>
  <c r="AN1205" i="11"/>
  <c r="Q1205" i="11"/>
  <c r="AO1205" i="11"/>
  <c r="R1205" i="11"/>
  <c r="AP1205" i="11"/>
  <c r="S1205" i="11"/>
  <c r="AQ1205" i="11"/>
  <c r="T1205" i="11"/>
  <c r="AR1205" i="11"/>
  <c r="U1205" i="11"/>
  <c r="AS1205" i="11"/>
  <c r="V1205" i="11"/>
  <c r="AT1205" i="11"/>
  <c r="W1205" i="11"/>
  <c r="AU1205" i="11"/>
  <c r="X1205" i="11"/>
  <c r="AV1205" i="11"/>
  <c r="Y1205" i="11"/>
  <c r="AW1205" i="11"/>
  <c r="Z1205" i="11"/>
  <c r="AC1206" i="11"/>
  <c r="F1206" i="11"/>
  <c r="AD1206" i="11"/>
  <c r="G1206" i="11"/>
  <c r="AE1206" i="11"/>
  <c r="H1206" i="11"/>
  <c r="AF1206" i="11"/>
  <c r="I1206" i="11"/>
  <c r="AG1206" i="11"/>
  <c r="J1206" i="11"/>
  <c r="AH1206" i="11"/>
  <c r="K1206" i="11"/>
  <c r="AI1206" i="11"/>
  <c r="L1206" i="11"/>
  <c r="AJ1206" i="11"/>
  <c r="M1206" i="11"/>
  <c r="AK1206" i="11"/>
  <c r="N1206" i="11"/>
  <c r="AL1206" i="11"/>
  <c r="O1206" i="11"/>
  <c r="AM1206" i="11"/>
  <c r="P1206" i="11"/>
  <c r="AN1206" i="11"/>
  <c r="Q1206" i="11"/>
  <c r="AO1206" i="11"/>
  <c r="R1206" i="11"/>
  <c r="AP1206" i="11"/>
  <c r="S1206" i="11"/>
  <c r="AQ1206" i="11"/>
  <c r="T1206" i="11"/>
  <c r="AR1206" i="11"/>
  <c r="U1206" i="11"/>
  <c r="AS1206" i="11"/>
  <c r="V1206" i="11"/>
  <c r="AT1206" i="11"/>
  <c r="W1206" i="11"/>
  <c r="AU1206" i="11"/>
  <c r="X1206" i="11"/>
  <c r="AV1206" i="11"/>
  <c r="Y1206" i="11"/>
  <c r="AW1206" i="11"/>
  <c r="Z1206" i="11"/>
  <c r="AC1207" i="11"/>
  <c r="F1207" i="11"/>
  <c r="AD1207" i="11"/>
  <c r="G1207" i="11"/>
  <c r="AE1207" i="11"/>
  <c r="H1207" i="11"/>
  <c r="AF1207" i="11"/>
  <c r="I1207" i="11"/>
  <c r="AG1207" i="11"/>
  <c r="J1207" i="11"/>
  <c r="AH1207" i="11"/>
  <c r="K1207" i="11"/>
  <c r="AI1207" i="11"/>
  <c r="L1207" i="11"/>
  <c r="AJ1207" i="11"/>
  <c r="M1207" i="11"/>
  <c r="AK1207" i="11"/>
  <c r="N1207" i="11"/>
  <c r="AL1207" i="11"/>
  <c r="O1207" i="11"/>
  <c r="AM1207" i="11"/>
  <c r="P1207" i="11"/>
  <c r="AN1207" i="11"/>
  <c r="Q1207" i="11"/>
  <c r="AO1207" i="11"/>
  <c r="R1207" i="11"/>
  <c r="AP1207" i="11"/>
  <c r="S1207" i="11"/>
  <c r="AQ1207" i="11"/>
  <c r="T1207" i="11"/>
  <c r="AR1207" i="11"/>
  <c r="U1207" i="11"/>
  <c r="AS1207" i="11"/>
  <c r="V1207" i="11"/>
  <c r="AT1207" i="11"/>
  <c r="W1207" i="11"/>
  <c r="AU1207" i="11"/>
  <c r="X1207" i="11"/>
  <c r="AV1207" i="11"/>
  <c r="Y1207" i="11"/>
  <c r="AW1207" i="11"/>
  <c r="Z1207" i="11"/>
  <c r="AC1208" i="11"/>
  <c r="F1208" i="11"/>
  <c r="AD1208" i="11"/>
  <c r="G1208" i="11"/>
  <c r="AE1208" i="11"/>
  <c r="H1208" i="11"/>
  <c r="AF1208" i="11"/>
  <c r="I1208" i="11"/>
  <c r="AG1208" i="11"/>
  <c r="J1208" i="11"/>
  <c r="AH1208" i="11"/>
  <c r="K1208" i="11"/>
  <c r="AI1208" i="11"/>
  <c r="L1208" i="11"/>
  <c r="AJ1208" i="11"/>
  <c r="M1208" i="11"/>
  <c r="AK1208" i="11"/>
  <c r="N1208" i="11"/>
  <c r="AL1208" i="11"/>
  <c r="O1208" i="11"/>
  <c r="AM1208" i="11"/>
  <c r="P1208" i="11"/>
  <c r="AN1208" i="11"/>
  <c r="Q1208" i="11"/>
  <c r="AO1208" i="11"/>
  <c r="R1208" i="11"/>
  <c r="AP1208" i="11"/>
  <c r="S1208" i="11"/>
  <c r="AQ1208" i="11"/>
  <c r="T1208" i="11"/>
  <c r="AR1208" i="11"/>
  <c r="U1208" i="11"/>
  <c r="AS1208" i="11"/>
  <c r="V1208" i="11"/>
  <c r="AT1208" i="11"/>
  <c r="W1208" i="11"/>
  <c r="AU1208" i="11"/>
  <c r="X1208" i="11"/>
  <c r="AV1208" i="11"/>
  <c r="Y1208" i="11"/>
  <c r="AW1208" i="11"/>
  <c r="Z1208" i="11"/>
  <c r="AC1209" i="11"/>
  <c r="F1209" i="11"/>
  <c r="AD1209" i="11"/>
  <c r="G1209" i="11"/>
  <c r="AE1209" i="11"/>
  <c r="H1209" i="11"/>
  <c r="AF1209" i="11"/>
  <c r="I1209" i="11"/>
  <c r="AG1209" i="11"/>
  <c r="J1209" i="11"/>
  <c r="AH1209" i="11"/>
  <c r="K1209" i="11"/>
  <c r="AI1209" i="11"/>
  <c r="L1209" i="11"/>
  <c r="AJ1209" i="11"/>
  <c r="M1209" i="11"/>
  <c r="AK1209" i="11"/>
  <c r="N1209" i="11"/>
  <c r="AL1209" i="11"/>
  <c r="O1209" i="11"/>
  <c r="AM1209" i="11"/>
  <c r="P1209" i="11"/>
  <c r="AN1209" i="11"/>
  <c r="Q1209" i="11"/>
  <c r="AO1209" i="11"/>
  <c r="R1209" i="11"/>
  <c r="AP1209" i="11"/>
  <c r="S1209" i="11"/>
  <c r="AQ1209" i="11"/>
  <c r="T1209" i="11"/>
  <c r="AR1209" i="11"/>
  <c r="U1209" i="11"/>
  <c r="AS1209" i="11"/>
  <c r="V1209" i="11"/>
  <c r="AT1209" i="11"/>
  <c r="W1209" i="11"/>
  <c r="AU1209" i="11"/>
  <c r="X1209" i="11"/>
  <c r="AV1209" i="11"/>
  <c r="Y1209" i="11"/>
  <c r="AW1209" i="11"/>
  <c r="Z1209" i="11"/>
  <c r="AC1210" i="11"/>
  <c r="F1210" i="11"/>
  <c r="AD1210" i="11"/>
  <c r="G1210" i="11"/>
  <c r="AE1210" i="11"/>
  <c r="H1210" i="11"/>
  <c r="AF1210" i="11"/>
  <c r="I1210" i="11"/>
  <c r="AG1210" i="11"/>
  <c r="J1210" i="11"/>
  <c r="AH1210" i="11"/>
  <c r="K1210" i="11"/>
  <c r="AI1210" i="11"/>
  <c r="L1210" i="11"/>
  <c r="AJ1210" i="11"/>
  <c r="M1210" i="11"/>
  <c r="AK1210" i="11"/>
  <c r="N1210" i="11"/>
  <c r="AL1210" i="11"/>
  <c r="O1210" i="11"/>
  <c r="AM1210" i="11"/>
  <c r="P1210" i="11"/>
  <c r="AN1210" i="11"/>
  <c r="Q1210" i="11"/>
  <c r="AO1210" i="11"/>
  <c r="R1210" i="11"/>
  <c r="AP1210" i="11"/>
  <c r="S1210" i="11"/>
  <c r="AQ1210" i="11"/>
  <c r="T1210" i="11"/>
  <c r="AR1210" i="11"/>
  <c r="U1210" i="11"/>
  <c r="AS1210" i="11"/>
  <c r="V1210" i="11"/>
  <c r="AT1210" i="11"/>
  <c r="W1210" i="11"/>
  <c r="AU1210" i="11"/>
  <c r="X1210" i="11"/>
  <c r="AV1210" i="11"/>
  <c r="Y1210" i="11"/>
  <c r="AW1210" i="11"/>
  <c r="Z1210" i="11"/>
  <c r="AC1211" i="11"/>
  <c r="F1211" i="11"/>
  <c r="AD1211" i="11"/>
  <c r="G1211" i="11"/>
  <c r="AE1211" i="11"/>
  <c r="H1211" i="11"/>
  <c r="AF1211" i="11"/>
  <c r="I1211" i="11"/>
  <c r="AG1211" i="11"/>
  <c r="J1211" i="11"/>
  <c r="AH1211" i="11"/>
  <c r="K1211" i="11"/>
  <c r="AI1211" i="11"/>
  <c r="L1211" i="11"/>
  <c r="AJ1211" i="11"/>
  <c r="M1211" i="11"/>
  <c r="AK1211" i="11"/>
  <c r="N1211" i="11"/>
  <c r="AL1211" i="11"/>
  <c r="O1211" i="11"/>
  <c r="AM1211" i="11"/>
  <c r="P1211" i="11"/>
  <c r="AN1211" i="11"/>
  <c r="Q1211" i="11"/>
  <c r="AO1211" i="11"/>
  <c r="R1211" i="11"/>
  <c r="AP1211" i="11"/>
  <c r="S1211" i="11"/>
  <c r="AQ1211" i="11"/>
  <c r="T1211" i="11"/>
  <c r="AR1211" i="11"/>
  <c r="U1211" i="11"/>
  <c r="AS1211" i="11"/>
  <c r="V1211" i="11"/>
  <c r="AT1211" i="11"/>
  <c r="W1211" i="11"/>
  <c r="AU1211" i="11"/>
  <c r="X1211" i="11"/>
  <c r="AV1211" i="11"/>
  <c r="Y1211" i="11"/>
  <c r="AW1211" i="11"/>
  <c r="Z1211" i="11"/>
  <c r="AC1212" i="11"/>
  <c r="F1212" i="11"/>
  <c r="AD1212" i="11"/>
  <c r="G1212" i="11"/>
  <c r="AE1212" i="11"/>
  <c r="H1212" i="11"/>
  <c r="AF1212" i="11"/>
  <c r="I1212" i="11"/>
  <c r="AG1212" i="11"/>
  <c r="J1212" i="11"/>
  <c r="AH1212" i="11"/>
  <c r="K1212" i="11"/>
  <c r="AI1212" i="11"/>
  <c r="L1212" i="11"/>
  <c r="AJ1212" i="11"/>
  <c r="M1212" i="11"/>
  <c r="AK1212" i="11"/>
  <c r="N1212" i="11"/>
  <c r="AL1212" i="11"/>
  <c r="O1212" i="11"/>
  <c r="AM1212" i="11"/>
  <c r="P1212" i="11"/>
  <c r="AN1212" i="11"/>
  <c r="Q1212" i="11"/>
  <c r="AO1212" i="11"/>
  <c r="R1212" i="11"/>
  <c r="AP1212" i="11"/>
  <c r="S1212" i="11"/>
  <c r="AQ1212" i="11"/>
  <c r="T1212" i="11"/>
  <c r="AR1212" i="11"/>
  <c r="U1212" i="11"/>
  <c r="AS1212" i="11"/>
  <c r="V1212" i="11"/>
  <c r="AT1212" i="11"/>
  <c r="W1212" i="11"/>
  <c r="AU1212" i="11"/>
  <c r="X1212" i="11"/>
  <c r="AV1212" i="11"/>
  <c r="Y1212" i="11"/>
  <c r="AW1212" i="11"/>
  <c r="Z1212" i="11"/>
  <c r="AC1213" i="11"/>
  <c r="F1213" i="11"/>
  <c r="AD1213" i="11"/>
  <c r="G1213" i="11"/>
  <c r="AE1213" i="11"/>
  <c r="H1213" i="11"/>
  <c r="AF1213" i="11"/>
  <c r="I1213" i="11"/>
  <c r="AG1213" i="11"/>
  <c r="J1213" i="11"/>
  <c r="AH1213" i="11"/>
  <c r="K1213" i="11"/>
  <c r="AI1213" i="11"/>
  <c r="L1213" i="11"/>
  <c r="AJ1213" i="11"/>
  <c r="M1213" i="11"/>
  <c r="AK1213" i="11"/>
  <c r="N1213" i="11"/>
  <c r="AL1213" i="11"/>
  <c r="O1213" i="11"/>
  <c r="AM1213" i="11"/>
  <c r="P1213" i="11"/>
  <c r="AN1213" i="11"/>
  <c r="Q1213" i="11"/>
  <c r="AO1213" i="11"/>
  <c r="R1213" i="11"/>
  <c r="AP1213" i="11"/>
  <c r="S1213" i="11"/>
  <c r="AQ1213" i="11"/>
  <c r="T1213" i="11"/>
  <c r="AR1213" i="11"/>
  <c r="U1213" i="11"/>
  <c r="AS1213" i="11"/>
  <c r="V1213" i="11"/>
  <c r="AT1213" i="11"/>
  <c r="W1213" i="11"/>
  <c r="AU1213" i="11"/>
  <c r="X1213" i="11"/>
  <c r="AV1213" i="11"/>
  <c r="Y1213" i="11"/>
  <c r="AW1213" i="11"/>
  <c r="Z1213" i="11"/>
  <c r="AC1214" i="11"/>
  <c r="F1214" i="11"/>
  <c r="AD1214" i="11"/>
  <c r="G1214" i="11"/>
  <c r="AE1214" i="11"/>
  <c r="H1214" i="11"/>
  <c r="AF1214" i="11"/>
  <c r="I1214" i="11"/>
  <c r="AG1214" i="11"/>
  <c r="J1214" i="11"/>
  <c r="AH1214" i="11"/>
  <c r="K1214" i="11"/>
  <c r="AI1214" i="11"/>
  <c r="L1214" i="11"/>
  <c r="AJ1214" i="11"/>
  <c r="M1214" i="11"/>
  <c r="AK1214" i="11"/>
  <c r="N1214" i="11"/>
  <c r="AL1214" i="11"/>
  <c r="O1214" i="11"/>
  <c r="AM1214" i="11"/>
  <c r="P1214" i="11"/>
  <c r="AN1214" i="11"/>
  <c r="Q1214" i="11"/>
  <c r="AO1214" i="11"/>
  <c r="R1214" i="11"/>
  <c r="AP1214" i="11"/>
  <c r="S1214" i="11"/>
  <c r="AQ1214" i="11"/>
  <c r="T1214" i="11"/>
  <c r="AR1214" i="11"/>
  <c r="U1214" i="11"/>
  <c r="AS1214" i="11"/>
  <c r="V1214" i="11"/>
  <c r="AT1214" i="11"/>
  <c r="W1214" i="11"/>
  <c r="AU1214" i="11"/>
  <c r="X1214" i="11"/>
  <c r="AV1214" i="11"/>
  <c r="Y1214" i="11"/>
  <c r="AW1214" i="11"/>
  <c r="Z1214" i="11"/>
  <c r="AC1215" i="11"/>
  <c r="F1215" i="11"/>
  <c r="AD1215" i="11"/>
  <c r="G1215" i="11"/>
  <c r="AE1215" i="11"/>
  <c r="H1215" i="11"/>
  <c r="AF1215" i="11"/>
  <c r="I1215" i="11"/>
  <c r="AG1215" i="11"/>
  <c r="J1215" i="11"/>
  <c r="AH1215" i="11"/>
  <c r="K1215" i="11"/>
  <c r="AI1215" i="11"/>
  <c r="L1215" i="11"/>
  <c r="AJ1215" i="11"/>
  <c r="M1215" i="11"/>
  <c r="AK1215" i="11"/>
  <c r="N1215" i="11"/>
  <c r="AL1215" i="11"/>
  <c r="O1215" i="11"/>
  <c r="AM1215" i="11"/>
  <c r="P1215" i="11"/>
  <c r="AN1215" i="11"/>
  <c r="Q1215" i="11"/>
  <c r="AO1215" i="11"/>
  <c r="R1215" i="11"/>
  <c r="AP1215" i="11"/>
  <c r="S1215" i="11"/>
  <c r="AQ1215" i="11"/>
  <c r="T1215" i="11"/>
  <c r="AR1215" i="11"/>
  <c r="U1215" i="11"/>
  <c r="AS1215" i="11"/>
  <c r="V1215" i="11"/>
  <c r="AT1215" i="11"/>
  <c r="W1215" i="11"/>
  <c r="AU1215" i="11"/>
  <c r="X1215" i="11"/>
  <c r="AV1215" i="11"/>
  <c r="Y1215" i="11"/>
  <c r="AW1215" i="11"/>
  <c r="Z1215" i="11"/>
  <c r="AC1216" i="11"/>
  <c r="F1216" i="11"/>
  <c r="AD1216" i="11"/>
  <c r="G1216" i="11"/>
  <c r="AE1216" i="11"/>
  <c r="H1216" i="11"/>
  <c r="AF1216" i="11"/>
  <c r="I1216" i="11"/>
  <c r="AG1216" i="11"/>
  <c r="J1216" i="11"/>
  <c r="AH1216" i="11"/>
  <c r="K1216" i="11"/>
  <c r="AI1216" i="11"/>
  <c r="L1216" i="11"/>
  <c r="AJ1216" i="11"/>
  <c r="M1216" i="11"/>
  <c r="AK1216" i="11"/>
  <c r="N1216" i="11"/>
  <c r="AL1216" i="11"/>
  <c r="O1216" i="11"/>
  <c r="AM1216" i="11"/>
  <c r="P1216" i="11"/>
  <c r="AN1216" i="11"/>
  <c r="Q1216" i="11"/>
  <c r="AO1216" i="11"/>
  <c r="R1216" i="11"/>
  <c r="AP1216" i="11"/>
  <c r="S1216" i="11"/>
  <c r="AQ1216" i="11"/>
  <c r="T1216" i="11"/>
  <c r="AR1216" i="11"/>
  <c r="U1216" i="11"/>
  <c r="AS1216" i="11"/>
  <c r="V1216" i="11"/>
  <c r="AT1216" i="11"/>
  <c r="W1216" i="11"/>
  <c r="AU1216" i="11"/>
  <c r="X1216" i="11"/>
  <c r="AV1216" i="11"/>
  <c r="Y1216" i="11"/>
  <c r="AW1216" i="11"/>
  <c r="Z1216" i="11"/>
  <c r="AC1217" i="11"/>
  <c r="F1217" i="11"/>
  <c r="AD1217" i="11"/>
  <c r="G1217" i="11"/>
  <c r="AE1217" i="11"/>
  <c r="H1217" i="11"/>
  <c r="AF1217" i="11"/>
  <c r="I1217" i="11"/>
  <c r="AG1217" i="11"/>
  <c r="J1217" i="11"/>
  <c r="AH1217" i="11"/>
  <c r="K1217" i="11"/>
  <c r="AI1217" i="11"/>
  <c r="L1217" i="11"/>
  <c r="AJ1217" i="11"/>
  <c r="M1217" i="11"/>
  <c r="AK1217" i="11"/>
  <c r="N1217" i="11"/>
  <c r="AL1217" i="11"/>
  <c r="O1217" i="11"/>
  <c r="AM1217" i="11"/>
  <c r="P1217" i="11"/>
  <c r="AN1217" i="11"/>
  <c r="Q1217" i="11"/>
  <c r="AO1217" i="11"/>
  <c r="R1217" i="11"/>
  <c r="AP1217" i="11"/>
  <c r="S1217" i="11"/>
  <c r="AQ1217" i="11"/>
  <c r="T1217" i="11"/>
  <c r="AR1217" i="11"/>
  <c r="U1217" i="11"/>
  <c r="AS1217" i="11"/>
  <c r="V1217" i="11"/>
  <c r="AT1217" i="11"/>
  <c r="W1217" i="11"/>
  <c r="AU1217" i="11"/>
  <c r="X1217" i="11"/>
  <c r="AV1217" i="11"/>
  <c r="Y1217" i="11"/>
  <c r="AW1217" i="11"/>
  <c r="Z1217" i="11"/>
  <c r="AC1218" i="11"/>
  <c r="F1218" i="11"/>
  <c r="AD1218" i="11"/>
  <c r="G1218" i="11"/>
  <c r="AE1218" i="11"/>
  <c r="H1218" i="11"/>
  <c r="AF1218" i="11"/>
  <c r="I1218" i="11"/>
  <c r="AG1218" i="11"/>
  <c r="J1218" i="11"/>
  <c r="AH1218" i="11"/>
  <c r="K1218" i="11"/>
  <c r="AI1218" i="11"/>
  <c r="L1218" i="11"/>
  <c r="AJ1218" i="11"/>
  <c r="M1218" i="11"/>
  <c r="AK1218" i="11"/>
  <c r="N1218" i="11"/>
  <c r="AL1218" i="11"/>
  <c r="O1218" i="11"/>
  <c r="AM1218" i="11"/>
  <c r="P1218" i="11"/>
  <c r="AN1218" i="11"/>
  <c r="Q1218" i="11"/>
  <c r="AO1218" i="11"/>
  <c r="R1218" i="11"/>
  <c r="AP1218" i="11"/>
  <c r="S1218" i="11"/>
  <c r="AQ1218" i="11"/>
  <c r="T1218" i="11"/>
  <c r="AR1218" i="11"/>
  <c r="U1218" i="11"/>
  <c r="AS1218" i="11"/>
  <c r="V1218" i="11"/>
  <c r="AT1218" i="11"/>
  <c r="W1218" i="11"/>
  <c r="AU1218" i="11"/>
  <c r="X1218" i="11"/>
  <c r="AV1218" i="11"/>
  <c r="Y1218" i="11"/>
  <c r="AW1218" i="11"/>
  <c r="Z1218" i="11"/>
  <c r="AC1219" i="11"/>
  <c r="F1219" i="11"/>
  <c r="AD1219" i="11"/>
  <c r="G1219" i="11"/>
  <c r="AE1219" i="11"/>
  <c r="H1219" i="11"/>
  <c r="AF1219" i="11"/>
  <c r="I1219" i="11"/>
  <c r="AG1219" i="11"/>
  <c r="J1219" i="11"/>
  <c r="AH1219" i="11"/>
  <c r="K1219" i="11"/>
  <c r="AI1219" i="11"/>
  <c r="L1219" i="11"/>
  <c r="AJ1219" i="11"/>
  <c r="M1219" i="11"/>
  <c r="AK1219" i="11"/>
  <c r="N1219" i="11"/>
  <c r="AL1219" i="11"/>
  <c r="O1219" i="11"/>
  <c r="AM1219" i="11"/>
  <c r="P1219" i="11"/>
  <c r="AN1219" i="11"/>
  <c r="Q1219" i="11"/>
  <c r="AO1219" i="11"/>
  <c r="R1219" i="11"/>
  <c r="AP1219" i="11"/>
  <c r="S1219" i="11"/>
  <c r="AQ1219" i="11"/>
  <c r="T1219" i="11"/>
  <c r="AR1219" i="11"/>
  <c r="U1219" i="11"/>
  <c r="AS1219" i="11"/>
  <c r="V1219" i="11"/>
  <c r="AT1219" i="11"/>
  <c r="W1219" i="11"/>
  <c r="AU1219" i="11"/>
  <c r="X1219" i="11"/>
  <c r="AV1219" i="11"/>
  <c r="Y1219" i="11"/>
  <c r="AW1219" i="11"/>
  <c r="Z1219" i="11"/>
  <c r="AC1220" i="11"/>
  <c r="F1220" i="11"/>
  <c r="AD1220" i="11"/>
  <c r="G1220" i="11"/>
  <c r="AE1220" i="11"/>
  <c r="H1220" i="11"/>
  <c r="AF1220" i="11"/>
  <c r="I1220" i="11"/>
  <c r="AG1220" i="11"/>
  <c r="J1220" i="11"/>
  <c r="AH1220" i="11"/>
  <c r="K1220" i="11"/>
  <c r="AI1220" i="11"/>
  <c r="L1220" i="11"/>
  <c r="AJ1220" i="11"/>
  <c r="M1220" i="11"/>
  <c r="AK1220" i="11"/>
  <c r="N1220" i="11"/>
  <c r="AL1220" i="11"/>
  <c r="O1220" i="11"/>
  <c r="AM1220" i="11"/>
  <c r="P1220" i="11"/>
  <c r="AN1220" i="11"/>
  <c r="Q1220" i="11"/>
  <c r="AO1220" i="11"/>
  <c r="R1220" i="11"/>
  <c r="AP1220" i="11"/>
  <c r="S1220" i="11"/>
  <c r="AQ1220" i="11"/>
  <c r="T1220" i="11"/>
  <c r="AR1220" i="11"/>
  <c r="U1220" i="11"/>
  <c r="AS1220" i="11"/>
  <c r="V1220" i="11"/>
  <c r="AT1220" i="11"/>
  <c r="W1220" i="11"/>
  <c r="AU1220" i="11"/>
  <c r="X1220" i="11"/>
  <c r="AV1220" i="11"/>
  <c r="Y1220" i="11"/>
  <c r="AW1220" i="11"/>
  <c r="Z1220" i="11"/>
  <c r="AC1221" i="11"/>
  <c r="F1221" i="11"/>
  <c r="AD1221" i="11"/>
  <c r="G1221" i="11"/>
  <c r="AE1221" i="11"/>
  <c r="H1221" i="11"/>
  <c r="AF1221" i="11"/>
  <c r="I1221" i="11"/>
  <c r="AG1221" i="11"/>
  <c r="J1221" i="11"/>
  <c r="AH1221" i="11"/>
  <c r="K1221" i="11"/>
  <c r="AI1221" i="11"/>
  <c r="L1221" i="11"/>
  <c r="AJ1221" i="11"/>
  <c r="M1221" i="11"/>
  <c r="AK1221" i="11"/>
  <c r="N1221" i="11"/>
  <c r="AL1221" i="11"/>
  <c r="O1221" i="11"/>
  <c r="AM1221" i="11"/>
  <c r="P1221" i="11"/>
  <c r="AN1221" i="11"/>
  <c r="Q1221" i="11"/>
  <c r="AO1221" i="11"/>
  <c r="R1221" i="11"/>
  <c r="AP1221" i="11"/>
  <c r="S1221" i="11"/>
  <c r="AQ1221" i="11"/>
  <c r="T1221" i="11"/>
  <c r="AR1221" i="11"/>
  <c r="U1221" i="11"/>
  <c r="AS1221" i="11"/>
  <c r="V1221" i="11"/>
  <c r="AT1221" i="11"/>
  <c r="W1221" i="11"/>
  <c r="AU1221" i="11"/>
  <c r="X1221" i="11"/>
  <c r="AV1221" i="11"/>
  <c r="Y1221" i="11"/>
  <c r="AW1221" i="11"/>
  <c r="Z1221" i="11"/>
  <c r="AC1222" i="11"/>
  <c r="F1222" i="11"/>
  <c r="AD1222" i="11"/>
  <c r="G1222" i="11"/>
  <c r="AE1222" i="11"/>
  <c r="H1222" i="11"/>
  <c r="AF1222" i="11"/>
  <c r="I1222" i="11"/>
  <c r="AG1222" i="11"/>
  <c r="J1222" i="11"/>
  <c r="AH1222" i="11"/>
  <c r="K1222" i="11"/>
  <c r="AI1222" i="11"/>
  <c r="L1222" i="11"/>
  <c r="AJ1222" i="11"/>
  <c r="M1222" i="11"/>
  <c r="AK1222" i="11"/>
  <c r="N1222" i="11"/>
  <c r="AL1222" i="11"/>
  <c r="O1222" i="11"/>
  <c r="AM1222" i="11"/>
  <c r="P1222" i="11"/>
  <c r="AN1222" i="11"/>
  <c r="Q1222" i="11"/>
  <c r="AO1222" i="11"/>
  <c r="R1222" i="11"/>
  <c r="AP1222" i="11"/>
  <c r="S1222" i="11"/>
  <c r="AQ1222" i="11"/>
  <c r="T1222" i="11"/>
  <c r="AR1222" i="11"/>
  <c r="U1222" i="11"/>
  <c r="AS1222" i="11"/>
  <c r="V1222" i="11"/>
  <c r="AT1222" i="11"/>
  <c r="W1222" i="11"/>
  <c r="AU1222" i="11"/>
  <c r="X1222" i="11"/>
  <c r="AV1222" i="11"/>
  <c r="Y1222" i="11"/>
  <c r="AW1222" i="11"/>
  <c r="Z1222" i="11"/>
  <c r="AC1223" i="11"/>
  <c r="F1223" i="11"/>
  <c r="AD1223" i="11"/>
  <c r="G1223" i="11"/>
  <c r="AE1223" i="11"/>
  <c r="H1223" i="11"/>
  <c r="AF1223" i="11"/>
  <c r="I1223" i="11"/>
  <c r="AG1223" i="11"/>
  <c r="J1223" i="11"/>
  <c r="AH1223" i="11"/>
  <c r="K1223" i="11"/>
  <c r="AI1223" i="11"/>
  <c r="L1223" i="11"/>
  <c r="AJ1223" i="11"/>
  <c r="M1223" i="11"/>
  <c r="AK1223" i="11"/>
  <c r="N1223" i="11"/>
  <c r="AL1223" i="11"/>
  <c r="O1223" i="11"/>
  <c r="AM1223" i="11"/>
  <c r="P1223" i="11"/>
  <c r="AN1223" i="11"/>
  <c r="Q1223" i="11"/>
  <c r="AO1223" i="11"/>
  <c r="R1223" i="11"/>
  <c r="AP1223" i="11"/>
  <c r="S1223" i="11"/>
  <c r="AQ1223" i="11"/>
  <c r="T1223" i="11"/>
  <c r="AR1223" i="11"/>
  <c r="U1223" i="11"/>
  <c r="AS1223" i="11"/>
  <c r="V1223" i="11"/>
  <c r="AT1223" i="11"/>
  <c r="W1223" i="11"/>
  <c r="AU1223" i="11"/>
  <c r="X1223" i="11"/>
  <c r="AV1223" i="11"/>
  <c r="Y1223" i="11"/>
  <c r="AW1223" i="11"/>
  <c r="Z1223" i="11"/>
  <c r="AC1224" i="11"/>
  <c r="F1224" i="11"/>
  <c r="AD1224" i="11"/>
  <c r="G1224" i="11"/>
  <c r="AE1224" i="11"/>
  <c r="H1224" i="11"/>
  <c r="AF1224" i="11"/>
  <c r="I1224" i="11"/>
  <c r="AG1224" i="11"/>
  <c r="J1224" i="11"/>
  <c r="AH1224" i="11"/>
  <c r="K1224" i="11"/>
  <c r="AI1224" i="11"/>
  <c r="L1224" i="11"/>
  <c r="AJ1224" i="11"/>
  <c r="M1224" i="11"/>
  <c r="AK1224" i="11"/>
  <c r="N1224" i="11"/>
  <c r="AL1224" i="11"/>
  <c r="O1224" i="11"/>
  <c r="AM1224" i="11"/>
  <c r="P1224" i="11"/>
  <c r="AN1224" i="11"/>
  <c r="Q1224" i="11"/>
  <c r="AO1224" i="11"/>
  <c r="R1224" i="11"/>
  <c r="AP1224" i="11"/>
  <c r="S1224" i="11"/>
  <c r="AQ1224" i="11"/>
  <c r="T1224" i="11"/>
  <c r="AR1224" i="11"/>
  <c r="U1224" i="11"/>
  <c r="AS1224" i="11"/>
  <c r="V1224" i="11"/>
  <c r="AT1224" i="11"/>
  <c r="W1224" i="11"/>
  <c r="AU1224" i="11"/>
  <c r="X1224" i="11"/>
  <c r="AV1224" i="11"/>
  <c r="Y1224" i="11"/>
  <c r="AW1224" i="11"/>
  <c r="Z1224" i="11"/>
  <c r="AC1225" i="11"/>
  <c r="F1225" i="11"/>
  <c r="AD1225" i="11"/>
  <c r="G1225" i="11"/>
  <c r="AE1225" i="11"/>
  <c r="H1225" i="11"/>
  <c r="AF1225" i="11"/>
  <c r="I1225" i="11"/>
  <c r="AG1225" i="11"/>
  <c r="J1225" i="11"/>
  <c r="AH1225" i="11"/>
  <c r="K1225" i="11"/>
  <c r="AI1225" i="11"/>
  <c r="L1225" i="11"/>
  <c r="AJ1225" i="11"/>
  <c r="M1225" i="11"/>
  <c r="AK1225" i="11"/>
  <c r="N1225" i="11"/>
  <c r="AL1225" i="11"/>
  <c r="O1225" i="11"/>
  <c r="AM1225" i="11"/>
  <c r="P1225" i="11"/>
  <c r="AN1225" i="11"/>
  <c r="Q1225" i="11"/>
  <c r="AO1225" i="11"/>
  <c r="R1225" i="11"/>
  <c r="AP1225" i="11"/>
  <c r="S1225" i="11"/>
  <c r="AQ1225" i="11"/>
  <c r="T1225" i="11"/>
  <c r="AR1225" i="11"/>
  <c r="U1225" i="11"/>
  <c r="AS1225" i="11"/>
  <c r="V1225" i="11"/>
  <c r="AT1225" i="11"/>
  <c r="W1225" i="11"/>
  <c r="AU1225" i="11"/>
  <c r="X1225" i="11"/>
  <c r="AV1225" i="11"/>
  <c r="Y1225" i="11"/>
  <c r="AW1225" i="11"/>
  <c r="Z1225" i="11"/>
  <c r="AC1226" i="11"/>
  <c r="F1226" i="11"/>
  <c r="AD1226" i="11"/>
  <c r="G1226" i="11"/>
  <c r="AE1226" i="11"/>
  <c r="H1226" i="11"/>
  <c r="AF1226" i="11"/>
  <c r="I1226" i="11"/>
  <c r="AG1226" i="11"/>
  <c r="J1226" i="11"/>
  <c r="AH1226" i="11"/>
  <c r="K1226" i="11"/>
  <c r="AI1226" i="11"/>
  <c r="L1226" i="11"/>
  <c r="AJ1226" i="11"/>
  <c r="M1226" i="11"/>
  <c r="AK1226" i="11"/>
  <c r="N1226" i="11"/>
  <c r="AL1226" i="11"/>
  <c r="O1226" i="11"/>
  <c r="AM1226" i="11"/>
  <c r="P1226" i="11"/>
  <c r="AN1226" i="11"/>
  <c r="Q1226" i="11"/>
  <c r="AO1226" i="11"/>
  <c r="R1226" i="11"/>
  <c r="AP1226" i="11"/>
  <c r="S1226" i="11"/>
  <c r="AQ1226" i="11"/>
  <c r="T1226" i="11"/>
  <c r="AR1226" i="11"/>
  <c r="U1226" i="11"/>
  <c r="AS1226" i="11"/>
  <c r="V1226" i="11"/>
  <c r="AT1226" i="11"/>
  <c r="W1226" i="11"/>
  <c r="AU1226" i="11"/>
  <c r="X1226" i="11"/>
  <c r="AV1226" i="11"/>
  <c r="Y1226" i="11"/>
  <c r="AW1226" i="11"/>
  <c r="Z1226" i="11"/>
  <c r="AC1227" i="11"/>
  <c r="F1227" i="11"/>
  <c r="AD1227" i="11"/>
  <c r="G1227" i="11"/>
  <c r="AE1227" i="11"/>
  <c r="H1227" i="11"/>
  <c r="AF1227" i="11"/>
  <c r="I1227" i="11"/>
  <c r="AG1227" i="11"/>
  <c r="J1227" i="11"/>
  <c r="AH1227" i="11"/>
  <c r="K1227" i="11"/>
  <c r="AI1227" i="11"/>
  <c r="L1227" i="11"/>
  <c r="AJ1227" i="11"/>
  <c r="M1227" i="11"/>
  <c r="AK1227" i="11"/>
  <c r="N1227" i="11"/>
  <c r="AL1227" i="11"/>
  <c r="O1227" i="11"/>
  <c r="AM1227" i="11"/>
  <c r="P1227" i="11"/>
  <c r="AN1227" i="11"/>
  <c r="Q1227" i="11"/>
  <c r="AO1227" i="11"/>
  <c r="R1227" i="11"/>
  <c r="AP1227" i="11"/>
  <c r="S1227" i="11"/>
  <c r="AQ1227" i="11"/>
  <c r="T1227" i="11"/>
  <c r="AR1227" i="11"/>
  <c r="U1227" i="11"/>
  <c r="AS1227" i="11"/>
  <c r="V1227" i="11"/>
  <c r="AT1227" i="11"/>
  <c r="W1227" i="11"/>
  <c r="AU1227" i="11"/>
  <c r="X1227" i="11"/>
  <c r="AV1227" i="11"/>
  <c r="Y1227" i="11"/>
  <c r="AW1227" i="11"/>
  <c r="Z1227" i="11"/>
  <c r="AC1228" i="11"/>
  <c r="F1228" i="11"/>
  <c r="AD1228" i="11"/>
  <c r="G1228" i="11"/>
  <c r="AE1228" i="11"/>
  <c r="H1228" i="11"/>
  <c r="AF1228" i="11"/>
  <c r="I1228" i="11"/>
  <c r="AG1228" i="11"/>
  <c r="J1228" i="11"/>
  <c r="AH1228" i="11"/>
  <c r="K1228" i="11"/>
  <c r="AI1228" i="11"/>
  <c r="L1228" i="11"/>
  <c r="AJ1228" i="11"/>
  <c r="M1228" i="11"/>
  <c r="AK1228" i="11"/>
  <c r="N1228" i="11"/>
  <c r="AL1228" i="11"/>
  <c r="O1228" i="11"/>
  <c r="AM1228" i="11"/>
  <c r="P1228" i="11"/>
  <c r="AN1228" i="11"/>
  <c r="Q1228" i="11"/>
  <c r="AO1228" i="11"/>
  <c r="R1228" i="11"/>
  <c r="AP1228" i="11"/>
  <c r="S1228" i="11"/>
  <c r="AQ1228" i="11"/>
  <c r="T1228" i="11"/>
  <c r="AR1228" i="11"/>
  <c r="U1228" i="11"/>
  <c r="AS1228" i="11"/>
  <c r="V1228" i="11"/>
  <c r="AT1228" i="11"/>
  <c r="W1228" i="11"/>
  <c r="AU1228" i="11"/>
  <c r="X1228" i="11"/>
  <c r="AV1228" i="11"/>
  <c r="Y1228" i="11"/>
  <c r="AW1228" i="11"/>
  <c r="Z1228" i="11"/>
  <c r="AC1229" i="11"/>
  <c r="F1229" i="11"/>
  <c r="AD1229" i="11"/>
  <c r="G1229" i="11"/>
  <c r="AE1229" i="11"/>
  <c r="H1229" i="11"/>
  <c r="AF1229" i="11"/>
  <c r="I1229" i="11"/>
  <c r="AG1229" i="11"/>
  <c r="J1229" i="11"/>
  <c r="AH1229" i="11"/>
  <c r="K1229" i="11"/>
  <c r="AI1229" i="11"/>
  <c r="L1229" i="11"/>
  <c r="AJ1229" i="11"/>
  <c r="M1229" i="11"/>
  <c r="AK1229" i="11"/>
  <c r="N1229" i="11"/>
  <c r="AL1229" i="11"/>
  <c r="O1229" i="11"/>
  <c r="AM1229" i="11"/>
  <c r="P1229" i="11"/>
  <c r="AN1229" i="11"/>
  <c r="Q1229" i="11"/>
  <c r="AO1229" i="11"/>
  <c r="R1229" i="11"/>
  <c r="AP1229" i="11"/>
  <c r="S1229" i="11"/>
  <c r="AQ1229" i="11"/>
  <c r="T1229" i="11"/>
  <c r="AR1229" i="11"/>
  <c r="U1229" i="11"/>
  <c r="AS1229" i="11"/>
  <c r="V1229" i="11"/>
  <c r="AT1229" i="11"/>
  <c r="W1229" i="11"/>
  <c r="AU1229" i="11"/>
  <c r="X1229" i="11"/>
  <c r="AV1229" i="11"/>
  <c r="Y1229" i="11"/>
  <c r="AW1229" i="11"/>
  <c r="Z1229" i="11"/>
  <c r="AC1230" i="11"/>
  <c r="F1230" i="11"/>
  <c r="AD1230" i="11"/>
  <c r="G1230" i="11"/>
  <c r="AE1230" i="11"/>
  <c r="H1230" i="11"/>
  <c r="AF1230" i="11"/>
  <c r="I1230" i="11"/>
  <c r="AG1230" i="11"/>
  <c r="J1230" i="11"/>
  <c r="AH1230" i="11"/>
  <c r="K1230" i="11"/>
  <c r="AI1230" i="11"/>
  <c r="L1230" i="11"/>
  <c r="AJ1230" i="11"/>
  <c r="M1230" i="11"/>
  <c r="AK1230" i="11"/>
  <c r="N1230" i="11"/>
  <c r="AL1230" i="11"/>
  <c r="O1230" i="11"/>
  <c r="AM1230" i="11"/>
  <c r="P1230" i="11"/>
  <c r="AN1230" i="11"/>
  <c r="Q1230" i="11"/>
  <c r="AO1230" i="11"/>
  <c r="R1230" i="11"/>
  <c r="AP1230" i="11"/>
  <c r="S1230" i="11"/>
  <c r="AQ1230" i="11"/>
  <c r="T1230" i="11"/>
  <c r="AR1230" i="11"/>
  <c r="U1230" i="11"/>
  <c r="AS1230" i="11"/>
  <c r="V1230" i="11"/>
  <c r="AT1230" i="11"/>
  <c r="W1230" i="11"/>
  <c r="AU1230" i="11"/>
  <c r="X1230" i="11"/>
  <c r="AV1230" i="11"/>
  <c r="Y1230" i="11"/>
  <c r="AW1230" i="11"/>
  <c r="Z1230" i="11"/>
  <c r="AC1231" i="11"/>
  <c r="F1231" i="11"/>
  <c r="AD1231" i="11"/>
  <c r="G1231" i="11"/>
  <c r="AE1231" i="11"/>
  <c r="H1231" i="11"/>
  <c r="AF1231" i="11"/>
  <c r="I1231" i="11"/>
  <c r="AG1231" i="11"/>
  <c r="J1231" i="11"/>
  <c r="AH1231" i="11"/>
  <c r="K1231" i="11"/>
  <c r="AI1231" i="11"/>
  <c r="L1231" i="11"/>
  <c r="AJ1231" i="11"/>
  <c r="M1231" i="11"/>
  <c r="AK1231" i="11"/>
  <c r="N1231" i="11"/>
  <c r="AL1231" i="11"/>
  <c r="O1231" i="11"/>
  <c r="AM1231" i="11"/>
  <c r="P1231" i="11"/>
  <c r="AN1231" i="11"/>
  <c r="Q1231" i="11"/>
  <c r="AO1231" i="11"/>
  <c r="R1231" i="11"/>
  <c r="AP1231" i="11"/>
  <c r="S1231" i="11"/>
  <c r="AQ1231" i="11"/>
  <c r="T1231" i="11"/>
  <c r="AR1231" i="11"/>
  <c r="U1231" i="11"/>
  <c r="AS1231" i="11"/>
  <c r="V1231" i="11"/>
  <c r="AT1231" i="11"/>
  <c r="W1231" i="11"/>
  <c r="AU1231" i="11"/>
  <c r="X1231" i="11"/>
  <c r="AV1231" i="11"/>
  <c r="Y1231" i="11"/>
  <c r="AW1231" i="11"/>
  <c r="Z1231" i="11"/>
  <c r="AC1232" i="11"/>
  <c r="F1232" i="11"/>
  <c r="AD1232" i="11"/>
  <c r="G1232" i="11"/>
  <c r="AE1232" i="11"/>
  <c r="H1232" i="11"/>
  <c r="AF1232" i="11"/>
  <c r="I1232" i="11"/>
  <c r="AG1232" i="11"/>
  <c r="J1232" i="11"/>
  <c r="AH1232" i="11"/>
  <c r="K1232" i="11"/>
  <c r="AI1232" i="11"/>
  <c r="L1232" i="11"/>
  <c r="AJ1232" i="11"/>
  <c r="M1232" i="11"/>
  <c r="AK1232" i="11"/>
  <c r="N1232" i="11"/>
  <c r="AL1232" i="11"/>
  <c r="O1232" i="11"/>
  <c r="AM1232" i="11"/>
  <c r="P1232" i="11"/>
  <c r="AN1232" i="11"/>
  <c r="Q1232" i="11"/>
  <c r="AO1232" i="11"/>
  <c r="R1232" i="11"/>
  <c r="AP1232" i="11"/>
  <c r="S1232" i="11"/>
  <c r="AQ1232" i="11"/>
  <c r="T1232" i="11"/>
  <c r="AR1232" i="11"/>
  <c r="U1232" i="11"/>
  <c r="AS1232" i="11"/>
  <c r="V1232" i="11"/>
  <c r="AT1232" i="11"/>
  <c r="W1232" i="11"/>
  <c r="AU1232" i="11"/>
  <c r="X1232" i="11"/>
  <c r="AV1232" i="11"/>
  <c r="Y1232" i="11"/>
  <c r="AW1232" i="11"/>
  <c r="Z1232" i="11"/>
  <c r="AC1233" i="11"/>
  <c r="F1233" i="11"/>
  <c r="AD1233" i="11"/>
  <c r="G1233" i="11"/>
  <c r="AE1233" i="11"/>
  <c r="H1233" i="11"/>
  <c r="AF1233" i="11"/>
  <c r="I1233" i="11"/>
  <c r="AG1233" i="11"/>
  <c r="J1233" i="11"/>
  <c r="AH1233" i="11"/>
  <c r="K1233" i="11"/>
  <c r="AI1233" i="11"/>
  <c r="L1233" i="11"/>
  <c r="AJ1233" i="11"/>
  <c r="M1233" i="11"/>
  <c r="AK1233" i="11"/>
  <c r="N1233" i="11"/>
  <c r="AL1233" i="11"/>
  <c r="O1233" i="11"/>
  <c r="AM1233" i="11"/>
  <c r="P1233" i="11"/>
  <c r="AN1233" i="11"/>
  <c r="Q1233" i="11"/>
  <c r="AO1233" i="11"/>
  <c r="R1233" i="11"/>
  <c r="AP1233" i="11"/>
  <c r="S1233" i="11"/>
  <c r="AQ1233" i="11"/>
  <c r="T1233" i="11"/>
  <c r="AR1233" i="11"/>
  <c r="U1233" i="11"/>
  <c r="AS1233" i="11"/>
  <c r="V1233" i="11"/>
  <c r="AT1233" i="11"/>
  <c r="W1233" i="11"/>
  <c r="AU1233" i="11"/>
  <c r="X1233" i="11"/>
  <c r="AV1233" i="11"/>
  <c r="Y1233" i="11"/>
  <c r="AW1233" i="11"/>
  <c r="Z1233" i="11"/>
  <c r="AC1234" i="11"/>
  <c r="F1234" i="11"/>
  <c r="AD1234" i="11"/>
  <c r="G1234" i="11"/>
  <c r="AE1234" i="11"/>
  <c r="H1234" i="11"/>
  <c r="AF1234" i="11"/>
  <c r="I1234" i="11"/>
  <c r="AG1234" i="11"/>
  <c r="J1234" i="11"/>
  <c r="AH1234" i="11"/>
  <c r="K1234" i="11"/>
  <c r="AI1234" i="11"/>
  <c r="L1234" i="11"/>
  <c r="AJ1234" i="11"/>
  <c r="M1234" i="11"/>
  <c r="AK1234" i="11"/>
  <c r="N1234" i="11"/>
  <c r="AL1234" i="11"/>
  <c r="O1234" i="11"/>
  <c r="AM1234" i="11"/>
  <c r="P1234" i="11"/>
  <c r="AN1234" i="11"/>
  <c r="Q1234" i="11"/>
  <c r="AO1234" i="11"/>
  <c r="R1234" i="11"/>
  <c r="AP1234" i="11"/>
  <c r="S1234" i="11"/>
  <c r="AQ1234" i="11"/>
  <c r="T1234" i="11"/>
  <c r="AR1234" i="11"/>
  <c r="U1234" i="11"/>
  <c r="AS1234" i="11"/>
  <c r="V1234" i="11"/>
  <c r="AT1234" i="11"/>
  <c r="W1234" i="11"/>
  <c r="AU1234" i="11"/>
  <c r="X1234" i="11"/>
  <c r="AV1234" i="11"/>
  <c r="Y1234" i="11"/>
  <c r="AW1234" i="11"/>
  <c r="Z1234" i="11"/>
  <c r="AC1235" i="11"/>
  <c r="F1235" i="11"/>
  <c r="AD1235" i="11"/>
  <c r="G1235" i="11"/>
  <c r="AE1235" i="11"/>
  <c r="H1235" i="11"/>
  <c r="AF1235" i="11"/>
  <c r="I1235" i="11"/>
  <c r="AG1235" i="11"/>
  <c r="J1235" i="11"/>
  <c r="AH1235" i="11"/>
  <c r="K1235" i="11"/>
  <c r="AI1235" i="11"/>
  <c r="L1235" i="11"/>
  <c r="AJ1235" i="11"/>
  <c r="M1235" i="11"/>
  <c r="AK1235" i="11"/>
  <c r="N1235" i="11"/>
  <c r="AL1235" i="11"/>
  <c r="O1235" i="11"/>
  <c r="AM1235" i="11"/>
  <c r="P1235" i="11"/>
  <c r="AN1235" i="11"/>
  <c r="Q1235" i="11"/>
  <c r="AO1235" i="11"/>
  <c r="R1235" i="11"/>
  <c r="AP1235" i="11"/>
  <c r="S1235" i="11"/>
  <c r="AQ1235" i="11"/>
  <c r="T1235" i="11"/>
  <c r="AR1235" i="11"/>
  <c r="U1235" i="11"/>
  <c r="AS1235" i="11"/>
  <c r="V1235" i="11"/>
  <c r="AT1235" i="11"/>
  <c r="W1235" i="11"/>
  <c r="AU1235" i="11"/>
  <c r="X1235" i="11"/>
  <c r="AV1235" i="11"/>
  <c r="Y1235" i="11"/>
  <c r="AW1235" i="11"/>
  <c r="Z1235" i="11"/>
  <c r="AC1236" i="11"/>
  <c r="F1236" i="11"/>
  <c r="AD1236" i="11"/>
  <c r="G1236" i="11"/>
  <c r="AE1236" i="11"/>
  <c r="H1236" i="11"/>
  <c r="AF1236" i="11"/>
  <c r="I1236" i="11"/>
  <c r="AG1236" i="11"/>
  <c r="J1236" i="11"/>
  <c r="AH1236" i="11"/>
  <c r="K1236" i="11"/>
  <c r="AI1236" i="11"/>
  <c r="L1236" i="11"/>
  <c r="AJ1236" i="11"/>
  <c r="M1236" i="11"/>
  <c r="AK1236" i="11"/>
  <c r="N1236" i="11"/>
  <c r="AL1236" i="11"/>
  <c r="O1236" i="11"/>
  <c r="AM1236" i="11"/>
  <c r="P1236" i="11"/>
  <c r="AN1236" i="11"/>
  <c r="Q1236" i="11"/>
  <c r="AO1236" i="11"/>
  <c r="R1236" i="11"/>
  <c r="AP1236" i="11"/>
  <c r="S1236" i="11"/>
  <c r="AQ1236" i="11"/>
  <c r="T1236" i="11"/>
  <c r="AR1236" i="11"/>
  <c r="U1236" i="11"/>
  <c r="AS1236" i="11"/>
  <c r="V1236" i="11"/>
  <c r="AT1236" i="11"/>
  <c r="W1236" i="11"/>
  <c r="AU1236" i="11"/>
  <c r="X1236" i="11"/>
  <c r="AV1236" i="11"/>
  <c r="Y1236" i="11"/>
  <c r="AW1236" i="11"/>
  <c r="Z1236" i="11"/>
  <c r="AC1237" i="11"/>
  <c r="F1237" i="11"/>
  <c r="AD1237" i="11"/>
  <c r="G1237" i="11"/>
  <c r="AE1237" i="11"/>
  <c r="H1237" i="11"/>
  <c r="AF1237" i="11"/>
  <c r="I1237" i="11"/>
  <c r="AG1237" i="11"/>
  <c r="J1237" i="11"/>
  <c r="AH1237" i="11"/>
  <c r="K1237" i="11"/>
  <c r="AI1237" i="11"/>
  <c r="L1237" i="11"/>
  <c r="AJ1237" i="11"/>
  <c r="M1237" i="11"/>
  <c r="AK1237" i="11"/>
  <c r="N1237" i="11"/>
  <c r="AL1237" i="11"/>
  <c r="O1237" i="11"/>
  <c r="AM1237" i="11"/>
  <c r="P1237" i="11"/>
  <c r="AN1237" i="11"/>
  <c r="Q1237" i="11"/>
  <c r="AO1237" i="11"/>
  <c r="R1237" i="11"/>
  <c r="AP1237" i="11"/>
  <c r="S1237" i="11"/>
  <c r="AQ1237" i="11"/>
  <c r="T1237" i="11"/>
  <c r="AR1237" i="11"/>
  <c r="U1237" i="11"/>
  <c r="AS1237" i="11"/>
  <c r="V1237" i="11"/>
  <c r="AT1237" i="11"/>
  <c r="W1237" i="11"/>
  <c r="AU1237" i="11"/>
  <c r="X1237" i="11"/>
  <c r="AV1237" i="11"/>
  <c r="Y1237" i="11"/>
  <c r="AW1237" i="11"/>
  <c r="Z1237" i="11"/>
  <c r="AC1238" i="11"/>
  <c r="F1238" i="11"/>
  <c r="AD1238" i="11"/>
  <c r="G1238" i="11"/>
  <c r="AE1238" i="11"/>
  <c r="H1238" i="11"/>
  <c r="AF1238" i="11"/>
  <c r="I1238" i="11"/>
  <c r="AG1238" i="11"/>
  <c r="J1238" i="11"/>
  <c r="AH1238" i="11"/>
  <c r="K1238" i="11"/>
  <c r="AI1238" i="11"/>
  <c r="L1238" i="11"/>
  <c r="AJ1238" i="11"/>
  <c r="M1238" i="11"/>
  <c r="AK1238" i="11"/>
  <c r="N1238" i="11"/>
  <c r="AL1238" i="11"/>
  <c r="O1238" i="11"/>
  <c r="AM1238" i="11"/>
  <c r="P1238" i="11"/>
  <c r="AN1238" i="11"/>
  <c r="Q1238" i="11"/>
  <c r="AO1238" i="11"/>
  <c r="R1238" i="11"/>
  <c r="AP1238" i="11"/>
  <c r="S1238" i="11"/>
  <c r="AQ1238" i="11"/>
  <c r="T1238" i="11"/>
  <c r="AR1238" i="11"/>
  <c r="U1238" i="11"/>
  <c r="AS1238" i="11"/>
  <c r="V1238" i="11"/>
  <c r="AT1238" i="11"/>
  <c r="W1238" i="11"/>
  <c r="AU1238" i="11"/>
  <c r="X1238" i="11"/>
  <c r="AV1238" i="11"/>
  <c r="Y1238" i="11"/>
  <c r="AW1238" i="11"/>
  <c r="Z1238" i="11"/>
  <c r="AC1239" i="11"/>
  <c r="F1239" i="11"/>
  <c r="AD1239" i="11"/>
  <c r="G1239" i="11"/>
  <c r="AE1239" i="11"/>
  <c r="H1239" i="11"/>
  <c r="AF1239" i="11"/>
  <c r="I1239" i="11"/>
  <c r="AG1239" i="11"/>
  <c r="J1239" i="11"/>
  <c r="AH1239" i="11"/>
  <c r="K1239" i="11"/>
  <c r="AI1239" i="11"/>
  <c r="L1239" i="11"/>
  <c r="AJ1239" i="11"/>
  <c r="M1239" i="11"/>
  <c r="AK1239" i="11"/>
  <c r="N1239" i="11"/>
  <c r="AL1239" i="11"/>
  <c r="O1239" i="11"/>
  <c r="AM1239" i="11"/>
  <c r="P1239" i="11"/>
  <c r="AN1239" i="11"/>
  <c r="Q1239" i="11"/>
  <c r="AO1239" i="11"/>
  <c r="R1239" i="11"/>
  <c r="AP1239" i="11"/>
  <c r="S1239" i="11"/>
  <c r="AQ1239" i="11"/>
  <c r="T1239" i="11"/>
  <c r="AR1239" i="11"/>
  <c r="U1239" i="11"/>
  <c r="AS1239" i="11"/>
  <c r="V1239" i="11"/>
  <c r="AT1239" i="11"/>
  <c r="W1239" i="11"/>
  <c r="AU1239" i="11"/>
  <c r="X1239" i="11"/>
  <c r="AV1239" i="11"/>
  <c r="Y1239" i="11"/>
  <c r="AW1239" i="11"/>
  <c r="Z1239" i="11"/>
  <c r="AC1240" i="11"/>
  <c r="F1240" i="11"/>
  <c r="AD1240" i="11"/>
  <c r="G1240" i="11"/>
  <c r="AE1240" i="11"/>
  <c r="H1240" i="11"/>
  <c r="AF1240" i="11"/>
  <c r="I1240" i="11"/>
  <c r="AG1240" i="11"/>
  <c r="J1240" i="11"/>
  <c r="AH1240" i="11"/>
  <c r="K1240" i="11"/>
  <c r="AI1240" i="11"/>
  <c r="L1240" i="11"/>
  <c r="AJ1240" i="11"/>
  <c r="M1240" i="11"/>
  <c r="AK1240" i="11"/>
  <c r="N1240" i="11"/>
  <c r="AL1240" i="11"/>
  <c r="O1240" i="11"/>
  <c r="AM1240" i="11"/>
  <c r="P1240" i="11"/>
  <c r="AN1240" i="11"/>
  <c r="Q1240" i="11"/>
  <c r="AO1240" i="11"/>
  <c r="R1240" i="11"/>
  <c r="AP1240" i="11"/>
  <c r="S1240" i="11"/>
  <c r="AQ1240" i="11"/>
  <c r="T1240" i="11"/>
  <c r="AR1240" i="11"/>
  <c r="U1240" i="11"/>
  <c r="AS1240" i="11"/>
  <c r="V1240" i="11"/>
  <c r="AT1240" i="11"/>
  <c r="W1240" i="11"/>
  <c r="AU1240" i="11"/>
  <c r="X1240" i="11"/>
  <c r="AV1240" i="11"/>
  <c r="Y1240" i="11"/>
  <c r="AW1240" i="11"/>
  <c r="Z1240" i="11"/>
  <c r="AC1241" i="11"/>
  <c r="F1241" i="11"/>
  <c r="AD1241" i="11"/>
  <c r="G1241" i="11"/>
  <c r="AE1241" i="11"/>
  <c r="H1241" i="11"/>
  <c r="AF1241" i="11"/>
  <c r="I1241" i="11"/>
  <c r="AG1241" i="11"/>
  <c r="J1241" i="11"/>
  <c r="AH1241" i="11"/>
  <c r="K1241" i="11"/>
  <c r="AI1241" i="11"/>
  <c r="L1241" i="11"/>
  <c r="AJ1241" i="11"/>
  <c r="M1241" i="11"/>
  <c r="AK1241" i="11"/>
  <c r="N1241" i="11"/>
  <c r="AL1241" i="11"/>
  <c r="O1241" i="11"/>
  <c r="AM1241" i="11"/>
  <c r="P1241" i="11"/>
  <c r="AN1241" i="11"/>
  <c r="Q1241" i="11"/>
  <c r="AO1241" i="11"/>
  <c r="R1241" i="11"/>
  <c r="AP1241" i="11"/>
  <c r="S1241" i="11"/>
  <c r="AQ1241" i="11"/>
  <c r="T1241" i="11"/>
  <c r="AR1241" i="11"/>
  <c r="U1241" i="11"/>
  <c r="AS1241" i="11"/>
  <c r="V1241" i="11"/>
  <c r="AT1241" i="11"/>
  <c r="W1241" i="11"/>
  <c r="AU1241" i="11"/>
  <c r="X1241" i="11"/>
  <c r="AV1241" i="11"/>
  <c r="Y1241" i="11"/>
  <c r="AW1241" i="11"/>
  <c r="Z1241" i="11"/>
  <c r="AC1242" i="11"/>
  <c r="F1242" i="11"/>
  <c r="AD1242" i="11"/>
  <c r="G1242" i="11"/>
  <c r="AE1242" i="11"/>
  <c r="H1242" i="11"/>
  <c r="AF1242" i="11"/>
  <c r="I1242" i="11"/>
  <c r="AG1242" i="11"/>
  <c r="J1242" i="11"/>
  <c r="AH1242" i="11"/>
  <c r="K1242" i="11"/>
  <c r="AI1242" i="11"/>
  <c r="L1242" i="11"/>
  <c r="AJ1242" i="11"/>
  <c r="M1242" i="11"/>
  <c r="AK1242" i="11"/>
  <c r="N1242" i="11"/>
  <c r="AL1242" i="11"/>
  <c r="O1242" i="11"/>
  <c r="AM1242" i="11"/>
  <c r="P1242" i="11"/>
  <c r="AN1242" i="11"/>
  <c r="Q1242" i="11"/>
  <c r="AO1242" i="11"/>
  <c r="R1242" i="11"/>
  <c r="AP1242" i="11"/>
  <c r="S1242" i="11"/>
  <c r="AQ1242" i="11"/>
  <c r="T1242" i="11"/>
  <c r="AR1242" i="11"/>
  <c r="U1242" i="11"/>
  <c r="AS1242" i="11"/>
  <c r="V1242" i="11"/>
  <c r="AT1242" i="11"/>
  <c r="W1242" i="11"/>
  <c r="AU1242" i="11"/>
  <c r="X1242" i="11"/>
  <c r="AV1242" i="11"/>
  <c r="Y1242" i="11"/>
  <c r="AW1242" i="11"/>
  <c r="Z1242" i="11"/>
  <c r="AC1243" i="11"/>
  <c r="F1243" i="11"/>
  <c r="AD1243" i="11"/>
  <c r="G1243" i="11"/>
  <c r="AE1243" i="11"/>
  <c r="H1243" i="11"/>
  <c r="AF1243" i="11"/>
  <c r="I1243" i="11"/>
  <c r="AG1243" i="11"/>
  <c r="J1243" i="11"/>
  <c r="AH1243" i="11"/>
  <c r="K1243" i="11"/>
  <c r="AI1243" i="11"/>
  <c r="L1243" i="11"/>
  <c r="AJ1243" i="11"/>
  <c r="M1243" i="11"/>
  <c r="AK1243" i="11"/>
  <c r="N1243" i="11"/>
  <c r="AL1243" i="11"/>
  <c r="O1243" i="11"/>
  <c r="AM1243" i="11"/>
  <c r="P1243" i="11"/>
  <c r="AN1243" i="11"/>
  <c r="Q1243" i="11"/>
  <c r="AO1243" i="11"/>
  <c r="R1243" i="11"/>
  <c r="AP1243" i="11"/>
  <c r="S1243" i="11"/>
  <c r="AQ1243" i="11"/>
  <c r="T1243" i="11"/>
  <c r="AR1243" i="11"/>
  <c r="U1243" i="11"/>
  <c r="AS1243" i="11"/>
  <c r="V1243" i="11"/>
  <c r="AT1243" i="11"/>
  <c r="W1243" i="11"/>
  <c r="AU1243" i="11"/>
  <c r="X1243" i="11"/>
  <c r="AV1243" i="11"/>
  <c r="Y1243" i="11"/>
  <c r="AW1243" i="11"/>
  <c r="Z1243" i="11"/>
  <c r="AC1244" i="11"/>
  <c r="F1244" i="11"/>
  <c r="AD1244" i="11"/>
  <c r="G1244" i="11"/>
  <c r="AE1244" i="11"/>
  <c r="H1244" i="11"/>
  <c r="AF1244" i="11"/>
  <c r="I1244" i="11"/>
  <c r="AG1244" i="11"/>
  <c r="J1244" i="11"/>
  <c r="AH1244" i="11"/>
  <c r="K1244" i="11"/>
  <c r="AI1244" i="11"/>
  <c r="L1244" i="11"/>
  <c r="AJ1244" i="11"/>
  <c r="M1244" i="11"/>
  <c r="AK1244" i="11"/>
  <c r="N1244" i="11"/>
  <c r="AL1244" i="11"/>
  <c r="O1244" i="11"/>
  <c r="AM1244" i="11"/>
  <c r="P1244" i="11"/>
  <c r="AN1244" i="11"/>
  <c r="Q1244" i="11"/>
  <c r="AO1244" i="11"/>
  <c r="R1244" i="11"/>
  <c r="AP1244" i="11"/>
  <c r="S1244" i="11"/>
  <c r="AQ1244" i="11"/>
  <c r="T1244" i="11"/>
  <c r="AR1244" i="11"/>
  <c r="U1244" i="11"/>
  <c r="AS1244" i="11"/>
  <c r="V1244" i="11"/>
  <c r="AT1244" i="11"/>
  <c r="W1244" i="11"/>
  <c r="AU1244" i="11"/>
  <c r="X1244" i="11"/>
  <c r="AV1244" i="11"/>
  <c r="Y1244" i="11"/>
  <c r="AW1244" i="11"/>
  <c r="Z1244" i="11"/>
  <c r="AC1245" i="11"/>
  <c r="F1245" i="11"/>
  <c r="AD1245" i="11"/>
  <c r="G1245" i="11"/>
  <c r="AE1245" i="11"/>
  <c r="H1245" i="11"/>
  <c r="AF1245" i="11"/>
  <c r="I1245" i="11"/>
  <c r="AG1245" i="11"/>
  <c r="J1245" i="11"/>
  <c r="AH1245" i="11"/>
  <c r="K1245" i="11"/>
  <c r="AI1245" i="11"/>
  <c r="L1245" i="11"/>
  <c r="AJ1245" i="11"/>
  <c r="M1245" i="11"/>
  <c r="AK1245" i="11"/>
  <c r="N1245" i="11"/>
  <c r="AL1245" i="11"/>
  <c r="O1245" i="11"/>
  <c r="AM1245" i="11"/>
  <c r="P1245" i="11"/>
  <c r="AN1245" i="11"/>
  <c r="Q1245" i="11"/>
  <c r="AO1245" i="11"/>
  <c r="R1245" i="11"/>
  <c r="AP1245" i="11"/>
  <c r="S1245" i="11"/>
  <c r="AQ1245" i="11"/>
  <c r="T1245" i="11"/>
  <c r="AR1245" i="11"/>
  <c r="U1245" i="11"/>
  <c r="AS1245" i="11"/>
  <c r="V1245" i="11"/>
  <c r="AT1245" i="11"/>
  <c r="W1245" i="11"/>
  <c r="AU1245" i="11"/>
  <c r="X1245" i="11"/>
  <c r="AV1245" i="11"/>
  <c r="Y1245" i="11"/>
  <c r="AW1245" i="11"/>
  <c r="Z1245" i="11"/>
  <c r="AC1246" i="11"/>
  <c r="F1246" i="11"/>
  <c r="AD1246" i="11"/>
  <c r="G1246" i="11"/>
  <c r="AE1246" i="11"/>
  <c r="H1246" i="11"/>
  <c r="AF1246" i="11"/>
  <c r="I1246" i="11"/>
  <c r="AG1246" i="11"/>
  <c r="J1246" i="11"/>
  <c r="AH1246" i="11"/>
  <c r="K1246" i="11"/>
  <c r="AI1246" i="11"/>
  <c r="L1246" i="11"/>
  <c r="AJ1246" i="11"/>
  <c r="M1246" i="11"/>
  <c r="AK1246" i="11"/>
  <c r="N1246" i="11"/>
  <c r="AL1246" i="11"/>
  <c r="O1246" i="11"/>
  <c r="AM1246" i="11"/>
  <c r="P1246" i="11"/>
  <c r="AN1246" i="11"/>
  <c r="Q1246" i="11"/>
  <c r="AO1246" i="11"/>
  <c r="R1246" i="11"/>
  <c r="AP1246" i="11"/>
  <c r="S1246" i="11"/>
  <c r="AQ1246" i="11"/>
  <c r="T1246" i="11"/>
  <c r="AR1246" i="11"/>
  <c r="U1246" i="11"/>
  <c r="AS1246" i="11"/>
  <c r="V1246" i="11"/>
  <c r="AT1246" i="11"/>
  <c r="W1246" i="11"/>
  <c r="AU1246" i="11"/>
  <c r="X1246" i="11"/>
  <c r="AV1246" i="11"/>
  <c r="Y1246" i="11"/>
  <c r="AW1246" i="11"/>
  <c r="Z1246" i="11"/>
  <c r="AC1247" i="11"/>
  <c r="F1247" i="11"/>
  <c r="AD1247" i="11"/>
  <c r="G1247" i="11"/>
  <c r="AE1247" i="11"/>
  <c r="H1247" i="11"/>
  <c r="AF1247" i="11"/>
  <c r="I1247" i="11"/>
  <c r="AG1247" i="11"/>
  <c r="J1247" i="11"/>
  <c r="AH1247" i="11"/>
  <c r="K1247" i="11"/>
  <c r="AI1247" i="11"/>
  <c r="L1247" i="11"/>
  <c r="AJ1247" i="11"/>
  <c r="M1247" i="11"/>
  <c r="AK1247" i="11"/>
  <c r="N1247" i="11"/>
  <c r="AL1247" i="11"/>
  <c r="O1247" i="11"/>
  <c r="AM1247" i="11"/>
  <c r="P1247" i="11"/>
  <c r="AN1247" i="11"/>
  <c r="Q1247" i="11"/>
  <c r="AO1247" i="11"/>
  <c r="R1247" i="11"/>
  <c r="AP1247" i="11"/>
  <c r="S1247" i="11"/>
  <c r="AQ1247" i="11"/>
  <c r="T1247" i="11"/>
  <c r="AR1247" i="11"/>
  <c r="U1247" i="11"/>
  <c r="AS1247" i="11"/>
  <c r="V1247" i="11"/>
  <c r="AT1247" i="11"/>
  <c r="W1247" i="11"/>
  <c r="AU1247" i="11"/>
  <c r="X1247" i="11"/>
  <c r="AV1247" i="11"/>
  <c r="Y1247" i="11"/>
  <c r="AW1247" i="11"/>
  <c r="Z1247" i="11"/>
  <c r="AC1248" i="11"/>
  <c r="F1248" i="11"/>
  <c r="AD1248" i="11"/>
  <c r="G1248" i="11"/>
  <c r="AE1248" i="11"/>
  <c r="H1248" i="11"/>
  <c r="AF1248" i="11"/>
  <c r="I1248" i="11"/>
  <c r="AG1248" i="11"/>
  <c r="J1248" i="11"/>
  <c r="AH1248" i="11"/>
  <c r="K1248" i="11"/>
  <c r="AI1248" i="11"/>
  <c r="L1248" i="11"/>
  <c r="AJ1248" i="11"/>
  <c r="M1248" i="11"/>
  <c r="AK1248" i="11"/>
  <c r="N1248" i="11"/>
  <c r="AL1248" i="11"/>
  <c r="O1248" i="11"/>
  <c r="AM1248" i="11"/>
  <c r="P1248" i="11"/>
  <c r="AN1248" i="11"/>
  <c r="Q1248" i="11"/>
  <c r="AO1248" i="11"/>
  <c r="R1248" i="11"/>
  <c r="AP1248" i="11"/>
  <c r="S1248" i="11"/>
  <c r="AQ1248" i="11"/>
  <c r="T1248" i="11"/>
  <c r="AR1248" i="11"/>
  <c r="U1248" i="11"/>
  <c r="AS1248" i="11"/>
  <c r="V1248" i="11"/>
  <c r="AT1248" i="11"/>
  <c r="W1248" i="11"/>
  <c r="AU1248" i="11"/>
  <c r="X1248" i="11"/>
  <c r="AV1248" i="11"/>
  <c r="Y1248" i="11"/>
  <c r="AW1248" i="11"/>
  <c r="Z1248" i="11"/>
  <c r="AC1249" i="11"/>
  <c r="F1249" i="11"/>
  <c r="AD1249" i="11"/>
  <c r="G1249" i="11"/>
  <c r="AE1249" i="11"/>
  <c r="H1249" i="11"/>
  <c r="AF1249" i="11"/>
  <c r="I1249" i="11"/>
  <c r="AG1249" i="11"/>
  <c r="J1249" i="11"/>
  <c r="AH1249" i="11"/>
  <c r="K1249" i="11"/>
  <c r="AI1249" i="11"/>
  <c r="L1249" i="11"/>
  <c r="AJ1249" i="11"/>
  <c r="M1249" i="11"/>
  <c r="AK1249" i="11"/>
  <c r="N1249" i="11"/>
  <c r="AL1249" i="11"/>
  <c r="O1249" i="11"/>
  <c r="AM1249" i="11"/>
  <c r="P1249" i="11"/>
  <c r="AN1249" i="11"/>
  <c r="Q1249" i="11"/>
  <c r="AO1249" i="11"/>
  <c r="R1249" i="11"/>
  <c r="AP1249" i="11"/>
  <c r="S1249" i="11"/>
  <c r="AQ1249" i="11"/>
  <c r="T1249" i="11"/>
  <c r="AR1249" i="11"/>
  <c r="U1249" i="11"/>
  <c r="AS1249" i="11"/>
  <c r="V1249" i="11"/>
  <c r="AT1249" i="11"/>
  <c r="W1249" i="11"/>
  <c r="AU1249" i="11"/>
  <c r="X1249" i="11"/>
  <c r="AV1249" i="11"/>
  <c r="Y1249" i="11"/>
  <c r="AW1249" i="11"/>
  <c r="Z1249" i="11"/>
  <c r="AC1250" i="11"/>
  <c r="F1250" i="11"/>
  <c r="AD1250" i="11"/>
  <c r="G1250" i="11"/>
  <c r="AE1250" i="11"/>
  <c r="H1250" i="11"/>
  <c r="AF1250" i="11"/>
  <c r="I1250" i="11"/>
  <c r="AG1250" i="11"/>
  <c r="J1250" i="11"/>
  <c r="AH1250" i="11"/>
  <c r="K1250" i="11"/>
  <c r="AI1250" i="11"/>
  <c r="L1250" i="11"/>
  <c r="AJ1250" i="11"/>
  <c r="M1250" i="11"/>
  <c r="AK1250" i="11"/>
  <c r="N1250" i="11"/>
  <c r="AL1250" i="11"/>
  <c r="O1250" i="11"/>
  <c r="AM1250" i="11"/>
  <c r="P1250" i="11"/>
  <c r="AN1250" i="11"/>
  <c r="Q1250" i="11"/>
  <c r="AO1250" i="11"/>
  <c r="R1250" i="11"/>
  <c r="AP1250" i="11"/>
  <c r="S1250" i="11"/>
  <c r="AQ1250" i="11"/>
  <c r="T1250" i="11"/>
  <c r="AR1250" i="11"/>
  <c r="U1250" i="11"/>
  <c r="AS1250" i="11"/>
  <c r="V1250" i="11"/>
  <c r="AT1250" i="11"/>
  <c r="W1250" i="11"/>
  <c r="AU1250" i="11"/>
  <c r="X1250" i="11"/>
  <c r="AV1250" i="11"/>
  <c r="Y1250" i="11"/>
  <c r="AW1250" i="11"/>
  <c r="Z1250" i="11"/>
  <c r="AC1251" i="11"/>
  <c r="F1251" i="11"/>
  <c r="AD1251" i="11"/>
  <c r="G1251" i="11"/>
  <c r="AE1251" i="11"/>
  <c r="H1251" i="11"/>
  <c r="AF1251" i="11"/>
  <c r="I1251" i="11"/>
  <c r="AG1251" i="11"/>
  <c r="J1251" i="11"/>
  <c r="AH1251" i="11"/>
  <c r="K1251" i="11"/>
  <c r="AI1251" i="11"/>
  <c r="L1251" i="11"/>
  <c r="AJ1251" i="11"/>
  <c r="M1251" i="11"/>
  <c r="AK1251" i="11"/>
  <c r="N1251" i="11"/>
  <c r="AL1251" i="11"/>
  <c r="O1251" i="11"/>
  <c r="AM1251" i="11"/>
  <c r="P1251" i="11"/>
  <c r="AN1251" i="11"/>
  <c r="Q1251" i="11"/>
  <c r="AO1251" i="11"/>
  <c r="R1251" i="11"/>
  <c r="AP1251" i="11"/>
  <c r="S1251" i="11"/>
  <c r="AQ1251" i="11"/>
  <c r="T1251" i="11"/>
  <c r="AR1251" i="11"/>
  <c r="U1251" i="11"/>
  <c r="AS1251" i="11"/>
  <c r="V1251" i="11"/>
  <c r="AT1251" i="11"/>
  <c r="W1251" i="11"/>
  <c r="AU1251" i="11"/>
  <c r="X1251" i="11"/>
  <c r="AV1251" i="11"/>
  <c r="Y1251" i="11"/>
  <c r="AW1251" i="11"/>
  <c r="Z1251" i="11"/>
  <c r="AC1252" i="11"/>
  <c r="F1252" i="11"/>
  <c r="AD1252" i="11"/>
  <c r="G1252" i="11"/>
  <c r="AE1252" i="11"/>
  <c r="H1252" i="11"/>
  <c r="AF1252" i="11"/>
  <c r="I1252" i="11"/>
  <c r="AG1252" i="11"/>
  <c r="J1252" i="11"/>
  <c r="AH1252" i="11"/>
  <c r="K1252" i="11"/>
  <c r="AI1252" i="11"/>
  <c r="L1252" i="11"/>
  <c r="AJ1252" i="11"/>
  <c r="M1252" i="11"/>
  <c r="AK1252" i="11"/>
  <c r="N1252" i="11"/>
  <c r="AL1252" i="11"/>
  <c r="O1252" i="11"/>
  <c r="AM1252" i="11"/>
  <c r="P1252" i="11"/>
  <c r="AN1252" i="11"/>
  <c r="Q1252" i="11"/>
  <c r="AO1252" i="11"/>
  <c r="R1252" i="11"/>
  <c r="AP1252" i="11"/>
  <c r="S1252" i="11"/>
  <c r="AQ1252" i="11"/>
  <c r="T1252" i="11"/>
  <c r="AR1252" i="11"/>
  <c r="U1252" i="11"/>
  <c r="AS1252" i="11"/>
  <c r="V1252" i="11"/>
  <c r="AT1252" i="11"/>
  <c r="W1252" i="11"/>
  <c r="AU1252" i="11"/>
  <c r="X1252" i="11"/>
  <c r="AV1252" i="11"/>
  <c r="Y1252" i="11"/>
  <c r="AW1252" i="11"/>
  <c r="Z1252" i="11"/>
  <c r="AC1253" i="11"/>
  <c r="F1253" i="11"/>
  <c r="AD1253" i="11"/>
  <c r="G1253" i="11"/>
  <c r="AE1253" i="11"/>
  <c r="H1253" i="11"/>
  <c r="AF1253" i="11"/>
  <c r="I1253" i="11"/>
  <c r="AG1253" i="11"/>
  <c r="J1253" i="11"/>
  <c r="AH1253" i="11"/>
  <c r="K1253" i="11"/>
  <c r="AI1253" i="11"/>
  <c r="L1253" i="11"/>
  <c r="AJ1253" i="11"/>
  <c r="M1253" i="11"/>
  <c r="AK1253" i="11"/>
  <c r="N1253" i="11"/>
  <c r="AL1253" i="11"/>
  <c r="O1253" i="11"/>
  <c r="AM1253" i="11"/>
  <c r="P1253" i="11"/>
  <c r="AN1253" i="11"/>
  <c r="Q1253" i="11"/>
  <c r="AO1253" i="11"/>
  <c r="R1253" i="11"/>
  <c r="AP1253" i="11"/>
  <c r="S1253" i="11"/>
  <c r="AQ1253" i="11"/>
  <c r="T1253" i="11"/>
  <c r="AR1253" i="11"/>
  <c r="U1253" i="11"/>
  <c r="AS1253" i="11"/>
  <c r="V1253" i="11"/>
  <c r="AT1253" i="11"/>
  <c r="W1253" i="11"/>
  <c r="AU1253" i="11"/>
  <c r="X1253" i="11"/>
  <c r="AV1253" i="11"/>
  <c r="Y1253" i="11"/>
  <c r="AW1253" i="11"/>
  <c r="Z1253" i="11"/>
  <c r="AC1254" i="11"/>
  <c r="F1254" i="11"/>
  <c r="AD1254" i="11"/>
  <c r="G1254" i="11"/>
  <c r="AE1254" i="11"/>
  <c r="H1254" i="11"/>
  <c r="AF1254" i="11"/>
  <c r="I1254" i="11"/>
  <c r="AG1254" i="11"/>
  <c r="J1254" i="11"/>
  <c r="AH1254" i="11"/>
  <c r="K1254" i="11"/>
  <c r="AI1254" i="11"/>
  <c r="L1254" i="11"/>
  <c r="AJ1254" i="11"/>
  <c r="M1254" i="11"/>
  <c r="AK1254" i="11"/>
  <c r="N1254" i="11"/>
  <c r="AL1254" i="11"/>
  <c r="O1254" i="11"/>
  <c r="AM1254" i="11"/>
  <c r="P1254" i="11"/>
  <c r="AN1254" i="11"/>
  <c r="Q1254" i="11"/>
  <c r="AO1254" i="11"/>
  <c r="R1254" i="11"/>
  <c r="AP1254" i="11"/>
  <c r="S1254" i="11"/>
  <c r="AQ1254" i="11"/>
  <c r="T1254" i="11"/>
  <c r="AR1254" i="11"/>
  <c r="U1254" i="11"/>
  <c r="AS1254" i="11"/>
  <c r="V1254" i="11"/>
  <c r="AT1254" i="11"/>
  <c r="W1254" i="11"/>
  <c r="AU1254" i="11"/>
  <c r="X1254" i="11"/>
  <c r="AV1254" i="11"/>
  <c r="Y1254" i="11"/>
  <c r="AW1254" i="11"/>
  <c r="Z1254" i="11"/>
  <c r="AC1255" i="11"/>
  <c r="F1255" i="11"/>
  <c r="AD1255" i="11"/>
  <c r="G1255" i="11"/>
  <c r="AE1255" i="11"/>
  <c r="H1255" i="11"/>
  <c r="AF1255" i="11"/>
  <c r="I1255" i="11"/>
  <c r="AG1255" i="11"/>
  <c r="J1255" i="11"/>
  <c r="AH1255" i="11"/>
  <c r="K1255" i="11"/>
  <c r="AI1255" i="11"/>
  <c r="L1255" i="11"/>
  <c r="AJ1255" i="11"/>
  <c r="M1255" i="11"/>
  <c r="AK1255" i="11"/>
  <c r="N1255" i="11"/>
  <c r="AL1255" i="11"/>
  <c r="O1255" i="11"/>
  <c r="AM1255" i="11"/>
  <c r="P1255" i="11"/>
  <c r="AN1255" i="11"/>
  <c r="Q1255" i="11"/>
  <c r="AO1255" i="11"/>
  <c r="R1255" i="11"/>
  <c r="AP1255" i="11"/>
  <c r="S1255" i="11"/>
  <c r="AQ1255" i="11"/>
  <c r="T1255" i="11"/>
  <c r="AR1255" i="11"/>
  <c r="U1255" i="11"/>
  <c r="AS1255" i="11"/>
  <c r="V1255" i="11"/>
  <c r="AT1255" i="11"/>
  <c r="W1255" i="11"/>
  <c r="AU1255" i="11"/>
  <c r="X1255" i="11"/>
  <c r="AV1255" i="11"/>
  <c r="Y1255" i="11"/>
  <c r="AW1255" i="11"/>
  <c r="Z1255" i="11"/>
  <c r="AC1256" i="11"/>
  <c r="F1256" i="11"/>
  <c r="AD1256" i="11"/>
  <c r="G1256" i="11"/>
  <c r="AE1256" i="11"/>
  <c r="H1256" i="11"/>
  <c r="AF1256" i="11"/>
  <c r="I1256" i="11"/>
  <c r="AG1256" i="11"/>
  <c r="J1256" i="11"/>
  <c r="AH1256" i="11"/>
  <c r="K1256" i="11"/>
  <c r="AI1256" i="11"/>
  <c r="L1256" i="11"/>
  <c r="AJ1256" i="11"/>
  <c r="M1256" i="11"/>
  <c r="AK1256" i="11"/>
  <c r="N1256" i="11"/>
  <c r="AL1256" i="11"/>
  <c r="O1256" i="11"/>
  <c r="AM1256" i="11"/>
  <c r="P1256" i="11"/>
  <c r="AN1256" i="11"/>
  <c r="Q1256" i="11"/>
  <c r="AO1256" i="11"/>
  <c r="R1256" i="11"/>
  <c r="AP1256" i="11"/>
  <c r="S1256" i="11"/>
  <c r="AQ1256" i="11"/>
  <c r="T1256" i="11"/>
  <c r="AR1256" i="11"/>
  <c r="U1256" i="11"/>
  <c r="AS1256" i="11"/>
  <c r="V1256" i="11"/>
  <c r="AT1256" i="11"/>
  <c r="W1256" i="11"/>
  <c r="AU1256" i="11"/>
  <c r="X1256" i="11"/>
  <c r="AV1256" i="11"/>
  <c r="Y1256" i="11"/>
  <c r="AW1256" i="11"/>
  <c r="Z1256" i="11"/>
  <c r="AC1257" i="11"/>
  <c r="F1257" i="11"/>
  <c r="AD1257" i="11"/>
  <c r="G1257" i="11"/>
  <c r="AE1257" i="11"/>
  <c r="H1257" i="11"/>
  <c r="AF1257" i="11"/>
  <c r="I1257" i="11"/>
  <c r="AG1257" i="11"/>
  <c r="J1257" i="11"/>
  <c r="AH1257" i="11"/>
  <c r="K1257" i="11"/>
  <c r="AI1257" i="11"/>
  <c r="L1257" i="11"/>
  <c r="AJ1257" i="11"/>
  <c r="M1257" i="11"/>
  <c r="AK1257" i="11"/>
  <c r="N1257" i="11"/>
  <c r="AL1257" i="11"/>
  <c r="O1257" i="11"/>
  <c r="AM1257" i="11"/>
  <c r="P1257" i="11"/>
  <c r="AN1257" i="11"/>
  <c r="Q1257" i="11"/>
  <c r="AO1257" i="11"/>
  <c r="R1257" i="11"/>
  <c r="AP1257" i="11"/>
  <c r="S1257" i="11"/>
  <c r="AQ1257" i="11"/>
  <c r="T1257" i="11"/>
  <c r="AR1257" i="11"/>
  <c r="U1257" i="11"/>
  <c r="AS1257" i="11"/>
  <c r="V1257" i="11"/>
  <c r="AT1257" i="11"/>
  <c r="W1257" i="11"/>
  <c r="AU1257" i="11"/>
  <c r="X1257" i="11"/>
  <c r="AV1257" i="11"/>
  <c r="Y1257" i="11"/>
  <c r="AW1257" i="11"/>
  <c r="Z1257" i="11"/>
  <c r="AC1258" i="11"/>
  <c r="F1258" i="11"/>
  <c r="AD1258" i="11"/>
  <c r="G1258" i="11"/>
  <c r="AE1258" i="11"/>
  <c r="H1258" i="11"/>
  <c r="AF1258" i="11"/>
  <c r="I1258" i="11"/>
  <c r="AG1258" i="11"/>
  <c r="J1258" i="11"/>
  <c r="AH1258" i="11"/>
  <c r="K1258" i="11"/>
  <c r="AI1258" i="11"/>
  <c r="L1258" i="11"/>
  <c r="AJ1258" i="11"/>
  <c r="M1258" i="11"/>
  <c r="AK1258" i="11"/>
  <c r="N1258" i="11"/>
  <c r="AL1258" i="11"/>
  <c r="O1258" i="11"/>
  <c r="AM1258" i="11"/>
  <c r="P1258" i="11"/>
  <c r="AN1258" i="11"/>
  <c r="Q1258" i="11"/>
  <c r="AO1258" i="11"/>
  <c r="R1258" i="11"/>
  <c r="AP1258" i="11"/>
  <c r="S1258" i="11"/>
  <c r="AQ1258" i="11"/>
  <c r="T1258" i="11"/>
  <c r="AR1258" i="11"/>
  <c r="U1258" i="11"/>
  <c r="AS1258" i="11"/>
  <c r="V1258" i="11"/>
  <c r="AT1258" i="11"/>
  <c r="W1258" i="11"/>
  <c r="AU1258" i="11"/>
  <c r="X1258" i="11"/>
  <c r="AV1258" i="11"/>
  <c r="Y1258" i="11"/>
  <c r="AW1258" i="11"/>
  <c r="Z1258" i="11"/>
  <c r="AC1259" i="11"/>
  <c r="F1259" i="11"/>
  <c r="AD1259" i="11"/>
  <c r="G1259" i="11"/>
  <c r="AE1259" i="11"/>
  <c r="H1259" i="11"/>
  <c r="AF1259" i="11"/>
  <c r="I1259" i="11"/>
  <c r="AG1259" i="11"/>
  <c r="J1259" i="11"/>
  <c r="AH1259" i="11"/>
  <c r="K1259" i="11"/>
  <c r="AI1259" i="11"/>
  <c r="L1259" i="11"/>
  <c r="AJ1259" i="11"/>
  <c r="M1259" i="11"/>
  <c r="AK1259" i="11"/>
  <c r="N1259" i="11"/>
  <c r="AL1259" i="11"/>
  <c r="O1259" i="11"/>
  <c r="AM1259" i="11"/>
  <c r="P1259" i="11"/>
  <c r="AN1259" i="11"/>
  <c r="Q1259" i="11"/>
  <c r="AO1259" i="11"/>
  <c r="R1259" i="11"/>
  <c r="AP1259" i="11"/>
  <c r="S1259" i="11"/>
  <c r="AQ1259" i="11"/>
  <c r="T1259" i="11"/>
  <c r="AR1259" i="11"/>
  <c r="U1259" i="11"/>
  <c r="AS1259" i="11"/>
  <c r="V1259" i="11"/>
  <c r="AT1259" i="11"/>
  <c r="W1259" i="11"/>
  <c r="AU1259" i="11"/>
  <c r="X1259" i="11"/>
  <c r="AV1259" i="11"/>
  <c r="Y1259" i="11"/>
  <c r="AW1259" i="11"/>
  <c r="Z1259" i="11"/>
  <c r="AC1260" i="11"/>
  <c r="F1260" i="11"/>
  <c r="AD1260" i="11"/>
  <c r="G1260" i="11"/>
  <c r="AE1260" i="11"/>
  <c r="H1260" i="11"/>
  <c r="AF1260" i="11"/>
  <c r="I1260" i="11"/>
  <c r="AG1260" i="11"/>
  <c r="J1260" i="11"/>
  <c r="AH1260" i="11"/>
  <c r="K1260" i="11"/>
  <c r="AI1260" i="11"/>
  <c r="L1260" i="11"/>
  <c r="AJ1260" i="11"/>
  <c r="M1260" i="11"/>
  <c r="AK1260" i="11"/>
  <c r="N1260" i="11"/>
  <c r="AL1260" i="11"/>
  <c r="O1260" i="11"/>
  <c r="AM1260" i="11"/>
  <c r="P1260" i="11"/>
  <c r="AN1260" i="11"/>
  <c r="Q1260" i="11"/>
  <c r="AO1260" i="11"/>
  <c r="R1260" i="11"/>
  <c r="AP1260" i="11"/>
  <c r="S1260" i="11"/>
  <c r="AQ1260" i="11"/>
  <c r="T1260" i="11"/>
  <c r="AR1260" i="11"/>
  <c r="U1260" i="11"/>
  <c r="AS1260" i="11"/>
  <c r="V1260" i="11"/>
  <c r="AT1260" i="11"/>
  <c r="W1260" i="11"/>
  <c r="AU1260" i="11"/>
  <c r="X1260" i="11"/>
  <c r="AV1260" i="11"/>
  <c r="Y1260" i="11"/>
  <c r="AW1260" i="11"/>
  <c r="Z1260" i="11"/>
  <c r="AC1261" i="11"/>
  <c r="F1261" i="11"/>
  <c r="AD1261" i="11"/>
  <c r="G1261" i="11"/>
  <c r="AE1261" i="11"/>
  <c r="H1261" i="11"/>
  <c r="AF1261" i="11"/>
  <c r="I1261" i="11"/>
  <c r="AG1261" i="11"/>
  <c r="J1261" i="11"/>
  <c r="AH1261" i="11"/>
  <c r="K1261" i="11"/>
  <c r="AI1261" i="11"/>
  <c r="L1261" i="11"/>
  <c r="AJ1261" i="11"/>
  <c r="M1261" i="11"/>
  <c r="AK1261" i="11"/>
  <c r="N1261" i="11"/>
  <c r="AL1261" i="11"/>
  <c r="O1261" i="11"/>
  <c r="AM1261" i="11"/>
  <c r="P1261" i="11"/>
  <c r="AN1261" i="11"/>
  <c r="Q1261" i="11"/>
  <c r="AO1261" i="11"/>
  <c r="R1261" i="11"/>
  <c r="AP1261" i="11"/>
  <c r="S1261" i="11"/>
  <c r="AQ1261" i="11"/>
  <c r="T1261" i="11"/>
  <c r="AR1261" i="11"/>
  <c r="U1261" i="11"/>
  <c r="AS1261" i="11"/>
  <c r="V1261" i="11"/>
  <c r="AT1261" i="11"/>
  <c r="W1261" i="11"/>
  <c r="AU1261" i="11"/>
  <c r="X1261" i="11"/>
  <c r="AV1261" i="11"/>
  <c r="Y1261" i="11"/>
  <c r="AW1261" i="11"/>
  <c r="Z1261" i="11"/>
  <c r="D2" i="11"/>
  <c r="AB634" i="11"/>
  <c r="AB635" i="11"/>
  <c r="AB636" i="11"/>
  <c r="AB637" i="11"/>
  <c r="AB638" i="11"/>
  <c r="AB639" i="11"/>
  <c r="AB640" i="11"/>
  <c r="AB641" i="11"/>
  <c r="AB642" i="11"/>
  <c r="AB643" i="11"/>
  <c r="AB644" i="11"/>
  <c r="AB645" i="11"/>
  <c r="AB646" i="11"/>
  <c r="AB647" i="11"/>
  <c r="AB648" i="11"/>
  <c r="AB649" i="11"/>
  <c r="AB650" i="11"/>
  <c r="AB651" i="11"/>
  <c r="AB652" i="11"/>
  <c r="AB653" i="11"/>
  <c r="AB654" i="11"/>
  <c r="AB655" i="11"/>
  <c r="AB656" i="11"/>
  <c r="AB657" i="11"/>
  <c r="AB658" i="11"/>
  <c r="AB659" i="11"/>
  <c r="AB660" i="11"/>
  <c r="AB661" i="11"/>
  <c r="AB662" i="11"/>
  <c r="AB663" i="11"/>
  <c r="AB664" i="11"/>
  <c r="AB665" i="11"/>
  <c r="AB666" i="11"/>
  <c r="AB667" i="11"/>
  <c r="AB668" i="11"/>
  <c r="AB669" i="11"/>
  <c r="AB670" i="11"/>
  <c r="AB671" i="11"/>
  <c r="AB672" i="11"/>
  <c r="AB673" i="11"/>
  <c r="AB674" i="11"/>
  <c r="AB675" i="11"/>
  <c r="AB676" i="11"/>
  <c r="AB677" i="11"/>
  <c r="AB678" i="11"/>
  <c r="AB679" i="11"/>
  <c r="AB680" i="11"/>
  <c r="AB681" i="11"/>
  <c r="AB682" i="11"/>
  <c r="AB683" i="11"/>
  <c r="AB684" i="11"/>
  <c r="AB685" i="11"/>
  <c r="AB686" i="11"/>
  <c r="AB687" i="11"/>
  <c r="AB688" i="11"/>
  <c r="AB689" i="11"/>
  <c r="AB690" i="11"/>
  <c r="AB691" i="11"/>
  <c r="AB692" i="11"/>
  <c r="AB693" i="11"/>
  <c r="AB694" i="11"/>
  <c r="AB695" i="11"/>
  <c r="AB696" i="11"/>
  <c r="AB697" i="11"/>
  <c r="AB698" i="11"/>
  <c r="AB699" i="11"/>
  <c r="AB700" i="11"/>
  <c r="AB701" i="11"/>
  <c r="AB702" i="11"/>
  <c r="AB703" i="11"/>
  <c r="AB704" i="11"/>
  <c r="AB705" i="11"/>
  <c r="AB706" i="11"/>
  <c r="AB707" i="11"/>
  <c r="AB708" i="11"/>
  <c r="AB709" i="11"/>
  <c r="AB710" i="11"/>
  <c r="AB711" i="11"/>
  <c r="AB712" i="11"/>
  <c r="AB713" i="11"/>
  <c r="AB714" i="11"/>
  <c r="AB715" i="11"/>
  <c r="AB716" i="11"/>
  <c r="AB717" i="11"/>
  <c r="AB718" i="11"/>
  <c r="AB719" i="11"/>
  <c r="AB720" i="11"/>
  <c r="AB721" i="11"/>
  <c r="AB722" i="11"/>
  <c r="AB723" i="11"/>
  <c r="AB724" i="11"/>
  <c r="AB725" i="11"/>
  <c r="AB726" i="11"/>
  <c r="AB727" i="11"/>
  <c r="AB728" i="11"/>
  <c r="AB729" i="11"/>
  <c r="AB730" i="11"/>
  <c r="AB731" i="11"/>
  <c r="AB732" i="11"/>
  <c r="AB733" i="11"/>
  <c r="AB734" i="11"/>
  <c r="AB735" i="11"/>
  <c r="AB736" i="11"/>
  <c r="AB737" i="11"/>
  <c r="AB738" i="11"/>
  <c r="AB739" i="11"/>
  <c r="AB740" i="11"/>
  <c r="AB741" i="11"/>
  <c r="AB742" i="11"/>
  <c r="AB743" i="11"/>
  <c r="AB744" i="11"/>
  <c r="AB745" i="11"/>
  <c r="AB746" i="11"/>
  <c r="AB747" i="11"/>
  <c r="AB748" i="11"/>
  <c r="AB749" i="11"/>
  <c r="AB750" i="11"/>
  <c r="AB751" i="11"/>
  <c r="AB752" i="11"/>
  <c r="AB753" i="11"/>
  <c r="AB754" i="11"/>
  <c r="AB755" i="11"/>
  <c r="AB756" i="11"/>
  <c r="AB757" i="11"/>
  <c r="AB758" i="11"/>
  <c r="AB759" i="11"/>
  <c r="AB760" i="11"/>
  <c r="AB761" i="11"/>
  <c r="AB762" i="11"/>
  <c r="AB763" i="11"/>
  <c r="AB764" i="11"/>
  <c r="AB765" i="11"/>
  <c r="AB766" i="11"/>
  <c r="AB767" i="11"/>
  <c r="AB768" i="11"/>
  <c r="AB769" i="11"/>
  <c r="AB770" i="11"/>
  <c r="AB771" i="11"/>
  <c r="AB772" i="11"/>
  <c r="AB773" i="11"/>
  <c r="AB774" i="11"/>
  <c r="AB775" i="11"/>
  <c r="AB776" i="11"/>
  <c r="AB777" i="11"/>
  <c r="AB778" i="11"/>
  <c r="AB779" i="11"/>
  <c r="AB780" i="11"/>
  <c r="AB781" i="11"/>
  <c r="AB782" i="11"/>
  <c r="AB783" i="11"/>
  <c r="AB784" i="11"/>
  <c r="AB785" i="11"/>
  <c r="AB786" i="11"/>
  <c r="AB787" i="11"/>
  <c r="AB788" i="11"/>
  <c r="AB789" i="11"/>
  <c r="AB790" i="11"/>
  <c r="AB791" i="11"/>
  <c r="AB792" i="11"/>
  <c r="AB793" i="11"/>
  <c r="AB794" i="11"/>
  <c r="AB795" i="11"/>
  <c r="AB796" i="11"/>
  <c r="AB797" i="11"/>
  <c r="AB798" i="11"/>
  <c r="AB799" i="11"/>
  <c r="AB800" i="11"/>
  <c r="AB801" i="11"/>
  <c r="AB802" i="11"/>
  <c r="AB803" i="11"/>
  <c r="AB804" i="11"/>
  <c r="AB805" i="11"/>
  <c r="AB806" i="11"/>
  <c r="AB807" i="11"/>
  <c r="AB808" i="11"/>
  <c r="AB809" i="11"/>
  <c r="AB810" i="11"/>
  <c r="AB811" i="11"/>
  <c r="AB812" i="11"/>
  <c r="AB813" i="11"/>
  <c r="AB814" i="11"/>
  <c r="AB815" i="11"/>
  <c r="AB816" i="11"/>
  <c r="AB817" i="11"/>
  <c r="AB818" i="11"/>
  <c r="AB819" i="11"/>
  <c r="AB820" i="11"/>
  <c r="AB821" i="11"/>
  <c r="AB822" i="11"/>
  <c r="AB823" i="11"/>
  <c r="AB824" i="11"/>
  <c r="AB825" i="11"/>
  <c r="AB826" i="11"/>
  <c r="AB827" i="11"/>
  <c r="AB828" i="11"/>
  <c r="AB829" i="11"/>
  <c r="AB830" i="11"/>
  <c r="AB831" i="11"/>
  <c r="AB832" i="11"/>
  <c r="AB833" i="11"/>
  <c r="AB834" i="11"/>
  <c r="AB835" i="11"/>
  <c r="AB836" i="11"/>
  <c r="AB837" i="11"/>
  <c r="AB838" i="11"/>
  <c r="AB839" i="11"/>
  <c r="AB840" i="11"/>
  <c r="AB841" i="11"/>
  <c r="AB842" i="11"/>
  <c r="AB843" i="11"/>
  <c r="AB844" i="11"/>
  <c r="AB845" i="11"/>
  <c r="AB846" i="11"/>
  <c r="AB847" i="11"/>
  <c r="AB848" i="11"/>
  <c r="AB849" i="11"/>
  <c r="AB850" i="11"/>
  <c r="AB851" i="11"/>
  <c r="AB852" i="11"/>
  <c r="AB853" i="11"/>
  <c r="AB854" i="11"/>
  <c r="AB855" i="11"/>
  <c r="AB856" i="11"/>
  <c r="AB857" i="11"/>
  <c r="AB858" i="11"/>
  <c r="AB859" i="11"/>
  <c r="AB860" i="11"/>
  <c r="AB861" i="11"/>
  <c r="AB862" i="11"/>
  <c r="AB863" i="11"/>
  <c r="AB864" i="11"/>
  <c r="AB865" i="11"/>
  <c r="AB866" i="11"/>
  <c r="AB867" i="11"/>
  <c r="AB868" i="11"/>
  <c r="AB869" i="11"/>
  <c r="AB870" i="11"/>
  <c r="AB871" i="11"/>
  <c r="AB872" i="11"/>
  <c r="AB873" i="11"/>
  <c r="AB874" i="11"/>
  <c r="AB875" i="11"/>
  <c r="AB876" i="11"/>
  <c r="AB877" i="11"/>
  <c r="AB878" i="11"/>
  <c r="AB879" i="11"/>
  <c r="AB880" i="11"/>
  <c r="AB881" i="11"/>
  <c r="AB882" i="11"/>
  <c r="AB883" i="11"/>
  <c r="AB884" i="11"/>
  <c r="AB885" i="11"/>
  <c r="AB886" i="11"/>
  <c r="AB887" i="11"/>
  <c r="AB888" i="11"/>
  <c r="AB889" i="11"/>
  <c r="AB890" i="11"/>
  <c r="AB891" i="11"/>
  <c r="AB892" i="11"/>
  <c r="AB893" i="11"/>
  <c r="AB894" i="11"/>
  <c r="AB895" i="11"/>
  <c r="AB896" i="11"/>
  <c r="AB897" i="11"/>
  <c r="AB898" i="11"/>
  <c r="AB899" i="11"/>
  <c r="AB900" i="11"/>
  <c r="AB901" i="11"/>
  <c r="AB902" i="11"/>
  <c r="AB903" i="11"/>
  <c r="AB904" i="11"/>
  <c r="AB905" i="11"/>
  <c r="AB906" i="11"/>
  <c r="AB907" i="11"/>
  <c r="AB908" i="11"/>
  <c r="AB909" i="11"/>
  <c r="AB910" i="11"/>
  <c r="AB911" i="11"/>
  <c r="AB912" i="11"/>
  <c r="AB913" i="11"/>
  <c r="AB914" i="11"/>
  <c r="AB915" i="11"/>
  <c r="AB916" i="11"/>
  <c r="AB917" i="11"/>
  <c r="AB918" i="11"/>
  <c r="AB919" i="11"/>
  <c r="AB920" i="11"/>
  <c r="AB921" i="11"/>
  <c r="AB922" i="11"/>
  <c r="AB923" i="11"/>
  <c r="AB924" i="11"/>
  <c r="AB925" i="11"/>
  <c r="AB926" i="11"/>
  <c r="AB927" i="11"/>
  <c r="AB928" i="11"/>
  <c r="AB929" i="11"/>
  <c r="AB930" i="11"/>
  <c r="AB931" i="11"/>
  <c r="AB932" i="11"/>
  <c r="AB933" i="11"/>
  <c r="AB934" i="11"/>
  <c r="AB935" i="11"/>
  <c r="AB936" i="11"/>
  <c r="AB937" i="11"/>
  <c r="AB938" i="11"/>
  <c r="AB939" i="11"/>
  <c r="AB940" i="11"/>
  <c r="AB941" i="11"/>
  <c r="AB942" i="11"/>
  <c r="AB943" i="11"/>
  <c r="AB944" i="11"/>
  <c r="AB945" i="11"/>
  <c r="AB946" i="11"/>
  <c r="AB947" i="11"/>
  <c r="AB948" i="11"/>
  <c r="AB949" i="11"/>
  <c r="AB950" i="11"/>
  <c r="AB951" i="11"/>
  <c r="AB952" i="11"/>
  <c r="AB953" i="11"/>
  <c r="AB954" i="11"/>
  <c r="AB955" i="11"/>
  <c r="AB956" i="11"/>
  <c r="AB957" i="11"/>
  <c r="AB958" i="11"/>
  <c r="AB959" i="11"/>
  <c r="AB960" i="11"/>
  <c r="AB961" i="11"/>
  <c r="AB962" i="11"/>
  <c r="AB963" i="11"/>
  <c r="AB964" i="11"/>
  <c r="AB965" i="11"/>
  <c r="AB966" i="11"/>
  <c r="AB967" i="11"/>
  <c r="AB968" i="11"/>
  <c r="AB969" i="11"/>
  <c r="AB970" i="11"/>
  <c r="AB971" i="11"/>
  <c r="AB972" i="11"/>
  <c r="AB973" i="11"/>
  <c r="AB974" i="11"/>
  <c r="AB975" i="11"/>
  <c r="AB976" i="11"/>
  <c r="AB977" i="11"/>
  <c r="AB978" i="11"/>
  <c r="AB979" i="11"/>
  <c r="AB980" i="11"/>
  <c r="AB981" i="11"/>
  <c r="AB982" i="11"/>
  <c r="AB983" i="11"/>
  <c r="AB984" i="11"/>
  <c r="AB985" i="11"/>
  <c r="AB986" i="11"/>
  <c r="AB987" i="11"/>
  <c r="AB988" i="11"/>
  <c r="AB989" i="11"/>
  <c r="AB990" i="11"/>
  <c r="AB991" i="11"/>
  <c r="AB992" i="11"/>
  <c r="AB993" i="11"/>
  <c r="AB994" i="11"/>
  <c r="AB995" i="11"/>
  <c r="AB996" i="11"/>
  <c r="AB997" i="11"/>
  <c r="AB998" i="11"/>
  <c r="AB999" i="11"/>
  <c r="AB1000" i="11"/>
  <c r="AB1001" i="11"/>
  <c r="AB1002" i="11"/>
  <c r="AB1003" i="11"/>
  <c r="AB1004" i="11"/>
  <c r="AB1005" i="11"/>
  <c r="AB1006" i="11"/>
  <c r="AB1007" i="11"/>
  <c r="AB1008" i="11"/>
  <c r="AB1009" i="11"/>
  <c r="AB1010" i="11"/>
  <c r="AB1011" i="11"/>
  <c r="AB1012" i="11"/>
  <c r="AB1013" i="11"/>
  <c r="AB1014" i="11"/>
  <c r="AB1015" i="11"/>
  <c r="AB1016" i="11"/>
  <c r="AB1017" i="11"/>
  <c r="AB1018" i="11"/>
  <c r="AB1019" i="11"/>
  <c r="AB1020" i="11"/>
  <c r="AB1021" i="11"/>
  <c r="AB1022" i="11"/>
  <c r="AB1023" i="11"/>
  <c r="AB1024" i="11"/>
  <c r="AB1025" i="11"/>
  <c r="AB1026" i="11"/>
  <c r="AB1027" i="11"/>
  <c r="AB1028" i="11"/>
  <c r="AB1029" i="11"/>
  <c r="AB1030" i="11"/>
  <c r="AB1031" i="11"/>
  <c r="AB1032" i="11"/>
  <c r="AB1033" i="11"/>
  <c r="AB1034" i="11"/>
  <c r="AB1035" i="11"/>
  <c r="AB1036" i="11"/>
  <c r="AB1037" i="11"/>
  <c r="AB1038" i="11"/>
  <c r="AB1039" i="11"/>
  <c r="AB1040" i="11"/>
  <c r="AB1041" i="11"/>
  <c r="AB1042" i="11"/>
  <c r="AB1043" i="11"/>
  <c r="AB1044" i="11"/>
  <c r="AB1045" i="11"/>
  <c r="AB1046" i="11"/>
  <c r="AB1047" i="11"/>
  <c r="AB1048" i="11"/>
  <c r="AB1049" i="11"/>
  <c r="AB1050" i="11"/>
  <c r="AB1051" i="11"/>
  <c r="AB1052" i="11"/>
  <c r="AB1053" i="11"/>
  <c r="AB1054" i="11"/>
  <c r="AB1055" i="11"/>
  <c r="AB1056" i="11"/>
  <c r="AB1057" i="11"/>
  <c r="AB1058" i="11"/>
  <c r="AB1059" i="11"/>
  <c r="AB1060" i="11"/>
  <c r="AB1061" i="11"/>
  <c r="AB1062" i="11"/>
  <c r="AB1063" i="11"/>
  <c r="AB1064" i="11"/>
  <c r="AB1065" i="11"/>
  <c r="AB1066" i="11"/>
  <c r="AB1067" i="11"/>
  <c r="AB1068" i="11"/>
  <c r="AB1069" i="11"/>
  <c r="AB1070" i="11"/>
  <c r="AB1071" i="11"/>
  <c r="AB1072" i="11"/>
  <c r="AB1073" i="11"/>
  <c r="AB1074" i="11"/>
  <c r="AB1075" i="11"/>
  <c r="AB1076" i="11"/>
  <c r="AB1077" i="11"/>
  <c r="AB1078" i="11"/>
  <c r="AB1079" i="11"/>
  <c r="AB1080" i="11"/>
  <c r="AB1081" i="11"/>
  <c r="AB1082" i="11"/>
  <c r="AB1083" i="11"/>
  <c r="AB1084" i="11"/>
  <c r="AB1085" i="11"/>
  <c r="AB1086" i="11"/>
  <c r="AB1087" i="11"/>
  <c r="AB1088" i="11"/>
  <c r="AB1089" i="11"/>
  <c r="AB1090" i="11"/>
  <c r="AB1091" i="11"/>
  <c r="AB1092" i="11"/>
  <c r="AB1093" i="11"/>
  <c r="AB1094" i="11"/>
  <c r="AB1095" i="11"/>
  <c r="AB1096" i="11"/>
  <c r="AB1097" i="11"/>
  <c r="AB1098" i="11"/>
  <c r="AB1099" i="11"/>
  <c r="AB1100" i="11"/>
  <c r="AB1101" i="11"/>
  <c r="AB1102" i="11"/>
  <c r="AB1103" i="11"/>
  <c r="AB1104" i="11"/>
  <c r="AB1105" i="11"/>
  <c r="AB1106" i="11"/>
  <c r="AB1107" i="11"/>
  <c r="AB1108" i="11"/>
  <c r="AB1109" i="11"/>
  <c r="AB1110" i="11"/>
  <c r="AB1111" i="11"/>
  <c r="AB1112" i="11"/>
  <c r="AB1113" i="11"/>
  <c r="AB1114" i="11"/>
  <c r="AB1115" i="11"/>
  <c r="AB1116" i="11"/>
  <c r="AB1117" i="11"/>
  <c r="AB1118" i="11"/>
  <c r="AB1119" i="11"/>
  <c r="AB1120" i="11"/>
  <c r="AB1121" i="11"/>
  <c r="AB1122" i="11"/>
  <c r="AB1123" i="11"/>
  <c r="AB1124" i="11"/>
  <c r="AB1125" i="11"/>
  <c r="AB1126" i="11"/>
  <c r="AB1127" i="11"/>
  <c r="AB1128" i="11"/>
  <c r="AB1129" i="11"/>
  <c r="AB1130" i="11"/>
  <c r="AB1131" i="11"/>
  <c r="AB1132" i="11"/>
  <c r="AB1133" i="11"/>
  <c r="AB1134" i="11"/>
  <c r="AB1135" i="11"/>
  <c r="AB1136" i="11"/>
  <c r="AB1137" i="11"/>
  <c r="AB1138" i="11"/>
  <c r="AB1139" i="11"/>
  <c r="AB1140" i="11"/>
  <c r="AB1141" i="11"/>
  <c r="AB1142" i="11"/>
  <c r="AB1143" i="11"/>
  <c r="AB1144" i="11"/>
  <c r="AB1145" i="11"/>
  <c r="AB1146" i="11"/>
  <c r="AB1147" i="11"/>
  <c r="AB1148" i="11"/>
  <c r="AB1149" i="11"/>
  <c r="AB1150" i="11"/>
  <c r="AB1151" i="11"/>
  <c r="AB1152" i="11"/>
  <c r="AB1153" i="11"/>
  <c r="AB1154" i="11"/>
  <c r="AB1155" i="11"/>
  <c r="AB1156" i="11"/>
  <c r="AB1157" i="11"/>
  <c r="AB1158" i="11"/>
  <c r="AB1159" i="11"/>
  <c r="AB1160" i="11"/>
  <c r="AB1161" i="11"/>
  <c r="AB1162" i="11"/>
  <c r="AB1163" i="11"/>
  <c r="AB1164" i="11"/>
  <c r="AB1165" i="11"/>
  <c r="AB1166" i="11"/>
  <c r="AB1167" i="11"/>
  <c r="AB1168" i="11"/>
  <c r="AB1169" i="11"/>
  <c r="AB1170" i="11"/>
  <c r="AB1171" i="11"/>
  <c r="AB1172" i="11"/>
  <c r="AB1173" i="11"/>
  <c r="AB1174" i="11"/>
  <c r="AB1175" i="11"/>
  <c r="AB1176" i="11"/>
  <c r="AB1177" i="11"/>
  <c r="AB1178" i="11"/>
  <c r="AB1179" i="11"/>
  <c r="AB1180" i="11"/>
  <c r="AB1181" i="11"/>
  <c r="AB1182" i="11"/>
  <c r="AB1183" i="11"/>
  <c r="AB1184" i="11"/>
  <c r="AB1185" i="11"/>
  <c r="AB1186" i="11"/>
  <c r="AB1187" i="11"/>
  <c r="AB1188" i="11"/>
  <c r="AB1189" i="11"/>
  <c r="AB1190" i="11"/>
  <c r="AB1191" i="11"/>
  <c r="AB1192" i="11"/>
  <c r="AB1193" i="11"/>
  <c r="AB1194" i="11"/>
  <c r="AB1195" i="11"/>
  <c r="AB1196" i="11"/>
  <c r="AB1197" i="11"/>
  <c r="AB1198" i="11"/>
  <c r="AB1199" i="11"/>
  <c r="AB1200" i="11"/>
  <c r="AB1201" i="11"/>
  <c r="AB1202" i="11"/>
  <c r="AB1203" i="11"/>
  <c r="AB1204" i="11"/>
  <c r="AB1205" i="11"/>
  <c r="AB1206" i="11"/>
  <c r="AB1207" i="11"/>
  <c r="AB1208" i="11"/>
  <c r="AB1209" i="11"/>
  <c r="AB1210" i="11"/>
  <c r="AB1211" i="11"/>
  <c r="AB1212" i="11"/>
  <c r="AB1213" i="11"/>
  <c r="AB1214" i="11"/>
  <c r="AB1215" i="11"/>
  <c r="AB1216" i="11"/>
  <c r="AB1217" i="11"/>
  <c r="AB1218" i="11"/>
  <c r="AB1219" i="11"/>
  <c r="AB1220" i="11"/>
  <c r="AB1221" i="11"/>
  <c r="AB1222" i="11"/>
  <c r="AB1223" i="11"/>
  <c r="AB1224" i="11"/>
  <c r="AB1225" i="11"/>
  <c r="AB1226" i="11"/>
  <c r="AB1227" i="11"/>
  <c r="AB1228" i="11"/>
  <c r="AB1229" i="11"/>
  <c r="AB1230" i="11"/>
  <c r="AB1231" i="11"/>
  <c r="AB1232" i="11"/>
  <c r="AB1233" i="11"/>
  <c r="AB1234" i="11"/>
  <c r="AB1235" i="11"/>
  <c r="AB1236" i="11"/>
  <c r="AB1237" i="11"/>
  <c r="AB1238" i="11"/>
  <c r="AB1239" i="11"/>
  <c r="AB1240" i="11"/>
  <c r="AB1241" i="11"/>
  <c r="AB1242" i="11"/>
  <c r="AB1243" i="11"/>
  <c r="AB1244" i="11"/>
  <c r="AB1245" i="11"/>
  <c r="AB1246" i="11"/>
  <c r="AB1247" i="11"/>
  <c r="AB1248" i="11"/>
  <c r="AB1249" i="11"/>
  <c r="AB1250" i="11"/>
  <c r="AB1251" i="11"/>
  <c r="AB1252" i="11"/>
  <c r="AB1253" i="11"/>
  <c r="AB1254" i="11"/>
  <c r="AB1255" i="11"/>
  <c r="AB1256" i="11"/>
  <c r="AB1257" i="11"/>
  <c r="AB1258" i="11"/>
  <c r="AB1259" i="11"/>
  <c r="AB1260" i="11"/>
  <c r="AB1261" i="11"/>
  <c r="AB4" i="11"/>
  <c r="AB5" i="11"/>
  <c r="AB6" i="11"/>
  <c r="AB7" i="11"/>
  <c r="AB8" i="11"/>
  <c r="AB9" i="11"/>
  <c r="AB10" i="11"/>
  <c r="AB11" i="11"/>
  <c r="AB12" i="11"/>
  <c r="AB13" i="11"/>
  <c r="AB14" i="11"/>
  <c r="AB15" i="11"/>
  <c r="AB16" i="11"/>
  <c r="AB17" i="11"/>
  <c r="AB18" i="11"/>
  <c r="AB19" i="11"/>
  <c r="AB20" i="11"/>
  <c r="AB21" i="11"/>
  <c r="AB22" i="11"/>
  <c r="AB23" i="11"/>
  <c r="AB24" i="11"/>
  <c r="AB25" i="11"/>
  <c r="AB26" i="11"/>
  <c r="AB27" i="11"/>
  <c r="AB28" i="11"/>
  <c r="AB29" i="11"/>
  <c r="AB30" i="11"/>
  <c r="AB31" i="11"/>
  <c r="AB32" i="11"/>
  <c r="AB33" i="11"/>
  <c r="AB34" i="11"/>
  <c r="AB35" i="11"/>
  <c r="AB36" i="11"/>
  <c r="AB37" i="11"/>
  <c r="AB38" i="11"/>
  <c r="AB39" i="11"/>
  <c r="AB40" i="11"/>
  <c r="AB41" i="11"/>
  <c r="AB42" i="11"/>
  <c r="AB43" i="11"/>
  <c r="AB44" i="11"/>
  <c r="AB45" i="11"/>
  <c r="AB46" i="11"/>
  <c r="AB47" i="11"/>
  <c r="AB48" i="11"/>
  <c r="AB49" i="11"/>
  <c r="AB50" i="11"/>
  <c r="AB51" i="11"/>
  <c r="AB52" i="11"/>
  <c r="AB53" i="11"/>
  <c r="AB54" i="11"/>
  <c r="AB55" i="11"/>
  <c r="AB56" i="11"/>
  <c r="AB57" i="11"/>
  <c r="AB58" i="11"/>
  <c r="AB59" i="11"/>
  <c r="AB60" i="11"/>
  <c r="AB61" i="11"/>
  <c r="AB62" i="11"/>
  <c r="AB63" i="11"/>
  <c r="AB64" i="11"/>
  <c r="AB65" i="11"/>
  <c r="AB66" i="11"/>
  <c r="AB67" i="11"/>
  <c r="AB68" i="11"/>
  <c r="AB69" i="11"/>
  <c r="AB70" i="11"/>
  <c r="AB71" i="11"/>
  <c r="AB72" i="11"/>
  <c r="AB73" i="11"/>
  <c r="AB74" i="11"/>
  <c r="AB75" i="11"/>
  <c r="AB76" i="11"/>
  <c r="AB77" i="11"/>
  <c r="AB78" i="11"/>
  <c r="AB79" i="11"/>
  <c r="AB80" i="11"/>
  <c r="AB81" i="11"/>
  <c r="AB82" i="11"/>
  <c r="AB83" i="11"/>
  <c r="AB84" i="11"/>
  <c r="AB85" i="11"/>
  <c r="AB86" i="11"/>
  <c r="AB87" i="11"/>
  <c r="AB88" i="11"/>
  <c r="AB89" i="11"/>
  <c r="AB90" i="11"/>
  <c r="AB91" i="11"/>
  <c r="AB92" i="11"/>
  <c r="AB93" i="11"/>
  <c r="AB94" i="11"/>
  <c r="AB95" i="11"/>
  <c r="AB96" i="11"/>
  <c r="AB97" i="11"/>
  <c r="AB98" i="11"/>
  <c r="AB99" i="11"/>
  <c r="AB100" i="11"/>
  <c r="AB101" i="11"/>
  <c r="AB102" i="11"/>
  <c r="AB103" i="11"/>
  <c r="AB104" i="11"/>
  <c r="AB105" i="11"/>
  <c r="AB106" i="11"/>
  <c r="AB107" i="11"/>
  <c r="AB108" i="11"/>
  <c r="AB109" i="11"/>
  <c r="AB110" i="11"/>
  <c r="AB111" i="11"/>
  <c r="AB112" i="11"/>
  <c r="AB113" i="11"/>
  <c r="AB114" i="11"/>
  <c r="AB115" i="11"/>
  <c r="AB116" i="11"/>
  <c r="AB117" i="11"/>
  <c r="AB118" i="11"/>
  <c r="AB119" i="11"/>
  <c r="AB120" i="11"/>
  <c r="AB121" i="11"/>
  <c r="AB122" i="11"/>
  <c r="AB123" i="11"/>
  <c r="AB124" i="11"/>
  <c r="AB125" i="11"/>
  <c r="AB126" i="11"/>
  <c r="AB127" i="11"/>
  <c r="AB128" i="11"/>
  <c r="AB129" i="11"/>
  <c r="AB130" i="11"/>
  <c r="AB131" i="11"/>
  <c r="AB132" i="11"/>
  <c r="AB133" i="11"/>
  <c r="AB134" i="11"/>
  <c r="AB135" i="11"/>
  <c r="AB136" i="11"/>
  <c r="AB137" i="11"/>
  <c r="AB138" i="11"/>
  <c r="AB139" i="11"/>
  <c r="AB140" i="11"/>
  <c r="AB141" i="11"/>
  <c r="AB142" i="11"/>
  <c r="AB143" i="11"/>
  <c r="AB144" i="11"/>
  <c r="AB145" i="11"/>
  <c r="AB146" i="11"/>
  <c r="AB147" i="11"/>
  <c r="AB148" i="11"/>
  <c r="AB149" i="11"/>
  <c r="AB150" i="11"/>
  <c r="AB151" i="11"/>
  <c r="AB152" i="11"/>
  <c r="AB153" i="11"/>
  <c r="AB154" i="11"/>
  <c r="AB155" i="11"/>
  <c r="AB156" i="11"/>
  <c r="AB157" i="11"/>
  <c r="AB158" i="11"/>
  <c r="AB159" i="11"/>
  <c r="AB160" i="11"/>
  <c r="AB161" i="11"/>
  <c r="AB162" i="11"/>
  <c r="AB163" i="11"/>
  <c r="AB164" i="11"/>
  <c r="AB165" i="11"/>
  <c r="AB166" i="11"/>
  <c r="AB167" i="11"/>
  <c r="AB168" i="11"/>
  <c r="AB169" i="11"/>
  <c r="AB170" i="11"/>
  <c r="AB171" i="11"/>
  <c r="AB172" i="11"/>
  <c r="AB173" i="11"/>
  <c r="AB174" i="11"/>
  <c r="AB175" i="11"/>
  <c r="AB176" i="11"/>
  <c r="AB177" i="11"/>
  <c r="AB178" i="11"/>
  <c r="AB179" i="11"/>
  <c r="AB180" i="11"/>
  <c r="AB181" i="11"/>
  <c r="AB182" i="11"/>
  <c r="AB183" i="11"/>
  <c r="AB184" i="11"/>
  <c r="AB185" i="11"/>
  <c r="AB186" i="11"/>
  <c r="AB187" i="11"/>
  <c r="AB188" i="11"/>
  <c r="AB189" i="11"/>
  <c r="AB190" i="11"/>
  <c r="AB191" i="11"/>
  <c r="AB192" i="11"/>
  <c r="AB193" i="11"/>
  <c r="AB194" i="11"/>
  <c r="AB195" i="11"/>
  <c r="AB196" i="11"/>
  <c r="AB197" i="11"/>
  <c r="AB198" i="11"/>
  <c r="AB199" i="11"/>
  <c r="AB200" i="11"/>
  <c r="AB201" i="11"/>
  <c r="AB202" i="11"/>
  <c r="AB203" i="11"/>
  <c r="AB204" i="11"/>
  <c r="AB205" i="11"/>
  <c r="AB206" i="11"/>
  <c r="AB207" i="11"/>
  <c r="AB208" i="11"/>
  <c r="AB209" i="11"/>
  <c r="AB210" i="11"/>
  <c r="AB211" i="11"/>
  <c r="AB212" i="11"/>
  <c r="AB213" i="11"/>
  <c r="AB214" i="11"/>
  <c r="AB215" i="11"/>
  <c r="AB216" i="11"/>
  <c r="AB217" i="11"/>
  <c r="AB218" i="11"/>
  <c r="AB219" i="11"/>
  <c r="AB220" i="11"/>
  <c r="AB221" i="11"/>
  <c r="AB222" i="11"/>
  <c r="AB223" i="11"/>
  <c r="AB224" i="11"/>
  <c r="AB225" i="11"/>
  <c r="AB226" i="11"/>
  <c r="AB227" i="11"/>
  <c r="AB228" i="11"/>
  <c r="AB229" i="11"/>
  <c r="AB230" i="11"/>
  <c r="AB231" i="11"/>
  <c r="AB232" i="11"/>
  <c r="AB233" i="11"/>
  <c r="AB234" i="11"/>
  <c r="AB235" i="11"/>
  <c r="AB236" i="11"/>
  <c r="AB237" i="11"/>
  <c r="AB238" i="11"/>
  <c r="AB239" i="11"/>
  <c r="AB240" i="11"/>
  <c r="AB241" i="11"/>
  <c r="AB242" i="11"/>
  <c r="AB243" i="11"/>
  <c r="AB244" i="11"/>
  <c r="AB245" i="11"/>
  <c r="AB246" i="11"/>
  <c r="AB247" i="11"/>
  <c r="AB248" i="11"/>
  <c r="AB249" i="11"/>
  <c r="AB250" i="11"/>
  <c r="AB251" i="11"/>
  <c r="AB252" i="11"/>
  <c r="AB253" i="11"/>
  <c r="AB254" i="11"/>
  <c r="AB255" i="11"/>
  <c r="AB256" i="11"/>
  <c r="AB257" i="11"/>
  <c r="AB258" i="11"/>
  <c r="AB259" i="11"/>
  <c r="AB260" i="11"/>
  <c r="AB261" i="11"/>
  <c r="AB262" i="11"/>
  <c r="AB263" i="11"/>
  <c r="AB264" i="11"/>
  <c r="AB265" i="11"/>
  <c r="AB266" i="11"/>
  <c r="AB267" i="11"/>
  <c r="AB268" i="11"/>
  <c r="AB269" i="11"/>
  <c r="AB270" i="11"/>
  <c r="AB271" i="11"/>
  <c r="AB272" i="11"/>
  <c r="AB273" i="11"/>
  <c r="AB274" i="11"/>
  <c r="AB275" i="11"/>
  <c r="AB276" i="11"/>
  <c r="AB277" i="11"/>
  <c r="AB278" i="11"/>
  <c r="AB279" i="11"/>
  <c r="AB280" i="11"/>
  <c r="AB281" i="11"/>
  <c r="AB282" i="11"/>
  <c r="AB283" i="11"/>
  <c r="AB284" i="11"/>
  <c r="AB285" i="11"/>
  <c r="AB286" i="11"/>
  <c r="AB287" i="11"/>
  <c r="AB288" i="11"/>
  <c r="AB289" i="11"/>
  <c r="AB290" i="11"/>
  <c r="AB291" i="11"/>
  <c r="AB292" i="11"/>
  <c r="AB293" i="11"/>
  <c r="AB294" i="11"/>
  <c r="AB295" i="11"/>
  <c r="AB296" i="11"/>
  <c r="AB297" i="11"/>
  <c r="AB298" i="11"/>
  <c r="AB299" i="11"/>
  <c r="AB300" i="11"/>
  <c r="AB301" i="11"/>
  <c r="AB302" i="11"/>
  <c r="AB303" i="11"/>
  <c r="AB304" i="11"/>
  <c r="AB305" i="11"/>
  <c r="AB306" i="11"/>
  <c r="AB307" i="11"/>
  <c r="AB308" i="11"/>
  <c r="AB309" i="11"/>
  <c r="AB310" i="11"/>
  <c r="AB311" i="11"/>
  <c r="AB312" i="11"/>
  <c r="AB313" i="11"/>
  <c r="AB314" i="11"/>
  <c r="AB315" i="11"/>
  <c r="AB316" i="11"/>
  <c r="AB317" i="11"/>
  <c r="AB318" i="11"/>
  <c r="AB319" i="11"/>
  <c r="AB320" i="11"/>
  <c r="AB321" i="11"/>
  <c r="AB322" i="11"/>
  <c r="AB323" i="11"/>
  <c r="AB324" i="11"/>
  <c r="AB325" i="11"/>
  <c r="AB326" i="11"/>
  <c r="AB327" i="11"/>
  <c r="AB328" i="11"/>
  <c r="AB329" i="11"/>
  <c r="AB330" i="11"/>
  <c r="AB331" i="11"/>
  <c r="AB332" i="11"/>
  <c r="AB333" i="11"/>
  <c r="AB334" i="11"/>
  <c r="AB335" i="11"/>
  <c r="AB336" i="11"/>
  <c r="AB337" i="11"/>
  <c r="AB338" i="11"/>
  <c r="AB339" i="11"/>
  <c r="AB340" i="11"/>
  <c r="AB341" i="11"/>
  <c r="AB342" i="11"/>
  <c r="AB343" i="11"/>
  <c r="AB344" i="11"/>
  <c r="AB345" i="11"/>
  <c r="AB346" i="11"/>
  <c r="AB347" i="11"/>
  <c r="AB348" i="11"/>
  <c r="AB349" i="11"/>
  <c r="AB350" i="11"/>
  <c r="AB351" i="11"/>
  <c r="AB352" i="11"/>
  <c r="AB353" i="11"/>
  <c r="AB354" i="11"/>
  <c r="AB355" i="11"/>
  <c r="AB356" i="11"/>
  <c r="AB357" i="11"/>
  <c r="AB358" i="11"/>
  <c r="AB359" i="11"/>
  <c r="AB360" i="11"/>
  <c r="AB361" i="11"/>
  <c r="AB362" i="11"/>
  <c r="AB363" i="11"/>
  <c r="AB364" i="11"/>
  <c r="AB365" i="11"/>
  <c r="AB366" i="11"/>
  <c r="AB367" i="11"/>
  <c r="AB368" i="11"/>
  <c r="AB369" i="11"/>
  <c r="AB370" i="11"/>
  <c r="AB371" i="11"/>
  <c r="AB372" i="11"/>
  <c r="AB373" i="11"/>
  <c r="AB374" i="11"/>
  <c r="AB375" i="11"/>
  <c r="AB376" i="11"/>
  <c r="AB377" i="11"/>
  <c r="AB378" i="11"/>
  <c r="AB379" i="11"/>
  <c r="AB380" i="11"/>
  <c r="AB381" i="11"/>
  <c r="AB382" i="11"/>
  <c r="AB383" i="11"/>
  <c r="AB384" i="11"/>
  <c r="AB385" i="11"/>
  <c r="AB386" i="11"/>
  <c r="AB387" i="11"/>
  <c r="AB388" i="11"/>
  <c r="AB389" i="11"/>
  <c r="AB390" i="11"/>
  <c r="AB391" i="11"/>
  <c r="AB392" i="11"/>
  <c r="AB393" i="11"/>
  <c r="AB394" i="11"/>
  <c r="AB395" i="11"/>
  <c r="AB396" i="11"/>
  <c r="AB397" i="11"/>
  <c r="AB398" i="11"/>
  <c r="AB399" i="11"/>
  <c r="AB400" i="11"/>
  <c r="AB401" i="11"/>
  <c r="AB402" i="11"/>
  <c r="AB403" i="11"/>
  <c r="AB404" i="11"/>
  <c r="AB405" i="11"/>
  <c r="AB406" i="11"/>
  <c r="AB407" i="11"/>
  <c r="AB408" i="11"/>
  <c r="AB409" i="11"/>
  <c r="AB410" i="11"/>
  <c r="AB411" i="11"/>
  <c r="AB412" i="11"/>
  <c r="AB413" i="11"/>
  <c r="AB414" i="11"/>
  <c r="AB415" i="11"/>
  <c r="AB416" i="11"/>
  <c r="AB417" i="11"/>
  <c r="AB418" i="11"/>
  <c r="AB419" i="11"/>
  <c r="AB420" i="11"/>
  <c r="AB421" i="11"/>
  <c r="AB422" i="11"/>
  <c r="AB423" i="11"/>
  <c r="AB424" i="11"/>
  <c r="AB425" i="11"/>
  <c r="AB426" i="11"/>
  <c r="AB427" i="11"/>
  <c r="AB428" i="11"/>
  <c r="AB429" i="11"/>
  <c r="AB430" i="11"/>
  <c r="AB431" i="11"/>
  <c r="AB432" i="11"/>
  <c r="AB433" i="11"/>
  <c r="AB434" i="11"/>
  <c r="AB435" i="11"/>
  <c r="AB436" i="11"/>
  <c r="AB437" i="11"/>
  <c r="AB438" i="11"/>
  <c r="AB439" i="11"/>
  <c r="AB440" i="11"/>
  <c r="AB441" i="11"/>
  <c r="AB442" i="11"/>
  <c r="AB443" i="11"/>
  <c r="AB444" i="11"/>
  <c r="AB445" i="11"/>
  <c r="AB446" i="11"/>
  <c r="AB447" i="11"/>
  <c r="AB448" i="11"/>
  <c r="AB449" i="11"/>
  <c r="AB450" i="11"/>
  <c r="AB451" i="11"/>
  <c r="AB452" i="11"/>
  <c r="AB453" i="11"/>
  <c r="AB454" i="11"/>
  <c r="AB455" i="11"/>
  <c r="AB456" i="11"/>
  <c r="AB457" i="11"/>
  <c r="AB458" i="11"/>
  <c r="AB459" i="11"/>
  <c r="AB460" i="11"/>
  <c r="AB461" i="11"/>
  <c r="AB462" i="11"/>
  <c r="AB463" i="11"/>
  <c r="AB464" i="11"/>
  <c r="AB465" i="11"/>
  <c r="AB466" i="11"/>
  <c r="AB467" i="11"/>
  <c r="AB468" i="11"/>
  <c r="AB469" i="11"/>
  <c r="AB470" i="11"/>
  <c r="AB471" i="11"/>
  <c r="AB472" i="11"/>
  <c r="AB473" i="11"/>
  <c r="AB474" i="11"/>
  <c r="AB475" i="11"/>
  <c r="AB476" i="11"/>
  <c r="AB477" i="11"/>
  <c r="AB478" i="11"/>
  <c r="AB479" i="11"/>
  <c r="AB480" i="11"/>
  <c r="AB481" i="11"/>
  <c r="AB482" i="11"/>
  <c r="AB483" i="11"/>
  <c r="AB484" i="11"/>
  <c r="AB485" i="11"/>
  <c r="AB486" i="11"/>
  <c r="AB487" i="11"/>
  <c r="AB488" i="11"/>
  <c r="AB489" i="11"/>
  <c r="AB490" i="11"/>
  <c r="AB491" i="11"/>
  <c r="AB492" i="11"/>
  <c r="AB493" i="11"/>
  <c r="AB494" i="11"/>
  <c r="AB495" i="11"/>
  <c r="AB496" i="11"/>
  <c r="AB497" i="11"/>
  <c r="AB498" i="11"/>
  <c r="AB499" i="11"/>
  <c r="AB500" i="11"/>
  <c r="AB501" i="11"/>
  <c r="AB502" i="11"/>
  <c r="AB503" i="11"/>
  <c r="AB504" i="11"/>
  <c r="AB505" i="11"/>
  <c r="AB506" i="11"/>
  <c r="AB507" i="11"/>
  <c r="AB508" i="11"/>
  <c r="AB509" i="11"/>
  <c r="AB510" i="11"/>
  <c r="AB511" i="11"/>
  <c r="AB512" i="11"/>
  <c r="AB513" i="11"/>
  <c r="AB514" i="11"/>
  <c r="AB515" i="11"/>
  <c r="AB516" i="11"/>
  <c r="AB517" i="11"/>
  <c r="AB518" i="11"/>
  <c r="AB519" i="11"/>
  <c r="AB520" i="11"/>
  <c r="AB521" i="11"/>
  <c r="AB522" i="11"/>
  <c r="AB523" i="11"/>
  <c r="AB524" i="11"/>
  <c r="AB525" i="11"/>
  <c r="AB526" i="11"/>
  <c r="AB527" i="11"/>
  <c r="AB528" i="11"/>
  <c r="AB529" i="11"/>
  <c r="AB530" i="11"/>
  <c r="AB531" i="11"/>
  <c r="AB532" i="11"/>
  <c r="AB533" i="11"/>
  <c r="AB534" i="11"/>
  <c r="AB535" i="11"/>
  <c r="AB536" i="11"/>
  <c r="AB537" i="11"/>
  <c r="AB538" i="11"/>
  <c r="AB539" i="11"/>
  <c r="AB540" i="11"/>
  <c r="AB541" i="11"/>
  <c r="AB542" i="11"/>
  <c r="AB543" i="11"/>
  <c r="AB544" i="11"/>
  <c r="AB545" i="11"/>
  <c r="AB546" i="11"/>
  <c r="AB547" i="11"/>
  <c r="AB548" i="11"/>
  <c r="AB549" i="11"/>
  <c r="AB550" i="11"/>
  <c r="AB551" i="11"/>
  <c r="AB552" i="11"/>
  <c r="AB553" i="11"/>
  <c r="AB554" i="11"/>
  <c r="AB555" i="11"/>
  <c r="AB556" i="11"/>
  <c r="AB557" i="11"/>
  <c r="AB558" i="11"/>
  <c r="AB559" i="11"/>
  <c r="AB560" i="11"/>
  <c r="AB561" i="11"/>
  <c r="AB562" i="11"/>
  <c r="AB563" i="11"/>
  <c r="AB564" i="11"/>
  <c r="AB565" i="11"/>
  <c r="AB566" i="11"/>
  <c r="AB567" i="11"/>
  <c r="AB568" i="11"/>
  <c r="AB569" i="11"/>
  <c r="AB570" i="11"/>
  <c r="AB571" i="11"/>
  <c r="AB572" i="11"/>
  <c r="AB573" i="11"/>
  <c r="AB574" i="11"/>
  <c r="AB575" i="11"/>
  <c r="AB576" i="11"/>
  <c r="AB577" i="11"/>
  <c r="AB578" i="11"/>
  <c r="AB579" i="11"/>
  <c r="AB580" i="11"/>
  <c r="AB581" i="11"/>
  <c r="AB582" i="11"/>
  <c r="AB583" i="11"/>
  <c r="AB584" i="11"/>
  <c r="AB585" i="11"/>
  <c r="AB586" i="11"/>
  <c r="AB587" i="11"/>
  <c r="AB588" i="11"/>
  <c r="AB589" i="11"/>
  <c r="AB590" i="11"/>
  <c r="AB591" i="11"/>
  <c r="AB592" i="11"/>
  <c r="AB593" i="11"/>
  <c r="AB594" i="11"/>
  <c r="AB595" i="11"/>
  <c r="AB596" i="11"/>
  <c r="AB597" i="11"/>
  <c r="AB598" i="11"/>
  <c r="AB599" i="11"/>
  <c r="AB600" i="11"/>
  <c r="AB601" i="11"/>
  <c r="AB602" i="11"/>
  <c r="AB603" i="11"/>
  <c r="AB604" i="11"/>
  <c r="AB605" i="11"/>
  <c r="AB606" i="11"/>
  <c r="AB607" i="11"/>
  <c r="AB608" i="11"/>
  <c r="AB609" i="11"/>
  <c r="AB610" i="11"/>
  <c r="AB611" i="11"/>
  <c r="AB612" i="11"/>
  <c r="AB613" i="11"/>
  <c r="AB614" i="11"/>
  <c r="AB615" i="11"/>
  <c r="AB616" i="11"/>
  <c r="AB617" i="11"/>
  <c r="AB618" i="11"/>
  <c r="AB619" i="11"/>
  <c r="AB620" i="11"/>
  <c r="AB621" i="11"/>
  <c r="AB622" i="11"/>
  <c r="AB623" i="11"/>
  <c r="AB624" i="11"/>
  <c r="AB625" i="11"/>
  <c r="AB626" i="11"/>
  <c r="AB627" i="11"/>
  <c r="AB628" i="11"/>
  <c r="AB629" i="11"/>
  <c r="AB630" i="11"/>
  <c r="AB631" i="11"/>
  <c r="AB632" i="11"/>
  <c r="AB633" i="11"/>
  <c r="Z6" i="20"/>
  <c r="Y6" i="20"/>
  <c r="X6" i="20"/>
  <c r="W6" i="20"/>
  <c r="V6" i="20"/>
  <c r="U6" i="20"/>
  <c r="T6" i="20"/>
  <c r="S6" i="20"/>
  <c r="R6" i="20"/>
  <c r="Q6" i="20"/>
  <c r="P6" i="20"/>
  <c r="O6" i="20"/>
  <c r="N6" i="20"/>
  <c r="M6" i="20"/>
  <c r="L6" i="20"/>
  <c r="K6" i="20"/>
  <c r="J6" i="20"/>
  <c r="I6" i="20"/>
  <c r="H6" i="20"/>
  <c r="G6" i="20"/>
  <c r="F6" i="20"/>
  <c r="Z5" i="20"/>
  <c r="Y5" i="20"/>
  <c r="X5" i="20"/>
  <c r="W5" i="20"/>
  <c r="V5" i="20"/>
  <c r="U5" i="20"/>
  <c r="T5" i="20"/>
  <c r="S5" i="20"/>
  <c r="R5" i="20"/>
  <c r="Q5" i="20"/>
  <c r="P5" i="20"/>
  <c r="O5" i="20"/>
  <c r="N5" i="20"/>
  <c r="M5" i="20"/>
  <c r="L5" i="20"/>
  <c r="K5" i="20"/>
  <c r="J5" i="20"/>
  <c r="I5" i="20"/>
  <c r="H5" i="20"/>
  <c r="G5" i="20"/>
  <c r="F5" i="20"/>
  <c r="Z4" i="20"/>
  <c r="Y4" i="20"/>
  <c r="X4" i="20"/>
  <c r="W4" i="20"/>
  <c r="V4" i="20"/>
  <c r="U4" i="20"/>
  <c r="T4" i="20"/>
  <c r="S4" i="20"/>
  <c r="R4" i="20"/>
  <c r="Q4" i="20"/>
  <c r="P4" i="20"/>
  <c r="O4" i="20"/>
  <c r="N4" i="20"/>
  <c r="M4" i="20"/>
  <c r="L4" i="20"/>
  <c r="K4" i="20"/>
  <c r="J4" i="20"/>
  <c r="I4" i="20"/>
  <c r="H4" i="20"/>
  <c r="G4" i="20"/>
  <c r="F4" i="20"/>
  <c r="Z3" i="20"/>
  <c r="Y3" i="20"/>
  <c r="X3" i="20"/>
  <c r="W3" i="20"/>
  <c r="V3" i="20"/>
  <c r="U3" i="20"/>
  <c r="T3" i="20"/>
  <c r="S3" i="20"/>
  <c r="R3" i="20"/>
  <c r="Q3" i="20"/>
  <c r="P3" i="20"/>
  <c r="O3" i="20"/>
  <c r="N3" i="20"/>
  <c r="M3" i="20"/>
  <c r="L3" i="20"/>
  <c r="K3" i="20"/>
  <c r="J3" i="20"/>
  <c r="I3" i="20"/>
  <c r="H3" i="20"/>
  <c r="G3" i="20"/>
  <c r="F3" i="20"/>
  <c r="B1" i="18"/>
  <c r="B1" i="16"/>
  <c r="AB3" i="11"/>
  <c r="J13" i="7"/>
  <c r="G13" i="7"/>
  <c r="J12" i="7"/>
  <c r="G12" i="7"/>
  <c r="J11" i="7"/>
  <c r="G11" i="7"/>
  <c r="J10" i="7"/>
  <c r="G10" i="7"/>
  <c r="J9" i="7"/>
  <c r="G9" i="7"/>
  <c r="J8" i="7"/>
  <c r="G8" i="7"/>
  <c r="J7" i="7"/>
  <c r="G7" i="7"/>
  <c r="J6" i="7"/>
  <c r="G6" i="7"/>
  <c r="J5" i="7"/>
  <c r="G5" i="7"/>
  <c r="J4" i="7"/>
  <c r="G4" i="7"/>
  <c r="J3" i="7"/>
  <c r="G3" i="7"/>
  <c r="J2" i="7"/>
  <c r="G2" i="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O1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手填或由Asco匯入</t>
        </r>
      </text>
    </comment>
  </commentList>
</comments>
</file>

<file path=xl/sharedStrings.xml><?xml version="1.0" encoding="utf-8"?>
<sst xmlns="http://schemas.openxmlformats.org/spreadsheetml/2006/main" count="20858" uniqueCount="213">
  <si>
    <t>Project</t>
    <phoneticPr fontId="2" type="noConversion"/>
  </si>
  <si>
    <t>Current version</t>
    <phoneticPr fontId="2" type="noConversion"/>
  </si>
  <si>
    <t xml:space="preserve"> </t>
  </si>
  <si>
    <t>UPDATE</t>
    <phoneticPr fontId="2" type="noConversion"/>
  </si>
  <si>
    <t>PROJECT</t>
    <phoneticPr fontId="2" type="noConversion"/>
  </si>
  <si>
    <t>SUBJECT</t>
    <phoneticPr fontId="2" type="noConversion"/>
  </si>
  <si>
    <t>Note</t>
  </si>
  <si>
    <t>-</t>
  </si>
  <si>
    <t>6-#6</t>
  </si>
  <si>
    <t>4F</t>
  </si>
  <si>
    <t>3F</t>
  </si>
  <si>
    <t>2F</t>
  </si>
  <si>
    <t>STORY</t>
  </si>
  <si>
    <r>
      <rPr>
        <sz val="12"/>
        <color rgb="FF006100"/>
        <rFont val="微軟正黑體"/>
        <family val="2"/>
        <charset val="136"/>
      </rPr>
      <t>操作流程</t>
    </r>
    <phoneticPr fontId="2" type="noConversion"/>
  </si>
  <si>
    <r>
      <rPr>
        <sz val="12"/>
        <color theme="1"/>
        <rFont val="微軟正黑體"/>
        <family val="2"/>
        <charset val="136"/>
      </rPr>
      <t>貼上</t>
    </r>
    <r>
      <rPr>
        <sz val="12"/>
        <color theme="1"/>
        <rFont val="Calibri"/>
        <family val="2"/>
      </rPr>
      <t xml:space="preserve"> RCAD </t>
    </r>
    <r>
      <rPr>
        <sz val="12"/>
        <color theme="1"/>
        <rFont val="微軟正黑體"/>
        <family val="2"/>
        <charset val="136"/>
      </rPr>
      <t>配筋表格</t>
    </r>
    <phoneticPr fontId="2" type="noConversion"/>
  </si>
  <si>
    <r>
      <rPr>
        <sz val="12"/>
        <color rgb="FF9C0006"/>
        <rFont val="微軟正黑體"/>
        <family val="2"/>
        <charset val="136"/>
      </rPr>
      <t>注意事項</t>
    </r>
    <phoneticPr fontId="2" type="noConversion"/>
  </si>
  <si>
    <r>
      <rPr>
        <sz val="12"/>
        <color theme="1"/>
        <rFont val="微軟正黑體"/>
        <family val="2"/>
        <charset val="136"/>
      </rPr>
      <t>樓層由高到低按照順序排列</t>
    </r>
    <phoneticPr fontId="2" type="noConversion"/>
  </si>
  <si>
    <t>1F</t>
  </si>
  <si>
    <t>B1</t>
  </si>
  <si>
    <t>B2</t>
  </si>
  <si>
    <r>
      <rPr>
        <sz val="12"/>
        <color theme="1"/>
        <rFont val="微軟正黑體"/>
        <family val="2"/>
        <charset val="136"/>
      </rPr>
      <t>上層</t>
    </r>
  </si>
  <si>
    <r>
      <rPr>
        <sz val="12"/>
        <color theme="1"/>
        <rFont val="微軟正黑體"/>
        <family val="2"/>
        <charset val="136"/>
      </rPr>
      <t>下層</t>
    </r>
  </si>
  <si>
    <r>
      <t>"Soft"</t>
    </r>
    <r>
      <rPr>
        <sz val="12"/>
        <color theme="1"/>
        <rFont val="微軟正黑體"/>
        <family val="2"/>
        <charset val="136"/>
      </rPr>
      <t>鋼筋尺寸</t>
    </r>
  </si>
  <si>
    <r>
      <rPr>
        <sz val="12"/>
        <color theme="1"/>
        <rFont val="微軟正黑體"/>
        <family val="2"/>
        <charset val="136"/>
      </rPr>
      <t>重量（</t>
    </r>
    <r>
      <rPr>
        <sz val="12"/>
        <color theme="1"/>
        <rFont val="Calibri"/>
        <family val="2"/>
      </rPr>
      <t>lb/ft</t>
    </r>
    <r>
      <rPr>
        <sz val="12"/>
        <color theme="1"/>
        <rFont val="微軟正黑體"/>
        <family val="2"/>
        <charset val="136"/>
      </rPr>
      <t>）</t>
    </r>
  </si>
  <si>
    <r>
      <rPr>
        <sz val="12"/>
        <color theme="1"/>
        <rFont val="微軟正黑體"/>
        <family val="2"/>
        <charset val="136"/>
      </rPr>
      <t>重量（</t>
    </r>
    <r>
      <rPr>
        <sz val="12"/>
        <color theme="1"/>
        <rFont val="Calibri"/>
        <family val="2"/>
      </rPr>
      <t>kg/m</t>
    </r>
    <r>
      <rPr>
        <sz val="12"/>
        <color theme="1"/>
        <rFont val="微軟正黑體"/>
        <family val="2"/>
        <charset val="136"/>
      </rPr>
      <t>）</t>
    </r>
  </si>
  <si>
    <r>
      <rPr>
        <sz val="12"/>
        <color theme="1"/>
        <rFont val="微軟正黑體"/>
        <family val="2"/>
        <charset val="136"/>
      </rPr>
      <t>直徑（</t>
    </r>
    <r>
      <rPr>
        <sz val="12"/>
        <color theme="1"/>
        <rFont val="Calibri"/>
        <family val="2"/>
      </rPr>
      <t>in</t>
    </r>
    <r>
      <rPr>
        <sz val="12"/>
        <color theme="1"/>
        <rFont val="微軟正黑體"/>
        <family val="2"/>
        <charset val="136"/>
      </rPr>
      <t>）</t>
    </r>
  </si>
  <si>
    <r>
      <rPr>
        <sz val="12"/>
        <color theme="1"/>
        <rFont val="微軟正黑體"/>
        <family val="2"/>
        <charset val="136"/>
      </rPr>
      <t>直徑（</t>
    </r>
    <r>
      <rPr>
        <sz val="12"/>
        <color theme="1"/>
        <rFont val="Calibri"/>
        <family val="2"/>
      </rPr>
      <t>mm</t>
    </r>
    <r>
      <rPr>
        <sz val="12"/>
        <color theme="1"/>
        <rFont val="微軟正黑體"/>
        <family val="2"/>
        <charset val="136"/>
      </rPr>
      <t>）</t>
    </r>
  </si>
  <si>
    <r>
      <rPr>
        <sz val="12"/>
        <color theme="1"/>
        <rFont val="微軟正黑體"/>
        <family val="2"/>
        <charset val="136"/>
      </rPr>
      <t>截面積（</t>
    </r>
    <r>
      <rPr>
        <sz val="12"/>
        <color theme="1"/>
        <rFont val="Calibri"/>
        <family val="2"/>
      </rPr>
      <t>in²</t>
    </r>
    <r>
      <rPr>
        <sz val="12"/>
        <color theme="1"/>
        <rFont val="微軟正黑體"/>
        <family val="2"/>
        <charset val="136"/>
      </rPr>
      <t>）</t>
    </r>
  </si>
  <si>
    <r>
      <rPr>
        <sz val="12"/>
        <color theme="1"/>
        <rFont val="微軟正黑體"/>
        <family val="2"/>
        <charset val="136"/>
      </rPr>
      <t>截面積（</t>
    </r>
    <r>
      <rPr>
        <sz val="12"/>
        <color theme="1"/>
        <rFont val="Calibri"/>
        <family val="2"/>
      </rPr>
      <t>mm²</t>
    </r>
    <r>
      <rPr>
        <sz val="12"/>
        <color theme="1"/>
        <rFont val="微軟正黑體"/>
        <family val="2"/>
        <charset val="136"/>
      </rPr>
      <t>）</t>
    </r>
  </si>
  <si>
    <t>#3</t>
  </si>
  <si>
    <t>#10</t>
  </si>
  <si>
    <t>0.375 = 3/8</t>
  </si>
  <si>
    <t>#4</t>
  </si>
  <si>
    <t>#13</t>
  </si>
  <si>
    <t>0.500 = 4/8</t>
  </si>
  <si>
    <t>#5</t>
  </si>
  <si>
    <t>#16</t>
  </si>
  <si>
    <t>0.625 = 5/8</t>
  </si>
  <si>
    <t>#6</t>
  </si>
  <si>
    <t>#19</t>
  </si>
  <si>
    <t>0.750 = 6/8</t>
  </si>
  <si>
    <t>#7</t>
  </si>
  <si>
    <t>#22</t>
  </si>
  <si>
    <t>0.875 = 7/8</t>
  </si>
  <si>
    <t>#8</t>
  </si>
  <si>
    <t>#25</t>
  </si>
  <si>
    <t>1.000 = 8/8</t>
  </si>
  <si>
    <t>#9</t>
  </si>
  <si>
    <t>#29</t>
  </si>
  <si>
    <t>#32</t>
  </si>
  <si>
    <t>#11</t>
  </si>
  <si>
    <t>#36</t>
  </si>
  <si>
    <t>#12</t>
  </si>
  <si>
    <t>#40</t>
  </si>
  <si>
    <t>#14</t>
  </si>
  <si>
    <t>#43</t>
  </si>
  <si>
    <t>#18</t>
  </si>
  <si>
    <t>#57</t>
  </si>
  <si>
    <t>11F</t>
  </si>
  <si>
    <t>10F</t>
  </si>
  <si>
    <t>9F</t>
  </si>
  <si>
    <t>8F</t>
  </si>
  <si>
    <t>7F</t>
  </si>
  <si>
    <t>6F</t>
  </si>
  <si>
    <t>5F</t>
  </si>
  <si>
    <t>1#4EF</t>
  </si>
  <si>
    <t>sum</t>
    <phoneticPr fontId="2" type="noConversion"/>
  </si>
  <si>
    <t>2.0.0</t>
    <phoneticPr fontId="2" type="noConversion"/>
  </si>
  <si>
    <r>
      <rPr>
        <sz val="12"/>
        <color theme="1"/>
        <rFont val="微軟正黑體"/>
        <family val="2"/>
        <charset val="136"/>
      </rPr>
      <t>新增密碼保護</t>
    </r>
    <phoneticPr fontId="2" type="noConversion"/>
  </si>
  <si>
    <t>Smart Splice</t>
    <phoneticPr fontId="2" type="noConversion"/>
  </si>
  <si>
    <t>2.1.0</t>
    <phoneticPr fontId="2" type="noConversion"/>
  </si>
  <si>
    <r>
      <rPr>
        <sz val="12"/>
        <color theme="1"/>
        <rFont val="微軟正黑體"/>
        <family val="2"/>
        <charset val="136"/>
      </rPr>
      <t>左</t>
    </r>
    <phoneticPr fontId="2" type="noConversion"/>
  </si>
  <si>
    <r>
      <rPr>
        <sz val="12"/>
        <color theme="1"/>
        <rFont val="微軟正黑體"/>
        <family val="2"/>
        <charset val="136"/>
      </rPr>
      <t>中</t>
    </r>
    <phoneticPr fontId="2" type="noConversion"/>
  </si>
  <si>
    <r>
      <rPr>
        <sz val="12"/>
        <color theme="1"/>
        <rFont val="微軟正黑體"/>
        <family val="2"/>
        <charset val="136"/>
      </rPr>
      <t>右</t>
    </r>
    <phoneticPr fontId="2" type="noConversion"/>
  </si>
  <si>
    <t>Prev</t>
    <phoneticPr fontId="2" type="noConversion"/>
  </si>
  <si>
    <t>Next</t>
    <phoneticPr fontId="2" type="noConversion"/>
  </si>
  <si>
    <t>PR</t>
  </si>
  <si>
    <t>B1-12</t>
  </si>
  <si>
    <t>2-#8</t>
  </si>
  <si>
    <t>#4@15</t>
  </si>
  <si>
    <t>G1-B2</t>
  </si>
  <si>
    <t>G1-C2</t>
  </si>
  <si>
    <t>4-#8</t>
  </si>
  <si>
    <t>3-#8</t>
  </si>
  <si>
    <t>B1-22</t>
  </si>
  <si>
    <t>B1-2'2</t>
  </si>
  <si>
    <t>G1-B3</t>
  </si>
  <si>
    <t>G1-C3</t>
  </si>
  <si>
    <t>#4@12</t>
  </si>
  <si>
    <t>P3</t>
  </si>
  <si>
    <t>6-#8</t>
  </si>
  <si>
    <t>#4@10</t>
  </si>
  <si>
    <t>5-#8</t>
  </si>
  <si>
    <t>2#4@15</t>
  </si>
  <si>
    <t>P2</t>
  </si>
  <si>
    <t>2#4@12</t>
  </si>
  <si>
    <t>RF</t>
  </si>
  <si>
    <t>B2-11</t>
  </si>
  <si>
    <t>B2-12</t>
  </si>
  <si>
    <t>B2-13</t>
  </si>
  <si>
    <t>G2-A2</t>
  </si>
  <si>
    <t>G2-B2</t>
  </si>
  <si>
    <t>8-#8</t>
  </si>
  <si>
    <t>2#4@10</t>
  </si>
  <si>
    <t>G2-D2</t>
  </si>
  <si>
    <t>B1-21</t>
  </si>
  <si>
    <t>B2-22'</t>
  </si>
  <si>
    <t>G2-A3</t>
  </si>
  <si>
    <t>G3-B3</t>
  </si>
  <si>
    <t>9-#8</t>
  </si>
  <si>
    <t>2#5@15</t>
  </si>
  <si>
    <t>G2-D3</t>
  </si>
  <si>
    <t>B2-31</t>
  </si>
  <si>
    <t>7-#8</t>
  </si>
  <si>
    <t>B2-32</t>
  </si>
  <si>
    <t>B1-33</t>
  </si>
  <si>
    <t>G2-C4</t>
  </si>
  <si>
    <t>G2-D4</t>
  </si>
  <si>
    <t>B2-43</t>
  </si>
  <si>
    <t>14F</t>
  </si>
  <si>
    <t>B3-21</t>
  </si>
  <si>
    <t>G2-C2'</t>
  </si>
  <si>
    <t>13F</t>
  </si>
  <si>
    <t>12F</t>
  </si>
  <si>
    <t>5-#10</t>
  </si>
  <si>
    <t>3-#10</t>
  </si>
  <si>
    <t>2-#10</t>
  </si>
  <si>
    <t>6-#10</t>
  </si>
  <si>
    <t>4-#10</t>
  </si>
  <si>
    <t>2#5@12</t>
  </si>
  <si>
    <t>2#4@18</t>
  </si>
  <si>
    <t>B1-32</t>
  </si>
  <si>
    <t>B1-43</t>
  </si>
  <si>
    <t>G2-D5</t>
  </si>
  <si>
    <t>#4@20</t>
  </si>
  <si>
    <t>G2-C5</t>
  </si>
  <si>
    <t>B2-53</t>
  </si>
  <si>
    <t>1MF</t>
  </si>
  <si>
    <t>B1-11</t>
  </si>
  <si>
    <t>G1-A2</t>
  </si>
  <si>
    <t>G1-D2</t>
  </si>
  <si>
    <t>G1-A3</t>
  </si>
  <si>
    <t>G1-C2'</t>
  </si>
  <si>
    <t>G1-D3</t>
  </si>
  <si>
    <t>G1-C4</t>
  </si>
  <si>
    <t>G1-D4</t>
  </si>
  <si>
    <t>WB3</t>
  </si>
  <si>
    <t>G2-C2</t>
  </si>
  <si>
    <t>B1-23</t>
  </si>
  <si>
    <t>G2-C3</t>
  </si>
  <si>
    <t>WB2</t>
  </si>
  <si>
    <t>1#5EF</t>
  </si>
  <si>
    <t>WB1</t>
  </si>
  <si>
    <t>樓層</t>
  </si>
  <si>
    <t>編號</t>
  </si>
  <si>
    <t>RC梁寬</t>
  </si>
  <si>
    <t>RC梁深</t>
  </si>
  <si>
    <t>主筋</t>
  </si>
  <si>
    <t>腰筋</t>
  </si>
  <si>
    <t>箍筋</t>
  </si>
  <si>
    <t>梁長</t>
  </si>
  <si>
    <t>支承寬</t>
  </si>
  <si>
    <t>左端</t>
  </si>
  <si>
    <t>中央</t>
  </si>
  <si>
    <t>右端</t>
  </si>
  <si>
    <t>上層 第一排</t>
  </si>
  <si>
    <t>上層 第二排</t>
  </si>
  <si>
    <t>FB</t>
  </si>
  <si>
    <r>
      <rPr>
        <sz val="12"/>
        <color rgb="FF9C5700"/>
        <rFont val="新細明體"/>
        <family val="1"/>
        <charset val="136"/>
      </rPr>
      <t>鋼筋尺寸</t>
    </r>
  </si>
  <si>
    <r>
      <rPr>
        <sz val="12"/>
        <color rgb="FF9C5700"/>
        <rFont val="新細明體"/>
        <family val="1"/>
        <charset val="136"/>
      </rPr>
      <t>直徑（</t>
    </r>
    <r>
      <rPr>
        <sz val="12"/>
        <color rgb="FF9C5700"/>
        <rFont val="Calibri"/>
        <family val="2"/>
      </rPr>
      <t>cm</t>
    </r>
    <r>
      <rPr>
        <sz val="12"/>
        <color rgb="FF9C5700"/>
        <rFont val="新細明體"/>
        <family val="1"/>
        <charset val="136"/>
      </rPr>
      <t>）</t>
    </r>
    <phoneticPr fontId="2" type="noConversion"/>
  </si>
  <si>
    <r>
      <rPr>
        <sz val="12"/>
        <color rgb="FF9C5700"/>
        <rFont val="新細明體"/>
        <family val="1"/>
        <charset val="136"/>
      </rPr>
      <t>截面積（</t>
    </r>
    <r>
      <rPr>
        <sz val="12"/>
        <color rgb="FF9C5700"/>
        <rFont val="Calibri"/>
        <family val="2"/>
      </rPr>
      <t>cm²</t>
    </r>
    <r>
      <rPr>
        <sz val="12"/>
        <color rgb="FF9C5700"/>
        <rFont val="新細明體"/>
        <family val="1"/>
        <charset val="136"/>
      </rPr>
      <t>）</t>
    </r>
    <phoneticPr fontId="2" type="noConversion"/>
  </si>
  <si>
    <r>
      <rPr>
        <sz val="12"/>
        <color theme="1"/>
        <rFont val="微軟正黑體"/>
        <family val="2"/>
        <charset val="136"/>
      </rPr>
      <t>考慮搭接長度</t>
    </r>
    <phoneticPr fontId="2" type="noConversion"/>
  </si>
  <si>
    <r>
      <rPr>
        <sz val="12"/>
        <color theme="1"/>
        <rFont val="微軟正黑體"/>
        <family val="2"/>
        <charset val="136"/>
      </rPr>
      <t>樓層</t>
    </r>
  </si>
  <si>
    <r>
      <rPr>
        <sz val="12"/>
        <color theme="1"/>
        <rFont val="微軟正黑體"/>
        <family val="2"/>
        <charset val="136"/>
      </rPr>
      <t>編號</t>
    </r>
  </si>
  <si>
    <r>
      <t>RC</t>
    </r>
    <r>
      <rPr>
        <sz val="12"/>
        <color theme="1"/>
        <rFont val="微軟正黑體"/>
        <family val="2"/>
        <charset val="136"/>
      </rPr>
      <t>梁寬</t>
    </r>
  </si>
  <si>
    <r>
      <t>RC</t>
    </r>
    <r>
      <rPr>
        <sz val="12"/>
        <color theme="1"/>
        <rFont val="微軟正黑體"/>
        <family val="2"/>
        <charset val="136"/>
      </rPr>
      <t>梁深</t>
    </r>
  </si>
  <si>
    <r>
      <rPr>
        <sz val="12"/>
        <color theme="1"/>
        <rFont val="微軟正黑體"/>
        <family val="2"/>
        <charset val="136"/>
      </rPr>
      <t>主筋</t>
    </r>
  </si>
  <si>
    <r>
      <rPr>
        <sz val="12"/>
        <color theme="1"/>
        <rFont val="微軟正黑體"/>
        <family val="2"/>
        <charset val="136"/>
      </rPr>
      <t>腰筋</t>
    </r>
  </si>
  <si>
    <r>
      <rPr>
        <sz val="12"/>
        <color theme="1"/>
        <rFont val="微軟正黑體"/>
        <family val="2"/>
        <charset val="136"/>
      </rPr>
      <t>箍筋</t>
    </r>
  </si>
  <si>
    <r>
      <rPr>
        <sz val="12"/>
        <color theme="1"/>
        <rFont val="微軟正黑體"/>
        <family val="2"/>
        <charset val="136"/>
      </rPr>
      <t>梁長</t>
    </r>
  </si>
  <si>
    <r>
      <rPr>
        <sz val="12"/>
        <color theme="1"/>
        <rFont val="微軟正黑體"/>
        <family val="2"/>
        <charset val="136"/>
      </rPr>
      <t>支承寬</t>
    </r>
  </si>
  <si>
    <r>
      <rPr>
        <sz val="12"/>
        <color theme="1"/>
        <rFont val="微軟正黑體"/>
        <family val="2"/>
        <charset val="136"/>
      </rPr>
      <t>左端</t>
    </r>
  </si>
  <si>
    <r>
      <rPr>
        <sz val="12"/>
        <color theme="1"/>
        <rFont val="微軟正黑體"/>
        <family val="2"/>
        <charset val="136"/>
      </rPr>
      <t>中央</t>
    </r>
  </si>
  <si>
    <r>
      <rPr>
        <sz val="12"/>
        <color theme="1"/>
        <rFont val="微軟正黑體"/>
        <family val="2"/>
        <charset val="136"/>
      </rPr>
      <t>右端</t>
    </r>
  </si>
  <si>
    <r>
      <rPr>
        <sz val="12"/>
        <color theme="1"/>
        <rFont val="微軟正黑體"/>
        <family val="2"/>
        <charset val="136"/>
      </rPr>
      <t>輸入左側部分專案資料</t>
    </r>
    <r>
      <rPr>
        <sz val="12"/>
        <color theme="1"/>
        <rFont val="Calibri"/>
        <family val="2"/>
      </rPr>
      <t xml:space="preserve"> ( fc' </t>
    </r>
    <r>
      <rPr>
        <sz val="12"/>
        <color theme="1"/>
        <rFont val="微軟正黑體"/>
        <family val="2"/>
        <charset val="136"/>
      </rPr>
      <t>依</t>
    </r>
    <r>
      <rPr>
        <sz val="12"/>
        <color theme="1"/>
        <rFont val="Calibri"/>
        <family val="2"/>
      </rPr>
      <t xml:space="preserve"> Etabs </t>
    </r>
    <r>
      <rPr>
        <sz val="12"/>
        <color theme="1"/>
        <rFont val="微軟正黑體"/>
        <family val="2"/>
        <charset val="136"/>
      </rPr>
      <t>樓層</t>
    </r>
    <r>
      <rPr>
        <sz val="12"/>
        <color theme="1"/>
        <rFont val="Calibri"/>
        <family val="2"/>
      </rPr>
      <t xml:space="preserve"> )</t>
    </r>
    <phoneticPr fontId="2" type="noConversion"/>
  </si>
  <si>
    <r>
      <rPr>
        <sz val="12"/>
        <color theme="1"/>
        <rFont val="微軟正黑體"/>
        <family val="2"/>
        <charset val="136"/>
      </rPr>
      <t>按下</t>
    </r>
    <r>
      <rPr>
        <sz val="12"/>
        <color theme="1"/>
        <rFont val="Calibri"/>
        <family val="2"/>
      </rPr>
      <t xml:space="preserve"> </t>
    </r>
    <r>
      <rPr>
        <sz val="12"/>
        <color theme="1"/>
        <rFont val="微軟正黑體"/>
        <family val="2"/>
        <charset val="136"/>
      </rPr>
      <t>最佳化斷筋點</t>
    </r>
    <phoneticPr fontId="2" type="noConversion"/>
  </si>
  <si>
    <t>3.0.0</t>
    <phoneticPr fontId="2" type="noConversion"/>
  </si>
  <si>
    <r>
      <rPr>
        <sz val="12"/>
        <color theme="1"/>
        <rFont val="微軟正黑體"/>
        <family val="2"/>
        <charset val="136"/>
      </rPr>
      <t>多點斷筋</t>
    </r>
    <phoneticPr fontId="2" type="noConversion"/>
  </si>
  <si>
    <r>
      <rPr>
        <sz val="12"/>
        <color theme="1"/>
        <rFont val="微軟正黑體"/>
        <family val="2"/>
        <charset val="136"/>
      </rPr>
      <t>搭接長度比例</t>
    </r>
    <phoneticPr fontId="2" type="noConversion"/>
  </si>
  <si>
    <r>
      <rPr>
        <sz val="12"/>
        <color theme="1"/>
        <rFont val="微軟正黑體"/>
        <family val="2"/>
        <charset val="136"/>
      </rPr>
      <t>搭接長度格數</t>
    </r>
    <phoneticPr fontId="2" type="noConversion"/>
  </si>
  <si>
    <r>
      <rPr>
        <sz val="12"/>
        <color theme="1"/>
        <rFont val="微軟正黑體"/>
        <family val="2"/>
        <charset val="136"/>
      </rPr>
      <t>初始斷筋</t>
    </r>
    <phoneticPr fontId="2" type="noConversion"/>
  </si>
  <si>
    <r>
      <rPr>
        <sz val="12"/>
        <color theme="1"/>
        <rFont val="微軟正黑體"/>
        <family val="2"/>
        <charset val="136"/>
      </rPr>
      <t>多點斷筋</t>
    </r>
    <r>
      <rPr>
        <sz val="12"/>
        <color theme="1"/>
        <rFont val="Calibri"/>
        <family val="2"/>
      </rPr>
      <t xml:space="preserve"> + </t>
    </r>
    <r>
      <rPr>
        <sz val="12"/>
        <color theme="1"/>
        <rFont val="微軟正黑體"/>
        <family val="2"/>
        <charset val="136"/>
      </rPr>
      <t>延伸長度</t>
    </r>
    <phoneticPr fontId="2" type="noConversion"/>
  </si>
  <si>
    <r>
      <rPr>
        <sz val="12"/>
        <color theme="1"/>
        <rFont val="微軟正黑體"/>
        <family val="2"/>
        <charset val="136"/>
      </rPr>
      <t>總支數</t>
    </r>
    <phoneticPr fontId="2" type="noConversion"/>
  </si>
  <si>
    <t>4F</t>
    <phoneticPr fontId="2" type="noConversion"/>
  </si>
  <si>
    <t>左</t>
  </si>
  <si>
    <t>中</t>
  </si>
  <si>
    <t>右</t>
  </si>
  <si>
    <t/>
  </si>
  <si>
    <r>
      <rPr>
        <sz val="12"/>
        <color theme="1"/>
        <rFont val="微軟正黑體"/>
        <family val="2"/>
        <charset val="136"/>
      </rPr>
      <t>大幅修改演算法：需要使用者多輸入重力的參數</t>
    </r>
    <phoneticPr fontId="2" type="noConversion"/>
  </si>
  <si>
    <r>
      <rPr>
        <sz val="12"/>
        <color theme="1"/>
        <rFont val="微軟正黑體"/>
        <family val="2"/>
        <charset val="136"/>
      </rPr>
      <t>原始配筋估計錯誤，重新更改</t>
    </r>
    <phoneticPr fontId="2" type="noConversion"/>
  </si>
  <si>
    <r>
      <rPr>
        <sz val="12"/>
        <color theme="1"/>
        <rFont val="微軟正黑體"/>
        <family val="2"/>
        <charset val="136"/>
      </rPr>
      <t>比較與初始配筋的差異效果</t>
    </r>
    <phoneticPr fontId="2" type="noConversion"/>
  </si>
  <si>
    <r>
      <rPr>
        <sz val="12"/>
        <color theme="1"/>
        <rFont val="微軟正黑體"/>
        <family val="2"/>
        <charset val="136"/>
      </rPr>
      <t>多點斷筋</t>
    </r>
    <r>
      <rPr>
        <sz val="12"/>
        <color theme="1"/>
        <rFont val="Calibri"/>
        <family val="2"/>
      </rPr>
      <t xml:space="preserve"> + </t>
    </r>
    <r>
      <rPr>
        <sz val="12"/>
        <color theme="1"/>
        <rFont val="微軟正黑體"/>
        <family val="2"/>
        <charset val="136"/>
      </rPr>
      <t>延伸長度</t>
    </r>
    <r>
      <rPr>
        <sz val="12"/>
        <color theme="1"/>
        <rFont val="Calibri"/>
        <family val="2"/>
      </rPr>
      <t xml:space="preserve"> </t>
    </r>
    <r>
      <rPr>
        <sz val="12"/>
        <color theme="1"/>
        <rFont val="微軟正黑體"/>
        <family val="2"/>
        <charset val="136"/>
      </rPr>
      <t>修正</t>
    </r>
    <phoneticPr fontId="2" type="noConversion"/>
  </si>
  <si>
    <t>Optimized</t>
    <phoneticPr fontId="2" type="noConversion"/>
  </si>
  <si>
    <t>5-#8</t>
    <phoneticPr fontId="2" type="noConversion"/>
  </si>
  <si>
    <r>
      <t>Fy(kgf/cm</t>
    </r>
    <r>
      <rPr>
        <vertAlign val="superscript"/>
        <sz val="12"/>
        <color rgb="FF9C5700"/>
        <rFont val="Calibri"/>
        <family val="2"/>
      </rPr>
      <t>2</t>
    </r>
    <r>
      <rPr>
        <sz val="12"/>
        <color rgb="FF9C5700"/>
        <rFont val="Calibri"/>
        <family val="2"/>
      </rPr>
      <t>)</t>
    </r>
    <phoneticPr fontId="2" type="noConversion"/>
  </si>
  <si>
    <r>
      <t>Fyt(kgf/cm</t>
    </r>
    <r>
      <rPr>
        <vertAlign val="superscript"/>
        <sz val="12"/>
        <color rgb="FF9C5700"/>
        <rFont val="Calibri"/>
        <family val="2"/>
      </rPr>
      <t>2</t>
    </r>
    <r>
      <rPr>
        <sz val="12"/>
        <color rgb="FF9C5700"/>
        <rFont val="Calibri"/>
        <family val="2"/>
      </rPr>
      <t>)</t>
    </r>
    <phoneticPr fontId="2" type="noConversion"/>
  </si>
  <si>
    <r>
      <rPr>
        <sz val="12"/>
        <color rgb="FF9C5700"/>
        <rFont val="微軟正黑體"/>
        <family val="2"/>
        <charset val="136"/>
      </rPr>
      <t>梁版</t>
    </r>
    <r>
      <rPr>
        <sz val="12"/>
        <color rgb="FF9C5700"/>
        <rFont val="Calibri"/>
        <family val="2"/>
      </rPr>
      <t xml:space="preserve"> fc'(kgf/cm</t>
    </r>
    <r>
      <rPr>
        <vertAlign val="superscript"/>
        <sz val="12"/>
        <color rgb="FF9C5700"/>
        <rFont val="Calibri"/>
        <family val="2"/>
      </rPr>
      <t>2</t>
    </r>
    <r>
      <rPr>
        <sz val="12"/>
        <color rgb="FF9C5700"/>
        <rFont val="Calibri"/>
        <family val="2"/>
      </rPr>
      <t>)</t>
    </r>
    <phoneticPr fontId="2" type="noConversion"/>
  </si>
  <si>
    <r>
      <t>SDL(tf/m</t>
    </r>
    <r>
      <rPr>
        <vertAlign val="superscript"/>
        <sz val="12"/>
        <color rgb="FF9C5700"/>
        <rFont val="Calibri"/>
        <family val="2"/>
      </rPr>
      <t>2</t>
    </r>
    <r>
      <rPr>
        <sz val="12"/>
        <color rgb="FF9C5700"/>
        <rFont val="Calibri"/>
        <family val="2"/>
      </rPr>
      <t>)</t>
    </r>
    <phoneticPr fontId="2" type="noConversion"/>
  </si>
  <si>
    <t>band(m)</t>
    <phoneticPr fontId="2" type="noConversion"/>
  </si>
  <si>
    <r>
      <t>LL(tf/m</t>
    </r>
    <r>
      <rPr>
        <vertAlign val="superscript"/>
        <sz val="12"/>
        <color rgb="FF9C5700"/>
        <rFont val="Calibri"/>
        <family val="2"/>
      </rPr>
      <t>2</t>
    </r>
    <r>
      <rPr>
        <sz val="12"/>
        <color rgb="FF9C5700"/>
        <rFont val="Calibri"/>
        <family val="2"/>
      </rPr>
      <t>)</t>
    </r>
    <phoneticPr fontId="2" type="noConversion"/>
  </si>
  <si>
    <r>
      <rPr>
        <sz val="12"/>
        <color rgb="FF9C5700"/>
        <rFont val="微軟正黑體"/>
        <family val="2"/>
        <charset val="136"/>
      </rPr>
      <t>版厚</t>
    </r>
    <r>
      <rPr>
        <sz val="12"/>
        <color rgb="FF9C5700"/>
        <rFont val="Calibri"/>
        <family val="2"/>
      </rPr>
      <t>(m)</t>
    </r>
    <phoneticPr fontId="2" type="noConversion"/>
  </si>
  <si>
    <r>
      <rPr>
        <sz val="12"/>
        <color rgb="FF9C5700"/>
        <rFont val="微軟正黑體"/>
        <family val="2"/>
        <charset val="136"/>
      </rPr>
      <t>保護層</t>
    </r>
    <r>
      <rPr>
        <sz val="12"/>
        <color rgb="FF9C5700"/>
        <rFont val="Calibri"/>
        <family val="2"/>
      </rPr>
      <t>(cm)</t>
    </r>
    <phoneticPr fontId="2" type="noConversion"/>
  </si>
  <si>
    <t>鋼筋量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</si>
</sst>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"/>
  </numFmts>
  <fonts count="23" x14ac:knownFonts="1"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theme="1"/>
      <name val="Calibri"/>
      <family val="2"/>
    </font>
    <font>
      <sz val="12"/>
      <color rgb="FFFF0000"/>
      <name val="Calibri"/>
      <family val="2"/>
    </font>
    <font>
      <u/>
      <sz val="12"/>
      <color theme="10"/>
      <name val="新細明體"/>
      <family val="2"/>
      <charset val="136"/>
      <scheme val="minor"/>
    </font>
    <font>
      <u/>
      <sz val="12"/>
      <color theme="10"/>
      <name val="Calibri"/>
      <family val="2"/>
    </font>
    <font>
      <sz val="12"/>
      <color theme="1"/>
      <name val="Times New Roman"/>
      <family val="2"/>
      <charset val="136"/>
    </font>
    <font>
      <sz val="12"/>
      <color rgb="FF9C5700"/>
      <name val="新細明體"/>
      <family val="2"/>
      <charset val="136"/>
      <scheme val="minor"/>
    </font>
    <font>
      <sz val="12"/>
      <color theme="1"/>
      <name val="微軟正黑體"/>
      <family val="2"/>
      <charset val="136"/>
    </font>
    <font>
      <sz val="12"/>
      <color rgb="FF9C5700"/>
      <name val="Calibri"/>
      <family val="2"/>
    </font>
    <font>
      <sz val="12"/>
      <color rgb="FF9C5700"/>
      <name val="微軟正黑體"/>
      <family val="2"/>
      <charset val="136"/>
    </font>
    <font>
      <sz val="12"/>
      <color rgb="FF006100"/>
      <name val="新細明體"/>
      <family val="2"/>
      <charset val="136"/>
      <scheme val="minor"/>
    </font>
    <font>
      <sz val="12"/>
      <color rgb="FF9C0006"/>
      <name val="新細明體"/>
      <family val="2"/>
      <charset val="136"/>
      <scheme val="minor"/>
    </font>
    <font>
      <sz val="12"/>
      <color rgb="FF006100"/>
      <name val="Calibri"/>
      <family val="2"/>
    </font>
    <font>
      <sz val="12"/>
      <color rgb="FF006100"/>
      <name val="微軟正黑體"/>
      <family val="2"/>
      <charset val="136"/>
    </font>
    <font>
      <sz val="12"/>
      <color rgb="FF9C0006"/>
      <name val="Calibri"/>
      <family val="2"/>
    </font>
    <font>
      <sz val="12"/>
      <color rgb="FF9C0006"/>
      <name val="微軟正黑體"/>
      <family val="2"/>
      <charset val="136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9"/>
      <color indexed="81"/>
      <name val="細明體"/>
      <family val="3"/>
      <charset val="136"/>
    </font>
    <font>
      <sz val="12"/>
      <color rgb="FF9C5700"/>
      <name val="新細明體"/>
      <family val="1"/>
      <charset val="136"/>
    </font>
    <font>
      <vertAlign val="superscript"/>
      <sz val="12"/>
      <color rgb="FF9C57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theme="0"/>
        <bgColor indexed="64"/>
      </patternFill>
    </fill>
  </fills>
  <borders count="13">
    <border>
      <left/>
      <right/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7">
    <xf numFmtId="0" fontId="0" fillId="0" borderId="0"/>
    <xf numFmtId="0" fontId="1" fillId="0" borderId="0">
      <alignment vertical="center"/>
    </xf>
    <xf numFmtId="0" fontId="5" fillId="0" borderId="0" applyNumberFormat="0" applyFill="0" applyBorder="0" applyAlignment="0" applyProtection="0">
      <alignment vertical="center"/>
    </xf>
    <xf numFmtId="0" fontId="7" fillId="0" borderId="0">
      <alignment vertical="center"/>
    </xf>
    <xf numFmtId="0" fontId="8" fillId="3" borderId="0" applyNumberFormat="0" applyBorder="0" applyAlignment="0" applyProtection="0">
      <alignment vertical="center"/>
    </xf>
    <xf numFmtId="0" fontId="12" fillId="4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</cellStyleXfs>
  <cellXfs count="50">
    <xf numFmtId="0" fontId="0" fillId="0" borderId="0" xfId="0"/>
    <xf numFmtId="0" fontId="3" fillId="2" borderId="0" xfId="1" applyFont="1" applyFill="1" applyAlignment="1">
      <alignment horizontal="left" vertical="center"/>
    </xf>
    <xf numFmtId="0" fontId="3" fillId="2" borderId="0" xfId="3" applyFont="1" applyFill="1" applyAlignment="1">
      <alignment horizontal="center" vertical="center"/>
    </xf>
    <xf numFmtId="0" fontId="3" fillId="2" borderId="0" xfId="3" applyFont="1" applyFill="1" applyAlignment="1">
      <alignment horizontal="left" vertical="center"/>
    </xf>
    <xf numFmtId="176" fontId="4" fillId="2" borderId="0" xfId="1" applyNumberFormat="1" applyFont="1" applyFill="1" applyAlignment="1">
      <alignment horizontal="left" vertical="center"/>
    </xf>
    <xf numFmtId="0" fontId="3" fillId="2" borderId="1" xfId="1" applyFont="1" applyFill="1" applyBorder="1" applyAlignment="1">
      <alignment horizontal="left" vertical="center"/>
    </xf>
    <xf numFmtId="0" fontId="3" fillId="0" borderId="0" xfId="0" applyFont="1" applyAlignment="1">
      <alignment horizontal="center" vertical="center"/>
    </xf>
    <xf numFmtId="0" fontId="3" fillId="6" borderId="0" xfId="1" applyFont="1" applyFill="1" applyAlignment="1">
      <alignment horizontal="center" vertical="center"/>
    </xf>
    <xf numFmtId="14" fontId="3" fillId="6" borderId="0" xfId="1" applyNumberFormat="1" applyFont="1" applyFill="1" applyAlignment="1">
      <alignment horizontal="center" vertical="center"/>
    </xf>
    <xf numFmtId="0" fontId="10" fillId="3" borderId="2" xfId="4" applyFont="1" applyBorder="1" applyAlignment="1">
      <alignment horizontal="center" vertical="center"/>
    </xf>
    <xf numFmtId="0" fontId="10" fillId="3" borderId="1" xfId="4" applyFont="1" applyBorder="1" applyAlignment="1">
      <alignment horizontal="center" vertical="center"/>
    </xf>
    <xf numFmtId="0" fontId="3" fillId="0" borderId="6" xfId="1" applyFont="1" applyFill="1" applyBorder="1" applyAlignment="1">
      <alignment horizontal="center" vertical="center"/>
    </xf>
    <xf numFmtId="0" fontId="3" fillId="0" borderId="0" xfId="1" applyFont="1" applyFill="1" applyBorder="1" applyAlignment="1">
      <alignment horizontal="center" vertical="center"/>
    </xf>
    <xf numFmtId="0" fontId="3" fillId="0" borderId="7" xfId="1" applyFont="1" applyFill="1" applyBorder="1" applyAlignment="1">
      <alignment horizontal="center" vertical="center"/>
    </xf>
    <xf numFmtId="0" fontId="3" fillId="6" borderId="6" xfId="1" applyFont="1" applyFill="1" applyBorder="1" applyAlignment="1">
      <alignment horizontal="center" vertical="center"/>
    </xf>
    <xf numFmtId="0" fontId="3" fillId="6" borderId="7" xfId="1" applyFont="1" applyFill="1" applyBorder="1" applyAlignment="1">
      <alignment horizontal="left" vertical="center"/>
    </xf>
    <xf numFmtId="0" fontId="3" fillId="6" borderId="8" xfId="1" applyFont="1" applyFill="1" applyBorder="1" applyAlignment="1">
      <alignment horizontal="center" vertical="center"/>
    </xf>
    <xf numFmtId="0" fontId="3" fillId="6" borderId="0" xfId="1" applyFont="1" applyFill="1" applyBorder="1" applyAlignment="1">
      <alignment horizontal="center" vertical="center"/>
    </xf>
    <xf numFmtId="0" fontId="3" fillId="6" borderId="9" xfId="1" applyFont="1" applyFill="1" applyBorder="1" applyAlignment="1">
      <alignment horizontal="center" vertical="center"/>
    </xf>
    <xf numFmtId="0" fontId="3" fillId="6" borderId="10" xfId="1" applyFont="1" applyFill="1" applyBorder="1" applyAlignment="1">
      <alignment horizontal="left" vertical="center"/>
    </xf>
    <xf numFmtId="0" fontId="3" fillId="6" borderId="0" xfId="1" applyFont="1" applyFill="1" applyBorder="1" applyAlignment="1">
      <alignment horizontal="left" vertical="center"/>
    </xf>
    <xf numFmtId="0" fontId="4" fillId="2" borderId="0" xfId="1" applyFont="1" applyFill="1" applyAlignment="1">
      <alignment horizontal="left" vertical="center"/>
    </xf>
    <xf numFmtId="0" fontId="3" fillId="0" borderId="0" xfId="1" applyFont="1" applyBorder="1" applyAlignment="1">
      <alignment horizontal="center" vertical="center"/>
    </xf>
    <xf numFmtId="0" fontId="3" fillId="0" borderId="0" xfId="1" applyFont="1" applyAlignment="1">
      <alignment horizontal="center" vertical="center"/>
    </xf>
    <xf numFmtId="0" fontId="14" fillId="4" borderId="0" xfId="5" applyFont="1" applyAlignment="1">
      <alignment horizontal="center" vertical="center"/>
    </xf>
    <xf numFmtId="0" fontId="3" fillId="2" borderId="0" xfId="1" applyFont="1" applyFill="1" applyAlignment="1">
      <alignment horizontal="center" vertical="center"/>
    </xf>
    <xf numFmtId="0" fontId="6" fillId="2" borderId="0" xfId="2" applyFont="1" applyFill="1" applyAlignment="1">
      <alignment horizontal="center" vertical="center"/>
    </xf>
    <xf numFmtId="0" fontId="3" fillId="2" borderId="1" xfId="1" applyFont="1" applyFill="1" applyBorder="1" applyAlignment="1">
      <alignment horizontal="center" vertical="center"/>
    </xf>
    <xf numFmtId="14" fontId="3" fillId="2" borderId="0" xfId="1" applyNumberFormat="1" applyFont="1" applyFill="1" applyAlignment="1">
      <alignment horizontal="center" vertical="center"/>
    </xf>
    <xf numFmtId="0" fontId="3" fillId="0" borderId="0" xfId="0" applyFont="1" applyAlignment="1">
      <alignment horizontal="center"/>
    </xf>
    <xf numFmtId="0" fontId="10" fillId="3" borderId="0" xfId="4" applyFont="1" applyAlignment="1">
      <alignment horizontal="center"/>
    </xf>
    <xf numFmtId="0" fontId="10" fillId="3" borderId="3" xfId="4" applyFont="1" applyBorder="1" applyAlignment="1">
      <alignment horizontal="center" vertical="center"/>
    </xf>
    <xf numFmtId="0" fontId="3" fillId="0" borderId="0" xfId="0" applyFont="1" applyFill="1" applyBorder="1" applyAlignment="1">
      <alignment horizontal="center" vertical="center"/>
    </xf>
    <xf numFmtId="0" fontId="3" fillId="6" borderId="9" xfId="1" applyFont="1" applyFill="1" applyBorder="1" applyAlignment="1">
      <alignment horizontal="right" vertical="center"/>
    </xf>
    <xf numFmtId="0" fontId="3" fillId="2" borderId="11" xfId="1" applyFont="1" applyFill="1" applyBorder="1" applyAlignment="1">
      <alignment horizontal="center" vertical="center"/>
    </xf>
    <xf numFmtId="0" fontId="3" fillId="2" borderId="11" xfId="1" applyFont="1" applyFill="1" applyBorder="1" applyAlignment="1">
      <alignment horizontal="left" vertical="center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11" xfId="1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14" fillId="4" borderId="4" xfId="5" applyFont="1" applyBorder="1" applyAlignment="1">
      <alignment horizontal="center" vertical="center"/>
    </xf>
    <xf numFmtId="0" fontId="14" fillId="4" borderId="5" xfId="5" applyFont="1" applyBorder="1" applyAlignment="1">
      <alignment horizontal="center" vertical="center"/>
    </xf>
    <xf numFmtId="0" fontId="16" fillId="5" borderId="4" xfId="6" applyFont="1" applyBorder="1" applyAlignment="1">
      <alignment horizontal="center" vertical="center"/>
    </xf>
    <xf numFmtId="0" fontId="16" fillId="5" borderId="5" xfId="6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9" fillId="0" borderId="0" xfId="0" applyFont="1" applyBorder="1" applyAlignment="1">
      <alignment horizontal="center" vertical="center"/>
    </xf>
  </cellXfs>
  <cellStyles count="7">
    <cellStyle name="一般" xfId="0" builtinId="0"/>
    <cellStyle name="一般 2" xfId="1" xr:uid="{00000000-0005-0000-0000-000001000000}"/>
    <cellStyle name="一般 2 2" xfId="3" xr:uid="{00000000-0005-0000-0000-000002000000}"/>
    <cellStyle name="中等" xfId="4" builtinId="28"/>
    <cellStyle name="好" xfId="5" builtinId="26"/>
    <cellStyle name="超連結" xfId="2" builtinId="8"/>
    <cellStyle name="壞" xfId="6" builtinId="27"/>
  </cellStyles>
  <dxfs count="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Medium7"/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8</xdr:row>
      <xdr:rowOff>177053</xdr:rowOff>
    </xdr:from>
    <xdr:to>
      <xdr:col>14</xdr:col>
      <xdr:colOff>1265817</xdr:colOff>
      <xdr:row>14</xdr:row>
      <xdr:rowOff>0</xdr:rowOff>
    </xdr:to>
    <xdr:sp macro="[0]!Main" textlink="">
      <xdr:nvSpPr>
        <xdr:cNvPr id="2" name="矩形 1">
          <a:extLst>
            <a:ext uri="{FF2B5EF4-FFF2-40B4-BE49-F238E27FC236}">
              <a16:creationId xmlns:a16="http://schemas.microsoft.com/office/drawing/2014/main" id="{344D3A26-F1B9-49C0-9B5F-B97F06E3D53F}"/>
            </a:ext>
          </a:extLst>
        </xdr:cNvPr>
        <xdr:cNvSpPr/>
      </xdr:nvSpPr>
      <xdr:spPr>
        <a:xfrm>
          <a:off x="6772275" y="1834403"/>
          <a:ext cx="1961142" cy="1023097"/>
        </a:xfrm>
        <a:prstGeom prst="rect">
          <a:avLst/>
        </a:prstGeom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2000">
              <a:latin typeface="微軟正黑體" panose="020B0604030504040204" pitchFamily="34" charset="-120"/>
              <a:ea typeface="微軟正黑體" panose="020B0604030504040204" pitchFamily="34" charset="-120"/>
            </a:rPr>
            <a:t>最佳化</a:t>
          </a:r>
          <a:endParaRPr lang="en-US" altLang="zh-TW" sz="2000">
            <a:latin typeface="微軟正黑體" panose="020B0604030504040204" pitchFamily="34" charset="-120"/>
            <a:ea typeface="微軟正黑體" panose="020B0604030504040204" pitchFamily="34" charset="-120"/>
          </a:endParaRPr>
        </a:p>
        <a:p>
          <a:pPr algn="ctr"/>
          <a:r>
            <a:rPr lang="zh-TW" altLang="en-US" sz="2000">
              <a:latin typeface="微軟正黑體" panose="020B0604030504040204" pitchFamily="34" charset="-120"/>
              <a:ea typeface="微軟正黑體" panose="020B0604030504040204" pitchFamily="34" charset="-120"/>
            </a:rPr>
            <a:t>斷筋點</a:t>
          </a:r>
          <a:endParaRPr lang="en-US" altLang="zh-TW" sz="2000">
            <a:latin typeface="微軟正黑體" panose="020B0604030504040204" pitchFamily="34" charset="-120"/>
            <a:ea typeface="微軟正黑體" panose="020B0604030504040204" pitchFamily="34" charset="-12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8</xdr:row>
      <xdr:rowOff>177053</xdr:rowOff>
    </xdr:from>
    <xdr:to>
      <xdr:col>14</xdr:col>
      <xdr:colOff>1265817</xdr:colOff>
      <xdr:row>14</xdr:row>
      <xdr:rowOff>0</xdr:rowOff>
    </xdr:to>
    <xdr:sp macro="[0]!Main" textlink="">
      <xdr:nvSpPr>
        <xdr:cNvPr id="2" name="矩形 1">
          <a:extLst>
            <a:ext uri="{FF2B5EF4-FFF2-40B4-BE49-F238E27FC236}">
              <a16:creationId xmlns:a16="http://schemas.microsoft.com/office/drawing/2014/main" id="{E1F0D24C-FF57-47C1-A785-768AB2427ED4}"/>
            </a:ext>
          </a:extLst>
        </xdr:cNvPr>
        <xdr:cNvSpPr/>
      </xdr:nvSpPr>
      <xdr:spPr>
        <a:xfrm>
          <a:off x="10220325" y="1815353"/>
          <a:ext cx="1961142" cy="1023097"/>
        </a:xfrm>
        <a:prstGeom prst="rect">
          <a:avLst/>
        </a:prstGeom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2000">
              <a:latin typeface="微軟正黑體" panose="020B0604030504040204" pitchFamily="34" charset="-120"/>
              <a:ea typeface="微軟正黑體" panose="020B0604030504040204" pitchFamily="34" charset="-120"/>
            </a:rPr>
            <a:t>最佳化</a:t>
          </a:r>
          <a:endParaRPr lang="en-US" altLang="zh-TW" sz="2000">
            <a:latin typeface="微軟正黑體" panose="020B0604030504040204" pitchFamily="34" charset="-120"/>
            <a:ea typeface="微軟正黑體" panose="020B0604030504040204" pitchFamily="34" charset="-120"/>
          </a:endParaRPr>
        </a:p>
        <a:p>
          <a:pPr algn="ctr"/>
          <a:r>
            <a:rPr lang="zh-TW" altLang="en-US" sz="2000">
              <a:latin typeface="微軟正黑體" panose="020B0604030504040204" pitchFamily="34" charset="-120"/>
              <a:ea typeface="微軟正黑體" panose="020B0604030504040204" pitchFamily="34" charset="-120"/>
            </a:rPr>
            <a:t>斷筋點</a:t>
          </a:r>
          <a:endParaRPr lang="en-US" altLang="zh-TW" sz="2000">
            <a:latin typeface="微軟正黑體" panose="020B0604030504040204" pitchFamily="34" charset="-120"/>
            <a:ea typeface="微軟正黑體" panose="020B0604030504040204" pitchFamily="34" charset="-120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490286-9AA1-45A7-B92B-F9B930F5B9AD}">
  <sheetPr codeName="工作表4">
    <tabColor theme="5" tint="0.39997558519241921"/>
  </sheetPr>
  <dimension ref="A1:Q23"/>
  <sheetViews>
    <sheetView zoomScale="85" zoomScaleNormal="85" workbookViewId="0">
      <selection activeCell="D2" sqref="D2:L23"/>
    </sheetView>
  </sheetViews>
  <sheetFormatPr defaultColWidth="9" defaultRowHeight="15.75" x14ac:dyDescent="0.25"/>
  <cols>
    <col min="1" max="1" width="10.125" style="7" bestFit="1" customWidth="1"/>
    <col min="2" max="2" width="12.875" style="7" bestFit="1" customWidth="1"/>
    <col min="3" max="3" width="11.5" style="7" customWidth="1"/>
    <col min="4" max="4" width="16.75" style="11" customWidth="1"/>
    <col min="5" max="7" width="16.75" style="12" customWidth="1"/>
    <col min="8" max="11" width="16.75" style="32" customWidth="1"/>
    <col min="12" max="12" width="16.75" style="13" customWidth="1"/>
    <col min="13" max="13" width="9" style="7"/>
    <col min="14" max="14" width="9.125" style="7" bestFit="1" customWidth="1"/>
    <col min="15" max="15" width="44.125" style="7" bestFit="1" customWidth="1"/>
    <col min="16" max="16384" width="9" style="7"/>
  </cols>
  <sheetData>
    <row r="1" spans="1:17" ht="18.75" thickBot="1" x14ac:dyDescent="0.3">
      <c r="A1" s="7" t="s">
        <v>3</v>
      </c>
      <c r="B1" s="8">
        <f ca="1">NOW()</f>
        <v>43319.576662615742</v>
      </c>
      <c r="C1" s="8"/>
      <c r="D1" s="9" t="s">
        <v>12</v>
      </c>
      <c r="E1" s="10" t="s">
        <v>204</v>
      </c>
      <c r="F1" s="10" t="s">
        <v>205</v>
      </c>
      <c r="G1" s="10" t="s">
        <v>206</v>
      </c>
      <c r="H1" s="10" t="s">
        <v>207</v>
      </c>
      <c r="I1" s="10" t="s">
        <v>209</v>
      </c>
      <c r="J1" s="10" t="s">
        <v>208</v>
      </c>
      <c r="K1" s="10" t="s">
        <v>210</v>
      </c>
      <c r="L1" s="31" t="s">
        <v>211</v>
      </c>
      <c r="N1" s="42" t="s">
        <v>13</v>
      </c>
      <c r="O1" s="43"/>
    </row>
    <row r="2" spans="1:17" ht="16.5" thickTop="1" x14ac:dyDescent="0.25">
      <c r="A2" s="7" t="s">
        <v>4</v>
      </c>
      <c r="D2" s="11" t="s">
        <v>76</v>
      </c>
      <c r="E2" s="12">
        <v>4200</v>
      </c>
      <c r="F2" s="12">
        <v>4200</v>
      </c>
      <c r="G2" s="12">
        <v>245</v>
      </c>
      <c r="H2" s="32">
        <v>0.17399999999999999</v>
      </c>
      <c r="I2" s="32">
        <v>0.3</v>
      </c>
      <c r="J2" s="32">
        <v>6</v>
      </c>
      <c r="K2" s="32">
        <v>0.15</v>
      </c>
      <c r="L2" s="13">
        <v>4</v>
      </c>
      <c r="N2" s="14">
        <v>1</v>
      </c>
      <c r="O2" s="15" t="s">
        <v>14</v>
      </c>
    </row>
    <row r="3" spans="1:17" x14ac:dyDescent="0.25">
      <c r="A3" s="7" t="s">
        <v>5</v>
      </c>
      <c r="D3" s="11" t="s">
        <v>89</v>
      </c>
      <c r="E3" s="12">
        <v>4200</v>
      </c>
      <c r="F3" s="12">
        <v>4200</v>
      </c>
      <c r="G3" s="12">
        <v>245</v>
      </c>
      <c r="H3" s="32">
        <v>0.29599999999999999</v>
      </c>
      <c r="I3" s="32">
        <v>1</v>
      </c>
      <c r="J3" s="32">
        <v>6</v>
      </c>
      <c r="K3" s="32">
        <v>0.15</v>
      </c>
      <c r="L3" s="13">
        <v>4</v>
      </c>
      <c r="N3" s="14">
        <v>2</v>
      </c>
      <c r="O3" s="15" t="s">
        <v>184</v>
      </c>
    </row>
    <row r="4" spans="1:17" x14ac:dyDescent="0.25">
      <c r="D4" s="11" t="s">
        <v>94</v>
      </c>
      <c r="E4" s="12">
        <v>4200</v>
      </c>
      <c r="F4" s="12">
        <v>4200</v>
      </c>
      <c r="G4" s="12">
        <v>245</v>
      </c>
      <c r="H4" s="32">
        <v>0.68400000000000005</v>
      </c>
      <c r="I4" s="32">
        <v>0.5</v>
      </c>
      <c r="J4" s="32">
        <v>6</v>
      </c>
      <c r="K4" s="32">
        <v>0.15</v>
      </c>
      <c r="L4" s="13">
        <v>4</v>
      </c>
      <c r="M4" s="16"/>
      <c r="N4" s="18">
        <v>3</v>
      </c>
      <c r="O4" s="19" t="s">
        <v>185</v>
      </c>
    </row>
    <row r="5" spans="1:17" x14ac:dyDescent="0.25">
      <c r="D5" s="11" t="s">
        <v>96</v>
      </c>
      <c r="E5" s="12">
        <v>4200</v>
      </c>
      <c r="F5" s="12">
        <v>4200</v>
      </c>
      <c r="G5" s="12">
        <v>350</v>
      </c>
      <c r="H5" s="32">
        <v>0.5</v>
      </c>
      <c r="I5" s="32">
        <v>0.3</v>
      </c>
      <c r="J5" s="32">
        <v>6</v>
      </c>
      <c r="K5" s="32">
        <v>0.18</v>
      </c>
      <c r="L5" s="13">
        <v>4</v>
      </c>
      <c r="N5" s="17"/>
      <c r="O5" s="20"/>
      <c r="P5" s="17"/>
      <c r="Q5" s="17"/>
    </row>
    <row r="6" spans="1:17" ht="16.5" thickBot="1" x14ac:dyDescent="0.3">
      <c r="D6" s="11" t="s">
        <v>119</v>
      </c>
      <c r="E6" s="12">
        <v>4200</v>
      </c>
      <c r="F6" s="12">
        <v>4200</v>
      </c>
      <c r="G6" s="12">
        <v>280</v>
      </c>
      <c r="H6" s="32">
        <v>0.35199999999999998</v>
      </c>
      <c r="I6" s="32">
        <v>0.2</v>
      </c>
      <c r="J6" s="32">
        <v>6</v>
      </c>
      <c r="K6" s="32">
        <v>0.18</v>
      </c>
      <c r="L6" s="13">
        <v>4</v>
      </c>
      <c r="N6" s="44" t="s">
        <v>15</v>
      </c>
      <c r="O6" s="45"/>
    </row>
    <row r="7" spans="1:17" ht="16.5" thickTop="1" x14ac:dyDescent="0.25">
      <c r="D7" s="11" t="s">
        <v>122</v>
      </c>
      <c r="E7" s="12">
        <v>4200</v>
      </c>
      <c r="F7" s="12">
        <v>4200</v>
      </c>
      <c r="G7" s="12">
        <v>280</v>
      </c>
      <c r="H7" s="32">
        <v>0.32</v>
      </c>
      <c r="I7" s="32">
        <v>0.2</v>
      </c>
      <c r="J7" s="32">
        <v>6</v>
      </c>
      <c r="K7" s="32">
        <v>0.18</v>
      </c>
      <c r="L7" s="13">
        <v>4</v>
      </c>
      <c r="N7" s="14">
        <v>1</v>
      </c>
      <c r="O7" s="15" t="s">
        <v>16</v>
      </c>
    </row>
    <row r="8" spans="1:17" x14ac:dyDescent="0.25">
      <c r="D8" s="11" t="s">
        <v>123</v>
      </c>
      <c r="E8" s="12">
        <v>4200</v>
      </c>
      <c r="F8" s="12">
        <v>4200</v>
      </c>
      <c r="G8" s="12">
        <v>280</v>
      </c>
      <c r="H8" s="32">
        <v>0.35599999999999998</v>
      </c>
      <c r="I8" s="32">
        <v>0.2</v>
      </c>
      <c r="J8" s="32">
        <v>6</v>
      </c>
      <c r="K8" s="32">
        <v>0.18</v>
      </c>
      <c r="L8" s="13">
        <v>4</v>
      </c>
      <c r="N8" s="33"/>
      <c r="O8" s="19"/>
    </row>
    <row r="9" spans="1:17" x14ac:dyDescent="0.25">
      <c r="D9" s="11" t="s">
        <v>58</v>
      </c>
      <c r="E9" s="12">
        <v>4200</v>
      </c>
      <c r="F9" s="12">
        <v>4200</v>
      </c>
      <c r="G9" s="12">
        <v>280</v>
      </c>
      <c r="H9" s="32">
        <v>0.35599999999999998</v>
      </c>
      <c r="I9" s="32">
        <v>0.2</v>
      </c>
      <c r="J9" s="32">
        <v>6</v>
      </c>
      <c r="K9" s="32">
        <v>0.18</v>
      </c>
      <c r="L9" s="13">
        <v>4</v>
      </c>
    </row>
    <row r="10" spans="1:17" x14ac:dyDescent="0.25">
      <c r="D10" s="11" t="s">
        <v>59</v>
      </c>
      <c r="E10" s="12">
        <v>4200</v>
      </c>
      <c r="F10" s="12">
        <v>4200</v>
      </c>
      <c r="G10" s="12">
        <v>280</v>
      </c>
      <c r="H10" s="32">
        <v>0.35599999999999998</v>
      </c>
      <c r="I10" s="32">
        <v>0.2</v>
      </c>
      <c r="J10" s="32">
        <v>6</v>
      </c>
      <c r="K10" s="32">
        <v>0.18</v>
      </c>
      <c r="L10" s="13">
        <v>4</v>
      </c>
    </row>
    <row r="11" spans="1:17" x14ac:dyDescent="0.25">
      <c r="D11" s="11" t="s">
        <v>60</v>
      </c>
      <c r="E11" s="12">
        <v>4200</v>
      </c>
      <c r="F11" s="12">
        <v>4200</v>
      </c>
      <c r="G11" s="12">
        <v>280</v>
      </c>
      <c r="H11" s="32">
        <v>0.35599999999999998</v>
      </c>
      <c r="I11" s="32">
        <v>0.2</v>
      </c>
      <c r="J11" s="32">
        <v>6</v>
      </c>
      <c r="K11" s="32">
        <v>0.18</v>
      </c>
      <c r="L11" s="13">
        <v>4</v>
      </c>
    </row>
    <row r="12" spans="1:17" x14ac:dyDescent="0.25">
      <c r="D12" s="11" t="s">
        <v>61</v>
      </c>
      <c r="E12" s="12">
        <v>4200</v>
      </c>
      <c r="F12" s="12">
        <v>4200</v>
      </c>
      <c r="G12" s="12">
        <v>280</v>
      </c>
      <c r="H12" s="32">
        <v>0.33700000000000002</v>
      </c>
      <c r="I12" s="32">
        <v>0.2</v>
      </c>
      <c r="J12" s="32">
        <v>6</v>
      </c>
      <c r="K12" s="32">
        <v>0.18</v>
      </c>
      <c r="L12" s="13">
        <v>4</v>
      </c>
    </row>
    <row r="13" spans="1:17" x14ac:dyDescent="0.25">
      <c r="D13" s="11" t="s">
        <v>62</v>
      </c>
      <c r="E13" s="12">
        <v>4200</v>
      </c>
      <c r="F13" s="12">
        <v>4200</v>
      </c>
      <c r="G13" s="12">
        <v>280</v>
      </c>
      <c r="H13" s="32">
        <v>0.33700000000000002</v>
      </c>
      <c r="I13" s="32">
        <v>0.2</v>
      </c>
      <c r="J13" s="32">
        <v>6</v>
      </c>
      <c r="K13" s="32">
        <v>0.18</v>
      </c>
      <c r="L13" s="13">
        <v>4</v>
      </c>
    </row>
    <row r="14" spans="1:17" x14ac:dyDescent="0.25">
      <c r="D14" s="11" t="s">
        <v>63</v>
      </c>
      <c r="E14" s="12">
        <v>4200</v>
      </c>
      <c r="F14" s="12">
        <v>4200</v>
      </c>
      <c r="G14" s="12">
        <v>280</v>
      </c>
      <c r="H14" s="32">
        <v>0.33700000000000002</v>
      </c>
      <c r="I14" s="32">
        <v>0.2</v>
      </c>
      <c r="J14" s="32">
        <v>6</v>
      </c>
      <c r="K14" s="32">
        <v>0.18</v>
      </c>
      <c r="L14" s="13">
        <v>4</v>
      </c>
    </row>
    <row r="15" spans="1:17" x14ac:dyDescent="0.25">
      <c r="D15" s="11" t="s">
        <v>64</v>
      </c>
      <c r="E15" s="12">
        <v>4200</v>
      </c>
      <c r="F15" s="12">
        <v>4200</v>
      </c>
      <c r="G15" s="12">
        <v>350</v>
      </c>
      <c r="H15" s="32">
        <v>0.33700000000000002</v>
      </c>
      <c r="I15" s="32">
        <v>0.2</v>
      </c>
      <c r="J15" s="32">
        <v>6</v>
      </c>
      <c r="K15" s="32">
        <v>0.18</v>
      </c>
      <c r="L15" s="13">
        <v>4</v>
      </c>
    </row>
    <row r="16" spans="1:17" x14ac:dyDescent="0.25">
      <c r="D16" s="11" t="s">
        <v>9</v>
      </c>
      <c r="E16" s="12">
        <v>4200</v>
      </c>
      <c r="F16" s="12">
        <v>4200</v>
      </c>
      <c r="G16" s="12">
        <v>350</v>
      </c>
      <c r="H16" s="32">
        <v>0.33700000000000002</v>
      </c>
      <c r="I16" s="32">
        <v>0.2</v>
      </c>
      <c r="J16" s="32">
        <v>6</v>
      </c>
      <c r="K16" s="32">
        <v>0.18</v>
      </c>
      <c r="L16" s="13">
        <v>4</v>
      </c>
    </row>
    <row r="17" spans="4:12" x14ac:dyDescent="0.25">
      <c r="D17" s="11" t="s">
        <v>10</v>
      </c>
      <c r="E17" s="12">
        <v>4200</v>
      </c>
      <c r="F17" s="12">
        <v>4200</v>
      </c>
      <c r="G17" s="12">
        <v>350</v>
      </c>
      <c r="H17" s="32">
        <v>0.33400000000000002</v>
      </c>
      <c r="I17" s="32">
        <v>0.2</v>
      </c>
      <c r="J17" s="32">
        <v>6</v>
      </c>
      <c r="K17" s="32">
        <v>0.18</v>
      </c>
      <c r="L17" s="13">
        <v>4</v>
      </c>
    </row>
    <row r="18" spans="4:12" x14ac:dyDescent="0.25">
      <c r="D18" s="11" t="s">
        <v>11</v>
      </c>
      <c r="E18" s="12">
        <v>4200</v>
      </c>
      <c r="F18" s="12">
        <v>4200</v>
      </c>
      <c r="G18" s="12">
        <v>350</v>
      </c>
      <c r="H18" s="32">
        <v>0.25600000000000001</v>
      </c>
      <c r="I18" s="32">
        <v>0.2</v>
      </c>
      <c r="J18" s="32">
        <v>6</v>
      </c>
      <c r="K18" s="32">
        <v>0.18</v>
      </c>
      <c r="L18" s="13">
        <v>4</v>
      </c>
    </row>
    <row r="19" spans="4:12" x14ac:dyDescent="0.25">
      <c r="D19" s="11" t="s">
        <v>137</v>
      </c>
      <c r="E19" s="12">
        <v>4200</v>
      </c>
      <c r="F19" s="12">
        <v>4200</v>
      </c>
      <c r="G19" s="12">
        <v>350</v>
      </c>
      <c r="H19" s="32">
        <v>0.3</v>
      </c>
      <c r="I19" s="32">
        <v>0.3</v>
      </c>
      <c r="J19" s="32">
        <v>6</v>
      </c>
      <c r="K19" s="32">
        <v>0.18</v>
      </c>
      <c r="L19" s="13">
        <v>4</v>
      </c>
    </row>
    <row r="20" spans="4:12" x14ac:dyDescent="0.25">
      <c r="D20" s="11" t="s">
        <v>17</v>
      </c>
      <c r="E20" s="12">
        <v>4200</v>
      </c>
      <c r="F20" s="12">
        <v>4200</v>
      </c>
      <c r="G20" s="12">
        <v>350</v>
      </c>
      <c r="H20" s="32">
        <v>0.3</v>
      </c>
      <c r="I20" s="32">
        <v>0.3</v>
      </c>
      <c r="J20" s="32">
        <v>6</v>
      </c>
      <c r="K20" s="32">
        <v>0.24</v>
      </c>
      <c r="L20" s="13">
        <v>4</v>
      </c>
    </row>
    <row r="21" spans="4:12" x14ac:dyDescent="0.25">
      <c r="D21" s="11" t="s">
        <v>18</v>
      </c>
      <c r="E21" s="12">
        <v>4200</v>
      </c>
      <c r="F21" s="12">
        <v>4200</v>
      </c>
      <c r="G21" s="12">
        <v>280</v>
      </c>
      <c r="H21" s="32">
        <v>0.2</v>
      </c>
      <c r="I21" s="32">
        <v>1</v>
      </c>
      <c r="J21" s="32">
        <v>6</v>
      </c>
      <c r="K21" s="32">
        <v>0.35</v>
      </c>
      <c r="L21" s="13">
        <v>4</v>
      </c>
    </row>
    <row r="22" spans="4:12" x14ac:dyDescent="0.25">
      <c r="D22" s="11" t="s">
        <v>19</v>
      </c>
      <c r="E22" s="12">
        <v>4200</v>
      </c>
      <c r="F22" s="12">
        <v>4200</v>
      </c>
      <c r="G22" s="12">
        <v>280</v>
      </c>
      <c r="H22" s="32">
        <v>0.2</v>
      </c>
      <c r="I22" s="32">
        <v>1</v>
      </c>
      <c r="J22" s="32">
        <v>6</v>
      </c>
      <c r="K22" s="32">
        <v>0.18</v>
      </c>
      <c r="L22" s="13">
        <v>4</v>
      </c>
    </row>
    <row r="23" spans="4:12" x14ac:dyDescent="0.25">
      <c r="D23" s="11" t="s">
        <v>167</v>
      </c>
      <c r="E23" s="12">
        <v>4200</v>
      </c>
      <c r="F23" s="12">
        <v>4200</v>
      </c>
      <c r="G23" s="12">
        <v>280</v>
      </c>
      <c r="H23" s="32">
        <v>0.63</v>
      </c>
      <c r="I23" s="32">
        <v>1.5</v>
      </c>
      <c r="J23" s="32">
        <v>6</v>
      </c>
      <c r="K23" s="32">
        <v>1</v>
      </c>
      <c r="L23" s="13">
        <v>4</v>
      </c>
    </row>
  </sheetData>
  <mergeCells count="2">
    <mergeCell ref="N1:O1"/>
    <mergeCell ref="N6:O6"/>
  </mergeCells>
  <phoneticPr fontId="2" type="noConversion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8">
    <tabColor theme="5" tint="0.39997558519241921"/>
  </sheetPr>
  <dimension ref="A1:O1262"/>
  <sheetViews>
    <sheetView workbookViewId="0">
      <selection activeCell="A11" sqref="A11:N14"/>
    </sheetView>
  </sheetViews>
  <sheetFormatPr defaultColWidth="9" defaultRowHeight="15.75" x14ac:dyDescent="0.25"/>
  <cols>
    <col min="1" max="4" width="9" style="22" customWidth="1"/>
    <col min="5" max="5" width="13.5" style="22" bestFit="1" customWidth="1"/>
    <col min="6" max="15" width="9" style="22" customWidth="1"/>
    <col min="16" max="33" width="9" style="23"/>
    <col min="34" max="34" width="13.5" style="23" bestFit="1" customWidth="1"/>
    <col min="35" max="16384" width="9" style="23"/>
  </cols>
  <sheetData>
    <row r="1" spans="1:15" x14ac:dyDescent="0.25">
      <c r="A1" s="22" t="s">
        <v>153</v>
      </c>
      <c r="B1" s="22" t="s">
        <v>154</v>
      </c>
      <c r="C1" s="22" t="s">
        <v>155</v>
      </c>
      <c r="D1" s="22" t="s">
        <v>156</v>
      </c>
      <c r="E1" s="22" t="s">
        <v>157</v>
      </c>
      <c r="F1" s="22" t="s">
        <v>157</v>
      </c>
      <c r="I1" s="22" t="s">
        <v>158</v>
      </c>
      <c r="J1" s="22" t="s">
        <v>159</v>
      </c>
      <c r="M1" s="22" t="s">
        <v>160</v>
      </c>
      <c r="N1" s="22" t="s">
        <v>161</v>
      </c>
      <c r="O1" s="22" t="s">
        <v>6</v>
      </c>
    </row>
    <row r="2" spans="1:15" x14ac:dyDescent="0.25">
      <c r="F2" s="22" t="s">
        <v>162</v>
      </c>
      <c r="G2" s="22" t="s">
        <v>163</v>
      </c>
      <c r="H2" s="22" t="s">
        <v>164</v>
      </c>
      <c r="J2" s="22" t="s">
        <v>162</v>
      </c>
      <c r="K2" s="22" t="s">
        <v>163</v>
      </c>
      <c r="L2" s="22" t="s">
        <v>164</v>
      </c>
    </row>
    <row r="3" spans="1:15" ht="15.95" customHeight="1" x14ac:dyDescent="0.25">
      <c r="A3" s="22" t="s">
        <v>76</v>
      </c>
      <c r="B3" s="22" t="s">
        <v>77</v>
      </c>
      <c r="C3" s="22">
        <v>50</v>
      </c>
      <c r="D3" s="22">
        <v>70</v>
      </c>
      <c r="E3" s="22" t="s">
        <v>165</v>
      </c>
      <c r="F3" s="22" t="s">
        <v>78</v>
      </c>
      <c r="G3" s="22" t="s">
        <v>78</v>
      </c>
      <c r="H3" s="22" t="s">
        <v>78</v>
      </c>
      <c r="I3" s="22" t="s">
        <v>7</v>
      </c>
      <c r="J3" s="22" t="s">
        <v>79</v>
      </c>
      <c r="K3" s="22" t="s">
        <v>79</v>
      </c>
      <c r="L3" s="22" t="s">
        <v>79</v>
      </c>
      <c r="M3" s="22">
        <v>525</v>
      </c>
      <c r="N3" s="22">
        <v>60</v>
      </c>
    </row>
    <row r="4" spans="1:15" x14ac:dyDescent="0.25">
      <c r="E4" s="22" t="s">
        <v>166</v>
      </c>
      <c r="F4" s="22">
        <v>0</v>
      </c>
      <c r="G4" s="22">
        <v>0</v>
      </c>
      <c r="H4" s="22">
        <v>0</v>
      </c>
    </row>
    <row r="5" spans="1:15" x14ac:dyDescent="0.25">
      <c r="E5" s="22" t="s">
        <v>165</v>
      </c>
      <c r="F5" s="22">
        <v>0</v>
      </c>
      <c r="G5" s="22">
        <v>0</v>
      </c>
      <c r="H5" s="22">
        <v>0</v>
      </c>
    </row>
    <row r="6" spans="1:15" x14ac:dyDescent="0.25">
      <c r="E6" s="22" t="s">
        <v>166</v>
      </c>
      <c r="F6" s="22" t="s">
        <v>78</v>
      </c>
      <c r="G6" s="22" t="s">
        <v>78</v>
      </c>
      <c r="H6" s="22" t="s">
        <v>78</v>
      </c>
    </row>
    <row r="7" spans="1:15" ht="15.6" customHeight="1" x14ac:dyDescent="0.25">
      <c r="A7" s="22" t="s">
        <v>76</v>
      </c>
      <c r="B7" s="22" t="s">
        <v>80</v>
      </c>
      <c r="C7" s="22">
        <v>50</v>
      </c>
      <c r="D7" s="22">
        <v>70</v>
      </c>
      <c r="E7" s="22" t="s">
        <v>165</v>
      </c>
      <c r="F7" s="22" t="s">
        <v>78</v>
      </c>
      <c r="G7" s="22" t="s">
        <v>78</v>
      </c>
      <c r="H7" s="22" t="s">
        <v>78</v>
      </c>
      <c r="I7" s="22" t="s">
        <v>7</v>
      </c>
      <c r="J7" s="22" t="s">
        <v>79</v>
      </c>
      <c r="K7" s="22" t="s">
        <v>79</v>
      </c>
      <c r="L7" s="22" t="s">
        <v>79</v>
      </c>
      <c r="M7" s="22">
        <v>620</v>
      </c>
      <c r="N7" s="22">
        <v>60</v>
      </c>
    </row>
    <row r="8" spans="1:15" x14ac:dyDescent="0.25">
      <c r="E8" s="22" t="s">
        <v>166</v>
      </c>
      <c r="F8" s="22">
        <v>0</v>
      </c>
      <c r="G8" s="22">
        <v>0</v>
      </c>
      <c r="H8" s="22">
        <v>0</v>
      </c>
    </row>
    <row r="9" spans="1:15" x14ac:dyDescent="0.25">
      <c r="E9" s="22" t="s">
        <v>165</v>
      </c>
      <c r="F9" s="22">
        <v>0</v>
      </c>
      <c r="G9" s="22">
        <v>0</v>
      </c>
      <c r="H9" s="22">
        <v>0</v>
      </c>
    </row>
    <row r="10" spans="1:15" x14ac:dyDescent="0.25">
      <c r="E10" s="22" t="s">
        <v>166</v>
      </c>
      <c r="F10" s="22" t="s">
        <v>78</v>
      </c>
      <c r="G10" s="22" t="s">
        <v>78</v>
      </c>
      <c r="H10" s="22" t="s">
        <v>78</v>
      </c>
    </row>
    <row r="11" spans="1:15" ht="15.6" customHeight="1" x14ac:dyDescent="0.25">
      <c r="A11" s="22" t="s">
        <v>76</v>
      </c>
      <c r="B11" s="22" t="s">
        <v>81</v>
      </c>
      <c r="C11" s="22">
        <v>50</v>
      </c>
      <c r="D11" s="22">
        <v>70</v>
      </c>
      <c r="E11" s="22" t="s">
        <v>165</v>
      </c>
      <c r="F11" s="22" t="s">
        <v>82</v>
      </c>
      <c r="G11" s="22" t="s">
        <v>78</v>
      </c>
      <c r="H11" s="22" t="s">
        <v>78</v>
      </c>
      <c r="I11" s="22" t="s">
        <v>7</v>
      </c>
      <c r="J11" s="22" t="s">
        <v>79</v>
      </c>
      <c r="K11" s="22" t="s">
        <v>79</v>
      </c>
      <c r="L11" s="22" t="s">
        <v>79</v>
      </c>
      <c r="M11" s="22">
        <v>620</v>
      </c>
      <c r="N11" s="22">
        <v>60</v>
      </c>
    </row>
    <row r="12" spans="1:15" x14ac:dyDescent="0.25">
      <c r="E12" s="22" t="s">
        <v>166</v>
      </c>
      <c r="F12" s="22">
        <v>0</v>
      </c>
      <c r="G12" s="22">
        <v>0</v>
      </c>
      <c r="H12" s="22">
        <v>0</v>
      </c>
    </row>
    <row r="13" spans="1:15" x14ac:dyDescent="0.25">
      <c r="E13" s="22" t="s">
        <v>165</v>
      </c>
      <c r="F13" s="22">
        <v>0</v>
      </c>
      <c r="G13" s="22">
        <v>0</v>
      </c>
      <c r="H13" s="22">
        <v>0</v>
      </c>
    </row>
    <row r="14" spans="1:15" x14ac:dyDescent="0.25">
      <c r="E14" s="22" t="s">
        <v>166</v>
      </c>
      <c r="F14" s="22" t="s">
        <v>78</v>
      </c>
      <c r="G14" s="22" t="s">
        <v>78</v>
      </c>
      <c r="H14" s="22" t="s">
        <v>83</v>
      </c>
    </row>
    <row r="15" spans="1:15" ht="15.6" customHeight="1" x14ac:dyDescent="0.25">
      <c r="A15" s="22" t="s">
        <v>76</v>
      </c>
      <c r="B15" s="22" t="s">
        <v>84</v>
      </c>
      <c r="C15" s="22">
        <v>50</v>
      </c>
      <c r="D15" s="22">
        <v>70</v>
      </c>
      <c r="E15" s="22" t="s">
        <v>165</v>
      </c>
      <c r="F15" s="22" t="s">
        <v>78</v>
      </c>
      <c r="G15" s="22" t="s">
        <v>78</v>
      </c>
      <c r="H15" s="22" t="s">
        <v>78</v>
      </c>
      <c r="I15" s="22" t="s">
        <v>7</v>
      </c>
      <c r="J15" s="22" t="s">
        <v>79</v>
      </c>
      <c r="K15" s="22" t="s">
        <v>79</v>
      </c>
      <c r="L15" s="22" t="s">
        <v>79</v>
      </c>
      <c r="M15" s="22">
        <v>525</v>
      </c>
      <c r="N15" s="22">
        <v>60</v>
      </c>
    </row>
    <row r="16" spans="1:15" x14ac:dyDescent="0.25">
      <c r="E16" s="22" t="s">
        <v>166</v>
      </c>
      <c r="F16" s="22">
        <v>0</v>
      </c>
      <c r="G16" s="22">
        <v>0</v>
      </c>
      <c r="H16" s="22">
        <v>0</v>
      </c>
    </row>
    <row r="17" spans="1:14" x14ac:dyDescent="0.25">
      <c r="E17" s="22" t="s">
        <v>165</v>
      </c>
      <c r="F17" s="22">
        <v>0</v>
      </c>
      <c r="G17" s="22">
        <v>0</v>
      </c>
      <c r="H17" s="22">
        <v>0</v>
      </c>
    </row>
    <row r="18" spans="1:14" x14ac:dyDescent="0.25">
      <c r="E18" s="22" t="s">
        <v>166</v>
      </c>
      <c r="F18" s="22" t="s">
        <v>78</v>
      </c>
      <c r="G18" s="22" t="s">
        <v>78</v>
      </c>
      <c r="H18" s="22" t="s">
        <v>78</v>
      </c>
    </row>
    <row r="19" spans="1:14" ht="15.6" customHeight="1" x14ac:dyDescent="0.25">
      <c r="A19" s="22" t="s">
        <v>76</v>
      </c>
      <c r="B19" s="22" t="s">
        <v>85</v>
      </c>
      <c r="C19" s="22">
        <v>50</v>
      </c>
      <c r="D19" s="22">
        <v>70</v>
      </c>
      <c r="E19" s="22" t="s">
        <v>165</v>
      </c>
      <c r="F19" s="22" t="s">
        <v>78</v>
      </c>
      <c r="G19" s="22" t="s">
        <v>78</v>
      </c>
      <c r="H19" s="22" t="s">
        <v>78</v>
      </c>
      <c r="I19" s="22" t="s">
        <v>7</v>
      </c>
      <c r="J19" s="22" t="s">
        <v>79</v>
      </c>
      <c r="K19" s="22" t="s">
        <v>79</v>
      </c>
      <c r="L19" s="22" t="s">
        <v>79</v>
      </c>
      <c r="M19" s="22">
        <v>525</v>
      </c>
      <c r="N19" s="22">
        <v>60</v>
      </c>
    </row>
    <row r="20" spans="1:14" x14ac:dyDescent="0.25">
      <c r="E20" s="22" t="s">
        <v>166</v>
      </c>
      <c r="F20" s="22">
        <v>0</v>
      </c>
      <c r="G20" s="22">
        <v>0</v>
      </c>
      <c r="H20" s="22">
        <v>0</v>
      </c>
    </row>
    <row r="21" spans="1:14" x14ac:dyDescent="0.25">
      <c r="E21" s="22" t="s">
        <v>165</v>
      </c>
      <c r="F21" s="22">
        <v>0</v>
      </c>
      <c r="G21" s="22">
        <v>0</v>
      </c>
      <c r="H21" s="22">
        <v>0</v>
      </c>
    </row>
    <row r="22" spans="1:14" x14ac:dyDescent="0.25">
      <c r="E22" s="22" t="s">
        <v>166</v>
      </c>
      <c r="F22" s="22" t="s">
        <v>78</v>
      </c>
      <c r="G22" s="22" t="s">
        <v>78</v>
      </c>
      <c r="H22" s="22" t="s">
        <v>78</v>
      </c>
    </row>
    <row r="23" spans="1:14" ht="15.6" customHeight="1" x14ac:dyDescent="0.25">
      <c r="A23" s="22" t="s">
        <v>76</v>
      </c>
      <c r="B23" s="22" t="s">
        <v>86</v>
      </c>
      <c r="C23" s="22">
        <v>50</v>
      </c>
      <c r="D23" s="22">
        <v>70</v>
      </c>
      <c r="E23" s="22" t="s">
        <v>165</v>
      </c>
      <c r="F23" s="22" t="s">
        <v>78</v>
      </c>
      <c r="G23" s="22" t="s">
        <v>78</v>
      </c>
      <c r="H23" s="22" t="s">
        <v>78</v>
      </c>
      <c r="I23" s="22" t="s">
        <v>7</v>
      </c>
      <c r="J23" s="22" t="s">
        <v>79</v>
      </c>
      <c r="K23" s="22" t="s">
        <v>79</v>
      </c>
      <c r="L23" s="22" t="s">
        <v>79</v>
      </c>
      <c r="M23" s="22">
        <v>410</v>
      </c>
      <c r="N23" s="22">
        <v>60</v>
      </c>
    </row>
    <row r="24" spans="1:14" x14ac:dyDescent="0.25">
      <c r="E24" s="22" t="s">
        <v>166</v>
      </c>
      <c r="F24" s="22">
        <v>0</v>
      </c>
      <c r="G24" s="22">
        <v>0</v>
      </c>
      <c r="H24" s="22">
        <v>0</v>
      </c>
    </row>
    <row r="25" spans="1:14" x14ac:dyDescent="0.25">
      <c r="E25" s="22" t="s">
        <v>165</v>
      </c>
      <c r="F25" s="22">
        <v>0</v>
      </c>
      <c r="G25" s="22">
        <v>0</v>
      </c>
      <c r="H25" s="22">
        <v>0</v>
      </c>
    </row>
    <row r="26" spans="1:14" x14ac:dyDescent="0.25">
      <c r="E26" s="22" t="s">
        <v>166</v>
      </c>
      <c r="F26" s="22" t="s">
        <v>78</v>
      </c>
      <c r="G26" s="22" t="s">
        <v>78</v>
      </c>
      <c r="H26" s="22" t="s">
        <v>78</v>
      </c>
    </row>
    <row r="27" spans="1:14" ht="15.6" customHeight="1" x14ac:dyDescent="0.25">
      <c r="A27" s="22" t="s">
        <v>76</v>
      </c>
      <c r="B27" s="22" t="s">
        <v>87</v>
      </c>
      <c r="C27" s="22">
        <v>50</v>
      </c>
      <c r="D27" s="22">
        <v>70</v>
      </c>
      <c r="E27" s="22" t="s">
        <v>165</v>
      </c>
      <c r="F27" s="22" t="s">
        <v>78</v>
      </c>
      <c r="G27" s="22" t="s">
        <v>78</v>
      </c>
      <c r="H27" s="22" t="s">
        <v>83</v>
      </c>
      <c r="I27" s="22" t="s">
        <v>7</v>
      </c>
      <c r="J27" s="22" t="s">
        <v>88</v>
      </c>
      <c r="K27" s="22" t="s">
        <v>88</v>
      </c>
      <c r="L27" s="22" t="s">
        <v>88</v>
      </c>
      <c r="M27" s="22">
        <v>410</v>
      </c>
      <c r="N27" s="22">
        <v>60</v>
      </c>
    </row>
    <row r="28" spans="1:14" x14ac:dyDescent="0.25">
      <c r="E28" s="22" t="s">
        <v>166</v>
      </c>
      <c r="F28" s="22">
        <v>0</v>
      </c>
      <c r="G28" s="22">
        <v>0</v>
      </c>
      <c r="H28" s="22">
        <v>0</v>
      </c>
    </row>
    <row r="29" spans="1:14" x14ac:dyDescent="0.25">
      <c r="E29" s="22" t="s">
        <v>165</v>
      </c>
      <c r="F29" s="22">
        <v>0</v>
      </c>
      <c r="G29" s="22">
        <v>0</v>
      </c>
      <c r="H29" s="22">
        <v>0</v>
      </c>
    </row>
    <row r="30" spans="1:14" x14ac:dyDescent="0.25">
      <c r="E30" s="22" t="s">
        <v>166</v>
      </c>
      <c r="F30" s="22" t="s">
        <v>83</v>
      </c>
      <c r="G30" s="22" t="s">
        <v>78</v>
      </c>
      <c r="H30" s="22" t="s">
        <v>78</v>
      </c>
    </row>
    <row r="31" spans="1:14" ht="15.6" customHeight="1" x14ac:dyDescent="0.25">
      <c r="A31" s="22" t="s">
        <v>89</v>
      </c>
      <c r="B31" s="22" t="s">
        <v>77</v>
      </c>
      <c r="C31" s="22">
        <v>50</v>
      </c>
      <c r="D31" s="22">
        <v>70</v>
      </c>
      <c r="E31" s="22" t="s">
        <v>165</v>
      </c>
      <c r="F31" s="22" t="s">
        <v>78</v>
      </c>
      <c r="G31" s="22" t="s">
        <v>78</v>
      </c>
      <c r="H31" s="22" t="s">
        <v>83</v>
      </c>
      <c r="I31" s="22" t="s">
        <v>7</v>
      </c>
      <c r="J31" s="22" t="s">
        <v>79</v>
      </c>
      <c r="K31" s="22" t="s">
        <v>79</v>
      </c>
      <c r="L31" s="22" t="s">
        <v>79</v>
      </c>
      <c r="M31" s="22">
        <v>525</v>
      </c>
      <c r="N31" s="22">
        <v>60</v>
      </c>
    </row>
    <row r="32" spans="1:14" x14ac:dyDescent="0.25">
      <c r="E32" s="22" t="s">
        <v>166</v>
      </c>
      <c r="F32" s="22">
        <v>0</v>
      </c>
      <c r="G32" s="22">
        <v>0</v>
      </c>
      <c r="H32" s="22">
        <v>0</v>
      </c>
    </row>
    <row r="33" spans="1:14" x14ac:dyDescent="0.25">
      <c r="E33" s="22" t="s">
        <v>165</v>
      </c>
      <c r="F33" s="22">
        <v>0</v>
      </c>
      <c r="G33" s="22">
        <v>0</v>
      </c>
      <c r="H33" s="22">
        <v>0</v>
      </c>
    </row>
    <row r="34" spans="1:14" x14ac:dyDescent="0.25">
      <c r="E34" s="22" t="s">
        <v>166</v>
      </c>
      <c r="F34" s="22" t="s">
        <v>78</v>
      </c>
      <c r="G34" s="22" t="s">
        <v>78</v>
      </c>
      <c r="H34" s="22" t="s">
        <v>78</v>
      </c>
    </row>
    <row r="35" spans="1:14" ht="15.6" customHeight="1" x14ac:dyDescent="0.25">
      <c r="A35" s="22" t="s">
        <v>89</v>
      </c>
      <c r="B35" s="22" t="s">
        <v>80</v>
      </c>
      <c r="C35" s="22">
        <v>50</v>
      </c>
      <c r="D35" s="22">
        <v>70</v>
      </c>
      <c r="E35" s="22" t="s">
        <v>165</v>
      </c>
      <c r="F35" s="22" t="s">
        <v>83</v>
      </c>
      <c r="G35" s="22" t="s">
        <v>78</v>
      </c>
      <c r="H35" s="22" t="s">
        <v>78</v>
      </c>
      <c r="I35" s="22" t="s">
        <v>7</v>
      </c>
      <c r="J35" s="22" t="s">
        <v>79</v>
      </c>
      <c r="K35" s="22" t="s">
        <v>79</v>
      </c>
      <c r="L35" s="22" t="s">
        <v>79</v>
      </c>
      <c r="M35" s="22">
        <v>620</v>
      </c>
      <c r="N35" s="22">
        <v>60</v>
      </c>
    </row>
    <row r="36" spans="1:14" x14ac:dyDescent="0.25">
      <c r="E36" s="22" t="s">
        <v>166</v>
      </c>
      <c r="F36" s="22">
        <v>0</v>
      </c>
      <c r="G36" s="22">
        <v>0</v>
      </c>
      <c r="H36" s="22">
        <v>0</v>
      </c>
    </row>
    <row r="37" spans="1:14" x14ac:dyDescent="0.25">
      <c r="E37" s="22" t="s">
        <v>165</v>
      </c>
      <c r="F37" s="22">
        <v>0</v>
      </c>
      <c r="G37" s="22">
        <v>0</v>
      </c>
      <c r="H37" s="22">
        <v>0</v>
      </c>
    </row>
    <row r="38" spans="1:14" x14ac:dyDescent="0.25">
      <c r="E38" s="22" t="s">
        <v>166</v>
      </c>
      <c r="F38" s="22" t="s">
        <v>78</v>
      </c>
      <c r="G38" s="22" t="s">
        <v>78</v>
      </c>
      <c r="H38" s="22" t="s">
        <v>78</v>
      </c>
    </row>
    <row r="39" spans="1:14" ht="15.6" customHeight="1" x14ac:dyDescent="0.25">
      <c r="A39" s="22" t="s">
        <v>89</v>
      </c>
      <c r="B39" s="22" t="s">
        <v>81</v>
      </c>
      <c r="C39" s="22">
        <v>50</v>
      </c>
      <c r="D39" s="22">
        <v>70</v>
      </c>
      <c r="E39" s="22" t="s">
        <v>165</v>
      </c>
      <c r="F39" s="22" t="s">
        <v>90</v>
      </c>
      <c r="G39" s="22" t="s">
        <v>78</v>
      </c>
      <c r="H39" s="22" t="s">
        <v>78</v>
      </c>
      <c r="I39" s="22" t="s">
        <v>7</v>
      </c>
      <c r="J39" s="22" t="s">
        <v>91</v>
      </c>
      <c r="K39" s="22" t="s">
        <v>91</v>
      </c>
      <c r="L39" s="22" t="s">
        <v>91</v>
      </c>
      <c r="M39" s="22">
        <v>620</v>
      </c>
      <c r="N39" s="22">
        <v>60</v>
      </c>
    </row>
    <row r="40" spans="1:14" x14ac:dyDescent="0.25">
      <c r="E40" s="22" t="s">
        <v>166</v>
      </c>
      <c r="F40" s="22">
        <v>0</v>
      </c>
      <c r="G40" s="22">
        <v>0</v>
      </c>
      <c r="H40" s="22">
        <v>0</v>
      </c>
    </row>
    <row r="41" spans="1:14" x14ac:dyDescent="0.25">
      <c r="E41" s="22" t="s">
        <v>165</v>
      </c>
      <c r="F41" s="22">
        <v>0</v>
      </c>
      <c r="G41" s="22">
        <v>0</v>
      </c>
      <c r="H41" s="22">
        <v>0</v>
      </c>
    </row>
    <row r="42" spans="1:14" x14ac:dyDescent="0.25">
      <c r="E42" s="22" t="s">
        <v>166</v>
      </c>
      <c r="F42" s="22" t="s">
        <v>83</v>
      </c>
      <c r="G42" s="22" t="s">
        <v>78</v>
      </c>
      <c r="H42" s="22" t="s">
        <v>82</v>
      </c>
    </row>
    <row r="43" spans="1:14" ht="15.6" customHeight="1" x14ac:dyDescent="0.25">
      <c r="A43" s="22" t="s">
        <v>89</v>
      </c>
      <c r="B43" s="22" t="s">
        <v>84</v>
      </c>
      <c r="C43" s="22">
        <v>50</v>
      </c>
      <c r="D43" s="22">
        <v>70</v>
      </c>
      <c r="E43" s="22" t="s">
        <v>165</v>
      </c>
      <c r="F43" s="22" t="s">
        <v>83</v>
      </c>
      <c r="G43" s="22" t="s">
        <v>78</v>
      </c>
      <c r="H43" s="22" t="s">
        <v>78</v>
      </c>
      <c r="I43" s="22" t="s">
        <v>7</v>
      </c>
      <c r="J43" s="22" t="s">
        <v>79</v>
      </c>
      <c r="K43" s="22" t="s">
        <v>79</v>
      </c>
      <c r="L43" s="22" t="s">
        <v>79</v>
      </c>
      <c r="M43" s="22">
        <v>525</v>
      </c>
      <c r="N43" s="22">
        <v>60</v>
      </c>
    </row>
    <row r="44" spans="1:14" x14ac:dyDescent="0.25">
      <c r="E44" s="22" t="s">
        <v>166</v>
      </c>
      <c r="F44" s="22">
        <v>0</v>
      </c>
      <c r="G44" s="22">
        <v>0</v>
      </c>
      <c r="H44" s="22">
        <v>0</v>
      </c>
    </row>
    <row r="45" spans="1:14" x14ac:dyDescent="0.25">
      <c r="E45" s="22" t="s">
        <v>165</v>
      </c>
      <c r="F45" s="22">
        <v>0</v>
      </c>
      <c r="G45" s="22">
        <v>0</v>
      </c>
      <c r="H45" s="22">
        <v>0</v>
      </c>
    </row>
    <row r="46" spans="1:14" x14ac:dyDescent="0.25">
      <c r="E46" s="22" t="s">
        <v>166</v>
      </c>
      <c r="F46" s="22" t="s">
        <v>78</v>
      </c>
      <c r="G46" s="22" t="s">
        <v>78</v>
      </c>
      <c r="H46" s="22" t="s">
        <v>78</v>
      </c>
    </row>
    <row r="47" spans="1:14" ht="15.6" customHeight="1" x14ac:dyDescent="0.25">
      <c r="A47" s="22" t="s">
        <v>89</v>
      </c>
      <c r="B47" s="22" t="s">
        <v>85</v>
      </c>
      <c r="C47" s="22">
        <v>50</v>
      </c>
      <c r="D47" s="22">
        <v>70</v>
      </c>
      <c r="E47" s="22" t="s">
        <v>165</v>
      </c>
      <c r="F47" s="22" t="s">
        <v>83</v>
      </c>
      <c r="G47" s="22" t="s">
        <v>78</v>
      </c>
      <c r="H47" s="22" t="s">
        <v>83</v>
      </c>
      <c r="I47" s="22" t="s">
        <v>7</v>
      </c>
      <c r="J47" s="22" t="s">
        <v>79</v>
      </c>
      <c r="K47" s="22" t="s">
        <v>79</v>
      </c>
      <c r="L47" s="22" t="s">
        <v>79</v>
      </c>
      <c r="M47" s="22">
        <v>525</v>
      </c>
      <c r="N47" s="22">
        <v>60</v>
      </c>
    </row>
    <row r="48" spans="1:14" x14ac:dyDescent="0.25">
      <c r="E48" s="22" t="s">
        <v>166</v>
      </c>
      <c r="F48" s="22">
        <v>0</v>
      </c>
      <c r="G48" s="22">
        <v>0</v>
      </c>
      <c r="H48" s="22">
        <v>0</v>
      </c>
    </row>
    <row r="49" spans="1:14" x14ac:dyDescent="0.25">
      <c r="E49" s="22" t="s">
        <v>165</v>
      </c>
      <c r="F49" s="22">
        <v>0</v>
      </c>
      <c r="G49" s="22">
        <v>0</v>
      </c>
      <c r="H49" s="22">
        <v>0</v>
      </c>
    </row>
    <row r="50" spans="1:14" x14ac:dyDescent="0.25">
      <c r="E50" s="22" t="s">
        <v>166</v>
      </c>
      <c r="F50" s="22" t="s">
        <v>83</v>
      </c>
      <c r="G50" s="22" t="s">
        <v>78</v>
      </c>
      <c r="H50" s="22" t="s">
        <v>78</v>
      </c>
    </row>
    <row r="51" spans="1:14" ht="15.6" customHeight="1" x14ac:dyDescent="0.25">
      <c r="A51" s="22" t="s">
        <v>89</v>
      </c>
      <c r="B51" s="22" t="s">
        <v>86</v>
      </c>
      <c r="C51" s="22">
        <v>50</v>
      </c>
      <c r="D51" s="22">
        <v>70</v>
      </c>
      <c r="E51" s="22" t="s">
        <v>165</v>
      </c>
      <c r="F51" s="22" t="s">
        <v>78</v>
      </c>
      <c r="G51" s="22" t="s">
        <v>78</v>
      </c>
      <c r="H51" s="22" t="s">
        <v>83</v>
      </c>
      <c r="I51" s="22" t="s">
        <v>7</v>
      </c>
      <c r="J51" s="22" t="s">
        <v>88</v>
      </c>
      <c r="K51" s="22" t="s">
        <v>88</v>
      </c>
      <c r="L51" s="22" t="s">
        <v>88</v>
      </c>
      <c r="M51" s="22">
        <v>410</v>
      </c>
      <c r="N51" s="22">
        <v>60</v>
      </c>
    </row>
    <row r="52" spans="1:14" x14ac:dyDescent="0.25">
      <c r="E52" s="22" t="s">
        <v>166</v>
      </c>
      <c r="F52" s="22">
        <v>0</v>
      </c>
      <c r="G52" s="22">
        <v>0</v>
      </c>
      <c r="H52" s="22">
        <v>0</v>
      </c>
    </row>
    <row r="53" spans="1:14" x14ac:dyDescent="0.25">
      <c r="E53" s="22" t="s">
        <v>165</v>
      </c>
      <c r="F53" s="22">
        <v>0</v>
      </c>
      <c r="G53" s="22">
        <v>0</v>
      </c>
      <c r="H53" s="22">
        <v>0</v>
      </c>
    </row>
    <row r="54" spans="1:14" x14ac:dyDescent="0.25">
      <c r="E54" s="22" t="s">
        <v>166</v>
      </c>
      <c r="F54" s="22" t="s">
        <v>78</v>
      </c>
      <c r="G54" s="22" t="s">
        <v>78</v>
      </c>
      <c r="H54" s="22" t="s">
        <v>78</v>
      </c>
    </row>
    <row r="55" spans="1:14" ht="15.6" customHeight="1" x14ac:dyDescent="0.25">
      <c r="A55" s="22" t="s">
        <v>89</v>
      </c>
      <c r="B55" s="22" t="s">
        <v>87</v>
      </c>
      <c r="C55" s="22">
        <v>50</v>
      </c>
      <c r="D55" s="22">
        <v>70</v>
      </c>
      <c r="E55" s="22" t="s">
        <v>165</v>
      </c>
      <c r="F55" s="22" t="s">
        <v>78</v>
      </c>
      <c r="G55" s="22" t="s">
        <v>78</v>
      </c>
      <c r="H55" s="22" t="s">
        <v>92</v>
      </c>
      <c r="I55" s="22" t="s">
        <v>7</v>
      </c>
      <c r="J55" s="22" t="s">
        <v>93</v>
      </c>
      <c r="K55" s="22" t="s">
        <v>93</v>
      </c>
      <c r="L55" s="22" t="s">
        <v>93</v>
      </c>
      <c r="M55" s="22">
        <v>410</v>
      </c>
      <c r="N55" s="22">
        <v>60</v>
      </c>
    </row>
    <row r="56" spans="1:14" x14ac:dyDescent="0.25">
      <c r="E56" s="22" t="s">
        <v>166</v>
      </c>
      <c r="F56" s="22">
        <v>0</v>
      </c>
      <c r="G56" s="22">
        <v>0</v>
      </c>
      <c r="H56" s="22">
        <v>0</v>
      </c>
    </row>
    <row r="57" spans="1:14" x14ac:dyDescent="0.25">
      <c r="E57" s="22" t="s">
        <v>165</v>
      </c>
      <c r="F57" s="22">
        <v>0</v>
      </c>
      <c r="G57" s="22">
        <v>0</v>
      </c>
      <c r="H57" s="22">
        <v>0</v>
      </c>
    </row>
    <row r="58" spans="1:14" x14ac:dyDescent="0.25">
      <c r="E58" s="22" t="s">
        <v>166</v>
      </c>
      <c r="F58" s="22" t="s">
        <v>82</v>
      </c>
      <c r="G58" s="22" t="s">
        <v>83</v>
      </c>
      <c r="H58" s="22" t="s">
        <v>83</v>
      </c>
    </row>
    <row r="59" spans="1:14" ht="15.6" customHeight="1" x14ac:dyDescent="0.25">
      <c r="A59" s="22" t="s">
        <v>94</v>
      </c>
      <c r="B59" s="22" t="s">
        <v>77</v>
      </c>
      <c r="C59" s="22">
        <v>50</v>
      </c>
      <c r="D59" s="22">
        <v>75</v>
      </c>
      <c r="E59" s="22" t="s">
        <v>165</v>
      </c>
      <c r="F59" s="22" t="s">
        <v>83</v>
      </c>
      <c r="G59" s="22" t="s">
        <v>83</v>
      </c>
      <c r="H59" s="22" t="s">
        <v>82</v>
      </c>
      <c r="I59" s="22" t="s">
        <v>7</v>
      </c>
      <c r="J59" s="22" t="s">
        <v>79</v>
      </c>
      <c r="K59" s="22" t="s">
        <v>79</v>
      </c>
      <c r="L59" s="22" t="s">
        <v>79</v>
      </c>
      <c r="M59" s="22">
        <v>525</v>
      </c>
      <c r="N59" s="22">
        <v>60</v>
      </c>
    </row>
    <row r="60" spans="1:14" x14ac:dyDescent="0.25">
      <c r="E60" s="22" t="s">
        <v>166</v>
      </c>
      <c r="F60" s="22">
        <v>0</v>
      </c>
      <c r="G60" s="22">
        <v>0</v>
      </c>
      <c r="H60" s="22">
        <v>0</v>
      </c>
    </row>
    <row r="61" spans="1:14" x14ac:dyDescent="0.25">
      <c r="E61" s="22" t="s">
        <v>165</v>
      </c>
      <c r="F61" s="22">
        <v>0</v>
      </c>
      <c r="G61" s="22">
        <v>0</v>
      </c>
      <c r="H61" s="22">
        <v>0</v>
      </c>
    </row>
    <row r="62" spans="1:14" x14ac:dyDescent="0.25">
      <c r="E62" s="22" t="s">
        <v>166</v>
      </c>
      <c r="F62" s="22" t="s">
        <v>83</v>
      </c>
      <c r="G62" s="22" t="s">
        <v>78</v>
      </c>
      <c r="H62" s="22" t="s">
        <v>83</v>
      </c>
    </row>
    <row r="63" spans="1:14" ht="15.6" customHeight="1" x14ac:dyDescent="0.25">
      <c r="A63" s="22" t="s">
        <v>94</v>
      </c>
      <c r="B63" s="22" t="s">
        <v>80</v>
      </c>
      <c r="C63" s="22">
        <v>50</v>
      </c>
      <c r="D63" s="22">
        <v>75</v>
      </c>
      <c r="E63" s="22" t="s">
        <v>165</v>
      </c>
      <c r="F63" s="22" t="s">
        <v>92</v>
      </c>
      <c r="G63" s="22" t="s">
        <v>83</v>
      </c>
      <c r="H63" s="22" t="s">
        <v>83</v>
      </c>
      <c r="I63" s="22" t="s">
        <v>7</v>
      </c>
      <c r="J63" s="22" t="s">
        <v>79</v>
      </c>
      <c r="K63" s="22" t="s">
        <v>79</v>
      </c>
      <c r="L63" s="22" t="s">
        <v>79</v>
      </c>
      <c r="M63" s="22">
        <v>620</v>
      </c>
      <c r="N63" s="22">
        <v>60</v>
      </c>
    </row>
    <row r="64" spans="1:14" x14ac:dyDescent="0.25">
      <c r="E64" s="22" t="s">
        <v>166</v>
      </c>
      <c r="F64" s="22">
        <v>0</v>
      </c>
      <c r="G64" s="22">
        <v>0</v>
      </c>
      <c r="H64" s="22">
        <v>0</v>
      </c>
    </row>
    <row r="65" spans="1:14" x14ac:dyDescent="0.25">
      <c r="E65" s="22" t="s">
        <v>165</v>
      </c>
      <c r="F65" s="22">
        <v>0</v>
      </c>
      <c r="G65" s="22">
        <v>0</v>
      </c>
      <c r="H65" s="22">
        <v>0</v>
      </c>
    </row>
    <row r="66" spans="1:14" x14ac:dyDescent="0.25">
      <c r="E66" s="22" t="s">
        <v>166</v>
      </c>
      <c r="F66" s="22" t="s">
        <v>83</v>
      </c>
      <c r="G66" s="22" t="s">
        <v>83</v>
      </c>
      <c r="H66" s="22" t="s">
        <v>82</v>
      </c>
    </row>
    <row r="67" spans="1:14" ht="15.6" customHeight="1" x14ac:dyDescent="0.25">
      <c r="A67" s="22" t="s">
        <v>94</v>
      </c>
      <c r="B67" s="22" t="s">
        <v>81</v>
      </c>
      <c r="C67" s="22">
        <v>50</v>
      </c>
      <c r="D67" s="22">
        <v>75</v>
      </c>
      <c r="E67" s="22" t="s">
        <v>165</v>
      </c>
      <c r="F67" s="22" t="s">
        <v>92</v>
      </c>
      <c r="G67" s="22" t="s">
        <v>83</v>
      </c>
      <c r="H67" s="22" t="s">
        <v>83</v>
      </c>
      <c r="I67" s="22" t="s">
        <v>7</v>
      </c>
      <c r="J67" s="22" t="s">
        <v>91</v>
      </c>
      <c r="K67" s="22" t="s">
        <v>91</v>
      </c>
      <c r="L67" s="22" t="s">
        <v>91</v>
      </c>
      <c r="M67" s="22">
        <v>620</v>
      </c>
      <c r="N67" s="22">
        <v>60</v>
      </c>
    </row>
    <row r="68" spans="1:14" x14ac:dyDescent="0.25">
      <c r="E68" s="22" t="s">
        <v>166</v>
      </c>
      <c r="F68" s="22" t="s">
        <v>78</v>
      </c>
      <c r="G68" s="22">
        <v>0</v>
      </c>
      <c r="H68" s="22">
        <v>0</v>
      </c>
    </row>
    <row r="69" spans="1:14" x14ac:dyDescent="0.25">
      <c r="E69" s="22" t="s">
        <v>165</v>
      </c>
      <c r="F69" s="22">
        <v>0</v>
      </c>
      <c r="G69" s="22">
        <v>0</v>
      </c>
      <c r="H69" s="22">
        <v>0</v>
      </c>
    </row>
    <row r="70" spans="1:14" x14ac:dyDescent="0.25">
      <c r="E70" s="22" t="s">
        <v>166</v>
      </c>
      <c r="F70" s="22" t="s">
        <v>82</v>
      </c>
      <c r="G70" s="22" t="s">
        <v>83</v>
      </c>
      <c r="H70" s="22" t="s">
        <v>92</v>
      </c>
    </row>
    <row r="71" spans="1:14" ht="15.6" customHeight="1" x14ac:dyDescent="0.25">
      <c r="A71" s="22" t="s">
        <v>94</v>
      </c>
      <c r="B71" s="22" t="s">
        <v>84</v>
      </c>
      <c r="C71" s="22">
        <v>50</v>
      </c>
      <c r="D71" s="22">
        <v>75</v>
      </c>
      <c r="E71" s="22" t="s">
        <v>165</v>
      </c>
      <c r="F71" s="22" t="s">
        <v>92</v>
      </c>
      <c r="G71" s="22" t="s">
        <v>83</v>
      </c>
      <c r="H71" s="22" t="s">
        <v>92</v>
      </c>
      <c r="I71" s="22" t="s">
        <v>7</v>
      </c>
      <c r="J71" s="22" t="s">
        <v>93</v>
      </c>
      <c r="K71" s="22" t="s">
        <v>93</v>
      </c>
      <c r="L71" s="22" t="s">
        <v>93</v>
      </c>
      <c r="M71" s="22">
        <v>525</v>
      </c>
      <c r="N71" s="22">
        <v>60</v>
      </c>
    </row>
    <row r="72" spans="1:14" x14ac:dyDescent="0.25">
      <c r="E72" s="22" t="s">
        <v>166</v>
      </c>
      <c r="F72" s="22" t="s">
        <v>78</v>
      </c>
      <c r="G72" s="22">
        <v>0</v>
      </c>
      <c r="H72" s="22">
        <v>0</v>
      </c>
    </row>
    <row r="73" spans="1:14" x14ac:dyDescent="0.25">
      <c r="E73" s="22" t="s">
        <v>165</v>
      </c>
      <c r="F73" s="22">
        <v>0</v>
      </c>
      <c r="G73" s="22">
        <v>0</v>
      </c>
      <c r="H73" s="22">
        <v>0</v>
      </c>
    </row>
    <row r="74" spans="1:14" x14ac:dyDescent="0.25">
      <c r="E74" s="22" t="s">
        <v>166</v>
      </c>
      <c r="F74" s="22" t="s">
        <v>82</v>
      </c>
      <c r="G74" s="22" t="s">
        <v>83</v>
      </c>
      <c r="H74" s="22" t="s">
        <v>83</v>
      </c>
    </row>
    <row r="75" spans="1:14" ht="15.6" customHeight="1" x14ac:dyDescent="0.25">
      <c r="A75" s="22" t="s">
        <v>94</v>
      </c>
      <c r="B75" s="22" t="s">
        <v>85</v>
      </c>
      <c r="C75" s="22">
        <v>50</v>
      </c>
      <c r="D75" s="22">
        <v>75</v>
      </c>
      <c r="E75" s="22" t="s">
        <v>165</v>
      </c>
      <c r="F75" s="22" t="s">
        <v>90</v>
      </c>
      <c r="G75" s="22" t="s">
        <v>83</v>
      </c>
      <c r="H75" s="22" t="s">
        <v>90</v>
      </c>
      <c r="I75" s="22" t="s">
        <v>7</v>
      </c>
      <c r="J75" s="22" t="s">
        <v>91</v>
      </c>
      <c r="K75" s="22" t="s">
        <v>91</v>
      </c>
      <c r="L75" s="22" t="s">
        <v>91</v>
      </c>
      <c r="M75" s="22">
        <v>525</v>
      </c>
      <c r="N75" s="22">
        <v>60</v>
      </c>
    </row>
    <row r="76" spans="1:14" x14ac:dyDescent="0.25">
      <c r="E76" s="22" t="s">
        <v>166</v>
      </c>
      <c r="F76" s="22">
        <v>0</v>
      </c>
      <c r="G76" s="22">
        <v>0</v>
      </c>
      <c r="H76" s="22">
        <v>0</v>
      </c>
    </row>
    <row r="77" spans="1:14" x14ac:dyDescent="0.25">
      <c r="E77" s="22" t="s">
        <v>165</v>
      </c>
      <c r="F77" s="22">
        <v>0</v>
      </c>
      <c r="G77" s="22">
        <v>0</v>
      </c>
      <c r="H77" s="22">
        <v>0</v>
      </c>
    </row>
    <row r="78" spans="1:14" x14ac:dyDescent="0.25">
      <c r="E78" s="22" t="s">
        <v>166</v>
      </c>
      <c r="F78" s="22" t="s">
        <v>82</v>
      </c>
      <c r="G78" s="22" t="s">
        <v>83</v>
      </c>
      <c r="H78" s="22" t="s">
        <v>82</v>
      </c>
    </row>
    <row r="79" spans="1:14" ht="15.6" customHeight="1" x14ac:dyDescent="0.25">
      <c r="A79" s="22" t="s">
        <v>94</v>
      </c>
      <c r="B79" s="22" t="s">
        <v>86</v>
      </c>
      <c r="C79" s="22">
        <v>50</v>
      </c>
      <c r="D79" s="22">
        <v>75</v>
      </c>
      <c r="E79" s="22" t="s">
        <v>165</v>
      </c>
      <c r="F79" s="22" t="s">
        <v>83</v>
      </c>
      <c r="G79" s="22" t="s">
        <v>83</v>
      </c>
      <c r="H79" s="22" t="s">
        <v>82</v>
      </c>
      <c r="I79" s="22" t="s">
        <v>7</v>
      </c>
      <c r="J79" s="22" t="s">
        <v>91</v>
      </c>
      <c r="K79" s="22" t="s">
        <v>91</v>
      </c>
      <c r="L79" s="22" t="s">
        <v>91</v>
      </c>
      <c r="M79" s="22">
        <v>410</v>
      </c>
      <c r="N79" s="22">
        <v>60</v>
      </c>
    </row>
    <row r="80" spans="1:14" x14ac:dyDescent="0.25">
      <c r="E80" s="22" t="s">
        <v>166</v>
      </c>
      <c r="F80" s="22">
        <v>0</v>
      </c>
      <c r="G80" s="22">
        <v>0</v>
      </c>
      <c r="H80" s="22">
        <v>0</v>
      </c>
    </row>
    <row r="81" spans="1:14" x14ac:dyDescent="0.25">
      <c r="E81" s="22" t="s">
        <v>165</v>
      </c>
      <c r="F81" s="22">
        <v>0</v>
      </c>
      <c r="G81" s="22">
        <v>0</v>
      </c>
      <c r="H81" s="22">
        <v>0</v>
      </c>
    </row>
    <row r="82" spans="1:14" x14ac:dyDescent="0.25">
      <c r="E82" s="22" t="s">
        <v>166</v>
      </c>
      <c r="F82" s="22" t="s">
        <v>82</v>
      </c>
      <c r="G82" s="22" t="s">
        <v>83</v>
      </c>
      <c r="H82" s="22" t="s">
        <v>83</v>
      </c>
    </row>
    <row r="83" spans="1:14" ht="15.6" customHeight="1" x14ac:dyDescent="0.25">
      <c r="A83" s="22" t="s">
        <v>94</v>
      </c>
      <c r="B83" s="22" t="s">
        <v>87</v>
      </c>
      <c r="C83" s="22">
        <v>50</v>
      </c>
      <c r="D83" s="22">
        <v>75</v>
      </c>
      <c r="E83" s="22" t="s">
        <v>165</v>
      </c>
      <c r="F83" s="22" t="s">
        <v>83</v>
      </c>
      <c r="G83" s="22" t="s">
        <v>83</v>
      </c>
      <c r="H83" s="22" t="s">
        <v>90</v>
      </c>
      <c r="I83" s="22" t="s">
        <v>7</v>
      </c>
      <c r="J83" s="22" t="s">
        <v>95</v>
      </c>
      <c r="K83" s="22" t="s">
        <v>95</v>
      </c>
      <c r="L83" s="22" t="s">
        <v>95</v>
      </c>
      <c r="M83" s="22">
        <v>410</v>
      </c>
      <c r="N83" s="22">
        <v>60</v>
      </c>
    </row>
    <row r="84" spans="1:14" x14ac:dyDescent="0.25">
      <c r="E84" s="22" t="s">
        <v>166</v>
      </c>
      <c r="F84" s="22">
        <v>0</v>
      </c>
      <c r="G84" s="22">
        <v>0</v>
      </c>
      <c r="H84" s="22">
        <v>0</v>
      </c>
    </row>
    <row r="85" spans="1:14" x14ac:dyDescent="0.25">
      <c r="E85" s="22" t="s">
        <v>165</v>
      </c>
      <c r="F85" s="22">
        <v>0</v>
      </c>
      <c r="G85" s="22">
        <v>0</v>
      </c>
      <c r="H85" s="22">
        <v>0</v>
      </c>
    </row>
    <row r="86" spans="1:14" x14ac:dyDescent="0.25">
      <c r="E86" s="22" t="s">
        <v>166</v>
      </c>
      <c r="F86" s="22" t="s">
        <v>92</v>
      </c>
      <c r="G86" s="22" t="s">
        <v>83</v>
      </c>
      <c r="H86" s="22" t="s">
        <v>83</v>
      </c>
    </row>
    <row r="87" spans="1:14" ht="15.6" customHeight="1" x14ac:dyDescent="0.25">
      <c r="A87" s="22" t="s">
        <v>96</v>
      </c>
      <c r="B87" s="22" t="s">
        <v>97</v>
      </c>
      <c r="C87" s="22">
        <v>60</v>
      </c>
      <c r="D87" s="22">
        <v>80</v>
      </c>
      <c r="E87" s="22" t="s">
        <v>165</v>
      </c>
      <c r="F87" s="22" t="s">
        <v>92</v>
      </c>
      <c r="G87" s="22" t="s">
        <v>83</v>
      </c>
      <c r="H87" s="22" t="s">
        <v>82</v>
      </c>
      <c r="I87" s="22" t="s">
        <v>65</v>
      </c>
      <c r="J87" s="22" t="s">
        <v>88</v>
      </c>
      <c r="K87" s="22" t="s">
        <v>88</v>
      </c>
      <c r="L87" s="22" t="s">
        <v>88</v>
      </c>
      <c r="M87" s="22">
        <v>685</v>
      </c>
      <c r="N87" s="22">
        <v>90</v>
      </c>
    </row>
    <row r="88" spans="1:14" x14ac:dyDescent="0.25">
      <c r="E88" s="22" t="s">
        <v>166</v>
      </c>
      <c r="F88" s="22">
        <v>0</v>
      </c>
      <c r="G88" s="22">
        <v>0</v>
      </c>
      <c r="H88" s="22">
        <v>0</v>
      </c>
    </row>
    <row r="89" spans="1:14" x14ac:dyDescent="0.25">
      <c r="E89" s="22" t="s">
        <v>165</v>
      </c>
      <c r="F89" s="22">
        <v>0</v>
      </c>
      <c r="G89" s="22">
        <v>0</v>
      </c>
      <c r="H89" s="22">
        <v>0</v>
      </c>
    </row>
    <row r="90" spans="1:14" x14ac:dyDescent="0.25">
      <c r="E90" s="22" t="s">
        <v>166</v>
      </c>
      <c r="F90" s="22" t="s">
        <v>83</v>
      </c>
      <c r="G90" s="22" t="s">
        <v>83</v>
      </c>
      <c r="H90" s="22" t="s">
        <v>83</v>
      </c>
    </row>
    <row r="91" spans="1:14" ht="15.6" customHeight="1" x14ac:dyDescent="0.25">
      <c r="A91" s="22" t="s">
        <v>96</v>
      </c>
      <c r="B91" s="22" t="s">
        <v>98</v>
      </c>
      <c r="C91" s="22">
        <v>60</v>
      </c>
      <c r="D91" s="22">
        <v>80</v>
      </c>
      <c r="E91" s="22" t="s">
        <v>165</v>
      </c>
      <c r="F91" s="22" t="s">
        <v>82</v>
      </c>
      <c r="G91" s="22" t="s">
        <v>83</v>
      </c>
      <c r="H91" s="22" t="s">
        <v>82</v>
      </c>
      <c r="I91" s="22" t="s">
        <v>65</v>
      </c>
      <c r="J91" s="22" t="s">
        <v>88</v>
      </c>
      <c r="K91" s="22" t="s">
        <v>88</v>
      </c>
      <c r="L91" s="22" t="s">
        <v>88</v>
      </c>
      <c r="M91" s="22">
        <v>525</v>
      </c>
      <c r="N91" s="22">
        <v>75</v>
      </c>
    </row>
    <row r="92" spans="1:14" x14ac:dyDescent="0.25">
      <c r="E92" s="22" t="s">
        <v>166</v>
      </c>
      <c r="F92" s="22">
        <v>0</v>
      </c>
      <c r="G92" s="22">
        <v>0</v>
      </c>
      <c r="H92" s="22">
        <v>0</v>
      </c>
    </row>
    <row r="93" spans="1:14" x14ac:dyDescent="0.25">
      <c r="E93" s="22" t="s">
        <v>165</v>
      </c>
      <c r="F93" s="22">
        <v>0</v>
      </c>
      <c r="G93" s="22">
        <v>0</v>
      </c>
      <c r="H93" s="22">
        <v>0</v>
      </c>
    </row>
    <row r="94" spans="1:14" x14ac:dyDescent="0.25">
      <c r="E94" s="22" t="s">
        <v>166</v>
      </c>
      <c r="F94" s="22" t="s">
        <v>83</v>
      </c>
      <c r="G94" s="22" t="s">
        <v>83</v>
      </c>
      <c r="H94" s="22" t="s">
        <v>82</v>
      </c>
    </row>
    <row r="95" spans="1:14" ht="15.6" customHeight="1" x14ac:dyDescent="0.25">
      <c r="A95" s="22" t="s">
        <v>96</v>
      </c>
      <c r="B95" s="22" t="s">
        <v>99</v>
      </c>
      <c r="C95" s="22">
        <v>60</v>
      </c>
      <c r="D95" s="22">
        <v>80</v>
      </c>
      <c r="E95" s="22" t="s">
        <v>165</v>
      </c>
      <c r="F95" s="22" t="s">
        <v>82</v>
      </c>
      <c r="G95" s="22" t="s">
        <v>83</v>
      </c>
      <c r="H95" s="22" t="s">
        <v>90</v>
      </c>
      <c r="I95" s="22" t="s">
        <v>65</v>
      </c>
      <c r="J95" s="22" t="s">
        <v>79</v>
      </c>
      <c r="K95" s="22" t="s">
        <v>79</v>
      </c>
      <c r="L95" s="22" t="s">
        <v>79</v>
      </c>
      <c r="M95" s="22">
        <v>695</v>
      </c>
      <c r="N95" s="22">
        <v>75</v>
      </c>
    </row>
    <row r="96" spans="1:14" x14ac:dyDescent="0.25">
      <c r="E96" s="22" t="s">
        <v>166</v>
      </c>
      <c r="F96" s="22">
        <v>0</v>
      </c>
      <c r="G96" s="22">
        <v>0</v>
      </c>
      <c r="H96" s="22">
        <v>0</v>
      </c>
    </row>
    <row r="97" spans="1:14" x14ac:dyDescent="0.25">
      <c r="E97" s="22" t="s">
        <v>165</v>
      </c>
      <c r="F97" s="22">
        <v>0</v>
      </c>
      <c r="G97" s="22">
        <v>0</v>
      </c>
      <c r="H97" s="22">
        <v>0</v>
      </c>
    </row>
    <row r="98" spans="1:14" x14ac:dyDescent="0.25">
      <c r="E98" s="22" t="s">
        <v>166</v>
      </c>
      <c r="F98" s="22" t="s">
        <v>82</v>
      </c>
      <c r="G98" s="22" t="s">
        <v>83</v>
      </c>
      <c r="H98" s="22" t="s">
        <v>83</v>
      </c>
    </row>
    <row r="99" spans="1:14" ht="15.6" customHeight="1" x14ac:dyDescent="0.25">
      <c r="A99" s="22" t="s">
        <v>96</v>
      </c>
      <c r="B99" s="22" t="s">
        <v>100</v>
      </c>
      <c r="C99" s="22">
        <v>60</v>
      </c>
      <c r="D99" s="22">
        <v>80</v>
      </c>
      <c r="E99" s="22" t="s">
        <v>165</v>
      </c>
      <c r="F99" s="22" t="s">
        <v>90</v>
      </c>
      <c r="G99" s="22" t="s">
        <v>83</v>
      </c>
      <c r="H99" s="22" t="s">
        <v>82</v>
      </c>
      <c r="I99" s="22" t="s">
        <v>65</v>
      </c>
      <c r="J99" s="22" t="s">
        <v>91</v>
      </c>
      <c r="K99" s="22" t="s">
        <v>91</v>
      </c>
      <c r="L99" s="22" t="s">
        <v>91</v>
      </c>
      <c r="M99" s="22">
        <v>620</v>
      </c>
      <c r="N99" s="22">
        <v>85</v>
      </c>
    </row>
    <row r="100" spans="1:14" x14ac:dyDescent="0.25">
      <c r="E100" s="22" t="s">
        <v>166</v>
      </c>
      <c r="F100" s="22">
        <v>0</v>
      </c>
      <c r="G100" s="22">
        <v>0</v>
      </c>
      <c r="H100" s="22">
        <v>0</v>
      </c>
    </row>
    <row r="101" spans="1:14" x14ac:dyDescent="0.25">
      <c r="E101" s="22" t="s">
        <v>165</v>
      </c>
      <c r="F101" s="22">
        <v>0</v>
      </c>
      <c r="G101" s="22">
        <v>0</v>
      </c>
      <c r="H101" s="22">
        <v>0</v>
      </c>
    </row>
    <row r="102" spans="1:14" x14ac:dyDescent="0.25">
      <c r="E102" s="22" t="s">
        <v>166</v>
      </c>
      <c r="F102" s="22" t="s">
        <v>83</v>
      </c>
      <c r="G102" s="22" t="s">
        <v>83</v>
      </c>
      <c r="H102" s="22" t="s">
        <v>83</v>
      </c>
    </row>
    <row r="103" spans="1:14" ht="15.6" customHeight="1" x14ac:dyDescent="0.25">
      <c r="A103" s="22" t="s">
        <v>96</v>
      </c>
      <c r="B103" s="22" t="s">
        <v>101</v>
      </c>
      <c r="C103" s="22">
        <v>70</v>
      </c>
      <c r="D103" s="22">
        <v>80</v>
      </c>
      <c r="E103" s="22" t="s">
        <v>165</v>
      </c>
      <c r="F103" s="22" t="s">
        <v>102</v>
      </c>
      <c r="G103" s="22" t="s">
        <v>82</v>
      </c>
      <c r="H103" s="22" t="s">
        <v>82</v>
      </c>
      <c r="I103" s="22" t="s">
        <v>7</v>
      </c>
      <c r="J103" s="22" t="s">
        <v>103</v>
      </c>
      <c r="K103" s="22" t="s">
        <v>103</v>
      </c>
      <c r="L103" s="22" t="s">
        <v>103</v>
      </c>
      <c r="M103" s="22">
        <v>620</v>
      </c>
      <c r="N103" s="22">
        <v>130</v>
      </c>
    </row>
    <row r="104" spans="1:14" x14ac:dyDescent="0.25">
      <c r="E104" s="22" t="s">
        <v>166</v>
      </c>
      <c r="F104" s="22" t="s">
        <v>78</v>
      </c>
      <c r="G104" s="22">
        <v>0</v>
      </c>
      <c r="H104" s="22">
        <v>0</v>
      </c>
    </row>
    <row r="105" spans="1:14" x14ac:dyDescent="0.25">
      <c r="E105" s="22" t="s">
        <v>165</v>
      </c>
      <c r="F105" s="22">
        <v>0</v>
      </c>
      <c r="G105" s="22">
        <v>0</v>
      </c>
      <c r="H105" s="22">
        <v>0</v>
      </c>
    </row>
    <row r="106" spans="1:14" x14ac:dyDescent="0.25">
      <c r="E106" s="22" t="s">
        <v>166</v>
      </c>
      <c r="F106" s="22" t="s">
        <v>92</v>
      </c>
      <c r="G106" s="22" t="s">
        <v>82</v>
      </c>
      <c r="H106" s="22" t="s">
        <v>90</v>
      </c>
    </row>
    <row r="107" spans="1:14" ht="15.6" customHeight="1" x14ac:dyDescent="0.25">
      <c r="A107" s="22" t="s">
        <v>96</v>
      </c>
      <c r="B107" s="22" t="s">
        <v>104</v>
      </c>
      <c r="C107" s="22">
        <v>60</v>
      </c>
      <c r="D107" s="22">
        <v>80</v>
      </c>
      <c r="E107" s="22" t="s">
        <v>165</v>
      </c>
      <c r="F107" s="22" t="s">
        <v>92</v>
      </c>
      <c r="G107" s="22" t="s">
        <v>83</v>
      </c>
      <c r="H107" s="22" t="s">
        <v>82</v>
      </c>
      <c r="I107" s="22" t="s">
        <v>65</v>
      </c>
      <c r="J107" s="22" t="s">
        <v>88</v>
      </c>
      <c r="K107" s="22" t="s">
        <v>88</v>
      </c>
      <c r="L107" s="22" t="s">
        <v>88</v>
      </c>
      <c r="M107" s="22">
        <v>620</v>
      </c>
      <c r="N107" s="22">
        <v>80</v>
      </c>
    </row>
    <row r="108" spans="1:14" x14ac:dyDescent="0.25">
      <c r="E108" s="22" t="s">
        <v>166</v>
      </c>
      <c r="F108" s="22">
        <v>0</v>
      </c>
      <c r="G108" s="22">
        <v>0</v>
      </c>
      <c r="H108" s="22">
        <v>0</v>
      </c>
    </row>
    <row r="109" spans="1:14" x14ac:dyDescent="0.25">
      <c r="E109" s="22" t="s">
        <v>165</v>
      </c>
      <c r="F109" s="22">
        <v>0</v>
      </c>
      <c r="G109" s="22">
        <v>0</v>
      </c>
      <c r="H109" s="22">
        <v>0</v>
      </c>
    </row>
    <row r="110" spans="1:14" x14ac:dyDescent="0.25">
      <c r="E110" s="22" t="s">
        <v>166</v>
      </c>
      <c r="F110" s="22" t="s">
        <v>83</v>
      </c>
      <c r="G110" s="22" t="s">
        <v>83</v>
      </c>
      <c r="H110" s="22" t="s">
        <v>83</v>
      </c>
    </row>
    <row r="111" spans="1:14" ht="15.6" customHeight="1" x14ac:dyDescent="0.25">
      <c r="A111" s="22" t="s">
        <v>96</v>
      </c>
      <c r="B111" s="22" t="s">
        <v>105</v>
      </c>
      <c r="C111" s="22">
        <v>50</v>
      </c>
      <c r="D111" s="22">
        <v>70</v>
      </c>
      <c r="E111" s="22" t="s">
        <v>165</v>
      </c>
      <c r="F111" s="22" t="s">
        <v>90</v>
      </c>
      <c r="G111" s="22" t="s">
        <v>83</v>
      </c>
      <c r="H111" s="22" t="s">
        <v>82</v>
      </c>
      <c r="I111" s="22" t="s">
        <v>7</v>
      </c>
      <c r="J111" s="22" t="s">
        <v>88</v>
      </c>
      <c r="K111" s="22" t="s">
        <v>88</v>
      </c>
      <c r="L111" s="22" t="s">
        <v>88</v>
      </c>
      <c r="M111" s="22">
        <v>685</v>
      </c>
      <c r="N111" s="22">
        <v>85</v>
      </c>
    </row>
    <row r="112" spans="1:14" x14ac:dyDescent="0.25">
      <c r="E112" s="22" t="s">
        <v>166</v>
      </c>
      <c r="F112" s="22">
        <v>0</v>
      </c>
      <c r="G112" s="22">
        <v>0</v>
      </c>
      <c r="H112" s="22">
        <v>0</v>
      </c>
    </row>
    <row r="113" spans="1:14" x14ac:dyDescent="0.25">
      <c r="E113" s="22" t="s">
        <v>165</v>
      </c>
      <c r="F113" s="22">
        <v>0</v>
      </c>
      <c r="G113" s="22">
        <v>0</v>
      </c>
      <c r="H113" s="22">
        <v>0</v>
      </c>
    </row>
    <row r="114" spans="1:14" x14ac:dyDescent="0.25">
      <c r="E114" s="22" t="s">
        <v>166</v>
      </c>
      <c r="F114" s="22" t="s">
        <v>83</v>
      </c>
      <c r="G114" s="22" t="s">
        <v>83</v>
      </c>
      <c r="H114" s="22" t="s">
        <v>83</v>
      </c>
    </row>
    <row r="115" spans="1:14" ht="15.6" customHeight="1" x14ac:dyDescent="0.25">
      <c r="A115" s="22" t="s">
        <v>96</v>
      </c>
      <c r="B115" s="22" t="s">
        <v>106</v>
      </c>
      <c r="C115" s="22">
        <v>60</v>
      </c>
      <c r="D115" s="22">
        <v>80</v>
      </c>
      <c r="E115" s="22" t="s">
        <v>165</v>
      </c>
      <c r="F115" s="22" t="s">
        <v>90</v>
      </c>
      <c r="G115" s="22" t="s">
        <v>82</v>
      </c>
      <c r="H115" s="22" t="s">
        <v>102</v>
      </c>
      <c r="I115" s="22" t="s">
        <v>7</v>
      </c>
      <c r="J115" s="22" t="s">
        <v>79</v>
      </c>
      <c r="K115" s="22" t="s">
        <v>79</v>
      </c>
      <c r="L115" s="22" t="s">
        <v>79</v>
      </c>
      <c r="M115" s="22">
        <v>1220</v>
      </c>
      <c r="N115" s="22">
        <v>95</v>
      </c>
    </row>
    <row r="116" spans="1:14" x14ac:dyDescent="0.25">
      <c r="E116" s="22" t="s">
        <v>166</v>
      </c>
      <c r="F116" s="22">
        <v>0</v>
      </c>
      <c r="G116" s="22">
        <v>0</v>
      </c>
      <c r="H116" s="22" t="s">
        <v>78</v>
      </c>
    </row>
    <row r="117" spans="1:14" x14ac:dyDescent="0.25">
      <c r="E117" s="22" t="s">
        <v>165</v>
      </c>
      <c r="F117" s="22">
        <v>0</v>
      </c>
      <c r="G117" s="22">
        <v>0</v>
      </c>
      <c r="H117" s="22">
        <v>0</v>
      </c>
    </row>
    <row r="118" spans="1:14" x14ac:dyDescent="0.25">
      <c r="E118" s="22" t="s">
        <v>166</v>
      </c>
      <c r="F118" s="22" t="s">
        <v>82</v>
      </c>
      <c r="G118" s="22" t="s">
        <v>92</v>
      </c>
      <c r="H118" s="22" t="s">
        <v>92</v>
      </c>
    </row>
    <row r="119" spans="1:14" ht="15.6" customHeight="1" x14ac:dyDescent="0.25">
      <c r="A119" s="22" t="s">
        <v>96</v>
      </c>
      <c r="B119" s="22" t="s">
        <v>107</v>
      </c>
      <c r="C119" s="22">
        <v>60</v>
      </c>
      <c r="D119" s="22">
        <v>80</v>
      </c>
      <c r="E119" s="22" t="s">
        <v>165</v>
      </c>
      <c r="F119" s="22" t="s">
        <v>82</v>
      </c>
      <c r="G119" s="22" t="s">
        <v>83</v>
      </c>
      <c r="H119" s="22" t="s">
        <v>82</v>
      </c>
      <c r="I119" s="22" t="s">
        <v>65</v>
      </c>
      <c r="J119" s="22" t="s">
        <v>88</v>
      </c>
      <c r="K119" s="22" t="s">
        <v>88</v>
      </c>
      <c r="L119" s="22" t="s">
        <v>88</v>
      </c>
      <c r="M119" s="22">
        <v>540</v>
      </c>
      <c r="N119" s="22">
        <v>85</v>
      </c>
    </row>
    <row r="120" spans="1:14" x14ac:dyDescent="0.25">
      <c r="E120" s="22" t="s">
        <v>166</v>
      </c>
      <c r="F120" s="22">
        <v>0</v>
      </c>
      <c r="G120" s="22">
        <v>0</v>
      </c>
      <c r="H120" s="22">
        <v>0</v>
      </c>
    </row>
    <row r="121" spans="1:14" x14ac:dyDescent="0.25">
      <c r="E121" s="22" t="s">
        <v>165</v>
      </c>
      <c r="F121" s="22">
        <v>0</v>
      </c>
      <c r="G121" s="22">
        <v>0</v>
      </c>
      <c r="H121" s="22">
        <v>0</v>
      </c>
    </row>
    <row r="122" spans="1:14" x14ac:dyDescent="0.25">
      <c r="E122" s="22" t="s">
        <v>166</v>
      </c>
      <c r="F122" s="22" t="s">
        <v>83</v>
      </c>
      <c r="G122" s="22" t="s">
        <v>83</v>
      </c>
      <c r="H122" s="22" t="s">
        <v>83</v>
      </c>
    </row>
    <row r="123" spans="1:14" ht="15.6" customHeight="1" x14ac:dyDescent="0.25">
      <c r="A123" s="22" t="s">
        <v>96</v>
      </c>
      <c r="B123" s="22" t="s">
        <v>108</v>
      </c>
      <c r="C123" s="22">
        <v>70</v>
      </c>
      <c r="D123" s="22">
        <v>80</v>
      </c>
      <c r="E123" s="22" t="s">
        <v>165</v>
      </c>
      <c r="F123" s="22" t="s">
        <v>82</v>
      </c>
      <c r="G123" s="22" t="s">
        <v>82</v>
      </c>
      <c r="H123" s="22" t="s">
        <v>109</v>
      </c>
      <c r="I123" s="22" t="s">
        <v>7</v>
      </c>
      <c r="J123" s="22" t="s">
        <v>110</v>
      </c>
      <c r="K123" s="22" t="s">
        <v>110</v>
      </c>
      <c r="L123" s="22" t="s">
        <v>110</v>
      </c>
      <c r="M123" s="22">
        <v>540</v>
      </c>
      <c r="N123" s="22">
        <v>95</v>
      </c>
    </row>
    <row r="124" spans="1:14" x14ac:dyDescent="0.25">
      <c r="E124" s="22" t="s">
        <v>166</v>
      </c>
      <c r="F124" s="22">
        <v>0</v>
      </c>
      <c r="G124" s="22">
        <v>0</v>
      </c>
      <c r="H124" s="22">
        <v>0</v>
      </c>
    </row>
    <row r="125" spans="1:14" x14ac:dyDescent="0.25">
      <c r="E125" s="22" t="s">
        <v>165</v>
      </c>
      <c r="F125" s="22">
        <v>0</v>
      </c>
      <c r="G125" s="22">
        <v>0</v>
      </c>
      <c r="H125" s="22">
        <v>0</v>
      </c>
    </row>
    <row r="126" spans="1:14" x14ac:dyDescent="0.25">
      <c r="E126" s="22" t="s">
        <v>166</v>
      </c>
      <c r="F126" s="22" t="s">
        <v>82</v>
      </c>
      <c r="G126" s="22" t="s">
        <v>82</v>
      </c>
      <c r="H126" s="22" t="s">
        <v>92</v>
      </c>
    </row>
    <row r="127" spans="1:14" ht="15.6" customHeight="1" x14ac:dyDescent="0.25">
      <c r="A127" s="22" t="s">
        <v>96</v>
      </c>
      <c r="B127" s="22" t="s">
        <v>111</v>
      </c>
      <c r="C127" s="22">
        <v>60</v>
      </c>
      <c r="D127" s="22">
        <v>80</v>
      </c>
      <c r="E127" s="22" t="s">
        <v>165</v>
      </c>
      <c r="F127" s="22" t="s">
        <v>82</v>
      </c>
      <c r="G127" s="22" t="s">
        <v>83</v>
      </c>
      <c r="H127" s="22" t="s">
        <v>83</v>
      </c>
      <c r="I127" s="22" t="s">
        <v>65</v>
      </c>
      <c r="J127" s="22" t="s">
        <v>79</v>
      </c>
      <c r="K127" s="22" t="s">
        <v>79</v>
      </c>
      <c r="L127" s="22" t="s">
        <v>79</v>
      </c>
      <c r="M127" s="22">
        <v>540</v>
      </c>
      <c r="N127" s="22">
        <v>75</v>
      </c>
    </row>
    <row r="128" spans="1:14" x14ac:dyDescent="0.25">
      <c r="E128" s="22" t="s">
        <v>166</v>
      </c>
      <c r="F128" s="22">
        <v>0</v>
      </c>
      <c r="G128" s="22">
        <v>0</v>
      </c>
      <c r="H128" s="22">
        <v>0</v>
      </c>
    </row>
    <row r="129" spans="1:14" x14ac:dyDescent="0.25">
      <c r="E129" s="22" t="s">
        <v>165</v>
      </c>
      <c r="F129" s="22">
        <v>0</v>
      </c>
      <c r="G129" s="22">
        <v>0</v>
      </c>
      <c r="H129" s="22">
        <v>0</v>
      </c>
    </row>
    <row r="130" spans="1:14" x14ac:dyDescent="0.25">
      <c r="E130" s="22" t="s">
        <v>166</v>
      </c>
      <c r="F130" s="22" t="s">
        <v>83</v>
      </c>
      <c r="G130" s="22" t="s">
        <v>78</v>
      </c>
      <c r="H130" s="22" t="s">
        <v>82</v>
      </c>
    </row>
    <row r="131" spans="1:14" ht="15.6" customHeight="1" x14ac:dyDescent="0.25">
      <c r="A131" s="22" t="s">
        <v>96</v>
      </c>
      <c r="B131" s="22" t="s">
        <v>112</v>
      </c>
      <c r="C131" s="22">
        <v>60</v>
      </c>
      <c r="D131" s="22">
        <v>80</v>
      </c>
      <c r="E131" s="22" t="s">
        <v>165</v>
      </c>
      <c r="F131" s="22" t="s">
        <v>113</v>
      </c>
      <c r="G131" s="22" t="s">
        <v>83</v>
      </c>
      <c r="H131" s="22" t="s">
        <v>92</v>
      </c>
      <c r="I131" s="22" t="s">
        <v>65</v>
      </c>
      <c r="J131" s="22" t="s">
        <v>91</v>
      </c>
      <c r="K131" s="22" t="s">
        <v>91</v>
      </c>
      <c r="L131" s="22" t="s">
        <v>91</v>
      </c>
      <c r="M131" s="22">
        <v>685</v>
      </c>
      <c r="N131" s="22">
        <v>90</v>
      </c>
    </row>
    <row r="132" spans="1:14" x14ac:dyDescent="0.25">
      <c r="E132" s="22" t="s">
        <v>166</v>
      </c>
      <c r="F132" s="22">
        <v>0</v>
      </c>
      <c r="G132" s="22">
        <v>0</v>
      </c>
      <c r="H132" s="22">
        <v>0</v>
      </c>
    </row>
    <row r="133" spans="1:14" x14ac:dyDescent="0.25">
      <c r="E133" s="22" t="s">
        <v>165</v>
      </c>
      <c r="F133" s="22">
        <v>0</v>
      </c>
      <c r="G133" s="22">
        <v>0</v>
      </c>
      <c r="H133" s="22">
        <v>0</v>
      </c>
    </row>
    <row r="134" spans="1:14" x14ac:dyDescent="0.25">
      <c r="E134" s="22" t="s">
        <v>166</v>
      </c>
      <c r="F134" s="22" t="s">
        <v>82</v>
      </c>
      <c r="G134" s="22" t="s">
        <v>83</v>
      </c>
      <c r="H134" s="22" t="s">
        <v>82</v>
      </c>
    </row>
    <row r="135" spans="1:14" ht="15.6" customHeight="1" x14ac:dyDescent="0.25">
      <c r="A135" s="22" t="s">
        <v>96</v>
      </c>
      <c r="B135" s="22" t="s">
        <v>114</v>
      </c>
      <c r="C135" s="22">
        <v>60</v>
      </c>
      <c r="D135" s="22">
        <v>80</v>
      </c>
      <c r="E135" s="22" t="s">
        <v>165</v>
      </c>
      <c r="F135" s="22" t="s">
        <v>92</v>
      </c>
      <c r="G135" s="22" t="s">
        <v>83</v>
      </c>
      <c r="H135" s="22" t="s">
        <v>83</v>
      </c>
      <c r="I135" s="22" t="s">
        <v>65</v>
      </c>
      <c r="J135" s="22" t="s">
        <v>91</v>
      </c>
      <c r="K135" s="22" t="s">
        <v>91</v>
      </c>
      <c r="L135" s="22" t="s">
        <v>91</v>
      </c>
      <c r="M135" s="22">
        <v>525</v>
      </c>
      <c r="N135" s="22">
        <v>85</v>
      </c>
    </row>
    <row r="136" spans="1:14" x14ac:dyDescent="0.25">
      <c r="E136" s="22" t="s">
        <v>166</v>
      </c>
      <c r="F136" s="22">
        <v>0</v>
      </c>
      <c r="G136" s="22">
        <v>0</v>
      </c>
      <c r="H136" s="22">
        <v>0</v>
      </c>
    </row>
    <row r="137" spans="1:14" x14ac:dyDescent="0.25">
      <c r="E137" s="22" t="s">
        <v>165</v>
      </c>
      <c r="F137" s="22">
        <v>0</v>
      </c>
      <c r="G137" s="22">
        <v>0</v>
      </c>
      <c r="H137" s="22">
        <v>0</v>
      </c>
    </row>
    <row r="138" spans="1:14" x14ac:dyDescent="0.25">
      <c r="E138" s="22" t="s">
        <v>166</v>
      </c>
      <c r="F138" s="22" t="s">
        <v>82</v>
      </c>
      <c r="G138" s="22" t="s">
        <v>83</v>
      </c>
      <c r="H138" s="22" t="s">
        <v>82</v>
      </c>
    </row>
    <row r="139" spans="1:14" ht="15.6" customHeight="1" x14ac:dyDescent="0.25">
      <c r="A139" s="22" t="s">
        <v>96</v>
      </c>
      <c r="B139" s="22" t="s">
        <v>115</v>
      </c>
      <c r="C139" s="22">
        <v>50</v>
      </c>
      <c r="D139" s="22">
        <v>70</v>
      </c>
      <c r="E139" s="22" t="s">
        <v>165</v>
      </c>
      <c r="F139" s="22" t="s">
        <v>92</v>
      </c>
      <c r="G139" s="22" t="s">
        <v>83</v>
      </c>
      <c r="H139" s="22" t="s">
        <v>90</v>
      </c>
      <c r="I139" s="22" t="s">
        <v>7</v>
      </c>
      <c r="J139" s="22" t="s">
        <v>91</v>
      </c>
      <c r="K139" s="22" t="s">
        <v>91</v>
      </c>
      <c r="L139" s="22" t="s">
        <v>91</v>
      </c>
      <c r="M139" s="22">
        <v>695</v>
      </c>
      <c r="N139" s="22">
        <v>95</v>
      </c>
    </row>
    <row r="140" spans="1:14" x14ac:dyDescent="0.25">
      <c r="E140" s="22" t="s">
        <v>166</v>
      </c>
      <c r="F140" s="22">
        <v>0</v>
      </c>
      <c r="G140" s="22">
        <v>0</v>
      </c>
      <c r="H140" s="22" t="s">
        <v>78</v>
      </c>
    </row>
    <row r="141" spans="1:14" x14ac:dyDescent="0.25">
      <c r="E141" s="22" t="s">
        <v>165</v>
      </c>
      <c r="F141" s="22">
        <v>0</v>
      </c>
      <c r="G141" s="22">
        <v>0</v>
      </c>
      <c r="H141" s="22">
        <v>0</v>
      </c>
    </row>
    <row r="142" spans="1:14" x14ac:dyDescent="0.25">
      <c r="E142" s="22" t="s">
        <v>166</v>
      </c>
      <c r="F142" s="22" t="s">
        <v>82</v>
      </c>
      <c r="G142" s="22" t="s">
        <v>83</v>
      </c>
      <c r="H142" s="22" t="s">
        <v>82</v>
      </c>
    </row>
    <row r="143" spans="1:14" ht="15.6" customHeight="1" x14ac:dyDescent="0.25">
      <c r="A143" s="22" t="s">
        <v>96</v>
      </c>
      <c r="B143" s="22" t="s">
        <v>116</v>
      </c>
      <c r="C143" s="22">
        <v>60</v>
      </c>
      <c r="D143" s="22">
        <v>80</v>
      </c>
      <c r="E143" s="22" t="s">
        <v>165</v>
      </c>
      <c r="F143" s="22" t="s">
        <v>113</v>
      </c>
      <c r="G143" s="22" t="s">
        <v>83</v>
      </c>
      <c r="H143" s="22" t="s">
        <v>113</v>
      </c>
      <c r="I143" s="22" t="s">
        <v>65</v>
      </c>
      <c r="J143" s="22" t="s">
        <v>88</v>
      </c>
      <c r="K143" s="22" t="s">
        <v>88</v>
      </c>
      <c r="L143" s="22" t="s">
        <v>88</v>
      </c>
      <c r="M143" s="22">
        <v>1000</v>
      </c>
      <c r="N143" s="22">
        <v>115</v>
      </c>
    </row>
    <row r="144" spans="1:14" x14ac:dyDescent="0.25">
      <c r="E144" s="22" t="s">
        <v>166</v>
      </c>
      <c r="F144" s="22">
        <v>0</v>
      </c>
      <c r="G144" s="22">
        <v>0</v>
      </c>
      <c r="H144" s="22" t="s">
        <v>78</v>
      </c>
    </row>
    <row r="145" spans="1:14" x14ac:dyDescent="0.25">
      <c r="E145" s="22" t="s">
        <v>165</v>
      </c>
      <c r="F145" s="22">
        <v>0</v>
      </c>
      <c r="G145" s="22">
        <v>0</v>
      </c>
      <c r="H145" s="22">
        <v>0</v>
      </c>
    </row>
    <row r="146" spans="1:14" x14ac:dyDescent="0.25">
      <c r="E146" s="22" t="s">
        <v>166</v>
      </c>
      <c r="F146" s="22" t="s">
        <v>82</v>
      </c>
      <c r="G146" s="22" t="s">
        <v>82</v>
      </c>
      <c r="H146" s="22" t="s">
        <v>92</v>
      </c>
    </row>
    <row r="147" spans="1:14" ht="15.6" customHeight="1" x14ac:dyDescent="0.25">
      <c r="A147" s="22" t="s">
        <v>96</v>
      </c>
      <c r="B147" s="22" t="s">
        <v>117</v>
      </c>
      <c r="C147" s="22">
        <v>60</v>
      </c>
      <c r="D147" s="22">
        <v>80</v>
      </c>
      <c r="E147" s="22" t="s">
        <v>165</v>
      </c>
      <c r="F147" s="22" t="s">
        <v>102</v>
      </c>
      <c r="G147" s="22" t="s">
        <v>83</v>
      </c>
      <c r="H147" s="22" t="s">
        <v>113</v>
      </c>
      <c r="I147" s="22" t="s">
        <v>65</v>
      </c>
      <c r="J147" s="22" t="s">
        <v>88</v>
      </c>
      <c r="K147" s="22" t="s">
        <v>88</v>
      </c>
      <c r="L147" s="22" t="s">
        <v>88</v>
      </c>
      <c r="M147" s="22">
        <v>1000</v>
      </c>
      <c r="N147" s="22">
        <v>75</v>
      </c>
    </row>
    <row r="148" spans="1:14" x14ac:dyDescent="0.25">
      <c r="E148" s="22" t="s">
        <v>166</v>
      </c>
      <c r="F148" s="22">
        <v>0</v>
      </c>
      <c r="G148" s="22">
        <v>0</v>
      </c>
      <c r="H148" s="22" t="s">
        <v>78</v>
      </c>
    </row>
    <row r="149" spans="1:14" x14ac:dyDescent="0.25">
      <c r="E149" s="22" t="s">
        <v>165</v>
      </c>
      <c r="F149" s="22">
        <v>0</v>
      </c>
      <c r="G149" s="22">
        <v>0</v>
      </c>
      <c r="H149" s="22">
        <v>0</v>
      </c>
    </row>
    <row r="150" spans="1:14" x14ac:dyDescent="0.25">
      <c r="E150" s="22" t="s">
        <v>166</v>
      </c>
      <c r="F150" s="22" t="s">
        <v>82</v>
      </c>
      <c r="G150" s="22" t="s">
        <v>82</v>
      </c>
      <c r="H150" s="22" t="s">
        <v>92</v>
      </c>
    </row>
    <row r="151" spans="1:14" ht="15.6" customHeight="1" x14ac:dyDescent="0.25">
      <c r="A151" s="22" t="s">
        <v>96</v>
      </c>
      <c r="B151" s="22" t="s">
        <v>118</v>
      </c>
      <c r="C151" s="22">
        <v>60</v>
      </c>
      <c r="D151" s="22">
        <v>80</v>
      </c>
      <c r="E151" s="22" t="s">
        <v>165</v>
      </c>
      <c r="F151" s="22" t="s">
        <v>82</v>
      </c>
      <c r="G151" s="22" t="s">
        <v>83</v>
      </c>
      <c r="H151" s="22" t="s">
        <v>90</v>
      </c>
      <c r="I151" s="22" t="s">
        <v>65</v>
      </c>
      <c r="J151" s="22" t="s">
        <v>88</v>
      </c>
      <c r="K151" s="22" t="s">
        <v>88</v>
      </c>
      <c r="L151" s="22" t="s">
        <v>88</v>
      </c>
      <c r="M151" s="22">
        <v>695</v>
      </c>
      <c r="N151" s="22">
        <v>95</v>
      </c>
    </row>
    <row r="152" spans="1:14" x14ac:dyDescent="0.25">
      <c r="E152" s="22" t="s">
        <v>166</v>
      </c>
      <c r="F152" s="22">
        <v>0</v>
      </c>
      <c r="G152" s="22">
        <v>0</v>
      </c>
      <c r="H152" s="22">
        <v>0</v>
      </c>
    </row>
    <row r="153" spans="1:14" x14ac:dyDescent="0.25">
      <c r="E153" s="22" t="s">
        <v>165</v>
      </c>
      <c r="F153" s="22">
        <v>0</v>
      </c>
      <c r="G153" s="22">
        <v>0</v>
      </c>
      <c r="H153" s="22">
        <v>0</v>
      </c>
    </row>
    <row r="154" spans="1:14" x14ac:dyDescent="0.25">
      <c r="E154" s="22" t="s">
        <v>166</v>
      </c>
      <c r="F154" s="22" t="s">
        <v>83</v>
      </c>
      <c r="G154" s="22" t="s">
        <v>83</v>
      </c>
      <c r="H154" s="22" t="s">
        <v>83</v>
      </c>
    </row>
    <row r="155" spans="1:14" ht="15.6" customHeight="1" x14ac:dyDescent="0.25">
      <c r="A155" s="22" t="s">
        <v>119</v>
      </c>
      <c r="B155" s="22" t="s">
        <v>97</v>
      </c>
      <c r="C155" s="22">
        <v>60</v>
      </c>
      <c r="D155" s="22">
        <v>80</v>
      </c>
      <c r="E155" s="22" t="s">
        <v>165</v>
      </c>
      <c r="F155" s="22" t="s">
        <v>90</v>
      </c>
      <c r="G155" s="22" t="s">
        <v>83</v>
      </c>
      <c r="H155" s="22" t="s">
        <v>92</v>
      </c>
      <c r="I155" s="22" t="s">
        <v>65</v>
      </c>
      <c r="J155" s="22" t="s">
        <v>88</v>
      </c>
      <c r="K155" s="22" t="s">
        <v>88</v>
      </c>
      <c r="L155" s="22" t="s">
        <v>88</v>
      </c>
      <c r="M155" s="22">
        <v>685</v>
      </c>
      <c r="N155" s="22">
        <v>90</v>
      </c>
    </row>
    <row r="156" spans="1:14" x14ac:dyDescent="0.25">
      <c r="E156" s="22" t="s">
        <v>166</v>
      </c>
      <c r="F156" s="22">
        <v>0</v>
      </c>
      <c r="G156" s="22">
        <v>0</v>
      </c>
      <c r="H156" s="22">
        <v>0</v>
      </c>
    </row>
    <row r="157" spans="1:14" x14ac:dyDescent="0.25">
      <c r="E157" s="22" t="s">
        <v>165</v>
      </c>
      <c r="F157" s="22">
        <v>0</v>
      </c>
      <c r="G157" s="22">
        <v>0</v>
      </c>
      <c r="H157" s="22">
        <v>0</v>
      </c>
    </row>
    <row r="158" spans="1:14" x14ac:dyDescent="0.25">
      <c r="E158" s="22" t="s">
        <v>166</v>
      </c>
      <c r="F158" s="22" t="s">
        <v>83</v>
      </c>
      <c r="G158" s="22" t="s">
        <v>83</v>
      </c>
      <c r="H158" s="22" t="s">
        <v>82</v>
      </c>
    </row>
    <row r="159" spans="1:14" ht="15.6" customHeight="1" x14ac:dyDescent="0.25">
      <c r="A159" s="22" t="s">
        <v>119</v>
      </c>
      <c r="B159" s="22" t="s">
        <v>98</v>
      </c>
      <c r="C159" s="22">
        <v>60</v>
      </c>
      <c r="D159" s="22">
        <v>80</v>
      </c>
      <c r="E159" s="22" t="s">
        <v>165</v>
      </c>
      <c r="F159" s="22" t="s">
        <v>92</v>
      </c>
      <c r="G159" s="22" t="s">
        <v>83</v>
      </c>
      <c r="H159" s="22" t="s">
        <v>92</v>
      </c>
      <c r="I159" s="22" t="s">
        <v>65</v>
      </c>
      <c r="J159" s="22" t="s">
        <v>88</v>
      </c>
      <c r="K159" s="22" t="s">
        <v>88</v>
      </c>
      <c r="L159" s="22" t="s">
        <v>88</v>
      </c>
      <c r="M159" s="22">
        <v>525</v>
      </c>
      <c r="N159" s="22">
        <v>75</v>
      </c>
    </row>
    <row r="160" spans="1:14" x14ac:dyDescent="0.25">
      <c r="E160" s="22" t="s">
        <v>166</v>
      </c>
      <c r="F160" s="22">
        <v>0</v>
      </c>
      <c r="G160" s="22">
        <v>0</v>
      </c>
      <c r="H160" s="22">
        <v>0</v>
      </c>
    </row>
    <row r="161" spans="1:14" x14ac:dyDescent="0.25">
      <c r="E161" s="22" t="s">
        <v>165</v>
      </c>
      <c r="F161" s="22">
        <v>0</v>
      </c>
      <c r="G161" s="22">
        <v>0</v>
      </c>
      <c r="H161" s="22">
        <v>0</v>
      </c>
    </row>
    <row r="162" spans="1:14" x14ac:dyDescent="0.25">
      <c r="E162" s="22" t="s">
        <v>166</v>
      </c>
      <c r="F162" s="22" t="s">
        <v>82</v>
      </c>
      <c r="G162" s="22" t="s">
        <v>83</v>
      </c>
      <c r="H162" s="22" t="s">
        <v>82</v>
      </c>
    </row>
    <row r="163" spans="1:14" ht="15.6" customHeight="1" x14ac:dyDescent="0.25">
      <c r="A163" s="22" t="s">
        <v>119</v>
      </c>
      <c r="B163" s="22" t="s">
        <v>99</v>
      </c>
      <c r="C163" s="22">
        <v>60</v>
      </c>
      <c r="D163" s="22">
        <v>80</v>
      </c>
      <c r="E163" s="22" t="s">
        <v>165</v>
      </c>
      <c r="F163" s="22" t="s">
        <v>92</v>
      </c>
      <c r="G163" s="22" t="s">
        <v>83</v>
      </c>
      <c r="H163" s="22" t="s">
        <v>113</v>
      </c>
      <c r="I163" s="22" t="s">
        <v>65</v>
      </c>
      <c r="J163" s="22" t="s">
        <v>91</v>
      </c>
      <c r="K163" s="22" t="s">
        <v>91</v>
      </c>
      <c r="L163" s="22" t="s">
        <v>91</v>
      </c>
      <c r="M163" s="22">
        <v>695</v>
      </c>
      <c r="N163" s="22">
        <v>95</v>
      </c>
    </row>
    <row r="164" spans="1:14" x14ac:dyDescent="0.25">
      <c r="E164" s="22" t="s">
        <v>166</v>
      </c>
      <c r="F164" s="22">
        <v>0</v>
      </c>
      <c r="G164" s="22">
        <v>0</v>
      </c>
      <c r="H164" s="22" t="s">
        <v>78</v>
      </c>
    </row>
    <row r="165" spans="1:14" x14ac:dyDescent="0.25">
      <c r="E165" s="22" t="s">
        <v>165</v>
      </c>
      <c r="F165" s="22">
        <v>0</v>
      </c>
      <c r="G165" s="22">
        <v>0</v>
      </c>
      <c r="H165" s="22">
        <v>0</v>
      </c>
    </row>
    <row r="166" spans="1:14" x14ac:dyDescent="0.25">
      <c r="E166" s="22" t="s">
        <v>166</v>
      </c>
      <c r="F166" s="22" t="s">
        <v>90</v>
      </c>
      <c r="G166" s="22" t="s">
        <v>83</v>
      </c>
      <c r="H166" s="22" t="s">
        <v>92</v>
      </c>
    </row>
    <row r="167" spans="1:14" ht="15.6" customHeight="1" x14ac:dyDescent="0.25">
      <c r="A167" s="22" t="s">
        <v>119</v>
      </c>
      <c r="B167" s="22" t="s">
        <v>100</v>
      </c>
      <c r="C167" s="22">
        <v>60</v>
      </c>
      <c r="D167" s="22">
        <v>80</v>
      </c>
      <c r="E167" s="22" t="s">
        <v>165</v>
      </c>
      <c r="F167" s="22" t="s">
        <v>113</v>
      </c>
      <c r="G167" s="22" t="s">
        <v>83</v>
      </c>
      <c r="H167" s="22" t="s">
        <v>82</v>
      </c>
      <c r="I167" s="22" t="s">
        <v>65</v>
      </c>
      <c r="J167" s="22" t="s">
        <v>91</v>
      </c>
      <c r="K167" s="22" t="s">
        <v>91</v>
      </c>
      <c r="L167" s="22" t="s">
        <v>91</v>
      </c>
      <c r="M167" s="22">
        <v>620</v>
      </c>
      <c r="N167" s="22">
        <v>85</v>
      </c>
    </row>
    <row r="168" spans="1:14" x14ac:dyDescent="0.25">
      <c r="E168" s="22" t="s">
        <v>166</v>
      </c>
      <c r="F168" s="22">
        <v>0</v>
      </c>
      <c r="G168" s="22">
        <v>0</v>
      </c>
      <c r="H168" s="22">
        <v>0</v>
      </c>
    </row>
    <row r="169" spans="1:14" x14ac:dyDescent="0.25">
      <c r="E169" s="22" t="s">
        <v>165</v>
      </c>
      <c r="F169" s="22">
        <v>0</v>
      </c>
      <c r="G169" s="22">
        <v>0</v>
      </c>
      <c r="H169" s="22">
        <v>0</v>
      </c>
    </row>
    <row r="170" spans="1:14" x14ac:dyDescent="0.25">
      <c r="E170" s="22" t="s">
        <v>166</v>
      </c>
      <c r="F170" s="22" t="s">
        <v>82</v>
      </c>
      <c r="G170" s="22" t="s">
        <v>83</v>
      </c>
      <c r="H170" s="22" t="s">
        <v>82</v>
      </c>
    </row>
    <row r="171" spans="1:14" ht="15.6" customHeight="1" x14ac:dyDescent="0.25">
      <c r="A171" s="22" t="s">
        <v>119</v>
      </c>
      <c r="B171" s="22" t="s">
        <v>80</v>
      </c>
      <c r="C171" s="22">
        <v>50</v>
      </c>
      <c r="D171" s="22">
        <v>70</v>
      </c>
      <c r="E171" s="22" t="s">
        <v>165</v>
      </c>
      <c r="F171" s="22" t="s">
        <v>92</v>
      </c>
      <c r="G171" s="22" t="s">
        <v>83</v>
      </c>
      <c r="H171" s="22" t="s">
        <v>83</v>
      </c>
      <c r="I171" s="22" t="s">
        <v>7</v>
      </c>
      <c r="J171" s="22" t="s">
        <v>93</v>
      </c>
      <c r="K171" s="22" t="s">
        <v>93</v>
      </c>
      <c r="L171" s="22" t="s">
        <v>93</v>
      </c>
      <c r="M171" s="22">
        <v>620</v>
      </c>
      <c r="N171" s="22">
        <v>130</v>
      </c>
    </row>
    <row r="172" spans="1:14" x14ac:dyDescent="0.25">
      <c r="E172" s="22" t="s">
        <v>166</v>
      </c>
      <c r="F172" s="22" t="s">
        <v>78</v>
      </c>
      <c r="G172" s="22">
        <v>0</v>
      </c>
      <c r="H172" s="22">
        <v>0</v>
      </c>
    </row>
    <row r="173" spans="1:14" x14ac:dyDescent="0.25">
      <c r="E173" s="22" t="s">
        <v>165</v>
      </c>
      <c r="F173" s="22">
        <v>0</v>
      </c>
      <c r="G173" s="22">
        <v>0</v>
      </c>
      <c r="H173" s="22">
        <v>0</v>
      </c>
    </row>
    <row r="174" spans="1:14" x14ac:dyDescent="0.25">
      <c r="E174" s="22" t="s">
        <v>166</v>
      </c>
      <c r="F174" s="22" t="s">
        <v>82</v>
      </c>
      <c r="G174" s="22" t="s">
        <v>78</v>
      </c>
      <c r="H174" s="22" t="s">
        <v>92</v>
      </c>
    </row>
    <row r="175" spans="1:14" ht="15.6" customHeight="1" x14ac:dyDescent="0.25">
      <c r="A175" s="22" t="s">
        <v>119</v>
      </c>
      <c r="B175" s="22" t="s">
        <v>104</v>
      </c>
      <c r="C175" s="22">
        <v>60</v>
      </c>
      <c r="D175" s="22">
        <v>80</v>
      </c>
      <c r="E175" s="22" t="s">
        <v>165</v>
      </c>
      <c r="F175" s="22" t="s">
        <v>113</v>
      </c>
      <c r="G175" s="22" t="s">
        <v>83</v>
      </c>
      <c r="H175" s="22" t="s">
        <v>92</v>
      </c>
      <c r="I175" s="22" t="s">
        <v>65</v>
      </c>
      <c r="J175" s="22" t="s">
        <v>91</v>
      </c>
      <c r="K175" s="22" t="s">
        <v>91</v>
      </c>
      <c r="L175" s="22" t="s">
        <v>91</v>
      </c>
      <c r="M175" s="22">
        <v>620</v>
      </c>
      <c r="N175" s="22">
        <v>75</v>
      </c>
    </row>
    <row r="176" spans="1:14" x14ac:dyDescent="0.25">
      <c r="E176" s="22" t="s">
        <v>166</v>
      </c>
      <c r="F176" s="22">
        <v>0</v>
      </c>
      <c r="G176" s="22">
        <v>0</v>
      </c>
      <c r="H176" s="22">
        <v>0</v>
      </c>
    </row>
    <row r="177" spans="1:14" x14ac:dyDescent="0.25">
      <c r="E177" s="22" t="s">
        <v>165</v>
      </c>
      <c r="F177" s="22">
        <v>0</v>
      </c>
      <c r="G177" s="22">
        <v>0</v>
      </c>
      <c r="H177" s="22">
        <v>0</v>
      </c>
    </row>
    <row r="178" spans="1:14" x14ac:dyDescent="0.25">
      <c r="E178" s="22" t="s">
        <v>166</v>
      </c>
      <c r="F178" s="22" t="s">
        <v>82</v>
      </c>
      <c r="G178" s="22" t="s">
        <v>83</v>
      </c>
      <c r="H178" s="22" t="s">
        <v>92</v>
      </c>
    </row>
    <row r="179" spans="1:14" x14ac:dyDescent="0.25">
      <c r="A179" s="22" t="s">
        <v>119</v>
      </c>
      <c r="B179" s="22" t="s">
        <v>120</v>
      </c>
      <c r="C179" s="22">
        <v>50</v>
      </c>
      <c r="D179" s="22">
        <v>70</v>
      </c>
      <c r="E179" s="22" t="s">
        <v>165</v>
      </c>
      <c r="F179" s="22" t="s">
        <v>90</v>
      </c>
      <c r="G179" s="22" t="s">
        <v>78</v>
      </c>
      <c r="H179" s="22" t="s">
        <v>83</v>
      </c>
      <c r="I179" s="22" t="s">
        <v>7</v>
      </c>
      <c r="J179" s="22" t="s">
        <v>88</v>
      </c>
      <c r="K179" s="22" t="s">
        <v>88</v>
      </c>
      <c r="L179" s="22" t="s">
        <v>88</v>
      </c>
      <c r="M179" s="22">
        <v>685</v>
      </c>
      <c r="N179" s="22">
        <v>85</v>
      </c>
    </row>
    <row r="180" spans="1:14" x14ac:dyDescent="0.25">
      <c r="E180" s="22" t="s">
        <v>166</v>
      </c>
      <c r="F180" s="22">
        <v>0</v>
      </c>
      <c r="G180" s="22">
        <v>0</v>
      </c>
      <c r="H180" s="22">
        <v>0</v>
      </c>
    </row>
    <row r="181" spans="1:14" x14ac:dyDescent="0.25">
      <c r="E181" s="22" t="s">
        <v>165</v>
      </c>
      <c r="F181" s="22">
        <v>0</v>
      </c>
      <c r="G181" s="22">
        <v>0</v>
      </c>
      <c r="H181" s="22">
        <v>0</v>
      </c>
    </row>
    <row r="182" spans="1:14" x14ac:dyDescent="0.25">
      <c r="E182" s="22" t="s">
        <v>166</v>
      </c>
      <c r="F182" s="22" t="s">
        <v>83</v>
      </c>
      <c r="G182" s="22" t="s">
        <v>78</v>
      </c>
      <c r="H182" s="22" t="s">
        <v>83</v>
      </c>
    </row>
    <row r="183" spans="1:14" x14ac:dyDescent="0.25">
      <c r="A183" s="22" t="s">
        <v>119</v>
      </c>
      <c r="B183" s="22" t="s">
        <v>106</v>
      </c>
      <c r="C183" s="22">
        <v>60</v>
      </c>
      <c r="D183" s="22">
        <v>80</v>
      </c>
      <c r="E183" s="22" t="s">
        <v>165</v>
      </c>
      <c r="F183" s="22" t="s">
        <v>90</v>
      </c>
      <c r="G183" s="22" t="s">
        <v>83</v>
      </c>
      <c r="H183" s="22" t="s">
        <v>113</v>
      </c>
      <c r="I183" s="22" t="s">
        <v>7</v>
      </c>
      <c r="J183" s="22" t="s">
        <v>79</v>
      </c>
      <c r="K183" s="22" t="s">
        <v>79</v>
      </c>
      <c r="L183" s="22" t="s">
        <v>79</v>
      </c>
      <c r="M183" s="22">
        <v>1220</v>
      </c>
      <c r="N183" s="22">
        <v>95</v>
      </c>
    </row>
    <row r="184" spans="1:14" x14ac:dyDescent="0.25">
      <c r="E184" s="22" t="s">
        <v>166</v>
      </c>
      <c r="F184" s="22">
        <v>0</v>
      </c>
      <c r="G184" s="22">
        <v>0</v>
      </c>
      <c r="H184" s="22" t="s">
        <v>78</v>
      </c>
    </row>
    <row r="185" spans="1:14" x14ac:dyDescent="0.25">
      <c r="E185" s="22" t="s">
        <v>165</v>
      </c>
      <c r="F185" s="22">
        <v>0</v>
      </c>
      <c r="G185" s="22">
        <v>0</v>
      </c>
      <c r="H185" s="22">
        <v>0</v>
      </c>
    </row>
    <row r="186" spans="1:14" x14ac:dyDescent="0.25">
      <c r="E186" s="22" t="s">
        <v>166</v>
      </c>
      <c r="F186" s="22" t="s">
        <v>83</v>
      </c>
      <c r="G186" s="22" t="s">
        <v>83</v>
      </c>
      <c r="H186" s="22" t="s">
        <v>92</v>
      </c>
    </row>
    <row r="187" spans="1:14" x14ac:dyDescent="0.25">
      <c r="A187" s="22" t="s">
        <v>119</v>
      </c>
      <c r="B187" s="22" t="s">
        <v>107</v>
      </c>
      <c r="C187" s="22">
        <v>60</v>
      </c>
      <c r="D187" s="22">
        <v>80</v>
      </c>
      <c r="E187" s="22" t="s">
        <v>165</v>
      </c>
      <c r="F187" s="22" t="s">
        <v>82</v>
      </c>
      <c r="G187" s="22" t="s">
        <v>83</v>
      </c>
      <c r="H187" s="22" t="s">
        <v>92</v>
      </c>
      <c r="I187" s="22" t="s">
        <v>65</v>
      </c>
      <c r="J187" s="22" t="s">
        <v>88</v>
      </c>
      <c r="K187" s="22" t="s">
        <v>88</v>
      </c>
      <c r="L187" s="22" t="s">
        <v>88</v>
      </c>
      <c r="M187" s="22">
        <v>540</v>
      </c>
      <c r="N187" s="22">
        <v>85</v>
      </c>
    </row>
    <row r="188" spans="1:14" x14ac:dyDescent="0.25">
      <c r="E188" s="22" t="s">
        <v>166</v>
      </c>
      <c r="F188" s="22">
        <v>0</v>
      </c>
      <c r="G188" s="22">
        <v>0</v>
      </c>
      <c r="H188" s="22">
        <v>0</v>
      </c>
    </row>
    <row r="189" spans="1:14" x14ac:dyDescent="0.25">
      <c r="E189" s="22" t="s">
        <v>165</v>
      </c>
      <c r="F189" s="22">
        <v>0</v>
      </c>
      <c r="G189" s="22">
        <v>0</v>
      </c>
      <c r="H189" s="22">
        <v>0</v>
      </c>
    </row>
    <row r="190" spans="1:14" x14ac:dyDescent="0.25">
      <c r="E190" s="22" t="s">
        <v>166</v>
      </c>
      <c r="F190" s="22" t="s">
        <v>82</v>
      </c>
      <c r="G190" s="22" t="s">
        <v>83</v>
      </c>
      <c r="H190" s="22" t="s">
        <v>83</v>
      </c>
    </row>
    <row r="191" spans="1:14" x14ac:dyDescent="0.25">
      <c r="A191" s="22" t="s">
        <v>119</v>
      </c>
      <c r="B191" s="22" t="s">
        <v>86</v>
      </c>
      <c r="C191" s="22">
        <v>50</v>
      </c>
      <c r="D191" s="22">
        <v>70</v>
      </c>
      <c r="E191" s="22" t="s">
        <v>165</v>
      </c>
      <c r="F191" s="22" t="s">
        <v>83</v>
      </c>
      <c r="G191" s="22" t="s">
        <v>78</v>
      </c>
      <c r="H191" s="22" t="s">
        <v>90</v>
      </c>
      <c r="I191" s="22" t="s">
        <v>7</v>
      </c>
      <c r="J191" s="22" t="s">
        <v>88</v>
      </c>
      <c r="K191" s="22" t="s">
        <v>88</v>
      </c>
      <c r="L191" s="22" t="s">
        <v>88</v>
      </c>
      <c r="M191" s="22">
        <v>540</v>
      </c>
      <c r="N191" s="22">
        <v>95</v>
      </c>
    </row>
    <row r="192" spans="1:14" x14ac:dyDescent="0.25">
      <c r="E192" s="22" t="s">
        <v>166</v>
      </c>
      <c r="F192" s="22">
        <v>0</v>
      </c>
      <c r="G192" s="22">
        <v>0</v>
      </c>
      <c r="H192" s="22">
        <v>0</v>
      </c>
    </row>
    <row r="193" spans="1:14" x14ac:dyDescent="0.25">
      <c r="E193" s="22" t="s">
        <v>165</v>
      </c>
      <c r="F193" s="22">
        <v>0</v>
      </c>
      <c r="G193" s="22">
        <v>0</v>
      </c>
      <c r="H193" s="22">
        <v>0</v>
      </c>
    </row>
    <row r="194" spans="1:14" x14ac:dyDescent="0.25">
      <c r="E194" s="22" t="s">
        <v>166</v>
      </c>
      <c r="F194" s="22" t="s">
        <v>92</v>
      </c>
      <c r="G194" s="22" t="s">
        <v>78</v>
      </c>
      <c r="H194" s="22" t="s">
        <v>83</v>
      </c>
    </row>
    <row r="195" spans="1:14" ht="15.6" customHeight="1" x14ac:dyDescent="0.25">
      <c r="A195" s="22" t="s">
        <v>119</v>
      </c>
      <c r="B195" s="22" t="s">
        <v>121</v>
      </c>
      <c r="C195" s="22">
        <v>60</v>
      </c>
      <c r="D195" s="22">
        <v>80</v>
      </c>
      <c r="E195" s="22" t="s">
        <v>165</v>
      </c>
      <c r="F195" s="22" t="s">
        <v>113</v>
      </c>
      <c r="G195" s="22" t="s">
        <v>83</v>
      </c>
      <c r="H195" s="22" t="s">
        <v>113</v>
      </c>
      <c r="I195" s="22" t="s">
        <v>7</v>
      </c>
      <c r="J195" s="22" t="s">
        <v>79</v>
      </c>
      <c r="K195" s="22" t="s">
        <v>79</v>
      </c>
      <c r="L195" s="22" t="s">
        <v>79</v>
      </c>
      <c r="M195" s="22">
        <v>1160</v>
      </c>
      <c r="N195" s="22">
        <v>115</v>
      </c>
    </row>
    <row r="196" spans="1:14" x14ac:dyDescent="0.25">
      <c r="E196" s="22" t="s">
        <v>166</v>
      </c>
      <c r="F196" s="22">
        <v>0</v>
      </c>
      <c r="G196" s="22">
        <v>0</v>
      </c>
      <c r="H196" s="22">
        <v>0</v>
      </c>
    </row>
    <row r="197" spans="1:14" x14ac:dyDescent="0.25">
      <c r="E197" s="22" t="s">
        <v>165</v>
      </c>
      <c r="F197" s="22">
        <v>0</v>
      </c>
      <c r="G197" s="22">
        <v>0</v>
      </c>
      <c r="H197" s="22">
        <v>0</v>
      </c>
    </row>
    <row r="198" spans="1:14" x14ac:dyDescent="0.25">
      <c r="E198" s="22" t="s">
        <v>166</v>
      </c>
      <c r="F198" s="22" t="s">
        <v>82</v>
      </c>
      <c r="G198" s="22" t="s">
        <v>83</v>
      </c>
      <c r="H198" s="22" t="s">
        <v>82</v>
      </c>
    </row>
    <row r="199" spans="1:14" x14ac:dyDescent="0.25">
      <c r="A199" s="22" t="s">
        <v>119</v>
      </c>
      <c r="B199" s="22" t="s">
        <v>111</v>
      </c>
      <c r="C199" s="22">
        <v>60</v>
      </c>
      <c r="D199" s="22">
        <v>80</v>
      </c>
      <c r="E199" s="22" t="s">
        <v>165</v>
      </c>
      <c r="F199" s="22" t="s">
        <v>92</v>
      </c>
      <c r="G199" s="22" t="s">
        <v>83</v>
      </c>
      <c r="H199" s="22" t="s">
        <v>82</v>
      </c>
      <c r="I199" s="22" t="s">
        <v>65</v>
      </c>
      <c r="J199" s="22" t="s">
        <v>88</v>
      </c>
      <c r="K199" s="22" t="s">
        <v>88</v>
      </c>
      <c r="L199" s="22" t="s">
        <v>88</v>
      </c>
      <c r="M199" s="22">
        <v>540</v>
      </c>
      <c r="N199" s="22">
        <v>75</v>
      </c>
    </row>
    <row r="200" spans="1:14" x14ac:dyDescent="0.25">
      <c r="E200" s="22" t="s">
        <v>166</v>
      </c>
      <c r="F200" s="22">
        <v>0</v>
      </c>
      <c r="G200" s="22">
        <v>0</v>
      </c>
      <c r="H200" s="22">
        <v>0</v>
      </c>
    </row>
    <row r="201" spans="1:14" x14ac:dyDescent="0.25">
      <c r="E201" s="22" t="s">
        <v>165</v>
      </c>
      <c r="F201" s="22">
        <v>0</v>
      </c>
      <c r="G201" s="22">
        <v>0</v>
      </c>
      <c r="H201" s="22">
        <v>0</v>
      </c>
    </row>
    <row r="202" spans="1:14" x14ac:dyDescent="0.25">
      <c r="E202" s="22" t="s">
        <v>166</v>
      </c>
      <c r="F202" s="22" t="s">
        <v>83</v>
      </c>
      <c r="G202" s="22" t="s">
        <v>83</v>
      </c>
      <c r="H202" s="22" t="s">
        <v>82</v>
      </c>
    </row>
    <row r="203" spans="1:14" x14ac:dyDescent="0.25">
      <c r="A203" s="22" t="s">
        <v>119</v>
      </c>
      <c r="B203" s="22" t="s">
        <v>112</v>
      </c>
      <c r="C203" s="22">
        <v>60</v>
      </c>
      <c r="D203" s="22">
        <v>80</v>
      </c>
      <c r="E203" s="22" t="s">
        <v>165</v>
      </c>
      <c r="F203" s="22" t="s">
        <v>102</v>
      </c>
      <c r="G203" s="22" t="s">
        <v>83</v>
      </c>
      <c r="H203" s="22" t="s">
        <v>92</v>
      </c>
      <c r="I203" s="22" t="s">
        <v>65</v>
      </c>
      <c r="J203" s="22" t="s">
        <v>91</v>
      </c>
      <c r="K203" s="22" t="s">
        <v>91</v>
      </c>
      <c r="L203" s="22" t="s">
        <v>91</v>
      </c>
      <c r="M203" s="22">
        <v>685</v>
      </c>
      <c r="N203" s="22">
        <v>90</v>
      </c>
    </row>
    <row r="204" spans="1:14" x14ac:dyDescent="0.25">
      <c r="E204" s="22" t="s">
        <v>166</v>
      </c>
      <c r="F204" s="22">
        <v>0</v>
      </c>
      <c r="G204" s="22">
        <v>0</v>
      </c>
      <c r="H204" s="22">
        <v>0</v>
      </c>
    </row>
    <row r="205" spans="1:14" x14ac:dyDescent="0.25">
      <c r="E205" s="22" t="s">
        <v>165</v>
      </c>
      <c r="F205" s="22">
        <v>0</v>
      </c>
      <c r="G205" s="22">
        <v>0</v>
      </c>
      <c r="H205" s="22">
        <v>0</v>
      </c>
    </row>
    <row r="206" spans="1:14" x14ac:dyDescent="0.25">
      <c r="E206" s="22" t="s">
        <v>166</v>
      </c>
      <c r="F206" s="22" t="s">
        <v>82</v>
      </c>
      <c r="G206" s="22" t="s">
        <v>83</v>
      </c>
      <c r="H206" s="22" t="s">
        <v>90</v>
      </c>
    </row>
    <row r="207" spans="1:14" x14ac:dyDescent="0.25">
      <c r="A207" s="22" t="s">
        <v>119</v>
      </c>
      <c r="B207" s="22" t="s">
        <v>114</v>
      </c>
      <c r="C207" s="22">
        <v>60</v>
      </c>
      <c r="D207" s="22">
        <v>80</v>
      </c>
      <c r="E207" s="22" t="s">
        <v>165</v>
      </c>
      <c r="F207" s="22" t="s">
        <v>113</v>
      </c>
      <c r="G207" s="22" t="s">
        <v>83</v>
      </c>
      <c r="H207" s="22" t="s">
        <v>92</v>
      </c>
      <c r="I207" s="22" t="s">
        <v>65</v>
      </c>
      <c r="J207" s="22" t="s">
        <v>93</v>
      </c>
      <c r="K207" s="22" t="s">
        <v>93</v>
      </c>
      <c r="L207" s="22" t="s">
        <v>93</v>
      </c>
      <c r="M207" s="22">
        <v>525</v>
      </c>
      <c r="N207" s="22">
        <v>85</v>
      </c>
    </row>
    <row r="208" spans="1:14" x14ac:dyDescent="0.25">
      <c r="E208" s="22" t="s">
        <v>166</v>
      </c>
      <c r="F208" s="22">
        <v>0</v>
      </c>
      <c r="G208" s="22">
        <v>0</v>
      </c>
      <c r="H208" s="22">
        <v>0</v>
      </c>
    </row>
    <row r="209" spans="1:14" x14ac:dyDescent="0.25">
      <c r="E209" s="22" t="s">
        <v>165</v>
      </c>
      <c r="F209" s="22">
        <v>0</v>
      </c>
      <c r="G209" s="22">
        <v>0</v>
      </c>
      <c r="H209" s="22">
        <v>0</v>
      </c>
    </row>
    <row r="210" spans="1:14" x14ac:dyDescent="0.25">
      <c r="E210" s="22" t="s">
        <v>166</v>
      </c>
      <c r="F210" s="22" t="s">
        <v>82</v>
      </c>
      <c r="G210" s="22" t="s">
        <v>83</v>
      </c>
      <c r="H210" s="22" t="s">
        <v>90</v>
      </c>
    </row>
    <row r="211" spans="1:14" x14ac:dyDescent="0.25">
      <c r="A211" s="22" t="s">
        <v>119</v>
      </c>
      <c r="B211" s="22" t="s">
        <v>115</v>
      </c>
      <c r="C211" s="22">
        <v>50</v>
      </c>
      <c r="D211" s="22">
        <v>70</v>
      </c>
      <c r="E211" s="22" t="s">
        <v>165</v>
      </c>
      <c r="F211" s="22" t="s">
        <v>90</v>
      </c>
      <c r="G211" s="22" t="s">
        <v>83</v>
      </c>
      <c r="H211" s="22" t="s">
        <v>90</v>
      </c>
      <c r="I211" s="22" t="s">
        <v>7</v>
      </c>
      <c r="J211" s="22" t="s">
        <v>93</v>
      </c>
      <c r="K211" s="22" t="s">
        <v>93</v>
      </c>
      <c r="L211" s="22" t="s">
        <v>93</v>
      </c>
      <c r="M211" s="22">
        <v>695</v>
      </c>
      <c r="N211" s="22">
        <v>95</v>
      </c>
    </row>
    <row r="212" spans="1:14" x14ac:dyDescent="0.25">
      <c r="E212" s="22" t="s">
        <v>166</v>
      </c>
      <c r="F212" s="22">
        <v>0</v>
      </c>
      <c r="G212" s="22">
        <v>0</v>
      </c>
      <c r="H212" s="22" t="s">
        <v>83</v>
      </c>
    </row>
    <row r="213" spans="1:14" x14ac:dyDescent="0.25">
      <c r="E213" s="22" t="s">
        <v>165</v>
      </c>
      <c r="F213" s="22">
        <v>0</v>
      </c>
      <c r="G213" s="22">
        <v>0</v>
      </c>
      <c r="H213" s="22">
        <v>0</v>
      </c>
    </row>
    <row r="214" spans="1:14" x14ac:dyDescent="0.25">
      <c r="E214" s="22" t="s">
        <v>166</v>
      </c>
      <c r="F214" s="22" t="s">
        <v>92</v>
      </c>
      <c r="G214" s="22" t="s">
        <v>83</v>
      </c>
      <c r="H214" s="22" t="s">
        <v>92</v>
      </c>
    </row>
    <row r="215" spans="1:14" x14ac:dyDescent="0.25">
      <c r="A215" s="22" t="s">
        <v>119</v>
      </c>
      <c r="B215" s="22" t="s">
        <v>116</v>
      </c>
      <c r="C215" s="22">
        <v>60</v>
      </c>
      <c r="D215" s="22">
        <v>80</v>
      </c>
      <c r="E215" s="22" t="s">
        <v>165</v>
      </c>
      <c r="F215" s="22" t="s">
        <v>113</v>
      </c>
      <c r="G215" s="22" t="s">
        <v>82</v>
      </c>
      <c r="H215" s="22" t="s">
        <v>102</v>
      </c>
      <c r="I215" s="22" t="s">
        <v>65</v>
      </c>
      <c r="J215" s="22" t="s">
        <v>88</v>
      </c>
      <c r="K215" s="22" t="s">
        <v>88</v>
      </c>
      <c r="L215" s="22" t="s">
        <v>88</v>
      </c>
      <c r="M215" s="22">
        <v>1000</v>
      </c>
      <c r="N215" s="22">
        <v>115</v>
      </c>
    </row>
    <row r="216" spans="1:14" x14ac:dyDescent="0.25">
      <c r="E216" s="22" t="s">
        <v>166</v>
      </c>
      <c r="F216" s="22">
        <v>0</v>
      </c>
      <c r="G216" s="22">
        <v>0</v>
      </c>
      <c r="H216" s="22" t="s">
        <v>78</v>
      </c>
    </row>
    <row r="217" spans="1:14" x14ac:dyDescent="0.25">
      <c r="E217" s="22" t="s">
        <v>165</v>
      </c>
      <c r="F217" s="22">
        <v>0</v>
      </c>
      <c r="G217" s="22">
        <v>0</v>
      </c>
      <c r="H217" s="22">
        <v>0</v>
      </c>
    </row>
    <row r="218" spans="1:14" x14ac:dyDescent="0.25">
      <c r="E218" s="22" t="s">
        <v>166</v>
      </c>
      <c r="F218" s="22" t="s">
        <v>82</v>
      </c>
      <c r="G218" s="22" t="s">
        <v>82</v>
      </c>
      <c r="H218" s="22" t="s">
        <v>92</v>
      </c>
    </row>
    <row r="219" spans="1:14" x14ac:dyDescent="0.25">
      <c r="A219" s="22" t="s">
        <v>119</v>
      </c>
      <c r="B219" s="22" t="s">
        <v>117</v>
      </c>
      <c r="C219" s="22">
        <v>60</v>
      </c>
      <c r="D219" s="22">
        <v>80</v>
      </c>
      <c r="E219" s="22" t="s">
        <v>165</v>
      </c>
      <c r="F219" s="22" t="s">
        <v>102</v>
      </c>
      <c r="G219" s="22" t="s">
        <v>83</v>
      </c>
      <c r="H219" s="22" t="s">
        <v>113</v>
      </c>
      <c r="I219" s="22" t="s">
        <v>65</v>
      </c>
      <c r="J219" s="22" t="s">
        <v>88</v>
      </c>
      <c r="K219" s="22" t="s">
        <v>88</v>
      </c>
      <c r="L219" s="22" t="s">
        <v>88</v>
      </c>
      <c r="M219" s="22">
        <v>1000</v>
      </c>
      <c r="N219" s="22">
        <v>75</v>
      </c>
    </row>
    <row r="220" spans="1:14" x14ac:dyDescent="0.25">
      <c r="E220" s="22" t="s">
        <v>166</v>
      </c>
      <c r="F220" s="22">
        <v>0</v>
      </c>
      <c r="G220" s="22">
        <v>0</v>
      </c>
      <c r="H220" s="22" t="s">
        <v>78</v>
      </c>
    </row>
    <row r="221" spans="1:14" x14ac:dyDescent="0.25">
      <c r="E221" s="22" t="s">
        <v>165</v>
      </c>
      <c r="F221" s="22">
        <v>0</v>
      </c>
      <c r="G221" s="22">
        <v>0</v>
      </c>
      <c r="H221" s="22">
        <v>0</v>
      </c>
    </row>
    <row r="222" spans="1:14" x14ac:dyDescent="0.25">
      <c r="E222" s="22" t="s">
        <v>166</v>
      </c>
      <c r="F222" s="22" t="s">
        <v>82</v>
      </c>
      <c r="G222" s="22" t="s">
        <v>83</v>
      </c>
      <c r="H222" s="22" t="s">
        <v>92</v>
      </c>
    </row>
    <row r="223" spans="1:14" ht="15.6" customHeight="1" x14ac:dyDescent="0.25">
      <c r="A223" s="22" t="s">
        <v>119</v>
      </c>
      <c r="B223" s="22" t="s">
        <v>118</v>
      </c>
      <c r="C223" s="22">
        <v>60</v>
      </c>
      <c r="D223" s="22">
        <v>80</v>
      </c>
      <c r="E223" s="22" t="s">
        <v>165</v>
      </c>
      <c r="F223" s="22" t="s">
        <v>92</v>
      </c>
      <c r="G223" s="22" t="s">
        <v>83</v>
      </c>
      <c r="H223" s="22" t="s">
        <v>90</v>
      </c>
      <c r="I223" s="22" t="s">
        <v>65</v>
      </c>
      <c r="J223" s="22" t="s">
        <v>88</v>
      </c>
      <c r="K223" s="22" t="s">
        <v>88</v>
      </c>
      <c r="L223" s="22" t="s">
        <v>88</v>
      </c>
      <c r="M223" s="22">
        <v>695</v>
      </c>
      <c r="N223" s="22">
        <v>95</v>
      </c>
    </row>
    <row r="224" spans="1:14" x14ac:dyDescent="0.25">
      <c r="E224" s="22" t="s">
        <v>166</v>
      </c>
      <c r="F224" s="22">
        <v>0</v>
      </c>
      <c r="G224" s="22">
        <v>0</v>
      </c>
      <c r="H224" s="22">
        <v>0</v>
      </c>
    </row>
    <row r="225" spans="1:14" x14ac:dyDescent="0.25">
      <c r="E225" s="22" t="s">
        <v>165</v>
      </c>
      <c r="F225" s="22">
        <v>0</v>
      </c>
      <c r="G225" s="22">
        <v>0</v>
      </c>
      <c r="H225" s="22">
        <v>0</v>
      </c>
    </row>
    <row r="226" spans="1:14" x14ac:dyDescent="0.25">
      <c r="E226" s="22" t="s">
        <v>166</v>
      </c>
      <c r="F226" s="22" t="s">
        <v>83</v>
      </c>
      <c r="G226" s="22" t="s">
        <v>83</v>
      </c>
      <c r="H226" s="22" t="s">
        <v>83</v>
      </c>
    </row>
    <row r="227" spans="1:14" x14ac:dyDescent="0.25">
      <c r="A227" s="22" t="s">
        <v>122</v>
      </c>
      <c r="B227" s="22" t="s">
        <v>97</v>
      </c>
      <c r="C227" s="22">
        <v>60</v>
      </c>
      <c r="D227" s="22">
        <v>80</v>
      </c>
      <c r="E227" s="22" t="s">
        <v>165</v>
      </c>
      <c r="F227" s="22" t="s">
        <v>102</v>
      </c>
      <c r="G227" s="22" t="s">
        <v>83</v>
      </c>
      <c r="H227" s="22" t="s">
        <v>90</v>
      </c>
      <c r="I227" s="22" t="s">
        <v>65</v>
      </c>
      <c r="J227" s="22" t="s">
        <v>91</v>
      </c>
      <c r="K227" s="22" t="s">
        <v>91</v>
      </c>
      <c r="L227" s="22" t="s">
        <v>91</v>
      </c>
      <c r="M227" s="22">
        <v>685</v>
      </c>
      <c r="N227" s="22">
        <v>90</v>
      </c>
    </row>
    <row r="228" spans="1:14" x14ac:dyDescent="0.25">
      <c r="E228" s="22" t="s">
        <v>166</v>
      </c>
      <c r="F228" s="22">
        <v>0</v>
      </c>
      <c r="G228" s="22">
        <v>0</v>
      </c>
      <c r="H228" s="22">
        <v>0</v>
      </c>
    </row>
    <row r="229" spans="1:14" x14ac:dyDescent="0.25">
      <c r="E229" s="22" t="s">
        <v>165</v>
      </c>
      <c r="F229" s="22">
        <v>0</v>
      </c>
      <c r="G229" s="22">
        <v>0</v>
      </c>
      <c r="H229" s="22">
        <v>0</v>
      </c>
    </row>
    <row r="230" spans="1:14" x14ac:dyDescent="0.25">
      <c r="E230" s="22" t="s">
        <v>166</v>
      </c>
      <c r="F230" s="22" t="s">
        <v>92</v>
      </c>
      <c r="G230" s="22" t="s">
        <v>83</v>
      </c>
      <c r="H230" s="22" t="s">
        <v>90</v>
      </c>
    </row>
    <row r="231" spans="1:14" x14ac:dyDescent="0.25">
      <c r="A231" s="22" t="s">
        <v>122</v>
      </c>
      <c r="B231" s="22" t="s">
        <v>98</v>
      </c>
      <c r="C231" s="22">
        <v>60</v>
      </c>
      <c r="D231" s="22">
        <v>80</v>
      </c>
      <c r="E231" s="22" t="s">
        <v>165</v>
      </c>
      <c r="F231" s="22" t="s">
        <v>90</v>
      </c>
      <c r="G231" s="22" t="s">
        <v>83</v>
      </c>
      <c r="H231" s="22" t="s">
        <v>113</v>
      </c>
      <c r="I231" s="22" t="s">
        <v>65</v>
      </c>
      <c r="J231" s="22" t="s">
        <v>91</v>
      </c>
      <c r="K231" s="22" t="s">
        <v>91</v>
      </c>
      <c r="L231" s="22" t="s">
        <v>91</v>
      </c>
      <c r="M231" s="22">
        <v>525</v>
      </c>
      <c r="N231" s="22">
        <v>75</v>
      </c>
    </row>
    <row r="232" spans="1:14" x14ac:dyDescent="0.25">
      <c r="E232" s="22" t="s">
        <v>166</v>
      </c>
      <c r="F232" s="22">
        <v>0</v>
      </c>
      <c r="G232" s="22">
        <v>0</v>
      </c>
      <c r="H232" s="22">
        <v>0</v>
      </c>
    </row>
    <row r="233" spans="1:14" x14ac:dyDescent="0.25">
      <c r="E233" s="22" t="s">
        <v>165</v>
      </c>
      <c r="F233" s="22">
        <v>0</v>
      </c>
      <c r="G233" s="22">
        <v>0</v>
      </c>
      <c r="H233" s="22">
        <v>0</v>
      </c>
    </row>
    <row r="234" spans="1:14" x14ac:dyDescent="0.25">
      <c r="E234" s="22" t="s">
        <v>166</v>
      </c>
      <c r="F234" s="22" t="s">
        <v>90</v>
      </c>
      <c r="G234" s="22" t="s">
        <v>83</v>
      </c>
      <c r="H234" s="22" t="s">
        <v>92</v>
      </c>
    </row>
    <row r="235" spans="1:14" x14ac:dyDescent="0.25">
      <c r="A235" s="22" t="s">
        <v>122</v>
      </c>
      <c r="B235" s="22" t="s">
        <v>99</v>
      </c>
      <c r="C235" s="22">
        <v>60</v>
      </c>
      <c r="D235" s="22">
        <v>80</v>
      </c>
      <c r="E235" s="22" t="s">
        <v>165</v>
      </c>
      <c r="F235" s="22" t="s">
        <v>113</v>
      </c>
      <c r="G235" s="22" t="s">
        <v>82</v>
      </c>
      <c r="H235" s="22" t="s">
        <v>102</v>
      </c>
      <c r="I235" s="22" t="s">
        <v>65</v>
      </c>
      <c r="J235" s="22" t="s">
        <v>91</v>
      </c>
      <c r="K235" s="22" t="s">
        <v>91</v>
      </c>
      <c r="L235" s="22" t="s">
        <v>91</v>
      </c>
      <c r="M235" s="22">
        <v>695</v>
      </c>
      <c r="N235" s="22">
        <v>95</v>
      </c>
    </row>
    <row r="236" spans="1:14" x14ac:dyDescent="0.25">
      <c r="E236" s="22" t="s">
        <v>166</v>
      </c>
      <c r="F236" s="22">
        <v>0</v>
      </c>
      <c r="G236" s="22">
        <v>0</v>
      </c>
      <c r="H236" s="22" t="s">
        <v>78</v>
      </c>
    </row>
    <row r="237" spans="1:14" x14ac:dyDescent="0.25">
      <c r="E237" s="22" t="s">
        <v>165</v>
      </c>
      <c r="F237" s="22">
        <v>0</v>
      </c>
      <c r="G237" s="22">
        <v>0</v>
      </c>
      <c r="H237" s="22">
        <v>0</v>
      </c>
    </row>
    <row r="238" spans="1:14" x14ac:dyDescent="0.25">
      <c r="E238" s="22" t="s">
        <v>166</v>
      </c>
      <c r="F238" s="22" t="s">
        <v>113</v>
      </c>
      <c r="G238" s="22" t="s">
        <v>83</v>
      </c>
      <c r="H238" s="22" t="s">
        <v>92</v>
      </c>
    </row>
    <row r="239" spans="1:14" x14ac:dyDescent="0.25">
      <c r="A239" s="22" t="s">
        <v>122</v>
      </c>
      <c r="B239" s="22" t="s">
        <v>100</v>
      </c>
      <c r="C239" s="22">
        <v>60</v>
      </c>
      <c r="D239" s="22">
        <v>80</v>
      </c>
      <c r="E239" s="22" t="s">
        <v>165</v>
      </c>
      <c r="F239" s="22" t="s">
        <v>102</v>
      </c>
      <c r="G239" s="22" t="s">
        <v>83</v>
      </c>
      <c r="H239" s="22" t="s">
        <v>90</v>
      </c>
      <c r="I239" s="22" t="s">
        <v>65</v>
      </c>
      <c r="J239" s="22" t="s">
        <v>93</v>
      </c>
      <c r="K239" s="22" t="s">
        <v>93</v>
      </c>
      <c r="L239" s="22" t="s">
        <v>93</v>
      </c>
      <c r="M239" s="22">
        <v>620</v>
      </c>
      <c r="N239" s="22">
        <v>85</v>
      </c>
    </row>
    <row r="240" spans="1:14" x14ac:dyDescent="0.25">
      <c r="E240" s="22" t="s">
        <v>166</v>
      </c>
      <c r="F240" s="22">
        <v>0</v>
      </c>
      <c r="G240" s="22">
        <v>0</v>
      </c>
      <c r="H240" s="22">
        <v>0</v>
      </c>
    </row>
    <row r="241" spans="1:14" x14ac:dyDescent="0.25">
      <c r="E241" s="22" t="s">
        <v>165</v>
      </c>
      <c r="F241" s="22">
        <v>0</v>
      </c>
      <c r="G241" s="22">
        <v>0</v>
      </c>
      <c r="H241" s="22">
        <v>0</v>
      </c>
    </row>
    <row r="242" spans="1:14" x14ac:dyDescent="0.25">
      <c r="E242" s="22" t="s">
        <v>166</v>
      </c>
      <c r="F242" s="22" t="s">
        <v>92</v>
      </c>
      <c r="G242" s="22" t="s">
        <v>83</v>
      </c>
      <c r="H242" s="22" t="s">
        <v>90</v>
      </c>
    </row>
    <row r="243" spans="1:14" ht="15.6" customHeight="1" x14ac:dyDescent="0.25">
      <c r="A243" s="22" t="s">
        <v>122</v>
      </c>
      <c r="B243" s="22" t="s">
        <v>80</v>
      </c>
      <c r="C243" s="22">
        <v>50</v>
      </c>
      <c r="D243" s="22">
        <v>70</v>
      </c>
      <c r="E243" s="22" t="s">
        <v>165</v>
      </c>
      <c r="F243" s="22" t="s">
        <v>90</v>
      </c>
      <c r="G243" s="22" t="s">
        <v>83</v>
      </c>
      <c r="H243" s="22" t="s">
        <v>92</v>
      </c>
      <c r="I243" s="22" t="s">
        <v>7</v>
      </c>
      <c r="J243" s="22" t="s">
        <v>93</v>
      </c>
      <c r="K243" s="22" t="s">
        <v>93</v>
      </c>
      <c r="L243" s="22" t="s">
        <v>93</v>
      </c>
      <c r="M243" s="22">
        <v>620</v>
      </c>
      <c r="N243" s="22">
        <v>130</v>
      </c>
    </row>
    <row r="244" spans="1:14" x14ac:dyDescent="0.25">
      <c r="E244" s="22" t="s">
        <v>166</v>
      </c>
      <c r="F244" s="22" t="s">
        <v>78</v>
      </c>
      <c r="G244" s="22">
        <v>0</v>
      </c>
      <c r="H244" s="22">
        <v>0</v>
      </c>
    </row>
    <row r="245" spans="1:14" x14ac:dyDescent="0.25">
      <c r="E245" s="22" t="s">
        <v>165</v>
      </c>
      <c r="F245" s="22">
        <v>0</v>
      </c>
      <c r="G245" s="22">
        <v>0</v>
      </c>
      <c r="H245" s="22">
        <v>0</v>
      </c>
    </row>
    <row r="246" spans="1:14" x14ac:dyDescent="0.25">
      <c r="E246" s="22" t="s">
        <v>166</v>
      </c>
      <c r="F246" s="22" t="s">
        <v>82</v>
      </c>
      <c r="G246" s="22" t="s">
        <v>83</v>
      </c>
      <c r="H246" s="22" t="s">
        <v>90</v>
      </c>
    </row>
    <row r="247" spans="1:14" x14ac:dyDescent="0.25">
      <c r="A247" s="22" t="s">
        <v>122</v>
      </c>
      <c r="B247" s="22" t="s">
        <v>104</v>
      </c>
      <c r="C247" s="22">
        <v>60</v>
      </c>
      <c r="D247" s="22">
        <v>80</v>
      </c>
      <c r="E247" s="22" t="s">
        <v>165</v>
      </c>
      <c r="F247" s="22" t="s">
        <v>102</v>
      </c>
      <c r="G247" s="22" t="s">
        <v>83</v>
      </c>
      <c r="H247" s="22" t="s">
        <v>113</v>
      </c>
      <c r="I247" s="22" t="s">
        <v>65</v>
      </c>
      <c r="J247" s="22" t="s">
        <v>93</v>
      </c>
      <c r="K247" s="22" t="s">
        <v>93</v>
      </c>
      <c r="L247" s="22" t="s">
        <v>93</v>
      </c>
      <c r="M247" s="22">
        <v>620</v>
      </c>
      <c r="N247" s="22">
        <v>75</v>
      </c>
    </row>
    <row r="248" spans="1:14" x14ac:dyDescent="0.25">
      <c r="E248" s="22" t="s">
        <v>166</v>
      </c>
      <c r="F248" s="22">
        <v>0</v>
      </c>
      <c r="G248" s="22">
        <v>0</v>
      </c>
      <c r="H248" s="22">
        <v>0</v>
      </c>
    </row>
    <row r="249" spans="1:14" x14ac:dyDescent="0.25">
      <c r="E249" s="22" t="s">
        <v>165</v>
      </c>
      <c r="F249" s="22">
        <v>0</v>
      </c>
      <c r="G249" s="22">
        <v>0</v>
      </c>
      <c r="H249" s="22">
        <v>0</v>
      </c>
    </row>
    <row r="250" spans="1:14" x14ac:dyDescent="0.25">
      <c r="E250" s="22" t="s">
        <v>166</v>
      </c>
      <c r="F250" s="22" t="s">
        <v>92</v>
      </c>
      <c r="G250" s="22" t="s">
        <v>83</v>
      </c>
      <c r="H250" s="22" t="s">
        <v>90</v>
      </c>
    </row>
    <row r="251" spans="1:14" x14ac:dyDescent="0.25">
      <c r="A251" s="22" t="s">
        <v>122</v>
      </c>
      <c r="B251" s="22" t="s">
        <v>120</v>
      </c>
      <c r="C251" s="22">
        <v>50</v>
      </c>
      <c r="D251" s="22">
        <v>70</v>
      </c>
      <c r="E251" s="22" t="s">
        <v>165</v>
      </c>
      <c r="F251" s="22" t="s">
        <v>90</v>
      </c>
      <c r="G251" s="22" t="s">
        <v>78</v>
      </c>
      <c r="H251" s="22" t="s">
        <v>82</v>
      </c>
      <c r="I251" s="22" t="s">
        <v>7</v>
      </c>
      <c r="J251" s="22" t="s">
        <v>88</v>
      </c>
      <c r="K251" s="22" t="s">
        <v>88</v>
      </c>
      <c r="L251" s="22" t="s">
        <v>88</v>
      </c>
      <c r="M251" s="22">
        <v>685</v>
      </c>
      <c r="N251" s="22">
        <v>85</v>
      </c>
    </row>
    <row r="252" spans="1:14" x14ac:dyDescent="0.25">
      <c r="E252" s="22" t="s">
        <v>166</v>
      </c>
      <c r="F252" s="22">
        <v>0</v>
      </c>
      <c r="G252" s="22">
        <v>0</v>
      </c>
      <c r="H252" s="22">
        <v>0</v>
      </c>
    </row>
    <row r="253" spans="1:14" x14ac:dyDescent="0.25">
      <c r="E253" s="22" t="s">
        <v>165</v>
      </c>
      <c r="F253" s="22">
        <v>0</v>
      </c>
      <c r="G253" s="22">
        <v>0</v>
      </c>
      <c r="H253" s="22">
        <v>0</v>
      </c>
    </row>
    <row r="254" spans="1:14" x14ac:dyDescent="0.25">
      <c r="E254" s="22" t="s">
        <v>166</v>
      </c>
      <c r="F254" s="22" t="s">
        <v>83</v>
      </c>
      <c r="G254" s="22" t="s">
        <v>78</v>
      </c>
      <c r="H254" s="22" t="s">
        <v>82</v>
      </c>
    </row>
    <row r="255" spans="1:14" x14ac:dyDescent="0.25">
      <c r="A255" s="22" t="s">
        <v>122</v>
      </c>
      <c r="B255" s="22" t="s">
        <v>106</v>
      </c>
      <c r="C255" s="22">
        <v>60</v>
      </c>
      <c r="D255" s="22">
        <v>80</v>
      </c>
      <c r="E255" s="22" t="s">
        <v>165</v>
      </c>
      <c r="F255" s="22" t="s">
        <v>113</v>
      </c>
      <c r="G255" s="22" t="s">
        <v>82</v>
      </c>
      <c r="H255" s="22" t="s">
        <v>102</v>
      </c>
      <c r="I255" s="22" t="s">
        <v>7</v>
      </c>
      <c r="J255" s="22" t="s">
        <v>79</v>
      </c>
      <c r="K255" s="22" t="s">
        <v>79</v>
      </c>
      <c r="L255" s="22" t="s">
        <v>79</v>
      </c>
      <c r="M255" s="22">
        <v>1220</v>
      </c>
      <c r="N255" s="22">
        <v>95</v>
      </c>
    </row>
    <row r="256" spans="1:14" x14ac:dyDescent="0.25">
      <c r="E256" s="22" t="s">
        <v>166</v>
      </c>
      <c r="F256" s="22">
        <v>0</v>
      </c>
      <c r="G256" s="22">
        <v>0</v>
      </c>
      <c r="H256" s="22" t="s">
        <v>78</v>
      </c>
    </row>
    <row r="257" spans="1:14" x14ac:dyDescent="0.25">
      <c r="E257" s="22" t="s">
        <v>165</v>
      </c>
      <c r="F257" s="22">
        <v>0</v>
      </c>
      <c r="G257" s="22">
        <v>0</v>
      </c>
      <c r="H257" s="22">
        <v>0</v>
      </c>
    </row>
    <row r="258" spans="1:14" x14ac:dyDescent="0.25">
      <c r="E258" s="22" t="s">
        <v>166</v>
      </c>
      <c r="F258" s="22" t="s">
        <v>82</v>
      </c>
      <c r="G258" s="22" t="s">
        <v>83</v>
      </c>
      <c r="H258" s="22" t="s">
        <v>92</v>
      </c>
    </row>
    <row r="259" spans="1:14" x14ac:dyDescent="0.25">
      <c r="A259" s="22" t="s">
        <v>122</v>
      </c>
      <c r="B259" s="22" t="s">
        <v>107</v>
      </c>
      <c r="C259" s="22">
        <v>60</v>
      </c>
      <c r="D259" s="22">
        <v>80</v>
      </c>
      <c r="E259" s="22" t="s">
        <v>165</v>
      </c>
      <c r="F259" s="22" t="s">
        <v>90</v>
      </c>
      <c r="G259" s="22" t="s">
        <v>83</v>
      </c>
      <c r="H259" s="22" t="s">
        <v>113</v>
      </c>
      <c r="I259" s="22" t="s">
        <v>65</v>
      </c>
      <c r="J259" s="22" t="s">
        <v>93</v>
      </c>
      <c r="K259" s="22" t="s">
        <v>93</v>
      </c>
      <c r="L259" s="22" t="s">
        <v>93</v>
      </c>
      <c r="M259" s="22">
        <v>540</v>
      </c>
      <c r="N259" s="22">
        <v>85</v>
      </c>
    </row>
    <row r="260" spans="1:14" x14ac:dyDescent="0.25">
      <c r="E260" s="22" t="s">
        <v>166</v>
      </c>
      <c r="F260" s="22">
        <v>0</v>
      </c>
      <c r="G260" s="22">
        <v>0</v>
      </c>
      <c r="H260" s="22">
        <v>0</v>
      </c>
    </row>
    <row r="261" spans="1:14" x14ac:dyDescent="0.25">
      <c r="E261" s="22" t="s">
        <v>165</v>
      </c>
      <c r="F261" s="22">
        <v>0</v>
      </c>
      <c r="G261" s="22">
        <v>0</v>
      </c>
      <c r="H261" s="22">
        <v>0</v>
      </c>
    </row>
    <row r="262" spans="1:14" x14ac:dyDescent="0.25">
      <c r="E262" s="22" t="s">
        <v>166</v>
      </c>
      <c r="F262" s="22" t="s">
        <v>90</v>
      </c>
      <c r="G262" s="22" t="s">
        <v>83</v>
      </c>
      <c r="H262" s="22" t="s">
        <v>82</v>
      </c>
    </row>
    <row r="263" spans="1:14" x14ac:dyDescent="0.25">
      <c r="A263" s="22" t="s">
        <v>122</v>
      </c>
      <c r="B263" s="22" t="s">
        <v>86</v>
      </c>
      <c r="C263" s="22">
        <v>50</v>
      </c>
      <c r="D263" s="22">
        <v>70</v>
      </c>
      <c r="E263" s="22" t="s">
        <v>165</v>
      </c>
      <c r="F263" s="22" t="s">
        <v>92</v>
      </c>
      <c r="G263" s="22" t="s">
        <v>83</v>
      </c>
      <c r="H263" s="22" t="s">
        <v>92</v>
      </c>
      <c r="I263" s="22" t="s">
        <v>7</v>
      </c>
      <c r="J263" s="22" t="s">
        <v>88</v>
      </c>
      <c r="K263" s="22" t="s">
        <v>88</v>
      </c>
      <c r="L263" s="22" t="s">
        <v>88</v>
      </c>
      <c r="M263" s="22">
        <v>540</v>
      </c>
      <c r="N263" s="22">
        <v>95</v>
      </c>
    </row>
    <row r="264" spans="1:14" x14ac:dyDescent="0.25">
      <c r="E264" s="22" t="s">
        <v>166</v>
      </c>
      <c r="F264" s="22">
        <v>0</v>
      </c>
      <c r="G264" s="22">
        <v>0</v>
      </c>
      <c r="H264" s="22" t="s">
        <v>78</v>
      </c>
    </row>
    <row r="265" spans="1:14" x14ac:dyDescent="0.25">
      <c r="E265" s="22" t="s">
        <v>165</v>
      </c>
      <c r="F265" s="22">
        <v>0</v>
      </c>
      <c r="G265" s="22">
        <v>0</v>
      </c>
      <c r="H265" s="22">
        <v>0</v>
      </c>
    </row>
    <row r="266" spans="1:14" x14ac:dyDescent="0.25">
      <c r="E266" s="22" t="s">
        <v>166</v>
      </c>
      <c r="F266" s="22" t="s">
        <v>90</v>
      </c>
      <c r="G266" s="22" t="s">
        <v>78</v>
      </c>
      <c r="H266" s="22" t="s">
        <v>82</v>
      </c>
    </row>
    <row r="267" spans="1:14" x14ac:dyDescent="0.25">
      <c r="A267" s="22" t="s">
        <v>122</v>
      </c>
      <c r="B267" s="22" t="s">
        <v>121</v>
      </c>
      <c r="C267" s="22">
        <v>60</v>
      </c>
      <c r="D267" s="22">
        <v>80</v>
      </c>
      <c r="E267" s="22" t="s">
        <v>165</v>
      </c>
      <c r="F267" s="22" t="s">
        <v>102</v>
      </c>
      <c r="G267" s="22" t="s">
        <v>83</v>
      </c>
      <c r="H267" s="22" t="s">
        <v>102</v>
      </c>
      <c r="I267" s="22" t="s">
        <v>7</v>
      </c>
      <c r="J267" s="22" t="s">
        <v>79</v>
      </c>
      <c r="K267" s="22" t="s">
        <v>79</v>
      </c>
      <c r="L267" s="22" t="s">
        <v>79</v>
      </c>
      <c r="M267" s="22">
        <v>1160</v>
      </c>
      <c r="N267" s="22">
        <v>115</v>
      </c>
    </row>
    <row r="268" spans="1:14" x14ac:dyDescent="0.25">
      <c r="E268" s="22" t="s">
        <v>166</v>
      </c>
      <c r="F268" s="22">
        <v>0</v>
      </c>
      <c r="G268" s="22">
        <v>0</v>
      </c>
      <c r="H268" s="22">
        <v>0</v>
      </c>
    </row>
    <row r="269" spans="1:14" x14ac:dyDescent="0.25">
      <c r="E269" s="22" t="s">
        <v>165</v>
      </c>
      <c r="F269" s="22">
        <v>0</v>
      </c>
      <c r="G269" s="22">
        <v>0</v>
      </c>
      <c r="H269" s="22">
        <v>0</v>
      </c>
    </row>
    <row r="270" spans="1:14" x14ac:dyDescent="0.25">
      <c r="E270" s="22" t="s">
        <v>166</v>
      </c>
      <c r="F270" s="22" t="s">
        <v>82</v>
      </c>
      <c r="G270" s="22" t="s">
        <v>83</v>
      </c>
      <c r="H270" s="22" t="s">
        <v>92</v>
      </c>
    </row>
    <row r="271" spans="1:14" x14ac:dyDescent="0.25">
      <c r="A271" s="22" t="s">
        <v>122</v>
      </c>
      <c r="B271" s="22" t="s">
        <v>111</v>
      </c>
      <c r="C271" s="22">
        <v>60</v>
      </c>
      <c r="D271" s="22">
        <v>80</v>
      </c>
      <c r="E271" s="22" t="s">
        <v>165</v>
      </c>
      <c r="F271" s="22" t="s">
        <v>113</v>
      </c>
      <c r="G271" s="22" t="s">
        <v>83</v>
      </c>
      <c r="H271" s="22" t="s">
        <v>90</v>
      </c>
      <c r="I271" s="22" t="s">
        <v>65</v>
      </c>
      <c r="J271" s="22" t="s">
        <v>91</v>
      </c>
      <c r="K271" s="22" t="s">
        <v>91</v>
      </c>
      <c r="L271" s="22" t="s">
        <v>91</v>
      </c>
      <c r="M271" s="22">
        <v>540</v>
      </c>
      <c r="N271" s="22">
        <v>75</v>
      </c>
    </row>
    <row r="272" spans="1:14" x14ac:dyDescent="0.25">
      <c r="E272" s="22" t="s">
        <v>166</v>
      </c>
      <c r="F272" s="22">
        <v>0</v>
      </c>
      <c r="G272" s="22">
        <v>0</v>
      </c>
      <c r="H272" s="22">
        <v>0</v>
      </c>
    </row>
    <row r="273" spans="1:14" x14ac:dyDescent="0.25">
      <c r="E273" s="22" t="s">
        <v>165</v>
      </c>
      <c r="F273" s="22">
        <v>0</v>
      </c>
      <c r="G273" s="22">
        <v>0</v>
      </c>
      <c r="H273" s="22">
        <v>0</v>
      </c>
    </row>
    <row r="274" spans="1:14" x14ac:dyDescent="0.25">
      <c r="E274" s="22" t="s">
        <v>166</v>
      </c>
      <c r="F274" s="22" t="s">
        <v>90</v>
      </c>
      <c r="G274" s="22" t="s">
        <v>83</v>
      </c>
      <c r="H274" s="22" t="s">
        <v>90</v>
      </c>
    </row>
    <row r="275" spans="1:14" x14ac:dyDescent="0.25">
      <c r="A275" s="22" t="s">
        <v>122</v>
      </c>
      <c r="B275" s="22" t="s">
        <v>112</v>
      </c>
      <c r="C275" s="22">
        <v>60</v>
      </c>
      <c r="D275" s="22">
        <v>80</v>
      </c>
      <c r="E275" s="22" t="s">
        <v>165</v>
      </c>
      <c r="F275" s="22" t="s">
        <v>113</v>
      </c>
      <c r="G275" s="22" t="s">
        <v>83</v>
      </c>
      <c r="H275" s="22" t="s">
        <v>90</v>
      </c>
      <c r="I275" s="22" t="s">
        <v>65</v>
      </c>
      <c r="J275" s="22" t="s">
        <v>93</v>
      </c>
      <c r="K275" s="22" t="s">
        <v>93</v>
      </c>
      <c r="L275" s="22" t="s">
        <v>93</v>
      </c>
      <c r="M275" s="22">
        <v>685</v>
      </c>
      <c r="N275" s="22">
        <v>90</v>
      </c>
    </row>
    <row r="276" spans="1:14" x14ac:dyDescent="0.25">
      <c r="E276" s="22" t="s">
        <v>166</v>
      </c>
      <c r="F276" s="22" t="s">
        <v>78</v>
      </c>
      <c r="G276" s="22">
        <v>0</v>
      </c>
      <c r="H276" s="22">
        <v>0</v>
      </c>
    </row>
    <row r="277" spans="1:14" x14ac:dyDescent="0.25">
      <c r="E277" s="22" t="s">
        <v>165</v>
      </c>
      <c r="F277" s="22">
        <v>0</v>
      </c>
      <c r="G277" s="22">
        <v>0</v>
      </c>
      <c r="H277" s="22">
        <v>0</v>
      </c>
    </row>
    <row r="278" spans="1:14" x14ac:dyDescent="0.25">
      <c r="E278" s="22" t="s">
        <v>166</v>
      </c>
      <c r="F278" s="22" t="s">
        <v>92</v>
      </c>
      <c r="G278" s="22" t="s">
        <v>83</v>
      </c>
      <c r="H278" s="22" t="s">
        <v>113</v>
      </c>
    </row>
    <row r="279" spans="1:14" ht="15.6" customHeight="1" x14ac:dyDescent="0.25">
      <c r="A279" s="22" t="s">
        <v>122</v>
      </c>
      <c r="B279" s="22" t="s">
        <v>114</v>
      </c>
      <c r="C279" s="22">
        <v>60</v>
      </c>
      <c r="D279" s="22">
        <v>80</v>
      </c>
      <c r="E279" s="22" t="s">
        <v>165</v>
      </c>
      <c r="F279" s="22" t="s">
        <v>113</v>
      </c>
      <c r="G279" s="22" t="s">
        <v>83</v>
      </c>
      <c r="H279" s="22" t="s">
        <v>113</v>
      </c>
      <c r="I279" s="22" t="s">
        <v>65</v>
      </c>
      <c r="J279" s="22" t="s">
        <v>95</v>
      </c>
      <c r="K279" s="22" t="s">
        <v>95</v>
      </c>
      <c r="L279" s="22" t="s">
        <v>95</v>
      </c>
      <c r="M279" s="22">
        <v>525</v>
      </c>
      <c r="N279" s="22">
        <v>85</v>
      </c>
    </row>
    <row r="280" spans="1:14" x14ac:dyDescent="0.25">
      <c r="E280" s="22" t="s">
        <v>166</v>
      </c>
      <c r="F280" s="22" t="s">
        <v>78</v>
      </c>
      <c r="G280" s="22">
        <v>0</v>
      </c>
      <c r="H280" s="22">
        <v>0</v>
      </c>
    </row>
    <row r="281" spans="1:14" x14ac:dyDescent="0.25">
      <c r="E281" s="22" t="s">
        <v>165</v>
      </c>
      <c r="F281" s="22">
        <v>0</v>
      </c>
      <c r="G281" s="22">
        <v>0</v>
      </c>
      <c r="H281" s="22">
        <v>0</v>
      </c>
    </row>
    <row r="282" spans="1:14" x14ac:dyDescent="0.25">
      <c r="E282" s="22" t="s">
        <v>166</v>
      </c>
      <c r="F282" s="22" t="s">
        <v>113</v>
      </c>
      <c r="G282" s="22" t="s">
        <v>82</v>
      </c>
      <c r="H282" s="22" t="s">
        <v>102</v>
      </c>
    </row>
    <row r="283" spans="1:14" ht="15.6" customHeight="1" x14ac:dyDescent="0.25">
      <c r="A283" s="22" t="s">
        <v>122</v>
      </c>
      <c r="B283" s="22" t="s">
        <v>115</v>
      </c>
      <c r="C283" s="22">
        <v>50</v>
      </c>
      <c r="D283" s="22">
        <v>70</v>
      </c>
      <c r="E283" s="22" t="s">
        <v>165</v>
      </c>
      <c r="F283" s="22" t="s">
        <v>92</v>
      </c>
      <c r="G283" s="22" t="s">
        <v>82</v>
      </c>
      <c r="H283" s="22" t="s">
        <v>90</v>
      </c>
      <c r="I283" s="22" t="s">
        <v>7</v>
      </c>
      <c r="J283" s="22" t="s">
        <v>93</v>
      </c>
      <c r="K283" s="22" t="s">
        <v>93</v>
      </c>
      <c r="L283" s="22" t="s">
        <v>93</v>
      </c>
      <c r="M283" s="22">
        <v>695</v>
      </c>
      <c r="N283" s="22">
        <v>95</v>
      </c>
    </row>
    <row r="284" spans="1:14" x14ac:dyDescent="0.25">
      <c r="E284" s="22" t="s">
        <v>166</v>
      </c>
      <c r="F284" s="22" t="s">
        <v>78</v>
      </c>
      <c r="G284" s="22">
        <v>0</v>
      </c>
      <c r="H284" s="22" t="s">
        <v>82</v>
      </c>
    </row>
    <row r="285" spans="1:14" x14ac:dyDescent="0.25">
      <c r="E285" s="22" t="s">
        <v>165</v>
      </c>
      <c r="F285" s="22">
        <v>0</v>
      </c>
      <c r="G285" s="22">
        <v>0</v>
      </c>
      <c r="H285" s="22">
        <v>0</v>
      </c>
    </row>
    <row r="286" spans="1:14" x14ac:dyDescent="0.25">
      <c r="E286" s="22" t="s">
        <v>166</v>
      </c>
      <c r="F286" s="22" t="s">
        <v>90</v>
      </c>
      <c r="G286" s="22" t="s">
        <v>83</v>
      </c>
      <c r="H286" s="22" t="s">
        <v>92</v>
      </c>
    </row>
    <row r="287" spans="1:14" ht="15.6" customHeight="1" x14ac:dyDescent="0.25">
      <c r="A287" s="22" t="s">
        <v>122</v>
      </c>
      <c r="B287" s="22" t="s">
        <v>116</v>
      </c>
      <c r="C287" s="22">
        <v>60</v>
      </c>
      <c r="D287" s="22">
        <v>80</v>
      </c>
      <c r="E287" s="22" t="s">
        <v>165</v>
      </c>
      <c r="F287" s="22" t="s">
        <v>102</v>
      </c>
      <c r="G287" s="22" t="s">
        <v>82</v>
      </c>
      <c r="H287" s="22" t="s">
        <v>102</v>
      </c>
      <c r="I287" s="22" t="s">
        <v>65</v>
      </c>
      <c r="J287" s="22" t="s">
        <v>91</v>
      </c>
      <c r="K287" s="22" t="s">
        <v>91</v>
      </c>
      <c r="L287" s="22" t="s">
        <v>91</v>
      </c>
      <c r="M287" s="22">
        <v>1000</v>
      </c>
      <c r="N287" s="22">
        <v>115</v>
      </c>
    </row>
    <row r="288" spans="1:14" x14ac:dyDescent="0.25">
      <c r="E288" s="22" t="s">
        <v>166</v>
      </c>
      <c r="F288" s="22">
        <v>0</v>
      </c>
      <c r="G288" s="22">
        <v>0</v>
      </c>
      <c r="H288" s="22" t="s">
        <v>83</v>
      </c>
    </row>
    <row r="289" spans="1:14" x14ac:dyDescent="0.25">
      <c r="E289" s="22" t="s">
        <v>165</v>
      </c>
      <c r="F289" s="22">
        <v>0</v>
      </c>
      <c r="G289" s="22">
        <v>0</v>
      </c>
      <c r="H289" s="22">
        <v>0</v>
      </c>
    </row>
    <row r="290" spans="1:14" x14ac:dyDescent="0.25">
      <c r="E290" s="22" t="s">
        <v>166</v>
      </c>
      <c r="F290" s="22" t="s">
        <v>92</v>
      </c>
      <c r="G290" s="22" t="s">
        <v>82</v>
      </c>
      <c r="H290" s="22" t="s">
        <v>90</v>
      </c>
    </row>
    <row r="291" spans="1:14" ht="15.6" customHeight="1" x14ac:dyDescent="0.25">
      <c r="A291" s="22" t="s">
        <v>122</v>
      </c>
      <c r="B291" s="22" t="s">
        <v>117</v>
      </c>
      <c r="C291" s="22">
        <v>60</v>
      </c>
      <c r="D291" s="22">
        <v>80</v>
      </c>
      <c r="E291" s="22" t="s">
        <v>165</v>
      </c>
      <c r="F291" s="22" t="s">
        <v>113</v>
      </c>
      <c r="G291" s="22" t="s">
        <v>82</v>
      </c>
      <c r="H291" s="22" t="s">
        <v>102</v>
      </c>
      <c r="I291" s="22" t="s">
        <v>65</v>
      </c>
      <c r="J291" s="22" t="s">
        <v>91</v>
      </c>
      <c r="K291" s="22" t="s">
        <v>91</v>
      </c>
      <c r="L291" s="22" t="s">
        <v>91</v>
      </c>
      <c r="M291" s="22">
        <v>1000</v>
      </c>
      <c r="N291" s="22">
        <v>75</v>
      </c>
    </row>
    <row r="292" spans="1:14" x14ac:dyDescent="0.25">
      <c r="E292" s="22" t="s">
        <v>166</v>
      </c>
      <c r="F292" s="22" t="s">
        <v>78</v>
      </c>
      <c r="G292" s="22">
        <v>0</v>
      </c>
      <c r="H292" s="22" t="s">
        <v>78</v>
      </c>
    </row>
    <row r="293" spans="1:14" x14ac:dyDescent="0.25">
      <c r="E293" s="22" t="s">
        <v>165</v>
      </c>
      <c r="F293" s="22">
        <v>0</v>
      </c>
      <c r="G293" s="22">
        <v>0</v>
      </c>
      <c r="H293" s="22">
        <v>0</v>
      </c>
    </row>
    <row r="294" spans="1:14" x14ac:dyDescent="0.25">
      <c r="E294" s="22" t="s">
        <v>166</v>
      </c>
      <c r="F294" s="22" t="s">
        <v>90</v>
      </c>
      <c r="G294" s="22" t="s">
        <v>82</v>
      </c>
      <c r="H294" s="22" t="s">
        <v>92</v>
      </c>
    </row>
    <row r="295" spans="1:14" ht="15.6" customHeight="1" x14ac:dyDescent="0.25">
      <c r="A295" s="22" t="s">
        <v>122</v>
      </c>
      <c r="B295" s="22" t="s">
        <v>118</v>
      </c>
      <c r="C295" s="22">
        <v>60</v>
      </c>
      <c r="D295" s="22">
        <v>80</v>
      </c>
      <c r="E295" s="22" t="s">
        <v>165</v>
      </c>
      <c r="F295" s="22" t="s">
        <v>113</v>
      </c>
      <c r="G295" s="22" t="s">
        <v>83</v>
      </c>
      <c r="H295" s="22" t="s">
        <v>102</v>
      </c>
      <c r="I295" s="22" t="s">
        <v>65</v>
      </c>
      <c r="J295" s="22" t="s">
        <v>91</v>
      </c>
      <c r="K295" s="22" t="s">
        <v>91</v>
      </c>
      <c r="L295" s="22" t="s">
        <v>91</v>
      </c>
      <c r="M295" s="22">
        <v>695</v>
      </c>
      <c r="N295" s="22">
        <v>95</v>
      </c>
    </row>
    <row r="296" spans="1:14" x14ac:dyDescent="0.25">
      <c r="E296" s="22" t="s">
        <v>166</v>
      </c>
      <c r="F296" s="22">
        <v>0</v>
      </c>
      <c r="G296" s="22">
        <v>0</v>
      </c>
      <c r="H296" s="22">
        <v>0</v>
      </c>
    </row>
    <row r="297" spans="1:14" x14ac:dyDescent="0.25">
      <c r="E297" s="22" t="s">
        <v>165</v>
      </c>
      <c r="F297" s="22">
        <v>0</v>
      </c>
      <c r="G297" s="22">
        <v>0</v>
      </c>
      <c r="H297" s="22">
        <v>0</v>
      </c>
    </row>
    <row r="298" spans="1:14" x14ac:dyDescent="0.25">
      <c r="E298" s="22" t="s">
        <v>166</v>
      </c>
      <c r="F298" s="22" t="s">
        <v>92</v>
      </c>
      <c r="G298" s="22" t="s">
        <v>83</v>
      </c>
      <c r="H298" s="22" t="s">
        <v>82</v>
      </c>
    </row>
    <row r="299" spans="1:14" ht="15.6" customHeight="1" x14ac:dyDescent="0.25">
      <c r="A299" s="22" t="s">
        <v>123</v>
      </c>
      <c r="B299" s="22" t="s">
        <v>97</v>
      </c>
      <c r="C299" s="22">
        <v>60</v>
      </c>
      <c r="D299" s="22">
        <v>80</v>
      </c>
      <c r="E299" s="22" t="s">
        <v>165</v>
      </c>
      <c r="F299" s="22" t="s">
        <v>113</v>
      </c>
      <c r="G299" s="22" t="s">
        <v>83</v>
      </c>
      <c r="H299" s="22" t="s">
        <v>102</v>
      </c>
      <c r="I299" s="22" t="s">
        <v>65</v>
      </c>
      <c r="J299" s="22" t="s">
        <v>93</v>
      </c>
      <c r="K299" s="22" t="s">
        <v>93</v>
      </c>
      <c r="L299" s="22" t="s">
        <v>93</v>
      </c>
      <c r="M299" s="22">
        <v>685</v>
      </c>
      <c r="N299" s="22">
        <v>90</v>
      </c>
    </row>
    <row r="300" spans="1:14" x14ac:dyDescent="0.25">
      <c r="E300" s="22" t="s">
        <v>166</v>
      </c>
      <c r="F300" s="22" t="s">
        <v>78</v>
      </c>
      <c r="G300" s="22">
        <v>0</v>
      </c>
      <c r="H300" s="22">
        <v>0</v>
      </c>
    </row>
    <row r="301" spans="1:14" x14ac:dyDescent="0.25">
      <c r="E301" s="22" t="s">
        <v>165</v>
      </c>
      <c r="F301" s="22">
        <v>0</v>
      </c>
      <c r="G301" s="22">
        <v>0</v>
      </c>
      <c r="H301" s="22">
        <v>0</v>
      </c>
    </row>
    <row r="302" spans="1:14" x14ac:dyDescent="0.25">
      <c r="E302" s="22" t="s">
        <v>166</v>
      </c>
      <c r="F302" s="22" t="s">
        <v>90</v>
      </c>
      <c r="G302" s="22" t="s">
        <v>83</v>
      </c>
      <c r="H302" s="22" t="s">
        <v>113</v>
      </c>
    </row>
    <row r="303" spans="1:14" ht="15.6" customHeight="1" x14ac:dyDescent="0.25">
      <c r="A303" s="22" t="s">
        <v>123</v>
      </c>
      <c r="B303" s="22" t="s">
        <v>98</v>
      </c>
      <c r="C303" s="22">
        <v>60</v>
      </c>
      <c r="D303" s="22">
        <v>80</v>
      </c>
      <c r="E303" s="22" t="s">
        <v>165</v>
      </c>
      <c r="F303" s="22" t="s">
        <v>102</v>
      </c>
      <c r="G303" s="22" t="s">
        <v>83</v>
      </c>
      <c r="H303" s="22" t="s">
        <v>102</v>
      </c>
      <c r="I303" s="22" t="s">
        <v>65</v>
      </c>
      <c r="J303" s="22" t="s">
        <v>93</v>
      </c>
      <c r="K303" s="22" t="s">
        <v>93</v>
      </c>
      <c r="L303" s="22" t="s">
        <v>93</v>
      </c>
      <c r="M303" s="22">
        <v>525</v>
      </c>
      <c r="N303" s="22">
        <v>75</v>
      </c>
    </row>
    <row r="304" spans="1:14" x14ac:dyDescent="0.25">
      <c r="E304" s="22" t="s">
        <v>166</v>
      </c>
      <c r="F304" s="22">
        <v>0</v>
      </c>
      <c r="G304" s="22">
        <v>0</v>
      </c>
      <c r="H304" s="22">
        <v>0</v>
      </c>
    </row>
    <row r="305" spans="1:14" x14ac:dyDescent="0.25">
      <c r="E305" s="22" t="s">
        <v>165</v>
      </c>
      <c r="F305" s="22">
        <v>0</v>
      </c>
      <c r="G305" s="22">
        <v>0</v>
      </c>
      <c r="H305" s="22">
        <v>0</v>
      </c>
    </row>
    <row r="306" spans="1:14" x14ac:dyDescent="0.25">
      <c r="E306" s="22" t="s">
        <v>166</v>
      </c>
      <c r="F306" s="22" t="s">
        <v>113</v>
      </c>
      <c r="G306" s="22" t="s">
        <v>83</v>
      </c>
      <c r="H306" s="22" t="s">
        <v>102</v>
      </c>
    </row>
    <row r="307" spans="1:14" ht="15.6" customHeight="1" x14ac:dyDescent="0.25">
      <c r="A307" s="22" t="s">
        <v>123</v>
      </c>
      <c r="B307" s="22" t="s">
        <v>99</v>
      </c>
      <c r="C307" s="22">
        <v>60</v>
      </c>
      <c r="D307" s="22">
        <v>80</v>
      </c>
      <c r="E307" s="22" t="s">
        <v>165</v>
      </c>
      <c r="F307" s="22" t="s">
        <v>102</v>
      </c>
      <c r="G307" s="22" t="s">
        <v>82</v>
      </c>
      <c r="H307" s="22" t="s">
        <v>102</v>
      </c>
      <c r="I307" s="22" t="s">
        <v>65</v>
      </c>
      <c r="J307" s="22" t="s">
        <v>93</v>
      </c>
      <c r="K307" s="22" t="s">
        <v>93</v>
      </c>
      <c r="L307" s="22" t="s">
        <v>93</v>
      </c>
      <c r="M307" s="22">
        <v>695</v>
      </c>
      <c r="N307" s="22">
        <v>95</v>
      </c>
    </row>
    <row r="308" spans="1:14" x14ac:dyDescent="0.25">
      <c r="E308" s="22" t="s">
        <v>166</v>
      </c>
      <c r="F308" s="22">
        <v>0</v>
      </c>
      <c r="G308" s="22">
        <v>0</v>
      </c>
      <c r="H308" s="22" t="s">
        <v>83</v>
      </c>
    </row>
    <row r="309" spans="1:14" x14ac:dyDescent="0.25">
      <c r="E309" s="22" t="s">
        <v>165</v>
      </c>
      <c r="F309" s="22">
        <v>0</v>
      </c>
      <c r="G309" s="22">
        <v>0</v>
      </c>
      <c r="H309" s="22">
        <v>0</v>
      </c>
    </row>
    <row r="310" spans="1:14" x14ac:dyDescent="0.25">
      <c r="E310" s="22" t="s">
        <v>166</v>
      </c>
      <c r="F310" s="22" t="s">
        <v>102</v>
      </c>
      <c r="G310" s="22" t="s">
        <v>83</v>
      </c>
      <c r="H310" s="22" t="s">
        <v>90</v>
      </c>
    </row>
    <row r="311" spans="1:14" x14ac:dyDescent="0.25">
      <c r="A311" s="22" t="s">
        <v>123</v>
      </c>
      <c r="B311" s="22" t="s">
        <v>100</v>
      </c>
      <c r="C311" s="22">
        <v>60</v>
      </c>
      <c r="D311" s="22">
        <v>80</v>
      </c>
      <c r="E311" s="22" t="s">
        <v>165</v>
      </c>
      <c r="F311" s="22" t="s">
        <v>102</v>
      </c>
      <c r="G311" s="22" t="s">
        <v>82</v>
      </c>
      <c r="H311" s="22" t="s">
        <v>102</v>
      </c>
      <c r="I311" s="22" t="s">
        <v>65</v>
      </c>
      <c r="J311" s="22" t="s">
        <v>93</v>
      </c>
      <c r="K311" s="22" t="s">
        <v>93</v>
      </c>
      <c r="L311" s="22" t="s">
        <v>93</v>
      </c>
      <c r="M311" s="22">
        <v>620</v>
      </c>
      <c r="N311" s="22">
        <v>85</v>
      </c>
    </row>
    <row r="312" spans="1:14" x14ac:dyDescent="0.25">
      <c r="E312" s="22" t="s">
        <v>166</v>
      </c>
      <c r="F312" s="22" t="s">
        <v>78</v>
      </c>
      <c r="G312" s="22">
        <v>0</v>
      </c>
      <c r="H312" s="22">
        <v>0</v>
      </c>
    </row>
    <row r="313" spans="1:14" x14ac:dyDescent="0.25">
      <c r="E313" s="22" t="s">
        <v>165</v>
      </c>
      <c r="F313" s="22">
        <v>0</v>
      </c>
      <c r="G313" s="22">
        <v>0</v>
      </c>
      <c r="H313" s="22">
        <v>0</v>
      </c>
    </row>
    <row r="314" spans="1:14" x14ac:dyDescent="0.25">
      <c r="E314" s="22" t="s">
        <v>166</v>
      </c>
      <c r="F314" s="22" t="s">
        <v>113</v>
      </c>
      <c r="G314" s="22" t="s">
        <v>83</v>
      </c>
      <c r="H314" s="22" t="s">
        <v>113</v>
      </c>
    </row>
    <row r="315" spans="1:14" x14ac:dyDescent="0.25">
      <c r="A315" s="22" t="s">
        <v>123</v>
      </c>
      <c r="B315" s="22" t="s">
        <v>80</v>
      </c>
      <c r="C315" s="22">
        <v>50</v>
      </c>
      <c r="D315" s="22">
        <v>70</v>
      </c>
      <c r="E315" s="22" t="s">
        <v>165</v>
      </c>
      <c r="F315" s="22" t="s">
        <v>90</v>
      </c>
      <c r="G315" s="22" t="s">
        <v>82</v>
      </c>
      <c r="H315" s="22" t="s">
        <v>90</v>
      </c>
      <c r="I315" s="22" t="s">
        <v>7</v>
      </c>
      <c r="J315" s="22" t="s">
        <v>93</v>
      </c>
      <c r="K315" s="22" t="s">
        <v>93</v>
      </c>
      <c r="L315" s="22" t="s">
        <v>93</v>
      </c>
      <c r="M315" s="22">
        <v>620</v>
      </c>
      <c r="N315" s="22">
        <v>130</v>
      </c>
    </row>
    <row r="316" spans="1:14" x14ac:dyDescent="0.25">
      <c r="E316" s="22" t="s">
        <v>166</v>
      </c>
      <c r="F316" s="22" t="s">
        <v>82</v>
      </c>
      <c r="G316" s="22">
        <v>0</v>
      </c>
      <c r="H316" s="22">
        <v>0</v>
      </c>
    </row>
    <row r="317" spans="1:14" x14ac:dyDescent="0.25">
      <c r="E317" s="22" t="s">
        <v>165</v>
      </c>
      <c r="F317" s="22">
        <v>0</v>
      </c>
      <c r="G317" s="22">
        <v>0</v>
      </c>
      <c r="H317" s="22" t="s">
        <v>78</v>
      </c>
    </row>
    <row r="318" spans="1:14" x14ac:dyDescent="0.25">
      <c r="E318" s="22" t="s">
        <v>166</v>
      </c>
      <c r="F318" s="22" t="s">
        <v>92</v>
      </c>
      <c r="G318" s="22" t="s">
        <v>83</v>
      </c>
      <c r="H318" s="22" t="s">
        <v>92</v>
      </c>
    </row>
    <row r="319" spans="1:14" x14ac:dyDescent="0.25">
      <c r="A319" s="22" t="s">
        <v>123</v>
      </c>
      <c r="B319" s="22" t="s">
        <v>104</v>
      </c>
      <c r="C319" s="22">
        <v>60</v>
      </c>
      <c r="D319" s="22">
        <v>80</v>
      </c>
      <c r="E319" s="22" t="s">
        <v>165</v>
      </c>
      <c r="F319" s="22" t="s">
        <v>102</v>
      </c>
      <c r="G319" s="22" t="s">
        <v>82</v>
      </c>
      <c r="H319" s="22" t="s">
        <v>113</v>
      </c>
      <c r="I319" s="22" t="s">
        <v>65</v>
      </c>
      <c r="J319" s="22" t="s">
        <v>93</v>
      </c>
      <c r="K319" s="22" t="s">
        <v>93</v>
      </c>
      <c r="L319" s="22" t="s">
        <v>93</v>
      </c>
      <c r="M319" s="22">
        <v>620</v>
      </c>
      <c r="N319" s="22">
        <v>75</v>
      </c>
    </row>
    <row r="320" spans="1:14" x14ac:dyDescent="0.25">
      <c r="E320" s="22" t="s">
        <v>166</v>
      </c>
      <c r="F320" s="22" t="s">
        <v>78</v>
      </c>
      <c r="G320" s="22">
        <v>0</v>
      </c>
      <c r="H320" s="22" t="s">
        <v>78</v>
      </c>
    </row>
    <row r="321" spans="1:14" x14ac:dyDescent="0.25">
      <c r="E321" s="22" t="s">
        <v>165</v>
      </c>
      <c r="F321" s="22">
        <v>0</v>
      </c>
      <c r="G321" s="22">
        <v>0</v>
      </c>
      <c r="H321" s="22">
        <v>0</v>
      </c>
    </row>
    <row r="322" spans="1:14" x14ac:dyDescent="0.25">
      <c r="E322" s="22" t="s">
        <v>166</v>
      </c>
      <c r="F322" s="22" t="s">
        <v>113</v>
      </c>
      <c r="G322" s="22" t="s">
        <v>83</v>
      </c>
      <c r="H322" s="22" t="s">
        <v>102</v>
      </c>
    </row>
    <row r="323" spans="1:14" ht="15.6" customHeight="1" x14ac:dyDescent="0.25">
      <c r="A323" s="22" t="s">
        <v>123</v>
      </c>
      <c r="B323" s="22" t="s">
        <v>120</v>
      </c>
      <c r="C323" s="22">
        <v>50</v>
      </c>
      <c r="D323" s="22">
        <v>70</v>
      </c>
      <c r="E323" s="22" t="s">
        <v>165</v>
      </c>
      <c r="F323" s="22" t="s">
        <v>90</v>
      </c>
      <c r="G323" s="22" t="s">
        <v>83</v>
      </c>
      <c r="H323" s="22" t="s">
        <v>92</v>
      </c>
      <c r="I323" s="22" t="s">
        <v>7</v>
      </c>
      <c r="J323" s="22" t="s">
        <v>91</v>
      </c>
      <c r="K323" s="22" t="s">
        <v>91</v>
      </c>
      <c r="L323" s="22" t="s">
        <v>91</v>
      </c>
      <c r="M323" s="22">
        <v>685</v>
      </c>
      <c r="N323" s="22">
        <v>85</v>
      </c>
    </row>
    <row r="324" spans="1:14" x14ac:dyDescent="0.25">
      <c r="E324" s="22" t="s">
        <v>166</v>
      </c>
      <c r="F324" s="22" t="s">
        <v>78</v>
      </c>
      <c r="G324" s="22">
        <v>0</v>
      </c>
      <c r="H324" s="22">
        <v>0</v>
      </c>
    </row>
    <row r="325" spans="1:14" x14ac:dyDescent="0.25">
      <c r="E325" s="22" t="s">
        <v>165</v>
      </c>
      <c r="F325" s="22">
        <v>0</v>
      </c>
      <c r="G325" s="22">
        <v>0</v>
      </c>
      <c r="H325" s="22">
        <v>0</v>
      </c>
    </row>
    <row r="326" spans="1:14" x14ac:dyDescent="0.25">
      <c r="E326" s="22" t="s">
        <v>166</v>
      </c>
      <c r="F326" s="22" t="s">
        <v>82</v>
      </c>
      <c r="G326" s="22" t="s">
        <v>78</v>
      </c>
      <c r="H326" s="22" t="s">
        <v>92</v>
      </c>
    </row>
    <row r="327" spans="1:14" x14ac:dyDescent="0.25">
      <c r="A327" s="22" t="s">
        <v>123</v>
      </c>
      <c r="B327" s="22" t="s">
        <v>106</v>
      </c>
      <c r="C327" s="22">
        <v>60</v>
      </c>
      <c r="D327" s="22">
        <v>80</v>
      </c>
      <c r="E327" s="22" t="s">
        <v>165</v>
      </c>
      <c r="F327" s="22" t="s">
        <v>102</v>
      </c>
      <c r="G327" s="22" t="s">
        <v>82</v>
      </c>
      <c r="H327" s="22" t="s">
        <v>102</v>
      </c>
      <c r="I327" s="22" t="s">
        <v>7</v>
      </c>
      <c r="J327" s="22" t="s">
        <v>88</v>
      </c>
      <c r="K327" s="22" t="s">
        <v>88</v>
      </c>
      <c r="L327" s="22" t="s">
        <v>88</v>
      </c>
      <c r="M327" s="22">
        <v>1220</v>
      </c>
      <c r="N327" s="22">
        <v>95</v>
      </c>
    </row>
    <row r="328" spans="1:14" x14ac:dyDescent="0.25">
      <c r="E328" s="22" t="s">
        <v>166</v>
      </c>
      <c r="F328" s="22">
        <v>0</v>
      </c>
      <c r="G328" s="22">
        <v>0</v>
      </c>
      <c r="H328" s="22" t="s">
        <v>83</v>
      </c>
    </row>
    <row r="329" spans="1:14" x14ac:dyDescent="0.25">
      <c r="E329" s="22" t="s">
        <v>165</v>
      </c>
      <c r="F329" s="22">
        <v>0</v>
      </c>
      <c r="G329" s="22">
        <v>0</v>
      </c>
      <c r="H329" s="22">
        <v>0</v>
      </c>
    </row>
    <row r="330" spans="1:14" x14ac:dyDescent="0.25">
      <c r="E330" s="22" t="s">
        <v>166</v>
      </c>
      <c r="F330" s="22" t="s">
        <v>82</v>
      </c>
      <c r="G330" s="22" t="s">
        <v>83</v>
      </c>
      <c r="H330" s="22" t="s">
        <v>90</v>
      </c>
    </row>
    <row r="331" spans="1:14" x14ac:dyDescent="0.25">
      <c r="A331" s="22" t="s">
        <v>123</v>
      </c>
      <c r="B331" s="22" t="s">
        <v>107</v>
      </c>
      <c r="C331" s="22">
        <v>60</v>
      </c>
      <c r="D331" s="22">
        <v>80</v>
      </c>
      <c r="E331" s="22" t="s">
        <v>165</v>
      </c>
      <c r="F331" s="22" t="s">
        <v>102</v>
      </c>
      <c r="G331" s="22" t="s">
        <v>83</v>
      </c>
      <c r="H331" s="22" t="s">
        <v>102</v>
      </c>
      <c r="I331" s="22" t="s">
        <v>65</v>
      </c>
      <c r="J331" s="22" t="s">
        <v>93</v>
      </c>
      <c r="K331" s="22" t="s">
        <v>93</v>
      </c>
      <c r="L331" s="22" t="s">
        <v>93</v>
      </c>
      <c r="M331" s="22">
        <v>540</v>
      </c>
      <c r="N331" s="22">
        <v>85</v>
      </c>
    </row>
    <row r="332" spans="1:14" x14ac:dyDescent="0.25">
      <c r="E332" s="22" t="s">
        <v>166</v>
      </c>
      <c r="F332" s="22">
        <v>0</v>
      </c>
      <c r="G332" s="22">
        <v>0</v>
      </c>
      <c r="H332" s="22">
        <v>0</v>
      </c>
    </row>
    <row r="333" spans="1:14" x14ac:dyDescent="0.25">
      <c r="E333" s="22" t="s">
        <v>165</v>
      </c>
      <c r="F333" s="22">
        <v>0</v>
      </c>
      <c r="G333" s="22">
        <v>0</v>
      </c>
      <c r="H333" s="22">
        <v>0</v>
      </c>
    </row>
    <row r="334" spans="1:14" x14ac:dyDescent="0.25">
      <c r="E334" s="22" t="s">
        <v>166</v>
      </c>
      <c r="F334" s="22" t="s">
        <v>113</v>
      </c>
      <c r="G334" s="22" t="s">
        <v>83</v>
      </c>
      <c r="H334" s="22" t="s">
        <v>90</v>
      </c>
    </row>
    <row r="335" spans="1:14" x14ac:dyDescent="0.25">
      <c r="A335" s="22" t="s">
        <v>123</v>
      </c>
      <c r="B335" s="22" t="s">
        <v>86</v>
      </c>
      <c r="C335" s="22">
        <v>50</v>
      </c>
      <c r="D335" s="22">
        <v>70</v>
      </c>
      <c r="E335" s="22" t="s">
        <v>165</v>
      </c>
      <c r="F335" s="22" t="s">
        <v>90</v>
      </c>
      <c r="G335" s="22" t="s">
        <v>83</v>
      </c>
      <c r="H335" s="22" t="s">
        <v>90</v>
      </c>
      <c r="I335" s="22" t="s">
        <v>7</v>
      </c>
      <c r="J335" s="22" t="s">
        <v>91</v>
      </c>
      <c r="K335" s="22" t="s">
        <v>91</v>
      </c>
      <c r="L335" s="22" t="s">
        <v>91</v>
      </c>
      <c r="M335" s="22">
        <v>540</v>
      </c>
      <c r="N335" s="22">
        <v>95</v>
      </c>
    </row>
    <row r="336" spans="1:14" x14ac:dyDescent="0.25">
      <c r="E336" s="22" t="s">
        <v>166</v>
      </c>
      <c r="F336" s="22">
        <v>0</v>
      </c>
      <c r="G336" s="22">
        <v>0</v>
      </c>
      <c r="H336" s="22" t="s">
        <v>83</v>
      </c>
    </row>
    <row r="337" spans="1:14" x14ac:dyDescent="0.25">
      <c r="E337" s="22" t="s">
        <v>165</v>
      </c>
      <c r="F337" s="22" t="s">
        <v>78</v>
      </c>
      <c r="G337" s="22">
        <v>0</v>
      </c>
      <c r="H337" s="22">
        <v>0</v>
      </c>
    </row>
    <row r="338" spans="1:14" x14ac:dyDescent="0.25">
      <c r="E338" s="22" t="s">
        <v>166</v>
      </c>
      <c r="F338" s="22" t="s">
        <v>92</v>
      </c>
      <c r="G338" s="22" t="s">
        <v>83</v>
      </c>
      <c r="H338" s="22" t="s">
        <v>92</v>
      </c>
    </row>
    <row r="339" spans="1:14" x14ac:dyDescent="0.25">
      <c r="A339" s="22" t="s">
        <v>123</v>
      </c>
      <c r="B339" s="22" t="s">
        <v>121</v>
      </c>
      <c r="C339" s="22">
        <v>60</v>
      </c>
      <c r="D339" s="22">
        <v>80</v>
      </c>
      <c r="E339" s="22" t="s">
        <v>165</v>
      </c>
      <c r="F339" s="22" t="s">
        <v>113</v>
      </c>
      <c r="G339" s="22" t="s">
        <v>83</v>
      </c>
      <c r="H339" s="22" t="s">
        <v>113</v>
      </c>
      <c r="I339" s="22" t="s">
        <v>7</v>
      </c>
      <c r="J339" s="22" t="s">
        <v>88</v>
      </c>
      <c r="K339" s="22" t="s">
        <v>88</v>
      </c>
      <c r="L339" s="22" t="s">
        <v>88</v>
      </c>
      <c r="M339" s="22">
        <v>1160</v>
      </c>
      <c r="N339" s="22">
        <v>115</v>
      </c>
    </row>
    <row r="340" spans="1:14" x14ac:dyDescent="0.25">
      <c r="E340" s="22" t="s">
        <v>166</v>
      </c>
      <c r="F340" s="22" t="s">
        <v>78</v>
      </c>
      <c r="G340" s="22">
        <v>0</v>
      </c>
      <c r="H340" s="22" t="s">
        <v>78</v>
      </c>
    </row>
    <row r="341" spans="1:14" x14ac:dyDescent="0.25">
      <c r="E341" s="22" t="s">
        <v>165</v>
      </c>
      <c r="F341" s="22">
        <v>0</v>
      </c>
      <c r="G341" s="22">
        <v>0</v>
      </c>
      <c r="H341" s="22">
        <v>0</v>
      </c>
    </row>
    <row r="342" spans="1:14" x14ac:dyDescent="0.25">
      <c r="E342" s="22" t="s">
        <v>166</v>
      </c>
      <c r="F342" s="22" t="s">
        <v>92</v>
      </c>
      <c r="G342" s="22" t="s">
        <v>83</v>
      </c>
      <c r="H342" s="22" t="s">
        <v>90</v>
      </c>
    </row>
    <row r="343" spans="1:14" x14ac:dyDescent="0.25">
      <c r="A343" s="22" t="s">
        <v>123</v>
      </c>
      <c r="B343" s="22" t="s">
        <v>111</v>
      </c>
      <c r="C343" s="22">
        <v>60</v>
      </c>
      <c r="D343" s="22">
        <v>80</v>
      </c>
      <c r="E343" s="22" t="s">
        <v>165</v>
      </c>
      <c r="F343" s="22" t="s">
        <v>113</v>
      </c>
      <c r="G343" s="22" t="s">
        <v>83</v>
      </c>
      <c r="H343" s="22" t="s">
        <v>102</v>
      </c>
      <c r="I343" s="22" t="s">
        <v>65</v>
      </c>
      <c r="J343" s="22" t="s">
        <v>93</v>
      </c>
      <c r="K343" s="22" t="s">
        <v>93</v>
      </c>
      <c r="L343" s="22" t="s">
        <v>93</v>
      </c>
      <c r="M343" s="22">
        <v>540</v>
      </c>
      <c r="N343" s="22">
        <v>75</v>
      </c>
    </row>
    <row r="344" spans="1:14" x14ac:dyDescent="0.25">
      <c r="E344" s="22" t="s">
        <v>166</v>
      </c>
      <c r="F344" s="22" t="s">
        <v>78</v>
      </c>
      <c r="G344" s="22">
        <v>0</v>
      </c>
      <c r="H344" s="22">
        <v>0</v>
      </c>
    </row>
    <row r="345" spans="1:14" x14ac:dyDescent="0.25">
      <c r="E345" s="22" t="s">
        <v>165</v>
      </c>
      <c r="F345" s="22">
        <v>0</v>
      </c>
      <c r="G345" s="22">
        <v>0</v>
      </c>
      <c r="H345" s="22">
        <v>0</v>
      </c>
    </row>
    <row r="346" spans="1:14" x14ac:dyDescent="0.25">
      <c r="E346" s="22" t="s">
        <v>166</v>
      </c>
      <c r="F346" s="22" t="s">
        <v>102</v>
      </c>
      <c r="G346" s="22" t="s">
        <v>83</v>
      </c>
      <c r="H346" s="22" t="s">
        <v>102</v>
      </c>
    </row>
    <row r="347" spans="1:14" x14ac:dyDescent="0.25">
      <c r="A347" s="22" t="s">
        <v>123</v>
      </c>
      <c r="B347" s="22" t="s">
        <v>112</v>
      </c>
      <c r="C347" s="22">
        <v>60</v>
      </c>
      <c r="D347" s="22">
        <v>80</v>
      </c>
      <c r="E347" s="22" t="s">
        <v>165</v>
      </c>
      <c r="F347" s="22" t="s">
        <v>102</v>
      </c>
      <c r="G347" s="22" t="s">
        <v>82</v>
      </c>
      <c r="H347" s="22" t="s">
        <v>102</v>
      </c>
      <c r="I347" s="22" t="s">
        <v>65</v>
      </c>
      <c r="J347" s="22" t="s">
        <v>93</v>
      </c>
      <c r="K347" s="22" t="s">
        <v>93</v>
      </c>
      <c r="L347" s="22" t="s">
        <v>93</v>
      </c>
      <c r="M347" s="22">
        <v>685</v>
      </c>
      <c r="N347" s="22">
        <v>90</v>
      </c>
    </row>
    <row r="348" spans="1:14" x14ac:dyDescent="0.25">
      <c r="E348" s="22" t="s">
        <v>166</v>
      </c>
      <c r="F348" s="22" t="s">
        <v>83</v>
      </c>
      <c r="G348" s="22">
        <v>0</v>
      </c>
      <c r="H348" s="22">
        <v>0</v>
      </c>
    </row>
    <row r="349" spans="1:14" x14ac:dyDescent="0.25">
      <c r="E349" s="22" t="s">
        <v>165</v>
      </c>
      <c r="F349" s="22">
        <v>0</v>
      </c>
      <c r="G349" s="22">
        <v>0</v>
      </c>
      <c r="H349" s="22" t="s">
        <v>78</v>
      </c>
    </row>
    <row r="350" spans="1:14" x14ac:dyDescent="0.25">
      <c r="E350" s="22" t="s">
        <v>166</v>
      </c>
      <c r="F350" s="22" t="s">
        <v>113</v>
      </c>
      <c r="G350" s="22" t="s">
        <v>83</v>
      </c>
      <c r="H350" s="22" t="s">
        <v>113</v>
      </c>
    </row>
    <row r="351" spans="1:14" x14ac:dyDescent="0.25">
      <c r="A351" s="22" t="s">
        <v>123</v>
      </c>
      <c r="B351" s="22" t="s">
        <v>114</v>
      </c>
      <c r="C351" s="22">
        <v>60</v>
      </c>
      <c r="D351" s="22">
        <v>80</v>
      </c>
      <c r="E351" s="22" t="s">
        <v>165</v>
      </c>
      <c r="F351" s="22" t="s">
        <v>102</v>
      </c>
      <c r="G351" s="22" t="s">
        <v>82</v>
      </c>
      <c r="H351" s="22" t="s">
        <v>102</v>
      </c>
      <c r="I351" s="22" t="s">
        <v>65</v>
      </c>
      <c r="J351" s="22" t="s">
        <v>103</v>
      </c>
      <c r="K351" s="22" t="s">
        <v>103</v>
      </c>
      <c r="L351" s="22" t="s">
        <v>103</v>
      </c>
      <c r="M351" s="22">
        <v>525</v>
      </c>
      <c r="N351" s="22">
        <v>85</v>
      </c>
    </row>
    <row r="352" spans="1:14" x14ac:dyDescent="0.25">
      <c r="E352" s="22" t="s">
        <v>166</v>
      </c>
      <c r="F352" s="22" t="s">
        <v>82</v>
      </c>
      <c r="G352" s="22">
        <v>0</v>
      </c>
      <c r="H352" s="22" t="s">
        <v>78</v>
      </c>
    </row>
    <row r="353" spans="1:14" x14ac:dyDescent="0.25">
      <c r="E353" s="22" t="s">
        <v>165</v>
      </c>
      <c r="F353" s="22" t="s">
        <v>78</v>
      </c>
      <c r="G353" s="22">
        <v>0</v>
      </c>
      <c r="H353" s="22" t="s">
        <v>78</v>
      </c>
    </row>
    <row r="354" spans="1:14" x14ac:dyDescent="0.25">
      <c r="E354" s="22" t="s">
        <v>166</v>
      </c>
      <c r="F354" s="22" t="s">
        <v>113</v>
      </c>
      <c r="G354" s="22" t="s">
        <v>82</v>
      </c>
      <c r="H354" s="22" t="s">
        <v>102</v>
      </c>
    </row>
    <row r="355" spans="1:14" x14ac:dyDescent="0.25">
      <c r="A355" s="22" t="s">
        <v>123</v>
      </c>
      <c r="B355" s="22" t="s">
        <v>115</v>
      </c>
      <c r="C355" s="22">
        <v>50</v>
      </c>
      <c r="D355" s="22">
        <v>70</v>
      </c>
      <c r="E355" s="22" t="s">
        <v>165</v>
      </c>
      <c r="F355" s="22" t="s">
        <v>90</v>
      </c>
      <c r="G355" s="22" t="s">
        <v>82</v>
      </c>
      <c r="H355" s="22" t="s">
        <v>90</v>
      </c>
      <c r="I355" s="22" t="s">
        <v>7</v>
      </c>
      <c r="J355" s="22" t="s">
        <v>93</v>
      </c>
      <c r="K355" s="22" t="s">
        <v>93</v>
      </c>
      <c r="L355" s="22" t="s">
        <v>93</v>
      </c>
      <c r="M355" s="22">
        <v>695</v>
      </c>
      <c r="N355" s="22">
        <v>95</v>
      </c>
    </row>
    <row r="356" spans="1:14" x14ac:dyDescent="0.25">
      <c r="E356" s="22" t="s">
        <v>166</v>
      </c>
      <c r="F356" s="22" t="s">
        <v>83</v>
      </c>
      <c r="G356" s="22">
        <v>0</v>
      </c>
      <c r="H356" s="22" t="s">
        <v>92</v>
      </c>
    </row>
    <row r="357" spans="1:14" x14ac:dyDescent="0.25">
      <c r="E357" s="22" t="s">
        <v>165</v>
      </c>
      <c r="F357" s="22" t="s">
        <v>78</v>
      </c>
      <c r="G357" s="22">
        <v>0</v>
      </c>
      <c r="H357" s="22">
        <v>0</v>
      </c>
    </row>
    <row r="358" spans="1:14" x14ac:dyDescent="0.25">
      <c r="E358" s="22" t="s">
        <v>166</v>
      </c>
      <c r="F358" s="22" t="s">
        <v>92</v>
      </c>
      <c r="G358" s="22" t="s">
        <v>82</v>
      </c>
      <c r="H358" s="22" t="s">
        <v>90</v>
      </c>
    </row>
    <row r="359" spans="1:14" x14ac:dyDescent="0.25">
      <c r="A359" s="22" t="s">
        <v>123</v>
      </c>
      <c r="B359" s="22" t="s">
        <v>116</v>
      </c>
      <c r="C359" s="22">
        <v>60</v>
      </c>
      <c r="D359" s="22">
        <v>80</v>
      </c>
      <c r="E359" s="22" t="s">
        <v>165</v>
      </c>
      <c r="F359" s="22" t="s">
        <v>113</v>
      </c>
      <c r="G359" s="22" t="s">
        <v>82</v>
      </c>
      <c r="H359" s="22" t="s">
        <v>102</v>
      </c>
      <c r="I359" s="22" t="s">
        <v>65</v>
      </c>
      <c r="J359" s="22" t="s">
        <v>91</v>
      </c>
      <c r="K359" s="22" t="s">
        <v>91</v>
      </c>
      <c r="L359" s="22" t="s">
        <v>91</v>
      </c>
      <c r="M359" s="22">
        <v>1000</v>
      </c>
      <c r="N359" s="22">
        <v>115</v>
      </c>
    </row>
    <row r="360" spans="1:14" x14ac:dyDescent="0.25">
      <c r="E360" s="22" t="s">
        <v>166</v>
      </c>
      <c r="F360" s="22" t="s">
        <v>78</v>
      </c>
      <c r="G360" s="22">
        <v>0</v>
      </c>
      <c r="H360" s="22" t="s">
        <v>82</v>
      </c>
    </row>
    <row r="361" spans="1:14" x14ac:dyDescent="0.25">
      <c r="E361" s="22" t="s">
        <v>165</v>
      </c>
      <c r="F361" s="22">
        <v>0</v>
      </c>
      <c r="G361" s="22">
        <v>0</v>
      </c>
      <c r="H361" s="22">
        <v>0</v>
      </c>
    </row>
    <row r="362" spans="1:14" x14ac:dyDescent="0.25">
      <c r="E362" s="22" t="s">
        <v>166</v>
      </c>
      <c r="F362" s="22" t="s">
        <v>90</v>
      </c>
      <c r="G362" s="22" t="s">
        <v>82</v>
      </c>
      <c r="H362" s="22" t="s">
        <v>90</v>
      </c>
    </row>
    <row r="363" spans="1:14" x14ac:dyDescent="0.25">
      <c r="A363" s="22" t="s">
        <v>123</v>
      </c>
      <c r="B363" s="22" t="s">
        <v>117</v>
      </c>
      <c r="C363" s="22">
        <v>60</v>
      </c>
      <c r="D363" s="22">
        <v>80</v>
      </c>
      <c r="E363" s="22" t="s">
        <v>165</v>
      </c>
      <c r="F363" s="22" t="s">
        <v>102</v>
      </c>
      <c r="G363" s="22" t="s">
        <v>82</v>
      </c>
      <c r="H363" s="22" t="s">
        <v>102</v>
      </c>
      <c r="I363" s="22" t="s">
        <v>65</v>
      </c>
      <c r="J363" s="22" t="s">
        <v>91</v>
      </c>
      <c r="K363" s="22" t="s">
        <v>91</v>
      </c>
      <c r="L363" s="22" t="s">
        <v>91</v>
      </c>
      <c r="M363" s="22">
        <v>1000</v>
      </c>
      <c r="N363" s="22">
        <v>75</v>
      </c>
    </row>
    <row r="364" spans="1:14" x14ac:dyDescent="0.25">
      <c r="E364" s="22" t="s">
        <v>166</v>
      </c>
      <c r="F364" s="22" t="s">
        <v>78</v>
      </c>
      <c r="G364" s="22">
        <v>0</v>
      </c>
      <c r="H364" s="22" t="s">
        <v>82</v>
      </c>
    </row>
    <row r="365" spans="1:14" x14ac:dyDescent="0.25">
      <c r="E365" s="22" t="s">
        <v>165</v>
      </c>
      <c r="F365" s="22">
        <v>0</v>
      </c>
      <c r="G365" s="22">
        <v>0</v>
      </c>
      <c r="H365" s="22">
        <v>0</v>
      </c>
    </row>
    <row r="366" spans="1:14" x14ac:dyDescent="0.25">
      <c r="E366" s="22" t="s">
        <v>166</v>
      </c>
      <c r="F366" s="22" t="s">
        <v>92</v>
      </c>
      <c r="G366" s="22" t="s">
        <v>82</v>
      </c>
      <c r="H366" s="22" t="s">
        <v>90</v>
      </c>
    </row>
    <row r="367" spans="1:14" x14ac:dyDescent="0.25">
      <c r="A367" s="22" t="s">
        <v>123</v>
      </c>
      <c r="B367" s="22" t="s">
        <v>118</v>
      </c>
      <c r="C367" s="22">
        <v>60</v>
      </c>
      <c r="D367" s="22">
        <v>80</v>
      </c>
      <c r="E367" s="22" t="s">
        <v>165</v>
      </c>
      <c r="F367" s="22" t="s">
        <v>102</v>
      </c>
      <c r="G367" s="22" t="s">
        <v>82</v>
      </c>
      <c r="H367" s="22" t="s">
        <v>102</v>
      </c>
      <c r="I367" s="22" t="s">
        <v>65</v>
      </c>
      <c r="J367" s="22" t="s">
        <v>93</v>
      </c>
      <c r="K367" s="22" t="s">
        <v>93</v>
      </c>
      <c r="L367" s="22" t="s">
        <v>93</v>
      </c>
      <c r="M367" s="22">
        <v>695</v>
      </c>
      <c r="N367" s="22">
        <v>95</v>
      </c>
    </row>
    <row r="368" spans="1:14" x14ac:dyDescent="0.25">
      <c r="E368" s="22" t="s">
        <v>166</v>
      </c>
      <c r="F368" s="22">
        <v>0</v>
      </c>
      <c r="G368" s="22">
        <v>0</v>
      </c>
      <c r="H368" s="22" t="s">
        <v>78</v>
      </c>
    </row>
    <row r="369" spans="1:14" x14ac:dyDescent="0.25">
      <c r="E369" s="22" t="s">
        <v>165</v>
      </c>
      <c r="F369" s="22">
        <v>0</v>
      </c>
      <c r="G369" s="22">
        <v>0</v>
      </c>
      <c r="H369" s="22">
        <v>0</v>
      </c>
    </row>
    <row r="370" spans="1:14" x14ac:dyDescent="0.25">
      <c r="E370" s="22" t="s">
        <v>166</v>
      </c>
      <c r="F370" s="22" t="s">
        <v>90</v>
      </c>
      <c r="G370" s="22" t="s">
        <v>83</v>
      </c>
      <c r="H370" s="22" t="s">
        <v>90</v>
      </c>
    </row>
    <row r="371" spans="1:14" x14ac:dyDescent="0.25">
      <c r="A371" s="22" t="s">
        <v>58</v>
      </c>
      <c r="B371" s="22" t="s">
        <v>97</v>
      </c>
      <c r="C371" s="22">
        <v>60</v>
      </c>
      <c r="D371" s="22">
        <v>80</v>
      </c>
      <c r="E371" s="22" t="s">
        <v>165</v>
      </c>
      <c r="F371" s="22" t="s">
        <v>102</v>
      </c>
      <c r="G371" s="22" t="s">
        <v>82</v>
      </c>
      <c r="H371" s="22" t="s">
        <v>102</v>
      </c>
      <c r="I371" s="22" t="s">
        <v>65</v>
      </c>
      <c r="J371" s="22" t="s">
        <v>93</v>
      </c>
      <c r="K371" s="22" t="s">
        <v>93</v>
      </c>
      <c r="L371" s="22" t="s">
        <v>93</v>
      </c>
      <c r="M371" s="22">
        <v>685</v>
      </c>
      <c r="N371" s="22">
        <v>90</v>
      </c>
    </row>
    <row r="372" spans="1:14" x14ac:dyDescent="0.25">
      <c r="E372" s="22" t="s">
        <v>166</v>
      </c>
      <c r="F372" s="22" t="s">
        <v>78</v>
      </c>
      <c r="G372" s="22">
        <v>0</v>
      </c>
      <c r="H372" s="22">
        <v>0</v>
      </c>
    </row>
    <row r="373" spans="1:14" x14ac:dyDescent="0.25">
      <c r="E373" s="22" t="s">
        <v>165</v>
      </c>
      <c r="F373" s="22">
        <v>0</v>
      </c>
      <c r="G373" s="22">
        <v>0</v>
      </c>
      <c r="H373" s="22" t="s">
        <v>78</v>
      </c>
    </row>
    <row r="374" spans="1:14" x14ac:dyDescent="0.25">
      <c r="E374" s="22" t="s">
        <v>166</v>
      </c>
      <c r="F374" s="22" t="s">
        <v>113</v>
      </c>
      <c r="G374" s="22" t="s">
        <v>83</v>
      </c>
      <c r="H374" s="22" t="s">
        <v>113</v>
      </c>
    </row>
    <row r="375" spans="1:14" ht="15.6" customHeight="1" x14ac:dyDescent="0.25">
      <c r="A375" s="22" t="s">
        <v>58</v>
      </c>
      <c r="B375" s="22" t="s">
        <v>98</v>
      </c>
      <c r="C375" s="22">
        <v>60</v>
      </c>
      <c r="D375" s="22">
        <v>80</v>
      </c>
      <c r="E375" s="22" t="s">
        <v>165</v>
      </c>
      <c r="F375" s="22" t="s">
        <v>102</v>
      </c>
      <c r="G375" s="22" t="s">
        <v>82</v>
      </c>
      <c r="H375" s="22" t="s">
        <v>102</v>
      </c>
      <c r="I375" s="22" t="s">
        <v>65</v>
      </c>
      <c r="J375" s="22" t="s">
        <v>95</v>
      </c>
      <c r="K375" s="22" t="s">
        <v>95</v>
      </c>
      <c r="L375" s="22" t="s">
        <v>95</v>
      </c>
      <c r="M375" s="22">
        <v>525</v>
      </c>
      <c r="N375" s="22">
        <v>75</v>
      </c>
    </row>
    <row r="376" spans="1:14" x14ac:dyDescent="0.25">
      <c r="E376" s="22" t="s">
        <v>166</v>
      </c>
      <c r="F376" s="22" t="s">
        <v>78</v>
      </c>
      <c r="G376" s="22">
        <v>0</v>
      </c>
      <c r="H376" s="22" t="s">
        <v>78</v>
      </c>
    </row>
    <row r="377" spans="1:14" x14ac:dyDescent="0.25">
      <c r="E377" s="22" t="s">
        <v>165</v>
      </c>
      <c r="F377" s="22" t="s">
        <v>78</v>
      </c>
      <c r="G377" s="22">
        <v>0</v>
      </c>
      <c r="H377" s="22" t="s">
        <v>78</v>
      </c>
    </row>
    <row r="378" spans="1:14" x14ac:dyDescent="0.25">
      <c r="E378" s="22" t="s">
        <v>166</v>
      </c>
      <c r="F378" s="22" t="s">
        <v>113</v>
      </c>
      <c r="G378" s="22" t="s">
        <v>82</v>
      </c>
      <c r="H378" s="22" t="s">
        <v>113</v>
      </c>
    </row>
    <row r="379" spans="1:14" x14ac:dyDescent="0.25">
      <c r="A379" s="22" t="s">
        <v>58</v>
      </c>
      <c r="B379" s="22" t="s">
        <v>99</v>
      </c>
      <c r="C379" s="22">
        <v>60</v>
      </c>
      <c r="D379" s="22">
        <v>80</v>
      </c>
      <c r="E379" s="22" t="s">
        <v>165</v>
      </c>
      <c r="F379" s="22" t="s">
        <v>102</v>
      </c>
      <c r="G379" s="22" t="s">
        <v>92</v>
      </c>
      <c r="H379" s="22" t="s">
        <v>102</v>
      </c>
      <c r="I379" s="22" t="s">
        <v>65</v>
      </c>
      <c r="J379" s="22" t="s">
        <v>93</v>
      </c>
      <c r="K379" s="22" t="s">
        <v>93</v>
      </c>
      <c r="L379" s="22" t="s">
        <v>93</v>
      </c>
      <c r="M379" s="22">
        <v>695</v>
      </c>
      <c r="N379" s="22">
        <v>95</v>
      </c>
    </row>
    <row r="380" spans="1:14" x14ac:dyDescent="0.25">
      <c r="E380" s="22" t="s">
        <v>166</v>
      </c>
      <c r="F380" s="22">
        <v>0</v>
      </c>
      <c r="G380" s="22">
        <v>0</v>
      </c>
      <c r="H380" s="22" t="s">
        <v>92</v>
      </c>
    </row>
    <row r="381" spans="1:14" x14ac:dyDescent="0.25">
      <c r="E381" s="22" t="s">
        <v>165</v>
      </c>
      <c r="F381" s="22" t="s">
        <v>78</v>
      </c>
      <c r="G381" s="22">
        <v>0</v>
      </c>
      <c r="H381" s="22">
        <v>0</v>
      </c>
    </row>
    <row r="382" spans="1:14" x14ac:dyDescent="0.25">
      <c r="E382" s="22" t="s">
        <v>166</v>
      </c>
      <c r="F382" s="22" t="s">
        <v>113</v>
      </c>
      <c r="G382" s="22" t="s">
        <v>82</v>
      </c>
      <c r="H382" s="22" t="s">
        <v>113</v>
      </c>
    </row>
    <row r="383" spans="1:14" ht="15.6" customHeight="1" x14ac:dyDescent="0.25">
      <c r="A383" s="22" t="s">
        <v>58</v>
      </c>
      <c r="B383" s="22" t="s">
        <v>100</v>
      </c>
      <c r="C383" s="22">
        <v>60</v>
      </c>
      <c r="D383" s="22">
        <v>80</v>
      </c>
      <c r="E383" s="22" t="s">
        <v>165</v>
      </c>
      <c r="F383" s="22" t="s">
        <v>102</v>
      </c>
      <c r="G383" s="22" t="s">
        <v>82</v>
      </c>
      <c r="H383" s="22" t="s">
        <v>113</v>
      </c>
      <c r="I383" s="22" t="s">
        <v>65</v>
      </c>
      <c r="J383" s="22" t="s">
        <v>95</v>
      </c>
      <c r="K383" s="22" t="s">
        <v>95</v>
      </c>
      <c r="L383" s="22" t="s">
        <v>95</v>
      </c>
      <c r="M383" s="22">
        <v>620</v>
      </c>
      <c r="N383" s="22">
        <v>85</v>
      </c>
    </row>
    <row r="384" spans="1:14" x14ac:dyDescent="0.25">
      <c r="E384" s="22" t="s">
        <v>166</v>
      </c>
      <c r="F384" s="22" t="s">
        <v>83</v>
      </c>
      <c r="G384" s="22">
        <v>0</v>
      </c>
      <c r="H384" s="22" t="s">
        <v>78</v>
      </c>
    </row>
    <row r="385" spans="1:14" x14ac:dyDescent="0.25">
      <c r="E385" s="22" t="s">
        <v>165</v>
      </c>
      <c r="F385" s="22">
        <v>0</v>
      </c>
      <c r="G385" s="22">
        <v>0</v>
      </c>
      <c r="H385" s="22" t="s">
        <v>78</v>
      </c>
    </row>
    <row r="386" spans="1:14" x14ac:dyDescent="0.25">
      <c r="E386" s="22" t="s">
        <v>166</v>
      </c>
      <c r="F386" s="22" t="s">
        <v>102</v>
      </c>
      <c r="G386" s="22" t="s">
        <v>82</v>
      </c>
      <c r="H386" s="22" t="s">
        <v>113</v>
      </c>
    </row>
    <row r="387" spans="1:14" ht="15.6" customHeight="1" x14ac:dyDescent="0.25">
      <c r="A387" s="22" t="s">
        <v>58</v>
      </c>
      <c r="B387" s="22" t="s">
        <v>80</v>
      </c>
      <c r="C387" s="22">
        <v>50</v>
      </c>
      <c r="D387" s="22">
        <v>70</v>
      </c>
      <c r="E387" s="22" t="s">
        <v>165</v>
      </c>
      <c r="F387" s="22" t="s">
        <v>90</v>
      </c>
      <c r="G387" s="22" t="s">
        <v>82</v>
      </c>
      <c r="H387" s="22" t="s">
        <v>92</v>
      </c>
      <c r="I387" s="22" t="s">
        <v>7</v>
      </c>
      <c r="J387" s="22" t="s">
        <v>95</v>
      </c>
      <c r="K387" s="22" t="s">
        <v>95</v>
      </c>
      <c r="L387" s="22" t="s">
        <v>95</v>
      </c>
      <c r="M387" s="22">
        <v>620</v>
      </c>
      <c r="N387" s="22">
        <v>130</v>
      </c>
    </row>
    <row r="388" spans="1:14" x14ac:dyDescent="0.25">
      <c r="E388" s="22" t="s">
        <v>166</v>
      </c>
      <c r="F388" s="22" t="s">
        <v>92</v>
      </c>
      <c r="G388" s="22">
        <v>0</v>
      </c>
      <c r="H388" s="22" t="s">
        <v>78</v>
      </c>
    </row>
    <row r="389" spans="1:14" x14ac:dyDescent="0.25">
      <c r="E389" s="22" t="s">
        <v>165</v>
      </c>
      <c r="F389" s="22">
        <v>0</v>
      </c>
      <c r="G389" s="22">
        <v>0</v>
      </c>
      <c r="H389" s="22" t="s">
        <v>78</v>
      </c>
    </row>
    <row r="390" spans="1:14" x14ac:dyDescent="0.25">
      <c r="E390" s="22" t="s">
        <v>166</v>
      </c>
      <c r="F390" s="22" t="s">
        <v>90</v>
      </c>
      <c r="G390" s="22" t="s">
        <v>83</v>
      </c>
      <c r="H390" s="22" t="s">
        <v>90</v>
      </c>
    </row>
    <row r="391" spans="1:14" ht="15.6" customHeight="1" x14ac:dyDescent="0.25">
      <c r="A391" s="22" t="s">
        <v>58</v>
      </c>
      <c r="B391" s="22" t="s">
        <v>104</v>
      </c>
      <c r="C391" s="22">
        <v>60</v>
      </c>
      <c r="D391" s="22">
        <v>80</v>
      </c>
      <c r="E391" s="22" t="s">
        <v>165</v>
      </c>
      <c r="F391" s="22" t="s">
        <v>102</v>
      </c>
      <c r="G391" s="22" t="s">
        <v>82</v>
      </c>
      <c r="H391" s="22" t="s">
        <v>113</v>
      </c>
      <c r="I391" s="22" t="s">
        <v>65</v>
      </c>
      <c r="J391" s="22" t="s">
        <v>95</v>
      </c>
      <c r="K391" s="22" t="s">
        <v>95</v>
      </c>
      <c r="L391" s="22" t="s">
        <v>95</v>
      </c>
      <c r="M391" s="22">
        <v>620</v>
      </c>
      <c r="N391" s="22">
        <v>75</v>
      </c>
    </row>
    <row r="392" spans="1:14" x14ac:dyDescent="0.25">
      <c r="E392" s="22" t="s">
        <v>166</v>
      </c>
      <c r="F392" s="22" t="s">
        <v>82</v>
      </c>
      <c r="G392" s="22">
        <v>0</v>
      </c>
      <c r="H392" s="22" t="s">
        <v>78</v>
      </c>
    </row>
    <row r="393" spans="1:14" x14ac:dyDescent="0.25">
      <c r="E393" s="22" t="s">
        <v>165</v>
      </c>
      <c r="F393" s="22" t="s">
        <v>78</v>
      </c>
      <c r="G393" s="22">
        <v>0</v>
      </c>
      <c r="H393" s="22" t="s">
        <v>78</v>
      </c>
    </row>
    <row r="394" spans="1:14" x14ac:dyDescent="0.25">
      <c r="E394" s="22" t="s">
        <v>166</v>
      </c>
      <c r="F394" s="22" t="s">
        <v>113</v>
      </c>
      <c r="G394" s="22" t="s">
        <v>83</v>
      </c>
      <c r="H394" s="22" t="s">
        <v>102</v>
      </c>
    </row>
    <row r="395" spans="1:14" ht="15.6" customHeight="1" x14ac:dyDescent="0.25">
      <c r="A395" s="22" t="s">
        <v>58</v>
      </c>
      <c r="B395" s="22" t="s">
        <v>120</v>
      </c>
      <c r="C395" s="22">
        <v>50</v>
      </c>
      <c r="D395" s="22">
        <v>70</v>
      </c>
      <c r="E395" s="22" t="s">
        <v>165</v>
      </c>
      <c r="F395" s="22" t="s">
        <v>90</v>
      </c>
      <c r="G395" s="22" t="s">
        <v>83</v>
      </c>
      <c r="H395" s="22" t="s">
        <v>90</v>
      </c>
      <c r="I395" s="22" t="s">
        <v>7</v>
      </c>
      <c r="J395" s="22" t="s">
        <v>91</v>
      </c>
      <c r="K395" s="22" t="s">
        <v>91</v>
      </c>
      <c r="L395" s="22" t="s">
        <v>91</v>
      </c>
      <c r="M395" s="22">
        <v>685</v>
      </c>
      <c r="N395" s="22">
        <v>85</v>
      </c>
    </row>
    <row r="396" spans="1:14" x14ac:dyDescent="0.25">
      <c r="E396" s="22" t="s">
        <v>166</v>
      </c>
      <c r="F396" s="22" t="s">
        <v>78</v>
      </c>
      <c r="G396" s="22">
        <v>0</v>
      </c>
      <c r="H396" s="22">
        <v>0</v>
      </c>
    </row>
    <row r="397" spans="1:14" x14ac:dyDescent="0.25">
      <c r="E397" s="22" t="s">
        <v>165</v>
      </c>
      <c r="F397" s="22">
        <v>0</v>
      </c>
      <c r="G397" s="22">
        <v>0</v>
      </c>
      <c r="H397" s="22">
        <v>0</v>
      </c>
    </row>
    <row r="398" spans="1:14" x14ac:dyDescent="0.25">
      <c r="E398" s="22" t="s">
        <v>166</v>
      </c>
      <c r="F398" s="22" t="s">
        <v>82</v>
      </c>
      <c r="G398" s="22" t="s">
        <v>78</v>
      </c>
      <c r="H398" s="22" t="s">
        <v>90</v>
      </c>
    </row>
    <row r="399" spans="1:14" x14ac:dyDescent="0.25">
      <c r="A399" s="22" t="s">
        <v>58</v>
      </c>
      <c r="B399" s="22" t="s">
        <v>106</v>
      </c>
      <c r="C399" s="22">
        <v>60</v>
      </c>
      <c r="D399" s="22">
        <v>80</v>
      </c>
      <c r="E399" s="22" t="s">
        <v>165</v>
      </c>
      <c r="F399" s="22" t="s">
        <v>102</v>
      </c>
      <c r="G399" s="22" t="s">
        <v>82</v>
      </c>
      <c r="H399" s="22" t="s">
        <v>102</v>
      </c>
      <c r="I399" s="22" t="s">
        <v>7</v>
      </c>
      <c r="J399" s="22" t="s">
        <v>88</v>
      </c>
      <c r="K399" s="22" t="s">
        <v>88</v>
      </c>
      <c r="L399" s="22" t="s">
        <v>88</v>
      </c>
      <c r="M399" s="22">
        <v>1220</v>
      </c>
      <c r="N399" s="22">
        <v>95</v>
      </c>
    </row>
    <row r="400" spans="1:14" x14ac:dyDescent="0.25">
      <c r="E400" s="22" t="s">
        <v>166</v>
      </c>
      <c r="F400" s="22">
        <v>0</v>
      </c>
      <c r="G400" s="22">
        <v>0</v>
      </c>
      <c r="H400" s="22" t="s">
        <v>83</v>
      </c>
    </row>
    <row r="401" spans="1:14" x14ac:dyDescent="0.25">
      <c r="E401" s="22" t="s">
        <v>165</v>
      </c>
      <c r="F401" s="22">
        <v>0</v>
      </c>
      <c r="G401" s="22">
        <v>0</v>
      </c>
      <c r="H401" s="22">
        <v>0</v>
      </c>
    </row>
    <row r="402" spans="1:14" x14ac:dyDescent="0.25">
      <c r="E402" s="22" t="s">
        <v>166</v>
      </c>
      <c r="F402" s="22" t="s">
        <v>92</v>
      </c>
      <c r="G402" s="22" t="s">
        <v>82</v>
      </c>
      <c r="H402" s="22" t="s">
        <v>90</v>
      </c>
    </row>
    <row r="403" spans="1:14" x14ac:dyDescent="0.25">
      <c r="A403" s="22" t="s">
        <v>58</v>
      </c>
      <c r="B403" s="22" t="s">
        <v>107</v>
      </c>
      <c r="C403" s="22">
        <v>60</v>
      </c>
      <c r="D403" s="22">
        <v>80</v>
      </c>
      <c r="E403" s="22" t="s">
        <v>165</v>
      </c>
      <c r="F403" s="22" t="s">
        <v>113</v>
      </c>
      <c r="G403" s="22" t="s">
        <v>82</v>
      </c>
      <c r="H403" s="22" t="s">
        <v>102</v>
      </c>
      <c r="I403" s="22" t="s">
        <v>65</v>
      </c>
      <c r="J403" s="22" t="s">
        <v>95</v>
      </c>
      <c r="K403" s="22" t="s">
        <v>95</v>
      </c>
      <c r="L403" s="22" t="s">
        <v>95</v>
      </c>
      <c r="M403" s="22">
        <v>540</v>
      </c>
      <c r="N403" s="22">
        <v>85</v>
      </c>
    </row>
    <row r="404" spans="1:14" x14ac:dyDescent="0.25">
      <c r="E404" s="22" t="s">
        <v>166</v>
      </c>
      <c r="F404" s="22" t="s">
        <v>78</v>
      </c>
      <c r="G404" s="22">
        <v>0</v>
      </c>
      <c r="H404" s="22" t="s">
        <v>78</v>
      </c>
    </row>
    <row r="405" spans="1:14" x14ac:dyDescent="0.25">
      <c r="E405" s="22" t="s">
        <v>165</v>
      </c>
      <c r="F405" s="22" t="s">
        <v>78</v>
      </c>
      <c r="G405" s="22">
        <v>0</v>
      </c>
      <c r="H405" s="22">
        <v>0</v>
      </c>
    </row>
    <row r="406" spans="1:14" x14ac:dyDescent="0.25">
      <c r="E406" s="22" t="s">
        <v>166</v>
      </c>
      <c r="F406" s="22" t="s">
        <v>113</v>
      </c>
      <c r="G406" s="22" t="s">
        <v>83</v>
      </c>
      <c r="H406" s="22" t="s">
        <v>113</v>
      </c>
    </row>
    <row r="407" spans="1:14" x14ac:dyDescent="0.25">
      <c r="A407" s="22" t="s">
        <v>58</v>
      </c>
      <c r="B407" s="22" t="s">
        <v>86</v>
      </c>
      <c r="C407" s="22">
        <v>50</v>
      </c>
      <c r="D407" s="22">
        <v>70</v>
      </c>
      <c r="E407" s="22" t="s">
        <v>165</v>
      </c>
      <c r="F407" s="22" t="s">
        <v>92</v>
      </c>
      <c r="G407" s="22" t="s">
        <v>82</v>
      </c>
      <c r="H407" s="22" t="s">
        <v>90</v>
      </c>
      <c r="I407" s="22" t="s">
        <v>7</v>
      </c>
      <c r="J407" s="22" t="s">
        <v>93</v>
      </c>
      <c r="K407" s="22" t="s">
        <v>93</v>
      </c>
      <c r="L407" s="22" t="s">
        <v>93</v>
      </c>
      <c r="M407" s="22">
        <v>540</v>
      </c>
      <c r="N407" s="22">
        <v>95</v>
      </c>
    </row>
    <row r="408" spans="1:14" x14ac:dyDescent="0.25">
      <c r="E408" s="22" t="s">
        <v>166</v>
      </c>
      <c r="F408" s="22" t="s">
        <v>78</v>
      </c>
      <c r="G408" s="22">
        <v>0</v>
      </c>
      <c r="H408" s="22" t="s">
        <v>82</v>
      </c>
    </row>
    <row r="409" spans="1:14" x14ac:dyDescent="0.25">
      <c r="E409" s="22" t="s">
        <v>165</v>
      </c>
      <c r="F409" s="22" t="s">
        <v>78</v>
      </c>
      <c r="G409" s="22">
        <v>0</v>
      </c>
      <c r="H409" s="22">
        <v>0</v>
      </c>
    </row>
    <row r="410" spans="1:14" x14ac:dyDescent="0.25">
      <c r="E410" s="22" t="s">
        <v>166</v>
      </c>
      <c r="F410" s="22" t="s">
        <v>90</v>
      </c>
      <c r="G410" s="22" t="s">
        <v>83</v>
      </c>
      <c r="H410" s="22" t="s">
        <v>90</v>
      </c>
    </row>
    <row r="411" spans="1:14" x14ac:dyDescent="0.25">
      <c r="A411" s="22" t="s">
        <v>58</v>
      </c>
      <c r="B411" s="22" t="s">
        <v>121</v>
      </c>
      <c r="C411" s="22">
        <v>60</v>
      </c>
      <c r="D411" s="22">
        <v>80</v>
      </c>
      <c r="E411" s="22" t="s">
        <v>165</v>
      </c>
      <c r="F411" s="22" t="s">
        <v>102</v>
      </c>
      <c r="G411" s="22" t="s">
        <v>82</v>
      </c>
      <c r="H411" s="22" t="s">
        <v>102</v>
      </c>
      <c r="I411" s="22" t="s">
        <v>7</v>
      </c>
      <c r="J411" s="22" t="s">
        <v>88</v>
      </c>
      <c r="K411" s="22" t="s">
        <v>88</v>
      </c>
      <c r="L411" s="22" t="s">
        <v>88</v>
      </c>
      <c r="M411" s="22">
        <v>1160</v>
      </c>
      <c r="N411" s="22">
        <v>115</v>
      </c>
    </row>
    <row r="412" spans="1:14" x14ac:dyDescent="0.25">
      <c r="E412" s="22" t="s">
        <v>166</v>
      </c>
      <c r="F412" s="22" t="s">
        <v>78</v>
      </c>
      <c r="G412" s="22">
        <v>0</v>
      </c>
      <c r="H412" s="22" t="s">
        <v>83</v>
      </c>
    </row>
    <row r="413" spans="1:14" x14ac:dyDescent="0.25">
      <c r="E413" s="22" t="s">
        <v>165</v>
      </c>
      <c r="F413" s="22">
        <v>0</v>
      </c>
      <c r="G413" s="22">
        <v>0</v>
      </c>
      <c r="H413" s="22">
        <v>0</v>
      </c>
    </row>
    <row r="414" spans="1:14" x14ac:dyDescent="0.25">
      <c r="E414" s="22" t="s">
        <v>166</v>
      </c>
      <c r="F414" s="22" t="s">
        <v>92</v>
      </c>
      <c r="G414" s="22" t="s">
        <v>82</v>
      </c>
      <c r="H414" s="22" t="s">
        <v>92</v>
      </c>
    </row>
    <row r="415" spans="1:14" ht="15.6" customHeight="1" x14ac:dyDescent="0.25">
      <c r="A415" s="22" t="s">
        <v>58</v>
      </c>
      <c r="B415" s="22" t="s">
        <v>111</v>
      </c>
      <c r="C415" s="22">
        <v>60</v>
      </c>
      <c r="D415" s="22">
        <v>80</v>
      </c>
      <c r="E415" s="22" t="s">
        <v>165</v>
      </c>
      <c r="F415" s="22" t="s">
        <v>102</v>
      </c>
      <c r="G415" s="22" t="s">
        <v>82</v>
      </c>
      <c r="H415" s="22" t="s">
        <v>102</v>
      </c>
      <c r="I415" s="22" t="s">
        <v>65</v>
      </c>
      <c r="J415" s="22" t="s">
        <v>95</v>
      </c>
      <c r="K415" s="22" t="s">
        <v>95</v>
      </c>
      <c r="L415" s="22" t="s">
        <v>95</v>
      </c>
      <c r="M415" s="22">
        <v>540</v>
      </c>
      <c r="N415" s="22">
        <v>75</v>
      </c>
    </row>
    <row r="416" spans="1:14" x14ac:dyDescent="0.25">
      <c r="E416" s="22" t="s">
        <v>166</v>
      </c>
      <c r="F416" s="22" t="s">
        <v>83</v>
      </c>
      <c r="G416" s="22">
        <v>0</v>
      </c>
      <c r="H416" s="22" t="s">
        <v>83</v>
      </c>
    </row>
    <row r="417" spans="1:14" x14ac:dyDescent="0.25">
      <c r="E417" s="22" t="s">
        <v>165</v>
      </c>
      <c r="F417" s="22" t="s">
        <v>78</v>
      </c>
      <c r="G417" s="22">
        <v>0</v>
      </c>
      <c r="H417" s="22" t="s">
        <v>78</v>
      </c>
    </row>
    <row r="418" spans="1:14" x14ac:dyDescent="0.25">
      <c r="E418" s="22" t="s">
        <v>166</v>
      </c>
      <c r="F418" s="22" t="s">
        <v>102</v>
      </c>
      <c r="G418" s="22" t="s">
        <v>83</v>
      </c>
      <c r="H418" s="22" t="s">
        <v>113</v>
      </c>
    </row>
    <row r="419" spans="1:14" ht="15.6" customHeight="1" x14ac:dyDescent="0.25">
      <c r="A419" s="22" t="s">
        <v>58</v>
      </c>
      <c r="B419" s="22" t="s">
        <v>112</v>
      </c>
      <c r="C419" s="22">
        <v>60</v>
      </c>
      <c r="D419" s="22">
        <v>80</v>
      </c>
      <c r="E419" s="22" t="s">
        <v>165</v>
      </c>
      <c r="F419" s="22" t="s">
        <v>102</v>
      </c>
      <c r="G419" s="22" t="s">
        <v>92</v>
      </c>
      <c r="H419" s="22" t="s">
        <v>113</v>
      </c>
      <c r="I419" s="22" t="s">
        <v>65</v>
      </c>
      <c r="J419" s="22" t="s">
        <v>93</v>
      </c>
      <c r="K419" s="22" t="s">
        <v>93</v>
      </c>
      <c r="L419" s="22" t="s">
        <v>93</v>
      </c>
      <c r="M419" s="22">
        <v>685</v>
      </c>
      <c r="N419" s="22">
        <v>90</v>
      </c>
    </row>
    <row r="420" spans="1:14" x14ac:dyDescent="0.25">
      <c r="E420" s="22" t="s">
        <v>166</v>
      </c>
      <c r="F420" s="22" t="s">
        <v>92</v>
      </c>
      <c r="G420" s="22">
        <v>0</v>
      </c>
      <c r="H420" s="22" t="s">
        <v>78</v>
      </c>
    </row>
    <row r="421" spans="1:14" x14ac:dyDescent="0.25">
      <c r="E421" s="22" t="s">
        <v>165</v>
      </c>
      <c r="F421" s="22" t="s">
        <v>78</v>
      </c>
      <c r="G421" s="22">
        <v>0</v>
      </c>
      <c r="H421" s="22" t="s">
        <v>78</v>
      </c>
    </row>
    <row r="422" spans="1:14" x14ac:dyDescent="0.25">
      <c r="E422" s="22" t="s">
        <v>166</v>
      </c>
      <c r="F422" s="22" t="s">
        <v>113</v>
      </c>
      <c r="G422" s="22" t="s">
        <v>82</v>
      </c>
      <c r="H422" s="22" t="s">
        <v>102</v>
      </c>
    </row>
    <row r="423" spans="1:14" x14ac:dyDescent="0.25">
      <c r="A423" s="22" t="s">
        <v>58</v>
      </c>
      <c r="B423" s="22" t="s">
        <v>114</v>
      </c>
      <c r="C423" s="22">
        <v>60</v>
      </c>
      <c r="D423" s="22">
        <v>80</v>
      </c>
      <c r="E423" s="22" t="s">
        <v>165</v>
      </c>
      <c r="F423" s="22" t="s">
        <v>102</v>
      </c>
      <c r="G423" s="22" t="s">
        <v>92</v>
      </c>
      <c r="H423" s="22" t="s">
        <v>102</v>
      </c>
      <c r="I423" s="22" t="s">
        <v>65</v>
      </c>
      <c r="J423" s="22" t="s">
        <v>103</v>
      </c>
      <c r="K423" s="22" t="s">
        <v>103</v>
      </c>
      <c r="L423" s="22" t="s">
        <v>103</v>
      </c>
      <c r="M423" s="22">
        <v>525</v>
      </c>
      <c r="N423" s="22">
        <v>85</v>
      </c>
    </row>
    <row r="424" spans="1:14" x14ac:dyDescent="0.25">
      <c r="E424" s="22" t="s">
        <v>166</v>
      </c>
      <c r="F424" s="22" t="s">
        <v>90</v>
      </c>
      <c r="G424" s="22">
        <v>0</v>
      </c>
      <c r="H424" s="22" t="s">
        <v>82</v>
      </c>
    </row>
    <row r="425" spans="1:14" x14ac:dyDescent="0.25">
      <c r="E425" s="22" t="s">
        <v>165</v>
      </c>
      <c r="F425" s="22" t="s">
        <v>78</v>
      </c>
      <c r="G425" s="22">
        <v>0</v>
      </c>
      <c r="H425" s="22" t="s">
        <v>92</v>
      </c>
    </row>
    <row r="426" spans="1:14" x14ac:dyDescent="0.25">
      <c r="E426" s="22" t="s">
        <v>166</v>
      </c>
      <c r="F426" s="22" t="s">
        <v>102</v>
      </c>
      <c r="G426" s="22" t="s">
        <v>92</v>
      </c>
      <c r="H426" s="22" t="s">
        <v>102</v>
      </c>
    </row>
    <row r="427" spans="1:14" ht="15.6" customHeight="1" x14ac:dyDescent="0.25">
      <c r="A427" s="22" t="s">
        <v>58</v>
      </c>
      <c r="B427" s="22" t="s">
        <v>115</v>
      </c>
      <c r="C427" s="22">
        <v>50</v>
      </c>
      <c r="D427" s="22">
        <v>70</v>
      </c>
      <c r="E427" s="22" t="s">
        <v>165</v>
      </c>
      <c r="F427" s="22" t="s">
        <v>90</v>
      </c>
      <c r="G427" s="22" t="s">
        <v>82</v>
      </c>
      <c r="H427" s="22" t="s">
        <v>90</v>
      </c>
      <c r="I427" s="22" t="s">
        <v>7</v>
      </c>
      <c r="J427" s="22" t="s">
        <v>93</v>
      </c>
      <c r="K427" s="22" t="s">
        <v>93</v>
      </c>
      <c r="L427" s="22" t="s">
        <v>93</v>
      </c>
      <c r="M427" s="22">
        <v>695</v>
      </c>
      <c r="N427" s="22">
        <v>95</v>
      </c>
    </row>
    <row r="428" spans="1:14" x14ac:dyDescent="0.25">
      <c r="E428" s="22" t="s">
        <v>166</v>
      </c>
      <c r="F428" s="22" t="s">
        <v>82</v>
      </c>
      <c r="G428" s="22">
        <v>0</v>
      </c>
      <c r="H428" s="22" t="s">
        <v>90</v>
      </c>
    </row>
    <row r="429" spans="1:14" x14ac:dyDescent="0.25">
      <c r="E429" s="22" t="s">
        <v>165</v>
      </c>
      <c r="F429" s="22" t="s">
        <v>78</v>
      </c>
      <c r="G429" s="22">
        <v>0</v>
      </c>
      <c r="H429" s="22">
        <v>0</v>
      </c>
    </row>
    <row r="430" spans="1:14" x14ac:dyDescent="0.25">
      <c r="E430" s="22" t="s">
        <v>166</v>
      </c>
      <c r="F430" s="22" t="s">
        <v>90</v>
      </c>
      <c r="G430" s="22" t="s">
        <v>82</v>
      </c>
      <c r="H430" s="22" t="s">
        <v>90</v>
      </c>
    </row>
    <row r="431" spans="1:14" x14ac:dyDescent="0.25">
      <c r="A431" s="22" t="s">
        <v>58</v>
      </c>
      <c r="B431" s="22" t="s">
        <v>116</v>
      </c>
      <c r="C431" s="22">
        <v>60</v>
      </c>
      <c r="D431" s="22">
        <v>80</v>
      </c>
      <c r="E431" s="22" t="s">
        <v>165</v>
      </c>
      <c r="F431" s="22" t="s">
        <v>102</v>
      </c>
      <c r="G431" s="22" t="s">
        <v>92</v>
      </c>
      <c r="H431" s="22" t="s">
        <v>102</v>
      </c>
      <c r="I431" s="22" t="s">
        <v>65</v>
      </c>
      <c r="J431" s="22" t="s">
        <v>91</v>
      </c>
      <c r="K431" s="22" t="s">
        <v>91</v>
      </c>
      <c r="L431" s="22" t="s">
        <v>91</v>
      </c>
      <c r="M431" s="22">
        <v>1000</v>
      </c>
      <c r="N431" s="22">
        <v>115</v>
      </c>
    </row>
    <row r="432" spans="1:14" x14ac:dyDescent="0.25">
      <c r="E432" s="22" t="s">
        <v>166</v>
      </c>
      <c r="F432" s="22" t="s">
        <v>83</v>
      </c>
      <c r="G432" s="22">
        <v>0</v>
      </c>
      <c r="H432" s="22" t="s">
        <v>92</v>
      </c>
    </row>
    <row r="433" spans="1:14" x14ac:dyDescent="0.25">
      <c r="E433" s="22" t="s">
        <v>165</v>
      </c>
      <c r="F433" s="22">
        <v>0</v>
      </c>
      <c r="G433" s="22">
        <v>0</v>
      </c>
      <c r="H433" s="22">
        <v>0</v>
      </c>
    </row>
    <row r="434" spans="1:14" x14ac:dyDescent="0.25">
      <c r="E434" s="22" t="s">
        <v>166</v>
      </c>
      <c r="F434" s="22" t="s">
        <v>113</v>
      </c>
      <c r="G434" s="22" t="s">
        <v>82</v>
      </c>
      <c r="H434" s="22" t="s">
        <v>113</v>
      </c>
    </row>
    <row r="435" spans="1:14" x14ac:dyDescent="0.25">
      <c r="A435" s="22" t="s">
        <v>58</v>
      </c>
      <c r="B435" s="22" t="s">
        <v>117</v>
      </c>
      <c r="C435" s="22">
        <v>60</v>
      </c>
      <c r="D435" s="22">
        <v>80</v>
      </c>
      <c r="E435" s="22" t="s">
        <v>165</v>
      </c>
      <c r="F435" s="22" t="s">
        <v>102</v>
      </c>
      <c r="G435" s="22" t="s">
        <v>92</v>
      </c>
      <c r="H435" s="22" t="s">
        <v>102</v>
      </c>
      <c r="I435" s="22" t="s">
        <v>65</v>
      </c>
      <c r="J435" s="22" t="s">
        <v>91</v>
      </c>
      <c r="K435" s="22" t="s">
        <v>91</v>
      </c>
      <c r="L435" s="22" t="s">
        <v>91</v>
      </c>
      <c r="M435" s="22">
        <v>1000</v>
      </c>
      <c r="N435" s="22">
        <v>75</v>
      </c>
    </row>
    <row r="436" spans="1:14" x14ac:dyDescent="0.25">
      <c r="E436" s="22" t="s">
        <v>166</v>
      </c>
      <c r="F436" s="22" t="s">
        <v>83</v>
      </c>
      <c r="G436" s="22">
        <v>0</v>
      </c>
      <c r="H436" s="22" t="s">
        <v>92</v>
      </c>
    </row>
    <row r="437" spans="1:14" x14ac:dyDescent="0.25">
      <c r="E437" s="22" t="s">
        <v>165</v>
      </c>
      <c r="F437" s="22">
        <v>0</v>
      </c>
      <c r="G437" s="22">
        <v>0</v>
      </c>
      <c r="H437" s="22">
        <v>0</v>
      </c>
    </row>
    <row r="438" spans="1:14" x14ac:dyDescent="0.25">
      <c r="E438" s="22" t="s">
        <v>166</v>
      </c>
      <c r="F438" s="22" t="s">
        <v>90</v>
      </c>
      <c r="G438" s="22" t="s">
        <v>82</v>
      </c>
      <c r="H438" s="22" t="s">
        <v>113</v>
      </c>
    </row>
    <row r="439" spans="1:14" x14ac:dyDescent="0.25">
      <c r="A439" s="22" t="s">
        <v>58</v>
      </c>
      <c r="B439" s="22" t="s">
        <v>118</v>
      </c>
      <c r="C439" s="22">
        <v>60</v>
      </c>
      <c r="D439" s="22">
        <v>80</v>
      </c>
      <c r="E439" s="22" t="s">
        <v>165</v>
      </c>
      <c r="F439" s="22" t="s">
        <v>102</v>
      </c>
      <c r="G439" s="22" t="s">
        <v>82</v>
      </c>
      <c r="H439" s="22" t="s">
        <v>102</v>
      </c>
      <c r="I439" s="22" t="s">
        <v>65</v>
      </c>
      <c r="J439" s="22" t="s">
        <v>93</v>
      </c>
      <c r="K439" s="22" t="s">
        <v>93</v>
      </c>
      <c r="L439" s="22" t="s">
        <v>93</v>
      </c>
      <c r="M439" s="22">
        <v>695</v>
      </c>
      <c r="N439" s="22">
        <v>95</v>
      </c>
    </row>
    <row r="440" spans="1:14" x14ac:dyDescent="0.25">
      <c r="E440" s="22" t="s">
        <v>166</v>
      </c>
      <c r="F440" s="22" t="s">
        <v>78</v>
      </c>
      <c r="G440" s="22">
        <v>0</v>
      </c>
      <c r="H440" s="22" t="s">
        <v>82</v>
      </c>
    </row>
    <row r="441" spans="1:14" x14ac:dyDescent="0.25">
      <c r="E441" s="22" t="s">
        <v>165</v>
      </c>
      <c r="F441" s="22">
        <v>0</v>
      </c>
      <c r="G441" s="22">
        <v>0</v>
      </c>
      <c r="H441" s="22">
        <v>0</v>
      </c>
    </row>
    <row r="442" spans="1:14" x14ac:dyDescent="0.25">
      <c r="E442" s="22" t="s">
        <v>166</v>
      </c>
      <c r="F442" s="22" t="s">
        <v>102</v>
      </c>
      <c r="G442" s="22" t="s">
        <v>82</v>
      </c>
      <c r="H442" s="22" t="s">
        <v>113</v>
      </c>
    </row>
    <row r="443" spans="1:14" ht="15.6" customHeight="1" x14ac:dyDescent="0.25">
      <c r="A443" s="22" t="s">
        <v>59</v>
      </c>
      <c r="B443" s="22" t="s">
        <v>97</v>
      </c>
      <c r="C443" s="22">
        <v>60</v>
      </c>
      <c r="D443" s="22">
        <v>80</v>
      </c>
      <c r="E443" s="22" t="s">
        <v>165</v>
      </c>
      <c r="F443" s="22" t="s">
        <v>124</v>
      </c>
      <c r="G443" s="22" t="s">
        <v>125</v>
      </c>
      <c r="H443" s="22" t="s">
        <v>124</v>
      </c>
      <c r="I443" s="22" t="s">
        <v>65</v>
      </c>
      <c r="J443" s="22" t="s">
        <v>93</v>
      </c>
      <c r="K443" s="22" t="s">
        <v>93</v>
      </c>
      <c r="L443" s="22" t="s">
        <v>93</v>
      </c>
      <c r="M443" s="22">
        <v>685</v>
      </c>
      <c r="N443" s="22">
        <v>90</v>
      </c>
    </row>
    <row r="444" spans="1:14" x14ac:dyDescent="0.25">
      <c r="E444" s="22" t="s">
        <v>166</v>
      </c>
      <c r="F444" s="22" t="s">
        <v>126</v>
      </c>
      <c r="G444" s="22">
        <v>0</v>
      </c>
      <c r="H444" s="22" t="s">
        <v>126</v>
      </c>
    </row>
    <row r="445" spans="1:14" x14ac:dyDescent="0.25">
      <c r="E445" s="22" t="s">
        <v>165</v>
      </c>
      <c r="F445" s="22" t="s">
        <v>78</v>
      </c>
      <c r="G445" s="22">
        <v>0</v>
      </c>
      <c r="H445" s="22" t="s">
        <v>78</v>
      </c>
    </row>
    <row r="446" spans="1:14" x14ac:dyDescent="0.25">
      <c r="E446" s="22" t="s">
        <v>166</v>
      </c>
      <c r="F446" s="22" t="s">
        <v>113</v>
      </c>
      <c r="G446" s="22" t="s">
        <v>82</v>
      </c>
      <c r="H446" s="22" t="s">
        <v>113</v>
      </c>
    </row>
    <row r="447" spans="1:14" x14ac:dyDescent="0.25">
      <c r="A447" s="22" t="s">
        <v>59</v>
      </c>
      <c r="B447" s="22" t="s">
        <v>98</v>
      </c>
      <c r="C447" s="22">
        <v>60</v>
      </c>
      <c r="D447" s="22">
        <v>80</v>
      </c>
      <c r="E447" s="22" t="s">
        <v>165</v>
      </c>
      <c r="F447" s="22" t="s">
        <v>124</v>
      </c>
      <c r="G447" s="22" t="s">
        <v>124</v>
      </c>
      <c r="H447" s="22" t="s">
        <v>127</v>
      </c>
      <c r="I447" s="22" t="s">
        <v>65</v>
      </c>
      <c r="J447" s="22" t="s">
        <v>95</v>
      </c>
      <c r="K447" s="22" t="s">
        <v>95</v>
      </c>
      <c r="L447" s="22" t="s">
        <v>95</v>
      </c>
      <c r="M447" s="22">
        <v>525</v>
      </c>
      <c r="N447" s="22">
        <v>75</v>
      </c>
    </row>
    <row r="448" spans="1:14" x14ac:dyDescent="0.25">
      <c r="E448" s="22" t="s">
        <v>166</v>
      </c>
      <c r="F448" s="22" t="s">
        <v>126</v>
      </c>
      <c r="G448" s="22" t="s">
        <v>126</v>
      </c>
      <c r="H448" s="22" t="s">
        <v>126</v>
      </c>
    </row>
    <row r="449" spans="1:14" x14ac:dyDescent="0.25">
      <c r="E449" s="22" t="s">
        <v>165</v>
      </c>
      <c r="F449" s="22" t="s">
        <v>83</v>
      </c>
      <c r="G449" s="22" t="s">
        <v>78</v>
      </c>
      <c r="H449" s="22" t="s">
        <v>78</v>
      </c>
    </row>
    <row r="450" spans="1:14" x14ac:dyDescent="0.25">
      <c r="E450" s="22" t="s">
        <v>166</v>
      </c>
      <c r="F450" s="22" t="s">
        <v>102</v>
      </c>
      <c r="G450" s="22" t="s">
        <v>102</v>
      </c>
      <c r="H450" s="22" t="s">
        <v>102</v>
      </c>
    </row>
    <row r="451" spans="1:14" x14ac:dyDescent="0.25">
      <c r="A451" s="22" t="s">
        <v>59</v>
      </c>
      <c r="B451" s="22" t="s">
        <v>99</v>
      </c>
      <c r="C451" s="22">
        <v>60</v>
      </c>
      <c r="D451" s="22">
        <v>80</v>
      </c>
      <c r="E451" s="22" t="s">
        <v>165</v>
      </c>
      <c r="F451" s="22" t="s">
        <v>127</v>
      </c>
      <c r="G451" s="22" t="s">
        <v>125</v>
      </c>
      <c r="H451" s="22" t="s">
        <v>127</v>
      </c>
      <c r="I451" s="22" t="s">
        <v>65</v>
      </c>
      <c r="J451" s="22" t="s">
        <v>93</v>
      </c>
      <c r="K451" s="22" t="s">
        <v>93</v>
      </c>
      <c r="L451" s="22" t="s">
        <v>93</v>
      </c>
      <c r="M451" s="22">
        <v>695</v>
      </c>
      <c r="N451" s="22">
        <v>95</v>
      </c>
    </row>
    <row r="452" spans="1:14" x14ac:dyDescent="0.25">
      <c r="E452" s="22" t="s">
        <v>166</v>
      </c>
      <c r="F452" s="22">
        <v>0</v>
      </c>
      <c r="G452" s="22">
        <v>0</v>
      </c>
      <c r="H452" s="22" t="s">
        <v>125</v>
      </c>
    </row>
    <row r="453" spans="1:14" x14ac:dyDescent="0.25">
      <c r="E453" s="22" t="s">
        <v>165</v>
      </c>
      <c r="F453" s="22" t="s">
        <v>78</v>
      </c>
      <c r="G453" s="22">
        <v>0</v>
      </c>
      <c r="H453" s="22">
        <v>0</v>
      </c>
    </row>
    <row r="454" spans="1:14" x14ac:dyDescent="0.25">
      <c r="E454" s="22" t="s">
        <v>166</v>
      </c>
      <c r="F454" s="22" t="s">
        <v>102</v>
      </c>
      <c r="G454" s="22" t="s">
        <v>82</v>
      </c>
      <c r="H454" s="22" t="s">
        <v>102</v>
      </c>
    </row>
    <row r="455" spans="1:14" x14ac:dyDescent="0.25">
      <c r="A455" s="22" t="s">
        <v>59</v>
      </c>
      <c r="B455" s="22" t="s">
        <v>100</v>
      </c>
      <c r="C455" s="22">
        <v>60</v>
      </c>
      <c r="D455" s="22">
        <v>80</v>
      </c>
      <c r="E455" s="22" t="s">
        <v>165</v>
      </c>
      <c r="F455" s="22" t="s">
        <v>127</v>
      </c>
      <c r="G455" s="22" t="s">
        <v>125</v>
      </c>
      <c r="H455" s="22" t="s">
        <v>124</v>
      </c>
      <c r="I455" s="22" t="s">
        <v>65</v>
      </c>
      <c r="J455" s="22" t="s">
        <v>95</v>
      </c>
      <c r="K455" s="22" t="s">
        <v>95</v>
      </c>
      <c r="L455" s="22" t="s">
        <v>95</v>
      </c>
      <c r="M455" s="22">
        <v>620</v>
      </c>
      <c r="N455" s="22">
        <v>85</v>
      </c>
    </row>
    <row r="456" spans="1:14" x14ac:dyDescent="0.25">
      <c r="E456" s="22" t="s">
        <v>166</v>
      </c>
      <c r="F456" s="22" t="s">
        <v>126</v>
      </c>
      <c r="G456" s="22">
        <v>0</v>
      </c>
      <c r="H456" s="22" t="s">
        <v>126</v>
      </c>
    </row>
    <row r="457" spans="1:14" x14ac:dyDescent="0.25">
      <c r="E457" s="22" t="s">
        <v>165</v>
      </c>
      <c r="F457" s="22" t="s">
        <v>78</v>
      </c>
      <c r="G457" s="22">
        <v>0</v>
      </c>
      <c r="H457" s="22" t="s">
        <v>78</v>
      </c>
    </row>
    <row r="458" spans="1:14" x14ac:dyDescent="0.25">
      <c r="E458" s="22" t="s">
        <v>166</v>
      </c>
      <c r="F458" s="22" t="s">
        <v>102</v>
      </c>
      <c r="G458" s="22" t="s">
        <v>82</v>
      </c>
      <c r="H458" s="22" t="s">
        <v>102</v>
      </c>
    </row>
    <row r="459" spans="1:14" x14ac:dyDescent="0.25">
      <c r="A459" s="22" t="s">
        <v>59</v>
      </c>
      <c r="B459" s="22" t="s">
        <v>80</v>
      </c>
      <c r="C459" s="22">
        <v>50</v>
      </c>
      <c r="D459" s="22">
        <v>70</v>
      </c>
      <c r="E459" s="22" t="s">
        <v>165</v>
      </c>
      <c r="F459" s="22" t="s">
        <v>124</v>
      </c>
      <c r="G459" s="22" t="s">
        <v>125</v>
      </c>
      <c r="H459" s="22" t="s">
        <v>124</v>
      </c>
      <c r="I459" s="22" t="s">
        <v>7</v>
      </c>
      <c r="J459" s="22" t="s">
        <v>95</v>
      </c>
      <c r="K459" s="22" t="s">
        <v>95</v>
      </c>
      <c r="L459" s="22" t="s">
        <v>95</v>
      </c>
      <c r="M459" s="22">
        <v>620</v>
      </c>
      <c r="N459" s="22">
        <v>130</v>
      </c>
    </row>
    <row r="460" spans="1:14" x14ac:dyDescent="0.25">
      <c r="E460" s="22" t="s">
        <v>166</v>
      </c>
      <c r="F460" s="22" t="s">
        <v>125</v>
      </c>
      <c r="G460" s="22">
        <v>0</v>
      </c>
      <c r="H460" s="22">
        <v>0</v>
      </c>
    </row>
    <row r="461" spans="1:14" x14ac:dyDescent="0.25">
      <c r="E461" s="22" t="s">
        <v>165</v>
      </c>
      <c r="F461" s="22" t="s">
        <v>78</v>
      </c>
      <c r="G461" s="22">
        <v>0</v>
      </c>
      <c r="H461" s="22" t="s">
        <v>83</v>
      </c>
    </row>
    <row r="462" spans="1:14" x14ac:dyDescent="0.25">
      <c r="E462" s="22" t="s">
        <v>166</v>
      </c>
      <c r="F462" s="22" t="s">
        <v>92</v>
      </c>
      <c r="G462" s="22" t="s">
        <v>83</v>
      </c>
      <c r="H462" s="22" t="s">
        <v>90</v>
      </c>
    </row>
    <row r="463" spans="1:14" x14ac:dyDescent="0.25">
      <c r="A463" s="22" t="s">
        <v>59</v>
      </c>
      <c r="B463" s="22" t="s">
        <v>104</v>
      </c>
      <c r="C463" s="22">
        <v>60</v>
      </c>
      <c r="D463" s="22">
        <v>80</v>
      </c>
      <c r="E463" s="22" t="s">
        <v>165</v>
      </c>
      <c r="F463" s="22" t="s">
        <v>127</v>
      </c>
      <c r="G463" s="22" t="s">
        <v>125</v>
      </c>
      <c r="H463" s="22" t="s">
        <v>127</v>
      </c>
      <c r="I463" s="22" t="s">
        <v>65</v>
      </c>
      <c r="J463" s="22" t="s">
        <v>95</v>
      </c>
      <c r="K463" s="22" t="s">
        <v>95</v>
      </c>
      <c r="L463" s="22" t="s">
        <v>95</v>
      </c>
      <c r="M463" s="22">
        <v>620</v>
      </c>
      <c r="N463" s="22">
        <v>75</v>
      </c>
    </row>
    <row r="464" spans="1:14" x14ac:dyDescent="0.25">
      <c r="E464" s="22" t="s">
        <v>166</v>
      </c>
      <c r="F464" s="22" t="s">
        <v>125</v>
      </c>
      <c r="G464" s="22">
        <v>0</v>
      </c>
      <c r="H464" s="22" t="s">
        <v>126</v>
      </c>
    </row>
    <row r="465" spans="1:14" x14ac:dyDescent="0.25">
      <c r="E465" s="22" t="s">
        <v>165</v>
      </c>
      <c r="F465" s="22" t="s">
        <v>78</v>
      </c>
      <c r="G465" s="22">
        <v>0</v>
      </c>
      <c r="H465" s="22" t="s">
        <v>83</v>
      </c>
    </row>
    <row r="466" spans="1:14" x14ac:dyDescent="0.25">
      <c r="E466" s="22" t="s">
        <v>166</v>
      </c>
      <c r="F466" s="22" t="s">
        <v>102</v>
      </c>
      <c r="G466" s="22" t="s">
        <v>83</v>
      </c>
      <c r="H466" s="22" t="s">
        <v>102</v>
      </c>
    </row>
    <row r="467" spans="1:14" ht="15.6" customHeight="1" x14ac:dyDescent="0.25">
      <c r="A467" s="22" t="s">
        <v>59</v>
      </c>
      <c r="B467" s="22" t="s">
        <v>120</v>
      </c>
      <c r="C467" s="22">
        <v>50</v>
      </c>
      <c r="D467" s="22">
        <v>70</v>
      </c>
      <c r="E467" s="22" t="s">
        <v>165</v>
      </c>
      <c r="F467" s="22" t="s">
        <v>128</v>
      </c>
      <c r="G467" s="22" t="s">
        <v>126</v>
      </c>
      <c r="H467" s="22" t="s">
        <v>128</v>
      </c>
      <c r="I467" s="22" t="s">
        <v>7</v>
      </c>
      <c r="J467" s="22" t="s">
        <v>93</v>
      </c>
      <c r="K467" s="22" t="s">
        <v>93</v>
      </c>
      <c r="L467" s="22" t="s">
        <v>93</v>
      </c>
      <c r="M467" s="22">
        <v>685</v>
      </c>
      <c r="N467" s="22">
        <v>85</v>
      </c>
    </row>
    <row r="468" spans="1:14" x14ac:dyDescent="0.25">
      <c r="E468" s="22" t="s">
        <v>166</v>
      </c>
      <c r="F468" s="22" t="s">
        <v>126</v>
      </c>
      <c r="G468" s="22">
        <v>0</v>
      </c>
      <c r="H468" s="22">
        <v>0</v>
      </c>
    </row>
    <row r="469" spans="1:14" x14ac:dyDescent="0.25">
      <c r="E469" s="22" t="s">
        <v>165</v>
      </c>
      <c r="F469" s="22">
        <v>0</v>
      </c>
      <c r="G469" s="22">
        <v>0</v>
      </c>
      <c r="H469" s="22" t="s">
        <v>78</v>
      </c>
    </row>
    <row r="470" spans="1:14" x14ac:dyDescent="0.25">
      <c r="E470" s="22" t="s">
        <v>166</v>
      </c>
      <c r="F470" s="22" t="s">
        <v>92</v>
      </c>
      <c r="G470" s="22" t="s">
        <v>83</v>
      </c>
      <c r="H470" s="22" t="s">
        <v>92</v>
      </c>
    </row>
    <row r="471" spans="1:14" x14ac:dyDescent="0.25">
      <c r="A471" s="22" t="s">
        <v>59</v>
      </c>
      <c r="B471" s="22" t="s">
        <v>106</v>
      </c>
      <c r="C471" s="22">
        <v>60</v>
      </c>
      <c r="D471" s="22">
        <v>80</v>
      </c>
      <c r="E471" s="22" t="s">
        <v>165</v>
      </c>
      <c r="F471" s="22" t="s">
        <v>127</v>
      </c>
      <c r="G471" s="22" t="s">
        <v>125</v>
      </c>
      <c r="H471" s="22" t="s">
        <v>127</v>
      </c>
      <c r="I471" s="22" t="s">
        <v>7</v>
      </c>
      <c r="J471" s="22" t="s">
        <v>88</v>
      </c>
      <c r="K471" s="22" t="s">
        <v>88</v>
      </c>
      <c r="L471" s="22" t="s">
        <v>88</v>
      </c>
      <c r="M471" s="22">
        <v>1220</v>
      </c>
      <c r="N471" s="22">
        <v>95</v>
      </c>
    </row>
    <row r="472" spans="1:14" x14ac:dyDescent="0.25">
      <c r="E472" s="22" t="s">
        <v>166</v>
      </c>
      <c r="F472" s="22">
        <v>0</v>
      </c>
      <c r="G472" s="22">
        <v>0</v>
      </c>
      <c r="H472" s="22" t="s">
        <v>126</v>
      </c>
    </row>
    <row r="473" spans="1:14" x14ac:dyDescent="0.25">
      <c r="E473" s="22" t="s">
        <v>165</v>
      </c>
      <c r="F473" s="22">
        <v>0</v>
      </c>
      <c r="G473" s="22">
        <v>0</v>
      </c>
      <c r="H473" s="22">
        <v>0</v>
      </c>
    </row>
    <row r="474" spans="1:14" x14ac:dyDescent="0.25">
      <c r="E474" s="22" t="s">
        <v>166</v>
      </c>
      <c r="F474" s="22" t="s">
        <v>92</v>
      </c>
      <c r="G474" s="22" t="s">
        <v>82</v>
      </c>
      <c r="H474" s="22" t="s">
        <v>90</v>
      </c>
    </row>
    <row r="475" spans="1:14" x14ac:dyDescent="0.25">
      <c r="A475" s="22" t="s">
        <v>59</v>
      </c>
      <c r="B475" s="22" t="s">
        <v>107</v>
      </c>
      <c r="C475" s="22">
        <v>60</v>
      </c>
      <c r="D475" s="22">
        <v>80</v>
      </c>
      <c r="E475" s="22" t="s">
        <v>165</v>
      </c>
      <c r="F475" s="22" t="s">
        <v>124</v>
      </c>
      <c r="G475" s="22" t="s">
        <v>124</v>
      </c>
      <c r="H475" s="22" t="s">
        <v>127</v>
      </c>
      <c r="I475" s="22" t="s">
        <v>65</v>
      </c>
      <c r="J475" s="22" t="s">
        <v>95</v>
      </c>
      <c r="K475" s="22" t="s">
        <v>95</v>
      </c>
      <c r="L475" s="22" t="s">
        <v>95</v>
      </c>
      <c r="M475" s="22">
        <v>540</v>
      </c>
      <c r="N475" s="22">
        <v>85</v>
      </c>
    </row>
    <row r="476" spans="1:14" x14ac:dyDescent="0.25">
      <c r="E476" s="22" t="s">
        <v>166</v>
      </c>
      <c r="F476" s="22" t="s">
        <v>126</v>
      </c>
      <c r="G476" s="22" t="s">
        <v>126</v>
      </c>
      <c r="H476" s="22" t="s">
        <v>126</v>
      </c>
    </row>
    <row r="477" spans="1:14" x14ac:dyDescent="0.25">
      <c r="E477" s="22" t="s">
        <v>165</v>
      </c>
      <c r="F477" s="22" t="s">
        <v>78</v>
      </c>
      <c r="G477" s="22" t="s">
        <v>78</v>
      </c>
      <c r="H477" s="22" t="s">
        <v>78</v>
      </c>
    </row>
    <row r="478" spans="1:14" x14ac:dyDescent="0.25">
      <c r="E478" s="22" t="s">
        <v>166</v>
      </c>
      <c r="F478" s="22" t="s">
        <v>102</v>
      </c>
      <c r="G478" s="22" t="s">
        <v>113</v>
      </c>
      <c r="H478" s="22" t="s">
        <v>113</v>
      </c>
    </row>
    <row r="479" spans="1:14" x14ac:dyDescent="0.25">
      <c r="A479" s="22" t="s">
        <v>59</v>
      </c>
      <c r="B479" s="22" t="s">
        <v>86</v>
      </c>
      <c r="C479" s="22">
        <v>50</v>
      </c>
      <c r="D479" s="22">
        <v>70</v>
      </c>
      <c r="E479" s="22" t="s">
        <v>165</v>
      </c>
      <c r="F479" s="22" t="s">
        <v>124</v>
      </c>
      <c r="G479" s="22" t="s">
        <v>124</v>
      </c>
      <c r="H479" s="22" t="s">
        <v>124</v>
      </c>
      <c r="I479" s="22" t="s">
        <v>7</v>
      </c>
      <c r="J479" s="22" t="s">
        <v>93</v>
      </c>
      <c r="K479" s="22" t="s">
        <v>93</v>
      </c>
      <c r="L479" s="22" t="s">
        <v>93</v>
      </c>
      <c r="M479" s="22">
        <v>540</v>
      </c>
      <c r="N479" s="22">
        <v>95</v>
      </c>
    </row>
    <row r="480" spans="1:14" x14ac:dyDescent="0.25">
      <c r="E480" s="22" t="s">
        <v>166</v>
      </c>
      <c r="F480" s="22">
        <v>0</v>
      </c>
      <c r="G480" s="22">
        <v>0</v>
      </c>
      <c r="H480" s="22" t="s">
        <v>126</v>
      </c>
    </row>
    <row r="481" spans="1:14" x14ac:dyDescent="0.25">
      <c r="E481" s="22" t="s">
        <v>165</v>
      </c>
      <c r="F481" s="22" t="s">
        <v>83</v>
      </c>
      <c r="G481" s="22" t="s">
        <v>78</v>
      </c>
      <c r="H481" s="22" t="s">
        <v>78</v>
      </c>
    </row>
    <row r="482" spans="1:14" x14ac:dyDescent="0.25">
      <c r="E482" s="22" t="s">
        <v>166</v>
      </c>
      <c r="F482" s="22" t="s">
        <v>90</v>
      </c>
      <c r="G482" s="22" t="s">
        <v>92</v>
      </c>
      <c r="H482" s="22" t="s">
        <v>92</v>
      </c>
    </row>
    <row r="483" spans="1:14" x14ac:dyDescent="0.25">
      <c r="A483" s="22" t="s">
        <v>59</v>
      </c>
      <c r="B483" s="22" t="s">
        <v>121</v>
      </c>
      <c r="C483" s="22">
        <v>60</v>
      </c>
      <c r="D483" s="22">
        <v>80</v>
      </c>
      <c r="E483" s="22" t="s">
        <v>165</v>
      </c>
      <c r="F483" s="22" t="s">
        <v>124</v>
      </c>
      <c r="G483" s="22" t="s">
        <v>125</v>
      </c>
      <c r="H483" s="22" t="s">
        <v>124</v>
      </c>
      <c r="I483" s="22" t="s">
        <v>7</v>
      </c>
      <c r="J483" s="22" t="s">
        <v>88</v>
      </c>
      <c r="K483" s="22" t="s">
        <v>88</v>
      </c>
      <c r="L483" s="22" t="s">
        <v>88</v>
      </c>
      <c r="M483" s="22">
        <v>1160</v>
      </c>
      <c r="N483" s="22">
        <v>115</v>
      </c>
    </row>
    <row r="484" spans="1:14" x14ac:dyDescent="0.25">
      <c r="E484" s="22" t="s">
        <v>166</v>
      </c>
      <c r="F484" s="22" t="s">
        <v>126</v>
      </c>
      <c r="G484" s="22">
        <v>0</v>
      </c>
      <c r="H484" s="22" t="s">
        <v>126</v>
      </c>
    </row>
    <row r="485" spans="1:14" x14ac:dyDescent="0.25">
      <c r="E485" s="22" t="s">
        <v>165</v>
      </c>
      <c r="F485" s="22">
        <v>0</v>
      </c>
      <c r="G485" s="22">
        <v>0</v>
      </c>
      <c r="H485" s="22">
        <v>0</v>
      </c>
    </row>
    <row r="486" spans="1:14" x14ac:dyDescent="0.25">
      <c r="E486" s="22" t="s">
        <v>166</v>
      </c>
      <c r="F486" s="22" t="s">
        <v>92</v>
      </c>
      <c r="G486" s="22" t="s">
        <v>82</v>
      </c>
      <c r="H486" s="22" t="s">
        <v>92</v>
      </c>
    </row>
    <row r="487" spans="1:14" x14ac:dyDescent="0.25">
      <c r="A487" s="22" t="s">
        <v>59</v>
      </c>
      <c r="B487" s="22" t="s">
        <v>111</v>
      </c>
      <c r="C487" s="22">
        <v>60</v>
      </c>
      <c r="D487" s="22">
        <v>80</v>
      </c>
      <c r="E487" s="22" t="s">
        <v>165</v>
      </c>
      <c r="F487" s="22" t="s">
        <v>127</v>
      </c>
      <c r="G487" s="22" t="s">
        <v>127</v>
      </c>
      <c r="H487" s="22" t="s">
        <v>127</v>
      </c>
      <c r="I487" s="22" t="s">
        <v>65</v>
      </c>
      <c r="J487" s="22" t="s">
        <v>95</v>
      </c>
      <c r="K487" s="22" t="s">
        <v>95</v>
      </c>
      <c r="L487" s="22" t="s">
        <v>95</v>
      </c>
      <c r="M487" s="22">
        <v>540</v>
      </c>
      <c r="N487" s="22">
        <v>75</v>
      </c>
    </row>
    <row r="488" spans="1:14" x14ac:dyDescent="0.25">
      <c r="E488" s="22" t="s">
        <v>166</v>
      </c>
      <c r="F488" s="22" t="s">
        <v>126</v>
      </c>
      <c r="G488" s="22" t="s">
        <v>126</v>
      </c>
      <c r="H488" s="22" t="s">
        <v>126</v>
      </c>
    </row>
    <row r="489" spans="1:14" x14ac:dyDescent="0.25">
      <c r="E489" s="22" t="s">
        <v>165</v>
      </c>
      <c r="F489" s="22" t="s">
        <v>83</v>
      </c>
      <c r="G489" s="22" t="s">
        <v>83</v>
      </c>
      <c r="H489" s="22" t="s">
        <v>83</v>
      </c>
    </row>
    <row r="490" spans="1:14" x14ac:dyDescent="0.25">
      <c r="E490" s="22" t="s">
        <v>166</v>
      </c>
      <c r="F490" s="22" t="s">
        <v>102</v>
      </c>
      <c r="G490" s="22" t="s">
        <v>102</v>
      </c>
      <c r="H490" s="22" t="s">
        <v>102</v>
      </c>
    </row>
    <row r="491" spans="1:14" ht="15.6" customHeight="1" x14ac:dyDescent="0.25">
      <c r="A491" s="22" t="s">
        <v>59</v>
      </c>
      <c r="B491" s="22" t="s">
        <v>112</v>
      </c>
      <c r="C491" s="22">
        <v>60</v>
      </c>
      <c r="D491" s="22">
        <v>80</v>
      </c>
      <c r="E491" s="22" t="s">
        <v>165</v>
      </c>
      <c r="F491" s="22" t="s">
        <v>127</v>
      </c>
      <c r="G491" s="22" t="s">
        <v>125</v>
      </c>
      <c r="H491" s="22" t="s">
        <v>127</v>
      </c>
      <c r="I491" s="22" t="s">
        <v>65</v>
      </c>
      <c r="J491" s="22" t="s">
        <v>95</v>
      </c>
      <c r="K491" s="22" t="s">
        <v>95</v>
      </c>
      <c r="L491" s="22" t="s">
        <v>95</v>
      </c>
      <c r="M491" s="22">
        <v>685</v>
      </c>
      <c r="N491" s="22">
        <v>90</v>
      </c>
    </row>
    <row r="492" spans="1:14" x14ac:dyDescent="0.25">
      <c r="E492" s="22" t="s">
        <v>166</v>
      </c>
      <c r="F492" s="22" t="s">
        <v>125</v>
      </c>
      <c r="G492" s="22">
        <v>0</v>
      </c>
      <c r="H492" s="22" t="s">
        <v>126</v>
      </c>
    </row>
    <row r="493" spans="1:14" x14ac:dyDescent="0.25">
      <c r="E493" s="22" t="s">
        <v>165</v>
      </c>
      <c r="F493" s="22" t="s">
        <v>78</v>
      </c>
      <c r="G493" s="22">
        <v>0</v>
      </c>
      <c r="H493" s="22" t="s">
        <v>82</v>
      </c>
    </row>
    <row r="494" spans="1:14" x14ac:dyDescent="0.25">
      <c r="E494" s="22" t="s">
        <v>166</v>
      </c>
      <c r="F494" s="22" t="s">
        <v>102</v>
      </c>
      <c r="G494" s="22" t="s">
        <v>82</v>
      </c>
      <c r="H494" s="22" t="s">
        <v>102</v>
      </c>
    </row>
    <row r="495" spans="1:14" x14ac:dyDescent="0.25">
      <c r="A495" s="22" t="s">
        <v>59</v>
      </c>
      <c r="B495" s="22" t="s">
        <v>114</v>
      </c>
      <c r="C495" s="22">
        <v>60</v>
      </c>
      <c r="D495" s="22">
        <v>80</v>
      </c>
      <c r="E495" s="22" t="s">
        <v>165</v>
      </c>
      <c r="F495" s="22" t="s">
        <v>127</v>
      </c>
      <c r="G495" s="22" t="s">
        <v>124</v>
      </c>
      <c r="H495" s="22" t="s">
        <v>124</v>
      </c>
      <c r="I495" s="22" t="s">
        <v>65</v>
      </c>
      <c r="J495" s="22" t="s">
        <v>103</v>
      </c>
      <c r="K495" s="22" t="s">
        <v>103</v>
      </c>
      <c r="L495" s="22" t="s">
        <v>103</v>
      </c>
      <c r="M495" s="22">
        <v>525</v>
      </c>
      <c r="N495" s="22">
        <v>85</v>
      </c>
    </row>
    <row r="496" spans="1:14" x14ac:dyDescent="0.25">
      <c r="E496" s="22" t="s">
        <v>166</v>
      </c>
      <c r="F496" s="22" t="s">
        <v>126</v>
      </c>
      <c r="G496" s="22" t="s">
        <v>126</v>
      </c>
      <c r="H496" s="22" t="s">
        <v>126</v>
      </c>
    </row>
    <row r="497" spans="1:14" x14ac:dyDescent="0.25">
      <c r="E497" s="22" t="s">
        <v>165</v>
      </c>
      <c r="F497" s="22" t="s">
        <v>78</v>
      </c>
      <c r="G497" s="22" t="s">
        <v>78</v>
      </c>
      <c r="H497" s="22" t="s">
        <v>82</v>
      </c>
    </row>
    <row r="498" spans="1:14" x14ac:dyDescent="0.25">
      <c r="E498" s="22" t="s">
        <v>166</v>
      </c>
      <c r="F498" s="22" t="s">
        <v>102</v>
      </c>
      <c r="G498" s="22" t="s">
        <v>102</v>
      </c>
      <c r="H498" s="22" t="s">
        <v>102</v>
      </c>
    </row>
    <row r="499" spans="1:14" x14ac:dyDescent="0.25">
      <c r="A499" s="22" t="s">
        <v>59</v>
      </c>
      <c r="B499" s="22" t="s">
        <v>115</v>
      </c>
      <c r="C499" s="22">
        <v>50</v>
      </c>
      <c r="D499" s="22">
        <v>70</v>
      </c>
      <c r="E499" s="22" t="s">
        <v>165</v>
      </c>
      <c r="F499" s="22" t="s">
        <v>124</v>
      </c>
      <c r="G499" s="22" t="s">
        <v>125</v>
      </c>
      <c r="H499" s="22" t="s">
        <v>124</v>
      </c>
      <c r="I499" s="22" t="s">
        <v>7</v>
      </c>
      <c r="J499" s="22" t="s">
        <v>95</v>
      </c>
      <c r="K499" s="22" t="s">
        <v>95</v>
      </c>
      <c r="L499" s="22" t="s">
        <v>95</v>
      </c>
      <c r="M499" s="22">
        <v>695</v>
      </c>
      <c r="N499" s="22">
        <v>95</v>
      </c>
    </row>
    <row r="500" spans="1:14" x14ac:dyDescent="0.25">
      <c r="E500" s="22" t="s">
        <v>166</v>
      </c>
      <c r="F500" s="22" t="s">
        <v>126</v>
      </c>
      <c r="G500" s="22">
        <v>0</v>
      </c>
      <c r="H500" s="22" t="s">
        <v>125</v>
      </c>
    </row>
    <row r="501" spans="1:14" x14ac:dyDescent="0.25">
      <c r="E501" s="22" t="s">
        <v>165</v>
      </c>
      <c r="F501" s="22" t="s">
        <v>83</v>
      </c>
      <c r="G501" s="22">
        <v>0</v>
      </c>
      <c r="H501" s="22" t="s">
        <v>78</v>
      </c>
    </row>
    <row r="502" spans="1:14" x14ac:dyDescent="0.25">
      <c r="E502" s="22" t="s">
        <v>166</v>
      </c>
      <c r="F502" s="22" t="s">
        <v>90</v>
      </c>
      <c r="G502" s="22" t="s">
        <v>82</v>
      </c>
      <c r="H502" s="22" t="s">
        <v>92</v>
      </c>
    </row>
    <row r="503" spans="1:14" x14ac:dyDescent="0.25">
      <c r="A503" s="22" t="s">
        <v>59</v>
      </c>
      <c r="B503" s="22" t="s">
        <v>116</v>
      </c>
      <c r="C503" s="22">
        <v>60</v>
      </c>
      <c r="D503" s="22">
        <v>80</v>
      </c>
      <c r="E503" s="22" t="s">
        <v>165</v>
      </c>
      <c r="F503" s="22" t="s">
        <v>124</v>
      </c>
      <c r="G503" s="22" t="s">
        <v>125</v>
      </c>
      <c r="H503" s="22" t="s">
        <v>127</v>
      </c>
      <c r="I503" s="22" t="s">
        <v>65</v>
      </c>
      <c r="J503" s="22" t="s">
        <v>93</v>
      </c>
      <c r="K503" s="22" t="s">
        <v>93</v>
      </c>
      <c r="L503" s="22" t="s">
        <v>93</v>
      </c>
      <c r="M503" s="22">
        <v>1000</v>
      </c>
      <c r="N503" s="22">
        <v>115</v>
      </c>
    </row>
    <row r="504" spans="1:14" x14ac:dyDescent="0.25">
      <c r="E504" s="22" t="s">
        <v>166</v>
      </c>
      <c r="F504" s="22" t="s">
        <v>126</v>
      </c>
      <c r="G504" s="22">
        <v>0</v>
      </c>
      <c r="H504" s="22" t="s">
        <v>125</v>
      </c>
    </row>
    <row r="505" spans="1:14" x14ac:dyDescent="0.25">
      <c r="E505" s="22" t="s">
        <v>165</v>
      </c>
      <c r="F505" s="22">
        <v>0</v>
      </c>
      <c r="G505" s="22">
        <v>0</v>
      </c>
      <c r="H505" s="22">
        <v>0</v>
      </c>
    </row>
    <row r="506" spans="1:14" x14ac:dyDescent="0.25">
      <c r="E506" s="22" t="s">
        <v>166</v>
      </c>
      <c r="F506" s="22" t="s">
        <v>102</v>
      </c>
      <c r="G506" s="22" t="s">
        <v>92</v>
      </c>
      <c r="H506" s="22" t="s">
        <v>113</v>
      </c>
    </row>
    <row r="507" spans="1:14" x14ac:dyDescent="0.25">
      <c r="A507" s="22" t="s">
        <v>59</v>
      </c>
      <c r="B507" s="22" t="s">
        <v>117</v>
      </c>
      <c r="C507" s="22">
        <v>60</v>
      </c>
      <c r="D507" s="22">
        <v>80</v>
      </c>
      <c r="E507" s="22" t="s">
        <v>165</v>
      </c>
      <c r="F507" s="22" t="s">
        <v>127</v>
      </c>
      <c r="G507" s="22" t="s">
        <v>125</v>
      </c>
      <c r="H507" s="22" t="s">
        <v>127</v>
      </c>
      <c r="I507" s="22" t="s">
        <v>65</v>
      </c>
      <c r="J507" s="22" t="s">
        <v>93</v>
      </c>
      <c r="K507" s="22" t="s">
        <v>93</v>
      </c>
      <c r="L507" s="22" t="s">
        <v>93</v>
      </c>
      <c r="M507" s="22">
        <v>1000</v>
      </c>
      <c r="N507" s="22">
        <v>75</v>
      </c>
    </row>
    <row r="508" spans="1:14" x14ac:dyDescent="0.25">
      <c r="E508" s="22" t="s">
        <v>166</v>
      </c>
      <c r="F508" s="22" t="s">
        <v>126</v>
      </c>
      <c r="G508" s="22">
        <v>0</v>
      </c>
      <c r="H508" s="22" t="s">
        <v>125</v>
      </c>
    </row>
    <row r="509" spans="1:14" x14ac:dyDescent="0.25">
      <c r="E509" s="22" t="s">
        <v>165</v>
      </c>
      <c r="F509" s="22">
        <v>0</v>
      </c>
      <c r="G509" s="22">
        <v>0</v>
      </c>
      <c r="H509" s="22">
        <v>0</v>
      </c>
    </row>
    <row r="510" spans="1:14" x14ac:dyDescent="0.25">
      <c r="E510" s="22" t="s">
        <v>166</v>
      </c>
      <c r="F510" s="22" t="s">
        <v>113</v>
      </c>
      <c r="G510" s="22" t="s">
        <v>82</v>
      </c>
      <c r="H510" s="22" t="s">
        <v>113</v>
      </c>
    </row>
    <row r="511" spans="1:14" x14ac:dyDescent="0.25">
      <c r="A511" s="22" t="s">
        <v>59</v>
      </c>
      <c r="B511" s="22" t="s">
        <v>118</v>
      </c>
      <c r="C511" s="22">
        <v>60</v>
      </c>
      <c r="D511" s="22">
        <v>80</v>
      </c>
      <c r="E511" s="22" t="s">
        <v>165</v>
      </c>
      <c r="F511" s="22" t="s">
        <v>127</v>
      </c>
      <c r="G511" s="22" t="s">
        <v>125</v>
      </c>
      <c r="H511" s="22" t="s">
        <v>127</v>
      </c>
      <c r="I511" s="22" t="s">
        <v>65</v>
      </c>
      <c r="J511" s="22" t="s">
        <v>95</v>
      </c>
      <c r="K511" s="22" t="s">
        <v>95</v>
      </c>
      <c r="L511" s="22" t="s">
        <v>95</v>
      </c>
      <c r="M511" s="22">
        <v>695</v>
      </c>
      <c r="N511" s="22">
        <v>95</v>
      </c>
    </row>
    <row r="512" spans="1:14" x14ac:dyDescent="0.25">
      <c r="E512" s="22" t="s">
        <v>166</v>
      </c>
      <c r="F512" s="22" t="s">
        <v>126</v>
      </c>
      <c r="G512" s="22">
        <v>0</v>
      </c>
      <c r="H512" s="22" t="s">
        <v>125</v>
      </c>
    </row>
    <row r="513" spans="1:14" x14ac:dyDescent="0.25">
      <c r="E513" s="22" t="s">
        <v>165</v>
      </c>
      <c r="F513" s="22" t="s">
        <v>78</v>
      </c>
      <c r="G513" s="22">
        <v>0</v>
      </c>
      <c r="H513" s="22" t="s">
        <v>78</v>
      </c>
    </row>
    <row r="514" spans="1:14" x14ac:dyDescent="0.25">
      <c r="E514" s="22" t="s">
        <v>166</v>
      </c>
      <c r="F514" s="22" t="s">
        <v>113</v>
      </c>
      <c r="G514" s="22" t="s">
        <v>82</v>
      </c>
      <c r="H514" s="22" t="s">
        <v>113</v>
      </c>
    </row>
    <row r="515" spans="1:14" x14ac:dyDescent="0.25">
      <c r="A515" s="22" t="s">
        <v>60</v>
      </c>
      <c r="B515" s="22" t="s">
        <v>97</v>
      </c>
      <c r="C515" s="22">
        <v>60</v>
      </c>
      <c r="D515" s="22">
        <v>80</v>
      </c>
      <c r="E515" s="22" t="s">
        <v>165</v>
      </c>
      <c r="F515" s="22" t="s">
        <v>127</v>
      </c>
      <c r="G515" s="22" t="s">
        <v>125</v>
      </c>
      <c r="H515" s="22" t="s">
        <v>127</v>
      </c>
      <c r="I515" s="22" t="s">
        <v>65</v>
      </c>
      <c r="J515" s="22" t="s">
        <v>93</v>
      </c>
      <c r="K515" s="22" t="s">
        <v>93</v>
      </c>
      <c r="L515" s="22" t="s">
        <v>93</v>
      </c>
      <c r="M515" s="22">
        <v>685</v>
      </c>
      <c r="N515" s="22">
        <v>90</v>
      </c>
    </row>
    <row r="516" spans="1:14" x14ac:dyDescent="0.25">
      <c r="E516" s="22" t="s">
        <v>166</v>
      </c>
      <c r="F516" s="22" t="s">
        <v>126</v>
      </c>
      <c r="G516" s="22">
        <v>0</v>
      </c>
      <c r="H516" s="22" t="s">
        <v>126</v>
      </c>
    </row>
    <row r="517" spans="1:14" x14ac:dyDescent="0.25">
      <c r="E517" s="22" t="s">
        <v>165</v>
      </c>
      <c r="F517" s="22" t="s">
        <v>78</v>
      </c>
      <c r="G517" s="22">
        <v>0</v>
      </c>
      <c r="H517" s="22" t="s">
        <v>78</v>
      </c>
    </row>
    <row r="518" spans="1:14" x14ac:dyDescent="0.25">
      <c r="E518" s="22" t="s">
        <v>166</v>
      </c>
      <c r="F518" s="22" t="s">
        <v>102</v>
      </c>
      <c r="G518" s="22" t="s">
        <v>82</v>
      </c>
      <c r="H518" s="22" t="s">
        <v>102</v>
      </c>
    </row>
    <row r="519" spans="1:14" ht="15.6" customHeight="1" x14ac:dyDescent="0.25">
      <c r="A519" s="22" t="s">
        <v>60</v>
      </c>
      <c r="B519" s="22" t="s">
        <v>98</v>
      </c>
      <c r="C519" s="22">
        <v>60</v>
      </c>
      <c r="D519" s="22">
        <v>80</v>
      </c>
      <c r="E519" s="22" t="s">
        <v>165</v>
      </c>
      <c r="F519" s="22" t="s">
        <v>127</v>
      </c>
      <c r="G519" s="22" t="s">
        <v>127</v>
      </c>
      <c r="H519" s="22" t="s">
        <v>127</v>
      </c>
      <c r="I519" s="22" t="s">
        <v>65</v>
      </c>
      <c r="J519" s="22" t="s">
        <v>103</v>
      </c>
      <c r="K519" s="22" t="s">
        <v>103</v>
      </c>
      <c r="L519" s="22" t="s">
        <v>103</v>
      </c>
      <c r="M519" s="22">
        <v>525</v>
      </c>
      <c r="N519" s="22">
        <v>75</v>
      </c>
    </row>
    <row r="520" spans="1:14" x14ac:dyDescent="0.25">
      <c r="E520" s="22" t="s">
        <v>166</v>
      </c>
      <c r="F520" s="22" t="s">
        <v>126</v>
      </c>
      <c r="G520" s="22" t="s">
        <v>126</v>
      </c>
      <c r="H520" s="22" t="s">
        <v>125</v>
      </c>
    </row>
    <row r="521" spans="1:14" x14ac:dyDescent="0.25">
      <c r="E521" s="22" t="s">
        <v>165</v>
      </c>
      <c r="F521" s="22" t="s">
        <v>82</v>
      </c>
      <c r="G521" s="22" t="s">
        <v>83</v>
      </c>
      <c r="H521" s="22" t="s">
        <v>83</v>
      </c>
    </row>
    <row r="522" spans="1:14" x14ac:dyDescent="0.25">
      <c r="E522" s="22" t="s">
        <v>166</v>
      </c>
      <c r="F522" s="22" t="s">
        <v>102</v>
      </c>
      <c r="G522" s="22" t="s">
        <v>102</v>
      </c>
      <c r="H522" s="22" t="s">
        <v>102</v>
      </c>
    </row>
    <row r="523" spans="1:14" x14ac:dyDescent="0.25">
      <c r="A523" s="22" t="s">
        <v>60</v>
      </c>
      <c r="B523" s="22" t="s">
        <v>99</v>
      </c>
      <c r="C523" s="22">
        <v>60</v>
      </c>
      <c r="D523" s="22">
        <v>80</v>
      </c>
      <c r="E523" s="22" t="s">
        <v>165</v>
      </c>
      <c r="F523" s="22" t="s">
        <v>124</v>
      </c>
      <c r="G523" s="22" t="s">
        <v>125</v>
      </c>
      <c r="H523" s="22" t="s">
        <v>127</v>
      </c>
      <c r="I523" s="22" t="s">
        <v>65</v>
      </c>
      <c r="J523" s="22" t="s">
        <v>93</v>
      </c>
      <c r="K523" s="22" t="s">
        <v>93</v>
      </c>
      <c r="L523" s="22" t="s">
        <v>93</v>
      </c>
      <c r="M523" s="22">
        <v>695</v>
      </c>
      <c r="N523" s="22">
        <v>95</v>
      </c>
    </row>
    <row r="524" spans="1:14" x14ac:dyDescent="0.25">
      <c r="E524" s="22" t="s">
        <v>166</v>
      </c>
      <c r="F524" s="22" t="s">
        <v>126</v>
      </c>
      <c r="G524" s="22">
        <v>0</v>
      </c>
      <c r="H524" s="22" t="s">
        <v>125</v>
      </c>
    </row>
    <row r="525" spans="1:14" x14ac:dyDescent="0.25">
      <c r="E525" s="22" t="s">
        <v>165</v>
      </c>
      <c r="F525" s="22" t="s">
        <v>83</v>
      </c>
      <c r="G525" s="22">
        <v>0</v>
      </c>
      <c r="H525" s="22" t="s">
        <v>78</v>
      </c>
    </row>
    <row r="526" spans="1:14" x14ac:dyDescent="0.25">
      <c r="E526" s="22" t="s">
        <v>166</v>
      </c>
      <c r="F526" s="22" t="s">
        <v>102</v>
      </c>
      <c r="G526" s="22" t="s">
        <v>82</v>
      </c>
      <c r="H526" s="22" t="s">
        <v>113</v>
      </c>
    </row>
    <row r="527" spans="1:14" x14ac:dyDescent="0.25">
      <c r="A527" s="22" t="s">
        <v>60</v>
      </c>
      <c r="B527" s="22" t="s">
        <v>100</v>
      </c>
      <c r="C527" s="22">
        <v>60</v>
      </c>
      <c r="D527" s="22">
        <v>80</v>
      </c>
      <c r="E527" s="22" t="s">
        <v>165</v>
      </c>
      <c r="F527" s="22" t="s">
        <v>127</v>
      </c>
      <c r="G527" s="22" t="s">
        <v>125</v>
      </c>
      <c r="H527" s="22" t="s">
        <v>127</v>
      </c>
      <c r="I527" s="22" t="s">
        <v>65</v>
      </c>
      <c r="J527" s="22" t="s">
        <v>95</v>
      </c>
      <c r="K527" s="22" t="s">
        <v>95</v>
      </c>
      <c r="L527" s="22" t="s">
        <v>95</v>
      </c>
      <c r="M527" s="22">
        <v>620</v>
      </c>
      <c r="N527" s="22">
        <v>85</v>
      </c>
    </row>
    <row r="528" spans="1:14" x14ac:dyDescent="0.25">
      <c r="E528" s="22" t="s">
        <v>166</v>
      </c>
      <c r="F528" s="22" t="s">
        <v>125</v>
      </c>
      <c r="G528" s="22">
        <v>0</v>
      </c>
      <c r="H528" s="22" t="s">
        <v>126</v>
      </c>
    </row>
    <row r="529" spans="1:14" x14ac:dyDescent="0.25">
      <c r="E529" s="22" t="s">
        <v>165</v>
      </c>
      <c r="F529" s="22" t="s">
        <v>83</v>
      </c>
      <c r="G529" s="22">
        <v>0</v>
      </c>
      <c r="H529" s="22" t="s">
        <v>83</v>
      </c>
    </row>
    <row r="530" spans="1:14" x14ac:dyDescent="0.25">
      <c r="E530" s="22" t="s">
        <v>166</v>
      </c>
      <c r="F530" s="22" t="s">
        <v>102</v>
      </c>
      <c r="G530" s="22" t="s">
        <v>92</v>
      </c>
      <c r="H530" s="22" t="s">
        <v>102</v>
      </c>
    </row>
    <row r="531" spans="1:14" x14ac:dyDescent="0.25">
      <c r="A531" s="22" t="s">
        <v>60</v>
      </c>
      <c r="B531" s="22" t="s">
        <v>80</v>
      </c>
      <c r="C531" s="22">
        <v>50</v>
      </c>
      <c r="D531" s="22">
        <v>70</v>
      </c>
      <c r="E531" s="22" t="s">
        <v>165</v>
      </c>
      <c r="F531" s="22" t="s">
        <v>124</v>
      </c>
      <c r="G531" s="22" t="s">
        <v>125</v>
      </c>
      <c r="H531" s="22" t="s">
        <v>128</v>
      </c>
      <c r="I531" s="22" t="s">
        <v>7</v>
      </c>
      <c r="J531" s="22" t="s">
        <v>95</v>
      </c>
      <c r="K531" s="22" t="s">
        <v>95</v>
      </c>
      <c r="L531" s="22" t="s">
        <v>95</v>
      </c>
      <c r="M531" s="22">
        <v>620</v>
      </c>
      <c r="N531" s="22">
        <v>130</v>
      </c>
    </row>
    <row r="532" spans="1:14" x14ac:dyDescent="0.25">
      <c r="E532" s="22" t="s">
        <v>166</v>
      </c>
      <c r="F532" s="22" t="s">
        <v>125</v>
      </c>
      <c r="G532" s="22">
        <v>0</v>
      </c>
      <c r="H532" s="22" t="s">
        <v>126</v>
      </c>
    </row>
    <row r="533" spans="1:14" x14ac:dyDescent="0.25">
      <c r="E533" s="22" t="s">
        <v>165</v>
      </c>
      <c r="F533" s="22" t="s">
        <v>78</v>
      </c>
      <c r="G533" s="22">
        <v>0</v>
      </c>
      <c r="H533" s="22" t="s">
        <v>82</v>
      </c>
    </row>
    <row r="534" spans="1:14" x14ac:dyDescent="0.25">
      <c r="E534" s="22" t="s">
        <v>166</v>
      </c>
      <c r="F534" s="22" t="s">
        <v>90</v>
      </c>
      <c r="G534" s="22" t="s">
        <v>82</v>
      </c>
      <c r="H534" s="22" t="s">
        <v>90</v>
      </c>
    </row>
    <row r="535" spans="1:14" x14ac:dyDescent="0.25">
      <c r="A535" s="22" t="s">
        <v>60</v>
      </c>
      <c r="B535" s="22" t="s">
        <v>104</v>
      </c>
      <c r="C535" s="22">
        <v>60</v>
      </c>
      <c r="D535" s="22">
        <v>80</v>
      </c>
      <c r="E535" s="22" t="s">
        <v>165</v>
      </c>
      <c r="F535" s="22" t="s">
        <v>127</v>
      </c>
      <c r="G535" s="22" t="s">
        <v>125</v>
      </c>
      <c r="H535" s="22" t="s">
        <v>127</v>
      </c>
      <c r="I535" s="22" t="s">
        <v>65</v>
      </c>
      <c r="J535" s="22" t="s">
        <v>95</v>
      </c>
      <c r="K535" s="22" t="s">
        <v>95</v>
      </c>
      <c r="L535" s="22" t="s">
        <v>95</v>
      </c>
      <c r="M535" s="22">
        <v>620</v>
      </c>
      <c r="N535" s="22">
        <v>75</v>
      </c>
    </row>
    <row r="536" spans="1:14" x14ac:dyDescent="0.25">
      <c r="E536" s="22" t="s">
        <v>166</v>
      </c>
      <c r="F536" s="22" t="s">
        <v>125</v>
      </c>
      <c r="G536" s="22">
        <v>0</v>
      </c>
      <c r="H536" s="22" t="s">
        <v>125</v>
      </c>
    </row>
    <row r="537" spans="1:14" x14ac:dyDescent="0.25">
      <c r="E537" s="22" t="s">
        <v>165</v>
      </c>
      <c r="F537" s="22" t="s">
        <v>82</v>
      </c>
      <c r="G537" s="22">
        <v>0</v>
      </c>
      <c r="H537" s="22" t="s">
        <v>82</v>
      </c>
    </row>
    <row r="538" spans="1:14" x14ac:dyDescent="0.25">
      <c r="E538" s="22" t="s">
        <v>166</v>
      </c>
      <c r="F538" s="22" t="s">
        <v>102</v>
      </c>
      <c r="G538" s="22" t="s">
        <v>82</v>
      </c>
      <c r="H538" s="22" t="s">
        <v>102</v>
      </c>
    </row>
    <row r="539" spans="1:14" x14ac:dyDescent="0.25">
      <c r="A539" s="22" t="s">
        <v>60</v>
      </c>
      <c r="B539" s="22" t="s">
        <v>120</v>
      </c>
      <c r="C539" s="22">
        <v>50</v>
      </c>
      <c r="D539" s="22">
        <v>70</v>
      </c>
      <c r="E539" s="22" t="s">
        <v>165</v>
      </c>
      <c r="F539" s="22" t="s">
        <v>124</v>
      </c>
      <c r="G539" s="22" t="s">
        <v>125</v>
      </c>
      <c r="H539" s="22" t="s">
        <v>124</v>
      </c>
      <c r="I539" s="22" t="s">
        <v>7</v>
      </c>
      <c r="J539" s="22" t="s">
        <v>93</v>
      </c>
      <c r="K539" s="22" t="s">
        <v>93</v>
      </c>
      <c r="L539" s="22" t="s">
        <v>93</v>
      </c>
      <c r="M539" s="22">
        <v>685</v>
      </c>
      <c r="N539" s="22">
        <v>85</v>
      </c>
    </row>
    <row r="540" spans="1:14" x14ac:dyDescent="0.25">
      <c r="E540" s="22" t="s">
        <v>166</v>
      </c>
      <c r="F540" s="22" t="s">
        <v>126</v>
      </c>
      <c r="G540" s="22">
        <v>0</v>
      </c>
      <c r="H540" s="22">
        <v>0</v>
      </c>
    </row>
    <row r="541" spans="1:14" x14ac:dyDescent="0.25">
      <c r="E541" s="22" t="s">
        <v>165</v>
      </c>
      <c r="F541" s="22">
        <v>0</v>
      </c>
      <c r="G541" s="22">
        <v>0</v>
      </c>
      <c r="H541" s="22" t="s">
        <v>78</v>
      </c>
    </row>
    <row r="542" spans="1:14" x14ac:dyDescent="0.25">
      <c r="E542" s="22" t="s">
        <v>166</v>
      </c>
      <c r="F542" s="22" t="s">
        <v>90</v>
      </c>
      <c r="G542" s="22" t="s">
        <v>83</v>
      </c>
      <c r="H542" s="22" t="s">
        <v>92</v>
      </c>
    </row>
    <row r="543" spans="1:14" ht="15.6" customHeight="1" x14ac:dyDescent="0.25">
      <c r="A543" s="22" t="s">
        <v>60</v>
      </c>
      <c r="B543" s="22" t="s">
        <v>106</v>
      </c>
      <c r="C543" s="22">
        <v>60</v>
      </c>
      <c r="D543" s="22">
        <v>80</v>
      </c>
      <c r="E543" s="22" t="s">
        <v>165</v>
      </c>
      <c r="F543" s="22" t="s">
        <v>124</v>
      </c>
      <c r="G543" s="22" t="s">
        <v>125</v>
      </c>
      <c r="H543" s="22" t="s">
        <v>127</v>
      </c>
      <c r="I543" s="22" t="s">
        <v>7</v>
      </c>
      <c r="J543" s="22" t="s">
        <v>88</v>
      </c>
      <c r="K543" s="22" t="s">
        <v>88</v>
      </c>
      <c r="L543" s="22" t="s">
        <v>88</v>
      </c>
      <c r="M543" s="22">
        <v>1220</v>
      </c>
      <c r="N543" s="22">
        <v>95</v>
      </c>
    </row>
    <row r="544" spans="1:14" x14ac:dyDescent="0.25">
      <c r="E544" s="22" t="s">
        <v>166</v>
      </c>
      <c r="F544" s="22" t="s">
        <v>126</v>
      </c>
      <c r="G544" s="22">
        <v>0</v>
      </c>
      <c r="H544" s="22" t="s">
        <v>126</v>
      </c>
    </row>
    <row r="545" spans="1:14" x14ac:dyDescent="0.25">
      <c r="E545" s="22" t="s">
        <v>165</v>
      </c>
      <c r="F545" s="22">
        <v>0</v>
      </c>
      <c r="G545" s="22">
        <v>0</v>
      </c>
      <c r="H545" s="22">
        <v>0</v>
      </c>
    </row>
    <row r="546" spans="1:14" x14ac:dyDescent="0.25">
      <c r="E546" s="22" t="s">
        <v>166</v>
      </c>
      <c r="F546" s="22" t="s">
        <v>92</v>
      </c>
      <c r="G546" s="22" t="s">
        <v>82</v>
      </c>
      <c r="H546" s="22" t="s">
        <v>90</v>
      </c>
    </row>
    <row r="547" spans="1:14" x14ac:dyDescent="0.25">
      <c r="A547" s="22" t="s">
        <v>60</v>
      </c>
      <c r="B547" s="22" t="s">
        <v>107</v>
      </c>
      <c r="C547" s="22">
        <v>60</v>
      </c>
      <c r="D547" s="22">
        <v>80</v>
      </c>
      <c r="E547" s="22" t="s">
        <v>165</v>
      </c>
      <c r="F547" s="22" t="s">
        <v>127</v>
      </c>
      <c r="G547" s="22" t="s">
        <v>127</v>
      </c>
      <c r="H547" s="22" t="s">
        <v>127</v>
      </c>
      <c r="I547" s="22" t="s">
        <v>65</v>
      </c>
      <c r="J547" s="22" t="s">
        <v>103</v>
      </c>
      <c r="K547" s="22" t="s">
        <v>103</v>
      </c>
      <c r="L547" s="22" t="s">
        <v>103</v>
      </c>
      <c r="M547" s="22">
        <v>540</v>
      </c>
      <c r="N547" s="22">
        <v>85</v>
      </c>
    </row>
    <row r="548" spans="1:14" x14ac:dyDescent="0.25">
      <c r="E548" s="22" t="s">
        <v>166</v>
      </c>
      <c r="F548" s="22" t="s">
        <v>126</v>
      </c>
      <c r="G548" s="22" t="s">
        <v>126</v>
      </c>
      <c r="H548" s="22" t="s">
        <v>126</v>
      </c>
    </row>
    <row r="549" spans="1:14" x14ac:dyDescent="0.25">
      <c r="E549" s="22" t="s">
        <v>165</v>
      </c>
      <c r="F549" s="22" t="s">
        <v>83</v>
      </c>
      <c r="G549" s="22" t="s">
        <v>78</v>
      </c>
      <c r="H549" s="22" t="s">
        <v>78</v>
      </c>
    </row>
    <row r="550" spans="1:14" x14ac:dyDescent="0.25">
      <c r="E550" s="22" t="s">
        <v>166</v>
      </c>
      <c r="F550" s="22" t="s">
        <v>102</v>
      </c>
      <c r="G550" s="22" t="s">
        <v>102</v>
      </c>
      <c r="H550" s="22" t="s">
        <v>102</v>
      </c>
    </row>
    <row r="551" spans="1:14" x14ac:dyDescent="0.25">
      <c r="A551" s="22" t="s">
        <v>60</v>
      </c>
      <c r="B551" s="22" t="s">
        <v>86</v>
      </c>
      <c r="C551" s="22">
        <v>50</v>
      </c>
      <c r="D551" s="22">
        <v>70</v>
      </c>
      <c r="E551" s="22" t="s">
        <v>165</v>
      </c>
      <c r="F551" s="22" t="s">
        <v>128</v>
      </c>
      <c r="G551" s="22" t="s">
        <v>128</v>
      </c>
      <c r="H551" s="22" t="s">
        <v>124</v>
      </c>
      <c r="I551" s="22" t="s">
        <v>7</v>
      </c>
      <c r="J551" s="22" t="s">
        <v>95</v>
      </c>
      <c r="K551" s="22" t="s">
        <v>95</v>
      </c>
      <c r="L551" s="22" t="s">
        <v>95</v>
      </c>
      <c r="M551" s="22">
        <v>540</v>
      </c>
      <c r="N551" s="22">
        <v>95</v>
      </c>
    </row>
    <row r="552" spans="1:14" x14ac:dyDescent="0.25">
      <c r="E552" s="22" t="s">
        <v>166</v>
      </c>
      <c r="F552" s="22" t="s">
        <v>126</v>
      </c>
      <c r="G552" s="22" t="s">
        <v>126</v>
      </c>
      <c r="H552" s="22" t="s">
        <v>125</v>
      </c>
    </row>
    <row r="553" spans="1:14" x14ac:dyDescent="0.25">
      <c r="E553" s="22" t="s">
        <v>165</v>
      </c>
      <c r="F553" s="22" t="s">
        <v>82</v>
      </c>
      <c r="G553" s="22" t="s">
        <v>78</v>
      </c>
      <c r="H553" s="22" t="s">
        <v>78</v>
      </c>
    </row>
    <row r="554" spans="1:14" x14ac:dyDescent="0.25">
      <c r="E554" s="22" t="s">
        <v>166</v>
      </c>
      <c r="F554" s="22" t="s">
        <v>90</v>
      </c>
      <c r="G554" s="22" t="s">
        <v>90</v>
      </c>
      <c r="H554" s="22" t="s">
        <v>90</v>
      </c>
    </row>
    <row r="555" spans="1:14" x14ac:dyDescent="0.25">
      <c r="A555" s="22" t="s">
        <v>60</v>
      </c>
      <c r="B555" s="22" t="s">
        <v>121</v>
      </c>
      <c r="C555" s="22">
        <v>60</v>
      </c>
      <c r="D555" s="22">
        <v>80</v>
      </c>
      <c r="E555" s="22" t="s">
        <v>165</v>
      </c>
      <c r="F555" s="22" t="s">
        <v>124</v>
      </c>
      <c r="G555" s="22" t="s">
        <v>125</v>
      </c>
      <c r="H555" s="22" t="s">
        <v>127</v>
      </c>
      <c r="I555" s="22" t="s">
        <v>7</v>
      </c>
      <c r="J555" s="22" t="s">
        <v>88</v>
      </c>
      <c r="K555" s="22" t="s">
        <v>88</v>
      </c>
      <c r="L555" s="22" t="s">
        <v>88</v>
      </c>
      <c r="M555" s="22">
        <v>1160</v>
      </c>
      <c r="N555" s="22">
        <v>115</v>
      </c>
    </row>
    <row r="556" spans="1:14" x14ac:dyDescent="0.25">
      <c r="E556" s="22" t="s">
        <v>166</v>
      </c>
      <c r="F556" s="22" t="s">
        <v>126</v>
      </c>
      <c r="G556" s="22">
        <v>0</v>
      </c>
      <c r="H556" s="22" t="s">
        <v>126</v>
      </c>
    </row>
    <row r="557" spans="1:14" x14ac:dyDescent="0.25">
      <c r="E557" s="22" t="s">
        <v>165</v>
      </c>
      <c r="F557" s="22">
        <v>0</v>
      </c>
      <c r="G557" s="22">
        <v>0</v>
      </c>
      <c r="H557" s="22">
        <v>0</v>
      </c>
    </row>
    <row r="558" spans="1:14" x14ac:dyDescent="0.25">
      <c r="E558" s="22" t="s">
        <v>166</v>
      </c>
      <c r="F558" s="22" t="s">
        <v>90</v>
      </c>
      <c r="G558" s="22" t="s">
        <v>82</v>
      </c>
      <c r="H558" s="22" t="s">
        <v>90</v>
      </c>
    </row>
    <row r="559" spans="1:14" x14ac:dyDescent="0.25">
      <c r="A559" s="22" t="s">
        <v>60</v>
      </c>
      <c r="B559" s="22" t="s">
        <v>111</v>
      </c>
      <c r="C559" s="22">
        <v>60</v>
      </c>
      <c r="D559" s="22">
        <v>80</v>
      </c>
      <c r="E559" s="22" t="s">
        <v>165</v>
      </c>
      <c r="F559" s="22" t="s">
        <v>127</v>
      </c>
      <c r="G559" s="22" t="s">
        <v>127</v>
      </c>
      <c r="H559" s="22" t="s">
        <v>127</v>
      </c>
      <c r="I559" s="22" t="s">
        <v>65</v>
      </c>
      <c r="J559" s="22" t="s">
        <v>103</v>
      </c>
      <c r="K559" s="22" t="s">
        <v>103</v>
      </c>
      <c r="L559" s="22" t="s">
        <v>103</v>
      </c>
      <c r="M559" s="22">
        <v>540</v>
      </c>
      <c r="N559" s="22">
        <v>75</v>
      </c>
    </row>
    <row r="560" spans="1:14" x14ac:dyDescent="0.25">
      <c r="E560" s="22" t="s">
        <v>166</v>
      </c>
      <c r="F560" s="22" t="s">
        <v>125</v>
      </c>
      <c r="G560" s="22" t="s">
        <v>126</v>
      </c>
      <c r="H560" s="22" t="s">
        <v>126</v>
      </c>
    </row>
    <row r="561" spans="1:14" x14ac:dyDescent="0.25">
      <c r="E561" s="22" t="s">
        <v>165</v>
      </c>
      <c r="F561" s="22" t="s">
        <v>82</v>
      </c>
      <c r="G561" s="22" t="s">
        <v>82</v>
      </c>
      <c r="H561" s="22" t="s">
        <v>92</v>
      </c>
    </row>
    <row r="562" spans="1:14" x14ac:dyDescent="0.25">
      <c r="E562" s="22" t="s">
        <v>166</v>
      </c>
      <c r="F562" s="22" t="s">
        <v>102</v>
      </c>
      <c r="G562" s="22" t="s">
        <v>102</v>
      </c>
      <c r="H562" s="22" t="s">
        <v>102</v>
      </c>
    </row>
    <row r="563" spans="1:14" ht="15.6" customHeight="1" x14ac:dyDescent="0.25">
      <c r="A563" s="22" t="s">
        <v>60</v>
      </c>
      <c r="B563" s="22" t="s">
        <v>112</v>
      </c>
      <c r="C563" s="22">
        <v>60</v>
      </c>
      <c r="D563" s="22">
        <v>80</v>
      </c>
      <c r="E563" s="22" t="s">
        <v>165</v>
      </c>
      <c r="F563" s="22" t="s">
        <v>127</v>
      </c>
      <c r="G563" s="22" t="s">
        <v>128</v>
      </c>
      <c r="H563" s="22" t="s">
        <v>127</v>
      </c>
      <c r="I563" s="22" t="s">
        <v>65</v>
      </c>
      <c r="J563" s="22" t="s">
        <v>95</v>
      </c>
      <c r="K563" s="22" t="s">
        <v>95</v>
      </c>
      <c r="L563" s="22" t="s">
        <v>95</v>
      </c>
      <c r="M563" s="22">
        <v>685</v>
      </c>
      <c r="N563" s="22">
        <v>90</v>
      </c>
    </row>
    <row r="564" spans="1:14" x14ac:dyDescent="0.25">
      <c r="E564" s="22" t="s">
        <v>166</v>
      </c>
      <c r="F564" s="22" t="s">
        <v>128</v>
      </c>
      <c r="G564" s="22">
        <v>0</v>
      </c>
      <c r="H564" s="22" t="s">
        <v>126</v>
      </c>
    </row>
    <row r="565" spans="1:14" x14ac:dyDescent="0.25">
      <c r="E565" s="22" t="s">
        <v>165</v>
      </c>
      <c r="F565" s="22" t="s">
        <v>82</v>
      </c>
      <c r="G565" s="22">
        <v>0</v>
      </c>
      <c r="H565" s="22" t="s">
        <v>92</v>
      </c>
    </row>
    <row r="566" spans="1:14" x14ac:dyDescent="0.25">
      <c r="E566" s="22" t="s">
        <v>166</v>
      </c>
      <c r="F566" s="22" t="s">
        <v>102</v>
      </c>
      <c r="G566" s="22" t="s">
        <v>92</v>
      </c>
      <c r="H566" s="22" t="s">
        <v>102</v>
      </c>
    </row>
    <row r="567" spans="1:14" x14ac:dyDescent="0.25">
      <c r="A567" s="22" t="s">
        <v>60</v>
      </c>
      <c r="B567" s="22" t="s">
        <v>114</v>
      </c>
      <c r="C567" s="22">
        <v>60</v>
      </c>
      <c r="D567" s="22">
        <v>80</v>
      </c>
      <c r="E567" s="22" t="s">
        <v>165</v>
      </c>
      <c r="F567" s="22" t="s">
        <v>127</v>
      </c>
      <c r="G567" s="22" t="s">
        <v>124</v>
      </c>
      <c r="H567" s="22" t="s">
        <v>124</v>
      </c>
      <c r="I567" s="22" t="s">
        <v>65</v>
      </c>
      <c r="J567" s="22" t="s">
        <v>103</v>
      </c>
      <c r="K567" s="22" t="s">
        <v>103</v>
      </c>
      <c r="L567" s="22" t="s">
        <v>103</v>
      </c>
      <c r="M567" s="22">
        <v>525</v>
      </c>
      <c r="N567" s="22">
        <v>85</v>
      </c>
    </row>
    <row r="568" spans="1:14" x14ac:dyDescent="0.25">
      <c r="E568" s="22" t="s">
        <v>166</v>
      </c>
      <c r="F568" s="22" t="s">
        <v>126</v>
      </c>
      <c r="G568" s="22" t="s">
        <v>126</v>
      </c>
      <c r="H568" s="22" t="s">
        <v>126</v>
      </c>
    </row>
    <row r="569" spans="1:14" x14ac:dyDescent="0.25">
      <c r="E569" s="22" t="s">
        <v>165</v>
      </c>
      <c r="F569" s="22" t="s">
        <v>78</v>
      </c>
      <c r="G569" s="22" t="s">
        <v>78</v>
      </c>
      <c r="H569" s="22" t="s">
        <v>83</v>
      </c>
    </row>
    <row r="570" spans="1:14" x14ac:dyDescent="0.25">
      <c r="E570" s="22" t="s">
        <v>166</v>
      </c>
      <c r="F570" s="22" t="s">
        <v>102</v>
      </c>
      <c r="G570" s="22" t="s">
        <v>102</v>
      </c>
      <c r="H570" s="22" t="s">
        <v>102</v>
      </c>
    </row>
    <row r="571" spans="1:14" x14ac:dyDescent="0.25">
      <c r="A571" s="22" t="s">
        <v>60</v>
      </c>
      <c r="B571" s="22" t="s">
        <v>115</v>
      </c>
      <c r="C571" s="22">
        <v>50</v>
      </c>
      <c r="D571" s="22">
        <v>70</v>
      </c>
      <c r="E571" s="22" t="s">
        <v>165</v>
      </c>
      <c r="F571" s="22" t="s">
        <v>124</v>
      </c>
      <c r="G571" s="22" t="s">
        <v>125</v>
      </c>
      <c r="H571" s="22" t="s">
        <v>124</v>
      </c>
      <c r="I571" s="22" t="s">
        <v>7</v>
      </c>
      <c r="J571" s="22" t="s">
        <v>95</v>
      </c>
      <c r="K571" s="22" t="s">
        <v>95</v>
      </c>
      <c r="L571" s="22" t="s">
        <v>95</v>
      </c>
      <c r="M571" s="22">
        <v>695</v>
      </c>
      <c r="N571" s="22">
        <v>95</v>
      </c>
    </row>
    <row r="572" spans="1:14" x14ac:dyDescent="0.25">
      <c r="E572" s="22" t="s">
        <v>166</v>
      </c>
      <c r="F572" s="22" t="s">
        <v>125</v>
      </c>
      <c r="G572" s="22">
        <v>0</v>
      </c>
      <c r="H572" s="22" t="s">
        <v>128</v>
      </c>
    </row>
    <row r="573" spans="1:14" x14ac:dyDescent="0.25">
      <c r="E573" s="22" t="s">
        <v>165</v>
      </c>
      <c r="F573" s="22" t="s">
        <v>82</v>
      </c>
      <c r="G573" s="22">
        <v>0</v>
      </c>
      <c r="H573" s="22" t="s">
        <v>78</v>
      </c>
    </row>
    <row r="574" spans="1:14" x14ac:dyDescent="0.25">
      <c r="E574" s="22" t="s">
        <v>166</v>
      </c>
      <c r="F574" s="22" t="s">
        <v>90</v>
      </c>
      <c r="G574" s="22" t="s">
        <v>82</v>
      </c>
      <c r="H574" s="22" t="s">
        <v>90</v>
      </c>
    </row>
    <row r="575" spans="1:14" x14ac:dyDescent="0.25">
      <c r="A575" s="22" t="s">
        <v>60</v>
      </c>
      <c r="B575" s="22" t="s">
        <v>116</v>
      </c>
      <c r="C575" s="22">
        <v>60</v>
      </c>
      <c r="D575" s="22">
        <v>80</v>
      </c>
      <c r="E575" s="22" t="s">
        <v>165</v>
      </c>
      <c r="F575" s="22" t="s">
        <v>127</v>
      </c>
      <c r="G575" s="22" t="s">
        <v>128</v>
      </c>
      <c r="H575" s="22" t="s">
        <v>127</v>
      </c>
      <c r="I575" s="22" t="s">
        <v>65</v>
      </c>
      <c r="J575" s="22" t="s">
        <v>93</v>
      </c>
      <c r="K575" s="22" t="s">
        <v>93</v>
      </c>
      <c r="L575" s="22" t="s">
        <v>93</v>
      </c>
      <c r="M575" s="22">
        <v>1000</v>
      </c>
      <c r="N575" s="22">
        <v>115</v>
      </c>
    </row>
    <row r="576" spans="1:14" x14ac:dyDescent="0.25">
      <c r="E576" s="22" t="s">
        <v>166</v>
      </c>
      <c r="F576" s="22" t="s">
        <v>126</v>
      </c>
      <c r="G576" s="22">
        <v>0</v>
      </c>
      <c r="H576" s="22" t="s">
        <v>128</v>
      </c>
    </row>
    <row r="577" spans="1:14" x14ac:dyDescent="0.25">
      <c r="E577" s="22" t="s">
        <v>165</v>
      </c>
      <c r="F577" s="22">
        <v>0</v>
      </c>
      <c r="G577" s="22">
        <v>0</v>
      </c>
      <c r="H577" s="22">
        <v>0</v>
      </c>
    </row>
    <row r="578" spans="1:14" x14ac:dyDescent="0.25">
      <c r="E578" s="22" t="s">
        <v>166</v>
      </c>
      <c r="F578" s="22" t="s">
        <v>102</v>
      </c>
      <c r="G578" s="22" t="s">
        <v>92</v>
      </c>
      <c r="H578" s="22" t="s">
        <v>113</v>
      </c>
    </row>
    <row r="579" spans="1:14" x14ac:dyDescent="0.25">
      <c r="A579" s="22" t="s">
        <v>60</v>
      </c>
      <c r="B579" s="22" t="s">
        <v>117</v>
      </c>
      <c r="C579" s="22">
        <v>60</v>
      </c>
      <c r="D579" s="22">
        <v>80</v>
      </c>
      <c r="E579" s="22" t="s">
        <v>165</v>
      </c>
      <c r="F579" s="22" t="s">
        <v>127</v>
      </c>
      <c r="G579" s="22" t="s">
        <v>125</v>
      </c>
      <c r="H579" s="22" t="s">
        <v>127</v>
      </c>
      <c r="I579" s="22" t="s">
        <v>65</v>
      </c>
      <c r="J579" s="22" t="s">
        <v>93</v>
      </c>
      <c r="K579" s="22" t="s">
        <v>93</v>
      </c>
      <c r="L579" s="22" t="s">
        <v>93</v>
      </c>
      <c r="M579" s="22">
        <v>1000</v>
      </c>
      <c r="N579" s="22">
        <v>75</v>
      </c>
    </row>
    <row r="580" spans="1:14" x14ac:dyDescent="0.25">
      <c r="E580" s="22" t="s">
        <v>166</v>
      </c>
      <c r="F580" s="22" t="s">
        <v>126</v>
      </c>
      <c r="G580" s="22">
        <v>0</v>
      </c>
      <c r="H580" s="22" t="s">
        <v>125</v>
      </c>
    </row>
    <row r="581" spans="1:14" x14ac:dyDescent="0.25">
      <c r="E581" s="22" t="s">
        <v>165</v>
      </c>
      <c r="F581" s="22">
        <v>0</v>
      </c>
      <c r="G581" s="22">
        <v>0</v>
      </c>
      <c r="H581" s="22">
        <v>0</v>
      </c>
    </row>
    <row r="582" spans="1:14" x14ac:dyDescent="0.25">
      <c r="E582" s="22" t="s">
        <v>166</v>
      </c>
      <c r="F582" s="22" t="s">
        <v>102</v>
      </c>
      <c r="G582" s="22" t="s">
        <v>92</v>
      </c>
      <c r="H582" s="22" t="s">
        <v>102</v>
      </c>
    </row>
    <row r="583" spans="1:14" x14ac:dyDescent="0.25">
      <c r="A583" s="22" t="s">
        <v>60</v>
      </c>
      <c r="B583" s="22" t="s">
        <v>118</v>
      </c>
      <c r="C583" s="22">
        <v>60</v>
      </c>
      <c r="D583" s="22">
        <v>80</v>
      </c>
      <c r="E583" s="22" t="s">
        <v>165</v>
      </c>
      <c r="F583" s="22" t="s">
        <v>127</v>
      </c>
      <c r="G583" s="22" t="s">
        <v>128</v>
      </c>
      <c r="H583" s="22" t="s">
        <v>127</v>
      </c>
      <c r="I583" s="22" t="s">
        <v>65</v>
      </c>
      <c r="J583" s="22" t="s">
        <v>95</v>
      </c>
      <c r="K583" s="22" t="s">
        <v>95</v>
      </c>
      <c r="L583" s="22" t="s">
        <v>95</v>
      </c>
      <c r="M583" s="22">
        <v>695</v>
      </c>
      <c r="N583" s="22">
        <v>95</v>
      </c>
    </row>
    <row r="584" spans="1:14" x14ac:dyDescent="0.25">
      <c r="E584" s="22" t="s">
        <v>166</v>
      </c>
      <c r="F584" s="22" t="s">
        <v>125</v>
      </c>
      <c r="G584" s="22">
        <v>0</v>
      </c>
      <c r="H584" s="22" t="s">
        <v>128</v>
      </c>
    </row>
    <row r="585" spans="1:14" x14ac:dyDescent="0.25">
      <c r="E585" s="22" t="s">
        <v>165</v>
      </c>
      <c r="F585" s="22" t="s">
        <v>83</v>
      </c>
      <c r="G585" s="22">
        <v>0</v>
      </c>
      <c r="H585" s="22" t="s">
        <v>83</v>
      </c>
    </row>
    <row r="586" spans="1:14" x14ac:dyDescent="0.25">
      <c r="E586" s="22" t="s">
        <v>166</v>
      </c>
      <c r="F586" s="22" t="s">
        <v>102</v>
      </c>
      <c r="G586" s="22" t="s">
        <v>92</v>
      </c>
      <c r="H586" s="22" t="s">
        <v>102</v>
      </c>
    </row>
    <row r="587" spans="1:14" ht="15.6" customHeight="1" x14ac:dyDescent="0.25">
      <c r="A587" s="22" t="s">
        <v>61</v>
      </c>
      <c r="B587" s="22" t="s">
        <v>97</v>
      </c>
      <c r="C587" s="22">
        <v>60</v>
      </c>
      <c r="D587" s="22">
        <v>80</v>
      </c>
      <c r="E587" s="22" t="s">
        <v>165</v>
      </c>
      <c r="F587" s="22" t="s">
        <v>127</v>
      </c>
      <c r="G587" s="22" t="s">
        <v>125</v>
      </c>
      <c r="H587" s="22" t="s">
        <v>124</v>
      </c>
      <c r="I587" s="22" t="s">
        <v>65</v>
      </c>
      <c r="J587" s="22" t="s">
        <v>95</v>
      </c>
      <c r="K587" s="22" t="s">
        <v>95</v>
      </c>
      <c r="L587" s="22" t="s">
        <v>95</v>
      </c>
      <c r="M587" s="22">
        <v>685</v>
      </c>
      <c r="N587" s="22">
        <v>90</v>
      </c>
    </row>
    <row r="588" spans="1:14" x14ac:dyDescent="0.25">
      <c r="E588" s="22" t="s">
        <v>166</v>
      </c>
      <c r="F588" s="22" t="s">
        <v>125</v>
      </c>
      <c r="G588" s="22">
        <v>0</v>
      </c>
      <c r="H588" s="22" t="s">
        <v>126</v>
      </c>
    </row>
    <row r="589" spans="1:14" x14ac:dyDescent="0.25">
      <c r="E589" s="22" t="s">
        <v>165</v>
      </c>
      <c r="F589" s="22" t="s">
        <v>78</v>
      </c>
      <c r="G589" s="22">
        <v>0</v>
      </c>
      <c r="H589" s="22" t="s">
        <v>83</v>
      </c>
    </row>
    <row r="590" spans="1:14" x14ac:dyDescent="0.25">
      <c r="E590" s="22" t="s">
        <v>166</v>
      </c>
      <c r="F590" s="22" t="s">
        <v>102</v>
      </c>
      <c r="G590" s="22" t="s">
        <v>92</v>
      </c>
      <c r="H590" s="22" t="s">
        <v>102</v>
      </c>
    </row>
    <row r="591" spans="1:14" ht="15.6" customHeight="1" x14ac:dyDescent="0.25">
      <c r="A591" s="22" t="s">
        <v>61</v>
      </c>
      <c r="B591" s="22" t="s">
        <v>98</v>
      </c>
      <c r="C591" s="22">
        <v>60</v>
      </c>
      <c r="D591" s="22">
        <v>80</v>
      </c>
      <c r="E591" s="22" t="s">
        <v>165</v>
      </c>
      <c r="F591" s="22" t="s">
        <v>127</v>
      </c>
      <c r="G591" s="22" t="s">
        <v>127</v>
      </c>
      <c r="H591" s="22" t="s">
        <v>127</v>
      </c>
      <c r="I591" s="22" t="s">
        <v>65</v>
      </c>
      <c r="J591" s="22" t="s">
        <v>103</v>
      </c>
      <c r="K591" s="22" t="s">
        <v>103</v>
      </c>
      <c r="L591" s="22" t="s">
        <v>103</v>
      </c>
      <c r="M591" s="22">
        <v>525</v>
      </c>
      <c r="N591" s="22">
        <v>75</v>
      </c>
    </row>
    <row r="592" spans="1:14" x14ac:dyDescent="0.25">
      <c r="E592" s="22" t="s">
        <v>166</v>
      </c>
      <c r="F592" s="22" t="s">
        <v>125</v>
      </c>
      <c r="G592" s="22" t="s">
        <v>125</v>
      </c>
      <c r="H592" s="22" t="s">
        <v>125</v>
      </c>
    </row>
    <row r="593" spans="1:14" x14ac:dyDescent="0.25">
      <c r="E593" s="22" t="s">
        <v>165</v>
      </c>
      <c r="F593" s="22" t="s">
        <v>92</v>
      </c>
      <c r="G593" s="22" t="s">
        <v>82</v>
      </c>
      <c r="H593" s="22" t="s">
        <v>82</v>
      </c>
    </row>
    <row r="594" spans="1:14" x14ac:dyDescent="0.25">
      <c r="E594" s="22" t="s">
        <v>166</v>
      </c>
      <c r="F594" s="22" t="s">
        <v>102</v>
      </c>
      <c r="G594" s="22" t="s">
        <v>102</v>
      </c>
      <c r="H594" s="22" t="s">
        <v>102</v>
      </c>
    </row>
    <row r="595" spans="1:14" ht="15.6" customHeight="1" x14ac:dyDescent="0.25">
      <c r="A595" s="22" t="s">
        <v>61</v>
      </c>
      <c r="B595" s="22" t="s">
        <v>99</v>
      </c>
      <c r="C595" s="22">
        <v>60</v>
      </c>
      <c r="D595" s="22">
        <v>80</v>
      </c>
      <c r="E595" s="22" t="s">
        <v>165</v>
      </c>
      <c r="F595" s="22" t="s">
        <v>124</v>
      </c>
      <c r="G595" s="22" t="s">
        <v>128</v>
      </c>
      <c r="H595" s="22" t="s">
        <v>127</v>
      </c>
      <c r="I595" s="22" t="s">
        <v>65</v>
      </c>
      <c r="J595" s="22" t="s">
        <v>95</v>
      </c>
      <c r="K595" s="22" t="s">
        <v>95</v>
      </c>
      <c r="L595" s="22" t="s">
        <v>95</v>
      </c>
      <c r="M595" s="22">
        <v>695</v>
      </c>
      <c r="N595" s="22">
        <v>95</v>
      </c>
    </row>
    <row r="596" spans="1:14" x14ac:dyDescent="0.25">
      <c r="E596" s="22" t="s">
        <v>166</v>
      </c>
      <c r="F596" s="22" t="s">
        <v>126</v>
      </c>
      <c r="G596" s="22">
        <v>0</v>
      </c>
      <c r="H596" s="22" t="s">
        <v>128</v>
      </c>
    </row>
    <row r="597" spans="1:14" x14ac:dyDescent="0.25">
      <c r="E597" s="22" t="s">
        <v>165</v>
      </c>
      <c r="F597" s="22" t="s">
        <v>82</v>
      </c>
      <c r="G597" s="22">
        <v>0</v>
      </c>
      <c r="H597" s="22" t="s">
        <v>78</v>
      </c>
    </row>
    <row r="598" spans="1:14" x14ac:dyDescent="0.25">
      <c r="E598" s="22" t="s">
        <v>166</v>
      </c>
      <c r="F598" s="22" t="s">
        <v>102</v>
      </c>
      <c r="G598" s="22" t="s">
        <v>92</v>
      </c>
      <c r="H598" s="22" t="s">
        <v>102</v>
      </c>
    </row>
    <row r="599" spans="1:14" ht="15.6" customHeight="1" x14ac:dyDescent="0.25">
      <c r="A599" s="22" t="s">
        <v>61</v>
      </c>
      <c r="B599" s="22" t="s">
        <v>100</v>
      </c>
      <c r="C599" s="22">
        <v>60</v>
      </c>
      <c r="D599" s="22">
        <v>80</v>
      </c>
      <c r="E599" s="22" t="s">
        <v>165</v>
      </c>
      <c r="F599" s="22" t="s">
        <v>127</v>
      </c>
      <c r="G599" s="22" t="s">
        <v>125</v>
      </c>
      <c r="H599" s="22" t="s">
        <v>127</v>
      </c>
      <c r="I599" s="22" t="s">
        <v>65</v>
      </c>
      <c r="J599" s="22" t="s">
        <v>95</v>
      </c>
      <c r="K599" s="22" t="s">
        <v>95</v>
      </c>
      <c r="L599" s="22" t="s">
        <v>95</v>
      </c>
      <c r="M599" s="22">
        <v>620</v>
      </c>
      <c r="N599" s="22">
        <v>85</v>
      </c>
    </row>
    <row r="600" spans="1:14" x14ac:dyDescent="0.25">
      <c r="E600" s="22" t="s">
        <v>166</v>
      </c>
      <c r="F600" s="22" t="s">
        <v>125</v>
      </c>
      <c r="G600" s="22">
        <v>0</v>
      </c>
      <c r="H600" s="22" t="s">
        <v>126</v>
      </c>
    </row>
    <row r="601" spans="1:14" x14ac:dyDescent="0.25">
      <c r="E601" s="22" t="s">
        <v>165</v>
      </c>
      <c r="F601" s="22" t="s">
        <v>83</v>
      </c>
      <c r="G601" s="22">
        <v>0</v>
      </c>
      <c r="H601" s="22" t="s">
        <v>82</v>
      </c>
    </row>
    <row r="602" spans="1:14" x14ac:dyDescent="0.25">
      <c r="E602" s="22" t="s">
        <v>166</v>
      </c>
      <c r="F602" s="22" t="s">
        <v>102</v>
      </c>
      <c r="G602" s="22" t="s">
        <v>92</v>
      </c>
      <c r="H602" s="22" t="s">
        <v>102</v>
      </c>
    </row>
    <row r="603" spans="1:14" ht="15.6" customHeight="1" x14ac:dyDescent="0.25">
      <c r="A603" s="22" t="s">
        <v>61</v>
      </c>
      <c r="B603" s="22" t="s">
        <v>80</v>
      </c>
      <c r="C603" s="22">
        <v>60</v>
      </c>
      <c r="D603" s="22">
        <v>80</v>
      </c>
      <c r="E603" s="22" t="s">
        <v>165</v>
      </c>
      <c r="F603" s="22" t="s">
        <v>127</v>
      </c>
      <c r="G603" s="22" t="s">
        <v>125</v>
      </c>
      <c r="H603" s="22" t="s">
        <v>124</v>
      </c>
      <c r="I603" s="22" t="s">
        <v>7</v>
      </c>
      <c r="J603" s="22" t="s">
        <v>103</v>
      </c>
      <c r="K603" s="22" t="s">
        <v>103</v>
      </c>
      <c r="L603" s="22" t="s">
        <v>103</v>
      </c>
      <c r="M603" s="22">
        <v>620</v>
      </c>
      <c r="N603" s="22">
        <v>130</v>
      </c>
    </row>
    <row r="604" spans="1:14" x14ac:dyDescent="0.25">
      <c r="E604" s="22" t="s">
        <v>166</v>
      </c>
      <c r="F604" s="22" t="s">
        <v>125</v>
      </c>
      <c r="G604" s="22">
        <v>0</v>
      </c>
      <c r="H604" s="22" t="s">
        <v>126</v>
      </c>
    </row>
    <row r="605" spans="1:14" x14ac:dyDescent="0.25">
      <c r="E605" s="22" t="s">
        <v>165</v>
      </c>
      <c r="F605" s="22" t="s">
        <v>78</v>
      </c>
      <c r="G605" s="22">
        <v>0</v>
      </c>
      <c r="H605" s="22" t="s">
        <v>82</v>
      </c>
    </row>
    <row r="606" spans="1:14" x14ac:dyDescent="0.25">
      <c r="E606" s="22" t="s">
        <v>166</v>
      </c>
      <c r="F606" s="22" t="s">
        <v>102</v>
      </c>
      <c r="G606" s="22" t="s">
        <v>82</v>
      </c>
      <c r="H606" s="22" t="s">
        <v>102</v>
      </c>
    </row>
    <row r="607" spans="1:14" ht="15.6" customHeight="1" x14ac:dyDescent="0.25">
      <c r="A607" s="22" t="s">
        <v>61</v>
      </c>
      <c r="B607" s="22" t="s">
        <v>104</v>
      </c>
      <c r="C607" s="22">
        <v>60</v>
      </c>
      <c r="D607" s="22">
        <v>80</v>
      </c>
      <c r="E607" s="22" t="s">
        <v>165</v>
      </c>
      <c r="F607" s="22" t="s">
        <v>127</v>
      </c>
      <c r="G607" s="22" t="s">
        <v>128</v>
      </c>
      <c r="H607" s="22" t="s">
        <v>127</v>
      </c>
      <c r="I607" s="22" t="s">
        <v>65</v>
      </c>
      <c r="J607" s="22" t="s">
        <v>103</v>
      </c>
      <c r="K607" s="22" t="s">
        <v>103</v>
      </c>
      <c r="L607" s="22" t="s">
        <v>103</v>
      </c>
      <c r="M607" s="22">
        <v>620</v>
      </c>
      <c r="N607" s="22">
        <v>75</v>
      </c>
    </row>
    <row r="608" spans="1:14" x14ac:dyDescent="0.25">
      <c r="E608" s="22" t="s">
        <v>166</v>
      </c>
      <c r="F608" s="22" t="s">
        <v>128</v>
      </c>
      <c r="G608" s="22">
        <v>0</v>
      </c>
      <c r="H608" s="22" t="s">
        <v>125</v>
      </c>
    </row>
    <row r="609" spans="1:14" x14ac:dyDescent="0.25">
      <c r="E609" s="22" t="s">
        <v>165</v>
      </c>
      <c r="F609" s="22" t="s">
        <v>92</v>
      </c>
      <c r="G609" s="22">
        <v>0</v>
      </c>
      <c r="H609" s="22" t="s">
        <v>92</v>
      </c>
    </row>
    <row r="610" spans="1:14" x14ac:dyDescent="0.25">
      <c r="E610" s="22" t="s">
        <v>166</v>
      </c>
      <c r="F610" s="22" t="s">
        <v>102</v>
      </c>
      <c r="G610" s="22" t="s">
        <v>82</v>
      </c>
      <c r="H610" s="22" t="s">
        <v>102</v>
      </c>
    </row>
    <row r="611" spans="1:14" x14ac:dyDescent="0.25">
      <c r="A611" s="22" t="s">
        <v>61</v>
      </c>
      <c r="B611" s="22" t="s">
        <v>120</v>
      </c>
      <c r="C611" s="22">
        <v>50</v>
      </c>
      <c r="D611" s="22">
        <v>80</v>
      </c>
      <c r="E611" s="22" t="s">
        <v>165</v>
      </c>
      <c r="F611" s="22" t="s">
        <v>124</v>
      </c>
      <c r="G611" s="22" t="s">
        <v>125</v>
      </c>
      <c r="H611" s="22" t="s">
        <v>128</v>
      </c>
      <c r="I611" s="22" t="s">
        <v>7</v>
      </c>
      <c r="J611" s="22" t="s">
        <v>93</v>
      </c>
      <c r="K611" s="22" t="s">
        <v>93</v>
      </c>
      <c r="L611" s="22" t="s">
        <v>93</v>
      </c>
      <c r="M611" s="22">
        <v>685</v>
      </c>
      <c r="N611" s="22">
        <v>85</v>
      </c>
    </row>
    <row r="612" spans="1:14" x14ac:dyDescent="0.25">
      <c r="E612" s="22" t="s">
        <v>166</v>
      </c>
      <c r="F612" s="22" t="s">
        <v>125</v>
      </c>
      <c r="G612" s="22">
        <v>0</v>
      </c>
      <c r="H612" s="22" t="s">
        <v>126</v>
      </c>
    </row>
    <row r="613" spans="1:14" x14ac:dyDescent="0.25">
      <c r="E613" s="22" t="s">
        <v>165</v>
      </c>
      <c r="F613" s="22" t="s">
        <v>78</v>
      </c>
      <c r="G613" s="22">
        <v>0</v>
      </c>
      <c r="H613" s="22" t="s">
        <v>82</v>
      </c>
    </row>
    <row r="614" spans="1:14" x14ac:dyDescent="0.25">
      <c r="E614" s="22" t="s">
        <v>166</v>
      </c>
      <c r="F614" s="22" t="s">
        <v>90</v>
      </c>
      <c r="G614" s="22" t="s">
        <v>82</v>
      </c>
      <c r="H614" s="22" t="s">
        <v>90</v>
      </c>
    </row>
    <row r="615" spans="1:14" x14ac:dyDescent="0.25">
      <c r="A615" s="22" t="s">
        <v>61</v>
      </c>
      <c r="B615" s="22" t="s">
        <v>106</v>
      </c>
      <c r="C615" s="22">
        <v>60</v>
      </c>
      <c r="D615" s="22">
        <v>80</v>
      </c>
      <c r="E615" s="22" t="s">
        <v>165</v>
      </c>
      <c r="F615" s="22" t="s">
        <v>124</v>
      </c>
      <c r="G615" s="22" t="s">
        <v>125</v>
      </c>
      <c r="H615" s="22" t="s">
        <v>127</v>
      </c>
      <c r="I615" s="22" t="s">
        <v>7</v>
      </c>
      <c r="J615" s="22" t="s">
        <v>91</v>
      </c>
      <c r="K615" s="22" t="s">
        <v>91</v>
      </c>
      <c r="L615" s="22" t="s">
        <v>91</v>
      </c>
      <c r="M615" s="22">
        <v>1220</v>
      </c>
      <c r="N615" s="22">
        <v>95</v>
      </c>
    </row>
    <row r="616" spans="1:14" x14ac:dyDescent="0.25">
      <c r="E616" s="22" t="s">
        <v>166</v>
      </c>
      <c r="F616" s="22" t="s">
        <v>126</v>
      </c>
      <c r="G616" s="22">
        <v>0</v>
      </c>
      <c r="H616" s="22" t="s">
        <v>126</v>
      </c>
    </row>
    <row r="617" spans="1:14" x14ac:dyDescent="0.25">
      <c r="E617" s="22" t="s">
        <v>165</v>
      </c>
      <c r="F617" s="22">
        <v>0</v>
      </c>
      <c r="G617" s="22">
        <v>0</v>
      </c>
      <c r="H617" s="22">
        <v>0</v>
      </c>
    </row>
    <row r="618" spans="1:14" x14ac:dyDescent="0.25">
      <c r="E618" s="22" t="s">
        <v>166</v>
      </c>
      <c r="F618" s="22" t="s">
        <v>92</v>
      </c>
      <c r="G618" s="22" t="s">
        <v>82</v>
      </c>
      <c r="H618" s="22" t="s">
        <v>90</v>
      </c>
    </row>
    <row r="619" spans="1:14" x14ac:dyDescent="0.25">
      <c r="A619" s="22" t="s">
        <v>61</v>
      </c>
      <c r="B619" s="22" t="s">
        <v>107</v>
      </c>
      <c r="C619" s="22">
        <v>60</v>
      </c>
      <c r="D619" s="22">
        <v>80</v>
      </c>
      <c r="E619" s="22" t="s">
        <v>165</v>
      </c>
      <c r="F619" s="22" t="s">
        <v>127</v>
      </c>
      <c r="G619" s="22" t="s">
        <v>127</v>
      </c>
      <c r="H619" s="22" t="s">
        <v>127</v>
      </c>
      <c r="I619" s="22" t="s">
        <v>65</v>
      </c>
      <c r="J619" s="22" t="s">
        <v>103</v>
      </c>
      <c r="K619" s="22" t="s">
        <v>103</v>
      </c>
      <c r="L619" s="22" t="s">
        <v>103</v>
      </c>
      <c r="M619" s="22">
        <v>540</v>
      </c>
      <c r="N619" s="22">
        <v>85</v>
      </c>
    </row>
    <row r="620" spans="1:14" x14ac:dyDescent="0.25">
      <c r="E620" s="22" t="s">
        <v>166</v>
      </c>
      <c r="F620" s="22" t="s">
        <v>126</v>
      </c>
      <c r="G620" s="22" t="s">
        <v>126</v>
      </c>
      <c r="H620" s="22" t="s">
        <v>125</v>
      </c>
    </row>
    <row r="621" spans="1:14" x14ac:dyDescent="0.25">
      <c r="E621" s="22" t="s">
        <v>165</v>
      </c>
      <c r="F621" s="22" t="s">
        <v>82</v>
      </c>
      <c r="G621" s="22" t="s">
        <v>83</v>
      </c>
      <c r="H621" s="22" t="s">
        <v>83</v>
      </c>
    </row>
    <row r="622" spans="1:14" x14ac:dyDescent="0.25">
      <c r="E622" s="22" t="s">
        <v>166</v>
      </c>
      <c r="F622" s="22" t="s">
        <v>102</v>
      </c>
      <c r="G622" s="22" t="s">
        <v>102</v>
      </c>
      <c r="H622" s="22" t="s">
        <v>102</v>
      </c>
    </row>
    <row r="623" spans="1:14" x14ac:dyDescent="0.25">
      <c r="A623" s="22" t="s">
        <v>61</v>
      </c>
      <c r="B623" s="22" t="s">
        <v>86</v>
      </c>
      <c r="C623" s="22">
        <v>60</v>
      </c>
      <c r="D623" s="22">
        <v>80</v>
      </c>
      <c r="E623" s="22" t="s">
        <v>165</v>
      </c>
      <c r="F623" s="22" t="s">
        <v>124</v>
      </c>
      <c r="G623" s="22" t="s">
        <v>124</v>
      </c>
      <c r="H623" s="22" t="s">
        <v>127</v>
      </c>
      <c r="I623" s="22" t="s">
        <v>7</v>
      </c>
      <c r="J623" s="22" t="s">
        <v>103</v>
      </c>
      <c r="K623" s="22" t="s">
        <v>103</v>
      </c>
      <c r="L623" s="22" t="s">
        <v>103</v>
      </c>
      <c r="M623" s="22">
        <v>540</v>
      </c>
      <c r="N623" s="22">
        <v>95</v>
      </c>
    </row>
    <row r="624" spans="1:14" x14ac:dyDescent="0.25">
      <c r="E624" s="22" t="s">
        <v>166</v>
      </c>
      <c r="F624" s="22" t="s">
        <v>126</v>
      </c>
      <c r="G624" s="22" t="s">
        <v>126</v>
      </c>
      <c r="H624" s="22" t="s">
        <v>125</v>
      </c>
    </row>
    <row r="625" spans="1:14" x14ac:dyDescent="0.25">
      <c r="E625" s="22" t="s">
        <v>165</v>
      </c>
      <c r="F625" s="22" t="s">
        <v>82</v>
      </c>
      <c r="G625" s="22" t="s">
        <v>78</v>
      </c>
      <c r="H625" s="22" t="s">
        <v>78</v>
      </c>
    </row>
    <row r="626" spans="1:14" x14ac:dyDescent="0.25">
      <c r="E626" s="22" t="s">
        <v>166</v>
      </c>
      <c r="F626" s="22" t="s">
        <v>102</v>
      </c>
      <c r="G626" s="22" t="s">
        <v>113</v>
      </c>
      <c r="H626" s="22" t="s">
        <v>113</v>
      </c>
    </row>
    <row r="627" spans="1:14" x14ac:dyDescent="0.25">
      <c r="A627" s="22" t="s">
        <v>61</v>
      </c>
      <c r="B627" s="22" t="s">
        <v>121</v>
      </c>
      <c r="C627" s="22">
        <v>60</v>
      </c>
      <c r="D627" s="22">
        <v>80</v>
      </c>
      <c r="E627" s="22" t="s">
        <v>165</v>
      </c>
      <c r="F627" s="22" t="s">
        <v>124</v>
      </c>
      <c r="G627" s="22" t="s">
        <v>125</v>
      </c>
      <c r="H627" s="22" t="s">
        <v>127</v>
      </c>
      <c r="I627" s="22" t="s">
        <v>7</v>
      </c>
      <c r="J627" s="22" t="s">
        <v>91</v>
      </c>
      <c r="K627" s="22" t="s">
        <v>91</v>
      </c>
      <c r="L627" s="22" t="s">
        <v>91</v>
      </c>
      <c r="M627" s="22">
        <v>1160</v>
      </c>
      <c r="N627" s="22">
        <v>115</v>
      </c>
    </row>
    <row r="628" spans="1:14" x14ac:dyDescent="0.25">
      <c r="E628" s="22" t="s">
        <v>166</v>
      </c>
      <c r="F628" s="22" t="s">
        <v>126</v>
      </c>
      <c r="G628" s="22">
        <v>0</v>
      </c>
      <c r="H628" s="22" t="s">
        <v>126</v>
      </c>
    </row>
    <row r="629" spans="1:14" x14ac:dyDescent="0.25">
      <c r="E629" s="22" t="s">
        <v>165</v>
      </c>
      <c r="F629" s="22">
        <v>0</v>
      </c>
      <c r="G629" s="22">
        <v>0</v>
      </c>
      <c r="H629" s="22">
        <v>0</v>
      </c>
    </row>
    <row r="630" spans="1:14" x14ac:dyDescent="0.25">
      <c r="E630" s="22" t="s">
        <v>166</v>
      </c>
      <c r="F630" s="22" t="s">
        <v>90</v>
      </c>
      <c r="G630" s="22" t="s">
        <v>82</v>
      </c>
      <c r="H630" s="22" t="s">
        <v>90</v>
      </c>
    </row>
    <row r="631" spans="1:14" ht="15.6" customHeight="1" x14ac:dyDescent="0.25">
      <c r="A631" s="22" t="s">
        <v>61</v>
      </c>
      <c r="B631" s="22" t="s">
        <v>111</v>
      </c>
      <c r="C631" s="22">
        <v>60</v>
      </c>
      <c r="D631" s="22">
        <v>80</v>
      </c>
      <c r="E631" s="22" t="s">
        <v>165</v>
      </c>
      <c r="F631" s="22" t="s">
        <v>127</v>
      </c>
      <c r="G631" s="22" t="s">
        <v>127</v>
      </c>
      <c r="H631" s="22" t="s">
        <v>127</v>
      </c>
      <c r="I631" s="22" t="s">
        <v>65</v>
      </c>
      <c r="J631" s="22" t="s">
        <v>103</v>
      </c>
      <c r="K631" s="22" t="s">
        <v>103</v>
      </c>
      <c r="L631" s="22" t="s">
        <v>103</v>
      </c>
      <c r="M631" s="22">
        <v>540</v>
      </c>
      <c r="N631" s="22">
        <v>75</v>
      </c>
    </row>
    <row r="632" spans="1:14" x14ac:dyDescent="0.25">
      <c r="E632" s="22" t="s">
        <v>166</v>
      </c>
      <c r="F632" s="22" t="s">
        <v>125</v>
      </c>
      <c r="G632" s="22" t="s">
        <v>125</v>
      </c>
      <c r="H632" s="22" t="s">
        <v>125</v>
      </c>
    </row>
    <row r="633" spans="1:14" x14ac:dyDescent="0.25">
      <c r="E633" s="22" t="s">
        <v>165</v>
      </c>
      <c r="F633" s="22" t="s">
        <v>92</v>
      </c>
      <c r="G633" s="22" t="s">
        <v>92</v>
      </c>
      <c r="H633" s="22" t="s">
        <v>90</v>
      </c>
    </row>
    <row r="634" spans="1:14" x14ac:dyDescent="0.25">
      <c r="E634" s="22" t="s">
        <v>166</v>
      </c>
      <c r="F634" s="22" t="s">
        <v>102</v>
      </c>
      <c r="G634" s="22" t="s">
        <v>102</v>
      </c>
      <c r="H634" s="22" t="s">
        <v>102</v>
      </c>
    </row>
    <row r="635" spans="1:14" x14ac:dyDescent="0.25">
      <c r="A635" s="22" t="s">
        <v>61</v>
      </c>
      <c r="B635" s="22" t="s">
        <v>112</v>
      </c>
      <c r="C635" s="22">
        <v>60</v>
      </c>
      <c r="D635" s="22">
        <v>80</v>
      </c>
      <c r="E635" s="22" t="s">
        <v>165</v>
      </c>
      <c r="F635" s="22" t="s">
        <v>127</v>
      </c>
      <c r="G635" s="22" t="s">
        <v>128</v>
      </c>
      <c r="H635" s="22" t="s">
        <v>127</v>
      </c>
      <c r="I635" s="22" t="s">
        <v>65</v>
      </c>
      <c r="J635" s="22" t="s">
        <v>95</v>
      </c>
      <c r="K635" s="22" t="s">
        <v>95</v>
      </c>
      <c r="L635" s="22" t="s">
        <v>95</v>
      </c>
      <c r="M635" s="22">
        <v>685</v>
      </c>
      <c r="N635" s="22">
        <v>90</v>
      </c>
    </row>
    <row r="636" spans="1:14" x14ac:dyDescent="0.25">
      <c r="E636" s="22" t="s">
        <v>166</v>
      </c>
      <c r="F636" s="22" t="s">
        <v>128</v>
      </c>
      <c r="G636" s="22">
        <v>0</v>
      </c>
      <c r="H636" s="22" t="s">
        <v>126</v>
      </c>
    </row>
    <row r="637" spans="1:14" x14ac:dyDescent="0.25">
      <c r="E637" s="22" t="s">
        <v>165</v>
      </c>
      <c r="F637" s="22" t="s">
        <v>82</v>
      </c>
      <c r="G637" s="22">
        <v>0</v>
      </c>
      <c r="H637" s="22" t="s">
        <v>90</v>
      </c>
    </row>
    <row r="638" spans="1:14" x14ac:dyDescent="0.25">
      <c r="E638" s="22" t="s">
        <v>166</v>
      </c>
      <c r="F638" s="22" t="s">
        <v>102</v>
      </c>
      <c r="G638" s="22" t="s">
        <v>92</v>
      </c>
      <c r="H638" s="22" t="s">
        <v>102</v>
      </c>
    </row>
    <row r="639" spans="1:14" x14ac:dyDescent="0.25">
      <c r="A639" s="22" t="s">
        <v>61</v>
      </c>
      <c r="B639" s="22" t="s">
        <v>114</v>
      </c>
      <c r="C639" s="22">
        <v>60</v>
      </c>
      <c r="D639" s="22">
        <v>80</v>
      </c>
      <c r="E639" s="22" t="s">
        <v>165</v>
      </c>
      <c r="F639" s="22" t="s">
        <v>127</v>
      </c>
      <c r="G639" s="22" t="s">
        <v>124</v>
      </c>
      <c r="H639" s="22" t="s">
        <v>124</v>
      </c>
      <c r="I639" s="22" t="s">
        <v>65</v>
      </c>
      <c r="J639" s="22" t="s">
        <v>103</v>
      </c>
      <c r="K639" s="22" t="s">
        <v>103</v>
      </c>
      <c r="L639" s="22" t="s">
        <v>103</v>
      </c>
      <c r="M639" s="22">
        <v>525</v>
      </c>
      <c r="N639" s="22">
        <v>85</v>
      </c>
    </row>
    <row r="640" spans="1:14" x14ac:dyDescent="0.25">
      <c r="E640" s="22" t="s">
        <v>166</v>
      </c>
      <c r="F640" s="22" t="s">
        <v>126</v>
      </c>
      <c r="G640" s="22" t="s">
        <v>126</v>
      </c>
      <c r="H640" s="22" t="s">
        <v>126</v>
      </c>
    </row>
    <row r="641" spans="1:14" x14ac:dyDescent="0.25">
      <c r="E641" s="22" t="s">
        <v>165</v>
      </c>
      <c r="F641" s="22" t="s">
        <v>78</v>
      </c>
      <c r="G641" s="22" t="s">
        <v>78</v>
      </c>
      <c r="H641" s="22" t="s">
        <v>82</v>
      </c>
    </row>
    <row r="642" spans="1:14" x14ac:dyDescent="0.25">
      <c r="E642" s="22" t="s">
        <v>166</v>
      </c>
      <c r="F642" s="22" t="s">
        <v>102</v>
      </c>
      <c r="G642" s="22" t="s">
        <v>102</v>
      </c>
      <c r="H642" s="22" t="s">
        <v>102</v>
      </c>
    </row>
    <row r="643" spans="1:14" x14ac:dyDescent="0.25">
      <c r="A643" s="22" t="s">
        <v>61</v>
      </c>
      <c r="B643" s="22" t="s">
        <v>115</v>
      </c>
      <c r="C643" s="22">
        <v>60</v>
      </c>
      <c r="D643" s="22">
        <v>80</v>
      </c>
      <c r="E643" s="22" t="s">
        <v>165</v>
      </c>
      <c r="F643" s="22" t="s">
        <v>127</v>
      </c>
      <c r="G643" s="22" t="s">
        <v>128</v>
      </c>
      <c r="H643" s="22" t="s">
        <v>127</v>
      </c>
      <c r="I643" s="22" t="s">
        <v>7</v>
      </c>
      <c r="J643" s="22" t="s">
        <v>103</v>
      </c>
      <c r="K643" s="22" t="s">
        <v>103</v>
      </c>
      <c r="L643" s="22" t="s">
        <v>103</v>
      </c>
      <c r="M643" s="22">
        <v>695</v>
      </c>
      <c r="N643" s="22">
        <v>95</v>
      </c>
    </row>
    <row r="644" spans="1:14" x14ac:dyDescent="0.25">
      <c r="E644" s="22" t="s">
        <v>166</v>
      </c>
      <c r="F644" s="22" t="s">
        <v>128</v>
      </c>
      <c r="G644" s="22">
        <v>0</v>
      </c>
      <c r="H644" s="22" t="s">
        <v>127</v>
      </c>
    </row>
    <row r="645" spans="1:14" x14ac:dyDescent="0.25">
      <c r="E645" s="22" t="s">
        <v>165</v>
      </c>
      <c r="F645" s="22" t="s">
        <v>102</v>
      </c>
      <c r="G645" s="22">
        <v>0</v>
      </c>
      <c r="H645" s="22" t="s">
        <v>92</v>
      </c>
    </row>
    <row r="646" spans="1:14" x14ac:dyDescent="0.25">
      <c r="E646" s="22" t="s">
        <v>166</v>
      </c>
      <c r="F646" s="22" t="s">
        <v>102</v>
      </c>
      <c r="G646" s="22" t="s">
        <v>90</v>
      </c>
      <c r="H646" s="22" t="s">
        <v>102</v>
      </c>
    </row>
    <row r="647" spans="1:14" x14ac:dyDescent="0.25">
      <c r="A647" s="22" t="s">
        <v>61</v>
      </c>
      <c r="B647" s="22" t="s">
        <v>116</v>
      </c>
      <c r="C647" s="22">
        <v>60</v>
      </c>
      <c r="D647" s="22">
        <v>80</v>
      </c>
      <c r="E647" s="22" t="s">
        <v>165</v>
      </c>
      <c r="F647" s="22" t="s">
        <v>127</v>
      </c>
      <c r="G647" s="22" t="s">
        <v>128</v>
      </c>
      <c r="H647" s="22" t="s">
        <v>127</v>
      </c>
      <c r="I647" s="22" t="s">
        <v>65</v>
      </c>
      <c r="J647" s="22" t="s">
        <v>93</v>
      </c>
      <c r="K647" s="22" t="s">
        <v>93</v>
      </c>
      <c r="L647" s="22" t="s">
        <v>93</v>
      </c>
      <c r="M647" s="22">
        <v>1000</v>
      </c>
      <c r="N647" s="22">
        <v>115</v>
      </c>
    </row>
    <row r="648" spans="1:14" x14ac:dyDescent="0.25">
      <c r="E648" s="22" t="s">
        <v>166</v>
      </c>
      <c r="F648" s="22" t="s">
        <v>126</v>
      </c>
      <c r="G648" s="22">
        <v>0</v>
      </c>
      <c r="H648" s="22" t="s">
        <v>128</v>
      </c>
    </row>
    <row r="649" spans="1:14" x14ac:dyDescent="0.25">
      <c r="E649" s="22" t="s">
        <v>165</v>
      </c>
      <c r="F649" s="22" t="s">
        <v>78</v>
      </c>
      <c r="G649" s="22">
        <v>0</v>
      </c>
      <c r="H649" s="22">
        <v>0</v>
      </c>
    </row>
    <row r="650" spans="1:14" x14ac:dyDescent="0.25">
      <c r="E650" s="22" t="s">
        <v>166</v>
      </c>
      <c r="F650" s="22" t="s">
        <v>113</v>
      </c>
      <c r="G650" s="22" t="s">
        <v>92</v>
      </c>
      <c r="H650" s="22" t="s">
        <v>113</v>
      </c>
    </row>
    <row r="651" spans="1:14" x14ac:dyDescent="0.25">
      <c r="A651" s="22" t="s">
        <v>61</v>
      </c>
      <c r="B651" s="22" t="s">
        <v>117</v>
      </c>
      <c r="C651" s="22">
        <v>60</v>
      </c>
      <c r="D651" s="22">
        <v>80</v>
      </c>
      <c r="E651" s="22" t="s">
        <v>165</v>
      </c>
      <c r="F651" s="22" t="s">
        <v>127</v>
      </c>
      <c r="G651" s="22" t="s">
        <v>128</v>
      </c>
      <c r="H651" s="22" t="s">
        <v>127</v>
      </c>
      <c r="I651" s="22" t="s">
        <v>65</v>
      </c>
      <c r="J651" s="22" t="s">
        <v>93</v>
      </c>
      <c r="K651" s="22" t="s">
        <v>93</v>
      </c>
      <c r="L651" s="22" t="s">
        <v>93</v>
      </c>
      <c r="M651" s="22">
        <v>1000</v>
      </c>
      <c r="N651" s="22">
        <v>75</v>
      </c>
    </row>
    <row r="652" spans="1:14" x14ac:dyDescent="0.25">
      <c r="E652" s="22" t="s">
        <v>166</v>
      </c>
      <c r="F652" s="22" t="s">
        <v>125</v>
      </c>
      <c r="G652" s="22">
        <v>0</v>
      </c>
      <c r="H652" s="22" t="s">
        <v>128</v>
      </c>
    </row>
    <row r="653" spans="1:14" x14ac:dyDescent="0.25">
      <c r="E653" s="22" t="s">
        <v>165</v>
      </c>
      <c r="F653" s="22">
        <v>0</v>
      </c>
      <c r="G653" s="22">
        <v>0</v>
      </c>
      <c r="H653" s="22">
        <v>0</v>
      </c>
    </row>
    <row r="654" spans="1:14" x14ac:dyDescent="0.25">
      <c r="E654" s="22" t="s">
        <v>166</v>
      </c>
      <c r="F654" s="22" t="s">
        <v>102</v>
      </c>
      <c r="G654" s="22" t="s">
        <v>92</v>
      </c>
      <c r="H654" s="22" t="s">
        <v>102</v>
      </c>
    </row>
    <row r="655" spans="1:14" x14ac:dyDescent="0.25">
      <c r="A655" s="22" t="s">
        <v>61</v>
      </c>
      <c r="B655" s="22" t="s">
        <v>118</v>
      </c>
      <c r="C655" s="22">
        <v>60</v>
      </c>
      <c r="D655" s="22">
        <v>80</v>
      </c>
      <c r="E655" s="22" t="s">
        <v>165</v>
      </c>
      <c r="F655" s="22" t="s">
        <v>127</v>
      </c>
      <c r="G655" s="22" t="s">
        <v>128</v>
      </c>
      <c r="H655" s="22" t="s">
        <v>127</v>
      </c>
      <c r="I655" s="22" t="s">
        <v>65</v>
      </c>
      <c r="J655" s="22" t="s">
        <v>95</v>
      </c>
      <c r="K655" s="22" t="s">
        <v>95</v>
      </c>
      <c r="L655" s="22" t="s">
        <v>95</v>
      </c>
      <c r="M655" s="22">
        <v>695</v>
      </c>
      <c r="N655" s="22">
        <v>95</v>
      </c>
    </row>
    <row r="656" spans="1:14" x14ac:dyDescent="0.25">
      <c r="E656" s="22" t="s">
        <v>166</v>
      </c>
      <c r="F656" s="22" t="s">
        <v>125</v>
      </c>
      <c r="G656" s="22">
        <v>0</v>
      </c>
      <c r="H656" s="22" t="s">
        <v>128</v>
      </c>
    </row>
    <row r="657" spans="1:14" x14ac:dyDescent="0.25">
      <c r="E657" s="22" t="s">
        <v>165</v>
      </c>
      <c r="F657" s="22" t="s">
        <v>82</v>
      </c>
      <c r="G657" s="22">
        <v>0</v>
      </c>
      <c r="H657" s="22" t="s">
        <v>82</v>
      </c>
    </row>
    <row r="658" spans="1:14" x14ac:dyDescent="0.25">
      <c r="E658" s="22" t="s">
        <v>166</v>
      </c>
      <c r="F658" s="22" t="s">
        <v>102</v>
      </c>
      <c r="G658" s="22" t="s">
        <v>92</v>
      </c>
      <c r="H658" s="22" t="s">
        <v>102</v>
      </c>
    </row>
    <row r="659" spans="1:14" x14ac:dyDescent="0.25">
      <c r="A659" s="22" t="s">
        <v>62</v>
      </c>
      <c r="B659" s="22" t="s">
        <v>97</v>
      </c>
      <c r="C659" s="22">
        <v>60</v>
      </c>
      <c r="D659" s="22">
        <v>80</v>
      </c>
      <c r="E659" s="22" t="s">
        <v>165</v>
      </c>
      <c r="F659" s="22" t="s">
        <v>127</v>
      </c>
      <c r="G659" s="22" t="s">
        <v>125</v>
      </c>
      <c r="H659" s="22" t="s">
        <v>127</v>
      </c>
      <c r="I659" s="22" t="s">
        <v>65</v>
      </c>
      <c r="J659" s="22" t="s">
        <v>95</v>
      </c>
      <c r="K659" s="22" t="s">
        <v>95</v>
      </c>
      <c r="L659" s="22" t="s">
        <v>95</v>
      </c>
      <c r="M659" s="22">
        <v>685</v>
      </c>
      <c r="N659" s="22">
        <v>90</v>
      </c>
    </row>
    <row r="660" spans="1:14" x14ac:dyDescent="0.25">
      <c r="E660" s="22" t="s">
        <v>166</v>
      </c>
      <c r="F660" s="22" t="s">
        <v>125</v>
      </c>
      <c r="G660" s="22">
        <v>0</v>
      </c>
      <c r="H660" s="22" t="s">
        <v>126</v>
      </c>
    </row>
    <row r="661" spans="1:14" x14ac:dyDescent="0.25">
      <c r="E661" s="22" t="s">
        <v>165</v>
      </c>
      <c r="F661" s="22" t="s">
        <v>83</v>
      </c>
      <c r="G661" s="22">
        <v>0</v>
      </c>
      <c r="H661" s="22" t="s">
        <v>82</v>
      </c>
    </row>
    <row r="662" spans="1:14" x14ac:dyDescent="0.25">
      <c r="E662" s="22" t="s">
        <v>166</v>
      </c>
      <c r="F662" s="22" t="s">
        <v>102</v>
      </c>
      <c r="G662" s="22" t="s">
        <v>92</v>
      </c>
      <c r="H662" s="22" t="s">
        <v>102</v>
      </c>
    </row>
    <row r="663" spans="1:14" x14ac:dyDescent="0.25">
      <c r="A663" s="22" t="s">
        <v>62</v>
      </c>
      <c r="B663" s="22" t="s">
        <v>98</v>
      </c>
      <c r="C663" s="22">
        <v>60</v>
      </c>
      <c r="D663" s="22">
        <v>80</v>
      </c>
      <c r="E663" s="22" t="s">
        <v>165</v>
      </c>
      <c r="F663" s="22" t="s">
        <v>127</v>
      </c>
      <c r="G663" s="22" t="s">
        <v>127</v>
      </c>
      <c r="H663" s="22" t="s">
        <v>127</v>
      </c>
      <c r="I663" s="22" t="s">
        <v>65</v>
      </c>
      <c r="J663" s="22" t="s">
        <v>103</v>
      </c>
      <c r="K663" s="22" t="s">
        <v>103</v>
      </c>
      <c r="L663" s="22" t="s">
        <v>103</v>
      </c>
      <c r="M663" s="22">
        <v>525</v>
      </c>
      <c r="N663" s="22">
        <v>75</v>
      </c>
    </row>
    <row r="664" spans="1:14" x14ac:dyDescent="0.25">
      <c r="E664" s="22" t="s">
        <v>166</v>
      </c>
      <c r="F664" s="22" t="s">
        <v>126</v>
      </c>
      <c r="G664" s="22" t="s">
        <v>126</v>
      </c>
      <c r="H664" s="22" t="s">
        <v>126</v>
      </c>
    </row>
    <row r="665" spans="1:14" x14ac:dyDescent="0.25">
      <c r="E665" s="22" t="s">
        <v>165</v>
      </c>
      <c r="F665" s="22" t="s">
        <v>82</v>
      </c>
      <c r="G665" s="22" t="s">
        <v>82</v>
      </c>
      <c r="H665" s="22" t="s">
        <v>82</v>
      </c>
    </row>
    <row r="666" spans="1:14" x14ac:dyDescent="0.25">
      <c r="E666" s="22" t="s">
        <v>166</v>
      </c>
      <c r="F666" s="22" t="s">
        <v>102</v>
      </c>
      <c r="G666" s="22" t="s">
        <v>102</v>
      </c>
      <c r="H666" s="22" t="s">
        <v>102</v>
      </c>
    </row>
    <row r="667" spans="1:14" x14ac:dyDescent="0.25">
      <c r="A667" s="22" t="s">
        <v>62</v>
      </c>
      <c r="B667" s="22" t="s">
        <v>99</v>
      </c>
      <c r="C667" s="22">
        <v>60</v>
      </c>
      <c r="D667" s="22">
        <v>80</v>
      </c>
      <c r="E667" s="22" t="s">
        <v>165</v>
      </c>
      <c r="F667" s="22" t="s">
        <v>127</v>
      </c>
      <c r="G667" s="22" t="s">
        <v>128</v>
      </c>
      <c r="H667" s="22" t="s">
        <v>127</v>
      </c>
      <c r="I667" s="22" t="s">
        <v>65</v>
      </c>
      <c r="J667" s="22" t="s">
        <v>95</v>
      </c>
      <c r="K667" s="22" t="s">
        <v>95</v>
      </c>
      <c r="L667" s="22" t="s">
        <v>95</v>
      </c>
      <c r="M667" s="22">
        <v>695</v>
      </c>
      <c r="N667" s="22">
        <v>95</v>
      </c>
    </row>
    <row r="668" spans="1:14" x14ac:dyDescent="0.25">
      <c r="E668" s="22" t="s">
        <v>166</v>
      </c>
      <c r="F668" s="22" t="s">
        <v>126</v>
      </c>
      <c r="G668" s="22">
        <v>0</v>
      </c>
      <c r="H668" s="22" t="s">
        <v>128</v>
      </c>
    </row>
    <row r="669" spans="1:14" x14ac:dyDescent="0.25">
      <c r="E669" s="22" t="s">
        <v>165</v>
      </c>
      <c r="F669" s="22" t="s">
        <v>82</v>
      </c>
      <c r="G669" s="22">
        <v>0</v>
      </c>
      <c r="H669" s="22" t="s">
        <v>83</v>
      </c>
    </row>
    <row r="670" spans="1:14" x14ac:dyDescent="0.25">
      <c r="E670" s="22" t="s">
        <v>166</v>
      </c>
      <c r="F670" s="22" t="s">
        <v>102</v>
      </c>
      <c r="G670" s="22" t="s">
        <v>92</v>
      </c>
      <c r="H670" s="22" t="s">
        <v>102</v>
      </c>
    </row>
    <row r="671" spans="1:14" x14ac:dyDescent="0.25">
      <c r="A671" s="22" t="s">
        <v>62</v>
      </c>
      <c r="B671" s="22" t="s">
        <v>100</v>
      </c>
      <c r="C671" s="22">
        <v>60</v>
      </c>
      <c r="D671" s="22">
        <v>80</v>
      </c>
      <c r="E671" s="22" t="s">
        <v>165</v>
      </c>
      <c r="F671" s="22" t="s">
        <v>127</v>
      </c>
      <c r="G671" s="22" t="s">
        <v>128</v>
      </c>
      <c r="H671" s="22" t="s">
        <v>127</v>
      </c>
      <c r="I671" s="22" t="s">
        <v>65</v>
      </c>
      <c r="J671" s="22" t="s">
        <v>95</v>
      </c>
      <c r="K671" s="22" t="s">
        <v>95</v>
      </c>
      <c r="L671" s="22" t="s">
        <v>95</v>
      </c>
      <c r="M671" s="22">
        <v>620</v>
      </c>
      <c r="N671" s="22">
        <v>85</v>
      </c>
    </row>
    <row r="672" spans="1:14" x14ac:dyDescent="0.25">
      <c r="E672" s="22" t="s">
        <v>166</v>
      </c>
      <c r="F672" s="22" t="s">
        <v>128</v>
      </c>
      <c r="G672" s="22">
        <v>0</v>
      </c>
      <c r="H672" s="22" t="s">
        <v>126</v>
      </c>
    </row>
    <row r="673" spans="1:14" x14ac:dyDescent="0.25">
      <c r="E673" s="22" t="s">
        <v>165</v>
      </c>
      <c r="F673" s="22" t="s">
        <v>82</v>
      </c>
      <c r="G673" s="22">
        <v>0</v>
      </c>
      <c r="H673" s="22" t="s">
        <v>82</v>
      </c>
    </row>
    <row r="674" spans="1:14" x14ac:dyDescent="0.25">
      <c r="E674" s="22" t="s">
        <v>166</v>
      </c>
      <c r="F674" s="22" t="s">
        <v>102</v>
      </c>
      <c r="G674" s="22" t="s">
        <v>92</v>
      </c>
      <c r="H674" s="22" t="s">
        <v>102</v>
      </c>
    </row>
    <row r="675" spans="1:14" x14ac:dyDescent="0.25">
      <c r="A675" s="22" t="s">
        <v>62</v>
      </c>
      <c r="B675" s="22" t="s">
        <v>80</v>
      </c>
      <c r="C675" s="22">
        <v>60</v>
      </c>
      <c r="D675" s="22">
        <v>80</v>
      </c>
      <c r="E675" s="22" t="s">
        <v>165</v>
      </c>
      <c r="F675" s="22" t="s">
        <v>127</v>
      </c>
      <c r="G675" s="22" t="s">
        <v>128</v>
      </c>
      <c r="H675" s="22" t="s">
        <v>124</v>
      </c>
      <c r="I675" s="22" t="s">
        <v>7</v>
      </c>
      <c r="J675" s="22" t="s">
        <v>103</v>
      </c>
      <c r="K675" s="22" t="s">
        <v>103</v>
      </c>
      <c r="L675" s="22" t="s">
        <v>103</v>
      </c>
      <c r="M675" s="22">
        <v>620</v>
      </c>
      <c r="N675" s="22">
        <v>130</v>
      </c>
    </row>
    <row r="676" spans="1:14" x14ac:dyDescent="0.25">
      <c r="E676" s="22" t="s">
        <v>166</v>
      </c>
      <c r="F676" s="22" t="s">
        <v>128</v>
      </c>
      <c r="G676" s="22">
        <v>0</v>
      </c>
      <c r="H676" s="22" t="s">
        <v>126</v>
      </c>
    </row>
    <row r="677" spans="1:14" x14ac:dyDescent="0.25">
      <c r="E677" s="22" t="s">
        <v>165</v>
      </c>
      <c r="F677" s="22" t="s">
        <v>83</v>
      </c>
      <c r="G677" s="22">
        <v>0</v>
      </c>
      <c r="H677" s="22" t="s">
        <v>92</v>
      </c>
    </row>
    <row r="678" spans="1:14" x14ac:dyDescent="0.25">
      <c r="E678" s="22" t="s">
        <v>166</v>
      </c>
      <c r="F678" s="22" t="s">
        <v>102</v>
      </c>
      <c r="G678" s="22" t="s">
        <v>82</v>
      </c>
      <c r="H678" s="22" t="s">
        <v>102</v>
      </c>
    </row>
    <row r="679" spans="1:14" x14ac:dyDescent="0.25">
      <c r="A679" s="22" t="s">
        <v>62</v>
      </c>
      <c r="B679" s="22" t="s">
        <v>104</v>
      </c>
      <c r="C679" s="22">
        <v>60</v>
      </c>
      <c r="D679" s="22">
        <v>80</v>
      </c>
      <c r="E679" s="22" t="s">
        <v>165</v>
      </c>
      <c r="F679" s="22" t="s">
        <v>127</v>
      </c>
      <c r="G679" s="22" t="s">
        <v>128</v>
      </c>
      <c r="H679" s="22" t="s">
        <v>127</v>
      </c>
      <c r="I679" s="22" t="s">
        <v>65</v>
      </c>
      <c r="J679" s="22" t="s">
        <v>103</v>
      </c>
      <c r="K679" s="22" t="s">
        <v>103</v>
      </c>
      <c r="L679" s="22" t="s">
        <v>103</v>
      </c>
      <c r="M679" s="22">
        <v>620</v>
      </c>
      <c r="N679" s="22">
        <v>75</v>
      </c>
    </row>
    <row r="680" spans="1:14" x14ac:dyDescent="0.25">
      <c r="E680" s="22" t="s">
        <v>166</v>
      </c>
      <c r="F680" s="22" t="s">
        <v>124</v>
      </c>
      <c r="G680" s="22">
        <v>0</v>
      </c>
      <c r="H680" s="22" t="s">
        <v>128</v>
      </c>
    </row>
    <row r="681" spans="1:14" x14ac:dyDescent="0.25">
      <c r="E681" s="22" t="s">
        <v>165</v>
      </c>
      <c r="F681" s="22" t="s">
        <v>90</v>
      </c>
      <c r="G681" s="22">
        <v>0</v>
      </c>
      <c r="H681" s="22" t="s">
        <v>90</v>
      </c>
    </row>
    <row r="682" spans="1:14" x14ac:dyDescent="0.25">
      <c r="E682" s="22" t="s">
        <v>166</v>
      </c>
      <c r="F682" s="22" t="s">
        <v>102</v>
      </c>
      <c r="G682" s="22" t="s">
        <v>82</v>
      </c>
      <c r="H682" s="22" t="s">
        <v>102</v>
      </c>
    </row>
    <row r="683" spans="1:14" x14ac:dyDescent="0.25">
      <c r="A683" s="22" t="s">
        <v>62</v>
      </c>
      <c r="B683" s="22" t="s">
        <v>120</v>
      </c>
      <c r="C683" s="22">
        <v>50</v>
      </c>
      <c r="D683" s="22">
        <v>80</v>
      </c>
      <c r="E683" s="22" t="s">
        <v>165</v>
      </c>
      <c r="F683" s="22" t="s">
        <v>124</v>
      </c>
      <c r="G683" s="22" t="s">
        <v>125</v>
      </c>
      <c r="H683" s="22" t="s">
        <v>128</v>
      </c>
      <c r="I683" s="22" t="s">
        <v>7</v>
      </c>
      <c r="J683" s="22" t="s">
        <v>95</v>
      </c>
      <c r="K683" s="22" t="s">
        <v>95</v>
      </c>
      <c r="L683" s="22" t="s">
        <v>95</v>
      </c>
      <c r="M683" s="22">
        <v>685</v>
      </c>
      <c r="N683" s="22">
        <v>85</v>
      </c>
    </row>
    <row r="684" spans="1:14" x14ac:dyDescent="0.25">
      <c r="E684" s="22" t="s">
        <v>166</v>
      </c>
      <c r="F684" s="22" t="s">
        <v>125</v>
      </c>
      <c r="G684" s="22">
        <v>0</v>
      </c>
      <c r="H684" s="22" t="s">
        <v>126</v>
      </c>
    </row>
    <row r="685" spans="1:14" x14ac:dyDescent="0.25">
      <c r="E685" s="22" t="s">
        <v>165</v>
      </c>
      <c r="F685" s="22" t="s">
        <v>83</v>
      </c>
      <c r="G685" s="22">
        <v>0</v>
      </c>
      <c r="H685" s="22" t="s">
        <v>82</v>
      </c>
    </row>
    <row r="686" spans="1:14" x14ac:dyDescent="0.25">
      <c r="E686" s="22" t="s">
        <v>166</v>
      </c>
      <c r="F686" s="22" t="s">
        <v>90</v>
      </c>
      <c r="G686" s="22" t="s">
        <v>82</v>
      </c>
      <c r="H686" s="22" t="s">
        <v>90</v>
      </c>
    </row>
    <row r="687" spans="1:14" x14ac:dyDescent="0.25">
      <c r="A687" s="22" t="s">
        <v>62</v>
      </c>
      <c r="B687" s="22" t="s">
        <v>106</v>
      </c>
      <c r="C687" s="22">
        <v>60</v>
      </c>
      <c r="D687" s="22">
        <v>80</v>
      </c>
      <c r="E687" s="22" t="s">
        <v>165</v>
      </c>
      <c r="F687" s="22" t="s">
        <v>124</v>
      </c>
      <c r="G687" s="22" t="s">
        <v>125</v>
      </c>
      <c r="H687" s="22" t="s">
        <v>127</v>
      </c>
      <c r="I687" s="22" t="s">
        <v>7</v>
      </c>
      <c r="J687" s="22" t="s">
        <v>91</v>
      </c>
      <c r="K687" s="22" t="s">
        <v>91</v>
      </c>
      <c r="L687" s="22" t="s">
        <v>91</v>
      </c>
      <c r="M687" s="22">
        <v>1220</v>
      </c>
      <c r="N687" s="22">
        <v>95</v>
      </c>
    </row>
    <row r="688" spans="1:14" x14ac:dyDescent="0.25">
      <c r="E688" s="22" t="s">
        <v>166</v>
      </c>
      <c r="F688" s="22" t="s">
        <v>126</v>
      </c>
      <c r="G688" s="22">
        <v>0</v>
      </c>
      <c r="H688" s="22" t="s">
        <v>126</v>
      </c>
    </row>
    <row r="689" spans="1:14" x14ac:dyDescent="0.25">
      <c r="E689" s="22" t="s">
        <v>165</v>
      </c>
      <c r="F689" s="22">
        <v>0</v>
      </c>
      <c r="G689" s="22">
        <v>0</v>
      </c>
      <c r="H689" s="22">
        <v>0</v>
      </c>
    </row>
    <row r="690" spans="1:14" x14ac:dyDescent="0.25">
      <c r="E690" s="22" t="s">
        <v>166</v>
      </c>
      <c r="F690" s="22" t="s">
        <v>90</v>
      </c>
      <c r="G690" s="22" t="s">
        <v>82</v>
      </c>
      <c r="H690" s="22" t="s">
        <v>90</v>
      </c>
    </row>
    <row r="691" spans="1:14" x14ac:dyDescent="0.25">
      <c r="A691" s="22" t="s">
        <v>62</v>
      </c>
      <c r="B691" s="22" t="s">
        <v>107</v>
      </c>
      <c r="C691" s="22">
        <v>60</v>
      </c>
      <c r="D691" s="22">
        <v>80</v>
      </c>
      <c r="E691" s="22" t="s">
        <v>165</v>
      </c>
      <c r="F691" s="22" t="s">
        <v>127</v>
      </c>
      <c r="G691" s="22" t="s">
        <v>127</v>
      </c>
      <c r="H691" s="22" t="s">
        <v>127</v>
      </c>
      <c r="I691" s="22" t="s">
        <v>65</v>
      </c>
      <c r="J691" s="22" t="s">
        <v>103</v>
      </c>
      <c r="K691" s="22" t="s">
        <v>103</v>
      </c>
      <c r="L691" s="22" t="s">
        <v>103</v>
      </c>
      <c r="M691" s="22">
        <v>540</v>
      </c>
      <c r="N691" s="22">
        <v>85</v>
      </c>
    </row>
    <row r="692" spans="1:14" x14ac:dyDescent="0.25">
      <c r="E692" s="22" t="s">
        <v>166</v>
      </c>
      <c r="F692" s="22" t="s">
        <v>126</v>
      </c>
      <c r="G692" s="22" t="s">
        <v>126</v>
      </c>
      <c r="H692" s="22" t="s">
        <v>125</v>
      </c>
    </row>
    <row r="693" spans="1:14" x14ac:dyDescent="0.25">
      <c r="E693" s="22" t="s">
        <v>165</v>
      </c>
      <c r="F693" s="22" t="s">
        <v>82</v>
      </c>
      <c r="G693" s="22" t="s">
        <v>82</v>
      </c>
      <c r="H693" s="22" t="s">
        <v>82</v>
      </c>
    </row>
    <row r="694" spans="1:14" x14ac:dyDescent="0.25">
      <c r="E694" s="22" t="s">
        <v>166</v>
      </c>
      <c r="F694" s="22" t="s">
        <v>102</v>
      </c>
      <c r="G694" s="22" t="s">
        <v>102</v>
      </c>
      <c r="H694" s="22" t="s">
        <v>102</v>
      </c>
    </row>
    <row r="695" spans="1:14" x14ac:dyDescent="0.25">
      <c r="A695" s="22" t="s">
        <v>62</v>
      </c>
      <c r="B695" s="22" t="s">
        <v>86</v>
      </c>
      <c r="C695" s="22">
        <v>60</v>
      </c>
      <c r="D695" s="22">
        <v>80</v>
      </c>
      <c r="E695" s="22" t="s">
        <v>165</v>
      </c>
      <c r="F695" s="22" t="s">
        <v>124</v>
      </c>
      <c r="G695" s="22" t="s">
        <v>124</v>
      </c>
      <c r="H695" s="22" t="s">
        <v>127</v>
      </c>
      <c r="I695" s="22" t="s">
        <v>7</v>
      </c>
      <c r="J695" s="22" t="s">
        <v>103</v>
      </c>
      <c r="K695" s="22" t="s">
        <v>103</v>
      </c>
      <c r="L695" s="22" t="s">
        <v>103</v>
      </c>
      <c r="M695" s="22">
        <v>540</v>
      </c>
      <c r="N695" s="22">
        <v>95</v>
      </c>
    </row>
    <row r="696" spans="1:14" x14ac:dyDescent="0.25">
      <c r="E696" s="22" t="s">
        <v>166</v>
      </c>
      <c r="F696" s="22" t="s">
        <v>126</v>
      </c>
      <c r="G696" s="22" t="s">
        <v>126</v>
      </c>
      <c r="H696" s="22" t="s">
        <v>125</v>
      </c>
    </row>
    <row r="697" spans="1:14" x14ac:dyDescent="0.25">
      <c r="E697" s="22" t="s">
        <v>165</v>
      </c>
      <c r="F697" s="22" t="s">
        <v>92</v>
      </c>
      <c r="G697" s="22" t="s">
        <v>78</v>
      </c>
      <c r="H697" s="22" t="s">
        <v>78</v>
      </c>
    </row>
    <row r="698" spans="1:14" x14ac:dyDescent="0.25">
      <c r="E698" s="22" t="s">
        <v>166</v>
      </c>
      <c r="F698" s="22" t="s">
        <v>102</v>
      </c>
      <c r="G698" s="22" t="s">
        <v>102</v>
      </c>
      <c r="H698" s="22" t="s">
        <v>102</v>
      </c>
    </row>
    <row r="699" spans="1:14" x14ac:dyDescent="0.25">
      <c r="A699" s="22" t="s">
        <v>62</v>
      </c>
      <c r="B699" s="22" t="s">
        <v>121</v>
      </c>
      <c r="C699" s="22">
        <v>60</v>
      </c>
      <c r="D699" s="22">
        <v>80</v>
      </c>
      <c r="E699" s="22" t="s">
        <v>165</v>
      </c>
      <c r="F699" s="22" t="s">
        <v>127</v>
      </c>
      <c r="G699" s="22" t="s">
        <v>125</v>
      </c>
      <c r="H699" s="22" t="s">
        <v>127</v>
      </c>
      <c r="I699" s="22" t="s">
        <v>7</v>
      </c>
      <c r="J699" s="22" t="s">
        <v>91</v>
      </c>
      <c r="K699" s="22" t="s">
        <v>91</v>
      </c>
      <c r="L699" s="22" t="s">
        <v>91</v>
      </c>
      <c r="M699" s="22">
        <v>1160</v>
      </c>
      <c r="N699" s="22">
        <v>115</v>
      </c>
    </row>
    <row r="700" spans="1:14" x14ac:dyDescent="0.25">
      <c r="E700" s="22" t="s">
        <v>166</v>
      </c>
      <c r="F700" s="22" t="s">
        <v>126</v>
      </c>
      <c r="G700" s="22">
        <v>0</v>
      </c>
      <c r="H700" s="22" t="s">
        <v>126</v>
      </c>
    </row>
    <row r="701" spans="1:14" x14ac:dyDescent="0.25">
      <c r="E701" s="22" t="s">
        <v>165</v>
      </c>
      <c r="F701" s="22">
        <v>0</v>
      </c>
      <c r="G701" s="22">
        <v>0</v>
      </c>
      <c r="H701" s="22">
        <v>0</v>
      </c>
    </row>
    <row r="702" spans="1:14" x14ac:dyDescent="0.25">
      <c r="E702" s="22" t="s">
        <v>166</v>
      </c>
      <c r="F702" s="22" t="s">
        <v>90</v>
      </c>
      <c r="G702" s="22" t="s">
        <v>82</v>
      </c>
      <c r="H702" s="22" t="s">
        <v>113</v>
      </c>
    </row>
    <row r="703" spans="1:14" x14ac:dyDescent="0.25">
      <c r="A703" s="22" t="s">
        <v>62</v>
      </c>
      <c r="B703" s="22" t="s">
        <v>111</v>
      </c>
      <c r="C703" s="22">
        <v>60</v>
      </c>
      <c r="D703" s="22">
        <v>80</v>
      </c>
      <c r="E703" s="22" t="s">
        <v>165</v>
      </c>
      <c r="F703" s="22" t="s">
        <v>127</v>
      </c>
      <c r="G703" s="22" t="s">
        <v>127</v>
      </c>
      <c r="H703" s="22" t="s">
        <v>127</v>
      </c>
      <c r="I703" s="22" t="s">
        <v>65</v>
      </c>
      <c r="J703" s="22" t="s">
        <v>103</v>
      </c>
      <c r="K703" s="22" t="s">
        <v>103</v>
      </c>
      <c r="L703" s="22" t="s">
        <v>103</v>
      </c>
      <c r="M703" s="22">
        <v>540</v>
      </c>
      <c r="N703" s="22">
        <v>75</v>
      </c>
    </row>
    <row r="704" spans="1:14" x14ac:dyDescent="0.25">
      <c r="E704" s="22" t="s">
        <v>166</v>
      </c>
      <c r="F704" s="22" t="s">
        <v>128</v>
      </c>
      <c r="G704" s="22" t="s">
        <v>128</v>
      </c>
      <c r="H704" s="22" t="s">
        <v>128</v>
      </c>
    </row>
    <row r="705" spans="1:14" x14ac:dyDescent="0.25">
      <c r="E705" s="22" t="s">
        <v>165</v>
      </c>
      <c r="F705" s="22" t="s">
        <v>90</v>
      </c>
      <c r="G705" s="22" t="s">
        <v>90</v>
      </c>
      <c r="H705" s="22" t="s">
        <v>113</v>
      </c>
    </row>
    <row r="706" spans="1:14" x14ac:dyDescent="0.25">
      <c r="E706" s="22" t="s">
        <v>166</v>
      </c>
      <c r="F706" s="22" t="s">
        <v>102</v>
      </c>
      <c r="G706" s="22" t="s">
        <v>102</v>
      </c>
      <c r="H706" s="22" t="s">
        <v>102</v>
      </c>
    </row>
    <row r="707" spans="1:14" x14ac:dyDescent="0.25">
      <c r="A707" s="22" t="s">
        <v>62</v>
      </c>
      <c r="B707" s="22" t="s">
        <v>112</v>
      </c>
      <c r="C707" s="22">
        <v>60</v>
      </c>
      <c r="D707" s="22">
        <v>80</v>
      </c>
      <c r="E707" s="22" t="s">
        <v>165</v>
      </c>
      <c r="F707" s="22" t="s">
        <v>127</v>
      </c>
      <c r="G707" s="22" t="s">
        <v>128</v>
      </c>
      <c r="H707" s="22" t="s">
        <v>127</v>
      </c>
      <c r="I707" s="22" t="s">
        <v>65</v>
      </c>
      <c r="J707" s="22" t="s">
        <v>95</v>
      </c>
      <c r="K707" s="22" t="s">
        <v>95</v>
      </c>
      <c r="L707" s="22" t="s">
        <v>95</v>
      </c>
      <c r="M707" s="22">
        <v>685</v>
      </c>
      <c r="N707" s="22">
        <v>90</v>
      </c>
    </row>
    <row r="708" spans="1:14" x14ac:dyDescent="0.25">
      <c r="E708" s="22" t="s">
        <v>166</v>
      </c>
      <c r="F708" s="22" t="s">
        <v>124</v>
      </c>
      <c r="G708" s="22">
        <v>0</v>
      </c>
      <c r="H708" s="22" t="s">
        <v>125</v>
      </c>
    </row>
    <row r="709" spans="1:14" x14ac:dyDescent="0.25">
      <c r="E709" s="22" t="s">
        <v>165</v>
      </c>
      <c r="F709" s="22" t="s">
        <v>92</v>
      </c>
      <c r="G709" s="22">
        <v>0</v>
      </c>
      <c r="H709" s="22" t="s">
        <v>113</v>
      </c>
    </row>
    <row r="710" spans="1:14" x14ac:dyDescent="0.25">
      <c r="E710" s="22" t="s">
        <v>166</v>
      </c>
      <c r="F710" s="22" t="s">
        <v>102</v>
      </c>
      <c r="G710" s="22" t="s">
        <v>92</v>
      </c>
      <c r="H710" s="22" t="s">
        <v>102</v>
      </c>
    </row>
    <row r="711" spans="1:14" x14ac:dyDescent="0.25">
      <c r="A711" s="22" t="s">
        <v>62</v>
      </c>
      <c r="B711" s="22" t="s">
        <v>114</v>
      </c>
      <c r="C711" s="22">
        <v>60</v>
      </c>
      <c r="D711" s="22">
        <v>80</v>
      </c>
      <c r="E711" s="22" t="s">
        <v>165</v>
      </c>
      <c r="F711" s="22" t="s">
        <v>127</v>
      </c>
      <c r="G711" s="22" t="s">
        <v>127</v>
      </c>
      <c r="H711" s="22" t="s">
        <v>127</v>
      </c>
      <c r="I711" s="22" t="s">
        <v>65</v>
      </c>
      <c r="J711" s="22" t="s">
        <v>103</v>
      </c>
      <c r="K711" s="22" t="s">
        <v>103</v>
      </c>
      <c r="L711" s="22" t="s">
        <v>103</v>
      </c>
      <c r="M711" s="22">
        <v>525</v>
      </c>
      <c r="N711" s="22">
        <v>85</v>
      </c>
    </row>
    <row r="712" spans="1:14" x14ac:dyDescent="0.25">
      <c r="E712" s="22" t="s">
        <v>166</v>
      </c>
      <c r="F712" s="22" t="s">
        <v>125</v>
      </c>
      <c r="G712" s="22" t="s">
        <v>125</v>
      </c>
      <c r="H712" s="22" t="s">
        <v>125</v>
      </c>
    </row>
    <row r="713" spans="1:14" x14ac:dyDescent="0.25">
      <c r="E713" s="22" t="s">
        <v>165</v>
      </c>
      <c r="F713" s="22" t="s">
        <v>83</v>
      </c>
      <c r="G713" s="22" t="s">
        <v>83</v>
      </c>
      <c r="H713" s="22" t="s">
        <v>92</v>
      </c>
    </row>
    <row r="714" spans="1:14" x14ac:dyDescent="0.25">
      <c r="E714" s="22" t="s">
        <v>166</v>
      </c>
      <c r="F714" s="22" t="s">
        <v>102</v>
      </c>
      <c r="G714" s="22" t="s">
        <v>102</v>
      </c>
      <c r="H714" s="22" t="s">
        <v>102</v>
      </c>
    </row>
    <row r="715" spans="1:14" x14ac:dyDescent="0.25">
      <c r="A715" s="22" t="s">
        <v>62</v>
      </c>
      <c r="B715" s="22" t="s">
        <v>115</v>
      </c>
      <c r="C715" s="22">
        <v>60</v>
      </c>
      <c r="D715" s="22">
        <v>80</v>
      </c>
      <c r="E715" s="22" t="s">
        <v>165</v>
      </c>
      <c r="F715" s="22" t="s">
        <v>127</v>
      </c>
      <c r="G715" s="22" t="s">
        <v>128</v>
      </c>
      <c r="H715" s="22" t="s">
        <v>127</v>
      </c>
      <c r="I715" s="22" t="s">
        <v>7</v>
      </c>
      <c r="J715" s="22" t="s">
        <v>103</v>
      </c>
      <c r="K715" s="22" t="s">
        <v>103</v>
      </c>
      <c r="L715" s="22" t="s">
        <v>103</v>
      </c>
      <c r="M715" s="22">
        <v>695</v>
      </c>
      <c r="N715" s="22">
        <v>95</v>
      </c>
    </row>
    <row r="716" spans="1:14" x14ac:dyDescent="0.25">
      <c r="E716" s="22" t="s">
        <v>166</v>
      </c>
      <c r="F716" s="22" t="s">
        <v>125</v>
      </c>
      <c r="G716" s="22">
        <v>0</v>
      </c>
      <c r="H716" s="22" t="s">
        <v>124</v>
      </c>
    </row>
    <row r="717" spans="1:14" x14ac:dyDescent="0.25">
      <c r="E717" s="22" t="s">
        <v>165</v>
      </c>
      <c r="F717" s="22" t="s">
        <v>92</v>
      </c>
      <c r="G717" s="22">
        <v>0</v>
      </c>
      <c r="H717" s="22" t="s">
        <v>82</v>
      </c>
    </row>
    <row r="718" spans="1:14" x14ac:dyDescent="0.25">
      <c r="E718" s="22" t="s">
        <v>166</v>
      </c>
      <c r="F718" s="22" t="s">
        <v>102</v>
      </c>
      <c r="G718" s="22" t="s">
        <v>92</v>
      </c>
      <c r="H718" s="22" t="s">
        <v>102</v>
      </c>
    </row>
    <row r="719" spans="1:14" x14ac:dyDescent="0.25">
      <c r="A719" s="22" t="s">
        <v>62</v>
      </c>
      <c r="B719" s="22" t="s">
        <v>116</v>
      </c>
      <c r="C719" s="22">
        <v>60</v>
      </c>
      <c r="D719" s="22">
        <v>80</v>
      </c>
      <c r="E719" s="22" t="s">
        <v>165</v>
      </c>
      <c r="F719" s="22" t="s">
        <v>127</v>
      </c>
      <c r="G719" s="22" t="s">
        <v>128</v>
      </c>
      <c r="H719" s="22" t="s">
        <v>127</v>
      </c>
      <c r="I719" s="22" t="s">
        <v>65</v>
      </c>
      <c r="J719" s="22" t="s">
        <v>93</v>
      </c>
      <c r="K719" s="22" t="s">
        <v>93</v>
      </c>
      <c r="L719" s="22" t="s">
        <v>93</v>
      </c>
      <c r="M719" s="22">
        <v>1000</v>
      </c>
      <c r="N719" s="22">
        <v>115</v>
      </c>
    </row>
    <row r="720" spans="1:14" x14ac:dyDescent="0.25">
      <c r="E720" s="22" t="s">
        <v>166</v>
      </c>
      <c r="F720" s="22" t="s">
        <v>126</v>
      </c>
      <c r="G720" s="22">
        <v>0</v>
      </c>
      <c r="H720" s="22" t="s">
        <v>128</v>
      </c>
    </row>
    <row r="721" spans="1:14" x14ac:dyDescent="0.25">
      <c r="E721" s="22" t="s">
        <v>165</v>
      </c>
      <c r="F721" s="22" t="s">
        <v>78</v>
      </c>
      <c r="G721" s="22">
        <v>0</v>
      </c>
      <c r="H721" s="22">
        <v>0</v>
      </c>
    </row>
    <row r="722" spans="1:14" x14ac:dyDescent="0.25">
      <c r="E722" s="22" t="s">
        <v>166</v>
      </c>
      <c r="F722" s="22" t="s">
        <v>113</v>
      </c>
      <c r="G722" s="22" t="s">
        <v>92</v>
      </c>
      <c r="H722" s="22" t="s">
        <v>102</v>
      </c>
    </row>
    <row r="723" spans="1:14" x14ac:dyDescent="0.25">
      <c r="A723" s="22" t="s">
        <v>62</v>
      </c>
      <c r="B723" s="22" t="s">
        <v>117</v>
      </c>
      <c r="C723" s="22">
        <v>60</v>
      </c>
      <c r="D723" s="22">
        <v>80</v>
      </c>
      <c r="E723" s="22" t="s">
        <v>165</v>
      </c>
      <c r="F723" s="22" t="s">
        <v>127</v>
      </c>
      <c r="G723" s="22" t="s">
        <v>128</v>
      </c>
      <c r="H723" s="22" t="s">
        <v>127</v>
      </c>
      <c r="I723" s="22" t="s">
        <v>65</v>
      </c>
      <c r="J723" s="22" t="s">
        <v>93</v>
      </c>
      <c r="K723" s="22" t="s">
        <v>93</v>
      </c>
      <c r="L723" s="22" t="s">
        <v>93</v>
      </c>
      <c r="M723" s="22">
        <v>1000</v>
      </c>
      <c r="N723" s="22">
        <v>75</v>
      </c>
    </row>
    <row r="724" spans="1:14" x14ac:dyDescent="0.25">
      <c r="E724" s="22" t="s">
        <v>166</v>
      </c>
      <c r="F724" s="22" t="s">
        <v>128</v>
      </c>
      <c r="G724" s="22">
        <v>0</v>
      </c>
      <c r="H724" s="22" t="s">
        <v>128</v>
      </c>
    </row>
    <row r="725" spans="1:14" x14ac:dyDescent="0.25">
      <c r="E725" s="22" t="s">
        <v>165</v>
      </c>
      <c r="F725" s="22" t="s">
        <v>78</v>
      </c>
      <c r="G725" s="22">
        <v>0</v>
      </c>
      <c r="H725" s="22" t="s">
        <v>78</v>
      </c>
    </row>
    <row r="726" spans="1:14" x14ac:dyDescent="0.25">
      <c r="E726" s="22" t="s">
        <v>166</v>
      </c>
      <c r="F726" s="22" t="s">
        <v>113</v>
      </c>
      <c r="G726" s="22" t="s">
        <v>92</v>
      </c>
      <c r="H726" s="22" t="s">
        <v>113</v>
      </c>
    </row>
    <row r="727" spans="1:14" x14ac:dyDescent="0.25">
      <c r="A727" s="22" t="s">
        <v>62</v>
      </c>
      <c r="B727" s="22" t="s">
        <v>118</v>
      </c>
      <c r="C727" s="22">
        <v>60</v>
      </c>
      <c r="D727" s="22">
        <v>80</v>
      </c>
      <c r="E727" s="22" t="s">
        <v>165</v>
      </c>
      <c r="F727" s="22" t="s">
        <v>127</v>
      </c>
      <c r="G727" s="22" t="s">
        <v>128</v>
      </c>
      <c r="H727" s="22" t="s">
        <v>127</v>
      </c>
      <c r="I727" s="22" t="s">
        <v>65</v>
      </c>
      <c r="J727" s="22" t="s">
        <v>103</v>
      </c>
      <c r="K727" s="22" t="s">
        <v>103</v>
      </c>
      <c r="L727" s="22" t="s">
        <v>103</v>
      </c>
      <c r="M727" s="22">
        <v>695</v>
      </c>
      <c r="N727" s="22">
        <v>95</v>
      </c>
    </row>
    <row r="728" spans="1:14" x14ac:dyDescent="0.25">
      <c r="E728" s="22" t="s">
        <v>166</v>
      </c>
      <c r="F728" s="22" t="s">
        <v>128</v>
      </c>
      <c r="G728" s="22">
        <v>0</v>
      </c>
      <c r="H728" s="22" t="s">
        <v>124</v>
      </c>
    </row>
    <row r="729" spans="1:14" x14ac:dyDescent="0.25">
      <c r="E729" s="22" t="s">
        <v>165</v>
      </c>
      <c r="F729" s="22" t="s">
        <v>92</v>
      </c>
      <c r="G729" s="22">
        <v>0</v>
      </c>
      <c r="H729" s="22" t="s">
        <v>92</v>
      </c>
    </row>
    <row r="730" spans="1:14" x14ac:dyDescent="0.25">
      <c r="E730" s="22" t="s">
        <v>166</v>
      </c>
      <c r="F730" s="22" t="s">
        <v>102</v>
      </c>
      <c r="G730" s="22" t="s">
        <v>90</v>
      </c>
      <c r="H730" s="22" t="s">
        <v>102</v>
      </c>
    </row>
    <row r="731" spans="1:14" x14ac:dyDescent="0.25">
      <c r="A731" s="22" t="s">
        <v>63</v>
      </c>
      <c r="B731" s="22" t="s">
        <v>97</v>
      </c>
      <c r="C731" s="22">
        <v>60</v>
      </c>
      <c r="D731" s="22">
        <v>80</v>
      </c>
      <c r="E731" s="22" t="s">
        <v>165</v>
      </c>
      <c r="F731" s="22" t="s">
        <v>127</v>
      </c>
      <c r="G731" s="22" t="s">
        <v>128</v>
      </c>
      <c r="H731" s="22" t="s">
        <v>127</v>
      </c>
      <c r="I731" s="22" t="s">
        <v>65</v>
      </c>
      <c r="J731" s="22" t="s">
        <v>95</v>
      </c>
      <c r="K731" s="22" t="s">
        <v>95</v>
      </c>
      <c r="L731" s="22" t="s">
        <v>95</v>
      </c>
      <c r="M731" s="22">
        <v>685</v>
      </c>
      <c r="N731" s="22">
        <v>90</v>
      </c>
    </row>
    <row r="732" spans="1:14" x14ac:dyDescent="0.25">
      <c r="E732" s="22" t="s">
        <v>166</v>
      </c>
      <c r="F732" s="22" t="s">
        <v>128</v>
      </c>
      <c r="G732" s="22">
        <v>0</v>
      </c>
      <c r="H732" s="22" t="s">
        <v>126</v>
      </c>
    </row>
    <row r="733" spans="1:14" x14ac:dyDescent="0.25">
      <c r="E733" s="22" t="s">
        <v>165</v>
      </c>
      <c r="F733" s="22" t="s">
        <v>82</v>
      </c>
      <c r="G733" s="22">
        <v>0</v>
      </c>
      <c r="H733" s="22" t="s">
        <v>92</v>
      </c>
    </row>
    <row r="734" spans="1:14" x14ac:dyDescent="0.25">
      <c r="E734" s="22" t="s">
        <v>166</v>
      </c>
      <c r="F734" s="22" t="s">
        <v>102</v>
      </c>
      <c r="G734" s="22" t="s">
        <v>92</v>
      </c>
      <c r="H734" s="22" t="s">
        <v>102</v>
      </c>
    </row>
    <row r="735" spans="1:14" x14ac:dyDescent="0.25">
      <c r="A735" s="22" t="s">
        <v>63</v>
      </c>
      <c r="B735" s="22" t="s">
        <v>98</v>
      </c>
      <c r="C735" s="22">
        <v>60</v>
      </c>
      <c r="D735" s="22">
        <v>80</v>
      </c>
      <c r="E735" s="22" t="s">
        <v>165</v>
      </c>
      <c r="F735" s="22" t="s">
        <v>127</v>
      </c>
      <c r="G735" s="22" t="s">
        <v>127</v>
      </c>
      <c r="H735" s="22" t="s">
        <v>127</v>
      </c>
      <c r="I735" s="22" t="s">
        <v>65</v>
      </c>
      <c r="J735" s="22" t="s">
        <v>103</v>
      </c>
      <c r="K735" s="22" t="s">
        <v>103</v>
      </c>
      <c r="L735" s="22" t="s">
        <v>103</v>
      </c>
      <c r="M735" s="22">
        <v>525</v>
      </c>
      <c r="N735" s="22">
        <v>75</v>
      </c>
    </row>
    <row r="736" spans="1:14" x14ac:dyDescent="0.25">
      <c r="E736" s="22" t="s">
        <v>166</v>
      </c>
      <c r="F736" s="22" t="s">
        <v>126</v>
      </c>
      <c r="G736" s="22" t="s">
        <v>126</v>
      </c>
      <c r="H736" s="22" t="s">
        <v>125</v>
      </c>
    </row>
    <row r="737" spans="1:14" x14ac:dyDescent="0.25">
      <c r="E737" s="22" t="s">
        <v>165</v>
      </c>
      <c r="F737" s="22" t="s">
        <v>92</v>
      </c>
      <c r="G737" s="22" t="s">
        <v>82</v>
      </c>
      <c r="H737" s="22" t="s">
        <v>82</v>
      </c>
    </row>
    <row r="738" spans="1:14" x14ac:dyDescent="0.25">
      <c r="E738" s="22" t="s">
        <v>166</v>
      </c>
      <c r="F738" s="22" t="s">
        <v>102</v>
      </c>
      <c r="G738" s="22" t="s">
        <v>102</v>
      </c>
      <c r="H738" s="22" t="s">
        <v>102</v>
      </c>
    </row>
    <row r="739" spans="1:14" x14ac:dyDescent="0.25">
      <c r="A739" s="22" t="s">
        <v>63</v>
      </c>
      <c r="B739" s="22" t="s">
        <v>99</v>
      </c>
      <c r="C739" s="22">
        <v>60</v>
      </c>
      <c r="D739" s="22">
        <v>80</v>
      </c>
      <c r="E739" s="22" t="s">
        <v>165</v>
      </c>
      <c r="F739" s="22" t="s">
        <v>127</v>
      </c>
      <c r="G739" s="22" t="s">
        <v>128</v>
      </c>
      <c r="H739" s="22" t="s">
        <v>127</v>
      </c>
      <c r="I739" s="22" t="s">
        <v>65</v>
      </c>
      <c r="J739" s="22" t="s">
        <v>95</v>
      </c>
      <c r="K739" s="22" t="s">
        <v>95</v>
      </c>
      <c r="L739" s="22" t="s">
        <v>95</v>
      </c>
      <c r="M739" s="22">
        <v>695</v>
      </c>
      <c r="N739" s="22">
        <v>95</v>
      </c>
    </row>
    <row r="740" spans="1:14" x14ac:dyDescent="0.25">
      <c r="E740" s="22" t="s">
        <v>166</v>
      </c>
      <c r="F740" s="22" t="s">
        <v>125</v>
      </c>
      <c r="G740" s="22">
        <v>0</v>
      </c>
      <c r="H740" s="22" t="s">
        <v>128</v>
      </c>
    </row>
    <row r="741" spans="1:14" x14ac:dyDescent="0.25">
      <c r="E741" s="22" t="s">
        <v>165</v>
      </c>
      <c r="F741" s="22" t="s">
        <v>82</v>
      </c>
      <c r="G741" s="22">
        <v>0</v>
      </c>
      <c r="H741" s="22" t="s">
        <v>82</v>
      </c>
    </row>
    <row r="742" spans="1:14" x14ac:dyDescent="0.25">
      <c r="E742" s="22" t="s">
        <v>166</v>
      </c>
      <c r="F742" s="22" t="s">
        <v>102</v>
      </c>
      <c r="G742" s="22" t="s">
        <v>92</v>
      </c>
      <c r="H742" s="22" t="s">
        <v>102</v>
      </c>
    </row>
    <row r="743" spans="1:14" x14ac:dyDescent="0.25">
      <c r="A743" s="22" t="s">
        <v>63</v>
      </c>
      <c r="B743" s="22" t="s">
        <v>100</v>
      </c>
      <c r="C743" s="22">
        <v>60</v>
      </c>
      <c r="D743" s="22">
        <v>80</v>
      </c>
      <c r="E743" s="22" t="s">
        <v>165</v>
      </c>
      <c r="F743" s="22" t="s">
        <v>127</v>
      </c>
      <c r="G743" s="22" t="s">
        <v>128</v>
      </c>
      <c r="H743" s="22" t="s">
        <v>127</v>
      </c>
      <c r="I743" s="22" t="s">
        <v>65</v>
      </c>
      <c r="J743" s="22" t="s">
        <v>103</v>
      </c>
      <c r="K743" s="22" t="s">
        <v>103</v>
      </c>
      <c r="L743" s="22" t="s">
        <v>103</v>
      </c>
      <c r="M743" s="22">
        <v>620</v>
      </c>
      <c r="N743" s="22">
        <v>85</v>
      </c>
    </row>
    <row r="744" spans="1:14" x14ac:dyDescent="0.25">
      <c r="E744" s="22" t="s">
        <v>166</v>
      </c>
      <c r="F744" s="22" t="s">
        <v>128</v>
      </c>
      <c r="G744" s="22">
        <v>0</v>
      </c>
      <c r="H744" s="22" t="s">
        <v>125</v>
      </c>
    </row>
    <row r="745" spans="1:14" x14ac:dyDescent="0.25">
      <c r="E745" s="22" t="s">
        <v>165</v>
      </c>
      <c r="F745" s="22" t="s">
        <v>82</v>
      </c>
      <c r="G745" s="22">
        <v>0</v>
      </c>
      <c r="H745" s="22" t="s">
        <v>92</v>
      </c>
    </row>
    <row r="746" spans="1:14" x14ac:dyDescent="0.25">
      <c r="E746" s="22" t="s">
        <v>166</v>
      </c>
      <c r="F746" s="22" t="s">
        <v>102</v>
      </c>
      <c r="G746" s="22" t="s">
        <v>92</v>
      </c>
      <c r="H746" s="22" t="s">
        <v>102</v>
      </c>
    </row>
    <row r="747" spans="1:14" x14ac:dyDescent="0.25">
      <c r="A747" s="22" t="s">
        <v>63</v>
      </c>
      <c r="B747" s="22" t="s">
        <v>80</v>
      </c>
      <c r="C747" s="22">
        <v>60</v>
      </c>
      <c r="D747" s="22">
        <v>80</v>
      </c>
      <c r="E747" s="22" t="s">
        <v>165</v>
      </c>
      <c r="F747" s="22" t="s">
        <v>127</v>
      </c>
      <c r="G747" s="22" t="s">
        <v>128</v>
      </c>
      <c r="H747" s="22" t="s">
        <v>127</v>
      </c>
      <c r="I747" s="22" t="s">
        <v>7</v>
      </c>
      <c r="J747" s="22" t="s">
        <v>103</v>
      </c>
      <c r="K747" s="22" t="s">
        <v>103</v>
      </c>
      <c r="L747" s="22" t="s">
        <v>103</v>
      </c>
      <c r="M747" s="22">
        <v>620</v>
      </c>
      <c r="N747" s="22">
        <v>130</v>
      </c>
    </row>
    <row r="748" spans="1:14" x14ac:dyDescent="0.25">
      <c r="E748" s="22" t="s">
        <v>166</v>
      </c>
      <c r="F748" s="22" t="s">
        <v>128</v>
      </c>
      <c r="G748" s="22">
        <v>0</v>
      </c>
      <c r="H748" s="22" t="s">
        <v>126</v>
      </c>
    </row>
    <row r="749" spans="1:14" x14ac:dyDescent="0.25">
      <c r="E749" s="22" t="s">
        <v>165</v>
      </c>
      <c r="F749" s="22" t="s">
        <v>83</v>
      </c>
      <c r="G749" s="22">
        <v>0</v>
      </c>
      <c r="H749" s="22" t="s">
        <v>92</v>
      </c>
    </row>
    <row r="750" spans="1:14" x14ac:dyDescent="0.25">
      <c r="E750" s="22" t="s">
        <v>166</v>
      </c>
      <c r="F750" s="22" t="s">
        <v>102</v>
      </c>
      <c r="G750" s="22" t="s">
        <v>82</v>
      </c>
      <c r="H750" s="22" t="s">
        <v>102</v>
      </c>
    </row>
    <row r="751" spans="1:14" x14ac:dyDescent="0.25">
      <c r="A751" s="22" t="s">
        <v>63</v>
      </c>
      <c r="B751" s="22" t="s">
        <v>104</v>
      </c>
      <c r="C751" s="22">
        <v>60</v>
      </c>
      <c r="D751" s="22">
        <v>80</v>
      </c>
      <c r="E751" s="22" t="s">
        <v>165</v>
      </c>
      <c r="F751" s="22" t="s">
        <v>127</v>
      </c>
      <c r="G751" s="22" t="s">
        <v>128</v>
      </c>
      <c r="H751" s="22" t="s">
        <v>127</v>
      </c>
      <c r="I751" s="22" t="s">
        <v>65</v>
      </c>
      <c r="J751" s="22" t="s">
        <v>103</v>
      </c>
      <c r="K751" s="22" t="s">
        <v>103</v>
      </c>
      <c r="L751" s="22" t="s">
        <v>103</v>
      </c>
      <c r="M751" s="22">
        <v>620</v>
      </c>
      <c r="N751" s="22">
        <v>75</v>
      </c>
    </row>
    <row r="752" spans="1:14" x14ac:dyDescent="0.25">
      <c r="E752" s="22" t="s">
        <v>166</v>
      </c>
      <c r="F752" s="22" t="s">
        <v>124</v>
      </c>
      <c r="G752" s="22">
        <v>0</v>
      </c>
      <c r="H752" s="22" t="s">
        <v>128</v>
      </c>
    </row>
    <row r="753" spans="1:14" x14ac:dyDescent="0.25">
      <c r="E753" s="22" t="s">
        <v>165</v>
      </c>
      <c r="F753" s="22" t="s">
        <v>113</v>
      </c>
      <c r="G753" s="22">
        <v>0</v>
      </c>
      <c r="H753" s="22" t="s">
        <v>113</v>
      </c>
    </row>
    <row r="754" spans="1:14" x14ac:dyDescent="0.25">
      <c r="E754" s="22" t="s">
        <v>166</v>
      </c>
      <c r="F754" s="22" t="s">
        <v>102</v>
      </c>
      <c r="G754" s="22" t="s">
        <v>92</v>
      </c>
      <c r="H754" s="22" t="s">
        <v>102</v>
      </c>
    </row>
    <row r="755" spans="1:14" x14ac:dyDescent="0.25">
      <c r="A755" s="22" t="s">
        <v>63</v>
      </c>
      <c r="B755" s="22" t="s">
        <v>120</v>
      </c>
      <c r="C755" s="22">
        <v>50</v>
      </c>
      <c r="D755" s="22">
        <v>80</v>
      </c>
      <c r="E755" s="22" t="s">
        <v>165</v>
      </c>
      <c r="F755" s="22" t="s">
        <v>124</v>
      </c>
      <c r="G755" s="22" t="s">
        <v>125</v>
      </c>
      <c r="H755" s="22" t="s">
        <v>124</v>
      </c>
      <c r="I755" s="22" t="s">
        <v>7</v>
      </c>
      <c r="J755" s="22" t="s">
        <v>95</v>
      </c>
      <c r="K755" s="22" t="s">
        <v>95</v>
      </c>
      <c r="L755" s="22" t="s">
        <v>95</v>
      </c>
      <c r="M755" s="22">
        <v>685</v>
      </c>
      <c r="N755" s="22">
        <v>85</v>
      </c>
    </row>
    <row r="756" spans="1:14" x14ac:dyDescent="0.25">
      <c r="E756" s="22" t="s">
        <v>166</v>
      </c>
      <c r="F756" s="22" t="s">
        <v>128</v>
      </c>
      <c r="G756" s="22">
        <v>0</v>
      </c>
      <c r="H756" s="22" t="s">
        <v>126</v>
      </c>
    </row>
    <row r="757" spans="1:14" x14ac:dyDescent="0.25">
      <c r="E757" s="22" t="s">
        <v>165</v>
      </c>
      <c r="F757" s="22" t="s">
        <v>83</v>
      </c>
      <c r="G757" s="22">
        <v>0</v>
      </c>
      <c r="H757" s="22" t="s">
        <v>92</v>
      </c>
    </row>
    <row r="758" spans="1:14" x14ac:dyDescent="0.25">
      <c r="E758" s="22" t="s">
        <v>166</v>
      </c>
      <c r="F758" s="22" t="s">
        <v>90</v>
      </c>
      <c r="G758" s="22" t="s">
        <v>82</v>
      </c>
      <c r="H758" s="22" t="s">
        <v>90</v>
      </c>
    </row>
    <row r="759" spans="1:14" x14ac:dyDescent="0.25">
      <c r="A759" s="22" t="s">
        <v>63</v>
      </c>
      <c r="B759" s="22" t="s">
        <v>106</v>
      </c>
      <c r="C759" s="22">
        <v>60</v>
      </c>
      <c r="D759" s="22">
        <v>80</v>
      </c>
      <c r="E759" s="22" t="s">
        <v>165</v>
      </c>
      <c r="F759" s="22" t="s">
        <v>124</v>
      </c>
      <c r="G759" s="22" t="s">
        <v>125</v>
      </c>
      <c r="H759" s="22" t="s">
        <v>127</v>
      </c>
      <c r="I759" s="22" t="s">
        <v>7</v>
      </c>
      <c r="J759" s="22" t="s">
        <v>91</v>
      </c>
      <c r="K759" s="22" t="s">
        <v>91</v>
      </c>
      <c r="L759" s="22" t="s">
        <v>91</v>
      </c>
      <c r="M759" s="22">
        <v>1220</v>
      </c>
      <c r="N759" s="22">
        <v>95</v>
      </c>
    </row>
    <row r="760" spans="1:14" x14ac:dyDescent="0.25">
      <c r="E760" s="22" t="s">
        <v>166</v>
      </c>
      <c r="F760" s="22" t="s">
        <v>126</v>
      </c>
      <c r="G760" s="22">
        <v>0</v>
      </c>
      <c r="H760" s="22" t="s">
        <v>126</v>
      </c>
    </row>
    <row r="761" spans="1:14" x14ac:dyDescent="0.25">
      <c r="E761" s="22" t="s">
        <v>165</v>
      </c>
      <c r="F761" s="22">
        <v>0</v>
      </c>
      <c r="G761" s="22">
        <v>0</v>
      </c>
      <c r="H761" s="22">
        <v>0</v>
      </c>
    </row>
    <row r="762" spans="1:14" x14ac:dyDescent="0.25">
      <c r="E762" s="22" t="s">
        <v>166</v>
      </c>
      <c r="F762" s="22" t="s">
        <v>90</v>
      </c>
      <c r="G762" s="22" t="s">
        <v>82</v>
      </c>
      <c r="H762" s="22" t="s">
        <v>90</v>
      </c>
    </row>
    <row r="763" spans="1:14" x14ac:dyDescent="0.25">
      <c r="A763" s="22" t="s">
        <v>63</v>
      </c>
      <c r="B763" s="22" t="s">
        <v>107</v>
      </c>
      <c r="C763" s="22">
        <v>60</v>
      </c>
      <c r="D763" s="22">
        <v>80</v>
      </c>
      <c r="E763" s="22" t="s">
        <v>165</v>
      </c>
      <c r="F763" s="22" t="s">
        <v>127</v>
      </c>
      <c r="G763" s="22" t="s">
        <v>127</v>
      </c>
      <c r="H763" s="22" t="s">
        <v>127</v>
      </c>
      <c r="I763" s="22" t="s">
        <v>65</v>
      </c>
      <c r="J763" s="22" t="s">
        <v>103</v>
      </c>
      <c r="K763" s="22" t="s">
        <v>103</v>
      </c>
      <c r="L763" s="22" t="s">
        <v>103</v>
      </c>
      <c r="M763" s="22">
        <v>540</v>
      </c>
      <c r="N763" s="22">
        <v>85</v>
      </c>
    </row>
    <row r="764" spans="1:14" x14ac:dyDescent="0.25">
      <c r="E764" s="22" t="s">
        <v>166</v>
      </c>
      <c r="F764" s="22" t="s">
        <v>125</v>
      </c>
      <c r="G764" s="22" t="s">
        <v>125</v>
      </c>
      <c r="H764" s="22" t="s">
        <v>128</v>
      </c>
    </row>
    <row r="765" spans="1:14" x14ac:dyDescent="0.25">
      <c r="E765" s="22" t="s">
        <v>165</v>
      </c>
      <c r="F765" s="22" t="s">
        <v>92</v>
      </c>
      <c r="G765" s="22" t="s">
        <v>92</v>
      </c>
      <c r="H765" s="22" t="s">
        <v>92</v>
      </c>
    </row>
    <row r="766" spans="1:14" x14ac:dyDescent="0.25">
      <c r="E766" s="22" t="s">
        <v>166</v>
      </c>
      <c r="F766" s="22" t="s">
        <v>102</v>
      </c>
      <c r="G766" s="22" t="s">
        <v>102</v>
      </c>
      <c r="H766" s="22" t="s">
        <v>102</v>
      </c>
    </row>
    <row r="767" spans="1:14" x14ac:dyDescent="0.25">
      <c r="A767" s="22" t="s">
        <v>63</v>
      </c>
      <c r="B767" s="22" t="s">
        <v>86</v>
      </c>
      <c r="C767" s="22">
        <v>60</v>
      </c>
      <c r="D767" s="22">
        <v>80</v>
      </c>
      <c r="E767" s="22" t="s">
        <v>165</v>
      </c>
      <c r="F767" s="22" t="s">
        <v>127</v>
      </c>
      <c r="G767" s="22" t="s">
        <v>127</v>
      </c>
      <c r="H767" s="22" t="s">
        <v>127</v>
      </c>
      <c r="I767" s="22" t="s">
        <v>7</v>
      </c>
      <c r="J767" s="22" t="s">
        <v>103</v>
      </c>
      <c r="K767" s="22" t="s">
        <v>103</v>
      </c>
      <c r="L767" s="22" t="s">
        <v>103</v>
      </c>
      <c r="M767" s="22">
        <v>540</v>
      </c>
      <c r="N767" s="22">
        <v>95</v>
      </c>
    </row>
    <row r="768" spans="1:14" x14ac:dyDescent="0.25">
      <c r="E768" s="22" t="s">
        <v>166</v>
      </c>
      <c r="F768" s="22" t="s">
        <v>126</v>
      </c>
      <c r="G768" s="22" t="s">
        <v>126</v>
      </c>
      <c r="H768" s="22" t="s">
        <v>125</v>
      </c>
    </row>
    <row r="769" spans="1:14" x14ac:dyDescent="0.25">
      <c r="E769" s="22" t="s">
        <v>165</v>
      </c>
      <c r="F769" s="22" t="s">
        <v>92</v>
      </c>
      <c r="G769" s="22" t="s">
        <v>83</v>
      </c>
      <c r="H769" s="22" t="s">
        <v>83</v>
      </c>
    </row>
    <row r="770" spans="1:14" x14ac:dyDescent="0.25">
      <c r="E770" s="22" t="s">
        <v>166</v>
      </c>
      <c r="F770" s="22" t="s">
        <v>102</v>
      </c>
      <c r="G770" s="22" t="s">
        <v>102</v>
      </c>
      <c r="H770" s="22" t="s">
        <v>102</v>
      </c>
    </row>
    <row r="771" spans="1:14" x14ac:dyDescent="0.25">
      <c r="A771" s="22" t="s">
        <v>63</v>
      </c>
      <c r="B771" s="22" t="s">
        <v>121</v>
      </c>
      <c r="C771" s="22">
        <v>60</v>
      </c>
      <c r="D771" s="22">
        <v>80</v>
      </c>
      <c r="E771" s="22" t="s">
        <v>165</v>
      </c>
      <c r="F771" s="22" t="s">
        <v>127</v>
      </c>
      <c r="G771" s="22" t="s">
        <v>125</v>
      </c>
      <c r="H771" s="22" t="s">
        <v>127</v>
      </c>
      <c r="I771" s="22" t="s">
        <v>7</v>
      </c>
      <c r="J771" s="22" t="s">
        <v>91</v>
      </c>
      <c r="K771" s="22" t="s">
        <v>91</v>
      </c>
      <c r="L771" s="22" t="s">
        <v>91</v>
      </c>
      <c r="M771" s="22">
        <v>1160</v>
      </c>
      <c r="N771" s="22">
        <v>115</v>
      </c>
    </row>
    <row r="772" spans="1:14" x14ac:dyDescent="0.25">
      <c r="E772" s="22" t="s">
        <v>166</v>
      </c>
      <c r="F772" s="22" t="s">
        <v>126</v>
      </c>
      <c r="G772" s="22">
        <v>0</v>
      </c>
      <c r="H772" s="22" t="s">
        <v>125</v>
      </c>
    </row>
    <row r="773" spans="1:14" x14ac:dyDescent="0.25">
      <c r="E773" s="22" t="s">
        <v>165</v>
      </c>
      <c r="F773" s="22">
        <v>0</v>
      </c>
      <c r="G773" s="22">
        <v>0</v>
      </c>
      <c r="H773" s="22">
        <v>0</v>
      </c>
    </row>
    <row r="774" spans="1:14" x14ac:dyDescent="0.25">
      <c r="E774" s="22" t="s">
        <v>166</v>
      </c>
      <c r="F774" s="22" t="s">
        <v>90</v>
      </c>
      <c r="G774" s="22" t="s">
        <v>82</v>
      </c>
      <c r="H774" s="22" t="s">
        <v>113</v>
      </c>
    </row>
    <row r="775" spans="1:14" x14ac:dyDescent="0.25">
      <c r="A775" s="22" t="s">
        <v>63</v>
      </c>
      <c r="B775" s="22" t="s">
        <v>111</v>
      </c>
      <c r="C775" s="22">
        <v>60</v>
      </c>
      <c r="D775" s="22">
        <v>80</v>
      </c>
      <c r="E775" s="22" t="s">
        <v>165</v>
      </c>
      <c r="F775" s="22" t="s">
        <v>127</v>
      </c>
      <c r="G775" s="22" t="s">
        <v>127</v>
      </c>
      <c r="H775" s="22" t="s">
        <v>127</v>
      </c>
      <c r="I775" s="22" t="s">
        <v>65</v>
      </c>
      <c r="J775" s="22" t="s">
        <v>103</v>
      </c>
      <c r="K775" s="22" t="s">
        <v>103</v>
      </c>
      <c r="L775" s="22" t="s">
        <v>103</v>
      </c>
      <c r="M775" s="22">
        <v>540</v>
      </c>
      <c r="N775" s="22">
        <v>75</v>
      </c>
    </row>
    <row r="776" spans="1:14" x14ac:dyDescent="0.25">
      <c r="E776" s="22" t="s">
        <v>166</v>
      </c>
      <c r="F776" s="22" t="s">
        <v>128</v>
      </c>
      <c r="G776" s="22" t="s">
        <v>125</v>
      </c>
      <c r="H776" s="22" t="s">
        <v>125</v>
      </c>
    </row>
    <row r="777" spans="1:14" x14ac:dyDescent="0.25">
      <c r="E777" s="22" t="s">
        <v>165</v>
      </c>
      <c r="F777" s="22" t="s">
        <v>92</v>
      </c>
      <c r="G777" s="22" t="s">
        <v>92</v>
      </c>
      <c r="H777" s="22" t="s">
        <v>92</v>
      </c>
    </row>
    <row r="778" spans="1:14" x14ac:dyDescent="0.25">
      <c r="E778" s="22" t="s">
        <v>166</v>
      </c>
      <c r="F778" s="22" t="s">
        <v>102</v>
      </c>
      <c r="G778" s="22" t="s">
        <v>102</v>
      </c>
      <c r="H778" s="22" t="s">
        <v>102</v>
      </c>
    </row>
    <row r="779" spans="1:14" x14ac:dyDescent="0.25">
      <c r="A779" s="22" t="s">
        <v>63</v>
      </c>
      <c r="B779" s="22" t="s">
        <v>112</v>
      </c>
      <c r="C779" s="22">
        <v>60</v>
      </c>
      <c r="D779" s="22">
        <v>80</v>
      </c>
      <c r="E779" s="22" t="s">
        <v>165</v>
      </c>
      <c r="F779" s="22" t="s">
        <v>127</v>
      </c>
      <c r="G779" s="22" t="s">
        <v>128</v>
      </c>
      <c r="H779" s="22" t="s">
        <v>127</v>
      </c>
      <c r="I779" s="22" t="s">
        <v>65</v>
      </c>
      <c r="J779" s="22" t="s">
        <v>95</v>
      </c>
      <c r="K779" s="22" t="s">
        <v>95</v>
      </c>
      <c r="L779" s="22" t="s">
        <v>95</v>
      </c>
      <c r="M779" s="22">
        <v>685</v>
      </c>
      <c r="N779" s="22">
        <v>90</v>
      </c>
    </row>
    <row r="780" spans="1:14" x14ac:dyDescent="0.25">
      <c r="E780" s="22" t="s">
        <v>166</v>
      </c>
      <c r="F780" s="22" t="s">
        <v>124</v>
      </c>
      <c r="G780" s="22">
        <v>0</v>
      </c>
      <c r="H780" s="22" t="s">
        <v>125</v>
      </c>
    </row>
    <row r="781" spans="1:14" x14ac:dyDescent="0.25">
      <c r="E781" s="22" t="s">
        <v>165</v>
      </c>
      <c r="F781" s="22" t="s">
        <v>90</v>
      </c>
      <c r="G781" s="22">
        <v>0</v>
      </c>
      <c r="H781" s="22" t="s">
        <v>113</v>
      </c>
    </row>
    <row r="782" spans="1:14" x14ac:dyDescent="0.25">
      <c r="E782" s="22" t="s">
        <v>166</v>
      </c>
      <c r="F782" s="22" t="s">
        <v>102</v>
      </c>
      <c r="G782" s="22" t="s">
        <v>92</v>
      </c>
      <c r="H782" s="22" t="s">
        <v>102</v>
      </c>
    </row>
    <row r="783" spans="1:14" x14ac:dyDescent="0.25">
      <c r="A783" s="22" t="s">
        <v>63</v>
      </c>
      <c r="B783" s="22" t="s">
        <v>114</v>
      </c>
      <c r="C783" s="22">
        <v>60</v>
      </c>
      <c r="D783" s="22">
        <v>80</v>
      </c>
      <c r="E783" s="22" t="s">
        <v>165</v>
      </c>
      <c r="F783" s="22" t="s">
        <v>127</v>
      </c>
      <c r="G783" s="22" t="s">
        <v>127</v>
      </c>
      <c r="H783" s="22" t="s">
        <v>127</v>
      </c>
      <c r="I783" s="22" t="s">
        <v>65</v>
      </c>
      <c r="J783" s="22" t="s">
        <v>103</v>
      </c>
      <c r="K783" s="22" t="s">
        <v>103</v>
      </c>
      <c r="L783" s="22" t="s">
        <v>103</v>
      </c>
      <c r="M783" s="22">
        <v>525</v>
      </c>
      <c r="N783" s="22">
        <v>85</v>
      </c>
    </row>
    <row r="784" spans="1:14" x14ac:dyDescent="0.25">
      <c r="E784" s="22" t="s">
        <v>166</v>
      </c>
      <c r="F784" s="22" t="s">
        <v>125</v>
      </c>
      <c r="G784" s="22" t="s">
        <v>126</v>
      </c>
      <c r="H784" s="22" t="s">
        <v>126</v>
      </c>
    </row>
    <row r="785" spans="1:14" x14ac:dyDescent="0.25">
      <c r="E785" s="22" t="s">
        <v>165</v>
      </c>
      <c r="F785" s="22" t="s">
        <v>82</v>
      </c>
      <c r="G785" s="22" t="s">
        <v>82</v>
      </c>
      <c r="H785" s="22" t="s">
        <v>90</v>
      </c>
    </row>
    <row r="786" spans="1:14" x14ac:dyDescent="0.25">
      <c r="E786" s="22" t="s">
        <v>166</v>
      </c>
      <c r="F786" s="22" t="s">
        <v>102</v>
      </c>
      <c r="G786" s="22" t="s">
        <v>102</v>
      </c>
      <c r="H786" s="22" t="s">
        <v>102</v>
      </c>
    </row>
    <row r="787" spans="1:14" x14ac:dyDescent="0.25">
      <c r="A787" s="22" t="s">
        <v>63</v>
      </c>
      <c r="B787" s="22" t="s">
        <v>115</v>
      </c>
      <c r="C787" s="22">
        <v>60</v>
      </c>
      <c r="D787" s="22">
        <v>80</v>
      </c>
      <c r="E787" s="22" t="s">
        <v>165</v>
      </c>
      <c r="F787" s="22" t="s">
        <v>127</v>
      </c>
      <c r="G787" s="22" t="s">
        <v>128</v>
      </c>
      <c r="H787" s="22" t="s">
        <v>127</v>
      </c>
      <c r="I787" s="22" t="s">
        <v>7</v>
      </c>
      <c r="J787" s="22" t="s">
        <v>103</v>
      </c>
      <c r="K787" s="22" t="s">
        <v>103</v>
      </c>
      <c r="L787" s="22" t="s">
        <v>103</v>
      </c>
      <c r="M787" s="22">
        <v>695</v>
      </c>
      <c r="N787" s="22">
        <v>95</v>
      </c>
    </row>
    <row r="788" spans="1:14" x14ac:dyDescent="0.25">
      <c r="E788" s="22" t="s">
        <v>166</v>
      </c>
      <c r="F788" s="22" t="s">
        <v>128</v>
      </c>
      <c r="G788" s="22">
        <v>0</v>
      </c>
      <c r="H788" s="22" t="s">
        <v>124</v>
      </c>
    </row>
    <row r="789" spans="1:14" x14ac:dyDescent="0.25">
      <c r="E789" s="22" t="s">
        <v>165</v>
      </c>
      <c r="F789" s="22" t="s">
        <v>90</v>
      </c>
      <c r="G789" s="22">
        <v>0</v>
      </c>
      <c r="H789" s="22" t="s">
        <v>82</v>
      </c>
    </row>
    <row r="790" spans="1:14" x14ac:dyDescent="0.25">
      <c r="E790" s="22" t="s">
        <v>166</v>
      </c>
      <c r="F790" s="22" t="s">
        <v>102</v>
      </c>
      <c r="G790" s="22" t="s">
        <v>92</v>
      </c>
      <c r="H790" s="22" t="s">
        <v>102</v>
      </c>
    </row>
    <row r="791" spans="1:14" x14ac:dyDescent="0.25">
      <c r="A791" s="22" t="s">
        <v>63</v>
      </c>
      <c r="B791" s="22" t="s">
        <v>116</v>
      </c>
      <c r="C791" s="22">
        <v>60</v>
      </c>
      <c r="D791" s="22">
        <v>80</v>
      </c>
      <c r="E791" s="22" t="s">
        <v>165</v>
      </c>
      <c r="F791" s="22" t="s">
        <v>127</v>
      </c>
      <c r="G791" s="22" t="s">
        <v>128</v>
      </c>
      <c r="H791" s="22" t="s">
        <v>127</v>
      </c>
      <c r="I791" s="22" t="s">
        <v>65</v>
      </c>
      <c r="J791" s="22" t="s">
        <v>93</v>
      </c>
      <c r="K791" s="22" t="s">
        <v>93</v>
      </c>
      <c r="L791" s="22" t="s">
        <v>93</v>
      </c>
      <c r="M791" s="22">
        <v>1000</v>
      </c>
      <c r="N791" s="22">
        <v>115</v>
      </c>
    </row>
    <row r="792" spans="1:14" x14ac:dyDescent="0.25">
      <c r="E792" s="22" t="s">
        <v>166</v>
      </c>
      <c r="F792" s="22" t="s">
        <v>125</v>
      </c>
      <c r="G792" s="22">
        <v>0</v>
      </c>
      <c r="H792" s="22" t="s">
        <v>128</v>
      </c>
    </row>
    <row r="793" spans="1:14" x14ac:dyDescent="0.25">
      <c r="E793" s="22" t="s">
        <v>165</v>
      </c>
      <c r="F793" s="22" t="s">
        <v>78</v>
      </c>
      <c r="G793" s="22">
        <v>0</v>
      </c>
      <c r="H793" s="22">
        <v>0</v>
      </c>
    </row>
    <row r="794" spans="1:14" x14ac:dyDescent="0.25">
      <c r="E794" s="22" t="s">
        <v>166</v>
      </c>
      <c r="F794" s="22" t="s">
        <v>113</v>
      </c>
      <c r="G794" s="22" t="s">
        <v>92</v>
      </c>
      <c r="H794" s="22" t="s">
        <v>102</v>
      </c>
    </row>
    <row r="795" spans="1:14" x14ac:dyDescent="0.25">
      <c r="A795" s="22" t="s">
        <v>63</v>
      </c>
      <c r="B795" s="22" t="s">
        <v>117</v>
      </c>
      <c r="C795" s="22">
        <v>60</v>
      </c>
      <c r="D795" s="22">
        <v>80</v>
      </c>
      <c r="E795" s="22" t="s">
        <v>165</v>
      </c>
      <c r="F795" s="22" t="s">
        <v>127</v>
      </c>
      <c r="G795" s="22" t="s">
        <v>128</v>
      </c>
      <c r="H795" s="22" t="s">
        <v>127</v>
      </c>
      <c r="I795" s="22" t="s">
        <v>65</v>
      </c>
      <c r="J795" s="22" t="s">
        <v>93</v>
      </c>
      <c r="K795" s="22" t="s">
        <v>93</v>
      </c>
      <c r="L795" s="22" t="s">
        <v>93</v>
      </c>
      <c r="M795" s="22">
        <v>1000</v>
      </c>
      <c r="N795" s="22">
        <v>75</v>
      </c>
    </row>
    <row r="796" spans="1:14" x14ac:dyDescent="0.25">
      <c r="E796" s="22" t="s">
        <v>166</v>
      </c>
      <c r="F796" s="22" t="s">
        <v>125</v>
      </c>
      <c r="G796" s="22">
        <v>0</v>
      </c>
      <c r="H796" s="22" t="s">
        <v>128</v>
      </c>
    </row>
    <row r="797" spans="1:14" x14ac:dyDescent="0.25">
      <c r="E797" s="22" t="s">
        <v>165</v>
      </c>
      <c r="F797" s="22" t="s">
        <v>78</v>
      </c>
      <c r="G797" s="22">
        <v>0</v>
      </c>
      <c r="H797" s="22" t="s">
        <v>78</v>
      </c>
    </row>
    <row r="798" spans="1:14" x14ac:dyDescent="0.25">
      <c r="E798" s="22" t="s">
        <v>166</v>
      </c>
      <c r="F798" s="22" t="s">
        <v>113</v>
      </c>
      <c r="G798" s="22" t="s">
        <v>92</v>
      </c>
      <c r="H798" s="22" t="s">
        <v>113</v>
      </c>
    </row>
    <row r="799" spans="1:14" x14ac:dyDescent="0.25">
      <c r="A799" s="22" t="s">
        <v>63</v>
      </c>
      <c r="B799" s="22" t="s">
        <v>118</v>
      </c>
      <c r="C799" s="22">
        <v>60</v>
      </c>
      <c r="D799" s="22">
        <v>80</v>
      </c>
      <c r="E799" s="22" t="s">
        <v>165</v>
      </c>
      <c r="F799" s="22" t="s">
        <v>127</v>
      </c>
      <c r="G799" s="22" t="s">
        <v>128</v>
      </c>
      <c r="H799" s="22" t="s">
        <v>127</v>
      </c>
      <c r="I799" s="22" t="s">
        <v>65</v>
      </c>
      <c r="J799" s="22" t="s">
        <v>103</v>
      </c>
      <c r="K799" s="22" t="s">
        <v>103</v>
      </c>
      <c r="L799" s="22" t="s">
        <v>103</v>
      </c>
      <c r="M799" s="22">
        <v>695</v>
      </c>
      <c r="N799" s="22">
        <v>95</v>
      </c>
    </row>
    <row r="800" spans="1:14" x14ac:dyDescent="0.25">
      <c r="E800" s="22" t="s">
        <v>166</v>
      </c>
      <c r="F800" s="22" t="s">
        <v>124</v>
      </c>
      <c r="G800" s="22">
        <v>0</v>
      </c>
      <c r="H800" s="22" t="s">
        <v>124</v>
      </c>
    </row>
    <row r="801" spans="1:14" x14ac:dyDescent="0.25">
      <c r="E801" s="22" t="s">
        <v>165</v>
      </c>
      <c r="F801" s="22" t="s">
        <v>90</v>
      </c>
      <c r="G801" s="22">
        <v>0</v>
      </c>
      <c r="H801" s="22" t="s">
        <v>90</v>
      </c>
    </row>
    <row r="802" spans="1:14" x14ac:dyDescent="0.25">
      <c r="E802" s="22" t="s">
        <v>166</v>
      </c>
      <c r="F802" s="22" t="s">
        <v>102</v>
      </c>
      <c r="G802" s="22" t="s">
        <v>90</v>
      </c>
      <c r="H802" s="22" t="s">
        <v>102</v>
      </c>
    </row>
    <row r="803" spans="1:14" x14ac:dyDescent="0.25">
      <c r="A803" s="22" t="s">
        <v>64</v>
      </c>
      <c r="B803" s="22" t="s">
        <v>97</v>
      </c>
      <c r="C803" s="22">
        <v>60</v>
      </c>
      <c r="D803" s="22">
        <v>80</v>
      </c>
      <c r="E803" s="22" t="s">
        <v>165</v>
      </c>
      <c r="F803" s="22" t="s">
        <v>127</v>
      </c>
      <c r="G803" s="22" t="s">
        <v>128</v>
      </c>
      <c r="H803" s="22" t="s">
        <v>127</v>
      </c>
      <c r="I803" s="22" t="s">
        <v>65</v>
      </c>
      <c r="J803" s="22" t="s">
        <v>95</v>
      </c>
      <c r="K803" s="22" t="s">
        <v>95</v>
      </c>
      <c r="L803" s="22" t="s">
        <v>95</v>
      </c>
      <c r="M803" s="22">
        <v>685</v>
      </c>
      <c r="N803" s="22">
        <v>90</v>
      </c>
    </row>
    <row r="804" spans="1:14" x14ac:dyDescent="0.25">
      <c r="E804" s="22" t="s">
        <v>166</v>
      </c>
      <c r="F804" s="22" t="s">
        <v>128</v>
      </c>
      <c r="G804" s="22">
        <v>0</v>
      </c>
      <c r="H804" s="22" t="s">
        <v>125</v>
      </c>
    </row>
    <row r="805" spans="1:14" x14ac:dyDescent="0.25">
      <c r="E805" s="22" t="s">
        <v>165</v>
      </c>
      <c r="F805" s="22" t="s">
        <v>92</v>
      </c>
      <c r="G805" s="22">
        <v>0</v>
      </c>
      <c r="H805" s="22" t="s">
        <v>90</v>
      </c>
    </row>
    <row r="806" spans="1:14" x14ac:dyDescent="0.25">
      <c r="E806" s="22" t="s">
        <v>166</v>
      </c>
      <c r="F806" s="22" t="s">
        <v>102</v>
      </c>
      <c r="G806" s="22" t="s">
        <v>92</v>
      </c>
      <c r="H806" s="22" t="s">
        <v>102</v>
      </c>
    </row>
    <row r="807" spans="1:14" x14ac:dyDescent="0.25">
      <c r="A807" s="22" t="s">
        <v>64</v>
      </c>
      <c r="B807" s="22" t="s">
        <v>98</v>
      </c>
      <c r="C807" s="22">
        <v>60</v>
      </c>
      <c r="D807" s="22">
        <v>80</v>
      </c>
      <c r="E807" s="22" t="s">
        <v>165</v>
      </c>
      <c r="F807" s="22" t="s">
        <v>127</v>
      </c>
      <c r="G807" s="22" t="s">
        <v>128</v>
      </c>
      <c r="H807" s="22" t="s">
        <v>127</v>
      </c>
      <c r="I807" s="22" t="s">
        <v>65</v>
      </c>
      <c r="J807" s="22" t="s">
        <v>110</v>
      </c>
      <c r="K807" s="22" t="s">
        <v>110</v>
      </c>
      <c r="L807" s="22" t="s">
        <v>110</v>
      </c>
      <c r="M807" s="22">
        <v>525</v>
      </c>
      <c r="N807" s="22">
        <v>75</v>
      </c>
    </row>
    <row r="808" spans="1:14" x14ac:dyDescent="0.25">
      <c r="E808" s="22" t="s">
        <v>166</v>
      </c>
      <c r="F808" s="22" t="s">
        <v>125</v>
      </c>
      <c r="G808" s="22">
        <v>0</v>
      </c>
      <c r="H808" s="22" t="s">
        <v>128</v>
      </c>
    </row>
    <row r="809" spans="1:14" x14ac:dyDescent="0.25">
      <c r="E809" s="22" t="s">
        <v>165</v>
      </c>
      <c r="F809" s="22" t="s">
        <v>90</v>
      </c>
      <c r="G809" s="22">
        <v>0</v>
      </c>
      <c r="H809" s="22" t="s">
        <v>92</v>
      </c>
    </row>
    <row r="810" spans="1:14" x14ac:dyDescent="0.25">
      <c r="E810" s="22" t="s">
        <v>166</v>
      </c>
      <c r="F810" s="22" t="s">
        <v>102</v>
      </c>
      <c r="G810" s="22" t="s">
        <v>92</v>
      </c>
      <c r="H810" s="22" t="s">
        <v>102</v>
      </c>
    </row>
    <row r="811" spans="1:14" x14ac:dyDescent="0.25">
      <c r="A811" s="22" t="s">
        <v>64</v>
      </c>
      <c r="B811" s="22" t="s">
        <v>99</v>
      </c>
      <c r="C811" s="22">
        <v>60</v>
      </c>
      <c r="D811" s="22">
        <v>80</v>
      </c>
      <c r="E811" s="22" t="s">
        <v>165</v>
      </c>
      <c r="F811" s="22" t="s">
        <v>127</v>
      </c>
      <c r="G811" s="22" t="s">
        <v>128</v>
      </c>
      <c r="H811" s="22" t="s">
        <v>127</v>
      </c>
      <c r="I811" s="22" t="s">
        <v>65</v>
      </c>
      <c r="J811" s="22" t="s">
        <v>95</v>
      </c>
      <c r="K811" s="22" t="s">
        <v>95</v>
      </c>
      <c r="L811" s="22" t="s">
        <v>95</v>
      </c>
      <c r="M811" s="22">
        <v>695</v>
      </c>
      <c r="N811" s="22">
        <v>95</v>
      </c>
    </row>
    <row r="812" spans="1:14" x14ac:dyDescent="0.25">
      <c r="E812" s="22" t="s">
        <v>166</v>
      </c>
      <c r="F812" s="22" t="s">
        <v>128</v>
      </c>
      <c r="G812" s="22">
        <v>0</v>
      </c>
      <c r="H812" s="22" t="s">
        <v>124</v>
      </c>
    </row>
    <row r="813" spans="1:14" x14ac:dyDescent="0.25">
      <c r="E813" s="22" t="s">
        <v>165</v>
      </c>
      <c r="F813" s="22" t="s">
        <v>92</v>
      </c>
      <c r="G813" s="22">
        <v>0</v>
      </c>
      <c r="H813" s="22" t="s">
        <v>92</v>
      </c>
    </row>
    <row r="814" spans="1:14" x14ac:dyDescent="0.25">
      <c r="E814" s="22" t="s">
        <v>166</v>
      </c>
      <c r="F814" s="22" t="s">
        <v>102</v>
      </c>
      <c r="G814" s="22" t="s">
        <v>92</v>
      </c>
      <c r="H814" s="22" t="s">
        <v>102</v>
      </c>
    </row>
    <row r="815" spans="1:14" x14ac:dyDescent="0.25">
      <c r="A815" s="22" t="s">
        <v>64</v>
      </c>
      <c r="B815" s="22" t="s">
        <v>100</v>
      </c>
      <c r="C815" s="22">
        <v>60</v>
      </c>
      <c r="D815" s="22">
        <v>80</v>
      </c>
      <c r="E815" s="22" t="s">
        <v>165</v>
      </c>
      <c r="F815" s="22" t="s">
        <v>127</v>
      </c>
      <c r="G815" s="22" t="s">
        <v>128</v>
      </c>
      <c r="H815" s="22" t="s">
        <v>127</v>
      </c>
      <c r="I815" s="22" t="s">
        <v>65</v>
      </c>
      <c r="J815" s="22" t="s">
        <v>103</v>
      </c>
      <c r="K815" s="22" t="s">
        <v>103</v>
      </c>
      <c r="L815" s="22" t="s">
        <v>103</v>
      </c>
      <c r="M815" s="22">
        <v>620</v>
      </c>
      <c r="N815" s="22">
        <v>85</v>
      </c>
    </row>
    <row r="816" spans="1:14" x14ac:dyDescent="0.25">
      <c r="E816" s="22" t="s">
        <v>166</v>
      </c>
      <c r="F816" s="22" t="s">
        <v>128</v>
      </c>
      <c r="G816" s="22">
        <v>0</v>
      </c>
      <c r="H816" s="22" t="s">
        <v>125</v>
      </c>
    </row>
    <row r="817" spans="1:14" x14ac:dyDescent="0.25">
      <c r="E817" s="22" t="s">
        <v>165</v>
      </c>
      <c r="F817" s="22" t="s">
        <v>92</v>
      </c>
      <c r="G817" s="22">
        <v>0</v>
      </c>
      <c r="H817" s="22" t="s">
        <v>90</v>
      </c>
    </row>
    <row r="818" spans="1:14" x14ac:dyDescent="0.25">
      <c r="E818" s="22" t="s">
        <v>166</v>
      </c>
      <c r="F818" s="22" t="s">
        <v>102</v>
      </c>
      <c r="G818" s="22" t="s">
        <v>90</v>
      </c>
      <c r="H818" s="22" t="s">
        <v>102</v>
      </c>
    </row>
    <row r="819" spans="1:14" x14ac:dyDescent="0.25">
      <c r="A819" s="22" t="s">
        <v>64</v>
      </c>
      <c r="B819" s="22" t="s">
        <v>80</v>
      </c>
      <c r="C819" s="22">
        <v>60</v>
      </c>
      <c r="D819" s="22">
        <v>80</v>
      </c>
      <c r="E819" s="22" t="s">
        <v>165</v>
      </c>
      <c r="F819" s="22" t="s">
        <v>127</v>
      </c>
      <c r="G819" s="22" t="s">
        <v>128</v>
      </c>
      <c r="H819" s="22" t="s">
        <v>127</v>
      </c>
      <c r="I819" s="22" t="s">
        <v>7</v>
      </c>
      <c r="J819" s="22" t="s">
        <v>103</v>
      </c>
      <c r="K819" s="22" t="s">
        <v>103</v>
      </c>
      <c r="L819" s="22" t="s">
        <v>103</v>
      </c>
      <c r="M819" s="22">
        <v>620</v>
      </c>
      <c r="N819" s="22">
        <v>130</v>
      </c>
    </row>
    <row r="820" spans="1:14" x14ac:dyDescent="0.25">
      <c r="E820" s="22" t="s">
        <v>166</v>
      </c>
      <c r="F820" s="22" t="s">
        <v>128</v>
      </c>
      <c r="G820" s="22">
        <v>0</v>
      </c>
      <c r="H820" s="22" t="s">
        <v>126</v>
      </c>
    </row>
    <row r="821" spans="1:14" x14ac:dyDescent="0.25">
      <c r="E821" s="22" t="s">
        <v>165</v>
      </c>
      <c r="F821" s="22" t="s">
        <v>82</v>
      </c>
      <c r="G821" s="22">
        <v>0</v>
      </c>
      <c r="H821" s="22" t="s">
        <v>90</v>
      </c>
    </row>
    <row r="822" spans="1:14" x14ac:dyDescent="0.25">
      <c r="E822" s="22" t="s">
        <v>166</v>
      </c>
      <c r="F822" s="22" t="s">
        <v>102</v>
      </c>
      <c r="G822" s="22" t="s">
        <v>82</v>
      </c>
      <c r="H822" s="22" t="s">
        <v>102</v>
      </c>
    </row>
    <row r="823" spans="1:14" x14ac:dyDescent="0.25">
      <c r="A823" s="22" t="s">
        <v>64</v>
      </c>
      <c r="B823" s="22" t="s">
        <v>104</v>
      </c>
      <c r="C823" s="22">
        <v>60</v>
      </c>
      <c r="D823" s="22">
        <v>80</v>
      </c>
      <c r="E823" s="22" t="s">
        <v>165</v>
      </c>
      <c r="F823" s="22" t="s">
        <v>127</v>
      </c>
      <c r="G823" s="22" t="s">
        <v>128</v>
      </c>
      <c r="H823" s="22" t="s">
        <v>127</v>
      </c>
      <c r="I823" s="22" t="s">
        <v>65</v>
      </c>
      <c r="J823" s="22" t="s">
        <v>103</v>
      </c>
      <c r="K823" s="22" t="s">
        <v>103</v>
      </c>
      <c r="L823" s="22" t="s">
        <v>103</v>
      </c>
      <c r="M823" s="22">
        <v>620</v>
      </c>
      <c r="N823" s="22">
        <v>75</v>
      </c>
    </row>
    <row r="824" spans="1:14" x14ac:dyDescent="0.25">
      <c r="E824" s="22" t="s">
        <v>166</v>
      </c>
      <c r="F824" s="22" t="s">
        <v>127</v>
      </c>
      <c r="G824" s="22">
        <v>0</v>
      </c>
      <c r="H824" s="22" t="s">
        <v>124</v>
      </c>
    </row>
    <row r="825" spans="1:14" x14ac:dyDescent="0.25">
      <c r="E825" s="22" t="s">
        <v>165</v>
      </c>
      <c r="F825" s="22" t="s">
        <v>102</v>
      </c>
      <c r="G825" s="22">
        <v>0</v>
      </c>
      <c r="H825" s="22" t="s">
        <v>102</v>
      </c>
    </row>
    <row r="826" spans="1:14" x14ac:dyDescent="0.25">
      <c r="E826" s="22" t="s">
        <v>166</v>
      </c>
      <c r="F826" s="22" t="s">
        <v>102</v>
      </c>
      <c r="G826" s="22" t="s">
        <v>92</v>
      </c>
      <c r="H826" s="22" t="s">
        <v>102</v>
      </c>
    </row>
    <row r="827" spans="1:14" x14ac:dyDescent="0.25">
      <c r="A827" s="22" t="s">
        <v>64</v>
      </c>
      <c r="B827" s="22" t="s">
        <v>120</v>
      </c>
      <c r="C827" s="22">
        <v>50</v>
      </c>
      <c r="D827" s="22">
        <v>80</v>
      </c>
      <c r="E827" s="22" t="s">
        <v>165</v>
      </c>
      <c r="F827" s="22" t="s">
        <v>124</v>
      </c>
      <c r="G827" s="22" t="s">
        <v>125</v>
      </c>
      <c r="H827" s="22" t="s">
        <v>124</v>
      </c>
      <c r="I827" s="22" t="s">
        <v>7</v>
      </c>
      <c r="J827" s="22" t="s">
        <v>95</v>
      </c>
      <c r="K827" s="22" t="s">
        <v>95</v>
      </c>
      <c r="L827" s="22" t="s">
        <v>95</v>
      </c>
      <c r="M827" s="22">
        <v>685</v>
      </c>
      <c r="N827" s="22">
        <v>85</v>
      </c>
    </row>
    <row r="828" spans="1:14" x14ac:dyDescent="0.25">
      <c r="E828" s="22" t="s">
        <v>166</v>
      </c>
      <c r="F828" s="22" t="s">
        <v>128</v>
      </c>
      <c r="G828" s="22">
        <v>0</v>
      </c>
      <c r="H828" s="22" t="s">
        <v>126</v>
      </c>
    </row>
    <row r="829" spans="1:14" x14ac:dyDescent="0.25">
      <c r="E829" s="22" t="s">
        <v>165</v>
      </c>
      <c r="F829" s="22" t="s">
        <v>82</v>
      </c>
      <c r="G829" s="22">
        <v>0</v>
      </c>
      <c r="H829" s="22" t="s">
        <v>90</v>
      </c>
    </row>
    <row r="830" spans="1:14" x14ac:dyDescent="0.25">
      <c r="E830" s="22" t="s">
        <v>166</v>
      </c>
      <c r="F830" s="22" t="s">
        <v>90</v>
      </c>
      <c r="G830" s="22" t="s">
        <v>82</v>
      </c>
      <c r="H830" s="22" t="s">
        <v>90</v>
      </c>
    </row>
    <row r="831" spans="1:14" x14ac:dyDescent="0.25">
      <c r="A831" s="22" t="s">
        <v>64</v>
      </c>
      <c r="B831" s="22" t="s">
        <v>106</v>
      </c>
      <c r="C831" s="22">
        <v>60</v>
      </c>
      <c r="D831" s="22">
        <v>80</v>
      </c>
      <c r="E831" s="22" t="s">
        <v>165</v>
      </c>
      <c r="F831" s="22" t="s">
        <v>124</v>
      </c>
      <c r="G831" s="22" t="s">
        <v>125</v>
      </c>
      <c r="H831" s="22" t="s">
        <v>127</v>
      </c>
      <c r="I831" s="22" t="s">
        <v>7</v>
      </c>
      <c r="J831" s="22" t="s">
        <v>91</v>
      </c>
      <c r="K831" s="22" t="s">
        <v>91</v>
      </c>
      <c r="L831" s="22" t="s">
        <v>91</v>
      </c>
      <c r="M831" s="22">
        <v>1220</v>
      </c>
      <c r="N831" s="22">
        <v>95</v>
      </c>
    </row>
    <row r="832" spans="1:14" x14ac:dyDescent="0.25">
      <c r="E832" s="22" t="s">
        <v>166</v>
      </c>
      <c r="F832" s="22" t="s">
        <v>126</v>
      </c>
      <c r="G832" s="22">
        <v>0</v>
      </c>
      <c r="H832" s="22" t="s">
        <v>125</v>
      </c>
    </row>
    <row r="833" spans="1:14" x14ac:dyDescent="0.25">
      <c r="E833" s="22" t="s">
        <v>165</v>
      </c>
      <c r="F833" s="22">
        <v>0</v>
      </c>
      <c r="G833" s="22">
        <v>0</v>
      </c>
      <c r="H833" s="22">
        <v>0</v>
      </c>
    </row>
    <row r="834" spans="1:14" x14ac:dyDescent="0.25">
      <c r="E834" s="22" t="s">
        <v>166</v>
      </c>
      <c r="F834" s="22" t="s">
        <v>113</v>
      </c>
      <c r="G834" s="22" t="s">
        <v>92</v>
      </c>
      <c r="H834" s="22" t="s">
        <v>113</v>
      </c>
    </row>
    <row r="835" spans="1:14" x14ac:dyDescent="0.25">
      <c r="A835" s="22" t="s">
        <v>64</v>
      </c>
      <c r="B835" s="22" t="s">
        <v>107</v>
      </c>
      <c r="C835" s="22">
        <v>60</v>
      </c>
      <c r="D835" s="22">
        <v>80</v>
      </c>
      <c r="E835" s="22" t="s">
        <v>165</v>
      </c>
      <c r="F835" s="22" t="s">
        <v>127</v>
      </c>
      <c r="G835" s="22" t="s">
        <v>128</v>
      </c>
      <c r="H835" s="22" t="s">
        <v>127</v>
      </c>
      <c r="I835" s="22" t="s">
        <v>65</v>
      </c>
      <c r="J835" s="22" t="s">
        <v>110</v>
      </c>
      <c r="K835" s="22" t="s">
        <v>110</v>
      </c>
      <c r="L835" s="22" t="s">
        <v>110</v>
      </c>
      <c r="M835" s="22">
        <v>540</v>
      </c>
      <c r="N835" s="22">
        <v>85</v>
      </c>
    </row>
    <row r="836" spans="1:14" x14ac:dyDescent="0.25">
      <c r="E836" s="22" t="s">
        <v>166</v>
      </c>
      <c r="F836" s="22" t="s">
        <v>125</v>
      </c>
      <c r="G836" s="22">
        <v>0</v>
      </c>
      <c r="H836" s="22" t="s">
        <v>128</v>
      </c>
    </row>
    <row r="837" spans="1:14" x14ac:dyDescent="0.25">
      <c r="E837" s="22" t="s">
        <v>165</v>
      </c>
      <c r="F837" s="22" t="s">
        <v>90</v>
      </c>
      <c r="G837" s="22">
        <v>0</v>
      </c>
      <c r="H837" s="22" t="s">
        <v>90</v>
      </c>
    </row>
    <row r="838" spans="1:14" x14ac:dyDescent="0.25">
      <c r="E838" s="22" t="s">
        <v>166</v>
      </c>
      <c r="F838" s="22" t="s">
        <v>102</v>
      </c>
      <c r="G838" s="22" t="s">
        <v>90</v>
      </c>
      <c r="H838" s="22" t="s">
        <v>102</v>
      </c>
    </row>
    <row r="839" spans="1:14" x14ac:dyDescent="0.25">
      <c r="A839" s="22" t="s">
        <v>64</v>
      </c>
      <c r="B839" s="22" t="s">
        <v>86</v>
      </c>
      <c r="C839" s="22">
        <v>60</v>
      </c>
      <c r="D839" s="22">
        <v>80</v>
      </c>
      <c r="E839" s="22" t="s">
        <v>165</v>
      </c>
      <c r="F839" s="22" t="s">
        <v>127</v>
      </c>
      <c r="G839" s="22" t="s">
        <v>128</v>
      </c>
      <c r="H839" s="22" t="s">
        <v>127</v>
      </c>
      <c r="I839" s="22" t="s">
        <v>7</v>
      </c>
      <c r="J839" s="22" t="s">
        <v>129</v>
      </c>
      <c r="K839" s="22" t="s">
        <v>129</v>
      </c>
      <c r="L839" s="22" t="s">
        <v>129</v>
      </c>
      <c r="M839" s="22">
        <v>540</v>
      </c>
      <c r="N839" s="22">
        <v>95</v>
      </c>
    </row>
    <row r="840" spans="1:14" x14ac:dyDescent="0.25">
      <c r="E840" s="22" t="s">
        <v>166</v>
      </c>
      <c r="F840" s="22" t="s">
        <v>126</v>
      </c>
      <c r="G840" s="22">
        <v>0</v>
      </c>
      <c r="H840" s="22" t="s">
        <v>128</v>
      </c>
    </row>
    <row r="841" spans="1:14" x14ac:dyDescent="0.25">
      <c r="E841" s="22" t="s">
        <v>165</v>
      </c>
      <c r="F841" s="22" t="s">
        <v>90</v>
      </c>
      <c r="G841" s="22">
        <v>0</v>
      </c>
      <c r="H841" s="22" t="s">
        <v>82</v>
      </c>
    </row>
    <row r="842" spans="1:14" x14ac:dyDescent="0.25">
      <c r="E842" s="22" t="s">
        <v>166</v>
      </c>
      <c r="F842" s="22" t="s">
        <v>102</v>
      </c>
      <c r="G842" s="22" t="s">
        <v>92</v>
      </c>
      <c r="H842" s="22" t="s">
        <v>102</v>
      </c>
    </row>
    <row r="843" spans="1:14" x14ac:dyDescent="0.25">
      <c r="A843" s="22" t="s">
        <v>64</v>
      </c>
      <c r="B843" s="22" t="s">
        <v>121</v>
      </c>
      <c r="C843" s="22">
        <v>60</v>
      </c>
      <c r="D843" s="22">
        <v>80</v>
      </c>
      <c r="E843" s="22" t="s">
        <v>165</v>
      </c>
      <c r="F843" s="22" t="s">
        <v>127</v>
      </c>
      <c r="G843" s="22" t="s">
        <v>125</v>
      </c>
      <c r="H843" s="22" t="s">
        <v>127</v>
      </c>
      <c r="I843" s="22" t="s">
        <v>7</v>
      </c>
      <c r="J843" s="22" t="s">
        <v>91</v>
      </c>
      <c r="K843" s="22" t="s">
        <v>91</v>
      </c>
      <c r="L843" s="22" t="s">
        <v>91</v>
      </c>
      <c r="M843" s="22">
        <v>1160</v>
      </c>
      <c r="N843" s="22">
        <v>115</v>
      </c>
    </row>
    <row r="844" spans="1:14" x14ac:dyDescent="0.25">
      <c r="E844" s="22" t="s">
        <v>166</v>
      </c>
      <c r="F844" s="22" t="s">
        <v>126</v>
      </c>
      <c r="G844" s="22">
        <v>0</v>
      </c>
      <c r="H844" s="22" t="s">
        <v>125</v>
      </c>
    </row>
    <row r="845" spans="1:14" x14ac:dyDescent="0.25">
      <c r="E845" s="22" t="s">
        <v>165</v>
      </c>
      <c r="F845" s="22">
        <v>0</v>
      </c>
      <c r="G845" s="22">
        <v>0</v>
      </c>
      <c r="H845" s="22">
        <v>0</v>
      </c>
    </row>
    <row r="846" spans="1:14" x14ac:dyDescent="0.25">
      <c r="E846" s="22" t="s">
        <v>166</v>
      </c>
      <c r="F846" s="22" t="s">
        <v>90</v>
      </c>
      <c r="G846" s="22" t="s">
        <v>92</v>
      </c>
      <c r="H846" s="22" t="s">
        <v>102</v>
      </c>
    </row>
    <row r="847" spans="1:14" x14ac:dyDescent="0.25">
      <c r="A847" s="22" t="s">
        <v>64</v>
      </c>
      <c r="B847" s="22" t="s">
        <v>111</v>
      </c>
      <c r="C847" s="22">
        <v>60</v>
      </c>
      <c r="D847" s="22">
        <v>80</v>
      </c>
      <c r="E847" s="22" t="s">
        <v>165</v>
      </c>
      <c r="F847" s="22" t="s">
        <v>127</v>
      </c>
      <c r="G847" s="22" t="s">
        <v>124</v>
      </c>
      <c r="H847" s="22" t="s">
        <v>127</v>
      </c>
      <c r="I847" s="22" t="s">
        <v>65</v>
      </c>
      <c r="J847" s="22" t="s">
        <v>129</v>
      </c>
      <c r="K847" s="22" t="s">
        <v>129</v>
      </c>
      <c r="L847" s="22" t="s">
        <v>129</v>
      </c>
      <c r="M847" s="22">
        <v>540</v>
      </c>
      <c r="N847" s="22">
        <v>75</v>
      </c>
    </row>
    <row r="848" spans="1:14" x14ac:dyDescent="0.25">
      <c r="E848" s="22" t="s">
        <v>166</v>
      </c>
      <c r="F848" s="22" t="s">
        <v>124</v>
      </c>
      <c r="G848" s="22">
        <v>0</v>
      </c>
      <c r="H848" s="22" t="s">
        <v>124</v>
      </c>
    </row>
    <row r="849" spans="1:14" x14ac:dyDescent="0.25">
      <c r="E849" s="22" t="s">
        <v>165</v>
      </c>
      <c r="F849" s="22" t="s">
        <v>102</v>
      </c>
      <c r="G849" s="22">
        <v>0</v>
      </c>
      <c r="H849" s="22" t="s">
        <v>109</v>
      </c>
    </row>
    <row r="850" spans="1:14" x14ac:dyDescent="0.25">
      <c r="E850" s="22" t="s">
        <v>166</v>
      </c>
      <c r="F850" s="22" t="s">
        <v>102</v>
      </c>
      <c r="G850" s="22" t="s">
        <v>92</v>
      </c>
      <c r="H850" s="22" t="s">
        <v>102</v>
      </c>
    </row>
    <row r="851" spans="1:14" x14ac:dyDescent="0.25">
      <c r="A851" s="22" t="s">
        <v>64</v>
      </c>
      <c r="B851" s="22" t="s">
        <v>112</v>
      </c>
      <c r="C851" s="22">
        <v>60</v>
      </c>
      <c r="D851" s="22">
        <v>80</v>
      </c>
      <c r="E851" s="22" t="s">
        <v>165</v>
      </c>
      <c r="F851" s="22" t="s">
        <v>127</v>
      </c>
      <c r="G851" s="22" t="s">
        <v>128</v>
      </c>
      <c r="H851" s="22" t="s">
        <v>127</v>
      </c>
      <c r="I851" s="22" t="s">
        <v>65</v>
      </c>
      <c r="J851" s="22" t="s">
        <v>103</v>
      </c>
      <c r="K851" s="22" t="s">
        <v>103</v>
      </c>
      <c r="L851" s="22" t="s">
        <v>103</v>
      </c>
      <c r="M851" s="22">
        <v>685</v>
      </c>
      <c r="N851" s="22">
        <v>90</v>
      </c>
    </row>
    <row r="852" spans="1:14" x14ac:dyDescent="0.25">
      <c r="E852" s="22" t="s">
        <v>166</v>
      </c>
      <c r="F852" s="22" t="s">
        <v>127</v>
      </c>
      <c r="G852" s="22">
        <v>0</v>
      </c>
      <c r="H852" s="22" t="s">
        <v>128</v>
      </c>
    </row>
    <row r="853" spans="1:14" x14ac:dyDescent="0.25">
      <c r="E853" s="22" t="s">
        <v>165</v>
      </c>
      <c r="F853" s="22" t="s">
        <v>113</v>
      </c>
      <c r="G853" s="22">
        <v>0</v>
      </c>
      <c r="H853" s="22" t="s">
        <v>102</v>
      </c>
    </row>
    <row r="854" spans="1:14" x14ac:dyDescent="0.25">
      <c r="E854" s="22" t="s">
        <v>166</v>
      </c>
      <c r="F854" s="22" t="s">
        <v>102</v>
      </c>
      <c r="G854" s="22" t="s">
        <v>92</v>
      </c>
      <c r="H854" s="22" t="s">
        <v>102</v>
      </c>
    </row>
    <row r="855" spans="1:14" x14ac:dyDescent="0.25">
      <c r="A855" s="22" t="s">
        <v>64</v>
      </c>
      <c r="B855" s="22" t="s">
        <v>114</v>
      </c>
      <c r="C855" s="22">
        <v>60</v>
      </c>
      <c r="D855" s="22">
        <v>80</v>
      </c>
      <c r="E855" s="22" t="s">
        <v>165</v>
      </c>
      <c r="F855" s="22" t="s">
        <v>127</v>
      </c>
      <c r="G855" s="22" t="s">
        <v>127</v>
      </c>
      <c r="H855" s="22" t="s">
        <v>127</v>
      </c>
      <c r="I855" s="22" t="s">
        <v>65</v>
      </c>
      <c r="J855" s="22" t="s">
        <v>129</v>
      </c>
      <c r="K855" s="22" t="s">
        <v>129</v>
      </c>
      <c r="L855" s="22" t="s">
        <v>129</v>
      </c>
      <c r="M855" s="22">
        <v>525</v>
      </c>
      <c r="N855" s="22">
        <v>85</v>
      </c>
    </row>
    <row r="856" spans="1:14" x14ac:dyDescent="0.25">
      <c r="E856" s="22" t="s">
        <v>166</v>
      </c>
      <c r="F856" s="22" t="s">
        <v>128</v>
      </c>
      <c r="G856" s="22" t="s">
        <v>128</v>
      </c>
      <c r="H856" s="22" t="s">
        <v>128</v>
      </c>
    </row>
    <row r="857" spans="1:14" x14ac:dyDescent="0.25">
      <c r="E857" s="22" t="s">
        <v>165</v>
      </c>
      <c r="F857" s="22" t="s">
        <v>92</v>
      </c>
      <c r="G857" s="22" t="s">
        <v>92</v>
      </c>
      <c r="H857" s="22" t="s">
        <v>90</v>
      </c>
    </row>
    <row r="858" spans="1:14" x14ac:dyDescent="0.25">
      <c r="E858" s="22" t="s">
        <v>166</v>
      </c>
      <c r="F858" s="22" t="s">
        <v>102</v>
      </c>
      <c r="G858" s="22" t="s">
        <v>102</v>
      </c>
      <c r="H858" s="22" t="s">
        <v>102</v>
      </c>
    </row>
    <row r="859" spans="1:14" x14ac:dyDescent="0.25">
      <c r="A859" s="22" t="s">
        <v>64</v>
      </c>
      <c r="B859" s="22" t="s">
        <v>115</v>
      </c>
      <c r="C859" s="22">
        <v>60</v>
      </c>
      <c r="D859" s="22">
        <v>80</v>
      </c>
      <c r="E859" s="22" t="s">
        <v>165</v>
      </c>
      <c r="F859" s="22" t="s">
        <v>127</v>
      </c>
      <c r="G859" s="22" t="s">
        <v>128</v>
      </c>
      <c r="H859" s="22" t="s">
        <v>127</v>
      </c>
      <c r="I859" s="22" t="s">
        <v>7</v>
      </c>
      <c r="J859" s="22" t="s">
        <v>103</v>
      </c>
      <c r="K859" s="22" t="s">
        <v>103</v>
      </c>
      <c r="L859" s="22" t="s">
        <v>103</v>
      </c>
      <c r="M859" s="22">
        <v>695</v>
      </c>
      <c r="N859" s="22">
        <v>95</v>
      </c>
    </row>
    <row r="860" spans="1:14" x14ac:dyDescent="0.25">
      <c r="E860" s="22" t="s">
        <v>166</v>
      </c>
      <c r="F860" s="22" t="s">
        <v>128</v>
      </c>
      <c r="G860" s="22">
        <v>0</v>
      </c>
      <c r="H860" s="22" t="s">
        <v>127</v>
      </c>
    </row>
    <row r="861" spans="1:14" x14ac:dyDescent="0.25">
      <c r="E861" s="22" t="s">
        <v>165</v>
      </c>
      <c r="F861" s="22" t="s">
        <v>90</v>
      </c>
      <c r="G861" s="22">
        <v>0</v>
      </c>
      <c r="H861" s="22" t="s">
        <v>92</v>
      </c>
    </row>
    <row r="862" spans="1:14" x14ac:dyDescent="0.25">
      <c r="E862" s="22" t="s">
        <v>166</v>
      </c>
      <c r="F862" s="22" t="s">
        <v>102</v>
      </c>
      <c r="G862" s="22" t="s">
        <v>92</v>
      </c>
      <c r="H862" s="22" t="s">
        <v>102</v>
      </c>
    </row>
    <row r="863" spans="1:14" x14ac:dyDescent="0.25">
      <c r="A863" s="22" t="s">
        <v>64</v>
      </c>
      <c r="B863" s="22" t="s">
        <v>116</v>
      </c>
      <c r="C863" s="22">
        <v>60</v>
      </c>
      <c r="D863" s="22">
        <v>80</v>
      </c>
      <c r="E863" s="22" t="s">
        <v>165</v>
      </c>
      <c r="F863" s="22" t="s">
        <v>127</v>
      </c>
      <c r="G863" s="22" t="s">
        <v>128</v>
      </c>
      <c r="H863" s="22" t="s">
        <v>127</v>
      </c>
      <c r="I863" s="22" t="s">
        <v>65</v>
      </c>
      <c r="J863" s="22" t="s">
        <v>93</v>
      </c>
      <c r="K863" s="22" t="s">
        <v>93</v>
      </c>
      <c r="L863" s="22" t="s">
        <v>93</v>
      </c>
      <c r="M863" s="22">
        <v>1000</v>
      </c>
      <c r="N863" s="22">
        <v>115</v>
      </c>
    </row>
    <row r="864" spans="1:14" x14ac:dyDescent="0.25">
      <c r="E864" s="22" t="s">
        <v>166</v>
      </c>
      <c r="F864" s="22" t="s">
        <v>125</v>
      </c>
      <c r="G864" s="22">
        <v>0</v>
      </c>
      <c r="H864" s="22" t="s">
        <v>128</v>
      </c>
    </row>
    <row r="865" spans="1:14" x14ac:dyDescent="0.25">
      <c r="E865" s="22" t="s">
        <v>165</v>
      </c>
      <c r="F865" s="22" t="s">
        <v>78</v>
      </c>
      <c r="G865" s="22">
        <v>0</v>
      </c>
      <c r="H865" s="22" t="s">
        <v>78</v>
      </c>
    </row>
    <row r="866" spans="1:14" x14ac:dyDescent="0.25">
      <c r="E866" s="22" t="s">
        <v>166</v>
      </c>
      <c r="F866" s="22" t="s">
        <v>102</v>
      </c>
      <c r="G866" s="22" t="s">
        <v>92</v>
      </c>
      <c r="H866" s="22" t="s">
        <v>113</v>
      </c>
    </row>
    <row r="867" spans="1:14" x14ac:dyDescent="0.25">
      <c r="A867" s="22" t="s">
        <v>64</v>
      </c>
      <c r="B867" s="22" t="s">
        <v>117</v>
      </c>
      <c r="C867" s="22">
        <v>60</v>
      </c>
      <c r="D867" s="22">
        <v>80</v>
      </c>
      <c r="E867" s="22" t="s">
        <v>165</v>
      </c>
      <c r="F867" s="22" t="s">
        <v>127</v>
      </c>
      <c r="G867" s="22" t="s">
        <v>128</v>
      </c>
      <c r="H867" s="22" t="s">
        <v>127</v>
      </c>
      <c r="I867" s="22" t="s">
        <v>65</v>
      </c>
      <c r="J867" s="22" t="s">
        <v>93</v>
      </c>
      <c r="K867" s="22" t="s">
        <v>93</v>
      </c>
      <c r="L867" s="22" t="s">
        <v>93</v>
      </c>
      <c r="M867" s="22">
        <v>1000</v>
      </c>
      <c r="N867" s="22">
        <v>75</v>
      </c>
    </row>
    <row r="868" spans="1:14" x14ac:dyDescent="0.25">
      <c r="E868" s="22" t="s">
        <v>166</v>
      </c>
      <c r="F868" s="22" t="s">
        <v>125</v>
      </c>
      <c r="G868" s="22">
        <v>0</v>
      </c>
      <c r="H868" s="22" t="s">
        <v>128</v>
      </c>
    </row>
    <row r="869" spans="1:14" x14ac:dyDescent="0.25">
      <c r="E869" s="22" t="s">
        <v>165</v>
      </c>
      <c r="F869" s="22" t="s">
        <v>78</v>
      </c>
      <c r="G869" s="22">
        <v>0</v>
      </c>
      <c r="H869" s="22" t="s">
        <v>78</v>
      </c>
    </row>
    <row r="870" spans="1:14" x14ac:dyDescent="0.25">
      <c r="E870" s="22" t="s">
        <v>166</v>
      </c>
      <c r="F870" s="22" t="s">
        <v>102</v>
      </c>
      <c r="G870" s="22" t="s">
        <v>92</v>
      </c>
      <c r="H870" s="22" t="s">
        <v>102</v>
      </c>
    </row>
    <row r="871" spans="1:14" x14ac:dyDescent="0.25">
      <c r="A871" s="22" t="s">
        <v>64</v>
      </c>
      <c r="B871" s="22" t="s">
        <v>118</v>
      </c>
      <c r="C871" s="22">
        <v>60</v>
      </c>
      <c r="D871" s="22">
        <v>80</v>
      </c>
      <c r="E871" s="22" t="s">
        <v>165</v>
      </c>
      <c r="F871" s="22" t="s">
        <v>127</v>
      </c>
      <c r="G871" s="22" t="s">
        <v>128</v>
      </c>
      <c r="H871" s="22" t="s">
        <v>127</v>
      </c>
      <c r="I871" s="22" t="s">
        <v>65</v>
      </c>
      <c r="J871" s="22" t="s">
        <v>103</v>
      </c>
      <c r="K871" s="22" t="s">
        <v>103</v>
      </c>
      <c r="L871" s="22" t="s">
        <v>103</v>
      </c>
      <c r="M871" s="22">
        <v>695</v>
      </c>
      <c r="N871" s="22">
        <v>95</v>
      </c>
    </row>
    <row r="872" spans="1:14" x14ac:dyDescent="0.25">
      <c r="E872" s="22" t="s">
        <v>166</v>
      </c>
      <c r="F872" s="22" t="s">
        <v>127</v>
      </c>
      <c r="G872" s="22">
        <v>0</v>
      </c>
      <c r="H872" s="22" t="s">
        <v>127</v>
      </c>
    </row>
    <row r="873" spans="1:14" x14ac:dyDescent="0.25">
      <c r="E873" s="22" t="s">
        <v>165</v>
      </c>
      <c r="F873" s="22" t="s">
        <v>113</v>
      </c>
      <c r="G873" s="22">
        <v>0</v>
      </c>
      <c r="H873" s="22" t="s">
        <v>113</v>
      </c>
    </row>
    <row r="874" spans="1:14" x14ac:dyDescent="0.25">
      <c r="E874" s="22" t="s">
        <v>166</v>
      </c>
      <c r="F874" s="22" t="s">
        <v>102</v>
      </c>
      <c r="G874" s="22" t="s">
        <v>113</v>
      </c>
      <c r="H874" s="22" t="s">
        <v>102</v>
      </c>
    </row>
    <row r="875" spans="1:14" x14ac:dyDescent="0.25">
      <c r="A875" s="22" t="s">
        <v>9</v>
      </c>
      <c r="B875" s="22" t="s">
        <v>97</v>
      </c>
      <c r="C875" s="22">
        <v>60</v>
      </c>
      <c r="D875" s="22">
        <v>80</v>
      </c>
      <c r="E875" s="22" t="s">
        <v>165</v>
      </c>
      <c r="F875" s="22" t="s">
        <v>127</v>
      </c>
      <c r="G875" s="22" t="s">
        <v>128</v>
      </c>
      <c r="H875" s="22" t="s">
        <v>127</v>
      </c>
      <c r="I875" s="22" t="s">
        <v>65</v>
      </c>
      <c r="J875" s="22" t="s">
        <v>95</v>
      </c>
      <c r="K875" s="22" t="s">
        <v>95</v>
      </c>
      <c r="L875" s="22" t="s">
        <v>95</v>
      </c>
      <c r="M875" s="22">
        <v>685</v>
      </c>
      <c r="N875" s="22">
        <v>90</v>
      </c>
    </row>
    <row r="876" spans="1:14" x14ac:dyDescent="0.25">
      <c r="E876" s="22" t="s">
        <v>166</v>
      </c>
      <c r="F876" s="22" t="s">
        <v>128</v>
      </c>
      <c r="G876" s="22">
        <v>0</v>
      </c>
      <c r="H876" s="22" t="s">
        <v>125</v>
      </c>
    </row>
    <row r="877" spans="1:14" x14ac:dyDescent="0.25">
      <c r="E877" s="22" t="s">
        <v>165</v>
      </c>
      <c r="F877" s="22" t="s">
        <v>92</v>
      </c>
      <c r="G877" s="22">
        <v>0</v>
      </c>
      <c r="H877" s="22" t="s">
        <v>113</v>
      </c>
    </row>
    <row r="878" spans="1:14" x14ac:dyDescent="0.25">
      <c r="E878" s="22" t="s">
        <v>166</v>
      </c>
      <c r="F878" s="22" t="s">
        <v>102</v>
      </c>
      <c r="G878" s="22" t="s">
        <v>92</v>
      </c>
      <c r="H878" s="22" t="s">
        <v>102</v>
      </c>
    </row>
    <row r="879" spans="1:14" x14ac:dyDescent="0.25">
      <c r="A879" s="22" t="s">
        <v>9</v>
      </c>
      <c r="B879" s="22" t="s">
        <v>98</v>
      </c>
      <c r="C879" s="22">
        <v>60</v>
      </c>
      <c r="D879" s="22">
        <v>80</v>
      </c>
      <c r="E879" s="22" t="s">
        <v>165</v>
      </c>
      <c r="F879" s="22" t="s">
        <v>127</v>
      </c>
      <c r="G879" s="22" t="s">
        <v>128</v>
      </c>
      <c r="H879" s="22" t="s">
        <v>127</v>
      </c>
      <c r="I879" s="22" t="s">
        <v>65</v>
      </c>
      <c r="J879" s="22" t="s">
        <v>129</v>
      </c>
      <c r="K879" s="22" t="s">
        <v>129</v>
      </c>
      <c r="L879" s="22" t="s">
        <v>129</v>
      </c>
      <c r="M879" s="22">
        <v>525</v>
      </c>
      <c r="N879" s="22">
        <v>80</v>
      </c>
    </row>
    <row r="880" spans="1:14" x14ac:dyDescent="0.25">
      <c r="E880" s="22" t="s">
        <v>166</v>
      </c>
      <c r="F880" s="22" t="s">
        <v>125</v>
      </c>
      <c r="G880" s="22">
        <v>0</v>
      </c>
      <c r="H880" s="22" t="s">
        <v>128</v>
      </c>
    </row>
    <row r="881" spans="1:14" x14ac:dyDescent="0.25">
      <c r="E881" s="22" t="s">
        <v>165</v>
      </c>
      <c r="F881" s="22" t="s">
        <v>113</v>
      </c>
      <c r="G881" s="22">
        <v>0</v>
      </c>
      <c r="H881" s="22" t="s">
        <v>92</v>
      </c>
    </row>
    <row r="882" spans="1:14" x14ac:dyDescent="0.25">
      <c r="E882" s="22" t="s">
        <v>166</v>
      </c>
      <c r="F882" s="22" t="s">
        <v>102</v>
      </c>
      <c r="G882" s="22" t="s">
        <v>92</v>
      </c>
      <c r="H882" s="22" t="s">
        <v>102</v>
      </c>
    </row>
    <row r="883" spans="1:14" x14ac:dyDescent="0.25">
      <c r="A883" s="22" t="s">
        <v>9</v>
      </c>
      <c r="B883" s="22" t="s">
        <v>99</v>
      </c>
      <c r="C883" s="22">
        <v>60</v>
      </c>
      <c r="D883" s="22">
        <v>80</v>
      </c>
      <c r="E883" s="22" t="s">
        <v>165</v>
      </c>
      <c r="F883" s="22" t="s">
        <v>127</v>
      </c>
      <c r="G883" s="22" t="s">
        <v>128</v>
      </c>
      <c r="H883" s="22" t="s">
        <v>127</v>
      </c>
      <c r="I883" s="22" t="s">
        <v>65</v>
      </c>
      <c r="J883" s="22" t="s">
        <v>95</v>
      </c>
      <c r="K883" s="22" t="s">
        <v>95</v>
      </c>
      <c r="L883" s="22" t="s">
        <v>95</v>
      </c>
      <c r="M883" s="22">
        <v>695</v>
      </c>
      <c r="N883" s="22">
        <v>95</v>
      </c>
    </row>
    <row r="884" spans="1:14" x14ac:dyDescent="0.25">
      <c r="E884" s="22" t="s">
        <v>166</v>
      </c>
      <c r="F884" s="22" t="s">
        <v>128</v>
      </c>
      <c r="G884" s="22">
        <v>0</v>
      </c>
      <c r="H884" s="22" t="s">
        <v>128</v>
      </c>
    </row>
    <row r="885" spans="1:14" x14ac:dyDescent="0.25">
      <c r="E885" s="22" t="s">
        <v>165</v>
      </c>
      <c r="F885" s="22" t="s">
        <v>92</v>
      </c>
      <c r="G885" s="22">
        <v>0</v>
      </c>
      <c r="H885" s="22" t="s">
        <v>92</v>
      </c>
    </row>
    <row r="886" spans="1:14" x14ac:dyDescent="0.25">
      <c r="E886" s="22" t="s">
        <v>166</v>
      </c>
      <c r="F886" s="22" t="s">
        <v>102</v>
      </c>
      <c r="G886" s="22" t="s">
        <v>90</v>
      </c>
      <c r="H886" s="22" t="s">
        <v>102</v>
      </c>
    </row>
    <row r="887" spans="1:14" x14ac:dyDescent="0.25">
      <c r="A887" s="22" t="s">
        <v>9</v>
      </c>
      <c r="B887" s="22" t="s">
        <v>100</v>
      </c>
      <c r="C887" s="22">
        <v>60</v>
      </c>
      <c r="D887" s="22">
        <v>80</v>
      </c>
      <c r="E887" s="22" t="s">
        <v>165</v>
      </c>
      <c r="F887" s="22" t="s">
        <v>127</v>
      </c>
      <c r="G887" s="22" t="s">
        <v>128</v>
      </c>
      <c r="H887" s="22" t="s">
        <v>127</v>
      </c>
      <c r="I887" s="22" t="s">
        <v>65</v>
      </c>
      <c r="J887" s="22" t="s">
        <v>103</v>
      </c>
      <c r="K887" s="22" t="s">
        <v>103</v>
      </c>
      <c r="L887" s="22" t="s">
        <v>103</v>
      </c>
      <c r="M887" s="22">
        <v>620</v>
      </c>
      <c r="N887" s="22">
        <v>85</v>
      </c>
    </row>
    <row r="888" spans="1:14" x14ac:dyDescent="0.25">
      <c r="E888" s="22" t="s">
        <v>166</v>
      </c>
      <c r="F888" s="22" t="s">
        <v>128</v>
      </c>
      <c r="G888" s="22">
        <v>0</v>
      </c>
      <c r="H888" s="22" t="s">
        <v>125</v>
      </c>
    </row>
    <row r="889" spans="1:14" x14ac:dyDescent="0.25">
      <c r="E889" s="22" t="s">
        <v>165</v>
      </c>
      <c r="F889" s="22" t="s">
        <v>92</v>
      </c>
      <c r="G889" s="22">
        <v>0</v>
      </c>
      <c r="H889" s="22" t="s">
        <v>90</v>
      </c>
    </row>
    <row r="890" spans="1:14" x14ac:dyDescent="0.25">
      <c r="E890" s="22" t="s">
        <v>166</v>
      </c>
      <c r="F890" s="22" t="s">
        <v>102</v>
      </c>
      <c r="G890" s="22" t="s">
        <v>90</v>
      </c>
      <c r="H890" s="22" t="s">
        <v>102</v>
      </c>
    </row>
    <row r="891" spans="1:14" x14ac:dyDescent="0.25">
      <c r="A891" s="22" t="s">
        <v>9</v>
      </c>
      <c r="B891" s="22" t="s">
        <v>80</v>
      </c>
      <c r="C891" s="22">
        <v>60</v>
      </c>
      <c r="D891" s="22">
        <v>80</v>
      </c>
      <c r="E891" s="22" t="s">
        <v>165</v>
      </c>
      <c r="F891" s="22" t="s">
        <v>127</v>
      </c>
      <c r="G891" s="22" t="s">
        <v>128</v>
      </c>
      <c r="H891" s="22" t="s">
        <v>127</v>
      </c>
      <c r="I891" s="22" t="s">
        <v>7</v>
      </c>
      <c r="J891" s="22" t="s">
        <v>129</v>
      </c>
      <c r="K891" s="22" t="s">
        <v>129</v>
      </c>
      <c r="L891" s="22" t="s">
        <v>129</v>
      </c>
      <c r="M891" s="22">
        <v>620</v>
      </c>
      <c r="N891" s="22">
        <v>130</v>
      </c>
    </row>
    <row r="892" spans="1:14" x14ac:dyDescent="0.25">
      <c r="E892" s="22" t="s">
        <v>166</v>
      </c>
      <c r="F892" s="22" t="s">
        <v>127</v>
      </c>
      <c r="G892" s="22">
        <v>0</v>
      </c>
      <c r="H892" s="22" t="s">
        <v>128</v>
      </c>
    </row>
    <row r="893" spans="1:14" x14ac:dyDescent="0.25">
      <c r="E893" s="22" t="s">
        <v>165</v>
      </c>
      <c r="F893" s="22" t="s">
        <v>113</v>
      </c>
      <c r="G893" s="22">
        <v>0</v>
      </c>
      <c r="H893" s="22" t="s">
        <v>102</v>
      </c>
    </row>
    <row r="894" spans="1:14" x14ac:dyDescent="0.25">
      <c r="E894" s="22" t="s">
        <v>166</v>
      </c>
      <c r="F894" s="22" t="s">
        <v>102</v>
      </c>
      <c r="G894" s="22" t="s">
        <v>92</v>
      </c>
      <c r="H894" s="22" t="s">
        <v>102</v>
      </c>
    </row>
    <row r="895" spans="1:14" x14ac:dyDescent="0.25">
      <c r="A895" s="22" t="s">
        <v>9</v>
      </c>
      <c r="B895" s="22" t="s">
        <v>104</v>
      </c>
      <c r="C895" s="22">
        <v>60</v>
      </c>
      <c r="D895" s="22">
        <v>80</v>
      </c>
      <c r="E895" s="22" t="s">
        <v>165</v>
      </c>
      <c r="F895" s="22" t="s">
        <v>127</v>
      </c>
      <c r="G895" s="22" t="s">
        <v>128</v>
      </c>
      <c r="H895" s="22" t="s">
        <v>127</v>
      </c>
      <c r="I895" s="22" t="s">
        <v>65</v>
      </c>
      <c r="J895" s="22" t="s">
        <v>103</v>
      </c>
      <c r="K895" s="22" t="s">
        <v>103</v>
      </c>
      <c r="L895" s="22" t="s">
        <v>103</v>
      </c>
      <c r="M895" s="22">
        <v>620</v>
      </c>
      <c r="N895" s="22">
        <v>75</v>
      </c>
    </row>
    <row r="896" spans="1:14" x14ac:dyDescent="0.25">
      <c r="E896" s="22" t="s">
        <v>166</v>
      </c>
      <c r="F896" s="22" t="s">
        <v>127</v>
      </c>
      <c r="G896" s="22">
        <v>0</v>
      </c>
      <c r="H896" s="22" t="s">
        <v>124</v>
      </c>
    </row>
    <row r="897" spans="1:14" x14ac:dyDescent="0.25">
      <c r="E897" s="22" t="s">
        <v>165</v>
      </c>
      <c r="F897" s="22" t="s">
        <v>113</v>
      </c>
      <c r="G897" s="22">
        <v>0</v>
      </c>
      <c r="H897" s="22" t="s">
        <v>102</v>
      </c>
    </row>
    <row r="898" spans="1:14" x14ac:dyDescent="0.25">
      <c r="E898" s="22" t="s">
        <v>166</v>
      </c>
      <c r="F898" s="22" t="s">
        <v>102</v>
      </c>
      <c r="G898" s="22" t="s">
        <v>92</v>
      </c>
      <c r="H898" s="22" t="s">
        <v>102</v>
      </c>
    </row>
    <row r="899" spans="1:14" x14ac:dyDescent="0.25">
      <c r="A899" s="22" t="s">
        <v>9</v>
      </c>
      <c r="B899" s="22" t="s">
        <v>120</v>
      </c>
      <c r="C899" s="22">
        <v>50</v>
      </c>
      <c r="D899" s="22">
        <v>80</v>
      </c>
      <c r="E899" s="22" t="s">
        <v>165</v>
      </c>
      <c r="F899" s="22" t="s">
        <v>124</v>
      </c>
      <c r="G899" s="22" t="s">
        <v>125</v>
      </c>
      <c r="H899" s="22" t="s">
        <v>124</v>
      </c>
      <c r="I899" s="22" t="s">
        <v>7</v>
      </c>
      <c r="J899" s="22" t="s">
        <v>95</v>
      </c>
      <c r="K899" s="22" t="s">
        <v>95</v>
      </c>
      <c r="L899" s="22" t="s">
        <v>95</v>
      </c>
      <c r="M899" s="22">
        <v>685</v>
      </c>
      <c r="N899" s="22">
        <v>85</v>
      </c>
    </row>
    <row r="900" spans="1:14" x14ac:dyDescent="0.25">
      <c r="E900" s="22" t="s">
        <v>166</v>
      </c>
      <c r="F900" s="22" t="s">
        <v>128</v>
      </c>
      <c r="G900" s="22">
        <v>0</v>
      </c>
      <c r="H900" s="22" t="s">
        <v>126</v>
      </c>
    </row>
    <row r="901" spans="1:14" x14ac:dyDescent="0.25">
      <c r="E901" s="22" t="s">
        <v>165</v>
      </c>
      <c r="F901" s="22" t="s">
        <v>82</v>
      </c>
      <c r="G901" s="22">
        <v>0</v>
      </c>
      <c r="H901" s="22" t="s">
        <v>90</v>
      </c>
    </row>
    <row r="902" spans="1:14" x14ac:dyDescent="0.25">
      <c r="E902" s="22" t="s">
        <v>166</v>
      </c>
      <c r="F902" s="22" t="s">
        <v>90</v>
      </c>
      <c r="G902" s="22" t="s">
        <v>82</v>
      </c>
      <c r="H902" s="22" t="s">
        <v>90</v>
      </c>
    </row>
    <row r="903" spans="1:14" x14ac:dyDescent="0.25">
      <c r="A903" s="22" t="s">
        <v>9</v>
      </c>
      <c r="B903" s="22" t="s">
        <v>106</v>
      </c>
      <c r="C903" s="22">
        <v>60</v>
      </c>
      <c r="D903" s="22">
        <v>80</v>
      </c>
      <c r="E903" s="22" t="s">
        <v>165</v>
      </c>
      <c r="F903" s="22" t="s">
        <v>124</v>
      </c>
      <c r="G903" s="22" t="s">
        <v>125</v>
      </c>
      <c r="H903" s="22" t="s">
        <v>127</v>
      </c>
      <c r="I903" s="22" t="s">
        <v>7</v>
      </c>
      <c r="J903" s="22" t="s">
        <v>91</v>
      </c>
      <c r="K903" s="22" t="s">
        <v>91</v>
      </c>
      <c r="L903" s="22" t="s">
        <v>91</v>
      </c>
      <c r="M903" s="22">
        <v>1220</v>
      </c>
      <c r="N903" s="22">
        <v>95</v>
      </c>
    </row>
    <row r="904" spans="1:14" x14ac:dyDescent="0.25">
      <c r="E904" s="22" t="s">
        <v>166</v>
      </c>
      <c r="F904" s="22" t="s">
        <v>126</v>
      </c>
      <c r="G904" s="22">
        <v>0</v>
      </c>
      <c r="H904" s="22" t="s">
        <v>125</v>
      </c>
    </row>
    <row r="905" spans="1:14" x14ac:dyDescent="0.25">
      <c r="E905" s="22" t="s">
        <v>165</v>
      </c>
      <c r="F905" s="22">
        <v>0</v>
      </c>
      <c r="G905" s="22">
        <v>0</v>
      </c>
      <c r="H905" s="22">
        <v>0</v>
      </c>
    </row>
    <row r="906" spans="1:14" x14ac:dyDescent="0.25">
      <c r="E906" s="22" t="s">
        <v>166</v>
      </c>
      <c r="F906" s="22" t="s">
        <v>113</v>
      </c>
      <c r="G906" s="22" t="s">
        <v>92</v>
      </c>
      <c r="H906" s="22" t="s">
        <v>113</v>
      </c>
    </row>
    <row r="907" spans="1:14" x14ac:dyDescent="0.25">
      <c r="A907" s="22" t="s">
        <v>9</v>
      </c>
      <c r="B907" s="22" t="s">
        <v>107</v>
      </c>
      <c r="C907" s="22">
        <v>60</v>
      </c>
      <c r="D907" s="22">
        <v>80</v>
      </c>
      <c r="E907" s="22" t="s">
        <v>165</v>
      </c>
      <c r="F907" s="22" t="s">
        <v>127</v>
      </c>
      <c r="G907" s="22" t="s">
        <v>128</v>
      </c>
      <c r="H907" s="22" t="s">
        <v>127</v>
      </c>
      <c r="I907" s="22" t="s">
        <v>65</v>
      </c>
      <c r="J907" s="22" t="s">
        <v>110</v>
      </c>
      <c r="K907" s="22" t="s">
        <v>110</v>
      </c>
      <c r="L907" s="22" t="s">
        <v>110</v>
      </c>
      <c r="M907" s="22">
        <v>540</v>
      </c>
      <c r="N907" s="22">
        <v>85</v>
      </c>
    </row>
    <row r="908" spans="1:14" x14ac:dyDescent="0.25">
      <c r="E908" s="22" t="s">
        <v>166</v>
      </c>
      <c r="F908" s="22" t="s">
        <v>125</v>
      </c>
      <c r="G908" s="22">
        <v>0</v>
      </c>
      <c r="H908" s="22" t="s">
        <v>128</v>
      </c>
    </row>
    <row r="909" spans="1:14" x14ac:dyDescent="0.25">
      <c r="E909" s="22" t="s">
        <v>165</v>
      </c>
      <c r="F909" s="22" t="s">
        <v>90</v>
      </c>
      <c r="G909" s="22">
        <v>0</v>
      </c>
      <c r="H909" s="22" t="s">
        <v>90</v>
      </c>
    </row>
    <row r="910" spans="1:14" x14ac:dyDescent="0.25">
      <c r="E910" s="22" t="s">
        <v>166</v>
      </c>
      <c r="F910" s="22" t="s">
        <v>102</v>
      </c>
      <c r="G910" s="22" t="s">
        <v>90</v>
      </c>
      <c r="H910" s="22" t="s">
        <v>102</v>
      </c>
    </row>
    <row r="911" spans="1:14" x14ac:dyDescent="0.25">
      <c r="A911" s="22" t="s">
        <v>9</v>
      </c>
      <c r="B911" s="22" t="s">
        <v>86</v>
      </c>
      <c r="C911" s="22">
        <v>60</v>
      </c>
      <c r="D911" s="22">
        <v>80</v>
      </c>
      <c r="E911" s="22" t="s">
        <v>165</v>
      </c>
      <c r="F911" s="22" t="s">
        <v>127</v>
      </c>
      <c r="G911" s="22" t="s">
        <v>128</v>
      </c>
      <c r="H911" s="22" t="s">
        <v>127</v>
      </c>
      <c r="I911" s="22" t="s">
        <v>7</v>
      </c>
      <c r="J911" s="22" t="s">
        <v>129</v>
      </c>
      <c r="K911" s="22" t="s">
        <v>129</v>
      </c>
      <c r="L911" s="22" t="s">
        <v>129</v>
      </c>
      <c r="M911" s="22">
        <v>540</v>
      </c>
      <c r="N911" s="22">
        <v>95</v>
      </c>
    </row>
    <row r="912" spans="1:14" x14ac:dyDescent="0.25">
      <c r="E912" s="22" t="s">
        <v>166</v>
      </c>
      <c r="F912" s="22" t="s">
        <v>126</v>
      </c>
      <c r="G912" s="22">
        <v>0</v>
      </c>
      <c r="H912" s="22" t="s">
        <v>128</v>
      </c>
    </row>
    <row r="913" spans="1:14" x14ac:dyDescent="0.25">
      <c r="E913" s="22" t="s">
        <v>165</v>
      </c>
      <c r="F913" s="22" t="s">
        <v>92</v>
      </c>
      <c r="G913" s="22">
        <v>0</v>
      </c>
      <c r="H913" s="22" t="s">
        <v>82</v>
      </c>
    </row>
    <row r="914" spans="1:14" x14ac:dyDescent="0.25">
      <c r="E914" s="22" t="s">
        <v>166</v>
      </c>
      <c r="F914" s="22" t="s">
        <v>102</v>
      </c>
      <c r="G914" s="22" t="s">
        <v>92</v>
      </c>
      <c r="H914" s="22" t="s">
        <v>102</v>
      </c>
    </row>
    <row r="915" spans="1:14" x14ac:dyDescent="0.25">
      <c r="A915" s="22" t="s">
        <v>9</v>
      </c>
      <c r="B915" s="22" t="s">
        <v>121</v>
      </c>
      <c r="C915" s="22">
        <v>60</v>
      </c>
      <c r="D915" s="22">
        <v>80</v>
      </c>
      <c r="E915" s="22" t="s">
        <v>165</v>
      </c>
      <c r="F915" s="22" t="s">
        <v>127</v>
      </c>
      <c r="G915" s="22" t="s">
        <v>125</v>
      </c>
      <c r="H915" s="22" t="s">
        <v>127</v>
      </c>
      <c r="I915" s="22" t="s">
        <v>7</v>
      </c>
      <c r="J915" s="22" t="s">
        <v>91</v>
      </c>
      <c r="K915" s="22" t="s">
        <v>91</v>
      </c>
      <c r="L915" s="22" t="s">
        <v>91</v>
      </c>
      <c r="M915" s="22">
        <v>1160</v>
      </c>
      <c r="N915" s="22">
        <v>115</v>
      </c>
    </row>
    <row r="916" spans="1:14" x14ac:dyDescent="0.25">
      <c r="E916" s="22" t="s">
        <v>166</v>
      </c>
      <c r="F916" s="22" t="s">
        <v>126</v>
      </c>
      <c r="G916" s="22">
        <v>0</v>
      </c>
      <c r="H916" s="22" t="s">
        <v>125</v>
      </c>
    </row>
    <row r="917" spans="1:14" x14ac:dyDescent="0.25">
      <c r="E917" s="22" t="s">
        <v>165</v>
      </c>
      <c r="F917" s="22">
        <v>0</v>
      </c>
      <c r="G917" s="22">
        <v>0</v>
      </c>
      <c r="H917" s="22">
        <v>0</v>
      </c>
    </row>
    <row r="918" spans="1:14" x14ac:dyDescent="0.25">
      <c r="E918" s="22" t="s">
        <v>166</v>
      </c>
      <c r="F918" s="22" t="s">
        <v>90</v>
      </c>
      <c r="G918" s="22" t="s">
        <v>92</v>
      </c>
      <c r="H918" s="22" t="s">
        <v>113</v>
      </c>
    </row>
    <row r="919" spans="1:14" x14ac:dyDescent="0.25">
      <c r="A919" s="22" t="s">
        <v>9</v>
      </c>
      <c r="B919" s="22" t="s">
        <v>111</v>
      </c>
      <c r="C919" s="22">
        <v>60</v>
      </c>
      <c r="D919" s="22">
        <v>80</v>
      </c>
      <c r="E919" s="22" t="s">
        <v>165</v>
      </c>
      <c r="F919" s="22" t="s">
        <v>127</v>
      </c>
      <c r="G919" s="22" t="s">
        <v>124</v>
      </c>
      <c r="H919" s="22" t="s">
        <v>127</v>
      </c>
      <c r="I919" s="22" t="s">
        <v>65</v>
      </c>
      <c r="J919" s="22" t="s">
        <v>129</v>
      </c>
      <c r="K919" s="22" t="s">
        <v>129</v>
      </c>
      <c r="L919" s="22" t="s">
        <v>129</v>
      </c>
      <c r="M919" s="22">
        <v>540</v>
      </c>
      <c r="N919" s="22">
        <v>75</v>
      </c>
    </row>
    <row r="920" spans="1:14" x14ac:dyDescent="0.25">
      <c r="E920" s="22" t="s">
        <v>166</v>
      </c>
      <c r="F920" s="22" t="s">
        <v>124</v>
      </c>
      <c r="G920" s="22">
        <v>0</v>
      </c>
      <c r="H920" s="22" t="s">
        <v>124</v>
      </c>
    </row>
    <row r="921" spans="1:14" x14ac:dyDescent="0.25">
      <c r="E921" s="22" t="s">
        <v>165</v>
      </c>
      <c r="F921" s="22" t="s">
        <v>102</v>
      </c>
      <c r="G921" s="22">
        <v>0</v>
      </c>
      <c r="H921" s="22" t="s">
        <v>109</v>
      </c>
    </row>
    <row r="922" spans="1:14" x14ac:dyDescent="0.25">
      <c r="E922" s="22" t="s">
        <v>166</v>
      </c>
      <c r="F922" s="22" t="s">
        <v>102</v>
      </c>
      <c r="G922" s="22" t="s">
        <v>92</v>
      </c>
      <c r="H922" s="22" t="s">
        <v>102</v>
      </c>
    </row>
    <row r="923" spans="1:14" x14ac:dyDescent="0.25">
      <c r="A923" s="22" t="s">
        <v>9</v>
      </c>
      <c r="B923" s="22" t="s">
        <v>112</v>
      </c>
      <c r="C923" s="22">
        <v>60</v>
      </c>
      <c r="D923" s="22">
        <v>80</v>
      </c>
      <c r="E923" s="22" t="s">
        <v>165</v>
      </c>
      <c r="F923" s="22" t="s">
        <v>127</v>
      </c>
      <c r="G923" s="22" t="s">
        <v>128</v>
      </c>
      <c r="H923" s="22" t="s">
        <v>127</v>
      </c>
      <c r="I923" s="22" t="s">
        <v>65</v>
      </c>
      <c r="J923" s="22" t="s">
        <v>103</v>
      </c>
      <c r="K923" s="22" t="s">
        <v>103</v>
      </c>
      <c r="L923" s="22" t="s">
        <v>103</v>
      </c>
      <c r="M923" s="22">
        <v>685</v>
      </c>
      <c r="N923" s="22">
        <v>90</v>
      </c>
    </row>
    <row r="924" spans="1:14" x14ac:dyDescent="0.25">
      <c r="E924" s="22" t="s">
        <v>166</v>
      </c>
      <c r="F924" s="22" t="s">
        <v>127</v>
      </c>
      <c r="G924" s="22">
        <v>0</v>
      </c>
      <c r="H924" s="22" t="s">
        <v>128</v>
      </c>
    </row>
    <row r="925" spans="1:14" x14ac:dyDescent="0.25">
      <c r="E925" s="22" t="s">
        <v>165</v>
      </c>
      <c r="F925" s="22" t="s">
        <v>113</v>
      </c>
      <c r="G925" s="22">
        <v>0</v>
      </c>
      <c r="H925" s="22" t="s">
        <v>102</v>
      </c>
    </row>
    <row r="926" spans="1:14" x14ac:dyDescent="0.25">
      <c r="E926" s="22" t="s">
        <v>166</v>
      </c>
      <c r="F926" s="22" t="s">
        <v>102</v>
      </c>
      <c r="G926" s="22" t="s">
        <v>92</v>
      </c>
      <c r="H926" s="22" t="s">
        <v>102</v>
      </c>
    </row>
    <row r="927" spans="1:14" x14ac:dyDescent="0.25">
      <c r="A927" s="22" t="s">
        <v>9</v>
      </c>
      <c r="B927" s="22" t="s">
        <v>114</v>
      </c>
      <c r="C927" s="22">
        <v>60</v>
      </c>
      <c r="D927" s="22">
        <v>80</v>
      </c>
      <c r="E927" s="22" t="s">
        <v>165</v>
      </c>
      <c r="F927" s="22" t="s">
        <v>127</v>
      </c>
      <c r="G927" s="22" t="s">
        <v>127</v>
      </c>
      <c r="H927" s="22" t="s">
        <v>127</v>
      </c>
      <c r="I927" s="22" t="s">
        <v>65</v>
      </c>
      <c r="J927" s="22" t="s">
        <v>129</v>
      </c>
      <c r="K927" s="22" t="s">
        <v>129</v>
      </c>
      <c r="L927" s="22" t="s">
        <v>129</v>
      </c>
      <c r="M927" s="22">
        <v>525</v>
      </c>
      <c r="N927" s="22">
        <v>85</v>
      </c>
    </row>
    <row r="928" spans="1:14" x14ac:dyDescent="0.25">
      <c r="E928" s="22" t="s">
        <v>166</v>
      </c>
      <c r="F928" s="22" t="s">
        <v>128</v>
      </c>
      <c r="G928" s="22" t="s">
        <v>128</v>
      </c>
      <c r="H928" s="22" t="s">
        <v>128</v>
      </c>
    </row>
    <row r="929" spans="1:14" x14ac:dyDescent="0.25">
      <c r="E929" s="22" t="s">
        <v>165</v>
      </c>
      <c r="F929" s="22" t="s">
        <v>92</v>
      </c>
      <c r="G929" s="22" t="s">
        <v>92</v>
      </c>
      <c r="H929" s="22" t="s">
        <v>90</v>
      </c>
    </row>
    <row r="930" spans="1:14" x14ac:dyDescent="0.25">
      <c r="E930" s="22" t="s">
        <v>166</v>
      </c>
      <c r="F930" s="22" t="s">
        <v>102</v>
      </c>
      <c r="G930" s="22" t="s">
        <v>102</v>
      </c>
      <c r="H930" s="22" t="s">
        <v>102</v>
      </c>
    </row>
    <row r="931" spans="1:14" x14ac:dyDescent="0.25">
      <c r="A931" s="22" t="s">
        <v>9</v>
      </c>
      <c r="B931" s="22" t="s">
        <v>115</v>
      </c>
      <c r="C931" s="22">
        <v>60</v>
      </c>
      <c r="D931" s="22">
        <v>80</v>
      </c>
      <c r="E931" s="22" t="s">
        <v>165</v>
      </c>
      <c r="F931" s="22" t="s">
        <v>127</v>
      </c>
      <c r="G931" s="22" t="s">
        <v>128</v>
      </c>
      <c r="H931" s="22" t="s">
        <v>127</v>
      </c>
      <c r="I931" s="22" t="s">
        <v>7</v>
      </c>
      <c r="J931" s="22" t="s">
        <v>103</v>
      </c>
      <c r="K931" s="22" t="s">
        <v>103</v>
      </c>
      <c r="L931" s="22" t="s">
        <v>103</v>
      </c>
      <c r="M931" s="22">
        <v>695</v>
      </c>
      <c r="N931" s="22">
        <v>95</v>
      </c>
    </row>
    <row r="932" spans="1:14" x14ac:dyDescent="0.25">
      <c r="E932" s="22" t="s">
        <v>166</v>
      </c>
      <c r="F932" s="22" t="s">
        <v>128</v>
      </c>
      <c r="G932" s="22">
        <v>0</v>
      </c>
      <c r="H932" s="22" t="s">
        <v>127</v>
      </c>
    </row>
    <row r="933" spans="1:14" x14ac:dyDescent="0.25">
      <c r="E933" s="22" t="s">
        <v>165</v>
      </c>
      <c r="F933" s="22" t="s">
        <v>90</v>
      </c>
      <c r="G933" s="22">
        <v>0</v>
      </c>
      <c r="H933" s="22" t="s">
        <v>92</v>
      </c>
    </row>
    <row r="934" spans="1:14" x14ac:dyDescent="0.25">
      <c r="E934" s="22" t="s">
        <v>166</v>
      </c>
      <c r="F934" s="22" t="s">
        <v>102</v>
      </c>
      <c r="G934" s="22" t="s">
        <v>92</v>
      </c>
      <c r="H934" s="22" t="s">
        <v>102</v>
      </c>
    </row>
    <row r="935" spans="1:14" x14ac:dyDescent="0.25">
      <c r="A935" s="22" t="s">
        <v>9</v>
      </c>
      <c r="B935" s="22" t="s">
        <v>116</v>
      </c>
      <c r="C935" s="22">
        <v>60</v>
      </c>
      <c r="D935" s="22">
        <v>80</v>
      </c>
      <c r="E935" s="22" t="s">
        <v>165</v>
      </c>
      <c r="F935" s="22" t="s">
        <v>127</v>
      </c>
      <c r="G935" s="22" t="s">
        <v>128</v>
      </c>
      <c r="H935" s="22" t="s">
        <v>127</v>
      </c>
      <c r="I935" s="22" t="s">
        <v>65</v>
      </c>
      <c r="J935" s="22" t="s">
        <v>93</v>
      </c>
      <c r="K935" s="22" t="s">
        <v>93</v>
      </c>
      <c r="L935" s="22" t="s">
        <v>93</v>
      </c>
      <c r="M935" s="22">
        <v>1000</v>
      </c>
      <c r="N935" s="22">
        <v>115</v>
      </c>
    </row>
    <row r="936" spans="1:14" x14ac:dyDescent="0.25">
      <c r="E936" s="22" t="s">
        <v>166</v>
      </c>
      <c r="F936" s="22" t="s">
        <v>125</v>
      </c>
      <c r="G936" s="22">
        <v>0</v>
      </c>
      <c r="H936" s="22" t="s">
        <v>128</v>
      </c>
    </row>
    <row r="937" spans="1:14" x14ac:dyDescent="0.25">
      <c r="E937" s="22" t="s">
        <v>165</v>
      </c>
      <c r="F937" s="22" t="s">
        <v>78</v>
      </c>
      <c r="G937" s="22">
        <v>0</v>
      </c>
      <c r="H937" s="22" t="s">
        <v>78</v>
      </c>
    </row>
    <row r="938" spans="1:14" x14ac:dyDescent="0.25">
      <c r="E938" s="22" t="s">
        <v>166</v>
      </c>
      <c r="F938" s="22" t="s">
        <v>102</v>
      </c>
      <c r="G938" s="22" t="s">
        <v>92</v>
      </c>
      <c r="H938" s="22" t="s">
        <v>113</v>
      </c>
    </row>
    <row r="939" spans="1:14" x14ac:dyDescent="0.25">
      <c r="A939" s="22" t="s">
        <v>9</v>
      </c>
      <c r="B939" s="22" t="s">
        <v>117</v>
      </c>
      <c r="C939" s="22">
        <v>60</v>
      </c>
      <c r="D939" s="22">
        <v>80</v>
      </c>
      <c r="E939" s="22" t="s">
        <v>165</v>
      </c>
      <c r="F939" s="22" t="s">
        <v>127</v>
      </c>
      <c r="G939" s="22" t="s">
        <v>128</v>
      </c>
      <c r="H939" s="22" t="s">
        <v>127</v>
      </c>
      <c r="I939" s="22" t="s">
        <v>65</v>
      </c>
      <c r="J939" s="22" t="s">
        <v>93</v>
      </c>
      <c r="K939" s="22" t="s">
        <v>93</v>
      </c>
      <c r="L939" s="22" t="s">
        <v>93</v>
      </c>
      <c r="M939" s="22">
        <v>1000</v>
      </c>
      <c r="N939" s="22">
        <v>75</v>
      </c>
    </row>
    <row r="940" spans="1:14" x14ac:dyDescent="0.25">
      <c r="E940" s="22" t="s">
        <v>166</v>
      </c>
      <c r="F940" s="22" t="s">
        <v>125</v>
      </c>
      <c r="G940" s="22">
        <v>0</v>
      </c>
      <c r="H940" s="22" t="s">
        <v>128</v>
      </c>
    </row>
    <row r="941" spans="1:14" x14ac:dyDescent="0.25">
      <c r="E941" s="22" t="s">
        <v>165</v>
      </c>
      <c r="F941" s="22" t="s">
        <v>78</v>
      </c>
      <c r="G941" s="22">
        <v>0</v>
      </c>
      <c r="H941" s="22" t="s">
        <v>78</v>
      </c>
    </row>
    <row r="942" spans="1:14" x14ac:dyDescent="0.25">
      <c r="E942" s="22" t="s">
        <v>166</v>
      </c>
      <c r="F942" s="22" t="s">
        <v>113</v>
      </c>
      <c r="G942" s="22" t="s">
        <v>92</v>
      </c>
      <c r="H942" s="22" t="s">
        <v>113</v>
      </c>
    </row>
    <row r="943" spans="1:14" x14ac:dyDescent="0.25">
      <c r="A943" s="22" t="s">
        <v>9</v>
      </c>
      <c r="B943" s="22" t="s">
        <v>118</v>
      </c>
      <c r="C943" s="22">
        <v>60</v>
      </c>
      <c r="D943" s="22">
        <v>80</v>
      </c>
      <c r="E943" s="22" t="s">
        <v>165</v>
      </c>
      <c r="F943" s="22" t="s">
        <v>127</v>
      </c>
      <c r="G943" s="22" t="s">
        <v>128</v>
      </c>
      <c r="H943" s="22" t="s">
        <v>127</v>
      </c>
      <c r="I943" s="22" t="s">
        <v>65</v>
      </c>
      <c r="J943" s="22" t="s">
        <v>103</v>
      </c>
      <c r="K943" s="22" t="s">
        <v>103</v>
      </c>
      <c r="L943" s="22" t="s">
        <v>103</v>
      </c>
      <c r="M943" s="22">
        <v>695</v>
      </c>
      <c r="N943" s="22">
        <v>95</v>
      </c>
    </row>
    <row r="944" spans="1:14" x14ac:dyDescent="0.25">
      <c r="E944" s="22" t="s">
        <v>166</v>
      </c>
      <c r="F944" s="22" t="s">
        <v>127</v>
      </c>
      <c r="G944" s="22">
        <v>0</v>
      </c>
      <c r="H944" s="22" t="s">
        <v>127</v>
      </c>
    </row>
    <row r="945" spans="1:14" x14ac:dyDescent="0.25">
      <c r="E945" s="22" t="s">
        <v>165</v>
      </c>
      <c r="F945" s="22" t="s">
        <v>102</v>
      </c>
      <c r="G945" s="22">
        <v>0</v>
      </c>
      <c r="H945" s="22" t="s">
        <v>102</v>
      </c>
    </row>
    <row r="946" spans="1:14" x14ac:dyDescent="0.25">
      <c r="E946" s="22" t="s">
        <v>166</v>
      </c>
      <c r="F946" s="22" t="s">
        <v>102</v>
      </c>
      <c r="G946" s="22" t="s">
        <v>113</v>
      </c>
      <c r="H946" s="22" t="s">
        <v>102</v>
      </c>
    </row>
    <row r="947" spans="1:14" x14ac:dyDescent="0.25">
      <c r="A947" s="22" t="s">
        <v>10</v>
      </c>
      <c r="B947" s="22" t="s">
        <v>97</v>
      </c>
      <c r="C947" s="22">
        <v>60</v>
      </c>
      <c r="D947" s="22">
        <v>80</v>
      </c>
      <c r="E947" s="22" t="s">
        <v>165</v>
      </c>
      <c r="F947" s="22" t="s">
        <v>127</v>
      </c>
      <c r="G947" s="22" t="s">
        <v>128</v>
      </c>
      <c r="H947" s="22" t="s">
        <v>127</v>
      </c>
      <c r="I947" s="22" t="s">
        <v>65</v>
      </c>
      <c r="J947" s="22" t="s">
        <v>95</v>
      </c>
      <c r="K947" s="22" t="s">
        <v>95</v>
      </c>
      <c r="L947" s="22" t="s">
        <v>95</v>
      </c>
      <c r="M947" s="22">
        <v>685</v>
      </c>
      <c r="N947" s="22">
        <v>90</v>
      </c>
    </row>
    <row r="948" spans="1:14" x14ac:dyDescent="0.25">
      <c r="E948" s="22" t="s">
        <v>166</v>
      </c>
      <c r="F948" s="22" t="s">
        <v>128</v>
      </c>
      <c r="G948" s="22">
        <v>0</v>
      </c>
      <c r="H948" s="22" t="s">
        <v>125</v>
      </c>
    </row>
    <row r="949" spans="1:14" x14ac:dyDescent="0.25">
      <c r="E949" s="22" t="s">
        <v>165</v>
      </c>
      <c r="F949" s="22" t="s">
        <v>82</v>
      </c>
      <c r="G949" s="22">
        <v>0</v>
      </c>
      <c r="H949" s="22" t="s">
        <v>113</v>
      </c>
    </row>
    <row r="950" spans="1:14" x14ac:dyDescent="0.25">
      <c r="E950" s="22" t="s">
        <v>166</v>
      </c>
      <c r="F950" s="22" t="s">
        <v>102</v>
      </c>
      <c r="G950" s="22" t="s">
        <v>92</v>
      </c>
      <c r="H950" s="22" t="s">
        <v>102</v>
      </c>
    </row>
    <row r="951" spans="1:14" x14ac:dyDescent="0.25">
      <c r="A951" s="22" t="s">
        <v>10</v>
      </c>
      <c r="B951" s="22" t="s">
        <v>98</v>
      </c>
      <c r="C951" s="22">
        <v>60</v>
      </c>
      <c r="D951" s="22">
        <v>80</v>
      </c>
      <c r="E951" s="22" t="s">
        <v>165</v>
      </c>
      <c r="F951" s="22" t="s">
        <v>127</v>
      </c>
      <c r="G951" s="22" t="s">
        <v>128</v>
      </c>
      <c r="H951" s="22" t="s">
        <v>127</v>
      </c>
      <c r="I951" s="22" t="s">
        <v>65</v>
      </c>
      <c r="J951" s="22" t="s">
        <v>129</v>
      </c>
      <c r="K951" s="22" t="s">
        <v>129</v>
      </c>
      <c r="L951" s="22" t="s">
        <v>129</v>
      </c>
      <c r="M951" s="22">
        <v>525</v>
      </c>
      <c r="N951" s="22">
        <v>80</v>
      </c>
    </row>
    <row r="952" spans="1:14" x14ac:dyDescent="0.25">
      <c r="E952" s="22" t="s">
        <v>166</v>
      </c>
      <c r="F952" s="22" t="s">
        <v>125</v>
      </c>
      <c r="G952" s="22">
        <v>0</v>
      </c>
      <c r="H952" s="22" t="s">
        <v>124</v>
      </c>
    </row>
    <row r="953" spans="1:14" x14ac:dyDescent="0.25">
      <c r="E953" s="22" t="s">
        <v>165</v>
      </c>
      <c r="F953" s="22" t="s">
        <v>113</v>
      </c>
      <c r="G953" s="22">
        <v>0</v>
      </c>
      <c r="H953" s="22" t="s">
        <v>92</v>
      </c>
    </row>
    <row r="954" spans="1:14" x14ac:dyDescent="0.25">
      <c r="E954" s="22" t="s">
        <v>166</v>
      </c>
      <c r="F954" s="22" t="s">
        <v>102</v>
      </c>
      <c r="G954" s="22" t="s">
        <v>92</v>
      </c>
      <c r="H954" s="22" t="s">
        <v>102</v>
      </c>
    </row>
    <row r="955" spans="1:14" x14ac:dyDescent="0.25">
      <c r="A955" s="22" t="s">
        <v>10</v>
      </c>
      <c r="B955" s="22" t="s">
        <v>99</v>
      </c>
      <c r="C955" s="22">
        <v>60</v>
      </c>
      <c r="D955" s="22">
        <v>80</v>
      </c>
      <c r="E955" s="22" t="s">
        <v>165</v>
      </c>
      <c r="F955" s="22" t="s">
        <v>127</v>
      </c>
      <c r="G955" s="22" t="s">
        <v>128</v>
      </c>
      <c r="H955" s="22" t="s">
        <v>127</v>
      </c>
      <c r="I955" s="22" t="s">
        <v>65</v>
      </c>
      <c r="J955" s="22" t="s">
        <v>95</v>
      </c>
      <c r="K955" s="22" t="s">
        <v>95</v>
      </c>
      <c r="L955" s="22" t="s">
        <v>95</v>
      </c>
      <c r="M955" s="22">
        <v>695</v>
      </c>
      <c r="N955" s="22">
        <v>95</v>
      </c>
    </row>
    <row r="956" spans="1:14" x14ac:dyDescent="0.25">
      <c r="E956" s="22" t="s">
        <v>166</v>
      </c>
      <c r="F956" s="22" t="s">
        <v>125</v>
      </c>
      <c r="G956" s="22">
        <v>0</v>
      </c>
      <c r="H956" s="22" t="s">
        <v>128</v>
      </c>
    </row>
    <row r="957" spans="1:14" x14ac:dyDescent="0.25">
      <c r="E957" s="22" t="s">
        <v>165</v>
      </c>
      <c r="F957" s="22" t="s">
        <v>92</v>
      </c>
      <c r="G957" s="22">
        <v>0</v>
      </c>
      <c r="H957" s="22" t="s">
        <v>92</v>
      </c>
    </row>
    <row r="958" spans="1:14" x14ac:dyDescent="0.25">
      <c r="E958" s="22" t="s">
        <v>166</v>
      </c>
      <c r="F958" s="22" t="s">
        <v>102</v>
      </c>
      <c r="G958" s="22" t="s">
        <v>92</v>
      </c>
      <c r="H958" s="22" t="s">
        <v>102</v>
      </c>
    </row>
    <row r="959" spans="1:14" x14ac:dyDescent="0.25">
      <c r="A959" s="22" t="s">
        <v>10</v>
      </c>
      <c r="B959" s="22" t="s">
        <v>100</v>
      </c>
      <c r="C959" s="22">
        <v>60</v>
      </c>
      <c r="D959" s="22">
        <v>80</v>
      </c>
      <c r="E959" s="22" t="s">
        <v>165</v>
      </c>
      <c r="F959" s="22" t="s">
        <v>127</v>
      </c>
      <c r="G959" s="22" t="s">
        <v>128</v>
      </c>
      <c r="H959" s="22" t="s">
        <v>127</v>
      </c>
      <c r="I959" s="22" t="s">
        <v>65</v>
      </c>
      <c r="J959" s="22" t="s">
        <v>103</v>
      </c>
      <c r="K959" s="22" t="s">
        <v>103</v>
      </c>
      <c r="L959" s="22" t="s">
        <v>103</v>
      </c>
      <c r="M959" s="22">
        <v>620</v>
      </c>
      <c r="N959" s="22">
        <v>85</v>
      </c>
    </row>
    <row r="960" spans="1:14" x14ac:dyDescent="0.25">
      <c r="E960" s="22" t="s">
        <v>166</v>
      </c>
      <c r="F960" s="22" t="s">
        <v>128</v>
      </c>
      <c r="G960" s="22">
        <v>0</v>
      </c>
      <c r="H960" s="22" t="s">
        <v>125</v>
      </c>
    </row>
    <row r="961" spans="1:14" x14ac:dyDescent="0.25">
      <c r="E961" s="22" t="s">
        <v>165</v>
      </c>
      <c r="F961" s="22" t="s">
        <v>92</v>
      </c>
      <c r="G961" s="22">
        <v>0</v>
      </c>
      <c r="H961" s="22" t="s">
        <v>92</v>
      </c>
    </row>
    <row r="962" spans="1:14" x14ac:dyDescent="0.25">
      <c r="E962" s="22" t="s">
        <v>166</v>
      </c>
      <c r="F962" s="22" t="s">
        <v>102</v>
      </c>
      <c r="G962" s="22" t="s">
        <v>92</v>
      </c>
      <c r="H962" s="22" t="s">
        <v>102</v>
      </c>
    </row>
    <row r="963" spans="1:14" x14ac:dyDescent="0.25">
      <c r="A963" s="22" t="s">
        <v>10</v>
      </c>
      <c r="B963" s="22" t="s">
        <v>80</v>
      </c>
      <c r="C963" s="22">
        <v>60</v>
      </c>
      <c r="D963" s="22">
        <v>80</v>
      </c>
      <c r="E963" s="22" t="s">
        <v>165</v>
      </c>
      <c r="F963" s="22" t="s">
        <v>127</v>
      </c>
      <c r="G963" s="22" t="s">
        <v>128</v>
      </c>
      <c r="H963" s="22" t="s">
        <v>127</v>
      </c>
      <c r="I963" s="22" t="s">
        <v>7</v>
      </c>
      <c r="J963" s="22" t="s">
        <v>110</v>
      </c>
      <c r="K963" s="22" t="s">
        <v>110</v>
      </c>
      <c r="L963" s="22" t="s">
        <v>110</v>
      </c>
      <c r="M963" s="22">
        <v>620</v>
      </c>
      <c r="N963" s="22">
        <v>130</v>
      </c>
    </row>
    <row r="964" spans="1:14" x14ac:dyDescent="0.25">
      <c r="E964" s="22" t="s">
        <v>166</v>
      </c>
      <c r="F964" s="22" t="s">
        <v>124</v>
      </c>
      <c r="G964" s="22">
        <v>0</v>
      </c>
      <c r="H964" s="22" t="s">
        <v>125</v>
      </c>
    </row>
    <row r="965" spans="1:14" x14ac:dyDescent="0.25">
      <c r="E965" s="22" t="s">
        <v>165</v>
      </c>
      <c r="F965" s="22" t="s">
        <v>90</v>
      </c>
      <c r="G965" s="22">
        <v>0</v>
      </c>
      <c r="H965" s="22" t="s">
        <v>113</v>
      </c>
    </row>
    <row r="966" spans="1:14" x14ac:dyDescent="0.25">
      <c r="E966" s="22" t="s">
        <v>166</v>
      </c>
      <c r="F966" s="22" t="s">
        <v>102</v>
      </c>
      <c r="G966" s="22" t="s">
        <v>92</v>
      </c>
      <c r="H966" s="22" t="s">
        <v>102</v>
      </c>
    </row>
    <row r="967" spans="1:14" x14ac:dyDescent="0.25">
      <c r="A967" s="22" t="s">
        <v>10</v>
      </c>
      <c r="B967" s="22" t="s">
        <v>104</v>
      </c>
      <c r="C967" s="22">
        <v>60</v>
      </c>
      <c r="D967" s="22">
        <v>80</v>
      </c>
      <c r="E967" s="22" t="s">
        <v>165</v>
      </c>
      <c r="F967" s="22" t="s">
        <v>127</v>
      </c>
      <c r="G967" s="22" t="s">
        <v>128</v>
      </c>
      <c r="H967" s="22" t="s">
        <v>127</v>
      </c>
      <c r="I967" s="22" t="s">
        <v>65</v>
      </c>
      <c r="J967" s="22" t="s">
        <v>103</v>
      </c>
      <c r="K967" s="22" t="s">
        <v>103</v>
      </c>
      <c r="L967" s="22" t="s">
        <v>103</v>
      </c>
      <c r="M967" s="22">
        <v>620</v>
      </c>
      <c r="N967" s="22">
        <v>75</v>
      </c>
    </row>
    <row r="968" spans="1:14" x14ac:dyDescent="0.25">
      <c r="E968" s="22" t="s">
        <v>166</v>
      </c>
      <c r="F968" s="22" t="s">
        <v>124</v>
      </c>
      <c r="G968" s="22">
        <v>0</v>
      </c>
      <c r="H968" s="22" t="s">
        <v>125</v>
      </c>
    </row>
    <row r="969" spans="1:14" x14ac:dyDescent="0.25">
      <c r="E969" s="22" t="s">
        <v>165</v>
      </c>
      <c r="F969" s="22" t="s">
        <v>113</v>
      </c>
      <c r="G969" s="22">
        <v>0</v>
      </c>
      <c r="H969" s="22" t="s">
        <v>113</v>
      </c>
    </row>
    <row r="970" spans="1:14" x14ac:dyDescent="0.25">
      <c r="E970" s="22" t="s">
        <v>166</v>
      </c>
      <c r="F970" s="22" t="s">
        <v>102</v>
      </c>
      <c r="G970" s="22" t="s">
        <v>92</v>
      </c>
      <c r="H970" s="22" t="s">
        <v>102</v>
      </c>
    </row>
    <row r="971" spans="1:14" x14ac:dyDescent="0.25">
      <c r="A971" s="22" t="s">
        <v>10</v>
      </c>
      <c r="B971" s="22" t="s">
        <v>120</v>
      </c>
      <c r="C971" s="22">
        <v>50</v>
      </c>
      <c r="D971" s="22">
        <v>80</v>
      </c>
      <c r="E971" s="22" t="s">
        <v>165</v>
      </c>
      <c r="F971" s="22" t="s">
        <v>124</v>
      </c>
      <c r="G971" s="22" t="s">
        <v>125</v>
      </c>
      <c r="H971" s="22" t="s">
        <v>124</v>
      </c>
      <c r="I971" s="22" t="s">
        <v>7</v>
      </c>
      <c r="J971" s="22" t="s">
        <v>95</v>
      </c>
      <c r="K971" s="22" t="s">
        <v>95</v>
      </c>
      <c r="L971" s="22" t="s">
        <v>95</v>
      </c>
      <c r="M971" s="22">
        <v>685</v>
      </c>
      <c r="N971" s="22">
        <v>85</v>
      </c>
    </row>
    <row r="972" spans="1:14" x14ac:dyDescent="0.25">
      <c r="E972" s="22" t="s">
        <v>166</v>
      </c>
      <c r="F972" s="22" t="s">
        <v>128</v>
      </c>
      <c r="G972" s="22">
        <v>0</v>
      </c>
      <c r="H972" s="22" t="s">
        <v>126</v>
      </c>
    </row>
    <row r="973" spans="1:14" x14ac:dyDescent="0.25">
      <c r="E973" s="22" t="s">
        <v>165</v>
      </c>
      <c r="F973" s="22" t="s">
        <v>82</v>
      </c>
      <c r="G973" s="22">
        <v>0</v>
      </c>
      <c r="H973" s="22" t="s">
        <v>92</v>
      </c>
    </row>
    <row r="974" spans="1:14" x14ac:dyDescent="0.25">
      <c r="E974" s="22" t="s">
        <v>166</v>
      </c>
      <c r="F974" s="22" t="s">
        <v>90</v>
      </c>
      <c r="G974" s="22" t="s">
        <v>82</v>
      </c>
      <c r="H974" s="22" t="s">
        <v>90</v>
      </c>
    </row>
    <row r="975" spans="1:14" x14ac:dyDescent="0.25">
      <c r="A975" s="22" t="s">
        <v>10</v>
      </c>
      <c r="B975" s="22" t="s">
        <v>106</v>
      </c>
      <c r="C975" s="22">
        <v>60</v>
      </c>
      <c r="D975" s="22">
        <v>80</v>
      </c>
      <c r="E975" s="22" t="s">
        <v>165</v>
      </c>
      <c r="F975" s="22" t="s">
        <v>124</v>
      </c>
      <c r="G975" s="22" t="s">
        <v>125</v>
      </c>
      <c r="H975" s="22" t="s">
        <v>127</v>
      </c>
      <c r="I975" s="22" t="s">
        <v>7</v>
      </c>
      <c r="J975" s="22" t="s">
        <v>91</v>
      </c>
      <c r="K975" s="22" t="s">
        <v>91</v>
      </c>
      <c r="L975" s="22" t="s">
        <v>91</v>
      </c>
      <c r="M975" s="22">
        <v>1220</v>
      </c>
      <c r="N975" s="22">
        <v>95</v>
      </c>
    </row>
    <row r="976" spans="1:14" x14ac:dyDescent="0.25">
      <c r="E976" s="22" t="s">
        <v>166</v>
      </c>
      <c r="F976" s="22" t="s">
        <v>126</v>
      </c>
      <c r="G976" s="22">
        <v>0</v>
      </c>
      <c r="H976" s="22" t="s">
        <v>126</v>
      </c>
    </row>
    <row r="977" spans="1:14" x14ac:dyDescent="0.25">
      <c r="E977" s="22" t="s">
        <v>165</v>
      </c>
      <c r="F977" s="22">
        <v>0</v>
      </c>
      <c r="G977" s="22">
        <v>0</v>
      </c>
      <c r="H977" s="22">
        <v>0</v>
      </c>
    </row>
    <row r="978" spans="1:14" x14ac:dyDescent="0.25">
      <c r="E978" s="22" t="s">
        <v>166</v>
      </c>
      <c r="F978" s="22" t="s">
        <v>113</v>
      </c>
      <c r="G978" s="22" t="s">
        <v>92</v>
      </c>
      <c r="H978" s="22" t="s">
        <v>90</v>
      </c>
    </row>
    <row r="979" spans="1:14" x14ac:dyDescent="0.25">
      <c r="A979" s="22" t="s">
        <v>10</v>
      </c>
      <c r="B979" s="22" t="s">
        <v>107</v>
      </c>
      <c r="C979" s="22">
        <v>60</v>
      </c>
      <c r="D979" s="22">
        <v>80</v>
      </c>
      <c r="E979" s="22" t="s">
        <v>165</v>
      </c>
      <c r="F979" s="22" t="s">
        <v>127</v>
      </c>
      <c r="G979" s="22" t="s">
        <v>128</v>
      </c>
      <c r="H979" s="22" t="s">
        <v>127</v>
      </c>
      <c r="I979" s="22" t="s">
        <v>65</v>
      </c>
      <c r="J979" s="22" t="s">
        <v>103</v>
      </c>
      <c r="K979" s="22" t="s">
        <v>103</v>
      </c>
      <c r="L979" s="22" t="s">
        <v>103</v>
      </c>
      <c r="M979" s="22">
        <v>540</v>
      </c>
      <c r="N979" s="22">
        <v>85</v>
      </c>
    </row>
    <row r="980" spans="1:14" x14ac:dyDescent="0.25">
      <c r="E980" s="22" t="s">
        <v>166</v>
      </c>
      <c r="F980" s="22" t="s">
        <v>125</v>
      </c>
      <c r="G980" s="22">
        <v>0</v>
      </c>
      <c r="H980" s="22" t="s">
        <v>128</v>
      </c>
    </row>
    <row r="981" spans="1:14" x14ac:dyDescent="0.25">
      <c r="E981" s="22" t="s">
        <v>165</v>
      </c>
      <c r="F981" s="22" t="s">
        <v>92</v>
      </c>
      <c r="G981" s="22">
        <v>0</v>
      </c>
      <c r="H981" s="22" t="s">
        <v>92</v>
      </c>
    </row>
    <row r="982" spans="1:14" x14ac:dyDescent="0.25">
      <c r="E982" s="22" t="s">
        <v>166</v>
      </c>
      <c r="F982" s="22" t="s">
        <v>102</v>
      </c>
      <c r="G982" s="22" t="s">
        <v>90</v>
      </c>
      <c r="H982" s="22" t="s">
        <v>102</v>
      </c>
    </row>
    <row r="983" spans="1:14" x14ac:dyDescent="0.25">
      <c r="A983" s="22" t="s">
        <v>10</v>
      </c>
      <c r="B983" s="22" t="s">
        <v>86</v>
      </c>
      <c r="C983" s="22">
        <v>60</v>
      </c>
      <c r="D983" s="22">
        <v>80</v>
      </c>
      <c r="E983" s="22" t="s">
        <v>165</v>
      </c>
      <c r="F983" s="22" t="s">
        <v>124</v>
      </c>
      <c r="G983" s="22" t="s">
        <v>125</v>
      </c>
      <c r="H983" s="22" t="s">
        <v>127</v>
      </c>
      <c r="I983" s="22" t="s">
        <v>7</v>
      </c>
      <c r="J983" s="22" t="s">
        <v>103</v>
      </c>
      <c r="K983" s="22" t="s">
        <v>103</v>
      </c>
      <c r="L983" s="22" t="s">
        <v>103</v>
      </c>
      <c r="M983" s="22">
        <v>540</v>
      </c>
      <c r="N983" s="22">
        <v>95</v>
      </c>
    </row>
    <row r="984" spans="1:14" x14ac:dyDescent="0.25">
      <c r="E984" s="22" t="s">
        <v>166</v>
      </c>
      <c r="F984" s="22" t="s">
        <v>126</v>
      </c>
      <c r="G984" s="22">
        <v>0</v>
      </c>
      <c r="H984" s="22" t="s">
        <v>125</v>
      </c>
    </row>
    <row r="985" spans="1:14" x14ac:dyDescent="0.25">
      <c r="E985" s="22" t="s">
        <v>165</v>
      </c>
      <c r="F985" s="22" t="s">
        <v>82</v>
      </c>
      <c r="G985" s="22">
        <v>0</v>
      </c>
      <c r="H985" s="22" t="s">
        <v>83</v>
      </c>
    </row>
    <row r="986" spans="1:14" x14ac:dyDescent="0.25">
      <c r="E986" s="22" t="s">
        <v>166</v>
      </c>
      <c r="F986" s="22" t="s">
        <v>102</v>
      </c>
      <c r="G986" s="22" t="s">
        <v>92</v>
      </c>
      <c r="H986" s="22" t="s">
        <v>102</v>
      </c>
    </row>
    <row r="987" spans="1:14" x14ac:dyDescent="0.25">
      <c r="A987" s="22" t="s">
        <v>10</v>
      </c>
      <c r="B987" s="22" t="s">
        <v>121</v>
      </c>
      <c r="C987" s="22">
        <v>60</v>
      </c>
      <c r="D987" s="22">
        <v>80</v>
      </c>
      <c r="E987" s="22" t="s">
        <v>165</v>
      </c>
      <c r="F987" s="22" t="s">
        <v>127</v>
      </c>
      <c r="G987" s="22" t="s">
        <v>125</v>
      </c>
      <c r="H987" s="22" t="s">
        <v>127</v>
      </c>
      <c r="I987" s="22" t="s">
        <v>7</v>
      </c>
      <c r="J987" s="22" t="s">
        <v>91</v>
      </c>
      <c r="K987" s="22" t="s">
        <v>91</v>
      </c>
      <c r="L987" s="22" t="s">
        <v>91</v>
      </c>
      <c r="M987" s="22">
        <v>1160</v>
      </c>
      <c r="N987" s="22">
        <v>115</v>
      </c>
    </row>
    <row r="988" spans="1:14" x14ac:dyDescent="0.25">
      <c r="E988" s="22" t="s">
        <v>166</v>
      </c>
      <c r="F988" s="22" t="s">
        <v>126</v>
      </c>
      <c r="G988" s="22">
        <v>0</v>
      </c>
      <c r="H988" s="22" t="s">
        <v>126</v>
      </c>
    </row>
    <row r="989" spans="1:14" x14ac:dyDescent="0.25">
      <c r="E989" s="22" t="s">
        <v>165</v>
      </c>
      <c r="F989" s="22">
        <v>0</v>
      </c>
      <c r="G989" s="22">
        <v>0</v>
      </c>
      <c r="H989" s="22">
        <v>0</v>
      </c>
    </row>
    <row r="990" spans="1:14" x14ac:dyDescent="0.25">
      <c r="E990" s="22" t="s">
        <v>166</v>
      </c>
      <c r="F990" s="22" t="s">
        <v>90</v>
      </c>
      <c r="G990" s="22" t="s">
        <v>92</v>
      </c>
      <c r="H990" s="22" t="s">
        <v>113</v>
      </c>
    </row>
    <row r="991" spans="1:14" x14ac:dyDescent="0.25">
      <c r="A991" s="22" t="s">
        <v>10</v>
      </c>
      <c r="B991" s="22" t="s">
        <v>111</v>
      </c>
      <c r="C991" s="22">
        <v>60</v>
      </c>
      <c r="D991" s="22">
        <v>80</v>
      </c>
      <c r="E991" s="22" t="s">
        <v>165</v>
      </c>
      <c r="F991" s="22" t="s">
        <v>127</v>
      </c>
      <c r="G991" s="22" t="s">
        <v>128</v>
      </c>
      <c r="H991" s="22" t="s">
        <v>127</v>
      </c>
      <c r="I991" s="22" t="s">
        <v>65</v>
      </c>
      <c r="J991" s="22" t="s">
        <v>110</v>
      </c>
      <c r="K991" s="22" t="s">
        <v>110</v>
      </c>
      <c r="L991" s="22" t="s">
        <v>110</v>
      </c>
      <c r="M991" s="22">
        <v>540</v>
      </c>
      <c r="N991" s="22">
        <v>75</v>
      </c>
    </row>
    <row r="992" spans="1:14" x14ac:dyDescent="0.25">
      <c r="E992" s="22" t="s">
        <v>166</v>
      </c>
      <c r="F992" s="22" t="s">
        <v>124</v>
      </c>
      <c r="G992" s="22">
        <v>0</v>
      </c>
      <c r="H992" s="22" t="s">
        <v>124</v>
      </c>
    </row>
    <row r="993" spans="1:14" x14ac:dyDescent="0.25">
      <c r="E993" s="22" t="s">
        <v>165</v>
      </c>
      <c r="F993" s="22" t="s">
        <v>113</v>
      </c>
      <c r="G993" s="22">
        <v>0</v>
      </c>
      <c r="H993" s="22" t="s">
        <v>102</v>
      </c>
    </row>
    <row r="994" spans="1:14" x14ac:dyDescent="0.25">
      <c r="E994" s="22" t="s">
        <v>166</v>
      </c>
      <c r="F994" s="22" t="s">
        <v>102</v>
      </c>
      <c r="G994" s="22" t="s">
        <v>82</v>
      </c>
      <c r="H994" s="22" t="s">
        <v>102</v>
      </c>
    </row>
    <row r="995" spans="1:14" x14ac:dyDescent="0.25">
      <c r="A995" s="22" t="s">
        <v>10</v>
      </c>
      <c r="B995" s="22" t="s">
        <v>112</v>
      </c>
      <c r="C995" s="22">
        <v>60</v>
      </c>
      <c r="D995" s="22">
        <v>80</v>
      </c>
      <c r="E995" s="22" t="s">
        <v>165</v>
      </c>
      <c r="F995" s="22" t="s">
        <v>127</v>
      </c>
      <c r="G995" s="22" t="s">
        <v>128</v>
      </c>
      <c r="H995" s="22" t="s">
        <v>127</v>
      </c>
      <c r="I995" s="22" t="s">
        <v>65</v>
      </c>
      <c r="J995" s="22" t="s">
        <v>103</v>
      </c>
      <c r="K995" s="22" t="s">
        <v>103</v>
      </c>
      <c r="L995" s="22" t="s">
        <v>103</v>
      </c>
      <c r="M995" s="22">
        <v>685</v>
      </c>
      <c r="N995" s="22">
        <v>90</v>
      </c>
    </row>
    <row r="996" spans="1:14" x14ac:dyDescent="0.25">
      <c r="E996" s="22" t="s">
        <v>166</v>
      </c>
      <c r="F996" s="22" t="s">
        <v>124</v>
      </c>
      <c r="G996" s="22">
        <v>0</v>
      </c>
      <c r="H996" s="22" t="s">
        <v>128</v>
      </c>
    </row>
    <row r="997" spans="1:14" x14ac:dyDescent="0.25">
      <c r="E997" s="22" t="s">
        <v>165</v>
      </c>
      <c r="F997" s="22" t="s">
        <v>113</v>
      </c>
      <c r="G997" s="22">
        <v>0</v>
      </c>
      <c r="H997" s="22" t="s">
        <v>113</v>
      </c>
    </row>
    <row r="998" spans="1:14" x14ac:dyDescent="0.25">
      <c r="E998" s="22" t="s">
        <v>166</v>
      </c>
      <c r="F998" s="22" t="s">
        <v>102</v>
      </c>
      <c r="G998" s="22" t="s">
        <v>92</v>
      </c>
      <c r="H998" s="22" t="s">
        <v>102</v>
      </c>
    </row>
    <row r="999" spans="1:14" x14ac:dyDescent="0.25">
      <c r="A999" s="22" t="s">
        <v>10</v>
      </c>
      <c r="B999" s="22" t="s">
        <v>114</v>
      </c>
      <c r="C999" s="22">
        <v>60</v>
      </c>
      <c r="D999" s="22">
        <v>80</v>
      </c>
      <c r="E999" s="22" t="s">
        <v>165</v>
      </c>
      <c r="F999" s="22" t="s">
        <v>127</v>
      </c>
      <c r="G999" s="22" t="s">
        <v>127</v>
      </c>
      <c r="H999" s="22" t="s">
        <v>127</v>
      </c>
      <c r="I999" s="22" t="s">
        <v>65</v>
      </c>
      <c r="J999" s="22" t="s">
        <v>110</v>
      </c>
      <c r="K999" s="22" t="s">
        <v>110</v>
      </c>
      <c r="L999" s="22" t="s">
        <v>110</v>
      </c>
      <c r="M999" s="22">
        <v>525</v>
      </c>
      <c r="N999" s="22">
        <v>85</v>
      </c>
    </row>
    <row r="1000" spans="1:14" x14ac:dyDescent="0.25">
      <c r="E1000" s="22" t="s">
        <v>166</v>
      </c>
      <c r="F1000" s="22" t="s">
        <v>128</v>
      </c>
      <c r="G1000" s="22" t="s">
        <v>125</v>
      </c>
      <c r="H1000" s="22" t="s">
        <v>125</v>
      </c>
    </row>
    <row r="1001" spans="1:14" x14ac:dyDescent="0.25">
      <c r="E1001" s="22" t="s">
        <v>165</v>
      </c>
      <c r="F1001" s="22" t="s">
        <v>92</v>
      </c>
      <c r="G1001" s="22" t="s">
        <v>92</v>
      </c>
      <c r="H1001" s="22" t="s">
        <v>92</v>
      </c>
    </row>
    <row r="1002" spans="1:14" x14ac:dyDescent="0.25">
      <c r="E1002" s="22" t="s">
        <v>166</v>
      </c>
      <c r="F1002" s="22" t="s">
        <v>102</v>
      </c>
      <c r="G1002" s="22" t="s">
        <v>102</v>
      </c>
      <c r="H1002" s="22" t="s">
        <v>102</v>
      </c>
    </row>
    <row r="1003" spans="1:14" x14ac:dyDescent="0.25">
      <c r="A1003" s="22" t="s">
        <v>10</v>
      </c>
      <c r="B1003" s="22" t="s">
        <v>115</v>
      </c>
      <c r="C1003" s="22">
        <v>60</v>
      </c>
      <c r="D1003" s="22">
        <v>80</v>
      </c>
      <c r="E1003" s="22" t="s">
        <v>165</v>
      </c>
      <c r="F1003" s="22" t="s">
        <v>127</v>
      </c>
      <c r="G1003" s="22" t="s">
        <v>124</v>
      </c>
      <c r="H1003" s="22" t="s">
        <v>127</v>
      </c>
      <c r="I1003" s="22" t="s">
        <v>7</v>
      </c>
      <c r="J1003" s="22" t="s">
        <v>110</v>
      </c>
      <c r="K1003" s="22" t="s">
        <v>110</v>
      </c>
      <c r="L1003" s="22" t="s">
        <v>110</v>
      </c>
      <c r="M1003" s="22">
        <v>695</v>
      </c>
      <c r="N1003" s="22">
        <v>95</v>
      </c>
    </row>
    <row r="1004" spans="1:14" x14ac:dyDescent="0.25">
      <c r="E1004" s="22" t="s">
        <v>166</v>
      </c>
      <c r="F1004" s="22" t="s">
        <v>127</v>
      </c>
      <c r="G1004" s="22">
        <v>0</v>
      </c>
      <c r="H1004" s="22" t="s">
        <v>124</v>
      </c>
    </row>
    <row r="1005" spans="1:14" x14ac:dyDescent="0.25">
      <c r="E1005" s="22" t="s">
        <v>165</v>
      </c>
      <c r="F1005" s="22" t="s">
        <v>109</v>
      </c>
      <c r="G1005" s="22">
        <v>0</v>
      </c>
      <c r="H1005" s="22" t="s">
        <v>113</v>
      </c>
    </row>
    <row r="1006" spans="1:14" x14ac:dyDescent="0.25">
      <c r="E1006" s="22" t="s">
        <v>166</v>
      </c>
      <c r="F1006" s="22" t="s">
        <v>102</v>
      </c>
      <c r="G1006" s="22" t="s">
        <v>90</v>
      </c>
      <c r="H1006" s="22" t="s">
        <v>102</v>
      </c>
    </row>
    <row r="1007" spans="1:14" x14ac:dyDescent="0.25">
      <c r="A1007" s="22" t="s">
        <v>10</v>
      </c>
      <c r="B1007" s="22" t="s">
        <v>116</v>
      </c>
      <c r="C1007" s="22">
        <v>60</v>
      </c>
      <c r="D1007" s="22">
        <v>80</v>
      </c>
      <c r="E1007" s="22" t="s">
        <v>165</v>
      </c>
      <c r="F1007" s="22" t="s">
        <v>127</v>
      </c>
      <c r="G1007" s="22" t="s">
        <v>128</v>
      </c>
      <c r="H1007" s="22" t="s">
        <v>127</v>
      </c>
      <c r="I1007" s="22" t="s">
        <v>65</v>
      </c>
      <c r="J1007" s="22" t="s">
        <v>93</v>
      </c>
      <c r="K1007" s="22" t="s">
        <v>93</v>
      </c>
      <c r="L1007" s="22" t="s">
        <v>93</v>
      </c>
      <c r="M1007" s="22">
        <v>1000</v>
      </c>
      <c r="N1007" s="22">
        <v>150</v>
      </c>
    </row>
    <row r="1008" spans="1:14" x14ac:dyDescent="0.25">
      <c r="E1008" s="22" t="s">
        <v>166</v>
      </c>
      <c r="F1008" s="22" t="s">
        <v>126</v>
      </c>
      <c r="G1008" s="22">
        <v>0</v>
      </c>
      <c r="H1008" s="22" t="s">
        <v>128</v>
      </c>
    </row>
    <row r="1009" spans="1:14" x14ac:dyDescent="0.25">
      <c r="E1009" s="22" t="s">
        <v>165</v>
      </c>
      <c r="F1009" s="22" t="s">
        <v>78</v>
      </c>
      <c r="G1009" s="22">
        <v>0</v>
      </c>
      <c r="H1009" s="22">
        <v>0</v>
      </c>
    </row>
    <row r="1010" spans="1:14" x14ac:dyDescent="0.25">
      <c r="E1010" s="22" t="s">
        <v>166</v>
      </c>
      <c r="F1010" s="22" t="s">
        <v>113</v>
      </c>
      <c r="G1010" s="22" t="s">
        <v>92</v>
      </c>
      <c r="H1010" s="22" t="s">
        <v>102</v>
      </c>
    </row>
    <row r="1011" spans="1:14" x14ac:dyDescent="0.25">
      <c r="A1011" s="22" t="s">
        <v>10</v>
      </c>
      <c r="B1011" s="22" t="s">
        <v>117</v>
      </c>
      <c r="C1011" s="22">
        <v>60</v>
      </c>
      <c r="D1011" s="22">
        <v>80</v>
      </c>
      <c r="E1011" s="22" t="s">
        <v>165</v>
      </c>
      <c r="F1011" s="22" t="s">
        <v>127</v>
      </c>
      <c r="G1011" s="22" t="s">
        <v>125</v>
      </c>
      <c r="H1011" s="22" t="s">
        <v>127</v>
      </c>
      <c r="I1011" s="22" t="s">
        <v>65</v>
      </c>
      <c r="J1011" s="22" t="s">
        <v>93</v>
      </c>
      <c r="K1011" s="22" t="s">
        <v>93</v>
      </c>
      <c r="L1011" s="22" t="s">
        <v>93</v>
      </c>
      <c r="M1011" s="22">
        <v>1000</v>
      </c>
      <c r="N1011" s="22">
        <v>80</v>
      </c>
    </row>
    <row r="1012" spans="1:14" x14ac:dyDescent="0.25">
      <c r="E1012" s="22" t="s">
        <v>166</v>
      </c>
      <c r="F1012" s="22" t="s">
        <v>125</v>
      </c>
      <c r="G1012" s="22">
        <v>0</v>
      </c>
      <c r="H1012" s="22" t="s">
        <v>125</v>
      </c>
    </row>
    <row r="1013" spans="1:14" x14ac:dyDescent="0.25">
      <c r="E1013" s="22" t="s">
        <v>165</v>
      </c>
      <c r="F1013" s="22" t="s">
        <v>78</v>
      </c>
      <c r="G1013" s="22">
        <v>0</v>
      </c>
      <c r="H1013" s="22" t="s">
        <v>78</v>
      </c>
    </row>
    <row r="1014" spans="1:14" x14ac:dyDescent="0.25">
      <c r="E1014" s="22" t="s">
        <v>166</v>
      </c>
      <c r="F1014" s="22" t="s">
        <v>113</v>
      </c>
      <c r="G1014" s="22" t="s">
        <v>92</v>
      </c>
      <c r="H1014" s="22" t="s">
        <v>113</v>
      </c>
    </row>
    <row r="1015" spans="1:14" x14ac:dyDescent="0.25">
      <c r="A1015" s="22" t="s">
        <v>10</v>
      </c>
      <c r="B1015" s="22" t="s">
        <v>118</v>
      </c>
      <c r="C1015" s="22">
        <v>60</v>
      </c>
      <c r="D1015" s="22">
        <v>80</v>
      </c>
      <c r="E1015" s="22" t="s">
        <v>165</v>
      </c>
      <c r="F1015" s="22" t="s">
        <v>127</v>
      </c>
      <c r="G1015" s="22" t="s">
        <v>124</v>
      </c>
      <c r="H1015" s="22" t="s">
        <v>127</v>
      </c>
      <c r="I1015" s="22" t="s">
        <v>65</v>
      </c>
      <c r="J1015" s="22" t="s">
        <v>103</v>
      </c>
      <c r="K1015" s="22" t="s">
        <v>103</v>
      </c>
      <c r="L1015" s="22" t="s">
        <v>103</v>
      </c>
      <c r="M1015" s="22">
        <v>695</v>
      </c>
      <c r="N1015" s="22">
        <v>95</v>
      </c>
    </row>
    <row r="1016" spans="1:14" x14ac:dyDescent="0.25">
      <c r="E1016" s="22" t="s">
        <v>166</v>
      </c>
      <c r="F1016" s="22" t="s">
        <v>127</v>
      </c>
      <c r="G1016" s="22">
        <v>0</v>
      </c>
      <c r="H1016" s="22" t="s">
        <v>124</v>
      </c>
    </row>
    <row r="1017" spans="1:14" x14ac:dyDescent="0.25">
      <c r="E1017" s="22" t="s">
        <v>165</v>
      </c>
      <c r="F1017" s="22" t="s">
        <v>109</v>
      </c>
      <c r="G1017" s="22">
        <v>0</v>
      </c>
      <c r="H1017" s="22" t="s">
        <v>102</v>
      </c>
    </row>
    <row r="1018" spans="1:14" x14ac:dyDescent="0.25">
      <c r="E1018" s="22" t="s">
        <v>166</v>
      </c>
      <c r="F1018" s="22" t="s">
        <v>102</v>
      </c>
      <c r="G1018" s="22" t="s">
        <v>113</v>
      </c>
      <c r="H1018" s="22" t="s">
        <v>102</v>
      </c>
    </row>
    <row r="1019" spans="1:14" x14ac:dyDescent="0.25">
      <c r="A1019" s="22" t="s">
        <v>11</v>
      </c>
      <c r="B1019" s="22" t="s">
        <v>97</v>
      </c>
      <c r="C1019" s="22">
        <v>60</v>
      </c>
      <c r="D1019" s="22">
        <v>90</v>
      </c>
      <c r="E1019" s="22" t="s">
        <v>165</v>
      </c>
      <c r="F1019" s="22" t="s">
        <v>127</v>
      </c>
      <c r="G1019" s="22" t="s">
        <v>128</v>
      </c>
      <c r="H1019" s="22" t="s">
        <v>127</v>
      </c>
      <c r="I1019" s="22" t="s">
        <v>65</v>
      </c>
      <c r="J1019" s="22" t="s">
        <v>103</v>
      </c>
      <c r="K1019" s="22" t="s">
        <v>103</v>
      </c>
      <c r="L1019" s="22" t="s">
        <v>103</v>
      </c>
      <c r="M1019" s="22">
        <v>685</v>
      </c>
      <c r="N1019" s="22">
        <v>110</v>
      </c>
    </row>
    <row r="1020" spans="1:14" x14ac:dyDescent="0.25">
      <c r="E1020" s="22" t="s">
        <v>166</v>
      </c>
      <c r="F1020" s="22" t="s">
        <v>124</v>
      </c>
      <c r="G1020" s="22">
        <v>0</v>
      </c>
      <c r="H1020" s="22" t="s">
        <v>126</v>
      </c>
    </row>
    <row r="1021" spans="1:14" x14ac:dyDescent="0.25">
      <c r="E1021" s="22" t="s">
        <v>165</v>
      </c>
      <c r="F1021" s="22" t="s">
        <v>92</v>
      </c>
      <c r="G1021" s="22">
        <v>0</v>
      </c>
      <c r="H1021" s="22" t="s">
        <v>90</v>
      </c>
    </row>
    <row r="1022" spans="1:14" x14ac:dyDescent="0.25">
      <c r="E1022" s="22" t="s">
        <v>166</v>
      </c>
      <c r="F1022" s="22" t="s">
        <v>102</v>
      </c>
      <c r="G1022" s="22" t="s">
        <v>90</v>
      </c>
      <c r="H1022" s="22" t="s">
        <v>102</v>
      </c>
    </row>
    <row r="1023" spans="1:14" x14ac:dyDescent="0.25">
      <c r="A1023" s="22" t="s">
        <v>11</v>
      </c>
      <c r="B1023" s="22" t="s">
        <v>98</v>
      </c>
      <c r="C1023" s="22">
        <v>60</v>
      </c>
      <c r="D1023" s="22">
        <v>90</v>
      </c>
      <c r="E1023" s="22" t="s">
        <v>165</v>
      </c>
      <c r="F1023" s="22" t="s">
        <v>127</v>
      </c>
      <c r="G1023" s="22" t="s">
        <v>127</v>
      </c>
      <c r="H1023" s="22" t="s">
        <v>127</v>
      </c>
      <c r="I1023" s="22" t="s">
        <v>65</v>
      </c>
      <c r="J1023" s="22" t="s">
        <v>129</v>
      </c>
      <c r="K1023" s="22" t="s">
        <v>129</v>
      </c>
      <c r="L1023" s="22" t="s">
        <v>129</v>
      </c>
      <c r="M1023" s="22">
        <v>525</v>
      </c>
      <c r="N1023" s="22">
        <v>110</v>
      </c>
    </row>
    <row r="1024" spans="1:14" x14ac:dyDescent="0.25">
      <c r="E1024" s="22" t="s">
        <v>166</v>
      </c>
      <c r="F1024" s="22" t="s">
        <v>126</v>
      </c>
      <c r="G1024" s="22" t="s">
        <v>126</v>
      </c>
      <c r="H1024" s="22" t="s">
        <v>128</v>
      </c>
    </row>
    <row r="1025" spans="1:14" x14ac:dyDescent="0.25">
      <c r="E1025" s="22" t="s">
        <v>165</v>
      </c>
      <c r="F1025" s="22" t="s">
        <v>90</v>
      </c>
      <c r="G1025" s="22" t="s">
        <v>83</v>
      </c>
      <c r="H1025" s="22" t="s">
        <v>83</v>
      </c>
    </row>
    <row r="1026" spans="1:14" x14ac:dyDescent="0.25">
      <c r="E1026" s="22" t="s">
        <v>166</v>
      </c>
      <c r="F1026" s="22" t="s">
        <v>102</v>
      </c>
      <c r="G1026" s="22" t="s">
        <v>102</v>
      </c>
      <c r="H1026" s="22" t="s">
        <v>102</v>
      </c>
    </row>
    <row r="1027" spans="1:14" x14ac:dyDescent="0.25">
      <c r="A1027" s="22" t="s">
        <v>11</v>
      </c>
      <c r="B1027" s="22" t="s">
        <v>99</v>
      </c>
      <c r="C1027" s="22">
        <v>60</v>
      </c>
      <c r="D1027" s="22">
        <v>90</v>
      </c>
      <c r="E1027" s="22" t="s">
        <v>165</v>
      </c>
      <c r="F1027" s="22" t="s">
        <v>127</v>
      </c>
      <c r="G1027" s="22" t="s">
        <v>128</v>
      </c>
      <c r="H1027" s="22" t="s">
        <v>127</v>
      </c>
      <c r="I1027" s="22" t="s">
        <v>65</v>
      </c>
      <c r="J1027" s="22" t="s">
        <v>95</v>
      </c>
      <c r="K1027" s="22" t="s">
        <v>95</v>
      </c>
      <c r="L1027" s="22" t="s">
        <v>95</v>
      </c>
      <c r="M1027" s="22">
        <v>695</v>
      </c>
      <c r="N1027" s="22">
        <v>110</v>
      </c>
    </row>
    <row r="1028" spans="1:14" x14ac:dyDescent="0.25">
      <c r="E1028" s="22" t="s">
        <v>166</v>
      </c>
      <c r="F1028" s="22" t="s">
        <v>128</v>
      </c>
      <c r="G1028" s="22">
        <v>0</v>
      </c>
      <c r="H1028" s="22" t="s">
        <v>128</v>
      </c>
    </row>
    <row r="1029" spans="1:14" x14ac:dyDescent="0.25">
      <c r="E1029" s="22" t="s">
        <v>165</v>
      </c>
      <c r="F1029" s="22" t="s">
        <v>90</v>
      </c>
      <c r="G1029" s="22">
        <v>0</v>
      </c>
      <c r="H1029" s="22" t="s">
        <v>113</v>
      </c>
    </row>
    <row r="1030" spans="1:14" x14ac:dyDescent="0.25">
      <c r="E1030" s="22" t="s">
        <v>166</v>
      </c>
      <c r="F1030" s="22" t="s">
        <v>102</v>
      </c>
      <c r="G1030" s="22" t="s">
        <v>90</v>
      </c>
      <c r="H1030" s="22" t="s">
        <v>102</v>
      </c>
    </row>
    <row r="1031" spans="1:14" x14ac:dyDescent="0.25">
      <c r="A1031" s="22" t="s">
        <v>11</v>
      </c>
      <c r="B1031" s="22" t="s">
        <v>100</v>
      </c>
      <c r="C1031" s="22">
        <v>60</v>
      </c>
      <c r="D1031" s="22">
        <v>90</v>
      </c>
      <c r="E1031" s="22" t="s">
        <v>165</v>
      </c>
      <c r="F1031" s="22" t="s">
        <v>127</v>
      </c>
      <c r="G1031" s="22" t="s">
        <v>128</v>
      </c>
      <c r="H1031" s="22" t="s">
        <v>127</v>
      </c>
      <c r="I1031" s="22" t="s">
        <v>65</v>
      </c>
      <c r="J1031" s="22" t="s">
        <v>103</v>
      </c>
      <c r="K1031" s="22" t="s">
        <v>103</v>
      </c>
      <c r="L1031" s="22" t="s">
        <v>103</v>
      </c>
      <c r="M1031" s="22">
        <v>620</v>
      </c>
      <c r="N1031" s="22">
        <v>90</v>
      </c>
    </row>
    <row r="1032" spans="1:14" x14ac:dyDescent="0.25">
      <c r="E1032" s="22" t="s">
        <v>166</v>
      </c>
      <c r="F1032" s="22" t="s">
        <v>125</v>
      </c>
      <c r="G1032" s="22">
        <v>0</v>
      </c>
      <c r="H1032" s="22" t="s">
        <v>125</v>
      </c>
    </row>
    <row r="1033" spans="1:14" x14ac:dyDescent="0.25">
      <c r="E1033" s="22" t="s">
        <v>165</v>
      </c>
      <c r="F1033" s="22" t="s">
        <v>82</v>
      </c>
      <c r="G1033" s="22">
        <v>0</v>
      </c>
      <c r="H1033" s="22" t="s">
        <v>92</v>
      </c>
    </row>
    <row r="1034" spans="1:14" x14ac:dyDescent="0.25">
      <c r="E1034" s="22" t="s">
        <v>166</v>
      </c>
      <c r="F1034" s="22" t="s">
        <v>102</v>
      </c>
      <c r="G1034" s="22" t="s">
        <v>82</v>
      </c>
      <c r="H1034" s="22" t="s">
        <v>102</v>
      </c>
    </row>
    <row r="1035" spans="1:14" x14ac:dyDescent="0.25">
      <c r="A1035" s="22" t="s">
        <v>11</v>
      </c>
      <c r="B1035" s="22" t="s">
        <v>80</v>
      </c>
      <c r="C1035" s="22">
        <v>60</v>
      </c>
      <c r="D1035" s="22">
        <v>80</v>
      </c>
      <c r="E1035" s="22" t="s">
        <v>165</v>
      </c>
      <c r="F1035" s="22" t="s">
        <v>127</v>
      </c>
      <c r="G1035" s="22" t="s">
        <v>128</v>
      </c>
      <c r="H1035" s="22" t="s">
        <v>124</v>
      </c>
      <c r="I1035" s="22" t="s">
        <v>7</v>
      </c>
      <c r="J1035" s="22" t="s">
        <v>103</v>
      </c>
      <c r="K1035" s="22" t="s">
        <v>103</v>
      </c>
      <c r="L1035" s="22" t="s">
        <v>103</v>
      </c>
      <c r="M1035" s="22">
        <v>620</v>
      </c>
      <c r="N1035" s="22">
        <v>145</v>
      </c>
    </row>
    <row r="1036" spans="1:14" x14ac:dyDescent="0.25">
      <c r="E1036" s="22" t="s">
        <v>166</v>
      </c>
      <c r="F1036" s="22" t="s">
        <v>125</v>
      </c>
      <c r="G1036" s="22">
        <v>0</v>
      </c>
      <c r="H1036" s="22" t="s">
        <v>126</v>
      </c>
    </row>
    <row r="1037" spans="1:14" x14ac:dyDescent="0.25">
      <c r="E1037" s="22" t="s">
        <v>165</v>
      </c>
      <c r="F1037" s="22" t="s">
        <v>83</v>
      </c>
      <c r="G1037" s="22">
        <v>0</v>
      </c>
      <c r="H1037" s="22" t="s">
        <v>82</v>
      </c>
    </row>
    <row r="1038" spans="1:14" x14ac:dyDescent="0.25">
      <c r="E1038" s="22" t="s">
        <v>166</v>
      </c>
      <c r="F1038" s="22" t="s">
        <v>102</v>
      </c>
      <c r="G1038" s="22" t="s">
        <v>92</v>
      </c>
      <c r="H1038" s="22" t="s">
        <v>102</v>
      </c>
    </row>
    <row r="1039" spans="1:14" x14ac:dyDescent="0.25">
      <c r="A1039" s="22" t="s">
        <v>11</v>
      </c>
      <c r="B1039" s="22" t="s">
        <v>104</v>
      </c>
      <c r="C1039" s="22">
        <v>60</v>
      </c>
      <c r="D1039" s="22">
        <v>90</v>
      </c>
      <c r="E1039" s="22" t="s">
        <v>165</v>
      </c>
      <c r="F1039" s="22" t="s">
        <v>127</v>
      </c>
      <c r="G1039" s="22" t="s">
        <v>128</v>
      </c>
      <c r="H1039" s="22" t="s">
        <v>127</v>
      </c>
      <c r="I1039" s="22" t="s">
        <v>65</v>
      </c>
      <c r="J1039" s="22" t="s">
        <v>103</v>
      </c>
      <c r="K1039" s="22" t="s">
        <v>103</v>
      </c>
      <c r="L1039" s="22" t="s">
        <v>103</v>
      </c>
      <c r="M1039" s="22">
        <v>620</v>
      </c>
      <c r="N1039" s="22">
        <v>100</v>
      </c>
    </row>
    <row r="1040" spans="1:14" x14ac:dyDescent="0.25">
      <c r="E1040" s="22" t="s">
        <v>166</v>
      </c>
      <c r="F1040" s="22" t="s">
        <v>128</v>
      </c>
      <c r="G1040" s="22">
        <v>0</v>
      </c>
      <c r="H1040" s="22" t="s">
        <v>128</v>
      </c>
    </row>
    <row r="1041" spans="1:14" x14ac:dyDescent="0.25">
      <c r="E1041" s="22" t="s">
        <v>165</v>
      </c>
      <c r="F1041" s="22" t="s">
        <v>92</v>
      </c>
      <c r="G1041" s="22">
        <v>0</v>
      </c>
      <c r="H1041" s="22" t="s">
        <v>90</v>
      </c>
    </row>
    <row r="1042" spans="1:14" x14ac:dyDescent="0.25">
      <c r="E1042" s="22" t="s">
        <v>166</v>
      </c>
      <c r="F1042" s="22" t="s">
        <v>102</v>
      </c>
      <c r="G1042" s="22" t="s">
        <v>92</v>
      </c>
      <c r="H1042" s="22" t="s">
        <v>102</v>
      </c>
    </row>
    <row r="1043" spans="1:14" x14ac:dyDescent="0.25">
      <c r="A1043" s="22" t="s">
        <v>11</v>
      </c>
      <c r="B1043" s="22" t="s">
        <v>120</v>
      </c>
      <c r="C1043" s="22">
        <v>50</v>
      </c>
      <c r="D1043" s="22">
        <v>80</v>
      </c>
      <c r="E1043" s="22" t="s">
        <v>165</v>
      </c>
      <c r="F1043" s="22" t="s">
        <v>124</v>
      </c>
      <c r="G1043" s="22" t="s">
        <v>125</v>
      </c>
      <c r="H1043" s="22" t="s">
        <v>124</v>
      </c>
      <c r="I1043" s="22" t="s">
        <v>7</v>
      </c>
      <c r="J1043" s="22" t="s">
        <v>95</v>
      </c>
      <c r="K1043" s="22" t="s">
        <v>95</v>
      </c>
      <c r="L1043" s="22" t="s">
        <v>95</v>
      </c>
      <c r="M1043" s="22">
        <v>685</v>
      </c>
      <c r="N1043" s="22">
        <v>110</v>
      </c>
    </row>
    <row r="1044" spans="1:14" x14ac:dyDescent="0.25">
      <c r="E1044" s="22" t="s">
        <v>166</v>
      </c>
      <c r="F1044" s="22" t="s">
        <v>128</v>
      </c>
      <c r="G1044" s="22">
        <v>0</v>
      </c>
      <c r="H1044" s="22" t="s">
        <v>126</v>
      </c>
    </row>
    <row r="1045" spans="1:14" x14ac:dyDescent="0.25">
      <c r="E1045" s="22" t="s">
        <v>165</v>
      </c>
      <c r="F1045" s="22" t="s">
        <v>83</v>
      </c>
      <c r="G1045" s="22">
        <v>0</v>
      </c>
      <c r="H1045" s="22" t="s">
        <v>82</v>
      </c>
    </row>
    <row r="1046" spans="1:14" x14ac:dyDescent="0.25">
      <c r="E1046" s="22" t="s">
        <v>166</v>
      </c>
      <c r="F1046" s="22" t="s">
        <v>90</v>
      </c>
      <c r="G1046" s="22" t="s">
        <v>82</v>
      </c>
      <c r="H1046" s="22" t="s">
        <v>90</v>
      </c>
    </row>
    <row r="1047" spans="1:14" x14ac:dyDescent="0.25">
      <c r="A1047" s="22" t="s">
        <v>11</v>
      </c>
      <c r="B1047" s="22" t="s">
        <v>106</v>
      </c>
      <c r="C1047" s="22">
        <v>60</v>
      </c>
      <c r="D1047" s="22">
        <v>90</v>
      </c>
      <c r="E1047" s="22" t="s">
        <v>165</v>
      </c>
      <c r="F1047" s="22" t="s">
        <v>127</v>
      </c>
      <c r="G1047" s="22" t="s">
        <v>125</v>
      </c>
      <c r="H1047" s="22" t="s">
        <v>127</v>
      </c>
      <c r="I1047" s="22" t="s">
        <v>7</v>
      </c>
      <c r="J1047" s="22" t="s">
        <v>130</v>
      </c>
      <c r="K1047" s="22" t="s">
        <v>130</v>
      </c>
      <c r="L1047" s="22" t="s">
        <v>130</v>
      </c>
      <c r="M1047" s="22">
        <v>1220</v>
      </c>
      <c r="N1047" s="22">
        <v>100</v>
      </c>
    </row>
    <row r="1048" spans="1:14" x14ac:dyDescent="0.25">
      <c r="E1048" s="22" t="s">
        <v>166</v>
      </c>
      <c r="F1048" s="22" t="s">
        <v>126</v>
      </c>
      <c r="G1048" s="22">
        <v>0</v>
      </c>
      <c r="H1048" s="22" t="s">
        <v>126</v>
      </c>
    </row>
    <row r="1049" spans="1:14" x14ac:dyDescent="0.25">
      <c r="E1049" s="22" t="s">
        <v>165</v>
      </c>
      <c r="F1049" s="22">
        <v>0</v>
      </c>
      <c r="G1049" s="22">
        <v>0</v>
      </c>
      <c r="H1049" s="22">
        <v>0</v>
      </c>
    </row>
    <row r="1050" spans="1:14" x14ac:dyDescent="0.25">
      <c r="E1050" s="22" t="s">
        <v>166</v>
      </c>
      <c r="F1050" s="22" t="s">
        <v>102</v>
      </c>
      <c r="G1050" s="22" t="s">
        <v>82</v>
      </c>
      <c r="H1050" s="22" t="s">
        <v>113</v>
      </c>
    </row>
    <row r="1051" spans="1:14" x14ac:dyDescent="0.25">
      <c r="A1051" s="22" t="s">
        <v>11</v>
      </c>
      <c r="B1051" s="22" t="s">
        <v>107</v>
      </c>
      <c r="C1051" s="22">
        <v>60</v>
      </c>
      <c r="D1051" s="22">
        <v>90</v>
      </c>
      <c r="E1051" s="22" t="s">
        <v>165</v>
      </c>
      <c r="F1051" s="22" t="s">
        <v>127</v>
      </c>
      <c r="G1051" s="22" t="s">
        <v>128</v>
      </c>
      <c r="H1051" s="22" t="s">
        <v>127</v>
      </c>
      <c r="I1051" s="22" t="s">
        <v>65</v>
      </c>
      <c r="J1051" s="22" t="s">
        <v>103</v>
      </c>
      <c r="K1051" s="22" t="s">
        <v>103</v>
      </c>
      <c r="L1051" s="22" t="s">
        <v>103</v>
      </c>
      <c r="M1051" s="22">
        <v>540</v>
      </c>
      <c r="N1051" s="22">
        <v>90</v>
      </c>
    </row>
    <row r="1052" spans="1:14" x14ac:dyDescent="0.25">
      <c r="E1052" s="22" t="s">
        <v>166</v>
      </c>
      <c r="F1052" s="22" t="s">
        <v>125</v>
      </c>
      <c r="G1052" s="22">
        <v>0</v>
      </c>
      <c r="H1052" s="22" t="s">
        <v>125</v>
      </c>
    </row>
    <row r="1053" spans="1:14" x14ac:dyDescent="0.25">
      <c r="E1053" s="22" t="s">
        <v>165</v>
      </c>
      <c r="F1053" s="22" t="s">
        <v>92</v>
      </c>
      <c r="G1053" s="22">
        <v>0</v>
      </c>
      <c r="H1053" s="22" t="s">
        <v>92</v>
      </c>
    </row>
    <row r="1054" spans="1:14" x14ac:dyDescent="0.25">
      <c r="E1054" s="22" t="s">
        <v>166</v>
      </c>
      <c r="F1054" s="22" t="s">
        <v>102</v>
      </c>
      <c r="G1054" s="22" t="s">
        <v>90</v>
      </c>
      <c r="H1054" s="22" t="s">
        <v>102</v>
      </c>
    </row>
    <row r="1055" spans="1:14" x14ac:dyDescent="0.25">
      <c r="A1055" s="22" t="s">
        <v>11</v>
      </c>
      <c r="B1055" s="22" t="s">
        <v>86</v>
      </c>
      <c r="C1055" s="22">
        <v>60</v>
      </c>
      <c r="D1055" s="22">
        <v>80</v>
      </c>
      <c r="E1055" s="22" t="s">
        <v>165</v>
      </c>
      <c r="F1055" s="22" t="s">
        <v>124</v>
      </c>
      <c r="G1055" s="22" t="s">
        <v>125</v>
      </c>
      <c r="H1055" s="22" t="s">
        <v>127</v>
      </c>
      <c r="I1055" s="22" t="s">
        <v>7</v>
      </c>
      <c r="J1055" s="22" t="s">
        <v>103</v>
      </c>
      <c r="K1055" s="22" t="s">
        <v>103</v>
      </c>
      <c r="L1055" s="22" t="s">
        <v>103</v>
      </c>
      <c r="M1055" s="22">
        <v>540</v>
      </c>
      <c r="N1055" s="22">
        <v>100</v>
      </c>
    </row>
    <row r="1056" spans="1:14" x14ac:dyDescent="0.25">
      <c r="E1056" s="22" t="s">
        <v>166</v>
      </c>
      <c r="F1056" s="22" t="s">
        <v>126</v>
      </c>
      <c r="G1056" s="22">
        <v>0</v>
      </c>
      <c r="H1056" s="22" t="s">
        <v>125</v>
      </c>
    </row>
    <row r="1057" spans="1:14" x14ac:dyDescent="0.25">
      <c r="E1057" s="22" t="s">
        <v>165</v>
      </c>
      <c r="F1057" s="22" t="s">
        <v>82</v>
      </c>
      <c r="G1057" s="22">
        <v>0</v>
      </c>
      <c r="H1057" s="22" t="s">
        <v>83</v>
      </c>
    </row>
    <row r="1058" spans="1:14" x14ac:dyDescent="0.25">
      <c r="E1058" s="22" t="s">
        <v>166</v>
      </c>
      <c r="F1058" s="22" t="s">
        <v>102</v>
      </c>
      <c r="G1058" s="22" t="s">
        <v>92</v>
      </c>
      <c r="H1058" s="22" t="s">
        <v>102</v>
      </c>
    </row>
    <row r="1059" spans="1:14" x14ac:dyDescent="0.25">
      <c r="A1059" s="22" t="s">
        <v>11</v>
      </c>
      <c r="B1059" s="22" t="s">
        <v>121</v>
      </c>
      <c r="C1059" s="22">
        <v>60</v>
      </c>
      <c r="D1059" s="22">
        <v>90</v>
      </c>
      <c r="E1059" s="22" t="s">
        <v>165</v>
      </c>
      <c r="F1059" s="22" t="s">
        <v>127</v>
      </c>
      <c r="G1059" s="22" t="s">
        <v>125</v>
      </c>
      <c r="H1059" s="22" t="s">
        <v>127</v>
      </c>
      <c r="I1059" s="22" t="s">
        <v>7</v>
      </c>
      <c r="J1059" s="22" t="s">
        <v>91</v>
      </c>
      <c r="K1059" s="22" t="s">
        <v>91</v>
      </c>
      <c r="L1059" s="22" t="s">
        <v>91</v>
      </c>
      <c r="M1059" s="22">
        <v>1160</v>
      </c>
      <c r="N1059" s="22">
        <v>115</v>
      </c>
    </row>
    <row r="1060" spans="1:14" x14ac:dyDescent="0.25">
      <c r="E1060" s="22" t="s">
        <v>166</v>
      </c>
      <c r="F1060" s="22" t="s">
        <v>126</v>
      </c>
      <c r="G1060" s="22">
        <v>0</v>
      </c>
      <c r="H1060" s="22" t="s">
        <v>126</v>
      </c>
    </row>
    <row r="1061" spans="1:14" x14ac:dyDescent="0.25">
      <c r="E1061" s="22" t="s">
        <v>165</v>
      </c>
      <c r="F1061" s="22">
        <v>0</v>
      </c>
      <c r="G1061" s="22">
        <v>0</v>
      </c>
      <c r="H1061" s="22">
        <v>0</v>
      </c>
    </row>
    <row r="1062" spans="1:14" x14ac:dyDescent="0.25">
      <c r="E1062" s="22" t="s">
        <v>166</v>
      </c>
      <c r="F1062" s="22" t="s">
        <v>90</v>
      </c>
      <c r="G1062" s="22" t="s">
        <v>82</v>
      </c>
      <c r="H1062" s="22" t="s">
        <v>90</v>
      </c>
    </row>
    <row r="1063" spans="1:14" x14ac:dyDescent="0.25">
      <c r="A1063" s="22" t="s">
        <v>11</v>
      </c>
      <c r="B1063" s="22" t="s">
        <v>111</v>
      </c>
      <c r="C1063" s="22">
        <v>60</v>
      </c>
      <c r="D1063" s="22">
        <v>90</v>
      </c>
      <c r="E1063" s="22" t="s">
        <v>165</v>
      </c>
      <c r="F1063" s="22" t="s">
        <v>127</v>
      </c>
      <c r="G1063" s="22" t="s">
        <v>127</v>
      </c>
      <c r="H1063" s="22" t="s">
        <v>127</v>
      </c>
      <c r="I1063" s="22" t="s">
        <v>65</v>
      </c>
      <c r="J1063" s="22" t="s">
        <v>129</v>
      </c>
      <c r="K1063" s="22" t="s">
        <v>129</v>
      </c>
      <c r="L1063" s="22" t="s">
        <v>129</v>
      </c>
      <c r="M1063" s="22">
        <v>540</v>
      </c>
      <c r="N1063" s="22">
        <v>100</v>
      </c>
    </row>
    <row r="1064" spans="1:14" x14ac:dyDescent="0.25">
      <c r="E1064" s="22" t="s">
        <v>166</v>
      </c>
      <c r="F1064" s="22" t="s">
        <v>128</v>
      </c>
      <c r="G1064" s="22" t="s">
        <v>128</v>
      </c>
      <c r="H1064" s="22" t="s">
        <v>128</v>
      </c>
    </row>
    <row r="1065" spans="1:14" x14ac:dyDescent="0.25">
      <c r="E1065" s="22" t="s">
        <v>165</v>
      </c>
      <c r="F1065" s="22" t="s">
        <v>90</v>
      </c>
      <c r="G1065" s="22" t="s">
        <v>90</v>
      </c>
      <c r="H1065" s="22" t="s">
        <v>113</v>
      </c>
    </row>
    <row r="1066" spans="1:14" x14ac:dyDescent="0.25">
      <c r="E1066" s="22" t="s">
        <v>166</v>
      </c>
      <c r="F1066" s="22" t="s">
        <v>102</v>
      </c>
      <c r="G1066" s="22" t="s">
        <v>102</v>
      </c>
      <c r="H1066" s="22" t="s">
        <v>102</v>
      </c>
    </row>
    <row r="1067" spans="1:14" x14ac:dyDescent="0.25">
      <c r="A1067" s="22" t="s">
        <v>11</v>
      </c>
      <c r="B1067" s="22" t="s">
        <v>112</v>
      </c>
      <c r="C1067" s="22">
        <v>60</v>
      </c>
      <c r="D1067" s="22">
        <v>90</v>
      </c>
      <c r="E1067" s="22" t="s">
        <v>165</v>
      </c>
      <c r="F1067" s="22" t="s">
        <v>127</v>
      </c>
      <c r="G1067" s="22" t="s">
        <v>128</v>
      </c>
      <c r="H1067" s="22" t="s">
        <v>127</v>
      </c>
      <c r="I1067" s="22" t="s">
        <v>65</v>
      </c>
      <c r="J1067" s="22" t="s">
        <v>103</v>
      </c>
      <c r="K1067" s="22" t="s">
        <v>103</v>
      </c>
      <c r="L1067" s="22" t="s">
        <v>103</v>
      </c>
      <c r="M1067" s="22">
        <v>685</v>
      </c>
      <c r="N1067" s="22">
        <v>110</v>
      </c>
    </row>
    <row r="1068" spans="1:14" x14ac:dyDescent="0.25">
      <c r="E1068" s="22" t="s">
        <v>166</v>
      </c>
      <c r="F1068" s="22" t="s">
        <v>124</v>
      </c>
      <c r="G1068" s="22">
        <v>0</v>
      </c>
      <c r="H1068" s="22" t="s">
        <v>128</v>
      </c>
    </row>
    <row r="1069" spans="1:14" x14ac:dyDescent="0.25">
      <c r="E1069" s="22" t="s">
        <v>165</v>
      </c>
      <c r="F1069" s="22" t="s">
        <v>102</v>
      </c>
      <c r="G1069" s="22">
        <v>0</v>
      </c>
      <c r="H1069" s="22" t="s">
        <v>102</v>
      </c>
    </row>
    <row r="1070" spans="1:14" x14ac:dyDescent="0.25">
      <c r="E1070" s="22" t="s">
        <v>166</v>
      </c>
      <c r="F1070" s="22" t="s">
        <v>102</v>
      </c>
      <c r="G1070" s="22" t="s">
        <v>90</v>
      </c>
      <c r="H1070" s="22" t="s">
        <v>102</v>
      </c>
    </row>
    <row r="1071" spans="1:14" x14ac:dyDescent="0.25">
      <c r="A1071" s="22" t="s">
        <v>11</v>
      </c>
      <c r="B1071" s="22" t="s">
        <v>131</v>
      </c>
      <c r="C1071" s="22">
        <v>60</v>
      </c>
      <c r="D1071" s="22">
        <v>80</v>
      </c>
      <c r="E1071" s="22" t="s">
        <v>165</v>
      </c>
      <c r="F1071" s="22" t="s">
        <v>127</v>
      </c>
      <c r="G1071" s="22" t="s">
        <v>127</v>
      </c>
      <c r="H1071" s="22" t="s">
        <v>127</v>
      </c>
      <c r="I1071" s="22" t="s">
        <v>65</v>
      </c>
      <c r="J1071" s="22" t="s">
        <v>103</v>
      </c>
      <c r="K1071" s="22" t="s">
        <v>103</v>
      </c>
      <c r="L1071" s="22" t="s">
        <v>103</v>
      </c>
      <c r="M1071" s="22">
        <v>525</v>
      </c>
      <c r="N1071" s="22">
        <v>85</v>
      </c>
    </row>
    <row r="1072" spans="1:14" x14ac:dyDescent="0.25">
      <c r="E1072" s="22" t="s">
        <v>166</v>
      </c>
      <c r="F1072" s="22" t="s">
        <v>126</v>
      </c>
      <c r="G1072" s="22" t="s">
        <v>126</v>
      </c>
      <c r="H1072" s="22" t="s">
        <v>126</v>
      </c>
    </row>
    <row r="1073" spans="1:14" x14ac:dyDescent="0.25">
      <c r="E1073" s="22" t="s">
        <v>165</v>
      </c>
      <c r="F1073" s="22" t="s">
        <v>83</v>
      </c>
      <c r="G1073" s="22" t="s">
        <v>83</v>
      </c>
      <c r="H1073" s="22" t="s">
        <v>82</v>
      </c>
    </row>
    <row r="1074" spans="1:14" x14ac:dyDescent="0.25">
      <c r="E1074" s="22" t="s">
        <v>166</v>
      </c>
      <c r="F1074" s="22" t="s">
        <v>102</v>
      </c>
      <c r="G1074" s="22" t="s">
        <v>102</v>
      </c>
      <c r="H1074" s="22" t="s">
        <v>102</v>
      </c>
    </row>
    <row r="1075" spans="1:14" x14ac:dyDescent="0.25">
      <c r="A1075" s="22" t="s">
        <v>11</v>
      </c>
      <c r="B1075" s="22" t="s">
        <v>115</v>
      </c>
      <c r="C1075" s="22">
        <v>60</v>
      </c>
      <c r="D1075" s="22">
        <v>80</v>
      </c>
      <c r="E1075" s="22" t="s">
        <v>165</v>
      </c>
      <c r="F1075" s="22" t="s">
        <v>127</v>
      </c>
      <c r="G1075" s="22" t="s">
        <v>124</v>
      </c>
      <c r="H1075" s="22" t="s">
        <v>127</v>
      </c>
      <c r="I1075" s="22" t="s">
        <v>7</v>
      </c>
      <c r="J1075" s="22" t="s">
        <v>103</v>
      </c>
      <c r="K1075" s="22" t="s">
        <v>103</v>
      </c>
      <c r="L1075" s="22" t="s">
        <v>103</v>
      </c>
      <c r="M1075" s="22">
        <v>695</v>
      </c>
      <c r="N1075" s="22">
        <v>95</v>
      </c>
    </row>
    <row r="1076" spans="1:14" x14ac:dyDescent="0.25">
      <c r="E1076" s="22" t="s">
        <v>166</v>
      </c>
      <c r="F1076" s="22" t="s">
        <v>128</v>
      </c>
      <c r="G1076" s="22">
        <v>0</v>
      </c>
      <c r="H1076" s="22" t="s">
        <v>127</v>
      </c>
    </row>
    <row r="1077" spans="1:14" x14ac:dyDescent="0.25">
      <c r="E1077" s="22" t="s">
        <v>165</v>
      </c>
      <c r="F1077" s="22" t="s">
        <v>109</v>
      </c>
      <c r="G1077" s="22">
        <v>0</v>
      </c>
      <c r="H1077" s="22" t="s">
        <v>113</v>
      </c>
    </row>
    <row r="1078" spans="1:14" x14ac:dyDescent="0.25">
      <c r="E1078" s="22" t="s">
        <v>166</v>
      </c>
      <c r="F1078" s="22" t="s">
        <v>102</v>
      </c>
      <c r="G1078" s="22" t="s">
        <v>90</v>
      </c>
      <c r="H1078" s="22" t="s">
        <v>102</v>
      </c>
    </row>
    <row r="1079" spans="1:14" x14ac:dyDescent="0.25">
      <c r="A1079" s="22" t="s">
        <v>11</v>
      </c>
      <c r="B1079" s="22" t="s">
        <v>116</v>
      </c>
      <c r="C1079" s="22">
        <v>60</v>
      </c>
      <c r="D1079" s="22">
        <v>90</v>
      </c>
      <c r="E1079" s="22" t="s">
        <v>165</v>
      </c>
      <c r="F1079" s="22" t="s">
        <v>127</v>
      </c>
      <c r="G1079" s="22" t="s">
        <v>125</v>
      </c>
      <c r="H1079" s="22" t="s">
        <v>127</v>
      </c>
      <c r="I1079" s="22" t="s">
        <v>65</v>
      </c>
      <c r="J1079" s="22" t="s">
        <v>93</v>
      </c>
      <c r="K1079" s="22" t="s">
        <v>93</v>
      </c>
      <c r="L1079" s="22" t="s">
        <v>93</v>
      </c>
      <c r="M1079" s="22">
        <v>1000</v>
      </c>
      <c r="N1079" s="22">
        <v>150</v>
      </c>
    </row>
    <row r="1080" spans="1:14" x14ac:dyDescent="0.25">
      <c r="E1080" s="22" t="s">
        <v>166</v>
      </c>
      <c r="F1080" s="22" t="s">
        <v>126</v>
      </c>
      <c r="G1080" s="22">
        <v>0</v>
      </c>
      <c r="H1080" s="22" t="s">
        <v>125</v>
      </c>
    </row>
    <row r="1081" spans="1:14" x14ac:dyDescent="0.25">
      <c r="E1081" s="22" t="s">
        <v>165</v>
      </c>
      <c r="F1081" s="22" t="s">
        <v>78</v>
      </c>
      <c r="G1081" s="22">
        <v>0</v>
      </c>
      <c r="H1081" s="22">
        <v>0</v>
      </c>
    </row>
    <row r="1082" spans="1:14" x14ac:dyDescent="0.25">
      <c r="E1082" s="22" t="s">
        <v>166</v>
      </c>
      <c r="F1082" s="22" t="s">
        <v>113</v>
      </c>
      <c r="G1082" s="22" t="s">
        <v>92</v>
      </c>
      <c r="H1082" s="22" t="s">
        <v>102</v>
      </c>
    </row>
    <row r="1083" spans="1:14" x14ac:dyDescent="0.25">
      <c r="A1083" s="22" t="s">
        <v>11</v>
      </c>
      <c r="B1083" s="22" t="s">
        <v>117</v>
      </c>
      <c r="C1083" s="22">
        <v>60</v>
      </c>
      <c r="D1083" s="22">
        <v>90</v>
      </c>
      <c r="E1083" s="22" t="s">
        <v>165</v>
      </c>
      <c r="F1083" s="22" t="s">
        <v>127</v>
      </c>
      <c r="G1083" s="22" t="s">
        <v>125</v>
      </c>
      <c r="H1083" s="22" t="s">
        <v>127</v>
      </c>
      <c r="I1083" s="22" t="s">
        <v>65</v>
      </c>
      <c r="J1083" s="22" t="s">
        <v>130</v>
      </c>
      <c r="K1083" s="22" t="s">
        <v>130</v>
      </c>
      <c r="L1083" s="22" t="s">
        <v>130</v>
      </c>
      <c r="M1083" s="22">
        <v>1000</v>
      </c>
      <c r="N1083" s="22">
        <v>105</v>
      </c>
    </row>
    <row r="1084" spans="1:14" x14ac:dyDescent="0.25">
      <c r="E1084" s="22" t="s">
        <v>166</v>
      </c>
      <c r="F1084" s="22" t="s">
        <v>126</v>
      </c>
      <c r="G1084" s="22">
        <v>0</v>
      </c>
      <c r="H1084" s="22" t="s">
        <v>125</v>
      </c>
    </row>
    <row r="1085" spans="1:14" x14ac:dyDescent="0.25">
      <c r="E1085" s="22" t="s">
        <v>165</v>
      </c>
      <c r="F1085" s="22">
        <v>0</v>
      </c>
      <c r="G1085" s="22">
        <v>0</v>
      </c>
      <c r="H1085" s="22">
        <v>0</v>
      </c>
    </row>
    <row r="1086" spans="1:14" x14ac:dyDescent="0.25">
      <c r="E1086" s="22" t="s">
        <v>166</v>
      </c>
      <c r="F1086" s="22" t="s">
        <v>102</v>
      </c>
      <c r="G1086" s="22" t="s">
        <v>92</v>
      </c>
      <c r="H1086" s="22" t="s">
        <v>102</v>
      </c>
    </row>
    <row r="1087" spans="1:14" x14ac:dyDescent="0.25">
      <c r="A1087" s="22" t="s">
        <v>11</v>
      </c>
      <c r="B1087" s="22" t="s">
        <v>132</v>
      </c>
      <c r="C1087" s="22">
        <v>60</v>
      </c>
      <c r="D1087" s="22">
        <v>80</v>
      </c>
      <c r="E1087" s="22" t="s">
        <v>165</v>
      </c>
      <c r="F1087" s="22" t="s">
        <v>127</v>
      </c>
      <c r="G1087" s="22" t="s">
        <v>128</v>
      </c>
      <c r="H1087" s="22" t="s">
        <v>127</v>
      </c>
      <c r="I1087" s="22" t="s">
        <v>7</v>
      </c>
      <c r="J1087" s="22" t="s">
        <v>95</v>
      </c>
      <c r="K1087" s="22" t="s">
        <v>95</v>
      </c>
      <c r="L1087" s="22" t="s">
        <v>95</v>
      </c>
      <c r="M1087" s="22">
        <v>695</v>
      </c>
      <c r="N1087" s="22">
        <v>95</v>
      </c>
    </row>
    <row r="1088" spans="1:14" x14ac:dyDescent="0.25">
      <c r="E1088" s="22" t="s">
        <v>166</v>
      </c>
      <c r="F1088" s="22" t="s">
        <v>128</v>
      </c>
      <c r="G1088" s="22">
        <v>0</v>
      </c>
      <c r="H1088" s="22" t="s">
        <v>124</v>
      </c>
    </row>
    <row r="1089" spans="1:14" x14ac:dyDescent="0.25">
      <c r="E1089" s="22" t="s">
        <v>165</v>
      </c>
      <c r="F1089" s="22" t="s">
        <v>90</v>
      </c>
      <c r="G1089" s="22">
        <v>0</v>
      </c>
      <c r="H1089" s="22" t="s">
        <v>90</v>
      </c>
    </row>
    <row r="1090" spans="1:14" x14ac:dyDescent="0.25">
      <c r="E1090" s="22" t="s">
        <v>166</v>
      </c>
      <c r="F1090" s="22" t="s">
        <v>102</v>
      </c>
      <c r="G1090" s="22" t="s">
        <v>90</v>
      </c>
      <c r="H1090" s="22" t="s">
        <v>102</v>
      </c>
    </row>
    <row r="1091" spans="1:14" x14ac:dyDescent="0.25">
      <c r="A1091" s="22" t="s">
        <v>11</v>
      </c>
      <c r="B1091" s="22" t="s">
        <v>133</v>
      </c>
      <c r="C1091" s="22">
        <v>60</v>
      </c>
      <c r="D1091" s="22">
        <v>90</v>
      </c>
      <c r="E1091" s="22" t="s">
        <v>165</v>
      </c>
      <c r="F1091" s="22" t="s">
        <v>126</v>
      </c>
      <c r="G1091" s="22" t="s">
        <v>125</v>
      </c>
      <c r="H1091" s="22" t="s">
        <v>126</v>
      </c>
      <c r="I1091" s="22" t="s">
        <v>65</v>
      </c>
      <c r="J1091" s="22" t="s">
        <v>134</v>
      </c>
      <c r="K1091" s="22" t="s">
        <v>134</v>
      </c>
      <c r="L1091" s="22" t="s">
        <v>134</v>
      </c>
      <c r="M1091" s="22">
        <v>390</v>
      </c>
      <c r="N1091" s="22">
        <v>105</v>
      </c>
    </row>
    <row r="1092" spans="1:14" x14ac:dyDescent="0.25">
      <c r="E1092" s="22" t="s">
        <v>166</v>
      </c>
      <c r="F1092" s="22">
        <v>0</v>
      </c>
      <c r="G1092" s="22">
        <v>0</v>
      </c>
      <c r="H1092" s="22">
        <v>0</v>
      </c>
    </row>
    <row r="1093" spans="1:14" x14ac:dyDescent="0.25">
      <c r="E1093" s="22" t="s">
        <v>165</v>
      </c>
      <c r="F1093" s="22">
        <v>0</v>
      </c>
      <c r="G1093" s="22">
        <v>0</v>
      </c>
      <c r="H1093" s="22">
        <v>0</v>
      </c>
    </row>
    <row r="1094" spans="1:14" x14ac:dyDescent="0.25">
      <c r="E1094" s="22" t="s">
        <v>166</v>
      </c>
      <c r="F1094" s="22" t="s">
        <v>82</v>
      </c>
      <c r="G1094" s="22" t="s">
        <v>82</v>
      </c>
      <c r="H1094" s="22" t="s">
        <v>82</v>
      </c>
    </row>
    <row r="1095" spans="1:14" x14ac:dyDescent="0.25">
      <c r="A1095" s="22" t="s">
        <v>11</v>
      </c>
      <c r="B1095" s="22" t="s">
        <v>135</v>
      </c>
      <c r="C1095" s="22">
        <v>60</v>
      </c>
      <c r="D1095" s="22">
        <v>90</v>
      </c>
      <c r="E1095" s="22" t="s">
        <v>165</v>
      </c>
      <c r="F1095" s="22" t="s">
        <v>126</v>
      </c>
      <c r="G1095" s="22" t="s">
        <v>125</v>
      </c>
      <c r="H1095" s="22" t="s">
        <v>126</v>
      </c>
      <c r="I1095" s="22" t="s">
        <v>65</v>
      </c>
      <c r="J1095" s="22" t="s">
        <v>134</v>
      </c>
      <c r="K1095" s="22" t="s">
        <v>134</v>
      </c>
      <c r="L1095" s="22" t="s">
        <v>134</v>
      </c>
      <c r="M1095" s="22">
        <v>210</v>
      </c>
      <c r="N1095" s="22">
        <v>150</v>
      </c>
    </row>
    <row r="1096" spans="1:14" x14ac:dyDescent="0.25">
      <c r="E1096" s="22" t="s">
        <v>166</v>
      </c>
      <c r="F1096" s="22">
        <v>0</v>
      </c>
      <c r="G1096" s="22">
        <v>0</v>
      </c>
      <c r="H1096" s="22">
        <v>0</v>
      </c>
    </row>
    <row r="1097" spans="1:14" x14ac:dyDescent="0.25">
      <c r="E1097" s="22" t="s">
        <v>165</v>
      </c>
      <c r="F1097" s="22">
        <v>0</v>
      </c>
      <c r="G1097" s="22">
        <v>0</v>
      </c>
      <c r="H1097" s="22">
        <v>0</v>
      </c>
    </row>
    <row r="1098" spans="1:14" x14ac:dyDescent="0.25">
      <c r="E1098" s="22" t="s">
        <v>166</v>
      </c>
      <c r="F1098" s="22" t="s">
        <v>82</v>
      </c>
      <c r="G1098" s="22" t="s">
        <v>82</v>
      </c>
      <c r="H1098" s="22" t="s">
        <v>82</v>
      </c>
    </row>
    <row r="1099" spans="1:14" x14ac:dyDescent="0.25">
      <c r="A1099" s="22" t="s">
        <v>11</v>
      </c>
      <c r="B1099" s="22" t="s">
        <v>136</v>
      </c>
      <c r="C1099" s="22">
        <v>60</v>
      </c>
      <c r="D1099" s="22">
        <v>90</v>
      </c>
      <c r="E1099" s="22" t="s">
        <v>165</v>
      </c>
      <c r="F1099" s="22" t="s">
        <v>124</v>
      </c>
      <c r="G1099" s="22" t="s">
        <v>125</v>
      </c>
      <c r="H1099" s="22" t="s">
        <v>124</v>
      </c>
      <c r="I1099" s="22" t="s">
        <v>65</v>
      </c>
      <c r="J1099" s="22" t="s">
        <v>91</v>
      </c>
      <c r="K1099" s="22" t="s">
        <v>91</v>
      </c>
      <c r="L1099" s="22" t="s">
        <v>91</v>
      </c>
      <c r="M1099" s="22">
        <v>718</v>
      </c>
      <c r="N1099" s="22">
        <v>79</v>
      </c>
    </row>
    <row r="1100" spans="1:14" x14ac:dyDescent="0.25">
      <c r="E1100" s="22" t="s">
        <v>166</v>
      </c>
      <c r="F1100" s="22">
        <v>0</v>
      </c>
      <c r="G1100" s="22">
        <v>0</v>
      </c>
      <c r="H1100" s="22">
        <v>0</v>
      </c>
    </row>
    <row r="1101" spans="1:14" x14ac:dyDescent="0.25">
      <c r="E1101" s="22" t="s">
        <v>165</v>
      </c>
      <c r="F1101" s="22">
        <v>0</v>
      </c>
      <c r="G1101" s="22">
        <v>0</v>
      </c>
      <c r="H1101" s="22">
        <v>0</v>
      </c>
    </row>
    <row r="1102" spans="1:14" x14ac:dyDescent="0.25">
      <c r="E1102" s="22" t="s">
        <v>166</v>
      </c>
      <c r="F1102" s="22" t="s">
        <v>90</v>
      </c>
      <c r="G1102" s="22" t="s">
        <v>82</v>
      </c>
      <c r="H1102" s="22" t="s">
        <v>90</v>
      </c>
    </row>
    <row r="1103" spans="1:14" x14ac:dyDescent="0.25">
      <c r="A1103" s="22" t="s">
        <v>137</v>
      </c>
      <c r="B1103" s="22" t="s">
        <v>138</v>
      </c>
      <c r="C1103" s="22">
        <v>60</v>
      </c>
      <c r="D1103" s="22">
        <v>80</v>
      </c>
      <c r="E1103" s="22" t="s">
        <v>165</v>
      </c>
      <c r="F1103" s="22" t="s">
        <v>127</v>
      </c>
      <c r="G1103" s="22" t="s">
        <v>125</v>
      </c>
      <c r="H1103" s="22" t="s">
        <v>127</v>
      </c>
      <c r="I1103" s="22" t="s">
        <v>65</v>
      </c>
      <c r="J1103" s="22" t="s">
        <v>95</v>
      </c>
      <c r="K1103" s="22" t="s">
        <v>95</v>
      </c>
      <c r="L1103" s="22" t="s">
        <v>95</v>
      </c>
      <c r="M1103" s="22">
        <v>685</v>
      </c>
      <c r="N1103" s="22">
        <v>110</v>
      </c>
    </row>
    <row r="1104" spans="1:14" x14ac:dyDescent="0.25">
      <c r="E1104" s="22" t="s">
        <v>166</v>
      </c>
      <c r="F1104" s="22" t="s">
        <v>125</v>
      </c>
      <c r="G1104" s="22">
        <v>0</v>
      </c>
      <c r="H1104" s="22" t="s">
        <v>126</v>
      </c>
    </row>
    <row r="1105" spans="1:14" x14ac:dyDescent="0.25">
      <c r="E1105" s="22" t="s">
        <v>165</v>
      </c>
      <c r="F1105" s="22" t="s">
        <v>78</v>
      </c>
      <c r="G1105" s="22">
        <v>0</v>
      </c>
      <c r="H1105" s="22" t="s">
        <v>82</v>
      </c>
    </row>
    <row r="1106" spans="1:14" x14ac:dyDescent="0.25">
      <c r="E1106" s="22" t="s">
        <v>166</v>
      </c>
      <c r="F1106" s="22" t="s">
        <v>102</v>
      </c>
      <c r="G1106" s="22" t="s">
        <v>82</v>
      </c>
      <c r="H1106" s="22" t="s">
        <v>102</v>
      </c>
    </row>
    <row r="1107" spans="1:14" x14ac:dyDescent="0.25">
      <c r="A1107" s="22" t="s">
        <v>137</v>
      </c>
      <c r="B1107" s="22" t="s">
        <v>139</v>
      </c>
      <c r="C1107" s="22">
        <v>60</v>
      </c>
      <c r="D1107" s="22">
        <v>80</v>
      </c>
      <c r="E1107" s="22" t="s">
        <v>165</v>
      </c>
      <c r="F1107" s="22" t="s">
        <v>124</v>
      </c>
      <c r="G1107" s="22" t="s">
        <v>125</v>
      </c>
      <c r="H1107" s="22" t="s">
        <v>124</v>
      </c>
      <c r="I1107" s="22" t="s">
        <v>65</v>
      </c>
      <c r="J1107" s="22" t="s">
        <v>95</v>
      </c>
      <c r="K1107" s="22" t="s">
        <v>95</v>
      </c>
      <c r="L1107" s="22" t="s">
        <v>95</v>
      </c>
      <c r="M1107" s="22">
        <v>620</v>
      </c>
      <c r="N1107" s="22">
        <v>90</v>
      </c>
    </row>
    <row r="1108" spans="1:14" x14ac:dyDescent="0.25">
      <c r="E1108" s="22" t="s">
        <v>166</v>
      </c>
      <c r="F1108" s="22" t="s">
        <v>126</v>
      </c>
      <c r="G1108" s="22">
        <v>0</v>
      </c>
      <c r="H1108" s="22" t="s">
        <v>126</v>
      </c>
    </row>
    <row r="1109" spans="1:14" x14ac:dyDescent="0.25">
      <c r="E1109" s="22" t="s">
        <v>165</v>
      </c>
      <c r="F1109" s="22" t="s">
        <v>78</v>
      </c>
      <c r="G1109" s="22">
        <v>0</v>
      </c>
      <c r="H1109" s="22" t="s">
        <v>78</v>
      </c>
    </row>
    <row r="1110" spans="1:14" x14ac:dyDescent="0.25">
      <c r="E1110" s="22" t="s">
        <v>166</v>
      </c>
      <c r="F1110" s="22" t="s">
        <v>113</v>
      </c>
      <c r="G1110" s="22" t="s">
        <v>83</v>
      </c>
      <c r="H1110" s="22" t="s">
        <v>102</v>
      </c>
    </row>
    <row r="1111" spans="1:14" x14ac:dyDescent="0.25">
      <c r="A1111" s="22" t="s">
        <v>137</v>
      </c>
      <c r="B1111" s="22" t="s">
        <v>140</v>
      </c>
      <c r="C1111" s="22">
        <v>60</v>
      </c>
      <c r="D1111" s="22">
        <v>80</v>
      </c>
      <c r="E1111" s="22" t="s">
        <v>165</v>
      </c>
      <c r="F1111" s="22" t="s">
        <v>124</v>
      </c>
      <c r="G1111" s="22" t="s">
        <v>125</v>
      </c>
      <c r="H1111" s="22" t="s">
        <v>127</v>
      </c>
      <c r="I1111" s="22" t="s">
        <v>65</v>
      </c>
      <c r="J1111" s="22" t="s">
        <v>93</v>
      </c>
      <c r="K1111" s="22" t="s">
        <v>93</v>
      </c>
      <c r="L1111" s="22" t="s">
        <v>93</v>
      </c>
      <c r="M1111" s="22">
        <v>620</v>
      </c>
      <c r="N1111" s="22">
        <v>100</v>
      </c>
    </row>
    <row r="1112" spans="1:14" x14ac:dyDescent="0.25">
      <c r="E1112" s="22" t="s">
        <v>166</v>
      </c>
      <c r="F1112" s="22" t="s">
        <v>126</v>
      </c>
      <c r="G1112" s="22">
        <v>0</v>
      </c>
      <c r="H1112" s="22">
        <v>0</v>
      </c>
    </row>
    <row r="1113" spans="1:14" x14ac:dyDescent="0.25">
      <c r="E1113" s="22" t="s">
        <v>165</v>
      </c>
      <c r="F1113" s="22" t="s">
        <v>78</v>
      </c>
      <c r="G1113" s="22">
        <v>0</v>
      </c>
      <c r="H1113" s="22" t="s">
        <v>83</v>
      </c>
    </row>
    <row r="1114" spans="1:14" x14ac:dyDescent="0.25">
      <c r="E1114" s="22" t="s">
        <v>166</v>
      </c>
      <c r="F1114" s="22" t="s">
        <v>113</v>
      </c>
      <c r="G1114" s="22" t="s">
        <v>83</v>
      </c>
      <c r="H1114" s="22" t="s">
        <v>102</v>
      </c>
    </row>
    <row r="1115" spans="1:14" x14ac:dyDescent="0.25">
      <c r="A1115" s="22" t="s">
        <v>137</v>
      </c>
      <c r="B1115" s="22" t="s">
        <v>141</v>
      </c>
      <c r="C1115" s="22">
        <v>60</v>
      </c>
      <c r="D1115" s="22">
        <v>80</v>
      </c>
      <c r="E1115" s="22" t="s">
        <v>165</v>
      </c>
      <c r="F1115" s="22" t="s">
        <v>124</v>
      </c>
      <c r="G1115" s="22" t="s">
        <v>125</v>
      </c>
      <c r="H1115" s="22" t="s">
        <v>124</v>
      </c>
      <c r="I1115" s="22" t="s">
        <v>65</v>
      </c>
      <c r="J1115" s="22" t="s">
        <v>95</v>
      </c>
      <c r="K1115" s="22" t="s">
        <v>95</v>
      </c>
      <c r="L1115" s="22" t="s">
        <v>95</v>
      </c>
      <c r="M1115" s="22">
        <v>540</v>
      </c>
      <c r="N1115" s="22">
        <v>90</v>
      </c>
    </row>
    <row r="1116" spans="1:14" x14ac:dyDescent="0.25">
      <c r="E1116" s="22" t="s">
        <v>166</v>
      </c>
      <c r="F1116" s="22" t="s">
        <v>126</v>
      </c>
      <c r="G1116" s="22">
        <v>0</v>
      </c>
      <c r="H1116" s="22" t="s">
        <v>126</v>
      </c>
    </row>
    <row r="1117" spans="1:14" x14ac:dyDescent="0.25">
      <c r="E1117" s="22" t="s">
        <v>165</v>
      </c>
      <c r="F1117" s="22" t="s">
        <v>78</v>
      </c>
      <c r="G1117" s="22">
        <v>0</v>
      </c>
      <c r="H1117" s="22" t="s">
        <v>78</v>
      </c>
    </row>
    <row r="1118" spans="1:14" x14ac:dyDescent="0.25">
      <c r="E1118" s="22" t="s">
        <v>166</v>
      </c>
      <c r="F1118" s="22" t="s">
        <v>102</v>
      </c>
      <c r="G1118" s="22" t="s">
        <v>82</v>
      </c>
      <c r="H1118" s="22" t="s">
        <v>102</v>
      </c>
    </row>
    <row r="1119" spans="1:14" x14ac:dyDescent="0.25">
      <c r="A1119" s="22" t="s">
        <v>137</v>
      </c>
      <c r="B1119" s="22" t="s">
        <v>86</v>
      </c>
      <c r="C1119" s="22">
        <v>60</v>
      </c>
      <c r="D1119" s="22">
        <v>80</v>
      </c>
      <c r="E1119" s="22" t="s">
        <v>165</v>
      </c>
      <c r="F1119" s="22" t="s">
        <v>127</v>
      </c>
      <c r="G1119" s="22" t="s">
        <v>125</v>
      </c>
      <c r="H1119" s="22" t="s">
        <v>124</v>
      </c>
      <c r="I1119" s="22" t="s">
        <v>7</v>
      </c>
      <c r="J1119" s="22" t="s">
        <v>95</v>
      </c>
      <c r="K1119" s="22" t="s">
        <v>95</v>
      </c>
      <c r="L1119" s="22" t="s">
        <v>95</v>
      </c>
      <c r="M1119" s="22">
        <v>540</v>
      </c>
      <c r="N1119" s="22">
        <v>100</v>
      </c>
    </row>
    <row r="1120" spans="1:14" x14ac:dyDescent="0.25">
      <c r="E1120" s="22" t="s">
        <v>166</v>
      </c>
      <c r="F1120" s="22">
        <v>0</v>
      </c>
      <c r="G1120" s="22">
        <v>0</v>
      </c>
      <c r="H1120" s="22" t="s">
        <v>126</v>
      </c>
    </row>
    <row r="1121" spans="1:14" x14ac:dyDescent="0.25">
      <c r="E1121" s="22" t="s">
        <v>165</v>
      </c>
      <c r="F1121" s="22" t="s">
        <v>78</v>
      </c>
      <c r="G1121" s="22">
        <v>0</v>
      </c>
      <c r="H1121" s="22">
        <v>0</v>
      </c>
    </row>
    <row r="1122" spans="1:14" x14ac:dyDescent="0.25">
      <c r="E1122" s="22" t="s">
        <v>166</v>
      </c>
      <c r="F1122" s="22" t="s">
        <v>102</v>
      </c>
      <c r="G1122" s="22" t="s">
        <v>82</v>
      </c>
      <c r="H1122" s="22" t="s">
        <v>102</v>
      </c>
    </row>
    <row r="1123" spans="1:14" x14ac:dyDescent="0.25">
      <c r="A1123" s="22" t="s">
        <v>137</v>
      </c>
      <c r="B1123" s="22" t="s">
        <v>142</v>
      </c>
      <c r="C1123" s="22">
        <v>60</v>
      </c>
      <c r="D1123" s="22">
        <v>80</v>
      </c>
      <c r="E1123" s="22" t="s">
        <v>165</v>
      </c>
      <c r="F1123" s="22" t="s">
        <v>124</v>
      </c>
      <c r="G1123" s="22" t="s">
        <v>126</v>
      </c>
      <c r="H1123" s="22" t="s">
        <v>124</v>
      </c>
      <c r="I1123" s="22" t="s">
        <v>7</v>
      </c>
      <c r="J1123" s="22" t="s">
        <v>79</v>
      </c>
      <c r="K1123" s="22" t="s">
        <v>79</v>
      </c>
      <c r="L1123" s="22" t="s">
        <v>79</v>
      </c>
      <c r="M1123" s="22">
        <v>1160</v>
      </c>
      <c r="N1123" s="22">
        <v>115</v>
      </c>
    </row>
    <row r="1124" spans="1:14" x14ac:dyDescent="0.25">
      <c r="E1124" s="22" t="s">
        <v>166</v>
      </c>
      <c r="F1124" s="22">
        <v>0</v>
      </c>
      <c r="G1124" s="22">
        <v>0</v>
      </c>
      <c r="H1124" s="22">
        <v>0</v>
      </c>
    </row>
    <row r="1125" spans="1:14" x14ac:dyDescent="0.25">
      <c r="E1125" s="22" t="s">
        <v>165</v>
      </c>
      <c r="F1125" s="22">
        <v>0</v>
      </c>
      <c r="G1125" s="22">
        <v>0</v>
      </c>
      <c r="H1125" s="22">
        <v>0</v>
      </c>
    </row>
    <row r="1126" spans="1:14" x14ac:dyDescent="0.25">
      <c r="E1126" s="22" t="s">
        <v>166</v>
      </c>
      <c r="F1126" s="22" t="s">
        <v>82</v>
      </c>
      <c r="G1126" s="22" t="s">
        <v>82</v>
      </c>
      <c r="H1126" s="22" t="s">
        <v>82</v>
      </c>
    </row>
    <row r="1127" spans="1:14" x14ac:dyDescent="0.25">
      <c r="A1127" s="22" t="s">
        <v>137</v>
      </c>
      <c r="B1127" s="22" t="s">
        <v>143</v>
      </c>
      <c r="C1127" s="22">
        <v>60</v>
      </c>
      <c r="D1127" s="22">
        <v>80</v>
      </c>
      <c r="E1127" s="22" t="s">
        <v>165</v>
      </c>
      <c r="F1127" s="22" t="s">
        <v>127</v>
      </c>
      <c r="G1127" s="22" t="s">
        <v>127</v>
      </c>
      <c r="H1127" s="22" t="s">
        <v>127</v>
      </c>
      <c r="I1127" s="22" t="s">
        <v>65</v>
      </c>
      <c r="J1127" s="22" t="s">
        <v>95</v>
      </c>
      <c r="K1127" s="22" t="s">
        <v>95</v>
      </c>
      <c r="L1127" s="22" t="s">
        <v>95</v>
      </c>
      <c r="M1127" s="22">
        <v>540</v>
      </c>
      <c r="N1127" s="22">
        <v>100</v>
      </c>
    </row>
    <row r="1128" spans="1:14" x14ac:dyDescent="0.25">
      <c r="E1128" s="22" t="s">
        <v>166</v>
      </c>
      <c r="F1128" s="22" t="s">
        <v>126</v>
      </c>
      <c r="G1128" s="22" t="s">
        <v>126</v>
      </c>
      <c r="H1128" s="22" t="s">
        <v>126</v>
      </c>
    </row>
    <row r="1129" spans="1:14" x14ac:dyDescent="0.25">
      <c r="E1129" s="22" t="s">
        <v>165</v>
      </c>
      <c r="F1129" s="22" t="s">
        <v>83</v>
      </c>
      <c r="G1129" s="22" t="s">
        <v>83</v>
      </c>
      <c r="H1129" s="22" t="s">
        <v>82</v>
      </c>
    </row>
    <row r="1130" spans="1:14" x14ac:dyDescent="0.25">
      <c r="E1130" s="22" t="s">
        <v>166</v>
      </c>
      <c r="F1130" s="22" t="s">
        <v>102</v>
      </c>
      <c r="G1130" s="22" t="s">
        <v>102</v>
      </c>
      <c r="H1130" s="22" t="s">
        <v>102</v>
      </c>
    </row>
    <row r="1131" spans="1:14" x14ac:dyDescent="0.25">
      <c r="A1131" s="22" t="s">
        <v>137</v>
      </c>
      <c r="B1131" s="22" t="s">
        <v>131</v>
      </c>
      <c r="C1131" s="22">
        <v>60</v>
      </c>
      <c r="D1131" s="22">
        <v>80</v>
      </c>
      <c r="E1131" s="22" t="s">
        <v>165</v>
      </c>
      <c r="F1131" s="22" t="s">
        <v>127</v>
      </c>
      <c r="G1131" s="22" t="s">
        <v>127</v>
      </c>
      <c r="H1131" s="22" t="s">
        <v>127</v>
      </c>
      <c r="I1131" s="22" t="s">
        <v>65</v>
      </c>
      <c r="J1131" s="22" t="s">
        <v>129</v>
      </c>
      <c r="K1131" s="22" t="s">
        <v>129</v>
      </c>
      <c r="L1131" s="22" t="s">
        <v>129</v>
      </c>
      <c r="M1131" s="22">
        <v>525</v>
      </c>
      <c r="N1131" s="22">
        <v>85</v>
      </c>
    </row>
    <row r="1132" spans="1:14" x14ac:dyDescent="0.25">
      <c r="E1132" s="22" t="s">
        <v>166</v>
      </c>
      <c r="F1132" s="22" t="s">
        <v>124</v>
      </c>
      <c r="G1132" s="22" t="s">
        <v>128</v>
      </c>
      <c r="H1132" s="22" t="s">
        <v>128</v>
      </c>
    </row>
    <row r="1133" spans="1:14" x14ac:dyDescent="0.25">
      <c r="E1133" s="22" t="s">
        <v>165</v>
      </c>
      <c r="F1133" s="22" t="s">
        <v>102</v>
      </c>
      <c r="G1133" s="22" t="s">
        <v>113</v>
      </c>
      <c r="H1133" s="22" t="s">
        <v>113</v>
      </c>
    </row>
    <row r="1134" spans="1:14" x14ac:dyDescent="0.25">
      <c r="E1134" s="22" t="s">
        <v>166</v>
      </c>
      <c r="F1134" s="22" t="s">
        <v>102</v>
      </c>
      <c r="G1134" s="22" t="s">
        <v>102</v>
      </c>
      <c r="H1134" s="22" t="s">
        <v>102</v>
      </c>
    </row>
    <row r="1135" spans="1:14" x14ac:dyDescent="0.25">
      <c r="A1135" s="22" t="s">
        <v>137</v>
      </c>
      <c r="B1135" s="22" t="s">
        <v>115</v>
      </c>
      <c r="C1135" s="22">
        <v>60</v>
      </c>
      <c r="D1135" s="22">
        <v>80</v>
      </c>
      <c r="E1135" s="22" t="s">
        <v>165</v>
      </c>
      <c r="F1135" s="22" t="s">
        <v>127</v>
      </c>
      <c r="G1135" s="22" t="s">
        <v>128</v>
      </c>
      <c r="H1135" s="22" t="s">
        <v>127</v>
      </c>
      <c r="I1135" s="22" t="s">
        <v>7</v>
      </c>
      <c r="J1135" s="22" t="s">
        <v>95</v>
      </c>
      <c r="K1135" s="22" t="s">
        <v>95</v>
      </c>
      <c r="L1135" s="22" t="s">
        <v>95</v>
      </c>
      <c r="M1135" s="22">
        <v>695</v>
      </c>
      <c r="N1135" s="22">
        <v>95</v>
      </c>
    </row>
    <row r="1136" spans="1:14" x14ac:dyDescent="0.25">
      <c r="E1136" s="22" t="s">
        <v>166</v>
      </c>
      <c r="F1136" s="22" t="s">
        <v>126</v>
      </c>
      <c r="G1136" s="22">
        <v>0</v>
      </c>
      <c r="H1136" s="22" t="s">
        <v>128</v>
      </c>
    </row>
    <row r="1137" spans="1:14" x14ac:dyDescent="0.25">
      <c r="E1137" s="22" t="s">
        <v>165</v>
      </c>
      <c r="F1137" s="22" t="s">
        <v>92</v>
      </c>
      <c r="G1137" s="22">
        <v>0</v>
      </c>
      <c r="H1137" s="22" t="s">
        <v>82</v>
      </c>
    </row>
    <row r="1138" spans="1:14" x14ac:dyDescent="0.25">
      <c r="E1138" s="22" t="s">
        <v>166</v>
      </c>
      <c r="F1138" s="22" t="s">
        <v>102</v>
      </c>
      <c r="G1138" s="22" t="s">
        <v>92</v>
      </c>
      <c r="H1138" s="22" t="s">
        <v>102</v>
      </c>
    </row>
    <row r="1139" spans="1:14" x14ac:dyDescent="0.25">
      <c r="A1139" s="22" t="s">
        <v>137</v>
      </c>
      <c r="B1139" s="22" t="s">
        <v>144</v>
      </c>
      <c r="C1139" s="22">
        <v>60</v>
      </c>
      <c r="D1139" s="22">
        <v>80</v>
      </c>
      <c r="E1139" s="22" t="s">
        <v>165</v>
      </c>
      <c r="F1139" s="22" t="s">
        <v>124</v>
      </c>
      <c r="G1139" s="22" t="s">
        <v>126</v>
      </c>
      <c r="H1139" s="22" t="s">
        <v>127</v>
      </c>
      <c r="I1139" s="22" t="s">
        <v>65</v>
      </c>
      <c r="J1139" s="22" t="s">
        <v>88</v>
      </c>
      <c r="K1139" s="22" t="s">
        <v>88</v>
      </c>
      <c r="L1139" s="22" t="s">
        <v>88</v>
      </c>
      <c r="M1139" s="22">
        <v>1000</v>
      </c>
      <c r="N1139" s="22">
        <v>150</v>
      </c>
    </row>
    <row r="1140" spans="1:14" x14ac:dyDescent="0.25">
      <c r="E1140" s="22" t="s">
        <v>166</v>
      </c>
      <c r="F1140" s="22">
        <v>0</v>
      </c>
      <c r="G1140" s="22">
        <v>0</v>
      </c>
      <c r="H1140" s="22">
        <v>0</v>
      </c>
    </row>
    <row r="1141" spans="1:14" x14ac:dyDescent="0.25">
      <c r="E1141" s="22" t="s">
        <v>165</v>
      </c>
      <c r="F1141" s="22">
        <v>0</v>
      </c>
      <c r="G1141" s="22">
        <v>0</v>
      </c>
      <c r="H1141" s="22">
        <v>0</v>
      </c>
    </row>
    <row r="1142" spans="1:14" x14ac:dyDescent="0.25">
      <c r="E1142" s="22" t="s">
        <v>166</v>
      </c>
      <c r="F1142" s="22" t="s">
        <v>90</v>
      </c>
      <c r="G1142" s="22" t="s">
        <v>82</v>
      </c>
      <c r="H1142" s="22" t="s">
        <v>92</v>
      </c>
    </row>
    <row r="1143" spans="1:14" x14ac:dyDescent="0.25">
      <c r="A1143" s="22" t="s">
        <v>137</v>
      </c>
      <c r="B1143" s="22" t="s">
        <v>145</v>
      </c>
      <c r="C1143" s="22">
        <v>60</v>
      </c>
      <c r="D1143" s="22">
        <v>80</v>
      </c>
      <c r="E1143" s="22" t="s">
        <v>165</v>
      </c>
      <c r="F1143" s="22" t="s">
        <v>127</v>
      </c>
      <c r="G1143" s="22" t="s">
        <v>126</v>
      </c>
      <c r="H1143" s="22" t="s">
        <v>127</v>
      </c>
      <c r="I1143" s="22" t="s">
        <v>65</v>
      </c>
      <c r="J1143" s="22" t="s">
        <v>88</v>
      </c>
      <c r="K1143" s="22" t="s">
        <v>88</v>
      </c>
      <c r="L1143" s="22" t="s">
        <v>88</v>
      </c>
      <c r="M1143" s="22">
        <v>1000</v>
      </c>
      <c r="N1143" s="22">
        <v>105</v>
      </c>
    </row>
    <row r="1144" spans="1:14" x14ac:dyDescent="0.25">
      <c r="E1144" s="22" t="s">
        <v>166</v>
      </c>
      <c r="F1144" s="22">
        <v>0</v>
      </c>
      <c r="G1144" s="22">
        <v>0</v>
      </c>
      <c r="H1144" s="22">
        <v>0</v>
      </c>
    </row>
    <row r="1145" spans="1:14" x14ac:dyDescent="0.25">
      <c r="E1145" s="22" t="s">
        <v>165</v>
      </c>
      <c r="F1145" s="22">
        <v>0</v>
      </c>
      <c r="G1145" s="22">
        <v>0</v>
      </c>
      <c r="H1145" s="22">
        <v>0</v>
      </c>
    </row>
    <row r="1146" spans="1:14" x14ac:dyDescent="0.25">
      <c r="E1146" s="22" t="s">
        <v>166</v>
      </c>
      <c r="F1146" s="22" t="s">
        <v>90</v>
      </c>
      <c r="G1146" s="22" t="s">
        <v>82</v>
      </c>
      <c r="H1146" s="22" t="s">
        <v>90</v>
      </c>
    </row>
    <row r="1147" spans="1:14" x14ac:dyDescent="0.25">
      <c r="A1147" s="22" t="s">
        <v>17</v>
      </c>
      <c r="B1147" s="22" t="s">
        <v>138</v>
      </c>
      <c r="C1147" s="22">
        <v>50</v>
      </c>
      <c r="D1147" s="22">
        <v>70</v>
      </c>
      <c r="E1147" s="22" t="s">
        <v>165</v>
      </c>
      <c r="F1147" s="22" t="s">
        <v>90</v>
      </c>
      <c r="G1147" s="22" t="s">
        <v>83</v>
      </c>
      <c r="H1147" s="22" t="s">
        <v>90</v>
      </c>
      <c r="I1147" s="22" t="s">
        <v>7</v>
      </c>
      <c r="J1147" s="22" t="s">
        <v>91</v>
      </c>
      <c r="K1147" s="22" t="s">
        <v>91</v>
      </c>
      <c r="L1147" s="22" t="s">
        <v>91</v>
      </c>
      <c r="M1147" s="22">
        <v>685</v>
      </c>
      <c r="N1147" s="22">
        <v>110</v>
      </c>
    </row>
    <row r="1148" spans="1:14" x14ac:dyDescent="0.25">
      <c r="E1148" s="22" t="s">
        <v>166</v>
      </c>
      <c r="F1148" s="22" t="s">
        <v>78</v>
      </c>
      <c r="G1148" s="22">
        <v>0</v>
      </c>
      <c r="H1148" s="22">
        <v>0</v>
      </c>
    </row>
    <row r="1149" spans="1:14" x14ac:dyDescent="0.25">
      <c r="E1149" s="22" t="s">
        <v>165</v>
      </c>
      <c r="F1149" s="22">
        <v>0</v>
      </c>
      <c r="G1149" s="22">
        <v>0</v>
      </c>
      <c r="H1149" s="22">
        <v>0</v>
      </c>
    </row>
    <row r="1150" spans="1:14" x14ac:dyDescent="0.25">
      <c r="E1150" s="22" t="s">
        <v>166</v>
      </c>
      <c r="F1150" s="22" t="s">
        <v>82</v>
      </c>
      <c r="G1150" s="22" t="s">
        <v>92</v>
      </c>
      <c r="H1150" s="22" t="s">
        <v>92</v>
      </c>
    </row>
    <row r="1151" spans="1:14" x14ac:dyDescent="0.25">
      <c r="A1151" s="22" t="s">
        <v>17</v>
      </c>
      <c r="B1151" s="22" t="s">
        <v>146</v>
      </c>
      <c r="C1151" s="22">
        <v>60</v>
      </c>
      <c r="D1151" s="22">
        <v>75</v>
      </c>
      <c r="E1151" s="22" t="s">
        <v>165</v>
      </c>
      <c r="F1151" s="22" t="s">
        <v>82</v>
      </c>
      <c r="G1151" s="22" t="s">
        <v>82</v>
      </c>
      <c r="H1151" s="22" t="s">
        <v>82</v>
      </c>
      <c r="I1151" s="22" t="s">
        <v>65</v>
      </c>
      <c r="J1151" s="22" t="s">
        <v>134</v>
      </c>
      <c r="K1151" s="22" t="s">
        <v>134</v>
      </c>
      <c r="L1151" s="22" t="s">
        <v>134</v>
      </c>
      <c r="M1151" s="22">
        <v>620</v>
      </c>
      <c r="N1151" s="22">
        <v>90</v>
      </c>
    </row>
    <row r="1152" spans="1:14" x14ac:dyDescent="0.25">
      <c r="E1152" s="22" t="s">
        <v>166</v>
      </c>
      <c r="F1152" s="22">
        <v>0</v>
      </c>
      <c r="G1152" s="22">
        <v>0</v>
      </c>
      <c r="H1152" s="22">
        <v>0</v>
      </c>
    </row>
    <row r="1153" spans="1:14" x14ac:dyDescent="0.25">
      <c r="E1153" s="22" t="s">
        <v>165</v>
      </c>
      <c r="F1153" s="22">
        <v>0</v>
      </c>
      <c r="G1153" s="22">
        <v>0</v>
      </c>
      <c r="H1153" s="22">
        <v>0</v>
      </c>
    </row>
    <row r="1154" spans="1:14" x14ac:dyDescent="0.25">
      <c r="E1154" s="22" t="s">
        <v>166</v>
      </c>
      <c r="F1154" s="22" t="s">
        <v>82</v>
      </c>
      <c r="G1154" s="22" t="s">
        <v>82</v>
      </c>
      <c r="H1154" s="22" t="s">
        <v>82</v>
      </c>
    </row>
    <row r="1155" spans="1:14" x14ac:dyDescent="0.25">
      <c r="A1155" s="22" t="s">
        <v>17</v>
      </c>
      <c r="B1155" s="22" t="s">
        <v>80</v>
      </c>
      <c r="C1155" s="22">
        <v>50</v>
      </c>
      <c r="D1155" s="22">
        <v>70</v>
      </c>
      <c r="E1155" s="22" t="s">
        <v>165</v>
      </c>
      <c r="F1155" s="22" t="s">
        <v>92</v>
      </c>
      <c r="G1155" s="22" t="s">
        <v>83</v>
      </c>
      <c r="H1155" s="22" t="s">
        <v>82</v>
      </c>
      <c r="I1155" s="22" t="s">
        <v>7</v>
      </c>
      <c r="J1155" s="22" t="s">
        <v>79</v>
      </c>
      <c r="K1155" s="22" t="s">
        <v>79</v>
      </c>
      <c r="L1155" s="22" t="s">
        <v>79</v>
      </c>
      <c r="M1155" s="22">
        <v>620</v>
      </c>
      <c r="N1155" s="22">
        <v>145</v>
      </c>
    </row>
    <row r="1156" spans="1:14" x14ac:dyDescent="0.25">
      <c r="E1156" s="22" t="s">
        <v>166</v>
      </c>
      <c r="F1156" s="22">
        <v>0</v>
      </c>
      <c r="G1156" s="22">
        <v>0</v>
      </c>
      <c r="H1156" s="22">
        <v>0</v>
      </c>
    </row>
    <row r="1157" spans="1:14" x14ac:dyDescent="0.25">
      <c r="E1157" s="22" t="s">
        <v>165</v>
      </c>
      <c r="F1157" s="22">
        <v>0</v>
      </c>
      <c r="G1157" s="22">
        <v>0</v>
      </c>
      <c r="H1157" s="22">
        <v>0</v>
      </c>
    </row>
    <row r="1158" spans="1:14" x14ac:dyDescent="0.25">
      <c r="E1158" s="22" t="s">
        <v>166</v>
      </c>
      <c r="F1158" s="22" t="s">
        <v>83</v>
      </c>
      <c r="G1158" s="22" t="s">
        <v>83</v>
      </c>
      <c r="H1158" s="22" t="s">
        <v>83</v>
      </c>
    </row>
    <row r="1159" spans="1:14" x14ac:dyDescent="0.25">
      <c r="A1159" s="22" t="s">
        <v>17</v>
      </c>
      <c r="B1159" s="22" t="s">
        <v>105</v>
      </c>
      <c r="C1159" s="22">
        <v>50</v>
      </c>
      <c r="D1159" s="22">
        <v>70</v>
      </c>
      <c r="E1159" s="22" t="s">
        <v>165</v>
      </c>
      <c r="F1159" s="22" t="s">
        <v>92</v>
      </c>
      <c r="G1159" s="22" t="s">
        <v>83</v>
      </c>
      <c r="H1159" s="22" t="s">
        <v>92</v>
      </c>
      <c r="I1159" s="22" t="s">
        <v>7</v>
      </c>
      <c r="J1159" s="22" t="s">
        <v>79</v>
      </c>
      <c r="K1159" s="22" t="s">
        <v>79</v>
      </c>
      <c r="L1159" s="22" t="s">
        <v>79</v>
      </c>
      <c r="M1159" s="22">
        <v>685</v>
      </c>
      <c r="N1159" s="22">
        <v>110</v>
      </c>
    </row>
    <row r="1160" spans="1:14" x14ac:dyDescent="0.25">
      <c r="E1160" s="22" t="s">
        <v>166</v>
      </c>
      <c r="F1160" s="22" t="s">
        <v>78</v>
      </c>
      <c r="G1160" s="22">
        <v>0</v>
      </c>
      <c r="H1160" s="22">
        <v>0</v>
      </c>
    </row>
    <row r="1161" spans="1:14" x14ac:dyDescent="0.25">
      <c r="E1161" s="22" t="s">
        <v>165</v>
      </c>
      <c r="F1161" s="22">
        <v>0</v>
      </c>
      <c r="G1161" s="22">
        <v>0</v>
      </c>
      <c r="H1161" s="22">
        <v>0</v>
      </c>
    </row>
    <row r="1162" spans="1:14" x14ac:dyDescent="0.25">
      <c r="E1162" s="22" t="s">
        <v>166</v>
      </c>
      <c r="F1162" s="22" t="s">
        <v>82</v>
      </c>
      <c r="G1162" s="22" t="s">
        <v>82</v>
      </c>
      <c r="H1162" s="22" t="s">
        <v>82</v>
      </c>
    </row>
    <row r="1163" spans="1:14" x14ac:dyDescent="0.25">
      <c r="A1163" s="22" t="s">
        <v>17</v>
      </c>
      <c r="B1163" s="22" t="s">
        <v>147</v>
      </c>
      <c r="C1163" s="22">
        <v>50</v>
      </c>
      <c r="D1163" s="22">
        <v>70</v>
      </c>
      <c r="E1163" s="22" t="s">
        <v>165</v>
      </c>
      <c r="F1163" s="22" t="s">
        <v>82</v>
      </c>
      <c r="G1163" s="22" t="s">
        <v>83</v>
      </c>
      <c r="H1163" s="22" t="s">
        <v>82</v>
      </c>
      <c r="I1163" s="22" t="s">
        <v>7</v>
      </c>
      <c r="J1163" s="22" t="s">
        <v>79</v>
      </c>
      <c r="K1163" s="22" t="s">
        <v>79</v>
      </c>
      <c r="L1163" s="22" t="s">
        <v>79</v>
      </c>
      <c r="M1163" s="22">
        <v>620</v>
      </c>
      <c r="N1163" s="22">
        <v>90</v>
      </c>
    </row>
    <row r="1164" spans="1:14" x14ac:dyDescent="0.25">
      <c r="E1164" s="22" t="s">
        <v>166</v>
      </c>
      <c r="F1164" s="22">
        <v>0</v>
      </c>
      <c r="G1164" s="22">
        <v>0</v>
      </c>
      <c r="H1164" s="22">
        <v>0</v>
      </c>
    </row>
    <row r="1165" spans="1:14" x14ac:dyDescent="0.25">
      <c r="E1165" s="22" t="s">
        <v>165</v>
      </c>
      <c r="F1165" s="22">
        <v>0</v>
      </c>
      <c r="G1165" s="22">
        <v>0</v>
      </c>
      <c r="H1165" s="22">
        <v>0</v>
      </c>
    </row>
    <row r="1166" spans="1:14" x14ac:dyDescent="0.25">
      <c r="E1166" s="22" t="s">
        <v>166</v>
      </c>
      <c r="F1166" s="22" t="s">
        <v>83</v>
      </c>
      <c r="G1166" s="22" t="s">
        <v>83</v>
      </c>
      <c r="H1166" s="22" t="s">
        <v>83</v>
      </c>
    </row>
    <row r="1167" spans="1:14" x14ac:dyDescent="0.25">
      <c r="A1167" s="22" t="s">
        <v>17</v>
      </c>
      <c r="B1167" s="22" t="s">
        <v>84</v>
      </c>
      <c r="C1167" s="22">
        <v>50</v>
      </c>
      <c r="D1167" s="22">
        <v>70</v>
      </c>
      <c r="E1167" s="22" t="s">
        <v>165</v>
      </c>
      <c r="F1167" s="22" t="s">
        <v>92</v>
      </c>
      <c r="G1167" s="22" t="s">
        <v>83</v>
      </c>
      <c r="H1167" s="22" t="s">
        <v>90</v>
      </c>
      <c r="I1167" s="22" t="s">
        <v>7</v>
      </c>
      <c r="J1167" s="22" t="s">
        <v>91</v>
      </c>
      <c r="K1167" s="22" t="s">
        <v>91</v>
      </c>
      <c r="L1167" s="22" t="s">
        <v>91</v>
      </c>
      <c r="M1167" s="22">
        <v>525</v>
      </c>
      <c r="N1167" s="22">
        <v>100</v>
      </c>
    </row>
    <row r="1168" spans="1:14" x14ac:dyDescent="0.25">
      <c r="E1168" s="22" t="s">
        <v>166</v>
      </c>
      <c r="F1168" s="22">
        <v>0</v>
      </c>
      <c r="G1168" s="22">
        <v>0</v>
      </c>
      <c r="H1168" s="22" t="s">
        <v>83</v>
      </c>
    </row>
    <row r="1169" spans="1:14" x14ac:dyDescent="0.25">
      <c r="E1169" s="22" t="s">
        <v>165</v>
      </c>
      <c r="F1169" s="22" t="s">
        <v>78</v>
      </c>
      <c r="G1169" s="22">
        <v>0</v>
      </c>
      <c r="H1169" s="22">
        <v>0</v>
      </c>
    </row>
    <row r="1170" spans="1:14" x14ac:dyDescent="0.25">
      <c r="E1170" s="22" t="s">
        <v>166</v>
      </c>
      <c r="F1170" s="22" t="s">
        <v>90</v>
      </c>
      <c r="G1170" s="22" t="s">
        <v>92</v>
      </c>
      <c r="H1170" s="22" t="s">
        <v>92</v>
      </c>
    </row>
    <row r="1171" spans="1:14" x14ac:dyDescent="0.25">
      <c r="A1171" s="22" t="s">
        <v>17</v>
      </c>
      <c r="B1171" s="22" t="s">
        <v>148</v>
      </c>
      <c r="C1171" s="22">
        <v>50</v>
      </c>
      <c r="D1171" s="22">
        <v>70</v>
      </c>
      <c r="E1171" s="22" t="s">
        <v>165</v>
      </c>
      <c r="F1171" s="22" t="s">
        <v>92</v>
      </c>
      <c r="G1171" s="22" t="s">
        <v>83</v>
      </c>
      <c r="H1171" s="22" t="s">
        <v>82</v>
      </c>
      <c r="I1171" s="22" t="s">
        <v>7</v>
      </c>
      <c r="J1171" s="22" t="s">
        <v>79</v>
      </c>
      <c r="K1171" s="22" t="s">
        <v>79</v>
      </c>
      <c r="L1171" s="22" t="s">
        <v>79</v>
      </c>
      <c r="M1171" s="22">
        <v>695</v>
      </c>
      <c r="N1171" s="22">
        <v>95</v>
      </c>
    </row>
    <row r="1172" spans="1:14" x14ac:dyDescent="0.25">
      <c r="E1172" s="22" t="s">
        <v>166</v>
      </c>
      <c r="F1172" s="22">
        <v>0</v>
      </c>
      <c r="G1172" s="22">
        <v>0</v>
      </c>
      <c r="H1172" s="22">
        <v>0</v>
      </c>
    </row>
    <row r="1173" spans="1:14" x14ac:dyDescent="0.25">
      <c r="E1173" s="22" t="s">
        <v>165</v>
      </c>
      <c r="F1173" s="22">
        <v>0</v>
      </c>
      <c r="G1173" s="22">
        <v>0</v>
      </c>
      <c r="H1173" s="22">
        <v>0</v>
      </c>
    </row>
    <row r="1174" spans="1:14" x14ac:dyDescent="0.25">
      <c r="E1174" s="22" t="s">
        <v>166</v>
      </c>
      <c r="F1174" s="22" t="s">
        <v>83</v>
      </c>
      <c r="G1174" s="22" t="s">
        <v>83</v>
      </c>
      <c r="H1174" s="22" t="s">
        <v>83</v>
      </c>
    </row>
    <row r="1175" spans="1:14" x14ac:dyDescent="0.25">
      <c r="A1175" s="22" t="s">
        <v>17</v>
      </c>
      <c r="B1175" s="22" t="s">
        <v>86</v>
      </c>
      <c r="C1175" s="22">
        <v>50</v>
      </c>
      <c r="D1175" s="22">
        <v>70</v>
      </c>
      <c r="E1175" s="22" t="s">
        <v>165</v>
      </c>
      <c r="F1175" s="22" t="s">
        <v>82</v>
      </c>
      <c r="G1175" s="22" t="s">
        <v>83</v>
      </c>
      <c r="H1175" s="22" t="s">
        <v>92</v>
      </c>
      <c r="I1175" s="22" t="s">
        <v>7</v>
      </c>
      <c r="J1175" s="22" t="s">
        <v>79</v>
      </c>
      <c r="K1175" s="22" t="s">
        <v>79</v>
      </c>
      <c r="L1175" s="22" t="s">
        <v>79</v>
      </c>
      <c r="M1175" s="22">
        <v>540</v>
      </c>
      <c r="N1175" s="22">
        <v>100</v>
      </c>
    </row>
    <row r="1176" spans="1:14" x14ac:dyDescent="0.25">
      <c r="E1176" s="22" t="s">
        <v>166</v>
      </c>
      <c r="F1176" s="22">
        <v>0</v>
      </c>
      <c r="G1176" s="22">
        <v>0</v>
      </c>
      <c r="H1176" s="22">
        <v>0</v>
      </c>
    </row>
    <row r="1177" spans="1:14" x14ac:dyDescent="0.25">
      <c r="E1177" s="22" t="s">
        <v>165</v>
      </c>
      <c r="F1177" s="22">
        <v>0</v>
      </c>
      <c r="G1177" s="22">
        <v>0</v>
      </c>
      <c r="H1177" s="22">
        <v>0</v>
      </c>
    </row>
    <row r="1178" spans="1:14" x14ac:dyDescent="0.25">
      <c r="E1178" s="22" t="s">
        <v>166</v>
      </c>
      <c r="F1178" s="22" t="s">
        <v>83</v>
      </c>
      <c r="G1178" s="22" t="s">
        <v>83</v>
      </c>
      <c r="H1178" s="22" t="s">
        <v>83</v>
      </c>
    </row>
    <row r="1179" spans="1:14" x14ac:dyDescent="0.25">
      <c r="A1179" s="22" t="s">
        <v>17</v>
      </c>
      <c r="B1179" s="22" t="s">
        <v>115</v>
      </c>
      <c r="C1179" s="22">
        <v>50</v>
      </c>
      <c r="D1179" s="22">
        <v>70</v>
      </c>
      <c r="E1179" s="22" t="s">
        <v>165</v>
      </c>
      <c r="F1179" s="22" t="s">
        <v>92</v>
      </c>
      <c r="G1179" s="22" t="s">
        <v>83</v>
      </c>
      <c r="H1179" s="22" t="s">
        <v>90</v>
      </c>
      <c r="I1179" s="22" t="s">
        <v>7</v>
      </c>
      <c r="J1179" s="22" t="s">
        <v>91</v>
      </c>
      <c r="K1179" s="22" t="s">
        <v>91</v>
      </c>
      <c r="L1179" s="22" t="s">
        <v>91</v>
      </c>
      <c r="M1179" s="22">
        <v>695</v>
      </c>
      <c r="N1179" s="22">
        <v>95</v>
      </c>
    </row>
    <row r="1180" spans="1:14" x14ac:dyDescent="0.25">
      <c r="E1180" s="22" t="s">
        <v>166</v>
      </c>
      <c r="F1180" s="22" t="s">
        <v>78</v>
      </c>
      <c r="G1180" s="22">
        <v>0</v>
      </c>
      <c r="H1180" s="22" t="s">
        <v>83</v>
      </c>
    </row>
    <row r="1181" spans="1:14" x14ac:dyDescent="0.25">
      <c r="E1181" s="22" t="s">
        <v>165</v>
      </c>
      <c r="F1181" s="22">
        <v>0</v>
      </c>
      <c r="G1181" s="22">
        <v>0</v>
      </c>
      <c r="H1181" s="22">
        <v>0</v>
      </c>
    </row>
    <row r="1182" spans="1:14" x14ac:dyDescent="0.25">
      <c r="E1182" s="22" t="s">
        <v>166</v>
      </c>
      <c r="F1182" s="22" t="s">
        <v>92</v>
      </c>
      <c r="G1182" s="22" t="s">
        <v>92</v>
      </c>
      <c r="H1182" s="22" t="s">
        <v>92</v>
      </c>
    </row>
    <row r="1183" spans="1:14" x14ac:dyDescent="0.25">
      <c r="A1183" s="22" t="s">
        <v>17</v>
      </c>
      <c r="B1183" s="22" t="s">
        <v>149</v>
      </c>
      <c r="C1183" s="22">
        <v>50</v>
      </c>
      <c r="D1183" s="22">
        <v>70</v>
      </c>
      <c r="E1183" s="22" t="s">
        <v>165</v>
      </c>
      <c r="F1183" s="22" t="s">
        <v>90</v>
      </c>
      <c r="G1183" s="22" t="s">
        <v>83</v>
      </c>
      <c r="H1183" s="22" t="s">
        <v>83</v>
      </c>
      <c r="I1183" s="22" t="s">
        <v>7</v>
      </c>
      <c r="J1183" s="22" t="s">
        <v>79</v>
      </c>
      <c r="K1183" s="22" t="s">
        <v>79</v>
      </c>
      <c r="L1183" s="22" t="s">
        <v>79</v>
      </c>
      <c r="M1183" s="22">
        <v>540</v>
      </c>
      <c r="N1183" s="22">
        <v>115</v>
      </c>
    </row>
    <row r="1184" spans="1:14" x14ac:dyDescent="0.25">
      <c r="E1184" s="22" t="s">
        <v>166</v>
      </c>
      <c r="F1184" s="22">
        <v>0</v>
      </c>
      <c r="G1184" s="22">
        <v>0</v>
      </c>
      <c r="H1184" s="22">
        <v>0</v>
      </c>
    </row>
    <row r="1185" spans="1:14" x14ac:dyDescent="0.25">
      <c r="E1185" s="22" t="s">
        <v>165</v>
      </c>
      <c r="F1185" s="22">
        <v>0</v>
      </c>
      <c r="G1185" s="22">
        <v>0</v>
      </c>
      <c r="H1185" s="22">
        <v>0</v>
      </c>
    </row>
    <row r="1186" spans="1:14" x14ac:dyDescent="0.25">
      <c r="E1186" s="22" t="s">
        <v>166</v>
      </c>
      <c r="F1186" s="22" t="s">
        <v>83</v>
      </c>
      <c r="G1186" s="22" t="s">
        <v>83</v>
      </c>
      <c r="H1186" s="22" t="s">
        <v>92</v>
      </c>
    </row>
    <row r="1187" spans="1:14" x14ac:dyDescent="0.25">
      <c r="A1187" s="22" t="s">
        <v>17</v>
      </c>
      <c r="B1187" s="22" t="s">
        <v>150</v>
      </c>
      <c r="C1187" s="22">
        <v>70</v>
      </c>
      <c r="D1187" s="22">
        <v>75</v>
      </c>
      <c r="E1187" s="22" t="s">
        <v>165</v>
      </c>
      <c r="F1187" s="22" t="s">
        <v>92</v>
      </c>
      <c r="G1187" s="22" t="s">
        <v>92</v>
      </c>
      <c r="H1187" s="22" t="s">
        <v>92</v>
      </c>
      <c r="I1187" s="22" t="s">
        <v>65</v>
      </c>
      <c r="J1187" s="22" t="s">
        <v>134</v>
      </c>
      <c r="K1187" s="22" t="s">
        <v>134</v>
      </c>
      <c r="L1187" s="22" t="s">
        <v>134</v>
      </c>
      <c r="M1187" s="22">
        <v>1000</v>
      </c>
      <c r="N1187" s="22">
        <v>150</v>
      </c>
    </row>
    <row r="1188" spans="1:14" x14ac:dyDescent="0.25">
      <c r="E1188" s="22" t="s">
        <v>166</v>
      </c>
      <c r="F1188" s="22">
        <v>0</v>
      </c>
      <c r="G1188" s="22">
        <v>0</v>
      </c>
      <c r="H1188" s="22">
        <v>0</v>
      </c>
    </row>
    <row r="1189" spans="1:14" x14ac:dyDescent="0.25">
      <c r="E1189" s="22" t="s">
        <v>165</v>
      </c>
      <c r="F1189" s="22">
        <v>0</v>
      </c>
      <c r="G1189" s="22">
        <v>0</v>
      </c>
      <c r="H1189" s="22">
        <v>0</v>
      </c>
    </row>
    <row r="1190" spans="1:14" x14ac:dyDescent="0.25">
      <c r="E1190" s="22" t="s">
        <v>166</v>
      </c>
      <c r="F1190" s="22" t="s">
        <v>92</v>
      </c>
      <c r="G1190" s="22" t="s">
        <v>92</v>
      </c>
      <c r="H1190" s="22" t="s">
        <v>92</v>
      </c>
    </row>
    <row r="1191" spans="1:14" x14ac:dyDescent="0.25">
      <c r="A1191" s="22" t="s">
        <v>17</v>
      </c>
      <c r="B1191" s="22" t="s">
        <v>132</v>
      </c>
      <c r="C1191" s="22">
        <v>50</v>
      </c>
      <c r="D1191" s="22">
        <v>70</v>
      </c>
      <c r="E1191" s="22" t="s">
        <v>165</v>
      </c>
      <c r="F1191" s="22" t="s">
        <v>92</v>
      </c>
      <c r="G1191" s="22" t="s">
        <v>83</v>
      </c>
      <c r="H1191" s="22" t="s">
        <v>90</v>
      </c>
      <c r="I1191" s="22" t="s">
        <v>7</v>
      </c>
      <c r="J1191" s="22" t="s">
        <v>91</v>
      </c>
      <c r="K1191" s="22" t="s">
        <v>91</v>
      </c>
      <c r="L1191" s="22" t="s">
        <v>91</v>
      </c>
      <c r="M1191" s="22">
        <v>695</v>
      </c>
      <c r="N1191" s="22">
        <v>95</v>
      </c>
    </row>
    <row r="1192" spans="1:14" x14ac:dyDescent="0.25">
      <c r="E1192" s="22" t="s">
        <v>166</v>
      </c>
      <c r="F1192" s="22" t="s">
        <v>78</v>
      </c>
      <c r="G1192" s="22">
        <v>0</v>
      </c>
      <c r="H1192" s="22" t="s">
        <v>78</v>
      </c>
    </row>
    <row r="1193" spans="1:14" x14ac:dyDescent="0.25">
      <c r="E1193" s="22" t="s">
        <v>165</v>
      </c>
      <c r="F1193" s="22">
        <v>0</v>
      </c>
      <c r="G1193" s="22">
        <v>0</v>
      </c>
      <c r="H1193" s="22">
        <v>0</v>
      </c>
    </row>
    <row r="1194" spans="1:14" x14ac:dyDescent="0.25">
      <c r="E1194" s="22" t="s">
        <v>166</v>
      </c>
      <c r="F1194" s="22" t="s">
        <v>82</v>
      </c>
      <c r="G1194" s="22" t="s">
        <v>92</v>
      </c>
      <c r="H1194" s="22" t="s">
        <v>82</v>
      </c>
    </row>
    <row r="1195" spans="1:14" x14ac:dyDescent="0.25">
      <c r="A1195" s="22" t="s">
        <v>18</v>
      </c>
      <c r="B1195" s="22" t="s">
        <v>138</v>
      </c>
      <c r="C1195" s="22">
        <v>50</v>
      </c>
      <c r="D1195" s="22">
        <v>60</v>
      </c>
      <c r="E1195" s="22" t="s">
        <v>165</v>
      </c>
      <c r="F1195" s="22" t="s">
        <v>82</v>
      </c>
      <c r="G1195" s="22" t="s">
        <v>78</v>
      </c>
      <c r="H1195" s="22" t="s">
        <v>83</v>
      </c>
      <c r="I1195" s="22" t="s">
        <v>7</v>
      </c>
      <c r="J1195" s="22" t="s">
        <v>88</v>
      </c>
      <c r="K1195" s="22" t="s">
        <v>88</v>
      </c>
      <c r="L1195" s="22" t="s">
        <v>88</v>
      </c>
      <c r="M1195" s="22">
        <v>685</v>
      </c>
      <c r="N1195" s="22">
        <v>110</v>
      </c>
    </row>
    <row r="1196" spans="1:14" x14ac:dyDescent="0.25">
      <c r="E1196" s="22" t="s">
        <v>166</v>
      </c>
      <c r="F1196" s="22">
        <v>0</v>
      </c>
      <c r="G1196" s="22">
        <v>0</v>
      </c>
      <c r="H1196" s="22">
        <v>0</v>
      </c>
    </row>
    <row r="1197" spans="1:14" x14ac:dyDescent="0.25">
      <c r="E1197" s="22" t="s">
        <v>165</v>
      </c>
      <c r="F1197" s="22">
        <v>0</v>
      </c>
      <c r="G1197" s="22">
        <v>0</v>
      </c>
      <c r="H1197" s="22">
        <v>0</v>
      </c>
    </row>
    <row r="1198" spans="1:14" x14ac:dyDescent="0.25">
      <c r="E1198" s="22" t="s">
        <v>166</v>
      </c>
      <c r="F1198" s="22" t="s">
        <v>78</v>
      </c>
      <c r="G1198" s="22" t="s">
        <v>82</v>
      </c>
      <c r="H1198" s="22" t="s">
        <v>83</v>
      </c>
    </row>
    <row r="1199" spans="1:14" x14ac:dyDescent="0.25">
      <c r="A1199" s="22" t="s">
        <v>18</v>
      </c>
      <c r="B1199" s="22" t="s">
        <v>80</v>
      </c>
      <c r="C1199" s="22">
        <v>50</v>
      </c>
      <c r="D1199" s="22">
        <v>60</v>
      </c>
      <c r="E1199" s="22" t="s">
        <v>165</v>
      </c>
      <c r="F1199" s="22" t="s">
        <v>83</v>
      </c>
      <c r="G1199" s="22" t="s">
        <v>78</v>
      </c>
      <c r="H1199" s="22" t="s">
        <v>83</v>
      </c>
      <c r="I1199" s="22" t="s">
        <v>7</v>
      </c>
      <c r="J1199" s="22" t="s">
        <v>88</v>
      </c>
      <c r="K1199" s="22" t="s">
        <v>88</v>
      </c>
      <c r="L1199" s="22" t="s">
        <v>88</v>
      </c>
      <c r="M1199" s="22">
        <v>620</v>
      </c>
      <c r="N1199" s="22">
        <v>145</v>
      </c>
    </row>
    <row r="1200" spans="1:14" x14ac:dyDescent="0.25">
      <c r="E1200" s="22" t="s">
        <v>166</v>
      </c>
      <c r="F1200" s="22">
        <v>0</v>
      </c>
      <c r="G1200" s="22">
        <v>0</v>
      </c>
      <c r="H1200" s="22">
        <v>0</v>
      </c>
    </row>
    <row r="1201" spans="1:14" x14ac:dyDescent="0.25">
      <c r="E1201" s="22" t="s">
        <v>165</v>
      </c>
      <c r="F1201" s="22">
        <v>0</v>
      </c>
      <c r="G1201" s="22">
        <v>0</v>
      </c>
      <c r="H1201" s="22">
        <v>0</v>
      </c>
    </row>
    <row r="1202" spans="1:14" x14ac:dyDescent="0.25">
      <c r="E1202" s="22" t="s">
        <v>166</v>
      </c>
      <c r="F1202" s="22" t="s">
        <v>78</v>
      </c>
      <c r="G1202" s="22" t="s">
        <v>83</v>
      </c>
      <c r="H1202" s="22" t="s">
        <v>78</v>
      </c>
    </row>
    <row r="1203" spans="1:14" x14ac:dyDescent="0.25">
      <c r="A1203" s="22" t="s">
        <v>18</v>
      </c>
      <c r="B1203" s="22" t="s">
        <v>105</v>
      </c>
      <c r="C1203" s="22">
        <v>50</v>
      </c>
      <c r="D1203" s="22">
        <v>60</v>
      </c>
      <c r="E1203" s="22" t="s">
        <v>165</v>
      </c>
      <c r="F1203" s="22" t="s">
        <v>92</v>
      </c>
      <c r="G1203" s="22" t="s">
        <v>78</v>
      </c>
      <c r="H1203" s="22" t="s">
        <v>82</v>
      </c>
      <c r="I1203" s="22" t="s">
        <v>7</v>
      </c>
      <c r="J1203" s="22" t="s">
        <v>88</v>
      </c>
      <c r="K1203" s="22" t="s">
        <v>88</v>
      </c>
      <c r="L1203" s="22" t="s">
        <v>88</v>
      </c>
      <c r="M1203" s="22">
        <v>685</v>
      </c>
      <c r="N1203" s="22">
        <v>110</v>
      </c>
    </row>
    <row r="1204" spans="1:14" x14ac:dyDescent="0.25">
      <c r="E1204" s="22" t="s">
        <v>166</v>
      </c>
      <c r="F1204" s="22">
        <v>0</v>
      </c>
      <c r="G1204" s="22">
        <v>0</v>
      </c>
      <c r="H1204" s="22">
        <v>0</v>
      </c>
    </row>
    <row r="1205" spans="1:14" x14ac:dyDescent="0.25">
      <c r="E1205" s="22" t="s">
        <v>165</v>
      </c>
      <c r="F1205" s="22">
        <v>0</v>
      </c>
      <c r="G1205" s="22">
        <v>0</v>
      </c>
      <c r="H1205" s="22">
        <v>0</v>
      </c>
    </row>
    <row r="1206" spans="1:14" x14ac:dyDescent="0.25">
      <c r="E1206" s="22" t="s">
        <v>166</v>
      </c>
      <c r="F1206" s="22" t="s">
        <v>83</v>
      </c>
      <c r="G1206" s="22" t="s">
        <v>90</v>
      </c>
      <c r="H1206" s="22" t="s">
        <v>82</v>
      </c>
    </row>
    <row r="1207" spans="1:14" x14ac:dyDescent="0.25">
      <c r="A1207" s="22" t="s">
        <v>18</v>
      </c>
      <c r="B1207" s="22" t="s">
        <v>147</v>
      </c>
      <c r="C1207" s="22">
        <v>60</v>
      </c>
      <c r="D1207" s="22">
        <v>60</v>
      </c>
      <c r="E1207" s="22" t="s">
        <v>165</v>
      </c>
      <c r="F1207" s="22" t="s">
        <v>78</v>
      </c>
      <c r="G1207" s="22" t="s">
        <v>78</v>
      </c>
      <c r="H1207" s="22" t="s">
        <v>82</v>
      </c>
      <c r="I1207" s="22" t="s">
        <v>151</v>
      </c>
      <c r="J1207" s="22" t="s">
        <v>88</v>
      </c>
      <c r="K1207" s="22" t="s">
        <v>88</v>
      </c>
      <c r="L1207" s="22" t="s">
        <v>88</v>
      </c>
      <c r="M1207" s="22">
        <v>620</v>
      </c>
      <c r="N1207" s="22">
        <v>90</v>
      </c>
    </row>
    <row r="1208" spans="1:14" x14ac:dyDescent="0.25">
      <c r="E1208" s="22" t="s">
        <v>166</v>
      </c>
      <c r="F1208" s="22">
        <v>0</v>
      </c>
      <c r="G1208" s="22">
        <v>0</v>
      </c>
      <c r="H1208" s="22">
        <v>0</v>
      </c>
    </row>
    <row r="1209" spans="1:14" x14ac:dyDescent="0.25">
      <c r="E1209" s="22" t="s">
        <v>165</v>
      </c>
      <c r="F1209" s="22">
        <v>0</v>
      </c>
      <c r="G1209" s="22">
        <v>0</v>
      </c>
      <c r="H1209" s="22">
        <v>0</v>
      </c>
    </row>
    <row r="1210" spans="1:14" x14ac:dyDescent="0.25">
      <c r="E1210" s="22" t="s">
        <v>166</v>
      </c>
      <c r="F1210" s="22" t="s">
        <v>78</v>
      </c>
      <c r="G1210" s="22" t="s">
        <v>78</v>
      </c>
      <c r="H1210" s="22" t="s">
        <v>78</v>
      </c>
    </row>
    <row r="1211" spans="1:14" x14ac:dyDescent="0.25">
      <c r="A1211" s="22" t="s">
        <v>18</v>
      </c>
      <c r="B1211" s="22" t="s">
        <v>84</v>
      </c>
      <c r="C1211" s="22">
        <v>50</v>
      </c>
      <c r="D1211" s="22">
        <v>60</v>
      </c>
      <c r="E1211" s="22" t="s">
        <v>165</v>
      </c>
      <c r="F1211" s="22" t="s">
        <v>82</v>
      </c>
      <c r="G1211" s="22" t="s">
        <v>78</v>
      </c>
      <c r="H1211" s="22" t="s">
        <v>92</v>
      </c>
      <c r="I1211" s="22" t="s">
        <v>151</v>
      </c>
      <c r="J1211" s="22" t="s">
        <v>91</v>
      </c>
      <c r="K1211" s="22" t="s">
        <v>91</v>
      </c>
      <c r="L1211" s="22" t="s">
        <v>91</v>
      </c>
      <c r="M1211" s="22">
        <v>525</v>
      </c>
      <c r="N1211" s="22">
        <v>100</v>
      </c>
    </row>
    <row r="1212" spans="1:14" x14ac:dyDescent="0.25">
      <c r="E1212" s="22" t="s">
        <v>166</v>
      </c>
      <c r="F1212" s="22">
        <v>0</v>
      </c>
      <c r="G1212" s="22">
        <v>0</v>
      </c>
      <c r="H1212" s="22">
        <v>0</v>
      </c>
    </row>
    <row r="1213" spans="1:14" x14ac:dyDescent="0.25">
      <c r="E1213" s="22" t="s">
        <v>165</v>
      </c>
      <c r="F1213" s="22">
        <v>0</v>
      </c>
      <c r="G1213" s="22">
        <v>0</v>
      </c>
      <c r="H1213" s="22">
        <v>0</v>
      </c>
    </row>
    <row r="1214" spans="1:14" x14ac:dyDescent="0.25">
      <c r="E1214" s="22" t="s">
        <v>166</v>
      </c>
      <c r="F1214" s="22" t="s">
        <v>82</v>
      </c>
      <c r="G1214" s="22" t="s">
        <v>83</v>
      </c>
      <c r="H1214" s="22" t="s">
        <v>83</v>
      </c>
    </row>
    <row r="1215" spans="1:14" x14ac:dyDescent="0.25">
      <c r="A1215" s="22" t="s">
        <v>18</v>
      </c>
      <c r="B1215" s="22" t="s">
        <v>86</v>
      </c>
      <c r="C1215" s="22">
        <v>50</v>
      </c>
      <c r="D1215" s="22">
        <v>60</v>
      </c>
      <c r="E1215" s="22" t="s">
        <v>165</v>
      </c>
      <c r="F1215" s="22" t="s">
        <v>83</v>
      </c>
      <c r="G1215" s="22" t="s">
        <v>78</v>
      </c>
      <c r="H1215" s="22" t="s">
        <v>83</v>
      </c>
      <c r="I1215" s="22" t="s">
        <v>151</v>
      </c>
      <c r="J1215" s="22" t="s">
        <v>88</v>
      </c>
      <c r="K1215" s="22" t="s">
        <v>88</v>
      </c>
      <c r="L1215" s="22" t="s">
        <v>88</v>
      </c>
      <c r="M1215" s="22">
        <v>540</v>
      </c>
      <c r="N1215" s="22">
        <v>100</v>
      </c>
    </row>
    <row r="1216" spans="1:14" x14ac:dyDescent="0.25">
      <c r="E1216" s="22" t="s">
        <v>166</v>
      </c>
      <c r="F1216" s="22">
        <v>0</v>
      </c>
      <c r="G1216" s="22">
        <v>0</v>
      </c>
      <c r="H1216" s="22">
        <v>0</v>
      </c>
    </row>
    <row r="1217" spans="1:14" x14ac:dyDescent="0.25">
      <c r="E1217" s="22" t="s">
        <v>165</v>
      </c>
      <c r="F1217" s="22">
        <v>0</v>
      </c>
      <c r="G1217" s="22">
        <v>0</v>
      </c>
      <c r="H1217" s="22">
        <v>0</v>
      </c>
    </row>
    <row r="1218" spans="1:14" x14ac:dyDescent="0.25">
      <c r="E1218" s="22" t="s">
        <v>166</v>
      </c>
      <c r="F1218" s="22" t="s">
        <v>78</v>
      </c>
      <c r="G1218" s="22" t="s">
        <v>83</v>
      </c>
      <c r="H1218" s="22" t="s">
        <v>78</v>
      </c>
    </row>
    <row r="1219" spans="1:14" x14ac:dyDescent="0.25">
      <c r="A1219" s="22" t="s">
        <v>18</v>
      </c>
      <c r="B1219" s="22" t="s">
        <v>150</v>
      </c>
      <c r="C1219" s="22">
        <v>25</v>
      </c>
      <c r="D1219" s="22">
        <v>60</v>
      </c>
      <c r="E1219" s="22" t="s">
        <v>165</v>
      </c>
      <c r="F1219" s="22" t="s">
        <v>78</v>
      </c>
      <c r="G1219" s="22" t="s">
        <v>78</v>
      </c>
      <c r="H1219" s="22" t="s">
        <v>78</v>
      </c>
      <c r="I1219" s="22" t="s">
        <v>65</v>
      </c>
      <c r="J1219" s="22" t="s">
        <v>134</v>
      </c>
      <c r="K1219" s="22" t="s">
        <v>134</v>
      </c>
      <c r="L1219" s="22" t="s">
        <v>134</v>
      </c>
      <c r="M1219" s="22">
        <v>540</v>
      </c>
      <c r="N1219" s="22">
        <v>100</v>
      </c>
    </row>
    <row r="1220" spans="1:14" x14ac:dyDescent="0.25">
      <c r="E1220" s="22" t="s">
        <v>166</v>
      </c>
      <c r="F1220" s="22">
        <v>0</v>
      </c>
      <c r="G1220" s="22">
        <v>0</v>
      </c>
      <c r="H1220" s="22">
        <v>0</v>
      </c>
    </row>
    <row r="1221" spans="1:14" x14ac:dyDescent="0.25">
      <c r="E1221" s="22" t="s">
        <v>165</v>
      </c>
      <c r="F1221" s="22">
        <v>0</v>
      </c>
      <c r="G1221" s="22">
        <v>0</v>
      </c>
      <c r="H1221" s="22">
        <v>0</v>
      </c>
    </row>
    <row r="1222" spans="1:14" x14ac:dyDescent="0.25">
      <c r="E1222" s="22" t="s">
        <v>166</v>
      </c>
      <c r="F1222" s="22" t="s">
        <v>78</v>
      </c>
      <c r="G1222" s="22" t="s">
        <v>78</v>
      </c>
      <c r="H1222" s="22" t="s">
        <v>78</v>
      </c>
    </row>
    <row r="1223" spans="1:14" x14ac:dyDescent="0.25">
      <c r="A1223" s="22" t="s">
        <v>18</v>
      </c>
      <c r="B1223" s="22" t="s">
        <v>149</v>
      </c>
      <c r="C1223" s="22">
        <v>60</v>
      </c>
      <c r="D1223" s="22">
        <v>60</v>
      </c>
      <c r="E1223" s="22" t="s">
        <v>165</v>
      </c>
      <c r="F1223" s="22" t="s">
        <v>82</v>
      </c>
      <c r="G1223" s="22" t="s">
        <v>78</v>
      </c>
      <c r="H1223" s="22" t="s">
        <v>83</v>
      </c>
      <c r="I1223" s="22" t="s">
        <v>151</v>
      </c>
      <c r="J1223" s="22" t="s">
        <v>91</v>
      </c>
      <c r="K1223" s="22" t="s">
        <v>91</v>
      </c>
      <c r="L1223" s="22" t="s">
        <v>91</v>
      </c>
      <c r="M1223" s="22">
        <v>540</v>
      </c>
      <c r="N1223" s="22">
        <v>115</v>
      </c>
    </row>
    <row r="1224" spans="1:14" x14ac:dyDescent="0.25">
      <c r="E1224" s="22" t="s">
        <v>166</v>
      </c>
      <c r="F1224" s="22">
        <v>0</v>
      </c>
      <c r="G1224" s="22">
        <v>0</v>
      </c>
      <c r="H1224" s="22">
        <v>0</v>
      </c>
    </row>
    <row r="1225" spans="1:14" x14ac:dyDescent="0.25">
      <c r="E1225" s="22" t="s">
        <v>165</v>
      </c>
      <c r="F1225" s="22">
        <v>0</v>
      </c>
      <c r="G1225" s="22">
        <v>0</v>
      </c>
      <c r="H1225" s="22">
        <v>0</v>
      </c>
    </row>
    <row r="1226" spans="1:14" x14ac:dyDescent="0.25">
      <c r="E1226" s="22" t="s">
        <v>166</v>
      </c>
      <c r="F1226" s="22" t="s">
        <v>78</v>
      </c>
      <c r="G1226" s="22" t="s">
        <v>78</v>
      </c>
      <c r="H1226" s="22" t="s">
        <v>92</v>
      </c>
    </row>
    <row r="1227" spans="1:14" x14ac:dyDescent="0.25">
      <c r="A1227" s="22" t="s">
        <v>18</v>
      </c>
      <c r="B1227" s="22" t="s">
        <v>146</v>
      </c>
      <c r="C1227" s="22">
        <v>50</v>
      </c>
      <c r="D1227" s="22">
        <v>35</v>
      </c>
      <c r="E1227" s="22" t="s">
        <v>165</v>
      </c>
      <c r="F1227" s="22" t="s">
        <v>8</v>
      </c>
      <c r="G1227" s="22" t="s">
        <v>8</v>
      </c>
      <c r="H1227" s="22" t="s">
        <v>8</v>
      </c>
      <c r="I1227" s="22" t="s">
        <v>7</v>
      </c>
      <c r="J1227" s="22" t="s">
        <v>91</v>
      </c>
      <c r="K1227" s="22" t="s">
        <v>91</v>
      </c>
      <c r="L1227" s="22" t="s">
        <v>91</v>
      </c>
      <c r="M1227" s="22">
        <v>1000</v>
      </c>
      <c r="N1227" s="22">
        <v>150</v>
      </c>
    </row>
    <row r="1228" spans="1:14" x14ac:dyDescent="0.25">
      <c r="E1228" s="22" t="s">
        <v>166</v>
      </c>
      <c r="F1228" s="22">
        <v>0</v>
      </c>
      <c r="G1228" s="22">
        <v>0</v>
      </c>
      <c r="H1228" s="22">
        <v>0</v>
      </c>
    </row>
    <row r="1229" spans="1:14" x14ac:dyDescent="0.25">
      <c r="E1229" s="22" t="s">
        <v>165</v>
      </c>
      <c r="F1229" s="22">
        <v>0</v>
      </c>
      <c r="G1229" s="22">
        <v>0</v>
      </c>
      <c r="H1229" s="22">
        <v>0</v>
      </c>
    </row>
    <row r="1230" spans="1:14" x14ac:dyDescent="0.25">
      <c r="E1230" s="22" t="s">
        <v>166</v>
      </c>
      <c r="F1230" s="22" t="s">
        <v>8</v>
      </c>
      <c r="G1230" s="22" t="s">
        <v>8</v>
      </c>
      <c r="H1230" s="22" t="s">
        <v>8</v>
      </c>
    </row>
    <row r="1231" spans="1:14" x14ac:dyDescent="0.25">
      <c r="A1231" s="22" t="s">
        <v>19</v>
      </c>
      <c r="B1231" s="22" t="s">
        <v>138</v>
      </c>
      <c r="C1231" s="22">
        <v>50</v>
      </c>
      <c r="D1231" s="22">
        <v>60</v>
      </c>
      <c r="E1231" s="22" t="s">
        <v>165</v>
      </c>
      <c r="F1231" s="22" t="s">
        <v>82</v>
      </c>
      <c r="G1231" s="22" t="s">
        <v>78</v>
      </c>
      <c r="H1231" s="22" t="s">
        <v>83</v>
      </c>
      <c r="I1231" s="22" t="s">
        <v>7</v>
      </c>
      <c r="J1231" s="22" t="s">
        <v>88</v>
      </c>
      <c r="K1231" s="22" t="s">
        <v>88</v>
      </c>
      <c r="L1231" s="22" t="s">
        <v>88</v>
      </c>
      <c r="M1231" s="22">
        <v>685</v>
      </c>
      <c r="N1231" s="22">
        <v>110</v>
      </c>
    </row>
    <row r="1232" spans="1:14" x14ac:dyDescent="0.25">
      <c r="E1232" s="22" t="s">
        <v>166</v>
      </c>
      <c r="F1232" s="22">
        <v>0</v>
      </c>
      <c r="G1232" s="22">
        <v>0</v>
      </c>
      <c r="H1232" s="22">
        <v>0</v>
      </c>
    </row>
    <row r="1233" spans="1:14" x14ac:dyDescent="0.25">
      <c r="E1233" s="22" t="s">
        <v>165</v>
      </c>
      <c r="F1233" s="22">
        <v>0</v>
      </c>
      <c r="G1233" s="22">
        <v>0</v>
      </c>
      <c r="H1233" s="22">
        <v>0</v>
      </c>
    </row>
    <row r="1234" spans="1:14" x14ac:dyDescent="0.25">
      <c r="E1234" s="22" t="s">
        <v>166</v>
      </c>
      <c r="F1234" s="22" t="s">
        <v>78</v>
      </c>
      <c r="G1234" s="22" t="s">
        <v>82</v>
      </c>
      <c r="H1234" s="22" t="s">
        <v>83</v>
      </c>
    </row>
    <row r="1235" spans="1:14" x14ac:dyDescent="0.25">
      <c r="A1235" s="22" t="s">
        <v>19</v>
      </c>
      <c r="B1235" s="22" t="s">
        <v>152</v>
      </c>
      <c r="C1235" s="22">
        <v>30</v>
      </c>
      <c r="D1235" s="22">
        <v>60</v>
      </c>
      <c r="E1235" s="22" t="s">
        <v>165</v>
      </c>
      <c r="F1235" s="22" t="s">
        <v>83</v>
      </c>
      <c r="G1235" s="22" t="s">
        <v>83</v>
      </c>
      <c r="H1235" s="22" t="s">
        <v>83</v>
      </c>
      <c r="I1235" s="22" t="s">
        <v>65</v>
      </c>
      <c r="J1235" s="22" t="s">
        <v>134</v>
      </c>
      <c r="K1235" s="22" t="s">
        <v>134</v>
      </c>
      <c r="L1235" s="22" t="s">
        <v>134</v>
      </c>
      <c r="M1235" s="22">
        <v>620</v>
      </c>
      <c r="N1235" s="22">
        <v>90</v>
      </c>
    </row>
    <row r="1236" spans="1:14" x14ac:dyDescent="0.25">
      <c r="E1236" s="22" t="s">
        <v>166</v>
      </c>
      <c r="F1236" s="22">
        <v>0</v>
      </c>
      <c r="G1236" s="22">
        <v>0</v>
      </c>
      <c r="H1236" s="22">
        <v>0</v>
      </c>
    </row>
    <row r="1237" spans="1:14" x14ac:dyDescent="0.25">
      <c r="E1237" s="22" t="s">
        <v>165</v>
      </c>
      <c r="F1237" s="22">
        <v>0</v>
      </c>
      <c r="G1237" s="22">
        <v>0</v>
      </c>
      <c r="H1237" s="22">
        <v>0</v>
      </c>
    </row>
    <row r="1238" spans="1:14" x14ac:dyDescent="0.25">
      <c r="E1238" s="22" t="s">
        <v>166</v>
      </c>
      <c r="F1238" s="22" t="s">
        <v>83</v>
      </c>
      <c r="G1238" s="22" t="s">
        <v>83</v>
      </c>
      <c r="H1238" s="22" t="s">
        <v>83</v>
      </c>
    </row>
    <row r="1239" spans="1:14" x14ac:dyDescent="0.25">
      <c r="A1239" s="22" t="s">
        <v>19</v>
      </c>
      <c r="B1239" s="22" t="s">
        <v>80</v>
      </c>
      <c r="C1239" s="22">
        <v>50</v>
      </c>
      <c r="D1239" s="22">
        <v>60</v>
      </c>
      <c r="E1239" s="22" t="s">
        <v>165</v>
      </c>
      <c r="F1239" s="22" t="s">
        <v>83</v>
      </c>
      <c r="G1239" s="22" t="s">
        <v>78</v>
      </c>
      <c r="H1239" s="22" t="s">
        <v>83</v>
      </c>
      <c r="I1239" s="22" t="s">
        <v>7</v>
      </c>
      <c r="J1239" s="22" t="s">
        <v>88</v>
      </c>
      <c r="K1239" s="22" t="s">
        <v>88</v>
      </c>
      <c r="L1239" s="22" t="s">
        <v>88</v>
      </c>
      <c r="M1239" s="22">
        <v>620</v>
      </c>
      <c r="N1239" s="22">
        <v>145</v>
      </c>
    </row>
    <row r="1240" spans="1:14" x14ac:dyDescent="0.25">
      <c r="E1240" s="22" t="s">
        <v>166</v>
      </c>
      <c r="F1240" s="22">
        <v>0</v>
      </c>
      <c r="G1240" s="22">
        <v>0</v>
      </c>
      <c r="H1240" s="22">
        <v>0</v>
      </c>
    </row>
    <row r="1241" spans="1:14" x14ac:dyDescent="0.25">
      <c r="E1241" s="22" t="s">
        <v>165</v>
      </c>
      <c r="F1241" s="22">
        <v>0</v>
      </c>
      <c r="G1241" s="22">
        <v>0</v>
      </c>
      <c r="H1241" s="22">
        <v>0</v>
      </c>
    </row>
    <row r="1242" spans="1:14" x14ac:dyDescent="0.25">
      <c r="E1242" s="22" t="s">
        <v>166</v>
      </c>
      <c r="F1242" s="22" t="s">
        <v>78</v>
      </c>
      <c r="G1242" s="22" t="s">
        <v>83</v>
      </c>
      <c r="H1242" s="22" t="s">
        <v>78</v>
      </c>
    </row>
    <row r="1243" spans="1:14" x14ac:dyDescent="0.25">
      <c r="A1243" s="22" t="s">
        <v>19</v>
      </c>
      <c r="B1243" s="22" t="s">
        <v>105</v>
      </c>
      <c r="C1243" s="22">
        <v>50</v>
      </c>
      <c r="D1243" s="22">
        <v>60</v>
      </c>
      <c r="E1243" s="22" t="s">
        <v>165</v>
      </c>
      <c r="F1243" s="22" t="s">
        <v>83</v>
      </c>
      <c r="G1243" s="22" t="s">
        <v>78</v>
      </c>
      <c r="H1243" s="22" t="s">
        <v>83</v>
      </c>
      <c r="I1243" s="22" t="s">
        <v>7</v>
      </c>
      <c r="J1243" s="22" t="s">
        <v>88</v>
      </c>
      <c r="K1243" s="22" t="s">
        <v>88</v>
      </c>
      <c r="L1243" s="22" t="s">
        <v>88</v>
      </c>
      <c r="M1243" s="22">
        <v>685</v>
      </c>
      <c r="N1243" s="22">
        <v>110</v>
      </c>
    </row>
    <row r="1244" spans="1:14" x14ac:dyDescent="0.25">
      <c r="E1244" s="22" t="s">
        <v>166</v>
      </c>
      <c r="F1244" s="22">
        <v>0</v>
      </c>
      <c r="G1244" s="22">
        <v>0</v>
      </c>
      <c r="H1244" s="22">
        <v>0</v>
      </c>
    </row>
    <row r="1245" spans="1:14" x14ac:dyDescent="0.25">
      <c r="E1245" s="22" t="s">
        <v>165</v>
      </c>
      <c r="F1245" s="22">
        <v>0</v>
      </c>
      <c r="G1245" s="22">
        <v>0</v>
      </c>
      <c r="H1245" s="22">
        <v>0</v>
      </c>
    </row>
    <row r="1246" spans="1:14" x14ac:dyDescent="0.25">
      <c r="E1246" s="22" t="s">
        <v>166</v>
      </c>
      <c r="F1246" s="22" t="s">
        <v>78</v>
      </c>
      <c r="G1246" s="22" t="s">
        <v>83</v>
      </c>
      <c r="H1246" s="22" t="s">
        <v>78</v>
      </c>
    </row>
    <row r="1247" spans="1:14" x14ac:dyDescent="0.25">
      <c r="A1247" s="22" t="s">
        <v>19</v>
      </c>
      <c r="B1247" s="22" t="s">
        <v>147</v>
      </c>
      <c r="C1247" s="22">
        <v>60</v>
      </c>
      <c r="D1247" s="22">
        <v>60</v>
      </c>
      <c r="E1247" s="22" t="s">
        <v>165</v>
      </c>
      <c r="F1247" s="22" t="s">
        <v>83</v>
      </c>
      <c r="G1247" s="22" t="s">
        <v>78</v>
      </c>
      <c r="H1247" s="22" t="s">
        <v>83</v>
      </c>
      <c r="I1247" s="22" t="s">
        <v>151</v>
      </c>
      <c r="J1247" s="22" t="s">
        <v>88</v>
      </c>
      <c r="K1247" s="22" t="s">
        <v>88</v>
      </c>
      <c r="L1247" s="22" t="s">
        <v>88</v>
      </c>
      <c r="M1247" s="22">
        <v>620</v>
      </c>
      <c r="N1247" s="22">
        <v>90</v>
      </c>
    </row>
    <row r="1248" spans="1:14" x14ac:dyDescent="0.25">
      <c r="E1248" s="22" t="s">
        <v>166</v>
      </c>
      <c r="F1248" s="22">
        <v>0</v>
      </c>
      <c r="G1248" s="22">
        <v>0</v>
      </c>
      <c r="H1248" s="22">
        <v>0</v>
      </c>
    </row>
    <row r="1249" spans="1:14" x14ac:dyDescent="0.25">
      <c r="E1249" s="22" t="s">
        <v>165</v>
      </c>
      <c r="F1249" s="22">
        <v>0</v>
      </c>
      <c r="G1249" s="22">
        <v>0</v>
      </c>
      <c r="H1249" s="22">
        <v>0</v>
      </c>
    </row>
    <row r="1250" spans="1:14" x14ac:dyDescent="0.25">
      <c r="E1250" s="22" t="s">
        <v>166</v>
      </c>
      <c r="F1250" s="22" t="s">
        <v>78</v>
      </c>
      <c r="G1250" s="22" t="s">
        <v>83</v>
      </c>
      <c r="H1250" s="22" t="s">
        <v>78</v>
      </c>
    </row>
    <row r="1251" spans="1:14" x14ac:dyDescent="0.25">
      <c r="A1251" s="22" t="s">
        <v>19</v>
      </c>
      <c r="B1251" s="22" t="s">
        <v>84</v>
      </c>
      <c r="C1251" s="22">
        <v>50</v>
      </c>
      <c r="D1251" s="22">
        <v>60</v>
      </c>
      <c r="E1251" s="22" t="s">
        <v>165</v>
      </c>
      <c r="F1251" s="22" t="s">
        <v>82</v>
      </c>
      <c r="G1251" s="22" t="s">
        <v>78</v>
      </c>
      <c r="H1251" s="22" t="s">
        <v>92</v>
      </c>
      <c r="I1251" s="22" t="s">
        <v>151</v>
      </c>
      <c r="J1251" s="22" t="s">
        <v>91</v>
      </c>
      <c r="K1251" s="22" t="s">
        <v>91</v>
      </c>
      <c r="L1251" s="22" t="s">
        <v>91</v>
      </c>
      <c r="M1251" s="22">
        <v>525</v>
      </c>
      <c r="N1251" s="22">
        <v>100</v>
      </c>
    </row>
    <row r="1252" spans="1:14" x14ac:dyDescent="0.25">
      <c r="E1252" s="22" t="s">
        <v>166</v>
      </c>
      <c r="F1252" s="22">
        <v>0</v>
      </c>
      <c r="G1252" s="22">
        <v>0</v>
      </c>
      <c r="H1252" s="22">
        <v>0</v>
      </c>
    </row>
    <row r="1253" spans="1:14" x14ac:dyDescent="0.25">
      <c r="E1253" s="22" t="s">
        <v>165</v>
      </c>
      <c r="F1253" s="22">
        <v>0</v>
      </c>
      <c r="G1253" s="22">
        <v>0</v>
      </c>
      <c r="H1253" s="22">
        <v>0</v>
      </c>
    </row>
    <row r="1254" spans="1:14" x14ac:dyDescent="0.25">
      <c r="E1254" s="22" t="s">
        <v>166</v>
      </c>
      <c r="F1254" s="22" t="s">
        <v>82</v>
      </c>
      <c r="G1254" s="22" t="s">
        <v>83</v>
      </c>
      <c r="H1254" s="22" t="s">
        <v>83</v>
      </c>
    </row>
    <row r="1255" spans="1:14" x14ac:dyDescent="0.25">
      <c r="A1255" s="22" t="s">
        <v>19</v>
      </c>
      <c r="B1255" s="22" t="s">
        <v>86</v>
      </c>
      <c r="C1255" s="22">
        <v>50</v>
      </c>
      <c r="D1255" s="22">
        <v>60</v>
      </c>
      <c r="E1255" s="22" t="s">
        <v>165</v>
      </c>
      <c r="F1255" s="22" t="s">
        <v>83</v>
      </c>
      <c r="G1255" s="22" t="s">
        <v>78</v>
      </c>
      <c r="H1255" s="22" t="s">
        <v>83</v>
      </c>
      <c r="I1255" s="22" t="s">
        <v>151</v>
      </c>
      <c r="J1255" s="22" t="s">
        <v>88</v>
      </c>
      <c r="K1255" s="22" t="s">
        <v>88</v>
      </c>
      <c r="L1255" s="22" t="s">
        <v>88</v>
      </c>
      <c r="M1255" s="22">
        <v>540</v>
      </c>
      <c r="N1255" s="22">
        <v>100</v>
      </c>
    </row>
    <row r="1256" spans="1:14" x14ac:dyDescent="0.25">
      <c r="E1256" s="22" t="s">
        <v>166</v>
      </c>
      <c r="F1256" s="22">
        <v>0</v>
      </c>
      <c r="G1256" s="22">
        <v>0</v>
      </c>
      <c r="H1256" s="22">
        <v>0</v>
      </c>
    </row>
    <row r="1257" spans="1:14" x14ac:dyDescent="0.25">
      <c r="E1257" s="22" t="s">
        <v>165</v>
      </c>
      <c r="F1257" s="22">
        <v>0</v>
      </c>
      <c r="G1257" s="22">
        <v>0</v>
      </c>
      <c r="H1257" s="22">
        <v>0</v>
      </c>
    </row>
    <row r="1258" spans="1:14" x14ac:dyDescent="0.25">
      <c r="E1258" s="22" t="s">
        <v>166</v>
      </c>
      <c r="F1258" s="22" t="s">
        <v>78</v>
      </c>
      <c r="G1258" s="22" t="s">
        <v>83</v>
      </c>
      <c r="H1258" s="22" t="s">
        <v>78</v>
      </c>
    </row>
    <row r="1259" spans="1:14" x14ac:dyDescent="0.25">
      <c r="A1259" s="22" t="s">
        <v>19</v>
      </c>
      <c r="B1259" s="22" t="s">
        <v>149</v>
      </c>
      <c r="C1259" s="22">
        <v>60</v>
      </c>
      <c r="D1259" s="22">
        <v>60</v>
      </c>
      <c r="E1259" s="22" t="s">
        <v>165</v>
      </c>
      <c r="F1259" s="22" t="s">
        <v>82</v>
      </c>
      <c r="G1259" s="22" t="s">
        <v>78</v>
      </c>
      <c r="H1259" s="22" t="s">
        <v>83</v>
      </c>
      <c r="I1259" s="22" t="s">
        <v>151</v>
      </c>
      <c r="J1259" s="22" t="s">
        <v>91</v>
      </c>
      <c r="K1259" s="22" t="s">
        <v>91</v>
      </c>
      <c r="L1259" s="22" t="s">
        <v>91</v>
      </c>
      <c r="M1259" s="22">
        <v>540</v>
      </c>
      <c r="N1259" s="22">
        <v>115</v>
      </c>
    </row>
    <row r="1260" spans="1:14" x14ac:dyDescent="0.25">
      <c r="E1260" s="22" t="s">
        <v>166</v>
      </c>
      <c r="F1260" s="22">
        <v>0</v>
      </c>
      <c r="G1260" s="22">
        <v>0</v>
      </c>
      <c r="H1260" s="22">
        <v>0</v>
      </c>
    </row>
    <row r="1261" spans="1:14" x14ac:dyDescent="0.25">
      <c r="E1261" s="22" t="s">
        <v>165</v>
      </c>
      <c r="F1261" s="22">
        <v>0</v>
      </c>
      <c r="G1261" s="22">
        <v>0</v>
      </c>
      <c r="H1261" s="22">
        <v>0</v>
      </c>
    </row>
    <row r="1262" spans="1:14" x14ac:dyDescent="0.25">
      <c r="E1262" s="22" t="s">
        <v>166</v>
      </c>
      <c r="F1262" s="22" t="s">
        <v>83</v>
      </c>
      <c r="G1262" s="22" t="s">
        <v>83</v>
      </c>
      <c r="H1262" s="22" t="s">
        <v>83</v>
      </c>
    </row>
  </sheetData>
  <phoneticPr fontId="2" type="noConversion"/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1">
    <tabColor theme="8" tint="0.39997558519241921"/>
  </sheetPr>
  <dimension ref="B2:AT1262"/>
  <sheetViews>
    <sheetView zoomScaleNormal="100" workbookViewId="0">
      <selection activeCell="B2" sqref="B2"/>
    </sheetView>
  </sheetViews>
  <sheetFormatPr defaultColWidth="4.625" defaultRowHeight="15.75" x14ac:dyDescent="0.25"/>
  <cols>
    <col min="1" max="1" width="4.625" style="37"/>
    <col min="2" max="2" width="12.75" style="37" bestFit="1" customWidth="1"/>
    <col min="3" max="3" width="4.625" style="37" customWidth="1"/>
    <col min="4" max="16384" width="4.625" style="37"/>
  </cols>
  <sheetData>
    <row r="2" spans="2:46" s="37" customFormat="1" x14ac:dyDescent="0.25">
      <c r="B2" s="37">
        <v>0.94383962924099341</v>
      </c>
    </row>
    <row r="3" spans="2:46" s="37" customFormat="1" x14ac:dyDescent="0.25">
      <c r="C3" s="37" t="s">
        <v>20</v>
      </c>
      <c r="D3" s="37">
        <v>2</v>
      </c>
      <c r="E3" s="37">
        <v>2</v>
      </c>
      <c r="F3" s="37">
        <v>2</v>
      </c>
      <c r="G3" s="37">
        <v>2</v>
      </c>
      <c r="H3" s="37">
        <v>2</v>
      </c>
      <c r="I3" s="37">
        <v>2</v>
      </c>
      <c r="J3" s="37">
        <v>2</v>
      </c>
      <c r="K3" s="37">
        <v>2</v>
      </c>
      <c r="L3" s="37">
        <v>2</v>
      </c>
      <c r="M3" s="37">
        <v>2</v>
      </c>
      <c r="N3" s="37">
        <v>2</v>
      </c>
      <c r="O3" s="37">
        <v>2</v>
      </c>
      <c r="P3" s="37">
        <v>2</v>
      </c>
      <c r="Q3" s="37">
        <v>2</v>
      </c>
      <c r="R3" s="37">
        <v>2</v>
      </c>
      <c r="S3" s="37">
        <v>2</v>
      </c>
      <c r="T3" s="37">
        <v>2</v>
      </c>
      <c r="U3" s="37">
        <v>2</v>
      </c>
      <c r="V3" s="37">
        <v>2</v>
      </c>
      <c r="W3" s="37">
        <v>2</v>
      </c>
      <c r="X3" s="37">
        <v>2</v>
      </c>
      <c r="Z3" s="37">
        <v>2</v>
      </c>
      <c r="AA3" s="37">
        <v>2</v>
      </c>
      <c r="AB3" s="37">
        <v>2</v>
      </c>
      <c r="AC3" s="37">
        <v>2</v>
      </c>
      <c r="AD3" s="37">
        <v>2</v>
      </c>
      <c r="AE3" s="37">
        <v>2</v>
      </c>
      <c r="AF3" s="37">
        <v>2</v>
      </c>
      <c r="AG3" s="37">
        <v>2</v>
      </c>
      <c r="AH3" s="37">
        <v>2</v>
      </c>
      <c r="AI3" s="37">
        <v>2</v>
      </c>
      <c r="AJ3" s="37">
        <v>2</v>
      </c>
      <c r="AK3" s="37">
        <v>2</v>
      </c>
      <c r="AL3" s="37">
        <v>2</v>
      </c>
      <c r="AM3" s="37">
        <v>2</v>
      </c>
      <c r="AN3" s="37">
        <v>2</v>
      </c>
      <c r="AO3" s="37">
        <v>2</v>
      </c>
      <c r="AP3" s="37">
        <v>2</v>
      </c>
      <c r="AQ3" s="37">
        <v>2</v>
      </c>
      <c r="AR3" s="37">
        <v>2</v>
      </c>
      <c r="AS3" s="37">
        <v>2</v>
      </c>
      <c r="AT3" s="37">
        <v>2</v>
      </c>
    </row>
    <row r="4" spans="2:46" s="37" customFormat="1" x14ac:dyDescent="0.25"/>
    <row r="5" spans="2:46" s="37" customFormat="1" x14ac:dyDescent="0.25">
      <c r="C5" s="37" t="s">
        <v>21</v>
      </c>
      <c r="D5" s="37">
        <v>2</v>
      </c>
      <c r="E5" s="37">
        <v>2</v>
      </c>
      <c r="F5" s="37">
        <v>2</v>
      </c>
      <c r="G5" s="37">
        <v>2</v>
      </c>
      <c r="H5" s="37">
        <v>2</v>
      </c>
      <c r="I5" s="37">
        <v>2</v>
      </c>
      <c r="J5" s="37">
        <v>2</v>
      </c>
      <c r="K5" s="37">
        <v>2</v>
      </c>
      <c r="L5" s="37">
        <v>2</v>
      </c>
      <c r="M5" s="37">
        <v>2</v>
      </c>
      <c r="N5" s="37">
        <v>2</v>
      </c>
      <c r="O5" s="37">
        <v>2</v>
      </c>
      <c r="P5" s="37">
        <v>2</v>
      </c>
      <c r="Q5" s="37">
        <v>2</v>
      </c>
      <c r="R5" s="37">
        <v>2</v>
      </c>
      <c r="S5" s="37">
        <v>2</v>
      </c>
      <c r="T5" s="37">
        <v>2</v>
      </c>
      <c r="U5" s="37">
        <v>2</v>
      </c>
      <c r="V5" s="37">
        <v>2</v>
      </c>
      <c r="W5" s="37">
        <v>2</v>
      </c>
      <c r="X5" s="37">
        <v>2</v>
      </c>
      <c r="Z5" s="37">
        <v>2</v>
      </c>
      <c r="AA5" s="37">
        <v>2</v>
      </c>
      <c r="AB5" s="37">
        <v>2</v>
      </c>
      <c r="AC5" s="37">
        <v>2</v>
      </c>
      <c r="AD5" s="37">
        <v>2</v>
      </c>
      <c r="AE5" s="37">
        <v>2</v>
      </c>
      <c r="AF5" s="37">
        <v>2</v>
      </c>
      <c r="AG5" s="37">
        <v>2</v>
      </c>
      <c r="AH5" s="37">
        <v>2</v>
      </c>
      <c r="AI5" s="37">
        <v>2</v>
      </c>
      <c r="AJ5" s="37">
        <v>2</v>
      </c>
      <c r="AK5" s="37">
        <v>2</v>
      </c>
      <c r="AL5" s="37">
        <v>2</v>
      </c>
      <c r="AM5" s="37">
        <v>2</v>
      </c>
      <c r="AN5" s="37">
        <v>2</v>
      </c>
      <c r="AO5" s="37">
        <v>2</v>
      </c>
      <c r="AP5" s="37">
        <v>2</v>
      </c>
      <c r="AQ5" s="37">
        <v>2</v>
      </c>
      <c r="AR5" s="37">
        <v>2</v>
      </c>
      <c r="AS5" s="37">
        <v>2</v>
      </c>
      <c r="AT5" s="37">
        <v>2</v>
      </c>
    </row>
    <row r="6" spans="2:46" s="37" customFormat="1" x14ac:dyDescent="0.25"/>
    <row r="7" spans="2:46" s="37" customFormat="1" x14ac:dyDescent="0.25">
      <c r="C7" s="37" t="s">
        <v>20</v>
      </c>
      <c r="D7" s="37">
        <v>2</v>
      </c>
      <c r="E7" s="37">
        <v>2</v>
      </c>
      <c r="F7" s="37">
        <v>2</v>
      </c>
      <c r="G7" s="37">
        <v>2</v>
      </c>
      <c r="H7" s="37">
        <v>2</v>
      </c>
      <c r="I7" s="37">
        <v>2</v>
      </c>
      <c r="J7" s="37">
        <v>2</v>
      </c>
      <c r="K7" s="37">
        <v>2</v>
      </c>
      <c r="L7" s="37">
        <v>2</v>
      </c>
      <c r="M7" s="37">
        <v>2</v>
      </c>
      <c r="N7" s="37">
        <v>2</v>
      </c>
      <c r="O7" s="37">
        <v>2</v>
      </c>
      <c r="P7" s="37">
        <v>2</v>
      </c>
      <c r="Q7" s="37">
        <v>2</v>
      </c>
      <c r="R7" s="37">
        <v>2</v>
      </c>
      <c r="S7" s="37">
        <v>2</v>
      </c>
      <c r="T7" s="37">
        <v>2</v>
      </c>
      <c r="U7" s="37">
        <v>2</v>
      </c>
      <c r="V7" s="37">
        <v>2</v>
      </c>
      <c r="W7" s="37">
        <v>2</v>
      </c>
      <c r="X7" s="37">
        <v>2</v>
      </c>
      <c r="Z7" s="37">
        <v>2</v>
      </c>
      <c r="AA7" s="37">
        <v>2</v>
      </c>
      <c r="AB7" s="37">
        <v>2</v>
      </c>
      <c r="AC7" s="37">
        <v>2</v>
      </c>
      <c r="AD7" s="37">
        <v>2</v>
      </c>
      <c r="AE7" s="37">
        <v>2</v>
      </c>
      <c r="AF7" s="37">
        <v>2</v>
      </c>
      <c r="AG7" s="37">
        <v>2</v>
      </c>
      <c r="AH7" s="37">
        <v>2</v>
      </c>
      <c r="AI7" s="37">
        <v>2</v>
      </c>
      <c r="AJ7" s="37">
        <v>2</v>
      </c>
      <c r="AK7" s="37">
        <v>2</v>
      </c>
      <c r="AL7" s="37">
        <v>2</v>
      </c>
      <c r="AM7" s="37">
        <v>2</v>
      </c>
      <c r="AN7" s="37">
        <v>2</v>
      </c>
      <c r="AO7" s="37">
        <v>2</v>
      </c>
      <c r="AP7" s="37">
        <v>2</v>
      </c>
      <c r="AQ7" s="37">
        <v>2</v>
      </c>
      <c r="AR7" s="37">
        <v>2</v>
      </c>
      <c r="AS7" s="37">
        <v>2</v>
      </c>
      <c r="AT7" s="37">
        <v>2</v>
      </c>
    </row>
    <row r="8" spans="2:46" s="37" customFormat="1" x14ac:dyDescent="0.25"/>
    <row r="9" spans="2:46" s="37" customFormat="1" x14ac:dyDescent="0.25">
      <c r="C9" s="37" t="s">
        <v>21</v>
      </c>
      <c r="D9" s="37">
        <v>2</v>
      </c>
      <c r="E9" s="37">
        <v>2</v>
      </c>
      <c r="F9" s="37">
        <v>2</v>
      </c>
      <c r="G9" s="37">
        <v>2</v>
      </c>
      <c r="H9" s="37">
        <v>2</v>
      </c>
      <c r="I9" s="37">
        <v>2</v>
      </c>
      <c r="J9" s="37">
        <v>2</v>
      </c>
      <c r="K9" s="37">
        <v>2</v>
      </c>
      <c r="L9" s="37">
        <v>2</v>
      </c>
      <c r="M9" s="37">
        <v>2</v>
      </c>
      <c r="N9" s="37">
        <v>2</v>
      </c>
      <c r="O9" s="37">
        <v>2</v>
      </c>
      <c r="P9" s="37">
        <v>2</v>
      </c>
      <c r="Q9" s="37">
        <v>2</v>
      </c>
      <c r="R9" s="37">
        <v>2</v>
      </c>
      <c r="S9" s="37">
        <v>2</v>
      </c>
      <c r="T9" s="37">
        <v>2</v>
      </c>
      <c r="U9" s="37">
        <v>2</v>
      </c>
      <c r="V9" s="37">
        <v>2</v>
      </c>
      <c r="W9" s="37">
        <v>2</v>
      </c>
      <c r="X9" s="37">
        <v>2</v>
      </c>
      <c r="Z9" s="37">
        <v>2</v>
      </c>
      <c r="AA9" s="37">
        <v>2</v>
      </c>
      <c r="AB9" s="37">
        <v>2</v>
      </c>
      <c r="AC9" s="37">
        <v>2</v>
      </c>
      <c r="AD9" s="37">
        <v>2</v>
      </c>
      <c r="AE9" s="37">
        <v>2</v>
      </c>
      <c r="AF9" s="37">
        <v>2</v>
      </c>
      <c r="AG9" s="37">
        <v>2</v>
      </c>
      <c r="AH9" s="37">
        <v>2</v>
      </c>
      <c r="AI9" s="37">
        <v>2</v>
      </c>
      <c r="AJ9" s="37">
        <v>2</v>
      </c>
      <c r="AK9" s="37">
        <v>2</v>
      </c>
      <c r="AL9" s="37">
        <v>2</v>
      </c>
      <c r="AM9" s="37">
        <v>2</v>
      </c>
      <c r="AN9" s="37">
        <v>2</v>
      </c>
      <c r="AO9" s="37">
        <v>2</v>
      </c>
      <c r="AP9" s="37">
        <v>2</v>
      </c>
      <c r="AQ9" s="37">
        <v>2</v>
      </c>
      <c r="AR9" s="37">
        <v>2</v>
      </c>
      <c r="AS9" s="37">
        <v>2</v>
      </c>
      <c r="AT9" s="37">
        <v>2</v>
      </c>
    </row>
    <row r="10" spans="2:46" s="37" customFormat="1" x14ac:dyDescent="0.25"/>
    <row r="11" spans="2:46" s="37" customFormat="1" x14ac:dyDescent="0.25">
      <c r="C11" s="37" t="s">
        <v>20</v>
      </c>
      <c r="D11" s="37">
        <v>4</v>
      </c>
      <c r="E11" s="37">
        <v>4</v>
      </c>
      <c r="F11" s="37">
        <v>4</v>
      </c>
      <c r="G11" s="37">
        <v>4</v>
      </c>
      <c r="H11" s="37">
        <v>4</v>
      </c>
      <c r="I11" s="37">
        <v>4</v>
      </c>
      <c r="J11" s="37">
        <v>4</v>
      </c>
      <c r="K11" s="37">
        <v>2</v>
      </c>
      <c r="L11" s="37">
        <v>2</v>
      </c>
      <c r="M11" s="37">
        <v>2</v>
      </c>
      <c r="N11" s="37">
        <v>2</v>
      </c>
      <c r="O11" s="37">
        <v>2</v>
      </c>
      <c r="P11" s="37">
        <v>2</v>
      </c>
      <c r="Q11" s="37">
        <v>2</v>
      </c>
      <c r="R11" s="37">
        <v>2</v>
      </c>
      <c r="S11" s="37">
        <v>2</v>
      </c>
      <c r="T11" s="37">
        <v>2</v>
      </c>
      <c r="U11" s="37">
        <v>2</v>
      </c>
      <c r="V11" s="37">
        <v>2</v>
      </c>
      <c r="W11" s="37">
        <v>2</v>
      </c>
      <c r="X11" s="37">
        <v>2</v>
      </c>
      <c r="Z11" s="37">
        <v>4</v>
      </c>
      <c r="AA11" s="37">
        <v>4</v>
      </c>
      <c r="AB11" s="37">
        <v>4</v>
      </c>
      <c r="AC11" s="37">
        <v>4</v>
      </c>
      <c r="AD11" s="37">
        <v>4</v>
      </c>
      <c r="AE11" s="37">
        <v>4</v>
      </c>
      <c r="AF11" s="37">
        <v>4</v>
      </c>
      <c r="AG11" s="37">
        <v>2</v>
      </c>
      <c r="AH11" s="37">
        <v>2</v>
      </c>
      <c r="AI11" s="37">
        <v>2</v>
      </c>
      <c r="AJ11" s="37">
        <v>2</v>
      </c>
      <c r="AK11" s="37">
        <v>2</v>
      </c>
      <c r="AL11" s="37">
        <v>2</v>
      </c>
      <c r="AM11" s="37">
        <v>2</v>
      </c>
      <c r="AN11" s="37">
        <v>2</v>
      </c>
      <c r="AO11" s="37">
        <v>2</v>
      </c>
      <c r="AP11" s="37">
        <v>2</v>
      </c>
      <c r="AQ11" s="37">
        <v>2</v>
      </c>
      <c r="AR11" s="37">
        <v>2</v>
      </c>
      <c r="AS11" s="37">
        <v>2</v>
      </c>
      <c r="AT11" s="37">
        <v>2</v>
      </c>
    </row>
    <row r="12" spans="2:46" s="37" customFormat="1" x14ac:dyDescent="0.25"/>
    <row r="13" spans="2:46" s="37" customFormat="1" x14ac:dyDescent="0.25">
      <c r="C13" s="37" t="s">
        <v>21</v>
      </c>
      <c r="D13" s="37">
        <v>2</v>
      </c>
      <c r="E13" s="37">
        <v>2</v>
      </c>
      <c r="F13" s="37">
        <v>2</v>
      </c>
      <c r="G13" s="37">
        <v>2</v>
      </c>
      <c r="H13" s="37">
        <v>2</v>
      </c>
      <c r="I13" s="37">
        <v>2</v>
      </c>
      <c r="J13" s="37">
        <v>2</v>
      </c>
      <c r="K13" s="37">
        <v>2</v>
      </c>
      <c r="L13" s="37">
        <v>2</v>
      </c>
      <c r="M13" s="37">
        <v>2</v>
      </c>
      <c r="N13" s="37">
        <v>2</v>
      </c>
      <c r="O13" s="37">
        <v>2</v>
      </c>
      <c r="P13" s="37">
        <v>2</v>
      </c>
      <c r="Q13" s="37">
        <v>2</v>
      </c>
      <c r="R13" s="37">
        <v>2</v>
      </c>
      <c r="S13" s="37">
        <v>3</v>
      </c>
      <c r="T13" s="37">
        <v>3</v>
      </c>
      <c r="U13" s="37">
        <v>3</v>
      </c>
      <c r="V13" s="37">
        <v>3</v>
      </c>
      <c r="W13" s="37">
        <v>3</v>
      </c>
      <c r="X13" s="37">
        <v>3</v>
      </c>
      <c r="Z13" s="37">
        <v>2</v>
      </c>
      <c r="AA13" s="37">
        <v>2</v>
      </c>
      <c r="AB13" s="37">
        <v>2</v>
      </c>
      <c r="AC13" s="37">
        <v>2</v>
      </c>
      <c r="AD13" s="37">
        <v>2</v>
      </c>
      <c r="AE13" s="37">
        <v>2</v>
      </c>
      <c r="AF13" s="37">
        <v>2</v>
      </c>
      <c r="AG13" s="37">
        <v>2</v>
      </c>
      <c r="AH13" s="37">
        <v>2</v>
      </c>
      <c r="AI13" s="37">
        <v>2</v>
      </c>
      <c r="AJ13" s="37">
        <v>2</v>
      </c>
      <c r="AK13" s="37">
        <v>2</v>
      </c>
      <c r="AL13" s="37">
        <v>2</v>
      </c>
      <c r="AM13" s="37">
        <v>3</v>
      </c>
      <c r="AN13" s="37">
        <v>3</v>
      </c>
      <c r="AO13" s="37">
        <v>3</v>
      </c>
      <c r="AP13" s="37">
        <v>3</v>
      </c>
      <c r="AQ13" s="37">
        <v>3</v>
      </c>
      <c r="AR13" s="37">
        <v>3</v>
      </c>
      <c r="AS13" s="37">
        <v>3</v>
      </c>
      <c r="AT13" s="37">
        <v>3</v>
      </c>
    </row>
    <row r="14" spans="2:46" s="37" customFormat="1" x14ac:dyDescent="0.25"/>
    <row r="15" spans="2:46" s="37" customFormat="1" x14ac:dyDescent="0.25">
      <c r="C15" s="37" t="s">
        <v>20</v>
      </c>
      <c r="D15" s="37">
        <v>2</v>
      </c>
      <c r="E15" s="37">
        <v>2</v>
      </c>
      <c r="F15" s="37">
        <v>2</v>
      </c>
      <c r="G15" s="37">
        <v>2</v>
      </c>
      <c r="H15" s="37">
        <v>2</v>
      </c>
      <c r="I15" s="37">
        <v>2</v>
      </c>
      <c r="J15" s="37">
        <v>2</v>
      </c>
      <c r="K15" s="37">
        <v>2</v>
      </c>
      <c r="L15" s="37">
        <v>2</v>
      </c>
      <c r="M15" s="37">
        <v>2</v>
      </c>
      <c r="N15" s="37">
        <v>2</v>
      </c>
      <c r="O15" s="37">
        <v>2</v>
      </c>
      <c r="P15" s="37">
        <v>2</v>
      </c>
      <c r="Q15" s="37">
        <v>2</v>
      </c>
      <c r="R15" s="37">
        <v>2</v>
      </c>
      <c r="S15" s="37">
        <v>2</v>
      </c>
      <c r="T15" s="37">
        <v>2</v>
      </c>
      <c r="U15" s="37">
        <v>2</v>
      </c>
      <c r="V15" s="37">
        <v>2</v>
      </c>
      <c r="W15" s="37">
        <v>2</v>
      </c>
      <c r="X15" s="37">
        <v>2</v>
      </c>
      <c r="Z15" s="37">
        <v>2</v>
      </c>
      <c r="AA15" s="37">
        <v>2</v>
      </c>
      <c r="AB15" s="37">
        <v>2</v>
      </c>
      <c r="AC15" s="37">
        <v>2</v>
      </c>
      <c r="AD15" s="37">
        <v>2</v>
      </c>
      <c r="AE15" s="37">
        <v>2</v>
      </c>
      <c r="AF15" s="37">
        <v>2</v>
      </c>
      <c r="AG15" s="37">
        <v>2</v>
      </c>
      <c r="AH15" s="37">
        <v>2</v>
      </c>
      <c r="AI15" s="37">
        <v>2</v>
      </c>
      <c r="AJ15" s="37">
        <v>2</v>
      </c>
      <c r="AK15" s="37">
        <v>2</v>
      </c>
      <c r="AL15" s="37">
        <v>2</v>
      </c>
      <c r="AM15" s="37">
        <v>2</v>
      </c>
      <c r="AN15" s="37">
        <v>2</v>
      </c>
      <c r="AO15" s="37">
        <v>2</v>
      </c>
      <c r="AP15" s="37">
        <v>2</v>
      </c>
      <c r="AQ15" s="37">
        <v>2</v>
      </c>
      <c r="AR15" s="37">
        <v>2</v>
      </c>
      <c r="AS15" s="37">
        <v>2</v>
      </c>
      <c r="AT15" s="37">
        <v>2</v>
      </c>
    </row>
    <row r="16" spans="2:46" s="37" customFormat="1" x14ac:dyDescent="0.25"/>
    <row r="17" spans="3:46" s="37" customFormat="1" x14ac:dyDescent="0.25">
      <c r="C17" s="37" t="s">
        <v>21</v>
      </c>
      <c r="D17" s="37">
        <v>2</v>
      </c>
      <c r="E17" s="37">
        <v>2</v>
      </c>
      <c r="F17" s="37">
        <v>2</v>
      </c>
      <c r="G17" s="37">
        <v>2</v>
      </c>
      <c r="H17" s="37">
        <v>2</v>
      </c>
      <c r="I17" s="37">
        <v>2</v>
      </c>
      <c r="J17" s="37">
        <v>2</v>
      </c>
      <c r="K17" s="37">
        <v>2</v>
      </c>
      <c r="L17" s="37">
        <v>2</v>
      </c>
      <c r="M17" s="37">
        <v>2</v>
      </c>
      <c r="N17" s="37">
        <v>2</v>
      </c>
      <c r="O17" s="37">
        <v>2</v>
      </c>
      <c r="P17" s="37">
        <v>2</v>
      </c>
      <c r="Q17" s="37">
        <v>2</v>
      </c>
      <c r="R17" s="37">
        <v>2</v>
      </c>
      <c r="S17" s="37">
        <v>2</v>
      </c>
      <c r="T17" s="37">
        <v>2</v>
      </c>
      <c r="U17" s="37">
        <v>2</v>
      </c>
      <c r="V17" s="37">
        <v>2</v>
      </c>
      <c r="W17" s="37">
        <v>2</v>
      </c>
      <c r="X17" s="37">
        <v>2</v>
      </c>
      <c r="Z17" s="37">
        <v>2</v>
      </c>
      <c r="AA17" s="37">
        <v>2</v>
      </c>
      <c r="AB17" s="37">
        <v>2</v>
      </c>
      <c r="AC17" s="37">
        <v>2</v>
      </c>
      <c r="AD17" s="37">
        <v>2</v>
      </c>
      <c r="AE17" s="37">
        <v>2</v>
      </c>
      <c r="AF17" s="37">
        <v>2</v>
      </c>
      <c r="AG17" s="37">
        <v>2</v>
      </c>
      <c r="AH17" s="37">
        <v>2</v>
      </c>
      <c r="AI17" s="37">
        <v>2</v>
      </c>
      <c r="AJ17" s="37">
        <v>2</v>
      </c>
      <c r="AK17" s="37">
        <v>2</v>
      </c>
      <c r="AL17" s="37">
        <v>2</v>
      </c>
      <c r="AM17" s="37">
        <v>2</v>
      </c>
      <c r="AN17" s="37">
        <v>2</v>
      </c>
      <c r="AO17" s="37">
        <v>2</v>
      </c>
      <c r="AP17" s="37">
        <v>2</v>
      </c>
      <c r="AQ17" s="37">
        <v>2</v>
      </c>
      <c r="AR17" s="37">
        <v>2</v>
      </c>
      <c r="AS17" s="37">
        <v>2</v>
      </c>
      <c r="AT17" s="37">
        <v>2</v>
      </c>
    </row>
    <row r="18" spans="3:46" s="37" customFormat="1" x14ac:dyDescent="0.25"/>
    <row r="19" spans="3:46" s="37" customFormat="1" x14ac:dyDescent="0.25">
      <c r="C19" s="37" t="s">
        <v>20</v>
      </c>
      <c r="D19" s="37">
        <v>2</v>
      </c>
      <c r="E19" s="37">
        <v>2</v>
      </c>
      <c r="F19" s="37">
        <v>2</v>
      </c>
      <c r="G19" s="37">
        <v>2</v>
      </c>
      <c r="H19" s="37">
        <v>2</v>
      </c>
      <c r="I19" s="37">
        <v>2</v>
      </c>
      <c r="J19" s="37">
        <v>2</v>
      </c>
      <c r="K19" s="37">
        <v>2</v>
      </c>
      <c r="L19" s="37">
        <v>2</v>
      </c>
      <c r="M19" s="37">
        <v>2</v>
      </c>
      <c r="N19" s="37">
        <v>2</v>
      </c>
      <c r="O19" s="37">
        <v>2</v>
      </c>
      <c r="P19" s="37">
        <v>2</v>
      </c>
      <c r="Q19" s="37">
        <v>2</v>
      </c>
      <c r="R19" s="37">
        <v>2</v>
      </c>
      <c r="S19" s="37">
        <v>2</v>
      </c>
      <c r="T19" s="37">
        <v>2</v>
      </c>
      <c r="U19" s="37">
        <v>2</v>
      </c>
      <c r="V19" s="37">
        <v>2</v>
      </c>
      <c r="W19" s="37">
        <v>2</v>
      </c>
      <c r="X19" s="37">
        <v>2</v>
      </c>
      <c r="Z19" s="37">
        <v>2</v>
      </c>
      <c r="AA19" s="37">
        <v>2</v>
      </c>
      <c r="AB19" s="37">
        <v>2</v>
      </c>
      <c r="AC19" s="37">
        <v>2</v>
      </c>
      <c r="AD19" s="37">
        <v>2</v>
      </c>
      <c r="AE19" s="37">
        <v>2</v>
      </c>
      <c r="AF19" s="37">
        <v>2</v>
      </c>
      <c r="AG19" s="37">
        <v>2</v>
      </c>
      <c r="AH19" s="37">
        <v>2</v>
      </c>
      <c r="AI19" s="37">
        <v>2</v>
      </c>
      <c r="AJ19" s="37">
        <v>2</v>
      </c>
      <c r="AK19" s="37">
        <v>2</v>
      </c>
      <c r="AL19" s="37">
        <v>2</v>
      </c>
      <c r="AM19" s="37">
        <v>2</v>
      </c>
      <c r="AN19" s="37">
        <v>2</v>
      </c>
      <c r="AO19" s="37">
        <v>2</v>
      </c>
      <c r="AP19" s="37">
        <v>2</v>
      </c>
      <c r="AQ19" s="37">
        <v>2</v>
      </c>
      <c r="AR19" s="37">
        <v>2</v>
      </c>
      <c r="AS19" s="37">
        <v>2</v>
      </c>
      <c r="AT19" s="37">
        <v>2</v>
      </c>
    </row>
    <row r="20" spans="3:46" s="37" customFormat="1" x14ac:dyDescent="0.25"/>
    <row r="21" spans="3:46" s="37" customFormat="1" x14ac:dyDescent="0.25">
      <c r="C21" s="37" t="s">
        <v>21</v>
      </c>
      <c r="D21" s="37">
        <v>2</v>
      </c>
      <c r="E21" s="37">
        <v>2</v>
      </c>
      <c r="F21" s="37">
        <v>2</v>
      </c>
      <c r="G21" s="37">
        <v>2</v>
      </c>
      <c r="H21" s="37">
        <v>2</v>
      </c>
      <c r="I21" s="37">
        <v>2</v>
      </c>
      <c r="J21" s="37">
        <v>2</v>
      </c>
      <c r="K21" s="37">
        <v>2</v>
      </c>
      <c r="L21" s="37">
        <v>2</v>
      </c>
      <c r="M21" s="37">
        <v>2</v>
      </c>
      <c r="N21" s="37">
        <v>2</v>
      </c>
      <c r="O21" s="37">
        <v>2</v>
      </c>
      <c r="P21" s="37">
        <v>2</v>
      </c>
      <c r="Q21" s="37">
        <v>2</v>
      </c>
      <c r="R21" s="37">
        <v>2</v>
      </c>
      <c r="S21" s="37">
        <v>2</v>
      </c>
      <c r="T21" s="37">
        <v>2</v>
      </c>
      <c r="U21" s="37">
        <v>2</v>
      </c>
      <c r="V21" s="37">
        <v>2</v>
      </c>
      <c r="W21" s="37">
        <v>2</v>
      </c>
      <c r="X21" s="37">
        <v>2</v>
      </c>
      <c r="Z21" s="37">
        <v>2</v>
      </c>
      <c r="AA21" s="37">
        <v>2</v>
      </c>
      <c r="AB21" s="37">
        <v>2</v>
      </c>
      <c r="AC21" s="37">
        <v>2</v>
      </c>
      <c r="AD21" s="37">
        <v>2</v>
      </c>
      <c r="AE21" s="37">
        <v>2</v>
      </c>
      <c r="AF21" s="37">
        <v>2</v>
      </c>
      <c r="AG21" s="37">
        <v>2</v>
      </c>
      <c r="AH21" s="37">
        <v>2</v>
      </c>
      <c r="AI21" s="37">
        <v>2</v>
      </c>
      <c r="AJ21" s="37">
        <v>2</v>
      </c>
      <c r="AK21" s="37">
        <v>2</v>
      </c>
      <c r="AL21" s="37">
        <v>2</v>
      </c>
      <c r="AM21" s="37">
        <v>2</v>
      </c>
      <c r="AN21" s="37">
        <v>2</v>
      </c>
      <c r="AO21" s="37">
        <v>2</v>
      </c>
      <c r="AP21" s="37">
        <v>2</v>
      </c>
      <c r="AQ21" s="37">
        <v>2</v>
      </c>
      <c r="AR21" s="37">
        <v>2</v>
      </c>
      <c r="AS21" s="37">
        <v>2</v>
      </c>
      <c r="AT21" s="37">
        <v>2</v>
      </c>
    </row>
    <row r="22" spans="3:46" s="37" customFormat="1" x14ac:dyDescent="0.25"/>
    <row r="23" spans="3:46" s="37" customFormat="1" x14ac:dyDescent="0.25">
      <c r="C23" s="37" t="s">
        <v>20</v>
      </c>
      <c r="D23" s="37">
        <v>2</v>
      </c>
      <c r="E23" s="37">
        <v>2</v>
      </c>
      <c r="F23" s="37">
        <v>2</v>
      </c>
      <c r="G23" s="37">
        <v>2</v>
      </c>
      <c r="H23" s="37">
        <v>2</v>
      </c>
      <c r="I23" s="37">
        <v>2</v>
      </c>
      <c r="J23" s="37">
        <v>2</v>
      </c>
      <c r="K23" s="37">
        <v>2</v>
      </c>
      <c r="L23" s="37">
        <v>2</v>
      </c>
      <c r="M23" s="37">
        <v>2</v>
      </c>
      <c r="N23" s="37">
        <v>2</v>
      </c>
      <c r="O23" s="37">
        <v>2</v>
      </c>
      <c r="P23" s="37">
        <v>2</v>
      </c>
      <c r="Q23" s="37">
        <v>2</v>
      </c>
      <c r="R23" s="37">
        <v>2</v>
      </c>
      <c r="S23" s="37">
        <v>2</v>
      </c>
      <c r="T23" s="37">
        <v>2</v>
      </c>
      <c r="U23" s="37">
        <v>2</v>
      </c>
      <c r="V23" s="37">
        <v>2</v>
      </c>
      <c r="W23" s="37">
        <v>2</v>
      </c>
      <c r="X23" s="37">
        <v>2</v>
      </c>
      <c r="Z23" s="37">
        <v>2</v>
      </c>
      <c r="AA23" s="37">
        <v>2</v>
      </c>
      <c r="AB23" s="37">
        <v>2</v>
      </c>
      <c r="AC23" s="37">
        <v>2</v>
      </c>
      <c r="AD23" s="37">
        <v>2</v>
      </c>
      <c r="AE23" s="37">
        <v>2</v>
      </c>
      <c r="AF23" s="37">
        <v>2</v>
      </c>
      <c r="AG23" s="37">
        <v>2</v>
      </c>
      <c r="AH23" s="37">
        <v>2</v>
      </c>
      <c r="AI23" s="37">
        <v>2</v>
      </c>
      <c r="AJ23" s="37">
        <v>2</v>
      </c>
      <c r="AK23" s="37">
        <v>2</v>
      </c>
      <c r="AL23" s="37">
        <v>2</v>
      </c>
      <c r="AM23" s="37">
        <v>2</v>
      </c>
      <c r="AN23" s="37">
        <v>2</v>
      </c>
      <c r="AO23" s="37">
        <v>2</v>
      </c>
      <c r="AP23" s="37">
        <v>2</v>
      </c>
      <c r="AQ23" s="37">
        <v>2</v>
      </c>
      <c r="AR23" s="37">
        <v>2</v>
      </c>
      <c r="AS23" s="37">
        <v>2</v>
      </c>
      <c r="AT23" s="37">
        <v>2</v>
      </c>
    </row>
    <row r="24" spans="3:46" s="37" customFormat="1" x14ac:dyDescent="0.25"/>
    <row r="25" spans="3:46" s="37" customFormat="1" x14ac:dyDescent="0.25">
      <c r="C25" s="37" t="s">
        <v>21</v>
      </c>
      <c r="D25" s="37">
        <v>2</v>
      </c>
      <c r="E25" s="37">
        <v>2</v>
      </c>
      <c r="F25" s="37">
        <v>2</v>
      </c>
      <c r="G25" s="37">
        <v>2</v>
      </c>
      <c r="H25" s="37">
        <v>2</v>
      </c>
      <c r="I25" s="37">
        <v>2</v>
      </c>
      <c r="J25" s="37">
        <v>2</v>
      </c>
      <c r="K25" s="37">
        <v>2</v>
      </c>
      <c r="L25" s="37">
        <v>2</v>
      </c>
      <c r="M25" s="37">
        <v>2</v>
      </c>
      <c r="N25" s="37">
        <v>2</v>
      </c>
      <c r="O25" s="37">
        <v>2</v>
      </c>
      <c r="P25" s="37">
        <v>2</v>
      </c>
      <c r="Q25" s="37">
        <v>2</v>
      </c>
      <c r="R25" s="37">
        <v>2</v>
      </c>
      <c r="S25" s="37">
        <v>2</v>
      </c>
      <c r="T25" s="37">
        <v>2</v>
      </c>
      <c r="U25" s="37">
        <v>2</v>
      </c>
      <c r="V25" s="37">
        <v>2</v>
      </c>
      <c r="W25" s="37">
        <v>2</v>
      </c>
      <c r="X25" s="37">
        <v>2</v>
      </c>
      <c r="Z25" s="37">
        <v>2</v>
      </c>
      <c r="AA25" s="37">
        <v>2</v>
      </c>
      <c r="AB25" s="37">
        <v>2</v>
      </c>
      <c r="AC25" s="37">
        <v>2</v>
      </c>
      <c r="AD25" s="37">
        <v>2</v>
      </c>
      <c r="AE25" s="37">
        <v>2</v>
      </c>
      <c r="AF25" s="37">
        <v>2</v>
      </c>
      <c r="AG25" s="37">
        <v>2</v>
      </c>
      <c r="AH25" s="37">
        <v>2</v>
      </c>
      <c r="AI25" s="37">
        <v>2</v>
      </c>
      <c r="AJ25" s="37">
        <v>2</v>
      </c>
      <c r="AK25" s="37">
        <v>2</v>
      </c>
      <c r="AL25" s="37">
        <v>2</v>
      </c>
      <c r="AM25" s="37">
        <v>2</v>
      </c>
      <c r="AN25" s="37">
        <v>2</v>
      </c>
      <c r="AO25" s="37">
        <v>2</v>
      </c>
      <c r="AP25" s="37">
        <v>2</v>
      </c>
      <c r="AQ25" s="37">
        <v>2</v>
      </c>
      <c r="AR25" s="37">
        <v>2</v>
      </c>
      <c r="AS25" s="37">
        <v>2</v>
      </c>
      <c r="AT25" s="37">
        <v>2</v>
      </c>
    </row>
    <row r="26" spans="3:46" s="37" customFormat="1" x14ac:dyDescent="0.25"/>
    <row r="27" spans="3:46" s="37" customFormat="1" x14ac:dyDescent="0.25">
      <c r="C27" s="37" t="s">
        <v>20</v>
      </c>
      <c r="D27" s="37">
        <v>2</v>
      </c>
      <c r="E27" s="37">
        <v>2</v>
      </c>
      <c r="F27" s="37">
        <v>2</v>
      </c>
      <c r="G27" s="37">
        <v>2</v>
      </c>
      <c r="H27" s="37">
        <v>2</v>
      </c>
      <c r="I27" s="37">
        <v>2</v>
      </c>
      <c r="J27" s="37">
        <v>2</v>
      </c>
      <c r="K27" s="37">
        <v>2</v>
      </c>
      <c r="L27" s="37">
        <v>2</v>
      </c>
      <c r="M27" s="37">
        <v>2</v>
      </c>
      <c r="N27" s="37">
        <v>2</v>
      </c>
      <c r="O27" s="37">
        <v>2</v>
      </c>
      <c r="P27" s="37">
        <v>2</v>
      </c>
      <c r="Q27" s="37">
        <v>3</v>
      </c>
      <c r="R27" s="37">
        <v>3</v>
      </c>
      <c r="S27" s="37">
        <v>3</v>
      </c>
      <c r="T27" s="37">
        <v>3</v>
      </c>
      <c r="U27" s="37">
        <v>3</v>
      </c>
      <c r="V27" s="37">
        <v>3</v>
      </c>
      <c r="W27" s="37">
        <v>3</v>
      </c>
      <c r="X27" s="37">
        <v>3</v>
      </c>
      <c r="Z27" s="37">
        <v>2</v>
      </c>
      <c r="AA27" s="37">
        <v>2</v>
      </c>
      <c r="AB27" s="37">
        <v>2</v>
      </c>
      <c r="AC27" s="37">
        <v>2</v>
      </c>
      <c r="AD27" s="37">
        <v>2</v>
      </c>
      <c r="AE27" s="37">
        <v>2</v>
      </c>
      <c r="AF27" s="37">
        <v>2</v>
      </c>
      <c r="AG27" s="37">
        <v>2</v>
      </c>
      <c r="AH27" s="37">
        <v>2</v>
      </c>
      <c r="AI27" s="37">
        <v>2</v>
      </c>
      <c r="AJ27" s="37">
        <v>2</v>
      </c>
      <c r="AK27" s="37">
        <v>2</v>
      </c>
      <c r="AL27" s="37">
        <v>2</v>
      </c>
      <c r="AM27" s="37">
        <v>3</v>
      </c>
      <c r="AN27" s="37">
        <v>3</v>
      </c>
      <c r="AO27" s="37">
        <v>3</v>
      </c>
      <c r="AP27" s="37">
        <v>3</v>
      </c>
      <c r="AQ27" s="37">
        <v>3</v>
      </c>
      <c r="AR27" s="37">
        <v>3</v>
      </c>
      <c r="AS27" s="37">
        <v>3</v>
      </c>
      <c r="AT27" s="37">
        <v>3</v>
      </c>
    </row>
    <row r="28" spans="3:46" s="37" customFormat="1" x14ac:dyDescent="0.25"/>
    <row r="29" spans="3:46" s="37" customFormat="1" x14ac:dyDescent="0.25">
      <c r="C29" s="37" t="s">
        <v>21</v>
      </c>
      <c r="D29" s="37">
        <v>3</v>
      </c>
      <c r="E29" s="37">
        <v>3</v>
      </c>
      <c r="F29" s="37">
        <v>3</v>
      </c>
      <c r="G29" s="37">
        <v>3</v>
      </c>
      <c r="H29" s="37">
        <v>3</v>
      </c>
      <c r="I29" s="37">
        <v>3</v>
      </c>
      <c r="J29" s="37">
        <v>3</v>
      </c>
      <c r="K29" s="37">
        <v>2</v>
      </c>
      <c r="L29" s="37">
        <v>2</v>
      </c>
      <c r="M29" s="37">
        <v>2</v>
      </c>
      <c r="N29" s="37">
        <v>2</v>
      </c>
      <c r="O29" s="37">
        <v>2</v>
      </c>
      <c r="P29" s="37">
        <v>2</v>
      </c>
      <c r="Q29" s="37">
        <v>2</v>
      </c>
      <c r="R29" s="37">
        <v>2</v>
      </c>
      <c r="S29" s="37">
        <v>2</v>
      </c>
      <c r="T29" s="37">
        <v>2</v>
      </c>
      <c r="U29" s="37">
        <v>2</v>
      </c>
      <c r="V29" s="37">
        <v>2</v>
      </c>
      <c r="W29" s="37">
        <v>2</v>
      </c>
      <c r="X29" s="37">
        <v>2</v>
      </c>
      <c r="Z29" s="37">
        <v>3</v>
      </c>
      <c r="AA29" s="37">
        <v>3</v>
      </c>
      <c r="AB29" s="37">
        <v>3</v>
      </c>
      <c r="AC29" s="37">
        <v>3</v>
      </c>
      <c r="AD29" s="37">
        <v>3</v>
      </c>
      <c r="AE29" s="37">
        <v>3</v>
      </c>
      <c r="AF29" s="37">
        <v>3</v>
      </c>
      <c r="AG29" s="37">
        <v>2</v>
      </c>
      <c r="AH29" s="37">
        <v>2</v>
      </c>
      <c r="AI29" s="37">
        <v>2</v>
      </c>
      <c r="AJ29" s="37">
        <v>2</v>
      </c>
      <c r="AK29" s="37">
        <v>2</v>
      </c>
      <c r="AL29" s="37">
        <v>2</v>
      </c>
      <c r="AM29" s="37">
        <v>2</v>
      </c>
      <c r="AN29" s="37">
        <v>2</v>
      </c>
      <c r="AO29" s="37">
        <v>2</v>
      </c>
      <c r="AP29" s="37">
        <v>2</v>
      </c>
      <c r="AQ29" s="37">
        <v>2</v>
      </c>
      <c r="AR29" s="37">
        <v>2</v>
      </c>
      <c r="AS29" s="37">
        <v>2</v>
      </c>
      <c r="AT29" s="37">
        <v>2</v>
      </c>
    </row>
    <row r="30" spans="3:46" s="37" customFormat="1" x14ac:dyDescent="0.25"/>
    <row r="31" spans="3:46" s="37" customFormat="1" x14ac:dyDescent="0.25">
      <c r="C31" s="37" t="s">
        <v>20</v>
      </c>
      <c r="D31" s="37">
        <v>2</v>
      </c>
      <c r="E31" s="37">
        <v>2</v>
      </c>
      <c r="F31" s="37">
        <v>2</v>
      </c>
      <c r="G31" s="37">
        <v>2</v>
      </c>
      <c r="H31" s="37">
        <v>2</v>
      </c>
      <c r="I31" s="37">
        <v>2</v>
      </c>
      <c r="J31" s="37">
        <v>2</v>
      </c>
      <c r="K31" s="37">
        <v>2</v>
      </c>
      <c r="L31" s="37">
        <v>2</v>
      </c>
      <c r="M31" s="37">
        <v>2</v>
      </c>
      <c r="N31" s="37">
        <v>2</v>
      </c>
      <c r="O31" s="37">
        <v>2</v>
      </c>
      <c r="P31" s="37">
        <v>2</v>
      </c>
      <c r="Q31" s="37">
        <v>2</v>
      </c>
      <c r="R31" s="37">
        <v>3</v>
      </c>
      <c r="S31" s="37">
        <v>3</v>
      </c>
      <c r="T31" s="37">
        <v>3</v>
      </c>
      <c r="U31" s="37">
        <v>3</v>
      </c>
      <c r="V31" s="37">
        <v>3</v>
      </c>
      <c r="W31" s="37">
        <v>3</v>
      </c>
      <c r="X31" s="37">
        <v>3</v>
      </c>
      <c r="Z31" s="37">
        <v>2</v>
      </c>
      <c r="AA31" s="37">
        <v>2</v>
      </c>
      <c r="AB31" s="37">
        <v>2</v>
      </c>
      <c r="AC31" s="37">
        <v>2</v>
      </c>
      <c r="AD31" s="37">
        <v>2</v>
      </c>
      <c r="AE31" s="37">
        <v>2</v>
      </c>
      <c r="AF31" s="37">
        <v>2</v>
      </c>
      <c r="AG31" s="37">
        <v>2</v>
      </c>
      <c r="AH31" s="37">
        <v>2</v>
      </c>
      <c r="AI31" s="37">
        <v>2</v>
      </c>
      <c r="AJ31" s="37">
        <v>2</v>
      </c>
      <c r="AK31" s="37">
        <v>2</v>
      </c>
      <c r="AL31" s="37">
        <v>2</v>
      </c>
      <c r="AM31" s="37">
        <v>3</v>
      </c>
      <c r="AN31" s="37">
        <v>3</v>
      </c>
      <c r="AO31" s="37">
        <v>3</v>
      </c>
      <c r="AP31" s="37">
        <v>3</v>
      </c>
      <c r="AQ31" s="37">
        <v>3</v>
      </c>
      <c r="AR31" s="37">
        <v>3</v>
      </c>
      <c r="AS31" s="37">
        <v>3</v>
      </c>
      <c r="AT31" s="37">
        <v>3</v>
      </c>
    </row>
    <row r="32" spans="3:46" s="37" customFormat="1" x14ac:dyDescent="0.25"/>
    <row r="33" spans="3:46" s="37" customFormat="1" x14ac:dyDescent="0.25">
      <c r="C33" s="37" t="s">
        <v>21</v>
      </c>
      <c r="D33" s="37">
        <v>2</v>
      </c>
      <c r="E33" s="37">
        <v>2</v>
      </c>
      <c r="F33" s="37">
        <v>2</v>
      </c>
      <c r="G33" s="37">
        <v>2</v>
      </c>
      <c r="H33" s="37">
        <v>2</v>
      </c>
      <c r="I33" s="37">
        <v>2</v>
      </c>
      <c r="J33" s="37">
        <v>2</v>
      </c>
      <c r="K33" s="37">
        <v>2</v>
      </c>
      <c r="L33" s="37">
        <v>2</v>
      </c>
      <c r="M33" s="37">
        <v>2</v>
      </c>
      <c r="N33" s="37">
        <v>2</v>
      </c>
      <c r="O33" s="37">
        <v>2</v>
      </c>
      <c r="P33" s="37">
        <v>2</v>
      </c>
      <c r="Q33" s="37">
        <v>2</v>
      </c>
      <c r="R33" s="37">
        <v>2</v>
      </c>
      <c r="S33" s="37">
        <v>2</v>
      </c>
      <c r="T33" s="37">
        <v>2</v>
      </c>
      <c r="U33" s="37">
        <v>2</v>
      </c>
      <c r="V33" s="37">
        <v>2</v>
      </c>
      <c r="W33" s="37">
        <v>2</v>
      </c>
      <c r="X33" s="37">
        <v>2</v>
      </c>
      <c r="Z33" s="37">
        <v>2</v>
      </c>
      <c r="AA33" s="37">
        <v>2</v>
      </c>
      <c r="AB33" s="37">
        <v>2</v>
      </c>
      <c r="AC33" s="37">
        <v>2</v>
      </c>
      <c r="AD33" s="37">
        <v>2</v>
      </c>
      <c r="AE33" s="37">
        <v>2</v>
      </c>
      <c r="AF33" s="37">
        <v>2</v>
      </c>
      <c r="AG33" s="37">
        <v>2</v>
      </c>
      <c r="AH33" s="37">
        <v>2</v>
      </c>
      <c r="AI33" s="37">
        <v>2</v>
      </c>
      <c r="AJ33" s="37">
        <v>2</v>
      </c>
      <c r="AK33" s="37">
        <v>2</v>
      </c>
      <c r="AL33" s="37">
        <v>2</v>
      </c>
      <c r="AM33" s="37">
        <v>2</v>
      </c>
      <c r="AN33" s="37">
        <v>2</v>
      </c>
      <c r="AO33" s="37">
        <v>2</v>
      </c>
      <c r="AP33" s="37">
        <v>2</v>
      </c>
      <c r="AQ33" s="37">
        <v>2</v>
      </c>
      <c r="AR33" s="37">
        <v>2</v>
      </c>
      <c r="AS33" s="37">
        <v>2</v>
      </c>
      <c r="AT33" s="37">
        <v>2</v>
      </c>
    </row>
    <row r="34" spans="3:46" s="37" customFormat="1" x14ac:dyDescent="0.25"/>
    <row r="35" spans="3:46" s="37" customFormat="1" x14ac:dyDescent="0.25">
      <c r="C35" s="37" t="s">
        <v>20</v>
      </c>
      <c r="D35" s="37">
        <v>3</v>
      </c>
      <c r="E35" s="37">
        <v>3</v>
      </c>
      <c r="F35" s="37">
        <v>3</v>
      </c>
      <c r="G35" s="37">
        <v>3</v>
      </c>
      <c r="H35" s="37">
        <v>3</v>
      </c>
      <c r="I35" s="37">
        <v>3</v>
      </c>
      <c r="J35" s="37">
        <v>3</v>
      </c>
      <c r="K35" s="37">
        <v>2</v>
      </c>
      <c r="L35" s="37">
        <v>2</v>
      </c>
      <c r="M35" s="37">
        <v>2</v>
      </c>
      <c r="N35" s="37">
        <v>2</v>
      </c>
      <c r="O35" s="37">
        <v>2</v>
      </c>
      <c r="P35" s="37">
        <v>2</v>
      </c>
      <c r="Q35" s="37">
        <v>2</v>
      </c>
      <c r="R35" s="37">
        <v>2</v>
      </c>
      <c r="S35" s="37">
        <v>2</v>
      </c>
      <c r="T35" s="37">
        <v>2</v>
      </c>
      <c r="U35" s="37">
        <v>2</v>
      </c>
      <c r="V35" s="37">
        <v>2</v>
      </c>
      <c r="W35" s="37">
        <v>2</v>
      </c>
      <c r="X35" s="37">
        <v>2</v>
      </c>
      <c r="Z35" s="37">
        <v>3</v>
      </c>
      <c r="AA35" s="37">
        <v>3</v>
      </c>
      <c r="AB35" s="37">
        <v>3</v>
      </c>
      <c r="AC35" s="37">
        <v>3</v>
      </c>
      <c r="AD35" s="37">
        <v>3</v>
      </c>
      <c r="AE35" s="37">
        <v>3</v>
      </c>
      <c r="AF35" s="37">
        <v>3</v>
      </c>
      <c r="AG35" s="37">
        <v>2</v>
      </c>
      <c r="AH35" s="37">
        <v>2</v>
      </c>
      <c r="AI35" s="37">
        <v>2</v>
      </c>
      <c r="AJ35" s="37">
        <v>2</v>
      </c>
      <c r="AK35" s="37">
        <v>2</v>
      </c>
      <c r="AL35" s="37">
        <v>2</v>
      </c>
      <c r="AM35" s="37">
        <v>2</v>
      </c>
      <c r="AN35" s="37">
        <v>2</v>
      </c>
      <c r="AO35" s="37">
        <v>2</v>
      </c>
      <c r="AP35" s="37">
        <v>2</v>
      </c>
      <c r="AQ35" s="37">
        <v>2</v>
      </c>
      <c r="AR35" s="37">
        <v>2</v>
      </c>
      <c r="AS35" s="37">
        <v>2</v>
      </c>
      <c r="AT35" s="37">
        <v>2</v>
      </c>
    </row>
    <row r="36" spans="3:46" s="37" customFormat="1" x14ac:dyDescent="0.25"/>
    <row r="37" spans="3:46" s="37" customFormat="1" x14ac:dyDescent="0.25">
      <c r="C37" s="37" t="s">
        <v>21</v>
      </c>
      <c r="D37" s="37">
        <v>2</v>
      </c>
      <c r="E37" s="37">
        <v>2</v>
      </c>
      <c r="F37" s="37">
        <v>2</v>
      </c>
      <c r="G37" s="37">
        <v>2</v>
      </c>
      <c r="H37" s="37">
        <v>2</v>
      </c>
      <c r="I37" s="37">
        <v>2</v>
      </c>
      <c r="J37" s="37">
        <v>2</v>
      </c>
      <c r="K37" s="37">
        <v>2</v>
      </c>
      <c r="L37" s="37">
        <v>2</v>
      </c>
      <c r="M37" s="37">
        <v>2</v>
      </c>
      <c r="N37" s="37">
        <v>2</v>
      </c>
      <c r="O37" s="37">
        <v>2</v>
      </c>
      <c r="P37" s="37">
        <v>2</v>
      </c>
      <c r="Q37" s="37">
        <v>2</v>
      </c>
      <c r="R37" s="37">
        <v>2</v>
      </c>
      <c r="S37" s="37">
        <v>2</v>
      </c>
      <c r="T37" s="37">
        <v>2</v>
      </c>
      <c r="U37" s="37">
        <v>2</v>
      </c>
      <c r="V37" s="37">
        <v>2</v>
      </c>
      <c r="W37" s="37">
        <v>2</v>
      </c>
      <c r="X37" s="37">
        <v>2</v>
      </c>
      <c r="Z37" s="37">
        <v>2</v>
      </c>
      <c r="AA37" s="37">
        <v>2</v>
      </c>
      <c r="AB37" s="37">
        <v>2</v>
      </c>
      <c r="AC37" s="37">
        <v>2</v>
      </c>
      <c r="AD37" s="37">
        <v>2</v>
      </c>
      <c r="AE37" s="37">
        <v>2</v>
      </c>
      <c r="AF37" s="37">
        <v>2</v>
      </c>
      <c r="AG37" s="37">
        <v>2</v>
      </c>
      <c r="AH37" s="37">
        <v>2</v>
      </c>
      <c r="AI37" s="37">
        <v>2</v>
      </c>
      <c r="AJ37" s="37">
        <v>2</v>
      </c>
      <c r="AK37" s="37">
        <v>2</v>
      </c>
      <c r="AL37" s="37">
        <v>2</v>
      </c>
      <c r="AM37" s="37">
        <v>2</v>
      </c>
      <c r="AN37" s="37">
        <v>2</v>
      </c>
      <c r="AO37" s="37">
        <v>2</v>
      </c>
      <c r="AP37" s="37">
        <v>2</v>
      </c>
      <c r="AQ37" s="37">
        <v>2</v>
      </c>
      <c r="AR37" s="37">
        <v>2</v>
      </c>
      <c r="AS37" s="37">
        <v>2</v>
      </c>
      <c r="AT37" s="37">
        <v>2</v>
      </c>
    </row>
    <row r="38" spans="3:46" s="37" customFormat="1" x14ac:dyDescent="0.25"/>
    <row r="39" spans="3:46" s="37" customFormat="1" x14ac:dyDescent="0.25">
      <c r="C39" s="37" t="s">
        <v>20</v>
      </c>
      <c r="D39" s="37">
        <v>6</v>
      </c>
      <c r="E39" s="37">
        <v>6</v>
      </c>
      <c r="F39" s="37">
        <v>6</v>
      </c>
      <c r="G39" s="37">
        <v>6</v>
      </c>
      <c r="H39" s="37">
        <v>6</v>
      </c>
      <c r="I39" s="37">
        <v>6</v>
      </c>
      <c r="J39" s="37">
        <v>5</v>
      </c>
      <c r="K39" s="37">
        <v>2</v>
      </c>
      <c r="L39" s="37">
        <v>2</v>
      </c>
      <c r="M39" s="37">
        <v>2</v>
      </c>
      <c r="N39" s="37">
        <v>2</v>
      </c>
      <c r="O39" s="37">
        <v>2</v>
      </c>
      <c r="P39" s="37">
        <v>2</v>
      </c>
      <c r="Q39" s="37">
        <v>2</v>
      </c>
      <c r="R39" s="37">
        <v>2</v>
      </c>
      <c r="S39" s="37">
        <v>2</v>
      </c>
      <c r="T39" s="37">
        <v>2</v>
      </c>
      <c r="U39" s="37">
        <v>2</v>
      </c>
      <c r="V39" s="37">
        <v>2</v>
      </c>
      <c r="W39" s="37">
        <v>2</v>
      </c>
      <c r="X39" s="37">
        <v>2</v>
      </c>
      <c r="Z39" s="37">
        <v>6</v>
      </c>
      <c r="AA39" s="37">
        <v>6</v>
      </c>
      <c r="AB39" s="37">
        <v>6</v>
      </c>
      <c r="AC39" s="37">
        <v>6</v>
      </c>
      <c r="AD39" s="37">
        <v>6</v>
      </c>
      <c r="AE39" s="37">
        <v>6</v>
      </c>
      <c r="AF39" s="37">
        <v>6</v>
      </c>
      <c r="AG39" s="37">
        <v>2</v>
      </c>
      <c r="AH39" s="37">
        <v>2</v>
      </c>
      <c r="AI39" s="37">
        <v>2</v>
      </c>
      <c r="AJ39" s="37">
        <v>2</v>
      </c>
      <c r="AK39" s="37">
        <v>2</v>
      </c>
      <c r="AL39" s="37">
        <v>2</v>
      </c>
      <c r="AM39" s="37">
        <v>2</v>
      </c>
      <c r="AN39" s="37">
        <v>2</v>
      </c>
      <c r="AO39" s="37">
        <v>2</v>
      </c>
      <c r="AP39" s="37">
        <v>2</v>
      </c>
      <c r="AQ39" s="37">
        <v>2</v>
      </c>
      <c r="AR39" s="37">
        <v>2</v>
      </c>
      <c r="AS39" s="37">
        <v>2</v>
      </c>
      <c r="AT39" s="37">
        <v>2</v>
      </c>
    </row>
    <row r="40" spans="3:46" s="37" customFormat="1" x14ac:dyDescent="0.25"/>
    <row r="41" spans="3:46" s="37" customFormat="1" x14ac:dyDescent="0.25">
      <c r="C41" s="37" t="s">
        <v>21</v>
      </c>
      <c r="D41" s="37">
        <v>3</v>
      </c>
      <c r="E41" s="37">
        <v>3</v>
      </c>
      <c r="F41" s="37">
        <v>3</v>
      </c>
      <c r="G41" s="37">
        <v>3</v>
      </c>
      <c r="H41" s="37">
        <v>3</v>
      </c>
      <c r="I41" s="37">
        <v>3</v>
      </c>
      <c r="J41" s="37">
        <v>3</v>
      </c>
      <c r="K41" s="37">
        <v>2</v>
      </c>
      <c r="L41" s="37">
        <v>2</v>
      </c>
      <c r="M41" s="37">
        <v>2</v>
      </c>
      <c r="N41" s="37">
        <v>2</v>
      </c>
      <c r="O41" s="37">
        <v>2</v>
      </c>
      <c r="P41" s="37">
        <v>2</v>
      </c>
      <c r="Q41" s="37">
        <v>3</v>
      </c>
      <c r="R41" s="37">
        <v>3</v>
      </c>
      <c r="S41" s="37">
        <v>3</v>
      </c>
      <c r="T41" s="37">
        <v>4</v>
      </c>
      <c r="U41" s="37">
        <v>4</v>
      </c>
      <c r="V41" s="37">
        <v>4</v>
      </c>
      <c r="W41" s="37">
        <v>4</v>
      </c>
      <c r="X41" s="37">
        <v>4</v>
      </c>
      <c r="Z41" s="37">
        <v>3</v>
      </c>
      <c r="AA41" s="37">
        <v>3</v>
      </c>
      <c r="AB41" s="37">
        <v>3</v>
      </c>
      <c r="AC41" s="37">
        <v>3</v>
      </c>
      <c r="AD41" s="37">
        <v>3</v>
      </c>
      <c r="AE41" s="37">
        <v>3</v>
      </c>
      <c r="AF41" s="37">
        <v>3</v>
      </c>
      <c r="AG41" s="37">
        <v>2</v>
      </c>
      <c r="AH41" s="37">
        <v>2</v>
      </c>
      <c r="AI41" s="37">
        <v>2</v>
      </c>
      <c r="AJ41" s="37">
        <v>2</v>
      </c>
      <c r="AK41" s="37">
        <v>2</v>
      </c>
      <c r="AL41" s="37">
        <v>2</v>
      </c>
      <c r="AM41" s="37">
        <v>4</v>
      </c>
      <c r="AN41" s="37">
        <v>4</v>
      </c>
      <c r="AO41" s="37">
        <v>4</v>
      </c>
      <c r="AP41" s="37">
        <v>4</v>
      </c>
      <c r="AQ41" s="37">
        <v>4</v>
      </c>
      <c r="AR41" s="37">
        <v>4</v>
      </c>
      <c r="AS41" s="37">
        <v>4</v>
      </c>
      <c r="AT41" s="37">
        <v>4</v>
      </c>
    </row>
    <row r="42" spans="3:46" s="37" customFormat="1" x14ac:dyDescent="0.25"/>
    <row r="43" spans="3:46" s="37" customFormat="1" x14ac:dyDescent="0.25">
      <c r="C43" s="37" t="s">
        <v>20</v>
      </c>
      <c r="D43" s="37">
        <v>3</v>
      </c>
      <c r="E43" s="37">
        <v>3</v>
      </c>
      <c r="F43" s="37">
        <v>3</v>
      </c>
      <c r="G43" s="37">
        <v>3</v>
      </c>
      <c r="H43" s="37">
        <v>3</v>
      </c>
      <c r="I43" s="37">
        <v>3</v>
      </c>
      <c r="J43" s="37">
        <v>3</v>
      </c>
      <c r="K43" s="37">
        <v>2</v>
      </c>
      <c r="L43" s="37">
        <v>2</v>
      </c>
      <c r="M43" s="37">
        <v>2</v>
      </c>
      <c r="N43" s="37">
        <v>2</v>
      </c>
      <c r="O43" s="37">
        <v>2</v>
      </c>
      <c r="P43" s="37">
        <v>2</v>
      </c>
      <c r="Q43" s="37">
        <v>2</v>
      </c>
      <c r="R43" s="37">
        <v>2</v>
      </c>
      <c r="S43" s="37">
        <v>2</v>
      </c>
      <c r="T43" s="37">
        <v>2</v>
      </c>
      <c r="U43" s="37">
        <v>2</v>
      </c>
      <c r="V43" s="37">
        <v>2</v>
      </c>
      <c r="W43" s="37">
        <v>2</v>
      </c>
      <c r="X43" s="37">
        <v>2</v>
      </c>
      <c r="Z43" s="37">
        <v>3</v>
      </c>
      <c r="AA43" s="37">
        <v>3</v>
      </c>
      <c r="AB43" s="37">
        <v>3</v>
      </c>
      <c r="AC43" s="37">
        <v>3</v>
      </c>
      <c r="AD43" s="37">
        <v>3</v>
      </c>
      <c r="AE43" s="37">
        <v>3</v>
      </c>
      <c r="AF43" s="37">
        <v>3</v>
      </c>
      <c r="AG43" s="37">
        <v>2</v>
      </c>
      <c r="AH43" s="37">
        <v>2</v>
      </c>
      <c r="AI43" s="37">
        <v>2</v>
      </c>
      <c r="AJ43" s="37">
        <v>2</v>
      </c>
      <c r="AK43" s="37">
        <v>2</v>
      </c>
      <c r="AL43" s="37">
        <v>2</v>
      </c>
      <c r="AM43" s="37">
        <v>2</v>
      </c>
      <c r="AN43" s="37">
        <v>2</v>
      </c>
      <c r="AO43" s="37">
        <v>2</v>
      </c>
      <c r="AP43" s="37">
        <v>2</v>
      </c>
      <c r="AQ43" s="37">
        <v>2</v>
      </c>
      <c r="AR43" s="37">
        <v>2</v>
      </c>
      <c r="AS43" s="37">
        <v>2</v>
      </c>
      <c r="AT43" s="37">
        <v>2</v>
      </c>
    </row>
    <row r="44" spans="3:46" s="37" customFormat="1" x14ac:dyDescent="0.25"/>
    <row r="45" spans="3:46" s="37" customFormat="1" x14ac:dyDescent="0.25">
      <c r="C45" s="37" t="s">
        <v>21</v>
      </c>
      <c r="D45" s="37">
        <v>2</v>
      </c>
      <c r="E45" s="37">
        <v>2</v>
      </c>
      <c r="F45" s="37">
        <v>2</v>
      </c>
      <c r="G45" s="37">
        <v>2</v>
      </c>
      <c r="H45" s="37">
        <v>2</v>
      </c>
      <c r="I45" s="37">
        <v>2</v>
      </c>
      <c r="J45" s="37">
        <v>2</v>
      </c>
      <c r="K45" s="37">
        <v>2</v>
      </c>
      <c r="L45" s="37">
        <v>2</v>
      </c>
      <c r="M45" s="37">
        <v>2</v>
      </c>
      <c r="N45" s="37">
        <v>2</v>
      </c>
      <c r="O45" s="37">
        <v>2</v>
      </c>
      <c r="P45" s="37">
        <v>2</v>
      </c>
      <c r="Q45" s="37">
        <v>2</v>
      </c>
      <c r="R45" s="37">
        <v>2</v>
      </c>
      <c r="S45" s="37">
        <v>2</v>
      </c>
      <c r="T45" s="37">
        <v>2</v>
      </c>
      <c r="U45" s="37">
        <v>2</v>
      </c>
      <c r="V45" s="37">
        <v>2</v>
      </c>
      <c r="W45" s="37">
        <v>2</v>
      </c>
      <c r="X45" s="37">
        <v>2</v>
      </c>
      <c r="Z45" s="37">
        <v>2</v>
      </c>
      <c r="AA45" s="37">
        <v>2</v>
      </c>
      <c r="AB45" s="37">
        <v>2</v>
      </c>
      <c r="AC45" s="37">
        <v>2</v>
      </c>
      <c r="AD45" s="37">
        <v>2</v>
      </c>
      <c r="AE45" s="37">
        <v>2</v>
      </c>
      <c r="AF45" s="37">
        <v>2</v>
      </c>
      <c r="AG45" s="37">
        <v>2</v>
      </c>
      <c r="AH45" s="37">
        <v>2</v>
      </c>
      <c r="AI45" s="37">
        <v>2</v>
      </c>
      <c r="AJ45" s="37">
        <v>2</v>
      </c>
      <c r="AK45" s="37">
        <v>2</v>
      </c>
      <c r="AL45" s="37">
        <v>2</v>
      </c>
      <c r="AM45" s="37">
        <v>2</v>
      </c>
      <c r="AN45" s="37">
        <v>2</v>
      </c>
      <c r="AO45" s="37">
        <v>2</v>
      </c>
      <c r="AP45" s="37">
        <v>2</v>
      </c>
      <c r="AQ45" s="37">
        <v>2</v>
      </c>
      <c r="AR45" s="37">
        <v>2</v>
      </c>
      <c r="AS45" s="37">
        <v>2</v>
      </c>
      <c r="AT45" s="37">
        <v>2</v>
      </c>
    </row>
    <row r="46" spans="3:46" s="37" customFormat="1" x14ac:dyDescent="0.25"/>
    <row r="47" spans="3:46" s="37" customFormat="1" x14ac:dyDescent="0.25">
      <c r="C47" s="37" t="s">
        <v>20</v>
      </c>
      <c r="D47" s="37">
        <v>3</v>
      </c>
      <c r="E47" s="37">
        <v>3</v>
      </c>
      <c r="F47" s="37">
        <v>3</v>
      </c>
      <c r="G47" s="37">
        <v>3</v>
      </c>
      <c r="H47" s="37">
        <v>3</v>
      </c>
      <c r="I47" s="37">
        <v>3</v>
      </c>
      <c r="J47" s="37">
        <v>3</v>
      </c>
      <c r="K47" s="37">
        <v>2</v>
      </c>
      <c r="L47" s="37">
        <v>2</v>
      </c>
      <c r="M47" s="37">
        <v>2</v>
      </c>
      <c r="N47" s="37">
        <v>2</v>
      </c>
      <c r="O47" s="37">
        <v>2</v>
      </c>
      <c r="P47" s="37">
        <v>2</v>
      </c>
      <c r="Q47" s="37">
        <v>2</v>
      </c>
      <c r="R47" s="37">
        <v>3</v>
      </c>
      <c r="S47" s="37">
        <v>3</v>
      </c>
      <c r="T47" s="37">
        <v>3</v>
      </c>
      <c r="U47" s="37">
        <v>3</v>
      </c>
      <c r="V47" s="37">
        <v>3</v>
      </c>
      <c r="W47" s="37">
        <v>3</v>
      </c>
      <c r="X47" s="37">
        <v>3</v>
      </c>
      <c r="Z47" s="37">
        <v>3</v>
      </c>
      <c r="AA47" s="37">
        <v>3</v>
      </c>
      <c r="AB47" s="37">
        <v>3</v>
      </c>
      <c r="AC47" s="37">
        <v>3</v>
      </c>
      <c r="AD47" s="37">
        <v>3</v>
      </c>
      <c r="AE47" s="37">
        <v>3</v>
      </c>
      <c r="AF47" s="37">
        <v>3</v>
      </c>
      <c r="AG47" s="37">
        <v>2</v>
      </c>
      <c r="AH47" s="37">
        <v>2</v>
      </c>
      <c r="AI47" s="37">
        <v>2</v>
      </c>
      <c r="AJ47" s="37">
        <v>2</v>
      </c>
      <c r="AK47" s="37">
        <v>2</v>
      </c>
      <c r="AL47" s="37">
        <v>2</v>
      </c>
      <c r="AM47" s="37">
        <v>3</v>
      </c>
      <c r="AN47" s="37">
        <v>3</v>
      </c>
      <c r="AO47" s="37">
        <v>3</v>
      </c>
      <c r="AP47" s="37">
        <v>3</v>
      </c>
      <c r="AQ47" s="37">
        <v>3</v>
      </c>
      <c r="AR47" s="37">
        <v>3</v>
      </c>
      <c r="AS47" s="37">
        <v>3</v>
      </c>
      <c r="AT47" s="37">
        <v>3</v>
      </c>
    </row>
    <row r="48" spans="3:46" s="37" customFormat="1" x14ac:dyDescent="0.25"/>
    <row r="49" spans="3:46" s="37" customFormat="1" x14ac:dyDescent="0.25">
      <c r="C49" s="37" t="s">
        <v>21</v>
      </c>
      <c r="D49" s="37">
        <v>3</v>
      </c>
      <c r="E49" s="37">
        <v>3</v>
      </c>
      <c r="F49" s="37">
        <v>3</v>
      </c>
      <c r="G49" s="37">
        <v>3</v>
      </c>
      <c r="H49" s="37">
        <v>3</v>
      </c>
      <c r="I49" s="37">
        <v>3</v>
      </c>
      <c r="J49" s="37">
        <v>3</v>
      </c>
      <c r="K49" s="37">
        <v>2</v>
      </c>
      <c r="L49" s="37">
        <v>2</v>
      </c>
      <c r="M49" s="37">
        <v>2</v>
      </c>
      <c r="N49" s="37">
        <v>2</v>
      </c>
      <c r="O49" s="37">
        <v>2</v>
      </c>
      <c r="P49" s="37">
        <v>2</v>
      </c>
      <c r="Q49" s="37">
        <v>2</v>
      </c>
      <c r="R49" s="37">
        <v>2</v>
      </c>
      <c r="S49" s="37">
        <v>2</v>
      </c>
      <c r="T49" s="37">
        <v>2</v>
      </c>
      <c r="U49" s="37">
        <v>2</v>
      </c>
      <c r="V49" s="37">
        <v>2</v>
      </c>
      <c r="W49" s="37">
        <v>2</v>
      </c>
      <c r="X49" s="37">
        <v>2</v>
      </c>
      <c r="Z49" s="37">
        <v>3</v>
      </c>
      <c r="AA49" s="37">
        <v>3</v>
      </c>
      <c r="AB49" s="37">
        <v>3</v>
      </c>
      <c r="AC49" s="37">
        <v>3</v>
      </c>
      <c r="AD49" s="37">
        <v>3</v>
      </c>
      <c r="AE49" s="37">
        <v>3</v>
      </c>
      <c r="AF49" s="37">
        <v>3</v>
      </c>
      <c r="AG49" s="37">
        <v>2</v>
      </c>
      <c r="AH49" s="37">
        <v>2</v>
      </c>
      <c r="AI49" s="37">
        <v>2</v>
      </c>
      <c r="AJ49" s="37">
        <v>2</v>
      </c>
      <c r="AK49" s="37">
        <v>2</v>
      </c>
      <c r="AL49" s="37">
        <v>2</v>
      </c>
      <c r="AM49" s="37">
        <v>2</v>
      </c>
      <c r="AN49" s="37">
        <v>2</v>
      </c>
      <c r="AO49" s="37">
        <v>2</v>
      </c>
      <c r="AP49" s="37">
        <v>2</v>
      </c>
      <c r="AQ49" s="37">
        <v>2</v>
      </c>
      <c r="AR49" s="37">
        <v>2</v>
      </c>
      <c r="AS49" s="37">
        <v>2</v>
      </c>
      <c r="AT49" s="37">
        <v>2</v>
      </c>
    </row>
    <row r="50" spans="3:46" s="37" customFormat="1" x14ac:dyDescent="0.25"/>
    <row r="51" spans="3:46" s="37" customFormat="1" x14ac:dyDescent="0.25">
      <c r="C51" s="37" t="s">
        <v>20</v>
      </c>
      <c r="D51" s="37">
        <v>2</v>
      </c>
      <c r="E51" s="37">
        <v>2</v>
      </c>
      <c r="F51" s="37">
        <v>2</v>
      </c>
      <c r="G51" s="37">
        <v>2</v>
      </c>
      <c r="H51" s="37">
        <v>2</v>
      </c>
      <c r="I51" s="37">
        <v>2</v>
      </c>
      <c r="J51" s="37">
        <v>2</v>
      </c>
      <c r="K51" s="37">
        <v>2</v>
      </c>
      <c r="L51" s="37">
        <v>2</v>
      </c>
      <c r="M51" s="37">
        <v>2</v>
      </c>
      <c r="N51" s="37">
        <v>2</v>
      </c>
      <c r="O51" s="37">
        <v>2</v>
      </c>
      <c r="P51" s="37">
        <v>2</v>
      </c>
      <c r="Q51" s="37">
        <v>3</v>
      </c>
      <c r="R51" s="37">
        <v>3</v>
      </c>
      <c r="S51" s="37">
        <v>3</v>
      </c>
      <c r="T51" s="37">
        <v>3</v>
      </c>
      <c r="U51" s="37">
        <v>3</v>
      </c>
      <c r="V51" s="37">
        <v>3</v>
      </c>
      <c r="W51" s="37">
        <v>3</v>
      </c>
      <c r="X51" s="37">
        <v>3</v>
      </c>
      <c r="Z51" s="37">
        <v>2</v>
      </c>
      <c r="AA51" s="37">
        <v>2</v>
      </c>
      <c r="AB51" s="37">
        <v>2</v>
      </c>
      <c r="AC51" s="37">
        <v>2</v>
      </c>
      <c r="AD51" s="37">
        <v>2</v>
      </c>
      <c r="AE51" s="37">
        <v>2</v>
      </c>
      <c r="AF51" s="37">
        <v>2</v>
      </c>
      <c r="AG51" s="37">
        <v>2</v>
      </c>
      <c r="AH51" s="37">
        <v>2</v>
      </c>
      <c r="AI51" s="37">
        <v>2</v>
      </c>
      <c r="AJ51" s="37">
        <v>2</v>
      </c>
      <c r="AK51" s="37">
        <v>2</v>
      </c>
      <c r="AL51" s="37">
        <v>2</v>
      </c>
      <c r="AM51" s="37">
        <v>3</v>
      </c>
      <c r="AN51" s="37">
        <v>3</v>
      </c>
      <c r="AO51" s="37">
        <v>3</v>
      </c>
      <c r="AP51" s="37">
        <v>3</v>
      </c>
      <c r="AQ51" s="37">
        <v>3</v>
      </c>
      <c r="AR51" s="37">
        <v>3</v>
      </c>
      <c r="AS51" s="37">
        <v>3</v>
      </c>
      <c r="AT51" s="37">
        <v>3</v>
      </c>
    </row>
    <row r="52" spans="3:46" s="37" customFormat="1" x14ac:dyDescent="0.25"/>
    <row r="53" spans="3:46" s="37" customFormat="1" x14ac:dyDescent="0.25">
      <c r="C53" s="37" t="s">
        <v>21</v>
      </c>
      <c r="D53" s="37">
        <v>2</v>
      </c>
      <c r="E53" s="37">
        <v>2</v>
      </c>
      <c r="F53" s="37">
        <v>2</v>
      </c>
      <c r="G53" s="37">
        <v>2</v>
      </c>
      <c r="H53" s="37">
        <v>2</v>
      </c>
      <c r="I53" s="37">
        <v>2</v>
      </c>
      <c r="J53" s="37">
        <v>2</v>
      </c>
      <c r="K53" s="37">
        <v>2</v>
      </c>
      <c r="L53" s="37">
        <v>2</v>
      </c>
      <c r="M53" s="37">
        <v>2</v>
      </c>
      <c r="N53" s="37">
        <v>2</v>
      </c>
      <c r="O53" s="37">
        <v>2</v>
      </c>
      <c r="P53" s="37">
        <v>2</v>
      </c>
      <c r="Q53" s="37">
        <v>2</v>
      </c>
      <c r="R53" s="37">
        <v>2</v>
      </c>
      <c r="S53" s="37">
        <v>2</v>
      </c>
      <c r="T53" s="37">
        <v>2</v>
      </c>
      <c r="U53" s="37">
        <v>2</v>
      </c>
      <c r="V53" s="37">
        <v>2</v>
      </c>
      <c r="W53" s="37">
        <v>2</v>
      </c>
      <c r="X53" s="37">
        <v>2</v>
      </c>
      <c r="Z53" s="37">
        <v>2</v>
      </c>
      <c r="AA53" s="37">
        <v>2</v>
      </c>
      <c r="AB53" s="37">
        <v>2</v>
      </c>
      <c r="AC53" s="37">
        <v>2</v>
      </c>
      <c r="AD53" s="37">
        <v>2</v>
      </c>
      <c r="AE53" s="37">
        <v>2</v>
      </c>
      <c r="AF53" s="37">
        <v>2</v>
      </c>
      <c r="AG53" s="37">
        <v>2</v>
      </c>
      <c r="AH53" s="37">
        <v>2</v>
      </c>
      <c r="AI53" s="37">
        <v>2</v>
      </c>
      <c r="AJ53" s="37">
        <v>2</v>
      </c>
      <c r="AK53" s="37">
        <v>2</v>
      </c>
      <c r="AL53" s="37">
        <v>2</v>
      </c>
      <c r="AM53" s="37">
        <v>2</v>
      </c>
      <c r="AN53" s="37">
        <v>2</v>
      </c>
      <c r="AO53" s="37">
        <v>2</v>
      </c>
      <c r="AP53" s="37">
        <v>2</v>
      </c>
      <c r="AQ53" s="37">
        <v>2</v>
      </c>
      <c r="AR53" s="37">
        <v>2</v>
      </c>
      <c r="AS53" s="37">
        <v>2</v>
      </c>
      <c r="AT53" s="37">
        <v>2</v>
      </c>
    </row>
    <row r="54" spans="3:46" s="37" customFormat="1" x14ac:dyDescent="0.25"/>
    <row r="55" spans="3:46" s="37" customFormat="1" x14ac:dyDescent="0.25">
      <c r="C55" s="37" t="s">
        <v>20</v>
      </c>
      <c r="D55" s="37">
        <v>2</v>
      </c>
      <c r="E55" s="37">
        <v>2</v>
      </c>
      <c r="F55" s="37">
        <v>2</v>
      </c>
      <c r="G55" s="37">
        <v>2</v>
      </c>
      <c r="H55" s="37">
        <v>2</v>
      </c>
      <c r="I55" s="37">
        <v>2</v>
      </c>
      <c r="J55" s="37">
        <v>2</v>
      </c>
      <c r="K55" s="37">
        <v>2</v>
      </c>
      <c r="L55" s="37">
        <v>2</v>
      </c>
      <c r="M55" s="37">
        <v>2</v>
      </c>
      <c r="N55" s="37">
        <v>2</v>
      </c>
      <c r="O55" s="37">
        <v>2</v>
      </c>
      <c r="P55" s="37">
        <v>2</v>
      </c>
      <c r="Q55" s="37">
        <v>5</v>
      </c>
      <c r="R55" s="37">
        <v>5</v>
      </c>
      <c r="S55" s="37">
        <v>5</v>
      </c>
      <c r="T55" s="37">
        <v>5</v>
      </c>
      <c r="U55" s="37">
        <v>5</v>
      </c>
      <c r="V55" s="37">
        <v>5</v>
      </c>
      <c r="W55" s="37">
        <v>5</v>
      </c>
      <c r="X55" s="37">
        <v>5</v>
      </c>
      <c r="Z55" s="37">
        <v>2</v>
      </c>
      <c r="AA55" s="37">
        <v>2</v>
      </c>
      <c r="AB55" s="37">
        <v>2</v>
      </c>
      <c r="AC55" s="37">
        <v>2</v>
      </c>
      <c r="AD55" s="37">
        <v>2</v>
      </c>
      <c r="AE55" s="37">
        <v>2</v>
      </c>
      <c r="AF55" s="37">
        <v>2</v>
      </c>
      <c r="AG55" s="37">
        <v>2</v>
      </c>
      <c r="AH55" s="37">
        <v>2</v>
      </c>
      <c r="AI55" s="37">
        <v>2</v>
      </c>
      <c r="AJ55" s="37">
        <v>2</v>
      </c>
      <c r="AK55" s="37">
        <v>2</v>
      </c>
      <c r="AL55" s="37">
        <v>2</v>
      </c>
      <c r="AM55" s="37">
        <v>5</v>
      </c>
      <c r="AN55" s="37">
        <v>5</v>
      </c>
      <c r="AO55" s="37">
        <v>5</v>
      </c>
      <c r="AP55" s="37">
        <v>5</v>
      </c>
      <c r="AQ55" s="37">
        <v>5</v>
      </c>
      <c r="AR55" s="37">
        <v>5</v>
      </c>
      <c r="AS55" s="37">
        <v>5</v>
      </c>
      <c r="AT55" s="37">
        <v>5</v>
      </c>
    </row>
    <row r="56" spans="3:46" s="37" customFormat="1" x14ac:dyDescent="0.25"/>
    <row r="57" spans="3:46" s="37" customFormat="1" x14ac:dyDescent="0.25">
      <c r="C57" s="37" t="s">
        <v>21</v>
      </c>
      <c r="D57" s="37">
        <v>4</v>
      </c>
      <c r="E57" s="37">
        <v>4</v>
      </c>
      <c r="F57" s="37">
        <v>4</v>
      </c>
      <c r="G57" s="37">
        <v>4</v>
      </c>
      <c r="H57" s="37">
        <v>4</v>
      </c>
      <c r="I57" s="37">
        <v>4</v>
      </c>
      <c r="J57" s="37">
        <v>4</v>
      </c>
      <c r="K57" s="37">
        <v>3</v>
      </c>
      <c r="L57" s="37">
        <v>3</v>
      </c>
      <c r="M57" s="37">
        <v>3</v>
      </c>
      <c r="N57" s="37">
        <v>3</v>
      </c>
      <c r="O57" s="37">
        <v>3</v>
      </c>
      <c r="P57" s="37">
        <v>3</v>
      </c>
      <c r="Q57" s="37">
        <v>3</v>
      </c>
      <c r="R57" s="37">
        <v>3</v>
      </c>
      <c r="S57" s="37">
        <v>3</v>
      </c>
      <c r="T57" s="37">
        <v>3</v>
      </c>
      <c r="U57" s="37">
        <v>3</v>
      </c>
      <c r="V57" s="37">
        <v>3</v>
      </c>
      <c r="W57" s="37">
        <v>3</v>
      </c>
      <c r="X57" s="37">
        <v>3</v>
      </c>
      <c r="Z57" s="37">
        <v>4</v>
      </c>
      <c r="AA57" s="37">
        <v>4</v>
      </c>
      <c r="AB57" s="37">
        <v>4</v>
      </c>
      <c r="AC57" s="37">
        <v>4</v>
      </c>
      <c r="AD57" s="37">
        <v>4</v>
      </c>
      <c r="AE57" s="37">
        <v>4</v>
      </c>
      <c r="AF57" s="37">
        <v>4</v>
      </c>
      <c r="AG57" s="37">
        <v>3</v>
      </c>
      <c r="AH57" s="37">
        <v>3</v>
      </c>
      <c r="AI57" s="37">
        <v>3</v>
      </c>
      <c r="AJ57" s="37">
        <v>3</v>
      </c>
      <c r="AK57" s="37">
        <v>3</v>
      </c>
      <c r="AL57" s="37">
        <v>3</v>
      </c>
      <c r="AM57" s="37">
        <v>3</v>
      </c>
      <c r="AN57" s="37">
        <v>3</v>
      </c>
      <c r="AO57" s="37">
        <v>3</v>
      </c>
      <c r="AP57" s="37">
        <v>3</v>
      </c>
      <c r="AQ57" s="37">
        <v>3</v>
      </c>
      <c r="AR57" s="37">
        <v>3</v>
      </c>
      <c r="AS57" s="37">
        <v>3</v>
      </c>
      <c r="AT57" s="37">
        <v>3</v>
      </c>
    </row>
    <row r="58" spans="3:46" s="37" customFormat="1" x14ac:dyDescent="0.25"/>
    <row r="59" spans="3:46" s="37" customFormat="1" x14ac:dyDescent="0.25">
      <c r="C59" s="37" t="s">
        <v>20</v>
      </c>
      <c r="D59" s="37">
        <v>3</v>
      </c>
      <c r="E59" s="37">
        <v>3</v>
      </c>
      <c r="F59" s="37">
        <v>3</v>
      </c>
      <c r="G59" s="37">
        <v>3</v>
      </c>
      <c r="H59" s="37">
        <v>3</v>
      </c>
      <c r="I59" s="37">
        <v>3</v>
      </c>
      <c r="J59" s="37">
        <v>3</v>
      </c>
      <c r="K59" s="37">
        <v>3</v>
      </c>
      <c r="L59" s="37">
        <v>2</v>
      </c>
      <c r="M59" s="37">
        <v>2</v>
      </c>
      <c r="N59" s="37">
        <v>2</v>
      </c>
      <c r="O59" s="37">
        <v>2</v>
      </c>
      <c r="P59" s="37">
        <v>3</v>
      </c>
      <c r="Q59" s="37">
        <v>3</v>
      </c>
      <c r="R59" s="37">
        <v>3</v>
      </c>
      <c r="S59" s="37">
        <v>4</v>
      </c>
      <c r="T59" s="37">
        <v>4</v>
      </c>
      <c r="U59" s="37">
        <v>4</v>
      </c>
      <c r="V59" s="37">
        <v>4</v>
      </c>
      <c r="W59" s="37">
        <v>4</v>
      </c>
      <c r="X59" s="37">
        <v>4</v>
      </c>
      <c r="Z59" s="37">
        <v>3</v>
      </c>
      <c r="AA59" s="37">
        <v>3</v>
      </c>
      <c r="AB59" s="37">
        <v>3</v>
      </c>
      <c r="AC59" s="37">
        <v>3</v>
      </c>
      <c r="AD59" s="37">
        <v>3</v>
      </c>
      <c r="AE59" s="37">
        <v>3</v>
      </c>
      <c r="AF59" s="37">
        <v>3</v>
      </c>
      <c r="AG59" s="37">
        <v>3</v>
      </c>
      <c r="AH59" s="37">
        <v>3</v>
      </c>
      <c r="AI59" s="37">
        <v>3</v>
      </c>
      <c r="AJ59" s="37">
        <v>3</v>
      </c>
      <c r="AK59" s="37">
        <v>3</v>
      </c>
      <c r="AL59" s="37">
        <v>3</v>
      </c>
      <c r="AM59" s="37">
        <v>4</v>
      </c>
      <c r="AN59" s="37">
        <v>4</v>
      </c>
      <c r="AO59" s="37">
        <v>4</v>
      </c>
      <c r="AP59" s="37">
        <v>4</v>
      </c>
      <c r="AQ59" s="37">
        <v>4</v>
      </c>
      <c r="AR59" s="37">
        <v>4</v>
      </c>
      <c r="AS59" s="37">
        <v>4</v>
      </c>
      <c r="AT59" s="37">
        <v>4</v>
      </c>
    </row>
    <row r="60" spans="3:46" s="37" customFormat="1" x14ac:dyDescent="0.25"/>
    <row r="61" spans="3:46" s="37" customFormat="1" x14ac:dyDescent="0.25">
      <c r="C61" s="37" t="s">
        <v>21</v>
      </c>
      <c r="D61" s="37">
        <v>3</v>
      </c>
      <c r="E61" s="37">
        <v>3</v>
      </c>
      <c r="F61" s="37">
        <v>3</v>
      </c>
      <c r="G61" s="37">
        <v>3</v>
      </c>
      <c r="H61" s="37">
        <v>3</v>
      </c>
      <c r="I61" s="37">
        <v>3</v>
      </c>
      <c r="J61" s="37">
        <v>3</v>
      </c>
      <c r="K61" s="37">
        <v>2</v>
      </c>
      <c r="L61" s="37">
        <v>2</v>
      </c>
      <c r="M61" s="37">
        <v>2</v>
      </c>
      <c r="N61" s="37">
        <v>2</v>
      </c>
      <c r="O61" s="37">
        <v>2</v>
      </c>
      <c r="P61" s="37">
        <v>2</v>
      </c>
      <c r="Q61" s="37">
        <v>2</v>
      </c>
      <c r="R61" s="37">
        <v>3</v>
      </c>
      <c r="S61" s="37">
        <v>3</v>
      </c>
      <c r="T61" s="37">
        <v>3</v>
      </c>
      <c r="U61" s="37">
        <v>3</v>
      </c>
      <c r="V61" s="37">
        <v>3</v>
      </c>
      <c r="W61" s="37">
        <v>3</v>
      </c>
      <c r="X61" s="37">
        <v>3</v>
      </c>
      <c r="Z61" s="37">
        <v>3</v>
      </c>
      <c r="AA61" s="37">
        <v>3</v>
      </c>
      <c r="AB61" s="37">
        <v>3</v>
      </c>
      <c r="AC61" s="37">
        <v>3</v>
      </c>
      <c r="AD61" s="37">
        <v>3</v>
      </c>
      <c r="AE61" s="37">
        <v>3</v>
      </c>
      <c r="AF61" s="37">
        <v>3</v>
      </c>
      <c r="AG61" s="37">
        <v>2</v>
      </c>
      <c r="AH61" s="37">
        <v>2</v>
      </c>
      <c r="AI61" s="37">
        <v>2</v>
      </c>
      <c r="AJ61" s="37">
        <v>2</v>
      </c>
      <c r="AK61" s="37">
        <v>2</v>
      </c>
      <c r="AL61" s="37">
        <v>2</v>
      </c>
      <c r="AM61" s="37">
        <v>3</v>
      </c>
      <c r="AN61" s="37">
        <v>3</v>
      </c>
      <c r="AO61" s="37">
        <v>3</v>
      </c>
      <c r="AP61" s="37">
        <v>3</v>
      </c>
      <c r="AQ61" s="37">
        <v>3</v>
      </c>
      <c r="AR61" s="37">
        <v>3</v>
      </c>
      <c r="AS61" s="37">
        <v>3</v>
      </c>
      <c r="AT61" s="37">
        <v>3</v>
      </c>
    </row>
    <row r="62" spans="3:46" s="37" customFormat="1" x14ac:dyDescent="0.25"/>
    <row r="63" spans="3:46" s="37" customFormat="1" x14ac:dyDescent="0.25">
      <c r="C63" s="37" t="s">
        <v>20</v>
      </c>
      <c r="D63" s="37">
        <v>5</v>
      </c>
      <c r="E63" s="37">
        <v>5</v>
      </c>
      <c r="F63" s="37">
        <v>5</v>
      </c>
      <c r="G63" s="37">
        <v>5</v>
      </c>
      <c r="H63" s="37">
        <v>5</v>
      </c>
      <c r="I63" s="37">
        <v>5</v>
      </c>
      <c r="J63" s="37">
        <v>5</v>
      </c>
      <c r="K63" s="37">
        <v>3</v>
      </c>
      <c r="L63" s="37">
        <v>3</v>
      </c>
      <c r="M63" s="37">
        <v>3</v>
      </c>
      <c r="N63" s="37">
        <v>3</v>
      </c>
      <c r="O63" s="37">
        <v>2</v>
      </c>
      <c r="P63" s="37">
        <v>2</v>
      </c>
      <c r="Q63" s="37">
        <v>2</v>
      </c>
      <c r="R63" s="37">
        <v>3</v>
      </c>
      <c r="S63" s="37">
        <v>3</v>
      </c>
      <c r="T63" s="37">
        <v>3</v>
      </c>
      <c r="U63" s="37">
        <v>3</v>
      </c>
      <c r="V63" s="37">
        <v>3</v>
      </c>
      <c r="W63" s="37">
        <v>3</v>
      </c>
      <c r="X63" s="37">
        <v>3</v>
      </c>
      <c r="Z63" s="37">
        <v>5</v>
      </c>
      <c r="AA63" s="37">
        <v>5</v>
      </c>
      <c r="AB63" s="37">
        <v>5</v>
      </c>
      <c r="AC63" s="37">
        <v>5</v>
      </c>
      <c r="AD63" s="37">
        <v>5</v>
      </c>
      <c r="AE63" s="37">
        <v>5</v>
      </c>
      <c r="AF63" s="37">
        <v>5</v>
      </c>
      <c r="AG63" s="37">
        <v>3</v>
      </c>
      <c r="AH63" s="37">
        <v>3</v>
      </c>
      <c r="AI63" s="37">
        <v>3</v>
      </c>
      <c r="AJ63" s="37">
        <v>3</v>
      </c>
      <c r="AK63" s="37">
        <v>3</v>
      </c>
      <c r="AL63" s="37">
        <v>3</v>
      </c>
      <c r="AM63" s="37">
        <v>3</v>
      </c>
      <c r="AN63" s="37">
        <v>3</v>
      </c>
      <c r="AO63" s="37">
        <v>3</v>
      </c>
      <c r="AP63" s="37">
        <v>3</v>
      </c>
      <c r="AQ63" s="37">
        <v>3</v>
      </c>
      <c r="AR63" s="37">
        <v>3</v>
      </c>
      <c r="AS63" s="37">
        <v>3</v>
      </c>
      <c r="AT63" s="37">
        <v>3</v>
      </c>
    </row>
    <row r="64" spans="3:46" s="37" customFormat="1" x14ac:dyDescent="0.25"/>
    <row r="65" spans="3:46" s="37" customFormat="1" x14ac:dyDescent="0.25">
      <c r="C65" s="37" t="s">
        <v>21</v>
      </c>
      <c r="D65" s="37">
        <v>3</v>
      </c>
      <c r="E65" s="37">
        <v>3</v>
      </c>
      <c r="F65" s="37">
        <v>3</v>
      </c>
      <c r="G65" s="37">
        <v>3</v>
      </c>
      <c r="H65" s="37">
        <v>3</v>
      </c>
      <c r="I65" s="37">
        <v>3</v>
      </c>
      <c r="J65" s="37">
        <v>3</v>
      </c>
      <c r="K65" s="37">
        <v>3</v>
      </c>
      <c r="L65" s="37">
        <v>3</v>
      </c>
      <c r="M65" s="37">
        <v>3</v>
      </c>
      <c r="N65" s="37">
        <v>3</v>
      </c>
      <c r="O65" s="37">
        <v>3</v>
      </c>
      <c r="P65" s="37">
        <v>3</v>
      </c>
      <c r="Q65" s="37">
        <v>3</v>
      </c>
      <c r="R65" s="37">
        <v>3</v>
      </c>
      <c r="S65" s="37">
        <v>3</v>
      </c>
      <c r="T65" s="37">
        <v>4</v>
      </c>
      <c r="U65" s="37">
        <v>4</v>
      </c>
      <c r="V65" s="37">
        <v>4</v>
      </c>
      <c r="W65" s="37">
        <v>4</v>
      </c>
      <c r="X65" s="37">
        <v>4</v>
      </c>
      <c r="Z65" s="37">
        <v>3</v>
      </c>
      <c r="AA65" s="37">
        <v>3</v>
      </c>
      <c r="AB65" s="37">
        <v>3</v>
      </c>
      <c r="AC65" s="37">
        <v>3</v>
      </c>
      <c r="AD65" s="37">
        <v>3</v>
      </c>
      <c r="AE65" s="37">
        <v>3</v>
      </c>
      <c r="AF65" s="37">
        <v>3</v>
      </c>
      <c r="AG65" s="37">
        <v>3</v>
      </c>
      <c r="AH65" s="37">
        <v>3</v>
      </c>
      <c r="AI65" s="37">
        <v>3</v>
      </c>
      <c r="AJ65" s="37">
        <v>3</v>
      </c>
      <c r="AK65" s="37">
        <v>3</v>
      </c>
      <c r="AL65" s="37">
        <v>3</v>
      </c>
      <c r="AM65" s="37">
        <v>4</v>
      </c>
      <c r="AN65" s="37">
        <v>4</v>
      </c>
      <c r="AO65" s="37">
        <v>4</v>
      </c>
      <c r="AP65" s="37">
        <v>4</v>
      </c>
      <c r="AQ65" s="37">
        <v>4</v>
      </c>
      <c r="AR65" s="37">
        <v>4</v>
      </c>
      <c r="AS65" s="37">
        <v>4</v>
      </c>
      <c r="AT65" s="37">
        <v>4</v>
      </c>
    </row>
    <row r="66" spans="3:46" s="37" customFormat="1" x14ac:dyDescent="0.25"/>
    <row r="67" spans="3:46" s="37" customFormat="1" x14ac:dyDescent="0.25">
      <c r="C67" s="37" t="s">
        <v>20</v>
      </c>
      <c r="D67" s="37">
        <v>7</v>
      </c>
      <c r="E67" s="37">
        <v>7</v>
      </c>
      <c r="F67" s="37">
        <v>7</v>
      </c>
      <c r="G67" s="37">
        <v>7</v>
      </c>
      <c r="H67" s="37">
        <v>7</v>
      </c>
      <c r="I67" s="37">
        <v>7</v>
      </c>
      <c r="J67" s="37">
        <v>6</v>
      </c>
      <c r="K67" s="37">
        <v>3</v>
      </c>
      <c r="L67" s="37">
        <v>3</v>
      </c>
      <c r="M67" s="37">
        <v>3</v>
      </c>
      <c r="N67" s="37">
        <v>3</v>
      </c>
      <c r="O67" s="37">
        <v>3</v>
      </c>
      <c r="P67" s="37">
        <v>2</v>
      </c>
      <c r="Q67" s="37">
        <v>2</v>
      </c>
      <c r="R67" s="37">
        <v>3</v>
      </c>
      <c r="S67" s="37">
        <v>3</v>
      </c>
      <c r="T67" s="37">
        <v>3</v>
      </c>
      <c r="U67" s="37">
        <v>3</v>
      </c>
      <c r="V67" s="37">
        <v>3</v>
      </c>
      <c r="W67" s="37">
        <v>3</v>
      </c>
      <c r="X67" s="37">
        <v>3</v>
      </c>
      <c r="Z67" s="37">
        <v>7</v>
      </c>
      <c r="AA67" s="37">
        <v>7</v>
      </c>
      <c r="AB67" s="37">
        <v>7</v>
      </c>
      <c r="AC67" s="37">
        <v>7</v>
      </c>
      <c r="AD67" s="37">
        <v>7</v>
      </c>
      <c r="AE67" s="37">
        <v>7</v>
      </c>
      <c r="AF67" s="37">
        <v>7</v>
      </c>
      <c r="AG67" s="37">
        <v>3</v>
      </c>
      <c r="AH67" s="37">
        <v>3</v>
      </c>
      <c r="AI67" s="37">
        <v>3</v>
      </c>
      <c r="AJ67" s="37">
        <v>3</v>
      </c>
      <c r="AK67" s="37">
        <v>3</v>
      </c>
      <c r="AL67" s="37">
        <v>3</v>
      </c>
      <c r="AM67" s="37">
        <v>3</v>
      </c>
      <c r="AN67" s="37">
        <v>3</v>
      </c>
      <c r="AO67" s="37">
        <v>3</v>
      </c>
      <c r="AP67" s="37">
        <v>3</v>
      </c>
      <c r="AQ67" s="37">
        <v>3</v>
      </c>
      <c r="AR67" s="37">
        <v>3</v>
      </c>
      <c r="AS67" s="37">
        <v>3</v>
      </c>
      <c r="AT67" s="37">
        <v>3</v>
      </c>
    </row>
    <row r="68" spans="3:46" s="37" customFormat="1" x14ac:dyDescent="0.25"/>
    <row r="69" spans="3:46" s="37" customFormat="1" x14ac:dyDescent="0.25">
      <c r="C69" s="37" t="s">
        <v>21</v>
      </c>
      <c r="D69" s="37">
        <v>4</v>
      </c>
      <c r="E69" s="37">
        <v>4</v>
      </c>
      <c r="F69" s="37">
        <v>4</v>
      </c>
      <c r="G69" s="37">
        <v>4</v>
      </c>
      <c r="H69" s="37">
        <v>4</v>
      </c>
      <c r="I69" s="37">
        <v>4</v>
      </c>
      <c r="J69" s="37">
        <v>3</v>
      </c>
      <c r="K69" s="37">
        <v>3</v>
      </c>
      <c r="L69" s="37">
        <v>3</v>
      </c>
      <c r="M69" s="37">
        <v>3</v>
      </c>
      <c r="N69" s="37">
        <v>3</v>
      </c>
      <c r="O69" s="37">
        <v>3</v>
      </c>
      <c r="P69" s="37">
        <v>3</v>
      </c>
      <c r="Q69" s="37">
        <v>3</v>
      </c>
      <c r="R69" s="37">
        <v>4</v>
      </c>
      <c r="S69" s="37">
        <v>4</v>
      </c>
      <c r="T69" s="37">
        <v>5</v>
      </c>
      <c r="U69" s="37">
        <v>5</v>
      </c>
      <c r="V69" s="37">
        <v>5</v>
      </c>
      <c r="W69" s="37">
        <v>5</v>
      </c>
      <c r="X69" s="37">
        <v>5</v>
      </c>
      <c r="Z69" s="37">
        <v>4</v>
      </c>
      <c r="AA69" s="37">
        <v>4</v>
      </c>
      <c r="AB69" s="37">
        <v>4</v>
      </c>
      <c r="AC69" s="37">
        <v>4</v>
      </c>
      <c r="AD69" s="37">
        <v>4</v>
      </c>
      <c r="AE69" s="37">
        <v>4</v>
      </c>
      <c r="AF69" s="37">
        <v>4</v>
      </c>
      <c r="AG69" s="37">
        <v>3</v>
      </c>
      <c r="AH69" s="37">
        <v>3</v>
      </c>
      <c r="AI69" s="37">
        <v>3</v>
      </c>
      <c r="AJ69" s="37">
        <v>3</v>
      </c>
      <c r="AK69" s="37">
        <v>3</v>
      </c>
      <c r="AL69" s="37">
        <v>3</v>
      </c>
      <c r="AM69" s="37">
        <v>5</v>
      </c>
      <c r="AN69" s="37">
        <v>5</v>
      </c>
      <c r="AO69" s="37">
        <v>5</v>
      </c>
      <c r="AP69" s="37">
        <v>5</v>
      </c>
      <c r="AQ69" s="37">
        <v>5</v>
      </c>
      <c r="AR69" s="37">
        <v>5</v>
      </c>
      <c r="AS69" s="37">
        <v>5</v>
      </c>
      <c r="AT69" s="37">
        <v>5</v>
      </c>
    </row>
    <row r="70" spans="3:46" s="37" customFormat="1" x14ac:dyDescent="0.25"/>
    <row r="71" spans="3:46" s="37" customFormat="1" x14ac:dyDescent="0.25">
      <c r="C71" s="37" t="s">
        <v>20</v>
      </c>
      <c r="D71" s="37">
        <v>7</v>
      </c>
      <c r="E71" s="37">
        <v>7</v>
      </c>
      <c r="F71" s="37">
        <v>7</v>
      </c>
      <c r="G71" s="37">
        <v>7</v>
      </c>
      <c r="H71" s="37">
        <v>7</v>
      </c>
      <c r="I71" s="37">
        <v>7</v>
      </c>
      <c r="J71" s="37">
        <v>7</v>
      </c>
      <c r="K71" s="37">
        <v>3</v>
      </c>
      <c r="L71" s="37">
        <v>3</v>
      </c>
      <c r="M71" s="37">
        <v>3</v>
      </c>
      <c r="N71" s="37">
        <v>3</v>
      </c>
      <c r="O71" s="37">
        <v>3</v>
      </c>
      <c r="P71" s="37">
        <v>3</v>
      </c>
      <c r="Q71" s="37">
        <v>4</v>
      </c>
      <c r="R71" s="37">
        <v>5</v>
      </c>
      <c r="S71" s="37">
        <v>5</v>
      </c>
      <c r="T71" s="37">
        <v>5</v>
      </c>
      <c r="U71" s="37">
        <v>5</v>
      </c>
      <c r="V71" s="37">
        <v>5</v>
      </c>
      <c r="W71" s="37">
        <v>5</v>
      </c>
      <c r="X71" s="37">
        <v>5</v>
      </c>
      <c r="Z71" s="37">
        <v>7</v>
      </c>
      <c r="AA71" s="37">
        <v>7</v>
      </c>
      <c r="AB71" s="37">
        <v>7</v>
      </c>
      <c r="AC71" s="37">
        <v>7</v>
      </c>
      <c r="AD71" s="37">
        <v>7</v>
      </c>
      <c r="AE71" s="37">
        <v>7</v>
      </c>
      <c r="AF71" s="37">
        <v>7</v>
      </c>
      <c r="AG71" s="37">
        <v>3</v>
      </c>
      <c r="AH71" s="37">
        <v>3</v>
      </c>
      <c r="AI71" s="37">
        <v>3</v>
      </c>
      <c r="AJ71" s="37">
        <v>3</v>
      </c>
      <c r="AK71" s="37">
        <v>3</v>
      </c>
      <c r="AL71" s="37">
        <v>3</v>
      </c>
      <c r="AM71" s="37">
        <v>5</v>
      </c>
      <c r="AN71" s="37">
        <v>5</v>
      </c>
      <c r="AO71" s="37">
        <v>5</v>
      </c>
      <c r="AP71" s="37">
        <v>5</v>
      </c>
      <c r="AQ71" s="37">
        <v>5</v>
      </c>
      <c r="AR71" s="37">
        <v>5</v>
      </c>
      <c r="AS71" s="37">
        <v>5</v>
      </c>
      <c r="AT71" s="37">
        <v>5</v>
      </c>
    </row>
    <row r="72" spans="3:46" s="37" customFormat="1" x14ac:dyDescent="0.25"/>
    <row r="73" spans="3:46" s="37" customFormat="1" x14ac:dyDescent="0.25">
      <c r="C73" s="37" t="s">
        <v>21</v>
      </c>
      <c r="D73" s="37">
        <v>4</v>
      </c>
      <c r="E73" s="37">
        <v>4</v>
      </c>
      <c r="F73" s="37">
        <v>4</v>
      </c>
      <c r="G73" s="37">
        <v>4</v>
      </c>
      <c r="H73" s="37">
        <v>4</v>
      </c>
      <c r="I73" s="37">
        <v>4</v>
      </c>
      <c r="J73" s="37">
        <v>4</v>
      </c>
      <c r="K73" s="37">
        <v>3</v>
      </c>
      <c r="L73" s="37">
        <v>3</v>
      </c>
      <c r="M73" s="37">
        <v>3</v>
      </c>
      <c r="N73" s="37">
        <v>3</v>
      </c>
      <c r="O73" s="37">
        <v>3</v>
      </c>
      <c r="P73" s="37">
        <v>3</v>
      </c>
      <c r="Q73" s="37">
        <v>3</v>
      </c>
      <c r="R73" s="37">
        <v>3</v>
      </c>
      <c r="S73" s="37">
        <v>3</v>
      </c>
      <c r="T73" s="37">
        <v>3</v>
      </c>
      <c r="U73" s="37">
        <v>3</v>
      </c>
      <c r="V73" s="37">
        <v>3</v>
      </c>
      <c r="W73" s="37">
        <v>3</v>
      </c>
      <c r="X73" s="37">
        <v>3</v>
      </c>
      <c r="Z73" s="37">
        <v>4</v>
      </c>
      <c r="AA73" s="37">
        <v>4</v>
      </c>
      <c r="AB73" s="37">
        <v>4</v>
      </c>
      <c r="AC73" s="37">
        <v>4</v>
      </c>
      <c r="AD73" s="37">
        <v>4</v>
      </c>
      <c r="AE73" s="37">
        <v>4</v>
      </c>
      <c r="AF73" s="37">
        <v>4</v>
      </c>
      <c r="AG73" s="37">
        <v>3</v>
      </c>
      <c r="AH73" s="37">
        <v>3</v>
      </c>
      <c r="AI73" s="37">
        <v>3</v>
      </c>
      <c r="AJ73" s="37">
        <v>3</v>
      </c>
      <c r="AK73" s="37">
        <v>3</v>
      </c>
      <c r="AL73" s="37">
        <v>3</v>
      </c>
      <c r="AM73" s="37">
        <v>3</v>
      </c>
      <c r="AN73" s="37">
        <v>3</v>
      </c>
      <c r="AO73" s="37">
        <v>3</v>
      </c>
      <c r="AP73" s="37">
        <v>3</v>
      </c>
      <c r="AQ73" s="37">
        <v>3</v>
      </c>
      <c r="AR73" s="37">
        <v>3</v>
      </c>
      <c r="AS73" s="37">
        <v>3</v>
      </c>
      <c r="AT73" s="37">
        <v>3</v>
      </c>
    </row>
    <row r="74" spans="3:46" s="37" customFormat="1" x14ac:dyDescent="0.25"/>
    <row r="75" spans="3:46" s="37" customFormat="1" x14ac:dyDescent="0.25">
      <c r="C75" s="37" t="s">
        <v>20</v>
      </c>
      <c r="D75" s="37">
        <v>6</v>
      </c>
      <c r="E75" s="37">
        <v>6</v>
      </c>
      <c r="F75" s="37">
        <v>6</v>
      </c>
      <c r="G75" s="37">
        <v>6</v>
      </c>
      <c r="H75" s="37">
        <v>6</v>
      </c>
      <c r="I75" s="37">
        <v>6</v>
      </c>
      <c r="J75" s="37">
        <v>6</v>
      </c>
      <c r="K75" s="37">
        <v>3</v>
      </c>
      <c r="L75" s="37">
        <v>3</v>
      </c>
      <c r="M75" s="37">
        <v>3</v>
      </c>
      <c r="N75" s="37">
        <v>3</v>
      </c>
      <c r="O75" s="37">
        <v>3</v>
      </c>
      <c r="P75" s="37">
        <v>3</v>
      </c>
      <c r="Q75" s="37">
        <v>5</v>
      </c>
      <c r="R75" s="37">
        <v>5</v>
      </c>
      <c r="S75" s="37">
        <v>6</v>
      </c>
      <c r="T75" s="37">
        <v>6</v>
      </c>
      <c r="U75" s="37">
        <v>6</v>
      </c>
      <c r="V75" s="37">
        <v>6</v>
      </c>
      <c r="W75" s="37">
        <v>6</v>
      </c>
      <c r="X75" s="37">
        <v>6</v>
      </c>
      <c r="Z75" s="37">
        <v>6</v>
      </c>
      <c r="AA75" s="37">
        <v>6</v>
      </c>
      <c r="AB75" s="37">
        <v>6</v>
      </c>
      <c r="AC75" s="37">
        <v>6</v>
      </c>
      <c r="AD75" s="37">
        <v>6</v>
      </c>
      <c r="AE75" s="37">
        <v>6</v>
      </c>
      <c r="AF75" s="37">
        <v>6</v>
      </c>
      <c r="AG75" s="37">
        <v>3</v>
      </c>
      <c r="AH75" s="37">
        <v>3</v>
      </c>
      <c r="AI75" s="37">
        <v>3</v>
      </c>
      <c r="AJ75" s="37">
        <v>3</v>
      </c>
      <c r="AK75" s="37">
        <v>3</v>
      </c>
      <c r="AL75" s="37">
        <v>3</v>
      </c>
      <c r="AM75" s="37">
        <v>6</v>
      </c>
      <c r="AN75" s="37">
        <v>6</v>
      </c>
      <c r="AO75" s="37">
        <v>6</v>
      </c>
      <c r="AP75" s="37">
        <v>6</v>
      </c>
      <c r="AQ75" s="37">
        <v>6</v>
      </c>
      <c r="AR75" s="37">
        <v>6</v>
      </c>
      <c r="AS75" s="37">
        <v>6</v>
      </c>
      <c r="AT75" s="37">
        <v>6</v>
      </c>
    </row>
    <row r="76" spans="3:46" s="37" customFormat="1" x14ac:dyDescent="0.25"/>
    <row r="77" spans="3:46" s="37" customFormat="1" x14ac:dyDescent="0.25">
      <c r="C77" s="37" t="s">
        <v>21</v>
      </c>
      <c r="D77" s="37">
        <v>4</v>
      </c>
      <c r="E77" s="37">
        <v>4</v>
      </c>
      <c r="F77" s="37">
        <v>4</v>
      </c>
      <c r="G77" s="37">
        <v>4</v>
      </c>
      <c r="H77" s="37">
        <v>4</v>
      </c>
      <c r="I77" s="37">
        <v>4</v>
      </c>
      <c r="J77" s="37">
        <v>4</v>
      </c>
      <c r="K77" s="37">
        <v>3</v>
      </c>
      <c r="L77" s="37">
        <v>3</v>
      </c>
      <c r="M77" s="37">
        <v>3</v>
      </c>
      <c r="N77" s="37">
        <v>3</v>
      </c>
      <c r="O77" s="37">
        <v>3</v>
      </c>
      <c r="P77" s="37">
        <v>3</v>
      </c>
      <c r="Q77" s="37">
        <v>3</v>
      </c>
      <c r="R77" s="37">
        <v>3</v>
      </c>
      <c r="S77" s="37">
        <v>4</v>
      </c>
      <c r="T77" s="37">
        <v>4</v>
      </c>
      <c r="U77" s="37">
        <v>4</v>
      </c>
      <c r="V77" s="37">
        <v>4</v>
      </c>
      <c r="W77" s="37">
        <v>4</v>
      </c>
      <c r="X77" s="37">
        <v>4</v>
      </c>
      <c r="Z77" s="37">
        <v>4</v>
      </c>
      <c r="AA77" s="37">
        <v>4</v>
      </c>
      <c r="AB77" s="37">
        <v>4</v>
      </c>
      <c r="AC77" s="37">
        <v>4</v>
      </c>
      <c r="AD77" s="37">
        <v>4</v>
      </c>
      <c r="AE77" s="37">
        <v>4</v>
      </c>
      <c r="AF77" s="37">
        <v>4</v>
      </c>
      <c r="AG77" s="37">
        <v>3</v>
      </c>
      <c r="AH77" s="37">
        <v>3</v>
      </c>
      <c r="AI77" s="37">
        <v>3</v>
      </c>
      <c r="AJ77" s="37">
        <v>3</v>
      </c>
      <c r="AK77" s="37">
        <v>3</v>
      </c>
      <c r="AL77" s="37">
        <v>3</v>
      </c>
      <c r="AM77" s="37">
        <v>4</v>
      </c>
      <c r="AN77" s="37">
        <v>4</v>
      </c>
      <c r="AO77" s="37">
        <v>4</v>
      </c>
      <c r="AP77" s="37">
        <v>4</v>
      </c>
      <c r="AQ77" s="37">
        <v>4</v>
      </c>
      <c r="AR77" s="37">
        <v>4</v>
      </c>
      <c r="AS77" s="37">
        <v>4</v>
      </c>
      <c r="AT77" s="37">
        <v>4</v>
      </c>
    </row>
    <row r="78" spans="3:46" s="37" customFormat="1" x14ac:dyDescent="0.25"/>
    <row r="79" spans="3:46" s="37" customFormat="1" x14ac:dyDescent="0.25">
      <c r="C79" s="37" t="s">
        <v>20</v>
      </c>
      <c r="D79" s="37">
        <v>3</v>
      </c>
      <c r="E79" s="37">
        <v>3</v>
      </c>
      <c r="F79" s="37">
        <v>3</v>
      </c>
      <c r="G79" s="37">
        <v>3</v>
      </c>
      <c r="H79" s="37">
        <v>3</v>
      </c>
      <c r="I79" s="37">
        <v>3</v>
      </c>
      <c r="J79" s="37">
        <v>3</v>
      </c>
      <c r="K79" s="37">
        <v>3</v>
      </c>
      <c r="L79" s="37">
        <v>3</v>
      </c>
      <c r="M79" s="37">
        <v>3</v>
      </c>
      <c r="N79" s="37">
        <v>3</v>
      </c>
      <c r="O79" s="37">
        <v>3</v>
      </c>
      <c r="P79" s="37">
        <v>3</v>
      </c>
      <c r="Q79" s="37">
        <v>4</v>
      </c>
      <c r="R79" s="37">
        <v>4</v>
      </c>
      <c r="S79" s="37">
        <v>4</v>
      </c>
      <c r="T79" s="37">
        <v>4</v>
      </c>
      <c r="U79" s="37">
        <v>4</v>
      </c>
      <c r="V79" s="37">
        <v>4</v>
      </c>
      <c r="W79" s="37">
        <v>4</v>
      </c>
      <c r="X79" s="37">
        <v>4</v>
      </c>
      <c r="Z79" s="37">
        <v>3</v>
      </c>
      <c r="AA79" s="37">
        <v>3</v>
      </c>
      <c r="AB79" s="37">
        <v>3</v>
      </c>
      <c r="AC79" s="37">
        <v>3</v>
      </c>
      <c r="AD79" s="37">
        <v>3</v>
      </c>
      <c r="AE79" s="37">
        <v>3</v>
      </c>
      <c r="AF79" s="37">
        <v>3</v>
      </c>
      <c r="AG79" s="37">
        <v>3</v>
      </c>
      <c r="AH79" s="37">
        <v>3</v>
      </c>
      <c r="AI79" s="37">
        <v>3</v>
      </c>
      <c r="AJ79" s="37">
        <v>3</v>
      </c>
      <c r="AK79" s="37">
        <v>3</v>
      </c>
      <c r="AL79" s="37">
        <v>3</v>
      </c>
      <c r="AM79" s="37">
        <v>4</v>
      </c>
      <c r="AN79" s="37">
        <v>4</v>
      </c>
      <c r="AO79" s="37">
        <v>4</v>
      </c>
      <c r="AP79" s="37">
        <v>4</v>
      </c>
      <c r="AQ79" s="37">
        <v>4</v>
      </c>
      <c r="AR79" s="37">
        <v>4</v>
      </c>
      <c r="AS79" s="37">
        <v>4</v>
      </c>
      <c r="AT79" s="37">
        <v>4</v>
      </c>
    </row>
    <row r="80" spans="3:46" s="37" customFormat="1" x14ac:dyDescent="0.25"/>
    <row r="81" spans="3:46" s="37" customFormat="1" x14ac:dyDescent="0.25">
      <c r="C81" s="37" t="s">
        <v>21</v>
      </c>
      <c r="D81" s="37">
        <v>4</v>
      </c>
      <c r="E81" s="37">
        <v>4</v>
      </c>
      <c r="F81" s="37">
        <v>4</v>
      </c>
      <c r="G81" s="37">
        <v>4</v>
      </c>
      <c r="H81" s="37">
        <v>4</v>
      </c>
      <c r="I81" s="37">
        <v>4</v>
      </c>
      <c r="J81" s="37">
        <v>4</v>
      </c>
      <c r="K81" s="37">
        <v>3</v>
      </c>
      <c r="L81" s="37">
        <v>3</v>
      </c>
      <c r="M81" s="37">
        <v>3</v>
      </c>
      <c r="N81" s="37">
        <v>3</v>
      </c>
      <c r="O81" s="37">
        <v>3</v>
      </c>
      <c r="P81" s="37">
        <v>3</v>
      </c>
      <c r="Q81" s="37">
        <v>3</v>
      </c>
      <c r="R81" s="37">
        <v>3</v>
      </c>
      <c r="S81" s="37">
        <v>3</v>
      </c>
      <c r="T81" s="37">
        <v>3</v>
      </c>
      <c r="U81" s="37">
        <v>3</v>
      </c>
      <c r="V81" s="37">
        <v>3</v>
      </c>
      <c r="W81" s="37">
        <v>3</v>
      </c>
      <c r="X81" s="37">
        <v>3</v>
      </c>
      <c r="Z81" s="37">
        <v>4</v>
      </c>
      <c r="AA81" s="37">
        <v>4</v>
      </c>
      <c r="AB81" s="37">
        <v>4</v>
      </c>
      <c r="AC81" s="37">
        <v>4</v>
      </c>
      <c r="AD81" s="37">
        <v>4</v>
      </c>
      <c r="AE81" s="37">
        <v>4</v>
      </c>
      <c r="AF81" s="37">
        <v>4</v>
      </c>
      <c r="AG81" s="37">
        <v>3</v>
      </c>
      <c r="AH81" s="37">
        <v>3</v>
      </c>
      <c r="AI81" s="37">
        <v>3</v>
      </c>
      <c r="AJ81" s="37">
        <v>3</v>
      </c>
      <c r="AK81" s="37">
        <v>3</v>
      </c>
      <c r="AL81" s="37">
        <v>3</v>
      </c>
      <c r="AM81" s="37">
        <v>3</v>
      </c>
      <c r="AN81" s="37">
        <v>3</v>
      </c>
      <c r="AO81" s="37">
        <v>3</v>
      </c>
      <c r="AP81" s="37">
        <v>3</v>
      </c>
      <c r="AQ81" s="37">
        <v>3</v>
      </c>
      <c r="AR81" s="37">
        <v>3</v>
      </c>
      <c r="AS81" s="37">
        <v>3</v>
      </c>
      <c r="AT81" s="37">
        <v>3</v>
      </c>
    </row>
    <row r="82" spans="3:46" s="37" customFormat="1" x14ac:dyDescent="0.25"/>
    <row r="83" spans="3:46" s="37" customFormat="1" x14ac:dyDescent="0.25">
      <c r="C83" s="37" t="s">
        <v>20</v>
      </c>
      <c r="D83" s="37">
        <v>3</v>
      </c>
      <c r="E83" s="37">
        <v>3</v>
      </c>
      <c r="F83" s="37">
        <v>3</v>
      </c>
      <c r="G83" s="37">
        <v>3</v>
      </c>
      <c r="H83" s="37">
        <v>3</v>
      </c>
      <c r="I83" s="37">
        <v>3</v>
      </c>
      <c r="J83" s="37">
        <v>3</v>
      </c>
      <c r="K83" s="37">
        <v>3</v>
      </c>
      <c r="L83" s="37">
        <v>3</v>
      </c>
      <c r="M83" s="37">
        <v>3</v>
      </c>
      <c r="N83" s="37">
        <v>3</v>
      </c>
      <c r="O83" s="37">
        <v>3</v>
      </c>
      <c r="P83" s="37">
        <v>3</v>
      </c>
      <c r="Q83" s="37">
        <v>6</v>
      </c>
      <c r="R83" s="37">
        <v>6</v>
      </c>
      <c r="S83" s="37">
        <v>6</v>
      </c>
      <c r="T83" s="37">
        <v>6</v>
      </c>
      <c r="U83" s="37">
        <v>6</v>
      </c>
      <c r="V83" s="37">
        <v>6</v>
      </c>
      <c r="W83" s="37">
        <v>6</v>
      </c>
      <c r="X83" s="37">
        <v>6</v>
      </c>
      <c r="Z83" s="37">
        <v>3</v>
      </c>
      <c r="AA83" s="37">
        <v>3</v>
      </c>
      <c r="AB83" s="37">
        <v>3</v>
      </c>
      <c r="AC83" s="37">
        <v>3</v>
      </c>
      <c r="AD83" s="37">
        <v>3</v>
      </c>
      <c r="AE83" s="37">
        <v>3</v>
      </c>
      <c r="AF83" s="37">
        <v>3</v>
      </c>
      <c r="AG83" s="37">
        <v>3</v>
      </c>
      <c r="AH83" s="37">
        <v>3</v>
      </c>
      <c r="AI83" s="37">
        <v>3</v>
      </c>
      <c r="AJ83" s="37">
        <v>3</v>
      </c>
      <c r="AK83" s="37">
        <v>3</v>
      </c>
      <c r="AL83" s="37">
        <v>3</v>
      </c>
      <c r="AM83" s="37">
        <v>6</v>
      </c>
      <c r="AN83" s="37">
        <v>6</v>
      </c>
      <c r="AO83" s="37">
        <v>6</v>
      </c>
      <c r="AP83" s="37">
        <v>6</v>
      </c>
      <c r="AQ83" s="37">
        <v>6</v>
      </c>
      <c r="AR83" s="37">
        <v>6</v>
      </c>
      <c r="AS83" s="37">
        <v>6</v>
      </c>
      <c r="AT83" s="37">
        <v>6</v>
      </c>
    </row>
    <row r="84" spans="3:46" s="37" customFormat="1" x14ac:dyDescent="0.25"/>
    <row r="85" spans="3:46" s="37" customFormat="1" x14ac:dyDescent="0.25">
      <c r="C85" s="37" t="s">
        <v>21</v>
      </c>
      <c r="D85" s="37">
        <v>5</v>
      </c>
      <c r="E85" s="37">
        <v>5</v>
      </c>
      <c r="F85" s="37">
        <v>5</v>
      </c>
      <c r="G85" s="37">
        <v>5</v>
      </c>
      <c r="H85" s="37">
        <v>5</v>
      </c>
      <c r="I85" s="37">
        <v>5</v>
      </c>
      <c r="J85" s="37">
        <v>5</v>
      </c>
      <c r="K85" s="37">
        <v>3</v>
      </c>
      <c r="L85" s="37">
        <v>3</v>
      </c>
      <c r="M85" s="37">
        <v>3</v>
      </c>
      <c r="N85" s="37">
        <v>3</v>
      </c>
      <c r="O85" s="37">
        <v>3</v>
      </c>
      <c r="P85" s="37">
        <v>3</v>
      </c>
      <c r="Q85" s="37">
        <v>3</v>
      </c>
      <c r="R85" s="37">
        <v>3</v>
      </c>
      <c r="S85" s="37">
        <v>3</v>
      </c>
      <c r="T85" s="37">
        <v>3</v>
      </c>
      <c r="U85" s="37">
        <v>3</v>
      </c>
      <c r="V85" s="37">
        <v>3</v>
      </c>
      <c r="W85" s="37">
        <v>3</v>
      </c>
      <c r="X85" s="37">
        <v>3</v>
      </c>
      <c r="Z85" s="37">
        <v>5</v>
      </c>
      <c r="AA85" s="37">
        <v>5</v>
      </c>
      <c r="AB85" s="37">
        <v>5</v>
      </c>
      <c r="AC85" s="37">
        <v>5</v>
      </c>
      <c r="AD85" s="37">
        <v>5</v>
      </c>
      <c r="AE85" s="37">
        <v>5</v>
      </c>
      <c r="AF85" s="37">
        <v>5</v>
      </c>
      <c r="AG85" s="37">
        <v>3</v>
      </c>
      <c r="AH85" s="37">
        <v>3</v>
      </c>
      <c r="AI85" s="37">
        <v>3</v>
      </c>
      <c r="AJ85" s="37">
        <v>3</v>
      </c>
      <c r="AK85" s="37">
        <v>3</v>
      </c>
      <c r="AL85" s="37">
        <v>3</v>
      </c>
      <c r="AM85" s="37">
        <v>3</v>
      </c>
      <c r="AN85" s="37">
        <v>3</v>
      </c>
      <c r="AO85" s="37">
        <v>3</v>
      </c>
      <c r="AP85" s="37">
        <v>3</v>
      </c>
      <c r="AQ85" s="37">
        <v>3</v>
      </c>
      <c r="AR85" s="37">
        <v>3</v>
      </c>
      <c r="AS85" s="37">
        <v>3</v>
      </c>
      <c r="AT85" s="37">
        <v>3</v>
      </c>
    </row>
    <row r="86" spans="3:46" s="37" customFormat="1" x14ac:dyDescent="0.25"/>
    <row r="87" spans="3:46" s="37" customFormat="1" x14ac:dyDescent="0.25">
      <c r="C87" s="37" t="s">
        <v>20</v>
      </c>
      <c r="D87" s="37">
        <v>5</v>
      </c>
      <c r="E87" s="37">
        <v>5</v>
      </c>
      <c r="F87" s="37">
        <v>5</v>
      </c>
      <c r="G87" s="37">
        <v>5</v>
      </c>
      <c r="H87" s="37">
        <v>5</v>
      </c>
      <c r="I87" s="37">
        <v>5</v>
      </c>
      <c r="J87" s="37">
        <v>4</v>
      </c>
      <c r="K87" s="37">
        <v>3</v>
      </c>
      <c r="L87" s="37">
        <v>3</v>
      </c>
      <c r="M87" s="37">
        <v>3</v>
      </c>
      <c r="N87" s="37">
        <v>2</v>
      </c>
      <c r="O87" s="37">
        <v>2</v>
      </c>
      <c r="P87" s="37">
        <v>2</v>
      </c>
      <c r="Q87" s="37">
        <v>3</v>
      </c>
      <c r="R87" s="37">
        <v>3</v>
      </c>
      <c r="S87" s="37">
        <v>3</v>
      </c>
      <c r="T87" s="37">
        <v>4</v>
      </c>
      <c r="U87" s="37">
        <v>4</v>
      </c>
      <c r="V87" s="37">
        <v>4</v>
      </c>
      <c r="W87" s="37">
        <v>4</v>
      </c>
      <c r="X87" s="37">
        <v>4</v>
      </c>
      <c r="Z87" s="37">
        <v>5</v>
      </c>
      <c r="AA87" s="37">
        <v>5</v>
      </c>
      <c r="AB87" s="37">
        <v>5</v>
      </c>
      <c r="AC87" s="37">
        <v>5</v>
      </c>
      <c r="AD87" s="37">
        <v>5</v>
      </c>
      <c r="AE87" s="37">
        <v>5</v>
      </c>
      <c r="AF87" s="37">
        <v>5</v>
      </c>
      <c r="AG87" s="37">
        <v>3</v>
      </c>
      <c r="AH87" s="37">
        <v>3</v>
      </c>
      <c r="AI87" s="37">
        <v>3</v>
      </c>
      <c r="AJ87" s="37">
        <v>3</v>
      </c>
      <c r="AK87" s="37">
        <v>3</v>
      </c>
      <c r="AL87" s="37">
        <v>3</v>
      </c>
      <c r="AM87" s="37">
        <v>4</v>
      </c>
      <c r="AN87" s="37">
        <v>4</v>
      </c>
      <c r="AO87" s="37">
        <v>4</v>
      </c>
      <c r="AP87" s="37">
        <v>4</v>
      </c>
      <c r="AQ87" s="37">
        <v>4</v>
      </c>
      <c r="AR87" s="37">
        <v>4</v>
      </c>
      <c r="AS87" s="37">
        <v>4</v>
      </c>
      <c r="AT87" s="37">
        <v>4</v>
      </c>
    </row>
    <row r="88" spans="3:46" s="37" customFormat="1" x14ac:dyDescent="0.25"/>
    <row r="89" spans="3:46" s="37" customFormat="1" x14ac:dyDescent="0.25">
      <c r="C89" s="37" t="s">
        <v>21</v>
      </c>
      <c r="D89" s="37">
        <v>3</v>
      </c>
      <c r="E89" s="37">
        <v>3</v>
      </c>
      <c r="F89" s="37">
        <v>3</v>
      </c>
      <c r="G89" s="37">
        <v>3</v>
      </c>
      <c r="H89" s="37">
        <v>3</v>
      </c>
      <c r="I89" s="37">
        <v>3</v>
      </c>
      <c r="J89" s="37">
        <v>3</v>
      </c>
      <c r="K89" s="37">
        <v>3</v>
      </c>
      <c r="L89" s="37">
        <v>3</v>
      </c>
      <c r="M89" s="37">
        <v>3</v>
      </c>
      <c r="N89" s="37">
        <v>3</v>
      </c>
      <c r="O89" s="37">
        <v>3</v>
      </c>
      <c r="P89" s="37">
        <v>3</v>
      </c>
      <c r="Q89" s="37">
        <v>3</v>
      </c>
      <c r="R89" s="37">
        <v>3</v>
      </c>
      <c r="S89" s="37">
        <v>3</v>
      </c>
      <c r="T89" s="37">
        <v>3</v>
      </c>
      <c r="U89" s="37">
        <v>3</v>
      </c>
      <c r="V89" s="37">
        <v>3</v>
      </c>
      <c r="W89" s="37">
        <v>3</v>
      </c>
      <c r="X89" s="37">
        <v>3</v>
      </c>
      <c r="Z89" s="37">
        <v>3</v>
      </c>
      <c r="AA89" s="37">
        <v>3</v>
      </c>
      <c r="AB89" s="37">
        <v>3</v>
      </c>
      <c r="AC89" s="37">
        <v>3</v>
      </c>
      <c r="AD89" s="37">
        <v>3</v>
      </c>
      <c r="AE89" s="37">
        <v>3</v>
      </c>
      <c r="AF89" s="37">
        <v>3</v>
      </c>
      <c r="AG89" s="37">
        <v>3</v>
      </c>
      <c r="AH89" s="37">
        <v>3</v>
      </c>
      <c r="AI89" s="37">
        <v>3</v>
      </c>
      <c r="AJ89" s="37">
        <v>3</v>
      </c>
      <c r="AK89" s="37">
        <v>3</v>
      </c>
      <c r="AL89" s="37">
        <v>3</v>
      </c>
      <c r="AM89" s="37">
        <v>3</v>
      </c>
      <c r="AN89" s="37">
        <v>3</v>
      </c>
      <c r="AO89" s="37">
        <v>3</v>
      </c>
      <c r="AP89" s="37">
        <v>3</v>
      </c>
      <c r="AQ89" s="37">
        <v>3</v>
      </c>
      <c r="AR89" s="37">
        <v>3</v>
      </c>
      <c r="AS89" s="37">
        <v>3</v>
      </c>
      <c r="AT89" s="37">
        <v>3</v>
      </c>
    </row>
    <row r="90" spans="3:46" s="37" customFormat="1" x14ac:dyDescent="0.25"/>
    <row r="91" spans="3:46" s="37" customFormat="1" x14ac:dyDescent="0.25">
      <c r="C91" s="37" t="s">
        <v>20</v>
      </c>
      <c r="D91" s="37">
        <v>4</v>
      </c>
      <c r="E91" s="37">
        <v>4</v>
      </c>
      <c r="F91" s="37">
        <v>4</v>
      </c>
      <c r="G91" s="37">
        <v>4</v>
      </c>
      <c r="H91" s="37">
        <v>4</v>
      </c>
      <c r="I91" s="37">
        <v>4</v>
      </c>
      <c r="J91" s="37">
        <v>4</v>
      </c>
      <c r="K91" s="37">
        <v>3</v>
      </c>
      <c r="L91" s="37">
        <v>3</v>
      </c>
      <c r="M91" s="37">
        <v>3</v>
      </c>
      <c r="N91" s="37">
        <v>2</v>
      </c>
      <c r="O91" s="37">
        <v>2</v>
      </c>
      <c r="P91" s="37">
        <v>3</v>
      </c>
      <c r="Q91" s="37">
        <v>3</v>
      </c>
      <c r="R91" s="37">
        <v>3</v>
      </c>
      <c r="S91" s="37">
        <v>4</v>
      </c>
      <c r="T91" s="37">
        <v>4</v>
      </c>
      <c r="U91" s="37">
        <v>4</v>
      </c>
      <c r="V91" s="37">
        <v>4</v>
      </c>
      <c r="W91" s="37">
        <v>4</v>
      </c>
      <c r="X91" s="37">
        <v>4</v>
      </c>
      <c r="Z91" s="37">
        <v>4</v>
      </c>
      <c r="AA91" s="37">
        <v>4</v>
      </c>
      <c r="AB91" s="37">
        <v>4</v>
      </c>
      <c r="AC91" s="37">
        <v>4</v>
      </c>
      <c r="AD91" s="37">
        <v>4</v>
      </c>
      <c r="AE91" s="37">
        <v>4</v>
      </c>
      <c r="AF91" s="37">
        <v>4</v>
      </c>
      <c r="AG91" s="37">
        <v>3</v>
      </c>
      <c r="AH91" s="37">
        <v>3</v>
      </c>
      <c r="AI91" s="37">
        <v>3</v>
      </c>
      <c r="AJ91" s="37">
        <v>3</v>
      </c>
      <c r="AK91" s="37">
        <v>3</v>
      </c>
      <c r="AL91" s="37">
        <v>3</v>
      </c>
      <c r="AM91" s="37">
        <v>4</v>
      </c>
      <c r="AN91" s="37">
        <v>4</v>
      </c>
      <c r="AO91" s="37">
        <v>4</v>
      </c>
      <c r="AP91" s="37">
        <v>4</v>
      </c>
      <c r="AQ91" s="37">
        <v>4</v>
      </c>
      <c r="AR91" s="37">
        <v>4</v>
      </c>
      <c r="AS91" s="37">
        <v>4</v>
      </c>
      <c r="AT91" s="37">
        <v>4</v>
      </c>
    </row>
    <row r="92" spans="3:46" s="37" customFormat="1" x14ac:dyDescent="0.25"/>
    <row r="93" spans="3:46" s="37" customFormat="1" x14ac:dyDescent="0.25">
      <c r="C93" s="37" t="s">
        <v>21</v>
      </c>
      <c r="D93" s="37">
        <v>3</v>
      </c>
      <c r="E93" s="37">
        <v>3</v>
      </c>
      <c r="F93" s="37">
        <v>3</v>
      </c>
      <c r="G93" s="37">
        <v>3</v>
      </c>
      <c r="H93" s="37">
        <v>3</v>
      </c>
      <c r="I93" s="37">
        <v>3</v>
      </c>
      <c r="J93" s="37">
        <v>3</v>
      </c>
      <c r="K93" s="37">
        <v>3</v>
      </c>
      <c r="L93" s="37">
        <v>3</v>
      </c>
      <c r="M93" s="37">
        <v>3</v>
      </c>
      <c r="N93" s="37">
        <v>3</v>
      </c>
      <c r="O93" s="37">
        <v>3</v>
      </c>
      <c r="P93" s="37">
        <v>3</v>
      </c>
      <c r="Q93" s="37">
        <v>3</v>
      </c>
      <c r="R93" s="37">
        <v>3</v>
      </c>
      <c r="S93" s="37">
        <v>3</v>
      </c>
      <c r="T93" s="37">
        <v>4</v>
      </c>
      <c r="U93" s="37">
        <v>4</v>
      </c>
      <c r="V93" s="37">
        <v>4</v>
      </c>
      <c r="W93" s="37">
        <v>4</v>
      </c>
      <c r="X93" s="37">
        <v>4</v>
      </c>
      <c r="Z93" s="37">
        <v>3</v>
      </c>
      <c r="AA93" s="37">
        <v>3</v>
      </c>
      <c r="AB93" s="37">
        <v>3</v>
      </c>
      <c r="AC93" s="37">
        <v>3</v>
      </c>
      <c r="AD93" s="37">
        <v>3</v>
      </c>
      <c r="AE93" s="37">
        <v>3</v>
      </c>
      <c r="AF93" s="37">
        <v>3</v>
      </c>
      <c r="AG93" s="37">
        <v>3</v>
      </c>
      <c r="AH93" s="37">
        <v>3</v>
      </c>
      <c r="AI93" s="37">
        <v>3</v>
      </c>
      <c r="AJ93" s="37">
        <v>3</v>
      </c>
      <c r="AK93" s="37">
        <v>3</v>
      </c>
      <c r="AL93" s="37">
        <v>3</v>
      </c>
      <c r="AM93" s="37">
        <v>4</v>
      </c>
      <c r="AN93" s="37">
        <v>4</v>
      </c>
      <c r="AO93" s="37">
        <v>4</v>
      </c>
      <c r="AP93" s="37">
        <v>4</v>
      </c>
      <c r="AQ93" s="37">
        <v>4</v>
      </c>
      <c r="AR93" s="37">
        <v>4</v>
      </c>
      <c r="AS93" s="37">
        <v>4</v>
      </c>
      <c r="AT93" s="37">
        <v>4</v>
      </c>
    </row>
    <row r="94" spans="3:46" s="37" customFormat="1" x14ac:dyDescent="0.25"/>
    <row r="95" spans="3:46" s="37" customFormat="1" x14ac:dyDescent="0.25">
      <c r="C95" s="37" t="s">
        <v>20</v>
      </c>
      <c r="D95" s="37">
        <v>4</v>
      </c>
      <c r="E95" s="37">
        <v>4</v>
      </c>
      <c r="F95" s="37">
        <v>4</v>
      </c>
      <c r="G95" s="37">
        <v>4</v>
      </c>
      <c r="H95" s="37">
        <v>4</v>
      </c>
      <c r="I95" s="37">
        <v>4</v>
      </c>
      <c r="J95" s="37">
        <v>3</v>
      </c>
      <c r="K95" s="37">
        <v>3</v>
      </c>
      <c r="L95" s="37">
        <v>3</v>
      </c>
      <c r="M95" s="37">
        <v>2</v>
      </c>
      <c r="N95" s="37">
        <v>2</v>
      </c>
      <c r="O95" s="37">
        <v>3</v>
      </c>
      <c r="P95" s="37">
        <v>3</v>
      </c>
      <c r="Q95" s="37">
        <v>4</v>
      </c>
      <c r="R95" s="37">
        <v>4</v>
      </c>
      <c r="S95" s="37">
        <v>5</v>
      </c>
      <c r="T95" s="37">
        <v>5</v>
      </c>
      <c r="U95" s="37">
        <v>6</v>
      </c>
      <c r="V95" s="37">
        <v>6</v>
      </c>
      <c r="W95" s="37">
        <v>6</v>
      </c>
      <c r="X95" s="37">
        <v>6</v>
      </c>
      <c r="Z95" s="37">
        <v>4</v>
      </c>
      <c r="AA95" s="37">
        <v>4</v>
      </c>
      <c r="AB95" s="37">
        <v>4</v>
      </c>
      <c r="AC95" s="37">
        <v>4</v>
      </c>
      <c r="AD95" s="37">
        <v>4</v>
      </c>
      <c r="AE95" s="37">
        <v>4</v>
      </c>
      <c r="AF95" s="37">
        <v>4</v>
      </c>
      <c r="AG95" s="37">
        <v>3</v>
      </c>
      <c r="AH95" s="37">
        <v>3</v>
      </c>
      <c r="AI95" s="37">
        <v>3</v>
      </c>
      <c r="AJ95" s="37">
        <v>3</v>
      </c>
      <c r="AK95" s="37">
        <v>3</v>
      </c>
      <c r="AL95" s="37">
        <v>3</v>
      </c>
      <c r="AM95" s="37">
        <v>6</v>
      </c>
      <c r="AN95" s="37">
        <v>6</v>
      </c>
      <c r="AO95" s="37">
        <v>6</v>
      </c>
      <c r="AP95" s="37">
        <v>6</v>
      </c>
      <c r="AQ95" s="37">
        <v>6</v>
      </c>
      <c r="AR95" s="37">
        <v>6</v>
      </c>
      <c r="AS95" s="37">
        <v>6</v>
      </c>
      <c r="AT95" s="37">
        <v>6</v>
      </c>
    </row>
    <row r="96" spans="3:46" s="37" customFormat="1" x14ac:dyDescent="0.25"/>
    <row r="97" spans="3:46" s="37" customFormat="1" x14ac:dyDescent="0.25">
      <c r="C97" s="37" t="s">
        <v>21</v>
      </c>
      <c r="D97" s="37">
        <v>4</v>
      </c>
      <c r="E97" s="37">
        <v>4</v>
      </c>
      <c r="F97" s="37">
        <v>4</v>
      </c>
      <c r="G97" s="37">
        <v>4</v>
      </c>
      <c r="H97" s="37">
        <v>4</v>
      </c>
      <c r="I97" s="37">
        <v>3</v>
      </c>
      <c r="J97" s="37">
        <v>3</v>
      </c>
      <c r="K97" s="37">
        <v>3</v>
      </c>
      <c r="L97" s="37">
        <v>3</v>
      </c>
      <c r="M97" s="37">
        <v>3</v>
      </c>
      <c r="N97" s="37">
        <v>3</v>
      </c>
      <c r="O97" s="37">
        <v>3</v>
      </c>
      <c r="P97" s="37">
        <v>3</v>
      </c>
      <c r="Q97" s="37">
        <v>3</v>
      </c>
      <c r="R97" s="37">
        <v>3</v>
      </c>
      <c r="S97" s="37">
        <v>3</v>
      </c>
      <c r="T97" s="37">
        <v>3</v>
      </c>
      <c r="U97" s="37">
        <v>3</v>
      </c>
      <c r="V97" s="37">
        <v>3</v>
      </c>
      <c r="W97" s="37">
        <v>3</v>
      </c>
      <c r="X97" s="37">
        <v>3</v>
      </c>
      <c r="Z97" s="37">
        <v>4</v>
      </c>
      <c r="AA97" s="37">
        <v>4</v>
      </c>
      <c r="AB97" s="37">
        <v>4</v>
      </c>
      <c r="AC97" s="37">
        <v>4</v>
      </c>
      <c r="AD97" s="37">
        <v>4</v>
      </c>
      <c r="AE97" s="37">
        <v>4</v>
      </c>
      <c r="AF97" s="37">
        <v>4</v>
      </c>
      <c r="AG97" s="37">
        <v>3</v>
      </c>
      <c r="AH97" s="37">
        <v>3</v>
      </c>
      <c r="AI97" s="37">
        <v>3</v>
      </c>
      <c r="AJ97" s="37">
        <v>3</v>
      </c>
      <c r="AK97" s="37">
        <v>3</v>
      </c>
      <c r="AL97" s="37">
        <v>3</v>
      </c>
      <c r="AM97" s="37">
        <v>3</v>
      </c>
      <c r="AN97" s="37">
        <v>3</v>
      </c>
      <c r="AO97" s="37">
        <v>3</v>
      </c>
      <c r="AP97" s="37">
        <v>3</v>
      </c>
      <c r="AQ97" s="37">
        <v>3</v>
      </c>
      <c r="AR97" s="37">
        <v>3</v>
      </c>
      <c r="AS97" s="37">
        <v>3</v>
      </c>
      <c r="AT97" s="37">
        <v>3</v>
      </c>
    </row>
    <row r="98" spans="3:46" s="37" customFormat="1" x14ac:dyDescent="0.25"/>
    <row r="99" spans="3:46" s="37" customFormat="1" x14ac:dyDescent="0.25">
      <c r="C99" s="37" t="s">
        <v>20</v>
      </c>
      <c r="D99" s="37">
        <v>6</v>
      </c>
      <c r="E99" s="37">
        <v>6</v>
      </c>
      <c r="F99" s="37">
        <v>6</v>
      </c>
      <c r="G99" s="37">
        <v>6</v>
      </c>
      <c r="H99" s="37">
        <v>6</v>
      </c>
      <c r="I99" s="37">
        <v>5</v>
      </c>
      <c r="J99" s="37">
        <v>5</v>
      </c>
      <c r="K99" s="37">
        <v>3</v>
      </c>
      <c r="L99" s="37">
        <v>3</v>
      </c>
      <c r="M99" s="37">
        <v>3</v>
      </c>
      <c r="N99" s="37">
        <v>3</v>
      </c>
      <c r="O99" s="37">
        <v>2</v>
      </c>
      <c r="P99" s="37">
        <v>2</v>
      </c>
      <c r="Q99" s="37">
        <v>3</v>
      </c>
      <c r="R99" s="37">
        <v>3</v>
      </c>
      <c r="S99" s="37">
        <v>3</v>
      </c>
      <c r="T99" s="37">
        <v>4</v>
      </c>
      <c r="U99" s="37">
        <v>4</v>
      </c>
      <c r="V99" s="37">
        <v>4</v>
      </c>
      <c r="W99" s="37">
        <v>4</v>
      </c>
      <c r="X99" s="37">
        <v>4</v>
      </c>
      <c r="Z99" s="37">
        <v>6</v>
      </c>
      <c r="AA99" s="37">
        <v>6</v>
      </c>
      <c r="AB99" s="37">
        <v>6</v>
      </c>
      <c r="AC99" s="37">
        <v>6</v>
      </c>
      <c r="AD99" s="37">
        <v>6</v>
      </c>
      <c r="AE99" s="37">
        <v>6</v>
      </c>
      <c r="AF99" s="37">
        <v>6</v>
      </c>
      <c r="AG99" s="37">
        <v>3</v>
      </c>
      <c r="AH99" s="37">
        <v>3</v>
      </c>
      <c r="AI99" s="37">
        <v>3</v>
      </c>
      <c r="AJ99" s="37">
        <v>3</v>
      </c>
      <c r="AK99" s="37">
        <v>3</v>
      </c>
      <c r="AL99" s="37">
        <v>3</v>
      </c>
      <c r="AM99" s="37">
        <v>4</v>
      </c>
      <c r="AN99" s="37">
        <v>4</v>
      </c>
      <c r="AO99" s="37">
        <v>4</v>
      </c>
      <c r="AP99" s="37">
        <v>4</v>
      </c>
      <c r="AQ99" s="37">
        <v>4</v>
      </c>
      <c r="AR99" s="37">
        <v>4</v>
      </c>
      <c r="AS99" s="37">
        <v>4</v>
      </c>
      <c r="AT99" s="37">
        <v>4</v>
      </c>
    </row>
    <row r="100" spans="3:46" s="37" customFormat="1" x14ac:dyDescent="0.25"/>
    <row r="101" spans="3:46" s="37" customFormat="1" x14ac:dyDescent="0.25">
      <c r="C101" s="37" t="s">
        <v>21</v>
      </c>
      <c r="D101" s="37">
        <v>3</v>
      </c>
      <c r="E101" s="37">
        <v>3</v>
      </c>
      <c r="F101" s="37">
        <v>3</v>
      </c>
      <c r="G101" s="37">
        <v>3</v>
      </c>
      <c r="H101" s="37">
        <v>3</v>
      </c>
      <c r="I101" s="37">
        <v>3</v>
      </c>
      <c r="J101" s="37">
        <v>3</v>
      </c>
      <c r="K101" s="37">
        <v>3</v>
      </c>
      <c r="L101" s="37">
        <v>3</v>
      </c>
      <c r="M101" s="37">
        <v>3</v>
      </c>
      <c r="N101" s="37">
        <v>3</v>
      </c>
      <c r="O101" s="37">
        <v>3</v>
      </c>
      <c r="P101" s="37">
        <v>3</v>
      </c>
      <c r="Q101" s="37">
        <v>3</v>
      </c>
      <c r="R101" s="37">
        <v>3</v>
      </c>
      <c r="S101" s="37">
        <v>3</v>
      </c>
      <c r="T101" s="37">
        <v>3</v>
      </c>
      <c r="U101" s="37">
        <v>3</v>
      </c>
      <c r="V101" s="37">
        <v>3</v>
      </c>
      <c r="W101" s="37">
        <v>3</v>
      </c>
      <c r="X101" s="37">
        <v>3</v>
      </c>
      <c r="Z101" s="37">
        <v>3</v>
      </c>
      <c r="AA101" s="37">
        <v>3</v>
      </c>
      <c r="AB101" s="37">
        <v>3</v>
      </c>
      <c r="AC101" s="37">
        <v>3</v>
      </c>
      <c r="AD101" s="37">
        <v>3</v>
      </c>
      <c r="AE101" s="37">
        <v>3</v>
      </c>
      <c r="AF101" s="37">
        <v>3</v>
      </c>
      <c r="AG101" s="37">
        <v>3</v>
      </c>
      <c r="AH101" s="37">
        <v>3</v>
      </c>
      <c r="AI101" s="37">
        <v>3</v>
      </c>
      <c r="AJ101" s="37">
        <v>3</v>
      </c>
      <c r="AK101" s="37">
        <v>3</v>
      </c>
      <c r="AL101" s="37">
        <v>3</v>
      </c>
      <c r="AM101" s="37">
        <v>3</v>
      </c>
      <c r="AN101" s="37">
        <v>3</v>
      </c>
      <c r="AO101" s="37">
        <v>3</v>
      </c>
      <c r="AP101" s="37">
        <v>3</v>
      </c>
      <c r="AQ101" s="37">
        <v>3</v>
      </c>
      <c r="AR101" s="37">
        <v>3</v>
      </c>
      <c r="AS101" s="37">
        <v>3</v>
      </c>
      <c r="AT101" s="37">
        <v>3</v>
      </c>
    </row>
    <row r="102" spans="3:46" s="37" customFormat="1" x14ac:dyDescent="0.25"/>
    <row r="103" spans="3:46" s="37" customFormat="1" x14ac:dyDescent="0.25">
      <c r="C103" s="37" t="s">
        <v>20</v>
      </c>
      <c r="D103" s="37">
        <v>10</v>
      </c>
      <c r="E103" s="37">
        <v>10</v>
      </c>
      <c r="F103" s="37">
        <v>10</v>
      </c>
      <c r="G103" s="37">
        <v>10</v>
      </c>
      <c r="H103" s="37">
        <v>10</v>
      </c>
      <c r="I103" s="37">
        <v>10</v>
      </c>
      <c r="J103" s="37">
        <v>9</v>
      </c>
      <c r="K103" s="37">
        <v>4</v>
      </c>
      <c r="L103" s="37">
        <v>4</v>
      </c>
      <c r="M103" s="37">
        <v>4</v>
      </c>
      <c r="N103" s="37">
        <v>4</v>
      </c>
      <c r="O103" s="37">
        <v>3</v>
      </c>
      <c r="P103" s="37">
        <v>2</v>
      </c>
      <c r="Q103" s="37">
        <v>3</v>
      </c>
      <c r="R103" s="37">
        <v>3</v>
      </c>
      <c r="S103" s="37">
        <v>3</v>
      </c>
      <c r="T103" s="37">
        <v>4</v>
      </c>
      <c r="U103" s="37">
        <v>4</v>
      </c>
      <c r="V103" s="37">
        <v>4</v>
      </c>
      <c r="W103" s="37">
        <v>4</v>
      </c>
      <c r="X103" s="37">
        <v>4</v>
      </c>
      <c r="Z103" s="37">
        <v>10</v>
      </c>
      <c r="AA103" s="37">
        <v>10</v>
      </c>
      <c r="AB103" s="37">
        <v>10</v>
      </c>
      <c r="AC103" s="37">
        <v>10</v>
      </c>
      <c r="AD103" s="37">
        <v>10</v>
      </c>
      <c r="AE103" s="37">
        <v>10</v>
      </c>
      <c r="AF103" s="37">
        <v>10</v>
      </c>
      <c r="AG103" s="37">
        <v>4</v>
      </c>
      <c r="AH103" s="37">
        <v>4</v>
      </c>
      <c r="AI103" s="37">
        <v>4</v>
      </c>
      <c r="AJ103" s="37">
        <v>4</v>
      </c>
      <c r="AK103" s="37">
        <v>4</v>
      </c>
      <c r="AL103" s="37">
        <v>4</v>
      </c>
      <c r="AM103" s="37">
        <v>4</v>
      </c>
      <c r="AN103" s="37">
        <v>4</v>
      </c>
      <c r="AO103" s="37">
        <v>4</v>
      </c>
      <c r="AP103" s="37">
        <v>4</v>
      </c>
      <c r="AQ103" s="37">
        <v>4</v>
      </c>
      <c r="AR103" s="37">
        <v>4</v>
      </c>
      <c r="AS103" s="37">
        <v>4</v>
      </c>
      <c r="AT103" s="37">
        <v>4</v>
      </c>
    </row>
    <row r="104" spans="3:46" s="37" customFormat="1" x14ac:dyDescent="0.25"/>
    <row r="105" spans="3:46" s="37" customFormat="1" x14ac:dyDescent="0.25">
      <c r="C105" s="37" t="s">
        <v>21</v>
      </c>
      <c r="D105" s="37">
        <v>5</v>
      </c>
      <c r="E105" s="37">
        <v>5</v>
      </c>
      <c r="F105" s="37">
        <v>5</v>
      </c>
      <c r="G105" s="37">
        <v>5</v>
      </c>
      <c r="H105" s="37">
        <v>5</v>
      </c>
      <c r="I105" s="37">
        <v>5</v>
      </c>
      <c r="J105" s="37">
        <v>4</v>
      </c>
      <c r="K105" s="37">
        <v>4</v>
      </c>
      <c r="L105" s="37">
        <v>4</v>
      </c>
      <c r="M105" s="37">
        <v>4</v>
      </c>
      <c r="N105" s="37">
        <v>4</v>
      </c>
      <c r="O105" s="37">
        <v>4</v>
      </c>
      <c r="P105" s="37">
        <v>4</v>
      </c>
      <c r="Q105" s="37">
        <v>4</v>
      </c>
      <c r="R105" s="37">
        <v>4</v>
      </c>
      <c r="S105" s="37">
        <v>5</v>
      </c>
      <c r="T105" s="37">
        <v>5</v>
      </c>
      <c r="U105" s="37">
        <v>6</v>
      </c>
      <c r="V105" s="37">
        <v>6</v>
      </c>
      <c r="W105" s="37">
        <v>6</v>
      </c>
      <c r="X105" s="37">
        <v>6</v>
      </c>
      <c r="Z105" s="37">
        <v>5</v>
      </c>
      <c r="AA105" s="37">
        <v>5</v>
      </c>
      <c r="AB105" s="37">
        <v>5</v>
      </c>
      <c r="AC105" s="37">
        <v>5</v>
      </c>
      <c r="AD105" s="37">
        <v>5</v>
      </c>
      <c r="AE105" s="37">
        <v>5</v>
      </c>
      <c r="AF105" s="37">
        <v>5</v>
      </c>
      <c r="AG105" s="37">
        <v>4</v>
      </c>
      <c r="AH105" s="37">
        <v>4</v>
      </c>
      <c r="AI105" s="37">
        <v>4</v>
      </c>
      <c r="AJ105" s="37">
        <v>4</v>
      </c>
      <c r="AK105" s="37">
        <v>4</v>
      </c>
      <c r="AL105" s="37">
        <v>4</v>
      </c>
      <c r="AM105" s="37">
        <v>6</v>
      </c>
      <c r="AN105" s="37">
        <v>6</v>
      </c>
      <c r="AO105" s="37">
        <v>6</v>
      </c>
      <c r="AP105" s="37">
        <v>6</v>
      </c>
      <c r="AQ105" s="37">
        <v>6</v>
      </c>
      <c r="AR105" s="37">
        <v>6</v>
      </c>
      <c r="AS105" s="37">
        <v>6</v>
      </c>
      <c r="AT105" s="37">
        <v>6</v>
      </c>
    </row>
    <row r="106" spans="3:46" s="37" customFormat="1" x14ac:dyDescent="0.25"/>
    <row r="107" spans="3:46" s="37" customFormat="1" x14ac:dyDescent="0.25">
      <c r="C107" s="37" t="s">
        <v>20</v>
      </c>
      <c r="D107" s="37">
        <v>5</v>
      </c>
      <c r="E107" s="37">
        <v>5</v>
      </c>
      <c r="F107" s="37">
        <v>5</v>
      </c>
      <c r="G107" s="37">
        <v>5</v>
      </c>
      <c r="H107" s="37">
        <v>5</v>
      </c>
      <c r="I107" s="37">
        <v>5</v>
      </c>
      <c r="J107" s="37">
        <v>4</v>
      </c>
      <c r="K107" s="37">
        <v>3</v>
      </c>
      <c r="L107" s="37">
        <v>3</v>
      </c>
      <c r="M107" s="37">
        <v>3</v>
      </c>
      <c r="N107" s="37">
        <v>2</v>
      </c>
      <c r="O107" s="37">
        <v>2</v>
      </c>
      <c r="P107" s="37">
        <v>2</v>
      </c>
      <c r="Q107" s="37">
        <v>3</v>
      </c>
      <c r="R107" s="37">
        <v>3</v>
      </c>
      <c r="S107" s="37">
        <v>3</v>
      </c>
      <c r="T107" s="37">
        <v>4</v>
      </c>
      <c r="U107" s="37">
        <v>4</v>
      </c>
      <c r="V107" s="37">
        <v>4</v>
      </c>
      <c r="W107" s="37">
        <v>4</v>
      </c>
      <c r="X107" s="37">
        <v>4</v>
      </c>
      <c r="Z107" s="37">
        <v>5</v>
      </c>
      <c r="AA107" s="37">
        <v>5</v>
      </c>
      <c r="AB107" s="37">
        <v>5</v>
      </c>
      <c r="AC107" s="37">
        <v>5</v>
      </c>
      <c r="AD107" s="37">
        <v>5</v>
      </c>
      <c r="AE107" s="37">
        <v>5</v>
      </c>
      <c r="AF107" s="37">
        <v>5</v>
      </c>
      <c r="AG107" s="37">
        <v>3</v>
      </c>
      <c r="AH107" s="37">
        <v>3</v>
      </c>
      <c r="AI107" s="37">
        <v>3</v>
      </c>
      <c r="AJ107" s="37">
        <v>3</v>
      </c>
      <c r="AK107" s="37">
        <v>3</v>
      </c>
      <c r="AL107" s="37">
        <v>3</v>
      </c>
      <c r="AM107" s="37">
        <v>4</v>
      </c>
      <c r="AN107" s="37">
        <v>4</v>
      </c>
      <c r="AO107" s="37">
        <v>4</v>
      </c>
      <c r="AP107" s="37">
        <v>4</v>
      </c>
      <c r="AQ107" s="37">
        <v>4</v>
      </c>
      <c r="AR107" s="37">
        <v>4</v>
      </c>
      <c r="AS107" s="37">
        <v>4</v>
      </c>
      <c r="AT107" s="37">
        <v>4</v>
      </c>
    </row>
    <row r="108" spans="3:46" s="37" customFormat="1" x14ac:dyDescent="0.25"/>
    <row r="109" spans="3:46" s="37" customFormat="1" x14ac:dyDescent="0.25">
      <c r="C109" s="37" t="s">
        <v>21</v>
      </c>
      <c r="D109" s="37">
        <v>3</v>
      </c>
      <c r="E109" s="37">
        <v>3</v>
      </c>
      <c r="F109" s="37">
        <v>3</v>
      </c>
      <c r="G109" s="37">
        <v>3</v>
      </c>
      <c r="H109" s="37">
        <v>3</v>
      </c>
      <c r="I109" s="37">
        <v>3</v>
      </c>
      <c r="J109" s="37">
        <v>3</v>
      </c>
      <c r="K109" s="37">
        <v>3</v>
      </c>
      <c r="L109" s="37">
        <v>3</v>
      </c>
      <c r="M109" s="37">
        <v>3</v>
      </c>
      <c r="N109" s="37">
        <v>3</v>
      </c>
      <c r="O109" s="37">
        <v>3</v>
      </c>
      <c r="P109" s="37">
        <v>3</v>
      </c>
      <c r="Q109" s="37">
        <v>3</v>
      </c>
      <c r="R109" s="37">
        <v>3</v>
      </c>
      <c r="S109" s="37">
        <v>3</v>
      </c>
      <c r="T109" s="37">
        <v>3</v>
      </c>
      <c r="U109" s="37">
        <v>3</v>
      </c>
      <c r="V109" s="37">
        <v>3</v>
      </c>
      <c r="W109" s="37">
        <v>3</v>
      </c>
      <c r="X109" s="37">
        <v>3</v>
      </c>
      <c r="Z109" s="37">
        <v>3</v>
      </c>
      <c r="AA109" s="37">
        <v>3</v>
      </c>
      <c r="AB109" s="37">
        <v>3</v>
      </c>
      <c r="AC109" s="37">
        <v>3</v>
      </c>
      <c r="AD109" s="37">
        <v>3</v>
      </c>
      <c r="AE109" s="37">
        <v>3</v>
      </c>
      <c r="AF109" s="37">
        <v>3</v>
      </c>
      <c r="AG109" s="37">
        <v>3</v>
      </c>
      <c r="AH109" s="37">
        <v>3</v>
      </c>
      <c r="AI109" s="37">
        <v>3</v>
      </c>
      <c r="AJ109" s="37">
        <v>3</v>
      </c>
      <c r="AK109" s="37">
        <v>3</v>
      </c>
      <c r="AL109" s="37">
        <v>3</v>
      </c>
      <c r="AM109" s="37">
        <v>3</v>
      </c>
      <c r="AN109" s="37">
        <v>3</v>
      </c>
      <c r="AO109" s="37">
        <v>3</v>
      </c>
      <c r="AP109" s="37">
        <v>3</v>
      </c>
      <c r="AQ109" s="37">
        <v>3</v>
      </c>
      <c r="AR109" s="37">
        <v>3</v>
      </c>
      <c r="AS109" s="37">
        <v>3</v>
      </c>
      <c r="AT109" s="37">
        <v>3</v>
      </c>
    </row>
    <row r="110" spans="3:46" s="37" customFormat="1" x14ac:dyDescent="0.25"/>
    <row r="111" spans="3:46" s="37" customFormat="1" x14ac:dyDescent="0.25">
      <c r="C111" s="37" t="s">
        <v>20</v>
      </c>
      <c r="D111" s="37">
        <v>6</v>
      </c>
      <c r="E111" s="37">
        <v>6</v>
      </c>
      <c r="F111" s="37">
        <v>6</v>
      </c>
      <c r="G111" s="37">
        <v>6</v>
      </c>
      <c r="H111" s="37">
        <v>6</v>
      </c>
      <c r="I111" s="37">
        <v>6</v>
      </c>
      <c r="J111" s="37">
        <v>5</v>
      </c>
      <c r="K111" s="37">
        <v>3</v>
      </c>
      <c r="L111" s="37">
        <v>3</v>
      </c>
      <c r="M111" s="37">
        <v>3</v>
      </c>
      <c r="N111" s="37">
        <v>3</v>
      </c>
      <c r="O111" s="37">
        <v>2</v>
      </c>
      <c r="P111" s="37">
        <v>2</v>
      </c>
      <c r="Q111" s="37">
        <v>3</v>
      </c>
      <c r="R111" s="37">
        <v>3</v>
      </c>
      <c r="S111" s="37">
        <v>3</v>
      </c>
      <c r="T111" s="37">
        <v>4</v>
      </c>
      <c r="U111" s="37">
        <v>4</v>
      </c>
      <c r="V111" s="37">
        <v>4</v>
      </c>
      <c r="W111" s="37">
        <v>4</v>
      </c>
      <c r="X111" s="37">
        <v>4</v>
      </c>
      <c r="Z111" s="37">
        <v>6</v>
      </c>
      <c r="AA111" s="37">
        <v>6</v>
      </c>
      <c r="AB111" s="37">
        <v>6</v>
      </c>
      <c r="AC111" s="37">
        <v>6</v>
      </c>
      <c r="AD111" s="37">
        <v>6</v>
      </c>
      <c r="AE111" s="37">
        <v>6</v>
      </c>
      <c r="AF111" s="37">
        <v>6</v>
      </c>
      <c r="AG111" s="37">
        <v>3</v>
      </c>
      <c r="AH111" s="37">
        <v>3</v>
      </c>
      <c r="AI111" s="37">
        <v>3</v>
      </c>
      <c r="AJ111" s="37">
        <v>3</v>
      </c>
      <c r="AK111" s="37">
        <v>3</v>
      </c>
      <c r="AL111" s="37">
        <v>3</v>
      </c>
      <c r="AM111" s="37">
        <v>4</v>
      </c>
      <c r="AN111" s="37">
        <v>4</v>
      </c>
      <c r="AO111" s="37">
        <v>4</v>
      </c>
      <c r="AP111" s="37">
        <v>4</v>
      </c>
      <c r="AQ111" s="37">
        <v>4</v>
      </c>
      <c r="AR111" s="37">
        <v>4</v>
      </c>
      <c r="AS111" s="37">
        <v>4</v>
      </c>
      <c r="AT111" s="37">
        <v>4</v>
      </c>
    </row>
    <row r="112" spans="3:46" s="37" customFormat="1" x14ac:dyDescent="0.25"/>
    <row r="113" spans="3:46" s="37" customFormat="1" x14ac:dyDescent="0.25">
      <c r="C113" s="37" t="s">
        <v>21</v>
      </c>
      <c r="D113" s="37">
        <v>3</v>
      </c>
      <c r="E113" s="37">
        <v>3</v>
      </c>
      <c r="F113" s="37">
        <v>3</v>
      </c>
      <c r="G113" s="37">
        <v>3</v>
      </c>
      <c r="H113" s="37">
        <v>3</v>
      </c>
      <c r="I113" s="37">
        <v>3</v>
      </c>
      <c r="J113" s="37">
        <v>3</v>
      </c>
      <c r="K113" s="37">
        <v>3</v>
      </c>
      <c r="L113" s="37">
        <v>3</v>
      </c>
      <c r="M113" s="37">
        <v>3</v>
      </c>
      <c r="N113" s="37">
        <v>3</v>
      </c>
      <c r="O113" s="37">
        <v>3</v>
      </c>
      <c r="P113" s="37">
        <v>3</v>
      </c>
      <c r="Q113" s="37">
        <v>3</v>
      </c>
      <c r="R113" s="37">
        <v>3</v>
      </c>
      <c r="S113" s="37">
        <v>3</v>
      </c>
      <c r="T113" s="37">
        <v>3</v>
      </c>
      <c r="U113" s="37">
        <v>3</v>
      </c>
      <c r="V113" s="37">
        <v>3</v>
      </c>
      <c r="W113" s="37">
        <v>3</v>
      </c>
      <c r="X113" s="37">
        <v>3</v>
      </c>
      <c r="Z113" s="37">
        <v>3</v>
      </c>
      <c r="AA113" s="37">
        <v>3</v>
      </c>
      <c r="AB113" s="37">
        <v>3</v>
      </c>
      <c r="AC113" s="37">
        <v>3</v>
      </c>
      <c r="AD113" s="37">
        <v>3</v>
      </c>
      <c r="AE113" s="37">
        <v>3</v>
      </c>
      <c r="AF113" s="37">
        <v>3</v>
      </c>
      <c r="AG113" s="37">
        <v>3</v>
      </c>
      <c r="AH113" s="37">
        <v>3</v>
      </c>
      <c r="AI113" s="37">
        <v>3</v>
      </c>
      <c r="AJ113" s="37">
        <v>3</v>
      </c>
      <c r="AK113" s="37">
        <v>3</v>
      </c>
      <c r="AL113" s="37">
        <v>3</v>
      </c>
      <c r="AM113" s="37">
        <v>3</v>
      </c>
      <c r="AN113" s="37">
        <v>3</v>
      </c>
      <c r="AO113" s="37">
        <v>3</v>
      </c>
      <c r="AP113" s="37">
        <v>3</v>
      </c>
      <c r="AQ113" s="37">
        <v>3</v>
      </c>
      <c r="AR113" s="37">
        <v>3</v>
      </c>
      <c r="AS113" s="37">
        <v>3</v>
      </c>
      <c r="AT113" s="37">
        <v>3</v>
      </c>
    </row>
    <row r="114" spans="3:46" s="37" customFormat="1" x14ac:dyDescent="0.25"/>
    <row r="115" spans="3:46" s="37" customFormat="1" x14ac:dyDescent="0.25">
      <c r="C115" s="37" t="s">
        <v>20</v>
      </c>
      <c r="D115" s="37">
        <v>6</v>
      </c>
      <c r="E115" s="37">
        <v>6</v>
      </c>
      <c r="F115" s="37">
        <v>6</v>
      </c>
      <c r="G115" s="37">
        <v>6</v>
      </c>
      <c r="H115" s="37">
        <v>5</v>
      </c>
      <c r="I115" s="37">
        <v>5</v>
      </c>
      <c r="J115" s="37">
        <v>4</v>
      </c>
      <c r="K115" s="37">
        <v>4</v>
      </c>
      <c r="L115" s="37">
        <v>3</v>
      </c>
      <c r="M115" s="37">
        <v>3</v>
      </c>
      <c r="N115" s="37">
        <v>2</v>
      </c>
      <c r="O115" s="37">
        <v>4</v>
      </c>
      <c r="P115" s="37">
        <v>4</v>
      </c>
      <c r="Q115" s="37">
        <v>6</v>
      </c>
      <c r="R115" s="37">
        <v>7</v>
      </c>
      <c r="S115" s="37">
        <v>8</v>
      </c>
      <c r="T115" s="37">
        <v>9</v>
      </c>
      <c r="U115" s="37">
        <v>10</v>
      </c>
      <c r="V115" s="37">
        <v>10</v>
      </c>
      <c r="W115" s="37">
        <v>10</v>
      </c>
      <c r="X115" s="37">
        <v>10</v>
      </c>
      <c r="Z115" s="37">
        <v>6</v>
      </c>
      <c r="AA115" s="37">
        <v>6</v>
      </c>
      <c r="AB115" s="37">
        <v>6</v>
      </c>
      <c r="AC115" s="37">
        <v>6</v>
      </c>
      <c r="AD115" s="37">
        <v>6</v>
      </c>
      <c r="AE115" s="37">
        <v>6</v>
      </c>
      <c r="AF115" s="37">
        <v>6</v>
      </c>
      <c r="AG115" s="37">
        <v>4</v>
      </c>
      <c r="AH115" s="37">
        <v>4</v>
      </c>
      <c r="AI115" s="37">
        <v>4</v>
      </c>
      <c r="AJ115" s="37">
        <v>4</v>
      </c>
      <c r="AK115" s="37">
        <v>4</v>
      </c>
      <c r="AL115" s="37">
        <v>4</v>
      </c>
      <c r="AM115" s="37">
        <v>10</v>
      </c>
      <c r="AN115" s="37">
        <v>10</v>
      </c>
      <c r="AO115" s="37">
        <v>10</v>
      </c>
      <c r="AP115" s="37">
        <v>10</v>
      </c>
      <c r="AQ115" s="37">
        <v>10</v>
      </c>
      <c r="AR115" s="37">
        <v>10</v>
      </c>
      <c r="AS115" s="37">
        <v>10</v>
      </c>
      <c r="AT115" s="37">
        <v>10</v>
      </c>
    </row>
    <row r="116" spans="3:46" s="37" customFormat="1" x14ac:dyDescent="0.25"/>
    <row r="117" spans="3:46" s="37" customFormat="1" x14ac:dyDescent="0.25">
      <c r="C117" s="37" t="s">
        <v>21</v>
      </c>
      <c r="D117" s="37">
        <v>4</v>
      </c>
      <c r="E117" s="37">
        <v>4</v>
      </c>
      <c r="F117" s="37">
        <v>4</v>
      </c>
      <c r="G117" s="37">
        <v>4</v>
      </c>
      <c r="H117" s="37">
        <v>4</v>
      </c>
      <c r="I117" s="37">
        <v>5</v>
      </c>
      <c r="J117" s="37">
        <v>5</v>
      </c>
      <c r="K117" s="37">
        <v>5</v>
      </c>
      <c r="L117" s="37">
        <v>5</v>
      </c>
      <c r="M117" s="37">
        <v>5</v>
      </c>
      <c r="N117" s="37">
        <v>5</v>
      </c>
      <c r="O117" s="37">
        <v>5</v>
      </c>
      <c r="P117" s="37">
        <v>5</v>
      </c>
      <c r="Q117" s="37">
        <v>5</v>
      </c>
      <c r="R117" s="37">
        <v>5</v>
      </c>
      <c r="S117" s="37">
        <v>5</v>
      </c>
      <c r="T117" s="37">
        <v>5</v>
      </c>
      <c r="U117" s="37">
        <v>5</v>
      </c>
      <c r="V117" s="37">
        <v>5</v>
      </c>
      <c r="W117" s="37">
        <v>5</v>
      </c>
      <c r="X117" s="37">
        <v>5</v>
      </c>
      <c r="Z117" s="37">
        <v>4</v>
      </c>
      <c r="AA117" s="37">
        <v>4</v>
      </c>
      <c r="AB117" s="37">
        <v>4</v>
      </c>
      <c r="AC117" s="37">
        <v>4</v>
      </c>
      <c r="AD117" s="37">
        <v>5</v>
      </c>
      <c r="AE117" s="37">
        <v>5</v>
      </c>
      <c r="AF117" s="37">
        <v>5</v>
      </c>
      <c r="AG117" s="37">
        <v>5</v>
      </c>
      <c r="AH117" s="37">
        <v>5</v>
      </c>
      <c r="AI117" s="37">
        <v>5</v>
      </c>
      <c r="AJ117" s="37">
        <v>5</v>
      </c>
      <c r="AK117" s="37">
        <v>5</v>
      </c>
      <c r="AL117" s="37">
        <v>5</v>
      </c>
      <c r="AM117" s="37">
        <v>5</v>
      </c>
      <c r="AN117" s="37">
        <v>5</v>
      </c>
      <c r="AO117" s="37">
        <v>5</v>
      </c>
      <c r="AP117" s="37">
        <v>5</v>
      </c>
      <c r="AQ117" s="37">
        <v>5</v>
      </c>
      <c r="AR117" s="37">
        <v>5</v>
      </c>
      <c r="AS117" s="37">
        <v>5</v>
      </c>
      <c r="AT117" s="37">
        <v>5</v>
      </c>
    </row>
    <row r="118" spans="3:46" s="37" customFormat="1" x14ac:dyDescent="0.25"/>
    <row r="119" spans="3:46" s="37" customFormat="1" x14ac:dyDescent="0.25">
      <c r="C119" s="37" t="s">
        <v>20</v>
      </c>
      <c r="D119" s="37">
        <v>4</v>
      </c>
      <c r="E119" s="37">
        <v>4</v>
      </c>
      <c r="F119" s="37">
        <v>4</v>
      </c>
      <c r="G119" s="37">
        <v>4</v>
      </c>
      <c r="H119" s="37">
        <v>4</v>
      </c>
      <c r="I119" s="37">
        <v>4</v>
      </c>
      <c r="J119" s="37">
        <v>4</v>
      </c>
      <c r="K119" s="37">
        <v>3</v>
      </c>
      <c r="L119" s="37">
        <v>3</v>
      </c>
      <c r="M119" s="37">
        <v>3</v>
      </c>
      <c r="N119" s="37">
        <v>2</v>
      </c>
      <c r="O119" s="37">
        <v>2</v>
      </c>
      <c r="P119" s="37">
        <v>3</v>
      </c>
      <c r="Q119" s="37">
        <v>3</v>
      </c>
      <c r="R119" s="37">
        <v>3</v>
      </c>
      <c r="S119" s="37">
        <v>4</v>
      </c>
      <c r="T119" s="37">
        <v>4</v>
      </c>
      <c r="U119" s="37">
        <v>4</v>
      </c>
      <c r="V119" s="37">
        <v>4</v>
      </c>
      <c r="W119" s="37">
        <v>4</v>
      </c>
      <c r="X119" s="37">
        <v>4</v>
      </c>
      <c r="Z119" s="37">
        <v>4</v>
      </c>
      <c r="AA119" s="37">
        <v>4</v>
      </c>
      <c r="AB119" s="37">
        <v>4</v>
      </c>
      <c r="AC119" s="37">
        <v>4</v>
      </c>
      <c r="AD119" s="37">
        <v>4</v>
      </c>
      <c r="AE119" s="37">
        <v>4</v>
      </c>
      <c r="AF119" s="37">
        <v>4</v>
      </c>
      <c r="AG119" s="37">
        <v>3</v>
      </c>
      <c r="AH119" s="37">
        <v>3</v>
      </c>
      <c r="AI119" s="37">
        <v>3</v>
      </c>
      <c r="AJ119" s="37">
        <v>3</v>
      </c>
      <c r="AK119" s="37">
        <v>3</v>
      </c>
      <c r="AL119" s="37">
        <v>3</v>
      </c>
      <c r="AM119" s="37">
        <v>4</v>
      </c>
      <c r="AN119" s="37">
        <v>4</v>
      </c>
      <c r="AO119" s="37">
        <v>4</v>
      </c>
      <c r="AP119" s="37">
        <v>4</v>
      </c>
      <c r="AQ119" s="37">
        <v>4</v>
      </c>
      <c r="AR119" s="37">
        <v>4</v>
      </c>
      <c r="AS119" s="37">
        <v>4</v>
      </c>
      <c r="AT119" s="37">
        <v>4</v>
      </c>
    </row>
    <row r="120" spans="3:46" s="37" customFormat="1" x14ac:dyDescent="0.25"/>
    <row r="121" spans="3:46" s="37" customFormat="1" x14ac:dyDescent="0.25">
      <c r="C121" s="37" t="s">
        <v>21</v>
      </c>
      <c r="D121" s="37">
        <v>3</v>
      </c>
      <c r="E121" s="37">
        <v>3</v>
      </c>
      <c r="F121" s="37">
        <v>3</v>
      </c>
      <c r="G121" s="37">
        <v>3</v>
      </c>
      <c r="H121" s="37">
        <v>3</v>
      </c>
      <c r="I121" s="37">
        <v>3</v>
      </c>
      <c r="J121" s="37">
        <v>3</v>
      </c>
      <c r="K121" s="37">
        <v>3</v>
      </c>
      <c r="L121" s="37">
        <v>3</v>
      </c>
      <c r="M121" s="37">
        <v>3</v>
      </c>
      <c r="N121" s="37">
        <v>3</v>
      </c>
      <c r="O121" s="37">
        <v>3</v>
      </c>
      <c r="P121" s="37">
        <v>3</v>
      </c>
      <c r="Q121" s="37">
        <v>3</v>
      </c>
      <c r="R121" s="37">
        <v>3</v>
      </c>
      <c r="S121" s="37">
        <v>3</v>
      </c>
      <c r="T121" s="37">
        <v>3</v>
      </c>
      <c r="U121" s="37">
        <v>3</v>
      </c>
      <c r="V121" s="37">
        <v>3</v>
      </c>
      <c r="W121" s="37">
        <v>3</v>
      </c>
      <c r="X121" s="37">
        <v>3</v>
      </c>
      <c r="Z121" s="37">
        <v>3</v>
      </c>
      <c r="AA121" s="37">
        <v>3</v>
      </c>
      <c r="AB121" s="37">
        <v>3</v>
      </c>
      <c r="AC121" s="37">
        <v>3</v>
      </c>
      <c r="AD121" s="37">
        <v>3</v>
      </c>
      <c r="AE121" s="37">
        <v>3</v>
      </c>
      <c r="AF121" s="37">
        <v>3</v>
      </c>
      <c r="AG121" s="37">
        <v>3</v>
      </c>
      <c r="AH121" s="37">
        <v>3</v>
      </c>
      <c r="AI121" s="37">
        <v>3</v>
      </c>
      <c r="AJ121" s="37">
        <v>3</v>
      </c>
      <c r="AK121" s="37">
        <v>3</v>
      </c>
      <c r="AL121" s="37">
        <v>3</v>
      </c>
      <c r="AM121" s="37">
        <v>3</v>
      </c>
      <c r="AN121" s="37">
        <v>3</v>
      </c>
      <c r="AO121" s="37">
        <v>3</v>
      </c>
      <c r="AP121" s="37">
        <v>3</v>
      </c>
      <c r="AQ121" s="37">
        <v>3</v>
      </c>
      <c r="AR121" s="37">
        <v>3</v>
      </c>
      <c r="AS121" s="37">
        <v>3</v>
      </c>
      <c r="AT121" s="37">
        <v>3</v>
      </c>
    </row>
    <row r="122" spans="3:46" s="37" customFormat="1" x14ac:dyDescent="0.25"/>
    <row r="123" spans="3:46" s="37" customFormat="1" x14ac:dyDescent="0.25">
      <c r="C123" s="37" t="s">
        <v>20</v>
      </c>
      <c r="D123" s="37">
        <v>4</v>
      </c>
      <c r="E123" s="37">
        <v>4</v>
      </c>
      <c r="F123" s="37">
        <v>4</v>
      </c>
      <c r="G123" s="37">
        <v>4</v>
      </c>
      <c r="H123" s="37">
        <v>4</v>
      </c>
      <c r="I123" s="37">
        <v>4</v>
      </c>
      <c r="J123" s="37">
        <v>4</v>
      </c>
      <c r="K123" s="37">
        <v>3</v>
      </c>
      <c r="L123" s="37">
        <v>3</v>
      </c>
      <c r="M123" s="37">
        <v>4</v>
      </c>
      <c r="N123" s="37">
        <v>4</v>
      </c>
      <c r="O123" s="37">
        <v>4</v>
      </c>
      <c r="P123" s="37">
        <v>4</v>
      </c>
      <c r="Q123" s="37">
        <v>7</v>
      </c>
      <c r="R123" s="37">
        <v>8</v>
      </c>
      <c r="S123" s="37">
        <v>9</v>
      </c>
      <c r="T123" s="37">
        <v>9</v>
      </c>
      <c r="U123" s="37">
        <v>9</v>
      </c>
      <c r="V123" s="37">
        <v>9</v>
      </c>
      <c r="W123" s="37">
        <v>9</v>
      </c>
      <c r="X123" s="37">
        <v>9</v>
      </c>
      <c r="Z123" s="37">
        <v>4</v>
      </c>
      <c r="AA123" s="37">
        <v>4</v>
      </c>
      <c r="AB123" s="37">
        <v>4</v>
      </c>
      <c r="AC123" s="37">
        <v>4</v>
      </c>
      <c r="AD123" s="37">
        <v>4</v>
      </c>
      <c r="AE123" s="37">
        <v>4</v>
      </c>
      <c r="AF123" s="37">
        <v>4</v>
      </c>
      <c r="AG123" s="37">
        <v>4</v>
      </c>
      <c r="AH123" s="37">
        <v>4</v>
      </c>
      <c r="AI123" s="37">
        <v>4</v>
      </c>
      <c r="AJ123" s="37">
        <v>4</v>
      </c>
      <c r="AK123" s="37">
        <v>4</v>
      </c>
      <c r="AL123" s="37">
        <v>4</v>
      </c>
      <c r="AM123" s="37">
        <v>9</v>
      </c>
      <c r="AN123" s="37">
        <v>9</v>
      </c>
      <c r="AO123" s="37">
        <v>9</v>
      </c>
      <c r="AP123" s="37">
        <v>9</v>
      </c>
      <c r="AQ123" s="37">
        <v>9</v>
      </c>
      <c r="AR123" s="37">
        <v>9</v>
      </c>
      <c r="AS123" s="37">
        <v>9</v>
      </c>
      <c r="AT123" s="37">
        <v>9</v>
      </c>
    </row>
    <row r="124" spans="3:46" s="37" customFormat="1" x14ac:dyDescent="0.25"/>
    <row r="125" spans="3:46" s="37" customFormat="1" x14ac:dyDescent="0.25">
      <c r="C125" s="37" t="s">
        <v>21</v>
      </c>
      <c r="D125" s="37">
        <v>4</v>
      </c>
      <c r="E125" s="37">
        <v>4</v>
      </c>
      <c r="F125" s="37">
        <v>4</v>
      </c>
      <c r="G125" s="37">
        <v>4</v>
      </c>
      <c r="H125" s="37">
        <v>4</v>
      </c>
      <c r="I125" s="37">
        <v>4</v>
      </c>
      <c r="J125" s="37">
        <v>4</v>
      </c>
      <c r="K125" s="37">
        <v>4</v>
      </c>
      <c r="L125" s="37">
        <v>4</v>
      </c>
      <c r="M125" s="37">
        <v>4</v>
      </c>
      <c r="N125" s="37">
        <v>4</v>
      </c>
      <c r="O125" s="37">
        <v>4</v>
      </c>
      <c r="P125" s="37">
        <v>4</v>
      </c>
      <c r="Q125" s="37">
        <v>4</v>
      </c>
      <c r="R125" s="37">
        <v>4</v>
      </c>
      <c r="S125" s="37">
        <v>4</v>
      </c>
      <c r="T125" s="37">
        <v>5</v>
      </c>
      <c r="U125" s="37">
        <v>5</v>
      </c>
      <c r="V125" s="37">
        <v>5</v>
      </c>
      <c r="W125" s="37">
        <v>5</v>
      </c>
      <c r="X125" s="37">
        <v>5</v>
      </c>
      <c r="Z125" s="37">
        <v>4</v>
      </c>
      <c r="AA125" s="37">
        <v>4</v>
      </c>
      <c r="AB125" s="37">
        <v>4</v>
      </c>
      <c r="AC125" s="37">
        <v>4</v>
      </c>
      <c r="AD125" s="37">
        <v>4</v>
      </c>
      <c r="AE125" s="37">
        <v>4</v>
      </c>
      <c r="AF125" s="37">
        <v>4</v>
      </c>
      <c r="AG125" s="37">
        <v>4</v>
      </c>
      <c r="AH125" s="37">
        <v>4</v>
      </c>
      <c r="AI125" s="37">
        <v>4</v>
      </c>
      <c r="AJ125" s="37">
        <v>4</v>
      </c>
      <c r="AK125" s="37">
        <v>4</v>
      </c>
      <c r="AL125" s="37">
        <v>4</v>
      </c>
      <c r="AM125" s="37">
        <v>5</v>
      </c>
      <c r="AN125" s="37">
        <v>5</v>
      </c>
      <c r="AO125" s="37">
        <v>5</v>
      </c>
      <c r="AP125" s="37">
        <v>5</v>
      </c>
      <c r="AQ125" s="37">
        <v>5</v>
      </c>
      <c r="AR125" s="37">
        <v>5</v>
      </c>
      <c r="AS125" s="37">
        <v>5</v>
      </c>
      <c r="AT125" s="37">
        <v>5</v>
      </c>
    </row>
    <row r="126" spans="3:46" s="37" customFormat="1" x14ac:dyDescent="0.25"/>
    <row r="127" spans="3:46" s="37" customFormat="1" x14ac:dyDescent="0.25">
      <c r="C127" s="37" t="s">
        <v>20</v>
      </c>
      <c r="D127" s="37">
        <v>4</v>
      </c>
      <c r="E127" s="37">
        <v>4</v>
      </c>
      <c r="F127" s="37">
        <v>4</v>
      </c>
      <c r="G127" s="37">
        <v>4</v>
      </c>
      <c r="H127" s="37">
        <v>4</v>
      </c>
      <c r="I127" s="37">
        <v>4</v>
      </c>
      <c r="J127" s="37">
        <v>4</v>
      </c>
      <c r="K127" s="37">
        <v>3</v>
      </c>
      <c r="L127" s="37">
        <v>3</v>
      </c>
      <c r="M127" s="37">
        <v>3</v>
      </c>
      <c r="N127" s="37">
        <v>2</v>
      </c>
      <c r="O127" s="37">
        <v>2</v>
      </c>
      <c r="P127" s="37">
        <v>2</v>
      </c>
      <c r="Q127" s="37">
        <v>2</v>
      </c>
      <c r="R127" s="37">
        <v>3</v>
      </c>
      <c r="S127" s="37">
        <v>3</v>
      </c>
      <c r="T127" s="37">
        <v>3</v>
      </c>
      <c r="U127" s="37">
        <v>3</v>
      </c>
      <c r="V127" s="37">
        <v>3</v>
      </c>
      <c r="W127" s="37">
        <v>3</v>
      </c>
      <c r="X127" s="37">
        <v>3</v>
      </c>
      <c r="Z127" s="37">
        <v>4</v>
      </c>
      <c r="AA127" s="37">
        <v>4</v>
      </c>
      <c r="AB127" s="37">
        <v>4</v>
      </c>
      <c r="AC127" s="37">
        <v>4</v>
      </c>
      <c r="AD127" s="37">
        <v>4</v>
      </c>
      <c r="AE127" s="37">
        <v>4</v>
      </c>
      <c r="AF127" s="37">
        <v>4</v>
      </c>
      <c r="AG127" s="37">
        <v>3</v>
      </c>
      <c r="AH127" s="37">
        <v>3</v>
      </c>
      <c r="AI127" s="37">
        <v>3</v>
      </c>
      <c r="AJ127" s="37">
        <v>3</v>
      </c>
      <c r="AK127" s="37">
        <v>3</v>
      </c>
      <c r="AL127" s="37">
        <v>3</v>
      </c>
      <c r="AM127" s="37">
        <v>3</v>
      </c>
      <c r="AN127" s="37">
        <v>3</v>
      </c>
      <c r="AO127" s="37">
        <v>3</v>
      </c>
      <c r="AP127" s="37">
        <v>3</v>
      </c>
      <c r="AQ127" s="37">
        <v>3</v>
      </c>
      <c r="AR127" s="37">
        <v>3</v>
      </c>
      <c r="AS127" s="37">
        <v>3</v>
      </c>
      <c r="AT127" s="37">
        <v>3</v>
      </c>
    </row>
    <row r="128" spans="3:46" s="37" customFormat="1" x14ac:dyDescent="0.25"/>
    <row r="129" spans="3:46" s="37" customFormat="1" x14ac:dyDescent="0.25">
      <c r="C129" s="37" t="s">
        <v>21</v>
      </c>
      <c r="D129" s="37">
        <v>3</v>
      </c>
      <c r="E129" s="37">
        <v>3</v>
      </c>
      <c r="F129" s="37">
        <v>3</v>
      </c>
      <c r="G129" s="37">
        <v>3</v>
      </c>
      <c r="H129" s="37">
        <v>3</v>
      </c>
      <c r="I129" s="37">
        <v>3</v>
      </c>
      <c r="J129" s="37">
        <v>3</v>
      </c>
      <c r="K129" s="37">
        <v>2</v>
      </c>
      <c r="L129" s="37">
        <v>2</v>
      </c>
      <c r="M129" s="37">
        <v>2</v>
      </c>
      <c r="N129" s="37">
        <v>2</v>
      </c>
      <c r="O129" s="37">
        <v>2</v>
      </c>
      <c r="P129" s="37">
        <v>2</v>
      </c>
      <c r="Q129" s="37">
        <v>3</v>
      </c>
      <c r="R129" s="37">
        <v>3</v>
      </c>
      <c r="S129" s="37">
        <v>3</v>
      </c>
      <c r="T129" s="37">
        <v>4</v>
      </c>
      <c r="U129" s="37">
        <v>4</v>
      </c>
      <c r="V129" s="37">
        <v>4</v>
      </c>
      <c r="W129" s="37">
        <v>4</v>
      </c>
      <c r="X129" s="37">
        <v>4</v>
      </c>
      <c r="Z129" s="37">
        <v>3</v>
      </c>
      <c r="AA129" s="37">
        <v>3</v>
      </c>
      <c r="AB129" s="37">
        <v>3</v>
      </c>
      <c r="AC129" s="37">
        <v>3</v>
      </c>
      <c r="AD129" s="37">
        <v>3</v>
      </c>
      <c r="AE129" s="37">
        <v>3</v>
      </c>
      <c r="AF129" s="37">
        <v>3</v>
      </c>
      <c r="AG129" s="37">
        <v>2</v>
      </c>
      <c r="AH129" s="37">
        <v>2</v>
      </c>
      <c r="AI129" s="37">
        <v>2</v>
      </c>
      <c r="AJ129" s="37">
        <v>2</v>
      </c>
      <c r="AK129" s="37">
        <v>2</v>
      </c>
      <c r="AL129" s="37">
        <v>2</v>
      </c>
      <c r="AM129" s="37">
        <v>4</v>
      </c>
      <c r="AN129" s="37">
        <v>4</v>
      </c>
      <c r="AO129" s="37">
        <v>4</v>
      </c>
      <c r="AP129" s="37">
        <v>4</v>
      </c>
      <c r="AQ129" s="37">
        <v>4</v>
      </c>
      <c r="AR129" s="37">
        <v>4</v>
      </c>
      <c r="AS129" s="37">
        <v>4</v>
      </c>
      <c r="AT129" s="37">
        <v>4</v>
      </c>
    </row>
    <row r="130" spans="3:46" s="37" customFormat="1" x14ac:dyDescent="0.25"/>
    <row r="131" spans="3:46" s="37" customFormat="1" x14ac:dyDescent="0.25">
      <c r="C131" s="37" t="s">
        <v>20</v>
      </c>
      <c r="D131" s="37">
        <v>7</v>
      </c>
      <c r="E131" s="37">
        <v>7</v>
      </c>
      <c r="F131" s="37">
        <v>7</v>
      </c>
      <c r="G131" s="37">
        <v>7</v>
      </c>
      <c r="H131" s="37">
        <v>7</v>
      </c>
      <c r="I131" s="37">
        <v>7</v>
      </c>
      <c r="J131" s="37">
        <v>6</v>
      </c>
      <c r="K131" s="37">
        <v>3</v>
      </c>
      <c r="L131" s="37">
        <v>3</v>
      </c>
      <c r="M131" s="37">
        <v>3</v>
      </c>
      <c r="N131" s="37">
        <v>3</v>
      </c>
      <c r="O131" s="37">
        <v>2</v>
      </c>
      <c r="P131" s="37">
        <v>3</v>
      </c>
      <c r="Q131" s="37">
        <v>3</v>
      </c>
      <c r="R131" s="37">
        <v>4</v>
      </c>
      <c r="S131" s="37">
        <v>4</v>
      </c>
      <c r="T131" s="37">
        <v>5</v>
      </c>
      <c r="U131" s="37">
        <v>5</v>
      </c>
      <c r="V131" s="37">
        <v>5</v>
      </c>
      <c r="W131" s="37">
        <v>5</v>
      </c>
      <c r="X131" s="37">
        <v>5</v>
      </c>
      <c r="Z131" s="37">
        <v>7</v>
      </c>
      <c r="AA131" s="37">
        <v>7</v>
      </c>
      <c r="AB131" s="37">
        <v>7</v>
      </c>
      <c r="AC131" s="37">
        <v>7</v>
      </c>
      <c r="AD131" s="37">
        <v>7</v>
      </c>
      <c r="AE131" s="37">
        <v>7</v>
      </c>
      <c r="AF131" s="37">
        <v>7</v>
      </c>
      <c r="AG131" s="37">
        <v>3</v>
      </c>
      <c r="AH131" s="37">
        <v>3</v>
      </c>
      <c r="AI131" s="37">
        <v>3</v>
      </c>
      <c r="AJ131" s="37">
        <v>3</v>
      </c>
      <c r="AK131" s="37">
        <v>3</v>
      </c>
      <c r="AL131" s="37">
        <v>3</v>
      </c>
      <c r="AM131" s="37">
        <v>5</v>
      </c>
      <c r="AN131" s="37">
        <v>5</v>
      </c>
      <c r="AO131" s="37">
        <v>5</v>
      </c>
      <c r="AP131" s="37">
        <v>5</v>
      </c>
      <c r="AQ131" s="37">
        <v>5</v>
      </c>
      <c r="AR131" s="37">
        <v>5</v>
      </c>
      <c r="AS131" s="37">
        <v>5</v>
      </c>
      <c r="AT131" s="37">
        <v>5</v>
      </c>
    </row>
    <row r="132" spans="3:46" s="37" customFormat="1" x14ac:dyDescent="0.25"/>
    <row r="133" spans="3:46" s="37" customFormat="1" x14ac:dyDescent="0.25">
      <c r="C133" s="37" t="s">
        <v>21</v>
      </c>
      <c r="D133" s="37">
        <v>4</v>
      </c>
      <c r="E133" s="37">
        <v>4</v>
      </c>
      <c r="F133" s="37">
        <v>4</v>
      </c>
      <c r="G133" s="37">
        <v>4</v>
      </c>
      <c r="H133" s="37">
        <v>4</v>
      </c>
      <c r="I133" s="37">
        <v>3</v>
      </c>
      <c r="J133" s="37">
        <v>3</v>
      </c>
      <c r="K133" s="37">
        <v>3</v>
      </c>
      <c r="L133" s="37">
        <v>3</v>
      </c>
      <c r="M133" s="37">
        <v>3</v>
      </c>
      <c r="N133" s="37">
        <v>3</v>
      </c>
      <c r="O133" s="37">
        <v>3</v>
      </c>
      <c r="P133" s="37">
        <v>3</v>
      </c>
      <c r="Q133" s="37">
        <v>3</v>
      </c>
      <c r="R133" s="37">
        <v>3</v>
      </c>
      <c r="S133" s="37">
        <v>3</v>
      </c>
      <c r="T133" s="37">
        <v>3</v>
      </c>
      <c r="U133" s="37">
        <v>4</v>
      </c>
      <c r="V133" s="37">
        <v>4</v>
      </c>
      <c r="W133" s="37">
        <v>4</v>
      </c>
      <c r="X133" s="37">
        <v>4</v>
      </c>
      <c r="Z133" s="37">
        <v>4</v>
      </c>
      <c r="AA133" s="37">
        <v>4</v>
      </c>
      <c r="AB133" s="37">
        <v>4</v>
      </c>
      <c r="AC133" s="37">
        <v>4</v>
      </c>
      <c r="AD133" s="37">
        <v>4</v>
      </c>
      <c r="AE133" s="37">
        <v>4</v>
      </c>
      <c r="AF133" s="37">
        <v>4</v>
      </c>
      <c r="AG133" s="37">
        <v>3</v>
      </c>
      <c r="AH133" s="37">
        <v>3</v>
      </c>
      <c r="AI133" s="37">
        <v>3</v>
      </c>
      <c r="AJ133" s="37">
        <v>3</v>
      </c>
      <c r="AK133" s="37">
        <v>3</v>
      </c>
      <c r="AL133" s="37">
        <v>3</v>
      </c>
      <c r="AM133" s="37">
        <v>4</v>
      </c>
      <c r="AN133" s="37">
        <v>4</v>
      </c>
      <c r="AO133" s="37">
        <v>4</v>
      </c>
      <c r="AP133" s="37">
        <v>4</v>
      </c>
      <c r="AQ133" s="37">
        <v>4</v>
      </c>
      <c r="AR133" s="37">
        <v>4</v>
      </c>
      <c r="AS133" s="37">
        <v>4</v>
      </c>
      <c r="AT133" s="37">
        <v>4</v>
      </c>
    </row>
    <row r="134" spans="3:46" s="37" customFormat="1" x14ac:dyDescent="0.25"/>
    <row r="135" spans="3:46" s="37" customFormat="1" x14ac:dyDescent="0.25">
      <c r="C135" s="37" t="s">
        <v>20</v>
      </c>
      <c r="D135" s="37">
        <v>5</v>
      </c>
      <c r="E135" s="37">
        <v>5</v>
      </c>
      <c r="F135" s="37">
        <v>5</v>
      </c>
      <c r="G135" s="37">
        <v>5</v>
      </c>
      <c r="H135" s="37">
        <v>5</v>
      </c>
      <c r="I135" s="37">
        <v>5</v>
      </c>
      <c r="J135" s="37">
        <v>5</v>
      </c>
      <c r="K135" s="37">
        <v>3</v>
      </c>
      <c r="L135" s="37">
        <v>3</v>
      </c>
      <c r="M135" s="37">
        <v>3</v>
      </c>
      <c r="N135" s="37">
        <v>3</v>
      </c>
      <c r="O135" s="37">
        <v>2</v>
      </c>
      <c r="P135" s="37">
        <v>2</v>
      </c>
      <c r="Q135" s="37">
        <v>2</v>
      </c>
      <c r="R135" s="37">
        <v>3</v>
      </c>
      <c r="S135" s="37">
        <v>3</v>
      </c>
      <c r="T135" s="37">
        <v>3</v>
      </c>
      <c r="U135" s="37">
        <v>3</v>
      </c>
      <c r="V135" s="37">
        <v>3</v>
      </c>
      <c r="W135" s="37">
        <v>3</v>
      </c>
      <c r="X135" s="37">
        <v>3</v>
      </c>
      <c r="Z135" s="37">
        <v>5</v>
      </c>
      <c r="AA135" s="37">
        <v>5</v>
      </c>
      <c r="AB135" s="37">
        <v>5</v>
      </c>
      <c r="AC135" s="37">
        <v>5</v>
      </c>
      <c r="AD135" s="37">
        <v>5</v>
      </c>
      <c r="AE135" s="37">
        <v>5</v>
      </c>
      <c r="AF135" s="37">
        <v>5</v>
      </c>
      <c r="AG135" s="37">
        <v>3</v>
      </c>
      <c r="AH135" s="37">
        <v>3</v>
      </c>
      <c r="AI135" s="37">
        <v>3</v>
      </c>
      <c r="AJ135" s="37">
        <v>3</v>
      </c>
      <c r="AK135" s="37">
        <v>3</v>
      </c>
      <c r="AL135" s="37">
        <v>3</v>
      </c>
      <c r="AM135" s="37">
        <v>3</v>
      </c>
      <c r="AN135" s="37">
        <v>3</v>
      </c>
      <c r="AO135" s="37">
        <v>3</v>
      </c>
      <c r="AP135" s="37">
        <v>3</v>
      </c>
      <c r="AQ135" s="37">
        <v>3</v>
      </c>
      <c r="AR135" s="37">
        <v>3</v>
      </c>
      <c r="AS135" s="37">
        <v>3</v>
      </c>
      <c r="AT135" s="37">
        <v>3</v>
      </c>
    </row>
    <row r="136" spans="3:46" s="37" customFormat="1" x14ac:dyDescent="0.25"/>
    <row r="137" spans="3:46" s="37" customFormat="1" x14ac:dyDescent="0.25">
      <c r="C137" s="37" t="s">
        <v>21</v>
      </c>
      <c r="D137" s="37">
        <v>4</v>
      </c>
      <c r="E137" s="37">
        <v>4</v>
      </c>
      <c r="F137" s="37">
        <v>4</v>
      </c>
      <c r="G137" s="37">
        <v>4</v>
      </c>
      <c r="H137" s="37">
        <v>4</v>
      </c>
      <c r="I137" s="37">
        <v>4</v>
      </c>
      <c r="J137" s="37">
        <v>3</v>
      </c>
      <c r="K137" s="37">
        <v>3</v>
      </c>
      <c r="L137" s="37">
        <v>3</v>
      </c>
      <c r="M137" s="37">
        <v>3</v>
      </c>
      <c r="N137" s="37">
        <v>3</v>
      </c>
      <c r="O137" s="37">
        <v>3</v>
      </c>
      <c r="P137" s="37">
        <v>3</v>
      </c>
      <c r="Q137" s="37">
        <v>3</v>
      </c>
      <c r="R137" s="37">
        <v>3</v>
      </c>
      <c r="S137" s="37">
        <v>3</v>
      </c>
      <c r="T137" s="37">
        <v>4</v>
      </c>
      <c r="U137" s="37">
        <v>4</v>
      </c>
      <c r="V137" s="37">
        <v>4</v>
      </c>
      <c r="W137" s="37">
        <v>4</v>
      </c>
      <c r="X137" s="37">
        <v>4</v>
      </c>
      <c r="Z137" s="37">
        <v>4</v>
      </c>
      <c r="AA137" s="37">
        <v>4</v>
      </c>
      <c r="AB137" s="37">
        <v>4</v>
      </c>
      <c r="AC137" s="37">
        <v>4</v>
      </c>
      <c r="AD137" s="37">
        <v>4</v>
      </c>
      <c r="AE137" s="37">
        <v>4</v>
      </c>
      <c r="AF137" s="37">
        <v>4</v>
      </c>
      <c r="AG137" s="37">
        <v>3</v>
      </c>
      <c r="AH137" s="37">
        <v>3</v>
      </c>
      <c r="AI137" s="37">
        <v>3</v>
      </c>
      <c r="AJ137" s="37">
        <v>3</v>
      </c>
      <c r="AK137" s="37">
        <v>3</v>
      </c>
      <c r="AL137" s="37">
        <v>3</v>
      </c>
      <c r="AM137" s="37">
        <v>4</v>
      </c>
      <c r="AN137" s="37">
        <v>4</v>
      </c>
      <c r="AO137" s="37">
        <v>4</v>
      </c>
      <c r="AP137" s="37">
        <v>4</v>
      </c>
      <c r="AQ137" s="37">
        <v>4</v>
      </c>
      <c r="AR137" s="37">
        <v>4</v>
      </c>
      <c r="AS137" s="37">
        <v>4</v>
      </c>
      <c r="AT137" s="37">
        <v>4</v>
      </c>
    </row>
    <row r="138" spans="3:46" s="37" customFormat="1" x14ac:dyDescent="0.25"/>
    <row r="139" spans="3:46" s="37" customFormat="1" x14ac:dyDescent="0.25">
      <c r="C139" s="37" t="s">
        <v>20</v>
      </c>
      <c r="D139" s="37">
        <v>5</v>
      </c>
      <c r="E139" s="37">
        <v>5</v>
      </c>
      <c r="F139" s="37">
        <v>5</v>
      </c>
      <c r="G139" s="37">
        <v>5</v>
      </c>
      <c r="H139" s="37">
        <v>5</v>
      </c>
      <c r="I139" s="37">
        <v>5</v>
      </c>
      <c r="J139" s="37">
        <v>4</v>
      </c>
      <c r="K139" s="37">
        <v>3</v>
      </c>
      <c r="L139" s="37">
        <v>3</v>
      </c>
      <c r="M139" s="37">
        <v>3</v>
      </c>
      <c r="N139" s="37">
        <v>3</v>
      </c>
      <c r="O139" s="37">
        <v>3</v>
      </c>
      <c r="P139" s="37">
        <v>3</v>
      </c>
      <c r="Q139" s="37">
        <v>5</v>
      </c>
      <c r="R139" s="37">
        <v>6</v>
      </c>
      <c r="S139" s="37">
        <v>6</v>
      </c>
      <c r="T139" s="37">
        <v>7</v>
      </c>
      <c r="U139" s="37">
        <v>8</v>
      </c>
      <c r="V139" s="37">
        <v>8</v>
      </c>
      <c r="W139" s="37">
        <v>8</v>
      </c>
      <c r="X139" s="37">
        <v>8</v>
      </c>
      <c r="Z139" s="37">
        <v>5</v>
      </c>
      <c r="AA139" s="37">
        <v>5</v>
      </c>
      <c r="AB139" s="37">
        <v>5</v>
      </c>
      <c r="AC139" s="37">
        <v>5</v>
      </c>
      <c r="AD139" s="37">
        <v>5</v>
      </c>
      <c r="AE139" s="37">
        <v>5</v>
      </c>
      <c r="AF139" s="37">
        <v>5</v>
      </c>
      <c r="AG139" s="37">
        <v>3</v>
      </c>
      <c r="AH139" s="37">
        <v>3</v>
      </c>
      <c r="AI139" s="37">
        <v>3</v>
      </c>
      <c r="AJ139" s="37">
        <v>3</v>
      </c>
      <c r="AK139" s="37">
        <v>3</v>
      </c>
      <c r="AL139" s="37">
        <v>3</v>
      </c>
      <c r="AM139" s="37">
        <v>8</v>
      </c>
      <c r="AN139" s="37">
        <v>8</v>
      </c>
      <c r="AO139" s="37">
        <v>8</v>
      </c>
      <c r="AP139" s="37">
        <v>8</v>
      </c>
      <c r="AQ139" s="37">
        <v>8</v>
      </c>
      <c r="AR139" s="37">
        <v>8</v>
      </c>
      <c r="AS139" s="37">
        <v>8</v>
      </c>
      <c r="AT139" s="37">
        <v>8</v>
      </c>
    </row>
    <row r="140" spans="3:46" s="37" customFormat="1" x14ac:dyDescent="0.25"/>
    <row r="141" spans="3:46" s="37" customFormat="1" x14ac:dyDescent="0.25">
      <c r="C141" s="37" t="s">
        <v>21</v>
      </c>
      <c r="D141" s="37">
        <v>4</v>
      </c>
      <c r="E141" s="37">
        <v>4</v>
      </c>
      <c r="F141" s="37">
        <v>4</v>
      </c>
      <c r="G141" s="37">
        <v>4</v>
      </c>
      <c r="H141" s="37">
        <v>4</v>
      </c>
      <c r="I141" s="37">
        <v>3</v>
      </c>
      <c r="J141" s="37">
        <v>3</v>
      </c>
      <c r="K141" s="37">
        <v>3</v>
      </c>
      <c r="L141" s="37">
        <v>3</v>
      </c>
      <c r="M141" s="37">
        <v>3</v>
      </c>
      <c r="N141" s="37">
        <v>3</v>
      </c>
      <c r="O141" s="37">
        <v>3</v>
      </c>
      <c r="P141" s="37">
        <v>3</v>
      </c>
      <c r="Q141" s="37">
        <v>3</v>
      </c>
      <c r="R141" s="37">
        <v>3</v>
      </c>
      <c r="S141" s="37">
        <v>3</v>
      </c>
      <c r="T141" s="37">
        <v>3</v>
      </c>
      <c r="U141" s="37">
        <v>4</v>
      </c>
      <c r="V141" s="37">
        <v>4</v>
      </c>
      <c r="W141" s="37">
        <v>4</v>
      </c>
      <c r="X141" s="37">
        <v>4</v>
      </c>
      <c r="Z141" s="37">
        <v>4</v>
      </c>
      <c r="AA141" s="37">
        <v>4</v>
      </c>
      <c r="AB141" s="37">
        <v>4</v>
      </c>
      <c r="AC141" s="37">
        <v>4</v>
      </c>
      <c r="AD141" s="37">
        <v>4</v>
      </c>
      <c r="AE141" s="37">
        <v>4</v>
      </c>
      <c r="AF141" s="37">
        <v>4</v>
      </c>
      <c r="AG141" s="37">
        <v>3</v>
      </c>
      <c r="AH141" s="37">
        <v>3</v>
      </c>
      <c r="AI141" s="37">
        <v>3</v>
      </c>
      <c r="AJ141" s="37">
        <v>3</v>
      </c>
      <c r="AK141" s="37">
        <v>3</v>
      </c>
      <c r="AL141" s="37">
        <v>3</v>
      </c>
      <c r="AM141" s="37">
        <v>4</v>
      </c>
      <c r="AN141" s="37">
        <v>4</v>
      </c>
      <c r="AO141" s="37">
        <v>4</v>
      </c>
      <c r="AP141" s="37">
        <v>4</v>
      </c>
      <c r="AQ141" s="37">
        <v>4</v>
      </c>
      <c r="AR141" s="37">
        <v>4</v>
      </c>
      <c r="AS141" s="37">
        <v>4</v>
      </c>
      <c r="AT141" s="37">
        <v>4</v>
      </c>
    </row>
    <row r="142" spans="3:46" s="37" customFormat="1" x14ac:dyDescent="0.25"/>
    <row r="143" spans="3:46" s="37" customFormat="1" x14ac:dyDescent="0.25">
      <c r="C143" s="37" t="s">
        <v>20</v>
      </c>
      <c r="D143" s="37">
        <v>7</v>
      </c>
      <c r="E143" s="37">
        <v>7</v>
      </c>
      <c r="F143" s="37">
        <v>7</v>
      </c>
      <c r="G143" s="37">
        <v>7</v>
      </c>
      <c r="H143" s="37">
        <v>7</v>
      </c>
      <c r="I143" s="37">
        <v>6</v>
      </c>
      <c r="J143" s="37">
        <v>6</v>
      </c>
      <c r="K143" s="37">
        <v>3</v>
      </c>
      <c r="L143" s="37">
        <v>3</v>
      </c>
      <c r="M143" s="37">
        <v>3</v>
      </c>
      <c r="N143" s="37">
        <v>2</v>
      </c>
      <c r="O143" s="37">
        <v>3</v>
      </c>
      <c r="P143" s="37">
        <v>3</v>
      </c>
      <c r="Q143" s="37">
        <v>5</v>
      </c>
      <c r="R143" s="37">
        <v>6</v>
      </c>
      <c r="S143" s="37">
        <v>7</v>
      </c>
      <c r="T143" s="37">
        <v>8</v>
      </c>
      <c r="U143" s="37">
        <v>9</v>
      </c>
      <c r="V143" s="37">
        <v>9</v>
      </c>
      <c r="W143" s="37">
        <v>9</v>
      </c>
      <c r="X143" s="37">
        <v>9</v>
      </c>
      <c r="Z143" s="37">
        <v>7</v>
      </c>
      <c r="AA143" s="37">
        <v>7</v>
      </c>
      <c r="AB143" s="37">
        <v>7</v>
      </c>
      <c r="AC143" s="37">
        <v>7</v>
      </c>
      <c r="AD143" s="37">
        <v>7</v>
      </c>
      <c r="AE143" s="37">
        <v>7</v>
      </c>
      <c r="AF143" s="37">
        <v>7</v>
      </c>
      <c r="AG143" s="37">
        <v>3</v>
      </c>
      <c r="AH143" s="37">
        <v>3</v>
      </c>
      <c r="AI143" s="37">
        <v>3</v>
      </c>
      <c r="AJ143" s="37">
        <v>3</v>
      </c>
      <c r="AK143" s="37">
        <v>3</v>
      </c>
      <c r="AL143" s="37">
        <v>3</v>
      </c>
      <c r="AM143" s="37">
        <v>9</v>
      </c>
      <c r="AN143" s="37">
        <v>9</v>
      </c>
      <c r="AO143" s="37">
        <v>9</v>
      </c>
      <c r="AP143" s="37">
        <v>9</v>
      </c>
      <c r="AQ143" s="37">
        <v>9</v>
      </c>
      <c r="AR143" s="37">
        <v>9</v>
      </c>
      <c r="AS143" s="37">
        <v>9</v>
      </c>
      <c r="AT143" s="37">
        <v>9</v>
      </c>
    </row>
    <row r="144" spans="3:46" s="37" customFormat="1" x14ac:dyDescent="0.25"/>
    <row r="145" spans="3:46" s="37" customFormat="1" x14ac:dyDescent="0.25">
      <c r="C145" s="37" t="s">
        <v>21</v>
      </c>
      <c r="D145" s="37">
        <v>4</v>
      </c>
      <c r="E145" s="37">
        <v>4</v>
      </c>
      <c r="F145" s="37">
        <v>4</v>
      </c>
      <c r="G145" s="37">
        <v>4</v>
      </c>
      <c r="H145" s="37">
        <v>4</v>
      </c>
      <c r="I145" s="37">
        <v>4</v>
      </c>
      <c r="J145" s="37">
        <v>4</v>
      </c>
      <c r="K145" s="37">
        <v>4</v>
      </c>
      <c r="L145" s="37">
        <v>4</v>
      </c>
      <c r="M145" s="37">
        <v>4</v>
      </c>
      <c r="N145" s="37">
        <v>4</v>
      </c>
      <c r="O145" s="37">
        <v>4</v>
      </c>
      <c r="P145" s="37">
        <v>4</v>
      </c>
      <c r="Q145" s="37">
        <v>4</v>
      </c>
      <c r="R145" s="37">
        <v>4</v>
      </c>
      <c r="S145" s="37">
        <v>4</v>
      </c>
      <c r="T145" s="37">
        <v>4</v>
      </c>
      <c r="U145" s="37">
        <v>5</v>
      </c>
      <c r="V145" s="37">
        <v>5</v>
      </c>
      <c r="W145" s="37">
        <v>5</v>
      </c>
      <c r="X145" s="37">
        <v>5</v>
      </c>
      <c r="Z145" s="37">
        <v>4</v>
      </c>
      <c r="AA145" s="37">
        <v>4</v>
      </c>
      <c r="AB145" s="37">
        <v>4</v>
      </c>
      <c r="AC145" s="37">
        <v>4</v>
      </c>
      <c r="AD145" s="37">
        <v>4</v>
      </c>
      <c r="AE145" s="37">
        <v>4</v>
      </c>
      <c r="AF145" s="37">
        <v>4</v>
      </c>
      <c r="AG145" s="37">
        <v>4</v>
      </c>
      <c r="AH145" s="37">
        <v>4</v>
      </c>
      <c r="AI145" s="37">
        <v>4</v>
      </c>
      <c r="AJ145" s="37">
        <v>4</v>
      </c>
      <c r="AK145" s="37">
        <v>4</v>
      </c>
      <c r="AL145" s="37">
        <v>4</v>
      </c>
      <c r="AM145" s="37">
        <v>5</v>
      </c>
      <c r="AN145" s="37">
        <v>5</v>
      </c>
      <c r="AO145" s="37">
        <v>5</v>
      </c>
      <c r="AP145" s="37">
        <v>5</v>
      </c>
      <c r="AQ145" s="37">
        <v>5</v>
      </c>
      <c r="AR145" s="37">
        <v>5</v>
      </c>
      <c r="AS145" s="37">
        <v>5</v>
      </c>
      <c r="AT145" s="37">
        <v>5</v>
      </c>
    </row>
    <row r="146" spans="3:46" s="37" customFormat="1" x14ac:dyDescent="0.25"/>
    <row r="147" spans="3:46" s="37" customFormat="1" x14ac:dyDescent="0.25">
      <c r="C147" s="37" t="s">
        <v>20</v>
      </c>
      <c r="D147" s="37">
        <v>8</v>
      </c>
      <c r="E147" s="37">
        <v>8</v>
      </c>
      <c r="F147" s="37">
        <v>8</v>
      </c>
      <c r="G147" s="37">
        <v>8</v>
      </c>
      <c r="H147" s="37">
        <v>8</v>
      </c>
      <c r="I147" s="37">
        <v>7</v>
      </c>
      <c r="J147" s="37">
        <v>6</v>
      </c>
      <c r="K147" s="37">
        <v>3</v>
      </c>
      <c r="L147" s="37">
        <v>3</v>
      </c>
      <c r="M147" s="37">
        <v>3</v>
      </c>
      <c r="N147" s="37">
        <v>3</v>
      </c>
      <c r="O147" s="37">
        <v>3</v>
      </c>
      <c r="P147" s="37">
        <v>3</v>
      </c>
      <c r="Q147" s="37">
        <v>5</v>
      </c>
      <c r="R147" s="37">
        <v>6</v>
      </c>
      <c r="S147" s="37">
        <v>7</v>
      </c>
      <c r="T147" s="37">
        <v>8</v>
      </c>
      <c r="U147" s="37">
        <v>9</v>
      </c>
      <c r="V147" s="37">
        <v>9</v>
      </c>
      <c r="W147" s="37">
        <v>9</v>
      </c>
      <c r="X147" s="37">
        <v>9</v>
      </c>
      <c r="Z147" s="37">
        <v>8</v>
      </c>
      <c r="AA147" s="37">
        <v>8</v>
      </c>
      <c r="AB147" s="37">
        <v>8</v>
      </c>
      <c r="AC147" s="37">
        <v>8</v>
      </c>
      <c r="AD147" s="37">
        <v>8</v>
      </c>
      <c r="AE147" s="37">
        <v>8</v>
      </c>
      <c r="AF147" s="37">
        <v>8</v>
      </c>
      <c r="AG147" s="37">
        <v>3</v>
      </c>
      <c r="AH147" s="37">
        <v>3</v>
      </c>
      <c r="AI147" s="37">
        <v>3</v>
      </c>
      <c r="AJ147" s="37">
        <v>3</v>
      </c>
      <c r="AK147" s="37">
        <v>3</v>
      </c>
      <c r="AL147" s="37">
        <v>3</v>
      </c>
      <c r="AM147" s="37">
        <v>9</v>
      </c>
      <c r="AN147" s="37">
        <v>9</v>
      </c>
      <c r="AO147" s="37">
        <v>9</v>
      </c>
      <c r="AP147" s="37">
        <v>9</v>
      </c>
      <c r="AQ147" s="37">
        <v>9</v>
      </c>
      <c r="AR147" s="37">
        <v>9</v>
      </c>
      <c r="AS147" s="37">
        <v>9</v>
      </c>
      <c r="AT147" s="37">
        <v>9</v>
      </c>
    </row>
    <row r="148" spans="3:46" s="37" customFormat="1" x14ac:dyDescent="0.25"/>
    <row r="149" spans="3:46" s="37" customFormat="1" x14ac:dyDescent="0.25">
      <c r="C149" s="37" t="s">
        <v>21</v>
      </c>
      <c r="D149" s="37">
        <v>4</v>
      </c>
      <c r="E149" s="37">
        <v>4</v>
      </c>
      <c r="F149" s="37">
        <v>4</v>
      </c>
      <c r="G149" s="37">
        <v>4</v>
      </c>
      <c r="H149" s="37">
        <v>4</v>
      </c>
      <c r="I149" s="37">
        <v>4</v>
      </c>
      <c r="J149" s="37">
        <v>4</v>
      </c>
      <c r="K149" s="37">
        <v>4</v>
      </c>
      <c r="L149" s="37">
        <v>4</v>
      </c>
      <c r="M149" s="37">
        <v>4</v>
      </c>
      <c r="N149" s="37">
        <v>4</v>
      </c>
      <c r="O149" s="37">
        <v>4</v>
      </c>
      <c r="P149" s="37">
        <v>4</v>
      </c>
      <c r="Q149" s="37">
        <v>4</v>
      </c>
      <c r="R149" s="37">
        <v>4</v>
      </c>
      <c r="S149" s="37">
        <v>4</v>
      </c>
      <c r="T149" s="37">
        <v>4</v>
      </c>
      <c r="U149" s="37">
        <v>5</v>
      </c>
      <c r="V149" s="37">
        <v>5</v>
      </c>
      <c r="W149" s="37">
        <v>5</v>
      </c>
      <c r="X149" s="37">
        <v>5</v>
      </c>
      <c r="Z149" s="37">
        <v>4</v>
      </c>
      <c r="AA149" s="37">
        <v>4</v>
      </c>
      <c r="AB149" s="37">
        <v>4</v>
      </c>
      <c r="AC149" s="37">
        <v>4</v>
      </c>
      <c r="AD149" s="37">
        <v>4</v>
      </c>
      <c r="AE149" s="37">
        <v>4</v>
      </c>
      <c r="AF149" s="37">
        <v>4</v>
      </c>
      <c r="AG149" s="37">
        <v>4</v>
      </c>
      <c r="AH149" s="37">
        <v>4</v>
      </c>
      <c r="AI149" s="37">
        <v>4</v>
      </c>
      <c r="AJ149" s="37">
        <v>4</v>
      </c>
      <c r="AK149" s="37">
        <v>4</v>
      </c>
      <c r="AL149" s="37">
        <v>4</v>
      </c>
      <c r="AM149" s="37">
        <v>5</v>
      </c>
      <c r="AN149" s="37">
        <v>5</v>
      </c>
      <c r="AO149" s="37">
        <v>5</v>
      </c>
      <c r="AP149" s="37">
        <v>5</v>
      </c>
      <c r="AQ149" s="37">
        <v>5</v>
      </c>
      <c r="AR149" s="37">
        <v>5</v>
      </c>
      <c r="AS149" s="37">
        <v>5</v>
      </c>
      <c r="AT149" s="37">
        <v>5</v>
      </c>
    </row>
    <row r="150" spans="3:46" s="37" customFormat="1" x14ac:dyDescent="0.25"/>
    <row r="151" spans="3:46" s="37" customFormat="1" x14ac:dyDescent="0.25">
      <c r="C151" s="37" t="s">
        <v>20</v>
      </c>
      <c r="D151" s="37">
        <v>4</v>
      </c>
      <c r="E151" s="37">
        <v>4</v>
      </c>
      <c r="F151" s="37">
        <v>4</v>
      </c>
      <c r="G151" s="37">
        <v>4</v>
      </c>
      <c r="H151" s="37">
        <v>4</v>
      </c>
      <c r="I151" s="37">
        <v>4</v>
      </c>
      <c r="J151" s="37">
        <v>3</v>
      </c>
      <c r="K151" s="37">
        <v>3</v>
      </c>
      <c r="L151" s="37">
        <v>3</v>
      </c>
      <c r="M151" s="37">
        <v>2</v>
      </c>
      <c r="N151" s="37">
        <v>2</v>
      </c>
      <c r="O151" s="37">
        <v>3</v>
      </c>
      <c r="P151" s="37">
        <v>3</v>
      </c>
      <c r="Q151" s="37">
        <v>4</v>
      </c>
      <c r="R151" s="37">
        <v>4</v>
      </c>
      <c r="S151" s="37">
        <v>5</v>
      </c>
      <c r="T151" s="37">
        <v>5</v>
      </c>
      <c r="U151" s="37">
        <v>6</v>
      </c>
      <c r="V151" s="37">
        <v>6</v>
      </c>
      <c r="W151" s="37">
        <v>6</v>
      </c>
      <c r="X151" s="37">
        <v>6</v>
      </c>
      <c r="Z151" s="37">
        <v>4</v>
      </c>
      <c r="AA151" s="37">
        <v>4</v>
      </c>
      <c r="AB151" s="37">
        <v>4</v>
      </c>
      <c r="AC151" s="37">
        <v>4</v>
      </c>
      <c r="AD151" s="37">
        <v>4</v>
      </c>
      <c r="AE151" s="37">
        <v>4</v>
      </c>
      <c r="AF151" s="37">
        <v>4</v>
      </c>
      <c r="AG151" s="37">
        <v>3</v>
      </c>
      <c r="AH151" s="37">
        <v>3</v>
      </c>
      <c r="AI151" s="37">
        <v>3</v>
      </c>
      <c r="AJ151" s="37">
        <v>3</v>
      </c>
      <c r="AK151" s="37">
        <v>3</v>
      </c>
      <c r="AL151" s="37">
        <v>3</v>
      </c>
      <c r="AM151" s="37">
        <v>6</v>
      </c>
      <c r="AN151" s="37">
        <v>6</v>
      </c>
      <c r="AO151" s="37">
        <v>6</v>
      </c>
      <c r="AP151" s="37">
        <v>6</v>
      </c>
      <c r="AQ151" s="37">
        <v>6</v>
      </c>
      <c r="AR151" s="37">
        <v>6</v>
      </c>
      <c r="AS151" s="37">
        <v>6</v>
      </c>
      <c r="AT151" s="37">
        <v>6</v>
      </c>
    </row>
    <row r="152" spans="3:46" s="37" customFormat="1" x14ac:dyDescent="0.25"/>
    <row r="153" spans="3:46" s="37" customFormat="1" x14ac:dyDescent="0.25">
      <c r="C153" s="37" t="s">
        <v>21</v>
      </c>
      <c r="D153" s="37">
        <v>3</v>
      </c>
      <c r="E153" s="37">
        <v>3</v>
      </c>
      <c r="F153" s="37">
        <v>3</v>
      </c>
      <c r="G153" s="37">
        <v>3</v>
      </c>
      <c r="H153" s="37">
        <v>3</v>
      </c>
      <c r="I153" s="37">
        <v>3</v>
      </c>
      <c r="J153" s="37">
        <v>3</v>
      </c>
      <c r="K153" s="37">
        <v>3</v>
      </c>
      <c r="L153" s="37">
        <v>3</v>
      </c>
      <c r="M153" s="37">
        <v>3</v>
      </c>
      <c r="N153" s="37">
        <v>3</v>
      </c>
      <c r="O153" s="37">
        <v>3</v>
      </c>
      <c r="P153" s="37">
        <v>3</v>
      </c>
      <c r="Q153" s="37">
        <v>3</v>
      </c>
      <c r="R153" s="37">
        <v>3</v>
      </c>
      <c r="S153" s="37">
        <v>3</v>
      </c>
      <c r="T153" s="37">
        <v>3</v>
      </c>
      <c r="U153" s="37">
        <v>3</v>
      </c>
      <c r="V153" s="37">
        <v>3</v>
      </c>
      <c r="W153" s="37">
        <v>3</v>
      </c>
      <c r="X153" s="37">
        <v>3</v>
      </c>
      <c r="Z153" s="37">
        <v>3</v>
      </c>
      <c r="AA153" s="37">
        <v>3</v>
      </c>
      <c r="AB153" s="37">
        <v>3</v>
      </c>
      <c r="AC153" s="37">
        <v>3</v>
      </c>
      <c r="AD153" s="37">
        <v>3</v>
      </c>
      <c r="AE153" s="37">
        <v>3</v>
      </c>
      <c r="AF153" s="37">
        <v>3</v>
      </c>
      <c r="AG153" s="37">
        <v>3</v>
      </c>
      <c r="AH153" s="37">
        <v>3</v>
      </c>
      <c r="AI153" s="37">
        <v>3</v>
      </c>
      <c r="AJ153" s="37">
        <v>3</v>
      </c>
      <c r="AK153" s="37">
        <v>3</v>
      </c>
      <c r="AL153" s="37">
        <v>3</v>
      </c>
      <c r="AM153" s="37">
        <v>3</v>
      </c>
      <c r="AN153" s="37">
        <v>3</v>
      </c>
      <c r="AO153" s="37">
        <v>3</v>
      </c>
      <c r="AP153" s="37">
        <v>3</v>
      </c>
      <c r="AQ153" s="37">
        <v>3</v>
      </c>
      <c r="AR153" s="37">
        <v>3</v>
      </c>
      <c r="AS153" s="37">
        <v>3</v>
      </c>
      <c r="AT153" s="37">
        <v>3</v>
      </c>
    </row>
    <row r="154" spans="3:46" s="37" customFormat="1" x14ac:dyDescent="0.25"/>
    <row r="155" spans="3:46" s="37" customFormat="1" x14ac:dyDescent="0.25">
      <c r="C155" s="37" t="s">
        <v>20</v>
      </c>
      <c r="D155" s="37">
        <v>6</v>
      </c>
      <c r="E155" s="37">
        <v>6</v>
      </c>
      <c r="F155" s="37">
        <v>6</v>
      </c>
      <c r="G155" s="37">
        <v>6</v>
      </c>
      <c r="H155" s="37">
        <v>6</v>
      </c>
      <c r="I155" s="37">
        <v>5</v>
      </c>
      <c r="J155" s="37">
        <v>5</v>
      </c>
      <c r="K155" s="37">
        <v>3</v>
      </c>
      <c r="L155" s="37">
        <v>3</v>
      </c>
      <c r="M155" s="37">
        <v>3</v>
      </c>
      <c r="N155" s="37">
        <v>3</v>
      </c>
      <c r="O155" s="37">
        <v>2</v>
      </c>
      <c r="P155" s="37">
        <v>3</v>
      </c>
      <c r="Q155" s="37">
        <v>3</v>
      </c>
      <c r="R155" s="37">
        <v>4</v>
      </c>
      <c r="S155" s="37">
        <v>4</v>
      </c>
      <c r="T155" s="37">
        <v>5</v>
      </c>
      <c r="U155" s="37">
        <v>5</v>
      </c>
      <c r="V155" s="37">
        <v>5</v>
      </c>
      <c r="W155" s="37">
        <v>5</v>
      </c>
      <c r="X155" s="37">
        <v>5</v>
      </c>
      <c r="Z155" s="37">
        <v>6</v>
      </c>
      <c r="AA155" s="37">
        <v>6</v>
      </c>
      <c r="AB155" s="37">
        <v>6</v>
      </c>
      <c r="AC155" s="37">
        <v>6</v>
      </c>
      <c r="AD155" s="37">
        <v>6</v>
      </c>
      <c r="AE155" s="37">
        <v>6</v>
      </c>
      <c r="AF155" s="37">
        <v>6</v>
      </c>
      <c r="AG155" s="37">
        <v>3</v>
      </c>
      <c r="AH155" s="37">
        <v>3</v>
      </c>
      <c r="AI155" s="37">
        <v>3</v>
      </c>
      <c r="AJ155" s="37">
        <v>3</v>
      </c>
      <c r="AK155" s="37">
        <v>3</v>
      </c>
      <c r="AL155" s="37">
        <v>3</v>
      </c>
      <c r="AM155" s="37">
        <v>5</v>
      </c>
      <c r="AN155" s="37">
        <v>5</v>
      </c>
      <c r="AO155" s="37">
        <v>5</v>
      </c>
      <c r="AP155" s="37">
        <v>5</v>
      </c>
      <c r="AQ155" s="37">
        <v>5</v>
      </c>
      <c r="AR155" s="37">
        <v>5</v>
      </c>
      <c r="AS155" s="37">
        <v>5</v>
      </c>
      <c r="AT155" s="37">
        <v>5</v>
      </c>
    </row>
    <row r="156" spans="3:46" s="37" customFormat="1" x14ac:dyDescent="0.25"/>
    <row r="157" spans="3:46" s="37" customFormat="1" x14ac:dyDescent="0.25">
      <c r="C157" s="37" t="s">
        <v>21</v>
      </c>
      <c r="D157" s="37">
        <v>3</v>
      </c>
      <c r="E157" s="37">
        <v>3</v>
      </c>
      <c r="F157" s="37">
        <v>3</v>
      </c>
      <c r="G157" s="37">
        <v>3</v>
      </c>
      <c r="H157" s="37">
        <v>3</v>
      </c>
      <c r="I157" s="37">
        <v>3</v>
      </c>
      <c r="J157" s="37">
        <v>3</v>
      </c>
      <c r="K157" s="37">
        <v>3</v>
      </c>
      <c r="L157" s="37">
        <v>3</v>
      </c>
      <c r="M157" s="37">
        <v>3</v>
      </c>
      <c r="N157" s="37">
        <v>3</v>
      </c>
      <c r="O157" s="37">
        <v>3</v>
      </c>
      <c r="P157" s="37">
        <v>3</v>
      </c>
      <c r="Q157" s="37">
        <v>3</v>
      </c>
      <c r="R157" s="37">
        <v>3</v>
      </c>
      <c r="S157" s="37">
        <v>3</v>
      </c>
      <c r="T157" s="37">
        <v>4</v>
      </c>
      <c r="U157" s="37">
        <v>4</v>
      </c>
      <c r="V157" s="37">
        <v>4</v>
      </c>
      <c r="W157" s="37">
        <v>4</v>
      </c>
      <c r="X157" s="37">
        <v>4</v>
      </c>
      <c r="Z157" s="37">
        <v>3</v>
      </c>
      <c r="AA157" s="37">
        <v>3</v>
      </c>
      <c r="AB157" s="37">
        <v>3</v>
      </c>
      <c r="AC157" s="37">
        <v>3</v>
      </c>
      <c r="AD157" s="37">
        <v>3</v>
      </c>
      <c r="AE157" s="37">
        <v>3</v>
      </c>
      <c r="AF157" s="37">
        <v>3</v>
      </c>
      <c r="AG157" s="37">
        <v>3</v>
      </c>
      <c r="AH157" s="37">
        <v>3</v>
      </c>
      <c r="AI157" s="37">
        <v>3</v>
      </c>
      <c r="AJ157" s="37">
        <v>3</v>
      </c>
      <c r="AK157" s="37">
        <v>3</v>
      </c>
      <c r="AL157" s="37">
        <v>3</v>
      </c>
      <c r="AM157" s="37">
        <v>4</v>
      </c>
      <c r="AN157" s="37">
        <v>4</v>
      </c>
      <c r="AO157" s="37">
        <v>4</v>
      </c>
      <c r="AP157" s="37">
        <v>4</v>
      </c>
      <c r="AQ157" s="37">
        <v>4</v>
      </c>
      <c r="AR157" s="37">
        <v>4</v>
      </c>
      <c r="AS157" s="37">
        <v>4</v>
      </c>
      <c r="AT157" s="37">
        <v>4</v>
      </c>
    </row>
    <row r="158" spans="3:46" s="37" customFormat="1" x14ac:dyDescent="0.25"/>
    <row r="159" spans="3:46" s="37" customFormat="1" x14ac:dyDescent="0.25">
      <c r="C159" s="37" t="s">
        <v>20</v>
      </c>
      <c r="D159" s="37">
        <v>5</v>
      </c>
      <c r="E159" s="37">
        <v>5</v>
      </c>
      <c r="F159" s="37">
        <v>5</v>
      </c>
      <c r="G159" s="37">
        <v>5</v>
      </c>
      <c r="H159" s="37">
        <v>5</v>
      </c>
      <c r="I159" s="37">
        <v>5</v>
      </c>
      <c r="J159" s="37">
        <v>5</v>
      </c>
      <c r="K159" s="37">
        <v>3</v>
      </c>
      <c r="L159" s="37">
        <v>3</v>
      </c>
      <c r="M159" s="37">
        <v>3</v>
      </c>
      <c r="N159" s="37">
        <v>3</v>
      </c>
      <c r="O159" s="37">
        <v>3</v>
      </c>
      <c r="P159" s="37">
        <v>3</v>
      </c>
      <c r="Q159" s="37">
        <v>4</v>
      </c>
      <c r="R159" s="37">
        <v>4</v>
      </c>
      <c r="S159" s="37">
        <v>5</v>
      </c>
      <c r="T159" s="37">
        <v>5</v>
      </c>
      <c r="U159" s="37">
        <v>5</v>
      </c>
      <c r="V159" s="37">
        <v>5</v>
      </c>
      <c r="W159" s="37">
        <v>5</v>
      </c>
      <c r="X159" s="37">
        <v>5</v>
      </c>
      <c r="Z159" s="37">
        <v>5</v>
      </c>
      <c r="AA159" s="37">
        <v>5</v>
      </c>
      <c r="AB159" s="37">
        <v>5</v>
      </c>
      <c r="AC159" s="37">
        <v>5</v>
      </c>
      <c r="AD159" s="37">
        <v>5</v>
      </c>
      <c r="AE159" s="37">
        <v>5</v>
      </c>
      <c r="AF159" s="37">
        <v>5</v>
      </c>
      <c r="AG159" s="37">
        <v>3</v>
      </c>
      <c r="AH159" s="37">
        <v>3</v>
      </c>
      <c r="AI159" s="37">
        <v>3</v>
      </c>
      <c r="AJ159" s="37">
        <v>3</v>
      </c>
      <c r="AK159" s="37">
        <v>3</v>
      </c>
      <c r="AL159" s="37">
        <v>3</v>
      </c>
      <c r="AM159" s="37">
        <v>5</v>
      </c>
      <c r="AN159" s="37">
        <v>5</v>
      </c>
      <c r="AO159" s="37">
        <v>5</v>
      </c>
      <c r="AP159" s="37">
        <v>5</v>
      </c>
      <c r="AQ159" s="37">
        <v>5</v>
      </c>
      <c r="AR159" s="37">
        <v>5</v>
      </c>
      <c r="AS159" s="37">
        <v>5</v>
      </c>
      <c r="AT159" s="37">
        <v>5</v>
      </c>
    </row>
    <row r="160" spans="3:46" s="37" customFormat="1" x14ac:dyDescent="0.25"/>
    <row r="161" spans="3:46" s="37" customFormat="1" x14ac:dyDescent="0.25">
      <c r="C161" s="37" t="s">
        <v>21</v>
      </c>
      <c r="D161" s="37">
        <v>4</v>
      </c>
      <c r="E161" s="37">
        <v>4</v>
      </c>
      <c r="F161" s="37">
        <v>4</v>
      </c>
      <c r="G161" s="37">
        <v>4</v>
      </c>
      <c r="H161" s="37">
        <v>4</v>
      </c>
      <c r="I161" s="37">
        <v>4</v>
      </c>
      <c r="J161" s="37">
        <v>3</v>
      </c>
      <c r="K161" s="37">
        <v>3</v>
      </c>
      <c r="L161" s="37">
        <v>3</v>
      </c>
      <c r="M161" s="37">
        <v>3</v>
      </c>
      <c r="N161" s="37">
        <v>3</v>
      </c>
      <c r="O161" s="37">
        <v>3</v>
      </c>
      <c r="P161" s="37">
        <v>3</v>
      </c>
      <c r="Q161" s="37">
        <v>3</v>
      </c>
      <c r="R161" s="37">
        <v>3</v>
      </c>
      <c r="S161" s="37">
        <v>3</v>
      </c>
      <c r="T161" s="37">
        <v>4</v>
      </c>
      <c r="U161" s="37">
        <v>4</v>
      </c>
      <c r="V161" s="37">
        <v>4</v>
      </c>
      <c r="W161" s="37">
        <v>4</v>
      </c>
      <c r="X161" s="37">
        <v>4</v>
      </c>
      <c r="Z161" s="37">
        <v>4</v>
      </c>
      <c r="AA161" s="37">
        <v>4</v>
      </c>
      <c r="AB161" s="37">
        <v>4</v>
      </c>
      <c r="AC161" s="37">
        <v>4</v>
      </c>
      <c r="AD161" s="37">
        <v>4</v>
      </c>
      <c r="AE161" s="37">
        <v>4</v>
      </c>
      <c r="AF161" s="37">
        <v>4</v>
      </c>
      <c r="AG161" s="37">
        <v>3</v>
      </c>
      <c r="AH161" s="37">
        <v>3</v>
      </c>
      <c r="AI161" s="37">
        <v>3</v>
      </c>
      <c r="AJ161" s="37">
        <v>3</v>
      </c>
      <c r="AK161" s="37">
        <v>3</v>
      </c>
      <c r="AL161" s="37">
        <v>3</v>
      </c>
      <c r="AM161" s="37">
        <v>4</v>
      </c>
      <c r="AN161" s="37">
        <v>4</v>
      </c>
      <c r="AO161" s="37">
        <v>4</v>
      </c>
      <c r="AP161" s="37">
        <v>4</v>
      </c>
      <c r="AQ161" s="37">
        <v>4</v>
      </c>
      <c r="AR161" s="37">
        <v>4</v>
      </c>
      <c r="AS161" s="37">
        <v>4</v>
      </c>
      <c r="AT161" s="37">
        <v>4</v>
      </c>
    </row>
    <row r="162" spans="3:46" s="37" customFormat="1" x14ac:dyDescent="0.25"/>
    <row r="163" spans="3:46" s="37" customFormat="1" x14ac:dyDescent="0.25">
      <c r="C163" s="37" t="s">
        <v>20</v>
      </c>
      <c r="D163" s="37">
        <v>5</v>
      </c>
      <c r="E163" s="37">
        <v>5</v>
      </c>
      <c r="F163" s="37">
        <v>5</v>
      </c>
      <c r="G163" s="37">
        <v>5</v>
      </c>
      <c r="H163" s="37">
        <v>5</v>
      </c>
      <c r="I163" s="37">
        <v>5</v>
      </c>
      <c r="J163" s="37">
        <v>4</v>
      </c>
      <c r="K163" s="37">
        <v>3</v>
      </c>
      <c r="L163" s="37">
        <v>3</v>
      </c>
      <c r="M163" s="37">
        <v>3</v>
      </c>
      <c r="N163" s="37">
        <v>3</v>
      </c>
      <c r="O163" s="37">
        <v>3</v>
      </c>
      <c r="P163" s="37">
        <v>3</v>
      </c>
      <c r="Q163" s="37">
        <v>6</v>
      </c>
      <c r="R163" s="37">
        <v>7</v>
      </c>
      <c r="S163" s="37">
        <v>8</v>
      </c>
      <c r="T163" s="37">
        <v>9</v>
      </c>
      <c r="U163" s="37">
        <v>9</v>
      </c>
      <c r="V163" s="37">
        <v>9</v>
      </c>
      <c r="W163" s="37">
        <v>9</v>
      </c>
      <c r="X163" s="37">
        <v>9</v>
      </c>
      <c r="Z163" s="37">
        <v>5</v>
      </c>
      <c r="AA163" s="37">
        <v>5</v>
      </c>
      <c r="AB163" s="37">
        <v>5</v>
      </c>
      <c r="AC163" s="37">
        <v>5</v>
      </c>
      <c r="AD163" s="37">
        <v>5</v>
      </c>
      <c r="AE163" s="37">
        <v>5</v>
      </c>
      <c r="AF163" s="37">
        <v>5</v>
      </c>
      <c r="AG163" s="37">
        <v>3</v>
      </c>
      <c r="AH163" s="37">
        <v>3</v>
      </c>
      <c r="AI163" s="37">
        <v>3</v>
      </c>
      <c r="AJ163" s="37">
        <v>3</v>
      </c>
      <c r="AK163" s="37">
        <v>3</v>
      </c>
      <c r="AL163" s="37">
        <v>3</v>
      </c>
      <c r="AM163" s="37">
        <v>9</v>
      </c>
      <c r="AN163" s="37">
        <v>9</v>
      </c>
      <c r="AO163" s="37">
        <v>9</v>
      </c>
      <c r="AP163" s="37">
        <v>9</v>
      </c>
      <c r="AQ163" s="37">
        <v>9</v>
      </c>
      <c r="AR163" s="37">
        <v>9</v>
      </c>
      <c r="AS163" s="37">
        <v>9</v>
      </c>
      <c r="AT163" s="37">
        <v>9</v>
      </c>
    </row>
    <row r="164" spans="3:46" s="37" customFormat="1" x14ac:dyDescent="0.25"/>
    <row r="165" spans="3:46" s="37" customFormat="1" x14ac:dyDescent="0.25">
      <c r="C165" s="37" t="s">
        <v>21</v>
      </c>
      <c r="D165" s="37">
        <v>6</v>
      </c>
      <c r="E165" s="37">
        <v>6</v>
      </c>
      <c r="F165" s="37">
        <v>6</v>
      </c>
      <c r="G165" s="37">
        <v>6</v>
      </c>
      <c r="H165" s="37">
        <v>6</v>
      </c>
      <c r="I165" s="37">
        <v>5</v>
      </c>
      <c r="J165" s="37">
        <v>5</v>
      </c>
      <c r="K165" s="37">
        <v>3</v>
      </c>
      <c r="L165" s="37">
        <v>3</v>
      </c>
      <c r="M165" s="37">
        <v>3</v>
      </c>
      <c r="N165" s="37">
        <v>3</v>
      </c>
      <c r="O165" s="37">
        <v>3</v>
      </c>
      <c r="P165" s="37">
        <v>3</v>
      </c>
      <c r="Q165" s="37">
        <v>3</v>
      </c>
      <c r="R165" s="37">
        <v>4</v>
      </c>
      <c r="S165" s="37">
        <v>4</v>
      </c>
      <c r="T165" s="37">
        <v>5</v>
      </c>
      <c r="U165" s="37">
        <v>5</v>
      </c>
      <c r="V165" s="37">
        <v>5</v>
      </c>
      <c r="W165" s="37">
        <v>5</v>
      </c>
      <c r="X165" s="37">
        <v>5</v>
      </c>
      <c r="Z165" s="37">
        <v>6</v>
      </c>
      <c r="AA165" s="37">
        <v>6</v>
      </c>
      <c r="AB165" s="37">
        <v>6</v>
      </c>
      <c r="AC165" s="37">
        <v>6</v>
      </c>
      <c r="AD165" s="37">
        <v>6</v>
      </c>
      <c r="AE165" s="37">
        <v>6</v>
      </c>
      <c r="AF165" s="37">
        <v>6</v>
      </c>
      <c r="AG165" s="37">
        <v>3</v>
      </c>
      <c r="AH165" s="37">
        <v>3</v>
      </c>
      <c r="AI165" s="37">
        <v>3</v>
      </c>
      <c r="AJ165" s="37">
        <v>3</v>
      </c>
      <c r="AK165" s="37">
        <v>3</v>
      </c>
      <c r="AL165" s="37">
        <v>3</v>
      </c>
      <c r="AM165" s="37">
        <v>5</v>
      </c>
      <c r="AN165" s="37">
        <v>5</v>
      </c>
      <c r="AO165" s="37">
        <v>5</v>
      </c>
      <c r="AP165" s="37">
        <v>5</v>
      </c>
      <c r="AQ165" s="37">
        <v>5</v>
      </c>
      <c r="AR165" s="37">
        <v>5</v>
      </c>
      <c r="AS165" s="37">
        <v>5</v>
      </c>
      <c r="AT165" s="37">
        <v>5</v>
      </c>
    </row>
    <row r="166" spans="3:46" s="37" customFormat="1" x14ac:dyDescent="0.25"/>
    <row r="167" spans="3:46" s="37" customFormat="1" x14ac:dyDescent="0.25">
      <c r="C167" s="37" t="s">
        <v>20</v>
      </c>
      <c r="D167" s="37">
        <v>7</v>
      </c>
      <c r="E167" s="37">
        <v>7</v>
      </c>
      <c r="F167" s="37">
        <v>7</v>
      </c>
      <c r="G167" s="37">
        <v>7</v>
      </c>
      <c r="H167" s="37">
        <v>7</v>
      </c>
      <c r="I167" s="37">
        <v>7</v>
      </c>
      <c r="J167" s="37">
        <v>6</v>
      </c>
      <c r="K167" s="37">
        <v>3</v>
      </c>
      <c r="L167" s="37">
        <v>3</v>
      </c>
      <c r="M167" s="37">
        <v>3</v>
      </c>
      <c r="N167" s="37">
        <v>3</v>
      </c>
      <c r="O167" s="37">
        <v>3</v>
      </c>
      <c r="P167" s="37">
        <v>3</v>
      </c>
      <c r="Q167" s="37">
        <v>3</v>
      </c>
      <c r="R167" s="37">
        <v>3</v>
      </c>
      <c r="S167" s="37">
        <v>4</v>
      </c>
      <c r="T167" s="37">
        <v>4</v>
      </c>
      <c r="U167" s="37">
        <v>4</v>
      </c>
      <c r="V167" s="37">
        <v>4</v>
      </c>
      <c r="W167" s="37">
        <v>4</v>
      </c>
      <c r="X167" s="37">
        <v>4</v>
      </c>
      <c r="Z167" s="37">
        <v>7</v>
      </c>
      <c r="AA167" s="37">
        <v>7</v>
      </c>
      <c r="AB167" s="37">
        <v>7</v>
      </c>
      <c r="AC167" s="37">
        <v>7</v>
      </c>
      <c r="AD167" s="37">
        <v>7</v>
      </c>
      <c r="AE167" s="37">
        <v>7</v>
      </c>
      <c r="AF167" s="37">
        <v>7</v>
      </c>
      <c r="AG167" s="37">
        <v>3</v>
      </c>
      <c r="AH167" s="37">
        <v>3</v>
      </c>
      <c r="AI167" s="37">
        <v>3</v>
      </c>
      <c r="AJ167" s="37">
        <v>3</v>
      </c>
      <c r="AK167" s="37">
        <v>3</v>
      </c>
      <c r="AL167" s="37">
        <v>3</v>
      </c>
      <c r="AM167" s="37">
        <v>4</v>
      </c>
      <c r="AN167" s="37">
        <v>4</v>
      </c>
      <c r="AO167" s="37">
        <v>4</v>
      </c>
      <c r="AP167" s="37">
        <v>4</v>
      </c>
      <c r="AQ167" s="37">
        <v>4</v>
      </c>
      <c r="AR167" s="37">
        <v>4</v>
      </c>
      <c r="AS167" s="37">
        <v>4</v>
      </c>
      <c r="AT167" s="37">
        <v>4</v>
      </c>
    </row>
    <row r="168" spans="3:46" s="37" customFormat="1" x14ac:dyDescent="0.25"/>
    <row r="169" spans="3:46" s="37" customFormat="1" x14ac:dyDescent="0.25">
      <c r="C169" s="37" t="s">
        <v>21</v>
      </c>
      <c r="D169" s="37">
        <v>4</v>
      </c>
      <c r="E169" s="37">
        <v>4</v>
      </c>
      <c r="F169" s="37">
        <v>4</v>
      </c>
      <c r="G169" s="37">
        <v>4</v>
      </c>
      <c r="H169" s="37">
        <v>4</v>
      </c>
      <c r="I169" s="37">
        <v>4</v>
      </c>
      <c r="J169" s="37">
        <v>3</v>
      </c>
      <c r="K169" s="37">
        <v>3</v>
      </c>
      <c r="L169" s="37">
        <v>3</v>
      </c>
      <c r="M169" s="37">
        <v>3</v>
      </c>
      <c r="N169" s="37">
        <v>3</v>
      </c>
      <c r="O169" s="37">
        <v>3</v>
      </c>
      <c r="P169" s="37">
        <v>3</v>
      </c>
      <c r="Q169" s="37">
        <v>3</v>
      </c>
      <c r="R169" s="37">
        <v>3</v>
      </c>
      <c r="S169" s="37">
        <v>3</v>
      </c>
      <c r="T169" s="37">
        <v>4</v>
      </c>
      <c r="U169" s="37">
        <v>4</v>
      </c>
      <c r="V169" s="37">
        <v>4</v>
      </c>
      <c r="W169" s="37">
        <v>4</v>
      </c>
      <c r="X169" s="37">
        <v>4</v>
      </c>
      <c r="Z169" s="37">
        <v>4</v>
      </c>
      <c r="AA169" s="37">
        <v>4</v>
      </c>
      <c r="AB169" s="37">
        <v>4</v>
      </c>
      <c r="AC169" s="37">
        <v>4</v>
      </c>
      <c r="AD169" s="37">
        <v>4</v>
      </c>
      <c r="AE169" s="37">
        <v>4</v>
      </c>
      <c r="AF169" s="37">
        <v>4</v>
      </c>
      <c r="AG169" s="37">
        <v>3</v>
      </c>
      <c r="AH169" s="37">
        <v>3</v>
      </c>
      <c r="AI169" s="37">
        <v>3</v>
      </c>
      <c r="AJ169" s="37">
        <v>3</v>
      </c>
      <c r="AK169" s="37">
        <v>3</v>
      </c>
      <c r="AL169" s="37">
        <v>3</v>
      </c>
      <c r="AM169" s="37">
        <v>4</v>
      </c>
      <c r="AN169" s="37">
        <v>4</v>
      </c>
      <c r="AO169" s="37">
        <v>4</v>
      </c>
      <c r="AP169" s="37">
        <v>4</v>
      </c>
      <c r="AQ169" s="37">
        <v>4</v>
      </c>
      <c r="AR169" s="37">
        <v>4</v>
      </c>
      <c r="AS169" s="37">
        <v>4</v>
      </c>
      <c r="AT169" s="37">
        <v>4</v>
      </c>
    </row>
    <row r="170" spans="3:46" s="37" customFormat="1" x14ac:dyDescent="0.25"/>
    <row r="171" spans="3:46" s="37" customFormat="1" x14ac:dyDescent="0.25">
      <c r="C171" s="37" t="s">
        <v>20</v>
      </c>
      <c r="D171" s="37">
        <v>7</v>
      </c>
      <c r="E171" s="37">
        <v>7</v>
      </c>
      <c r="F171" s="37">
        <v>7</v>
      </c>
      <c r="G171" s="37">
        <v>7</v>
      </c>
      <c r="H171" s="37">
        <v>7</v>
      </c>
      <c r="I171" s="37">
        <v>7</v>
      </c>
      <c r="J171" s="37">
        <v>6</v>
      </c>
      <c r="K171" s="37">
        <v>3</v>
      </c>
      <c r="L171" s="37">
        <v>3</v>
      </c>
      <c r="M171" s="37">
        <v>3</v>
      </c>
      <c r="N171" s="37">
        <v>3</v>
      </c>
      <c r="O171" s="37">
        <v>3</v>
      </c>
      <c r="P171" s="37">
        <v>2</v>
      </c>
      <c r="Q171" s="37">
        <v>2</v>
      </c>
      <c r="R171" s="37">
        <v>3</v>
      </c>
      <c r="S171" s="37">
        <v>3</v>
      </c>
      <c r="T171" s="37">
        <v>3</v>
      </c>
      <c r="U171" s="37">
        <v>3</v>
      </c>
      <c r="V171" s="37">
        <v>3</v>
      </c>
      <c r="W171" s="37">
        <v>3</v>
      </c>
      <c r="X171" s="37">
        <v>3</v>
      </c>
      <c r="Z171" s="37">
        <v>7</v>
      </c>
      <c r="AA171" s="37">
        <v>7</v>
      </c>
      <c r="AB171" s="37">
        <v>7</v>
      </c>
      <c r="AC171" s="37">
        <v>7</v>
      </c>
      <c r="AD171" s="37">
        <v>7</v>
      </c>
      <c r="AE171" s="37">
        <v>7</v>
      </c>
      <c r="AF171" s="37">
        <v>7</v>
      </c>
      <c r="AG171" s="37">
        <v>3</v>
      </c>
      <c r="AH171" s="37">
        <v>3</v>
      </c>
      <c r="AI171" s="37">
        <v>3</v>
      </c>
      <c r="AJ171" s="37">
        <v>3</v>
      </c>
      <c r="AK171" s="37">
        <v>3</v>
      </c>
      <c r="AL171" s="37">
        <v>3</v>
      </c>
      <c r="AM171" s="37">
        <v>3</v>
      </c>
      <c r="AN171" s="37">
        <v>3</v>
      </c>
      <c r="AO171" s="37">
        <v>3</v>
      </c>
      <c r="AP171" s="37">
        <v>3</v>
      </c>
      <c r="AQ171" s="37">
        <v>3</v>
      </c>
      <c r="AR171" s="37">
        <v>3</v>
      </c>
      <c r="AS171" s="37">
        <v>3</v>
      </c>
      <c r="AT171" s="37">
        <v>3</v>
      </c>
    </row>
    <row r="172" spans="3:46" s="37" customFormat="1" x14ac:dyDescent="0.25"/>
    <row r="173" spans="3:46" s="37" customFormat="1" x14ac:dyDescent="0.25">
      <c r="C173" s="37" t="s">
        <v>21</v>
      </c>
      <c r="D173" s="37">
        <v>4</v>
      </c>
      <c r="E173" s="37">
        <v>4</v>
      </c>
      <c r="F173" s="37">
        <v>4</v>
      </c>
      <c r="G173" s="37">
        <v>4</v>
      </c>
      <c r="H173" s="37">
        <v>4</v>
      </c>
      <c r="I173" s="37">
        <v>4</v>
      </c>
      <c r="J173" s="37">
        <v>3</v>
      </c>
      <c r="K173" s="37">
        <v>2</v>
      </c>
      <c r="L173" s="37">
        <v>2</v>
      </c>
      <c r="M173" s="37">
        <v>2</v>
      </c>
      <c r="N173" s="37">
        <v>2</v>
      </c>
      <c r="O173" s="37">
        <v>2</v>
      </c>
      <c r="P173" s="37">
        <v>2</v>
      </c>
      <c r="Q173" s="37">
        <v>3</v>
      </c>
      <c r="R173" s="37">
        <v>4</v>
      </c>
      <c r="S173" s="37">
        <v>4</v>
      </c>
      <c r="T173" s="37">
        <v>5</v>
      </c>
      <c r="U173" s="37">
        <v>5</v>
      </c>
      <c r="V173" s="37">
        <v>5</v>
      </c>
      <c r="W173" s="37">
        <v>5</v>
      </c>
      <c r="X173" s="37">
        <v>5</v>
      </c>
      <c r="Z173" s="37">
        <v>4</v>
      </c>
      <c r="AA173" s="37">
        <v>4</v>
      </c>
      <c r="AB173" s="37">
        <v>4</v>
      </c>
      <c r="AC173" s="37">
        <v>4</v>
      </c>
      <c r="AD173" s="37">
        <v>4</v>
      </c>
      <c r="AE173" s="37">
        <v>4</v>
      </c>
      <c r="AF173" s="37">
        <v>4</v>
      </c>
      <c r="AG173" s="37">
        <v>2</v>
      </c>
      <c r="AH173" s="37">
        <v>2</v>
      </c>
      <c r="AI173" s="37">
        <v>2</v>
      </c>
      <c r="AJ173" s="37">
        <v>2</v>
      </c>
      <c r="AK173" s="37">
        <v>2</v>
      </c>
      <c r="AL173" s="37">
        <v>2</v>
      </c>
      <c r="AM173" s="37">
        <v>5</v>
      </c>
      <c r="AN173" s="37">
        <v>5</v>
      </c>
      <c r="AO173" s="37">
        <v>5</v>
      </c>
      <c r="AP173" s="37">
        <v>5</v>
      </c>
      <c r="AQ173" s="37">
        <v>5</v>
      </c>
      <c r="AR173" s="37">
        <v>5</v>
      </c>
      <c r="AS173" s="37">
        <v>5</v>
      </c>
      <c r="AT173" s="37">
        <v>5</v>
      </c>
    </row>
    <row r="174" spans="3:46" s="37" customFormat="1" x14ac:dyDescent="0.25"/>
    <row r="175" spans="3:46" s="37" customFormat="1" x14ac:dyDescent="0.25">
      <c r="C175" s="37" t="s">
        <v>20</v>
      </c>
      <c r="D175" s="37">
        <v>7</v>
      </c>
      <c r="E175" s="37">
        <v>7</v>
      </c>
      <c r="F175" s="37">
        <v>7</v>
      </c>
      <c r="G175" s="37">
        <v>7</v>
      </c>
      <c r="H175" s="37">
        <v>7</v>
      </c>
      <c r="I175" s="37">
        <v>7</v>
      </c>
      <c r="J175" s="37">
        <v>6</v>
      </c>
      <c r="K175" s="37">
        <v>3</v>
      </c>
      <c r="L175" s="37">
        <v>3</v>
      </c>
      <c r="M175" s="37">
        <v>3</v>
      </c>
      <c r="N175" s="37">
        <v>3</v>
      </c>
      <c r="O175" s="37">
        <v>3</v>
      </c>
      <c r="P175" s="37">
        <v>3</v>
      </c>
      <c r="Q175" s="37">
        <v>4</v>
      </c>
      <c r="R175" s="37">
        <v>4</v>
      </c>
      <c r="S175" s="37">
        <v>5</v>
      </c>
      <c r="T175" s="37">
        <v>5</v>
      </c>
      <c r="U175" s="37">
        <v>5</v>
      </c>
      <c r="V175" s="37">
        <v>5</v>
      </c>
      <c r="W175" s="37">
        <v>5</v>
      </c>
      <c r="X175" s="37">
        <v>5</v>
      </c>
      <c r="Z175" s="37">
        <v>7</v>
      </c>
      <c r="AA175" s="37">
        <v>7</v>
      </c>
      <c r="AB175" s="37">
        <v>7</v>
      </c>
      <c r="AC175" s="37">
        <v>7</v>
      </c>
      <c r="AD175" s="37">
        <v>7</v>
      </c>
      <c r="AE175" s="37">
        <v>7</v>
      </c>
      <c r="AF175" s="37">
        <v>7</v>
      </c>
      <c r="AG175" s="37">
        <v>3</v>
      </c>
      <c r="AH175" s="37">
        <v>3</v>
      </c>
      <c r="AI175" s="37">
        <v>3</v>
      </c>
      <c r="AJ175" s="37">
        <v>3</v>
      </c>
      <c r="AK175" s="37">
        <v>3</v>
      </c>
      <c r="AL175" s="37">
        <v>3</v>
      </c>
      <c r="AM175" s="37">
        <v>5</v>
      </c>
      <c r="AN175" s="37">
        <v>5</v>
      </c>
      <c r="AO175" s="37">
        <v>5</v>
      </c>
      <c r="AP175" s="37">
        <v>5</v>
      </c>
      <c r="AQ175" s="37">
        <v>5</v>
      </c>
      <c r="AR175" s="37">
        <v>5</v>
      </c>
      <c r="AS175" s="37">
        <v>5</v>
      </c>
      <c r="AT175" s="37">
        <v>5</v>
      </c>
    </row>
    <row r="176" spans="3:46" s="37" customFormat="1" x14ac:dyDescent="0.25"/>
    <row r="177" spans="3:46" s="37" customFormat="1" x14ac:dyDescent="0.25">
      <c r="C177" s="37" t="s">
        <v>21</v>
      </c>
      <c r="D177" s="37">
        <v>4</v>
      </c>
      <c r="E177" s="37">
        <v>4</v>
      </c>
      <c r="F177" s="37">
        <v>4</v>
      </c>
      <c r="G177" s="37">
        <v>4</v>
      </c>
      <c r="H177" s="37">
        <v>4</v>
      </c>
      <c r="I177" s="37">
        <v>4</v>
      </c>
      <c r="J177" s="37">
        <v>3</v>
      </c>
      <c r="K177" s="37">
        <v>3</v>
      </c>
      <c r="L177" s="37">
        <v>3</v>
      </c>
      <c r="M177" s="37">
        <v>3</v>
      </c>
      <c r="N177" s="37">
        <v>3</v>
      </c>
      <c r="O177" s="37">
        <v>3</v>
      </c>
      <c r="P177" s="37">
        <v>3</v>
      </c>
      <c r="Q177" s="37">
        <v>3</v>
      </c>
      <c r="R177" s="37">
        <v>4</v>
      </c>
      <c r="S177" s="37">
        <v>4</v>
      </c>
      <c r="T177" s="37">
        <v>5</v>
      </c>
      <c r="U177" s="37">
        <v>5</v>
      </c>
      <c r="V177" s="37">
        <v>5</v>
      </c>
      <c r="W177" s="37">
        <v>5</v>
      </c>
      <c r="X177" s="37">
        <v>5</v>
      </c>
      <c r="Z177" s="37">
        <v>4</v>
      </c>
      <c r="AA177" s="37">
        <v>4</v>
      </c>
      <c r="AB177" s="37">
        <v>4</v>
      </c>
      <c r="AC177" s="37">
        <v>4</v>
      </c>
      <c r="AD177" s="37">
        <v>4</v>
      </c>
      <c r="AE177" s="37">
        <v>4</v>
      </c>
      <c r="AF177" s="37">
        <v>4</v>
      </c>
      <c r="AG177" s="37">
        <v>3</v>
      </c>
      <c r="AH177" s="37">
        <v>3</v>
      </c>
      <c r="AI177" s="37">
        <v>3</v>
      </c>
      <c r="AJ177" s="37">
        <v>3</v>
      </c>
      <c r="AK177" s="37">
        <v>3</v>
      </c>
      <c r="AL177" s="37">
        <v>3</v>
      </c>
      <c r="AM177" s="37">
        <v>5</v>
      </c>
      <c r="AN177" s="37">
        <v>5</v>
      </c>
      <c r="AO177" s="37">
        <v>5</v>
      </c>
      <c r="AP177" s="37">
        <v>5</v>
      </c>
      <c r="AQ177" s="37">
        <v>5</v>
      </c>
      <c r="AR177" s="37">
        <v>5</v>
      </c>
      <c r="AS177" s="37">
        <v>5</v>
      </c>
      <c r="AT177" s="37">
        <v>5</v>
      </c>
    </row>
    <row r="178" spans="3:46" s="37" customFormat="1" x14ac:dyDescent="0.25"/>
    <row r="179" spans="3:46" s="37" customFormat="1" x14ac:dyDescent="0.25">
      <c r="C179" s="37" t="s">
        <v>20</v>
      </c>
      <c r="D179" s="37">
        <v>6</v>
      </c>
      <c r="E179" s="37">
        <v>6</v>
      </c>
      <c r="F179" s="37">
        <v>6</v>
      </c>
      <c r="G179" s="37">
        <v>6</v>
      </c>
      <c r="H179" s="37">
        <v>6</v>
      </c>
      <c r="I179" s="37">
        <v>6</v>
      </c>
      <c r="J179" s="37">
        <v>5</v>
      </c>
      <c r="K179" s="37">
        <v>2</v>
      </c>
      <c r="L179" s="37">
        <v>2</v>
      </c>
      <c r="M179" s="37">
        <v>2</v>
      </c>
      <c r="N179" s="37">
        <v>2</v>
      </c>
      <c r="O179" s="37">
        <v>2</v>
      </c>
      <c r="P179" s="37">
        <v>2</v>
      </c>
      <c r="Q179" s="37">
        <v>2</v>
      </c>
      <c r="R179" s="37">
        <v>2</v>
      </c>
      <c r="S179" s="37">
        <v>3</v>
      </c>
      <c r="T179" s="37">
        <v>3</v>
      </c>
      <c r="U179" s="37">
        <v>3</v>
      </c>
      <c r="V179" s="37">
        <v>3</v>
      </c>
      <c r="W179" s="37">
        <v>3</v>
      </c>
      <c r="X179" s="37">
        <v>3</v>
      </c>
      <c r="Z179" s="37">
        <v>6</v>
      </c>
      <c r="AA179" s="37">
        <v>6</v>
      </c>
      <c r="AB179" s="37">
        <v>6</v>
      </c>
      <c r="AC179" s="37">
        <v>6</v>
      </c>
      <c r="AD179" s="37">
        <v>6</v>
      </c>
      <c r="AE179" s="37">
        <v>6</v>
      </c>
      <c r="AF179" s="37">
        <v>6</v>
      </c>
      <c r="AG179" s="37">
        <v>2</v>
      </c>
      <c r="AH179" s="37">
        <v>2</v>
      </c>
      <c r="AI179" s="37">
        <v>2</v>
      </c>
      <c r="AJ179" s="37">
        <v>2</v>
      </c>
      <c r="AK179" s="37">
        <v>2</v>
      </c>
      <c r="AL179" s="37">
        <v>2</v>
      </c>
      <c r="AM179" s="37">
        <v>3</v>
      </c>
      <c r="AN179" s="37">
        <v>3</v>
      </c>
      <c r="AO179" s="37">
        <v>3</v>
      </c>
      <c r="AP179" s="37">
        <v>3</v>
      </c>
      <c r="AQ179" s="37">
        <v>3</v>
      </c>
      <c r="AR179" s="37">
        <v>3</v>
      </c>
      <c r="AS179" s="37">
        <v>3</v>
      </c>
      <c r="AT179" s="37">
        <v>3</v>
      </c>
    </row>
    <row r="180" spans="3:46" s="37" customFormat="1" x14ac:dyDescent="0.25"/>
    <row r="181" spans="3:46" s="37" customFormat="1" x14ac:dyDescent="0.25">
      <c r="C181" s="37" t="s">
        <v>21</v>
      </c>
      <c r="D181" s="37">
        <v>3</v>
      </c>
      <c r="E181" s="37">
        <v>3</v>
      </c>
      <c r="F181" s="37">
        <v>3</v>
      </c>
      <c r="G181" s="37">
        <v>3</v>
      </c>
      <c r="H181" s="37">
        <v>3</v>
      </c>
      <c r="I181" s="37">
        <v>3</v>
      </c>
      <c r="J181" s="37">
        <v>3</v>
      </c>
      <c r="K181" s="37">
        <v>2</v>
      </c>
      <c r="L181" s="37">
        <v>2</v>
      </c>
      <c r="M181" s="37">
        <v>2</v>
      </c>
      <c r="N181" s="37">
        <v>2</v>
      </c>
      <c r="O181" s="37">
        <v>2</v>
      </c>
      <c r="P181" s="37">
        <v>2</v>
      </c>
      <c r="Q181" s="37">
        <v>2</v>
      </c>
      <c r="R181" s="37">
        <v>2</v>
      </c>
      <c r="S181" s="37">
        <v>3</v>
      </c>
      <c r="T181" s="37">
        <v>3</v>
      </c>
      <c r="U181" s="37">
        <v>3</v>
      </c>
      <c r="V181" s="37">
        <v>3</v>
      </c>
      <c r="W181" s="37">
        <v>3</v>
      </c>
      <c r="X181" s="37">
        <v>3</v>
      </c>
      <c r="Z181" s="37">
        <v>3</v>
      </c>
      <c r="AA181" s="37">
        <v>3</v>
      </c>
      <c r="AB181" s="37">
        <v>3</v>
      </c>
      <c r="AC181" s="37">
        <v>3</v>
      </c>
      <c r="AD181" s="37">
        <v>3</v>
      </c>
      <c r="AE181" s="37">
        <v>3</v>
      </c>
      <c r="AF181" s="37">
        <v>3</v>
      </c>
      <c r="AG181" s="37">
        <v>2</v>
      </c>
      <c r="AH181" s="37">
        <v>2</v>
      </c>
      <c r="AI181" s="37">
        <v>2</v>
      </c>
      <c r="AJ181" s="37">
        <v>2</v>
      </c>
      <c r="AK181" s="37">
        <v>2</v>
      </c>
      <c r="AL181" s="37">
        <v>2</v>
      </c>
      <c r="AM181" s="37">
        <v>3</v>
      </c>
      <c r="AN181" s="37">
        <v>3</v>
      </c>
      <c r="AO181" s="37">
        <v>3</v>
      </c>
      <c r="AP181" s="37">
        <v>3</v>
      </c>
      <c r="AQ181" s="37">
        <v>3</v>
      </c>
      <c r="AR181" s="37">
        <v>3</v>
      </c>
      <c r="AS181" s="37">
        <v>3</v>
      </c>
      <c r="AT181" s="37">
        <v>3</v>
      </c>
    </row>
    <row r="182" spans="3:46" s="37" customFormat="1" x14ac:dyDescent="0.25"/>
    <row r="183" spans="3:46" s="37" customFormat="1" x14ac:dyDescent="0.25">
      <c r="C183" s="37" t="s">
        <v>20</v>
      </c>
      <c r="D183" s="37">
        <v>6</v>
      </c>
      <c r="E183" s="37">
        <v>6</v>
      </c>
      <c r="F183" s="37">
        <v>6</v>
      </c>
      <c r="G183" s="37">
        <v>6</v>
      </c>
      <c r="H183" s="37">
        <v>5</v>
      </c>
      <c r="I183" s="37">
        <v>5</v>
      </c>
      <c r="J183" s="37">
        <v>4</v>
      </c>
      <c r="K183" s="37">
        <v>3</v>
      </c>
      <c r="L183" s="37">
        <v>3</v>
      </c>
      <c r="M183" s="37">
        <v>3</v>
      </c>
      <c r="N183" s="37">
        <v>2</v>
      </c>
      <c r="O183" s="37">
        <v>3</v>
      </c>
      <c r="P183" s="37">
        <v>3</v>
      </c>
      <c r="Q183" s="37">
        <v>5</v>
      </c>
      <c r="R183" s="37">
        <v>6</v>
      </c>
      <c r="S183" s="37">
        <v>7</v>
      </c>
      <c r="T183" s="37">
        <v>8</v>
      </c>
      <c r="U183" s="37">
        <v>9</v>
      </c>
      <c r="V183" s="37">
        <v>9</v>
      </c>
      <c r="W183" s="37">
        <v>9</v>
      </c>
      <c r="X183" s="37">
        <v>9</v>
      </c>
      <c r="Z183" s="37">
        <v>6</v>
      </c>
      <c r="AA183" s="37">
        <v>6</v>
      </c>
      <c r="AB183" s="37">
        <v>6</v>
      </c>
      <c r="AC183" s="37">
        <v>6</v>
      </c>
      <c r="AD183" s="37">
        <v>6</v>
      </c>
      <c r="AE183" s="37">
        <v>6</v>
      </c>
      <c r="AF183" s="37">
        <v>6</v>
      </c>
      <c r="AG183" s="37">
        <v>3</v>
      </c>
      <c r="AH183" s="37">
        <v>3</v>
      </c>
      <c r="AI183" s="37">
        <v>3</v>
      </c>
      <c r="AJ183" s="37">
        <v>3</v>
      </c>
      <c r="AK183" s="37">
        <v>3</v>
      </c>
      <c r="AL183" s="37">
        <v>3</v>
      </c>
      <c r="AM183" s="37">
        <v>9</v>
      </c>
      <c r="AN183" s="37">
        <v>9</v>
      </c>
      <c r="AO183" s="37">
        <v>9</v>
      </c>
      <c r="AP183" s="37">
        <v>9</v>
      </c>
      <c r="AQ183" s="37">
        <v>9</v>
      </c>
      <c r="AR183" s="37">
        <v>9</v>
      </c>
      <c r="AS183" s="37">
        <v>9</v>
      </c>
      <c r="AT183" s="37">
        <v>9</v>
      </c>
    </row>
    <row r="184" spans="3:46" s="37" customFormat="1" x14ac:dyDescent="0.25"/>
    <row r="185" spans="3:46" s="37" customFormat="1" x14ac:dyDescent="0.25">
      <c r="C185" s="37" t="s">
        <v>21</v>
      </c>
      <c r="D185" s="37">
        <v>3</v>
      </c>
      <c r="E185" s="37">
        <v>3</v>
      </c>
      <c r="F185" s="37">
        <v>3</v>
      </c>
      <c r="G185" s="37">
        <v>3</v>
      </c>
      <c r="H185" s="37">
        <v>3</v>
      </c>
      <c r="I185" s="37">
        <v>3</v>
      </c>
      <c r="J185" s="37">
        <v>3</v>
      </c>
      <c r="K185" s="37">
        <v>3</v>
      </c>
      <c r="L185" s="37">
        <v>3</v>
      </c>
      <c r="M185" s="37">
        <v>3</v>
      </c>
      <c r="N185" s="37">
        <v>3</v>
      </c>
      <c r="O185" s="37">
        <v>3</v>
      </c>
      <c r="P185" s="37">
        <v>3</v>
      </c>
      <c r="Q185" s="37">
        <v>3</v>
      </c>
      <c r="R185" s="37">
        <v>3</v>
      </c>
      <c r="S185" s="37">
        <v>4</v>
      </c>
      <c r="T185" s="37">
        <v>4</v>
      </c>
      <c r="U185" s="37">
        <v>5</v>
      </c>
      <c r="V185" s="37">
        <v>5</v>
      </c>
      <c r="W185" s="37">
        <v>5</v>
      </c>
      <c r="X185" s="37">
        <v>5</v>
      </c>
      <c r="Z185" s="37">
        <v>3</v>
      </c>
      <c r="AA185" s="37">
        <v>3</v>
      </c>
      <c r="AB185" s="37">
        <v>3</v>
      </c>
      <c r="AC185" s="37">
        <v>3</v>
      </c>
      <c r="AD185" s="37">
        <v>3</v>
      </c>
      <c r="AE185" s="37">
        <v>3</v>
      </c>
      <c r="AF185" s="37">
        <v>3</v>
      </c>
      <c r="AG185" s="37">
        <v>3</v>
      </c>
      <c r="AH185" s="37">
        <v>3</v>
      </c>
      <c r="AI185" s="37">
        <v>3</v>
      </c>
      <c r="AJ185" s="37">
        <v>3</v>
      </c>
      <c r="AK185" s="37">
        <v>3</v>
      </c>
      <c r="AL185" s="37">
        <v>3</v>
      </c>
      <c r="AM185" s="37">
        <v>5</v>
      </c>
      <c r="AN185" s="37">
        <v>5</v>
      </c>
      <c r="AO185" s="37">
        <v>5</v>
      </c>
      <c r="AP185" s="37">
        <v>5</v>
      </c>
      <c r="AQ185" s="37">
        <v>5</v>
      </c>
      <c r="AR185" s="37">
        <v>5</v>
      </c>
      <c r="AS185" s="37">
        <v>5</v>
      </c>
      <c r="AT185" s="37">
        <v>5</v>
      </c>
    </row>
    <row r="186" spans="3:46" s="37" customFormat="1" x14ac:dyDescent="0.25"/>
    <row r="187" spans="3:46" s="37" customFormat="1" x14ac:dyDescent="0.25">
      <c r="C187" s="37" t="s">
        <v>20</v>
      </c>
      <c r="D187" s="37">
        <v>4</v>
      </c>
      <c r="E187" s="37">
        <v>4</v>
      </c>
      <c r="F187" s="37">
        <v>4</v>
      </c>
      <c r="G187" s="37">
        <v>4</v>
      </c>
      <c r="H187" s="37">
        <v>4</v>
      </c>
      <c r="I187" s="37">
        <v>4</v>
      </c>
      <c r="J187" s="37">
        <v>4</v>
      </c>
      <c r="K187" s="37">
        <v>3</v>
      </c>
      <c r="L187" s="37">
        <v>3</v>
      </c>
      <c r="M187" s="37">
        <v>3</v>
      </c>
      <c r="N187" s="37">
        <v>2</v>
      </c>
      <c r="O187" s="37">
        <v>3</v>
      </c>
      <c r="P187" s="37">
        <v>3</v>
      </c>
      <c r="Q187" s="37">
        <v>4</v>
      </c>
      <c r="R187" s="37">
        <v>4</v>
      </c>
      <c r="S187" s="37">
        <v>5</v>
      </c>
      <c r="T187" s="37">
        <v>5</v>
      </c>
      <c r="U187" s="37">
        <v>5</v>
      </c>
      <c r="V187" s="37">
        <v>5</v>
      </c>
      <c r="W187" s="37">
        <v>5</v>
      </c>
      <c r="X187" s="37">
        <v>5</v>
      </c>
      <c r="Z187" s="37">
        <v>4</v>
      </c>
      <c r="AA187" s="37">
        <v>4</v>
      </c>
      <c r="AB187" s="37">
        <v>4</v>
      </c>
      <c r="AC187" s="37">
        <v>4</v>
      </c>
      <c r="AD187" s="37">
        <v>4</v>
      </c>
      <c r="AE187" s="37">
        <v>4</v>
      </c>
      <c r="AF187" s="37">
        <v>4</v>
      </c>
      <c r="AG187" s="37">
        <v>3</v>
      </c>
      <c r="AH187" s="37">
        <v>3</v>
      </c>
      <c r="AI187" s="37">
        <v>3</v>
      </c>
      <c r="AJ187" s="37">
        <v>3</v>
      </c>
      <c r="AK187" s="37">
        <v>3</v>
      </c>
      <c r="AL187" s="37">
        <v>3</v>
      </c>
      <c r="AM187" s="37">
        <v>5</v>
      </c>
      <c r="AN187" s="37">
        <v>5</v>
      </c>
      <c r="AO187" s="37">
        <v>5</v>
      </c>
      <c r="AP187" s="37">
        <v>5</v>
      </c>
      <c r="AQ187" s="37">
        <v>5</v>
      </c>
      <c r="AR187" s="37">
        <v>5</v>
      </c>
      <c r="AS187" s="37">
        <v>5</v>
      </c>
      <c r="AT187" s="37">
        <v>5</v>
      </c>
    </row>
    <row r="188" spans="3:46" s="37" customFormat="1" x14ac:dyDescent="0.25"/>
    <row r="189" spans="3:46" s="37" customFormat="1" x14ac:dyDescent="0.25">
      <c r="C189" s="37" t="s">
        <v>21</v>
      </c>
      <c r="D189" s="37">
        <v>4</v>
      </c>
      <c r="E189" s="37">
        <v>4</v>
      </c>
      <c r="F189" s="37">
        <v>4</v>
      </c>
      <c r="G189" s="37">
        <v>4</v>
      </c>
      <c r="H189" s="37">
        <v>4</v>
      </c>
      <c r="I189" s="37">
        <v>4</v>
      </c>
      <c r="J189" s="37">
        <v>3</v>
      </c>
      <c r="K189" s="37">
        <v>3</v>
      </c>
      <c r="L189" s="37">
        <v>3</v>
      </c>
      <c r="M189" s="37">
        <v>3</v>
      </c>
      <c r="N189" s="37">
        <v>3</v>
      </c>
      <c r="O189" s="37">
        <v>3</v>
      </c>
      <c r="P189" s="37">
        <v>3</v>
      </c>
      <c r="Q189" s="37">
        <v>3</v>
      </c>
      <c r="R189" s="37">
        <v>3</v>
      </c>
      <c r="S189" s="37">
        <v>3</v>
      </c>
      <c r="T189" s="37">
        <v>3</v>
      </c>
      <c r="U189" s="37">
        <v>3</v>
      </c>
      <c r="V189" s="37">
        <v>3</v>
      </c>
      <c r="W189" s="37">
        <v>3</v>
      </c>
      <c r="X189" s="37">
        <v>3</v>
      </c>
      <c r="Z189" s="37">
        <v>4</v>
      </c>
      <c r="AA189" s="37">
        <v>4</v>
      </c>
      <c r="AB189" s="37">
        <v>4</v>
      </c>
      <c r="AC189" s="37">
        <v>4</v>
      </c>
      <c r="AD189" s="37">
        <v>4</v>
      </c>
      <c r="AE189" s="37">
        <v>4</v>
      </c>
      <c r="AF189" s="37">
        <v>4</v>
      </c>
      <c r="AG189" s="37">
        <v>3</v>
      </c>
      <c r="AH189" s="37">
        <v>3</v>
      </c>
      <c r="AI189" s="37">
        <v>3</v>
      </c>
      <c r="AJ189" s="37">
        <v>3</v>
      </c>
      <c r="AK189" s="37">
        <v>3</v>
      </c>
      <c r="AL189" s="37">
        <v>3</v>
      </c>
      <c r="AM189" s="37">
        <v>3</v>
      </c>
      <c r="AN189" s="37">
        <v>3</v>
      </c>
      <c r="AO189" s="37">
        <v>3</v>
      </c>
      <c r="AP189" s="37">
        <v>3</v>
      </c>
      <c r="AQ189" s="37">
        <v>3</v>
      </c>
      <c r="AR189" s="37">
        <v>3</v>
      </c>
      <c r="AS189" s="37">
        <v>3</v>
      </c>
      <c r="AT189" s="37">
        <v>3</v>
      </c>
    </row>
    <row r="190" spans="3:46" s="37" customFormat="1" x14ac:dyDescent="0.25"/>
    <row r="191" spans="3:46" s="37" customFormat="1" x14ac:dyDescent="0.25">
      <c r="C191" s="37" t="s">
        <v>20</v>
      </c>
      <c r="D191" s="37">
        <v>3</v>
      </c>
      <c r="E191" s="37">
        <v>3</v>
      </c>
      <c r="F191" s="37">
        <v>3</v>
      </c>
      <c r="G191" s="37">
        <v>3</v>
      </c>
      <c r="H191" s="37">
        <v>3</v>
      </c>
      <c r="I191" s="37">
        <v>3</v>
      </c>
      <c r="J191" s="37">
        <v>3</v>
      </c>
      <c r="K191" s="37">
        <v>2</v>
      </c>
      <c r="L191" s="37">
        <v>2</v>
      </c>
      <c r="M191" s="37">
        <v>2</v>
      </c>
      <c r="N191" s="37">
        <v>2</v>
      </c>
      <c r="O191" s="37">
        <v>2</v>
      </c>
      <c r="P191" s="37">
        <v>2</v>
      </c>
      <c r="Q191" s="37">
        <v>5</v>
      </c>
      <c r="R191" s="37">
        <v>5</v>
      </c>
      <c r="S191" s="37">
        <v>6</v>
      </c>
      <c r="T191" s="37">
        <v>6</v>
      </c>
      <c r="U191" s="37">
        <v>6</v>
      </c>
      <c r="V191" s="37">
        <v>6</v>
      </c>
      <c r="W191" s="37">
        <v>6</v>
      </c>
      <c r="X191" s="37">
        <v>6</v>
      </c>
      <c r="Z191" s="37">
        <v>3</v>
      </c>
      <c r="AA191" s="37">
        <v>3</v>
      </c>
      <c r="AB191" s="37">
        <v>3</v>
      </c>
      <c r="AC191" s="37">
        <v>3</v>
      </c>
      <c r="AD191" s="37">
        <v>3</v>
      </c>
      <c r="AE191" s="37">
        <v>3</v>
      </c>
      <c r="AF191" s="37">
        <v>3</v>
      </c>
      <c r="AG191" s="37">
        <v>2</v>
      </c>
      <c r="AH191" s="37">
        <v>2</v>
      </c>
      <c r="AI191" s="37">
        <v>2</v>
      </c>
      <c r="AJ191" s="37">
        <v>2</v>
      </c>
      <c r="AK191" s="37">
        <v>2</v>
      </c>
      <c r="AL191" s="37">
        <v>2</v>
      </c>
      <c r="AM191" s="37">
        <v>6</v>
      </c>
      <c r="AN191" s="37">
        <v>6</v>
      </c>
      <c r="AO191" s="37">
        <v>6</v>
      </c>
      <c r="AP191" s="37">
        <v>6</v>
      </c>
      <c r="AQ191" s="37">
        <v>6</v>
      </c>
      <c r="AR191" s="37">
        <v>6</v>
      </c>
      <c r="AS191" s="37">
        <v>6</v>
      </c>
      <c r="AT191" s="37">
        <v>6</v>
      </c>
    </row>
    <row r="192" spans="3:46" s="37" customFormat="1" x14ac:dyDescent="0.25"/>
    <row r="193" spans="3:46" s="37" customFormat="1" x14ac:dyDescent="0.25">
      <c r="C193" s="37" t="s">
        <v>21</v>
      </c>
      <c r="D193" s="37">
        <v>5</v>
      </c>
      <c r="E193" s="37">
        <v>5</v>
      </c>
      <c r="F193" s="37">
        <v>5</v>
      </c>
      <c r="G193" s="37">
        <v>5</v>
      </c>
      <c r="H193" s="37">
        <v>5</v>
      </c>
      <c r="I193" s="37">
        <v>5</v>
      </c>
      <c r="J193" s="37">
        <v>4</v>
      </c>
      <c r="K193" s="37">
        <v>2</v>
      </c>
      <c r="L193" s="37">
        <v>2</v>
      </c>
      <c r="M193" s="37">
        <v>2</v>
      </c>
      <c r="N193" s="37">
        <v>2</v>
      </c>
      <c r="O193" s="37">
        <v>2</v>
      </c>
      <c r="P193" s="37">
        <v>2</v>
      </c>
      <c r="Q193" s="37">
        <v>2</v>
      </c>
      <c r="R193" s="37">
        <v>2</v>
      </c>
      <c r="S193" s="37">
        <v>3</v>
      </c>
      <c r="T193" s="37">
        <v>3</v>
      </c>
      <c r="U193" s="37">
        <v>3</v>
      </c>
      <c r="V193" s="37">
        <v>3</v>
      </c>
      <c r="W193" s="37">
        <v>3</v>
      </c>
      <c r="X193" s="37">
        <v>3</v>
      </c>
      <c r="Z193" s="37">
        <v>5</v>
      </c>
      <c r="AA193" s="37">
        <v>5</v>
      </c>
      <c r="AB193" s="37">
        <v>5</v>
      </c>
      <c r="AC193" s="37">
        <v>5</v>
      </c>
      <c r="AD193" s="37">
        <v>5</v>
      </c>
      <c r="AE193" s="37">
        <v>5</v>
      </c>
      <c r="AF193" s="37">
        <v>5</v>
      </c>
      <c r="AG193" s="37">
        <v>2</v>
      </c>
      <c r="AH193" s="37">
        <v>2</v>
      </c>
      <c r="AI193" s="37">
        <v>2</v>
      </c>
      <c r="AJ193" s="37">
        <v>2</v>
      </c>
      <c r="AK193" s="37">
        <v>2</v>
      </c>
      <c r="AL193" s="37">
        <v>2</v>
      </c>
      <c r="AM193" s="37">
        <v>3</v>
      </c>
      <c r="AN193" s="37">
        <v>3</v>
      </c>
      <c r="AO193" s="37">
        <v>3</v>
      </c>
      <c r="AP193" s="37">
        <v>3</v>
      </c>
      <c r="AQ193" s="37">
        <v>3</v>
      </c>
      <c r="AR193" s="37">
        <v>3</v>
      </c>
      <c r="AS193" s="37">
        <v>3</v>
      </c>
      <c r="AT193" s="37">
        <v>3</v>
      </c>
    </row>
    <row r="194" spans="3:46" s="37" customFormat="1" x14ac:dyDescent="0.25"/>
    <row r="195" spans="3:46" s="37" customFormat="1" x14ac:dyDescent="0.25">
      <c r="C195" s="37" t="s">
        <v>20</v>
      </c>
      <c r="D195" s="37">
        <v>7</v>
      </c>
      <c r="E195" s="37">
        <v>7</v>
      </c>
      <c r="F195" s="37">
        <v>7</v>
      </c>
      <c r="G195" s="37">
        <v>7</v>
      </c>
      <c r="H195" s="37">
        <v>7</v>
      </c>
      <c r="I195" s="37">
        <v>6</v>
      </c>
      <c r="J195" s="37">
        <v>6</v>
      </c>
      <c r="K195" s="37">
        <v>3</v>
      </c>
      <c r="L195" s="37">
        <v>3</v>
      </c>
      <c r="M195" s="37">
        <v>3</v>
      </c>
      <c r="N195" s="37">
        <v>2</v>
      </c>
      <c r="O195" s="37">
        <v>3</v>
      </c>
      <c r="P195" s="37">
        <v>3</v>
      </c>
      <c r="Q195" s="37">
        <v>4</v>
      </c>
      <c r="R195" s="37">
        <v>5</v>
      </c>
      <c r="S195" s="37">
        <v>6</v>
      </c>
      <c r="T195" s="37">
        <v>6</v>
      </c>
      <c r="U195" s="37">
        <v>7</v>
      </c>
      <c r="V195" s="37">
        <v>7</v>
      </c>
      <c r="W195" s="37">
        <v>7</v>
      </c>
      <c r="X195" s="37">
        <v>7</v>
      </c>
      <c r="Z195" s="37">
        <v>7</v>
      </c>
      <c r="AA195" s="37">
        <v>7</v>
      </c>
      <c r="AB195" s="37">
        <v>7</v>
      </c>
      <c r="AC195" s="37">
        <v>7</v>
      </c>
      <c r="AD195" s="37">
        <v>7</v>
      </c>
      <c r="AE195" s="37">
        <v>7</v>
      </c>
      <c r="AF195" s="37">
        <v>7</v>
      </c>
      <c r="AG195" s="37">
        <v>3</v>
      </c>
      <c r="AH195" s="37">
        <v>3</v>
      </c>
      <c r="AI195" s="37">
        <v>3</v>
      </c>
      <c r="AJ195" s="37">
        <v>3</v>
      </c>
      <c r="AK195" s="37">
        <v>3</v>
      </c>
      <c r="AL195" s="37">
        <v>3</v>
      </c>
      <c r="AM195" s="37">
        <v>7</v>
      </c>
      <c r="AN195" s="37">
        <v>7</v>
      </c>
      <c r="AO195" s="37">
        <v>7</v>
      </c>
      <c r="AP195" s="37">
        <v>7</v>
      </c>
      <c r="AQ195" s="37">
        <v>7</v>
      </c>
      <c r="AR195" s="37">
        <v>7</v>
      </c>
      <c r="AS195" s="37">
        <v>7</v>
      </c>
      <c r="AT195" s="37">
        <v>7</v>
      </c>
    </row>
    <row r="196" spans="3:46" s="37" customFormat="1" x14ac:dyDescent="0.25"/>
    <row r="197" spans="3:46" s="37" customFormat="1" x14ac:dyDescent="0.25">
      <c r="C197" s="37" t="s">
        <v>21</v>
      </c>
      <c r="D197" s="37">
        <v>4</v>
      </c>
      <c r="E197" s="37">
        <v>4</v>
      </c>
      <c r="F197" s="37">
        <v>4</v>
      </c>
      <c r="G197" s="37">
        <v>4</v>
      </c>
      <c r="H197" s="37">
        <v>4</v>
      </c>
      <c r="I197" s="37">
        <v>3</v>
      </c>
      <c r="J197" s="37">
        <v>3</v>
      </c>
      <c r="K197" s="37">
        <v>3</v>
      </c>
      <c r="L197" s="37">
        <v>3</v>
      </c>
      <c r="M197" s="37">
        <v>3</v>
      </c>
      <c r="N197" s="37">
        <v>3</v>
      </c>
      <c r="O197" s="37">
        <v>3</v>
      </c>
      <c r="P197" s="37">
        <v>3</v>
      </c>
      <c r="Q197" s="37">
        <v>3</v>
      </c>
      <c r="R197" s="37">
        <v>3</v>
      </c>
      <c r="S197" s="37">
        <v>3</v>
      </c>
      <c r="T197" s="37">
        <v>3</v>
      </c>
      <c r="U197" s="37">
        <v>4</v>
      </c>
      <c r="V197" s="37">
        <v>4</v>
      </c>
      <c r="W197" s="37">
        <v>4</v>
      </c>
      <c r="X197" s="37">
        <v>4</v>
      </c>
      <c r="Z197" s="37">
        <v>4</v>
      </c>
      <c r="AA197" s="37">
        <v>4</v>
      </c>
      <c r="AB197" s="37">
        <v>4</v>
      </c>
      <c r="AC197" s="37">
        <v>4</v>
      </c>
      <c r="AD197" s="37">
        <v>4</v>
      </c>
      <c r="AE197" s="37">
        <v>4</v>
      </c>
      <c r="AF197" s="37">
        <v>4</v>
      </c>
      <c r="AG197" s="37">
        <v>3</v>
      </c>
      <c r="AH197" s="37">
        <v>3</v>
      </c>
      <c r="AI197" s="37">
        <v>3</v>
      </c>
      <c r="AJ197" s="37">
        <v>3</v>
      </c>
      <c r="AK197" s="37">
        <v>3</v>
      </c>
      <c r="AL197" s="37">
        <v>3</v>
      </c>
      <c r="AM197" s="37">
        <v>4</v>
      </c>
      <c r="AN197" s="37">
        <v>4</v>
      </c>
      <c r="AO197" s="37">
        <v>4</v>
      </c>
      <c r="AP197" s="37">
        <v>4</v>
      </c>
      <c r="AQ197" s="37">
        <v>4</v>
      </c>
      <c r="AR197" s="37">
        <v>4</v>
      </c>
      <c r="AS197" s="37">
        <v>4</v>
      </c>
      <c r="AT197" s="37">
        <v>4</v>
      </c>
    </row>
    <row r="198" spans="3:46" s="37" customFormat="1" x14ac:dyDescent="0.25"/>
    <row r="199" spans="3:46" s="37" customFormat="1" x14ac:dyDescent="0.25">
      <c r="C199" s="37" t="s">
        <v>20</v>
      </c>
      <c r="D199" s="37">
        <v>5</v>
      </c>
      <c r="E199" s="37">
        <v>5</v>
      </c>
      <c r="F199" s="37">
        <v>5</v>
      </c>
      <c r="G199" s="37">
        <v>5</v>
      </c>
      <c r="H199" s="37">
        <v>5</v>
      </c>
      <c r="I199" s="37">
        <v>5</v>
      </c>
      <c r="J199" s="37">
        <v>5</v>
      </c>
      <c r="K199" s="37">
        <v>3</v>
      </c>
      <c r="L199" s="37">
        <v>3</v>
      </c>
      <c r="M199" s="37">
        <v>3</v>
      </c>
      <c r="N199" s="37">
        <v>3</v>
      </c>
      <c r="O199" s="37">
        <v>2</v>
      </c>
      <c r="P199" s="37">
        <v>3</v>
      </c>
      <c r="Q199" s="37">
        <v>3</v>
      </c>
      <c r="R199" s="37">
        <v>3</v>
      </c>
      <c r="S199" s="37">
        <v>4</v>
      </c>
      <c r="T199" s="37">
        <v>4</v>
      </c>
      <c r="U199" s="37">
        <v>4</v>
      </c>
      <c r="V199" s="37">
        <v>4</v>
      </c>
      <c r="W199" s="37">
        <v>4</v>
      </c>
      <c r="X199" s="37">
        <v>4</v>
      </c>
      <c r="Z199" s="37">
        <v>5</v>
      </c>
      <c r="AA199" s="37">
        <v>5</v>
      </c>
      <c r="AB199" s="37">
        <v>5</v>
      </c>
      <c r="AC199" s="37">
        <v>5</v>
      </c>
      <c r="AD199" s="37">
        <v>5</v>
      </c>
      <c r="AE199" s="37">
        <v>5</v>
      </c>
      <c r="AF199" s="37">
        <v>5</v>
      </c>
      <c r="AG199" s="37">
        <v>3</v>
      </c>
      <c r="AH199" s="37">
        <v>3</v>
      </c>
      <c r="AI199" s="37">
        <v>3</v>
      </c>
      <c r="AJ199" s="37">
        <v>3</v>
      </c>
      <c r="AK199" s="37">
        <v>3</v>
      </c>
      <c r="AL199" s="37">
        <v>3</v>
      </c>
      <c r="AM199" s="37">
        <v>4</v>
      </c>
      <c r="AN199" s="37">
        <v>4</v>
      </c>
      <c r="AO199" s="37">
        <v>4</v>
      </c>
      <c r="AP199" s="37">
        <v>4</v>
      </c>
      <c r="AQ199" s="37">
        <v>4</v>
      </c>
      <c r="AR199" s="37">
        <v>4</v>
      </c>
      <c r="AS199" s="37">
        <v>4</v>
      </c>
      <c r="AT199" s="37">
        <v>4</v>
      </c>
    </row>
    <row r="200" spans="3:46" s="37" customFormat="1" x14ac:dyDescent="0.25"/>
    <row r="201" spans="3:46" s="37" customFormat="1" x14ac:dyDescent="0.25">
      <c r="C201" s="37" t="s">
        <v>21</v>
      </c>
      <c r="D201" s="37">
        <v>3</v>
      </c>
      <c r="E201" s="37">
        <v>3</v>
      </c>
      <c r="F201" s="37">
        <v>3</v>
      </c>
      <c r="G201" s="37">
        <v>3</v>
      </c>
      <c r="H201" s="37">
        <v>3</v>
      </c>
      <c r="I201" s="37">
        <v>3</v>
      </c>
      <c r="J201" s="37">
        <v>3</v>
      </c>
      <c r="K201" s="37">
        <v>3</v>
      </c>
      <c r="L201" s="37">
        <v>3</v>
      </c>
      <c r="M201" s="37">
        <v>3</v>
      </c>
      <c r="N201" s="37">
        <v>3</v>
      </c>
      <c r="O201" s="37">
        <v>3</v>
      </c>
      <c r="P201" s="37">
        <v>3</v>
      </c>
      <c r="Q201" s="37">
        <v>3</v>
      </c>
      <c r="R201" s="37">
        <v>3</v>
      </c>
      <c r="S201" s="37">
        <v>3</v>
      </c>
      <c r="T201" s="37">
        <v>4</v>
      </c>
      <c r="U201" s="37">
        <v>4</v>
      </c>
      <c r="V201" s="37">
        <v>4</v>
      </c>
      <c r="W201" s="37">
        <v>4</v>
      </c>
      <c r="X201" s="37">
        <v>4</v>
      </c>
      <c r="Z201" s="37">
        <v>3</v>
      </c>
      <c r="AA201" s="37">
        <v>3</v>
      </c>
      <c r="AB201" s="37">
        <v>3</v>
      </c>
      <c r="AC201" s="37">
        <v>3</v>
      </c>
      <c r="AD201" s="37">
        <v>3</v>
      </c>
      <c r="AE201" s="37">
        <v>3</v>
      </c>
      <c r="AF201" s="37">
        <v>3</v>
      </c>
      <c r="AG201" s="37">
        <v>3</v>
      </c>
      <c r="AH201" s="37">
        <v>3</v>
      </c>
      <c r="AI201" s="37">
        <v>3</v>
      </c>
      <c r="AJ201" s="37">
        <v>3</v>
      </c>
      <c r="AK201" s="37">
        <v>3</v>
      </c>
      <c r="AL201" s="37">
        <v>3</v>
      </c>
      <c r="AM201" s="37">
        <v>4</v>
      </c>
      <c r="AN201" s="37">
        <v>4</v>
      </c>
      <c r="AO201" s="37">
        <v>4</v>
      </c>
      <c r="AP201" s="37">
        <v>4</v>
      </c>
      <c r="AQ201" s="37">
        <v>4</v>
      </c>
      <c r="AR201" s="37">
        <v>4</v>
      </c>
      <c r="AS201" s="37">
        <v>4</v>
      </c>
      <c r="AT201" s="37">
        <v>4</v>
      </c>
    </row>
    <row r="202" spans="3:46" s="37" customFormat="1" x14ac:dyDescent="0.25"/>
    <row r="203" spans="3:46" s="37" customFormat="1" x14ac:dyDescent="0.25">
      <c r="C203" s="37" t="s">
        <v>20</v>
      </c>
      <c r="D203" s="37">
        <v>8</v>
      </c>
      <c r="E203" s="37">
        <v>8</v>
      </c>
      <c r="F203" s="37">
        <v>8</v>
      </c>
      <c r="G203" s="37">
        <v>8</v>
      </c>
      <c r="H203" s="37">
        <v>8</v>
      </c>
      <c r="I203" s="37">
        <v>8</v>
      </c>
      <c r="J203" s="37">
        <v>7</v>
      </c>
      <c r="K203" s="37">
        <v>3</v>
      </c>
      <c r="L203" s="37">
        <v>3</v>
      </c>
      <c r="M203" s="37">
        <v>3</v>
      </c>
      <c r="N203" s="37">
        <v>3</v>
      </c>
      <c r="O203" s="37">
        <v>3</v>
      </c>
      <c r="P203" s="37">
        <v>3</v>
      </c>
      <c r="Q203" s="37">
        <v>3</v>
      </c>
      <c r="R203" s="37">
        <v>4</v>
      </c>
      <c r="S203" s="37">
        <v>4</v>
      </c>
      <c r="T203" s="37">
        <v>5</v>
      </c>
      <c r="U203" s="37">
        <v>5</v>
      </c>
      <c r="V203" s="37">
        <v>5</v>
      </c>
      <c r="W203" s="37">
        <v>5</v>
      </c>
      <c r="X203" s="37">
        <v>5</v>
      </c>
      <c r="Z203" s="37">
        <v>8</v>
      </c>
      <c r="AA203" s="37">
        <v>8</v>
      </c>
      <c r="AB203" s="37">
        <v>8</v>
      </c>
      <c r="AC203" s="37">
        <v>8</v>
      </c>
      <c r="AD203" s="37">
        <v>8</v>
      </c>
      <c r="AE203" s="37">
        <v>8</v>
      </c>
      <c r="AF203" s="37">
        <v>8</v>
      </c>
      <c r="AG203" s="37">
        <v>3</v>
      </c>
      <c r="AH203" s="37">
        <v>3</v>
      </c>
      <c r="AI203" s="37">
        <v>3</v>
      </c>
      <c r="AJ203" s="37">
        <v>3</v>
      </c>
      <c r="AK203" s="37">
        <v>3</v>
      </c>
      <c r="AL203" s="37">
        <v>3</v>
      </c>
      <c r="AM203" s="37">
        <v>5</v>
      </c>
      <c r="AN203" s="37">
        <v>5</v>
      </c>
      <c r="AO203" s="37">
        <v>5</v>
      </c>
      <c r="AP203" s="37">
        <v>5</v>
      </c>
      <c r="AQ203" s="37">
        <v>5</v>
      </c>
      <c r="AR203" s="37">
        <v>5</v>
      </c>
      <c r="AS203" s="37">
        <v>5</v>
      </c>
      <c r="AT203" s="37">
        <v>5</v>
      </c>
    </row>
    <row r="204" spans="3:46" s="37" customFormat="1" x14ac:dyDescent="0.25"/>
    <row r="205" spans="3:46" s="37" customFormat="1" x14ac:dyDescent="0.25">
      <c r="C205" s="37" t="s">
        <v>21</v>
      </c>
      <c r="D205" s="37">
        <v>4</v>
      </c>
      <c r="E205" s="37">
        <v>4</v>
      </c>
      <c r="F205" s="37">
        <v>4</v>
      </c>
      <c r="G205" s="37">
        <v>4</v>
      </c>
      <c r="H205" s="37">
        <v>4</v>
      </c>
      <c r="I205" s="37">
        <v>4</v>
      </c>
      <c r="J205" s="37">
        <v>3</v>
      </c>
      <c r="K205" s="37">
        <v>3</v>
      </c>
      <c r="L205" s="37">
        <v>3</v>
      </c>
      <c r="M205" s="37">
        <v>3</v>
      </c>
      <c r="N205" s="37">
        <v>3</v>
      </c>
      <c r="O205" s="37">
        <v>3</v>
      </c>
      <c r="P205" s="37">
        <v>3</v>
      </c>
      <c r="Q205" s="37">
        <v>4</v>
      </c>
      <c r="R205" s="37">
        <v>4</v>
      </c>
      <c r="S205" s="37">
        <v>5</v>
      </c>
      <c r="T205" s="37">
        <v>5</v>
      </c>
      <c r="U205" s="37">
        <v>6</v>
      </c>
      <c r="V205" s="37">
        <v>6</v>
      </c>
      <c r="W205" s="37">
        <v>6</v>
      </c>
      <c r="X205" s="37">
        <v>6</v>
      </c>
      <c r="Z205" s="37">
        <v>4</v>
      </c>
      <c r="AA205" s="37">
        <v>4</v>
      </c>
      <c r="AB205" s="37">
        <v>4</v>
      </c>
      <c r="AC205" s="37">
        <v>4</v>
      </c>
      <c r="AD205" s="37">
        <v>4</v>
      </c>
      <c r="AE205" s="37">
        <v>4</v>
      </c>
      <c r="AF205" s="37">
        <v>4</v>
      </c>
      <c r="AG205" s="37">
        <v>3</v>
      </c>
      <c r="AH205" s="37">
        <v>3</v>
      </c>
      <c r="AI205" s="37">
        <v>3</v>
      </c>
      <c r="AJ205" s="37">
        <v>3</v>
      </c>
      <c r="AK205" s="37">
        <v>3</v>
      </c>
      <c r="AL205" s="37">
        <v>3</v>
      </c>
      <c r="AM205" s="37">
        <v>6</v>
      </c>
      <c r="AN205" s="37">
        <v>6</v>
      </c>
      <c r="AO205" s="37">
        <v>6</v>
      </c>
      <c r="AP205" s="37">
        <v>6</v>
      </c>
      <c r="AQ205" s="37">
        <v>6</v>
      </c>
      <c r="AR205" s="37">
        <v>6</v>
      </c>
      <c r="AS205" s="37">
        <v>6</v>
      </c>
      <c r="AT205" s="37">
        <v>6</v>
      </c>
    </row>
    <row r="206" spans="3:46" s="37" customFormat="1" x14ac:dyDescent="0.25"/>
    <row r="207" spans="3:46" s="37" customFormat="1" x14ac:dyDescent="0.25">
      <c r="C207" s="37" t="s">
        <v>20</v>
      </c>
      <c r="D207" s="37">
        <v>7</v>
      </c>
      <c r="E207" s="37">
        <v>7</v>
      </c>
      <c r="F207" s="37">
        <v>7</v>
      </c>
      <c r="G207" s="37">
        <v>7</v>
      </c>
      <c r="H207" s="37">
        <v>7</v>
      </c>
      <c r="I207" s="37">
        <v>7</v>
      </c>
      <c r="J207" s="37">
        <v>7</v>
      </c>
      <c r="K207" s="37">
        <v>3</v>
      </c>
      <c r="L207" s="37">
        <v>3</v>
      </c>
      <c r="M207" s="37">
        <v>3</v>
      </c>
      <c r="N207" s="37">
        <v>3</v>
      </c>
      <c r="O207" s="37">
        <v>3</v>
      </c>
      <c r="P207" s="37">
        <v>3</v>
      </c>
      <c r="Q207" s="37">
        <v>4</v>
      </c>
      <c r="R207" s="37">
        <v>4</v>
      </c>
      <c r="S207" s="37">
        <v>5</v>
      </c>
      <c r="T207" s="37">
        <v>5</v>
      </c>
      <c r="U207" s="37">
        <v>5</v>
      </c>
      <c r="V207" s="37">
        <v>5</v>
      </c>
      <c r="W207" s="37">
        <v>5</v>
      </c>
      <c r="X207" s="37">
        <v>5</v>
      </c>
      <c r="Z207" s="37">
        <v>7</v>
      </c>
      <c r="AA207" s="37">
        <v>7</v>
      </c>
      <c r="AB207" s="37">
        <v>7</v>
      </c>
      <c r="AC207" s="37">
        <v>7</v>
      </c>
      <c r="AD207" s="37">
        <v>7</v>
      </c>
      <c r="AE207" s="37">
        <v>7</v>
      </c>
      <c r="AF207" s="37">
        <v>7</v>
      </c>
      <c r="AG207" s="37">
        <v>3</v>
      </c>
      <c r="AH207" s="37">
        <v>3</v>
      </c>
      <c r="AI207" s="37">
        <v>3</v>
      </c>
      <c r="AJ207" s="37">
        <v>3</v>
      </c>
      <c r="AK207" s="37">
        <v>3</v>
      </c>
      <c r="AL207" s="37">
        <v>3</v>
      </c>
      <c r="AM207" s="37">
        <v>5</v>
      </c>
      <c r="AN207" s="37">
        <v>5</v>
      </c>
      <c r="AO207" s="37">
        <v>5</v>
      </c>
      <c r="AP207" s="37">
        <v>5</v>
      </c>
      <c r="AQ207" s="37">
        <v>5</v>
      </c>
      <c r="AR207" s="37">
        <v>5</v>
      </c>
      <c r="AS207" s="37">
        <v>5</v>
      </c>
      <c r="AT207" s="37">
        <v>5</v>
      </c>
    </row>
    <row r="208" spans="3:46" s="37" customFormat="1" x14ac:dyDescent="0.25"/>
    <row r="209" spans="3:46" s="37" customFormat="1" x14ac:dyDescent="0.25">
      <c r="C209" s="37" t="s">
        <v>21</v>
      </c>
      <c r="D209" s="37">
        <v>4</v>
      </c>
      <c r="E209" s="37">
        <v>4</v>
      </c>
      <c r="F209" s="37">
        <v>4</v>
      </c>
      <c r="G209" s="37">
        <v>4</v>
      </c>
      <c r="H209" s="37">
        <v>4</v>
      </c>
      <c r="I209" s="37">
        <v>4</v>
      </c>
      <c r="J209" s="37">
        <v>3</v>
      </c>
      <c r="K209" s="37">
        <v>3</v>
      </c>
      <c r="L209" s="37">
        <v>3</v>
      </c>
      <c r="M209" s="37">
        <v>3</v>
      </c>
      <c r="N209" s="37">
        <v>3</v>
      </c>
      <c r="O209" s="37">
        <v>3</v>
      </c>
      <c r="P209" s="37">
        <v>3</v>
      </c>
      <c r="Q209" s="37">
        <v>4</v>
      </c>
      <c r="R209" s="37">
        <v>5</v>
      </c>
      <c r="S209" s="37">
        <v>5</v>
      </c>
      <c r="T209" s="37">
        <v>6</v>
      </c>
      <c r="U209" s="37">
        <v>6</v>
      </c>
      <c r="V209" s="37">
        <v>6</v>
      </c>
      <c r="W209" s="37">
        <v>6</v>
      </c>
      <c r="X209" s="37">
        <v>6</v>
      </c>
      <c r="Z209" s="37">
        <v>4</v>
      </c>
      <c r="AA209" s="37">
        <v>4</v>
      </c>
      <c r="AB209" s="37">
        <v>4</v>
      </c>
      <c r="AC209" s="37">
        <v>4</v>
      </c>
      <c r="AD209" s="37">
        <v>4</v>
      </c>
      <c r="AE209" s="37">
        <v>4</v>
      </c>
      <c r="AF209" s="37">
        <v>4</v>
      </c>
      <c r="AG209" s="37">
        <v>3</v>
      </c>
      <c r="AH209" s="37">
        <v>3</v>
      </c>
      <c r="AI209" s="37">
        <v>3</v>
      </c>
      <c r="AJ209" s="37">
        <v>3</v>
      </c>
      <c r="AK209" s="37">
        <v>3</v>
      </c>
      <c r="AL209" s="37">
        <v>3</v>
      </c>
      <c r="AM209" s="37">
        <v>6</v>
      </c>
      <c r="AN209" s="37">
        <v>6</v>
      </c>
      <c r="AO209" s="37">
        <v>6</v>
      </c>
      <c r="AP209" s="37">
        <v>6</v>
      </c>
      <c r="AQ209" s="37">
        <v>6</v>
      </c>
      <c r="AR209" s="37">
        <v>6</v>
      </c>
      <c r="AS209" s="37">
        <v>6</v>
      </c>
      <c r="AT209" s="37">
        <v>6</v>
      </c>
    </row>
    <row r="210" spans="3:46" s="37" customFormat="1" x14ac:dyDescent="0.25"/>
    <row r="211" spans="3:46" s="37" customFormat="1" x14ac:dyDescent="0.25">
      <c r="C211" s="37" t="s">
        <v>20</v>
      </c>
      <c r="D211" s="37">
        <v>6</v>
      </c>
      <c r="E211" s="37">
        <v>6</v>
      </c>
      <c r="F211" s="37">
        <v>6</v>
      </c>
      <c r="G211" s="37">
        <v>6</v>
      </c>
      <c r="H211" s="37">
        <v>6</v>
      </c>
      <c r="I211" s="37">
        <v>6</v>
      </c>
      <c r="J211" s="37">
        <v>5</v>
      </c>
      <c r="K211" s="37">
        <v>3</v>
      </c>
      <c r="L211" s="37">
        <v>3</v>
      </c>
      <c r="M211" s="37">
        <v>3</v>
      </c>
      <c r="N211" s="37">
        <v>3</v>
      </c>
      <c r="O211" s="37">
        <v>3</v>
      </c>
      <c r="P211" s="37">
        <v>3</v>
      </c>
      <c r="Q211" s="37">
        <v>6</v>
      </c>
      <c r="R211" s="37">
        <v>7</v>
      </c>
      <c r="S211" s="37">
        <v>8</v>
      </c>
      <c r="T211" s="37">
        <v>9</v>
      </c>
      <c r="U211" s="37">
        <v>9</v>
      </c>
      <c r="V211" s="37">
        <v>9</v>
      </c>
      <c r="W211" s="37">
        <v>9</v>
      </c>
      <c r="X211" s="37">
        <v>9</v>
      </c>
      <c r="Z211" s="37">
        <v>6</v>
      </c>
      <c r="AA211" s="37">
        <v>6</v>
      </c>
      <c r="AB211" s="37">
        <v>6</v>
      </c>
      <c r="AC211" s="37">
        <v>6</v>
      </c>
      <c r="AD211" s="37">
        <v>6</v>
      </c>
      <c r="AE211" s="37">
        <v>6</v>
      </c>
      <c r="AF211" s="37">
        <v>6</v>
      </c>
      <c r="AG211" s="37">
        <v>3</v>
      </c>
      <c r="AH211" s="37">
        <v>3</v>
      </c>
      <c r="AI211" s="37">
        <v>3</v>
      </c>
      <c r="AJ211" s="37">
        <v>3</v>
      </c>
      <c r="AK211" s="37">
        <v>3</v>
      </c>
      <c r="AL211" s="37">
        <v>3</v>
      </c>
      <c r="AM211" s="37">
        <v>9</v>
      </c>
      <c r="AN211" s="37">
        <v>9</v>
      </c>
      <c r="AO211" s="37">
        <v>9</v>
      </c>
      <c r="AP211" s="37">
        <v>9</v>
      </c>
      <c r="AQ211" s="37">
        <v>9</v>
      </c>
      <c r="AR211" s="37">
        <v>9</v>
      </c>
      <c r="AS211" s="37">
        <v>9</v>
      </c>
      <c r="AT211" s="37">
        <v>9</v>
      </c>
    </row>
    <row r="212" spans="3:46" s="37" customFormat="1" x14ac:dyDescent="0.25"/>
    <row r="213" spans="3:46" s="37" customFormat="1" x14ac:dyDescent="0.25">
      <c r="C213" s="37" t="s">
        <v>21</v>
      </c>
      <c r="D213" s="37">
        <v>5</v>
      </c>
      <c r="E213" s="37">
        <v>5</v>
      </c>
      <c r="F213" s="37">
        <v>5</v>
      </c>
      <c r="G213" s="37">
        <v>5</v>
      </c>
      <c r="H213" s="37">
        <v>5</v>
      </c>
      <c r="I213" s="37">
        <v>5</v>
      </c>
      <c r="J213" s="37">
        <v>4</v>
      </c>
      <c r="K213" s="37">
        <v>3</v>
      </c>
      <c r="L213" s="37">
        <v>3</v>
      </c>
      <c r="M213" s="37">
        <v>3</v>
      </c>
      <c r="N213" s="37">
        <v>3</v>
      </c>
      <c r="O213" s="37">
        <v>3</v>
      </c>
      <c r="P213" s="37">
        <v>3</v>
      </c>
      <c r="Q213" s="37">
        <v>3</v>
      </c>
      <c r="R213" s="37">
        <v>4</v>
      </c>
      <c r="S213" s="37">
        <v>4</v>
      </c>
      <c r="T213" s="37">
        <v>5</v>
      </c>
      <c r="U213" s="37">
        <v>5</v>
      </c>
      <c r="V213" s="37">
        <v>5</v>
      </c>
      <c r="W213" s="37">
        <v>5</v>
      </c>
      <c r="X213" s="37">
        <v>5</v>
      </c>
      <c r="Z213" s="37">
        <v>5</v>
      </c>
      <c r="AA213" s="37">
        <v>5</v>
      </c>
      <c r="AB213" s="37">
        <v>5</v>
      </c>
      <c r="AC213" s="37">
        <v>5</v>
      </c>
      <c r="AD213" s="37">
        <v>5</v>
      </c>
      <c r="AE213" s="37">
        <v>5</v>
      </c>
      <c r="AF213" s="37">
        <v>5</v>
      </c>
      <c r="AG213" s="37">
        <v>3</v>
      </c>
      <c r="AH213" s="37">
        <v>3</v>
      </c>
      <c r="AI213" s="37">
        <v>3</v>
      </c>
      <c r="AJ213" s="37">
        <v>3</v>
      </c>
      <c r="AK213" s="37">
        <v>3</v>
      </c>
      <c r="AL213" s="37">
        <v>3</v>
      </c>
      <c r="AM213" s="37">
        <v>5</v>
      </c>
      <c r="AN213" s="37">
        <v>5</v>
      </c>
      <c r="AO213" s="37">
        <v>5</v>
      </c>
      <c r="AP213" s="37">
        <v>5</v>
      </c>
      <c r="AQ213" s="37">
        <v>5</v>
      </c>
      <c r="AR213" s="37">
        <v>5</v>
      </c>
      <c r="AS213" s="37">
        <v>5</v>
      </c>
      <c r="AT213" s="37">
        <v>5</v>
      </c>
    </row>
    <row r="214" spans="3:46" s="37" customFormat="1" x14ac:dyDescent="0.25"/>
    <row r="215" spans="3:46" s="37" customFormat="1" x14ac:dyDescent="0.25">
      <c r="C215" s="37" t="s">
        <v>20</v>
      </c>
      <c r="D215" s="37">
        <v>7</v>
      </c>
      <c r="E215" s="37">
        <v>7</v>
      </c>
      <c r="F215" s="37">
        <v>7</v>
      </c>
      <c r="G215" s="37">
        <v>7</v>
      </c>
      <c r="H215" s="37">
        <v>7</v>
      </c>
      <c r="I215" s="37">
        <v>6</v>
      </c>
      <c r="J215" s="37">
        <v>6</v>
      </c>
      <c r="K215" s="37">
        <v>4</v>
      </c>
      <c r="L215" s="37">
        <v>4</v>
      </c>
      <c r="M215" s="37">
        <v>4</v>
      </c>
      <c r="N215" s="37">
        <v>2</v>
      </c>
      <c r="O215" s="37">
        <v>4</v>
      </c>
      <c r="P215" s="37">
        <v>4</v>
      </c>
      <c r="Q215" s="37">
        <v>6</v>
      </c>
      <c r="R215" s="37">
        <v>7</v>
      </c>
      <c r="S215" s="37">
        <v>8</v>
      </c>
      <c r="T215" s="37">
        <v>9</v>
      </c>
      <c r="U215" s="37">
        <v>10</v>
      </c>
      <c r="V215" s="37">
        <v>10</v>
      </c>
      <c r="W215" s="37">
        <v>10</v>
      </c>
      <c r="X215" s="37">
        <v>10</v>
      </c>
      <c r="Z215" s="37">
        <v>7</v>
      </c>
      <c r="AA215" s="37">
        <v>7</v>
      </c>
      <c r="AB215" s="37">
        <v>7</v>
      </c>
      <c r="AC215" s="37">
        <v>7</v>
      </c>
      <c r="AD215" s="37">
        <v>7</v>
      </c>
      <c r="AE215" s="37">
        <v>7</v>
      </c>
      <c r="AF215" s="37">
        <v>7</v>
      </c>
      <c r="AG215" s="37">
        <v>4</v>
      </c>
      <c r="AH215" s="37">
        <v>4</v>
      </c>
      <c r="AI215" s="37">
        <v>4</v>
      </c>
      <c r="AJ215" s="37">
        <v>4</v>
      </c>
      <c r="AK215" s="37">
        <v>4</v>
      </c>
      <c r="AL215" s="37">
        <v>4</v>
      </c>
      <c r="AM215" s="37">
        <v>10</v>
      </c>
      <c r="AN215" s="37">
        <v>10</v>
      </c>
      <c r="AO215" s="37">
        <v>10</v>
      </c>
      <c r="AP215" s="37">
        <v>10</v>
      </c>
      <c r="AQ215" s="37">
        <v>10</v>
      </c>
      <c r="AR215" s="37">
        <v>10</v>
      </c>
      <c r="AS215" s="37">
        <v>10</v>
      </c>
      <c r="AT215" s="37">
        <v>10</v>
      </c>
    </row>
    <row r="216" spans="3:46" s="37" customFormat="1" x14ac:dyDescent="0.25"/>
    <row r="217" spans="3:46" s="37" customFormat="1" x14ac:dyDescent="0.25">
      <c r="C217" s="37" t="s">
        <v>21</v>
      </c>
      <c r="D217" s="37">
        <v>4</v>
      </c>
      <c r="E217" s="37">
        <v>4</v>
      </c>
      <c r="F217" s="37">
        <v>4</v>
      </c>
      <c r="G217" s="37">
        <v>4</v>
      </c>
      <c r="H217" s="37">
        <v>4</v>
      </c>
      <c r="I217" s="37">
        <v>4</v>
      </c>
      <c r="J217" s="37">
        <v>4</v>
      </c>
      <c r="K217" s="37">
        <v>4</v>
      </c>
      <c r="L217" s="37">
        <v>4</v>
      </c>
      <c r="M217" s="37">
        <v>4</v>
      </c>
      <c r="N217" s="37">
        <v>4</v>
      </c>
      <c r="O217" s="37">
        <v>4</v>
      </c>
      <c r="P217" s="37">
        <v>4</v>
      </c>
      <c r="Q217" s="37">
        <v>4</v>
      </c>
      <c r="R217" s="37">
        <v>4</v>
      </c>
      <c r="S217" s="37">
        <v>4</v>
      </c>
      <c r="T217" s="37">
        <v>4</v>
      </c>
      <c r="U217" s="37">
        <v>5</v>
      </c>
      <c r="V217" s="37">
        <v>5</v>
      </c>
      <c r="W217" s="37">
        <v>5</v>
      </c>
      <c r="X217" s="37">
        <v>5</v>
      </c>
      <c r="Z217" s="37">
        <v>4</v>
      </c>
      <c r="AA217" s="37">
        <v>4</v>
      </c>
      <c r="AB217" s="37">
        <v>4</v>
      </c>
      <c r="AC217" s="37">
        <v>4</v>
      </c>
      <c r="AD217" s="37">
        <v>4</v>
      </c>
      <c r="AE217" s="37">
        <v>4</v>
      </c>
      <c r="AF217" s="37">
        <v>4</v>
      </c>
      <c r="AG217" s="37">
        <v>4</v>
      </c>
      <c r="AH217" s="37">
        <v>4</v>
      </c>
      <c r="AI217" s="37">
        <v>4</v>
      </c>
      <c r="AJ217" s="37">
        <v>4</v>
      </c>
      <c r="AK217" s="37">
        <v>4</v>
      </c>
      <c r="AL217" s="37">
        <v>4</v>
      </c>
      <c r="AM217" s="37">
        <v>5</v>
      </c>
      <c r="AN217" s="37">
        <v>5</v>
      </c>
      <c r="AO217" s="37">
        <v>5</v>
      </c>
      <c r="AP217" s="37">
        <v>5</v>
      </c>
      <c r="AQ217" s="37">
        <v>5</v>
      </c>
      <c r="AR217" s="37">
        <v>5</v>
      </c>
      <c r="AS217" s="37">
        <v>5</v>
      </c>
      <c r="AT217" s="37">
        <v>5</v>
      </c>
    </row>
    <row r="218" spans="3:46" s="37" customFormat="1" x14ac:dyDescent="0.25"/>
    <row r="219" spans="3:46" s="37" customFormat="1" x14ac:dyDescent="0.25">
      <c r="C219" s="37" t="s">
        <v>20</v>
      </c>
      <c r="D219" s="37">
        <v>8</v>
      </c>
      <c r="E219" s="37">
        <v>8</v>
      </c>
      <c r="F219" s="37">
        <v>8</v>
      </c>
      <c r="G219" s="37">
        <v>8</v>
      </c>
      <c r="H219" s="37">
        <v>8</v>
      </c>
      <c r="I219" s="37">
        <v>7</v>
      </c>
      <c r="J219" s="37">
        <v>6</v>
      </c>
      <c r="K219" s="37">
        <v>3</v>
      </c>
      <c r="L219" s="37">
        <v>3</v>
      </c>
      <c r="M219" s="37">
        <v>3</v>
      </c>
      <c r="N219" s="37">
        <v>3</v>
      </c>
      <c r="O219" s="37">
        <v>3</v>
      </c>
      <c r="P219" s="37">
        <v>3</v>
      </c>
      <c r="Q219" s="37">
        <v>5</v>
      </c>
      <c r="R219" s="37">
        <v>6</v>
      </c>
      <c r="S219" s="37">
        <v>7</v>
      </c>
      <c r="T219" s="37">
        <v>8</v>
      </c>
      <c r="U219" s="37">
        <v>9</v>
      </c>
      <c r="V219" s="37">
        <v>9</v>
      </c>
      <c r="W219" s="37">
        <v>9</v>
      </c>
      <c r="X219" s="37">
        <v>9</v>
      </c>
      <c r="Z219" s="37">
        <v>8</v>
      </c>
      <c r="AA219" s="37">
        <v>8</v>
      </c>
      <c r="AB219" s="37">
        <v>8</v>
      </c>
      <c r="AC219" s="37">
        <v>8</v>
      </c>
      <c r="AD219" s="37">
        <v>8</v>
      </c>
      <c r="AE219" s="37">
        <v>8</v>
      </c>
      <c r="AF219" s="37">
        <v>8</v>
      </c>
      <c r="AG219" s="37">
        <v>3</v>
      </c>
      <c r="AH219" s="37">
        <v>3</v>
      </c>
      <c r="AI219" s="37">
        <v>3</v>
      </c>
      <c r="AJ219" s="37">
        <v>3</v>
      </c>
      <c r="AK219" s="37">
        <v>3</v>
      </c>
      <c r="AL219" s="37">
        <v>3</v>
      </c>
      <c r="AM219" s="37">
        <v>9</v>
      </c>
      <c r="AN219" s="37">
        <v>9</v>
      </c>
      <c r="AO219" s="37">
        <v>9</v>
      </c>
      <c r="AP219" s="37">
        <v>9</v>
      </c>
      <c r="AQ219" s="37">
        <v>9</v>
      </c>
      <c r="AR219" s="37">
        <v>9</v>
      </c>
      <c r="AS219" s="37">
        <v>9</v>
      </c>
      <c r="AT219" s="37">
        <v>9</v>
      </c>
    </row>
    <row r="220" spans="3:46" s="37" customFormat="1" x14ac:dyDescent="0.25"/>
    <row r="221" spans="3:46" s="37" customFormat="1" x14ac:dyDescent="0.25">
      <c r="C221" s="37" t="s">
        <v>21</v>
      </c>
      <c r="D221" s="37">
        <v>4</v>
      </c>
      <c r="E221" s="37">
        <v>4</v>
      </c>
      <c r="F221" s="37">
        <v>4</v>
      </c>
      <c r="G221" s="37">
        <v>4</v>
      </c>
      <c r="H221" s="37">
        <v>4</v>
      </c>
      <c r="I221" s="37">
        <v>3</v>
      </c>
      <c r="J221" s="37">
        <v>3</v>
      </c>
      <c r="K221" s="37">
        <v>3</v>
      </c>
      <c r="L221" s="37">
        <v>3</v>
      </c>
      <c r="M221" s="37">
        <v>3</v>
      </c>
      <c r="N221" s="37">
        <v>3</v>
      </c>
      <c r="O221" s="37">
        <v>3</v>
      </c>
      <c r="P221" s="37">
        <v>3</v>
      </c>
      <c r="Q221" s="37">
        <v>3</v>
      </c>
      <c r="R221" s="37">
        <v>3</v>
      </c>
      <c r="S221" s="37">
        <v>4</v>
      </c>
      <c r="T221" s="37">
        <v>4</v>
      </c>
      <c r="U221" s="37">
        <v>5</v>
      </c>
      <c r="V221" s="37">
        <v>5</v>
      </c>
      <c r="W221" s="37">
        <v>5</v>
      </c>
      <c r="X221" s="37">
        <v>5</v>
      </c>
      <c r="Z221" s="37">
        <v>4</v>
      </c>
      <c r="AA221" s="37">
        <v>4</v>
      </c>
      <c r="AB221" s="37">
        <v>4</v>
      </c>
      <c r="AC221" s="37">
        <v>4</v>
      </c>
      <c r="AD221" s="37">
        <v>4</v>
      </c>
      <c r="AE221" s="37">
        <v>4</v>
      </c>
      <c r="AF221" s="37">
        <v>4</v>
      </c>
      <c r="AG221" s="37">
        <v>3</v>
      </c>
      <c r="AH221" s="37">
        <v>3</v>
      </c>
      <c r="AI221" s="37">
        <v>3</v>
      </c>
      <c r="AJ221" s="37">
        <v>3</v>
      </c>
      <c r="AK221" s="37">
        <v>3</v>
      </c>
      <c r="AL221" s="37">
        <v>3</v>
      </c>
      <c r="AM221" s="37">
        <v>5</v>
      </c>
      <c r="AN221" s="37">
        <v>5</v>
      </c>
      <c r="AO221" s="37">
        <v>5</v>
      </c>
      <c r="AP221" s="37">
        <v>5</v>
      </c>
      <c r="AQ221" s="37">
        <v>5</v>
      </c>
      <c r="AR221" s="37">
        <v>5</v>
      </c>
      <c r="AS221" s="37">
        <v>5</v>
      </c>
      <c r="AT221" s="37">
        <v>5</v>
      </c>
    </row>
    <row r="222" spans="3:46" s="37" customFormat="1" x14ac:dyDescent="0.25"/>
    <row r="223" spans="3:46" s="37" customFormat="1" x14ac:dyDescent="0.25">
      <c r="C223" s="37" t="s">
        <v>20</v>
      </c>
      <c r="D223" s="37">
        <v>5</v>
      </c>
      <c r="E223" s="37">
        <v>5</v>
      </c>
      <c r="F223" s="37">
        <v>5</v>
      </c>
      <c r="G223" s="37">
        <v>5</v>
      </c>
      <c r="H223" s="37">
        <v>5</v>
      </c>
      <c r="I223" s="37">
        <v>5</v>
      </c>
      <c r="J223" s="37">
        <v>4</v>
      </c>
      <c r="K223" s="37">
        <v>3</v>
      </c>
      <c r="L223" s="37">
        <v>3</v>
      </c>
      <c r="M223" s="37">
        <v>3</v>
      </c>
      <c r="N223" s="37">
        <v>2</v>
      </c>
      <c r="O223" s="37">
        <v>3</v>
      </c>
      <c r="P223" s="37">
        <v>3</v>
      </c>
      <c r="Q223" s="37">
        <v>4</v>
      </c>
      <c r="R223" s="37">
        <v>4</v>
      </c>
      <c r="S223" s="37">
        <v>5</v>
      </c>
      <c r="T223" s="37">
        <v>5</v>
      </c>
      <c r="U223" s="37">
        <v>6</v>
      </c>
      <c r="V223" s="37">
        <v>6</v>
      </c>
      <c r="W223" s="37">
        <v>6</v>
      </c>
      <c r="X223" s="37">
        <v>6</v>
      </c>
      <c r="Z223" s="37">
        <v>5</v>
      </c>
      <c r="AA223" s="37">
        <v>5</v>
      </c>
      <c r="AB223" s="37">
        <v>5</v>
      </c>
      <c r="AC223" s="37">
        <v>5</v>
      </c>
      <c r="AD223" s="37">
        <v>5</v>
      </c>
      <c r="AE223" s="37">
        <v>5</v>
      </c>
      <c r="AF223" s="37">
        <v>5</v>
      </c>
      <c r="AG223" s="37">
        <v>3</v>
      </c>
      <c r="AH223" s="37">
        <v>3</v>
      </c>
      <c r="AI223" s="37">
        <v>3</v>
      </c>
      <c r="AJ223" s="37">
        <v>3</v>
      </c>
      <c r="AK223" s="37">
        <v>3</v>
      </c>
      <c r="AL223" s="37">
        <v>3</v>
      </c>
      <c r="AM223" s="37">
        <v>6</v>
      </c>
      <c r="AN223" s="37">
        <v>6</v>
      </c>
      <c r="AO223" s="37">
        <v>6</v>
      </c>
      <c r="AP223" s="37">
        <v>6</v>
      </c>
      <c r="AQ223" s="37">
        <v>6</v>
      </c>
      <c r="AR223" s="37">
        <v>6</v>
      </c>
      <c r="AS223" s="37">
        <v>6</v>
      </c>
      <c r="AT223" s="37">
        <v>6</v>
      </c>
    </row>
    <row r="224" spans="3:46" s="37" customFormat="1" x14ac:dyDescent="0.25"/>
    <row r="225" spans="3:46" s="37" customFormat="1" x14ac:dyDescent="0.25">
      <c r="C225" s="37" t="s">
        <v>21</v>
      </c>
      <c r="D225" s="37">
        <v>3</v>
      </c>
      <c r="E225" s="37">
        <v>3</v>
      </c>
      <c r="F225" s="37">
        <v>3</v>
      </c>
      <c r="G225" s="37">
        <v>3</v>
      </c>
      <c r="H225" s="37">
        <v>3</v>
      </c>
      <c r="I225" s="37">
        <v>3</v>
      </c>
      <c r="J225" s="37">
        <v>3</v>
      </c>
      <c r="K225" s="37">
        <v>3</v>
      </c>
      <c r="L225" s="37">
        <v>3</v>
      </c>
      <c r="M225" s="37">
        <v>3</v>
      </c>
      <c r="N225" s="37">
        <v>3</v>
      </c>
      <c r="O225" s="37">
        <v>3</v>
      </c>
      <c r="P225" s="37">
        <v>3</v>
      </c>
      <c r="Q225" s="37">
        <v>3</v>
      </c>
      <c r="R225" s="37">
        <v>3</v>
      </c>
      <c r="S225" s="37">
        <v>3</v>
      </c>
      <c r="T225" s="37">
        <v>3</v>
      </c>
      <c r="U225" s="37">
        <v>3</v>
      </c>
      <c r="V225" s="37">
        <v>3</v>
      </c>
      <c r="W225" s="37">
        <v>3</v>
      </c>
      <c r="X225" s="37">
        <v>3</v>
      </c>
      <c r="Z225" s="37">
        <v>3</v>
      </c>
      <c r="AA225" s="37">
        <v>3</v>
      </c>
      <c r="AB225" s="37">
        <v>3</v>
      </c>
      <c r="AC225" s="37">
        <v>3</v>
      </c>
      <c r="AD225" s="37">
        <v>3</v>
      </c>
      <c r="AE225" s="37">
        <v>3</v>
      </c>
      <c r="AF225" s="37">
        <v>3</v>
      </c>
      <c r="AG225" s="37">
        <v>3</v>
      </c>
      <c r="AH225" s="37">
        <v>3</v>
      </c>
      <c r="AI225" s="37">
        <v>3</v>
      </c>
      <c r="AJ225" s="37">
        <v>3</v>
      </c>
      <c r="AK225" s="37">
        <v>3</v>
      </c>
      <c r="AL225" s="37">
        <v>3</v>
      </c>
      <c r="AM225" s="37">
        <v>3</v>
      </c>
      <c r="AN225" s="37">
        <v>3</v>
      </c>
      <c r="AO225" s="37">
        <v>3</v>
      </c>
      <c r="AP225" s="37">
        <v>3</v>
      </c>
      <c r="AQ225" s="37">
        <v>3</v>
      </c>
      <c r="AR225" s="37">
        <v>3</v>
      </c>
      <c r="AS225" s="37">
        <v>3</v>
      </c>
      <c r="AT225" s="37">
        <v>3</v>
      </c>
    </row>
    <row r="226" spans="3:46" s="37" customFormat="1" x14ac:dyDescent="0.25"/>
    <row r="227" spans="3:46" s="37" customFormat="1" x14ac:dyDescent="0.25">
      <c r="C227" s="37" t="s">
        <v>20</v>
      </c>
      <c r="D227" s="37">
        <v>8</v>
      </c>
      <c r="E227" s="37">
        <v>8</v>
      </c>
      <c r="F227" s="37">
        <v>8</v>
      </c>
      <c r="G227" s="37">
        <v>8</v>
      </c>
      <c r="H227" s="37">
        <v>8</v>
      </c>
      <c r="I227" s="37">
        <v>8</v>
      </c>
      <c r="J227" s="37">
        <v>7</v>
      </c>
      <c r="K227" s="37">
        <v>3</v>
      </c>
      <c r="L227" s="37">
        <v>3</v>
      </c>
      <c r="M227" s="37">
        <v>3</v>
      </c>
      <c r="N227" s="37">
        <v>3</v>
      </c>
      <c r="O227" s="37">
        <v>3</v>
      </c>
      <c r="P227" s="37">
        <v>3</v>
      </c>
      <c r="Q227" s="37">
        <v>4</v>
      </c>
      <c r="R227" s="37">
        <v>4</v>
      </c>
      <c r="S227" s="37">
        <v>5</v>
      </c>
      <c r="T227" s="37">
        <v>5</v>
      </c>
      <c r="U227" s="37">
        <v>6</v>
      </c>
      <c r="V227" s="37">
        <v>6</v>
      </c>
      <c r="W227" s="37">
        <v>6</v>
      </c>
      <c r="X227" s="37">
        <v>6</v>
      </c>
      <c r="Z227" s="37">
        <v>8</v>
      </c>
      <c r="AA227" s="37">
        <v>8</v>
      </c>
      <c r="AB227" s="37">
        <v>8</v>
      </c>
      <c r="AC227" s="37">
        <v>8</v>
      </c>
      <c r="AD227" s="37">
        <v>8</v>
      </c>
      <c r="AE227" s="37">
        <v>8</v>
      </c>
      <c r="AF227" s="37">
        <v>8</v>
      </c>
      <c r="AG227" s="37">
        <v>3</v>
      </c>
      <c r="AH227" s="37">
        <v>3</v>
      </c>
      <c r="AI227" s="37">
        <v>3</v>
      </c>
      <c r="AJ227" s="37">
        <v>3</v>
      </c>
      <c r="AK227" s="37">
        <v>3</v>
      </c>
      <c r="AL227" s="37">
        <v>3</v>
      </c>
      <c r="AM227" s="37">
        <v>6</v>
      </c>
      <c r="AN227" s="37">
        <v>6</v>
      </c>
      <c r="AO227" s="37">
        <v>6</v>
      </c>
      <c r="AP227" s="37">
        <v>6</v>
      </c>
      <c r="AQ227" s="37">
        <v>6</v>
      </c>
      <c r="AR227" s="37">
        <v>6</v>
      </c>
      <c r="AS227" s="37">
        <v>6</v>
      </c>
      <c r="AT227" s="37">
        <v>6</v>
      </c>
    </row>
    <row r="228" spans="3:46" s="37" customFormat="1" x14ac:dyDescent="0.25"/>
    <row r="229" spans="3:46" s="37" customFormat="1" x14ac:dyDescent="0.25">
      <c r="C229" s="37" t="s">
        <v>21</v>
      </c>
      <c r="D229" s="37">
        <v>5</v>
      </c>
      <c r="E229" s="37">
        <v>5</v>
      </c>
      <c r="F229" s="37">
        <v>5</v>
      </c>
      <c r="G229" s="37">
        <v>5</v>
      </c>
      <c r="H229" s="37">
        <v>5</v>
      </c>
      <c r="I229" s="37">
        <v>5</v>
      </c>
      <c r="J229" s="37">
        <v>4</v>
      </c>
      <c r="K229" s="37">
        <v>3</v>
      </c>
      <c r="L229" s="37">
        <v>3</v>
      </c>
      <c r="M229" s="37">
        <v>3</v>
      </c>
      <c r="N229" s="37">
        <v>3</v>
      </c>
      <c r="O229" s="37">
        <v>3</v>
      </c>
      <c r="P229" s="37">
        <v>3</v>
      </c>
      <c r="Q229" s="37">
        <v>4</v>
      </c>
      <c r="R229" s="37">
        <v>4</v>
      </c>
      <c r="S229" s="37">
        <v>5</v>
      </c>
      <c r="T229" s="37">
        <v>5</v>
      </c>
      <c r="U229" s="37">
        <v>6</v>
      </c>
      <c r="V229" s="37">
        <v>6</v>
      </c>
      <c r="W229" s="37">
        <v>6</v>
      </c>
      <c r="X229" s="37">
        <v>6</v>
      </c>
      <c r="Z229" s="37">
        <v>5</v>
      </c>
      <c r="AA229" s="37">
        <v>5</v>
      </c>
      <c r="AB229" s="37">
        <v>5</v>
      </c>
      <c r="AC229" s="37">
        <v>5</v>
      </c>
      <c r="AD229" s="37">
        <v>5</v>
      </c>
      <c r="AE229" s="37">
        <v>5</v>
      </c>
      <c r="AF229" s="37">
        <v>5</v>
      </c>
      <c r="AG229" s="37">
        <v>3</v>
      </c>
      <c r="AH229" s="37">
        <v>3</v>
      </c>
      <c r="AI229" s="37">
        <v>3</v>
      </c>
      <c r="AJ229" s="37">
        <v>3</v>
      </c>
      <c r="AK229" s="37">
        <v>3</v>
      </c>
      <c r="AL229" s="37">
        <v>3</v>
      </c>
      <c r="AM229" s="37">
        <v>6</v>
      </c>
      <c r="AN229" s="37">
        <v>6</v>
      </c>
      <c r="AO229" s="37">
        <v>6</v>
      </c>
      <c r="AP229" s="37">
        <v>6</v>
      </c>
      <c r="AQ229" s="37">
        <v>6</v>
      </c>
      <c r="AR229" s="37">
        <v>6</v>
      </c>
      <c r="AS229" s="37">
        <v>6</v>
      </c>
      <c r="AT229" s="37">
        <v>6</v>
      </c>
    </row>
    <row r="230" spans="3:46" s="37" customFormat="1" x14ac:dyDescent="0.25"/>
    <row r="231" spans="3:46" s="37" customFormat="1" x14ac:dyDescent="0.25">
      <c r="C231" s="37" t="s">
        <v>20</v>
      </c>
      <c r="D231" s="37">
        <v>6</v>
      </c>
      <c r="E231" s="37">
        <v>6</v>
      </c>
      <c r="F231" s="37">
        <v>6</v>
      </c>
      <c r="G231" s="37">
        <v>6</v>
      </c>
      <c r="H231" s="37">
        <v>6</v>
      </c>
      <c r="I231" s="37">
        <v>6</v>
      </c>
      <c r="J231" s="37">
        <v>5</v>
      </c>
      <c r="K231" s="37">
        <v>3</v>
      </c>
      <c r="L231" s="37">
        <v>3</v>
      </c>
      <c r="M231" s="37">
        <v>3</v>
      </c>
      <c r="N231" s="37">
        <v>3</v>
      </c>
      <c r="O231" s="37">
        <v>3</v>
      </c>
      <c r="P231" s="37">
        <v>3</v>
      </c>
      <c r="Q231" s="37">
        <v>6</v>
      </c>
      <c r="R231" s="37">
        <v>6</v>
      </c>
      <c r="S231" s="37">
        <v>7</v>
      </c>
      <c r="T231" s="37">
        <v>7</v>
      </c>
      <c r="U231" s="37">
        <v>7</v>
      </c>
      <c r="V231" s="37">
        <v>7</v>
      </c>
      <c r="W231" s="37">
        <v>7</v>
      </c>
      <c r="X231" s="37">
        <v>7</v>
      </c>
      <c r="Z231" s="37">
        <v>6</v>
      </c>
      <c r="AA231" s="37">
        <v>6</v>
      </c>
      <c r="AB231" s="37">
        <v>6</v>
      </c>
      <c r="AC231" s="37">
        <v>6</v>
      </c>
      <c r="AD231" s="37">
        <v>6</v>
      </c>
      <c r="AE231" s="37">
        <v>6</v>
      </c>
      <c r="AF231" s="37">
        <v>6</v>
      </c>
      <c r="AG231" s="37">
        <v>3</v>
      </c>
      <c r="AH231" s="37">
        <v>3</v>
      </c>
      <c r="AI231" s="37">
        <v>3</v>
      </c>
      <c r="AJ231" s="37">
        <v>3</v>
      </c>
      <c r="AK231" s="37">
        <v>3</v>
      </c>
      <c r="AL231" s="37">
        <v>3</v>
      </c>
      <c r="AM231" s="37">
        <v>7</v>
      </c>
      <c r="AN231" s="37">
        <v>7</v>
      </c>
      <c r="AO231" s="37">
        <v>7</v>
      </c>
      <c r="AP231" s="37">
        <v>7</v>
      </c>
      <c r="AQ231" s="37">
        <v>7</v>
      </c>
      <c r="AR231" s="37">
        <v>7</v>
      </c>
      <c r="AS231" s="37">
        <v>7</v>
      </c>
      <c r="AT231" s="37">
        <v>7</v>
      </c>
    </row>
    <row r="232" spans="3:46" s="37" customFormat="1" x14ac:dyDescent="0.25"/>
    <row r="233" spans="3:46" s="37" customFormat="1" x14ac:dyDescent="0.25">
      <c r="C233" s="37" t="s">
        <v>21</v>
      </c>
      <c r="D233" s="37">
        <v>6</v>
      </c>
      <c r="E233" s="37">
        <v>6</v>
      </c>
      <c r="F233" s="37">
        <v>6</v>
      </c>
      <c r="G233" s="37">
        <v>6</v>
      </c>
      <c r="H233" s="37">
        <v>6</v>
      </c>
      <c r="I233" s="37">
        <v>5</v>
      </c>
      <c r="J233" s="37">
        <v>5</v>
      </c>
      <c r="K233" s="37">
        <v>3</v>
      </c>
      <c r="L233" s="37">
        <v>3</v>
      </c>
      <c r="M233" s="37">
        <v>3</v>
      </c>
      <c r="N233" s="37">
        <v>3</v>
      </c>
      <c r="O233" s="37">
        <v>3</v>
      </c>
      <c r="P233" s="37">
        <v>3</v>
      </c>
      <c r="Q233" s="37">
        <v>3</v>
      </c>
      <c r="R233" s="37">
        <v>4</v>
      </c>
      <c r="S233" s="37">
        <v>4</v>
      </c>
      <c r="T233" s="37">
        <v>5</v>
      </c>
      <c r="U233" s="37">
        <v>5</v>
      </c>
      <c r="V233" s="37">
        <v>5</v>
      </c>
      <c r="W233" s="37">
        <v>5</v>
      </c>
      <c r="X233" s="37">
        <v>5</v>
      </c>
      <c r="Z233" s="37">
        <v>6</v>
      </c>
      <c r="AA233" s="37">
        <v>6</v>
      </c>
      <c r="AB233" s="37">
        <v>6</v>
      </c>
      <c r="AC233" s="37">
        <v>6</v>
      </c>
      <c r="AD233" s="37">
        <v>6</v>
      </c>
      <c r="AE233" s="37">
        <v>6</v>
      </c>
      <c r="AF233" s="37">
        <v>6</v>
      </c>
      <c r="AG233" s="37">
        <v>3</v>
      </c>
      <c r="AH233" s="37">
        <v>3</v>
      </c>
      <c r="AI233" s="37">
        <v>3</v>
      </c>
      <c r="AJ233" s="37">
        <v>3</v>
      </c>
      <c r="AK233" s="37">
        <v>3</v>
      </c>
      <c r="AL233" s="37">
        <v>3</v>
      </c>
      <c r="AM233" s="37">
        <v>5</v>
      </c>
      <c r="AN233" s="37">
        <v>5</v>
      </c>
      <c r="AO233" s="37">
        <v>5</v>
      </c>
      <c r="AP233" s="37">
        <v>5</v>
      </c>
      <c r="AQ233" s="37">
        <v>5</v>
      </c>
      <c r="AR233" s="37">
        <v>5</v>
      </c>
      <c r="AS233" s="37">
        <v>5</v>
      </c>
      <c r="AT233" s="37">
        <v>5</v>
      </c>
    </row>
    <row r="234" spans="3:46" s="37" customFormat="1" x14ac:dyDescent="0.25"/>
    <row r="235" spans="3:46" s="37" customFormat="1" x14ac:dyDescent="0.25">
      <c r="C235" s="37" t="s">
        <v>20</v>
      </c>
      <c r="D235" s="37">
        <v>7</v>
      </c>
      <c r="E235" s="37">
        <v>7</v>
      </c>
      <c r="F235" s="37">
        <v>7</v>
      </c>
      <c r="G235" s="37">
        <v>7</v>
      </c>
      <c r="H235" s="37">
        <v>7</v>
      </c>
      <c r="I235" s="37">
        <v>7</v>
      </c>
      <c r="J235" s="37">
        <v>6</v>
      </c>
      <c r="K235" s="37">
        <v>4</v>
      </c>
      <c r="L235" s="37">
        <v>4</v>
      </c>
      <c r="M235" s="37">
        <v>4</v>
      </c>
      <c r="N235" s="37">
        <v>4</v>
      </c>
      <c r="O235" s="37">
        <v>4</v>
      </c>
      <c r="P235" s="37">
        <v>4</v>
      </c>
      <c r="Q235" s="37">
        <v>7</v>
      </c>
      <c r="R235" s="37">
        <v>8</v>
      </c>
      <c r="S235" s="37">
        <v>9</v>
      </c>
      <c r="T235" s="37">
        <v>10</v>
      </c>
      <c r="U235" s="37">
        <v>10</v>
      </c>
      <c r="V235" s="37">
        <v>10</v>
      </c>
      <c r="W235" s="37">
        <v>10</v>
      </c>
      <c r="X235" s="37">
        <v>10</v>
      </c>
      <c r="Z235" s="37">
        <v>7</v>
      </c>
      <c r="AA235" s="37">
        <v>7</v>
      </c>
      <c r="AB235" s="37">
        <v>7</v>
      </c>
      <c r="AC235" s="37">
        <v>7</v>
      </c>
      <c r="AD235" s="37">
        <v>7</v>
      </c>
      <c r="AE235" s="37">
        <v>7</v>
      </c>
      <c r="AF235" s="37">
        <v>7</v>
      </c>
      <c r="AG235" s="37">
        <v>4</v>
      </c>
      <c r="AH235" s="37">
        <v>4</v>
      </c>
      <c r="AI235" s="37">
        <v>4</v>
      </c>
      <c r="AJ235" s="37">
        <v>4</v>
      </c>
      <c r="AK235" s="37">
        <v>4</v>
      </c>
      <c r="AL235" s="37">
        <v>4</v>
      </c>
      <c r="AM235" s="37">
        <v>10</v>
      </c>
      <c r="AN235" s="37">
        <v>10</v>
      </c>
      <c r="AO235" s="37">
        <v>10</v>
      </c>
      <c r="AP235" s="37">
        <v>10</v>
      </c>
      <c r="AQ235" s="37">
        <v>10</v>
      </c>
      <c r="AR235" s="37">
        <v>10</v>
      </c>
      <c r="AS235" s="37">
        <v>10</v>
      </c>
      <c r="AT235" s="37">
        <v>10</v>
      </c>
    </row>
    <row r="236" spans="3:46" s="37" customFormat="1" x14ac:dyDescent="0.25"/>
    <row r="237" spans="3:46" s="37" customFormat="1" x14ac:dyDescent="0.25">
      <c r="C237" s="37" t="s">
        <v>21</v>
      </c>
      <c r="D237" s="37">
        <v>7</v>
      </c>
      <c r="E237" s="37">
        <v>7</v>
      </c>
      <c r="F237" s="37">
        <v>7</v>
      </c>
      <c r="G237" s="37">
        <v>7</v>
      </c>
      <c r="H237" s="37">
        <v>7</v>
      </c>
      <c r="I237" s="37">
        <v>6</v>
      </c>
      <c r="J237" s="37">
        <v>6</v>
      </c>
      <c r="K237" s="37">
        <v>3</v>
      </c>
      <c r="L237" s="37">
        <v>3</v>
      </c>
      <c r="M237" s="37">
        <v>3</v>
      </c>
      <c r="N237" s="37">
        <v>3</v>
      </c>
      <c r="O237" s="37">
        <v>3</v>
      </c>
      <c r="P237" s="37">
        <v>3</v>
      </c>
      <c r="Q237" s="37">
        <v>3</v>
      </c>
      <c r="R237" s="37">
        <v>4</v>
      </c>
      <c r="S237" s="37">
        <v>4</v>
      </c>
      <c r="T237" s="37">
        <v>5</v>
      </c>
      <c r="U237" s="37">
        <v>5</v>
      </c>
      <c r="V237" s="37">
        <v>5</v>
      </c>
      <c r="W237" s="37">
        <v>5</v>
      </c>
      <c r="X237" s="37">
        <v>5</v>
      </c>
      <c r="Z237" s="37">
        <v>7</v>
      </c>
      <c r="AA237" s="37">
        <v>7</v>
      </c>
      <c r="AB237" s="37">
        <v>7</v>
      </c>
      <c r="AC237" s="37">
        <v>7</v>
      </c>
      <c r="AD237" s="37">
        <v>7</v>
      </c>
      <c r="AE237" s="37">
        <v>7</v>
      </c>
      <c r="AF237" s="37">
        <v>7</v>
      </c>
      <c r="AG237" s="37">
        <v>3</v>
      </c>
      <c r="AH237" s="37">
        <v>3</v>
      </c>
      <c r="AI237" s="37">
        <v>3</v>
      </c>
      <c r="AJ237" s="37">
        <v>3</v>
      </c>
      <c r="AK237" s="37">
        <v>3</v>
      </c>
      <c r="AL237" s="37">
        <v>3</v>
      </c>
      <c r="AM237" s="37">
        <v>5</v>
      </c>
      <c r="AN237" s="37">
        <v>5</v>
      </c>
      <c r="AO237" s="37">
        <v>5</v>
      </c>
      <c r="AP237" s="37">
        <v>5</v>
      </c>
      <c r="AQ237" s="37">
        <v>5</v>
      </c>
      <c r="AR237" s="37">
        <v>5</v>
      </c>
      <c r="AS237" s="37">
        <v>5</v>
      </c>
      <c r="AT237" s="37">
        <v>5</v>
      </c>
    </row>
    <row r="238" spans="3:46" s="37" customFormat="1" x14ac:dyDescent="0.25"/>
    <row r="239" spans="3:46" s="37" customFormat="1" x14ac:dyDescent="0.25">
      <c r="C239" s="37" t="s">
        <v>20</v>
      </c>
      <c r="D239" s="37">
        <v>8</v>
      </c>
      <c r="E239" s="37">
        <v>8</v>
      </c>
      <c r="F239" s="37">
        <v>8</v>
      </c>
      <c r="G239" s="37">
        <v>8</v>
      </c>
      <c r="H239" s="37">
        <v>8</v>
      </c>
      <c r="I239" s="37">
        <v>8</v>
      </c>
      <c r="J239" s="37">
        <v>8</v>
      </c>
      <c r="K239" s="37">
        <v>3</v>
      </c>
      <c r="L239" s="37">
        <v>3</v>
      </c>
      <c r="M239" s="37">
        <v>3</v>
      </c>
      <c r="N239" s="37">
        <v>3</v>
      </c>
      <c r="O239" s="37">
        <v>3</v>
      </c>
      <c r="P239" s="37">
        <v>3</v>
      </c>
      <c r="Q239" s="37">
        <v>4</v>
      </c>
      <c r="R239" s="37">
        <v>5</v>
      </c>
      <c r="S239" s="37">
        <v>5</v>
      </c>
      <c r="T239" s="37">
        <v>6</v>
      </c>
      <c r="U239" s="37">
        <v>6</v>
      </c>
      <c r="V239" s="37">
        <v>6</v>
      </c>
      <c r="W239" s="37">
        <v>6</v>
      </c>
      <c r="X239" s="37">
        <v>6</v>
      </c>
      <c r="Z239" s="37">
        <v>8</v>
      </c>
      <c r="AA239" s="37">
        <v>8</v>
      </c>
      <c r="AB239" s="37">
        <v>8</v>
      </c>
      <c r="AC239" s="37">
        <v>8</v>
      </c>
      <c r="AD239" s="37">
        <v>8</v>
      </c>
      <c r="AE239" s="37">
        <v>8</v>
      </c>
      <c r="AF239" s="37">
        <v>8</v>
      </c>
      <c r="AG239" s="37">
        <v>3</v>
      </c>
      <c r="AH239" s="37">
        <v>3</v>
      </c>
      <c r="AI239" s="37">
        <v>3</v>
      </c>
      <c r="AJ239" s="37">
        <v>3</v>
      </c>
      <c r="AK239" s="37">
        <v>3</v>
      </c>
      <c r="AL239" s="37">
        <v>3</v>
      </c>
      <c r="AM239" s="37">
        <v>6</v>
      </c>
      <c r="AN239" s="37">
        <v>6</v>
      </c>
      <c r="AO239" s="37">
        <v>6</v>
      </c>
      <c r="AP239" s="37">
        <v>6</v>
      </c>
      <c r="AQ239" s="37">
        <v>6</v>
      </c>
      <c r="AR239" s="37">
        <v>6</v>
      </c>
      <c r="AS239" s="37">
        <v>6</v>
      </c>
      <c r="AT239" s="37">
        <v>6</v>
      </c>
    </row>
    <row r="240" spans="3:46" s="37" customFormat="1" x14ac:dyDescent="0.25"/>
    <row r="241" spans="3:46" s="37" customFormat="1" x14ac:dyDescent="0.25">
      <c r="C241" s="37" t="s">
        <v>21</v>
      </c>
      <c r="D241" s="37">
        <v>5</v>
      </c>
      <c r="E241" s="37">
        <v>5</v>
      </c>
      <c r="F241" s="37">
        <v>5</v>
      </c>
      <c r="G241" s="37">
        <v>5</v>
      </c>
      <c r="H241" s="37">
        <v>5</v>
      </c>
      <c r="I241" s="37">
        <v>5</v>
      </c>
      <c r="J241" s="37">
        <v>4</v>
      </c>
      <c r="K241" s="37">
        <v>3</v>
      </c>
      <c r="L241" s="37">
        <v>3</v>
      </c>
      <c r="M241" s="37">
        <v>3</v>
      </c>
      <c r="N241" s="37">
        <v>3</v>
      </c>
      <c r="O241" s="37">
        <v>3</v>
      </c>
      <c r="P241" s="37">
        <v>3</v>
      </c>
      <c r="Q241" s="37">
        <v>4</v>
      </c>
      <c r="R241" s="37">
        <v>4</v>
      </c>
      <c r="S241" s="37">
        <v>5</v>
      </c>
      <c r="T241" s="37">
        <v>5</v>
      </c>
      <c r="U241" s="37">
        <v>6</v>
      </c>
      <c r="V241" s="37">
        <v>6</v>
      </c>
      <c r="W241" s="37">
        <v>6</v>
      </c>
      <c r="X241" s="37">
        <v>6</v>
      </c>
      <c r="Z241" s="37">
        <v>5</v>
      </c>
      <c r="AA241" s="37">
        <v>5</v>
      </c>
      <c r="AB241" s="37">
        <v>5</v>
      </c>
      <c r="AC241" s="37">
        <v>5</v>
      </c>
      <c r="AD241" s="37">
        <v>5</v>
      </c>
      <c r="AE241" s="37">
        <v>5</v>
      </c>
      <c r="AF241" s="37">
        <v>5</v>
      </c>
      <c r="AG241" s="37">
        <v>3</v>
      </c>
      <c r="AH241" s="37">
        <v>3</v>
      </c>
      <c r="AI241" s="37">
        <v>3</v>
      </c>
      <c r="AJ241" s="37">
        <v>3</v>
      </c>
      <c r="AK241" s="37">
        <v>3</v>
      </c>
      <c r="AL241" s="37">
        <v>3</v>
      </c>
      <c r="AM241" s="37">
        <v>6</v>
      </c>
      <c r="AN241" s="37">
        <v>6</v>
      </c>
      <c r="AO241" s="37">
        <v>6</v>
      </c>
      <c r="AP241" s="37">
        <v>6</v>
      </c>
      <c r="AQ241" s="37">
        <v>6</v>
      </c>
      <c r="AR241" s="37">
        <v>6</v>
      </c>
      <c r="AS241" s="37">
        <v>6</v>
      </c>
      <c r="AT241" s="37">
        <v>6</v>
      </c>
    </row>
    <row r="242" spans="3:46" s="37" customFormat="1" x14ac:dyDescent="0.25"/>
    <row r="243" spans="3:46" s="37" customFormat="1" x14ac:dyDescent="0.25">
      <c r="C243" s="37" t="s">
        <v>20</v>
      </c>
      <c r="D243" s="37">
        <v>8</v>
      </c>
      <c r="E243" s="37">
        <v>8</v>
      </c>
      <c r="F243" s="37">
        <v>8</v>
      </c>
      <c r="G243" s="37">
        <v>8</v>
      </c>
      <c r="H243" s="37">
        <v>8</v>
      </c>
      <c r="I243" s="37">
        <v>8</v>
      </c>
      <c r="J243" s="37">
        <v>8</v>
      </c>
      <c r="K243" s="37">
        <v>3</v>
      </c>
      <c r="L243" s="37">
        <v>3</v>
      </c>
      <c r="M243" s="37">
        <v>3</v>
      </c>
      <c r="N243" s="37">
        <v>3</v>
      </c>
      <c r="O243" s="37">
        <v>3</v>
      </c>
      <c r="P243" s="37">
        <v>3</v>
      </c>
      <c r="Q243" s="37">
        <v>4</v>
      </c>
      <c r="R243" s="37">
        <v>4</v>
      </c>
      <c r="S243" s="37">
        <v>5</v>
      </c>
      <c r="T243" s="37">
        <v>5</v>
      </c>
      <c r="U243" s="37">
        <v>5</v>
      </c>
      <c r="V243" s="37">
        <v>5</v>
      </c>
      <c r="W243" s="37">
        <v>5</v>
      </c>
      <c r="X243" s="37">
        <v>5</v>
      </c>
      <c r="Z243" s="37">
        <v>8</v>
      </c>
      <c r="AA243" s="37">
        <v>8</v>
      </c>
      <c r="AB243" s="37">
        <v>8</v>
      </c>
      <c r="AC243" s="37">
        <v>8</v>
      </c>
      <c r="AD243" s="37">
        <v>8</v>
      </c>
      <c r="AE243" s="37">
        <v>8</v>
      </c>
      <c r="AF243" s="37">
        <v>8</v>
      </c>
      <c r="AG243" s="37">
        <v>3</v>
      </c>
      <c r="AH243" s="37">
        <v>3</v>
      </c>
      <c r="AI243" s="37">
        <v>3</v>
      </c>
      <c r="AJ243" s="37">
        <v>3</v>
      </c>
      <c r="AK243" s="37">
        <v>3</v>
      </c>
      <c r="AL243" s="37">
        <v>3</v>
      </c>
      <c r="AM243" s="37">
        <v>5</v>
      </c>
      <c r="AN243" s="37">
        <v>5</v>
      </c>
      <c r="AO243" s="37">
        <v>5</v>
      </c>
      <c r="AP243" s="37">
        <v>5</v>
      </c>
      <c r="AQ243" s="37">
        <v>5</v>
      </c>
      <c r="AR243" s="37">
        <v>5</v>
      </c>
      <c r="AS243" s="37">
        <v>5</v>
      </c>
      <c r="AT243" s="37">
        <v>5</v>
      </c>
    </row>
    <row r="244" spans="3:46" s="37" customFormat="1" x14ac:dyDescent="0.25"/>
    <row r="245" spans="3:46" s="37" customFormat="1" x14ac:dyDescent="0.25">
      <c r="C245" s="37" t="s">
        <v>21</v>
      </c>
      <c r="D245" s="37">
        <v>4</v>
      </c>
      <c r="E245" s="37">
        <v>4</v>
      </c>
      <c r="F245" s="37">
        <v>4</v>
      </c>
      <c r="G245" s="37">
        <v>4</v>
      </c>
      <c r="H245" s="37">
        <v>4</v>
      </c>
      <c r="I245" s="37">
        <v>4</v>
      </c>
      <c r="J245" s="37">
        <v>3</v>
      </c>
      <c r="K245" s="37">
        <v>3</v>
      </c>
      <c r="L245" s="37">
        <v>3</v>
      </c>
      <c r="M245" s="37">
        <v>3</v>
      </c>
      <c r="N245" s="37">
        <v>3</v>
      </c>
      <c r="O245" s="37">
        <v>3</v>
      </c>
      <c r="P245" s="37">
        <v>3</v>
      </c>
      <c r="Q245" s="37">
        <v>4</v>
      </c>
      <c r="R245" s="37">
        <v>5</v>
      </c>
      <c r="S245" s="37">
        <v>5</v>
      </c>
      <c r="T245" s="37">
        <v>6</v>
      </c>
      <c r="U245" s="37">
        <v>6</v>
      </c>
      <c r="V245" s="37">
        <v>6</v>
      </c>
      <c r="W245" s="37">
        <v>6</v>
      </c>
      <c r="X245" s="37">
        <v>6</v>
      </c>
      <c r="Z245" s="37">
        <v>4</v>
      </c>
      <c r="AA245" s="37">
        <v>4</v>
      </c>
      <c r="AB245" s="37">
        <v>4</v>
      </c>
      <c r="AC245" s="37">
        <v>4</v>
      </c>
      <c r="AD245" s="37">
        <v>4</v>
      </c>
      <c r="AE245" s="37">
        <v>4</v>
      </c>
      <c r="AF245" s="37">
        <v>4</v>
      </c>
      <c r="AG245" s="37">
        <v>3</v>
      </c>
      <c r="AH245" s="37">
        <v>3</v>
      </c>
      <c r="AI245" s="37">
        <v>3</v>
      </c>
      <c r="AJ245" s="37">
        <v>3</v>
      </c>
      <c r="AK245" s="37">
        <v>3</v>
      </c>
      <c r="AL245" s="37">
        <v>3</v>
      </c>
      <c r="AM245" s="37">
        <v>6</v>
      </c>
      <c r="AN245" s="37">
        <v>6</v>
      </c>
      <c r="AO245" s="37">
        <v>6</v>
      </c>
      <c r="AP245" s="37">
        <v>6</v>
      </c>
      <c r="AQ245" s="37">
        <v>6</v>
      </c>
      <c r="AR245" s="37">
        <v>6</v>
      </c>
      <c r="AS245" s="37">
        <v>6</v>
      </c>
      <c r="AT245" s="37">
        <v>6</v>
      </c>
    </row>
    <row r="246" spans="3:46" s="37" customFormat="1" x14ac:dyDescent="0.25"/>
    <row r="247" spans="3:46" s="37" customFormat="1" x14ac:dyDescent="0.25">
      <c r="C247" s="37" t="s">
        <v>20</v>
      </c>
      <c r="D247" s="37">
        <v>8</v>
      </c>
      <c r="E247" s="37">
        <v>8</v>
      </c>
      <c r="F247" s="37">
        <v>8</v>
      </c>
      <c r="G247" s="37">
        <v>8</v>
      </c>
      <c r="H247" s="37">
        <v>8</v>
      </c>
      <c r="I247" s="37">
        <v>8</v>
      </c>
      <c r="J247" s="37">
        <v>8</v>
      </c>
      <c r="K247" s="37">
        <v>3</v>
      </c>
      <c r="L247" s="37">
        <v>3</v>
      </c>
      <c r="M247" s="37">
        <v>3</v>
      </c>
      <c r="N247" s="37">
        <v>3</v>
      </c>
      <c r="O247" s="37">
        <v>3</v>
      </c>
      <c r="P247" s="37">
        <v>3</v>
      </c>
      <c r="Q247" s="37">
        <v>6</v>
      </c>
      <c r="R247" s="37">
        <v>6</v>
      </c>
      <c r="S247" s="37">
        <v>7</v>
      </c>
      <c r="T247" s="37">
        <v>7</v>
      </c>
      <c r="U247" s="37">
        <v>7</v>
      </c>
      <c r="V247" s="37">
        <v>7</v>
      </c>
      <c r="W247" s="37">
        <v>7</v>
      </c>
      <c r="X247" s="37">
        <v>7</v>
      </c>
      <c r="Z247" s="37">
        <v>8</v>
      </c>
      <c r="AA247" s="37">
        <v>8</v>
      </c>
      <c r="AB247" s="37">
        <v>8</v>
      </c>
      <c r="AC247" s="37">
        <v>8</v>
      </c>
      <c r="AD247" s="37">
        <v>8</v>
      </c>
      <c r="AE247" s="37">
        <v>8</v>
      </c>
      <c r="AF247" s="37">
        <v>8</v>
      </c>
      <c r="AG247" s="37">
        <v>3</v>
      </c>
      <c r="AH247" s="37">
        <v>3</v>
      </c>
      <c r="AI247" s="37">
        <v>3</v>
      </c>
      <c r="AJ247" s="37">
        <v>3</v>
      </c>
      <c r="AK247" s="37">
        <v>3</v>
      </c>
      <c r="AL247" s="37">
        <v>3</v>
      </c>
      <c r="AM247" s="37">
        <v>7</v>
      </c>
      <c r="AN247" s="37">
        <v>7</v>
      </c>
      <c r="AO247" s="37">
        <v>7</v>
      </c>
      <c r="AP247" s="37">
        <v>7</v>
      </c>
      <c r="AQ247" s="37">
        <v>7</v>
      </c>
      <c r="AR247" s="37">
        <v>7</v>
      </c>
      <c r="AS247" s="37">
        <v>7</v>
      </c>
      <c r="AT247" s="37">
        <v>7</v>
      </c>
    </row>
    <row r="248" spans="3:46" s="37" customFormat="1" x14ac:dyDescent="0.25"/>
    <row r="249" spans="3:46" s="37" customFormat="1" x14ac:dyDescent="0.25">
      <c r="C249" s="37" t="s">
        <v>21</v>
      </c>
      <c r="D249" s="37">
        <v>5</v>
      </c>
      <c r="E249" s="37">
        <v>5</v>
      </c>
      <c r="F249" s="37">
        <v>5</v>
      </c>
      <c r="G249" s="37">
        <v>5</v>
      </c>
      <c r="H249" s="37">
        <v>5</v>
      </c>
      <c r="I249" s="37">
        <v>5</v>
      </c>
      <c r="J249" s="37">
        <v>4</v>
      </c>
      <c r="K249" s="37">
        <v>3</v>
      </c>
      <c r="L249" s="37">
        <v>3</v>
      </c>
      <c r="M249" s="37">
        <v>3</v>
      </c>
      <c r="N249" s="37">
        <v>3</v>
      </c>
      <c r="O249" s="37">
        <v>3</v>
      </c>
      <c r="P249" s="37">
        <v>3</v>
      </c>
      <c r="Q249" s="37">
        <v>4</v>
      </c>
      <c r="R249" s="37">
        <v>4</v>
      </c>
      <c r="S249" s="37">
        <v>5</v>
      </c>
      <c r="T249" s="37">
        <v>5</v>
      </c>
      <c r="U249" s="37">
        <v>6</v>
      </c>
      <c r="V249" s="37">
        <v>6</v>
      </c>
      <c r="W249" s="37">
        <v>6</v>
      </c>
      <c r="X249" s="37">
        <v>6</v>
      </c>
      <c r="Z249" s="37">
        <v>5</v>
      </c>
      <c r="AA249" s="37">
        <v>5</v>
      </c>
      <c r="AB249" s="37">
        <v>5</v>
      </c>
      <c r="AC249" s="37">
        <v>5</v>
      </c>
      <c r="AD249" s="37">
        <v>5</v>
      </c>
      <c r="AE249" s="37">
        <v>5</v>
      </c>
      <c r="AF249" s="37">
        <v>5</v>
      </c>
      <c r="AG249" s="37">
        <v>3</v>
      </c>
      <c r="AH249" s="37">
        <v>3</v>
      </c>
      <c r="AI249" s="37">
        <v>3</v>
      </c>
      <c r="AJ249" s="37">
        <v>3</v>
      </c>
      <c r="AK249" s="37">
        <v>3</v>
      </c>
      <c r="AL249" s="37">
        <v>3</v>
      </c>
      <c r="AM249" s="37">
        <v>6</v>
      </c>
      <c r="AN249" s="37">
        <v>6</v>
      </c>
      <c r="AO249" s="37">
        <v>6</v>
      </c>
      <c r="AP249" s="37">
        <v>6</v>
      </c>
      <c r="AQ249" s="37">
        <v>6</v>
      </c>
      <c r="AR249" s="37">
        <v>6</v>
      </c>
      <c r="AS249" s="37">
        <v>6</v>
      </c>
      <c r="AT249" s="37">
        <v>6</v>
      </c>
    </row>
    <row r="250" spans="3:46" s="37" customFormat="1" x14ac:dyDescent="0.25"/>
    <row r="251" spans="3:46" s="37" customFormat="1" x14ac:dyDescent="0.25">
      <c r="C251" s="37" t="s">
        <v>20</v>
      </c>
      <c r="D251" s="37">
        <v>6</v>
      </c>
      <c r="E251" s="37">
        <v>6</v>
      </c>
      <c r="F251" s="37">
        <v>6</v>
      </c>
      <c r="G251" s="37">
        <v>6</v>
      </c>
      <c r="H251" s="37">
        <v>6</v>
      </c>
      <c r="I251" s="37">
        <v>6</v>
      </c>
      <c r="J251" s="37">
        <v>5</v>
      </c>
      <c r="K251" s="37">
        <v>2</v>
      </c>
      <c r="L251" s="37">
        <v>2</v>
      </c>
      <c r="M251" s="37">
        <v>2</v>
      </c>
      <c r="N251" s="37">
        <v>2</v>
      </c>
      <c r="O251" s="37">
        <v>2</v>
      </c>
      <c r="P251" s="37">
        <v>2</v>
      </c>
      <c r="Q251" s="37">
        <v>3</v>
      </c>
      <c r="R251" s="37">
        <v>3</v>
      </c>
      <c r="S251" s="37">
        <v>3</v>
      </c>
      <c r="T251" s="37">
        <v>4</v>
      </c>
      <c r="U251" s="37">
        <v>4</v>
      </c>
      <c r="V251" s="37">
        <v>4</v>
      </c>
      <c r="W251" s="37">
        <v>4</v>
      </c>
      <c r="X251" s="37">
        <v>4</v>
      </c>
      <c r="Z251" s="37">
        <v>6</v>
      </c>
      <c r="AA251" s="37">
        <v>6</v>
      </c>
      <c r="AB251" s="37">
        <v>6</v>
      </c>
      <c r="AC251" s="37">
        <v>6</v>
      </c>
      <c r="AD251" s="37">
        <v>6</v>
      </c>
      <c r="AE251" s="37">
        <v>6</v>
      </c>
      <c r="AF251" s="37">
        <v>6</v>
      </c>
      <c r="AG251" s="37">
        <v>2</v>
      </c>
      <c r="AH251" s="37">
        <v>2</v>
      </c>
      <c r="AI251" s="37">
        <v>2</v>
      </c>
      <c r="AJ251" s="37">
        <v>2</v>
      </c>
      <c r="AK251" s="37">
        <v>2</v>
      </c>
      <c r="AL251" s="37">
        <v>2</v>
      </c>
      <c r="AM251" s="37">
        <v>4</v>
      </c>
      <c r="AN251" s="37">
        <v>4</v>
      </c>
      <c r="AO251" s="37">
        <v>4</v>
      </c>
      <c r="AP251" s="37">
        <v>4</v>
      </c>
      <c r="AQ251" s="37">
        <v>4</v>
      </c>
      <c r="AR251" s="37">
        <v>4</v>
      </c>
      <c r="AS251" s="37">
        <v>4</v>
      </c>
      <c r="AT251" s="37">
        <v>4</v>
      </c>
    </row>
    <row r="252" spans="3:46" s="37" customFormat="1" x14ac:dyDescent="0.25"/>
    <row r="253" spans="3:46" s="37" customFormat="1" x14ac:dyDescent="0.25">
      <c r="C253" s="37" t="s">
        <v>21</v>
      </c>
      <c r="D253" s="37">
        <v>3</v>
      </c>
      <c r="E253" s="37">
        <v>3</v>
      </c>
      <c r="F253" s="37">
        <v>3</v>
      </c>
      <c r="G253" s="37">
        <v>3</v>
      </c>
      <c r="H253" s="37">
        <v>3</v>
      </c>
      <c r="I253" s="37">
        <v>3</v>
      </c>
      <c r="J253" s="37">
        <v>3</v>
      </c>
      <c r="K253" s="37">
        <v>2</v>
      </c>
      <c r="L253" s="37">
        <v>2</v>
      </c>
      <c r="M253" s="37">
        <v>2</v>
      </c>
      <c r="N253" s="37">
        <v>2</v>
      </c>
      <c r="O253" s="37">
        <v>2</v>
      </c>
      <c r="P253" s="37">
        <v>2</v>
      </c>
      <c r="Q253" s="37">
        <v>3</v>
      </c>
      <c r="R253" s="37">
        <v>3</v>
      </c>
      <c r="S253" s="37">
        <v>3</v>
      </c>
      <c r="T253" s="37">
        <v>4</v>
      </c>
      <c r="U253" s="37">
        <v>4</v>
      </c>
      <c r="V253" s="37">
        <v>4</v>
      </c>
      <c r="W253" s="37">
        <v>4</v>
      </c>
      <c r="X253" s="37">
        <v>4</v>
      </c>
      <c r="Z253" s="37">
        <v>3</v>
      </c>
      <c r="AA253" s="37">
        <v>3</v>
      </c>
      <c r="AB253" s="37">
        <v>3</v>
      </c>
      <c r="AC253" s="37">
        <v>3</v>
      </c>
      <c r="AD253" s="37">
        <v>3</v>
      </c>
      <c r="AE253" s="37">
        <v>3</v>
      </c>
      <c r="AF253" s="37">
        <v>3</v>
      </c>
      <c r="AG253" s="37">
        <v>2</v>
      </c>
      <c r="AH253" s="37">
        <v>2</v>
      </c>
      <c r="AI253" s="37">
        <v>2</v>
      </c>
      <c r="AJ253" s="37">
        <v>2</v>
      </c>
      <c r="AK253" s="37">
        <v>2</v>
      </c>
      <c r="AL253" s="37">
        <v>2</v>
      </c>
      <c r="AM253" s="37">
        <v>4</v>
      </c>
      <c r="AN253" s="37">
        <v>4</v>
      </c>
      <c r="AO253" s="37">
        <v>4</v>
      </c>
      <c r="AP253" s="37">
        <v>4</v>
      </c>
      <c r="AQ253" s="37">
        <v>4</v>
      </c>
      <c r="AR253" s="37">
        <v>4</v>
      </c>
      <c r="AS253" s="37">
        <v>4</v>
      </c>
      <c r="AT253" s="37">
        <v>4</v>
      </c>
    </row>
    <row r="254" spans="3:46" s="37" customFormat="1" x14ac:dyDescent="0.25"/>
    <row r="255" spans="3:46" s="37" customFormat="1" x14ac:dyDescent="0.25">
      <c r="C255" s="37" t="s">
        <v>20</v>
      </c>
      <c r="D255" s="37">
        <v>7</v>
      </c>
      <c r="E255" s="37">
        <v>7</v>
      </c>
      <c r="F255" s="37">
        <v>7</v>
      </c>
      <c r="G255" s="37">
        <v>7</v>
      </c>
      <c r="H255" s="37">
        <v>7</v>
      </c>
      <c r="I255" s="37">
        <v>6</v>
      </c>
      <c r="J255" s="37">
        <v>6</v>
      </c>
      <c r="K255" s="37">
        <v>4</v>
      </c>
      <c r="L255" s="37">
        <v>4</v>
      </c>
      <c r="M255" s="37">
        <v>4</v>
      </c>
      <c r="N255" s="37">
        <v>2</v>
      </c>
      <c r="O255" s="37">
        <v>4</v>
      </c>
      <c r="P255" s="37">
        <v>4</v>
      </c>
      <c r="Q255" s="37">
        <v>6</v>
      </c>
      <c r="R255" s="37">
        <v>7</v>
      </c>
      <c r="S255" s="37">
        <v>8</v>
      </c>
      <c r="T255" s="37">
        <v>9</v>
      </c>
      <c r="U255" s="37">
        <v>10</v>
      </c>
      <c r="V255" s="37">
        <v>10</v>
      </c>
      <c r="W255" s="37">
        <v>10</v>
      </c>
      <c r="X255" s="37">
        <v>10</v>
      </c>
      <c r="Z255" s="37">
        <v>7</v>
      </c>
      <c r="AA255" s="37">
        <v>7</v>
      </c>
      <c r="AB255" s="37">
        <v>7</v>
      </c>
      <c r="AC255" s="37">
        <v>7</v>
      </c>
      <c r="AD255" s="37">
        <v>7</v>
      </c>
      <c r="AE255" s="37">
        <v>7</v>
      </c>
      <c r="AF255" s="37">
        <v>7</v>
      </c>
      <c r="AG255" s="37">
        <v>4</v>
      </c>
      <c r="AH255" s="37">
        <v>4</v>
      </c>
      <c r="AI255" s="37">
        <v>4</v>
      </c>
      <c r="AJ255" s="37">
        <v>4</v>
      </c>
      <c r="AK255" s="37">
        <v>4</v>
      </c>
      <c r="AL255" s="37">
        <v>4</v>
      </c>
      <c r="AM255" s="37">
        <v>10</v>
      </c>
      <c r="AN255" s="37">
        <v>10</v>
      </c>
      <c r="AO255" s="37">
        <v>10</v>
      </c>
      <c r="AP255" s="37">
        <v>10</v>
      </c>
      <c r="AQ255" s="37">
        <v>10</v>
      </c>
      <c r="AR255" s="37">
        <v>10</v>
      </c>
      <c r="AS255" s="37">
        <v>10</v>
      </c>
      <c r="AT255" s="37">
        <v>10</v>
      </c>
    </row>
    <row r="256" spans="3:46" s="37" customFormat="1" x14ac:dyDescent="0.25"/>
    <row r="257" spans="3:46" s="37" customFormat="1" x14ac:dyDescent="0.25">
      <c r="C257" s="37" t="s">
        <v>21</v>
      </c>
      <c r="D257" s="37">
        <v>4</v>
      </c>
      <c r="E257" s="37">
        <v>4</v>
      </c>
      <c r="F257" s="37">
        <v>4</v>
      </c>
      <c r="G257" s="37">
        <v>4</v>
      </c>
      <c r="H257" s="37">
        <v>4</v>
      </c>
      <c r="I257" s="37">
        <v>3</v>
      </c>
      <c r="J257" s="37">
        <v>3</v>
      </c>
      <c r="K257" s="37">
        <v>3</v>
      </c>
      <c r="L257" s="37">
        <v>3</v>
      </c>
      <c r="M257" s="37">
        <v>3</v>
      </c>
      <c r="N257" s="37">
        <v>3</v>
      </c>
      <c r="O257" s="37">
        <v>3</v>
      </c>
      <c r="P257" s="37">
        <v>3</v>
      </c>
      <c r="Q257" s="37">
        <v>3</v>
      </c>
      <c r="R257" s="37">
        <v>3</v>
      </c>
      <c r="S257" s="37">
        <v>4</v>
      </c>
      <c r="T257" s="37">
        <v>4</v>
      </c>
      <c r="U257" s="37">
        <v>5</v>
      </c>
      <c r="V257" s="37">
        <v>5</v>
      </c>
      <c r="W257" s="37">
        <v>5</v>
      </c>
      <c r="X257" s="37">
        <v>5</v>
      </c>
      <c r="Z257" s="37">
        <v>4</v>
      </c>
      <c r="AA257" s="37">
        <v>4</v>
      </c>
      <c r="AB257" s="37">
        <v>4</v>
      </c>
      <c r="AC257" s="37">
        <v>4</v>
      </c>
      <c r="AD257" s="37">
        <v>4</v>
      </c>
      <c r="AE257" s="37">
        <v>4</v>
      </c>
      <c r="AF257" s="37">
        <v>4</v>
      </c>
      <c r="AG257" s="37">
        <v>3</v>
      </c>
      <c r="AH257" s="37">
        <v>3</v>
      </c>
      <c r="AI257" s="37">
        <v>3</v>
      </c>
      <c r="AJ257" s="37">
        <v>3</v>
      </c>
      <c r="AK257" s="37">
        <v>3</v>
      </c>
      <c r="AL257" s="37">
        <v>3</v>
      </c>
      <c r="AM257" s="37">
        <v>5</v>
      </c>
      <c r="AN257" s="37">
        <v>5</v>
      </c>
      <c r="AO257" s="37">
        <v>5</v>
      </c>
      <c r="AP257" s="37">
        <v>5</v>
      </c>
      <c r="AQ257" s="37">
        <v>5</v>
      </c>
      <c r="AR257" s="37">
        <v>5</v>
      </c>
      <c r="AS257" s="37">
        <v>5</v>
      </c>
      <c r="AT257" s="37">
        <v>5</v>
      </c>
    </row>
    <row r="258" spans="3:46" s="37" customFormat="1" x14ac:dyDescent="0.25"/>
    <row r="259" spans="3:46" s="37" customFormat="1" x14ac:dyDescent="0.25">
      <c r="C259" s="37" t="s">
        <v>20</v>
      </c>
      <c r="D259" s="37">
        <v>6</v>
      </c>
      <c r="E259" s="37">
        <v>6</v>
      </c>
      <c r="F259" s="37">
        <v>6</v>
      </c>
      <c r="G259" s="37">
        <v>6</v>
      </c>
      <c r="H259" s="37">
        <v>6</v>
      </c>
      <c r="I259" s="37">
        <v>6</v>
      </c>
      <c r="J259" s="37">
        <v>5</v>
      </c>
      <c r="K259" s="37">
        <v>3</v>
      </c>
      <c r="L259" s="37">
        <v>3</v>
      </c>
      <c r="M259" s="37">
        <v>3</v>
      </c>
      <c r="N259" s="37">
        <v>3</v>
      </c>
      <c r="O259" s="37">
        <v>3</v>
      </c>
      <c r="P259" s="37">
        <v>3</v>
      </c>
      <c r="Q259" s="37">
        <v>6</v>
      </c>
      <c r="R259" s="37">
        <v>6</v>
      </c>
      <c r="S259" s="37">
        <v>7</v>
      </c>
      <c r="T259" s="37">
        <v>7</v>
      </c>
      <c r="U259" s="37">
        <v>7</v>
      </c>
      <c r="V259" s="37">
        <v>7</v>
      </c>
      <c r="W259" s="37">
        <v>7</v>
      </c>
      <c r="X259" s="37">
        <v>7</v>
      </c>
      <c r="Z259" s="37">
        <v>6</v>
      </c>
      <c r="AA259" s="37">
        <v>6</v>
      </c>
      <c r="AB259" s="37">
        <v>6</v>
      </c>
      <c r="AC259" s="37">
        <v>6</v>
      </c>
      <c r="AD259" s="37">
        <v>6</v>
      </c>
      <c r="AE259" s="37">
        <v>6</v>
      </c>
      <c r="AF259" s="37">
        <v>6</v>
      </c>
      <c r="AG259" s="37">
        <v>3</v>
      </c>
      <c r="AH259" s="37">
        <v>3</v>
      </c>
      <c r="AI259" s="37">
        <v>3</v>
      </c>
      <c r="AJ259" s="37">
        <v>3</v>
      </c>
      <c r="AK259" s="37">
        <v>3</v>
      </c>
      <c r="AL259" s="37">
        <v>3</v>
      </c>
      <c r="AM259" s="37">
        <v>7</v>
      </c>
      <c r="AN259" s="37">
        <v>7</v>
      </c>
      <c r="AO259" s="37">
        <v>7</v>
      </c>
      <c r="AP259" s="37">
        <v>7</v>
      </c>
      <c r="AQ259" s="37">
        <v>7</v>
      </c>
      <c r="AR259" s="37">
        <v>7</v>
      </c>
      <c r="AS259" s="37">
        <v>7</v>
      </c>
      <c r="AT259" s="37">
        <v>7</v>
      </c>
    </row>
    <row r="260" spans="3:46" s="37" customFormat="1" x14ac:dyDescent="0.25"/>
    <row r="261" spans="3:46" s="37" customFormat="1" x14ac:dyDescent="0.25">
      <c r="C261" s="37" t="s">
        <v>21</v>
      </c>
      <c r="D261" s="37">
        <v>6</v>
      </c>
      <c r="E261" s="37">
        <v>6</v>
      </c>
      <c r="F261" s="37">
        <v>6</v>
      </c>
      <c r="G261" s="37">
        <v>6</v>
      </c>
      <c r="H261" s="37">
        <v>6</v>
      </c>
      <c r="I261" s="37">
        <v>6</v>
      </c>
      <c r="J261" s="37">
        <v>5</v>
      </c>
      <c r="K261" s="37">
        <v>3</v>
      </c>
      <c r="L261" s="37">
        <v>3</v>
      </c>
      <c r="M261" s="37">
        <v>3</v>
      </c>
      <c r="N261" s="37">
        <v>3</v>
      </c>
      <c r="O261" s="37">
        <v>3</v>
      </c>
      <c r="P261" s="37">
        <v>3</v>
      </c>
      <c r="Q261" s="37">
        <v>3</v>
      </c>
      <c r="R261" s="37">
        <v>3</v>
      </c>
      <c r="S261" s="37">
        <v>3</v>
      </c>
      <c r="T261" s="37">
        <v>4</v>
      </c>
      <c r="U261" s="37">
        <v>4</v>
      </c>
      <c r="V261" s="37">
        <v>4</v>
      </c>
      <c r="W261" s="37">
        <v>4</v>
      </c>
      <c r="X261" s="37">
        <v>4</v>
      </c>
      <c r="Z261" s="37">
        <v>6</v>
      </c>
      <c r="AA261" s="37">
        <v>6</v>
      </c>
      <c r="AB261" s="37">
        <v>6</v>
      </c>
      <c r="AC261" s="37">
        <v>6</v>
      </c>
      <c r="AD261" s="37">
        <v>6</v>
      </c>
      <c r="AE261" s="37">
        <v>6</v>
      </c>
      <c r="AF261" s="37">
        <v>6</v>
      </c>
      <c r="AG261" s="37">
        <v>3</v>
      </c>
      <c r="AH261" s="37">
        <v>3</v>
      </c>
      <c r="AI261" s="37">
        <v>3</v>
      </c>
      <c r="AJ261" s="37">
        <v>3</v>
      </c>
      <c r="AK261" s="37">
        <v>3</v>
      </c>
      <c r="AL261" s="37">
        <v>3</v>
      </c>
      <c r="AM261" s="37">
        <v>4</v>
      </c>
      <c r="AN261" s="37">
        <v>4</v>
      </c>
      <c r="AO261" s="37">
        <v>4</v>
      </c>
      <c r="AP261" s="37">
        <v>4</v>
      </c>
      <c r="AQ261" s="37">
        <v>4</v>
      </c>
      <c r="AR261" s="37">
        <v>4</v>
      </c>
      <c r="AS261" s="37">
        <v>4</v>
      </c>
      <c r="AT261" s="37">
        <v>4</v>
      </c>
    </row>
    <row r="262" spans="3:46" s="37" customFormat="1" x14ac:dyDescent="0.25"/>
    <row r="263" spans="3:46" s="37" customFormat="1" x14ac:dyDescent="0.25">
      <c r="C263" s="37" t="s">
        <v>20</v>
      </c>
      <c r="D263" s="37">
        <v>5</v>
      </c>
      <c r="E263" s="37">
        <v>5</v>
      </c>
      <c r="F263" s="37">
        <v>5</v>
      </c>
      <c r="G263" s="37">
        <v>5</v>
      </c>
      <c r="H263" s="37">
        <v>5</v>
      </c>
      <c r="I263" s="37">
        <v>5</v>
      </c>
      <c r="J263" s="37">
        <v>5</v>
      </c>
      <c r="K263" s="37">
        <v>3</v>
      </c>
      <c r="L263" s="37">
        <v>3</v>
      </c>
      <c r="M263" s="37">
        <v>3</v>
      </c>
      <c r="N263" s="37">
        <v>3</v>
      </c>
      <c r="O263" s="37">
        <v>3</v>
      </c>
      <c r="P263" s="37">
        <v>3</v>
      </c>
      <c r="Q263" s="37">
        <v>5</v>
      </c>
      <c r="R263" s="37">
        <v>6</v>
      </c>
      <c r="S263" s="37">
        <v>6</v>
      </c>
      <c r="T263" s="37">
        <v>7</v>
      </c>
      <c r="U263" s="37">
        <v>7</v>
      </c>
      <c r="V263" s="37">
        <v>7</v>
      </c>
      <c r="W263" s="37">
        <v>7</v>
      </c>
      <c r="X263" s="37">
        <v>7</v>
      </c>
      <c r="Z263" s="37">
        <v>5</v>
      </c>
      <c r="AA263" s="37">
        <v>5</v>
      </c>
      <c r="AB263" s="37">
        <v>5</v>
      </c>
      <c r="AC263" s="37">
        <v>5</v>
      </c>
      <c r="AD263" s="37">
        <v>5</v>
      </c>
      <c r="AE263" s="37">
        <v>5</v>
      </c>
      <c r="AF263" s="37">
        <v>5</v>
      </c>
      <c r="AG263" s="37">
        <v>3</v>
      </c>
      <c r="AH263" s="37">
        <v>3</v>
      </c>
      <c r="AI263" s="37">
        <v>3</v>
      </c>
      <c r="AJ263" s="37">
        <v>3</v>
      </c>
      <c r="AK263" s="37">
        <v>3</v>
      </c>
      <c r="AL263" s="37">
        <v>3</v>
      </c>
      <c r="AM263" s="37">
        <v>7</v>
      </c>
      <c r="AN263" s="37">
        <v>7</v>
      </c>
      <c r="AO263" s="37">
        <v>7</v>
      </c>
      <c r="AP263" s="37">
        <v>7</v>
      </c>
      <c r="AQ263" s="37">
        <v>7</v>
      </c>
      <c r="AR263" s="37">
        <v>7</v>
      </c>
      <c r="AS263" s="37">
        <v>7</v>
      </c>
      <c r="AT263" s="37">
        <v>7</v>
      </c>
    </row>
    <row r="264" spans="3:46" s="37" customFormat="1" x14ac:dyDescent="0.25"/>
    <row r="265" spans="3:46" s="37" customFormat="1" x14ac:dyDescent="0.25">
      <c r="C265" s="37" t="s">
        <v>21</v>
      </c>
      <c r="D265" s="37">
        <v>6</v>
      </c>
      <c r="E265" s="37">
        <v>6</v>
      </c>
      <c r="F265" s="37">
        <v>6</v>
      </c>
      <c r="G265" s="37">
        <v>6</v>
      </c>
      <c r="H265" s="37">
        <v>6</v>
      </c>
      <c r="I265" s="37">
        <v>6</v>
      </c>
      <c r="J265" s="37">
        <v>5</v>
      </c>
      <c r="K265" s="37">
        <v>2</v>
      </c>
      <c r="L265" s="37">
        <v>2</v>
      </c>
      <c r="M265" s="37">
        <v>2</v>
      </c>
      <c r="N265" s="37">
        <v>2</v>
      </c>
      <c r="O265" s="37">
        <v>2</v>
      </c>
      <c r="P265" s="37">
        <v>2</v>
      </c>
      <c r="Q265" s="37">
        <v>3</v>
      </c>
      <c r="R265" s="37">
        <v>3</v>
      </c>
      <c r="S265" s="37">
        <v>3</v>
      </c>
      <c r="T265" s="37">
        <v>4</v>
      </c>
      <c r="U265" s="37">
        <v>4</v>
      </c>
      <c r="V265" s="37">
        <v>4</v>
      </c>
      <c r="W265" s="37">
        <v>4</v>
      </c>
      <c r="X265" s="37">
        <v>4</v>
      </c>
      <c r="Z265" s="37">
        <v>6</v>
      </c>
      <c r="AA265" s="37">
        <v>6</v>
      </c>
      <c r="AB265" s="37">
        <v>6</v>
      </c>
      <c r="AC265" s="37">
        <v>6</v>
      </c>
      <c r="AD265" s="37">
        <v>6</v>
      </c>
      <c r="AE265" s="37">
        <v>6</v>
      </c>
      <c r="AF265" s="37">
        <v>6</v>
      </c>
      <c r="AG265" s="37">
        <v>2</v>
      </c>
      <c r="AH265" s="37">
        <v>2</v>
      </c>
      <c r="AI265" s="37">
        <v>2</v>
      </c>
      <c r="AJ265" s="37">
        <v>2</v>
      </c>
      <c r="AK265" s="37">
        <v>2</v>
      </c>
      <c r="AL265" s="37">
        <v>2</v>
      </c>
      <c r="AM265" s="37">
        <v>4</v>
      </c>
      <c r="AN265" s="37">
        <v>4</v>
      </c>
      <c r="AO265" s="37">
        <v>4</v>
      </c>
      <c r="AP265" s="37">
        <v>4</v>
      </c>
      <c r="AQ265" s="37">
        <v>4</v>
      </c>
      <c r="AR265" s="37">
        <v>4</v>
      </c>
      <c r="AS265" s="37">
        <v>4</v>
      </c>
      <c r="AT265" s="37">
        <v>4</v>
      </c>
    </row>
    <row r="266" spans="3:46" s="37" customFormat="1" x14ac:dyDescent="0.25"/>
    <row r="267" spans="3:46" s="37" customFormat="1" x14ac:dyDescent="0.25">
      <c r="C267" s="37" t="s">
        <v>20</v>
      </c>
      <c r="D267" s="37">
        <v>8</v>
      </c>
      <c r="E267" s="37">
        <v>8</v>
      </c>
      <c r="F267" s="37">
        <v>8</v>
      </c>
      <c r="G267" s="37">
        <v>8</v>
      </c>
      <c r="H267" s="37">
        <v>8</v>
      </c>
      <c r="I267" s="37">
        <v>7</v>
      </c>
      <c r="J267" s="37">
        <v>6</v>
      </c>
      <c r="K267" s="37">
        <v>3</v>
      </c>
      <c r="L267" s="37">
        <v>3</v>
      </c>
      <c r="M267" s="37">
        <v>3</v>
      </c>
      <c r="N267" s="37">
        <v>3</v>
      </c>
      <c r="O267" s="37">
        <v>3</v>
      </c>
      <c r="P267" s="37">
        <v>3</v>
      </c>
      <c r="Q267" s="37">
        <v>5</v>
      </c>
      <c r="R267" s="37">
        <v>6</v>
      </c>
      <c r="S267" s="37">
        <v>6</v>
      </c>
      <c r="T267" s="37">
        <v>7</v>
      </c>
      <c r="U267" s="37">
        <v>8</v>
      </c>
      <c r="V267" s="37">
        <v>8</v>
      </c>
      <c r="W267" s="37">
        <v>8</v>
      </c>
      <c r="X267" s="37">
        <v>8</v>
      </c>
      <c r="Z267" s="37">
        <v>8</v>
      </c>
      <c r="AA267" s="37">
        <v>8</v>
      </c>
      <c r="AB267" s="37">
        <v>8</v>
      </c>
      <c r="AC267" s="37">
        <v>8</v>
      </c>
      <c r="AD267" s="37">
        <v>8</v>
      </c>
      <c r="AE267" s="37">
        <v>8</v>
      </c>
      <c r="AF267" s="37">
        <v>8</v>
      </c>
      <c r="AG267" s="37">
        <v>3</v>
      </c>
      <c r="AH267" s="37">
        <v>3</v>
      </c>
      <c r="AI267" s="37">
        <v>3</v>
      </c>
      <c r="AJ267" s="37">
        <v>3</v>
      </c>
      <c r="AK267" s="37">
        <v>3</v>
      </c>
      <c r="AL267" s="37">
        <v>3</v>
      </c>
      <c r="AM267" s="37">
        <v>8</v>
      </c>
      <c r="AN267" s="37">
        <v>8</v>
      </c>
      <c r="AO267" s="37">
        <v>8</v>
      </c>
      <c r="AP267" s="37">
        <v>8</v>
      </c>
      <c r="AQ267" s="37">
        <v>8</v>
      </c>
      <c r="AR267" s="37">
        <v>8</v>
      </c>
      <c r="AS267" s="37">
        <v>8</v>
      </c>
      <c r="AT267" s="37">
        <v>8</v>
      </c>
    </row>
    <row r="268" spans="3:46" s="37" customFormat="1" x14ac:dyDescent="0.25"/>
    <row r="269" spans="3:46" s="37" customFormat="1" x14ac:dyDescent="0.25">
      <c r="C269" s="37" t="s">
        <v>21</v>
      </c>
      <c r="D269" s="37">
        <v>4</v>
      </c>
      <c r="E269" s="37">
        <v>4</v>
      </c>
      <c r="F269" s="37">
        <v>4</v>
      </c>
      <c r="G269" s="37">
        <v>4</v>
      </c>
      <c r="H269" s="37">
        <v>4</v>
      </c>
      <c r="I269" s="37">
        <v>3</v>
      </c>
      <c r="J269" s="37">
        <v>3</v>
      </c>
      <c r="K269" s="37">
        <v>3</v>
      </c>
      <c r="L269" s="37">
        <v>3</v>
      </c>
      <c r="M269" s="37">
        <v>3</v>
      </c>
      <c r="N269" s="37">
        <v>3</v>
      </c>
      <c r="O269" s="37">
        <v>3</v>
      </c>
      <c r="P269" s="37">
        <v>3</v>
      </c>
      <c r="Q269" s="37">
        <v>3</v>
      </c>
      <c r="R269" s="37">
        <v>3</v>
      </c>
      <c r="S269" s="37">
        <v>4</v>
      </c>
      <c r="T269" s="37">
        <v>4</v>
      </c>
      <c r="U269" s="37">
        <v>5</v>
      </c>
      <c r="V269" s="37">
        <v>5</v>
      </c>
      <c r="W269" s="37">
        <v>5</v>
      </c>
      <c r="X269" s="37">
        <v>5</v>
      </c>
      <c r="Z269" s="37">
        <v>4</v>
      </c>
      <c r="AA269" s="37">
        <v>4</v>
      </c>
      <c r="AB269" s="37">
        <v>4</v>
      </c>
      <c r="AC269" s="37">
        <v>4</v>
      </c>
      <c r="AD269" s="37">
        <v>4</v>
      </c>
      <c r="AE269" s="37">
        <v>4</v>
      </c>
      <c r="AF269" s="37">
        <v>4</v>
      </c>
      <c r="AG269" s="37">
        <v>3</v>
      </c>
      <c r="AH269" s="37">
        <v>3</v>
      </c>
      <c r="AI269" s="37">
        <v>3</v>
      </c>
      <c r="AJ269" s="37">
        <v>3</v>
      </c>
      <c r="AK269" s="37">
        <v>3</v>
      </c>
      <c r="AL269" s="37">
        <v>3</v>
      </c>
      <c r="AM269" s="37">
        <v>5</v>
      </c>
      <c r="AN269" s="37">
        <v>5</v>
      </c>
      <c r="AO269" s="37">
        <v>5</v>
      </c>
      <c r="AP269" s="37">
        <v>5</v>
      </c>
      <c r="AQ269" s="37">
        <v>5</v>
      </c>
      <c r="AR269" s="37">
        <v>5</v>
      </c>
      <c r="AS269" s="37">
        <v>5</v>
      </c>
      <c r="AT269" s="37">
        <v>5</v>
      </c>
    </row>
    <row r="270" spans="3:46" s="37" customFormat="1" x14ac:dyDescent="0.25"/>
    <row r="271" spans="3:46" s="37" customFormat="1" x14ac:dyDescent="0.25">
      <c r="C271" s="37" t="s">
        <v>20</v>
      </c>
      <c r="D271" s="37">
        <v>7</v>
      </c>
      <c r="E271" s="37">
        <v>7</v>
      </c>
      <c r="F271" s="37">
        <v>7</v>
      </c>
      <c r="G271" s="37">
        <v>7</v>
      </c>
      <c r="H271" s="37">
        <v>7</v>
      </c>
      <c r="I271" s="37">
        <v>7</v>
      </c>
      <c r="J271" s="37">
        <v>7</v>
      </c>
      <c r="K271" s="37">
        <v>3</v>
      </c>
      <c r="L271" s="37">
        <v>3</v>
      </c>
      <c r="M271" s="37">
        <v>3</v>
      </c>
      <c r="N271" s="37">
        <v>3</v>
      </c>
      <c r="O271" s="37">
        <v>3</v>
      </c>
      <c r="P271" s="37">
        <v>3</v>
      </c>
      <c r="Q271" s="37">
        <v>4</v>
      </c>
      <c r="R271" s="37">
        <v>5</v>
      </c>
      <c r="S271" s="37">
        <v>5</v>
      </c>
      <c r="T271" s="37">
        <v>6</v>
      </c>
      <c r="U271" s="37">
        <v>6</v>
      </c>
      <c r="V271" s="37">
        <v>6</v>
      </c>
      <c r="W271" s="37">
        <v>6</v>
      </c>
      <c r="X271" s="37">
        <v>6</v>
      </c>
      <c r="Z271" s="37">
        <v>7</v>
      </c>
      <c r="AA271" s="37">
        <v>7</v>
      </c>
      <c r="AB271" s="37">
        <v>7</v>
      </c>
      <c r="AC271" s="37">
        <v>7</v>
      </c>
      <c r="AD271" s="37">
        <v>7</v>
      </c>
      <c r="AE271" s="37">
        <v>7</v>
      </c>
      <c r="AF271" s="37">
        <v>7</v>
      </c>
      <c r="AG271" s="37">
        <v>3</v>
      </c>
      <c r="AH271" s="37">
        <v>3</v>
      </c>
      <c r="AI271" s="37">
        <v>3</v>
      </c>
      <c r="AJ271" s="37">
        <v>3</v>
      </c>
      <c r="AK271" s="37">
        <v>3</v>
      </c>
      <c r="AL271" s="37">
        <v>3</v>
      </c>
      <c r="AM271" s="37">
        <v>6</v>
      </c>
      <c r="AN271" s="37">
        <v>6</v>
      </c>
      <c r="AO271" s="37">
        <v>6</v>
      </c>
      <c r="AP271" s="37">
        <v>6</v>
      </c>
      <c r="AQ271" s="37">
        <v>6</v>
      </c>
      <c r="AR271" s="37">
        <v>6</v>
      </c>
      <c r="AS271" s="37">
        <v>6</v>
      </c>
      <c r="AT271" s="37">
        <v>6</v>
      </c>
    </row>
    <row r="272" spans="3:46" s="37" customFormat="1" x14ac:dyDescent="0.25"/>
    <row r="273" spans="3:46" s="37" customFormat="1" x14ac:dyDescent="0.25">
      <c r="C273" s="37" t="s">
        <v>21</v>
      </c>
      <c r="D273" s="37">
        <v>6</v>
      </c>
      <c r="E273" s="37">
        <v>6</v>
      </c>
      <c r="F273" s="37">
        <v>6</v>
      </c>
      <c r="G273" s="37">
        <v>6</v>
      </c>
      <c r="H273" s="37">
        <v>6</v>
      </c>
      <c r="I273" s="37">
        <v>5</v>
      </c>
      <c r="J273" s="37">
        <v>5</v>
      </c>
      <c r="K273" s="37">
        <v>3</v>
      </c>
      <c r="L273" s="37">
        <v>3</v>
      </c>
      <c r="M273" s="37">
        <v>3</v>
      </c>
      <c r="N273" s="37">
        <v>3</v>
      </c>
      <c r="O273" s="37">
        <v>3</v>
      </c>
      <c r="P273" s="37">
        <v>3</v>
      </c>
      <c r="Q273" s="37">
        <v>4</v>
      </c>
      <c r="R273" s="37">
        <v>4</v>
      </c>
      <c r="S273" s="37">
        <v>5</v>
      </c>
      <c r="T273" s="37">
        <v>5</v>
      </c>
      <c r="U273" s="37">
        <v>6</v>
      </c>
      <c r="V273" s="37">
        <v>6</v>
      </c>
      <c r="W273" s="37">
        <v>6</v>
      </c>
      <c r="X273" s="37">
        <v>6</v>
      </c>
      <c r="Z273" s="37">
        <v>6</v>
      </c>
      <c r="AA273" s="37">
        <v>6</v>
      </c>
      <c r="AB273" s="37">
        <v>6</v>
      </c>
      <c r="AC273" s="37">
        <v>6</v>
      </c>
      <c r="AD273" s="37">
        <v>6</v>
      </c>
      <c r="AE273" s="37">
        <v>6</v>
      </c>
      <c r="AF273" s="37">
        <v>6</v>
      </c>
      <c r="AG273" s="37">
        <v>3</v>
      </c>
      <c r="AH273" s="37">
        <v>3</v>
      </c>
      <c r="AI273" s="37">
        <v>3</v>
      </c>
      <c r="AJ273" s="37">
        <v>3</v>
      </c>
      <c r="AK273" s="37">
        <v>3</v>
      </c>
      <c r="AL273" s="37">
        <v>3</v>
      </c>
      <c r="AM273" s="37">
        <v>6</v>
      </c>
      <c r="AN273" s="37">
        <v>6</v>
      </c>
      <c r="AO273" s="37">
        <v>6</v>
      </c>
      <c r="AP273" s="37">
        <v>6</v>
      </c>
      <c r="AQ273" s="37">
        <v>6</v>
      </c>
      <c r="AR273" s="37">
        <v>6</v>
      </c>
      <c r="AS273" s="37">
        <v>6</v>
      </c>
      <c r="AT273" s="37">
        <v>6</v>
      </c>
    </row>
    <row r="274" spans="3:46" s="37" customFormat="1" x14ac:dyDescent="0.25"/>
    <row r="275" spans="3:46" s="37" customFormat="1" x14ac:dyDescent="0.25">
      <c r="C275" s="37" t="s">
        <v>20</v>
      </c>
      <c r="D275" s="37">
        <v>9</v>
      </c>
      <c r="E275" s="37">
        <v>9</v>
      </c>
      <c r="F275" s="37">
        <v>9</v>
      </c>
      <c r="G275" s="37">
        <v>9</v>
      </c>
      <c r="H275" s="37">
        <v>9</v>
      </c>
      <c r="I275" s="37">
        <v>9</v>
      </c>
      <c r="J275" s="37">
        <v>8</v>
      </c>
      <c r="K275" s="37">
        <v>3</v>
      </c>
      <c r="L275" s="37">
        <v>3</v>
      </c>
      <c r="M275" s="37">
        <v>3</v>
      </c>
      <c r="N275" s="37">
        <v>3</v>
      </c>
      <c r="O275" s="37">
        <v>3</v>
      </c>
      <c r="P275" s="37">
        <v>3</v>
      </c>
      <c r="Q275" s="37">
        <v>4</v>
      </c>
      <c r="R275" s="37">
        <v>5</v>
      </c>
      <c r="S275" s="37">
        <v>5</v>
      </c>
      <c r="T275" s="37">
        <v>6</v>
      </c>
      <c r="U275" s="37">
        <v>6</v>
      </c>
      <c r="V275" s="37">
        <v>6</v>
      </c>
      <c r="W275" s="37">
        <v>6</v>
      </c>
      <c r="X275" s="37">
        <v>6</v>
      </c>
      <c r="Z275" s="37">
        <v>9</v>
      </c>
      <c r="AA275" s="37">
        <v>9</v>
      </c>
      <c r="AB275" s="37">
        <v>9</v>
      </c>
      <c r="AC275" s="37">
        <v>9</v>
      </c>
      <c r="AD275" s="37">
        <v>9</v>
      </c>
      <c r="AE275" s="37">
        <v>9</v>
      </c>
      <c r="AF275" s="37">
        <v>9</v>
      </c>
      <c r="AG275" s="37">
        <v>3</v>
      </c>
      <c r="AH275" s="37">
        <v>3</v>
      </c>
      <c r="AI275" s="37">
        <v>3</v>
      </c>
      <c r="AJ275" s="37">
        <v>3</v>
      </c>
      <c r="AK275" s="37">
        <v>3</v>
      </c>
      <c r="AL275" s="37">
        <v>3</v>
      </c>
      <c r="AM275" s="37">
        <v>6</v>
      </c>
      <c r="AN275" s="37">
        <v>6</v>
      </c>
      <c r="AO275" s="37">
        <v>6</v>
      </c>
      <c r="AP275" s="37">
        <v>6</v>
      </c>
      <c r="AQ275" s="37">
        <v>6</v>
      </c>
      <c r="AR275" s="37">
        <v>6</v>
      </c>
      <c r="AS275" s="37">
        <v>6</v>
      </c>
      <c r="AT275" s="37">
        <v>6</v>
      </c>
    </row>
    <row r="276" spans="3:46" s="37" customFormat="1" x14ac:dyDescent="0.25"/>
    <row r="277" spans="3:46" s="37" customFormat="1" x14ac:dyDescent="0.25">
      <c r="C277" s="37" t="s">
        <v>21</v>
      </c>
      <c r="D277" s="37">
        <v>5</v>
      </c>
      <c r="E277" s="37">
        <v>5</v>
      </c>
      <c r="F277" s="37">
        <v>5</v>
      </c>
      <c r="G277" s="37">
        <v>5</v>
      </c>
      <c r="H277" s="37">
        <v>5</v>
      </c>
      <c r="I277" s="37">
        <v>5</v>
      </c>
      <c r="J277" s="37">
        <v>4</v>
      </c>
      <c r="K277" s="37">
        <v>3</v>
      </c>
      <c r="L277" s="37">
        <v>3</v>
      </c>
      <c r="M277" s="37">
        <v>3</v>
      </c>
      <c r="N277" s="37">
        <v>3</v>
      </c>
      <c r="O277" s="37">
        <v>3</v>
      </c>
      <c r="P277" s="37">
        <v>3</v>
      </c>
      <c r="Q277" s="37">
        <v>4</v>
      </c>
      <c r="R277" s="37">
        <v>5</v>
      </c>
      <c r="S277" s="37">
        <v>6</v>
      </c>
      <c r="T277" s="37">
        <v>6</v>
      </c>
      <c r="U277" s="37">
        <v>7</v>
      </c>
      <c r="V277" s="37">
        <v>7</v>
      </c>
      <c r="W277" s="37">
        <v>7</v>
      </c>
      <c r="X277" s="37">
        <v>7</v>
      </c>
      <c r="Z277" s="37">
        <v>5</v>
      </c>
      <c r="AA277" s="37">
        <v>5</v>
      </c>
      <c r="AB277" s="37">
        <v>5</v>
      </c>
      <c r="AC277" s="37">
        <v>5</v>
      </c>
      <c r="AD277" s="37">
        <v>5</v>
      </c>
      <c r="AE277" s="37">
        <v>5</v>
      </c>
      <c r="AF277" s="37">
        <v>5</v>
      </c>
      <c r="AG277" s="37">
        <v>3</v>
      </c>
      <c r="AH277" s="37">
        <v>3</v>
      </c>
      <c r="AI277" s="37">
        <v>3</v>
      </c>
      <c r="AJ277" s="37">
        <v>3</v>
      </c>
      <c r="AK277" s="37">
        <v>3</v>
      </c>
      <c r="AL277" s="37">
        <v>3</v>
      </c>
      <c r="AM277" s="37">
        <v>7</v>
      </c>
      <c r="AN277" s="37">
        <v>7</v>
      </c>
      <c r="AO277" s="37">
        <v>7</v>
      </c>
      <c r="AP277" s="37">
        <v>7</v>
      </c>
      <c r="AQ277" s="37">
        <v>7</v>
      </c>
      <c r="AR277" s="37">
        <v>7</v>
      </c>
      <c r="AS277" s="37">
        <v>7</v>
      </c>
      <c r="AT277" s="37">
        <v>7</v>
      </c>
    </row>
    <row r="278" spans="3:46" s="37" customFormat="1" x14ac:dyDescent="0.25"/>
    <row r="279" spans="3:46" s="37" customFormat="1" x14ac:dyDescent="0.25">
      <c r="C279" s="37" t="s">
        <v>20</v>
      </c>
      <c r="D279" s="37">
        <v>9</v>
      </c>
      <c r="E279" s="37">
        <v>9</v>
      </c>
      <c r="F279" s="37">
        <v>9</v>
      </c>
      <c r="G279" s="37">
        <v>9</v>
      </c>
      <c r="H279" s="37">
        <v>9</v>
      </c>
      <c r="I279" s="37">
        <v>9</v>
      </c>
      <c r="J279" s="37">
        <v>9</v>
      </c>
      <c r="K279" s="37">
        <v>3</v>
      </c>
      <c r="L279" s="37">
        <v>3</v>
      </c>
      <c r="M279" s="37">
        <v>3</v>
      </c>
      <c r="N279" s="37">
        <v>3</v>
      </c>
      <c r="O279" s="37">
        <v>3</v>
      </c>
      <c r="P279" s="37">
        <v>3</v>
      </c>
      <c r="Q279" s="37">
        <v>6</v>
      </c>
      <c r="R279" s="37">
        <v>6</v>
      </c>
      <c r="S279" s="37">
        <v>7</v>
      </c>
      <c r="T279" s="37">
        <v>7</v>
      </c>
      <c r="U279" s="37">
        <v>7</v>
      </c>
      <c r="V279" s="37">
        <v>7</v>
      </c>
      <c r="W279" s="37">
        <v>7</v>
      </c>
      <c r="X279" s="37">
        <v>7</v>
      </c>
      <c r="Z279" s="37">
        <v>9</v>
      </c>
      <c r="AA279" s="37">
        <v>9</v>
      </c>
      <c r="AB279" s="37">
        <v>9</v>
      </c>
      <c r="AC279" s="37">
        <v>9</v>
      </c>
      <c r="AD279" s="37">
        <v>9</v>
      </c>
      <c r="AE279" s="37">
        <v>9</v>
      </c>
      <c r="AF279" s="37">
        <v>9</v>
      </c>
      <c r="AG279" s="37">
        <v>3</v>
      </c>
      <c r="AH279" s="37">
        <v>3</v>
      </c>
      <c r="AI279" s="37">
        <v>3</v>
      </c>
      <c r="AJ279" s="37">
        <v>3</v>
      </c>
      <c r="AK279" s="37">
        <v>3</v>
      </c>
      <c r="AL279" s="37">
        <v>3</v>
      </c>
      <c r="AM279" s="37">
        <v>7</v>
      </c>
      <c r="AN279" s="37">
        <v>7</v>
      </c>
      <c r="AO279" s="37">
        <v>7</v>
      </c>
      <c r="AP279" s="37">
        <v>7</v>
      </c>
      <c r="AQ279" s="37">
        <v>7</v>
      </c>
      <c r="AR279" s="37">
        <v>7</v>
      </c>
      <c r="AS279" s="37">
        <v>7</v>
      </c>
      <c r="AT279" s="37">
        <v>7</v>
      </c>
    </row>
    <row r="280" spans="3:46" s="37" customFormat="1" x14ac:dyDescent="0.25"/>
    <row r="281" spans="3:46" s="37" customFormat="1" x14ac:dyDescent="0.25">
      <c r="C281" s="37" t="s">
        <v>21</v>
      </c>
      <c r="D281" s="37">
        <v>7</v>
      </c>
      <c r="E281" s="37">
        <v>7</v>
      </c>
      <c r="F281" s="37">
        <v>7</v>
      </c>
      <c r="G281" s="37">
        <v>7</v>
      </c>
      <c r="H281" s="37">
        <v>7</v>
      </c>
      <c r="I281" s="37">
        <v>7</v>
      </c>
      <c r="J281" s="37">
        <v>6</v>
      </c>
      <c r="K281" s="37">
        <v>4</v>
      </c>
      <c r="L281" s="37">
        <v>4</v>
      </c>
      <c r="M281" s="37">
        <v>4</v>
      </c>
      <c r="N281" s="37">
        <v>4</v>
      </c>
      <c r="O281" s="37">
        <v>4</v>
      </c>
      <c r="P281" s="37">
        <v>4</v>
      </c>
      <c r="Q281" s="37">
        <v>6</v>
      </c>
      <c r="R281" s="37">
        <v>7</v>
      </c>
      <c r="S281" s="37">
        <v>8</v>
      </c>
      <c r="T281" s="37">
        <v>8</v>
      </c>
      <c r="U281" s="37">
        <v>8</v>
      </c>
      <c r="V281" s="37">
        <v>8</v>
      </c>
      <c r="W281" s="37">
        <v>8</v>
      </c>
      <c r="X281" s="37">
        <v>8</v>
      </c>
      <c r="Z281" s="37">
        <v>7</v>
      </c>
      <c r="AA281" s="37">
        <v>7</v>
      </c>
      <c r="AB281" s="37">
        <v>7</v>
      </c>
      <c r="AC281" s="37">
        <v>7</v>
      </c>
      <c r="AD281" s="37">
        <v>7</v>
      </c>
      <c r="AE281" s="37">
        <v>7</v>
      </c>
      <c r="AF281" s="37">
        <v>7</v>
      </c>
      <c r="AG281" s="37">
        <v>4</v>
      </c>
      <c r="AH281" s="37">
        <v>4</v>
      </c>
      <c r="AI281" s="37">
        <v>4</v>
      </c>
      <c r="AJ281" s="37">
        <v>4</v>
      </c>
      <c r="AK281" s="37">
        <v>4</v>
      </c>
      <c r="AL281" s="37">
        <v>4</v>
      </c>
      <c r="AM281" s="37">
        <v>8</v>
      </c>
      <c r="AN281" s="37">
        <v>8</v>
      </c>
      <c r="AO281" s="37">
        <v>8</v>
      </c>
      <c r="AP281" s="37">
        <v>8</v>
      </c>
      <c r="AQ281" s="37">
        <v>8</v>
      </c>
      <c r="AR281" s="37">
        <v>8</v>
      </c>
      <c r="AS281" s="37">
        <v>8</v>
      </c>
      <c r="AT281" s="37">
        <v>8</v>
      </c>
    </row>
    <row r="282" spans="3:46" s="37" customFormat="1" x14ac:dyDescent="0.25"/>
    <row r="283" spans="3:46" s="37" customFormat="1" x14ac:dyDescent="0.25">
      <c r="C283" s="37" t="s">
        <v>20</v>
      </c>
      <c r="D283" s="37">
        <v>7</v>
      </c>
      <c r="E283" s="37">
        <v>7</v>
      </c>
      <c r="F283" s="37">
        <v>7</v>
      </c>
      <c r="G283" s="37">
        <v>7</v>
      </c>
      <c r="H283" s="37">
        <v>7</v>
      </c>
      <c r="I283" s="37">
        <v>6</v>
      </c>
      <c r="J283" s="37">
        <v>6</v>
      </c>
      <c r="K283" s="37">
        <v>4</v>
      </c>
      <c r="L283" s="37">
        <v>4</v>
      </c>
      <c r="M283" s="37">
        <v>4</v>
      </c>
      <c r="N283" s="37">
        <v>4</v>
      </c>
      <c r="O283" s="37">
        <v>4</v>
      </c>
      <c r="P283" s="37">
        <v>4</v>
      </c>
      <c r="Q283" s="37">
        <v>7</v>
      </c>
      <c r="R283" s="37">
        <v>8</v>
      </c>
      <c r="S283" s="37">
        <v>9</v>
      </c>
      <c r="T283" s="37">
        <v>10</v>
      </c>
      <c r="U283" s="37">
        <v>10</v>
      </c>
      <c r="V283" s="37">
        <v>10</v>
      </c>
      <c r="W283" s="37">
        <v>10</v>
      </c>
      <c r="X283" s="37">
        <v>10</v>
      </c>
      <c r="Z283" s="37">
        <v>7</v>
      </c>
      <c r="AA283" s="37">
        <v>7</v>
      </c>
      <c r="AB283" s="37">
        <v>7</v>
      </c>
      <c r="AC283" s="37">
        <v>7</v>
      </c>
      <c r="AD283" s="37">
        <v>7</v>
      </c>
      <c r="AE283" s="37">
        <v>7</v>
      </c>
      <c r="AF283" s="37">
        <v>7</v>
      </c>
      <c r="AG283" s="37">
        <v>4</v>
      </c>
      <c r="AH283" s="37">
        <v>4</v>
      </c>
      <c r="AI283" s="37">
        <v>4</v>
      </c>
      <c r="AJ283" s="37">
        <v>4</v>
      </c>
      <c r="AK283" s="37">
        <v>4</v>
      </c>
      <c r="AL283" s="37">
        <v>4</v>
      </c>
      <c r="AM283" s="37">
        <v>10</v>
      </c>
      <c r="AN283" s="37">
        <v>10</v>
      </c>
      <c r="AO283" s="37">
        <v>10</v>
      </c>
      <c r="AP283" s="37">
        <v>10</v>
      </c>
      <c r="AQ283" s="37">
        <v>10</v>
      </c>
      <c r="AR283" s="37">
        <v>10</v>
      </c>
      <c r="AS283" s="37">
        <v>10</v>
      </c>
      <c r="AT283" s="37">
        <v>10</v>
      </c>
    </row>
    <row r="284" spans="3:46" s="37" customFormat="1" x14ac:dyDescent="0.25"/>
    <row r="285" spans="3:46" s="37" customFormat="1" x14ac:dyDescent="0.25">
      <c r="C285" s="37" t="s">
        <v>21</v>
      </c>
      <c r="D285" s="37">
        <v>6</v>
      </c>
      <c r="E285" s="37">
        <v>6</v>
      </c>
      <c r="F285" s="37">
        <v>6</v>
      </c>
      <c r="G285" s="37">
        <v>6</v>
      </c>
      <c r="H285" s="37">
        <v>6</v>
      </c>
      <c r="I285" s="37">
        <v>5</v>
      </c>
      <c r="J285" s="37">
        <v>5</v>
      </c>
      <c r="K285" s="37">
        <v>3</v>
      </c>
      <c r="L285" s="37">
        <v>3</v>
      </c>
      <c r="M285" s="37">
        <v>3</v>
      </c>
      <c r="N285" s="37">
        <v>3</v>
      </c>
      <c r="O285" s="37">
        <v>3</v>
      </c>
      <c r="P285" s="37">
        <v>3</v>
      </c>
      <c r="Q285" s="37">
        <v>3</v>
      </c>
      <c r="R285" s="37">
        <v>4</v>
      </c>
      <c r="S285" s="37">
        <v>4</v>
      </c>
      <c r="T285" s="37">
        <v>5</v>
      </c>
      <c r="U285" s="37">
        <v>5</v>
      </c>
      <c r="V285" s="37">
        <v>5</v>
      </c>
      <c r="W285" s="37">
        <v>5</v>
      </c>
      <c r="X285" s="37">
        <v>5</v>
      </c>
      <c r="Z285" s="37">
        <v>6</v>
      </c>
      <c r="AA285" s="37">
        <v>6</v>
      </c>
      <c r="AB285" s="37">
        <v>6</v>
      </c>
      <c r="AC285" s="37">
        <v>6</v>
      </c>
      <c r="AD285" s="37">
        <v>6</v>
      </c>
      <c r="AE285" s="37">
        <v>6</v>
      </c>
      <c r="AF285" s="37">
        <v>6</v>
      </c>
      <c r="AG285" s="37">
        <v>3</v>
      </c>
      <c r="AH285" s="37">
        <v>3</v>
      </c>
      <c r="AI285" s="37">
        <v>3</v>
      </c>
      <c r="AJ285" s="37">
        <v>3</v>
      </c>
      <c r="AK285" s="37">
        <v>3</v>
      </c>
      <c r="AL285" s="37">
        <v>3</v>
      </c>
      <c r="AM285" s="37">
        <v>5</v>
      </c>
      <c r="AN285" s="37">
        <v>5</v>
      </c>
      <c r="AO285" s="37">
        <v>5</v>
      </c>
      <c r="AP285" s="37">
        <v>5</v>
      </c>
      <c r="AQ285" s="37">
        <v>5</v>
      </c>
      <c r="AR285" s="37">
        <v>5</v>
      </c>
      <c r="AS285" s="37">
        <v>5</v>
      </c>
      <c r="AT285" s="37">
        <v>5</v>
      </c>
    </row>
    <row r="286" spans="3:46" s="37" customFormat="1" x14ac:dyDescent="0.25"/>
    <row r="287" spans="3:46" s="37" customFormat="1" x14ac:dyDescent="0.25">
      <c r="C287" s="37" t="s">
        <v>20</v>
      </c>
      <c r="D287" s="37">
        <v>8</v>
      </c>
      <c r="E287" s="37">
        <v>8</v>
      </c>
      <c r="F287" s="37">
        <v>8</v>
      </c>
      <c r="G287" s="37">
        <v>8</v>
      </c>
      <c r="H287" s="37">
        <v>8</v>
      </c>
      <c r="I287" s="37">
        <v>7</v>
      </c>
      <c r="J287" s="37">
        <v>6</v>
      </c>
      <c r="K287" s="37">
        <v>4</v>
      </c>
      <c r="L287" s="37">
        <v>4</v>
      </c>
      <c r="M287" s="37">
        <v>4</v>
      </c>
      <c r="N287" s="37">
        <v>3</v>
      </c>
      <c r="O287" s="37">
        <v>4</v>
      </c>
      <c r="P287" s="37">
        <v>4</v>
      </c>
      <c r="Q287" s="37">
        <v>6</v>
      </c>
      <c r="R287" s="37">
        <v>7</v>
      </c>
      <c r="S287" s="37">
        <v>8</v>
      </c>
      <c r="T287" s="37">
        <v>9</v>
      </c>
      <c r="U287" s="37">
        <v>10</v>
      </c>
      <c r="V287" s="37">
        <v>10</v>
      </c>
      <c r="W287" s="37">
        <v>10</v>
      </c>
      <c r="X287" s="37">
        <v>10</v>
      </c>
      <c r="Z287" s="37">
        <v>8</v>
      </c>
      <c r="AA287" s="37">
        <v>8</v>
      </c>
      <c r="AB287" s="37">
        <v>8</v>
      </c>
      <c r="AC287" s="37">
        <v>8</v>
      </c>
      <c r="AD287" s="37">
        <v>8</v>
      </c>
      <c r="AE287" s="37">
        <v>8</v>
      </c>
      <c r="AF287" s="37">
        <v>8</v>
      </c>
      <c r="AG287" s="37">
        <v>4</v>
      </c>
      <c r="AH287" s="37">
        <v>4</v>
      </c>
      <c r="AI287" s="37">
        <v>4</v>
      </c>
      <c r="AJ287" s="37">
        <v>4</v>
      </c>
      <c r="AK287" s="37">
        <v>4</v>
      </c>
      <c r="AL287" s="37">
        <v>4</v>
      </c>
      <c r="AM287" s="37">
        <v>11</v>
      </c>
      <c r="AN287" s="37">
        <v>11</v>
      </c>
      <c r="AO287" s="37">
        <v>11</v>
      </c>
      <c r="AP287" s="37">
        <v>11</v>
      </c>
      <c r="AQ287" s="37">
        <v>11</v>
      </c>
      <c r="AR287" s="37">
        <v>11</v>
      </c>
      <c r="AS287" s="37">
        <v>11</v>
      </c>
      <c r="AT287" s="37">
        <v>11</v>
      </c>
    </row>
    <row r="288" spans="3:46" s="37" customFormat="1" x14ac:dyDescent="0.25"/>
    <row r="289" spans="3:46" s="37" customFormat="1" x14ac:dyDescent="0.25">
      <c r="C289" s="37" t="s">
        <v>21</v>
      </c>
      <c r="D289" s="37">
        <v>5</v>
      </c>
      <c r="E289" s="37">
        <v>5</v>
      </c>
      <c r="F289" s="37">
        <v>5</v>
      </c>
      <c r="G289" s="37">
        <v>5</v>
      </c>
      <c r="H289" s="37">
        <v>5</v>
      </c>
      <c r="I289" s="37">
        <v>4</v>
      </c>
      <c r="J289" s="37">
        <v>4</v>
      </c>
      <c r="K289" s="37">
        <v>4</v>
      </c>
      <c r="L289" s="37">
        <v>4</v>
      </c>
      <c r="M289" s="37">
        <v>4</v>
      </c>
      <c r="N289" s="37">
        <v>4</v>
      </c>
      <c r="O289" s="37">
        <v>4</v>
      </c>
      <c r="P289" s="37">
        <v>4</v>
      </c>
      <c r="Q289" s="37">
        <v>4</v>
      </c>
      <c r="R289" s="37">
        <v>4</v>
      </c>
      <c r="S289" s="37">
        <v>4</v>
      </c>
      <c r="T289" s="37">
        <v>5</v>
      </c>
      <c r="U289" s="37">
        <v>5</v>
      </c>
      <c r="V289" s="37">
        <v>6</v>
      </c>
      <c r="W289" s="37">
        <v>6</v>
      </c>
      <c r="X289" s="37">
        <v>6</v>
      </c>
      <c r="Z289" s="37">
        <v>5</v>
      </c>
      <c r="AA289" s="37">
        <v>5</v>
      </c>
      <c r="AB289" s="37">
        <v>5</v>
      </c>
      <c r="AC289" s="37">
        <v>5</v>
      </c>
      <c r="AD289" s="37">
        <v>5</v>
      </c>
      <c r="AE289" s="37">
        <v>5</v>
      </c>
      <c r="AF289" s="37">
        <v>5</v>
      </c>
      <c r="AG289" s="37">
        <v>4</v>
      </c>
      <c r="AH289" s="37">
        <v>4</v>
      </c>
      <c r="AI289" s="37">
        <v>4</v>
      </c>
      <c r="AJ289" s="37">
        <v>4</v>
      </c>
      <c r="AK289" s="37">
        <v>4</v>
      </c>
      <c r="AL289" s="37">
        <v>4</v>
      </c>
      <c r="AM289" s="37">
        <v>6</v>
      </c>
      <c r="AN289" s="37">
        <v>6</v>
      </c>
      <c r="AO289" s="37">
        <v>6</v>
      </c>
      <c r="AP289" s="37">
        <v>6</v>
      </c>
      <c r="AQ289" s="37">
        <v>6</v>
      </c>
      <c r="AR289" s="37">
        <v>6</v>
      </c>
      <c r="AS289" s="37">
        <v>6</v>
      </c>
      <c r="AT289" s="37">
        <v>6</v>
      </c>
    </row>
    <row r="290" spans="3:46" s="37" customFormat="1" x14ac:dyDescent="0.25"/>
    <row r="291" spans="3:46" s="37" customFormat="1" x14ac:dyDescent="0.25">
      <c r="C291" s="37" t="s">
        <v>20</v>
      </c>
      <c r="D291" s="37">
        <v>9</v>
      </c>
      <c r="E291" s="37">
        <v>9</v>
      </c>
      <c r="F291" s="37">
        <v>9</v>
      </c>
      <c r="G291" s="37">
        <v>9</v>
      </c>
      <c r="H291" s="37">
        <v>9</v>
      </c>
      <c r="I291" s="37">
        <v>8</v>
      </c>
      <c r="J291" s="37">
        <v>7</v>
      </c>
      <c r="K291" s="37">
        <v>4</v>
      </c>
      <c r="L291" s="37">
        <v>4</v>
      </c>
      <c r="M291" s="37">
        <v>4</v>
      </c>
      <c r="N291" s="37">
        <v>3</v>
      </c>
      <c r="O291" s="37">
        <v>4</v>
      </c>
      <c r="P291" s="37">
        <v>4</v>
      </c>
      <c r="Q291" s="37">
        <v>6</v>
      </c>
      <c r="R291" s="37">
        <v>7</v>
      </c>
      <c r="S291" s="37">
        <v>8</v>
      </c>
      <c r="T291" s="37">
        <v>9</v>
      </c>
      <c r="U291" s="37">
        <v>10</v>
      </c>
      <c r="V291" s="37">
        <v>10</v>
      </c>
      <c r="W291" s="37">
        <v>10</v>
      </c>
      <c r="X291" s="37">
        <v>10</v>
      </c>
      <c r="Z291" s="37">
        <v>9</v>
      </c>
      <c r="AA291" s="37">
        <v>9</v>
      </c>
      <c r="AB291" s="37">
        <v>9</v>
      </c>
      <c r="AC291" s="37">
        <v>9</v>
      </c>
      <c r="AD291" s="37">
        <v>9</v>
      </c>
      <c r="AE291" s="37">
        <v>9</v>
      </c>
      <c r="AF291" s="37">
        <v>9</v>
      </c>
      <c r="AG291" s="37">
        <v>4</v>
      </c>
      <c r="AH291" s="37">
        <v>4</v>
      </c>
      <c r="AI291" s="37">
        <v>4</v>
      </c>
      <c r="AJ291" s="37">
        <v>4</v>
      </c>
      <c r="AK291" s="37">
        <v>4</v>
      </c>
      <c r="AL291" s="37">
        <v>4</v>
      </c>
      <c r="AM291" s="37">
        <v>10</v>
      </c>
      <c r="AN291" s="37">
        <v>10</v>
      </c>
      <c r="AO291" s="37">
        <v>10</v>
      </c>
      <c r="AP291" s="37">
        <v>10</v>
      </c>
      <c r="AQ291" s="37">
        <v>10</v>
      </c>
      <c r="AR291" s="37">
        <v>10</v>
      </c>
      <c r="AS291" s="37">
        <v>10</v>
      </c>
      <c r="AT291" s="37">
        <v>10</v>
      </c>
    </row>
    <row r="292" spans="3:46" s="37" customFormat="1" x14ac:dyDescent="0.25"/>
    <row r="293" spans="3:46" s="37" customFormat="1" x14ac:dyDescent="0.25">
      <c r="C293" s="37" t="s">
        <v>21</v>
      </c>
      <c r="D293" s="37">
        <v>6</v>
      </c>
      <c r="E293" s="37">
        <v>6</v>
      </c>
      <c r="F293" s="37">
        <v>6</v>
      </c>
      <c r="G293" s="37">
        <v>6</v>
      </c>
      <c r="H293" s="37">
        <v>5</v>
      </c>
      <c r="I293" s="37">
        <v>5</v>
      </c>
      <c r="J293" s="37">
        <v>4</v>
      </c>
      <c r="K293" s="37">
        <v>4</v>
      </c>
      <c r="L293" s="37">
        <v>4</v>
      </c>
      <c r="M293" s="37">
        <v>4</v>
      </c>
      <c r="N293" s="37">
        <v>4</v>
      </c>
      <c r="O293" s="37">
        <v>4</v>
      </c>
      <c r="P293" s="37">
        <v>4</v>
      </c>
      <c r="Q293" s="37">
        <v>4</v>
      </c>
      <c r="R293" s="37">
        <v>4</v>
      </c>
      <c r="S293" s="37">
        <v>4</v>
      </c>
      <c r="T293" s="37">
        <v>4</v>
      </c>
      <c r="U293" s="37">
        <v>5</v>
      </c>
      <c r="V293" s="37">
        <v>5</v>
      </c>
      <c r="W293" s="37">
        <v>5</v>
      </c>
      <c r="X293" s="37">
        <v>5</v>
      </c>
      <c r="Z293" s="37">
        <v>6</v>
      </c>
      <c r="AA293" s="37">
        <v>6</v>
      </c>
      <c r="AB293" s="37">
        <v>6</v>
      </c>
      <c r="AC293" s="37">
        <v>6</v>
      </c>
      <c r="AD293" s="37">
        <v>6</v>
      </c>
      <c r="AE293" s="37">
        <v>6</v>
      </c>
      <c r="AF293" s="37">
        <v>6</v>
      </c>
      <c r="AG293" s="37">
        <v>4</v>
      </c>
      <c r="AH293" s="37">
        <v>4</v>
      </c>
      <c r="AI293" s="37">
        <v>4</v>
      </c>
      <c r="AJ293" s="37">
        <v>4</v>
      </c>
      <c r="AK293" s="37">
        <v>4</v>
      </c>
      <c r="AL293" s="37">
        <v>4</v>
      </c>
      <c r="AM293" s="37">
        <v>5</v>
      </c>
      <c r="AN293" s="37">
        <v>5</v>
      </c>
      <c r="AO293" s="37">
        <v>5</v>
      </c>
      <c r="AP293" s="37">
        <v>5</v>
      </c>
      <c r="AQ293" s="37">
        <v>5</v>
      </c>
      <c r="AR293" s="37">
        <v>5</v>
      </c>
      <c r="AS293" s="37">
        <v>5</v>
      </c>
      <c r="AT293" s="37">
        <v>5</v>
      </c>
    </row>
    <row r="294" spans="3:46" s="37" customFormat="1" x14ac:dyDescent="0.25"/>
    <row r="295" spans="3:46" s="37" customFormat="1" x14ac:dyDescent="0.25">
      <c r="C295" s="37" t="s">
        <v>20</v>
      </c>
      <c r="D295" s="37">
        <v>7</v>
      </c>
      <c r="E295" s="37">
        <v>7</v>
      </c>
      <c r="F295" s="37">
        <v>7</v>
      </c>
      <c r="G295" s="37">
        <v>7</v>
      </c>
      <c r="H295" s="37">
        <v>7</v>
      </c>
      <c r="I295" s="37">
        <v>7</v>
      </c>
      <c r="J295" s="37">
        <v>6</v>
      </c>
      <c r="K295" s="37">
        <v>3</v>
      </c>
      <c r="L295" s="37">
        <v>3</v>
      </c>
      <c r="M295" s="37">
        <v>3</v>
      </c>
      <c r="N295" s="37">
        <v>3</v>
      </c>
      <c r="O295" s="37">
        <v>3</v>
      </c>
      <c r="P295" s="37">
        <v>3</v>
      </c>
      <c r="Q295" s="37">
        <v>6</v>
      </c>
      <c r="R295" s="37">
        <v>6</v>
      </c>
      <c r="S295" s="37">
        <v>7</v>
      </c>
      <c r="T295" s="37">
        <v>8</v>
      </c>
      <c r="U295" s="37">
        <v>8</v>
      </c>
      <c r="V295" s="37">
        <v>8</v>
      </c>
      <c r="W295" s="37">
        <v>8</v>
      </c>
      <c r="X295" s="37">
        <v>8</v>
      </c>
      <c r="Z295" s="37">
        <v>7</v>
      </c>
      <c r="AA295" s="37">
        <v>7</v>
      </c>
      <c r="AB295" s="37">
        <v>7</v>
      </c>
      <c r="AC295" s="37">
        <v>7</v>
      </c>
      <c r="AD295" s="37">
        <v>7</v>
      </c>
      <c r="AE295" s="37">
        <v>7</v>
      </c>
      <c r="AF295" s="37">
        <v>7</v>
      </c>
      <c r="AG295" s="37">
        <v>3</v>
      </c>
      <c r="AH295" s="37">
        <v>3</v>
      </c>
      <c r="AI295" s="37">
        <v>3</v>
      </c>
      <c r="AJ295" s="37">
        <v>3</v>
      </c>
      <c r="AK295" s="37">
        <v>3</v>
      </c>
      <c r="AL295" s="37">
        <v>3</v>
      </c>
      <c r="AM295" s="37">
        <v>8</v>
      </c>
      <c r="AN295" s="37">
        <v>8</v>
      </c>
      <c r="AO295" s="37">
        <v>8</v>
      </c>
      <c r="AP295" s="37">
        <v>8</v>
      </c>
      <c r="AQ295" s="37">
        <v>8</v>
      </c>
      <c r="AR295" s="37">
        <v>8</v>
      </c>
      <c r="AS295" s="37">
        <v>8</v>
      </c>
      <c r="AT295" s="37">
        <v>8</v>
      </c>
    </row>
    <row r="296" spans="3:46" s="37" customFormat="1" x14ac:dyDescent="0.25"/>
    <row r="297" spans="3:46" s="37" customFormat="1" x14ac:dyDescent="0.25">
      <c r="C297" s="37" t="s">
        <v>21</v>
      </c>
      <c r="D297" s="37">
        <v>5</v>
      </c>
      <c r="E297" s="37">
        <v>5</v>
      </c>
      <c r="F297" s="37">
        <v>5</v>
      </c>
      <c r="G297" s="37">
        <v>5</v>
      </c>
      <c r="H297" s="37">
        <v>5</v>
      </c>
      <c r="I297" s="37">
        <v>5</v>
      </c>
      <c r="J297" s="37">
        <v>4</v>
      </c>
      <c r="K297" s="37">
        <v>3</v>
      </c>
      <c r="L297" s="37">
        <v>3</v>
      </c>
      <c r="M297" s="37">
        <v>3</v>
      </c>
      <c r="N297" s="37">
        <v>3</v>
      </c>
      <c r="O297" s="37">
        <v>3</v>
      </c>
      <c r="P297" s="37">
        <v>3</v>
      </c>
      <c r="Q297" s="37">
        <v>3</v>
      </c>
      <c r="R297" s="37">
        <v>3</v>
      </c>
      <c r="S297" s="37">
        <v>3</v>
      </c>
      <c r="T297" s="37">
        <v>4</v>
      </c>
      <c r="U297" s="37">
        <v>4</v>
      </c>
      <c r="V297" s="37">
        <v>4</v>
      </c>
      <c r="W297" s="37">
        <v>4</v>
      </c>
      <c r="X297" s="37">
        <v>4</v>
      </c>
      <c r="Z297" s="37">
        <v>5</v>
      </c>
      <c r="AA297" s="37">
        <v>5</v>
      </c>
      <c r="AB297" s="37">
        <v>5</v>
      </c>
      <c r="AC297" s="37">
        <v>5</v>
      </c>
      <c r="AD297" s="37">
        <v>5</v>
      </c>
      <c r="AE297" s="37">
        <v>5</v>
      </c>
      <c r="AF297" s="37">
        <v>5</v>
      </c>
      <c r="AG297" s="37">
        <v>3</v>
      </c>
      <c r="AH297" s="37">
        <v>3</v>
      </c>
      <c r="AI297" s="37">
        <v>3</v>
      </c>
      <c r="AJ297" s="37">
        <v>3</v>
      </c>
      <c r="AK297" s="37">
        <v>3</v>
      </c>
      <c r="AL297" s="37">
        <v>3</v>
      </c>
      <c r="AM297" s="37">
        <v>4</v>
      </c>
      <c r="AN297" s="37">
        <v>4</v>
      </c>
      <c r="AO297" s="37">
        <v>4</v>
      </c>
      <c r="AP297" s="37">
        <v>4</v>
      </c>
      <c r="AQ297" s="37">
        <v>4</v>
      </c>
      <c r="AR297" s="37">
        <v>4</v>
      </c>
      <c r="AS297" s="37">
        <v>4</v>
      </c>
      <c r="AT297" s="37">
        <v>4</v>
      </c>
    </row>
    <row r="298" spans="3:46" s="37" customFormat="1" x14ac:dyDescent="0.25"/>
    <row r="299" spans="3:46" s="37" customFormat="1" x14ac:dyDescent="0.25">
      <c r="C299" s="37" t="s">
        <v>20</v>
      </c>
      <c r="D299" s="37">
        <v>9</v>
      </c>
      <c r="E299" s="37">
        <v>9</v>
      </c>
      <c r="F299" s="37">
        <v>9</v>
      </c>
      <c r="G299" s="37">
        <v>9</v>
      </c>
      <c r="H299" s="37">
        <v>9</v>
      </c>
      <c r="I299" s="37">
        <v>9</v>
      </c>
      <c r="J299" s="37">
        <v>8</v>
      </c>
      <c r="K299" s="37">
        <v>3</v>
      </c>
      <c r="L299" s="37">
        <v>3</v>
      </c>
      <c r="M299" s="37">
        <v>3</v>
      </c>
      <c r="N299" s="37">
        <v>3</v>
      </c>
      <c r="O299" s="37">
        <v>3</v>
      </c>
      <c r="P299" s="37">
        <v>3</v>
      </c>
      <c r="Q299" s="37">
        <v>6</v>
      </c>
      <c r="R299" s="37">
        <v>7</v>
      </c>
      <c r="S299" s="37">
        <v>8</v>
      </c>
      <c r="T299" s="37">
        <v>8</v>
      </c>
      <c r="U299" s="37">
        <v>8</v>
      </c>
      <c r="V299" s="37">
        <v>8</v>
      </c>
      <c r="W299" s="37">
        <v>8</v>
      </c>
      <c r="X299" s="37">
        <v>8</v>
      </c>
      <c r="Z299" s="37">
        <v>9</v>
      </c>
      <c r="AA299" s="37">
        <v>9</v>
      </c>
      <c r="AB299" s="37">
        <v>9</v>
      </c>
      <c r="AC299" s="37">
        <v>9</v>
      </c>
      <c r="AD299" s="37">
        <v>9</v>
      </c>
      <c r="AE299" s="37">
        <v>9</v>
      </c>
      <c r="AF299" s="37">
        <v>9</v>
      </c>
      <c r="AG299" s="37">
        <v>3</v>
      </c>
      <c r="AH299" s="37">
        <v>3</v>
      </c>
      <c r="AI299" s="37">
        <v>3</v>
      </c>
      <c r="AJ299" s="37">
        <v>3</v>
      </c>
      <c r="AK299" s="37">
        <v>3</v>
      </c>
      <c r="AL299" s="37">
        <v>3</v>
      </c>
      <c r="AM299" s="37">
        <v>8</v>
      </c>
      <c r="AN299" s="37">
        <v>8</v>
      </c>
      <c r="AO299" s="37">
        <v>8</v>
      </c>
      <c r="AP299" s="37">
        <v>8</v>
      </c>
      <c r="AQ299" s="37">
        <v>8</v>
      </c>
      <c r="AR299" s="37">
        <v>8</v>
      </c>
      <c r="AS299" s="37">
        <v>8</v>
      </c>
      <c r="AT299" s="37">
        <v>8</v>
      </c>
    </row>
    <row r="300" spans="3:46" s="37" customFormat="1" x14ac:dyDescent="0.25"/>
    <row r="301" spans="3:46" s="37" customFormat="1" x14ac:dyDescent="0.25">
      <c r="C301" s="37" t="s">
        <v>21</v>
      </c>
      <c r="D301" s="37">
        <v>6</v>
      </c>
      <c r="E301" s="37">
        <v>6</v>
      </c>
      <c r="F301" s="37">
        <v>6</v>
      </c>
      <c r="G301" s="37">
        <v>6</v>
      </c>
      <c r="H301" s="37">
        <v>6</v>
      </c>
      <c r="I301" s="37">
        <v>5</v>
      </c>
      <c r="J301" s="37">
        <v>5</v>
      </c>
      <c r="K301" s="37">
        <v>3</v>
      </c>
      <c r="L301" s="37">
        <v>3</v>
      </c>
      <c r="M301" s="37">
        <v>3</v>
      </c>
      <c r="N301" s="37">
        <v>3</v>
      </c>
      <c r="O301" s="37">
        <v>3</v>
      </c>
      <c r="P301" s="37">
        <v>3</v>
      </c>
      <c r="Q301" s="37">
        <v>4</v>
      </c>
      <c r="R301" s="37">
        <v>5</v>
      </c>
      <c r="S301" s="37">
        <v>6</v>
      </c>
      <c r="T301" s="37">
        <v>6</v>
      </c>
      <c r="U301" s="37">
        <v>7</v>
      </c>
      <c r="V301" s="37">
        <v>7</v>
      </c>
      <c r="W301" s="37">
        <v>7</v>
      </c>
      <c r="X301" s="37">
        <v>7</v>
      </c>
      <c r="Z301" s="37">
        <v>6</v>
      </c>
      <c r="AA301" s="37">
        <v>6</v>
      </c>
      <c r="AB301" s="37">
        <v>6</v>
      </c>
      <c r="AC301" s="37">
        <v>6</v>
      </c>
      <c r="AD301" s="37">
        <v>6</v>
      </c>
      <c r="AE301" s="37">
        <v>6</v>
      </c>
      <c r="AF301" s="37">
        <v>6</v>
      </c>
      <c r="AG301" s="37">
        <v>3</v>
      </c>
      <c r="AH301" s="37">
        <v>3</v>
      </c>
      <c r="AI301" s="37">
        <v>3</v>
      </c>
      <c r="AJ301" s="37">
        <v>3</v>
      </c>
      <c r="AK301" s="37">
        <v>3</v>
      </c>
      <c r="AL301" s="37">
        <v>3</v>
      </c>
      <c r="AM301" s="37">
        <v>7</v>
      </c>
      <c r="AN301" s="37">
        <v>7</v>
      </c>
      <c r="AO301" s="37">
        <v>7</v>
      </c>
      <c r="AP301" s="37">
        <v>7</v>
      </c>
      <c r="AQ301" s="37">
        <v>7</v>
      </c>
      <c r="AR301" s="37">
        <v>7</v>
      </c>
      <c r="AS301" s="37">
        <v>7</v>
      </c>
      <c r="AT301" s="37">
        <v>7</v>
      </c>
    </row>
    <row r="302" spans="3:46" s="37" customFormat="1" x14ac:dyDescent="0.25"/>
    <row r="303" spans="3:46" s="37" customFormat="1" x14ac:dyDescent="0.25">
      <c r="C303" s="37" t="s">
        <v>20</v>
      </c>
      <c r="D303" s="37">
        <v>8</v>
      </c>
      <c r="E303" s="37">
        <v>8</v>
      </c>
      <c r="F303" s="37">
        <v>8</v>
      </c>
      <c r="G303" s="37">
        <v>8</v>
      </c>
      <c r="H303" s="37">
        <v>8</v>
      </c>
      <c r="I303" s="37">
        <v>8</v>
      </c>
      <c r="J303" s="37">
        <v>8</v>
      </c>
      <c r="K303" s="37">
        <v>3</v>
      </c>
      <c r="L303" s="37">
        <v>3</v>
      </c>
      <c r="M303" s="37">
        <v>3</v>
      </c>
      <c r="N303" s="37">
        <v>3</v>
      </c>
      <c r="O303" s="37">
        <v>3</v>
      </c>
      <c r="P303" s="37">
        <v>3</v>
      </c>
      <c r="Q303" s="37">
        <v>7</v>
      </c>
      <c r="R303" s="37">
        <v>8</v>
      </c>
      <c r="S303" s="37">
        <v>8</v>
      </c>
      <c r="T303" s="37">
        <v>8</v>
      </c>
      <c r="U303" s="37">
        <v>8</v>
      </c>
      <c r="V303" s="37">
        <v>8</v>
      </c>
      <c r="W303" s="37">
        <v>8</v>
      </c>
      <c r="X303" s="37">
        <v>8</v>
      </c>
      <c r="Z303" s="37">
        <v>8</v>
      </c>
      <c r="AA303" s="37">
        <v>8</v>
      </c>
      <c r="AB303" s="37">
        <v>8</v>
      </c>
      <c r="AC303" s="37">
        <v>8</v>
      </c>
      <c r="AD303" s="37">
        <v>8</v>
      </c>
      <c r="AE303" s="37">
        <v>8</v>
      </c>
      <c r="AF303" s="37">
        <v>8</v>
      </c>
      <c r="AG303" s="37">
        <v>3</v>
      </c>
      <c r="AH303" s="37">
        <v>3</v>
      </c>
      <c r="AI303" s="37">
        <v>3</v>
      </c>
      <c r="AJ303" s="37">
        <v>3</v>
      </c>
      <c r="AK303" s="37">
        <v>3</v>
      </c>
      <c r="AL303" s="37">
        <v>3</v>
      </c>
      <c r="AM303" s="37">
        <v>8</v>
      </c>
      <c r="AN303" s="37">
        <v>8</v>
      </c>
      <c r="AO303" s="37">
        <v>8</v>
      </c>
      <c r="AP303" s="37">
        <v>8</v>
      </c>
      <c r="AQ303" s="37">
        <v>8</v>
      </c>
      <c r="AR303" s="37">
        <v>8</v>
      </c>
      <c r="AS303" s="37">
        <v>8</v>
      </c>
      <c r="AT303" s="37">
        <v>8</v>
      </c>
    </row>
    <row r="304" spans="3:46" s="37" customFormat="1" x14ac:dyDescent="0.25"/>
    <row r="305" spans="3:46" s="37" customFormat="1" x14ac:dyDescent="0.25">
      <c r="C305" s="37" t="s">
        <v>21</v>
      </c>
      <c r="D305" s="37">
        <v>7</v>
      </c>
      <c r="E305" s="37">
        <v>7</v>
      </c>
      <c r="F305" s="37">
        <v>7</v>
      </c>
      <c r="G305" s="37">
        <v>7</v>
      </c>
      <c r="H305" s="37">
        <v>7</v>
      </c>
      <c r="I305" s="37">
        <v>7</v>
      </c>
      <c r="J305" s="37">
        <v>6</v>
      </c>
      <c r="K305" s="37">
        <v>3</v>
      </c>
      <c r="L305" s="37">
        <v>3</v>
      </c>
      <c r="M305" s="37">
        <v>3</v>
      </c>
      <c r="N305" s="37">
        <v>3</v>
      </c>
      <c r="O305" s="37">
        <v>3</v>
      </c>
      <c r="P305" s="37">
        <v>3</v>
      </c>
      <c r="Q305" s="37">
        <v>6</v>
      </c>
      <c r="R305" s="37">
        <v>7</v>
      </c>
      <c r="S305" s="37">
        <v>8</v>
      </c>
      <c r="T305" s="37">
        <v>8</v>
      </c>
      <c r="U305" s="37">
        <v>8</v>
      </c>
      <c r="V305" s="37">
        <v>8</v>
      </c>
      <c r="W305" s="37">
        <v>8</v>
      </c>
      <c r="X305" s="37">
        <v>8</v>
      </c>
      <c r="Z305" s="37">
        <v>7</v>
      </c>
      <c r="AA305" s="37">
        <v>7</v>
      </c>
      <c r="AB305" s="37">
        <v>7</v>
      </c>
      <c r="AC305" s="37">
        <v>7</v>
      </c>
      <c r="AD305" s="37">
        <v>7</v>
      </c>
      <c r="AE305" s="37">
        <v>7</v>
      </c>
      <c r="AF305" s="37">
        <v>7</v>
      </c>
      <c r="AG305" s="37">
        <v>3</v>
      </c>
      <c r="AH305" s="37">
        <v>3</v>
      </c>
      <c r="AI305" s="37">
        <v>3</v>
      </c>
      <c r="AJ305" s="37">
        <v>3</v>
      </c>
      <c r="AK305" s="37">
        <v>3</v>
      </c>
      <c r="AL305" s="37">
        <v>3</v>
      </c>
      <c r="AM305" s="37">
        <v>8</v>
      </c>
      <c r="AN305" s="37">
        <v>8</v>
      </c>
      <c r="AO305" s="37">
        <v>8</v>
      </c>
      <c r="AP305" s="37">
        <v>8</v>
      </c>
      <c r="AQ305" s="37">
        <v>8</v>
      </c>
      <c r="AR305" s="37">
        <v>8</v>
      </c>
      <c r="AS305" s="37">
        <v>8</v>
      </c>
      <c r="AT305" s="37">
        <v>8</v>
      </c>
    </row>
    <row r="306" spans="3:46" s="37" customFormat="1" x14ac:dyDescent="0.25"/>
    <row r="307" spans="3:46" s="37" customFormat="1" x14ac:dyDescent="0.25">
      <c r="C307" s="37" t="s">
        <v>20</v>
      </c>
      <c r="D307" s="37">
        <v>8</v>
      </c>
      <c r="E307" s="37">
        <v>8</v>
      </c>
      <c r="F307" s="37">
        <v>8</v>
      </c>
      <c r="G307" s="37">
        <v>8</v>
      </c>
      <c r="H307" s="37">
        <v>8</v>
      </c>
      <c r="I307" s="37">
        <v>8</v>
      </c>
      <c r="J307" s="37">
        <v>8</v>
      </c>
      <c r="K307" s="37">
        <v>4</v>
      </c>
      <c r="L307" s="37">
        <v>4</v>
      </c>
      <c r="M307" s="37">
        <v>4</v>
      </c>
      <c r="N307" s="37">
        <v>4</v>
      </c>
      <c r="O307" s="37">
        <v>4</v>
      </c>
      <c r="P307" s="37">
        <v>4</v>
      </c>
      <c r="Q307" s="37">
        <v>8</v>
      </c>
      <c r="R307" s="37">
        <v>9</v>
      </c>
      <c r="S307" s="37">
        <v>10</v>
      </c>
      <c r="T307" s="37">
        <v>10</v>
      </c>
      <c r="U307" s="37">
        <v>10</v>
      </c>
      <c r="V307" s="37">
        <v>10</v>
      </c>
      <c r="W307" s="37">
        <v>10</v>
      </c>
      <c r="X307" s="37">
        <v>10</v>
      </c>
      <c r="Z307" s="37">
        <v>8</v>
      </c>
      <c r="AA307" s="37">
        <v>8</v>
      </c>
      <c r="AB307" s="37">
        <v>8</v>
      </c>
      <c r="AC307" s="37">
        <v>8</v>
      </c>
      <c r="AD307" s="37">
        <v>8</v>
      </c>
      <c r="AE307" s="37">
        <v>8</v>
      </c>
      <c r="AF307" s="37">
        <v>8</v>
      </c>
      <c r="AG307" s="37">
        <v>4</v>
      </c>
      <c r="AH307" s="37">
        <v>4</v>
      </c>
      <c r="AI307" s="37">
        <v>4</v>
      </c>
      <c r="AJ307" s="37">
        <v>4</v>
      </c>
      <c r="AK307" s="37">
        <v>4</v>
      </c>
      <c r="AL307" s="37">
        <v>4</v>
      </c>
      <c r="AM307" s="37">
        <v>11</v>
      </c>
      <c r="AN307" s="37">
        <v>11</v>
      </c>
      <c r="AO307" s="37">
        <v>11</v>
      </c>
      <c r="AP307" s="37">
        <v>11</v>
      </c>
      <c r="AQ307" s="37">
        <v>11</v>
      </c>
      <c r="AR307" s="37">
        <v>11</v>
      </c>
      <c r="AS307" s="37">
        <v>11</v>
      </c>
      <c r="AT307" s="37">
        <v>11</v>
      </c>
    </row>
    <row r="308" spans="3:46" s="37" customFormat="1" x14ac:dyDescent="0.25"/>
    <row r="309" spans="3:46" s="37" customFormat="1" x14ac:dyDescent="0.25">
      <c r="C309" s="37" t="s">
        <v>21</v>
      </c>
      <c r="D309" s="37">
        <v>8</v>
      </c>
      <c r="E309" s="37">
        <v>8</v>
      </c>
      <c r="F309" s="37">
        <v>8</v>
      </c>
      <c r="G309" s="37">
        <v>8</v>
      </c>
      <c r="H309" s="37">
        <v>8</v>
      </c>
      <c r="I309" s="37">
        <v>8</v>
      </c>
      <c r="J309" s="37">
        <v>7</v>
      </c>
      <c r="K309" s="37">
        <v>3</v>
      </c>
      <c r="L309" s="37">
        <v>3</v>
      </c>
      <c r="M309" s="37">
        <v>3</v>
      </c>
      <c r="N309" s="37">
        <v>3</v>
      </c>
      <c r="O309" s="37">
        <v>3</v>
      </c>
      <c r="P309" s="37">
        <v>3</v>
      </c>
      <c r="Q309" s="37">
        <v>4</v>
      </c>
      <c r="R309" s="37">
        <v>4</v>
      </c>
      <c r="S309" s="37">
        <v>5</v>
      </c>
      <c r="T309" s="37">
        <v>5</v>
      </c>
      <c r="U309" s="37">
        <v>6</v>
      </c>
      <c r="V309" s="37">
        <v>6</v>
      </c>
      <c r="W309" s="37">
        <v>6</v>
      </c>
      <c r="X309" s="37">
        <v>6</v>
      </c>
      <c r="Z309" s="37">
        <v>8</v>
      </c>
      <c r="AA309" s="37">
        <v>8</v>
      </c>
      <c r="AB309" s="37">
        <v>8</v>
      </c>
      <c r="AC309" s="37">
        <v>8</v>
      </c>
      <c r="AD309" s="37">
        <v>8</v>
      </c>
      <c r="AE309" s="37">
        <v>8</v>
      </c>
      <c r="AF309" s="37">
        <v>8</v>
      </c>
      <c r="AG309" s="37">
        <v>3</v>
      </c>
      <c r="AH309" s="37">
        <v>3</v>
      </c>
      <c r="AI309" s="37">
        <v>3</v>
      </c>
      <c r="AJ309" s="37">
        <v>3</v>
      </c>
      <c r="AK309" s="37">
        <v>3</v>
      </c>
      <c r="AL309" s="37">
        <v>3</v>
      </c>
      <c r="AM309" s="37">
        <v>6</v>
      </c>
      <c r="AN309" s="37">
        <v>6</v>
      </c>
      <c r="AO309" s="37">
        <v>6</v>
      </c>
      <c r="AP309" s="37">
        <v>6</v>
      </c>
      <c r="AQ309" s="37">
        <v>6</v>
      </c>
      <c r="AR309" s="37">
        <v>6</v>
      </c>
      <c r="AS309" s="37">
        <v>6</v>
      </c>
      <c r="AT309" s="37">
        <v>6</v>
      </c>
    </row>
    <row r="310" spans="3:46" s="37" customFormat="1" x14ac:dyDescent="0.25"/>
    <row r="311" spans="3:46" s="37" customFormat="1" x14ac:dyDescent="0.25">
      <c r="C311" s="37" t="s">
        <v>20</v>
      </c>
      <c r="D311" s="37">
        <v>10</v>
      </c>
      <c r="E311" s="37">
        <v>10</v>
      </c>
      <c r="F311" s="37">
        <v>10</v>
      </c>
      <c r="G311" s="37">
        <v>10</v>
      </c>
      <c r="H311" s="37">
        <v>10</v>
      </c>
      <c r="I311" s="37">
        <v>10</v>
      </c>
      <c r="J311" s="37">
        <v>10</v>
      </c>
      <c r="K311" s="37">
        <v>4</v>
      </c>
      <c r="L311" s="37">
        <v>4</v>
      </c>
      <c r="M311" s="37">
        <v>4</v>
      </c>
      <c r="N311" s="37">
        <v>4</v>
      </c>
      <c r="O311" s="37">
        <v>4</v>
      </c>
      <c r="P311" s="37">
        <v>4</v>
      </c>
      <c r="Q311" s="37">
        <v>6</v>
      </c>
      <c r="R311" s="37">
        <v>7</v>
      </c>
      <c r="S311" s="37">
        <v>8</v>
      </c>
      <c r="T311" s="37">
        <v>8</v>
      </c>
      <c r="U311" s="37">
        <v>8</v>
      </c>
      <c r="V311" s="37">
        <v>8</v>
      </c>
      <c r="W311" s="37">
        <v>8</v>
      </c>
      <c r="X311" s="37">
        <v>8</v>
      </c>
      <c r="Z311" s="37">
        <v>10</v>
      </c>
      <c r="AA311" s="37">
        <v>10</v>
      </c>
      <c r="AB311" s="37">
        <v>10</v>
      </c>
      <c r="AC311" s="37">
        <v>10</v>
      </c>
      <c r="AD311" s="37">
        <v>10</v>
      </c>
      <c r="AE311" s="37">
        <v>10</v>
      </c>
      <c r="AF311" s="37">
        <v>10</v>
      </c>
      <c r="AG311" s="37">
        <v>4</v>
      </c>
      <c r="AH311" s="37">
        <v>4</v>
      </c>
      <c r="AI311" s="37">
        <v>4</v>
      </c>
      <c r="AJ311" s="37">
        <v>4</v>
      </c>
      <c r="AK311" s="37">
        <v>4</v>
      </c>
      <c r="AL311" s="37">
        <v>4</v>
      </c>
      <c r="AM311" s="37">
        <v>8</v>
      </c>
      <c r="AN311" s="37">
        <v>8</v>
      </c>
      <c r="AO311" s="37">
        <v>8</v>
      </c>
      <c r="AP311" s="37">
        <v>8</v>
      </c>
      <c r="AQ311" s="37">
        <v>8</v>
      </c>
      <c r="AR311" s="37">
        <v>8</v>
      </c>
      <c r="AS311" s="37">
        <v>8</v>
      </c>
      <c r="AT311" s="37">
        <v>8</v>
      </c>
    </row>
    <row r="312" spans="3:46" s="37" customFormat="1" x14ac:dyDescent="0.25"/>
    <row r="313" spans="3:46" s="37" customFormat="1" x14ac:dyDescent="0.25">
      <c r="C313" s="37" t="s">
        <v>21</v>
      </c>
      <c r="D313" s="37">
        <v>7</v>
      </c>
      <c r="E313" s="37">
        <v>7</v>
      </c>
      <c r="F313" s="37">
        <v>7</v>
      </c>
      <c r="G313" s="37">
        <v>7</v>
      </c>
      <c r="H313" s="37">
        <v>7</v>
      </c>
      <c r="I313" s="37">
        <v>7</v>
      </c>
      <c r="J313" s="37">
        <v>6</v>
      </c>
      <c r="K313" s="37">
        <v>3</v>
      </c>
      <c r="L313" s="37">
        <v>3</v>
      </c>
      <c r="M313" s="37">
        <v>3</v>
      </c>
      <c r="N313" s="37">
        <v>3</v>
      </c>
      <c r="O313" s="37">
        <v>3</v>
      </c>
      <c r="P313" s="37">
        <v>3</v>
      </c>
      <c r="Q313" s="37">
        <v>5</v>
      </c>
      <c r="R313" s="37">
        <v>6</v>
      </c>
      <c r="S313" s="37">
        <v>6</v>
      </c>
      <c r="T313" s="37">
        <v>7</v>
      </c>
      <c r="U313" s="37">
        <v>7</v>
      </c>
      <c r="V313" s="37">
        <v>7</v>
      </c>
      <c r="W313" s="37">
        <v>7</v>
      </c>
      <c r="X313" s="37">
        <v>7</v>
      </c>
      <c r="Z313" s="37">
        <v>7</v>
      </c>
      <c r="AA313" s="37">
        <v>7</v>
      </c>
      <c r="AB313" s="37">
        <v>7</v>
      </c>
      <c r="AC313" s="37">
        <v>7</v>
      </c>
      <c r="AD313" s="37">
        <v>7</v>
      </c>
      <c r="AE313" s="37">
        <v>7</v>
      </c>
      <c r="AF313" s="37">
        <v>7</v>
      </c>
      <c r="AG313" s="37">
        <v>3</v>
      </c>
      <c r="AH313" s="37">
        <v>3</v>
      </c>
      <c r="AI313" s="37">
        <v>3</v>
      </c>
      <c r="AJ313" s="37">
        <v>3</v>
      </c>
      <c r="AK313" s="37">
        <v>3</v>
      </c>
      <c r="AL313" s="37">
        <v>3</v>
      </c>
      <c r="AM313" s="37">
        <v>7</v>
      </c>
      <c r="AN313" s="37">
        <v>7</v>
      </c>
      <c r="AO313" s="37">
        <v>7</v>
      </c>
      <c r="AP313" s="37">
        <v>7</v>
      </c>
      <c r="AQ313" s="37">
        <v>7</v>
      </c>
      <c r="AR313" s="37">
        <v>7</v>
      </c>
      <c r="AS313" s="37">
        <v>7</v>
      </c>
      <c r="AT313" s="37">
        <v>7</v>
      </c>
    </row>
    <row r="314" spans="3:46" s="37" customFormat="1" x14ac:dyDescent="0.25"/>
    <row r="315" spans="3:46" s="37" customFormat="1" x14ac:dyDescent="0.25">
      <c r="C315" s="37" t="s">
        <v>20</v>
      </c>
      <c r="D315" s="37">
        <v>10</v>
      </c>
      <c r="E315" s="37">
        <v>10</v>
      </c>
      <c r="F315" s="37">
        <v>10</v>
      </c>
      <c r="G315" s="37">
        <v>10</v>
      </c>
      <c r="H315" s="37">
        <v>10</v>
      </c>
      <c r="I315" s="37">
        <v>10</v>
      </c>
      <c r="J315" s="37">
        <v>10</v>
      </c>
      <c r="K315" s="37">
        <v>4</v>
      </c>
      <c r="L315" s="37">
        <v>4</v>
      </c>
      <c r="M315" s="37">
        <v>4</v>
      </c>
      <c r="N315" s="37">
        <v>4</v>
      </c>
      <c r="O315" s="37">
        <v>4</v>
      </c>
      <c r="P315" s="37">
        <v>4</v>
      </c>
      <c r="Q315" s="37">
        <v>5</v>
      </c>
      <c r="R315" s="37">
        <v>5</v>
      </c>
      <c r="S315" s="37">
        <v>6</v>
      </c>
      <c r="T315" s="37">
        <v>6</v>
      </c>
      <c r="U315" s="37">
        <v>6</v>
      </c>
      <c r="V315" s="37">
        <v>6</v>
      </c>
      <c r="W315" s="37">
        <v>6</v>
      </c>
      <c r="X315" s="37">
        <v>6</v>
      </c>
      <c r="Z315" s="37">
        <v>10</v>
      </c>
      <c r="AA315" s="37">
        <v>10</v>
      </c>
      <c r="AB315" s="37">
        <v>10</v>
      </c>
      <c r="AC315" s="37">
        <v>10</v>
      </c>
      <c r="AD315" s="37">
        <v>10</v>
      </c>
      <c r="AE315" s="37">
        <v>10</v>
      </c>
      <c r="AF315" s="37">
        <v>10</v>
      </c>
      <c r="AG315" s="37">
        <v>4</v>
      </c>
      <c r="AH315" s="37">
        <v>4</v>
      </c>
      <c r="AI315" s="37">
        <v>4</v>
      </c>
      <c r="AJ315" s="37">
        <v>4</v>
      </c>
      <c r="AK315" s="37">
        <v>4</v>
      </c>
      <c r="AL315" s="37">
        <v>4</v>
      </c>
      <c r="AM315" s="37">
        <v>6</v>
      </c>
      <c r="AN315" s="37">
        <v>6</v>
      </c>
      <c r="AO315" s="37">
        <v>6</v>
      </c>
      <c r="AP315" s="37">
        <v>6</v>
      </c>
      <c r="AQ315" s="37">
        <v>6</v>
      </c>
      <c r="AR315" s="37">
        <v>6</v>
      </c>
      <c r="AS315" s="37">
        <v>6</v>
      </c>
      <c r="AT315" s="37">
        <v>6</v>
      </c>
    </row>
    <row r="316" spans="3:46" s="37" customFormat="1" x14ac:dyDescent="0.25"/>
    <row r="317" spans="3:46" s="37" customFormat="1" x14ac:dyDescent="0.25">
      <c r="C317" s="37" t="s">
        <v>21</v>
      </c>
      <c r="D317" s="37">
        <v>5</v>
      </c>
      <c r="E317" s="37">
        <v>5</v>
      </c>
      <c r="F317" s="37">
        <v>5</v>
      </c>
      <c r="G317" s="37">
        <v>5</v>
      </c>
      <c r="H317" s="37">
        <v>5</v>
      </c>
      <c r="I317" s="37">
        <v>5</v>
      </c>
      <c r="J317" s="37">
        <v>4</v>
      </c>
      <c r="K317" s="37">
        <v>3</v>
      </c>
      <c r="L317" s="37">
        <v>3</v>
      </c>
      <c r="M317" s="37">
        <v>3</v>
      </c>
      <c r="N317" s="37">
        <v>3</v>
      </c>
      <c r="O317" s="37">
        <v>3</v>
      </c>
      <c r="P317" s="37">
        <v>3</v>
      </c>
      <c r="Q317" s="37">
        <v>4</v>
      </c>
      <c r="R317" s="37">
        <v>5</v>
      </c>
      <c r="S317" s="37">
        <v>6</v>
      </c>
      <c r="T317" s="37">
        <v>6</v>
      </c>
      <c r="U317" s="37">
        <v>7</v>
      </c>
      <c r="V317" s="37">
        <v>7</v>
      </c>
      <c r="W317" s="37">
        <v>7</v>
      </c>
      <c r="X317" s="37">
        <v>7</v>
      </c>
      <c r="Z317" s="37">
        <v>5</v>
      </c>
      <c r="AA317" s="37">
        <v>5</v>
      </c>
      <c r="AB317" s="37">
        <v>5</v>
      </c>
      <c r="AC317" s="37">
        <v>5</v>
      </c>
      <c r="AD317" s="37">
        <v>5</v>
      </c>
      <c r="AE317" s="37">
        <v>5</v>
      </c>
      <c r="AF317" s="37">
        <v>5</v>
      </c>
      <c r="AG317" s="37">
        <v>3</v>
      </c>
      <c r="AH317" s="37">
        <v>3</v>
      </c>
      <c r="AI317" s="37">
        <v>3</v>
      </c>
      <c r="AJ317" s="37">
        <v>3</v>
      </c>
      <c r="AK317" s="37">
        <v>3</v>
      </c>
      <c r="AL317" s="37">
        <v>3</v>
      </c>
      <c r="AM317" s="37">
        <v>7</v>
      </c>
      <c r="AN317" s="37">
        <v>7</v>
      </c>
      <c r="AO317" s="37">
        <v>7</v>
      </c>
      <c r="AP317" s="37">
        <v>7</v>
      </c>
      <c r="AQ317" s="37">
        <v>7</v>
      </c>
      <c r="AR317" s="37">
        <v>7</v>
      </c>
      <c r="AS317" s="37">
        <v>7</v>
      </c>
      <c r="AT317" s="37">
        <v>7</v>
      </c>
    </row>
    <row r="318" spans="3:46" s="37" customFormat="1" x14ac:dyDescent="0.25"/>
    <row r="319" spans="3:46" s="37" customFormat="1" x14ac:dyDescent="0.25">
      <c r="C319" s="37" t="s">
        <v>20</v>
      </c>
      <c r="D319" s="37">
        <v>10</v>
      </c>
      <c r="E319" s="37">
        <v>10</v>
      </c>
      <c r="F319" s="37">
        <v>10</v>
      </c>
      <c r="G319" s="37">
        <v>10</v>
      </c>
      <c r="H319" s="37">
        <v>10</v>
      </c>
      <c r="I319" s="37">
        <v>10</v>
      </c>
      <c r="J319" s="37">
        <v>10</v>
      </c>
      <c r="K319" s="37">
        <v>4</v>
      </c>
      <c r="L319" s="37">
        <v>4</v>
      </c>
      <c r="M319" s="37">
        <v>4</v>
      </c>
      <c r="N319" s="37">
        <v>4</v>
      </c>
      <c r="O319" s="37">
        <v>4</v>
      </c>
      <c r="P319" s="37">
        <v>4</v>
      </c>
      <c r="Q319" s="37">
        <v>7</v>
      </c>
      <c r="R319" s="37">
        <v>8</v>
      </c>
      <c r="S319" s="37">
        <v>9</v>
      </c>
      <c r="T319" s="37">
        <v>9</v>
      </c>
      <c r="U319" s="37">
        <v>9</v>
      </c>
      <c r="V319" s="37">
        <v>9</v>
      </c>
      <c r="W319" s="37">
        <v>9</v>
      </c>
      <c r="X319" s="37">
        <v>9</v>
      </c>
      <c r="Z319" s="37">
        <v>10</v>
      </c>
      <c r="AA319" s="37">
        <v>10</v>
      </c>
      <c r="AB319" s="37">
        <v>10</v>
      </c>
      <c r="AC319" s="37">
        <v>10</v>
      </c>
      <c r="AD319" s="37">
        <v>10</v>
      </c>
      <c r="AE319" s="37">
        <v>10</v>
      </c>
      <c r="AF319" s="37">
        <v>10</v>
      </c>
      <c r="AG319" s="37">
        <v>4</v>
      </c>
      <c r="AH319" s="37">
        <v>4</v>
      </c>
      <c r="AI319" s="37">
        <v>4</v>
      </c>
      <c r="AJ319" s="37">
        <v>4</v>
      </c>
      <c r="AK319" s="37">
        <v>4</v>
      </c>
      <c r="AL319" s="37">
        <v>4</v>
      </c>
      <c r="AM319" s="37">
        <v>9</v>
      </c>
      <c r="AN319" s="37">
        <v>9</v>
      </c>
      <c r="AO319" s="37">
        <v>9</v>
      </c>
      <c r="AP319" s="37">
        <v>9</v>
      </c>
      <c r="AQ319" s="37">
        <v>9</v>
      </c>
      <c r="AR319" s="37">
        <v>9</v>
      </c>
      <c r="AS319" s="37">
        <v>9</v>
      </c>
      <c r="AT319" s="37">
        <v>9</v>
      </c>
    </row>
    <row r="320" spans="3:46" s="37" customFormat="1" x14ac:dyDescent="0.25"/>
    <row r="321" spans="3:46" s="37" customFormat="1" x14ac:dyDescent="0.25">
      <c r="C321" s="37" t="s">
        <v>21</v>
      </c>
      <c r="D321" s="37">
        <v>7</v>
      </c>
      <c r="E321" s="37">
        <v>7</v>
      </c>
      <c r="F321" s="37">
        <v>7</v>
      </c>
      <c r="G321" s="37">
        <v>7</v>
      </c>
      <c r="H321" s="37">
        <v>7</v>
      </c>
      <c r="I321" s="37">
        <v>7</v>
      </c>
      <c r="J321" s="37">
        <v>6</v>
      </c>
      <c r="K321" s="37">
        <v>3</v>
      </c>
      <c r="L321" s="37">
        <v>3</v>
      </c>
      <c r="M321" s="37">
        <v>3</v>
      </c>
      <c r="N321" s="37">
        <v>3</v>
      </c>
      <c r="O321" s="37">
        <v>3</v>
      </c>
      <c r="P321" s="37">
        <v>3</v>
      </c>
      <c r="Q321" s="37">
        <v>6</v>
      </c>
      <c r="R321" s="37">
        <v>6</v>
      </c>
      <c r="S321" s="37">
        <v>7</v>
      </c>
      <c r="T321" s="37">
        <v>8</v>
      </c>
      <c r="U321" s="37">
        <v>8</v>
      </c>
      <c r="V321" s="37">
        <v>8</v>
      </c>
      <c r="W321" s="37">
        <v>8</v>
      </c>
      <c r="X321" s="37">
        <v>8</v>
      </c>
      <c r="Z321" s="37">
        <v>7</v>
      </c>
      <c r="AA321" s="37">
        <v>7</v>
      </c>
      <c r="AB321" s="37">
        <v>7</v>
      </c>
      <c r="AC321" s="37">
        <v>7</v>
      </c>
      <c r="AD321" s="37">
        <v>7</v>
      </c>
      <c r="AE321" s="37">
        <v>7</v>
      </c>
      <c r="AF321" s="37">
        <v>7</v>
      </c>
      <c r="AG321" s="37">
        <v>3</v>
      </c>
      <c r="AH321" s="37">
        <v>3</v>
      </c>
      <c r="AI321" s="37">
        <v>3</v>
      </c>
      <c r="AJ321" s="37">
        <v>3</v>
      </c>
      <c r="AK321" s="37">
        <v>3</v>
      </c>
      <c r="AL321" s="37">
        <v>3</v>
      </c>
      <c r="AM321" s="37">
        <v>8</v>
      </c>
      <c r="AN321" s="37">
        <v>8</v>
      </c>
      <c r="AO321" s="37">
        <v>8</v>
      </c>
      <c r="AP321" s="37">
        <v>8</v>
      </c>
      <c r="AQ321" s="37">
        <v>8</v>
      </c>
      <c r="AR321" s="37">
        <v>8</v>
      </c>
      <c r="AS321" s="37">
        <v>8</v>
      </c>
      <c r="AT321" s="37">
        <v>8</v>
      </c>
    </row>
    <row r="322" spans="3:46" s="37" customFormat="1" x14ac:dyDescent="0.25"/>
    <row r="323" spans="3:46" s="37" customFormat="1" x14ac:dyDescent="0.25">
      <c r="C323" s="37" t="s">
        <v>20</v>
      </c>
      <c r="D323" s="37">
        <v>8</v>
      </c>
      <c r="E323" s="37">
        <v>8</v>
      </c>
      <c r="F323" s="37">
        <v>8</v>
      </c>
      <c r="G323" s="37">
        <v>8</v>
      </c>
      <c r="H323" s="37">
        <v>8</v>
      </c>
      <c r="I323" s="37">
        <v>8</v>
      </c>
      <c r="J323" s="37">
        <v>7</v>
      </c>
      <c r="K323" s="37">
        <v>3</v>
      </c>
      <c r="L323" s="37">
        <v>3</v>
      </c>
      <c r="M323" s="37">
        <v>3</v>
      </c>
      <c r="N323" s="37">
        <v>3</v>
      </c>
      <c r="O323" s="37">
        <v>3</v>
      </c>
      <c r="P323" s="37">
        <v>3</v>
      </c>
      <c r="Q323" s="37">
        <v>3</v>
      </c>
      <c r="R323" s="37">
        <v>4</v>
      </c>
      <c r="S323" s="37">
        <v>4</v>
      </c>
      <c r="T323" s="37">
        <v>5</v>
      </c>
      <c r="U323" s="37">
        <v>5</v>
      </c>
      <c r="V323" s="37">
        <v>5</v>
      </c>
      <c r="W323" s="37">
        <v>5</v>
      </c>
      <c r="X323" s="37">
        <v>5</v>
      </c>
      <c r="Z323" s="37">
        <v>8</v>
      </c>
      <c r="AA323" s="37">
        <v>8</v>
      </c>
      <c r="AB323" s="37">
        <v>8</v>
      </c>
      <c r="AC323" s="37">
        <v>8</v>
      </c>
      <c r="AD323" s="37">
        <v>8</v>
      </c>
      <c r="AE323" s="37">
        <v>8</v>
      </c>
      <c r="AF323" s="37">
        <v>8</v>
      </c>
      <c r="AG323" s="37">
        <v>3</v>
      </c>
      <c r="AH323" s="37">
        <v>3</v>
      </c>
      <c r="AI323" s="37">
        <v>3</v>
      </c>
      <c r="AJ323" s="37">
        <v>3</v>
      </c>
      <c r="AK323" s="37">
        <v>3</v>
      </c>
      <c r="AL323" s="37">
        <v>3</v>
      </c>
      <c r="AM323" s="37">
        <v>5</v>
      </c>
      <c r="AN323" s="37">
        <v>5</v>
      </c>
      <c r="AO323" s="37">
        <v>5</v>
      </c>
      <c r="AP323" s="37">
        <v>5</v>
      </c>
      <c r="AQ323" s="37">
        <v>5</v>
      </c>
      <c r="AR323" s="37">
        <v>5</v>
      </c>
      <c r="AS323" s="37">
        <v>5</v>
      </c>
      <c r="AT323" s="37">
        <v>5</v>
      </c>
    </row>
    <row r="324" spans="3:46" s="37" customFormat="1" x14ac:dyDescent="0.25"/>
    <row r="325" spans="3:46" s="37" customFormat="1" x14ac:dyDescent="0.25">
      <c r="C325" s="37" t="s">
        <v>21</v>
      </c>
      <c r="D325" s="37">
        <v>4</v>
      </c>
      <c r="E325" s="37">
        <v>4</v>
      </c>
      <c r="F325" s="37">
        <v>4</v>
      </c>
      <c r="G325" s="37">
        <v>4</v>
      </c>
      <c r="H325" s="37">
        <v>4</v>
      </c>
      <c r="I325" s="37">
        <v>4</v>
      </c>
      <c r="J325" s="37">
        <v>3</v>
      </c>
      <c r="K325" s="37">
        <v>2</v>
      </c>
      <c r="L325" s="37">
        <v>2</v>
      </c>
      <c r="M325" s="37">
        <v>2</v>
      </c>
      <c r="N325" s="37">
        <v>2</v>
      </c>
      <c r="O325" s="37">
        <v>2</v>
      </c>
      <c r="P325" s="37">
        <v>2</v>
      </c>
      <c r="Q325" s="37">
        <v>3</v>
      </c>
      <c r="R325" s="37">
        <v>4</v>
      </c>
      <c r="S325" s="37">
        <v>4</v>
      </c>
      <c r="T325" s="37">
        <v>5</v>
      </c>
      <c r="U325" s="37">
        <v>5</v>
      </c>
      <c r="V325" s="37">
        <v>5</v>
      </c>
      <c r="W325" s="37">
        <v>5</v>
      </c>
      <c r="X325" s="37">
        <v>5</v>
      </c>
      <c r="Z325" s="37">
        <v>4</v>
      </c>
      <c r="AA325" s="37">
        <v>4</v>
      </c>
      <c r="AB325" s="37">
        <v>4</v>
      </c>
      <c r="AC325" s="37">
        <v>4</v>
      </c>
      <c r="AD325" s="37">
        <v>4</v>
      </c>
      <c r="AE325" s="37">
        <v>4</v>
      </c>
      <c r="AF325" s="37">
        <v>4</v>
      </c>
      <c r="AG325" s="37">
        <v>2</v>
      </c>
      <c r="AH325" s="37">
        <v>2</v>
      </c>
      <c r="AI325" s="37">
        <v>2</v>
      </c>
      <c r="AJ325" s="37">
        <v>2</v>
      </c>
      <c r="AK325" s="37">
        <v>2</v>
      </c>
      <c r="AL325" s="37">
        <v>2</v>
      </c>
      <c r="AM325" s="37">
        <v>5</v>
      </c>
      <c r="AN325" s="37">
        <v>5</v>
      </c>
      <c r="AO325" s="37">
        <v>5</v>
      </c>
      <c r="AP325" s="37">
        <v>5</v>
      </c>
      <c r="AQ325" s="37">
        <v>5</v>
      </c>
      <c r="AR325" s="37">
        <v>5</v>
      </c>
      <c r="AS325" s="37">
        <v>5</v>
      </c>
      <c r="AT325" s="37">
        <v>5</v>
      </c>
    </row>
    <row r="326" spans="3:46" s="37" customFormat="1" x14ac:dyDescent="0.25"/>
    <row r="327" spans="3:46" s="37" customFormat="1" x14ac:dyDescent="0.25">
      <c r="C327" s="37" t="s">
        <v>20</v>
      </c>
      <c r="D327" s="37">
        <v>8</v>
      </c>
      <c r="E327" s="37">
        <v>8</v>
      </c>
      <c r="F327" s="37">
        <v>8</v>
      </c>
      <c r="G327" s="37">
        <v>8</v>
      </c>
      <c r="H327" s="37">
        <v>8</v>
      </c>
      <c r="I327" s="37">
        <v>7</v>
      </c>
      <c r="J327" s="37">
        <v>6</v>
      </c>
      <c r="K327" s="37">
        <v>4</v>
      </c>
      <c r="L327" s="37">
        <v>4</v>
      </c>
      <c r="M327" s="37">
        <v>4</v>
      </c>
      <c r="N327" s="37">
        <v>3</v>
      </c>
      <c r="O327" s="37">
        <v>4</v>
      </c>
      <c r="P327" s="37">
        <v>4</v>
      </c>
      <c r="Q327" s="37">
        <v>6</v>
      </c>
      <c r="R327" s="37">
        <v>7</v>
      </c>
      <c r="S327" s="37">
        <v>8</v>
      </c>
      <c r="T327" s="37">
        <v>9</v>
      </c>
      <c r="U327" s="37">
        <v>10</v>
      </c>
      <c r="V327" s="37">
        <v>10</v>
      </c>
      <c r="W327" s="37">
        <v>10</v>
      </c>
      <c r="X327" s="37">
        <v>10</v>
      </c>
      <c r="Z327" s="37">
        <v>8</v>
      </c>
      <c r="AA327" s="37">
        <v>8</v>
      </c>
      <c r="AB327" s="37">
        <v>8</v>
      </c>
      <c r="AC327" s="37">
        <v>8</v>
      </c>
      <c r="AD327" s="37">
        <v>8</v>
      </c>
      <c r="AE327" s="37">
        <v>8</v>
      </c>
      <c r="AF327" s="37">
        <v>8</v>
      </c>
      <c r="AG327" s="37">
        <v>4</v>
      </c>
      <c r="AH327" s="37">
        <v>4</v>
      </c>
      <c r="AI327" s="37">
        <v>4</v>
      </c>
      <c r="AJ327" s="37">
        <v>4</v>
      </c>
      <c r="AK327" s="37">
        <v>4</v>
      </c>
      <c r="AL327" s="37">
        <v>4</v>
      </c>
      <c r="AM327" s="37">
        <v>11</v>
      </c>
      <c r="AN327" s="37">
        <v>11</v>
      </c>
      <c r="AO327" s="37">
        <v>11</v>
      </c>
      <c r="AP327" s="37">
        <v>11</v>
      </c>
      <c r="AQ327" s="37">
        <v>11</v>
      </c>
      <c r="AR327" s="37">
        <v>11</v>
      </c>
      <c r="AS327" s="37">
        <v>11</v>
      </c>
      <c r="AT327" s="37">
        <v>11</v>
      </c>
    </row>
    <row r="328" spans="3:46" s="37" customFormat="1" x14ac:dyDescent="0.25"/>
    <row r="329" spans="3:46" s="37" customFormat="1" x14ac:dyDescent="0.25">
      <c r="C329" s="37" t="s">
        <v>21</v>
      </c>
      <c r="D329" s="37">
        <v>4</v>
      </c>
      <c r="E329" s="37">
        <v>4</v>
      </c>
      <c r="F329" s="37">
        <v>4</v>
      </c>
      <c r="G329" s="37">
        <v>4</v>
      </c>
      <c r="H329" s="37">
        <v>4</v>
      </c>
      <c r="I329" s="37">
        <v>3</v>
      </c>
      <c r="J329" s="37">
        <v>3</v>
      </c>
      <c r="K329" s="37">
        <v>3</v>
      </c>
      <c r="L329" s="37">
        <v>3</v>
      </c>
      <c r="M329" s="37">
        <v>3</v>
      </c>
      <c r="N329" s="37">
        <v>3</v>
      </c>
      <c r="O329" s="37">
        <v>3</v>
      </c>
      <c r="P329" s="37">
        <v>3</v>
      </c>
      <c r="Q329" s="37">
        <v>3</v>
      </c>
      <c r="R329" s="37">
        <v>4</v>
      </c>
      <c r="S329" s="37">
        <v>4</v>
      </c>
      <c r="T329" s="37">
        <v>5</v>
      </c>
      <c r="U329" s="37">
        <v>5</v>
      </c>
      <c r="V329" s="37">
        <v>6</v>
      </c>
      <c r="W329" s="37">
        <v>6</v>
      </c>
      <c r="X329" s="37">
        <v>6</v>
      </c>
      <c r="Z329" s="37">
        <v>4</v>
      </c>
      <c r="AA329" s="37">
        <v>4</v>
      </c>
      <c r="AB329" s="37">
        <v>4</v>
      </c>
      <c r="AC329" s="37">
        <v>4</v>
      </c>
      <c r="AD329" s="37">
        <v>4</v>
      </c>
      <c r="AE329" s="37">
        <v>4</v>
      </c>
      <c r="AF329" s="37">
        <v>4</v>
      </c>
      <c r="AG329" s="37">
        <v>3</v>
      </c>
      <c r="AH329" s="37">
        <v>3</v>
      </c>
      <c r="AI329" s="37">
        <v>3</v>
      </c>
      <c r="AJ329" s="37">
        <v>3</v>
      </c>
      <c r="AK329" s="37">
        <v>3</v>
      </c>
      <c r="AL329" s="37">
        <v>3</v>
      </c>
      <c r="AM329" s="37">
        <v>6</v>
      </c>
      <c r="AN329" s="37">
        <v>6</v>
      </c>
      <c r="AO329" s="37">
        <v>6</v>
      </c>
      <c r="AP329" s="37">
        <v>6</v>
      </c>
      <c r="AQ329" s="37">
        <v>6</v>
      </c>
      <c r="AR329" s="37">
        <v>6</v>
      </c>
      <c r="AS329" s="37">
        <v>6</v>
      </c>
      <c r="AT329" s="37">
        <v>6</v>
      </c>
    </row>
    <row r="330" spans="3:46" s="37" customFormat="1" x14ac:dyDescent="0.25"/>
    <row r="331" spans="3:46" s="37" customFormat="1" x14ac:dyDescent="0.25">
      <c r="C331" s="37" t="s">
        <v>20</v>
      </c>
      <c r="D331" s="37">
        <v>8</v>
      </c>
      <c r="E331" s="37">
        <v>8</v>
      </c>
      <c r="F331" s="37">
        <v>8</v>
      </c>
      <c r="G331" s="37">
        <v>8</v>
      </c>
      <c r="H331" s="37">
        <v>8</v>
      </c>
      <c r="I331" s="37">
        <v>8</v>
      </c>
      <c r="J331" s="37">
        <v>8</v>
      </c>
      <c r="K331" s="37">
        <v>3</v>
      </c>
      <c r="L331" s="37">
        <v>3</v>
      </c>
      <c r="M331" s="37">
        <v>3</v>
      </c>
      <c r="N331" s="37">
        <v>3</v>
      </c>
      <c r="O331" s="37">
        <v>3</v>
      </c>
      <c r="P331" s="37">
        <v>3</v>
      </c>
      <c r="Q331" s="37">
        <v>7</v>
      </c>
      <c r="R331" s="37">
        <v>8</v>
      </c>
      <c r="S331" s="37">
        <v>8</v>
      </c>
      <c r="T331" s="37">
        <v>8</v>
      </c>
      <c r="U331" s="37">
        <v>8</v>
      </c>
      <c r="V331" s="37">
        <v>8</v>
      </c>
      <c r="W331" s="37">
        <v>8</v>
      </c>
      <c r="X331" s="37">
        <v>8</v>
      </c>
      <c r="Z331" s="37">
        <v>8</v>
      </c>
      <c r="AA331" s="37">
        <v>8</v>
      </c>
      <c r="AB331" s="37">
        <v>8</v>
      </c>
      <c r="AC331" s="37">
        <v>8</v>
      </c>
      <c r="AD331" s="37">
        <v>8</v>
      </c>
      <c r="AE331" s="37">
        <v>8</v>
      </c>
      <c r="AF331" s="37">
        <v>8</v>
      </c>
      <c r="AG331" s="37">
        <v>3</v>
      </c>
      <c r="AH331" s="37">
        <v>3</v>
      </c>
      <c r="AI331" s="37">
        <v>3</v>
      </c>
      <c r="AJ331" s="37">
        <v>3</v>
      </c>
      <c r="AK331" s="37">
        <v>3</v>
      </c>
      <c r="AL331" s="37">
        <v>3</v>
      </c>
      <c r="AM331" s="37">
        <v>8</v>
      </c>
      <c r="AN331" s="37">
        <v>8</v>
      </c>
      <c r="AO331" s="37">
        <v>8</v>
      </c>
      <c r="AP331" s="37">
        <v>8</v>
      </c>
      <c r="AQ331" s="37">
        <v>8</v>
      </c>
      <c r="AR331" s="37">
        <v>8</v>
      </c>
      <c r="AS331" s="37">
        <v>8</v>
      </c>
      <c r="AT331" s="37">
        <v>8</v>
      </c>
    </row>
    <row r="332" spans="3:46" s="37" customFormat="1" x14ac:dyDescent="0.25"/>
    <row r="333" spans="3:46" s="37" customFormat="1" x14ac:dyDescent="0.25">
      <c r="C333" s="37" t="s">
        <v>21</v>
      </c>
      <c r="D333" s="37">
        <v>7</v>
      </c>
      <c r="E333" s="37">
        <v>7</v>
      </c>
      <c r="F333" s="37">
        <v>7</v>
      </c>
      <c r="G333" s="37">
        <v>7</v>
      </c>
      <c r="H333" s="37">
        <v>7</v>
      </c>
      <c r="I333" s="37">
        <v>7</v>
      </c>
      <c r="J333" s="37">
        <v>6</v>
      </c>
      <c r="K333" s="37">
        <v>3</v>
      </c>
      <c r="L333" s="37">
        <v>3</v>
      </c>
      <c r="M333" s="37">
        <v>3</v>
      </c>
      <c r="N333" s="37">
        <v>3</v>
      </c>
      <c r="O333" s="37">
        <v>3</v>
      </c>
      <c r="P333" s="37">
        <v>3</v>
      </c>
      <c r="Q333" s="37">
        <v>4</v>
      </c>
      <c r="R333" s="37">
        <v>5</v>
      </c>
      <c r="S333" s="37">
        <v>5</v>
      </c>
      <c r="T333" s="37">
        <v>6</v>
      </c>
      <c r="U333" s="37">
        <v>6</v>
      </c>
      <c r="V333" s="37">
        <v>6</v>
      </c>
      <c r="W333" s="37">
        <v>6</v>
      </c>
      <c r="X333" s="37">
        <v>6</v>
      </c>
      <c r="Z333" s="37">
        <v>7</v>
      </c>
      <c r="AA333" s="37">
        <v>7</v>
      </c>
      <c r="AB333" s="37">
        <v>7</v>
      </c>
      <c r="AC333" s="37">
        <v>7</v>
      </c>
      <c r="AD333" s="37">
        <v>7</v>
      </c>
      <c r="AE333" s="37">
        <v>7</v>
      </c>
      <c r="AF333" s="37">
        <v>7</v>
      </c>
      <c r="AG333" s="37">
        <v>3</v>
      </c>
      <c r="AH333" s="37">
        <v>3</v>
      </c>
      <c r="AI333" s="37">
        <v>3</v>
      </c>
      <c r="AJ333" s="37">
        <v>3</v>
      </c>
      <c r="AK333" s="37">
        <v>3</v>
      </c>
      <c r="AL333" s="37">
        <v>3</v>
      </c>
      <c r="AM333" s="37">
        <v>6</v>
      </c>
      <c r="AN333" s="37">
        <v>6</v>
      </c>
      <c r="AO333" s="37">
        <v>6</v>
      </c>
      <c r="AP333" s="37">
        <v>6</v>
      </c>
      <c r="AQ333" s="37">
        <v>6</v>
      </c>
      <c r="AR333" s="37">
        <v>6</v>
      </c>
      <c r="AS333" s="37">
        <v>6</v>
      </c>
      <c r="AT333" s="37">
        <v>6</v>
      </c>
    </row>
    <row r="334" spans="3:46" s="37" customFormat="1" x14ac:dyDescent="0.25"/>
    <row r="335" spans="3:46" s="37" customFormat="1" x14ac:dyDescent="0.25">
      <c r="C335" s="37" t="s">
        <v>20</v>
      </c>
      <c r="D335" s="37">
        <v>6</v>
      </c>
      <c r="E335" s="37">
        <v>6</v>
      </c>
      <c r="F335" s="37">
        <v>6</v>
      </c>
      <c r="G335" s="37">
        <v>6</v>
      </c>
      <c r="H335" s="37">
        <v>6</v>
      </c>
      <c r="I335" s="37">
        <v>6</v>
      </c>
      <c r="J335" s="37">
        <v>6</v>
      </c>
      <c r="K335" s="37">
        <v>3</v>
      </c>
      <c r="L335" s="37">
        <v>3</v>
      </c>
      <c r="M335" s="37">
        <v>3</v>
      </c>
      <c r="N335" s="37">
        <v>3</v>
      </c>
      <c r="O335" s="37">
        <v>3</v>
      </c>
      <c r="P335" s="37">
        <v>3</v>
      </c>
      <c r="Q335" s="37">
        <v>7</v>
      </c>
      <c r="R335" s="37">
        <v>8</v>
      </c>
      <c r="S335" s="37">
        <v>9</v>
      </c>
      <c r="T335" s="37">
        <v>9</v>
      </c>
      <c r="U335" s="37">
        <v>9</v>
      </c>
      <c r="V335" s="37">
        <v>9</v>
      </c>
      <c r="W335" s="37">
        <v>9</v>
      </c>
      <c r="X335" s="37">
        <v>9</v>
      </c>
      <c r="Z335" s="37">
        <v>6</v>
      </c>
      <c r="AA335" s="37">
        <v>6</v>
      </c>
      <c r="AB335" s="37">
        <v>6</v>
      </c>
      <c r="AC335" s="37">
        <v>6</v>
      </c>
      <c r="AD335" s="37">
        <v>6</v>
      </c>
      <c r="AE335" s="37">
        <v>6</v>
      </c>
      <c r="AF335" s="37">
        <v>6</v>
      </c>
      <c r="AG335" s="37">
        <v>3</v>
      </c>
      <c r="AH335" s="37">
        <v>3</v>
      </c>
      <c r="AI335" s="37">
        <v>3</v>
      </c>
      <c r="AJ335" s="37">
        <v>3</v>
      </c>
      <c r="AK335" s="37">
        <v>3</v>
      </c>
      <c r="AL335" s="37">
        <v>3</v>
      </c>
      <c r="AM335" s="37">
        <v>9</v>
      </c>
      <c r="AN335" s="37">
        <v>9</v>
      </c>
      <c r="AO335" s="37">
        <v>9</v>
      </c>
      <c r="AP335" s="37">
        <v>9</v>
      </c>
      <c r="AQ335" s="37">
        <v>9</v>
      </c>
      <c r="AR335" s="37">
        <v>9</v>
      </c>
      <c r="AS335" s="37">
        <v>9</v>
      </c>
      <c r="AT335" s="37">
        <v>9</v>
      </c>
    </row>
    <row r="336" spans="3:46" s="37" customFormat="1" x14ac:dyDescent="0.25"/>
    <row r="337" spans="3:46" s="37" customFormat="1" x14ac:dyDescent="0.25">
      <c r="C337" s="37" t="s">
        <v>21</v>
      </c>
      <c r="D337" s="37">
        <v>7</v>
      </c>
      <c r="E337" s="37">
        <v>7</v>
      </c>
      <c r="F337" s="37">
        <v>7</v>
      </c>
      <c r="G337" s="37">
        <v>7</v>
      </c>
      <c r="H337" s="37">
        <v>7</v>
      </c>
      <c r="I337" s="37">
        <v>6</v>
      </c>
      <c r="J337" s="37">
        <v>6</v>
      </c>
      <c r="K337" s="37">
        <v>3</v>
      </c>
      <c r="L337" s="37">
        <v>3</v>
      </c>
      <c r="M337" s="37">
        <v>3</v>
      </c>
      <c r="N337" s="37">
        <v>3</v>
      </c>
      <c r="O337" s="37">
        <v>3</v>
      </c>
      <c r="P337" s="37">
        <v>3</v>
      </c>
      <c r="Q337" s="37">
        <v>3</v>
      </c>
      <c r="R337" s="37">
        <v>4</v>
      </c>
      <c r="S337" s="37">
        <v>4</v>
      </c>
      <c r="T337" s="37">
        <v>5</v>
      </c>
      <c r="U337" s="37">
        <v>5</v>
      </c>
      <c r="V337" s="37">
        <v>5</v>
      </c>
      <c r="W337" s="37">
        <v>5</v>
      </c>
      <c r="X337" s="37">
        <v>5</v>
      </c>
      <c r="Z337" s="37">
        <v>7</v>
      </c>
      <c r="AA337" s="37">
        <v>7</v>
      </c>
      <c r="AB337" s="37">
        <v>7</v>
      </c>
      <c r="AC337" s="37">
        <v>7</v>
      </c>
      <c r="AD337" s="37">
        <v>7</v>
      </c>
      <c r="AE337" s="37">
        <v>7</v>
      </c>
      <c r="AF337" s="37">
        <v>7</v>
      </c>
      <c r="AG337" s="37">
        <v>3</v>
      </c>
      <c r="AH337" s="37">
        <v>3</v>
      </c>
      <c r="AI337" s="37">
        <v>3</v>
      </c>
      <c r="AJ337" s="37">
        <v>3</v>
      </c>
      <c r="AK337" s="37">
        <v>3</v>
      </c>
      <c r="AL337" s="37">
        <v>3</v>
      </c>
      <c r="AM337" s="37">
        <v>5</v>
      </c>
      <c r="AN337" s="37">
        <v>5</v>
      </c>
      <c r="AO337" s="37">
        <v>5</v>
      </c>
      <c r="AP337" s="37">
        <v>5</v>
      </c>
      <c r="AQ337" s="37">
        <v>5</v>
      </c>
      <c r="AR337" s="37">
        <v>5</v>
      </c>
      <c r="AS337" s="37">
        <v>5</v>
      </c>
      <c r="AT337" s="37">
        <v>5</v>
      </c>
    </row>
    <row r="338" spans="3:46" s="37" customFormat="1" x14ac:dyDescent="0.25"/>
    <row r="339" spans="3:46" s="37" customFormat="1" x14ac:dyDescent="0.25">
      <c r="C339" s="37" t="s">
        <v>20</v>
      </c>
      <c r="D339" s="37">
        <v>9</v>
      </c>
      <c r="E339" s="37">
        <v>9</v>
      </c>
      <c r="F339" s="37">
        <v>9</v>
      </c>
      <c r="G339" s="37">
        <v>9</v>
      </c>
      <c r="H339" s="37">
        <v>9</v>
      </c>
      <c r="I339" s="37">
        <v>8</v>
      </c>
      <c r="J339" s="37">
        <v>7</v>
      </c>
      <c r="K339" s="37">
        <v>3</v>
      </c>
      <c r="L339" s="37">
        <v>3</v>
      </c>
      <c r="M339" s="37">
        <v>3</v>
      </c>
      <c r="N339" s="37">
        <v>3</v>
      </c>
      <c r="O339" s="37">
        <v>3</v>
      </c>
      <c r="P339" s="37">
        <v>3</v>
      </c>
      <c r="Q339" s="37">
        <v>5</v>
      </c>
      <c r="R339" s="37">
        <v>6</v>
      </c>
      <c r="S339" s="37">
        <v>7</v>
      </c>
      <c r="T339" s="37">
        <v>8</v>
      </c>
      <c r="U339" s="37">
        <v>9</v>
      </c>
      <c r="V339" s="37">
        <v>9</v>
      </c>
      <c r="W339" s="37">
        <v>9</v>
      </c>
      <c r="X339" s="37">
        <v>9</v>
      </c>
      <c r="Z339" s="37">
        <v>9</v>
      </c>
      <c r="AA339" s="37">
        <v>9</v>
      </c>
      <c r="AB339" s="37">
        <v>9</v>
      </c>
      <c r="AC339" s="37">
        <v>9</v>
      </c>
      <c r="AD339" s="37">
        <v>9</v>
      </c>
      <c r="AE339" s="37">
        <v>9</v>
      </c>
      <c r="AF339" s="37">
        <v>9</v>
      </c>
      <c r="AG339" s="37">
        <v>3</v>
      </c>
      <c r="AH339" s="37">
        <v>3</v>
      </c>
      <c r="AI339" s="37">
        <v>3</v>
      </c>
      <c r="AJ339" s="37">
        <v>3</v>
      </c>
      <c r="AK339" s="37">
        <v>3</v>
      </c>
      <c r="AL339" s="37">
        <v>3</v>
      </c>
      <c r="AM339" s="37">
        <v>9</v>
      </c>
      <c r="AN339" s="37">
        <v>9</v>
      </c>
      <c r="AO339" s="37">
        <v>9</v>
      </c>
      <c r="AP339" s="37">
        <v>9</v>
      </c>
      <c r="AQ339" s="37">
        <v>9</v>
      </c>
      <c r="AR339" s="37">
        <v>9</v>
      </c>
      <c r="AS339" s="37">
        <v>9</v>
      </c>
      <c r="AT339" s="37">
        <v>9</v>
      </c>
    </row>
    <row r="340" spans="3:46" s="37" customFormat="1" x14ac:dyDescent="0.25"/>
    <row r="341" spans="3:46" s="37" customFormat="1" x14ac:dyDescent="0.25">
      <c r="C341" s="37" t="s">
        <v>21</v>
      </c>
      <c r="D341" s="37">
        <v>5</v>
      </c>
      <c r="E341" s="37">
        <v>5</v>
      </c>
      <c r="F341" s="37">
        <v>5</v>
      </c>
      <c r="G341" s="37">
        <v>5</v>
      </c>
      <c r="H341" s="37">
        <v>5</v>
      </c>
      <c r="I341" s="37">
        <v>4</v>
      </c>
      <c r="J341" s="37">
        <v>4</v>
      </c>
      <c r="K341" s="37">
        <v>3</v>
      </c>
      <c r="L341" s="37">
        <v>3</v>
      </c>
      <c r="M341" s="37">
        <v>3</v>
      </c>
      <c r="N341" s="37">
        <v>3</v>
      </c>
      <c r="O341" s="37">
        <v>3</v>
      </c>
      <c r="P341" s="37">
        <v>3</v>
      </c>
      <c r="Q341" s="37">
        <v>3</v>
      </c>
      <c r="R341" s="37">
        <v>4</v>
      </c>
      <c r="S341" s="37">
        <v>4</v>
      </c>
      <c r="T341" s="37">
        <v>5</v>
      </c>
      <c r="U341" s="37">
        <v>5</v>
      </c>
      <c r="V341" s="37">
        <v>6</v>
      </c>
      <c r="W341" s="37">
        <v>6</v>
      </c>
      <c r="X341" s="37">
        <v>6</v>
      </c>
      <c r="Z341" s="37">
        <v>5</v>
      </c>
      <c r="AA341" s="37">
        <v>5</v>
      </c>
      <c r="AB341" s="37">
        <v>5</v>
      </c>
      <c r="AC341" s="37">
        <v>5</v>
      </c>
      <c r="AD341" s="37">
        <v>5</v>
      </c>
      <c r="AE341" s="37">
        <v>5</v>
      </c>
      <c r="AF341" s="37">
        <v>5</v>
      </c>
      <c r="AG341" s="37">
        <v>3</v>
      </c>
      <c r="AH341" s="37">
        <v>3</v>
      </c>
      <c r="AI341" s="37">
        <v>3</v>
      </c>
      <c r="AJ341" s="37">
        <v>3</v>
      </c>
      <c r="AK341" s="37">
        <v>3</v>
      </c>
      <c r="AL341" s="37">
        <v>3</v>
      </c>
      <c r="AM341" s="37">
        <v>6</v>
      </c>
      <c r="AN341" s="37">
        <v>6</v>
      </c>
      <c r="AO341" s="37">
        <v>6</v>
      </c>
      <c r="AP341" s="37">
        <v>6</v>
      </c>
      <c r="AQ341" s="37">
        <v>6</v>
      </c>
      <c r="AR341" s="37">
        <v>6</v>
      </c>
      <c r="AS341" s="37">
        <v>6</v>
      </c>
      <c r="AT341" s="37">
        <v>6</v>
      </c>
    </row>
    <row r="342" spans="3:46" s="37" customFormat="1" x14ac:dyDescent="0.25"/>
    <row r="343" spans="3:46" s="37" customFormat="1" x14ac:dyDescent="0.25">
      <c r="C343" s="37" t="s">
        <v>20</v>
      </c>
      <c r="D343" s="37">
        <v>9</v>
      </c>
      <c r="E343" s="37">
        <v>9</v>
      </c>
      <c r="F343" s="37">
        <v>9</v>
      </c>
      <c r="G343" s="37">
        <v>9</v>
      </c>
      <c r="H343" s="37">
        <v>9</v>
      </c>
      <c r="I343" s="37">
        <v>9</v>
      </c>
      <c r="J343" s="37">
        <v>9</v>
      </c>
      <c r="K343" s="37">
        <v>3</v>
      </c>
      <c r="L343" s="37">
        <v>3</v>
      </c>
      <c r="M343" s="37">
        <v>3</v>
      </c>
      <c r="N343" s="37">
        <v>3</v>
      </c>
      <c r="O343" s="37">
        <v>3</v>
      </c>
      <c r="P343" s="37">
        <v>3</v>
      </c>
      <c r="Q343" s="37">
        <v>7</v>
      </c>
      <c r="R343" s="37">
        <v>8</v>
      </c>
      <c r="S343" s="37">
        <v>8</v>
      </c>
      <c r="T343" s="37">
        <v>8</v>
      </c>
      <c r="U343" s="37">
        <v>8</v>
      </c>
      <c r="V343" s="37">
        <v>8</v>
      </c>
      <c r="W343" s="37">
        <v>8</v>
      </c>
      <c r="X343" s="37">
        <v>8</v>
      </c>
      <c r="Z343" s="37">
        <v>9</v>
      </c>
      <c r="AA343" s="37">
        <v>9</v>
      </c>
      <c r="AB343" s="37">
        <v>9</v>
      </c>
      <c r="AC343" s="37">
        <v>9</v>
      </c>
      <c r="AD343" s="37">
        <v>9</v>
      </c>
      <c r="AE343" s="37">
        <v>9</v>
      </c>
      <c r="AF343" s="37">
        <v>9</v>
      </c>
      <c r="AG343" s="37">
        <v>3</v>
      </c>
      <c r="AH343" s="37">
        <v>3</v>
      </c>
      <c r="AI343" s="37">
        <v>3</v>
      </c>
      <c r="AJ343" s="37">
        <v>3</v>
      </c>
      <c r="AK343" s="37">
        <v>3</v>
      </c>
      <c r="AL343" s="37">
        <v>3</v>
      </c>
      <c r="AM343" s="37">
        <v>8</v>
      </c>
      <c r="AN343" s="37">
        <v>8</v>
      </c>
      <c r="AO343" s="37">
        <v>8</v>
      </c>
      <c r="AP343" s="37">
        <v>8</v>
      </c>
      <c r="AQ343" s="37">
        <v>8</v>
      </c>
      <c r="AR343" s="37">
        <v>8</v>
      </c>
      <c r="AS343" s="37">
        <v>8</v>
      </c>
      <c r="AT343" s="37">
        <v>8</v>
      </c>
    </row>
    <row r="344" spans="3:46" s="37" customFormat="1" x14ac:dyDescent="0.25"/>
    <row r="345" spans="3:46" s="37" customFormat="1" x14ac:dyDescent="0.25">
      <c r="C345" s="37" t="s">
        <v>21</v>
      </c>
      <c r="D345" s="37">
        <v>8</v>
      </c>
      <c r="E345" s="37">
        <v>8</v>
      </c>
      <c r="F345" s="37">
        <v>8</v>
      </c>
      <c r="G345" s="37">
        <v>8</v>
      </c>
      <c r="H345" s="37">
        <v>8</v>
      </c>
      <c r="I345" s="37">
        <v>8</v>
      </c>
      <c r="J345" s="37">
        <v>8</v>
      </c>
      <c r="K345" s="37">
        <v>3</v>
      </c>
      <c r="L345" s="37">
        <v>3</v>
      </c>
      <c r="M345" s="37">
        <v>3</v>
      </c>
      <c r="N345" s="37">
        <v>3</v>
      </c>
      <c r="O345" s="37">
        <v>3</v>
      </c>
      <c r="P345" s="37">
        <v>3</v>
      </c>
      <c r="Q345" s="37">
        <v>6</v>
      </c>
      <c r="R345" s="37">
        <v>7</v>
      </c>
      <c r="S345" s="37">
        <v>8</v>
      </c>
      <c r="T345" s="37">
        <v>8</v>
      </c>
      <c r="U345" s="37">
        <v>8</v>
      </c>
      <c r="V345" s="37">
        <v>8</v>
      </c>
      <c r="W345" s="37">
        <v>8</v>
      </c>
      <c r="X345" s="37">
        <v>8</v>
      </c>
      <c r="Z345" s="37">
        <v>8</v>
      </c>
      <c r="AA345" s="37">
        <v>8</v>
      </c>
      <c r="AB345" s="37">
        <v>8</v>
      </c>
      <c r="AC345" s="37">
        <v>8</v>
      </c>
      <c r="AD345" s="37">
        <v>8</v>
      </c>
      <c r="AE345" s="37">
        <v>8</v>
      </c>
      <c r="AF345" s="37">
        <v>8</v>
      </c>
      <c r="AG345" s="37">
        <v>3</v>
      </c>
      <c r="AH345" s="37">
        <v>3</v>
      </c>
      <c r="AI345" s="37">
        <v>3</v>
      </c>
      <c r="AJ345" s="37">
        <v>3</v>
      </c>
      <c r="AK345" s="37">
        <v>3</v>
      </c>
      <c r="AL345" s="37">
        <v>3</v>
      </c>
      <c r="AM345" s="37">
        <v>8</v>
      </c>
      <c r="AN345" s="37">
        <v>8</v>
      </c>
      <c r="AO345" s="37">
        <v>8</v>
      </c>
      <c r="AP345" s="37">
        <v>8</v>
      </c>
      <c r="AQ345" s="37">
        <v>8</v>
      </c>
      <c r="AR345" s="37">
        <v>8</v>
      </c>
      <c r="AS345" s="37">
        <v>8</v>
      </c>
      <c r="AT345" s="37">
        <v>8</v>
      </c>
    </row>
    <row r="346" spans="3:46" s="37" customFormat="1" x14ac:dyDescent="0.25"/>
    <row r="347" spans="3:46" s="37" customFormat="1" x14ac:dyDescent="0.25">
      <c r="C347" s="37" t="s">
        <v>20</v>
      </c>
      <c r="D347" s="37">
        <v>11</v>
      </c>
      <c r="E347" s="37">
        <v>11</v>
      </c>
      <c r="F347" s="37">
        <v>11</v>
      </c>
      <c r="G347" s="37">
        <v>11</v>
      </c>
      <c r="H347" s="37">
        <v>11</v>
      </c>
      <c r="I347" s="37">
        <v>11</v>
      </c>
      <c r="J347" s="37">
        <v>10</v>
      </c>
      <c r="K347" s="37">
        <v>4</v>
      </c>
      <c r="L347" s="37">
        <v>4</v>
      </c>
      <c r="M347" s="37">
        <v>4</v>
      </c>
      <c r="N347" s="37">
        <v>4</v>
      </c>
      <c r="O347" s="37">
        <v>4</v>
      </c>
      <c r="P347" s="37">
        <v>4</v>
      </c>
      <c r="Q347" s="37">
        <v>6</v>
      </c>
      <c r="R347" s="37">
        <v>7</v>
      </c>
      <c r="S347" s="37">
        <v>8</v>
      </c>
      <c r="T347" s="37">
        <v>8</v>
      </c>
      <c r="U347" s="37">
        <v>8</v>
      </c>
      <c r="V347" s="37">
        <v>8</v>
      </c>
      <c r="W347" s="37">
        <v>8</v>
      </c>
      <c r="X347" s="37">
        <v>8</v>
      </c>
      <c r="Z347" s="37">
        <v>11</v>
      </c>
      <c r="AA347" s="37">
        <v>11</v>
      </c>
      <c r="AB347" s="37">
        <v>11</v>
      </c>
      <c r="AC347" s="37">
        <v>11</v>
      </c>
      <c r="AD347" s="37">
        <v>11</v>
      </c>
      <c r="AE347" s="37">
        <v>11</v>
      </c>
      <c r="AF347" s="37">
        <v>11</v>
      </c>
      <c r="AG347" s="37">
        <v>4</v>
      </c>
      <c r="AH347" s="37">
        <v>4</v>
      </c>
      <c r="AI347" s="37">
        <v>4</v>
      </c>
      <c r="AJ347" s="37">
        <v>4</v>
      </c>
      <c r="AK347" s="37">
        <v>4</v>
      </c>
      <c r="AL347" s="37">
        <v>4</v>
      </c>
      <c r="AM347" s="37">
        <v>8</v>
      </c>
      <c r="AN347" s="37">
        <v>8</v>
      </c>
      <c r="AO347" s="37">
        <v>8</v>
      </c>
      <c r="AP347" s="37">
        <v>8</v>
      </c>
      <c r="AQ347" s="37">
        <v>8</v>
      </c>
      <c r="AR347" s="37">
        <v>8</v>
      </c>
      <c r="AS347" s="37">
        <v>8</v>
      </c>
      <c r="AT347" s="37">
        <v>8</v>
      </c>
    </row>
    <row r="348" spans="3:46" s="37" customFormat="1" x14ac:dyDescent="0.25"/>
    <row r="349" spans="3:46" s="37" customFormat="1" x14ac:dyDescent="0.25">
      <c r="C349" s="37" t="s">
        <v>21</v>
      </c>
      <c r="D349" s="37">
        <v>7</v>
      </c>
      <c r="E349" s="37">
        <v>7</v>
      </c>
      <c r="F349" s="37">
        <v>7</v>
      </c>
      <c r="G349" s="37">
        <v>7</v>
      </c>
      <c r="H349" s="37">
        <v>7</v>
      </c>
      <c r="I349" s="37">
        <v>6</v>
      </c>
      <c r="J349" s="37">
        <v>6</v>
      </c>
      <c r="K349" s="37">
        <v>3</v>
      </c>
      <c r="L349" s="37">
        <v>3</v>
      </c>
      <c r="M349" s="37">
        <v>3</v>
      </c>
      <c r="N349" s="37">
        <v>3</v>
      </c>
      <c r="O349" s="37">
        <v>3</v>
      </c>
      <c r="P349" s="37">
        <v>3</v>
      </c>
      <c r="Q349" s="37">
        <v>5</v>
      </c>
      <c r="R349" s="37">
        <v>6</v>
      </c>
      <c r="S349" s="37">
        <v>7</v>
      </c>
      <c r="T349" s="37">
        <v>8</v>
      </c>
      <c r="U349" s="37">
        <v>9</v>
      </c>
      <c r="V349" s="37">
        <v>9</v>
      </c>
      <c r="W349" s="37">
        <v>9</v>
      </c>
      <c r="X349" s="37">
        <v>9</v>
      </c>
      <c r="Z349" s="37">
        <v>7</v>
      </c>
      <c r="AA349" s="37">
        <v>7</v>
      </c>
      <c r="AB349" s="37">
        <v>7</v>
      </c>
      <c r="AC349" s="37">
        <v>7</v>
      </c>
      <c r="AD349" s="37">
        <v>7</v>
      </c>
      <c r="AE349" s="37">
        <v>7</v>
      </c>
      <c r="AF349" s="37">
        <v>7</v>
      </c>
      <c r="AG349" s="37">
        <v>3</v>
      </c>
      <c r="AH349" s="37">
        <v>3</v>
      </c>
      <c r="AI349" s="37">
        <v>3</v>
      </c>
      <c r="AJ349" s="37">
        <v>3</v>
      </c>
      <c r="AK349" s="37">
        <v>3</v>
      </c>
      <c r="AL349" s="37">
        <v>3</v>
      </c>
      <c r="AM349" s="37">
        <v>9</v>
      </c>
      <c r="AN349" s="37">
        <v>9</v>
      </c>
      <c r="AO349" s="37">
        <v>9</v>
      </c>
      <c r="AP349" s="37">
        <v>9</v>
      </c>
      <c r="AQ349" s="37">
        <v>9</v>
      </c>
      <c r="AR349" s="37">
        <v>9</v>
      </c>
      <c r="AS349" s="37">
        <v>9</v>
      </c>
      <c r="AT349" s="37">
        <v>9</v>
      </c>
    </row>
    <row r="350" spans="3:46" s="37" customFormat="1" x14ac:dyDescent="0.25"/>
    <row r="351" spans="3:46" s="37" customFormat="1" x14ac:dyDescent="0.25">
      <c r="C351" s="37" t="s">
        <v>20</v>
      </c>
      <c r="D351" s="37">
        <v>12</v>
      </c>
      <c r="E351" s="37">
        <v>12</v>
      </c>
      <c r="F351" s="37">
        <v>12</v>
      </c>
      <c r="G351" s="37">
        <v>12</v>
      </c>
      <c r="H351" s="37">
        <v>12</v>
      </c>
      <c r="I351" s="37">
        <v>12</v>
      </c>
      <c r="J351" s="37">
        <v>12</v>
      </c>
      <c r="K351" s="37">
        <v>4</v>
      </c>
      <c r="L351" s="37">
        <v>4</v>
      </c>
      <c r="M351" s="37">
        <v>4</v>
      </c>
      <c r="N351" s="37">
        <v>4</v>
      </c>
      <c r="O351" s="37">
        <v>4</v>
      </c>
      <c r="P351" s="37">
        <v>4</v>
      </c>
      <c r="Q351" s="37">
        <v>9</v>
      </c>
      <c r="R351" s="37">
        <v>10</v>
      </c>
      <c r="S351" s="37">
        <v>10</v>
      </c>
      <c r="T351" s="37">
        <v>10</v>
      </c>
      <c r="U351" s="37">
        <v>10</v>
      </c>
      <c r="V351" s="37">
        <v>10</v>
      </c>
      <c r="W351" s="37">
        <v>10</v>
      </c>
      <c r="X351" s="37">
        <v>10</v>
      </c>
      <c r="Z351" s="37">
        <v>12</v>
      </c>
      <c r="AA351" s="37">
        <v>12</v>
      </c>
      <c r="AB351" s="37">
        <v>12</v>
      </c>
      <c r="AC351" s="37">
        <v>12</v>
      </c>
      <c r="AD351" s="37">
        <v>12</v>
      </c>
      <c r="AE351" s="37">
        <v>12</v>
      </c>
      <c r="AF351" s="37">
        <v>12</v>
      </c>
      <c r="AG351" s="37">
        <v>4</v>
      </c>
      <c r="AH351" s="37">
        <v>4</v>
      </c>
      <c r="AI351" s="37">
        <v>4</v>
      </c>
      <c r="AJ351" s="37">
        <v>4</v>
      </c>
      <c r="AK351" s="37">
        <v>4</v>
      </c>
      <c r="AL351" s="37">
        <v>4</v>
      </c>
      <c r="AM351" s="37">
        <v>10</v>
      </c>
      <c r="AN351" s="37">
        <v>10</v>
      </c>
      <c r="AO351" s="37">
        <v>10</v>
      </c>
      <c r="AP351" s="37">
        <v>10</v>
      </c>
      <c r="AQ351" s="37">
        <v>10</v>
      </c>
      <c r="AR351" s="37">
        <v>10</v>
      </c>
      <c r="AS351" s="37">
        <v>10</v>
      </c>
      <c r="AT351" s="37">
        <v>10</v>
      </c>
    </row>
    <row r="352" spans="3:46" s="37" customFormat="1" x14ac:dyDescent="0.25"/>
    <row r="353" spans="3:46" s="37" customFormat="1" x14ac:dyDescent="0.25">
      <c r="C353" s="37" t="s">
        <v>21</v>
      </c>
      <c r="D353" s="37">
        <v>9</v>
      </c>
      <c r="E353" s="37">
        <v>9</v>
      </c>
      <c r="F353" s="37">
        <v>9</v>
      </c>
      <c r="G353" s="37">
        <v>9</v>
      </c>
      <c r="H353" s="37">
        <v>9</v>
      </c>
      <c r="I353" s="37">
        <v>9</v>
      </c>
      <c r="J353" s="37">
        <v>8</v>
      </c>
      <c r="K353" s="37">
        <v>4</v>
      </c>
      <c r="L353" s="37">
        <v>4</v>
      </c>
      <c r="M353" s="37">
        <v>4</v>
      </c>
      <c r="N353" s="37">
        <v>4</v>
      </c>
      <c r="O353" s="37">
        <v>4</v>
      </c>
      <c r="P353" s="37">
        <v>4</v>
      </c>
      <c r="Q353" s="37">
        <v>7</v>
      </c>
      <c r="R353" s="37">
        <v>8</v>
      </c>
      <c r="S353" s="37">
        <v>9</v>
      </c>
      <c r="T353" s="37">
        <v>10</v>
      </c>
      <c r="U353" s="37">
        <v>10</v>
      </c>
      <c r="V353" s="37">
        <v>10</v>
      </c>
      <c r="W353" s="37">
        <v>10</v>
      </c>
      <c r="X353" s="37">
        <v>10</v>
      </c>
      <c r="Z353" s="37">
        <v>9</v>
      </c>
      <c r="AA353" s="37">
        <v>9</v>
      </c>
      <c r="AB353" s="37">
        <v>9</v>
      </c>
      <c r="AC353" s="37">
        <v>9</v>
      </c>
      <c r="AD353" s="37">
        <v>9</v>
      </c>
      <c r="AE353" s="37">
        <v>9</v>
      </c>
      <c r="AF353" s="37">
        <v>9</v>
      </c>
      <c r="AG353" s="37">
        <v>4</v>
      </c>
      <c r="AH353" s="37">
        <v>4</v>
      </c>
      <c r="AI353" s="37">
        <v>4</v>
      </c>
      <c r="AJ353" s="37">
        <v>4</v>
      </c>
      <c r="AK353" s="37">
        <v>4</v>
      </c>
      <c r="AL353" s="37">
        <v>4</v>
      </c>
      <c r="AM353" s="37">
        <v>10</v>
      </c>
      <c r="AN353" s="37">
        <v>10</v>
      </c>
      <c r="AO353" s="37">
        <v>10</v>
      </c>
      <c r="AP353" s="37">
        <v>10</v>
      </c>
      <c r="AQ353" s="37">
        <v>10</v>
      </c>
      <c r="AR353" s="37">
        <v>10</v>
      </c>
      <c r="AS353" s="37">
        <v>10</v>
      </c>
      <c r="AT353" s="37">
        <v>10</v>
      </c>
    </row>
    <row r="354" spans="3:46" s="37" customFormat="1" x14ac:dyDescent="0.25"/>
    <row r="355" spans="3:46" s="37" customFormat="1" x14ac:dyDescent="0.25">
      <c r="C355" s="37" t="s">
        <v>20</v>
      </c>
      <c r="D355" s="37">
        <v>9</v>
      </c>
      <c r="E355" s="37">
        <v>9</v>
      </c>
      <c r="F355" s="37">
        <v>9</v>
      </c>
      <c r="G355" s="37">
        <v>9</v>
      </c>
      <c r="H355" s="37">
        <v>9</v>
      </c>
      <c r="I355" s="37">
        <v>9</v>
      </c>
      <c r="J355" s="37">
        <v>8</v>
      </c>
      <c r="K355" s="37">
        <v>4</v>
      </c>
      <c r="L355" s="37">
        <v>4</v>
      </c>
      <c r="M355" s="37">
        <v>4</v>
      </c>
      <c r="N355" s="37">
        <v>4</v>
      </c>
      <c r="O355" s="37">
        <v>4</v>
      </c>
      <c r="P355" s="37">
        <v>4</v>
      </c>
      <c r="Q355" s="37">
        <v>7</v>
      </c>
      <c r="R355" s="37">
        <v>8</v>
      </c>
      <c r="S355" s="37">
        <v>9</v>
      </c>
      <c r="T355" s="37">
        <v>10</v>
      </c>
      <c r="U355" s="37">
        <v>10</v>
      </c>
      <c r="V355" s="37">
        <v>10</v>
      </c>
      <c r="W355" s="37">
        <v>10</v>
      </c>
      <c r="X355" s="37">
        <v>10</v>
      </c>
      <c r="Z355" s="37">
        <v>9</v>
      </c>
      <c r="AA355" s="37">
        <v>9</v>
      </c>
      <c r="AB355" s="37">
        <v>9</v>
      </c>
      <c r="AC355" s="37">
        <v>9</v>
      </c>
      <c r="AD355" s="37">
        <v>9</v>
      </c>
      <c r="AE355" s="37">
        <v>9</v>
      </c>
      <c r="AF355" s="37">
        <v>9</v>
      </c>
      <c r="AG355" s="37">
        <v>4</v>
      </c>
      <c r="AH355" s="37">
        <v>4</v>
      </c>
      <c r="AI355" s="37">
        <v>4</v>
      </c>
      <c r="AJ355" s="37">
        <v>4</v>
      </c>
      <c r="AK355" s="37">
        <v>4</v>
      </c>
      <c r="AL355" s="37">
        <v>4</v>
      </c>
      <c r="AM355" s="37">
        <v>11</v>
      </c>
      <c r="AN355" s="37">
        <v>11</v>
      </c>
      <c r="AO355" s="37">
        <v>11</v>
      </c>
      <c r="AP355" s="37">
        <v>11</v>
      </c>
      <c r="AQ355" s="37">
        <v>11</v>
      </c>
      <c r="AR355" s="37">
        <v>11</v>
      </c>
      <c r="AS355" s="37">
        <v>11</v>
      </c>
      <c r="AT355" s="37">
        <v>11</v>
      </c>
    </row>
    <row r="356" spans="3:46" s="37" customFormat="1" x14ac:dyDescent="0.25"/>
    <row r="357" spans="3:46" s="37" customFormat="1" x14ac:dyDescent="0.25">
      <c r="C357" s="37" t="s">
        <v>21</v>
      </c>
      <c r="D357" s="37">
        <v>7</v>
      </c>
      <c r="E357" s="37">
        <v>7</v>
      </c>
      <c r="F357" s="37">
        <v>7</v>
      </c>
      <c r="G357" s="37">
        <v>7</v>
      </c>
      <c r="H357" s="37">
        <v>7</v>
      </c>
      <c r="I357" s="37">
        <v>6</v>
      </c>
      <c r="J357" s="37">
        <v>6</v>
      </c>
      <c r="K357" s="37">
        <v>4</v>
      </c>
      <c r="L357" s="37">
        <v>4</v>
      </c>
      <c r="M357" s="37">
        <v>4</v>
      </c>
      <c r="N357" s="37">
        <v>4</v>
      </c>
      <c r="O357" s="37">
        <v>4</v>
      </c>
      <c r="P357" s="37">
        <v>4</v>
      </c>
      <c r="Q357" s="37">
        <v>4</v>
      </c>
      <c r="R357" s="37">
        <v>4</v>
      </c>
      <c r="S357" s="37">
        <v>5</v>
      </c>
      <c r="T357" s="37">
        <v>5</v>
      </c>
      <c r="U357" s="37">
        <v>6</v>
      </c>
      <c r="V357" s="37">
        <v>6</v>
      </c>
      <c r="W357" s="37">
        <v>6</v>
      </c>
      <c r="X357" s="37">
        <v>6</v>
      </c>
      <c r="Z357" s="37">
        <v>7</v>
      </c>
      <c r="AA357" s="37">
        <v>7</v>
      </c>
      <c r="AB357" s="37">
        <v>7</v>
      </c>
      <c r="AC357" s="37">
        <v>7</v>
      </c>
      <c r="AD357" s="37">
        <v>7</v>
      </c>
      <c r="AE357" s="37">
        <v>7</v>
      </c>
      <c r="AF357" s="37">
        <v>7</v>
      </c>
      <c r="AG357" s="37">
        <v>4</v>
      </c>
      <c r="AH357" s="37">
        <v>4</v>
      </c>
      <c r="AI357" s="37">
        <v>4</v>
      </c>
      <c r="AJ357" s="37">
        <v>4</v>
      </c>
      <c r="AK357" s="37">
        <v>4</v>
      </c>
      <c r="AL357" s="37">
        <v>4</v>
      </c>
      <c r="AM357" s="37">
        <v>6</v>
      </c>
      <c r="AN357" s="37">
        <v>6</v>
      </c>
      <c r="AO357" s="37">
        <v>6</v>
      </c>
      <c r="AP357" s="37">
        <v>6</v>
      </c>
      <c r="AQ357" s="37">
        <v>6</v>
      </c>
      <c r="AR357" s="37">
        <v>6</v>
      </c>
      <c r="AS357" s="37">
        <v>6</v>
      </c>
      <c r="AT357" s="37">
        <v>6</v>
      </c>
    </row>
    <row r="358" spans="3:46" s="37" customFormat="1" x14ac:dyDescent="0.25"/>
    <row r="359" spans="3:46" s="37" customFormat="1" x14ac:dyDescent="0.25">
      <c r="C359" s="37" t="s">
        <v>20</v>
      </c>
      <c r="D359" s="37">
        <v>9</v>
      </c>
      <c r="E359" s="37">
        <v>9</v>
      </c>
      <c r="F359" s="37">
        <v>9</v>
      </c>
      <c r="G359" s="37">
        <v>9</v>
      </c>
      <c r="H359" s="37">
        <v>9</v>
      </c>
      <c r="I359" s="37">
        <v>8</v>
      </c>
      <c r="J359" s="37">
        <v>7</v>
      </c>
      <c r="K359" s="37">
        <v>4</v>
      </c>
      <c r="L359" s="37">
        <v>4</v>
      </c>
      <c r="M359" s="37">
        <v>4</v>
      </c>
      <c r="N359" s="37">
        <v>3</v>
      </c>
      <c r="O359" s="37">
        <v>4</v>
      </c>
      <c r="P359" s="37">
        <v>4</v>
      </c>
      <c r="Q359" s="37">
        <v>7</v>
      </c>
      <c r="R359" s="37">
        <v>8</v>
      </c>
      <c r="S359" s="37">
        <v>9</v>
      </c>
      <c r="T359" s="37">
        <v>10</v>
      </c>
      <c r="U359" s="37">
        <v>11</v>
      </c>
      <c r="V359" s="37">
        <v>11</v>
      </c>
      <c r="W359" s="37">
        <v>11</v>
      </c>
      <c r="X359" s="37">
        <v>11</v>
      </c>
      <c r="Z359" s="37">
        <v>9</v>
      </c>
      <c r="AA359" s="37">
        <v>9</v>
      </c>
      <c r="AB359" s="37">
        <v>9</v>
      </c>
      <c r="AC359" s="37">
        <v>9</v>
      </c>
      <c r="AD359" s="37">
        <v>9</v>
      </c>
      <c r="AE359" s="37">
        <v>9</v>
      </c>
      <c r="AF359" s="37">
        <v>9</v>
      </c>
      <c r="AG359" s="37">
        <v>4</v>
      </c>
      <c r="AH359" s="37">
        <v>4</v>
      </c>
      <c r="AI359" s="37">
        <v>4</v>
      </c>
      <c r="AJ359" s="37">
        <v>4</v>
      </c>
      <c r="AK359" s="37">
        <v>4</v>
      </c>
      <c r="AL359" s="37">
        <v>4</v>
      </c>
      <c r="AM359" s="37">
        <v>12</v>
      </c>
      <c r="AN359" s="37">
        <v>12</v>
      </c>
      <c r="AO359" s="37">
        <v>12</v>
      </c>
      <c r="AP359" s="37">
        <v>12</v>
      </c>
      <c r="AQ359" s="37">
        <v>12</v>
      </c>
      <c r="AR359" s="37">
        <v>12</v>
      </c>
      <c r="AS359" s="37">
        <v>12</v>
      </c>
      <c r="AT359" s="37">
        <v>12</v>
      </c>
    </row>
    <row r="360" spans="3:46" s="37" customFormat="1" x14ac:dyDescent="0.25"/>
    <row r="361" spans="3:46" s="37" customFormat="1" x14ac:dyDescent="0.25">
      <c r="C361" s="37" t="s">
        <v>21</v>
      </c>
      <c r="D361" s="37">
        <v>6</v>
      </c>
      <c r="E361" s="37">
        <v>6</v>
      </c>
      <c r="F361" s="37">
        <v>6</v>
      </c>
      <c r="G361" s="37">
        <v>6</v>
      </c>
      <c r="H361" s="37">
        <v>5</v>
      </c>
      <c r="I361" s="37">
        <v>5</v>
      </c>
      <c r="J361" s="37">
        <v>4</v>
      </c>
      <c r="K361" s="37">
        <v>4</v>
      </c>
      <c r="L361" s="37">
        <v>4</v>
      </c>
      <c r="M361" s="37">
        <v>4</v>
      </c>
      <c r="N361" s="37">
        <v>4</v>
      </c>
      <c r="O361" s="37">
        <v>4</v>
      </c>
      <c r="P361" s="37">
        <v>4</v>
      </c>
      <c r="Q361" s="37">
        <v>4</v>
      </c>
      <c r="R361" s="37">
        <v>4</v>
      </c>
      <c r="S361" s="37">
        <v>4</v>
      </c>
      <c r="T361" s="37">
        <v>5</v>
      </c>
      <c r="U361" s="37">
        <v>5</v>
      </c>
      <c r="V361" s="37">
        <v>6</v>
      </c>
      <c r="W361" s="37">
        <v>6</v>
      </c>
      <c r="X361" s="37">
        <v>6</v>
      </c>
      <c r="Z361" s="37">
        <v>6</v>
      </c>
      <c r="AA361" s="37">
        <v>6</v>
      </c>
      <c r="AB361" s="37">
        <v>6</v>
      </c>
      <c r="AC361" s="37">
        <v>6</v>
      </c>
      <c r="AD361" s="37">
        <v>6</v>
      </c>
      <c r="AE361" s="37">
        <v>6</v>
      </c>
      <c r="AF361" s="37">
        <v>6</v>
      </c>
      <c r="AG361" s="37">
        <v>4</v>
      </c>
      <c r="AH361" s="37">
        <v>4</v>
      </c>
      <c r="AI361" s="37">
        <v>4</v>
      </c>
      <c r="AJ361" s="37">
        <v>4</v>
      </c>
      <c r="AK361" s="37">
        <v>4</v>
      </c>
      <c r="AL361" s="37">
        <v>4</v>
      </c>
      <c r="AM361" s="37">
        <v>6</v>
      </c>
      <c r="AN361" s="37">
        <v>6</v>
      </c>
      <c r="AO361" s="37">
        <v>6</v>
      </c>
      <c r="AP361" s="37">
        <v>6</v>
      </c>
      <c r="AQ361" s="37">
        <v>6</v>
      </c>
      <c r="AR361" s="37">
        <v>6</v>
      </c>
      <c r="AS361" s="37">
        <v>6</v>
      </c>
      <c r="AT361" s="37">
        <v>6</v>
      </c>
    </row>
    <row r="362" spans="3:46" s="37" customFormat="1" x14ac:dyDescent="0.25"/>
    <row r="363" spans="3:46" s="37" customFormat="1" x14ac:dyDescent="0.25">
      <c r="C363" s="37" t="s">
        <v>20</v>
      </c>
      <c r="D363" s="37">
        <v>10</v>
      </c>
      <c r="E363" s="37">
        <v>10</v>
      </c>
      <c r="F363" s="37">
        <v>10</v>
      </c>
      <c r="G363" s="37">
        <v>10</v>
      </c>
      <c r="H363" s="37">
        <v>10</v>
      </c>
      <c r="I363" s="37">
        <v>9</v>
      </c>
      <c r="J363" s="37">
        <v>8</v>
      </c>
      <c r="K363" s="37">
        <v>4</v>
      </c>
      <c r="L363" s="37">
        <v>4</v>
      </c>
      <c r="M363" s="37">
        <v>4</v>
      </c>
      <c r="N363" s="37">
        <v>3</v>
      </c>
      <c r="O363" s="37">
        <v>4</v>
      </c>
      <c r="P363" s="37">
        <v>4</v>
      </c>
      <c r="Q363" s="37">
        <v>7</v>
      </c>
      <c r="R363" s="37">
        <v>8</v>
      </c>
      <c r="S363" s="37">
        <v>9</v>
      </c>
      <c r="T363" s="37">
        <v>10</v>
      </c>
      <c r="U363" s="37">
        <v>11</v>
      </c>
      <c r="V363" s="37">
        <v>11</v>
      </c>
      <c r="W363" s="37">
        <v>11</v>
      </c>
      <c r="X363" s="37">
        <v>11</v>
      </c>
      <c r="Z363" s="37">
        <v>10</v>
      </c>
      <c r="AA363" s="37">
        <v>10</v>
      </c>
      <c r="AB363" s="37">
        <v>10</v>
      </c>
      <c r="AC363" s="37">
        <v>10</v>
      </c>
      <c r="AD363" s="37">
        <v>10</v>
      </c>
      <c r="AE363" s="37">
        <v>10</v>
      </c>
      <c r="AF363" s="37">
        <v>10</v>
      </c>
      <c r="AG363" s="37">
        <v>4</v>
      </c>
      <c r="AH363" s="37">
        <v>4</v>
      </c>
      <c r="AI363" s="37">
        <v>4</v>
      </c>
      <c r="AJ363" s="37">
        <v>4</v>
      </c>
      <c r="AK363" s="37">
        <v>4</v>
      </c>
      <c r="AL363" s="37">
        <v>4</v>
      </c>
      <c r="AM363" s="37">
        <v>12</v>
      </c>
      <c r="AN363" s="37">
        <v>12</v>
      </c>
      <c r="AO363" s="37">
        <v>12</v>
      </c>
      <c r="AP363" s="37">
        <v>12</v>
      </c>
      <c r="AQ363" s="37">
        <v>12</v>
      </c>
      <c r="AR363" s="37">
        <v>12</v>
      </c>
      <c r="AS363" s="37">
        <v>12</v>
      </c>
      <c r="AT363" s="37">
        <v>12</v>
      </c>
    </row>
    <row r="364" spans="3:46" s="37" customFormat="1" x14ac:dyDescent="0.25"/>
    <row r="365" spans="3:46" s="37" customFormat="1" x14ac:dyDescent="0.25">
      <c r="C365" s="37" t="s">
        <v>21</v>
      </c>
      <c r="D365" s="37">
        <v>5</v>
      </c>
      <c r="E365" s="37">
        <v>5</v>
      </c>
      <c r="F365" s="37">
        <v>5</v>
      </c>
      <c r="G365" s="37">
        <v>5</v>
      </c>
      <c r="H365" s="37">
        <v>5</v>
      </c>
      <c r="I365" s="37">
        <v>4</v>
      </c>
      <c r="J365" s="37">
        <v>4</v>
      </c>
      <c r="K365" s="37">
        <v>4</v>
      </c>
      <c r="L365" s="37">
        <v>4</v>
      </c>
      <c r="M365" s="37">
        <v>4</v>
      </c>
      <c r="N365" s="37">
        <v>4</v>
      </c>
      <c r="O365" s="37">
        <v>4</v>
      </c>
      <c r="P365" s="37">
        <v>4</v>
      </c>
      <c r="Q365" s="37">
        <v>4</v>
      </c>
      <c r="R365" s="37">
        <v>4</v>
      </c>
      <c r="S365" s="37">
        <v>4</v>
      </c>
      <c r="T365" s="37">
        <v>5</v>
      </c>
      <c r="U365" s="37">
        <v>5</v>
      </c>
      <c r="V365" s="37">
        <v>6</v>
      </c>
      <c r="W365" s="37">
        <v>6</v>
      </c>
      <c r="X365" s="37">
        <v>6</v>
      </c>
      <c r="Z365" s="37">
        <v>5</v>
      </c>
      <c r="AA365" s="37">
        <v>5</v>
      </c>
      <c r="AB365" s="37">
        <v>5</v>
      </c>
      <c r="AC365" s="37">
        <v>5</v>
      </c>
      <c r="AD365" s="37">
        <v>5</v>
      </c>
      <c r="AE365" s="37">
        <v>5</v>
      </c>
      <c r="AF365" s="37">
        <v>5</v>
      </c>
      <c r="AG365" s="37">
        <v>4</v>
      </c>
      <c r="AH365" s="37">
        <v>4</v>
      </c>
      <c r="AI365" s="37">
        <v>4</v>
      </c>
      <c r="AJ365" s="37">
        <v>4</v>
      </c>
      <c r="AK365" s="37">
        <v>4</v>
      </c>
      <c r="AL365" s="37">
        <v>4</v>
      </c>
      <c r="AM365" s="37">
        <v>6</v>
      </c>
      <c r="AN365" s="37">
        <v>6</v>
      </c>
      <c r="AO365" s="37">
        <v>6</v>
      </c>
      <c r="AP365" s="37">
        <v>6</v>
      </c>
      <c r="AQ365" s="37">
        <v>6</v>
      </c>
      <c r="AR365" s="37">
        <v>6</v>
      </c>
      <c r="AS365" s="37">
        <v>6</v>
      </c>
      <c r="AT365" s="37">
        <v>6</v>
      </c>
    </row>
    <row r="366" spans="3:46" s="37" customFormat="1" x14ac:dyDescent="0.25"/>
    <row r="367" spans="3:46" s="37" customFormat="1" x14ac:dyDescent="0.25">
      <c r="C367" s="37" t="s">
        <v>20</v>
      </c>
      <c r="D367" s="37">
        <v>8</v>
      </c>
      <c r="E367" s="37">
        <v>8</v>
      </c>
      <c r="F367" s="37">
        <v>8</v>
      </c>
      <c r="G367" s="37">
        <v>8</v>
      </c>
      <c r="H367" s="37">
        <v>8</v>
      </c>
      <c r="I367" s="37">
        <v>8</v>
      </c>
      <c r="J367" s="37">
        <v>8</v>
      </c>
      <c r="K367" s="37">
        <v>4</v>
      </c>
      <c r="L367" s="37">
        <v>4</v>
      </c>
      <c r="M367" s="37">
        <v>4</v>
      </c>
      <c r="N367" s="37">
        <v>4</v>
      </c>
      <c r="O367" s="37">
        <v>4</v>
      </c>
      <c r="P367" s="37">
        <v>4</v>
      </c>
      <c r="Q367" s="37">
        <v>8</v>
      </c>
      <c r="R367" s="37">
        <v>9</v>
      </c>
      <c r="S367" s="37">
        <v>10</v>
      </c>
      <c r="T367" s="37">
        <v>10</v>
      </c>
      <c r="U367" s="37">
        <v>10</v>
      </c>
      <c r="V367" s="37">
        <v>10</v>
      </c>
      <c r="W367" s="37">
        <v>10</v>
      </c>
      <c r="X367" s="37">
        <v>10</v>
      </c>
      <c r="Z367" s="37">
        <v>8</v>
      </c>
      <c r="AA367" s="37">
        <v>8</v>
      </c>
      <c r="AB367" s="37">
        <v>8</v>
      </c>
      <c r="AC367" s="37">
        <v>8</v>
      </c>
      <c r="AD367" s="37">
        <v>8</v>
      </c>
      <c r="AE367" s="37">
        <v>8</v>
      </c>
      <c r="AF367" s="37">
        <v>8</v>
      </c>
      <c r="AG367" s="37">
        <v>4</v>
      </c>
      <c r="AH367" s="37">
        <v>4</v>
      </c>
      <c r="AI367" s="37">
        <v>4</v>
      </c>
      <c r="AJ367" s="37">
        <v>4</v>
      </c>
      <c r="AK367" s="37">
        <v>4</v>
      </c>
      <c r="AL367" s="37">
        <v>4</v>
      </c>
      <c r="AM367" s="37">
        <v>10</v>
      </c>
      <c r="AN367" s="37">
        <v>10</v>
      </c>
      <c r="AO367" s="37">
        <v>10</v>
      </c>
      <c r="AP367" s="37">
        <v>10</v>
      </c>
      <c r="AQ367" s="37">
        <v>10</v>
      </c>
      <c r="AR367" s="37">
        <v>10</v>
      </c>
      <c r="AS367" s="37">
        <v>10</v>
      </c>
      <c r="AT367" s="37">
        <v>10</v>
      </c>
    </row>
    <row r="368" spans="3:46" s="37" customFormat="1" x14ac:dyDescent="0.25"/>
    <row r="369" spans="3:46" s="37" customFormat="1" x14ac:dyDescent="0.25">
      <c r="C369" s="37" t="s">
        <v>21</v>
      </c>
      <c r="D369" s="37">
        <v>6</v>
      </c>
      <c r="E369" s="37">
        <v>6</v>
      </c>
      <c r="F369" s="37">
        <v>6</v>
      </c>
      <c r="G369" s="37">
        <v>6</v>
      </c>
      <c r="H369" s="37">
        <v>6</v>
      </c>
      <c r="I369" s="37">
        <v>5</v>
      </c>
      <c r="J369" s="37">
        <v>5</v>
      </c>
      <c r="K369" s="37">
        <v>3</v>
      </c>
      <c r="L369" s="37">
        <v>3</v>
      </c>
      <c r="M369" s="37">
        <v>3</v>
      </c>
      <c r="N369" s="37">
        <v>3</v>
      </c>
      <c r="O369" s="37">
        <v>3</v>
      </c>
      <c r="P369" s="37">
        <v>3</v>
      </c>
      <c r="Q369" s="37">
        <v>4</v>
      </c>
      <c r="R369" s="37">
        <v>4</v>
      </c>
      <c r="S369" s="37">
        <v>5</v>
      </c>
      <c r="T369" s="37">
        <v>5</v>
      </c>
      <c r="U369" s="37">
        <v>6</v>
      </c>
      <c r="V369" s="37">
        <v>6</v>
      </c>
      <c r="W369" s="37">
        <v>6</v>
      </c>
      <c r="X369" s="37">
        <v>6</v>
      </c>
      <c r="Z369" s="37">
        <v>6</v>
      </c>
      <c r="AA369" s="37">
        <v>6</v>
      </c>
      <c r="AB369" s="37">
        <v>6</v>
      </c>
      <c r="AC369" s="37">
        <v>6</v>
      </c>
      <c r="AD369" s="37">
        <v>6</v>
      </c>
      <c r="AE369" s="37">
        <v>6</v>
      </c>
      <c r="AF369" s="37">
        <v>6</v>
      </c>
      <c r="AG369" s="37">
        <v>3</v>
      </c>
      <c r="AH369" s="37">
        <v>3</v>
      </c>
      <c r="AI369" s="37">
        <v>3</v>
      </c>
      <c r="AJ369" s="37">
        <v>3</v>
      </c>
      <c r="AK369" s="37">
        <v>3</v>
      </c>
      <c r="AL369" s="37">
        <v>3</v>
      </c>
      <c r="AM369" s="37">
        <v>6</v>
      </c>
      <c r="AN369" s="37">
        <v>6</v>
      </c>
      <c r="AO369" s="37">
        <v>6</v>
      </c>
      <c r="AP369" s="37">
        <v>6</v>
      </c>
      <c r="AQ369" s="37">
        <v>6</v>
      </c>
      <c r="AR369" s="37">
        <v>6</v>
      </c>
      <c r="AS369" s="37">
        <v>6</v>
      </c>
      <c r="AT369" s="37">
        <v>6</v>
      </c>
    </row>
    <row r="370" spans="3:46" s="37" customFormat="1" x14ac:dyDescent="0.25"/>
    <row r="371" spans="3:46" s="37" customFormat="1" x14ac:dyDescent="0.25">
      <c r="C371" s="37" t="s">
        <v>20</v>
      </c>
      <c r="D371" s="37">
        <v>10</v>
      </c>
      <c r="E371" s="37">
        <v>10</v>
      </c>
      <c r="F371" s="37">
        <v>10</v>
      </c>
      <c r="G371" s="37">
        <v>10</v>
      </c>
      <c r="H371" s="37">
        <v>10</v>
      </c>
      <c r="I371" s="37">
        <v>10</v>
      </c>
      <c r="J371" s="37">
        <v>10</v>
      </c>
      <c r="K371" s="37">
        <v>4</v>
      </c>
      <c r="L371" s="37">
        <v>4</v>
      </c>
      <c r="M371" s="37">
        <v>4</v>
      </c>
      <c r="N371" s="37">
        <v>4</v>
      </c>
      <c r="O371" s="37">
        <v>4</v>
      </c>
      <c r="P371" s="37">
        <v>4</v>
      </c>
      <c r="Q371" s="37">
        <v>6</v>
      </c>
      <c r="R371" s="37">
        <v>7</v>
      </c>
      <c r="S371" s="37">
        <v>8</v>
      </c>
      <c r="T371" s="37">
        <v>8</v>
      </c>
      <c r="U371" s="37">
        <v>8</v>
      </c>
      <c r="V371" s="37">
        <v>8</v>
      </c>
      <c r="W371" s="37">
        <v>8</v>
      </c>
      <c r="X371" s="37">
        <v>8</v>
      </c>
      <c r="Z371" s="37">
        <v>10</v>
      </c>
      <c r="AA371" s="37">
        <v>10</v>
      </c>
      <c r="AB371" s="37">
        <v>10</v>
      </c>
      <c r="AC371" s="37">
        <v>10</v>
      </c>
      <c r="AD371" s="37">
        <v>10</v>
      </c>
      <c r="AE371" s="37">
        <v>10</v>
      </c>
      <c r="AF371" s="37">
        <v>10</v>
      </c>
      <c r="AG371" s="37">
        <v>4</v>
      </c>
      <c r="AH371" s="37">
        <v>4</v>
      </c>
      <c r="AI371" s="37">
        <v>4</v>
      </c>
      <c r="AJ371" s="37">
        <v>4</v>
      </c>
      <c r="AK371" s="37">
        <v>4</v>
      </c>
      <c r="AL371" s="37">
        <v>4</v>
      </c>
      <c r="AM371" s="37">
        <v>8</v>
      </c>
      <c r="AN371" s="37">
        <v>8</v>
      </c>
      <c r="AO371" s="37">
        <v>8</v>
      </c>
      <c r="AP371" s="37">
        <v>8</v>
      </c>
      <c r="AQ371" s="37">
        <v>8</v>
      </c>
      <c r="AR371" s="37">
        <v>8</v>
      </c>
      <c r="AS371" s="37">
        <v>8</v>
      </c>
      <c r="AT371" s="37">
        <v>8</v>
      </c>
    </row>
    <row r="372" spans="3:46" s="37" customFormat="1" x14ac:dyDescent="0.25"/>
    <row r="373" spans="3:46" s="37" customFormat="1" x14ac:dyDescent="0.25">
      <c r="C373" s="37" t="s">
        <v>21</v>
      </c>
      <c r="D373" s="37">
        <v>7</v>
      </c>
      <c r="E373" s="37">
        <v>7</v>
      </c>
      <c r="F373" s="37">
        <v>7</v>
      </c>
      <c r="G373" s="37">
        <v>7</v>
      </c>
      <c r="H373" s="37">
        <v>7</v>
      </c>
      <c r="I373" s="37">
        <v>6</v>
      </c>
      <c r="J373" s="37">
        <v>6</v>
      </c>
      <c r="K373" s="37">
        <v>3</v>
      </c>
      <c r="L373" s="37">
        <v>3</v>
      </c>
      <c r="M373" s="37">
        <v>3</v>
      </c>
      <c r="N373" s="37">
        <v>3</v>
      </c>
      <c r="O373" s="37">
        <v>3</v>
      </c>
      <c r="P373" s="37">
        <v>3</v>
      </c>
      <c r="Q373" s="37">
        <v>5</v>
      </c>
      <c r="R373" s="37">
        <v>6</v>
      </c>
      <c r="S373" s="37">
        <v>7</v>
      </c>
      <c r="T373" s="37">
        <v>8</v>
      </c>
      <c r="U373" s="37">
        <v>9</v>
      </c>
      <c r="V373" s="37">
        <v>9</v>
      </c>
      <c r="W373" s="37">
        <v>9</v>
      </c>
      <c r="X373" s="37">
        <v>9</v>
      </c>
      <c r="Z373" s="37">
        <v>7</v>
      </c>
      <c r="AA373" s="37">
        <v>7</v>
      </c>
      <c r="AB373" s="37">
        <v>7</v>
      </c>
      <c r="AC373" s="37">
        <v>7</v>
      </c>
      <c r="AD373" s="37">
        <v>7</v>
      </c>
      <c r="AE373" s="37">
        <v>7</v>
      </c>
      <c r="AF373" s="37">
        <v>7</v>
      </c>
      <c r="AG373" s="37">
        <v>3</v>
      </c>
      <c r="AH373" s="37">
        <v>3</v>
      </c>
      <c r="AI373" s="37">
        <v>3</v>
      </c>
      <c r="AJ373" s="37">
        <v>3</v>
      </c>
      <c r="AK373" s="37">
        <v>3</v>
      </c>
      <c r="AL373" s="37">
        <v>3</v>
      </c>
      <c r="AM373" s="37">
        <v>9</v>
      </c>
      <c r="AN373" s="37">
        <v>9</v>
      </c>
      <c r="AO373" s="37">
        <v>9</v>
      </c>
      <c r="AP373" s="37">
        <v>9</v>
      </c>
      <c r="AQ373" s="37">
        <v>9</v>
      </c>
      <c r="AR373" s="37">
        <v>9</v>
      </c>
      <c r="AS373" s="37">
        <v>9</v>
      </c>
      <c r="AT373" s="37">
        <v>9</v>
      </c>
    </row>
    <row r="374" spans="3:46" s="37" customFormat="1" x14ac:dyDescent="0.25"/>
    <row r="375" spans="3:46" s="37" customFormat="1" x14ac:dyDescent="0.25">
      <c r="C375" s="37" t="s">
        <v>20</v>
      </c>
      <c r="D375" s="37">
        <v>10</v>
      </c>
      <c r="E375" s="37">
        <v>10</v>
      </c>
      <c r="F375" s="37">
        <v>10</v>
      </c>
      <c r="G375" s="37">
        <v>10</v>
      </c>
      <c r="H375" s="37">
        <v>10</v>
      </c>
      <c r="I375" s="37">
        <v>10</v>
      </c>
      <c r="J375" s="37">
        <v>10</v>
      </c>
      <c r="K375" s="37">
        <v>4</v>
      </c>
      <c r="L375" s="37">
        <v>4</v>
      </c>
      <c r="M375" s="37">
        <v>4</v>
      </c>
      <c r="N375" s="37">
        <v>4</v>
      </c>
      <c r="O375" s="37">
        <v>4</v>
      </c>
      <c r="P375" s="37">
        <v>4</v>
      </c>
      <c r="Q375" s="37">
        <v>9</v>
      </c>
      <c r="R375" s="37">
        <v>10</v>
      </c>
      <c r="S375" s="37">
        <v>10</v>
      </c>
      <c r="T375" s="37">
        <v>10</v>
      </c>
      <c r="U375" s="37">
        <v>10</v>
      </c>
      <c r="V375" s="37">
        <v>10</v>
      </c>
      <c r="W375" s="37">
        <v>10</v>
      </c>
      <c r="X375" s="37">
        <v>10</v>
      </c>
      <c r="Z375" s="37">
        <v>10</v>
      </c>
      <c r="AA375" s="37">
        <v>10</v>
      </c>
      <c r="AB375" s="37">
        <v>10</v>
      </c>
      <c r="AC375" s="37">
        <v>10</v>
      </c>
      <c r="AD375" s="37">
        <v>10</v>
      </c>
      <c r="AE375" s="37">
        <v>10</v>
      </c>
      <c r="AF375" s="37">
        <v>10</v>
      </c>
      <c r="AG375" s="37">
        <v>4</v>
      </c>
      <c r="AH375" s="37">
        <v>4</v>
      </c>
      <c r="AI375" s="37">
        <v>4</v>
      </c>
      <c r="AJ375" s="37">
        <v>4</v>
      </c>
      <c r="AK375" s="37">
        <v>4</v>
      </c>
      <c r="AL375" s="37">
        <v>4</v>
      </c>
      <c r="AM375" s="37">
        <v>10</v>
      </c>
      <c r="AN375" s="37">
        <v>10</v>
      </c>
      <c r="AO375" s="37">
        <v>10</v>
      </c>
      <c r="AP375" s="37">
        <v>10</v>
      </c>
      <c r="AQ375" s="37">
        <v>10</v>
      </c>
      <c r="AR375" s="37">
        <v>10</v>
      </c>
      <c r="AS375" s="37">
        <v>10</v>
      </c>
      <c r="AT375" s="37">
        <v>10</v>
      </c>
    </row>
    <row r="376" spans="3:46" s="37" customFormat="1" x14ac:dyDescent="0.25"/>
    <row r="377" spans="3:46" s="37" customFormat="1" x14ac:dyDescent="0.25">
      <c r="C377" s="37" t="s">
        <v>21</v>
      </c>
      <c r="D377" s="37">
        <v>9</v>
      </c>
      <c r="E377" s="37">
        <v>9</v>
      </c>
      <c r="F377" s="37">
        <v>9</v>
      </c>
      <c r="G377" s="37">
        <v>9</v>
      </c>
      <c r="H377" s="37">
        <v>9</v>
      </c>
      <c r="I377" s="37">
        <v>9</v>
      </c>
      <c r="J377" s="37">
        <v>8</v>
      </c>
      <c r="K377" s="37">
        <v>4</v>
      </c>
      <c r="L377" s="37">
        <v>4</v>
      </c>
      <c r="M377" s="37">
        <v>4</v>
      </c>
      <c r="N377" s="37">
        <v>4</v>
      </c>
      <c r="O377" s="37">
        <v>4</v>
      </c>
      <c r="P377" s="37">
        <v>4</v>
      </c>
      <c r="Q377" s="37">
        <v>6</v>
      </c>
      <c r="R377" s="37">
        <v>7</v>
      </c>
      <c r="S377" s="37">
        <v>8</v>
      </c>
      <c r="T377" s="37">
        <v>9</v>
      </c>
      <c r="U377" s="37">
        <v>9</v>
      </c>
      <c r="V377" s="37">
        <v>9</v>
      </c>
      <c r="W377" s="37">
        <v>9</v>
      </c>
      <c r="X377" s="37">
        <v>9</v>
      </c>
      <c r="Z377" s="37">
        <v>9</v>
      </c>
      <c r="AA377" s="37">
        <v>9</v>
      </c>
      <c r="AB377" s="37">
        <v>9</v>
      </c>
      <c r="AC377" s="37">
        <v>9</v>
      </c>
      <c r="AD377" s="37">
        <v>9</v>
      </c>
      <c r="AE377" s="37">
        <v>9</v>
      </c>
      <c r="AF377" s="37">
        <v>9</v>
      </c>
      <c r="AG377" s="37">
        <v>4</v>
      </c>
      <c r="AH377" s="37">
        <v>4</v>
      </c>
      <c r="AI377" s="37">
        <v>4</v>
      </c>
      <c r="AJ377" s="37">
        <v>4</v>
      </c>
      <c r="AK377" s="37">
        <v>4</v>
      </c>
      <c r="AL377" s="37">
        <v>4</v>
      </c>
      <c r="AM377" s="37">
        <v>9</v>
      </c>
      <c r="AN377" s="37">
        <v>9</v>
      </c>
      <c r="AO377" s="37">
        <v>9</v>
      </c>
      <c r="AP377" s="37">
        <v>9</v>
      </c>
      <c r="AQ377" s="37">
        <v>9</v>
      </c>
      <c r="AR377" s="37">
        <v>9</v>
      </c>
      <c r="AS377" s="37">
        <v>9</v>
      </c>
      <c r="AT377" s="37">
        <v>9</v>
      </c>
    </row>
    <row r="378" spans="3:46" s="37" customFormat="1" x14ac:dyDescent="0.25"/>
    <row r="379" spans="3:46" s="37" customFormat="1" x14ac:dyDescent="0.25">
      <c r="C379" s="37" t="s">
        <v>20</v>
      </c>
      <c r="D379" s="37">
        <v>8</v>
      </c>
      <c r="E379" s="37">
        <v>8</v>
      </c>
      <c r="F379" s="37">
        <v>8</v>
      </c>
      <c r="G379" s="37">
        <v>8</v>
      </c>
      <c r="H379" s="37">
        <v>8</v>
      </c>
      <c r="I379" s="37">
        <v>8</v>
      </c>
      <c r="J379" s="37">
        <v>8</v>
      </c>
      <c r="K379" s="37">
        <v>5</v>
      </c>
      <c r="L379" s="37">
        <v>5</v>
      </c>
      <c r="M379" s="37">
        <v>5</v>
      </c>
      <c r="N379" s="37">
        <v>5</v>
      </c>
      <c r="O379" s="37">
        <v>5</v>
      </c>
      <c r="P379" s="37">
        <v>5</v>
      </c>
      <c r="Q379" s="37">
        <v>10</v>
      </c>
      <c r="R379" s="37">
        <v>11</v>
      </c>
      <c r="S379" s="37">
        <v>12</v>
      </c>
      <c r="T379" s="37">
        <v>12</v>
      </c>
      <c r="U379" s="37">
        <v>12</v>
      </c>
      <c r="V379" s="37">
        <v>12</v>
      </c>
      <c r="W379" s="37">
        <v>12</v>
      </c>
      <c r="X379" s="37">
        <v>12</v>
      </c>
      <c r="Z379" s="37">
        <v>8</v>
      </c>
      <c r="AA379" s="37">
        <v>8</v>
      </c>
      <c r="AB379" s="37">
        <v>8</v>
      </c>
      <c r="AC379" s="37">
        <v>8</v>
      </c>
      <c r="AD379" s="37">
        <v>8</v>
      </c>
      <c r="AE379" s="37">
        <v>8</v>
      </c>
      <c r="AF379" s="37">
        <v>8</v>
      </c>
      <c r="AG379" s="37">
        <v>5</v>
      </c>
      <c r="AH379" s="37">
        <v>5</v>
      </c>
      <c r="AI379" s="37">
        <v>5</v>
      </c>
      <c r="AJ379" s="37">
        <v>5</v>
      </c>
      <c r="AK379" s="37">
        <v>5</v>
      </c>
      <c r="AL379" s="37">
        <v>5</v>
      </c>
      <c r="AM379" s="37">
        <v>13</v>
      </c>
      <c r="AN379" s="37">
        <v>13</v>
      </c>
      <c r="AO379" s="37">
        <v>13</v>
      </c>
      <c r="AP379" s="37">
        <v>13</v>
      </c>
      <c r="AQ379" s="37">
        <v>13</v>
      </c>
      <c r="AR379" s="37">
        <v>13</v>
      </c>
      <c r="AS379" s="37">
        <v>13</v>
      </c>
      <c r="AT379" s="37">
        <v>13</v>
      </c>
    </row>
    <row r="380" spans="3:46" s="37" customFormat="1" x14ac:dyDescent="0.25"/>
    <row r="381" spans="3:46" s="37" customFormat="1" x14ac:dyDescent="0.25">
      <c r="C381" s="37" t="s">
        <v>21</v>
      </c>
      <c r="D381" s="37">
        <v>9</v>
      </c>
      <c r="E381" s="37">
        <v>9</v>
      </c>
      <c r="F381" s="37">
        <v>9</v>
      </c>
      <c r="G381" s="37">
        <v>9</v>
      </c>
      <c r="H381" s="37">
        <v>9</v>
      </c>
      <c r="I381" s="37">
        <v>8</v>
      </c>
      <c r="J381" s="37">
        <v>7</v>
      </c>
      <c r="K381" s="37">
        <v>4</v>
      </c>
      <c r="L381" s="37">
        <v>4</v>
      </c>
      <c r="M381" s="37">
        <v>4</v>
      </c>
      <c r="N381" s="37">
        <v>4</v>
      </c>
      <c r="O381" s="37">
        <v>4</v>
      </c>
      <c r="P381" s="37">
        <v>4</v>
      </c>
      <c r="Q381" s="37">
        <v>4</v>
      </c>
      <c r="R381" s="37">
        <v>5</v>
      </c>
      <c r="S381" s="37">
        <v>6</v>
      </c>
      <c r="T381" s="37">
        <v>6</v>
      </c>
      <c r="U381" s="37">
        <v>7</v>
      </c>
      <c r="V381" s="37">
        <v>7</v>
      </c>
      <c r="W381" s="37">
        <v>7</v>
      </c>
      <c r="X381" s="37">
        <v>7</v>
      </c>
      <c r="Z381" s="37">
        <v>9</v>
      </c>
      <c r="AA381" s="37">
        <v>9</v>
      </c>
      <c r="AB381" s="37">
        <v>9</v>
      </c>
      <c r="AC381" s="37">
        <v>9</v>
      </c>
      <c r="AD381" s="37">
        <v>9</v>
      </c>
      <c r="AE381" s="37">
        <v>9</v>
      </c>
      <c r="AF381" s="37">
        <v>9</v>
      </c>
      <c r="AG381" s="37">
        <v>4</v>
      </c>
      <c r="AH381" s="37">
        <v>4</v>
      </c>
      <c r="AI381" s="37">
        <v>4</v>
      </c>
      <c r="AJ381" s="37">
        <v>4</v>
      </c>
      <c r="AK381" s="37">
        <v>4</v>
      </c>
      <c r="AL381" s="37">
        <v>4</v>
      </c>
      <c r="AM381" s="37">
        <v>7</v>
      </c>
      <c r="AN381" s="37">
        <v>7</v>
      </c>
      <c r="AO381" s="37">
        <v>7</v>
      </c>
      <c r="AP381" s="37">
        <v>7</v>
      </c>
      <c r="AQ381" s="37">
        <v>7</v>
      </c>
      <c r="AR381" s="37">
        <v>7</v>
      </c>
      <c r="AS381" s="37">
        <v>7</v>
      </c>
      <c r="AT381" s="37">
        <v>7</v>
      </c>
    </row>
    <row r="382" spans="3:46" s="37" customFormat="1" x14ac:dyDescent="0.25"/>
    <row r="383" spans="3:46" s="37" customFormat="1" x14ac:dyDescent="0.25">
      <c r="C383" s="37" t="s">
        <v>20</v>
      </c>
      <c r="D383" s="37">
        <v>11</v>
      </c>
      <c r="E383" s="37">
        <v>11</v>
      </c>
      <c r="F383" s="37">
        <v>11</v>
      </c>
      <c r="G383" s="37">
        <v>11</v>
      </c>
      <c r="H383" s="37">
        <v>11</v>
      </c>
      <c r="I383" s="37">
        <v>11</v>
      </c>
      <c r="J383" s="37">
        <v>10</v>
      </c>
      <c r="K383" s="37">
        <v>4</v>
      </c>
      <c r="L383" s="37">
        <v>4</v>
      </c>
      <c r="M383" s="37">
        <v>4</v>
      </c>
      <c r="N383" s="37">
        <v>4</v>
      </c>
      <c r="O383" s="37">
        <v>4</v>
      </c>
      <c r="P383" s="37">
        <v>4</v>
      </c>
      <c r="Q383" s="37">
        <v>6</v>
      </c>
      <c r="R383" s="37">
        <v>7</v>
      </c>
      <c r="S383" s="37">
        <v>8</v>
      </c>
      <c r="T383" s="37">
        <v>9</v>
      </c>
      <c r="U383" s="37">
        <v>9</v>
      </c>
      <c r="V383" s="37">
        <v>9</v>
      </c>
      <c r="W383" s="37">
        <v>9</v>
      </c>
      <c r="X383" s="37">
        <v>9</v>
      </c>
      <c r="Z383" s="37">
        <v>11</v>
      </c>
      <c r="AA383" s="37">
        <v>11</v>
      </c>
      <c r="AB383" s="37">
        <v>11</v>
      </c>
      <c r="AC383" s="37">
        <v>11</v>
      </c>
      <c r="AD383" s="37">
        <v>11</v>
      </c>
      <c r="AE383" s="37">
        <v>11</v>
      </c>
      <c r="AF383" s="37">
        <v>11</v>
      </c>
      <c r="AG383" s="37">
        <v>4</v>
      </c>
      <c r="AH383" s="37">
        <v>4</v>
      </c>
      <c r="AI383" s="37">
        <v>4</v>
      </c>
      <c r="AJ383" s="37">
        <v>4</v>
      </c>
      <c r="AK383" s="37">
        <v>4</v>
      </c>
      <c r="AL383" s="37">
        <v>4</v>
      </c>
      <c r="AM383" s="37">
        <v>9</v>
      </c>
      <c r="AN383" s="37">
        <v>9</v>
      </c>
      <c r="AO383" s="37">
        <v>9</v>
      </c>
      <c r="AP383" s="37">
        <v>9</v>
      </c>
      <c r="AQ383" s="37">
        <v>9</v>
      </c>
      <c r="AR383" s="37">
        <v>9</v>
      </c>
      <c r="AS383" s="37">
        <v>9</v>
      </c>
      <c r="AT383" s="37">
        <v>9</v>
      </c>
    </row>
    <row r="384" spans="3:46" s="37" customFormat="1" x14ac:dyDescent="0.25"/>
    <row r="385" spans="3:46" s="37" customFormat="1" x14ac:dyDescent="0.25">
      <c r="C385" s="37" t="s">
        <v>21</v>
      </c>
      <c r="D385" s="37">
        <v>8</v>
      </c>
      <c r="E385" s="37">
        <v>8</v>
      </c>
      <c r="F385" s="37">
        <v>8</v>
      </c>
      <c r="G385" s="37">
        <v>8</v>
      </c>
      <c r="H385" s="37">
        <v>8</v>
      </c>
      <c r="I385" s="37">
        <v>8</v>
      </c>
      <c r="J385" s="37">
        <v>7</v>
      </c>
      <c r="K385" s="37">
        <v>4</v>
      </c>
      <c r="L385" s="37">
        <v>4</v>
      </c>
      <c r="M385" s="37">
        <v>4</v>
      </c>
      <c r="N385" s="37">
        <v>4</v>
      </c>
      <c r="O385" s="37">
        <v>4</v>
      </c>
      <c r="P385" s="37">
        <v>4</v>
      </c>
      <c r="Q385" s="37">
        <v>6</v>
      </c>
      <c r="R385" s="37">
        <v>7</v>
      </c>
      <c r="S385" s="37">
        <v>8</v>
      </c>
      <c r="T385" s="37">
        <v>9</v>
      </c>
      <c r="U385" s="37">
        <v>9</v>
      </c>
      <c r="V385" s="37">
        <v>9</v>
      </c>
      <c r="W385" s="37">
        <v>9</v>
      </c>
      <c r="X385" s="37">
        <v>9</v>
      </c>
      <c r="Z385" s="37">
        <v>8</v>
      </c>
      <c r="AA385" s="37">
        <v>8</v>
      </c>
      <c r="AB385" s="37">
        <v>8</v>
      </c>
      <c r="AC385" s="37">
        <v>8</v>
      </c>
      <c r="AD385" s="37">
        <v>8</v>
      </c>
      <c r="AE385" s="37">
        <v>8</v>
      </c>
      <c r="AF385" s="37">
        <v>8</v>
      </c>
      <c r="AG385" s="37">
        <v>4</v>
      </c>
      <c r="AH385" s="37">
        <v>4</v>
      </c>
      <c r="AI385" s="37">
        <v>4</v>
      </c>
      <c r="AJ385" s="37">
        <v>4</v>
      </c>
      <c r="AK385" s="37">
        <v>4</v>
      </c>
      <c r="AL385" s="37">
        <v>4</v>
      </c>
      <c r="AM385" s="37">
        <v>9</v>
      </c>
      <c r="AN385" s="37">
        <v>9</v>
      </c>
      <c r="AO385" s="37">
        <v>9</v>
      </c>
      <c r="AP385" s="37">
        <v>9</v>
      </c>
      <c r="AQ385" s="37">
        <v>9</v>
      </c>
      <c r="AR385" s="37">
        <v>9</v>
      </c>
      <c r="AS385" s="37">
        <v>9</v>
      </c>
      <c r="AT385" s="37">
        <v>9</v>
      </c>
    </row>
    <row r="386" spans="3:46" s="37" customFormat="1" x14ac:dyDescent="0.25"/>
    <row r="387" spans="3:46" s="37" customFormat="1" x14ac:dyDescent="0.25">
      <c r="C387" s="37" t="s">
        <v>20</v>
      </c>
      <c r="D387" s="37">
        <v>11</v>
      </c>
      <c r="E387" s="37">
        <v>11</v>
      </c>
      <c r="F387" s="37">
        <v>11</v>
      </c>
      <c r="G387" s="37">
        <v>11</v>
      </c>
      <c r="H387" s="37">
        <v>11</v>
      </c>
      <c r="I387" s="37">
        <v>10</v>
      </c>
      <c r="J387" s="37">
        <v>9</v>
      </c>
      <c r="K387" s="37">
        <v>4</v>
      </c>
      <c r="L387" s="37">
        <v>4</v>
      </c>
      <c r="M387" s="37">
        <v>4</v>
      </c>
      <c r="N387" s="37">
        <v>4</v>
      </c>
      <c r="O387" s="37">
        <v>4</v>
      </c>
      <c r="P387" s="37">
        <v>4</v>
      </c>
      <c r="Q387" s="37">
        <v>5</v>
      </c>
      <c r="R387" s="37">
        <v>6</v>
      </c>
      <c r="S387" s="37">
        <v>6</v>
      </c>
      <c r="T387" s="37">
        <v>7</v>
      </c>
      <c r="U387" s="37">
        <v>7</v>
      </c>
      <c r="V387" s="37">
        <v>7</v>
      </c>
      <c r="W387" s="37">
        <v>7</v>
      </c>
      <c r="X387" s="37">
        <v>7</v>
      </c>
      <c r="Z387" s="37">
        <v>11</v>
      </c>
      <c r="AA387" s="37">
        <v>11</v>
      </c>
      <c r="AB387" s="37">
        <v>11</v>
      </c>
      <c r="AC387" s="37">
        <v>11</v>
      </c>
      <c r="AD387" s="37">
        <v>11</v>
      </c>
      <c r="AE387" s="37">
        <v>11</v>
      </c>
      <c r="AF387" s="37">
        <v>11</v>
      </c>
      <c r="AG387" s="37">
        <v>4</v>
      </c>
      <c r="AH387" s="37">
        <v>4</v>
      </c>
      <c r="AI387" s="37">
        <v>4</v>
      </c>
      <c r="AJ387" s="37">
        <v>4</v>
      </c>
      <c r="AK387" s="37">
        <v>4</v>
      </c>
      <c r="AL387" s="37">
        <v>4</v>
      </c>
      <c r="AM387" s="37">
        <v>7</v>
      </c>
      <c r="AN387" s="37">
        <v>7</v>
      </c>
      <c r="AO387" s="37">
        <v>7</v>
      </c>
      <c r="AP387" s="37">
        <v>7</v>
      </c>
      <c r="AQ387" s="37">
        <v>7</v>
      </c>
      <c r="AR387" s="37">
        <v>7</v>
      </c>
      <c r="AS387" s="37">
        <v>7</v>
      </c>
      <c r="AT387" s="37">
        <v>7</v>
      </c>
    </row>
    <row r="388" spans="3:46" s="37" customFormat="1" x14ac:dyDescent="0.25"/>
    <row r="389" spans="3:46" s="37" customFormat="1" x14ac:dyDescent="0.25">
      <c r="C389" s="37" t="s">
        <v>21</v>
      </c>
      <c r="D389" s="37">
        <v>6</v>
      </c>
      <c r="E389" s="37">
        <v>6</v>
      </c>
      <c r="F389" s="37">
        <v>6</v>
      </c>
      <c r="G389" s="37">
        <v>6</v>
      </c>
      <c r="H389" s="37">
        <v>6</v>
      </c>
      <c r="I389" s="37">
        <v>6</v>
      </c>
      <c r="J389" s="37">
        <v>5</v>
      </c>
      <c r="K389" s="37">
        <v>3</v>
      </c>
      <c r="L389" s="37">
        <v>3</v>
      </c>
      <c r="M389" s="37">
        <v>3</v>
      </c>
      <c r="N389" s="37">
        <v>3</v>
      </c>
      <c r="O389" s="37">
        <v>3</v>
      </c>
      <c r="P389" s="37">
        <v>3</v>
      </c>
      <c r="Q389" s="37">
        <v>6</v>
      </c>
      <c r="R389" s="37">
        <v>6</v>
      </c>
      <c r="S389" s="37">
        <v>7</v>
      </c>
      <c r="T389" s="37">
        <v>8</v>
      </c>
      <c r="U389" s="37">
        <v>8</v>
      </c>
      <c r="V389" s="37">
        <v>8</v>
      </c>
      <c r="W389" s="37">
        <v>8</v>
      </c>
      <c r="X389" s="37">
        <v>8</v>
      </c>
      <c r="Z389" s="37">
        <v>6</v>
      </c>
      <c r="AA389" s="37">
        <v>6</v>
      </c>
      <c r="AB389" s="37">
        <v>6</v>
      </c>
      <c r="AC389" s="37">
        <v>6</v>
      </c>
      <c r="AD389" s="37">
        <v>6</v>
      </c>
      <c r="AE389" s="37">
        <v>6</v>
      </c>
      <c r="AF389" s="37">
        <v>6</v>
      </c>
      <c r="AG389" s="37">
        <v>3</v>
      </c>
      <c r="AH389" s="37">
        <v>3</v>
      </c>
      <c r="AI389" s="37">
        <v>3</v>
      </c>
      <c r="AJ389" s="37">
        <v>3</v>
      </c>
      <c r="AK389" s="37">
        <v>3</v>
      </c>
      <c r="AL389" s="37">
        <v>3</v>
      </c>
      <c r="AM389" s="37">
        <v>8</v>
      </c>
      <c r="AN389" s="37">
        <v>8</v>
      </c>
      <c r="AO389" s="37">
        <v>8</v>
      </c>
      <c r="AP389" s="37">
        <v>8</v>
      </c>
      <c r="AQ389" s="37">
        <v>8</v>
      </c>
      <c r="AR389" s="37">
        <v>8</v>
      </c>
      <c r="AS389" s="37">
        <v>8</v>
      </c>
      <c r="AT389" s="37">
        <v>8</v>
      </c>
    </row>
    <row r="390" spans="3:46" s="37" customFormat="1" x14ac:dyDescent="0.25"/>
    <row r="391" spans="3:46" s="37" customFormat="1" x14ac:dyDescent="0.25">
      <c r="C391" s="37" t="s">
        <v>20</v>
      </c>
      <c r="D391" s="37">
        <v>12</v>
      </c>
      <c r="E391" s="37">
        <v>12</v>
      </c>
      <c r="F391" s="37">
        <v>12</v>
      </c>
      <c r="G391" s="37">
        <v>12</v>
      </c>
      <c r="H391" s="37">
        <v>12</v>
      </c>
      <c r="I391" s="37">
        <v>12</v>
      </c>
      <c r="J391" s="37">
        <v>11</v>
      </c>
      <c r="K391" s="37">
        <v>4</v>
      </c>
      <c r="L391" s="37">
        <v>4</v>
      </c>
      <c r="M391" s="37">
        <v>4</v>
      </c>
      <c r="N391" s="37">
        <v>4</v>
      </c>
      <c r="O391" s="37">
        <v>4</v>
      </c>
      <c r="P391" s="37">
        <v>4</v>
      </c>
      <c r="Q391" s="37">
        <v>6</v>
      </c>
      <c r="R391" s="37">
        <v>7</v>
      </c>
      <c r="S391" s="37">
        <v>8</v>
      </c>
      <c r="T391" s="37">
        <v>9</v>
      </c>
      <c r="U391" s="37">
        <v>9</v>
      </c>
      <c r="V391" s="37">
        <v>9</v>
      </c>
      <c r="W391" s="37">
        <v>9</v>
      </c>
      <c r="X391" s="37">
        <v>9</v>
      </c>
      <c r="Z391" s="37">
        <v>12</v>
      </c>
      <c r="AA391" s="37">
        <v>12</v>
      </c>
      <c r="AB391" s="37">
        <v>12</v>
      </c>
      <c r="AC391" s="37">
        <v>12</v>
      </c>
      <c r="AD391" s="37">
        <v>12</v>
      </c>
      <c r="AE391" s="37">
        <v>12</v>
      </c>
      <c r="AF391" s="37">
        <v>12</v>
      </c>
      <c r="AG391" s="37">
        <v>4</v>
      </c>
      <c r="AH391" s="37">
        <v>4</v>
      </c>
      <c r="AI391" s="37">
        <v>4</v>
      </c>
      <c r="AJ391" s="37">
        <v>4</v>
      </c>
      <c r="AK391" s="37">
        <v>4</v>
      </c>
      <c r="AL391" s="37">
        <v>4</v>
      </c>
      <c r="AM391" s="37">
        <v>9</v>
      </c>
      <c r="AN391" s="37">
        <v>9</v>
      </c>
      <c r="AO391" s="37">
        <v>9</v>
      </c>
      <c r="AP391" s="37">
        <v>9</v>
      </c>
      <c r="AQ391" s="37">
        <v>9</v>
      </c>
      <c r="AR391" s="37">
        <v>9</v>
      </c>
      <c r="AS391" s="37">
        <v>9</v>
      </c>
      <c r="AT391" s="37">
        <v>9</v>
      </c>
    </row>
    <row r="392" spans="3:46" s="37" customFormat="1" x14ac:dyDescent="0.25"/>
    <row r="393" spans="3:46" s="37" customFormat="1" x14ac:dyDescent="0.25">
      <c r="C393" s="37" t="s">
        <v>21</v>
      </c>
      <c r="D393" s="37">
        <v>9</v>
      </c>
      <c r="E393" s="37">
        <v>9</v>
      </c>
      <c r="F393" s="37">
        <v>9</v>
      </c>
      <c r="G393" s="37">
        <v>9</v>
      </c>
      <c r="H393" s="37">
        <v>9</v>
      </c>
      <c r="I393" s="37">
        <v>9</v>
      </c>
      <c r="J393" s="37">
        <v>8</v>
      </c>
      <c r="K393" s="37">
        <v>3</v>
      </c>
      <c r="L393" s="37">
        <v>3</v>
      </c>
      <c r="M393" s="37">
        <v>3</v>
      </c>
      <c r="N393" s="37">
        <v>3</v>
      </c>
      <c r="O393" s="37">
        <v>3</v>
      </c>
      <c r="P393" s="37">
        <v>3</v>
      </c>
      <c r="Q393" s="37">
        <v>7</v>
      </c>
      <c r="R393" s="37">
        <v>8</v>
      </c>
      <c r="S393" s="37">
        <v>9</v>
      </c>
      <c r="T393" s="37">
        <v>10</v>
      </c>
      <c r="U393" s="37">
        <v>10</v>
      </c>
      <c r="V393" s="37">
        <v>10</v>
      </c>
      <c r="W393" s="37">
        <v>10</v>
      </c>
      <c r="X393" s="37">
        <v>10</v>
      </c>
      <c r="Z393" s="37">
        <v>9</v>
      </c>
      <c r="AA393" s="37">
        <v>9</v>
      </c>
      <c r="AB393" s="37">
        <v>9</v>
      </c>
      <c r="AC393" s="37">
        <v>9</v>
      </c>
      <c r="AD393" s="37">
        <v>9</v>
      </c>
      <c r="AE393" s="37">
        <v>9</v>
      </c>
      <c r="AF393" s="37">
        <v>9</v>
      </c>
      <c r="AG393" s="37">
        <v>3</v>
      </c>
      <c r="AH393" s="37">
        <v>3</v>
      </c>
      <c r="AI393" s="37">
        <v>3</v>
      </c>
      <c r="AJ393" s="37">
        <v>3</v>
      </c>
      <c r="AK393" s="37">
        <v>3</v>
      </c>
      <c r="AL393" s="37">
        <v>3</v>
      </c>
      <c r="AM393" s="37">
        <v>10</v>
      </c>
      <c r="AN393" s="37">
        <v>10</v>
      </c>
      <c r="AO393" s="37">
        <v>10</v>
      </c>
      <c r="AP393" s="37">
        <v>10</v>
      </c>
      <c r="AQ393" s="37">
        <v>10</v>
      </c>
      <c r="AR393" s="37">
        <v>10</v>
      </c>
      <c r="AS393" s="37">
        <v>10</v>
      </c>
      <c r="AT393" s="37">
        <v>10</v>
      </c>
    </row>
    <row r="394" spans="3:46" s="37" customFormat="1" x14ac:dyDescent="0.25"/>
    <row r="395" spans="3:46" s="37" customFormat="1" x14ac:dyDescent="0.25">
      <c r="C395" s="37" t="s">
        <v>20</v>
      </c>
      <c r="D395" s="37">
        <v>8</v>
      </c>
      <c r="E395" s="37">
        <v>8</v>
      </c>
      <c r="F395" s="37">
        <v>8</v>
      </c>
      <c r="G395" s="37">
        <v>8</v>
      </c>
      <c r="H395" s="37">
        <v>8</v>
      </c>
      <c r="I395" s="37">
        <v>8</v>
      </c>
      <c r="J395" s="37">
        <v>7</v>
      </c>
      <c r="K395" s="37">
        <v>3</v>
      </c>
      <c r="L395" s="37">
        <v>3</v>
      </c>
      <c r="M395" s="37">
        <v>3</v>
      </c>
      <c r="N395" s="37">
        <v>3</v>
      </c>
      <c r="O395" s="37">
        <v>3</v>
      </c>
      <c r="P395" s="37">
        <v>3</v>
      </c>
      <c r="Q395" s="37">
        <v>4</v>
      </c>
      <c r="R395" s="37">
        <v>5</v>
      </c>
      <c r="S395" s="37">
        <v>5</v>
      </c>
      <c r="T395" s="37">
        <v>6</v>
      </c>
      <c r="U395" s="37">
        <v>6</v>
      </c>
      <c r="V395" s="37">
        <v>6</v>
      </c>
      <c r="W395" s="37">
        <v>6</v>
      </c>
      <c r="X395" s="37">
        <v>6</v>
      </c>
      <c r="Z395" s="37">
        <v>8</v>
      </c>
      <c r="AA395" s="37">
        <v>8</v>
      </c>
      <c r="AB395" s="37">
        <v>8</v>
      </c>
      <c r="AC395" s="37">
        <v>8</v>
      </c>
      <c r="AD395" s="37">
        <v>8</v>
      </c>
      <c r="AE395" s="37">
        <v>8</v>
      </c>
      <c r="AF395" s="37">
        <v>8</v>
      </c>
      <c r="AG395" s="37">
        <v>3</v>
      </c>
      <c r="AH395" s="37">
        <v>3</v>
      </c>
      <c r="AI395" s="37">
        <v>3</v>
      </c>
      <c r="AJ395" s="37">
        <v>3</v>
      </c>
      <c r="AK395" s="37">
        <v>3</v>
      </c>
      <c r="AL395" s="37">
        <v>3</v>
      </c>
      <c r="AM395" s="37">
        <v>6</v>
      </c>
      <c r="AN395" s="37">
        <v>6</v>
      </c>
      <c r="AO395" s="37">
        <v>6</v>
      </c>
      <c r="AP395" s="37">
        <v>6</v>
      </c>
      <c r="AQ395" s="37">
        <v>6</v>
      </c>
      <c r="AR395" s="37">
        <v>6</v>
      </c>
      <c r="AS395" s="37">
        <v>6</v>
      </c>
      <c r="AT395" s="37">
        <v>6</v>
      </c>
    </row>
    <row r="396" spans="3:46" s="37" customFormat="1" x14ac:dyDescent="0.25"/>
    <row r="397" spans="3:46" s="37" customFormat="1" x14ac:dyDescent="0.25">
      <c r="C397" s="37" t="s">
        <v>21</v>
      </c>
      <c r="D397" s="37">
        <v>4</v>
      </c>
      <c r="E397" s="37">
        <v>4</v>
      </c>
      <c r="F397" s="37">
        <v>4</v>
      </c>
      <c r="G397" s="37">
        <v>4</v>
      </c>
      <c r="H397" s="37">
        <v>4</v>
      </c>
      <c r="I397" s="37">
        <v>4</v>
      </c>
      <c r="J397" s="37">
        <v>3</v>
      </c>
      <c r="K397" s="37">
        <v>2</v>
      </c>
      <c r="L397" s="37">
        <v>2</v>
      </c>
      <c r="M397" s="37">
        <v>2</v>
      </c>
      <c r="N397" s="37">
        <v>2</v>
      </c>
      <c r="O397" s="37">
        <v>2</v>
      </c>
      <c r="P397" s="37">
        <v>2</v>
      </c>
      <c r="Q397" s="37">
        <v>4</v>
      </c>
      <c r="R397" s="37">
        <v>4</v>
      </c>
      <c r="S397" s="37">
        <v>5</v>
      </c>
      <c r="T397" s="37">
        <v>5</v>
      </c>
      <c r="U397" s="37">
        <v>6</v>
      </c>
      <c r="V397" s="37">
        <v>6</v>
      </c>
      <c r="W397" s="37">
        <v>6</v>
      </c>
      <c r="X397" s="37">
        <v>6</v>
      </c>
      <c r="Z397" s="37">
        <v>4</v>
      </c>
      <c r="AA397" s="37">
        <v>4</v>
      </c>
      <c r="AB397" s="37">
        <v>4</v>
      </c>
      <c r="AC397" s="37">
        <v>4</v>
      </c>
      <c r="AD397" s="37">
        <v>4</v>
      </c>
      <c r="AE397" s="37">
        <v>4</v>
      </c>
      <c r="AF397" s="37">
        <v>4</v>
      </c>
      <c r="AG397" s="37">
        <v>2</v>
      </c>
      <c r="AH397" s="37">
        <v>2</v>
      </c>
      <c r="AI397" s="37">
        <v>2</v>
      </c>
      <c r="AJ397" s="37">
        <v>2</v>
      </c>
      <c r="AK397" s="37">
        <v>2</v>
      </c>
      <c r="AL397" s="37">
        <v>2</v>
      </c>
      <c r="AM397" s="37">
        <v>6</v>
      </c>
      <c r="AN397" s="37">
        <v>6</v>
      </c>
      <c r="AO397" s="37">
        <v>6</v>
      </c>
      <c r="AP397" s="37">
        <v>6</v>
      </c>
      <c r="AQ397" s="37">
        <v>6</v>
      </c>
      <c r="AR397" s="37">
        <v>6</v>
      </c>
      <c r="AS397" s="37">
        <v>6</v>
      </c>
      <c r="AT397" s="37">
        <v>6</v>
      </c>
    </row>
    <row r="398" spans="3:46" s="37" customFormat="1" x14ac:dyDescent="0.25"/>
    <row r="399" spans="3:46" s="37" customFormat="1" x14ac:dyDescent="0.25">
      <c r="C399" s="37" t="s">
        <v>20</v>
      </c>
      <c r="D399" s="37">
        <v>8</v>
      </c>
      <c r="E399" s="37">
        <v>8</v>
      </c>
      <c r="F399" s="37">
        <v>8</v>
      </c>
      <c r="G399" s="37">
        <v>8</v>
      </c>
      <c r="H399" s="37">
        <v>8</v>
      </c>
      <c r="I399" s="37">
        <v>7</v>
      </c>
      <c r="J399" s="37">
        <v>6</v>
      </c>
      <c r="K399" s="37">
        <v>4</v>
      </c>
      <c r="L399" s="37">
        <v>4</v>
      </c>
      <c r="M399" s="37">
        <v>4</v>
      </c>
      <c r="N399" s="37">
        <v>3</v>
      </c>
      <c r="O399" s="37">
        <v>4</v>
      </c>
      <c r="P399" s="37">
        <v>4</v>
      </c>
      <c r="Q399" s="37">
        <v>6</v>
      </c>
      <c r="R399" s="37">
        <v>7</v>
      </c>
      <c r="S399" s="37">
        <v>8</v>
      </c>
      <c r="T399" s="37">
        <v>9</v>
      </c>
      <c r="U399" s="37">
        <v>10</v>
      </c>
      <c r="V399" s="37">
        <v>10</v>
      </c>
      <c r="W399" s="37">
        <v>10</v>
      </c>
      <c r="X399" s="37">
        <v>10</v>
      </c>
      <c r="Z399" s="37">
        <v>8</v>
      </c>
      <c r="AA399" s="37">
        <v>8</v>
      </c>
      <c r="AB399" s="37">
        <v>8</v>
      </c>
      <c r="AC399" s="37">
        <v>8</v>
      </c>
      <c r="AD399" s="37">
        <v>8</v>
      </c>
      <c r="AE399" s="37">
        <v>8</v>
      </c>
      <c r="AF399" s="37">
        <v>8</v>
      </c>
      <c r="AG399" s="37">
        <v>4</v>
      </c>
      <c r="AH399" s="37">
        <v>4</v>
      </c>
      <c r="AI399" s="37">
        <v>4</v>
      </c>
      <c r="AJ399" s="37">
        <v>4</v>
      </c>
      <c r="AK399" s="37">
        <v>4</v>
      </c>
      <c r="AL399" s="37">
        <v>4</v>
      </c>
      <c r="AM399" s="37">
        <v>11</v>
      </c>
      <c r="AN399" s="37">
        <v>11</v>
      </c>
      <c r="AO399" s="37">
        <v>11</v>
      </c>
      <c r="AP399" s="37">
        <v>11</v>
      </c>
      <c r="AQ399" s="37">
        <v>11</v>
      </c>
      <c r="AR399" s="37">
        <v>11</v>
      </c>
      <c r="AS399" s="37">
        <v>11</v>
      </c>
      <c r="AT399" s="37">
        <v>11</v>
      </c>
    </row>
    <row r="400" spans="3:46" s="37" customFormat="1" x14ac:dyDescent="0.25"/>
    <row r="401" spans="3:46" s="37" customFormat="1" x14ac:dyDescent="0.25">
      <c r="C401" s="37" t="s">
        <v>21</v>
      </c>
      <c r="D401" s="37">
        <v>5</v>
      </c>
      <c r="E401" s="37">
        <v>5</v>
      </c>
      <c r="F401" s="37">
        <v>5</v>
      </c>
      <c r="G401" s="37">
        <v>5</v>
      </c>
      <c r="H401" s="37">
        <v>5</v>
      </c>
      <c r="I401" s="37">
        <v>4</v>
      </c>
      <c r="J401" s="37">
        <v>4</v>
      </c>
      <c r="K401" s="37">
        <v>4</v>
      </c>
      <c r="L401" s="37">
        <v>4</v>
      </c>
      <c r="M401" s="37">
        <v>4</v>
      </c>
      <c r="N401" s="37">
        <v>4</v>
      </c>
      <c r="O401" s="37">
        <v>4</v>
      </c>
      <c r="P401" s="37">
        <v>4</v>
      </c>
      <c r="Q401" s="37">
        <v>4</v>
      </c>
      <c r="R401" s="37">
        <v>4</v>
      </c>
      <c r="S401" s="37">
        <v>4</v>
      </c>
      <c r="T401" s="37">
        <v>5</v>
      </c>
      <c r="U401" s="37">
        <v>5</v>
      </c>
      <c r="V401" s="37">
        <v>6</v>
      </c>
      <c r="W401" s="37">
        <v>6</v>
      </c>
      <c r="X401" s="37">
        <v>6</v>
      </c>
      <c r="Z401" s="37">
        <v>5</v>
      </c>
      <c r="AA401" s="37">
        <v>5</v>
      </c>
      <c r="AB401" s="37">
        <v>5</v>
      </c>
      <c r="AC401" s="37">
        <v>5</v>
      </c>
      <c r="AD401" s="37">
        <v>5</v>
      </c>
      <c r="AE401" s="37">
        <v>5</v>
      </c>
      <c r="AF401" s="37">
        <v>5</v>
      </c>
      <c r="AG401" s="37">
        <v>4</v>
      </c>
      <c r="AH401" s="37">
        <v>4</v>
      </c>
      <c r="AI401" s="37">
        <v>4</v>
      </c>
      <c r="AJ401" s="37">
        <v>4</v>
      </c>
      <c r="AK401" s="37">
        <v>4</v>
      </c>
      <c r="AL401" s="37">
        <v>4</v>
      </c>
      <c r="AM401" s="37">
        <v>6</v>
      </c>
      <c r="AN401" s="37">
        <v>6</v>
      </c>
      <c r="AO401" s="37">
        <v>6</v>
      </c>
      <c r="AP401" s="37">
        <v>6</v>
      </c>
      <c r="AQ401" s="37">
        <v>6</v>
      </c>
      <c r="AR401" s="37">
        <v>6</v>
      </c>
      <c r="AS401" s="37">
        <v>6</v>
      </c>
      <c r="AT401" s="37">
        <v>6</v>
      </c>
    </row>
    <row r="402" spans="3:46" s="37" customFormat="1" x14ac:dyDescent="0.25"/>
    <row r="403" spans="3:46" s="37" customFormat="1" x14ac:dyDescent="0.25">
      <c r="C403" s="37" t="s">
        <v>20</v>
      </c>
      <c r="D403" s="37">
        <v>9</v>
      </c>
      <c r="E403" s="37">
        <v>9</v>
      </c>
      <c r="F403" s="37">
        <v>9</v>
      </c>
      <c r="G403" s="37">
        <v>9</v>
      </c>
      <c r="H403" s="37">
        <v>9</v>
      </c>
      <c r="I403" s="37">
        <v>9</v>
      </c>
      <c r="J403" s="37">
        <v>9</v>
      </c>
      <c r="K403" s="37">
        <v>4</v>
      </c>
      <c r="L403" s="37">
        <v>4</v>
      </c>
      <c r="M403" s="37">
        <v>4</v>
      </c>
      <c r="N403" s="37">
        <v>4</v>
      </c>
      <c r="O403" s="37">
        <v>4</v>
      </c>
      <c r="P403" s="37">
        <v>4</v>
      </c>
      <c r="Q403" s="37">
        <v>9</v>
      </c>
      <c r="R403" s="37">
        <v>10</v>
      </c>
      <c r="S403" s="37">
        <v>10</v>
      </c>
      <c r="T403" s="37">
        <v>10</v>
      </c>
      <c r="U403" s="37">
        <v>10</v>
      </c>
      <c r="V403" s="37">
        <v>10</v>
      </c>
      <c r="W403" s="37">
        <v>10</v>
      </c>
      <c r="X403" s="37">
        <v>10</v>
      </c>
      <c r="Z403" s="37">
        <v>9</v>
      </c>
      <c r="AA403" s="37">
        <v>9</v>
      </c>
      <c r="AB403" s="37">
        <v>9</v>
      </c>
      <c r="AC403" s="37">
        <v>9</v>
      </c>
      <c r="AD403" s="37">
        <v>9</v>
      </c>
      <c r="AE403" s="37">
        <v>9</v>
      </c>
      <c r="AF403" s="37">
        <v>9</v>
      </c>
      <c r="AG403" s="37">
        <v>4</v>
      </c>
      <c r="AH403" s="37">
        <v>4</v>
      </c>
      <c r="AI403" s="37">
        <v>4</v>
      </c>
      <c r="AJ403" s="37">
        <v>4</v>
      </c>
      <c r="AK403" s="37">
        <v>4</v>
      </c>
      <c r="AL403" s="37">
        <v>4</v>
      </c>
      <c r="AM403" s="37">
        <v>10</v>
      </c>
      <c r="AN403" s="37">
        <v>10</v>
      </c>
      <c r="AO403" s="37">
        <v>10</v>
      </c>
      <c r="AP403" s="37">
        <v>10</v>
      </c>
      <c r="AQ403" s="37">
        <v>10</v>
      </c>
      <c r="AR403" s="37">
        <v>10</v>
      </c>
      <c r="AS403" s="37">
        <v>10</v>
      </c>
      <c r="AT403" s="37">
        <v>10</v>
      </c>
    </row>
    <row r="404" spans="3:46" s="37" customFormat="1" x14ac:dyDescent="0.25"/>
    <row r="405" spans="3:46" s="37" customFormat="1" x14ac:dyDescent="0.25">
      <c r="C405" s="37" t="s">
        <v>21</v>
      </c>
      <c r="D405" s="37">
        <v>9</v>
      </c>
      <c r="E405" s="37">
        <v>9</v>
      </c>
      <c r="F405" s="37">
        <v>9</v>
      </c>
      <c r="G405" s="37">
        <v>9</v>
      </c>
      <c r="H405" s="37">
        <v>9</v>
      </c>
      <c r="I405" s="37">
        <v>9</v>
      </c>
      <c r="J405" s="37">
        <v>8</v>
      </c>
      <c r="K405" s="37">
        <v>3</v>
      </c>
      <c r="L405" s="37">
        <v>3</v>
      </c>
      <c r="M405" s="37">
        <v>3</v>
      </c>
      <c r="N405" s="37">
        <v>3</v>
      </c>
      <c r="O405" s="37">
        <v>3</v>
      </c>
      <c r="P405" s="37">
        <v>3</v>
      </c>
      <c r="Q405" s="37">
        <v>5</v>
      </c>
      <c r="R405" s="37">
        <v>6</v>
      </c>
      <c r="S405" s="37">
        <v>6</v>
      </c>
      <c r="T405" s="37">
        <v>7</v>
      </c>
      <c r="U405" s="37">
        <v>7</v>
      </c>
      <c r="V405" s="37">
        <v>7</v>
      </c>
      <c r="W405" s="37">
        <v>7</v>
      </c>
      <c r="X405" s="37">
        <v>7</v>
      </c>
      <c r="Z405" s="37">
        <v>9</v>
      </c>
      <c r="AA405" s="37">
        <v>9</v>
      </c>
      <c r="AB405" s="37">
        <v>9</v>
      </c>
      <c r="AC405" s="37">
        <v>9</v>
      </c>
      <c r="AD405" s="37">
        <v>9</v>
      </c>
      <c r="AE405" s="37">
        <v>9</v>
      </c>
      <c r="AF405" s="37">
        <v>9</v>
      </c>
      <c r="AG405" s="37">
        <v>3</v>
      </c>
      <c r="AH405" s="37">
        <v>3</v>
      </c>
      <c r="AI405" s="37">
        <v>3</v>
      </c>
      <c r="AJ405" s="37">
        <v>3</v>
      </c>
      <c r="AK405" s="37">
        <v>3</v>
      </c>
      <c r="AL405" s="37">
        <v>3</v>
      </c>
      <c r="AM405" s="37">
        <v>7</v>
      </c>
      <c r="AN405" s="37">
        <v>7</v>
      </c>
      <c r="AO405" s="37">
        <v>7</v>
      </c>
      <c r="AP405" s="37">
        <v>7</v>
      </c>
      <c r="AQ405" s="37">
        <v>7</v>
      </c>
      <c r="AR405" s="37">
        <v>7</v>
      </c>
      <c r="AS405" s="37">
        <v>7</v>
      </c>
      <c r="AT405" s="37">
        <v>7</v>
      </c>
    </row>
    <row r="406" spans="3:46" s="37" customFormat="1" x14ac:dyDescent="0.25"/>
    <row r="407" spans="3:46" s="37" customFormat="1" x14ac:dyDescent="0.25">
      <c r="C407" s="37" t="s">
        <v>20</v>
      </c>
      <c r="D407" s="37">
        <v>7</v>
      </c>
      <c r="E407" s="37">
        <v>7</v>
      </c>
      <c r="F407" s="37">
        <v>7</v>
      </c>
      <c r="G407" s="37">
        <v>7</v>
      </c>
      <c r="H407" s="37">
        <v>7</v>
      </c>
      <c r="I407" s="37">
        <v>7</v>
      </c>
      <c r="J407" s="37">
        <v>6</v>
      </c>
      <c r="K407" s="37">
        <v>4</v>
      </c>
      <c r="L407" s="37">
        <v>4</v>
      </c>
      <c r="M407" s="37">
        <v>4</v>
      </c>
      <c r="N407" s="37">
        <v>4</v>
      </c>
      <c r="O407" s="37">
        <v>4</v>
      </c>
      <c r="P407" s="37">
        <v>4</v>
      </c>
      <c r="Q407" s="37">
        <v>8</v>
      </c>
      <c r="R407" s="37">
        <v>9</v>
      </c>
      <c r="S407" s="37">
        <v>10</v>
      </c>
      <c r="T407" s="37">
        <v>10</v>
      </c>
      <c r="U407" s="37">
        <v>10</v>
      </c>
      <c r="V407" s="37">
        <v>10</v>
      </c>
      <c r="W407" s="37">
        <v>10</v>
      </c>
      <c r="X407" s="37">
        <v>10</v>
      </c>
      <c r="Z407" s="37">
        <v>7</v>
      </c>
      <c r="AA407" s="37">
        <v>7</v>
      </c>
      <c r="AB407" s="37">
        <v>7</v>
      </c>
      <c r="AC407" s="37">
        <v>7</v>
      </c>
      <c r="AD407" s="37">
        <v>7</v>
      </c>
      <c r="AE407" s="37">
        <v>7</v>
      </c>
      <c r="AF407" s="37">
        <v>7</v>
      </c>
      <c r="AG407" s="37">
        <v>4</v>
      </c>
      <c r="AH407" s="37">
        <v>4</v>
      </c>
      <c r="AI407" s="37">
        <v>4</v>
      </c>
      <c r="AJ407" s="37">
        <v>4</v>
      </c>
      <c r="AK407" s="37">
        <v>4</v>
      </c>
      <c r="AL407" s="37">
        <v>4</v>
      </c>
      <c r="AM407" s="37">
        <v>10</v>
      </c>
      <c r="AN407" s="37">
        <v>10</v>
      </c>
      <c r="AO407" s="37">
        <v>10</v>
      </c>
      <c r="AP407" s="37">
        <v>10</v>
      </c>
      <c r="AQ407" s="37">
        <v>10</v>
      </c>
      <c r="AR407" s="37">
        <v>10</v>
      </c>
      <c r="AS407" s="37">
        <v>10</v>
      </c>
      <c r="AT407" s="37">
        <v>10</v>
      </c>
    </row>
    <row r="408" spans="3:46" s="37" customFormat="1" x14ac:dyDescent="0.25"/>
    <row r="409" spans="3:46" s="37" customFormat="1" x14ac:dyDescent="0.25">
      <c r="C409" s="37" t="s">
        <v>21</v>
      </c>
      <c r="D409" s="37">
        <v>8</v>
      </c>
      <c r="E409" s="37">
        <v>8</v>
      </c>
      <c r="F409" s="37">
        <v>8</v>
      </c>
      <c r="G409" s="37">
        <v>8</v>
      </c>
      <c r="H409" s="37">
        <v>8</v>
      </c>
      <c r="I409" s="37">
        <v>8</v>
      </c>
      <c r="J409" s="37">
        <v>7</v>
      </c>
      <c r="K409" s="37">
        <v>3</v>
      </c>
      <c r="L409" s="37">
        <v>3</v>
      </c>
      <c r="M409" s="37">
        <v>3</v>
      </c>
      <c r="N409" s="37">
        <v>3</v>
      </c>
      <c r="O409" s="37">
        <v>3</v>
      </c>
      <c r="P409" s="37">
        <v>3</v>
      </c>
      <c r="Q409" s="37">
        <v>4</v>
      </c>
      <c r="R409" s="37">
        <v>5</v>
      </c>
      <c r="S409" s="37">
        <v>5</v>
      </c>
      <c r="T409" s="37">
        <v>6</v>
      </c>
      <c r="U409" s="37">
        <v>6</v>
      </c>
      <c r="V409" s="37">
        <v>6</v>
      </c>
      <c r="W409" s="37">
        <v>6</v>
      </c>
      <c r="X409" s="37">
        <v>6</v>
      </c>
      <c r="Z409" s="37">
        <v>8</v>
      </c>
      <c r="AA409" s="37">
        <v>8</v>
      </c>
      <c r="AB409" s="37">
        <v>8</v>
      </c>
      <c r="AC409" s="37">
        <v>8</v>
      </c>
      <c r="AD409" s="37">
        <v>8</v>
      </c>
      <c r="AE409" s="37">
        <v>8</v>
      </c>
      <c r="AF409" s="37">
        <v>8</v>
      </c>
      <c r="AG409" s="37">
        <v>3</v>
      </c>
      <c r="AH409" s="37">
        <v>3</v>
      </c>
      <c r="AI409" s="37">
        <v>3</v>
      </c>
      <c r="AJ409" s="37">
        <v>3</v>
      </c>
      <c r="AK409" s="37">
        <v>3</v>
      </c>
      <c r="AL409" s="37">
        <v>3</v>
      </c>
      <c r="AM409" s="37">
        <v>6</v>
      </c>
      <c r="AN409" s="37">
        <v>6</v>
      </c>
      <c r="AO409" s="37">
        <v>6</v>
      </c>
      <c r="AP409" s="37">
        <v>6</v>
      </c>
      <c r="AQ409" s="37">
        <v>6</v>
      </c>
      <c r="AR409" s="37">
        <v>6</v>
      </c>
      <c r="AS409" s="37">
        <v>6</v>
      </c>
      <c r="AT409" s="37">
        <v>6</v>
      </c>
    </row>
    <row r="410" spans="3:46" s="37" customFormat="1" x14ac:dyDescent="0.25"/>
    <row r="411" spans="3:46" s="37" customFormat="1" x14ac:dyDescent="0.25">
      <c r="C411" s="37" t="s">
        <v>20</v>
      </c>
      <c r="D411" s="37">
        <v>10</v>
      </c>
      <c r="E411" s="37">
        <v>10</v>
      </c>
      <c r="F411" s="37">
        <v>10</v>
      </c>
      <c r="G411" s="37">
        <v>10</v>
      </c>
      <c r="H411" s="37">
        <v>10</v>
      </c>
      <c r="I411" s="37">
        <v>9</v>
      </c>
      <c r="J411" s="37">
        <v>8</v>
      </c>
      <c r="K411" s="37">
        <v>4</v>
      </c>
      <c r="L411" s="37">
        <v>4</v>
      </c>
      <c r="M411" s="37">
        <v>4</v>
      </c>
      <c r="N411" s="37">
        <v>3</v>
      </c>
      <c r="O411" s="37">
        <v>4</v>
      </c>
      <c r="P411" s="37">
        <v>4</v>
      </c>
      <c r="Q411" s="37">
        <v>6</v>
      </c>
      <c r="R411" s="37">
        <v>7</v>
      </c>
      <c r="S411" s="37">
        <v>8</v>
      </c>
      <c r="T411" s="37">
        <v>9</v>
      </c>
      <c r="U411" s="37">
        <v>10</v>
      </c>
      <c r="V411" s="37">
        <v>10</v>
      </c>
      <c r="W411" s="37">
        <v>10</v>
      </c>
      <c r="X411" s="37">
        <v>10</v>
      </c>
      <c r="Z411" s="37">
        <v>10</v>
      </c>
      <c r="AA411" s="37">
        <v>10</v>
      </c>
      <c r="AB411" s="37">
        <v>10</v>
      </c>
      <c r="AC411" s="37">
        <v>10</v>
      </c>
      <c r="AD411" s="37">
        <v>10</v>
      </c>
      <c r="AE411" s="37">
        <v>10</v>
      </c>
      <c r="AF411" s="37">
        <v>10</v>
      </c>
      <c r="AG411" s="37">
        <v>4</v>
      </c>
      <c r="AH411" s="37">
        <v>4</v>
      </c>
      <c r="AI411" s="37">
        <v>4</v>
      </c>
      <c r="AJ411" s="37">
        <v>4</v>
      </c>
      <c r="AK411" s="37">
        <v>4</v>
      </c>
      <c r="AL411" s="37">
        <v>4</v>
      </c>
      <c r="AM411" s="37">
        <v>11</v>
      </c>
      <c r="AN411" s="37">
        <v>11</v>
      </c>
      <c r="AO411" s="37">
        <v>11</v>
      </c>
      <c r="AP411" s="37">
        <v>11</v>
      </c>
      <c r="AQ411" s="37">
        <v>11</v>
      </c>
      <c r="AR411" s="37">
        <v>11</v>
      </c>
      <c r="AS411" s="37">
        <v>11</v>
      </c>
      <c r="AT411" s="37">
        <v>11</v>
      </c>
    </row>
    <row r="412" spans="3:46" s="37" customFormat="1" x14ac:dyDescent="0.25"/>
    <row r="413" spans="3:46" s="37" customFormat="1" x14ac:dyDescent="0.25">
      <c r="C413" s="37" t="s">
        <v>21</v>
      </c>
      <c r="D413" s="37">
        <v>5</v>
      </c>
      <c r="E413" s="37">
        <v>5</v>
      </c>
      <c r="F413" s="37">
        <v>5</v>
      </c>
      <c r="G413" s="37">
        <v>5</v>
      </c>
      <c r="H413" s="37">
        <v>5</v>
      </c>
      <c r="I413" s="37">
        <v>4</v>
      </c>
      <c r="J413" s="37">
        <v>4</v>
      </c>
      <c r="K413" s="37">
        <v>4</v>
      </c>
      <c r="L413" s="37">
        <v>4</v>
      </c>
      <c r="M413" s="37">
        <v>4</v>
      </c>
      <c r="N413" s="37">
        <v>4</v>
      </c>
      <c r="O413" s="37">
        <v>4</v>
      </c>
      <c r="P413" s="37">
        <v>4</v>
      </c>
      <c r="Q413" s="37">
        <v>4</v>
      </c>
      <c r="R413" s="37">
        <v>4</v>
      </c>
      <c r="S413" s="37">
        <v>4</v>
      </c>
      <c r="T413" s="37">
        <v>4</v>
      </c>
      <c r="U413" s="37">
        <v>5</v>
      </c>
      <c r="V413" s="37">
        <v>5</v>
      </c>
      <c r="W413" s="37">
        <v>5</v>
      </c>
      <c r="X413" s="37">
        <v>5</v>
      </c>
      <c r="Z413" s="37">
        <v>5</v>
      </c>
      <c r="AA413" s="37">
        <v>5</v>
      </c>
      <c r="AB413" s="37">
        <v>5</v>
      </c>
      <c r="AC413" s="37">
        <v>5</v>
      </c>
      <c r="AD413" s="37">
        <v>5</v>
      </c>
      <c r="AE413" s="37">
        <v>5</v>
      </c>
      <c r="AF413" s="37">
        <v>5</v>
      </c>
      <c r="AG413" s="37">
        <v>4</v>
      </c>
      <c r="AH413" s="37">
        <v>4</v>
      </c>
      <c r="AI413" s="37">
        <v>4</v>
      </c>
      <c r="AJ413" s="37">
        <v>4</v>
      </c>
      <c r="AK413" s="37">
        <v>4</v>
      </c>
      <c r="AL413" s="37">
        <v>4</v>
      </c>
      <c r="AM413" s="37">
        <v>5</v>
      </c>
      <c r="AN413" s="37">
        <v>5</v>
      </c>
      <c r="AO413" s="37">
        <v>5</v>
      </c>
      <c r="AP413" s="37">
        <v>5</v>
      </c>
      <c r="AQ413" s="37">
        <v>5</v>
      </c>
      <c r="AR413" s="37">
        <v>5</v>
      </c>
      <c r="AS413" s="37">
        <v>5</v>
      </c>
      <c r="AT413" s="37">
        <v>5</v>
      </c>
    </row>
    <row r="414" spans="3:46" s="37" customFormat="1" x14ac:dyDescent="0.25"/>
    <row r="415" spans="3:46" s="37" customFormat="1" x14ac:dyDescent="0.25">
      <c r="C415" s="37" t="s">
        <v>20</v>
      </c>
      <c r="D415" s="37">
        <v>11</v>
      </c>
      <c r="E415" s="37">
        <v>11</v>
      </c>
      <c r="F415" s="37">
        <v>11</v>
      </c>
      <c r="G415" s="37">
        <v>11</v>
      </c>
      <c r="H415" s="37">
        <v>11</v>
      </c>
      <c r="I415" s="37">
        <v>11</v>
      </c>
      <c r="J415" s="37">
        <v>11</v>
      </c>
      <c r="K415" s="37">
        <v>4</v>
      </c>
      <c r="L415" s="37">
        <v>4</v>
      </c>
      <c r="M415" s="37">
        <v>4</v>
      </c>
      <c r="N415" s="37">
        <v>4</v>
      </c>
      <c r="O415" s="37">
        <v>4</v>
      </c>
      <c r="P415" s="37">
        <v>4</v>
      </c>
      <c r="Q415" s="37">
        <v>9</v>
      </c>
      <c r="R415" s="37">
        <v>10</v>
      </c>
      <c r="S415" s="37">
        <v>10</v>
      </c>
      <c r="T415" s="37">
        <v>10</v>
      </c>
      <c r="U415" s="37">
        <v>10</v>
      </c>
      <c r="V415" s="37">
        <v>10</v>
      </c>
      <c r="W415" s="37">
        <v>10</v>
      </c>
      <c r="X415" s="37">
        <v>10</v>
      </c>
      <c r="Z415" s="37">
        <v>11</v>
      </c>
      <c r="AA415" s="37">
        <v>11</v>
      </c>
      <c r="AB415" s="37">
        <v>11</v>
      </c>
      <c r="AC415" s="37">
        <v>11</v>
      </c>
      <c r="AD415" s="37">
        <v>11</v>
      </c>
      <c r="AE415" s="37">
        <v>11</v>
      </c>
      <c r="AF415" s="37">
        <v>11</v>
      </c>
      <c r="AG415" s="37">
        <v>4</v>
      </c>
      <c r="AH415" s="37">
        <v>4</v>
      </c>
      <c r="AI415" s="37">
        <v>4</v>
      </c>
      <c r="AJ415" s="37">
        <v>4</v>
      </c>
      <c r="AK415" s="37">
        <v>4</v>
      </c>
      <c r="AL415" s="37">
        <v>4</v>
      </c>
      <c r="AM415" s="37">
        <v>11</v>
      </c>
      <c r="AN415" s="37">
        <v>11</v>
      </c>
      <c r="AO415" s="37">
        <v>11</v>
      </c>
      <c r="AP415" s="37">
        <v>11</v>
      </c>
      <c r="AQ415" s="37">
        <v>11</v>
      </c>
      <c r="AR415" s="37">
        <v>11</v>
      </c>
      <c r="AS415" s="37">
        <v>11</v>
      </c>
      <c r="AT415" s="37">
        <v>11</v>
      </c>
    </row>
    <row r="416" spans="3:46" s="37" customFormat="1" x14ac:dyDescent="0.25"/>
    <row r="417" spans="3:46" s="37" customFormat="1" x14ac:dyDescent="0.25">
      <c r="C417" s="37" t="s">
        <v>21</v>
      </c>
      <c r="D417" s="37">
        <v>10</v>
      </c>
      <c r="E417" s="37">
        <v>10</v>
      </c>
      <c r="F417" s="37">
        <v>10</v>
      </c>
      <c r="G417" s="37">
        <v>10</v>
      </c>
      <c r="H417" s="37">
        <v>10</v>
      </c>
      <c r="I417" s="37">
        <v>10</v>
      </c>
      <c r="J417" s="37">
        <v>10</v>
      </c>
      <c r="K417" s="37">
        <v>3</v>
      </c>
      <c r="L417" s="37">
        <v>3</v>
      </c>
      <c r="M417" s="37">
        <v>3</v>
      </c>
      <c r="N417" s="37">
        <v>3</v>
      </c>
      <c r="O417" s="37">
        <v>3</v>
      </c>
      <c r="P417" s="37">
        <v>3</v>
      </c>
      <c r="Q417" s="37">
        <v>6</v>
      </c>
      <c r="R417" s="37">
        <v>7</v>
      </c>
      <c r="S417" s="37">
        <v>8</v>
      </c>
      <c r="T417" s="37">
        <v>9</v>
      </c>
      <c r="U417" s="37">
        <v>9</v>
      </c>
      <c r="V417" s="37">
        <v>9</v>
      </c>
      <c r="W417" s="37">
        <v>9</v>
      </c>
      <c r="X417" s="37">
        <v>9</v>
      </c>
      <c r="Z417" s="37">
        <v>10</v>
      </c>
      <c r="AA417" s="37">
        <v>10</v>
      </c>
      <c r="AB417" s="37">
        <v>10</v>
      </c>
      <c r="AC417" s="37">
        <v>10</v>
      </c>
      <c r="AD417" s="37">
        <v>10</v>
      </c>
      <c r="AE417" s="37">
        <v>10</v>
      </c>
      <c r="AF417" s="37">
        <v>10</v>
      </c>
      <c r="AG417" s="37">
        <v>3</v>
      </c>
      <c r="AH417" s="37">
        <v>3</v>
      </c>
      <c r="AI417" s="37">
        <v>3</v>
      </c>
      <c r="AJ417" s="37">
        <v>3</v>
      </c>
      <c r="AK417" s="37">
        <v>3</v>
      </c>
      <c r="AL417" s="37">
        <v>3</v>
      </c>
      <c r="AM417" s="37">
        <v>9</v>
      </c>
      <c r="AN417" s="37">
        <v>9</v>
      </c>
      <c r="AO417" s="37">
        <v>9</v>
      </c>
      <c r="AP417" s="37">
        <v>9</v>
      </c>
      <c r="AQ417" s="37">
        <v>9</v>
      </c>
      <c r="AR417" s="37">
        <v>9</v>
      </c>
      <c r="AS417" s="37">
        <v>9</v>
      </c>
      <c r="AT417" s="37">
        <v>9</v>
      </c>
    </row>
    <row r="418" spans="3:46" s="37" customFormat="1" x14ac:dyDescent="0.25"/>
    <row r="419" spans="3:46" s="37" customFormat="1" x14ac:dyDescent="0.25">
      <c r="C419" s="37" t="s">
        <v>20</v>
      </c>
      <c r="D419" s="37">
        <v>13</v>
      </c>
      <c r="E419" s="37">
        <v>13</v>
      </c>
      <c r="F419" s="37">
        <v>13</v>
      </c>
      <c r="G419" s="37">
        <v>13</v>
      </c>
      <c r="H419" s="37">
        <v>13</v>
      </c>
      <c r="I419" s="37">
        <v>13</v>
      </c>
      <c r="J419" s="37">
        <v>12</v>
      </c>
      <c r="K419" s="37">
        <v>5</v>
      </c>
      <c r="L419" s="37">
        <v>5</v>
      </c>
      <c r="M419" s="37">
        <v>5</v>
      </c>
      <c r="N419" s="37">
        <v>5</v>
      </c>
      <c r="O419" s="37">
        <v>5</v>
      </c>
      <c r="P419" s="37">
        <v>5</v>
      </c>
      <c r="Q419" s="37">
        <v>6</v>
      </c>
      <c r="R419" s="37">
        <v>7</v>
      </c>
      <c r="S419" s="37">
        <v>8</v>
      </c>
      <c r="T419" s="37">
        <v>9</v>
      </c>
      <c r="U419" s="37">
        <v>9</v>
      </c>
      <c r="V419" s="37">
        <v>9</v>
      </c>
      <c r="W419" s="37">
        <v>9</v>
      </c>
      <c r="X419" s="37">
        <v>9</v>
      </c>
      <c r="Z419" s="37">
        <v>13</v>
      </c>
      <c r="AA419" s="37">
        <v>13</v>
      </c>
      <c r="AB419" s="37">
        <v>13</v>
      </c>
      <c r="AC419" s="37">
        <v>13</v>
      </c>
      <c r="AD419" s="37">
        <v>13</v>
      </c>
      <c r="AE419" s="37">
        <v>13</v>
      </c>
      <c r="AF419" s="37">
        <v>13</v>
      </c>
      <c r="AG419" s="37">
        <v>5</v>
      </c>
      <c r="AH419" s="37">
        <v>5</v>
      </c>
      <c r="AI419" s="37">
        <v>5</v>
      </c>
      <c r="AJ419" s="37">
        <v>5</v>
      </c>
      <c r="AK419" s="37">
        <v>5</v>
      </c>
      <c r="AL419" s="37">
        <v>5</v>
      </c>
      <c r="AM419" s="37">
        <v>9</v>
      </c>
      <c r="AN419" s="37">
        <v>9</v>
      </c>
      <c r="AO419" s="37">
        <v>9</v>
      </c>
      <c r="AP419" s="37">
        <v>9</v>
      </c>
      <c r="AQ419" s="37">
        <v>9</v>
      </c>
      <c r="AR419" s="37">
        <v>9</v>
      </c>
      <c r="AS419" s="37">
        <v>9</v>
      </c>
      <c r="AT419" s="37">
        <v>9</v>
      </c>
    </row>
    <row r="420" spans="3:46" s="37" customFormat="1" x14ac:dyDescent="0.25"/>
    <row r="421" spans="3:46" s="37" customFormat="1" x14ac:dyDescent="0.25">
      <c r="C421" s="37" t="s">
        <v>21</v>
      </c>
      <c r="D421" s="37">
        <v>9</v>
      </c>
      <c r="E421" s="37">
        <v>9</v>
      </c>
      <c r="F421" s="37">
        <v>9</v>
      </c>
      <c r="G421" s="37">
        <v>9</v>
      </c>
      <c r="H421" s="37">
        <v>9</v>
      </c>
      <c r="I421" s="37">
        <v>8</v>
      </c>
      <c r="J421" s="37">
        <v>7</v>
      </c>
      <c r="K421" s="37">
        <v>4</v>
      </c>
      <c r="L421" s="37">
        <v>4</v>
      </c>
      <c r="M421" s="37">
        <v>4</v>
      </c>
      <c r="N421" s="37">
        <v>4</v>
      </c>
      <c r="O421" s="37">
        <v>4</v>
      </c>
      <c r="P421" s="37">
        <v>4</v>
      </c>
      <c r="Q421" s="37">
        <v>7</v>
      </c>
      <c r="R421" s="37">
        <v>8</v>
      </c>
      <c r="S421" s="37">
        <v>9</v>
      </c>
      <c r="T421" s="37">
        <v>10</v>
      </c>
      <c r="U421" s="37">
        <v>10</v>
      </c>
      <c r="V421" s="37">
        <v>10</v>
      </c>
      <c r="W421" s="37">
        <v>10</v>
      </c>
      <c r="X421" s="37">
        <v>10</v>
      </c>
      <c r="Z421" s="37">
        <v>9</v>
      </c>
      <c r="AA421" s="37">
        <v>9</v>
      </c>
      <c r="AB421" s="37">
        <v>9</v>
      </c>
      <c r="AC421" s="37">
        <v>9</v>
      </c>
      <c r="AD421" s="37">
        <v>9</v>
      </c>
      <c r="AE421" s="37">
        <v>9</v>
      </c>
      <c r="AF421" s="37">
        <v>9</v>
      </c>
      <c r="AG421" s="37">
        <v>4</v>
      </c>
      <c r="AH421" s="37">
        <v>4</v>
      </c>
      <c r="AI421" s="37">
        <v>4</v>
      </c>
      <c r="AJ421" s="37">
        <v>4</v>
      </c>
      <c r="AK421" s="37">
        <v>4</v>
      </c>
      <c r="AL421" s="37">
        <v>4</v>
      </c>
      <c r="AM421" s="37">
        <v>10</v>
      </c>
      <c r="AN421" s="37">
        <v>10</v>
      </c>
      <c r="AO421" s="37">
        <v>10</v>
      </c>
      <c r="AP421" s="37">
        <v>10</v>
      </c>
      <c r="AQ421" s="37">
        <v>10</v>
      </c>
      <c r="AR421" s="37">
        <v>10</v>
      </c>
      <c r="AS421" s="37">
        <v>10</v>
      </c>
      <c r="AT421" s="37">
        <v>10</v>
      </c>
    </row>
    <row r="422" spans="3:46" s="37" customFormat="1" x14ac:dyDescent="0.25"/>
    <row r="423" spans="3:46" s="37" customFormat="1" x14ac:dyDescent="0.25">
      <c r="C423" s="37" t="s">
        <v>20</v>
      </c>
      <c r="D423" s="37">
        <v>14</v>
      </c>
      <c r="E423" s="37">
        <v>14</v>
      </c>
      <c r="F423" s="37">
        <v>14</v>
      </c>
      <c r="G423" s="37">
        <v>14</v>
      </c>
      <c r="H423" s="37">
        <v>14</v>
      </c>
      <c r="I423" s="37">
        <v>14</v>
      </c>
      <c r="J423" s="37">
        <v>14</v>
      </c>
      <c r="K423" s="37">
        <v>5</v>
      </c>
      <c r="L423" s="37">
        <v>5</v>
      </c>
      <c r="M423" s="37">
        <v>5</v>
      </c>
      <c r="N423" s="37">
        <v>5</v>
      </c>
      <c r="O423" s="37">
        <v>5</v>
      </c>
      <c r="P423" s="37">
        <v>5</v>
      </c>
      <c r="Q423" s="37">
        <v>10</v>
      </c>
      <c r="R423" s="37">
        <v>11</v>
      </c>
      <c r="S423" s="37">
        <v>11</v>
      </c>
      <c r="T423" s="37">
        <v>11</v>
      </c>
      <c r="U423" s="37">
        <v>11</v>
      </c>
      <c r="V423" s="37">
        <v>11</v>
      </c>
      <c r="W423" s="37">
        <v>11</v>
      </c>
      <c r="X423" s="37">
        <v>11</v>
      </c>
      <c r="Z423" s="37">
        <v>14</v>
      </c>
      <c r="AA423" s="37">
        <v>14</v>
      </c>
      <c r="AB423" s="37">
        <v>14</v>
      </c>
      <c r="AC423" s="37">
        <v>14</v>
      </c>
      <c r="AD423" s="37">
        <v>14</v>
      </c>
      <c r="AE423" s="37">
        <v>14</v>
      </c>
      <c r="AF423" s="37">
        <v>14</v>
      </c>
      <c r="AG423" s="37">
        <v>5</v>
      </c>
      <c r="AH423" s="37">
        <v>5</v>
      </c>
      <c r="AI423" s="37">
        <v>5</v>
      </c>
      <c r="AJ423" s="37">
        <v>5</v>
      </c>
      <c r="AK423" s="37">
        <v>5</v>
      </c>
      <c r="AL423" s="37">
        <v>5</v>
      </c>
      <c r="AM423" s="37">
        <v>12</v>
      </c>
      <c r="AN423" s="37">
        <v>12</v>
      </c>
      <c r="AO423" s="37">
        <v>12</v>
      </c>
      <c r="AP423" s="37">
        <v>12</v>
      </c>
      <c r="AQ423" s="37">
        <v>12</v>
      </c>
      <c r="AR423" s="37">
        <v>12</v>
      </c>
      <c r="AS423" s="37">
        <v>12</v>
      </c>
      <c r="AT423" s="37">
        <v>12</v>
      </c>
    </row>
    <row r="424" spans="3:46" s="37" customFormat="1" x14ac:dyDescent="0.25"/>
    <row r="425" spans="3:46" s="37" customFormat="1" x14ac:dyDescent="0.25">
      <c r="C425" s="37" t="s">
        <v>21</v>
      </c>
      <c r="D425" s="37">
        <v>10</v>
      </c>
      <c r="E425" s="37">
        <v>10</v>
      </c>
      <c r="F425" s="37">
        <v>10</v>
      </c>
      <c r="G425" s="37">
        <v>10</v>
      </c>
      <c r="H425" s="37">
        <v>10</v>
      </c>
      <c r="I425" s="37">
        <v>10</v>
      </c>
      <c r="J425" s="37">
        <v>9</v>
      </c>
      <c r="K425" s="37">
        <v>5</v>
      </c>
      <c r="L425" s="37">
        <v>5</v>
      </c>
      <c r="M425" s="37">
        <v>5</v>
      </c>
      <c r="N425" s="37">
        <v>5</v>
      </c>
      <c r="O425" s="37">
        <v>5</v>
      </c>
      <c r="P425" s="37">
        <v>5</v>
      </c>
      <c r="Q425" s="37">
        <v>9</v>
      </c>
      <c r="R425" s="37">
        <v>10</v>
      </c>
      <c r="S425" s="37">
        <v>11</v>
      </c>
      <c r="T425" s="37">
        <v>12</v>
      </c>
      <c r="U425" s="37">
        <v>12</v>
      </c>
      <c r="V425" s="37">
        <v>12</v>
      </c>
      <c r="W425" s="37">
        <v>12</v>
      </c>
      <c r="X425" s="37">
        <v>12</v>
      </c>
      <c r="Z425" s="37">
        <v>10</v>
      </c>
      <c r="AA425" s="37">
        <v>10</v>
      </c>
      <c r="AB425" s="37">
        <v>10</v>
      </c>
      <c r="AC425" s="37">
        <v>10</v>
      </c>
      <c r="AD425" s="37">
        <v>10</v>
      </c>
      <c r="AE425" s="37">
        <v>10</v>
      </c>
      <c r="AF425" s="37">
        <v>10</v>
      </c>
      <c r="AG425" s="37">
        <v>5</v>
      </c>
      <c r="AH425" s="37">
        <v>5</v>
      </c>
      <c r="AI425" s="37">
        <v>5</v>
      </c>
      <c r="AJ425" s="37">
        <v>5</v>
      </c>
      <c r="AK425" s="37">
        <v>5</v>
      </c>
      <c r="AL425" s="37">
        <v>5</v>
      </c>
      <c r="AM425" s="37">
        <v>13</v>
      </c>
      <c r="AN425" s="37">
        <v>13</v>
      </c>
      <c r="AO425" s="37">
        <v>13</v>
      </c>
      <c r="AP425" s="37">
        <v>13</v>
      </c>
      <c r="AQ425" s="37">
        <v>13</v>
      </c>
      <c r="AR425" s="37">
        <v>13</v>
      </c>
      <c r="AS425" s="37">
        <v>13</v>
      </c>
      <c r="AT425" s="37">
        <v>13</v>
      </c>
    </row>
    <row r="426" spans="3:46" s="37" customFormat="1" x14ac:dyDescent="0.25"/>
    <row r="427" spans="3:46" s="37" customFormat="1" x14ac:dyDescent="0.25">
      <c r="C427" s="37" t="s">
        <v>20</v>
      </c>
      <c r="D427" s="37">
        <v>10</v>
      </c>
      <c r="E427" s="37">
        <v>10</v>
      </c>
      <c r="F427" s="37">
        <v>10</v>
      </c>
      <c r="G427" s="37">
        <v>10</v>
      </c>
      <c r="H427" s="37">
        <v>10</v>
      </c>
      <c r="I427" s="37">
        <v>10</v>
      </c>
      <c r="J427" s="37">
        <v>9</v>
      </c>
      <c r="K427" s="37">
        <v>4</v>
      </c>
      <c r="L427" s="37">
        <v>4</v>
      </c>
      <c r="M427" s="37">
        <v>4</v>
      </c>
      <c r="N427" s="37">
        <v>4</v>
      </c>
      <c r="O427" s="37">
        <v>4</v>
      </c>
      <c r="P427" s="37">
        <v>4</v>
      </c>
      <c r="Q427" s="37">
        <v>8</v>
      </c>
      <c r="R427" s="37">
        <v>9</v>
      </c>
      <c r="S427" s="37">
        <v>10</v>
      </c>
      <c r="T427" s="37">
        <v>11</v>
      </c>
      <c r="U427" s="37">
        <v>11</v>
      </c>
      <c r="V427" s="37">
        <v>11</v>
      </c>
      <c r="W427" s="37">
        <v>11</v>
      </c>
      <c r="X427" s="37">
        <v>11</v>
      </c>
      <c r="Z427" s="37">
        <v>10</v>
      </c>
      <c r="AA427" s="37">
        <v>10</v>
      </c>
      <c r="AB427" s="37">
        <v>10</v>
      </c>
      <c r="AC427" s="37">
        <v>10</v>
      </c>
      <c r="AD427" s="37">
        <v>10</v>
      </c>
      <c r="AE427" s="37">
        <v>10</v>
      </c>
      <c r="AF427" s="37">
        <v>10</v>
      </c>
      <c r="AG427" s="37">
        <v>4</v>
      </c>
      <c r="AH427" s="37">
        <v>4</v>
      </c>
      <c r="AI427" s="37">
        <v>4</v>
      </c>
      <c r="AJ427" s="37">
        <v>4</v>
      </c>
      <c r="AK427" s="37">
        <v>4</v>
      </c>
      <c r="AL427" s="37">
        <v>4</v>
      </c>
      <c r="AM427" s="37">
        <v>12</v>
      </c>
      <c r="AN427" s="37">
        <v>12</v>
      </c>
      <c r="AO427" s="37">
        <v>12</v>
      </c>
      <c r="AP427" s="37">
        <v>12</v>
      </c>
      <c r="AQ427" s="37">
        <v>12</v>
      </c>
      <c r="AR427" s="37">
        <v>12</v>
      </c>
      <c r="AS427" s="37">
        <v>12</v>
      </c>
      <c r="AT427" s="37">
        <v>12</v>
      </c>
    </row>
    <row r="428" spans="3:46" s="37" customFormat="1" x14ac:dyDescent="0.25"/>
    <row r="429" spans="3:46" s="37" customFormat="1" x14ac:dyDescent="0.25">
      <c r="C429" s="37" t="s">
        <v>21</v>
      </c>
      <c r="D429" s="37">
        <v>8</v>
      </c>
      <c r="E429" s="37">
        <v>8</v>
      </c>
      <c r="F429" s="37">
        <v>8</v>
      </c>
      <c r="G429" s="37">
        <v>8</v>
      </c>
      <c r="H429" s="37">
        <v>8</v>
      </c>
      <c r="I429" s="37">
        <v>7</v>
      </c>
      <c r="J429" s="37">
        <v>6</v>
      </c>
      <c r="K429" s="37">
        <v>4</v>
      </c>
      <c r="L429" s="37">
        <v>4</v>
      </c>
      <c r="M429" s="37">
        <v>4</v>
      </c>
      <c r="N429" s="37">
        <v>4</v>
      </c>
      <c r="O429" s="37">
        <v>4</v>
      </c>
      <c r="P429" s="37">
        <v>4</v>
      </c>
      <c r="Q429" s="37">
        <v>4</v>
      </c>
      <c r="R429" s="37">
        <v>4</v>
      </c>
      <c r="S429" s="37">
        <v>5</v>
      </c>
      <c r="T429" s="37">
        <v>5</v>
      </c>
      <c r="U429" s="37">
        <v>6</v>
      </c>
      <c r="V429" s="37">
        <v>6</v>
      </c>
      <c r="W429" s="37">
        <v>6</v>
      </c>
      <c r="X429" s="37">
        <v>6</v>
      </c>
      <c r="Z429" s="37">
        <v>8</v>
      </c>
      <c r="AA429" s="37">
        <v>8</v>
      </c>
      <c r="AB429" s="37">
        <v>8</v>
      </c>
      <c r="AC429" s="37">
        <v>8</v>
      </c>
      <c r="AD429" s="37">
        <v>8</v>
      </c>
      <c r="AE429" s="37">
        <v>8</v>
      </c>
      <c r="AF429" s="37">
        <v>8</v>
      </c>
      <c r="AG429" s="37">
        <v>4</v>
      </c>
      <c r="AH429" s="37">
        <v>4</v>
      </c>
      <c r="AI429" s="37">
        <v>4</v>
      </c>
      <c r="AJ429" s="37">
        <v>4</v>
      </c>
      <c r="AK429" s="37">
        <v>4</v>
      </c>
      <c r="AL429" s="37">
        <v>4</v>
      </c>
      <c r="AM429" s="37">
        <v>6</v>
      </c>
      <c r="AN429" s="37">
        <v>6</v>
      </c>
      <c r="AO429" s="37">
        <v>6</v>
      </c>
      <c r="AP429" s="37">
        <v>6</v>
      </c>
      <c r="AQ429" s="37">
        <v>6</v>
      </c>
      <c r="AR429" s="37">
        <v>6</v>
      </c>
      <c r="AS429" s="37">
        <v>6</v>
      </c>
      <c r="AT429" s="37">
        <v>6</v>
      </c>
    </row>
    <row r="430" spans="3:46" s="37" customFormat="1" x14ac:dyDescent="0.25"/>
    <row r="431" spans="3:46" s="37" customFormat="1" x14ac:dyDescent="0.25">
      <c r="C431" s="37" t="s">
        <v>20</v>
      </c>
      <c r="D431" s="37">
        <v>11</v>
      </c>
      <c r="E431" s="37">
        <v>11</v>
      </c>
      <c r="F431" s="37">
        <v>11</v>
      </c>
      <c r="G431" s="37">
        <v>11</v>
      </c>
      <c r="H431" s="37">
        <v>10</v>
      </c>
      <c r="I431" s="37">
        <v>9</v>
      </c>
      <c r="J431" s="37">
        <v>8</v>
      </c>
      <c r="K431" s="37">
        <v>5</v>
      </c>
      <c r="L431" s="37">
        <v>5</v>
      </c>
      <c r="M431" s="37">
        <v>5</v>
      </c>
      <c r="N431" s="37">
        <v>3</v>
      </c>
      <c r="O431" s="37">
        <v>5</v>
      </c>
      <c r="P431" s="37">
        <v>5</v>
      </c>
      <c r="Q431" s="37">
        <v>8</v>
      </c>
      <c r="R431" s="37">
        <v>9</v>
      </c>
      <c r="S431" s="37">
        <v>10</v>
      </c>
      <c r="T431" s="37">
        <v>11</v>
      </c>
      <c r="U431" s="37">
        <v>12</v>
      </c>
      <c r="V431" s="37">
        <v>12</v>
      </c>
      <c r="W431" s="37">
        <v>12</v>
      </c>
      <c r="X431" s="37">
        <v>12</v>
      </c>
      <c r="Z431" s="37">
        <v>11</v>
      </c>
      <c r="AA431" s="37">
        <v>11</v>
      </c>
      <c r="AB431" s="37">
        <v>11</v>
      </c>
      <c r="AC431" s="37">
        <v>11</v>
      </c>
      <c r="AD431" s="37">
        <v>11</v>
      </c>
      <c r="AE431" s="37">
        <v>11</v>
      </c>
      <c r="AF431" s="37">
        <v>11</v>
      </c>
      <c r="AG431" s="37">
        <v>5</v>
      </c>
      <c r="AH431" s="37">
        <v>5</v>
      </c>
      <c r="AI431" s="37">
        <v>5</v>
      </c>
      <c r="AJ431" s="37">
        <v>5</v>
      </c>
      <c r="AK431" s="37">
        <v>5</v>
      </c>
      <c r="AL431" s="37">
        <v>5</v>
      </c>
      <c r="AM431" s="37">
        <v>13</v>
      </c>
      <c r="AN431" s="37">
        <v>13</v>
      </c>
      <c r="AO431" s="37">
        <v>13</v>
      </c>
      <c r="AP431" s="37">
        <v>13</v>
      </c>
      <c r="AQ431" s="37">
        <v>13</v>
      </c>
      <c r="AR431" s="37">
        <v>13</v>
      </c>
      <c r="AS431" s="37">
        <v>13</v>
      </c>
      <c r="AT431" s="37">
        <v>13</v>
      </c>
    </row>
    <row r="432" spans="3:46" s="37" customFormat="1" x14ac:dyDescent="0.25"/>
    <row r="433" spans="3:46" s="37" customFormat="1" x14ac:dyDescent="0.25">
      <c r="C433" s="37" t="s">
        <v>21</v>
      </c>
      <c r="D433" s="37">
        <v>7</v>
      </c>
      <c r="E433" s="37">
        <v>7</v>
      </c>
      <c r="F433" s="37">
        <v>7</v>
      </c>
      <c r="G433" s="37">
        <v>7</v>
      </c>
      <c r="H433" s="37">
        <v>6</v>
      </c>
      <c r="I433" s="37">
        <v>6</v>
      </c>
      <c r="J433" s="37">
        <v>5</v>
      </c>
      <c r="K433" s="37">
        <v>4</v>
      </c>
      <c r="L433" s="37">
        <v>4</v>
      </c>
      <c r="M433" s="37">
        <v>4</v>
      </c>
      <c r="N433" s="37">
        <v>4</v>
      </c>
      <c r="O433" s="37">
        <v>4</v>
      </c>
      <c r="P433" s="37">
        <v>4</v>
      </c>
      <c r="Q433" s="37">
        <v>4</v>
      </c>
      <c r="R433" s="37">
        <v>4</v>
      </c>
      <c r="S433" s="37">
        <v>5</v>
      </c>
      <c r="T433" s="37">
        <v>6</v>
      </c>
      <c r="U433" s="37">
        <v>6</v>
      </c>
      <c r="V433" s="37">
        <v>7</v>
      </c>
      <c r="W433" s="37">
        <v>7</v>
      </c>
      <c r="X433" s="37">
        <v>7</v>
      </c>
      <c r="Z433" s="37">
        <v>7</v>
      </c>
      <c r="AA433" s="37">
        <v>7</v>
      </c>
      <c r="AB433" s="37">
        <v>7</v>
      </c>
      <c r="AC433" s="37">
        <v>7</v>
      </c>
      <c r="AD433" s="37">
        <v>7</v>
      </c>
      <c r="AE433" s="37">
        <v>7</v>
      </c>
      <c r="AF433" s="37">
        <v>7</v>
      </c>
      <c r="AG433" s="37">
        <v>4</v>
      </c>
      <c r="AH433" s="37">
        <v>4</v>
      </c>
      <c r="AI433" s="37">
        <v>4</v>
      </c>
      <c r="AJ433" s="37">
        <v>4</v>
      </c>
      <c r="AK433" s="37">
        <v>4</v>
      </c>
      <c r="AL433" s="37">
        <v>4</v>
      </c>
      <c r="AM433" s="37">
        <v>7</v>
      </c>
      <c r="AN433" s="37">
        <v>7</v>
      </c>
      <c r="AO433" s="37">
        <v>7</v>
      </c>
      <c r="AP433" s="37">
        <v>7</v>
      </c>
      <c r="AQ433" s="37">
        <v>7</v>
      </c>
      <c r="AR433" s="37">
        <v>7</v>
      </c>
      <c r="AS433" s="37">
        <v>7</v>
      </c>
      <c r="AT433" s="37">
        <v>7</v>
      </c>
    </row>
    <row r="434" spans="3:46" s="37" customFormat="1" x14ac:dyDescent="0.25"/>
    <row r="435" spans="3:46" s="37" customFormat="1" x14ac:dyDescent="0.25">
      <c r="C435" s="37" t="s">
        <v>20</v>
      </c>
      <c r="D435" s="37">
        <v>11</v>
      </c>
      <c r="E435" s="37">
        <v>11</v>
      </c>
      <c r="F435" s="37">
        <v>11</v>
      </c>
      <c r="G435" s="37">
        <v>11</v>
      </c>
      <c r="H435" s="37">
        <v>10</v>
      </c>
      <c r="I435" s="37">
        <v>9</v>
      </c>
      <c r="J435" s="37">
        <v>8</v>
      </c>
      <c r="K435" s="37">
        <v>5</v>
      </c>
      <c r="L435" s="37">
        <v>5</v>
      </c>
      <c r="M435" s="37">
        <v>5</v>
      </c>
      <c r="N435" s="37">
        <v>3</v>
      </c>
      <c r="O435" s="37">
        <v>5</v>
      </c>
      <c r="P435" s="37">
        <v>5</v>
      </c>
      <c r="Q435" s="37">
        <v>8</v>
      </c>
      <c r="R435" s="37">
        <v>9</v>
      </c>
      <c r="S435" s="37">
        <v>10</v>
      </c>
      <c r="T435" s="37">
        <v>11</v>
      </c>
      <c r="U435" s="37">
        <v>12</v>
      </c>
      <c r="V435" s="37">
        <v>12</v>
      </c>
      <c r="W435" s="37">
        <v>12</v>
      </c>
      <c r="X435" s="37">
        <v>12</v>
      </c>
      <c r="Z435" s="37">
        <v>11</v>
      </c>
      <c r="AA435" s="37">
        <v>11</v>
      </c>
      <c r="AB435" s="37">
        <v>11</v>
      </c>
      <c r="AC435" s="37">
        <v>11</v>
      </c>
      <c r="AD435" s="37">
        <v>11</v>
      </c>
      <c r="AE435" s="37">
        <v>11</v>
      </c>
      <c r="AF435" s="37">
        <v>11</v>
      </c>
      <c r="AG435" s="37">
        <v>5</v>
      </c>
      <c r="AH435" s="37">
        <v>5</v>
      </c>
      <c r="AI435" s="37">
        <v>5</v>
      </c>
      <c r="AJ435" s="37">
        <v>5</v>
      </c>
      <c r="AK435" s="37">
        <v>5</v>
      </c>
      <c r="AL435" s="37">
        <v>5</v>
      </c>
      <c r="AM435" s="37">
        <v>13</v>
      </c>
      <c r="AN435" s="37">
        <v>13</v>
      </c>
      <c r="AO435" s="37">
        <v>13</v>
      </c>
      <c r="AP435" s="37">
        <v>13</v>
      </c>
      <c r="AQ435" s="37">
        <v>13</v>
      </c>
      <c r="AR435" s="37">
        <v>13</v>
      </c>
      <c r="AS435" s="37">
        <v>13</v>
      </c>
      <c r="AT435" s="37">
        <v>13</v>
      </c>
    </row>
    <row r="436" spans="3:46" s="37" customFormat="1" x14ac:dyDescent="0.25"/>
    <row r="437" spans="3:46" s="37" customFormat="1" x14ac:dyDescent="0.25">
      <c r="C437" s="37" t="s">
        <v>21</v>
      </c>
      <c r="D437" s="37">
        <v>6</v>
      </c>
      <c r="E437" s="37">
        <v>6</v>
      </c>
      <c r="F437" s="37">
        <v>6</v>
      </c>
      <c r="G437" s="37">
        <v>6</v>
      </c>
      <c r="H437" s="37">
        <v>5</v>
      </c>
      <c r="I437" s="37">
        <v>5</v>
      </c>
      <c r="J437" s="37">
        <v>4</v>
      </c>
      <c r="K437" s="37">
        <v>4</v>
      </c>
      <c r="L437" s="37">
        <v>4</v>
      </c>
      <c r="M437" s="37">
        <v>4</v>
      </c>
      <c r="N437" s="37">
        <v>4</v>
      </c>
      <c r="O437" s="37">
        <v>4</v>
      </c>
      <c r="P437" s="37">
        <v>4</v>
      </c>
      <c r="Q437" s="37">
        <v>4</v>
      </c>
      <c r="R437" s="37">
        <v>4</v>
      </c>
      <c r="S437" s="37">
        <v>5</v>
      </c>
      <c r="T437" s="37">
        <v>6</v>
      </c>
      <c r="U437" s="37">
        <v>6</v>
      </c>
      <c r="V437" s="37">
        <v>7</v>
      </c>
      <c r="W437" s="37">
        <v>7</v>
      </c>
      <c r="X437" s="37">
        <v>7</v>
      </c>
      <c r="Z437" s="37">
        <v>6</v>
      </c>
      <c r="AA437" s="37">
        <v>6</v>
      </c>
      <c r="AB437" s="37">
        <v>6</v>
      </c>
      <c r="AC437" s="37">
        <v>6</v>
      </c>
      <c r="AD437" s="37">
        <v>6</v>
      </c>
      <c r="AE437" s="37">
        <v>6</v>
      </c>
      <c r="AF437" s="37">
        <v>6</v>
      </c>
      <c r="AG437" s="37">
        <v>4</v>
      </c>
      <c r="AH437" s="37">
        <v>4</v>
      </c>
      <c r="AI437" s="37">
        <v>4</v>
      </c>
      <c r="AJ437" s="37">
        <v>4</v>
      </c>
      <c r="AK437" s="37">
        <v>4</v>
      </c>
      <c r="AL437" s="37">
        <v>4</v>
      </c>
      <c r="AM437" s="37">
        <v>7</v>
      </c>
      <c r="AN437" s="37">
        <v>7</v>
      </c>
      <c r="AO437" s="37">
        <v>7</v>
      </c>
      <c r="AP437" s="37">
        <v>7</v>
      </c>
      <c r="AQ437" s="37">
        <v>7</v>
      </c>
      <c r="AR437" s="37">
        <v>7</v>
      </c>
      <c r="AS437" s="37">
        <v>7</v>
      </c>
      <c r="AT437" s="37">
        <v>7</v>
      </c>
    </row>
    <row r="438" spans="3:46" s="37" customFormat="1" x14ac:dyDescent="0.25"/>
    <row r="439" spans="3:46" s="37" customFormat="1" x14ac:dyDescent="0.25">
      <c r="C439" s="37" t="s">
        <v>20</v>
      </c>
      <c r="D439" s="37">
        <v>10</v>
      </c>
      <c r="E439" s="37">
        <v>10</v>
      </c>
      <c r="F439" s="37">
        <v>10</v>
      </c>
      <c r="G439" s="37">
        <v>10</v>
      </c>
      <c r="H439" s="37">
        <v>10</v>
      </c>
      <c r="I439" s="37">
        <v>10</v>
      </c>
      <c r="J439" s="37">
        <v>10</v>
      </c>
      <c r="K439" s="37">
        <v>4</v>
      </c>
      <c r="L439" s="37">
        <v>4</v>
      </c>
      <c r="M439" s="37">
        <v>4</v>
      </c>
      <c r="N439" s="37">
        <v>4</v>
      </c>
      <c r="O439" s="37">
        <v>4</v>
      </c>
      <c r="P439" s="37">
        <v>4</v>
      </c>
      <c r="Q439" s="37">
        <v>9</v>
      </c>
      <c r="R439" s="37">
        <v>10</v>
      </c>
      <c r="S439" s="37">
        <v>11</v>
      </c>
      <c r="T439" s="37">
        <v>11</v>
      </c>
      <c r="U439" s="37">
        <v>11</v>
      </c>
      <c r="V439" s="37">
        <v>11</v>
      </c>
      <c r="W439" s="37">
        <v>11</v>
      </c>
      <c r="X439" s="37">
        <v>11</v>
      </c>
      <c r="Z439" s="37">
        <v>10</v>
      </c>
      <c r="AA439" s="37">
        <v>10</v>
      </c>
      <c r="AB439" s="37">
        <v>10</v>
      </c>
      <c r="AC439" s="37">
        <v>10</v>
      </c>
      <c r="AD439" s="37">
        <v>10</v>
      </c>
      <c r="AE439" s="37">
        <v>10</v>
      </c>
      <c r="AF439" s="37">
        <v>10</v>
      </c>
      <c r="AG439" s="37">
        <v>4</v>
      </c>
      <c r="AH439" s="37">
        <v>4</v>
      </c>
      <c r="AI439" s="37">
        <v>4</v>
      </c>
      <c r="AJ439" s="37">
        <v>4</v>
      </c>
      <c r="AK439" s="37">
        <v>4</v>
      </c>
      <c r="AL439" s="37">
        <v>4</v>
      </c>
      <c r="AM439" s="37">
        <v>12</v>
      </c>
      <c r="AN439" s="37">
        <v>12</v>
      </c>
      <c r="AO439" s="37">
        <v>12</v>
      </c>
      <c r="AP439" s="37">
        <v>12</v>
      </c>
      <c r="AQ439" s="37">
        <v>12</v>
      </c>
      <c r="AR439" s="37">
        <v>12</v>
      </c>
      <c r="AS439" s="37">
        <v>12</v>
      </c>
      <c r="AT439" s="37">
        <v>12</v>
      </c>
    </row>
    <row r="440" spans="3:46" s="37" customFormat="1" x14ac:dyDescent="0.25"/>
    <row r="441" spans="3:46" s="37" customFormat="1" x14ac:dyDescent="0.25">
      <c r="C441" s="37" t="s">
        <v>21</v>
      </c>
      <c r="D441" s="37">
        <v>8</v>
      </c>
      <c r="E441" s="37">
        <v>8</v>
      </c>
      <c r="F441" s="37">
        <v>8</v>
      </c>
      <c r="G441" s="37">
        <v>8</v>
      </c>
      <c r="H441" s="37">
        <v>8</v>
      </c>
      <c r="I441" s="37">
        <v>8</v>
      </c>
      <c r="J441" s="37">
        <v>7</v>
      </c>
      <c r="K441" s="37">
        <v>4</v>
      </c>
      <c r="L441" s="37">
        <v>4</v>
      </c>
      <c r="M441" s="37">
        <v>4</v>
      </c>
      <c r="N441" s="37">
        <v>4</v>
      </c>
      <c r="O441" s="37">
        <v>4</v>
      </c>
      <c r="P441" s="37">
        <v>4</v>
      </c>
      <c r="Q441" s="37">
        <v>4</v>
      </c>
      <c r="R441" s="37">
        <v>5</v>
      </c>
      <c r="S441" s="37">
        <v>6</v>
      </c>
      <c r="T441" s="37">
        <v>6</v>
      </c>
      <c r="U441" s="37">
        <v>7</v>
      </c>
      <c r="V441" s="37">
        <v>7</v>
      </c>
      <c r="W441" s="37">
        <v>7</v>
      </c>
      <c r="X441" s="37">
        <v>7</v>
      </c>
      <c r="Z441" s="37">
        <v>8</v>
      </c>
      <c r="AA441" s="37">
        <v>8</v>
      </c>
      <c r="AB441" s="37">
        <v>8</v>
      </c>
      <c r="AC441" s="37">
        <v>8</v>
      </c>
      <c r="AD441" s="37">
        <v>8</v>
      </c>
      <c r="AE441" s="37">
        <v>8</v>
      </c>
      <c r="AF441" s="37">
        <v>8</v>
      </c>
      <c r="AG441" s="37">
        <v>4</v>
      </c>
      <c r="AH441" s="37">
        <v>4</v>
      </c>
      <c r="AI441" s="37">
        <v>4</v>
      </c>
      <c r="AJ441" s="37">
        <v>4</v>
      </c>
      <c r="AK441" s="37">
        <v>4</v>
      </c>
      <c r="AL441" s="37">
        <v>4</v>
      </c>
      <c r="AM441" s="37">
        <v>7</v>
      </c>
      <c r="AN441" s="37">
        <v>7</v>
      </c>
      <c r="AO441" s="37">
        <v>7</v>
      </c>
      <c r="AP441" s="37">
        <v>7</v>
      </c>
      <c r="AQ441" s="37">
        <v>7</v>
      </c>
      <c r="AR441" s="37">
        <v>7</v>
      </c>
      <c r="AS441" s="37">
        <v>7</v>
      </c>
      <c r="AT441" s="37">
        <v>7</v>
      </c>
    </row>
    <row r="442" spans="3:46" s="37" customFormat="1" x14ac:dyDescent="0.25"/>
    <row r="443" spans="3:46" s="37" customFormat="1" x14ac:dyDescent="0.25">
      <c r="C443" s="37" t="s">
        <v>20</v>
      </c>
      <c r="D443" s="37">
        <v>7</v>
      </c>
      <c r="E443" s="37">
        <v>7</v>
      </c>
      <c r="F443" s="37">
        <v>7</v>
      </c>
      <c r="G443" s="37">
        <v>7</v>
      </c>
      <c r="H443" s="37">
        <v>7</v>
      </c>
      <c r="I443" s="37">
        <v>7</v>
      </c>
      <c r="J443" s="37">
        <v>7</v>
      </c>
      <c r="K443" s="37">
        <v>3</v>
      </c>
      <c r="L443" s="37">
        <v>3</v>
      </c>
      <c r="M443" s="37">
        <v>3</v>
      </c>
      <c r="N443" s="37">
        <v>3</v>
      </c>
      <c r="O443" s="37">
        <v>3</v>
      </c>
      <c r="P443" s="37">
        <v>3</v>
      </c>
      <c r="Q443" s="37">
        <v>6</v>
      </c>
      <c r="R443" s="37">
        <v>6</v>
      </c>
      <c r="S443" s="37">
        <v>7</v>
      </c>
      <c r="T443" s="37">
        <v>7</v>
      </c>
      <c r="U443" s="37">
        <v>7</v>
      </c>
      <c r="V443" s="37">
        <v>7</v>
      </c>
      <c r="W443" s="37">
        <v>7</v>
      </c>
      <c r="X443" s="37">
        <v>7</v>
      </c>
      <c r="Z443" s="37">
        <v>7</v>
      </c>
      <c r="AA443" s="37">
        <v>7</v>
      </c>
      <c r="AB443" s="37">
        <v>7</v>
      </c>
      <c r="AC443" s="37">
        <v>7</v>
      </c>
      <c r="AD443" s="37">
        <v>7</v>
      </c>
      <c r="AE443" s="37">
        <v>7</v>
      </c>
      <c r="AF443" s="37">
        <v>7</v>
      </c>
      <c r="AG443" s="37">
        <v>3</v>
      </c>
      <c r="AH443" s="37">
        <v>3</v>
      </c>
      <c r="AI443" s="37">
        <v>3</v>
      </c>
      <c r="AJ443" s="37">
        <v>3</v>
      </c>
      <c r="AK443" s="37">
        <v>3</v>
      </c>
      <c r="AL443" s="37">
        <v>3</v>
      </c>
      <c r="AM443" s="37">
        <v>7</v>
      </c>
      <c r="AN443" s="37">
        <v>7</v>
      </c>
      <c r="AO443" s="37">
        <v>7</v>
      </c>
      <c r="AP443" s="37">
        <v>7</v>
      </c>
      <c r="AQ443" s="37">
        <v>7</v>
      </c>
      <c r="AR443" s="37">
        <v>7</v>
      </c>
      <c r="AS443" s="37">
        <v>7</v>
      </c>
      <c r="AT443" s="37">
        <v>7</v>
      </c>
    </row>
    <row r="444" spans="3:46" s="37" customFormat="1" x14ac:dyDescent="0.25"/>
    <row r="445" spans="3:46" s="37" customFormat="1" x14ac:dyDescent="0.25">
      <c r="C445" s="37" t="s">
        <v>21</v>
      </c>
      <c r="D445" s="37">
        <v>9</v>
      </c>
      <c r="E445" s="37">
        <v>9</v>
      </c>
      <c r="F445" s="37">
        <v>9</v>
      </c>
      <c r="G445" s="37">
        <v>9</v>
      </c>
      <c r="H445" s="37">
        <v>9</v>
      </c>
      <c r="I445" s="37">
        <v>8</v>
      </c>
      <c r="J445" s="37">
        <v>7</v>
      </c>
      <c r="K445" s="37">
        <v>4</v>
      </c>
      <c r="L445" s="37">
        <v>4</v>
      </c>
      <c r="M445" s="37">
        <v>4</v>
      </c>
      <c r="N445" s="37">
        <v>4</v>
      </c>
      <c r="O445" s="37">
        <v>4</v>
      </c>
      <c r="P445" s="37">
        <v>4</v>
      </c>
      <c r="Q445" s="37">
        <v>5</v>
      </c>
      <c r="R445" s="37">
        <v>6</v>
      </c>
      <c r="S445" s="37">
        <v>7</v>
      </c>
      <c r="T445" s="37">
        <v>8</v>
      </c>
      <c r="U445" s="37">
        <v>9</v>
      </c>
      <c r="V445" s="37">
        <v>9</v>
      </c>
      <c r="W445" s="37">
        <v>9</v>
      </c>
      <c r="X445" s="37">
        <v>9</v>
      </c>
      <c r="Z445" s="37">
        <v>9</v>
      </c>
      <c r="AA445" s="37">
        <v>9</v>
      </c>
      <c r="AB445" s="37">
        <v>9</v>
      </c>
      <c r="AC445" s="37">
        <v>9</v>
      </c>
      <c r="AD445" s="37">
        <v>9</v>
      </c>
      <c r="AE445" s="37">
        <v>9</v>
      </c>
      <c r="AF445" s="37">
        <v>9</v>
      </c>
      <c r="AG445" s="37">
        <v>4</v>
      </c>
      <c r="AH445" s="37">
        <v>4</v>
      </c>
      <c r="AI445" s="37">
        <v>4</v>
      </c>
      <c r="AJ445" s="37">
        <v>4</v>
      </c>
      <c r="AK445" s="37">
        <v>4</v>
      </c>
      <c r="AL445" s="37">
        <v>4</v>
      </c>
      <c r="AM445" s="37">
        <v>9</v>
      </c>
      <c r="AN445" s="37">
        <v>9</v>
      </c>
      <c r="AO445" s="37">
        <v>9</v>
      </c>
      <c r="AP445" s="37">
        <v>9</v>
      </c>
      <c r="AQ445" s="37">
        <v>9</v>
      </c>
      <c r="AR445" s="37">
        <v>9</v>
      </c>
      <c r="AS445" s="37">
        <v>9</v>
      </c>
      <c r="AT445" s="37">
        <v>9</v>
      </c>
    </row>
    <row r="446" spans="3:46" s="37" customFormat="1" x14ac:dyDescent="0.25"/>
    <row r="447" spans="3:46" s="37" customFormat="1" x14ac:dyDescent="0.25">
      <c r="C447" s="37" t="s">
        <v>20</v>
      </c>
      <c r="D447" s="37">
        <v>7</v>
      </c>
      <c r="E447" s="37">
        <v>7</v>
      </c>
      <c r="F447" s="37">
        <v>7</v>
      </c>
      <c r="G447" s="37">
        <v>7</v>
      </c>
      <c r="H447" s="37">
        <v>7</v>
      </c>
      <c r="I447" s="37">
        <v>7</v>
      </c>
      <c r="J447" s="37">
        <v>7</v>
      </c>
      <c r="K447" s="37">
        <v>7</v>
      </c>
      <c r="L447" s="37">
        <v>6</v>
      </c>
      <c r="M447" s="37">
        <v>6</v>
      </c>
      <c r="N447" s="37">
        <v>6</v>
      </c>
      <c r="O447" s="37">
        <v>6</v>
      </c>
      <c r="P447" s="37">
        <v>7</v>
      </c>
      <c r="Q447" s="37">
        <v>8</v>
      </c>
      <c r="R447" s="37">
        <v>8</v>
      </c>
      <c r="S447" s="37">
        <v>8</v>
      </c>
      <c r="T447" s="37">
        <v>8</v>
      </c>
      <c r="U447" s="37">
        <v>8</v>
      </c>
      <c r="V447" s="37">
        <v>8</v>
      </c>
      <c r="W447" s="37">
        <v>8</v>
      </c>
      <c r="X447" s="37">
        <v>8</v>
      </c>
      <c r="Z447" s="37">
        <v>7</v>
      </c>
      <c r="AA447" s="37">
        <v>7</v>
      </c>
      <c r="AB447" s="37">
        <v>7</v>
      </c>
      <c r="AC447" s="37">
        <v>7</v>
      </c>
      <c r="AD447" s="37">
        <v>7</v>
      </c>
      <c r="AE447" s="37">
        <v>7</v>
      </c>
      <c r="AF447" s="37">
        <v>7</v>
      </c>
      <c r="AG447" s="37">
        <v>7</v>
      </c>
      <c r="AH447" s="37">
        <v>7</v>
      </c>
      <c r="AI447" s="37">
        <v>7</v>
      </c>
      <c r="AJ447" s="37">
        <v>7</v>
      </c>
      <c r="AK447" s="37">
        <v>7</v>
      </c>
      <c r="AL447" s="37">
        <v>7</v>
      </c>
      <c r="AM447" s="37">
        <v>8</v>
      </c>
      <c r="AN447" s="37">
        <v>8</v>
      </c>
      <c r="AO447" s="37">
        <v>8</v>
      </c>
      <c r="AP447" s="37">
        <v>8</v>
      </c>
      <c r="AQ447" s="37">
        <v>8</v>
      </c>
      <c r="AR447" s="37">
        <v>8</v>
      </c>
      <c r="AS447" s="37">
        <v>8</v>
      </c>
      <c r="AT447" s="37">
        <v>8</v>
      </c>
    </row>
    <row r="448" spans="3:46" s="37" customFormat="1" x14ac:dyDescent="0.25"/>
    <row r="449" spans="3:46" s="37" customFormat="1" x14ac:dyDescent="0.25">
      <c r="C449" s="37" t="s">
        <v>21</v>
      </c>
      <c r="D449" s="37">
        <v>11</v>
      </c>
      <c r="E449" s="37">
        <v>11</v>
      </c>
      <c r="F449" s="37">
        <v>11</v>
      </c>
      <c r="G449" s="37">
        <v>11</v>
      </c>
      <c r="H449" s="37">
        <v>11</v>
      </c>
      <c r="I449" s="37">
        <v>11</v>
      </c>
      <c r="J449" s="37">
        <v>10</v>
      </c>
      <c r="K449" s="37">
        <v>10</v>
      </c>
      <c r="L449" s="37">
        <v>10</v>
      </c>
      <c r="M449" s="37">
        <v>10</v>
      </c>
      <c r="N449" s="37">
        <v>10</v>
      </c>
      <c r="O449" s="37">
        <v>10</v>
      </c>
      <c r="P449" s="37">
        <v>10</v>
      </c>
      <c r="Q449" s="37">
        <v>10</v>
      </c>
      <c r="R449" s="37">
        <v>10</v>
      </c>
      <c r="S449" s="37">
        <v>10</v>
      </c>
      <c r="T449" s="37">
        <v>10</v>
      </c>
      <c r="U449" s="37">
        <v>10</v>
      </c>
      <c r="V449" s="37">
        <v>10</v>
      </c>
      <c r="W449" s="37">
        <v>10</v>
      </c>
      <c r="X449" s="37">
        <v>10</v>
      </c>
      <c r="Z449" s="37">
        <v>11</v>
      </c>
      <c r="AA449" s="37">
        <v>11</v>
      </c>
      <c r="AB449" s="37">
        <v>11</v>
      </c>
      <c r="AC449" s="37">
        <v>11</v>
      </c>
      <c r="AD449" s="37">
        <v>11</v>
      </c>
      <c r="AE449" s="37">
        <v>11</v>
      </c>
      <c r="AF449" s="37">
        <v>11</v>
      </c>
      <c r="AG449" s="37">
        <v>10</v>
      </c>
      <c r="AH449" s="37">
        <v>10</v>
      </c>
      <c r="AI449" s="37">
        <v>10</v>
      </c>
      <c r="AJ449" s="37">
        <v>10</v>
      </c>
      <c r="AK449" s="37">
        <v>10</v>
      </c>
      <c r="AL449" s="37">
        <v>10</v>
      </c>
      <c r="AM449" s="37">
        <v>10</v>
      </c>
      <c r="AN449" s="37">
        <v>10</v>
      </c>
      <c r="AO449" s="37">
        <v>10</v>
      </c>
      <c r="AP449" s="37">
        <v>10</v>
      </c>
      <c r="AQ449" s="37">
        <v>10</v>
      </c>
      <c r="AR449" s="37">
        <v>10</v>
      </c>
      <c r="AS449" s="37">
        <v>10</v>
      </c>
      <c r="AT449" s="37">
        <v>10</v>
      </c>
    </row>
    <row r="450" spans="3:46" s="37" customFormat="1" x14ac:dyDescent="0.25"/>
    <row r="451" spans="3:46" s="37" customFormat="1" x14ac:dyDescent="0.25">
      <c r="C451" s="37" t="s">
        <v>20</v>
      </c>
      <c r="D451" s="37">
        <v>6</v>
      </c>
      <c r="E451" s="37">
        <v>6</v>
      </c>
      <c r="F451" s="37">
        <v>6</v>
      </c>
      <c r="G451" s="37">
        <v>6</v>
      </c>
      <c r="H451" s="37">
        <v>6</v>
      </c>
      <c r="I451" s="37">
        <v>6</v>
      </c>
      <c r="J451" s="37">
        <v>6</v>
      </c>
      <c r="K451" s="37">
        <v>3</v>
      </c>
      <c r="L451" s="37">
        <v>3</v>
      </c>
      <c r="M451" s="37">
        <v>3</v>
      </c>
      <c r="N451" s="37">
        <v>3</v>
      </c>
      <c r="O451" s="37">
        <v>3</v>
      </c>
      <c r="P451" s="37">
        <v>3</v>
      </c>
      <c r="Q451" s="37">
        <v>8</v>
      </c>
      <c r="R451" s="37">
        <v>9</v>
      </c>
      <c r="S451" s="37">
        <v>9</v>
      </c>
      <c r="T451" s="37">
        <v>9</v>
      </c>
      <c r="U451" s="37">
        <v>9</v>
      </c>
      <c r="V451" s="37">
        <v>9</v>
      </c>
      <c r="W451" s="37">
        <v>9</v>
      </c>
      <c r="X451" s="37">
        <v>9</v>
      </c>
      <c r="Z451" s="37">
        <v>6</v>
      </c>
      <c r="AA451" s="37">
        <v>6</v>
      </c>
      <c r="AB451" s="37">
        <v>6</v>
      </c>
      <c r="AC451" s="37">
        <v>6</v>
      </c>
      <c r="AD451" s="37">
        <v>6</v>
      </c>
      <c r="AE451" s="37">
        <v>6</v>
      </c>
      <c r="AF451" s="37">
        <v>6</v>
      </c>
      <c r="AG451" s="37">
        <v>3</v>
      </c>
      <c r="AH451" s="37">
        <v>3</v>
      </c>
      <c r="AI451" s="37">
        <v>3</v>
      </c>
      <c r="AJ451" s="37">
        <v>3</v>
      </c>
      <c r="AK451" s="37">
        <v>3</v>
      </c>
      <c r="AL451" s="37">
        <v>3</v>
      </c>
      <c r="AM451" s="37">
        <v>9</v>
      </c>
      <c r="AN451" s="37">
        <v>9</v>
      </c>
      <c r="AO451" s="37">
        <v>9</v>
      </c>
      <c r="AP451" s="37">
        <v>9</v>
      </c>
      <c r="AQ451" s="37">
        <v>9</v>
      </c>
      <c r="AR451" s="37">
        <v>9</v>
      </c>
      <c r="AS451" s="37">
        <v>9</v>
      </c>
      <c r="AT451" s="37">
        <v>9</v>
      </c>
    </row>
    <row r="452" spans="3:46" s="37" customFormat="1" x14ac:dyDescent="0.25"/>
    <row r="453" spans="3:46" s="37" customFormat="1" x14ac:dyDescent="0.25">
      <c r="C453" s="37" t="s">
        <v>21</v>
      </c>
      <c r="D453" s="37">
        <v>10</v>
      </c>
      <c r="E453" s="37">
        <v>10</v>
      </c>
      <c r="F453" s="37">
        <v>10</v>
      </c>
      <c r="G453" s="37">
        <v>10</v>
      </c>
      <c r="H453" s="37">
        <v>10</v>
      </c>
      <c r="I453" s="37">
        <v>10</v>
      </c>
      <c r="J453" s="37">
        <v>9</v>
      </c>
      <c r="K453" s="37">
        <v>4</v>
      </c>
      <c r="L453" s="37">
        <v>4</v>
      </c>
      <c r="M453" s="37">
        <v>4</v>
      </c>
      <c r="N453" s="37">
        <v>4</v>
      </c>
      <c r="O453" s="37">
        <v>4</v>
      </c>
      <c r="P453" s="37">
        <v>4</v>
      </c>
      <c r="Q453" s="37">
        <v>6</v>
      </c>
      <c r="R453" s="37">
        <v>6</v>
      </c>
      <c r="S453" s="37">
        <v>7</v>
      </c>
      <c r="T453" s="37">
        <v>8</v>
      </c>
      <c r="U453" s="37">
        <v>8</v>
      </c>
      <c r="V453" s="37">
        <v>8</v>
      </c>
      <c r="W453" s="37">
        <v>8</v>
      </c>
      <c r="X453" s="37">
        <v>8</v>
      </c>
      <c r="Z453" s="37">
        <v>10</v>
      </c>
      <c r="AA453" s="37">
        <v>10</v>
      </c>
      <c r="AB453" s="37">
        <v>10</v>
      </c>
      <c r="AC453" s="37">
        <v>10</v>
      </c>
      <c r="AD453" s="37">
        <v>10</v>
      </c>
      <c r="AE453" s="37">
        <v>10</v>
      </c>
      <c r="AF453" s="37">
        <v>10</v>
      </c>
      <c r="AG453" s="37">
        <v>4</v>
      </c>
      <c r="AH453" s="37">
        <v>4</v>
      </c>
      <c r="AI453" s="37">
        <v>4</v>
      </c>
      <c r="AJ453" s="37">
        <v>4</v>
      </c>
      <c r="AK453" s="37">
        <v>4</v>
      </c>
      <c r="AL453" s="37">
        <v>4</v>
      </c>
      <c r="AM453" s="37">
        <v>8</v>
      </c>
      <c r="AN453" s="37">
        <v>8</v>
      </c>
      <c r="AO453" s="37">
        <v>8</v>
      </c>
      <c r="AP453" s="37">
        <v>8</v>
      </c>
      <c r="AQ453" s="37">
        <v>8</v>
      </c>
      <c r="AR453" s="37">
        <v>8</v>
      </c>
      <c r="AS453" s="37">
        <v>8</v>
      </c>
      <c r="AT453" s="37">
        <v>8</v>
      </c>
    </row>
    <row r="454" spans="3:46" s="37" customFormat="1" x14ac:dyDescent="0.25"/>
    <row r="455" spans="3:46" s="37" customFormat="1" x14ac:dyDescent="0.25">
      <c r="C455" s="37" t="s">
        <v>20</v>
      </c>
      <c r="D455" s="37">
        <v>8</v>
      </c>
      <c r="E455" s="37">
        <v>8</v>
      </c>
      <c r="F455" s="37">
        <v>8</v>
      </c>
      <c r="G455" s="37">
        <v>8</v>
      </c>
      <c r="H455" s="37">
        <v>8</v>
      </c>
      <c r="I455" s="37">
        <v>8</v>
      </c>
      <c r="J455" s="37">
        <v>8</v>
      </c>
      <c r="K455" s="37">
        <v>3</v>
      </c>
      <c r="L455" s="37">
        <v>3</v>
      </c>
      <c r="M455" s="37">
        <v>3</v>
      </c>
      <c r="N455" s="37">
        <v>3</v>
      </c>
      <c r="O455" s="37">
        <v>3</v>
      </c>
      <c r="P455" s="37">
        <v>3</v>
      </c>
      <c r="Q455" s="37">
        <v>6</v>
      </c>
      <c r="R455" s="37">
        <v>6</v>
      </c>
      <c r="S455" s="37">
        <v>7</v>
      </c>
      <c r="T455" s="37">
        <v>7</v>
      </c>
      <c r="U455" s="37">
        <v>7</v>
      </c>
      <c r="V455" s="37">
        <v>7</v>
      </c>
      <c r="W455" s="37">
        <v>7</v>
      </c>
      <c r="X455" s="37">
        <v>7</v>
      </c>
      <c r="Z455" s="37">
        <v>8</v>
      </c>
      <c r="AA455" s="37">
        <v>8</v>
      </c>
      <c r="AB455" s="37">
        <v>8</v>
      </c>
      <c r="AC455" s="37">
        <v>8</v>
      </c>
      <c r="AD455" s="37">
        <v>8</v>
      </c>
      <c r="AE455" s="37">
        <v>8</v>
      </c>
      <c r="AF455" s="37">
        <v>8</v>
      </c>
      <c r="AG455" s="37">
        <v>3</v>
      </c>
      <c r="AH455" s="37">
        <v>3</v>
      </c>
      <c r="AI455" s="37">
        <v>3</v>
      </c>
      <c r="AJ455" s="37">
        <v>3</v>
      </c>
      <c r="AK455" s="37">
        <v>3</v>
      </c>
      <c r="AL455" s="37">
        <v>3</v>
      </c>
      <c r="AM455" s="37">
        <v>7</v>
      </c>
      <c r="AN455" s="37">
        <v>7</v>
      </c>
      <c r="AO455" s="37">
        <v>7</v>
      </c>
      <c r="AP455" s="37">
        <v>7</v>
      </c>
      <c r="AQ455" s="37">
        <v>7</v>
      </c>
      <c r="AR455" s="37">
        <v>7</v>
      </c>
      <c r="AS455" s="37">
        <v>7</v>
      </c>
      <c r="AT455" s="37">
        <v>7</v>
      </c>
    </row>
    <row r="456" spans="3:46" s="37" customFormat="1" x14ac:dyDescent="0.25"/>
    <row r="457" spans="3:46" s="37" customFormat="1" x14ac:dyDescent="0.25">
      <c r="C457" s="37" t="s">
        <v>21</v>
      </c>
      <c r="D457" s="37">
        <v>10</v>
      </c>
      <c r="E457" s="37">
        <v>10</v>
      </c>
      <c r="F457" s="37">
        <v>10</v>
      </c>
      <c r="G457" s="37">
        <v>10</v>
      </c>
      <c r="H457" s="37">
        <v>10</v>
      </c>
      <c r="I457" s="37">
        <v>10</v>
      </c>
      <c r="J457" s="37">
        <v>9</v>
      </c>
      <c r="K457" s="37">
        <v>4</v>
      </c>
      <c r="L457" s="37">
        <v>4</v>
      </c>
      <c r="M457" s="37">
        <v>4</v>
      </c>
      <c r="N457" s="37">
        <v>4</v>
      </c>
      <c r="O457" s="37">
        <v>4</v>
      </c>
      <c r="P457" s="37">
        <v>4</v>
      </c>
      <c r="Q457" s="37">
        <v>7</v>
      </c>
      <c r="R457" s="37">
        <v>8</v>
      </c>
      <c r="S457" s="37">
        <v>9</v>
      </c>
      <c r="T457" s="37">
        <v>10</v>
      </c>
      <c r="U457" s="37">
        <v>10</v>
      </c>
      <c r="V457" s="37">
        <v>10</v>
      </c>
      <c r="W457" s="37">
        <v>10</v>
      </c>
      <c r="X457" s="37">
        <v>10</v>
      </c>
      <c r="Z457" s="37">
        <v>10</v>
      </c>
      <c r="AA457" s="37">
        <v>10</v>
      </c>
      <c r="AB457" s="37">
        <v>10</v>
      </c>
      <c r="AC457" s="37">
        <v>10</v>
      </c>
      <c r="AD457" s="37">
        <v>10</v>
      </c>
      <c r="AE457" s="37">
        <v>10</v>
      </c>
      <c r="AF457" s="37">
        <v>10</v>
      </c>
      <c r="AG457" s="37">
        <v>4</v>
      </c>
      <c r="AH457" s="37">
        <v>4</v>
      </c>
      <c r="AI457" s="37">
        <v>4</v>
      </c>
      <c r="AJ457" s="37">
        <v>4</v>
      </c>
      <c r="AK457" s="37">
        <v>4</v>
      </c>
      <c r="AL457" s="37">
        <v>4</v>
      </c>
      <c r="AM457" s="37">
        <v>10</v>
      </c>
      <c r="AN457" s="37">
        <v>10</v>
      </c>
      <c r="AO457" s="37">
        <v>10</v>
      </c>
      <c r="AP457" s="37">
        <v>10</v>
      </c>
      <c r="AQ457" s="37">
        <v>10</v>
      </c>
      <c r="AR457" s="37">
        <v>10</v>
      </c>
      <c r="AS457" s="37">
        <v>10</v>
      </c>
      <c r="AT457" s="37">
        <v>10</v>
      </c>
    </row>
    <row r="458" spans="3:46" s="37" customFormat="1" x14ac:dyDescent="0.25"/>
    <row r="459" spans="3:46" s="37" customFormat="1" x14ac:dyDescent="0.25">
      <c r="C459" s="37" t="s">
        <v>20</v>
      </c>
      <c r="D459" s="37">
        <v>8</v>
      </c>
      <c r="E459" s="37">
        <v>8</v>
      </c>
      <c r="F459" s="37">
        <v>8</v>
      </c>
      <c r="G459" s="37">
        <v>8</v>
      </c>
      <c r="H459" s="37">
        <v>8</v>
      </c>
      <c r="I459" s="37">
        <v>8</v>
      </c>
      <c r="J459" s="37">
        <v>8</v>
      </c>
      <c r="K459" s="37">
        <v>3</v>
      </c>
      <c r="L459" s="37">
        <v>3</v>
      </c>
      <c r="M459" s="37">
        <v>3</v>
      </c>
      <c r="N459" s="37">
        <v>3</v>
      </c>
      <c r="O459" s="37">
        <v>3</v>
      </c>
      <c r="P459" s="37">
        <v>3</v>
      </c>
      <c r="Q459" s="37">
        <v>5</v>
      </c>
      <c r="R459" s="37">
        <v>5</v>
      </c>
      <c r="S459" s="37">
        <v>5</v>
      </c>
      <c r="T459" s="37">
        <v>5</v>
      </c>
      <c r="U459" s="37">
        <v>5</v>
      </c>
      <c r="V459" s="37">
        <v>5</v>
      </c>
      <c r="W459" s="37">
        <v>5</v>
      </c>
      <c r="X459" s="37">
        <v>5</v>
      </c>
      <c r="Z459" s="37">
        <v>8</v>
      </c>
      <c r="AA459" s="37">
        <v>8</v>
      </c>
      <c r="AB459" s="37">
        <v>8</v>
      </c>
      <c r="AC459" s="37">
        <v>8</v>
      </c>
      <c r="AD459" s="37">
        <v>8</v>
      </c>
      <c r="AE459" s="37">
        <v>8</v>
      </c>
      <c r="AF459" s="37">
        <v>8</v>
      </c>
      <c r="AG459" s="37">
        <v>3</v>
      </c>
      <c r="AH459" s="37">
        <v>3</v>
      </c>
      <c r="AI459" s="37">
        <v>3</v>
      </c>
      <c r="AJ459" s="37">
        <v>3</v>
      </c>
      <c r="AK459" s="37">
        <v>3</v>
      </c>
      <c r="AL459" s="37">
        <v>3</v>
      </c>
      <c r="AM459" s="37">
        <v>5</v>
      </c>
      <c r="AN459" s="37">
        <v>5</v>
      </c>
      <c r="AO459" s="37">
        <v>5</v>
      </c>
      <c r="AP459" s="37">
        <v>5</v>
      </c>
      <c r="AQ459" s="37">
        <v>5</v>
      </c>
      <c r="AR459" s="37">
        <v>5</v>
      </c>
      <c r="AS459" s="37">
        <v>5</v>
      </c>
      <c r="AT459" s="37">
        <v>5</v>
      </c>
    </row>
    <row r="460" spans="3:46" s="37" customFormat="1" x14ac:dyDescent="0.25"/>
    <row r="461" spans="3:46" s="37" customFormat="1" x14ac:dyDescent="0.25">
      <c r="C461" s="37" t="s">
        <v>21</v>
      </c>
      <c r="D461" s="37">
        <v>7</v>
      </c>
      <c r="E461" s="37">
        <v>7</v>
      </c>
      <c r="F461" s="37">
        <v>7</v>
      </c>
      <c r="G461" s="37">
        <v>7</v>
      </c>
      <c r="H461" s="37">
        <v>7</v>
      </c>
      <c r="I461" s="37">
        <v>6</v>
      </c>
      <c r="J461" s="37">
        <v>6</v>
      </c>
      <c r="K461" s="37">
        <v>3</v>
      </c>
      <c r="L461" s="37">
        <v>3</v>
      </c>
      <c r="M461" s="37">
        <v>3</v>
      </c>
      <c r="N461" s="37">
        <v>3</v>
      </c>
      <c r="O461" s="37">
        <v>3</v>
      </c>
      <c r="P461" s="37">
        <v>3</v>
      </c>
      <c r="Q461" s="37">
        <v>6</v>
      </c>
      <c r="R461" s="37">
        <v>7</v>
      </c>
      <c r="S461" s="37">
        <v>8</v>
      </c>
      <c r="T461" s="37">
        <v>9</v>
      </c>
      <c r="U461" s="37">
        <v>9</v>
      </c>
      <c r="V461" s="37">
        <v>9</v>
      </c>
      <c r="W461" s="37">
        <v>9</v>
      </c>
      <c r="X461" s="37">
        <v>9</v>
      </c>
      <c r="Z461" s="37">
        <v>7</v>
      </c>
      <c r="AA461" s="37">
        <v>7</v>
      </c>
      <c r="AB461" s="37">
        <v>7</v>
      </c>
      <c r="AC461" s="37">
        <v>7</v>
      </c>
      <c r="AD461" s="37">
        <v>7</v>
      </c>
      <c r="AE461" s="37">
        <v>7</v>
      </c>
      <c r="AF461" s="37">
        <v>7</v>
      </c>
      <c r="AG461" s="37">
        <v>3</v>
      </c>
      <c r="AH461" s="37">
        <v>3</v>
      </c>
      <c r="AI461" s="37">
        <v>3</v>
      </c>
      <c r="AJ461" s="37">
        <v>3</v>
      </c>
      <c r="AK461" s="37">
        <v>3</v>
      </c>
      <c r="AL461" s="37">
        <v>3</v>
      </c>
      <c r="AM461" s="37">
        <v>9</v>
      </c>
      <c r="AN461" s="37">
        <v>9</v>
      </c>
      <c r="AO461" s="37">
        <v>9</v>
      </c>
      <c r="AP461" s="37">
        <v>9</v>
      </c>
      <c r="AQ461" s="37">
        <v>9</v>
      </c>
      <c r="AR461" s="37">
        <v>9</v>
      </c>
      <c r="AS461" s="37">
        <v>9</v>
      </c>
      <c r="AT461" s="37">
        <v>9</v>
      </c>
    </row>
    <row r="462" spans="3:46" s="37" customFormat="1" x14ac:dyDescent="0.25"/>
    <row r="463" spans="3:46" s="37" customFormat="1" x14ac:dyDescent="0.25">
      <c r="C463" s="37" t="s">
        <v>20</v>
      </c>
      <c r="D463" s="37">
        <v>9</v>
      </c>
      <c r="E463" s="37">
        <v>9</v>
      </c>
      <c r="F463" s="37">
        <v>9</v>
      </c>
      <c r="G463" s="37">
        <v>9</v>
      </c>
      <c r="H463" s="37">
        <v>9</v>
      </c>
      <c r="I463" s="37">
        <v>9</v>
      </c>
      <c r="J463" s="37">
        <v>9</v>
      </c>
      <c r="K463" s="37">
        <v>3</v>
      </c>
      <c r="L463" s="37">
        <v>3</v>
      </c>
      <c r="M463" s="37">
        <v>3</v>
      </c>
      <c r="N463" s="37">
        <v>3</v>
      </c>
      <c r="O463" s="37">
        <v>3</v>
      </c>
      <c r="P463" s="37">
        <v>3</v>
      </c>
      <c r="Q463" s="37">
        <v>7</v>
      </c>
      <c r="R463" s="37">
        <v>8</v>
      </c>
      <c r="S463" s="37">
        <v>8</v>
      </c>
      <c r="T463" s="37">
        <v>8</v>
      </c>
      <c r="U463" s="37">
        <v>8</v>
      </c>
      <c r="V463" s="37">
        <v>8</v>
      </c>
      <c r="W463" s="37">
        <v>8</v>
      </c>
      <c r="X463" s="37">
        <v>8</v>
      </c>
      <c r="Z463" s="37">
        <v>9</v>
      </c>
      <c r="AA463" s="37">
        <v>9</v>
      </c>
      <c r="AB463" s="37">
        <v>9</v>
      </c>
      <c r="AC463" s="37">
        <v>9</v>
      </c>
      <c r="AD463" s="37">
        <v>9</v>
      </c>
      <c r="AE463" s="37">
        <v>9</v>
      </c>
      <c r="AF463" s="37">
        <v>9</v>
      </c>
      <c r="AG463" s="37">
        <v>3</v>
      </c>
      <c r="AH463" s="37">
        <v>3</v>
      </c>
      <c r="AI463" s="37">
        <v>3</v>
      </c>
      <c r="AJ463" s="37">
        <v>3</v>
      </c>
      <c r="AK463" s="37">
        <v>3</v>
      </c>
      <c r="AL463" s="37">
        <v>3</v>
      </c>
      <c r="AM463" s="37">
        <v>8</v>
      </c>
      <c r="AN463" s="37">
        <v>8</v>
      </c>
      <c r="AO463" s="37">
        <v>8</v>
      </c>
      <c r="AP463" s="37">
        <v>8</v>
      </c>
      <c r="AQ463" s="37">
        <v>8</v>
      </c>
      <c r="AR463" s="37">
        <v>8</v>
      </c>
      <c r="AS463" s="37">
        <v>8</v>
      </c>
      <c r="AT463" s="37">
        <v>8</v>
      </c>
    </row>
    <row r="464" spans="3:46" s="37" customFormat="1" x14ac:dyDescent="0.25"/>
    <row r="465" spans="3:46" s="37" customFormat="1" x14ac:dyDescent="0.25">
      <c r="C465" s="37" t="s">
        <v>21</v>
      </c>
      <c r="D465" s="37">
        <v>10</v>
      </c>
      <c r="E465" s="37">
        <v>10</v>
      </c>
      <c r="F465" s="37">
        <v>10</v>
      </c>
      <c r="G465" s="37">
        <v>10</v>
      </c>
      <c r="H465" s="37">
        <v>10</v>
      </c>
      <c r="I465" s="37">
        <v>10</v>
      </c>
      <c r="J465" s="37">
        <v>9</v>
      </c>
      <c r="K465" s="37">
        <v>3</v>
      </c>
      <c r="L465" s="37">
        <v>3</v>
      </c>
      <c r="M465" s="37">
        <v>3</v>
      </c>
      <c r="N465" s="37">
        <v>3</v>
      </c>
      <c r="O465" s="37">
        <v>3</v>
      </c>
      <c r="P465" s="37">
        <v>3</v>
      </c>
      <c r="Q465" s="37">
        <v>7</v>
      </c>
      <c r="R465" s="37">
        <v>8</v>
      </c>
      <c r="S465" s="37">
        <v>9</v>
      </c>
      <c r="T465" s="37">
        <v>10</v>
      </c>
      <c r="U465" s="37">
        <v>10</v>
      </c>
      <c r="V465" s="37">
        <v>10</v>
      </c>
      <c r="W465" s="37">
        <v>10</v>
      </c>
      <c r="X465" s="37">
        <v>10</v>
      </c>
      <c r="Z465" s="37">
        <v>10</v>
      </c>
      <c r="AA465" s="37">
        <v>10</v>
      </c>
      <c r="AB465" s="37">
        <v>10</v>
      </c>
      <c r="AC465" s="37">
        <v>10</v>
      </c>
      <c r="AD465" s="37">
        <v>10</v>
      </c>
      <c r="AE465" s="37">
        <v>10</v>
      </c>
      <c r="AF465" s="37">
        <v>10</v>
      </c>
      <c r="AG465" s="37">
        <v>3</v>
      </c>
      <c r="AH465" s="37">
        <v>3</v>
      </c>
      <c r="AI465" s="37">
        <v>3</v>
      </c>
      <c r="AJ465" s="37">
        <v>3</v>
      </c>
      <c r="AK465" s="37">
        <v>3</v>
      </c>
      <c r="AL465" s="37">
        <v>3</v>
      </c>
      <c r="AM465" s="37">
        <v>11</v>
      </c>
      <c r="AN465" s="37">
        <v>11</v>
      </c>
      <c r="AO465" s="37">
        <v>11</v>
      </c>
      <c r="AP465" s="37">
        <v>11</v>
      </c>
      <c r="AQ465" s="37">
        <v>11</v>
      </c>
      <c r="AR465" s="37">
        <v>11</v>
      </c>
      <c r="AS465" s="37">
        <v>11</v>
      </c>
      <c r="AT465" s="37">
        <v>11</v>
      </c>
    </row>
    <row r="466" spans="3:46" s="37" customFormat="1" x14ac:dyDescent="0.25"/>
    <row r="467" spans="3:46" s="37" customFormat="1" x14ac:dyDescent="0.25">
      <c r="C467" s="37" t="s">
        <v>20</v>
      </c>
      <c r="D467" s="37">
        <v>6</v>
      </c>
      <c r="E467" s="37">
        <v>6</v>
      </c>
      <c r="F467" s="37">
        <v>6</v>
      </c>
      <c r="G467" s="37">
        <v>6</v>
      </c>
      <c r="H467" s="37">
        <v>6</v>
      </c>
      <c r="I467" s="37">
        <v>6</v>
      </c>
      <c r="J467" s="37">
        <v>5</v>
      </c>
      <c r="K467" s="37">
        <v>2</v>
      </c>
      <c r="L467" s="37">
        <v>2</v>
      </c>
      <c r="M467" s="37">
        <v>2</v>
      </c>
      <c r="N467" s="37">
        <v>2</v>
      </c>
      <c r="O467" s="37">
        <v>2</v>
      </c>
      <c r="P467" s="37">
        <v>2</v>
      </c>
      <c r="Q467" s="37">
        <v>3</v>
      </c>
      <c r="R467" s="37">
        <v>3</v>
      </c>
      <c r="S467" s="37">
        <v>4</v>
      </c>
      <c r="T467" s="37">
        <v>4</v>
      </c>
      <c r="U467" s="37">
        <v>4</v>
      </c>
      <c r="V467" s="37">
        <v>4</v>
      </c>
      <c r="W467" s="37">
        <v>4</v>
      </c>
      <c r="X467" s="37">
        <v>4</v>
      </c>
      <c r="Z467" s="37">
        <v>6</v>
      </c>
      <c r="AA467" s="37">
        <v>6</v>
      </c>
      <c r="AB467" s="37">
        <v>6</v>
      </c>
      <c r="AC467" s="37">
        <v>6</v>
      </c>
      <c r="AD467" s="37">
        <v>6</v>
      </c>
      <c r="AE467" s="37">
        <v>6</v>
      </c>
      <c r="AF467" s="37">
        <v>6</v>
      </c>
      <c r="AG467" s="37">
        <v>2</v>
      </c>
      <c r="AH467" s="37">
        <v>2</v>
      </c>
      <c r="AI467" s="37">
        <v>2</v>
      </c>
      <c r="AJ467" s="37">
        <v>2</v>
      </c>
      <c r="AK467" s="37">
        <v>2</v>
      </c>
      <c r="AL467" s="37">
        <v>2</v>
      </c>
      <c r="AM467" s="37">
        <v>4</v>
      </c>
      <c r="AN467" s="37">
        <v>4</v>
      </c>
      <c r="AO467" s="37">
        <v>4</v>
      </c>
      <c r="AP467" s="37">
        <v>4</v>
      </c>
      <c r="AQ467" s="37">
        <v>4</v>
      </c>
      <c r="AR467" s="37">
        <v>4</v>
      </c>
      <c r="AS467" s="37">
        <v>4</v>
      </c>
      <c r="AT467" s="37">
        <v>4</v>
      </c>
    </row>
    <row r="468" spans="3:46" s="37" customFormat="1" x14ac:dyDescent="0.25"/>
    <row r="469" spans="3:46" s="37" customFormat="1" x14ac:dyDescent="0.25">
      <c r="C469" s="37" t="s">
        <v>21</v>
      </c>
      <c r="D469" s="37">
        <v>5</v>
      </c>
      <c r="E469" s="37">
        <v>5</v>
      </c>
      <c r="F469" s="37">
        <v>5</v>
      </c>
      <c r="G469" s="37">
        <v>5</v>
      </c>
      <c r="H469" s="37">
        <v>5</v>
      </c>
      <c r="I469" s="37">
        <v>5</v>
      </c>
      <c r="J469" s="37">
        <v>4</v>
      </c>
      <c r="K469" s="37">
        <v>3</v>
      </c>
      <c r="L469" s="37">
        <v>3</v>
      </c>
      <c r="M469" s="37">
        <v>3</v>
      </c>
      <c r="N469" s="37">
        <v>3</v>
      </c>
      <c r="O469" s="37">
        <v>3</v>
      </c>
      <c r="P469" s="37">
        <v>3</v>
      </c>
      <c r="Q469" s="37">
        <v>4</v>
      </c>
      <c r="R469" s="37">
        <v>5</v>
      </c>
      <c r="S469" s="37">
        <v>6</v>
      </c>
      <c r="T469" s="37">
        <v>6</v>
      </c>
      <c r="U469" s="37">
        <v>7</v>
      </c>
      <c r="V469" s="37">
        <v>7</v>
      </c>
      <c r="W469" s="37">
        <v>7</v>
      </c>
      <c r="X469" s="37">
        <v>7</v>
      </c>
      <c r="Z469" s="37">
        <v>5</v>
      </c>
      <c r="AA469" s="37">
        <v>5</v>
      </c>
      <c r="AB469" s="37">
        <v>5</v>
      </c>
      <c r="AC469" s="37">
        <v>5</v>
      </c>
      <c r="AD469" s="37">
        <v>5</v>
      </c>
      <c r="AE469" s="37">
        <v>5</v>
      </c>
      <c r="AF469" s="37">
        <v>5</v>
      </c>
      <c r="AG469" s="37">
        <v>3</v>
      </c>
      <c r="AH469" s="37">
        <v>3</v>
      </c>
      <c r="AI469" s="37">
        <v>3</v>
      </c>
      <c r="AJ469" s="37">
        <v>3</v>
      </c>
      <c r="AK469" s="37">
        <v>3</v>
      </c>
      <c r="AL469" s="37">
        <v>3</v>
      </c>
      <c r="AM469" s="37">
        <v>7</v>
      </c>
      <c r="AN469" s="37">
        <v>7</v>
      </c>
      <c r="AO469" s="37">
        <v>7</v>
      </c>
      <c r="AP469" s="37">
        <v>7</v>
      </c>
      <c r="AQ469" s="37">
        <v>7</v>
      </c>
      <c r="AR469" s="37">
        <v>7</v>
      </c>
      <c r="AS469" s="37">
        <v>7</v>
      </c>
      <c r="AT469" s="37">
        <v>7</v>
      </c>
    </row>
    <row r="470" spans="3:46" s="37" customFormat="1" x14ac:dyDescent="0.25"/>
    <row r="471" spans="3:46" s="37" customFormat="1" x14ac:dyDescent="0.25">
      <c r="C471" s="37" t="s">
        <v>20</v>
      </c>
      <c r="D471" s="37">
        <v>6</v>
      </c>
      <c r="E471" s="37">
        <v>6</v>
      </c>
      <c r="F471" s="37">
        <v>6</v>
      </c>
      <c r="G471" s="37">
        <v>6</v>
      </c>
      <c r="H471" s="37">
        <v>6</v>
      </c>
      <c r="I471" s="37">
        <v>5</v>
      </c>
      <c r="J471" s="37">
        <v>5</v>
      </c>
      <c r="K471" s="37">
        <v>3</v>
      </c>
      <c r="L471" s="37">
        <v>3</v>
      </c>
      <c r="M471" s="37">
        <v>3</v>
      </c>
      <c r="N471" s="37">
        <v>3</v>
      </c>
      <c r="O471" s="37">
        <v>3</v>
      </c>
      <c r="P471" s="37">
        <v>3</v>
      </c>
      <c r="Q471" s="37">
        <v>5</v>
      </c>
      <c r="R471" s="37">
        <v>6</v>
      </c>
      <c r="S471" s="37">
        <v>6</v>
      </c>
      <c r="T471" s="37">
        <v>7</v>
      </c>
      <c r="U471" s="37">
        <v>8</v>
      </c>
      <c r="V471" s="37">
        <v>8</v>
      </c>
      <c r="W471" s="37">
        <v>8</v>
      </c>
      <c r="X471" s="37">
        <v>8</v>
      </c>
      <c r="Z471" s="37">
        <v>6</v>
      </c>
      <c r="AA471" s="37">
        <v>6</v>
      </c>
      <c r="AB471" s="37">
        <v>6</v>
      </c>
      <c r="AC471" s="37">
        <v>6</v>
      </c>
      <c r="AD471" s="37">
        <v>6</v>
      </c>
      <c r="AE471" s="37">
        <v>6</v>
      </c>
      <c r="AF471" s="37">
        <v>6</v>
      </c>
      <c r="AG471" s="37">
        <v>3</v>
      </c>
      <c r="AH471" s="37">
        <v>3</v>
      </c>
      <c r="AI471" s="37">
        <v>3</v>
      </c>
      <c r="AJ471" s="37">
        <v>3</v>
      </c>
      <c r="AK471" s="37">
        <v>3</v>
      </c>
      <c r="AL471" s="37">
        <v>3</v>
      </c>
      <c r="AM471" s="37">
        <v>8</v>
      </c>
      <c r="AN471" s="37">
        <v>8</v>
      </c>
      <c r="AO471" s="37">
        <v>8</v>
      </c>
      <c r="AP471" s="37">
        <v>8</v>
      </c>
      <c r="AQ471" s="37">
        <v>8</v>
      </c>
      <c r="AR471" s="37">
        <v>8</v>
      </c>
      <c r="AS471" s="37">
        <v>8</v>
      </c>
      <c r="AT471" s="37">
        <v>8</v>
      </c>
    </row>
    <row r="472" spans="3:46" s="37" customFormat="1" x14ac:dyDescent="0.25"/>
    <row r="473" spans="3:46" s="37" customFormat="1" x14ac:dyDescent="0.25">
      <c r="C473" s="37" t="s">
        <v>21</v>
      </c>
      <c r="D473" s="37">
        <v>5</v>
      </c>
      <c r="E473" s="37">
        <v>5</v>
      </c>
      <c r="F473" s="37">
        <v>5</v>
      </c>
      <c r="G473" s="37">
        <v>5</v>
      </c>
      <c r="H473" s="37">
        <v>5</v>
      </c>
      <c r="I473" s="37">
        <v>4</v>
      </c>
      <c r="J473" s="37">
        <v>4</v>
      </c>
      <c r="K473" s="37">
        <v>4</v>
      </c>
      <c r="L473" s="37">
        <v>4</v>
      </c>
      <c r="M473" s="37">
        <v>4</v>
      </c>
      <c r="N473" s="37">
        <v>4</v>
      </c>
      <c r="O473" s="37">
        <v>4</v>
      </c>
      <c r="P473" s="37">
        <v>4</v>
      </c>
      <c r="Q473" s="37">
        <v>4</v>
      </c>
      <c r="R473" s="37">
        <v>4</v>
      </c>
      <c r="S473" s="37">
        <v>4</v>
      </c>
      <c r="T473" s="37">
        <v>5</v>
      </c>
      <c r="U473" s="37">
        <v>5</v>
      </c>
      <c r="V473" s="37">
        <v>6</v>
      </c>
      <c r="W473" s="37">
        <v>6</v>
      </c>
      <c r="X473" s="37">
        <v>6</v>
      </c>
      <c r="Z473" s="37">
        <v>5</v>
      </c>
      <c r="AA473" s="37">
        <v>5</v>
      </c>
      <c r="AB473" s="37">
        <v>5</v>
      </c>
      <c r="AC473" s="37">
        <v>5</v>
      </c>
      <c r="AD473" s="37">
        <v>5</v>
      </c>
      <c r="AE473" s="37">
        <v>5</v>
      </c>
      <c r="AF473" s="37">
        <v>5</v>
      </c>
      <c r="AG473" s="37">
        <v>4</v>
      </c>
      <c r="AH473" s="37">
        <v>4</v>
      </c>
      <c r="AI473" s="37">
        <v>4</v>
      </c>
      <c r="AJ473" s="37">
        <v>4</v>
      </c>
      <c r="AK473" s="37">
        <v>4</v>
      </c>
      <c r="AL473" s="37">
        <v>4</v>
      </c>
      <c r="AM473" s="37">
        <v>6</v>
      </c>
      <c r="AN473" s="37">
        <v>6</v>
      </c>
      <c r="AO473" s="37">
        <v>6</v>
      </c>
      <c r="AP473" s="37">
        <v>6</v>
      </c>
      <c r="AQ473" s="37">
        <v>6</v>
      </c>
      <c r="AR473" s="37">
        <v>6</v>
      </c>
      <c r="AS473" s="37">
        <v>6</v>
      </c>
      <c r="AT473" s="37">
        <v>6</v>
      </c>
    </row>
    <row r="474" spans="3:46" s="37" customFormat="1" x14ac:dyDescent="0.25"/>
    <row r="475" spans="3:46" s="37" customFormat="1" x14ac:dyDescent="0.25">
      <c r="C475" s="37" t="s">
        <v>20</v>
      </c>
      <c r="D475" s="37">
        <v>7</v>
      </c>
      <c r="E475" s="37">
        <v>7</v>
      </c>
      <c r="F475" s="37">
        <v>7</v>
      </c>
      <c r="G475" s="37">
        <v>7</v>
      </c>
      <c r="H475" s="37">
        <v>7</v>
      </c>
      <c r="I475" s="37">
        <v>7</v>
      </c>
      <c r="J475" s="37">
        <v>7</v>
      </c>
      <c r="K475" s="37">
        <v>6</v>
      </c>
      <c r="L475" s="37">
        <v>6</v>
      </c>
      <c r="M475" s="37">
        <v>5</v>
      </c>
      <c r="N475" s="37">
        <v>6</v>
      </c>
      <c r="O475" s="37">
        <v>6</v>
      </c>
      <c r="P475" s="37">
        <v>7</v>
      </c>
      <c r="Q475" s="37">
        <v>8</v>
      </c>
      <c r="R475" s="37">
        <v>8</v>
      </c>
      <c r="S475" s="37">
        <v>8</v>
      </c>
      <c r="T475" s="37">
        <v>8</v>
      </c>
      <c r="U475" s="37">
        <v>8</v>
      </c>
      <c r="V475" s="37">
        <v>8</v>
      </c>
      <c r="W475" s="37">
        <v>8</v>
      </c>
      <c r="X475" s="37">
        <v>8</v>
      </c>
      <c r="Z475" s="37">
        <v>7</v>
      </c>
      <c r="AA475" s="37">
        <v>7</v>
      </c>
      <c r="AB475" s="37">
        <v>7</v>
      </c>
      <c r="AC475" s="37">
        <v>7</v>
      </c>
      <c r="AD475" s="37">
        <v>7</v>
      </c>
      <c r="AE475" s="37">
        <v>7</v>
      </c>
      <c r="AF475" s="37">
        <v>7</v>
      </c>
      <c r="AG475" s="37">
        <v>7</v>
      </c>
      <c r="AH475" s="37">
        <v>7</v>
      </c>
      <c r="AI475" s="37">
        <v>7</v>
      </c>
      <c r="AJ475" s="37">
        <v>7</v>
      </c>
      <c r="AK475" s="37">
        <v>7</v>
      </c>
      <c r="AL475" s="37">
        <v>7</v>
      </c>
      <c r="AM475" s="37">
        <v>8</v>
      </c>
      <c r="AN475" s="37">
        <v>8</v>
      </c>
      <c r="AO475" s="37">
        <v>8</v>
      </c>
      <c r="AP475" s="37">
        <v>8</v>
      </c>
      <c r="AQ475" s="37">
        <v>8</v>
      </c>
      <c r="AR475" s="37">
        <v>8</v>
      </c>
      <c r="AS475" s="37">
        <v>8</v>
      </c>
      <c r="AT475" s="37">
        <v>8</v>
      </c>
    </row>
    <row r="476" spans="3:46" s="37" customFormat="1" x14ac:dyDescent="0.25"/>
    <row r="477" spans="3:46" s="37" customFormat="1" x14ac:dyDescent="0.25">
      <c r="C477" s="37" t="s">
        <v>21</v>
      </c>
      <c r="D477" s="37">
        <v>10</v>
      </c>
      <c r="E477" s="37">
        <v>10</v>
      </c>
      <c r="F477" s="37">
        <v>10</v>
      </c>
      <c r="G477" s="37">
        <v>10</v>
      </c>
      <c r="H477" s="37">
        <v>10</v>
      </c>
      <c r="I477" s="37">
        <v>10</v>
      </c>
      <c r="J477" s="37">
        <v>10</v>
      </c>
      <c r="K477" s="37">
        <v>9</v>
      </c>
      <c r="L477" s="37">
        <v>9</v>
      </c>
      <c r="M477" s="37">
        <v>9</v>
      </c>
      <c r="N477" s="37">
        <v>9</v>
      </c>
      <c r="O477" s="37">
        <v>9</v>
      </c>
      <c r="P477" s="37">
        <v>9</v>
      </c>
      <c r="Q477" s="37">
        <v>9</v>
      </c>
      <c r="R477" s="37">
        <v>9</v>
      </c>
      <c r="S477" s="37">
        <v>9</v>
      </c>
      <c r="T477" s="37">
        <v>9</v>
      </c>
      <c r="U477" s="37">
        <v>9</v>
      </c>
      <c r="V477" s="37">
        <v>9</v>
      </c>
      <c r="W477" s="37">
        <v>9</v>
      </c>
      <c r="X477" s="37">
        <v>9</v>
      </c>
      <c r="Z477" s="37">
        <v>10</v>
      </c>
      <c r="AA477" s="37">
        <v>10</v>
      </c>
      <c r="AB477" s="37">
        <v>10</v>
      </c>
      <c r="AC477" s="37">
        <v>10</v>
      </c>
      <c r="AD477" s="37">
        <v>10</v>
      </c>
      <c r="AE477" s="37">
        <v>10</v>
      </c>
      <c r="AF477" s="37">
        <v>10</v>
      </c>
      <c r="AG477" s="37">
        <v>9</v>
      </c>
      <c r="AH477" s="37">
        <v>9</v>
      </c>
      <c r="AI477" s="37">
        <v>9</v>
      </c>
      <c r="AJ477" s="37">
        <v>9</v>
      </c>
      <c r="AK477" s="37">
        <v>9</v>
      </c>
      <c r="AL477" s="37">
        <v>9</v>
      </c>
      <c r="AM477" s="37">
        <v>9</v>
      </c>
      <c r="AN477" s="37">
        <v>9</v>
      </c>
      <c r="AO477" s="37">
        <v>9</v>
      </c>
      <c r="AP477" s="37">
        <v>9</v>
      </c>
      <c r="AQ477" s="37">
        <v>9</v>
      </c>
      <c r="AR477" s="37">
        <v>9</v>
      </c>
      <c r="AS477" s="37">
        <v>9</v>
      </c>
      <c r="AT477" s="37">
        <v>9</v>
      </c>
    </row>
    <row r="478" spans="3:46" s="37" customFormat="1" x14ac:dyDescent="0.25"/>
    <row r="479" spans="3:46" s="37" customFormat="1" x14ac:dyDescent="0.25">
      <c r="C479" s="37" t="s">
        <v>20</v>
      </c>
      <c r="D479" s="37">
        <v>5</v>
      </c>
      <c r="E479" s="37">
        <v>5</v>
      </c>
      <c r="F479" s="37">
        <v>5</v>
      </c>
      <c r="G479" s="37">
        <v>5</v>
      </c>
      <c r="H479" s="37">
        <v>5</v>
      </c>
      <c r="I479" s="37">
        <v>5</v>
      </c>
      <c r="J479" s="37">
        <v>5</v>
      </c>
      <c r="K479" s="37">
        <v>5</v>
      </c>
      <c r="L479" s="37">
        <v>5</v>
      </c>
      <c r="M479" s="37">
        <v>5</v>
      </c>
      <c r="N479" s="37">
        <v>5</v>
      </c>
      <c r="O479" s="37">
        <v>5</v>
      </c>
      <c r="P479" s="37">
        <v>5</v>
      </c>
      <c r="Q479" s="37">
        <v>7</v>
      </c>
      <c r="R479" s="37">
        <v>7</v>
      </c>
      <c r="S479" s="37">
        <v>7</v>
      </c>
      <c r="T479" s="37">
        <v>7</v>
      </c>
      <c r="U479" s="37">
        <v>7</v>
      </c>
      <c r="V479" s="37">
        <v>7</v>
      </c>
      <c r="W479" s="37">
        <v>7</v>
      </c>
      <c r="X479" s="37">
        <v>7</v>
      </c>
      <c r="Z479" s="37">
        <v>5</v>
      </c>
      <c r="AA479" s="37">
        <v>5</v>
      </c>
      <c r="AB479" s="37">
        <v>5</v>
      </c>
      <c r="AC479" s="37">
        <v>5</v>
      </c>
      <c r="AD479" s="37">
        <v>5</v>
      </c>
      <c r="AE479" s="37">
        <v>5</v>
      </c>
      <c r="AF479" s="37">
        <v>5</v>
      </c>
      <c r="AG479" s="37">
        <v>5</v>
      </c>
      <c r="AH479" s="37">
        <v>5</v>
      </c>
      <c r="AI479" s="37">
        <v>5</v>
      </c>
      <c r="AJ479" s="37">
        <v>5</v>
      </c>
      <c r="AK479" s="37">
        <v>5</v>
      </c>
      <c r="AL479" s="37">
        <v>5</v>
      </c>
      <c r="AM479" s="37">
        <v>7</v>
      </c>
      <c r="AN479" s="37">
        <v>7</v>
      </c>
      <c r="AO479" s="37">
        <v>7</v>
      </c>
      <c r="AP479" s="37">
        <v>7</v>
      </c>
      <c r="AQ479" s="37">
        <v>7</v>
      </c>
      <c r="AR479" s="37">
        <v>7</v>
      </c>
      <c r="AS479" s="37">
        <v>7</v>
      </c>
      <c r="AT479" s="37">
        <v>7</v>
      </c>
    </row>
    <row r="480" spans="3:46" s="37" customFormat="1" x14ac:dyDescent="0.25"/>
    <row r="481" spans="3:46" s="37" customFormat="1" x14ac:dyDescent="0.25">
      <c r="C481" s="37" t="s">
        <v>21</v>
      </c>
      <c r="D481" s="37">
        <v>9</v>
      </c>
      <c r="E481" s="37">
        <v>9</v>
      </c>
      <c r="F481" s="37">
        <v>9</v>
      </c>
      <c r="G481" s="37">
        <v>9</v>
      </c>
      <c r="H481" s="37">
        <v>9</v>
      </c>
      <c r="I481" s="37">
        <v>9</v>
      </c>
      <c r="J481" s="37">
        <v>8</v>
      </c>
      <c r="K481" s="37">
        <v>7</v>
      </c>
      <c r="L481" s="37">
        <v>7</v>
      </c>
      <c r="M481" s="37">
        <v>7</v>
      </c>
      <c r="N481" s="37">
        <v>7</v>
      </c>
      <c r="O481" s="37">
        <v>7</v>
      </c>
      <c r="P481" s="37">
        <v>7</v>
      </c>
      <c r="Q481" s="37">
        <v>7</v>
      </c>
      <c r="R481" s="37">
        <v>7</v>
      </c>
      <c r="S481" s="37">
        <v>7</v>
      </c>
      <c r="T481" s="37">
        <v>7</v>
      </c>
      <c r="U481" s="37">
        <v>7</v>
      </c>
      <c r="V481" s="37">
        <v>7</v>
      </c>
      <c r="W481" s="37">
        <v>7</v>
      </c>
      <c r="X481" s="37">
        <v>7</v>
      </c>
      <c r="Z481" s="37">
        <v>9</v>
      </c>
      <c r="AA481" s="37">
        <v>9</v>
      </c>
      <c r="AB481" s="37">
        <v>9</v>
      </c>
      <c r="AC481" s="37">
        <v>9</v>
      </c>
      <c r="AD481" s="37">
        <v>9</v>
      </c>
      <c r="AE481" s="37">
        <v>9</v>
      </c>
      <c r="AF481" s="37">
        <v>9</v>
      </c>
      <c r="AG481" s="37">
        <v>7</v>
      </c>
      <c r="AH481" s="37">
        <v>7</v>
      </c>
      <c r="AI481" s="37">
        <v>7</v>
      </c>
      <c r="AJ481" s="37">
        <v>7</v>
      </c>
      <c r="AK481" s="37">
        <v>7</v>
      </c>
      <c r="AL481" s="37">
        <v>7</v>
      </c>
      <c r="AM481" s="37">
        <v>7</v>
      </c>
      <c r="AN481" s="37">
        <v>7</v>
      </c>
      <c r="AO481" s="37">
        <v>7</v>
      </c>
      <c r="AP481" s="37">
        <v>7</v>
      </c>
      <c r="AQ481" s="37">
        <v>7</v>
      </c>
      <c r="AR481" s="37">
        <v>7</v>
      </c>
      <c r="AS481" s="37">
        <v>7</v>
      </c>
      <c r="AT481" s="37">
        <v>7</v>
      </c>
    </row>
    <row r="482" spans="3:46" s="37" customFormat="1" x14ac:dyDescent="0.25"/>
    <row r="483" spans="3:46" s="37" customFormat="1" x14ac:dyDescent="0.25">
      <c r="C483" s="37" t="s">
        <v>20</v>
      </c>
      <c r="D483" s="37">
        <v>7</v>
      </c>
      <c r="E483" s="37">
        <v>7</v>
      </c>
      <c r="F483" s="37">
        <v>7</v>
      </c>
      <c r="G483" s="37">
        <v>7</v>
      </c>
      <c r="H483" s="37">
        <v>7</v>
      </c>
      <c r="I483" s="37">
        <v>6</v>
      </c>
      <c r="J483" s="37">
        <v>6</v>
      </c>
      <c r="K483" s="37">
        <v>3</v>
      </c>
      <c r="L483" s="37">
        <v>3</v>
      </c>
      <c r="M483" s="37">
        <v>3</v>
      </c>
      <c r="N483" s="37">
        <v>3</v>
      </c>
      <c r="O483" s="37">
        <v>3</v>
      </c>
      <c r="P483" s="37">
        <v>3</v>
      </c>
      <c r="Q483" s="37">
        <v>4</v>
      </c>
      <c r="R483" s="37">
        <v>5</v>
      </c>
      <c r="S483" s="37">
        <v>6</v>
      </c>
      <c r="T483" s="37">
        <v>6</v>
      </c>
      <c r="U483" s="37">
        <v>7</v>
      </c>
      <c r="V483" s="37">
        <v>7</v>
      </c>
      <c r="W483" s="37">
        <v>7</v>
      </c>
      <c r="X483" s="37">
        <v>7</v>
      </c>
      <c r="Z483" s="37">
        <v>7</v>
      </c>
      <c r="AA483" s="37">
        <v>7</v>
      </c>
      <c r="AB483" s="37">
        <v>7</v>
      </c>
      <c r="AC483" s="37">
        <v>7</v>
      </c>
      <c r="AD483" s="37">
        <v>7</v>
      </c>
      <c r="AE483" s="37">
        <v>7</v>
      </c>
      <c r="AF483" s="37">
        <v>7</v>
      </c>
      <c r="AG483" s="37">
        <v>3</v>
      </c>
      <c r="AH483" s="37">
        <v>3</v>
      </c>
      <c r="AI483" s="37">
        <v>3</v>
      </c>
      <c r="AJ483" s="37">
        <v>3</v>
      </c>
      <c r="AK483" s="37">
        <v>3</v>
      </c>
      <c r="AL483" s="37">
        <v>3</v>
      </c>
      <c r="AM483" s="37">
        <v>7</v>
      </c>
      <c r="AN483" s="37">
        <v>7</v>
      </c>
      <c r="AO483" s="37">
        <v>7</v>
      </c>
      <c r="AP483" s="37">
        <v>7</v>
      </c>
      <c r="AQ483" s="37">
        <v>7</v>
      </c>
      <c r="AR483" s="37">
        <v>7</v>
      </c>
      <c r="AS483" s="37">
        <v>7</v>
      </c>
      <c r="AT483" s="37">
        <v>7</v>
      </c>
    </row>
    <row r="484" spans="3:46" s="37" customFormat="1" x14ac:dyDescent="0.25"/>
    <row r="485" spans="3:46" s="37" customFormat="1" x14ac:dyDescent="0.25">
      <c r="C485" s="37" t="s">
        <v>21</v>
      </c>
      <c r="D485" s="37">
        <v>5</v>
      </c>
      <c r="E485" s="37">
        <v>5</v>
      </c>
      <c r="F485" s="37">
        <v>5</v>
      </c>
      <c r="G485" s="37">
        <v>5</v>
      </c>
      <c r="H485" s="37">
        <v>5</v>
      </c>
      <c r="I485" s="37">
        <v>4</v>
      </c>
      <c r="J485" s="37">
        <v>4</v>
      </c>
      <c r="K485" s="37">
        <v>4</v>
      </c>
      <c r="L485" s="37">
        <v>4</v>
      </c>
      <c r="M485" s="37">
        <v>4</v>
      </c>
      <c r="N485" s="37">
        <v>4</v>
      </c>
      <c r="O485" s="37">
        <v>4</v>
      </c>
      <c r="P485" s="37">
        <v>4</v>
      </c>
      <c r="Q485" s="37">
        <v>4</v>
      </c>
      <c r="R485" s="37">
        <v>4</v>
      </c>
      <c r="S485" s="37">
        <v>4</v>
      </c>
      <c r="T485" s="37">
        <v>4</v>
      </c>
      <c r="U485" s="37">
        <v>5</v>
      </c>
      <c r="V485" s="37">
        <v>5</v>
      </c>
      <c r="W485" s="37">
        <v>5</v>
      </c>
      <c r="X485" s="37">
        <v>5</v>
      </c>
      <c r="Z485" s="37">
        <v>5</v>
      </c>
      <c r="AA485" s="37">
        <v>5</v>
      </c>
      <c r="AB485" s="37">
        <v>5</v>
      </c>
      <c r="AC485" s="37">
        <v>5</v>
      </c>
      <c r="AD485" s="37">
        <v>5</v>
      </c>
      <c r="AE485" s="37">
        <v>5</v>
      </c>
      <c r="AF485" s="37">
        <v>5</v>
      </c>
      <c r="AG485" s="37">
        <v>4</v>
      </c>
      <c r="AH485" s="37">
        <v>4</v>
      </c>
      <c r="AI485" s="37">
        <v>4</v>
      </c>
      <c r="AJ485" s="37">
        <v>4</v>
      </c>
      <c r="AK485" s="37">
        <v>4</v>
      </c>
      <c r="AL485" s="37">
        <v>4</v>
      </c>
      <c r="AM485" s="37">
        <v>5</v>
      </c>
      <c r="AN485" s="37">
        <v>5</v>
      </c>
      <c r="AO485" s="37">
        <v>5</v>
      </c>
      <c r="AP485" s="37">
        <v>5</v>
      </c>
      <c r="AQ485" s="37">
        <v>5</v>
      </c>
      <c r="AR485" s="37">
        <v>5</v>
      </c>
      <c r="AS485" s="37">
        <v>5</v>
      </c>
      <c r="AT485" s="37">
        <v>5</v>
      </c>
    </row>
    <row r="486" spans="3:46" s="37" customFormat="1" x14ac:dyDescent="0.25"/>
    <row r="487" spans="3:46" s="37" customFormat="1" x14ac:dyDescent="0.25">
      <c r="C487" s="37" t="s">
        <v>20</v>
      </c>
      <c r="D487" s="37">
        <v>8</v>
      </c>
      <c r="E487" s="37">
        <v>8</v>
      </c>
      <c r="F487" s="37">
        <v>8</v>
      </c>
      <c r="G487" s="37">
        <v>8</v>
      </c>
      <c r="H487" s="37">
        <v>8</v>
      </c>
      <c r="I487" s="37">
        <v>8</v>
      </c>
      <c r="J487" s="37">
        <v>8</v>
      </c>
      <c r="K487" s="37">
        <v>8</v>
      </c>
      <c r="L487" s="37">
        <v>8</v>
      </c>
      <c r="M487" s="37">
        <v>7</v>
      </c>
      <c r="N487" s="37">
        <v>6</v>
      </c>
      <c r="O487" s="37">
        <v>6</v>
      </c>
      <c r="P487" s="37">
        <v>7</v>
      </c>
      <c r="Q487" s="37">
        <v>8</v>
      </c>
      <c r="R487" s="37">
        <v>8</v>
      </c>
      <c r="S487" s="37">
        <v>8</v>
      </c>
      <c r="T487" s="37">
        <v>8</v>
      </c>
      <c r="U487" s="37">
        <v>8</v>
      </c>
      <c r="V487" s="37">
        <v>8</v>
      </c>
      <c r="W487" s="37">
        <v>8</v>
      </c>
      <c r="X487" s="37">
        <v>8</v>
      </c>
      <c r="Z487" s="37">
        <v>8</v>
      </c>
      <c r="AA487" s="37">
        <v>8</v>
      </c>
      <c r="AB487" s="37">
        <v>8</v>
      </c>
      <c r="AC487" s="37">
        <v>8</v>
      </c>
      <c r="AD487" s="37">
        <v>8</v>
      </c>
      <c r="AE487" s="37">
        <v>8</v>
      </c>
      <c r="AF487" s="37">
        <v>8</v>
      </c>
      <c r="AG487" s="37">
        <v>8</v>
      </c>
      <c r="AH487" s="37">
        <v>8</v>
      </c>
      <c r="AI487" s="37">
        <v>8</v>
      </c>
      <c r="AJ487" s="37">
        <v>8</v>
      </c>
      <c r="AK487" s="37">
        <v>8</v>
      </c>
      <c r="AL487" s="37">
        <v>8</v>
      </c>
      <c r="AM487" s="37">
        <v>8</v>
      </c>
      <c r="AN487" s="37">
        <v>8</v>
      </c>
      <c r="AO487" s="37">
        <v>8</v>
      </c>
      <c r="AP487" s="37">
        <v>8</v>
      </c>
      <c r="AQ487" s="37">
        <v>8</v>
      </c>
      <c r="AR487" s="37">
        <v>8</v>
      </c>
      <c r="AS487" s="37">
        <v>8</v>
      </c>
      <c r="AT487" s="37">
        <v>8</v>
      </c>
    </row>
    <row r="488" spans="3:46" s="37" customFormat="1" x14ac:dyDescent="0.25"/>
    <row r="489" spans="3:46" s="37" customFormat="1" x14ac:dyDescent="0.25">
      <c r="C489" s="37" t="s">
        <v>21</v>
      </c>
      <c r="D489" s="37">
        <v>11</v>
      </c>
      <c r="E489" s="37">
        <v>11</v>
      </c>
      <c r="F489" s="37">
        <v>11</v>
      </c>
      <c r="G489" s="37">
        <v>11</v>
      </c>
      <c r="H489" s="37">
        <v>11</v>
      </c>
      <c r="I489" s="37">
        <v>11</v>
      </c>
      <c r="J489" s="37">
        <v>11</v>
      </c>
      <c r="K489" s="37">
        <v>11</v>
      </c>
      <c r="L489" s="37">
        <v>11</v>
      </c>
      <c r="M489" s="37">
        <v>11</v>
      </c>
      <c r="N489" s="37">
        <v>11</v>
      </c>
      <c r="O489" s="37">
        <v>11</v>
      </c>
      <c r="P489" s="37">
        <v>11</v>
      </c>
      <c r="Q489" s="37">
        <v>11</v>
      </c>
      <c r="R489" s="37">
        <v>11</v>
      </c>
      <c r="S489" s="37">
        <v>11</v>
      </c>
      <c r="T489" s="37">
        <v>11</v>
      </c>
      <c r="U489" s="37">
        <v>11</v>
      </c>
      <c r="V489" s="37">
        <v>11</v>
      </c>
      <c r="W489" s="37">
        <v>10</v>
      </c>
      <c r="X489" s="37">
        <v>10</v>
      </c>
      <c r="Z489" s="37">
        <v>11</v>
      </c>
      <c r="AA489" s="37">
        <v>11</v>
      </c>
      <c r="AB489" s="37">
        <v>11</v>
      </c>
      <c r="AC489" s="37">
        <v>11</v>
      </c>
      <c r="AD489" s="37">
        <v>11</v>
      </c>
      <c r="AE489" s="37">
        <v>11</v>
      </c>
      <c r="AF489" s="37">
        <v>11</v>
      </c>
      <c r="AG489" s="37">
        <v>11</v>
      </c>
      <c r="AH489" s="37">
        <v>11</v>
      </c>
      <c r="AI489" s="37">
        <v>11</v>
      </c>
      <c r="AJ489" s="37">
        <v>11</v>
      </c>
      <c r="AK489" s="37">
        <v>11</v>
      </c>
      <c r="AL489" s="37">
        <v>11</v>
      </c>
      <c r="AM489" s="37">
        <v>11</v>
      </c>
      <c r="AN489" s="37">
        <v>11</v>
      </c>
      <c r="AO489" s="37">
        <v>11</v>
      </c>
      <c r="AP489" s="37">
        <v>11</v>
      </c>
      <c r="AQ489" s="37">
        <v>11</v>
      </c>
      <c r="AR489" s="37">
        <v>11</v>
      </c>
      <c r="AS489" s="37">
        <v>11</v>
      </c>
      <c r="AT489" s="37">
        <v>11</v>
      </c>
    </row>
    <row r="490" spans="3:46" s="37" customFormat="1" x14ac:dyDescent="0.25"/>
    <row r="491" spans="3:46" s="37" customFormat="1" x14ac:dyDescent="0.25">
      <c r="C491" s="37" t="s">
        <v>20</v>
      </c>
      <c r="D491" s="37">
        <v>9</v>
      </c>
      <c r="E491" s="37">
        <v>9</v>
      </c>
      <c r="F491" s="37">
        <v>9</v>
      </c>
      <c r="G491" s="37">
        <v>9</v>
      </c>
      <c r="H491" s="37">
        <v>9</v>
      </c>
      <c r="I491" s="37">
        <v>9</v>
      </c>
      <c r="J491" s="37">
        <v>9</v>
      </c>
      <c r="K491" s="37">
        <v>3</v>
      </c>
      <c r="L491" s="37">
        <v>3</v>
      </c>
      <c r="M491" s="37">
        <v>3</v>
      </c>
      <c r="N491" s="37">
        <v>3</v>
      </c>
      <c r="O491" s="37">
        <v>3</v>
      </c>
      <c r="P491" s="37">
        <v>3</v>
      </c>
      <c r="Q491" s="37">
        <v>6</v>
      </c>
      <c r="R491" s="37">
        <v>7</v>
      </c>
      <c r="S491" s="37">
        <v>8</v>
      </c>
      <c r="T491" s="37">
        <v>8</v>
      </c>
      <c r="U491" s="37">
        <v>8</v>
      </c>
      <c r="V491" s="37">
        <v>8</v>
      </c>
      <c r="W491" s="37">
        <v>8</v>
      </c>
      <c r="X491" s="37">
        <v>8</v>
      </c>
      <c r="Z491" s="37">
        <v>9</v>
      </c>
      <c r="AA491" s="37">
        <v>9</v>
      </c>
      <c r="AB491" s="37">
        <v>9</v>
      </c>
      <c r="AC491" s="37">
        <v>9</v>
      </c>
      <c r="AD491" s="37">
        <v>9</v>
      </c>
      <c r="AE491" s="37">
        <v>9</v>
      </c>
      <c r="AF491" s="37">
        <v>9</v>
      </c>
      <c r="AG491" s="37">
        <v>3</v>
      </c>
      <c r="AH491" s="37">
        <v>3</v>
      </c>
      <c r="AI491" s="37">
        <v>3</v>
      </c>
      <c r="AJ491" s="37">
        <v>3</v>
      </c>
      <c r="AK491" s="37">
        <v>3</v>
      </c>
      <c r="AL491" s="37">
        <v>3</v>
      </c>
      <c r="AM491" s="37">
        <v>8</v>
      </c>
      <c r="AN491" s="37">
        <v>8</v>
      </c>
      <c r="AO491" s="37">
        <v>8</v>
      </c>
      <c r="AP491" s="37">
        <v>8</v>
      </c>
      <c r="AQ491" s="37">
        <v>8</v>
      </c>
      <c r="AR491" s="37">
        <v>8</v>
      </c>
      <c r="AS491" s="37">
        <v>8</v>
      </c>
      <c r="AT491" s="37">
        <v>8</v>
      </c>
    </row>
    <row r="492" spans="3:46" s="37" customFormat="1" x14ac:dyDescent="0.25"/>
    <row r="493" spans="3:46" s="37" customFormat="1" x14ac:dyDescent="0.25">
      <c r="C493" s="37" t="s">
        <v>21</v>
      </c>
      <c r="D493" s="37">
        <v>10</v>
      </c>
      <c r="E493" s="37">
        <v>10</v>
      </c>
      <c r="F493" s="37">
        <v>10</v>
      </c>
      <c r="G493" s="37">
        <v>10</v>
      </c>
      <c r="H493" s="37">
        <v>10</v>
      </c>
      <c r="I493" s="37">
        <v>10</v>
      </c>
      <c r="J493" s="37">
        <v>9</v>
      </c>
      <c r="K493" s="37">
        <v>4</v>
      </c>
      <c r="L493" s="37">
        <v>4</v>
      </c>
      <c r="M493" s="37">
        <v>4</v>
      </c>
      <c r="N493" s="37">
        <v>4</v>
      </c>
      <c r="O493" s="37">
        <v>4</v>
      </c>
      <c r="P493" s="37">
        <v>4</v>
      </c>
      <c r="Q493" s="37">
        <v>8</v>
      </c>
      <c r="R493" s="37">
        <v>9</v>
      </c>
      <c r="S493" s="37">
        <v>10</v>
      </c>
      <c r="T493" s="37">
        <v>11</v>
      </c>
      <c r="U493" s="37">
        <v>11</v>
      </c>
      <c r="V493" s="37">
        <v>11</v>
      </c>
      <c r="W493" s="37">
        <v>11</v>
      </c>
      <c r="X493" s="37">
        <v>11</v>
      </c>
      <c r="Z493" s="37">
        <v>10</v>
      </c>
      <c r="AA493" s="37">
        <v>10</v>
      </c>
      <c r="AB493" s="37">
        <v>10</v>
      </c>
      <c r="AC493" s="37">
        <v>10</v>
      </c>
      <c r="AD493" s="37">
        <v>10</v>
      </c>
      <c r="AE493" s="37">
        <v>10</v>
      </c>
      <c r="AF493" s="37">
        <v>10</v>
      </c>
      <c r="AG493" s="37">
        <v>4</v>
      </c>
      <c r="AH493" s="37">
        <v>4</v>
      </c>
      <c r="AI493" s="37">
        <v>4</v>
      </c>
      <c r="AJ493" s="37">
        <v>4</v>
      </c>
      <c r="AK493" s="37">
        <v>4</v>
      </c>
      <c r="AL493" s="37">
        <v>4</v>
      </c>
      <c r="AM493" s="37">
        <v>12</v>
      </c>
      <c r="AN493" s="37">
        <v>12</v>
      </c>
      <c r="AO493" s="37">
        <v>12</v>
      </c>
      <c r="AP493" s="37">
        <v>12</v>
      </c>
      <c r="AQ493" s="37">
        <v>12</v>
      </c>
      <c r="AR493" s="37">
        <v>12</v>
      </c>
      <c r="AS493" s="37">
        <v>12</v>
      </c>
      <c r="AT493" s="37">
        <v>12</v>
      </c>
    </row>
    <row r="494" spans="3:46" s="37" customFormat="1" x14ac:dyDescent="0.25"/>
    <row r="495" spans="3:46" s="37" customFormat="1" x14ac:dyDescent="0.25">
      <c r="C495" s="37" t="s">
        <v>20</v>
      </c>
      <c r="D495" s="37">
        <v>8</v>
      </c>
      <c r="E495" s="37">
        <v>8</v>
      </c>
      <c r="F495" s="37">
        <v>8</v>
      </c>
      <c r="G495" s="37">
        <v>8</v>
      </c>
      <c r="H495" s="37">
        <v>8</v>
      </c>
      <c r="I495" s="37">
        <v>8</v>
      </c>
      <c r="J495" s="37">
        <v>8</v>
      </c>
      <c r="K495" s="37">
        <v>7</v>
      </c>
      <c r="L495" s="37">
        <v>7</v>
      </c>
      <c r="M495" s="37">
        <v>7</v>
      </c>
      <c r="N495" s="37">
        <v>6</v>
      </c>
      <c r="O495" s="37">
        <v>6</v>
      </c>
      <c r="P495" s="37">
        <v>5</v>
      </c>
      <c r="Q495" s="37">
        <v>6</v>
      </c>
      <c r="R495" s="37">
        <v>6</v>
      </c>
      <c r="S495" s="37">
        <v>7</v>
      </c>
      <c r="T495" s="37">
        <v>7</v>
      </c>
      <c r="U495" s="37">
        <v>7</v>
      </c>
      <c r="V495" s="37">
        <v>7</v>
      </c>
      <c r="W495" s="37">
        <v>7</v>
      </c>
      <c r="X495" s="37">
        <v>7</v>
      </c>
      <c r="Z495" s="37">
        <v>8</v>
      </c>
      <c r="AA495" s="37">
        <v>8</v>
      </c>
      <c r="AB495" s="37">
        <v>8</v>
      </c>
      <c r="AC495" s="37">
        <v>8</v>
      </c>
      <c r="AD495" s="37">
        <v>8</v>
      </c>
      <c r="AE495" s="37">
        <v>8</v>
      </c>
      <c r="AF495" s="37">
        <v>8</v>
      </c>
      <c r="AG495" s="37">
        <v>7</v>
      </c>
      <c r="AH495" s="37">
        <v>7</v>
      </c>
      <c r="AI495" s="37">
        <v>7</v>
      </c>
      <c r="AJ495" s="37">
        <v>7</v>
      </c>
      <c r="AK495" s="37">
        <v>7</v>
      </c>
      <c r="AL495" s="37">
        <v>7</v>
      </c>
      <c r="AM495" s="37">
        <v>7</v>
      </c>
      <c r="AN495" s="37">
        <v>7</v>
      </c>
      <c r="AO495" s="37">
        <v>7</v>
      </c>
      <c r="AP495" s="37">
        <v>7</v>
      </c>
      <c r="AQ495" s="37">
        <v>7</v>
      </c>
      <c r="AR495" s="37">
        <v>7</v>
      </c>
      <c r="AS495" s="37">
        <v>7</v>
      </c>
      <c r="AT495" s="37">
        <v>7</v>
      </c>
    </row>
    <row r="496" spans="3:46" s="37" customFormat="1" x14ac:dyDescent="0.25"/>
    <row r="497" spans="3:46" s="37" customFormat="1" x14ac:dyDescent="0.25">
      <c r="C497" s="37" t="s">
        <v>21</v>
      </c>
      <c r="D497" s="37">
        <v>10</v>
      </c>
      <c r="E497" s="37">
        <v>10</v>
      </c>
      <c r="F497" s="37">
        <v>10</v>
      </c>
      <c r="G497" s="37">
        <v>10</v>
      </c>
      <c r="H497" s="37">
        <v>10</v>
      </c>
      <c r="I497" s="37">
        <v>10</v>
      </c>
      <c r="J497" s="37">
        <v>10</v>
      </c>
      <c r="K497" s="37">
        <v>10</v>
      </c>
      <c r="L497" s="37">
        <v>10</v>
      </c>
      <c r="M497" s="37">
        <v>10</v>
      </c>
      <c r="N497" s="37">
        <v>10</v>
      </c>
      <c r="O497" s="37">
        <v>10</v>
      </c>
      <c r="P497" s="37">
        <v>10</v>
      </c>
      <c r="Q497" s="37">
        <v>10</v>
      </c>
      <c r="R497" s="37">
        <v>10</v>
      </c>
      <c r="S497" s="37">
        <v>10</v>
      </c>
      <c r="T497" s="37">
        <v>11</v>
      </c>
      <c r="U497" s="37">
        <v>11</v>
      </c>
      <c r="V497" s="37">
        <v>11</v>
      </c>
      <c r="W497" s="37">
        <v>11</v>
      </c>
      <c r="X497" s="37">
        <v>11</v>
      </c>
      <c r="Z497" s="37">
        <v>10</v>
      </c>
      <c r="AA497" s="37">
        <v>10</v>
      </c>
      <c r="AB497" s="37">
        <v>10</v>
      </c>
      <c r="AC497" s="37">
        <v>10</v>
      </c>
      <c r="AD497" s="37">
        <v>10</v>
      </c>
      <c r="AE497" s="37">
        <v>10</v>
      </c>
      <c r="AF497" s="37">
        <v>10</v>
      </c>
      <c r="AG497" s="37">
        <v>10</v>
      </c>
      <c r="AH497" s="37">
        <v>10</v>
      </c>
      <c r="AI497" s="37">
        <v>10</v>
      </c>
      <c r="AJ497" s="37">
        <v>10</v>
      </c>
      <c r="AK497" s="37">
        <v>10</v>
      </c>
      <c r="AL497" s="37">
        <v>10</v>
      </c>
      <c r="AM497" s="37">
        <v>12</v>
      </c>
      <c r="AN497" s="37">
        <v>12</v>
      </c>
      <c r="AO497" s="37">
        <v>12</v>
      </c>
      <c r="AP497" s="37">
        <v>12</v>
      </c>
      <c r="AQ497" s="37">
        <v>12</v>
      </c>
      <c r="AR497" s="37">
        <v>12</v>
      </c>
      <c r="AS497" s="37">
        <v>12</v>
      </c>
      <c r="AT497" s="37">
        <v>12</v>
      </c>
    </row>
    <row r="498" spans="3:46" s="37" customFormat="1" x14ac:dyDescent="0.25"/>
    <row r="499" spans="3:46" s="37" customFormat="1" x14ac:dyDescent="0.25">
      <c r="C499" s="37" t="s">
        <v>20</v>
      </c>
      <c r="D499" s="37">
        <v>7</v>
      </c>
      <c r="E499" s="37">
        <v>7</v>
      </c>
      <c r="F499" s="37">
        <v>7</v>
      </c>
      <c r="G499" s="37">
        <v>7</v>
      </c>
      <c r="H499" s="37">
        <v>7</v>
      </c>
      <c r="I499" s="37">
        <v>7</v>
      </c>
      <c r="J499" s="37">
        <v>7</v>
      </c>
      <c r="K499" s="37">
        <v>3</v>
      </c>
      <c r="L499" s="37">
        <v>3</v>
      </c>
      <c r="M499" s="37">
        <v>3</v>
      </c>
      <c r="N499" s="37">
        <v>3</v>
      </c>
      <c r="O499" s="37">
        <v>3</v>
      </c>
      <c r="P499" s="37">
        <v>3</v>
      </c>
      <c r="Q499" s="37">
        <v>6</v>
      </c>
      <c r="R499" s="37">
        <v>7</v>
      </c>
      <c r="S499" s="37">
        <v>8</v>
      </c>
      <c r="T499" s="37">
        <v>8</v>
      </c>
      <c r="U499" s="37">
        <v>8</v>
      </c>
      <c r="V499" s="37">
        <v>8</v>
      </c>
      <c r="W499" s="37">
        <v>8</v>
      </c>
      <c r="X499" s="37">
        <v>8</v>
      </c>
      <c r="Z499" s="37">
        <v>7</v>
      </c>
      <c r="AA499" s="37">
        <v>7</v>
      </c>
      <c r="AB499" s="37">
        <v>7</v>
      </c>
      <c r="AC499" s="37">
        <v>7</v>
      </c>
      <c r="AD499" s="37">
        <v>7</v>
      </c>
      <c r="AE499" s="37">
        <v>7</v>
      </c>
      <c r="AF499" s="37">
        <v>7</v>
      </c>
      <c r="AG499" s="37">
        <v>3</v>
      </c>
      <c r="AH499" s="37">
        <v>3</v>
      </c>
      <c r="AI499" s="37">
        <v>3</v>
      </c>
      <c r="AJ499" s="37">
        <v>3</v>
      </c>
      <c r="AK499" s="37">
        <v>3</v>
      </c>
      <c r="AL499" s="37">
        <v>3</v>
      </c>
      <c r="AM499" s="37">
        <v>8</v>
      </c>
      <c r="AN499" s="37">
        <v>8</v>
      </c>
      <c r="AO499" s="37">
        <v>8</v>
      </c>
      <c r="AP499" s="37">
        <v>8</v>
      </c>
      <c r="AQ499" s="37">
        <v>8</v>
      </c>
      <c r="AR499" s="37">
        <v>8</v>
      </c>
      <c r="AS499" s="37">
        <v>8</v>
      </c>
      <c r="AT499" s="37">
        <v>8</v>
      </c>
    </row>
    <row r="500" spans="3:46" s="37" customFormat="1" x14ac:dyDescent="0.25"/>
    <row r="501" spans="3:46" s="37" customFormat="1" x14ac:dyDescent="0.25">
      <c r="C501" s="37" t="s">
        <v>21</v>
      </c>
      <c r="D501" s="37">
        <v>9</v>
      </c>
      <c r="E501" s="37">
        <v>9</v>
      </c>
      <c r="F501" s="37">
        <v>9</v>
      </c>
      <c r="G501" s="37">
        <v>9</v>
      </c>
      <c r="H501" s="37">
        <v>9</v>
      </c>
      <c r="I501" s="37">
        <v>8</v>
      </c>
      <c r="J501" s="37">
        <v>7</v>
      </c>
      <c r="K501" s="37">
        <v>4</v>
      </c>
      <c r="L501" s="37">
        <v>4</v>
      </c>
      <c r="M501" s="37">
        <v>4</v>
      </c>
      <c r="N501" s="37">
        <v>4</v>
      </c>
      <c r="O501" s="37">
        <v>4</v>
      </c>
      <c r="P501" s="37">
        <v>4</v>
      </c>
      <c r="Q501" s="37">
        <v>4</v>
      </c>
      <c r="R501" s="37">
        <v>5</v>
      </c>
      <c r="S501" s="37">
        <v>6</v>
      </c>
      <c r="T501" s="37">
        <v>6</v>
      </c>
      <c r="U501" s="37">
        <v>7</v>
      </c>
      <c r="V501" s="37">
        <v>7</v>
      </c>
      <c r="W501" s="37">
        <v>7</v>
      </c>
      <c r="X501" s="37">
        <v>7</v>
      </c>
      <c r="Z501" s="37">
        <v>9</v>
      </c>
      <c r="AA501" s="37">
        <v>9</v>
      </c>
      <c r="AB501" s="37">
        <v>9</v>
      </c>
      <c r="AC501" s="37">
        <v>9</v>
      </c>
      <c r="AD501" s="37">
        <v>9</v>
      </c>
      <c r="AE501" s="37">
        <v>9</v>
      </c>
      <c r="AF501" s="37">
        <v>9</v>
      </c>
      <c r="AG501" s="37">
        <v>4</v>
      </c>
      <c r="AH501" s="37">
        <v>4</v>
      </c>
      <c r="AI501" s="37">
        <v>4</v>
      </c>
      <c r="AJ501" s="37">
        <v>4</v>
      </c>
      <c r="AK501" s="37">
        <v>4</v>
      </c>
      <c r="AL501" s="37">
        <v>4</v>
      </c>
      <c r="AM501" s="37">
        <v>7</v>
      </c>
      <c r="AN501" s="37">
        <v>7</v>
      </c>
      <c r="AO501" s="37">
        <v>7</v>
      </c>
      <c r="AP501" s="37">
        <v>7</v>
      </c>
      <c r="AQ501" s="37">
        <v>7</v>
      </c>
      <c r="AR501" s="37">
        <v>7</v>
      </c>
      <c r="AS501" s="37">
        <v>7</v>
      </c>
      <c r="AT501" s="37">
        <v>7</v>
      </c>
    </row>
    <row r="502" spans="3:46" s="37" customFormat="1" x14ac:dyDescent="0.25"/>
    <row r="503" spans="3:46" s="37" customFormat="1" x14ac:dyDescent="0.25">
      <c r="C503" s="37" t="s">
        <v>20</v>
      </c>
      <c r="D503" s="37">
        <v>7</v>
      </c>
      <c r="E503" s="37">
        <v>7</v>
      </c>
      <c r="F503" s="37">
        <v>7</v>
      </c>
      <c r="G503" s="37">
        <v>7</v>
      </c>
      <c r="H503" s="37">
        <v>7</v>
      </c>
      <c r="I503" s="37">
        <v>6</v>
      </c>
      <c r="J503" s="37">
        <v>6</v>
      </c>
      <c r="K503" s="37">
        <v>3</v>
      </c>
      <c r="L503" s="37">
        <v>3</v>
      </c>
      <c r="M503" s="37">
        <v>3</v>
      </c>
      <c r="N503" s="37">
        <v>3</v>
      </c>
      <c r="O503" s="37">
        <v>3</v>
      </c>
      <c r="P503" s="37">
        <v>3</v>
      </c>
      <c r="Q503" s="37">
        <v>6</v>
      </c>
      <c r="R503" s="37">
        <v>7</v>
      </c>
      <c r="S503" s="37">
        <v>8</v>
      </c>
      <c r="T503" s="37">
        <v>9</v>
      </c>
      <c r="U503" s="37">
        <v>9</v>
      </c>
      <c r="V503" s="37">
        <v>9</v>
      </c>
      <c r="W503" s="37">
        <v>9</v>
      </c>
      <c r="X503" s="37">
        <v>9</v>
      </c>
      <c r="Z503" s="37">
        <v>7</v>
      </c>
      <c r="AA503" s="37">
        <v>7</v>
      </c>
      <c r="AB503" s="37">
        <v>7</v>
      </c>
      <c r="AC503" s="37">
        <v>7</v>
      </c>
      <c r="AD503" s="37">
        <v>7</v>
      </c>
      <c r="AE503" s="37">
        <v>7</v>
      </c>
      <c r="AF503" s="37">
        <v>7</v>
      </c>
      <c r="AG503" s="37">
        <v>3</v>
      </c>
      <c r="AH503" s="37">
        <v>3</v>
      </c>
      <c r="AI503" s="37">
        <v>3</v>
      </c>
      <c r="AJ503" s="37">
        <v>3</v>
      </c>
      <c r="AK503" s="37">
        <v>3</v>
      </c>
      <c r="AL503" s="37">
        <v>3</v>
      </c>
      <c r="AM503" s="37">
        <v>9</v>
      </c>
      <c r="AN503" s="37">
        <v>9</v>
      </c>
      <c r="AO503" s="37">
        <v>9</v>
      </c>
      <c r="AP503" s="37">
        <v>9</v>
      </c>
      <c r="AQ503" s="37">
        <v>9</v>
      </c>
      <c r="AR503" s="37">
        <v>9</v>
      </c>
      <c r="AS503" s="37">
        <v>9</v>
      </c>
      <c r="AT503" s="37">
        <v>9</v>
      </c>
    </row>
    <row r="504" spans="3:46" s="37" customFormat="1" x14ac:dyDescent="0.25"/>
    <row r="505" spans="3:46" s="37" customFormat="1" x14ac:dyDescent="0.25">
      <c r="C505" s="37" t="s">
        <v>21</v>
      </c>
      <c r="D505" s="37">
        <v>8</v>
      </c>
      <c r="E505" s="37">
        <v>8</v>
      </c>
      <c r="F505" s="37">
        <v>8</v>
      </c>
      <c r="G505" s="37">
        <v>8</v>
      </c>
      <c r="H505" s="37">
        <v>8</v>
      </c>
      <c r="I505" s="37">
        <v>7</v>
      </c>
      <c r="J505" s="37">
        <v>6</v>
      </c>
      <c r="K505" s="37">
        <v>5</v>
      </c>
      <c r="L505" s="37">
        <v>5</v>
      </c>
      <c r="M505" s="37">
        <v>5</v>
      </c>
      <c r="N505" s="37">
        <v>5</v>
      </c>
      <c r="O505" s="37">
        <v>5</v>
      </c>
      <c r="P505" s="37">
        <v>5</v>
      </c>
      <c r="Q505" s="37">
        <v>5</v>
      </c>
      <c r="R505" s="37">
        <v>5</v>
      </c>
      <c r="S505" s="37">
        <v>5</v>
      </c>
      <c r="T505" s="37">
        <v>6</v>
      </c>
      <c r="U505" s="37">
        <v>6</v>
      </c>
      <c r="V505" s="37">
        <v>7</v>
      </c>
      <c r="W505" s="37">
        <v>7</v>
      </c>
      <c r="X505" s="37">
        <v>7</v>
      </c>
      <c r="Z505" s="37">
        <v>8</v>
      </c>
      <c r="AA505" s="37">
        <v>8</v>
      </c>
      <c r="AB505" s="37">
        <v>8</v>
      </c>
      <c r="AC505" s="37">
        <v>8</v>
      </c>
      <c r="AD505" s="37">
        <v>8</v>
      </c>
      <c r="AE505" s="37">
        <v>8</v>
      </c>
      <c r="AF505" s="37">
        <v>8</v>
      </c>
      <c r="AG505" s="37">
        <v>5</v>
      </c>
      <c r="AH505" s="37">
        <v>5</v>
      </c>
      <c r="AI505" s="37">
        <v>5</v>
      </c>
      <c r="AJ505" s="37">
        <v>5</v>
      </c>
      <c r="AK505" s="37">
        <v>5</v>
      </c>
      <c r="AL505" s="37">
        <v>5</v>
      </c>
      <c r="AM505" s="37">
        <v>7</v>
      </c>
      <c r="AN505" s="37">
        <v>7</v>
      </c>
      <c r="AO505" s="37">
        <v>7</v>
      </c>
      <c r="AP505" s="37">
        <v>7</v>
      </c>
      <c r="AQ505" s="37">
        <v>7</v>
      </c>
      <c r="AR505" s="37">
        <v>7</v>
      </c>
      <c r="AS505" s="37">
        <v>7</v>
      </c>
      <c r="AT505" s="37">
        <v>7</v>
      </c>
    </row>
    <row r="506" spans="3:46" s="37" customFormat="1" x14ac:dyDescent="0.25"/>
    <row r="507" spans="3:46" s="37" customFormat="1" x14ac:dyDescent="0.25">
      <c r="C507" s="37" t="s">
        <v>20</v>
      </c>
      <c r="D507" s="37">
        <v>8</v>
      </c>
      <c r="E507" s="37">
        <v>8</v>
      </c>
      <c r="F507" s="37">
        <v>8</v>
      </c>
      <c r="G507" s="37">
        <v>8</v>
      </c>
      <c r="H507" s="37">
        <v>8</v>
      </c>
      <c r="I507" s="37">
        <v>8</v>
      </c>
      <c r="J507" s="37">
        <v>7</v>
      </c>
      <c r="K507" s="37">
        <v>3</v>
      </c>
      <c r="L507" s="37">
        <v>3</v>
      </c>
      <c r="M507" s="37">
        <v>3</v>
      </c>
      <c r="N507" s="37">
        <v>3</v>
      </c>
      <c r="O507" s="37">
        <v>3</v>
      </c>
      <c r="P507" s="37">
        <v>3</v>
      </c>
      <c r="Q507" s="37">
        <v>6</v>
      </c>
      <c r="R507" s="37">
        <v>7</v>
      </c>
      <c r="S507" s="37">
        <v>8</v>
      </c>
      <c r="T507" s="37">
        <v>9</v>
      </c>
      <c r="U507" s="37">
        <v>9</v>
      </c>
      <c r="V507" s="37">
        <v>9</v>
      </c>
      <c r="W507" s="37">
        <v>9</v>
      </c>
      <c r="X507" s="37">
        <v>9</v>
      </c>
      <c r="Z507" s="37">
        <v>8</v>
      </c>
      <c r="AA507" s="37">
        <v>8</v>
      </c>
      <c r="AB507" s="37">
        <v>8</v>
      </c>
      <c r="AC507" s="37">
        <v>8</v>
      </c>
      <c r="AD507" s="37">
        <v>8</v>
      </c>
      <c r="AE507" s="37">
        <v>8</v>
      </c>
      <c r="AF507" s="37">
        <v>8</v>
      </c>
      <c r="AG507" s="37">
        <v>3</v>
      </c>
      <c r="AH507" s="37">
        <v>3</v>
      </c>
      <c r="AI507" s="37">
        <v>3</v>
      </c>
      <c r="AJ507" s="37">
        <v>3</v>
      </c>
      <c r="AK507" s="37">
        <v>3</v>
      </c>
      <c r="AL507" s="37">
        <v>3</v>
      </c>
      <c r="AM507" s="37">
        <v>9</v>
      </c>
      <c r="AN507" s="37">
        <v>9</v>
      </c>
      <c r="AO507" s="37">
        <v>9</v>
      </c>
      <c r="AP507" s="37">
        <v>9</v>
      </c>
      <c r="AQ507" s="37">
        <v>9</v>
      </c>
      <c r="AR507" s="37">
        <v>9</v>
      </c>
      <c r="AS507" s="37">
        <v>9</v>
      </c>
      <c r="AT507" s="37">
        <v>9</v>
      </c>
    </row>
    <row r="508" spans="3:46" s="37" customFormat="1" x14ac:dyDescent="0.25"/>
    <row r="509" spans="3:46" s="37" customFormat="1" x14ac:dyDescent="0.25">
      <c r="C509" s="37" t="s">
        <v>21</v>
      </c>
      <c r="D509" s="37">
        <v>7</v>
      </c>
      <c r="E509" s="37">
        <v>7</v>
      </c>
      <c r="F509" s="37">
        <v>7</v>
      </c>
      <c r="G509" s="37">
        <v>7</v>
      </c>
      <c r="H509" s="37">
        <v>6</v>
      </c>
      <c r="I509" s="37">
        <v>6</v>
      </c>
      <c r="J509" s="37">
        <v>5</v>
      </c>
      <c r="K509" s="37">
        <v>4</v>
      </c>
      <c r="L509" s="37">
        <v>4</v>
      </c>
      <c r="M509" s="37">
        <v>4</v>
      </c>
      <c r="N509" s="37">
        <v>4</v>
      </c>
      <c r="O509" s="37">
        <v>4</v>
      </c>
      <c r="P509" s="37">
        <v>4</v>
      </c>
      <c r="Q509" s="37">
        <v>4</v>
      </c>
      <c r="R509" s="37">
        <v>4</v>
      </c>
      <c r="S509" s="37">
        <v>5</v>
      </c>
      <c r="T509" s="37">
        <v>6</v>
      </c>
      <c r="U509" s="37">
        <v>6</v>
      </c>
      <c r="V509" s="37">
        <v>7</v>
      </c>
      <c r="W509" s="37">
        <v>7</v>
      </c>
      <c r="X509" s="37">
        <v>7</v>
      </c>
      <c r="Z509" s="37">
        <v>7</v>
      </c>
      <c r="AA509" s="37">
        <v>7</v>
      </c>
      <c r="AB509" s="37">
        <v>7</v>
      </c>
      <c r="AC509" s="37">
        <v>7</v>
      </c>
      <c r="AD509" s="37">
        <v>7</v>
      </c>
      <c r="AE509" s="37">
        <v>7</v>
      </c>
      <c r="AF509" s="37">
        <v>7</v>
      </c>
      <c r="AG509" s="37">
        <v>4</v>
      </c>
      <c r="AH509" s="37">
        <v>4</v>
      </c>
      <c r="AI509" s="37">
        <v>4</v>
      </c>
      <c r="AJ509" s="37">
        <v>4</v>
      </c>
      <c r="AK509" s="37">
        <v>4</v>
      </c>
      <c r="AL509" s="37">
        <v>4</v>
      </c>
      <c r="AM509" s="37">
        <v>7</v>
      </c>
      <c r="AN509" s="37">
        <v>7</v>
      </c>
      <c r="AO509" s="37">
        <v>7</v>
      </c>
      <c r="AP509" s="37">
        <v>7</v>
      </c>
      <c r="AQ509" s="37">
        <v>7</v>
      </c>
      <c r="AR509" s="37">
        <v>7</v>
      </c>
      <c r="AS509" s="37">
        <v>7</v>
      </c>
      <c r="AT509" s="37">
        <v>7</v>
      </c>
    </row>
    <row r="510" spans="3:46" s="37" customFormat="1" x14ac:dyDescent="0.25"/>
    <row r="511" spans="3:46" s="37" customFormat="1" x14ac:dyDescent="0.25">
      <c r="C511" s="37" t="s">
        <v>20</v>
      </c>
      <c r="D511" s="37">
        <v>8</v>
      </c>
      <c r="E511" s="37">
        <v>8</v>
      </c>
      <c r="F511" s="37">
        <v>8</v>
      </c>
      <c r="G511" s="37">
        <v>8</v>
      </c>
      <c r="H511" s="37">
        <v>8</v>
      </c>
      <c r="I511" s="37">
        <v>8</v>
      </c>
      <c r="J511" s="37">
        <v>8</v>
      </c>
      <c r="K511" s="37">
        <v>3</v>
      </c>
      <c r="L511" s="37">
        <v>3</v>
      </c>
      <c r="M511" s="37">
        <v>3</v>
      </c>
      <c r="N511" s="37">
        <v>3</v>
      </c>
      <c r="O511" s="37">
        <v>3</v>
      </c>
      <c r="P511" s="37">
        <v>3</v>
      </c>
      <c r="Q511" s="37">
        <v>7</v>
      </c>
      <c r="R511" s="37">
        <v>8</v>
      </c>
      <c r="S511" s="37">
        <v>9</v>
      </c>
      <c r="T511" s="37">
        <v>9</v>
      </c>
      <c r="U511" s="37">
        <v>9</v>
      </c>
      <c r="V511" s="37">
        <v>9</v>
      </c>
      <c r="W511" s="37">
        <v>9</v>
      </c>
      <c r="X511" s="37">
        <v>9</v>
      </c>
      <c r="Z511" s="37">
        <v>8</v>
      </c>
      <c r="AA511" s="37">
        <v>8</v>
      </c>
      <c r="AB511" s="37">
        <v>8</v>
      </c>
      <c r="AC511" s="37">
        <v>8</v>
      </c>
      <c r="AD511" s="37">
        <v>8</v>
      </c>
      <c r="AE511" s="37">
        <v>8</v>
      </c>
      <c r="AF511" s="37">
        <v>8</v>
      </c>
      <c r="AG511" s="37">
        <v>3</v>
      </c>
      <c r="AH511" s="37">
        <v>3</v>
      </c>
      <c r="AI511" s="37">
        <v>3</v>
      </c>
      <c r="AJ511" s="37">
        <v>3</v>
      </c>
      <c r="AK511" s="37">
        <v>3</v>
      </c>
      <c r="AL511" s="37">
        <v>3</v>
      </c>
      <c r="AM511" s="37">
        <v>9</v>
      </c>
      <c r="AN511" s="37">
        <v>9</v>
      </c>
      <c r="AO511" s="37">
        <v>9</v>
      </c>
      <c r="AP511" s="37">
        <v>9</v>
      </c>
      <c r="AQ511" s="37">
        <v>9</v>
      </c>
      <c r="AR511" s="37">
        <v>9</v>
      </c>
      <c r="AS511" s="37">
        <v>9</v>
      </c>
      <c r="AT511" s="37">
        <v>9</v>
      </c>
    </row>
    <row r="512" spans="3:46" s="37" customFormat="1" x14ac:dyDescent="0.25"/>
    <row r="513" spans="3:46" s="37" customFormat="1" x14ac:dyDescent="0.25">
      <c r="C513" s="37" t="s">
        <v>21</v>
      </c>
      <c r="D513" s="37">
        <v>9</v>
      </c>
      <c r="E513" s="37">
        <v>9</v>
      </c>
      <c r="F513" s="37">
        <v>9</v>
      </c>
      <c r="G513" s="37">
        <v>9</v>
      </c>
      <c r="H513" s="37">
        <v>9</v>
      </c>
      <c r="I513" s="37">
        <v>8</v>
      </c>
      <c r="J513" s="37">
        <v>7</v>
      </c>
      <c r="K513" s="37">
        <v>4</v>
      </c>
      <c r="L513" s="37">
        <v>4</v>
      </c>
      <c r="M513" s="37">
        <v>4</v>
      </c>
      <c r="N513" s="37">
        <v>4</v>
      </c>
      <c r="O513" s="37">
        <v>4</v>
      </c>
      <c r="P513" s="37">
        <v>4</v>
      </c>
      <c r="Q513" s="37">
        <v>5</v>
      </c>
      <c r="R513" s="37">
        <v>6</v>
      </c>
      <c r="S513" s="37">
        <v>7</v>
      </c>
      <c r="T513" s="37">
        <v>8</v>
      </c>
      <c r="U513" s="37">
        <v>9</v>
      </c>
      <c r="V513" s="37">
        <v>9</v>
      </c>
      <c r="W513" s="37">
        <v>9</v>
      </c>
      <c r="X513" s="37">
        <v>9</v>
      </c>
      <c r="Z513" s="37">
        <v>9</v>
      </c>
      <c r="AA513" s="37">
        <v>9</v>
      </c>
      <c r="AB513" s="37">
        <v>9</v>
      </c>
      <c r="AC513" s="37">
        <v>9</v>
      </c>
      <c r="AD513" s="37">
        <v>9</v>
      </c>
      <c r="AE513" s="37">
        <v>9</v>
      </c>
      <c r="AF513" s="37">
        <v>9</v>
      </c>
      <c r="AG513" s="37">
        <v>4</v>
      </c>
      <c r="AH513" s="37">
        <v>4</v>
      </c>
      <c r="AI513" s="37">
        <v>4</v>
      </c>
      <c r="AJ513" s="37">
        <v>4</v>
      </c>
      <c r="AK513" s="37">
        <v>4</v>
      </c>
      <c r="AL513" s="37">
        <v>4</v>
      </c>
      <c r="AM513" s="37">
        <v>9</v>
      </c>
      <c r="AN513" s="37">
        <v>9</v>
      </c>
      <c r="AO513" s="37">
        <v>9</v>
      </c>
      <c r="AP513" s="37">
        <v>9</v>
      </c>
      <c r="AQ513" s="37">
        <v>9</v>
      </c>
      <c r="AR513" s="37">
        <v>9</v>
      </c>
      <c r="AS513" s="37">
        <v>9</v>
      </c>
      <c r="AT513" s="37">
        <v>9</v>
      </c>
    </row>
    <row r="514" spans="3:46" s="37" customFormat="1" x14ac:dyDescent="0.25"/>
    <row r="515" spans="3:46" s="37" customFormat="1" x14ac:dyDescent="0.25">
      <c r="C515" s="37" t="s">
        <v>20</v>
      </c>
      <c r="D515" s="37">
        <v>8</v>
      </c>
      <c r="E515" s="37">
        <v>8</v>
      </c>
      <c r="F515" s="37">
        <v>8</v>
      </c>
      <c r="G515" s="37">
        <v>8</v>
      </c>
      <c r="H515" s="37">
        <v>8</v>
      </c>
      <c r="I515" s="37">
        <v>8</v>
      </c>
      <c r="J515" s="37">
        <v>8</v>
      </c>
      <c r="K515" s="37">
        <v>3</v>
      </c>
      <c r="L515" s="37">
        <v>3</v>
      </c>
      <c r="M515" s="37">
        <v>3</v>
      </c>
      <c r="N515" s="37">
        <v>3</v>
      </c>
      <c r="O515" s="37">
        <v>3</v>
      </c>
      <c r="P515" s="37">
        <v>3</v>
      </c>
      <c r="Q515" s="37">
        <v>7</v>
      </c>
      <c r="R515" s="37">
        <v>8</v>
      </c>
      <c r="S515" s="37">
        <v>8</v>
      </c>
      <c r="T515" s="37">
        <v>8</v>
      </c>
      <c r="U515" s="37">
        <v>8</v>
      </c>
      <c r="V515" s="37">
        <v>8</v>
      </c>
      <c r="W515" s="37">
        <v>8</v>
      </c>
      <c r="X515" s="37">
        <v>8</v>
      </c>
      <c r="Z515" s="37">
        <v>8</v>
      </c>
      <c r="AA515" s="37">
        <v>8</v>
      </c>
      <c r="AB515" s="37">
        <v>8</v>
      </c>
      <c r="AC515" s="37">
        <v>8</v>
      </c>
      <c r="AD515" s="37">
        <v>8</v>
      </c>
      <c r="AE515" s="37">
        <v>8</v>
      </c>
      <c r="AF515" s="37">
        <v>8</v>
      </c>
      <c r="AG515" s="37">
        <v>3</v>
      </c>
      <c r="AH515" s="37">
        <v>3</v>
      </c>
      <c r="AI515" s="37">
        <v>3</v>
      </c>
      <c r="AJ515" s="37">
        <v>3</v>
      </c>
      <c r="AK515" s="37">
        <v>3</v>
      </c>
      <c r="AL515" s="37">
        <v>3</v>
      </c>
      <c r="AM515" s="37">
        <v>8</v>
      </c>
      <c r="AN515" s="37">
        <v>8</v>
      </c>
      <c r="AO515" s="37">
        <v>8</v>
      </c>
      <c r="AP515" s="37">
        <v>8</v>
      </c>
      <c r="AQ515" s="37">
        <v>8</v>
      </c>
      <c r="AR515" s="37">
        <v>8</v>
      </c>
      <c r="AS515" s="37">
        <v>8</v>
      </c>
      <c r="AT515" s="37">
        <v>8</v>
      </c>
    </row>
    <row r="516" spans="3:46" s="37" customFormat="1" x14ac:dyDescent="0.25"/>
    <row r="517" spans="3:46" s="37" customFormat="1" x14ac:dyDescent="0.25">
      <c r="C517" s="37" t="s">
        <v>21</v>
      </c>
      <c r="D517" s="37">
        <v>10</v>
      </c>
      <c r="E517" s="37">
        <v>10</v>
      </c>
      <c r="F517" s="37">
        <v>10</v>
      </c>
      <c r="G517" s="37">
        <v>10</v>
      </c>
      <c r="H517" s="37">
        <v>10</v>
      </c>
      <c r="I517" s="37">
        <v>10</v>
      </c>
      <c r="J517" s="37">
        <v>9</v>
      </c>
      <c r="K517" s="37">
        <v>4</v>
      </c>
      <c r="L517" s="37">
        <v>4</v>
      </c>
      <c r="M517" s="37">
        <v>4</v>
      </c>
      <c r="N517" s="37">
        <v>4</v>
      </c>
      <c r="O517" s="37">
        <v>4</v>
      </c>
      <c r="P517" s="37">
        <v>4</v>
      </c>
      <c r="Q517" s="37">
        <v>7</v>
      </c>
      <c r="R517" s="37">
        <v>8</v>
      </c>
      <c r="S517" s="37">
        <v>9</v>
      </c>
      <c r="T517" s="37">
        <v>10</v>
      </c>
      <c r="U517" s="37">
        <v>10</v>
      </c>
      <c r="V517" s="37">
        <v>10</v>
      </c>
      <c r="W517" s="37">
        <v>10</v>
      </c>
      <c r="X517" s="37">
        <v>10</v>
      </c>
      <c r="Z517" s="37">
        <v>10</v>
      </c>
      <c r="AA517" s="37">
        <v>10</v>
      </c>
      <c r="AB517" s="37">
        <v>10</v>
      </c>
      <c r="AC517" s="37">
        <v>10</v>
      </c>
      <c r="AD517" s="37">
        <v>10</v>
      </c>
      <c r="AE517" s="37">
        <v>10</v>
      </c>
      <c r="AF517" s="37">
        <v>10</v>
      </c>
      <c r="AG517" s="37">
        <v>4</v>
      </c>
      <c r="AH517" s="37">
        <v>4</v>
      </c>
      <c r="AI517" s="37">
        <v>4</v>
      </c>
      <c r="AJ517" s="37">
        <v>4</v>
      </c>
      <c r="AK517" s="37">
        <v>4</v>
      </c>
      <c r="AL517" s="37">
        <v>4</v>
      </c>
      <c r="AM517" s="37">
        <v>10</v>
      </c>
      <c r="AN517" s="37">
        <v>10</v>
      </c>
      <c r="AO517" s="37">
        <v>10</v>
      </c>
      <c r="AP517" s="37">
        <v>10</v>
      </c>
      <c r="AQ517" s="37">
        <v>10</v>
      </c>
      <c r="AR517" s="37">
        <v>10</v>
      </c>
      <c r="AS517" s="37">
        <v>10</v>
      </c>
      <c r="AT517" s="37">
        <v>10</v>
      </c>
    </row>
    <row r="518" spans="3:46" s="37" customFormat="1" x14ac:dyDescent="0.25"/>
    <row r="519" spans="3:46" s="37" customFormat="1" x14ac:dyDescent="0.25">
      <c r="C519" s="37" t="s">
        <v>20</v>
      </c>
      <c r="D519" s="37">
        <v>8</v>
      </c>
      <c r="E519" s="37">
        <v>8</v>
      </c>
      <c r="F519" s="37">
        <v>8</v>
      </c>
      <c r="G519" s="37">
        <v>8</v>
      </c>
      <c r="H519" s="37">
        <v>8</v>
      </c>
      <c r="I519" s="37">
        <v>8</v>
      </c>
      <c r="J519" s="37">
        <v>8</v>
      </c>
      <c r="K519" s="37">
        <v>8</v>
      </c>
      <c r="L519" s="37">
        <v>8</v>
      </c>
      <c r="M519" s="37">
        <v>7</v>
      </c>
      <c r="N519" s="37">
        <v>6</v>
      </c>
      <c r="O519" s="37">
        <v>7</v>
      </c>
      <c r="P519" s="37">
        <v>8</v>
      </c>
      <c r="Q519" s="37">
        <v>9</v>
      </c>
      <c r="R519" s="37">
        <v>9</v>
      </c>
      <c r="S519" s="37">
        <v>9</v>
      </c>
      <c r="T519" s="37">
        <v>9</v>
      </c>
      <c r="U519" s="37">
        <v>9</v>
      </c>
      <c r="V519" s="37">
        <v>9</v>
      </c>
      <c r="W519" s="37">
        <v>9</v>
      </c>
      <c r="X519" s="37">
        <v>9</v>
      </c>
      <c r="Z519" s="37">
        <v>8</v>
      </c>
      <c r="AA519" s="37">
        <v>8</v>
      </c>
      <c r="AB519" s="37">
        <v>8</v>
      </c>
      <c r="AC519" s="37">
        <v>8</v>
      </c>
      <c r="AD519" s="37">
        <v>8</v>
      </c>
      <c r="AE519" s="37">
        <v>8</v>
      </c>
      <c r="AF519" s="37">
        <v>8</v>
      </c>
      <c r="AG519" s="37">
        <v>8</v>
      </c>
      <c r="AH519" s="37">
        <v>8</v>
      </c>
      <c r="AI519" s="37">
        <v>8</v>
      </c>
      <c r="AJ519" s="37">
        <v>8</v>
      </c>
      <c r="AK519" s="37">
        <v>8</v>
      </c>
      <c r="AL519" s="37">
        <v>8</v>
      </c>
      <c r="AM519" s="37">
        <v>9</v>
      </c>
      <c r="AN519" s="37">
        <v>9</v>
      </c>
      <c r="AO519" s="37">
        <v>9</v>
      </c>
      <c r="AP519" s="37">
        <v>9</v>
      </c>
      <c r="AQ519" s="37">
        <v>9</v>
      </c>
      <c r="AR519" s="37">
        <v>9</v>
      </c>
      <c r="AS519" s="37">
        <v>9</v>
      </c>
      <c r="AT519" s="37">
        <v>9</v>
      </c>
    </row>
    <row r="520" spans="3:46" s="37" customFormat="1" x14ac:dyDescent="0.25"/>
    <row r="521" spans="3:46" s="37" customFormat="1" x14ac:dyDescent="0.25">
      <c r="C521" s="37" t="s">
        <v>21</v>
      </c>
      <c r="D521" s="37">
        <v>12</v>
      </c>
      <c r="E521" s="37">
        <v>12</v>
      </c>
      <c r="F521" s="37">
        <v>12</v>
      </c>
      <c r="G521" s="37">
        <v>12</v>
      </c>
      <c r="H521" s="37">
        <v>12</v>
      </c>
      <c r="I521" s="37">
        <v>11</v>
      </c>
      <c r="J521" s="37">
        <v>11</v>
      </c>
      <c r="K521" s="37">
        <v>11</v>
      </c>
      <c r="L521" s="37">
        <v>11</v>
      </c>
      <c r="M521" s="37">
        <v>11</v>
      </c>
      <c r="N521" s="37">
        <v>11</v>
      </c>
      <c r="O521" s="37">
        <v>11</v>
      </c>
      <c r="P521" s="37">
        <v>11</v>
      </c>
      <c r="Q521" s="37">
        <v>11</v>
      </c>
      <c r="R521" s="37">
        <v>11</v>
      </c>
      <c r="S521" s="37">
        <v>11</v>
      </c>
      <c r="T521" s="37">
        <v>11</v>
      </c>
      <c r="U521" s="37">
        <v>11</v>
      </c>
      <c r="V521" s="37">
        <v>10</v>
      </c>
      <c r="W521" s="37">
        <v>10</v>
      </c>
      <c r="X521" s="37">
        <v>10</v>
      </c>
      <c r="Z521" s="37">
        <v>12</v>
      </c>
      <c r="AA521" s="37">
        <v>12</v>
      </c>
      <c r="AB521" s="37">
        <v>12</v>
      </c>
      <c r="AC521" s="37">
        <v>12</v>
      </c>
      <c r="AD521" s="37">
        <v>12</v>
      </c>
      <c r="AE521" s="37">
        <v>12</v>
      </c>
      <c r="AF521" s="37">
        <v>12</v>
      </c>
      <c r="AG521" s="37">
        <v>11</v>
      </c>
      <c r="AH521" s="37">
        <v>11</v>
      </c>
      <c r="AI521" s="37">
        <v>11</v>
      </c>
      <c r="AJ521" s="37">
        <v>11</v>
      </c>
      <c r="AK521" s="37">
        <v>11</v>
      </c>
      <c r="AL521" s="37">
        <v>11</v>
      </c>
      <c r="AM521" s="37">
        <v>11</v>
      </c>
      <c r="AN521" s="37">
        <v>11</v>
      </c>
      <c r="AO521" s="37">
        <v>11</v>
      </c>
      <c r="AP521" s="37">
        <v>11</v>
      </c>
      <c r="AQ521" s="37">
        <v>11</v>
      </c>
      <c r="AR521" s="37">
        <v>11</v>
      </c>
      <c r="AS521" s="37">
        <v>11</v>
      </c>
      <c r="AT521" s="37">
        <v>11</v>
      </c>
    </row>
    <row r="522" spans="3:46" s="37" customFormat="1" x14ac:dyDescent="0.25"/>
    <row r="523" spans="3:46" s="37" customFormat="1" x14ac:dyDescent="0.25">
      <c r="C523" s="37" t="s">
        <v>20</v>
      </c>
      <c r="D523" s="37">
        <v>7</v>
      </c>
      <c r="E523" s="37">
        <v>7</v>
      </c>
      <c r="F523" s="37">
        <v>7</v>
      </c>
      <c r="G523" s="37">
        <v>7</v>
      </c>
      <c r="H523" s="37">
        <v>7</v>
      </c>
      <c r="I523" s="37">
        <v>7</v>
      </c>
      <c r="J523" s="37">
        <v>7</v>
      </c>
      <c r="K523" s="37">
        <v>3</v>
      </c>
      <c r="L523" s="37">
        <v>3</v>
      </c>
      <c r="M523" s="37">
        <v>3</v>
      </c>
      <c r="N523" s="37">
        <v>3</v>
      </c>
      <c r="O523" s="37">
        <v>3</v>
      </c>
      <c r="P523" s="37">
        <v>3</v>
      </c>
      <c r="Q523" s="37">
        <v>8</v>
      </c>
      <c r="R523" s="37">
        <v>9</v>
      </c>
      <c r="S523" s="37">
        <v>9</v>
      </c>
      <c r="T523" s="37">
        <v>9</v>
      </c>
      <c r="U523" s="37">
        <v>9</v>
      </c>
      <c r="V523" s="37">
        <v>9</v>
      </c>
      <c r="W523" s="37">
        <v>9</v>
      </c>
      <c r="X523" s="37">
        <v>9</v>
      </c>
      <c r="Z523" s="37">
        <v>7</v>
      </c>
      <c r="AA523" s="37">
        <v>7</v>
      </c>
      <c r="AB523" s="37">
        <v>7</v>
      </c>
      <c r="AC523" s="37">
        <v>7</v>
      </c>
      <c r="AD523" s="37">
        <v>7</v>
      </c>
      <c r="AE523" s="37">
        <v>7</v>
      </c>
      <c r="AF523" s="37">
        <v>7</v>
      </c>
      <c r="AG523" s="37">
        <v>3</v>
      </c>
      <c r="AH523" s="37">
        <v>3</v>
      </c>
      <c r="AI523" s="37">
        <v>3</v>
      </c>
      <c r="AJ523" s="37">
        <v>3</v>
      </c>
      <c r="AK523" s="37">
        <v>3</v>
      </c>
      <c r="AL523" s="37">
        <v>3</v>
      </c>
      <c r="AM523" s="37">
        <v>9</v>
      </c>
      <c r="AN523" s="37">
        <v>9</v>
      </c>
      <c r="AO523" s="37">
        <v>9</v>
      </c>
      <c r="AP523" s="37">
        <v>9</v>
      </c>
      <c r="AQ523" s="37">
        <v>9</v>
      </c>
      <c r="AR523" s="37">
        <v>9</v>
      </c>
      <c r="AS523" s="37">
        <v>9</v>
      </c>
      <c r="AT523" s="37">
        <v>9</v>
      </c>
    </row>
    <row r="524" spans="3:46" s="37" customFormat="1" x14ac:dyDescent="0.25"/>
    <row r="525" spans="3:46" s="37" customFormat="1" x14ac:dyDescent="0.25">
      <c r="C525" s="37" t="s">
        <v>21</v>
      </c>
      <c r="D525" s="37">
        <v>11</v>
      </c>
      <c r="E525" s="37">
        <v>11</v>
      </c>
      <c r="F525" s="37">
        <v>11</v>
      </c>
      <c r="G525" s="37">
        <v>11</v>
      </c>
      <c r="H525" s="37">
        <v>11</v>
      </c>
      <c r="I525" s="37">
        <v>10</v>
      </c>
      <c r="J525" s="37">
        <v>9</v>
      </c>
      <c r="K525" s="37">
        <v>4</v>
      </c>
      <c r="L525" s="37">
        <v>4</v>
      </c>
      <c r="M525" s="37">
        <v>4</v>
      </c>
      <c r="N525" s="37">
        <v>4</v>
      </c>
      <c r="O525" s="37">
        <v>4</v>
      </c>
      <c r="P525" s="37">
        <v>4</v>
      </c>
      <c r="Q525" s="37">
        <v>5</v>
      </c>
      <c r="R525" s="37">
        <v>6</v>
      </c>
      <c r="S525" s="37">
        <v>7</v>
      </c>
      <c r="T525" s="37">
        <v>8</v>
      </c>
      <c r="U525" s="37">
        <v>9</v>
      </c>
      <c r="V525" s="37">
        <v>9</v>
      </c>
      <c r="W525" s="37">
        <v>9</v>
      </c>
      <c r="X525" s="37">
        <v>9</v>
      </c>
      <c r="Z525" s="37">
        <v>11</v>
      </c>
      <c r="AA525" s="37">
        <v>11</v>
      </c>
      <c r="AB525" s="37">
        <v>11</v>
      </c>
      <c r="AC525" s="37">
        <v>11</v>
      </c>
      <c r="AD525" s="37">
        <v>11</v>
      </c>
      <c r="AE525" s="37">
        <v>11</v>
      </c>
      <c r="AF525" s="37">
        <v>11</v>
      </c>
      <c r="AG525" s="37">
        <v>4</v>
      </c>
      <c r="AH525" s="37">
        <v>4</v>
      </c>
      <c r="AI525" s="37">
        <v>4</v>
      </c>
      <c r="AJ525" s="37">
        <v>4</v>
      </c>
      <c r="AK525" s="37">
        <v>4</v>
      </c>
      <c r="AL525" s="37">
        <v>4</v>
      </c>
      <c r="AM525" s="37">
        <v>9</v>
      </c>
      <c r="AN525" s="37">
        <v>9</v>
      </c>
      <c r="AO525" s="37">
        <v>9</v>
      </c>
      <c r="AP525" s="37">
        <v>9</v>
      </c>
      <c r="AQ525" s="37">
        <v>9</v>
      </c>
      <c r="AR525" s="37">
        <v>9</v>
      </c>
      <c r="AS525" s="37">
        <v>9</v>
      </c>
      <c r="AT525" s="37">
        <v>9</v>
      </c>
    </row>
    <row r="526" spans="3:46" s="37" customFormat="1" x14ac:dyDescent="0.25"/>
    <row r="527" spans="3:46" s="37" customFormat="1" x14ac:dyDescent="0.25">
      <c r="C527" s="37" t="s">
        <v>20</v>
      </c>
      <c r="D527" s="37">
        <v>9</v>
      </c>
      <c r="E527" s="37">
        <v>9</v>
      </c>
      <c r="F527" s="37">
        <v>9</v>
      </c>
      <c r="G527" s="37">
        <v>9</v>
      </c>
      <c r="H527" s="37">
        <v>9</v>
      </c>
      <c r="I527" s="37">
        <v>9</v>
      </c>
      <c r="J527" s="37">
        <v>9</v>
      </c>
      <c r="K527" s="37">
        <v>3</v>
      </c>
      <c r="L527" s="37">
        <v>3</v>
      </c>
      <c r="M527" s="37">
        <v>3</v>
      </c>
      <c r="N527" s="37">
        <v>3</v>
      </c>
      <c r="O527" s="37">
        <v>3</v>
      </c>
      <c r="P527" s="37">
        <v>3</v>
      </c>
      <c r="Q527" s="37">
        <v>7</v>
      </c>
      <c r="R527" s="37">
        <v>8</v>
      </c>
      <c r="S527" s="37">
        <v>8</v>
      </c>
      <c r="T527" s="37">
        <v>8</v>
      </c>
      <c r="U527" s="37">
        <v>8</v>
      </c>
      <c r="V527" s="37">
        <v>8</v>
      </c>
      <c r="W527" s="37">
        <v>8</v>
      </c>
      <c r="X527" s="37">
        <v>8</v>
      </c>
      <c r="Z527" s="37">
        <v>9</v>
      </c>
      <c r="AA527" s="37">
        <v>9</v>
      </c>
      <c r="AB527" s="37">
        <v>9</v>
      </c>
      <c r="AC527" s="37">
        <v>9</v>
      </c>
      <c r="AD527" s="37">
        <v>9</v>
      </c>
      <c r="AE527" s="37">
        <v>9</v>
      </c>
      <c r="AF527" s="37">
        <v>9</v>
      </c>
      <c r="AG527" s="37">
        <v>3</v>
      </c>
      <c r="AH527" s="37">
        <v>3</v>
      </c>
      <c r="AI527" s="37">
        <v>3</v>
      </c>
      <c r="AJ527" s="37">
        <v>3</v>
      </c>
      <c r="AK527" s="37">
        <v>3</v>
      </c>
      <c r="AL527" s="37">
        <v>3</v>
      </c>
      <c r="AM527" s="37">
        <v>8</v>
      </c>
      <c r="AN527" s="37">
        <v>8</v>
      </c>
      <c r="AO527" s="37">
        <v>8</v>
      </c>
      <c r="AP527" s="37">
        <v>8</v>
      </c>
      <c r="AQ527" s="37">
        <v>8</v>
      </c>
      <c r="AR527" s="37">
        <v>8</v>
      </c>
      <c r="AS527" s="37">
        <v>8</v>
      </c>
      <c r="AT527" s="37">
        <v>8</v>
      </c>
    </row>
    <row r="528" spans="3:46" s="37" customFormat="1" x14ac:dyDescent="0.25"/>
    <row r="529" spans="3:46" s="37" customFormat="1" x14ac:dyDescent="0.25">
      <c r="C529" s="37" t="s">
        <v>21</v>
      </c>
      <c r="D529" s="37">
        <v>11</v>
      </c>
      <c r="E529" s="37">
        <v>11</v>
      </c>
      <c r="F529" s="37">
        <v>11</v>
      </c>
      <c r="G529" s="37">
        <v>11</v>
      </c>
      <c r="H529" s="37">
        <v>11</v>
      </c>
      <c r="I529" s="37">
        <v>10</v>
      </c>
      <c r="J529" s="37">
        <v>9</v>
      </c>
      <c r="K529" s="37">
        <v>5</v>
      </c>
      <c r="L529" s="37">
        <v>5</v>
      </c>
      <c r="M529" s="37">
        <v>5</v>
      </c>
      <c r="N529" s="37">
        <v>5</v>
      </c>
      <c r="O529" s="37">
        <v>5</v>
      </c>
      <c r="P529" s="37">
        <v>5</v>
      </c>
      <c r="Q529" s="37">
        <v>7</v>
      </c>
      <c r="R529" s="37">
        <v>8</v>
      </c>
      <c r="S529" s="37">
        <v>9</v>
      </c>
      <c r="T529" s="37">
        <v>10</v>
      </c>
      <c r="U529" s="37">
        <v>10</v>
      </c>
      <c r="V529" s="37">
        <v>10</v>
      </c>
      <c r="W529" s="37">
        <v>10</v>
      </c>
      <c r="X529" s="37">
        <v>10</v>
      </c>
      <c r="Z529" s="37">
        <v>11</v>
      </c>
      <c r="AA529" s="37">
        <v>11</v>
      </c>
      <c r="AB529" s="37">
        <v>11</v>
      </c>
      <c r="AC529" s="37">
        <v>11</v>
      </c>
      <c r="AD529" s="37">
        <v>11</v>
      </c>
      <c r="AE529" s="37">
        <v>11</v>
      </c>
      <c r="AF529" s="37">
        <v>11</v>
      </c>
      <c r="AG529" s="37">
        <v>5</v>
      </c>
      <c r="AH529" s="37">
        <v>5</v>
      </c>
      <c r="AI529" s="37">
        <v>5</v>
      </c>
      <c r="AJ529" s="37">
        <v>5</v>
      </c>
      <c r="AK529" s="37">
        <v>5</v>
      </c>
      <c r="AL529" s="37">
        <v>5</v>
      </c>
      <c r="AM529" s="37">
        <v>11</v>
      </c>
      <c r="AN529" s="37">
        <v>11</v>
      </c>
      <c r="AO529" s="37">
        <v>11</v>
      </c>
      <c r="AP529" s="37">
        <v>11</v>
      </c>
      <c r="AQ529" s="37">
        <v>11</v>
      </c>
      <c r="AR529" s="37">
        <v>11</v>
      </c>
      <c r="AS529" s="37">
        <v>11</v>
      </c>
      <c r="AT529" s="37">
        <v>11</v>
      </c>
    </row>
    <row r="530" spans="3:46" s="37" customFormat="1" x14ac:dyDescent="0.25"/>
    <row r="531" spans="3:46" s="37" customFormat="1" x14ac:dyDescent="0.25">
      <c r="C531" s="37" t="s">
        <v>20</v>
      </c>
      <c r="D531" s="37">
        <v>8</v>
      </c>
      <c r="E531" s="37">
        <v>8</v>
      </c>
      <c r="F531" s="37">
        <v>8</v>
      </c>
      <c r="G531" s="37">
        <v>8</v>
      </c>
      <c r="H531" s="37">
        <v>8</v>
      </c>
      <c r="I531" s="37">
        <v>8</v>
      </c>
      <c r="J531" s="37">
        <v>8</v>
      </c>
      <c r="K531" s="37">
        <v>3</v>
      </c>
      <c r="L531" s="37">
        <v>3</v>
      </c>
      <c r="M531" s="37">
        <v>3</v>
      </c>
      <c r="N531" s="37">
        <v>3</v>
      </c>
      <c r="O531" s="37">
        <v>3</v>
      </c>
      <c r="P531" s="37">
        <v>3</v>
      </c>
      <c r="Q531" s="37">
        <v>4</v>
      </c>
      <c r="R531" s="37">
        <v>5</v>
      </c>
      <c r="S531" s="37">
        <v>5</v>
      </c>
      <c r="T531" s="37">
        <v>6</v>
      </c>
      <c r="U531" s="37">
        <v>6</v>
      </c>
      <c r="V531" s="37">
        <v>6</v>
      </c>
      <c r="W531" s="37">
        <v>6</v>
      </c>
      <c r="X531" s="37">
        <v>6</v>
      </c>
      <c r="Z531" s="37">
        <v>8</v>
      </c>
      <c r="AA531" s="37">
        <v>8</v>
      </c>
      <c r="AB531" s="37">
        <v>8</v>
      </c>
      <c r="AC531" s="37">
        <v>8</v>
      </c>
      <c r="AD531" s="37">
        <v>8</v>
      </c>
      <c r="AE531" s="37">
        <v>8</v>
      </c>
      <c r="AF531" s="37">
        <v>8</v>
      </c>
      <c r="AG531" s="37">
        <v>3</v>
      </c>
      <c r="AH531" s="37">
        <v>3</v>
      </c>
      <c r="AI531" s="37">
        <v>3</v>
      </c>
      <c r="AJ531" s="37">
        <v>3</v>
      </c>
      <c r="AK531" s="37">
        <v>3</v>
      </c>
      <c r="AL531" s="37">
        <v>3</v>
      </c>
      <c r="AM531" s="37">
        <v>6</v>
      </c>
      <c r="AN531" s="37">
        <v>6</v>
      </c>
      <c r="AO531" s="37">
        <v>6</v>
      </c>
      <c r="AP531" s="37">
        <v>6</v>
      </c>
      <c r="AQ531" s="37">
        <v>6</v>
      </c>
      <c r="AR531" s="37">
        <v>6</v>
      </c>
      <c r="AS531" s="37">
        <v>6</v>
      </c>
      <c r="AT531" s="37">
        <v>6</v>
      </c>
    </row>
    <row r="532" spans="3:46" s="37" customFormat="1" x14ac:dyDescent="0.25"/>
    <row r="533" spans="3:46" s="37" customFormat="1" x14ac:dyDescent="0.25">
      <c r="C533" s="37" t="s">
        <v>21</v>
      </c>
      <c r="D533" s="37">
        <v>8</v>
      </c>
      <c r="E533" s="37">
        <v>8</v>
      </c>
      <c r="F533" s="37">
        <v>8</v>
      </c>
      <c r="G533" s="37">
        <v>8</v>
      </c>
      <c r="H533" s="37">
        <v>8</v>
      </c>
      <c r="I533" s="37">
        <v>8</v>
      </c>
      <c r="J533" s="37">
        <v>7</v>
      </c>
      <c r="K533" s="37">
        <v>4</v>
      </c>
      <c r="L533" s="37">
        <v>4</v>
      </c>
      <c r="M533" s="37">
        <v>4</v>
      </c>
      <c r="N533" s="37">
        <v>4</v>
      </c>
      <c r="O533" s="37">
        <v>4</v>
      </c>
      <c r="P533" s="37">
        <v>4</v>
      </c>
      <c r="Q533" s="37">
        <v>7</v>
      </c>
      <c r="R533" s="37">
        <v>8</v>
      </c>
      <c r="S533" s="37">
        <v>9</v>
      </c>
      <c r="T533" s="37">
        <v>10</v>
      </c>
      <c r="U533" s="37">
        <v>10</v>
      </c>
      <c r="V533" s="37">
        <v>10</v>
      </c>
      <c r="W533" s="37">
        <v>10</v>
      </c>
      <c r="X533" s="37">
        <v>10</v>
      </c>
      <c r="Z533" s="37">
        <v>8</v>
      </c>
      <c r="AA533" s="37">
        <v>8</v>
      </c>
      <c r="AB533" s="37">
        <v>8</v>
      </c>
      <c r="AC533" s="37">
        <v>8</v>
      </c>
      <c r="AD533" s="37">
        <v>8</v>
      </c>
      <c r="AE533" s="37">
        <v>8</v>
      </c>
      <c r="AF533" s="37">
        <v>8</v>
      </c>
      <c r="AG533" s="37">
        <v>4</v>
      </c>
      <c r="AH533" s="37">
        <v>4</v>
      </c>
      <c r="AI533" s="37">
        <v>4</v>
      </c>
      <c r="AJ533" s="37">
        <v>4</v>
      </c>
      <c r="AK533" s="37">
        <v>4</v>
      </c>
      <c r="AL533" s="37">
        <v>4</v>
      </c>
      <c r="AM533" s="37">
        <v>10</v>
      </c>
      <c r="AN533" s="37">
        <v>10</v>
      </c>
      <c r="AO533" s="37">
        <v>10</v>
      </c>
      <c r="AP533" s="37">
        <v>10</v>
      </c>
      <c r="AQ533" s="37">
        <v>10</v>
      </c>
      <c r="AR533" s="37">
        <v>10</v>
      </c>
      <c r="AS533" s="37">
        <v>10</v>
      </c>
      <c r="AT533" s="37">
        <v>10</v>
      </c>
    </row>
    <row r="534" spans="3:46" s="37" customFormat="1" x14ac:dyDescent="0.25"/>
    <row r="535" spans="3:46" s="37" customFormat="1" x14ac:dyDescent="0.25">
      <c r="C535" s="37" t="s">
        <v>20</v>
      </c>
      <c r="D535" s="37">
        <v>9</v>
      </c>
      <c r="E535" s="37">
        <v>9</v>
      </c>
      <c r="F535" s="37">
        <v>9</v>
      </c>
      <c r="G535" s="37">
        <v>9</v>
      </c>
      <c r="H535" s="37">
        <v>9</v>
      </c>
      <c r="I535" s="37">
        <v>9</v>
      </c>
      <c r="J535" s="37">
        <v>9</v>
      </c>
      <c r="K535" s="37">
        <v>3</v>
      </c>
      <c r="L535" s="37">
        <v>3</v>
      </c>
      <c r="M535" s="37">
        <v>3</v>
      </c>
      <c r="N535" s="37">
        <v>3</v>
      </c>
      <c r="O535" s="37">
        <v>3</v>
      </c>
      <c r="P535" s="37">
        <v>3</v>
      </c>
      <c r="Q535" s="37">
        <v>8</v>
      </c>
      <c r="R535" s="37">
        <v>9</v>
      </c>
      <c r="S535" s="37">
        <v>9</v>
      </c>
      <c r="T535" s="37">
        <v>9</v>
      </c>
      <c r="U535" s="37">
        <v>9</v>
      </c>
      <c r="V535" s="37">
        <v>9</v>
      </c>
      <c r="W535" s="37">
        <v>9</v>
      </c>
      <c r="X535" s="37">
        <v>9</v>
      </c>
      <c r="Z535" s="37">
        <v>9</v>
      </c>
      <c r="AA535" s="37">
        <v>9</v>
      </c>
      <c r="AB535" s="37">
        <v>9</v>
      </c>
      <c r="AC535" s="37">
        <v>9</v>
      </c>
      <c r="AD535" s="37">
        <v>9</v>
      </c>
      <c r="AE535" s="37">
        <v>9</v>
      </c>
      <c r="AF535" s="37">
        <v>9</v>
      </c>
      <c r="AG535" s="37">
        <v>3</v>
      </c>
      <c r="AH535" s="37">
        <v>3</v>
      </c>
      <c r="AI535" s="37">
        <v>3</v>
      </c>
      <c r="AJ535" s="37">
        <v>3</v>
      </c>
      <c r="AK535" s="37">
        <v>3</v>
      </c>
      <c r="AL535" s="37">
        <v>3</v>
      </c>
      <c r="AM535" s="37">
        <v>9</v>
      </c>
      <c r="AN535" s="37">
        <v>9</v>
      </c>
      <c r="AO535" s="37">
        <v>9</v>
      </c>
      <c r="AP535" s="37">
        <v>9</v>
      </c>
      <c r="AQ535" s="37">
        <v>9</v>
      </c>
      <c r="AR535" s="37">
        <v>9</v>
      </c>
      <c r="AS535" s="37">
        <v>9</v>
      </c>
      <c r="AT535" s="37">
        <v>9</v>
      </c>
    </row>
    <row r="536" spans="3:46" s="37" customFormat="1" x14ac:dyDescent="0.25"/>
    <row r="537" spans="3:46" s="37" customFormat="1" x14ac:dyDescent="0.25">
      <c r="C537" s="37" t="s">
        <v>21</v>
      </c>
      <c r="D537" s="37">
        <v>12</v>
      </c>
      <c r="E537" s="37">
        <v>12</v>
      </c>
      <c r="F537" s="37">
        <v>12</v>
      </c>
      <c r="G537" s="37">
        <v>12</v>
      </c>
      <c r="H537" s="37">
        <v>12</v>
      </c>
      <c r="I537" s="37">
        <v>11</v>
      </c>
      <c r="J537" s="37">
        <v>10</v>
      </c>
      <c r="K537" s="37">
        <v>4</v>
      </c>
      <c r="L537" s="37">
        <v>4</v>
      </c>
      <c r="M537" s="37">
        <v>4</v>
      </c>
      <c r="N537" s="37">
        <v>4</v>
      </c>
      <c r="O537" s="37">
        <v>4</v>
      </c>
      <c r="P537" s="37">
        <v>4</v>
      </c>
      <c r="Q537" s="37">
        <v>8</v>
      </c>
      <c r="R537" s="37">
        <v>9</v>
      </c>
      <c r="S537" s="37">
        <v>10</v>
      </c>
      <c r="T537" s="37">
        <v>11</v>
      </c>
      <c r="U537" s="37">
        <v>11</v>
      </c>
      <c r="V537" s="37">
        <v>11</v>
      </c>
      <c r="W537" s="37">
        <v>11</v>
      </c>
      <c r="X537" s="37">
        <v>11</v>
      </c>
      <c r="Z537" s="37">
        <v>12</v>
      </c>
      <c r="AA537" s="37">
        <v>12</v>
      </c>
      <c r="AB537" s="37">
        <v>12</v>
      </c>
      <c r="AC537" s="37">
        <v>12</v>
      </c>
      <c r="AD537" s="37">
        <v>12</v>
      </c>
      <c r="AE537" s="37">
        <v>12</v>
      </c>
      <c r="AF537" s="37">
        <v>12</v>
      </c>
      <c r="AG537" s="37">
        <v>4</v>
      </c>
      <c r="AH537" s="37">
        <v>4</v>
      </c>
      <c r="AI537" s="37">
        <v>4</v>
      </c>
      <c r="AJ537" s="37">
        <v>4</v>
      </c>
      <c r="AK537" s="37">
        <v>4</v>
      </c>
      <c r="AL537" s="37">
        <v>4</v>
      </c>
      <c r="AM537" s="37">
        <v>12</v>
      </c>
      <c r="AN537" s="37">
        <v>12</v>
      </c>
      <c r="AO537" s="37">
        <v>12</v>
      </c>
      <c r="AP537" s="37">
        <v>12</v>
      </c>
      <c r="AQ537" s="37">
        <v>12</v>
      </c>
      <c r="AR537" s="37">
        <v>12</v>
      </c>
      <c r="AS537" s="37">
        <v>12</v>
      </c>
      <c r="AT537" s="37">
        <v>12</v>
      </c>
    </row>
    <row r="538" spans="3:46" s="37" customFormat="1" x14ac:dyDescent="0.25"/>
    <row r="539" spans="3:46" s="37" customFormat="1" x14ac:dyDescent="0.25">
      <c r="C539" s="37" t="s">
        <v>20</v>
      </c>
      <c r="D539" s="37">
        <v>7</v>
      </c>
      <c r="E539" s="37">
        <v>7</v>
      </c>
      <c r="F539" s="37">
        <v>7</v>
      </c>
      <c r="G539" s="37">
        <v>7</v>
      </c>
      <c r="H539" s="37">
        <v>7</v>
      </c>
      <c r="I539" s="37">
        <v>7</v>
      </c>
      <c r="J539" s="37">
        <v>7</v>
      </c>
      <c r="K539" s="37">
        <v>3</v>
      </c>
      <c r="L539" s="37">
        <v>3</v>
      </c>
      <c r="M539" s="37">
        <v>3</v>
      </c>
      <c r="N539" s="37">
        <v>3</v>
      </c>
      <c r="O539" s="37">
        <v>3</v>
      </c>
      <c r="P539" s="37">
        <v>3</v>
      </c>
      <c r="Q539" s="37">
        <v>4</v>
      </c>
      <c r="R539" s="37">
        <v>5</v>
      </c>
      <c r="S539" s="37">
        <v>5</v>
      </c>
      <c r="T539" s="37">
        <v>5</v>
      </c>
      <c r="U539" s="37">
        <v>5</v>
      </c>
      <c r="V539" s="37">
        <v>5</v>
      </c>
      <c r="W539" s="37">
        <v>5</v>
      </c>
      <c r="X539" s="37">
        <v>5</v>
      </c>
      <c r="Z539" s="37">
        <v>7</v>
      </c>
      <c r="AA539" s="37">
        <v>7</v>
      </c>
      <c r="AB539" s="37">
        <v>7</v>
      </c>
      <c r="AC539" s="37">
        <v>7</v>
      </c>
      <c r="AD539" s="37">
        <v>7</v>
      </c>
      <c r="AE539" s="37">
        <v>7</v>
      </c>
      <c r="AF539" s="37">
        <v>7</v>
      </c>
      <c r="AG539" s="37">
        <v>3</v>
      </c>
      <c r="AH539" s="37">
        <v>3</v>
      </c>
      <c r="AI539" s="37">
        <v>3</v>
      </c>
      <c r="AJ539" s="37">
        <v>3</v>
      </c>
      <c r="AK539" s="37">
        <v>3</v>
      </c>
      <c r="AL539" s="37">
        <v>3</v>
      </c>
      <c r="AM539" s="37">
        <v>5</v>
      </c>
      <c r="AN539" s="37">
        <v>5</v>
      </c>
      <c r="AO539" s="37">
        <v>5</v>
      </c>
      <c r="AP539" s="37">
        <v>5</v>
      </c>
      <c r="AQ539" s="37">
        <v>5</v>
      </c>
      <c r="AR539" s="37">
        <v>5</v>
      </c>
      <c r="AS539" s="37">
        <v>5</v>
      </c>
      <c r="AT539" s="37">
        <v>5</v>
      </c>
    </row>
    <row r="540" spans="3:46" s="37" customFormat="1" x14ac:dyDescent="0.25"/>
    <row r="541" spans="3:46" s="37" customFormat="1" x14ac:dyDescent="0.25">
      <c r="C541" s="37" t="s">
        <v>21</v>
      </c>
      <c r="D541" s="37">
        <v>6</v>
      </c>
      <c r="E541" s="37">
        <v>6</v>
      </c>
      <c r="F541" s="37">
        <v>6</v>
      </c>
      <c r="G541" s="37">
        <v>6</v>
      </c>
      <c r="H541" s="37">
        <v>6</v>
      </c>
      <c r="I541" s="37">
        <v>5</v>
      </c>
      <c r="J541" s="37">
        <v>5</v>
      </c>
      <c r="K541" s="37">
        <v>3</v>
      </c>
      <c r="L541" s="37">
        <v>3</v>
      </c>
      <c r="M541" s="37">
        <v>3</v>
      </c>
      <c r="N541" s="37">
        <v>3</v>
      </c>
      <c r="O541" s="37">
        <v>3</v>
      </c>
      <c r="P541" s="37">
        <v>3</v>
      </c>
      <c r="Q541" s="37">
        <v>4</v>
      </c>
      <c r="R541" s="37">
        <v>5</v>
      </c>
      <c r="S541" s="37">
        <v>6</v>
      </c>
      <c r="T541" s="37">
        <v>6</v>
      </c>
      <c r="U541" s="37">
        <v>7</v>
      </c>
      <c r="V541" s="37">
        <v>7</v>
      </c>
      <c r="W541" s="37">
        <v>7</v>
      </c>
      <c r="X541" s="37">
        <v>7</v>
      </c>
      <c r="Z541" s="37">
        <v>6</v>
      </c>
      <c r="AA541" s="37">
        <v>6</v>
      </c>
      <c r="AB541" s="37">
        <v>6</v>
      </c>
      <c r="AC541" s="37">
        <v>6</v>
      </c>
      <c r="AD541" s="37">
        <v>6</v>
      </c>
      <c r="AE541" s="37">
        <v>6</v>
      </c>
      <c r="AF541" s="37">
        <v>6</v>
      </c>
      <c r="AG541" s="37">
        <v>3</v>
      </c>
      <c r="AH541" s="37">
        <v>3</v>
      </c>
      <c r="AI541" s="37">
        <v>3</v>
      </c>
      <c r="AJ541" s="37">
        <v>3</v>
      </c>
      <c r="AK541" s="37">
        <v>3</v>
      </c>
      <c r="AL541" s="37">
        <v>3</v>
      </c>
      <c r="AM541" s="37">
        <v>7</v>
      </c>
      <c r="AN541" s="37">
        <v>7</v>
      </c>
      <c r="AO541" s="37">
        <v>7</v>
      </c>
      <c r="AP541" s="37">
        <v>7</v>
      </c>
      <c r="AQ541" s="37">
        <v>7</v>
      </c>
      <c r="AR541" s="37">
        <v>7</v>
      </c>
      <c r="AS541" s="37">
        <v>7</v>
      </c>
      <c r="AT541" s="37">
        <v>7</v>
      </c>
    </row>
    <row r="542" spans="3:46" s="37" customFormat="1" x14ac:dyDescent="0.25"/>
    <row r="543" spans="3:46" s="37" customFormat="1" x14ac:dyDescent="0.25">
      <c r="C543" s="37" t="s">
        <v>20</v>
      </c>
      <c r="D543" s="37">
        <v>7</v>
      </c>
      <c r="E543" s="37">
        <v>7</v>
      </c>
      <c r="F543" s="37">
        <v>7</v>
      </c>
      <c r="G543" s="37">
        <v>7</v>
      </c>
      <c r="H543" s="37">
        <v>7</v>
      </c>
      <c r="I543" s="37">
        <v>6</v>
      </c>
      <c r="J543" s="37">
        <v>6</v>
      </c>
      <c r="K543" s="37">
        <v>3</v>
      </c>
      <c r="L543" s="37">
        <v>3</v>
      </c>
      <c r="M543" s="37">
        <v>3</v>
      </c>
      <c r="N543" s="37">
        <v>3</v>
      </c>
      <c r="O543" s="37">
        <v>3</v>
      </c>
      <c r="P543" s="37">
        <v>3</v>
      </c>
      <c r="Q543" s="37">
        <v>5</v>
      </c>
      <c r="R543" s="37">
        <v>6</v>
      </c>
      <c r="S543" s="37">
        <v>6</v>
      </c>
      <c r="T543" s="37">
        <v>7</v>
      </c>
      <c r="U543" s="37">
        <v>8</v>
      </c>
      <c r="V543" s="37">
        <v>8</v>
      </c>
      <c r="W543" s="37">
        <v>8</v>
      </c>
      <c r="X543" s="37">
        <v>8</v>
      </c>
      <c r="Z543" s="37">
        <v>7</v>
      </c>
      <c r="AA543" s="37">
        <v>7</v>
      </c>
      <c r="AB543" s="37">
        <v>7</v>
      </c>
      <c r="AC543" s="37">
        <v>7</v>
      </c>
      <c r="AD543" s="37">
        <v>7</v>
      </c>
      <c r="AE543" s="37">
        <v>7</v>
      </c>
      <c r="AF543" s="37">
        <v>7</v>
      </c>
      <c r="AG543" s="37">
        <v>3</v>
      </c>
      <c r="AH543" s="37">
        <v>3</v>
      </c>
      <c r="AI543" s="37">
        <v>3</v>
      </c>
      <c r="AJ543" s="37">
        <v>3</v>
      </c>
      <c r="AK543" s="37">
        <v>3</v>
      </c>
      <c r="AL543" s="37">
        <v>3</v>
      </c>
      <c r="AM543" s="37">
        <v>8</v>
      </c>
      <c r="AN543" s="37">
        <v>8</v>
      </c>
      <c r="AO543" s="37">
        <v>8</v>
      </c>
      <c r="AP543" s="37">
        <v>8</v>
      </c>
      <c r="AQ543" s="37">
        <v>8</v>
      </c>
      <c r="AR543" s="37">
        <v>8</v>
      </c>
      <c r="AS543" s="37">
        <v>8</v>
      </c>
      <c r="AT543" s="37">
        <v>8</v>
      </c>
    </row>
    <row r="544" spans="3:46" s="37" customFormat="1" x14ac:dyDescent="0.25"/>
    <row r="545" spans="3:46" s="37" customFormat="1" x14ac:dyDescent="0.25">
      <c r="C545" s="37" t="s">
        <v>21</v>
      </c>
      <c r="D545" s="37">
        <v>5</v>
      </c>
      <c r="E545" s="37">
        <v>5</v>
      </c>
      <c r="F545" s="37">
        <v>5</v>
      </c>
      <c r="G545" s="37">
        <v>5</v>
      </c>
      <c r="H545" s="37">
        <v>5</v>
      </c>
      <c r="I545" s="37">
        <v>4</v>
      </c>
      <c r="J545" s="37">
        <v>4</v>
      </c>
      <c r="K545" s="37">
        <v>4</v>
      </c>
      <c r="L545" s="37">
        <v>4</v>
      </c>
      <c r="M545" s="37">
        <v>4</v>
      </c>
      <c r="N545" s="37">
        <v>4</v>
      </c>
      <c r="O545" s="37">
        <v>4</v>
      </c>
      <c r="P545" s="37">
        <v>4</v>
      </c>
      <c r="Q545" s="37">
        <v>4</v>
      </c>
      <c r="R545" s="37">
        <v>4</v>
      </c>
      <c r="S545" s="37">
        <v>4</v>
      </c>
      <c r="T545" s="37">
        <v>5</v>
      </c>
      <c r="U545" s="37">
        <v>5</v>
      </c>
      <c r="V545" s="37">
        <v>6</v>
      </c>
      <c r="W545" s="37">
        <v>6</v>
      </c>
      <c r="X545" s="37">
        <v>6</v>
      </c>
      <c r="Z545" s="37">
        <v>5</v>
      </c>
      <c r="AA545" s="37">
        <v>5</v>
      </c>
      <c r="AB545" s="37">
        <v>5</v>
      </c>
      <c r="AC545" s="37">
        <v>5</v>
      </c>
      <c r="AD545" s="37">
        <v>5</v>
      </c>
      <c r="AE545" s="37">
        <v>5</v>
      </c>
      <c r="AF545" s="37">
        <v>5</v>
      </c>
      <c r="AG545" s="37">
        <v>4</v>
      </c>
      <c r="AH545" s="37">
        <v>4</v>
      </c>
      <c r="AI545" s="37">
        <v>4</v>
      </c>
      <c r="AJ545" s="37">
        <v>4</v>
      </c>
      <c r="AK545" s="37">
        <v>4</v>
      </c>
      <c r="AL545" s="37">
        <v>4</v>
      </c>
      <c r="AM545" s="37">
        <v>6</v>
      </c>
      <c r="AN545" s="37">
        <v>6</v>
      </c>
      <c r="AO545" s="37">
        <v>6</v>
      </c>
      <c r="AP545" s="37">
        <v>6</v>
      </c>
      <c r="AQ545" s="37">
        <v>6</v>
      </c>
      <c r="AR545" s="37">
        <v>6</v>
      </c>
      <c r="AS545" s="37">
        <v>6</v>
      </c>
      <c r="AT545" s="37">
        <v>6</v>
      </c>
    </row>
    <row r="546" spans="3:46" s="37" customFormat="1" x14ac:dyDescent="0.25"/>
    <row r="547" spans="3:46" s="37" customFormat="1" x14ac:dyDescent="0.25">
      <c r="C547" s="37" t="s">
        <v>20</v>
      </c>
      <c r="D547" s="37">
        <v>8</v>
      </c>
      <c r="E547" s="37">
        <v>8</v>
      </c>
      <c r="F547" s="37">
        <v>8</v>
      </c>
      <c r="G547" s="37">
        <v>8</v>
      </c>
      <c r="H547" s="37">
        <v>8</v>
      </c>
      <c r="I547" s="37">
        <v>8</v>
      </c>
      <c r="J547" s="37">
        <v>8</v>
      </c>
      <c r="K547" s="37">
        <v>8</v>
      </c>
      <c r="L547" s="37">
        <v>7</v>
      </c>
      <c r="M547" s="37">
        <v>6</v>
      </c>
      <c r="N547" s="37">
        <v>6</v>
      </c>
      <c r="O547" s="37">
        <v>6</v>
      </c>
      <c r="P547" s="37">
        <v>6</v>
      </c>
      <c r="Q547" s="37">
        <v>7</v>
      </c>
      <c r="R547" s="37">
        <v>8</v>
      </c>
      <c r="S547" s="37">
        <v>8</v>
      </c>
      <c r="T547" s="37">
        <v>8</v>
      </c>
      <c r="U547" s="37">
        <v>8</v>
      </c>
      <c r="V547" s="37">
        <v>8</v>
      </c>
      <c r="W547" s="37">
        <v>8</v>
      </c>
      <c r="X547" s="37">
        <v>8</v>
      </c>
      <c r="Z547" s="37">
        <v>8</v>
      </c>
      <c r="AA547" s="37">
        <v>8</v>
      </c>
      <c r="AB547" s="37">
        <v>8</v>
      </c>
      <c r="AC547" s="37">
        <v>8</v>
      </c>
      <c r="AD547" s="37">
        <v>8</v>
      </c>
      <c r="AE547" s="37">
        <v>8</v>
      </c>
      <c r="AF547" s="37">
        <v>8</v>
      </c>
      <c r="AG547" s="37">
        <v>8</v>
      </c>
      <c r="AH547" s="37">
        <v>8</v>
      </c>
      <c r="AI547" s="37">
        <v>8</v>
      </c>
      <c r="AJ547" s="37">
        <v>8</v>
      </c>
      <c r="AK547" s="37">
        <v>8</v>
      </c>
      <c r="AL547" s="37">
        <v>8</v>
      </c>
      <c r="AM547" s="37">
        <v>8</v>
      </c>
      <c r="AN547" s="37">
        <v>8</v>
      </c>
      <c r="AO547" s="37">
        <v>8</v>
      </c>
      <c r="AP547" s="37">
        <v>8</v>
      </c>
      <c r="AQ547" s="37">
        <v>8</v>
      </c>
      <c r="AR547" s="37">
        <v>8</v>
      </c>
      <c r="AS547" s="37">
        <v>8</v>
      </c>
      <c r="AT547" s="37">
        <v>8</v>
      </c>
    </row>
    <row r="548" spans="3:46" s="37" customFormat="1" x14ac:dyDescent="0.25"/>
    <row r="549" spans="3:46" s="37" customFormat="1" x14ac:dyDescent="0.25">
      <c r="C549" s="37" t="s">
        <v>21</v>
      </c>
      <c r="D549" s="37">
        <v>11</v>
      </c>
      <c r="E549" s="37">
        <v>11</v>
      </c>
      <c r="F549" s="37">
        <v>11</v>
      </c>
      <c r="G549" s="37">
        <v>11</v>
      </c>
      <c r="H549" s="37">
        <v>11</v>
      </c>
      <c r="I549" s="37">
        <v>10</v>
      </c>
      <c r="J549" s="37">
        <v>10</v>
      </c>
      <c r="K549" s="37">
        <v>10</v>
      </c>
      <c r="L549" s="37">
        <v>10</v>
      </c>
      <c r="M549" s="37">
        <v>10</v>
      </c>
      <c r="N549" s="37">
        <v>10</v>
      </c>
      <c r="O549" s="37">
        <v>10</v>
      </c>
      <c r="P549" s="37">
        <v>10</v>
      </c>
      <c r="Q549" s="37">
        <v>10</v>
      </c>
      <c r="R549" s="37">
        <v>10</v>
      </c>
      <c r="S549" s="37">
        <v>10</v>
      </c>
      <c r="T549" s="37">
        <v>10</v>
      </c>
      <c r="U549" s="37">
        <v>10</v>
      </c>
      <c r="V549" s="37">
        <v>10</v>
      </c>
      <c r="W549" s="37">
        <v>10</v>
      </c>
      <c r="X549" s="37">
        <v>10</v>
      </c>
      <c r="Z549" s="37">
        <v>11</v>
      </c>
      <c r="AA549" s="37">
        <v>11</v>
      </c>
      <c r="AB549" s="37">
        <v>11</v>
      </c>
      <c r="AC549" s="37">
        <v>11</v>
      </c>
      <c r="AD549" s="37">
        <v>11</v>
      </c>
      <c r="AE549" s="37">
        <v>11</v>
      </c>
      <c r="AF549" s="37">
        <v>11</v>
      </c>
      <c r="AG549" s="37">
        <v>10</v>
      </c>
      <c r="AH549" s="37">
        <v>10</v>
      </c>
      <c r="AI549" s="37">
        <v>10</v>
      </c>
      <c r="AJ549" s="37">
        <v>10</v>
      </c>
      <c r="AK549" s="37">
        <v>10</v>
      </c>
      <c r="AL549" s="37">
        <v>10</v>
      </c>
      <c r="AM549" s="37">
        <v>10</v>
      </c>
      <c r="AN549" s="37">
        <v>10</v>
      </c>
      <c r="AO549" s="37">
        <v>10</v>
      </c>
      <c r="AP549" s="37">
        <v>10</v>
      </c>
      <c r="AQ549" s="37">
        <v>10</v>
      </c>
      <c r="AR549" s="37">
        <v>10</v>
      </c>
      <c r="AS549" s="37">
        <v>10</v>
      </c>
      <c r="AT549" s="37">
        <v>10</v>
      </c>
    </row>
    <row r="550" spans="3:46" s="37" customFormat="1" x14ac:dyDescent="0.25"/>
    <row r="551" spans="3:46" s="37" customFormat="1" x14ac:dyDescent="0.25">
      <c r="C551" s="37" t="s">
        <v>20</v>
      </c>
      <c r="D551" s="37">
        <v>6</v>
      </c>
      <c r="E551" s="37">
        <v>6</v>
      </c>
      <c r="F551" s="37">
        <v>6</v>
      </c>
      <c r="G551" s="37">
        <v>6</v>
      </c>
      <c r="H551" s="37">
        <v>6</v>
      </c>
      <c r="I551" s="37">
        <v>6</v>
      </c>
      <c r="J551" s="37">
        <v>6</v>
      </c>
      <c r="K551" s="37">
        <v>5</v>
      </c>
      <c r="L551" s="37">
        <v>5</v>
      </c>
      <c r="M551" s="37">
        <v>4</v>
      </c>
      <c r="N551" s="37">
        <v>5</v>
      </c>
      <c r="O551" s="37">
        <v>6</v>
      </c>
      <c r="P551" s="37">
        <v>6</v>
      </c>
      <c r="Q551" s="37">
        <v>7</v>
      </c>
      <c r="R551" s="37">
        <v>8</v>
      </c>
      <c r="S551" s="37">
        <v>8</v>
      </c>
      <c r="T551" s="37">
        <v>8</v>
      </c>
      <c r="U551" s="37">
        <v>8</v>
      </c>
      <c r="V551" s="37">
        <v>8</v>
      </c>
      <c r="W551" s="37">
        <v>8</v>
      </c>
      <c r="X551" s="37">
        <v>8</v>
      </c>
      <c r="Z551" s="37">
        <v>6</v>
      </c>
      <c r="AA551" s="37">
        <v>6</v>
      </c>
      <c r="AB551" s="37">
        <v>6</v>
      </c>
      <c r="AC551" s="37">
        <v>6</v>
      </c>
      <c r="AD551" s="37">
        <v>6</v>
      </c>
      <c r="AE551" s="37">
        <v>6</v>
      </c>
      <c r="AF551" s="37">
        <v>6</v>
      </c>
      <c r="AG551" s="37">
        <v>6</v>
      </c>
      <c r="AH551" s="37">
        <v>6</v>
      </c>
      <c r="AI551" s="37">
        <v>6</v>
      </c>
      <c r="AJ551" s="37">
        <v>6</v>
      </c>
      <c r="AK551" s="37">
        <v>6</v>
      </c>
      <c r="AL551" s="37">
        <v>6</v>
      </c>
      <c r="AM551" s="37">
        <v>8</v>
      </c>
      <c r="AN551" s="37">
        <v>8</v>
      </c>
      <c r="AO551" s="37">
        <v>8</v>
      </c>
      <c r="AP551" s="37">
        <v>8</v>
      </c>
      <c r="AQ551" s="37">
        <v>8</v>
      </c>
      <c r="AR551" s="37">
        <v>8</v>
      </c>
      <c r="AS551" s="37">
        <v>8</v>
      </c>
      <c r="AT551" s="37">
        <v>8</v>
      </c>
    </row>
    <row r="552" spans="3:46" s="37" customFormat="1" x14ac:dyDescent="0.25"/>
    <row r="553" spans="3:46" s="37" customFormat="1" x14ac:dyDescent="0.25">
      <c r="C553" s="37" t="s">
        <v>21</v>
      </c>
      <c r="D553" s="37">
        <v>10</v>
      </c>
      <c r="E553" s="37">
        <v>10</v>
      </c>
      <c r="F553" s="37">
        <v>10</v>
      </c>
      <c r="G553" s="37">
        <v>10</v>
      </c>
      <c r="H553" s="37">
        <v>10</v>
      </c>
      <c r="I553" s="37">
        <v>10</v>
      </c>
      <c r="J553" s="37">
        <v>9</v>
      </c>
      <c r="K553" s="37">
        <v>8</v>
      </c>
      <c r="L553" s="37">
        <v>8</v>
      </c>
      <c r="M553" s="37">
        <v>8</v>
      </c>
      <c r="N553" s="37">
        <v>8</v>
      </c>
      <c r="O553" s="37">
        <v>8</v>
      </c>
      <c r="P553" s="37">
        <v>8</v>
      </c>
      <c r="Q553" s="37">
        <v>8</v>
      </c>
      <c r="R553" s="37">
        <v>8</v>
      </c>
      <c r="S553" s="37">
        <v>8</v>
      </c>
      <c r="T553" s="37">
        <v>8</v>
      </c>
      <c r="U553" s="37">
        <v>8</v>
      </c>
      <c r="V553" s="37">
        <v>8</v>
      </c>
      <c r="W553" s="37">
        <v>8</v>
      </c>
      <c r="X553" s="37">
        <v>8</v>
      </c>
      <c r="Z553" s="37">
        <v>10</v>
      </c>
      <c r="AA553" s="37">
        <v>10</v>
      </c>
      <c r="AB553" s="37">
        <v>10</v>
      </c>
      <c r="AC553" s="37">
        <v>10</v>
      </c>
      <c r="AD553" s="37">
        <v>10</v>
      </c>
      <c r="AE553" s="37">
        <v>10</v>
      </c>
      <c r="AF553" s="37">
        <v>10</v>
      </c>
      <c r="AG553" s="37">
        <v>8</v>
      </c>
      <c r="AH553" s="37">
        <v>8</v>
      </c>
      <c r="AI553" s="37">
        <v>8</v>
      </c>
      <c r="AJ553" s="37">
        <v>8</v>
      </c>
      <c r="AK553" s="37">
        <v>8</v>
      </c>
      <c r="AL553" s="37">
        <v>8</v>
      </c>
      <c r="AM553" s="37">
        <v>8</v>
      </c>
      <c r="AN553" s="37">
        <v>8</v>
      </c>
      <c r="AO553" s="37">
        <v>8</v>
      </c>
      <c r="AP553" s="37">
        <v>8</v>
      </c>
      <c r="AQ553" s="37">
        <v>8</v>
      </c>
      <c r="AR553" s="37">
        <v>8</v>
      </c>
      <c r="AS553" s="37">
        <v>8</v>
      </c>
      <c r="AT553" s="37">
        <v>8</v>
      </c>
    </row>
    <row r="554" spans="3:46" s="37" customFormat="1" x14ac:dyDescent="0.25"/>
    <row r="555" spans="3:46" s="37" customFormat="1" x14ac:dyDescent="0.25">
      <c r="C555" s="37" t="s">
        <v>20</v>
      </c>
      <c r="D555" s="37">
        <v>7</v>
      </c>
      <c r="E555" s="37">
        <v>7</v>
      </c>
      <c r="F555" s="37">
        <v>7</v>
      </c>
      <c r="G555" s="37">
        <v>7</v>
      </c>
      <c r="H555" s="37">
        <v>7</v>
      </c>
      <c r="I555" s="37">
        <v>6</v>
      </c>
      <c r="J555" s="37">
        <v>6</v>
      </c>
      <c r="K555" s="37">
        <v>3</v>
      </c>
      <c r="L555" s="37">
        <v>3</v>
      </c>
      <c r="M555" s="37">
        <v>3</v>
      </c>
      <c r="N555" s="37">
        <v>3</v>
      </c>
      <c r="O555" s="37">
        <v>3</v>
      </c>
      <c r="P555" s="37">
        <v>3</v>
      </c>
      <c r="Q555" s="37">
        <v>5</v>
      </c>
      <c r="R555" s="37">
        <v>6</v>
      </c>
      <c r="S555" s="37">
        <v>6</v>
      </c>
      <c r="T555" s="37">
        <v>7</v>
      </c>
      <c r="U555" s="37">
        <v>8</v>
      </c>
      <c r="V555" s="37">
        <v>8</v>
      </c>
      <c r="W555" s="37">
        <v>8</v>
      </c>
      <c r="X555" s="37">
        <v>8</v>
      </c>
      <c r="Z555" s="37">
        <v>7</v>
      </c>
      <c r="AA555" s="37">
        <v>7</v>
      </c>
      <c r="AB555" s="37">
        <v>7</v>
      </c>
      <c r="AC555" s="37">
        <v>7</v>
      </c>
      <c r="AD555" s="37">
        <v>7</v>
      </c>
      <c r="AE555" s="37">
        <v>7</v>
      </c>
      <c r="AF555" s="37">
        <v>7</v>
      </c>
      <c r="AG555" s="37">
        <v>3</v>
      </c>
      <c r="AH555" s="37">
        <v>3</v>
      </c>
      <c r="AI555" s="37">
        <v>3</v>
      </c>
      <c r="AJ555" s="37">
        <v>3</v>
      </c>
      <c r="AK555" s="37">
        <v>3</v>
      </c>
      <c r="AL555" s="37">
        <v>3</v>
      </c>
      <c r="AM555" s="37">
        <v>8</v>
      </c>
      <c r="AN555" s="37">
        <v>8</v>
      </c>
      <c r="AO555" s="37">
        <v>8</v>
      </c>
      <c r="AP555" s="37">
        <v>8</v>
      </c>
      <c r="AQ555" s="37">
        <v>8</v>
      </c>
      <c r="AR555" s="37">
        <v>8</v>
      </c>
      <c r="AS555" s="37">
        <v>8</v>
      </c>
      <c r="AT555" s="37">
        <v>8</v>
      </c>
    </row>
    <row r="556" spans="3:46" s="37" customFormat="1" x14ac:dyDescent="0.25"/>
    <row r="557" spans="3:46" s="37" customFormat="1" x14ac:dyDescent="0.25">
      <c r="C557" s="37" t="s">
        <v>21</v>
      </c>
      <c r="D557" s="37">
        <v>6</v>
      </c>
      <c r="E557" s="37">
        <v>6</v>
      </c>
      <c r="F557" s="37">
        <v>6</v>
      </c>
      <c r="G557" s="37">
        <v>6</v>
      </c>
      <c r="H557" s="37">
        <v>5</v>
      </c>
      <c r="I557" s="37">
        <v>5</v>
      </c>
      <c r="J557" s="37">
        <v>4</v>
      </c>
      <c r="K557" s="37">
        <v>4</v>
      </c>
      <c r="L557" s="37">
        <v>4</v>
      </c>
      <c r="M557" s="37">
        <v>4</v>
      </c>
      <c r="N557" s="37">
        <v>4</v>
      </c>
      <c r="O557" s="37">
        <v>4</v>
      </c>
      <c r="P557" s="37">
        <v>4</v>
      </c>
      <c r="Q557" s="37">
        <v>4</v>
      </c>
      <c r="R557" s="37">
        <v>4</v>
      </c>
      <c r="S557" s="37">
        <v>4</v>
      </c>
      <c r="T557" s="37">
        <v>5</v>
      </c>
      <c r="U557" s="37">
        <v>5</v>
      </c>
      <c r="V557" s="37">
        <v>6</v>
      </c>
      <c r="W557" s="37">
        <v>6</v>
      </c>
      <c r="X557" s="37">
        <v>6</v>
      </c>
      <c r="Z557" s="37">
        <v>6</v>
      </c>
      <c r="AA557" s="37">
        <v>6</v>
      </c>
      <c r="AB557" s="37">
        <v>6</v>
      </c>
      <c r="AC557" s="37">
        <v>6</v>
      </c>
      <c r="AD557" s="37">
        <v>6</v>
      </c>
      <c r="AE557" s="37">
        <v>6</v>
      </c>
      <c r="AF557" s="37">
        <v>6</v>
      </c>
      <c r="AG557" s="37">
        <v>4</v>
      </c>
      <c r="AH557" s="37">
        <v>4</v>
      </c>
      <c r="AI557" s="37">
        <v>4</v>
      </c>
      <c r="AJ557" s="37">
        <v>4</v>
      </c>
      <c r="AK557" s="37">
        <v>4</v>
      </c>
      <c r="AL557" s="37">
        <v>4</v>
      </c>
      <c r="AM557" s="37">
        <v>6</v>
      </c>
      <c r="AN557" s="37">
        <v>6</v>
      </c>
      <c r="AO557" s="37">
        <v>6</v>
      </c>
      <c r="AP557" s="37">
        <v>6</v>
      </c>
      <c r="AQ557" s="37">
        <v>6</v>
      </c>
      <c r="AR557" s="37">
        <v>6</v>
      </c>
      <c r="AS557" s="37">
        <v>6</v>
      </c>
      <c r="AT557" s="37">
        <v>6</v>
      </c>
    </row>
    <row r="558" spans="3:46" s="37" customFormat="1" x14ac:dyDescent="0.25"/>
    <row r="559" spans="3:46" s="37" customFormat="1" x14ac:dyDescent="0.25">
      <c r="C559" s="37" t="s">
        <v>20</v>
      </c>
      <c r="D559" s="37">
        <v>9</v>
      </c>
      <c r="E559" s="37">
        <v>9</v>
      </c>
      <c r="F559" s="37">
        <v>9</v>
      </c>
      <c r="G559" s="37">
        <v>9</v>
      </c>
      <c r="H559" s="37">
        <v>9</v>
      </c>
      <c r="I559" s="37">
        <v>9</v>
      </c>
      <c r="J559" s="37">
        <v>9</v>
      </c>
      <c r="K559" s="37">
        <v>8</v>
      </c>
      <c r="L559" s="37">
        <v>8</v>
      </c>
      <c r="M559" s="37">
        <v>7</v>
      </c>
      <c r="N559" s="37">
        <v>6</v>
      </c>
      <c r="O559" s="37">
        <v>6</v>
      </c>
      <c r="P559" s="37">
        <v>6</v>
      </c>
      <c r="Q559" s="37">
        <v>7</v>
      </c>
      <c r="R559" s="37">
        <v>8</v>
      </c>
      <c r="S559" s="37">
        <v>8</v>
      </c>
      <c r="T559" s="37">
        <v>8</v>
      </c>
      <c r="U559" s="37">
        <v>8</v>
      </c>
      <c r="V559" s="37">
        <v>8</v>
      </c>
      <c r="W559" s="37">
        <v>8</v>
      </c>
      <c r="X559" s="37">
        <v>8</v>
      </c>
      <c r="Z559" s="37">
        <v>9</v>
      </c>
      <c r="AA559" s="37">
        <v>9</v>
      </c>
      <c r="AB559" s="37">
        <v>9</v>
      </c>
      <c r="AC559" s="37">
        <v>9</v>
      </c>
      <c r="AD559" s="37">
        <v>9</v>
      </c>
      <c r="AE559" s="37">
        <v>9</v>
      </c>
      <c r="AF559" s="37">
        <v>9</v>
      </c>
      <c r="AG559" s="37">
        <v>8</v>
      </c>
      <c r="AH559" s="37">
        <v>8</v>
      </c>
      <c r="AI559" s="37">
        <v>8</v>
      </c>
      <c r="AJ559" s="37">
        <v>8</v>
      </c>
      <c r="AK559" s="37">
        <v>8</v>
      </c>
      <c r="AL559" s="37">
        <v>8</v>
      </c>
      <c r="AM559" s="37">
        <v>8</v>
      </c>
      <c r="AN559" s="37">
        <v>8</v>
      </c>
      <c r="AO559" s="37">
        <v>8</v>
      </c>
      <c r="AP559" s="37">
        <v>8</v>
      </c>
      <c r="AQ559" s="37">
        <v>8</v>
      </c>
      <c r="AR559" s="37">
        <v>8</v>
      </c>
      <c r="AS559" s="37">
        <v>8</v>
      </c>
      <c r="AT559" s="37">
        <v>8</v>
      </c>
    </row>
    <row r="560" spans="3:46" s="37" customFormat="1" x14ac:dyDescent="0.25"/>
    <row r="561" spans="3:46" s="37" customFormat="1" x14ac:dyDescent="0.25">
      <c r="C561" s="37" t="s">
        <v>21</v>
      </c>
      <c r="D561" s="37">
        <v>12</v>
      </c>
      <c r="E561" s="37">
        <v>12</v>
      </c>
      <c r="F561" s="37">
        <v>12</v>
      </c>
      <c r="G561" s="37">
        <v>12</v>
      </c>
      <c r="H561" s="37">
        <v>12</v>
      </c>
      <c r="I561" s="37">
        <v>12</v>
      </c>
      <c r="J561" s="37">
        <v>12</v>
      </c>
      <c r="K561" s="37">
        <v>12</v>
      </c>
      <c r="L561" s="37">
        <v>12</v>
      </c>
      <c r="M561" s="37">
        <v>12</v>
      </c>
      <c r="N561" s="37">
        <v>12</v>
      </c>
      <c r="O561" s="37">
        <v>12</v>
      </c>
      <c r="P561" s="37">
        <v>12</v>
      </c>
      <c r="Q561" s="37">
        <v>12</v>
      </c>
      <c r="R561" s="37">
        <v>12</v>
      </c>
      <c r="S561" s="37">
        <v>12</v>
      </c>
      <c r="T561" s="37">
        <v>12</v>
      </c>
      <c r="U561" s="37">
        <v>12</v>
      </c>
      <c r="V561" s="37">
        <v>12</v>
      </c>
      <c r="W561" s="37">
        <v>12</v>
      </c>
      <c r="X561" s="37">
        <v>12</v>
      </c>
      <c r="Z561" s="37">
        <v>12</v>
      </c>
      <c r="AA561" s="37">
        <v>12</v>
      </c>
      <c r="AB561" s="37">
        <v>12</v>
      </c>
      <c r="AC561" s="37">
        <v>12</v>
      </c>
      <c r="AD561" s="37">
        <v>12</v>
      </c>
      <c r="AE561" s="37">
        <v>12</v>
      </c>
      <c r="AF561" s="37">
        <v>12</v>
      </c>
      <c r="AG561" s="37">
        <v>12</v>
      </c>
      <c r="AH561" s="37">
        <v>12</v>
      </c>
      <c r="AI561" s="37">
        <v>12</v>
      </c>
      <c r="AJ561" s="37">
        <v>12</v>
      </c>
      <c r="AK561" s="37">
        <v>12</v>
      </c>
      <c r="AL561" s="37">
        <v>12</v>
      </c>
      <c r="AM561" s="37">
        <v>13</v>
      </c>
      <c r="AN561" s="37">
        <v>13</v>
      </c>
      <c r="AO561" s="37">
        <v>13</v>
      </c>
      <c r="AP561" s="37">
        <v>13</v>
      </c>
      <c r="AQ561" s="37">
        <v>13</v>
      </c>
      <c r="AR561" s="37">
        <v>13</v>
      </c>
      <c r="AS561" s="37">
        <v>13</v>
      </c>
      <c r="AT561" s="37">
        <v>13</v>
      </c>
    </row>
    <row r="562" spans="3:46" s="37" customFormat="1" x14ac:dyDescent="0.25"/>
    <row r="563" spans="3:46" s="37" customFormat="1" x14ac:dyDescent="0.25">
      <c r="C563" s="37" t="s">
        <v>20</v>
      </c>
      <c r="D563" s="37">
        <v>10</v>
      </c>
      <c r="E563" s="37">
        <v>10</v>
      </c>
      <c r="F563" s="37">
        <v>10</v>
      </c>
      <c r="G563" s="37">
        <v>10</v>
      </c>
      <c r="H563" s="37">
        <v>10</v>
      </c>
      <c r="I563" s="37">
        <v>10</v>
      </c>
      <c r="J563" s="37">
        <v>10</v>
      </c>
      <c r="K563" s="37">
        <v>4</v>
      </c>
      <c r="L563" s="37">
        <v>4</v>
      </c>
      <c r="M563" s="37">
        <v>4</v>
      </c>
      <c r="N563" s="37">
        <v>4</v>
      </c>
      <c r="O563" s="37">
        <v>4</v>
      </c>
      <c r="P563" s="37">
        <v>4</v>
      </c>
      <c r="Q563" s="37">
        <v>6</v>
      </c>
      <c r="R563" s="37">
        <v>7</v>
      </c>
      <c r="S563" s="37">
        <v>8</v>
      </c>
      <c r="T563" s="37">
        <v>8</v>
      </c>
      <c r="U563" s="37">
        <v>8</v>
      </c>
      <c r="V563" s="37">
        <v>8</v>
      </c>
      <c r="W563" s="37">
        <v>8</v>
      </c>
      <c r="X563" s="37">
        <v>8</v>
      </c>
      <c r="Z563" s="37">
        <v>10</v>
      </c>
      <c r="AA563" s="37">
        <v>10</v>
      </c>
      <c r="AB563" s="37">
        <v>10</v>
      </c>
      <c r="AC563" s="37">
        <v>10</v>
      </c>
      <c r="AD563" s="37">
        <v>10</v>
      </c>
      <c r="AE563" s="37">
        <v>10</v>
      </c>
      <c r="AF563" s="37">
        <v>10</v>
      </c>
      <c r="AG563" s="37">
        <v>4</v>
      </c>
      <c r="AH563" s="37">
        <v>4</v>
      </c>
      <c r="AI563" s="37">
        <v>4</v>
      </c>
      <c r="AJ563" s="37">
        <v>4</v>
      </c>
      <c r="AK563" s="37">
        <v>4</v>
      </c>
      <c r="AL563" s="37">
        <v>4</v>
      </c>
      <c r="AM563" s="37">
        <v>8</v>
      </c>
      <c r="AN563" s="37">
        <v>8</v>
      </c>
      <c r="AO563" s="37">
        <v>8</v>
      </c>
      <c r="AP563" s="37">
        <v>8</v>
      </c>
      <c r="AQ563" s="37">
        <v>8</v>
      </c>
      <c r="AR563" s="37">
        <v>8</v>
      </c>
      <c r="AS563" s="37">
        <v>8</v>
      </c>
      <c r="AT563" s="37">
        <v>8</v>
      </c>
    </row>
    <row r="564" spans="3:46" s="37" customFormat="1" x14ac:dyDescent="0.25"/>
    <row r="565" spans="3:46" s="37" customFormat="1" x14ac:dyDescent="0.25">
      <c r="C565" s="37" t="s">
        <v>21</v>
      </c>
      <c r="D565" s="37">
        <v>12</v>
      </c>
      <c r="E565" s="37">
        <v>12</v>
      </c>
      <c r="F565" s="37">
        <v>12</v>
      </c>
      <c r="G565" s="37">
        <v>12</v>
      </c>
      <c r="H565" s="37">
        <v>12</v>
      </c>
      <c r="I565" s="37">
        <v>11</v>
      </c>
      <c r="J565" s="37">
        <v>10</v>
      </c>
      <c r="K565" s="37">
        <v>5</v>
      </c>
      <c r="L565" s="37">
        <v>5</v>
      </c>
      <c r="M565" s="37">
        <v>5</v>
      </c>
      <c r="N565" s="37">
        <v>5</v>
      </c>
      <c r="O565" s="37">
        <v>5</v>
      </c>
      <c r="P565" s="37">
        <v>5</v>
      </c>
      <c r="Q565" s="37">
        <v>9</v>
      </c>
      <c r="R565" s="37">
        <v>10</v>
      </c>
      <c r="S565" s="37">
        <v>11</v>
      </c>
      <c r="T565" s="37">
        <v>12</v>
      </c>
      <c r="U565" s="37">
        <v>12</v>
      </c>
      <c r="V565" s="37">
        <v>12</v>
      </c>
      <c r="W565" s="37">
        <v>12</v>
      </c>
      <c r="X565" s="37">
        <v>12</v>
      </c>
      <c r="Z565" s="37">
        <v>12</v>
      </c>
      <c r="AA565" s="37">
        <v>12</v>
      </c>
      <c r="AB565" s="37">
        <v>12</v>
      </c>
      <c r="AC565" s="37">
        <v>12</v>
      </c>
      <c r="AD565" s="37">
        <v>12</v>
      </c>
      <c r="AE565" s="37">
        <v>12</v>
      </c>
      <c r="AF565" s="37">
        <v>12</v>
      </c>
      <c r="AG565" s="37">
        <v>5</v>
      </c>
      <c r="AH565" s="37">
        <v>5</v>
      </c>
      <c r="AI565" s="37">
        <v>5</v>
      </c>
      <c r="AJ565" s="37">
        <v>5</v>
      </c>
      <c r="AK565" s="37">
        <v>5</v>
      </c>
      <c r="AL565" s="37">
        <v>5</v>
      </c>
      <c r="AM565" s="37">
        <v>13</v>
      </c>
      <c r="AN565" s="37">
        <v>13</v>
      </c>
      <c r="AO565" s="37">
        <v>13</v>
      </c>
      <c r="AP565" s="37">
        <v>13</v>
      </c>
      <c r="AQ565" s="37">
        <v>13</v>
      </c>
      <c r="AR565" s="37">
        <v>13</v>
      </c>
      <c r="AS565" s="37">
        <v>13</v>
      </c>
      <c r="AT565" s="37">
        <v>13</v>
      </c>
    </row>
    <row r="566" spans="3:46" s="37" customFormat="1" x14ac:dyDescent="0.25"/>
    <row r="567" spans="3:46" s="37" customFormat="1" x14ac:dyDescent="0.25">
      <c r="C567" s="37" t="s">
        <v>20</v>
      </c>
      <c r="D567" s="37">
        <v>8</v>
      </c>
      <c r="E567" s="37">
        <v>8</v>
      </c>
      <c r="F567" s="37">
        <v>8</v>
      </c>
      <c r="G567" s="37">
        <v>8</v>
      </c>
      <c r="H567" s="37">
        <v>8</v>
      </c>
      <c r="I567" s="37">
        <v>8</v>
      </c>
      <c r="J567" s="37">
        <v>8</v>
      </c>
      <c r="K567" s="37">
        <v>7</v>
      </c>
      <c r="L567" s="37">
        <v>7</v>
      </c>
      <c r="M567" s="37">
        <v>7</v>
      </c>
      <c r="N567" s="37">
        <v>6</v>
      </c>
      <c r="O567" s="37">
        <v>6</v>
      </c>
      <c r="P567" s="37">
        <v>5</v>
      </c>
      <c r="Q567" s="37">
        <v>6</v>
      </c>
      <c r="R567" s="37">
        <v>6</v>
      </c>
      <c r="S567" s="37">
        <v>7</v>
      </c>
      <c r="T567" s="37">
        <v>7</v>
      </c>
      <c r="U567" s="37">
        <v>7</v>
      </c>
      <c r="V567" s="37">
        <v>7</v>
      </c>
      <c r="W567" s="37">
        <v>7</v>
      </c>
      <c r="X567" s="37">
        <v>7</v>
      </c>
      <c r="Z567" s="37">
        <v>8</v>
      </c>
      <c r="AA567" s="37">
        <v>8</v>
      </c>
      <c r="AB567" s="37">
        <v>8</v>
      </c>
      <c r="AC567" s="37">
        <v>8</v>
      </c>
      <c r="AD567" s="37">
        <v>8</v>
      </c>
      <c r="AE567" s="37">
        <v>8</v>
      </c>
      <c r="AF567" s="37">
        <v>8</v>
      </c>
      <c r="AG567" s="37">
        <v>7</v>
      </c>
      <c r="AH567" s="37">
        <v>7</v>
      </c>
      <c r="AI567" s="37">
        <v>7</v>
      </c>
      <c r="AJ567" s="37">
        <v>7</v>
      </c>
      <c r="AK567" s="37">
        <v>7</v>
      </c>
      <c r="AL567" s="37">
        <v>7</v>
      </c>
      <c r="AM567" s="37">
        <v>7</v>
      </c>
      <c r="AN567" s="37">
        <v>7</v>
      </c>
      <c r="AO567" s="37">
        <v>7</v>
      </c>
      <c r="AP567" s="37">
        <v>7</v>
      </c>
      <c r="AQ567" s="37">
        <v>7</v>
      </c>
      <c r="AR567" s="37">
        <v>7</v>
      </c>
      <c r="AS567" s="37">
        <v>7</v>
      </c>
      <c r="AT567" s="37">
        <v>7</v>
      </c>
    </row>
    <row r="568" spans="3:46" s="37" customFormat="1" x14ac:dyDescent="0.25"/>
    <row r="569" spans="3:46" s="37" customFormat="1" x14ac:dyDescent="0.25">
      <c r="C569" s="37" t="s">
        <v>21</v>
      </c>
      <c r="D569" s="37">
        <v>10</v>
      </c>
      <c r="E569" s="37">
        <v>10</v>
      </c>
      <c r="F569" s="37">
        <v>10</v>
      </c>
      <c r="G569" s="37">
        <v>10</v>
      </c>
      <c r="H569" s="37">
        <v>10</v>
      </c>
      <c r="I569" s="37">
        <v>10</v>
      </c>
      <c r="J569" s="37">
        <v>10</v>
      </c>
      <c r="K569" s="37">
        <v>10</v>
      </c>
      <c r="L569" s="37">
        <v>10</v>
      </c>
      <c r="M569" s="37">
        <v>10</v>
      </c>
      <c r="N569" s="37">
        <v>10</v>
      </c>
      <c r="O569" s="37">
        <v>10</v>
      </c>
      <c r="P569" s="37">
        <v>10</v>
      </c>
      <c r="Q569" s="37">
        <v>10</v>
      </c>
      <c r="R569" s="37">
        <v>10</v>
      </c>
      <c r="S569" s="37">
        <v>10</v>
      </c>
      <c r="T569" s="37">
        <v>10</v>
      </c>
      <c r="U569" s="37">
        <v>10</v>
      </c>
      <c r="V569" s="37">
        <v>10</v>
      </c>
      <c r="W569" s="37">
        <v>10</v>
      </c>
      <c r="X569" s="37">
        <v>10</v>
      </c>
      <c r="Z569" s="37">
        <v>10</v>
      </c>
      <c r="AA569" s="37">
        <v>10</v>
      </c>
      <c r="AB569" s="37">
        <v>10</v>
      </c>
      <c r="AC569" s="37">
        <v>10</v>
      </c>
      <c r="AD569" s="37">
        <v>10</v>
      </c>
      <c r="AE569" s="37">
        <v>10</v>
      </c>
      <c r="AF569" s="37">
        <v>10</v>
      </c>
      <c r="AG569" s="37">
        <v>10</v>
      </c>
      <c r="AH569" s="37">
        <v>10</v>
      </c>
      <c r="AI569" s="37">
        <v>10</v>
      </c>
      <c r="AJ569" s="37">
        <v>10</v>
      </c>
      <c r="AK569" s="37">
        <v>10</v>
      </c>
      <c r="AL569" s="37">
        <v>10</v>
      </c>
      <c r="AM569" s="37">
        <v>11</v>
      </c>
      <c r="AN569" s="37">
        <v>11</v>
      </c>
      <c r="AO569" s="37">
        <v>11</v>
      </c>
      <c r="AP569" s="37">
        <v>11</v>
      </c>
      <c r="AQ569" s="37">
        <v>11</v>
      </c>
      <c r="AR569" s="37">
        <v>11</v>
      </c>
      <c r="AS569" s="37">
        <v>11</v>
      </c>
      <c r="AT569" s="37">
        <v>11</v>
      </c>
    </row>
    <row r="570" spans="3:46" s="37" customFormat="1" x14ac:dyDescent="0.25"/>
    <row r="571" spans="3:46" s="37" customFormat="1" x14ac:dyDescent="0.25">
      <c r="C571" s="37" t="s">
        <v>20</v>
      </c>
      <c r="D571" s="37">
        <v>8</v>
      </c>
      <c r="E571" s="37">
        <v>8</v>
      </c>
      <c r="F571" s="37">
        <v>8</v>
      </c>
      <c r="G571" s="37">
        <v>8</v>
      </c>
      <c r="H571" s="37">
        <v>8</v>
      </c>
      <c r="I571" s="37">
        <v>8</v>
      </c>
      <c r="J571" s="37">
        <v>8</v>
      </c>
      <c r="K571" s="37">
        <v>3</v>
      </c>
      <c r="L571" s="37">
        <v>3</v>
      </c>
      <c r="M571" s="37">
        <v>3</v>
      </c>
      <c r="N571" s="37">
        <v>3</v>
      </c>
      <c r="O571" s="37">
        <v>3</v>
      </c>
      <c r="P571" s="37">
        <v>3</v>
      </c>
      <c r="Q571" s="37">
        <v>7</v>
      </c>
      <c r="R571" s="37">
        <v>8</v>
      </c>
      <c r="S571" s="37">
        <v>9</v>
      </c>
      <c r="T571" s="37">
        <v>9</v>
      </c>
      <c r="U571" s="37">
        <v>9</v>
      </c>
      <c r="V571" s="37">
        <v>9</v>
      </c>
      <c r="W571" s="37">
        <v>9</v>
      </c>
      <c r="X571" s="37">
        <v>9</v>
      </c>
      <c r="Z571" s="37">
        <v>8</v>
      </c>
      <c r="AA571" s="37">
        <v>8</v>
      </c>
      <c r="AB571" s="37">
        <v>8</v>
      </c>
      <c r="AC571" s="37">
        <v>8</v>
      </c>
      <c r="AD571" s="37">
        <v>8</v>
      </c>
      <c r="AE571" s="37">
        <v>8</v>
      </c>
      <c r="AF571" s="37">
        <v>8</v>
      </c>
      <c r="AG571" s="37">
        <v>3</v>
      </c>
      <c r="AH571" s="37">
        <v>3</v>
      </c>
      <c r="AI571" s="37">
        <v>3</v>
      </c>
      <c r="AJ571" s="37">
        <v>3</v>
      </c>
      <c r="AK571" s="37">
        <v>3</v>
      </c>
      <c r="AL571" s="37">
        <v>3</v>
      </c>
      <c r="AM571" s="37">
        <v>9</v>
      </c>
      <c r="AN571" s="37">
        <v>9</v>
      </c>
      <c r="AO571" s="37">
        <v>9</v>
      </c>
      <c r="AP571" s="37">
        <v>9</v>
      </c>
      <c r="AQ571" s="37">
        <v>9</v>
      </c>
      <c r="AR571" s="37">
        <v>9</v>
      </c>
      <c r="AS571" s="37">
        <v>9</v>
      </c>
      <c r="AT571" s="37">
        <v>9</v>
      </c>
    </row>
    <row r="572" spans="3:46" s="37" customFormat="1" x14ac:dyDescent="0.25"/>
    <row r="573" spans="3:46" s="37" customFormat="1" x14ac:dyDescent="0.25">
      <c r="C573" s="37" t="s">
        <v>21</v>
      </c>
      <c r="D573" s="37">
        <v>10</v>
      </c>
      <c r="E573" s="37">
        <v>10</v>
      </c>
      <c r="F573" s="37">
        <v>10</v>
      </c>
      <c r="G573" s="37">
        <v>10</v>
      </c>
      <c r="H573" s="37">
        <v>10</v>
      </c>
      <c r="I573" s="37">
        <v>9</v>
      </c>
      <c r="J573" s="37">
        <v>8</v>
      </c>
      <c r="K573" s="37">
        <v>4</v>
      </c>
      <c r="L573" s="37">
        <v>4</v>
      </c>
      <c r="M573" s="37">
        <v>4</v>
      </c>
      <c r="N573" s="37">
        <v>4</v>
      </c>
      <c r="O573" s="37">
        <v>4</v>
      </c>
      <c r="P573" s="37">
        <v>4</v>
      </c>
      <c r="Q573" s="37">
        <v>5</v>
      </c>
      <c r="R573" s="37">
        <v>6</v>
      </c>
      <c r="S573" s="37">
        <v>6</v>
      </c>
      <c r="T573" s="37">
        <v>7</v>
      </c>
      <c r="U573" s="37">
        <v>8</v>
      </c>
      <c r="V573" s="37">
        <v>8</v>
      </c>
      <c r="W573" s="37">
        <v>8</v>
      </c>
      <c r="X573" s="37">
        <v>8</v>
      </c>
      <c r="Z573" s="37">
        <v>10</v>
      </c>
      <c r="AA573" s="37">
        <v>10</v>
      </c>
      <c r="AB573" s="37">
        <v>10</v>
      </c>
      <c r="AC573" s="37">
        <v>10</v>
      </c>
      <c r="AD573" s="37">
        <v>10</v>
      </c>
      <c r="AE573" s="37">
        <v>10</v>
      </c>
      <c r="AF573" s="37">
        <v>10</v>
      </c>
      <c r="AG573" s="37">
        <v>4</v>
      </c>
      <c r="AH573" s="37">
        <v>4</v>
      </c>
      <c r="AI573" s="37">
        <v>4</v>
      </c>
      <c r="AJ573" s="37">
        <v>4</v>
      </c>
      <c r="AK573" s="37">
        <v>4</v>
      </c>
      <c r="AL573" s="37">
        <v>4</v>
      </c>
      <c r="AM573" s="37">
        <v>8</v>
      </c>
      <c r="AN573" s="37">
        <v>8</v>
      </c>
      <c r="AO573" s="37">
        <v>8</v>
      </c>
      <c r="AP573" s="37">
        <v>8</v>
      </c>
      <c r="AQ573" s="37">
        <v>8</v>
      </c>
      <c r="AR573" s="37">
        <v>8</v>
      </c>
      <c r="AS573" s="37">
        <v>8</v>
      </c>
      <c r="AT573" s="37">
        <v>8</v>
      </c>
    </row>
    <row r="574" spans="3:46" s="37" customFormat="1" x14ac:dyDescent="0.25"/>
    <row r="575" spans="3:46" s="37" customFormat="1" x14ac:dyDescent="0.25">
      <c r="C575" s="37" t="s">
        <v>20</v>
      </c>
      <c r="D575" s="37">
        <v>8</v>
      </c>
      <c r="E575" s="37">
        <v>8</v>
      </c>
      <c r="F575" s="37">
        <v>8</v>
      </c>
      <c r="G575" s="37">
        <v>8</v>
      </c>
      <c r="H575" s="37">
        <v>8</v>
      </c>
      <c r="I575" s="37">
        <v>8</v>
      </c>
      <c r="J575" s="37">
        <v>7</v>
      </c>
      <c r="K575" s="37">
        <v>4</v>
      </c>
      <c r="L575" s="37">
        <v>4</v>
      </c>
      <c r="M575" s="37">
        <v>4</v>
      </c>
      <c r="N575" s="37">
        <v>4</v>
      </c>
      <c r="O575" s="37">
        <v>4</v>
      </c>
      <c r="P575" s="37">
        <v>4</v>
      </c>
      <c r="Q575" s="37">
        <v>7</v>
      </c>
      <c r="R575" s="37">
        <v>8</v>
      </c>
      <c r="S575" s="37">
        <v>9</v>
      </c>
      <c r="T575" s="37">
        <v>10</v>
      </c>
      <c r="U575" s="37">
        <v>10</v>
      </c>
      <c r="V575" s="37">
        <v>10</v>
      </c>
      <c r="W575" s="37">
        <v>10</v>
      </c>
      <c r="X575" s="37">
        <v>10</v>
      </c>
      <c r="Z575" s="37">
        <v>8</v>
      </c>
      <c r="AA575" s="37">
        <v>8</v>
      </c>
      <c r="AB575" s="37">
        <v>8</v>
      </c>
      <c r="AC575" s="37">
        <v>8</v>
      </c>
      <c r="AD575" s="37">
        <v>8</v>
      </c>
      <c r="AE575" s="37">
        <v>8</v>
      </c>
      <c r="AF575" s="37">
        <v>8</v>
      </c>
      <c r="AG575" s="37">
        <v>4</v>
      </c>
      <c r="AH575" s="37">
        <v>4</v>
      </c>
      <c r="AI575" s="37">
        <v>4</v>
      </c>
      <c r="AJ575" s="37">
        <v>4</v>
      </c>
      <c r="AK575" s="37">
        <v>4</v>
      </c>
      <c r="AL575" s="37">
        <v>4</v>
      </c>
      <c r="AM575" s="37">
        <v>10</v>
      </c>
      <c r="AN575" s="37">
        <v>10</v>
      </c>
      <c r="AO575" s="37">
        <v>10</v>
      </c>
      <c r="AP575" s="37">
        <v>10</v>
      </c>
      <c r="AQ575" s="37">
        <v>10</v>
      </c>
      <c r="AR575" s="37">
        <v>10</v>
      </c>
      <c r="AS575" s="37">
        <v>10</v>
      </c>
      <c r="AT575" s="37">
        <v>10</v>
      </c>
    </row>
    <row r="576" spans="3:46" s="37" customFormat="1" x14ac:dyDescent="0.25"/>
    <row r="577" spans="3:46" s="37" customFormat="1" x14ac:dyDescent="0.25">
      <c r="C577" s="37" t="s">
        <v>21</v>
      </c>
      <c r="D577" s="37">
        <v>8</v>
      </c>
      <c r="E577" s="37">
        <v>8</v>
      </c>
      <c r="F577" s="37">
        <v>8</v>
      </c>
      <c r="G577" s="37">
        <v>8</v>
      </c>
      <c r="H577" s="37">
        <v>8</v>
      </c>
      <c r="I577" s="37">
        <v>7</v>
      </c>
      <c r="J577" s="37">
        <v>6</v>
      </c>
      <c r="K577" s="37">
        <v>5</v>
      </c>
      <c r="L577" s="37">
        <v>5</v>
      </c>
      <c r="M577" s="37">
        <v>5</v>
      </c>
      <c r="N577" s="37">
        <v>5</v>
      </c>
      <c r="O577" s="37">
        <v>5</v>
      </c>
      <c r="P577" s="37">
        <v>5</v>
      </c>
      <c r="Q577" s="37">
        <v>5</v>
      </c>
      <c r="R577" s="37">
        <v>5</v>
      </c>
      <c r="S577" s="37">
        <v>5</v>
      </c>
      <c r="T577" s="37">
        <v>6</v>
      </c>
      <c r="U577" s="37">
        <v>6</v>
      </c>
      <c r="V577" s="37">
        <v>7</v>
      </c>
      <c r="W577" s="37">
        <v>7</v>
      </c>
      <c r="X577" s="37">
        <v>7</v>
      </c>
      <c r="Z577" s="37">
        <v>8</v>
      </c>
      <c r="AA577" s="37">
        <v>8</v>
      </c>
      <c r="AB577" s="37">
        <v>8</v>
      </c>
      <c r="AC577" s="37">
        <v>8</v>
      </c>
      <c r="AD577" s="37">
        <v>8</v>
      </c>
      <c r="AE577" s="37">
        <v>8</v>
      </c>
      <c r="AF577" s="37">
        <v>8</v>
      </c>
      <c r="AG577" s="37">
        <v>5</v>
      </c>
      <c r="AH577" s="37">
        <v>5</v>
      </c>
      <c r="AI577" s="37">
        <v>5</v>
      </c>
      <c r="AJ577" s="37">
        <v>5</v>
      </c>
      <c r="AK577" s="37">
        <v>5</v>
      </c>
      <c r="AL577" s="37">
        <v>5</v>
      </c>
      <c r="AM577" s="37">
        <v>7</v>
      </c>
      <c r="AN577" s="37">
        <v>7</v>
      </c>
      <c r="AO577" s="37">
        <v>7</v>
      </c>
      <c r="AP577" s="37">
        <v>7</v>
      </c>
      <c r="AQ577" s="37">
        <v>7</v>
      </c>
      <c r="AR577" s="37">
        <v>7</v>
      </c>
      <c r="AS577" s="37">
        <v>7</v>
      </c>
      <c r="AT577" s="37">
        <v>7</v>
      </c>
    </row>
    <row r="578" spans="3:46" s="37" customFormat="1" x14ac:dyDescent="0.25"/>
    <row r="579" spans="3:46" s="37" customFormat="1" x14ac:dyDescent="0.25">
      <c r="C579" s="37" t="s">
        <v>20</v>
      </c>
      <c r="D579" s="37">
        <v>8</v>
      </c>
      <c r="E579" s="37">
        <v>8</v>
      </c>
      <c r="F579" s="37">
        <v>8</v>
      </c>
      <c r="G579" s="37">
        <v>8</v>
      </c>
      <c r="H579" s="37">
        <v>8</v>
      </c>
      <c r="I579" s="37">
        <v>8</v>
      </c>
      <c r="J579" s="37">
        <v>7</v>
      </c>
      <c r="K579" s="37">
        <v>3</v>
      </c>
      <c r="L579" s="37">
        <v>3</v>
      </c>
      <c r="M579" s="37">
        <v>3</v>
      </c>
      <c r="N579" s="37">
        <v>3</v>
      </c>
      <c r="O579" s="37">
        <v>3</v>
      </c>
      <c r="P579" s="37">
        <v>3</v>
      </c>
      <c r="Q579" s="37">
        <v>6</v>
      </c>
      <c r="R579" s="37">
        <v>7</v>
      </c>
      <c r="S579" s="37">
        <v>8</v>
      </c>
      <c r="T579" s="37">
        <v>9</v>
      </c>
      <c r="U579" s="37">
        <v>9</v>
      </c>
      <c r="V579" s="37">
        <v>9</v>
      </c>
      <c r="W579" s="37">
        <v>9</v>
      </c>
      <c r="X579" s="37">
        <v>9</v>
      </c>
      <c r="Z579" s="37">
        <v>8</v>
      </c>
      <c r="AA579" s="37">
        <v>8</v>
      </c>
      <c r="AB579" s="37">
        <v>8</v>
      </c>
      <c r="AC579" s="37">
        <v>8</v>
      </c>
      <c r="AD579" s="37">
        <v>8</v>
      </c>
      <c r="AE579" s="37">
        <v>8</v>
      </c>
      <c r="AF579" s="37">
        <v>8</v>
      </c>
      <c r="AG579" s="37">
        <v>3</v>
      </c>
      <c r="AH579" s="37">
        <v>3</v>
      </c>
      <c r="AI579" s="37">
        <v>3</v>
      </c>
      <c r="AJ579" s="37">
        <v>3</v>
      </c>
      <c r="AK579" s="37">
        <v>3</v>
      </c>
      <c r="AL579" s="37">
        <v>3</v>
      </c>
      <c r="AM579" s="37">
        <v>9</v>
      </c>
      <c r="AN579" s="37">
        <v>9</v>
      </c>
      <c r="AO579" s="37">
        <v>9</v>
      </c>
      <c r="AP579" s="37">
        <v>9</v>
      </c>
      <c r="AQ579" s="37">
        <v>9</v>
      </c>
      <c r="AR579" s="37">
        <v>9</v>
      </c>
      <c r="AS579" s="37">
        <v>9</v>
      </c>
      <c r="AT579" s="37">
        <v>9</v>
      </c>
    </row>
    <row r="580" spans="3:46" s="37" customFormat="1" x14ac:dyDescent="0.25"/>
    <row r="581" spans="3:46" s="37" customFormat="1" x14ac:dyDescent="0.25">
      <c r="C581" s="37" t="s">
        <v>21</v>
      </c>
      <c r="D581" s="37">
        <v>8</v>
      </c>
      <c r="E581" s="37">
        <v>8</v>
      </c>
      <c r="F581" s="37">
        <v>8</v>
      </c>
      <c r="G581" s="37">
        <v>8</v>
      </c>
      <c r="H581" s="37">
        <v>8</v>
      </c>
      <c r="I581" s="37">
        <v>7</v>
      </c>
      <c r="J581" s="37">
        <v>6</v>
      </c>
      <c r="K581" s="37">
        <v>5</v>
      </c>
      <c r="L581" s="37">
        <v>5</v>
      </c>
      <c r="M581" s="37">
        <v>5</v>
      </c>
      <c r="N581" s="37">
        <v>5</v>
      </c>
      <c r="O581" s="37">
        <v>5</v>
      </c>
      <c r="P581" s="37">
        <v>5</v>
      </c>
      <c r="Q581" s="37">
        <v>5</v>
      </c>
      <c r="R581" s="37">
        <v>6</v>
      </c>
      <c r="S581" s="37">
        <v>6</v>
      </c>
      <c r="T581" s="37">
        <v>7</v>
      </c>
      <c r="U581" s="37">
        <v>8</v>
      </c>
      <c r="V581" s="37">
        <v>8</v>
      </c>
      <c r="W581" s="37">
        <v>8</v>
      </c>
      <c r="X581" s="37">
        <v>8</v>
      </c>
      <c r="Z581" s="37">
        <v>8</v>
      </c>
      <c r="AA581" s="37">
        <v>8</v>
      </c>
      <c r="AB581" s="37">
        <v>8</v>
      </c>
      <c r="AC581" s="37">
        <v>8</v>
      </c>
      <c r="AD581" s="37">
        <v>8</v>
      </c>
      <c r="AE581" s="37">
        <v>8</v>
      </c>
      <c r="AF581" s="37">
        <v>8</v>
      </c>
      <c r="AG581" s="37">
        <v>5</v>
      </c>
      <c r="AH581" s="37">
        <v>5</v>
      </c>
      <c r="AI581" s="37">
        <v>5</v>
      </c>
      <c r="AJ581" s="37">
        <v>5</v>
      </c>
      <c r="AK581" s="37">
        <v>5</v>
      </c>
      <c r="AL581" s="37">
        <v>5</v>
      </c>
      <c r="AM581" s="37">
        <v>8</v>
      </c>
      <c r="AN581" s="37">
        <v>8</v>
      </c>
      <c r="AO581" s="37">
        <v>8</v>
      </c>
      <c r="AP581" s="37">
        <v>8</v>
      </c>
      <c r="AQ581" s="37">
        <v>8</v>
      </c>
      <c r="AR581" s="37">
        <v>8</v>
      </c>
      <c r="AS581" s="37">
        <v>8</v>
      </c>
      <c r="AT581" s="37">
        <v>8</v>
      </c>
    </row>
    <row r="582" spans="3:46" s="37" customFormat="1" x14ac:dyDescent="0.25"/>
    <row r="583" spans="3:46" s="37" customFormat="1" x14ac:dyDescent="0.25">
      <c r="C583" s="37" t="s">
        <v>20</v>
      </c>
      <c r="D583" s="37">
        <v>9</v>
      </c>
      <c r="E583" s="37">
        <v>9</v>
      </c>
      <c r="F583" s="37">
        <v>9</v>
      </c>
      <c r="G583" s="37">
        <v>9</v>
      </c>
      <c r="H583" s="37">
        <v>9</v>
      </c>
      <c r="I583" s="37">
        <v>9</v>
      </c>
      <c r="J583" s="37">
        <v>9</v>
      </c>
      <c r="K583" s="37">
        <v>4</v>
      </c>
      <c r="L583" s="37">
        <v>4</v>
      </c>
      <c r="M583" s="37">
        <v>4</v>
      </c>
      <c r="N583" s="37">
        <v>4</v>
      </c>
      <c r="O583" s="37">
        <v>4</v>
      </c>
      <c r="P583" s="37">
        <v>4</v>
      </c>
      <c r="Q583" s="37">
        <v>8</v>
      </c>
      <c r="R583" s="37">
        <v>9</v>
      </c>
      <c r="S583" s="37">
        <v>10</v>
      </c>
      <c r="T583" s="37">
        <v>10</v>
      </c>
      <c r="U583" s="37">
        <v>10</v>
      </c>
      <c r="V583" s="37">
        <v>10</v>
      </c>
      <c r="W583" s="37">
        <v>10</v>
      </c>
      <c r="X583" s="37">
        <v>10</v>
      </c>
      <c r="Z583" s="37">
        <v>9</v>
      </c>
      <c r="AA583" s="37">
        <v>9</v>
      </c>
      <c r="AB583" s="37">
        <v>9</v>
      </c>
      <c r="AC583" s="37">
        <v>9</v>
      </c>
      <c r="AD583" s="37">
        <v>9</v>
      </c>
      <c r="AE583" s="37">
        <v>9</v>
      </c>
      <c r="AF583" s="37">
        <v>9</v>
      </c>
      <c r="AG583" s="37">
        <v>4</v>
      </c>
      <c r="AH583" s="37">
        <v>4</v>
      </c>
      <c r="AI583" s="37">
        <v>4</v>
      </c>
      <c r="AJ583" s="37">
        <v>4</v>
      </c>
      <c r="AK583" s="37">
        <v>4</v>
      </c>
      <c r="AL583" s="37">
        <v>4</v>
      </c>
      <c r="AM583" s="37">
        <v>10</v>
      </c>
      <c r="AN583" s="37">
        <v>10</v>
      </c>
      <c r="AO583" s="37">
        <v>10</v>
      </c>
      <c r="AP583" s="37">
        <v>10</v>
      </c>
      <c r="AQ583" s="37">
        <v>10</v>
      </c>
      <c r="AR583" s="37">
        <v>10</v>
      </c>
      <c r="AS583" s="37">
        <v>10</v>
      </c>
      <c r="AT583" s="37">
        <v>10</v>
      </c>
    </row>
    <row r="584" spans="3:46" s="37" customFormat="1" x14ac:dyDescent="0.25"/>
    <row r="585" spans="3:46" s="37" customFormat="1" x14ac:dyDescent="0.25">
      <c r="C585" s="37" t="s">
        <v>21</v>
      </c>
      <c r="D585" s="37">
        <v>11</v>
      </c>
      <c r="E585" s="37">
        <v>11</v>
      </c>
      <c r="F585" s="37">
        <v>11</v>
      </c>
      <c r="G585" s="37">
        <v>11</v>
      </c>
      <c r="H585" s="37">
        <v>11</v>
      </c>
      <c r="I585" s="37">
        <v>10</v>
      </c>
      <c r="J585" s="37">
        <v>9</v>
      </c>
      <c r="K585" s="37">
        <v>5</v>
      </c>
      <c r="L585" s="37">
        <v>5</v>
      </c>
      <c r="M585" s="37">
        <v>5</v>
      </c>
      <c r="N585" s="37">
        <v>5</v>
      </c>
      <c r="O585" s="37">
        <v>5</v>
      </c>
      <c r="P585" s="37">
        <v>5</v>
      </c>
      <c r="Q585" s="37">
        <v>7</v>
      </c>
      <c r="R585" s="37">
        <v>8</v>
      </c>
      <c r="S585" s="37">
        <v>9</v>
      </c>
      <c r="T585" s="37">
        <v>10</v>
      </c>
      <c r="U585" s="37">
        <v>10</v>
      </c>
      <c r="V585" s="37">
        <v>10</v>
      </c>
      <c r="W585" s="37">
        <v>10</v>
      </c>
      <c r="X585" s="37">
        <v>10</v>
      </c>
      <c r="Z585" s="37">
        <v>11</v>
      </c>
      <c r="AA585" s="37">
        <v>11</v>
      </c>
      <c r="AB585" s="37">
        <v>11</v>
      </c>
      <c r="AC585" s="37">
        <v>11</v>
      </c>
      <c r="AD585" s="37">
        <v>11</v>
      </c>
      <c r="AE585" s="37">
        <v>11</v>
      </c>
      <c r="AF585" s="37">
        <v>11</v>
      </c>
      <c r="AG585" s="37">
        <v>5</v>
      </c>
      <c r="AH585" s="37">
        <v>5</v>
      </c>
      <c r="AI585" s="37">
        <v>5</v>
      </c>
      <c r="AJ585" s="37">
        <v>5</v>
      </c>
      <c r="AK585" s="37">
        <v>5</v>
      </c>
      <c r="AL585" s="37">
        <v>5</v>
      </c>
      <c r="AM585" s="37">
        <v>11</v>
      </c>
      <c r="AN585" s="37">
        <v>11</v>
      </c>
      <c r="AO585" s="37">
        <v>11</v>
      </c>
      <c r="AP585" s="37">
        <v>11</v>
      </c>
      <c r="AQ585" s="37">
        <v>11</v>
      </c>
      <c r="AR585" s="37">
        <v>11</v>
      </c>
      <c r="AS585" s="37">
        <v>11</v>
      </c>
      <c r="AT585" s="37">
        <v>11</v>
      </c>
    </row>
    <row r="586" spans="3:46" s="37" customFormat="1" x14ac:dyDescent="0.25"/>
    <row r="587" spans="3:46" s="37" customFormat="1" x14ac:dyDescent="0.25">
      <c r="C587" s="37" t="s">
        <v>20</v>
      </c>
      <c r="D587" s="37">
        <v>9</v>
      </c>
      <c r="E587" s="37">
        <v>9</v>
      </c>
      <c r="F587" s="37">
        <v>9</v>
      </c>
      <c r="G587" s="37">
        <v>9</v>
      </c>
      <c r="H587" s="37">
        <v>9</v>
      </c>
      <c r="I587" s="37">
        <v>9</v>
      </c>
      <c r="J587" s="37">
        <v>9</v>
      </c>
      <c r="K587" s="37">
        <v>3</v>
      </c>
      <c r="L587" s="37">
        <v>3</v>
      </c>
      <c r="M587" s="37">
        <v>3</v>
      </c>
      <c r="N587" s="37">
        <v>3</v>
      </c>
      <c r="O587" s="37">
        <v>3</v>
      </c>
      <c r="P587" s="37">
        <v>3</v>
      </c>
      <c r="Q587" s="37">
        <v>5</v>
      </c>
      <c r="R587" s="37">
        <v>6</v>
      </c>
      <c r="S587" s="37">
        <v>6</v>
      </c>
      <c r="T587" s="37">
        <v>7</v>
      </c>
      <c r="U587" s="37">
        <v>7</v>
      </c>
      <c r="V587" s="37">
        <v>7</v>
      </c>
      <c r="W587" s="37">
        <v>7</v>
      </c>
      <c r="X587" s="37">
        <v>7</v>
      </c>
      <c r="Z587" s="37">
        <v>9</v>
      </c>
      <c r="AA587" s="37">
        <v>9</v>
      </c>
      <c r="AB587" s="37">
        <v>9</v>
      </c>
      <c r="AC587" s="37">
        <v>9</v>
      </c>
      <c r="AD587" s="37">
        <v>9</v>
      </c>
      <c r="AE587" s="37">
        <v>9</v>
      </c>
      <c r="AF587" s="37">
        <v>9</v>
      </c>
      <c r="AG587" s="37">
        <v>3</v>
      </c>
      <c r="AH587" s="37">
        <v>3</v>
      </c>
      <c r="AI587" s="37">
        <v>3</v>
      </c>
      <c r="AJ587" s="37">
        <v>3</v>
      </c>
      <c r="AK587" s="37">
        <v>3</v>
      </c>
      <c r="AL587" s="37">
        <v>3</v>
      </c>
      <c r="AM587" s="37">
        <v>7</v>
      </c>
      <c r="AN587" s="37">
        <v>7</v>
      </c>
      <c r="AO587" s="37">
        <v>7</v>
      </c>
      <c r="AP587" s="37">
        <v>7</v>
      </c>
      <c r="AQ587" s="37">
        <v>7</v>
      </c>
      <c r="AR587" s="37">
        <v>7</v>
      </c>
      <c r="AS587" s="37">
        <v>7</v>
      </c>
      <c r="AT587" s="37">
        <v>7</v>
      </c>
    </row>
    <row r="588" spans="3:46" s="37" customFormat="1" x14ac:dyDescent="0.25"/>
    <row r="589" spans="3:46" s="37" customFormat="1" x14ac:dyDescent="0.25">
      <c r="C589" s="37" t="s">
        <v>21</v>
      </c>
      <c r="D589" s="37">
        <v>10</v>
      </c>
      <c r="E589" s="37">
        <v>10</v>
      </c>
      <c r="F589" s="37">
        <v>10</v>
      </c>
      <c r="G589" s="37">
        <v>10</v>
      </c>
      <c r="H589" s="37">
        <v>10</v>
      </c>
      <c r="I589" s="37">
        <v>10</v>
      </c>
      <c r="J589" s="37">
        <v>9</v>
      </c>
      <c r="K589" s="37">
        <v>5</v>
      </c>
      <c r="L589" s="37">
        <v>5</v>
      </c>
      <c r="M589" s="37">
        <v>5</v>
      </c>
      <c r="N589" s="37">
        <v>5</v>
      </c>
      <c r="O589" s="37">
        <v>5</v>
      </c>
      <c r="P589" s="37">
        <v>5</v>
      </c>
      <c r="Q589" s="37">
        <v>7</v>
      </c>
      <c r="R589" s="37">
        <v>8</v>
      </c>
      <c r="S589" s="37">
        <v>9</v>
      </c>
      <c r="T589" s="37">
        <v>10</v>
      </c>
      <c r="U589" s="37">
        <v>10</v>
      </c>
      <c r="V589" s="37">
        <v>10</v>
      </c>
      <c r="W589" s="37">
        <v>10</v>
      </c>
      <c r="X589" s="37">
        <v>10</v>
      </c>
      <c r="Z589" s="37">
        <v>10</v>
      </c>
      <c r="AA589" s="37">
        <v>10</v>
      </c>
      <c r="AB589" s="37">
        <v>10</v>
      </c>
      <c r="AC589" s="37">
        <v>10</v>
      </c>
      <c r="AD589" s="37">
        <v>10</v>
      </c>
      <c r="AE589" s="37">
        <v>10</v>
      </c>
      <c r="AF589" s="37">
        <v>10</v>
      </c>
      <c r="AG589" s="37">
        <v>5</v>
      </c>
      <c r="AH589" s="37">
        <v>5</v>
      </c>
      <c r="AI589" s="37">
        <v>5</v>
      </c>
      <c r="AJ589" s="37">
        <v>5</v>
      </c>
      <c r="AK589" s="37">
        <v>5</v>
      </c>
      <c r="AL589" s="37">
        <v>5</v>
      </c>
      <c r="AM589" s="37">
        <v>11</v>
      </c>
      <c r="AN589" s="37">
        <v>11</v>
      </c>
      <c r="AO589" s="37">
        <v>11</v>
      </c>
      <c r="AP589" s="37">
        <v>11</v>
      </c>
      <c r="AQ589" s="37">
        <v>11</v>
      </c>
      <c r="AR589" s="37">
        <v>11</v>
      </c>
      <c r="AS589" s="37">
        <v>11</v>
      </c>
      <c r="AT589" s="37">
        <v>11</v>
      </c>
    </row>
    <row r="590" spans="3:46" s="37" customFormat="1" x14ac:dyDescent="0.25"/>
    <row r="591" spans="3:46" s="37" customFormat="1" x14ac:dyDescent="0.25">
      <c r="C591" s="37" t="s">
        <v>20</v>
      </c>
      <c r="D591" s="37">
        <v>9</v>
      </c>
      <c r="E591" s="37">
        <v>9</v>
      </c>
      <c r="F591" s="37">
        <v>9</v>
      </c>
      <c r="G591" s="37">
        <v>9</v>
      </c>
      <c r="H591" s="37">
        <v>9</v>
      </c>
      <c r="I591" s="37">
        <v>9</v>
      </c>
      <c r="J591" s="37">
        <v>9</v>
      </c>
      <c r="K591" s="37">
        <v>9</v>
      </c>
      <c r="L591" s="37">
        <v>9</v>
      </c>
      <c r="M591" s="37">
        <v>8</v>
      </c>
      <c r="N591" s="37">
        <v>7</v>
      </c>
      <c r="O591" s="37">
        <v>7</v>
      </c>
      <c r="P591" s="37">
        <v>8</v>
      </c>
      <c r="Q591" s="37">
        <v>9</v>
      </c>
      <c r="R591" s="37">
        <v>9</v>
      </c>
      <c r="S591" s="37">
        <v>9</v>
      </c>
      <c r="T591" s="37">
        <v>9</v>
      </c>
      <c r="U591" s="37">
        <v>9</v>
      </c>
      <c r="V591" s="37">
        <v>9</v>
      </c>
      <c r="W591" s="37">
        <v>9</v>
      </c>
      <c r="X591" s="37">
        <v>9</v>
      </c>
      <c r="Z591" s="37">
        <v>9</v>
      </c>
      <c r="AA591" s="37">
        <v>9</v>
      </c>
      <c r="AB591" s="37">
        <v>9</v>
      </c>
      <c r="AC591" s="37">
        <v>9</v>
      </c>
      <c r="AD591" s="37">
        <v>9</v>
      </c>
      <c r="AE591" s="37">
        <v>9</v>
      </c>
      <c r="AF591" s="37">
        <v>9</v>
      </c>
      <c r="AG591" s="37">
        <v>9</v>
      </c>
      <c r="AH591" s="37">
        <v>9</v>
      </c>
      <c r="AI591" s="37">
        <v>9</v>
      </c>
      <c r="AJ591" s="37">
        <v>9</v>
      </c>
      <c r="AK591" s="37">
        <v>9</v>
      </c>
      <c r="AL591" s="37">
        <v>9</v>
      </c>
      <c r="AM591" s="37">
        <v>9</v>
      </c>
      <c r="AN591" s="37">
        <v>9</v>
      </c>
      <c r="AO591" s="37">
        <v>9</v>
      </c>
      <c r="AP591" s="37">
        <v>9</v>
      </c>
      <c r="AQ591" s="37">
        <v>9</v>
      </c>
      <c r="AR591" s="37">
        <v>9</v>
      </c>
      <c r="AS591" s="37">
        <v>9</v>
      </c>
      <c r="AT591" s="37">
        <v>9</v>
      </c>
    </row>
    <row r="592" spans="3:46" s="37" customFormat="1" x14ac:dyDescent="0.25"/>
    <row r="593" spans="3:46" s="37" customFormat="1" x14ac:dyDescent="0.25">
      <c r="C593" s="37" t="s">
        <v>21</v>
      </c>
      <c r="D593" s="37">
        <v>13</v>
      </c>
      <c r="E593" s="37">
        <v>13</v>
      </c>
      <c r="F593" s="37">
        <v>13</v>
      </c>
      <c r="G593" s="37">
        <v>13</v>
      </c>
      <c r="H593" s="37">
        <v>13</v>
      </c>
      <c r="I593" s="37">
        <v>12</v>
      </c>
      <c r="J593" s="37">
        <v>12</v>
      </c>
      <c r="K593" s="37">
        <v>12</v>
      </c>
      <c r="L593" s="37">
        <v>12</v>
      </c>
      <c r="M593" s="37">
        <v>12</v>
      </c>
      <c r="N593" s="37">
        <v>12</v>
      </c>
      <c r="O593" s="37">
        <v>12</v>
      </c>
      <c r="P593" s="37">
        <v>12</v>
      </c>
      <c r="Q593" s="37">
        <v>12</v>
      </c>
      <c r="R593" s="37">
        <v>12</v>
      </c>
      <c r="S593" s="37">
        <v>12</v>
      </c>
      <c r="T593" s="37">
        <v>12</v>
      </c>
      <c r="U593" s="37">
        <v>12</v>
      </c>
      <c r="V593" s="37">
        <v>11</v>
      </c>
      <c r="W593" s="37">
        <v>11</v>
      </c>
      <c r="X593" s="37">
        <v>11</v>
      </c>
      <c r="Z593" s="37">
        <v>13</v>
      </c>
      <c r="AA593" s="37">
        <v>13</v>
      </c>
      <c r="AB593" s="37">
        <v>13</v>
      </c>
      <c r="AC593" s="37">
        <v>13</v>
      </c>
      <c r="AD593" s="37">
        <v>13</v>
      </c>
      <c r="AE593" s="37">
        <v>13</v>
      </c>
      <c r="AF593" s="37">
        <v>13</v>
      </c>
      <c r="AG593" s="37">
        <v>12</v>
      </c>
      <c r="AH593" s="37">
        <v>12</v>
      </c>
      <c r="AI593" s="37">
        <v>12</v>
      </c>
      <c r="AJ593" s="37">
        <v>12</v>
      </c>
      <c r="AK593" s="37">
        <v>12</v>
      </c>
      <c r="AL593" s="37">
        <v>12</v>
      </c>
      <c r="AM593" s="37">
        <v>12</v>
      </c>
      <c r="AN593" s="37">
        <v>12</v>
      </c>
      <c r="AO593" s="37">
        <v>12</v>
      </c>
      <c r="AP593" s="37">
        <v>12</v>
      </c>
      <c r="AQ593" s="37">
        <v>12</v>
      </c>
      <c r="AR593" s="37">
        <v>12</v>
      </c>
      <c r="AS593" s="37">
        <v>12</v>
      </c>
      <c r="AT593" s="37">
        <v>12</v>
      </c>
    </row>
    <row r="594" spans="3:46" s="37" customFormat="1" x14ac:dyDescent="0.25"/>
    <row r="595" spans="3:46" s="37" customFormat="1" x14ac:dyDescent="0.25">
      <c r="C595" s="37" t="s">
        <v>20</v>
      </c>
      <c r="D595" s="37">
        <v>7</v>
      </c>
      <c r="E595" s="37">
        <v>7</v>
      </c>
      <c r="F595" s="37">
        <v>7</v>
      </c>
      <c r="G595" s="37">
        <v>7</v>
      </c>
      <c r="H595" s="37">
        <v>7</v>
      </c>
      <c r="I595" s="37">
        <v>7</v>
      </c>
      <c r="J595" s="37">
        <v>6</v>
      </c>
      <c r="K595" s="37">
        <v>4</v>
      </c>
      <c r="L595" s="37">
        <v>4</v>
      </c>
      <c r="M595" s="37">
        <v>4</v>
      </c>
      <c r="N595" s="37">
        <v>4</v>
      </c>
      <c r="O595" s="37">
        <v>4</v>
      </c>
      <c r="P595" s="37">
        <v>4</v>
      </c>
      <c r="Q595" s="37">
        <v>8</v>
      </c>
      <c r="R595" s="37">
        <v>9</v>
      </c>
      <c r="S595" s="37">
        <v>10</v>
      </c>
      <c r="T595" s="37">
        <v>10</v>
      </c>
      <c r="U595" s="37">
        <v>10</v>
      </c>
      <c r="V595" s="37">
        <v>10</v>
      </c>
      <c r="W595" s="37">
        <v>10</v>
      </c>
      <c r="X595" s="37">
        <v>10</v>
      </c>
      <c r="Z595" s="37">
        <v>7</v>
      </c>
      <c r="AA595" s="37">
        <v>7</v>
      </c>
      <c r="AB595" s="37">
        <v>7</v>
      </c>
      <c r="AC595" s="37">
        <v>7</v>
      </c>
      <c r="AD595" s="37">
        <v>7</v>
      </c>
      <c r="AE595" s="37">
        <v>7</v>
      </c>
      <c r="AF595" s="37">
        <v>7</v>
      </c>
      <c r="AG595" s="37">
        <v>4</v>
      </c>
      <c r="AH595" s="37">
        <v>4</v>
      </c>
      <c r="AI595" s="37">
        <v>4</v>
      </c>
      <c r="AJ595" s="37">
        <v>4</v>
      </c>
      <c r="AK595" s="37">
        <v>4</v>
      </c>
      <c r="AL595" s="37">
        <v>4</v>
      </c>
      <c r="AM595" s="37">
        <v>10</v>
      </c>
      <c r="AN595" s="37">
        <v>10</v>
      </c>
      <c r="AO595" s="37">
        <v>10</v>
      </c>
      <c r="AP595" s="37">
        <v>10</v>
      </c>
      <c r="AQ595" s="37">
        <v>10</v>
      </c>
      <c r="AR595" s="37">
        <v>10</v>
      </c>
      <c r="AS595" s="37">
        <v>10</v>
      </c>
      <c r="AT595" s="37">
        <v>10</v>
      </c>
    </row>
    <row r="596" spans="3:46" s="37" customFormat="1" x14ac:dyDescent="0.25"/>
    <row r="597" spans="3:46" s="37" customFormat="1" x14ac:dyDescent="0.25">
      <c r="C597" s="37" t="s">
        <v>21</v>
      </c>
      <c r="D597" s="37">
        <v>12</v>
      </c>
      <c r="E597" s="37">
        <v>12</v>
      </c>
      <c r="F597" s="37">
        <v>12</v>
      </c>
      <c r="G597" s="37">
        <v>12</v>
      </c>
      <c r="H597" s="37">
        <v>12</v>
      </c>
      <c r="I597" s="37">
        <v>11</v>
      </c>
      <c r="J597" s="37">
        <v>10</v>
      </c>
      <c r="K597" s="37">
        <v>5</v>
      </c>
      <c r="L597" s="37">
        <v>5</v>
      </c>
      <c r="M597" s="37">
        <v>5</v>
      </c>
      <c r="N597" s="37">
        <v>5</v>
      </c>
      <c r="O597" s="37">
        <v>5</v>
      </c>
      <c r="P597" s="37">
        <v>5</v>
      </c>
      <c r="Q597" s="37">
        <v>7</v>
      </c>
      <c r="R597" s="37">
        <v>8</v>
      </c>
      <c r="S597" s="37">
        <v>9</v>
      </c>
      <c r="T597" s="37">
        <v>10</v>
      </c>
      <c r="U597" s="37">
        <v>10</v>
      </c>
      <c r="V597" s="37">
        <v>10</v>
      </c>
      <c r="W597" s="37">
        <v>10</v>
      </c>
      <c r="X597" s="37">
        <v>10</v>
      </c>
      <c r="Z597" s="37">
        <v>12</v>
      </c>
      <c r="AA597" s="37">
        <v>12</v>
      </c>
      <c r="AB597" s="37">
        <v>12</v>
      </c>
      <c r="AC597" s="37">
        <v>12</v>
      </c>
      <c r="AD597" s="37">
        <v>12</v>
      </c>
      <c r="AE597" s="37">
        <v>12</v>
      </c>
      <c r="AF597" s="37">
        <v>12</v>
      </c>
      <c r="AG597" s="37">
        <v>5</v>
      </c>
      <c r="AH597" s="37">
        <v>5</v>
      </c>
      <c r="AI597" s="37">
        <v>5</v>
      </c>
      <c r="AJ597" s="37">
        <v>5</v>
      </c>
      <c r="AK597" s="37">
        <v>5</v>
      </c>
      <c r="AL597" s="37">
        <v>5</v>
      </c>
      <c r="AM597" s="37">
        <v>10</v>
      </c>
      <c r="AN597" s="37">
        <v>10</v>
      </c>
      <c r="AO597" s="37">
        <v>10</v>
      </c>
      <c r="AP597" s="37">
        <v>10</v>
      </c>
      <c r="AQ597" s="37">
        <v>10</v>
      </c>
      <c r="AR597" s="37">
        <v>10</v>
      </c>
      <c r="AS597" s="37">
        <v>10</v>
      </c>
      <c r="AT597" s="37">
        <v>10</v>
      </c>
    </row>
    <row r="598" spans="3:46" s="37" customFormat="1" x14ac:dyDescent="0.25"/>
    <row r="599" spans="3:46" s="37" customFormat="1" x14ac:dyDescent="0.25">
      <c r="C599" s="37" t="s">
        <v>20</v>
      </c>
      <c r="D599" s="37">
        <v>9</v>
      </c>
      <c r="E599" s="37">
        <v>9</v>
      </c>
      <c r="F599" s="37">
        <v>9</v>
      </c>
      <c r="G599" s="37">
        <v>9</v>
      </c>
      <c r="H599" s="37">
        <v>9</v>
      </c>
      <c r="I599" s="37">
        <v>9</v>
      </c>
      <c r="J599" s="37">
        <v>9</v>
      </c>
      <c r="K599" s="37">
        <v>3</v>
      </c>
      <c r="L599" s="37">
        <v>3</v>
      </c>
      <c r="M599" s="37">
        <v>3</v>
      </c>
      <c r="N599" s="37">
        <v>3</v>
      </c>
      <c r="O599" s="37">
        <v>3</v>
      </c>
      <c r="P599" s="37">
        <v>3</v>
      </c>
      <c r="Q599" s="37">
        <v>7</v>
      </c>
      <c r="R599" s="37">
        <v>8</v>
      </c>
      <c r="S599" s="37">
        <v>8</v>
      </c>
      <c r="T599" s="37">
        <v>8</v>
      </c>
      <c r="U599" s="37">
        <v>8</v>
      </c>
      <c r="V599" s="37">
        <v>8</v>
      </c>
      <c r="W599" s="37">
        <v>8</v>
      </c>
      <c r="X599" s="37">
        <v>8</v>
      </c>
      <c r="Z599" s="37">
        <v>9</v>
      </c>
      <c r="AA599" s="37">
        <v>9</v>
      </c>
      <c r="AB599" s="37">
        <v>9</v>
      </c>
      <c r="AC599" s="37">
        <v>9</v>
      </c>
      <c r="AD599" s="37">
        <v>9</v>
      </c>
      <c r="AE599" s="37">
        <v>9</v>
      </c>
      <c r="AF599" s="37">
        <v>9</v>
      </c>
      <c r="AG599" s="37">
        <v>3</v>
      </c>
      <c r="AH599" s="37">
        <v>3</v>
      </c>
      <c r="AI599" s="37">
        <v>3</v>
      </c>
      <c r="AJ599" s="37">
        <v>3</v>
      </c>
      <c r="AK599" s="37">
        <v>3</v>
      </c>
      <c r="AL599" s="37">
        <v>3</v>
      </c>
      <c r="AM599" s="37">
        <v>8</v>
      </c>
      <c r="AN599" s="37">
        <v>8</v>
      </c>
      <c r="AO599" s="37">
        <v>8</v>
      </c>
      <c r="AP599" s="37">
        <v>8</v>
      </c>
      <c r="AQ599" s="37">
        <v>8</v>
      </c>
      <c r="AR599" s="37">
        <v>8</v>
      </c>
      <c r="AS599" s="37">
        <v>8</v>
      </c>
      <c r="AT599" s="37">
        <v>8</v>
      </c>
    </row>
    <row r="600" spans="3:46" s="37" customFormat="1" x14ac:dyDescent="0.25"/>
    <row r="601" spans="3:46" s="37" customFormat="1" x14ac:dyDescent="0.25">
      <c r="C601" s="37" t="s">
        <v>21</v>
      </c>
      <c r="D601" s="37">
        <v>11</v>
      </c>
      <c r="E601" s="37">
        <v>11</v>
      </c>
      <c r="F601" s="37">
        <v>11</v>
      </c>
      <c r="G601" s="37">
        <v>11</v>
      </c>
      <c r="H601" s="37">
        <v>11</v>
      </c>
      <c r="I601" s="37">
        <v>10</v>
      </c>
      <c r="J601" s="37">
        <v>9</v>
      </c>
      <c r="K601" s="37">
        <v>5</v>
      </c>
      <c r="L601" s="37">
        <v>5</v>
      </c>
      <c r="M601" s="37">
        <v>5</v>
      </c>
      <c r="N601" s="37">
        <v>5</v>
      </c>
      <c r="O601" s="37">
        <v>5</v>
      </c>
      <c r="P601" s="37">
        <v>5</v>
      </c>
      <c r="Q601" s="37">
        <v>8</v>
      </c>
      <c r="R601" s="37">
        <v>9</v>
      </c>
      <c r="S601" s="37">
        <v>10</v>
      </c>
      <c r="T601" s="37">
        <v>11</v>
      </c>
      <c r="U601" s="37">
        <v>11</v>
      </c>
      <c r="V601" s="37">
        <v>11</v>
      </c>
      <c r="W601" s="37">
        <v>11</v>
      </c>
      <c r="X601" s="37">
        <v>11</v>
      </c>
      <c r="Z601" s="37">
        <v>11</v>
      </c>
      <c r="AA601" s="37">
        <v>11</v>
      </c>
      <c r="AB601" s="37">
        <v>11</v>
      </c>
      <c r="AC601" s="37">
        <v>11</v>
      </c>
      <c r="AD601" s="37">
        <v>11</v>
      </c>
      <c r="AE601" s="37">
        <v>11</v>
      </c>
      <c r="AF601" s="37">
        <v>11</v>
      </c>
      <c r="AG601" s="37">
        <v>5</v>
      </c>
      <c r="AH601" s="37">
        <v>5</v>
      </c>
      <c r="AI601" s="37">
        <v>5</v>
      </c>
      <c r="AJ601" s="37">
        <v>5</v>
      </c>
      <c r="AK601" s="37">
        <v>5</v>
      </c>
      <c r="AL601" s="37">
        <v>5</v>
      </c>
      <c r="AM601" s="37">
        <v>12</v>
      </c>
      <c r="AN601" s="37">
        <v>12</v>
      </c>
      <c r="AO601" s="37">
        <v>12</v>
      </c>
      <c r="AP601" s="37">
        <v>12</v>
      </c>
      <c r="AQ601" s="37">
        <v>12</v>
      </c>
      <c r="AR601" s="37">
        <v>12</v>
      </c>
      <c r="AS601" s="37">
        <v>12</v>
      </c>
      <c r="AT601" s="37">
        <v>12</v>
      </c>
    </row>
    <row r="602" spans="3:46" s="37" customFormat="1" x14ac:dyDescent="0.25"/>
    <row r="603" spans="3:46" s="37" customFormat="1" x14ac:dyDescent="0.25">
      <c r="C603" s="37" t="s">
        <v>20</v>
      </c>
      <c r="D603" s="37">
        <v>9</v>
      </c>
      <c r="E603" s="37">
        <v>9</v>
      </c>
      <c r="F603" s="37">
        <v>9</v>
      </c>
      <c r="G603" s="37">
        <v>9</v>
      </c>
      <c r="H603" s="37">
        <v>9</v>
      </c>
      <c r="I603" s="37">
        <v>9</v>
      </c>
      <c r="J603" s="37">
        <v>9</v>
      </c>
      <c r="K603" s="37">
        <v>3</v>
      </c>
      <c r="L603" s="37">
        <v>3</v>
      </c>
      <c r="M603" s="37">
        <v>3</v>
      </c>
      <c r="N603" s="37">
        <v>3</v>
      </c>
      <c r="O603" s="37">
        <v>3</v>
      </c>
      <c r="P603" s="37">
        <v>3</v>
      </c>
      <c r="Q603" s="37">
        <v>6</v>
      </c>
      <c r="R603" s="37">
        <v>6</v>
      </c>
      <c r="S603" s="37">
        <v>7</v>
      </c>
      <c r="T603" s="37">
        <v>7</v>
      </c>
      <c r="U603" s="37">
        <v>7</v>
      </c>
      <c r="V603" s="37">
        <v>7</v>
      </c>
      <c r="W603" s="37">
        <v>7</v>
      </c>
      <c r="X603" s="37">
        <v>7</v>
      </c>
      <c r="Z603" s="37">
        <v>9</v>
      </c>
      <c r="AA603" s="37">
        <v>9</v>
      </c>
      <c r="AB603" s="37">
        <v>9</v>
      </c>
      <c r="AC603" s="37">
        <v>9</v>
      </c>
      <c r="AD603" s="37">
        <v>9</v>
      </c>
      <c r="AE603" s="37">
        <v>9</v>
      </c>
      <c r="AF603" s="37">
        <v>9</v>
      </c>
      <c r="AG603" s="37">
        <v>3</v>
      </c>
      <c r="AH603" s="37">
        <v>3</v>
      </c>
      <c r="AI603" s="37">
        <v>3</v>
      </c>
      <c r="AJ603" s="37">
        <v>3</v>
      </c>
      <c r="AK603" s="37">
        <v>3</v>
      </c>
      <c r="AL603" s="37">
        <v>3</v>
      </c>
      <c r="AM603" s="37">
        <v>7</v>
      </c>
      <c r="AN603" s="37">
        <v>7</v>
      </c>
      <c r="AO603" s="37">
        <v>7</v>
      </c>
      <c r="AP603" s="37">
        <v>7</v>
      </c>
      <c r="AQ603" s="37">
        <v>7</v>
      </c>
      <c r="AR603" s="37">
        <v>7</v>
      </c>
      <c r="AS603" s="37">
        <v>7</v>
      </c>
      <c r="AT603" s="37">
        <v>7</v>
      </c>
    </row>
    <row r="604" spans="3:46" s="37" customFormat="1" x14ac:dyDescent="0.25"/>
    <row r="605" spans="3:46" s="37" customFormat="1" x14ac:dyDescent="0.25">
      <c r="C605" s="37" t="s">
        <v>21</v>
      </c>
      <c r="D605" s="37">
        <v>10</v>
      </c>
      <c r="E605" s="37">
        <v>10</v>
      </c>
      <c r="F605" s="37">
        <v>10</v>
      </c>
      <c r="G605" s="37">
        <v>10</v>
      </c>
      <c r="H605" s="37">
        <v>10</v>
      </c>
      <c r="I605" s="37">
        <v>10</v>
      </c>
      <c r="J605" s="37">
        <v>9</v>
      </c>
      <c r="K605" s="37">
        <v>4</v>
      </c>
      <c r="L605" s="37">
        <v>4</v>
      </c>
      <c r="M605" s="37">
        <v>4</v>
      </c>
      <c r="N605" s="37">
        <v>4</v>
      </c>
      <c r="O605" s="37">
        <v>4</v>
      </c>
      <c r="P605" s="37">
        <v>4</v>
      </c>
      <c r="Q605" s="37">
        <v>8</v>
      </c>
      <c r="R605" s="37">
        <v>9</v>
      </c>
      <c r="S605" s="37">
        <v>10</v>
      </c>
      <c r="T605" s="37">
        <v>11</v>
      </c>
      <c r="U605" s="37">
        <v>11</v>
      </c>
      <c r="V605" s="37">
        <v>11</v>
      </c>
      <c r="W605" s="37">
        <v>11</v>
      </c>
      <c r="X605" s="37">
        <v>11</v>
      </c>
      <c r="Z605" s="37">
        <v>10</v>
      </c>
      <c r="AA605" s="37">
        <v>10</v>
      </c>
      <c r="AB605" s="37">
        <v>10</v>
      </c>
      <c r="AC605" s="37">
        <v>10</v>
      </c>
      <c r="AD605" s="37">
        <v>10</v>
      </c>
      <c r="AE605" s="37">
        <v>10</v>
      </c>
      <c r="AF605" s="37">
        <v>10</v>
      </c>
      <c r="AG605" s="37">
        <v>4</v>
      </c>
      <c r="AH605" s="37">
        <v>4</v>
      </c>
      <c r="AI605" s="37">
        <v>4</v>
      </c>
      <c r="AJ605" s="37">
        <v>4</v>
      </c>
      <c r="AK605" s="37">
        <v>4</v>
      </c>
      <c r="AL605" s="37">
        <v>4</v>
      </c>
      <c r="AM605" s="37">
        <v>12</v>
      </c>
      <c r="AN605" s="37">
        <v>12</v>
      </c>
      <c r="AO605" s="37">
        <v>12</v>
      </c>
      <c r="AP605" s="37">
        <v>12</v>
      </c>
      <c r="AQ605" s="37">
        <v>12</v>
      </c>
      <c r="AR605" s="37">
        <v>12</v>
      </c>
      <c r="AS605" s="37">
        <v>12</v>
      </c>
      <c r="AT605" s="37">
        <v>12</v>
      </c>
    </row>
    <row r="606" spans="3:46" s="37" customFormat="1" x14ac:dyDescent="0.25"/>
    <row r="607" spans="3:46" s="37" customFormat="1" x14ac:dyDescent="0.25">
      <c r="C607" s="37" t="s">
        <v>20</v>
      </c>
      <c r="D607" s="37">
        <v>10</v>
      </c>
      <c r="E607" s="37">
        <v>10</v>
      </c>
      <c r="F607" s="37">
        <v>10</v>
      </c>
      <c r="G607" s="37">
        <v>10</v>
      </c>
      <c r="H607" s="37">
        <v>10</v>
      </c>
      <c r="I607" s="37">
        <v>10</v>
      </c>
      <c r="J607" s="37">
        <v>10</v>
      </c>
      <c r="K607" s="37">
        <v>4</v>
      </c>
      <c r="L607" s="37">
        <v>4</v>
      </c>
      <c r="M607" s="37">
        <v>4</v>
      </c>
      <c r="N607" s="37">
        <v>4</v>
      </c>
      <c r="O607" s="37">
        <v>4</v>
      </c>
      <c r="P607" s="37">
        <v>4</v>
      </c>
      <c r="Q607" s="37">
        <v>8</v>
      </c>
      <c r="R607" s="37">
        <v>9</v>
      </c>
      <c r="S607" s="37">
        <v>9</v>
      </c>
      <c r="T607" s="37">
        <v>9</v>
      </c>
      <c r="U607" s="37">
        <v>9</v>
      </c>
      <c r="V607" s="37">
        <v>9</v>
      </c>
      <c r="W607" s="37">
        <v>9</v>
      </c>
      <c r="X607" s="37">
        <v>9</v>
      </c>
      <c r="Z607" s="37">
        <v>10</v>
      </c>
      <c r="AA607" s="37">
        <v>10</v>
      </c>
      <c r="AB607" s="37">
        <v>10</v>
      </c>
      <c r="AC607" s="37">
        <v>10</v>
      </c>
      <c r="AD607" s="37">
        <v>10</v>
      </c>
      <c r="AE607" s="37">
        <v>10</v>
      </c>
      <c r="AF607" s="37">
        <v>10</v>
      </c>
      <c r="AG607" s="37">
        <v>4</v>
      </c>
      <c r="AH607" s="37">
        <v>4</v>
      </c>
      <c r="AI607" s="37">
        <v>4</v>
      </c>
      <c r="AJ607" s="37">
        <v>4</v>
      </c>
      <c r="AK607" s="37">
        <v>4</v>
      </c>
      <c r="AL607" s="37">
        <v>4</v>
      </c>
      <c r="AM607" s="37">
        <v>9</v>
      </c>
      <c r="AN607" s="37">
        <v>9</v>
      </c>
      <c r="AO607" s="37">
        <v>9</v>
      </c>
      <c r="AP607" s="37">
        <v>9</v>
      </c>
      <c r="AQ607" s="37">
        <v>9</v>
      </c>
      <c r="AR607" s="37">
        <v>9</v>
      </c>
      <c r="AS607" s="37">
        <v>9</v>
      </c>
      <c r="AT607" s="37">
        <v>9</v>
      </c>
    </row>
    <row r="608" spans="3:46" s="37" customFormat="1" x14ac:dyDescent="0.25"/>
    <row r="609" spans="3:46" s="37" customFormat="1" x14ac:dyDescent="0.25">
      <c r="C609" s="37" t="s">
        <v>21</v>
      </c>
      <c r="D609" s="37">
        <v>13</v>
      </c>
      <c r="E609" s="37">
        <v>13</v>
      </c>
      <c r="F609" s="37">
        <v>13</v>
      </c>
      <c r="G609" s="37">
        <v>13</v>
      </c>
      <c r="H609" s="37">
        <v>13</v>
      </c>
      <c r="I609" s="37">
        <v>12</v>
      </c>
      <c r="J609" s="37">
        <v>11</v>
      </c>
      <c r="K609" s="37">
        <v>4</v>
      </c>
      <c r="L609" s="37">
        <v>4</v>
      </c>
      <c r="M609" s="37">
        <v>4</v>
      </c>
      <c r="N609" s="37">
        <v>4</v>
      </c>
      <c r="O609" s="37">
        <v>4</v>
      </c>
      <c r="P609" s="37">
        <v>4</v>
      </c>
      <c r="Q609" s="37">
        <v>9</v>
      </c>
      <c r="R609" s="37">
        <v>10</v>
      </c>
      <c r="S609" s="37">
        <v>11</v>
      </c>
      <c r="T609" s="37">
        <v>12</v>
      </c>
      <c r="U609" s="37">
        <v>12</v>
      </c>
      <c r="V609" s="37">
        <v>12</v>
      </c>
      <c r="W609" s="37">
        <v>12</v>
      </c>
      <c r="X609" s="37">
        <v>12</v>
      </c>
      <c r="Z609" s="37">
        <v>13</v>
      </c>
      <c r="AA609" s="37">
        <v>13</v>
      </c>
      <c r="AB609" s="37">
        <v>13</v>
      </c>
      <c r="AC609" s="37">
        <v>13</v>
      </c>
      <c r="AD609" s="37">
        <v>13</v>
      </c>
      <c r="AE609" s="37">
        <v>13</v>
      </c>
      <c r="AF609" s="37">
        <v>13</v>
      </c>
      <c r="AG609" s="37">
        <v>4</v>
      </c>
      <c r="AH609" s="37">
        <v>4</v>
      </c>
      <c r="AI609" s="37">
        <v>4</v>
      </c>
      <c r="AJ609" s="37">
        <v>4</v>
      </c>
      <c r="AK609" s="37">
        <v>4</v>
      </c>
      <c r="AL609" s="37">
        <v>4</v>
      </c>
      <c r="AM609" s="37">
        <v>13</v>
      </c>
      <c r="AN609" s="37">
        <v>13</v>
      </c>
      <c r="AO609" s="37">
        <v>13</v>
      </c>
      <c r="AP609" s="37">
        <v>13</v>
      </c>
      <c r="AQ609" s="37">
        <v>13</v>
      </c>
      <c r="AR609" s="37">
        <v>13</v>
      </c>
      <c r="AS609" s="37">
        <v>13</v>
      </c>
      <c r="AT609" s="37">
        <v>13</v>
      </c>
    </row>
    <row r="610" spans="3:46" s="37" customFormat="1" x14ac:dyDescent="0.25"/>
    <row r="611" spans="3:46" s="37" customFormat="1" x14ac:dyDescent="0.25">
      <c r="C611" s="37" t="s">
        <v>20</v>
      </c>
      <c r="D611" s="37">
        <v>8</v>
      </c>
      <c r="E611" s="37">
        <v>8</v>
      </c>
      <c r="F611" s="37">
        <v>8</v>
      </c>
      <c r="G611" s="37">
        <v>8</v>
      </c>
      <c r="H611" s="37">
        <v>8</v>
      </c>
      <c r="I611" s="37">
        <v>8</v>
      </c>
      <c r="J611" s="37">
        <v>8</v>
      </c>
      <c r="K611" s="37">
        <v>3</v>
      </c>
      <c r="L611" s="37">
        <v>3</v>
      </c>
      <c r="M611" s="37">
        <v>3</v>
      </c>
      <c r="N611" s="37">
        <v>3</v>
      </c>
      <c r="O611" s="37">
        <v>3</v>
      </c>
      <c r="P611" s="37">
        <v>3</v>
      </c>
      <c r="Q611" s="37">
        <v>4</v>
      </c>
      <c r="R611" s="37">
        <v>5</v>
      </c>
      <c r="S611" s="37">
        <v>5</v>
      </c>
      <c r="T611" s="37">
        <v>6</v>
      </c>
      <c r="U611" s="37">
        <v>6</v>
      </c>
      <c r="V611" s="37">
        <v>6</v>
      </c>
      <c r="W611" s="37">
        <v>6</v>
      </c>
      <c r="X611" s="37">
        <v>6</v>
      </c>
      <c r="Z611" s="37">
        <v>8</v>
      </c>
      <c r="AA611" s="37">
        <v>8</v>
      </c>
      <c r="AB611" s="37">
        <v>8</v>
      </c>
      <c r="AC611" s="37">
        <v>8</v>
      </c>
      <c r="AD611" s="37">
        <v>8</v>
      </c>
      <c r="AE611" s="37">
        <v>8</v>
      </c>
      <c r="AF611" s="37">
        <v>8</v>
      </c>
      <c r="AG611" s="37">
        <v>3</v>
      </c>
      <c r="AH611" s="37">
        <v>3</v>
      </c>
      <c r="AI611" s="37">
        <v>3</v>
      </c>
      <c r="AJ611" s="37">
        <v>3</v>
      </c>
      <c r="AK611" s="37">
        <v>3</v>
      </c>
      <c r="AL611" s="37">
        <v>3</v>
      </c>
      <c r="AM611" s="37">
        <v>6</v>
      </c>
      <c r="AN611" s="37">
        <v>6</v>
      </c>
      <c r="AO611" s="37">
        <v>6</v>
      </c>
      <c r="AP611" s="37">
        <v>6</v>
      </c>
      <c r="AQ611" s="37">
        <v>6</v>
      </c>
      <c r="AR611" s="37">
        <v>6</v>
      </c>
      <c r="AS611" s="37">
        <v>6</v>
      </c>
      <c r="AT611" s="37">
        <v>6</v>
      </c>
    </row>
    <row r="612" spans="3:46" s="37" customFormat="1" x14ac:dyDescent="0.25"/>
    <row r="613" spans="3:46" s="37" customFormat="1" x14ac:dyDescent="0.25">
      <c r="C613" s="37" t="s">
        <v>21</v>
      </c>
      <c r="D613" s="37">
        <v>8</v>
      </c>
      <c r="E613" s="37">
        <v>8</v>
      </c>
      <c r="F613" s="37">
        <v>8</v>
      </c>
      <c r="G613" s="37">
        <v>8</v>
      </c>
      <c r="H613" s="37">
        <v>8</v>
      </c>
      <c r="I613" s="37">
        <v>7</v>
      </c>
      <c r="J613" s="37">
        <v>6</v>
      </c>
      <c r="K613" s="37">
        <v>4</v>
      </c>
      <c r="L613" s="37">
        <v>4</v>
      </c>
      <c r="M613" s="37">
        <v>4</v>
      </c>
      <c r="N613" s="37">
        <v>4</v>
      </c>
      <c r="O613" s="37">
        <v>4</v>
      </c>
      <c r="P613" s="37">
        <v>4</v>
      </c>
      <c r="Q613" s="37">
        <v>6</v>
      </c>
      <c r="R613" s="37">
        <v>7</v>
      </c>
      <c r="S613" s="37">
        <v>8</v>
      </c>
      <c r="T613" s="37">
        <v>9</v>
      </c>
      <c r="U613" s="37">
        <v>10</v>
      </c>
      <c r="V613" s="37">
        <v>10</v>
      </c>
      <c r="W613" s="37">
        <v>10</v>
      </c>
      <c r="X613" s="37">
        <v>10</v>
      </c>
      <c r="Z613" s="37">
        <v>8</v>
      </c>
      <c r="AA613" s="37">
        <v>8</v>
      </c>
      <c r="AB613" s="37">
        <v>8</v>
      </c>
      <c r="AC613" s="37">
        <v>8</v>
      </c>
      <c r="AD613" s="37">
        <v>8</v>
      </c>
      <c r="AE613" s="37">
        <v>8</v>
      </c>
      <c r="AF613" s="37">
        <v>8</v>
      </c>
      <c r="AG613" s="37">
        <v>4</v>
      </c>
      <c r="AH613" s="37">
        <v>4</v>
      </c>
      <c r="AI613" s="37">
        <v>4</v>
      </c>
      <c r="AJ613" s="37">
        <v>4</v>
      </c>
      <c r="AK613" s="37">
        <v>4</v>
      </c>
      <c r="AL613" s="37">
        <v>4</v>
      </c>
      <c r="AM613" s="37">
        <v>10</v>
      </c>
      <c r="AN613" s="37">
        <v>10</v>
      </c>
      <c r="AO613" s="37">
        <v>10</v>
      </c>
      <c r="AP613" s="37">
        <v>10</v>
      </c>
      <c r="AQ613" s="37">
        <v>10</v>
      </c>
      <c r="AR613" s="37">
        <v>10</v>
      </c>
      <c r="AS613" s="37">
        <v>10</v>
      </c>
      <c r="AT613" s="37">
        <v>10</v>
      </c>
    </row>
    <row r="614" spans="3:46" s="37" customFormat="1" x14ac:dyDescent="0.25"/>
    <row r="615" spans="3:46" s="37" customFormat="1" x14ac:dyDescent="0.25">
      <c r="C615" s="37" t="s">
        <v>20</v>
      </c>
      <c r="D615" s="37">
        <v>7</v>
      </c>
      <c r="E615" s="37">
        <v>7</v>
      </c>
      <c r="F615" s="37">
        <v>7</v>
      </c>
      <c r="G615" s="37">
        <v>7</v>
      </c>
      <c r="H615" s="37">
        <v>7</v>
      </c>
      <c r="I615" s="37">
        <v>6</v>
      </c>
      <c r="J615" s="37">
        <v>6</v>
      </c>
      <c r="K615" s="37">
        <v>3</v>
      </c>
      <c r="L615" s="37">
        <v>3</v>
      </c>
      <c r="M615" s="37">
        <v>3</v>
      </c>
      <c r="N615" s="37">
        <v>3</v>
      </c>
      <c r="O615" s="37">
        <v>3</v>
      </c>
      <c r="P615" s="37">
        <v>3</v>
      </c>
      <c r="Q615" s="37">
        <v>5</v>
      </c>
      <c r="R615" s="37">
        <v>6</v>
      </c>
      <c r="S615" s="37">
        <v>6</v>
      </c>
      <c r="T615" s="37">
        <v>7</v>
      </c>
      <c r="U615" s="37">
        <v>8</v>
      </c>
      <c r="V615" s="37">
        <v>8</v>
      </c>
      <c r="W615" s="37">
        <v>8</v>
      </c>
      <c r="X615" s="37">
        <v>8</v>
      </c>
      <c r="Z615" s="37">
        <v>7</v>
      </c>
      <c r="AA615" s="37">
        <v>7</v>
      </c>
      <c r="AB615" s="37">
        <v>7</v>
      </c>
      <c r="AC615" s="37">
        <v>7</v>
      </c>
      <c r="AD615" s="37">
        <v>7</v>
      </c>
      <c r="AE615" s="37">
        <v>7</v>
      </c>
      <c r="AF615" s="37">
        <v>7</v>
      </c>
      <c r="AG615" s="37">
        <v>3</v>
      </c>
      <c r="AH615" s="37">
        <v>3</v>
      </c>
      <c r="AI615" s="37">
        <v>3</v>
      </c>
      <c r="AJ615" s="37">
        <v>3</v>
      </c>
      <c r="AK615" s="37">
        <v>3</v>
      </c>
      <c r="AL615" s="37">
        <v>3</v>
      </c>
      <c r="AM615" s="37">
        <v>8</v>
      </c>
      <c r="AN615" s="37">
        <v>8</v>
      </c>
      <c r="AO615" s="37">
        <v>8</v>
      </c>
      <c r="AP615" s="37">
        <v>8</v>
      </c>
      <c r="AQ615" s="37">
        <v>8</v>
      </c>
      <c r="AR615" s="37">
        <v>8</v>
      </c>
      <c r="AS615" s="37">
        <v>8</v>
      </c>
      <c r="AT615" s="37">
        <v>8</v>
      </c>
    </row>
    <row r="616" spans="3:46" s="37" customFormat="1" x14ac:dyDescent="0.25"/>
    <row r="617" spans="3:46" s="37" customFormat="1" x14ac:dyDescent="0.25">
      <c r="C617" s="37" t="s">
        <v>21</v>
      </c>
      <c r="D617" s="37">
        <v>5</v>
      </c>
      <c r="E617" s="37">
        <v>5</v>
      </c>
      <c r="F617" s="37">
        <v>5</v>
      </c>
      <c r="G617" s="37">
        <v>5</v>
      </c>
      <c r="H617" s="37">
        <v>5</v>
      </c>
      <c r="I617" s="37">
        <v>4</v>
      </c>
      <c r="J617" s="37">
        <v>4</v>
      </c>
      <c r="K617" s="37">
        <v>4</v>
      </c>
      <c r="L617" s="37">
        <v>4</v>
      </c>
      <c r="M617" s="37">
        <v>4</v>
      </c>
      <c r="N617" s="37">
        <v>4</v>
      </c>
      <c r="O617" s="37">
        <v>4</v>
      </c>
      <c r="P617" s="37">
        <v>4</v>
      </c>
      <c r="Q617" s="37">
        <v>4</v>
      </c>
      <c r="R617" s="37">
        <v>4</v>
      </c>
      <c r="S617" s="37">
        <v>4</v>
      </c>
      <c r="T617" s="37">
        <v>5</v>
      </c>
      <c r="U617" s="37">
        <v>5</v>
      </c>
      <c r="V617" s="37">
        <v>6</v>
      </c>
      <c r="W617" s="37">
        <v>6</v>
      </c>
      <c r="X617" s="37">
        <v>6</v>
      </c>
      <c r="Z617" s="37">
        <v>5</v>
      </c>
      <c r="AA617" s="37">
        <v>5</v>
      </c>
      <c r="AB617" s="37">
        <v>5</v>
      </c>
      <c r="AC617" s="37">
        <v>5</v>
      </c>
      <c r="AD617" s="37">
        <v>5</v>
      </c>
      <c r="AE617" s="37">
        <v>5</v>
      </c>
      <c r="AF617" s="37">
        <v>5</v>
      </c>
      <c r="AG617" s="37">
        <v>4</v>
      </c>
      <c r="AH617" s="37">
        <v>4</v>
      </c>
      <c r="AI617" s="37">
        <v>4</v>
      </c>
      <c r="AJ617" s="37">
        <v>4</v>
      </c>
      <c r="AK617" s="37">
        <v>4</v>
      </c>
      <c r="AL617" s="37">
        <v>4</v>
      </c>
      <c r="AM617" s="37">
        <v>6</v>
      </c>
      <c r="AN617" s="37">
        <v>6</v>
      </c>
      <c r="AO617" s="37">
        <v>6</v>
      </c>
      <c r="AP617" s="37">
        <v>6</v>
      </c>
      <c r="AQ617" s="37">
        <v>6</v>
      </c>
      <c r="AR617" s="37">
        <v>6</v>
      </c>
      <c r="AS617" s="37">
        <v>6</v>
      </c>
      <c r="AT617" s="37">
        <v>6</v>
      </c>
    </row>
    <row r="618" spans="3:46" s="37" customFormat="1" x14ac:dyDescent="0.25"/>
    <row r="619" spans="3:46" s="37" customFormat="1" x14ac:dyDescent="0.25">
      <c r="C619" s="37" t="s">
        <v>20</v>
      </c>
      <c r="D619" s="37">
        <v>8</v>
      </c>
      <c r="E619" s="37">
        <v>8</v>
      </c>
      <c r="F619" s="37">
        <v>8</v>
      </c>
      <c r="G619" s="37">
        <v>8</v>
      </c>
      <c r="H619" s="37">
        <v>8</v>
      </c>
      <c r="I619" s="37">
        <v>8</v>
      </c>
      <c r="J619" s="37">
        <v>8</v>
      </c>
      <c r="K619" s="37">
        <v>8</v>
      </c>
      <c r="L619" s="37">
        <v>7</v>
      </c>
      <c r="M619" s="37">
        <v>6</v>
      </c>
      <c r="N619" s="37">
        <v>6</v>
      </c>
      <c r="O619" s="37">
        <v>6</v>
      </c>
      <c r="P619" s="37">
        <v>7</v>
      </c>
      <c r="Q619" s="37">
        <v>8</v>
      </c>
      <c r="R619" s="37">
        <v>9</v>
      </c>
      <c r="S619" s="37">
        <v>9</v>
      </c>
      <c r="T619" s="37">
        <v>9</v>
      </c>
      <c r="U619" s="37">
        <v>9</v>
      </c>
      <c r="V619" s="37">
        <v>9</v>
      </c>
      <c r="W619" s="37">
        <v>9</v>
      </c>
      <c r="X619" s="37">
        <v>9</v>
      </c>
      <c r="Z619" s="37">
        <v>8</v>
      </c>
      <c r="AA619" s="37">
        <v>8</v>
      </c>
      <c r="AB619" s="37">
        <v>8</v>
      </c>
      <c r="AC619" s="37">
        <v>8</v>
      </c>
      <c r="AD619" s="37">
        <v>8</v>
      </c>
      <c r="AE619" s="37">
        <v>8</v>
      </c>
      <c r="AF619" s="37">
        <v>8</v>
      </c>
      <c r="AG619" s="37">
        <v>8</v>
      </c>
      <c r="AH619" s="37">
        <v>8</v>
      </c>
      <c r="AI619" s="37">
        <v>8</v>
      </c>
      <c r="AJ619" s="37">
        <v>8</v>
      </c>
      <c r="AK619" s="37">
        <v>8</v>
      </c>
      <c r="AL619" s="37">
        <v>8</v>
      </c>
      <c r="AM619" s="37">
        <v>9</v>
      </c>
      <c r="AN619" s="37">
        <v>9</v>
      </c>
      <c r="AO619" s="37">
        <v>9</v>
      </c>
      <c r="AP619" s="37">
        <v>9</v>
      </c>
      <c r="AQ619" s="37">
        <v>9</v>
      </c>
      <c r="AR619" s="37">
        <v>9</v>
      </c>
      <c r="AS619" s="37">
        <v>9</v>
      </c>
      <c r="AT619" s="37">
        <v>9</v>
      </c>
    </row>
    <row r="620" spans="3:46" s="37" customFormat="1" x14ac:dyDescent="0.25"/>
    <row r="621" spans="3:46" s="37" customFormat="1" x14ac:dyDescent="0.25">
      <c r="C621" s="37" t="s">
        <v>21</v>
      </c>
      <c r="D621" s="37">
        <v>12</v>
      </c>
      <c r="E621" s="37">
        <v>12</v>
      </c>
      <c r="F621" s="37">
        <v>12</v>
      </c>
      <c r="G621" s="37">
        <v>12</v>
      </c>
      <c r="H621" s="37">
        <v>12</v>
      </c>
      <c r="I621" s="37">
        <v>11</v>
      </c>
      <c r="J621" s="37">
        <v>11</v>
      </c>
      <c r="K621" s="37">
        <v>11</v>
      </c>
      <c r="L621" s="37">
        <v>11</v>
      </c>
      <c r="M621" s="37">
        <v>11</v>
      </c>
      <c r="N621" s="37">
        <v>11</v>
      </c>
      <c r="O621" s="37">
        <v>11</v>
      </c>
      <c r="P621" s="37">
        <v>11</v>
      </c>
      <c r="Q621" s="37">
        <v>11</v>
      </c>
      <c r="R621" s="37">
        <v>11</v>
      </c>
      <c r="S621" s="37">
        <v>11</v>
      </c>
      <c r="T621" s="37">
        <v>11</v>
      </c>
      <c r="U621" s="37">
        <v>11</v>
      </c>
      <c r="V621" s="37">
        <v>10</v>
      </c>
      <c r="W621" s="37">
        <v>10</v>
      </c>
      <c r="X621" s="37">
        <v>10</v>
      </c>
      <c r="Z621" s="37">
        <v>12</v>
      </c>
      <c r="AA621" s="37">
        <v>12</v>
      </c>
      <c r="AB621" s="37">
        <v>12</v>
      </c>
      <c r="AC621" s="37">
        <v>12</v>
      </c>
      <c r="AD621" s="37">
        <v>12</v>
      </c>
      <c r="AE621" s="37">
        <v>12</v>
      </c>
      <c r="AF621" s="37">
        <v>12</v>
      </c>
      <c r="AG621" s="37">
        <v>11</v>
      </c>
      <c r="AH621" s="37">
        <v>11</v>
      </c>
      <c r="AI621" s="37">
        <v>11</v>
      </c>
      <c r="AJ621" s="37">
        <v>11</v>
      </c>
      <c r="AK621" s="37">
        <v>11</v>
      </c>
      <c r="AL621" s="37">
        <v>11</v>
      </c>
      <c r="AM621" s="37">
        <v>11</v>
      </c>
      <c r="AN621" s="37">
        <v>11</v>
      </c>
      <c r="AO621" s="37">
        <v>11</v>
      </c>
      <c r="AP621" s="37">
        <v>11</v>
      </c>
      <c r="AQ621" s="37">
        <v>11</v>
      </c>
      <c r="AR621" s="37">
        <v>11</v>
      </c>
      <c r="AS621" s="37">
        <v>11</v>
      </c>
      <c r="AT621" s="37">
        <v>11</v>
      </c>
    </row>
    <row r="622" spans="3:46" s="37" customFormat="1" x14ac:dyDescent="0.25"/>
    <row r="623" spans="3:46" s="37" customFormat="1" x14ac:dyDescent="0.25">
      <c r="C623" s="37" t="s">
        <v>20</v>
      </c>
      <c r="D623" s="37">
        <v>7</v>
      </c>
      <c r="E623" s="37">
        <v>7</v>
      </c>
      <c r="F623" s="37">
        <v>7</v>
      </c>
      <c r="G623" s="37">
        <v>7</v>
      </c>
      <c r="H623" s="37">
        <v>7</v>
      </c>
      <c r="I623" s="37">
        <v>7</v>
      </c>
      <c r="J623" s="37">
        <v>7</v>
      </c>
      <c r="K623" s="37">
        <v>6</v>
      </c>
      <c r="L623" s="37">
        <v>6</v>
      </c>
      <c r="M623" s="37">
        <v>5</v>
      </c>
      <c r="N623" s="37">
        <v>5</v>
      </c>
      <c r="O623" s="37">
        <v>6</v>
      </c>
      <c r="P623" s="37">
        <v>7</v>
      </c>
      <c r="Q623" s="37">
        <v>8</v>
      </c>
      <c r="R623" s="37">
        <v>9</v>
      </c>
      <c r="S623" s="37">
        <v>9</v>
      </c>
      <c r="T623" s="37">
        <v>9</v>
      </c>
      <c r="U623" s="37">
        <v>9</v>
      </c>
      <c r="V623" s="37">
        <v>9</v>
      </c>
      <c r="W623" s="37">
        <v>9</v>
      </c>
      <c r="X623" s="37">
        <v>9</v>
      </c>
      <c r="Z623" s="37">
        <v>7</v>
      </c>
      <c r="AA623" s="37">
        <v>7</v>
      </c>
      <c r="AB623" s="37">
        <v>7</v>
      </c>
      <c r="AC623" s="37">
        <v>7</v>
      </c>
      <c r="AD623" s="37">
        <v>7</v>
      </c>
      <c r="AE623" s="37">
        <v>7</v>
      </c>
      <c r="AF623" s="37">
        <v>7</v>
      </c>
      <c r="AG623" s="37">
        <v>7</v>
      </c>
      <c r="AH623" s="37">
        <v>7</v>
      </c>
      <c r="AI623" s="37">
        <v>7</v>
      </c>
      <c r="AJ623" s="37">
        <v>7</v>
      </c>
      <c r="AK623" s="37">
        <v>7</v>
      </c>
      <c r="AL623" s="37">
        <v>7</v>
      </c>
      <c r="AM623" s="37">
        <v>9</v>
      </c>
      <c r="AN623" s="37">
        <v>9</v>
      </c>
      <c r="AO623" s="37">
        <v>9</v>
      </c>
      <c r="AP623" s="37">
        <v>9</v>
      </c>
      <c r="AQ623" s="37">
        <v>9</v>
      </c>
      <c r="AR623" s="37">
        <v>9</v>
      </c>
      <c r="AS623" s="37">
        <v>9</v>
      </c>
      <c r="AT623" s="37">
        <v>9</v>
      </c>
    </row>
    <row r="624" spans="3:46" s="37" customFormat="1" x14ac:dyDescent="0.25"/>
    <row r="625" spans="3:46" s="37" customFormat="1" x14ac:dyDescent="0.25">
      <c r="C625" s="37" t="s">
        <v>21</v>
      </c>
      <c r="D625" s="37">
        <v>12</v>
      </c>
      <c r="E625" s="37">
        <v>12</v>
      </c>
      <c r="F625" s="37">
        <v>12</v>
      </c>
      <c r="G625" s="37">
        <v>12</v>
      </c>
      <c r="H625" s="37">
        <v>12</v>
      </c>
      <c r="I625" s="37">
        <v>11</v>
      </c>
      <c r="J625" s="37">
        <v>10</v>
      </c>
      <c r="K625" s="37">
        <v>9</v>
      </c>
      <c r="L625" s="37">
        <v>9</v>
      </c>
      <c r="M625" s="37">
        <v>9</v>
      </c>
      <c r="N625" s="37">
        <v>9</v>
      </c>
      <c r="O625" s="37">
        <v>9</v>
      </c>
      <c r="P625" s="37">
        <v>9</v>
      </c>
      <c r="Q625" s="37">
        <v>9</v>
      </c>
      <c r="R625" s="37">
        <v>9</v>
      </c>
      <c r="S625" s="37">
        <v>9</v>
      </c>
      <c r="T625" s="37">
        <v>9</v>
      </c>
      <c r="U625" s="37">
        <v>9</v>
      </c>
      <c r="V625" s="37">
        <v>9</v>
      </c>
      <c r="W625" s="37">
        <v>9</v>
      </c>
      <c r="X625" s="37">
        <v>9</v>
      </c>
      <c r="Z625" s="37">
        <v>12</v>
      </c>
      <c r="AA625" s="37">
        <v>12</v>
      </c>
      <c r="AB625" s="37">
        <v>12</v>
      </c>
      <c r="AC625" s="37">
        <v>12</v>
      </c>
      <c r="AD625" s="37">
        <v>12</v>
      </c>
      <c r="AE625" s="37">
        <v>12</v>
      </c>
      <c r="AF625" s="37">
        <v>12</v>
      </c>
      <c r="AG625" s="37">
        <v>9</v>
      </c>
      <c r="AH625" s="37">
        <v>9</v>
      </c>
      <c r="AI625" s="37">
        <v>9</v>
      </c>
      <c r="AJ625" s="37">
        <v>9</v>
      </c>
      <c r="AK625" s="37">
        <v>9</v>
      </c>
      <c r="AL625" s="37">
        <v>9</v>
      </c>
      <c r="AM625" s="37">
        <v>9</v>
      </c>
      <c r="AN625" s="37">
        <v>9</v>
      </c>
      <c r="AO625" s="37">
        <v>9</v>
      </c>
      <c r="AP625" s="37">
        <v>9</v>
      </c>
      <c r="AQ625" s="37">
        <v>9</v>
      </c>
      <c r="AR625" s="37">
        <v>9</v>
      </c>
      <c r="AS625" s="37">
        <v>9</v>
      </c>
      <c r="AT625" s="37">
        <v>9</v>
      </c>
    </row>
    <row r="626" spans="3:46" s="37" customFormat="1" x14ac:dyDescent="0.25"/>
    <row r="627" spans="3:46" s="37" customFormat="1" x14ac:dyDescent="0.25">
      <c r="C627" s="37" t="s">
        <v>20</v>
      </c>
      <c r="D627" s="37">
        <v>7</v>
      </c>
      <c r="E627" s="37">
        <v>7</v>
      </c>
      <c r="F627" s="37">
        <v>7</v>
      </c>
      <c r="G627" s="37">
        <v>7</v>
      </c>
      <c r="H627" s="37">
        <v>7</v>
      </c>
      <c r="I627" s="37">
        <v>6</v>
      </c>
      <c r="J627" s="37">
        <v>6</v>
      </c>
      <c r="K627" s="37">
        <v>3</v>
      </c>
      <c r="L627" s="37">
        <v>3</v>
      </c>
      <c r="M627" s="37">
        <v>3</v>
      </c>
      <c r="N627" s="37">
        <v>3</v>
      </c>
      <c r="O627" s="37">
        <v>3</v>
      </c>
      <c r="P627" s="37">
        <v>3</v>
      </c>
      <c r="Q627" s="37">
        <v>5</v>
      </c>
      <c r="R627" s="37">
        <v>6</v>
      </c>
      <c r="S627" s="37">
        <v>6</v>
      </c>
      <c r="T627" s="37">
        <v>7</v>
      </c>
      <c r="U627" s="37">
        <v>8</v>
      </c>
      <c r="V627" s="37">
        <v>8</v>
      </c>
      <c r="W627" s="37">
        <v>8</v>
      </c>
      <c r="X627" s="37">
        <v>8</v>
      </c>
      <c r="Z627" s="37">
        <v>7</v>
      </c>
      <c r="AA627" s="37">
        <v>7</v>
      </c>
      <c r="AB627" s="37">
        <v>7</v>
      </c>
      <c r="AC627" s="37">
        <v>7</v>
      </c>
      <c r="AD627" s="37">
        <v>7</v>
      </c>
      <c r="AE627" s="37">
        <v>7</v>
      </c>
      <c r="AF627" s="37">
        <v>7</v>
      </c>
      <c r="AG627" s="37">
        <v>3</v>
      </c>
      <c r="AH627" s="37">
        <v>3</v>
      </c>
      <c r="AI627" s="37">
        <v>3</v>
      </c>
      <c r="AJ627" s="37">
        <v>3</v>
      </c>
      <c r="AK627" s="37">
        <v>3</v>
      </c>
      <c r="AL627" s="37">
        <v>3</v>
      </c>
      <c r="AM627" s="37">
        <v>8</v>
      </c>
      <c r="AN627" s="37">
        <v>8</v>
      </c>
      <c r="AO627" s="37">
        <v>8</v>
      </c>
      <c r="AP627" s="37">
        <v>8</v>
      </c>
      <c r="AQ627" s="37">
        <v>8</v>
      </c>
      <c r="AR627" s="37">
        <v>8</v>
      </c>
      <c r="AS627" s="37">
        <v>8</v>
      </c>
      <c r="AT627" s="37">
        <v>8</v>
      </c>
    </row>
    <row r="628" spans="3:46" s="37" customFormat="1" x14ac:dyDescent="0.25"/>
    <row r="629" spans="3:46" s="37" customFormat="1" x14ac:dyDescent="0.25">
      <c r="C629" s="37" t="s">
        <v>21</v>
      </c>
      <c r="D629" s="37">
        <v>6</v>
      </c>
      <c r="E629" s="37">
        <v>6</v>
      </c>
      <c r="F629" s="37">
        <v>6</v>
      </c>
      <c r="G629" s="37">
        <v>6</v>
      </c>
      <c r="H629" s="37">
        <v>5</v>
      </c>
      <c r="I629" s="37">
        <v>5</v>
      </c>
      <c r="J629" s="37">
        <v>4</v>
      </c>
      <c r="K629" s="37">
        <v>4</v>
      </c>
      <c r="L629" s="37">
        <v>4</v>
      </c>
      <c r="M629" s="37">
        <v>4</v>
      </c>
      <c r="N629" s="37">
        <v>4</v>
      </c>
      <c r="O629" s="37">
        <v>4</v>
      </c>
      <c r="P629" s="37">
        <v>4</v>
      </c>
      <c r="Q629" s="37">
        <v>4</v>
      </c>
      <c r="R629" s="37">
        <v>4</v>
      </c>
      <c r="S629" s="37">
        <v>4</v>
      </c>
      <c r="T629" s="37">
        <v>5</v>
      </c>
      <c r="U629" s="37">
        <v>5</v>
      </c>
      <c r="V629" s="37">
        <v>6</v>
      </c>
      <c r="W629" s="37">
        <v>6</v>
      </c>
      <c r="X629" s="37">
        <v>6</v>
      </c>
      <c r="Z629" s="37">
        <v>6</v>
      </c>
      <c r="AA629" s="37">
        <v>6</v>
      </c>
      <c r="AB629" s="37">
        <v>6</v>
      </c>
      <c r="AC629" s="37">
        <v>6</v>
      </c>
      <c r="AD629" s="37">
        <v>6</v>
      </c>
      <c r="AE629" s="37">
        <v>6</v>
      </c>
      <c r="AF629" s="37">
        <v>6</v>
      </c>
      <c r="AG629" s="37">
        <v>4</v>
      </c>
      <c r="AH629" s="37">
        <v>4</v>
      </c>
      <c r="AI629" s="37">
        <v>4</v>
      </c>
      <c r="AJ629" s="37">
        <v>4</v>
      </c>
      <c r="AK629" s="37">
        <v>4</v>
      </c>
      <c r="AL629" s="37">
        <v>4</v>
      </c>
      <c r="AM629" s="37">
        <v>6</v>
      </c>
      <c r="AN629" s="37">
        <v>6</v>
      </c>
      <c r="AO629" s="37">
        <v>6</v>
      </c>
      <c r="AP629" s="37">
        <v>6</v>
      </c>
      <c r="AQ629" s="37">
        <v>6</v>
      </c>
      <c r="AR629" s="37">
        <v>6</v>
      </c>
      <c r="AS629" s="37">
        <v>6</v>
      </c>
      <c r="AT629" s="37">
        <v>6</v>
      </c>
    </row>
    <row r="630" spans="3:46" s="37" customFormat="1" x14ac:dyDescent="0.25"/>
    <row r="631" spans="3:46" s="37" customFormat="1" x14ac:dyDescent="0.25">
      <c r="C631" s="37" t="s">
        <v>20</v>
      </c>
      <c r="D631" s="37">
        <v>9</v>
      </c>
      <c r="E631" s="37">
        <v>9</v>
      </c>
      <c r="F631" s="37">
        <v>9</v>
      </c>
      <c r="G631" s="37">
        <v>9</v>
      </c>
      <c r="H631" s="37">
        <v>9</v>
      </c>
      <c r="I631" s="37">
        <v>9</v>
      </c>
      <c r="J631" s="37">
        <v>9</v>
      </c>
      <c r="K631" s="37">
        <v>9</v>
      </c>
      <c r="L631" s="37">
        <v>8</v>
      </c>
      <c r="M631" s="37">
        <v>7</v>
      </c>
      <c r="N631" s="37">
        <v>6</v>
      </c>
      <c r="O631" s="37">
        <v>6</v>
      </c>
      <c r="P631" s="37">
        <v>7</v>
      </c>
      <c r="Q631" s="37">
        <v>8</v>
      </c>
      <c r="R631" s="37">
        <v>9</v>
      </c>
      <c r="S631" s="37">
        <v>9</v>
      </c>
      <c r="T631" s="37">
        <v>9</v>
      </c>
      <c r="U631" s="37">
        <v>9</v>
      </c>
      <c r="V631" s="37">
        <v>9</v>
      </c>
      <c r="W631" s="37">
        <v>9</v>
      </c>
      <c r="X631" s="37">
        <v>9</v>
      </c>
      <c r="Z631" s="37">
        <v>9</v>
      </c>
      <c r="AA631" s="37">
        <v>9</v>
      </c>
      <c r="AB631" s="37">
        <v>9</v>
      </c>
      <c r="AC631" s="37">
        <v>9</v>
      </c>
      <c r="AD631" s="37">
        <v>9</v>
      </c>
      <c r="AE631" s="37">
        <v>9</v>
      </c>
      <c r="AF631" s="37">
        <v>9</v>
      </c>
      <c r="AG631" s="37">
        <v>9</v>
      </c>
      <c r="AH631" s="37">
        <v>9</v>
      </c>
      <c r="AI631" s="37">
        <v>9</v>
      </c>
      <c r="AJ631" s="37">
        <v>9</v>
      </c>
      <c r="AK631" s="37">
        <v>9</v>
      </c>
      <c r="AL631" s="37">
        <v>9</v>
      </c>
      <c r="AM631" s="37">
        <v>9</v>
      </c>
      <c r="AN631" s="37">
        <v>9</v>
      </c>
      <c r="AO631" s="37">
        <v>9</v>
      </c>
      <c r="AP631" s="37">
        <v>9</v>
      </c>
      <c r="AQ631" s="37">
        <v>9</v>
      </c>
      <c r="AR631" s="37">
        <v>9</v>
      </c>
      <c r="AS631" s="37">
        <v>9</v>
      </c>
      <c r="AT631" s="37">
        <v>9</v>
      </c>
    </row>
    <row r="632" spans="3:46" s="37" customFormat="1" x14ac:dyDescent="0.25"/>
    <row r="633" spans="3:46" s="37" customFormat="1" x14ac:dyDescent="0.25">
      <c r="C633" s="37" t="s">
        <v>21</v>
      </c>
      <c r="D633" s="37">
        <v>13</v>
      </c>
      <c r="E633" s="37">
        <v>13</v>
      </c>
      <c r="F633" s="37">
        <v>13</v>
      </c>
      <c r="G633" s="37">
        <v>13</v>
      </c>
      <c r="H633" s="37">
        <v>13</v>
      </c>
      <c r="I633" s="37">
        <v>13</v>
      </c>
      <c r="J633" s="37">
        <v>13</v>
      </c>
      <c r="K633" s="37">
        <v>13</v>
      </c>
      <c r="L633" s="37">
        <v>13</v>
      </c>
      <c r="M633" s="37">
        <v>13</v>
      </c>
      <c r="N633" s="37">
        <v>13</v>
      </c>
      <c r="O633" s="37">
        <v>13</v>
      </c>
      <c r="P633" s="37">
        <v>13</v>
      </c>
      <c r="Q633" s="37">
        <v>13</v>
      </c>
      <c r="R633" s="37">
        <v>13</v>
      </c>
      <c r="S633" s="37">
        <v>13</v>
      </c>
      <c r="T633" s="37">
        <v>13</v>
      </c>
      <c r="U633" s="37">
        <v>13</v>
      </c>
      <c r="V633" s="37">
        <v>13</v>
      </c>
      <c r="W633" s="37">
        <v>13</v>
      </c>
      <c r="X633" s="37">
        <v>13</v>
      </c>
      <c r="Z633" s="37">
        <v>13</v>
      </c>
      <c r="AA633" s="37">
        <v>13</v>
      </c>
      <c r="AB633" s="37">
        <v>13</v>
      </c>
      <c r="AC633" s="37">
        <v>13</v>
      </c>
      <c r="AD633" s="37">
        <v>13</v>
      </c>
      <c r="AE633" s="37">
        <v>13</v>
      </c>
      <c r="AF633" s="37">
        <v>13</v>
      </c>
      <c r="AG633" s="37">
        <v>13</v>
      </c>
      <c r="AH633" s="37">
        <v>13</v>
      </c>
      <c r="AI633" s="37">
        <v>13</v>
      </c>
      <c r="AJ633" s="37">
        <v>13</v>
      </c>
      <c r="AK633" s="37">
        <v>13</v>
      </c>
      <c r="AL633" s="37">
        <v>13</v>
      </c>
      <c r="AM633" s="37">
        <v>14</v>
      </c>
      <c r="AN633" s="37">
        <v>14</v>
      </c>
      <c r="AO633" s="37">
        <v>14</v>
      </c>
      <c r="AP633" s="37">
        <v>14</v>
      </c>
      <c r="AQ633" s="37">
        <v>14</v>
      </c>
      <c r="AR633" s="37">
        <v>14</v>
      </c>
      <c r="AS633" s="37">
        <v>14</v>
      </c>
      <c r="AT633" s="37">
        <v>14</v>
      </c>
    </row>
    <row r="634" spans="3:46" s="37" customFormat="1" x14ac:dyDescent="0.25"/>
    <row r="635" spans="3:46" s="37" customFormat="1" x14ac:dyDescent="0.25">
      <c r="C635" s="37" t="s">
        <v>20</v>
      </c>
      <c r="D635" s="37">
        <v>10</v>
      </c>
      <c r="E635" s="37">
        <v>10</v>
      </c>
      <c r="F635" s="37">
        <v>10</v>
      </c>
      <c r="G635" s="37">
        <v>10</v>
      </c>
      <c r="H635" s="37">
        <v>10</v>
      </c>
      <c r="I635" s="37">
        <v>10</v>
      </c>
      <c r="J635" s="37">
        <v>10</v>
      </c>
      <c r="K635" s="37">
        <v>4</v>
      </c>
      <c r="L635" s="37">
        <v>4</v>
      </c>
      <c r="M635" s="37">
        <v>4</v>
      </c>
      <c r="N635" s="37">
        <v>4</v>
      </c>
      <c r="O635" s="37">
        <v>4</v>
      </c>
      <c r="P635" s="37">
        <v>4</v>
      </c>
      <c r="Q635" s="37">
        <v>6</v>
      </c>
      <c r="R635" s="37">
        <v>7</v>
      </c>
      <c r="S635" s="37">
        <v>8</v>
      </c>
      <c r="T635" s="37">
        <v>8</v>
      </c>
      <c r="U635" s="37">
        <v>8</v>
      </c>
      <c r="V635" s="37">
        <v>8</v>
      </c>
      <c r="W635" s="37">
        <v>8</v>
      </c>
      <c r="X635" s="37">
        <v>8</v>
      </c>
      <c r="Z635" s="37">
        <v>10</v>
      </c>
      <c r="AA635" s="37">
        <v>10</v>
      </c>
      <c r="AB635" s="37">
        <v>10</v>
      </c>
      <c r="AC635" s="37">
        <v>10</v>
      </c>
      <c r="AD635" s="37">
        <v>10</v>
      </c>
      <c r="AE635" s="37">
        <v>10</v>
      </c>
      <c r="AF635" s="37">
        <v>10</v>
      </c>
      <c r="AG635" s="37">
        <v>4</v>
      </c>
      <c r="AH635" s="37">
        <v>4</v>
      </c>
      <c r="AI635" s="37">
        <v>4</v>
      </c>
      <c r="AJ635" s="37">
        <v>4</v>
      </c>
      <c r="AK635" s="37">
        <v>4</v>
      </c>
      <c r="AL635" s="37">
        <v>4</v>
      </c>
      <c r="AM635" s="37">
        <v>8</v>
      </c>
      <c r="AN635" s="37">
        <v>8</v>
      </c>
      <c r="AO635" s="37">
        <v>8</v>
      </c>
      <c r="AP635" s="37">
        <v>8</v>
      </c>
      <c r="AQ635" s="37">
        <v>8</v>
      </c>
      <c r="AR635" s="37">
        <v>8</v>
      </c>
      <c r="AS635" s="37">
        <v>8</v>
      </c>
      <c r="AT635" s="37">
        <v>8</v>
      </c>
    </row>
    <row r="636" spans="3:46" s="37" customFormat="1" x14ac:dyDescent="0.25"/>
    <row r="637" spans="3:46" s="37" customFormat="1" x14ac:dyDescent="0.25">
      <c r="C637" s="37" t="s">
        <v>21</v>
      </c>
      <c r="D637" s="37">
        <v>12</v>
      </c>
      <c r="E637" s="37">
        <v>12</v>
      </c>
      <c r="F637" s="37">
        <v>12</v>
      </c>
      <c r="G637" s="37">
        <v>12</v>
      </c>
      <c r="H637" s="37">
        <v>12</v>
      </c>
      <c r="I637" s="37">
        <v>11</v>
      </c>
      <c r="J637" s="37">
        <v>10</v>
      </c>
      <c r="K637" s="37">
        <v>5</v>
      </c>
      <c r="L637" s="37">
        <v>5</v>
      </c>
      <c r="M637" s="37">
        <v>5</v>
      </c>
      <c r="N637" s="37">
        <v>5</v>
      </c>
      <c r="O637" s="37">
        <v>5</v>
      </c>
      <c r="P637" s="37">
        <v>5</v>
      </c>
      <c r="Q637" s="37">
        <v>9</v>
      </c>
      <c r="R637" s="37">
        <v>11</v>
      </c>
      <c r="S637" s="37">
        <v>12</v>
      </c>
      <c r="T637" s="37">
        <v>13</v>
      </c>
      <c r="U637" s="37">
        <v>13</v>
      </c>
      <c r="V637" s="37">
        <v>13</v>
      </c>
      <c r="W637" s="37">
        <v>13</v>
      </c>
      <c r="X637" s="37">
        <v>13</v>
      </c>
      <c r="Z637" s="37">
        <v>12</v>
      </c>
      <c r="AA637" s="37">
        <v>12</v>
      </c>
      <c r="AB637" s="37">
        <v>12</v>
      </c>
      <c r="AC637" s="37">
        <v>12</v>
      </c>
      <c r="AD637" s="37">
        <v>12</v>
      </c>
      <c r="AE637" s="37">
        <v>12</v>
      </c>
      <c r="AF637" s="37">
        <v>12</v>
      </c>
      <c r="AG637" s="37">
        <v>5</v>
      </c>
      <c r="AH637" s="37">
        <v>5</v>
      </c>
      <c r="AI637" s="37">
        <v>5</v>
      </c>
      <c r="AJ637" s="37">
        <v>5</v>
      </c>
      <c r="AK637" s="37">
        <v>5</v>
      </c>
      <c r="AL637" s="37">
        <v>5</v>
      </c>
      <c r="AM637" s="37">
        <v>14</v>
      </c>
      <c r="AN637" s="37">
        <v>14</v>
      </c>
      <c r="AO637" s="37">
        <v>14</v>
      </c>
      <c r="AP637" s="37">
        <v>14</v>
      </c>
      <c r="AQ637" s="37">
        <v>14</v>
      </c>
      <c r="AR637" s="37">
        <v>14</v>
      </c>
      <c r="AS637" s="37">
        <v>14</v>
      </c>
      <c r="AT637" s="37">
        <v>14</v>
      </c>
    </row>
    <row r="638" spans="3:46" s="37" customFormat="1" x14ac:dyDescent="0.25"/>
    <row r="639" spans="3:46" s="37" customFormat="1" x14ac:dyDescent="0.25">
      <c r="C639" s="37" t="s">
        <v>20</v>
      </c>
      <c r="D639" s="37">
        <v>8</v>
      </c>
      <c r="E639" s="37">
        <v>8</v>
      </c>
      <c r="F639" s="37">
        <v>8</v>
      </c>
      <c r="G639" s="37">
        <v>8</v>
      </c>
      <c r="H639" s="37">
        <v>8</v>
      </c>
      <c r="I639" s="37">
        <v>8</v>
      </c>
      <c r="J639" s="37">
        <v>8</v>
      </c>
      <c r="K639" s="37">
        <v>7</v>
      </c>
      <c r="L639" s="37">
        <v>7</v>
      </c>
      <c r="M639" s="37">
        <v>7</v>
      </c>
      <c r="N639" s="37">
        <v>6</v>
      </c>
      <c r="O639" s="37">
        <v>6</v>
      </c>
      <c r="P639" s="37">
        <v>5</v>
      </c>
      <c r="Q639" s="37">
        <v>6</v>
      </c>
      <c r="R639" s="37">
        <v>6</v>
      </c>
      <c r="S639" s="37">
        <v>7</v>
      </c>
      <c r="T639" s="37">
        <v>7</v>
      </c>
      <c r="U639" s="37">
        <v>7</v>
      </c>
      <c r="V639" s="37">
        <v>7</v>
      </c>
      <c r="W639" s="37">
        <v>7</v>
      </c>
      <c r="X639" s="37">
        <v>7</v>
      </c>
      <c r="Z639" s="37">
        <v>8</v>
      </c>
      <c r="AA639" s="37">
        <v>8</v>
      </c>
      <c r="AB639" s="37">
        <v>8</v>
      </c>
      <c r="AC639" s="37">
        <v>8</v>
      </c>
      <c r="AD639" s="37">
        <v>8</v>
      </c>
      <c r="AE639" s="37">
        <v>8</v>
      </c>
      <c r="AF639" s="37">
        <v>8</v>
      </c>
      <c r="AG639" s="37">
        <v>7</v>
      </c>
      <c r="AH639" s="37">
        <v>7</v>
      </c>
      <c r="AI639" s="37">
        <v>7</v>
      </c>
      <c r="AJ639" s="37">
        <v>7</v>
      </c>
      <c r="AK639" s="37">
        <v>7</v>
      </c>
      <c r="AL639" s="37">
        <v>7</v>
      </c>
      <c r="AM639" s="37">
        <v>7</v>
      </c>
      <c r="AN639" s="37">
        <v>7</v>
      </c>
      <c r="AO639" s="37">
        <v>7</v>
      </c>
      <c r="AP639" s="37">
        <v>7</v>
      </c>
      <c r="AQ639" s="37">
        <v>7</v>
      </c>
      <c r="AR639" s="37">
        <v>7</v>
      </c>
      <c r="AS639" s="37">
        <v>7</v>
      </c>
      <c r="AT639" s="37">
        <v>7</v>
      </c>
    </row>
    <row r="640" spans="3:46" s="37" customFormat="1" x14ac:dyDescent="0.25"/>
    <row r="641" spans="3:46" s="37" customFormat="1" x14ac:dyDescent="0.25">
      <c r="C641" s="37" t="s">
        <v>21</v>
      </c>
      <c r="D641" s="37">
        <v>10</v>
      </c>
      <c r="E641" s="37">
        <v>10</v>
      </c>
      <c r="F641" s="37">
        <v>10</v>
      </c>
      <c r="G641" s="37">
        <v>10</v>
      </c>
      <c r="H641" s="37">
        <v>10</v>
      </c>
      <c r="I641" s="37">
        <v>10</v>
      </c>
      <c r="J641" s="37">
        <v>10</v>
      </c>
      <c r="K641" s="37">
        <v>10</v>
      </c>
      <c r="L641" s="37">
        <v>10</v>
      </c>
      <c r="M641" s="37">
        <v>10</v>
      </c>
      <c r="N641" s="37">
        <v>10</v>
      </c>
      <c r="O641" s="37">
        <v>10</v>
      </c>
      <c r="P641" s="37">
        <v>10</v>
      </c>
      <c r="Q641" s="37">
        <v>10</v>
      </c>
      <c r="R641" s="37">
        <v>10</v>
      </c>
      <c r="S641" s="37">
        <v>10</v>
      </c>
      <c r="T641" s="37">
        <v>11</v>
      </c>
      <c r="U641" s="37">
        <v>11</v>
      </c>
      <c r="V641" s="37">
        <v>11</v>
      </c>
      <c r="W641" s="37">
        <v>11</v>
      </c>
      <c r="X641" s="37">
        <v>11</v>
      </c>
      <c r="Z641" s="37">
        <v>10</v>
      </c>
      <c r="AA641" s="37">
        <v>10</v>
      </c>
      <c r="AB641" s="37">
        <v>10</v>
      </c>
      <c r="AC641" s="37">
        <v>10</v>
      </c>
      <c r="AD641" s="37">
        <v>10</v>
      </c>
      <c r="AE641" s="37">
        <v>10</v>
      </c>
      <c r="AF641" s="37">
        <v>10</v>
      </c>
      <c r="AG641" s="37">
        <v>10</v>
      </c>
      <c r="AH641" s="37">
        <v>10</v>
      </c>
      <c r="AI641" s="37">
        <v>10</v>
      </c>
      <c r="AJ641" s="37">
        <v>10</v>
      </c>
      <c r="AK641" s="37">
        <v>10</v>
      </c>
      <c r="AL641" s="37">
        <v>10</v>
      </c>
      <c r="AM641" s="37">
        <v>12</v>
      </c>
      <c r="AN641" s="37">
        <v>12</v>
      </c>
      <c r="AO641" s="37">
        <v>12</v>
      </c>
      <c r="AP641" s="37">
        <v>12</v>
      </c>
      <c r="AQ641" s="37">
        <v>12</v>
      </c>
      <c r="AR641" s="37">
        <v>12</v>
      </c>
      <c r="AS641" s="37">
        <v>12</v>
      </c>
      <c r="AT641" s="37">
        <v>12</v>
      </c>
    </row>
    <row r="642" spans="3:46" s="37" customFormat="1" x14ac:dyDescent="0.25"/>
    <row r="643" spans="3:46" s="37" customFormat="1" x14ac:dyDescent="0.25">
      <c r="C643" s="37" t="s">
        <v>20</v>
      </c>
      <c r="D643" s="37">
        <v>10</v>
      </c>
      <c r="E643" s="37">
        <v>10</v>
      </c>
      <c r="F643" s="37">
        <v>10</v>
      </c>
      <c r="G643" s="37">
        <v>10</v>
      </c>
      <c r="H643" s="37">
        <v>10</v>
      </c>
      <c r="I643" s="37">
        <v>10</v>
      </c>
      <c r="J643" s="37">
        <v>10</v>
      </c>
      <c r="K643" s="37">
        <v>4</v>
      </c>
      <c r="L643" s="37">
        <v>4</v>
      </c>
      <c r="M643" s="37">
        <v>4</v>
      </c>
      <c r="N643" s="37">
        <v>4</v>
      </c>
      <c r="O643" s="37">
        <v>4</v>
      </c>
      <c r="P643" s="37">
        <v>4</v>
      </c>
      <c r="Q643" s="37">
        <v>9</v>
      </c>
      <c r="R643" s="37">
        <v>10</v>
      </c>
      <c r="S643" s="37">
        <v>11</v>
      </c>
      <c r="T643" s="37">
        <v>11</v>
      </c>
      <c r="U643" s="37">
        <v>11</v>
      </c>
      <c r="V643" s="37">
        <v>11</v>
      </c>
      <c r="W643" s="37">
        <v>11</v>
      </c>
      <c r="X643" s="37">
        <v>11</v>
      </c>
      <c r="Z643" s="37">
        <v>10</v>
      </c>
      <c r="AA643" s="37">
        <v>10</v>
      </c>
      <c r="AB643" s="37">
        <v>10</v>
      </c>
      <c r="AC643" s="37">
        <v>10</v>
      </c>
      <c r="AD643" s="37">
        <v>10</v>
      </c>
      <c r="AE643" s="37">
        <v>10</v>
      </c>
      <c r="AF643" s="37">
        <v>10</v>
      </c>
      <c r="AG643" s="37">
        <v>4</v>
      </c>
      <c r="AH643" s="37">
        <v>4</v>
      </c>
      <c r="AI643" s="37">
        <v>4</v>
      </c>
      <c r="AJ643" s="37">
        <v>4</v>
      </c>
      <c r="AK643" s="37">
        <v>4</v>
      </c>
      <c r="AL643" s="37">
        <v>4</v>
      </c>
      <c r="AM643" s="37">
        <v>12</v>
      </c>
      <c r="AN643" s="37">
        <v>12</v>
      </c>
      <c r="AO643" s="37">
        <v>12</v>
      </c>
      <c r="AP643" s="37">
        <v>12</v>
      </c>
      <c r="AQ643" s="37">
        <v>12</v>
      </c>
      <c r="AR643" s="37">
        <v>12</v>
      </c>
      <c r="AS643" s="37">
        <v>12</v>
      </c>
      <c r="AT643" s="37">
        <v>12</v>
      </c>
    </row>
    <row r="644" spans="3:46" s="37" customFormat="1" x14ac:dyDescent="0.25"/>
    <row r="645" spans="3:46" s="37" customFormat="1" x14ac:dyDescent="0.25">
      <c r="C645" s="37" t="s">
        <v>21</v>
      </c>
      <c r="D645" s="37">
        <v>16</v>
      </c>
      <c r="E645" s="37">
        <v>16</v>
      </c>
      <c r="F645" s="37">
        <v>16</v>
      </c>
      <c r="G645" s="37">
        <v>16</v>
      </c>
      <c r="H645" s="37">
        <v>15</v>
      </c>
      <c r="I645" s="37">
        <v>14</v>
      </c>
      <c r="J645" s="37">
        <v>12</v>
      </c>
      <c r="K645" s="37">
        <v>6</v>
      </c>
      <c r="L645" s="37">
        <v>6</v>
      </c>
      <c r="M645" s="37">
        <v>6</v>
      </c>
      <c r="N645" s="37">
        <v>6</v>
      </c>
      <c r="O645" s="37">
        <v>6</v>
      </c>
      <c r="P645" s="37">
        <v>6</v>
      </c>
      <c r="Q645" s="37">
        <v>8</v>
      </c>
      <c r="R645" s="37">
        <v>9</v>
      </c>
      <c r="S645" s="37">
        <v>10</v>
      </c>
      <c r="T645" s="37">
        <v>11</v>
      </c>
      <c r="U645" s="37">
        <v>12</v>
      </c>
      <c r="V645" s="37">
        <v>12</v>
      </c>
      <c r="W645" s="37">
        <v>12</v>
      </c>
      <c r="X645" s="37">
        <v>12</v>
      </c>
      <c r="Z645" s="37">
        <v>16</v>
      </c>
      <c r="AA645" s="37">
        <v>16</v>
      </c>
      <c r="AB645" s="37">
        <v>16</v>
      </c>
      <c r="AC645" s="37">
        <v>16</v>
      </c>
      <c r="AD645" s="37">
        <v>16</v>
      </c>
      <c r="AE645" s="37">
        <v>16</v>
      </c>
      <c r="AF645" s="37">
        <v>16</v>
      </c>
      <c r="AG645" s="37">
        <v>6</v>
      </c>
      <c r="AH645" s="37">
        <v>6</v>
      </c>
      <c r="AI645" s="37">
        <v>6</v>
      </c>
      <c r="AJ645" s="37">
        <v>6</v>
      </c>
      <c r="AK645" s="37">
        <v>6</v>
      </c>
      <c r="AL645" s="37">
        <v>6</v>
      </c>
      <c r="AM645" s="37">
        <v>13</v>
      </c>
      <c r="AN645" s="37">
        <v>13</v>
      </c>
      <c r="AO645" s="37">
        <v>13</v>
      </c>
      <c r="AP645" s="37">
        <v>13</v>
      </c>
      <c r="AQ645" s="37">
        <v>13</v>
      </c>
      <c r="AR645" s="37">
        <v>13</v>
      </c>
      <c r="AS645" s="37">
        <v>13</v>
      </c>
      <c r="AT645" s="37">
        <v>13</v>
      </c>
    </row>
    <row r="646" spans="3:46" s="37" customFormat="1" x14ac:dyDescent="0.25"/>
    <row r="647" spans="3:46" s="37" customFormat="1" x14ac:dyDescent="0.25">
      <c r="C647" s="37" t="s">
        <v>20</v>
      </c>
      <c r="D647" s="37">
        <v>8</v>
      </c>
      <c r="E647" s="37">
        <v>8</v>
      </c>
      <c r="F647" s="37">
        <v>8</v>
      </c>
      <c r="G647" s="37">
        <v>8</v>
      </c>
      <c r="H647" s="37">
        <v>8</v>
      </c>
      <c r="I647" s="37">
        <v>8</v>
      </c>
      <c r="J647" s="37">
        <v>7</v>
      </c>
      <c r="K647" s="37">
        <v>4</v>
      </c>
      <c r="L647" s="37">
        <v>4</v>
      </c>
      <c r="M647" s="37">
        <v>4</v>
      </c>
      <c r="N647" s="37">
        <v>4</v>
      </c>
      <c r="O647" s="37">
        <v>4</v>
      </c>
      <c r="P647" s="37">
        <v>4</v>
      </c>
      <c r="Q647" s="37">
        <v>7</v>
      </c>
      <c r="R647" s="37">
        <v>8</v>
      </c>
      <c r="S647" s="37">
        <v>9</v>
      </c>
      <c r="T647" s="37">
        <v>10</v>
      </c>
      <c r="U647" s="37">
        <v>10</v>
      </c>
      <c r="V647" s="37">
        <v>10</v>
      </c>
      <c r="W647" s="37">
        <v>10</v>
      </c>
      <c r="X647" s="37">
        <v>10</v>
      </c>
      <c r="Z647" s="37">
        <v>8</v>
      </c>
      <c r="AA647" s="37">
        <v>8</v>
      </c>
      <c r="AB647" s="37">
        <v>8</v>
      </c>
      <c r="AC647" s="37">
        <v>8</v>
      </c>
      <c r="AD647" s="37">
        <v>8</v>
      </c>
      <c r="AE647" s="37">
        <v>8</v>
      </c>
      <c r="AF647" s="37">
        <v>8</v>
      </c>
      <c r="AG647" s="37">
        <v>4</v>
      </c>
      <c r="AH647" s="37">
        <v>4</v>
      </c>
      <c r="AI647" s="37">
        <v>4</v>
      </c>
      <c r="AJ647" s="37">
        <v>4</v>
      </c>
      <c r="AK647" s="37">
        <v>4</v>
      </c>
      <c r="AL647" s="37">
        <v>4</v>
      </c>
      <c r="AM647" s="37">
        <v>10</v>
      </c>
      <c r="AN647" s="37">
        <v>10</v>
      </c>
      <c r="AO647" s="37">
        <v>10</v>
      </c>
      <c r="AP647" s="37">
        <v>10</v>
      </c>
      <c r="AQ647" s="37">
        <v>10</v>
      </c>
      <c r="AR647" s="37">
        <v>10</v>
      </c>
      <c r="AS647" s="37">
        <v>10</v>
      </c>
      <c r="AT647" s="37">
        <v>10</v>
      </c>
    </row>
    <row r="648" spans="3:46" s="37" customFormat="1" x14ac:dyDescent="0.25"/>
    <row r="649" spans="3:46" s="37" customFormat="1" x14ac:dyDescent="0.25">
      <c r="C649" s="37" t="s">
        <v>21</v>
      </c>
      <c r="D649" s="37">
        <v>9</v>
      </c>
      <c r="E649" s="37">
        <v>9</v>
      </c>
      <c r="F649" s="37">
        <v>9</v>
      </c>
      <c r="G649" s="37">
        <v>9</v>
      </c>
      <c r="H649" s="37">
        <v>8</v>
      </c>
      <c r="I649" s="37">
        <v>7</v>
      </c>
      <c r="J649" s="37">
        <v>6</v>
      </c>
      <c r="K649" s="37">
        <v>5</v>
      </c>
      <c r="L649" s="37">
        <v>5</v>
      </c>
      <c r="M649" s="37">
        <v>5</v>
      </c>
      <c r="N649" s="37">
        <v>5</v>
      </c>
      <c r="O649" s="37">
        <v>5</v>
      </c>
      <c r="P649" s="37">
        <v>5</v>
      </c>
      <c r="Q649" s="37">
        <v>5</v>
      </c>
      <c r="R649" s="37">
        <v>5</v>
      </c>
      <c r="S649" s="37">
        <v>5</v>
      </c>
      <c r="T649" s="37">
        <v>6</v>
      </c>
      <c r="U649" s="37">
        <v>6</v>
      </c>
      <c r="V649" s="37">
        <v>7</v>
      </c>
      <c r="W649" s="37">
        <v>7</v>
      </c>
      <c r="X649" s="37">
        <v>7</v>
      </c>
      <c r="Z649" s="37">
        <v>9</v>
      </c>
      <c r="AA649" s="37">
        <v>9</v>
      </c>
      <c r="AB649" s="37">
        <v>9</v>
      </c>
      <c r="AC649" s="37">
        <v>9</v>
      </c>
      <c r="AD649" s="37">
        <v>9</v>
      </c>
      <c r="AE649" s="37">
        <v>9</v>
      </c>
      <c r="AF649" s="37">
        <v>9</v>
      </c>
      <c r="AG649" s="37">
        <v>5</v>
      </c>
      <c r="AH649" s="37">
        <v>5</v>
      </c>
      <c r="AI649" s="37">
        <v>5</v>
      </c>
      <c r="AJ649" s="37">
        <v>5</v>
      </c>
      <c r="AK649" s="37">
        <v>5</v>
      </c>
      <c r="AL649" s="37">
        <v>5</v>
      </c>
      <c r="AM649" s="37">
        <v>7</v>
      </c>
      <c r="AN649" s="37">
        <v>7</v>
      </c>
      <c r="AO649" s="37">
        <v>7</v>
      </c>
      <c r="AP649" s="37">
        <v>7</v>
      </c>
      <c r="AQ649" s="37">
        <v>7</v>
      </c>
      <c r="AR649" s="37">
        <v>7</v>
      </c>
      <c r="AS649" s="37">
        <v>7</v>
      </c>
      <c r="AT649" s="37">
        <v>7</v>
      </c>
    </row>
    <row r="650" spans="3:46" s="37" customFormat="1" x14ac:dyDescent="0.25"/>
    <row r="651" spans="3:46" s="37" customFormat="1" x14ac:dyDescent="0.25">
      <c r="C651" s="37" t="s">
        <v>20</v>
      </c>
      <c r="D651" s="37">
        <v>9</v>
      </c>
      <c r="E651" s="37">
        <v>9</v>
      </c>
      <c r="F651" s="37">
        <v>9</v>
      </c>
      <c r="G651" s="37">
        <v>9</v>
      </c>
      <c r="H651" s="37">
        <v>9</v>
      </c>
      <c r="I651" s="37">
        <v>9</v>
      </c>
      <c r="J651" s="37">
        <v>8</v>
      </c>
      <c r="K651" s="37">
        <v>4</v>
      </c>
      <c r="L651" s="37">
        <v>4</v>
      </c>
      <c r="M651" s="37">
        <v>4</v>
      </c>
      <c r="N651" s="37">
        <v>4</v>
      </c>
      <c r="O651" s="37">
        <v>4</v>
      </c>
      <c r="P651" s="37">
        <v>4</v>
      </c>
      <c r="Q651" s="37">
        <v>7</v>
      </c>
      <c r="R651" s="37">
        <v>8</v>
      </c>
      <c r="S651" s="37">
        <v>9</v>
      </c>
      <c r="T651" s="37">
        <v>10</v>
      </c>
      <c r="U651" s="37">
        <v>10</v>
      </c>
      <c r="V651" s="37">
        <v>10</v>
      </c>
      <c r="W651" s="37">
        <v>10</v>
      </c>
      <c r="X651" s="37">
        <v>10</v>
      </c>
      <c r="Z651" s="37">
        <v>9</v>
      </c>
      <c r="AA651" s="37">
        <v>9</v>
      </c>
      <c r="AB651" s="37">
        <v>9</v>
      </c>
      <c r="AC651" s="37">
        <v>9</v>
      </c>
      <c r="AD651" s="37">
        <v>9</v>
      </c>
      <c r="AE651" s="37">
        <v>9</v>
      </c>
      <c r="AF651" s="37">
        <v>9</v>
      </c>
      <c r="AG651" s="37">
        <v>4</v>
      </c>
      <c r="AH651" s="37">
        <v>4</v>
      </c>
      <c r="AI651" s="37">
        <v>4</v>
      </c>
      <c r="AJ651" s="37">
        <v>4</v>
      </c>
      <c r="AK651" s="37">
        <v>4</v>
      </c>
      <c r="AL651" s="37">
        <v>4</v>
      </c>
      <c r="AM651" s="37">
        <v>10</v>
      </c>
      <c r="AN651" s="37">
        <v>10</v>
      </c>
      <c r="AO651" s="37">
        <v>10</v>
      </c>
      <c r="AP651" s="37">
        <v>10</v>
      </c>
      <c r="AQ651" s="37">
        <v>10</v>
      </c>
      <c r="AR651" s="37">
        <v>10</v>
      </c>
      <c r="AS651" s="37">
        <v>10</v>
      </c>
      <c r="AT651" s="37">
        <v>10</v>
      </c>
    </row>
    <row r="652" spans="3:46" s="37" customFormat="1" x14ac:dyDescent="0.25"/>
    <row r="653" spans="3:46" s="37" customFormat="1" x14ac:dyDescent="0.25">
      <c r="C653" s="37" t="s">
        <v>21</v>
      </c>
      <c r="D653" s="37">
        <v>8</v>
      </c>
      <c r="E653" s="37">
        <v>8</v>
      </c>
      <c r="F653" s="37">
        <v>8</v>
      </c>
      <c r="G653" s="37">
        <v>8</v>
      </c>
      <c r="H653" s="37">
        <v>8</v>
      </c>
      <c r="I653" s="37">
        <v>7</v>
      </c>
      <c r="J653" s="37">
        <v>6</v>
      </c>
      <c r="K653" s="37">
        <v>5</v>
      </c>
      <c r="L653" s="37">
        <v>5</v>
      </c>
      <c r="M653" s="37">
        <v>5</v>
      </c>
      <c r="N653" s="37">
        <v>5</v>
      </c>
      <c r="O653" s="37">
        <v>5</v>
      </c>
      <c r="P653" s="37">
        <v>5</v>
      </c>
      <c r="Q653" s="37">
        <v>5</v>
      </c>
      <c r="R653" s="37">
        <v>6</v>
      </c>
      <c r="S653" s="37">
        <v>6</v>
      </c>
      <c r="T653" s="37">
        <v>7</v>
      </c>
      <c r="U653" s="37">
        <v>8</v>
      </c>
      <c r="V653" s="37">
        <v>8</v>
      </c>
      <c r="W653" s="37">
        <v>8</v>
      </c>
      <c r="X653" s="37">
        <v>8</v>
      </c>
      <c r="Z653" s="37">
        <v>8</v>
      </c>
      <c r="AA653" s="37">
        <v>8</v>
      </c>
      <c r="AB653" s="37">
        <v>8</v>
      </c>
      <c r="AC653" s="37">
        <v>8</v>
      </c>
      <c r="AD653" s="37">
        <v>8</v>
      </c>
      <c r="AE653" s="37">
        <v>8</v>
      </c>
      <c r="AF653" s="37">
        <v>8</v>
      </c>
      <c r="AG653" s="37">
        <v>5</v>
      </c>
      <c r="AH653" s="37">
        <v>5</v>
      </c>
      <c r="AI653" s="37">
        <v>5</v>
      </c>
      <c r="AJ653" s="37">
        <v>5</v>
      </c>
      <c r="AK653" s="37">
        <v>5</v>
      </c>
      <c r="AL653" s="37">
        <v>5</v>
      </c>
      <c r="AM653" s="37">
        <v>8</v>
      </c>
      <c r="AN653" s="37">
        <v>8</v>
      </c>
      <c r="AO653" s="37">
        <v>8</v>
      </c>
      <c r="AP653" s="37">
        <v>8</v>
      </c>
      <c r="AQ653" s="37">
        <v>8</v>
      </c>
      <c r="AR653" s="37">
        <v>8</v>
      </c>
      <c r="AS653" s="37">
        <v>8</v>
      </c>
      <c r="AT653" s="37">
        <v>8</v>
      </c>
    </row>
    <row r="654" spans="3:46" s="37" customFormat="1" x14ac:dyDescent="0.25"/>
    <row r="655" spans="3:46" s="37" customFormat="1" x14ac:dyDescent="0.25">
      <c r="C655" s="37" t="s">
        <v>20</v>
      </c>
      <c r="D655" s="37">
        <v>9</v>
      </c>
      <c r="E655" s="37">
        <v>9</v>
      </c>
      <c r="F655" s="37">
        <v>9</v>
      </c>
      <c r="G655" s="37">
        <v>9</v>
      </c>
      <c r="H655" s="37">
        <v>9</v>
      </c>
      <c r="I655" s="37">
        <v>9</v>
      </c>
      <c r="J655" s="37">
        <v>9</v>
      </c>
      <c r="K655" s="37">
        <v>4</v>
      </c>
      <c r="L655" s="37">
        <v>4</v>
      </c>
      <c r="M655" s="37">
        <v>4</v>
      </c>
      <c r="N655" s="37">
        <v>4</v>
      </c>
      <c r="O655" s="37">
        <v>4</v>
      </c>
      <c r="P655" s="37">
        <v>4</v>
      </c>
      <c r="Q655" s="37">
        <v>8</v>
      </c>
      <c r="R655" s="37">
        <v>9</v>
      </c>
      <c r="S655" s="37">
        <v>10</v>
      </c>
      <c r="T655" s="37">
        <v>10</v>
      </c>
      <c r="U655" s="37">
        <v>10</v>
      </c>
      <c r="V655" s="37">
        <v>10</v>
      </c>
      <c r="W655" s="37">
        <v>10</v>
      </c>
      <c r="X655" s="37">
        <v>10</v>
      </c>
      <c r="Z655" s="37">
        <v>9</v>
      </c>
      <c r="AA655" s="37">
        <v>9</v>
      </c>
      <c r="AB655" s="37">
        <v>9</v>
      </c>
      <c r="AC655" s="37">
        <v>9</v>
      </c>
      <c r="AD655" s="37">
        <v>9</v>
      </c>
      <c r="AE655" s="37">
        <v>9</v>
      </c>
      <c r="AF655" s="37">
        <v>9</v>
      </c>
      <c r="AG655" s="37">
        <v>4</v>
      </c>
      <c r="AH655" s="37">
        <v>4</v>
      </c>
      <c r="AI655" s="37">
        <v>4</v>
      </c>
      <c r="AJ655" s="37">
        <v>4</v>
      </c>
      <c r="AK655" s="37">
        <v>4</v>
      </c>
      <c r="AL655" s="37">
        <v>4</v>
      </c>
      <c r="AM655" s="37">
        <v>10</v>
      </c>
      <c r="AN655" s="37">
        <v>10</v>
      </c>
      <c r="AO655" s="37">
        <v>10</v>
      </c>
      <c r="AP655" s="37">
        <v>10</v>
      </c>
      <c r="AQ655" s="37">
        <v>10</v>
      </c>
      <c r="AR655" s="37">
        <v>10</v>
      </c>
      <c r="AS655" s="37">
        <v>10</v>
      </c>
      <c r="AT655" s="37">
        <v>10</v>
      </c>
    </row>
    <row r="656" spans="3:46" s="37" customFormat="1" x14ac:dyDescent="0.25"/>
    <row r="657" spans="3:46" s="37" customFormat="1" x14ac:dyDescent="0.25">
      <c r="C657" s="37" t="s">
        <v>21</v>
      </c>
      <c r="D657" s="37">
        <v>12</v>
      </c>
      <c r="E657" s="37">
        <v>12</v>
      </c>
      <c r="F657" s="37">
        <v>12</v>
      </c>
      <c r="G657" s="37">
        <v>12</v>
      </c>
      <c r="H657" s="37">
        <v>12</v>
      </c>
      <c r="I657" s="37">
        <v>11</v>
      </c>
      <c r="J657" s="37">
        <v>10</v>
      </c>
      <c r="K657" s="37">
        <v>5</v>
      </c>
      <c r="L657" s="37">
        <v>5</v>
      </c>
      <c r="M657" s="37">
        <v>5</v>
      </c>
      <c r="N657" s="37">
        <v>5</v>
      </c>
      <c r="O657" s="37">
        <v>5</v>
      </c>
      <c r="P657" s="37">
        <v>5</v>
      </c>
      <c r="Q657" s="37">
        <v>8</v>
      </c>
      <c r="R657" s="37">
        <v>9</v>
      </c>
      <c r="S657" s="37">
        <v>10</v>
      </c>
      <c r="T657" s="37">
        <v>11</v>
      </c>
      <c r="U657" s="37">
        <v>11</v>
      </c>
      <c r="V657" s="37">
        <v>11</v>
      </c>
      <c r="W657" s="37">
        <v>11</v>
      </c>
      <c r="X657" s="37">
        <v>11</v>
      </c>
      <c r="Z657" s="37">
        <v>12</v>
      </c>
      <c r="AA657" s="37">
        <v>12</v>
      </c>
      <c r="AB657" s="37">
        <v>12</v>
      </c>
      <c r="AC657" s="37">
        <v>12</v>
      </c>
      <c r="AD657" s="37">
        <v>12</v>
      </c>
      <c r="AE657" s="37">
        <v>12</v>
      </c>
      <c r="AF657" s="37">
        <v>12</v>
      </c>
      <c r="AG657" s="37">
        <v>5</v>
      </c>
      <c r="AH657" s="37">
        <v>5</v>
      </c>
      <c r="AI657" s="37">
        <v>5</v>
      </c>
      <c r="AJ657" s="37">
        <v>5</v>
      </c>
      <c r="AK657" s="37">
        <v>5</v>
      </c>
      <c r="AL657" s="37">
        <v>5</v>
      </c>
      <c r="AM657" s="37">
        <v>12</v>
      </c>
      <c r="AN657" s="37">
        <v>12</v>
      </c>
      <c r="AO657" s="37">
        <v>12</v>
      </c>
      <c r="AP657" s="37">
        <v>12</v>
      </c>
      <c r="AQ657" s="37">
        <v>12</v>
      </c>
      <c r="AR657" s="37">
        <v>12</v>
      </c>
      <c r="AS657" s="37">
        <v>12</v>
      </c>
      <c r="AT657" s="37">
        <v>12</v>
      </c>
    </row>
    <row r="658" spans="3:46" s="37" customFormat="1" x14ac:dyDescent="0.25"/>
    <row r="659" spans="3:46" s="37" customFormat="1" x14ac:dyDescent="0.25">
      <c r="C659" s="37" t="s">
        <v>20</v>
      </c>
      <c r="D659" s="37">
        <v>9</v>
      </c>
      <c r="E659" s="37">
        <v>9</v>
      </c>
      <c r="F659" s="37">
        <v>9</v>
      </c>
      <c r="G659" s="37">
        <v>9</v>
      </c>
      <c r="H659" s="37">
        <v>9</v>
      </c>
      <c r="I659" s="37">
        <v>9</v>
      </c>
      <c r="J659" s="37">
        <v>9</v>
      </c>
      <c r="K659" s="37">
        <v>3</v>
      </c>
      <c r="L659" s="37">
        <v>3</v>
      </c>
      <c r="M659" s="37">
        <v>3</v>
      </c>
      <c r="N659" s="37">
        <v>3</v>
      </c>
      <c r="O659" s="37">
        <v>3</v>
      </c>
      <c r="P659" s="37">
        <v>3</v>
      </c>
      <c r="Q659" s="37">
        <v>6</v>
      </c>
      <c r="R659" s="37">
        <v>7</v>
      </c>
      <c r="S659" s="37">
        <v>8</v>
      </c>
      <c r="T659" s="37">
        <v>8</v>
      </c>
      <c r="U659" s="37">
        <v>8</v>
      </c>
      <c r="V659" s="37">
        <v>8</v>
      </c>
      <c r="W659" s="37">
        <v>8</v>
      </c>
      <c r="X659" s="37">
        <v>8</v>
      </c>
      <c r="Z659" s="37">
        <v>9</v>
      </c>
      <c r="AA659" s="37">
        <v>9</v>
      </c>
      <c r="AB659" s="37">
        <v>9</v>
      </c>
      <c r="AC659" s="37">
        <v>9</v>
      </c>
      <c r="AD659" s="37">
        <v>9</v>
      </c>
      <c r="AE659" s="37">
        <v>9</v>
      </c>
      <c r="AF659" s="37">
        <v>9</v>
      </c>
      <c r="AG659" s="37">
        <v>3</v>
      </c>
      <c r="AH659" s="37">
        <v>3</v>
      </c>
      <c r="AI659" s="37">
        <v>3</v>
      </c>
      <c r="AJ659" s="37">
        <v>3</v>
      </c>
      <c r="AK659" s="37">
        <v>3</v>
      </c>
      <c r="AL659" s="37">
        <v>3</v>
      </c>
      <c r="AM659" s="37">
        <v>8</v>
      </c>
      <c r="AN659" s="37">
        <v>8</v>
      </c>
      <c r="AO659" s="37">
        <v>8</v>
      </c>
      <c r="AP659" s="37">
        <v>8</v>
      </c>
      <c r="AQ659" s="37">
        <v>8</v>
      </c>
      <c r="AR659" s="37">
        <v>8</v>
      </c>
      <c r="AS659" s="37">
        <v>8</v>
      </c>
      <c r="AT659" s="37">
        <v>8</v>
      </c>
    </row>
    <row r="660" spans="3:46" s="37" customFormat="1" x14ac:dyDescent="0.25"/>
    <row r="661" spans="3:46" s="37" customFormat="1" x14ac:dyDescent="0.25">
      <c r="C661" s="37" t="s">
        <v>21</v>
      </c>
      <c r="D661" s="37">
        <v>11</v>
      </c>
      <c r="E661" s="37">
        <v>11</v>
      </c>
      <c r="F661" s="37">
        <v>11</v>
      </c>
      <c r="G661" s="37">
        <v>11</v>
      </c>
      <c r="H661" s="37">
        <v>11</v>
      </c>
      <c r="I661" s="37">
        <v>10</v>
      </c>
      <c r="J661" s="37">
        <v>9</v>
      </c>
      <c r="K661" s="37">
        <v>5</v>
      </c>
      <c r="L661" s="37">
        <v>5</v>
      </c>
      <c r="M661" s="37">
        <v>5</v>
      </c>
      <c r="N661" s="37">
        <v>5</v>
      </c>
      <c r="O661" s="37">
        <v>5</v>
      </c>
      <c r="P661" s="37">
        <v>5</v>
      </c>
      <c r="Q661" s="37">
        <v>8</v>
      </c>
      <c r="R661" s="37">
        <v>9</v>
      </c>
      <c r="S661" s="37">
        <v>10</v>
      </c>
      <c r="T661" s="37">
        <v>11</v>
      </c>
      <c r="U661" s="37">
        <v>11</v>
      </c>
      <c r="V661" s="37">
        <v>11</v>
      </c>
      <c r="W661" s="37">
        <v>11</v>
      </c>
      <c r="X661" s="37">
        <v>11</v>
      </c>
      <c r="Z661" s="37">
        <v>11</v>
      </c>
      <c r="AA661" s="37">
        <v>11</v>
      </c>
      <c r="AB661" s="37">
        <v>11</v>
      </c>
      <c r="AC661" s="37">
        <v>11</v>
      </c>
      <c r="AD661" s="37">
        <v>11</v>
      </c>
      <c r="AE661" s="37">
        <v>11</v>
      </c>
      <c r="AF661" s="37">
        <v>11</v>
      </c>
      <c r="AG661" s="37">
        <v>5</v>
      </c>
      <c r="AH661" s="37">
        <v>5</v>
      </c>
      <c r="AI661" s="37">
        <v>5</v>
      </c>
      <c r="AJ661" s="37">
        <v>5</v>
      </c>
      <c r="AK661" s="37">
        <v>5</v>
      </c>
      <c r="AL661" s="37">
        <v>5</v>
      </c>
      <c r="AM661" s="37">
        <v>12</v>
      </c>
      <c r="AN661" s="37">
        <v>12</v>
      </c>
      <c r="AO661" s="37">
        <v>12</v>
      </c>
      <c r="AP661" s="37">
        <v>12</v>
      </c>
      <c r="AQ661" s="37">
        <v>12</v>
      </c>
      <c r="AR661" s="37">
        <v>12</v>
      </c>
      <c r="AS661" s="37">
        <v>12</v>
      </c>
      <c r="AT661" s="37">
        <v>12</v>
      </c>
    </row>
    <row r="662" spans="3:46" s="37" customFormat="1" x14ac:dyDescent="0.25"/>
    <row r="663" spans="3:46" s="37" customFormat="1" x14ac:dyDescent="0.25">
      <c r="C663" s="37" t="s">
        <v>20</v>
      </c>
      <c r="D663" s="37">
        <v>8</v>
      </c>
      <c r="E663" s="37">
        <v>8</v>
      </c>
      <c r="F663" s="37">
        <v>8</v>
      </c>
      <c r="G663" s="37">
        <v>8</v>
      </c>
      <c r="H663" s="37">
        <v>8</v>
      </c>
      <c r="I663" s="37">
        <v>8</v>
      </c>
      <c r="J663" s="37">
        <v>8</v>
      </c>
      <c r="K663" s="37">
        <v>8</v>
      </c>
      <c r="L663" s="37">
        <v>8</v>
      </c>
      <c r="M663" s="37">
        <v>7</v>
      </c>
      <c r="N663" s="37">
        <v>6</v>
      </c>
      <c r="O663" s="37">
        <v>6</v>
      </c>
      <c r="P663" s="37">
        <v>7</v>
      </c>
      <c r="Q663" s="37">
        <v>8</v>
      </c>
      <c r="R663" s="37">
        <v>8</v>
      </c>
      <c r="S663" s="37">
        <v>8</v>
      </c>
      <c r="T663" s="37">
        <v>8</v>
      </c>
      <c r="U663" s="37">
        <v>8</v>
      </c>
      <c r="V663" s="37">
        <v>8</v>
      </c>
      <c r="W663" s="37">
        <v>8</v>
      </c>
      <c r="X663" s="37">
        <v>8</v>
      </c>
      <c r="Z663" s="37">
        <v>8</v>
      </c>
      <c r="AA663" s="37">
        <v>8</v>
      </c>
      <c r="AB663" s="37">
        <v>8</v>
      </c>
      <c r="AC663" s="37">
        <v>8</v>
      </c>
      <c r="AD663" s="37">
        <v>8</v>
      </c>
      <c r="AE663" s="37">
        <v>8</v>
      </c>
      <c r="AF663" s="37">
        <v>8</v>
      </c>
      <c r="AG663" s="37">
        <v>8</v>
      </c>
      <c r="AH663" s="37">
        <v>8</v>
      </c>
      <c r="AI663" s="37">
        <v>8</v>
      </c>
      <c r="AJ663" s="37">
        <v>8</v>
      </c>
      <c r="AK663" s="37">
        <v>8</v>
      </c>
      <c r="AL663" s="37">
        <v>8</v>
      </c>
      <c r="AM663" s="37">
        <v>8</v>
      </c>
      <c r="AN663" s="37">
        <v>8</v>
      </c>
      <c r="AO663" s="37">
        <v>8</v>
      </c>
      <c r="AP663" s="37">
        <v>8</v>
      </c>
      <c r="AQ663" s="37">
        <v>8</v>
      </c>
      <c r="AR663" s="37">
        <v>8</v>
      </c>
      <c r="AS663" s="37">
        <v>8</v>
      </c>
      <c r="AT663" s="37">
        <v>8</v>
      </c>
    </row>
    <row r="664" spans="3:46" s="37" customFormat="1" x14ac:dyDescent="0.25"/>
    <row r="665" spans="3:46" s="37" customFormat="1" x14ac:dyDescent="0.25">
      <c r="C665" s="37" t="s">
        <v>21</v>
      </c>
      <c r="D665" s="37">
        <v>12</v>
      </c>
      <c r="E665" s="37">
        <v>12</v>
      </c>
      <c r="F665" s="37">
        <v>12</v>
      </c>
      <c r="G665" s="37">
        <v>12</v>
      </c>
      <c r="H665" s="37">
        <v>12</v>
      </c>
      <c r="I665" s="37">
        <v>12</v>
      </c>
      <c r="J665" s="37">
        <v>12</v>
      </c>
      <c r="K665" s="37">
        <v>12</v>
      </c>
      <c r="L665" s="37">
        <v>12</v>
      </c>
      <c r="M665" s="37">
        <v>12</v>
      </c>
      <c r="N665" s="37">
        <v>12</v>
      </c>
      <c r="O665" s="37">
        <v>12</v>
      </c>
      <c r="P665" s="37">
        <v>12</v>
      </c>
      <c r="Q665" s="37">
        <v>12</v>
      </c>
      <c r="R665" s="37">
        <v>12</v>
      </c>
      <c r="S665" s="37">
        <v>12</v>
      </c>
      <c r="T665" s="37">
        <v>12</v>
      </c>
      <c r="U665" s="37">
        <v>12</v>
      </c>
      <c r="V665" s="37">
        <v>11</v>
      </c>
      <c r="W665" s="37">
        <v>11</v>
      </c>
      <c r="X665" s="37">
        <v>11</v>
      </c>
      <c r="Z665" s="37">
        <v>12</v>
      </c>
      <c r="AA665" s="37">
        <v>12</v>
      </c>
      <c r="AB665" s="37">
        <v>12</v>
      </c>
      <c r="AC665" s="37">
        <v>12</v>
      </c>
      <c r="AD665" s="37">
        <v>12</v>
      </c>
      <c r="AE665" s="37">
        <v>12</v>
      </c>
      <c r="AF665" s="37">
        <v>12</v>
      </c>
      <c r="AG665" s="37">
        <v>12</v>
      </c>
      <c r="AH665" s="37">
        <v>12</v>
      </c>
      <c r="AI665" s="37">
        <v>12</v>
      </c>
      <c r="AJ665" s="37">
        <v>12</v>
      </c>
      <c r="AK665" s="37">
        <v>12</v>
      </c>
      <c r="AL665" s="37">
        <v>12</v>
      </c>
      <c r="AM665" s="37">
        <v>12</v>
      </c>
      <c r="AN665" s="37">
        <v>12</v>
      </c>
      <c r="AO665" s="37">
        <v>12</v>
      </c>
      <c r="AP665" s="37">
        <v>12</v>
      </c>
      <c r="AQ665" s="37">
        <v>12</v>
      </c>
      <c r="AR665" s="37">
        <v>12</v>
      </c>
      <c r="AS665" s="37">
        <v>12</v>
      </c>
      <c r="AT665" s="37">
        <v>12</v>
      </c>
    </row>
    <row r="666" spans="3:46" s="37" customFormat="1" x14ac:dyDescent="0.25"/>
    <row r="667" spans="3:46" s="37" customFormat="1" x14ac:dyDescent="0.25">
      <c r="C667" s="37" t="s">
        <v>20</v>
      </c>
      <c r="D667" s="37">
        <v>8</v>
      </c>
      <c r="E667" s="37">
        <v>8</v>
      </c>
      <c r="F667" s="37">
        <v>8</v>
      </c>
      <c r="G667" s="37">
        <v>8</v>
      </c>
      <c r="H667" s="37">
        <v>8</v>
      </c>
      <c r="I667" s="37">
        <v>8</v>
      </c>
      <c r="J667" s="37">
        <v>8</v>
      </c>
      <c r="K667" s="37">
        <v>4</v>
      </c>
      <c r="L667" s="37">
        <v>4</v>
      </c>
      <c r="M667" s="37">
        <v>4</v>
      </c>
      <c r="N667" s="37">
        <v>4</v>
      </c>
      <c r="O667" s="37">
        <v>4</v>
      </c>
      <c r="P667" s="37">
        <v>4</v>
      </c>
      <c r="Q667" s="37">
        <v>8</v>
      </c>
      <c r="R667" s="37">
        <v>9</v>
      </c>
      <c r="S667" s="37">
        <v>10</v>
      </c>
      <c r="T667" s="37">
        <v>10</v>
      </c>
      <c r="U667" s="37">
        <v>10</v>
      </c>
      <c r="V667" s="37">
        <v>10</v>
      </c>
      <c r="W667" s="37">
        <v>10</v>
      </c>
      <c r="X667" s="37">
        <v>10</v>
      </c>
      <c r="Z667" s="37">
        <v>8</v>
      </c>
      <c r="AA667" s="37">
        <v>8</v>
      </c>
      <c r="AB667" s="37">
        <v>8</v>
      </c>
      <c r="AC667" s="37">
        <v>8</v>
      </c>
      <c r="AD667" s="37">
        <v>8</v>
      </c>
      <c r="AE667" s="37">
        <v>8</v>
      </c>
      <c r="AF667" s="37">
        <v>8</v>
      </c>
      <c r="AG667" s="37">
        <v>4</v>
      </c>
      <c r="AH667" s="37">
        <v>4</v>
      </c>
      <c r="AI667" s="37">
        <v>4</v>
      </c>
      <c r="AJ667" s="37">
        <v>4</v>
      </c>
      <c r="AK667" s="37">
        <v>4</v>
      </c>
      <c r="AL667" s="37">
        <v>4</v>
      </c>
      <c r="AM667" s="37">
        <v>10</v>
      </c>
      <c r="AN667" s="37">
        <v>10</v>
      </c>
      <c r="AO667" s="37">
        <v>10</v>
      </c>
      <c r="AP667" s="37">
        <v>10</v>
      </c>
      <c r="AQ667" s="37">
        <v>10</v>
      </c>
      <c r="AR667" s="37">
        <v>10</v>
      </c>
      <c r="AS667" s="37">
        <v>10</v>
      </c>
      <c r="AT667" s="37">
        <v>10</v>
      </c>
    </row>
    <row r="668" spans="3:46" s="37" customFormat="1" x14ac:dyDescent="0.25"/>
    <row r="669" spans="3:46" s="37" customFormat="1" x14ac:dyDescent="0.25">
      <c r="C669" s="37" t="s">
        <v>21</v>
      </c>
      <c r="D669" s="37">
        <v>12</v>
      </c>
      <c r="E669" s="37">
        <v>12</v>
      </c>
      <c r="F669" s="37">
        <v>12</v>
      </c>
      <c r="G669" s="37">
        <v>12</v>
      </c>
      <c r="H669" s="37">
        <v>12</v>
      </c>
      <c r="I669" s="37">
        <v>11</v>
      </c>
      <c r="J669" s="37">
        <v>10</v>
      </c>
      <c r="K669" s="37">
        <v>5</v>
      </c>
      <c r="L669" s="37">
        <v>5</v>
      </c>
      <c r="M669" s="37">
        <v>5</v>
      </c>
      <c r="N669" s="37">
        <v>5</v>
      </c>
      <c r="O669" s="37">
        <v>5</v>
      </c>
      <c r="P669" s="37">
        <v>5</v>
      </c>
      <c r="Q669" s="37">
        <v>7</v>
      </c>
      <c r="R669" s="37">
        <v>8</v>
      </c>
      <c r="S669" s="37">
        <v>9</v>
      </c>
      <c r="T669" s="37">
        <v>10</v>
      </c>
      <c r="U669" s="37">
        <v>10</v>
      </c>
      <c r="V669" s="37">
        <v>10</v>
      </c>
      <c r="W669" s="37">
        <v>10</v>
      </c>
      <c r="X669" s="37">
        <v>10</v>
      </c>
      <c r="Z669" s="37">
        <v>12</v>
      </c>
      <c r="AA669" s="37">
        <v>12</v>
      </c>
      <c r="AB669" s="37">
        <v>12</v>
      </c>
      <c r="AC669" s="37">
        <v>12</v>
      </c>
      <c r="AD669" s="37">
        <v>12</v>
      </c>
      <c r="AE669" s="37">
        <v>12</v>
      </c>
      <c r="AF669" s="37">
        <v>12</v>
      </c>
      <c r="AG669" s="37">
        <v>5</v>
      </c>
      <c r="AH669" s="37">
        <v>5</v>
      </c>
      <c r="AI669" s="37">
        <v>5</v>
      </c>
      <c r="AJ669" s="37">
        <v>5</v>
      </c>
      <c r="AK669" s="37">
        <v>5</v>
      </c>
      <c r="AL669" s="37">
        <v>5</v>
      </c>
      <c r="AM669" s="37">
        <v>11</v>
      </c>
      <c r="AN669" s="37">
        <v>11</v>
      </c>
      <c r="AO669" s="37">
        <v>11</v>
      </c>
      <c r="AP669" s="37">
        <v>11</v>
      </c>
      <c r="AQ669" s="37">
        <v>11</v>
      </c>
      <c r="AR669" s="37">
        <v>11</v>
      </c>
      <c r="AS669" s="37">
        <v>11</v>
      </c>
      <c r="AT669" s="37">
        <v>11</v>
      </c>
    </row>
    <row r="670" spans="3:46" s="37" customFormat="1" x14ac:dyDescent="0.25"/>
    <row r="671" spans="3:46" s="37" customFormat="1" x14ac:dyDescent="0.25">
      <c r="C671" s="37" t="s">
        <v>20</v>
      </c>
      <c r="D671" s="37">
        <v>10</v>
      </c>
      <c r="E671" s="37">
        <v>10</v>
      </c>
      <c r="F671" s="37">
        <v>10</v>
      </c>
      <c r="G671" s="37">
        <v>10</v>
      </c>
      <c r="H671" s="37">
        <v>10</v>
      </c>
      <c r="I671" s="37">
        <v>10</v>
      </c>
      <c r="J671" s="37">
        <v>10</v>
      </c>
      <c r="K671" s="37">
        <v>4</v>
      </c>
      <c r="L671" s="37">
        <v>4</v>
      </c>
      <c r="M671" s="37">
        <v>4</v>
      </c>
      <c r="N671" s="37">
        <v>4</v>
      </c>
      <c r="O671" s="37">
        <v>4</v>
      </c>
      <c r="P671" s="37">
        <v>4</v>
      </c>
      <c r="Q671" s="37">
        <v>7</v>
      </c>
      <c r="R671" s="37">
        <v>8</v>
      </c>
      <c r="S671" s="37">
        <v>8</v>
      </c>
      <c r="T671" s="37">
        <v>8</v>
      </c>
      <c r="U671" s="37">
        <v>8</v>
      </c>
      <c r="V671" s="37">
        <v>8</v>
      </c>
      <c r="W671" s="37">
        <v>8</v>
      </c>
      <c r="X671" s="37">
        <v>8</v>
      </c>
      <c r="Z671" s="37">
        <v>10</v>
      </c>
      <c r="AA671" s="37">
        <v>10</v>
      </c>
      <c r="AB671" s="37">
        <v>10</v>
      </c>
      <c r="AC671" s="37">
        <v>10</v>
      </c>
      <c r="AD671" s="37">
        <v>10</v>
      </c>
      <c r="AE671" s="37">
        <v>10</v>
      </c>
      <c r="AF671" s="37">
        <v>10</v>
      </c>
      <c r="AG671" s="37">
        <v>4</v>
      </c>
      <c r="AH671" s="37">
        <v>4</v>
      </c>
      <c r="AI671" s="37">
        <v>4</v>
      </c>
      <c r="AJ671" s="37">
        <v>4</v>
      </c>
      <c r="AK671" s="37">
        <v>4</v>
      </c>
      <c r="AL671" s="37">
        <v>4</v>
      </c>
      <c r="AM671" s="37">
        <v>8</v>
      </c>
      <c r="AN671" s="37">
        <v>8</v>
      </c>
      <c r="AO671" s="37">
        <v>8</v>
      </c>
      <c r="AP671" s="37">
        <v>8</v>
      </c>
      <c r="AQ671" s="37">
        <v>8</v>
      </c>
      <c r="AR671" s="37">
        <v>8</v>
      </c>
      <c r="AS671" s="37">
        <v>8</v>
      </c>
      <c r="AT671" s="37">
        <v>8</v>
      </c>
    </row>
    <row r="672" spans="3:46" s="37" customFormat="1" x14ac:dyDescent="0.25"/>
    <row r="673" spans="3:46" s="37" customFormat="1" x14ac:dyDescent="0.25">
      <c r="C673" s="37" t="s">
        <v>21</v>
      </c>
      <c r="D673" s="37">
        <v>12</v>
      </c>
      <c r="E673" s="37">
        <v>12</v>
      </c>
      <c r="F673" s="37">
        <v>12</v>
      </c>
      <c r="G673" s="37">
        <v>12</v>
      </c>
      <c r="H673" s="37">
        <v>12</v>
      </c>
      <c r="I673" s="37">
        <v>11</v>
      </c>
      <c r="J673" s="37">
        <v>10</v>
      </c>
      <c r="K673" s="37">
        <v>5</v>
      </c>
      <c r="L673" s="37">
        <v>5</v>
      </c>
      <c r="M673" s="37">
        <v>5</v>
      </c>
      <c r="N673" s="37">
        <v>5</v>
      </c>
      <c r="O673" s="37">
        <v>5</v>
      </c>
      <c r="P673" s="37">
        <v>5</v>
      </c>
      <c r="Q673" s="37">
        <v>8</v>
      </c>
      <c r="R673" s="37">
        <v>9</v>
      </c>
      <c r="S673" s="37">
        <v>10</v>
      </c>
      <c r="T673" s="37">
        <v>11</v>
      </c>
      <c r="U673" s="37">
        <v>11</v>
      </c>
      <c r="V673" s="37">
        <v>11</v>
      </c>
      <c r="W673" s="37">
        <v>11</v>
      </c>
      <c r="X673" s="37">
        <v>11</v>
      </c>
      <c r="Z673" s="37">
        <v>12</v>
      </c>
      <c r="AA673" s="37">
        <v>12</v>
      </c>
      <c r="AB673" s="37">
        <v>12</v>
      </c>
      <c r="AC673" s="37">
        <v>12</v>
      </c>
      <c r="AD673" s="37">
        <v>12</v>
      </c>
      <c r="AE673" s="37">
        <v>12</v>
      </c>
      <c r="AF673" s="37">
        <v>12</v>
      </c>
      <c r="AG673" s="37">
        <v>5</v>
      </c>
      <c r="AH673" s="37">
        <v>5</v>
      </c>
      <c r="AI673" s="37">
        <v>5</v>
      </c>
      <c r="AJ673" s="37">
        <v>5</v>
      </c>
      <c r="AK673" s="37">
        <v>5</v>
      </c>
      <c r="AL673" s="37">
        <v>5</v>
      </c>
      <c r="AM673" s="37">
        <v>12</v>
      </c>
      <c r="AN673" s="37">
        <v>12</v>
      </c>
      <c r="AO673" s="37">
        <v>12</v>
      </c>
      <c r="AP673" s="37">
        <v>12</v>
      </c>
      <c r="AQ673" s="37">
        <v>12</v>
      </c>
      <c r="AR673" s="37">
        <v>12</v>
      </c>
      <c r="AS673" s="37">
        <v>12</v>
      </c>
      <c r="AT673" s="37">
        <v>12</v>
      </c>
    </row>
    <row r="674" spans="3:46" s="37" customFormat="1" x14ac:dyDescent="0.25"/>
    <row r="675" spans="3:46" s="37" customFormat="1" x14ac:dyDescent="0.25">
      <c r="C675" s="37" t="s">
        <v>20</v>
      </c>
      <c r="D675" s="37">
        <v>10</v>
      </c>
      <c r="E675" s="37">
        <v>10</v>
      </c>
      <c r="F675" s="37">
        <v>10</v>
      </c>
      <c r="G675" s="37">
        <v>10</v>
      </c>
      <c r="H675" s="37">
        <v>10</v>
      </c>
      <c r="I675" s="37">
        <v>10</v>
      </c>
      <c r="J675" s="37">
        <v>10</v>
      </c>
      <c r="K675" s="37">
        <v>4</v>
      </c>
      <c r="L675" s="37">
        <v>4</v>
      </c>
      <c r="M675" s="37">
        <v>4</v>
      </c>
      <c r="N675" s="37">
        <v>4</v>
      </c>
      <c r="O675" s="37">
        <v>4</v>
      </c>
      <c r="P675" s="37">
        <v>4</v>
      </c>
      <c r="Q675" s="37">
        <v>6</v>
      </c>
      <c r="R675" s="37">
        <v>6</v>
      </c>
      <c r="S675" s="37">
        <v>7</v>
      </c>
      <c r="T675" s="37">
        <v>7</v>
      </c>
      <c r="U675" s="37">
        <v>7</v>
      </c>
      <c r="V675" s="37">
        <v>7</v>
      </c>
      <c r="W675" s="37">
        <v>7</v>
      </c>
      <c r="X675" s="37">
        <v>7</v>
      </c>
      <c r="Z675" s="37">
        <v>10</v>
      </c>
      <c r="AA675" s="37">
        <v>10</v>
      </c>
      <c r="AB675" s="37">
        <v>10</v>
      </c>
      <c r="AC675" s="37">
        <v>10</v>
      </c>
      <c r="AD675" s="37">
        <v>10</v>
      </c>
      <c r="AE675" s="37">
        <v>10</v>
      </c>
      <c r="AF675" s="37">
        <v>10</v>
      </c>
      <c r="AG675" s="37">
        <v>4</v>
      </c>
      <c r="AH675" s="37">
        <v>4</v>
      </c>
      <c r="AI675" s="37">
        <v>4</v>
      </c>
      <c r="AJ675" s="37">
        <v>4</v>
      </c>
      <c r="AK675" s="37">
        <v>4</v>
      </c>
      <c r="AL675" s="37">
        <v>4</v>
      </c>
      <c r="AM675" s="37">
        <v>7</v>
      </c>
      <c r="AN675" s="37">
        <v>7</v>
      </c>
      <c r="AO675" s="37">
        <v>7</v>
      </c>
      <c r="AP675" s="37">
        <v>7</v>
      </c>
      <c r="AQ675" s="37">
        <v>7</v>
      </c>
      <c r="AR675" s="37">
        <v>7</v>
      </c>
      <c r="AS675" s="37">
        <v>7</v>
      </c>
      <c r="AT675" s="37">
        <v>7</v>
      </c>
    </row>
    <row r="676" spans="3:46" s="37" customFormat="1" x14ac:dyDescent="0.25"/>
    <row r="677" spans="3:46" s="37" customFormat="1" x14ac:dyDescent="0.25">
      <c r="C677" s="37" t="s">
        <v>21</v>
      </c>
      <c r="D677" s="37">
        <v>11</v>
      </c>
      <c r="E677" s="37">
        <v>11</v>
      </c>
      <c r="F677" s="37">
        <v>11</v>
      </c>
      <c r="G677" s="37">
        <v>11</v>
      </c>
      <c r="H677" s="37">
        <v>11</v>
      </c>
      <c r="I677" s="37">
        <v>10</v>
      </c>
      <c r="J677" s="37">
        <v>9</v>
      </c>
      <c r="K677" s="37">
        <v>4</v>
      </c>
      <c r="L677" s="37">
        <v>4</v>
      </c>
      <c r="M677" s="37">
        <v>4</v>
      </c>
      <c r="N677" s="37">
        <v>4</v>
      </c>
      <c r="O677" s="37">
        <v>4</v>
      </c>
      <c r="P677" s="37">
        <v>4</v>
      </c>
      <c r="Q677" s="37">
        <v>9</v>
      </c>
      <c r="R677" s="37">
        <v>10</v>
      </c>
      <c r="S677" s="37">
        <v>11</v>
      </c>
      <c r="T677" s="37">
        <v>12</v>
      </c>
      <c r="U677" s="37">
        <v>12</v>
      </c>
      <c r="V677" s="37">
        <v>12</v>
      </c>
      <c r="W677" s="37">
        <v>12</v>
      </c>
      <c r="X677" s="37">
        <v>12</v>
      </c>
      <c r="Z677" s="37">
        <v>11</v>
      </c>
      <c r="AA677" s="37">
        <v>11</v>
      </c>
      <c r="AB677" s="37">
        <v>11</v>
      </c>
      <c r="AC677" s="37">
        <v>11</v>
      </c>
      <c r="AD677" s="37">
        <v>11</v>
      </c>
      <c r="AE677" s="37">
        <v>11</v>
      </c>
      <c r="AF677" s="37">
        <v>11</v>
      </c>
      <c r="AG677" s="37">
        <v>4</v>
      </c>
      <c r="AH677" s="37">
        <v>4</v>
      </c>
      <c r="AI677" s="37">
        <v>4</v>
      </c>
      <c r="AJ677" s="37">
        <v>4</v>
      </c>
      <c r="AK677" s="37">
        <v>4</v>
      </c>
      <c r="AL677" s="37">
        <v>4</v>
      </c>
      <c r="AM677" s="37">
        <v>13</v>
      </c>
      <c r="AN677" s="37">
        <v>13</v>
      </c>
      <c r="AO677" s="37">
        <v>13</v>
      </c>
      <c r="AP677" s="37">
        <v>13</v>
      </c>
      <c r="AQ677" s="37">
        <v>13</v>
      </c>
      <c r="AR677" s="37">
        <v>13</v>
      </c>
      <c r="AS677" s="37">
        <v>13</v>
      </c>
      <c r="AT677" s="37">
        <v>13</v>
      </c>
    </row>
    <row r="678" spans="3:46" s="37" customFormat="1" x14ac:dyDescent="0.25"/>
    <row r="679" spans="3:46" s="37" customFormat="1" x14ac:dyDescent="0.25">
      <c r="C679" s="37" t="s">
        <v>20</v>
      </c>
      <c r="D679" s="37">
        <v>11</v>
      </c>
      <c r="E679" s="37">
        <v>11</v>
      </c>
      <c r="F679" s="37">
        <v>11</v>
      </c>
      <c r="G679" s="37">
        <v>11</v>
      </c>
      <c r="H679" s="37">
        <v>11</v>
      </c>
      <c r="I679" s="37">
        <v>11</v>
      </c>
      <c r="J679" s="37">
        <v>11</v>
      </c>
      <c r="K679" s="37">
        <v>4</v>
      </c>
      <c r="L679" s="37">
        <v>4</v>
      </c>
      <c r="M679" s="37">
        <v>4</v>
      </c>
      <c r="N679" s="37">
        <v>4</v>
      </c>
      <c r="O679" s="37">
        <v>4</v>
      </c>
      <c r="P679" s="37">
        <v>4</v>
      </c>
      <c r="Q679" s="37">
        <v>9</v>
      </c>
      <c r="R679" s="37">
        <v>10</v>
      </c>
      <c r="S679" s="37">
        <v>10</v>
      </c>
      <c r="T679" s="37">
        <v>10</v>
      </c>
      <c r="U679" s="37">
        <v>10</v>
      </c>
      <c r="V679" s="37">
        <v>10</v>
      </c>
      <c r="W679" s="37">
        <v>10</v>
      </c>
      <c r="X679" s="37">
        <v>10</v>
      </c>
      <c r="Z679" s="37">
        <v>11</v>
      </c>
      <c r="AA679" s="37">
        <v>11</v>
      </c>
      <c r="AB679" s="37">
        <v>11</v>
      </c>
      <c r="AC679" s="37">
        <v>11</v>
      </c>
      <c r="AD679" s="37">
        <v>11</v>
      </c>
      <c r="AE679" s="37">
        <v>11</v>
      </c>
      <c r="AF679" s="37">
        <v>11</v>
      </c>
      <c r="AG679" s="37">
        <v>4</v>
      </c>
      <c r="AH679" s="37">
        <v>4</v>
      </c>
      <c r="AI679" s="37">
        <v>4</v>
      </c>
      <c r="AJ679" s="37">
        <v>4</v>
      </c>
      <c r="AK679" s="37">
        <v>4</v>
      </c>
      <c r="AL679" s="37">
        <v>4</v>
      </c>
      <c r="AM679" s="37">
        <v>10</v>
      </c>
      <c r="AN679" s="37">
        <v>10</v>
      </c>
      <c r="AO679" s="37">
        <v>10</v>
      </c>
      <c r="AP679" s="37">
        <v>10</v>
      </c>
      <c r="AQ679" s="37">
        <v>10</v>
      </c>
      <c r="AR679" s="37">
        <v>10</v>
      </c>
      <c r="AS679" s="37">
        <v>10</v>
      </c>
      <c r="AT679" s="37">
        <v>10</v>
      </c>
    </row>
    <row r="680" spans="3:46" s="37" customFormat="1" x14ac:dyDescent="0.25"/>
    <row r="681" spans="3:46" s="37" customFormat="1" x14ac:dyDescent="0.25">
      <c r="C681" s="37" t="s">
        <v>21</v>
      </c>
      <c r="D681" s="37">
        <v>14</v>
      </c>
      <c r="E681" s="37">
        <v>14</v>
      </c>
      <c r="F681" s="37">
        <v>14</v>
      </c>
      <c r="G681" s="37">
        <v>14</v>
      </c>
      <c r="H681" s="37">
        <v>14</v>
      </c>
      <c r="I681" s="37">
        <v>13</v>
      </c>
      <c r="J681" s="37">
        <v>12</v>
      </c>
      <c r="K681" s="37">
        <v>4</v>
      </c>
      <c r="L681" s="37">
        <v>4</v>
      </c>
      <c r="M681" s="37">
        <v>4</v>
      </c>
      <c r="N681" s="37">
        <v>4</v>
      </c>
      <c r="O681" s="37">
        <v>4</v>
      </c>
      <c r="P681" s="37">
        <v>4</v>
      </c>
      <c r="Q681" s="37">
        <v>9</v>
      </c>
      <c r="R681" s="37">
        <v>11</v>
      </c>
      <c r="S681" s="37">
        <v>12</v>
      </c>
      <c r="T681" s="37">
        <v>13</v>
      </c>
      <c r="U681" s="37">
        <v>13</v>
      </c>
      <c r="V681" s="37">
        <v>13</v>
      </c>
      <c r="W681" s="37">
        <v>13</v>
      </c>
      <c r="X681" s="37">
        <v>13</v>
      </c>
      <c r="Z681" s="37">
        <v>14</v>
      </c>
      <c r="AA681" s="37">
        <v>14</v>
      </c>
      <c r="AB681" s="37">
        <v>14</v>
      </c>
      <c r="AC681" s="37">
        <v>14</v>
      </c>
      <c r="AD681" s="37">
        <v>14</v>
      </c>
      <c r="AE681" s="37">
        <v>14</v>
      </c>
      <c r="AF681" s="37">
        <v>14</v>
      </c>
      <c r="AG681" s="37">
        <v>4</v>
      </c>
      <c r="AH681" s="37">
        <v>4</v>
      </c>
      <c r="AI681" s="37">
        <v>4</v>
      </c>
      <c r="AJ681" s="37">
        <v>4</v>
      </c>
      <c r="AK681" s="37">
        <v>4</v>
      </c>
      <c r="AL681" s="37">
        <v>4</v>
      </c>
      <c r="AM681" s="37">
        <v>14</v>
      </c>
      <c r="AN681" s="37">
        <v>14</v>
      </c>
      <c r="AO681" s="37">
        <v>14</v>
      </c>
      <c r="AP681" s="37">
        <v>14</v>
      </c>
      <c r="AQ681" s="37">
        <v>14</v>
      </c>
      <c r="AR681" s="37">
        <v>14</v>
      </c>
      <c r="AS681" s="37">
        <v>14</v>
      </c>
      <c r="AT681" s="37">
        <v>14</v>
      </c>
    </row>
    <row r="682" spans="3:46" s="37" customFormat="1" x14ac:dyDescent="0.25"/>
    <row r="683" spans="3:46" s="37" customFormat="1" x14ac:dyDescent="0.25">
      <c r="C683" s="37" t="s">
        <v>20</v>
      </c>
      <c r="D683" s="37">
        <v>8</v>
      </c>
      <c r="E683" s="37">
        <v>8</v>
      </c>
      <c r="F683" s="37">
        <v>8</v>
      </c>
      <c r="G683" s="37">
        <v>8</v>
      </c>
      <c r="H683" s="37">
        <v>8</v>
      </c>
      <c r="I683" s="37">
        <v>8</v>
      </c>
      <c r="J683" s="37">
        <v>8</v>
      </c>
      <c r="K683" s="37">
        <v>3</v>
      </c>
      <c r="L683" s="37">
        <v>3</v>
      </c>
      <c r="M683" s="37">
        <v>3</v>
      </c>
      <c r="N683" s="37">
        <v>3</v>
      </c>
      <c r="O683" s="37">
        <v>3</v>
      </c>
      <c r="P683" s="37">
        <v>3</v>
      </c>
      <c r="Q683" s="37">
        <v>4</v>
      </c>
      <c r="R683" s="37">
        <v>5</v>
      </c>
      <c r="S683" s="37">
        <v>5</v>
      </c>
      <c r="T683" s="37">
        <v>6</v>
      </c>
      <c r="U683" s="37">
        <v>6</v>
      </c>
      <c r="V683" s="37">
        <v>6</v>
      </c>
      <c r="W683" s="37">
        <v>6</v>
      </c>
      <c r="X683" s="37">
        <v>6</v>
      </c>
      <c r="Z683" s="37">
        <v>8</v>
      </c>
      <c r="AA683" s="37">
        <v>8</v>
      </c>
      <c r="AB683" s="37">
        <v>8</v>
      </c>
      <c r="AC683" s="37">
        <v>8</v>
      </c>
      <c r="AD683" s="37">
        <v>8</v>
      </c>
      <c r="AE683" s="37">
        <v>8</v>
      </c>
      <c r="AF683" s="37">
        <v>8</v>
      </c>
      <c r="AG683" s="37">
        <v>3</v>
      </c>
      <c r="AH683" s="37">
        <v>3</v>
      </c>
      <c r="AI683" s="37">
        <v>3</v>
      </c>
      <c r="AJ683" s="37">
        <v>3</v>
      </c>
      <c r="AK683" s="37">
        <v>3</v>
      </c>
      <c r="AL683" s="37">
        <v>3</v>
      </c>
      <c r="AM683" s="37">
        <v>6</v>
      </c>
      <c r="AN683" s="37">
        <v>6</v>
      </c>
      <c r="AO683" s="37">
        <v>6</v>
      </c>
      <c r="AP683" s="37">
        <v>6</v>
      </c>
      <c r="AQ683" s="37">
        <v>6</v>
      </c>
      <c r="AR683" s="37">
        <v>6</v>
      </c>
      <c r="AS683" s="37">
        <v>6</v>
      </c>
      <c r="AT683" s="37">
        <v>6</v>
      </c>
    </row>
    <row r="684" spans="3:46" s="37" customFormat="1" x14ac:dyDescent="0.25"/>
    <row r="685" spans="3:46" s="37" customFormat="1" x14ac:dyDescent="0.25">
      <c r="C685" s="37" t="s">
        <v>21</v>
      </c>
      <c r="D685" s="37">
        <v>9</v>
      </c>
      <c r="E685" s="37">
        <v>9</v>
      </c>
      <c r="F685" s="37">
        <v>9</v>
      </c>
      <c r="G685" s="37">
        <v>9</v>
      </c>
      <c r="H685" s="37">
        <v>9</v>
      </c>
      <c r="I685" s="37">
        <v>8</v>
      </c>
      <c r="J685" s="37">
        <v>7</v>
      </c>
      <c r="K685" s="37">
        <v>4</v>
      </c>
      <c r="L685" s="37">
        <v>4</v>
      </c>
      <c r="M685" s="37">
        <v>4</v>
      </c>
      <c r="N685" s="37">
        <v>4</v>
      </c>
      <c r="O685" s="37">
        <v>4</v>
      </c>
      <c r="P685" s="37">
        <v>4</v>
      </c>
      <c r="Q685" s="37">
        <v>6</v>
      </c>
      <c r="R685" s="37">
        <v>7</v>
      </c>
      <c r="S685" s="37">
        <v>8</v>
      </c>
      <c r="T685" s="37">
        <v>9</v>
      </c>
      <c r="U685" s="37">
        <v>10</v>
      </c>
      <c r="V685" s="37">
        <v>10</v>
      </c>
      <c r="W685" s="37">
        <v>10</v>
      </c>
      <c r="X685" s="37">
        <v>10</v>
      </c>
      <c r="Z685" s="37">
        <v>9</v>
      </c>
      <c r="AA685" s="37">
        <v>9</v>
      </c>
      <c r="AB685" s="37">
        <v>9</v>
      </c>
      <c r="AC685" s="37">
        <v>9</v>
      </c>
      <c r="AD685" s="37">
        <v>9</v>
      </c>
      <c r="AE685" s="37">
        <v>9</v>
      </c>
      <c r="AF685" s="37">
        <v>9</v>
      </c>
      <c r="AG685" s="37">
        <v>4</v>
      </c>
      <c r="AH685" s="37">
        <v>4</v>
      </c>
      <c r="AI685" s="37">
        <v>4</v>
      </c>
      <c r="AJ685" s="37">
        <v>4</v>
      </c>
      <c r="AK685" s="37">
        <v>4</v>
      </c>
      <c r="AL685" s="37">
        <v>4</v>
      </c>
      <c r="AM685" s="37">
        <v>10</v>
      </c>
      <c r="AN685" s="37">
        <v>10</v>
      </c>
      <c r="AO685" s="37">
        <v>10</v>
      </c>
      <c r="AP685" s="37">
        <v>10</v>
      </c>
      <c r="AQ685" s="37">
        <v>10</v>
      </c>
      <c r="AR685" s="37">
        <v>10</v>
      </c>
      <c r="AS685" s="37">
        <v>10</v>
      </c>
      <c r="AT685" s="37">
        <v>10</v>
      </c>
    </row>
    <row r="686" spans="3:46" s="37" customFormat="1" x14ac:dyDescent="0.25"/>
    <row r="687" spans="3:46" s="37" customFormat="1" x14ac:dyDescent="0.25">
      <c r="C687" s="37" t="s">
        <v>20</v>
      </c>
      <c r="D687" s="37">
        <v>7</v>
      </c>
      <c r="E687" s="37">
        <v>7</v>
      </c>
      <c r="F687" s="37">
        <v>7</v>
      </c>
      <c r="G687" s="37">
        <v>7</v>
      </c>
      <c r="H687" s="37">
        <v>7</v>
      </c>
      <c r="I687" s="37">
        <v>6</v>
      </c>
      <c r="J687" s="37">
        <v>6</v>
      </c>
      <c r="K687" s="37">
        <v>3</v>
      </c>
      <c r="L687" s="37">
        <v>3</v>
      </c>
      <c r="M687" s="37">
        <v>3</v>
      </c>
      <c r="N687" s="37">
        <v>3</v>
      </c>
      <c r="O687" s="37">
        <v>3</v>
      </c>
      <c r="P687" s="37">
        <v>3</v>
      </c>
      <c r="Q687" s="37">
        <v>5</v>
      </c>
      <c r="R687" s="37">
        <v>6</v>
      </c>
      <c r="S687" s="37">
        <v>6</v>
      </c>
      <c r="T687" s="37">
        <v>7</v>
      </c>
      <c r="U687" s="37">
        <v>8</v>
      </c>
      <c r="V687" s="37">
        <v>8</v>
      </c>
      <c r="W687" s="37">
        <v>8</v>
      </c>
      <c r="X687" s="37">
        <v>8</v>
      </c>
      <c r="Z687" s="37">
        <v>7</v>
      </c>
      <c r="AA687" s="37">
        <v>7</v>
      </c>
      <c r="AB687" s="37">
        <v>7</v>
      </c>
      <c r="AC687" s="37">
        <v>7</v>
      </c>
      <c r="AD687" s="37">
        <v>7</v>
      </c>
      <c r="AE687" s="37">
        <v>7</v>
      </c>
      <c r="AF687" s="37">
        <v>7</v>
      </c>
      <c r="AG687" s="37">
        <v>3</v>
      </c>
      <c r="AH687" s="37">
        <v>3</v>
      </c>
      <c r="AI687" s="37">
        <v>3</v>
      </c>
      <c r="AJ687" s="37">
        <v>3</v>
      </c>
      <c r="AK687" s="37">
        <v>3</v>
      </c>
      <c r="AL687" s="37">
        <v>3</v>
      </c>
      <c r="AM687" s="37">
        <v>8</v>
      </c>
      <c r="AN687" s="37">
        <v>8</v>
      </c>
      <c r="AO687" s="37">
        <v>8</v>
      </c>
      <c r="AP687" s="37">
        <v>8</v>
      </c>
      <c r="AQ687" s="37">
        <v>8</v>
      </c>
      <c r="AR687" s="37">
        <v>8</v>
      </c>
      <c r="AS687" s="37">
        <v>8</v>
      </c>
      <c r="AT687" s="37">
        <v>8</v>
      </c>
    </row>
    <row r="688" spans="3:46" s="37" customFormat="1" x14ac:dyDescent="0.25"/>
    <row r="689" spans="3:46" s="37" customFormat="1" x14ac:dyDescent="0.25">
      <c r="C689" s="37" t="s">
        <v>21</v>
      </c>
      <c r="D689" s="37">
        <v>6</v>
      </c>
      <c r="E689" s="37">
        <v>6</v>
      </c>
      <c r="F689" s="37">
        <v>6</v>
      </c>
      <c r="G689" s="37">
        <v>6</v>
      </c>
      <c r="H689" s="37">
        <v>5</v>
      </c>
      <c r="I689" s="37">
        <v>5</v>
      </c>
      <c r="J689" s="37">
        <v>4</v>
      </c>
      <c r="K689" s="37">
        <v>4</v>
      </c>
      <c r="L689" s="37">
        <v>4</v>
      </c>
      <c r="M689" s="37">
        <v>4</v>
      </c>
      <c r="N689" s="37">
        <v>4</v>
      </c>
      <c r="O689" s="37">
        <v>4</v>
      </c>
      <c r="P689" s="37">
        <v>4</v>
      </c>
      <c r="Q689" s="37">
        <v>4</v>
      </c>
      <c r="R689" s="37">
        <v>4</v>
      </c>
      <c r="S689" s="37">
        <v>4</v>
      </c>
      <c r="T689" s="37">
        <v>5</v>
      </c>
      <c r="U689" s="37">
        <v>5</v>
      </c>
      <c r="V689" s="37">
        <v>6</v>
      </c>
      <c r="W689" s="37">
        <v>6</v>
      </c>
      <c r="X689" s="37">
        <v>6</v>
      </c>
      <c r="Z689" s="37">
        <v>6</v>
      </c>
      <c r="AA689" s="37">
        <v>6</v>
      </c>
      <c r="AB689" s="37">
        <v>6</v>
      </c>
      <c r="AC689" s="37">
        <v>6</v>
      </c>
      <c r="AD689" s="37">
        <v>6</v>
      </c>
      <c r="AE689" s="37">
        <v>6</v>
      </c>
      <c r="AF689" s="37">
        <v>6</v>
      </c>
      <c r="AG689" s="37">
        <v>4</v>
      </c>
      <c r="AH689" s="37">
        <v>4</v>
      </c>
      <c r="AI689" s="37">
        <v>4</v>
      </c>
      <c r="AJ689" s="37">
        <v>4</v>
      </c>
      <c r="AK689" s="37">
        <v>4</v>
      </c>
      <c r="AL689" s="37">
        <v>4</v>
      </c>
      <c r="AM689" s="37">
        <v>6</v>
      </c>
      <c r="AN689" s="37">
        <v>6</v>
      </c>
      <c r="AO689" s="37">
        <v>6</v>
      </c>
      <c r="AP689" s="37">
        <v>6</v>
      </c>
      <c r="AQ689" s="37">
        <v>6</v>
      </c>
      <c r="AR689" s="37">
        <v>6</v>
      </c>
      <c r="AS689" s="37">
        <v>6</v>
      </c>
      <c r="AT689" s="37">
        <v>6</v>
      </c>
    </row>
    <row r="690" spans="3:46" s="37" customFormat="1" x14ac:dyDescent="0.25"/>
    <row r="691" spans="3:46" s="37" customFormat="1" x14ac:dyDescent="0.25">
      <c r="C691" s="37" t="s">
        <v>20</v>
      </c>
      <c r="D691" s="37">
        <v>8</v>
      </c>
      <c r="E691" s="37">
        <v>8</v>
      </c>
      <c r="F691" s="37">
        <v>8</v>
      </c>
      <c r="G691" s="37">
        <v>8</v>
      </c>
      <c r="H691" s="37">
        <v>8</v>
      </c>
      <c r="I691" s="37">
        <v>8</v>
      </c>
      <c r="J691" s="37">
        <v>8</v>
      </c>
      <c r="K691" s="37">
        <v>8</v>
      </c>
      <c r="L691" s="37">
        <v>7</v>
      </c>
      <c r="M691" s="37">
        <v>6</v>
      </c>
      <c r="N691" s="37">
        <v>6</v>
      </c>
      <c r="O691" s="37">
        <v>6</v>
      </c>
      <c r="P691" s="37">
        <v>7</v>
      </c>
      <c r="Q691" s="37">
        <v>8</v>
      </c>
      <c r="R691" s="37">
        <v>9</v>
      </c>
      <c r="S691" s="37">
        <v>9</v>
      </c>
      <c r="T691" s="37">
        <v>9</v>
      </c>
      <c r="U691" s="37">
        <v>9</v>
      </c>
      <c r="V691" s="37">
        <v>9</v>
      </c>
      <c r="W691" s="37">
        <v>9</v>
      </c>
      <c r="X691" s="37">
        <v>9</v>
      </c>
      <c r="Z691" s="37">
        <v>8</v>
      </c>
      <c r="AA691" s="37">
        <v>8</v>
      </c>
      <c r="AB691" s="37">
        <v>8</v>
      </c>
      <c r="AC691" s="37">
        <v>8</v>
      </c>
      <c r="AD691" s="37">
        <v>8</v>
      </c>
      <c r="AE691" s="37">
        <v>8</v>
      </c>
      <c r="AF691" s="37">
        <v>8</v>
      </c>
      <c r="AG691" s="37">
        <v>8</v>
      </c>
      <c r="AH691" s="37">
        <v>8</v>
      </c>
      <c r="AI691" s="37">
        <v>8</v>
      </c>
      <c r="AJ691" s="37">
        <v>8</v>
      </c>
      <c r="AK691" s="37">
        <v>8</v>
      </c>
      <c r="AL691" s="37">
        <v>8</v>
      </c>
      <c r="AM691" s="37">
        <v>9</v>
      </c>
      <c r="AN691" s="37">
        <v>9</v>
      </c>
      <c r="AO691" s="37">
        <v>9</v>
      </c>
      <c r="AP691" s="37">
        <v>9</v>
      </c>
      <c r="AQ691" s="37">
        <v>9</v>
      </c>
      <c r="AR691" s="37">
        <v>9</v>
      </c>
      <c r="AS691" s="37">
        <v>9</v>
      </c>
      <c r="AT691" s="37">
        <v>9</v>
      </c>
    </row>
    <row r="692" spans="3:46" s="37" customFormat="1" x14ac:dyDescent="0.25"/>
    <row r="693" spans="3:46" s="37" customFormat="1" x14ac:dyDescent="0.25">
      <c r="C693" s="37" t="s">
        <v>21</v>
      </c>
      <c r="D693" s="37">
        <v>12</v>
      </c>
      <c r="E693" s="37">
        <v>12</v>
      </c>
      <c r="F693" s="37">
        <v>12</v>
      </c>
      <c r="G693" s="37">
        <v>12</v>
      </c>
      <c r="H693" s="37">
        <v>12</v>
      </c>
      <c r="I693" s="37">
        <v>12</v>
      </c>
      <c r="J693" s="37">
        <v>12</v>
      </c>
      <c r="K693" s="37">
        <v>12</v>
      </c>
      <c r="L693" s="37">
        <v>12</v>
      </c>
      <c r="M693" s="37">
        <v>12</v>
      </c>
      <c r="N693" s="37">
        <v>12</v>
      </c>
      <c r="O693" s="37">
        <v>12</v>
      </c>
      <c r="P693" s="37">
        <v>12</v>
      </c>
      <c r="Q693" s="37">
        <v>12</v>
      </c>
      <c r="R693" s="37">
        <v>12</v>
      </c>
      <c r="S693" s="37">
        <v>12</v>
      </c>
      <c r="T693" s="37">
        <v>12</v>
      </c>
      <c r="U693" s="37">
        <v>12</v>
      </c>
      <c r="V693" s="37">
        <v>11</v>
      </c>
      <c r="W693" s="37">
        <v>11</v>
      </c>
      <c r="X693" s="37">
        <v>11</v>
      </c>
      <c r="Z693" s="37">
        <v>12</v>
      </c>
      <c r="AA693" s="37">
        <v>12</v>
      </c>
      <c r="AB693" s="37">
        <v>12</v>
      </c>
      <c r="AC693" s="37">
        <v>12</v>
      </c>
      <c r="AD693" s="37">
        <v>12</v>
      </c>
      <c r="AE693" s="37">
        <v>12</v>
      </c>
      <c r="AF693" s="37">
        <v>12</v>
      </c>
      <c r="AG693" s="37">
        <v>12</v>
      </c>
      <c r="AH693" s="37">
        <v>12</v>
      </c>
      <c r="AI693" s="37">
        <v>12</v>
      </c>
      <c r="AJ693" s="37">
        <v>12</v>
      </c>
      <c r="AK693" s="37">
        <v>12</v>
      </c>
      <c r="AL693" s="37">
        <v>12</v>
      </c>
      <c r="AM693" s="37">
        <v>12</v>
      </c>
      <c r="AN693" s="37">
        <v>12</v>
      </c>
      <c r="AO693" s="37">
        <v>12</v>
      </c>
      <c r="AP693" s="37">
        <v>12</v>
      </c>
      <c r="AQ693" s="37">
        <v>12</v>
      </c>
      <c r="AR693" s="37">
        <v>12</v>
      </c>
      <c r="AS693" s="37">
        <v>12</v>
      </c>
      <c r="AT693" s="37">
        <v>12</v>
      </c>
    </row>
    <row r="694" spans="3:46" s="37" customFormat="1" x14ac:dyDescent="0.25"/>
    <row r="695" spans="3:46" s="37" customFormat="1" x14ac:dyDescent="0.25">
      <c r="C695" s="37" t="s">
        <v>20</v>
      </c>
      <c r="D695" s="37">
        <v>7</v>
      </c>
      <c r="E695" s="37">
        <v>7</v>
      </c>
      <c r="F695" s="37">
        <v>7</v>
      </c>
      <c r="G695" s="37">
        <v>7</v>
      </c>
      <c r="H695" s="37">
        <v>7</v>
      </c>
      <c r="I695" s="37">
        <v>7</v>
      </c>
      <c r="J695" s="37">
        <v>7</v>
      </c>
      <c r="K695" s="37">
        <v>6</v>
      </c>
      <c r="L695" s="37">
        <v>6</v>
      </c>
      <c r="M695" s="37">
        <v>5</v>
      </c>
      <c r="N695" s="37">
        <v>5</v>
      </c>
      <c r="O695" s="37">
        <v>6</v>
      </c>
      <c r="P695" s="37">
        <v>7</v>
      </c>
      <c r="Q695" s="37">
        <v>8</v>
      </c>
      <c r="R695" s="37">
        <v>9</v>
      </c>
      <c r="S695" s="37">
        <v>9</v>
      </c>
      <c r="T695" s="37">
        <v>9</v>
      </c>
      <c r="U695" s="37">
        <v>9</v>
      </c>
      <c r="V695" s="37">
        <v>9</v>
      </c>
      <c r="W695" s="37">
        <v>9</v>
      </c>
      <c r="X695" s="37">
        <v>9</v>
      </c>
      <c r="Z695" s="37">
        <v>7</v>
      </c>
      <c r="AA695" s="37">
        <v>7</v>
      </c>
      <c r="AB695" s="37">
        <v>7</v>
      </c>
      <c r="AC695" s="37">
        <v>7</v>
      </c>
      <c r="AD695" s="37">
        <v>7</v>
      </c>
      <c r="AE695" s="37">
        <v>7</v>
      </c>
      <c r="AF695" s="37">
        <v>7</v>
      </c>
      <c r="AG695" s="37">
        <v>7</v>
      </c>
      <c r="AH695" s="37">
        <v>7</v>
      </c>
      <c r="AI695" s="37">
        <v>7</v>
      </c>
      <c r="AJ695" s="37">
        <v>7</v>
      </c>
      <c r="AK695" s="37">
        <v>7</v>
      </c>
      <c r="AL695" s="37">
        <v>7</v>
      </c>
      <c r="AM695" s="37">
        <v>9</v>
      </c>
      <c r="AN695" s="37">
        <v>9</v>
      </c>
      <c r="AO695" s="37">
        <v>9</v>
      </c>
      <c r="AP695" s="37">
        <v>9</v>
      </c>
      <c r="AQ695" s="37">
        <v>9</v>
      </c>
      <c r="AR695" s="37">
        <v>9</v>
      </c>
      <c r="AS695" s="37">
        <v>9</v>
      </c>
      <c r="AT695" s="37">
        <v>9</v>
      </c>
    </row>
    <row r="696" spans="3:46" s="37" customFormat="1" x14ac:dyDescent="0.25"/>
    <row r="697" spans="3:46" s="37" customFormat="1" x14ac:dyDescent="0.25">
      <c r="C697" s="37" t="s">
        <v>21</v>
      </c>
      <c r="D697" s="37">
        <v>13</v>
      </c>
      <c r="E697" s="37">
        <v>13</v>
      </c>
      <c r="F697" s="37">
        <v>13</v>
      </c>
      <c r="G697" s="37">
        <v>13</v>
      </c>
      <c r="H697" s="37">
        <v>13</v>
      </c>
      <c r="I697" s="37">
        <v>12</v>
      </c>
      <c r="J697" s="37">
        <v>11</v>
      </c>
      <c r="K697" s="37">
        <v>10</v>
      </c>
      <c r="L697" s="37">
        <v>10</v>
      </c>
      <c r="M697" s="37">
        <v>10</v>
      </c>
      <c r="N697" s="37">
        <v>10</v>
      </c>
      <c r="O697" s="37">
        <v>10</v>
      </c>
      <c r="P697" s="37">
        <v>10</v>
      </c>
      <c r="Q697" s="37">
        <v>10</v>
      </c>
      <c r="R697" s="37">
        <v>10</v>
      </c>
      <c r="S697" s="37">
        <v>10</v>
      </c>
      <c r="T697" s="37">
        <v>10</v>
      </c>
      <c r="U697" s="37">
        <v>10</v>
      </c>
      <c r="V697" s="37">
        <v>10</v>
      </c>
      <c r="W697" s="37">
        <v>10</v>
      </c>
      <c r="X697" s="37">
        <v>10</v>
      </c>
      <c r="Z697" s="37">
        <v>13</v>
      </c>
      <c r="AA697" s="37">
        <v>13</v>
      </c>
      <c r="AB697" s="37">
        <v>13</v>
      </c>
      <c r="AC697" s="37">
        <v>13</v>
      </c>
      <c r="AD697" s="37">
        <v>13</v>
      </c>
      <c r="AE697" s="37">
        <v>13</v>
      </c>
      <c r="AF697" s="37">
        <v>13</v>
      </c>
      <c r="AG697" s="37">
        <v>10</v>
      </c>
      <c r="AH697" s="37">
        <v>10</v>
      </c>
      <c r="AI697" s="37">
        <v>10</v>
      </c>
      <c r="AJ697" s="37">
        <v>10</v>
      </c>
      <c r="AK697" s="37">
        <v>10</v>
      </c>
      <c r="AL697" s="37">
        <v>10</v>
      </c>
      <c r="AM697" s="37">
        <v>10</v>
      </c>
      <c r="AN697" s="37">
        <v>10</v>
      </c>
      <c r="AO697" s="37">
        <v>10</v>
      </c>
      <c r="AP697" s="37">
        <v>10</v>
      </c>
      <c r="AQ697" s="37">
        <v>10</v>
      </c>
      <c r="AR697" s="37">
        <v>10</v>
      </c>
      <c r="AS697" s="37">
        <v>10</v>
      </c>
      <c r="AT697" s="37">
        <v>10</v>
      </c>
    </row>
    <row r="698" spans="3:46" s="37" customFormat="1" x14ac:dyDescent="0.25"/>
    <row r="699" spans="3:46" s="37" customFormat="1" x14ac:dyDescent="0.25">
      <c r="C699" s="37" t="s">
        <v>20</v>
      </c>
      <c r="D699" s="37">
        <v>8</v>
      </c>
      <c r="E699" s="37">
        <v>8</v>
      </c>
      <c r="F699" s="37">
        <v>8</v>
      </c>
      <c r="G699" s="37">
        <v>8</v>
      </c>
      <c r="H699" s="37">
        <v>8</v>
      </c>
      <c r="I699" s="37">
        <v>7</v>
      </c>
      <c r="J699" s="37">
        <v>6</v>
      </c>
      <c r="K699" s="37">
        <v>3</v>
      </c>
      <c r="L699" s="37">
        <v>3</v>
      </c>
      <c r="M699" s="37">
        <v>3</v>
      </c>
      <c r="N699" s="37">
        <v>3</v>
      </c>
      <c r="O699" s="37">
        <v>3</v>
      </c>
      <c r="P699" s="37">
        <v>3</v>
      </c>
      <c r="Q699" s="37">
        <v>5</v>
      </c>
      <c r="R699" s="37">
        <v>6</v>
      </c>
      <c r="S699" s="37">
        <v>6</v>
      </c>
      <c r="T699" s="37">
        <v>7</v>
      </c>
      <c r="U699" s="37">
        <v>8</v>
      </c>
      <c r="V699" s="37">
        <v>8</v>
      </c>
      <c r="W699" s="37">
        <v>8</v>
      </c>
      <c r="X699" s="37">
        <v>8</v>
      </c>
      <c r="Z699" s="37">
        <v>8</v>
      </c>
      <c r="AA699" s="37">
        <v>8</v>
      </c>
      <c r="AB699" s="37">
        <v>8</v>
      </c>
      <c r="AC699" s="37">
        <v>8</v>
      </c>
      <c r="AD699" s="37">
        <v>8</v>
      </c>
      <c r="AE699" s="37">
        <v>8</v>
      </c>
      <c r="AF699" s="37">
        <v>8</v>
      </c>
      <c r="AG699" s="37">
        <v>3</v>
      </c>
      <c r="AH699" s="37">
        <v>3</v>
      </c>
      <c r="AI699" s="37">
        <v>3</v>
      </c>
      <c r="AJ699" s="37">
        <v>3</v>
      </c>
      <c r="AK699" s="37">
        <v>3</v>
      </c>
      <c r="AL699" s="37">
        <v>3</v>
      </c>
      <c r="AM699" s="37">
        <v>8</v>
      </c>
      <c r="AN699" s="37">
        <v>8</v>
      </c>
      <c r="AO699" s="37">
        <v>8</v>
      </c>
      <c r="AP699" s="37">
        <v>8</v>
      </c>
      <c r="AQ699" s="37">
        <v>8</v>
      </c>
      <c r="AR699" s="37">
        <v>8</v>
      </c>
      <c r="AS699" s="37">
        <v>8</v>
      </c>
      <c r="AT699" s="37">
        <v>8</v>
      </c>
    </row>
    <row r="700" spans="3:46" s="37" customFormat="1" x14ac:dyDescent="0.25"/>
    <row r="701" spans="3:46" s="37" customFormat="1" x14ac:dyDescent="0.25">
      <c r="C701" s="37" t="s">
        <v>21</v>
      </c>
      <c r="D701" s="37">
        <v>6</v>
      </c>
      <c r="E701" s="37">
        <v>6</v>
      </c>
      <c r="F701" s="37">
        <v>6</v>
      </c>
      <c r="G701" s="37">
        <v>6</v>
      </c>
      <c r="H701" s="37">
        <v>5</v>
      </c>
      <c r="I701" s="37">
        <v>5</v>
      </c>
      <c r="J701" s="37">
        <v>4</v>
      </c>
      <c r="K701" s="37">
        <v>4</v>
      </c>
      <c r="L701" s="37">
        <v>4</v>
      </c>
      <c r="M701" s="37">
        <v>4</v>
      </c>
      <c r="N701" s="37">
        <v>4</v>
      </c>
      <c r="O701" s="37">
        <v>4</v>
      </c>
      <c r="P701" s="37">
        <v>4</v>
      </c>
      <c r="Q701" s="37">
        <v>4</v>
      </c>
      <c r="R701" s="37">
        <v>4</v>
      </c>
      <c r="S701" s="37">
        <v>5</v>
      </c>
      <c r="T701" s="37">
        <v>6</v>
      </c>
      <c r="U701" s="37">
        <v>6</v>
      </c>
      <c r="V701" s="37">
        <v>7</v>
      </c>
      <c r="W701" s="37">
        <v>7</v>
      </c>
      <c r="X701" s="37">
        <v>7</v>
      </c>
      <c r="Z701" s="37">
        <v>6</v>
      </c>
      <c r="AA701" s="37">
        <v>6</v>
      </c>
      <c r="AB701" s="37">
        <v>6</v>
      </c>
      <c r="AC701" s="37">
        <v>6</v>
      </c>
      <c r="AD701" s="37">
        <v>6</v>
      </c>
      <c r="AE701" s="37">
        <v>6</v>
      </c>
      <c r="AF701" s="37">
        <v>6</v>
      </c>
      <c r="AG701" s="37">
        <v>4</v>
      </c>
      <c r="AH701" s="37">
        <v>4</v>
      </c>
      <c r="AI701" s="37">
        <v>4</v>
      </c>
      <c r="AJ701" s="37">
        <v>4</v>
      </c>
      <c r="AK701" s="37">
        <v>4</v>
      </c>
      <c r="AL701" s="37">
        <v>4</v>
      </c>
      <c r="AM701" s="37">
        <v>7</v>
      </c>
      <c r="AN701" s="37">
        <v>7</v>
      </c>
      <c r="AO701" s="37">
        <v>7</v>
      </c>
      <c r="AP701" s="37">
        <v>7</v>
      </c>
      <c r="AQ701" s="37">
        <v>7</v>
      </c>
      <c r="AR701" s="37">
        <v>7</v>
      </c>
      <c r="AS701" s="37">
        <v>7</v>
      </c>
      <c r="AT701" s="37">
        <v>7</v>
      </c>
    </row>
    <row r="702" spans="3:46" s="37" customFormat="1" x14ac:dyDescent="0.25"/>
    <row r="703" spans="3:46" s="37" customFormat="1" x14ac:dyDescent="0.25">
      <c r="C703" s="37" t="s">
        <v>20</v>
      </c>
      <c r="D703" s="37">
        <v>10</v>
      </c>
      <c r="E703" s="37">
        <v>10</v>
      </c>
      <c r="F703" s="37">
        <v>10</v>
      </c>
      <c r="G703" s="37">
        <v>10</v>
      </c>
      <c r="H703" s="37">
        <v>10</v>
      </c>
      <c r="I703" s="37">
        <v>10</v>
      </c>
      <c r="J703" s="37">
        <v>10</v>
      </c>
      <c r="K703" s="37">
        <v>10</v>
      </c>
      <c r="L703" s="37">
        <v>9</v>
      </c>
      <c r="M703" s="37">
        <v>8</v>
      </c>
      <c r="N703" s="37">
        <v>7</v>
      </c>
      <c r="O703" s="37">
        <v>7</v>
      </c>
      <c r="P703" s="37">
        <v>8</v>
      </c>
      <c r="Q703" s="37">
        <v>9</v>
      </c>
      <c r="R703" s="37">
        <v>10</v>
      </c>
      <c r="S703" s="37">
        <v>10</v>
      </c>
      <c r="T703" s="37">
        <v>10</v>
      </c>
      <c r="U703" s="37">
        <v>10</v>
      </c>
      <c r="V703" s="37">
        <v>10</v>
      </c>
      <c r="W703" s="37">
        <v>10</v>
      </c>
      <c r="X703" s="37">
        <v>10</v>
      </c>
      <c r="Z703" s="37">
        <v>10</v>
      </c>
      <c r="AA703" s="37">
        <v>10</v>
      </c>
      <c r="AB703" s="37">
        <v>10</v>
      </c>
      <c r="AC703" s="37">
        <v>10</v>
      </c>
      <c r="AD703" s="37">
        <v>10</v>
      </c>
      <c r="AE703" s="37">
        <v>10</v>
      </c>
      <c r="AF703" s="37">
        <v>10</v>
      </c>
      <c r="AG703" s="37">
        <v>10</v>
      </c>
      <c r="AH703" s="37">
        <v>10</v>
      </c>
      <c r="AI703" s="37">
        <v>10</v>
      </c>
      <c r="AJ703" s="37">
        <v>10</v>
      </c>
      <c r="AK703" s="37">
        <v>10</v>
      </c>
      <c r="AL703" s="37">
        <v>10</v>
      </c>
      <c r="AM703" s="37">
        <v>10</v>
      </c>
      <c r="AN703" s="37">
        <v>10</v>
      </c>
      <c r="AO703" s="37">
        <v>10</v>
      </c>
      <c r="AP703" s="37">
        <v>10</v>
      </c>
      <c r="AQ703" s="37">
        <v>10</v>
      </c>
      <c r="AR703" s="37">
        <v>10</v>
      </c>
      <c r="AS703" s="37">
        <v>10</v>
      </c>
      <c r="AT703" s="37">
        <v>10</v>
      </c>
    </row>
    <row r="704" spans="3:46" s="37" customFormat="1" x14ac:dyDescent="0.25"/>
    <row r="705" spans="3:46" s="37" customFormat="1" x14ac:dyDescent="0.25">
      <c r="C705" s="37" t="s">
        <v>21</v>
      </c>
      <c r="D705" s="37">
        <v>14</v>
      </c>
      <c r="E705" s="37">
        <v>14</v>
      </c>
      <c r="F705" s="37">
        <v>14</v>
      </c>
      <c r="G705" s="37">
        <v>14</v>
      </c>
      <c r="H705" s="37">
        <v>14</v>
      </c>
      <c r="I705" s="37">
        <v>14</v>
      </c>
      <c r="J705" s="37">
        <v>14</v>
      </c>
      <c r="K705" s="37">
        <v>14</v>
      </c>
      <c r="L705" s="37">
        <v>14</v>
      </c>
      <c r="M705" s="37">
        <v>14</v>
      </c>
      <c r="N705" s="37">
        <v>14</v>
      </c>
      <c r="O705" s="37">
        <v>14</v>
      </c>
      <c r="P705" s="37">
        <v>14</v>
      </c>
      <c r="Q705" s="37">
        <v>14</v>
      </c>
      <c r="R705" s="37">
        <v>14</v>
      </c>
      <c r="S705" s="37">
        <v>14</v>
      </c>
      <c r="T705" s="37">
        <v>14</v>
      </c>
      <c r="U705" s="37">
        <v>14</v>
      </c>
      <c r="V705" s="37">
        <v>14</v>
      </c>
      <c r="W705" s="37">
        <v>14</v>
      </c>
      <c r="X705" s="37">
        <v>14</v>
      </c>
      <c r="Z705" s="37">
        <v>14</v>
      </c>
      <c r="AA705" s="37">
        <v>14</v>
      </c>
      <c r="AB705" s="37">
        <v>14</v>
      </c>
      <c r="AC705" s="37">
        <v>14</v>
      </c>
      <c r="AD705" s="37">
        <v>14</v>
      </c>
      <c r="AE705" s="37">
        <v>14</v>
      </c>
      <c r="AF705" s="37">
        <v>14</v>
      </c>
      <c r="AG705" s="37">
        <v>14</v>
      </c>
      <c r="AH705" s="37">
        <v>14</v>
      </c>
      <c r="AI705" s="37">
        <v>14</v>
      </c>
      <c r="AJ705" s="37">
        <v>14</v>
      </c>
      <c r="AK705" s="37">
        <v>14</v>
      </c>
      <c r="AL705" s="37">
        <v>14</v>
      </c>
      <c r="AM705" s="37">
        <v>15</v>
      </c>
      <c r="AN705" s="37">
        <v>15</v>
      </c>
      <c r="AO705" s="37">
        <v>15</v>
      </c>
      <c r="AP705" s="37">
        <v>15</v>
      </c>
      <c r="AQ705" s="37">
        <v>15</v>
      </c>
      <c r="AR705" s="37">
        <v>15</v>
      </c>
      <c r="AS705" s="37">
        <v>15</v>
      </c>
      <c r="AT705" s="37">
        <v>15</v>
      </c>
    </row>
    <row r="706" spans="3:46" s="37" customFormat="1" x14ac:dyDescent="0.25"/>
    <row r="707" spans="3:46" s="37" customFormat="1" x14ac:dyDescent="0.25">
      <c r="C707" s="37" t="s">
        <v>20</v>
      </c>
      <c r="D707" s="37">
        <v>11</v>
      </c>
      <c r="E707" s="37">
        <v>11</v>
      </c>
      <c r="F707" s="37">
        <v>11</v>
      </c>
      <c r="G707" s="37">
        <v>11</v>
      </c>
      <c r="H707" s="37">
        <v>11</v>
      </c>
      <c r="I707" s="37">
        <v>11</v>
      </c>
      <c r="J707" s="37">
        <v>10</v>
      </c>
      <c r="K707" s="37">
        <v>4</v>
      </c>
      <c r="L707" s="37">
        <v>4</v>
      </c>
      <c r="M707" s="37">
        <v>4</v>
      </c>
      <c r="N707" s="37">
        <v>4</v>
      </c>
      <c r="O707" s="37">
        <v>4</v>
      </c>
      <c r="P707" s="37">
        <v>4</v>
      </c>
      <c r="Q707" s="37">
        <v>7</v>
      </c>
      <c r="R707" s="37">
        <v>8</v>
      </c>
      <c r="S707" s="37">
        <v>9</v>
      </c>
      <c r="T707" s="37">
        <v>9</v>
      </c>
      <c r="U707" s="37">
        <v>9</v>
      </c>
      <c r="V707" s="37">
        <v>9</v>
      </c>
      <c r="W707" s="37">
        <v>9</v>
      </c>
      <c r="X707" s="37">
        <v>9</v>
      </c>
      <c r="Z707" s="37">
        <v>11</v>
      </c>
      <c r="AA707" s="37">
        <v>11</v>
      </c>
      <c r="AB707" s="37">
        <v>11</v>
      </c>
      <c r="AC707" s="37">
        <v>11</v>
      </c>
      <c r="AD707" s="37">
        <v>11</v>
      </c>
      <c r="AE707" s="37">
        <v>11</v>
      </c>
      <c r="AF707" s="37">
        <v>11</v>
      </c>
      <c r="AG707" s="37">
        <v>4</v>
      </c>
      <c r="AH707" s="37">
        <v>4</v>
      </c>
      <c r="AI707" s="37">
        <v>4</v>
      </c>
      <c r="AJ707" s="37">
        <v>4</v>
      </c>
      <c r="AK707" s="37">
        <v>4</v>
      </c>
      <c r="AL707" s="37">
        <v>4</v>
      </c>
      <c r="AM707" s="37">
        <v>9</v>
      </c>
      <c r="AN707" s="37">
        <v>9</v>
      </c>
      <c r="AO707" s="37">
        <v>9</v>
      </c>
      <c r="AP707" s="37">
        <v>9</v>
      </c>
      <c r="AQ707" s="37">
        <v>9</v>
      </c>
      <c r="AR707" s="37">
        <v>9</v>
      </c>
      <c r="AS707" s="37">
        <v>9</v>
      </c>
      <c r="AT707" s="37">
        <v>9</v>
      </c>
    </row>
    <row r="708" spans="3:46" s="37" customFormat="1" x14ac:dyDescent="0.25"/>
    <row r="709" spans="3:46" s="37" customFormat="1" x14ac:dyDescent="0.25">
      <c r="C709" s="37" t="s">
        <v>21</v>
      </c>
      <c r="D709" s="37">
        <v>13</v>
      </c>
      <c r="E709" s="37">
        <v>13</v>
      </c>
      <c r="F709" s="37">
        <v>13</v>
      </c>
      <c r="G709" s="37">
        <v>13</v>
      </c>
      <c r="H709" s="37">
        <v>13</v>
      </c>
      <c r="I709" s="37">
        <v>12</v>
      </c>
      <c r="J709" s="37">
        <v>11</v>
      </c>
      <c r="K709" s="37">
        <v>5</v>
      </c>
      <c r="L709" s="37">
        <v>5</v>
      </c>
      <c r="M709" s="37">
        <v>5</v>
      </c>
      <c r="N709" s="37">
        <v>5</v>
      </c>
      <c r="O709" s="37">
        <v>5</v>
      </c>
      <c r="P709" s="37">
        <v>5</v>
      </c>
      <c r="Q709" s="37">
        <v>10</v>
      </c>
      <c r="R709" s="37">
        <v>11</v>
      </c>
      <c r="S709" s="37">
        <v>13</v>
      </c>
      <c r="T709" s="37">
        <v>14</v>
      </c>
      <c r="U709" s="37">
        <v>14</v>
      </c>
      <c r="V709" s="37">
        <v>14</v>
      </c>
      <c r="W709" s="37">
        <v>14</v>
      </c>
      <c r="X709" s="37">
        <v>14</v>
      </c>
      <c r="Z709" s="37">
        <v>13</v>
      </c>
      <c r="AA709" s="37">
        <v>13</v>
      </c>
      <c r="AB709" s="37">
        <v>13</v>
      </c>
      <c r="AC709" s="37">
        <v>13</v>
      </c>
      <c r="AD709" s="37">
        <v>13</v>
      </c>
      <c r="AE709" s="37">
        <v>13</v>
      </c>
      <c r="AF709" s="37">
        <v>13</v>
      </c>
      <c r="AG709" s="37">
        <v>5</v>
      </c>
      <c r="AH709" s="37">
        <v>5</v>
      </c>
      <c r="AI709" s="37">
        <v>5</v>
      </c>
      <c r="AJ709" s="37">
        <v>5</v>
      </c>
      <c r="AK709" s="37">
        <v>5</v>
      </c>
      <c r="AL709" s="37">
        <v>5</v>
      </c>
      <c r="AM709" s="37">
        <v>15</v>
      </c>
      <c r="AN709" s="37">
        <v>15</v>
      </c>
      <c r="AO709" s="37">
        <v>15</v>
      </c>
      <c r="AP709" s="37">
        <v>15</v>
      </c>
      <c r="AQ709" s="37">
        <v>15</v>
      </c>
      <c r="AR709" s="37">
        <v>15</v>
      </c>
      <c r="AS709" s="37">
        <v>15</v>
      </c>
      <c r="AT709" s="37">
        <v>15</v>
      </c>
    </row>
    <row r="710" spans="3:46" s="37" customFormat="1" x14ac:dyDescent="0.25"/>
    <row r="711" spans="3:46" s="37" customFormat="1" x14ac:dyDescent="0.25">
      <c r="C711" s="37" t="s">
        <v>20</v>
      </c>
      <c r="D711" s="37">
        <v>9</v>
      </c>
      <c r="E711" s="37">
        <v>9</v>
      </c>
      <c r="F711" s="37">
        <v>9</v>
      </c>
      <c r="G711" s="37">
        <v>9</v>
      </c>
      <c r="H711" s="37">
        <v>9</v>
      </c>
      <c r="I711" s="37">
        <v>9</v>
      </c>
      <c r="J711" s="37">
        <v>9</v>
      </c>
      <c r="K711" s="37">
        <v>9</v>
      </c>
      <c r="L711" s="37">
        <v>9</v>
      </c>
      <c r="M711" s="37">
        <v>8</v>
      </c>
      <c r="N711" s="37">
        <v>7</v>
      </c>
      <c r="O711" s="37">
        <v>7</v>
      </c>
      <c r="P711" s="37">
        <v>8</v>
      </c>
      <c r="Q711" s="37">
        <v>9</v>
      </c>
      <c r="R711" s="37">
        <v>9</v>
      </c>
      <c r="S711" s="37">
        <v>9</v>
      </c>
      <c r="T711" s="37">
        <v>9</v>
      </c>
      <c r="U711" s="37">
        <v>9</v>
      </c>
      <c r="V711" s="37">
        <v>9</v>
      </c>
      <c r="W711" s="37">
        <v>9</v>
      </c>
      <c r="X711" s="37">
        <v>9</v>
      </c>
      <c r="Z711" s="37">
        <v>9</v>
      </c>
      <c r="AA711" s="37">
        <v>9</v>
      </c>
      <c r="AB711" s="37">
        <v>9</v>
      </c>
      <c r="AC711" s="37">
        <v>9</v>
      </c>
      <c r="AD711" s="37">
        <v>9</v>
      </c>
      <c r="AE711" s="37">
        <v>9</v>
      </c>
      <c r="AF711" s="37">
        <v>9</v>
      </c>
      <c r="AG711" s="37">
        <v>9</v>
      </c>
      <c r="AH711" s="37">
        <v>9</v>
      </c>
      <c r="AI711" s="37">
        <v>9</v>
      </c>
      <c r="AJ711" s="37">
        <v>9</v>
      </c>
      <c r="AK711" s="37">
        <v>9</v>
      </c>
      <c r="AL711" s="37">
        <v>9</v>
      </c>
      <c r="AM711" s="37">
        <v>9</v>
      </c>
      <c r="AN711" s="37">
        <v>9</v>
      </c>
      <c r="AO711" s="37">
        <v>9</v>
      </c>
      <c r="AP711" s="37">
        <v>9</v>
      </c>
      <c r="AQ711" s="37">
        <v>9</v>
      </c>
      <c r="AR711" s="37">
        <v>9</v>
      </c>
      <c r="AS711" s="37">
        <v>9</v>
      </c>
      <c r="AT711" s="37">
        <v>9</v>
      </c>
    </row>
    <row r="712" spans="3:46" s="37" customFormat="1" x14ac:dyDescent="0.25"/>
    <row r="713" spans="3:46" s="37" customFormat="1" x14ac:dyDescent="0.25">
      <c r="C713" s="37" t="s">
        <v>21</v>
      </c>
      <c r="D713" s="37">
        <v>11</v>
      </c>
      <c r="E713" s="37">
        <v>11</v>
      </c>
      <c r="F713" s="37">
        <v>11</v>
      </c>
      <c r="G713" s="37">
        <v>11</v>
      </c>
      <c r="H713" s="37">
        <v>11</v>
      </c>
      <c r="I713" s="37">
        <v>11</v>
      </c>
      <c r="J713" s="37">
        <v>11</v>
      </c>
      <c r="K713" s="37">
        <v>11</v>
      </c>
      <c r="L713" s="37">
        <v>11</v>
      </c>
      <c r="M713" s="37">
        <v>11</v>
      </c>
      <c r="N713" s="37">
        <v>11</v>
      </c>
      <c r="O713" s="37">
        <v>11</v>
      </c>
      <c r="P713" s="37">
        <v>11</v>
      </c>
      <c r="Q713" s="37">
        <v>11</v>
      </c>
      <c r="R713" s="37">
        <v>11</v>
      </c>
      <c r="S713" s="37">
        <v>11</v>
      </c>
      <c r="T713" s="37">
        <v>12</v>
      </c>
      <c r="U713" s="37">
        <v>12</v>
      </c>
      <c r="V713" s="37">
        <v>12</v>
      </c>
      <c r="W713" s="37">
        <v>12</v>
      </c>
      <c r="X713" s="37">
        <v>12</v>
      </c>
      <c r="Z713" s="37">
        <v>11</v>
      </c>
      <c r="AA713" s="37">
        <v>11</v>
      </c>
      <c r="AB713" s="37">
        <v>11</v>
      </c>
      <c r="AC713" s="37">
        <v>11</v>
      </c>
      <c r="AD713" s="37">
        <v>11</v>
      </c>
      <c r="AE713" s="37">
        <v>11</v>
      </c>
      <c r="AF713" s="37">
        <v>11</v>
      </c>
      <c r="AG713" s="37">
        <v>11</v>
      </c>
      <c r="AH713" s="37">
        <v>11</v>
      </c>
      <c r="AI713" s="37">
        <v>11</v>
      </c>
      <c r="AJ713" s="37">
        <v>11</v>
      </c>
      <c r="AK713" s="37">
        <v>11</v>
      </c>
      <c r="AL713" s="37">
        <v>11</v>
      </c>
      <c r="AM713" s="37">
        <v>13</v>
      </c>
      <c r="AN713" s="37">
        <v>13</v>
      </c>
      <c r="AO713" s="37">
        <v>13</v>
      </c>
      <c r="AP713" s="37">
        <v>13</v>
      </c>
      <c r="AQ713" s="37">
        <v>13</v>
      </c>
      <c r="AR713" s="37">
        <v>13</v>
      </c>
      <c r="AS713" s="37">
        <v>13</v>
      </c>
      <c r="AT713" s="37">
        <v>13</v>
      </c>
    </row>
    <row r="714" spans="3:46" s="37" customFormat="1" x14ac:dyDescent="0.25"/>
    <row r="715" spans="3:46" s="37" customFormat="1" x14ac:dyDescent="0.25">
      <c r="C715" s="37" t="s">
        <v>20</v>
      </c>
      <c r="D715" s="37">
        <v>9</v>
      </c>
      <c r="E715" s="37">
        <v>9</v>
      </c>
      <c r="F715" s="37">
        <v>9</v>
      </c>
      <c r="G715" s="37">
        <v>9</v>
      </c>
      <c r="H715" s="37">
        <v>9</v>
      </c>
      <c r="I715" s="37">
        <v>9</v>
      </c>
      <c r="J715" s="37">
        <v>9</v>
      </c>
      <c r="K715" s="37">
        <v>4</v>
      </c>
      <c r="L715" s="37">
        <v>4</v>
      </c>
      <c r="M715" s="37">
        <v>4</v>
      </c>
      <c r="N715" s="37">
        <v>4</v>
      </c>
      <c r="O715" s="37">
        <v>4</v>
      </c>
      <c r="P715" s="37">
        <v>4</v>
      </c>
      <c r="Q715" s="37">
        <v>8</v>
      </c>
      <c r="R715" s="37">
        <v>9</v>
      </c>
      <c r="S715" s="37">
        <v>10</v>
      </c>
      <c r="T715" s="37">
        <v>10</v>
      </c>
      <c r="U715" s="37">
        <v>10</v>
      </c>
      <c r="V715" s="37">
        <v>10</v>
      </c>
      <c r="W715" s="37">
        <v>10</v>
      </c>
      <c r="X715" s="37">
        <v>10</v>
      </c>
      <c r="Z715" s="37">
        <v>9</v>
      </c>
      <c r="AA715" s="37">
        <v>9</v>
      </c>
      <c r="AB715" s="37">
        <v>9</v>
      </c>
      <c r="AC715" s="37">
        <v>9</v>
      </c>
      <c r="AD715" s="37">
        <v>9</v>
      </c>
      <c r="AE715" s="37">
        <v>9</v>
      </c>
      <c r="AF715" s="37">
        <v>9</v>
      </c>
      <c r="AG715" s="37">
        <v>4</v>
      </c>
      <c r="AH715" s="37">
        <v>4</v>
      </c>
      <c r="AI715" s="37">
        <v>4</v>
      </c>
      <c r="AJ715" s="37">
        <v>4</v>
      </c>
      <c r="AK715" s="37">
        <v>4</v>
      </c>
      <c r="AL715" s="37">
        <v>4</v>
      </c>
      <c r="AM715" s="37">
        <v>11</v>
      </c>
      <c r="AN715" s="37">
        <v>11</v>
      </c>
      <c r="AO715" s="37">
        <v>11</v>
      </c>
      <c r="AP715" s="37">
        <v>11</v>
      </c>
      <c r="AQ715" s="37">
        <v>11</v>
      </c>
      <c r="AR715" s="37">
        <v>11</v>
      </c>
      <c r="AS715" s="37">
        <v>11</v>
      </c>
      <c r="AT715" s="37">
        <v>11</v>
      </c>
    </row>
    <row r="716" spans="3:46" s="37" customFormat="1" x14ac:dyDescent="0.25"/>
    <row r="717" spans="3:46" s="37" customFormat="1" x14ac:dyDescent="0.25">
      <c r="C717" s="37" t="s">
        <v>21</v>
      </c>
      <c r="D717" s="37">
        <v>13</v>
      </c>
      <c r="E717" s="37">
        <v>13</v>
      </c>
      <c r="F717" s="37">
        <v>13</v>
      </c>
      <c r="G717" s="37">
        <v>13</v>
      </c>
      <c r="H717" s="37">
        <v>12</v>
      </c>
      <c r="I717" s="37">
        <v>11</v>
      </c>
      <c r="J717" s="37">
        <v>10</v>
      </c>
      <c r="K717" s="37">
        <v>5</v>
      </c>
      <c r="L717" s="37">
        <v>5</v>
      </c>
      <c r="M717" s="37">
        <v>5</v>
      </c>
      <c r="N717" s="37">
        <v>5</v>
      </c>
      <c r="O717" s="37">
        <v>5</v>
      </c>
      <c r="P717" s="37">
        <v>5</v>
      </c>
      <c r="Q717" s="37">
        <v>7</v>
      </c>
      <c r="R717" s="37">
        <v>8</v>
      </c>
      <c r="S717" s="37">
        <v>9</v>
      </c>
      <c r="T717" s="37">
        <v>10</v>
      </c>
      <c r="U717" s="37">
        <v>11</v>
      </c>
      <c r="V717" s="37">
        <v>11</v>
      </c>
      <c r="W717" s="37">
        <v>11</v>
      </c>
      <c r="X717" s="37">
        <v>11</v>
      </c>
      <c r="Z717" s="37">
        <v>13</v>
      </c>
      <c r="AA717" s="37">
        <v>13</v>
      </c>
      <c r="AB717" s="37">
        <v>13</v>
      </c>
      <c r="AC717" s="37">
        <v>13</v>
      </c>
      <c r="AD717" s="37">
        <v>13</v>
      </c>
      <c r="AE717" s="37">
        <v>13</v>
      </c>
      <c r="AF717" s="37">
        <v>13</v>
      </c>
      <c r="AG717" s="37">
        <v>5</v>
      </c>
      <c r="AH717" s="37">
        <v>5</v>
      </c>
      <c r="AI717" s="37">
        <v>5</v>
      </c>
      <c r="AJ717" s="37">
        <v>5</v>
      </c>
      <c r="AK717" s="37">
        <v>5</v>
      </c>
      <c r="AL717" s="37">
        <v>5</v>
      </c>
      <c r="AM717" s="37">
        <v>12</v>
      </c>
      <c r="AN717" s="37">
        <v>12</v>
      </c>
      <c r="AO717" s="37">
        <v>12</v>
      </c>
      <c r="AP717" s="37">
        <v>12</v>
      </c>
      <c r="AQ717" s="37">
        <v>12</v>
      </c>
      <c r="AR717" s="37">
        <v>12</v>
      </c>
      <c r="AS717" s="37">
        <v>12</v>
      </c>
      <c r="AT717" s="37">
        <v>12</v>
      </c>
    </row>
    <row r="718" spans="3:46" s="37" customFormat="1" x14ac:dyDescent="0.25"/>
    <row r="719" spans="3:46" s="37" customFormat="1" x14ac:dyDescent="0.25">
      <c r="C719" s="37" t="s">
        <v>20</v>
      </c>
      <c r="D719" s="37">
        <v>8</v>
      </c>
      <c r="E719" s="37">
        <v>8</v>
      </c>
      <c r="F719" s="37">
        <v>8</v>
      </c>
      <c r="G719" s="37">
        <v>8</v>
      </c>
      <c r="H719" s="37">
        <v>8</v>
      </c>
      <c r="I719" s="37">
        <v>8</v>
      </c>
      <c r="J719" s="37">
        <v>7</v>
      </c>
      <c r="K719" s="37">
        <v>4</v>
      </c>
      <c r="L719" s="37">
        <v>4</v>
      </c>
      <c r="M719" s="37">
        <v>4</v>
      </c>
      <c r="N719" s="37">
        <v>4</v>
      </c>
      <c r="O719" s="37">
        <v>4</v>
      </c>
      <c r="P719" s="37">
        <v>4</v>
      </c>
      <c r="Q719" s="37">
        <v>7</v>
      </c>
      <c r="R719" s="37">
        <v>8</v>
      </c>
      <c r="S719" s="37">
        <v>9</v>
      </c>
      <c r="T719" s="37">
        <v>10</v>
      </c>
      <c r="U719" s="37">
        <v>10</v>
      </c>
      <c r="V719" s="37">
        <v>10</v>
      </c>
      <c r="W719" s="37">
        <v>10</v>
      </c>
      <c r="X719" s="37">
        <v>10</v>
      </c>
      <c r="Z719" s="37">
        <v>8</v>
      </c>
      <c r="AA719" s="37">
        <v>8</v>
      </c>
      <c r="AB719" s="37">
        <v>8</v>
      </c>
      <c r="AC719" s="37">
        <v>8</v>
      </c>
      <c r="AD719" s="37">
        <v>8</v>
      </c>
      <c r="AE719" s="37">
        <v>8</v>
      </c>
      <c r="AF719" s="37">
        <v>8</v>
      </c>
      <c r="AG719" s="37">
        <v>4</v>
      </c>
      <c r="AH719" s="37">
        <v>4</v>
      </c>
      <c r="AI719" s="37">
        <v>4</v>
      </c>
      <c r="AJ719" s="37">
        <v>4</v>
      </c>
      <c r="AK719" s="37">
        <v>4</v>
      </c>
      <c r="AL719" s="37">
        <v>4</v>
      </c>
      <c r="AM719" s="37">
        <v>10</v>
      </c>
      <c r="AN719" s="37">
        <v>10</v>
      </c>
      <c r="AO719" s="37">
        <v>10</v>
      </c>
      <c r="AP719" s="37">
        <v>10</v>
      </c>
      <c r="AQ719" s="37">
        <v>10</v>
      </c>
      <c r="AR719" s="37">
        <v>10</v>
      </c>
      <c r="AS719" s="37">
        <v>10</v>
      </c>
      <c r="AT719" s="37">
        <v>10</v>
      </c>
    </row>
    <row r="720" spans="3:46" s="37" customFormat="1" x14ac:dyDescent="0.25"/>
    <row r="721" spans="3:46" s="37" customFormat="1" x14ac:dyDescent="0.25">
      <c r="C721" s="37" t="s">
        <v>21</v>
      </c>
      <c r="D721" s="37">
        <v>9</v>
      </c>
      <c r="E721" s="37">
        <v>9</v>
      </c>
      <c r="F721" s="37">
        <v>9</v>
      </c>
      <c r="G721" s="37">
        <v>9</v>
      </c>
      <c r="H721" s="37">
        <v>8</v>
      </c>
      <c r="I721" s="37">
        <v>7</v>
      </c>
      <c r="J721" s="37">
        <v>6</v>
      </c>
      <c r="K721" s="37">
        <v>5</v>
      </c>
      <c r="L721" s="37">
        <v>5</v>
      </c>
      <c r="M721" s="37">
        <v>5</v>
      </c>
      <c r="N721" s="37">
        <v>5</v>
      </c>
      <c r="O721" s="37">
        <v>5</v>
      </c>
      <c r="P721" s="37">
        <v>5</v>
      </c>
      <c r="Q721" s="37">
        <v>5</v>
      </c>
      <c r="R721" s="37">
        <v>6</v>
      </c>
      <c r="S721" s="37">
        <v>6</v>
      </c>
      <c r="T721" s="37">
        <v>7</v>
      </c>
      <c r="U721" s="37">
        <v>8</v>
      </c>
      <c r="V721" s="37">
        <v>8</v>
      </c>
      <c r="W721" s="37">
        <v>8</v>
      </c>
      <c r="X721" s="37">
        <v>8</v>
      </c>
      <c r="Z721" s="37">
        <v>9</v>
      </c>
      <c r="AA721" s="37">
        <v>9</v>
      </c>
      <c r="AB721" s="37">
        <v>9</v>
      </c>
      <c r="AC721" s="37">
        <v>9</v>
      </c>
      <c r="AD721" s="37">
        <v>9</v>
      </c>
      <c r="AE721" s="37">
        <v>9</v>
      </c>
      <c r="AF721" s="37">
        <v>9</v>
      </c>
      <c r="AG721" s="37">
        <v>5</v>
      </c>
      <c r="AH721" s="37">
        <v>5</v>
      </c>
      <c r="AI721" s="37">
        <v>5</v>
      </c>
      <c r="AJ721" s="37">
        <v>5</v>
      </c>
      <c r="AK721" s="37">
        <v>5</v>
      </c>
      <c r="AL721" s="37">
        <v>5</v>
      </c>
      <c r="AM721" s="37">
        <v>8</v>
      </c>
      <c r="AN721" s="37">
        <v>8</v>
      </c>
      <c r="AO721" s="37">
        <v>8</v>
      </c>
      <c r="AP721" s="37">
        <v>8</v>
      </c>
      <c r="AQ721" s="37">
        <v>8</v>
      </c>
      <c r="AR721" s="37">
        <v>8</v>
      </c>
      <c r="AS721" s="37">
        <v>8</v>
      </c>
      <c r="AT721" s="37">
        <v>8</v>
      </c>
    </row>
    <row r="722" spans="3:46" s="37" customFormat="1" x14ac:dyDescent="0.25"/>
    <row r="723" spans="3:46" s="37" customFormat="1" x14ac:dyDescent="0.25">
      <c r="C723" s="37" t="s">
        <v>20</v>
      </c>
      <c r="D723" s="37">
        <v>10</v>
      </c>
      <c r="E723" s="37">
        <v>10</v>
      </c>
      <c r="F723" s="37">
        <v>10</v>
      </c>
      <c r="G723" s="37">
        <v>10</v>
      </c>
      <c r="H723" s="37">
        <v>10</v>
      </c>
      <c r="I723" s="37">
        <v>10</v>
      </c>
      <c r="J723" s="37">
        <v>9</v>
      </c>
      <c r="K723" s="37">
        <v>4</v>
      </c>
      <c r="L723" s="37">
        <v>4</v>
      </c>
      <c r="M723" s="37">
        <v>4</v>
      </c>
      <c r="N723" s="37">
        <v>4</v>
      </c>
      <c r="O723" s="37">
        <v>4</v>
      </c>
      <c r="P723" s="37">
        <v>4</v>
      </c>
      <c r="Q723" s="37">
        <v>7</v>
      </c>
      <c r="R723" s="37">
        <v>8</v>
      </c>
      <c r="S723" s="37">
        <v>9</v>
      </c>
      <c r="T723" s="37">
        <v>10</v>
      </c>
      <c r="U723" s="37">
        <v>10</v>
      </c>
      <c r="V723" s="37">
        <v>10</v>
      </c>
      <c r="W723" s="37">
        <v>10</v>
      </c>
      <c r="X723" s="37">
        <v>10</v>
      </c>
      <c r="Z723" s="37">
        <v>10</v>
      </c>
      <c r="AA723" s="37">
        <v>10</v>
      </c>
      <c r="AB723" s="37">
        <v>10</v>
      </c>
      <c r="AC723" s="37">
        <v>10</v>
      </c>
      <c r="AD723" s="37">
        <v>10</v>
      </c>
      <c r="AE723" s="37">
        <v>10</v>
      </c>
      <c r="AF723" s="37">
        <v>10</v>
      </c>
      <c r="AG723" s="37">
        <v>4</v>
      </c>
      <c r="AH723" s="37">
        <v>4</v>
      </c>
      <c r="AI723" s="37">
        <v>4</v>
      </c>
      <c r="AJ723" s="37">
        <v>4</v>
      </c>
      <c r="AK723" s="37">
        <v>4</v>
      </c>
      <c r="AL723" s="37">
        <v>4</v>
      </c>
      <c r="AM723" s="37">
        <v>10</v>
      </c>
      <c r="AN723" s="37">
        <v>10</v>
      </c>
      <c r="AO723" s="37">
        <v>10</v>
      </c>
      <c r="AP723" s="37">
        <v>10</v>
      </c>
      <c r="AQ723" s="37">
        <v>10</v>
      </c>
      <c r="AR723" s="37">
        <v>10</v>
      </c>
      <c r="AS723" s="37">
        <v>10</v>
      </c>
      <c r="AT723" s="37">
        <v>10</v>
      </c>
    </row>
    <row r="724" spans="3:46" s="37" customFormat="1" x14ac:dyDescent="0.25"/>
    <row r="725" spans="3:46" s="37" customFormat="1" x14ac:dyDescent="0.25">
      <c r="C725" s="37" t="s">
        <v>21</v>
      </c>
      <c r="D725" s="37">
        <v>9</v>
      </c>
      <c r="E725" s="37">
        <v>9</v>
      </c>
      <c r="F725" s="37">
        <v>9</v>
      </c>
      <c r="G725" s="37">
        <v>9</v>
      </c>
      <c r="H725" s="37">
        <v>8</v>
      </c>
      <c r="I725" s="37">
        <v>7</v>
      </c>
      <c r="J725" s="37">
        <v>6</v>
      </c>
      <c r="K725" s="37">
        <v>5</v>
      </c>
      <c r="L725" s="37">
        <v>5</v>
      </c>
      <c r="M725" s="37">
        <v>5</v>
      </c>
      <c r="N725" s="37">
        <v>5</v>
      </c>
      <c r="O725" s="37">
        <v>5</v>
      </c>
      <c r="P725" s="37">
        <v>5</v>
      </c>
      <c r="Q725" s="37">
        <v>5</v>
      </c>
      <c r="R725" s="37">
        <v>5</v>
      </c>
      <c r="S725" s="37">
        <v>6</v>
      </c>
      <c r="T725" s="37">
        <v>7</v>
      </c>
      <c r="U725" s="37">
        <v>8</v>
      </c>
      <c r="V725" s="37">
        <v>9</v>
      </c>
      <c r="W725" s="37">
        <v>9</v>
      </c>
      <c r="X725" s="37">
        <v>9</v>
      </c>
      <c r="Z725" s="37">
        <v>9</v>
      </c>
      <c r="AA725" s="37">
        <v>9</v>
      </c>
      <c r="AB725" s="37">
        <v>9</v>
      </c>
      <c r="AC725" s="37">
        <v>9</v>
      </c>
      <c r="AD725" s="37">
        <v>9</v>
      </c>
      <c r="AE725" s="37">
        <v>9</v>
      </c>
      <c r="AF725" s="37">
        <v>9</v>
      </c>
      <c r="AG725" s="37">
        <v>5</v>
      </c>
      <c r="AH725" s="37">
        <v>5</v>
      </c>
      <c r="AI725" s="37">
        <v>5</v>
      </c>
      <c r="AJ725" s="37">
        <v>5</v>
      </c>
      <c r="AK725" s="37">
        <v>5</v>
      </c>
      <c r="AL725" s="37">
        <v>5</v>
      </c>
      <c r="AM725" s="37">
        <v>9</v>
      </c>
      <c r="AN725" s="37">
        <v>9</v>
      </c>
      <c r="AO725" s="37">
        <v>9</v>
      </c>
      <c r="AP725" s="37">
        <v>9</v>
      </c>
      <c r="AQ725" s="37">
        <v>9</v>
      </c>
      <c r="AR725" s="37">
        <v>9</v>
      </c>
      <c r="AS725" s="37">
        <v>9</v>
      </c>
      <c r="AT725" s="37">
        <v>9</v>
      </c>
    </row>
    <row r="726" spans="3:46" s="37" customFormat="1" x14ac:dyDescent="0.25"/>
    <row r="727" spans="3:46" s="37" customFormat="1" x14ac:dyDescent="0.25">
      <c r="C727" s="37" t="s">
        <v>20</v>
      </c>
      <c r="D727" s="37">
        <v>10</v>
      </c>
      <c r="E727" s="37">
        <v>10</v>
      </c>
      <c r="F727" s="37">
        <v>10</v>
      </c>
      <c r="G727" s="37">
        <v>10</v>
      </c>
      <c r="H727" s="37">
        <v>10</v>
      </c>
      <c r="I727" s="37">
        <v>10</v>
      </c>
      <c r="J727" s="37">
        <v>10</v>
      </c>
      <c r="K727" s="37">
        <v>4</v>
      </c>
      <c r="L727" s="37">
        <v>4</v>
      </c>
      <c r="M727" s="37">
        <v>4</v>
      </c>
      <c r="N727" s="37">
        <v>4</v>
      </c>
      <c r="O727" s="37">
        <v>4</v>
      </c>
      <c r="P727" s="37">
        <v>4</v>
      </c>
      <c r="Q727" s="37">
        <v>8</v>
      </c>
      <c r="R727" s="37">
        <v>9</v>
      </c>
      <c r="S727" s="37">
        <v>10</v>
      </c>
      <c r="T727" s="37">
        <v>10</v>
      </c>
      <c r="U727" s="37">
        <v>10</v>
      </c>
      <c r="V727" s="37">
        <v>10</v>
      </c>
      <c r="W727" s="37">
        <v>10</v>
      </c>
      <c r="X727" s="37">
        <v>10</v>
      </c>
      <c r="Z727" s="37">
        <v>10</v>
      </c>
      <c r="AA727" s="37">
        <v>10</v>
      </c>
      <c r="AB727" s="37">
        <v>10</v>
      </c>
      <c r="AC727" s="37">
        <v>10</v>
      </c>
      <c r="AD727" s="37">
        <v>10</v>
      </c>
      <c r="AE727" s="37">
        <v>10</v>
      </c>
      <c r="AF727" s="37">
        <v>10</v>
      </c>
      <c r="AG727" s="37">
        <v>4</v>
      </c>
      <c r="AH727" s="37">
        <v>4</v>
      </c>
      <c r="AI727" s="37">
        <v>4</v>
      </c>
      <c r="AJ727" s="37">
        <v>4</v>
      </c>
      <c r="AK727" s="37">
        <v>4</v>
      </c>
      <c r="AL727" s="37">
        <v>4</v>
      </c>
      <c r="AM727" s="37">
        <v>11</v>
      </c>
      <c r="AN727" s="37">
        <v>11</v>
      </c>
      <c r="AO727" s="37">
        <v>11</v>
      </c>
      <c r="AP727" s="37">
        <v>11</v>
      </c>
      <c r="AQ727" s="37">
        <v>11</v>
      </c>
      <c r="AR727" s="37">
        <v>11</v>
      </c>
      <c r="AS727" s="37">
        <v>11</v>
      </c>
      <c r="AT727" s="37">
        <v>11</v>
      </c>
    </row>
    <row r="728" spans="3:46" s="37" customFormat="1" x14ac:dyDescent="0.25"/>
    <row r="729" spans="3:46" s="37" customFormat="1" x14ac:dyDescent="0.25">
      <c r="C729" s="37" t="s">
        <v>21</v>
      </c>
      <c r="D729" s="37">
        <v>13</v>
      </c>
      <c r="E729" s="37">
        <v>13</v>
      </c>
      <c r="F729" s="37">
        <v>13</v>
      </c>
      <c r="G729" s="37">
        <v>13</v>
      </c>
      <c r="H729" s="37">
        <v>12</v>
      </c>
      <c r="I729" s="37">
        <v>11</v>
      </c>
      <c r="J729" s="37">
        <v>10</v>
      </c>
      <c r="K729" s="37">
        <v>6</v>
      </c>
      <c r="L729" s="37">
        <v>6</v>
      </c>
      <c r="M729" s="37">
        <v>6</v>
      </c>
      <c r="N729" s="37">
        <v>6</v>
      </c>
      <c r="O729" s="37">
        <v>6</v>
      </c>
      <c r="P729" s="37">
        <v>6</v>
      </c>
      <c r="Q729" s="37">
        <v>8</v>
      </c>
      <c r="R729" s="37">
        <v>9</v>
      </c>
      <c r="S729" s="37">
        <v>10</v>
      </c>
      <c r="T729" s="37">
        <v>11</v>
      </c>
      <c r="U729" s="37">
        <v>12</v>
      </c>
      <c r="V729" s="37">
        <v>12</v>
      </c>
      <c r="W729" s="37">
        <v>12</v>
      </c>
      <c r="X729" s="37">
        <v>12</v>
      </c>
      <c r="Z729" s="37">
        <v>13</v>
      </c>
      <c r="AA729" s="37">
        <v>13</v>
      </c>
      <c r="AB729" s="37">
        <v>13</v>
      </c>
      <c r="AC729" s="37">
        <v>13</v>
      </c>
      <c r="AD729" s="37">
        <v>13</v>
      </c>
      <c r="AE729" s="37">
        <v>13</v>
      </c>
      <c r="AF729" s="37">
        <v>13</v>
      </c>
      <c r="AG729" s="37">
        <v>6</v>
      </c>
      <c r="AH729" s="37">
        <v>6</v>
      </c>
      <c r="AI729" s="37">
        <v>6</v>
      </c>
      <c r="AJ729" s="37">
        <v>6</v>
      </c>
      <c r="AK729" s="37">
        <v>6</v>
      </c>
      <c r="AL729" s="37">
        <v>6</v>
      </c>
      <c r="AM729" s="37">
        <v>13</v>
      </c>
      <c r="AN729" s="37">
        <v>13</v>
      </c>
      <c r="AO729" s="37">
        <v>13</v>
      </c>
      <c r="AP729" s="37">
        <v>13</v>
      </c>
      <c r="AQ729" s="37">
        <v>13</v>
      </c>
      <c r="AR729" s="37">
        <v>13</v>
      </c>
      <c r="AS729" s="37">
        <v>13</v>
      </c>
      <c r="AT729" s="37">
        <v>13</v>
      </c>
    </row>
    <row r="730" spans="3:46" s="37" customFormat="1" x14ac:dyDescent="0.25"/>
    <row r="731" spans="3:46" s="37" customFormat="1" x14ac:dyDescent="0.25">
      <c r="C731" s="37" t="s">
        <v>20</v>
      </c>
      <c r="D731" s="37">
        <v>10</v>
      </c>
      <c r="E731" s="37">
        <v>10</v>
      </c>
      <c r="F731" s="37">
        <v>10</v>
      </c>
      <c r="G731" s="37">
        <v>10</v>
      </c>
      <c r="H731" s="37">
        <v>10</v>
      </c>
      <c r="I731" s="37">
        <v>10</v>
      </c>
      <c r="J731" s="37">
        <v>10</v>
      </c>
      <c r="K731" s="37">
        <v>4</v>
      </c>
      <c r="L731" s="37">
        <v>4</v>
      </c>
      <c r="M731" s="37">
        <v>4</v>
      </c>
      <c r="N731" s="37">
        <v>4</v>
      </c>
      <c r="O731" s="37">
        <v>4</v>
      </c>
      <c r="P731" s="37">
        <v>4</v>
      </c>
      <c r="Q731" s="37">
        <v>6</v>
      </c>
      <c r="R731" s="37">
        <v>7</v>
      </c>
      <c r="S731" s="37">
        <v>8</v>
      </c>
      <c r="T731" s="37">
        <v>8</v>
      </c>
      <c r="U731" s="37">
        <v>8</v>
      </c>
      <c r="V731" s="37">
        <v>8</v>
      </c>
      <c r="W731" s="37">
        <v>8</v>
      </c>
      <c r="X731" s="37">
        <v>8</v>
      </c>
      <c r="Z731" s="37">
        <v>10</v>
      </c>
      <c r="AA731" s="37">
        <v>10</v>
      </c>
      <c r="AB731" s="37">
        <v>10</v>
      </c>
      <c r="AC731" s="37">
        <v>10</v>
      </c>
      <c r="AD731" s="37">
        <v>10</v>
      </c>
      <c r="AE731" s="37">
        <v>10</v>
      </c>
      <c r="AF731" s="37">
        <v>10</v>
      </c>
      <c r="AG731" s="37">
        <v>4</v>
      </c>
      <c r="AH731" s="37">
        <v>4</v>
      </c>
      <c r="AI731" s="37">
        <v>4</v>
      </c>
      <c r="AJ731" s="37">
        <v>4</v>
      </c>
      <c r="AK731" s="37">
        <v>4</v>
      </c>
      <c r="AL731" s="37">
        <v>4</v>
      </c>
      <c r="AM731" s="37">
        <v>8</v>
      </c>
      <c r="AN731" s="37">
        <v>8</v>
      </c>
      <c r="AO731" s="37">
        <v>8</v>
      </c>
      <c r="AP731" s="37">
        <v>8</v>
      </c>
      <c r="AQ731" s="37">
        <v>8</v>
      </c>
      <c r="AR731" s="37">
        <v>8</v>
      </c>
      <c r="AS731" s="37">
        <v>8</v>
      </c>
      <c r="AT731" s="37">
        <v>8</v>
      </c>
    </row>
    <row r="732" spans="3:46" s="37" customFormat="1" x14ac:dyDescent="0.25"/>
    <row r="733" spans="3:46" s="37" customFormat="1" x14ac:dyDescent="0.25">
      <c r="C733" s="37" t="s">
        <v>21</v>
      </c>
      <c r="D733" s="37">
        <v>12</v>
      </c>
      <c r="E733" s="37">
        <v>12</v>
      </c>
      <c r="F733" s="37">
        <v>12</v>
      </c>
      <c r="G733" s="37">
        <v>12</v>
      </c>
      <c r="H733" s="37">
        <v>12</v>
      </c>
      <c r="I733" s="37">
        <v>11</v>
      </c>
      <c r="J733" s="37">
        <v>10</v>
      </c>
      <c r="K733" s="37">
        <v>5</v>
      </c>
      <c r="L733" s="37">
        <v>5</v>
      </c>
      <c r="M733" s="37">
        <v>5</v>
      </c>
      <c r="N733" s="37">
        <v>5</v>
      </c>
      <c r="O733" s="37">
        <v>5</v>
      </c>
      <c r="P733" s="37">
        <v>5</v>
      </c>
      <c r="Q733" s="37">
        <v>9</v>
      </c>
      <c r="R733" s="37">
        <v>10</v>
      </c>
      <c r="S733" s="37">
        <v>11</v>
      </c>
      <c r="T733" s="37">
        <v>12</v>
      </c>
      <c r="U733" s="37">
        <v>12</v>
      </c>
      <c r="V733" s="37">
        <v>12</v>
      </c>
      <c r="W733" s="37">
        <v>12</v>
      </c>
      <c r="X733" s="37">
        <v>12</v>
      </c>
      <c r="Z733" s="37">
        <v>12</v>
      </c>
      <c r="AA733" s="37">
        <v>12</v>
      </c>
      <c r="AB733" s="37">
        <v>12</v>
      </c>
      <c r="AC733" s="37">
        <v>12</v>
      </c>
      <c r="AD733" s="37">
        <v>12</v>
      </c>
      <c r="AE733" s="37">
        <v>12</v>
      </c>
      <c r="AF733" s="37">
        <v>12</v>
      </c>
      <c r="AG733" s="37">
        <v>5</v>
      </c>
      <c r="AH733" s="37">
        <v>5</v>
      </c>
      <c r="AI733" s="37">
        <v>5</v>
      </c>
      <c r="AJ733" s="37">
        <v>5</v>
      </c>
      <c r="AK733" s="37">
        <v>5</v>
      </c>
      <c r="AL733" s="37">
        <v>5</v>
      </c>
      <c r="AM733" s="37">
        <v>13</v>
      </c>
      <c r="AN733" s="37">
        <v>13</v>
      </c>
      <c r="AO733" s="37">
        <v>13</v>
      </c>
      <c r="AP733" s="37">
        <v>13</v>
      </c>
      <c r="AQ733" s="37">
        <v>13</v>
      </c>
      <c r="AR733" s="37">
        <v>13</v>
      </c>
      <c r="AS733" s="37">
        <v>13</v>
      </c>
      <c r="AT733" s="37">
        <v>13</v>
      </c>
    </row>
    <row r="734" spans="3:46" s="37" customFormat="1" x14ac:dyDescent="0.25"/>
    <row r="735" spans="3:46" s="37" customFormat="1" x14ac:dyDescent="0.25">
      <c r="C735" s="37" t="s">
        <v>20</v>
      </c>
      <c r="D735" s="37">
        <v>8</v>
      </c>
      <c r="E735" s="37">
        <v>8</v>
      </c>
      <c r="F735" s="37">
        <v>8</v>
      </c>
      <c r="G735" s="37">
        <v>8</v>
      </c>
      <c r="H735" s="37">
        <v>8</v>
      </c>
      <c r="I735" s="37">
        <v>8</v>
      </c>
      <c r="J735" s="37">
        <v>8</v>
      </c>
      <c r="K735" s="37">
        <v>8</v>
      </c>
      <c r="L735" s="37">
        <v>8</v>
      </c>
      <c r="M735" s="37">
        <v>7</v>
      </c>
      <c r="N735" s="37">
        <v>6</v>
      </c>
      <c r="O735" s="37">
        <v>7</v>
      </c>
      <c r="P735" s="37">
        <v>8</v>
      </c>
      <c r="Q735" s="37">
        <v>9</v>
      </c>
      <c r="R735" s="37">
        <v>9</v>
      </c>
      <c r="S735" s="37">
        <v>9</v>
      </c>
      <c r="T735" s="37">
        <v>9</v>
      </c>
      <c r="U735" s="37">
        <v>9</v>
      </c>
      <c r="V735" s="37">
        <v>9</v>
      </c>
      <c r="W735" s="37">
        <v>9</v>
      </c>
      <c r="X735" s="37">
        <v>9</v>
      </c>
      <c r="Z735" s="37">
        <v>8</v>
      </c>
      <c r="AA735" s="37">
        <v>8</v>
      </c>
      <c r="AB735" s="37">
        <v>8</v>
      </c>
      <c r="AC735" s="37">
        <v>8</v>
      </c>
      <c r="AD735" s="37">
        <v>8</v>
      </c>
      <c r="AE735" s="37">
        <v>8</v>
      </c>
      <c r="AF735" s="37">
        <v>8</v>
      </c>
      <c r="AG735" s="37">
        <v>8</v>
      </c>
      <c r="AH735" s="37">
        <v>8</v>
      </c>
      <c r="AI735" s="37">
        <v>8</v>
      </c>
      <c r="AJ735" s="37">
        <v>8</v>
      </c>
      <c r="AK735" s="37">
        <v>8</v>
      </c>
      <c r="AL735" s="37">
        <v>8</v>
      </c>
      <c r="AM735" s="37">
        <v>9</v>
      </c>
      <c r="AN735" s="37">
        <v>9</v>
      </c>
      <c r="AO735" s="37">
        <v>9</v>
      </c>
      <c r="AP735" s="37">
        <v>9</v>
      </c>
      <c r="AQ735" s="37">
        <v>9</v>
      </c>
      <c r="AR735" s="37">
        <v>9</v>
      </c>
      <c r="AS735" s="37">
        <v>9</v>
      </c>
      <c r="AT735" s="37">
        <v>9</v>
      </c>
    </row>
    <row r="736" spans="3:46" s="37" customFormat="1" x14ac:dyDescent="0.25"/>
    <row r="737" spans="3:46" s="37" customFormat="1" x14ac:dyDescent="0.25">
      <c r="C737" s="37" t="s">
        <v>21</v>
      </c>
      <c r="D737" s="37">
        <v>13</v>
      </c>
      <c r="E737" s="37">
        <v>13</v>
      </c>
      <c r="F737" s="37">
        <v>13</v>
      </c>
      <c r="G737" s="37">
        <v>13</v>
      </c>
      <c r="H737" s="37">
        <v>13</v>
      </c>
      <c r="I737" s="37">
        <v>12</v>
      </c>
      <c r="J737" s="37">
        <v>12</v>
      </c>
      <c r="K737" s="37">
        <v>12</v>
      </c>
      <c r="L737" s="37">
        <v>12</v>
      </c>
      <c r="M737" s="37">
        <v>12</v>
      </c>
      <c r="N737" s="37">
        <v>12</v>
      </c>
      <c r="O737" s="37">
        <v>12</v>
      </c>
      <c r="P737" s="37">
        <v>12</v>
      </c>
      <c r="Q737" s="37">
        <v>12</v>
      </c>
      <c r="R737" s="37">
        <v>12</v>
      </c>
      <c r="S737" s="37">
        <v>12</v>
      </c>
      <c r="T737" s="37">
        <v>12</v>
      </c>
      <c r="U737" s="37">
        <v>12</v>
      </c>
      <c r="V737" s="37">
        <v>11</v>
      </c>
      <c r="W737" s="37">
        <v>11</v>
      </c>
      <c r="X737" s="37">
        <v>11</v>
      </c>
      <c r="Z737" s="37">
        <v>13</v>
      </c>
      <c r="AA737" s="37">
        <v>13</v>
      </c>
      <c r="AB737" s="37">
        <v>13</v>
      </c>
      <c r="AC737" s="37">
        <v>13</v>
      </c>
      <c r="AD737" s="37">
        <v>13</v>
      </c>
      <c r="AE737" s="37">
        <v>13</v>
      </c>
      <c r="AF737" s="37">
        <v>13</v>
      </c>
      <c r="AG737" s="37">
        <v>12</v>
      </c>
      <c r="AH737" s="37">
        <v>12</v>
      </c>
      <c r="AI737" s="37">
        <v>12</v>
      </c>
      <c r="AJ737" s="37">
        <v>12</v>
      </c>
      <c r="AK737" s="37">
        <v>12</v>
      </c>
      <c r="AL737" s="37">
        <v>12</v>
      </c>
      <c r="AM737" s="37">
        <v>12</v>
      </c>
      <c r="AN737" s="37">
        <v>12</v>
      </c>
      <c r="AO737" s="37">
        <v>12</v>
      </c>
      <c r="AP737" s="37">
        <v>12</v>
      </c>
      <c r="AQ737" s="37">
        <v>12</v>
      </c>
      <c r="AR737" s="37">
        <v>12</v>
      </c>
      <c r="AS737" s="37">
        <v>12</v>
      </c>
      <c r="AT737" s="37">
        <v>12</v>
      </c>
    </row>
    <row r="738" spans="3:46" s="37" customFormat="1" x14ac:dyDescent="0.25"/>
    <row r="739" spans="3:46" s="37" customFormat="1" x14ac:dyDescent="0.25">
      <c r="C739" s="37" t="s">
        <v>20</v>
      </c>
      <c r="D739" s="37">
        <v>9</v>
      </c>
      <c r="E739" s="37">
        <v>9</v>
      </c>
      <c r="F739" s="37">
        <v>9</v>
      </c>
      <c r="G739" s="37">
        <v>9</v>
      </c>
      <c r="H739" s="37">
        <v>9</v>
      </c>
      <c r="I739" s="37">
        <v>9</v>
      </c>
      <c r="J739" s="37">
        <v>9</v>
      </c>
      <c r="K739" s="37">
        <v>4</v>
      </c>
      <c r="L739" s="37">
        <v>4</v>
      </c>
      <c r="M739" s="37">
        <v>4</v>
      </c>
      <c r="N739" s="37">
        <v>4</v>
      </c>
      <c r="O739" s="37">
        <v>4</v>
      </c>
      <c r="P739" s="37">
        <v>4</v>
      </c>
      <c r="Q739" s="37">
        <v>8</v>
      </c>
      <c r="R739" s="37">
        <v>9</v>
      </c>
      <c r="S739" s="37">
        <v>10</v>
      </c>
      <c r="T739" s="37">
        <v>10</v>
      </c>
      <c r="U739" s="37">
        <v>10</v>
      </c>
      <c r="V739" s="37">
        <v>10</v>
      </c>
      <c r="W739" s="37">
        <v>10</v>
      </c>
      <c r="X739" s="37">
        <v>10</v>
      </c>
      <c r="Z739" s="37">
        <v>9</v>
      </c>
      <c r="AA739" s="37">
        <v>9</v>
      </c>
      <c r="AB739" s="37">
        <v>9</v>
      </c>
      <c r="AC739" s="37">
        <v>9</v>
      </c>
      <c r="AD739" s="37">
        <v>9</v>
      </c>
      <c r="AE739" s="37">
        <v>9</v>
      </c>
      <c r="AF739" s="37">
        <v>9</v>
      </c>
      <c r="AG739" s="37">
        <v>4</v>
      </c>
      <c r="AH739" s="37">
        <v>4</v>
      </c>
      <c r="AI739" s="37">
        <v>4</v>
      </c>
      <c r="AJ739" s="37">
        <v>4</v>
      </c>
      <c r="AK739" s="37">
        <v>4</v>
      </c>
      <c r="AL739" s="37">
        <v>4</v>
      </c>
      <c r="AM739" s="37">
        <v>10</v>
      </c>
      <c r="AN739" s="37">
        <v>10</v>
      </c>
      <c r="AO739" s="37">
        <v>10</v>
      </c>
      <c r="AP739" s="37">
        <v>10</v>
      </c>
      <c r="AQ739" s="37">
        <v>10</v>
      </c>
      <c r="AR739" s="37">
        <v>10</v>
      </c>
      <c r="AS739" s="37">
        <v>10</v>
      </c>
      <c r="AT739" s="37">
        <v>10</v>
      </c>
    </row>
    <row r="740" spans="3:46" s="37" customFormat="1" x14ac:dyDescent="0.25"/>
    <row r="741" spans="3:46" s="37" customFormat="1" x14ac:dyDescent="0.25">
      <c r="C741" s="37" t="s">
        <v>21</v>
      </c>
      <c r="D741" s="37">
        <v>12</v>
      </c>
      <c r="E741" s="37">
        <v>12</v>
      </c>
      <c r="F741" s="37">
        <v>12</v>
      </c>
      <c r="G741" s="37">
        <v>12</v>
      </c>
      <c r="H741" s="37">
        <v>12</v>
      </c>
      <c r="I741" s="37">
        <v>11</v>
      </c>
      <c r="J741" s="37">
        <v>10</v>
      </c>
      <c r="K741" s="37">
        <v>5</v>
      </c>
      <c r="L741" s="37">
        <v>5</v>
      </c>
      <c r="M741" s="37">
        <v>5</v>
      </c>
      <c r="N741" s="37">
        <v>5</v>
      </c>
      <c r="O741" s="37">
        <v>5</v>
      </c>
      <c r="P741" s="37">
        <v>5</v>
      </c>
      <c r="Q741" s="37">
        <v>8</v>
      </c>
      <c r="R741" s="37">
        <v>9</v>
      </c>
      <c r="S741" s="37">
        <v>10</v>
      </c>
      <c r="T741" s="37">
        <v>11</v>
      </c>
      <c r="U741" s="37">
        <v>11</v>
      </c>
      <c r="V741" s="37">
        <v>11</v>
      </c>
      <c r="W741" s="37">
        <v>11</v>
      </c>
      <c r="X741" s="37">
        <v>11</v>
      </c>
      <c r="Z741" s="37">
        <v>12</v>
      </c>
      <c r="AA741" s="37">
        <v>12</v>
      </c>
      <c r="AB741" s="37">
        <v>12</v>
      </c>
      <c r="AC741" s="37">
        <v>12</v>
      </c>
      <c r="AD741" s="37">
        <v>12</v>
      </c>
      <c r="AE741" s="37">
        <v>12</v>
      </c>
      <c r="AF741" s="37">
        <v>12</v>
      </c>
      <c r="AG741" s="37">
        <v>5</v>
      </c>
      <c r="AH741" s="37">
        <v>5</v>
      </c>
      <c r="AI741" s="37">
        <v>5</v>
      </c>
      <c r="AJ741" s="37">
        <v>5</v>
      </c>
      <c r="AK741" s="37">
        <v>5</v>
      </c>
      <c r="AL741" s="37">
        <v>5</v>
      </c>
      <c r="AM741" s="37">
        <v>12</v>
      </c>
      <c r="AN741" s="37">
        <v>12</v>
      </c>
      <c r="AO741" s="37">
        <v>12</v>
      </c>
      <c r="AP741" s="37">
        <v>12</v>
      </c>
      <c r="AQ741" s="37">
        <v>12</v>
      </c>
      <c r="AR741" s="37">
        <v>12</v>
      </c>
      <c r="AS741" s="37">
        <v>12</v>
      </c>
      <c r="AT741" s="37">
        <v>12</v>
      </c>
    </row>
    <row r="742" spans="3:46" s="37" customFormat="1" x14ac:dyDescent="0.25"/>
    <row r="743" spans="3:46" s="37" customFormat="1" x14ac:dyDescent="0.25">
      <c r="C743" s="37" t="s">
        <v>20</v>
      </c>
      <c r="D743" s="37">
        <v>10</v>
      </c>
      <c r="E743" s="37">
        <v>10</v>
      </c>
      <c r="F743" s="37">
        <v>10</v>
      </c>
      <c r="G743" s="37">
        <v>10</v>
      </c>
      <c r="H743" s="37">
        <v>10</v>
      </c>
      <c r="I743" s="37">
        <v>10</v>
      </c>
      <c r="J743" s="37">
        <v>10</v>
      </c>
      <c r="K743" s="37">
        <v>4</v>
      </c>
      <c r="L743" s="37">
        <v>4</v>
      </c>
      <c r="M743" s="37">
        <v>4</v>
      </c>
      <c r="N743" s="37">
        <v>4</v>
      </c>
      <c r="O743" s="37">
        <v>4</v>
      </c>
      <c r="P743" s="37">
        <v>4</v>
      </c>
      <c r="Q743" s="37">
        <v>8</v>
      </c>
      <c r="R743" s="37">
        <v>9</v>
      </c>
      <c r="S743" s="37">
        <v>9</v>
      </c>
      <c r="T743" s="37">
        <v>9</v>
      </c>
      <c r="U743" s="37">
        <v>9</v>
      </c>
      <c r="V743" s="37">
        <v>9</v>
      </c>
      <c r="W743" s="37">
        <v>9</v>
      </c>
      <c r="X743" s="37">
        <v>9</v>
      </c>
      <c r="Z743" s="37">
        <v>10</v>
      </c>
      <c r="AA743" s="37">
        <v>10</v>
      </c>
      <c r="AB743" s="37">
        <v>10</v>
      </c>
      <c r="AC743" s="37">
        <v>10</v>
      </c>
      <c r="AD743" s="37">
        <v>10</v>
      </c>
      <c r="AE743" s="37">
        <v>10</v>
      </c>
      <c r="AF743" s="37">
        <v>10</v>
      </c>
      <c r="AG743" s="37">
        <v>4</v>
      </c>
      <c r="AH743" s="37">
        <v>4</v>
      </c>
      <c r="AI743" s="37">
        <v>4</v>
      </c>
      <c r="AJ743" s="37">
        <v>4</v>
      </c>
      <c r="AK743" s="37">
        <v>4</v>
      </c>
      <c r="AL743" s="37">
        <v>4</v>
      </c>
      <c r="AM743" s="37">
        <v>9</v>
      </c>
      <c r="AN743" s="37">
        <v>9</v>
      </c>
      <c r="AO743" s="37">
        <v>9</v>
      </c>
      <c r="AP743" s="37">
        <v>9</v>
      </c>
      <c r="AQ743" s="37">
        <v>9</v>
      </c>
      <c r="AR743" s="37">
        <v>9</v>
      </c>
      <c r="AS743" s="37">
        <v>9</v>
      </c>
      <c r="AT743" s="37">
        <v>9</v>
      </c>
    </row>
    <row r="744" spans="3:46" s="37" customFormat="1" x14ac:dyDescent="0.25"/>
    <row r="745" spans="3:46" s="37" customFormat="1" x14ac:dyDescent="0.25">
      <c r="C745" s="37" t="s">
        <v>21</v>
      </c>
      <c r="D745" s="37">
        <v>12</v>
      </c>
      <c r="E745" s="37">
        <v>12</v>
      </c>
      <c r="F745" s="37">
        <v>12</v>
      </c>
      <c r="G745" s="37">
        <v>12</v>
      </c>
      <c r="H745" s="37">
        <v>12</v>
      </c>
      <c r="I745" s="37">
        <v>11</v>
      </c>
      <c r="J745" s="37">
        <v>10</v>
      </c>
      <c r="K745" s="37">
        <v>5</v>
      </c>
      <c r="L745" s="37">
        <v>5</v>
      </c>
      <c r="M745" s="37">
        <v>5</v>
      </c>
      <c r="N745" s="37">
        <v>5</v>
      </c>
      <c r="O745" s="37">
        <v>5</v>
      </c>
      <c r="P745" s="37">
        <v>5</v>
      </c>
      <c r="Q745" s="37">
        <v>9</v>
      </c>
      <c r="R745" s="37">
        <v>10</v>
      </c>
      <c r="S745" s="37">
        <v>11</v>
      </c>
      <c r="T745" s="37">
        <v>12</v>
      </c>
      <c r="U745" s="37">
        <v>12</v>
      </c>
      <c r="V745" s="37">
        <v>12</v>
      </c>
      <c r="W745" s="37">
        <v>12</v>
      </c>
      <c r="X745" s="37">
        <v>12</v>
      </c>
      <c r="Z745" s="37">
        <v>12</v>
      </c>
      <c r="AA745" s="37">
        <v>12</v>
      </c>
      <c r="AB745" s="37">
        <v>12</v>
      </c>
      <c r="AC745" s="37">
        <v>12</v>
      </c>
      <c r="AD745" s="37">
        <v>12</v>
      </c>
      <c r="AE745" s="37">
        <v>12</v>
      </c>
      <c r="AF745" s="37">
        <v>12</v>
      </c>
      <c r="AG745" s="37">
        <v>5</v>
      </c>
      <c r="AH745" s="37">
        <v>5</v>
      </c>
      <c r="AI745" s="37">
        <v>5</v>
      </c>
      <c r="AJ745" s="37">
        <v>5</v>
      </c>
      <c r="AK745" s="37">
        <v>5</v>
      </c>
      <c r="AL745" s="37">
        <v>5</v>
      </c>
      <c r="AM745" s="37">
        <v>13</v>
      </c>
      <c r="AN745" s="37">
        <v>13</v>
      </c>
      <c r="AO745" s="37">
        <v>13</v>
      </c>
      <c r="AP745" s="37">
        <v>13</v>
      </c>
      <c r="AQ745" s="37">
        <v>13</v>
      </c>
      <c r="AR745" s="37">
        <v>13</v>
      </c>
      <c r="AS745" s="37">
        <v>13</v>
      </c>
      <c r="AT745" s="37">
        <v>13</v>
      </c>
    </row>
    <row r="746" spans="3:46" s="37" customFormat="1" x14ac:dyDescent="0.25"/>
    <row r="747" spans="3:46" s="37" customFormat="1" x14ac:dyDescent="0.25">
      <c r="C747" s="37" t="s">
        <v>20</v>
      </c>
      <c r="D747" s="37">
        <v>10</v>
      </c>
      <c r="E747" s="37">
        <v>10</v>
      </c>
      <c r="F747" s="37">
        <v>10</v>
      </c>
      <c r="G747" s="37">
        <v>10</v>
      </c>
      <c r="H747" s="37">
        <v>10</v>
      </c>
      <c r="I747" s="37">
        <v>10</v>
      </c>
      <c r="J747" s="37">
        <v>10</v>
      </c>
      <c r="K747" s="37">
        <v>4</v>
      </c>
      <c r="L747" s="37">
        <v>4</v>
      </c>
      <c r="M747" s="37">
        <v>4</v>
      </c>
      <c r="N747" s="37">
        <v>4</v>
      </c>
      <c r="O747" s="37">
        <v>4</v>
      </c>
      <c r="P747" s="37">
        <v>4</v>
      </c>
      <c r="Q747" s="37">
        <v>7</v>
      </c>
      <c r="R747" s="37">
        <v>8</v>
      </c>
      <c r="S747" s="37">
        <v>8</v>
      </c>
      <c r="T747" s="37">
        <v>8</v>
      </c>
      <c r="U747" s="37">
        <v>8</v>
      </c>
      <c r="V747" s="37">
        <v>8</v>
      </c>
      <c r="W747" s="37">
        <v>8</v>
      </c>
      <c r="X747" s="37">
        <v>8</v>
      </c>
      <c r="Z747" s="37">
        <v>10</v>
      </c>
      <c r="AA747" s="37">
        <v>10</v>
      </c>
      <c r="AB747" s="37">
        <v>10</v>
      </c>
      <c r="AC747" s="37">
        <v>10</v>
      </c>
      <c r="AD747" s="37">
        <v>10</v>
      </c>
      <c r="AE747" s="37">
        <v>10</v>
      </c>
      <c r="AF747" s="37">
        <v>10</v>
      </c>
      <c r="AG747" s="37">
        <v>4</v>
      </c>
      <c r="AH747" s="37">
        <v>4</v>
      </c>
      <c r="AI747" s="37">
        <v>4</v>
      </c>
      <c r="AJ747" s="37">
        <v>4</v>
      </c>
      <c r="AK747" s="37">
        <v>4</v>
      </c>
      <c r="AL747" s="37">
        <v>4</v>
      </c>
      <c r="AM747" s="37">
        <v>8</v>
      </c>
      <c r="AN747" s="37">
        <v>8</v>
      </c>
      <c r="AO747" s="37">
        <v>8</v>
      </c>
      <c r="AP747" s="37">
        <v>8</v>
      </c>
      <c r="AQ747" s="37">
        <v>8</v>
      </c>
      <c r="AR747" s="37">
        <v>8</v>
      </c>
      <c r="AS747" s="37">
        <v>8</v>
      </c>
      <c r="AT747" s="37">
        <v>8</v>
      </c>
    </row>
    <row r="748" spans="3:46" s="37" customFormat="1" x14ac:dyDescent="0.25"/>
    <row r="749" spans="3:46" s="37" customFormat="1" x14ac:dyDescent="0.25">
      <c r="C749" s="37" t="s">
        <v>21</v>
      </c>
      <c r="D749" s="37">
        <v>11</v>
      </c>
      <c r="E749" s="37">
        <v>11</v>
      </c>
      <c r="F749" s="37">
        <v>11</v>
      </c>
      <c r="G749" s="37">
        <v>11</v>
      </c>
      <c r="H749" s="37">
        <v>11</v>
      </c>
      <c r="I749" s="37">
        <v>10</v>
      </c>
      <c r="J749" s="37">
        <v>9</v>
      </c>
      <c r="K749" s="37">
        <v>4</v>
      </c>
      <c r="L749" s="37">
        <v>4</v>
      </c>
      <c r="M749" s="37">
        <v>4</v>
      </c>
      <c r="N749" s="37">
        <v>4</v>
      </c>
      <c r="O749" s="37">
        <v>4</v>
      </c>
      <c r="P749" s="37">
        <v>4</v>
      </c>
      <c r="Q749" s="37">
        <v>9</v>
      </c>
      <c r="R749" s="37">
        <v>10</v>
      </c>
      <c r="S749" s="37">
        <v>11</v>
      </c>
      <c r="T749" s="37">
        <v>12</v>
      </c>
      <c r="U749" s="37">
        <v>12</v>
      </c>
      <c r="V749" s="37">
        <v>12</v>
      </c>
      <c r="W749" s="37">
        <v>12</v>
      </c>
      <c r="X749" s="37">
        <v>12</v>
      </c>
      <c r="Z749" s="37">
        <v>11</v>
      </c>
      <c r="AA749" s="37">
        <v>11</v>
      </c>
      <c r="AB749" s="37">
        <v>11</v>
      </c>
      <c r="AC749" s="37">
        <v>11</v>
      </c>
      <c r="AD749" s="37">
        <v>11</v>
      </c>
      <c r="AE749" s="37">
        <v>11</v>
      </c>
      <c r="AF749" s="37">
        <v>11</v>
      </c>
      <c r="AG749" s="37">
        <v>4</v>
      </c>
      <c r="AH749" s="37">
        <v>4</v>
      </c>
      <c r="AI749" s="37">
        <v>4</v>
      </c>
      <c r="AJ749" s="37">
        <v>4</v>
      </c>
      <c r="AK749" s="37">
        <v>4</v>
      </c>
      <c r="AL749" s="37">
        <v>4</v>
      </c>
      <c r="AM749" s="37">
        <v>13</v>
      </c>
      <c r="AN749" s="37">
        <v>13</v>
      </c>
      <c r="AO749" s="37">
        <v>13</v>
      </c>
      <c r="AP749" s="37">
        <v>13</v>
      </c>
      <c r="AQ749" s="37">
        <v>13</v>
      </c>
      <c r="AR749" s="37">
        <v>13</v>
      </c>
      <c r="AS749" s="37">
        <v>13</v>
      </c>
      <c r="AT749" s="37">
        <v>13</v>
      </c>
    </row>
    <row r="750" spans="3:46" s="37" customFormat="1" x14ac:dyDescent="0.25"/>
    <row r="751" spans="3:46" s="37" customFormat="1" x14ac:dyDescent="0.25">
      <c r="C751" s="37" t="s">
        <v>20</v>
      </c>
      <c r="D751" s="37">
        <v>11</v>
      </c>
      <c r="E751" s="37">
        <v>11</v>
      </c>
      <c r="F751" s="37">
        <v>11</v>
      </c>
      <c r="G751" s="37">
        <v>11</v>
      </c>
      <c r="H751" s="37">
        <v>11</v>
      </c>
      <c r="I751" s="37">
        <v>11</v>
      </c>
      <c r="J751" s="37">
        <v>11</v>
      </c>
      <c r="K751" s="37">
        <v>4</v>
      </c>
      <c r="L751" s="37">
        <v>4</v>
      </c>
      <c r="M751" s="37">
        <v>4</v>
      </c>
      <c r="N751" s="37">
        <v>4</v>
      </c>
      <c r="O751" s="37">
        <v>4</v>
      </c>
      <c r="P751" s="37">
        <v>4</v>
      </c>
      <c r="Q751" s="37">
        <v>9</v>
      </c>
      <c r="R751" s="37">
        <v>10</v>
      </c>
      <c r="S751" s="37">
        <v>10</v>
      </c>
      <c r="T751" s="37">
        <v>10</v>
      </c>
      <c r="U751" s="37">
        <v>10</v>
      </c>
      <c r="V751" s="37">
        <v>10</v>
      </c>
      <c r="W751" s="37">
        <v>10</v>
      </c>
      <c r="X751" s="37">
        <v>10</v>
      </c>
      <c r="Z751" s="37">
        <v>11</v>
      </c>
      <c r="AA751" s="37">
        <v>11</v>
      </c>
      <c r="AB751" s="37">
        <v>11</v>
      </c>
      <c r="AC751" s="37">
        <v>11</v>
      </c>
      <c r="AD751" s="37">
        <v>11</v>
      </c>
      <c r="AE751" s="37">
        <v>11</v>
      </c>
      <c r="AF751" s="37">
        <v>11</v>
      </c>
      <c r="AG751" s="37">
        <v>4</v>
      </c>
      <c r="AH751" s="37">
        <v>4</v>
      </c>
      <c r="AI751" s="37">
        <v>4</v>
      </c>
      <c r="AJ751" s="37">
        <v>4</v>
      </c>
      <c r="AK751" s="37">
        <v>4</v>
      </c>
      <c r="AL751" s="37">
        <v>4</v>
      </c>
      <c r="AM751" s="37">
        <v>10</v>
      </c>
      <c r="AN751" s="37">
        <v>10</v>
      </c>
      <c r="AO751" s="37">
        <v>10</v>
      </c>
      <c r="AP751" s="37">
        <v>10</v>
      </c>
      <c r="AQ751" s="37">
        <v>10</v>
      </c>
      <c r="AR751" s="37">
        <v>10</v>
      </c>
      <c r="AS751" s="37">
        <v>10</v>
      </c>
      <c r="AT751" s="37">
        <v>10</v>
      </c>
    </row>
    <row r="752" spans="3:46" s="37" customFormat="1" x14ac:dyDescent="0.25"/>
    <row r="753" spans="3:46" s="37" customFormat="1" x14ac:dyDescent="0.25">
      <c r="C753" s="37" t="s">
        <v>21</v>
      </c>
      <c r="D753" s="37">
        <v>15</v>
      </c>
      <c r="E753" s="37">
        <v>15</v>
      </c>
      <c r="F753" s="37">
        <v>15</v>
      </c>
      <c r="G753" s="37">
        <v>15</v>
      </c>
      <c r="H753" s="37">
        <v>15</v>
      </c>
      <c r="I753" s="37">
        <v>14</v>
      </c>
      <c r="J753" s="37">
        <v>13</v>
      </c>
      <c r="K753" s="37">
        <v>5</v>
      </c>
      <c r="L753" s="37">
        <v>5</v>
      </c>
      <c r="M753" s="37">
        <v>5</v>
      </c>
      <c r="N753" s="37">
        <v>5</v>
      </c>
      <c r="O753" s="37">
        <v>5</v>
      </c>
      <c r="P753" s="37">
        <v>5</v>
      </c>
      <c r="Q753" s="37">
        <v>10</v>
      </c>
      <c r="R753" s="37">
        <v>11</v>
      </c>
      <c r="S753" s="37">
        <v>13</v>
      </c>
      <c r="T753" s="37">
        <v>14</v>
      </c>
      <c r="U753" s="37">
        <v>14</v>
      </c>
      <c r="V753" s="37">
        <v>14</v>
      </c>
      <c r="W753" s="37">
        <v>14</v>
      </c>
      <c r="X753" s="37">
        <v>14</v>
      </c>
      <c r="Z753" s="37">
        <v>15</v>
      </c>
      <c r="AA753" s="37">
        <v>15</v>
      </c>
      <c r="AB753" s="37">
        <v>15</v>
      </c>
      <c r="AC753" s="37">
        <v>15</v>
      </c>
      <c r="AD753" s="37">
        <v>15</v>
      </c>
      <c r="AE753" s="37">
        <v>15</v>
      </c>
      <c r="AF753" s="37">
        <v>15</v>
      </c>
      <c r="AG753" s="37">
        <v>5</v>
      </c>
      <c r="AH753" s="37">
        <v>5</v>
      </c>
      <c r="AI753" s="37">
        <v>5</v>
      </c>
      <c r="AJ753" s="37">
        <v>5</v>
      </c>
      <c r="AK753" s="37">
        <v>5</v>
      </c>
      <c r="AL753" s="37">
        <v>5</v>
      </c>
      <c r="AM753" s="37">
        <v>15</v>
      </c>
      <c r="AN753" s="37">
        <v>15</v>
      </c>
      <c r="AO753" s="37">
        <v>15</v>
      </c>
      <c r="AP753" s="37">
        <v>15</v>
      </c>
      <c r="AQ753" s="37">
        <v>15</v>
      </c>
      <c r="AR753" s="37">
        <v>15</v>
      </c>
      <c r="AS753" s="37">
        <v>15</v>
      </c>
      <c r="AT753" s="37">
        <v>15</v>
      </c>
    </row>
    <row r="754" spans="3:46" s="37" customFormat="1" x14ac:dyDescent="0.25"/>
    <row r="755" spans="3:46" s="37" customFormat="1" x14ac:dyDescent="0.25">
      <c r="C755" s="37" t="s">
        <v>20</v>
      </c>
      <c r="D755" s="37">
        <v>9</v>
      </c>
      <c r="E755" s="37">
        <v>9</v>
      </c>
      <c r="F755" s="37">
        <v>9</v>
      </c>
      <c r="G755" s="37">
        <v>9</v>
      </c>
      <c r="H755" s="37">
        <v>9</v>
      </c>
      <c r="I755" s="37">
        <v>9</v>
      </c>
      <c r="J755" s="37">
        <v>9</v>
      </c>
      <c r="K755" s="37">
        <v>3</v>
      </c>
      <c r="L755" s="37">
        <v>3</v>
      </c>
      <c r="M755" s="37">
        <v>3</v>
      </c>
      <c r="N755" s="37">
        <v>3</v>
      </c>
      <c r="O755" s="37">
        <v>3</v>
      </c>
      <c r="P755" s="37">
        <v>3</v>
      </c>
      <c r="Q755" s="37">
        <v>6</v>
      </c>
      <c r="R755" s="37">
        <v>6</v>
      </c>
      <c r="S755" s="37">
        <v>7</v>
      </c>
      <c r="T755" s="37">
        <v>7</v>
      </c>
      <c r="U755" s="37">
        <v>7</v>
      </c>
      <c r="V755" s="37">
        <v>7</v>
      </c>
      <c r="W755" s="37">
        <v>7</v>
      </c>
      <c r="X755" s="37">
        <v>7</v>
      </c>
      <c r="Z755" s="37">
        <v>9</v>
      </c>
      <c r="AA755" s="37">
        <v>9</v>
      </c>
      <c r="AB755" s="37">
        <v>9</v>
      </c>
      <c r="AC755" s="37">
        <v>9</v>
      </c>
      <c r="AD755" s="37">
        <v>9</v>
      </c>
      <c r="AE755" s="37">
        <v>9</v>
      </c>
      <c r="AF755" s="37">
        <v>9</v>
      </c>
      <c r="AG755" s="37">
        <v>3</v>
      </c>
      <c r="AH755" s="37">
        <v>3</v>
      </c>
      <c r="AI755" s="37">
        <v>3</v>
      </c>
      <c r="AJ755" s="37">
        <v>3</v>
      </c>
      <c r="AK755" s="37">
        <v>3</v>
      </c>
      <c r="AL755" s="37">
        <v>3</v>
      </c>
      <c r="AM755" s="37">
        <v>7</v>
      </c>
      <c r="AN755" s="37">
        <v>7</v>
      </c>
      <c r="AO755" s="37">
        <v>7</v>
      </c>
      <c r="AP755" s="37">
        <v>7</v>
      </c>
      <c r="AQ755" s="37">
        <v>7</v>
      </c>
      <c r="AR755" s="37">
        <v>7</v>
      </c>
      <c r="AS755" s="37">
        <v>7</v>
      </c>
      <c r="AT755" s="37">
        <v>7</v>
      </c>
    </row>
    <row r="756" spans="3:46" s="37" customFormat="1" x14ac:dyDescent="0.25"/>
    <row r="757" spans="3:46" s="37" customFormat="1" x14ac:dyDescent="0.25">
      <c r="C757" s="37" t="s">
        <v>21</v>
      </c>
      <c r="D757" s="37">
        <v>9</v>
      </c>
      <c r="E757" s="37">
        <v>9</v>
      </c>
      <c r="F757" s="37">
        <v>9</v>
      </c>
      <c r="G757" s="37">
        <v>9</v>
      </c>
      <c r="H757" s="37">
        <v>9</v>
      </c>
      <c r="I757" s="37">
        <v>8</v>
      </c>
      <c r="J757" s="37">
        <v>7</v>
      </c>
      <c r="K757" s="37">
        <v>4</v>
      </c>
      <c r="L757" s="37">
        <v>4</v>
      </c>
      <c r="M757" s="37">
        <v>4</v>
      </c>
      <c r="N757" s="37">
        <v>4</v>
      </c>
      <c r="O757" s="37">
        <v>4</v>
      </c>
      <c r="P757" s="37">
        <v>4</v>
      </c>
      <c r="Q757" s="37">
        <v>6</v>
      </c>
      <c r="R757" s="37">
        <v>7</v>
      </c>
      <c r="S757" s="37">
        <v>8</v>
      </c>
      <c r="T757" s="37">
        <v>9</v>
      </c>
      <c r="U757" s="37">
        <v>10</v>
      </c>
      <c r="V757" s="37">
        <v>10</v>
      </c>
      <c r="W757" s="37">
        <v>10</v>
      </c>
      <c r="X757" s="37">
        <v>10</v>
      </c>
      <c r="Z757" s="37">
        <v>9</v>
      </c>
      <c r="AA757" s="37">
        <v>9</v>
      </c>
      <c r="AB757" s="37">
        <v>9</v>
      </c>
      <c r="AC757" s="37">
        <v>9</v>
      </c>
      <c r="AD757" s="37">
        <v>9</v>
      </c>
      <c r="AE757" s="37">
        <v>9</v>
      </c>
      <c r="AF757" s="37">
        <v>9</v>
      </c>
      <c r="AG757" s="37">
        <v>4</v>
      </c>
      <c r="AH757" s="37">
        <v>4</v>
      </c>
      <c r="AI757" s="37">
        <v>4</v>
      </c>
      <c r="AJ757" s="37">
        <v>4</v>
      </c>
      <c r="AK757" s="37">
        <v>4</v>
      </c>
      <c r="AL757" s="37">
        <v>4</v>
      </c>
      <c r="AM757" s="37">
        <v>11</v>
      </c>
      <c r="AN757" s="37">
        <v>11</v>
      </c>
      <c r="AO757" s="37">
        <v>11</v>
      </c>
      <c r="AP757" s="37">
        <v>11</v>
      </c>
      <c r="AQ757" s="37">
        <v>11</v>
      </c>
      <c r="AR757" s="37">
        <v>11</v>
      </c>
      <c r="AS757" s="37">
        <v>11</v>
      </c>
      <c r="AT757" s="37">
        <v>11</v>
      </c>
    </row>
    <row r="758" spans="3:46" s="37" customFormat="1" x14ac:dyDescent="0.25"/>
    <row r="759" spans="3:46" s="37" customFormat="1" x14ac:dyDescent="0.25">
      <c r="C759" s="37" t="s">
        <v>20</v>
      </c>
      <c r="D759" s="37">
        <v>7</v>
      </c>
      <c r="E759" s="37">
        <v>7</v>
      </c>
      <c r="F759" s="37">
        <v>7</v>
      </c>
      <c r="G759" s="37">
        <v>7</v>
      </c>
      <c r="H759" s="37">
        <v>7</v>
      </c>
      <c r="I759" s="37">
        <v>6</v>
      </c>
      <c r="J759" s="37">
        <v>6</v>
      </c>
      <c r="K759" s="37">
        <v>3</v>
      </c>
      <c r="L759" s="37">
        <v>3</v>
      </c>
      <c r="M759" s="37">
        <v>3</v>
      </c>
      <c r="N759" s="37">
        <v>3</v>
      </c>
      <c r="O759" s="37">
        <v>3</v>
      </c>
      <c r="P759" s="37">
        <v>3</v>
      </c>
      <c r="Q759" s="37">
        <v>5</v>
      </c>
      <c r="R759" s="37">
        <v>6</v>
      </c>
      <c r="S759" s="37">
        <v>6</v>
      </c>
      <c r="T759" s="37">
        <v>7</v>
      </c>
      <c r="U759" s="37">
        <v>8</v>
      </c>
      <c r="V759" s="37">
        <v>8</v>
      </c>
      <c r="W759" s="37">
        <v>8</v>
      </c>
      <c r="X759" s="37">
        <v>8</v>
      </c>
      <c r="Z759" s="37">
        <v>7</v>
      </c>
      <c r="AA759" s="37">
        <v>7</v>
      </c>
      <c r="AB759" s="37">
        <v>7</v>
      </c>
      <c r="AC759" s="37">
        <v>7</v>
      </c>
      <c r="AD759" s="37">
        <v>7</v>
      </c>
      <c r="AE759" s="37">
        <v>7</v>
      </c>
      <c r="AF759" s="37">
        <v>7</v>
      </c>
      <c r="AG759" s="37">
        <v>3</v>
      </c>
      <c r="AH759" s="37">
        <v>3</v>
      </c>
      <c r="AI759" s="37">
        <v>3</v>
      </c>
      <c r="AJ759" s="37">
        <v>3</v>
      </c>
      <c r="AK759" s="37">
        <v>3</v>
      </c>
      <c r="AL759" s="37">
        <v>3</v>
      </c>
      <c r="AM759" s="37">
        <v>8</v>
      </c>
      <c r="AN759" s="37">
        <v>8</v>
      </c>
      <c r="AO759" s="37">
        <v>8</v>
      </c>
      <c r="AP759" s="37">
        <v>8</v>
      </c>
      <c r="AQ759" s="37">
        <v>8</v>
      </c>
      <c r="AR759" s="37">
        <v>8</v>
      </c>
      <c r="AS759" s="37">
        <v>8</v>
      </c>
      <c r="AT759" s="37">
        <v>8</v>
      </c>
    </row>
    <row r="760" spans="3:46" s="37" customFormat="1" x14ac:dyDescent="0.25"/>
    <row r="761" spans="3:46" s="37" customFormat="1" x14ac:dyDescent="0.25">
      <c r="C761" s="37" t="s">
        <v>21</v>
      </c>
      <c r="D761" s="37">
        <v>6</v>
      </c>
      <c r="E761" s="37">
        <v>6</v>
      </c>
      <c r="F761" s="37">
        <v>6</v>
      </c>
      <c r="G761" s="37">
        <v>6</v>
      </c>
      <c r="H761" s="37">
        <v>5</v>
      </c>
      <c r="I761" s="37">
        <v>5</v>
      </c>
      <c r="J761" s="37">
        <v>4</v>
      </c>
      <c r="K761" s="37">
        <v>4</v>
      </c>
      <c r="L761" s="37">
        <v>4</v>
      </c>
      <c r="M761" s="37">
        <v>4</v>
      </c>
      <c r="N761" s="37">
        <v>4</v>
      </c>
      <c r="O761" s="37">
        <v>4</v>
      </c>
      <c r="P761" s="37">
        <v>4</v>
      </c>
      <c r="Q761" s="37">
        <v>4</v>
      </c>
      <c r="R761" s="37">
        <v>4</v>
      </c>
      <c r="S761" s="37">
        <v>4</v>
      </c>
      <c r="T761" s="37">
        <v>5</v>
      </c>
      <c r="U761" s="37">
        <v>5</v>
      </c>
      <c r="V761" s="37">
        <v>6</v>
      </c>
      <c r="W761" s="37">
        <v>6</v>
      </c>
      <c r="X761" s="37">
        <v>6</v>
      </c>
      <c r="Z761" s="37">
        <v>6</v>
      </c>
      <c r="AA761" s="37">
        <v>6</v>
      </c>
      <c r="AB761" s="37">
        <v>6</v>
      </c>
      <c r="AC761" s="37">
        <v>6</v>
      </c>
      <c r="AD761" s="37">
        <v>6</v>
      </c>
      <c r="AE761" s="37">
        <v>6</v>
      </c>
      <c r="AF761" s="37">
        <v>6</v>
      </c>
      <c r="AG761" s="37">
        <v>4</v>
      </c>
      <c r="AH761" s="37">
        <v>4</v>
      </c>
      <c r="AI761" s="37">
        <v>4</v>
      </c>
      <c r="AJ761" s="37">
        <v>4</v>
      </c>
      <c r="AK761" s="37">
        <v>4</v>
      </c>
      <c r="AL761" s="37">
        <v>4</v>
      </c>
      <c r="AM761" s="37">
        <v>6</v>
      </c>
      <c r="AN761" s="37">
        <v>6</v>
      </c>
      <c r="AO761" s="37">
        <v>6</v>
      </c>
      <c r="AP761" s="37">
        <v>6</v>
      </c>
      <c r="AQ761" s="37">
        <v>6</v>
      </c>
      <c r="AR761" s="37">
        <v>6</v>
      </c>
      <c r="AS761" s="37">
        <v>6</v>
      </c>
      <c r="AT761" s="37">
        <v>6</v>
      </c>
    </row>
    <row r="762" spans="3:46" s="37" customFormat="1" x14ac:dyDescent="0.25"/>
    <row r="763" spans="3:46" s="37" customFormat="1" x14ac:dyDescent="0.25">
      <c r="C763" s="37" t="s">
        <v>20</v>
      </c>
      <c r="D763" s="37">
        <v>9</v>
      </c>
      <c r="E763" s="37">
        <v>9</v>
      </c>
      <c r="F763" s="37">
        <v>9</v>
      </c>
      <c r="G763" s="37">
        <v>9</v>
      </c>
      <c r="H763" s="37">
        <v>9</v>
      </c>
      <c r="I763" s="37">
        <v>9</v>
      </c>
      <c r="J763" s="37">
        <v>9</v>
      </c>
      <c r="K763" s="37">
        <v>9</v>
      </c>
      <c r="L763" s="37">
        <v>8</v>
      </c>
      <c r="M763" s="37">
        <v>7</v>
      </c>
      <c r="N763" s="37">
        <v>6</v>
      </c>
      <c r="O763" s="37">
        <v>7</v>
      </c>
      <c r="P763" s="37">
        <v>8</v>
      </c>
      <c r="Q763" s="37">
        <v>9</v>
      </c>
      <c r="R763" s="37">
        <v>10</v>
      </c>
      <c r="S763" s="37">
        <v>10</v>
      </c>
      <c r="T763" s="37">
        <v>10</v>
      </c>
      <c r="U763" s="37">
        <v>10</v>
      </c>
      <c r="V763" s="37">
        <v>10</v>
      </c>
      <c r="W763" s="37">
        <v>10</v>
      </c>
      <c r="X763" s="37">
        <v>10</v>
      </c>
      <c r="Z763" s="37">
        <v>9</v>
      </c>
      <c r="AA763" s="37">
        <v>9</v>
      </c>
      <c r="AB763" s="37">
        <v>9</v>
      </c>
      <c r="AC763" s="37">
        <v>9</v>
      </c>
      <c r="AD763" s="37">
        <v>9</v>
      </c>
      <c r="AE763" s="37">
        <v>9</v>
      </c>
      <c r="AF763" s="37">
        <v>9</v>
      </c>
      <c r="AG763" s="37">
        <v>9</v>
      </c>
      <c r="AH763" s="37">
        <v>9</v>
      </c>
      <c r="AI763" s="37">
        <v>9</v>
      </c>
      <c r="AJ763" s="37">
        <v>9</v>
      </c>
      <c r="AK763" s="37">
        <v>9</v>
      </c>
      <c r="AL763" s="37">
        <v>9</v>
      </c>
      <c r="AM763" s="37">
        <v>10</v>
      </c>
      <c r="AN763" s="37">
        <v>10</v>
      </c>
      <c r="AO763" s="37">
        <v>10</v>
      </c>
      <c r="AP763" s="37">
        <v>10</v>
      </c>
      <c r="AQ763" s="37">
        <v>10</v>
      </c>
      <c r="AR763" s="37">
        <v>10</v>
      </c>
      <c r="AS763" s="37">
        <v>10</v>
      </c>
      <c r="AT763" s="37">
        <v>10</v>
      </c>
    </row>
    <row r="764" spans="3:46" s="37" customFormat="1" x14ac:dyDescent="0.25"/>
    <row r="765" spans="3:46" s="37" customFormat="1" x14ac:dyDescent="0.25">
      <c r="C765" s="37" t="s">
        <v>21</v>
      </c>
      <c r="D765" s="37">
        <v>13</v>
      </c>
      <c r="E765" s="37">
        <v>13</v>
      </c>
      <c r="F765" s="37">
        <v>13</v>
      </c>
      <c r="G765" s="37">
        <v>13</v>
      </c>
      <c r="H765" s="37">
        <v>13</v>
      </c>
      <c r="I765" s="37">
        <v>13</v>
      </c>
      <c r="J765" s="37">
        <v>13</v>
      </c>
      <c r="K765" s="37">
        <v>13</v>
      </c>
      <c r="L765" s="37">
        <v>13</v>
      </c>
      <c r="M765" s="37">
        <v>13</v>
      </c>
      <c r="N765" s="37">
        <v>13</v>
      </c>
      <c r="O765" s="37">
        <v>13</v>
      </c>
      <c r="P765" s="37">
        <v>13</v>
      </c>
      <c r="Q765" s="37">
        <v>13</v>
      </c>
      <c r="R765" s="37">
        <v>13</v>
      </c>
      <c r="S765" s="37">
        <v>13</v>
      </c>
      <c r="T765" s="37">
        <v>13</v>
      </c>
      <c r="U765" s="37">
        <v>13</v>
      </c>
      <c r="V765" s="37">
        <v>12</v>
      </c>
      <c r="W765" s="37">
        <v>12</v>
      </c>
      <c r="X765" s="37">
        <v>12</v>
      </c>
      <c r="Z765" s="37">
        <v>13</v>
      </c>
      <c r="AA765" s="37">
        <v>13</v>
      </c>
      <c r="AB765" s="37">
        <v>13</v>
      </c>
      <c r="AC765" s="37">
        <v>13</v>
      </c>
      <c r="AD765" s="37">
        <v>13</v>
      </c>
      <c r="AE765" s="37">
        <v>13</v>
      </c>
      <c r="AF765" s="37">
        <v>13</v>
      </c>
      <c r="AG765" s="37">
        <v>13</v>
      </c>
      <c r="AH765" s="37">
        <v>13</v>
      </c>
      <c r="AI765" s="37">
        <v>13</v>
      </c>
      <c r="AJ765" s="37">
        <v>13</v>
      </c>
      <c r="AK765" s="37">
        <v>13</v>
      </c>
      <c r="AL765" s="37">
        <v>13</v>
      </c>
      <c r="AM765" s="37">
        <v>13</v>
      </c>
      <c r="AN765" s="37">
        <v>13</v>
      </c>
      <c r="AO765" s="37">
        <v>13</v>
      </c>
      <c r="AP765" s="37">
        <v>13</v>
      </c>
      <c r="AQ765" s="37">
        <v>13</v>
      </c>
      <c r="AR765" s="37">
        <v>13</v>
      </c>
      <c r="AS765" s="37">
        <v>13</v>
      </c>
      <c r="AT765" s="37">
        <v>13</v>
      </c>
    </row>
    <row r="766" spans="3:46" s="37" customFormat="1" x14ac:dyDescent="0.25"/>
    <row r="767" spans="3:46" s="37" customFormat="1" x14ac:dyDescent="0.25">
      <c r="C767" s="37" t="s">
        <v>20</v>
      </c>
      <c r="D767" s="37">
        <v>8</v>
      </c>
      <c r="E767" s="37">
        <v>8</v>
      </c>
      <c r="F767" s="37">
        <v>8</v>
      </c>
      <c r="G767" s="37">
        <v>8</v>
      </c>
      <c r="H767" s="37">
        <v>8</v>
      </c>
      <c r="I767" s="37">
        <v>8</v>
      </c>
      <c r="J767" s="37">
        <v>8</v>
      </c>
      <c r="K767" s="37">
        <v>8</v>
      </c>
      <c r="L767" s="37">
        <v>7</v>
      </c>
      <c r="M767" s="37">
        <v>6</v>
      </c>
      <c r="N767" s="37">
        <v>6</v>
      </c>
      <c r="O767" s="37">
        <v>6</v>
      </c>
      <c r="P767" s="37">
        <v>7</v>
      </c>
      <c r="Q767" s="37">
        <v>8</v>
      </c>
      <c r="R767" s="37">
        <v>9</v>
      </c>
      <c r="S767" s="37">
        <v>9</v>
      </c>
      <c r="T767" s="37">
        <v>9</v>
      </c>
      <c r="U767" s="37">
        <v>9</v>
      </c>
      <c r="V767" s="37">
        <v>9</v>
      </c>
      <c r="W767" s="37">
        <v>9</v>
      </c>
      <c r="X767" s="37">
        <v>9</v>
      </c>
      <c r="Z767" s="37">
        <v>8</v>
      </c>
      <c r="AA767" s="37">
        <v>8</v>
      </c>
      <c r="AB767" s="37">
        <v>8</v>
      </c>
      <c r="AC767" s="37">
        <v>8</v>
      </c>
      <c r="AD767" s="37">
        <v>8</v>
      </c>
      <c r="AE767" s="37">
        <v>8</v>
      </c>
      <c r="AF767" s="37">
        <v>8</v>
      </c>
      <c r="AG767" s="37">
        <v>8</v>
      </c>
      <c r="AH767" s="37">
        <v>8</v>
      </c>
      <c r="AI767" s="37">
        <v>8</v>
      </c>
      <c r="AJ767" s="37">
        <v>8</v>
      </c>
      <c r="AK767" s="37">
        <v>8</v>
      </c>
      <c r="AL767" s="37">
        <v>8</v>
      </c>
      <c r="AM767" s="37">
        <v>9</v>
      </c>
      <c r="AN767" s="37">
        <v>9</v>
      </c>
      <c r="AO767" s="37">
        <v>9</v>
      </c>
      <c r="AP767" s="37">
        <v>9</v>
      </c>
      <c r="AQ767" s="37">
        <v>9</v>
      </c>
      <c r="AR767" s="37">
        <v>9</v>
      </c>
      <c r="AS767" s="37">
        <v>9</v>
      </c>
      <c r="AT767" s="37">
        <v>9</v>
      </c>
    </row>
    <row r="768" spans="3:46" s="37" customFormat="1" x14ac:dyDescent="0.25"/>
    <row r="769" spans="3:46" s="37" customFormat="1" x14ac:dyDescent="0.25">
      <c r="C769" s="37" t="s">
        <v>21</v>
      </c>
      <c r="D769" s="37">
        <v>13</v>
      </c>
      <c r="E769" s="37">
        <v>13</v>
      </c>
      <c r="F769" s="37">
        <v>13</v>
      </c>
      <c r="G769" s="37">
        <v>13</v>
      </c>
      <c r="H769" s="37">
        <v>13</v>
      </c>
      <c r="I769" s="37">
        <v>12</v>
      </c>
      <c r="J769" s="37">
        <v>11</v>
      </c>
      <c r="K769" s="37">
        <v>11</v>
      </c>
      <c r="L769" s="37">
        <v>11</v>
      </c>
      <c r="M769" s="37">
        <v>11</v>
      </c>
      <c r="N769" s="37">
        <v>11</v>
      </c>
      <c r="O769" s="37">
        <v>11</v>
      </c>
      <c r="P769" s="37">
        <v>11</v>
      </c>
      <c r="Q769" s="37">
        <v>11</v>
      </c>
      <c r="R769" s="37">
        <v>11</v>
      </c>
      <c r="S769" s="37">
        <v>11</v>
      </c>
      <c r="T769" s="37">
        <v>11</v>
      </c>
      <c r="U769" s="37">
        <v>11</v>
      </c>
      <c r="V769" s="37">
        <v>10</v>
      </c>
      <c r="W769" s="37">
        <v>10</v>
      </c>
      <c r="X769" s="37">
        <v>10</v>
      </c>
      <c r="Z769" s="37">
        <v>13</v>
      </c>
      <c r="AA769" s="37">
        <v>13</v>
      </c>
      <c r="AB769" s="37">
        <v>13</v>
      </c>
      <c r="AC769" s="37">
        <v>13</v>
      </c>
      <c r="AD769" s="37">
        <v>13</v>
      </c>
      <c r="AE769" s="37">
        <v>13</v>
      </c>
      <c r="AF769" s="37">
        <v>13</v>
      </c>
      <c r="AG769" s="37">
        <v>11</v>
      </c>
      <c r="AH769" s="37">
        <v>11</v>
      </c>
      <c r="AI769" s="37">
        <v>11</v>
      </c>
      <c r="AJ769" s="37">
        <v>11</v>
      </c>
      <c r="AK769" s="37">
        <v>11</v>
      </c>
      <c r="AL769" s="37">
        <v>11</v>
      </c>
      <c r="AM769" s="37">
        <v>11</v>
      </c>
      <c r="AN769" s="37">
        <v>11</v>
      </c>
      <c r="AO769" s="37">
        <v>11</v>
      </c>
      <c r="AP769" s="37">
        <v>11</v>
      </c>
      <c r="AQ769" s="37">
        <v>11</v>
      </c>
      <c r="AR769" s="37">
        <v>11</v>
      </c>
      <c r="AS769" s="37">
        <v>11</v>
      </c>
      <c r="AT769" s="37">
        <v>11</v>
      </c>
    </row>
    <row r="770" spans="3:46" s="37" customFormat="1" x14ac:dyDescent="0.25"/>
    <row r="771" spans="3:46" s="37" customFormat="1" x14ac:dyDescent="0.25">
      <c r="C771" s="37" t="s">
        <v>20</v>
      </c>
      <c r="D771" s="37">
        <v>8</v>
      </c>
      <c r="E771" s="37">
        <v>8</v>
      </c>
      <c r="F771" s="37">
        <v>8</v>
      </c>
      <c r="G771" s="37">
        <v>8</v>
      </c>
      <c r="H771" s="37">
        <v>8</v>
      </c>
      <c r="I771" s="37">
        <v>7</v>
      </c>
      <c r="J771" s="37">
        <v>6</v>
      </c>
      <c r="K771" s="37">
        <v>3</v>
      </c>
      <c r="L771" s="37">
        <v>3</v>
      </c>
      <c r="M771" s="37">
        <v>3</v>
      </c>
      <c r="N771" s="37">
        <v>3</v>
      </c>
      <c r="O771" s="37">
        <v>3</v>
      </c>
      <c r="P771" s="37">
        <v>3</v>
      </c>
      <c r="Q771" s="37">
        <v>5</v>
      </c>
      <c r="R771" s="37">
        <v>6</v>
      </c>
      <c r="S771" s="37">
        <v>7</v>
      </c>
      <c r="T771" s="37">
        <v>8</v>
      </c>
      <c r="U771" s="37">
        <v>9</v>
      </c>
      <c r="V771" s="37">
        <v>9</v>
      </c>
      <c r="W771" s="37">
        <v>9</v>
      </c>
      <c r="X771" s="37">
        <v>9</v>
      </c>
      <c r="Z771" s="37">
        <v>8</v>
      </c>
      <c r="AA771" s="37">
        <v>8</v>
      </c>
      <c r="AB771" s="37">
        <v>8</v>
      </c>
      <c r="AC771" s="37">
        <v>8</v>
      </c>
      <c r="AD771" s="37">
        <v>8</v>
      </c>
      <c r="AE771" s="37">
        <v>8</v>
      </c>
      <c r="AF771" s="37">
        <v>8</v>
      </c>
      <c r="AG771" s="37">
        <v>3</v>
      </c>
      <c r="AH771" s="37">
        <v>3</v>
      </c>
      <c r="AI771" s="37">
        <v>3</v>
      </c>
      <c r="AJ771" s="37">
        <v>3</v>
      </c>
      <c r="AK771" s="37">
        <v>3</v>
      </c>
      <c r="AL771" s="37">
        <v>3</v>
      </c>
      <c r="AM771" s="37">
        <v>9</v>
      </c>
      <c r="AN771" s="37">
        <v>9</v>
      </c>
      <c r="AO771" s="37">
        <v>9</v>
      </c>
      <c r="AP771" s="37">
        <v>9</v>
      </c>
      <c r="AQ771" s="37">
        <v>9</v>
      </c>
      <c r="AR771" s="37">
        <v>9</v>
      </c>
      <c r="AS771" s="37">
        <v>9</v>
      </c>
      <c r="AT771" s="37">
        <v>9</v>
      </c>
    </row>
    <row r="772" spans="3:46" s="37" customFormat="1" x14ac:dyDescent="0.25"/>
    <row r="773" spans="3:46" s="37" customFormat="1" x14ac:dyDescent="0.25">
      <c r="C773" s="37" t="s">
        <v>21</v>
      </c>
      <c r="D773" s="37">
        <v>6</v>
      </c>
      <c r="E773" s="37">
        <v>6</v>
      </c>
      <c r="F773" s="37">
        <v>6</v>
      </c>
      <c r="G773" s="37">
        <v>6</v>
      </c>
      <c r="H773" s="37">
        <v>5</v>
      </c>
      <c r="I773" s="37">
        <v>5</v>
      </c>
      <c r="J773" s="37">
        <v>4</v>
      </c>
      <c r="K773" s="37">
        <v>4</v>
      </c>
      <c r="L773" s="37">
        <v>4</v>
      </c>
      <c r="M773" s="37">
        <v>4</v>
      </c>
      <c r="N773" s="37">
        <v>4</v>
      </c>
      <c r="O773" s="37">
        <v>4</v>
      </c>
      <c r="P773" s="37">
        <v>4</v>
      </c>
      <c r="Q773" s="37">
        <v>4</v>
      </c>
      <c r="R773" s="37">
        <v>4</v>
      </c>
      <c r="S773" s="37">
        <v>5</v>
      </c>
      <c r="T773" s="37">
        <v>6</v>
      </c>
      <c r="U773" s="37">
        <v>6</v>
      </c>
      <c r="V773" s="37">
        <v>7</v>
      </c>
      <c r="W773" s="37">
        <v>7</v>
      </c>
      <c r="X773" s="37">
        <v>7</v>
      </c>
      <c r="Z773" s="37">
        <v>6</v>
      </c>
      <c r="AA773" s="37">
        <v>6</v>
      </c>
      <c r="AB773" s="37">
        <v>6</v>
      </c>
      <c r="AC773" s="37">
        <v>6</v>
      </c>
      <c r="AD773" s="37">
        <v>6</v>
      </c>
      <c r="AE773" s="37">
        <v>6</v>
      </c>
      <c r="AF773" s="37">
        <v>6</v>
      </c>
      <c r="AG773" s="37">
        <v>4</v>
      </c>
      <c r="AH773" s="37">
        <v>4</v>
      </c>
      <c r="AI773" s="37">
        <v>4</v>
      </c>
      <c r="AJ773" s="37">
        <v>4</v>
      </c>
      <c r="AK773" s="37">
        <v>4</v>
      </c>
      <c r="AL773" s="37">
        <v>4</v>
      </c>
      <c r="AM773" s="37">
        <v>7</v>
      </c>
      <c r="AN773" s="37">
        <v>7</v>
      </c>
      <c r="AO773" s="37">
        <v>7</v>
      </c>
      <c r="AP773" s="37">
        <v>7</v>
      </c>
      <c r="AQ773" s="37">
        <v>7</v>
      </c>
      <c r="AR773" s="37">
        <v>7</v>
      </c>
      <c r="AS773" s="37">
        <v>7</v>
      </c>
      <c r="AT773" s="37">
        <v>7</v>
      </c>
    </row>
    <row r="774" spans="3:46" s="37" customFormat="1" x14ac:dyDescent="0.25"/>
    <row r="775" spans="3:46" s="37" customFormat="1" x14ac:dyDescent="0.25">
      <c r="C775" s="37" t="s">
        <v>20</v>
      </c>
      <c r="D775" s="37">
        <v>10</v>
      </c>
      <c r="E775" s="37">
        <v>10</v>
      </c>
      <c r="F775" s="37">
        <v>10</v>
      </c>
      <c r="G775" s="37">
        <v>10</v>
      </c>
      <c r="H775" s="37">
        <v>10</v>
      </c>
      <c r="I775" s="37">
        <v>10</v>
      </c>
      <c r="J775" s="37">
        <v>10</v>
      </c>
      <c r="K775" s="37">
        <v>9</v>
      </c>
      <c r="L775" s="37">
        <v>9</v>
      </c>
      <c r="M775" s="37">
        <v>8</v>
      </c>
      <c r="N775" s="37">
        <v>7</v>
      </c>
      <c r="O775" s="37">
        <v>6</v>
      </c>
      <c r="P775" s="37">
        <v>7</v>
      </c>
      <c r="Q775" s="37">
        <v>8</v>
      </c>
      <c r="R775" s="37">
        <v>9</v>
      </c>
      <c r="S775" s="37">
        <v>9</v>
      </c>
      <c r="T775" s="37">
        <v>9</v>
      </c>
      <c r="U775" s="37">
        <v>9</v>
      </c>
      <c r="V775" s="37">
        <v>9</v>
      </c>
      <c r="W775" s="37">
        <v>9</v>
      </c>
      <c r="X775" s="37">
        <v>9</v>
      </c>
      <c r="Z775" s="37">
        <v>10</v>
      </c>
      <c r="AA775" s="37">
        <v>10</v>
      </c>
      <c r="AB775" s="37">
        <v>10</v>
      </c>
      <c r="AC775" s="37">
        <v>10</v>
      </c>
      <c r="AD775" s="37">
        <v>10</v>
      </c>
      <c r="AE775" s="37">
        <v>10</v>
      </c>
      <c r="AF775" s="37">
        <v>10</v>
      </c>
      <c r="AG775" s="37">
        <v>9</v>
      </c>
      <c r="AH775" s="37">
        <v>9</v>
      </c>
      <c r="AI775" s="37">
        <v>9</v>
      </c>
      <c r="AJ775" s="37">
        <v>9</v>
      </c>
      <c r="AK775" s="37">
        <v>9</v>
      </c>
      <c r="AL775" s="37">
        <v>9</v>
      </c>
      <c r="AM775" s="37">
        <v>9</v>
      </c>
      <c r="AN775" s="37">
        <v>9</v>
      </c>
      <c r="AO775" s="37">
        <v>9</v>
      </c>
      <c r="AP775" s="37">
        <v>9</v>
      </c>
      <c r="AQ775" s="37">
        <v>9</v>
      </c>
      <c r="AR775" s="37">
        <v>9</v>
      </c>
      <c r="AS775" s="37">
        <v>9</v>
      </c>
      <c r="AT775" s="37">
        <v>9</v>
      </c>
    </row>
    <row r="776" spans="3:46" s="37" customFormat="1" x14ac:dyDescent="0.25"/>
    <row r="777" spans="3:46" s="37" customFormat="1" x14ac:dyDescent="0.25">
      <c r="C777" s="37" t="s">
        <v>21</v>
      </c>
      <c r="D777" s="37">
        <v>13</v>
      </c>
      <c r="E777" s="37">
        <v>13</v>
      </c>
      <c r="F777" s="37">
        <v>13</v>
      </c>
      <c r="G777" s="37">
        <v>13</v>
      </c>
      <c r="H777" s="37">
        <v>13</v>
      </c>
      <c r="I777" s="37">
        <v>13</v>
      </c>
      <c r="J777" s="37">
        <v>13</v>
      </c>
      <c r="K777" s="37">
        <v>13</v>
      </c>
      <c r="L777" s="37">
        <v>13</v>
      </c>
      <c r="M777" s="37">
        <v>13</v>
      </c>
      <c r="N777" s="37">
        <v>13</v>
      </c>
      <c r="O777" s="37">
        <v>13</v>
      </c>
      <c r="P777" s="37">
        <v>13</v>
      </c>
      <c r="Q777" s="37">
        <v>13</v>
      </c>
      <c r="R777" s="37">
        <v>13</v>
      </c>
      <c r="S777" s="37">
        <v>13</v>
      </c>
      <c r="T777" s="37">
        <v>13</v>
      </c>
      <c r="U777" s="37">
        <v>13</v>
      </c>
      <c r="V777" s="37">
        <v>12</v>
      </c>
      <c r="W777" s="37">
        <v>12</v>
      </c>
      <c r="X777" s="37">
        <v>12</v>
      </c>
      <c r="Z777" s="37">
        <v>13</v>
      </c>
      <c r="AA777" s="37">
        <v>13</v>
      </c>
      <c r="AB777" s="37">
        <v>13</v>
      </c>
      <c r="AC777" s="37">
        <v>13</v>
      </c>
      <c r="AD777" s="37">
        <v>13</v>
      </c>
      <c r="AE777" s="37">
        <v>13</v>
      </c>
      <c r="AF777" s="37">
        <v>13</v>
      </c>
      <c r="AG777" s="37">
        <v>13</v>
      </c>
      <c r="AH777" s="37">
        <v>13</v>
      </c>
      <c r="AI777" s="37">
        <v>13</v>
      </c>
      <c r="AJ777" s="37">
        <v>13</v>
      </c>
      <c r="AK777" s="37">
        <v>13</v>
      </c>
      <c r="AL777" s="37">
        <v>13</v>
      </c>
      <c r="AM777" s="37">
        <v>13</v>
      </c>
      <c r="AN777" s="37">
        <v>13</v>
      </c>
      <c r="AO777" s="37">
        <v>13</v>
      </c>
      <c r="AP777" s="37">
        <v>13</v>
      </c>
      <c r="AQ777" s="37">
        <v>13</v>
      </c>
      <c r="AR777" s="37">
        <v>13</v>
      </c>
      <c r="AS777" s="37">
        <v>13</v>
      </c>
      <c r="AT777" s="37">
        <v>13</v>
      </c>
    </row>
    <row r="778" spans="3:46" s="37" customFormat="1" x14ac:dyDescent="0.25"/>
    <row r="779" spans="3:46" s="37" customFormat="1" x14ac:dyDescent="0.25">
      <c r="C779" s="37" t="s">
        <v>20</v>
      </c>
      <c r="D779" s="37">
        <v>11</v>
      </c>
      <c r="E779" s="37">
        <v>11</v>
      </c>
      <c r="F779" s="37">
        <v>11</v>
      </c>
      <c r="G779" s="37">
        <v>11</v>
      </c>
      <c r="H779" s="37">
        <v>11</v>
      </c>
      <c r="I779" s="37">
        <v>11</v>
      </c>
      <c r="J779" s="37">
        <v>10</v>
      </c>
      <c r="K779" s="37">
        <v>4</v>
      </c>
      <c r="L779" s="37">
        <v>4</v>
      </c>
      <c r="M779" s="37">
        <v>4</v>
      </c>
      <c r="N779" s="37">
        <v>4</v>
      </c>
      <c r="O779" s="37">
        <v>4</v>
      </c>
      <c r="P779" s="37">
        <v>4</v>
      </c>
      <c r="Q779" s="37">
        <v>7</v>
      </c>
      <c r="R779" s="37">
        <v>8</v>
      </c>
      <c r="S779" s="37">
        <v>9</v>
      </c>
      <c r="T779" s="37">
        <v>9</v>
      </c>
      <c r="U779" s="37">
        <v>9</v>
      </c>
      <c r="V779" s="37">
        <v>9</v>
      </c>
      <c r="W779" s="37">
        <v>9</v>
      </c>
      <c r="X779" s="37">
        <v>9</v>
      </c>
      <c r="Z779" s="37">
        <v>11</v>
      </c>
      <c r="AA779" s="37">
        <v>11</v>
      </c>
      <c r="AB779" s="37">
        <v>11</v>
      </c>
      <c r="AC779" s="37">
        <v>11</v>
      </c>
      <c r="AD779" s="37">
        <v>11</v>
      </c>
      <c r="AE779" s="37">
        <v>11</v>
      </c>
      <c r="AF779" s="37">
        <v>11</v>
      </c>
      <c r="AG779" s="37">
        <v>4</v>
      </c>
      <c r="AH779" s="37">
        <v>4</v>
      </c>
      <c r="AI779" s="37">
        <v>4</v>
      </c>
      <c r="AJ779" s="37">
        <v>4</v>
      </c>
      <c r="AK779" s="37">
        <v>4</v>
      </c>
      <c r="AL779" s="37">
        <v>4</v>
      </c>
      <c r="AM779" s="37">
        <v>9</v>
      </c>
      <c r="AN779" s="37">
        <v>9</v>
      </c>
      <c r="AO779" s="37">
        <v>9</v>
      </c>
      <c r="AP779" s="37">
        <v>9</v>
      </c>
      <c r="AQ779" s="37">
        <v>9</v>
      </c>
      <c r="AR779" s="37">
        <v>9</v>
      </c>
      <c r="AS779" s="37">
        <v>9</v>
      </c>
      <c r="AT779" s="37">
        <v>9</v>
      </c>
    </row>
    <row r="780" spans="3:46" s="37" customFormat="1" x14ac:dyDescent="0.25"/>
    <row r="781" spans="3:46" s="37" customFormat="1" x14ac:dyDescent="0.25">
      <c r="C781" s="37" t="s">
        <v>21</v>
      </c>
      <c r="D781" s="37">
        <v>14</v>
      </c>
      <c r="E781" s="37">
        <v>14</v>
      </c>
      <c r="F781" s="37">
        <v>14</v>
      </c>
      <c r="G781" s="37">
        <v>14</v>
      </c>
      <c r="H781" s="37">
        <v>14</v>
      </c>
      <c r="I781" s="37">
        <v>13</v>
      </c>
      <c r="J781" s="37">
        <v>12</v>
      </c>
      <c r="K781" s="37">
        <v>5</v>
      </c>
      <c r="L781" s="37">
        <v>5</v>
      </c>
      <c r="M781" s="37">
        <v>5</v>
      </c>
      <c r="N781" s="37">
        <v>5</v>
      </c>
      <c r="O781" s="37">
        <v>5</v>
      </c>
      <c r="P781" s="37">
        <v>5</v>
      </c>
      <c r="Q781" s="37">
        <v>10</v>
      </c>
      <c r="R781" s="37">
        <v>11</v>
      </c>
      <c r="S781" s="37">
        <v>13</v>
      </c>
      <c r="T781" s="37">
        <v>14</v>
      </c>
      <c r="U781" s="37">
        <v>14</v>
      </c>
      <c r="V781" s="37">
        <v>14</v>
      </c>
      <c r="W781" s="37">
        <v>14</v>
      </c>
      <c r="X781" s="37">
        <v>14</v>
      </c>
      <c r="Z781" s="37">
        <v>14</v>
      </c>
      <c r="AA781" s="37">
        <v>14</v>
      </c>
      <c r="AB781" s="37">
        <v>14</v>
      </c>
      <c r="AC781" s="37">
        <v>14</v>
      </c>
      <c r="AD781" s="37">
        <v>14</v>
      </c>
      <c r="AE781" s="37">
        <v>14</v>
      </c>
      <c r="AF781" s="37">
        <v>14</v>
      </c>
      <c r="AG781" s="37">
        <v>5</v>
      </c>
      <c r="AH781" s="37">
        <v>5</v>
      </c>
      <c r="AI781" s="37">
        <v>5</v>
      </c>
      <c r="AJ781" s="37">
        <v>5</v>
      </c>
      <c r="AK781" s="37">
        <v>5</v>
      </c>
      <c r="AL781" s="37">
        <v>5</v>
      </c>
      <c r="AM781" s="37">
        <v>15</v>
      </c>
      <c r="AN781" s="37">
        <v>15</v>
      </c>
      <c r="AO781" s="37">
        <v>15</v>
      </c>
      <c r="AP781" s="37">
        <v>15</v>
      </c>
      <c r="AQ781" s="37">
        <v>15</v>
      </c>
      <c r="AR781" s="37">
        <v>15</v>
      </c>
      <c r="AS781" s="37">
        <v>15</v>
      </c>
      <c r="AT781" s="37">
        <v>15</v>
      </c>
    </row>
    <row r="782" spans="3:46" s="37" customFormat="1" x14ac:dyDescent="0.25"/>
    <row r="783" spans="3:46" s="37" customFormat="1" x14ac:dyDescent="0.25">
      <c r="C783" s="37" t="s">
        <v>20</v>
      </c>
      <c r="D783" s="37">
        <v>9</v>
      </c>
      <c r="E783" s="37">
        <v>9</v>
      </c>
      <c r="F783" s="37">
        <v>9</v>
      </c>
      <c r="G783" s="37">
        <v>9</v>
      </c>
      <c r="H783" s="37">
        <v>9</v>
      </c>
      <c r="I783" s="37">
        <v>9</v>
      </c>
      <c r="J783" s="37">
        <v>9</v>
      </c>
      <c r="K783" s="37">
        <v>8</v>
      </c>
      <c r="L783" s="37">
        <v>8</v>
      </c>
      <c r="M783" s="37">
        <v>8</v>
      </c>
      <c r="N783" s="37">
        <v>7</v>
      </c>
      <c r="O783" s="37">
        <v>6</v>
      </c>
      <c r="P783" s="37">
        <v>7</v>
      </c>
      <c r="Q783" s="37">
        <v>8</v>
      </c>
      <c r="R783" s="37">
        <v>8</v>
      </c>
      <c r="S783" s="37">
        <v>8</v>
      </c>
      <c r="T783" s="37">
        <v>8</v>
      </c>
      <c r="U783" s="37">
        <v>8</v>
      </c>
      <c r="V783" s="37">
        <v>8</v>
      </c>
      <c r="W783" s="37">
        <v>8</v>
      </c>
      <c r="X783" s="37">
        <v>8</v>
      </c>
      <c r="Z783" s="37">
        <v>9</v>
      </c>
      <c r="AA783" s="37">
        <v>9</v>
      </c>
      <c r="AB783" s="37">
        <v>9</v>
      </c>
      <c r="AC783" s="37">
        <v>9</v>
      </c>
      <c r="AD783" s="37">
        <v>9</v>
      </c>
      <c r="AE783" s="37">
        <v>9</v>
      </c>
      <c r="AF783" s="37">
        <v>9</v>
      </c>
      <c r="AG783" s="37">
        <v>8</v>
      </c>
      <c r="AH783" s="37">
        <v>8</v>
      </c>
      <c r="AI783" s="37">
        <v>8</v>
      </c>
      <c r="AJ783" s="37">
        <v>8</v>
      </c>
      <c r="AK783" s="37">
        <v>8</v>
      </c>
      <c r="AL783" s="37">
        <v>8</v>
      </c>
      <c r="AM783" s="37">
        <v>8</v>
      </c>
      <c r="AN783" s="37">
        <v>8</v>
      </c>
      <c r="AO783" s="37">
        <v>8</v>
      </c>
      <c r="AP783" s="37">
        <v>8</v>
      </c>
      <c r="AQ783" s="37">
        <v>8</v>
      </c>
      <c r="AR783" s="37">
        <v>8</v>
      </c>
      <c r="AS783" s="37">
        <v>8</v>
      </c>
      <c r="AT783" s="37">
        <v>8</v>
      </c>
    </row>
    <row r="784" spans="3:46" s="37" customFormat="1" x14ac:dyDescent="0.25"/>
    <row r="785" spans="3:46" s="37" customFormat="1" x14ac:dyDescent="0.25">
      <c r="C785" s="37" t="s">
        <v>21</v>
      </c>
      <c r="D785" s="37">
        <v>12</v>
      </c>
      <c r="E785" s="37">
        <v>12</v>
      </c>
      <c r="F785" s="37">
        <v>12</v>
      </c>
      <c r="G785" s="37">
        <v>12</v>
      </c>
      <c r="H785" s="37">
        <v>12</v>
      </c>
      <c r="I785" s="37">
        <v>12</v>
      </c>
      <c r="J785" s="37">
        <v>12</v>
      </c>
      <c r="K785" s="37">
        <v>12</v>
      </c>
      <c r="L785" s="37">
        <v>12</v>
      </c>
      <c r="M785" s="37">
        <v>12</v>
      </c>
      <c r="N785" s="37">
        <v>12</v>
      </c>
      <c r="O785" s="37">
        <v>12</v>
      </c>
      <c r="P785" s="37">
        <v>12</v>
      </c>
      <c r="Q785" s="37">
        <v>12</v>
      </c>
      <c r="R785" s="37">
        <v>12</v>
      </c>
      <c r="S785" s="37">
        <v>12</v>
      </c>
      <c r="T785" s="37">
        <v>13</v>
      </c>
      <c r="U785" s="37">
        <v>13</v>
      </c>
      <c r="V785" s="37">
        <v>13</v>
      </c>
      <c r="W785" s="37">
        <v>13</v>
      </c>
      <c r="X785" s="37">
        <v>13</v>
      </c>
      <c r="Z785" s="37">
        <v>12</v>
      </c>
      <c r="AA785" s="37">
        <v>12</v>
      </c>
      <c r="AB785" s="37">
        <v>12</v>
      </c>
      <c r="AC785" s="37">
        <v>12</v>
      </c>
      <c r="AD785" s="37">
        <v>12</v>
      </c>
      <c r="AE785" s="37">
        <v>12</v>
      </c>
      <c r="AF785" s="37">
        <v>12</v>
      </c>
      <c r="AG785" s="37">
        <v>12</v>
      </c>
      <c r="AH785" s="37">
        <v>12</v>
      </c>
      <c r="AI785" s="37">
        <v>12</v>
      </c>
      <c r="AJ785" s="37">
        <v>12</v>
      </c>
      <c r="AK785" s="37">
        <v>12</v>
      </c>
      <c r="AL785" s="37">
        <v>12</v>
      </c>
      <c r="AM785" s="37">
        <v>14</v>
      </c>
      <c r="AN785" s="37">
        <v>14</v>
      </c>
      <c r="AO785" s="37">
        <v>14</v>
      </c>
      <c r="AP785" s="37">
        <v>14</v>
      </c>
      <c r="AQ785" s="37">
        <v>14</v>
      </c>
      <c r="AR785" s="37">
        <v>14</v>
      </c>
      <c r="AS785" s="37">
        <v>14</v>
      </c>
      <c r="AT785" s="37">
        <v>14</v>
      </c>
    </row>
    <row r="786" spans="3:46" s="37" customFormat="1" x14ac:dyDescent="0.25"/>
    <row r="787" spans="3:46" s="37" customFormat="1" x14ac:dyDescent="0.25">
      <c r="C787" s="37" t="s">
        <v>20</v>
      </c>
      <c r="D787" s="37">
        <v>10</v>
      </c>
      <c r="E787" s="37">
        <v>10</v>
      </c>
      <c r="F787" s="37">
        <v>10</v>
      </c>
      <c r="G787" s="37">
        <v>10</v>
      </c>
      <c r="H787" s="37">
        <v>10</v>
      </c>
      <c r="I787" s="37">
        <v>10</v>
      </c>
      <c r="J787" s="37">
        <v>10</v>
      </c>
      <c r="K787" s="37">
        <v>4</v>
      </c>
      <c r="L787" s="37">
        <v>4</v>
      </c>
      <c r="M787" s="37">
        <v>4</v>
      </c>
      <c r="N787" s="37">
        <v>4</v>
      </c>
      <c r="O787" s="37">
        <v>4</v>
      </c>
      <c r="P787" s="37">
        <v>4</v>
      </c>
      <c r="Q787" s="37">
        <v>8</v>
      </c>
      <c r="R787" s="37">
        <v>9</v>
      </c>
      <c r="S787" s="37">
        <v>10</v>
      </c>
      <c r="T787" s="37">
        <v>10</v>
      </c>
      <c r="U787" s="37">
        <v>10</v>
      </c>
      <c r="V787" s="37">
        <v>10</v>
      </c>
      <c r="W787" s="37">
        <v>10</v>
      </c>
      <c r="X787" s="37">
        <v>10</v>
      </c>
      <c r="Z787" s="37">
        <v>10</v>
      </c>
      <c r="AA787" s="37">
        <v>10</v>
      </c>
      <c r="AB787" s="37">
        <v>10</v>
      </c>
      <c r="AC787" s="37">
        <v>10</v>
      </c>
      <c r="AD787" s="37">
        <v>10</v>
      </c>
      <c r="AE787" s="37">
        <v>10</v>
      </c>
      <c r="AF787" s="37">
        <v>10</v>
      </c>
      <c r="AG787" s="37">
        <v>4</v>
      </c>
      <c r="AH787" s="37">
        <v>4</v>
      </c>
      <c r="AI787" s="37">
        <v>4</v>
      </c>
      <c r="AJ787" s="37">
        <v>4</v>
      </c>
      <c r="AK787" s="37">
        <v>4</v>
      </c>
      <c r="AL787" s="37">
        <v>4</v>
      </c>
      <c r="AM787" s="37">
        <v>11</v>
      </c>
      <c r="AN787" s="37">
        <v>11</v>
      </c>
      <c r="AO787" s="37">
        <v>11</v>
      </c>
      <c r="AP787" s="37">
        <v>11</v>
      </c>
      <c r="AQ787" s="37">
        <v>11</v>
      </c>
      <c r="AR787" s="37">
        <v>11</v>
      </c>
      <c r="AS787" s="37">
        <v>11</v>
      </c>
      <c r="AT787" s="37">
        <v>11</v>
      </c>
    </row>
    <row r="788" spans="3:46" s="37" customFormat="1" x14ac:dyDescent="0.25"/>
    <row r="789" spans="3:46" s="37" customFormat="1" x14ac:dyDescent="0.25">
      <c r="C789" s="37" t="s">
        <v>21</v>
      </c>
      <c r="D789" s="37">
        <v>14</v>
      </c>
      <c r="E789" s="37">
        <v>14</v>
      </c>
      <c r="F789" s="37">
        <v>14</v>
      </c>
      <c r="G789" s="37">
        <v>14</v>
      </c>
      <c r="H789" s="37">
        <v>13</v>
      </c>
      <c r="I789" s="37">
        <v>12</v>
      </c>
      <c r="J789" s="37">
        <v>11</v>
      </c>
      <c r="K789" s="37">
        <v>5</v>
      </c>
      <c r="L789" s="37">
        <v>5</v>
      </c>
      <c r="M789" s="37">
        <v>5</v>
      </c>
      <c r="N789" s="37">
        <v>5</v>
      </c>
      <c r="O789" s="37">
        <v>5</v>
      </c>
      <c r="P789" s="37">
        <v>5</v>
      </c>
      <c r="Q789" s="37">
        <v>7</v>
      </c>
      <c r="R789" s="37">
        <v>8</v>
      </c>
      <c r="S789" s="37">
        <v>9</v>
      </c>
      <c r="T789" s="37">
        <v>10</v>
      </c>
      <c r="U789" s="37">
        <v>11</v>
      </c>
      <c r="V789" s="37">
        <v>11</v>
      </c>
      <c r="W789" s="37">
        <v>11</v>
      </c>
      <c r="X789" s="37">
        <v>11</v>
      </c>
      <c r="Z789" s="37">
        <v>14</v>
      </c>
      <c r="AA789" s="37">
        <v>14</v>
      </c>
      <c r="AB789" s="37">
        <v>14</v>
      </c>
      <c r="AC789" s="37">
        <v>14</v>
      </c>
      <c r="AD789" s="37">
        <v>14</v>
      </c>
      <c r="AE789" s="37">
        <v>14</v>
      </c>
      <c r="AF789" s="37">
        <v>14</v>
      </c>
      <c r="AG789" s="37">
        <v>5</v>
      </c>
      <c r="AH789" s="37">
        <v>5</v>
      </c>
      <c r="AI789" s="37">
        <v>5</v>
      </c>
      <c r="AJ789" s="37">
        <v>5</v>
      </c>
      <c r="AK789" s="37">
        <v>5</v>
      </c>
      <c r="AL789" s="37">
        <v>5</v>
      </c>
      <c r="AM789" s="37">
        <v>12</v>
      </c>
      <c r="AN789" s="37">
        <v>12</v>
      </c>
      <c r="AO789" s="37">
        <v>12</v>
      </c>
      <c r="AP789" s="37">
        <v>12</v>
      </c>
      <c r="AQ789" s="37">
        <v>12</v>
      </c>
      <c r="AR789" s="37">
        <v>12</v>
      </c>
      <c r="AS789" s="37">
        <v>12</v>
      </c>
      <c r="AT789" s="37">
        <v>12</v>
      </c>
    </row>
    <row r="790" spans="3:46" s="37" customFormat="1" x14ac:dyDescent="0.25"/>
    <row r="791" spans="3:46" s="37" customFormat="1" x14ac:dyDescent="0.25">
      <c r="C791" s="37" t="s">
        <v>20</v>
      </c>
      <c r="D791" s="37">
        <v>9</v>
      </c>
      <c r="E791" s="37">
        <v>9</v>
      </c>
      <c r="F791" s="37">
        <v>9</v>
      </c>
      <c r="G791" s="37">
        <v>9</v>
      </c>
      <c r="H791" s="37">
        <v>9</v>
      </c>
      <c r="I791" s="37">
        <v>9</v>
      </c>
      <c r="J791" s="37">
        <v>8</v>
      </c>
      <c r="K791" s="37">
        <v>4</v>
      </c>
      <c r="L791" s="37">
        <v>4</v>
      </c>
      <c r="M791" s="37">
        <v>4</v>
      </c>
      <c r="N791" s="37">
        <v>4</v>
      </c>
      <c r="O791" s="37">
        <v>4</v>
      </c>
      <c r="P791" s="37">
        <v>4</v>
      </c>
      <c r="Q791" s="37">
        <v>7</v>
      </c>
      <c r="R791" s="37">
        <v>8</v>
      </c>
      <c r="S791" s="37">
        <v>9</v>
      </c>
      <c r="T791" s="37">
        <v>10</v>
      </c>
      <c r="U791" s="37">
        <v>10</v>
      </c>
      <c r="V791" s="37">
        <v>10</v>
      </c>
      <c r="W791" s="37">
        <v>10</v>
      </c>
      <c r="X791" s="37">
        <v>10</v>
      </c>
      <c r="Z791" s="37">
        <v>9</v>
      </c>
      <c r="AA791" s="37">
        <v>9</v>
      </c>
      <c r="AB791" s="37">
        <v>9</v>
      </c>
      <c r="AC791" s="37">
        <v>9</v>
      </c>
      <c r="AD791" s="37">
        <v>9</v>
      </c>
      <c r="AE791" s="37">
        <v>9</v>
      </c>
      <c r="AF791" s="37">
        <v>9</v>
      </c>
      <c r="AG791" s="37">
        <v>4</v>
      </c>
      <c r="AH791" s="37">
        <v>4</v>
      </c>
      <c r="AI791" s="37">
        <v>4</v>
      </c>
      <c r="AJ791" s="37">
        <v>4</v>
      </c>
      <c r="AK791" s="37">
        <v>4</v>
      </c>
      <c r="AL791" s="37">
        <v>4</v>
      </c>
      <c r="AM791" s="37">
        <v>10</v>
      </c>
      <c r="AN791" s="37">
        <v>10</v>
      </c>
      <c r="AO791" s="37">
        <v>10</v>
      </c>
      <c r="AP791" s="37">
        <v>10</v>
      </c>
      <c r="AQ791" s="37">
        <v>10</v>
      </c>
      <c r="AR791" s="37">
        <v>10</v>
      </c>
      <c r="AS791" s="37">
        <v>10</v>
      </c>
      <c r="AT791" s="37">
        <v>10</v>
      </c>
    </row>
    <row r="792" spans="3:46" s="37" customFormat="1" x14ac:dyDescent="0.25"/>
    <row r="793" spans="3:46" s="37" customFormat="1" x14ac:dyDescent="0.25">
      <c r="C793" s="37" t="s">
        <v>21</v>
      </c>
      <c r="D793" s="37">
        <v>9</v>
      </c>
      <c r="E793" s="37">
        <v>9</v>
      </c>
      <c r="F793" s="37">
        <v>9</v>
      </c>
      <c r="G793" s="37">
        <v>9</v>
      </c>
      <c r="H793" s="37">
        <v>8</v>
      </c>
      <c r="I793" s="37">
        <v>7</v>
      </c>
      <c r="J793" s="37">
        <v>6</v>
      </c>
      <c r="K793" s="37">
        <v>5</v>
      </c>
      <c r="L793" s="37">
        <v>5</v>
      </c>
      <c r="M793" s="37">
        <v>5</v>
      </c>
      <c r="N793" s="37">
        <v>5</v>
      </c>
      <c r="O793" s="37">
        <v>5</v>
      </c>
      <c r="P793" s="37">
        <v>5</v>
      </c>
      <c r="Q793" s="37">
        <v>5</v>
      </c>
      <c r="R793" s="37">
        <v>6</v>
      </c>
      <c r="S793" s="37">
        <v>6</v>
      </c>
      <c r="T793" s="37">
        <v>7</v>
      </c>
      <c r="U793" s="37">
        <v>8</v>
      </c>
      <c r="V793" s="37">
        <v>8</v>
      </c>
      <c r="W793" s="37">
        <v>8</v>
      </c>
      <c r="X793" s="37">
        <v>8</v>
      </c>
      <c r="Z793" s="37">
        <v>9</v>
      </c>
      <c r="AA793" s="37">
        <v>9</v>
      </c>
      <c r="AB793" s="37">
        <v>9</v>
      </c>
      <c r="AC793" s="37">
        <v>9</v>
      </c>
      <c r="AD793" s="37">
        <v>9</v>
      </c>
      <c r="AE793" s="37">
        <v>9</v>
      </c>
      <c r="AF793" s="37">
        <v>9</v>
      </c>
      <c r="AG793" s="37">
        <v>5</v>
      </c>
      <c r="AH793" s="37">
        <v>5</v>
      </c>
      <c r="AI793" s="37">
        <v>5</v>
      </c>
      <c r="AJ793" s="37">
        <v>5</v>
      </c>
      <c r="AK793" s="37">
        <v>5</v>
      </c>
      <c r="AL793" s="37">
        <v>5</v>
      </c>
      <c r="AM793" s="37">
        <v>8</v>
      </c>
      <c r="AN793" s="37">
        <v>8</v>
      </c>
      <c r="AO793" s="37">
        <v>8</v>
      </c>
      <c r="AP793" s="37">
        <v>8</v>
      </c>
      <c r="AQ793" s="37">
        <v>8</v>
      </c>
      <c r="AR793" s="37">
        <v>8</v>
      </c>
      <c r="AS793" s="37">
        <v>8</v>
      </c>
      <c r="AT793" s="37">
        <v>8</v>
      </c>
    </row>
    <row r="794" spans="3:46" s="37" customFormat="1" x14ac:dyDescent="0.25"/>
    <row r="795" spans="3:46" s="37" customFormat="1" x14ac:dyDescent="0.25">
      <c r="C795" s="37" t="s">
        <v>20</v>
      </c>
      <c r="D795" s="37">
        <v>9</v>
      </c>
      <c r="E795" s="37">
        <v>9</v>
      </c>
      <c r="F795" s="37">
        <v>9</v>
      </c>
      <c r="G795" s="37">
        <v>9</v>
      </c>
      <c r="H795" s="37">
        <v>9</v>
      </c>
      <c r="I795" s="37">
        <v>9</v>
      </c>
      <c r="J795" s="37">
        <v>8</v>
      </c>
      <c r="K795" s="37">
        <v>4</v>
      </c>
      <c r="L795" s="37">
        <v>4</v>
      </c>
      <c r="M795" s="37">
        <v>4</v>
      </c>
      <c r="N795" s="37">
        <v>4</v>
      </c>
      <c r="O795" s="37">
        <v>4</v>
      </c>
      <c r="P795" s="37">
        <v>4</v>
      </c>
      <c r="Q795" s="37">
        <v>7</v>
      </c>
      <c r="R795" s="37">
        <v>8</v>
      </c>
      <c r="S795" s="37">
        <v>9</v>
      </c>
      <c r="T795" s="37">
        <v>10</v>
      </c>
      <c r="U795" s="37">
        <v>10</v>
      </c>
      <c r="V795" s="37">
        <v>10</v>
      </c>
      <c r="W795" s="37">
        <v>10</v>
      </c>
      <c r="X795" s="37">
        <v>10</v>
      </c>
      <c r="Z795" s="37">
        <v>9</v>
      </c>
      <c r="AA795" s="37">
        <v>9</v>
      </c>
      <c r="AB795" s="37">
        <v>9</v>
      </c>
      <c r="AC795" s="37">
        <v>9</v>
      </c>
      <c r="AD795" s="37">
        <v>9</v>
      </c>
      <c r="AE795" s="37">
        <v>9</v>
      </c>
      <c r="AF795" s="37">
        <v>9</v>
      </c>
      <c r="AG795" s="37">
        <v>4</v>
      </c>
      <c r="AH795" s="37">
        <v>4</v>
      </c>
      <c r="AI795" s="37">
        <v>4</v>
      </c>
      <c r="AJ795" s="37">
        <v>4</v>
      </c>
      <c r="AK795" s="37">
        <v>4</v>
      </c>
      <c r="AL795" s="37">
        <v>4</v>
      </c>
      <c r="AM795" s="37">
        <v>10</v>
      </c>
      <c r="AN795" s="37">
        <v>10</v>
      </c>
      <c r="AO795" s="37">
        <v>10</v>
      </c>
      <c r="AP795" s="37">
        <v>10</v>
      </c>
      <c r="AQ795" s="37">
        <v>10</v>
      </c>
      <c r="AR795" s="37">
        <v>10</v>
      </c>
      <c r="AS795" s="37">
        <v>10</v>
      </c>
      <c r="AT795" s="37">
        <v>10</v>
      </c>
    </row>
    <row r="796" spans="3:46" s="37" customFormat="1" x14ac:dyDescent="0.25"/>
    <row r="797" spans="3:46" s="37" customFormat="1" x14ac:dyDescent="0.25">
      <c r="C797" s="37" t="s">
        <v>21</v>
      </c>
      <c r="D797" s="37">
        <v>9</v>
      </c>
      <c r="E797" s="37">
        <v>9</v>
      </c>
      <c r="F797" s="37">
        <v>9</v>
      </c>
      <c r="G797" s="37">
        <v>9</v>
      </c>
      <c r="H797" s="37">
        <v>8</v>
      </c>
      <c r="I797" s="37">
        <v>7</v>
      </c>
      <c r="J797" s="37">
        <v>6</v>
      </c>
      <c r="K797" s="37">
        <v>5</v>
      </c>
      <c r="L797" s="37">
        <v>5</v>
      </c>
      <c r="M797" s="37">
        <v>5</v>
      </c>
      <c r="N797" s="37">
        <v>5</v>
      </c>
      <c r="O797" s="37">
        <v>5</v>
      </c>
      <c r="P797" s="37">
        <v>5</v>
      </c>
      <c r="Q797" s="37">
        <v>5</v>
      </c>
      <c r="R797" s="37">
        <v>5</v>
      </c>
      <c r="S797" s="37">
        <v>6</v>
      </c>
      <c r="T797" s="37">
        <v>7</v>
      </c>
      <c r="U797" s="37">
        <v>8</v>
      </c>
      <c r="V797" s="37">
        <v>9</v>
      </c>
      <c r="W797" s="37">
        <v>9</v>
      </c>
      <c r="X797" s="37">
        <v>9</v>
      </c>
      <c r="Z797" s="37">
        <v>9</v>
      </c>
      <c r="AA797" s="37">
        <v>9</v>
      </c>
      <c r="AB797" s="37">
        <v>9</v>
      </c>
      <c r="AC797" s="37">
        <v>9</v>
      </c>
      <c r="AD797" s="37">
        <v>9</v>
      </c>
      <c r="AE797" s="37">
        <v>9</v>
      </c>
      <c r="AF797" s="37">
        <v>9</v>
      </c>
      <c r="AG797" s="37">
        <v>5</v>
      </c>
      <c r="AH797" s="37">
        <v>5</v>
      </c>
      <c r="AI797" s="37">
        <v>5</v>
      </c>
      <c r="AJ797" s="37">
        <v>5</v>
      </c>
      <c r="AK797" s="37">
        <v>5</v>
      </c>
      <c r="AL797" s="37">
        <v>5</v>
      </c>
      <c r="AM797" s="37">
        <v>9</v>
      </c>
      <c r="AN797" s="37">
        <v>9</v>
      </c>
      <c r="AO797" s="37">
        <v>9</v>
      </c>
      <c r="AP797" s="37">
        <v>9</v>
      </c>
      <c r="AQ797" s="37">
        <v>9</v>
      </c>
      <c r="AR797" s="37">
        <v>9</v>
      </c>
      <c r="AS797" s="37">
        <v>9</v>
      </c>
      <c r="AT797" s="37">
        <v>9</v>
      </c>
    </row>
    <row r="798" spans="3:46" s="37" customFormat="1" x14ac:dyDescent="0.25"/>
    <row r="799" spans="3:46" s="37" customFormat="1" x14ac:dyDescent="0.25">
      <c r="C799" s="37" t="s">
        <v>20</v>
      </c>
      <c r="D799" s="37">
        <v>11</v>
      </c>
      <c r="E799" s="37">
        <v>11</v>
      </c>
      <c r="F799" s="37">
        <v>11</v>
      </c>
      <c r="G799" s="37">
        <v>11</v>
      </c>
      <c r="H799" s="37">
        <v>11</v>
      </c>
      <c r="I799" s="37">
        <v>11</v>
      </c>
      <c r="J799" s="37">
        <v>10</v>
      </c>
      <c r="K799" s="37">
        <v>4</v>
      </c>
      <c r="L799" s="37">
        <v>4</v>
      </c>
      <c r="M799" s="37">
        <v>4</v>
      </c>
      <c r="N799" s="37">
        <v>4</v>
      </c>
      <c r="O799" s="37">
        <v>4</v>
      </c>
      <c r="P799" s="37">
        <v>4</v>
      </c>
      <c r="Q799" s="37">
        <v>8</v>
      </c>
      <c r="R799" s="37">
        <v>9</v>
      </c>
      <c r="S799" s="37">
        <v>10</v>
      </c>
      <c r="T799" s="37">
        <v>10</v>
      </c>
      <c r="U799" s="37">
        <v>10</v>
      </c>
      <c r="V799" s="37">
        <v>10</v>
      </c>
      <c r="W799" s="37">
        <v>10</v>
      </c>
      <c r="X799" s="37">
        <v>10</v>
      </c>
      <c r="Z799" s="37">
        <v>11</v>
      </c>
      <c r="AA799" s="37">
        <v>11</v>
      </c>
      <c r="AB799" s="37">
        <v>11</v>
      </c>
      <c r="AC799" s="37">
        <v>11</v>
      </c>
      <c r="AD799" s="37">
        <v>11</v>
      </c>
      <c r="AE799" s="37">
        <v>11</v>
      </c>
      <c r="AF799" s="37">
        <v>11</v>
      </c>
      <c r="AG799" s="37">
        <v>4</v>
      </c>
      <c r="AH799" s="37">
        <v>4</v>
      </c>
      <c r="AI799" s="37">
        <v>4</v>
      </c>
      <c r="AJ799" s="37">
        <v>4</v>
      </c>
      <c r="AK799" s="37">
        <v>4</v>
      </c>
      <c r="AL799" s="37">
        <v>4</v>
      </c>
      <c r="AM799" s="37">
        <v>11</v>
      </c>
      <c r="AN799" s="37">
        <v>11</v>
      </c>
      <c r="AO799" s="37">
        <v>11</v>
      </c>
      <c r="AP799" s="37">
        <v>11</v>
      </c>
      <c r="AQ799" s="37">
        <v>11</v>
      </c>
      <c r="AR799" s="37">
        <v>11</v>
      </c>
      <c r="AS799" s="37">
        <v>11</v>
      </c>
      <c r="AT799" s="37">
        <v>11</v>
      </c>
    </row>
    <row r="800" spans="3:46" s="37" customFormat="1" x14ac:dyDescent="0.25"/>
    <row r="801" spans="3:46" s="37" customFormat="1" x14ac:dyDescent="0.25">
      <c r="C801" s="37" t="s">
        <v>21</v>
      </c>
      <c r="D801" s="37">
        <v>14</v>
      </c>
      <c r="E801" s="37">
        <v>14</v>
      </c>
      <c r="F801" s="37">
        <v>14</v>
      </c>
      <c r="G801" s="37">
        <v>14</v>
      </c>
      <c r="H801" s="37">
        <v>13</v>
      </c>
      <c r="I801" s="37">
        <v>12</v>
      </c>
      <c r="J801" s="37">
        <v>11</v>
      </c>
      <c r="K801" s="37">
        <v>6</v>
      </c>
      <c r="L801" s="37">
        <v>6</v>
      </c>
      <c r="M801" s="37">
        <v>6</v>
      </c>
      <c r="N801" s="37">
        <v>6</v>
      </c>
      <c r="O801" s="37">
        <v>6</v>
      </c>
      <c r="P801" s="37">
        <v>6</v>
      </c>
      <c r="Q801" s="37">
        <v>8</v>
      </c>
      <c r="R801" s="37">
        <v>9</v>
      </c>
      <c r="S801" s="37">
        <v>11</v>
      </c>
      <c r="T801" s="37">
        <v>12</v>
      </c>
      <c r="U801" s="37">
        <v>13</v>
      </c>
      <c r="V801" s="37">
        <v>13</v>
      </c>
      <c r="W801" s="37">
        <v>13</v>
      </c>
      <c r="X801" s="37">
        <v>13</v>
      </c>
      <c r="Z801" s="37">
        <v>14</v>
      </c>
      <c r="AA801" s="37">
        <v>14</v>
      </c>
      <c r="AB801" s="37">
        <v>14</v>
      </c>
      <c r="AC801" s="37">
        <v>14</v>
      </c>
      <c r="AD801" s="37">
        <v>14</v>
      </c>
      <c r="AE801" s="37">
        <v>14</v>
      </c>
      <c r="AF801" s="37">
        <v>14</v>
      </c>
      <c r="AG801" s="37">
        <v>6</v>
      </c>
      <c r="AH801" s="37">
        <v>6</v>
      </c>
      <c r="AI801" s="37">
        <v>6</v>
      </c>
      <c r="AJ801" s="37">
        <v>6</v>
      </c>
      <c r="AK801" s="37">
        <v>6</v>
      </c>
      <c r="AL801" s="37">
        <v>6</v>
      </c>
      <c r="AM801" s="37">
        <v>14</v>
      </c>
      <c r="AN801" s="37">
        <v>14</v>
      </c>
      <c r="AO801" s="37">
        <v>14</v>
      </c>
      <c r="AP801" s="37">
        <v>14</v>
      </c>
      <c r="AQ801" s="37">
        <v>14</v>
      </c>
      <c r="AR801" s="37">
        <v>14</v>
      </c>
      <c r="AS801" s="37">
        <v>14</v>
      </c>
      <c r="AT801" s="37">
        <v>14</v>
      </c>
    </row>
    <row r="802" spans="3:46" s="37" customFormat="1" x14ac:dyDescent="0.25"/>
    <row r="803" spans="3:46" s="37" customFormat="1" x14ac:dyDescent="0.25">
      <c r="C803" s="37" t="s">
        <v>20</v>
      </c>
      <c r="D803" s="37">
        <v>10</v>
      </c>
      <c r="E803" s="37">
        <v>10</v>
      </c>
      <c r="F803" s="37">
        <v>10</v>
      </c>
      <c r="G803" s="37">
        <v>10</v>
      </c>
      <c r="H803" s="37">
        <v>10</v>
      </c>
      <c r="I803" s="37">
        <v>10</v>
      </c>
      <c r="J803" s="37">
        <v>10</v>
      </c>
      <c r="K803" s="37">
        <v>4</v>
      </c>
      <c r="L803" s="37">
        <v>4</v>
      </c>
      <c r="M803" s="37">
        <v>4</v>
      </c>
      <c r="N803" s="37">
        <v>4</v>
      </c>
      <c r="O803" s="37">
        <v>4</v>
      </c>
      <c r="P803" s="37">
        <v>4</v>
      </c>
      <c r="Q803" s="37">
        <v>7</v>
      </c>
      <c r="R803" s="37">
        <v>8</v>
      </c>
      <c r="S803" s="37">
        <v>9</v>
      </c>
      <c r="T803" s="37">
        <v>9</v>
      </c>
      <c r="U803" s="37">
        <v>9</v>
      </c>
      <c r="V803" s="37">
        <v>9</v>
      </c>
      <c r="W803" s="37">
        <v>9</v>
      </c>
      <c r="X803" s="37">
        <v>9</v>
      </c>
      <c r="Z803" s="37">
        <v>10</v>
      </c>
      <c r="AA803" s="37">
        <v>10</v>
      </c>
      <c r="AB803" s="37">
        <v>10</v>
      </c>
      <c r="AC803" s="37">
        <v>10</v>
      </c>
      <c r="AD803" s="37">
        <v>10</v>
      </c>
      <c r="AE803" s="37">
        <v>10</v>
      </c>
      <c r="AF803" s="37">
        <v>10</v>
      </c>
      <c r="AG803" s="37">
        <v>4</v>
      </c>
      <c r="AH803" s="37">
        <v>4</v>
      </c>
      <c r="AI803" s="37">
        <v>4</v>
      </c>
      <c r="AJ803" s="37">
        <v>4</v>
      </c>
      <c r="AK803" s="37">
        <v>4</v>
      </c>
      <c r="AL803" s="37">
        <v>4</v>
      </c>
      <c r="AM803" s="37">
        <v>9</v>
      </c>
      <c r="AN803" s="37">
        <v>9</v>
      </c>
      <c r="AO803" s="37">
        <v>9</v>
      </c>
      <c r="AP803" s="37">
        <v>9</v>
      </c>
      <c r="AQ803" s="37">
        <v>9</v>
      </c>
      <c r="AR803" s="37">
        <v>9</v>
      </c>
      <c r="AS803" s="37">
        <v>9</v>
      </c>
      <c r="AT803" s="37">
        <v>9</v>
      </c>
    </row>
    <row r="804" spans="3:46" s="37" customFormat="1" x14ac:dyDescent="0.25"/>
    <row r="805" spans="3:46" s="37" customFormat="1" x14ac:dyDescent="0.25">
      <c r="C805" s="37" t="s">
        <v>21</v>
      </c>
      <c r="D805" s="37">
        <v>13</v>
      </c>
      <c r="E805" s="37">
        <v>13</v>
      </c>
      <c r="F805" s="37">
        <v>13</v>
      </c>
      <c r="G805" s="37">
        <v>13</v>
      </c>
      <c r="H805" s="37">
        <v>12</v>
      </c>
      <c r="I805" s="37">
        <v>11</v>
      </c>
      <c r="J805" s="37">
        <v>10</v>
      </c>
      <c r="K805" s="37">
        <v>5</v>
      </c>
      <c r="L805" s="37">
        <v>5</v>
      </c>
      <c r="M805" s="37">
        <v>5</v>
      </c>
      <c r="N805" s="37">
        <v>5</v>
      </c>
      <c r="O805" s="37">
        <v>5</v>
      </c>
      <c r="P805" s="37">
        <v>5</v>
      </c>
      <c r="Q805" s="37">
        <v>8</v>
      </c>
      <c r="R805" s="37">
        <v>9</v>
      </c>
      <c r="S805" s="37">
        <v>11</v>
      </c>
      <c r="T805" s="37">
        <v>12</v>
      </c>
      <c r="U805" s="37">
        <v>13</v>
      </c>
      <c r="V805" s="37">
        <v>13</v>
      </c>
      <c r="W805" s="37">
        <v>13</v>
      </c>
      <c r="X805" s="37">
        <v>13</v>
      </c>
      <c r="Z805" s="37">
        <v>13</v>
      </c>
      <c r="AA805" s="37">
        <v>13</v>
      </c>
      <c r="AB805" s="37">
        <v>13</v>
      </c>
      <c r="AC805" s="37">
        <v>13</v>
      </c>
      <c r="AD805" s="37">
        <v>13</v>
      </c>
      <c r="AE805" s="37">
        <v>13</v>
      </c>
      <c r="AF805" s="37">
        <v>13</v>
      </c>
      <c r="AG805" s="37">
        <v>5</v>
      </c>
      <c r="AH805" s="37">
        <v>5</v>
      </c>
      <c r="AI805" s="37">
        <v>5</v>
      </c>
      <c r="AJ805" s="37">
        <v>5</v>
      </c>
      <c r="AK805" s="37">
        <v>5</v>
      </c>
      <c r="AL805" s="37">
        <v>5</v>
      </c>
      <c r="AM805" s="37">
        <v>14</v>
      </c>
      <c r="AN805" s="37">
        <v>14</v>
      </c>
      <c r="AO805" s="37">
        <v>14</v>
      </c>
      <c r="AP805" s="37">
        <v>14</v>
      </c>
      <c r="AQ805" s="37">
        <v>14</v>
      </c>
      <c r="AR805" s="37">
        <v>14</v>
      </c>
      <c r="AS805" s="37">
        <v>14</v>
      </c>
      <c r="AT805" s="37">
        <v>14</v>
      </c>
    </row>
    <row r="806" spans="3:46" s="37" customFormat="1" x14ac:dyDescent="0.25"/>
    <row r="807" spans="3:46" s="37" customFormat="1" x14ac:dyDescent="0.25">
      <c r="C807" s="37" t="s">
        <v>20</v>
      </c>
      <c r="D807" s="37">
        <v>9</v>
      </c>
      <c r="E807" s="37">
        <v>9</v>
      </c>
      <c r="F807" s="37">
        <v>9</v>
      </c>
      <c r="G807" s="37">
        <v>9</v>
      </c>
      <c r="H807" s="37">
        <v>9</v>
      </c>
      <c r="I807" s="37">
        <v>9</v>
      </c>
      <c r="J807" s="37">
        <v>9</v>
      </c>
      <c r="K807" s="37">
        <v>4</v>
      </c>
      <c r="L807" s="37">
        <v>4</v>
      </c>
      <c r="M807" s="37">
        <v>4</v>
      </c>
      <c r="N807" s="37">
        <v>4</v>
      </c>
      <c r="O807" s="37">
        <v>4</v>
      </c>
      <c r="P807" s="37">
        <v>4</v>
      </c>
      <c r="Q807" s="37">
        <v>9</v>
      </c>
      <c r="R807" s="37">
        <v>10</v>
      </c>
      <c r="S807" s="37">
        <v>10</v>
      </c>
      <c r="T807" s="37">
        <v>10</v>
      </c>
      <c r="U807" s="37">
        <v>10</v>
      </c>
      <c r="V807" s="37">
        <v>10</v>
      </c>
      <c r="W807" s="37">
        <v>10</v>
      </c>
      <c r="X807" s="37">
        <v>10</v>
      </c>
      <c r="Z807" s="37">
        <v>9</v>
      </c>
      <c r="AA807" s="37">
        <v>9</v>
      </c>
      <c r="AB807" s="37">
        <v>9</v>
      </c>
      <c r="AC807" s="37">
        <v>9</v>
      </c>
      <c r="AD807" s="37">
        <v>9</v>
      </c>
      <c r="AE807" s="37">
        <v>9</v>
      </c>
      <c r="AF807" s="37">
        <v>9</v>
      </c>
      <c r="AG807" s="37">
        <v>4</v>
      </c>
      <c r="AH807" s="37">
        <v>4</v>
      </c>
      <c r="AI807" s="37">
        <v>4</v>
      </c>
      <c r="AJ807" s="37">
        <v>4</v>
      </c>
      <c r="AK807" s="37">
        <v>4</v>
      </c>
      <c r="AL807" s="37">
        <v>4</v>
      </c>
      <c r="AM807" s="37">
        <v>10</v>
      </c>
      <c r="AN807" s="37">
        <v>10</v>
      </c>
      <c r="AO807" s="37">
        <v>10</v>
      </c>
      <c r="AP807" s="37">
        <v>10</v>
      </c>
      <c r="AQ807" s="37">
        <v>10</v>
      </c>
      <c r="AR807" s="37">
        <v>10</v>
      </c>
      <c r="AS807" s="37">
        <v>10</v>
      </c>
      <c r="AT807" s="37">
        <v>10</v>
      </c>
    </row>
    <row r="808" spans="3:46" s="37" customFormat="1" x14ac:dyDescent="0.25"/>
    <row r="809" spans="3:46" s="37" customFormat="1" x14ac:dyDescent="0.25">
      <c r="C809" s="37" t="s">
        <v>21</v>
      </c>
      <c r="D809" s="37">
        <v>14</v>
      </c>
      <c r="E809" s="37">
        <v>14</v>
      </c>
      <c r="F809" s="37">
        <v>14</v>
      </c>
      <c r="G809" s="37">
        <v>14</v>
      </c>
      <c r="H809" s="37">
        <v>14</v>
      </c>
      <c r="I809" s="37">
        <v>13</v>
      </c>
      <c r="J809" s="37">
        <v>12</v>
      </c>
      <c r="K809" s="37">
        <v>5</v>
      </c>
      <c r="L809" s="37">
        <v>5</v>
      </c>
      <c r="M809" s="37">
        <v>5</v>
      </c>
      <c r="N809" s="37">
        <v>5</v>
      </c>
      <c r="O809" s="37">
        <v>5</v>
      </c>
      <c r="P809" s="37">
        <v>5</v>
      </c>
      <c r="Q809" s="37">
        <v>9</v>
      </c>
      <c r="R809" s="37">
        <v>10</v>
      </c>
      <c r="S809" s="37">
        <v>11</v>
      </c>
      <c r="T809" s="37">
        <v>12</v>
      </c>
      <c r="U809" s="37">
        <v>12</v>
      </c>
      <c r="V809" s="37">
        <v>12</v>
      </c>
      <c r="W809" s="37">
        <v>12</v>
      </c>
      <c r="X809" s="37">
        <v>12</v>
      </c>
      <c r="Z809" s="37">
        <v>14</v>
      </c>
      <c r="AA809" s="37">
        <v>14</v>
      </c>
      <c r="AB809" s="37">
        <v>14</v>
      </c>
      <c r="AC809" s="37">
        <v>14</v>
      </c>
      <c r="AD809" s="37">
        <v>14</v>
      </c>
      <c r="AE809" s="37">
        <v>14</v>
      </c>
      <c r="AF809" s="37">
        <v>14</v>
      </c>
      <c r="AG809" s="37">
        <v>5</v>
      </c>
      <c r="AH809" s="37">
        <v>5</v>
      </c>
      <c r="AI809" s="37">
        <v>5</v>
      </c>
      <c r="AJ809" s="37">
        <v>5</v>
      </c>
      <c r="AK809" s="37">
        <v>5</v>
      </c>
      <c r="AL809" s="37">
        <v>5</v>
      </c>
      <c r="AM809" s="37">
        <v>13</v>
      </c>
      <c r="AN809" s="37">
        <v>13</v>
      </c>
      <c r="AO809" s="37">
        <v>13</v>
      </c>
      <c r="AP809" s="37">
        <v>13</v>
      </c>
      <c r="AQ809" s="37">
        <v>13</v>
      </c>
      <c r="AR809" s="37">
        <v>13</v>
      </c>
      <c r="AS809" s="37">
        <v>13</v>
      </c>
      <c r="AT809" s="37">
        <v>13</v>
      </c>
    </row>
    <row r="810" spans="3:46" s="37" customFormat="1" x14ac:dyDescent="0.25"/>
    <row r="811" spans="3:46" s="37" customFormat="1" x14ac:dyDescent="0.25">
      <c r="C811" s="37" t="s">
        <v>20</v>
      </c>
      <c r="D811" s="37">
        <v>10</v>
      </c>
      <c r="E811" s="37">
        <v>10</v>
      </c>
      <c r="F811" s="37">
        <v>10</v>
      </c>
      <c r="G811" s="37">
        <v>10</v>
      </c>
      <c r="H811" s="37">
        <v>10</v>
      </c>
      <c r="I811" s="37">
        <v>10</v>
      </c>
      <c r="J811" s="37">
        <v>10</v>
      </c>
      <c r="K811" s="37">
        <v>4</v>
      </c>
      <c r="L811" s="37">
        <v>4</v>
      </c>
      <c r="M811" s="37">
        <v>4</v>
      </c>
      <c r="N811" s="37">
        <v>4</v>
      </c>
      <c r="O811" s="37">
        <v>4</v>
      </c>
      <c r="P811" s="37">
        <v>4</v>
      </c>
      <c r="Q811" s="37">
        <v>8</v>
      </c>
      <c r="R811" s="37">
        <v>9</v>
      </c>
      <c r="S811" s="37">
        <v>10</v>
      </c>
      <c r="T811" s="37">
        <v>10</v>
      </c>
      <c r="U811" s="37">
        <v>10</v>
      </c>
      <c r="V811" s="37">
        <v>10</v>
      </c>
      <c r="W811" s="37">
        <v>10</v>
      </c>
      <c r="X811" s="37">
        <v>10</v>
      </c>
      <c r="Z811" s="37">
        <v>10</v>
      </c>
      <c r="AA811" s="37">
        <v>10</v>
      </c>
      <c r="AB811" s="37">
        <v>10</v>
      </c>
      <c r="AC811" s="37">
        <v>10</v>
      </c>
      <c r="AD811" s="37">
        <v>10</v>
      </c>
      <c r="AE811" s="37">
        <v>10</v>
      </c>
      <c r="AF811" s="37">
        <v>10</v>
      </c>
      <c r="AG811" s="37">
        <v>4</v>
      </c>
      <c r="AH811" s="37">
        <v>4</v>
      </c>
      <c r="AI811" s="37">
        <v>4</v>
      </c>
      <c r="AJ811" s="37">
        <v>4</v>
      </c>
      <c r="AK811" s="37">
        <v>4</v>
      </c>
      <c r="AL811" s="37">
        <v>4</v>
      </c>
      <c r="AM811" s="37">
        <v>11</v>
      </c>
      <c r="AN811" s="37">
        <v>11</v>
      </c>
      <c r="AO811" s="37">
        <v>11</v>
      </c>
      <c r="AP811" s="37">
        <v>11</v>
      </c>
      <c r="AQ811" s="37">
        <v>11</v>
      </c>
      <c r="AR811" s="37">
        <v>11</v>
      </c>
      <c r="AS811" s="37">
        <v>11</v>
      </c>
      <c r="AT811" s="37">
        <v>11</v>
      </c>
    </row>
    <row r="812" spans="3:46" s="37" customFormat="1" x14ac:dyDescent="0.25"/>
    <row r="813" spans="3:46" s="37" customFormat="1" x14ac:dyDescent="0.25">
      <c r="C813" s="37" t="s">
        <v>21</v>
      </c>
      <c r="D813" s="37">
        <v>13</v>
      </c>
      <c r="E813" s="37">
        <v>13</v>
      </c>
      <c r="F813" s="37">
        <v>13</v>
      </c>
      <c r="G813" s="37">
        <v>13</v>
      </c>
      <c r="H813" s="37">
        <v>12</v>
      </c>
      <c r="I813" s="37">
        <v>11</v>
      </c>
      <c r="J813" s="37">
        <v>10</v>
      </c>
      <c r="K813" s="37">
        <v>5</v>
      </c>
      <c r="L813" s="37">
        <v>5</v>
      </c>
      <c r="M813" s="37">
        <v>5</v>
      </c>
      <c r="N813" s="37">
        <v>5</v>
      </c>
      <c r="O813" s="37">
        <v>5</v>
      </c>
      <c r="P813" s="37">
        <v>5</v>
      </c>
      <c r="Q813" s="37">
        <v>8</v>
      </c>
      <c r="R813" s="37">
        <v>9</v>
      </c>
      <c r="S813" s="37">
        <v>10</v>
      </c>
      <c r="T813" s="37">
        <v>11</v>
      </c>
      <c r="U813" s="37">
        <v>12</v>
      </c>
      <c r="V813" s="37">
        <v>12</v>
      </c>
      <c r="W813" s="37">
        <v>12</v>
      </c>
      <c r="X813" s="37">
        <v>12</v>
      </c>
      <c r="Z813" s="37">
        <v>13</v>
      </c>
      <c r="AA813" s="37">
        <v>13</v>
      </c>
      <c r="AB813" s="37">
        <v>13</v>
      </c>
      <c r="AC813" s="37">
        <v>13</v>
      </c>
      <c r="AD813" s="37">
        <v>13</v>
      </c>
      <c r="AE813" s="37">
        <v>13</v>
      </c>
      <c r="AF813" s="37">
        <v>13</v>
      </c>
      <c r="AG813" s="37">
        <v>5</v>
      </c>
      <c r="AH813" s="37">
        <v>5</v>
      </c>
      <c r="AI813" s="37">
        <v>5</v>
      </c>
      <c r="AJ813" s="37">
        <v>5</v>
      </c>
      <c r="AK813" s="37">
        <v>5</v>
      </c>
      <c r="AL813" s="37">
        <v>5</v>
      </c>
      <c r="AM813" s="37">
        <v>13</v>
      </c>
      <c r="AN813" s="37">
        <v>13</v>
      </c>
      <c r="AO813" s="37">
        <v>13</v>
      </c>
      <c r="AP813" s="37">
        <v>13</v>
      </c>
      <c r="AQ813" s="37">
        <v>13</v>
      </c>
      <c r="AR813" s="37">
        <v>13</v>
      </c>
      <c r="AS813" s="37">
        <v>13</v>
      </c>
      <c r="AT813" s="37">
        <v>13</v>
      </c>
    </row>
    <row r="814" spans="3:46" s="37" customFormat="1" x14ac:dyDescent="0.25"/>
    <row r="815" spans="3:46" s="37" customFormat="1" x14ac:dyDescent="0.25">
      <c r="C815" s="37" t="s">
        <v>20</v>
      </c>
      <c r="D815" s="37">
        <v>10</v>
      </c>
      <c r="E815" s="37">
        <v>10</v>
      </c>
      <c r="F815" s="37">
        <v>10</v>
      </c>
      <c r="G815" s="37">
        <v>10</v>
      </c>
      <c r="H815" s="37">
        <v>10</v>
      </c>
      <c r="I815" s="37">
        <v>10</v>
      </c>
      <c r="J815" s="37">
        <v>10</v>
      </c>
      <c r="K815" s="37">
        <v>4</v>
      </c>
      <c r="L815" s="37">
        <v>4</v>
      </c>
      <c r="M815" s="37">
        <v>4</v>
      </c>
      <c r="N815" s="37">
        <v>4</v>
      </c>
      <c r="O815" s="37">
        <v>4</v>
      </c>
      <c r="P815" s="37">
        <v>4</v>
      </c>
      <c r="Q815" s="37">
        <v>7</v>
      </c>
      <c r="R815" s="37">
        <v>8</v>
      </c>
      <c r="S815" s="37">
        <v>9</v>
      </c>
      <c r="T815" s="37">
        <v>9</v>
      </c>
      <c r="U815" s="37">
        <v>9</v>
      </c>
      <c r="V815" s="37">
        <v>9</v>
      </c>
      <c r="W815" s="37">
        <v>9</v>
      </c>
      <c r="X815" s="37">
        <v>9</v>
      </c>
      <c r="Z815" s="37">
        <v>10</v>
      </c>
      <c r="AA815" s="37">
        <v>10</v>
      </c>
      <c r="AB815" s="37">
        <v>10</v>
      </c>
      <c r="AC815" s="37">
        <v>10</v>
      </c>
      <c r="AD815" s="37">
        <v>10</v>
      </c>
      <c r="AE815" s="37">
        <v>10</v>
      </c>
      <c r="AF815" s="37">
        <v>10</v>
      </c>
      <c r="AG815" s="37">
        <v>4</v>
      </c>
      <c r="AH815" s="37">
        <v>4</v>
      </c>
      <c r="AI815" s="37">
        <v>4</v>
      </c>
      <c r="AJ815" s="37">
        <v>4</v>
      </c>
      <c r="AK815" s="37">
        <v>4</v>
      </c>
      <c r="AL815" s="37">
        <v>4</v>
      </c>
      <c r="AM815" s="37">
        <v>9</v>
      </c>
      <c r="AN815" s="37">
        <v>9</v>
      </c>
      <c r="AO815" s="37">
        <v>9</v>
      </c>
      <c r="AP815" s="37">
        <v>9</v>
      </c>
      <c r="AQ815" s="37">
        <v>9</v>
      </c>
      <c r="AR815" s="37">
        <v>9</v>
      </c>
      <c r="AS815" s="37">
        <v>9</v>
      </c>
      <c r="AT815" s="37">
        <v>9</v>
      </c>
    </row>
    <row r="816" spans="3:46" s="37" customFormat="1" x14ac:dyDescent="0.25"/>
    <row r="817" spans="3:46" s="37" customFormat="1" x14ac:dyDescent="0.25">
      <c r="C817" s="37" t="s">
        <v>21</v>
      </c>
      <c r="D817" s="37">
        <v>13</v>
      </c>
      <c r="E817" s="37">
        <v>13</v>
      </c>
      <c r="F817" s="37">
        <v>13</v>
      </c>
      <c r="G817" s="37">
        <v>13</v>
      </c>
      <c r="H817" s="37">
        <v>12</v>
      </c>
      <c r="I817" s="37">
        <v>11</v>
      </c>
      <c r="J817" s="37">
        <v>10</v>
      </c>
      <c r="K817" s="37">
        <v>6</v>
      </c>
      <c r="L817" s="37">
        <v>6</v>
      </c>
      <c r="M817" s="37">
        <v>6</v>
      </c>
      <c r="N817" s="37">
        <v>6</v>
      </c>
      <c r="O817" s="37">
        <v>6</v>
      </c>
      <c r="P817" s="37">
        <v>6</v>
      </c>
      <c r="Q817" s="37">
        <v>8</v>
      </c>
      <c r="R817" s="37">
        <v>9</v>
      </c>
      <c r="S817" s="37">
        <v>11</v>
      </c>
      <c r="T817" s="37">
        <v>12</v>
      </c>
      <c r="U817" s="37">
        <v>13</v>
      </c>
      <c r="V817" s="37">
        <v>13</v>
      </c>
      <c r="W817" s="37">
        <v>13</v>
      </c>
      <c r="X817" s="37">
        <v>13</v>
      </c>
      <c r="Z817" s="37">
        <v>13</v>
      </c>
      <c r="AA817" s="37">
        <v>13</v>
      </c>
      <c r="AB817" s="37">
        <v>13</v>
      </c>
      <c r="AC817" s="37">
        <v>13</v>
      </c>
      <c r="AD817" s="37">
        <v>13</v>
      </c>
      <c r="AE817" s="37">
        <v>13</v>
      </c>
      <c r="AF817" s="37">
        <v>13</v>
      </c>
      <c r="AG817" s="37">
        <v>6</v>
      </c>
      <c r="AH817" s="37">
        <v>6</v>
      </c>
      <c r="AI817" s="37">
        <v>6</v>
      </c>
      <c r="AJ817" s="37">
        <v>6</v>
      </c>
      <c r="AK817" s="37">
        <v>6</v>
      </c>
      <c r="AL817" s="37">
        <v>6</v>
      </c>
      <c r="AM817" s="37">
        <v>14</v>
      </c>
      <c r="AN817" s="37">
        <v>14</v>
      </c>
      <c r="AO817" s="37">
        <v>14</v>
      </c>
      <c r="AP817" s="37">
        <v>14</v>
      </c>
      <c r="AQ817" s="37">
        <v>14</v>
      </c>
      <c r="AR817" s="37">
        <v>14</v>
      </c>
      <c r="AS817" s="37">
        <v>14</v>
      </c>
      <c r="AT817" s="37">
        <v>14</v>
      </c>
    </row>
    <row r="818" spans="3:46" s="37" customFormat="1" x14ac:dyDescent="0.25"/>
    <row r="819" spans="3:46" s="37" customFormat="1" x14ac:dyDescent="0.25">
      <c r="C819" s="37" t="s">
        <v>20</v>
      </c>
      <c r="D819" s="37">
        <v>10</v>
      </c>
      <c r="E819" s="37">
        <v>10</v>
      </c>
      <c r="F819" s="37">
        <v>10</v>
      </c>
      <c r="G819" s="37">
        <v>10</v>
      </c>
      <c r="H819" s="37">
        <v>10</v>
      </c>
      <c r="I819" s="37">
        <v>10</v>
      </c>
      <c r="J819" s="37">
        <v>10</v>
      </c>
      <c r="K819" s="37">
        <v>4</v>
      </c>
      <c r="L819" s="37">
        <v>4</v>
      </c>
      <c r="M819" s="37">
        <v>4</v>
      </c>
      <c r="N819" s="37">
        <v>4</v>
      </c>
      <c r="O819" s="37">
        <v>4</v>
      </c>
      <c r="P819" s="37">
        <v>4</v>
      </c>
      <c r="Q819" s="37">
        <v>6</v>
      </c>
      <c r="R819" s="37">
        <v>7</v>
      </c>
      <c r="S819" s="37">
        <v>8</v>
      </c>
      <c r="T819" s="37">
        <v>8</v>
      </c>
      <c r="U819" s="37">
        <v>8</v>
      </c>
      <c r="V819" s="37">
        <v>8</v>
      </c>
      <c r="W819" s="37">
        <v>8</v>
      </c>
      <c r="X819" s="37">
        <v>8</v>
      </c>
      <c r="Z819" s="37">
        <v>10</v>
      </c>
      <c r="AA819" s="37">
        <v>10</v>
      </c>
      <c r="AB819" s="37">
        <v>10</v>
      </c>
      <c r="AC819" s="37">
        <v>10</v>
      </c>
      <c r="AD819" s="37">
        <v>10</v>
      </c>
      <c r="AE819" s="37">
        <v>10</v>
      </c>
      <c r="AF819" s="37">
        <v>10</v>
      </c>
      <c r="AG819" s="37">
        <v>4</v>
      </c>
      <c r="AH819" s="37">
        <v>4</v>
      </c>
      <c r="AI819" s="37">
        <v>4</v>
      </c>
      <c r="AJ819" s="37">
        <v>4</v>
      </c>
      <c r="AK819" s="37">
        <v>4</v>
      </c>
      <c r="AL819" s="37">
        <v>4</v>
      </c>
      <c r="AM819" s="37">
        <v>8</v>
      </c>
      <c r="AN819" s="37">
        <v>8</v>
      </c>
      <c r="AO819" s="37">
        <v>8</v>
      </c>
      <c r="AP819" s="37">
        <v>8</v>
      </c>
      <c r="AQ819" s="37">
        <v>8</v>
      </c>
      <c r="AR819" s="37">
        <v>8</v>
      </c>
      <c r="AS819" s="37">
        <v>8</v>
      </c>
      <c r="AT819" s="37">
        <v>8</v>
      </c>
    </row>
    <row r="820" spans="3:46" s="37" customFormat="1" x14ac:dyDescent="0.25"/>
    <row r="821" spans="3:46" s="37" customFormat="1" x14ac:dyDescent="0.25">
      <c r="C821" s="37" t="s">
        <v>21</v>
      </c>
      <c r="D821" s="37">
        <v>12</v>
      </c>
      <c r="E821" s="37">
        <v>12</v>
      </c>
      <c r="F821" s="37">
        <v>12</v>
      </c>
      <c r="G821" s="37">
        <v>12</v>
      </c>
      <c r="H821" s="37">
        <v>11</v>
      </c>
      <c r="I821" s="37">
        <v>10</v>
      </c>
      <c r="J821" s="37">
        <v>9</v>
      </c>
      <c r="K821" s="37">
        <v>4</v>
      </c>
      <c r="L821" s="37">
        <v>4</v>
      </c>
      <c r="M821" s="37">
        <v>4</v>
      </c>
      <c r="N821" s="37">
        <v>4</v>
      </c>
      <c r="O821" s="37">
        <v>4</v>
      </c>
      <c r="P821" s="37">
        <v>4</v>
      </c>
      <c r="Q821" s="37">
        <v>8</v>
      </c>
      <c r="R821" s="37">
        <v>9</v>
      </c>
      <c r="S821" s="37">
        <v>11</v>
      </c>
      <c r="T821" s="37">
        <v>12</v>
      </c>
      <c r="U821" s="37">
        <v>13</v>
      </c>
      <c r="V821" s="37">
        <v>13</v>
      </c>
      <c r="W821" s="37">
        <v>13</v>
      </c>
      <c r="X821" s="37">
        <v>13</v>
      </c>
      <c r="Z821" s="37">
        <v>12</v>
      </c>
      <c r="AA821" s="37">
        <v>12</v>
      </c>
      <c r="AB821" s="37">
        <v>12</v>
      </c>
      <c r="AC821" s="37">
        <v>12</v>
      </c>
      <c r="AD821" s="37">
        <v>12</v>
      </c>
      <c r="AE821" s="37">
        <v>12</v>
      </c>
      <c r="AF821" s="37">
        <v>12</v>
      </c>
      <c r="AG821" s="37">
        <v>4</v>
      </c>
      <c r="AH821" s="37">
        <v>4</v>
      </c>
      <c r="AI821" s="37">
        <v>4</v>
      </c>
      <c r="AJ821" s="37">
        <v>4</v>
      </c>
      <c r="AK821" s="37">
        <v>4</v>
      </c>
      <c r="AL821" s="37">
        <v>4</v>
      </c>
      <c r="AM821" s="37">
        <v>14</v>
      </c>
      <c r="AN821" s="37">
        <v>14</v>
      </c>
      <c r="AO821" s="37">
        <v>14</v>
      </c>
      <c r="AP821" s="37">
        <v>14</v>
      </c>
      <c r="AQ821" s="37">
        <v>14</v>
      </c>
      <c r="AR821" s="37">
        <v>14</v>
      </c>
      <c r="AS821" s="37">
        <v>14</v>
      </c>
      <c r="AT821" s="37">
        <v>14</v>
      </c>
    </row>
    <row r="822" spans="3:46" s="37" customFormat="1" x14ac:dyDescent="0.25"/>
    <row r="823" spans="3:46" s="37" customFormat="1" x14ac:dyDescent="0.25">
      <c r="C823" s="37" t="s">
        <v>20</v>
      </c>
      <c r="D823" s="37">
        <v>12</v>
      </c>
      <c r="E823" s="37">
        <v>12</v>
      </c>
      <c r="F823" s="37">
        <v>12</v>
      </c>
      <c r="G823" s="37">
        <v>12</v>
      </c>
      <c r="H823" s="37">
        <v>12</v>
      </c>
      <c r="I823" s="37">
        <v>12</v>
      </c>
      <c r="J823" s="37">
        <v>11</v>
      </c>
      <c r="K823" s="37">
        <v>4</v>
      </c>
      <c r="L823" s="37">
        <v>4</v>
      </c>
      <c r="M823" s="37">
        <v>4</v>
      </c>
      <c r="N823" s="37">
        <v>4</v>
      </c>
      <c r="O823" s="37">
        <v>4</v>
      </c>
      <c r="P823" s="37">
        <v>4</v>
      </c>
      <c r="Q823" s="37">
        <v>8</v>
      </c>
      <c r="R823" s="37">
        <v>9</v>
      </c>
      <c r="S823" s="37">
        <v>10</v>
      </c>
      <c r="T823" s="37">
        <v>10</v>
      </c>
      <c r="U823" s="37">
        <v>10</v>
      </c>
      <c r="V823" s="37">
        <v>10</v>
      </c>
      <c r="W823" s="37">
        <v>10</v>
      </c>
      <c r="X823" s="37">
        <v>10</v>
      </c>
      <c r="Z823" s="37">
        <v>12</v>
      </c>
      <c r="AA823" s="37">
        <v>12</v>
      </c>
      <c r="AB823" s="37">
        <v>12</v>
      </c>
      <c r="AC823" s="37">
        <v>12</v>
      </c>
      <c r="AD823" s="37">
        <v>12</v>
      </c>
      <c r="AE823" s="37">
        <v>12</v>
      </c>
      <c r="AF823" s="37">
        <v>12</v>
      </c>
      <c r="AG823" s="37">
        <v>4</v>
      </c>
      <c r="AH823" s="37">
        <v>4</v>
      </c>
      <c r="AI823" s="37">
        <v>4</v>
      </c>
      <c r="AJ823" s="37">
        <v>4</v>
      </c>
      <c r="AK823" s="37">
        <v>4</v>
      </c>
      <c r="AL823" s="37">
        <v>4</v>
      </c>
      <c r="AM823" s="37">
        <v>11</v>
      </c>
      <c r="AN823" s="37">
        <v>11</v>
      </c>
      <c r="AO823" s="37">
        <v>11</v>
      </c>
      <c r="AP823" s="37">
        <v>11</v>
      </c>
      <c r="AQ823" s="37">
        <v>11</v>
      </c>
      <c r="AR823" s="37">
        <v>11</v>
      </c>
      <c r="AS823" s="37">
        <v>11</v>
      </c>
      <c r="AT823" s="37">
        <v>11</v>
      </c>
    </row>
    <row r="824" spans="3:46" s="37" customFormat="1" x14ac:dyDescent="0.25"/>
    <row r="825" spans="3:46" s="37" customFormat="1" x14ac:dyDescent="0.25">
      <c r="C825" s="37" t="s">
        <v>21</v>
      </c>
      <c r="D825" s="37">
        <v>16</v>
      </c>
      <c r="E825" s="37">
        <v>16</v>
      </c>
      <c r="F825" s="37">
        <v>16</v>
      </c>
      <c r="G825" s="37">
        <v>16</v>
      </c>
      <c r="H825" s="37">
        <v>15</v>
      </c>
      <c r="I825" s="37">
        <v>14</v>
      </c>
      <c r="J825" s="37">
        <v>12</v>
      </c>
      <c r="K825" s="37">
        <v>5</v>
      </c>
      <c r="L825" s="37">
        <v>5</v>
      </c>
      <c r="M825" s="37">
        <v>5</v>
      </c>
      <c r="N825" s="37">
        <v>5</v>
      </c>
      <c r="O825" s="37">
        <v>5</v>
      </c>
      <c r="P825" s="37">
        <v>5</v>
      </c>
      <c r="Q825" s="37">
        <v>9</v>
      </c>
      <c r="R825" s="37">
        <v>11</v>
      </c>
      <c r="S825" s="37">
        <v>12</v>
      </c>
      <c r="T825" s="37">
        <v>14</v>
      </c>
      <c r="U825" s="37">
        <v>15</v>
      </c>
      <c r="V825" s="37">
        <v>15</v>
      </c>
      <c r="W825" s="37">
        <v>15</v>
      </c>
      <c r="X825" s="37">
        <v>15</v>
      </c>
      <c r="Z825" s="37">
        <v>16</v>
      </c>
      <c r="AA825" s="37">
        <v>16</v>
      </c>
      <c r="AB825" s="37">
        <v>16</v>
      </c>
      <c r="AC825" s="37">
        <v>16</v>
      </c>
      <c r="AD825" s="37">
        <v>16</v>
      </c>
      <c r="AE825" s="37">
        <v>16</v>
      </c>
      <c r="AF825" s="37">
        <v>16</v>
      </c>
      <c r="AG825" s="37">
        <v>5</v>
      </c>
      <c r="AH825" s="37">
        <v>5</v>
      </c>
      <c r="AI825" s="37">
        <v>5</v>
      </c>
      <c r="AJ825" s="37">
        <v>5</v>
      </c>
      <c r="AK825" s="37">
        <v>5</v>
      </c>
      <c r="AL825" s="37">
        <v>5</v>
      </c>
      <c r="AM825" s="37">
        <v>16</v>
      </c>
      <c r="AN825" s="37">
        <v>16</v>
      </c>
      <c r="AO825" s="37">
        <v>16</v>
      </c>
      <c r="AP825" s="37">
        <v>16</v>
      </c>
      <c r="AQ825" s="37">
        <v>16</v>
      </c>
      <c r="AR825" s="37">
        <v>16</v>
      </c>
      <c r="AS825" s="37">
        <v>16</v>
      </c>
      <c r="AT825" s="37">
        <v>16</v>
      </c>
    </row>
    <row r="826" spans="3:46" s="37" customFormat="1" x14ac:dyDescent="0.25"/>
    <row r="827" spans="3:46" s="37" customFormat="1" x14ac:dyDescent="0.25">
      <c r="C827" s="37" t="s">
        <v>20</v>
      </c>
      <c r="D827" s="37">
        <v>9</v>
      </c>
      <c r="E827" s="37">
        <v>9</v>
      </c>
      <c r="F827" s="37">
        <v>9</v>
      </c>
      <c r="G827" s="37">
        <v>9</v>
      </c>
      <c r="H827" s="37">
        <v>9</v>
      </c>
      <c r="I827" s="37">
        <v>9</v>
      </c>
      <c r="J827" s="37">
        <v>9</v>
      </c>
      <c r="K827" s="37">
        <v>3</v>
      </c>
      <c r="L827" s="37">
        <v>3</v>
      </c>
      <c r="M827" s="37">
        <v>3</v>
      </c>
      <c r="N827" s="37">
        <v>3</v>
      </c>
      <c r="O827" s="37">
        <v>3</v>
      </c>
      <c r="P827" s="37">
        <v>3</v>
      </c>
      <c r="Q827" s="37">
        <v>6</v>
      </c>
      <c r="R827" s="37">
        <v>6</v>
      </c>
      <c r="S827" s="37">
        <v>7</v>
      </c>
      <c r="T827" s="37">
        <v>7</v>
      </c>
      <c r="U827" s="37">
        <v>7</v>
      </c>
      <c r="V827" s="37">
        <v>7</v>
      </c>
      <c r="W827" s="37">
        <v>7</v>
      </c>
      <c r="X827" s="37">
        <v>7</v>
      </c>
      <c r="Z827" s="37">
        <v>9</v>
      </c>
      <c r="AA827" s="37">
        <v>9</v>
      </c>
      <c r="AB827" s="37">
        <v>9</v>
      </c>
      <c r="AC827" s="37">
        <v>9</v>
      </c>
      <c r="AD827" s="37">
        <v>9</v>
      </c>
      <c r="AE827" s="37">
        <v>9</v>
      </c>
      <c r="AF827" s="37">
        <v>9</v>
      </c>
      <c r="AG827" s="37">
        <v>3</v>
      </c>
      <c r="AH827" s="37">
        <v>3</v>
      </c>
      <c r="AI827" s="37">
        <v>3</v>
      </c>
      <c r="AJ827" s="37">
        <v>3</v>
      </c>
      <c r="AK827" s="37">
        <v>3</v>
      </c>
      <c r="AL827" s="37">
        <v>3</v>
      </c>
      <c r="AM827" s="37">
        <v>7</v>
      </c>
      <c r="AN827" s="37">
        <v>7</v>
      </c>
      <c r="AO827" s="37">
        <v>7</v>
      </c>
      <c r="AP827" s="37">
        <v>7</v>
      </c>
      <c r="AQ827" s="37">
        <v>7</v>
      </c>
      <c r="AR827" s="37">
        <v>7</v>
      </c>
      <c r="AS827" s="37">
        <v>7</v>
      </c>
      <c r="AT827" s="37">
        <v>7</v>
      </c>
    </row>
    <row r="828" spans="3:46" s="37" customFormat="1" x14ac:dyDescent="0.25"/>
    <row r="829" spans="3:46" s="37" customFormat="1" x14ac:dyDescent="0.25">
      <c r="C829" s="37" t="s">
        <v>21</v>
      </c>
      <c r="D829" s="37">
        <v>10</v>
      </c>
      <c r="E829" s="37">
        <v>10</v>
      </c>
      <c r="F829" s="37">
        <v>10</v>
      </c>
      <c r="G829" s="37">
        <v>10</v>
      </c>
      <c r="H829" s="37">
        <v>10</v>
      </c>
      <c r="I829" s="37">
        <v>9</v>
      </c>
      <c r="J829" s="37">
        <v>8</v>
      </c>
      <c r="K829" s="37">
        <v>4</v>
      </c>
      <c r="L829" s="37">
        <v>4</v>
      </c>
      <c r="M829" s="37">
        <v>4</v>
      </c>
      <c r="N829" s="37">
        <v>4</v>
      </c>
      <c r="O829" s="37">
        <v>4</v>
      </c>
      <c r="P829" s="37">
        <v>4</v>
      </c>
      <c r="Q829" s="37">
        <v>7</v>
      </c>
      <c r="R829" s="37">
        <v>8</v>
      </c>
      <c r="S829" s="37">
        <v>9</v>
      </c>
      <c r="T829" s="37">
        <v>10</v>
      </c>
      <c r="U829" s="37">
        <v>11</v>
      </c>
      <c r="V829" s="37">
        <v>11</v>
      </c>
      <c r="W829" s="37">
        <v>11</v>
      </c>
      <c r="X829" s="37">
        <v>11</v>
      </c>
      <c r="Z829" s="37">
        <v>10</v>
      </c>
      <c r="AA829" s="37">
        <v>10</v>
      </c>
      <c r="AB829" s="37">
        <v>10</v>
      </c>
      <c r="AC829" s="37">
        <v>10</v>
      </c>
      <c r="AD829" s="37">
        <v>10</v>
      </c>
      <c r="AE829" s="37">
        <v>10</v>
      </c>
      <c r="AF829" s="37">
        <v>10</v>
      </c>
      <c r="AG829" s="37">
        <v>4</v>
      </c>
      <c r="AH829" s="37">
        <v>4</v>
      </c>
      <c r="AI829" s="37">
        <v>4</v>
      </c>
      <c r="AJ829" s="37">
        <v>4</v>
      </c>
      <c r="AK829" s="37">
        <v>4</v>
      </c>
      <c r="AL829" s="37">
        <v>4</v>
      </c>
      <c r="AM829" s="37">
        <v>12</v>
      </c>
      <c r="AN829" s="37">
        <v>12</v>
      </c>
      <c r="AO829" s="37">
        <v>12</v>
      </c>
      <c r="AP829" s="37">
        <v>12</v>
      </c>
      <c r="AQ829" s="37">
        <v>12</v>
      </c>
      <c r="AR829" s="37">
        <v>12</v>
      </c>
      <c r="AS829" s="37">
        <v>12</v>
      </c>
      <c r="AT829" s="37">
        <v>12</v>
      </c>
    </row>
    <row r="830" spans="3:46" s="37" customFormat="1" x14ac:dyDescent="0.25"/>
    <row r="831" spans="3:46" s="37" customFormat="1" x14ac:dyDescent="0.25">
      <c r="C831" s="37" t="s">
        <v>20</v>
      </c>
      <c r="D831" s="37">
        <v>7</v>
      </c>
      <c r="E831" s="37">
        <v>7</v>
      </c>
      <c r="F831" s="37">
        <v>7</v>
      </c>
      <c r="G831" s="37">
        <v>7</v>
      </c>
      <c r="H831" s="37">
        <v>6</v>
      </c>
      <c r="I831" s="37">
        <v>6</v>
      </c>
      <c r="J831" s="37">
        <v>5</v>
      </c>
      <c r="K831" s="37">
        <v>3</v>
      </c>
      <c r="L831" s="37">
        <v>3</v>
      </c>
      <c r="M831" s="37">
        <v>3</v>
      </c>
      <c r="N831" s="37">
        <v>2</v>
      </c>
      <c r="O831" s="37">
        <v>3</v>
      </c>
      <c r="P831" s="37">
        <v>3</v>
      </c>
      <c r="Q831" s="37">
        <v>5</v>
      </c>
      <c r="R831" s="37">
        <v>6</v>
      </c>
      <c r="S831" s="37">
        <v>7</v>
      </c>
      <c r="T831" s="37">
        <v>8</v>
      </c>
      <c r="U831" s="37">
        <v>9</v>
      </c>
      <c r="V831" s="37">
        <v>9</v>
      </c>
      <c r="W831" s="37">
        <v>9</v>
      </c>
      <c r="X831" s="37">
        <v>9</v>
      </c>
      <c r="Z831" s="37">
        <v>7</v>
      </c>
      <c r="AA831" s="37">
        <v>7</v>
      </c>
      <c r="AB831" s="37">
        <v>7</v>
      </c>
      <c r="AC831" s="37">
        <v>7</v>
      </c>
      <c r="AD831" s="37">
        <v>7</v>
      </c>
      <c r="AE831" s="37">
        <v>7</v>
      </c>
      <c r="AF831" s="37">
        <v>7</v>
      </c>
      <c r="AG831" s="37">
        <v>3</v>
      </c>
      <c r="AH831" s="37">
        <v>3</v>
      </c>
      <c r="AI831" s="37">
        <v>3</v>
      </c>
      <c r="AJ831" s="37">
        <v>3</v>
      </c>
      <c r="AK831" s="37">
        <v>3</v>
      </c>
      <c r="AL831" s="37">
        <v>3</v>
      </c>
      <c r="AM831" s="37">
        <v>9</v>
      </c>
      <c r="AN831" s="37">
        <v>9</v>
      </c>
      <c r="AO831" s="37">
        <v>9</v>
      </c>
      <c r="AP831" s="37">
        <v>9</v>
      </c>
      <c r="AQ831" s="37">
        <v>9</v>
      </c>
      <c r="AR831" s="37">
        <v>9</v>
      </c>
      <c r="AS831" s="37">
        <v>9</v>
      </c>
      <c r="AT831" s="37">
        <v>9</v>
      </c>
    </row>
    <row r="832" spans="3:46" s="37" customFormat="1" x14ac:dyDescent="0.25"/>
    <row r="833" spans="3:46" s="37" customFormat="1" x14ac:dyDescent="0.25">
      <c r="C833" s="37" t="s">
        <v>21</v>
      </c>
      <c r="D833" s="37">
        <v>7</v>
      </c>
      <c r="E833" s="37">
        <v>7</v>
      </c>
      <c r="F833" s="37">
        <v>7</v>
      </c>
      <c r="G833" s="37">
        <v>7</v>
      </c>
      <c r="H833" s="37">
        <v>6</v>
      </c>
      <c r="I833" s="37">
        <v>6</v>
      </c>
      <c r="J833" s="37">
        <v>5</v>
      </c>
      <c r="K833" s="37">
        <v>5</v>
      </c>
      <c r="L833" s="37">
        <v>5</v>
      </c>
      <c r="M833" s="37">
        <v>5</v>
      </c>
      <c r="N833" s="37">
        <v>5</v>
      </c>
      <c r="O833" s="37">
        <v>5</v>
      </c>
      <c r="P833" s="37">
        <v>5</v>
      </c>
      <c r="Q833" s="37">
        <v>5</v>
      </c>
      <c r="R833" s="37">
        <v>5</v>
      </c>
      <c r="S833" s="37">
        <v>5</v>
      </c>
      <c r="T833" s="37">
        <v>6</v>
      </c>
      <c r="U833" s="37">
        <v>6</v>
      </c>
      <c r="V833" s="37">
        <v>7</v>
      </c>
      <c r="W833" s="37">
        <v>7</v>
      </c>
      <c r="X833" s="37">
        <v>7</v>
      </c>
      <c r="Z833" s="37">
        <v>7</v>
      </c>
      <c r="AA833" s="37">
        <v>7</v>
      </c>
      <c r="AB833" s="37">
        <v>7</v>
      </c>
      <c r="AC833" s="37">
        <v>7</v>
      </c>
      <c r="AD833" s="37">
        <v>7</v>
      </c>
      <c r="AE833" s="37">
        <v>7</v>
      </c>
      <c r="AF833" s="37">
        <v>7</v>
      </c>
      <c r="AG833" s="37">
        <v>5</v>
      </c>
      <c r="AH833" s="37">
        <v>5</v>
      </c>
      <c r="AI833" s="37">
        <v>5</v>
      </c>
      <c r="AJ833" s="37">
        <v>5</v>
      </c>
      <c r="AK833" s="37">
        <v>5</v>
      </c>
      <c r="AL833" s="37">
        <v>5</v>
      </c>
      <c r="AM833" s="37">
        <v>7</v>
      </c>
      <c r="AN833" s="37">
        <v>7</v>
      </c>
      <c r="AO833" s="37">
        <v>7</v>
      </c>
      <c r="AP833" s="37">
        <v>7</v>
      </c>
      <c r="AQ833" s="37">
        <v>7</v>
      </c>
      <c r="AR833" s="37">
        <v>7</v>
      </c>
      <c r="AS833" s="37">
        <v>7</v>
      </c>
      <c r="AT833" s="37">
        <v>7</v>
      </c>
    </row>
    <row r="834" spans="3:46" s="37" customFormat="1" x14ac:dyDescent="0.25"/>
    <row r="835" spans="3:46" s="37" customFormat="1" x14ac:dyDescent="0.25">
      <c r="C835" s="37" t="s">
        <v>20</v>
      </c>
      <c r="D835" s="37">
        <v>9</v>
      </c>
      <c r="E835" s="37">
        <v>9</v>
      </c>
      <c r="F835" s="37">
        <v>9</v>
      </c>
      <c r="G835" s="37">
        <v>9</v>
      </c>
      <c r="H835" s="37">
        <v>9</v>
      </c>
      <c r="I835" s="37">
        <v>9</v>
      </c>
      <c r="J835" s="37">
        <v>9</v>
      </c>
      <c r="K835" s="37">
        <v>4</v>
      </c>
      <c r="L835" s="37">
        <v>4</v>
      </c>
      <c r="M835" s="37">
        <v>4</v>
      </c>
      <c r="N835" s="37">
        <v>4</v>
      </c>
      <c r="O835" s="37">
        <v>4</v>
      </c>
      <c r="P835" s="37">
        <v>4</v>
      </c>
      <c r="Q835" s="37">
        <v>9</v>
      </c>
      <c r="R835" s="37">
        <v>10</v>
      </c>
      <c r="S835" s="37">
        <v>10</v>
      </c>
      <c r="T835" s="37">
        <v>10</v>
      </c>
      <c r="U835" s="37">
        <v>10</v>
      </c>
      <c r="V835" s="37">
        <v>10</v>
      </c>
      <c r="W835" s="37">
        <v>10</v>
      </c>
      <c r="X835" s="37">
        <v>10</v>
      </c>
      <c r="Z835" s="37">
        <v>9</v>
      </c>
      <c r="AA835" s="37">
        <v>9</v>
      </c>
      <c r="AB835" s="37">
        <v>9</v>
      </c>
      <c r="AC835" s="37">
        <v>9</v>
      </c>
      <c r="AD835" s="37">
        <v>9</v>
      </c>
      <c r="AE835" s="37">
        <v>9</v>
      </c>
      <c r="AF835" s="37">
        <v>9</v>
      </c>
      <c r="AG835" s="37">
        <v>4</v>
      </c>
      <c r="AH835" s="37">
        <v>4</v>
      </c>
      <c r="AI835" s="37">
        <v>4</v>
      </c>
      <c r="AJ835" s="37">
        <v>4</v>
      </c>
      <c r="AK835" s="37">
        <v>4</v>
      </c>
      <c r="AL835" s="37">
        <v>4</v>
      </c>
      <c r="AM835" s="37">
        <v>10</v>
      </c>
      <c r="AN835" s="37">
        <v>10</v>
      </c>
      <c r="AO835" s="37">
        <v>10</v>
      </c>
      <c r="AP835" s="37">
        <v>10</v>
      </c>
      <c r="AQ835" s="37">
        <v>10</v>
      </c>
      <c r="AR835" s="37">
        <v>10</v>
      </c>
      <c r="AS835" s="37">
        <v>10</v>
      </c>
      <c r="AT835" s="37">
        <v>10</v>
      </c>
    </row>
    <row r="836" spans="3:46" s="37" customFormat="1" x14ac:dyDescent="0.25"/>
    <row r="837" spans="3:46" s="37" customFormat="1" x14ac:dyDescent="0.25">
      <c r="C837" s="37" t="s">
        <v>21</v>
      </c>
      <c r="D837" s="37">
        <v>14</v>
      </c>
      <c r="E837" s="37">
        <v>14</v>
      </c>
      <c r="F837" s="37">
        <v>14</v>
      </c>
      <c r="G837" s="37">
        <v>14</v>
      </c>
      <c r="H837" s="37">
        <v>14</v>
      </c>
      <c r="I837" s="37">
        <v>13</v>
      </c>
      <c r="J837" s="37">
        <v>12</v>
      </c>
      <c r="K837" s="37">
        <v>6</v>
      </c>
      <c r="L837" s="37">
        <v>6</v>
      </c>
      <c r="M837" s="37">
        <v>6</v>
      </c>
      <c r="N837" s="37">
        <v>6</v>
      </c>
      <c r="O837" s="37">
        <v>6</v>
      </c>
      <c r="P837" s="37">
        <v>6</v>
      </c>
      <c r="Q837" s="37">
        <v>9</v>
      </c>
      <c r="R837" s="37">
        <v>11</v>
      </c>
      <c r="S837" s="37">
        <v>12</v>
      </c>
      <c r="T837" s="37">
        <v>13</v>
      </c>
      <c r="U837" s="37">
        <v>13</v>
      </c>
      <c r="V837" s="37">
        <v>13</v>
      </c>
      <c r="W837" s="37">
        <v>13</v>
      </c>
      <c r="X837" s="37">
        <v>13</v>
      </c>
      <c r="Z837" s="37">
        <v>14</v>
      </c>
      <c r="AA837" s="37">
        <v>14</v>
      </c>
      <c r="AB837" s="37">
        <v>14</v>
      </c>
      <c r="AC837" s="37">
        <v>14</v>
      </c>
      <c r="AD837" s="37">
        <v>14</v>
      </c>
      <c r="AE837" s="37">
        <v>14</v>
      </c>
      <c r="AF837" s="37">
        <v>14</v>
      </c>
      <c r="AG837" s="37">
        <v>6</v>
      </c>
      <c r="AH837" s="37">
        <v>6</v>
      </c>
      <c r="AI837" s="37">
        <v>6</v>
      </c>
      <c r="AJ837" s="37">
        <v>6</v>
      </c>
      <c r="AK837" s="37">
        <v>6</v>
      </c>
      <c r="AL837" s="37">
        <v>6</v>
      </c>
      <c r="AM837" s="37">
        <v>14</v>
      </c>
      <c r="AN837" s="37">
        <v>14</v>
      </c>
      <c r="AO837" s="37">
        <v>14</v>
      </c>
      <c r="AP837" s="37">
        <v>14</v>
      </c>
      <c r="AQ837" s="37">
        <v>14</v>
      </c>
      <c r="AR837" s="37">
        <v>14</v>
      </c>
      <c r="AS837" s="37">
        <v>14</v>
      </c>
      <c r="AT837" s="37">
        <v>14</v>
      </c>
    </row>
    <row r="838" spans="3:46" s="37" customFormat="1" x14ac:dyDescent="0.25"/>
    <row r="839" spans="3:46" s="37" customFormat="1" x14ac:dyDescent="0.25">
      <c r="C839" s="37" t="s">
        <v>20</v>
      </c>
      <c r="D839" s="37">
        <v>8</v>
      </c>
      <c r="E839" s="37">
        <v>8</v>
      </c>
      <c r="F839" s="37">
        <v>8</v>
      </c>
      <c r="G839" s="37">
        <v>8</v>
      </c>
      <c r="H839" s="37">
        <v>8</v>
      </c>
      <c r="I839" s="37">
        <v>8</v>
      </c>
      <c r="J839" s="37">
        <v>8</v>
      </c>
      <c r="K839" s="37">
        <v>4</v>
      </c>
      <c r="L839" s="37">
        <v>4</v>
      </c>
      <c r="M839" s="37">
        <v>4</v>
      </c>
      <c r="N839" s="37">
        <v>4</v>
      </c>
      <c r="O839" s="37">
        <v>4</v>
      </c>
      <c r="P839" s="37">
        <v>4</v>
      </c>
      <c r="Q839" s="37">
        <v>8</v>
      </c>
      <c r="R839" s="37">
        <v>9</v>
      </c>
      <c r="S839" s="37">
        <v>10</v>
      </c>
      <c r="T839" s="37">
        <v>10</v>
      </c>
      <c r="U839" s="37">
        <v>10</v>
      </c>
      <c r="V839" s="37">
        <v>10</v>
      </c>
      <c r="W839" s="37">
        <v>10</v>
      </c>
      <c r="X839" s="37">
        <v>10</v>
      </c>
      <c r="Z839" s="37">
        <v>8</v>
      </c>
      <c r="AA839" s="37">
        <v>8</v>
      </c>
      <c r="AB839" s="37">
        <v>8</v>
      </c>
      <c r="AC839" s="37">
        <v>8</v>
      </c>
      <c r="AD839" s="37">
        <v>8</v>
      </c>
      <c r="AE839" s="37">
        <v>8</v>
      </c>
      <c r="AF839" s="37">
        <v>8</v>
      </c>
      <c r="AG839" s="37">
        <v>4</v>
      </c>
      <c r="AH839" s="37">
        <v>4</v>
      </c>
      <c r="AI839" s="37">
        <v>4</v>
      </c>
      <c r="AJ839" s="37">
        <v>4</v>
      </c>
      <c r="AK839" s="37">
        <v>4</v>
      </c>
      <c r="AL839" s="37">
        <v>4</v>
      </c>
      <c r="AM839" s="37">
        <v>10</v>
      </c>
      <c r="AN839" s="37">
        <v>10</v>
      </c>
      <c r="AO839" s="37">
        <v>10</v>
      </c>
      <c r="AP839" s="37">
        <v>10</v>
      </c>
      <c r="AQ839" s="37">
        <v>10</v>
      </c>
      <c r="AR839" s="37">
        <v>10</v>
      </c>
      <c r="AS839" s="37">
        <v>10</v>
      </c>
      <c r="AT839" s="37">
        <v>10</v>
      </c>
    </row>
    <row r="840" spans="3:46" s="37" customFormat="1" x14ac:dyDescent="0.25"/>
    <row r="841" spans="3:46" s="37" customFormat="1" x14ac:dyDescent="0.25">
      <c r="C841" s="37" t="s">
        <v>21</v>
      </c>
      <c r="D841" s="37">
        <v>14</v>
      </c>
      <c r="E841" s="37">
        <v>14</v>
      </c>
      <c r="F841" s="37">
        <v>14</v>
      </c>
      <c r="G841" s="37">
        <v>14</v>
      </c>
      <c r="H841" s="37">
        <v>14</v>
      </c>
      <c r="I841" s="37">
        <v>13</v>
      </c>
      <c r="J841" s="37">
        <v>12</v>
      </c>
      <c r="K841" s="37">
        <v>5</v>
      </c>
      <c r="L841" s="37">
        <v>5</v>
      </c>
      <c r="M841" s="37">
        <v>5</v>
      </c>
      <c r="N841" s="37">
        <v>5</v>
      </c>
      <c r="O841" s="37">
        <v>5</v>
      </c>
      <c r="P841" s="37">
        <v>5</v>
      </c>
      <c r="Q841" s="37">
        <v>8</v>
      </c>
      <c r="R841" s="37">
        <v>9</v>
      </c>
      <c r="S841" s="37">
        <v>10</v>
      </c>
      <c r="T841" s="37">
        <v>11</v>
      </c>
      <c r="U841" s="37">
        <v>11</v>
      </c>
      <c r="V841" s="37">
        <v>11</v>
      </c>
      <c r="W841" s="37">
        <v>11</v>
      </c>
      <c r="X841" s="37">
        <v>11</v>
      </c>
      <c r="Z841" s="37">
        <v>14</v>
      </c>
      <c r="AA841" s="37">
        <v>14</v>
      </c>
      <c r="AB841" s="37">
        <v>14</v>
      </c>
      <c r="AC841" s="37">
        <v>14</v>
      </c>
      <c r="AD841" s="37">
        <v>14</v>
      </c>
      <c r="AE841" s="37">
        <v>14</v>
      </c>
      <c r="AF841" s="37">
        <v>14</v>
      </c>
      <c r="AG841" s="37">
        <v>5</v>
      </c>
      <c r="AH841" s="37">
        <v>5</v>
      </c>
      <c r="AI841" s="37">
        <v>5</v>
      </c>
      <c r="AJ841" s="37">
        <v>5</v>
      </c>
      <c r="AK841" s="37">
        <v>5</v>
      </c>
      <c r="AL841" s="37">
        <v>5</v>
      </c>
      <c r="AM841" s="37">
        <v>12</v>
      </c>
      <c r="AN841" s="37">
        <v>12</v>
      </c>
      <c r="AO841" s="37">
        <v>12</v>
      </c>
      <c r="AP841" s="37">
        <v>12</v>
      </c>
      <c r="AQ841" s="37">
        <v>12</v>
      </c>
      <c r="AR841" s="37">
        <v>12</v>
      </c>
      <c r="AS841" s="37">
        <v>12</v>
      </c>
      <c r="AT841" s="37">
        <v>12</v>
      </c>
    </row>
    <row r="842" spans="3:46" s="37" customFormat="1" x14ac:dyDescent="0.25"/>
    <row r="843" spans="3:46" s="37" customFormat="1" x14ac:dyDescent="0.25">
      <c r="C843" s="37" t="s">
        <v>20</v>
      </c>
      <c r="D843" s="37">
        <v>8</v>
      </c>
      <c r="E843" s="37">
        <v>8</v>
      </c>
      <c r="F843" s="37">
        <v>8</v>
      </c>
      <c r="G843" s="37">
        <v>8</v>
      </c>
      <c r="H843" s="37">
        <v>8</v>
      </c>
      <c r="I843" s="37">
        <v>7</v>
      </c>
      <c r="J843" s="37">
        <v>6</v>
      </c>
      <c r="K843" s="37">
        <v>3</v>
      </c>
      <c r="L843" s="37">
        <v>3</v>
      </c>
      <c r="M843" s="37">
        <v>3</v>
      </c>
      <c r="N843" s="37">
        <v>3</v>
      </c>
      <c r="O843" s="37">
        <v>3</v>
      </c>
      <c r="P843" s="37">
        <v>3</v>
      </c>
      <c r="Q843" s="37">
        <v>5</v>
      </c>
      <c r="R843" s="37">
        <v>6</v>
      </c>
      <c r="S843" s="37">
        <v>7</v>
      </c>
      <c r="T843" s="37">
        <v>8</v>
      </c>
      <c r="U843" s="37">
        <v>9</v>
      </c>
      <c r="V843" s="37">
        <v>9</v>
      </c>
      <c r="W843" s="37">
        <v>9</v>
      </c>
      <c r="X843" s="37">
        <v>9</v>
      </c>
      <c r="Z843" s="37">
        <v>8</v>
      </c>
      <c r="AA843" s="37">
        <v>8</v>
      </c>
      <c r="AB843" s="37">
        <v>8</v>
      </c>
      <c r="AC843" s="37">
        <v>8</v>
      </c>
      <c r="AD843" s="37">
        <v>8</v>
      </c>
      <c r="AE843" s="37">
        <v>8</v>
      </c>
      <c r="AF843" s="37">
        <v>8</v>
      </c>
      <c r="AG843" s="37">
        <v>3</v>
      </c>
      <c r="AH843" s="37">
        <v>3</v>
      </c>
      <c r="AI843" s="37">
        <v>3</v>
      </c>
      <c r="AJ843" s="37">
        <v>3</v>
      </c>
      <c r="AK843" s="37">
        <v>3</v>
      </c>
      <c r="AL843" s="37">
        <v>3</v>
      </c>
      <c r="AM843" s="37">
        <v>9</v>
      </c>
      <c r="AN843" s="37">
        <v>9</v>
      </c>
      <c r="AO843" s="37">
        <v>9</v>
      </c>
      <c r="AP843" s="37">
        <v>9</v>
      </c>
      <c r="AQ843" s="37">
        <v>9</v>
      </c>
      <c r="AR843" s="37">
        <v>9</v>
      </c>
      <c r="AS843" s="37">
        <v>9</v>
      </c>
      <c r="AT843" s="37">
        <v>9</v>
      </c>
    </row>
    <row r="844" spans="3:46" s="37" customFormat="1" x14ac:dyDescent="0.25"/>
    <row r="845" spans="3:46" s="37" customFormat="1" x14ac:dyDescent="0.25">
      <c r="C845" s="37" t="s">
        <v>21</v>
      </c>
      <c r="D845" s="37">
        <v>6</v>
      </c>
      <c r="E845" s="37">
        <v>6</v>
      </c>
      <c r="F845" s="37">
        <v>6</v>
      </c>
      <c r="G845" s="37">
        <v>6</v>
      </c>
      <c r="H845" s="37">
        <v>5</v>
      </c>
      <c r="I845" s="37">
        <v>5</v>
      </c>
      <c r="J845" s="37">
        <v>5</v>
      </c>
      <c r="K845" s="37">
        <v>5</v>
      </c>
      <c r="L845" s="37">
        <v>5</v>
      </c>
      <c r="M845" s="37">
        <v>5</v>
      </c>
      <c r="N845" s="37">
        <v>5</v>
      </c>
      <c r="O845" s="37">
        <v>5</v>
      </c>
      <c r="P845" s="37">
        <v>5</v>
      </c>
      <c r="Q845" s="37">
        <v>5</v>
      </c>
      <c r="R845" s="37">
        <v>5</v>
      </c>
      <c r="S845" s="37">
        <v>6</v>
      </c>
      <c r="T845" s="37">
        <v>6</v>
      </c>
      <c r="U845" s="37">
        <v>7</v>
      </c>
      <c r="V845" s="37">
        <v>8</v>
      </c>
      <c r="W845" s="37">
        <v>8</v>
      </c>
      <c r="X845" s="37">
        <v>8</v>
      </c>
      <c r="Z845" s="37">
        <v>6</v>
      </c>
      <c r="AA845" s="37">
        <v>6</v>
      </c>
      <c r="AB845" s="37">
        <v>6</v>
      </c>
      <c r="AC845" s="37">
        <v>6</v>
      </c>
      <c r="AD845" s="37">
        <v>6</v>
      </c>
      <c r="AE845" s="37">
        <v>6</v>
      </c>
      <c r="AF845" s="37">
        <v>6</v>
      </c>
      <c r="AG845" s="37">
        <v>5</v>
      </c>
      <c r="AH845" s="37">
        <v>5</v>
      </c>
      <c r="AI845" s="37">
        <v>5</v>
      </c>
      <c r="AJ845" s="37">
        <v>5</v>
      </c>
      <c r="AK845" s="37">
        <v>5</v>
      </c>
      <c r="AL845" s="37">
        <v>5</v>
      </c>
      <c r="AM845" s="37">
        <v>8</v>
      </c>
      <c r="AN845" s="37">
        <v>8</v>
      </c>
      <c r="AO845" s="37">
        <v>8</v>
      </c>
      <c r="AP845" s="37">
        <v>8</v>
      </c>
      <c r="AQ845" s="37">
        <v>8</v>
      </c>
      <c r="AR845" s="37">
        <v>8</v>
      </c>
      <c r="AS845" s="37">
        <v>8</v>
      </c>
      <c r="AT845" s="37">
        <v>8</v>
      </c>
    </row>
    <row r="846" spans="3:46" s="37" customFormat="1" x14ac:dyDescent="0.25"/>
    <row r="847" spans="3:46" s="37" customFormat="1" x14ac:dyDescent="0.25">
      <c r="C847" s="37" t="s">
        <v>20</v>
      </c>
      <c r="D847" s="37">
        <v>11</v>
      </c>
      <c r="E847" s="37">
        <v>11</v>
      </c>
      <c r="F847" s="37">
        <v>11</v>
      </c>
      <c r="G847" s="37">
        <v>11</v>
      </c>
      <c r="H847" s="37">
        <v>11</v>
      </c>
      <c r="I847" s="37">
        <v>11</v>
      </c>
      <c r="J847" s="37">
        <v>10</v>
      </c>
      <c r="K847" s="37">
        <v>5</v>
      </c>
      <c r="L847" s="37">
        <v>5</v>
      </c>
      <c r="M847" s="37">
        <v>5</v>
      </c>
      <c r="N847" s="37">
        <v>5</v>
      </c>
      <c r="O847" s="37">
        <v>5</v>
      </c>
      <c r="P847" s="37">
        <v>5</v>
      </c>
      <c r="Q847" s="37">
        <v>8</v>
      </c>
      <c r="R847" s="37">
        <v>9</v>
      </c>
      <c r="S847" s="37">
        <v>10</v>
      </c>
      <c r="T847" s="37">
        <v>10</v>
      </c>
      <c r="U847" s="37">
        <v>10</v>
      </c>
      <c r="V847" s="37">
        <v>10</v>
      </c>
      <c r="W847" s="37">
        <v>10</v>
      </c>
      <c r="X847" s="37">
        <v>10</v>
      </c>
      <c r="Z847" s="37">
        <v>11</v>
      </c>
      <c r="AA847" s="37">
        <v>11</v>
      </c>
      <c r="AB847" s="37">
        <v>11</v>
      </c>
      <c r="AC847" s="37">
        <v>11</v>
      </c>
      <c r="AD847" s="37">
        <v>11</v>
      </c>
      <c r="AE847" s="37">
        <v>11</v>
      </c>
      <c r="AF847" s="37">
        <v>11</v>
      </c>
      <c r="AG847" s="37">
        <v>5</v>
      </c>
      <c r="AH847" s="37">
        <v>5</v>
      </c>
      <c r="AI847" s="37">
        <v>5</v>
      </c>
      <c r="AJ847" s="37">
        <v>5</v>
      </c>
      <c r="AK847" s="37">
        <v>5</v>
      </c>
      <c r="AL847" s="37">
        <v>5</v>
      </c>
      <c r="AM847" s="37">
        <v>11</v>
      </c>
      <c r="AN847" s="37">
        <v>11</v>
      </c>
      <c r="AO847" s="37">
        <v>11</v>
      </c>
      <c r="AP847" s="37">
        <v>11</v>
      </c>
      <c r="AQ847" s="37">
        <v>11</v>
      </c>
      <c r="AR847" s="37">
        <v>11</v>
      </c>
      <c r="AS847" s="37">
        <v>11</v>
      </c>
      <c r="AT847" s="37">
        <v>11</v>
      </c>
    </row>
    <row r="848" spans="3:46" s="37" customFormat="1" x14ac:dyDescent="0.25"/>
    <row r="849" spans="3:46" s="37" customFormat="1" x14ac:dyDescent="0.25">
      <c r="C849" s="37" t="s">
        <v>21</v>
      </c>
      <c r="D849" s="37">
        <v>16</v>
      </c>
      <c r="E849" s="37">
        <v>16</v>
      </c>
      <c r="F849" s="37">
        <v>16</v>
      </c>
      <c r="G849" s="37">
        <v>16</v>
      </c>
      <c r="H849" s="37">
        <v>16</v>
      </c>
      <c r="I849" s="37">
        <v>15</v>
      </c>
      <c r="J849" s="37">
        <v>14</v>
      </c>
      <c r="K849" s="37">
        <v>5</v>
      </c>
      <c r="L849" s="37">
        <v>5</v>
      </c>
      <c r="M849" s="37">
        <v>5</v>
      </c>
      <c r="N849" s="37">
        <v>5</v>
      </c>
      <c r="O849" s="37">
        <v>5</v>
      </c>
      <c r="P849" s="37">
        <v>5</v>
      </c>
      <c r="Q849" s="37">
        <v>11</v>
      </c>
      <c r="R849" s="37">
        <v>13</v>
      </c>
      <c r="S849" s="37">
        <v>14</v>
      </c>
      <c r="T849" s="37">
        <v>16</v>
      </c>
      <c r="U849" s="37">
        <v>16</v>
      </c>
      <c r="V849" s="37">
        <v>16</v>
      </c>
      <c r="W849" s="37">
        <v>16</v>
      </c>
      <c r="X849" s="37">
        <v>16</v>
      </c>
      <c r="Z849" s="37">
        <v>16</v>
      </c>
      <c r="AA849" s="37">
        <v>16</v>
      </c>
      <c r="AB849" s="37">
        <v>16</v>
      </c>
      <c r="AC849" s="37">
        <v>16</v>
      </c>
      <c r="AD849" s="37">
        <v>16</v>
      </c>
      <c r="AE849" s="37">
        <v>16</v>
      </c>
      <c r="AF849" s="37">
        <v>16</v>
      </c>
      <c r="AG849" s="37">
        <v>5</v>
      </c>
      <c r="AH849" s="37">
        <v>5</v>
      </c>
      <c r="AI849" s="37">
        <v>5</v>
      </c>
      <c r="AJ849" s="37">
        <v>5</v>
      </c>
      <c r="AK849" s="37">
        <v>5</v>
      </c>
      <c r="AL849" s="37">
        <v>5</v>
      </c>
      <c r="AM849" s="37">
        <v>17</v>
      </c>
      <c r="AN849" s="37">
        <v>17</v>
      </c>
      <c r="AO849" s="37">
        <v>17</v>
      </c>
      <c r="AP849" s="37">
        <v>17</v>
      </c>
      <c r="AQ849" s="37">
        <v>17</v>
      </c>
      <c r="AR849" s="37">
        <v>17</v>
      </c>
      <c r="AS849" s="37">
        <v>17</v>
      </c>
      <c r="AT849" s="37">
        <v>17</v>
      </c>
    </row>
    <row r="850" spans="3:46" s="37" customFormat="1" x14ac:dyDescent="0.25"/>
    <row r="851" spans="3:46" s="37" customFormat="1" x14ac:dyDescent="0.25">
      <c r="C851" s="37" t="s">
        <v>20</v>
      </c>
      <c r="D851" s="37">
        <v>12</v>
      </c>
      <c r="E851" s="37">
        <v>12</v>
      </c>
      <c r="F851" s="37">
        <v>12</v>
      </c>
      <c r="G851" s="37">
        <v>12</v>
      </c>
      <c r="H851" s="37">
        <v>12</v>
      </c>
      <c r="I851" s="37">
        <v>12</v>
      </c>
      <c r="J851" s="37">
        <v>11</v>
      </c>
      <c r="K851" s="37">
        <v>4</v>
      </c>
      <c r="L851" s="37">
        <v>4</v>
      </c>
      <c r="M851" s="37">
        <v>4</v>
      </c>
      <c r="N851" s="37">
        <v>4</v>
      </c>
      <c r="O851" s="37">
        <v>4</v>
      </c>
      <c r="P851" s="37">
        <v>4</v>
      </c>
      <c r="Q851" s="37">
        <v>8</v>
      </c>
      <c r="R851" s="37">
        <v>9</v>
      </c>
      <c r="S851" s="37">
        <v>10</v>
      </c>
      <c r="T851" s="37">
        <v>10</v>
      </c>
      <c r="U851" s="37">
        <v>10</v>
      </c>
      <c r="V851" s="37">
        <v>10</v>
      </c>
      <c r="W851" s="37">
        <v>10</v>
      </c>
      <c r="X851" s="37">
        <v>10</v>
      </c>
      <c r="Z851" s="37">
        <v>12</v>
      </c>
      <c r="AA851" s="37">
        <v>12</v>
      </c>
      <c r="AB851" s="37">
        <v>12</v>
      </c>
      <c r="AC851" s="37">
        <v>12</v>
      </c>
      <c r="AD851" s="37">
        <v>12</v>
      </c>
      <c r="AE851" s="37">
        <v>12</v>
      </c>
      <c r="AF851" s="37">
        <v>12</v>
      </c>
      <c r="AG851" s="37">
        <v>4</v>
      </c>
      <c r="AH851" s="37">
        <v>4</v>
      </c>
      <c r="AI851" s="37">
        <v>4</v>
      </c>
      <c r="AJ851" s="37">
        <v>4</v>
      </c>
      <c r="AK851" s="37">
        <v>4</v>
      </c>
      <c r="AL851" s="37">
        <v>4</v>
      </c>
      <c r="AM851" s="37">
        <v>10</v>
      </c>
      <c r="AN851" s="37">
        <v>10</v>
      </c>
      <c r="AO851" s="37">
        <v>10</v>
      </c>
      <c r="AP851" s="37">
        <v>10</v>
      </c>
      <c r="AQ851" s="37">
        <v>10</v>
      </c>
      <c r="AR851" s="37">
        <v>10</v>
      </c>
      <c r="AS851" s="37">
        <v>10</v>
      </c>
      <c r="AT851" s="37">
        <v>10</v>
      </c>
    </row>
    <row r="852" spans="3:46" s="37" customFormat="1" x14ac:dyDescent="0.25"/>
    <row r="853" spans="3:46" s="37" customFormat="1" x14ac:dyDescent="0.25">
      <c r="C853" s="37" t="s">
        <v>21</v>
      </c>
      <c r="D853" s="37">
        <v>15</v>
      </c>
      <c r="E853" s="37">
        <v>15</v>
      </c>
      <c r="F853" s="37">
        <v>15</v>
      </c>
      <c r="G853" s="37">
        <v>15</v>
      </c>
      <c r="H853" s="37">
        <v>14</v>
      </c>
      <c r="I853" s="37">
        <v>13</v>
      </c>
      <c r="J853" s="37">
        <v>11</v>
      </c>
      <c r="K853" s="37">
        <v>5</v>
      </c>
      <c r="L853" s="37">
        <v>5</v>
      </c>
      <c r="M853" s="37">
        <v>5</v>
      </c>
      <c r="N853" s="37">
        <v>5</v>
      </c>
      <c r="O853" s="37">
        <v>5</v>
      </c>
      <c r="P853" s="37">
        <v>5</v>
      </c>
      <c r="Q853" s="37">
        <v>9</v>
      </c>
      <c r="R853" s="37">
        <v>11</v>
      </c>
      <c r="S853" s="37">
        <v>12</v>
      </c>
      <c r="T853" s="37">
        <v>14</v>
      </c>
      <c r="U853" s="37">
        <v>15</v>
      </c>
      <c r="V853" s="37">
        <v>15</v>
      </c>
      <c r="W853" s="37">
        <v>15</v>
      </c>
      <c r="X853" s="37">
        <v>15</v>
      </c>
      <c r="Z853" s="37">
        <v>15</v>
      </c>
      <c r="AA853" s="37">
        <v>15</v>
      </c>
      <c r="AB853" s="37">
        <v>15</v>
      </c>
      <c r="AC853" s="37">
        <v>15</v>
      </c>
      <c r="AD853" s="37">
        <v>15</v>
      </c>
      <c r="AE853" s="37">
        <v>15</v>
      </c>
      <c r="AF853" s="37">
        <v>15</v>
      </c>
      <c r="AG853" s="37">
        <v>5</v>
      </c>
      <c r="AH853" s="37">
        <v>5</v>
      </c>
      <c r="AI853" s="37">
        <v>5</v>
      </c>
      <c r="AJ853" s="37">
        <v>5</v>
      </c>
      <c r="AK853" s="37">
        <v>5</v>
      </c>
      <c r="AL853" s="37">
        <v>5</v>
      </c>
      <c r="AM853" s="37">
        <v>16</v>
      </c>
      <c r="AN853" s="37">
        <v>16</v>
      </c>
      <c r="AO853" s="37">
        <v>16</v>
      </c>
      <c r="AP853" s="37">
        <v>16</v>
      </c>
      <c r="AQ853" s="37">
        <v>16</v>
      </c>
      <c r="AR853" s="37">
        <v>16</v>
      </c>
      <c r="AS853" s="37">
        <v>16</v>
      </c>
      <c r="AT853" s="37">
        <v>16</v>
      </c>
    </row>
    <row r="854" spans="3:46" s="37" customFormat="1" x14ac:dyDescent="0.25"/>
    <row r="855" spans="3:46" s="37" customFormat="1" x14ac:dyDescent="0.25">
      <c r="C855" s="37" t="s">
        <v>20</v>
      </c>
      <c r="D855" s="37">
        <v>10</v>
      </c>
      <c r="E855" s="37">
        <v>10</v>
      </c>
      <c r="F855" s="37">
        <v>10</v>
      </c>
      <c r="G855" s="37">
        <v>10</v>
      </c>
      <c r="H855" s="37">
        <v>10</v>
      </c>
      <c r="I855" s="37">
        <v>10</v>
      </c>
      <c r="J855" s="37">
        <v>10</v>
      </c>
      <c r="K855" s="37">
        <v>10</v>
      </c>
      <c r="L855" s="37">
        <v>9</v>
      </c>
      <c r="M855" s="37">
        <v>8</v>
      </c>
      <c r="N855" s="37">
        <v>7</v>
      </c>
      <c r="O855" s="37">
        <v>7</v>
      </c>
      <c r="P855" s="37">
        <v>8</v>
      </c>
      <c r="Q855" s="37">
        <v>9</v>
      </c>
      <c r="R855" s="37">
        <v>10</v>
      </c>
      <c r="S855" s="37">
        <v>10</v>
      </c>
      <c r="T855" s="37">
        <v>10</v>
      </c>
      <c r="U855" s="37">
        <v>10</v>
      </c>
      <c r="V855" s="37">
        <v>10</v>
      </c>
      <c r="W855" s="37">
        <v>10</v>
      </c>
      <c r="X855" s="37">
        <v>10</v>
      </c>
      <c r="Z855" s="37">
        <v>10</v>
      </c>
      <c r="AA855" s="37">
        <v>10</v>
      </c>
      <c r="AB855" s="37">
        <v>10</v>
      </c>
      <c r="AC855" s="37">
        <v>10</v>
      </c>
      <c r="AD855" s="37">
        <v>10</v>
      </c>
      <c r="AE855" s="37">
        <v>10</v>
      </c>
      <c r="AF855" s="37">
        <v>10</v>
      </c>
      <c r="AG855" s="37">
        <v>10</v>
      </c>
      <c r="AH855" s="37">
        <v>10</v>
      </c>
      <c r="AI855" s="37">
        <v>10</v>
      </c>
      <c r="AJ855" s="37">
        <v>10</v>
      </c>
      <c r="AK855" s="37">
        <v>10</v>
      </c>
      <c r="AL855" s="37">
        <v>10</v>
      </c>
      <c r="AM855" s="37">
        <v>10</v>
      </c>
      <c r="AN855" s="37">
        <v>10</v>
      </c>
      <c r="AO855" s="37">
        <v>10</v>
      </c>
      <c r="AP855" s="37">
        <v>10</v>
      </c>
      <c r="AQ855" s="37">
        <v>10</v>
      </c>
      <c r="AR855" s="37">
        <v>10</v>
      </c>
      <c r="AS855" s="37">
        <v>10</v>
      </c>
      <c r="AT855" s="37">
        <v>10</v>
      </c>
    </row>
    <row r="856" spans="3:46" s="37" customFormat="1" x14ac:dyDescent="0.25"/>
    <row r="857" spans="3:46" s="37" customFormat="1" x14ac:dyDescent="0.25">
      <c r="C857" s="37" t="s">
        <v>21</v>
      </c>
      <c r="D857" s="37">
        <v>13</v>
      </c>
      <c r="E857" s="37">
        <v>13</v>
      </c>
      <c r="F857" s="37">
        <v>13</v>
      </c>
      <c r="G857" s="37">
        <v>13</v>
      </c>
      <c r="H857" s="37">
        <v>13</v>
      </c>
      <c r="I857" s="37">
        <v>13</v>
      </c>
      <c r="J857" s="37">
        <v>13</v>
      </c>
      <c r="K857" s="37">
        <v>13</v>
      </c>
      <c r="L857" s="37">
        <v>13</v>
      </c>
      <c r="M857" s="37">
        <v>13</v>
      </c>
      <c r="N857" s="37">
        <v>13</v>
      </c>
      <c r="O857" s="37">
        <v>13</v>
      </c>
      <c r="P857" s="37">
        <v>13</v>
      </c>
      <c r="Q857" s="37">
        <v>13</v>
      </c>
      <c r="R857" s="37">
        <v>13</v>
      </c>
      <c r="S857" s="37">
        <v>13</v>
      </c>
      <c r="T857" s="37">
        <v>13</v>
      </c>
      <c r="U857" s="37">
        <v>13</v>
      </c>
      <c r="V857" s="37">
        <v>13</v>
      </c>
      <c r="W857" s="37">
        <v>13</v>
      </c>
      <c r="X857" s="37">
        <v>13</v>
      </c>
      <c r="Z857" s="37">
        <v>13</v>
      </c>
      <c r="AA857" s="37">
        <v>13</v>
      </c>
      <c r="AB857" s="37">
        <v>13</v>
      </c>
      <c r="AC857" s="37">
        <v>13</v>
      </c>
      <c r="AD857" s="37">
        <v>13</v>
      </c>
      <c r="AE857" s="37">
        <v>13</v>
      </c>
      <c r="AF857" s="37">
        <v>13</v>
      </c>
      <c r="AG857" s="37">
        <v>13</v>
      </c>
      <c r="AH857" s="37">
        <v>13</v>
      </c>
      <c r="AI857" s="37">
        <v>13</v>
      </c>
      <c r="AJ857" s="37">
        <v>13</v>
      </c>
      <c r="AK857" s="37">
        <v>13</v>
      </c>
      <c r="AL857" s="37">
        <v>13</v>
      </c>
      <c r="AM857" s="37">
        <v>14</v>
      </c>
      <c r="AN857" s="37">
        <v>14</v>
      </c>
      <c r="AO857" s="37">
        <v>14</v>
      </c>
      <c r="AP857" s="37">
        <v>14</v>
      </c>
      <c r="AQ857" s="37">
        <v>14</v>
      </c>
      <c r="AR857" s="37">
        <v>14</v>
      </c>
      <c r="AS857" s="37">
        <v>14</v>
      </c>
      <c r="AT857" s="37">
        <v>14</v>
      </c>
    </row>
    <row r="858" spans="3:46" s="37" customFormat="1" x14ac:dyDescent="0.25"/>
    <row r="859" spans="3:46" s="37" customFormat="1" x14ac:dyDescent="0.25">
      <c r="C859" s="37" t="s">
        <v>20</v>
      </c>
      <c r="D859" s="37">
        <v>10</v>
      </c>
      <c r="E859" s="37">
        <v>10</v>
      </c>
      <c r="F859" s="37">
        <v>10</v>
      </c>
      <c r="G859" s="37">
        <v>10</v>
      </c>
      <c r="H859" s="37">
        <v>10</v>
      </c>
      <c r="I859" s="37">
        <v>10</v>
      </c>
      <c r="J859" s="37">
        <v>10</v>
      </c>
      <c r="K859" s="37">
        <v>4</v>
      </c>
      <c r="L859" s="37">
        <v>4</v>
      </c>
      <c r="M859" s="37">
        <v>4</v>
      </c>
      <c r="N859" s="37">
        <v>4</v>
      </c>
      <c r="O859" s="37">
        <v>4</v>
      </c>
      <c r="P859" s="37">
        <v>4</v>
      </c>
      <c r="Q859" s="37">
        <v>9</v>
      </c>
      <c r="R859" s="37">
        <v>10</v>
      </c>
      <c r="S859" s="37">
        <v>11</v>
      </c>
      <c r="T859" s="37">
        <v>11</v>
      </c>
      <c r="U859" s="37">
        <v>11</v>
      </c>
      <c r="V859" s="37">
        <v>11</v>
      </c>
      <c r="W859" s="37">
        <v>11</v>
      </c>
      <c r="X859" s="37">
        <v>11</v>
      </c>
      <c r="Z859" s="37">
        <v>10</v>
      </c>
      <c r="AA859" s="37">
        <v>10</v>
      </c>
      <c r="AB859" s="37">
        <v>10</v>
      </c>
      <c r="AC859" s="37">
        <v>10</v>
      </c>
      <c r="AD859" s="37">
        <v>10</v>
      </c>
      <c r="AE859" s="37">
        <v>10</v>
      </c>
      <c r="AF859" s="37">
        <v>10</v>
      </c>
      <c r="AG859" s="37">
        <v>4</v>
      </c>
      <c r="AH859" s="37">
        <v>4</v>
      </c>
      <c r="AI859" s="37">
        <v>4</v>
      </c>
      <c r="AJ859" s="37">
        <v>4</v>
      </c>
      <c r="AK859" s="37">
        <v>4</v>
      </c>
      <c r="AL859" s="37">
        <v>4</v>
      </c>
      <c r="AM859" s="37">
        <v>12</v>
      </c>
      <c r="AN859" s="37">
        <v>12</v>
      </c>
      <c r="AO859" s="37">
        <v>12</v>
      </c>
      <c r="AP859" s="37">
        <v>12</v>
      </c>
      <c r="AQ859" s="37">
        <v>12</v>
      </c>
      <c r="AR859" s="37">
        <v>12</v>
      </c>
      <c r="AS859" s="37">
        <v>12</v>
      </c>
      <c r="AT859" s="37">
        <v>12</v>
      </c>
    </row>
    <row r="860" spans="3:46" s="37" customFormat="1" x14ac:dyDescent="0.25"/>
    <row r="861" spans="3:46" s="37" customFormat="1" x14ac:dyDescent="0.25">
      <c r="C861" s="37" t="s">
        <v>21</v>
      </c>
      <c r="D861" s="37">
        <v>14</v>
      </c>
      <c r="E861" s="37">
        <v>14</v>
      </c>
      <c r="F861" s="37">
        <v>14</v>
      </c>
      <c r="G861" s="37">
        <v>14</v>
      </c>
      <c r="H861" s="37">
        <v>13</v>
      </c>
      <c r="I861" s="37">
        <v>12</v>
      </c>
      <c r="J861" s="37">
        <v>11</v>
      </c>
      <c r="K861" s="37">
        <v>5</v>
      </c>
      <c r="L861" s="37">
        <v>5</v>
      </c>
      <c r="M861" s="37">
        <v>5</v>
      </c>
      <c r="N861" s="37">
        <v>5</v>
      </c>
      <c r="O861" s="37">
        <v>5</v>
      </c>
      <c r="P861" s="37">
        <v>5</v>
      </c>
      <c r="Q861" s="37">
        <v>8</v>
      </c>
      <c r="R861" s="37">
        <v>9</v>
      </c>
      <c r="S861" s="37">
        <v>10</v>
      </c>
      <c r="T861" s="37">
        <v>11</v>
      </c>
      <c r="U861" s="37">
        <v>12</v>
      </c>
      <c r="V861" s="37">
        <v>12</v>
      </c>
      <c r="W861" s="37">
        <v>12</v>
      </c>
      <c r="X861" s="37">
        <v>12</v>
      </c>
      <c r="Z861" s="37">
        <v>14</v>
      </c>
      <c r="AA861" s="37">
        <v>14</v>
      </c>
      <c r="AB861" s="37">
        <v>14</v>
      </c>
      <c r="AC861" s="37">
        <v>14</v>
      </c>
      <c r="AD861" s="37">
        <v>14</v>
      </c>
      <c r="AE861" s="37">
        <v>14</v>
      </c>
      <c r="AF861" s="37">
        <v>14</v>
      </c>
      <c r="AG861" s="37">
        <v>5</v>
      </c>
      <c r="AH861" s="37">
        <v>5</v>
      </c>
      <c r="AI861" s="37">
        <v>5</v>
      </c>
      <c r="AJ861" s="37">
        <v>5</v>
      </c>
      <c r="AK861" s="37">
        <v>5</v>
      </c>
      <c r="AL861" s="37">
        <v>5</v>
      </c>
      <c r="AM861" s="37">
        <v>13</v>
      </c>
      <c r="AN861" s="37">
        <v>13</v>
      </c>
      <c r="AO861" s="37">
        <v>13</v>
      </c>
      <c r="AP861" s="37">
        <v>13</v>
      </c>
      <c r="AQ861" s="37">
        <v>13</v>
      </c>
      <c r="AR861" s="37">
        <v>13</v>
      </c>
      <c r="AS861" s="37">
        <v>13</v>
      </c>
      <c r="AT861" s="37">
        <v>13</v>
      </c>
    </row>
    <row r="862" spans="3:46" s="37" customFormat="1" x14ac:dyDescent="0.25"/>
    <row r="863" spans="3:46" s="37" customFormat="1" x14ac:dyDescent="0.25">
      <c r="C863" s="37" t="s">
        <v>20</v>
      </c>
      <c r="D863" s="37">
        <v>9</v>
      </c>
      <c r="E863" s="37">
        <v>9</v>
      </c>
      <c r="F863" s="37">
        <v>9</v>
      </c>
      <c r="G863" s="37">
        <v>9</v>
      </c>
      <c r="H863" s="37">
        <v>9</v>
      </c>
      <c r="I863" s="37">
        <v>9</v>
      </c>
      <c r="J863" s="37">
        <v>8</v>
      </c>
      <c r="K863" s="37">
        <v>4</v>
      </c>
      <c r="L863" s="37">
        <v>4</v>
      </c>
      <c r="M863" s="37">
        <v>4</v>
      </c>
      <c r="N863" s="37">
        <v>4</v>
      </c>
      <c r="O863" s="37">
        <v>4</v>
      </c>
      <c r="P863" s="37">
        <v>4</v>
      </c>
      <c r="Q863" s="37">
        <v>7</v>
      </c>
      <c r="R863" s="37">
        <v>8</v>
      </c>
      <c r="S863" s="37">
        <v>9</v>
      </c>
      <c r="T863" s="37">
        <v>10</v>
      </c>
      <c r="U863" s="37">
        <v>10</v>
      </c>
      <c r="V863" s="37">
        <v>10</v>
      </c>
      <c r="W863" s="37">
        <v>10</v>
      </c>
      <c r="X863" s="37">
        <v>10</v>
      </c>
      <c r="Z863" s="37">
        <v>9</v>
      </c>
      <c r="AA863" s="37">
        <v>9</v>
      </c>
      <c r="AB863" s="37">
        <v>9</v>
      </c>
      <c r="AC863" s="37">
        <v>9</v>
      </c>
      <c r="AD863" s="37">
        <v>9</v>
      </c>
      <c r="AE863" s="37">
        <v>9</v>
      </c>
      <c r="AF863" s="37">
        <v>9</v>
      </c>
      <c r="AG863" s="37">
        <v>4</v>
      </c>
      <c r="AH863" s="37">
        <v>4</v>
      </c>
      <c r="AI863" s="37">
        <v>4</v>
      </c>
      <c r="AJ863" s="37">
        <v>4</v>
      </c>
      <c r="AK863" s="37">
        <v>4</v>
      </c>
      <c r="AL863" s="37">
        <v>4</v>
      </c>
      <c r="AM863" s="37">
        <v>10</v>
      </c>
      <c r="AN863" s="37">
        <v>10</v>
      </c>
      <c r="AO863" s="37">
        <v>10</v>
      </c>
      <c r="AP863" s="37">
        <v>10</v>
      </c>
      <c r="AQ863" s="37">
        <v>10</v>
      </c>
      <c r="AR863" s="37">
        <v>10</v>
      </c>
      <c r="AS863" s="37">
        <v>10</v>
      </c>
      <c r="AT863" s="37">
        <v>10</v>
      </c>
    </row>
    <row r="864" spans="3:46" s="37" customFormat="1" x14ac:dyDescent="0.25"/>
    <row r="865" spans="3:46" s="37" customFormat="1" x14ac:dyDescent="0.25">
      <c r="C865" s="37" t="s">
        <v>21</v>
      </c>
      <c r="D865" s="37">
        <v>10</v>
      </c>
      <c r="E865" s="37">
        <v>10</v>
      </c>
      <c r="F865" s="37">
        <v>10</v>
      </c>
      <c r="G865" s="37">
        <v>10</v>
      </c>
      <c r="H865" s="37">
        <v>10</v>
      </c>
      <c r="I865" s="37">
        <v>9</v>
      </c>
      <c r="J865" s="37">
        <v>8</v>
      </c>
      <c r="K865" s="37">
        <v>5</v>
      </c>
      <c r="L865" s="37">
        <v>5</v>
      </c>
      <c r="M865" s="37">
        <v>5</v>
      </c>
      <c r="N865" s="37">
        <v>5</v>
      </c>
      <c r="O865" s="37">
        <v>5</v>
      </c>
      <c r="P865" s="37">
        <v>5</v>
      </c>
      <c r="Q865" s="37">
        <v>5</v>
      </c>
      <c r="R865" s="37">
        <v>5</v>
      </c>
      <c r="S865" s="37">
        <v>6</v>
      </c>
      <c r="T865" s="37">
        <v>7</v>
      </c>
      <c r="U865" s="37">
        <v>8</v>
      </c>
      <c r="V865" s="37">
        <v>9</v>
      </c>
      <c r="W865" s="37">
        <v>9</v>
      </c>
      <c r="X865" s="37">
        <v>9</v>
      </c>
      <c r="Z865" s="37">
        <v>10</v>
      </c>
      <c r="AA865" s="37">
        <v>10</v>
      </c>
      <c r="AB865" s="37">
        <v>10</v>
      </c>
      <c r="AC865" s="37">
        <v>10</v>
      </c>
      <c r="AD865" s="37">
        <v>10</v>
      </c>
      <c r="AE865" s="37">
        <v>10</v>
      </c>
      <c r="AF865" s="37">
        <v>10</v>
      </c>
      <c r="AG865" s="37">
        <v>5</v>
      </c>
      <c r="AH865" s="37">
        <v>5</v>
      </c>
      <c r="AI865" s="37">
        <v>5</v>
      </c>
      <c r="AJ865" s="37">
        <v>5</v>
      </c>
      <c r="AK865" s="37">
        <v>5</v>
      </c>
      <c r="AL865" s="37">
        <v>5</v>
      </c>
      <c r="AM865" s="37">
        <v>9</v>
      </c>
      <c r="AN865" s="37">
        <v>9</v>
      </c>
      <c r="AO865" s="37">
        <v>9</v>
      </c>
      <c r="AP865" s="37">
        <v>9</v>
      </c>
      <c r="AQ865" s="37">
        <v>9</v>
      </c>
      <c r="AR865" s="37">
        <v>9</v>
      </c>
      <c r="AS865" s="37">
        <v>9</v>
      </c>
      <c r="AT865" s="37">
        <v>9</v>
      </c>
    </row>
    <row r="866" spans="3:46" s="37" customFormat="1" x14ac:dyDescent="0.25"/>
    <row r="867" spans="3:46" s="37" customFormat="1" x14ac:dyDescent="0.25">
      <c r="C867" s="37" t="s">
        <v>20</v>
      </c>
      <c r="D867" s="37">
        <v>9</v>
      </c>
      <c r="E867" s="37">
        <v>9</v>
      </c>
      <c r="F867" s="37">
        <v>9</v>
      </c>
      <c r="G867" s="37">
        <v>9</v>
      </c>
      <c r="H867" s="37">
        <v>9</v>
      </c>
      <c r="I867" s="37">
        <v>9</v>
      </c>
      <c r="J867" s="37">
        <v>8</v>
      </c>
      <c r="K867" s="37">
        <v>4</v>
      </c>
      <c r="L867" s="37">
        <v>4</v>
      </c>
      <c r="M867" s="37">
        <v>4</v>
      </c>
      <c r="N867" s="37">
        <v>4</v>
      </c>
      <c r="O867" s="37">
        <v>4</v>
      </c>
      <c r="P867" s="37">
        <v>4</v>
      </c>
      <c r="Q867" s="37">
        <v>7</v>
      </c>
      <c r="R867" s="37">
        <v>8</v>
      </c>
      <c r="S867" s="37">
        <v>9</v>
      </c>
      <c r="T867" s="37">
        <v>10</v>
      </c>
      <c r="U867" s="37">
        <v>10</v>
      </c>
      <c r="V867" s="37">
        <v>10</v>
      </c>
      <c r="W867" s="37">
        <v>10</v>
      </c>
      <c r="X867" s="37">
        <v>10</v>
      </c>
      <c r="Z867" s="37">
        <v>9</v>
      </c>
      <c r="AA867" s="37">
        <v>9</v>
      </c>
      <c r="AB867" s="37">
        <v>9</v>
      </c>
      <c r="AC867" s="37">
        <v>9</v>
      </c>
      <c r="AD867" s="37">
        <v>9</v>
      </c>
      <c r="AE867" s="37">
        <v>9</v>
      </c>
      <c r="AF867" s="37">
        <v>9</v>
      </c>
      <c r="AG867" s="37">
        <v>4</v>
      </c>
      <c r="AH867" s="37">
        <v>4</v>
      </c>
      <c r="AI867" s="37">
        <v>4</v>
      </c>
      <c r="AJ867" s="37">
        <v>4</v>
      </c>
      <c r="AK867" s="37">
        <v>4</v>
      </c>
      <c r="AL867" s="37">
        <v>4</v>
      </c>
      <c r="AM867" s="37">
        <v>10</v>
      </c>
      <c r="AN867" s="37">
        <v>10</v>
      </c>
      <c r="AO867" s="37">
        <v>10</v>
      </c>
      <c r="AP867" s="37">
        <v>10</v>
      </c>
      <c r="AQ867" s="37">
        <v>10</v>
      </c>
      <c r="AR867" s="37">
        <v>10</v>
      </c>
      <c r="AS867" s="37">
        <v>10</v>
      </c>
      <c r="AT867" s="37">
        <v>10</v>
      </c>
    </row>
    <row r="868" spans="3:46" s="37" customFormat="1" x14ac:dyDescent="0.25"/>
    <row r="869" spans="3:46" s="37" customFormat="1" x14ac:dyDescent="0.25">
      <c r="C869" s="37" t="s">
        <v>21</v>
      </c>
      <c r="D869" s="37">
        <v>10</v>
      </c>
      <c r="E869" s="37">
        <v>10</v>
      </c>
      <c r="F869" s="37">
        <v>10</v>
      </c>
      <c r="G869" s="37">
        <v>10</v>
      </c>
      <c r="H869" s="37">
        <v>10</v>
      </c>
      <c r="I869" s="37">
        <v>9</v>
      </c>
      <c r="J869" s="37">
        <v>8</v>
      </c>
      <c r="K869" s="37">
        <v>5</v>
      </c>
      <c r="L869" s="37">
        <v>5</v>
      </c>
      <c r="M869" s="37">
        <v>5</v>
      </c>
      <c r="N869" s="37">
        <v>5</v>
      </c>
      <c r="O869" s="37">
        <v>5</v>
      </c>
      <c r="P869" s="37">
        <v>5</v>
      </c>
      <c r="Q869" s="37">
        <v>6</v>
      </c>
      <c r="R869" s="37">
        <v>7</v>
      </c>
      <c r="S869" s="37">
        <v>8</v>
      </c>
      <c r="T869" s="37">
        <v>9</v>
      </c>
      <c r="U869" s="37">
        <v>10</v>
      </c>
      <c r="V869" s="37">
        <v>10</v>
      </c>
      <c r="W869" s="37">
        <v>10</v>
      </c>
      <c r="X869" s="37">
        <v>10</v>
      </c>
      <c r="Z869" s="37">
        <v>10</v>
      </c>
      <c r="AA869" s="37">
        <v>10</v>
      </c>
      <c r="AB869" s="37">
        <v>10</v>
      </c>
      <c r="AC869" s="37">
        <v>10</v>
      </c>
      <c r="AD869" s="37">
        <v>10</v>
      </c>
      <c r="AE869" s="37">
        <v>10</v>
      </c>
      <c r="AF869" s="37">
        <v>10</v>
      </c>
      <c r="AG869" s="37">
        <v>5</v>
      </c>
      <c r="AH869" s="37">
        <v>5</v>
      </c>
      <c r="AI869" s="37">
        <v>5</v>
      </c>
      <c r="AJ869" s="37">
        <v>5</v>
      </c>
      <c r="AK869" s="37">
        <v>5</v>
      </c>
      <c r="AL869" s="37">
        <v>5</v>
      </c>
      <c r="AM869" s="37">
        <v>10</v>
      </c>
      <c r="AN869" s="37">
        <v>10</v>
      </c>
      <c r="AO869" s="37">
        <v>10</v>
      </c>
      <c r="AP869" s="37">
        <v>10</v>
      </c>
      <c r="AQ869" s="37">
        <v>10</v>
      </c>
      <c r="AR869" s="37">
        <v>10</v>
      </c>
      <c r="AS869" s="37">
        <v>10</v>
      </c>
      <c r="AT869" s="37">
        <v>10</v>
      </c>
    </row>
    <row r="870" spans="3:46" s="37" customFormat="1" x14ac:dyDescent="0.25"/>
    <row r="871" spans="3:46" s="37" customFormat="1" x14ac:dyDescent="0.25">
      <c r="C871" s="37" t="s">
        <v>20</v>
      </c>
      <c r="D871" s="37">
        <v>12</v>
      </c>
      <c r="E871" s="37">
        <v>12</v>
      </c>
      <c r="F871" s="37">
        <v>12</v>
      </c>
      <c r="G871" s="37">
        <v>12</v>
      </c>
      <c r="H871" s="37">
        <v>12</v>
      </c>
      <c r="I871" s="37">
        <v>12</v>
      </c>
      <c r="J871" s="37">
        <v>11</v>
      </c>
      <c r="K871" s="37">
        <v>4</v>
      </c>
      <c r="L871" s="37">
        <v>4</v>
      </c>
      <c r="M871" s="37">
        <v>4</v>
      </c>
      <c r="N871" s="37">
        <v>4</v>
      </c>
      <c r="O871" s="37">
        <v>4</v>
      </c>
      <c r="P871" s="37">
        <v>4</v>
      </c>
      <c r="Q871" s="37">
        <v>9</v>
      </c>
      <c r="R871" s="37">
        <v>10</v>
      </c>
      <c r="S871" s="37">
        <v>11</v>
      </c>
      <c r="T871" s="37">
        <v>11</v>
      </c>
      <c r="U871" s="37">
        <v>11</v>
      </c>
      <c r="V871" s="37">
        <v>11</v>
      </c>
      <c r="W871" s="37">
        <v>11</v>
      </c>
      <c r="X871" s="37">
        <v>11</v>
      </c>
      <c r="Z871" s="37">
        <v>12</v>
      </c>
      <c r="AA871" s="37">
        <v>12</v>
      </c>
      <c r="AB871" s="37">
        <v>12</v>
      </c>
      <c r="AC871" s="37">
        <v>12</v>
      </c>
      <c r="AD871" s="37">
        <v>12</v>
      </c>
      <c r="AE871" s="37">
        <v>12</v>
      </c>
      <c r="AF871" s="37">
        <v>12</v>
      </c>
      <c r="AG871" s="37">
        <v>4</v>
      </c>
      <c r="AH871" s="37">
        <v>4</v>
      </c>
      <c r="AI871" s="37">
        <v>4</v>
      </c>
      <c r="AJ871" s="37">
        <v>4</v>
      </c>
      <c r="AK871" s="37">
        <v>4</v>
      </c>
      <c r="AL871" s="37">
        <v>4</v>
      </c>
      <c r="AM871" s="37">
        <v>12</v>
      </c>
      <c r="AN871" s="37">
        <v>12</v>
      </c>
      <c r="AO871" s="37">
        <v>12</v>
      </c>
      <c r="AP871" s="37">
        <v>12</v>
      </c>
      <c r="AQ871" s="37">
        <v>12</v>
      </c>
      <c r="AR871" s="37">
        <v>12</v>
      </c>
      <c r="AS871" s="37">
        <v>12</v>
      </c>
      <c r="AT871" s="37">
        <v>12</v>
      </c>
    </row>
    <row r="872" spans="3:46" s="37" customFormat="1" x14ac:dyDescent="0.25"/>
    <row r="873" spans="3:46" s="37" customFormat="1" x14ac:dyDescent="0.25">
      <c r="C873" s="37" t="s">
        <v>21</v>
      </c>
      <c r="D873" s="37">
        <v>15</v>
      </c>
      <c r="E873" s="37">
        <v>15</v>
      </c>
      <c r="F873" s="37">
        <v>15</v>
      </c>
      <c r="G873" s="37">
        <v>15</v>
      </c>
      <c r="H873" s="37">
        <v>14</v>
      </c>
      <c r="I873" s="37">
        <v>13</v>
      </c>
      <c r="J873" s="37">
        <v>11</v>
      </c>
      <c r="K873" s="37">
        <v>7</v>
      </c>
      <c r="L873" s="37">
        <v>7</v>
      </c>
      <c r="M873" s="37">
        <v>7</v>
      </c>
      <c r="N873" s="37">
        <v>7</v>
      </c>
      <c r="O873" s="37">
        <v>7</v>
      </c>
      <c r="P873" s="37">
        <v>7</v>
      </c>
      <c r="Q873" s="37">
        <v>9</v>
      </c>
      <c r="R873" s="37">
        <v>10</v>
      </c>
      <c r="S873" s="37">
        <v>11</v>
      </c>
      <c r="T873" s="37">
        <v>13</v>
      </c>
      <c r="U873" s="37">
        <v>14</v>
      </c>
      <c r="V873" s="37">
        <v>14</v>
      </c>
      <c r="W873" s="37">
        <v>14</v>
      </c>
      <c r="X873" s="37">
        <v>14</v>
      </c>
      <c r="Z873" s="37">
        <v>15</v>
      </c>
      <c r="AA873" s="37">
        <v>15</v>
      </c>
      <c r="AB873" s="37">
        <v>15</v>
      </c>
      <c r="AC873" s="37">
        <v>15</v>
      </c>
      <c r="AD873" s="37">
        <v>15</v>
      </c>
      <c r="AE873" s="37">
        <v>15</v>
      </c>
      <c r="AF873" s="37">
        <v>15</v>
      </c>
      <c r="AG873" s="37">
        <v>7</v>
      </c>
      <c r="AH873" s="37">
        <v>7</v>
      </c>
      <c r="AI873" s="37">
        <v>7</v>
      </c>
      <c r="AJ873" s="37">
        <v>7</v>
      </c>
      <c r="AK873" s="37">
        <v>7</v>
      </c>
      <c r="AL873" s="37">
        <v>7</v>
      </c>
      <c r="AM873" s="37">
        <v>15</v>
      </c>
      <c r="AN873" s="37">
        <v>15</v>
      </c>
      <c r="AO873" s="37">
        <v>15</v>
      </c>
      <c r="AP873" s="37">
        <v>15</v>
      </c>
      <c r="AQ873" s="37">
        <v>15</v>
      </c>
      <c r="AR873" s="37">
        <v>15</v>
      </c>
      <c r="AS873" s="37">
        <v>15</v>
      </c>
      <c r="AT873" s="37">
        <v>15</v>
      </c>
    </row>
    <row r="874" spans="3:46" s="37" customFormat="1" x14ac:dyDescent="0.25"/>
    <row r="875" spans="3:46" s="37" customFormat="1" x14ac:dyDescent="0.25">
      <c r="C875" s="37" t="s">
        <v>20</v>
      </c>
      <c r="D875" s="37">
        <v>10</v>
      </c>
      <c r="E875" s="37">
        <v>10</v>
      </c>
      <c r="F875" s="37">
        <v>10</v>
      </c>
      <c r="G875" s="37">
        <v>10</v>
      </c>
      <c r="H875" s="37">
        <v>10</v>
      </c>
      <c r="I875" s="37">
        <v>10</v>
      </c>
      <c r="J875" s="37">
        <v>10</v>
      </c>
      <c r="K875" s="37">
        <v>4</v>
      </c>
      <c r="L875" s="37">
        <v>4</v>
      </c>
      <c r="M875" s="37">
        <v>4</v>
      </c>
      <c r="N875" s="37">
        <v>4</v>
      </c>
      <c r="O875" s="37">
        <v>4</v>
      </c>
      <c r="P875" s="37">
        <v>4</v>
      </c>
      <c r="Q875" s="37">
        <v>7</v>
      </c>
      <c r="R875" s="37">
        <v>8</v>
      </c>
      <c r="S875" s="37">
        <v>9</v>
      </c>
      <c r="T875" s="37">
        <v>9</v>
      </c>
      <c r="U875" s="37">
        <v>9</v>
      </c>
      <c r="V875" s="37">
        <v>9</v>
      </c>
      <c r="W875" s="37">
        <v>9</v>
      </c>
      <c r="X875" s="37">
        <v>9</v>
      </c>
      <c r="Z875" s="37">
        <v>10</v>
      </c>
      <c r="AA875" s="37">
        <v>10</v>
      </c>
      <c r="AB875" s="37">
        <v>10</v>
      </c>
      <c r="AC875" s="37">
        <v>10</v>
      </c>
      <c r="AD875" s="37">
        <v>10</v>
      </c>
      <c r="AE875" s="37">
        <v>10</v>
      </c>
      <c r="AF875" s="37">
        <v>10</v>
      </c>
      <c r="AG875" s="37">
        <v>4</v>
      </c>
      <c r="AH875" s="37">
        <v>4</v>
      </c>
      <c r="AI875" s="37">
        <v>4</v>
      </c>
      <c r="AJ875" s="37">
        <v>4</v>
      </c>
      <c r="AK875" s="37">
        <v>4</v>
      </c>
      <c r="AL875" s="37">
        <v>4</v>
      </c>
      <c r="AM875" s="37">
        <v>9</v>
      </c>
      <c r="AN875" s="37">
        <v>9</v>
      </c>
      <c r="AO875" s="37">
        <v>9</v>
      </c>
      <c r="AP875" s="37">
        <v>9</v>
      </c>
      <c r="AQ875" s="37">
        <v>9</v>
      </c>
      <c r="AR875" s="37">
        <v>9</v>
      </c>
      <c r="AS875" s="37">
        <v>9</v>
      </c>
      <c r="AT875" s="37">
        <v>9</v>
      </c>
    </row>
    <row r="876" spans="3:46" s="37" customFormat="1" x14ac:dyDescent="0.25"/>
    <row r="877" spans="3:46" s="37" customFormat="1" x14ac:dyDescent="0.25">
      <c r="C877" s="37" t="s">
        <v>21</v>
      </c>
      <c r="D877" s="37">
        <v>13</v>
      </c>
      <c r="E877" s="37">
        <v>13</v>
      </c>
      <c r="F877" s="37">
        <v>13</v>
      </c>
      <c r="G877" s="37">
        <v>13</v>
      </c>
      <c r="H877" s="37">
        <v>12</v>
      </c>
      <c r="I877" s="37">
        <v>11</v>
      </c>
      <c r="J877" s="37">
        <v>10</v>
      </c>
      <c r="K877" s="37">
        <v>5</v>
      </c>
      <c r="L877" s="37">
        <v>5</v>
      </c>
      <c r="M877" s="37">
        <v>5</v>
      </c>
      <c r="N877" s="37">
        <v>5</v>
      </c>
      <c r="O877" s="37">
        <v>5</v>
      </c>
      <c r="P877" s="37">
        <v>5</v>
      </c>
      <c r="Q877" s="37">
        <v>9</v>
      </c>
      <c r="R877" s="37">
        <v>10</v>
      </c>
      <c r="S877" s="37">
        <v>11</v>
      </c>
      <c r="T877" s="37">
        <v>13</v>
      </c>
      <c r="U877" s="37">
        <v>14</v>
      </c>
      <c r="V877" s="37">
        <v>14</v>
      </c>
      <c r="W877" s="37">
        <v>14</v>
      </c>
      <c r="X877" s="37">
        <v>14</v>
      </c>
      <c r="Z877" s="37">
        <v>13</v>
      </c>
      <c r="AA877" s="37">
        <v>13</v>
      </c>
      <c r="AB877" s="37">
        <v>13</v>
      </c>
      <c r="AC877" s="37">
        <v>13</v>
      </c>
      <c r="AD877" s="37">
        <v>13</v>
      </c>
      <c r="AE877" s="37">
        <v>13</v>
      </c>
      <c r="AF877" s="37">
        <v>13</v>
      </c>
      <c r="AG877" s="37">
        <v>5</v>
      </c>
      <c r="AH877" s="37">
        <v>5</v>
      </c>
      <c r="AI877" s="37">
        <v>5</v>
      </c>
      <c r="AJ877" s="37">
        <v>5</v>
      </c>
      <c r="AK877" s="37">
        <v>5</v>
      </c>
      <c r="AL877" s="37">
        <v>5</v>
      </c>
      <c r="AM877" s="37">
        <v>15</v>
      </c>
      <c r="AN877" s="37">
        <v>15</v>
      </c>
      <c r="AO877" s="37">
        <v>15</v>
      </c>
      <c r="AP877" s="37">
        <v>15</v>
      </c>
      <c r="AQ877" s="37">
        <v>15</v>
      </c>
      <c r="AR877" s="37">
        <v>15</v>
      </c>
      <c r="AS877" s="37">
        <v>15</v>
      </c>
      <c r="AT877" s="37">
        <v>15</v>
      </c>
    </row>
    <row r="878" spans="3:46" s="37" customFormat="1" x14ac:dyDescent="0.25"/>
    <row r="879" spans="3:46" s="37" customFormat="1" x14ac:dyDescent="0.25">
      <c r="C879" s="37" t="s">
        <v>20</v>
      </c>
      <c r="D879" s="37">
        <v>9</v>
      </c>
      <c r="E879" s="37">
        <v>9</v>
      </c>
      <c r="F879" s="37">
        <v>9</v>
      </c>
      <c r="G879" s="37">
        <v>9</v>
      </c>
      <c r="H879" s="37">
        <v>9</v>
      </c>
      <c r="I879" s="37">
        <v>9</v>
      </c>
      <c r="J879" s="37">
        <v>9</v>
      </c>
      <c r="K879" s="37">
        <v>4</v>
      </c>
      <c r="L879" s="37">
        <v>4</v>
      </c>
      <c r="M879" s="37">
        <v>4</v>
      </c>
      <c r="N879" s="37">
        <v>4</v>
      </c>
      <c r="O879" s="37">
        <v>4</v>
      </c>
      <c r="P879" s="37">
        <v>4</v>
      </c>
      <c r="Q879" s="37">
        <v>9</v>
      </c>
      <c r="R879" s="37">
        <v>10</v>
      </c>
      <c r="S879" s="37">
        <v>10</v>
      </c>
      <c r="T879" s="37">
        <v>10</v>
      </c>
      <c r="U879" s="37">
        <v>10</v>
      </c>
      <c r="V879" s="37">
        <v>10</v>
      </c>
      <c r="W879" s="37">
        <v>10</v>
      </c>
      <c r="X879" s="37">
        <v>10</v>
      </c>
      <c r="Z879" s="37">
        <v>9</v>
      </c>
      <c r="AA879" s="37">
        <v>9</v>
      </c>
      <c r="AB879" s="37">
        <v>9</v>
      </c>
      <c r="AC879" s="37">
        <v>9</v>
      </c>
      <c r="AD879" s="37">
        <v>9</v>
      </c>
      <c r="AE879" s="37">
        <v>9</v>
      </c>
      <c r="AF879" s="37">
        <v>9</v>
      </c>
      <c r="AG879" s="37">
        <v>4</v>
      </c>
      <c r="AH879" s="37">
        <v>4</v>
      </c>
      <c r="AI879" s="37">
        <v>4</v>
      </c>
      <c r="AJ879" s="37">
        <v>4</v>
      </c>
      <c r="AK879" s="37">
        <v>4</v>
      </c>
      <c r="AL879" s="37">
        <v>4</v>
      </c>
      <c r="AM879" s="37">
        <v>10</v>
      </c>
      <c r="AN879" s="37">
        <v>10</v>
      </c>
      <c r="AO879" s="37">
        <v>10</v>
      </c>
      <c r="AP879" s="37">
        <v>10</v>
      </c>
      <c r="AQ879" s="37">
        <v>10</v>
      </c>
      <c r="AR879" s="37">
        <v>10</v>
      </c>
      <c r="AS879" s="37">
        <v>10</v>
      </c>
      <c r="AT879" s="37">
        <v>10</v>
      </c>
    </row>
    <row r="880" spans="3:46" s="37" customFormat="1" x14ac:dyDescent="0.25"/>
    <row r="881" spans="3:46" s="37" customFormat="1" x14ac:dyDescent="0.25">
      <c r="C881" s="37" t="s">
        <v>21</v>
      </c>
      <c r="D881" s="37">
        <v>15</v>
      </c>
      <c r="E881" s="37">
        <v>15</v>
      </c>
      <c r="F881" s="37">
        <v>15</v>
      </c>
      <c r="G881" s="37">
        <v>15</v>
      </c>
      <c r="H881" s="37">
        <v>15</v>
      </c>
      <c r="I881" s="37">
        <v>14</v>
      </c>
      <c r="J881" s="37">
        <v>13</v>
      </c>
      <c r="K881" s="37">
        <v>5</v>
      </c>
      <c r="L881" s="37">
        <v>5</v>
      </c>
      <c r="M881" s="37">
        <v>5</v>
      </c>
      <c r="N881" s="37">
        <v>5</v>
      </c>
      <c r="O881" s="37">
        <v>5</v>
      </c>
      <c r="P881" s="37">
        <v>5</v>
      </c>
      <c r="Q881" s="37">
        <v>9</v>
      </c>
      <c r="R881" s="37">
        <v>10</v>
      </c>
      <c r="S881" s="37">
        <v>11</v>
      </c>
      <c r="T881" s="37">
        <v>12</v>
      </c>
      <c r="U881" s="37">
        <v>12</v>
      </c>
      <c r="V881" s="37">
        <v>12</v>
      </c>
      <c r="W881" s="37">
        <v>12</v>
      </c>
      <c r="X881" s="37">
        <v>12</v>
      </c>
      <c r="Z881" s="37">
        <v>15</v>
      </c>
      <c r="AA881" s="37">
        <v>15</v>
      </c>
      <c r="AB881" s="37">
        <v>15</v>
      </c>
      <c r="AC881" s="37">
        <v>15</v>
      </c>
      <c r="AD881" s="37">
        <v>15</v>
      </c>
      <c r="AE881" s="37">
        <v>15</v>
      </c>
      <c r="AF881" s="37">
        <v>15</v>
      </c>
      <c r="AG881" s="37">
        <v>5</v>
      </c>
      <c r="AH881" s="37">
        <v>5</v>
      </c>
      <c r="AI881" s="37">
        <v>5</v>
      </c>
      <c r="AJ881" s="37">
        <v>5</v>
      </c>
      <c r="AK881" s="37">
        <v>5</v>
      </c>
      <c r="AL881" s="37">
        <v>5</v>
      </c>
      <c r="AM881" s="37">
        <v>13</v>
      </c>
      <c r="AN881" s="37">
        <v>13</v>
      </c>
      <c r="AO881" s="37">
        <v>13</v>
      </c>
      <c r="AP881" s="37">
        <v>13</v>
      </c>
      <c r="AQ881" s="37">
        <v>13</v>
      </c>
      <c r="AR881" s="37">
        <v>13</v>
      </c>
      <c r="AS881" s="37">
        <v>13</v>
      </c>
      <c r="AT881" s="37">
        <v>13</v>
      </c>
    </row>
    <row r="882" spans="3:46" s="37" customFormat="1" x14ac:dyDescent="0.25"/>
    <row r="883" spans="3:46" s="37" customFormat="1" x14ac:dyDescent="0.25">
      <c r="C883" s="37" t="s">
        <v>20</v>
      </c>
      <c r="D883" s="37">
        <v>10</v>
      </c>
      <c r="E883" s="37">
        <v>10</v>
      </c>
      <c r="F883" s="37">
        <v>10</v>
      </c>
      <c r="G883" s="37">
        <v>10</v>
      </c>
      <c r="H883" s="37">
        <v>10</v>
      </c>
      <c r="I883" s="37">
        <v>10</v>
      </c>
      <c r="J883" s="37">
        <v>10</v>
      </c>
      <c r="K883" s="37">
        <v>4</v>
      </c>
      <c r="L883" s="37">
        <v>4</v>
      </c>
      <c r="M883" s="37">
        <v>4</v>
      </c>
      <c r="N883" s="37">
        <v>4</v>
      </c>
      <c r="O883" s="37">
        <v>4</v>
      </c>
      <c r="P883" s="37">
        <v>4</v>
      </c>
      <c r="Q883" s="37">
        <v>8</v>
      </c>
      <c r="R883" s="37">
        <v>9</v>
      </c>
      <c r="S883" s="37">
        <v>10</v>
      </c>
      <c r="T883" s="37">
        <v>10</v>
      </c>
      <c r="U883" s="37">
        <v>10</v>
      </c>
      <c r="V883" s="37">
        <v>10</v>
      </c>
      <c r="W883" s="37">
        <v>10</v>
      </c>
      <c r="X883" s="37">
        <v>10</v>
      </c>
      <c r="Z883" s="37">
        <v>10</v>
      </c>
      <c r="AA883" s="37">
        <v>10</v>
      </c>
      <c r="AB883" s="37">
        <v>10</v>
      </c>
      <c r="AC883" s="37">
        <v>10</v>
      </c>
      <c r="AD883" s="37">
        <v>10</v>
      </c>
      <c r="AE883" s="37">
        <v>10</v>
      </c>
      <c r="AF883" s="37">
        <v>10</v>
      </c>
      <c r="AG883" s="37">
        <v>4</v>
      </c>
      <c r="AH883" s="37">
        <v>4</v>
      </c>
      <c r="AI883" s="37">
        <v>4</v>
      </c>
      <c r="AJ883" s="37">
        <v>4</v>
      </c>
      <c r="AK883" s="37">
        <v>4</v>
      </c>
      <c r="AL883" s="37">
        <v>4</v>
      </c>
      <c r="AM883" s="37">
        <v>10</v>
      </c>
      <c r="AN883" s="37">
        <v>10</v>
      </c>
      <c r="AO883" s="37">
        <v>10</v>
      </c>
      <c r="AP883" s="37">
        <v>10</v>
      </c>
      <c r="AQ883" s="37">
        <v>10</v>
      </c>
      <c r="AR883" s="37">
        <v>10</v>
      </c>
      <c r="AS883" s="37">
        <v>10</v>
      </c>
      <c r="AT883" s="37">
        <v>10</v>
      </c>
    </row>
    <row r="884" spans="3:46" s="37" customFormat="1" x14ac:dyDescent="0.25"/>
    <row r="885" spans="3:46" s="37" customFormat="1" x14ac:dyDescent="0.25">
      <c r="C885" s="37" t="s">
        <v>21</v>
      </c>
      <c r="D885" s="37">
        <v>13</v>
      </c>
      <c r="E885" s="37">
        <v>13</v>
      </c>
      <c r="F885" s="37">
        <v>13</v>
      </c>
      <c r="G885" s="37">
        <v>13</v>
      </c>
      <c r="H885" s="37">
        <v>12</v>
      </c>
      <c r="I885" s="37">
        <v>11</v>
      </c>
      <c r="J885" s="37">
        <v>10</v>
      </c>
      <c r="K885" s="37">
        <v>6</v>
      </c>
      <c r="L885" s="37">
        <v>6</v>
      </c>
      <c r="M885" s="37">
        <v>6</v>
      </c>
      <c r="N885" s="37">
        <v>6</v>
      </c>
      <c r="O885" s="37">
        <v>6</v>
      </c>
      <c r="P885" s="37">
        <v>6</v>
      </c>
      <c r="Q885" s="37">
        <v>8</v>
      </c>
      <c r="R885" s="37">
        <v>9</v>
      </c>
      <c r="S885" s="37">
        <v>10</v>
      </c>
      <c r="T885" s="37">
        <v>11</v>
      </c>
      <c r="U885" s="37">
        <v>12</v>
      </c>
      <c r="V885" s="37">
        <v>12</v>
      </c>
      <c r="W885" s="37">
        <v>12</v>
      </c>
      <c r="X885" s="37">
        <v>12</v>
      </c>
      <c r="Z885" s="37">
        <v>13</v>
      </c>
      <c r="AA885" s="37">
        <v>13</v>
      </c>
      <c r="AB885" s="37">
        <v>13</v>
      </c>
      <c r="AC885" s="37">
        <v>13</v>
      </c>
      <c r="AD885" s="37">
        <v>13</v>
      </c>
      <c r="AE885" s="37">
        <v>13</v>
      </c>
      <c r="AF885" s="37">
        <v>13</v>
      </c>
      <c r="AG885" s="37">
        <v>6</v>
      </c>
      <c r="AH885" s="37">
        <v>6</v>
      </c>
      <c r="AI885" s="37">
        <v>6</v>
      </c>
      <c r="AJ885" s="37">
        <v>6</v>
      </c>
      <c r="AK885" s="37">
        <v>6</v>
      </c>
      <c r="AL885" s="37">
        <v>6</v>
      </c>
      <c r="AM885" s="37">
        <v>13</v>
      </c>
      <c r="AN885" s="37">
        <v>13</v>
      </c>
      <c r="AO885" s="37">
        <v>13</v>
      </c>
      <c r="AP885" s="37">
        <v>13</v>
      </c>
      <c r="AQ885" s="37">
        <v>13</v>
      </c>
      <c r="AR885" s="37">
        <v>13</v>
      </c>
      <c r="AS885" s="37">
        <v>13</v>
      </c>
      <c r="AT885" s="37">
        <v>13</v>
      </c>
    </row>
    <row r="886" spans="3:46" s="37" customFormat="1" x14ac:dyDescent="0.25"/>
    <row r="887" spans="3:46" s="37" customFormat="1" x14ac:dyDescent="0.25">
      <c r="C887" s="37" t="s">
        <v>20</v>
      </c>
      <c r="D887" s="37">
        <v>10</v>
      </c>
      <c r="E887" s="37">
        <v>10</v>
      </c>
      <c r="F887" s="37">
        <v>10</v>
      </c>
      <c r="G887" s="37">
        <v>10</v>
      </c>
      <c r="H887" s="37">
        <v>10</v>
      </c>
      <c r="I887" s="37">
        <v>10</v>
      </c>
      <c r="J887" s="37">
        <v>10</v>
      </c>
      <c r="K887" s="37">
        <v>4</v>
      </c>
      <c r="L887" s="37">
        <v>4</v>
      </c>
      <c r="M887" s="37">
        <v>4</v>
      </c>
      <c r="N887" s="37">
        <v>4</v>
      </c>
      <c r="O887" s="37">
        <v>4</v>
      </c>
      <c r="P887" s="37">
        <v>4</v>
      </c>
      <c r="Q887" s="37">
        <v>7</v>
      </c>
      <c r="R887" s="37">
        <v>8</v>
      </c>
      <c r="S887" s="37">
        <v>9</v>
      </c>
      <c r="T887" s="37">
        <v>9</v>
      </c>
      <c r="U887" s="37">
        <v>9</v>
      </c>
      <c r="V887" s="37">
        <v>9</v>
      </c>
      <c r="W887" s="37">
        <v>9</v>
      </c>
      <c r="X887" s="37">
        <v>9</v>
      </c>
      <c r="Z887" s="37">
        <v>10</v>
      </c>
      <c r="AA887" s="37">
        <v>10</v>
      </c>
      <c r="AB887" s="37">
        <v>10</v>
      </c>
      <c r="AC887" s="37">
        <v>10</v>
      </c>
      <c r="AD887" s="37">
        <v>10</v>
      </c>
      <c r="AE887" s="37">
        <v>10</v>
      </c>
      <c r="AF887" s="37">
        <v>10</v>
      </c>
      <c r="AG887" s="37">
        <v>4</v>
      </c>
      <c r="AH887" s="37">
        <v>4</v>
      </c>
      <c r="AI887" s="37">
        <v>4</v>
      </c>
      <c r="AJ887" s="37">
        <v>4</v>
      </c>
      <c r="AK887" s="37">
        <v>4</v>
      </c>
      <c r="AL887" s="37">
        <v>4</v>
      </c>
      <c r="AM887" s="37">
        <v>9</v>
      </c>
      <c r="AN887" s="37">
        <v>9</v>
      </c>
      <c r="AO887" s="37">
        <v>9</v>
      </c>
      <c r="AP887" s="37">
        <v>9</v>
      </c>
      <c r="AQ887" s="37">
        <v>9</v>
      </c>
      <c r="AR887" s="37">
        <v>9</v>
      </c>
      <c r="AS887" s="37">
        <v>9</v>
      </c>
      <c r="AT887" s="37">
        <v>9</v>
      </c>
    </row>
    <row r="888" spans="3:46" s="37" customFormat="1" x14ac:dyDescent="0.25"/>
    <row r="889" spans="3:46" s="37" customFormat="1" x14ac:dyDescent="0.25">
      <c r="C889" s="37" t="s">
        <v>21</v>
      </c>
      <c r="D889" s="37">
        <v>13</v>
      </c>
      <c r="E889" s="37">
        <v>13</v>
      </c>
      <c r="F889" s="37">
        <v>13</v>
      </c>
      <c r="G889" s="37">
        <v>13</v>
      </c>
      <c r="H889" s="37">
        <v>12</v>
      </c>
      <c r="I889" s="37">
        <v>11</v>
      </c>
      <c r="J889" s="37">
        <v>10</v>
      </c>
      <c r="K889" s="37">
        <v>6</v>
      </c>
      <c r="L889" s="37">
        <v>6</v>
      </c>
      <c r="M889" s="37">
        <v>6</v>
      </c>
      <c r="N889" s="37">
        <v>6</v>
      </c>
      <c r="O889" s="37">
        <v>6</v>
      </c>
      <c r="P889" s="37">
        <v>6</v>
      </c>
      <c r="Q889" s="37">
        <v>8</v>
      </c>
      <c r="R889" s="37">
        <v>9</v>
      </c>
      <c r="S889" s="37">
        <v>11</v>
      </c>
      <c r="T889" s="37">
        <v>12</v>
      </c>
      <c r="U889" s="37">
        <v>13</v>
      </c>
      <c r="V889" s="37">
        <v>13</v>
      </c>
      <c r="W889" s="37">
        <v>13</v>
      </c>
      <c r="X889" s="37">
        <v>13</v>
      </c>
      <c r="Z889" s="37">
        <v>13</v>
      </c>
      <c r="AA889" s="37">
        <v>13</v>
      </c>
      <c r="AB889" s="37">
        <v>13</v>
      </c>
      <c r="AC889" s="37">
        <v>13</v>
      </c>
      <c r="AD889" s="37">
        <v>13</v>
      </c>
      <c r="AE889" s="37">
        <v>13</v>
      </c>
      <c r="AF889" s="37">
        <v>13</v>
      </c>
      <c r="AG889" s="37">
        <v>6</v>
      </c>
      <c r="AH889" s="37">
        <v>6</v>
      </c>
      <c r="AI889" s="37">
        <v>6</v>
      </c>
      <c r="AJ889" s="37">
        <v>6</v>
      </c>
      <c r="AK889" s="37">
        <v>6</v>
      </c>
      <c r="AL889" s="37">
        <v>6</v>
      </c>
      <c r="AM889" s="37">
        <v>14</v>
      </c>
      <c r="AN889" s="37">
        <v>14</v>
      </c>
      <c r="AO889" s="37">
        <v>14</v>
      </c>
      <c r="AP889" s="37">
        <v>14</v>
      </c>
      <c r="AQ889" s="37">
        <v>14</v>
      </c>
      <c r="AR889" s="37">
        <v>14</v>
      </c>
      <c r="AS889" s="37">
        <v>14</v>
      </c>
      <c r="AT889" s="37">
        <v>14</v>
      </c>
    </row>
    <row r="890" spans="3:46" s="37" customFormat="1" x14ac:dyDescent="0.25"/>
    <row r="891" spans="3:46" s="37" customFormat="1" x14ac:dyDescent="0.25">
      <c r="C891" s="37" t="s">
        <v>20</v>
      </c>
      <c r="D891" s="37">
        <v>12</v>
      </c>
      <c r="E891" s="37">
        <v>12</v>
      </c>
      <c r="F891" s="37">
        <v>12</v>
      </c>
      <c r="G891" s="37">
        <v>12</v>
      </c>
      <c r="H891" s="37">
        <v>12</v>
      </c>
      <c r="I891" s="37">
        <v>12</v>
      </c>
      <c r="J891" s="37">
        <v>11</v>
      </c>
      <c r="K891" s="37">
        <v>4</v>
      </c>
      <c r="L891" s="37">
        <v>4</v>
      </c>
      <c r="M891" s="37">
        <v>4</v>
      </c>
      <c r="N891" s="37">
        <v>4</v>
      </c>
      <c r="O891" s="37">
        <v>4</v>
      </c>
      <c r="P891" s="37">
        <v>4</v>
      </c>
      <c r="Q891" s="37">
        <v>8</v>
      </c>
      <c r="R891" s="37">
        <v>9</v>
      </c>
      <c r="S891" s="37">
        <v>10</v>
      </c>
      <c r="T891" s="37">
        <v>10</v>
      </c>
      <c r="U891" s="37">
        <v>10</v>
      </c>
      <c r="V891" s="37">
        <v>10</v>
      </c>
      <c r="W891" s="37">
        <v>10</v>
      </c>
      <c r="X891" s="37">
        <v>10</v>
      </c>
      <c r="Z891" s="37">
        <v>12</v>
      </c>
      <c r="AA891" s="37">
        <v>12</v>
      </c>
      <c r="AB891" s="37">
        <v>12</v>
      </c>
      <c r="AC891" s="37">
        <v>12</v>
      </c>
      <c r="AD891" s="37">
        <v>12</v>
      </c>
      <c r="AE891" s="37">
        <v>12</v>
      </c>
      <c r="AF891" s="37">
        <v>12</v>
      </c>
      <c r="AG891" s="37">
        <v>4</v>
      </c>
      <c r="AH891" s="37">
        <v>4</v>
      </c>
      <c r="AI891" s="37">
        <v>4</v>
      </c>
      <c r="AJ891" s="37">
        <v>4</v>
      </c>
      <c r="AK891" s="37">
        <v>4</v>
      </c>
      <c r="AL891" s="37">
        <v>4</v>
      </c>
      <c r="AM891" s="37">
        <v>10</v>
      </c>
      <c r="AN891" s="37">
        <v>10</v>
      </c>
      <c r="AO891" s="37">
        <v>10</v>
      </c>
      <c r="AP891" s="37">
        <v>10</v>
      </c>
      <c r="AQ891" s="37">
        <v>10</v>
      </c>
      <c r="AR891" s="37">
        <v>10</v>
      </c>
      <c r="AS891" s="37">
        <v>10</v>
      </c>
      <c r="AT891" s="37">
        <v>10</v>
      </c>
    </row>
    <row r="892" spans="3:46" s="37" customFormat="1" x14ac:dyDescent="0.25"/>
    <row r="893" spans="3:46" s="37" customFormat="1" x14ac:dyDescent="0.25">
      <c r="C893" s="37" t="s">
        <v>21</v>
      </c>
      <c r="D893" s="37">
        <v>15</v>
      </c>
      <c r="E893" s="37">
        <v>15</v>
      </c>
      <c r="F893" s="37">
        <v>15</v>
      </c>
      <c r="G893" s="37">
        <v>15</v>
      </c>
      <c r="H893" s="37">
        <v>14</v>
      </c>
      <c r="I893" s="37">
        <v>13</v>
      </c>
      <c r="J893" s="37">
        <v>11</v>
      </c>
      <c r="K893" s="37">
        <v>5</v>
      </c>
      <c r="L893" s="37">
        <v>5</v>
      </c>
      <c r="M893" s="37">
        <v>5</v>
      </c>
      <c r="N893" s="37">
        <v>5</v>
      </c>
      <c r="O893" s="37">
        <v>5</v>
      </c>
      <c r="P893" s="37">
        <v>5</v>
      </c>
      <c r="Q893" s="37">
        <v>9</v>
      </c>
      <c r="R893" s="37">
        <v>11</v>
      </c>
      <c r="S893" s="37">
        <v>12</v>
      </c>
      <c r="T893" s="37">
        <v>14</v>
      </c>
      <c r="U893" s="37">
        <v>15</v>
      </c>
      <c r="V893" s="37">
        <v>15</v>
      </c>
      <c r="W893" s="37">
        <v>15</v>
      </c>
      <c r="X893" s="37">
        <v>15</v>
      </c>
      <c r="Z893" s="37">
        <v>15</v>
      </c>
      <c r="AA893" s="37">
        <v>15</v>
      </c>
      <c r="AB893" s="37">
        <v>15</v>
      </c>
      <c r="AC893" s="37">
        <v>15</v>
      </c>
      <c r="AD893" s="37">
        <v>15</v>
      </c>
      <c r="AE893" s="37">
        <v>15</v>
      </c>
      <c r="AF893" s="37">
        <v>15</v>
      </c>
      <c r="AG893" s="37">
        <v>5</v>
      </c>
      <c r="AH893" s="37">
        <v>5</v>
      </c>
      <c r="AI893" s="37">
        <v>5</v>
      </c>
      <c r="AJ893" s="37">
        <v>5</v>
      </c>
      <c r="AK893" s="37">
        <v>5</v>
      </c>
      <c r="AL893" s="37">
        <v>5</v>
      </c>
      <c r="AM893" s="37">
        <v>16</v>
      </c>
      <c r="AN893" s="37">
        <v>16</v>
      </c>
      <c r="AO893" s="37">
        <v>16</v>
      </c>
      <c r="AP893" s="37">
        <v>16</v>
      </c>
      <c r="AQ893" s="37">
        <v>16</v>
      </c>
      <c r="AR893" s="37">
        <v>16</v>
      </c>
      <c r="AS893" s="37">
        <v>16</v>
      </c>
      <c r="AT893" s="37">
        <v>16</v>
      </c>
    </row>
    <row r="894" spans="3:46" s="37" customFormat="1" x14ac:dyDescent="0.25"/>
    <row r="895" spans="3:46" s="37" customFormat="1" x14ac:dyDescent="0.25">
      <c r="C895" s="37" t="s">
        <v>20</v>
      </c>
      <c r="D895" s="37">
        <v>12</v>
      </c>
      <c r="E895" s="37">
        <v>12</v>
      </c>
      <c r="F895" s="37">
        <v>12</v>
      </c>
      <c r="G895" s="37">
        <v>12</v>
      </c>
      <c r="H895" s="37">
        <v>12</v>
      </c>
      <c r="I895" s="37">
        <v>12</v>
      </c>
      <c r="J895" s="37">
        <v>11</v>
      </c>
      <c r="K895" s="37">
        <v>4</v>
      </c>
      <c r="L895" s="37">
        <v>4</v>
      </c>
      <c r="M895" s="37">
        <v>4</v>
      </c>
      <c r="N895" s="37">
        <v>4</v>
      </c>
      <c r="O895" s="37">
        <v>4</v>
      </c>
      <c r="P895" s="37">
        <v>4</v>
      </c>
      <c r="Q895" s="37">
        <v>8</v>
      </c>
      <c r="R895" s="37">
        <v>9</v>
      </c>
      <c r="S895" s="37">
        <v>10</v>
      </c>
      <c r="T895" s="37">
        <v>10</v>
      </c>
      <c r="U895" s="37">
        <v>10</v>
      </c>
      <c r="V895" s="37">
        <v>10</v>
      </c>
      <c r="W895" s="37">
        <v>10</v>
      </c>
      <c r="X895" s="37">
        <v>10</v>
      </c>
      <c r="Z895" s="37">
        <v>12</v>
      </c>
      <c r="AA895" s="37">
        <v>12</v>
      </c>
      <c r="AB895" s="37">
        <v>12</v>
      </c>
      <c r="AC895" s="37">
        <v>12</v>
      </c>
      <c r="AD895" s="37">
        <v>12</v>
      </c>
      <c r="AE895" s="37">
        <v>12</v>
      </c>
      <c r="AF895" s="37">
        <v>12</v>
      </c>
      <c r="AG895" s="37">
        <v>4</v>
      </c>
      <c r="AH895" s="37">
        <v>4</v>
      </c>
      <c r="AI895" s="37">
        <v>4</v>
      </c>
      <c r="AJ895" s="37">
        <v>4</v>
      </c>
      <c r="AK895" s="37">
        <v>4</v>
      </c>
      <c r="AL895" s="37">
        <v>4</v>
      </c>
      <c r="AM895" s="37">
        <v>11</v>
      </c>
      <c r="AN895" s="37">
        <v>11</v>
      </c>
      <c r="AO895" s="37">
        <v>11</v>
      </c>
      <c r="AP895" s="37">
        <v>11</v>
      </c>
      <c r="AQ895" s="37">
        <v>11</v>
      </c>
      <c r="AR895" s="37">
        <v>11</v>
      </c>
      <c r="AS895" s="37">
        <v>11</v>
      </c>
      <c r="AT895" s="37">
        <v>11</v>
      </c>
    </row>
    <row r="896" spans="3:46" s="37" customFormat="1" x14ac:dyDescent="0.25"/>
    <row r="897" spans="3:46" s="37" customFormat="1" x14ac:dyDescent="0.25">
      <c r="C897" s="37" t="s">
        <v>21</v>
      </c>
      <c r="D897" s="37">
        <v>15</v>
      </c>
      <c r="E897" s="37">
        <v>15</v>
      </c>
      <c r="F897" s="37">
        <v>15</v>
      </c>
      <c r="G897" s="37">
        <v>15</v>
      </c>
      <c r="H897" s="37">
        <v>14</v>
      </c>
      <c r="I897" s="37">
        <v>13</v>
      </c>
      <c r="J897" s="37">
        <v>11</v>
      </c>
      <c r="K897" s="37">
        <v>5</v>
      </c>
      <c r="L897" s="37">
        <v>5</v>
      </c>
      <c r="M897" s="37">
        <v>5</v>
      </c>
      <c r="N897" s="37">
        <v>5</v>
      </c>
      <c r="O897" s="37">
        <v>5</v>
      </c>
      <c r="P897" s="37">
        <v>5</v>
      </c>
      <c r="Q897" s="37">
        <v>9</v>
      </c>
      <c r="R897" s="37">
        <v>11</v>
      </c>
      <c r="S897" s="37">
        <v>12</v>
      </c>
      <c r="T897" s="37">
        <v>14</v>
      </c>
      <c r="U897" s="37">
        <v>15</v>
      </c>
      <c r="V897" s="37">
        <v>15</v>
      </c>
      <c r="W897" s="37">
        <v>15</v>
      </c>
      <c r="X897" s="37">
        <v>15</v>
      </c>
      <c r="Z897" s="37">
        <v>15</v>
      </c>
      <c r="AA897" s="37">
        <v>15</v>
      </c>
      <c r="AB897" s="37">
        <v>15</v>
      </c>
      <c r="AC897" s="37">
        <v>15</v>
      </c>
      <c r="AD897" s="37">
        <v>15</v>
      </c>
      <c r="AE897" s="37">
        <v>15</v>
      </c>
      <c r="AF897" s="37">
        <v>15</v>
      </c>
      <c r="AG897" s="37">
        <v>5</v>
      </c>
      <c r="AH897" s="37">
        <v>5</v>
      </c>
      <c r="AI897" s="37">
        <v>5</v>
      </c>
      <c r="AJ897" s="37">
        <v>5</v>
      </c>
      <c r="AK897" s="37">
        <v>5</v>
      </c>
      <c r="AL897" s="37">
        <v>5</v>
      </c>
      <c r="AM897" s="37">
        <v>16</v>
      </c>
      <c r="AN897" s="37">
        <v>16</v>
      </c>
      <c r="AO897" s="37">
        <v>16</v>
      </c>
      <c r="AP897" s="37">
        <v>16</v>
      </c>
      <c r="AQ897" s="37">
        <v>16</v>
      </c>
      <c r="AR897" s="37">
        <v>16</v>
      </c>
      <c r="AS897" s="37">
        <v>16</v>
      </c>
      <c r="AT897" s="37">
        <v>16</v>
      </c>
    </row>
    <row r="898" spans="3:46" s="37" customFormat="1" x14ac:dyDescent="0.25"/>
    <row r="899" spans="3:46" s="37" customFormat="1" x14ac:dyDescent="0.25">
      <c r="C899" s="37" t="s">
        <v>20</v>
      </c>
      <c r="D899" s="37">
        <v>9</v>
      </c>
      <c r="E899" s="37">
        <v>9</v>
      </c>
      <c r="F899" s="37">
        <v>9</v>
      </c>
      <c r="G899" s="37">
        <v>9</v>
      </c>
      <c r="H899" s="37">
        <v>9</v>
      </c>
      <c r="I899" s="37">
        <v>9</v>
      </c>
      <c r="J899" s="37">
        <v>9</v>
      </c>
      <c r="K899" s="37">
        <v>3</v>
      </c>
      <c r="L899" s="37">
        <v>3</v>
      </c>
      <c r="M899" s="37">
        <v>3</v>
      </c>
      <c r="N899" s="37">
        <v>3</v>
      </c>
      <c r="O899" s="37">
        <v>3</v>
      </c>
      <c r="P899" s="37">
        <v>3</v>
      </c>
      <c r="Q899" s="37">
        <v>6</v>
      </c>
      <c r="R899" s="37">
        <v>6</v>
      </c>
      <c r="S899" s="37">
        <v>7</v>
      </c>
      <c r="T899" s="37">
        <v>7</v>
      </c>
      <c r="U899" s="37">
        <v>7</v>
      </c>
      <c r="V899" s="37">
        <v>7</v>
      </c>
      <c r="W899" s="37">
        <v>7</v>
      </c>
      <c r="X899" s="37">
        <v>7</v>
      </c>
      <c r="Z899" s="37">
        <v>9</v>
      </c>
      <c r="AA899" s="37">
        <v>9</v>
      </c>
      <c r="AB899" s="37">
        <v>9</v>
      </c>
      <c r="AC899" s="37">
        <v>9</v>
      </c>
      <c r="AD899" s="37">
        <v>9</v>
      </c>
      <c r="AE899" s="37">
        <v>9</v>
      </c>
      <c r="AF899" s="37">
        <v>9</v>
      </c>
      <c r="AG899" s="37">
        <v>3</v>
      </c>
      <c r="AH899" s="37">
        <v>3</v>
      </c>
      <c r="AI899" s="37">
        <v>3</v>
      </c>
      <c r="AJ899" s="37">
        <v>3</v>
      </c>
      <c r="AK899" s="37">
        <v>3</v>
      </c>
      <c r="AL899" s="37">
        <v>3</v>
      </c>
      <c r="AM899" s="37">
        <v>7</v>
      </c>
      <c r="AN899" s="37">
        <v>7</v>
      </c>
      <c r="AO899" s="37">
        <v>7</v>
      </c>
      <c r="AP899" s="37">
        <v>7</v>
      </c>
      <c r="AQ899" s="37">
        <v>7</v>
      </c>
      <c r="AR899" s="37">
        <v>7</v>
      </c>
      <c r="AS899" s="37">
        <v>7</v>
      </c>
      <c r="AT899" s="37">
        <v>7</v>
      </c>
    </row>
    <row r="900" spans="3:46" s="37" customFormat="1" x14ac:dyDescent="0.25"/>
    <row r="901" spans="3:46" s="37" customFormat="1" x14ac:dyDescent="0.25">
      <c r="C901" s="37" t="s">
        <v>21</v>
      </c>
      <c r="D901" s="37">
        <v>10</v>
      </c>
      <c r="E901" s="37">
        <v>10</v>
      </c>
      <c r="F901" s="37">
        <v>10</v>
      </c>
      <c r="G901" s="37">
        <v>10</v>
      </c>
      <c r="H901" s="37">
        <v>10</v>
      </c>
      <c r="I901" s="37">
        <v>9</v>
      </c>
      <c r="J901" s="37">
        <v>8</v>
      </c>
      <c r="K901" s="37">
        <v>4</v>
      </c>
      <c r="L901" s="37">
        <v>4</v>
      </c>
      <c r="M901" s="37">
        <v>4</v>
      </c>
      <c r="N901" s="37">
        <v>4</v>
      </c>
      <c r="O901" s="37">
        <v>4</v>
      </c>
      <c r="P901" s="37">
        <v>4</v>
      </c>
      <c r="Q901" s="37">
        <v>7</v>
      </c>
      <c r="R901" s="37">
        <v>8</v>
      </c>
      <c r="S901" s="37">
        <v>9</v>
      </c>
      <c r="T901" s="37">
        <v>10</v>
      </c>
      <c r="U901" s="37">
        <v>11</v>
      </c>
      <c r="V901" s="37">
        <v>11</v>
      </c>
      <c r="W901" s="37">
        <v>11</v>
      </c>
      <c r="X901" s="37">
        <v>11</v>
      </c>
      <c r="Z901" s="37">
        <v>10</v>
      </c>
      <c r="AA901" s="37">
        <v>10</v>
      </c>
      <c r="AB901" s="37">
        <v>10</v>
      </c>
      <c r="AC901" s="37">
        <v>10</v>
      </c>
      <c r="AD901" s="37">
        <v>10</v>
      </c>
      <c r="AE901" s="37">
        <v>10</v>
      </c>
      <c r="AF901" s="37">
        <v>10</v>
      </c>
      <c r="AG901" s="37">
        <v>4</v>
      </c>
      <c r="AH901" s="37">
        <v>4</v>
      </c>
      <c r="AI901" s="37">
        <v>4</v>
      </c>
      <c r="AJ901" s="37">
        <v>4</v>
      </c>
      <c r="AK901" s="37">
        <v>4</v>
      </c>
      <c r="AL901" s="37">
        <v>4</v>
      </c>
      <c r="AM901" s="37">
        <v>12</v>
      </c>
      <c r="AN901" s="37">
        <v>12</v>
      </c>
      <c r="AO901" s="37">
        <v>12</v>
      </c>
      <c r="AP901" s="37">
        <v>12</v>
      </c>
      <c r="AQ901" s="37">
        <v>12</v>
      </c>
      <c r="AR901" s="37">
        <v>12</v>
      </c>
      <c r="AS901" s="37">
        <v>12</v>
      </c>
      <c r="AT901" s="37">
        <v>12</v>
      </c>
    </row>
    <row r="902" spans="3:46" s="37" customFormat="1" x14ac:dyDescent="0.25"/>
    <row r="903" spans="3:46" s="37" customFormat="1" x14ac:dyDescent="0.25">
      <c r="C903" s="37" t="s">
        <v>20</v>
      </c>
      <c r="D903" s="37">
        <v>7</v>
      </c>
      <c r="E903" s="37">
        <v>7</v>
      </c>
      <c r="F903" s="37">
        <v>7</v>
      </c>
      <c r="G903" s="37">
        <v>7</v>
      </c>
      <c r="H903" s="37">
        <v>6</v>
      </c>
      <c r="I903" s="37">
        <v>6</v>
      </c>
      <c r="J903" s="37">
        <v>5</v>
      </c>
      <c r="K903" s="37">
        <v>3</v>
      </c>
      <c r="L903" s="37">
        <v>3</v>
      </c>
      <c r="M903" s="37">
        <v>3</v>
      </c>
      <c r="N903" s="37">
        <v>2</v>
      </c>
      <c r="O903" s="37">
        <v>3</v>
      </c>
      <c r="P903" s="37">
        <v>3</v>
      </c>
      <c r="Q903" s="37">
        <v>5</v>
      </c>
      <c r="R903" s="37">
        <v>6</v>
      </c>
      <c r="S903" s="37">
        <v>7</v>
      </c>
      <c r="T903" s="37">
        <v>8</v>
      </c>
      <c r="U903" s="37">
        <v>9</v>
      </c>
      <c r="V903" s="37">
        <v>9</v>
      </c>
      <c r="W903" s="37">
        <v>9</v>
      </c>
      <c r="X903" s="37">
        <v>9</v>
      </c>
      <c r="Z903" s="37">
        <v>7</v>
      </c>
      <c r="AA903" s="37">
        <v>7</v>
      </c>
      <c r="AB903" s="37">
        <v>7</v>
      </c>
      <c r="AC903" s="37">
        <v>7</v>
      </c>
      <c r="AD903" s="37">
        <v>7</v>
      </c>
      <c r="AE903" s="37">
        <v>7</v>
      </c>
      <c r="AF903" s="37">
        <v>7</v>
      </c>
      <c r="AG903" s="37">
        <v>3</v>
      </c>
      <c r="AH903" s="37">
        <v>3</v>
      </c>
      <c r="AI903" s="37">
        <v>3</v>
      </c>
      <c r="AJ903" s="37">
        <v>3</v>
      </c>
      <c r="AK903" s="37">
        <v>3</v>
      </c>
      <c r="AL903" s="37">
        <v>3</v>
      </c>
      <c r="AM903" s="37">
        <v>9</v>
      </c>
      <c r="AN903" s="37">
        <v>9</v>
      </c>
      <c r="AO903" s="37">
        <v>9</v>
      </c>
      <c r="AP903" s="37">
        <v>9</v>
      </c>
      <c r="AQ903" s="37">
        <v>9</v>
      </c>
      <c r="AR903" s="37">
        <v>9</v>
      </c>
      <c r="AS903" s="37">
        <v>9</v>
      </c>
      <c r="AT903" s="37">
        <v>9</v>
      </c>
    </row>
    <row r="904" spans="3:46" s="37" customFormat="1" x14ac:dyDescent="0.25"/>
    <row r="905" spans="3:46" s="37" customFormat="1" x14ac:dyDescent="0.25">
      <c r="C905" s="37" t="s">
        <v>21</v>
      </c>
      <c r="D905" s="37">
        <v>7</v>
      </c>
      <c r="E905" s="37">
        <v>7</v>
      </c>
      <c r="F905" s="37">
        <v>7</v>
      </c>
      <c r="G905" s="37">
        <v>7</v>
      </c>
      <c r="H905" s="37">
        <v>6</v>
      </c>
      <c r="I905" s="37">
        <v>6</v>
      </c>
      <c r="J905" s="37">
        <v>5</v>
      </c>
      <c r="K905" s="37">
        <v>5</v>
      </c>
      <c r="L905" s="37">
        <v>5</v>
      </c>
      <c r="M905" s="37">
        <v>5</v>
      </c>
      <c r="N905" s="37">
        <v>5</v>
      </c>
      <c r="O905" s="37">
        <v>5</v>
      </c>
      <c r="P905" s="37">
        <v>5</v>
      </c>
      <c r="Q905" s="37">
        <v>5</v>
      </c>
      <c r="R905" s="37">
        <v>5</v>
      </c>
      <c r="S905" s="37">
        <v>5</v>
      </c>
      <c r="T905" s="37">
        <v>6</v>
      </c>
      <c r="U905" s="37">
        <v>6</v>
      </c>
      <c r="V905" s="37">
        <v>7</v>
      </c>
      <c r="W905" s="37">
        <v>7</v>
      </c>
      <c r="X905" s="37">
        <v>7</v>
      </c>
      <c r="Z905" s="37">
        <v>7</v>
      </c>
      <c r="AA905" s="37">
        <v>7</v>
      </c>
      <c r="AB905" s="37">
        <v>7</v>
      </c>
      <c r="AC905" s="37">
        <v>7</v>
      </c>
      <c r="AD905" s="37">
        <v>7</v>
      </c>
      <c r="AE905" s="37">
        <v>7</v>
      </c>
      <c r="AF905" s="37">
        <v>7</v>
      </c>
      <c r="AG905" s="37">
        <v>5</v>
      </c>
      <c r="AH905" s="37">
        <v>5</v>
      </c>
      <c r="AI905" s="37">
        <v>5</v>
      </c>
      <c r="AJ905" s="37">
        <v>5</v>
      </c>
      <c r="AK905" s="37">
        <v>5</v>
      </c>
      <c r="AL905" s="37">
        <v>5</v>
      </c>
      <c r="AM905" s="37">
        <v>7</v>
      </c>
      <c r="AN905" s="37">
        <v>7</v>
      </c>
      <c r="AO905" s="37">
        <v>7</v>
      </c>
      <c r="AP905" s="37">
        <v>7</v>
      </c>
      <c r="AQ905" s="37">
        <v>7</v>
      </c>
      <c r="AR905" s="37">
        <v>7</v>
      </c>
      <c r="AS905" s="37">
        <v>7</v>
      </c>
      <c r="AT905" s="37">
        <v>7</v>
      </c>
    </row>
    <row r="906" spans="3:46" s="37" customFormat="1" x14ac:dyDescent="0.25"/>
    <row r="907" spans="3:46" s="37" customFormat="1" x14ac:dyDescent="0.25">
      <c r="C907" s="37" t="s">
        <v>20</v>
      </c>
      <c r="D907" s="37">
        <v>9</v>
      </c>
      <c r="E907" s="37">
        <v>9</v>
      </c>
      <c r="F907" s="37">
        <v>9</v>
      </c>
      <c r="G907" s="37">
        <v>9</v>
      </c>
      <c r="H907" s="37">
        <v>9</v>
      </c>
      <c r="I907" s="37">
        <v>9</v>
      </c>
      <c r="J907" s="37">
        <v>9</v>
      </c>
      <c r="K907" s="37">
        <v>4</v>
      </c>
      <c r="L907" s="37">
        <v>4</v>
      </c>
      <c r="M907" s="37">
        <v>4</v>
      </c>
      <c r="N907" s="37">
        <v>4</v>
      </c>
      <c r="O907" s="37">
        <v>4</v>
      </c>
      <c r="P907" s="37">
        <v>4</v>
      </c>
      <c r="Q907" s="37">
        <v>9</v>
      </c>
      <c r="R907" s="37">
        <v>10</v>
      </c>
      <c r="S907" s="37">
        <v>10</v>
      </c>
      <c r="T907" s="37">
        <v>10</v>
      </c>
      <c r="U907" s="37">
        <v>10</v>
      </c>
      <c r="V907" s="37">
        <v>10</v>
      </c>
      <c r="W907" s="37">
        <v>10</v>
      </c>
      <c r="X907" s="37">
        <v>10</v>
      </c>
      <c r="Z907" s="37">
        <v>9</v>
      </c>
      <c r="AA907" s="37">
        <v>9</v>
      </c>
      <c r="AB907" s="37">
        <v>9</v>
      </c>
      <c r="AC907" s="37">
        <v>9</v>
      </c>
      <c r="AD907" s="37">
        <v>9</v>
      </c>
      <c r="AE907" s="37">
        <v>9</v>
      </c>
      <c r="AF907" s="37">
        <v>9</v>
      </c>
      <c r="AG907" s="37">
        <v>4</v>
      </c>
      <c r="AH907" s="37">
        <v>4</v>
      </c>
      <c r="AI907" s="37">
        <v>4</v>
      </c>
      <c r="AJ907" s="37">
        <v>4</v>
      </c>
      <c r="AK907" s="37">
        <v>4</v>
      </c>
      <c r="AL907" s="37">
        <v>4</v>
      </c>
      <c r="AM907" s="37">
        <v>10</v>
      </c>
      <c r="AN907" s="37">
        <v>10</v>
      </c>
      <c r="AO907" s="37">
        <v>10</v>
      </c>
      <c r="AP907" s="37">
        <v>10</v>
      </c>
      <c r="AQ907" s="37">
        <v>10</v>
      </c>
      <c r="AR907" s="37">
        <v>10</v>
      </c>
      <c r="AS907" s="37">
        <v>10</v>
      </c>
      <c r="AT907" s="37">
        <v>10</v>
      </c>
    </row>
    <row r="908" spans="3:46" s="37" customFormat="1" x14ac:dyDescent="0.25"/>
    <row r="909" spans="3:46" s="37" customFormat="1" x14ac:dyDescent="0.25">
      <c r="C909" s="37" t="s">
        <v>21</v>
      </c>
      <c r="D909" s="37">
        <v>14</v>
      </c>
      <c r="E909" s="37">
        <v>14</v>
      </c>
      <c r="F909" s="37">
        <v>14</v>
      </c>
      <c r="G909" s="37">
        <v>14</v>
      </c>
      <c r="H909" s="37">
        <v>14</v>
      </c>
      <c r="I909" s="37">
        <v>13</v>
      </c>
      <c r="J909" s="37">
        <v>12</v>
      </c>
      <c r="K909" s="37">
        <v>6</v>
      </c>
      <c r="L909" s="37">
        <v>6</v>
      </c>
      <c r="M909" s="37">
        <v>6</v>
      </c>
      <c r="N909" s="37">
        <v>6</v>
      </c>
      <c r="O909" s="37">
        <v>6</v>
      </c>
      <c r="P909" s="37">
        <v>6</v>
      </c>
      <c r="Q909" s="37">
        <v>9</v>
      </c>
      <c r="R909" s="37">
        <v>11</v>
      </c>
      <c r="S909" s="37">
        <v>12</v>
      </c>
      <c r="T909" s="37">
        <v>13</v>
      </c>
      <c r="U909" s="37">
        <v>13</v>
      </c>
      <c r="V909" s="37">
        <v>13</v>
      </c>
      <c r="W909" s="37">
        <v>13</v>
      </c>
      <c r="X909" s="37">
        <v>13</v>
      </c>
      <c r="Z909" s="37">
        <v>14</v>
      </c>
      <c r="AA909" s="37">
        <v>14</v>
      </c>
      <c r="AB909" s="37">
        <v>14</v>
      </c>
      <c r="AC909" s="37">
        <v>14</v>
      </c>
      <c r="AD909" s="37">
        <v>14</v>
      </c>
      <c r="AE909" s="37">
        <v>14</v>
      </c>
      <c r="AF909" s="37">
        <v>14</v>
      </c>
      <c r="AG909" s="37">
        <v>6</v>
      </c>
      <c r="AH909" s="37">
        <v>6</v>
      </c>
      <c r="AI909" s="37">
        <v>6</v>
      </c>
      <c r="AJ909" s="37">
        <v>6</v>
      </c>
      <c r="AK909" s="37">
        <v>6</v>
      </c>
      <c r="AL909" s="37">
        <v>6</v>
      </c>
      <c r="AM909" s="37">
        <v>14</v>
      </c>
      <c r="AN909" s="37">
        <v>14</v>
      </c>
      <c r="AO909" s="37">
        <v>14</v>
      </c>
      <c r="AP909" s="37">
        <v>14</v>
      </c>
      <c r="AQ909" s="37">
        <v>14</v>
      </c>
      <c r="AR909" s="37">
        <v>14</v>
      </c>
      <c r="AS909" s="37">
        <v>14</v>
      </c>
      <c r="AT909" s="37">
        <v>14</v>
      </c>
    </row>
    <row r="910" spans="3:46" s="37" customFormat="1" x14ac:dyDescent="0.25"/>
    <row r="911" spans="3:46" s="37" customFormat="1" x14ac:dyDescent="0.25">
      <c r="C911" s="37" t="s">
        <v>20</v>
      </c>
      <c r="D911" s="37">
        <v>8</v>
      </c>
      <c r="E911" s="37">
        <v>8</v>
      </c>
      <c r="F911" s="37">
        <v>8</v>
      </c>
      <c r="G911" s="37">
        <v>8</v>
      </c>
      <c r="H911" s="37">
        <v>8</v>
      </c>
      <c r="I911" s="37">
        <v>8</v>
      </c>
      <c r="J911" s="37">
        <v>8</v>
      </c>
      <c r="K911" s="37">
        <v>4</v>
      </c>
      <c r="L911" s="37">
        <v>4</v>
      </c>
      <c r="M911" s="37">
        <v>4</v>
      </c>
      <c r="N911" s="37">
        <v>4</v>
      </c>
      <c r="O911" s="37">
        <v>4</v>
      </c>
      <c r="P911" s="37">
        <v>4</v>
      </c>
      <c r="Q911" s="37">
        <v>8</v>
      </c>
      <c r="R911" s="37">
        <v>9</v>
      </c>
      <c r="S911" s="37">
        <v>10</v>
      </c>
      <c r="T911" s="37">
        <v>10</v>
      </c>
      <c r="U911" s="37">
        <v>10</v>
      </c>
      <c r="V911" s="37">
        <v>10</v>
      </c>
      <c r="W911" s="37">
        <v>10</v>
      </c>
      <c r="X911" s="37">
        <v>10</v>
      </c>
      <c r="Z911" s="37">
        <v>8</v>
      </c>
      <c r="AA911" s="37">
        <v>8</v>
      </c>
      <c r="AB911" s="37">
        <v>8</v>
      </c>
      <c r="AC911" s="37">
        <v>8</v>
      </c>
      <c r="AD911" s="37">
        <v>8</v>
      </c>
      <c r="AE911" s="37">
        <v>8</v>
      </c>
      <c r="AF911" s="37">
        <v>8</v>
      </c>
      <c r="AG911" s="37">
        <v>4</v>
      </c>
      <c r="AH911" s="37">
        <v>4</v>
      </c>
      <c r="AI911" s="37">
        <v>4</v>
      </c>
      <c r="AJ911" s="37">
        <v>4</v>
      </c>
      <c r="AK911" s="37">
        <v>4</v>
      </c>
      <c r="AL911" s="37">
        <v>4</v>
      </c>
      <c r="AM911" s="37">
        <v>10</v>
      </c>
      <c r="AN911" s="37">
        <v>10</v>
      </c>
      <c r="AO911" s="37">
        <v>10</v>
      </c>
      <c r="AP911" s="37">
        <v>10</v>
      </c>
      <c r="AQ911" s="37">
        <v>10</v>
      </c>
      <c r="AR911" s="37">
        <v>10</v>
      </c>
      <c r="AS911" s="37">
        <v>10</v>
      </c>
      <c r="AT911" s="37">
        <v>10</v>
      </c>
    </row>
    <row r="912" spans="3:46" s="37" customFormat="1" x14ac:dyDescent="0.25"/>
    <row r="913" spans="3:46" s="37" customFormat="1" x14ac:dyDescent="0.25">
      <c r="C913" s="37" t="s">
        <v>21</v>
      </c>
      <c r="D913" s="37">
        <v>13</v>
      </c>
      <c r="E913" s="37">
        <v>13</v>
      </c>
      <c r="F913" s="37">
        <v>13</v>
      </c>
      <c r="G913" s="37">
        <v>13</v>
      </c>
      <c r="H913" s="37">
        <v>13</v>
      </c>
      <c r="I913" s="37">
        <v>12</v>
      </c>
      <c r="J913" s="37">
        <v>11</v>
      </c>
      <c r="K913" s="37">
        <v>5</v>
      </c>
      <c r="L913" s="37">
        <v>5</v>
      </c>
      <c r="M913" s="37">
        <v>5</v>
      </c>
      <c r="N913" s="37">
        <v>5</v>
      </c>
      <c r="O913" s="37">
        <v>5</v>
      </c>
      <c r="P913" s="37">
        <v>5</v>
      </c>
      <c r="Q913" s="37">
        <v>8</v>
      </c>
      <c r="R913" s="37">
        <v>9</v>
      </c>
      <c r="S913" s="37">
        <v>10</v>
      </c>
      <c r="T913" s="37">
        <v>11</v>
      </c>
      <c r="U913" s="37">
        <v>11</v>
      </c>
      <c r="V913" s="37">
        <v>11</v>
      </c>
      <c r="W913" s="37">
        <v>11</v>
      </c>
      <c r="X913" s="37">
        <v>11</v>
      </c>
      <c r="Z913" s="37">
        <v>13</v>
      </c>
      <c r="AA913" s="37">
        <v>13</v>
      </c>
      <c r="AB913" s="37">
        <v>13</v>
      </c>
      <c r="AC913" s="37">
        <v>13</v>
      </c>
      <c r="AD913" s="37">
        <v>13</v>
      </c>
      <c r="AE913" s="37">
        <v>13</v>
      </c>
      <c r="AF913" s="37">
        <v>13</v>
      </c>
      <c r="AG913" s="37">
        <v>5</v>
      </c>
      <c r="AH913" s="37">
        <v>5</v>
      </c>
      <c r="AI913" s="37">
        <v>5</v>
      </c>
      <c r="AJ913" s="37">
        <v>5</v>
      </c>
      <c r="AK913" s="37">
        <v>5</v>
      </c>
      <c r="AL913" s="37">
        <v>5</v>
      </c>
      <c r="AM913" s="37">
        <v>12</v>
      </c>
      <c r="AN913" s="37">
        <v>12</v>
      </c>
      <c r="AO913" s="37">
        <v>12</v>
      </c>
      <c r="AP913" s="37">
        <v>12</v>
      </c>
      <c r="AQ913" s="37">
        <v>12</v>
      </c>
      <c r="AR913" s="37">
        <v>12</v>
      </c>
      <c r="AS913" s="37">
        <v>12</v>
      </c>
      <c r="AT913" s="37">
        <v>12</v>
      </c>
    </row>
    <row r="914" spans="3:46" s="37" customFormat="1" x14ac:dyDescent="0.25"/>
    <row r="915" spans="3:46" s="37" customFormat="1" x14ac:dyDescent="0.25">
      <c r="C915" s="37" t="s">
        <v>20</v>
      </c>
      <c r="D915" s="37">
        <v>8</v>
      </c>
      <c r="E915" s="37">
        <v>8</v>
      </c>
      <c r="F915" s="37">
        <v>8</v>
      </c>
      <c r="G915" s="37">
        <v>8</v>
      </c>
      <c r="H915" s="37">
        <v>8</v>
      </c>
      <c r="I915" s="37">
        <v>7</v>
      </c>
      <c r="J915" s="37">
        <v>6</v>
      </c>
      <c r="K915" s="37">
        <v>3</v>
      </c>
      <c r="L915" s="37">
        <v>3</v>
      </c>
      <c r="M915" s="37">
        <v>3</v>
      </c>
      <c r="N915" s="37">
        <v>3</v>
      </c>
      <c r="O915" s="37">
        <v>3</v>
      </c>
      <c r="P915" s="37">
        <v>3</v>
      </c>
      <c r="Q915" s="37">
        <v>5</v>
      </c>
      <c r="R915" s="37">
        <v>6</v>
      </c>
      <c r="S915" s="37">
        <v>7</v>
      </c>
      <c r="T915" s="37">
        <v>8</v>
      </c>
      <c r="U915" s="37">
        <v>9</v>
      </c>
      <c r="V915" s="37">
        <v>9</v>
      </c>
      <c r="W915" s="37">
        <v>9</v>
      </c>
      <c r="X915" s="37">
        <v>9</v>
      </c>
      <c r="Z915" s="37">
        <v>8</v>
      </c>
      <c r="AA915" s="37">
        <v>8</v>
      </c>
      <c r="AB915" s="37">
        <v>8</v>
      </c>
      <c r="AC915" s="37">
        <v>8</v>
      </c>
      <c r="AD915" s="37">
        <v>8</v>
      </c>
      <c r="AE915" s="37">
        <v>8</v>
      </c>
      <c r="AF915" s="37">
        <v>8</v>
      </c>
      <c r="AG915" s="37">
        <v>3</v>
      </c>
      <c r="AH915" s="37">
        <v>3</v>
      </c>
      <c r="AI915" s="37">
        <v>3</v>
      </c>
      <c r="AJ915" s="37">
        <v>3</v>
      </c>
      <c r="AK915" s="37">
        <v>3</v>
      </c>
      <c r="AL915" s="37">
        <v>3</v>
      </c>
      <c r="AM915" s="37">
        <v>9</v>
      </c>
      <c r="AN915" s="37">
        <v>9</v>
      </c>
      <c r="AO915" s="37">
        <v>9</v>
      </c>
      <c r="AP915" s="37">
        <v>9</v>
      </c>
      <c r="AQ915" s="37">
        <v>9</v>
      </c>
      <c r="AR915" s="37">
        <v>9</v>
      </c>
      <c r="AS915" s="37">
        <v>9</v>
      </c>
      <c r="AT915" s="37">
        <v>9</v>
      </c>
    </row>
    <row r="916" spans="3:46" s="37" customFormat="1" x14ac:dyDescent="0.25"/>
    <row r="917" spans="3:46" s="37" customFormat="1" x14ac:dyDescent="0.25">
      <c r="C917" s="37" t="s">
        <v>21</v>
      </c>
      <c r="D917" s="37">
        <v>6</v>
      </c>
      <c r="E917" s="37">
        <v>6</v>
      </c>
      <c r="F917" s="37">
        <v>6</v>
      </c>
      <c r="G917" s="37">
        <v>6</v>
      </c>
      <c r="H917" s="37">
        <v>5</v>
      </c>
      <c r="I917" s="37">
        <v>5</v>
      </c>
      <c r="J917" s="37">
        <v>5</v>
      </c>
      <c r="K917" s="37">
        <v>5</v>
      </c>
      <c r="L917" s="37">
        <v>5</v>
      </c>
      <c r="M917" s="37">
        <v>5</v>
      </c>
      <c r="N917" s="37">
        <v>5</v>
      </c>
      <c r="O917" s="37">
        <v>5</v>
      </c>
      <c r="P917" s="37">
        <v>5</v>
      </c>
      <c r="Q917" s="37">
        <v>5</v>
      </c>
      <c r="R917" s="37">
        <v>5</v>
      </c>
      <c r="S917" s="37">
        <v>5</v>
      </c>
      <c r="T917" s="37">
        <v>6</v>
      </c>
      <c r="U917" s="37">
        <v>6</v>
      </c>
      <c r="V917" s="37">
        <v>7</v>
      </c>
      <c r="W917" s="37">
        <v>7</v>
      </c>
      <c r="X917" s="37">
        <v>7</v>
      </c>
      <c r="Z917" s="37">
        <v>6</v>
      </c>
      <c r="AA917" s="37">
        <v>6</v>
      </c>
      <c r="AB917" s="37">
        <v>6</v>
      </c>
      <c r="AC917" s="37">
        <v>6</v>
      </c>
      <c r="AD917" s="37">
        <v>6</v>
      </c>
      <c r="AE917" s="37">
        <v>6</v>
      </c>
      <c r="AF917" s="37">
        <v>6</v>
      </c>
      <c r="AG917" s="37">
        <v>5</v>
      </c>
      <c r="AH917" s="37">
        <v>5</v>
      </c>
      <c r="AI917" s="37">
        <v>5</v>
      </c>
      <c r="AJ917" s="37">
        <v>5</v>
      </c>
      <c r="AK917" s="37">
        <v>5</v>
      </c>
      <c r="AL917" s="37">
        <v>5</v>
      </c>
      <c r="AM917" s="37">
        <v>7</v>
      </c>
      <c r="AN917" s="37">
        <v>7</v>
      </c>
      <c r="AO917" s="37">
        <v>7</v>
      </c>
      <c r="AP917" s="37">
        <v>7</v>
      </c>
      <c r="AQ917" s="37">
        <v>7</v>
      </c>
      <c r="AR917" s="37">
        <v>7</v>
      </c>
      <c r="AS917" s="37">
        <v>7</v>
      </c>
      <c r="AT917" s="37">
        <v>7</v>
      </c>
    </row>
    <row r="918" spans="3:46" s="37" customFormat="1" x14ac:dyDescent="0.25"/>
    <row r="919" spans="3:46" s="37" customFormat="1" x14ac:dyDescent="0.25">
      <c r="C919" s="37" t="s">
        <v>20</v>
      </c>
      <c r="D919" s="37">
        <v>11</v>
      </c>
      <c r="E919" s="37">
        <v>11</v>
      </c>
      <c r="F919" s="37">
        <v>11</v>
      </c>
      <c r="G919" s="37">
        <v>11</v>
      </c>
      <c r="H919" s="37">
        <v>11</v>
      </c>
      <c r="I919" s="37">
        <v>11</v>
      </c>
      <c r="J919" s="37">
        <v>10</v>
      </c>
      <c r="K919" s="37">
        <v>5</v>
      </c>
      <c r="L919" s="37">
        <v>5</v>
      </c>
      <c r="M919" s="37">
        <v>5</v>
      </c>
      <c r="N919" s="37">
        <v>5</v>
      </c>
      <c r="O919" s="37">
        <v>5</v>
      </c>
      <c r="P919" s="37">
        <v>5</v>
      </c>
      <c r="Q919" s="37">
        <v>8</v>
      </c>
      <c r="R919" s="37">
        <v>9</v>
      </c>
      <c r="S919" s="37">
        <v>10</v>
      </c>
      <c r="T919" s="37">
        <v>10</v>
      </c>
      <c r="U919" s="37">
        <v>10</v>
      </c>
      <c r="V919" s="37">
        <v>10</v>
      </c>
      <c r="W919" s="37">
        <v>10</v>
      </c>
      <c r="X919" s="37">
        <v>10</v>
      </c>
      <c r="Z919" s="37">
        <v>11</v>
      </c>
      <c r="AA919" s="37">
        <v>11</v>
      </c>
      <c r="AB919" s="37">
        <v>11</v>
      </c>
      <c r="AC919" s="37">
        <v>11</v>
      </c>
      <c r="AD919" s="37">
        <v>11</v>
      </c>
      <c r="AE919" s="37">
        <v>11</v>
      </c>
      <c r="AF919" s="37">
        <v>11</v>
      </c>
      <c r="AG919" s="37">
        <v>5</v>
      </c>
      <c r="AH919" s="37">
        <v>5</v>
      </c>
      <c r="AI919" s="37">
        <v>5</v>
      </c>
      <c r="AJ919" s="37">
        <v>5</v>
      </c>
      <c r="AK919" s="37">
        <v>5</v>
      </c>
      <c r="AL919" s="37">
        <v>5</v>
      </c>
      <c r="AM919" s="37">
        <v>11</v>
      </c>
      <c r="AN919" s="37">
        <v>11</v>
      </c>
      <c r="AO919" s="37">
        <v>11</v>
      </c>
      <c r="AP919" s="37">
        <v>11</v>
      </c>
      <c r="AQ919" s="37">
        <v>11</v>
      </c>
      <c r="AR919" s="37">
        <v>11</v>
      </c>
      <c r="AS919" s="37">
        <v>11</v>
      </c>
      <c r="AT919" s="37">
        <v>11</v>
      </c>
    </row>
    <row r="920" spans="3:46" s="37" customFormat="1" x14ac:dyDescent="0.25"/>
    <row r="921" spans="3:46" s="37" customFormat="1" x14ac:dyDescent="0.25">
      <c r="C921" s="37" t="s">
        <v>21</v>
      </c>
      <c r="D921" s="37">
        <v>16</v>
      </c>
      <c r="E921" s="37">
        <v>16</v>
      </c>
      <c r="F921" s="37">
        <v>16</v>
      </c>
      <c r="G921" s="37">
        <v>16</v>
      </c>
      <c r="H921" s="37">
        <v>16</v>
      </c>
      <c r="I921" s="37">
        <v>15</v>
      </c>
      <c r="J921" s="37">
        <v>14</v>
      </c>
      <c r="K921" s="37">
        <v>5</v>
      </c>
      <c r="L921" s="37">
        <v>5</v>
      </c>
      <c r="M921" s="37">
        <v>5</v>
      </c>
      <c r="N921" s="37">
        <v>5</v>
      </c>
      <c r="O921" s="37">
        <v>5</v>
      </c>
      <c r="P921" s="37">
        <v>5</v>
      </c>
      <c r="Q921" s="37">
        <v>11</v>
      </c>
      <c r="R921" s="37">
        <v>13</v>
      </c>
      <c r="S921" s="37">
        <v>14</v>
      </c>
      <c r="T921" s="37">
        <v>16</v>
      </c>
      <c r="U921" s="37">
        <v>16</v>
      </c>
      <c r="V921" s="37">
        <v>16</v>
      </c>
      <c r="W921" s="37">
        <v>16</v>
      </c>
      <c r="X921" s="37">
        <v>16</v>
      </c>
      <c r="Z921" s="37">
        <v>16</v>
      </c>
      <c r="AA921" s="37">
        <v>16</v>
      </c>
      <c r="AB921" s="37">
        <v>16</v>
      </c>
      <c r="AC921" s="37">
        <v>16</v>
      </c>
      <c r="AD921" s="37">
        <v>16</v>
      </c>
      <c r="AE921" s="37">
        <v>16</v>
      </c>
      <c r="AF921" s="37">
        <v>16</v>
      </c>
      <c r="AG921" s="37">
        <v>5</v>
      </c>
      <c r="AH921" s="37">
        <v>5</v>
      </c>
      <c r="AI921" s="37">
        <v>5</v>
      </c>
      <c r="AJ921" s="37">
        <v>5</v>
      </c>
      <c r="AK921" s="37">
        <v>5</v>
      </c>
      <c r="AL921" s="37">
        <v>5</v>
      </c>
      <c r="AM921" s="37">
        <v>17</v>
      </c>
      <c r="AN921" s="37">
        <v>17</v>
      </c>
      <c r="AO921" s="37">
        <v>17</v>
      </c>
      <c r="AP921" s="37">
        <v>17</v>
      </c>
      <c r="AQ921" s="37">
        <v>17</v>
      </c>
      <c r="AR921" s="37">
        <v>17</v>
      </c>
      <c r="AS921" s="37">
        <v>17</v>
      </c>
      <c r="AT921" s="37">
        <v>17</v>
      </c>
    </row>
    <row r="922" spans="3:46" s="37" customFormat="1" x14ac:dyDescent="0.25"/>
    <row r="923" spans="3:46" s="37" customFormat="1" x14ac:dyDescent="0.25">
      <c r="C923" s="37" t="s">
        <v>20</v>
      </c>
      <c r="D923" s="37">
        <v>12</v>
      </c>
      <c r="E923" s="37">
        <v>12</v>
      </c>
      <c r="F923" s="37">
        <v>12</v>
      </c>
      <c r="G923" s="37">
        <v>12</v>
      </c>
      <c r="H923" s="37">
        <v>12</v>
      </c>
      <c r="I923" s="37">
        <v>12</v>
      </c>
      <c r="J923" s="37">
        <v>11</v>
      </c>
      <c r="K923" s="37">
        <v>4</v>
      </c>
      <c r="L923" s="37">
        <v>4</v>
      </c>
      <c r="M923" s="37">
        <v>4</v>
      </c>
      <c r="N923" s="37">
        <v>4</v>
      </c>
      <c r="O923" s="37">
        <v>4</v>
      </c>
      <c r="P923" s="37">
        <v>4</v>
      </c>
      <c r="Q923" s="37">
        <v>8</v>
      </c>
      <c r="R923" s="37">
        <v>9</v>
      </c>
      <c r="S923" s="37">
        <v>10</v>
      </c>
      <c r="T923" s="37">
        <v>10</v>
      </c>
      <c r="U923" s="37">
        <v>10</v>
      </c>
      <c r="V923" s="37">
        <v>10</v>
      </c>
      <c r="W923" s="37">
        <v>10</v>
      </c>
      <c r="X923" s="37">
        <v>10</v>
      </c>
      <c r="Z923" s="37">
        <v>12</v>
      </c>
      <c r="AA923" s="37">
        <v>12</v>
      </c>
      <c r="AB923" s="37">
        <v>12</v>
      </c>
      <c r="AC923" s="37">
        <v>12</v>
      </c>
      <c r="AD923" s="37">
        <v>12</v>
      </c>
      <c r="AE923" s="37">
        <v>12</v>
      </c>
      <c r="AF923" s="37">
        <v>12</v>
      </c>
      <c r="AG923" s="37">
        <v>4</v>
      </c>
      <c r="AH923" s="37">
        <v>4</v>
      </c>
      <c r="AI923" s="37">
        <v>4</v>
      </c>
      <c r="AJ923" s="37">
        <v>4</v>
      </c>
      <c r="AK923" s="37">
        <v>4</v>
      </c>
      <c r="AL923" s="37">
        <v>4</v>
      </c>
      <c r="AM923" s="37">
        <v>10</v>
      </c>
      <c r="AN923" s="37">
        <v>10</v>
      </c>
      <c r="AO923" s="37">
        <v>10</v>
      </c>
      <c r="AP923" s="37">
        <v>10</v>
      </c>
      <c r="AQ923" s="37">
        <v>10</v>
      </c>
      <c r="AR923" s="37">
        <v>10</v>
      </c>
      <c r="AS923" s="37">
        <v>10</v>
      </c>
      <c r="AT923" s="37">
        <v>10</v>
      </c>
    </row>
    <row r="924" spans="3:46" s="37" customFormat="1" x14ac:dyDescent="0.25"/>
    <row r="925" spans="3:46" s="37" customFormat="1" x14ac:dyDescent="0.25">
      <c r="C925" s="37" t="s">
        <v>21</v>
      </c>
      <c r="D925" s="37">
        <v>15</v>
      </c>
      <c r="E925" s="37">
        <v>15</v>
      </c>
      <c r="F925" s="37">
        <v>15</v>
      </c>
      <c r="G925" s="37">
        <v>15</v>
      </c>
      <c r="H925" s="37">
        <v>14</v>
      </c>
      <c r="I925" s="37">
        <v>13</v>
      </c>
      <c r="J925" s="37">
        <v>11</v>
      </c>
      <c r="K925" s="37">
        <v>5</v>
      </c>
      <c r="L925" s="37">
        <v>5</v>
      </c>
      <c r="M925" s="37">
        <v>5</v>
      </c>
      <c r="N925" s="37">
        <v>5</v>
      </c>
      <c r="O925" s="37">
        <v>5</v>
      </c>
      <c r="P925" s="37">
        <v>5</v>
      </c>
      <c r="Q925" s="37">
        <v>9</v>
      </c>
      <c r="R925" s="37">
        <v>11</v>
      </c>
      <c r="S925" s="37">
        <v>12</v>
      </c>
      <c r="T925" s="37">
        <v>14</v>
      </c>
      <c r="U925" s="37">
        <v>15</v>
      </c>
      <c r="V925" s="37">
        <v>15</v>
      </c>
      <c r="W925" s="37">
        <v>15</v>
      </c>
      <c r="X925" s="37">
        <v>15</v>
      </c>
      <c r="Z925" s="37">
        <v>15</v>
      </c>
      <c r="AA925" s="37">
        <v>15</v>
      </c>
      <c r="AB925" s="37">
        <v>15</v>
      </c>
      <c r="AC925" s="37">
        <v>15</v>
      </c>
      <c r="AD925" s="37">
        <v>15</v>
      </c>
      <c r="AE925" s="37">
        <v>15</v>
      </c>
      <c r="AF925" s="37">
        <v>15</v>
      </c>
      <c r="AG925" s="37">
        <v>5</v>
      </c>
      <c r="AH925" s="37">
        <v>5</v>
      </c>
      <c r="AI925" s="37">
        <v>5</v>
      </c>
      <c r="AJ925" s="37">
        <v>5</v>
      </c>
      <c r="AK925" s="37">
        <v>5</v>
      </c>
      <c r="AL925" s="37">
        <v>5</v>
      </c>
      <c r="AM925" s="37">
        <v>16</v>
      </c>
      <c r="AN925" s="37">
        <v>16</v>
      </c>
      <c r="AO925" s="37">
        <v>16</v>
      </c>
      <c r="AP925" s="37">
        <v>16</v>
      </c>
      <c r="AQ925" s="37">
        <v>16</v>
      </c>
      <c r="AR925" s="37">
        <v>16</v>
      </c>
      <c r="AS925" s="37">
        <v>16</v>
      </c>
      <c r="AT925" s="37">
        <v>16</v>
      </c>
    </row>
    <row r="926" spans="3:46" s="37" customFormat="1" x14ac:dyDescent="0.25"/>
    <row r="927" spans="3:46" s="37" customFormat="1" x14ac:dyDescent="0.25">
      <c r="C927" s="37" t="s">
        <v>20</v>
      </c>
      <c r="D927" s="37">
        <v>10</v>
      </c>
      <c r="E927" s="37">
        <v>10</v>
      </c>
      <c r="F927" s="37">
        <v>10</v>
      </c>
      <c r="G927" s="37">
        <v>10</v>
      </c>
      <c r="H927" s="37">
        <v>10</v>
      </c>
      <c r="I927" s="37">
        <v>10</v>
      </c>
      <c r="J927" s="37">
        <v>10</v>
      </c>
      <c r="K927" s="37">
        <v>10</v>
      </c>
      <c r="L927" s="37">
        <v>9</v>
      </c>
      <c r="M927" s="37">
        <v>8</v>
      </c>
      <c r="N927" s="37">
        <v>7</v>
      </c>
      <c r="O927" s="37">
        <v>7</v>
      </c>
      <c r="P927" s="37">
        <v>8</v>
      </c>
      <c r="Q927" s="37">
        <v>9</v>
      </c>
      <c r="R927" s="37">
        <v>10</v>
      </c>
      <c r="S927" s="37">
        <v>10</v>
      </c>
      <c r="T927" s="37">
        <v>10</v>
      </c>
      <c r="U927" s="37">
        <v>10</v>
      </c>
      <c r="V927" s="37">
        <v>10</v>
      </c>
      <c r="W927" s="37">
        <v>10</v>
      </c>
      <c r="X927" s="37">
        <v>10</v>
      </c>
      <c r="Z927" s="37">
        <v>10</v>
      </c>
      <c r="AA927" s="37">
        <v>10</v>
      </c>
      <c r="AB927" s="37">
        <v>10</v>
      </c>
      <c r="AC927" s="37">
        <v>10</v>
      </c>
      <c r="AD927" s="37">
        <v>10</v>
      </c>
      <c r="AE927" s="37">
        <v>10</v>
      </c>
      <c r="AF927" s="37">
        <v>10</v>
      </c>
      <c r="AG927" s="37">
        <v>10</v>
      </c>
      <c r="AH927" s="37">
        <v>10</v>
      </c>
      <c r="AI927" s="37">
        <v>10</v>
      </c>
      <c r="AJ927" s="37">
        <v>10</v>
      </c>
      <c r="AK927" s="37">
        <v>10</v>
      </c>
      <c r="AL927" s="37">
        <v>10</v>
      </c>
      <c r="AM927" s="37">
        <v>10</v>
      </c>
      <c r="AN927" s="37">
        <v>10</v>
      </c>
      <c r="AO927" s="37">
        <v>10</v>
      </c>
      <c r="AP927" s="37">
        <v>10</v>
      </c>
      <c r="AQ927" s="37">
        <v>10</v>
      </c>
      <c r="AR927" s="37">
        <v>10</v>
      </c>
      <c r="AS927" s="37">
        <v>10</v>
      </c>
      <c r="AT927" s="37">
        <v>10</v>
      </c>
    </row>
    <row r="928" spans="3:46" s="37" customFormat="1" x14ac:dyDescent="0.25"/>
    <row r="929" spans="3:46" s="37" customFormat="1" x14ac:dyDescent="0.25">
      <c r="C929" s="37" t="s">
        <v>21</v>
      </c>
      <c r="D929" s="37">
        <v>13</v>
      </c>
      <c r="E929" s="37">
        <v>13</v>
      </c>
      <c r="F929" s="37">
        <v>13</v>
      </c>
      <c r="G929" s="37">
        <v>13</v>
      </c>
      <c r="H929" s="37">
        <v>13</v>
      </c>
      <c r="I929" s="37">
        <v>13</v>
      </c>
      <c r="J929" s="37">
        <v>13</v>
      </c>
      <c r="K929" s="37">
        <v>13</v>
      </c>
      <c r="L929" s="37">
        <v>13</v>
      </c>
      <c r="M929" s="37">
        <v>13</v>
      </c>
      <c r="N929" s="37">
        <v>13</v>
      </c>
      <c r="O929" s="37">
        <v>13</v>
      </c>
      <c r="P929" s="37">
        <v>13</v>
      </c>
      <c r="Q929" s="37">
        <v>13</v>
      </c>
      <c r="R929" s="37">
        <v>13</v>
      </c>
      <c r="S929" s="37">
        <v>13</v>
      </c>
      <c r="T929" s="37">
        <v>13</v>
      </c>
      <c r="U929" s="37">
        <v>13</v>
      </c>
      <c r="V929" s="37">
        <v>13</v>
      </c>
      <c r="W929" s="37">
        <v>13</v>
      </c>
      <c r="X929" s="37">
        <v>13</v>
      </c>
      <c r="Z929" s="37">
        <v>13</v>
      </c>
      <c r="AA929" s="37">
        <v>13</v>
      </c>
      <c r="AB929" s="37">
        <v>13</v>
      </c>
      <c r="AC929" s="37">
        <v>13</v>
      </c>
      <c r="AD929" s="37">
        <v>13</v>
      </c>
      <c r="AE929" s="37">
        <v>13</v>
      </c>
      <c r="AF929" s="37">
        <v>13</v>
      </c>
      <c r="AG929" s="37">
        <v>13</v>
      </c>
      <c r="AH929" s="37">
        <v>13</v>
      </c>
      <c r="AI929" s="37">
        <v>13</v>
      </c>
      <c r="AJ929" s="37">
        <v>13</v>
      </c>
      <c r="AK929" s="37">
        <v>13</v>
      </c>
      <c r="AL929" s="37">
        <v>13</v>
      </c>
      <c r="AM929" s="37">
        <v>14</v>
      </c>
      <c r="AN929" s="37">
        <v>14</v>
      </c>
      <c r="AO929" s="37">
        <v>14</v>
      </c>
      <c r="AP929" s="37">
        <v>14</v>
      </c>
      <c r="AQ929" s="37">
        <v>14</v>
      </c>
      <c r="AR929" s="37">
        <v>14</v>
      </c>
      <c r="AS929" s="37">
        <v>14</v>
      </c>
      <c r="AT929" s="37">
        <v>14</v>
      </c>
    </row>
    <row r="930" spans="3:46" s="37" customFormat="1" x14ac:dyDescent="0.25"/>
    <row r="931" spans="3:46" s="37" customFormat="1" x14ac:dyDescent="0.25">
      <c r="C931" s="37" t="s">
        <v>20</v>
      </c>
      <c r="D931" s="37">
        <v>10</v>
      </c>
      <c r="E931" s="37">
        <v>10</v>
      </c>
      <c r="F931" s="37">
        <v>10</v>
      </c>
      <c r="G931" s="37">
        <v>10</v>
      </c>
      <c r="H931" s="37">
        <v>10</v>
      </c>
      <c r="I931" s="37">
        <v>10</v>
      </c>
      <c r="J931" s="37">
        <v>10</v>
      </c>
      <c r="K931" s="37">
        <v>4</v>
      </c>
      <c r="L931" s="37">
        <v>4</v>
      </c>
      <c r="M931" s="37">
        <v>4</v>
      </c>
      <c r="N931" s="37">
        <v>4</v>
      </c>
      <c r="O931" s="37">
        <v>4</v>
      </c>
      <c r="P931" s="37">
        <v>4</v>
      </c>
      <c r="Q931" s="37">
        <v>9</v>
      </c>
      <c r="R931" s="37">
        <v>10</v>
      </c>
      <c r="S931" s="37">
        <v>11</v>
      </c>
      <c r="T931" s="37">
        <v>11</v>
      </c>
      <c r="U931" s="37">
        <v>11</v>
      </c>
      <c r="V931" s="37">
        <v>11</v>
      </c>
      <c r="W931" s="37">
        <v>11</v>
      </c>
      <c r="X931" s="37">
        <v>11</v>
      </c>
      <c r="Z931" s="37">
        <v>10</v>
      </c>
      <c r="AA931" s="37">
        <v>10</v>
      </c>
      <c r="AB931" s="37">
        <v>10</v>
      </c>
      <c r="AC931" s="37">
        <v>10</v>
      </c>
      <c r="AD931" s="37">
        <v>10</v>
      </c>
      <c r="AE931" s="37">
        <v>10</v>
      </c>
      <c r="AF931" s="37">
        <v>10</v>
      </c>
      <c r="AG931" s="37">
        <v>4</v>
      </c>
      <c r="AH931" s="37">
        <v>4</v>
      </c>
      <c r="AI931" s="37">
        <v>4</v>
      </c>
      <c r="AJ931" s="37">
        <v>4</v>
      </c>
      <c r="AK931" s="37">
        <v>4</v>
      </c>
      <c r="AL931" s="37">
        <v>4</v>
      </c>
      <c r="AM931" s="37">
        <v>12</v>
      </c>
      <c r="AN931" s="37">
        <v>12</v>
      </c>
      <c r="AO931" s="37">
        <v>12</v>
      </c>
      <c r="AP931" s="37">
        <v>12</v>
      </c>
      <c r="AQ931" s="37">
        <v>12</v>
      </c>
      <c r="AR931" s="37">
        <v>12</v>
      </c>
      <c r="AS931" s="37">
        <v>12</v>
      </c>
      <c r="AT931" s="37">
        <v>12</v>
      </c>
    </row>
    <row r="932" spans="3:46" s="37" customFormat="1" x14ac:dyDescent="0.25"/>
    <row r="933" spans="3:46" s="37" customFormat="1" x14ac:dyDescent="0.25">
      <c r="C933" s="37" t="s">
        <v>21</v>
      </c>
      <c r="D933" s="37">
        <v>14</v>
      </c>
      <c r="E933" s="37">
        <v>14</v>
      </c>
      <c r="F933" s="37">
        <v>14</v>
      </c>
      <c r="G933" s="37">
        <v>14</v>
      </c>
      <c r="H933" s="37">
        <v>13</v>
      </c>
      <c r="I933" s="37">
        <v>12</v>
      </c>
      <c r="J933" s="37">
        <v>11</v>
      </c>
      <c r="K933" s="37">
        <v>5</v>
      </c>
      <c r="L933" s="37">
        <v>5</v>
      </c>
      <c r="M933" s="37">
        <v>5</v>
      </c>
      <c r="N933" s="37">
        <v>5</v>
      </c>
      <c r="O933" s="37">
        <v>5</v>
      </c>
      <c r="P933" s="37">
        <v>5</v>
      </c>
      <c r="Q933" s="37">
        <v>8</v>
      </c>
      <c r="R933" s="37">
        <v>9</v>
      </c>
      <c r="S933" s="37">
        <v>10</v>
      </c>
      <c r="T933" s="37">
        <v>11</v>
      </c>
      <c r="U933" s="37">
        <v>12</v>
      </c>
      <c r="V933" s="37">
        <v>12</v>
      </c>
      <c r="W933" s="37">
        <v>12</v>
      </c>
      <c r="X933" s="37">
        <v>12</v>
      </c>
      <c r="Z933" s="37">
        <v>14</v>
      </c>
      <c r="AA933" s="37">
        <v>14</v>
      </c>
      <c r="AB933" s="37">
        <v>14</v>
      </c>
      <c r="AC933" s="37">
        <v>14</v>
      </c>
      <c r="AD933" s="37">
        <v>14</v>
      </c>
      <c r="AE933" s="37">
        <v>14</v>
      </c>
      <c r="AF933" s="37">
        <v>14</v>
      </c>
      <c r="AG933" s="37">
        <v>5</v>
      </c>
      <c r="AH933" s="37">
        <v>5</v>
      </c>
      <c r="AI933" s="37">
        <v>5</v>
      </c>
      <c r="AJ933" s="37">
        <v>5</v>
      </c>
      <c r="AK933" s="37">
        <v>5</v>
      </c>
      <c r="AL933" s="37">
        <v>5</v>
      </c>
      <c r="AM933" s="37">
        <v>13</v>
      </c>
      <c r="AN933" s="37">
        <v>13</v>
      </c>
      <c r="AO933" s="37">
        <v>13</v>
      </c>
      <c r="AP933" s="37">
        <v>13</v>
      </c>
      <c r="AQ933" s="37">
        <v>13</v>
      </c>
      <c r="AR933" s="37">
        <v>13</v>
      </c>
      <c r="AS933" s="37">
        <v>13</v>
      </c>
      <c r="AT933" s="37">
        <v>13</v>
      </c>
    </row>
    <row r="934" spans="3:46" s="37" customFormat="1" x14ac:dyDescent="0.25"/>
    <row r="935" spans="3:46" s="37" customFormat="1" x14ac:dyDescent="0.25">
      <c r="C935" s="37" t="s">
        <v>20</v>
      </c>
      <c r="D935" s="37">
        <v>9</v>
      </c>
      <c r="E935" s="37">
        <v>9</v>
      </c>
      <c r="F935" s="37">
        <v>9</v>
      </c>
      <c r="G935" s="37">
        <v>9</v>
      </c>
      <c r="H935" s="37">
        <v>9</v>
      </c>
      <c r="I935" s="37">
        <v>9</v>
      </c>
      <c r="J935" s="37">
        <v>8</v>
      </c>
      <c r="K935" s="37">
        <v>4</v>
      </c>
      <c r="L935" s="37">
        <v>4</v>
      </c>
      <c r="M935" s="37">
        <v>4</v>
      </c>
      <c r="N935" s="37">
        <v>4</v>
      </c>
      <c r="O935" s="37">
        <v>4</v>
      </c>
      <c r="P935" s="37">
        <v>4</v>
      </c>
      <c r="Q935" s="37">
        <v>7</v>
      </c>
      <c r="R935" s="37">
        <v>8</v>
      </c>
      <c r="S935" s="37">
        <v>9</v>
      </c>
      <c r="T935" s="37">
        <v>10</v>
      </c>
      <c r="U935" s="37">
        <v>10</v>
      </c>
      <c r="V935" s="37">
        <v>10</v>
      </c>
      <c r="W935" s="37">
        <v>10</v>
      </c>
      <c r="X935" s="37">
        <v>10</v>
      </c>
      <c r="Z935" s="37">
        <v>9</v>
      </c>
      <c r="AA935" s="37">
        <v>9</v>
      </c>
      <c r="AB935" s="37">
        <v>9</v>
      </c>
      <c r="AC935" s="37">
        <v>9</v>
      </c>
      <c r="AD935" s="37">
        <v>9</v>
      </c>
      <c r="AE935" s="37">
        <v>9</v>
      </c>
      <c r="AF935" s="37">
        <v>9</v>
      </c>
      <c r="AG935" s="37">
        <v>4</v>
      </c>
      <c r="AH935" s="37">
        <v>4</v>
      </c>
      <c r="AI935" s="37">
        <v>4</v>
      </c>
      <c r="AJ935" s="37">
        <v>4</v>
      </c>
      <c r="AK935" s="37">
        <v>4</v>
      </c>
      <c r="AL935" s="37">
        <v>4</v>
      </c>
      <c r="AM935" s="37">
        <v>10</v>
      </c>
      <c r="AN935" s="37">
        <v>10</v>
      </c>
      <c r="AO935" s="37">
        <v>10</v>
      </c>
      <c r="AP935" s="37">
        <v>10</v>
      </c>
      <c r="AQ935" s="37">
        <v>10</v>
      </c>
      <c r="AR935" s="37">
        <v>10</v>
      </c>
      <c r="AS935" s="37">
        <v>10</v>
      </c>
      <c r="AT935" s="37">
        <v>10</v>
      </c>
    </row>
    <row r="936" spans="3:46" s="37" customFormat="1" x14ac:dyDescent="0.25"/>
    <row r="937" spans="3:46" s="37" customFormat="1" x14ac:dyDescent="0.25">
      <c r="C937" s="37" t="s">
        <v>21</v>
      </c>
      <c r="D937" s="37">
        <v>10</v>
      </c>
      <c r="E937" s="37">
        <v>10</v>
      </c>
      <c r="F937" s="37">
        <v>10</v>
      </c>
      <c r="G937" s="37">
        <v>10</v>
      </c>
      <c r="H937" s="37">
        <v>10</v>
      </c>
      <c r="I937" s="37">
        <v>9</v>
      </c>
      <c r="J937" s="37">
        <v>8</v>
      </c>
      <c r="K937" s="37">
        <v>5</v>
      </c>
      <c r="L937" s="37">
        <v>5</v>
      </c>
      <c r="M937" s="37">
        <v>5</v>
      </c>
      <c r="N937" s="37">
        <v>5</v>
      </c>
      <c r="O937" s="37">
        <v>5</v>
      </c>
      <c r="P937" s="37">
        <v>5</v>
      </c>
      <c r="Q937" s="37">
        <v>5</v>
      </c>
      <c r="R937" s="37">
        <v>5</v>
      </c>
      <c r="S937" s="37">
        <v>6</v>
      </c>
      <c r="T937" s="37">
        <v>7</v>
      </c>
      <c r="U937" s="37">
        <v>8</v>
      </c>
      <c r="V937" s="37">
        <v>9</v>
      </c>
      <c r="W937" s="37">
        <v>9</v>
      </c>
      <c r="X937" s="37">
        <v>9</v>
      </c>
      <c r="Z937" s="37">
        <v>10</v>
      </c>
      <c r="AA937" s="37">
        <v>10</v>
      </c>
      <c r="AB937" s="37">
        <v>10</v>
      </c>
      <c r="AC937" s="37">
        <v>10</v>
      </c>
      <c r="AD937" s="37">
        <v>10</v>
      </c>
      <c r="AE937" s="37">
        <v>10</v>
      </c>
      <c r="AF937" s="37">
        <v>10</v>
      </c>
      <c r="AG937" s="37">
        <v>5</v>
      </c>
      <c r="AH937" s="37">
        <v>5</v>
      </c>
      <c r="AI937" s="37">
        <v>5</v>
      </c>
      <c r="AJ937" s="37">
        <v>5</v>
      </c>
      <c r="AK937" s="37">
        <v>5</v>
      </c>
      <c r="AL937" s="37">
        <v>5</v>
      </c>
      <c r="AM937" s="37">
        <v>9</v>
      </c>
      <c r="AN937" s="37">
        <v>9</v>
      </c>
      <c r="AO937" s="37">
        <v>9</v>
      </c>
      <c r="AP937" s="37">
        <v>9</v>
      </c>
      <c r="AQ937" s="37">
        <v>9</v>
      </c>
      <c r="AR937" s="37">
        <v>9</v>
      </c>
      <c r="AS937" s="37">
        <v>9</v>
      </c>
      <c r="AT937" s="37">
        <v>9</v>
      </c>
    </row>
    <row r="938" spans="3:46" s="37" customFormat="1" x14ac:dyDescent="0.25"/>
    <row r="939" spans="3:46" s="37" customFormat="1" x14ac:dyDescent="0.25">
      <c r="C939" s="37" t="s">
        <v>20</v>
      </c>
      <c r="D939" s="37">
        <v>9</v>
      </c>
      <c r="E939" s="37">
        <v>9</v>
      </c>
      <c r="F939" s="37">
        <v>9</v>
      </c>
      <c r="G939" s="37">
        <v>9</v>
      </c>
      <c r="H939" s="37">
        <v>9</v>
      </c>
      <c r="I939" s="37">
        <v>9</v>
      </c>
      <c r="J939" s="37">
        <v>8</v>
      </c>
      <c r="K939" s="37">
        <v>4</v>
      </c>
      <c r="L939" s="37">
        <v>4</v>
      </c>
      <c r="M939" s="37">
        <v>4</v>
      </c>
      <c r="N939" s="37">
        <v>4</v>
      </c>
      <c r="O939" s="37">
        <v>4</v>
      </c>
      <c r="P939" s="37">
        <v>4</v>
      </c>
      <c r="Q939" s="37">
        <v>7</v>
      </c>
      <c r="R939" s="37">
        <v>8</v>
      </c>
      <c r="S939" s="37">
        <v>9</v>
      </c>
      <c r="T939" s="37">
        <v>10</v>
      </c>
      <c r="U939" s="37">
        <v>10</v>
      </c>
      <c r="V939" s="37">
        <v>10</v>
      </c>
      <c r="W939" s="37">
        <v>10</v>
      </c>
      <c r="X939" s="37">
        <v>10</v>
      </c>
      <c r="Z939" s="37">
        <v>9</v>
      </c>
      <c r="AA939" s="37">
        <v>9</v>
      </c>
      <c r="AB939" s="37">
        <v>9</v>
      </c>
      <c r="AC939" s="37">
        <v>9</v>
      </c>
      <c r="AD939" s="37">
        <v>9</v>
      </c>
      <c r="AE939" s="37">
        <v>9</v>
      </c>
      <c r="AF939" s="37">
        <v>9</v>
      </c>
      <c r="AG939" s="37">
        <v>4</v>
      </c>
      <c r="AH939" s="37">
        <v>4</v>
      </c>
      <c r="AI939" s="37">
        <v>4</v>
      </c>
      <c r="AJ939" s="37">
        <v>4</v>
      </c>
      <c r="AK939" s="37">
        <v>4</v>
      </c>
      <c r="AL939" s="37">
        <v>4</v>
      </c>
      <c r="AM939" s="37">
        <v>10</v>
      </c>
      <c r="AN939" s="37">
        <v>10</v>
      </c>
      <c r="AO939" s="37">
        <v>10</v>
      </c>
      <c r="AP939" s="37">
        <v>10</v>
      </c>
      <c r="AQ939" s="37">
        <v>10</v>
      </c>
      <c r="AR939" s="37">
        <v>10</v>
      </c>
      <c r="AS939" s="37">
        <v>10</v>
      </c>
      <c r="AT939" s="37">
        <v>10</v>
      </c>
    </row>
    <row r="940" spans="3:46" s="37" customFormat="1" x14ac:dyDescent="0.25"/>
    <row r="941" spans="3:46" s="37" customFormat="1" x14ac:dyDescent="0.25">
      <c r="C941" s="37" t="s">
        <v>21</v>
      </c>
      <c r="D941" s="37">
        <v>9</v>
      </c>
      <c r="E941" s="37">
        <v>9</v>
      </c>
      <c r="F941" s="37">
        <v>9</v>
      </c>
      <c r="G941" s="37">
        <v>9</v>
      </c>
      <c r="H941" s="37">
        <v>8</v>
      </c>
      <c r="I941" s="37">
        <v>7</v>
      </c>
      <c r="J941" s="37">
        <v>6</v>
      </c>
      <c r="K941" s="37">
        <v>5</v>
      </c>
      <c r="L941" s="37">
        <v>5</v>
      </c>
      <c r="M941" s="37">
        <v>5</v>
      </c>
      <c r="N941" s="37">
        <v>5</v>
      </c>
      <c r="O941" s="37">
        <v>5</v>
      </c>
      <c r="P941" s="37">
        <v>5</v>
      </c>
      <c r="Q941" s="37">
        <v>5</v>
      </c>
      <c r="R941" s="37">
        <v>5</v>
      </c>
      <c r="S941" s="37">
        <v>6</v>
      </c>
      <c r="T941" s="37">
        <v>7</v>
      </c>
      <c r="U941" s="37">
        <v>8</v>
      </c>
      <c r="V941" s="37">
        <v>9</v>
      </c>
      <c r="W941" s="37">
        <v>9</v>
      </c>
      <c r="X941" s="37">
        <v>9</v>
      </c>
      <c r="Z941" s="37">
        <v>9</v>
      </c>
      <c r="AA941" s="37">
        <v>9</v>
      </c>
      <c r="AB941" s="37">
        <v>9</v>
      </c>
      <c r="AC941" s="37">
        <v>9</v>
      </c>
      <c r="AD941" s="37">
        <v>9</v>
      </c>
      <c r="AE941" s="37">
        <v>9</v>
      </c>
      <c r="AF941" s="37">
        <v>9</v>
      </c>
      <c r="AG941" s="37">
        <v>5</v>
      </c>
      <c r="AH941" s="37">
        <v>5</v>
      </c>
      <c r="AI941" s="37">
        <v>5</v>
      </c>
      <c r="AJ941" s="37">
        <v>5</v>
      </c>
      <c r="AK941" s="37">
        <v>5</v>
      </c>
      <c r="AL941" s="37">
        <v>5</v>
      </c>
      <c r="AM941" s="37">
        <v>9</v>
      </c>
      <c r="AN941" s="37">
        <v>9</v>
      </c>
      <c r="AO941" s="37">
        <v>9</v>
      </c>
      <c r="AP941" s="37">
        <v>9</v>
      </c>
      <c r="AQ941" s="37">
        <v>9</v>
      </c>
      <c r="AR941" s="37">
        <v>9</v>
      </c>
      <c r="AS941" s="37">
        <v>9</v>
      </c>
      <c r="AT941" s="37">
        <v>9</v>
      </c>
    </row>
    <row r="942" spans="3:46" s="37" customFormat="1" x14ac:dyDescent="0.25"/>
    <row r="943" spans="3:46" s="37" customFormat="1" x14ac:dyDescent="0.25">
      <c r="C943" s="37" t="s">
        <v>20</v>
      </c>
      <c r="D943" s="37">
        <v>12</v>
      </c>
      <c r="E943" s="37">
        <v>12</v>
      </c>
      <c r="F943" s="37">
        <v>12</v>
      </c>
      <c r="G943" s="37">
        <v>12</v>
      </c>
      <c r="H943" s="37">
        <v>12</v>
      </c>
      <c r="I943" s="37">
        <v>12</v>
      </c>
      <c r="J943" s="37">
        <v>11</v>
      </c>
      <c r="K943" s="37">
        <v>4</v>
      </c>
      <c r="L943" s="37">
        <v>4</v>
      </c>
      <c r="M943" s="37">
        <v>4</v>
      </c>
      <c r="N943" s="37">
        <v>4</v>
      </c>
      <c r="O943" s="37">
        <v>4</v>
      </c>
      <c r="P943" s="37">
        <v>4</v>
      </c>
      <c r="Q943" s="37">
        <v>9</v>
      </c>
      <c r="R943" s="37">
        <v>10</v>
      </c>
      <c r="S943" s="37">
        <v>11</v>
      </c>
      <c r="T943" s="37">
        <v>11</v>
      </c>
      <c r="U943" s="37">
        <v>11</v>
      </c>
      <c r="V943" s="37">
        <v>11</v>
      </c>
      <c r="W943" s="37">
        <v>11</v>
      </c>
      <c r="X943" s="37">
        <v>11</v>
      </c>
      <c r="Z943" s="37">
        <v>12</v>
      </c>
      <c r="AA943" s="37">
        <v>12</v>
      </c>
      <c r="AB943" s="37">
        <v>12</v>
      </c>
      <c r="AC943" s="37">
        <v>12</v>
      </c>
      <c r="AD943" s="37">
        <v>12</v>
      </c>
      <c r="AE943" s="37">
        <v>12</v>
      </c>
      <c r="AF943" s="37">
        <v>12</v>
      </c>
      <c r="AG943" s="37">
        <v>4</v>
      </c>
      <c r="AH943" s="37">
        <v>4</v>
      </c>
      <c r="AI943" s="37">
        <v>4</v>
      </c>
      <c r="AJ943" s="37">
        <v>4</v>
      </c>
      <c r="AK943" s="37">
        <v>4</v>
      </c>
      <c r="AL943" s="37">
        <v>4</v>
      </c>
      <c r="AM943" s="37">
        <v>12</v>
      </c>
      <c r="AN943" s="37">
        <v>12</v>
      </c>
      <c r="AO943" s="37">
        <v>12</v>
      </c>
      <c r="AP943" s="37">
        <v>12</v>
      </c>
      <c r="AQ943" s="37">
        <v>12</v>
      </c>
      <c r="AR943" s="37">
        <v>12</v>
      </c>
      <c r="AS943" s="37">
        <v>12</v>
      </c>
      <c r="AT943" s="37">
        <v>12</v>
      </c>
    </row>
    <row r="944" spans="3:46" s="37" customFormat="1" x14ac:dyDescent="0.25"/>
    <row r="945" spans="3:46" s="37" customFormat="1" x14ac:dyDescent="0.25">
      <c r="C945" s="37" t="s">
        <v>21</v>
      </c>
      <c r="D945" s="37">
        <v>16</v>
      </c>
      <c r="E945" s="37">
        <v>16</v>
      </c>
      <c r="F945" s="37">
        <v>16</v>
      </c>
      <c r="G945" s="37">
        <v>16</v>
      </c>
      <c r="H945" s="37">
        <v>15</v>
      </c>
      <c r="I945" s="37">
        <v>14</v>
      </c>
      <c r="J945" s="37">
        <v>12</v>
      </c>
      <c r="K945" s="37">
        <v>7</v>
      </c>
      <c r="L945" s="37">
        <v>7</v>
      </c>
      <c r="M945" s="37">
        <v>7</v>
      </c>
      <c r="N945" s="37">
        <v>7</v>
      </c>
      <c r="O945" s="37">
        <v>7</v>
      </c>
      <c r="P945" s="37">
        <v>7</v>
      </c>
      <c r="Q945" s="37">
        <v>9</v>
      </c>
      <c r="R945" s="37">
        <v>11</v>
      </c>
      <c r="S945" s="37">
        <v>12</v>
      </c>
      <c r="T945" s="37">
        <v>14</v>
      </c>
      <c r="U945" s="37">
        <v>15</v>
      </c>
      <c r="V945" s="37">
        <v>15</v>
      </c>
      <c r="W945" s="37">
        <v>15</v>
      </c>
      <c r="X945" s="37">
        <v>15</v>
      </c>
      <c r="Z945" s="37">
        <v>16</v>
      </c>
      <c r="AA945" s="37">
        <v>16</v>
      </c>
      <c r="AB945" s="37">
        <v>16</v>
      </c>
      <c r="AC945" s="37">
        <v>16</v>
      </c>
      <c r="AD945" s="37">
        <v>16</v>
      </c>
      <c r="AE945" s="37">
        <v>16</v>
      </c>
      <c r="AF945" s="37">
        <v>16</v>
      </c>
      <c r="AG945" s="37">
        <v>7</v>
      </c>
      <c r="AH945" s="37">
        <v>7</v>
      </c>
      <c r="AI945" s="37">
        <v>7</v>
      </c>
      <c r="AJ945" s="37">
        <v>7</v>
      </c>
      <c r="AK945" s="37">
        <v>7</v>
      </c>
      <c r="AL945" s="37">
        <v>7</v>
      </c>
      <c r="AM945" s="37">
        <v>16</v>
      </c>
      <c r="AN945" s="37">
        <v>16</v>
      </c>
      <c r="AO945" s="37">
        <v>16</v>
      </c>
      <c r="AP945" s="37">
        <v>16</v>
      </c>
      <c r="AQ945" s="37">
        <v>16</v>
      </c>
      <c r="AR945" s="37">
        <v>16</v>
      </c>
      <c r="AS945" s="37">
        <v>16</v>
      </c>
      <c r="AT945" s="37">
        <v>16</v>
      </c>
    </row>
    <row r="946" spans="3:46" s="37" customFormat="1" x14ac:dyDescent="0.25"/>
    <row r="947" spans="3:46" s="37" customFormat="1" x14ac:dyDescent="0.25">
      <c r="C947" s="37" t="s">
        <v>20</v>
      </c>
      <c r="D947" s="37">
        <v>10</v>
      </c>
      <c r="E947" s="37">
        <v>10</v>
      </c>
      <c r="F947" s="37">
        <v>10</v>
      </c>
      <c r="G947" s="37">
        <v>10</v>
      </c>
      <c r="H947" s="37">
        <v>10</v>
      </c>
      <c r="I947" s="37">
        <v>10</v>
      </c>
      <c r="J947" s="37">
        <v>10</v>
      </c>
      <c r="K947" s="37">
        <v>4</v>
      </c>
      <c r="L947" s="37">
        <v>4</v>
      </c>
      <c r="M947" s="37">
        <v>4</v>
      </c>
      <c r="N947" s="37">
        <v>4</v>
      </c>
      <c r="O947" s="37">
        <v>4</v>
      </c>
      <c r="P947" s="37">
        <v>4</v>
      </c>
      <c r="Q947" s="37">
        <v>7</v>
      </c>
      <c r="R947" s="37">
        <v>8</v>
      </c>
      <c r="S947" s="37">
        <v>9</v>
      </c>
      <c r="T947" s="37">
        <v>9</v>
      </c>
      <c r="U947" s="37">
        <v>9</v>
      </c>
      <c r="V947" s="37">
        <v>9</v>
      </c>
      <c r="W947" s="37">
        <v>9</v>
      </c>
      <c r="X947" s="37">
        <v>9</v>
      </c>
      <c r="Z947" s="37">
        <v>10</v>
      </c>
      <c r="AA947" s="37">
        <v>10</v>
      </c>
      <c r="AB947" s="37">
        <v>10</v>
      </c>
      <c r="AC947" s="37">
        <v>10</v>
      </c>
      <c r="AD947" s="37">
        <v>10</v>
      </c>
      <c r="AE947" s="37">
        <v>10</v>
      </c>
      <c r="AF947" s="37">
        <v>10</v>
      </c>
      <c r="AG947" s="37">
        <v>4</v>
      </c>
      <c r="AH947" s="37">
        <v>4</v>
      </c>
      <c r="AI947" s="37">
        <v>4</v>
      </c>
      <c r="AJ947" s="37">
        <v>4</v>
      </c>
      <c r="AK947" s="37">
        <v>4</v>
      </c>
      <c r="AL947" s="37">
        <v>4</v>
      </c>
      <c r="AM947" s="37">
        <v>9</v>
      </c>
      <c r="AN947" s="37">
        <v>9</v>
      </c>
      <c r="AO947" s="37">
        <v>9</v>
      </c>
      <c r="AP947" s="37">
        <v>9</v>
      </c>
      <c r="AQ947" s="37">
        <v>9</v>
      </c>
      <c r="AR947" s="37">
        <v>9</v>
      </c>
      <c r="AS947" s="37">
        <v>9</v>
      </c>
      <c r="AT947" s="37">
        <v>9</v>
      </c>
    </row>
    <row r="948" spans="3:46" s="37" customFormat="1" x14ac:dyDescent="0.25"/>
    <row r="949" spans="3:46" s="37" customFormat="1" x14ac:dyDescent="0.25">
      <c r="C949" s="37" t="s">
        <v>21</v>
      </c>
      <c r="D949" s="37">
        <v>12</v>
      </c>
      <c r="E949" s="37">
        <v>12</v>
      </c>
      <c r="F949" s="37">
        <v>12</v>
      </c>
      <c r="G949" s="37">
        <v>12</v>
      </c>
      <c r="H949" s="37">
        <v>11</v>
      </c>
      <c r="I949" s="37">
        <v>10</v>
      </c>
      <c r="J949" s="37">
        <v>9</v>
      </c>
      <c r="K949" s="37">
        <v>5</v>
      </c>
      <c r="L949" s="37">
        <v>5</v>
      </c>
      <c r="M949" s="37">
        <v>5</v>
      </c>
      <c r="N949" s="37">
        <v>5</v>
      </c>
      <c r="O949" s="37">
        <v>5</v>
      </c>
      <c r="P949" s="37">
        <v>5</v>
      </c>
      <c r="Q949" s="37">
        <v>9</v>
      </c>
      <c r="R949" s="37">
        <v>10</v>
      </c>
      <c r="S949" s="37">
        <v>11</v>
      </c>
      <c r="T949" s="37">
        <v>13</v>
      </c>
      <c r="U949" s="37">
        <v>14</v>
      </c>
      <c r="V949" s="37">
        <v>14</v>
      </c>
      <c r="W949" s="37">
        <v>14</v>
      </c>
      <c r="X949" s="37">
        <v>14</v>
      </c>
      <c r="Z949" s="37">
        <v>12</v>
      </c>
      <c r="AA949" s="37">
        <v>12</v>
      </c>
      <c r="AB949" s="37">
        <v>12</v>
      </c>
      <c r="AC949" s="37">
        <v>12</v>
      </c>
      <c r="AD949" s="37">
        <v>12</v>
      </c>
      <c r="AE949" s="37">
        <v>12</v>
      </c>
      <c r="AF949" s="37">
        <v>12</v>
      </c>
      <c r="AG949" s="37">
        <v>5</v>
      </c>
      <c r="AH949" s="37">
        <v>5</v>
      </c>
      <c r="AI949" s="37">
        <v>5</v>
      </c>
      <c r="AJ949" s="37">
        <v>5</v>
      </c>
      <c r="AK949" s="37">
        <v>5</v>
      </c>
      <c r="AL949" s="37">
        <v>5</v>
      </c>
      <c r="AM949" s="37">
        <v>15</v>
      </c>
      <c r="AN949" s="37">
        <v>15</v>
      </c>
      <c r="AO949" s="37">
        <v>15</v>
      </c>
      <c r="AP949" s="37">
        <v>15</v>
      </c>
      <c r="AQ949" s="37">
        <v>15</v>
      </c>
      <c r="AR949" s="37">
        <v>15</v>
      </c>
      <c r="AS949" s="37">
        <v>15</v>
      </c>
      <c r="AT949" s="37">
        <v>15</v>
      </c>
    </row>
    <row r="950" spans="3:46" s="37" customFormat="1" x14ac:dyDescent="0.25"/>
    <row r="951" spans="3:46" s="37" customFormat="1" x14ac:dyDescent="0.25">
      <c r="C951" s="37" t="s">
        <v>20</v>
      </c>
      <c r="D951" s="37">
        <v>9</v>
      </c>
      <c r="E951" s="37">
        <v>9</v>
      </c>
      <c r="F951" s="37">
        <v>9</v>
      </c>
      <c r="G951" s="37">
        <v>9</v>
      </c>
      <c r="H951" s="37">
        <v>9</v>
      </c>
      <c r="I951" s="37">
        <v>9</v>
      </c>
      <c r="J951" s="37">
        <v>9</v>
      </c>
      <c r="K951" s="37">
        <v>4</v>
      </c>
      <c r="L951" s="37">
        <v>4</v>
      </c>
      <c r="M951" s="37">
        <v>4</v>
      </c>
      <c r="N951" s="37">
        <v>4</v>
      </c>
      <c r="O951" s="37">
        <v>4</v>
      </c>
      <c r="P951" s="37">
        <v>4</v>
      </c>
      <c r="Q951" s="37">
        <v>9</v>
      </c>
      <c r="R951" s="37">
        <v>10</v>
      </c>
      <c r="S951" s="37">
        <v>10</v>
      </c>
      <c r="T951" s="37">
        <v>10</v>
      </c>
      <c r="U951" s="37">
        <v>10</v>
      </c>
      <c r="V951" s="37">
        <v>10</v>
      </c>
      <c r="W951" s="37">
        <v>10</v>
      </c>
      <c r="X951" s="37">
        <v>10</v>
      </c>
      <c r="Z951" s="37">
        <v>9</v>
      </c>
      <c r="AA951" s="37">
        <v>9</v>
      </c>
      <c r="AB951" s="37">
        <v>9</v>
      </c>
      <c r="AC951" s="37">
        <v>9</v>
      </c>
      <c r="AD951" s="37">
        <v>9</v>
      </c>
      <c r="AE951" s="37">
        <v>9</v>
      </c>
      <c r="AF951" s="37">
        <v>9</v>
      </c>
      <c r="AG951" s="37">
        <v>4</v>
      </c>
      <c r="AH951" s="37">
        <v>4</v>
      </c>
      <c r="AI951" s="37">
        <v>4</v>
      </c>
      <c r="AJ951" s="37">
        <v>4</v>
      </c>
      <c r="AK951" s="37">
        <v>4</v>
      </c>
      <c r="AL951" s="37">
        <v>4</v>
      </c>
      <c r="AM951" s="37">
        <v>11</v>
      </c>
      <c r="AN951" s="37">
        <v>11</v>
      </c>
      <c r="AO951" s="37">
        <v>11</v>
      </c>
      <c r="AP951" s="37">
        <v>11</v>
      </c>
      <c r="AQ951" s="37">
        <v>11</v>
      </c>
      <c r="AR951" s="37">
        <v>11</v>
      </c>
      <c r="AS951" s="37">
        <v>11</v>
      </c>
      <c r="AT951" s="37">
        <v>11</v>
      </c>
    </row>
    <row r="952" spans="3:46" s="37" customFormat="1" x14ac:dyDescent="0.25"/>
    <row r="953" spans="3:46" s="37" customFormat="1" x14ac:dyDescent="0.25">
      <c r="C953" s="37" t="s">
        <v>21</v>
      </c>
      <c r="D953" s="37">
        <v>15</v>
      </c>
      <c r="E953" s="37">
        <v>15</v>
      </c>
      <c r="F953" s="37">
        <v>15</v>
      </c>
      <c r="G953" s="37">
        <v>15</v>
      </c>
      <c r="H953" s="37">
        <v>15</v>
      </c>
      <c r="I953" s="37">
        <v>14</v>
      </c>
      <c r="J953" s="37">
        <v>13</v>
      </c>
      <c r="K953" s="37">
        <v>5</v>
      </c>
      <c r="L953" s="37">
        <v>5</v>
      </c>
      <c r="M953" s="37">
        <v>5</v>
      </c>
      <c r="N953" s="37">
        <v>5</v>
      </c>
      <c r="O953" s="37">
        <v>5</v>
      </c>
      <c r="P953" s="37">
        <v>5</v>
      </c>
      <c r="Q953" s="37">
        <v>9</v>
      </c>
      <c r="R953" s="37">
        <v>10</v>
      </c>
      <c r="S953" s="37">
        <v>11</v>
      </c>
      <c r="T953" s="37">
        <v>12</v>
      </c>
      <c r="U953" s="37">
        <v>12</v>
      </c>
      <c r="V953" s="37">
        <v>12</v>
      </c>
      <c r="W953" s="37">
        <v>12</v>
      </c>
      <c r="X953" s="37">
        <v>12</v>
      </c>
      <c r="Z953" s="37">
        <v>15</v>
      </c>
      <c r="AA953" s="37">
        <v>15</v>
      </c>
      <c r="AB953" s="37">
        <v>15</v>
      </c>
      <c r="AC953" s="37">
        <v>15</v>
      </c>
      <c r="AD953" s="37">
        <v>15</v>
      </c>
      <c r="AE953" s="37">
        <v>15</v>
      </c>
      <c r="AF953" s="37">
        <v>15</v>
      </c>
      <c r="AG953" s="37">
        <v>5</v>
      </c>
      <c r="AH953" s="37">
        <v>5</v>
      </c>
      <c r="AI953" s="37">
        <v>5</v>
      </c>
      <c r="AJ953" s="37">
        <v>5</v>
      </c>
      <c r="AK953" s="37">
        <v>5</v>
      </c>
      <c r="AL953" s="37">
        <v>5</v>
      </c>
      <c r="AM953" s="37">
        <v>13</v>
      </c>
      <c r="AN953" s="37">
        <v>13</v>
      </c>
      <c r="AO953" s="37">
        <v>13</v>
      </c>
      <c r="AP953" s="37">
        <v>13</v>
      </c>
      <c r="AQ953" s="37">
        <v>13</v>
      </c>
      <c r="AR953" s="37">
        <v>13</v>
      </c>
      <c r="AS953" s="37">
        <v>13</v>
      </c>
      <c r="AT953" s="37">
        <v>13</v>
      </c>
    </row>
    <row r="954" spans="3:46" s="37" customFormat="1" x14ac:dyDescent="0.25"/>
    <row r="955" spans="3:46" s="37" customFormat="1" x14ac:dyDescent="0.25">
      <c r="C955" s="37" t="s">
        <v>20</v>
      </c>
      <c r="D955" s="37">
        <v>9</v>
      </c>
      <c r="E955" s="37">
        <v>9</v>
      </c>
      <c r="F955" s="37">
        <v>9</v>
      </c>
      <c r="G955" s="37">
        <v>9</v>
      </c>
      <c r="H955" s="37">
        <v>9</v>
      </c>
      <c r="I955" s="37">
        <v>9</v>
      </c>
      <c r="J955" s="37">
        <v>9</v>
      </c>
      <c r="K955" s="37">
        <v>4</v>
      </c>
      <c r="L955" s="37">
        <v>4</v>
      </c>
      <c r="M955" s="37">
        <v>4</v>
      </c>
      <c r="N955" s="37">
        <v>4</v>
      </c>
      <c r="O955" s="37">
        <v>4</v>
      </c>
      <c r="P955" s="37">
        <v>4</v>
      </c>
      <c r="Q955" s="37">
        <v>8</v>
      </c>
      <c r="R955" s="37">
        <v>9</v>
      </c>
      <c r="S955" s="37">
        <v>10</v>
      </c>
      <c r="T955" s="37">
        <v>10</v>
      </c>
      <c r="U955" s="37">
        <v>10</v>
      </c>
      <c r="V955" s="37">
        <v>10</v>
      </c>
      <c r="W955" s="37">
        <v>10</v>
      </c>
      <c r="X955" s="37">
        <v>10</v>
      </c>
      <c r="Z955" s="37">
        <v>9</v>
      </c>
      <c r="AA955" s="37">
        <v>9</v>
      </c>
      <c r="AB955" s="37">
        <v>9</v>
      </c>
      <c r="AC955" s="37">
        <v>9</v>
      </c>
      <c r="AD955" s="37">
        <v>9</v>
      </c>
      <c r="AE955" s="37">
        <v>9</v>
      </c>
      <c r="AF955" s="37">
        <v>9</v>
      </c>
      <c r="AG955" s="37">
        <v>4</v>
      </c>
      <c r="AH955" s="37">
        <v>4</v>
      </c>
      <c r="AI955" s="37">
        <v>4</v>
      </c>
      <c r="AJ955" s="37">
        <v>4</v>
      </c>
      <c r="AK955" s="37">
        <v>4</v>
      </c>
      <c r="AL955" s="37">
        <v>4</v>
      </c>
      <c r="AM955" s="37">
        <v>10</v>
      </c>
      <c r="AN955" s="37">
        <v>10</v>
      </c>
      <c r="AO955" s="37">
        <v>10</v>
      </c>
      <c r="AP955" s="37">
        <v>10</v>
      </c>
      <c r="AQ955" s="37">
        <v>10</v>
      </c>
      <c r="AR955" s="37">
        <v>10</v>
      </c>
      <c r="AS955" s="37">
        <v>10</v>
      </c>
      <c r="AT955" s="37">
        <v>10</v>
      </c>
    </row>
    <row r="956" spans="3:46" s="37" customFormat="1" x14ac:dyDescent="0.25"/>
    <row r="957" spans="3:46" s="37" customFormat="1" x14ac:dyDescent="0.25">
      <c r="C957" s="37" t="s">
        <v>21</v>
      </c>
      <c r="D957" s="37">
        <v>13</v>
      </c>
      <c r="E957" s="37">
        <v>13</v>
      </c>
      <c r="F957" s="37">
        <v>13</v>
      </c>
      <c r="G957" s="37">
        <v>13</v>
      </c>
      <c r="H957" s="37">
        <v>12</v>
      </c>
      <c r="I957" s="37">
        <v>11</v>
      </c>
      <c r="J957" s="37">
        <v>10</v>
      </c>
      <c r="K957" s="37">
        <v>5</v>
      </c>
      <c r="L957" s="37">
        <v>5</v>
      </c>
      <c r="M957" s="37">
        <v>5</v>
      </c>
      <c r="N957" s="37">
        <v>5</v>
      </c>
      <c r="O957" s="37">
        <v>5</v>
      </c>
      <c r="P957" s="37">
        <v>5</v>
      </c>
      <c r="Q957" s="37">
        <v>8</v>
      </c>
      <c r="R957" s="37">
        <v>9</v>
      </c>
      <c r="S957" s="37">
        <v>10</v>
      </c>
      <c r="T957" s="37">
        <v>11</v>
      </c>
      <c r="U957" s="37">
        <v>12</v>
      </c>
      <c r="V957" s="37">
        <v>12</v>
      </c>
      <c r="W957" s="37">
        <v>12</v>
      </c>
      <c r="X957" s="37">
        <v>12</v>
      </c>
      <c r="Z957" s="37">
        <v>13</v>
      </c>
      <c r="AA957" s="37">
        <v>13</v>
      </c>
      <c r="AB957" s="37">
        <v>13</v>
      </c>
      <c r="AC957" s="37">
        <v>13</v>
      </c>
      <c r="AD957" s="37">
        <v>13</v>
      </c>
      <c r="AE957" s="37">
        <v>13</v>
      </c>
      <c r="AF957" s="37">
        <v>13</v>
      </c>
      <c r="AG957" s="37">
        <v>5</v>
      </c>
      <c r="AH957" s="37">
        <v>5</v>
      </c>
      <c r="AI957" s="37">
        <v>5</v>
      </c>
      <c r="AJ957" s="37">
        <v>5</v>
      </c>
      <c r="AK957" s="37">
        <v>5</v>
      </c>
      <c r="AL957" s="37">
        <v>5</v>
      </c>
      <c r="AM957" s="37">
        <v>13</v>
      </c>
      <c r="AN957" s="37">
        <v>13</v>
      </c>
      <c r="AO957" s="37">
        <v>13</v>
      </c>
      <c r="AP957" s="37">
        <v>13</v>
      </c>
      <c r="AQ957" s="37">
        <v>13</v>
      </c>
      <c r="AR957" s="37">
        <v>13</v>
      </c>
      <c r="AS957" s="37">
        <v>13</v>
      </c>
      <c r="AT957" s="37">
        <v>13</v>
      </c>
    </row>
    <row r="958" spans="3:46" s="37" customFormat="1" x14ac:dyDescent="0.25"/>
    <row r="959" spans="3:46" s="37" customFormat="1" x14ac:dyDescent="0.25">
      <c r="C959" s="37" t="s">
        <v>20</v>
      </c>
      <c r="D959" s="37">
        <v>10</v>
      </c>
      <c r="E959" s="37">
        <v>10</v>
      </c>
      <c r="F959" s="37">
        <v>10</v>
      </c>
      <c r="G959" s="37">
        <v>10</v>
      </c>
      <c r="H959" s="37">
        <v>10</v>
      </c>
      <c r="I959" s="37">
        <v>10</v>
      </c>
      <c r="J959" s="37">
        <v>10</v>
      </c>
      <c r="K959" s="37">
        <v>4</v>
      </c>
      <c r="L959" s="37">
        <v>4</v>
      </c>
      <c r="M959" s="37">
        <v>4</v>
      </c>
      <c r="N959" s="37">
        <v>4</v>
      </c>
      <c r="O959" s="37">
        <v>4</v>
      </c>
      <c r="P959" s="37">
        <v>4</v>
      </c>
      <c r="Q959" s="37">
        <v>7</v>
      </c>
      <c r="R959" s="37">
        <v>8</v>
      </c>
      <c r="S959" s="37">
        <v>9</v>
      </c>
      <c r="T959" s="37">
        <v>9</v>
      </c>
      <c r="U959" s="37">
        <v>9</v>
      </c>
      <c r="V959" s="37">
        <v>9</v>
      </c>
      <c r="W959" s="37">
        <v>9</v>
      </c>
      <c r="X959" s="37">
        <v>9</v>
      </c>
      <c r="Z959" s="37">
        <v>10</v>
      </c>
      <c r="AA959" s="37">
        <v>10</v>
      </c>
      <c r="AB959" s="37">
        <v>10</v>
      </c>
      <c r="AC959" s="37">
        <v>10</v>
      </c>
      <c r="AD959" s="37">
        <v>10</v>
      </c>
      <c r="AE959" s="37">
        <v>10</v>
      </c>
      <c r="AF959" s="37">
        <v>10</v>
      </c>
      <c r="AG959" s="37">
        <v>4</v>
      </c>
      <c r="AH959" s="37">
        <v>4</v>
      </c>
      <c r="AI959" s="37">
        <v>4</v>
      </c>
      <c r="AJ959" s="37">
        <v>4</v>
      </c>
      <c r="AK959" s="37">
        <v>4</v>
      </c>
      <c r="AL959" s="37">
        <v>4</v>
      </c>
      <c r="AM959" s="37">
        <v>9</v>
      </c>
      <c r="AN959" s="37">
        <v>9</v>
      </c>
      <c r="AO959" s="37">
        <v>9</v>
      </c>
      <c r="AP959" s="37">
        <v>9</v>
      </c>
      <c r="AQ959" s="37">
        <v>9</v>
      </c>
      <c r="AR959" s="37">
        <v>9</v>
      </c>
      <c r="AS959" s="37">
        <v>9</v>
      </c>
      <c r="AT959" s="37">
        <v>9</v>
      </c>
    </row>
    <row r="960" spans="3:46" s="37" customFormat="1" x14ac:dyDescent="0.25"/>
    <row r="961" spans="3:46" s="37" customFormat="1" x14ac:dyDescent="0.25">
      <c r="C961" s="37" t="s">
        <v>21</v>
      </c>
      <c r="D961" s="37">
        <v>13</v>
      </c>
      <c r="E961" s="37">
        <v>13</v>
      </c>
      <c r="F961" s="37">
        <v>13</v>
      </c>
      <c r="G961" s="37">
        <v>13</v>
      </c>
      <c r="H961" s="37">
        <v>12</v>
      </c>
      <c r="I961" s="37">
        <v>11</v>
      </c>
      <c r="J961" s="37">
        <v>10</v>
      </c>
      <c r="K961" s="37">
        <v>5</v>
      </c>
      <c r="L961" s="37">
        <v>5</v>
      </c>
      <c r="M961" s="37">
        <v>5</v>
      </c>
      <c r="N961" s="37">
        <v>5</v>
      </c>
      <c r="O961" s="37">
        <v>5</v>
      </c>
      <c r="P961" s="37">
        <v>5</v>
      </c>
      <c r="Q961" s="37">
        <v>8</v>
      </c>
      <c r="R961" s="37">
        <v>9</v>
      </c>
      <c r="S961" s="37">
        <v>10</v>
      </c>
      <c r="T961" s="37">
        <v>11</v>
      </c>
      <c r="U961" s="37">
        <v>12</v>
      </c>
      <c r="V961" s="37">
        <v>12</v>
      </c>
      <c r="W961" s="37">
        <v>12</v>
      </c>
      <c r="X961" s="37">
        <v>12</v>
      </c>
      <c r="Z961" s="37">
        <v>13</v>
      </c>
      <c r="AA961" s="37">
        <v>13</v>
      </c>
      <c r="AB961" s="37">
        <v>13</v>
      </c>
      <c r="AC961" s="37">
        <v>13</v>
      </c>
      <c r="AD961" s="37">
        <v>13</v>
      </c>
      <c r="AE961" s="37">
        <v>13</v>
      </c>
      <c r="AF961" s="37">
        <v>13</v>
      </c>
      <c r="AG961" s="37">
        <v>5</v>
      </c>
      <c r="AH961" s="37">
        <v>5</v>
      </c>
      <c r="AI961" s="37">
        <v>5</v>
      </c>
      <c r="AJ961" s="37">
        <v>5</v>
      </c>
      <c r="AK961" s="37">
        <v>5</v>
      </c>
      <c r="AL961" s="37">
        <v>5</v>
      </c>
      <c r="AM961" s="37">
        <v>13</v>
      </c>
      <c r="AN961" s="37">
        <v>13</v>
      </c>
      <c r="AO961" s="37">
        <v>13</v>
      </c>
      <c r="AP961" s="37">
        <v>13</v>
      </c>
      <c r="AQ961" s="37">
        <v>13</v>
      </c>
      <c r="AR961" s="37">
        <v>13</v>
      </c>
      <c r="AS961" s="37">
        <v>13</v>
      </c>
      <c r="AT961" s="37">
        <v>13</v>
      </c>
    </row>
    <row r="962" spans="3:46" s="37" customFormat="1" x14ac:dyDescent="0.25"/>
    <row r="963" spans="3:46" s="37" customFormat="1" x14ac:dyDescent="0.25">
      <c r="C963" s="37" t="s">
        <v>20</v>
      </c>
      <c r="D963" s="37">
        <v>11</v>
      </c>
      <c r="E963" s="37">
        <v>11</v>
      </c>
      <c r="F963" s="37">
        <v>11</v>
      </c>
      <c r="G963" s="37">
        <v>11</v>
      </c>
      <c r="H963" s="37">
        <v>11</v>
      </c>
      <c r="I963" s="37">
        <v>11</v>
      </c>
      <c r="J963" s="37">
        <v>10</v>
      </c>
      <c r="K963" s="37">
        <v>4</v>
      </c>
      <c r="L963" s="37">
        <v>4</v>
      </c>
      <c r="M963" s="37">
        <v>4</v>
      </c>
      <c r="N963" s="37">
        <v>4</v>
      </c>
      <c r="O963" s="37">
        <v>4</v>
      </c>
      <c r="P963" s="37">
        <v>4</v>
      </c>
      <c r="Q963" s="37">
        <v>7</v>
      </c>
      <c r="R963" s="37">
        <v>8</v>
      </c>
      <c r="S963" s="37">
        <v>9</v>
      </c>
      <c r="T963" s="37">
        <v>9</v>
      </c>
      <c r="U963" s="37">
        <v>9</v>
      </c>
      <c r="V963" s="37">
        <v>9</v>
      </c>
      <c r="W963" s="37">
        <v>9</v>
      </c>
      <c r="X963" s="37">
        <v>9</v>
      </c>
      <c r="Z963" s="37">
        <v>11</v>
      </c>
      <c r="AA963" s="37">
        <v>11</v>
      </c>
      <c r="AB963" s="37">
        <v>11</v>
      </c>
      <c r="AC963" s="37">
        <v>11</v>
      </c>
      <c r="AD963" s="37">
        <v>11</v>
      </c>
      <c r="AE963" s="37">
        <v>11</v>
      </c>
      <c r="AF963" s="37">
        <v>11</v>
      </c>
      <c r="AG963" s="37">
        <v>4</v>
      </c>
      <c r="AH963" s="37">
        <v>4</v>
      </c>
      <c r="AI963" s="37">
        <v>4</v>
      </c>
      <c r="AJ963" s="37">
        <v>4</v>
      </c>
      <c r="AK963" s="37">
        <v>4</v>
      </c>
      <c r="AL963" s="37">
        <v>4</v>
      </c>
      <c r="AM963" s="37">
        <v>9</v>
      </c>
      <c r="AN963" s="37">
        <v>9</v>
      </c>
      <c r="AO963" s="37">
        <v>9</v>
      </c>
      <c r="AP963" s="37">
        <v>9</v>
      </c>
      <c r="AQ963" s="37">
        <v>9</v>
      </c>
      <c r="AR963" s="37">
        <v>9</v>
      </c>
      <c r="AS963" s="37">
        <v>9</v>
      </c>
      <c r="AT963" s="37">
        <v>9</v>
      </c>
    </row>
    <row r="964" spans="3:46" s="37" customFormat="1" x14ac:dyDescent="0.25"/>
    <row r="965" spans="3:46" s="37" customFormat="1" x14ac:dyDescent="0.25">
      <c r="C965" s="37" t="s">
        <v>21</v>
      </c>
      <c r="D965" s="37">
        <v>14</v>
      </c>
      <c r="E965" s="37">
        <v>14</v>
      </c>
      <c r="F965" s="37">
        <v>14</v>
      </c>
      <c r="G965" s="37">
        <v>14</v>
      </c>
      <c r="H965" s="37">
        <v>13</v>
      </c>
      <c r="I965" s="37">
        <v>12</v>
      </c>
      <c r="J965" s="37">
        <v>11</v>
      </c>
      <c r="K965" s="37">
        <v>5</v>
      </c>
      <c r="L965" s="37">
        <v>5</v>
      </c>
      <c r="M965" s="37">
        <v>5</v>
      </c>
      <c r="N965" s="37">
        <v>5</v>
      </c>
      <c r="O965" s="37">
        <v>5</v>
      </c>
      <c r="P965" s="37">
        <v>5</v>
      </c>
      <c r="Q965" s="37">
        <v>9</v>
      </c>
      <c r="R965" s="37">
        <v>10</v>
      </c>
      <c r="S965" s="37">
        <v>11</v>
      </c>
      <c r="T965" s="37">
        <v>13</v>
      </c>
      <c r="U965" s="37">
        <v>14</v>
      </c>
      <c r="V965" s="37">
        <v>14</v>
      </c>
      <c r="W965" s="37">
        <v>14</v>
      </c>
      <c r="X965" s="37">
        <v>14</v>
      </c>
      <c r="Z965" s="37">
        <v>14</v>
      </c>
      <c r="AA965" s="37">
        <v>14</v>
      </c>
      <c r="AB965" s="37">
        <v>14</v>
      </c>
      <c r="AC965" s="37">
        <v>14</v>
      </c>
      <c r="AD965" s="37">
        <v>14</v>
      </c>
      <c r="AE965" s="37">
        <v>14</v>
      </c>
      <c r="AF965" s="37">
        <v>14</v>
      </c>
      <c r="AG965" s="37">
        <v>5</v>
      </c>
      <c r="AH965" s="37">
        <v>5</v>
      </c>
      <c r="AI965" s="37">
        <v>5</v>
      </c>
      <c r="AJ965" s="37">
        <v>5</v>
      </c>
      <c r="AK965" s="37">
        <v>5</v>
      </c>
      <c r="AL965" s="37">
        <v>5</v>
      </c>
      <c r="AM965" s="37">
        <v>15</v>
      </c>
      <c r="AN965" s="37">
        <v>15</v>
      </c>
      <c r="AO965" s="37">
        <v>15</v>
      </c>
      <c r="AP965" s="37">
        <v>15</v>
      </c>
      <c r="AQ965" s="37">
        <v>15</v>
      </c>
      <c r="AR965" s="37">
        <v>15</v>
      </c>
      <c r="AS965" s="37">
        <v>15</v>
      </c>
      <c r="AT965" s="37">
        <v>15</v>
      </c>
    </row>
    <row r="966" spans="3:46" s="37" customFormat="1" x14ac:dyDescent="0.25"/>
    <row r="967" spans="3:46" s="37" customFormat="1" x14ac:dyDescent="0.25">
      <c r="C967" s="37" t="s">
        <v>20</v>
      </c>
      <c r="D967" s="37">
        <v>11</v>
      </c>
      <c r="E967" s="37">
        <v>11</v>
      </c>
      <c r="F967" s="37">
        <v>11</v>
      </c>
      <c r="G967" s="37">
        <v>11</v>
      </c>
      <c r="H967" s="37">
        <v>11</v>
      </c>
      <c r="I967" s="37">
        <v>11</v>
      </c>
      <c r="J967" s="37">
        <v>10</v>
      </c>
      <c r="K967" s="37">
        <v>4</v>
      </c>
      <c r="L967" s="37">
        <v>4</v>
      </c>
      <c r="M967" s="37">
        <v>4</v>
      </c>
      <c r="N967" s="37">
        <v>4</v>
      </c>
      <c r="O967" s="37">
        <v>4</v>
      </c>
      <c r="P967" s="37">
        <v>4</v>
      </c>
      <c r="Q967" s="37">
        <v>7</v>
      </c>
      <c r="R967" s="37">
        <v>8</v>
      </c>
      <c r="S967" s="37">
        <v>9</v>
      </c>
      <c r="T967" s="37">
        <v>9</v>
      </c>
      <c r="U967" s="37">
        <v>9</v>
      </c>
      <c r="V967" s="37">
        <v>9</v>
      </c>
      <c r="W967" s="37">
        <v>9</v>
      </c>
      <c r="X967" s="37">
        <v>9</v>
      </c>
      <c r="Z967" s="37">
        <v>11</v>
      </c>
      <c r="AA967" s="37">
        <v>11</v>
      </c>
      <c r="AB967" s="37">
        <v>11</v>
      </c>
      <c r="AC967" s="37">
        <v>11</v>
      </c>
      <c r="AD967" s="37">
        <v>11</v>
      </c>
      <c r="AE967" s="37">
        <v>11</v>
      </c>
      <c r="AF967" s="37">
        <v>11</v>
      </c>
      <c r="AG967" s="37">
        <v>4</v>
      </c>
      <c r="AH967" s="37">
        <v>4</v>
      </c>
      <c r="AI967" s="37">
        <v>4</v>
      </c>
      <c r="AJ967" s="37">
        <v>4</v>
      </c>
      <c r="AK967" s="37">
        <v>4</v>
      </c>
      <c r="AL967" s="37">
        <v>4</v>
      </c>
      <c r="AM967" s="37">
        <v>9</v>
      </c>
      <c r="AN967" s="37">
        <v>9</v>
      </c>
      <c r="AO967" s="37">
        <v>9</v>
      </c>
      <c r="AP967" s="37">
        <v>9</v>
      </c>
      <c r="AQ967" s="37">
        <v>9</v>
      </c>
      <c r="AR967" s="37">
        <v>9</v>
      </c>
      <c r="AS967" s="37">
        <v>9</v>
      </c>
      <c r="AT967" s="37">
        <v>9</v>
      </c>
    </row>
    <row r="968" spans="3:46" s="37" customFormat="1" x14ac:dyDescent="0.25"/>
    <row r="969" spans="3:46" s="37" customFormat="1" x14ac:dyDescent="0.25">
      <c r="C969" s="37" t="s">
        <v>21</v>
      </c>
      <c r="D969" s="37">
        <v>15</v>
      </c>
      <c r="E969" s="37">
        <v>15</v>
      </c>
      <c r="F969" s="37">
        <v>15</v>
      </c>
      <c r="G969" s="37">
        <v>15</v>
      </c>
      <c r="H969" s="37">
        <v>14</v>
      </c>
      <c r="I969" s="37">
        <v>13</v>
      </c>
      <c r="J969" s="37">
        <v>11</v>
      </c>
      <c r="K969" s="37">
        <v>5</v>
      </c>
      <c r="L969" s="37">
        <v>5</v>
      </c>
      <c r="M969" s="37">
        <v>5</v>
      </c>
      <c r="N969" s="37">
        <v>5</v>
      </c>
      <c r="O969" s="37">
        <v>5</v>
      </c>
      <c r="P969" s="37">
        <v>5</v>
      </c>
      <c r="Q969" s="37">
        <v>9</v>
      </c>
      <c r="R969" s="37">
        <v>10</v>
      </c>
      <c r="S969" s="37">
        <v>11</v>
      </c>
      <c r="T969" s="37">
        <v>13</v>
      </c>
      <c r="U969" s="37">
        <v>14</v>
      </c>
      <c r="V969" s="37">
        <v>14</v>
      </c>
      <c r="W969" s="37">
        <v>14</v>
      </c>
      <c r="X969" s="37">
        <v>14</v>
      </c>
      <c r="Z969" s="37">
        <v>15</v>
      </c>
      <c r="AA969" s="37">
        <v>15</v>
      </c>
      <c r="AB969" s="37">
        <v>15</v>
      </c>
      <c r="AC969" s="37">
        <v>15</v>
      </c>
      <c r="AD969" s="37">
        <v>15</v>
      </c>
      <c r="AE969" s="37">
        <v>15</v>
      </c>
      <c r="AF969" s="37">
        <v>15</v>
      </c>
      <c r="AG969" s="37">
        <v>5</v>
      </c>
      <c r="AH969" s="37">
        <v>5</v>
      </c>
      <c r="AI969" s="37">
        <v>5</v>
      </c>
      <c r="AJ969" s="37">
        <v>5</v>
      </c>
      <c r="AK969" s="37">
        <v>5</v>
      </c>
      <c r="AL969" s="37">
        <v>5</v>
      </c>
      <c r="AM969" s="37">
        <v>15</v>
      </c>
      <c r="AN969" s="37">
        <v>15</v>
      </c>
      <c r="AO969" s="37">
        <v>15</v>
      </c>
      <c r="AP969" s="37">
        <v>15</v>
      </c>
      <c r="AQ969" s="37">
        <v>15</v>
      </c>
      <c r="AR969" s="37">
        <v>15</v>
      </c>
      <c r="AS969" s="37">
        <v>15</v>
      </c>
      <c r="AT969" s="37">
        <v>15</v>
      </c>
    </row>
    <row r="970" spans="3:46" s="37" customFormat="1" x14ac:dyDescent="0.25"/>
    <row r="971" spans="3:46" s="37" customFormat="1" x14ac:dyDescent="0.25">
      <c r="C971" s="37" t="s">
        <v>20</v>
      </c>
      <c r="D971" s="37">
        <v>9</v>
      </c>
      <c r="E971" s="37">
        <v>9</v>
      </c>
      <c r="F971" s="37">
        <v>9</v>
      </c>
      <c r="G971" s="37">
        <v>9</v>
      </c>
      <c r="H971" s="37">
        <v>9</v>
      </c>
      <c r="I971" s="37">
        <v>9</v>
      </c>
      <c r="J971" s="37">
        <v>9</v>
      </c>
      <c r="K971" s="37">
        <v>3</v>
      </c>
      <c r="L971" s="37">
        <v>3</v>
      </c>
      <c r="M971" s="37">
        <v>3</v>
      </c>
      <c r="N971" s="37">
        <v>3</v>
      </c>
      <c r="O971" s="37">
        <v>3</v>
      </c>
      <c r="P971" s="37">
        <v>3</v>
      </c>
      <c r="Q971" s="37">
        <v>6</v>
      </c>
      <c r="R971" s="37">
        <v>6</v>
      </c>
      <c r="S971" s="37">
        <v>7</v>
      </c>
      <c r="T971" s="37">
        <v>7</v>
      </c>
      <c r="U971" s="37">
        <v>7</v>
      </c>
      <c r="V971" s="37">
        <v>7</v>
      </c>
      <c r="W971" s="37">
        <v>7</v>
      </c>
      <c r="X971" s="37">
        <v>7</v>
      </c>
      <c r="Z971" s="37">
        <v>9</v>
      </c>
      <c r="AA971" s="37">
        <v>9</v>
      </c>
      <c r="AB971" s="37">
        <v>9</v>
      </c>
      <c r="AC971" s="37">
        <v>9</v>
      </c>
      <c r="AD971" s="37">
        <v>9</v>
      </c>
      <c r="AE971" s="37">
        <v>9</v>
      </c>
      <c r="AF971" s="37">
        <v>9</v>
      </c>
      <c r="AG971" s="37">
        <v>3</v>
      </c>
      <c r="AH971" s="37">
        <v>3</v>
      </c>
      <c r="AI971" s="37">
        <v>3</v>
      </c>
      <c r="AJ971" s="37">
        <v>3</v>
      </c>
      <c r="AK971" s="37">
        <v>3</v>
      </c>
      <c r="AL971" s="37">
        <v>3</v>
      </c>
      <c r="AM971" s="37">
        <v>7</v>
      </c>
      <c r="AN971" s="37">
        <v>7</v>
      </c>
      <c r="AO971" s="37">
        <v>7</v>
      </c>
      <c r="AP971" s="37">
        <v>7</v>
      </c>
      <c r="AQ971" s="37">
        <v>7</v>
      </c>
      <c r="AR971" s="37">
        <v>7</v>
      </c>
      <c r="AS971" s="37">
        <v>7</v>
      </c>
      <c r="AT971" s="37">
        <v>7</v>
      </c>
    </row>
    <row r="972" spans="3:46" s="37" customFormat="1" x14ac:dyDescent="0.25"/>
    <row r="973" spans="3:46" s="37" customFormat="1" x14ac:dyDescent="0.25">
      <c r="C973" s="37" t="s">
        <v>21</v>
      </c>
      <c r="D973" s="37">
        <v>10</v>
      </c>
      <c r="E973" s="37">
        <v>10</v>
      </c>
      <c r="F973" s="37">
        <v>10</v>
      </c>
      <c r="G973" s="37">
        <v>10</v>
      </c>
      <c r="H973" s="37">
        <v>10</v>
      </c>
      <c r="I973" s="37">
        <v>9</v>
      </c>
      <c r="J973" s="37">
        <v>8</v>
      </c>
      <c r="K973" s="37">
        <v>4</v>
      </c>
      <c r="L973" s="37">
        <v>4</v>
      </c>
      <c r="M973" s="37">
        <v>4</v>
      </c>
      <c r="N973" s="37">
        <v>4</v>
      </c>
      <c r="O973" s="37">
        <v>4</v>
      </c>
      <c r="P973" s="37">
        <v>4</v>
      </c>
      <c r="Q973" s="37">
        <v>6</v>
      </c>
      <c r="R973" s="37">
        <v>7</v>
      </c>
      <c r="S973" s="37">
        <v>8</v>
      </c>
      <c r="T973" s="37">
        <v>9</v>
      </c>
      <c r="U973" s="37">
        <v>10</v>
      </c>
      <c r="V973" s="37">
        <v>10</v>
      </c>
      <c r="W973" s="37">
        <v>10</v>
      </c>
      <c r="X973" s="37">
        <v>10</v>
      </c>
      <c r="Z973" s="37">
        <v>10</v>
      </c>
      <c r="AA973" s="37">
        <v>10</v>
      </c>
      <c r="AB973" s="37">
        <v>10</v>
      </c>
      <c r="AC973" s="37">
        <v>10</v>
      </c>
      <c r="AD973" s="37">
        <v>10</v>
      </c>
      <c r="AE973" s="37">
        <v>10</v>
      </c>
      <c r="AF973" s="37">
        <v>10</v>
      </c>
      <c r="AG973" s="37">
        <v>4</v>
      </c>
      <c r="AH973" s="37">
        <v>4</v>
      </c>
      <c r="AI973" s="37">
        <v>4</v>
      </c>
      <c r="AJ973" s="37">
        <v>4</v>
      </c>
      <c r="AK973" s="37">
        <v>4</v>
      </c>
      <c r="AL973" s="37">
        <v>4</v>
      </c>
      <c r="AM973" s="37">
        <v>11</v>
      </c>
      <c r="AN973" s="37">
        <v>11</v>
      </c>
      <c r="AO973" s="37">
        <v>11</v>
      </c>
      <c r="AP973" s="37">
        <v>11</v>
      </c>
      <c r="AQ973" s="37">
        <v>11</v>
      </c>
      <c r="AR973" s="37">
        <v>11</v>
      </c>
      <c r="AS973" s="37">
        <v>11</v>
      </c>
      <c r="AT973" s="37">
        <v>11</v>
      </c>
    </row>
    <row r="974" spans="3:46" s="37" customFormat="1" x14ac:dyDescent="0.25"/>
    <row r="975" spans="3:46" s="37" customFormat="1" x14ac:dyDescent="0.25">
      <c r="C975" s="37" t="s">
        <v>20</v>
      </c>
      <c r="D975" s="37">
        <v>7</v>
      </c>
      <c r="E975" s="37">
        <v>7</v>
      </c>
      <c r="F975" s="37">
        <v>7</v>
      </c>
      <c r="G975" s="37">
        <v>7</v>
      </c>
      <c r="H975" s="37">
        <v>6</v>
      </c>
      <c r="I975" s="37">
        <v>6</v>
      </c>
      <c r="J975" s="37">
        <v>5</v>
      </c>
      <c r="K975" s="37">
        <v>3</v>
      </c>
      <c r="L975" s="37">
        <v>3</v>
      </c>
      <c r="M975" s="37">
        <v>3</v>
      </c>
      <c r="N975" s="37">
        <v>2</v>
      </c>
      <c r="O975" s="37">
        <v>3</v>
      </c>
      <c r="P975" s="37">
        <v>3</v>
      </c>
      <c r="Q975" s="37">
        <v>5</v>
      </c>
      <c r="R975" s="37">
        <v>6</v>
      </c>
      <c r="S975" s="37">
        <v>6</v>
      </c>
      <c r="T975" s="37">
        <v>7</v>
      </c>
      <c r="U975" s="37">
        <v>8</v>
      </c>
      <c r="V975" s="37">
        <v>8</v>
      </c>
      <c r="W975" s="37">
        <v>8</v>
      </c>
      <c r="X975" s="37">
        <v>8</v>
      </c>
      <c r="Z975" s="37">
        <v>7</v>
      </c>
      <c r="AA975" s="37">
        <v>7</v>
      </c>
      <c r="AB975" s="37">
        <v>7</v>
      </c>
      <c r="AC975" s="37">
        <v>7</v>
      </c>
      <c r="AD975" s="37">
        <v>7</v>
      </c>
      <c r="AE975" s="37">
        <v>7</v>
      </c>
      <c r="AF975" s="37">
        <v>7</v>
      </c>
      <c r="AG975" s="37">
        <v>3</v>
      </c>
      <c r="AH975" s="37">
        <v>3</v>
      </c>
      <c r="AI975" s="37">
        <v>3</v>
      </c>
      <c r="AJ975" s="37">
        <v>3</v>
      </c>
      <c r="AK975" s="37">
        <v>3</v>
      </c>
      <c r="AL975" s="37">
        <v>3</v>
      </c>
      <c r="AM975" s="37">
        <v>8</v>
      </c>
      <c r="AN975" s="37">
        <v>8</v>
      </c>
      <c r="AO975" s="37">
        <v>8</v>
      </c>
      <c r="AP975" s="37">
        <v>8</v>
      </c>
      <c r="AQ975" s="37">
        <v>8</v>
      </c>
      <c r="AR975" s="37">
        <v>8</v>
      </c>
      <c r="AS975" s="37">
        <v>8</v>
      </c>
      <c r="AT975" s="37">
        <v>8</v>
      </c>
    </row>
    <row r="976" spans="3:46" s="37" customFormat="1" x14ac:dyDescent="0.25"/>
    <row r="977" spans="3:46" s="37" customFormat="1" x14ac:dyDescent="0.25">
      <c r="C977" s="37" t="s">
        <v>21</v>
      </c>
      <c r="D977" s="37">
        <v>7</v>
      </c>
      <c r="E977" s="37">
        <v>7</v>
      </c>
      <c r="F977" s="37">
        <v>7</v>
      </c>
      <c r="G977" s="37">
        <v>7</v>
      </c>
      <c r="H977" s="37">
        <v>6</v>
      </c>
      <c r="I977" s="37">
        <v>6</v>
      </c>
      <c r="J977" s="37">
        <v>5</v>
      </c>
      <c r="K977" s="37">
        <v>5</v>
      </c>
      <c r="L977" s="37">
        <v>5</v>
      </c>
      <c r="M977" s="37">
        <v>5</v>
      </c>
      <c r="N977" s="37">
        <v>5</v>
      </c>
      <c r="O977" s="37">
        <v>5</v>
      </c>
      <c r="P977" s="37">
        <v>5</v>
      </c>
      <c r="Q977" s="37">
        <v>5</v>
      </c>
      <c r="R977" s="37">
        <v>5</v>
      </c>
      <c r="S977" s="37">
        <v>5</v>
      </c>
      <c r="T977" s="37">
        <v>5</v>
      </c>
      <c r="U977" s="37">
        <v>5</v>
      </c>
      <c r="V977" s="37">
        <v>6</v>
      </c>
      <c r="W977" s="37">
        <v>6</v>
      </c>
      <c r="X977" s="37">
        <v>6</v>
      </c>
      <c r="Z977" s="37">
        <v>7</v>
      </c>
      <c r="AA977" s="37">
        <v>7</v>
      </c>
      <c r="AB977" s="37">
        <v>7</v>
      </c>
      <c r="AC977" s="37">
        <v>7</v>
      </c>
      <c r="AD977" s="37">
        <v>7</v>
      </c>
      <c r="AE977" s="37">
        <v>7</v>
      </c>
      <c r="AF977" s="37">
        <v>7</v>
      </c>
      <c r="AG977" s="37">
        <v>5</v>
      </c>
      <c r="AH977" s="37">
        <v>5</v>
      </c>
      <c r="AI977" s="37">
        <v>5</v>
      </c>
      <c r="AJ977" s="37">
        <v>5</v>
      </c>
      <c r="AK977" s="37">
        <v>5</v>
      </c>
      <c r="AL977" s="37">
        <v>5</v>
      </c>
      <c r="AM977" s="37">
        <v>6</v>
      </c>
      <c r="AN977" s="37">
        <v>6</v>
      </c>
      <c r="AO977" s="37">
        <v>6</v>
      </c>
      <c r="AP977" s="37">
        <v>6</v>
      </c>
      <c r="AQ977" s="37">
        <v>6</v>
      </c>
      <c r="AR977" s="37">
        <v>6</v>
      </c>
      <c r="AS977" s="37">
        <v>6</v>
      </c>
      <c r="AT977" s="37">
        <v>6</v>
      </c>
    </row>
    <row r="978" spans="3:46" s="37" customFormat="1" x14ac:dyDescent="0.25"/>
    <row r="979" spans="3:46" s="37" customFormat="1" x14ac:dyDescent="0.25">
      <c r="C979" s="37" t="s">
        <v>20</v>
      </c>
      <c r="D979" s="37">
        <v>9</v>
      </c>
      <c r="E979" s="37">
        <v>9</v>
      </c>
      <c r="F979" s="37">
        <v>9</v>
      </c>
      <c r="G979" s="37">
        <v>9</v>
      </c>
      <c r="H979" s="37">
        <v>9</v>
      </c>
      <c r="I979" s="37">
        <v>9</v>
      </c>
      <c r="J979" s="37">
        <v>9</v>
      </c>
      <c r="K979" s="37">
        <v>4</v>
      </c>
      <c r="L979" s="37">
        <v>4</v>
      </c>
      <c r="M979" s="37">
        <v>4</v>
      </c>
      <c r="N979" s="37">
        <v>4</v>
      </c>
      <c r="O979" s="37">
        <v>4</v>
      </c>
      <c r="P979" s="37">
        <v>4</v>
      </c>
      <c r="Q979" s="37">
        <v>9</v>
      </c>
      <c r="R979" s="37">
        <v>10</v>
      </c>
      <c r="S979" s="37">
        <v>10</v>
      </c>
      <c r="T979" s="37">
        <v>10</v>
      </c>
      <c r="U979" s="37">
        <v>10</v>
      </c>
      <c r="V979" s="37">
        <v>10</v>
      </c>
      <c r="W979" s="37">
        <v>10</v>
      </c>
      <c r="X979" s="37">
        <v>10</v>
      </c>
      <c r="Z979" s="37">
        <v>9</v>
      </c>
      <c r="AA979" s="37">
        <v>9</v>
      </c>
      <c r="AB979" s="37">
        <v>9</v>
      </c>
      <c r="AC979" s="37">
        <v>9</v>
      </c>
      <c r="AD979" s="37">
        <v>9</v>
      </c>
      <c r="AE979" s="37">
        <v>9</v>
      </c>
      <c r="AF979" s="37">
        <v>9</v>
      </c>
      <c r="AG979" s="37">
        <v>4</v>
      </c>
      <c r="AH979" s="37">
        <v>4</v>
      </c>
      <c r="AI979" s="37">
        <v>4</v>
      </c>
      <c r="AJ979" s="37">
        <v>4</v>
      </c>
      <c r="AK979" s="37">
        <v>4</v>
      </c>
      <c r="AL979" s="37">
        <v>4</v>
      </c>
      <c r="AM979" s="37">
        <v>10</v>
      </c>
      <c r="AN979" s="37">
        <v>10</v>
      </c>
      <c r="AO979" s="37">
        <v>10</v>
      </c>
      <c r="AP979" s="37">
        <v>10</v>
      </c>
      <c r="AQ979" s="37">
        <v>10</v>
      </c>
      <c r="AR979" s="37">
        <v>10</v>
      </c>
      <c r="AS979" s="37">
        <v>10</v>
      </c>
      <c r="AT979" s="37">
        <v>10</v>
      </c>
    </row>
    <row r="980" spans="3:46" s="37" customFormat="1" x14ac:dyDescent="0.25"/>
    <row r="981" spans="3:46" s="37" customFormat="1" x14ac:dyDescent="0.25">
      <c r="C981" s="37" t="s">
        <v>21</v>
      </c>
      <c r="D981" s="37">
        <v>13</v>
      </c>
      <c r="E981" s="37">
        <v>13</v>
      </c>
      <c r="F981" s="37">
        <v>13</v>
      </c>
      <c r="G981" s="37">
        <v>13</v>
      </c>
      <c r="H981" s="37">
        <v>13</v>
      </c>
      <c r="I981" s="37">
        <v>12</v>
      </c>
      <c r="J981" s="37">
        <v>11</v>
      </c>
      <c r="K981" s="37">
        <v>6</v>
      </c>
      <c r="L981" s="37">
        <v>6</v>
      </c>
      <c r="M981" s="37">
        <v>6</v>
      </c>
      <c r="N981" s="37">
        <v>6</v>
      </c>
      <c r="O981" s="37">
        <v>6</v>
      </c>
      <c r="P981" s="37">
        <v>6</v>
      </c>
      <c r="Q981" s="37">
        <v>9</v>
      </c>
      <c r="R981" s="37">
        <v>10</v>
      </c>
      <c r="S981" s="37">
        <v>11</v>
      </c>
      <c r="T981" s="37">
        <v>12</v>
      </c>
      <c r="U981" s="37">
        <v>12</v>
      </c>
      <c r="V981" s="37">
        <v>12</v>
      </c>
      <c r="W981" s="37">
        <v>12</v>
      </c>
      <c r="X981" s="37">
        <v>12</v>
      </c>
      <c r="Z981" s="37">
        <v>13</v>
      </c>
      <c r="AA981" s="37">
        <v>13</v>
      </c>
      <c r="AB981" s="37">
        <v>13</v>
      </c>
      <c r="AC981" s="37">
        <v>13</v>
      </c>
      <c r="AD981" s="37">
        <v>13</v>
      </c>
      <c r="AE981" s="37">
        <v>13</v>
      </c>
      <c r="AF981" s="37">
        <v>13</v>
      </c>
      <c r="AG981" s="37">
        <v>6</v>
      </c>
      <c r="AH981" s="37">
        <v>6</v>
      </c>
      <c r="AI981" s="37">
        <v>6</v>
      </c>
      <c r="AJ981" s="37">
        <v>6</v>
      </c>
      <c r="AK981" s="37">
        <v>6</v>
      </c>
      <c r="AL981" s="37">
        <v>6</v>
      </c>
      <c r="AM981" s="37">
        <v>13</v>
      </c>
      <c r="AN981" s="37">
        <v>13</v>
      </c>
      <c r="AO981" s="37">
        <v>13</v>
      </c>
      <c r="AP981" s="37">
        <v>13</v>
      </c>
      <c r="AQ981" s="37">
        <v>13</v>
      </c>
      <c r="AR981" s="37">
        <v>13</v>
      </c>
      <c r="AS981" s="37">
        <v>13</v>
      </c>
      <c r="AT981" s="37">
        <v>13</v>
      </c>
    </row>
    <row r="982" spans="3:46" s="37" customFormat="1" x14ac:dyDescent="0.25"/>
    <row r="983" spans="3:46" s="37" customFormat="1" x14ac:dyDescent="0.25">
      <c r="C983" s="37" t="s">
        <v>20</v>
      </c>
      <c r="D983" s="37">
        <v>7</v>
      </c>
      <c r="E983" s="37">
        <v>7</v>
      </c>
      <c r="F983" s="37">
        <v>7</v>
      </c>
      <c r="G983" s="37">
        <v>7</v>
      </c>
      <c r="H983" s="37">
        <v>7</v>
      </c>
      <c r="I983" s="37">
        <v>7</v>
      </c>
      <c r="J983" s="37">
        <v>7</v>
      </c>
      <c r="K983" s="37">
        <v>3</v>
      </c>
      <c r="L983" s="37">
        <v>3</v>
      </c>
      <c r="M983" s="37">
        <v>3</v>
      </c>
      <c r="N983" s="37">
        <v>3</v>
      </c>
      <c r="O983" s="37">
        <v>3</v>
      </c>
      <c r="P983" s="37">
        <v>3</v>
      </c>
      <c r="Q983" s="37">
        <v>8</v>
      </c>
      <c r="R983" s="37">
        <v>9</v>
      </c>
      <c r="S983" s="37">
        <v>9</v>
      </c>
      <c r="T983" s="37">
        <v>9</v>
      </c>
      <c r="U983" s="37">
        <v>9</v>
      </c>
      <c r="V983" s="37">
        <v>9</v>
      </c>
      <c r="W983" s="37">
        <v>9</v>
      </c>
      <c r="X983" s="37">
        <v>9</v>
      </c>
      <c r="Z983" s="37">
        <v>7</v>
      </c>
      <c r="AA983" s="37">
        <v>7</v>
      </c>
      <c r="AB983" s="37">
        <v>7</v>
      </c>
      <c r="AC983" s="37">
        <v>7</v>
      </c>
      <c r="AD983" s="37">
        <v>7</v>
      </c>
      <c r="AE983" s="37">
        <v>7</v>
      </c>
      <c r="AF983" s="37">
        <v>7</v>
      </c>
      <c r="AG983" s="37">
        <v>3</v>
      </c>
      <c r="AH983" s="37">
        <v>3</v>
      </c>
      <c r="AI983" s="37">
        <v>3</v>
      </c>
      <c r="AJ983" s="37">
        <v>3</v>
      </c>
      <c r="AK983" s="37">
        <v>3</v>
      </c>
      <c r="AL983" s="37">
        <v>3</v>
      </c>
      <c r="AM983" s="37">
        <v>9</v>
      </c>
      <c r="AN983" s="37">
        <v>9</v>
      </c>
      <c r="AO983" s="37">
        <v>9</v>
      </c>
      <c r="AP983" s="37">
        <v>9</v>
      </c>
      <c r="AQ983" s="37">
        <v>9</v>
      </c>
      <c r="AR983" s="37">
        <v>9</v>
      </c>
      <c r="AS983" s="37">
        <v>9</v>
      </c>
      <c r="AT983" s="37">
        <v>9</v>
      </c>
    </row>
    <row r="984" spans="3:46" s="37" customFormat="1" x14ac:dyDescent="0.25"/>
    <row r="985" spans="3:46" s="37" customFormat="1" x14ac:dyDescent="0.25">
      <c r="C985" s="37" t="s">
        <v>21</v>
      </c>
      <c r="D985" s="37">
        <v>12</v>
      </c>
      <c r="E985" s="37">
        <v>12</v>
      </c>
      <c r="F985" s="37">
        <v>12</v>
      </c>
      <c r="G985" s="37">
        <v>12</v>
      </c>
      <c r="H985" s="37">
        <v>12</v>
      </c>
      <c r="I985" s="37">
        <v>11</v>
      </c>
      <c r="J985" s="37">
        <v>10</v>
      </c>
      <c r="K985" s="37">
        <v>5</v>
      </c>
      <c r="L985" s="37">
        <v>5</v>
      </c>
      <c r="M985" s="37">
        <v>5</v>
      </c>
      <c r="N985" s="37">
        <v>5</v>
      </c>
      <c r="O985" s="37">
        <v>5</v>
      </c>
      <c r="P985" s="37">
        <v>5</v>
      </c>
      <c r="Q985" s="37">
        <v>7</v>
      </c>
      <c r="R985" s="37">
        <v>8</v>
      </c>
      <c r="S985" s="37">
        <v>9</v>
      </c>
      <c r="T985" s="37">
        <v>10</v>
      </c>
      <c r="U985" s="37">
        <v>10</v>
      </c>
      <c r="V985" s="37">
        <v>10</v>
      </c>
      <c r="W985" s="37">
        <v>10</v>
      </c>
      <c r="X985" s="37">
        <v>10</v>
      </c>
      <c r="Z985" s="37">
        <v>12</v>
      </c>
      <c r="AA985" s="37">
        <v>12</v>
      </c>
      <c r="AB985" s="37">
        <v>12</v>
      </c>
      <c r="AC985" s="37">
        <v>12</v>
      </c>
      <c r="AD985" s="37">
        <v>12</v>
      </c>
      <c r="AE985" s="37">
        <v>12</v>
      </c>
      <c r="AF985" s="37">
        <v>12</v>
      </c>
      <c r="AG985" s="37">
        <v>5</v>
      </c>
      <c r="AH985" s="37">
        <v>5</v>
      </c>
      <c r="AI985" s="37">
        <v>5</v>
      </c>
      <c r="AJ985" s="37">
        <v>5</v>
      </c>
      <c r="AK985" s="37">
        <v>5</v>
      </c>
      <c r="AL985" s="37">
        <v>5</v>
      </c>
      <c r="AM985" s="37">
        <v>11</v>
      </c>
      <c r="AN985" s="37">
        <v>11</v>
      </c>
      <c r="AO985" s="37">
        <v>11</v>
      </c>
      <c r="AP985" s="37">
        <v>11</v>
      </c>
      <c r="AQ985" s="37">
        <v>11</v>
      </c>
      <c r="AR985" s="37">
        <v>11</v>
      </c>
      <c r="AS985" s="37">
        <v>11</v>
      </c>
      <c r="AT985" s="37">
        <v>11</v>
      </c>
    </row>
    <row r="986" spans="3:46" s="37" customFormat="1" x14ac:dyDescent="0.25"/>
    <row r="987" spans="3:46" s="37" customFormat="1" x14ac:dyDescent="0.25">
      <c r="C987" s="37" t="s">
        <v>20</v>
      </c>
      <c r="D987" s="37">
        <v>8</v>
      </c>
      <c r="E987" s="37">
        <v>8</v>
      </c>
      <c r="F987" s="37">
        <v>8</v>
      </c>
      <c r="G987" s="37">
        <v>8</v>
      </c>
      <c r="H987" s="37">
        <v>8</v>
      </c>
      <c r="I987" s="37">
        <v>7</v>
      </c>
      <c r="J987" s="37">
        <v>6</v>
      </c>
      <c r="K987" s="37">
        <v>3</v>
      </c>
      <c r="L987" s="37">
        <v>3</v>
      </c>
      <c r="M987" s="37">
        <v>3</v>
      </c>
      <c r="N987" s="37">
        <v>3</v>
      </c>
      <c r="O987" s="37">
        <v>3</v>
      </c>
      <c r="P987" s="37">
        <v>3</v>
      </c>
      <c r="Q987" s="37">
        <v>5</v>
      </c>
      <c r="R987" s="37">
        <v>6</v>
      </c>
      <c r="S987" s="37">
        <v>6</v>
      </c>
      <c r="T987" s="37">
        <v>7</v>
      </c>
      <c r="U987" s="37">
        <v>8</v>
      </c>
      <c r="V987" s="37">
        <v>8</v>
      </c>
      <c r="W987" s="37">
        <v>8</v>
      </c>
      <c r="X987" s="37">
        <v>8</v>
      </c>
      <c r="Z987" s="37">
        <v>8</v>
      </c>
      <c r="AA987" s="37">
        <v>8</v>
      </c>
      <c r="AB987" s="37">
        <v>8</v>
      </c>
      <c r="AC987" s="37">
        <v>8</v>
      </c>
      <c r="AD987" s="37">
        <v>8</v>
      </c>
      <c r="AE987" s="37">
        <v>8</v>
      </c>
      <c r="AF987" s="37">
        <v>8</v>
      </c>
      <c r="AG987" s="37">
        <v>3</v>
      </c>
      <c r="AH987" s="37">
        <v>3</v>
      </c>
      <c r="AI987" s="37">
        <v>3</v>
      </c>
      <c r="AJ987" s="37">
        <v>3</v>
      </c>
      <c r="AK987" s="37">
        <v>3</v>
      </c>
      <c r="AL987" s="37">
        <v>3</v>
      </c>
      <c r="AM987" s="37">
        <v>8</v>
      </c>
      <c r="AN987" s="37">
        <v>8</v>
      </c>
      <c r="AO987" s="37">
        <v>8</v>
      </c>
      <c r="AP987" s="37">
        <v>8</v>
      </c>
      <c r="AQ987" s="37">
        <v>8</v>
      </c>
      <c r="AR987" s="37">
        <v>8</v>
      </c>
      <c r="AS987" s="37">
        <v>8</v>
      </c>
      <c r="AT987" s="37">
        <v>8</v>
      </c>
    </row>
    <row r="988" spans="3:46" s="37" customFormat="1" x14ac:dyDescent="0.25"/>
    <row r="989" spans="3:46" s="37" customFormat="1" x14ac:dyDescent="0.25">
      <c r="C989" s="37" t="s">
        <v>21</v>
      </c>
      <c r="D989" s="37">
        <v>6</v>
      </c>
      <c r="E989" s="37">
        <v>6</v>
      </c>
      <c r="F989" s="37">
        <v>6</v>
      </c>
      <c r="G989" s="37">
        <v>6</v>
      </c>
      <c r="H989" s="37">
        <v>5</v>
      </c>
      <c r="I989" s="37">
        <v>5</v>
      </c>
      <c r="J989" s="37">
        <v>5</v>
      </c>
      <c r="K989" s="37">
        <v>5</v>
      </c>
      <c r="L989" s="37">
        <v>5</v>
      </c>
      <c r="M989" s="37">
        <v>5</v>
      </c>
      <c r="N989" s="37">
        <v>5</v>
      </c>
      <c r="O989" s="37">
        <v>5</v>
      </c>
      <c r="P989" s="37">
        <v>5</v>
      </c>
      <c r="Q989" s="37">
        <v>5</v>
      </c>
      <c r="R989" s="37">
        <v>5</v>
      </c>
      <c r="S989" s="37">
        <v>5</v>
      </c>
      <c r="T989" s="37">
        <v>6</v>
      </c>
      <c r="U989" s="37">
        <v>6</v>
      </c>
      <c r="V989" s="37">
        <v>7</v>
      </c>
      <c r="W989" s="37">
        <v>7</v>
      </c>
      <c r="X989" s="37">
        <v>7</v>
      </c>
      <c r="Z989" s="37">
        <v>6</v>
      </c>
      <c r="AA989" s="37">
        <v>6</v>
      </c>
      <c r="AB989" s="37">
        <v>6</v>
      </c>
      <c r="AC989" s="37">
        <v>6</v>
      </c>
      <c r="AD989" s="37">
        <v>6</v>
      </c>
      <c r="AE989" s="37">
        <v>6</v>
      </c>
      <c r="AF989" s="37">
        <v>6</v>
      </c>
      <c r="AG989" s="37">
        <v>5</v>
      </c>
      <c r="AH989" s="37">
        <v>5</v>
      </c>
      <c r="AI989" s="37">
        <v>5</v>
      </c>
      <c r="AJ989" s="37">
        <v>5</v>
      </c>
      <c r="AK989" s="37">
        <v>5</v>
      </c>
      <c r="AL989" s="37">
        <v>5</v>
      </c>
      <c r="AM989" s="37">
        <v>7</v>
      </c>
      <c r="AN989" s="37">
        <v>7</v>
      </c>
      <c r="AO989" s="37">
        <v>7</v>
      </c>
      <c r="AP989" s="37">
        <v>7</v>
      </c>
      <c r="AQ989" s="37">
        <v>7</v>
      </c>
      <c r="AR989" s="37">
        <v>7</v>
      </c>
      <c r="AS989" s="37">
        <v>7</v>
      </c>
      <c r="AT989" s="37">
        <v>7</v>
      </c>
    </row>
    <row r="990" spans="3:46" s="37" customFormat="1" x14ac:dyDescent="0.25"/>
    <row r="991" spans="3:46" s="37" customFormat="1" x14ac:dyDescent="0.25">
      <c r="C991" s="37" t="s">
        <v>20</v>
      </c>
      <c r="D991" s="37">
        <v>11</v>
      </c>
      <c r="E991" s="37">
        <v>11</v>
      </c>
      <c r="F991" s="37">
        <v>11</v>
      </c>
      <c r="G991" s="37">
        <v>11</v>
      </c>
      <c r="H991" s="37">
        <v>11</v>
      </c>
      <c r="I991" s="37">
        <v>11</v>
      </c>
      <c r="J991" s="37">
        <v>11</v>
      </c>
      <c r="K991" s="37">
        <v>4</v>
      </c>
      <c r="L991" s="37">
        <v>4</v>
      </c>
      <c r="M991" s="37">
        <v>4</v>
      </c>
      <c r="N991" s="37">
        <v>4</v>
      </c>
      <c r="O991" s="37">
        <v>4</v>
      </c>
      <c r="P991" s="37">
        <v>4</v>
      </c>
      <c r="Q991" s="37">
        <v>9</v>
      </c>
      <c r="R991" s="37">
        <v>10</v>
      </c>
      <c r="S991" s="37">
        <v>10</v>
      </c>
      <c r="T991" s="37">
        <v>10</v>
      </c>
      <c r="U991" s="37">
        <v>10</v>
      </c>
      <c r="V991" s="37">
        <v>10</v>
      </c>
      <c r="W991" s="37">
        <v>10</v>
      </c>
      <c r="X991" s="37">
        <v>10</v>
      </c>
      <c r="Z991" s="37">
        <v>11</v>
      </c>
      <c r="AA991" s="37">
        <v>11</v>
      </c>
      <c r="AB991" s="37">
        <v>11</v>
      </c>
      <c r="AC991" s="37">
        <v>11</v>
      </c>
      <c r="AD991" s="37">
        <v>11</v>
      </c>
      <c r="AE991" s="37">
        <v>11</v>
      </c>
      <c r="AF991" s="37">
        <v>11</v>
      </c>
      <c r="AG991" s="37">
        <v>4</v>
      </c>
      <c r="AH991" s="37">
        <v>4</v>
      </c>
      <c r="AI991" s="37">
        <v>4</v>
      </c>
      <c r="AJ991" s="37">
        <v>4</v>
      </c>
      <c r="AK991" s="37">
        <v>4</v>
      </c>
      <c r="AL991" s="37">
        <v>4</v>
      </c>
      <c r="AM991" s="37">
        <v>11</v>
      </c>
      <c r="AN991" s="37">
        <v>11</v>
      </c>
      <c r="AO991" s="37">
        <v>11</v>
      </c>
      <c r="AP991" s="37">
        <v>11</v>
      </c>
      <c r="AQ991" s="37">
        <v>11</v>
      </c>
      <c r="AR991" s="37">
        <v>11</v>
      </c>
      <c r="AS991" s="37">
        <v>11</v>
      </c>
      <c r="AT991" s="37">
        <v>11</v>
      </c>
    </row>
    <row r="992" spans="3:46" s="37" customFormat="1" x14ac:dyDescent="0.25"/>
    <row r="993" spans="3:46" s="37" customFormat="1" x14ac:dyDescent="0.25">
      <c r="C993" s="37" t="s">
        <v>21</v>
      </c>
      <c r="D993" s="37">
        <v>15</v>
      </c>
      <c r="E993" s="37">
        <v>15</v>
      </c>
      <c r="F993" s="37">
        <v>15</v>
      </c>
      <c r="G993" s="37">
        <v>15</v>
      </c>
      <c r="H993" s="37">
        <v>15</v>
      </c>
      <c r="I993" s="37">
        <v>14</v>
      </c>
      <c r="J993" s="37">
        <v>13</v>
      </c>
      <c r="K993" s="37">
        <v>4</v>
      </c>
      <c r="L993" s="37">
        <v>4</v>
      </c>
      <c r="M993" s="37">
        <v>4</v>
      </c>
      <c r="N993" s="37">
        <v>4</v>
      </c>
      <c r="O993" s="37">
        <v>4</v>
      </c>
      <c r="P993" s="37">
        <v>4</v>
      </c>
      <c r="Q993" s="37">
        <v>11</v>
      </c>
      <c r="R993" s="37">
        <v>12</v>
      </c>
      <c r="S993" s="37">
        <v>14</v>
      </c>
      <c r="T993" s="37">
        <v>15</v>
      </c>
      <c r="U993" s="37">
        <v>15</v>
      </c>
      <c r="V993" s="37">
        <v>15</v>
      </c>
      <c r="W993" s="37">
        <v>15</v>
      </c>
      <c r="X993" s="37">
        <v>15</v>
      </c>
      <c r="Z993" s="37">
        <v>15</v>
      </c>
      <c r="AA993" s="37">
        <v>15</v>
      </c>
      <c r="AB993" s="37">
        <v>15</v>
      </c>
      <c r="AC993" s="37">
        <v>15</v>
      </c>
      <c r="AD993" s="37">
        <v>15</v>
      </c>
      <c r="AE993" s="37">
        <v>15</v>
      </c>
      <c r="AF993" s="37">
        <v>15</v>
      </c>
      <c r="AG993" s="37">
        <v>4</v>
      </c>
      <c r="AH993" s="37">
        <v>4</v>
      </c>
      <c r="AI993" s="37">
        <v>4</v>
      </c>
      <c r="AJ993" s="37">
        <v>4</v>
      </c>
      <c r="AK993" s="37">
        <v>4</v>
      </c>
      <c r="AL993" s="37">
        <v>4</v>
      </c>
      <c r="AM993" s="37">
        <v>16</v>
      </c>
      <c r="AN993" s="37">
        <v>16</v>
      </c>
      <c r="AO993" s="37">
        <v>16</v>
      </c>
      <c r="AP993" s="37">
        <v>16</v>
      </c>
      <c r="AQ993" s="37">
        <v>16</v>
      </c>
      <c r="AR993" s="37">
        <v>16</v>
      </c>
      <c r="AS993" s="37">
        <v>16</v>
      </c>
      <c r="AT993" s="37">
        <v>16</v>
      </c>
    </row>
    <row r="994" spans="3:46" s="37" customFormat="1" x14ac:dyDescent="0.25"/>
    <row r="995" spans="3:46" s="37" customFormat="1" x14ac:dyDescent="0.25">
      <c r="C995" s="37" t="s">
        <v>20</v>
      </c>
      <c r="D995" s="37">
        <v>11</v>
      </c>
      <c r="E995" s="37">
        <v>11</v>
      </c>
      <c r="F995" s="37">
        <v>11</v>
      </c>
      <c r="G995" s="37">
        <v>11</v>
      </c>
      <c r="H995" s="37">
        <v>11</v>
      </c>
      <c r="I995" s="37">
        <v>11</v>
      </c>
      <c r="J995" s="37">
        <v>10</v>
      </c>
      <c r="K995" s="37">
        <v>4</v>
      </c>
      <c r="L995" s="37">
        <v>4</v>
      </c>
      <c r="M995" s="37">
        <v>4</v>
      </c>
      <c r="N995" s="37">
        <v>4</v>
      </c>
      <c r="O995" s="37">
        <v>4</v>
      </c>
      <c r="P995" s="37">
        <v>4</v>
      </c>
      <c r="Q995" s="37">
        <v>8</v>
      </c>
      <c r="R995" s="37">
        <v>9</v>
      </c>
      <c r="S995" s="37">
        <v>10</v>
      </c>
      <c r="T995" s="37">
        <v>10</v>
      </c>
      <c r="U995" s="37">
        <v>10</v>
      </c>
      <c r="V995" s="37">
        <v>10</v>
      </c>
      <c r="W995" s="37">
        <v>10</v>
      </c>
      <c r="X995" s="37">
        <v>10</v>
      </c>
      <c r="Z995" s="37">
        <v>11</v>
      </c>
      <c r="AA995" s="37">
        <v>11</v>
      </c>
      <c r="AB995" s="37">
        <v>11</v>
      </c>
      <c r="AC995" s="37">
        <v>11</v>
      </c>
      <c r="AD995" s="37">
        <v>11</v>
      </c>
      <c r="AE995" s="37">
        <v>11</v>
      </c>
      <c r="AF995" s="37">
        <v>11</v>
      </c>
      <c r="AG995" s="37">
        <v>4</v>
      </c>
      <c r="AH995" s="37">
        <v>4</v>
      </c>
      <c r="AI995" s="37">
        <v>4</v>
      </c>
      <c r="AJ995" s="37">
        <v>4</v>
      </c>
      <c r="AK995" s="37">
        <v>4</v>
      </c>
      <c r="AL995" s="37">
        <v>4</v>
      </c>
      <c r="AM995" s="37">
        <v>10</v>
      </c>
      <c r="AN995" s="37">
        <v>10</v>
      </c>
      <c r="AO995" s="37">
        <v>10</v>
      </c>
      <c r="AP995" s="37">
        <v>10</v>
      </c>
      <c r="AQ995" s="37">
        <v>10</v>
      </c>
      <c r="AR995" s="37">
        <v>10</v>
      </c>
      <c r="AS995" s="37">
        <v>10</v>
      </c>
      <c r="AT995" s="37">
        <v>10</v>
      </c>
    </row>
    <row r="996" spans="3:46" s="37" customFormat="1" x14ac:dyDescent="0.25"/>
    <row r="997" spans="3:46" s="37" customFormat="1" x14ac:dyDescent="0.25">
      <c r="C997" s="37" t="s">
        <v>21</v>
      </c>
      <c r="D997" s="37">
        <v>15</v>
      </c>
      <c r="E997" s="37">
        <v>15</v>
      </c>
      <c r="F997" s="37">
        <v>15</v>
      </c>
      <c r="G997" s="37">
        <v>15</v>
      </c>
      <c r="H997" s="37">
        <v>14</v>
      </c>
      <c r="I997" s="37">
        <v>13</v>
      </c>
      <c r="J997" s="37">
        <v>11</v>
      </c>
      <c r="K997" s="37">
        <v>5</v>
      </c>
      <c r="L997" s="37">
        <v>5</v>
      </c>
      <c r="M997" s="37">
        <v>5</v>
      </c>
      <c r="N997" s="37">
        <v>5</v>
      </c>
      <c r="O997" s="37">
        <v>5</v>
      </c>
      <c r="P997" s="37">
        <v>5</v>
      </c>
      <c r="Q997" s="37">
        <v>9</v>
      </c>
      <c r="R997" s="37">
        <v>10</v>
      </c>
      <c r="S997" s="37">
        <v>11</v>
      </c>
      <c r="T997" s="37">
        <v>13</v>
      </c>
      <c r="U997" s="37">
        <v>14</v>
      </c>
      <c r="V997" s="37">
        <v>14</v>
      </c>
      <c r="W997" s="37">
        <v>14</v>
      </c>
      <c r="X997" s="37">
        <v>14</v>
      </c>
      <c r="Z997" s="37">
        <v>15</v>
      </c>
      <c r="AA997" s="37">
        <v>15</v>
      </c>
      <c r="AB997" s="37">
        <v>15</v>
      </c>
      <c r="AC997" s="37">
        <v>15</v>
      </c>
      <c r="AD997" s="37">
        <v>15</v>
      </c>
      <c r="AE997" s="37">
        <v>15</v>
      </c>
      <c r="AF997" s="37">
        <v>15</v>
      </c>
      <c r="AG997" s="37">
        <v>5</v>
      </c>
      <c r="AH997" s="37">
        <v>5</v>
      </c>
      <c r="AI997" s="37">
        <v>5</v>
      </c>
      <c r="AJ997" s="37">
        <v>5</v>
      </c>
      <c r="AK997" s="37">
        <v>5</v>
      </c>
      <c r="AL997" s="37">
        <v>5</v>
      </c>
      <c r="AM997" s="37">
        <v>15</v>
      </c>
      <c r="AN997" s="37">
        <v>15</v>
      </c>
      <c r="AO997" s="37">
        <v>15</v>
      </c>
      <c r="AP997" s="37">
        <v>15</v>
      </c>
      <c r="AQ997" s="37">
        <v>15</v>
      </c>
      <c r="AR997" s="37">
        <v>15</v>
      </c>
      <c r="AS997" s="37">
        <v>15</v>
      </c>
      <c r="AT997" s="37">
        <v>15</v>
      </c>
    </row>
    <row r="998" spans="3:46" s="37" customFormat="1" x14ac:dyDescent="0.25"/>
    <row r="999" spans="3:46" s="37" customFormat="1" x14ac:dyDescent="0.25">
      <c r="C999" s="37" t="s">
        <v>20</v>
      </c>
      <c r="D999" s="37">
        <v>10</v>
      </c>
      <c r="E999" s="37">
        <v>10</v>
      </c>
      <c r="F999" s="37">
        <v>10</v>
      </c>
      <c r="G999" s="37">
        <v>10</v>
      </c>
      <c r="H999" s="37">
        <v>10</v>
      </c>
      <c r="I999" s="37">
        <v>10</v>
      </c>
      <c r="J999" s="37">
        <v>10</v>
      </c>
      <c r="K999" s="37">
        <v>9</v>
      </c>
      <c r="L999" s="37">
        <v>9</v>
      </c>
      <c r="M999" s="37">
        <v>8</v>
      </c>
      <c r="N999" s="37">
        <v>7</v>
      </c>
      <c r="O999" s="37">
        <v>6</v>
      </c>
      <c r="P999" s="37">
        <v>7</v>
      </c>
      <c r="Q999" s="37">
        <v>8</v>
      </c>
      <c r="R999" s="37">
        <v>9</v>
      </c>
      <c r="S999" s="37">
        <v>9</v>
      </c>
      <c r="T999" s="37">
        <v>9</v>
      </c>
      <c r="U999" s="37">
        <v>9</v>
      </c>
      <c r="V999" s="37">
        <v>9</v>
      </c>
      <c r="W999" s="37">
        <v>9</v>
      </c>
      <c r="X999" s="37">
        <v>9</v>
      </c>
      <c r="Z999" s="37">
        <v>10</v>
      </c>
      <c r="AA999" s="37">
        <v>10</v>
      </c>
      <c r="AB999" s="37">
        <v>10</v>
      </c>
      <c r="AC999" s="37">
        <v>10</v>
      </c>
      <c r="AD999" s="37">
        <v>10</v>
      </c>
      <c r="AE999" s="37">
        <v>10</v>
      </c>
      <c r="AF999" s="37">
        <v>10</v>
      </c>
      <c r="AG999" s="37">
        <v>9</v>
      </c>
      <c r="AH999" s="37">
        <v>9</v>
      </c>
      <c r="AI999" s="37">
        <v>9</v>
      </c>
      <c r="AJ999" s="37">
        <v>9</v>
      </c>
      <c r="AK999" s="37">
        <v>9</v>
      </c>
      <c r="AL999" s="37">
        <v>9</v>
      </c>
      <c r="AM999" s="37">
        <v>9</v>
      </c>
      <c r="AN999" s="37">
        <v>9</v>
      </c>
      <c r="AO999" s="37">
        <v>9</v>
      </c>
      <c r="AP999" s="37">
        <v>9</v>
      </c>
      <c r="AQ999" s="37">
        <v>9</v>
      </c>
      <c r="AR999" s="37">
        <v>9</v>
      </c>
      <c r="AS999" s="37">
        <v>9</v>
      </c>
      <c r="AT999" s="37">
        <v>9</v>
      </c>
    </row>
    <row r="1000" spans="3:46" s="37" customFormat="1" x14ac:dyDescent="0.25"/>
    <row r="1001" spans="3:46" s="37" customFormat="1" x14ac:dyDescent="0.25">
      <c r="C1001" s="37" t="s">
        <v>21</v>
      </c>
      <c r="D1001" s="37">
        <v>13</v>
      </c>
      <c r="E1001" s="37">
        <v>13</v>
      </c>
      <c r="F1001" s="37">
        <v>13</v>
      </c>
      <c r="G1001" s="37">
        <v>13</v>
      </c>
      <c r="H1001" s="37">
        <v>13</v>
      </c>
      <c r="I1001" s="37">
        <v>13</v>
      </c>
      <c r="J1001" s="37">
        <v>13</v>
      </c>
      <c r="K1001" s="37">
        <v>13</v>
      </c>
      <c r="L1001" s="37">
        <v>13</v>
      </c>
      <c r="M1001" s="37">
        <v>13</v>
      </c>
      <c r="N1001" s="37">
        <v>13</v>
      </c>
      <c r="O1001" s="37">
        <v>13</v>
      </c>
      <c r="P1001" s="37">
        <v>13</v>
      </c>
      <c r="Q1001" s="37">
        <v>13</v>
      </c>
      <c r="R1001" s="37">
        <v>13</v>
      </c>
      <c r="S1001" s="37">
        <v>13</v>
      </c>
      <c r="T1001" s="37">
        <v>13</v>
      </c>
      <c r="U1001" s="37">
        <v>13</v>
      </c>
      <c r="V1001" s="37">
        <v>12</v>
      </c>
      <c r="W1001" s="37">
        <v>12</v>
      </c>
      <c r="X1001" s="37">
        <v>12</v>
      </c>
      <c r="Z1001" s="37">
        <v>13</v>
      </c>
      <c r="AA1001" s="37">
        <v>13</v>
      </c>
      <c r="AB1001" s="37">
        <v>13</v>
      </c>
      <c r="AC1001" s="37">
        <v>13</v>
      </c>
      <c r="AD1001" s="37">
        <v>13</v>
      </c>
      <c r="AE1001" s="37">
        <v>13</v>
      </c>
      <c r="AF1001" s="37">
        <v>13</v>
      </c>
      <c r="AG1001" s="37">
        <v>13</v>
      </c>
      <c r="AH1001" s="37">
        <v>13</v>
      </c>
      <c r="AI1001" s="37">
        <v>13</v>
      </c>
      <c r="AJ1001" s="37">
        <v>13</v>
      </c>
      <c r="AK1001" s="37">
        <v>13</v>
      </c>
      <c r="AL1001" s="37">
        <v>13</v>
      </c>
      <c r="AM1001" s="37">
        <v>13</v>
      </c>
      <c r="AN1001" s="37">
        <v>13</v>
      </c>
      <c r="AO1001" s="37">
        <v>13</v>
      </c>
      <c r="AP1001" s="37">
        <v>13</v>
      </c>
      <c r="AQ1001" s="37">
        <v>13</v>
      </c>
      <c r="AR1001" s="37">
        <v>13</v>
      </c>
      <c r="AS1001" s="37">
        <v>13</v>
      </c>
      <c r="AT1001" s="37">
        <v>13</v>
      </c>
    </row>
    <row r="1002" spans="3:46" s="37" customFormat="1" x14ac:dyDescent="0.25"/>
    <row r="1003" spans="3:46" s="37" customFormat="1" x14ac:dyDescent="0.25">
      <c r="C1003" s="37" t="s">
        <v>20</v>
      </c>
      <c r="D1003" s="37">
        <v>12</v>
      </c>
      <c r="E1003" s="37">
        <v>12</v>
      </c>
      <c r="F1003" s="37">
        <v>12</v>
      </c>
      <c r="G1003" s="37">
        <v>12</v>
      </c>
      <c r="H1003" s="37">
        <v>12</v>
      </c>
      <c r="I1003" s="37">
        <v>12</v>
      </c>
      <c r="J1003" s="37">
        <v>11</v>
      </c>
      <c r="K1003" s="37">
        <v>5</v>
      </c>
      <c r="L1003" s="37">
        <v>5</v>
      </c>
      <c r="M1003" s="37">
        <v>5</v>
      </c>
      <c r="N1003" s="37">
        <v>5</v>
      </c>
      <c r="O1003" s="37">
        <v>5</v>
      </c>
      <c r="P1003" s="37">
        <v>5</v>
      </c>
      <c r="Q1003" s="37">
        <v>8</v>
      </c>
      <c r="R1003" s="37">
        <v>9</v>
      </c>
      <c r="S1003" s="37">
        <v>10</v>
      </c>
      <c r="T1003" s="37">
        <v>10</v>
      </c>
      <c r="U1003" s="37">
        <v>10</v>
      </c>
      <c r="V1003" s="37">
        <v>10</v>
      </c>
      <c r="W1003" s="37">
        <v>10</v>
      </c>
      <c r="X1003" s="37">
        <v>10</v>
      </c>
      <c r="Z1003" s="37">
        <v>12</v>
      </c>
      <c r="AA1003" s="37">
        <v>12</v>
      </c>
      <c r="AB1003" s="37">
        <v>12</v>
      </c>
      <c r="AC1003" s="37">
        <v>12</v>
      </c>
      <c r="AD1003" s="37">
        <v>12</v>
      </c>
      <c r="AE1003" s="37">
        <v>12</v>
      </c>
      <c r="AF1003" s="37">
        <v>12</v>
      </c>
      <c r="AG1003" s="37">
        <v>5</v>
      </c>
      <c r="AH1003" s="37">
        <v>5</v>
      </c>
      <c r="AI1003" s="37">
        <v>5</v>
      </c>
      <c r="AJ1003" s="37">
        <v>5</v>
      </c>
      <c r="AK1003" s="37">
        <v>5</v>
      </c>
      <c r="AL1003" s="37">
        <v>5</v>
      </c>
      <c r="AM1003" s="37">
        <v>11</v>
      </c>
      <c r="AN1003" s="37">
        <v>11</v>
      </c>
      <c r="AO1003" s="37">
        <v>11</v>
      </c>
      <c r="AP1003" s="37">
        <v>11</v>
      </c>
      <c r="AQ1003" s="37">
        <v>11</v>
      </c>
      <c r="AR1003" s="37">
        <v>11</v>
      </c>
      <c r="AS1003" s="37">
        <v>11</v>
      </c>
      <c r="AT1003" s="37">
        <v>11</v>
      </c>
    </row>
    <row r="1004" spans="3:46" s="37" customFormat="1" x14ac:dyDescent="0.25"/>
    <row r="1005" spans="3:46" s="37" customFormat="1" x14ac:dyDescent="0.25">
      <c r="C1005" s="37" t="s">
        <v>21</v>
      </c>
      <c r="D1005" s="37">
        <v>17</v>
      </c>
      <c r="E1005" s="37">
        <v>17</v>
      </c>
      <c r="F1005" s="37">
        <v>17</v>
      </c>
      <c r="G1005" s="37">
        <v>17</v>
      </c>
      <c r="H1005" s="37">
        <v>17</v>
      </c>
      <c r="I1005" s="37">
        <v>16</v>
      </c>
      <c r="J1005" s="37">
        <v>14</v>
      </c>
      <c r="K1005" s="37">
        <v>6</v>
      </c>
      <c r="L1005" s="37">
        <v>6</v>
      </c>
      <c r="M1005" s="37">
        <v>6</v>
      </c>
      <c r="N1005" s="37">
        <v>6</v>
      </c>
      <c r="O1005" s="37">
        <v>6</v>
      </c>
      <c r="P1005" s="37">
        <v>6</v>
      </c>
      <c r="Q1005" s="37">
        <v>9</v>
      </c>
      <c r="R1005" s="37">
        <v>10</v>
      </c>
      <c r="S1005" s="37">
        <v>11</v>
      </c>
      <c r="T1005" s="37">
        <v>13</v>
      </c>
      <c r="U1005" s="37">
        <v>14</v>
      </c>
      <c r="V1005" s="37">
        <v>14</v>
      </c>
      <c r="W1005" s="37">
        <v>14</v>
      </c>
      <c r="X1005" s="37">
        <v>14</v>
      </c>
      <c r="Z1005" s="37">
        <v>17</v>
      </c>
      <c r="AA1005" s="37">
        <v>17</v>
      </c>
      <c r="AB1005" s="37">
        <v>17</v>
      </c>
      <c r="AC1005" s="37">
        <v>17</v>
      </c>
      <c r="AD1005" s="37">
        <v>17</v>
      </c>
      <c r="AE1005" s="37">
        <v>17</v>
      </c>
      <c r="AF1005" s="37">
        <v>17</v>
      </c>
      <c r="AG1005" s="37">
        <v>6</v>
      </c>
      <c r="AH1005" s="37">
        <v>6</v>
      </c>
      <c r="AI1005" s="37">
        <v>6</v>
      </c>
      <c r="AJ1005" s="37">
        <v>6</v>
      </c>
      <c r="AK1005" s="37">
        <v>6</v>
      </c>
      <c r="AL1005" s="37">
        <v>6</v>
      </c>
      <c r="AM1005" s="37">
        <v>15</v>
      </c>
      <c r="AN1005" s="37">
        <v>15</v>
      </c>
      <c r="AO1005" s="37">
        <v>15</v>
      </c>
      <c r="AP1005" s="37">
        <v>15</v>
      </c>
      <c r="AQ1005" s="37">
        <v>15</v>
      </c>
      <c r="AR1005" s="37">
        <v>15</v>
      </c>
      <c r="AS1005" s="37">
        <v>15</v>
      </c>
      <c r="AT1005" s="37">
        <v>15</v>
      </c>
    </row>
    <row r="1006" spans="3:46" s="37" customFormat="1" x14ac:dyDescent="0.25"/>
    <row r="1007" spans="3:46" s="37" customFormat="1" x14ac:dyDescent="0.25">
      <c r="C1007" s="37" t="s">
        <v>20</v>
      </c>
      <c r="D1007" s="37">
        <v>8</v>
      </c>
      <c r="E1007" s="37">
        <v>8</v>
      </c>
      <c r="F1007" s="37">
        <v>8</v>
      </c>
      <c r="G1007" s="37">
        <v>8</v>
      </c>
      <c r="H1007" s="37">
        <v>8</v>
      </c>
      <c r="I1007" s="37">
        <v>8</v>
      </c>
      <c r="J1007" s="37">
        <v>7</v>
      </c>
      <c r="K1007" s="37">
        <v>4</v>
      </c>
      <c r="L1007" s="37">
        <v>4</v>
      </c>
      <c r="M1007" s="37">
        <v>4</v>
      </c>
      <c r="N1007" s="37">
        <v>4</v>
      </c>
      <c r="O1007" s="37">
        <v>4</v>
      </c>
      <c r="P1007" s="37">
        <v>4</v>
      </c>
      <c r="Q1007" s="37">
        <v>7</v>
      </c>
      <c r="R1007" s="37">
        <v>8</v>
      </c>
      <c r="S1007" s="37">
        <v>9</v>
      </c>
      <c r="T1007" s="37">
        <v>10</v>
      </c>
      <c r="U1007" s="37">
        <v>10</v>
      </c>
      <c r="V1007" s="37">
        <v>10</v>
      </c>
      <c r="W1007" s="37">
        <v>10</v>
      </c>
      <c r="X1007" s="37">
        <v>10</v>
      </c>
      <c r="Z1007" s="37">
        <v>8</v>
      </c>
      <c r="AA1007" s="37">
        <v>8</v>
      </c>
      <c r="AB1007" s="37">
        <v>8</v>
      </c>
      <c r="AC1007" s="37">
        <v>8</v>
      </c>
      <c r="AD1007" s="37">
        <v>8</v>
      </c>
      <c r="AE1007" s="37">
        <v>8</v>
      </c>
      <c r="AF1007" s="37">
        <v>8</v>
      </c>
      <c r="AG1007" s="37">
        <v>4</v>
      </c>
      <c r="AH1007" s="37">
        <v>4</v>
      </c>
      <c r="AI1007" s="37">
        <v>4</v>
      </c>
      <c r="AJ1007" s="37">
        <v>4</v>
      </c>
      <c r="AK1007" s="37">
        <v>4</v>
      </c>
      <c r="AL1007" s="37">
        <v>4</v>
      </c>
      <c r="AM1007" s="37">
        <v>10</v>
      </c>
      <c r="AN1007" s="37">
        <v>10</v>
      </c>
      <c r="AO1007" s="37">
        <v>10</v>
      </c>
      <c r="AP1007" s="37">
        <v>10</v>
      </c>
      <c r="AQ1007" s="37">
        <v>10</v>
      </c>
      <c r="AR1007" s="37">
        <v>10</v>
      </c>
      <c r="AS1007" s="37">
        <v>10</v>
      </c>
      <c r="AT1007" s="37">
        <v>10</v>
      </c>
    </row>
    <row r="1008" spans="3:46" s="37" customFormat="1" x14ac:dyDescent="0.25"/>
    <row r="1009" spans="3:46" s="37" customFormat="1" x14ac:dyDescent="0.25">
      <c r="C1009" s="37" t="s">
        <v>21</v>
      </c>
      <c r="D1009" s="37">
        <v>9</v>
      </c>
      <c r="E1009" s="37">
        <v>9</v>
      </c>
      <c r="F1009" s="37">
        <v>9</v>
      </c>
      <c r="G1009" s="37">
        <v>9</v>
      </c>
      <c r="H1009" s="37">
        <v>8</v>
      </c>
      <c r="I1009" s="37">
        <v>7</v>
      </c>
      <c r="J1009" s="37">
        <v>6</v>
      </c>
      <c r="K1009" s="37">
        <v>5</v>
      </c>
      <c r="L1009" s="37">
        <v>5</v>
      </c>
      <c r="M1009" s="37">
        <v>5</v>
      </c>
      <c r="N1009" s="37">
        <v>5</v>
      </c>
      <c r="O1009" s="37">
        <v>5</v>
      </c>
      <c r="P1009" s="37">
        <v>5</v>
      </c>
      <c r="Q1009" s="37">
        <v>5</v>
      </c>
      <c r="R1009" s="37">
        <v>6</v>
      </c>
      <c r="S1009" s="37">
        <v>6</v>
      </c>
      <c r="T1009" s="37">
        <v>7</v>
      </c>
      <c r="U1009" s="37">
        <v>8</v>
      </c>
      <c r="V1009" s="37">
        <v>8</v>
      </c>
      <c r="W1009" s="37">
        <v>8</v>
      </c>
      <c r="X1009" s="37">
        <v>8</v>
      </c>
      <c r="Z1009" s="37">
        <v>9</v>
      </c>
      <c r="AA1009" s="37">
        <v>9</v>
      </c>
      <c r="AB1009" s="37">
        <v>9</v>
      </c>
      <c r="AC1009" s="37">
        <v>9</v>
      </c>
      <c r="AD1009" s="37">
        <v>9</v>
      </c>
      <c r="AE1009" s="37">
        <v>9</v>
      </c>
      <c r="AF1009" s="37">
        <v>9</v>
      </c>
      <c r="AG1009" s="37">
        <v>5</v>
      </c>
      <c r="AH1009" s="37">
        <v>5</v>
      </c>
      <c r="AI1009" s="37">
        <v>5</v>
      </c>
      <c r="AJ1009" s="37">
        <v>5</v>
      </c>
      <c r="AK1009" s="37">
        <v>5</v>
      </c>
      <c r="AL1009" s="37">
        <v>5</v>
      </c>
      <c r="AM1009" s="37">
        <v>8</v>
      </c>
      <c r="AN1009" s="37">
        <v>8</v>
      </c>
      <c r="AO1009" s="37">
        <v>8</v>
      </c>
      <c r="AP1009" s="37">
        <v>8</v>
      </c>
      <c r="AQ1009" s="37">
        <v>8</v>
      </c>
      <c r="AR1009" s="37">
        <v>8</v>
      </c>
      <c r="AS1009" s="37">
        <v>8</v>
      </c>
      <c r="AT1009" s="37">
        <v>8</v>
      </c>
    </row>
    <row r="1010" spans="3:46" s="37" customFormat="1" x14ac:dyDescent="0.25"/>
    <row r="1011" spans="3:46" s="37" customFormat="1" x14ac:dyDescent="0.25">
      <c r="C1011" s="37" t="s">
        <v>20</v>
      </c>
      <c r="D1011" s="37">
        <v>9</v>
      </c>
      <c r="E1011" s="37">
        <v>9</v>
      </c>
      <c r="F1011" s="37">
        <v>9</v>
      </c>
      <c r="G1011" s="37">
        <v>9</v>
      </c>
      <c r="H1011" s="37">
        <v>9</v>
      </c>
      <c r="I1011" s="37">
        <v>9</v>
      </c>
      <c r="J1011" s="37">
        <v>8</v>
      </c>
      <c r="K1011" s="37">
        <v>3</v>
      </c>
      <c r="L1011" s="37">
        <v>3</v>
      </c>
      <c r="M1011" s="37">
        <v>3</v>
      </c>
      <c r="N1011" s="37">
        <v>3</v>
      </c>
      <c r="O1011" s="37">
        <v>3</v>
      </c>
      <c r="P1011" s="37">
        <v>3</v>
      </c>
      <c r="Q1011" s="37">
        <v>6</v>
      </c>
      <c r="R1011" s="37">
        <v>7</v>
      </c>
      <c r="S1011" s="37">
        <v>8</v>
      </c>
      <c r="T1011" s="37">
        <v>9</v>
      </c>
      <c r="U1011" s="37">
        <v>9</v>
      </c>
      <c r="V1011" s="37">
        <v>9</v>
      </c>
      <c r="W1011" s="37">
        <v>9</v>
      </c>
      <c r="X1011" s="37">
        <v>9</v>
      </c>
      <c r="Z1011" s="37">
        <v>9</v>
      </c>
      <c r="AA1011" s="37">
        <v>9</v>
      </c>
      <c r="AB1011" s="37">
        <v>9</v>
      </c>
      <c r="AC1011" s="37">
        <v>9</v>
      </c>
      <c r="AD1011" s="37">
        <v>9</v>
      </c>
      <c r="AE1011" s="37">
        <v>9</v>
      </c>
      <c r="AF1011" s="37">
        <v>9</v>
      </c>
      <c r="AG1011" s="37">
        <v>3</v>
      </c>
      <c r="AH1011" s="37">
        <v>3</v>
      </c>
      <c r="AI1011" s="37">
        <v>3</v>
      </c>
      <c r="AJ1011" s="37">
        <v>3</v>
      </c>
      <c r="AK1011" s="37">
        <v>3</v>
      </c>
      <c r="AL1011" s="37">
        <v>3</v>
      </c>
      <c r="AM1011" s="37">
        <v>9</v>
      </c>
      <c r="AN1011" s="37">
        <v>9</v>
      </c>
      <c r="AO1011" s="37">
        <v>9</v>
      </c>
      <c r="AP1011" s="37">
        <v>9</v>
      </c>
      <c r="AQ1011" s="37">
        <v>9</v>
      </c>
      <c r="AR1011" s="37">
        <v>9</v>
      </c>
      <c r="AS1011" s="37">
        <v>9</v>
      </c>
      <c r="AT1011" s="37">
        <v>9</v>
      </c>
    </row>
    <row r="1012" spans="3:46" s="37" customFormat="1" x14ac:dyDescent="0.25"/>
    <row r="1013" spans="3:46" s="37" customFormat="1" x14ac:dyDescent="0.25">
      <c r="C1013" s="37" t="s">
        <v>21</v>
      </c>
      <c r="D1013" s="37">
        <v>9</v>
      </c>
      <c r="E1013" s="37">
        <v>9</v>
      </c>
      <c r="F1013" s="37">
        <v>9</v>
      </c>
      <c r="G1013" s="37">
        <v>9</v>
      </c>
      <c r="H1013" s="37">
        <v>8</v>
      </c>
      <c r="I1013" s="37">
        <v>7</v>
      </c>
      <c r="J1013" s="37">
        <v>6</v>
      </c>
      <c r="K1013" s="37">
        <v>5</v>
      </c>
      <c r="L1013" s="37">
        <v>5</v>
      </c>
      <c r="M1013" s="37">
        <v>5</v>
      </c>
      <c r="N1013" s="37">
        <v>5</v>
      </c>
      <c r="O1013" s="37">
        <v>5</v>
      </c>
      <c r="P1013" s="37">
        <v>5</v>
      </c>
      <c r="Q1013" s="37">
        <v>5</v>
      </c>
      <c r="R1013" s="37">
        <v>5</v>
      </c>
      <c r="S1013" s="37">
        <v>6</v>
      </c>
      <c r="T1013" s="37">
        <v>7</v>
      </c>
      <c r="U1013" s="37">
        <v>8</v>
      </c>
      <c r="V1013" s="37">
        <v>9</v>
      </c>
      <c r="W1013" s="37">
        <v>9</v>
      </c>
      <c r="X1013" s="37">
        <v>9</v>
      </c>
      <c r="Z1013" s="37">
        <v>9</v>
      </c>
      <c r="AA1013" s="37">
        <v>9</v>
      </c>
      <c r="AB1013" s="37">
        <v>9</v>
      </c>
      <c r="AC1013" s="37">
        <v>9</v>
      </c>
      <c r="AD1013" s="37">
        <v>9</v>
      </c>
      <c r="AE1013" s="37">
        <v>9</v>
      </c>
      <c r="AF1013" s="37">
        <v>9</v>
      </c>
      <c r="AG1013" s="37">
        <v>5</v>
      </c>
      <c r="AH1013" s="37">
        <v>5</v>
      </c>
      <c r="AI1013" s="37">
        <v>5</v>
      </c>
      <c r="AJ1013" s="37">
        <v>5</v>
      </c>
      <c r="AK1013" s="37">
        <v>5</v>
      </c>
      <c r="AL1013" s="37">
        <v>5</v>
      </c>
      <c r="AM1013" s="37">
        <v>9</v>
      </c>
      <c r="AN1013" s="37">
        <v>9</v>
      </c>
      <c r="AO1013" s="37">
        <v>9</v>
      </c>
      <c r="AP1013" s="37">
        <v>9</v>
      </c>
      <c r="AQ1013" s="37">
        <v>9</v>
      </c>
      <c r="AR1013" s="37">
        <v>9</v>
      </c>
      <c r="AS1013" s="37">
        <v>9</v>
      </c>
      <c r="AT1013" s="37">
        <v>9</v>
      </c>
    </row>
    <row r="1014" spans="3:46" s="37" customFormat="1" x14ac:dyDescent="0.25"/>
    <row r="1015" spans="3:46" s="37" customFormat="1" x14ac:dyDescent="0.25">
      <c r="C1015" s="37" t="s">
        <v>20</v>
      </c>
      <c r="D1015" s="37">
        <v>12</v>
      </c>
      <c r="E1015" s="37">
        <v>12</v>
      </c>
      <c r="F1015" s="37">
        <v>12</v>
      </c>
      <c r="G1015" s="37">
        <v>12</v>
      </c>
      <c r="H1015" s="37">
        <v>12</v>
      </c>
      <c r="I1015" s="37">
        <v>12</v>
      </c>
      <c r="J1015" s="37">
        <v>11</v>
      </c>
      <c r="K1015" s="37">
        <v>5</v>
      </c>
      <c r="L1015" s="37">
        <v>5</v>
      </c>
      <c r="M1015" s="37">
        <v>5</v>
      </c>
      <c r="N1015" s="37">
        <v>5</v>
      </c>
      <c r="O1015" s="37">
        <v>5</v>
      </c>
      <c r="P1015" s="37">
        <v>5</v>
      </c>
      <c r="Q1015" s="37">
        <v>8</v>
      </c>
      <c r="R1015" s="37">
        <v>9</v>
      </c>
      <c r="S1015" s="37">
        <v>10</v>
      </c>
      <c r="T1015" s="37">
        <v>10</v>
      </c>
      <c r="U1015" s="37">
        <v>10</v>
      </c>
      <c r="V1015" s="37">
        <v>10</v>
      </c>
      <c r="W1015" s="37">
        <v>10</v>
      </c>
      <c r="X1015" s="37">
        <v>10</v>
      </c>
      <c r="Z1015" s="37">
        <v>12</v>
      </c>
      <c r="AA1015" s="37">
        <v>12</v>
      </c>
      <c r="AB1015" s="37">
        <v>12</v>
      </c>
      <c r="AC1015" s="37">
        <v>12</v>
      </c>
      <c r="AD1015" s="37">
        <v>12</v>
      </c>
      <c r="AE1015" s="37">
        <v>12</v>
      </c>
      <c r="AF1015" s="37">
        <v>12</v>
      </c>
      <c r="AG1015" s="37">
        <v>5</v>
      </c>
      <c r="AH1015" s="37">
        <v>5</v>
      </c>
      <c r="AI1015" s="37">
        <v>5</v>
      </c>
      <c r="AJ1015" s="37">
        <v>5</v>
      </c>
      <c r="AK1015" s="37">
        <v>5</v>
      </c>
      <c r="AL1015" s="37">
        <v>5</v>
      </c>
      <c r="AM1015" s="37">
        <v>11</v>
      </c>
      <c r="AN1015" s="37">
        <v>11</v>
      </c>
      <c r="AO1015" s="37">
        <v>11</v>
      </c>
      <c r="AP1015" s="37">
        <v>11</v>
      </c>
      <c r="AQ1015" s="37">
        <v>11</v>
      </c>
      <c r="AR1015" s="37">
        <v>11</v>
      </c>
      <c r="AS1015" s="37">
        <v>11</v>
      </c>
      <c r="AT1015" s="37">
        <v>11</v>
      </c>
    </row>
    <row r="1016" spans="3:46" s="37" customFormat="1" x14ac:dyDescent="0.25"/>
    <row r="1017" spans="3:46" s="37" customFormat="1" x14ac:dyDescent="0.25">
      <c r="C1017" s="37" t="s">
        <v>21</v>
      </c>
      <c r="D1017" s="37">
        <v>17</v>
      </c>
      <c r="E1017" s="37">
        <v>17</v>
      </c>
      <c r="F1017" s="37">
        <v>17</v>
      </c>
      <c r="G1017" s="37">
        <v>17</v>
      </c>
      <c r="H1017" s="37">
        <v>17</v>
      </c>
      <c r="I1017" s="37">
        <v>16</v>
      </c>
      <c r="J1017" s="37">
        <v>14</v>
      </c>
      <c r="K1017" s="37">
        <v>7</v>
      </c>
      <c r="L1017" s="37">
        <v>7</v>
      </c>
      <c r="M1017" s="37">
        <v>7</v>
      </c>
      <c r="N1017" s="37">
        <v>7</v>
      </c>
      <c r="O1017" s="37">
        <v>7</v>
      </c>
      <c r="P1017" s="37">
        <v>7</v>
      </c>
      <c r="Q1017" s="37">
        <v>9</v>
      </c>
      <c r="R1017" s="37">
        <v>11</v>
      </c>
      <c r="S1017" s="37">
        <v>12</v>
      </c>
      <c r="T1017" s="37">
        <v>14</v>
      </c>
      <c r="U1017" s="37">
        <v>15</v>
      </c>
      <c r="V1017" s="37">
        <v>15</v>
      </c>
      <c r="W1017" s="37">
        <v>15</v>
      </c>
      <c r="X1017" s="37">
        <v>15</v>
      </c>
      <c r="Z1017" s="37">
        <v>17</v>
      </c>
      <c r="AA1017" s="37">
        <v>17</v>
      </c>
      <c r="AB1017" s="37">
        <v>17</v>
      </c>
      <c r="AC1017" s="37">
        <v>17</v>
      </c>
      <c r="AD1017" s="37">
        <v>17</v>
      </c>
      <c r="AE1017" s="37">
        <v>17</v>
      </c>
      <c r="AF1017" s="37">
        <v>17</v>
      </c>
      <c r="AG1017" s="37">
        <v>7</v>
      </c>
      <c r="AH1017" s="37">
        <v>7</v>
      </c>
      <c r="AI1017" s="37">
        <v>7</v>
      </c>
      <c r="AJ1017" s="37">
        <v>7</v>
      </c>
      <c r="AK1017" s="37">
        <v>7</v>
      </c>
      <c r="AL1017" s="37">
        <v>7</v>
      </c>
      <c r="AM1017" s="37">
        <v>16</v>
      </c>
      <c r="AN1017" s="37">
        <v>16</v>
      </c>
      <c r="AO1017" s="37">
        <v>16</v>
      </c>
      <c r="AP1017" s="37">
        <v>16</v>
      </c>
      <c r="AQ1017" s="37">
        <v>16</v>
      </c>
      <c r="AR1017" s="37">
        <v>16</v>
      </c>
      <c r="AS1017" s="37">
        <v>16</v>
      </c>
      <c r="AT1017" s="37">
        <v>16</v>
      </c>
    </row>
    <row r="1018" spans="3:46" s="37" customFormat="1" x14ac:dyDescent="0.25"/>
    <row r="1019" spans="3:46" s="37" customFormat="1" x14ac:dyDescent="0.25">
      <c r="C1019" s="37" t="s">
        <v>20</v>
      </c>
      <c r="D1019" s="37">
        <v>11</v>
      </c>
      <c r="E1019" s="37">
        <v>11</v>
      </c>
      <c r="F1019" s="37">
        <v>11</v>
      </c>
      <c r="G1019" s="37">
        <v>11</v>
      </c>
      <c r="H1019" s="37">
        <v>11</v>
      </c>
      <c r="I1019" s="37">
        <v>11</v>
      </c>
      <c r="J1019" s="37">
        <v>10</v>
      </c>
      <c r="K1019" s="37">
        <v>4</v>
      </c>
      <c r="L1019" s="37">
        <v>4</v>
      </c>
      <c r="M1019" s="37">
        <v>4</v>
      </c>
      <c r="N1019" s="37">
        <v>4</v>
      </c>
      <c r="O1019" s="37">
        <v>4</v>
      </c>
      <c r="P1019" s="37">
        <v>4</v>
      </c>
      <c r="Q1019" s="37">
        <v>6</v>
      </c>
      <c r="R1019" s="37">
        <v>7</v>
      </c>
      <c r="S1019" s="37">
        <v>8</v>
      </c>
      <c r="T1019" s="37">
        <v>8</v>
      </c>
      <c r="U1019" s="37">
        <v>8</v>
      </c>
      <c r="V1019" s="37">
        <v>8</v>
      </c>
      <c r="W1019" s="37">
        <v>8</v>
      </c>
      <c r="X1019" s="37">
        <v>8</v>
      </c>
      <c r="Z1019" s="37">
        <v>11</v>
      </c>
      <c r="AA1019" s="37">
        <v>11</v>
      </c>
      <c r="AB1019" s="37">
        <v>11</v>
      </c>
      <c r="AC1019" s="37">
        <v>11</v>
      </c>
      <c r="AD1019" s="37">
        <v>11</v>
      </c>
      <c r="AE1019" s="37">
        <v>11</v>
      </c>
      <c r="AF1019" s="37">
        <v>11</v>
      </c>
      <c r="AG1019" s="37">
        <v>4</v>
      </c>
      <c r="AH1019" s="37">
        <v>4</v>
      </c>
      <c r="AI1019" s="37">
        <v>4</v>
      </c>
      <c r="AJ1019" s="37">
        <v>4</v>
      </c>
      <c r="AK1019" s="37">
        <v>4</v>
      </c>
      <c r="AL1019" s="37">
        <v>4</v>
      </c>
      <c r="AM1019" s="37">
        <v>8</v>
      </c>
      <c r="AN1019" s="37">
        <v>8</v>
      </c>
      <c r="AO1019" s="37">
        <v>8</v>
      </c>
      <c r="AP1019" s="37">
        <v>8</v>
      </c>
      <c r="AQ1019" s="37">
        <v>8</v>
      </c>
      <c r="AR1019" s="37">
        <v>8</v>
      </c>
      <c r="AS1019" s="37">
        <v>8</v>
      </c>
      <c r="AT1019" s="37">
        <v>8</v>
      </c>
    </row>
    <row r="1020" spans="3:46" s="37" customFormat="1" x14ac:dyDescent="0.25"/>
    <row r="1021" spans="3:46" s="37" customFormat="1" x14ac:dyDescent="0.25">
      <c r="C1021" s="37" t="s">
        <v>21</v>
      </c>
      <c r="D1021" s="37">
        <v>13</v>
      </c>
      <c r="E1021" s="37">
        <v>13</v>
      </c>
      <c r="F1021" s="37">
        <v>13</v>
      </c>
      <c r="G1021" s="37">
        <v>13</v>
      </c>
      <c r="H1021" s="37">
        <v>12</v>
      </c>
      <c r="I1021" s="37">
        <v>11</v>
      </c>
      <c r="J1021" s="37">
        <v>10</v>
      </c>
      <c r="K1021" s="37">
        <v>6</v>
      </c>
      <c r="L1021" s="37">
        <v>6</v>
      </c>
      <c r="M1021" s="37">
        <v>6</v>
      </c>
      <c r="N1021" s="37">
        <v>6</v>
      </c>
      <c r="O1021" s="37">
        <v>6</v>
      </c>
      <c r="P1021" s="37">
        <v>6</v>
      </c>
      <c r="Q1021" s="37">
        <v>8</v>
      </c>
      <c r="R1021" s="37">
        <v>9</v>
      </c>
      <c r="S1021" s="37">
        <v>11</v>
      </c>
      <c r="T1021" s="37">
        <v>12</v>
      </c>
      <c r="U1021" s="37">
        <v>13</v>
      </c>
      <c r="V1021" s="37">
        <v>13</v>
      </c>
      <c r="W1021" s="37">
        <v>13</v>
      </c>
      <c r="X1021" s="37">
        <v>13</v>
      </c>
      <c r="Z1021" s="37">
        <v>13</v>
      </c>
      <c r="AA1021" s="37">
        <v>13</v>
      </c>
      <c r="AB1021" s="37">
        <v>13</v>
      </c>
      <c r="AC1021" s="37">
        <v>13</v>
      </c>
      <c r="AD1021" s="37">
        <v>13</v>
      </c>
      <c r="AE1021" s="37">
        <v>13</v>
      </c>
      <c r="AF1021" s="37">
        <v>13</v>
      </c>
      <c r="AG1021" s="37">
        <v>6</v>
      </c>
      <c r="AH1021" s="37">
        <v>6</v>
      </c>
      <c r="AI1021" s="37">
        <v>6</v>
      </c>
      <c r="AJ1021" s="37">
        <v>6</v>
      </c>
      <c r="AK1021" s="37">
        <v>6</v>
      </c>
      <c r="AL1021" s="37">
        <v>6</v>
      </c>
      <c r="AM1021" s="37">
        <v>14</v>
      </c>
      <c r="AN1021" s="37">
        <v>14</v>
      </c>
      <c r="AO1021" s="37">
        <v>14</v>
      </c>
      <c r="AP1021" s="37">
        <v>14</v>
      </c>
      <c r="AQ1021" s="37">
        <v>14</v>
      </c>
      <c r="AR1021" s="37">
        <v>14</v>
      </c>
      <c r="AS1021" s="37">
        <v>14</v>
      </c>
      <c r="AT1021" s="37">
        <v>14</v>
      </c>
    </row>
    <row r="1022" spans="3:46" s="37" customFormat="1" x14ac:dyDescent="0.25"/>
    <row r="1023" spans="3:46" s="37" customFormat="1" x14ac:dyDescent="0.25">
      <c r="C1023" s="37" t="s">
        <v>20</v>
      </c>
      <c r="D1023" s="37">
        <v>8</v>
      </c>
      <c r="E1023" s="37">
        <v>8</v>
      </c>
      <c r="F1023" s="37">
        <v>8</v>
      </c>
      <c r="G1023" s="37">
        <v>8</v>
      </c>
      <c r="H1023" s="37">
        <v>8</v>
      </c>
      <c r="I1023" s="37">
        <v>8</v>
      </c>
      <c r="J1023" s="37">
        <v>8</v>
      </c>
      <c r="K1023" s="37">
        <v>8</v>
      </c>
      <c r="L1023" s="37">
        <v>7</v>
      </c>
      <c r="M1023" s="37">
        <v>6</v>
      </c>
      <c r="N1023" s="37">
        <v>6</v>
      </c>
      <c r="O1023" s="37">
        <v>7</v>
      </c>
      <c r="P1023" s="37">
        <v>8</v>
      </c>
      <c r="Q1023" s="37">
        <v>9</v>
      </c>
      <c r="R1023" s="37">
        <v>10</v>
      </c>
      <c r="S1023" s="37">
        <v>10</v>
      </c>
      <c r="T1023" s="37">
        <v>10</v>
      </c>
      <c r="U1023" s="37">
        <v>10</v>
      </c>
      <c r="V1023" s="37">
        <v>10</v>
      </c>
      <c r="W1023" s="37">
        <v>10</v>
      </c>
      <c r="X1023" s="37">
        <v>10</v>
      </c>
      <c r="Z1023" s="37">
        <v>8</v>
      </c>
      <c r="AA1023" s="37">
        <v>8</v>
      </c>
      <c r="AB1023" s="37">
        <v>8</v>
      </c>
      <c r="AC1023" s="37">
        <v>8</v>
      </c>
      <c r="AD1023" s="37">
        <v>8</v>
      </c>
      <c r="AE1023" s="37">
        <v>8</v>
      </c>
      <c r="AF1023" s="37">
        <v>8</v>
      </c>
      <c r="AG1023" s="37">
        <v>8</v>
      </c>
      <c r="AH1023" s="37">
        <v>8</v>
      </c>
      <c r="AI1023" s="37">
        <v>8</v>
      </c>
      <c r="AJ1023" s="37">
        <v>8</v>
      </c>
      <c r="AK1023" s="37">
        <v>8</v>
      </c>
      <c r="AL1023" s="37">
        <v>8</v>
      </c>
      <c r="AM1023" s="37">
        <v>10</v>
      </c>
      <c r="AN1023" s="37">
        <v>10</v>
      </c>
      <c r="AO1023" s="37">
        <v>10</v>
      </c>
      <c r="AP1023" s="37">
        <v>10</v>
      </c>
      <c r="AQ1023" s="37">
        <v>10</v>
      </c>
      <c r="AR1023" s="37">
        <v>10</v>
      </c>
      <c r="AS1023" s="37">
        <v>10</v>
      </c>
      <c r="AT1023" s="37">
        <v>10</v>
      </c>
    </row>
    <row r="1024" spans="3:46" s="37" customFormat="1" x14ac:dyDescent="0.25"/>
    <row r="1025" spans="3:46" s="37" customFormat="1" x14ac:dyDescent="0.25">
      <c r="C1025" s="37" t="s">
        <v>21</v>
      </c>
      <c r="D1025" s="37">
        <v>14</v>
      </c>
      <c r="E1025" s="37">
        <v>14</v>
      </c>
      <c r="F1025" s="37">
        <v>14</v>
      </c>
      <c r="G1025" s="37">
        <v>14</v>
      </c>
      <c r="H1025" s="37">
        <v>14</v>
      </c>
      <c r="I1025" s="37">
        <v>13</v>
      </c>
      <c r="J1025" s="37">
        <v>12</v>
      </c>
      <c r="K1025" s="37">
        <v>11</v>
      </c>
      <c r="L1025" s="37">
        <v>11</v>
      </c>
      <c r="M1025" s="37">
        <v>11</v>
      </c>
      <c r="N1025" s="37">
        <v>11</v>
      </c>
      <c r="O1025" s="37">
        <v>11</v>
      </c>
      <c r="P1025" s="37">
        <v>11</v>
      </c>
      <c r="Q1025" s="37">
        <v>11</v>
      </c>
      <c r="R1025" s="37">
        <v>11</v>
      </c>
      <c r="S1025" s="37">
        <v>11</v>
      </c>
      <c r="T1025" s="37">
        <v>11</v>
      </c>
      <c r="U1025" s="37">
        <v>11</v>
      </c>
      <c r="V1025" s="37">
        <v>10</v>
      </c>
      <c r="W1025" s="37">
        <v>10</v>
      </c>
      <c r="X1025" s="37">
        <v>10</v>
      </c>
      <c r="Z1025" s="37">
        <v>14</v>
      </c>
      <c r="AA1025" s="37">
        <v>14</v>
      </c>
      <c r="AB1025" s="37">
        <v>14</v>
      </c>
      <c r="AC1025" s="37">
        <v>14</v>
      </c>
      <c r="AD1025" s="37">
        <v>14</v>
      </c>
      <c r="AE1025" s="37">
        <v>14</v>
      </c>
      <c r="AF1025" s="37">
        <v>14</v>
      </c>
      <c r="AG1025" s="37">
        <v>11</v>
      </c>
      <c r="AH1025" s="37">
        <v>11</v>
      </c>
      <c r="AI1025" s="37">
        <v>11</v>
      </c>
      <c r="AJ1025" s="37">
        <v>11</v>
      </c>
      <c r="AK1025" s="37">
        <v>11</v>
      </c>
      <c r="AL1025" s="37">
        <v>11</v>
      </c>
      <c r="AM1025" s="37">
        <v>11</v>
      </c>
      <c r="AN1025" s="37">
        <v>11</v>
      </c>
      <c r="AO1025" s="37">
        <v>11</v>
      </c>
      <c r="AP1025" s="37">
        <v>11</v>
      </c>
      <c r="AQ1025" s="37">
        <v>11</v>
      </c>
      <c r="AR1025" s="37">
        <v>11</v>
      </c>
      <c r="AS1025" s="37">
        <v>11</v>
      </c>
      <c r="AT1025" s="37">
        <v>11</v>
      </c>
    </row>
    <row r="1026" spans="3:46" s="37" customFormat="1" x14ac:dyDescent="0.25"/>
    <row r="1027" spans="3:46" s="37" customFormat="1" x14ac:dyDescent="0.25">
      <c r="C1027" s="37" t="s">
        <v>20</v>
      </c>
      <c r="D1027" s="37">
        <v>10</v>
      </c>
      <c r="E1027" s="37">
        <v>10</v>
      </c>
      <c r="F1027" s="37">
        <v>10</v>
      </c>
      <c r="G1027" s="37">
        <v>10</v>
      </c>
      <c r="H1027" s="37">
        <v>10</v>
      </c>
      <c r="I1027" s="37">
        <v>10</v>
      </c>
      <c r="J1027" s="37">
        <v>10</v>
      </c>
      <c r="K1027" s="37">
        <v>4</v>
      </c>
      <c r="L1027" s="37">
        <v>4</v>
      </c>
      <c r="M1027" s="37">
        <v>4</v>
      </c>
      <c r="N1027" s="37">
        <v>4</v>
      </c>
      <c r="O1027" s="37">
        <v>4</v>
      </c>
      <c r="P1027" s="37">
        <v>4</v>
      </c>
      <c r="Q1027" s="37">
        <v>8</v>
      </c>
      <c r="R1027" s="37">
        <v>9</v>
      </c>
      <c r="S1027" s="37">
        <v>10</v>
      </c>
      <c r="T1027" s="37">
        <v>10</v>
      </c>
      <c r="U1027" s="37">
        <v>10</v>
      </c>
      <c r="V1027" s="37">
        <v>10</v>
      </c>
      <c r="W1027" s="37">
        <v>10</v>
      </c>
      <c r="X1027" s="37">
        <v>10</v>
      </c>
      <c r="Z1027" s="37">
        <v>10</v>
      </c>
      <c r="AA1027" s="37">
        <v>10</v>
      </c>
      <c r="AB1027" s="37">
        <v>10</v>
      </c>
      <c r="AC1027" s="37">
        <v>10</v>
      </c>
      <c r="AD1027" s="37">
        <v>10</v>
      </c>
      <c r="AE1027" s="37">
        <v>10</v>
      </c>
      <c r="AF1027" s="37">
        <v>10</v>
      </c>
      <c r="AG1027" s="37">
        <v>4</v>
      </c>
      <c r="AH1027" s="37">
        <v>4</v>
      </c>
      <c r="AI1027" s="37">
        <v>4</v>
      </c>
      <c r="AJ1027" s="37">
        <v>4</v>
      </c>
      <c r="AK1027" s="37">
        <v>4</v>
      </c>
      <c r="AL1027" s="37">
        <v>4</v>
      </c>
      <c r="AM1027" s="37">
        <v>10</v>
      </c>
      <c r="AN1027" s="37">
        <v>10</v>
      </c>
      <c r="AO1027" s="37">
        <v>10</v>
      </c>
      <c r="AP1027" s="37">
        <v>10</v>
      </c>
      <c r="AQ1027" s="37">
        <v>10</v>
      </c>
      <c r="AR1027" s="37">
        <v>10</v>
      </c>
      <c r="AS1027" s="37">
        <v>10</v>
      </c>
      <c r="AT1027" s="37">
        <v>10</v>
      </c>
    </row>
    <row r="1028" spans="3:46" s="37" customFormat="1" x14ac:dyDescent="0.25"/>
    <row r="1029" spans="3:46" s="37" customFormat="1" x14ac:dyDescent="0.25">
      <c r="C1029" s="37" t="s">
        <v>21</v>
      </c>
      <c r="D1029" s="37">
        <v>14</v>
      </c>
      <c r="E1029" s="37">
        <v>14</v>
      </c>
      <c r="F1029" s="37">
        <v>14</v>
      </c>
      <c r="G1029" s="37">
        <v>14</v>
      </c>
      <c r="H1029" s="37">
        <v>13</v>
      </c>
      <c r="I1029" s="37">
        <v>12</v>
      </c>
      <c r="J1029" s="37">
        <v>11</v>
      </c>
      <c r="K1029" s="37">
        <v>6</v>
      </c>
      <c r="L1029" s="37">
        <v>6</v>
      </c>
      <c r="M1029" s="37">
        <v>6</v>
      </c>
      <c r="N1029" s="37">
        <v>6</v>
      </c>
      <c r="O1029" s="37">
        <v>6</v>
      </c>
      <c r="P1029" s="37">
        <v>6</v>
      </c>
      <c r="Q1029" s="37">
        <v>9</v>
      </c>
      <c r="R1029" s="37">
        <v>10</v>
      </c>
      <c r="S1029" s="37">
        <v>11</v>
      </c>
      <c r="T1029" s="37">
        <v>13</v>
      </c>
      <c r="U1029" s="37">
        <v>14</v>
      </c>
      <c r="V1029" s="37">
        <v>14</v>
      </c>
      <c r="W1029" s="37">
        <v>14</v>
      </c>
      <c r="X1029" s="37">
        <v>14</v>
      </c>
      <c r="Z1029" s="37">
        <v>14</v>
      </c>
      <c r="AA1029" s="37">
        <v>14</v>
      </c>
      <c r="AB1029" s="37">
        <v>14</v>
      </c>
      <c r="AC1029" s="37">
        <v>14</v>
      </c>
      <c r="AD1029" s="37">
        <v>14</v>
      </c>
      <c r="AE1029" s="37">
        <v>14</v>
      </c>
      <c r="AF1029" s="37">
        <v>14</v>
      </c>
      <c r="AG1029" s="37">
        <v>6</v>
      </c>
      <c r="AH1029" s="37">
        <v>6</v>
      </c>
      <c r="AI1029" s="37">
        <v>6</v>
      </c>
      <c r="AJ1029" s="37">
        <v>6</v>
      </c>
      <c r="AK1029" s="37">
        <v>6</v>
      </c>
      <c r="AL1029" s="37">
        <v>6</v>
      </c>
      <c r="AM1029" s="37">
        <v>15</v>
      </c>
      <c r="AN1029" s="37">
        <v>15</v>
      </c>
      <c r="AO1029" s="37">
        <v>15</v>
      </c>
      <c r="AP1029" s="37">
        <v>15</v>
      </c>
      <c r="AQ1029" s="37">
        <v>15</v>
      </c>
      <c r="AR1029" s="37">
        <v>15</v>
      </c>
      <c r="AS1029" s="37">
        <v>15</v>
      </c>
      <c r="AT1029" s="37">
        <v>15</v>
      </c>
    </row>
    <row r="1030" spans="3:46" s="37" customFormat="1" x14ac:dyDescent="0.25"/>
    <row r="1031" spans="3:46" s="37" customFormat="1" x14ac:dyDescent="0.25">
      <c r="C1031" s="37" t="s">
        <v>20</v>
      </c>
      <c r="D1031" s="37">
        <v>9</v>
      </c>
      <c r="E1031" s="37">
        <v>9</v>
      </c>
      <c r="F1031" s="37">
        <v>9</v>
      </c>
      <c r="G1031" s="37">
        <v>9</v>
      </c>
      <c r="H1031" s="37">
        <v>9</v>
      </c>
      <c r="I1031" s="37">
        <v>9</v>
      </c>
      <c r="J1031" s="37">
        <v>9</v>
      </c>
      <c r="K1031" s="37">
        <v>4</v>
      </c>
      <c r="L1031" s="37">
        <v>4</v>
      </c>
      <c r="M1031" s="37">
        <v>4</v>
      </c>
      <c r="N1031" s="37">
        <v>4</v>
      </c>
      <c r="O1031" s="37">
        <v>4</v>
      </c>
      <c r="P1031" s="37">
        <v>4</v>
      </c>
      <c r="Q1031" s="37">
        <v>7</v>
      </c>
      <c r="R1031" s="37">
        <v>8</v>
      </c>
      <c r="S1031" s="37">
        <v>9</v>
      </c>
      <c r="T1031" s="37">
        <v>9</v>
      </c>
      <c r="U1031" s="37">
        <v>9</v>
      </c>
      <c r="V1031" s="37">
        <v>9</v>
      </c>
      <c r="W1031" s="37">
        <v>9</v>
      </c>
      <c r="X1031" s="37">
        <v>9</v>
      </c>
      <c r="Z1031" s="37">
        <v>9</v>
      </c>
      <c r="AA1031" s="37">
        <v>9</v>
      </c>
      <c r="AB1031" s="37">
        <v>9</v>
      </c>
      <c r="AC1031" s="37">
        <v>9</v>
      </c>
      <c r="AD1031" s="37">
        <v>9</v>
      </c>
      <c r="AE1031" s="37">
        <v>9</v>
      </c>
      <c r="AF1031" s="37">
        <v>9</v>
      </c>
      <c r="AG1031" s="37">
        <v>4</v>
      </c>
      <c r="AH1031" s="37">
        <v>4</v>
      </c>
      <c r="AI1031" s="37">
        <v>4</v>
      </c>
      <c r="AJ1031" s="37">
        <v>4</v>
      </c>
      <c r="AK1031" s="37">
        <v>4</v>
      </c>
      <c r="AL1031" s="37">
        <v>4</v>
      </c>
      <c r="AM1031" s="37">
        <v>9</v>
      </c>
      <c r="AN1031" s="37">
        <v>9</v>
      </c>
      <c r="AO1031" s="37">
        <v>9</v>
      </c>
      <c r="AP1031" s="37">
        <v>9</v>
      </c>
      <c r="AQ1031" s="37">
        <v>9</v>
      </c>
      <c r="AR1031" s="37">
        <v>9</v>
      </c>
      <c r="AS1031" s="37">
        <v>9</v>
      </c>
      <c r="AT1031" s="37">
        <v>9</v>
      </c>
    </row>
    <row r="1032" spans="3:46" s="37" customFormat="1" x14ac:dyDescent="0.25"/>
    <row r="1033" spans="3:46" s="37" customFormat="1" x14ac:dyDescent="0.25">
      <c r="C1033" s="37" t="s">
        <v>21</v>
      </c>
      <c r="D1033" s="37">
        <v>12</v>
      </c>
      <c r="E1033" s="37">
        <v>12</v>
      </c>
      <c r="F1033" s="37">
        <v>12</v>
      </c>
      <c r="G1033" s="37">
        <v>12</v>
      </c>
      <c r="H1033" s="37">
        <v>11</v>
      </c>
      <c r="I1033" s="37">
        <v>10</v>
      </c>
      <c r="J1033" s="37">
        <v>9</v>
      </c>
      <c r="K1033" s="37">
        <v>4</v>
      </c>
      <c r="L1033" s="37">
        <v>4</v>
      </c>
      <c r="M1033" s="37">
        <v>4</v>
      </c>
      <c r="N1033" s="37">
        <v>4</v>
      </c>
      <c r="O1033" s="37">
        <v>4</v>
      </c>
      <c r="P1033" s="37">
        <v>4</v>
      </c>
      <c r="Q1033" s="37">
        <v>8</v>
      </c>
      <c r="R1033" s="37">
        <v>9</v>
      </c>
      <c r="S1033" s="37">
        <v>10</v>
      </c>
      <c r="T1033" s="37">
        <v>11</v>
      </c>
      <c r="U1033" s="37">
        <v>12</v>
      </c>
      <c r="V1033" s="37">
        <v>12</v>
      </c>
      <c r="W1033" s="37">
        <v>12</v>
      </c>
      <c r="X1033" s="37">
        <v>12</v>
      </c>
      <c r="Z1033" s="37">
        <v>12</v>
      </c>
      <c r="AA1033" s="37">
        <v>12</v>
      </c>
      <c r="AB1033" s="37">
        <v>12</v>
      </c>
      <c r="AC1033" s="37">
        <v>12</v>
      </c>
      <c r="AD1033" s="37">
        <v>12</v>
      </c>
      <c r="AE1033" s="37">
        <v>12</v>
      </c>
      <c r="AF1033" s="37">
        <v>12</v>
      </c>
      <c r="AG1033" s="37">
        <v>4</v>
      </c>
      <c r="AH1033" s="37">
        <v>4</v>
      </c>
      <c r="AI1033" s="37">
        <v>4</v>
      </c>
      <c r="AJ1033" s="37">
        <v>4</v>
      </c>
      <c r="AK1033" s="37">
        <v>4</v>
      </c>
      <c r="AL1033" s="37">
        <v>4</v>
      </c>
      <c r="AM1033" s="37">
        <v>13</v>
      </c>
      <c r="AN1033" s="37">
        <v>13</v>
      </c>
      <c r="AO1033" s="37">
        <v>13</v>
      </c>
      <c r="AP1033" s="37">
        <v>13</v>
      </c>
      <c r="AQ1033" s="37">
        <v>13</v>
      </c>
      <c r="AR1033" s="37">
        <v>13</v>
      </c>
      <c r="AS1033" s="37">
        <v>13</v>
      </c>
      <c r="AT1033" s="37">
        <v>13</v>
      </c>
    </row>
    <row r="1034" spans="3:46" s="37" customFormat="1" x14ac:dyDescent="0.25"/>
    <row r="1035" spans="3:46" s="37" customFormat="1" x14ac:dyDescent="0.25">
      <c r="C1035" s="37" t="s">
        <v>20</v>
      </c>
      <c r="D1035" s="37">
        <v>9</v>
      </c>
      <c r="E1035" s="37">
        <v>9</v>
      </c>
      <c r="F1035" s="37">
        <v>9</v>
      </c>
      <c r="G1035" s="37">
        <v>9</v>
      </c>
      <c r="H1035" s="37">
        <v>9</v>
      </c>
      <c r="I1035" s="37">
        <v>9</v>
      </c>
      <c r="J1035" s="37">
        <v>9</v>
      </c>
      <c r="K1035" s="37">
        <v>4</v>
      </c>
      <c r="L1035" s="37">
        <v>4</v>
      </c>
      <c r="M1035" s="37">
        <v>4</v>
      </c>
      <c r="N1035" s="37">
        <v>4</v>
      </c>
      <c r="O1035" s="37">
        <v>4</v>
      </c>
      <c r="P1035" s="37">
        <v>4</v>
      </c>
      <c r="Q1035" s="37">
        <v>5</v>
      </c>
      <c r="R1035" s="37">
        <v>6</v>
      </c>
      <c r="S1035" s="37">
        <v>6</v>
      </c>
      <c r="T1035" s="37">
        <v>7</v>
      </c>
      <c r="U1035" s="37">
        <v>7</v>
      </c>
      <c r="V1035" s="37">
        <v>7</v>
      </c>
      <c r="W1035" s="37">
        <v>7</v>
      </c>
      <c r="X1035" s="37">
        <v>7</v>
      </c>
      <c r="Z1035" s="37">
        <v>9</v>
      </c>
      <c r="AA1035" s="37">
        <v>9</v>
      </c>
      <c r="AB1035" s="37">
        <v>9</v>
      </c>
      <c r="AC1035" s="37">
        <v>9</v>
      </c>
      <c r="AD1035" s="37">
        <v>9</v>
      </c>
      <c r="AE1035" s="37">
        <v>9</v>
      </c>
      <c r="AF1035" s="37">
        <v>9</v>
      </c>
      <c r="AG1035" s="37">
        <v>4</v>
      </c>
      <c r="AH1035" s="37">
        <v>4</v>
      </c>
      <c r="AI1035" s="37">
        <v>4</v>
      </c>
      <c r="AJ1035" s="37">
        <v>4</v>
      </c>
      <c r="AK1035" s="37">
        <v>4</v>
      </c>
      <c r="AL1035" s="37">
        <v>4</v>
      </c>
      <c r="AM1035" s="37">
        <v>7</v>
      </c>
      <c r="AN1035" s="37">
        <v>7</v>
      </c>
      <c r="AO1035" s="37">
        <v>7</v>
      </c>
      <c r="AP1035" s="37">
        <v>7</v>
      </c>
      <c r="AQ1035" s="37">
        <v>7</v>
      </c>
      <c r="AR1035" s="37">
        <v>7</v>
      </c>
      <c r="AS1035" s="37">
        <v>7</v>
      </c>
      <c r="AT1035" s="37">
        <v>7</v>
      </c>
    </row>
    <row r="1036" spans="3:46" s="37" customFormat="1" x14ac:dyDescent="0.25"/>
    <row r="1037" spans="3:46" s="37" customFormat="1" x14ac:dyDescent="0.25">
      <c r="C1037" s="37" t="s">
        <v>21</v>
      </c>
      <c r="D1037" s="37">
        <v>11</v>
      </c>
      <c r="E1037" s="37">
        <v>11</v>
      </c>
      <c r="F1037" s="37">
        <v>11</v>
      </c>
      <c r="G1037" s="37">
        <v>11</v>
      </c>
      <c r="H1037" s="37">
        <v>10</v>
      </c>
      <c r="I1037" s="37">
        <v>9</v>
      </c>
      <c r="J1037" s="37">
        <v>8</v>
      </c>
      <c r="K1037" s="37">
        <v>5</v>
      </c>
      <c r="L1037" s="37">
        <v>5</v>
      </c>
      <c r="M1037" s="37">
        <v>5</v>
      </c>
      <c r="N1037" s="37">
        <v>5</v>
      </c>
      <c r="O1037" s="37">
        <v>5</v>
      </c>
      <c r="P1037" s="37">
        <v>5</v>
      </c>
      <c r="Q1037" s="37">
        <v>7</v>
      </c>
      <c r="R1037" s="37">
        <v>8</v>
      </c>
      <c r="S1037" s="37">
        <v>9</v>
      </c>
      <c r="T1037" s="37">
        <v>10</v>
      </c>
      <c r="U1037" s="37">
        <v>11</v>
      </c>
      <c r="V1037" s="37">
        <v>11</v>
      </c>
      <c r="W1037" s="37">
        <v>11</v>
      </c>
      <c r="X1037" s="37">
        <v>11</v>
      </c>
      <c r="Z1037" s="37">
        <v>11</v>
      </c>
      <c r="AA1037" s="37">
        <v>11</v>
      </c>
      <c r="AB1037" s="37">
        <v>11</v>
      </c>
      <c r="AC1037" s="37">
        <v>11</v>
      </c>
      <c r="AD1037" s="37">
        <v>11</v>
      </c>
      <c r="AE1037" s="37">
        <v>11</v>
      </c>
      <c r="AF1037" s="37">
        <v>11</v>
      </c>
      <c r="AG1037" s="37">
        <v>5</v>
      </c>
      <c r="AH1037" s="37">
        <v>5</v>
      </c>
      <c r="AI1037" s="37">
        <v>5</v>
      </c>
      <c r="AJ1037" s="37">
        <v>5</v>
      </c>
      <c r="AK1037" s="37">
        <v>5</v>
      </c>
      <c r="AL1037" s="37">
        <v>5</v>
      </c>
      <c r="AM1037" s="37">
        <v>12</v>
      </c>
      <c r="AN1037" s="37">
        <v>12</v>
      </c>
      <c r="AO1037" s="37">
        <v>12</v>
      </c>
      <c r="AP1037" s="37">
        <v>12</v>
      </c>
      <c r="AQ1037" s="37">
        <v>12</v>
      </c>
      <c r="AR1037" s="37">
        <v>12</v>
      </c>
      <c r="AS1037" s="37">
        <v>12</v>
      </c>
      <c r="AT1037" s="37">
        <v>12</v>
      </c>
    </row>
    <row r="1038" spans="3:46" s="37" customFormat="1" x14ac:dyDescent="0.25"/>
    <row r="1039" spans="3:46" s="37" customFormat="1" x14ac:dyDescent="0.25">
      <c r="C1039" s="37" t="s">
        <v>20</v>
      </c>
      <c r="D1039" s="37">
        <v>10</v>
      </c>
      <c r="E1039" s="37">
        <v>10</v>
      </c>
      <c r="F1039" s="37">
        <v>10</v>
      </c>
      <c r="G1039" s="37">
        <v>10</v>
      </c>
      <c r="H1039" s="37">
        <v>10</v>
      </c>
      <c r="I1039" s="37">
        <v>10</v>
      </c>
      <c r="J1039" s="37">
        <v>10</v>
      </c>
      <c r="K1039" s="37">
        <v>4</v>
      </c>
      <c r="L1039" s="37">
        <v>4</v>
      </c>
      <c r="M1039" s="37">
        <v>4</v>
      </c>
      <c r="N1039" s="37">
        <v>4</v>
      </c>
      <c r="O1039" s="37">
        <v>4</v>
      </c>
      <c r="P1039" s="37">
        <v>4</v>
      </c>
      <c r="Q1039" s="37">
        <v>8</v>
      </c>
      <c r="R1039" s="37">
        <v>9</v>
      </c>
      <c r="S1039" s="37">
        <v>10</v>
      </c>
      <c r="T1039" s="37">
        <v>10</v>
      </c>
      <c r="U1039" s="37">
        <v>10</v>
      </c>
      <c r="V1039" s="37">
        <v>10</v>
      </c>
      <c r="W1039" s="37">
        <v>10</v>
      </c>
      <c r="X1039" s="37">
        <v>10</v>
      </c>
      <c r="Z1039" s="37">
        <v>10</v>
      </c>
      <c r="AA1039" s="37">
        <v>10</v>
      </c>
      <c r="AB1039" s="37">
        <v>10</v>
      </c>
      <c r="AC1039" s="37">
        <v>10</v>
      </c>
      <c r="AD1039" s="37">
        <v>10</v>
      </c>
      <c r="AE1039" s="37">
        <v>10</v>
      </c>
      <c r="AF1039" s="37">
        <v>10</v>
      </c>
      <c r="AG1039" s="37">
        <v>4</v>
      </c>
      <c r="AH1039" s="37">
        <v>4</v>
      </c>
      <c r="AI1039" s="37">
        <v>4</v>
      </c>
      <c r="AJ1039" s="37">
        <v>4</v>
      </c>
      <c r="AK1039" s="37">
        <v>4</v>
      </c>
      <c r="AL1039" s="37">
        <v>4</v>
      </c>
      <c r="AM1039" s="37">
        <v>10</v>
      </c>
      <c r="AN1039" s="37">
        <v>10</v>
      </c>
      <c r="AO1039" s="37">
        <v>10</v>
      </c>
      <c r="AP1039" s="37">
        <v>10</v>
      </c>
      <c r="AQ1039" s="37">
        <v>10</v>
      </c>
      <c r="AR1039" s="37">
        <v>10</v>
      </c>
      <c r="AS1039" s="37">
        <v>10</v>
      </c>
      <c r="AT1039" s="37">
        <v>10</v>
      </c>
    </row>
    <row r="1040" spans="3:46" s="37" customFormat="1" x14ac:dyDescent="0.25"/>
    <row r="1041" spans="3:46" s="37" customFormat="1" x14ac:dyDescent="0.25">
      <c r="C1041" s="37" t="s">
        <v>21</v>
      </c>
      <c r="D1041" s="37">
        <v>13</v>
      </c>
      <c r="E1041" s="37">
        <v>13</v>
      </c>
      <c r="F1041" s="37">
        <v>13</v>
      </c>
      <c r="G1041" s="37">
        <v>13</v>
      </c>
      <c r="H1041" s="37">
        <v>12</v>
      </c>
      <c r="I1041" s="37">
        <v>11</v>
      </c>
      <c r="J1041" s="37">
        <v>10</v>
      </c>
      <c r="K1041" s="37">
        <v>5</v>
      </c>
      <c r="L1041" s="37">
        <v>5</v>
      </c>
      <c r="M1041" s="37">
        <v>5</v>
      </c>
      <c r="N1041" s="37">
        <v>5</v>
      </c>
      <c r="O1041" s="37">
        <v>5</v>
      </c>
      <c r="P1041" s="37">
        <v>5</v>
      </c>
      <c r="Q1041" s="37">
        <v>8</v>
      </c>
      <c r="R1041" s="37">
        <v>9</v>
      </c>
      <c r="S1041" s="37">
        <v>11</v>
      </c>
      <c r="T1041" s="37">
        <v>12</v>
      </c>
      <c r="U1041" s="37">
        <v>13</v>
      </c>
      <c r="V1041" s="37">
        <v>13</v>
      </c>
      <c r="W1041" s="37">
        <v>13</v>
      </c>
      <c r="X1041" s="37">
        <v>13</v>
      </c>
      <c r="Z1041" s="37">
        <v>13</v>
      </c>
      <c r="AA1041" s="37">
        <v>13</v>
      </c>
      <c r="AB1041" s="37">
        <v>13</v>
      </c>
      <c r="AC1041" s="37">
        <v>13</v>
      </c>
      <c r="AD1041" s="37">
        <v>13</v>
      </c>
      <c r="AE1041" s="37">
        <v>13</v>
      </c>
      <c r="AF1041" s="37">
        <v>13</v>
      </c>
      <c r="AG1041" s="37">
        <v>5</v>
      </c>
      <c r="AH1041" s="37">
        <v>5</v>
      </c>
      <c r="AI1041" s="37">
        <v>5</v>
      </c>
      <c r="AJ1041" s="37">
        <v>5</v>
      </c>
      <c r="AK1041" s="37">
        <v>5</v>
      </c>
      <c r="AL1041" s="37">
        <v>5</v>
      </c>
      <c r="AM1041" s="37">
        <v>14</v>
      </c>
      <c r="AN1041" s="37">
        <v>14</v>
      </c>
      <c r="AO1041" s="37">
        <v>14</v>
      </c>
      <c r="AP1041" s="37">
        <v>14</v>
      </c>
      <c r="AQ1041" s="37">
        <v>14</v>
      </c>
      <c r="AR1041" s="37">
        <v>14</v>
      </c>
      <c r="AS1041" s="37">
        <v>14</v>
      </c>
      <c r="AT1041" s="37">
        <v>14</v>
      </c>
    </row>
    <row r="1042" spans="3:46" s="37" customFormat="1" x14ac:dyDescent="0.25"/>
    <row r="1043" spans="3:46" s="37" customFormat="1" x14ac:dyDescent="0.25">
      <c r="C1043" s="37" t="s">
        <v>20</v>
      </c>
      <c r="D1043" s="37">
        <v>9</v>
      </c>
      <c r="E1043" s="37">
        <v>9</v>
      </c>
      <c r="F1043" s="37">
        <v>9</v>
      </c>
      <c r="G1043" s="37">
        <v>9</v>
      </c>
      <c r="H1043" s="37">
        <v>9</v>
      </c>
      <c r="I1043" s="37">
        <v>9</v>
      </c>
      <c r="J1043" s="37">
        <v>9</v>
      </c>
      <c r="K1043" s="37">
        <v>3</v>
      </c>
      <c r="L1043" s="37">
        <v>3</v>
      </c>
      <c r="M1043" s="37">
        <v>3</v>
      </c>
      <c r="N1043" s="37">
        <v>3</v>
      </c>
      <c r="O1043" s="37">
        <v>3</v>
      </c>
      <c r="P1043" s="37">
        <v>3</v>
      </c>
      <c r="Q1043" s="37">
        <v>6</v>
      </c>
      <c r="R1043" s="37">
        <v>6</v>
      </c>
      <c r="S1043" s="37">
        <v>7</v>
      </c>
      <c r="T1043" s="37">
        <v>7</v>
      </c>
      <c r="U1043" s="37">
        <v>7</v>
      </c>
      <c r="V1043" s="37">
        <v>7</v>
      </c>
      <c r="W1043" s="37">
        <v>7</v>
      </c>
      <c r="X1043" s="37">
        <v>7</v>
      </c>
      <c r="Z1043" s="37">
        <v>9</v>
      </c>
      <c r="AA1043" s="37">
        <v>9</v>
      </c>
      <c r="AB1043" s="37">
        <v>9</v>
      </c>
      <c r="AC1043" s="37">
        <v>9</v>
      </c>
      <c r="AD1043" s="37">
        <v>9</v>
      </c>
      <c r="AE1043" s="37">
        <v>9</v>
      </c>
      <c r="AF1043" s="37">
        <v>9</v>
      </c>
      <c r="AG1043" s="37">
        <v>3</v>
      </c>
      <c r="AH1043" s="37">
        <v>3</v>
      </c>
      <c r="AI1043" s="37">
        <v>3</v>
      </c>
      <c r="AJ1043" s="37">
        <v>3</v>
      </c>
      <c r="AK1043" s="37">
        <v>3</v>
      </c>
      <c r="AL1043" s="37">
        <v>3</v>
      </c>
      <c r="AM1043" s="37">
        <v>7</v>
      </c>
      <c r="AN1043" s="37">
        <v>7</v>
      </c>
      <c r="AO1043" s="37">
        <v>7</v>
      </c>
      <c r="AP1043" s="37">
        <v>7</v>
      </c>
      <c r="AQ1043" s="37">
        <v>7</v>
      </c>
      <c r="AR1043" s="37">
        <v>7</v>
      </c>
      <c r="AS1043" s="37">
        <v>7</v>
      </c>
      <c r="AT1043" s="37">
        <v>7</v>
      </c>
    </row>
    <row r="1044" spans="3:46" s="37" customFormat="1" x14ac:dyDescent="0.25"/>
    <row r="1045" spans="3:46" s="37" customFormat="1" x14ac:dyDescent="0.25">
      <c r="C1045" s="37" t="s">
        <v>21</v>
      </c>
      <c r="D1045" s="37">
        <v>9</v>
      </c>
      <c r="E1045" s="37">
        <v>9</v>
      </c>
      <c r="F1045" s="37">
        <v>9</v>
      </c>
      <c r="G1045" s="37">
        <v>9</v>
      </c>
      <c r="H1045" s="37">
        <v>9</v>
      </c>
      <c r="I1045" s="37">
        <v>8</v>
      </c>
      <c r="J1045" s="37">
        <v>7</v>
      </c>
      <c r="K1045" s="37">
        <v>4</v>
      </c>
      <c r="L1045" s="37">
        <v>4</v>
      </c>
      <c r="M1045" s="37">
        <v>4</v>
      </c>
      <c r="N1045" s="37">
        <v>4</v>
      </c>
      <c r="O1045" s="37">
        <v>4</v>
      </c>
      <c r="P1045" s="37">
        <v>4</v>
      </c>
      <c r="Q1045" s="37">
        <v>6</v>
      </c>
      <c r="R1045" s="37">
        <v>7</v>
      </c>
      <c r="S1045" s="37">
        <v>8</v>
      </c>
      <c r="T1045" s="37">
        <v>9</v>
      </c>
      <c r="U1045" s="37">
        <v>10</v>
      </c>
      <c r="V1045" s="37">
        <v>10</v>
      </c>
      <c r="W1045" s="37">
        <v>10</v>
      </c>
      <c r="X1045" s="37">
        <v>10</v>
      </c>
      <c r="Z1045" s="37">
        <v>9</v>
      </c>
      <c r="AA1045" s="37">
        <v>9</v>
      </c>
      <c r="AB1045" s="37">
        <v>9</v>
      </c>
      <c r="AC1045" s="37">
        <v>9</v>
      </c>
      <c r="AD1045" s="37">
        <v>9</v>
      </c>
      <c r="AE1045" s="37">
        <v>9</v>
      </c>
      <c r="AF1045" s="37">
        <v>9</v>
      </c>
      <c r="AG1045" s="37">
        <v>4</v>
      </c>
      <c r="AH1045" s="37">
        <v>4</v>
      </c>
      <c r="AI1045" s="37">
        <v>4</v>
      </c>
      <c r="AJ1045" s="37">
        <v>4</v>
      </c>
      <c r="AK1045" s="37">
        <v>4</v>
      </c>
      <c r="AL1045" s="37">
        <v>4</v>
      </c>
      <c r="AM1045" s="37">
        <v>10</v>
      </c>
      <c r="AN1045" s="37">
        <v>10</v>
      </c>
      <c r="AO1045" s="37">
        <v>10</v>
      </c>
      <c r="AP1045" s="37">
        <v>10</v>
      </c>
      <c r="AQ1045" s="37">
        <v>10</v>
      </c>
      <c r="AR1045" s="37">
        <v>10</v>
      </c>
      <c r="AS1045" s="37">
        <v>10</v>
      </c>
      <c r="AT1045" s="37">
        <v>10</v>
      </c>
    </row>
    <row r="1046" spans="3:46" s="37" customFormat="1" x14ac:dyDescent="0.25"/>
    <row r="1047" spans="3:46" s="37" customFormat="1" x14ac:dyDescent="0.25">
      <c r="C1047" s="37" t="s">
        <v>20</v>
      </c>
      <c r="D1047" s="37">
        <v>8</v>
      </c>
      <c r="E1047" s="37">
        <v>8</v>
      </c>
      <c r="F1047" s="37">
        <v>8</v>
      </c>
      <c r="G1047" s="37">
        <v>8</v>
      </c>
      <c r="H1047" s="37">
        <v>8</v>
      </c>
      <c r="I1047" s="37">
        <v>7</v>
      </c>
      <c r="J1047" s="37">
        <v>6</v>
      </c>
      <c r="K1047" s="37">
        <v>3</v>
      </c>
      <c r="L1047" s="37">
        <v>3</v>
      </c>
      <c r="M1047" s="37">
        <v>3</v>
      </c>
      <c r="N1047" s="37">
        <v>3</v>
      </c>
      <c r="O1047" s="37">
        <v>3</v>
      </c>
      <c r="P1047" s="37">
        <v>3</v>
      </c>
      <c r="Q1047" s="37">
        <v>5</v>
      </c>
      <c r="R1047" s="37">
        <v>6</v>
      </c>
      <c r="S1047" s="37">
        <v>6</v>
      </c>
      <c r="T1047" s="37">
        <v>7</v>
      </c>
      <c r="U1047" s="37">
        <v>8</v>
      </c>
      <c r="V1047" s="37">
        <v>8</v>
      </c>
      <c r="W1047" s="37">
        <v>8</v>
      </c>
      <c r="X1047" s="37">
        <v>8</v>
      </c>
      <c r="Z1047" s="37">
        <v>8</v>
      </c>
      <c r="AA1047" s="37">
        <v>8</v>
      </c>
      <c r="AB1047" s="37">
        <v>8</v>
      </c>
      <c r="AC1047" s="37">
        <v>8</v>
      </c>
      <c r="AD1047" s="37">
        <v>8</v>
      </c>
      <c r="AE1047" s="37">
        <v>8</v>
      </c>
      <c r="AF1047" s="37">
        <v>8</v>
      </c>
      <c r="AG1047" s="37">
        <v>3</v>
      </c>
      <c r="AH1047" s="37">
        <v>3</v>
      </c>
      <c r="AI1047" s="37">
        <v>3</v>
      </c>
      <c r="AJ1047" s="37">
        <v>3</v>
      </c>
      <c r="AK1047" s="37">
        <v>3</v>
      </c>
      <c r="AL1047" s="37">
        <v>3</v>
      </c>
      <c r="AM1047" s="37">
        <v>8</v>
      </c>
      <c r="AN1047" s="37">
        <v>8</v>
      </c>
      <c r="AO1047" s="37">
        <v>8</v>
      </c>
      <c r="AP1047" s="37">
        <v>8</v>
      </c>
      <c r="AQ1047" s="37">
        <v>8</v>
      </c>
      <c r="AR1047" s="37">
        <v>8</v>
      </c>
      <c r="AS1047" s="37">
        <v>8</v>
      </c>
      <c r="AT1047" s="37">
        <v>8</v>
      </c>
    </row>
    <row r="1048" spans="3:46" s="37" customFormat="1" x14ac:dyDescent="0.25"/>
    <row r="1049" spans="3:46" s="37" customFormat="1" x14ac:dyDescent="0.25">
      <c r="C1049" s="37" t="s">
        <v>21</v>
      </c>
      <c r="D1049" s="37">
        <v>8</v>
      </c>
      <c r="E1049" s="37">
        <v>8</v>
      </c>
      <c r="F1049" s="37">
        <v>8</v>
      </c>
      <c r="G1049" s="37">
        <v>8</v>
      </c>
      <c r="H1049" s="37">
        <v>7</v>
      </c>
      <c r="I1049" s="37">
        <v>6</v>
      </c>
      <c r="J1049" s="37">
        <v>6</v>
      </c>
      <c r="K1049" s="37">
        <v>4</v>
      </c>
      <c r="L1049" s="37">
        <v>4</v>
      </c>
      <c r="M1049" s="37">
        <v>4</v>
      </c>
      <c r="N1049" s="37">
        <v>4</v>
      </c>
      <c r="O1049" s="37">
        <v>4</v>
      </c>
      <c r="P1049" s="37">
        <v>4</v>
      </c>
      <c r="Q1049" s="37">
        <v>4</v>
      </c>
      <c r="R1049" s="37">
        <v>4</v>
      </c>
      <c r="S1049" s="37">
        <v>5</v>
      </c>
      <c r="T1049" s="37">
        <v>6</v>
      </c>
      <c r="U1049" s="37">
        <v>6</v>
      </c>
      <c r="V1049" s="37">
        <v>7</v>
      </c>
      <c r="W1049" s="37">
        <v>7</v>
      </c>
      <c r="X1049" s="37">
        <v>7</v>
      </c>
      <c r="Z1049" s="37">
        <v>8</v>
      </c>
      <c r="AA1049" s="37">
        <v>8</v>
      </c>
      <c r="AB1049" s="37">
        <v>8</v>
      </c>
      <c r="AC1049" s="37">
        <v>8</v>
      </c>
      <c r="AD1049" s="37">
        <v>8</v>
      </c>
      <c r="AE1049" s="37">
        <v>8</v>
      </c>
      <c r="AF1049" s="37">
        <v>8</v>
      </c>
      <c r="AG1049" s="37">
        <v>4</v>
      </c>
      <c r="AH1049" s="37">
        <v>4</v>
      </c>
      <c r="AI1049" s="37">
        <v>4</v>
      </c>
      <c r="AJ1049" s="37">
        <v>4</v>
      </c>
      <c r="AK1049" s="37">
        <v>4</v>
      </c>
      <c r="AL1049" s="37">
        <v>4</v>
      </c>
      <c r="AM1049" s="37">
        <v>7</v>
      </c>
      <c r="AN1049" s="37">
        <v>7</v>
      </c>
      <c r="AO1049" s="37">
        <v>7</v>
      </c>
      <c r="AP1049" s="37">
        <v>7</v>
      </c>
      <c r="AQ1049" s="37">
        <v>7</v>
      </c>
      <c r="AR1049" s="37">
        <v>7</v>
      </c>
      <c r="AS1049" s="37">
        <v>7</v>
      </c>
      <c r="AT1049" s="37">
        <v>7</v>
      </c>
    </row>
    <row r="1050" spans="3:46" s="37" customFormat="1" x14ac:dyDescent="0.25"/>
    <row r="1051" spans="3:46" s="37" customFormat="1" x14ac:dyDescent="0.25">
      <c r="C1051" s="37" t="s">
        <v>20</v>
      </c>
      <c r="D1051" s="37">
        <v>9</v>
      </c>
      <c r="E1051" s="37">
        <v>9</v>
      </c>
      <c r="F1051" s="37">
        <v>9</v>
      </c>
      <c r="G1051" s="37">
        <v>9</v>
      </c>
      <c r="H1051" s="37">
        <v>9</v>
      </c>
      <c r="I1051" s="37">
        <v>9</v>
      </c>
      <c r="J1051" s="37">
        <v>9</v>
      </c>
      <c r="K1051" s="37">
        <v>4</v>
      </c>
      <c r="L1051" s="37">
        <v>4</v>
      </c>
      <c r="M1051" s="37">
        <v>4</v>
      </c>
      <c r="N1051" s="37">
        <v>4</v>
      </c>
      <c r="O1051" s="37">
        <v>4</v>
      </c>
      <c r="P1051" s="37">
        <v>4</v>
      </c>
      <c r="Q1051" s="37">
        <v>8</v>
      </c>
      <c r="R1051" s="37">
        <v>9</v>
      </c>
      <c r="S1051" s="37">
        <v>9</v>
      </c>
      <c r="T1051" s="37">
        <v>9</v>
      </c>
      <c r="U1051" s="37">
        <v>9</v>
      </c>
      <c r="V1051" s="37">
        <v>9</v>
      </c>
      <c r="W1051" s="37">
        <v>9</v>
      </c>
      <c r="X1051" s="37">
        <v>9</v>
      </c>
      <c r="Z1051" s="37">
        <v>9</v>
      </c>
      <c r="AA1051" s="37">
        <v>9</v>
      </c>
      <c r="AB1051" s="37">
        <v>9</v>
      </c>
      <c r="AC1051" s="37">
        <v>9</v>
      </c>
      <c r="AD1051" s="37">
        <v>9</v>
      </c>
      <c r="AE1051" s="37">
        <v>9</v>
      </c>
      <c r="AF1051" s="37">
        <v>9</v>
      </c>
      <c r="AG1051" s="37">
        <v>4</v>
      </c>
      <c r="AH1051" s="37">
        <v>4</v>
      </c>
      <c r="AI1051" s="37">
        <v>4</v>
      </c>
      <c r="AJ1051" s="37">
        <v>4</v>
      </c>
      <c r="AK1051" s="37">
        <v>4</v>
      </c>
      <c r="AL1051" s="37">
        <v>4</v>
      </c>
      <c r="AM1051" s="37">
        <v>9</v>
      </c>
      <c r="AN1051" s="37">
        <v>9</v>
      </c>
      <c r="AO1051" s="37">
        <v>9</v>
      </c>
      <c r="AP1051" s="37">
        <v>9</v>
      </c>
      <c r="AQ1051" s="37">
        <v>9</v>
      </c>
      <c r="AR1051" s="37">
        <v>9</v>
      </c>
      <c r="AS1051" s="37">
        <v>9</v>
      </c>
      <c r="AT1051" s="37">
        <v>9</v>
      </c>
    </row>
    <row r="1052" spans="3:46" s="37" customFormat="1" x14ac:dyDescent="0.25"/>
    <row r="1053" spans="3:46" s="37" customFormat="1" x14ac:dyDescent="0.25">
      <c r="C1053" s="37" t="s">
        <v>21</v>
      </c>
      <c r="D1053" s="37">
        <v>13</v>
      </c>
      <c r="E1053" s="37">
        <v>13</v>
      </c>
      <c r="F1053" s="37">
        <v>13</v>
      </c>
      <c r="G1053" s="37">
        <v>13</v>
      </c>
      <c r="H1053" s="37">
        <v>13</v>
      </c>
      <c r="I1053" s="37">
        <v>12</v>
      </c>
      <c r="J1053" s="37">
        <v>11</v>
      </c>
      <c r="K1053" s="37">
        <v>6</v>
      </c>
      <c r="L1053" s="37">
        <v>6</v>
      </c>
      <c r="M1053" s="37">
        <v>6</v>
      </c>
      <c r="N1053" s="37">
        <v>6</v>
      </c>
      <c r="O1053" s="37">
        <v>6</v>
      </c>
      <c r="P1053" s="37">
        <v>6</v>
      </c>
      <c r="Q1053" s="37">
        <v>9</v>
      </c>
      <c r="R1053" s="37">
        <v>10</v>
      </c>
      <c r="S1053" s="37">
        <v>11</v>
      </c>
      <c r="T1053" s="37">
        <v>12</v>
      </c>
      <c r="U1053" s="37">
        <v>12</v>
      </c>
      <c r="V1053" s="37">
        <v>12</v>
      </c>
      <c r="W1053" s="37">
        <v>12</v>
      </c>
      <c r="X1053" s="37">
        <v>12</v>
      </c>
      <c r="Z1053" s="37">
        <v>13</v>
      </c>
      <c r="AA1053" s="37">
        <v>13</v>
      </c>
      <c r="AB1053" s="37">
        <v>13</v>
      </c>
      <c r="AC1053" s="37">
        <v>13</v>
      </c>
      <c r="AD1053" s="37">
        <v>13</v>
      </c>
      <c r="AE1053" s="37">
        <v>13</v>
      </c>
      <c r="AF1053" s="37">
        <v>13</v>
      </c>
      <c r="AG1053" s="37">
        <v>6</v>
      </c>
      <c r="AH1053" s="37">
        <v>6</v>
      </c>
      <c r="AI1053" s="37">
        <v>6</v>
      </c>
      <c r="AJ1053" s="37">
        <v>6</v>
      </c>
      <c r="AK1053" s="37">
        <v>6</v>
      </c>
      <c r="AL1053" s="37">
        <v>6</v>
      </c>
      <c r="AM1053" s="37">
        <v>13</v>
      </c>
      <c r="AN1053" s="37">
        <v>13</v>
      </c>
      <c r="AO1053" s="37">
        <v>13</v>
      </c>
      <c r="AP1053" s="37">
        <v>13</v>
      </c>
      <c r="AQ1053" s="37">
        <v>13</v>
      </c>
      <c r="AR1053" s="37">
        <v>13</v>
      </c>
      <c r="AS1053" s="37">
        <v>13</v>
      </c>
      <c r="AT1053" s="37">
        <v>13</v>
      </c>
    </row>
    <row r="1054" spans="3:46" s="37" customFormat="1" x14ac:dyDescent="0.25"/>
    <row r="1055" spans="3:46" s="37" customFormat="1" x14ac:dyDescent="0.25">
      <c r="C1055" s="37" t="s">
        <v>20</v>
      </c>
      <c r="D1055" s="37">
        <v>7</v>
      </c>
      <c r="E1055" s="37">
        <v>7</v>
      </c>
      <c r="F1055" s="37">
        <v>7</v>
      </c>
      <c r="G1055" s="37">
        <v>7</v>
      </c>
      <c r="H1055" s="37">
        <v>7</v>
      </c>
      <c r="I1055" s="37">
        <v>7</v>
      </c>
      <c r="J1055" s="37">
        <v>7</v>
      </c>
      <c r="K1055" s="37">
        <v>3</v>
      </c>
      <c r="L1055" s="37">
        <v>3</v>
      </c>
      <c r="M1055" s="37">
        <v>3</v>
      </c>
      <c r="N1055" s="37">
        <v>3</v>
      </c>
      <c r="O1055" s="37">
        <v>3</v>
      </c>
      <c r="P1055" s="37">
        <v>3</v>
      </c>
      <c r="Q1055" s="37">
        <v>8</v>
      </c>
      <c r="R1055" s="37">
        <v>9</v>
      </c>
      <c r="S1055" s="37">
        <v>9</v>
      </c>
      <c r="T1055" s="37">
        <v>9</v>
      </c>
      <c r="U1055" s="37">
        <v>9</v>
      </c>
      <c r="V1055" s="37">
        <v>9</v>
      </c>
      <c r="W1055" s="37">
        <v>9</v>
      </c>
      <c r="X1055" s="37">
        <v>9</v>
      </c>
      <c r="Z1055" s="37">
        <v>7</v>
      </c>
      <c r="AA1055" s="37">
        <v>7</v>
      </c>
      <c r="AB1055" s="37">
        <v>7</v>
      </c>
      <c r="AC1055" s="37">
        <v>7</v>
      </c>
      <c r="AD1055" s="37">
        <v>7</v>
      </c>
      <c r="AE1055" s="37">
        <v>7</v>
      </c>
      <c r="AF1055" s="37">
        <v>7</v>
      </c>
      <c r="AG1055" s="37">
        <v>3</v>
      </c>
      <c r="AH1055" s="37">
        <v>3</v>
      </c>
      <c r="AI1055" s="37">
        <v>3</v>
      </c>
      <c r="AJ1055" s="37">
        <v>3</v>
      </c>
      <c r="AK1055" s="37">
        <v>3</v>
      </c>
      <c r="AL1055" s="37">
        <v>3</v>
      </c>
      <c r="AM1055" s="37">
        <v>9</v>
      </c>
      <c r="AN1055" s="37">
        <v>9</v>
      </c>
      <c r="AO1055" s="37">
        <v>9</v>
      </c>
      <c r="AP1055" s="37">
        <v>9</v>
      </c>
      <c r="AQ1055" s="37">
        <v>9</v>
      </c>
      <c r="AR1055" s="37">
        <v>9</v>
      </c>
      <c r="AS1055" s="37">
        <v>9</v>
      </c>
      <c r="AT1055" s="37">
        <v>9</v>
      </c>
    </row>
    <row r="1056" spans="3:46" s="37" customFormat="1" x14ac:dyDescent="0.25"/>
    <row r="1057" spans="3:46" s="37" customFormat="1" x14ac:dyDescent="0.25">
      <c r="C1057" s="37" t="s">
        <v>21</v>
      </c>
      <c r="D1057" s="37">
        <v>12</v>
      </c>
      <c r="E1057" s="37">
        <v>12</v>
      </c>
      <c r="F1057" s="37">
        <v>12</v>
      </c>
      <c r="G1057" s="37">
        <v>12</v>
      </c>
      <c r="H1057" s="37">
        <v>12</v>
      </c>
      <c r="I1057" s="37">
        <v>11</v>
      </c>
      <c r="J1057" s="37">
        <v>10</v>
      </c>
      <c r="K1057" s="37">
        <v>5</v>
      </c>
      <c r="L1057" s="37">
        <v>5</v>
      </c>
      <c r="M1057" s="37">
        <v>5</v>
      </c>
      <c r="N1057" s="37">
        <v>5</v>
      </c>
      <c r="O1057" s="37">
        <v>5</v>
      </c>
      <c r="P1057" s="37">
        <v>5</v>
      </c>
      <c r="Q1057" s="37">
        <v>7</v>
      </c>
      <c r="R1057" s="37">
        <v>8</v>
      </c>
      <c r="S1057" s="37">
        <v>9</v>
      </c>
      <c r="T1057" s="37">
        <v>10</v>
      </c>
      <c r="U1057" s="37">
        <v>10</v>
      </c>
      <c r="V1057" s="37">
        <v>10</v>
      </c>
      <c r="W1057" s="37">
        <v>10</v>
      </c>
      <c r="X1057" s="37">
        <v>10</v>
      </c>
      <c r="Z1057" s="37">
        <v>12</v>
      </c>
      <c r="AA1057" s="37">
        <v>12</v>
      </c>
      <c r="AB1057" s="37">
        <v>12</v>
      </c>
      <c r="AC1057" s="37">
        <v>12</v>
      </c>
      <c r="AD1057" s="37">
        <v>12</v>
      </c>
      <c r="AE1057" s="37">
        <v>12</v>
      </c>
      <c r="AF1057" s="37">
        <v>12</v>
      </c>
      <c r="AG1057" s="37">
        <v>5</v>
      </c>
      <c r="AH1057" s="37">
        <v>5</v>
      </c>
      <c r="AI1057" s="37">
        <v>5</v>
      </c>
      <c r="AJ1057" s="37">
        <v>5</v>
      </c>
      <c r="AK1057" s="37">
        <v>5</v>
      </c>
      <c r="AL1057" s="37">
        <v>5</v>
      </c>
      <c r="AM1057" s="37">
        <v>11</v>
      </c>
      <c r="AN1057" s="37">
        <v>11</v>
      </c>
      <c r="AO1057" s="37">
        <v>11</v>
      </c>
      <c r="AP1057" s="37">
        <v>11</v>
      </c>
      <c r="AQ1057" s="37">
        <v>11</v>
      </c>
      <c r="AR1057" s="37">
        <v>11</v>
      </c>
      <c r="AS1057" s="37">
        <v>11</v>
      </c>
      <c r="AT1057" s="37">
        <v>11</v>
      </c>
    </row>
    <row r="1058" spans="3:46" s="37" customFormat="1" x14ac:dyDescent="0.25"/>
    <row r="1059" spans="3:46" s="37" customFormat="1" x14ac:dyDescent="0.25">
      <c r="C1059" s="37" t="s">
        <v>20</v>
      </c>
      <c r="D1059" s="37">
        <v>8</v>
      </c>
      <c r="E1059" s="37">
        <v>8</v>
      </c>
      <c r="F1059" s="37">
        <v>8</v>
      </c>
      <c r="G1059" s="37">
        <v>8</v>
      </c>
      <c r="H1059" s="37">
        <v>8</v>
      </c>
      <c r="I1059" s="37">
        <v>7</v>
      </c>
      <c r="J1059" s="37">
        <v>6</v>
      </c>
      <c r="K1059" s="37">
        <v>3</v>
      </c>
      <c r="L1059" s="37">
        <v>3</v>
      </c>
      <c r="M1059" s="37">
        <v>3</v>
      </c>
      <c r="N1059" s="37">
        <v>3</v>
      </c>
      <c r="O1059" s="37">
        <v>3</v>
      </c>
      <c r="P1059" s="37">
        <v>3</v>
      </c>
      <c r="Q1059" s="37">
        <v>5</v>
      </c>
      <c r="R1059" s="37">
        <v>6</v>
      </c>
      <c r="S1059" s="37">
        <v>6</v>
      </c>
      <c r="T1059" s="37">
        <v>7</v>
      </c>
      <c r="U1059" s="37">
        <v>8</v>
      </c>
      <c r="V1059" s="37">
        <v>8</v>
      </c>
      <c r="W1059" s="37">
        <v>8</v>
      </c>
      <c r="X1059" s="37">
        <v>8</v>
      </c>
      <c r="Z1059" s="37">
        <v>8</v>
      </c>
      <c r="AA1059" s="37">
        <v>8</v>
      </c>
      <c r="AB1059" s="37">
        <v>8</v>
      </c>
      <c r="AC1059" s="37">
        <v>8</v>
      </c>
      <c r="AD1059" s="37">
        <v>8</v>
      </c>
      <c r="AE1059" s="37">
        <v>8</v>
      </c>
      <c r="AF1059" s="37">
        <v>8</v>
      </c>
      <c r="AG1059" s="37">
        <v>3</v>
      </c>
      <c r="AH1059" s="37">
        <v>3</v>
      </c>
      <c r="AI1059" s="37">
        <v>3</v>
      </c>
      <c r="AJ1059" s="37">
        <v>3</v>
      </c>
      <c r="AK1059" s="37">
        <v>3</v>
      </c>
      <c r="AL1059" s="37">
        <v>3</v>
      </c>
      <c r="AM1059" s="37">
        <v>8</v>
      </c>
      <c r="AN1059" s="37">
        <v>8</v>
      </c>
      <c r="AO1059" s="37">
        <v>8</v>
      </c>
      <c r="AP1059" s="37">
        <v>8</v>
      </c>
      <c r="AQ1059" s="37">
        <v>8</v>
      </c>
      <c r="AR1059" s="37">
        <v>8</v>
      </c>
      <c r="AS1059" s="37">
        <v>8</v>
      </c>
      <c r="AT1059" s="37">
        <v>8</v>
      </c>
    </row>
    <row r="1060" spans="3:46" s="37" customFormat="1" x14ac:dyDescent="0.25"/>
    <row r="1061" spans="3:46" s="37" customFormat="1" x14ac:dyDescent="0.25">
      <c r="C1061" s="37" t="s">
        <v>21</v>
      </c>
      <c r="D1061" s="37">
        <v>6</v>
      </c>
      <c r="E1061" s="37">
        <v>6</v>
      </c>
      <c r="F1061" s="37">
        <v>6</v>
      </c>
      <c r="G1061" s="37">
        <v>6</v>
      </c>
      <c r="H1061" s="37">
        <v>5</v>
      </c>
      <c r="I1061" s="37">
        <v>5</v>
      </c>
      <c r="J1061" s="37">
        <v>4</v>
      </c>
      <c r="K1061" s="37">
        <v>4</v>
      </c>
      <c r="L1061" s="37">
        <v>4</v>
      </c>
      <c r="M1061" s="37">
        <v>4</v>
      </c>
      <c r="N1061" s="37">
        <v>4</v>
      </c>
      <c r="O1061" s="37">
        <v>4</v>
      </c>
      <c r="P1061" s="37">
        <v>4</v>
      </c>
      <c r="Q1061" s="37">
        <v>4</v>
      </c>
      <c r="R1061" s="37">
        <v>4</v>
      </c>
      <c r="S1061" s="37">
        <v>4</v>
      </c>
      <c r="T1061" s="37">
        <v>5</v>
      </c>
      <c r="U1061" s="37">
        <v>5</v>
      </c>
      <c r="V1061" s="37">
        <v>6</v>
      </c>
      <c r="W1061" s="37">
        <v>6</v>
      </c>
      <c r="X1061" s="37">
        <v>6</v>
      </c>
      <c r="Z1061" s="37">
        <v>6</v>
      </c>
      <c r="AA1061" s="37">
        <v>6</v>
      </c>
      <c r="AB1061" s="37">
        <v>6</v>
      </c>
      <c r="AC1061" s="37">
        <v>6</v>
      </c>
      <c r="AD1061" s="37">
        <v>6</v>
      </c>
      <c r="AE1061" s="37">
        <v>6</v>
      </c>
      <c r="AF1061" s="37">
        <v>6</v>
      </c>
      <c r="AG1061" s="37">
        <v>4</v>
      </c>
      <c r="AH1061" s="37">
        <v>4</v>
      </c>
      <c r="AI1061" s="37">
        <v>4</v>
      </c>
      <c r="AJ1061" s="37">
        <v>4</v>
      </c>
      <c r="AK1061" s="37">
        <v>4</v>
      </c>
      <c r="AL1061" s="37">
        <v>4</v>
      </c>
      <c r="AM1061" s="37">
        <v>6</v>
      </c>
      <c r="AN1061" s="37">
        <v>6</v>
      </c>
      <c r="AO1061" s="37">
        <v>6</v>
      </c>
      <c r="AP1061" s="37">
        <v>6</v>
      </c>
      <c r="AQ1061" s="37">
        <v>6</v>
      </c>
      <c r="AR1061" s="37">
        <v>6</v>
      </c>
      <c r="AS1061" s="37">
        <v>6</v>
      </c>
      <c r="AT1061" s="37">
        <v>6</v>
      </c>
    </row>
    <row r="1062" spans="3:46" s="37" customFormat="1" x14ac:dyDescent="0.25"/>
    <row r="1063" spans="3:46" s="37" customFormat="1" x14ac:dyDescent="0.25">
      <c r="C1063" s="37" t="s">
        <v>20</v>
      </c>
      <c r="D1063" s="37">
        <v>10</v>
      </c>
      <c r="E1063" s="37">
        <v>10</v>
      </c>
      <c r="F1063" s="37">
        <v>10</v>
      </c>
      <c r="G1063" s="37">
        <v>10</v>
      </c>
      <c r="H1063" s="37">
        <v>10</v>
      </c>
      <c r="I1063" s="37">
        <v>10</v>
      </c>
      <c r="J1063" s="37">
        <v>10</v>
      </c>
      <c r="K1063" s="37">
        <v>9</v>
      </c>
      <c r="L1063" s="37">
        <v>8</v>
      </c>
      <c r="M1063" s="37">
        <v>7</v>
      </c>
      <c r="N1063" s="37">
        <v>6</v>
      </c>
      <c r="O1063" s="37">
        <v>6</v>
      </c>
      <c r="P1063" s="37">
        <v>7</v>
      </c>
      <c r="Q1063" s="37">
        <v>8</v>
      </c>
      <c r="R1063" s="37">
        <v>9</v>
      </c>
      <c r="S1063" s="37">
        <v>10</v>
      </c>
      <c r="T1063" s="37">
        <v>10</v>
      </c>
      <c r="U1063" s="37">
        <v>10</v>
      </c>
      <c r="V1063" s="37">
        <v>10</v>
      </c>
      <c r="W1063" s="37">
        <v>10</v>
      </c>
      <c r="X1063" s="37">
        <v>10</v>
      </c>
      <c r="Z1063" s="37">
        <v>10</v>
      </c>
      <c r="AA1063" s="37">
        <v>10</v>
      </c>
      <c r="AB1063" s="37">
        <v>10</v>
      </c>
      <c r="AC1063" s="37">
        <v>10</v>
      </c>
      <c r="AD1063" s="37">
        <v>10</v>
      </c>
      <c r="AE1063" s="37">
        <v>10</v>
      </c>
      <c r="AF1063" s="37">
        <v>10</v>
      </c>
      <c r="AG1063" s="37">
        <v>10</v>
      </c>
      <c r="AH1063" s="37">
        <v>10</v>
      </c>
      <c r="AI1063" s="37">
        <v>10</v>
      </c>
      <c r="AJ1063" s="37">
        <v>10</v>
      </c>
      <c r="AK1063" s="37">
        <v>10</v>
      </c>
      <c r="AL1063" s="37">
        <v>10</v>
      </c>
      <c r="AM1063" s="37">
        <v>10</v>
      </c>
      <c r="AN1063" s="37">
        <v>10</v>
      </c>
      <c r="AO1063" s="37">
        <v>10</v>
      </c>
      <c r="AP1063" s="37">
        <v>10</v>
      </c>
      <c r="AQ1063" s="37">
        <v>10</v>
      </c>
      <c r="AR1063" s="37">
        <v>10</v>
      </c>
      <c r="AS1063" s="37">
        <v>10</v>
      </c>
      <c r="AT1063" s="37">
        <v>10</v>
      </c>
    </row>
    <row r="1064" spans="3:46" s="37" customFormat="1" x14ac:dyDescent="0.25"/>
    <row r="1065" spans="3:46" s="37" customFormat="1" x14ac:dyDescent="0.25">
      <c r="C1065" s="37" t="s">
        <v>21</v>
      </c>
      <c r="D1065" s="37">
        <v>14</v>
      </c>
      <c r="E1065" s="37">
        <v>14</v>
      </c>
      <c r="F1065" s="37">
        <v>14</v>
      </c>
      <c r="G1065" s="37">
        <v>14</v>
      </c>
      <c r="H1065" s="37">
        <v>14</v>
      </c>
      <c r="I1065" s="37">
        <v>14</v>
      </c>
      <c r="J1065" s="37">
        <v>14</v>
      </c>
      <c r="K1065" s="37">
        <v>14</v>
      </c>
      <c r="L1065" s="37">
        <v>14</v>
      </c>
      <c r="M1065" s="37">
        <v>14</v>
      </c>
      <c r="N1065" s="37">
        <v>14</v>
      </c>
      <c r="O1065" s="37">
        <v>14</v>
      </c>
      <c r="P1065" s="37">
        <v>14</v>
      </c>
      <c r="Q1065" s="37">
        <v>14</v>
      </c>
      <c r="R1065" s="37">
        <v>14</v>
      </c>
      <c r="S1065" s="37">
        <v>14</v>
      </c>
      <c r="T1065" s="37">
        <v>14</v>
      </c>
      <c r="U1065" s="37">
        <v>14</v>
      </c>
      <c r="V1065" s="37">
        <v>14</v>
      </c>
      <c r="W1065" s="37">
        <v>14</v>
      </c>
      <c r="X1065" s="37">
        <v>14</v>
      </c>
      <c r="Z1065" s="37">
        <v>14</v>
      </c>
      <c r="AA1065" s="37">
        <v>14</v>
      </c>
      <c r="AB1065" s="37">
        <v>14</v>
      </c>
      <c r="AC1065" s="37">
        <v>14</v>
      </c>
      <c r="AD1065" s="37">
        <v>14</v>
      </c>
      <c r="AE1065" s="37">
        <v>14</v>
      </c>
      <c r="AF1065" s="37">
        <v>14</v>
      </c>
      <c r="AG1065" s="37">
        <v>14</v>
      </c>
      <c r="AH1065" s="37">
        <v>14</v>
      </c>
      <c r="AI1065" s="37">
        <v>14</v>
      </c>
      <c r="AJ1065" s="37">
        <v>14</v>
      </c>
      <c r="AK1065" s="37">
        <v>14</v>
      </c>
      <c r="AL1065" s="37">
        <v>14</v>
      </c>
      <c r="AM1065" s="37">
        <v>15</v>
      </c>
      <c r="AN1065" s="37">
        <v>15</v>
      </c>
      <c r="AO1065" s="37">
        <v>15</v>
      </c>
      <c r="AP1065" s="37">
        <v>15</v>
      </c>
      <c r="AQ1065" s="37">
        <v>15</v>
      </c>
      <c r="AR1065" s="37">
        <v>15</v>
      </c>
      <c r="AS1065" s="37">
        <v>15</v>
      </c>
      <c r="AT1065" s="37">
        <v>15</v>
      </c>
    </row>
    <row r="1066" spans="3:46" s="37" customFormat="1" x14ac:dyDescent="0.25"/>
    <row r="1067" spans="3:46" s="37" customFormat="1" x14ac:dyDescent="0.25">
      <c r="C1067" s="37" t="s">
        <v>20</v>
      </c>
      <c r="D1067" s="37">
        <v>11</v>
      </c>
      <c r="E1067" s="37">
        <v>11</v>
      </c>
      <c r="F1067" s="37">
        <v>11</v>
      </c>
      <c r="G1067" s="37">
        <v>11</v>
      </c>
      <c r="H1067" s="37">
        <v>11</v>
      </c>
      <c r="I1067" s="37">
        <v>11</v>
      </c>
      <c r="J1067" s="37">
        <v>10</v>
      </c>
      <c r="K1067" s="37">
        <v>4</v>
      </c>
      <c r="L1067" s="37">
        <v>4</v>
      </c>
      <c r="M1067" s="37">
        <v>4</v>
      </c>
      <c r="N1067" s="37">
        <v>4</v>
      </c>
      <c r="O1067" s="37">
        <v>4</v>
      </c>
      <c r="P1067" s="37">
        <v>4</v>
      </c>
      <c r="Q1067" s="37">
        <v>8</v>
      </c>
      <c r="R1067" s="37">
        <v>9</v>
      </c>
      <c r="S1067" s="37">
        <v>10</v>
      </c>
      <c r="T1067" s="37">
        <v>10</v>
      </c>
      <c r="U1067" s="37">
        <v>10</v>
      </c>
      <c r="V1067" s="37">
        <v>10</v>
      </c>
      <c r="W1067" s="37">
        <v>10</v>
      </c>
      <c r="X1067" s="37">
        <v>10</v>
      </c>
      <c r="Z1067" s="37">
        <v>11</v>
      </c>
      <c r="AA1067" s="37">
        <v>11</v>
      </c>
      <c r="AB1067" s="37">
        <v>11</v>
      </c>
      <c r="AC1067" s="37">
        <v>11</v>
      </c>
      <c r="AD1067" s="37">
        <v>11</v>
      </c>
      <c r="AE1067" s="37">
        <v>11</v>
      </c>
      <c r="AF1067" s="37">
        <v>11</v>
      </c>
      <c r="AG1067" s="37">
        <v>4</v>
      </c>
      <c r="AH1067" s="37">
        <v>4</v>
      </c>
      <c r="AI1067" s="37">
        <v>4</v>
      </c>
      <c r="AJ1067" s="37">
        <v>4</v>
      </c>
      <c r="AK1067" s="37">
        <v>4</v>
      </c>
      <c r="AL1067" s="37">
        <v>4</v>
      </c>
      <c r="AM1067" s="37">
        <v>10</v>
      </c>
      <c r="AN1067" s="37">
        <v>10</v>
      </c>
      <c r="AO1067" s="37">
        <v>10</v>
      </c>
      <c r="AP1067" s="37">
        <v>10</v>
      </c>
      <c r="AQ1067" s="37">
        <v>10</v>
      </c>
      <c r="AR1067" s="37">
        <v>10</v>
      </c>
      <c r="AS1067" s="37">
        <v>10</v>
      </c>
      <c r="AT1067" s="37">
        <v>10</v>
      </c>
    </row>
    <row r="1068" spans="3:46" s="37" customFormat="1" x14ac:dyDescent="0.25"/>
    <row r="1069" spans="3:46" s="37" customFormat="1" x14ac:dyDescent="0.25">
      <c r="C1069" s="37" t="s">
        <v>21</v>
      </c>
      <c r="D1069" s="37">
        <v>16</v>
      </c>
      <c r="E1069" s="37">
        <v>16</v>
      </c>
      <c r="F1069" s="37">
        <v>16</v>
      </c>
      <c r="G1069" s="37">
        <v>16</v>
      </c>
      <c r="H1069" s="37">
        <v>15</v>
      </c>
      <c r="I1069" s="37">
        <v>14</v>
      </c>
      <c r="J1069" s="37">
        <v>12</v>
      </c>
      <c r="K1069" s="37">
        <v>6</v>
      </c>
      <c r="L1069" s="37">
        <v>6</v>
      </c>
      <c r="M1069" s="37">
        <v>6</v>
      </c>
      <c r="N1069" s="37">
        <v>6</v>
      </c>
      <c r="O1069" s="37">
        <v>6</v>
      </c>
      <c r="P1069" s="37">
        <v>6</v>
      </c>
      <c r="Q1069" s="37">
        <v>9</v>
      </c>
      <c r="R1069" s="37">
        <v>11</v>
      </c>
      <c r="S1069" s="37">
        <v>12</v>
      </c>
      <c r="T1069" s="37">
        <v>14</v>
      </c>
      <c r="U1069" s="37">
        <v>15</v>
      </c>
      <c r="V1069" s="37">
        <v>15</v>
      </c>
      <c r="W1069" s="37">
        <v>15</v>
      </c>
      <c r="X1069" s="37">
        <v>15</v>
      </c>
      <c r="Z1069" s="37">
        <v>16</v>
      </c>
      <c r="AA1069" s="37">
        <v>16</v>
      </c>
      <c r="AB1069" s="37">
        <v>16</v>
      </c>
      <c r="AC1069" s="37">
        <v>16</v>
      </c>
      <c r="AD1069" s="37">
        <v>16</v>
      </c>
      <c r="AE1069" s="37">
        <v>16</v>
      </c>
      <c r="AF1069" s="37">
        <v>16</v>
      </c>
      <c r="AG1069" s="37">
        <v>6</v>
      </c>
      <c r="AH1069" s="37">
        <v>6</v>
      </c>
      <c r="AI1069" s="37">
        <v>6</v>
      </c>
      <c r="AJ1069" s="37">
        <v>6</v>
      </c>
      <c r="AK1069" s="37">
        <v>6</v>
      </c>
      <c r="AL1069" s="37">
        <v>6</v>
      </c>
      <c r="AM1069" s="37">
        <v>16</v>
      </c>
      <c r="AN1069" s="37">
        <v>16</v>
      </c>
      <c r="AO1069" s="37">
        <v>16</v>
      </c>
      <c r="AP1069" s="37">
        <v>16</v>
      </c>
      <c r="AQ1069" s="37">
        <v>16</v>
      </c>
      <c r="AR1069" s="37">
        <v>16</v>
      </c>
      <c r="AS1069" s="37">
        <v>16</v>
      </c>
      <c r="AT1069" s="37">
        <v>16</v>
      </c>
    </row>
    <row r="1070" spans="3:46" s="37" customFormat="1" x14ac:dyDescent="0.25"/>
    <row r="1071" spans="3:46" s="37" customFormat="1" x14ac:dyDescent="0.25">
      <c r="C1071" s="37" t="s">
        <v>20</v>
      </c>
      <c r="D1071" s="37">
        <v>8</v>
      </c>
      <c r="E1071" s="37">
        <v>8</v>
      </c>
      <c r="F1071" s="37">
        <v>8</v>
      </c>
      <c r="G1071" s="37">
        <v>8</v>
      </c>
      <c r="H1071" s="37">
        <v>8</v>
      </c>
      <c r="I1071" s="37">
        <v>8</v>
      </c>
      <c r="J1071" s="37">
        <v>8</v>
      </c>
      <c r="K1071" s="37">
        <v>8</v>
      </c>
      <c r="L1071" s="37">
        <v>7</v>
      </c>
      <c r="M1071" s="37">
        <v>6</v>
      </c>
      <c r="N1071" s="37">
        <v>6</v>
      </c>
      <c r="O1071" s="37">
        <v>6</v>
      </c>
      <c r="P1071" s="37">
        <v>6</v>
      </c>
      <c r="Q1071" s="37">
        <v>7</v>
      </c>
      <c r="R1071" s="37">
        <v>8</v>
      </c>
      <c r="S1071" s="37">
        <v>8</v>
      </c>
      <c r="T1071" s="37">
        <v>8</v>
      </c>
      <c r="U1071" s="37">
        <v>8</v>
      </c>
      <c r="V1071" s="37">
        <v>8</v>
      </c>
      <c r="W1071" s="37">
        <v>8</v>
      </c>
      <c r="X1071" s="37">
        <v>8</v>
      </c>
      <c r="Z1071" s="37">
        <v>8</v>
      </c>
      <c r="AA1071" s="37">
        <v>8</v>
      </c>
      <c r="AB1071" s="37">
        <v>8</v>
      </c>
      <c r="AC1071" s="37">
        <v>8</v>
      </c>
      <c r="AD1071" s="37">
        <v>8</v>
      </c>
      <c r="AE1071" s="37">
        <v>8</v>
      </c>
      <c r="AF1071" s="37">
        <v>8</v>
      </c>
      <c r="AG1071" s="37">
        <v>8</v>
      </c>
      <c r="AH1071" s="37">
        <v>8</v>
      </c>
      <c r="AI1071" s="37">
        <v>8</v>
      </c>
      <c r="AJ1071" s="37">
        <v>8</v>
      </c>
      <c r="AK1071" s="37">
        <v>8</v>
      </c>
      <c r="AL1071" s="37">
        <v>8</v>
      </c>
      <c r="AM1071" s="37">
        <v>8</v>
      </c>
      <c r="AN1071" s="37">
        <v>8</v>
      </c>
      <c r="AO1071" s="37">
        <v>8</v>
      </c>
      <c r="AP1071" s="37">
        <v>8</v>
      </c>
      <c r="AQ1071" s="37">
        <v>8</v>
      </c>
      <c r="AR1071" s="37">
        <v>8</v>
      </c>
      <c r="AS1071" s="37">
        <v>8</v>
      </c>
      <c r="AT1071" s="37">
        <v>8</v>
      </c>
    </row>
    <row r="1072" spans="3:46" s="37" customFormat="1" x14ac:dyDescent="0.25"/>
    <row r="1073" spans="3:46" s="37" customFormat="1" x14ac:dyDescent="0.25">
      <c r="C1073" s="37" t="s">
        <v>21</v>
      </c>
      <c r="D1073" s="37">
        <v>11</v>
      </c>
      <c r="E1073" s="37">
        <v>11</v>
      </c>
      <c r="F1073" s="37">
        <v>11</v>
      </c>
      <c r="G1073" s="37">
        <v>11</v>
      </c>
      <c r="H1073" s="37">
        <v>11</v>
      </c>
      <c r="I1073" s="37">
        <v>11</v>
      </c>
      <c r="J1073" s="37">
        <v>11</v>
      </c>
      <c r="K1073" s="37">
        <v>11</v>
      </c>
      <c r="L1073" s="37">
        <v>11</v>
      </c>
      <c r="M1073" s="37">
        <v>11</v>
      </c>
      <c r="N1073" s="37">
        <v>11</v>
      </c>
      <c r="O1073" s="37">
        <v>11</v>
      </c>
      <c r="P1073" s="37">
        <v>11</v>
      </c>
      <c r="Q1073" s="37">
        <v>11</v>
      </c>
      <c r="R1073" s="37">
        <v>11</v>
      </c>
      <c r="S1073" s="37">
        <v>11</v>
      </c>
      <c r="T1073" s="37">
        <v>11</v>
      </c>
      <c r="U1073" s="37">
        <v>11</v>
      </c>
      <c r="V1073" s="37">
        <v>11</v>
      </c>
      <c r="W1073" s="37">
        <v>11</v>
      </c>
      <c r="X1073" s="37">
        <v>11</v>
      </c>
      <c r="Z1073" s="37">
        <v>11</v>
      </c>
      <c r="AA1073" s="37">
        <v>11</v>
      </c>
      <c r="AB1073" s="37">
        <v>11</v>
      </c>
      <c r="AC1073" s="37">
        <v>11</v>
      </c>
      <c r="AD1073" s="37">
        <v>11</v>
      </c>
      <c r="AE1073" s="37">
        <v>11</v>
      </c>
      <c r="AF1073" s="37">
        <v>11</v>
      </c>
      <c r="AG1073" s="37">
        <v>11</v>
      </c>
      <c r="AH1073" s="37">
        <v>11</v>
      </c>
      <c r="AI1073" s="37">
        <v>11</v>
      </c>
      <c r="AJ1073" s="37">
        <v>11</v>
      </c>
      <c r="AK1073" s="37">
        <v>11</v>
      </c>
      <c r="AL1073" s="37">
        <v>11</v>
      </c>
      <c r="AM1073" s="37">
        <v>12</v>
      </c>
      <c r="AN1073" s="37">
        <v>12</v>
      </c>
      <c r="AO1073" s="37">
        <v>12</v>
      </c>
      <c r="AP1073" s="37">
        <v>12</v>
      </c>
      <c r="AQ1073" s="37">
        <v>12</v>
      </c>
      <c r="AR1073" s="37">
        <v>12</v>
      </c>
      <c r="AS1073" s="37">
        <v>12</v>
      </c>
      <c r="AT1073" s="37">
        <v>12</v>
      </c>
    </row>
    <row r="1074" spans="3:46" s="37" customFormat="1" x14ac:dyDescent="0.25"/>
    <row r="1075" spans="3:46" s="37" customFormat="1" x14ac:dyDescent="0.25">
      <c r="C1075" s="37" t="s">
        <v>20</v>
      </c>
      <c r="D1075" s="37">
        <v>10</v>
      </c>
      <c r="E1075" s="37">
        <v>10</v>
      </c>
      <c r="F1075" s="37">
        <v>10</v>
      </c>
      <c r="G1075" s="37">
        <v>10</v>
      </c>
      <c r="H1075" s="37">
        <v>10</v>
      </c>
      <c r="I1075" s="37">
        <v>10</v>
      </c>
      <c r="J1075" s="37">
        <v>10</v>
      </c>
      <c r="K1075" s="37">
        <v>5</v>
      </c>
      <c r="L1075" s="37">
        <v>5</v>
      </c>
      <c r="M1075" s="37">
        <v>5</v>
      </c>
      <c r="N1075" s="37">
        <v>5</v>
      </c>
      <c r="O1075" s="37">
        <v>5</v>
      </c>
      <c r="P1075" s="37">
        <v>5</v>
      </c>
      <c r="Q1075" s="37">
        <v>9</v>
      </c>
      <c r="R1075" s="37">
        <v>10</v>
      </c>
      <c r="S1075" s="37">
        <v>11</v>
      </c>
      <c r="T1075" s="37">
        <v>11</v>
      </c>
      <c r="U1075" s="37">
        <v>11</v>
      </c>
      <c r="V1075" s="37">
        <v>11</v>
      </c>
      <c r="W1075" s="37">
        <v>11</v>
      </c>
      <c r="X1075" s="37">
        <v>11</v>
      </c>
      <c r="Z1075" s="37">
        <v>10</v>
      </c>
      <c r="AA1075" s="37">
        <v>10</v>
      </c>
      <c r="AB1075" s="37">
        <v>10</v>
      </c>
      <c r="AC1075" s="37">
        <v>10</v>
      </c>
      <c r="AD1075" s="37">
        <v>10</v>
      </c>
      <c r="AE1075" s="37">
        <v>10</v>
      </c>
      <c r="AF1075" s="37">
        <v>10</v>
      </c>
      <c r="AG1075" s="37">
        <v>5</v>
      </c>
      <c r="AH1075" s="37">
        <v>5</v>
      </c>
      <c r="AI1075" s="37">
        <v>5</v>
      </c>
      <c r="AJ1075" s="37">
        <v>5</v>
      </c>
      <c r="AK1075" s="37">
        <v>5</v>
      </c>
      <c r="AL1075" s="37">
        <v>5</v>
      </c>
      <c r="AM1075" s="37">
        <v>12</v>
      </c>
      <c r="AN1075" s="37">
        <v>12</v>
      </c>
      <c r="AO1075" s="37">
        <v>12</v>
      </c>
      <c r="AP1075" s="37">
        <v>12</v>
      </c>
      <c r="AQ1075" s="37">
        <v>12</v>
      </c>
      <c r="AR1075" s="37">
        <v>12</v>
      </c>
      <c r="AS1075" s="37">
        <v>12</v>
      </c>
      <c r="AT1075" s="37">
        <v>12</v>
      </c>
    </row>
    <row r="1076" spans="3:46" s="37" customFormat="1" x14ac:dyDescent="0.25"/>
    <row r="1077" spans="3:46" s="37" customFormat="1" x14ac:dyDescent="0.25">
      <c r="C1077" s="37" t="s">
        <v>21</v>
      </c>
      <c r="D1077" s="37">
        <v>17</v>
      </c>
      <c r="E1077" s="37">
        <v>17</v>
      </c>
      <c r="F1077" s="37">
        <v>17</v>
      </c>
      <c r="G1077" s="37">
        <v>17</v>
      </c>
      <c r="H1077" s="37">
        <v>17</v>
      </c>
      <c r="I1077" s="37">
        <v>16</v>
      </c>
      <c r="J1077" s="37">
        <v>14</v>
      </c>
      <c r="K1077" s="37">
        <v>6</v>
      </c>
      <c r="L1077" s="37">
        <v>6</v>
      </c>
      <c r="M1077" s="37">
        <v>6</v>
      </c>
      <c r="N1077" s="37">
        <v>6</v>
      </c>
      <c r="O1077" s="37">
        <v>6</v>
      </c>
      <c r="P1077" s="37">
        <v>6</v>
      </c>
      <c r="Q1077" s="37">
        <v>9</v>
      </c>
      <c r="R1077" s="37">
        <v>10</v>
      </c>
      <c r="S1077" s="37">
        <v>11</v>
      </c>
      <c r="T1077" s="37">
        <v>13</v>
      </c>
      <c r="U1077" s="37">
        <v>14</v>
      </c>
      <c r="V1077" s="37">
        <v>14</v>
      </c>
      <c r="W1077" s="37">
        <v>14</v>
      </c>
      <c r="X1077" s="37">
        <v>14</v>
      </c>
      <c r="Z1077" s="37">
        <v>17</v>
      </c>
      <c r="AA1077" s="37">
        <v>17</v>
      </c>
      <c r="AB1077" s="37">
        <v>17</v>
      </c>
      <c r="AC1077" s="37">
        <v>17</v>
      </c>
      <c r="AD1077" s="37">
        <v>17</v>
      </c>
      <c r="AE1077" s="37">
        <v>17</v>
      </c>
      <c r="AF1077" s="37">
        <v>17</v>
      </c>
      <c r="AG1077" s="37">
        <v>6</v>
      </c>
      <c r="AH1077" s="37">
        <v>6</v>
      </c>
      <c r="AI1077" s="37">
        <v>6</v>
      </c>
      <c r="AJ1077" s="37">
        <v>6</v>
      </c>
      <c r="AK1077" s="37">
        <v>6</v>
      </c>
      <c r="AL1077" s="37">
        <v>6</v>
      </c>
      <c r="AM1077" s="37">
        <v>15</v>
      </c>
      <c r="AN1077" s="37">
        <v>15</v>
      </c>
      <c r="AO1077" s="37">
        <v>15</v>
      </c>
      <c r="AP1077" s="37">
        <v>15</v>
      </c>
      <c r="AQ1077" s="37">
        <v>15</v>
      </c>
      <c r="AR1077" s="37">
        <v>15</v>
      </c>
      <c r="AS1077" s="37">
        <v>15</v>
      </c>
      <c r="AT1077" s="37">
        <v>15</v>
      </c>
    </row>
    <row r="1078" spans="3:46" s="37" customFormat="1" x14ac:dyDescent="0.25"/>
    <row r="1079" spans="3:46" s="37" customFormat="1" x14ac:dyDescent="0.25">
      <c r="C1079" s="37" t="s">
        <v>20</v>
      </c>
      <c r="D1079" s="37">
        <v>8</v>
      </c>
      <c r="E1079" s="37">
        <v>8</v>
      </c>
      <c r="F1079" s="37">
        <v>8</v>
      </c>
      <c r="G1079" s="37">
        <v>8</v>
      </c>
      <c r="H1079" s="37">
        <v>8</v>
      </c>
      <c r="I1079" s="37">
        <v>8</v>
      </c>
      <c r="J1079" s="37">
        <v>7</v>
      </c>
      <c r="K1079" s="37">
        <v>3</v>
      </c>
      <c r="L1079" s="37">
        <v>3</v>
      </c>
      <c r="M1079" s="37">
        <v>3</v>
      </c>
      <c r="N1079" s="37">
        <v>3</v>
      </c>
      <c r="O1079" s="37">
        <v>3</v>
      </c>
      <c r="P1079" s="37">
        <v>3</v>
      </c>
      <c r="Q1079" s="37">
        <v>6</v>
      </c>
      <c r="R1079" s="37">
        <v>7</v>
      </c>
      <c r="S1079" s="37">
        <v>8</v>
      </c>
      <c r="T1079" s="37">
        <v>9</v>
      </c>
      <c r="U1079" s="37">
        <v>9</v>
      </c>
      <c r="V1079" s="37">
        <v>9</v>
      </c>
      <c r="W1079" s="37">
        <v>9</v>
      </c>
      <c r="X1079" s="37">
        <v>9</v>
      </c>
      <c r="Z1079" s="37">
        <v>8</v>
      </c>
      <c r="AA1079" s="37">
        <v>8</v>
      </c>
      <c r="AB1079" s="37">
        <v>8</v>
      </c>
      <c r="AC1079" s="37">
        <v>8</v>
      </c>
      <c r="AD1079" s="37">
        <v>8</v>
      </c>
      <c r="AE1079" s="37">
        <v>8</v>
      </c>
      <c r="AF1079" s="37">
        <v>8</v>
      </c>
      <c r="AG1079" s="37">
        <v>3</v>
      </c>
      <c r="AH1079" s="37">
        <v>3</v>
      </c>
      <c r="AI1079" s="37">
        <v>3</v>
      </c>
      <c r="AJ1079" s="37">
        <v>3</v>
      </c>
      <c r="AK1079" s="37">
        <v>3</v>
      </c>
      <c r="AL1079" s="37">
        <v>3</v>
      </c>
      <c r="AM1079" s="37">
        <v>9</v>
      </c>
      <c r="AN1079" s="37">
        <v>9</v>
      </c>
      <c r="AO1079" s="37">
        <v>9</v>
      </c>
      <c r="AP1079" s="37">
        <v>9</v>
      </c>
      <c r="AQ1079" s="37">
        <v>9</v>
      </c>
      <c r="AR1079" s="37">
        <v>9</v>
      </c>
      <c r="AS1079" s="37">
        <v>9</v>
      </c>
      <c r="AT1079" s="37">
        <v>9</v>
      </c>
    </row>
    <row r="1080" spans="3:46" s="37" customFormat="1" x14ac:dyDescent="0.25"/>
    <row r="1081" spans="3:46" s="37" customFormat="1" x14ac:dyDescent="0.25">
      <c r="C1081" s="37" t="s">
        <v>21</v>
      </c>
      <c r="D1081" s="37">
        <v>9</v>
      </c>
      <c r="E1081" s="37">
        <v>9</v>
      </c>
      <c r="F1081" s="37">
        <v>9</v>
      </c>
      <c r="G1081" s="37">
        <v>9</v>
      </c>
      <c r="H1081" s="37">
        <v>8</v>
      </c>
      <c r="I1081" s="37">
        <v>7</v>
      </c>
      <c r="J1081" s="37">
        <v>6</v>
      </c>
      <c r="K1081" s="37">
        <v>5</v>
      </c>
      <c r="L1081" s="37">
        <v>5</v>
      </c>
      <c r="M1081" s="37">
        <v>5</v>
      </c>
      <c r="N1081" s="37">
        <v>5</v>
      </c>
      <c r="O1081" s="37">
        <v>5</v>
      </c>
      <c r="P1081" s="37">
        <v>5</v>
      </c>
      <c r="Q1081" s="37">
        <v>5</v>
      </c>
      <c r="R1081" s="37">
        <v>6</v>
      </c>
      <c r="S1081" s="37">
        <v>6</v>
      </c>
      <c r="T1081" s="37">
        <v>7</v>
      </c>
      <c r="U1081" s="37">
        <v>8</v>
      </c>
      <c r="V1081" s="37">
        <v>8</v>
      </c>
      <c r="W1081" s="37">
        <v>8</v>
      </c>
      <c r="X1081" s="37">
        <v>8</v>
      </c>
      <c r="Z1081" s="37">
        <v>9</v>
      </c>
      <c r="AA1081" s="37">
        <v>9</v>
      </c>
      <c r="AB1081" s="37">
        <v>9</v>
      </c>
      <c r="AC1081" s="37">
        <v>9</v>
      </c>
      <c r="AD1081" s="37">
        <v>9</v>
      </c>
      <c r="AE1081" s="37">
        <v>9</v>
      </c>
      <c r="AF1081" s="37">
        <v>9</v>
      </c>
      <c r="AG1081" s="37">
        <v>5</v>
      </c>
      <c r="AH1081" s="37">
        <v>5</v>
      </c>
      <c r="AI1081" s="37">
        <v>5</v>
      </c>
      <c r="AJ1081" s="37">
        <v>5</v>
      </c>
      <c r="AK1081" s="37">
        <v>5</v>
      </c>
      <c r="AL1081" s="37">
        <v>5</v>
      </c>
      <c r="AM1081" s="37">
        <v>8</v>
      </c>
      <c r="AN1081" s="37">
        <v>8</v>
      </c>
      <c r="AO1081" s="37">
        <v>8</v>
      </c>
      <c r="AP1081" s="37">
        <v>8</v>
      </c>
      <c r="AQ1081" s="37">
        <v>8</v>
      </c>
      <c r="AR1081" s="37">
        <v>8</v>
      </c>
      <c r="AS1081" s="37">
        <v>8</v>
      </c>
      <c r="AT1081" s="37">
        <v>8</v>
      </c>
    </row>
    <row r="1082" spans="3:46" s="37" customFormat="1" x14ac:dyDescent="0.25"/>
    <row r="1083" spans="3:46" s="37" customFormat="1" x14ac:dyDescent="0.25">
      <c r="C1083" s="37" t="s">
        <v>20</v>
      </c>
      <c r="D1083" s="37">
        <v>8</v>
      </c>
      <c r="E1083" s="37">
        <v>8</v>
      </c>
      <c r="F1083" s="37">
        <v>8</v>
      </c>
      <c r="G1083" s="37">
        <v>8</v>
      </c>
      <c r="H1083" s="37">
        <v>8</v>
      </c>
      <c r="I1083" s="37">
        <v>8</v>
      </c>
      <c r="J1083" s="37">
        <v>7</v>
      </c>
      <c r="K1083" s="37">
        <v>3</v>
      </c>
      <c r="L1083" s="37">
        <v>3</v>
      </c>
      <c r="M1083" s="37">
        <v>3</v>
      </c>
      <c r="N1083" s="37">
        <v>3</v>
      </c>
      <c r="O1083" s="37">
        <v>3</v>
      </c>
      <c r="P1083" s="37">
        <v>3</v>
      </c>
      <c r="Q1083" s="37">
        <v>6</v>
      </c>
      <c r="R1083" s="37">
        <v>7</v>
      </c>
      <c r="S1083" s="37">
        <v>8</v>
      </c>
      <c r="T1083" s="37">
        <v>9</v>
      </c>
      <c r="U1083" s="37">
        <v>9</v>
      </c>
      <c r="V1083" s="37">
        <v>9</v>
      </c>
      <c r="W1083" s="37">
        <v>9</v>
      </c>
      <c r="X1083" s="37">
        <v>9</v>
      </c>
      <c r="Z1083" s="37">
        <v>8</v>
      </c>
      <c r="AA1083" s="37">
        <v>8</v>
      </c>
      <c r="AB1083" s="37">
        <v>8</v>
      </c>
      <c r="AC1083" s="37">
        <v>8</v>
      </c>
      <c r="AD1083" s="37">
        <v>8</v>
      </c>
      <c r="AE1083" s="37">
        <v>8</v>
      </c>
      <c r="AF1083" s="37">
        <v>8</v>
      </c>
      <c r="AG1083" s="37">
        <v>3</v>
      </c>
      <c r="AH1083" s="37">
        <v>3</v>
      </c>
      <c r="AI1083" s="37">
        <v>3</v>
      </c>
      <c r="AJ1083" s="37">
        <v>3</v>
      </c>
      <c r="AK1083" s="37">
        <v>3</v>
      </c>
      <c r="AL1083" s="37">
        <v>3</v>
      </c>
      <c r="AM1083" s="37">
        <v>9</v>
      </c>
      <c r="AN1083" s="37">
        <v>9</v>
      </c>
      <c r="AO1083" s="37">
        <v>9</v>
      </c>
      <c r="AP1083" s="37">
        <v>9</v>
      </c>
      <c r="AQ1083" s="37">
        <v>9</v>
      </c>
      <c r="AR1083" s="37">
        <v>9</v>
      </c>
      <c r="AS1083" s="37">
        <v>9</v>
      </c>
      <c r="AT1083" s="37">
        <v>9</v>
      </c>
    </row>
    <row r="1084" spans="3:46" s="37" customFormat="1" x14ac:dyDescent="0.25"/>
    <row r="1085" spans="3:46" s="37" customFormat="1" x14ac:dyDescent="0.25">
      <c r="C1085" s="37" t="s">
        <v>21</v>
      </c>
      <c r="D1085" s="37">
        <v>8</v>
      </c>
      <c r="E1085" s="37">
        <v>8</v>
      </c>
      <c r="F1085" s="37">
        <v>8</v>
      </c>
      <c r="G1085" s="37">
        <v>8</v>
      </c>
      <c r="H1085" s="37">
        <v>8</v>
      </c>
      <c r="I1085" s="37">
        <v>7</v>
      </c>
      <c r="J1085" s="37">
        <v>6</v>
      </c>
      <c r="K1085" s="37">
        <v>5</v>
      </c>
      <c r="L1085" s="37">
        <v>5</v>
      </c>
      <c r="M1085" s="37">
        <v>5</v>
      </c>
      <c r="N1085" s="37">
        <v>5</v>
      </c>
      <c r="O1085" s="37">
        <v>5</v>
      </c>
      <c r="P1085" s="37">
        <v>5</v>
      </c>
      <c r="Q1085" s="37">
        <v>5</v>
      </c>
      <c r="R1085" s="37">
        <v>6</v>
      </c>
      <c r="S1085" s="37">
        <v>6</v>
      </c>
      <c r="T1085" s="37">
        <v>7</v>
      </c>
      <c r="U1085" s="37">
        <v>8</v>
      </c>
      <c r="V1085" s="37">
        <v>8</v>
      </c>
      <c r="W1085" s="37">
        <v>8</v>
      </c>
      <c r="X1085" s="37">
        <v>8</v>
      </c>
      <c r="Z1085" s="37">
        <v>8</v>
      </c>
      <c r="AA1085" s="37">
        <v>8</v>
      </c>
      <c r="AB1085" s="37">
        <v>8</v>
      </c>
      <c r="AC1085" s="37">
        <v>8</v>
      </c>
      <c r="AD1085" s="37">
        <v>8</v>
      </c>
      <c r="AE1085" s="37">
        <v>8</v>
      </c>
      <c r="AF1085" s="37">
        <v>8</v>
      </c>
      <c r="AG1085" s="37">
        <v>5</v>
      </c>
      <c r="AH1085" s="37">
        <v>5</v>
      </c>
      <c r="AI1085" s="37">
        <v>5</v>
      </c>
      <c r="AJ1085" s="37">
        <v>5</v>
      </c>
      <c r="AK1085" s="37">
        <v>5</v>
      </c>
      <c r="AL1085" s="37">
        <v>5</v>
      </c>
      <c r="AM1085" s="37">
        <v>8</v>
      </c>
      <c r="AN1085" s="37">
        <v>8</v>
      </c>
      <c r="AO1085" s="37">
        <v>8</v>
      </c>
      <c r="AP1085" s="37">
        <v>8</v>
      </c>
      <c r="AQ1085" s="37">
        <v>8</v>
      </c>
      <c r="AR1085" s="37">
        <v>8</v>
      </c>
      <c r="AS1085" s="37">
        <v>8</v>
      </c>
      <c r="AT1085" s="37">
        <v>8</v>
      </c>
    </row>
    <row r="1086" spans="3:46" s="37" customFormat="1" x14ac:dyDescent="0.25"/>
    <row r="1087" spans="3:46" s="37" customFormat="1" x14ac:dyDescent="0.25">
      <c r="C1087" s="37" t="s">
        <v>20</v>
      </c>
      <c r="D1087" s="37">
        <v>10</v>
      </c>
      <c r="E1087" s="37">
        <v>10</v>
      </c>
      <c r="F1087" s="37">
        <v>10</v>
      </c>
      <c r="G1087" s="37">
        <v>10</v>
      </c>
      <c r="H1087" s="37">
        <v>10</v>
      </c>
      <c r="I1087" s="37">
        <v>10</v>
      </c>
      <c r="J1087" s="37">
        <v>10</v>
      </c>
      <c r="K1087" s="37">
        <v>4</v>
      </c>
      <c r="L1087" s="37">
        <v>4</v>
      </c>
      <c r="M1087" s="37">
        <v>4</v>
      </c>
      <c r="N1087" s="37">
        <v>4</v>
      </c>
      <c r="O1087" s="37">
        <v>4</v>
      </c>
      <c r="P1087" s="37">
        <v>4</v>
      </c>
      <c r="Q1087" s="37">
        <v>8</v>
      </c>
      <c r="R1087" s="37">
        <v>9</v>
      </c>
      <c r="S1087" s="37">
        <v>10</v>
      </c>
      <c r="T1087" s="37">
        <v>10</v>
      </c>
      <c r="U1087" s="37">
        <v>10</v>
      </c>
      <c r="V1087" s="37">
        <v>10</v>
      </c>
      <c r="W1087" s="37">
        <v>10</v>
      </c>
      <c r="X1087" s="37">
        <v>10</v>
      </c>
      <c r="Z1087" s="37">
        <v>10</v>
      </c>
      <c r="AA1087" s="37">
        <v>10</v>
      </c>
      <c r="AB1087" s="37">
        <v>10</v>
      </c>
      <c r="AC1087" s="37">
        <v>10</v>
      </c>
      <c r="AD1087" s="37">
        <v>10</v>
      </c>
      <c r="AE1087" s="37">
        <v>10</v>
      </c>
      <c r="AF1087" s="37">
        <v>10</v>
      </c>
      <c r="AG1087" s="37">
        <v>4</v>
      </c>
      <c r="AH1087" s="37">
        <v>4</v>
      </c>
      <c r="AI1087" s="37">
        <v>4</v>
      </c>
      <c r="AJ1087" s="37">
        <v>4</v>
      </c>
      <c r="AK1087" s="37">
        <v>4</v>
      </c>
      <c r="AL1087" s="37">
        <v>4</v>
      </c>
      <c r="AM1087" s="37">
        <v>11</v>
      </c>
      <c r="AN1087" s="37">
        <v>11</v>
      </c>
      <c r="AO1087" s="37">
        <v>11</v>
      </c>
      <c r="AP1087" s="37">
        <v>11</v>
      </c>
      <c r="AQ1087" s="37">
        <v>11</v>
      </c>
      <c r="AR1087" s="37">
        <v>11</v>
      </c>
      <c r="AS1087" s="37">
        <v>11</v>
      </c>
      <c r="AT1087" s="37">
        <v>11</v>
      </c>
    </row>
    <row r="1088" spans="3:46" s="37" customFormat="1" x14ac:dyDescent="0.25"/>
    <row r="1089" spans="3:46" s="37" customFormat="1" x14ac:dyDescent="0.25">
      <c r="C1089" s="37" t="s">
        <v>21</v>
      </c>
      <c r="D1089" s="37">
        <v>14</v>
      </c>
      <c r="E1089" s="37">
        <v>14</v>
      </c>
      <c r="F1089" s="37">
        <v>14</v>
      </c>
      <c r="G1089" s="37">
        <v>14</v>
      </c>
      <c r="H1089" s="37">
        <v>13</v>
      </c>
      <c r="I1089" s="37">
        <v>12</v>
      </c>
      <c r="J1089" s="37">
        <v>11</v>
      </c>
      <c r="K1089" s="37">
        <v>6</v>
      </c>
      <c r="L1089" s="37">
        <v>6</v>
      </c>
      <c r="M1089" s="37">
        <v>6</v>
      </c>
      <c r="N1089" s="37">
        <v>6</v>
      </c>
      <c r="O1089" s="37">
        <v>6</v>
      </c>
      <c r="P1089" s="37">
        <v>6</v>
      </c>
      <c r="Q1089" s="37">
        <v>8</v>
      </c>
      <c r="R1089" s="37">
        <v>9</v>
      </c>
      <c r="S1089" s="37">
        <v>11</v>
      </c>
      <c r="T1089" s="37">
        <v>12</v>
      </c>
      <c r="U1089" s="37">
        <v>13</v>
      </c>
      <c r="V1089" s="37">
        <v>13</v>
      </c>
      <c r="W1089" s="37">
        <v>13</v>
      </c>
      <c r="X1089" s="37">
        <v>13</v>
      </c>
      <c r="Z1089" s="37">
        <v>14</v>
      </c>
      <c r="AA1089" s="37">
        <v>14</v>
      </c>
      <c r="AB1089" s="37">
        <v>14</v>
      </c>
      <c r="AC1089" s="37">
        <v>14</v>
      </c>
      <c r="AD1089" s="37">
        <v>14</v>
      </c>
      <c r="AE1089" s="37">
        <v>14</v>
      </c>
      <c r="AF1089" s="37">
        <v>14</v>
      </c>
      <c r="AG1089" s="37">
        <v>6</v>
      </c>
      <c r="AH1089" s="37">
        <v>6</v>
      </c>
      <c r="AI1089" s="37">
        <v>6</v>
      </c>
      <c r="AJ1089" s="37">
        <v>6</v>
      </c>
      <c r="AK1089" s="37">
        <v>6</v>
      </c>
      <c r="AL1089" s="37">
        <v>6</v>
      </c>
      <c r="AM1089" s="37">
        <v>14</v>
      </c>
      <c r="AN1089" s="37">
        <v>14</v>
      </c>
      <c r="AO1089" s="37">
        <v>14</v>
      </c>
      <c r="AP1089" s="37">
        <v>14</v>
      </c>
      <c r="AQ1089" s="37">
        <v>14</v>
      </c>
      <c r="AR1089" s="37">
        <v>14</v>
      </c>
      <c r="AS1089" s="37">
        <v>14</v>
      </c>
      <c r="AT1089" s="37">
        <v>14</v>
      </c>
    </row>
    <row r="1090" spans="3:46" s="37" customFormat="1" x14ac:dyDescent="0.25"/>
    <row r="1091" spans="3:46" s="37" customFormat="1" x14ac:dyDescent="0.25">
      <c r="C1091" s="37" t="s">
        <v>20</v>
      </c>
      <c r="D1091" s="37">
        <v>2</v>
      </c>
      <c r="E1091" s="37">
        <v>2</v>
      </c>
      <c r="F1091" s="37">
        <v>2</v>
      </c>
      <c r="G1091" s="37">
        <v>2</v>
      </c>
      <c r="H1091" s="37">
        <v>2</v>
      </c>
      <c r="I1091" s="37">
        <v>2</v>
      </c>
      <c r="J1091" s="37">
        <v>2</v>
      </c>
      <c r="K1091" s="37">
        <v>2</v>
      </c>
      <c r="L1091" s="37">
        <v>2</v>
      </c>
      <c r="M1091" s="37">
        <v>2</v>
      </c>
      <c r="N1091" s="37">
        <v>2</v>
      </c>
      <c r="O1091" s="37">
        <v>2</v>
      </c>
      <c r="P1091" s="37">
        <v>2</v>
      </c>
      <c r="Q1091" s="37">
        <v>2</v>
      </c>
      <c r="R1091" s="37">
        <v>2</v>
      </c>
      <c r="S1091" s="37">
        <v>2</v>
      </c>
      <c r="T1091" s="37">
        <v>2</v>
      </c>
      <c r="U1091" s="37">
        <v>2</v>
      </c>
      <c r="V1091" s="37">
        <v>2</v>
      </c>
      <c r="W1091" s="37">
        <v>2</v>
      </c>
      <c r="X1091" s="37">
        <v>2</v>
      </c>
      <c r="Z1091" s="37">
        <v>2</v>
      </c>
      <c r="AA1091" s="37">
        <v>2</v>
      </c>
      <c r="AB1091" s="37">
        <v>2</v>
      </c>
      <c r="AC1091" s="37">
        <v>2</v>
      </c>
      <c r="AD1091" s="37">
        <v>2</v>
      </c>
      <c r="AE1091" s="37">
        <v>2</v>
      </c>
      <c r="AF1091" s="37">
        <v>2</v>
      </c>
      <c r="AG1091" s="37">
        <v>3</v>
      </c>
      <c r="AH1091" s="37">
        <v>3</v>
      </c>
      <c r="AI1091" s="37">
        <v>3</v>
      </c>
      <c r="AJ1091" s="37">
        <v>3</v>
      </c>
      <c r="AK1091" s="37">
        <v>3</v>
      </c>
      <c r="AL1091" s="37">
        <v>3</v>
      </c>
      <c r="AM1091" s="37">
        <v>2</v>
      </c>
      <c r="AN1091" s="37">
        <v>2</v>
      </c>
      <c r="AO1091" s="37">
        <v>2</v>
      </c>
      <c r="AP1091" s="37">
        <v>2</v>
      </c>
      <c r="AQ1091" s="37">
        <v>2</v>
      </c>
      <c r="AR1091" s="37">
        <v>2</v>
      </c>
      <c r="AS1091" s="37">
        <v>2</v>
      </c>
      <c r="AT1091" s="37">
        <v>2</v>
      </c>
    </row>
    <row r="1092" spans="3:46" s="37" customFormat="1" x14ac:dyDescent="0.25"/>
    <row r="1093" spans="3:46" s="37" customFormat="1" x14ac:dyDescent="0.25">
      <c r="C1093" s="37" t="s">
        <v>21</v>
      </c>
      <c r="D1093" s="37">
        <v>4</v>
      </c>
      <c r="E1093" s="37">
        <v>4</v>
      </c>
      <c r="F1093" s="37">
        <v>4</v>
      </c>
      <c r="G1093" s="37">
        <v>4</v>
      </c>
      <c r="H1093" s="37">
        <v>4</v>
      </c>
      <c r="I1093" s="37">
        <v>4</v>
      </c>
      <c r="J1093" s="37">
        <v>4</v>
      </c>
      <c r="K1093" s="37">
        <v>4</v>
      </c>
      <c r="L1093" s="37">
        <v>4</v>
      </c>
      <c r="M1093" s="37">
        <v>4</v>
      </c>
      <c r="N1093" s="37">
        <v>4</v>
      </c>
      <c r="O1093" s="37">
        <v>4</v>
      </c>
      <c r="P1093" s="37">
        <v>4</v>
      </c>
      <c r="Q1093" s="37">
        <v>4</v>
      </c>
      <c r="R1093" s="37">
        <v>4</v>
      </c>
      <c r="S1093" s="37">
        <v>4</v>
      </c>
      <c r="T1093" s="37">
        <v>4</v>
      </c>
      <c r="U1093" s="37">
        <v>4</v>
      </c>
      <c r="V1093" s="37">
        <v>4</v>
      </c>
      <c r="W1093" s="37">
        <v>4</v>
      </c>
      <c r="X1093" s="37">
        <v>4</v>
      </c>
      <c r="Z1093" s="37">
        <v>4</v>
      </c>
      <c r="AA1093" s="37">
        <v>4</v>
      </c>
      <c r="AB1093" s="37">
        <v>4</v>
      </c>
      <c r="AC1093" s="37">
        <v>4</v>
      </c>
      <c r="AD1093" s="37">
        <v>4</v>
      </c>
      <c r="AE1093" s="37">
        <v>4</v>
      </c>
      <c r="AF1093" s="37">
        <v>4</v>
      </c>
      <c r="AG1093" s="37">
        <v>4</v>
      </c>
      <c r="AH1093" s="37">
        <v>4</v>
      </c>
      <c r="AI1093" s="37">
        <v>4</v>
      </c>
      <c r="AJ1093" s="37">
        <v>4</v>
      </c>
      <c r="AK1093" s="37">
        <v>4</v>
      </c>
      <c r="AL1093" s="37">
        <v>4</v>
      </c>
      <c r="AM1093" s="37">
        <v>4</v>
      </c>
      <c r="AN1093" s="37">
        <v>4</v>
      </c>
      <c r="AO1093" s="37">
        <v>4</v>
      </c>
      <c r="AP1093" s="37">
        <v>4</v>
      </c>
      <c r="AQ1093" s="37">
        <v>4</v>
      </c>
      <c r="AR1093" s="37">
        <v>4</v>
      </c>
      <c r="AS1093" s="37">
        <v>4</v>
      </c>
      <c r="AT1093" s="37">
        <v>4</v>
      </c>
    </row>
    <row r="1094" spans="3:46" s="37" customFormat="1" x14ac:dyDescent="0.25"/>
    <row r="1095" spans="3:46" s="37" customFormat="1" x14ac:dyDescent="0.25">
      <c r="C1095" s="37" t="s">
        <v>20</v>
      </c>
      <c r="D1095" s="37">
        <v>2</v>
      </c>
      <c r="E1095" s="37">
        <v>2</v>
      </c>
      <c r="F1095" s="37">
        <v>2</v>
      </c>
      <c r="G1095" s="37">
        <v>2</v>
      </c>
      <c r="H1095" s="37">
        <v>2</v>
      </c>
      <c r="I1095" s="37">
        <v>2</v>
      </c>
      <c r="J1095" s="37">
        <v>2</v>
      </c>
      <c r="K1095" s="37">
        <v>2</v>
      </c>
      <c r="L1095" s="37">
        <v>2</v>
      </c>
      <c r="M1095" s="37">
        <v>2</v>
      </c>
      <c r="N1095" s="37">
        <v>2</v>
      </c>
      <c r="O1095" s="37">
        <v>2</v>
      </c>
      <c r="P1095" s="37">
        <v>2</v>
      </c>
      <c r="Q1095" s="37">
        <v>2</v>
      </c>
      <c r="R1095" s="37">
        <v>2</v>
      </c>
      <c r="S1095" s="37">
        <v>2</v>
      </c>
      <c r="T1095" s="37">
        <v>2</v>
      </c>
      <c r="U1095" s="37">
        <v>2</v>
      </c>
      <c r="V1095" s="37">
        <v>2</v>
      </c>
      <c r="W1095" s="37">
        <v>2</v>
      </c>
      <c r="X1095" s="37">
        <v>2</v>
      </c>
      <c r="Z1095" s="37">
        <v>2</v>
      </c>
      <c r="AA1095" s="37">
        <v>2</v>
      </c>
      <c r="AB1095" s="37">
        <v>2</v>
      </c>
      <c r="AC1095" s="37">
        <v>2</v>
      </c>
      <c r="AD1095" s="37">
        <v>2</v>
      </c>
      <c r="AE1095" s="37">
        <v>2</v>
      </c>
      <c r="AF1095" s="37">
        <v>2</v>
      </c>
      <c r="AG1095" s="37">
        <v>3</v>
      </c>
      <c r="AH1095" s="37">
        <v>3</v>
      </c>
      <c r="AI1095" s="37">
        <v>3</v>
      </c>
      <c r="AJ1095" s="37">
        <v>3</v>
      </c>
      <c r="AK1095" s="37">
        <v>3</v>
      </c>
      <c r="AL1095" s="37">
        <v>3</v>
      </c>
      <c r="AM1095" s="37">
        <v>2</v>
      </c>
      <c r="AN1095" s="37">
        <v>2</v>
      </c>
      <c r="AO1095" s="37">
        <v>2</v>
      </c>
      <c r="AP1095" s="37">
        <v>2</v>
      </c>
      <c r="AQ1095" s="37">
        <v>2</v>
      </c>
      <c r="AR1095" s="37">
        <v>2</v>
      </c>
      <c r="AS1095" s="37">
        <v>2</v>
      </c>
      <c r="AT1095" s="37">
        <v>2</v>
      </c>
    </row>
    <row r="1096" spans="3:46" s="37" customFormat="1" x14ac:dyDescent="0.25"/>
    <row r="1097" spans="3:46" s="37" customFormat="1" x14ac:dyDescent="0.25">
      <c r="C1097" s="37" t="s">
        <v>21</v>
      </c>
      <c r="D1097" s="37">
        <v>4</v>
      </c>
      <c r="E1097" s="37">
        <v>4</v>
      </c>
      <c r="F1097" s="37">
        <v>4</v>
      </c>
      <c r="G1097" s="37">
        <v>4</v>
      </c>
      <c r="H1097" s="37">
        <v>4</v>
      </c>
      <c r="I1097" s="37">
        <v>4</v>
      </c>
      <c r="J1097" s="37">
        <v>4</v>
      </c>
      <c r="K1097" s="37">
        <v>4</v>
      </c>
      <c r="L1097" s="37">
        <v>4</v>
      </c>
      <c r="M1097" s="37">
        <v>4</v>
      </c>
      <c r="N1097" s="37">
        <v>4</v>
      </c>
      <c r="O1097" s="37">
        <v>4</v>
      </c>
      <c r="P1097" s="37">
        <v>4</v>
      </c>
      <c r="Q1097" s="37">
        <v>4</v>
      </c>
      <c r="R1097" s="37">
        <v>4</v>
      </c>
      <c r="S1097" s="37">
        <v>4</v>
      </c>
      <c r="T1097" s="37">
        <v>4</v>
      </c>
      <c r="U1097" s="37">
        <v>4</v>
      </c>
      <c r="V1097" s="37">
        <v>4</v>
      </c>
      <c r="W1097" s="37">
        <v>4</v>
      </c>
      <c r="X1097" s="37">
        <v>4</v>
      </c>
      <c r="Z1097" s="37">
        <v>4</v>
      </c>
      <c r="AA1097" s="37">
        <v>4</v>
      </c>
      <c r="AB1097" s="37">
        <v>4</v>
      </c>
      <c r="AC1097" s="37">
        <v>4</v>
      </c>
      <c r="AD1097" s="37">
        <v>4</v>
      </c>
      <c r="AE1097" s="37">
        <v>4</v>
      </c>
      <c r="AF1097" s="37">
        <v>4</v>
      </c>
      <c r="AG1097" s="37">
        <v>4</v>
      </c>
      <c r="AH1097" s="37">
        <v>4</v>
      </c>
      <c r="AI1097" s="37">
        <v>4</v>
      </c>
      <c r="AJ1097" s="37">
        <v>4</v>
      </c>
      <c r="AK1097" s="37">
        <v>4</v>
      </c>
      <c r="AL1097" s="37">
        <v>4</v>
      </c>
      <c r="AM1097" s="37">
        <v>4</v>
      </c>
      <c r="AN1097" s="37">
        <v>4</v>
      </c>
      <c r="AO1097" s="37">
        <v>4</v>
      </c>
      <c r="AP1097" s="37">
        <v>4</v>
      </c>
      <c r="AQ1097" s="37">
        <v>4</v>
      </c>
      <c r="AR1097" s="37">
        <v>4</v>
      </c>
      <c r="AS1097" s="37">
        <v>4</v>
      </c>
      <c r="AT1097" s="37">
        <v>4</v>
      </c>
    </row>
    <row r="1098" spans="3:46" s="37" customFormat="1" x14ac:dyDescent="0.25"/>
    <row r="1099" spans="3:46" s="37" customFormat="1" x14ac:dyDescent="0.25">
      <c r="C1099" s="37" t="s">
        <v>20</v>
      </c>
      <c r="D1099" s="37">
        <v>5</v>
      </c>
      <c r="E1099" s="37">
        <v>5</v>
      </c>
      <c r="F1099" s="37">
        <v>5</v>
      </c>
      <c r="G1099" s="37">
        <v>5</v>
      </c>
      <c r="H1099" s="37">
        <v>5</v>
      </c>
      <c r="I1099" s="37">
        <v>5</v>
      </c>
      <c r="J1099" s="37">
        <v>5</v>
      </c>
      <c r="K1099" s="37">
        <v>3</v>
      </c>
      <c r="L1099" s="37">
        <v>3</v>
      </c>
      <c r="M1099" s="37">
        <v>3</v>
      </c>
      <c r="N1099" s="37">
        <v>3</v>
      </c>
      <c r="O1099" s="37">
        <v>3</v>
      </c>
      <c r="P1099" s="37">
        <v>3</v>
      </c>
      <c r="Q1099" s="37">
        <v>4</v>
      </c>
      <c r="R1099" s="37">
        <v>4</v>
      </c>
      <c r="S1099" s="37">
        <v>5</v>
      </c>
      <c r="T1099" s="37">
        <v>5</v>
      </c>
      <c r="U1099" s="37">
        <v>5</v>
      </c>
      <c r="V1099" s="37">
        <v>5</v>
      </c>
      <c r="W1099" s="37">
        <v>5</v>
      </c>
      <c r="X1099" s="37">
        <v>5</v>
      </c>
      <c r="Z1099" s="37">
        <v>5</v>
      </c>
      <c r="AA1099" s="37">
        <v>5</v>
      </c>
      <c r="AB1099" s="37">
        <v>5</v>
      </c>
      <c r="AC1099" s="37">
        <v>5</v>
      </c>
      <c r="AD1099" s="37">
        <v>5</v>
      </c>
      <c r="AE1099" s="37">
        <v>5</v>
      </c>
      <c r="AF1099" s="37">
        <v>5</v>
      </c>
      <c r="AG1099" s="37">
        <v>3</v>
      </c>
      <c r="AH1099" s="37">
        <v>3</v>
      </c>
      <c r="AI1099" s="37">
        <v>3</v>
      </c>
      <c r="AJ1099" s="37">
        <v>3</v>
      </c>
      <c r="AK1099" s="37">
        <v>3</v>
      </c>
      <c r="AL1099" s="37">
        <v>3</v>
      </c>
      <c r="AM1099" s="37">
        <v>5</v>
      </c>
      <c r="AN1099" s="37">
        <v>5</v>
      </c>
      <c r="AO1099" s="37">
        <v>5</v>
      </c>
      <c r="AP1099" s="37">
        <v>5</v>
      </c>
      <c r="AQ1099" s="37">
        <v>5</v>
      </c>
      <c r="AR1099" s="37">
        <v>5</v>
      </c>
      <c r="AS1099" s="37">
        <v>5</v>
      </c>
      <c r="AT1099" s="37">
        <v>5</v>
      </c>
    </row>
    <row r="1100" spans="3:46" s="37" customFormat="1" x14ac:dyDescent="0.25"/>
    <row r="1101" spans="3:46" s="37" customFormat="1" x14ac:dyDescent="0.25">
      <c r="C1101" s="37" t="s">
        <v>21</v>
      </c>
      <c r="D1101" s="37">
        <v>6</v>
      </c>
      <c r="E1101" s="37">
        <v>6</v>
      </c>
      <c r="F1101" s="37">
        <v>6</v>
      </c>
      <c r="G1101" s="37">
        <v>6</v>
      </c>
      <c r="H1101" s="37">
        <v>5</v>
      </c>
      <c r="I1101" s="37">
        <v>5</v>
      </c>
      <c r="J1101" s="37">
        <v>4</v>
      </c>
      <c r="K1101" s="37">
        <v>4</v>
      </c>
      <c r="L1101" s="37">
        <v>4</v>
      </c>
      <c r="M1101" s="37">
        <v>4</v>
      </c>
      <c r="N1101" s="37">
        <v>4</v>
      </c>
      <c r="O1101" s="37">
        <v>4</v>
      </c>
      <c r="P1101" s="37">
        <v>4</v>
      </c>
      <c r="Q1101" s="37">
        <v>4</v>
      </c>
      <c r="R1101" s="37">
        <v>4</v>
      </c>
      <c r="S1101" s="37">
        <v>4</v>
      </c>
      <c r="T1101" s="37">
        <v>5</v>
      </c>
      <c r="U1101" s="37">
        <v>5</v>
      </c>
      <c r="V1101" s="37">
        <v>6</v>
      </c>
      <c r="W1101" s="37">
        <v>6</v>
      </c>
      <c r="X1101" s="37">
        <v>6</v>
      </c>
      <c r="Z1101" s="37">
        <v>6</v>
      </c>
      <c r="AA1101" s="37">
        <v>6</v>
      </c>
      <c r="AB1101" s="37">
        <v>6</v>
      </c>
      <c r="AC1101" s="37">
        <v>6</v>
      </c>
      <c r="AD1101" s="37">
        <v>6</v>
      </c>
      <c r="AE1101" s="37">
        <v>6</v>
      </c>
      <c r="AF1101" s="37">
        <v>6</v>
      </c>
      <c r="AG1101" s="37">
        <v>4</v>
      </c>
      <c r="AH1101" s="37">
        <v>4</v>
      </c>
      <c r="AI1101" s="37">
        <v>4</v>
      </c>
      <c r="AJ1101" s="37">
        <v>4</v>
      </c>
      <c r="AK1101" s="37">
        <v>4</v>
      </c>
      <c r="AL1101" s="37">
        <v>4</v>
      </c>
      <c r="AM1101" s="37">
        <v>6</v>
      </c>
      <c r="AN1101" s="37">
        <v>6</v>
      </c>
      <c r="AO1101" s="37">
        <v>6</v>
      </c>
      <c r="AP1101" s="37">
        <v>6</v>
      </c>
      <c r="AQ1101" s="37">
        <v>6</v>
      </c>
      <c r="AR1101" s="37">
        <v>6</v>
      </c>
      <c r="AS1101" s="37">
        <v>6</v>
      </c>
      <c r="AT1101" s="37">
        <v>6</v>
      </c>
    </row>
    <row r="1102" spans="3:46" s="37" customFormat="1" x14ac:dyDescent="0.25"/>
    <row r="1103" spans="3:46" s="37" customFormat="1" x14ac:dyDescent="0.25">
      <c r="C1103" s="37" t="s">
        <v>20</v>
      </c>
      <c r="D1103" s="37">
        <v>9</v>
      </c>
      <c r="E1103" s="37">
        <v>9</v>
      </c>
      <c r="F1103" s="37">
        <v>9</v>
      </c>
      <c r="G1103" s="37">
        <v>9</v>
      </c>
      <c r="H1103" s="37">
        <v>9</v>
      </c>
      <c r="I1103" s="37">
        <v>9</v>
      </c>
      <c r="J1103" s="37">
        <v>9</v>
      </c>
      <c r="K1103" s="37">
        <v>3</v>
      </c>
      <c r="L1103" s="37">
        <v>3</v>
      </c>
      <c r="M1103" s="37">
        <v>3</v>
      </c>
      <c r="N1103" s="37">
        <v>3</v>
      </c>
      <c r="O1103" s="37">
        <v>3</v>
      </c>
      <c r="P1103" s="37">
        <v>3</v>
      </c>
      <c r="Q1103" s="37">
        <v>6</v>
      </c>
      <c r="R1103" s="37">
        <v>7</v>
      </c>
      <c r="S1103" s="37">
        <v>8</v>
      </c>
      <c r="T1103" s="37">
        <v>8</v>
      </c>
      <c r="U1103" s="37">
        <v>8</v>
      </c>
      <c r="V1103" s="37">
        <v>8</v>
      </c>
      <c r="W1103" s="37">
        <v>8</v>
      </c>
      <c r="X1103" s="37">
        <v>8</v>
      </c>
      <c r="Z1103" s="37">
        <v>9</v>
      </c>
      <c r="AA1103" s="37">
        <v>9</v>
      </c>
      <c r="AB1103" s="37">
        <v>9</v>
      </c>
      <c r="AC1103" s="37">
        <v>9</v>
      </c>
      <c r="AD1103" s="37">
        <v>9</v>
      </c>
      <c r="AE1103" s="37">
        <v>9</v>
      </c>
      <c r="AF1103" s="37">
        <v>9</v>
      </c>
      <c r="AG1103" s="37">
        <v>3</v>
      </c>
      <c r="AH1103" s="37">
        <v>3</v>
      </c>
      <c r="AI1103" s="37">
        <v>3</v>
      </c>
      <c r="AJ1103" s="37">
        <v>3</v>
      </c>
      <c r="AK1103" s="37">
        <v>3</v>
      </c>
      <c r="AL1103" s="37">
        <v>3</v>
      </c>
      <c r="AM1103" s="37">
        <v>8</v>
      </c>
      <c r="AN1103" s="37">
        <v>8</v>
      </c>
      <c r="AO1103" s="37">
        <v>8</v>
      </c>
      <c r="AP1103" s="37">
        <v>8</v>
      </c>
      <c r="AQ1103" s="37">
        <v>8</v>
      </c>
      <c r="AR1103" s="37">
        <v>8</v>
      </c>
      <c r="AS1103" s="37">
        <v>8</v>
      </c>
      <c r="AT1103" s="37">
        <v>8</v>
      </c>
    </row>
    <row r="1104" spans="3:46" s="37" customFormat="1" x14ac:dyDescent="0.25"/>
    <row r="1105" spans="3:46" s="37" customFormat="1" x14ac:dyDescent="0.25">
      <c r="C1105" s="37" t="s">
        <v>21</v>
      </c>
      <c r="D1105" s="37">
        <v>10</v>
      </c>
      <c r="E1105" s="37">
        <v>10</v>
      </c>
      <c r="F1105" s="37">
        <v>10</v>
      </c>
      <c r="G1105" s="37">
        <v>10</v>
      </c>
      <c r="H1105" s="37">
        <v>10</v>
      </c>
      <c r="I1105" s="37">
        <v>9</v>
      </c>
      <c r="J1105" s="37">
        <v>8</v>
      </c>
      <c r="K1105" s="37">
        <v>4</v>
      </c>
      <c r="L1105" s="37">
        <v>4</v>
      </c>
      <c r="M1105" s="37">
        <v>4</v>
      </c>
      <c r="N1105" s="37">
        <v>4</v>
      </c>
      <c r="O1105" s="37">
        <v>4</v>
      </c>
      <c r="P1105" s="37">
        <v>4</v>
      </c>
      <c r="Q1105" s="37">
        <v>7</v>
      </c>
      <c r="R1105" s="37">
        <v>8</v>
      </c>
      <c r="S1105" s="37">
        <v>9</v>
      </c>
      <c r="T1105" s="37">
        <v>10</v>
      </c>
      <c r="U1105" s="37">
        <v>11</v>
      </c>
      <c r="V1105" s="37">
        <v>11</v>
      </c>
      <c r="W1105" s="37">
        <v>11</v>
      </c>
      <c r="X1105" s="37">
        <v>11</v>
      </c>
      <c r="Z1105" s="37">
        <v>10</v>
      </c>
      <c r="AA1105" s="37">
        <v>10</v>
      </c>
      <c r="AB1105" s="37">
        <v>10</v>
      </c>
      <c r="AC1105" s="37">
        <v>10</v>
      </c>
      <c r="AD1105" s="37">
        <v>10</v>
      </c>
      <c r="AE1105" s="37">
        <v>10</v>
      </c>
      <c r="AF1105" s="37">
        <v>10</v>
      </c>
      <c r="AG1105" s="37">
        <v>4</v>
      </c>
      <c r="AH1105" s="37">
        <v>4</v>
      </c>
      <c r="AI1105" s="37">
        <v>4</v>
      </c>
      <c r="AJ1105" s="37">
        <v>4</v>
      </c>
      <c r="AK1105" s="37">
        <v>4</v>
      </c>
      <c r="AL1105" s="37">
        <v>4</v>
      </c>
      <c r="AM1105" s="37">
        <v>12</v>
      </c>
      <c r="AN1105" s="37">
        <v>12</v>
      </c>
      <c r="AO1105" s="37">
        <v>12</v>
      </c>
      <c r="AP1105" s="37">
        <v>12</v>
      </c>
      <c r="AQ1105" s="37">
        <v>12</v>
      </c>
      <c r="AR1105" s="37">
        <v>12</v>
      </c>
      <c r="AS1105" s="37">
        <v>12</v>
      </c>
      <c r="AT1105" s="37">
        <v>12</v>
      </c>
    </row>
    <row r="1106" spans="3:46" s="37" customFormat="1" x14ac:dyDescent="0.25"/>
    <row r="1107" spans="3:46" s="37" customFormat="1" x14ac:dyDescent="0.25">
      <c r="C1107" s="37" t="s">
        <v>20</v>
      </c>
      <c r="D1107" s="37">
        <v>7</v>
      </c>
      <c r="E1107" s="37">
        <v>7</v>
      </c>
      <c r="F1107" s="37">
        <v>7</v>
      </c>
      <c r="G1107" s="37">
        <v>7</v>
      </c>
      <c r="H1107" s="37">
        <v>7</v>
      </c>
      <c r="I1107" s="37">
        <v>7</v>
      </c>
      <c r="J1107" s="37">
        <v>6</v>
      </c>
      <c r="K1107" s="37">
        <v>3</v>
      </c>
      <c r="L1107" s="37">
        <v>3</v>
      </c>
      <c r="M1107" s="37">
        <v>3</v>
      </c>
      <c r="N1107" s="37">
        <v>3</v>
      </c>
      <c r="O1107" s="37">
        <v>3</v>
      </c>
      <c r="P1107" s="37">
        <v>3</v>
      </c>
      <c r="Q1107" s="37">
        <v>5</v>
      </c>
      <c r="R1107" s="37">
        <v>6</v>
      </c>
      <c r="S1107" s="37">
        <v>6</v>
      </c>
      <c r="T1107" s="37">
        <v>7</v>
      </c>
      <c r="U1107" s="37">
        <v>7</v>
      </c>
      <c r="V1107" s="37">
        <v>7</v>
      </c>
      <c r="W1107" s="37">
        <v>7</v>
      </c>
      <c r="X1107" s="37">
        <v>7</v>
      </c>
      <c r="Z1107" s="37">
        <v>7</v>
      </c>
      <c r="AA1107" s="37">
        <v>7</v>
      </c>
      <c r="AB1107" s="37">
        <v>7</v>
      </c>
      <c r="AC1107" s="37">
        <v>7</v>
      </c>
      <c r="AD1107" s="37">
        <v>7</v>
      </c>
      <c r="AE1107" s="37">
        <v>7</v>
      </c>
      <c r="AF1107" s="37">
        <v>7</v>
      </c>
      <c r="AG1107" s="37">
        <v>3</v>
      </c>
      <c r="AH1107" s="37">
        <v>3</v>
      </c>
      <c r="AI1107" s="37">
        <v>3</v>
      </c>
      <c r="AJ1107" s="37">
        <v>3</v>
      </c>
      <c r="AK1107" s="37">
        <v>3</v>
      </c>
      <c r="AL1107" s="37">
        <v>3</v>
      </c>
      <c r="AM1107" s="37">
        <v>7</v>
      </c>
      <c r="AN1107" s="37">
        <v>7</v>
      </c>
      <c r="AO1107" s="37">
        <v>7</v>
      </c>
      <c r="AP1107" s="37">
        <v>7</v>
      </c>
      <c r="AQ1107" s="37">
        <v>7</v>
      </c>
      <c r="AR1107" s="37">
        <v>7</v>
      </c>
      <c r="AS1107" s="37">
        <v>7</v>
      </c>
      <c r="AT1107" s="37">
        <v>7</v>
      </c>
    </row>
    <row r="1108" spans="3:46" s="37" customFormat="1" x14ac:dyDescent="0.25"/>
    <row r="1109" spans="3:46" s="37" customFormat="1" x14ac:dyDescent="0.25">
      <c r="C1109" s="37" t="s">
        <v>21</v>
      </c>
      <c r="D1109" s="37">
        <v>9</v>
      </c>
      <c r="E1109" s="37">
        <v>9</v>
      </c>
      <c r="F1109" s="37">
        <v>9</v>
      </c>
      <c r="G1109" s="37">
        <v>9</v>
      </c>
      <c r="H1109" s="37">
        <v>9</v>
      </c>
      <c r="I1109" s="37">
        <v>8</v>
      </c>
      <c r="J1109" s="37">
        <v>7</v>
      </c>
      <c r="K1109" s="37">
        <v>3</v>
      </c>
      <c r="L1109" s="37">
        <v>3</v>
      </c>
      <c r="M1109" s="37">
        <v>3</v>
      </c>
      <c r="N1109" s="37">
        <v>3</v>
      </c>
      <c r="O1109" s="37">
        <v>3</v>
      </c>
      <c r="P1109" s="37">
        <v>3</v>
      </c>
      <c r="Q1109" s="37">
        <v>7</v>
      </c>
      <c r="R1109" s="37">
        <v>8</v>
      </c>
      <c r="S1109" s="37">
        <v>9</v>
      </c>
      <c r="T1109" s="37">
        <v>10</v>
      </c>
      <c r="U1109" s="37">
        <v>10</v>
      </c>
      <c r="V1109" s="37">
        <v>10</v>
      </c>
      <c r="W1109" s="37">
        <v>10</v>
      </c>
      <c r="X1109" s="37">
        <v>10</v>
      </c>
      <c r="Z1109" s="37">
        <v>9</v>
      </c>
      <c r="AA1109" s="37">
        <v>9</v>
      </c>
      <c r="AB1109" s="37">
        <v>9</v>
      </c>
      <c r="AC1109" s="37">
        <v>9</v>
      </c>
      <c r="AD1109" s="37">
        <v>9</v>
      </c>
      <c r="AE1109" s="37">
        <v>9</v>
      </c>
      <c r="AF1109" s="37">
        <v>9</v>
      </c>
      <c r="AG1109" s="37">
        <v>3</v>
      </c>
      <c r="AH1109" s="37">
        <v>3</v>
      </c>
      <c r="AI1109" s="37">
        <v>3</v>
      </c>
      <c r="AJ1109" s="37">
        <v>3</v>
      </c>
      <c r="AK1109" s="37">
        <v>3</v>
      </c>
      <c r="AL1109" s="37">
        <v>3</v>
      </c>
      <c r="AM1109" s="37">
        <v>10</v>
      </c>
      <c r="AN1109" s="37">
        <v>10</v>
      </c>
      <c r="AO1109" s="37">
        <v>10</v>
      </c>
      <c r="AP1109" s="37">
        <v>10</v>
      </c>
      <c r="AQ1109" s="37">
        <v>10</v>
      </c>
      <c r="AR1109" s="37">
        <v>10</v>
      </c>
      <c r="AS1109" s="37">
        <v>10</v>
      </c>
      <c r="AT1109" s="37">
        <v>10</v>
      </c>
    </row>
    <row r="1110" spans="3:46" s="37" customFormat="1" x14ac:dyDescent="0.25"/>
    <row r="1111" spans="3:46" s="37" customFormat="1" x14ac:dyDescent="0.25">
      <c r="C1111" s="37" t="s">
        <v>20</v>
      </c>
      <c r="D1111" s="37">
        <v>7</v>
      </c>
      <c r="E1111" s="37">
        <v>7</v>
      </c>
      <c r="F1111" s="37">
        <v>7</v>
      </c>
      <c r="G1111" s="37">
        <v>7</v>
      </c>
      <c r="H1111" s="37">
        <v>7</v>
      </c>
      <c r="I1111" s="37">
        <v>7</v>
      </c>
      <c r="J1111" s="37">
        <v>7</v>
      </c>
      <c r="K1111" s="37">
        <v>3</v>
      </c>
      <c r="L1111" s="37">
        <v>3</v>
      </c>
      <c r="M1111" s="37">
        <v>3</v>
      </c>
      <c r="N1111" s="37">
        <v>3</v>
      </c>
      <c r="O1111" s="37">
        <v>3</v>
      </c>
      <c r="P1111" s="37">
        <v>3</v>
      </c>
      <c r="Q1111" s="37">
        <v>5</v>
      </c>
      <c r="R1111" s="37">
        <v>6</v>
      </c>
      <c r="S1111" s="37">
        <v>6</v>
      </c>
      <c r="T1111" s="37">
        <v>6</v>
      </c>
      <c r="U1111" s="37">
        <v>6</v>
      </c>
      <c r="V1111" s="37">
        <v>6</v>
      </c>
      <c r="W1111" s="37">
        <v>6</v>
      </c>
      <c r="X1111" s="37">
        <v>6</v>
      </c>
      <c r="Z1111" s="37">
        <v>7</v>
      </c>
      <c r="AA1111" s="37">
        <v>7</v>
      </c>
      <c r="AB1111" s="37">
        <v>7</v>
      </c>
      <c r="AC1111" s="37">
        <v>7</v>
      </c>
      <c r="AD1111" s="37">
        <v>7</v>
      </c>
      <c r="AE1111" s="37">
        <v>7</v>
      </c>
      <c r="AF1111" s="37">
        <v>7</v>
      </c>
      <c r="AG1111" s="37">
        <v>3</v>
      </c>
      <c r="AH1111" s="37">
        <v>3</v>
      </c>
      <c r="AI1111" s="37">
        <v>3</v>
      </c>
      <c r="AJ1111" s="37">
        <v>3</v>
      </c>
      <c r="AK1111" s="37">
        <v>3</v>
      </c>
      <c r="AL1111" s="37">
        <v>3</v>
      </c>
      <c r="AM1111" s="37">
        <v>6</v>
      </c>
      <c r="AN1111" s="37">
        <v>6</v>
      </c>
      <c r="AO1111" s="37">
        <v>6</v>
      </c>
      <c r="AP1111" s="37">
        <v>6</v>
      </c>
      <c r="AQ1111" s="37">
        <v>6</v>
      </c>
      <c r="AR1111" s="37">
        <v>6</v>
      </c>
      <c r="AS1111" s="37">
        <v>6</v>
      </c>
      <c r="AT1111" s="37">
        <v>6</v>
      </c>
    </row>
    <row r="1112" spans="3:46" s="37" customFormat="1" x14ac:dyDescent="0.25"/>
    <row r="1113" spans="3:46" s="37" customFormat="1" x14ac:dyDescent="0.25">
      <c r="C1113" s="37" t="s">
        <v>21</v>
      </c>
      <c r="D1113" s="37">
        <v>9</v>
      </c>
      <c r="E1113" s="37">
        <v>9</v>
      </c>
      <c r="F1113" s="37">
        <v>9</v>
      </c>
      <c r="G1113" s="37">
        <v>9</v>
      </c>
      <c r="H1113" s="37">
        <v>9</v>
      </c>
      <c r="I1113" s="37">
        <v>8</v>
      </c>
      <c r="J1113" s="37">
        <v>7</v>
      </c>
      <c r="K1113" s="37">
        <v>3</v>
      </c>
      <c r="L1113" s="37">
        <v>3</v>
      </c>
      <c r="M1113" s="37">
        <v>3</v>
      </c>
      <c r="N1113" s="37">
        <v>3</v>
      </c>
      <c r="O1113" s="37">
        <v>3</v>
      </c>
      <c r="P1113" s="37">
        <v>3</v>
      </c>
      <c r="Q1113" s="37">
        <v>7</v>
      </c>
      <c r="R1113" s="37">
        <v>8</v>
      </c>
      <c r="S1113" s="37">
        <v>9</v>
      </c>
      <c r="T1113" s="37">
        <v>10</v>
      </c>
      <c r="U1113" s="37">
        <v>10</v>
      </c>
      <c r="V1113" s="37">
        <v>10</v>
      </c>
      <c r="W1113" s="37">
        <v>10</v>
      </c>
      <c r="X1113" s="37">
        <v>10</v>
      </c>
      <c r="Z1113" s="37">
        <v>9</v>
      </c>
      <c r="AA1113" s="37">
        <v>9</v>
      </c>
      <c r="AB1113" s="37">
        <v>9</v>
      </c>
      <c r="AC1113" s="37">
        <v>9</v>
      </c>
      <c r="AD1113" s="37">
        <v>9</v>
      </c>
      <c r="AE1113" s="37">
        <v>9</v>
      </c>
      <c r="AF1113" s="37">
        <v>9</v>
      </c>
      <c r="AG1113" s="37">
        <v>3</v>
      </c>
      <c r="AH1113" s="37">
        <v>3</v>
      </c>
      <c r="AI1113" s="37">
        <v>3</v>
      </c>
      <c r="AJ1113" s="37">
        <v>3</v>
      </c>
      <c r="AK1113" s="37">
        <v>3</v>
      </c>
      <c r="AL1113" s="37">
        <v>3</v>
      </c>
      <c r="AM1113" s="37">
        <v>11</v>
      </c>
      <c r="AN1113" s="37">
        <v>11</v>
      </c>
      <c r="AO1113" s="37">
        <v>11</v>
      </c>
      <c r="AP1113" s="37">
        <v>11</v>
      </c>
      <c r="AQ1113" s="37">
        <v>11</v>
      </c>
      <c r="AR1113" s="37">
        <v>11</v>
      </c>
      <c r="AS1113" s="37">
        <v>11</v>
      </c>
      <c r="AT1113" s="37">
        <v>11</v>
      </c>
    </row>
    <row r="1114" spans="3:46" s="37" customFormat="1" x14ac:dyDescent="0.25"/>
    <row r="1115" spans="3:46" s="37" customFormat="1" x14ac:dyDescent="0.25">
      <c r="C1115" s="37" t="s">
        <v>20</v>
      </c>
      <c r="D1115" s="37">
        <v>7</v>
      </c>
      <c r="E1115" s="37">
        <v>7</v>
      </c>
      <c r="F1115" s="37">
        <v>7</v>
      </c>
      <c r="G1115" s="37">
        <v>7</v>
      </c>
      <c r="H1115" s="37">
        <v>7</v>
      </c>
      <c r="I1115" s="37">
        <v>7</v>
      </c>
      <c r="J1115" s="37">
        <v>7</v>
      </c>
      <c r="K1115" s="37">
        <v>3</v>
      </c>
      <c r="L1115" s="37">
        <v>3</v>
      </c>
      <c r="M1115" s="37">
        <v>3</v>
      </c>
      <c r="N1115" s="37">
        <v>3</v>
      </c>
      <c r="O1115" s="37">
        <v>3</v>
      </c>
      <c r="P1115" s="37">
        <v>3</v>
      </c>
      <c r="Q1115" s="37">
        <v>6</v>
      </c>
      <c r="R1115" s="37">
        <v>6</v>
      </c>
      <c r="S1115" s="37">
        <v>7</v>
      </c>
      <c r="T1115" s="37">
        <v>7</v>
      </c>
      <c r="U1115" s="37">
        <v>7</v>
      </c>
      <c r="V1115" s="37">
        <v>7</v>
      </c>
      <c r="W1115" s="37">
        <v>7</v>
      </c>
      <c r="X1115" s="37">
        <v>7</v>
      </c>
      <c r="Z1115" s="37">
        <v>7</v>
      </c>
      <c r="AA1115" s="37">
        <v>7</v>
      </c>
      <c r="AB1115" s="37">
        <v>7</v>
      </c>
      <c r="AC1115" s="37">
        <v>7</v>
      </c>
      <c r="AD1115" s="37">
        <v>7</v>
      </c>
      <c r="AE1115" s="37">
        <v>7</v>
      </c>
      <c r="AF1115" s="37">
        <v>7</v>
      </c>
      <c r="AG1115" s="37">
        <v>3</v>
      </c>
      <c r="AH1115" s="37">
        <v>3</v>
      </c>
      <c r="AI1115" s="37">
        <v>3</v>
      </c>
      <c r="AJ1115" s="37">
        <v>3</v>
      </c>
      <c r="AK1115" s="37">
        <v>3</v>
      </c>
      <c r="AL1115" s="37">
        <v>3</v>
      </c>
      <c r="AM1115" s="37">
        <v>7</v>
      </c>
      <c r="AN1115" s="37">
        <v>7</v>
      </c>
      <c r="AO1115" s="37">
        <v>7</v>
      </c>
      <c r="AP1115" s="37">
        <v>7</v>
      </c>
      <c r="AQ1115" s="37">
        <v>7</v>
      </c>
      <c r="AR1115" s="37">
        <v>7</v>
      </c>
      <c r="AS1115" s="37">
        <v>7</v>
      </c>
      <c r="AT1115" s="37">
        <v>7</v>
      </c>
    </row>
    <row r="1116" spans="3:46" s="37" customFormat="1" x14ac:dyDescent="0.25"/>
    <row r="1117" spans="3:46" s="37" customFormat="1" x14ac:dyDescent="0.25">
      <c r="C1117" s="37" t="s">
        <v>21</v>
      </c>
      <c r="D1117" s="37">
        <v>10</v>
      </c>
      <c r="E1117" s="37">
        <v>10</v>
      </c>
      <c r="F1117" s="37">
        <v>10</v>
      </c>
      <c r="G1117" s="37">
        <v>10</v>
      </c>
      <c r="H1117" s="37">
        <v>10</v>
      </c>
      <c r="I1117" s="37">
        <v>10</v>
      </c>
      <c r="J1117" s="37">
        <v>9</v>
      </c>
      <c r="K1117" s="37">
        <v>4</v>
      </c>
      <c r="L1117" s="37">
        <v>4</v>
      </c>
      <c r="M1117" s="37">
        <v>4</v>
      </c>
      <c r="N1117" s="37">
        <v>4</v>
      </c>
      <c r="O1117" s="37">
        <v>4</v>
      </c>
      <c r="P1117" s="37">
        <v>4</v>
      </c>
      <c r="Q1117" s="37">
        <v>7</v>
      </c>
      <c r="R1117" s="37">
        <v>8</v>
      </c>
      <c r="S1117" s="37">
        <v>9</v>
      </c>
      <c r="T1117" s="37">
        <v>10</v>
      </c>
      <c r="U1117" s="37">
        <v>10</v>
      </c>
      <c r="V1117" s="37">
        <v>10</v>
      </c>
      <c r="W1117" s="37">
        <v>10</v>
      </c>
      <c r="X1117" s="37">
        <v>10</v>
      </c>
      <c r="Z1117" s="37">
        <v>10</v>
      </c>
      <c r="AA1117" s="37">
        <v>10</v>
      </c>
      <c r="AB1117" s="37">
        <v>10</v>
      </c>
      <c r="AC1117" s="37">
        <v>10</v>
      </c>
      <c r="AD1117" s="37">
        <v>10</v>
      </c>
      <c r="AE1117" s="37">
        <v>10</v>
      </c>
      <c r="AF1117" s="37">
        <v>10</v>
      </c>
      <c r="AG1117" s="37">
        <v>4</v>
      </c>
      <c r="AH1117" s="37">
        <v>4</v>
      </c>
      <c r="AI1117" s="37">
        <v>4</v>
      </c>
      <c r="AJ1117" s="37">
        <v>4</v>
      </c>
      <c r="AK1117" s="37">
        <v>4</v>
      </c>
      <c r="AL1117" s="37">
        <v>4</v>
      </c>
      <c r="AM1117" s="37">
        <v>10</v>
      </c>
      <c r="AN1117" s="37">
        <v>10</v>
      </c>
      <c r="AO1117" s="37">
        <v>10</v>
      </c>
      <c r="AP1117" s="37">
        <v>10</v>
      </c>
      <c r="AQ1117" s="37">
        <v>10</v>
      </c>
      <c r="AR1117" s="37">
        <v>10</v>
      </c>
      <c r="AS1117" s="37">
        <v>10</v>
      </c>
      <c r="AT1117" s="37">
        <v>10</v>
      </c>
    </row>
    <row r="1118" spans="3:46" s="37" customFormat="1" x14ac:dyDescent="0.25"/>
    <row r="1119" spans="3:46" s="37" customFormat="1" x14ac:dyDescent="0.25">
      <c r="C1119" s="37" t="s">
        <v>20</v>
      </c>
      <c r="D1119" s="37">
        <v>6</v>
      </c>
      <c r="E1119" s="37">
        <v>6</v>
      </c>
      <c r="F1119" s="37">
        <v>6</v>
      </c>
      <c r="G1119" s="37">
        <v>6</v>
      </c>
      <c r="H1119" s="37">
        <v>6</v>
      </c>
      <c r="I1119" s="37">
        <v>6</v>
      </c>
      <c r="J1119" s="37">
        <v>6</v>
      </c>
      <c r="K1119" s="37">
        <v>3</v>
      </c>
      <c r="L1119" s="37">
        <v>3</v>
      </c>
      <c r="M1119" s="37">
        <v>3</v>
      </c>
      <c r="N1119" s="37">
        <v>3</v>
      </c>
      <c r="O1119" s="37">
        <v>3</v>
      </c>
      <c r="P1119" s="37">
        <v>3</v>
      </c>
      <c r="Q1119" s="37">
        <v>6</v>
      </c>
      <c r="R1119" s="37">
        <v>6</v>
      </c>
      <c r="S1119" s="37">
        <v>7</v>
      </c>
      <c r="T1119" s="37">
        <v>7</v>
      </c>
      <c r="U1119" s="37">
        <v>7</v>
      </c>
      <c r="V1119" s="37">
        <v>7</v>
      </c>
      <c r="W1119" s="37">
        <v>7</v>
      </c>
      <c r="X1119" s="37">
        <v>7</v>
      </c>
      <c r="Z1119" s="37">
        <v>6</v>
      </c>
      <c r="AA1119" s="37">
        <v>6</v>
      </c>
      <c r="AB1119" s="37">
        <v>6</v>
      </c>
      <c r="AC1119" s="37">
        <v>6</v>
      </c>
      <c r="AD1119" s="37">
        <v>6</v>
      </c>
      <c r="AE1119" s="37">
        <v>6</v>
      </c>
      <c r="AF1119" s="37">
        <v>6</v>
      </c>
      <c r="AG1119" s="37">
        <v>3</v>
      </c>
      <c r="AH1119" s="37">
        <v>3</v>
      </c>
      <c r="AI1119" s="37">
        <v>3</v>
      </c>
      <c r="AJ1119" s="37">
        <v>3</v>
      </c>
      <c r="AK1119" s="37">
        <v>3</v>
      </c>
      <c r="AL1119" s="37">
        <v>3</v>
      </c>
      <c r="AM1119" s="37">
        <v>7</v>
      </c>
      <c r="AN1119" s="37">
        <v>7</v>
      </c>
      <c r="AO1119" s="37">
        <v>7</v>
      </c>
      <c r="AP1119" s="37">
        <v>7</v>
      </c>
      <c r="AQ1119" s="37">
        <v>7</v>
      </c>
      <c r="AR1119" s="37">
        <v>7</v>
      </c>
      <c r="AS1119" s="37">
        <v>7</v>
      </c>
      <c r="AT1119" s="37">
        <v>7</v>
      </c>
    </row>
    <row r="1120" spans="3:46" s="37" customFormat="1" x14ac:dyDescent="0.25"/>
    <row r="1121" spans="3:46" s="37" customFormat="1" x14ac:dyDescent="0.25">
      <c r="C1121" s="37" t="s">
        <v>21</v>
      </c>
      <c r="D1121" s="37">
        <v>10</v>
      </c>
      <c r="E1121" s="37">
        <v>10</v>
      </c>
      <c r="F1121" s="37">
        <v>10</v>
      </c>
      <c r="G1121" s="37">
        <v>10</v>
      </c>
      <c r="H1121" s="37">
        <v>10</v>
      </c>
      <c r="I1121" s="37">
        <v>10</v>
      </c>
      <c r="J1121" s="37">
        <v>9</v>
      </c>
      <c r="K1121" s="37">
        <v>4</v>
      </c>
      <c r="L1121" s="37">
        <v>4</v>
      </c>
      <c r="M1121" s="37">
        <v>4</v>
      </c>
      <c r="N1121" s="37">
        <v>4</v>
      </c>
      <c r="O1121" s="37">
        <v>4</v>
      </c>
      <c r="P1121" s="37">
        <v>4</v>
      </c>
      <c r="Q1121" s="37">
        <v>6</v>
      </c>
      <c r="R1121" s="37">
        <v>6</v>
      </c>
      <c r="S1121" s="37">
        <v>7</v>
      </c>
      <c r="T1121" s="37">
        <v>8</v>
      </c>
      <c r="U1121" s="37">
        <v>8</v>
      </c>
      <c r="V1121" s="37">
        <v>8</v>
      </c>
      <c r="W1121" s="37">
        <v>8</v>
      </c>
      <c r="X1121" s="37">
        <v>8</v>
      </c>
      <c r="Z1121" s="37">
        <v>10</v>
      </c>
      <c r="AA1121" s="37">
        <v>10</v>
      </c>
      <c r="AB1121" s="37">
        <v>10</v>
      </c>
      <c r="AC1121" s="37">
        <v>10</v>
      </c>
      <c r="AD1121" s="37">
        <v>10</v>
      </c>
      <c r="AE1121" s="37">
        <v>10</v>
      </c>
      <c r="AF1121" s="37">
        <v>10</v>
      </c>
      <c r="AG1121" s="37">
        <v>4</v>
      </c>
      <c r="AH1121" s="37">
        <v>4</v>
      </c>
      <c r="AI1121" s="37">
        <v>4</v>
      </c>
      <c r="AJ1121" s="37">
        <v>4</v>
      </c>
      <c r="AK1121" s="37">
        <v>4</v>
      </c>
      <c r="AL1121" s="37">
        <v>4</v>
      </c>
      <c r="AM1121" s="37">
        <v>8</v>
      </c>
      <c r="AN1121" s="37">
        <v>8</v>
      </c>
      <c r="AO1121" s="37">
        <v>8</v>
      </c>
      <c r="AP1121" s="37">
        <v>8</v>
      </c>
      <c r="AQ1121" s="37">
        <v>8</v>
      </c>
      <c r="AR1121" s="37">
        <v>8</v>
      </c>
      <c r="AS1121" s="37">
        <v>8</v>
      </c>
      <c r="AT1121" s="37">
        <v>8</v>
      </c>
    </row>
    <row r="1122" spans="3:46" s="37" customFormat="1" x14ac:dyDescent="0.25"/>
    <row r="1123" spans="3:46" s="37" customFormat="1" x14ac:dyDescent="0.25">
      <c r="C1123" s="37" t="s">
        <v>20</v>
      </c>
      <c r="D1123" s="37">
        <v>5</v>
      </c>
      <c r="E1123" s="37">
        <v>5</v>
      </c>
      <c r="F1123" s="37">
        <v>5</v>
      </c>
      <c r="G1123" s="37">
        <v>5</v>
      </c>
      <c r="H1123" s="37">
        <v>5</v>
      </c>
      <c r="I1123" s="37">
        <v>5</v>
      </c>
      <c r="J1123" s="37">
        <v>4</v>
      </c>
      <c r="K1123" s="37">
        <v>2</v>
      </c>
      <c r="L1123" s="37">
        <v>2</v>
      </c>
      <c r="M1123" s="37">
        <v>2</v>
      </c>
      <c r="N1123" s="37">
        <v>2</v>
      </c>
      <c r="O1123" s="37">
        <v>2</v>
      </c>
      <c r="P1123" s="37">
        <v>2</v>
      </c>
      <c r="Q1123" s="37">
        <v>3</v>
      </c>
      <c r="R1123" s="37">
        <v>4</v>
      </c>
      <c r="S1123" s="37">
        <v>4</v>
      </c>
      <c r="T1123" s="37">
        <v>5</v>
      </c>
      <c r="U1123" s="37">
        <v>5</v>
      </c>
      <c r="V1123" s="37">
        <v>5</v>
      </c>
      <c r="W1123" s="37">
        <v>5</v>
      </c>
      <c r="X1123" s="37">
        <v>5</v>
      </c>
      <c r="Z1123" s="37">
        <v>5</v>
      </c>
      <c r="AA1123" s="37">
        <v>5</v>
      </c>
      <c r="AB1123" s="37">
        <v>5</v>
      </c>
      <c r="AC1123" s="37">
        <v>5</v>
      </c>
      <c r="AD1123" s="37">
        <v>5</v>
      </c>
      <c r="AE1123" s="37">
        <v>5</v>
      </c>
      <c r="AF1123" s="37">
        <v>5</v>
      </c>
      <c r="AG1123" s="37">
        <v>2</v>
      </c>
      <c r="AH1123" s="37">
        <v>2</v>
      </c>
      <c r="AI1123" s="37">
        <v>2</v>
      </c>
      <c r="AJ1123" s="37">
        <v>2</v>
      </c>
      <c r="AK1123" s="37">
        <v>2</v>
      </c>
      <c r="AL1123" s="37">
        <v>2</v>
      </c>
      <c r="AM1123" s="37">
        <v>5</v>
      </c>
      <c r="AN1123" s="37">
        <v>5</v>
      </c>
      <c r="AO1123" s="37">
        <v>5</v>
      </c>
      <c r="AP1123" s="37">
        <v>5</v>
      </c>
      <c r="AQ1123" s="37">
        <v>5</v>
      </c>
      <c r="AR1123" s="37">
        <v>5</v>
      </c>
      <c r="AS1123" s="37">
        <v>5</v>
      </c>
      <c r="AT1123" s="37">
        <v>5</v>
      </c>
    </row>
    <row r="1124" spans="3:46" s="37" customFormat="1" x14ac:dyDescent="0.25"/>
    <row r="1125" spans="3:46" s="37" customFormat="1" x14ac:dyDescent="0.25">
      <c r="C1125" s="37" t="s">
        <v>21</v>
      </c>
      <c r="D1125" s="37">
        <v>4</v>
      </c>
      <c r="E1125" s="37">
        <v>4</v>
      </c>
      <c r="F1125" s="37">
        <v>4</v>
      </c>
      <c r="G1125" s="37">
        <v>4</v>
      </c>
      <c r="H1125" s="37">
        <v>4</v>
      </c>
      <c r="I1125" s="37">
        <v>4</v>
      </c>
      <c r="J1125" s="37">
        <v>4</v>
      </c>
      <c r="K1125" s="37">
        <v>4</v>
      </c>
      <c r="L1125" s="37">
        <v>4</v>
      </c>
      <c r="M1125" s="37">
        <v>4</v>
      </c>
      <c r="N1125" s="37">
        <v>4</v>
      </c>
      <c r="O1125" s="37">
        <v>4</v>
      </c>
      <c r="P1125" s="37">
        <v>4</v>
      </c>
      <c r="Q1125" s="37">
        <v>4</v>
      </c>
      <c r="R1125" s="37">
        <v>4</v>
      </c>
      <c r="S1125" s="37">
        <v>4</v>
      </c>
      <c r="T1125" s="37">
        <v>4</v>
      </c>
      <c r="U1125" s="37">
        <v>4</v>
      </c>
      <c r="V1125" s="37">
        <v>4</v>
      </c>
      <c r="W1125" s="37">
        <v>4</v>
      </c>
      <c r="X1125" s="37">
        <v>4</v>
      </c>
      <c r="Z1125" s="37">
        <v>4</v>
      </c>
      <c r="AA1125" s="37">
        <v>4</v>
      </c>
      <c r="AB1125" s="37">
        <v>4</v>
      </c>
      <c r="AC1125" s="37">
        <v>4</v>
      </c>
      <c r="AD1125" s="37">
        <v>4</v>
      </c>
      <c r="AE1125" s="37">
        <v>4</v>
      </c>
      <c r="AF1125" s="37">
        <v>4</v>
      </c>
      <c r="AG1125" s="37">
        <v>4</v>
      </c>
      <c r="AH1125" s="37">
        <v>4</v>
      </c>
      <c r="AI1125" s="37">
        <v>4</v>
      </c>
      <c r="AJ1125" s="37">
        <v>4</v>
      </c>
      <c r="AK1125" s="37">
        <v>4</v>
      </c>
      <c r="AL1125" s="37">
        <v>4</v>
      </c>
      <c r="AM1125" s="37">
        <v>4</v>
      </c>
      <c r="AN1125" s="37">
        <v>4</v>
      </c>
      <c r="AO1125" s="37">
        <v>4</v>
      </c>
      <c r="AP1125" s="37">
        <v>4</v>
      </c>
      <c r="AQ1125" s="37">
        <v>4</v>
      </c>
      <c r="AR1125" s="37">
        <v>4</v>
      </c>
      <c r="AS1125" s="37">
        <v>4</v>
      </c>
      <c r="AT1125" s="37">
        <v>4</v>
      </c>
    </row>
    <row r="1126" spans="3:46" s="37" customFormat="1" x14ac:dyDescent="0.25"/>
    <row r="1127" spans="3:46" s="37" customFormat="1" x14ac:dyDescent="0.25">
      <c r="C1127" s="37" t="s">
        <v>20</v>
      </c>
      <c r="D1127" s="37">
        <v>8</v>
      </c>
      <c r="E1127" s="37">
        <v>8</v>
      </c>
      <c r="F1127" s="37">
        <v>8</v>
      </c>
      <c r="G1127" s="37">
        <v>8</v>
      </c>
      <c r="H1127" s="37">
        <v>8</v>
      </c>
      <c r="I1127" s="37">
        <v>8</v>
      </c>
      <c r="J1127" s="37">
        <v>8</v>
      </c>
      <c r="K1127" s="37">
        <v>8</v>
      </c>
      <c r="L1127" s="37">
        <v>7</v>
      </c>
      <c r="M1127" s="37">
        <v>6</v>
      </c>
      <c r="N1127" s="37">
        <v>6</v>
      </c>
      <c r="O1127" s="37">
        <v>6</v>
      </c>
      <c r="P1127" s="37">
        <v>6</v>
      </c>
      <c r="Q1127" s="37">
        <v>7</v>
      </c>
      <c r="R1127" s="37">
        <v>8</v>
      </c>
      <c r="S1127" s="37">
        <v>8</v>
      </c>
      <c r="T1127" s="37">
        <v>8</v>
      </c>
      <c r="U1127" s="37">
        <v>8</v>
      </c>
      <c r="V1127" s="37">
        <v>8</v>
      </c>
      <c r="W1127" s="37">
        <v>8</v>
      </c>
      <c r="X1127" s="37">
        <v>8</v>
      </c>
      <c r="Z1127" s="37">
        <v>8</v>
      </c>
      <c r="AA1127" s="37">
        <v>8</v>
      </c>
      <c r="AB1127" s="37">
        <v>8</v>
      </c>
      <c r="AC1127" s="37">
        <v>8</v>
      </c>
      <c r="AD1127" s="37">
        <v>8</v>
      </c>
      <c r="AE1127" s="37">
        <v>8</v>
      </c>
      <c r="AF1127" s="37">
        <v>8</v>
      </c>
      <c r="AG1127" s="37">
        <v>8</v>
      </c>
      <c r="AH1127" s="37">
        <v>8</v>
      </c>
      <c r="AI1127" s="37">
        <v>8</v>
      </c>
      <c r="AJ1127" s="37">
        <v>8</v>
      </c>
      <c r="AK1127" s="37">
        <v>8</v>
      </c>
      <c r="AL1127" s="37">
        <v>8</v>
      </c>
      <c r="AM1127" s="37">
        <v>8</v>
      </c>
      <c r="AN1127" s="37">
        <v>8</v>
      </c>
      <c r="AO1127" s="37">
        <v>8</v>
      </c>
      <c r="AP1127" s="37">
        <v>8</v>
      </c>
      <c r="AQ1127" s="37">
        <v>8</v>
      </c>
      <c r="AR1127" s="37">
        <v>8</v>
      </c>
      <c r="AS1127" s="37">
        <v>8</v>
      </c>
      <c r="AT1127" s="37">
        <v>8</v>
      </c>
    </row>
    <row r="1128" spans="3:46" s="37" customFormat="1" x14ac:dyDescent="0.25"/>
    <row r="1129" spans="3:46" s="37" customFormat="1" x14ac:dyDescent="0.25">
      <c r="C1129" s="37" t="s">
        <v>21</v>
      </c>
      <c r="D1129" s="37">
        <v>11</v>
      </c>
      <c r="E1129" s="37">
        <v>11</v>
      </c>
      <c r="F1129" s="37">
        <v>11</v>
      </c>
      <c r="G1129" s="37">
        <v>11</v>
      </c>
      <c r="H1129" s="37">
        <v>11</v>
      </c>
      <c r="I1129" s="37">
        <v>11</v>
      </c>
      <c r="J1129" s="37">
        <v>11</v>
      </c>
      <c r="K1129" s="37">
        <v>11</v>
      </c>
      <c r="L1129" s="37">
        <v>11</v>
      </c>
      <c r="M1129" s="37">
        <v>11</v>
      </c>
      <c r="N1129" s="37">
        <v>11</v>
      </c>
      <c r="O1129" s="37">
        <v>11</v>
      </c>
      <c r="P1129" s="37">
        <v>11</v>
      </c>
      <c r="Q1129" s="37">
        <v>11</v>
      </c>
      <c r="R1129" s="37">
        <v>11</v>
      </c>
      <c r="S1129" s="37">
        <v>11</v>
      </c>
      <c r="T1129" s="37">
        <v>11</v>
      </c>
      <c r="U1129" s="37">
        <v>11</v>
      </c>
      <c r="V1129" s="37">
        <v>11</v>
      </c>
      <c r="W1129" s="37">
        <v>11</v>
      </c>
      <c r="X1129" s="37">
        <v>11</v>
      </c>
      <c r="Z1129" s="37">
        <v>11</v>
      </c>
      <c r="AA1129" s="37">
        <v>11</v>
      </c>
      <c r="AB1129" s="37">
        <v>11</v>
      </c>
      <c r="AC1129" s="37">
        <v>11</v>
      </c>
      <c r="AD1129" s="37">
        <v>11</v>
      </c>
      <c r="AE1129" s="37">
        <v>11</v>
      </c>
      <c r="AF1129" s="37">
        <v>11</v>
      </c>
      <c r="AG1129" s="37">
        <v>11</v>
      </c>
      <c r="AH1129" s="37">
        <v>11</v>
      </c>
      <c r="AI1129" s="37">
        <v>11</v>
      </c>
      <c r="AJ1129" s="37">
        <v>11</v>
      </c>
      <c r="AK1129" s="37">
        <v>11</v>
      </c>
      <c r="AL1129" s="37">
        <v>11</v>
      </c>
      <c r="AM1129" s="37">
        <v>12</v>
      </c>
      <c r="AN1129" s="37">
        <v>12</v>
      </c>
      <c r="AO1129" s="37">
        <v>12</v>
      </c>
      <c r="AP1129" s="37">
        <v>12</v>
      </c>
      <c r="AQ1129" s="37">
        <v>12</v>
      </c>
      <c r="AR1129" s="37">
        <v>12</v>
      </c>
      <c r="AS1129" s="37">
        <v>12</v>
      </c>
      <c r="AT1129" s="37">
        <v>12</v>
      </c>
    </row>
    <row r="1130" spans="3:46" s="37" customFormat="1" x14ac:dyDescent="0.25"/>
    <row r="1131" spans="3:46" s="37" customFormat="1" x14ac:dyDescent="0.25">
      <c r="C1131" s="37" t="s">
        <v>20</v>
      </c>
      <c r="D1131" s="37">
        <v>11</v>
      </c>
      <c r="E1131" s="37">
        <v>11</v>
      </c>
      <c r="F1131" s="37">
        <v>11</v>
      </c>
      <c r="G1131" s="37">
        <v>11</v>
      </c>
      <c r="H1131" s="37">
        <v>11</v>
      </c>
      <c r="I1131" s="37">
        <v>11</v>
      </c>
      <c r="J1131" s="37">
        <v>11</v>
      </c>
      <c r="K1131" s="37">
        <v>10</v>
      </c>
      <c r="L1131" s="37">
        <v>9</v>
      </c>
      <c r="M1131" s="37">
        <v>8</v>
      </c>
      <c r="N1131" s="37">
        <v>7</v>
      </c>
      <c r="O1131" s="37">
        <v>7</v>
      </c>
      <c r="P1131" s="37">
        <v>8</v>
      </c>
      <c r="Q1131" s="37">
        <v>9</v>
      </c>
      <c r="R1131" s="37">
        <v>10</v>
      </c>
      <c r="S1131" s="37">
        <v>10</v>
      </c>
      <c r="T1131" s="37">
        <v>10</v>
      </c>
      <c r="U1131" s="37">
        <v>10</v>
      </c>
      <c r="V1131" s="37">
        <v>10</v>
      </c>
      <c r="W1131" s="37">
        <v>10</v>
      </c>
      <c r="X1131" s="37">
        <v>10</v>
      </c>
      <c r="Z1131" s="37">
        <v>11</v>
      </c>
      <c r="AA1131" s="37">
        <v>11</v>
      </c>
      <c r="AB1131" s="37">
        <v>11</v>
      </c>
      <c r="AC1131" s="37">
        <v>11</v>
      </c>
      <c r="AD1131" s="37">
        <v>11</v>
      </c>
      <c r="AE1131" s="37">
        <v>11</v>
      </c>
      <c r="AF1131" s="37">
        <v>11</v>
      </c>
      <c r="AG1131" s="37">
        <v>10</v>
      </c>
      <c r="AH1131" s="37">
        <v>10</v>
      </c>
      <c r="AI1131" s="37">
        <v>10</v>
      </c>
      <c r="AJ1131" s="37">
        <v>10</v>
      </c>
      <c r="AK1131" s="37">
        <v>10</v>
      </c>
      <c r="AL1131" s="37">
        <v>10</v>
      </c>
      <c r="AM1131" s="37">
        <v>10</v>
      </c>
      <c r="AN1131" s="37">
        <v>10</v>
      </c>
      <c r="AO1131" s="37">
        <v>10</v>
      </c>
      <c r="AP1131" s="37">
        <v>10</v>
      </c>
      <c r="AQ1131" s="37">
        <v>10</v>
      </c>
      <c r="AR1131" s="37">
        <v>10</v>
      </c>
      <c r="AS1131" s="37">
        <v>10</v>
      </c>
      <c r="AT1131" s="37">
        <v>10</v>
      </c>
    </row>
    <row r="1132" spans="3:46" s="37" customFormat="1" x14ac:dyDescent="0.25"/>
    <row r="1133" spans="3:46" s="37" customFormat="1" x14ac:dyDescent="0.25">
      <c r="C1133" s="37" t="s">
        <v>21</v>
      </c>
      <c r="D1133" s="37">
        <v>16</v>
      </c>
      <c r="E1133" s="37">
        <v>16</v>
      </c>
      <c r="F1133" s="37">
        <v>16</v>
      </c>
      <c r="G1133" s="37">
        <v>16</v>
      </c>
      <c r="H1133" s="37">
        <v>16</v>
      </c>
      <c r="I1133" s="37">
        <v>15</v>
      </c>
      <c r="J1133" s="37">
        <v>15</v>
      </c>
      <c r="K1133" s="37">
        <v>15</v>
      </c>
      <c r="L1133" s="37">
        <v>15</v>
      </c>
      <c r="M1133" s="37">
        <v>15</v>
      </c>
      <c r="N1133" s="37">
        <v>15</v>
      </c>
      <c r="O1133" s="37">
        <v>15</v>
      </c>
      <c r="P1133" s="37">
        <v>15</v>
      </c>
      <c r="Q1133" s="37">
        <v>15</v>
      </c>
      <c r="R1133" s="37">
        <v>15</v>
      </c>
      <c r="S1133" s="37">
        <v>15</v>
      </c>
      <c r="T1133" s="37">
        <v>15</v>
      </c>
      <c r="U1133" s="37">
        <v>14</v>
      </c>
      <c r="V1133" s="37">
        <v>14</v>
      </c>
      <c r="W1133" s="37">
        <v>14</v>
      </c>
      <c r="X1133" s="37">
        <v>14</v>
      </c>
      <c r="Z1133" s="37">
        <v>16</v>
      </c>
      <c r="AA1133" s="37">
        <v>16</v>
      </c>
      <c r="AB1133" s="37">
        <v>16</v>
      </c>
      <c r="AC1133" s="37">
        <v>16</v>
      </c>
      <c r="AD1133" s="37">
        <v>16</v>
      </c>
      <c r="AE1133" s="37">
        <v>16</v>
      </c>
      <c r="AF1133" s="37">
        <v>16</v>
      </c>
      <c r="AG1133" s="37">
        <v>15</v>
      </c>
      <c r="AH1133" s="37">
        <v>15</v>
      </c>
      <c r="AI1133" s="37">
        <v>15</v>
      </c>
      <c r="AJ1133" s="37">
        <v>15</v>
      </c>
      <c r="AK1133" s="37">
        <v>15</v>
      </c>
      <c r="AL1133" s="37">
        <v>15</v>
      </c>
      <c r="AM1133" s="37">
        <v>15</v>
      </c>
      <c r="AN1133" s="37">
        <v>15</v>
      </c>
      <c r="AO1133" s="37">
        <v>15</v>
      </c>
      <c r="AP1133" s="37">
        <v>15</v>
      </c>
      <c r="AQ1133" s="37">
        <v>15</v>
      </c>
      <c r="AR1133" s="37">
        <v>15</v>
      </c>
      <c r="AS1133" s="37">
        <v>15</v>
      </c>
      <c r="AT1133" s="37">
        <v>15</v>
      </c>
    </row>
    <row r="1134" spans="3:46" s="37" customFormat="1" x14ac:dyDescent="0.25"/>
    <row r="1135" spans="3:46" s="37" customFormat="1" x14ac:dyDescent="0.25">
      <c r="C1135" s="37" t="s">
        <v>20</v>
      </c>
      <c r="D1135" s="37">
        <v>8</v>
      </c>
      <c r="E1135" s="37">
        <v>8</v>
      </c>
      <c r="F1135" s="37">
        <v>8</v>
      </c>
      <c r="G1135" s="37">
        <v>8</v>
      </c>
      <c r="H1135" s="37">
        <v>8</v>
      </c>
      <c r="I1135" s="37">
        <v>8</v>
      </c>
      <c r="J1135" s="37">
        <v>8</v>
      </c>
      <c r="K1135" s="37">
        <v>4</v>
      </c>
      <c r="L1135" s="37">
        <v>4</v>
      </c>
      <c r="M1135" s="37">
        <v>4</v>
      </c>
      <c r="N1135" s="37">
        <v>4</v>
      </c>
      <c r="O1135" s="37">
        <v>4</v>
      </c>
      <c r="P1135" s="37">
        <v>4</v>
      </c>
      <c r="Q1135" s="37">
        <v>8</v>
      </c>
      <c r="R1135" s="37">
        <v>9</v>
      </c>
      <c r="S1135" s="37">
        <v>10</v>
      </c>
      <c r="T1135" s="37">
        <v>10</v>
      </c>
      <c r="U1135" s="37">
        <v>10</v>
      </c>
      <c r="V1135" s="37">
        <v>10</v>
      </c>
      <c r="W1135" s="37">
        <v>10</v>
      </c>
      <c r="X1135" s="37">
        <v>10</v>
      </c>
      <c r="Z1135" s="37">
        <v>8</v>
      </c>
      <c r="AA1135" s="37">
        <v>8</v>
      </c>
      <c r="AB1135" s="37">
        <v>8</v>
      </c>
      <c r="AC1135" s="37">
        <v>8</v>
      </c>
      <c r="AD1135" s="37">
        <v>8</v>
      </c>
      <c r="AE1135" s="37">
        <v>8</v>
      </c>
      <c r="AF1135" s="37">
        <v>8</v>
      </c>
      <c r="AG1135" s="37">
        <v>4</v>
      </c>
      <c r="AH1135" s="37">
        <v>4</v>
      </c>
      <c r="AI1135" s="37">
        <v>4</v>
      </c>
      <c r="AJ1135" s="37">
        <v>4</v>
      </c>
      <c r="AK1135" s="37">
        <v>4</v>
      </c>
      <c r="AL1135" s="37">
        <v>4</v>
      </c>
      <c r="AM1135" s="37">
        <v>10</v>
      </c>
      <c r="AN1135" s="37">
        <v>10</v>
      </c>
      <c r="AO1135" s="37">
        <v>10</v>
      </c>
      <c r="AP1135" s="37">
        <v>10</v>
      </c>
      <c r="AQ1135" s="37">
        <v>10</v>
      </c>
      <c r="AR1135" s="37">
        <v>10</v>
      </c>
      <c r="AS1135" s="37">
        <v>10</v>
      </c>
      <c r="AT1135" s="37">
        <v>10</v>
      </c>
    </row>
    <row r="1136" spans="3:46" s="37" customFormat="1" x14ac:dyDescent="0.25"/>
    <row r="1137" spans="3:46" s="37" customFormat="1" x14ac:dyDescent="0.25">
      <c r="C1137" s="37" t="s">
        <v>21</v>
      </c>
      <c r="D1137" s="37">
        <v>13</v>
      </c>
      <c r="E1137" s="37">
        <v>13</v>
      </c>
      <c r="F1137" s="37">
        <v>13</v>
      </c>
      <c r="G1137" s="37">
        <v>13</v>
      </c>
      <c r="H1137" s="37">
        <v>12</v>
      </c>
      <c r="I1137" s="37">
        <v>11</v>
      </c>
      <c r="J1137" s="37">
        <v>10</v>
      </c>
      <c r="K1137" s="37">
        <v>5</v>
      </c>
      <c r="L1137" s="37">
        <v>5</v>
      </c>
      <c r="M1137" s="37">
        <v>5</v>
      </c>
      <c r="N1137" s="37">
        <v>5</v>
      </c>
      <c r="O1137" s="37">
        <v>5</v>
      </c>
      <c r="P1137" s="37">
        <v>5</v>
      </c>
      <c r="Q1137" s="37">
        <v>7</v>
      </c>
      <c r="R1137" s="37">
        <v>8</v>
      </c>
      <c r="S1137" s="37">
        <v>9</v>
      </c>
      <c r="T1137" s="37">
        <v>10</v>
      </c>
      <c r="U1137" s="37">
        <v>11</v>
      </c>
      <c r="V1137" s="37">
        <v>11</v>
      </c>
      <c r="W1137" s="37">
        <v>11</v>
      </c>
      <c r="X1137" s="37">
        <v>11</v>
      </c>
      <c r="Z1137" s="37">
        <v>13</v>
      </c>
      <c r="AA1137" s="37">
        <v>13</v>
      </c>
      <c r="AB1137" s="37">
        <v>13</v>
      </c>
      <c r="AC1137" s="37">
        <v>13</v>
      </c>
      <c r="AD1137" s="37">
        <v>13</v>
      </c>
      <c r="AE1137" s="37">
        <v>13</v>
      </c>
      <c r="AF1137" s="37">
        <v>13</v>
      </c>
      <c r="AG1137" s="37">
        <v>5</v>
      </c>
      <c r="AH1137" s="37">
        <v>5</v>
      </c>
      <c r="AI1137" s="37">
        <v>5</v>
      </c>
      <c r="AJ1137" s="37">
        <v>5</v>
      </c>
      <c r="AK1137" s="37">
        <v>5</v>
      </c>
      <c r="AL1137" s="37">
        <v>5</v>
      </c>
      <c r="AM1137" s="37">
        <v>12</v>
      </c>
      <c r="AN1137" s="37">
        <v>12</v>
      </c>
      <c r="AO1137" s="37">
        <v>12</v>
      </c>
      <c r="AP1137" s="37">
        <v>12</v>
      </c>
      <c r="AQ1137" s="37">
        <v>12</v>
      </c>
      <c r="AR1137" s="37">
        <v>12</v>
      </c>
      <c r="AS1137" s="37">
        <v>12</v>
      </c>
      <c r="AT1137" s="37">
        <v>12</v>
      </c>
    </row>
    <row r="1138" spans="3:46" s="37" customFormat="1" x14ac:dyDescent="0.25"/>
    <row r="1139" spans="3:46" s="37" customFormat="1" x14ac:dyDescent="0.25">
      <c r="C1139" s="37" t="s">
        <v>20</v>
      </c>
      <c r="D1139" s="37">
        <v>5</v>
      </c>
      <c r="E1139" s="37">
        <v>5</v>
      </c>
      <c r="F1139" s="37">
        <v>5</v>
      </c>
      <c r="G1139" s="37">
        <v>5</v>
      </c>
      <c r="H1139" s="37">
        <v>5</v>
      </c>
      <c r="I1139" s="37">
        <v>5</v>
      </c>
      <c r="J1139" s="37">
        <v>4</v>
      </c>
      <c r="K1139" s="37">
        <v>2</v>
      </c>
      <c r="L1139" s="37">
        <v>2</v>
      </c>
      <c r="M1139" s="37">
        <v>2</v>
      </c>
      <c r="N1139" s="37">
        <v>2</v>
      </c>
      <c r="O1139" s="37">
        <v>2</v>
      </c>
      <c r="P1139" s="37">
        <v>2</v>
      </c>
      <c r="Q1139" s="37">
        <v>4</v>
      </c>
      <c r="R1139" s="37">
        <v>4</v>
      </c>
      <c r="S1139" s="37">
        <v>5</v>
      </c>
      <c r="T1139" s="37">
        <v>5</v>
      </c>
      <c r="U1139" s="37">
        <v>6</v>
      </c>
      <c r="V1139" s="37">
        <v>6</v>
      </c>
      <c r="W1139" s="37">
        <v>6</v>
      </c>
      <c r="X1139" s="37">
        <v>6</v>
      </c>
      <c r="Z1139" s="37">
        <v>5</v>
      </c>
      <c r="AA1139" s="37">
        <v>5</v>
      </c>
      <c r="AB1139" s="37">
        <v>5</v>
      </c>
      <c r="AC1139" s="37">
        <v>5</v>
      </c>
      <c r="AD1139" s="37">
        <v>5</v>
      </c>
      <c r="AE1139" s="37">
        <v>5</v>
      </c>
      <c r="AF1139" s="37">
        <v>5</v>
      </c>
      <c r="AG1139" s="37">
        <v>2</v>
      </c>
      <c r="AH1139" s="37">
        <v>2</v>
      </c>
      <c r="AI1139" s="37">
        <v>2</v>
      </c>
      <c r="AJ1139" s="37">
        <v>2</v>
      </c>
      <c r="AK1139" s="37">
        <v>2</v>
      </c>
      <c r="AL1139" s="37">
        <v>2</v>
      </c>
      <c r="AM1139" s="37">
        <v>6</v>
      </c>
      <c r="AN1139" s="37">
        <v>6</v>
      </c>
      <c r="AO1139" s="37">
        <v>6</v>
      </c>
      <c r="AP1139" s="37">
        <v>6</v>
      </c>
      <c r="AQ1139" s="37">
        <v>6</v>
      </c>
      <c r="AR1139" s="37">
        <v>6</v>
      </c>
      <c r="AS1139" s="37">
        <v>6</v>
      </c>
      <c r="AT1139" s="37">
        <v>6</v>
      </c>
    </row>
    <row r="1140" spans="3:46" s="37" customFormat="1" x14ac:dyDescent="0.25"/>
    <row r="1141" spans="3:46" s="37" customFormat="1" x14ac:dyDescent="0.25">
      <c r="C1141" s="37" t="s">
        <v>21</v>
      </c>
      <c r="D1141" s="37">
        <v>6</v>
      </c>
      <c r="E1141" s="37">
        <v>6</v>
      </c>
      <c r="F1141" s="37">
        <v>6</v>
      </c>
      <c r="G1141" s="37">
        <v>6</v>
      </c>
      <c r="H1141" s="37">
        <v>5</v>
      </c>
      <c r="I1141" s="37">
        <v>5</v>
      </c>
      <c r="J1141" s="37">
        <v>4</v>
      </c>
      <c r="K1141" s="37">
        <v>4</v>
      </c>
      <c r="L1141" s="37">
        <v>4</v>
      </c>
      <c r="M1141" s="37">
        <v>4</v>
      </c>
      <c r="N1141" s="37">
        <v>4</v>
      </c>
      <c r="O1141" s="37">
        <v>4</v>
      </c>
      <c r="P1141" s="37">
        <v>4</v>
      </c>
      <c r="Q1141" s="37">
        <v>4</v>
      </c>
      <c r="R1141" s="37">
        <v>4</v>
      </c>
      <c r="S1141" s="37">
        <v>4</v>
      </c>
      <c r="T1141" s="37">
        <v>4</v>
      </c>
      <c r="U1141" s="37">
        <v>5</v>
      </c>
      <c r="V1141" s="37">
        <v>5</v>
      </c>
      <c r="W1141" s="37">
        <v>5</v>
      </c>
      <c r="X1141" s="37">
        <v>5</v>
      </c>
      <c r="Z1141" s="37">
        <v>6</v>
      </c>
      <c r="AA1141" s="37">
        <v>6</v>
      </c>
      <c r="AB1141" s="37">
        <v>6</v>
      </c>
      <c r="AC1141" s="37">
        <v>6</v>
      </c>
      <c r="AD1141" s="37">
        <v>6</v>
      </c>
      <c r="AE1141" s="37">
        <v>6</v>
      </c>
      <c r="AF1141" s="37">
        <v>6</v>
      </c>
      <c r="AG1141" s="37">
        <v>4</v>
      </c>
      <c r="AH1141" s="37">
        <v>4</v>
      </c>
      <c r="AI1141" s="37">
        <v>4</v>
      </c>
      <c r="AJ1141" s="37">
        <v>4</v>
      </c>
      <c r="AK1141" s="37">
        <v>4</v>
      </c>
      <c r="AL1141" s="37">
        <v>4</v>
      </c>
      <c r="AM1141" s="37">
        <v>5</v>
      </c>
      <c r="AN1141" s="37">
        <v>5</v>
      </c>
      <c r="AO1141" s="37">
        <v>5</v>
      </c>
      <c r="AP1141" s="37">
        <v>5</v>
      </c>
      <c r="AQ1141" s="37">
        <v>5</v>
      </c>
      <c r="AR1141" s="37">
        <v>5</v>
      </c>
      <c r="AS1141" s="37">
        <v>5</v>
      </c>
      <c r="AT1141" s="37">
        <v>5</v>
      </c>
    </row>
    <row r="1142" spans="3:46" s="37" customFormat="1" x14ac:dyDescent="0.25"/>
    <row r="1143" spans="3:46" s="37" customFormat="1" x14ac:dyDescent="0.25">
      <c r="C1143" s="37" t="s">
        <v>20</v>
      </c>
      <c r="D1143" s="37">
        <v>6</v>
      </c>
      <c r="E1143" s="37">
        <v>6</v>
      </c>
      <c r="F1143" s="37">
        <v>6</v>
      </c>
      <c r="G1143" s="37">
        <v>6</v>
      </c>
      <c r="H1143" s="37">
        <v>6</v>
      </c>
      <c r="I1143" s="37">
        <v>5</v>
      </c>
      <c r="J1143" s="37">
        <v>5</v>
      </c>
      <c r="K1143" s="37">
        <v>2</v>
      </c>
      <c r="L1143" s="37">
        <v>2</v>
      </c>
      <c r="M1143" s="37">
        <v>2</v>
      </c>
      <c r="N1143" s="37">
        <v>2</v>
      </c>
      <c r="O1143" s="37">
        <v>2</v>
      </c>
      <c r="P1143" s="37">
        <v>2</v>
      </c>
      <c r="Q1143" s="37">
        <v>4</v>
      </c>
      <c r="R1143" s="37">
        <v>4</v>
      </c>
      <c r="S1143" s="37">
        <v>5</v>
      </c>
      <c r="T1143" s="37">
        <v>5</v>
      </c>
      <c r="U1143" s="37">
        <v>6</v>
      </c>
      <c r="V1143" s="37">
        <v>6</v>
      </c>
      <c r="W1143" s="37">
        <v>6</v>
      </c>
      <c r="X1143" s="37">
        <v>6</v>
      </c>
      <c r="Z1143" s="37">
        <v>6</v>
      </c>
      <c r="AA1143" s="37">
        <v>6</v>
      </c>
      <c r="AB1143" s="37">
        <v>6</v>
      </c>
      <c r="AC1143" s="37">
        <v>6</v>
      </c>
      <c r="AD1143" s="37">
        <v>6</v>
      </c>
      <c r="AE1143" s="37">
        <v>6</v>
      </c>
      <c r="AF1143" s="37">
        <v>6</v>
      </c>
      <c r="AG1143" s="37">
        <v>2</v>
      </c>
      <c r="AH1143" s="37">
        <v>2</v>
      </c>
      <c r="AI1143" s="37">
        <v>2</v>
      </c>
      <c r="AJ1143" s="37">
        <v>2</v>
      </c>
      <c r="AK1143" s="37">
        <v>2</v>
      </c>
      <c r="AL1143" s="37">
        <v>2</v>
      </c>
      <c r="AM1143" s="37">
        <v>6</v>
      </c>
      <c r="AN1143" s="37">
        <v>6</v>
      </c>
      <c r="AO1143" s="37">
        <v>6</v>
      </c>
      <c r="AP1143" s="37">
        <v>6</v>
      </c>
      <c r="AQ1143" s="37">
        <v>6</v>
      </c>
      <c r="AR1143" s="37">
        <v>6</v>
      </c>
      <c r="AS1143" s="37">
        <v>6</v>
      </c>
      <c r="AT1143" s="37">
        <v>6</v>
      </c>
    </row>
    <row r="1144" spans="3:46" s="37" customFormat="1" x14ac:dyDescent="0.25"/>
    <row r="1145" spans="3:46" s="37" customFormat="1" x14ac:dyDescent="0.25">
      <c r="C1145" s="37" t="s">
        <v>21</v>
      </c>
      <c r="D1145" s="37">
        <v>6</v>
      </c>
      <c r="E1145" s="37">
        <v>6</v>
      </c>
      <c r="F1145" s="37">
        <v>6</v>
      </c>
      <c r="G1145" s="37">
        <v>6</v>
      </c>
      <c r="H1145" s="37">
        <v>5</v>
      </c>
      <c r="I1145" s="37">
        <v>5</v>
      </c>
      <c r="J1145" s="37">
        <v>4</v>
      </c>
      <c r="K1145" s="37">
        <v>4</v>
      </c>
      <c r="L1145" s="37">
        <v>4</v>
      </c>
      <c r="M1145" s="37">
        <v>4</v>
      </c>
      <c r="N1145" s="37">
        <v>4</v>
      </c>
      <c r="O1145" s="37">
        <v>4</v>
      </c>
      <c r="P1145" s="37">
        <v>4</v>
      </c>
      <c r="Q1145" s="37">
        <v>4</v>
      </c>
      <c r="R1145" s="37">
        <v>4</v>
      </c>
      <c r="S1145" s="37">
        <v>4</v>
      </c>
      <c r="T1145" s="37">
        <v>5</v>
      </c>
      <c r="U1145" s="37">
        <v>5</v>
      </c>
      <c r="V1145" s="37">
        <v>6</v>
      </c>
      <c r="W1145" s="37">
        <v>6</v>
      </c>
      <c r="X1145" s="37">
        <v>6</v>
      </c>
      <c r="Z1145" s="37">
        <v>6</v>
      </c>
      <c r="AA1145" s="37">
        <v>6</v>
      </c>
      <c r="AB1145" s="37">
        <v>6</v>
      </c>
      <c r="AC1145" s="37">
        <v>6</v>
      </c>
      <c r="AD1145" s="37">
        <v>6</v>
      </c>
      <c r="AE1145" s="37">
        <v>6</v>
      </c>
      <c r="AF1145" s="37">
        <v>6</v>
      </c>
      <c r="AG1145" s="37">
        <v>4</v>
      </c>
      <c r="AH1145" s="37">
        <v>4</v>
      </c>
      <c r="AI1145" s="37">
        <v>4</v>
      </c>
      <c r="AJ1145" s="37">
        <v>4</v>
      </c>
      <c r="AK1145" s="37">
        <v>4</v>
      </c>
      <c r="AL1145" s="37">
        <v>4</v>
      </c>
      <c r="AM1145" s="37">
        <v>6</v>
      </c>
      <c r="AN1145" s="37">
        <v>6</v>
      </c>
      <c r="AO1145" s="37">
        <v>6</v>
      </c>
      <c r="AP1145" s="37">
        <v>6</v>
      </c>
      <c r="AQ1145" s="37">
        <v>6</v>
      </c>
      <c r="AR1145" s="37">
        <v>6</v>
      </c>
      <c r="AS1145" s="37">
        <v>6</v>
      </c>
      <c r="AT1145" s="37">
        <v>6</v>
      </c>
    </row>
    <row r="1146" spans="3:46" s="37" customFormat="1" x14ac:dyDescent="0.25"/>
    <row r="1147" spans="3:46" s="37" customFormat="1" x14ac:dyDescent="0.25">
      <c r="C1147" s="37" t="s">
        <v>20</v>
      </c>
      <c r="D1147" s="37">
        <v>8</v>
      </c>
      <c r="E1147" s="37">
        <v>8</v>
      </c>
      <c r="F1147" s="37">
        <v>8</v>
      </c>
      <c r="G1147" s="37">
        <v>8</v>
      </c>
      <c r="H1147" s="37">
        <v>8</v>
      </c>
      <c r="I1147" s="37">
        <v>8</v>
      </c>
      <c r="J1147" s="37">
        <v>7</v>
      </c>
      <c r="K1147" s="37">
        <v>3</v>
      </c>
      <c r="L1147" s="37">
        <v>3</v>
      </c>
      <c r="M1147" s="37">
        <v>3</v>
      </c>
      <c r="N1147" s="37">
        <v>3</v>
      </c>
      <c r="O1147" s="37">
        <v>3</v>
      </c>
      <c r="P1147" s="37">
        <v>3</v>
      </c>
      <c r="Q1147" s="37">
        <v>4</v>
      </c>
      <c r="R1147" s="37">
        <v>5</v>
      </c>
      <c r="S1147" s="37">
        <v>5</v>
      </c>
      <c r="T1147" s="37">
        <v>6</v>
      </c>
      <c r="U1147" s="37">
        <v>6</v>
      </c>
      <c r="V1147" s="37">
        <v>6</v>
      </c>
      <c r="W1147" s="37">
        <v>6</v>
      </c>
      <c r="X1147" s="37">
        <v>6</v>
      </c>
      <c r="Z1147" s="37">
        <v>8</v>
      </c>
      <c r="AA1147" s="37">
        <v>8</v>
      </c>
      <c r="AB1147" s="37">
        <v>8</v>
      </c>
      <c r="AC1147" s="37">
        <v>8</v>
      </c>
      <c r="AD1147" s="37">
        <v>8</v>
      </c>
      <c r="AE1147" s="37">
        <v>8</v>
      </c>
      <c r="AF1147" s="37">
        <v>8</v>
      </c>
      <c r="AG1147" s="37">
        <v>3</v>
      </c>
      <c r="AH1147" s="37">
        <v>3</v>
      </c>
      <c r="AI1147" s="37">
        <v>3</v>
      </c>
      <c r="AJ1147" s="37">
        <v>3</v>
      </c>
      <c r="AK1147" s="37">
        <v>3</v>
      </c>
      <c r="AL1147" s="37">
        <v>3</v>
      </c>
      <c r="AM1147" s="37">
        <v>6</v>
      </c>
      <c r="AN1147" s="37">
        <v>6</v>
      </c>
      <c r="AO1147" s="37">
        <v>6</v>
      </c>
      <c r="AP1147" s="37">
        <v>6</v>
      </c>
      <c r="AQ1147" s="37">
        <v>6</v>
      </c>
      <c r="AR1147" s="37">
        <v>6</v>
      </c>
      <c r="AS1147" s="37">
        <v>6</v>
      </c>
      <c r="AT1147" s="37">
        <v>6</v>
      </c>
    </row>
    <row r="1148" spans="3:46" s="37" customFormat="1" x14ac:dyDescent="0.25"/>
    <row r="1149" spans="3:46" s="37" customFormat="1" x14ac:dyDescent="0.25">
      <c r="C1149" s="37" t="s">
        <v>21</v>
      </c>
      <c r="D1149" s="37">
        <v>4</v>
      </c>
      <c r="E1149" s="37">
        <v>4</v>
      </c>
      <c r="F1149" s="37">
        <v>4</v>
      </c>
      <c r="G1149" s="37">
        <v>4</v>
      </c>
      <c r="H1149" s="37">
        <v>4</v>
      </c>
      <c r="I1149" s="37">
        <v>5</v>
      </c>
      <c r="J1149" s="37">
        <v>5</v>
      </c>
      <c r="K1149" s="37">
        <v>5</v>
      </c>
      <c r="L1149" s="37">
        <v>5</v>
      </c>
      <c r="M1149" s="37">
        <v>5</v>
      </c>
      <c r="N1149" s="37">
        <v>5</v>
      </c>
      <c r="O1149" s="37">
        <v>5</v>
      </c>
      <c r="P1149" s="37">
        <v>5</v>
      </c>
      <c r="Q1149" s="37">
        <v>5</v>
      </c>
      <c r="R1149" s="37">
        <v>5</v>
      </c>
      <c r="S1149" s="37">
        <v>5</v>
      </c>
      <c r="T1149" s="37">
        <v>5</v>
      </c>
      <c r="U1149" s="37">
        <v>5</v>
      </c>
      <c r="V1149" s="37">
        <v>5</v>
      </c>
      <c r="W1149" s="37">
        <v>5</v>
      </c>
      <c r="X1149" s="37">
        <v>5</v>
      </c>
      <c r="Z1149" s="37">
        <v>4</v>
      </c>
      <c r="AA1149" s="37">
        <v>4</v>
      </c>
      <c r="AB1149" s="37">
        <v>4</v>
      </c>
      <c r="AC1149" s="37">
        <v>4</v>
      </c>
      <c r="AD1149" s="37">
        <v>5</v>
      </c>
      <c r="AE1149" s="37">
        <v>5</v>
      </c>
      <c r="AF1149" s="37">
        <v>5</v>
      </c>
      <c r="AG1149" s="37">
        <v>5</v>
      </c>
      <c r="AH1149" s="37">
        <v>5</v>
      </c>
      <c r="AI1149" s="37">
        <v>5</v>
      </c>
      <c r="AJ1149" s="37">
        <v>5</v>
      </c>
      <c r="AK1149" s="37">
        <v>5</v>
      </c>
      <c r="AL1149" s="37">
        <v>5</v>
      </c>
      <c r="AM1149" s="37">
        <v>5</v>
      </c>
      <c r="AN1149" s="37">
        <v>5</v>
      </c>
      <c r="AO1149" s="37">
        <v>5</v>
      </c>
      <c r="AP1149" s="37">
        <v>5</v>
      </c>
      <c r="AQ1149" s="37">
        <v>5</v>
      </c>
      <c r="AR1149" s="37">
        <v>5</v>
      </c>
      <c r="AS1149" s="37">
        <v>5</v>
      </c>
      <c r="AT1149" s="37">
        <v>5</v>
      </c>
    </row>
    <row r="1150" spans="3:46" s="37" customFormat="1" x14ac:dyDescent="0.25"/>
    <row r="1151" spans="3:46" s="37" customFormat="1" x14ac:dyDescent="0.25">
      <c r="C1151" s="37" t="s">
        <v>20</v>
      </c>
      <c r="D1151" s="37">
        <v>4</v>
      </c>
      <c r="E1151" s="37">
        <v>4</v>
      </c>
      <c r="F1151" s="37">
        <v>4</v>
      </c>
      <c r="G1151" s="37">
        <v>4</v>
      </c>
      <c r="H1151" s="37">
        <v>4</v>
      </c>
      <c r="I1151" s="37">
        <v>4</v>
      </c>
      <c r="J1151" s="37">
        <v>3</v>
      </c>
      <c r="K1151" s="37">
        <v>3</v>
      </c>
      <c r="L1151" s="37">
        <v>3</v>
      </c>
      <c r="M1151" s="37">
        <v>2</v>
      </c>
      <c r="N1151" s="37">
        <v>2</v>
      </c>
      <c r="O1151" s="37">
        <v>2</v>
      </c>
      <c r="P1151" s="37">
        <v>2</v>
      </c>
      <c r="Q1151" s="37">
        <v>3</v>
      </c>
      <c r="R1151" s="37">
        <v>3</v>
      </c>
      <c r="S1151" s="37">
        <v>3</v>
      </c>
      <c r="T1151" s="37">
        <v>4</v>
      </c>
      <c r="U1151" s="37">
        <v>4</v>
      </c>
      <c r="V1151" s="37">
        <v>4</v>
      </c>
      <c r="W1151" s="37">
        <v>4</v>
      </c>
      <c r="X1151" s="37">
        <v>4</v>
      </c>
      <c r="Z1151" s="37">
        <v>4</v>
      </c>
      <c r="AA1151" s="37">
        <v>4</v>
      </c>
      <c r="AB1151" s="37">
        <v>4</v>
      </c>
      <c r="AC1151" s="37">
        <v>4</v>
      </c>
      <c r="AD1151" s="37">
        <v>4</v>
      </c>
      <c r="AE1151" s="37">
        <v>4</v>
      </c>
      <c r="AF1151" s="37">
        <v>4</v>
      </c>
      <c r="AG1151" s="37">
        <v>4</v>
      </c>
      <c r="AH1151" s="37">
        <v>4</v>
      </c>
      <c r="AI1151" s="37">
        <v>4</v>
      </c>
      <c r="AJ1151" s="37">
        <v>4</v>
      </c>
      <c r="AK1151" s="37">
        <v>4</v>
      </c>
      <c r="AL1151" s="37">
        <v>4</v>
      </c>
      <c r="AM1151" s="37">
        <v>4</v>
      </c>
      <c r="AN1151" s="37">
        <v>4</v>
      </c>
      <c r="AO1151" s="37">
        <v>4</v>
      </c>
      <c r="AP1151" s="37">
        <v>4</v>
      </c>
      <c r="AQ1151" s="37">
        <v>4</v>
      </c>
      <c r="AR1151" s="37">
        <v>4</v>
      </c>
      <c r="AS1151" s="37">
        <v>4</v>
      </c>
      <c r="AT1151" s="37">
        <v>4</v>
      </c>
    </row>
    <row r="1152" spans="3:46" s="37" customFormat="1" x14ac:dyDescent="0.25"/>
    <row r="1153" spans="3:46" s="37" customFormat="1" x14ac:dyDescent="0.25">
      <c r="C1153" s="37" t="s">
        <v>21</v>
      </c>
      <c r="D1153" s="37">
        <v>4</v>
      </c>
      <c r="E1153" s="37">
        <v>4</v>
      </c>
      <c r="F1153" s="37">
        <v>4</v>
      </c>
      <c r="G1153" s="37">
        <v>4</v>
      </c>
      <c r="H1153" s="37">
        <v>4</v>
      </c>
      <c r="I1153" s="37">
        <v>4</v>
      </c>
      <c r="J1153" s="37">
        <v>4</v>
      </c>
      <c r="K1153" s="37">
        <v>4</v>
      </c>
      <c r="L1153" s="37">
        <v>4</v>
      </c>
      <c r="M1153" s="37">
        <v>4</v>
      </c>
      <c r="N1153" s="37">
        <v>4</v>
      </c>
      <c r="O1153" s="37">
        <v>4</v>
      </c>
      <c r="P1153" s="37">
        <v>4</v>
      </c>
      <c r="Q1153" s="37">
        <v>4</v>
      </c>
      <c r="R1153" s="37">
        <v>4</v>
      </c>
      <c r="S1153" s="37">
        <v>4</v>
      </c>
      <c r="T1153" s="37">
        <v>4</v>
      </c>
      <c r="U1153" s="37">
        <v>4</v>
      </c>
      <c r="V1153" s="37">
        <v>4</v>
      </c>
      <c r="W1153" s="37">
        <v>4</v>
      </c>
      <c r="X1153" s="37">
        <v>4</v>
      </c>
      <c r="Z1153" s="37">
        <v>4</v>
      </c>
      <c r="AA1153" s="37">
        <v>4</v>
      </c>
      <c r="AB1153" s="37">
        <v>4</v>
      </c>
      <c r="AC1153" s="37">
        <v>4</v>
      </c>
      <c r="AD1153" s="37">
        <v>4</v>
      </c>
      <c r="AE1153" s="37">
        <v>4</v>
      </c>
      <c r="AF1153" s="37">
        <v>4</v>
      </c>
      <c r="AG1153" s="37">
        <v>4</v>
      </c>
      <c r="AH1153" s="37">
        <v>4</v>
      </c>
      <c r="AI1153" s="37">
        <v>4</v>
      </c>
      <c r="AJ1153" s="37">
        <v>4</v>
      </c>
      <c r="AK1153" s="37">
        <v>4</v>
      </c>
      <c r="AL1153" s="37">
        <v>4</v>
      </c>
      <c r="AM1153" s="37">
        <v>4</v>
      </c>
      <c r="AN1153" s="37">
        <v>4</v>
      </c>
      <c r="AO1153" s="37">
        <v>4</v>
      </c>
      <c r="AP1153" s="37">
        <v>4</v>
      </c>
      <c r="AQ1153" s="37">
        <v>4</v>
      </c>
      <c r="AR1153" s="37">
        <v>4</v>
      </c>
      <c r="AS1153" s="37">
        <v>4</v>
      </c>
      <c r="AT1153" s="37">
        <v>4</v>
      </c>
    </row>
    <row r="1154" spans="3:46" s="37" customFormat="1" x14ac:dyDescent="0.25"/>
    <row r="1155" spans="3:46" s="37" customFormat="1" x14ac:dyDescent="0.25">
      <c r="C1155" s="37" t="s">
        <v>20</v>
      </c>
      <c r="D1155" s="37">
        <v>5</v>
      </c>
      <c r="E1155" s="37">
        <v>5</v>
      </c>
      <c r="F1155" s="37">
        <v>5</v>
      </c>
      <c r="G1155" s="37">
        <v>5</v>
      </c>
      <c r="H1155" s="37">
        <v>5</v>
      </c>
      <c r="I1155" s="37">
        <v>5</v>
      </c>
      <c r="J1155" s="37">
        <v>5</v>
      </c>
      <c r="K1155" s="37">
        <v>3</v>
      </c>
      <c r="L1155" s="37">
        <v>3</v>
      </c>
      <c r="M1155" s="37">
        <v>3</v>
      </c>
      <c r="N1155" s="37">
        <v>3</v>
      </c>
      <c r="O1155" s="37">
        <v>2</v>
      </c>
      <c r="P1155" s="37">
        <v>2</v>
      </c>
      <c r="Q1155" s="37">
        <v>3</v>
      </c>
      <c r="R1155" s="37">
        <v>3</v>
      </c>
      <c r="S1155" s="37">
        <v>3</v>
      </c>
      <c r="T1155" s="37">
        <v>4</v>
      </c>
      <c r="U1155" s="37">
        <v>4</v>
      </c>
      <c r="V1155" s="37">
        <v>4</v>
      </c>
      <c r="W1155" s="37">
        <v>4</v>
      </c>
      <c r="X1155" s="37">
        <v>4</v>
      </c>
      <c r="Z1155" s="37">
        <v>5</v>
      </c>
      <c r="AA1155" s="37">
        <v>5</v>
      </c>
      <c r="AB1155" s="37">
        <v>5</v>
      </c>
      <c r="AC1155" s="37">
        <v>5</v>
      </c>
      <c r="AD1155" s="37">
        <v>5</v>
      </c>
      <c r="AE1155" s="37">
        <v>5</v>
      </c>
      <c r="AF1155" s="37">
        <v>5</v>
      </c>
      <c r="AG1155" s="37">
        <v>3</v>
      </c>
      <c r="AH1155" s="37">
        <v>3</v>
      </c>
      <c r="AI1155" s="37">
        <v>3</v>
      </c>
      <c r="AJ1155" s="37">
        <v>3</v>
      </c>
      <c r="AK1155" s="37">
        <v>3</v>
      </c>
      <c r="AL1155" s="37">
        <v>3</v>
      </c>
      <c r="AM1155" s="37">
        <v>4</v>
      </c>
      <c r="AN1155" s="37">
        <v>4</v>
      </c>
      <c r="AO1155" s="37">
        <v>4</v>
      </c>
      <c r="AP1155" s="37">
        <v>4</v>
      </c>
      <c r="AQ1155" s="37">
        <v>4</v>
      </c>
      <c r="AR1155" s="37">
        <v>4</v>
      </c>
      <c r="AS1155" s="37">
        <v>4</v>
      </c>
      <c r="AT1155" s="37">
        <v>4</v>
      </c>
    </row>
    <row r="1156" spans="3:46" s="37" customFormat="1" x14ac:dyDescent="0.25"/>
    <row r="1157" spans="3:46" s="37" customFormat="1" x14ac:dyDescent="0.25">
      <c r="C1157" s="37" t="s">
        <v>21</v>
      </c>
      <c r="D1157" s="37">
        <v>3</v>
      </c>
      <c r="E1157" s="37">
        <v>3</v>
      </c>
      <c r="F1157" s="37">
        <v>3</v>
      </c>
      <c r="G1157" s="37">
        <v>3</v>
      </c>
      <c r="H1157" s="37">
        <v>3</v>
      </c>
      <c r="I1157" s="37">
        <v>3</v>
      </c>
      <c r="J1157" s="37">
        <v>3</v>
      </c>
      <c r="K1157" s="37">
        <v>3</v>
      </c>
      <c r="L1157" s="37">
        <v>3</v>
      </c>
      <c r="M1157" s="37">
        <v>3</v>
      </c>
      <c r="N1157" s="37">
        <v>3</v>
      </c>
      <c r="O1157" s="37">
        <v>3</v>
      </c>
      <c r="P1157" s="37">
        <v>3</v>
      </c>
      <c r="Q1157" s="37">
        <v>3</v>
      </c>
      <c r="R1157" s="37">
        <v>3</v>
      </c>
      <c r="S1157" s="37">
        <v>3</v>
      </c>
      <c r="T1157" s="37">
        <v>3</v>
      </c>
      <c r="U1157" s="37">
        <v>3</v>
      </c>
      <c r="V1157" s="37">
        <v>3</v>
      </c>
      <c r="W1157" s="37">
        <v>3</v>
      </c>
      <c r="X1157" s="37">
        <v>3</v>
      </c>
      <c r="Z1157" s="37">
        <v>3</v>
      </c>
      <c r="AA1157" s="37">
        <v>3</v>
      </c>
      <c r="AB1157" s="37">
        <v>3</v>
      </c>
      <c r="AC1157" s="37">
        <v>3</v>
      </c>
      <c r="AD1157" s="37">
        <v>3</v>
      </c>
      <c r="AE1157" s="37">
        <v>3</v>
      </c>
      <c r="AF1157" s="37">
        <v>3</v>
      </c>
      <c r="AG1157" s="37">
        <v>3</v>
      </c>
      <c r="AH1157" s="37">
        <v>3</v>
      </c>
      <c r="AI1157" s="37">
        <v>3</v>
      </c>
      <c r="AJ1157" s="37">
        <v>3</v>
      </c>
      <c r="AK1157" s="37">
        <v>3</v>
      </c>
      <c r="AL1157" s="37">
        <v>3</v>
      </c>
      <c r="AM1157" s="37">
        <v>3</v>
      </c>
      <c r="AN1157" s="37">
        <v>3</v>
      </c>
      <c r="AO1157" s="37">
        <v>3</v>
      </c>
      <c r="AP1157" s="37">
        <v>3</v>
      </c>
      <c r="AQ1157" s="37">
        <v>3</v>
      </c>
      <c r="AR1157" s="37">
        <v>3</v>
      </c>
      <c r="AS1157" s="37">
        <v>3</v>
      </c>
      <c r="AT1157" s="37">
        <v>3</v>
      </c>
    </row>
    <row r="1158" spans="3:46" s="37" customFormat="1" x14ac:dyDescent="0.25"/>
    <row r="1159" spans="3:46" s="37" customFormat="1" x14ac:dyDescent="0.25">
      <c r="C1159" s="37" t="s">
        <v>20</v>
      </c>
      <c r="D1159" s="37">
        <v>7</v>
      </c>
      <c r="E1159" s="37">
        <v>7</v>
      </c>
      <c r="F1159" s="37">
        <v>7</v>
      </c>
      <c r="G1159" s="37">
        <v>7</v>
      </c>
      <c r="H1159" s="37">
        <v>7</v>
      </c>
      <c r="I1159" s="37">
        <v>6</v>
      </c>
      <c r="J1159" s="37">
        <v>6</v>
      </c>
      <c r="K1159" s="37">
        <v>3</v>
      </c>
      <c r="L1159" s="37">
        <v>3</v>
      </c>
      <c r="M1159" s="37">
        <v>3</v>
      </c>
      <c r="N1159" s="37">
        <v>3</v>
      </c>
      <c r="O1159" s="37">
        <v>2</v>
      </c>
      <c r="P1159" s="37">
        <v>3</v>
      </c>
      <c r="Q1159" s="37">
        <v>3</v>
      </c>
      <c r="R1159" s="37">
        <v>4</v>
      </c>
      <c r="S1159" s="37">
        <v>4</v>
      </c>
      <c r="T1159" s="37">
        <v>5</v>
      </c>
      <c r="U1159" s="37">
        <v>5</v>
      </c>
      <c r="V1159" s="37">
        <v>5</v>
      </c>
      <c r="W1159" s="37">
        <v>5</v>
      </c>
      <c r="X1159" s="37">
        <v>5</v>
      </c>
      <c r="Z1159" s="37">
        <v>7</v>
      </c>
      <c r="AA1159" s="37">
        <v>7</v>
      </c>
      <c r="AB1159" s="37">
        <v>7</v>
      </c>
      <c r="AC1159" s="37">
        <v>7</v>
      </c>
      <c r="AD1159" s="37">
        <v>7</v>
      </c>
      <c r="AE1159" s="37">
        <v>7</v>
      </c>
      <c r="AF1159" s="37">
        <v>7</v>
      </c>
      <c r="AG1159" s="37">
        <v>3</v>
      </c>
      <c r="AH1159" s="37">
        <v>3</v>
      </c>
      <c r="AI1159" s="37">
        <v>3</v>
      </c>
      <c r="AJ1159" s="37">
        <v>3</v>
      </c>
      <c r="AK1159" s="37">
        <v>3</v>
      </c>
      <c r="AL1159" s="37">
        <v>3</v>
      </c>
      <c r="AM1159" s="37">
        <v>5</v>
      </c>
      <c r="AN1159" s="37">
        <v>5</v>
      </c>
      <c r="AO1159" s="37">
        <v>5</v>
      </c>
      <c r="AP1159" s="37">
        <v>5</v>
      </c>
      <c r="AQ1159" s="37">
        <v>5</v>
      </c>
      <c r="AR1159" s="37">
        <v>5</v>
      </c>
      <c r="AS1159" s="37">
        <v>5</v>
      </c>
      <c r="AT1159" s="37">
        <v>5</v>
      </c>
    </row>
    <row r="1160" spans="3:46" s="37" customFormat="1" x14ac:dyDescent="0.25"/>
    <row r="1161" spans="3:46" s="37" customFormat="1" x14ac:dyDescent="0.25">
      <c r="C1161" s="37" t="s">
        <v>21</v>
      </c>
      <c r="D1161" s="37">
        <v>4</v>
      </c>
      <c r="E1161" s="37">
        <v>4</v>
      </c>
      <c r="F1161" s="37">
        <v>4</v>
      </c>
      <c r="G1161" s="37">
        <v>4</v>
      </c>
      <c r="H1161" s="37">
        <v>4</v>
      </c>
      <c r="I1161" s="37">
        <v>4</v>
      </c>
      <c r="J1161" s="37">
        <v>4</v>
      </c>
      <c r="K1161" s="37">
        <v>4</v>
      </c>
      <c r="L1161" s="37">
        <v>4</v>
      </c>
      <c r="M1161" s="37">
        <v>4</v>
      </c>
      <c r="N1161" s="37">
        <v>4</v>
      </c>
      <c r="O1161" s="37">
        <v>4</v>
      </c>
      <c r="P1161" s="37">
        <v>4</v>
      </c>
      <c r="Q1161" s="37">
        <v>4</v>
      </c>
      <c r="R1161" s="37">
        <v>4</v>
      </c>
      <c r="S1161" s="37">
        <v>4</v>
      </c>
      <c r="T1161" s="37">
        <v>4</v>
      </c>
      <c r="U1161" s="37">
        <v>4</v>
      </c>
      <c r="V1161" s="37">
        <v>4</v>
      </c>
      <c r="W1161" s="37">
        <v>4</v>
      </c>
      <c r="X1161" s="37">
        <v>4</v>
      </c>
      <c r="Z1161" s="37">
        <v>4</v>
      </c>
      <c r="AA1161" s="37">
        <v>4</v>
      </c>
      <c r="AB1161" s="37">
        <v>4</v>
      </c>
      <c r="AC1161" s="37">
        <v>4</v>
      </c>
      <c r="AD1161" s="37">
        <v>4</v>
      </c>
      <c r="AE1161" s="37">
        <v>4</v>
      </c>
      <c r="AF1161" s="37">
        <v>4</v>
      </c>
      <c r="AG1161" s="37">
        <v>4</v>
      </c>
      <c r="AH1161" s="37">
        <v>4</v>
      </c>
      <c r="AI1161" s="37">
        <v>4</v>
      </c>
      <c r="AJ1161" s="37">
        <v>4</v>
      </c>
      <c r="AK1161" s="37">
        <v>4</v>
      </c>
      <c r="AL1161" s="37">
        <v>4</v>
      </c>
      <c r="AM1161" s="37">
        <v>4</v>
      </c>
      <c r="AN1161" s="37">
        <v>4</v>
      </c>
      <c r="AO1161" s="37">
        <v>4</v>
      </c>
      <c r="AP1161" s="37">
        <v>4</v>
      </c>
      <c r="AQ1161" s="37">
        <v>4</v>
      </c>
      <c r="AR1161" s="37">
        <v>4</v>
      </c>
      <c r="AS1161" s="37">
        <v>4</v>
      </c>
      <c r="AT1161" s="37">
        <v>4</v>
      </c>
    </row>
    <row r="1162" spans="3:46" s="37" customFormat="1" x14ac:dyDescent="0.25"/>
    <row r="1163" spans="3:46" s="37" customFormat="1" x14ac:dyDescent="0.25">
      <c r="C1163" s="37" t="s">
        <v>20</v>
      </c>
      <c r="D1163" s="37">
        <v>4</v>
      </c>
      <c r="E1163" s="37">
        <v>4</v>
      </c>
      <c r="F1163" s="37">
        <v>4</v>
      </c>
      <c r="G1163" s="37">
        <v>4</v>
      </c>
      <c r="H1163" s="37">
        <v>4</v>
      </c>
      <c r="I1163" s="37">
        <v>4</v>
      </c>
      <c r="J1163" s="37">
        <v>3</v>
      </c>
      <c r="K1163" s="37">
        <v>3</v>
      </c>
      <c r="L1163" s="37">
        <v>3</v>
      </c>
      <c r="M1163" s="37">
        <v>2</v>
      </c>
      <c r="N1163" s="37">
        <v>2</v>
      </c>
      <c r="O1163" s="37">
        <v>2</v>
      </c>
      <c r="P1163" s="37">
        <v>2</v>
      </c>
      <c r="Q1163" s="37">
        <v>3</v>
      </c>
      <c r="R1163" s="37">
        <v>3</v>
      </c>
      <c r="S1163" s="37">
        <v>3</v>
      </c>
      <c r="T1163" s="37">
        <v>4</v>
      </c>
      <c r="U1163" s="37">
        <v>4</v>
      </c>
      <c r="V1163" s="37">
        <v>4</v>
      </c>
      <c r="W1163" s="37">
        <v>4</v>
      </c>
      <c r="X1163" s="37">
        <v>4</v>
      </c>
      <c r="Z1163" s="37">
        <v>4</v>
      </c>
      <c r="AA1163" s="37">
        <v>4</v>
      </c>
      <c r="AB1163" s="37">
        <v>4</v>
      </c>
      <c r="AC1163" s="37">
        <v>4</v>
      </c>
      <c r="AD1163" s="37">
        <v>4</v>
      </c>
      <c r="AE1163" s="37">
        <v>4</v>
      </c>
      <c r="AF1163" s="37">
        <v>4</v>
      </c>
      <c r="AG1163" s="37">
        <v>3</v>
      </c>
      <c r="AH1163" s="37">
        <v>3</v>
      </c>
      <c r="AI1163" s="37">
        <v>3</v>
      </c>
      <c r="AJ1163" s="37">
        <v>3</v>
      </c>
      <c r="AK1163" s="37">
        <v>3</v>
      </c>
      <c r="AL1163" s="37">
        <v>3</v>
      </c>
      <c r="AM1163" s="37">
        <v>4</v>
      </c>
      <c r="AN1163" s="37">
        <v>4</v>
      </c>
      <c r="AO1163" s="37">
        <v>4</v>
      </c>
      <c r="AP1163" s="37">
        <v>4</v>
      </c>
      <c r="AQ1163" s="37">
        <v>4</v>
      </c>
      <c r="AR1163" s="37">
        <v>4</v>
      </c>
      <c r="AS1163" s="37">
        <v>4</v>
      </c>
      <c r="AT1163" s="37">
        <v>4</v>
      </c>
    </row>
    <row r="1164" spans="3:46" s="37" customFormat="1" x14ac:dyDescent="0.25"/>
    <row r="1165" spans="3:46" s="37" customFormat="1" x14ac:dyDescent="0.25">
      <c r="C1165" s="37" t="s">
        <v>21</v>
      </c>
      <c r="D1165" s="37">
        <v>3</v>
      </c>
      <c r="E1165" s="37">
        <v>3</v>
      </c>
      <c r="F1165" s="37">
        <v>3</v>
      </c>
      <c r="G1165" s="37">
        <v>3</v>
      </c>
      <c r="H1165" s="37">
        <v>3</v>
      </c>
      <c r="I1165" s="37">
        <v>3</v>
      </c>
      <c r="J1165" s="37">
        <v>3</v>
      </c>
      <c r="K1165" s="37">
        <v>3</v>
      </c>
      <c r="L1165" s="37">
        <v>3</v>
      </c>
      <c r="M1165" s="37">
        <v>3</v>
      </c>
      <c r="N1165" s="37">
        <v>3</v>
      </c>
      <c r="O1165" s="37">
        <v>3</v>
      </c>
      <c r="P1165" s="37">
        <v>3</v>
      </c>
      <c r="Q1165" s="37">
        <v>3</v>
      </c>
      <c r="R1165" s="37">
        <v>3</v>
      </c>
      <c r="S1165" s="37">
        <v>3</v>
      </c>
      <c r="T1165" s="37">
        <v>3</v>
      </c>
      <c r="U1165" s="37">
        <v>3</v>
      </c>
      <c r="V1165" s="37">
        <v>3</v>
      </c>
      <c r="W1165" s="37">
        <v>3</v>
      </c>
      <c r="X1165" s="37">
        <v>3</v>
      </c>
      <c r="Z1165" s="37">
        <v>3</v>
      </c>
      <c r="AA1165" s="37">
        <v>3</v>
      </c>
      <c r="AB1165" s="37">
        <v>3</v>
      </c>
      <c r="AC1165" s="37">
        <v>3</v>
      </c>
      <c r="AD1165" s="37">
        <v>3</v>
      </c>
      <c r="AE1165" s="37">
        <v>3</v>
      </c>
      <c r="AF1165" s="37">
        <v>3</v>
      </c>
      <c r="AG1165" s="37">
        <v>3</v>
      </c>
      <c r="AH1165" s="37">
        <v>3</v>
      </c>
      <c r="AI1165" s="37">
        <v>3</v>
      </c>
      <c r="AJ1165" s="37">
        <v>3</v>
      </c>
      <c r="AK1165" s="37">
        <v>3</v>
      </c>
      <c r="AL1165" s="37">
        <v>3</v>
      </c>
      <c r="AM1165" s="37">
        <v>3</v>
      </c>
      <c r="AN1165" s="37">
        <v>3</v>
      </c>
      <c r="AO1165" s="37">
        <v>3</v>
      </c>
      <c r="AP1165" s="37">
        <v>3</v>
      </c>
      <c r="AQ1165" s="37">
        <v>3</v>
      </c>
      <c r="AR1165" s="37">
        <v>3</v>
      </c>
      <c r="AS1165" s="37">
        <v>3</v>
      </c>
      <c r="AT1165" s="37">
        <v>3</v>
      </c>
    </row>
    <row r="1166" spans="3:46" s="37" customFormat="1" x14ac:dyDescent="0.25"/>
    <row r="1167" spans="3:46" s="37" customFormat="1" x14ac:dyDescent="0.25">
      <c r="C1167" s="37" t="s">
        <v>20</v>
      </c>
      <c r="D1167" s="37">
        <v>5</v>
      </c>
      <c r="E1167" s="37">
        <v>5</v>
      </c>
      <c r="F1167" s="37">
        <v>5</v>
      </c>
      <c r="G1167" s="37">
        <v>5</v>
      </c>
      <c r="H1167" s="37">
        <v>5</v>
      </c>
      <c r="I1167" s="37">
        <v>5</v>
      </c>
      <c r="J1167" s="37">
        <v>5</v>
      </c>
      <c r="K1167" s="37">
        <v>3</v>
      </c>
      <c r="L1167" s="37">
        <v>3</v>
      </c>
      <c r="M1167" s="37">
        <v>3</v>
      </c>
      <c r="N1167" s="37">
        <v>3</v>
      </c>
      <c r="O1167" s="37">
        <v>3</v>
      </c>
      <c r="P1167" s="37">
        <v>3</v>
      </c>
      <c r="Q1167" s="37">
        <v>6</v>
      </c>
      <c r="R1167" s="37">
        <v>7</v>
      </c>
      <c r="S1167" s="37">
        <v>8</v>
      </c>
      <c r="T1167" s="37">
        <v>9</v>
      </c>
      <c r="U1167" s="37">
        <v>9</v>
      </c>
      <c r="V1167" s="37">
        <v>9</v>
      </c>
      <c r="W1167" s="37">
        <v>9</v>
      </c>
      <c r="X1167" s="37">
        <v>9</v>
      </c>
      <c r="Z1167" s="37">
        <v>5</v>
      </c>
      <c r="AA1167" s="37">
        <v>5</v>
      </c>
      <c r="AB1167" s="37">
        <v>5</v>
      </c>
      <c r="AC1167" s="37">
        <v>5</v>
      </c>
      <c r="AD1167" s="37">
        <v>5</v>
      </c>
      <c r="AE1167" s="37">
        <v>5</v>
      </c>
      <c r="AF1167" s="37">
        <v>5</v>
      </c>
      <c r="AG1167" s="37">
        <v>3</v>
      </c>
      <c r="AH1167" s="37">
        <v>3</v>
      </c>
      <c r="AI1167" s="37">
        <v>3</v>
      </c>
      <c r="AJ1167" s="37">
        <v>3</v>
      </c>
      <c r="AK1167" s="37">
        <v>3</v>
      </c>
      <c r="AL1167" s="37">
        <v>3</v>
      </c>
      <c r="AM1167" s="37">
        <v>9</v>
      </c>
      <c r="AN1167" s="37">
        <v>9</v>
      </c>
      <c r="AO1167" s="37">
        <v>9</v>
      </c>
      <c r="AP1167" s="37">
        <v>9</v>
      </c>
      <c r="AQ1167" s="37">
        <v>9</v>
      </c>
      <c r="AR1167" s="37">
        <v>9</v>
      </c>
      <c r="AS1167" s="37">
        <v>9</v>
      </c>
      <c r="AT1167" s="37">
        <v>9</v>
      </c>
    </row>
    <row r="1168" spans="3:46" s="37" customFormat="1" x14ac:dyDescent="0.25"/>
    <row r="1169" spans="3:46" s="37" customFormat="1" x14ac:dyDescent="0.25">
      <c r="C1169" s="37" t="s">
        <v>21</v>
      </c>
      <c r="D1169" s="37">
        <v>8</v>
      </c>
      <c r="E1169" s="37">
        <v>8</v>
      </c>
      <c r="F1169" s="37">
        <v>8</v>
      </c>
      <c r="G1169" s="37">
        <v>8</v>
      </c>
      <c r="H1169" s="37">
        <v>8</v>
      </c>
      <c r="I1169" s="37">
        <v>8</v>
      </c>
      <c r="J1169" s="37">
        <v>7</v>
      </c>
      <c r="K1169" s="37">
        <v>5</v>
      </c>
      <c r="L1169" s="37">
        <v>5</v>
      </c>
      <c r="M1169" s="37">
        <v>5</v>
      </c>
      <c r="N1169" s="37">
        <v>5</v>
      </c>
      <c r="O1169" s="37">
        <v>5</v>
      </c>
      <c r="P1169" s="37">
        <v>5</v>
      </c>
      <c r="Q1169" s="37">
        <v>5</v>
      </c>
      <c r="R1169" s="37">
        <v>5</v>
      </c>
      <c r="S1169" s="37">
        <v>5</v>
      </c>
      <c r="T1169" s="37">
        <v>5</v>
      </c>
      <c r="U1169" s="37">
        <v>5</v>
      </c>
      <c r="V1169" s="37">
        <v>5</v>
      </c>
      <c r="W1169" s="37">
        <v>5</v>
      </c>
      <c r="X1169" s="37">
        <v>5</v>
      </c>
      <c r="Z1169" s="37">
        <v>8</v>
      </c>
      <c r="AA1169" s="37">
        <v>8</v>
      </c>
      <c r="AB1169" s="37">
        <v>8</v>
      </c>
      <c r="AC1169" s="37">
        <v>8</v>
      </c>
      <c r="AD1169" s="37">
        <v>8</v>
      </c>
      <c r="AE1169" s="37">
        <v>8</v>
      </c>
      <c r="AF1169" s="37">
        <v>8</v>
      </c>
      <c r="AG1169" s="37">
        <v>5</v>
      </c>
      <c r="AH1169" s="37">
        <v>5</v>
      </c>
      <c r="AI1169" s="37">
        <v>5</v>
      </c>
      <c r="AJ1169" s="37">
        <v>5</v>
      </c>
      <c r="AK1169" s="37">
        <v>5</v>
      </c>
      <c r="AL1169" s="37">
        <v>5</v>
      </c>
      <c r="AM1169" s="37">
        <v>5</v>
      </c>
      <c r="AN1169" s="37">
        <v>5</v>
      </c>
      <c r="AO1169" s="37">
        <v>5</v>
      </c>
      <c r="AP1169" s="37">
        <v>5</v>
      </c>
      <c r="AQ1169" s="37">
        <v>5</v>
      </c>
      <c r="AR1169" s="37">
        <v>5</v>
      </c>
      <c r="AS1169" s="37">
        <v>5</v>
      </c>
      <c r="AT1169" s="37">
        <v>5</v>
      </c>
    </row>
    <row r="1170" spans="3:46" s="37" customFormat="1" x14ac:dyDescent="0.25"/>
    <row r="1171" spans="3:46" s="37" customFormat="1" x14ac:dyDescent="0.25">
      <c r="C1171" s="37" t="s">
        <v>20</v>
      </c>
      <c r="D1171" s="37">
        <v>5</v>
      </c>
      <c r="E1171" s="37">
        <v>5</v>
      </c>
      <c r="F1171" s="37">
        <v>5</v>
      </c>
      <c r="G1171" s="37">
        <v>5</v>
      </c>
      <c r="H1171" s="37">
        <v>5</v>
      </c>
      <c r="I1171" s="37">
        <v>5</v>
      </c>
      <c r="J1171" s="37">
        <v>4</v>
      </c>
      <c r="K1171" s="37">
        <v>3</v>
      </c>
      <c r="L1171" s="37">
        <v>3</v>
      </c>
      <c r="M1171" s="37">
        <v>3</v>
      </c>
      <c r="N1171" s="37">
        <v>2</v>
      </c>
      <c r="O1171" s="37">
        <v>2</v>
      </c>
      <c r="P1171" s="37">
        <v>2</v>
      </c>
      <c r="Q1171" s="37">
        <v>3</v>
      </c>
      <c r="R1171" s="37">
        <v>3</v>
      </c>
      <c r="S1171" s="37">
        <v>3</v>
      </c>
      <c r="T1171" s="37">
        <v>4</v>
      </c>
      <c r="U1171" s="37">
        <v>4</v>
      </c>
      <c r="V1171" s="37">
        <v>4</v>
      </c>
      <c r="W1171" s="37">
        <v>4</v>
      </c>
      <c r="X1171" s="37">
        <v>4</v>
      </c>
      <c r="Z1171" s="37">
        <v>5</v>
      </c>
      <c r="AA1171" s="37">
        <v>5</v>
      </c>
      <c r="AB1171" s="37">
        <v>5</v>
      </c>
      <c r="AC1171" s="37">
        <v>5</v>
      </c>
      <c r="AD1171" s="37">
        <v>5</v>
      </c>
      <c r="AE1171" s="37">
        <v>5</v>
      </c>
      <c r="AF1171" s="37">
        <v>5</v>
      </c>
      <c r="AG1171" s="37">
        <v>3</v>
      </c>
      <c r="AH1171" s="37">
        <v>3</v>
      </c>
      <c r="AI1171" s="37">
        <v>3</v>
      </c>
      <c r="AJ1171" s="37">
        <v>3</v>
      </c>
      <c r="AK1171" s="37">
        <v>3</v>
      </c>
      <c r="AL1171" s="37">
        <v>3</v>
      </c>
      <c r="AM1171" s="37">
        <v>4</v>
      </c>
      <c r="AN1171" s="37">
        <v>4</v>
      </c>
      <c r="AO1171" s="37">
        <v>4</v>
      </c>
      <c r="AP1171" s="37">
        <v>4</v>
      </c>
      <c r="AQ1171" s="37">
        <v>4</v>
      </c>
      <c r="AR1171" s="37">
        <v>4</v>
      </c>
      <c r="AS1171" s="37">
        <v>4</v>
      </c>
      <c r="AT1171" s="37">
        <v>4</v>
      </c>
    </row>
    <row r="1172" spans="3:46" s="37" customFormat="1" x14ac:dyDescent="0.25"/>
    <row r="1173" spans="3:46" s="37" customFormat="1" x14ac:dyDescent="0.25">
      <c r="C1173" s="37" t="s">
        <v>21</v>
      </c>
      <c r="D1173" s="37">
        <v>3</v>
      </c>
      <c r="E1173" s="37">
        <v>3</v>
      </c>
      <c r="F1173" s="37">
        <v>3</v>
      </c>
      <c r="G1173" s="37">
        <v>3</v>
      </c>
      <c r="H1173" s="37">
        <v>3</v>
      </c>
      <c r="I1173" s="37">
        <v>3</v>
      </c>
      <c r="J1173" s="37">
        <v>3</v>
      </c>
      <c r="K1173" s="37">
        <v>3</v>
      </c>
      <c r="L1173" s="37">
        <v>3</v>
      </c>
      <c r="M1173" s="37">
        <v>3</v>
      </c>
      <c r="N1173" s="37">
        <v>3</v>
      </c>
      <c r="O1173" s="37">
        <v>3</v>
      </c>
      <c r="P1173" s="37">
        <v>3</v>
      </c>
      <c r="Q1173" s="37">
        <v>3</v>
      </c>
      <c r="R1173" s="37">
        <v>3</v>
      </c>
      <c r="S1173" s="37">
        <v>3</v>
      </c>
      <c r="T1173" s="37">
        <v>3</v>
      </c>
      <c r="U1173" s="37">
        <v>3</v>
      </c>
      <c r="V1173" s="37">
        <v>3</v>
      </c>
      <c r="W1173" s="37">
        <v>3</v>
      </c>
      <c r="X1173" s="37">
        <v>3</v>
      </c>
      <c r="Z1173" s="37">
        <v>3</v>
      </c>
      <c r="AA1173" s="37">
        <v>3</v>
      </c>
      <c r="AB1173" s="37">
        <v>3</v>
      </c>
      <c r="AC1173" s="37">
        <v>3</v>
      </c>
      <c r="AD1173" s="37">
        <v>3</v>
      </c>
      <c r="AE1173" s="37">
        <v>3</v>
      </c>
      <c r="AF1173" s="37">
        <v>3</v>
      </c>
      <c r="AG1173" s="37">
        <v>3</v>
      </c>
      <c r="AH1173" s="37">
        <v>3</v>
      </c>
      <c r="AI1173" s="37">
        <v>3</v>
      </c>
      <c r="AJ1173" s="37">
        <v>3</v>
      </c>
      <c r="AK1173" s="37">
        <v>3</v>
      </c>
      <c r="AL1173" s="37">
        <v>3</v>
      </c>
      <c r="AM1173" s="37">
        <v>3</v>
      </c>
      <c r="AN1173" s="37">
        <v>3</v>
      </c>
      <c r="AO1173" s="37">
        <v>3</v>
      </c>
      <c r="AP1173" s="37">
        <v>3</v>
      </c>
      <c r="AQ1173" s="37">
        <v>3</v>
      </c>
      <c r="AR1173" s="37">
        <v>3</v>
      </c>
      <c r="AS1173" s="37">
        <v>3</v>
      </c>
      <c r="AT1173" s="37">
        <v>3</v>
      </c>
    </row>
    <row r="1174" spans="3:46" s="37" customFormat="1" x14ac:dyDescent="0.25"/>
    <row r="1175" spans="3:46" s="37" customFormat="1" x14ac:dyDescent="0.25">
      <c r="C1175" s="37" t="s">
        <v>20</v>
      </c>
      <c r="D1175" s="37">
        <v>4</v>
      </c>
      <c r="E1175" s="37">
        <v>4</v>
      </c>
      <c r="F1175" s="37">
        <v>4</v>
      </c>
      <c r="G1175" s="37">
        <v>4</v>
      </c>
      <c r="H1175" s="37">
        <v>4</v>
      </c>
      <c r="I1175" s="37">
        <v>4</v>
      </c>
      <c r="J1175" s="37">
        <v>4</v>
      </c>
      <c r="K1175" s="37">
        <v>3</v>
      </c>
      <c r="L1175" s="37">
        <v>3</v>
      </c>
      <c r="M1175" s="37">
        <v>3</v>
      </c>
      <c r="N1175" s="37">
        <v>2</v>
      </c>
      <c r="O1175" s="37">
        <v>3</v>
      </c>
      <c r="P1175" s="37">
        <v>3</v>
      </c>
      <c r="Q1175" s="37">
        <v>4</v>
      </c>
      <c r="R1175" s="37">
        <v>4</v>
      </c>
      <c r="S1175" s="37">
        <v>5</v>
      </c>
      <c r="T1175" s="37">
        <v>5</v>
      </c>
      <c r="U1175" s="37">
        <v>5</v>
      </c>
      <c r="V1175" s="37">
        <v>5</v>
      </c>
      <c r="W1175" s="37">
        <v>5</v>
      </c>
      <c r="X1175" s="37">
        <v>5</v>
      </c>
      <c r="Z1175" s="37">
        <v>4</v>
      </c>
      <c r="AA1175" s="37">
        <v>4</v>
      </c>
      <c r="AB1175" s="37">
        <v>4</v>
      </c>
      <c r="AC1175" s="37">
        <v>4</v>
      </c>
      <c r="AD1175" s="37">
        <v>4</v>
      </c>
      <c r="AE1175" s="37">
        <v>4</v>
      </c>
      <c r="AF1175" s="37">
        <v>4</v>
      </c>
      <c r="AG1175" s="37">
        <v>3</v>
      </c>
      <c r="AH1175" s="37">
        <v>3</v>
      </c>
      <c r="AI1175" s="37">
        <v>3</v>
      </c>
      <c r="AJ1175" s="37">
        <v>3</v>
      </c>
      <c r="AK1175" s="37">
        <v>3</v>
      </c>
      <c r="AL1175" s="37">
        <v>3</v>
      </c>
      <c r="AM1175" s="37">
        <v>5</v>
      </c>
      <c r="AN1175" s="37">
        <v>5</v>
      </c>
      <c r="AO1175" s="37">
        <v>5</v>
      </c>
      <c r="AP1175" s="37">
        <v>5</v>
      </c>
      <c r="AQ1175" s="37">
        <v>5</v>
      </c>
      <c r="AR1175" s="37">
        <v>5</v>
      </c>
      <c r="AS1175" s="37">
        <v>5</v>
      </c>
      <c r="AT1175" s="37">
        <v>5</v>
      </c>
    </row>
    <row r="1176" spans="3:46" s="37" customFormat="1" x14ac:dyDescent="0.25"/>
    <row r="1177" spans="3:46" s="37" customFormat="1" x14ac:dyDescent="0.25">
      <c r="C1177" s="37" t="s">
        <v>21</v>
      </c>
      <c r="D1177" s="37">
        <v>3</v>
      </c>
      <c r="E1177" s="37">
        <v>3</v>
      </c>
      <c r="F1177" s="37">
        <v>3</v>
      </c>
      <c r="G1177" s="37">
        <v>3</v>
      </c>
      <c r="H1177" s="37">
        <v>3</v>
      </c>
      <c r="I1177" s="37">
        <v>3</v>
      </c>
      <c r="J1177" s="37">
        <v>3</v>
      </c>
      <c r="K1177" s="37">
        <v>3</v>
      </c>
      <c r="L1177" s="37">
        <v>3</v>
      </c>
      <c r="M1177" s="37">
        <v>3</v>
      </c>
      <c r="N1177" s="37">
        <v>3</v>
      </c>
      <c r="O1177" s="37">
        <v>3</v>
      </c>
      <c r="P1177" s="37">
        <v>3</v>
      </c>
      <c r="Q1177" s="37">
        <v>3</v>
      </c>
      <c r="R1177" s="37">
        <v>3</v>
      </c>
      <c r="S1177" s="37">
        <v>3</v>
      </c>
      <c r="T1177" s="37">
        <v>3</v>
      </c>
      <c r="U1177" s="37">
        <v>3</v>
      </c>
      <c r="V1177" s="37">
        <v>3</v>
      </c>
      <c r="W1177" s="37">
        <v>3</v>
      </c>
      <c r="X1177" s="37">
        <v>3</v>
      </c>
      <c r="Z1177" s="37">
        <v>3</v>
      </c>
      <c r="AA1177" s="37">
        <v>3</v>
      </c>
      <c r="AB1177" s="37">
        <v>3</v>
      </c>
      <c r="AC1177" s="37">
        <v>3</v>
      </c>
      <c r="AD1177" s="37">
        <v>3</v>
      </c>
      <c r="AE1177" s="37">
        <v>3</v>
      </c>
      <c r="AF1177" s="37">
        <v>3</v>
      </c>
      <c r="AG1177" s="37">
        <v>3</v>
      </c>
      <c r="AH1177" s="37">
        <v>3</v>
      </c>
      <c r="AI1177" s="37">
        <v>3</v>
      </c>
      <c r="AJ1177" s="37">
        <v>3</v>
      </c>
      <c r="AK1177" s="37">
        <v>3</v>
      </c>
      <c r="AL1177" s="37">
        <v>3</v>
      </c>
      <c r="AM1177" s="37">
        <v>3</v>
      </c>
      <c r="AN1177" s="37">
        <v>3</v>
      </c>
      <c r="AO1177" s="37">
        <v>3</v>
      </c>
      <c r="AP1177" s="37">
        <v>3</v>
      </c>
      <c r="AQ1177" s="37">
        <v>3</v>
      </c>
      <c r="AR1177" s="37">
        <v>3</v>
      </c>
      <c r="AS1177" s="37">
        <v>3</v>
      </c>
      <c r="AT1177" s="37">
        <v>3</v>
      </c>
    </row>
    <row r="1178" spans="3:46" s="37" customFormat="1" x14ac:dyDescent="0.25"/>
    <row r="1179" spans="3:46" s="37" customFormat="1" x14ac:dyDescent="0.25">
      <c r="C1179" s="37" t="s">
        <v>20</v>
      </c>
      <c r="D1179" s="37">
        <v>7</v>
      </c>
      <c r="E1179" s="37">
        <v>7</v>
      </c>
      <c r="F1179" s="37">
        <v>7</v>
      </c>
      <c r="G1179" s="37">
        <v>7</v>
      </c>
      <c r="H1179" s="37">
        <v>7</v>
      </c>
      <c r="I1179" s="37">
        <v>6</v>
      </c>
      <c r="J1179" s="37">
        <v>6</v>
      </c>
      <c r="K1179" s="37">
        <v>3</v>
      </c>
      <c r="L1179" s="37">
        <v>3</v>
      </c>
      <c r="M1179" s="37">
        <v>3</v>
      </c>
      <c r="N1179" s="37">
        <v>3</v>
      </c>
      <c r="O1179" s="37">
        <v>3</v>
      </c>
      <c r="P1179" s="37">
        <v>3</v>
      </c>
      <c r="Q1179" s="37">
        <v>5</v>
      </c>
      <c r="R1179" s="37">
        <v>6</v>
      </c>
      <c r="S1179" s="37">
        <v>7</v>
      </c>
      <c r="T1179" s="37">
        <v>8</v>
      </c>
      <c r="U1179" s="37">
        <v>9</v>
      </c>
      <c r="V1179" s="37">
        <v>9</v>
      </c>
      <c r="W1179" s="37">
        <v>9</v>
      </c>
      <c r="X1179" s="37">
        <v>9</v>
      </c>
      <c r="Z1179" s="37">
        <v>7</v>
      </c>
      <c r="AA1179" s="37">
        <v>7</v>
      </c>
      <c r="AB1179" s="37">
        <v>7</v>
      </c>
      <c r="AC1179" s="37">
        <v>7</v>
      </c>
      <c r="AD1179" s="37">
        <v>7</v>
      </c>
      <c r="AE1179" s="37">
        <v>7</v>
      </c>
      <c r="AF1179" s="37">
        <v>7</v>
      </c>
      <c r="AG1179" s="37">
        <v>3</v>
      </c>
      <c r="AH1179" s="37">
        <v>3</v>
      </c>
      <c r="AI1179" s="37">
        <v>3</v>
      </c>
      <c r="AJ1179" s="37">
        <v>3</v>
      </c>
      <c r="AK1179" s="37">
        <v>3</v>
      </c>
      <c r="AL1179" s="37">
        <v>3</v>
      </c>
      <c r="AM1179" s="37">
        <v>9</v>
      </c>
      <c r="AN1179" s="37">
        <v>9</v>
      </c>
      <c r="AO1179" s="37">
        <v>9</v>
      </c>
      <c r="AP1179" s="37">
        <v>9</v>
      </c>
      <c r="AQ1179" s="37">
        <v>9</v>
      </c>
      <c r="AR1179" s="37">
        <v>9</v>
      </c>
      <c r="AS1179" s="37">
        <v>9</v>
      </c>
      <c r="AT1179" s="37">
        <v>9</v>
      </c>
    </row>
    <row r="1180" spans="3:46" s="37" customFormat="1" x14ac:dyDescent="0.25"/>
    <row r="1181" spans="3:46" s="37" customFormat="1" x14ac:dyDescent="0.25">
      <c r="C1181" s="37" t="s">
        <v>21</v>
      </c>
      <c r="D1181" s="37">
        <v>5</v>
      </c>
      <c r="E1181" s="37">
        <v>5</v>
      </c>
      <c r="F1181" s="37">
        <v>5</v>
      </c>
      <c r="G1181" s="37">
        <v>5</v>
      </c>
      <c r="H1181" s="37">
        <v>5</v>
      </c>
      <c r="I1181" s="37">
        <v>5</v>
      </c>
      <c r="J1181" s="37">
        <v>5</v>
      </c>
      <c r="K1181" s="37">
        <v>5</v>
      </c>
      <c r="L1181" s="37">
        <v>5</v>
      </c>
      <c r="M1181" s="37">
        <v>5</v>
      </c>
      <c r="N1181" s="37">
        <v>5</v>
      </c>
      <c r="O1181" s="37">
        <v>5</v>
      </c>
      <c r="P1181" s="37">
        <v>5</v>
      </c>
      <c r="Q1181" s="37">
        <v>5</v>
      </c>
      <c r="R1181" s="37">
        <v>5</v>
      </c>
      <c r="S1181" s="37">
        <v>5</v>
      </c>
      <c r="T1181" s="37">
        <v>5</v>
      </c>
      <c r="U1181" s="37">
        <v>5</v>
      </c>
      <c r="V1181" s="37">
        <v>5</v>
      </c>
      <c r="W1181" s="37">
        <v>5</v>
      </c>
      <c r="X1181" s="37">
        <v>5</v>
      </c>
      <c r="Z1181" s="37">
        <v>5</v>
      </c>
      <c r="AA1181" s="37">
        <v>5</v>
      </c>
      <c r="AB1181" s="37">
        <v>5</v>
      </c>
      <c r="AC1181" s="37">
        <v>5</v>
      </c>
      <c r="AD1181" s="37">
        <v>5</v>
      </c>
      <c r="AE1181" s="37">
        <v>5</v>
      </c>
      <c r="AF1181" s="37">
        <v>5</v>
      </c>
      <c r="AG1181" s="37">
        <v>5</v>
      </c>
      <c r="AH1181" s="37">
        <v>5</v>
      </c>
      <c r="AI1181" s="37">
        <v>5</v>
      </c>
      <c r="AJ1181" s="37">
        <v>5</v>
      </c>
      <c r="AK1181" s="37">
        <v>5</v>
      </c>
      <c r="AL1181" s="37">
        <v>5</v>
      </c>
      <c r="AM1181" s="37">
        <v>5</v>
      </c>
      <c r="AN1181" s="37">
        <v>5</v>
      </c>
      <c r="AO1181" s="37">
        <v>5</v>
      </c>
      <c r="AP1181" s="37">
        <v>5</v>
      </c>
      <c r="AQ1181" s="37">
        <v>5</v>
      </c>
      <c r="AR1181" s="37">
        <v>5</v>
      </c>
      <c r="AS1181" s="37">
        <v>5</v>
      </c>
      <c r="AT1181" s="37">
        <v>5</v>
      </c>
    </row>
    <row r="1182" spans="3:46" s="37" customFormat="1" x14ac:dyDescent="0.25"/>
    <row r="1183" spans="3:46" s="37" customFormat="1" x14ac:dyDescent="0.25">
      <c r="C1183" s="37" t="s">
        <v>20</v>
      </c>
      <c r="D1183" s="37">
        <v>6</v>
      </c>
      <c r="E1183" s="37">
        <v>6</v>
      </c>
      <c r="F1183" s="37">
        <v>6</v>
      </c>
      <c r="G1183" s="37">
        <v>6</v>
      </c>
      <c r="H1183" s="37">
        <v>6</v>
      </c>
      <c r="I1183" s="37">
        <v>6</v>
      </c>
      <c r="J1183" s="37">
        <v>6</v>
      </c>
      <c r="K1183" s="37">
        <v>3</v>
      </c>
      <c r="L1183" s="37">
        <v>3</v>
      </c>
      <c r="M1183" s="37">
        <v>3</v>
      </c>
      <c r="N1183" s="37">
        <v>3</v>
      </c>
      <c r="O1183" s="37">
        <v>3</v>
      </c>
      <c r="P1183" s="37">
        <v>2</v>
      </c>
      <c r="Q1183" s="37">
        <v>2</v>
      </c>
      <c r="R1183" s="37">
        <v>3</v>
      </c>
      <c r="S1183" s="37">
        <v>3</v>
      </c>
      <c r="T1183" s="37">
        <v>3</v>
      </c>
      <c r="U1183" s="37">
        <v>3</v>
      </c>
      <c r="V1183" s="37">
        <v>3</v>
      </c>
      <c r="W1183" s="37">
        <v>3</v>
      </c>
      <c r="X1183" s="37">
        <v>3</v>
      </c>
      <c r="Z1183" s="37">
        <v>6</v>
      </c>
      <c r="AA1183" s="37">
        <v>6</v>
      </c>
      <c r="AB1183" s="37">
        <v>6</v>
      </c>
      <c r="AC1183" s="37">
        <v>6</v>
      </c>
      <c r="AD1183" s="37">
        <v>6</v>
      </c>
      <c r="AE1183" s="37">
        <v>6</v>
      </c>
      <c r="AF1183" s="37">
        <v>6</v>
      </c>
      <c r="AG1183" s="37">
        <v>3</v>
      </c>
      <c r="AH1183" s="37">
        <v>3</v>
      </c>
      <c r="AI1183" s="37">
        <v>3</v>
      </c>
      <c r="AJ1183" s="37">
        <v>3</v>
      </c>
      <c r="AK1183" s="37">
        <v>3</v>
      </c>
      <c r="AL1183" s="37">
        <v>3</v>
      </c>
      <c r="AM1183" s="37">
        <v>3</v>
      </c>
      <c r="AN1183" s="37">
        <v>3</v>
      </c>
      <c r="AO1183" s="37">
        <v>3</v>
      </c>
      <c r="AP1183" s="37">
        <v>3</v>
      </c>
      <c r="AQ1183" s="37">
        <v>3</v>
      </c>
      <c r="AR1183" s="37">
        <v>3</v>
      </c>
      <c r="AS1183" s="37">
        <v>3</v>
      </c>
      <c r="AT1183" s="37">
        <v>3</v>
      </c>
    </row>
    <row r="1184" spans="3:46" s="37" customFormat="1" x14ac:dyDescent="0.25"/>
    <row r="1185" spans="3:46" s="37" customFormat="1" x14ac:dyDescent="0.25">
      <c r="C1185" s="37" t="s">
        <v>21</v>
      </c>
      <c r="D1185" s="37">
        <v>3</v>
      </c>
      <c r="E1185" s="37">
        <v>3</v>
      </c>
      <c r="F1185" s="37">
        <v>3</v>
      </c>
      <c r="G1185" s="37">
        <v>3</v>
      </c>
      <c r="H1185" s="37">
        <v>3</v>
      </c>
      <c r="I1185" s="37">
        <v>3</v>
      </c>
      <c r="J1185" s="37">
        <v>3</v>
      </c>
      <c r="K1185" s="37">
        <v>3</v>
      </c>
      <c r="L1185" s="37">
        <v>3</v>
      </c>
      <c r="M1185" s="37">
        <v>3</v>
      </c>
      <c r="N1185" s="37">
        <v>3</v>
      </c>
      <c r="O1185" s="37">
        <v>3</v>
      </c>
      <c r="P1185" s="37">
        <v>3</v>
      </c>
      <c r="Q1185" s="37">
        <v>3</v>
      </c>
      <c r="R1185" s="37">
        <v>4</v>
      </c>
      <c r="S1185" s="37">
        <v>4</v>
      </c>
      <c r="T1185" s="37">
        <v>5</v>
      </c>
      <c r="U1185" s="37">
        <v>5</v>
      </c>
      <c r="V1185" s="37">
        <v>5</v>
      </c>
      <c r="W1185" s="37">
        <v>5</v>
      </c>
      <c r="X1185" s="37">
        <v>5</v>
      </c>
      <c r="Z1185" s="37">
        <v>3</v>
      </c>
      <c r="AA1185" s="37">
        <v>3</v>
      </c>
      <c r="AB1185" s="37">
        <v>3</v>
      </c>
      <c r="AC1185" s="37">
        <v>3</v>
      </c>
      <c r="AD1185" s="37">
        <v>3</v>
      </c>
      <c r="AE1185" s="37">
        <v>3</v>
      </c>
      <c r="AF1185" s="37">
        <v>3</v>
      </c>
      <c r="AG1185" s="37">
        <v>3</v>
      </c>
      <c r="AH1185" s="37">
        <v>3</v>
      </c>
      <c r="AI1185" s="37">
        <v>3</v>
      </c>
      <c r="AJ1185" s="37">
        <v>3</v>
      </c>
      <c r="AK1185" s="37">
        <v>3</v>
      </c>
      <c r="AL1185" s="37">
        <v>3</v>
      </c>
      <c r="AM1185" s="37">
        <v>5</v>
      </c>
      <c r="AN1185" s="37">
        <v>5</v>
      </c>
      <c r="AO1185" s="37">
        <v>5</v>
      </c>
      <c r="AP1185" s="37">
        <v>5</v>
      </c>
      <c r="AQ1185" s="37">
        <v>5</v>
      </c>
      <c r="AR1185" s="37">
        <v>5</v>
      </c>
      <c r="AS1185" s="37">
        <v>5</v>
      </c>
      <c r="AT1185" s="37">
        <v>5</v>
      </c>
    </row>
    <row r="1186" spans="3:46" s="37" customFormat="1" x14ac:dyDescent="0.25"/>
    <row r="1187" spans="3:46" s="37" customFormat="1" x14ac:dyDescent="0.25">
      <c r="C1187" s="37" t="s">
        <v>20</v>
      </c>
      <c r="D1187" s="37">
        <v>5</v>
      </c>
      <c r="E1187" s="37">
        <v>5</v>
      </c>
      <c r="F1187" s="37">
        <v>5</v>
      </c>
      <c r="G1187" s="37">
        <v>5</v>
      </c>
      <c r="H1187" s="37">
        <v>5</v>
      </c>
      <c r="I1187" s="37">
        <v>4</v>
      </c>
      <c r="J1187" s="37">
        <v>4</v>
      </c>
      <c r="K1187" s="37">
        <v>3</v>
      </c>
      <c r="L1187" s="37">
        <v>3</v>
      </c>
      <c r="M1187" s="37">
        <v>2</v>
      </c>
      <c r="N1187" s="37">
        <v>2</v>
      </c>
      <c r="O1187" s="37">
        <v>2</v>
      </c>
      <c r="P1187" s="37">
        <v>2</v>
      </c>
      <c r="Q1187" s="37">
        <v>3</v>
      </c>
      <c r="R1187" s="37">
        <v>3</v>
      </c>
      <c r="S1187" s="37">
        <v>4</v>
      </c>
      <c r="T1187" s="37">
        <v>4</v>
      </c>
      <c r="U1187" s="37">
        <v>5</v>
      </c>
      <c r="V1187" s="37">
        <v>5</v>
      </c>
      <c r="W1187" s="37">
        <v>5</v>
      </c>
      <c r="X1187" s="37">
        <v>5</v>
      </c>
      <c r="Z1187" s="37">
        <v>5</v>
      </c>
      <c r="AA1187" s="37">
        <v>5</v>
      </c>
      <c r="AB1187" s="37">
        <v>5</v>
      </c>
      <c r="AC1187" s="37">
        <v>5</v>
      </c>
      <c r="AD1187" s="37">
        <v>5</v>
      </c>
      <c r="AE1187" s="37">
        <v>5</v>
      </c>
      <c r="AF1187" s="37">
        <v>5</v>
      </c>
      <c r="AG1187" s="37">
        <v>5</v>
      </c>
      <c r="AH1187" s="37">
        <v>5</v>
      </c>
      <c r="AI1187" s="37">
        <v>5</v>
      </c>
      <c r="AJ1187" s="37">
        <v>5</v>
      </c>
      <c r="AK1187" s="37">
        <v>5</v>
      </c>
      <c r="AL1187" s="37">
        <v>5</v>
      </c>
      <c r="AM1187" s="37">
        <v>5</v>
      </c>
      <c r="AN1187" s="37">
        <v>5</v>
      </c>
      <c r="AO1187" s="37">
        <v>5</v>
      </c>
      <c r="AP1187" s="37">
        <v>5</v>
      </c>
      <c r="AQ1187" s="37">
        <v>5</v>
      </c>
      <c r="AR1187" s="37">
        <v>5</v>
      </c>
      <c r="AS1187" s="37">
        <v>5</v>
      </c>
      <c r="AT1187" s="37">
        <v>5</v>
      </c>
    </row>
    <row r="1188" spans="3:46" s="37" customFormat="1" x14ac:dyDescent="0.25"/>
    <row r="1189" spans="3:46" s="37" customFormat="1" x14ac:dyDescent="0.25">
      <c r="C1189" s="37" t="s">
        <v>21</v>
      </c>
      <c r="D1189" s="37">
        <v>5</v>
      </c>
      <c r="E1189" s="37">
        <v>5</v>
      </c>
      <c r="F1189" s="37">
        <v>5</v>
      </c>
      <c r="G1189" s="37">
        <v>5</v>
      </c>
      <c r="H1189" s="37">
        <v>5</v>
      </c>
      <c r="I1189" s="37">
        <v>5</v>
      </c>
      <c r="J1189" s="37">
        <v>5</v>
      </c>
      <c r="K1189" s="37">
        <v>5</v>
      </c>
      <c r="L1189" s="37">
        <v>5</v>
      </c>
      <c r="M1189" s="37">
        <v>5</v>
      </c>
      <c r="N1189" s="37">
        <v>5</v>
      </c>
      <c r="O1189" s="37">
        <v>5</v>
      </c>
      <c r="P1189" s="37">
        <v>5</v>
      </c>
      <c r="Q1189" s="37">
        <v>5</v>
      </c>
      <c r="R1189" s="37">
        <v>5</v>
      </c>
      <c r="S1189" s="37">
        <v>5</v>
      </c>
      <c r="T1189" s="37">
        <v>5</v>
      </c>
      <c r="U1189" s="37">
        <v>5</v>
      </c>
      <c r="V1189" s="37">
        <v>5</v>
      </c>
      <c r="W1189" s="37">
        <v>5</v>
      </c>
      <c r="X1189" s="37">
        <v>5</v>
      </c>
      <c r="Z1189" s="37">
        <v>5</v>
      </c>
      <c r="AA1189" s="37">
        <v>5</v>
      </c>
      <c r="AB1189" s="37">
        <v>5</v>
      </c>
      <c r="AC1189" s="37">
        <v>5</v>
      </c>
      <c r="AD1189" s="37">
        <v>5</v>
      </c>
      <c r="AE1189" s="37">
        <v>5</v>
      </c>
      <c r="AF1189" s="37">
        <v>5</v>
      </c>
      <c r="AG1189" s="37">
        <v>5</v>
      </c>
      <c r="AH1189" s="37">
        <v>5</v>
      </c>
      <c r="AI1189" s="37">
        <v>5</v>
      </c>
      <c r="AJ1189" s="37">
        <v>5</v>
      </c>
      <c r="AK1189" s="37">
        <v>5</v>
      </c>
      <c r="AL1189" s="37">
        <v>5</v>
      </c>
      <c r="AM1189" s="37">
        <v>5</v>
      </c>
      <c r="AN1189" s="37">
        <v>5</v>
      </c>
      <c r="AO1189" s="37">
        <v>5</v>
      </c>
      <c r="AP1189" s="37">
        <v>5</v>
      </c>
      <c r="AQ1189" s="37">
        <v>5</v>
      </c>
      <c r="AR1189" s="37">
        <v>5</v>
      </c>
      <c r="AS1189" s="37">
        <v>5</v>
      </c>
      <c r="AT1189" s="37">
        <v>5</v>
      </c>
    </row>
    <row r="1190" spans="3:46" s="37" customFormat="1" x14ac:dyDescent="0.25"/>
    <row r="1191" spans="3:46" s="37" customFormat="1" x14ac:dyDescent="0.25">
      <c r="C1191" s="37" t="s">
        <v>20</v>
      </c>
      <c r="D1191" s="37">
        <v>7</v>
      </c>
      <c r="E1191" s="37">
        <v>7</v>
      </c>
      <c r="F1191" s="37">
        <v>7</v>
      </c>
      <c r="G1191" s="37">
        <v>7</v>
      </c>
      <c r="H1191" s="37">
        <v>7</v>
      </c>
      <c r="I1191" s="37">
        <v>6</v>
      </c>
      <c r="J1191" s="37">
        <v>6</v>
      </c>
      <c r="K1191" s="37">
        <v>3</v>
      </c>
      <c r="L1191" s="37">
        <v>3</v>
      </c>
      <c r="M1191" s="37">
        <v>3</v>
      </c>
      <c r="N1191" s="37">
        <v>3</v>
      </c>
      <c r="O1191" s="37">
        <v>3</v>
      </c>
      <c r="P1191" s="37">
        <v>3</v>
      </c>
      <c r="Q1191" s="37">
        <v>5</v>
      </c>
      <c r="R1191" s="37">
        <v>6</v>
      </c>
      <c r="S1191" s="37">
        <v>6</v>
      </c>
      <c r="T1191" s="37">
        <v>7</v>
      </c>
      <c r="U1191" s="37">
        <v>8</v>
      </c>
      <c r="V1191" s="37">
        <v>8</v>
      </c>
      <c r="W1191" s="37">
        <v>8</v>
      </c>
      <c r="X1191" s="37">
        <v>8</v>
      </c>
      <c r="Z1191" s="37">
        <v>7</v>
      </c>
      <c r="AA1191" s="37">
        <v>7</v>
      </c>
      <c r="AB1191" s="37">
        <v>7</v>
      </c>
      <c r="AC1191" s="37">
        <v>7</v>
      </c>
      <c r="AD1191" s="37">
        <v>7</v>
      </c>
      <c r="AE1191" s="37">
        <v>7</v>
      </c>
      <c r="AF1191" s="37">
        <v>7</v>
      </c>
      <c r="AG1191" s="37">
        <v>3</v>
      </c>
      <c r="AH1191" s="37">
        <v>3</v>
      </c>
      <c r="AI1191" s="37">
        <v>3</v>
      </c>
      <c r="AJ1191" s="37">
        <v>3</v>
      </c>
      <c r="AK1191" s="37">
        <v>3</v>
      </c>
      <c r="AL1191" s="37">
        <v>3</v>
      </c>
      <c r="AM1191" s="37">
        <v>8</v>
      </c>
      <c r="AN1191" s="37">
        <v>8</v>
      </c>
      <c r="AO1191" s="37">
        <v>8</v>
      </c>
      <c r="AP1191" s="37">
        <v>8</v>
      </c>
      <c r="AQ1191" s="37">
        <v>8</v>
      </c>
      <c r="AR1191" s="37">
        <v>8</v>
      </c>
      <c r="AS1191" s="37">
        <v>8</v>
      </c>
      <c r="AT1191" s="37">
        <v>8</v>
      </c>
    </row>
    <row r="1192" spans="3:46" s="37" customFormat="1" x14ac:dyDescent="0.25"/>
    <row r="1193" spans="3:46" s="37" customFormat="1" x14ac:dyDescent="0.25">
      <c r="C1193" s="37" t="s">
        <v>21</v>
      </c>
      <c r="D1193" s="37">
        <v>4</v>
      </c>
      <c r="E1193" s="37">
        <v>4</v>
      </c>
      <c r="F1193" s="37">
        <v>4</v>
      </c>
      <c r="G1193" s="37">
        <v>4</v>
      </c>
      <c r="H1193" s="37">
        <v>4</v>
      </c>
      <c r="I1193" s="37">
        <v>5</v>
      </c>
      <c r="J1193" s="37">
        <v>5</v>
      </c>
      <c r="K1193" s="37">
        <v>5</v>
      </c>
      <c r="L1193" s="37">
        <v>5</v>
      </c>
      <c r="M1193" s="37">
        <v>5</v>
      </c>
      <c r="N1193" s="37">
        <v>5</v>
      </c>
      <c r="O1193" s="37">
        <v>5</v>
      </c>
      <c r="P1193" s="37">
        <v>5</v>
      </c>
      <c r="Q1193" s="37">
        <v>5</v>
      </c>
      <c r="R1193" s="37">
        <v>5</v>
      </c>
      <c r="S1193" s="37">
        <v>5</v>
      </c>
      <c r="T1193" s="37">
        <v>5</v>
      </c>
      <c r="U1193" s="37">
        <v>4</v>
      </c>
      <c r="V1193" s="37">
        <v>4</v>
      </c>
      <c r="W1193" s="37">
        <v>4</v>
      </c>
      <c r="X1193" s="37">
        <v>4</v>
      </c>
      <c r="Z1193" s="37">
        <v>4</v>
      </c>
      <c r="AA1193" s="37">
        <v>4</v>
      </c>
      <c r="AB1193" s="37">
        <v>4</v>
      </c>
      <c r="AC1193" s="37">
        <v>4</v>
      </c>
      <c r="AD1193" s="37">
        <v>5</v>
      </c>
      <c r="AE1193" s="37">
        <v>5</v>
      </c>
      <c r="AF1193" s="37">
        <v>5</v>
      </c>
      <c r="AG1193" s="37">
        <v>5</v>
      </c>
      <c r="AH1193" s="37">
        <v>5</v>
      </c>
      <c r="AI1193" s="37">
        <v>5</v>
      </c>
      <c r="AJ1193" s="37">
        <v>5</v>
      </c>
      <c r="AK1193" s="37">
        <v>5</v>
      </c>
      <c r="AL1193" s="37">
        <v>5</v>
      </c>
      <c r="AM1193" s="37">
        <v>5</v>
      </c>
      <c r="AN1193" s="37">
        <v>5</v>
      </c>
      <c r="AO1193" s="37">
        <v>5</v>
      </c>
      <c r="AP1193" s="37">
        <v>5</v>
      </c>
      <c r="AQ1193" s="37">
        <v>4</v>
      </c>
      <c r="AR1193" s="37">
        <v>4</v>
      </c>
      <c r="AS1193" s="37">
        <v>4</v>
      </c>
      <c r="AT1193" s="37">
        <v>4</v>
      </c>
    </row>
    <row r="1194" spans="3:46" s="37" customFormat="1" x14ac:dyDescent="0.25"/>
    <row r="1195" spans="3:46" s="37" customFormat="1" x14ac:dyDescent="0.25">
      <c r="C1195" s="37" t="s">
        <v>20</v>
      </c>
      <c r="D1195" s="37">
        <v>4</v>
      </c>
      <c r="E1195" s="37">
        <v>4</v>
      </c>
      <c r="F1195" s="37">
        <v>4</v>
      </c>
      <c r="G1195" s="37">
        <v>4</v>
      </c>
      <c r="H1195" s="37">
        <v>4</v>
      </c>
      <c r="I1195" s="37">
        <v>4</v>
      </c>
      <c r="J1195" s="37">
        <v>3</v>
      </c>
      <c r="K1195" s="37">
        <v>2</v>
      </c>
      <c r="L1195" s="37">
        <v>2</v>
      </c>
      <c r="M1195" s="37">
        <v>2</v>
      </c>
      <c r="N1195" s="37">
        <v>2</v>
      </c>
      <c r="O1195" s="37">
        <v>2</v>
      </c>
      <c r="P1195" s="37">
        <v>2</v>
      </c>
      <c r="Q1195" s="37">
        <v>2</v>
      </c>
      <c r="R1195" s="37">
        <v>2</v>
      </c>
      <c r="S1195" s="37">
        <v>3</v>
      </c>
      <c r="T1195" s="37">
        <v>3</v>
      </c>
      <c r="U1195" s="37">
        <v>3</v>
      </c>
      <c r="V1195" s="37">
        <v>3</v>
      </c>
      <c r="W1195" s="37">
        <v>3</v>
      </c>
      <c r="X1195" s="37">
        <v>3</v>
      </c>
      <c r="Z1195" s="37">
        <v>4</v>
      </c>
      <c r="AA1195" s="37">
        <v>4</v>
      </c>
      <c r="AB1195" s="37">
        <v>4</v>
      </c>
      <c r="AC1195" s="37">
        <v>4</v>
      </c>
      <c r="AD1195" s="37">
        <v>4</v>
      </c>
      <c r="AE1195" s="37">
        <v>4</v>
      </c>
      <c r="AF1195" s="37">
        <v>4</v>
      </c>
      <c r="AG1195" s="37">
        <v>2</v>
      </c>
      <c r="AH1195" s="37">
        <v>2</v>
      </c>
      <c r="AI1195" s="37">
        <v>2</v>
      </c>
      <c r="AJ1195" s="37">
        <v>2</v>
      </c>
      <c r="AK1195" s="37">
        <v>2</v>
      </c>
      <c r="AL1195" s="37">
        <v>2</v>
      </c>
      <c r="AM1195" s="37">
        <v>3</v>
      </c>
      <c r="AN1195" s="37">
        <v>3</v>
      </c>
      <c r="AO1195" s="37">
        <v>3</v>
      </c>
      <c r="AP1195" s="37">
        <v>3</v>
      </c>
      <c r="AQ1195" s="37">
        <v>3</v>
      </c>
      <c r="AR1195" s="37">
        <v>3</v>
      </c>
      <c r="AS1195" s="37">
        <v>3</v>
      </c>
      <c r="AT1195" s="37">
        <v>3</v>
      </c>
    </row>
    <row r="1196" spans="3:46" s="37" customFormat="1" x14ac:dyDescent="0.25"/>
    <row r="1197" spans="3:46" s="37" customFormat="1" x14ac:dyDescent="0.25">
      <c r="C1197" s="37" t="s">
        <v>21</v>
      </c>
      <c r="D1197" s="37">
        <v>2</v>
      </c>
      <c r="E1197" s="37">
        <v>2</v>
      </c>
      <c r="F1197" s="37">
        <v>2</v>
      </c>
      <c r="G1197" s="37">
        <v>2</v>
      </c>
      <c r="H1197" s="37">
        <v>4</v>
      </c>
      <c r="I1197" s="37">
        <v>4</v>
      </c>
      <c r="J1197" s="37">
        <v>4</v>
      </c>
      <c r="K1197" s="37">
        <v>4</v>
      </c>
      <c r="L1197" s="37">
        <v>4</v>
      </c>
      <c r="M1197" s="37">
        <v>4</v>
      </c>
      <c r="N1197" s="37">
        <v>4</v>
      </c>
      <c r="O1197" s="37">
        <v>4</v>
      </c>
      <c r="P1197" s="37">
        <v>4</v>
      </c>
      <c r="Q1197" s="37">
        <v>4</v>
      </c>
      <c r="R1197" s="37">
        <v>4</v>
      </c>
      <c r="S1197" s="37">
        <v>4</v>
      </c>
      <c r="T1197" s="37">
        <v>4</v>
      </c>
      <c r="U1197" s="37">
        <v>3</v>
      </c>
      <c r="V1197" s="37">
        <v>3</v>
      </c>
      <c r="W1197" s="37">
        <v>3</v>
      </c>
      <c r="X1197" s="37">
        <v>3</v>
      </c>
      <c r="Z1197" s="37">
        <v>2</v>
      </c>
      <c r="AA1197" s="37">
        <v>2</v>
      </c>
      <c r="AB1197" s="37">
        <v>2</v>
      </c>
      <c r="AC1197" s="37">
        <v>2</v>
      </c>
      <c r="AD1197" s="37">
        <v>4</v>
      </c>
      <c r="AE1197" s="37">
        <v>4</v>
      </c>
      <c r="AF1197" s="37">
        <v>4</v>
      </c>
      <c r="AG1197" s="37">
        <v>4</v>
      </c>
      <c r="AH1197" s="37">
        <v>4</v>
      </c>
      <c r="AI1197" s="37">
        <v>4</v>
      </c>
      <c r="AJ1197" s="37">
        <v>4</v>
      </c>
      <c r="AK1197" s="37">
        <v>4</v>
      </c>
      <c r="AL1197" s="37">
        <v>4</v>
      </c>
      <c r="AM1197" s="37">
        <v>4</v>
      </c>
      <c r="AN1197" s="37">
        <v>4</v>
      </c>
      <c r="AO1197" s="37">
        <v>4</v>
      </c>
      <c r="AP1197" s="37">
        <v>4</v>
      </c>
      <c r="AQ1197" s="37">
        <v>3</v>
      </c>
      <c r="AR1197" s="37">
        <v>3</v>
      </c>
      <c r="AS1197" s="37">
        <v>3</v>
      </c>
      <c r="AT1197" s="37">
        <v>3</v>
      </c>
    </row>
    <row r="1198" spans="3:46" s="37" customFormat="1" x14ac:dyDescent="0.25"/>
    <row r="1199" spans="3:46" s="37" customFormat="1" x14ac:dyDescent="0.25">
      <c r="C1199" s="37" t="s">
        <v>20</v>
      </c>
      <c r="D1199" s="37">
        <v>3</v>
      </c>
      <c r="E1199" s="37">
        <v>3</v>
      </c>
      <c r="F1199" s="37">
        <v>3</v>
      </c>
      <c r="G1199" s="37">
        <v>3</v>
      </c>
      <c r="H1199" s="37">
        <v>3</v>
      </c>
      <c r="I1199" s="37">
        <v>3</v>
      </c>
      <c r="J1199" s="37">
        <v>3</v>
      </c>
      <c r="K1199" s="37">
        <v>2</v>
      </c>
      <c r="L1199" s="37">
        <v>2</v>
      </c>
      <c r="M1199" s="37">
        <v>2</v>
      </c>
      <c r="N1199" s="37">
        <v>2</v>
      </c>
      <c r="O1199" s="37">
        <v>2</v>
      </c>
      <c r="P1199" s="37">
        <v>2</v>
      </c>
      <c r="Q1199" s="37">
        <v>2</v>
      </c>
      <c r="R1199" s="37">
        <v>3</v>
      </c>
      <c r="S1199" s="37">
        <v>3</v>
      </c>
      <c r="T1199" s="37">
        <v>3</v>
      </c>
      <c r="U1199" s="37">
        <v>3</v>
      </c>
      <c r="V1199" s="37">
        <v>3</v>
      </c>
      <c r="W1199" s="37">
        <v>3</v>
      </c>
      <c r="X1199" s="37">
        <v>3</v>
      </c>
      <c r="Z1199" s="37">
        <v>3</v>
      </c>
      <c r="AA1199" s="37">
        <v>3</v>
      </c>
      <c r="AB1199" s="37">
        <v>3</v>
      </c>
      <c r="AC1199" s="37">
        <v>3</v>
      </c>
      <c r="AD1199" s="37">
        <v>3</v>
      </c>
      <c r="AE1199" s="37">
        <v>3</v>
      </c>
      <c r="AF1199" s="37">
        <v>3</v>
      </c>
      <c r="AG1199" s="37">
        <v>2</v>
      </c>
      <c r="AH1199" s="37">
        <v>2</v>
      </c>
      <c r="AI1199" s="37">
        <v>2</v>
      </c>
      <c r="AJ1199" s="37">
        <v>2</v>
      </c>
      <c r="AK1199" s="37">
        <v>2</v>
      </c>
      <c r="AL1199" s="37">
        <v>2</v>
      </c>
      <c r="AM1199" s="37">
        <v>3</v>
      </c>
      <c r="AN1199" s="37">
        <v>3</v>
      </c>
      <c r="AO1199" s="37">
        <v>3</v>
      </c>
      <c r="AP1199" s="37">
        <v>3</v>
      </c>
      <c r="AQ1199" s="37">
        <v>3</v>
      </c>
      <c r="AR1199" s="37">
        <v>3</v>
      </c>
      <c r="AS1199" s="37">
        <v>3</v>
      </c>
      <c r="AT1199" s="37">
        <v>3</v>
      </c>
    </row>
    <row r="1200" spans="3:46" s="37" customFormat="1" x14ac:dyDescent="0.25"/>
    <row r="1201" spans="3:46" s="37" customFormat="1" x14ac:dyDescent="0.25">
      <c r="C1201" s="37" t="s">
        <v>21</v>
      </c>
      <c r="D1201" s="37">
        <v>2</v>
      </c>
      <c r="E1201" s="37">
        <v>2</v>
      </c>
      <c r="F1201" s="37">
        <v>2</v>
      </c>
      <c r="G1201" s="37">
        <v>2</v>
      </c>
      <c r="H1201" s="37">
        <v>3</v>
      </c>
      <c r="I1201" s="37">
        <v>3</v>
      </c>
      <c r="J1201" s="37">
        <v>3</v>
      </c>
      <c r="K1201" s="37">
        <v>3</v>
      </c>
      <c r="L1201" s="37">
        <v>3</v>
      </c>
      <c r="M1201" s="37">
        <v>3</v>
      </c>
      <c r="N1201" s="37">
        <v>3</v>
      </c>
      <c r="O1201" s="37">
        <v>3</v>
      </c>
      <c r="P1201" s="37">
        <v>3</v>
      </c>
      <c r="Q1201" s="37">
        <v>3</v>
      </c>
      <c r="R1201" s="37">
        <v>3</v>
      </c>
      <c r="S1201" s="37">
        <v>3</v>
      </c>
      <c r="T1201" s="37">
        <v>3</v>
      </c>
      <c r="U1201" s="37">
        <v>2</v>
      </c>
      <c r="V1201" s="37">
        <v>2</v>
      </c>
      <c r="W1201" s="37">
        <v>2</v>
      </c>
      <c r="X1201" s="37">
        <v>2</v>
      </c>
      <c r="Z1201" s="37">
        <v>2</v>
      </c>
      <c r="AA1201" s="37">
        <v>2</v>
      </c>
      <c r="AB1201" s="37">
        <v>2</v>
      </c>
      <c r="AC1201" s="37">
        <v>2</v>
      </c>
      <c r="AD1201" s="37">
        <v>3</v>
      </c>
      <c r="AE1201" s="37">
        <v>3</v>
      </c>
      <c r="AF1201" s="37">
        <v>3</v>
      </c>
      <c r="AG1201" s="37">
        <v>3</v>
      </c>
      <c r="AH1201" s="37">
        <v>3</v>
      </c>
      <c r="AI1201" s="37">
        <v>3</v>
      </c>
      <c r="AJ1201" s="37">
        <v>3</v>
      </c>
      <c r="AK1201" s="37">
        <v>3</v>
      </c>
      <c r="AL1201" s="37">
        <v>3</v>
      </c>
      <c r="AM1201" s="37">
        <v>3</v>
      </c>
      <c r="AN1201" s="37">
        <v>3</v>
      </c>
      <c r="AO1201" s="37">
        <v>3</v>
      </c>
      <c r="AP1201" s="37">
        <v>3</v>
      </c>
      <c r="AQ1201" s="37">
        <v>2</v>
      </c>
      <c r="AR1201" s="37">
        <v>2</v>
      </c>
      <c r="AS1201" s="37">
        <v>2</v>
      </c>
      <c r="AT1201" s="37">
        <v>2</v>
      </c>
    </row>
    <row r="1202" spans="3:46" s="37" customFormat="1" x14ac:dyDescent="0.25"/>
    <row r="1203" spans="3:46" s="37" customFormat="1" x14ac:dyDescent="0.25">
      <c r="C1203" s="37" t="s">
        <v>20</v>
      </c>
      <c r="D1203" s="37">
        <v>5</v>
      </c>
      <c r="E1203" s="37">
        <v>5</v>
      </c>
      <c r="F1203" s="37">
        <v>5</v>
      </c>
      <c r="G1203" s="37">
        <v>5</v>
      </c>
      <c r="H1203" s="37">
        <v>5</v>
      </c>
      <c r="I1203" s="37">
        <v>5</v>
      </c>
      <c r="J1203" s="37">
        <v>4</v>
      </c>
      <c r="K1203" s="37">
        <v>2</v>
      </c>
      <c r="L1203" s="37">
        <v>2</v>
      </c>
      <c r="M1203" s="37">
        <v>2</v>
      </c>
      <c r="N1203" s="37">
        <v>2</v>
      </c>
      <c r="O1203" s="37">
        <v>2</v>
      </c>
      <c r="P1203" s="37">
        <v>2</v>
      </c>
      <c r="Q1203" s="37">
        <v>3</v>
      </c>
      <c r="R1203" s="37">
        <v>3</v>
      </c>
      <c r="S1203" s="37">
        <v>3</v>
      </c>
      <c r="T1203" s="37">
        <v>4</v>
      </c>
      <c r="U1203" s="37">
        <v>4</v>
      </c>
      <c r="V1203" s="37">
        <v>4</v>
      </c>
      <c r="W1203" s="37">
        <v>4</v>
      </c>
      <c r="X1203" s="37">
        <v>4</v>
      </c>
      <c r="Z1203" s="37">
        <v>5</v>
      </c>
      <c r="AA1203" s="37">
        <v>5</v>
      </c>
      <c r="AB1203" s="37">
        <v>5</v>
      </c>
      <c r="AC1203" s="37">
        <v>5</v>
      </c>
      <c r="AD1203" s="37">
        <v>5</v>
      </c>
      <c r="AE1203" s="37">
        <v>5</v>
      </c>
      <c r="AF1203" s="37">
        <v>5</v>
      </c>
      <c r="AG1203" s="37">
        <v>2</v>
      </c>
      <c r="AH1203" s="37">
        <v>2</v>
      </c>
      <c r="AI1203" s="37">
        <v>2</v>
      </c>
      <c r="AJ1203" s="37">
        <v>2</v>
      </c>
      <c r="AK1203" s="37">
        <v>2</v>
      </c>
      <c r="AL1203" s="37">
        <v>2</v>
      </c>
      <c r="AM1203" s="37">
        <v>4</v>
      </c>
      <c r="AN1203" s="37">
        <v>4</v>
      </c>
      <c r="AO1203" s="37">
        <v>4</v>
      </c>
      <c r="AP1203" s="37">
        <v>4</v>
      </c>
      <c r="AQ1203" s="37">
        <v>4</v>
      </c>
      <c r="AR1203" s="37">
        <v>4</v>
      </c>
      <c r="AS1203" s="37">
        <v>4</v>
      </c>
      <c r="AT1203" s="37">
        <v>4</v>
      </c>
    </row>
    <row r="1204" spans="3:46" s="37" customFormat="1" x14ac:dyDescent="0.25"/>
    <row r="1205" spans="3:46" s="37" customFormat="1" x14ac:dyDescent="0.25">
      <c r="C1205" s="37" t="s">
        <v>21</v>
      </c>
      <c r="D1205" s="37">
        <v>3</v>
      </c>
      <c r="E1205" s="37">
        <v>3</v>
      </c>
      <c r="F1205" s="37">
        <v>3</v>
      </c>
      <c r="G1205" s="37">
        <v>3</v>
      </c>
      <c r="H1205" s="37">
        <v>6</v>
      </c>
      <c r="I1205" s="37">
        <v>6</v>
      </c>
      <c r="J1205" s="37">
        <v>6</v>
      </c>
      <c r="K1205" s="37">
        <v>6</v>
      </c>
      <c r="L1205" s="37">
        <v>6</v>
      </c>
      <c r="M1205" s="37">
        <v>6</v>
      </c>
      <c r="N1205" s="37">
        <v>6</v>
      </c>
      <c r="O1205" s="37">
        <v>6</v>
      </c>
      <c r="P1205" s="37">
        <v>6</v>
      </c>
      <c r="Q1205" s="37">
        <v>6</v>
      </c>
      <c r="R1205" s="37">
        <v>6</v>
      </c>
      <c r="S1205" s="37">
        <v>6</v>
      </c>
      <c r="T1205" s="37">
        <v>6</v>
      </c>
      <c r="U1205" s="37">
        <v>4</v>
      </c>
      <c r="V1205" s="37">
        <v>4</v>
      </c>
      <c r="W1205" s="37">
        <v>4</v>
      </c>
      <c r="X1205" s="37">
        <v>4</v>
      </c>
      <c r="Z1205" s="37">
        <v>3</v>
      </c>
      <c r="AA1205" s="37">
        <v>3</v>
      </c>
      <c r="AB1205" s="37">
        <v>3</v>
      </c>
      <c r="AC1205" s="37">
        <v>3</v>
      </c>
      <c r="AD1205" s="37">
        <v>6</v>
      </c>
      <c r="AE1205" s="37">
        <v>6</v>
      </c>
      <c r="AF1205" s="37">
        <v>6</v>
      </c>
      <c r="AG1205" s="37">
        <v>6</v>
      </c>
      <c r="AH1205" s="37">
        <v>6</v>
      </c>
      <c r="AI1205" s="37">
        <v>6</v>
      </c>
      <c r="AJ1205" s="37">
        <v>6</v>
      </c>
      <c r="AK1205" s="37">
        <v>6</v>
      </c>
      <c r="AL1205" s="37">
        <v>6</v>
      </c>
      <c r="AM1205" s="37">
        <v>6</v>
      </c>
      <c r="AN1205" s="37">
        <v>6</v>
      </c>
      <c r="AO1205" s="37">
        <v>6</v>
      </c>
      <c r="AP1205" s="37">
        <v>6</v>
      </c>
      <c r="AQ1205" s="37">
        <v>4</v>
      </c>
      <c r="AR1205" s="37">
        <v>4</v>
      </c>
      <c r="AS1205" s="37">
        <v>4</v>
      </c>
      <c r="AT1205" s="37">
        <v>4</v>
      </c>
    </row>
    <row r="1206" spans="3:46" s="37" customFormat="1" x14ac:dyDescent="0.25"/>
    <row r="1207" spans="3:46" s="37" customFormat="1" x14ac:dyDescent="0.25">
      <c r="C1207" s="37" t="s">
        <v>20</v>
      </c>
      <c r="D1207" s="37">
        <v>2</v>
      </c>
      <c r="E1207" s="37">
        <v>2</v>
      </c>
      <c r="F1207" s="37">
        <v>2</v>
      </c>
      <c r="G1207" s="37">
        <v>2</v>
      </c>
      <c r="H1207" s="37">
        <v>2</v>
      </c>
      <c r="I1207" s="37">
        <v>2</v>
      </c>
      <c r="J1207" s="37">
        <v>2</v>
      </c>
      <c r="K1207" s="37">
        <v>2</v>
      </c>
      <c r="L1207" s="37">
        <v>2</v>
      </c>
      <c r="M1207" s="37">
        <v>2</v>
      </c>
      <c r="N1207" s="37">
        <v>2</v>
      </c>
      <c r="O1207" s="37">
        <v>2</v>
      </c>
      <c r="P1207" s="37">
        <v>2</v>
      </c>
      <c r="Q1207" s="37">
        <v>3</v>
      </c>
      <c r="R1207" s="37">
        <v>3</v>
      </c>
      <c r="S1207" s="37">
        <v>4</v>
      </c>
      <c r="T1207" s="37">
        <v>4</v>
      </c>
      <c r="U1207" s="37">
        <v>4</v>
      </c>
      <c r="V1207" s="37">
        <v>4</v>
      </c>
      <c r="W1207" s="37">
        <v>4</v>
      </c>
      <c r="X1207" s="37">
        <v>4</v>
      </c>
      <c r="Z1207" s="37">
        <v>2</v>
      </c>
      <c r="AA1207" s="37">
        <v>2</v>
      </c>
      <c r="AB1207" s="37">
        <v>2</v>
      </c>
      <c r="AC1207" s="37">
        <v>2</v>
      </c>
      <c r="AD1207" s="37">
        <v>2</v>
      </c>
      <c r="AE1207" s="37">
        <v>2</v>
      </c>
      <c r="AF1207" s="37">
        <v>2</v>
      </c>
      <c r="AG1207" s="37">
        <v>2</v>
      </c>
      <c r="AH1207" s="37">
        <v>2</v>
      </c>
      <c r="AI1207" s="37">
        <v>2</v>
      </c>
      <c r="AJ1207" s="37">
        <v>2</v>
      </c>
      <c r="AK1207" s="37">
        <v>2</v>
      </c>
      <c r="AL1207" s="37">
        <v>2</v>
      </c>
      <c r="AM1207" s="37">
        <v>4</v>
      </c>
      <c r="AN1207" s="37">
        <v>4</v>
      </c>
      <c r="AO1207" s="37">
        <v>4</v>
      </c>
      <c r="AP1207" s="37">
        <v>4</v>
      </c>
      <c r="AQ1207" s="37">
        <v>4</v>
      </c>
      <c r="AR1207" s="37">
        <v>4</v>
      </c>
      <c r="AS1207" s="37">
        <v>4</v>
      </c>
      <c r="AT1207" s="37">
        <v>4</v>
      </c>
    </row>
    <row r="1208" spans="3:46" s="37" customFormat="1" x14ac:dyDescent="0.25"/>
    <row r="1209" spans="3:46" s="37" customFormat="1" x14ac:dyDescent="0.25">
      <c r="C1209" s="37" t="s">
        <v>21</v>
      </c>
      <c r="D1209" s="37">
        <v>2</v>
      </c>
      <c r="E1209" s="37">
        <v>2</v>
      </c>
      <c r="F1209" s="37">
        <v>2</v>
      </c>
      <c r="G1209" s="37">
        <v>2</v>
      </c>
      <c r="H1209" s="37">
        <v>2</v>
      </c>
      <c r="I1209" s="37">
        <v>2</v>
      </c>
      <c r="J1209" s="37">
        <v>2</v>
      </c>
      <c r="K1209" s="37">
        <v>2</v>
      </c>
      <c r="L1209" s="37">
        <v>2</v>
      </c>
      <c r="M1209" s="37">
        <v>2</v>
      </c>
      <c r="N1209" s="37">
        <v>2</v>
      </c>
      <c r="O1209" s="37">
        <v>2</v>
      </c>
      <c r="P1209" s="37">
        <v>2</v>
      </c>
      <c r="Q1209" s="37">
        <v>2</v>
      </c>
      <c r="R1209" s="37">
        <v>2</v>
      </c>
      <c r="S1209" s="37">
        <v>2</v>
      </c>
      <c r="T1209" s="37">
        <v>2</v>
      </c>
      <c r="U1209" s="37">
        <v>2</v>
      </c>
      <c r="V1209" s="37">
        <v>2</v>
      </c>
      <c r="W1209" s="37">
        <v>2</v>
      </c>
      <c r="X1209" s="37">
        <v>2</v>
      </c>
      <c r="Z1209" s="37">
        <v>2</v>
      </c>
      <c r="AA1209" s="37">
        <v>2</v>
      </c>
      <c r="AB1209" s="37">
        <v>2</v>
      </c>
      <c r="AC1209" s="37">
        <v>2</v>
      </c>
      <c r="AD1209" s="37">
        <v>2</v>
      </c>
      <c r="AE1209" s="37">
        <v>2</v>
      </c>
      <c r="AF1209" s="37">
        <v>2</v>
      </c>
      <c r="AG1209" s="37">
        <v>2</v>
      </c>
      <c r="AH1209" s="37">
        <v>2</v>
      </c>
      <c r="AI1209" s="37">
        <v>2</v>
      </c>
      <c r="AJ1209" s="37">
        <v>2</v>
      </c>
      <c r="AK1209" s="37">
        <v>2</v>
      </c>
      <c r="AL1209" s="37">
        <v>2</v>
      </c>
      <c r="AM1209" s="37">
        <v>2</v>
      </c>
      <c r="AN1209" s="37">
        <v>2</v>
      </c>
      <c r="AO1209" s="37">
        <v>2</v>
      </c>
      <c r="AP1209" s="37">
        <v>2</v>
      </c>
      <c r="AQ1209" s="37">
        <v>2</v>
      </c>
      <c r="AR1209" s="37">
        <v>2</v>
      </c>
      <c r="AS1209" s="37">
        <v>2</v>
      </c>
      <c r="AT1209" s="37">
        <v>2</v>
      </c>
    </row>
    <row r="1210" spans="3:46" s="37" customFormat="1" x14ac:dyDescent="0.25"/>
    <row r="1211" spans="3:46" s="37" customFormat="1" x14ac:dyDescent="0.25">
      <c r="C1211" s="37" t="s">
        <v>20</v>
      </c>
      <c r="D1211" s="37">
        <v>4</v>
      </c>
      <c r="E1211" s="37">
        <v>4</v>
      </c>
      <c r="F1211" s="37">
        <v>4</v>
      </c>
      <c r="G1211" s="37">
        <v>4</v>
      </c>
      <c r="H1211" s="37">
        <v>4</v>
      </c>
      <c r="I1211" s="37">
        <v>4</v>
      </c>
      <c r="J1211" s="37">
        <v>4</v>
      </c>
      <c r="K1211" s="37">
        <v>2</v>
      </c>
      <c r="L1211" s="37">
        <v>2</v>
      </c>
      <c r="M1211" s="37">
        <v>2</v>
      </c>
      <c r="N1211" s="37">
        <v>2</v>
      </c>
      <c r="O1211" s="37">
        <v>2</v>
      </c>
      <c r="P1211" s="37">
        <v>2</v>
      </c>
      <c r="Q1211" s="37">
        <v>4</v>
      </c>
      <c r="R1211" s="37">
        <v>4</v>
      </c>
      <c r="S1211" s="37">
        <v>5</v>
      </c>
      <c r="T1211" s="37">
        <v>5</v>
      </c>
      <c r="U1211" s="37">
        <v>5</v>
      </c>
      <c r="V1211" s="37">
        <v>5</v>
      </c>
      <c r="W1211" s="37">
        <v>5</v>
      </c>
      <c r="X1211" s="37">
        <v>5</v>
      </c>
      <c r="Z1211" s="37">
        <v>4</v>
      </c>
      <c r="AA1211" s="37">
        <v>4</v>
      </c>
      <c r="AB1211" s="37">
        <v>4</v>
      </c>
      <c r="AC1211" s="37">
        <v>4</v>
      </c>
      <c r="AD1211" s="37">
        <v>4</v>
      </c>
      <c r="AE1211" s="37">
        <v>4</v>
      </c>
      <c r="AF1211" s="37">
        <v>4</v>
      </c>
      <c r="AG1211" s="37">
        <v>2</v>
      </c>
      <c r="AH1211" s="37">
        <v>2</v>
      </c>
      <c r="AI1211" s="37">
        <v>2</v>
      </c>
      <c r="AJ1211" s="37">
        <v>2</v>
      </c>
      <c r="AK1211" s="37">
        <v>2</v>
      </c>
      <c r="AL1211" s="37">
        <v>2</v>
      </c>
      <c r="AM1211" s="37">
        <v>5</v>
      </c>
      <c r="AN1211" s="37">
        <v>5</v>
      </c>
      <c r="AO1211" s="37">
        <v>5</v>
      </c>
      <c r="AP1211" s="37">
        <v>5</v>
      </c>
      <c r="AQ1211" s="37">
        <v>5</v>
      </c>
      <c r="AR1211" s="37">
        <v>5</v>
      </c>
      <c r="AS1211" s="37">
        <v>5</v>
      </c>
      <c r="AT1211" s="37">
        <v>5</v>
      </c>
    </row>
    <row r="1212" spans="3:46" s="37" customFormat="1" x14ac:dyDescent="0.25"/>
    <row r="1213" spans="3:46" s="37" customFormat="1" x14ac:dyDescent="0.25">
      <c r="C1213" s="37" t="s">
        <v>21</v>
      </c>
      <c r="D1213" s="37">
        <v>4</v>
      </c>
      <c r="E1213" s="37">
        <v>4</v>
      </c>
      <c r="F1213" s="37">
        <v>4</v>
      </c>
      <c r="G1213" s="37">
        <v>4</v>
      </c>
      <c r="H1213" s="37">
        <v>4</v>
      </c>
      <c r="I1213" s="37">
        <v>4</v>
      </c>
      <c r="J1213" s="37">
        <v>3</v>
      </c>
      <c r="K1213" s="37">
        <v>3</v>
      </c>
      <c r="L1213" s="37">
        <v>3</v>
      </c>
      <c r="M1213" s="37">
        <v>3</v>
      </c>
      <c r="N1213" s="37">
        <v>3</v>
      </c>
      <c r="O1213" s="37">
        <v>3</v>
      </c>
      <c r="P1213" s="37">
        <v>3</v>
      </c>
      <c r="Q1213" s="37">
        <v>3</v>
      </c>
      <c r="R1213" s="37">
        <v>3</v>
      </c>
      <c r="S1213" s="37">
        <v>3</v>
      </c>
      <c r="T1213" s="37">
        <v>3</v>
      </c>
      <c r="U1213" s="37">
        <v>3</v>
      </c>
      <c r="V1213" s="37">
        <v>3</v>
      </c>
      <c r="W1213" s="37">
        <v>3</v>
      </c>
      <c r="X1213" s="37">
        <v>3</v>
      </c>
      <c r="Z1213" s="37">
        <v>4</v>
      </c>
      <c r="AA1213" s="37">
        <v>4</v>
      </c>
      <c r="AB1213" s="37">
        <v>4</v>
      </c>
      <c r="AC1213" s="37">
        <v>4</v>
      </c>
      <c r="AD1213" s="37">
        <v>4</v>
      </c>
      <c r="AE1213" s="37">
        <v>4</v>
      </c>
      <c r="AF1213" s="37">
        <v>4</v>
      </c>
      <c r="AG1213" s="37">
        <v>3</v>
      </c>
      <c r="AH1213" s="37">
        <v>3</v>
      </c>
      <c r="AI1213" s="37">
        <v>3</v>
      </c>
      <c r="AJ1213" s="37">
        <v>3</v>
      </c>
      <c r="AK1213" s="37">
        <v>3</v>
      </c>
      <c r="AL1213" s="37">
        <v>3</v>
      </c>
      <c r="AM1213" s="37">
        <v>3</v>
      </c>
      <c r="AN1213" s="37">
        <v>3</v>
      </c>
      <c r="AO1213" s="37">
        <v>3</v>
      </c>
      <c r="AP1213" s="37">
        <v>3</v>
      </c>
      <c r="AQ1213" s="37">
        <v>3</v>
      </c>
      <c r="AR1213" s="37">
        <v>3</v>
      </c>
      <c r="AS1213" s="37">
        <v>3</v>
      </c>
      <c r="AT1213" s="37">
        <v>3</v>
      </c>
    </row>
    <row r="1214" spans="3:46" s="37" customFormat="1" x14ac:dyDescent="0.25"/>
    <row r="1215" spans="3:46" s="37" customFormat="1" x14ac:dyDescent="0.25">
      <c r="C1215" s="37" t="s">
        <v>20</v>
      </c>
      <c r="D1215" s="37">
        <v>3</v>
      </c>
      <c r="E1215" s="37">
        <v>3</v>
      </c>
      <c r="F1215" s="37">
        <v>3</v>
      </c>
      <c r="G1215" s="37">
        <v>3</v>
      </c>
      <c r="H1215" s="37">
        <v>3</v>
      </c>
      <c r="I1215" s="37">
        <v>3</v>
      </c>
      <c r="J1215" s="37">
        <v>3</v>
      </c>
      <c r="K1215" s="37">
        <v>2</v>
      </c>
      <c r="L1215" s="37">
        <v>2</v>
      </c>
      <c r="M1215" s="37">
        <v>2</v>
      </c>
      <c r="N1215" s="37">
        <v>2</v>
      </c>
      <c r="O1215" s="37">
        <v>2</v>
      </c>
      <c r="P1215" s="37">
        <v>2</v>
      </c>
      <c r="Q1215" s="37">
        <v>2</v>
      </c>
      <c r="R1215" s="37">
        <v>3</v>
      </c>
      <c r="S1215" s="37">
        <v>3</v>
      </c>
      <c r="T1215" s="37">
        <v>3</v>
      </c>
      <c r="U1215" s="37">
        <v>3</v>
      </c>
      <c r="V1215" s="37">
        <v>3</v>
      </c>
      <c r="W1215" s="37">
        <v>3</v>
      </c>
      <c r="X1215" s="37">
        <v>3</v>
      </c>
      <c r="Z1215" s="37">
        <v>3</v>
      </c>
      <c r="AA1215" s="37">
        <v>3</v>
      </c>
      <c r="AB1215" s="37">
        <v>3</v>
      </c>
      <c r="AC1215" s="37">
        <v>3</v>
      </c>
      <c r="AD1215" s="37">
        <v>3</v>
      </c>
      <c r="AE1215" s="37">
        <v>3</v>
      </c>
      <c r="AF1215" s="37">
        <v>3</v>
      </c>
      <c r="AG1215" s="37">
        <v>2</v>
      </c>
      <c r="AH1215" s="37">
        <v>2</v>
      </c>
      <c r="AI1215" s="37">
        <v>2</v>
      </c>
      <c r="AJ1215" s="37">
        <v>2</v>
      </c>
      <c r="AK1215" s="37">
        <v>2</v>
      </c>
      <c r="AL1215" s="37">
        <v>2</v>
      </c>
      <c r="AM1215" s="37">
        <v>3</v>
      </c>
      <c r="AN1215" s="37">
        <v>3</v>
      </c>
      <c r="AO1215" s="37">
        <v>3</v>
      </c>
      <c r="AP1215" s="37">
        <v>3</v>
      </c>
      <c r="AQ1215" s="37">
        <v>3</v>
      </c>
      <c r="AR1215" s="37">
        <v>3</v>
      </c>
      <c r="AS1215" s="37">
        <v>3</v>
      </c>
      <c r="AT1215" s="37">
        <v>3</v>
      </c>
    </row>
    <row r="1216" spans="3:46" s="37" customFormat="1" x14ac:dyDescent="0.25"/>
    <row r="1217" spans="3:46" s="37" customFormat="1" x14ac:dyDescent="0.25">
      <c r="C1217" s="37" t="s">
        <v>21</v>
      </c>
      <c r="D1217" s="37">
        <v>2</v>
      </c>
      <c r="E1217" s="37">
        <v>2</v>
      </c>
      <c r="F1217" s="37">
        <v>2</v>
      </c>
      <c r="G1217" s="37">
        <v>2</v>
      </c>
      <c r="H1217" s="37">
        <v>3</v>
      </c>
      <c r="I1217" s="37">
        <v>3</v>
      </c>
      <c r="J1217" s="37">
        <v>3</v>
      </c>
      <c r="K1217" s="37">
        <v>3</v>
      </c>
      <c r="L1217" s="37">
        <v>3</v>
      </c>
      <c r="M1217" s="37">
        <v>3</v>
      </c>
      <c r="N1217" s="37">
        <v>3</v>
      </c>
      <c r="O1217" s="37">
        <v>3</v>
      </c>
      <c r="P1217" s="37">
        <v>3</v>
      </c>
      <c r="Q1217" s="37">
        <v>3</v>
      </c>
      <c r="R1217" s="37">
        <v>3</v>
      </c>
      <c r="S1217" s="37">
        <v>3</v>
      </c>
      <c r="T1217" s="37">
        <v>3</v>
      </c>
      <c r="U1217" s="37">
        <v>2</v>
      </c>
      <c r="V1217" s="37">
        <v>2</v>
      </c>
      <c r="W1217" s="37">
        <v>2</v>
      </c>
      <c r="X1217" s="37">
        <v>2</v>
      </c>
      <c r="Z1217" s="37">
        <v>2</v>
      </c>
      <c r="AA1217" s="37">
        <v>2</v>
      </c>
      <c r="AB1217" s="37">
        <v>2</v>
      </c>
      <c r="AC1217" s="37">
        <v>2</v>
      </c>
      <c r="AD1217" s="37">
        <v>3</v>
      </c>
      <c r="AE1217" s="37">
        <v>3</v>
      </c>
      <c r="AF1217" s="37">
        <v>3</v>
      </c>
      <c r="AG1217" s="37">
        <v>3</v>
      </c>
      <c r="AH1217" s="37">
        <v>3</v>
      </c>
      <c r="AI1217" s="37">
        <v>3</v>
      </c>
      <c r="AJ1217" s="37">
        <v>3</v>
      </c>
      <c r="AK1217" s="37">
        <v>3</v>
      </c>
      <c r="AL1217" s="37">
        <v>3</v>
      </c>
      <c r="AM1217" s="37">
        <v>3</v>
      </c>
      <c r="AN1217" s="37">
        <v>3</v>
      </c>
      <c r="AO1217" s="37">
        <v>3</v>
      </c>
      <c r="AP1217" s="37">
        <v>3</v>
      </c>
      <c r="AQ1217" s="37">
        <v>2</v>
      </c>
      <c r="AR1217" s="37">
        <v>2</v>
      </c>
      <c r="AS1217" s="37">
        <v>2</v>
      </c>
      <c r="AT1217" s="37">
        <v>2</v>
      </c>
    </row>
    <row r="1218" spans="3:46" s="37" customFormat="1" x14ac:dyDescent="0.25"/>
    <row r="1219" spans="3:46" s="37" customFormat="1" x14ac:dyDescent="0.25">
      <c r="C1219" s="37" t="s">
        <v>20</v>
      </c>
      <c r="D1219" s="37">
        <v>2</v>
      </c>
      <c r="E1219" s="37">
        <v>2</v>
      </c>
      <c r="F1219" s="37">
        <v>2</v>
      </c>
      <c r="G1219" s="37">
        <v>2</v>
      </c>
      <c r="H1219" s="37">
        <v>2</v>
      </c>
      <c r="I1219" s="37">
        <v>2</v>
      </c>
      <c r="J1219" s="37">
        <v>2</v>
      </c>
      <c r="K1219" s="37">
        <v>2</v>
      </c>
      <c r="L1219" s="37">
        <v>2</v>
      </c>
      <c r="M1219" s="37">
        <v>2</v>
      </c>
      <c r="N1219" s="37">
        <v>2</v>
      </c>
      <c r="O1219" s="37">
        <v>2</v>
      </c>
      <c r="P1219" s="37">
        <v>2</v>
      </c>
      <c r="Q1219" s="37">
        <v>2</v>
      </c>
      <c r="R1219" s="37">
        <v>2</v>
      </c>
      <c r="S1219" s="37">
        <v>2</v>
      </c>
      <c r="T1219" s="37">
        <v>2</v>
      </c>
      <c r="U1219" s="37">
        <v>2</v>
      </c>
      <c r="V1219" s="37">
        <v>2</v>
      </c>
      <c r="W1219" s="37">
        <v>2</v>
      </c>
      <c r="X1219" s="37">
        <v>2</v>
      </c>
      <c r="Z1219" s="37">
        <v>2</v>
      </c>
      <c r="AA1219" s="37">
        <v>2</v>
      </c>
      <c r="AB1219" s="37">
        <v>2</v>
      </c>
      <c r="AC1219" s="37">
        <v>2</v>
      </c>
      <c r="AD1219" s="37">
        <v>2</v>
      </c>
      <c r="AE1219" s="37">
        <v>2</v>
      </c>
      <c r="AF1219" s="37">
        <v>2</v>
      </c>
      <c r="AG1219" s="37">
        <v>2</v>
      </c>
      <c r="AH1219" s="37">
        <v>2</v>
      </c>
      <c r="AI1219" s="37">
        <v>2</v>
      </c>
      <c r="AJ1219" s="37">
        <v>2</v>
      </c>
      <c r="AK1219" s="37">
        <v>2</v>
      </c>
      <c r="AL1219" s="37">
        <v>2</v>
      </c>
      <c r="AM1219" s="37">
        <v>2</v>
      </c>
      <c r="AN1219" s="37">
        <v>2</v>
      </c>
      <c r="AO1219" s="37">
        <v>2</v>
      </c>
      <c r="AP1219" s="37">
        <v>2</v>
      </c>
      <c r="AQ1219" s="37">
        <v>2</v>
      </c>
      <c r="AR1219" s="37">
        <v>2</v>
      </c>
      <c r="AS1219" s="37">
        <v>2</v>
      </c>
      <c r="AT1219" s="37">
        <v>2</v>
      </c>
    </row>
    <row r="1220" spans="3:46" s="37" customFormat="1" x14ac:dyDescent="0.25"/>
    <row r="1221" spans="3:46" s="37" customFormat="1" x14ac:dyDescent="0.25">
      <c r="C1221" s="37" t="s">
        <v>21</v>
      </c>
      <c r="D1221" s="37">
        <v>2</v>
      </c>
      <c r="E1221" s="37">
        <v>2</v>
      </c>
      <c r="F1221" s="37">
        <v>2</v>
      </c>
      <c r="G1221" s="37">
        <v>2</v>
      </c>
      <c r="H1221" s="37">
        <v>2</v>
      </c>
      <c r="I1221" s="37">
        <v>2</v>
      </c>
      <c r="J1221" s="37">
        <v>2</v>
      </c>
      <c r="K1221" s="37">
        <v>2</v>
      </c>
      <c r="L1221" s="37">
        <v>2</v>
      </c>
      <c r="M1221" s="37">
        <v>2</v>
      </c>
      <c r="N1221" s="37">
        <v>2</v>
      </c>
      <c r="O1221" s="37">
        <v>2</v>
      </c>
      <c r="P1221" s="37">
        <v>2</v>
      </c>
      <c r="Q1221" s="37">
        <v>2</v>
      </c>
      <c r="R1221" s="37">
        <v>2</v>
      </c>
      <c r="S1221" s="37">
        <v>2</v>
      </c>
      <c r="T1221" s="37">
        <v>2</v>
      </c>
      <c r="U1221" s="37">
        <v>2</v>
      </c>
      <c r="V1221" s="37">
        <v>2</v>
      </c>
      <c r="W1221" s="37">
        <v>2</v>
      </c>
      <c r="X1221" s="37">
        <v>2</v>
      </c>
      <c r="Z1221" s="37">
        <v>2</v>
      </c>
      <c r="AA1221" s="37">
        <v>2</v>
      </c>
      <c r="AB1221" s="37">
        <v>2</v>
      </c>
      <c r="AC1221" s="37">
        <v>2</v>
      </c>
      <c r="AD1221" s="37">
        <v>2</v>
      </c>
      <c r="AE1221" s="37">
        <v>2</v>
      </c>
      <c r="AF1221" s="37">
        <v>2</v>
      </c>
      <c r="AG1221" s="37">
        <v>2</v>
      </c>
      <c r="AH1221" s="37">
        <v>2</v>
      </c>
      <c r="AI1221" s="37">
        <v>2</v>
      </c>
      <c r="AJ1221" s="37">
        <v>2</v>
      </c>
      <c r="AK1221" s="37">
        <v>2</v>
      </c>
      <c r="AL1221" s="37">
        <v>2</v>
      </c>
      <c r="AM1221" s="37">
        <v>2</v>
      </c>
      <c r="AN1221" s="37">
        <v>2</v>
      </c>
      <c r="AO1221" s="37">
        <v>2</v>
      </c>
      <c r="AP1221" s="37">
        <v>2</v>
      </c>
      <c r="AQ1221" s="37">
        <v>2</v>
      </c>
      <c r="AR1221" s="37">
        <v>2</v>
      </c>
      <c r="AS1221" s="37">
        <v>2</v>
      </c>
      <c r="AT1221" s="37">
        <v>2</v>
      </c>
    </row>
    <row r="1222" spans="3:46" s="37" customFormat="1" x14ac:dyDescent="0.25"/>
    <row r="1223" spans="3:46" s="37" customFormat="1" x14ac:dyDescent="0.25">
      <c r="C1223" s="37" t="s">
        <v>20</v>
      </c>
      <c r="D1223" s="37">
        <v>4</v>
      </c>
      <c r="E1223" s="37">
        <v>4</v>
      </c>
      <c r="F1223" s="37">
        <v>4</v>
      </c>
      <c r="G1223" s="37">
        <v>4</v>
      </c>
      <c r="H1223" s="37">
        <v>4</v>
      </c>
      <c r="I1223" s="37">
        <v>4</v>
      </c>
      <c r="J1223" s="37">
        <v>4</v>
      </c>
      <c r="K1223" s="37">
        <v>2</v>
      </c>
      <c r="L1223" s="37">
        <v>2</v>
      </c>
      <c r="M1223" s="37">
        <v>2</v>
      </c>
      <c r="N1223" s="37">
        <v>2</v>
      </c>
      <c r="O1223" s="37">
        <v>2</v>
      </c>
      <c r="P1223" s="37">
        <v>2</v>
      </c>
      <c r="Q1223" s="37">
        <v>2</v>
      </c>
      <c r="R1223" s="37">
        <v>3</v>
      </c>
      <c r="S1223" s="37">
        <v>3</v>
      </c>
      <c r="T1223" s="37">
        <v>3</v>
      </c>
      <c r="U1223" s="37">
        <v>3</v>
      </c>
      <c r="V1223" s="37">
        <v>3</v>
      </c>
      <c r="W1223" s="37">
        <v>3</v>
      </c>
      <c r="X1223" s="37">
        <v>3</v>
      </c>
      <c r="Z1223" s="37">
        <v>4</v>
      </c>
      <c r="AA1223" s="37">
        <v>4</v>
      </c>
      <c r="AB1223" s="37">
        <v>4</v>
      </c>
      <c r="AC1223" s="37">
        <v>4</v>
      </c>
      <c r="AD1223" s="37">
        <v>4</v>
      </c>
      <c r="AE1223" s="37">
        <v>4</v>
      </c>
      <c r="AF1223" s="37">
        <v>4</v>
      </c>
      <c r="AG1223" s="37">
        <v>2</v>
      </c>
      <c r="AH1223" s="37">
        <v>2</v>
      </c>
      <c r="AI1223" s="37">
        <v>2</v>
      </c>
      <c r="AJ1223" s="37">
        <v>2</v>
      </c>
      <c r="AK1223" s="37">
        <v>2</v>
      </c>
      <c r="AL1223" s="37">
        <v>2</v>
      </c>
      <c r="AM1223" s="37">
        <v>3</v>
      </c>
      <c r="AN1223" s="37">
        <v>3</v>
      </c>
      <c r="AO1223" s="37">
        <v>3</v>
      </c>
      <c r="AP1223" s="37">
        <v>3</v>
      </c>
      <c r="AQ1223" s="37">
        <v>3</v>
      </c>
      <c r="AR1223" s="37">
        <v>3</v>
      </c>
      <c r="AS1223" s="37">
        <v>3</v>
      </c>
      <c r="AT1223" s="37">
        <v>3</v>
      </c>
    </row>
    <row r="1224" spans="3:46" s="37" customFormat="1" x14ac:dyDescent="0.25"/>
    <row r="1225" spans="3:46" s="37" customFormat="1" x14ac:dyDescent="0.25">
      <c r="C1225" s="37" t="s">
        <v>21</v>
      </c>
      <c r="D1225" s="37">
        <v>2</v>
      </c>
      <c r="E1225" s="37">
        <v>2</v>
      </c>
      <c r="F1225" s="37">
        <v>2</v>
      </c>
      <c r="G1225" s="37">
        <v>2</v>
      </c>
      <c r="H1225" s="37">
        <v>2</v>
      </c>
      <c r="I1225" s="37">
        <v>2</v>
      </c>
      <c r="J1225" s="37">
        <v>2</v>
      </c>
      <c r="K1225" s="37">
        <v>2</v>
      </c>
      <c r="L1225" s="37">
        <v>2</v>
      </c>
      <c r="M1225" s="37">
        <v>2</v>
      </c>
      <c r="N1225" s="37">
        <v>2</v>
      </c>
      <c r="O1225" s="37">
        <v>2</v>
      </c>
      <c r="P1225" s="37">
        <v>2</v>
      </c>
      <c r="Q1225" s="37">
        <v>3</v>
      </c>
      <c r="R1225" s="37">
        <v>4</v>
      </c>
      <c r="S1225" s="37">
        <v>4</v>
      </c>
      <c r="T1225" s="37">
        <v>5</v>
      </c>
      <c r="U1225" s="37">
        <v>5</v>
      </c>
      <c r="V1225" s="37">
        <v>5</v>
      </c>
      <c r="W1225" s="37">
        <v>5</v>
      </c>
      <c r="X1225" s="37">
        <v>5</v>
      </c>
      <c r="Z1225" s="37">
        <v>2</v>
      </c>
      <c r="AA1225" s="37">
        <v>2</v>
      </c>
      <c r="AB1225" s="37">
        <v>2</v>
      </c>
      <c r="AC1225" s="37">
        <v>2</v>
      </c>
      <c r="AD1225" s="37">
        <v>2</v>
      </c>
      <c r="AE1225" s="37">
        <v>2</v>
      </c>
      <c r="AF1225" s="37">
        <v>2</v>
      </c>
      <c r="AG1225" s="37">
        <v>2</v>
      </c>
      <c r="AH1225" s="37">
        <v>2</v>
      </c>
      <c r="AI1225" s="37">
        <v>2</v>
      </c>
      <c r="AJ1225" s="37">
        <v>2</v>
      </c>
      <c r="AK1225" s="37">
        <v>2</v>
      </c>
      <c r="AL1225" s="37">
        <v>2</v>
      </c>
      <c r="AM1225" s="37">
        <v>5</v>
      </c>
      <c r="AN1225" s="37">
        <v>5</v>
      </c>
      <c r="AO1225" s="37">
        <v>5</v>
      </c>
      <c r="AP1225" s="37">
        <v>5</v>
      </c>
      <c r="AQ1225" s="37">
        <v>5</v>
      </c>
      <c r="AR1225" s="37">
        <v>5</v>
      </c>
      <c r="AS1225" s="37">
        <v>5</v>
      </c>
      <c r="AT1225" s="37">
        <v>5</v>
      </c>
    </row>
    <row r="1226" spans="3:46" s="37" customFormat="1" x14ac:dyDescent="0.25"/>
    <row r="1227" spans="3:46" s="37" customFormat="1" x14ac:dyDescent="0.25">
      <c r="C1227" s="37" t="s">
        <v>20</v>
      </c>
      <c r="D1227" s="37">
        <v>6</v>
      </c>
      <c r="E1227" s="37">
        <v>6</v>
      </c>
      <c r="F1227" s="37">
        <v>6</v>
      </c>
      <c r="G1227" s="37">
        <v>6</v>
      </c>
      <c r="H1227" s="37">
        <v>5</v>
      </c>
      <c r="I1227" s="37">
        <v>5</v>
      </c>
      <c r="J1227" s="37">
        <v>4</v>
      </c>
      <c r="K1227" s="37">
        <v>4</v>
      </c>
      <c r="L1227" s="37">
        <v>3</v>
      </c>
      <c r="M1227" s="37">
        <v>3</v>
      </c>
      <c r="N1227" s="37">
        <v>2</v>
      </c>
      <c r="O1227" s="37">
        <v>2</v>
      </c>
      <c r="P1227" s="37">
        <v>3</v>
      </c>
      <c r="Q1227" s="37">
        <v>3</v>
      </c>
      <c r="R1227" s="37">
        <v>4</v>
      </c>
      <c r="S1227" s="37">
        <v>4</v>
      </c>
      <c r="T1227" s="37">
        <v>5</v>
      </c>
      <c r="U1227" s="37">
        <v>5</v>
      </c>
      <c r="V1227" s="37">
        <v>6</v>
      </c>
      <c r="W1227" s="37">
        <v>6</v>
      </c>
      <c r="X1227" s="37">
        <v>6</v>
      </c>
      <c r="Z1227" s="37">
        <v>6</v>
      </c>
      <c r="AA1227" s="37">
        <v>6</v>
      </c>
      <c r="AB1227" s="37">
        <v>6</v>
      </c>
      <c r="AC1227" s="37">
        <v>6</v>
      </c>
      <c r="AD1227" s="37">
        <v>6</v>
      </c>
      <c r="AE1227" s="37">
        <v>6</v>
      </c>
      <c r="AF1227" s="37">
        <v>6</v>
      </c>
      <c r="AG1227" s="37">
        <v>6</v>
      </c>
      <c r="AH1227" s="37">
        <v>6</v>
      </c>
      <c r="AI1227" s="37">
        <v>6</v>
      </c>
      <c r="AJ1227" s="37">
        <v>6</v>
      </c>
      <c r="AK1227" s="37">
        <v>6</v>
      </c>
      <c r="AL1227" s="37">
        <v>6</v>
      </c>
      <c r="AM1227" s="37">
        <v>6</v>
      </c>
      <c r="AN1227" s="37">
        <v>6</v>
      </c>
      <c r="AO1227" s="37">
        <v>6</v>
      </c>
      <c r="AP1227" s="37">
        <v>6</v>
      </c>
      <c r="AQ1227" s="37">
        <v>6</v>
      </c>
      <c r="AR1227" s="37">
        <v>6</v>
      </c>
      <c r="AS1227" s="37">
        <v>6</v>
      </c>
      <c r="AT1227" s="37">
        <v>6</v>
      </c>
    </row>
    <row r="1228" spans="3:46" s="37" customFormat="1" x14ac:dyDescent="0.25"/>
    <row r="1229" spans="3:46" s="37" customFormat="1" x14ac:dyDescent="0.25">
      <c r="C1229" s="37" t="s">
        <v>21</v>
      </c>
      <c r="D1229" s="37">
        <v>6</v>
      </c>
      <c r="E1229" s="37">
        <v>6</v>
      </c>
      <c r="F1229" s="37">
        <v>6</v>
      </c>
      <c r="G1229" s="37">
        <v>5</v>
      </c>
      <c r="H1229" s="37">
        <v>5</v>
      </c>
      <c r="I1229" s="37">
        <v>5</v>
      </c>
      <c r="J1229" s="37">
        <v>6</v>
      </c>
      <c r="K1229" s="37">
        <v>6</v>
      </c>
      <c r="L1229" s="37">
        <v>6</v>
      </c>
      <c r="M1229" s="37">
        <v>6</v>
      </c>
      <c r="N1229" s="37">
        <v>6</v>
      </c>
      <c r="O1229" s="37">
        <v>6</v>
      </c>
      <c r="P1229" s="37">
        <v>6</v>
      </c>
      <c r="Q1229" s="37">
        <v>6</v>
      </c>
      <c r="R1229" s="37">
        <v>6</v>
      </c>
      <c r="S1229" s="37">
        <v>6</v>
      </c>
      <c r="T1229" s="37">
        <v>5</v>
      </c>
      <c r="U1229" s="37">
        <v>5</v>
      </c>
      <c r="V1229" s="37">
        <v>5</v>
      </c>
      <c r="W1229" s="37">
        <v>6</v>
      </c>
      <c r="X1229" s="37">
        <v>6</v>
      </c>
      <c r="Z1229" s="37">
        <v>6</v>
      </c>
      <c r="AA1229" s="37">
        <v>6</v>
      </c>
      <c r="AB1229" s="37">
        <v>6</v>
      </c>
      <c r="AC1229" s="37">
        <v>6</v>
      </c>
      <c r="AD1229" s="37">
        <v>6</v>
      </c>
      <c r="AE1229" s="37">
        <v>6</v>
      </c>
      <c r="AF1229" s="37">
        <v>6</v>
      </c>
      <c r="AG1229" s="37">
        <v>6</v>
      </c>
      <c r="AH1229" s="37">
        <v>6</v>
      </c>
      <c r="AI1229" s="37">
        <v>6</v>
      </c>
      <c r="AJ1229" s="37">
        <v>6</v>
      </c>
      <c r="AK1229" s="37">
        <v>6</v>
      </c>
      <c r="AL1229" s="37">
        <v>6</v>
      </c>
      <c r="AM1229" s="37">
        <v>6</v>
      </c>
      <c r="AN1229" s="37">
        <v>6</v>
      </c>
      <c r="AO1229" s="37">
        <v>6</v>
      </c>
      <c r="AP1229" s="37">
        <v>6</v>
      </c>
      <c r="AQ1229" s="37">
        <v>6</v>
      </c>
      <c r="AR1229" s="37">
        <v>6</v>
      </c>
      <c r="AS1229" s="37">
        <v>6</v>
      </c>
      <c r="AT1229" s="37">
        <v>6</v>
      </c>
    </row>
    <row r="1230" spans="3:46" s="37" customFormat="1" x14ac:dyDescent="0.25"/>
    <row r="1231" spans="3:46" s="37" customFormat="1" x14ac:dyDescent="0.25">
      <c r="C1231" s="37" t="s">
        <v>20</v>
      </c>
      <c r="D1231" s="37">
        <v>4</v>
      </c>
      <c r="E1231" s="37">
        <v>4</v>
      </c>
      <c r="F1231" s="37">
        <v>4</v>
      </c>
      <c r="G1231" s="37">
        <v>4</v>
      </c>
      <c r="H1231" s="37">
        <v>4</v>
      </c>
      <c r="I1231" s="37">
        <v>4</v>
      </c>
      <c r="J1231" s="37">
        <v>3</v>
      </c>
      <c r="K1231" s="37">
        <v>2</v>
      </c>
      <c r="L1231" s="37">
        <v>2</v>
      </c>
      <c r="M1231" s="37">
        <v>2</v>
      </c>
      <c r="N1231" s="37">
        <v>2</v>
      </c>
      <c r="O1231" s="37">
        <v>2</v>
      </c>
      <c r="P1231" s="37">
        <v>2</v>
      </c>
      <c r="Q1231" s="37">
        <v>2</v>
      </c>
      <c r="R1231" s="37">
        <v>2</v>
      </c>
      <c r="S1231" s="37">
        <v>3</v>
      </c>
      <c r="T1231" s="37">
        <v>3</v>
      </c>
      <c r="U1231" s="37">
        <v>3</v>
      </c>
      <c r="V1231" s="37">
        <v>3</v>
      </c>
      <c r="W1231" s="37">
        <v>3</v>
      </c>
      <c r="X1231" s="37">
        <v>3</v>
      </c>
      <c r="Z1231" s="37">
        <v>4</v>
      </c>
      <c r="AA1231" s="37">
        <v>4</v>
      </c>
      <c r="AB1231" s="37">
        <v>4</v>
      </c>
      <c r="AC1231" s="37">
        <v>4</v>
      </c>
      <c r="AD1231" s="37">
        <v>4</v>
      </c>
      <c r="AE1231" s="37">
        <v>4</v>
      </c>
      <c r="AF1231" s="37">
        <v>4</v>
      </c>
      <c r="AG1231" s="37">
        <v>2</v>
      </c>
      <c r="AH1231" s="37">
        <v>2</v>
      </c>
      <c r="AI1231" s="37">
        <v>2</v>
      </c>
      <c r="AJ1231" s="37">
        <v>2</v>
      </c>
      <c r="AK1231" s="37">
        <v>2</v>
      </c>
      <c r="AL1231" s="37">
        <v>2</v>
      </c>
      <c r="AM1231" s="37">
        <v>3</v>
      </c>
      <c r="AN1231" s="37">
        <v>3</v>
      </c>
      <c r="AO1231" s="37">
        <v>3</v>
      </c>
      <c r="AP1231" s="37">
        <v>3</v>
      </c>
      <c r="AQ1231" s="37">
        <v>3</v>
      </c>
      <c r="AR1231" s="37">
        <v>3</v>
      </c>
      <c r="AS1231" s="37">
        <v>3</v>
      </c>
      <c r="AT1231" s="37">
        <v>3</v>
      </c>
    </row>
    <row r="1232" spans="3:46" s="37" customFormat="1" x14ac:dyDescent="0.25"/>
    <row r="1233" spans="3:46" s="37" customFormat="1" x14ac:dyDescent="0.25">
      <c r="C1233" s="37" t="s">
        <v>21</v>
      </c>
      <c r="D1233" s="37">
        <v>2</v>
      </c>
      <c r="E1233" s="37">
        <v>2</v>
      </c>
      <c r="F1233" s="37">
        <v>2</v>
      </c>
      <c r="G1233" s="37">
        <v>2</v>
      </c>
      <c r="H1233" s="37">
        <v>4</v>
      </c>
      <c r="I1233" s="37">
        <v>4</v>
      </c>
      <c r="J1233" s="37">
        <v>4</v>
      </c>
      <c r="K1233" s="37">
        <v>4</v>
      </c>
      <c r="L1233" s="37">
        <v>4</v>
      </c>
      <c r="M1233" s="37">
        <v>4</v>
      </c>
      <c r="N1233" s="37">
        <v>4</v>
      </c>
      <c r="O1233" s="37">
        <v>4</v>
      </c>
      <c r="P1233" s="37">
        <v>4</v>
      </c>
      <c r="Q1233" s="37">
        <v>4</v>
      </c>
      <c r="R1233" s="37">
        <v>4</v>
      </c>
      <c r="S1233" s="37">
        <v>4</v>
      </c>
      <c r="T1233" s="37">
        <v>4</v>
      </c>
      <c r="U1233" s="37">
        <v>3</v>
      </c>
      <c r="V1233" s="37">
        <v>3</v>
      </c>
      <c r="W1233" s="37">
        <v>3</v>
      </c>
      <c r="X1233" s="37">
        <v>3</v>
      </c>
      <c r="Z1233" s="37">
        <v>2</v>
      </c>
      <c r="AA1233" s="37">
        <v>2</v>
      </c>
      <c r="AB1233" s="37">
        <v>2</v>
      </c>
      <c r="AC1233" s="37">
        <v>2</v>
      </c>
      <c r="AD1233" s="37">
        <v>4</v>
      </c>
      <c r="AE1233" s="37">
        <v>4</v>
      </c>
      <c r="AF1233" s="37">
        <v>4</v>
      </c>
      <c r="AG1233" s="37">
        <v>4</v>
      </c>
      <c r="AH1233" s="37">
        <v>4</v>
      </c>
      <c r="AI1233" s="37">
        <v>4</v>
      </c>
      <c r="AJ1233" s="37">
        <v>4</v>
      </c>
      <c r="AK1233" s="37">
        <v>4</v>
      </c>
      <c r="AL1233" s="37">
        <v>4</v>
      </c>
      <c r="AM1233" s="37">
        <v>4</v>
      </c>
      <c r="AN1233" s="37">
        <v>4</v>
      </c>
      <c r="AO1233" s="37">
        <v>4</v>
      </c>
      <c r="AP1233" s="37">
        <v>4</v>
      </c>
      <c r="AQ1233" s="37">
        <v>3</v>
      </c>
      <c r="AR1233" s="37">
        <v>3</v>
      </c>
      <c r="AS1233" s="37">
        <v>3</v>
      </c>
      <c r="AT1233" s="37">
        <v>3</v>
      </c>
    </row>
    <row r="1234" spans="3:46" s="37" customFormat="1" x14ac:dyDescent="0.25"/>
    <row r="1235" spans="3:46" s="37" customFormat="1" x14ac:dyDescent="0.25">
      <c r="C1235" s="37" t="s">
        <v>20</v>
      </c>
      <c r="D1235" s="37">
        <v>3</v>
      </c>
      <c r="E1235" s="37">
        <v>3</v>
      </c>
      <c r="F1235" s="37">
        <v>3</v>
      </c>
      <c r="G1235" s="37">
        <v>3</v>
      </c>
      <c r="H1235" s="37">
        <v>3</v>
      </c>
      <c r="I1235" s="37">
        <v>3</v>
      </c>
      <c r="J1235" s="37">
        <v>3</v>
      </c>
      <c r="K1235" s="37">
        <v>3</v>
      </c>
      <c r="L1235" s="37">
        <v>2</v>
      </c>
      <c r="M1235" s="37">
        <v>2</v>
      </c>
      <c r="N1235" s="37">
        <v>2</v>
      </c>
      <c r="O1235" s="37">
        <v>2</v>
      </c>
      <c r="P1235" s="37">
        <v>2</v>
      </c>
      <c r="Q1235" s="37">
        <v>2</v>
      </c>
      <c r="R1235" s="37">
        <v>3</v>
      </c>
      <c r="S1235" s="37">
        <v>3</v>
      </c>
      <c r="T1235" s="37">
        <v>3</v>
      </c>
      <c r="U1235" s="37">
        <v>3</v>
      </c>
      <c r="V1235" s="37">
        <v>3</v>
      </c>
      <c r="W1235" s="37">
        <v>3</v>
      </c>
      <c r="X1235" s="37">
        <v>3</v>
      </c>
      <c r="Z1235" s="37">
        <v>3</v>
      </c>
      <c r="AA1235" s="37">
        <v>3</v>
      </c>
      <c r="AB1235" s="37">
        <v>3</v>
      </c>
      <c r="AC1235" s="37">
        <v>3</v>
      </c>
      <c r="AD1235" s="37">
        <v>3</v>
      </c>
      <c r="AE1235" s="37">
        <v>3</v>
      </c>
      <c r="AF1235" s="37">
        <v>3</v>
      </c>
      <c r="AG1235" s="37">
        <v>3</v>
      </c>
      <c r="AH1235" s="37">
        <v>3</v>
      </c>
      <c r="AI1235" s="37">
        <v>3</v>
      </c>
      <c r="AJ1235" s="37">
        <v>3</v>
      </c>
      <c r="AK1235" s="37">
        <v>3</v>
      </c>
      <c r="AL1235" s="37">
        <v>3</v>
      </c>
      <c r="AM1235" s="37">
        <v>3</v>
      </c>
      <c r="AN1235" s="37">
        <v>3</v>
      </c>
      <c r="AO1235" s="37">
        <v>3</v>
      </c>
      <c r="AP1235" s="37">
        <v>3</v>
      </c>
      <c r="AQ1235" s="37">
        <v>3</v>
      </c>
      <c r="AR1235" s="37">
        <v>3</v>
      </c>
      <c r="AS1235" s="37">
        <v>3</v>
      </c>
      <c r="AT1235" s="37">
        <v>3</v>
      </c>
    </row>
    <row r="1236" spans="3:46" s="37" customFormat="1" x14ac:dyDescent="0.25"/>
    <row r="1237" spans="3:46" s="37" customFormat="1" x14ac:dyDescent="0.25">
      <c r="C1237" s="37" t="s">
        <v>21</v>
      </c>
      <c r="D1237" s="37">
        <v>3</v>
      </c>
      <c r="E1237" s="37">
        <v>3</v>
      </c>
      <c r="F1237" s="37">
        <v>3</v>
      </c>
      <c r="G1237" s="37">
        <v>3</v>
      </c>
      <c r="H1237" s="37">
        <v>3</v>
      </c>
      <c r="I1237" s="37">
        <v>3</v>
      </c>
      <c r="J1237" s="37">
        <v>3</v>
      </c>
      <c r="K1237" s="37">
        <v>3</v>
      </c>
      <c r="L1237" s="37">
        <v>3</v>
      </c>
      <c r="M1237" s="37">
        <v>3</v>
      </c>
      <c r="N1237" s="37">
        <v>3</v>
      </c>
      <c r="O1237" s="37">
        <v>3</v>
      </c>
      <c r="P1237" s="37">
        <v>3</v>
      </c>
      <c r="Q1237" s="37">
        <v>3</v>
      </c>
      <c r="R1237" s="37">
        <v>3</v>
      </c>
      <c r="S1237" s="37">
        <v>3</v>
      </c>
      <c r="T1237" s="37">
        <v>3</v>
      </c>
      <c r="U1237" s="37">
        <v>3</v>
      </c>
      <c r="V1237" s="37">
        <v>3</v>
      </c>
      <c r="W1237" s="37">
        <v>3</v>
      </c>
      <c r="X1237" s="37">
        <v>3</v>
      </c>
      <c r="Z1237" s="37">
        <v>3</v>
      </c>
      <c r="AA1237" s="37">
        <v>3</v>
      </c>
      <c r="AB1237" s="37">
        <v>3</v>
      </c>
      <c r="AC1237" s="37">
        <v>3</v>
      </c>
      <c r="AD1237" s="37">
        <v>3</v>
      </c>
      <c r="AE1237" s="37">
        <v>3</v>
      </c>
      <c r="AF1237" s="37">
        <v>3</v>
      </c>
      <c r="AG1237" s="37">
        <v>3</v>
      </c>
      <c r="AH1237" s="37">
        <v>3</v>
      </c>
      <c r="AI1237" s="37">
        <v>3</v>
      </c>
      <c r="AJ1237" s="37">
        <v>3</v>
      </c>
      <c r="AK1237" s="37">
        <v>3</v>
      </c>
      <c r="AL1237" s="37">
        <v>3</v>
      </c>
      <c r="AM1237" s="37">
        <v>3</v>
      </c>
      <c r="AN1237" s="37">
        <v>3</v>
      </c>
      <c r="AO1237" s="37">
        <v>3</v>
      </c>
      <c r="AP1237" s="37">
        <v>3</v>
      </c>
      <c r="AQ1237" s="37">
        <v>3</v>
      </c>
      <c r="AR1237" s="37">
        <v>3</v>
      </c>
      <c r="AS1237" s="37">
        <v>3</v>
      </c>
      <c r="AT1237" s="37">
        <v>3</v>
      </c>
    </row>
    <row r="1238" spans="3:46" s="37" customFormat="1" x14ac:dyDescent="0.25"/>
    <row r="1239" spans="3:46" s="37" customFormat="1" x14ac:dyDescent="0.25">
      <c r="C1239" s="37" t="s">
        <v>20</v>
      </c>
      <c r="D1239" s="37">
        <v>3</v>
      </c>
      <c r="E1239" s="37">
        <v>3</v>
      </c>
      <c r="F1239" s="37">
        <v>3</v>
      </c>
      <c r="G1239" s="37">
        <v>3</v>
      </c>
      <c r="H1239" s="37">
        <v>3</v>
      </c>
      <c r="I1239" s="37">
        <v>3</v>
      </c>
      <c r="J1239" s="37">
        <v>3</v>
      </c>
      <c r="K1239" s="37">
        <v>2</v>
      </c>
      <c r="L1239" s="37">
        <v>2</v>
      </c>
      <c r="M1239" s="37">
        <v>2</v>
      </c>
      <c r="N1239" s="37">
        <v>2</v>
      </c>
      <c r="O1239" s="37">
        <v>2</v>
      </c>
      <c r="P1239" s="37">
        <v>2</v>
      </c>
      <c r="Q1239" s="37">
        <v>2</v>
      </c>
      <c r="R1239" s="37">
        <v>3</v>
      </c>
      <c r="S1239" s="37">
        <v>3</v>
      </c>
      <c r="T1239" s="37">
        <v>3</v>
      </c>
      <c r="U1239" s="37">
        <v>3</v>
      </c>
      <c r="V1239" s="37">
        <v>3</v>
      </c>
      <c r="W1239" s="37">
        <v>3</v>
      </c>
      <c r="X1239" s="37">
        <v>3</v>
      </c>
      <c r="Z1239" s="37">
        <v>3</v>
      </c>
      <c r="AA1239" s="37">
        <v>3</v>
      </c>
      <c r="AB1239" s="37">
        <v>3</v>
      </c>
      <c r="AC1239" s="37">
        <v>3</v>
      </c>
      <c r="AD1239" s="37">
        <v>3</v>
      </c>
      <c r="AE1239" s="37">
        <v>3</v>
      </c>
      <c r="AF1239" s="37">
        <v>3</v>
      </c>
      <c r="AG1239" s="37">
        <v>2</v>
      </c>
      <c r="AH1239" s="37">
        <v>2</v>
      </c>
      <c r="AI1239" s="37">
        <v>2</v>
      </c>
      <c r="AJ1239" s="37">
        <v>2</v>
      </c>
      <c r="AK1239" s="37">
        <v>2</v>
      </c>
      <c r="AL1239" s="37">
        <v>2</v>
      </c>
      <c r="AM1239" s="37">
        <v>3</v>
      </c>
      <c r="AN1239" s="37">
        <v>3</v>
      </c>
      <c r="AO1239" s="37">
        <v>3</v>
      </c>
      <c r="AP1239" s="37">
        <v>3</v>
      </c>
      <c r="AQ1239" s="37">
        <v>3</v>
      </c>
      <c r="AR1239" s="37">
        <v>3</v>
      </c>
      <c r="AS1239" s="37">
        <v>3</v>
      </c>
      <c r="AT1239" s="37">
        <v>3</v>
      </c>
    </row>
    <row r="1240" spans="3:46" s="37" customFormat="1" x14ac:dyDescent="0.25"/>
    <row r="1241" spans="3:46" s="37" customFormat="1" x14ac:dyDescent="0.25">
      <c r="C1241" s="37" t="s">
        <v>21</v>
      </c>
      <c r="D1241" s="37">
        <v>2</v>
      </c>
      <c r="E1241" s="37">
        <v>2</v>
      </c>
      <c r="F1241" s="37">
        <v>2</v>
      </c>
      <c r="G1241" s="37">
        <v>2</v>
      </c>
      <c r="H1241" s="37">
        <v>3</v>
      </c>
      <c r="I1241" s="37">
        <v>3</v>
      </c>
      <c r="J1241" s="37">
        <v>3</v>
      </c>
      <c r="K1241" s="37">
        <v>3</v>
      </c>
      <c r="L1241" s="37">
        <v>3</v>
      </c>
      <c r="M1241" s="37">
        <v>3</v>
      </c>
      <c r="N1241" s="37">
        <v>3</v>
      </c>
      <c r="O1241" s="37">
        <v>3</v>
      </c>
      <c r="P1241" s="37">
        <v>3</v>
      </c>
      <c r="Q1241" s="37">
        <v>3</v>
      </c>
      <c r="R1241" s="37">
        <v>3</v>
      </c>
      <c r="S1241" s="37">
        <v>3</v>
      </c>
      <c r="T1241" s="37">
        <v>3</v>
      </c>
      <c r="U1241" s="37">
        <v>2</v>
      </c>
      <c r="V1241" s="37">
        <v>2</v>
      </c>
      <c r="W1241" s="37">
        <v>2</v>
      </c>
      <c r="X1241" s="37">
        <v>2</v>
      </c>
      <c r="Z1241" s="37">
        <v>2</v>
      </c>
      <c r="AA1241" s="37">
        <v>2</v>
      </c>
      <c r="AB1241" s="37">
        <v>2</v>
      </c>
      <c r="AC1241" s="37">
        <v>2</v>
      </c>
      <c r="AD1241" s="37">
        <v>3</v>
      </c>
      <c r="AE1241" s="37">
        <v>3</v>
      </c>
      <c r="AF1241" s="37">
        <v>3</v>
      </c>
      <c r="AG1241" s="37">
        <v>3</v>
      </c>
      <c r="AH1241" s="37">
        <v>3</v>
      </c>
      <c r="AI1241" s="37">
        <v>3</v>
      </c>
      <c r="AJ1241" s="37">
        <v>3</v>
      </c>
      <c r="AK1241" s="37">
        <v>3</v>
      </c>
      <c r="AL1241" s="37">
        <v>3</v>
      </c>
      <c r="AM1241" s="37">
        <v>3</v>
      </c>
      <c r="AN1241" s="37">
        <v>3</v>
      </c>
      <c r="AO1241" s="37">
        <v>3</v>
      </c>
      <c r="AP1241" s="37">
        <v>3</v>
      </c>
      <c r="AQ1241" s="37">
        <v>2</v>
      </c>
      <c r="AR1241" s="37">
        <v>2</v>
      </c>
      <c r="AS1241" s="37">
        <v>2</v>
      </c>
      <c r="AT1241" s="37">
        <v>2</v>
      </c>
    </row>
    <row r="1242" spans="3:46" s="37" customFormat="1" x14ac:dyDescent="0.25"/>
    <row r="1243" spans="3:46" s="37" customFormat="1" x14ac:dyDescent="0.25">
      <c r="C1243" s="37" t="s">
        <v>20</v>
      </c>
      <c r="D1243" s="37">
        <v>3</v>
      </c>
      <c r="E1243" s="37">
        <v>3</v>
      </c>
      <c r="F1243" s="37">
        <v>3</v>
      </c>
      <c r="G1243" s="37">
        <v>3</v>
      </c>
      <c r="H1243" s="37">
        <v>3</v>
      </c>
      <c r="I1243" s="37">
        <v>3</v>
      </c>
      <c r="J1243" s="37">
        <v>3</v>
      </c>
      <c r="K1243" s="37">
        <v>2</v>
      </c>
      <c r="L1243" s="37">
        <v>2</v>
      </c>
      <c r="M1243" s="37">
        <v>2</v>
      </c>
      <c r="N1243" s="37">
        <v>2</v>
      </c>
      <c r="O1243" s="37">
        <v>2</v>
      </c>
      <c r="P1243" s="37">
        <v>2</v>
      </c>
      <c r="Q1243" s="37">
        <v>2</v>
      </c>
      <c r="R1243" s="37">
        <v>2</v>
      </c>
      <c r="S1243" s="37">
        <v>3</v>
      </c>
      <c r="T1243" s="37">
        <v>3</v>
      </c>
      <c r="U1243" s="37">
        <v>3</v>
      </c>
      <c r="V1243" s="37">
        <v>3</v>
      </c>
      <c r="W1243" s="37">
        <v>3</v>
      </c>
      <c r="X1243" s="37">
        <v>3</v>
      </c>
      <c r="Z1243" s="37">
        <v>3</v>
      </c>
      <c r="AA1243" s="37">
        <v>3</v>
      </c>
      <c r="AB1243" s="37">
        <v>3</v>
      </c>
      <c r="AC1243" s="37">
        <v>3</v>
      </c>
      <c r="AD1243" s="37">
        <v>3</v>
      </c>
      <c r="AE1243" s="37">
        <v>3</v>
      </c>
      <c r="AF1243" s="37">
        <v>3</v>
      </c>
      <c r="AG1243" s="37">
        <v>2</v>
      </c>
      <c r="AH1243" s="37">
        <v>2</v>
      </c>
      <c r="AI1243" s="37">
        <v>2</v>
      </c>
      <c r="AJ1243" s="37">
        <v>2</v>
      </c>
      <c r="AK1243" s="37">
        <v>2</v>
      </c>
      <c r="AL1243" s="37">
        <v>2</v>
      </c>
      <c r="AM1243" s="37">
        <v>3</v>
      </c>
      <c r="AN1243" s="37">
        <v>3</v>
      </c>
      <c r="AO1243" s="37">
        <v>3</v>
      </c>
      <c r="AP1243" s="37">
        <v>3</v>
      </c>
      <c r="AQ1243" s="37">
        <v>3</v>
      </c>
      <c r="AR1243" s="37">
        <v>3</v>
      </c>
      <c r="AS1243" s="37">
        <v>3</v>
      </c>
      <c r="AT1243" s="37">
        <v>3</v>
      </c>
    </row>
    <row r="1244" spans="3:46" s="37" customFormat="1" x14ac:dyDescent="0.25"/>
    <row r="1245" spans="3:46" s="37" customFormat="1" x14ac:dyDescent="0.25">
      <c r="C1245" s="37" t="s">
        <v>21</v>
      </c>
      <c r="D1245" s="37">
        <v>2</v>
      </c>
      <c r="E1245" s="37">
        <v>2</v>
      </c>
      <c r="F1245" s="37">
        <v>2</v>
      </c>
      <c r="G1245" s="37">
        <v>2</v>
      </c>
      <c r="H1245" s="37">
        <v>3</v>
      </c>
      <c r="I1245" s="37">
        <v>3</v>
      </c>
      <c r="J1245" s="37">
        <v>3</v>
      </c>
      <c r="K1245" s="37">
        <v>3</v>
      </c>
      <c r="L1245" s="37">
        <v>3</v>
      </c>
      <c r="M1245" s="37">
        <v>3</v>
      </c>
      <c r="N1245" s="37">
        <v>3</v>
      </c>
      <c r="O1245" s="37">
        <v>3</v>
      </c>
      <c r="P1245" s="37">
        <v>3</v>
      </c>
      <c r="Q1245" s="37">
        <v>3</v>
      </c>
      <c r="R1245" s="37">
        <v>3</v>
      </c>
      <c r="S1245" s="37">
        <v>3</v>
      </c>
      <c r="T1245" s="37">
        <v>3</v>
      </c>
      <c r="U1245" s="37">
        <v>2</v>
      </c>
      <c r="V1245" s="37">
        <v>2</v>
      </c>
      <c r="W1245" s="37">
        <v>2</v>
      </c>
      <c r="X1245" s="37">
        <v>2</v>
      </c>
      <c r="Z1245" s="37">
        <v>2</v>
      </c>
      <c r="AA1245" s="37">
        <v>2</v>
      </c>
      <c r="AB1245" s="37">
        <v>2</v>
      </c>
      <c r="AC1245" s="37">
        <v>2</v>
      </c>
      <c r="AD1245" s="37">
        <v>3</v>
      </c>
      <c r="AE1245" s="37">
        <v>3</v>
      </c>
      <c r="AF1245" s="37">
        <v>3</v>
      </c>
      <c r="AG1245" s="37">
        <v>3</v>
      </c>
      <c r="AH1245" s="37">
        <v>3</v>
      </c>
      <c r="AI1245" s="37">
        <v>3</v>
      </c>
      <c r="AJ1245" s="37">
        <v>3</v>
      </c>
      <c r="AK1245" s="37">
        <v>3</v>
      </c>
      <c r="AL1245" s="37">
        <v>3</v>
      </c>
      <c r="AM1245" s="37">
        <v>3</v>
      </c>
      <c r="AN1245" s="37">
        <v>3</v>
      </c>
      <c r="AO1245" s="37">
        <v>3</v>
      </c>
      <c r="AP1245" s="37">
        <v>3</v>
      </c>
      <c r="AQ1245" s="37">
        <v>2</v>
      </c>
      <c r="AR1245" s="37">
        <v>2</v>
      </c>
      <c r="AS1245" s="37">
        <v>2</v>
      </c>
      <c r="AT1245" s="37">
        <v>2</v>
      </c>
    </row>
    <row r="1246" spans="3:46" s="37" customFormat="1" x14ac:dyDescent="0.25"/>
    <row r="1247" spans="3:46" s="37" customFormat="1" x14ac:dyDescent="0.25">
      <c r="C1247" s="37" t="s">
        <v>20</v>
      </c>
      <c r="D1247" s="37">
        <v>3</v>
      </c>
      <c r="E1247" s="37">
        <v>3</v>
      </c>
      <c r="F1247" s="37">
        <v>3</v>
      </c>
      <c r="G1247" s="37">
        <v>3</v>
      </c>
      <c r="H1247" s="37">
        <v>3</v>
      </c>
      <c r="I1247" s="37">
        <v>3</v>
      </c>
      <c r="J1247" s="37">
        <v>3</v>
      </c>
      <c r="K1247" s="37">
        <v>2</v>
      </c>
      <c r="L1247" s="37">
        <v>2</v>
      </c>
      <c r="M1247" s="37">
        <v>2</v>
      </c>
      <c r="N1247" s="37">
        <v>2</v>
      </c>
      <c r="O1247" s="37">
        <v>2</v>
      </c>
      <c r="P1247" s="37">
        <v>2</v>
      </c>
      <c r="Q1247" s="37">
        <v>2</v>
      </c>
      <c r="R1247" s="37">
        <v>3</v>
      </c>
      <c r="S1247" s="37">
        <v>3</v>
      </c>
      <c r="T1247" s="37">
        <v>3</v>
      </c>
      <c r="U1247" s="37">
        <v>3</v>
      </c>
      <c r="V1247" s="37">
        <v>3</v>
      </c>
      <c r="W1247" s="37">
        <v>3</v>
      </c>
      <c r="X1247" s="37">
        <v>3</v>
      </c>
      <c r="Z1247" s="37">
        <v>3</v>
      </c>
      <c r="AA1247" s="37">
        <v>3</v>
      </c>
      <c r="AB1247" s="37">
        <v>3</v>
      </c>
      <c r="AC1247" s="37">
        <v>3</v>
      </c>
      <c r="AD1247" s="37">
        <v>3</v>
      </c>
      <c r="AE1247" s="37">
        <v>3</v>
      </c>
      <c r="AF1247" s="37">
        <v>3</v>
      </c>
      <c r="AG1247" s="37">
        <v>2</v>
      </c>
      <c r="AH1247" s="37">
        <v>2</v>
      </c>
      <c r="AI1247" s="37">
        <v>2</v>
      </c>
      <c r="AJ1247" s="37">
        <v>2</v>
      </c>
      <c r="AK1247" s="37">
        <v>2</v>
      </c>
      <c r="AL1247" s="37">
        <v>2</v>
      </c>
      <c r="AM1247" s="37">
        <v>3</v>
      </c>
      <c r="AN1247" s="37">
        <v>3</v>
      </c>
      <c r="AO1247" s="37">
        <v>3</v>
      </c>
      <c r="AP1247" s="37">
        <v>3</v>
      </c>
      <c r="AQ1247" s="37">
        <v>3</v>
      </c>
      <c r="AR1247" s="37">
        <v>3</v>
      </c>
      <c r="AS1247" s="37">
        <v>3</v>
      </c>
      <c r="AT1247" s="37">
        <v>3</v>
      </c>
    </row>
    <row r="1248" spans="3:46" s="37" customFormat="1" x14ac:dyDescent="0.25"/>
    <row r="1249" spans="3:46" s="37" customFormat="1" x14ac:dyDescent="0.25">
      <c r="C1249" s="37" t="s">
        <v>21</v>
      </c>
      <c r="D1249" s="37">
        <v>2</v>
      </c>
      <c r="E1249" s="37">
        <v>2</v>
      </c>
      <c r="F1249" s="37">
        <v>2</v>
      </c>
      <c r="G1249" s="37">
        <v>2</v>
      </c>
      <c r="H1249" s="37">
        <v>3</v>
      </c>
      <c r="I1249" s="37">
        <v>3</v>
      </c>
      <c r="J1249" s="37">
        <v>3</v>
      </c>
      <c r="K1249" s="37">
        <v>3</v>
      </c>
      <c r="L1249" s="37">
        <v>3</v>
      </c>
      <c r="M1249" s="37">
        <v>3</v>
      </c>
      <c r="N1249" s="37">
        <v>3</v>
      </c>
      <c r="O1249" s="37">
        <v>3</v>
      </c>
      <c r="P1249" s="37">
        <v>3</v>
      </c>
      <c r="Q1249" s="37">
        <v>3</v>
      </c>
      <c r="R1249" s="37">
        <v>3</v>
      </c>
      <c r="S1249" s="37">
        <v>3</v>
      </c>
      <c r="T1249" s="37">
        <v>3</v>
      </c>
      <c r="U1249" s="37">
        <v>2</v>
      </c>
      <c r="V1249" s="37">
        <v>2</v>
      </c>
      <c r="W1249" s="37">
        <v>2</v>
      </c>
      <c r="X1249" s="37">
        <v>2</v>
      </c>
      <c r="Z1249" s="37">
        <v>2</v>
      </c>
      <c r="AA1249" s="37">
        <v>2</v>
      </c>
      <c r="AB1249" s="37">
        <v>2</v>
      </c>
      <c r="AC1249" s="37">
        <v>2</v>
      </c>
      <c r="AD1249" s="37">
        <v>3</v>
      </c>
      <c r="AE1249" s="37">
        <v>3</v>
      </c>
      <c r="AF1249" s="37">
        <v>3</v>
      </c>
      <c r="AG1249" s="37">
        <v>3</v>
      </c>
      <c r="AH1249" s="37">
        <v>3</v>
      </c>
      <c r="AI1249" s="37">
        <v>3</v>
      </c>
      <c r="AJ1249" s="37">
        <v>3</v>
      </c>
      <c r="AK1249" s="37">
        <v>3</v>
      </c>
      <c r="AL1249" s="37">
        <v>3</v>
      </c>
      <c r="AM1249" s="37">
        <v>3</v>
      </c>
      <c r="AN1249" s="37">
        <v>3</v>
      </c>
      <c r="AO1249" s="37">
        <v>3</v>
      </c>
      <c r="AP1249" s="37">
        <v>3</v>
      </c>
      <c r="AQ1249" s="37">
        <v>2</v>
      </c>
      <c r="AR1249" s="37">
        <v>2</v>
      </c>
      <c r="AS1249" s="37">
        <v>2</v>
      </c>
      <c r="AT1249" s="37">
        <v>2</v>
      </c>
    </row>
    <row r="1250" spans="3:46" s="37" customFormat="1" x14ac:dyDescent="0.25"/>
    <row r="1251" spans="3:46" s="37" customFormat="1" x14ac:dyDescent="0.25">
      <c r="C1251" s="37" t="s">
        <v>20</v>
      </c>
      <c r="D1251" s="37">
        <v>4</v>
      </c>
      <c r="E1251" s="37">
        <v>4</v>
      </c>
      <c r="F1251" s="37">
        <v>4</v>
      </c>
      <c r="G1251" s="37">
        <v>4</v>
      </c>
      <c r="H1251" s="37">
        <v>4</v>
      </c>
      <c r="I1251" s="37">
        <v>4</v>
      </c>
      <c r="J1251" s="37">
        <v>4</v>
      </c>
      <c r="K1251" s="37">
        <v>2</v>
      </c>
      <c r="L1251" s="37">
        <v>2</v>
      </c>
      <c r="M1251" s="37">
        <v>2</v>
      </c>
      <c r="N1251" s="37">
        <v>2</v>
      </c>
      <c r="O1251" s="37">
        <v>2</v>
      </c>
      <c r="P1251" s="37">
        <v>2</v>
      </c>
      <c r="Q1251" s="37">
        <v>4</v>
      </c>
      <c r="R1251" s="37">
        <v>4</v>
      </c>
      <c r="S1251" s="37">
        <v>5</v>
      </c>
      <c r="T1251" s="37">
        <v>5</v>
      </c>
      <c r="U1251" s="37">
        <v>5</v>
      </c>
      <c r="V1251" s="37">
        <v>5</v>
      </c>
      <c r="W1251" s="37">
        <v>5</v>
      </c>
      <c r="X1251" s="37">
        <v>5</v>
      </c>
      <c r="Z1251" s="37">
        <v>4</v>
      </c>
      <c r="AA1251" s="37">
        <v>4</v>
      </c>
      <c r="AB1251" s="37">
        <v>4</v>
      </c>
      <c r="AC1251" s="37">
        <v>4</v>
      </c>
      <c r="AD1251" s="37">
        <v>4</v>
      </c>
      <c r="AE1251" s="37">
        <v>4</v>
      </c>
      <c r="AF1251" s="37">
        <v>4</v>
      </c>
      <c r="AG1251" s="37">
        <v>2</v>
      </c>
      <c r="AH1251" s="37">
        <v>2</v>
      </c>
      <c r="AI1251" s="37">
        <v>2</v>
      </c>
      <c r="AJ1251" s="37">
        <v>2</v>
      </c>
      <c r="AK1251" s="37">
        <v>2</v>
      </c>
      <c r="AL1251" s="37">
        <v>2</v>
      </c>
      <c r="AM1251" s="37">
        <v>5</v>
      </c>
      <c r="AN1251" s="37">
        <v>5</v>
      </c>
      <c r="AO1251" s="37">
        <v>5</v>
      </c>
      <c r="AP1251" s="37">
        <v>5</v>
      </c>
      <c r="AQ1251" s="37">
        <v>5</v>
      </c>
      <c r="AR1251" s="37">
        <v>5</v>
      </c>
      <c r="AS1251" s="37">
        <v>5</v>
      </c>
      <c r="AT1251" s="37">
        <v>5</v>
      </c>
    </row>
    <row r="1252" spans="3:46" s="37" customFormat="1" x14ac:dyDescent="0.25"/>
    <row r="1253" spans="3:46" s="37" customFormat="1" x14ac:dyDescent="0.25">
      <c r="C1253" s="37" t="s">
        <v>21</v>
      </c>
      <c r="D1253" s="37">
        <v>4</v>
      </c>
      <c r="E1253" s="37">
        <v>4</v>
      </c>
      <c r="F1253" s="37">
        <v>4</v>
      </c>
      <c r="G1253" s="37">
        <v>4</v>
      </c>
      <c r="H1253" s="37">
        <v>4</v>
      </c>
      <c r="I1253" s="37">
        <v>4</v>
      </c>
      <c r="J1253" s="37">
        <v>3</v>
      </c>
      <c r="K1253" s="37">
        <v>3</v>
      </c>
      <c r="L1253" s="37">
        <v>3</v>
      </c>
      <c r="M1253" s="37">
        <v>3</v>
      </c>
      <c r="N1253" s="37">
        <v>3</v>
      </c>
      <c r="O1253" s="37">
        <v>3</v>
      </c>
      <c r="P1253" s="37">
        <v>3</v>
      </c>
      <c r="Q1253" s="37">
        <v>3</v>
      </c>
      <c r="R1253" s="37">
        <v>3</v>
      </c>
      <c r="S1253" s="37">
        <v>3</v>
      </c>
      <c r="T1253" s="37">
        <v>3</v>
      </c>
      <c r="U1253" s="37">
        <v>3</v>
      </c>
      <c r="V1253" s="37">
        <v>3</v>
      </c>
      <c r="W1253" s="37">
        <v>3</v>
      </c>
      <c r="X1253" s="37">
        <v>3</v>
      </c>
      <c r="Z1253" s="37">
        <v>4</v>
      </c>
      <c r="AA1253" s="37">
        <v>4</v>
      </c>
      <c r="AB1253" s="37">
        <v>4</v>
      </c>
      <c r="AC1253" s="37">
        <v>4</v>
      </c>
      <c r="AD1253" s="37">
        <v>4</v>
      </c>
      <c r="AE1253" s="37">
        <v>4</v>
      </c>
      <c r="AF1253" s="37">
        <v>4</v>
      </c>
      <c r="AG1253" s="37">
        <v>3</v>
      </c>
      <c r="AH1253" s="37">
        <v>3</v>
      </c>
      <c r="AI1253" s="37">
        <v>3</v>
      </c>
      <c r="AJ1253" s="37">
        <v>3</v>
      </c>
      <c r="AK1253" s="37">
        <v>3</v>
      </c>
      <c r="AL1253" s="37">
        <v>3</v>
      </c>
      <c r="AM1253" s="37">
        <v>3</v>
      </c>
      <c r="AN1253" s="37">
        <v>3</v>
      </c>
      <c r="AO1253" s="37">
        <v>3</v>
      </c>
      <c r="AP1253" s="37">
        <v>3</v>
      </c>
      <c r="AQ1253" s="37">
        <v>3</v>
      </c>
      <c r="AR1253" s="37">
        <v>3</v>
      </c>
      <c r="AS1253" s="37">
        <v>3</v>
      </c>
      <c r="AT1253" s="37">
        <v>3</v>
      </c>
    </row>
    <row r="1254" spans="3:46" s="37" customFormat="1" x14ac:dyDescent="0.25"/>
    <row r="1255" spans="3:46" s="37" customFormat="1" x14ac:dyDescent="0.25">
      <c r="C1255" s="37" t="s">
        <v>20</v>
      </c>
      <c r="D1255" s="37">
        <v>3</v>
      </c>
      <c r="E1255" s="37">
        <v>3</v>
      </c>
      <c r="F1255" s="37">
        <v>3</v>
      </c>
      <c r="G1255" s="37">
        <v>3</v>
      </c>
      <c r="H1255" s="37">
        <v>3</v>
      </c>
      <c r="I1255" s="37">
        <v>3</v>
      </c>
      <c r="J1255" s="37">
        <v>3</v>
      </c>
      <c r="K1255" s="37">
        <v>2</v>
      </c>
      <c r="L1255" s="37">
        <v>2</v>
      </c>
      <c r="M1255" s="37">
        <v>2</v>
      </c>
      <c r="N1255" s="37">
        <v>2</v>
      </c>
      <c r="O1255" s="37">
        <v>2</v>
      </c>
      <c r="P1255" s="37">
        <v>2</v>
      </c>
      <c r="Q1255" s="37">
        <v>2</v>
      </c>
      <c r="R1255" s="37">
        <v>3</v>
      </c>
      <c r="S1255" s="37">
        <v>3</v>
      </c>
      <c r="T1255" s="37">
        <v>3</v>
      </c>
      <c r="U1255" s="37">
        <v>3</v>
      </c>
      <c r="V1255" s="37">
        <v>3</v>
      </c>
      <c r="W1255" s="37">
        <v>3</v>
      </c>
      <c r="X1255" s="37">
        <v>3</v>
      </c>
      <c r="Z1255" s="37">
        <v>3</v>
      </c>
      <c r="AA1255" s="37">
        <v>3</v>
      </c>
      <c r="AB1255" s="37">
        <v>3</v>
      </c>
      <c r="AC1255" s="37">
        <v>3</v>
      </c>
      <c r="AD1255" s="37">
        <v>3</v>
      </c>
      <c r="AE1255" s="37">
        <v>3</v>
      </c>
      <c r="AF1255" s="37">
        <v>3</v>
      </c>
      <c r="AG1255" s="37">
        <v>2</v>
      </c>
      <c r="AH1255" s="37">
        <v>2</v>
      </c>
      <c r="AI1255" s="37">
        <v>2</v>
      </c>
      <c r="AJ1255" s="37">
        <v>2</v>
      </c>
      <c r="AK1255" s="37">
        <v>2</v>
      </c>
      <c r="AL1255" s="37">
        <v>2</v>
      </c>
      <c r="AM1255" s="37">
        <v>3</v>
      </c>
      <c r="AN1255" s="37">
        <v>3</v>
      </c>
      <c r="AO1255" s="37">
        <v>3</v>
      </c>
      <c r="AP1255" s="37">
        <v>3</v>
      </c>
      <c r="AQ1255" s="37">
        <v>3</v>
      </c>
      <c r="AR1255" s="37">
        <v>3</v>
      </c>
      <c r="AS1255" s="37">
        <v>3</v>
      </c>
      <c r="AT1255" s="37">
        <v>3</v>
      </c>
    </row>
    <row r="1256" spans="3:46" s="37" customFormat="1" x14ac:dyDescent="0.25"/>
    <row r="1257" spans="3:46" s="37" customFormat="1" x14ac:dyDescent="0.25">
      <c r="C1257" s="37" t="s">
        <v>21</v>
      </c>
      <c r="D1257" s="37">
        <v>2</v>
      </c>
      <c r="E1257" s="37">
        <v>2</v>
      </c>
      <c r="F1257" s="37">
        <v>2</v>
      </c>
      <c r="G1257" s="37">
        <v>2</v>
      </c>
      <c r="H1257" s="37">
        <v>3</v>
      </c>
      <c r="I1257" s="37">
        <v>3</v>
      </c>
      <c r="J1257" s="37">
        <v>3</v>
      </c>
      <c r="K1257" s="37">
        <v>3</v>
      </c>
      <c r="L1257" s="37">
        <v>3</v>
      </c>
      <c r="M1257" s="37">
        <v>3</v>
      </c>
      <c r="N1257" s="37">
        <v>3</v>
      </c>
      <c r="O1257" s="37">
        <v>3</v>
      </c>
      <c r="P1257" s="37">
        <v>3</v>
      </c>
      <c r="Q1257" s="37">
        <v>3</v>
      </c>
      <c r="R1257" s="37">
        <v>3</v>
      </c>
      <c r="S1257" s="37">
        <v>3</v>
      </c>
      <c r="T1257" s="37">
        <v>3</v>
      </c>
      <c r="U1257" s="37">
        <v>2</v>
      </c>
      <c r="V1257" s="37">
        <v>2</v>
      </c>
      <c r="W1257" s="37">
        <v>2</v>
      </c>
      <c r="X1257" s="37">
        <v>2</v>
      </c>
      <c r="Z1257" s="37">
        <v>2</v>
      </c>
      <c r="AA1257" s="37">
        <v>2</v>
      </c>
      <c r="AB1257" s="37">
        <v>2</v>
      </c>
      <c r="AC1257" s="37">
        <v>2</v>
      </c>
      <c r="AD1257" s="37">
        <v>3</v>
      </c>
      <c r="AE1257" s="37">
        <v>3</v>
      </c>
      <c r="AF1257" s="37">
        <v>3</v>
      </c>
      <c r="AG1257" s="37">
        <v>3</v>
      </c>
      <c r="AH1257" s="37">
        <v>3</v>
      </c>
      <c r="AI1257" s="37">
        <v>3</v>
      </c>
      <c r="AJ1257" s="37">
        <v>3</v>
      </c>
      <c r="AK1257" s="37">
        <v>3</v>
      </c>
      <c r="AL1257" s="37">
        <v>3</v>
      </c>
      <c r="AM1257" s="37">
        <v>3</v>
      </c>
      <c r="AN1257" s="37">
        <v>3</v>
      </c>
      <c r="AO1257" s="37">
        <v>3</v>
      </c>
      <c r="AP1257" s="37">
        <v>3</v>
      </c>
      <c r="AQ1257" s="37">
        <v>2</v>
      </c>
      <c r="AR1257" s="37">
        <v>2</v>
      </c>
      <c r="AS1257" s="37">
        <v>2</v>
      </c>
      <c r="AT1257" s="37">
        <v>2</v>
      </c>
    </row>
    <row r="1258" spans="3:46" s="37" customFormat="1" x14ac:dyDescent="0.25"/>
    <row r="1259" spans="3:46" s="37" customFormat="1" x14ac:dyDescent="0.25">
      <c r="C1259" s="37" t="s">
        <v>20</v>
      </c>
      <c r="D1259" s="37">
        <v>4</v>
      </c>
      <c r="E1259" s="37">
        <v>4</v>
      </c>
      <c r="F1259" s="37">
        <v>4</v>
      </c>
      <c r="G1259" s="37">
        <v>4</v>
      </c>
      <c r="H1259" s="37">
        <v>4</v>
      </c>
      <c r="I1259" s="37">
        <v>4</v>
      </c>
      <c r="J1259" s="37">
        <v>4</v>
      </c>
      <c r="K1259" s="37">
        <v>2</v>
      </c>
      <c r="L1259" s="37">
        <v>2</v>
      </c>
      <c r="M1259" s="37">
        <v>2</v>
      </c>
      <c r="N1259" s="37">
        <v>2</v>
      </c>
      <c r="O1259" s="37">
        <v>2</v>
      </c>
      <c r="P1259" s="37">
        <v>2</v>
      </c>
      <c r="Q1259" s="37">
        <v>2</v>
      </c>
      <c r="R1259" s="37">
        <v>3</v>
      </c>
      <c r="S1259" s="37">
        <v>3</v>
      </c>
      <c r="T1259" s="37">
        <v>3</v>
      </c>
      <c r="U1259" s="37">
        <v>3</v>
      </c>
      <c r="V1259" s="37">
        <v>3</v>
      </c>
      <c r="W1259" s="37">
        <v>3</v>
      </c>
      <c r="X1259" s="37">
        <v>3</v>
      </c>
      <c r="Z1259" s="37">
        <v>4</v>
      </c>
      <c r="AA1259" s="37">
        <v>4</v>
      </c>
      <c r="AB1259" s="37">
        <v>4</v>
      </c>
      <c r="AC1259" s="37">
        <v>4</v>
      </c>
      <c r="AD1259" s="37">
        <v>4</v>
      </c>
      <c r="AE1259" s="37">
        <v>4</v>
      </c>
      <c r="AF1259" s="37">
        <v>4</v>
      </c>
      <c r="AG1259" s="37">
        <v>2</v>
      </c>
      <c r="AH1259" s="37">
        <v>2</v>
      </c>
      <c r="AI1259" s="37">
        <v>2</v>
      </c>
      <c r="AJ1259" s="37">
        <v>2</v>
      </c>
      <c r="AK1259" s="37">
        <v>2</v>
      </c>
      <c r="AL1259" s="37">
        <v>2</v>
      </c>
      <c r="AM1259" s="37">
        <v>3</v>
      </c>
      <c r="AN1259" s="37">
        <v>3</v>
      </c>
      <c r="AO1259" s="37">
        <v>3</v>
      </c>
      <c r="AP1259" s="37">
        <v>3</v>
      </c>
      <c r="AQ1259" s="37">
        <v>3</v>
      </c>
      <c r="AR1259" s="37">
        <v>3</v>
      </c>
      <c r="AS1259" s="37">
        <v>3</v>
      </c>
      <c r="AT1259" s="37">
        <v>3</v>
      </c>
    </row>
    <row r="1260" spans="3:46" s="37" customFormat="1" x14ac:dyDescent="0.25"/>
    <row r="1261" spans="3:46" s="37" customFormat="1" x14ac:dyDescent="0.25">
      <c r="C1261" s="37" t="s">
        <v>21</v>
      </c>
      <c r="D1261" s="37">
        <v>3</v>
      </c>
      <c r="E1261" s="37">
        <v>3</v>
      </c>
      <c r="F1261" s="37">
        <v>3</v>
      </c>
      <c r="G1261" s="37">
        <v>3</v>
      </c>
      <c r="H1261" s="37">
        <v>3</v>
      </c>
      <c r="I1261" s="37">
        <v>3</v>
      </c>
      <c r="J1261" s="37">
        <v>3</v>
      </c>
      <c r="K1261" s="37">
        <v>3</v>
      </c>
      <c r="L1261" s="37">
        <v>3</v>
      </c>
      <c r="M1261" s="37">
        <v>3</v>
      </c>
      <c r="N1261" s="37">
        <v>3</v>
      </c>
      <c r="O1261" s="37">
        <v>3</v>
      </c>
      <c r="P1261" s="37">
        <v>3</v>
      </c>
      <c r="Q1261" s="37">
        <v>3</v>
      </c>
      <c r="R1261" s="37">
        <v>3</v>
      </c>
      <c r="S1261" s="37">
        <v>3</v>
      </c>
      <c r="T1261" s="37">
        <v>3</v>
      </c>
      <c r="U1261" s="37">
        <v>3</v>
      </c>
      <c r="V1261" s="37">
        <v>3</v>
      </c>
      <c r="W1261" s="37">
        <v>3</v>
      </c>
      <c r="X1261" s="37">
        <v>3</v>
      </c>
      <c r="Z1261" s="37">
        <v>3</v>
      </c>
      <c r="AA1261" s="37">
        <v>3</v>
      </c>
      <c r="AB1261" s="37">
        <v>3</v>
      </c>
      <c r="AC1261" s="37">
        <v>3</v>
      </c>
      <c r="AD1261" s="37">
        <v>3</v>
      </c>
      <c r="AE1261" s="37">
        <v>3</v>
      </c>
      <c r="AF1261" s="37">
        <v>3</v>
      </c>
      <c r="AG1261" s="37">
        <v>3</v>
      </c>
      <c r="AH1261" s="37">
        <v>3</v>
      </c>
      <c r="AI1261" s="37">
        <v>3</v>
      </c>
      <c r="AJ1261" s="37">
        <v>3</v>
      </c>
      <c r="AK1261" s="37">
        <v>3</v>
      </c>
      <c r="AL1261" s="37">
        <v>3</v>
      </c>
      <c r="AM1261" s="37">
        <v>3</v>
      </c>
      <c r="AN1261" s="37">
        <v>3</v>
      </c>
      <c r="AO1261" s="37">
        <v>3</v>
      </c>
      <c r="AP1261" s="37">
        <v>3</v>
      </c>
      <c r="AQ1261" s="37">
        <v>3</v>
      </c>
      <c r="AR1261" s="37">
        <v>3</v>
      </c>
      <c r="AS1261" s="37">
        <v>3</v>
      </c>
      <c r="AT1261" s="37">
        <v>3</v>
      </c>
    </row>
    <row r="1262" spans="3:46" s="37" customFormat="1" x14ac:dyDescent="0.25"/>
  </sheetData>
  <phoneticPr fontId="2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719E4F-3E99-4404-A9EB-F47EB9B94823}">
  <sheetPr codeName="工作表6">
    <tabColor theme="9" tint="0.39997558519241921"/>
  </sheetPr>
  <dimension ref="B2:E16"/>
  <sheetViews>
    <sheetView workbookViewId="0">
      <selection activeCell="D10" sqref="D10"/>
    </sheetView>
  </sheetViews>
  <sheetFormatPr defaultColWidth="8.625" defaultRowHeight="15.75" x14ac:dyDescent="0.25"/>
  <cols>
    <col min="1" max="1" width="8.625" style="1"/>
    <col min="2" max="2" width="13.625" style="25" customWidth="1"/>
    <col min="3" max="4" width="8.625" style="25"/>
    <col min="5" max="16384" width="8.625" style="1"/>
  </cols>
  <sheetData>
    <row r="2" spans="2:5" x14ac:dyDescent="0.25">
      <c r="B2" s="1" t="s">
        <v>0</v>
      </c>
      <c r="C2" s="21" t="s">
        <v>69</v>
      </c>
    </row>
    <row r="3" spans="2:5" x14ac:dyDescent="0.25">
      <c r="B3" s="1" t="s">
        <v>1</v>
      </c>
      <c r="C3" s="4" t="s">
        <v>67</v>
      </c>
    </row>
    <row r="4" spans="2:5" x14ac:dyDescent="0.25">
      <c r="C4" s="25" t="s">
        <v>2</v>
      </c>
    </row>
    <row r="5" spans="2:5" x14ac:dyDescent="0.25">
      <c r="B5" s="26"/>
    </row>
    <row r="6" spans="2:5" s="5" customFormat="1" ht="16.5" thickBot="1" x14ac:dyDescent="0.3">
      <c r="B6" s="27"/>
      <c r="C6" s="27"/>
      <c r="D6" s="27"/>
    </row>
    <row r="7" spans="2:5" ht="16.5" thickTop="1" x14ac:dyDescent="0.25"/>
    <row r="8" spans="2:5" x14ac:dyDescent="0.25">
      <c r="B8" s="28">
        <v>43298</v>
      </c>
      <c r="C8" s="25" t="s">
        <v>186</v>
      </c>
      <c r="D8" s="25">
        <v>1</v>
      </c>
      <c r="E8" s="1" t="s">
        <v>198</v>
      </c>
    </row>
    <row r="9" spans="2:5" x14ac:dyDescent="0.25">
      <c r="B9" s="28"/>
      <c r="D9" s="25">
        <v>2</v>
      </c>
      <c r="E9" s="1" t="s">
        <v>199</v>
      </c>
    </row>
    <row r="10" spans="2:5" s="35" customFormat="1" x14ac:dyDescent="0.25">
      <c r="B10" s="34"/>
      <c r="C10" s="34"/>
      <c r="D10" s="34"/>
    </row>
    <row r="11" spans="2:5" x14ac:dyDescent="0.25">
      <c r="B11" s="28">
        <v>43285</v>
      </c>
      <c r="C11" s="25" t="s">
        <v>70</v>
      </c>
      <c r="D11" s="25">
        <v>1</v>
      </c>
      <c r="E11" s="1" t="s">
        <v>171</v>
      </c>
    </row>
    <row r="12" spans="2:5" x14ac:dyDescent="0.25">
      <c r="D12" s="25">
        <v>2</v>
      </c>
      <c r="E12" s="1" t="s">
        <v>200</v>
      </c>
    </row>
    <row r="14" spans="2:5" s="35" customFormat="1" x14ac:dyDescent="0.25">
      <c r="B14" s="34"/>
      <c r="C14" s="34"/>
      <c r="D14" s="34"/>
    </row>
    <row r="15" spans="2:5" x14ac:dyDescent="0.25">
      <c r="B15" s="28">
        <v>43283</v>
      </c>
      <c r="C15" s="25" t="s">
        <v>67</v>
      </c>
      <c r="D15" s="25">
        <v>1</v>
      </c>
      <c r="E15" s="1" t="s">
        <v>68</v>
      </c>
    </row>
    <row r="16" spans="2:5" s="3" customFormat="1" x14ac:dyDescent="0.25">
      <c r="B16" s="2"/>
      <c r="C16" s="2"/>
      <c r="D16" s="2"/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023482-E5F4-49F6-ADEC-B5CDFA43C3F1}">
  <sheetPr codeName="工作表5">
    <tabColor theme="7" tint="0.39997558519241921"/>
  </sheetPr>
  <dimension ref="C1:BT1585"/>
  <sheetViews>
    <sheetView workbookViewId="0">
      <selection activeCell="V14" sqref="V14"/>
    </sheetView>
  </sheetViews>
  <sheetFormatPr defaultColWidth="8.875" defaultRowHeight="15.75" x14ac:dyDescent="0.25"/>
  <cols>
    <col min="1" max="1" width="8.875" style="6"/>
    <col min="2" max="2" width="3.5" style="6" customWidth="1"/>
    <col min="3" max="4" width="8.875" style="6" customWidth="1"/>
    <col min="5" max="5" width="5.5" style="6" customWidth="1"/>
    <col min="6" max="6" width="3.5" style="6" customWidth="1"/>
    <col min="7" max="15" width="2.5" style="6" customWidth="1"/>
    <col min="16" max="16" width="3.5" style="6" customWidth="1"/>
    <col min="17" max="25" width="2.5" style="6" customWidth="1"/>
    <col min="26" max="26" width="3.5" style="6" customWidth="1"/>
    <col min="27" max="27" width="8.875" style="6" customWidth="1"/>
    <col min="28" max="28" width="5.5" style="6" bestFit="1" customWidth="1"/>
    <col min="29" max="49" width="3.5" style="6" bestFit="1" customWidth="1"/>
    <col min="50" max="50" width="8.875" style="6" customWidth="1"/>
    <col min="51" max="51" width="5.5" style="6" customWidth="1"/>
    <col min="52" max="72" width="3.5" style="6" bestFit="1" customWidth="1"/>
    <col min="73" max="16384" width="8.875" style="6"/>
  </cols>
  <sheetData>
    <row r="1" spans="3:72" x14ac:dyDescent="0.25">
      <c r="AB1" s="6" t="s">
        <v>75</v>
      </c>
      <c r="AY1" s="6" t="s">
        <v>74</v>
      </c>
    </row>
    <row r="2" spans="3:72" x14ac:dyDescent="0.25">
      <c r="C2" s="6" t="s">
        <v>66</v>
      </c>
      <c r="D2" s="24">
        <f>SUM(F3:Z1261)</f>
        <v>0</v>
      </c>
      <c r="F2" s="6" t="s">
        <v>71</v>
      </c>
      <c r="P2" s="6" t="s">
        <v>72</v>
      </c>
      <c r="Z2" s="6" t="s">
        <v>73</v>
      </c>
      <c r="AC2" s="6" t="s">
        <v>71</v>
      </c>
      <c r="AM2" s="6" t="s">
        <v>72</v>
      </c>
      <c r="AW2" s="6" t="s">
        <v>73</v>
      </c>
      <c r="AZ2" s="6" t="s">
        <v>194</v>
      </c>
      <c r="BJ2" s="6" t="s">
        <v>195</v>
      </c>
      <c r="BT2" s="6" t="s">
        <v>196</v>
      </c>
    </row>
    <row r="3" spans="3:72" x14ac:dyDescent="0.25">
      <c r="E3" s="6" t="s">
        <v>20</v>
      </c>
      <c r="F3" s="6">
        <f>IF(AC3=AZ3,0,1)</f>
        <v>0</v>
      </c>
      <c r="G3" s="6">
        <f t="shared" ref="G3:Z3" si="0">IF(AD3=BA3,0,1)</f>
        <v>0</v>
      </c>
      <c r="H3" s="6">
        <f t="shared" si="0"/>
        <v>0</v>
      </c>
      <c r="I3" s="6">
        <f t="shared" si="0"/>
        <v>0</v>
      </c>
      <c r="J3" s="6">
        <f t="shared" si="0"/>
        <v>0</v>
      </c>
      <c r="K3" s="6">
        <f t="shared" si="0"/>
        <v>0</v>
      </c>
      <c r="L3" s="6">
        <f t="shared" si="0"/>
        <v>0</v>
      </c>
      <c r="M3" s="6">
        <f t="shared" si="0"/>
        <v>0</v>
      </c>
      <c r="N3" s="6">
        <f t="shared" si="0"/>
        <v>0</v>
      </c>
      <c r="O3" s="6">
        <f t="shared" si="0"/>
        <v>0</v>
      </c>
      <c r="P3" s="6">
        <f t="shared" si="0"/>
        <v>0</v>
      </c>
      <c r="Q3" s="6">
        <f t="shared" si="0"/>
        <v>0</v>
      </c>
      <c r="R3" s="6">
        <f t="shared" si="0"/>
        <v>0</v>
      </c>
      <c r="S3" s="6">
        <f t="shared" si="0"/>
        <v>0</v>
      </c>
      <c r="T3" s="6">
        <f t="shared" si="0"/>
        <v>0</v>
      </c>
      <c r="U3" s="6">
        <f t="shared" si="0"/>
        <v>0</v>
      </c>
      <c r="V3" s="6">
        <f t="shared" si="0"/>
        <v>0</v>
      </c>
      <c r="W3" s="6">
        <f t="shared" si="0"/>
        <v>0</v>
      </c>
      <c r="X3" s="6">
        <f t="shared" si="0"/>
        <v>0</v>
      </c>
      <c r="Y3" s="6">
        <f t="shared" si="0"/>
        <v>0</v>
      </c>
      <c r="Z3" s="6">
        <f t="shared" si="0"/>
        <v>0</v>
      </c>
      <c r="AB3" s="6" t="str">
        <f>IF(最佳化斷筋點!C3="","",最佳化斷筋點!C3)</f>
        <v>上層</v>
      </c>
      <c r="AC3" s="6">
        <f>IF(最佳化斷筋點!D3="","",最佳化斷筋點!D3)</f>
        <v>2</v>
      </c>
      <c r="AD3" s="6">
        <f>IF(最佳化斷筋點!E3="","",最佳化斷筋點!E3)</f>
        <v>2</v>
      </c>
      <c r="AE3" s="6">
        <f>IF(最佳化斷筋點!F3="","",最佳化斷筋點!F3)</f>
        <v>2</v>
      </c>
      <c r="AF3" s="6">
        <f>IF(最佳化斷筋點!G3="","",最佳化斷筋點!G3)</f>
        <v>2</v>
      </c>
      <c r="AG3" s="6">
        <f>IF(最佳化斷筋點!H3="","",最佳化斷筋點!H3)</f>
        <v>2</v>
      </c>
      <c r="AH3" s="6">
        <f>IF(最佳化斷筋點!I3="","",最佳化斷筋點!I3)</f>
        <v>2</v>
      </c>
      <c r="AI3" s="6">
        <f>IF(最佳化斷筋點!J3="","",最佳化斷筋點!J3)</f>
        <v>2</v>
      </c>
      <c r="AJ3" s="6">
        <f>IF(最佳化斷筋點!K3="","",最佳化斷筋點!K3)</f>
        <v>2</v>
      </c>
      <c r="AK3" s="6">
        <f>IF(最佳化斷筋點!L3="","",最佳化斷筋點!L3)</f>
        <v>2</v>
      </c>
      <c r="AL3" s="6">
        <f>IF(最佳化斷筋點!M3="","",最佳化斷筋點!M3)</f>
        <v>2</v>
      </c>
      <c r="AM3" s="6">
        <f>IF(最佳化斷筋點!N3="","",最佳化斷筋點!N3)</f>
        <v>2</v>
      </c>
      <c r="AN3" s="6">
        <f>IF(最佳化斷筋點!O3="","",最佳化斷筋點!O3)</f>
        <v>2</v>
      </c>
      <c r="AO3" s="6">
        <f>IF(最佳化斷筋點!P3="","",最佳化斷筋點!P3)</f>
        <v>2</v>
      </c>
      <c r="AP3" s="6">
        <f>IF(最佳化斷筋點!Q3="","",最佳化斷筋點!Q3)</f>
        <v>2</v>
      </c>
      <c r="AQ3" s="6">
        <f>IF(最佳化斷筋點!R3="","",最佳化斷筋點!R3)</f>
        <v>2</v>
      </c>
      <c r="AR3" s="6">
        <f>IF(最佳化斷筋點!S3="","",最佳化斷筋點!S3)</f>
        <v>2</v>
      </c>
      <c r="AS3" s="6">
        <f>IF(最佳化斷筋點!T3="","",最佳化斷筋點!T3)</f>
        <v>2</v>
      </c>
      <c r="AT3" s="6">
        <f>IF(最佳化斷筋點!U3="","",最佳化斷筋點!U3)</f>
        <v>2</v>
      </c>
      <c r="AU3" s="6">
        <f>IF(最佳化斷筋點!V3="","",最佳化斷筋點!V3)</f>
        <v>2</v>
      </c>
      <c r="AV3" s="6">
        <f>IF(最佳化斷筋點!W3="","",最佳化斷筋點!W3)</f>
        <v>2</v>
      </c>
      <c r="AW3" s="6">
        <f>IF(最佳化斷筋點!X3="","",最佳化斷筋點!X3)</f>
        <v>2</v>
      </c>
      <c r="AY3" s="6" t="s">
        <v>20</v>
      </c>
      <c r="AZ3" s="37">
        <v>2</v>
      </c>
      <c r="BA3" s="37">
        <v>2</v>
      </c>
      <c r="BB3" s="37">
        <v>2</v>
      </c>
      <c r="BC3" s="37">
        <v>2</v>
      </c>
      <c r="BD3" s="37">
        <v>2</v>
      </c>
      <c r="BE3" s="37">
        <v>2</v>
      </c>
      <c r="BF3" s="37">
        <v>2</v>
      </c>
      <c r="BG3" s="37">
        <v>2</v>
      </c>
      <c r="BH3" s="37">
        <v>2</v>
      </c>
      <c r="BI3" s="37">
        <v>2</v>
      </c>
      <c r="BJ3" s="37">
        <v>2</v>
      </c>
      <c r="BK3" s="37">
        <v>2</v>
      </c>
      <c r="BL3" s="37">
        <v>2</v>
      </c>
      <c r="BM3" s="37">
        <v>2</v>
      </c>
      <c r="BN3" s="37">
        <v>2</v>
      </c>
      <c r="BO3" s="37">
        <v>2</v>
      </c>
      <c r="BP3" s="37">
        <v>2</v>
      </c>
      <c r="BQ3" s="37">
        <v>2</v>
      </c>
      <c r="BR3" s="37">
        <v>2</v>
      </c>
      <c r="BS3" s="37">
        <v>2</v>
      </c>
      <c r="BT3" s="37">
        <v>2</v>
      </c>
    </row>
    <row r="4" spans="3:72" x14ac:dyDescent="0.25">
      <c r="F4" s="6">
        <f t="shared" ref="F4:F67" si="1">IF(AC4=AZ4,0,1)</f>
        <v>0</v>
      </c>
      <c r="G4" s="6">
        <f t="shared" ref="G4:G67" si="2">IF(AD4=BA4,0,1)</f>
        <v>0</v>
      </c>
      <c r="H4" s="6">
        <f t="shared" ref="H4:H67" si="3">IF(AE4=BB4,0,1)</f>
        <v>0</v>
      </c>
      <c r="I4" s="6">
        <f t="shared" ref="I4:I67" si="4">IF(AF4=BC4,0,1)</f>
        <v>0</v>
      </c>
      <c r="J4" s="6">
        <f t="shared" ref="J4:J67" si="5">IF(AG4=BD4,0,1)</f>
        <v>0</v>
      </c>
      <c r="K4" s="6">
        <f t="shared" ref="K4:K67" si="6">IF(AH4=BE4,0,1)</f>
        <v>0</v>
      </c>
      <c r="L4" s="6">
        <f t="shared" ref="L4:L67" si="7">IF(AI4=BF4,0,1)</f>
        <v>0</v>
      </c>
      <c r="M4" s="6">
        <f t="shared" ref="M4:M67" si="8">IF(AJ4=BG4,0,1)</f>
        <v>0</v>
      </c>
      <c r="N4" s="6">
        <f t="shared" ref="N4:N67" si="9">IF(AK4=BH4,0,1)</f>
        <v>0</v>
      </c>
      <c r="O4" s="6">
        <f t="shared" ref="O4:O67" si="10">IF(AL4=BI4,0,1)</f>
        <v>0</v>
      </c>
      <c r="P4" s="6">
        <f t="shared" ref="P4:P67" si="11">IF(AM4=BJ4,0,1)</f>
        <v>0</v>
      </c>
      <c r="Q4" s="6">
        <f t="shared" ref="Q4:Q67" si="12">IF(AN4=BK4,0,1)</f>
        <v>0</v>
      </c>
      <c r="R4" s="6">
        <f t="shared" ref="R4:R67" si="13">IF(AO4=BL4,0,1)</f>
        <v>0</v>
      </c>
      <c r="S4" s="6">
        <f t="shared" ref="S4:S67" si="14">IF(AP4=BM4,0,1)</f>
        <v>0</v>
      </c>
      <c r="T4" s="6">
        <f t="shared" ref="T4:T67" si="15">IF(AQ4=BN4,0,1)</f>
        <v>0</v>
      </c>
      <c r="U4" s="6">
        <f t="shared" ref="U4:U67" si="16">IF(AR4=BO4,0,1)</f>
        <v>0</v>
      </c>
      <c r="V4" s="6">
        <f t="shared" ref="V4:V67" si="17">IF(AS4=BP4,0,1)</f>
        <v>0</v>
      </c>
      <c r="W4" s="6">
        <f t="shared" ref="W4:W67" si="18">IF(AT4=BQ4,0,1)</f>
        <v>0</v>
      </c>
      <c r="X4" s="6">
        <f t="shared" ref="X4:X67" si="19">IF(AU4=BR4,0,1)</f>
        <v>0</v>
      </c>
      <c r="Y4" s="6">
        <f t="shared" ref="Y4:Y67" si="20">IF(AV4=BS4,0,1)</f>
        <v>0</v>
      </c>
      <c r="Z4" s="6">
        <f t="shared" ref="Z4:Z67" si="21">IF(AW4=BT4,0,1)</f>
        <v>0</v>
      </c>
      <c r="AB4" s="36" t="str">
        <f>IF(最佳化斷筋點!C4="","",最佳化斷筋點!C4)</f>
        <v/>
      </c>
      <c r="AC4" s="36" t="str">
        <f>IF(最佳化斷筋點!D4="","",最佳化斷筋點!D4)</f>
        <v/>
      </c>
      <c r="AD4" s="36" t="str">
        <f>IF(最佳化斷筋點!E4="","",最佳化斷筋點!E4)</f>
        <v/>
      </c>
      <c r="AE4" s="36" t="str">
        <f>IF(最佳化斷筋點!F4="","",最佳化斷筋點!F4)</f>
        <v/>
      </c>
      <c r="AF4" s="36" t="str">
        <f>IF(最佳化斷筋點!G4="","",最佳化斷筋點!G4)</f>
        <v/>
      </c>
      <c r="AG4" s="36" t="str">
        <f>IF(最佳化斷筋點!H4="","",最佳化斷筋點!H4)</f>
        <v/>
      </c>
      <c r="AH4" s="36" t="str">
        <f>IF(最佳化斷筋點!I4="","",最佳化斷筋點!I4)</f>
        <v/>
      </c>
      <c r="AI4" s="36" t="str">
        <f>IF(最佳化斷筋點!J4="","",最佳化斷筋點!J4)</f>
        <v/>
      </c>
      <c r="AJ4" s="36" t="str">
        <f>IF(最佳化斷筋點!K4="","",最佳化斷筋點!K4)</f>
        <v/>
      </c>
      <c r="AK4" s="36" t="str">
        <f>IF(最佳化斷筋點!L4="","",最佳化斷筋點!L4)</f>
        <v/>
      </c>
      <c r="AL4" s="36" t="str">
        <f>IF(最佳化斷筋點!M4="","",最佳化斷筋點!M4)</f>
        <v/>
      </c>
      <c r="AM4" s="36" t="str">
        <f>IF(最佳化斷筋點!N4="","",最佳化斷筋點!N4)</f>
        <v/>
      </c>
      <c r="AN4" s="36" t="str">
        <f>IF(最佳化斷筋點!O4="","",最佳化斷筋點!O4)</f>
        <v/>
      </c>
      <c r="AO4" s="36" t="str">
        <f>IF(最佳化斷筋點!P4="","",最佳化斷筋點!P4)</f>
        <v/>
      </c>
      <c r="AP4" s="36" t="str">
        <f>IF(最佳化斷筋點!Q4="","",最佳化斷筋點!Q4)</f>
        <v/>
      </c>
      <c r="AQ4" s="36" t="str">
        <f>IF(最佳化斷筋點!R4="","",最佳化斷筋點!R4)</f>
        <v/>
      </c>
      <c r="AR4" s="36" t="str">
        <f>IF(最佳化斷筋點!S4="","",最佳化斷筋點!S4)</f>
        <v/>
      </c>
      <c r="AS4" s="36" t="str">
        <f>IF(最佳化斷筋點!T4="","",最佳化斷筋點!T4)</f>
        <v/>
      </c>
      <c r="AT4" s="36" t="str">
        <f>IF(最佳化斷筋點!U4="","",最佳化斷筋點!U4)</f>
        <v/>
      </c>
      <c r="AU4" s="36" t="str">
        <f>IF(最佳化斷筋點!V4="","",最佳化斷筋點!V4)</f>
        <v/>
      </c>
      <c r="AV4" s="36" t="str">
        <f>IF(最佳化斷筋點!W4="","",最佳化斷筋點!W4)</f>
        <v/>
      </c>
      <c r="AW4" s="36" t="str">
        <f>IF(最佳化斷筋點!X4="","",最佳化斷筋點!X4)</f>
        <v/>
      </c>
      <c r="AZ4" s="37" t="s">
        <v>197</v>
      </c>
      <c r="BA4" s="37" t="s">
        <v>197</v>
      </c>
      <c r="BB4" s="37" t="s">
        <v>197</v>
      </c>
      <c r="BC4" s="37" t="s">
        <v>197</v>
      </c>
      <c r="BD4" s="37" t="s">
        <v>197</v>
      </c>
      <c r="BE4" s="37" t="s">
        <v>197</v>
      </c>
      <c r="BF4" s="37" t="s">
        <v>197</v>
      </c>
      <c r="BG4" s="37" t="s">
        <v>197</v>
      </c>
      <c r="BH4" s="37" t="s">
        <v>197</v>
      </c>
      <c r="BI4" s="37" t="s">
        <v>197</v>
      </c>
      <c r="BJ4" s="37" t="s">
        <v>197</v>
      </c>
      <c r="BK4" s="37" t="s">
        <v>197</v>
      </c>
      <c r="BL4" s="37" t="s">
        <v>197</v>
      </c>
      <c r="BM4" s="37" t="s">
        <v>197</v>
      </c>
      <c r="BN4" s="37" t="s">
        <v>197</v>
      </c>
      <c r="BO4" s="37" t="s">
        <v>197</v>
      </c>
      <c r="BP4" s="37" t="s">
        <v>197</v>
      </c>
      <c r="BQ4" s="37" t="s">
        <v>197</v>
      </c>
      <c r="BR4" s="37" t="s">
        <v>197</v>
      </c>
      <c r="BS4" s="37" t="s">
        <v>197</v>
      </c>
      <c r="BT4" s="37" t="s">
        <v>197</v>
      </c>
    </row>
    <row r="5" spans="3:72" x14ac:dyDescent="0.25">
      <c r="E5" s="6" t="s">
        <v>21</v>
      </c>
      <c r="F5" s="6">
        <f t="shared" si="1"/>
        <v>0</v>
      </c>
      <c r="G5" s="6">
        <f t="shared" si="2"/>
        <v>0</v>
      </c>
      <c r="H5" s="6">
        <f t="shared" si="3"/>
        <v>0</v>
      </c>
      <c r="I5" s="6">
        <f t="shared" si="4"/>
        <v>0</v>
      </c>
      <c r="J5" s="6">
        <f t="shared" si="5"/>
        <v>0</v>
      </c>
      <c r="K5" s="6">
        <f t="shared" si="6"/>
        <v>0</v>
      </c>
      <c r="L5" s="6">
        <f t="shared" si="7"/>
        <v>0</v>
      </c>
      <c r="M5" s="6">
        <f t="shared" si="8"/>
        <v>0</v>
      </c>
      <c r="N5" s="6">
        <f t="shared" si="9"/>
        <v>0</v>
      </c>
      <c r="O5" s="6">
        <f t="shared" si="10"/>
        <v>0</v>
      </c>
      <c r="P5" s="6">
        <f t="shared" si="11"/>
        <v>0</v>
      </c>
      <c r="Q5" s="6">
        <f t="shared" si="12"/>
        <v>0</v>
      </c>
      <c r="R5" s="6">
        <f t="shared" si="13"/>
        <v>0</v>
      </c>
      <c r="S5" s="6">
        <f t="shared" si="14"/>
        <v>0</v>
      </c>
      <c r="T5" s="6">
        <f t="shared" si="15"/>
        <v>0</v>
      </c>
      <c r="U5" s="6">
        <f t="shared" si="16"/>
        <v>0</v>
      </c>
      <c r="V5" s="6">
        <f t="shared" si="17"/>
        <v>0</v>
      </c>
      <c r="W5" s="6">
        <f t="shared" si="18"/>
        <v>0</v>
      </c>
      <c r="X5" s="6">
        <f t="shared" si="19"/>
        <v>0</v>
      </c>
      <c r="Y5" s="6">
        <f t="shared" si="20"/>
        <v>0</v>
      </c>
      <c r="Z5" s="6">
        <f t="shared" si="21"/>
        <v>0</v>
      </c>
      <c r="AB5" s="36" t="str">
        <f>IF(最佳化斷筋點!C5="","",最佳化斷筋點!C5)</f>
        <v>下層</v>
      </c>
      <c r="AC5" s="37">
        <f>IF(最佳化斷筋點!D5="","",最佳化斷筋點!D5)</f>
        <v>2</v>
      </c>
      <c r="AD5" s="37">
        <f>IF(最佳化斷筋點!E5="","",最佳化斷筋點!E5)</f>
        <v>2</v>
      </c>
      <c r="AE5" s="37">
        <f>IF(最佳化斷筋點!F5="","",最佳化斷筋點!F5)</f>
        <v>2</v>
      </c>
      <c r="AF5" s="37">
        <f>IF(最佳化斷筋點!G5="","",最佳化斷筋點!G5)</f>
        <v>2</v>
      </c>
      <c r="AG5" s="37">
        <f>IF(最佳化斷筋點!H5="","",最佳化斷筋點!H5)</f>
        <v>2</v>
      </c>
      <c r="AH5" s="37">
        <f>IF(最佳化斷筋點!I5="","",最佳化斷筋點!I5)</f>
        <v>2</v>
      </c>
      <c r="AI5" s="37">
        <f>IF(最佳化斷筋點!J5="","",最佳化斷筋點!J5)</f>
        <v>2</v>
      </c>
      <c r="AJ5" s="37">
        <f>IF(最佳化斷筋點!K5="","",最佳化斷筋點!K5)</f>
        <v>2</v>
      </c>
      <c r="AK5" s="37">
        <f>IF(最佳化斷筋點!L5="","",最佳化斷筋點!L5)</f>
        <v>2</v>
      </c>
      <c r="AL5" s="37">
        <f>IF(最佳化斷筋點!M5="","",最佳化斷筋點!M5)</f>
        <v>2</v>
      </c>
      <c r="AM5" s="37">
        <f>IF(最佳化斷筋點!N5="","",最佳化斷筋點!N5)</f>
        <v>2</v>
      </c>
      <c r="AN5" s="37">
        <f>IF(最佳化斷筋點!O5="","",最佳化斷筋點!O5)</f>
        <v>2</v>
      </c>
      <c r="AO5" s="37">
        <f>IF(最佳化斷筋點!P5="","",最佳化斷筋點!P5)</f>
        <v>2</v>
      </c>
      <c r="AP5" s="37">
        <f>IF(最佳化斷筋點!Q5="","",最佳化斷筋點!Q5)</f>
        <v>2</v>
      </c>
      <c r="AQ5" s="37">
        <f>IF(最佳化斷筋點!R5="","",最佳化斷筋點!R5)</f>
        <v>2</v>
      </c>
      <c r="AR5" s="37">
        <f>IF(最佳化斷筋點!S5="","",最佳化斷筋點!S5)</f>
        <v>2</v>
      </c>
      <c r="AS5" s="37">
        <f>IF(最佳化斷筋點!T5="","",最佳化斷筋點!T5)</f>
        <v>2</v>
      </c>
      <c r="AT5" s="37">
        <f>IF(最佳化斷筋點!U5="","",最佳化斷筋點!U5)</f>
        <v>2</v>
      </c>
      <c r="AU5" s="37">
        <f>IF(最佳化斷筋點!V5="","",最佳化斷筋點!V5)</f>
        <v>2</v>
      </c>
      <c r="AV5" s="37">
        <f>IF(最佳化斷筋點!W5="","",最佳化斷筋點!W5)</f>
        <v>2</v>
      </c>
      <c r="AW5" s="37">
        <f>IF(最佳化斷筋點!X5="","",最佳化斷筋點!X5)</f>
        <v>2</v>
      </c>
      <c r="AY5" s="6" t="s">
        <v>21</v>
      </c>
      <c r="AZ5" s="37">
        <v>2</v>
      </c>
      <c r="BA5" s="37">
        <v>2</v>
      </c>
      <c r="BB5" s="37">
        <v>2</v>
      </c>
      <c r="BC5" s="37">
        <v>2</v>
      </c>
      <c r="BD5" s="37">
        <v>2</v>
      </c>
      <c r="BE5" s="37">
        <v>2</v>
      </c>
      <c r="BF5" s="37">
        <v>2</v>
      </c>
      <c r="BG5" s="37">
        <v>2</v>
      </c>
      <c r="BH5" s="37">
        <v>2</v>
      </c>
      <c r="BI5" s="37">
        <v>2</v>
      </c>
      <c r="BJ5" s="37">
        <v>2</v>
      </c>
      <c r="BK5" s="37">
        <v>2</v>
      </c>
      <c r="BL5" s="37">
        <v>2</v>
      </c>
      <c r="BM5" s="37">
        <v>2</v>
      </c>
      <c r="BN5" s="37">
        <v>2</v>
      </c>
      <c r="BO5" s="37">
        <v>2</v>
      </c>
      <c r="BP5" s="37">
        <v>2</v>
      </c>
      <c r="BQ5" s="37">
        <v>2</v>
      </c>
      <c r="BR5" s="37">
        <v>2</v>
      </c>
      <c r="BS5" s="37">
        <v>2</v>
      </c>
      <c r="BT5" s="37">
        <v>2</v>
      </c>
    </row>
    <row r="6" spans="3:72" x14ac:dyDescent="0.25">
      <c r="F6" s="6">
        <f t="shared" si="1"/>
        <v>0</v>
      </c>
      <c r="G6" s="6">
        <f t="shared" si="2"/>
        <v>0</v>
      </c>
      <c r="H6" s="6">
        <f t="shared" si="3"/>
        <v>0</v>
      </c>
      <c r="I6" s="6">
        <f t="shared" si="4"/>
        <v>0</v>
      </c>
      <c r="J6" s="6">
        <f t="shared" si="5"/>
        <v>0</v>
      </c>
      <c r="K6" s="6">
        <f t="shared" si="6"/>
        <v>0</v>
      </c>
      <c r="L6" s="6">
        <f t="shared" si="7"/>
        <v>0</v>
      </c>
      <c r="M6" s="6">
        <f t="shared" si="8"/>
        <v>0</v>
      </c>
      <c r="N6" s="6">
        <f t="shared" si="9"/>
        <v>0</v>
      </c>
      <c r="O6" s="6">
        <f t="shared" si="10"/>
        <v>0</v>
      </c>
      <c r="P6" s="6">
        <f t="shared" si="11"/>
        <v>0</v>
      </c>
      <c r="Q6" s="6">
        <f t="shared" si="12"/>
        <v>0</v>
      </c>
      <c r="R6" s="6">
        <f t="shared" si="13"/>
        <v>0</v>
      </c>
      <c r="S6" s="6">
        <f t="shared" si="14"/>
        <v>0</v>
      </c>
      <c r="T6" s="6">
        <f t="shared" si="15"/>
        <v>0</v>
      </c>
      <c r="U6" s="6">
        <f t="shared" si="16"/>
        <v>0</v>
      </c>
      <c r="V6" s="6">
        <f t="shared" si="17"/>
        <v>0</v>
      </c>
      <c r="W6" s="6">
        <f t="shared" si="18"/>
        <v>0</v>
      </c>
      <c r="X6" s="6">
        <f t="shared" si="19"/>
        <v>0</v>
      </c>
      <c r="Y6" s="6">
        <f t="shared" si="20"/>
        <v>0</v>
      </c>
      <c r="Z6" s="6">
        <f t="shared" si="21"/>
        <v>0</v>
      </c>
      <c r="AB6" s="36" t="str">
        <f>IF(最佳化斷筋點!C6="","",最佳化斷筋點!C6)</f>
        <v/>
      </c>
      <c r="AC6" s="36" t="str">
        <f>IF(最佳化斷筋點!D6="","",最佳化斷筋點!D6)</f>
        <v/>
      </c>
      <c r="AD6" s="36" t="str">
        <f>IF(最佳化斷筋點!E6="","",最佳化斷筋點!E6)</f>
        <v/>
      </c>
      <c r="AE6" s="36" t="str">
        <f>IF(最佳化斷筋點!F6="","",最佳化斷筋點!F6)</f>
        <v/>
      </c>
      <c r="AF6" s="36" t="str">
        <f>IF(最佳化斷筋點!G6="","",最佳化斷筋點!G6)</f>
        <v/>
      </c>
      <c r="AG6" s="36" t="str">
        <f>IF(最佳化斷筋點!H6="","",最佳化斷筋點!H6)</f>
        <v/>
      </c>
      <c r="AH6" s="36" t="str">
        <f>IF(最佳化斷筋點!I6="","",最佳化斷筋點!I6)</f>
        <v/>
      </c>
      <c r="AI6" s="36" t="str">
        <f>IF(最佳化斷筋點!J6="","",最佳化斷筋點!J6)</f>
        <v/>
      </c>
      <c r="AJ6" s="36" t="str">
        <f>IF(最佳化斷筋點!K6="","",最佳化斷筋點!K6)</f>
        <v/>
      </c>
      <c r="AK6" s="36" t="str">
        <f>IF(最佳化斷筋點!L6="","",最佳化斷筋點!L6)</f>
        <v/>
      </c>
      <c r="AL6" s="36" t="str">
        <f>IF(最佳化斷筋點!M6="","",最佳化斷筋點!M6)</f>
        <v/>
      </c>
      <c r="AM6" s="36" t="str">
        <f>IF(最佳化斷筋點!N6="","",最佳化斷筋點!N6)</f>
        <v/>
      </c>
      <c r="AN6" s="36" t="str">
        <f>IF(最佳化斷筋點!O6="","",最佳化斷筋點!O6)</f>
        <v/>
      </c>
      <c r="AO6" s="36" t="str">
        <f>IF(最佳化斷筋點!P6="","",最佳化斷筋點!P6)</f>
        <v/>
      </c>
      <c r="AP6" s="36" t="str">
        <f>IF(最佳化斷筋點!Q6="","",最佳化斷筋點!Q6)</f>
        <v/>
      </c>
      <c r="AQ6" s="36" t="str">
        <f>IF(最佳化斷筋點!R6="","",最佳化斷筋點!R6)</f>
        <v/>
      </c>
      <c r="AR6" s="36" t="str">
        <f>IF(最佳化斷筋點!S6="","",最佳化斷筋點!S6)</f>
        <v/>
      </c>
      <c r="AS6" s="36" t="str">
        <f>IF(最佳化斷筋點!T6="","",最佳化斷筋點!T6)</f>
        <v/>
      </c>
      <c r="AT6" s="36" t="str">
        <f>IF(最佳化斷筋點!U6="","",最佳化斷筋點!U6)</f>
        <v/>
      </c>
      <c r="AU6" s="36" t="str">
        <f>IF(最佳化斷筋點!V6="","",最佳化斷筋點!V6)</f>
        <v/>
      </c>
      <c r="AV6" s="36" t="str">
        <f>IF(最佳化斷筋點!W6="","",最佳化斷筋點!W6)</f>
        <v/>
      </c>
      <c r="AW6" s="36" t="str">
        <f>IF(最佳化斷筋點!X6="","",最佳化斷筋點!X6)</f>
        <v/>
      </c>
      <c r="AZ6" s="37" t="s">
        <v>197</v>
      </c>
      <c r="BA6" s="37" t="s">
        <v>197</v>
      </c>
      <c r="BB6" s="37" t="s">
        <v>197</v>
      </c>
      <c r="BC6" s="37" t="s">
        <v>197</v>
      </c>
      <c r="BD6" s="37" t="s">
        <v>197</v>
      </c>
      <c r="BE6" s="37" t="s">
        <v>197</v>
      </c>
      <c r="BF6" s="37" t="s">
        <v>197</v>
      </c>
      <c r="BG6" s="37" t="s">
        <v>197</v>
      </c>
      <c r="BH6" s="37" t="s">
        <v>197</v>
      </c>
      <c r="BI6" s="37" t="s">
        <v>197</v>
      </c>
      <c r="BJ6" s="37" t="s">
        <v>197</v>
      </c>
      <c r="BK6" s="37" t="s">
        <v>197</v>
      </c>
      <c r="BL6" s="37" t="s">
        <v>197</v>
      </c>
      <c r="BM6" s="37" t="s">
        <v>197</v>
      </c>
      <c r="BN6" s="37" t="s">
        <v>197</v>
      </c>
      <c r="BO6" s="37" t="s">
        <v>197</v>
      </c>
      <c r="BP6" s="37" t="s">
        <v>197</v>
      </c>
      <c r="BQ6" s="37" t="s">
        <v>197</v>
      </c>
      <c r="BR6" s="37" t="s">
        <v>197</v>
      </c>
      <c r="BS6" s="37" t="s">
        <v>197</v>
      </c>
      <c r="BT6" s="37" t="s">
        <v>197</v>
      </c>
    </row>
    <row r="7" spans="3:72" x14ac:dyDescent="0.25">
      <c r="E7" s="6" t="s">
        <v>20</v>
      </c>
      <c r="F7" s="6">
        <f t="shared" si="1"/>
        <v>0</v>
      </c>
      <c r="G7" s="6">
        <f t="shared" si="2"/>
        <v>0</v>
      </c>
      <c r="H7" s="6">
        <f t="shared" si="3"/>
        <v>0</v>
      </c>
      <c r="I7" s="6">
        <f t="shared" si="4"/>
        <v>0</v>
      </c>
      <c r="J7" s="6">
        <f t="shared" si="5"/>
        <v>0</v>
      </c>
      <c r="K7" s="6">
        <f t="shared" si="6"/>
        <v>0</v>
      </c>
      <c r="L7" s="6">
        <f t="shared" si="7"/>
        <v>0</v>
      </c>
      <c r="M7" s="6">
        <f t="shared" si="8"/>
        <v>0</v>
      </c>
      <c r="N7" s="6">
        <f t="shared" si="9"/>
        <v>0</v>
      </c>
      <c r="O7" s="6">
        <f t="shared" si="10"/>
        <v>0</v>
      </c>
      <c r="P7" s="6">
        <f t="shared" si="11"/>
        <v>0</v>
      </c>
      <c r="Q7" s="6">
        <f t="shared" si="12"/>
        <v>0</v>
      </c>
      <c r="R7" s="6">
        <f t="shared" si="13"/>
        <v>0</v>
      </c>
      <c r="S7" s="6">
        <f t="shared" si="14"/>
        <v>0</v>
      </c>
      <c r="T7" s="6">
        <f t="shared" si="15"/>
        <v>0</v>
      </c>
      <c r="U7" s="6">
        <f t="shared" si="16"/>
        <v>0</v>
      </c>
      <c r="V7" s="6">
        <f t="shared" si="17"/>
        <v>0</v>
      </c>
      <c r="W7" s="6">
        <f t="shared" si="18"/>
        <v>0</v>
      </c>
      <c r="X7" s="6">
        <f t="shared" si="19"/>
        <v>0</v>
      </c>
      <c r="Y7" s="6">
        <f t="shared" si="20"/>
        <v>0</v>
      </c>
      <c r="Z7" s="6">
        <f t="shared" si="21"/>
        <v>0</v>
      </c>
      <c r="AB7" s="36" t="str">
        <f>IF(最佳化斷筋點!C7="","",最佳化斷筋點!C7)</f>
        <v>上層</v>
      </c>
      <c r="AC7" s="37">
        <f>IF(最佳化斷筋點!D7="","",最佳化斷筋點!D7)</f>
        <v>2</v>
      </c>
      <c r="AD7" s="37">
        <f>IF(最佳化斷筋點!E7="","",最佳化斷筋點!E7)</f>
        <v>2</v>
      </c>
      <c r="AE7" s="37">
        <f>IF(最佳化斷筋點!F7="","",最佳化斷筋點!F7)</f>
        <v>2</v>
      </c>
      <c r="AF7" s="37">
        <f>IF(最佳化斷筋點!G7="","",最佳化斷筋點!G7)</f>
        <v>2</v>
      </c>
      <c r="AG7" s="37">
        <f>IF(最佳化斷筋點!H7="","",最佳化斷筋點!H7)</f>
        <v>2</v>
      </c>
      <c r="AH7" s="37">
        <f>IF(最佳化斷筋點!I7="","",最佳化斷筋點!I7)</f>
        <v>2</v>
      </c>
      <c r="AI7" s="37">
        <f>IF(最佳化斷筋點!J7="","",最佳化斷筋點!J7)</f>
        <v>2</v>
      </c>
      <c r="AJ7" s="37">
        <f>IF(最佳化斷筋點!K7="","",最佳化斷筋點!K7)</f>
        <v>2</v>
      </c>
      <c r="AK7" s="37">
        <f>IF(最佳化斷筋點!L7="","",最佳化斷筋點!L7)</f>
        <v>2</v>
      </c>
      <c r="AL7" s="37">
        <f>IF(最佳化斷筋點!M7="","",最佳化斷筋點!M7)</f>
        <v>2</v>
      </c>
      <c r="AM7" s="37">
        <f>IF(最佳化斷筋點!N7="","",最佳化斷筋點!N7)</f>
        <v>2</v>
      </c>
      <c r="AN7" s="37">
        <f>IF(最佳化斷筋點!O7="","",最佳化斷筋點!O7)</f>
        <v>2</v>
      </c>
      <c r="AO7" s="37">
        <f>IF(最佳化斷筋點!P7="","",最佳化斷筋點!P7)</f>
        <v>2</v>
      </c>
      <c r="AP7" s="37">
        <f>IF(最佳化斷筋點!Q7="","",最佳化斷筋點!Q7)</f>
        <v>2</v>
      </c>
      <c r="AQ7" s="37">
        <f>IF(最佳化斷筋點!R7="","",最佳化斷筋點!R7)</f>
        <v>2</v>
      </c>
      <c r="AR7" s="37">
        <f>IF(最佳化斷筋點!S7="","",最佳化斷筋點!S7)</f>
        <v>2</v>
      </c>
      <c r="AS7" s="37">
        <f>IF(最佳化斷筋點!T7="","",最佳化斷筋點!T7)</f>
        <v>2</v>
      </c>
      <c r="AT7" s="37">
        <f>IF(最佳化斷筋點!U7="","",最佳化斷筋點!U7)</f>
        <v>2</v>
      </c>
      <c r="AU7" s="37">
        <f>IF(最佳化斷筋點!V7="","",最佳化斷筋點!V7)</f>
        <v>2</v>
      </c>
      <c r="AV7" s="37">
        <f>IF(最佳化斷筋點!W7="","",最佳化斷筋點!W7)</f>
        <v>2</v>
      </c>
      <c r="AW7" s="37">
        <f>IF(最佳化斷筋點!X7="","",最佳化斷筋點!X7)</f>
        <v>2</v>
      </c>
      <c r="AY7" s="6" t="s">
        <v>20</v>
      </c>
      <c r="AZ7" s="37">
        <v>2</v>
      </c>
      <c r="BA7" s="37">
        <v>2</v>
      </c>
      <c r="BB7" s="37">
        <v>2</v>
      </c>
      <c r="BC7" s="37">
        <v>2</v>
      </c>
      <c r="BD7" s="37">
        <v>2</v>
      </c>
      <c r="BE7" s="37">
        <v>2</v>
      </c>
      <c r="BF7" s="37">
        <v>2</v>
      </c>
      <c r="BG7" s="37">
        <v>2</v>
      </c>
      <c r="BH7" s="37">
        <v>2</v>
      </c>
      <c r="BI7" s="37">
        <v>2</v>
      </c>
      <c r="BJ7" s="37">
        <v>2</v>
      </c>
      <c r="BK7" s="37">
        <v>2</v>
      </c>
      <c r="BL7" s="37">
        <v>2</v>
      </c>
      <c r="BM7" s="37">
        <v>2</v>
      </c>
      <c r="BN7" s="37">
        <v>2</v>
      </c>
      <c r="BO7" s="37">
        <v>2</v>
      </c>
      <c r="BP7" s="37">
        <v>2</v>
      </c>
      <c r="BQ7" s="37">
        <v>2</v>
      </c>
      <c r="BR7" s="37">
        <v>2</v>
      </c>
      <c r="BS7" s="37">
        <v>2</v>
      </c>
      <c r="BT7" s="37">
        <v>2</v>
      </c>
    </row>
    <row r="8" spans="3:72" x14ac:dyDescent="0.25">
      <c r="F8" s="6">
        <f t="shared" si="1"/>
        <v>0</v>
      </c>
      <c r="G8" s="6">
        <f t="shared" si="2"/>
        <v>0</v>
      </c>
      <c r="H8" s="6">
        <f t="shared" si="3"/>
        <v>0</v>
      </c>
      <c r="I8" s="6">
        <f t="shared" si="4"/>
        <v>0</v>
      </c>
      <c r="J8" s="6">
        <f t="shared" si="5"/>
        <v>0</v>
      </c>
      <c r="K8" s="6">
        <f t="shared" si="6"/>
        <v>0</v>
      </c>
      <c r="L8" s="6">
        <f t="shared" si="7"/>
        <v>0</v>
      </c>
      <c r="M8" s="6">
        <f t="shared" si="8"/>
        <v>0</v>
      </c>
      <c r="N8" s="6">
        <f t="shared" si="9"/>
        <v>0</v>
      </c>
      <c r="O8" s="6">
        <f t="shared" si="10"/>
        <v>0</v>
      </c>
      <c r="P8" s="6">
        <f t="shared" si="11"/>
        <v>0</v>
      </c>
      <c r="Q8" s="6">
        <f t="shared" si="12"/>
        <v>0</v>
      </c>
      <c r="R8" s="6">
        <f t="shared" si="13"/>
        <v>0</v>
      </c>
      <c r="S8" s="6">
        <f t="shared" si="14"/>
        <v>0</v>
      </c>
      <c r="T8" s="6">
        <f t="shared" si="15"/>
        <v>0</v>
      </c>
      <c r="U8" s="6">
        <f t="shared" si="16"/>
        <v>0</v>
      </c>
      <c r="V8" s="6">
        <f t="shared" si="17"/>
        <v>0</v>
      </c>
      <c r="W8" s="6">
        <f t="shared" si="18"/>
        <v>0</v>
      </c>
      <c r="X8" s="6">
        <f t="shared" si="19"/>
        <v>0</v>
      </c>
      <c r="Y8" s="6">
        <f t="shared" si="20"/>
        <v>0</v>
      </c>
      <c r="Z8" s="6">
        <f t="shared" si="21"/>
        <v>0</v>
      </c>
      <c r="AB8" s="36" t="str">
        <f>IF(最佳化斷筋點!C8="","",最佳化斷筋點!C8)</f>
        <v/>
      </c>
      <c r="AC8" s="36" t="str">
        <f>IF(最佳化斷筋點!D8="","",最佳化斷筋點!D8)</f>
        <v/>
      </c>
      <c r="AD8" s="36" t="str">
        <f>IF(最佳化斷筋點!E8="","",最佳化斷筋點!E8)</f>
        <v/>
      </c>
      <c r="AE8" s="36" t="str">
        <f>IF(最佳化斷筋點!F8="","",最佳化斷筋點!F8)</f>
        <v/>
      </c>
      <c r="AF8" s="36" t="str">
        <f>IF(最佳化斷筋點!G8="","",最佳化斷筋點!G8)</f>
        <v/>
      </c>
      <c r="AG8" s="36" t="str">
        <f>IF(最佳化斷筋點!H8="","",最佳化斷筋點!H8)</f>
        <v/>
      </c>
      <c r="AH8" s="36" t="str">
        <f>IF(最佳化斷筋點!I8="","",最佳化斷筋點!I8)</f>
        <v/>
      </c>
      <c r="AI8" s="36" t="str">
        <f>IF(最佳化斷筋點!J8="","",最佳化斷筋點!J8)</f>
        <v/>
      </c>
      <c r="AJ8" s="36" t="str">
        <f>IF(最佳化斷筋點!K8="","",最佳化斷筋點!K8)</f>
        <v/>
      </c>
      <c r="AK8" s="36" t="str">
        <f>IF(最佳化斷筋點!L8="","",最佳化斷筋點!L8)</f>
        <v/>
      </c>
      <c r="AL8" s="36" t="str">
        <f>IF(最佳化斷筋點!M8="","",最佳化斷筋點!M8)</f>
        <v/>
      </c>
      <c r="AM8" s="36" t="str">
        <f>IF(最佳化斷筋點!N8="","",最佳化斷筋點!N8)</f>
        <v/>
      </c>
      <c r="AN8" s="36" t="str">
        <f>IF(最佳化斷筋點!O8="","",最佳化斷筋點!O8)</f>
        <v/>
      </c>
      <c r="AO8" s="36" t="str">
        <f>IF(最佳化斷筋點!P8="","",最佳化斷筋點!P8)</f>
        <v/>
      </c>
      <c r="AP8" s="36" t="str">
        <f>IF(最佳化斷筋點!Q8="","",最佳化斷筋點!Q8)</f>
        <v/>
      </c>
      <c r="AQ8" s="36" t="str">
        <f>IF(最佳化斷筋點!R8="","",最佳化斷筋點!R8)</f>
        <v/>
      </c>
      <c r="AR8" s="36" t="str">
        <f>IF(最佳化斷筋點!S8="","",最佳化斷筋點!S8)</f>
        <v/>
      </c>
      <c r="AS8" s="36" t="str">
        <f>IF(最佳化斷筋點!T8="","",最佳化斷筋點!T8)</f>
        <v/>
      </c>
      <c r="AT8" s="36" t="str">
        <f>IF(最佳化斷筋點!U8="","",最佳化斷筋點!U8)</f>
        <v/>
      </c>
      <c r="AU8" s="36" t="str">
        <f>IF(最佳化斷筋點!V8="","",最佳化斷筋點!V8)</f>
        <v/>
      </c>
      <c r="AV8" s="36" t="str">
        <f>IF(最佳化斷筋點!W8="","",最佳化斷筋點!W8)</f>
        <v/>
      </c>
      <c r="AW8" s="36" t="str">
        <f>IF(最佳化斷筋點!X8="","",最佳化斷筋點!X8)</f>
        <v/>
      </c>
      <c r="AZ8" s="37" t="s">
        <v>197</v>
      </c>
      <c r="BA8" s="37" t="s">
        <v>197</v>
      </c>
      <c r="BB8" s="37" t="s">
        <v>197</v>
      </c>
      <c r="BC8" s="37" t="s">
        <v>197</v>
      </c>
      <c r="BD8" s="37" t="s">
        <v>197</v>
      </c>
      <c r="BE8" s="37" t="s">
        <v>197</v>
      </c>
      <c r="BF8" s="37" t="s">
        <v>197</v>
      </c>
      <c r="BG8" s="37" t="s">
        <v>197</v>
      </c>
      <c r="BH8" s="37" t="s">
        <v>197</v>
      </c>
      <c r="BI8" s="37" t="s">
        <v>197</v>
      </c>
      <c r="BJ8" s="37" t="s">
        <v>197</v>
      </c>
      <c r="BK8" s="37" t="s">
        <v>197</v>
      </c>
      <c r="BL8" s="37" t="s">
        <v>197</v>
      </c>
      <c r="BM8" s="37" t="s">
        <v>197</v>
      </c>
      <c r="BN8" s="37" t="s">
        <v>197</v>
      </c>
      <c r="BO8" s="37" t="s">
        <v>197</v>
      </c>
      <c r="BP8" s="37" t="s">
        <v>197</v>
      </c>
      <c r="BQ8" s="37" t="s">
        <v>197</v>
      </c>
      <c r="BR8" s="37" t="s">
        <v>197</v>
      </c>
      <c r="BS8" s="37" t="s">
        <v>197</v>
      </c>
      <c r="BT8" s="37" t="s">
        <v>197</v>
      </c>
    </row>
    <row r="9" spans="3:72" x14ac:dyDescent="0.25">
      <c r="E9" s="6" t="s">
        <v>21</v>
      </c>
      <c r="F9" s="6">
        <f t="shared" si="1"/>
        <v>0</v>
      </c>
      <c r="G9" s="6">
        <f t="shared" si="2"/>
        <v>0</v>
      </c>
      <c r="H9" s="6">
        <f t="shared" si="3"/>
        <v>0</v>
      </c>
      <c r="I9" s="6">
        <f t="shared" si="4"/>
        <v>0</v>
      </c>
      <c r="J9" s="6">
        <f t="shared" si="5"/>
        <v>0</v>
      </c>
      <c r="K9" s="6">
        <f t="shared" si="6"/>
        <v>0</v>
      </c>
      <c r="L9" s="6">
        <f t="shared" si="7"/>
        <v>0</v>
      </c>
      <c r="M9" s="6">
        <f t="shared" si="8"/>
        <v>0</v>
      </c>
      <c r="N9" s="6">
        <f t="shared" si="9"/>
        <v>0</v>
      </c>
      <c r="O9" s="6">
        <f t="shared" si="10"/>
        <v>0</v>
      </c>
      <c r="P9" s="6">
        <f t="shared" si="11"/>
        <v>0</v>
      </c>
      <c r="Q9" s="6">
        <f t="shared" si="12"/>
        <v>0</v>
      </c>
      <c r="R9" s="6">
        <f t="shared" si="13"/>
        <v>0</v>
      </c>
      <c r="S9" s="6">
        <f t="shared" si="14"/>
        <v>0</v>
      </c>
      <c r="T9" s="6">
        <f t="shared" si="15"/>
        <v>0</v>
      </c>
      <c r="U9" s="6">
        <f t="shared" si="16"/>
        <v>0</v>
      </c>
      <c r="V9" s="6">
        <f t="shared" si="17"/>
        <v>0</v>
      </c>
      <c r="W9" s="6">
        <f t="shared" si="18"/>
        <v>0</v>
      </c>
      <c r="X9" s="6">
        <f t="shared" si="19"/>
        <v>0</v>
      </c>
      <c r="Y9" s="6">
        <f t="shared" si="20"/>
        <v>0</v>
      </c>
      <c r="Z9" s="6">
        <f t="shared" si="21"/>
        <v>0</v>
      </c>
      <c r="AB9" s="36" t="str">
        <f>IF(最佳化斷筋點!C9="","",最佳化斷筋點!C9)</f>
        <v>下層</v>
      </c>
      <c r="AC9" s="37">
        <f>IF(最佳化斷筋點!D9="","",最佳化斷筋點!D9)</f>
        <v>2</v>
      </c>
      <c r="AD9" s="37">
        <f>IF(最佳化斷筋點!E9="","",最佳化斷筋點!E9)</f>
        <v>2</v>
      </c>
      <c r="AE9" s="37">
        <f>IF(最佳化斷筋點!F9="","",最佳化斷筋點!F9)</f>
        <v>2</v>
      </c>
      <c r="AF9" s="37">
        <f>IF(最佳化斷筋點!G9="","",最佳化斷筋點!G9)</f>
        <v>2</v>
      </c>
      <c r="AG9" s="37">
        <f>IF(最佳化斷筋點!H9="","",最佳化斷筋點!H9)</f>
        <v>2</v>
      </c>
      <c r="AH9" s="37">
        <f>IF(最佳化斷筋點!I9="","",最佳化斷筋點!I9)</f>
        <v>2</v>
      </c>
      <c r="AI9" s="37">
        <f>IF(最佳化斷筋點!J9="","",最佳化斷筋點!J9)</f>
        <v>2</v>
      </c>
      <c r="AJ9" s="37">
        <f>IF(最佳化斷筋點!K9="","",最佳化斷筋點!K9)</f>
        <v>2</v>
      </c>
      <c r="AK9" s="37">
        <f>IF(最佳化斷筋點!L9="","",最佳化斷筋點!L9)</f>
        <v>2</v>
      </c>
      <c r="AL9" s="37">
        <f>IF(最佳化斷筋點!M9="","",最佳化斷筋點!M9)</f>
        <v>2</v>
      </c>
      <c r="AM9" s="37">
        <f>IF(最佳化斷筋點!N9="","",最佳化斷筋點!N9)</f>
        <v>2</v>
      </c>
      <c r="AN9" s="37">
        <f>IF(最佳化斷筋點!O9="","",最佳化斷筋點!O9)</f>
        <v>2</v>
      </c>
      <c r="AO9" s="37">
        <f>IF(最佳化斷筋點!P9="","",最佳化斷筋點!P9)</f>
        <v>2</v>
      </c>
      <c r="AP9" s="37">
        <f>IF(最佳化斷筋點!Q9="","",最佳化斷筋點!Q9)</f>
        <v>2</v>
      </c>
      <c r="AQ9" s="37">
        <f>IF(最佳化斷筋點!R9="","",最佳化斷筋點!R9)</f>
        <v>2</v>
      </c>
      <c r="AR9" s="37">
        <f>IF(最佳化斷筋點!S9="","",最佳化斷筋點!S9)</f>
        <v>2</v>
      </c>
      <c r="AS9" s="37">
        <f>IF(最佳化斷筋點!T9="","",最佳化斷筋點!T9)</f>
        <v>2</v>
      </c>
      <c r="AT9" s="37">
        <f>IF(最佳化斷筋點!U9="","",最佳化斷筋點!U9)</f>
        <v>2</v>
      </c>
      <c r="AU9" s="37">
        <f>IF(最佳化斷筋點!V9="","",最佳化斷筋點!V9)</f>
        <v>2</v>
      </c>
      <c r="AV9" s="37">
        <f>IF(最佳化斷筋點!W9="","",最佳化斷筋點!W9)</f>
        <v>2</v>
      </c>
      <c r="AW9" s="37">
        <f>IF(最佳化斷筋點!X9="","",最佳化斷筋點!X9)</f>
        <v>2</v>
      </c>
      <c r="AY9" s="6" t="s">
        <v>21</v>
      </c>
      <c r="AZ9" s="37">
        <v>2</v>
      </c>
      <c r="BA9" s="37">
        <v>2</v>
      </c>
      <c r="BB9" s="37">
        <v>2</v>
      </c>
      <c r="BC9" s="37">
        <v>2</v>
      </c>
      <c r="BD9" s="37">
        <v>2</v>
      </c>
      <c r="BE9" s="37">
        <v>2</v>
      </c>
      <c r="BF9" s="37">
        <v>2</v>
      </c>
      <c r="BG9" s="37">
        <v>2</v>
      </c>
      <c r="BH9" s="37">
        <v>2</v>
      </c>
      <c r="BI9" s="37">
        <v>2</v>
      </c>
      <c r="BJ9" s="37">
        <v>2</v>
      </c>
      <c r="BK9" s="37">
        <v>2</v>
      </c>
      <c r="BL9" s="37">
        <v>2</v>
      </c>
      <c r="BM9" s="37">
        <v>2</v>
      </c>
      <c r="BN9" s="37">
        <v>2</v>
      </c>
      <c r="BO9" s="37">
        <v>2</v>
      </c>
      <c r="BP9" s="37">
        <v>2</v>
      </c>
      <c r="BQ9" s="37">
        <v>2</v>
      </c>
      <c r="BR9" s="37">
        <v>2</v>
      </c>
      <c r="BS9" s="37">
        <v>2</v>
      </c>
      <c r="BT9" s="37">
        <v>2</v>
      </c>
    </row>
    <row r="10" spans="3:72" x14ac:dyDescent="0.25">
      <c r="F10" s="6">
        <f t="shared" si="1"/>
        <v>0</v>
      </c>
      <c r="G10" s="6">
        <f t="shared" si="2"/>
        <v>0</v>
      </c>
      <c r="H10" s="6">
        <f t="shared" si="3"/>
        <v>0</v>
      </c>
      <c r="I10" s="6">
        <f t="shared" si="4"/>
        <v>0</v>
      </c>
      <c r="J10" s="6">
        <f t="shared" si="5"/>
        <v>0</v>
      </c>
      <c r="K10" s="6">
        <f t="shared" si="6"/>
        <v>0</v>
      </c>
      <c r="L10" s="6">
        <f t="shared" si="7"/>
        <v>0</v>
      </c>
      <c r="M10" s="6">
        <f t="shared" si="8"/>
        <v>0</v>
      </c>
      <c r="N10" s="6">
        <f t="shared" si="9"/>
        <v>0</v>
      </c>
      <c r="O10" s="6">
        <f t="shared" si="10"/>
        <v>0</v>
      </c>
      <c r="P10" s="6">
        <f t="shared" si="11"/>
        <v>0</v>
      </c>
      <c r="Q10" s="6">
        <f t="shared" si="12"/>
        <v>0</v>
      </c>
      <c r="R10" s="6">
        <f t="shared" si="13"/>
        <v>0</v>
      </c>
      <c r="S10" s="6">
        <f t="shared" si="14"/>
        <v>0</v>
      </c>
      <c r="T10" s="6">
        <f t="shared" si="15"/>
        <v>0</v>
      </c>
      <c r="U10" s="6">
        <f t="shared" si="16"/>
        <v>0</v>
      </c>
      <c r="V10" s="6">
        <f t="shared" si="17"/>
        <v>0</v>
      </c>
      <c r="W10" s="6">
        <f t="shared" si="18"/>
        <v>0</v>
      </c>
      <c r="X10" s="6">
        <f t="shared" si="19"/>
        <v>0</v>
      </c>
      <c r="Y10" s="6">
        <f t="shared" si="20"/>
        <v>0</v>
      </c>
      <c r="Z10" s="6">
        <f t="shared" si="21"/>
        <v>0</v>
      </c>
      <c r="AB10" s="36" t="str">
        <f>IF(最佳化斷筋點!C10="","",最佳化斷筋點!C10)</f>
        <v/>
      </c>
      <c r="AC10" s="36" t="str">
        <f>IF(最佳化斷筋點!D10="","",最佳化斷筋點!D10)</f>
        <v/>
      </c>
      <c r="AD10" s="36" t="str">
        <f>IF(最佳化斷筋點!E10="","",最佳化斷筋點!E10)</f>
        <v/>
      </c>
      <c r="AE10" s="36" t="str">
        <f>IF(最佳化斷筋點!F10="","",最佳化斷筋點!F10)</f>
        <v/>
      </c>
      <c r="AF10" s="36" t="str">
        <f>IF(最佳化斷筋點!G10="","",最佳化斷筋點!G10)</f>
        <v/>
      </c>
      <c r="AG10" s="36" t="str">
        <f>IF(最佳化斷筋點!H10="","",最佳化斷筋點!H10)</f>
        <v/>
      </c>
      <c r="AH10" s="36" t="str">
        <f>IF(最佳化斷筋點!I10="","",最佳化斷筋點!I10)</f>
        <v/>
      </c>
      <c r="AI10" s="36" t="str">
        <f>IF(最佳化斷筋點!J10="","",最佳化斷筋點!J10)</f>
        <v/>
      </c>
      <c r="AJ10" s="36" t="str">
        <f>IF(最佳化斷筋點!K10="","",最佳化斷筋點!K10)</f>
        <v/>
      </c>
      <c r="AK10" s="36" t="str">
        <f>IF(最佳化斷筋點!L10="","",最佳化斷筋點!L10)</f>
        <v/>
      </c>
      <c r="AL10" s="36" t="str">
        <f>IF(最佳化斷筋點!M10="","",最佳化斷筋點!M10)</f>
        <v/>
      </c>
      <c r="AM10" s="36" t="str">
        <f>IF(最佳化斷筋點!N10="","",最佳化斷筋點!N10)</f>
        <v/>
      </c>
      <c r="AN10" s="36" t="str">
        <f>IF(最佳化斷筋點!O10="","",最佳化斷筋點!O10)</f>
        <v/>
      </c>
      <c r="AO10" s="36" t="str">
        <f>IF(最佳化斷筋點!P10="","",最佳化斷筋點!P10)</f>
        <v/>
      </c>
      <c r="AP10" s="36" t="str">
        <f>IF(最佳化斷筋點!Q10="","",最佳化斷筋點!Q10)</f>
        <v/>
      </c>
      <c r="AQ10" s="36" t="str">
        <f>IF(最佳化斷筋點!R10="","",最佳化斷筋點!R10)</f>
        <v/>
      </c>
      <c r="AR10" s="36" t="str">
        <f>IF(最佳化斷筋點!S10="","",最佳化斷筋點!S10)</f>
        <v/>
      </c>
      <c r="AS10" s="36" t="str">
        <f>IF(最佳化斷筋點!T10="","",最佳化斷筋點!T10)</f>
        <v/>
      </c>
      <c r="AT10" s="36" t="str">
        <f>IF(最佳化斷筋點!U10="","",最佳化斷筋點!U10)</f>
        <v/>
      </c>
      <c r="AU10" s="36" t="str">
        <f>IF(最佳化斷筋點!V10="","",最佳化斷筋點!V10)</f>
        <v/>
      </c>
      <c r="AV10" s="36" t="str">
        <f>IF(最佳化斷筋點!W10="","",最佳化斷筋點!W10)</f>
        <v/>
      </c>
      <c r="AW10" s="36" t="str">
        <f>IF(最佳化斷筋點!X10="","",最佳化斷筋點!X10)</f>
        <v/>
      </c>
      <c r="AZ10" s="37" t="s">
        <v>197</v>
      </c>
      <c r="BA10" s="37" t="s">
        <v>197</v>
      </c>
      <c r="BB10" s="37" t="s">
        <v>197</v>
      </c>
      <c r="BC10" s="37" t="s">
        <v>197</v>
      </c>
      <c r="BD10" s="37" t="s">
        <v>197</v>
      </c>
      <c r="BE10" s="37" t="s">
        <v>197</v>
      </c>
      <c r="BF10" s="37" t="s">
        <v>197</v>
      </c>
      <c r="BG10" s="37" t="s">
        <v>197</v>
      </c>
      <c r="BH10" s="37" t="s">
        <v>197</v>
      </c>
      <c r="BI10" s="37" t="s">
        <v>197</v>
      </c>
      <c r="BJ10" s="37" t="s">
        <v>197</v>
      </c>
      <c r="BK10" s="37" t="s">
        <v>197</v>
      </c>
      <c r="BL10" s="37" t="s">
        <v>197</v>
      </c>
      <c r="BM10" s="37" t="s">
        <v>197</v>
      </c>
      <c r="BN10" s="37" t="s">
        <v>197</v>
      </c>
      <c r="BO10" s="37" t="s">
        <v>197</v>
      </c>
      <c r="BP10" s="37" t="s">
        <v>197</v>
      </c>
      <c r="BQ10" s="37" t="s">
        <v>197</v>
      </c>
      <c r="BR10" s="37" t="s">
        <v>197</v>
      </c>
      <c r="BS10" s="37" t="s">
        <v>197</v>
      </c>
      <c r="BT10" s="37" t="s">
        <v>197</v>
      </c>
    </row>
    <row r="11" spans="3:72" x14ac:dyDescent="0.25">
      <c r="E11" s="6" t="s">
        <v>20</v>
      </c>
      <c r="F11" s="6">
        <f t="shared" si="1"/>
        <v>0</v>
      </c>
      <c r="G11" s="6">
        <f t="shared" si="2"/>
        <v>0</v>
      </c>
      <c r="H11" s="6">
        <f t="shared" si="3"/>
        <v>0</v>
      </c>
      <c r="I11" s="6">
        <f t="shared" si="4"/>
        <v>0</v>
      </c>
      <c r="J11" s="6">
        <f t="shared" si="5"/>
        <v>0</v>
      </c>
      <c r="K11" s="6">
        <f t="shared" si="6"/>
        <v>0</v>
      </c>
      <c r="L11" s="6">
        <f t="shared" si="7"/>
        <v>0</v>
      </c>
      <c r="M11" s="6">
        <f t="shared" si="8"/>
        <v>0</v>
      </c>
      <c r="N11" s="6">
        <f t="shared" si="9"/>
        <v>0</v>
      </c>
      <c r="O11" s="6">
        <f t="shared" si="10"/>
        <v>0</v>
      </c>
      <c r="P11" s="6">
        <f t="shared" si="11"/>
        <v>0</v>
      </c>
      <c r="Q11" s="6">
        <f t="shared" si="12"/>
        <v>0</v>
      </c>
      <c r="R11" s="6">
        <f t="shared" si="13"/>
        <v>0</v>
      </c>
      <c r="S11" s="6">
        <f t="shared" si="14"/>
        <v>0</v>
      </c>
      <c r="T11" s="6">
        <f t="shared" si="15"/>
        <v>0</v>
      </c>
      <c r="U11" s="6">
        <f t="shared" si="16"/>
        <v>0</v>
      </c>
      <c r="V11" s="6">
        <f t="shared" si="17"/>
        <v>0</v>
      </c>
      <c r="W11" s="6">
        <f t="shared" si="18"/>
        <v>0</v>
      </c>
      <c r="X11" s="6">
        <f t="shared" si="19"/>
        <v>0</v>
      </c>
      <c r="Y11" s="6">
        <f t="shared" si="20"/>
        <v>0</v>
      </c>
      <c r="Z11" s="6">
        <f t="shared" si="21"/>
        <v>0</v>
      </c>
      <c r="AB11" s="36" t="str">
        <f>IF(最佳化斷筋點!C11="","",最佳化斷筋點!C11)</f>
        <v>上層</v>
      </c>
      <c r="AC11" s="37">
        <f>IF(最佳化斷筋點!D11="","",最佳化斷筋點!D11)</f>
        <v>4</v>
      </c>
      <c r="AD11" s="37">
        <f>IF(最佳化斷筋點!E11="","",最佳化斷筋點!E11)</f>
        <v>4</v>
      </c>
      <c r="AE11" s="37">
        <f>IF(最佳化斷筋點!F11="","",最佳化斷筋點!F11)</f>
        <v>4</v>
      </c>
      <c r="AF11" s="37">
        <f>IF(最佳化斷筋點!G11="","",最佳化斷筋點!G11)</f>
        <v>4</v>
      </c>
      <c r="AG11" s="37">
        <f>IF(最佳化斷筋點!H11="","",最佳化斷筋點!H11)</f>
        <v>4</v>
      </c>
      <c r="AH11" s="37">
        <f>IF(最佳化斷筋點!I11="","",最佳化斷筋點!I11)</f>
        <v>4</v>
      </c>
      <c r="AI11" s="37">
        <f>IF(最佳化斷筋點!J11="","",最佳化斷筋點!J11)</f>
        <v>4</v>
      </c>
      <c r="AJ11" s="37">
        <f>IF(最佳化斷筋點!K11="","",最佳化斷筋點!K11)</f>
        <v>2</v>
      </c>
      <c r="AK11" s="37">
        <f>IF(最佳化斷筋點!L11="","",最佳化斷筋點!L11)</f>
        <v>2</v>
      </c>
      <c r="AL11" s="37">
        <f>IF(最佳化斷筋點!M11="","",最佳化斷筋點!M11)</f>
        <v>2</v>
      </c>
      <c r="AM11" s="37">
        <f>IF(最佳化斷筋點!N11="","",最佳化斷筋點!N11)</f>
        <v>2</v>
      </c>
      <c r="AN11" s="37">
        <f>IF(最佳化斷筋點!O11="","",最佳化斷筋點!O11)</f>
        <v>2</v>
      </c>
      <c r="AO11" s="37">
        <f>IF(最佳化斷筋點!P11="","",最佳化斷筋點!P11)</f>
        <v>2</v>
      </c>
      <c r="AP11" s="37">
        <f>IF(最佳化斷筋點!Q11="","",最佳化斷筋點!Q11)</f>
        <v>2</v>
      </c>
      <c r="AQ11" s="37">
        <f>IF(最佳化斷筋點!R11="","",最佳化斷筋點!R11)</f>
        <v>2</v>
      </c>
      <c r="AR11" s="37">
        <f>IF(最佳化斷筋點!S11="","",最佳化斷筋點!S11)</f>
        <v>2</v>
      </c>
      <c r="AS11" s="37">
        <f>IF(最佳化斷筋點!T11="","",最佳化斷筋點!T11)</f>
        <v>2</v>
      </c>
      <c r="AT11" s="37">
        <f>IF(最佳化斷筋點!U11="","",最佳化斷筋點!U11)</f>
        <v>2</v>
      </c>
      <c r="AU11" s="37">
        <f>IF(最佳化斷筋點!V11="","",最佳化斷筋點!V11)</f>
        <v>2</v>
      </c>
      <c r="AV11" s="37">
        <f>IF(最佳化斷筋點!W11="","",最佳化斷筋點!W11)</f>
        <v>2</v>
      </c>
      <c r="AW11" s="37">
        <f>IF(最佳化斷筋點!X11="","",最佳化斷筋點!X11)</f>
        <v>2</v>
      </c>
      <c r="AY11" s="6" t="s">
        <v>20</v>
      </c>
      <c r="AZ11" s="37">
        <v>4</v>
      </c>
      <c r="BA11" s="37">
        <v>4</v>
      </c>
      <c r="BB11" s="37">
        <v>4</v>
      </c>
      <c r="BC11" s="37">
        <v>4</v>
      </c>
      <c r="BD11" s="37">
        <v>4</v>
      </c>
      <c r="BE11" s="37">
        <v>4</v>
      </c>
      <c r="BF11" s="37">
        <v>4</v>
      </c>
      <c r="BG11" s="37">
        <v>2</v>
      </c>
      <c r="BH11" s="37">
        <v>2</v>
      </c>
      <c r="BI11" s="37">
        <v>2</v>
      </c>
      <c r="BJ11" s="37">
        <v>2</v>
      </c>
      <c r="BK11" s="37">
        <v>2</v>
      </c>
      <c r="BL11" s="37">
        <v>2</v>
      </c>
      <c r="BM11" s="37">
        <v>2</v>
      </c>
      <c r="BN11" s="37">
        <v>2</v>
      </c>
      <c r="BO11" s="37">
        <v>2</v>
      </c>
      <c r="BP11" s="37">
        <v>2</v>
      </c>
      <c r="BQ11" s="37">
        <v>2</v>
      </c>
      <c r="BR11" s="37">
        <v>2</v>
      </c>
      <c r="BS11" s="37">
        <v>2</v>
      </c>
      <c r="BT11" s="37">
        <v>2</v>
      </c>
    </row>
    <row r="12" spans="3:72" x14ac:dyDescent="0.25">
      <c r="F12" s="6">
        <f t="shared" si="1"/>
        <v>0</v>
      </c>
      <c r="G12" s="6">
        <f t="shared" si="2"/>
        <v>0</v>
      </c>
      <c r="H12" s="6">
        <f t="shared" si="3"/>
        <v>0</v>
      </c>
      <c r="I12" s="6">
        <f t="shared" si="4"/>
        <v>0</v>
      </c>
      <c r="J12" s="6">
        <f t="shared" si="5"/>
        <v>0</v>
      </c>
      <c r="K12" s="6">
        <f t="shared" si="6"/>
        <v>0</v>
      </c>
      <c r="L12" s="6">
        <f t="shared" si="7"/>
        <v>0</v>
      </c>
      <c r="M12" s="6">
        <f t="shared" si="8"/>
        <v>0</v>
      </c>
      <c r="N12" s="6">
        <f t="shared" si="9"/>
        <v>0</v>
      </c>
      <c r="O12" s="6">
        <f t="shared" si="10"/>
        <v>0</v>
      </c>
      <c r="P12" s="6">
        <f t="shared" si="11"/>
        <v>0</v>
      </c>
      <c r="Q12" s="6">
        <f t="shared" si="12"/>
        <v>0</v>
      </c>
      <c r="R12" s="6">
        <f t="shared" si="13"/>
        <v>0</v>
      </c>
      <c r="S12" s="6">
        <f t="shared" si="14"/>
        <v>0</v>
      </c>
      <c r="T12" s="6">
        <f t="shared" si="15"/>
        <v>0</v>
      </c>
      <c r="U12" s="6">
        <f t="shared" si="16"/>
        <v>0</v>
      </c>
      <c r="V12" s="6">
        <f t="shared" si="17"/>
        <v>0</v>
      </c>
      <c r="W12" s="6">
        <f t="shared" si="18"/>
        <v>0</v>
      </c>
      <c r="X12" s="6">
        <f t="shared" si="19"/>
        <v>0</v>
      </c>
      <c r="Y12" s="6">
        <f t="shared" si="20"/>
        <v>0</v>
      </c>
      <c r="Z12" s="6">
        <f t="shared" si="21"/>
        <v>0</v>
      </c>
      <c r="AB12" s="36" t="str">
        <f>IF(最佳化斷筋點!C12="","",最佳化斷筋點!C12)</f>
        <v/>
      </c>
      <c r="AC12" s="36" t="str">
        <f>IF(最佳化斷筋點!D12="","",最佳化斷筋點!D12)</f>
        <v/>
      </c>
      <c r="AD12" s="36" t="str">
        <f>IF(最佳化斷筋點!E12="","",最佳化斷筋點!E12)</f>
        <v/>
      </c>
      <c r="AE12" s="36" t="str">
        <f>IF(最佳化斷筋點!F12="","",最佳化斷筋點!F12)</f>
        <v/>
      </c>
      <c r="AF12" s="36" t="str">
        <f>IF(最佳化斷筋點!G12="","",最佳化斷筋點!G12)</f>
        <v/>
      </c>
      <c r="AG12" s="36" t="str">
        <f>IF(最佳化斷筋點!H12="","",最佳化斷筋點!H12)</f>
        <v/>
      </c>
      <c r="AH12" s="36" t="str">
        <f>IF(最佳化斷筋點!I12="","",最佳化斷筋點!I12)</f>
        <v/>
      </c>
      <c r="AI12" s="36" t="str">
        <f>IF(最佳化斷筋點!J12="","",最佳化斷筋點!J12)</f>
        <v/>
      </c>
      <c r="AJ12" s="36" t="str">
        <f>IF(最佳化斷筋點!K12="","",最佳化斷筋點!K12)</f>
        <v/>
      </c>
      <c r="AK12" s="36" t="str">
        <f>IF(最佳化斷筋點!L12="","",最佳化斷筋點!L12)</f>
        <v/>
      </c>
      <c r="AL12" s="36" t="str">
        <f>IF(最佳化斷筋點!M12="","",最佳化斷筋點!M12)</f>
        <v/>
      </c>
      <c r="AM12" s="36" t="str">
        <f>IF(最佳化斷筋點!N12="","",最佳化斷筋點!N12)</f>
        <v/>
      </c>
      <c r="AN12" s="36" t="str">
        <f>IF(最佳化斷筋點!O12="","",最佳化斷筋點!O12)</f>
        <v/>
      </c>
      <c r="AO12" s="36" t="str">
        <f>IF(最佳化斷筋點!P12="","",最佳化斷筋點!P12)</f>
        <v/>
      </c>
      <c r="AP12" s="36" t="str">
        <f>IF(最佳化斷筋點!Q12="","",最佳化斷筋點!Q12)</f>
        <v/>
      </c>
      <c r="AQ12" s="36" t="str">
        <f>IF(最佳化斷筋點!R12="","",最佳化斷筋點!R12)</f>
        <v/>
      </c>
      <c r="AR12" s="36" t="str">
        <f>IF(最佳化斷筋點!S12="","",最佳化斷筋點!S12)</f>
        <v/>
      </c>
      <c r="AS12" s="36" t="str">
        <f>IF(最佳化斷筋點!T12="","",最佳化斷筋點!T12)</f>
        <v/>
      </c>
      <c r="AT12" s="36" t="str">
        <f>IF(最佳化斷筋點!U12="","",最佳化斷筋點!U12)</f>
        <v/>
      </c>
      <c r="AU12" s="36" t="str">
        <f>IF(最佳化斷筋點!V12="","",最佳化斷筋點!V12)</f>
        <v/>
      </c>
      <c r="AV12" s="36" t="str">
        <f>IF(最佳化斷筋點!W12="","",最佳化斷筋點!W12)</f>
        <v/>
      </c>
      <c r="AW12" s="36" t="str">
        <f>IF(最佳化斷筋點!X12="","",最佳化斷筋點!X12)</f>
        <v/>
      </c>
      <c r="AZ12" s="37" t="s">
        <v>197</v>
      </c>
      <c r="BA12" s="37" t="s">
        <v>197</v>
      </c>
      <c r="BB12" s="37" t="s">
        <v>197</v>
      </c>
      <c r="BC12" s="37" t="s">
        <v>197</v>
      </c>
      <c r="BD12" s="37" t="s">
        <v>197</v>
      </c>
      <c r="BE12" s="37" t="s">
        <v>197</v>
      </c>
      <c r="BF12" s="37" t="s">
        <v>197</v>
      </c>
      <c r="BG12" s="37" t="s">
        <v>197</v>
      </c>
      <c r="BH12" s="37" t="s">
        <v>197</v>
      </c>
      <c r="BI12" s="37" t="s">
        <v>197</v>
      </c>
      <c r="BJ12" s="37" t="s">
        <v>197</v>
      </c>
      <c r="BK12" s="37" t="s">
        <v>197</v>
      </c>
      <c r="BL12" s="37" t="s">
        <v>197</v>
      </c>
      <c r="BM12" s="37" t="s">
        <v>197</v>
      </c>
      <c r="BN12" s="37" t="s">
        <v>197</v>
      </c>
      <c r="BO12" s="37" t="s">
        <v>197</v>
      </c>
      <c r="BP12" s="37" t="s">
        <v>197</v>
      </c>
      <c r="BQ12" s="37" t="s">
        <v>197</v>
      </c>
      <c r="BR12" s="37" t="s">
        <v>197</v>
      </c>
      <c r="BS12" s="37" t="s">
        <v>197</v>
      </c>
      <c r="BT12" s="37" t="s">
        <v>197</v>
      </c>
    </row>
    <row r="13" spans="3:72" x14ac:dyDescent="0.25">
      <c r="E13" s="6" t="s">
        <v>21</v>
      </c>
      <c r="F13" s="6">
        <f t="shared" si="1"/>
        <v>0</v>
      </c>
      <c r="G13" s="6">
        <f t="shared" si="2"/>
        <v>0</v>
      </c>
      <c r="H13" s="6">
        <f t="shared" si="3"/>
        <v>0</v>
      </c>
      <c r="I13" s="6">
        <f t="shared" si="4"/>
        <v>0</v>
      </c>
      <c r="J13" s="6">
        <f t="shared" si="5"/>
        <v>0</v>
      </c>
      <c r="K13" s="6">
        <f t="shared" si="6"/>
        <v>0</v>
      </c>
      <c r="L13" s="6">
        <f t="shared" si="7"/>
        <v>0</v>
      </c>
      <c r="M13" s="6">
        <f t="shared" si="8"/>
        <v>0</v>
      </c>
      <c r="N13" s="6">
        <f t="shared" si="9"/>
        <v>0</v>
      </c>
      <c r="O13" s="6">
        <f t="shared" si="10"/>
        <v>0</v>
      </c>
      <c r="P13" s="6">
        <f t="shared" si="11"/>
        <v>0</v>
      </c>
      <c r="Q13" s="6">
        <f t="shared" si="12"/>
        <v>0</v>
      </c>
      <c r="R13" s="6">
        <f t="shared" si="13"/>
        <v>0</v>
      </c>
      <c r="S13" s="6">
        <f t="shared" si="14"/>
        <v>0</v>
      </c>
      <c r="T13" s="6">
        <f t="shared" si="15"/>
        <v>0</v>
      </c>
      <c r="U13" s="6">
        <f t="shared" si="16"/>
        <v>0</v>
      </c>
      <c r="V13" s="6">
        <f t="shared" si="17"/>
        <v>0</v>
      </c>
      <c r="W13" s="6">
        <f t="shared" si="18"/>
        <v>0</v>
      </c>
      <c r="X13" s="6">
        <f t="shared" si="19"/>
        <v>0</v>
      </c>
      <c r="Y13" s="6">
        <f t="shared" si="20"/>
        <v>0</v>
      </c>
      <c r="Z13" s="6">
        <f t="shared" si="21"/>
        <v>0</v>
      </c>
      <c r="AB13" s="36" t="str">
        <f>IF(最佳化斷筋點!C13="","",最佳化斷筋點!C13)</f>
        <v>下層</v>
      </c>
      <c r="AC13" s="37">
        <f>IF(最佳化斷筋點!D13="","",最佳化斷筋點!D13)</f>
        <v>2</v>
      </c>
      <c r="AD13" s="37">
        <f>IF(最佳化斷筋點!E13="","",最佳化斷筋點!E13)</f>
        <v>2</v>
      </c>
      <c r="AE13" s="37">
        <f>IF(最佳化斷筋點!F13="","",最佳化斷筋點!F13)</f>
        <v>2</v>
      </c>
      <c r="AF13" s="37">
        <f>IF(最佳化斷筋點!G13="","",最佳化斷筋點!G13)</f>
        <v>2</v>
      </c>
      <c r="AG13" s="37">
        <f>IF(最佳化斷筋點!H13="","",最佳化斷筋點!H13)</f>
        <v>2</v>
      </c>
      <c r="AH13" s="37">
        <f>IF(最佳化斷筋點!I13="","",最佳化斷筋點!I13)</f>
        <v>2</v>
      </c>
      <c r="AI13" s="37">
        <f>IF(最佳化斷筋點!J13="","",最佳化斷筋點!J13)</f>
        <v>2</v>
      </c>
      <c r="AJ13" s="37">
        <f>IF(最佳化斷筋點!K13="","",最佳化斷筋點!K13)</f>
        <v>2</v>
      </c>
      <c r="AK13" s="37">
        <f>IF(最佳化斷筋點!L13="","",最佳化斷筋點!L13)</f>
        <v>2</v>
      </c>
      <c r="AL13" s="37">
        <f>IF(最佳化斷筋點!M13="","",最佳化斷筋點!M13)</f>
        <v>2</v>
      </c>
      <c r="AM13" s="37">
        <f>IF(最佳化斷筋點!N13="","",最佳化斷筋點!N13)</f>
        <v>2</v>
      </c>
      <c r="AN13" s="37">
        <f>IF(最佳化斷筋點!O13="","",最佳化斷筋點!O13)</f>
        <v>2</v>
      </c>
      <c r="AO13" s="37">
        <f>IF(最佳化斷筋點!P13="","",最佳化斷筋點!P13)</f>
        <v>2</v>
      </c>
      <c r="AP13" s="37">
        <f>IF(最佳化斷筋點!Q13="","",最佳化斷筋點!Q13)</f>
        <v>2</v>
      </c>
      <c r="AQ13" s="37">
        <f>IF(最佳化斷筋點!R13="","",最佳化斷筋點!R13)</f>
        <v>2</v>
      </c>
      <c r="AR13" s="37">
        <f>IF(最佳化斷筋點!S13="","",最佳化斷筋點!S13)</f>
        <v>3</v>
      </c>
      <c r="AS13" s="37">
        <f>IF(最佳化斷筋點!T13="","",最佳化斷筋點!T13)</f>
        <v>3</v>
      </c>
      <c r="AT13" s="37">
        <f>IF(最佳化斷筋點!U13="","",最佳化斷筋點!U13)</f>
        <v>3</v>
      </c>
      <c r="AU13" s="37">
        <f>IF(最佳化斷筋點!V13="","",最佳化斷筋點!V13)</f>
        <v>3</v>
      </c>
      <c r="AV13" s="37">
        <f>IF(最佳化斷筋點!W13="","",最佳化斷筋點!W13)</f>
        <v>3</v>
      </c>
      <c r="AW13" s="37">
        <f>IF(最佳化斷筋點!X13="","",最佳化斷筋點!X13)</f>
        <v>3</v>
      </c>
      <c r="AY13" s="6" t="s">
        <v>21</v>
      </c>
      <c r="AZ13" s="37">
        <v>2</v>
      </c>
      <c r="BA13" s="37">
        <v>2</v>
      </c>
      <c r="BB13" s="37">
        <v>2</v>
      </c>
      <c r="BC13" s="37">
        <v>2</v>
      </c>
      <c r="BD13" s="37">
        <v>2</v>
      </c>
      <c r="BE13" s="37">
        <v>2</v>
      </c>
      <c r="BF13" s="37">
        <v>2</v>
      </c>
      <c r="BG13" s="37">
        <v>2</v>
      </c>
      <c r="BH13" s="37">
        <v>2</v>
      </c>
      <c r="BI13" s="37">
        <v>2</v>
      </c>
      <c r="BJ13" s="37">
        <v>2</v>
      </c>
      <c r="BK13" s="37">
        <v>2</v>
      </c>
      <c r="BL13" s="37">
        <v>2</v>
      </c>
      <c r="BM13" s="37">
        <v>2</v>
      </c>
      <c r="BN13" s="37">
        <v>2</v>
      </c>
      <c r="BO13" s="37">
        <v>3</v>
      </c>
      <c r="BP13" s="37">
        <v>3</v>
      </c>
      <c r="BQ13" s="37">
        <v>3</v>
      </c>
      <c r="BR13" s="37">
        <v>3</v>
      </c>
      <c r="BS13" s="37">
        <v>3</v>
      </c>
      <c r="BT13" s="37">
        <v>3</v>
      </c>
    </row>
    <row r="14" spans="3:72" x14ac:dyDescent="0.25">
      <c r="F14" s="6">
        <f t="shared" si="1"/>
        <v>0</v>
      </c>
      <c r="G14" s="6">
        <f t="shared" si="2"/>
        <v>0</v>
      </c>
      <c r="H14" s="6">
        <f t="shared" si="3"/>
        <v>0</v>
      </c>
      <c r="I14" s="6">
        <f t="shared" si="4"/>
        <v>0</v>
      </c>
      <c r="J14" s="6">
        <f t="shared" si="5"/>
        <v>0</v>
      </c>
      <c r="K14" s="6">
        <f t="shared" si="6"/>
        <v>0</v>
      </c>
      <c r="L14" s="6">
        <f t="shared" si="7"/>
        <v>0</v>
      </c>
      <c r="M14" s="6">
        <f t="shared" si="8"/>
        <v>0</v>
      </c>
      <c r="N14" s="6">
        <f t="shared" si="9"/>
        <v>0</v>
      </c>
      <c r="O14" s="6">
        <f t="shared" si="10"/>
        <v>0</v>
      </c>
      <c r="P14" s="6">
        <f t="shared" si="11"/>
        <v>0</v>
      </c>
      <c r="Q14" s="6">
        <f t="shared" si="12"/>
        <v>0</v>
      </c>
      <c r="R14" s="6">
        <f t="shared" si="13"/>
        <v>0</v>
      </c>
      <c r="S14" s="6">
        <f t="shared" si="14"/>
        <v>0</v>
      </c>
      <c r="T14" s="6">
        <f t="shared" si="15"/>
        <v>0</v>
      </c>
      <c r="U14" s="6">
        <f t="shared" si="16"/>
        <v>0</v>
      </c>
      <c r="V14" s="6">
        <f t="shared" si="17"/>
        <v>0</v>
      </c>
      <c r="W14" s="6">
        <f t="shared" si="18"/>
        <v>0</v>
      </c>
      <c r="X14" s="6">
        <f t="shared" si="19"/>
        <v>0</v>
      </c>
      <c r="Y14" s="6">
        <f t="shared" si="20"/>
        <v>0</v>
      </c>
      <c r="Z14" s="6">
        <f t="shared" si="21"/>
        <v>0</v>
      </c>
      <c r="AB14" s="36" t="str">
        <f>IF(最佳化斷筋點!C14="","",最佳化斷筋點!C14)</f>
        <v/>
      </c>
      <c r="AC14" s="36" t="str">
        <f>IF(最佳化斷筋點!D14="","",最佳化斷筋點!D14)</f>
        <v/>
      </c>
      <c r="AD14" s="36" t="str">
        <f>IF(最佳化斷筋點!E14="","",最佳化斷筋點!E14)</f>
        <v/>
      </c>
      <c r="AE14" s="36" t="str">
        <f>IF(最佳化斷筋點!F14="","",最佳化斷筋點!F14)</f>
        <v/>
      </c>
      <c r="AF14" s="36" t="str">
        <f>IF(最佳化斷筋點!G14="","",最佳化斷筋點!G14)</f>
        <v/>
      </c>
      <c r="AG14" s="36" t="str">
        <f>IF(最佳化斷筋點!H14="","",最佳化斷筋點!H14)</f>
        <v/>
      </c>
      <c r="AH14" s="36" t="str">
        <f>IF(最佳化斷筋點!I14="","",最佳化斷筋點!I14)</f>
        <v/>
      </c>
      <c r="AI14" s="36" t="str">
        <f>IF(最佳化斷筋點!J14="","",最佳化斷筋點!J14)</f>
        <v/>
      </c>
      <c r="AJ14" s="36" t="str">
        <f>IF(最佳化斷筋點!K14="","",最佳化斷筋點!K14)</f>
        <v/>
      </c>
      <c r="AK14" s="36" t="str">
        <f>IF(最佳化斷筋點!L14="","",最佳化斷筋點!L14)</f>
        <v/>
      </c>
      <c r="AL14" s="36" t="str">
        <f>IF(最佳化斷筋點!M14="","",最佳化斷筋點!M14)</f>
        <v/>
      </c>
      <c r="AM14" s="36" t="str">
        <f>IF(最佳化斷筋點!N14="","",最佳化斷筋點!N14)</f>
        <v/>
      </c>
      <c r="AN14" s="36" t="str">
        <f>IF(最佳化斷筋點!O14="","",最佳化斷筋點!O14)</f>
        <v/>
      </c>
      <c r="AO14" s="36" t="str">
        <f>IF(最佳化斷筋點!P14="","",最佳化斷筋點!P14)</f>
        <v/>
      </c>
      <c r="AP14" s="36" t="str">
        <f>IF(最佳化斷筋點!Q14="","",最佳化斷筋點!Q14)</f>
        <v/>
      </c>
      <c r="AQ14" s="36" t="str">
        <f>IF(最佳化斷筋點!R14="","",最佳化斷筋點!R14)</f>
        <v/>
      </c>
      <c r="AR14" s="36" t="str">
        <f>IF(最佳化斷筋點!S14="","",最佳化斷筋點!S14)</f>
        <v/>
      </c>
      <c r="AS14" s="36" t="str">
        <f>IF(最佳化斷筋點!T14="","",最佳化斷筋點!T14)</f>
        <v/>
      </c>
      <c r="AT14" s="36" t="str">
        <f>IF(最佳化斷筋點!U14="","",最佳化斷筋點!U14)</f>
        <v/>
      </c>
      <c r="AU14" s="36" t="str">
        <f>IF(最佳化斷筋點!V14="","",最佳化斷筋點!V14)</f>
        <v/>
      </c>
      <c r="AV14" s="36" t="str">
        <f>IF(最佳化斷筋點!W14="","",最佳化斷筋點!W14)</f>
        <v/>
      </c>
      <c r="AW14" s="36" t="str">
        <f>IF(最佳化斷筋點!X14="","",最佳化斷筋點!X14)</f>
        <v/>
      </c>
      <c r="AZ14" s="37" t="s">
        <v>197</v>
      </c>
      <c r="BA14" s="37" t="s">
        <v>197</v>
      </c>
      <c r="BB14" s="37" t="s">
        <v>197</v>
      </c>
      <c r="BC14" s="37" t="s">
        <v>197</v>
      </c>
      <c r="BD14" s="37" t="s">
        <v>197</v>
      </c>
      <c r="BE14" s="37" t="s">
        <v>197</v>
      </c>
      <c r="BF14" s="37" t="s">
        <v>197</v>
      </c>
      <c r="BG14" s="37" t="s">
        <v>197</v>
      </c>
      <c r="BH14" s="37" t="s">
        <v>197</v>
      </c>
      <c r="BI14" s="37" t="s">
        <v>197</v>
      </c>
      <c r="BJ14" s="37" t="s">
        <v>197</v>
      </c>
      <c r="BK14" s="37" t="s">
        <v>197</v>
      </c>
      <c r="BL14" s="37" t="s">
        <v>197</v>
      </c>
      <c r="BM14" s="37" t="s">
        <v>197</v>
      </c>
      <c r="BN14" s="37" t="s">
        <v>197</v>
      </c>
      <c r="BO14" s="37" t="s">
        <v>197</v>
      </c>
      <c r="BP14" s="37" t="s">
        <v>197</v>
      </c>
      <c r="BQ14" s="37" t="s">
        <v>197</v>
      </c>
      <c r="BR14" s="37" t="s">
        <v>197</v>
      </c>
      <c r="BS14" s="37" t="s">
        <v>197</v>
      </c>
      <c r="BT14" s="37" t="s">
        <v>197</v>
      </c>
    </row>
    <row r="15" spans="3:72" x14ac:dyDescent="0.25">
      <c r="E15" s="6" t="s">
        <v>20</v>
      </c>
      <c r="F15" s="6">
        <f t="shared" si="1"/>
        <v>0</v>
      </c>
      <c r="G15" s="6">
        <f t="shared" si="2"/>
        <v>0</v>
      </c>
      <c r="H15" s="6">
        <f t="shared" si="3"/>
        <v>0</v>
      </c>
      <c r="I15" s="6">
        <f t="shared" si="4"/>
        <v>0</v>
      </c>
      <c r="J15" s="6">
        <f t="shared" si="5"/>
        <v>0</v>
      </c>
      <c r="K15" s="6">
        <f t="shared" si="6"/>
        <v>0</v>
      </c>
      <c r="L15" s="6">
        <f t="shared" si="7"/>
        <v>0</v>
      </c>
      <c r="M15" s="6">
        <f t="shared" si="8"/>
        <v>0</v>
      </c>
      <c r="N15" s="6">
        <f t="shared" si="9"/>
        <v>0</v>
      </c>
      <c r="O15" s="6">
        <f t="shared" si="10"/>
        <v>0</v>
      </c>
      <c r="P15" s="6">
        <f t="shared" si="11"/>
        <v>0</v>
      </c>
      <c r="Q15" s="6">
        <f t="shared" si="12"/>
        <v>0</v>
      </c>
      <c r="R15" s="6">
        <f t="shared" si="13"/>
        <v>0</v>
      </c>
      <c r="S15" s="6">
        <f t="shared" si="14"/>
        <v>0</v>
      </c>
      <c r="T15" s="6">
        <f t="shared" si="15"/>
        <v>0</v>
      </c>
      <c r="U15" s="6">
        <f t="shared" si="16"/>
        <v>0</v>
      </c>
      <c r="V15" s="6">
        <f t="shared" si="17"/>
        <v>0</v>
      </c>
      <c r="W15" s="6">
        <f t="shared" si="18"/>
        <v>0</v>
      </c>
      <c r="X15" s="6">
        <f t="shared" si="19"/>
        <v>0</v>
      </c>
      <c r="Y15" s="6">
        <f t="shared" si="20"/>
        <v>0</v>
      </c>
      <c r="Z15" s="6">
        <f t="shared" si="21"/>
        <v>0</v>
      </c>
      <c r="AB15" s="36" t="str">
        <f>IF(最佳化斷筋點!C15="","",最佳化斷筋點!C15)</f>
        <v>上層</v>
      </c>
      <c r="AC15" s="37">
        <f>IF(最佳化斷筋點!D15="","",最佳化斷筋點!D15)</f>
        <v>2</v>
      </c>
      <c r="AD15" s="37">
        <f>IF(最佳化斷筋點!E15="","",最佳化斷筋點!E15)</f>
        <v>2</v>
      </c>
      <c r="AE15" s="37">
        <f>IF(最佳化斷筋點!F15="","",最佳化斷筋點!F15)</f>
        <v>2</v>
      </c>
      <c r="AF15" s="37">
        <f>IF(最佳化斷筋點!G15="","",最佳化斷筋點!G15)</f>
        <v>2</v>
      </c>
      <c r="AG15" s="37">
        <f>IF(最佳化斷筋點!H15="","",最佳化斷筋點!H15)</f>
        <v>2</v>
      </c>
      <c r="AH15" s="37">
        <f>IF(最佳化斷筋點!I15="","",最佳化斷筋點!I15)</f>
        <v>2</v>
      </c>
      <c r="AI15" s="37">
        <f>IF(最佳化斷筋點!J15="","",最佳化斷筋點!J15)</f>
        <v>2</v>
      </c>
      <c r="AJ15" s="37">
        <f>IF(最佳化斷筋點!K15="","",最佳化斷筋點!K15)</f>
        <v>2</v>
      </c>
      <c r="AK15" s="37">
        <f>IF(最佳化斷筋點!L15="","",最佳化斷筋點!L15)</f>
        <v>2</v>
      </c>
      <c r="AL15" s="37">
        <f>IF(最佳化斷筋點!M15="","",最佳化斷筋點!M15)</f>
        <v>2</v>
      </c>
      <c r="AM15" s="37">
        <f>IF(最佳化斷筋點!N15="","",最佳化斷筋點!N15)</f>
        <v>2</v>
      </c>
      <c r="AN15" s="37">
        <f>IF(最佳化斷筋點!O15="","",最佳化斷筋點!O15)</f>
        <v>2</v>
      </c>
      <c r="AO15" s="37">
        <f>IF(最佳化斷筋點!P15="","",最佳化斷筋點!P15)</f>
        <v>2</v>
      </c>
      <c r="AP15" s="37">
        <f>IF(最佳化斷筋點!Q15="","",最佳化斷筋點!Q15)</f>
        <v>2</v>
      </c>
      <c r="AQ15" s="37">
        <f>IF(最佳化斷筋點!R15="","",最佳化斷筋點!R15)</f>
        <v>2</v>
      </c>
      <c r="AR15" s="37">
        <f>IF(最佳化斷筋點!S15="","",最佳化斷筋點!S15)</f>
        <v>2</v>
      </c>
      <c r="AS15" s="37">
        <f>IF(最佳化斷筋點!T15="","",最佳化斷筋點!T15)</f>
        <v>2</v>
      </c>
      <c r="AT15" s="37">
        <f>IF(最佳化斷筋點!U15="","",最佳化斷筋點!U15)</f>
        <v>2</v>
      </c>
      <c r="AU15" s="37">
        <f>IF(最佳化斷筋點!V15="","",最佳化斷筋點!V15)</f>
        <v>2</v>
      </c>
      <c r="AV15" s="37">
        <f>IF(最佳化斷筋點!W15="","",最佳化斷筋點!W15)</f>
        <v>2</v>
      </c>
      <c r="AW15" s="37">
        <f>IF(最佳化斷筋點!X15="","",最佳化斷筋點!X15)</f>
        <v>2</v>
      </c>
      <c r="AY15" s="6" t="s">
        <v>20</v>
      </c>
      <c r="AZ15" s="37">
        <v>2</v>
      </c>
      <c r="BA15" s="37">
        <v>2</v>
      </c>
      <c r="BB15" s="37">
        <v>2</v>
      </c>
      <c r="BC15" s="37">
        <v>2</v>
      </c>
      <c r="BD15" s="37">
        <v>2</v>
      </c>
      <c r="BE15" s="37">
        <v>2</v>
      </c>
      <c r="BF15" s="37">
        <v>2</v>
      </c>
      <c r="BG15" s="37">
        <v>2</v>
      </c>
      <c r="BH15" s="37">
        <v>2</v>
      </c>
      <c r="BI15" s="37">
        <v>2</v>
      </c>
      <c r="BJ15" s="37">
        <v>2</v>
      </c>
      <c r="BK15" s="37">
        <v>2</v>
      </c>
      <c r="BL15" s="37">
        <v>2</v>
      </c>
      <c r="BM15" s="37">
        <v>2</v>
      </c>
      <c r="BN15" s="37">
        <v>2</v>
      </c>
      <c r="BO15" s="37">
        <v>2</v>
      </c>
      <c r="BP15" s="37">
        <v>2</v>
      </c>
      <c r="BQ15" s="37">
        <v>2</v>
      </c>
      <c r="BR15" s="37">
        <v>2</v>
      </c>
      <c r="BS15" s="37">
        <v>2</v>
      </c>
      <c r="BT15" s="37">
        <v>2</v>
      </c>
    </row>
    <row r="16" spans="3:72" x14ac:dyDescent="0.25">
      <c r="F16" s="6">
        <f t="shared" si="1"/>
        <v>0</v>
      </c>
      <c r="G16" s="6">
        <f t="shared" si="2"/>
        <v>0</v>
      </c>
      <c r="H16" s="6">
        <f t="shared" si="3"/>
        <v>0</v>
      </c>
      <c r="I16" s="6">
        <f t="shared" si="4"/>
        <v>0</v>
      </c>
      <c r="J16" s="6">
        <f t="shared" si="5"/>
        <v>0</v>
      </c>
      <c r="K16" s="6">
        <f t="shared" si="6"/>
        <v>0</v>
      </c>
      <c r="L16" s="6">
        <f t="shared" si="7"/>
        <v>0</v>
      </c>
      <c r="M16" s="6">
        <f t="shared" si="8"/>
        <v>0</v>
      </c>
      <c r="N16" s="6">
        <f t="shared" si="9"/>
        <v>0</v>
      </c>
      <c r="O16" s="6">
        <f t="shared" si="10"/>
        <v>0</v>
      </c>
      <c r="P16" s="6">
        <f t="shared" si="11"/>
        <v>0</v>
      </c>
      <c r="Q16" s="6">
        <f t="shared" si="12"/>
        <v>0</v>
      </c>
      <c r="R16" s="6">
        <f t="shared" si="13"/>
        <v>0</v>
      </c>
      <c r="S16" s="6">
        <f t="shared" si="14"/>
        <v>0</v>
      </c>
      <c r="T16" s="6">
        <f t="shared" si="15"/>
        <v>0</v>
      </c>
      <c r="U16" s="6">
        <f t="shared" si="16"/>
        <v>0</v>
      </c>
      <c r="V16" s="6">
        <f t="shared" si="17"/>
        <v>0</v>
      </c>
      <c r="W16" s="6">
        <f t="shared" si="18"/>
        <v>0</v>
      </c>
      <c r="X16" s="6">
        <f t="shared" si="19"/>
        <v>0</v>
      </c>
      <c r="Y16" s="6">
        <f t="shared" si="20"/>
        <v>0</v>
      </c>
      <c r="Z16" s="6">
        <f t="shared" si="21"/>
        <v>0</v>
      </c>
      <c r="AB16" s="36" t="str">
        <f>IF(最佳化斷筋點!C16="","",最佳化斷筋點!C16)</f>
        <v/>
      </c>
      <c r="AC16" s="36" t="str">
        <f>IF(最佳化斷筋點!D16="","",最佳化斷筋點!D16)</f>
        <v/>
      </c>
      <c r="AD16" s="36" t="str">
        <f>IF(最佳化斷筋點!E16="","",最佳化斷筋點!E16)</f>
        <v/>
      </c>
      <c r="AE16" s="36" t="str">
        <f>IF(最佳化斷筋點!F16="","",最佳化斷筋點!F16)</f>
        <v/>
      </c>
      <c r="AF16" s="36" t="str">
        <f>IF(最佳化斷筋點!G16="","",最佳化斷筋點!G16)</f>
        <v/>
      </c>
      <c r="AG16" s="36" t="str">
        <f>IF(最佳化斷筋點!H16="","",最佳化斷筋點!H16)</f>
        <v/>
      </c>
      <c r="AH16" s="36" t="str">
        <f>IF(最佳化斷筋點!I16="","",最佳化斷筋點!I16)</f>
        <v/>
      </c>
      <c r="AI16" s="36" t="str">
        <f>IF(最佳化斷筋點!J16="","",最佳化斷筋點!J16)</f>
        <v/>
      </c>
      <c r="AJ16" s="36" t="str">
        <f>IF(最佳化斷筋點!K16="","",最佳化斷筋點!K16)</f>
        <v/>
      </c>
      <c r="AK16" s="36" t="str">
        <f>IF(最佳化斷筋點!L16="","",最佳化斷筋點!L16)</f>
        <v/>
      </c>
      <c r="AL16" s="36" t="str">
        <f>IF(最佳化斷筋點!M16="","",最佳化斷筋點!M16)</f>
        <v/>
      </c>
      <c r="AM16" s="36" t="str">
        <f>IF(最佳化斷筋點!N16="","",最佳化斷筋點!N16)</f>
        <v/>
      </c>
      <c r="AN16" s="36" t="str">
        <f>IF(最佳化斷筋點!O16="","",最佳化斷筋點!O16)</f>
        <v/>
      </c>
      <c r="AO16" s="36" t="str">
        <f>IF(最佳化斷筋點!P16="","",最佳化斷筋點!P16)</f>
        <v/>
      </c>
      <c r="AP16" s="36" t="str">
        <f>IF(最佳化斷筋點!Q16="","",最佳化斷筋點!Q16)</f>
        <v/>
      </c>
      <c r="AQ16" s="36" t="str">
        <f>IF(最佳化斷筋點!R16="","",最佳化斷筋點!R16)</f>
        <v/>
      </c>
      <c r="AR16" s="36" t="str">
        <f>IF(最佳化斷筋點!S16="","",最佳化斷筋點!S16)</f>
        <v/>
      </c>
      <c r="AS16" s="36" t="str">
        <f>IF(最佳化斷筋點!T16="","",最佳化斷筋點!T16)</f>
        <v/>
      </c>
      <c r="AT16" s="36" t="str">
        <f>IF(最佳化斷筋點!U16="","",最佳化斷筋點!U16)</f>
        <v/>
      </c>
      <c r="AU16" s="36" t="str">
        <f>IF(最佳化斷筋點!V16="","",最佳化斷筋點!V16)</f>
        <v/>
      </c>
      <c r="AV16" s="36" t="str">
        <f>IF(最佳化斷筋點!W16="","",最佳化斷筋點!W16)</f>
        <v/>
      </c>
      <c r="AW16" s="36" t="str">
        <f>IF(最佳化斷筋點!X16="","",最佳化斷筋點!X16)</f>
        <v/>
      </c>
      <c r="AZ16" s="37" t="s">
        <v>197</v>
      </c>
      <c r="BA16" s="37" t="s">
        <v>197</v>
      </c>
      <c r="BB16" s="37" t="s">
        <v>197</v>
      </c>
      <c r="BC16" s="37" t="s">
        <v>197</v>
      </c>
      <c r="BD16" s="37" t="s">
        <v>197</v>
      </c>
      <c r="BE16" s="37" t="s">
        <v>197</v>
      </c>
      <c r="BF16" s="37" t="s">
        <v>197</v>
      </c>
      <c r="BG16" s="37" t="s">
        <v>197</v>
      </c>
      <c r="BH16" s="37" t="s">
        <v>197</v>
      </c>
      <c r="BI16" s="37" t="s">
        <v>197</v>
      </c>
      <c r="BJ16" s="37" t="s">
        <v>197</v>
      </c>
      <c r="BK16" s="37" t="s">
        <v>197</v>
      </c>
      <c r="BL16" s="37" t="s">
        <v>197</v>
      </c>
      <c r="BM16" s="37" t="s">
        <v>197</v>
      </c>
      <c r="BN16" s="37" t="s">
        <v>197</v>
      </c>
      <c r="BO16" s="37" t="s">
        <v>197</v>
      </c>
      <c r="BP16" s="37" t="s">
        <v>197</v>
      </c>
      <c r="BQ16" s="37" t="s">
        <v>197</v>
      </c>
      <c r="BR16" s="37" t="s">
        <v>197</v>
      </c>
      <c r="BS16" s="37" t="s">
        <v>197</v>
      </c>
      <c r="BT16" s="37" t="s">
        <v>197</v>
      </c>
    </row>
    <row r="17" spans="5:72" x14ac:dyDescent="0.25">
      <c r="E17" s="6" t="s">
        <v>21</v>
      </c>
      <c r="F17" s="6">
        <f t="shared" si="1"/>
        <v>0</v>
      </c>
      <c r="G17" s="6">
        <f t="shared" si="2"/>
        <v>0</v>
      </c>
      <c r="H17" s="6">
        <f t="shared" si="3"/>
        <v>0</v>
      </c>
      <c r="I17" s="6">
        <f t="shared" si="4"/>
        <v>0</v>
      </c>
      <c r="J17" s="6">
        <f t="shared" si="5"/>
        <v>0</v>
      </c>
      <c r="K17" s="6">
        <f t="shared" si="6"/>
        <v>0</v>
      </c>
      <c r="L17" s="6">
        <f t="shared" si="7"/>
        <v>0</v>
      </c>
      <c r="M17" s="6">
        <f t="shared" si="8"/>
        <v>0</v>
      </c>
      <c r="N17" s="6">
        <f t="shared" si="9"/>
        <v>0</v>
      </c>
      <c r="O17" s="6">
        <f t="shared" si="10"/>
        <v>0</v>
      </c>
      <c r="P17" s="6">
        <f t="shared" si="11"/>
        <v>0</v>
      </c>
      <c r="Q17" s="6">
        <f t="shared" si="12"/>
        <v>0</v>
      </c>
      <c r="R17" s="6">
        <f t="shared" si="13"/>
        <v>0</v>
      </c>
      <c r="S17" s="6">
        <f t="shared" si="14"/>
        <v>0</v>
      </c>
      <c r="T17" s="6">
        <f t="shared" si="15"/>
        <v>0</v>
      </c>
      <c r="U17" s="6">
        <f t="shared" si="16"/>
        <v>0</v>
      </c>
      <c r="V17" s="6">
        <f t="shared" si="17"/>
        <v>0</v>
      </c>
      <c r="W17" s="6">
        <f t="shared" si="18"/>
        <v>0</v>
      </c>
      <c r="X17" s="6">
        <f t="shared" si="19"/>
        <v>0</v>
      </c>
      <c r="Y17" s="6">
        <f t="shared" si="20"/>
        <v>0</v>
      </c>
      <c r="Z17" s="6">
        <f t="shared" si="21"/>
        <v>0</v>
      </c>
      <c r="AB17" s="36" t="str">
        <f>IF(最佳化斷筋點!C17="","",最佳化斷筋點!C17)</f>
        <v>下層</v>
      </c>
      <c r="AC17" s="37">
        <f>IF(最佳化斷筋點!D17="","",最佳化斷筋點!D17)</f>
        <v>2</v>
      </c>
      <c r="AD17" s="37">
        <f>IF(最佳化斷筋點!E17="","",最佳化斷筋點!E17)</f>
        <v>2</v>
      </c>
      <c r="AE17" s="37">
        <f>IF(最佳化斷筋點!F17="","",最佳化斷筋點!F17)</f>
        <v>2</v>
      </c>
      <c r="AF17" s="37">
        <f>IF(最佳化斷筋點!G17="","",最佳化斷筋點!G17)</f>
        <v>2</v>
      </c>
      <c r="AG17" s="37">
        <f>IF(最佳化斷筋點!H17="","",最佳化斷筋點!H17)</f>
        <v>2</v>
      </c>
      <c r="AH17" s="37">
        <f>IF(最佳化斷筋點!I17="","",最佳化斷筋點!I17)</f>
        <v>2</v>
      </c>
      <c r="AI17" s="37">
        <f>IF(最佳化斷筋點!J17="","",最佳化斷筋點!J17)</f>
        <v>2</v>
      </c>
      <c r="AJ17" s="37">
        <f>IF(最佳化斷筋點!K17="","",最佳化斷筋點!K17)</f>
        <v>2</v>
      </c>
      <c r="AK17" s="37">
        <f>IF(最佳化斷筋點!L17="","",最佳化斷筋點!L17)</f>
        <v>2</v>
      </c>
      <c r="AL17" s="37">
        <f>IF(最佳化斷筋點!M17="","",最佳化斷筋點!M17)</f>
        <v>2</v>
      </c>
      <c r="AM17" s="37">
        <f>IF(最佳化斷筋點!N17="","",最佳化斷筋點!N17)</f>
        <v>2</v>
      </c>
      <c r="AN17" s="37">
        <f>IF(最佳化斷筋點!O17="","",最佳化斷筋點!O17)</f>
        <v>2</v>
      </c>
      <c r="AO17" s="37">
        <f>IF(最佳化斷筋點!P17="","",最佳化斷筋點!P17)</f>
        <v>2</v>
      </c>
      <c r="AP17" s="37">
        <f>IF(最佳化斷筋點!Q17="","",最佳化斷筋點!Q17)</f>
        <v>2</v>
      </c>
      <c r="AQ17" s="37">
        <f>IF(最佳化斷筋點!R17="","",最佳化斷筋點!R17)</f>
        <v>2</v>
      </c>
      <c r="AR17" s="37">
        <f>IF(最佳化斷筋點!S17="","",最佳化斷筋點!S17)</f>
        <v>2</v>
      </c>
      <c r="AS17" s="37">
        <f>IF(最佳化斷筋點!T17="","",最佳化斷筋點!T17)</f>
        <v>2</v>
      </c>
      <c r="AT17" s="37">
        <f>IF(最佳化斷筋點!U17="","",最佳化斷筋點!U17)</f>
        <v>2</v>
      </c>
      <c r="AU17" s="37">
        <f>IF(最佳化斷筋點!V17="","",最佳化斷筋點!V17)</f>
        <v>2</v>
      </c>
      <c r="AV17" s="37">
        <f>IF(最佳化斷筋點!W17="","",最佳化斷筋點!W17)</f>
        <v>2</v>
      </c>
      <c r="AW17" s="37">
        <f>IF(最佳化斷筋點!X17="","",最佳化斷筋點!X17)</f>
        <v>2</v>
      </c>
      <c r="AY17" s="6" t="s">
        <v>21</v>
      </c>
      <c r="AZ17" s="37">
        <v>2</v>
      </c>
      <c r="BA17" s="37">
        <v>2</v>
      </c>
      <c r="BB17" s="37">
        <v>2</v>
      </c>
      <c r="BC17" s="37">
        <v>2</v>
      </c>
      <c r="BD17" s="37">
        <v>2</v>
      </c>
      <c r="BE17" s="37">
        <v>2</v>
      </c>
      <c r="BF17" s="37">
        <v>2</v>
      </c>
      <c r="BG17" s="37">
        <v>2</v>
      </c>
      <c r="BH17" s="37">
        <v>2</v>
      </c>
      <c r="BI17" s="37">
        <v>2</v>
      </c>
      <c r="BJ17" s="37">
        <v>2</v>
      </c>
      <c r="BK17" s="37">
        <v>2</v>
      </c>
      <c r="BL17" s="37">
        <v>2</v>
      </c>
      <c r="BM17" s="37">
        <v>2</v>
      </c>
      <c r="BN17" s="37">
        <v>2</v>
      </c>
      <c r="BO17" s="37">
        <v>2</v>
      </c>
      <c r="BP17" s="37">
        <v>2</v>
      </c>
      <c r="BQ17" s="37">
        <v>2</v>
      </c>
      <c r="BR17" s="37">
        <v>2</v>
      </c>
      <c r="BS17" s="37">
        <v>2</v>
      </c>
      <c r="BT17" s="37">
        <v>2</v>
      </c>
    </row>
    <row r="18" spans="5:72" x14ac:dyDescent="0.25">
      <c r="F18" s="6">
        <f t="shared" si="1"/>
        <v>0</v>
      </c>
      <c r="G18" s="6">
        <f t="shared" si="2"/>
        <v>0</v>
      </c>
      <c r="H18" s="6">
        <f t="shared" si="3"/>
        <v>0</v>
      </c>
      <c r="I18" s="6">
        <f t="shared" si="4"/>
        <v>0</v>
      </c>
      <c r="J18" s="6">
        <f t="shared" si="5"/>
        <v>0</v>
      </c>
      <c r="K18" s="6">
        <f t="shared" si="6"/>
        <v>0</v>
      </c>
      <c r="L18" s="6">
        <f t="shared" si="7"/>
        <v>0</v>
      </c>
      <c r="M18" s="6">
        <f t="shared" si="8"/>
        <v>0</v>
      </c>
      <c r="N18" s="6">
        <f t="shared" si="9"/>
        <v>0</v>
      </c>
      <c r="O18" s="6">
        <f t="shared" si="10"/>
        <v>0</v>
      </c>
      <c r="P18" s="6">
        <f t="shared" si="11"/>
        <v>0</v>
      </c>
      <c r="Q18" s="6">
        <f t="shared" si="12"/>
        <v>0</v>
      </c>
      <c r="R18" s="6">
        <f t="shared" si="13"/>
        <v>0</v>
      </c>
      <c r="S18" s="6">
        <f t="shared" si="14"/>
        <v>0</v>
      </c>
      <c r="T18" s="6">
        <f t="shared" si="15"/>
        <v>0</v>
      </c>
      <c r="U18" s="6">
        <f t="shared" si="16"/>
        <v>0</v>
      </c>
      <c r="V18" s="6">
        <f t="shared" si="17"/>
        <v>0</v>
      </c>
      <c r="W18" s="6">
        <f t="shared" si="18"/>
        <v>0</v>
      </c>
      <c r="X18" s="6">
        <f t="shared" si="19"/>
        <v>0</v>
      </c>
      <c r="Y18" s="6">
        <f t="shared" si="20"/>
        <v>0</v>
      </c>
      <c r="Z18" s="6">
        <f t="shared" si="21"/>
        <v>0</v>
      </c>
      <c r="AB18" s="36" t="str">
        <f>IF(最佳化斷筋點!C18="","",最佳化斷筋點!C18)</f>
        <v/>
      </c>
      <c r="AC18" s="36" t="str">
        <f>IF(最佳化斷筋點!D18="","",最佳化斷筋點!D18)</f>
        <v/>
      </c>
      <c r="AD18" s="36" t="str">
        <f>IF(最佳化斷筋點!E18="","",最佳化斷筋點!E18)</f>
        <v/>
      </c>
      <c r="AE18" s="36" t="str">
        <f>IF(最佳化斷筋點!F18="","",最佳化斷筋點!F18)</f>
        <v/>
      </c>
      <c r="AF18" s="36" t="str">
        <f>IF(最佳化斷筋點!G18="","",最佳化斷筋點!G18)</f>
        <v/>
      </c>
      <c r="AG18" s="36" t="str">
        <f>IF(最佳化斷筋點!H18="","",最佳化斷筋點!H18)</f>
        <v/>
      </c>
      <c r="AH18" s="36" t="str">
        <f>IF(最佳化斷筋點!I18="","",最佳化斷筋點!I18)</f>
        <v/>
      </c>
      <c r="AI18" s="36" t="str">
        <f>IF(最佳化斷筋點!J18="","",最佳化斷筋點!J18)</f>
        <v/>
      </c>
      <c r="AJ18" s="36" t="str">
        <f>IF(最佳化斷筋點!K18="","",最佳化斷筋點!K18)</f>
        <v/>
      </c>
      <c r="AK18" s="36" t="str">
        <f>IF(最佳化斷筋點!L18="","",最佳化斷筋點!L18)</f>
        <v/>
      </c>
      <c r="AL18" s="36" t="str">
        <f>IF(最佳化斷筋點!M18="","",最佳化斷筋點!M18)</f>
        <v/>
      </c>
      <c r="AM18" s="36" t="str">
        <f>IF(最佳化斷筋點!N18="","",最佳化斷筋點!N18)</f>
        <v/>
      </c>
      <c r="AN18" s="36" t="str">
        <f>IF(最佳化斷筋點!O18="","",最佳化斷筋點!O18)</f>
        <v/>
      </c>
      <c r="AO18" s="36" t="str">
        <f>IF(最佳化斷筋點!P18="","",最佳化斷筋點!P18)</f>
        <v/>
      </c>
      <c r="AP18" s="36" t="str">
        <f>IF(最佳化斷筋點!Q18="","",最佳化斷筋點!Q18)</f>
        <v/>
      </c>
      <c r="AQ18" s="36" t="str">
        <f>IF(最佳化斷筋點!R18="","",最佳化斷筋點!R18)</f>
        <v/>
      </c>
      <c r="AR18" s="36" t="str">
        <f>IF(最佳化斷筋點!S18="","",最佳化斷筋點!S18)</f>
        <v/>
      </c>
      <c r="AS18" s="36" t="str">
        <f>IF(最佳化斷筋點!T18="","",最佳化斷筋點!T18)</f>
        <v/>
      </c>
      <c r="AT18" s="36" t="str">
        <f>IF(最佳化斷筋點!U18="","",最佳化斷筋點!U18)</f>
        <v/>
      </c>
      <c r="AU18" s="36" t="str">
        <f>IF(最佳化斷筋點!V18="","",最佳化斷筋點!V18)</f>
        <v/>
      </c>
      <c r="AV18" s="36" t="str">
        <f>IF(最佳化斷筋點!W18="","",最佳化斷筋點!W18)</f>
        <v/>
      </c>
      <c r="AW18" s="36" t="str">
        <f>IF(最佳化斷筋點!X18="","",最佳化斷筋點!X18)</f>
        <v/>
      </c>
      <c r="AZ18" s="37" t="s">
        <v>197</v>
      </c>
      <c r="BA18" s="37" t="s">
        <v>197</v>
      </c>
      <c r="BB18" s="37" t="s">
        <v>197</v>
      </c>
      <c r="BC18" s="37" t="s">
        <v>197</v>
      </c>
      <c r="BD18" s="37" t="s">
        <v>197</v>
      </c>
      <c r="BE18" s="37" t="s">
        <v>197</v>
      </c>
      <c r="BF18" s="37" t="s">
        <v>197</v>
      </c>
      <c r="BG18" s="37" t="s">
        <v>197</v>
      </c>
      <c r="BH18" s="37" t="s">
        <v>197</v>
      </c>
      <c r="BI18" s="37" t="s">
        <v>197</v>
      </c>
      <c r="BJ18" s="37" t="s">
        <v>197</v>
      </c>
      <c r="BK18" s="37" t="s">
        <v>197</v>
      </c>
      <c r="BL18" s="37" t="s">
        <v>197</v>
      </c>
      <c r="BM18" s="37" t="s">
        <v>197</v>
      </c>
      <c r="BN18" s="37" t="s">
        <v>197</v>
      </c>
      <c r="BO18" s="37" t="s">
        <v>197</v>
      </c>
      <c r="BP18" s="37" t="s">
        <v>197</v>
      </c>
      <c r="BQ18" s="37" t="s">
        <v>197</v>
      </c>
      <c r="BR18" s="37" t="s">
        <v>197</v>
      </c>
      <c r="BS18" s="37" t="s">
        <v>197</v>
      </c>
      <c r="BT18" s="37" t="s">
        <v>197</v>
      </c>
    </row>
    <row r="19" spans="5:72" x14ac:dyDescent="0.25">
      <c r="E19" s="6" t="s">
        <v>20</v>
      </c>
      <c r="F19" s="6">
        <f t="shared" si="1"/>
        <v>0</v>
      </c>
      <c r="G19" s="6">
        <f t="shared" si="2"/>
        <v>0</v>
      </c>
      <c r="H19" s="6">
        <f t="shared" si="3"/>
        <v>0</v>
      </c>
      <c r="I19" s="6">
        <f t="shared" si="4"/>
        <v>0</v>
      </c>
      <c r="J19" s="6">
        <f t="shared" si="5"/>
        <v>0</v>
      </c>
      <c r="K19" s="6">
        <f t="shared" si="6"/>
        <v>0</v>
      </c>
      <c r="L19" s="6">
        <f t="shared" si="7"/>
        <v>0</v>
      </c>
      <c r="M19" s="6">
        <f t="shared" si="8"/>
        <v>0</v>
      </c>
      <c r="N19" s="6">
        <f t="shared" si="9"/>
        <v>0</v>
      </c>
      <c r="O19" s="6">
        <f t="shared" si="10"/>
        <v>0</v>
      </c>
      <c r="P19" s="6">
        <f t="shared" si="11"/>
        <v>0</v>
      </c>
      <c r="Q19" s="6">
        <f t="shared" si="12"/>
        <v>0</v>
      </c>
      <c r="R19" s="6">
        <f t="shared" si="13"/>
        <v>0</v>
      </c>
      <c r="S19" s="6">
        <f t="shared" si="14"/>
        <v>0</v>
      </c>
      <c r="T19" s="6">
        <f t="shared" si="15"/>
        <v>0</v>
      </c>
      <c r="U19" s="6">
        <f t="shared" si="16"/>
        <v>0</v>
      </c>
      <c r="V19" s="6">
        <f t="shared" si="17"/>
        <v>0</v>
      </c>
      <c r="W19" s="6">
        <f t="shared" si="18"/>
        <v>0</v>
      </c>
      <c r="X19" s="6">
        <f t="shared" si="19"/>
        <v>0</v>
      </c>
      <c r="Y19" s="6">
        <f t="shared" si="20"/>
        <v>0</v>
      </c>
      <c r="Z19" s="6">
        <f t="shared" si="21"/>
        <v>0</v>
      </c>
      <c r="AB19" s="36" t="str">
        <f>IF(最佳化斷筋點!C19="","",最佳化斷筋點!C19)</f>
        <v>上層</v>
      </c>
      <c r="AC19" s="37">
        <f>IF(最佳化斷筋點!D19="","",最佳化斷筋點!D19)</f>
        <v>2</v>
      </c>
      <c r="AD19" s="37">
        <f>IF(最佳化斷筋點!E19="","",最佳化斷筋點!E19)</f>
        <v>2</v>
      </c>
      <c r="AE19" s="37">
        <f>IF(最佳化斷筋點!F19="","",最佳化斷筋點!F19)</f>
        <v>2</v>
      </c>
      <c r="AF19" s="37">
        <f>IF(最佳化斷筋點!G19="","",最佳化斷筋點!G19)</f>
        <v>2</v>
      </c>
      <c r="AG19" s="37">
        <f>IF(最佳化斷筋點!H19="","",最佳化斷筋點!H19)</f>
        <v>2</v>
      </c>
      <c r="AH19" s="37">
        <f>IF(最佳化斷筋點!I19="","",最佳化斷筋點!I19)</f>
        <v>2</v>
      </c>
      <c r="AI19" s="37">
        <f>IF(最佳化斷筋點!J19="","",最佳化斷筋點!J19)</f>
        <v>2</v>
      </c>
      <c r="AJ19" s="37">
        <f>IF(最佳化斷筋點!K19="","",最佳化斷筋點!K19)</f>
        <v>2</v>
      </c>
      <c r="AK19" s="37">
        <f>IF(最佳化斷筋點!L19="","",最佳化斷筋點!L19)</f>
        <v>2</v>
      </c>
      <c r="AL19" s="37">
        <f>IF(最佳化斷筋點!M19="","",最佳化斷筋點!M19)</f>
        <v>2</v>
      </c>
      <c r="AM19" s="37">
        <f>IF(最佳化斷筋點!N19="","",最佳化斷筋點!N19)</f>
        <v>2</v>
      </c>
      <c r="AN19" s="37">
        <f>IF(最佳化斷筋點!O19="","",最佳化斷筋點!O19)</f>
        <v>2</v>
      </c>
      <c r="AO19" s="37">
        <f>IF(最佳化斷筋點!P19="","",最佳化斷筋點!P19)</f>
        <v>2</v>
      </c>
      <c r="AP19" s="37">
        <f>IF(最佳化斷筋點!Q19="","",最佳化斷筋點!Q19)</f>
        <v>2</v>
      </c>
      <c r="AQ19" s="37">
        <f>IF(最佳化斷筋點!R19="","",最佳化斷筋點!R19)</f>
        <v>2</v>
      </c>
      <c r="AR19" s="37">
        <f>IF(最佳化斷筋點!S19="","",最佳化斷筋點!S19)</f>
        <v>2</v>
      </c>
      <c r="AS19" s="37">
        <f>IF(最佳化斷筋點!T19="","",最佳化斷筋點!T19)</f>
        <v>2</v>
      </c>
      <c r="AT19" s="37">
        <f>IF(最佳化斷筋點!U19="","",最佳化斷筋點!U19)</f>
        <v>2</v>
      </c>
      <c r="AU19" s="37">
        <f>IF(最佳化斷筋點!V19="","",最佳化斷筋點!V19)</f>
        <v>2</v>
      </c>
      <c r="AV19" s="37">
        <f>IF(最佳化斷筋點!W19="","",最佳化斷筋點!W19)</f>
        <v>2</v>
      </c>
      <c r="AW19" s="37">
        <f>IF(最佳化斷筋點!X19="","",最佳化斷筋點!X19)</f>
        <v>2</v>
      </c>
      <c r="AY19" s="6" t="s">
        <v>20</v>
      </c>
      <c r="AZ19" s="37">
        <v>2</v>
      </c>
      <c r="BA19" s="37">
        <v>2</v>
      </c>
      <c r="BB19" s="37">
        <v>2</v>
      </c>
      <c r="BC19" s="37">
        <v>2</v>
      </c>
      <c r="BD19" s="37">
        <v>2</v>
      </c>
      <c r="BE19" s="37">
        <v>2</v>
      </c>
      <c r="BF19" s="37">
        <v>2</v>
      </c>
      <c r="BG19" s="37">
        <v>2</v>
      </c>
      <c r="BH19" s="37">
        <v>2</v>
      </c>
      <c r="BI19" s="37">
        <v>2</v>
      </c>
      <c r="BJ19" s="37">
        <v>2</v>
      </c>
      <c r="BK19" s="37">
        <v>2</v>
      </c>
      <c r="BL19" s="37">
        <v>2</v>
      </c>
      <c r="BM19" s="37">
        <v>2</v>
      </c>
      <c r="BN19" s="37">
        <v>2</v>
      </c>
      <c r="BO19" s="37">
        <v>2</v>
      </c>
      <c r="BP19" s="37">
        <v>2</v>
      </c>
      <c r="BQ19" s="37">
        <v>2</v>
      </c>
      <c r="BR19" s="37">
        <v>2</v>
      </c>
      <c r="BS19" s="37">
        <v>2</v>
      </c>
      <c r="BT19" s="37">
        <v>2</v>
      </c>
    </row>
    <row r="20" spans="5:72" x14ac:dyDescent="0.25">
      <c r="F20" s="6">
        <f t="shared" si="1"/>
        <v>0</v>
      </c>
      <c r="G20" s="6">
        <f t="shared" si="2"/>
        <v>0</v>
      </c>
      <c r="H20" s="6">
        <f t="shared" si="3"/>
        <v>0</v>
      </c>
      <c r="I20" s="6">
        <f t="shared" si="4"/>
        <v>0</v>
      </c>
      <c r="J20" s="6">
        <f t="shared" si="5"/>
        <v>0</v>
      </c>
      <c r="K20" s="6">
        <f t="shared" si="6"/>
        <v>0</v>
      </c>
      <c r="L20" s="6">
        <f t="shared" si="7"/>
        <v>0</v>
      </c>
      <c r="M20" s="6">
        <f t="shared" si="8"/>
        <v>0</v>
      </c>
      <c r="N20" s="6">
        <f t="shared" si="9"/>
        <v>0</v>
      </c>
      <c r="O20" s="6">
        <f t="shared" si="10"/>
        <v>0</v>
      </c>
      <c r="P20" s="6">
        <f t="shared" si="11"/>
        <v>0</v>
      </c>
      <c r="Q20" s="6">
        <f t="shared" si="12"/>
        <v>0</v>
      </c>
      <c r="R20" s="6">
        <f t="shared" si="13"/>
        <v>0</v>
      </c>
      <c r="S20" s="6">
        <f t="shared" si="14"/>
        <v>0</v>
      </c>
      <c r="T20" s="6">
        <f t="shared" si="15"/>
        <v>0</v>
      </c>
      <c r="U20" s="6">
        <f t="shared" si="16"/>
        <v>0</v>
      </c>
      <c r="V20" s="6">
        <f t="shared" si="17"/>
        <v>0</v>
      </c>
      <c r="W20" s="6">
        <f t="shared" si="18"/>
        <v>0</v>
      </c>
      <c r="X20" s="6">
        <f t="shared" si="19"/>
        <v>0</v>
      </c>
      <c r="Y20" s="6">
        <f t="shared" si="20"/>
        <v>0</v>
      </c>
      <c r="Z20" s="6">
        <f t="shared" si="21"/>
        <v>0</v>
      </c>
      <c r="AB20" s="36" t="str">
        <f>IF(最佳化斷筋點!C20="","",最佳化斷筋點!C20)</f>
        <v/>
      </c>
      <c r="AC20" s="36" t="str">
        <f>IF(最佳化斷筋點!D20="","",最佳化斷筋點!D20)</f>
        <v/>
      </c>
      <c r="AD20" s="36" t="str">
        <f>IF(最佳化斷筋點!E20="","",最佳化斷筋點!E20)</f>
        <v/>
      </c>
      <c r="AE20" s="36" t="str">
        <f>IF(最佳化斷筋點!F20="","",最佳化斷筋點!F20)</f>
        <v/>
      </c>
      <c r="AF20" s="36" t="str">
        <f>IF(最佳化斷筋點!G20="","",最佳化斷筋點!G20)</f>
        <v/>
      </c>
      <c r="AG20" s="36" t="str">
        <f>IF(最佳化斷筋點!H20="","",最佳化斷筋點!H20)</f>
        <v/>
      </c>
      <c r="AH20" s="36" t="str">
        <f>IF(最佳化斷筋點!I20="","",最佳化斷筋點!I20)</f>
        <v/>
      </c>
      <c r="AI20" s="36" t="str">
        <f>IF(最佳化斷筋點!J20="","",最佳化斷筋點!J20)</f>
        <v/>
      </c>
      <c r="AJ20" s="36" t="str">
        <f>IF(最佳化斷筋點!K20="","",最佳化斷筋點!K20)</f>
        <v/>
      </c>
      <c r="AK20" s="36" t="str">
        <f>IF(最佳化斷筋點!L20="","",最佳化斷筋點!L20)</f>
        <v/>
      </c>
      <c r="AL20" s="36" t="str">
        <f>IF(最佳化斷筋點!M20="","",最佳化斷筋點!M20)</f>
        <v/>
      </c>
      <c r="AM20" s="36" t="str">
        <f>IF(最佳化斷筋點!N20="","",最佳化斷筋點!N20)</f>
        <v/>
      </c>
      <c r="AN20" s="36" t="str">
        <f>IF(最佳化斷筋點!O20="","",最佳化斷筋點!O20)</f>
        <v/>
      </c>
      <c r="AO20" s="36" t="str">
        <f>IF(最佳化斷筋點!P20="","",最佳化斷筋點!P20)</f>
        <v/>
      </c>
      <c r="AP20" s="36" t="str">
        <f>IF(最佳化斷筋點!Q20="","",最佳化斷筋點!Q20)</f>
        <v/>
      </c>
      <c r="AQ20" s="36" t="str">
        <f>IF(最佳化斷筋點!R20="","",最佳化斷筋點!R20)</f>
        <v/>
      </c>
      <c r="AR20" s="36" t="str">
        <f>IF(最佳化斷筋點!S20="","",最佳化斷筋點!S20)</f>
        <v/>
      </c>
      <c r="AS20" s="36" t="str">
        <f>IF(最佳化斷筋點!T20="","",最佳化斷筋點!T20)</f>
        <v/>
      </c>
      <c r="AT20" s="36" t="str">
        <f>IF(最佳化斷筋點!U20="","",最佳化斷筋點!U20)</f>
        <v/>
      </c>
      <c r="AU20" s="36" t="str">
        <f>IF(最佳化斷筋點!V20="","",最佳化斷筋點!V20)</f>
        <v/>
      </c>
      <c r="AV20" s="36" t="str">
        <f>IF(最佳化斷筋點!W20="","",最佳化斷筋點!W20)</f>
        <v/>
      </c>
      <c r="AW20" s="36" t="str">
        <f>IF(最佳化斷筋點!X20="","",最佳化斷筋點!X20)</f>
        <v/>
      </c>
      <c r="AZ20" s="37" t="s">
        <v>197</v>
      </c>
      <c r="BA20" s="37" t="s">
        <v>197</v>
      </c>
      <c r="BB20" s="37" t="s">
        <v>197</v>
      </c>
      <c r="BC20" s="37" t="s">
        <v>197</v>
      </c>
      <c r="BD20" s="37" t="s">
        <v>197</v>
      </c>
      <c r="BE20" s="37" t="s">
        <v>197</v>
      </c>
      <c r="BF20" s="37" t="s">
        <v>197</v>
      </c>
      <c r="BG20" s="37" t="s">
        <v>197</v>
      </c>
      <c r="BH20" s="37" t="s">
        <v>197</v>
      </c>
      <c r="BI20" s="37" t="s">
        <v>197</v>
      </c>
      <c r="BJ20" s="37" t="s">
        <v>197</v>
      </c>
      <c r="BK20" s="37" t="s">
        <v>197</v>
      </c>
      <c r="BL20" s="37" t="s">
        <v>197</v>
      </c>
      <c r="BM20" s="37" t="s">
        <v>197</v>
      </c>
      <c r="BN20" s="37" t="s">
        <v>197</v>
      </c>
      <c r="BO20" s="37" t="s">
        <v>197</v>
      </c>
      <c r="BP20" s="37" t="s">
        <v>197</v>
      </c>
      <c r="BQ20" s="37" t="s">
        <v>197</v>
      </c>
      <c r="BR20" s="37" t="s">
        <v>197</v>
      </c>
      <c r="BS20" s="37" t="s">
        <v>197</v>
      </c>
      <c r="BT20" s="37" t="s">
        <v>197</v>
      </c>
    </row>
    <row r="21" spans="5:72" x14ac:dyDescent="0.25">
      <c r="E21" s="6" t="s">
        <v>21</v>
      </c>
      <c r="F21" s="6">
        <f t="shared" si="1"/>
        <v>0</v>
      </c>
      <c r="G21" s="6">
        <f t="shared" si="2"/>
        <v>0</v>
      </c>
      <c r="H21" s="6">
        <f t="shared" si="3"/>
        <v>0</v>
      </c>
      <c r="I21" s="6">
        <f t="shared" si="4"/>
        <v>0</v>
      </c>
      <c r="J21" s="6">
        <f t="shared" si="5"/>
        <v>0</v>
      </c>
      <c r="K21" s="6">
        <f t="shared" si="6"/>
        <v>0</v>
      </c>
      <c r="L21" s="6">
        <f t="shared" si="7"/>
        <v>0</v>
      </c>
      <c r="M21" s="6">
        <f t="shared" si="8"/>
        <v>0</v>
      </c>
      <c r="N21" s="6">
        <f t="shared" si="9"/>
        <v>0</v>
      </c>
      <c r="O21" s="6">
        <f t="shared" si="10"/>
        <v>0</v>
      </c>
      <c r="P21" s="6">
        <f t="shared" si="11"/>
        <v>0</v>
      </c>
      <c r="Q21" s="6">
        <f t="shared" si="12"/>
        <v>0</v>
      </c>
      <c r="R21" s="6">
        <f t="shared" si="13"/>
        <v>0</v>
      </c>
      <c r="S21" s="6">
        <f t="shared" si="14"/>
        <v>0</v>
      </c>
      <c r="T21" s="6">
        <f t="shared" si="15"/>
        <v>0</v>
      </c>
      <c r="U21" s="6">
        <f t="shared" si="16"/>
        <v>0</v>
      </c>
      <c r="V21" s="6">
        <f t="shared" si="17"/>
        <v>0</v>
      </c>
      <c r="W21" s="6">
        <f t="shared" si="18"/>
        <v>0</v>
      </c>
      <c r="X21" s="6">
        <f t="shared" si="19"/>
        <v>0</v>
      </c>
      <c r="Y21" s="6">
        <f t="shared" si="20"/>
        <v>0</v>
      </c>
      <c r="Z21" s="6">
        <f t="shared" si="21"/>
        <v>0</v>
      </c>
      <c r="AB21" s="36" t="str">
        <f>IF(最佳化斷筋點!C21="","",最佳化斷筋點!C21)</f>
        <v>下層</v>
      </c>
      <c r="AC21" s="37">
        <f>IF(最佳化斷筋點!D21="","",最佳化斷筋點!D21)</f>
        <v>2</v>
      </c>
      <c r="AD21" s="37">
        <f>IF(最佳化斷筋點!E21="","",最佳化斷筋點!E21)</f>
        <v>2</v>
      </c>
      <c r="AE21" s="37">
        <f>IF(最佳化斷筋點!F21="","",最佳化斷筋點!F21)</f>
        <v>2</v>
      </c>
      <c r="AF21" s="37">
        <f>IF(最佳化斷筋點!G21="","",最佳化斷筋點!G21)</f>
        <v>2</v>
      </c>
      <c r="AG21" s="37">
        <f>IF(最佳化斷筋點!H21="","",最佳化斷筋點!H21)</f>
        <v>2</v>
      </c>
      <c r="AH21" s="37">
        <f>IF(最佳化斷筋點!I21="","",最佳化斷筋點!I21)</f>
        <v>2</v>
      </c>
      <c r="AI21" s="37">
        <f>IF(最佳化斷筋點!J21="","",最佳化斷筋點!J21)</f>
        <v>2</v>
      </c>
      <c r="AJ21" s="37">
        <f>IF(最佳化斷筋點!K21="","",最佳化斷筋點!K21)</f>
        <v>2</v>
      </c>
      <c r="AK21" s="37">
        <f>IF(最佳化斷筋點!L21="","",最佳化斷筋點!L21)</f>
        <v>2</v>
      </c>
      <c r="AL21" s="37">
        <f>IF(最佳化斷筋點!M21="","",最佳化斷筋點!M21)</f>
        <v>2</v>
      </c>
      <c r="AM21" s="37">
        <f>IF(最佳化斷筋點!N21="","",最佳化斷筋點!N21)</f>
        <v>2</v>
      </c>
      <c r="AN21" s="37">
        <f>IF(最佳化斷筋點!O21="","",最佳化斷筋點!O21)</f>
        <v>2</v>
      </c>
      <c r="AO21" s="37">
        <f>IF(最佳化斷筋點!P21="","",最佳化斷筋點!P21)</f>
        <v>2</v>
      </c>
      <c r="AP21" s="37">
        <f>IF(最佳化斷筋點!Q21="","",最佳化斷筋點!Q21)</f>
        <v>2</v>
      </c>
      <c r="AQ21" s="37">
        <f>IF(最佳化斷筋點!R21="","",最佳化斷筋點!R21)</f>
        <v>2</v>
      </c>
      <c r="AR21" s="37">
        <f>IF(最佳化斷筋點!S21="","",最佳化斷筋點!S21)</f>
        <v>2</v>
      </c>
      <c r="AS21" s="37">
        <f>IF(最佳化斷筋點!T21="","",最佳化斷筋點!T21)</f>
        <v>2</v>
      </c>
      <c r="AT21" s="37">
        <f>IF(最佳化斷筋點!U21="","",最佳化斷筋點!U21)</f>
        <v>2</v>
      </c>
      <c r="AU21" s="37">
        <f>IF(最佳化斷筋點!V21="","",最佳化斷筋點!V21)</f>
        <v>2</v>
      </c>
      <c r="AV21" s="37">
        <f>IF(最佳化斷筋點!W21="","",最佳化斷筋點!W21)</f>
        <v>2</v>
      </c>
      <c r="AW21" s="37">
        <f>IF(最佳化斷筋點!X21="","",最佳化斷筋點!X21)</f>
        <v>2</v>
      </c>
      <c r="AY21" s="6" t="s">
        <v>21</v>
      </c>
      <c r="AZ21" s="37">
        <v>2</v>
      </c>
      <c r="BA21" s="37">
        <v>2</v>
      </c>
      <c r="BB21" s="37">
        <v>2</v>
      </c>
      <c r="BC21" s="37">
        <v>2</v>
      </c>
      <c r="BD21" s="37">
        <v>2</v>
      </c>
      <c r="BE21" s="37">
        <v>2</v>
      </c>
      <c r="BF21" s="37">
        <v>2</v>
      </c>
      <c r="BG21" s="37">
        <v>2</v>
      </c>
      <c r="BH21" s="37">
        <v>2</v>
      </c>
      <c r="BI21" s="37">
        <v>2</v>
      </c>
      <c r="BJ21" s="37">
        <v>2</v>
      </c>
      <c r="BK21" s="37">
        <v>2</v>
      </c>
      <c r="BL21" s="37">
        <v>2</v>
      </c>
      <c r="BM21" s="37">
        <v>2</v>
      </c>
      <c r="BN21" s="37">
        <v>2</v>
      </c>
      <c r="BO21" s="37">
        <v>2</v>
      </c>
      <c r="BP21" s="37">
        <v>2</v>
      </c>
      <c r="BQ21" s="37">
        <v>2</v>
      </c>
      <c r="BR21" s="37">
        <v>2</v>
      </c>
      <c r="BS21" s="37">
        <v>2</v>
      </c>
      <c r="BT21" s="37">
        <v>2</v>
      </c>
    </row>
    <row r="22" spans="5:72" x14ac:dyDescent="0.25">
      <c r="F22" s="6">
        <f t="shared" si="1"/>
        <v>0</v>
      </c>
      <c r="G22" s="6">
        <f t="shared" si="2"/>
        <v>0</v>
      </c>
      <c r="H22" s="6">
        <f t="shared" si="3"/>
        <v>0</v>
      </c>
      <c r="I22" s="6">
        <f t="shared" si="4"/>
        <v>0</v>
      </c>
      <c r="J22" s="6">
        <f t="shared" si="5"/>
        <v>0</v>
      </c>
      <c r="K22" s="6">
        <f t="shared" si="6"/>
        <v>0</v>
      </c>
      <c r="L22" s="6">
        <f t="shared" si="7"/>
        <v>0</v>
      </c>
      <c r="M22" s="6">
        <f t="shared" si="8"/>
        <v>0</v>
      </c>
      <c r="N22" s="6">
        <f t="shared" si="9"/>
        <v>0</v>
      </c>
      <c r="O22" s="6">
        <f t="shared" si="10"/>
        <v>0</v>
      </c>
      <c r="P22" s="6">
        <f t="shared" si="11"/>
        <v>0</v>
      </c>
      <c r="Q22" s="6">
        <f t="shared" si="12"/>
        <v>0</v>
      </c>
      <c r="R22" s="6">
        <f t="shared" si="13"/>
        <v>0</v>
      </c>
      <c r="S22" s="6">
        <f t="shared" si="14"/>
        <v>0</v>
      </c>
      <c r="T22" s="6">
        <f t="shared" si="15"/>
        <v>0</v>
      </c>
      <c r="U22" s="6">
        <f t="shared" si="16"/>
        <v>0</v>
      </c>
      <c r="V22" s="6">
        <f t="shared" si="17"/>
        <v>0</v>
      </c>
      <c r="W22" s="6">
        <f t="shared" si="18"/>
        <v>0</v>
      </c>
      <c r="X22" s="6">
        <f t="shared" si="19"/>
        <v>0</v>
      </c>
      <c r="Y22" s="6">
        <f t="shared" si="20"/>
        <v>0</v>
      </c>
      <c r="Z22" s="6">
        <f t="shared" si="21"/>
        <v>0</v>
      </c>
      <c r="AB22" s="36" t="str">
        <f>IF(最佳化斷筋點!C22="","",最佳化斷筋點!C22)</f>
        <v/>
      </c>
      <c r="AC22" s="36" t="str">
        <f>IF(最佳化斷筋點!D22="","",最佳化斷筋點!D22)</f>
        <v/>
      </c>
      <c r="AD22" s="36" t="str">
        <f>IF(最佳化斷筋點!E22="","",最佳化斷筋點!E22)</f>
        <v/>
      </c>
      <c r="AE22" s="36" t="str">
        <f>IF(最佳化斷筋點!F22="","",最佳化斷筋點!F22)</f>
        <v/>
      </c>
      <c r="AF22" s="36" t="str">
        <f>IF(最佳化斷筋點!G22="","",最佳化斷筋點!G22)</f>
        <v/>
      </c>
      <c r="AG22" s="36" t="str">
        <f>IF(最佳化斷筋點!H22="","",最佳化斷筋點!H22)</f>
        <v/>
      </c>
      <c r="AH22" s="36" t="str">
        <f>IF(最佳化斷筋點!I22="","",最佳化斷筋點!I22)</f>
        <v/>
      </c>
      <c r="AI22" s="36" t="str">
        <f>IF(最佳化斷筋點!J22="","",最佳化斷筋點!J22)</f>
        <v/>
      </c>
      <c r="AJ22" s="36" t="str">
        <f>IF(最佳化斷筋點!K22="","",最佳化斷筋點!K22)</f>
        <v/>
      </c>
      <c r="AK22" s="36" t="str">
        <f>IF(最佳化斷筋點!L22="","",最佳化斷筋點!L22)</f>
        <v/>
      </c>
      <c r="AL22" s="36" t="str">
        <f>IF(最佳化斷筋點!M22="","",最佳化斷筋點!M22)</f>
        <v/>
      </c>
      <c r="AM22" s="36" t="str">
        <f>IF(最佳化斷筋點!N22="","",最佳化斷筋點!N22)</f>
        <v/>
      </c>
      <c r="AN22" s="36" t="str">
        <f>IF(最佳化斷筋點!O22="","",最佳化斷筋點!O22)</f>
        <v/>
      </c>
      <c r="AO22" s="36" t="str">
        <f>IF(最佳化斷筋點!P22="","",最佳化斷筋點!P22)</f>
        <v/>
      </c>
      <c r="AP22" s="36" t="str">
        <f>IF(最佳化斷筋點!Q22="","",最佳化斷筋點!Q22)</f>
        <v/>
      </c>
      <c r="AQ22" s="36" t="str">
        <f>IF(最佳化斷筋點!R22="","",最佳化斷筋點!R22)</f>
        <v/>
      </c>
      <c r="AR22" s="36" t="str">
        <f>IF(最佳化斷筋點!S22="","",最佳化斷筋點!S22)</f>
        <v/>
      </c>
      <c r="AS22" s="36" t="str">
        <f>IF(最佳化斷筋點!T22="","",最佳化斷筋點!T22)</f>
        <v/>
      </c>
      <c r="AT22" s="36" t="str">
        <f>IF(最佳化斷筋點!U22="","",最佳化斷筋點!U22)</f>
        <v/>
      </c>
      <c r="AU22" s="36" t="str">
        <f>IF(最佳化斷筋點!V22="","",最佳化斷筋點!V22)</f>
        <v/>
      </c>
      <c r="AV22" s="36" t="str">
        <f>IF(最佳化斷筋點!W22="","",最佳化斷筋點!W22)</f>
        <v/>
      </c>
      <c r="AW22" s="36" t="str">
        <f>IF(最佳化斷筋點!X22="","",最佳化斷筋點!X22)</f>
        <v/>
      </c>
      <c r="AZ22" s="37" t="s">
        <v>197</v>
      </c>
      <c r="BA22" s="37" t="s">
        <v>197</v>
      </c>
      <c r="BB22" s="37" t="s">
        <v>197</v>
      </c>
      <c r="BC22" s="37" t="s">
        <v>197</v>
      </c>
      <c r="BD22" s="37" t="s">
        <v>197</v>
      </c>
      <c r="BE22" s="37" t="s">
        <v>197</v>
      </c>
      <c r="BF22" s="37" t="s">
        <v>197</v>
      </c>
      <c r="BG22" s="37" t="s">
        <v>197</v>
      </c>
      <c r="BH22" s="37" t="s">
        <v>197</v>
      </c>
      <c r="BI22" s="37" t="s">
        <v>197</v>
      </c>
      <c r="BJ22" s="37" t="s">
        <v>197</v>
      </c>
      <c r="BK22" s="37" t="s">
        <v>197</v>
      </c>
      <c r="BL22" s="37" t="s">
        <v>197</v>
      </c>
      <c r="BM22" s="37" t="s">
        <v>197</v>
      </c>
      <c r="BN22" s="37" t="s">
        <v>197</v>
      </c>
      <c r="BO22" s="37" t="s">
        <v>197</v>
      </c>
      <c r="BP22" s="37" t="s">
        <v>197</v>
      </c>
      <c r="BQ22" s="37" t="s">
        <v>197</v>
      </c>
      <c r="BR22" s="37" t="s">
        <v>197</v>
      </c>
      <c r="BS22" s="37" t="s">
        <v>197</v>
      </c>
      <c r="BT22" s="37" t="s">
        <v>197</v>
      </c>
    </row>
    <row r="23" spans="5:72" x14ac:dyDescent="0.25">
      <c r="E23" s="6" t="s">
        <v>20</v>
      </c>
      <c r="F23" s="6">
        <f t="shared" si="1"/>
        <v>0</v>
      </c>
      <c r="G23" s="6">
        <f t="shared" si="2"/>
        <v>0</v>
      </c>
      <c r="H23" s="6">
        <f t="shared" si="3"/>
        <v>0</v>
      </c>
      <c r="I23" s="6">
        <f t="shared" si="4"/>
        <v>0</v>
      </c>
      <c r="J23" s="6">
        <f t="shared" si="5"/>
        <v>0</v>
      </c>
      <c r="K23" s="6">
        <f t="shared" si="6"/>
        <v>0</v>
      </c>
      <c r="L23" s="6">
        <f t="shared" si="7"/>
        <v>0</v>
      </c>
      <c r="M23" s="6">
        <f t="shared" si="8"/>
        <v>0</v>
      </c>
      <c r="N23" s="6">
        <f t="shared" si="9"/>
        <v>0</v>
      </c>
      <c r="O23" s="6">
        <f t="shared" si="10"/>
        <v>0</v>
      </c>
      <c r="P23" s="6">
        <f t="shared" si="11"/>
        <v>0</v>
      </c>
      <c r="Q23" s="6">
        <f t="shared" si="12"/>
        <v>0</v>
      </c>
      <c r="R23" s="6">
        <f t="shared" si="13"/>
        <v>0</v>
      </c>
      <c r="S23" s="6">
        <f t="shared" si="14"/>
        <v>0</v>
      </c>
      <c r="T23" s="6">
        <f t="shared" si="15"/>
        <v>0</v>
      </c>
      <c r="U23" s="6">
        <f t="shared" si="16"/>
        <v>0</v>
      </c>
      <c r="V23" s="6">
        <f t="shared" si="17"/>
        <v>0</v>
      </c>
      <c r="W23" s="6">
        <f t="shared" si="18"/>
        <v>0</v>
      </c>
      <c r="X23" s="6">
        <f t="shared" si="19"/>
        <v>0</v>
      </c>
      <c r="Y23" s="6">
        <f t="shared" si="20"/>
        <v>0</v>
      </c>
      <c r="Z23" s="6">
        <f t="shared" si="21"/>
        <v>0</v>
      </c>
      <c r="AB23" s="36" t="str">
        <f>IF(最佳化斷筋點!C23="","",最佳化斷筋點!C23)</f>
        <v>上層</v>
      </c>
      <c r="AC23" s="37">
        <f>IF(最佳化斷筋點!D23="","",最佳化斷筋點!D23)</f>
        <v>2</v>
      </c>
      <c r="AD23" s="37">
        <f>IF(最佳化斷筋點!E23="","",最佳化斷筋點!E23)</f>
        <v>2</v>
      </c>
      <c r="AE23" s="37">
        <f>IF(最佳化斷筋點!F23="","",最佳化斷筋點!F23)</f>
        <v>2</v>
      </c>
      <c r="AF23" s="37">
        <f>IF(最佳化斷筋點!G23="","",最佳化斷筋點!G23)</f>
        <v>2</v>
      </c>
      <c r="AG23" s="37">
        <f>IF(最佳化斷筋點!H23="","",最佳化斷筋點!H23)</f>
        <v>2</v>
      </c>
      <c r="AH23" s="37">
        <f>IF(最佳化斷筋點!I23="","",最佳化斷筋點!I23)</f>
        <v>2</v>
      </c>
      <c r="AI23" s="37">
        <f>IF(最佳化斷筋點!J23="","",最佳化斷筋點!J23)</f>
        <v>2</v>
      </c>
      <c r="AJ23" s="37">
        <f>IF(最佳化斷筋點!K23="","",最佳化斷筋點!K23)</f>
        <v>2</v>
      </c>
      <c r="AK23" s="37">
        <f>IF(最佳化斷筋點!L23="","",最佳化斷筋點!L23)</f>
        <v>2</v>
      </c>
      <c r="AL23" s="37">
        <f>IF(最佳化斷筋點!M23="","",最佳化斷筋點!M23)</f>
        <v>2</v>
      </c>
      <c r="AM23" s="37">
        <f>IF(最佳化斷筋點!N23="","",最佳化斷筋點!N23)</f>
        <v>2</v>
      </c>
      <c r="AN23" s="37">
        <f>IF(最佳化斷筋點!O23="","",最佳化斷筋點!O23)</f>
        <v>2</v>
      </c>
      <c r="AO23" s="37">
        <f>IF(最佳化斷筋點!P23="","",最佳化斷筋點!P23)</f>
        <v>2</v>
      </c>
      <c r="AP23" s="37">
        <f>IF(最佳化斷筋點!Q23="","",最佳化斷筋點!Q23)</f>
        <v>2</v>
      </c>
      <c r="AQ23" s="37">
        <f>IF(最佳化斷筋點!R23="","",最佳化斷筋點!R23)</f>
        <v>2</v>
      </c>
      <c r="AR23" s="37">
        <f>IF(最佳化斷筋點!S23="","",最佳化斷筋點!S23)</f>
        <v>2</v>
      </c>
      <c r="AS23" s="37">
        <f>IF(最佳化斷筋點!T23="","",最佳化斷筋點!T23)</f>
        <v>2</v>
      </c>
      <c r="AT23" s="37">
        <f>IF(最佳化斷筋點!U23="","",最佳化斷筋點!U23)</f>
        <v>2</v>
      </c>
      <c r="AU23" s="37">
        <f>IF(最佳化斷筋點!V23="","",最佳化斷筋點!V23)</f>
        <v>2</v>
      </c>
      <c r="AV23" s="37">
        <f>IF(最佳化斷筋點!W23="","",最佳化斷筋點!W23)</f>
        <v>2</v>
      </c>
      <c r="AW23" s="37">
        <f>IF(最佳化斷筋點!X23="","",最佳化斷筋點!X23)</f>
        <v>2</v>
      </c>
      <c r="AY23" s="6" t="s">
        <v>20</v>
      </c>
      <c r="AZ23" s="37">
        <v>2</v>
      </c>
      <c r="BA23" s="37">
        <v>2</v>
      </c>
      <c r="BB23" s="37">
        <v>2</v>
      </c>
      <c r="BC23" s="37">
        <v>2</v>
      </c>
      <c r="BD23" s="37">
        <v>2</v>
      </c>
      <c r="BE23" s="37">
        <v>2</v>
      </c>
      <c r="BF23" s="37">
        <v>2</v>
      </c>
      <c r="BG23" s="37">
        <v>2</v>
      </c>
      <c r="BH23" s="37">
        <v>2</v>
      </c>
      <c r="BI23" s="37">
        <v>2</v>
      </c>
      <c r="BJ23" s="37">
        <v>2</v>
      </c>
      <c r="BK23" s="37">
        <v>2</v>
      </c>
      <c r="BL23" s="37">
        <v>2</v>
      </c>
      <c r="BM23" s="37">
        <v>2</v>
      </c>
      <c r="BN23" s="37">
        <v>2</v>
      </c>
      <c r="BO23" s="37">
        <v>2</v>
      </c>
      <c r="BP23" s="37">
        <v>2</v>
      </c>
      <c r="BQ23" s="37">
        <v>2</v>
      </c>
      <c r="BR23" s="37">
        <v>2</v>
      </c>
      <c r="BS23" s="37">
        <v>2</v>
      </c>
      <c r="BT23" s="37">
        <v>2</v>
      </c>
    </row>
    <row r="24" spans="5:72" x14ac:dyDescent="0.25">
      <c r="F24" s="6">
        <f t="shared" si="1"/>
        <v>0</v>
      </c>
      <c r="G24" s="6">
        <f t="shared" si="2"/>
        <v>0</v>
      </c>
      <c r="H24" s="6">
        <f t="shared" si="3"/>
        <v>0</v>
      </c>
      <c r="I24" s="6">
        <f t="shared" si="4"/>
        <v>0</v>
      </c>
      <c r="J24" s="6">
        <f t="shared" si="5"/>
        <v>0</v>
      </c>
      <c r="K24" s="6">
        <f t="shared" si="6"/>
        <v>0</v>
      </c>
      <c r="L24" s="6">
        <f t="shared" si="7"/>
        <v>0</v>
      </c>
      <c r="M24" s="6">
        <f t="shared" si="8"/>
        <v>0</v>
      </c>
      <c r="N24" s="6">
        <f t="shared" si="9"/>
        <v>0</v>
      </c>
      <c r="O24" s="6">
        <f t="shared" si="10"/>
        <v>0</v>
      </c>
      <c r="P24" s="6">
        <f t="shared" si="11"/>
        <v>0</v>
      </c>
      <c r="Q24" s="6">
        <f t="shared" si="12"/>
        <v>0</v>
      </c>
      <c r="R24" s="6">
        <f t="shared" si="13"/>
        <v>0</v>
      </c>
      <c r="S24" s="6">
        <f t="shared" si="14"/>
        <v>0</v>
      </c>
      <c r="T24" s="6">
        <f t="shared" si="15"/>
        <v>0</v>
      </c>
      <c r="U24" s="6">
        <f t="shared" si="16"/>
        <v>0</v>
      </c>
      <c r="V24" s="6">
        <f t="shared" si="17"/>
        <v>0</v>
      </c>
      <c r="W24" s="6">
        <f t="shared" si="18"/>
        <v>0</v>
      </c>
      <c r="X24" s="6">
        <f t="shared" si="19"/>
        <v>0</v>
      </c>
      <c r="Y24" s="6">
        <f t="shared" si="20"/>
        <v>0</v>
      </c>
      <c r="Z24" s="6">
        <f t="shared" si="21"/>
        <v>0</v>
      </c>
      <c r="AB24" s="36" t="str">
        <f>IF(最佳化斷筋點!C24="","",最佳化斷筋點!C24)</f>
        <v/>
      </c>
      <c r="AC24" s="36" t="str">
        <f>IF(最佳化斷筋點!D24="","",最佳化斷筋點!D24)</f>
        <v/>
      </c>
      <c r="AD24" s="36" t="str">
        <f>IF(最佳化斷筋點!E24="","",最佳化斷筋點!E24)</f>
        <v/>
      </c>
      <c r="AE24" s="36" t="str">
        <f>IF(最佳化斷筋點!F24="","",最佳化斷筋點!F24)</f>
        <v/>
      </c>
      <c r="AF24" s="36" t="str">
        <f>IF(最佳化斷筋點!G24="","",最佳化斷筋點!G24)</f>
        <v/>
      </c>
      <c r="AG24" s="36" t="str">
        <f>IF(最佳化斷筋點!H24="","",最佳化斷筋點!H24)</f>
        <v/>
      </c>
      <c r="AH24" s="36" t="str">
        <f>IF(最佳化斷筋點!I24="","",最佳化斷筋點!I24)</f>
        <v/>
      </c>
      <c r="AI24" s="36" t="str">
        <f>IF(最佳化斷筋點!J24="","",最佳化斷筋點!J24)</f>
        <v/>
      </c>
      <c r="AJ24" s="36" t="str">
        <f>IF(最佳化斷筋點!K24="","",最佳化斷筋點!K24)</f>
        <v/>
      </c>
      <c r="AK24" s="36" t="str">
        <f>IF(最佳化斷筋點!L24="","",最佳化斷筋點!L24)</f>
        <v/>
      </c>
      <c r="AL24" s="36" t="str">
        <f>IF(最佳化斷筋點!M24="","",最佳化斷筋點!M24)</f>
        <v/>
      </c>
      <c r="AM24" s="36" t="str">
        <f>IF(最佳化斷筋點!N24="","",最佳化斷筋點!N24)</f>
        <v/>
      </c>
      <c r="AN24" s="36" t="str">
        <f>IF(最佳化斷筋點!O24="","",最佳化斷筋點!O24)</f>
        <v/>
      </c>
      <c r="AO24" s="36" t="str">
        <f>IF(最佳化斷筋點!P24="","",最佳化斷筋點!P24)</f>
        <v/>
      </c>
      <c r="AP24" s="36" t="str">
        <f>IF(最佳化斷筋點!Q24="","",最佳化斷筋點!Q24)</f>
        <v/>
      </c>
      <c r="AQ24" s="36" t="str">
        <f>IF(最佳化斷筋點!R24="","",最佳化斷筋點!R24)</f>
        <v/>
      </c>
      <c r="AR24" s="36" t="str">
        <f>IF(最佳化斷筋點!S24="","",最佳化斷筋點!S24)</f>
        <v/>
      </c>
      <c r="AS24" s="36" t="str">
        <f>IF(最佳化斷筋點!T24="","",最佳化斷筋點!T24)</f>
        <v/>
      </c>
      <c r="AT24" s="36" t="str">
        <f>IF(最佳化斷筋點!U24="","",最佳化斷筋點!U24)</f>
        <v/>
      </c>
      <c r="AU24" s="36" t="str">
        <f>IF(最佳化斷筋點!V24="","",最佳化斷筋點!V24)</f>
        <v/>
      </c>
      <c r="AV24" s="36" t="str">
        <f>IF(最佳化斷筋點!W24="","",最佳化斷筋點!W24)</f>
        <v/>
      </c>
      <c r="AW24" s="36" t="str">
        <f>IF(最佳化斷筋點!X24="","",最佳化斷筋點!X24)</f>
        <v/>
      </c>
      <c r="AZ24" s="37" t="s">
        <v>197</v>
      </c>
      <c r="BA24" s="37" t="s">
        <v>197</v>
      </c>
      <c r="BB24" s="37" t="s">
        <v>197</v>
      </c>
      <c r="BC24" s="37" t="s">
        <v>197</v>
      </c>
      <c r="BD24" s="37" t="s">
        <v>197</v>
      </c>
      <c r="BE24" s="37" t="s">
        <v>197</v>
      </c>
      <c r="BF24" s="37" t="s">
        <v>197</v>
      </c>
      <c r="BG24" s="37" t="s">
        <v>197</v>
      </c>
      <c r="BH24" s="37" t="s">
        <v>197</v>
      </c>
      <c r="BI24" s="37" t="s">
        <v>197</v>
      </c>
      <c r="BJ24" s="37" t="s">
        <v>197</v>
      </c>
      <c r="BK24" s="37" t="s">
        <v>197</v>
      </c>
      <c r="BL24" s="37" t="s">
        <v>197</v>
      </c>
      <c r="BM24" s="37" t="s">
        <v>197</v>
      </c>
      <c r="BN24" s="37" t="s">
        <v>197</v>
      </c>
      <c r="BO24" s="37" t="s">
        <v>197</v>
      </c>
      <c r="BP24" s="37" t="s">
        <v>197</v>
      </c>
      <c r="BQ24" s="37" t="s">
        <v>197</v>
      </c>
      <c r="BR24" s="37" t="s">
        <v>197</v>
      </c>
      <c r="BS24" s="37" t="s">
        <v>197</v>
      </c>
      <c r="BT24" s="37" t="s">
        <v>197</v>
      </c>
    </row>
    <row r="25" spans="5:72" x14ac:dyDescent="0.25">
      <c r="E25" s="6" t="s">
        <v>21</v>
      </c>
      <c r="F25" s="6">
        <f t="shared" si="1"/>
        <v>0</v>
      </c>
      <c r="G25" s="6">
        <f t="shared" si="2"/>
        <v>0</v>
      </c>
      <c r="H25" s="6">
        <f t="shared" si="3"/>
        <v>0</v>
      </c>
      <c r="I25" s="6">
        <f t="shared" si="4"/>
        <v>0</v>
      </c>
      <c r="J25" s="6">
        <f t="shared" si="5"/>
        <v>0</v>
      </c>
      <c r="K25" s="6">
        <f t="shared" si="6"/>
        <v>0</v>
      </c>
      <c r="L25" s="6">
        <f t="shared" si="7"/>
        <v>0</v>
      </c>
      <c r="M25" s="6">
        <f t="shared" si="8"/>
        <v>0</v>
      </c>
      <c r="N25" s="6">
        <f t="shared" si="9"/>
        <v>0</v>
      </c>
      <c r="O25" s="6">
        <f t="shared" si="10"/>
        <v>0</v>
      </c>
      <c r="P25" s="6">
        <f t="shared" si="11"/>
        <v>0</v>
      </c>
      <c r="Q25" s="6">
        <f t="shared" si="12"/>
        <v>0</v>
      </c>
      <c r="R25" s="6">
        <f t="shared" si="13"/>
        <v>0</v>
      </c>
      <c r="S25" s="6">
        <f t="shared" si="14"/>
        <v>0</v>
      </c>
      <c r="T25" s="6">
        <f t="shared" si="15"/>
        <v>0</v>
      </c>
      <c r="U25" s="6">
        <f t="shared" si="16"/>
        <v>0</v>
      </c>
      <c r="V25" s="6">
        <f t="shared" si="17"/>
        <v>0</v>
      </c>
      <c r="W25" s="6">
        <f t="shared" si="18"/>
        <v>0</v>
      </c>
      <c r="X25" s="6">
        <f t="shared" si="19"/>
        <v>0</v>
      </c>
      <c r="Y25" s="6">
        <f t="shared" si="20"/>
        <v>0</v>
      </c>
      <c r="Z25" s="6">
        <f t="shared" si="21"/>
        <v>0</v>
      </c>
      <c r="AB25" s="36" t="str">
        <f>IF(最佳化斷筋點!C25="","",最佳化斷筋點!C25)</f>
        <v>下層</v>
      </c>
      <c r="AC25" s="37">
        <f>IF(最佳化斷筋點!D25="","",最佳化斷筋點!D25)</f>
        <v>2</v>
      </c>
      <c r="AD25" s="37">
        <f>IF(最佳化斷筋點!E25="","",最佳化斷筋點!E25)</f>
        <v>2</v>
      </c>
      <c r="AE25" s="37">
        <f>IF(最佳化斷筋點!F25="","",最佳化斷筋點!F25)</f>
        <v>2</v>
      </c>
      <c r="AF25" s="37">
        <f>IF(最佳化斷筋點!G25="","",最佳化斷筋點!G25)</f>
        <v>2</v>
      </c>
      <c r="AG25" s="37">
        <f>IF(最佳化斷筋點!H25="","",最佳化斷筋點!H25)</f>
        <v>2</v>
      </c>
      <c r="AH25" s="37">
        <f>IF(最佳化斷筋點!I25="","",最佳化斷筋點!I25)</f>
        <v>2</v>
      </c>
      <c r="AI25" s="37">
        <f>IF(最佳化斷筋點!J25="","",最佳化斷筋點!J25)</f>
        <v>2</v>
      </c>
      <c r="AJ25" s="37">
        <f>IF(最佳化斷筋點!K25="","",最佳化斷筋點!K25)</f>
        <v>2</v>
      </c>
      <c r="AK25" s="37">
        <f>IF(最佳化斷筋點!L25="","",最佳化斷筋點!L25)</f>
        <v>2</v>
      </c>
      <c r="AL25" s="37">
        <f>IF(最佳化斷筋點!M25="","",最佳化斷筋點!M25)</f>
        <v>2</v>
      </c>
      <c r="AM25" s="37">
        <f>IF(最佳化斷筋點!N25="","",最佳化斷筋點!N25)</f>
        <v>2</v>
      </c>
      <c r="AN25" s="37">
        <f>IF(最佳化斷筋點!O25="","",最佳化斷筋點!O25)</f>
        <v>2</v>
      </c>
      <c r="AO25" s="37">
        <f>IF(最佳化斷筋點!P25="","",最佳化斷筋點!P25)</f>
        <v>2</v>
      </c>
      <c r="AP25" s="37">
        <f>IF(最佳化斷筋點!Q25="","",最佳化斷筋點!Q25)</f>
        <v>2</v>
      </c>
      <c r="AQ25" s="37">
        <f>IF(最佳化斷筋點!R25="","",最佳化斷筋點!R25)</f>
        <v>2</v>
      </c>
      <c r="AR25" s="37">
        <f>IF(最佳化斷筋點!S25="","",最佳化斷筋點!S25)</f>
        <v>2</v>
      </c>
      <c r="AS25" s="37">
        <f>IF(最佳化斷筋點!T25="","",最佳化斷筋點!T25)</f>
        <v>2</v>
      </c>
      <c r="AT25" s="37">
        <f>IF(最佳化斷筋點!U25="","",最佳化斷筋點!U25)</f>
        <v>2</v>
      </c>
      <c r="AU25" s="37">
        <f>IF(最佳化斷筋點!V25="","",最佳化斷筋點!V25)</f>
        <v>2</v>
      </c>
      <c r="AV25" s="37">
        <f>IF(最佳化斷筋點!W25="","",最佳化斷筋點!W25)</f>
        <v>2</v>
      </c>
      <c r="AW25" s="37">
        <f>IF(最佳化斷筋點!X25="","",最佳化斷筋點!X25)</f>
        <v>2</v>
      </c>
      <c r="AY25" s="6" t="s">
        <v>21</v>
      </c>
      <c r="AZ25" s="37">
        <v>2</v>
      </c>
      <c r="BA25" s="37">
        <v>2</v>
      </c>
      <c r="BB25" s="37">
        <v>2</v>
      </c>
      <c r="BC25" s="37">
        <v>2</v>
      </c>
      <c r="BD25" s="37">
        <v>2</v>
      </c>
      <c r="BE25" s="37">
        <v>2</v>
      </c>
      <c r="BF25" s="37">
        <v>2</v>
      </c>
      <c r="BG25" s="37">
        <v>2</v>
      </c>
      <c r="BH25" s="37">
        <v>2</v>
      </c>
      <c r="BI25" s="37">
        <v>2</v>
      </c>
      <c r="BJ25" s="37">
        <v>2</v>
      </c>
      <c r="BK25" s="37">
        <v>2</v>
      </c>
      <c r="BL25" s="37">
        <v>2</v>
      </c>
      <c r="BM25" s="37">
        <v>2</v>
      </c>
      <c r="BN25" s="37">
        <v>2</v>
      </c>
      <c r="BO25" s="37">
        <v>2</v>
      </c>
      <c r="BP25" s="37">
        <v>2</v>
      </c>
      <c r="BQ25" s="37">
        <v>2</v>
      </c>
      <c r="BR25" s="37">
        <v>2</v>
      </c>
      <c r="BS25" s="37">
        <v>2</v>
      </c>
      <c r="BT25" s="37">
        <v>2</v>
      </c>
    </row>
    <row r="26" spans="5:72" x14ac:dyDescent="0.25">
      <c r="F26" s="6">
        <f t="shared" si="1"/>
        <v>0</v>
      </c>
      <c r="G26" s="6">
        <f t="shared" si="2"/>
        <v>0</v>
      </c>
      <c r="H26" s="6">
        <f t="shared" si="3"/>
        <v>0</v>
      </c>
      <c r="I26" s="6">
        <f t="shared" si="4"/>
        <v>0</v>
      </c>
      <c r="J26" s="6">
        <f t="shared" si="5"/>
        <v>0</v>
      </c>
      <c r="K26" s="6">
        <f t="shared" si="6"/>
        <v>0</v>
      </c>
      <c r="L26" s="6">
        <f t="shared" si="7"/>
        <v>0</v>
      </c>
      <c r="M26" s="6">
        <f t="shared" si="8"/>
        <v>0</v>
      </c>
      <c r="N26" s="6">
        <f t="shared" si="9"/>
        <v>0</v>
      </c>
      <c r="O26" s="6">
        <f t="shared" si="10"/>
        <v>0</v>
      </c>
      <c r="P26" s="6">
        <f t="shared" si="11"/>
        <v>0</v>
      </c>
      <c r="Q26" s="6">
        <f t="shared" si="12"/>
        <v>0</v>
      </c>
      <c r="R26" s="6">
        <f t="shared" si="13"/>
        <v>0</v>
      </c>
      <c r="S26" s="6">
        <f t="shared" si="14"/>
        <v>0</v>
      </c>
      <c r="T26" s="6">
        <f t="shared" si="15"/>
        <v>0</v>
      </c>
      <c r="U26" s="6">
        <f t="shared" si="16"/>
        <v>0</v>
      </c>
      <c r="V26" s="6">
        <f t="shared" si="17"/>
        <v>0</v>
      </c>
      <c r="W26" s="6">
        <f t="shared" si="18"/>
        <v>0</v>
      </c>
      <c r="X26" s="6">
        <f t="shared" si="19"/>
        <v>0</v>
      </c>
      <c r="Y26" s="6">
        <f t="shared" si="20"/>
        <v>0</v>
      </c>
      <c r="Z26" s="6">
        <f t="shared" si="21"/>
        <v>0</v>
      </c>
      <c r="AB26" s="36" t="str">
        <f>IF(最佳化斷筋點!C26="","",最佳化斷筋點!C26)</f>
        <v/>
      </c>
      <c r="AC26" s="37" t="str">
        <f>IF(最佳化斷筋點!D26="","",最佳化斷筋點!D26)</f>
        <v/>
      </c>
      <c r="AD26" s="37" t="str">
        <f>IF(最佳化斷筋點!E26="","",最佳化斷筋點!E26)</f>
        <v/>
      </c>
      <c r="AE26" s="37" t="str">
        <f>IF(最佳化斷筋點!F26="","",最佳化斷筋點!F26)</f>
        <v/>
      </c>
      <c r="AF26" s="37" t="str">
        <f>IF(最佳化斷筋點!G26="","",最佳化斷筋點!G26)</f>
        <v/>
      </c>
      <c r="AG26" s="37" t="str">
        <f>IF(最佳化斷筋點!H26="","",最佳化斷筋點!H26)</f>
        <v/>
      </c>
      <c r="AH26" s="37" t="str">
        <f>IF(最佳化斷筋點!I26="","",最佳化斷筋點!I26)</f>
        <v/>
      </c>
      <c r="AI26" s="37" t="str">
        <f>IF(最佳化斷筋點!J26="","",最佳化斷筋點!J26)</f>
        <v/>
      </c>
      <c r="AJ26" s="37" t="str">
        <f>IF(最佳化斷筋點!K26="","",最佳化斷筋點!K26)</f>
        <v/>
      </c>
      <c r="AK26" s="37" t="str">
        <f>IF(最佳化斷筋點!L26="","",最佳化斷筋點!L26)</f>
        <v/>
      </c>
      <c r="AL26" s="37" t="str">
        <f>IF(最佳化斷筋點!M26="","",最佳化斷筋點!M26)</f>
        <v/>
      </c>
      <c r="AM26" s="37" t="str">
        <f>IF(最佳化斷筋點!N26="","",最佳化斷筋點!N26)</f>
        <v/>
      </c>
      <c r="AN26" s="37" t="str">
        <f>IF(最佳化斷筋點!O26="","",最佳化斷筋點!O26)</f>
        <v/>
      </c>
      <c r="AO26" s="37" t="str">
        <f>IF(最佳化斷筋點!P26="","",最佳化斷筋點!P26)</f>
        <v/>
      </c>
      <c r="AP26" s="37" t="str">
        <f>IF(最佳化斷筋點!Q26="","",最佳化斷筋點!Q26)</f>
        <v/>
      </c>
      <c r="AQ26" s="37" t="str">
        <f>IF(最佳化斷筋點!R26="","",最佳化斷筋點!R26)</f>
        <v/>
      </c>
      <c r="AR26" s="37" t="str">
        <f>IF(最佳化斷筋點!S26="","",最佳化斷筋點!S26)</f>
        <v/>
      </c>
      <c r="AS26" s="37" t="str">
        <f>IF(最佳化斷筋點!T26="","",最佳化斷筋點!T26)</f>
        <v/>
      </c>
      <c r="AT26" s="37" t="str">
        <f>IF(最佳化斷筋點!U26="","",最佳化斷筋點!U26)</f>
        <v/>
      </c>
      <c r="AU26" s="37" t="str">
        <f>IF(最佳化斷筋點!V26="","",最佳化斷筋點!V26)</f>
        <v/>
      </c>
      <c r="AV26" s="37" t="str">
        <f>IF(最佳化斷筋點!W26="","",最佳化斷筋點!W26)</f>
        <v/>
      </c>
      <c r="AW26" s="37" t="str">
        <f>IF(最佳化斷筋點!X26="","",最佳化斷筋點!X26)</f>
        <v/>
      </c>
      <c r="AZ26" s="37" t="s">
        <v>197</v>
      </c>
      <c r="BA26" s="37" t="s">
        <v>197</v>
      </c>
      <c r="BB26" s="37" t="s">
        <v>197</v>
      </c>
      <c r="BC26" s="37" t="s">
        <v>197</v>
      </c>
      <c r="BD26" s="37" t="s">
        <v>197</v>
      </c>
      <c r="BE26" s="37" t="s">
        <v>197</v>
      </c>
      <c r="BF26" s="37" t="s">
        <v>197</v>
      </c>
      <c r="BG26" s="37" t="s">
        <v>197</v>
      </c>
      <c r="BH26" s="37" t="s">
        <v>197</v>
      </c>
      <c r="BI26" s="37" t="s">
        <v>197</v>
      </c>
      <c r="BJ26" s="37" t="s">
        <v>197</v>
      </c>
      <c r="BK26" s="37" t="s">
        <v>197</v>
      </c>
      <c r="BL26" s="37" t="s">
        <v>197</v>
      </c>
      <c r="BM26" s="37" t="s">
        <v>197</v>
      </c>
      <c r="BN26" s="37" t="s">
        <v>197</v>
      </c>
      <c r="BO26" s="37" t="s">
        <v>197</v>
      </c>
      <c r="BP26" s="37" t="s">
        <v>197</v>
      </c>
      <c r="BQ26" s="37" t="s">
        <v>197</v>
      </c>
      <c r="BR26" s="37" t="s">
        <v>197</v>
      </c>
      <c r="BS26" s="37" t="s">
        <v>197</v>
      </c>
      <c r="BT26" s="37" t="s">
        <v>197</v>
      </c>
    </row>
    <row r="27" spans="5:72" x14ac:dyDescent="0.25">
      <c r="E27" s="6" t="s">
        <v>20</v>
      </c>
      <c r="F27" s="6">
        <f t="shared" si="1"/>
        <v>0</v>
      </c>
      <c r="G27" s="6">
        <f t="shared" si="2"/>
        <v>0</v>
      </c>
      <c r="H27" s="6">
        <f t="shared" si="3"/>
        <v>0</v>
      </c>
      <c r="I27" s="6">
        <f t="shared" si="4"/>
        <v>0</v>
      </c>
      <c r="J27" s="6">
        <f t="shared" si="5"/>
        <v>0</v>
      </c>
      <c r="K27" s="6">
        <f t="shared" si="6"/>
        <v>0</v>
      </c>
      <c r="L27" s="6">
        <f t="shared" si="7"/>
        <v>0</v>
      </c>
      <c r="M27" s="6">
        <f t="shared" si="8"/>
        <v>0</v>
      </c>
      <c r="N27" s="6">
        <f t="shared" si="9"/>
        <v>0</v>
      </c>
      <c r="O27" s="6">
        <f t="shared" si="10"/>
        <v>0</v>
      </c>
      <c r="P27" s="6">
        <f t="shared" si="11"/>
        <v>0</v>
      </c>
      <c r="Q27" s="6">
        <f t="shared" si="12"/>
        <v>0</v>
      </c>
      <c r="R27" s="6">
        <f t="shared" si="13"/>
        <v>0</v>
      </c>
      <c r="S27" s="6">
        <f t="shared" si="14"/>
        <v>0</v>
      </c>
      <c r="T27" s="6">
        <f t="shared" si="15"/>
        <v>0</v>
      </c>
      <c r="U27" s="6">
        <f t="shared" si="16"/>
        <v>0</v>
      </c>
      <c r="V27" s="6">
        <f t="shared" si="17"/>
        <v>0</v>
      </c>
      <c r="W27" s="6">
        <f t="shared" si="18"/>
        <v>0</v>
      </c>
      <c r="X27" s="6">
        <f t="shared" si="19"/>
        <v>0</v>
      </c>
      <c r="Y27" s="6">
        <f t="shared" si="20"/>
        <v>0</v>
      </c>
      <c r="Z27" s="6">
        <f t="shared" si="21"/>
        <v>0</v>
      </c>
      <c r="AB27" s="36" t="str">
        <f>IF(最佳化斷筋點!C27="","",最佳化斷筋點!C27)</f>
        <v>上層</v>
      </c>
      <c r="AC27" s="37">
        <f>IF(最佳化斷筋點!D27="","",最佳化斷筋點!D27)</f>
        <v>2</v>
      </c>
      <c r="AD27" s="37">
        <f>IF(最佳化斷筋點!E27="","",最佳化斷筋點!E27)</f>
        <v>2</v>
      </c>
      <c r="AE27" s="37">
        <f>IF(最佳化斷筋點!F27="","",最佳化斷筋點!F27)</f>
        <v>2</v>
      </c>
      <c r="AF27" s="37">
        <f>IF(最佳化斷筋點!G27="","",最佳化斷筋點!G27)</f>
        <v>2</v>
      </c>
      <c r="AG27" s="37">
        <f>IF(最佳化斷筋點!H27="","",最佳化斷筋點!H27)</f>
        <v>2</v>
      </c>
      <c r="AH27" s="37">
        <f>IF(最佳化斷筋點!I27="","",最佳化斷筋點!I27)</f>
        <v>2</v>
      </c>
      <c r="AI27" s="37">
        <f>IF(最佳化斷筋點!J27="","",最佳化斷筋點!J27)</f>
        <v>2</v>
      </c>
      <c r="AJ27" s="37">
        <f>IF(最佳化斷筋點!K27="","",最佳化斷筋點!K27)</f>
        <v>2</v>
      </c>
      <c r="AK27" s="37">
        <f>IF(最佳化斷筋點!L27="","",最佳化斷筋點!L27)</f>
        <v>2</v>
      </c>
      <c r="AL27" s="37">
        <f>IF(最佳化斷筋點!M27="","",最佳化斷筋點!M27)</f>
        <v>2</v>
      </c>
      <c r="AM27" s="37">
        <f>IF(最佳化斷筋點!N27="","",最佳化斷筋點!N27)</f>
        <v>2</v>
      </c>
      <c r="AN27" s="37">
        <f>IF(最佳化斷筋點!O27="","",最佳化斷筋點!O27)</f>
        <v>2</v>
      </c>
      <c r="AO27" s="37">
        <f>IF(最佳化斷筋點!P27="","",最佳化斷筋點!P27)</f>
        <v>2</v>
      </c>
      <c r="AP27" s="37">
        <f>IF(最佳化斷筋點!Q27="","",最佳化斷筋點!Q27)</f>
        <v>3</v>
      </c>
      <c r="AQ27" s="37">
        <f>IF(最佳化斷筋點!R27="","",最佳化斷筋點!R27)</f>
        <v>3</v>
      </c>
      <c r="AR27" s="37">
        <f>IF(最佳化斷筋點!S27="","",最佳化斷筋點!S27)</f>
        <v>3</v>
      </c>
      <c r="AS27" s="37">
        <f>IF(最佳化斷筋點!T27="","",最佳化斷筋點!T27)</f>
        <v>3</v>
      </c>
      <c r="AT27" s="37">
        <f>IF(最佳化斷筋點!U27="","",最佳化斷筋點!U27)</f>
        <v>3</v>
      </c>
      <c r="AU27" s="37">
        <f>IF(最佳化斷筋點!V27="","",最佳化斷筋點!V27)</f>
        <v>3</v>
      </c>
      <c r="AV27" s="37">
        <f>IF(最佳化斷筋點!W27="","",最佳化斷筋點!W27)</f>
        <v>3</v>
      </c>
      <c r="AW27" s="37">
        <f>IF(最佳化斷筋點!X27="","",最佳化斷筋點!X27)</f>
        <v>3</v>
      </c>
      <c r="AY27" s="6" t="s">
        <v>20</v>
      </c>
      <c r="AZ27" s="37">
        <v>2</v>
      </c>
      <c r="BA27" s="37">
        <v>2</v>
      </c>
      <c r="BB27" s="37">
        <v>2</v>
      </c>
      <c r="BC27" s="37">
        <v>2</v>
      </c>
      <c r="BD27" s="37">
        <v>2</v>
      </c>
      <c r="BE27" s="37">
        <v>2</v>
      </c>
      <c r="BF27" s="37">
        <v>2</v>
      </c>
      <c r="BG27" s="37">
        <v>2</v>
      </c>
      <c r="BH27" s="37">
        <v>2</v>
      </c>
      <c r="BI27" s="37">
        <v>2</v>
      </c>
      <c r="BJ27" s="37">
        <v>2</v>
      </c>
      <c r="BK27" s="37">
        <v>2</v>
      </c>
      <c r="BL27" s="37">
        <v>2</v>
      </c>
      <c r="BM27" s="37">
        <v>3</v>
      </c>
      <c r="BN27" s="37">
        <v>3</v>
      </c>
      <c r="BO27" s="37">
        <v>3</v>
      </c>
      <c r="BP27" s="37">
        <v>3</v>
      </c>
      <c r="BQ27" s="37">
        <v>3</v>
      </c>
      <c r="BR27" s="37">
        <v>3</v>
      </c>
      <c r="BS27" s="37">
        <v>3</v>
      </c>
      <c r="BT27" s="37">
        <v>3</v>
      </c>
    </row>
    <row r="28" spans="5:72" x14ac:dyDescent="0.25">
      <c r="F28" s="6">
        <f t="shared" si="1"/>
        <v>0</v>
      </c>
      <c r="G28" s="6">
        <f t="shared" si="2"/>
        <v>0</v>
      </c>
      <c r="H28" s="6">
        <f t="shared" si="3"/>
        <v>0</v>
      </c>
      <c r="I28" s="6">
        <f t="shared" si="4"/>
        <v>0</v>
      </c>
      <c r="J28" s="6">
        <f t="shared" si="5"/>
        <v>0</v>
      </c>
      <c r="K28" s="6">
        <f t="shared" si="6"/>
        <v>0</v>
      </c>
      <c r="L28" s="6">
        <f t="shared" si="7"/>
        <v>0</v>
      </c>
      <c r="M28" s="6">
        <f t="shared" si="8"/>
        <v>0</v>
      </c>
      <c r="N28" s="6">
        <f t="shared" si="9"/>
        <v>0</v>
      </c>
      <c r="O28" s="6">
        <f t="shared" si="10"/>
        <v>0</v>
      </c>
      <c r="P28" s="6">
        <f t="shared" si="11"/>
        <v>0</v>
      </c>
      <c r="Q28" s="6">
        <f t="shared" si="12"/>
        <v>0</v>
      </c>
      <c r="R28" s="6">
        <f t="shared" si="13"/>
        <v>0</v>
      </c>
      <c r="S28" s="6">
        <f t="shared" si="14"/>
        <v>0</v>
      </c>
      <c r="T28" s="6">
        <f t="shared" si="15"/>
        <v>0</v>
      </c>
      <c r="U28" s="6">
        <f t="shared" si="16"/>
        <v>0</v>
      </c>
      <c r="V28" s="6">
        <f t="shared" si="17"/>
        <v>0</v>
      </c>
      <c r="W28" s="6">
        <f t="shared" si="18"/>
        <v>0</v>
      </c>
      <c r="X28" s="6">
        <f t="shared" si="19"/>
        <v>0</v>
      </c>
      <c r="Y28" s="6">
        <f t="shared" si="20"/>
        <v>0</v>
      </c>
      <c r="Z28" s="6">
        <f t="shared" si="21"/>
        <v>0</v>
      </c>
      <c r="AB28" s="36" t="str">
        <f>IF(最佳化斷筋點!C28="","",最佳化斷筋點!C28)</f>
        <v/>
      </c>
      <c r="AC28" s="37" t="str">
        <f>IF(最佳化斷筋點!D28="","",最佳化斷筋點!D28)</f>
        <v/>
      </c>
      <c r="AD28" s="37" t="str">
        <f>IF(最佳化斷筋點!E28="","",最佳化斷筋點!E28)</f>
        <v/>
      </c>
      <c r="AE28" s="37" t="str">
        <f>IF(最佳化斷筋點!F28="","",最佳化斷筋點!F28)</f>
        <v/>
      </c>
      <c r="AF28" s="37" t="str">
        <f>IF(最佳化斷筋點!G28="","",最佳化斷筋點!G28)</f>
        <v/>
      </c>
      <c r="AG28" s="37" t="str">
        <f>IF(最佳化斷筋點!H28="","",最佳化斷筋點!H28)</f>
        <v/>
      </c>
      <c r="AH28" s="37" t="str">
        <f>IF(最佳化斷筋點!I28="","",最佳化斷筋點!I28)</f>
        <v/>
      </c>
      <c r="AI28" s="37" t="str">
        <f>IF(最佳化斷筋點!J28="","",最佳化斷筋點!J28)</f>
        <v/>
      </c>
      <c r="AJ28" s="37" t="str">
        <f>IF(最佳化斷筋點!K28="","",最佳化斷筋點!K28)</f>
        <v/>
      </c>
      <c r="AK28" s="37" t="str">
        <f>IF(最佳化斷筋點!L28="","",最佳化斷筋點!L28)</f>
        <v/>
      </c>
      <c r="AL28" s="37" t="str">
        <f>IF(最佳化斷筋點!M28="","",最佳化斷筋點!M28)</f>
        <v/>
      </c>
      <c r="AM28" s="37" t="str">
        <f>IF(最佳化斷筋點!N28="","",最佳化斷筋點!N28)</f>
        <v/>
      </c>
      <c r="AN28" s="37" t="str">
        <f>IF(最佳化斷筋點!O28="","",最佳化斷筋點!O28)</f>
        <v/>
      </c>
      <c r="AO28" s="37" t="str">
        <f>IF(最佳化斷筋點!P28="","",最佳化斷筋點!P28)</f>
        <v/>
      </c>
      <c r="AP28" s="37" t="str">
        <f>IF(最佳化斷筋點!Q28="","",最佳化斷筋點!Q28)</f>
        <v/>
      </c>
      <c r="AQ28" s="37" t="str">
        <f>IF(最佳化斷筋點!R28="","",最佳化斷筋點!R28)</f>
        <v/>
      </c>
      <c r="AR28" s="37" t="str">
        <f>IF(最佳化斷筋點!S28="","",最佳化斷筋點!S28)</f>
        <v/>
      </c>
      <c r="AS28" s="37" t="str">
        <f>IF(最佳化斷筋點!T28="","",最佳化斷筋點!T28)</f>
        <v/>
      </c>
      <c r="AT28" s="37" t="str">
        <f>IF(最佳化斷筋點!U28="","",最佳化斷筋點!U28)</f>
        <v/>
      </c>
      <c r="AU28" s="37" t="str">
        <f>IF(最佳化斷筋點!V28="","",最佳化斷筋點!V28)</f>
        <v/>
      </c>
      <c r="AV28" s="37" t="str">
        <f>IF(最佳化斷筋點!W28="","",最佳化斷筋點!W28)</f>
        <v/>
      </c>
      <c r="AW28" s="37" t="str">
        <f>IF(最佳化斷筋點!X28="","",最佳化斷筋點!X28)</f>
        <v/>
      </c>
      <c r="AZ28" s="37" t="s">
        <v>197</v>
      </c>
      <c r="BA28" s="37" t="s">
        <v>197</v>
      </c>
      <c r="BB28" s="37" t="s">
        <v>197</v>
      </c>
      <c r="BC28" s="37" t="s">
        <v>197</v>
      </c>
      <c r="BD28" s="37" t="s">
        <v>197</v>
      </c>
      <c r="BE28" s="37" t="s">
        <v>197</v>
      </c>
      <c r="BF28" s="37" t="s">
        <v>197</v>
      </c>
      <c r="BG28" s="37" t="s">
        <v>197</v>
      </c>
      <c r="BH28" s="37" t="s">
        <v>197</v>
      </c>
      <c r="BI28" s="37" t="s">
        <v>197</v>
      </c>
      <c r="BJ28" s="37" t="s">
        <v>197</v>
      </c>
      <c r="BK28" s="37" t="s">
        <v>197</v>
      </c>
      <c r="BL28" s="37" t="s">
        <v>197</v>
      </c>
      <c r="BM28" s="37" t="s">
        <v>197</v>
      </c>
      <c r="BN28" s="37" t="s">
        <v>197</v>
      </c>
      <c r="BO28" s="37" t="s">
        <v>197</v>
      </c>
      <c r="BP28" s="37" t="s">
        <v>197</v>
      </c>
      <c r="BQ28" s="37" t="s">
        <v>197</v>
      </c>
      <c r="BR28" s="37" t="s">
        <v>197</v>
      </c>
      <c r="BS28" s="37" t="s">
        <v>197</v>
      </c>
      <c r="BT28" s="37" t="s">
        <v>197</v>
      </c>
    </row>
    <row r="29" spans="5:72" x14ac:dyDescent="0.25">
      <c r="E29" s="6" t="s">
        <v>21</v>
      </c>
      <c r="F29" s="6">
        <f t="shared" si="1"/>
        <v>0</v>
      </c>
      <c r="G29" s="6">
        <f t="shared" si="2"/>
        <v>0</v>
      </c>
      <c r="H29" s="6">
        <f t="shared" si="3"/>
        <v>0</v>
      </c>
      <c r="I29" s="6">
        <f t="shared" si="4"/>
        <v>0</v>
      </c>
      <c r="J29" s="6">
        <f t="shared" si="5"/>
        <v>0</v>
      </c>
      <c r="K29" s="6">
        <f t="shared" si="6"/>
        <v>0</v>
      </c>
      <c r="L29" s="6">
        <f t="shared" si="7"/>
        <v>0</v>
      </c>
      <c r="M29" s="6">
        <f t="shared" si="8"/>
        <v>0</v>
      </c>
      <c r="N29" s="6">
        <f t="shared" si="9"/>
        <v>0</v>
      </c>
      <c r="O29" s="6">
        <f t="shared" si="10"/>
        <v>0</v>
      </c>
      <c r="P29" s="6">
        <f t="shared" si="11"/>
        <v>0</v>
      </c>
      <c r="Q29" s="6">
        <f t="shared" si="12"/>
        <v>0</v>
      </c>
      <c r="R29" s="6">
        <f t="shared" si="13"/>
        <v>0</v>
      </c>
      <c r="S29" s="6">
        <f t="shared" si="14"/>
        <v>0</v>
      </c>
      <c r="T29" s="6">
        <f t="shared" si="15"/>
        <v>0</v>
      </c>
      <c r="U29" s="6">
        <f t="shared" si="16"/>
        <v>0</v>
      </c>
      <c r="V29" s="6">
        <f t="shared" si="17"/>
        <v>0</v>
      </c>
      <c r="W29" s="6">
        <f t="shared" si="18"/>
        <v>0</v>
      </c>
      <c r="X29" s="6">
        <f t="shared" si="19"/>
        <v>0</v>
      </c>
      <c r="Y29" s="6">
        <f t="shared" si="20"/>
        <v>0</v>
      </c>
      <c r="Z29" s="6">
        <f t="shared" si="21"/>
        <v>0</v>
      </c>
      <c r="AB29" s="36" t="str">
        <f>IF(最佳化斷筋點!C29="","",最佳化斷筋點!C29)</f>
        <v>下層</v>
      </c>
      <c r="AC29" s="37">
        <f>IF(最佳化斷筋點!D29="","",最佳化斷筋點!D29)</f>
        <v>3</v>
      </c>
      <c r="AD29" s="37">
        <f>IF(最佳化斷筋點!E29="","",最佳化斷筋點!E29)</f>
        <v>3</v>
      </c>
      <c r="AE29" s="37">
        <f>IF(最佳化斷筋點!F29="","",最佳化斷筋點!F29)</f>
        <v>3</v>
      </c>
      <c r="AF29" s="37">
        <f>IF(最佳化斷筋點!G29="","",最佳化斷筋點!G29)</f>
        <v>3</v>
      </c>
      <c r="AG29" s="37">
        <f>IF(最佳化斷筋點!H29="","",最佳化斷筋點!H29)</f>
        <v>3</v>
      </c>
      <c r="AH29" s="37">
        <f>IF(最佳化斷筋點!I29="","",最佳化斷筋點!I29)</f>
        <v>3</v>
      </c>
      <c r="AI29" s="37">
        <f>IF(最佳化斷筋點!J29="","",最佳化斷筋點!J29)</f>
        <v>3</v>
      </c>
      <c r="AJ29" s="37">
        <f>IF(最佳化斷筋點!K29="","",最佳化斷筋點!K29)</f>
        <v>2</v>
      </c>
      <c r="AK29" s="37">
        <f>IF(最佳化斷筋點!L29="","",最佳化斷筋點!L29)</f>
        <v>2</v>
      </c>
      <c r="AL29" s="37">
        <f>IF(最佳化斷筋點!M29="","",最佳化斷筋點!M29)</f>
        <v>2</v>
      </c>
      <c r="AM29" s="37">
        <f>IF(最佳化斷筋點!N29="","",最佳化斷筋點!N29)</f>
        <v>2</v>
      </c>
      <c r="AN29" s="37">
        <f>IF(最佳化斷筋點!O29="","",最佳化斷筋點!O29)</f>
        <v>2</v>
      </c>
      <c r="AO29" s="37">
        <f>IF(最佳化斷筋點!P29="","",最佳化斷筋點!P29)</f>
        <v>2</v>
      </c>
      <c r="AP29" s="37">
        <f>IF(最佳化斷筋點!Q29="","",最佳化斷筋點!Q29)</f>
        <v>2</v>
      </c>
      <c r="AQ29" s="37">
        <f>IF(最佳化斷筋點!R29="","",最佳化斷筋點!R29)</f>
        <v>2</v>
      </c>
      <c r="AR29" s="37">
        <f>IF(最佳化斷筋點!S29="","",最佳化斷筋點!S29)</f>
        <v>2</v>
      </c>
      <c r="AS29" s="37">
        <f>IF(最佳化斷筋點!T29="","",最佳化斷筋點!T29)</f>
        <v>2</v>
      </c>
      <c r="AT29" s="37">
        <f>IF(最佳化斷筋點!U29="","",最佳化斷筋點!U29)</f>
        <v>2</v>
      </c>
      <c r="AU29" s="37">
        <f>IF(最佳化斷筋點!V29="","",最佳化斷筋點!V29)</f>
        <v>2</v>
      </c>
      <c r="AV29" s="37">
        <f>IF(最佳化斷筋點!W29="","",最佳化斷筋點!W29)</f>
        <v>2</v>
      </c>
      <c r="AW29" s="37">
        <f>IF(最佳化斷筋點!X29="","",最佳化斷筋點!X29)</f>
        <v>2</v>
      </c>
      <c r="AY29" s="6" t="s">
        <v>21</v>
      </c>
      <c r="AZ29" s="37">
        <v>3</v>
      </c>
      <c r="BA29" s="37">
        <v>3</v>
      </c>
      <c r="BB29" s="37">
        <v>3</v>
      </c>
      <c r="BC29" s="37">
        <v>3</v>
      </c>
      <c r="BD29" s="37">
        <v>3</v>
      </c>
      <c r="BE29" s="37">
        <v>3</v>
      </c>
      <c r="BF29" s="37">
        <v>3</v>
      </c>
      <c r="BG29" s="37">
        <v>2</v>
      </c>
      <c r="BH29" s="37">
        <v>2</v>
      </c>
      <c r="BI29" s="37">
        <v>2</v>
      </c>
      <c r="BJ29" s="37">
        <v>2</v>
      </c>
      <c r="BK29" s="37">
        <v>2</v>
      </c>
      <c r="BL29" s="37">
        <v>2</v>
      </c>
      <c r="BM29" s="37">
        <v>2</v>
      </c>
      <c r="BN29" s="37">
        <v>2</v>
      </c>
      <c r="BO29" s="37">
        <v>2</v>
      </c>
      <c r="BP29" s="37">
        <v>2</v>
      </c>
      <c r="BQ29" s="37">
        <v>2</v>
      </c>
      <c r="BR29" s="37">
        <v>2</v>
      </c>
      <c r="BS29" s="37">
        <v>2</v>
      </c>
      <c r="BT29" s="37">
        <v>2</v>
      </c>
    </row>
    <row r="30" spans="5:72" x14ac:dyDescent="0.25">
      <c r="F30" s="6">
        <f t="shared" si="1"/>
        <v>0</v>
      </c>
      <c r="G30" s="6">
        <f t="shared" si="2"/>
        <v>0</v>
      </c>
      <c r="H30" s="6">
        <f t="shared" si="3"/>
        <v>0</v>
      </c>
      <c r="I30" s="6">
        <f t="shared" si="4"/>
        <v>0</v>
      </c>
      <c r="J30" s="6">
        <f t="shared" si="5"/>
        <v>0</v>
      </c>
      <c r="K30" s="6">
        <f t="shared" si="6"/>
        <v>0</v>
      </c>
      <c r="L30" s="6">
        <f t="shared" si="7"/>
        <v>0</v>
      </c>
      <c r="M30" s="6">
        <f t="shared" si="8"/>
        <v>0</v>
      </c>
      <c r="N30" s="6">
        <f t="shared" si="9"/>
        <v>0</v>
      </c>
      <c r="O30" s="6">
        <f t="shared" si="10"/>
        <v>0</v>
      </c>
      <c r="P30" s="6">
        <f t="shared" si="11"/>
        <v>0</v>
      </c>
      <c r="Q30" s="6">
        <f t="shared" si="12"/>
        <v>0</v>
      </c>
      <c r="R30" s="6">
        <f t="shared" si="13"/>
        <v>0</v>
      </c>
      <c r="S30" s="6">
        <f t="shared" si="14"/>
        <v>0</v>
      </c>
      <c r="T30" s="6">
        <f t="shared" si="15"/>
        <v>0</v>
      </c>
      <c r="U30" s="6">
        <f t="shared" si="16"/>
        <v>0</v>
      </c>
      <c r="V30" s="6">
        <f t="shared" si="17"/>
        <v>0</v>
      </c>
      <c r="W30" s="6">
        <f t="shared" si="18"/>
        <v>0</v>
      </c>
      <c r="X30" s="6">
        <f t="shared" si="19"/>
        <v>0</v>
      </c>
      <c r="Y30" s="6">
        <f t="shared" si="20"/>
        <v>0</v>
      </c>
      <c r="Z30" s="6">
        <f t="shared" si="21"/>
        <v>0</v>
      </c>
      <c r="AB30" s="36" t="str">
        <f>IF(最佳化斷筋點!C30="","",最佳化斷筋點!C30)</f>
        <v/>
      </c>
      <c r="AC30" s="37" t="str">
        <f>IF(最佳化斷筋點!D30="","",最佳化斷筋點!D30)</f>
        <v/>
      </c>
      <c r="AD30" s="37" t="str">
        <f>IF(最佳化斷筋點!E30="","",最佳化斷筋點!E30)</f>
        <v/>
      </c>
      <c r="AE30" s="37" t="str">
        <f>IF(最佳化斷筋點!F30="","",最佳化斷筋點!F30)</f>
        <v/>
      </c>
      <c r="AF30" s="37" t="str">
        <f>IF(最佳化斷筋點!G30="","",最佳化斷筋點!G30)</f>
        <v/>
      </c>
      <c r="AG30" s="37" t="str">
        <f>IF(最佳化斷筋點!H30="","",最佳化斷筋點!H30)</f>
        <v/>
      </c>
      <c r="AH30" s="37" t="str">
        <f>IF(最佳化斷筋點!I30="","",最佳化斷筋點!I30)</f>
        <v/>
      </c>
      <c r="AI30" s="37" t="str">
        <f>IF(最佳化斷筋點!J30="","",最佳化斷筋點!J30)</f>
        <v/>
      </c>
      <c r="AJ30" s="37" t="str">
        <f>IF(最佳化斷筋點!K30="","",最佳化斷筋點!K30)</f>
        <v/>
      </c>
      <c r="AK30" s="37" t="str">
        <f>IF(最佳化斷筋點!L30="","",最佳化斷筋點!L30)</f>
        <v/>
      </c>
      <c r="AL30" s="37" t="str">
        <f>IF(最佳化斷筋點!M30="","",最佳化斷筋點!M30)</f>
        <v/>
      </c>
      <c r="AM30" s="37" t="str">
        <f>IF(最佳化斷筋點!N30="","",最佳化斷筋點!N30)</f>
        <v/>
      </c>
      <c r="AN30" s="37" t="str">
        <f>IF(最佳化斷筋點!O30="","",最佳化斷筋點!O30)</f>
        <v/>
      </c>
      <c r="AO30" s="37" t="str">
        <f>IF(最佳化斷筋點!P30="","",最佳化斷筋點!P30)</f>
        <v/>
      </c>
      <c r="AP30" s="37" t="str">
        <f>IF(最佳化斷筋點!Q30="","",最佳化斷筋點!Q30)</f>
        <v/>
      </c>
      <c r="AQ30" s="37" t="str">
        <f>IF(最佳化斷筋點!R30="","",最佳化斷筋點!R30)</f>
        <v/>
      </c>
      <c r="AR30" s="37" t="str">
        <f>IF(最佳化斷筋點!S30="","",最佳化斷筋點!S30)</f>
        <v/>
      </c>
      <c r="AS30" s="37" t="str">
        <f>IF(最佳化斷筋點!T30="","",最佳化斷筋點!T30)</f>
        <v/>
      </c>
      <c r="AT30" s="37" t="str">
        <f>IF(最佳化斷筋點!U30="","",最佳化斷筋點!U30)</f>
        <v/>
      </c>
      <c r="AU30" s="37" t="str">
        <f>IF(最佳化斷筋點!V30="","",最佳化斷筋點!V30)</f>
        <v/>
      </c>
      <c r="AV30" s="37" t="str">
        <f>IF(最佳化斷筋點!W30="","",最佳化斷筋點!W30)</f>
        <v/>
      </c>
      <c r="AW30" s="37" t="str">
        <f>IF(最佳化斷筋點!X30="","",最佳化斷筋點!X30)</f>
        <v/>
      </c>
      <c r="AZ30" s="37" t="s">
        <v>197</v>
      </c>
      <c r="BA30" s="37" t="s">
        <v>197</v>
      </c>
      <c r="BB30" s="37" t="s">
        <v>197</v>
      </c>
      <c r="BC30" s="37" t="s">
        <v>197</v>
      </c>
      <c r="BD30" s="37" t="s">
        <v>197</v>
      </c>
      <c r="BE30" s="37" t="s">
        <v>197</v>
      </c>
      <c r="BF30" s="37" t="s">
        <v>197</v>
      </c>
      <c r="BG30" s="37" t="s">
        <v>197</v>
      </c>
      <c r="BH30" s="37" t="s">
        <v>197</v>
      </c>
      <c r="BI30" s="37" t="s">
        <v>197</v>
      </c>
      <c r="BJ30" s="37" t="s">
        <v>197</v>
      </c>
      <c r="BK30" s="37" t="s">
        <v>197</v>
      </c>
      <c r="BL30" s="37" t="s">
        <v>197</v>
      </c>
      <c r="BM30" s="37" t="s">
        <v>197</v>
      </c>
      <c r="BN30" s="37" t="s">
        <v>197</v>
      </c>
      <c r="BO30" s="37" t="s">
        <v>197</v>
      </c>
      <c r="BP30" s="37" t="s">
        <v>197</v>
      </c>
      <c r="BQ30" s="37" t="s">
        <v>197</v>
      </c>
      <c r="BR30" s="37" t="s">
        <v>197</v>
      </c>
      <c r="BS30" s="37" t="s">
        <v>197</v>
      </c>
      <c r="BT30" s="37" t="s">
        <v>197</v>
      </c>
    </row>
    <row r="31" spans="5:72" x14ac:dyDescent="0.25">
      <c r="E31" s="6" t="s">
        <v>20</v>
      </c>
      <c r="F31" s="6">
        <f t="shared" si="1"/>
        <v>0</v>
      </c>
      <c r="G31" s="6">
        <f t="shared" si="2"/>
        <v>0</v>
      </c>
      <c r="H31" s="6">
        <f t="shared" si="3"/>
        <v>0</v>
      </c>
      <c r="I31" s="6">
        <f t="shared" si="4"/>
        <v>0</v>
      </c>
      <c r="J31" s="6">
        <f t="shared" si="5"/>
        <v>0</v>
      </c>
      <c r="K31" s="6">
        <f t="shared" si="6"/>
        <v>0</v>
      </c>
      <c r="L31" s="6">
        <f t="shared" si="7"/>
        <v>0</v>
      </c>
      <c r="M31" s="6">
        <f t="shared" si="8"/>
        <v>0</v>
      </c>
      <c r="N31" s="6">
        <f t="shared" si="9"/>
        <v>0</v>
      </c>
      <c r="O31" s="6">
        <f t="shared" si="10"/>
        <v>0</v>
      </c>
      <c r="P31" s="6">
        <f t="shared" si="11"/>
        <v>0</v>
      </c>
      <c r="Q31" s="6">
        <f t="shared" si="12"/>
        <v>0</v>
      </c>
      <c r="R31" s="6">
        <f t="shared" si="13"/>
        <v>0</v>
      </c>
      <c r="S31" s="6">
        <f t="shared" si="14"/>
        <v>0</v>
      </c>
      <c r="T31" s="6">
        <f t="shared" si="15"/>
        <v>0</v>
      </c>
      <c r="U31" s="6">
        <f t="shared" si="16"/>
        <v>0</v>
      </c>
      <c r="V31" s="6">
        <f t="shared" si="17"/>
        <v>0</v>
      </c>
      <c r="W31" s="6">
        <f t="shared" si="18"/>
        <v>0</v>
      </c>
      <c r="X31" s="6">
        <f t="shared" si="19"/>
        <v>0</v>
      </c>
      <c r="Y31" s="6">
        <f t="shared" si="20"/>
        <v>0</v>
      </c>
      <c r="Z31" s="6">
        <f t="shared" si="21"/>
        <v>0</v>
      </c>
      <c r="AB31" s="36" t="str">
        <f>IF(最佳化斷筋點!C31="","",最佳化斷筋點!C31)</f>
        <v>上層</v>
      </c>
      <c r="AC31" s="37">
        <f>IF(最佳化斷筋點!D31="","",最佳化斷筋點!D31)</f>
        <v>2</v>
      </c>
      <c r="AD31" s="37">
        <f>IF(最佳化斷筋點!E31="","",最佳化斷筋點!E31)</f>
        <v>2</v>
      </c>
      <c r="AE31" s="37">
        <f>IF(最佳化斷筋點!F31="","",最佳化斷筋點!F31)</f>
        <v>2</v>
      </c>
      <c r="AF31" s="37">
        <f>IF(最佳化斷筋點!G31="","",最佳化斷筋點!G31)</f>
        <v>2</v>
      </c>
      <c r="AG31" s="37">
        <f>IF(最佳化斷筋點!H31="","",最佳化斷筋點!H31)</f>
        <v>2</v>
      </c>
      <c r="AH31" s="37">
        <f>IF(最佳化斷筋點!I31="","",最佳化斷筋點!I31)</f>
        <v>2</v>
      </c>
      <c r="AI31" s="37">
        <f>IF(最佳化斷筋點!J31="","",最佳化斷筋點!J31)</f>
        <v>2</v>
      </c>
      <c r="AJ31" s="37">
        <f>IF(最佳化斷筋點!K31="","",最佳化斷筋點!K31)</f>
        <v>2</v>
      </c>
      <c r="AK31" s="37">
        <f>IF(最佳化斷筋點!L31="","",最佳化斷筋點!L31)</f>
        <v>2</v>
      </c>
      <c r="AL31" s="37">
        <f>IF(最佳化斷筋點!M31="","",最佳化斷筋點!M31)</f>
        <v>2</v>
      </c>
      <c r="AM31" s="37">
        <f>IF(最佳化斷筋點!N31="","",最佳化斷筋點!N31)</f>
        <v>2</v>
      </c>
      <c r="AN31" s="37">
        <f>IF(最佳化斷筋點!O31="","",最佳化斷筋點!O31)</f>
        <v>2</v>
      </c>
      <c r="AO31" s="37">
        <f>IF(最佳化斷筋點!P31="","",最佳化斷筋點!P31)</f>
        <v>2</v>
      </c>
      <c r="AP31" s="37">
        <f>IF(最佳化斷筋點!Q31="","",最佳化斷筋點!Q31)</f>
        <v>2</v>
      </c>
      <c r="AQ31" s="37">
        <f>IF(最佳化斷筋點!R31="","",最佳化斷筋點!R31)</f>
        <v>3</v>
      </c>
      <c r="AR31" s="37">
        <f>IF(最佳化斷筋點!S31="","",最佳化斷筋點!S31)</f>
        <v>3</v>
      </c>
      <c r="AS31" s="37">
        <f>IF(最佳化斷筋點!T31="","",最佳化斷筋點!T31)</f>
        <v>3</v>
      </c>
      <c r="AT31" s="37">
        <f>IF(最佳化斷筋點!U31="","",最佳化斷筋點!U31)</f>
        <v>3</v>
      </c>
      <c r="AU31" s="37">
        <f>IF(最佳化斷筋點!V31="","",最佳化斷筋點!V31)</f>
        <v>3</v>
      </c>
      <c r="AV31" s="37">
        <f>IF(最佳化斷筋點!W31="","",最佳化斷筋點!W31)</f>
        <v>3</v>
      </c>
      <c r="AW31" s="37">
        <f>IF(最佳化斷筋點!X31="","",最佳化斷筋點!X31)</f>
        <v>3</v>
      </c>
      <c r="AY31" s="6" t="s">
        <v>20</v>
      </c>
      <c r="AZ31" s="37">
        <v>2</v>
      </c>
      <c r="BA31" s="37">
        <v>2</v>
      </c>
      <c r="BB31" s="37">
        <v>2</v>
      </c>
      <c r="BC31" s="37">
        <v>2</v>
      </c>
      <c r="BD31" s="37">
        <v>2</v>
      </c>
      <c r="BE31" s="37">
        <v>2</v>
      </c>
      <c r="BF31" s="37">
        <v>2</v>
      </c>
      <c r="BG31" s="37">
        <v>2</v>
      </c>
      <c r="BH31" s="37">
        <v>2</v>
      </c>
      <c r="BI31" s="37">
        <v>2</v>
      </c>
      <c r="BJ31" s="37">
        <v>2</v>
      </c>
      <c r="BK31" s="37">
        <v>2</v>
      </c>
      <c r="BL31" s="37">
        <v>2</v>
      </c>
      <c r="BM31" s="37">
        <v>2</v>
      </c>
      <c r="BN31" s="37">
        <v>3</v>
      </c>
      <c r="BO31" s="37">
        <v>3</v>
      </c>
      <c r="BP31" s="37">
        <v>3</v>
      </c>
      <c r="BQ31" s="37">
        <v>3</v>
      </c>
      <c r="BR31" s="37">
        <v>3</v>
      </c>
      <c r="BS31" s="37">
        <v>3</v>
      </c>
      <c r="BT31" s="37">
        <v>3</v>
      </c>
    </row>
    <row r="32" spans="5:72" x14ac:dyDescent="0.25">
      <c r="F32" s="6">
        <f t="shared" si="1"/>
        <v>0</v>
      </c>
      <c r="G32" s="6">
        <f t="shared" si="2"/>
        <v>0</v>
      </c>
      <c r="H32" s="6">
        <f t="shared" si="3"/>
        <v>0</v>
      </c>
      <c r="I32" s="6">
        <f t="shared" si="4"/>
        <v>0</v>
      </c>
      <c r="J32" s="6">
        <f t="shared" si="5"/>
        <v>0</v>
      </c>
      <c r="K32" s="6">
        <f t="shared" si="6"/>
        <v>0</v>
      </c>
      <c r="L32" s="6">
        <f t="shared" si="7"/>
        <v>0</v>
      </c>
      <c r="M32" s="6">
        <f t="shared" si="8"/>
        <v>0</v>
      </c>
      <c r="N32" s="6">
        <f t="shared" si="9"/>
        <v>0</v>
      </c>
      <c r="O32" s="6">
        <f t="shared" si="10"/>
        <v>0</v>
      </c>
      <c r="P32" s="6">
        <f t="shared" si="11"/>
        <v>0</v>
      </c>
      <c r="Q32" s="6">
        <f t="shared" si="12"/>
        <v>0</v>
      </c>
      <c r="R32" s="6">
        <f t="shared" si="13"/>
        <v>0</v>
      </c>
      <c r="S32" s="6">
        <f t="shared" si="14"/>
        <v>0</v>
      </c>
      <c r="T32" s="6">
        <f t="shared" si="15"/>
        <v>0</v>
      </c>
      <c r="U32" s="6">
        <f t="shared" si="16"/>
        <v>0</v>
      </c>
      <c r="V32" s="6">
        <f t="shared" si="17"/>
        <v>0</v>
      </c>
      <c r="W32" s="6">
        <f t="shared" si="18"/>
        <v>0</v>
      </c>
      <c r="X32" s="6">
        <f t="shared" si="19"/>
        <v>0</v>
      </c>
      <c r="Y32" s="6">
        <f t="shared" si="20"/>
        <v>0</v>
      </c>
      <c r="Z32" s="6">
        <f t="shared" si="21"/>
        <v>0</v>
      </c>
      <c r="AB32" s="36" t="str">
        <f>IF(最佳化斷筋點!C32="","",最佳化斷筋點!C32)</f>
        <v/>
      </c>
      <c r="AC32" s="37" t="str">
        <f>IF(最佳化斷筋點!D32="","",最佳化斷筋點!D32)</f>
        <v/>
      </c>
      <c r="AD32" s="37" t="str">
        <f>IF(最佳化斷筋點!E32="","",最佳化斷筋點!E32)</f>
        <v/>
      </c>
      <c r="AE32" s="37" t="str">
        <f>IF(最佳化斷筋點!F32="","",最佳化斷筋點!F32)</f>
        <v/>
      </c>
      <c r="AF32" s="37" t="str">
        <f>IF(最佳化斷筋點!G32="","",最佳化斷筋點!G32)</f>
        <v/>
      </c>
      <c r="AG32" s="37" t="str">
        <f>IF(最佳化斷筋點!H32="","",最佳化斷筋點!H32)</f>
        <v/>
      </c>
      <c r="AH32" s="37" t="str">
        <f>IF(最佳化斷筋點!I32="","",最佳化斷筋點!I32)</f>
        <v/>
      </c>
      <c r="AI32" s="37" t="str">
        <f>IF(最佳化斷筋點!J32="","",最佳化斷筋點!J32)</f>
        <v/>
      </c>
      <c r="AJ32" s="37" t="str">
        <f>IF(最佳化斷筋點!K32="","",最佳化斷筋點!K32)</f>
        <v/>
      </c>
      <c r="AK32" s="37" t="str">
        <f>IF(最佳化斷筋點!L32="","",最佳化斷筋點!L32)</f>
        <v/>
      </c>
      <c r="AL32" s="37" t="str">
        <f>IF(最佳化斷筋點!M32="","",最佳化斷筋點!M32)</f>
        <v/>
      </c>
      <c r="AM32" s="37" t="str">
        <f>IF(最佳化斷筋點!N32="","",最佳化斷筋點!N32)</f>
        <v/>
      </c>
      <c r="AN32" s="37" t="str">
        <f>IF(最佳化斷筋點!O32="","",最佳化斷筋點!O32)</f>
        <v/>
      </c>
      <c r="AO32" s="37" t="str">
        <f>IF(最佳化斷筋點!P32="","",最佳化斷筋點!P32)</f>
        <v/>
      </c>
      <c r="AP32" s="37" t="str">
        <f>IF(最佳化斷筋點!Q32="","",最佳化斷筋點!Q32)</f>
        <v/>
      </c>
      <c r="AQ32" s="37" t="str">
        <f>IF(最佳化斷筋點!R32="","",最佳化斷筋點!R32)</f>
        <v/>
      </c>
      <c r="AR32" s="37" t="str">
        <f>IF(最佳化斷筋點!S32="","",最佳化斷筋點!S32)</f>
        <v/>
      </c>
      <c r="AS32" s="37" t="str">
        <f>IF(最佳化斷筋點!T32="","",最佳化斷筋點!T32)</f>
        <v/>
      </c>
      <c r="AT32" s="37" t="str">
        <f>IF(最佳化斷筋點!U32="","",最佳化斷筋點!U32)</f>
        <v/>
      </c>
      <c r="AU32" s="37" t="str">
        <f>IF(最佳化斷筋點!V32="","",最佳化斷筋點!V32)</f>
        <v/>
      </c>
      <c r="AV32" s="37" t="str">
        <f>IF(最佳化斷筋點!W32="","",最佳化斷筋點!W32)</f>
        <v/>
      </c>
      <c r="AW32" s="37" t="str">
        <f>IF(最佳化斷筋點!X32="","",最佳化斷筋點!X32)</f>
        <v/>
      </c>
      <c r="AZ32" s="37" t="s">
        <v>197</v>
      </c>
      <c r="BA32" s="37" t="s">
        <v>197</v>
      </c>
      <c r="BB32" s="37" t="s">
        <v>197</v>
      </c>
      <c r="BC32" s="37" t="s">
        <v>197</v>
      </c>
      <c r="BD32" s="37" t="s">
        <v>197</v>
      </c>
      <c r="BE32" s="37" t="s">
        <v>197</v>
      </c>
      <c r="BF32" s="37" t="s">
        <v>197</v>
      </c>
      <c r="BG32" s="37" t="s">
        <v>197</v>
      </c>
      <c r="BH32" s="37" t="s">
        <v>197</v>
      </c>
      <c r="BI32" s="37" t="s">
        <v>197</v>
      </c>
      <c r="BJ32" s="37" t="s">
        <v>197</v>
      </c>
      <c r="BK32" s="37" t="s">
        <v>197</v>
      </c>
      <c r="BL32" s="37" t="s">
        <v>197</v>
      </c>
      <c r="BM32" s="37" t="s">
        <v>197</v>
      </c>
      <c r="BN32" s="37" t="s">
        <v>197</v>
      </c>
      <c r="BO32" s="37" t="s">
        <v>197</v>
      </c>
      <c r="BP32" s="37" t="s">
        <v>197</v>
      </c>
      <c r="BQ32" s="37" t="s">
        <v>197</v>
      </c>
      <c r="BR32" s="37" t="s">
        <v>197</v>
      </c>
      <c r="BS32" s="37" t="s">
        <v>197</v>
      </c>
      <c r="BT32" s="37" t="s">
        <v>197</v>
      </c>
    </row>
    <row r="33" spans="5:72" x14ac:dyDescent="0.25">
      <c r="E33" s="6" t="s">
        <v>21</v>
      </c>
      <c r="F33" s="6">
        <f t="shared" si="1"/>
        <v>0</v>
      </c>
      <c r="G33" s="6">
        <f t="shared" si="2"/>
        <v>0</v>
      </c>
      <c r="H33" s="6">
        <f t="shared" si="3"/>
        <v>0</v>
      </c>
      <c r="I33" s="6">
        <f t="shared" si="4"/>
        <v>0</v>
      </c>
      <c r="J33" s="6">
        <f t="shared" si="5"/>
        <v>0</v>
      </c>
      <c r="K33" s="6">
        <f t="shared" si="6"/>
        <v>0</v>
      </c>
      <c r="L33" s="6">
        <f t="shared" si="7"/>
        <v>0</v>
      </c>
      <c r="M33" s="6">
        <f t="shared" si="8"/>
        <v>0</v>
      </c>
      <c r="N33" s="6">
        <f t="shared" si="9"/>
        <v>0</v>
      </c>
      <c r="O33" s="6">
        <f t="shared" si="10"/>
        <v>0</v>
      </c>
      <c r="P33" s="6">
        <f t="shared" si="11"/>
        <v>0</v>
      </c>
      <c r="Q33" s="6">
        <f t="shared" si="12"/>
        <v>0</v>
      </c>
      <c r="R33" s="6">
        <f t="shared" si="13"/>
        <v>0</v>
      </c>
      <c r="S33" s="6">
        <f t="shared" si="14"/>
        <v>0</v>
      </c>
      <c r="T33" s="6">
        <f t="shared" si="15"/>
        <v>0</v>
      </c>
      <c r="U33" s="6">
        <f t="shared" si="16"/>
        <v>0</v>
      </c>
      <c r="V33" s="6">
        <f t="shared" si="17"/>
        <v>0</v>
      </c>
      <c r="W33" s="6">
        <f t="shared" si="18"/>
        <v>0</v>
      </c>
      <c r="X33" s="6">
        <f t="shared" si="19"/>
        <v>0</v>
      </c>
      <c r="Y33" s="6">
        <f t="shared" si="20"/>
        <v>0</v>
      </c>
      <c r="Z33" s="6">
        <f t="shared" si="21"/>
        <v>0</v>
      </c>
      <c r="AB33" s="36" t="str">
        <f>IF(最佳化斷筋點!C33="","",最佳化斷筋點!C33)</f>
        <v>下層</v>
      </c>
      <c r="AC33" s="37">
        <f>IF(最佳化斷筋點!D33="","",最佳化斷筋點!D33)</f>
        <v>2</v>
      </c>
      <c r="AD33" s="37">
        <f>IF(最佳化斷筋點!E33="","",最佳化斷筋點!E33)</f>
        <v>2</v>
      </c>
      <c r="AE33" s="37">
        <f>IF(最佳化斷筋點!F33="","",最佳化斷筋點!F33)</f>
        <v>2</v>
      </c>
      <c r="AF33" s="37">
        <f>IF(最佳化斷筋點!G33="","",最佳化斷筋點!G33)</f>
        <v>2</v>
      </c>
      <c r="AG33" s="37">
        <f>IF(最佳化斷筋點!H33="","",最佳化斷筋點!H33)</f>
        <v>2</v>
      </c>
      <c r="AH33" s="37">
        <f>IF(最佳化斷筋點!I33="","",最佳化斷筋點!I33)</f>
        <v>2</v>
      </c>
      <c r="AI33" s="37">
        <f>IF(最佳化斷筋點!J33="","",最佳化斷筋點!J33)</f>
        <v>2</v>
      </c>
      <c r="AJ33" s="37">
        <f>IF(最佳化斷筋點!K33="","",最佳化斷筋點!K33)</f>
        <v>2</v>
      </c>
      <c r="AK33" s="37">
        <f>IF(最佳化斷筋點!L33="","",最佳化斷筋點!L33)</f>
        <v>2</v>
      </c>
      <c r="AL33" s="37">
        <f>IF(最佳化斷筋點!M33="","",最佳化斷筋點!M33)</f>
        <v>2</v>
      </c>
      <c r="AM33" s="37">
        <f>IF(最佳化斷筋點!N33="","",最佳化斷筋點!N33)</f>
        <v>2</v>
      </c>
      <c r="AN33" s="37">
        <f>IF(最佳化斷筋點!O33="","",最佳化斷筋點!O33)</f>
        <v>2</v>
      </c>
      <c r="AO33" s="37">
        <f>IF(最佳化斷筋點!P33="","",最佳化斷筋點!P33)</f>
        <v>2</v>
      </c>
      <c r="AP33" s="37">
        <f>IF(最佳化斷筋點!Q33="","",最佳化斷筋點!Q33)</f>
        <v>2</v>
      </c>
      <c r="AQ33" s="37">
        <f>IF(最佳化斷筋點!R33="","",最佳化斷筋點!R33)</f>
        <v>2</v>
      </c>
      <c r="AR33" s="37">
        <f>IF(最佳化斷筋點!S33="","",最佳化斷筋點!S33)</f>
        <v>2</v>
      </c>
      <c r="AS33" s="37">
        <f>IF(最佳化斷筋點!T33="","",最佳化斷筋點!T33)</f>
        <v>2</v>
      </c>
      <c r="AT33" s="37">
        <f>IF(最佳化斷筋點!U33="","",最佳化斷筋點!U33)</f>
        <v>2</v>
      </c>
      <c r="AU33" s="37">
        <f>IF(最佳化斷筋點!V33="","",最佳化斷筋點!V33)</f>
        <v>2</v>
      </c>
      <c r="AV33" s="37">
        <f>IF(最佳化斷筋點!W33="","",最佳化斷筋點!W33)</f>
        <v>2</v>
      </c>
      <c r="AW33" s="37">
        <f>IF(最佳化斷筋點!X33="","",最佳化斷筋點!X33)</f>
        <v>2</v>
      </c>
      <c r="AY33" s="6" t="s">
        <v>21</v>
      </c>
      <c r="AZ33" s="37">
        <v>2</v>
      </c>
      <c r="BA33" s="37">
        <v>2</v>
      </c>
      <c r="BB33" s="37">
        <v>2</v>
      </c>
      <c r="BC33" s="37">
        <v>2</v>
      </c>
      <c r="BD33" s="37">
        <v>2</v>
      </c>
      <c r="BE33" s="37">
        <v>2</v>
      </c>
      <c r="BF33" s="37">
        <v>2</v>
      </c>
      <c r="BG33" s="37">
        <v>2</v>
      </c>
      <c r="BH33" s="37">
        <v>2</v>
      </c>
      <c r="BI33" s="37">
        <v>2</v>
      </c>
      <c r="BJ33" s="37">
        <v>2</v>
      </c>
      <c r="BK33" s="37">
        <v>2</v>
      </c>
      <c r="BL33" s="37">
        <v>2</v>
      </c>
      <c r="BM33" s="37">
        <v>2</v>
      </c>
      <c r="BN33" s="37">
        <v>2</v>
      </c>
      <c r="BO33" s="37">
        <v>2</v>
      </c>
      <c r="BP33" s="37">
        <v>2</v>
      </c>
      <c r="BQ33" s="37">
        <v>2</v>
      </c>
      <c r="BR33" s="37">
        <v>2</v>
      </c>
      <c r="BS33" s="37">
        <v>2</v>
      </c>
      <c r="BT33" s="37">
        <v>2</v>
      </c>
    </row>
    <row r="34" spans="5:72" x14ac:dyDescent="0.25">
      <c r="F34" s="6">
        <f t="shared" si="1"/>
        <v>0</v>
      </c>
      <c r="G34" s="6">
        <f t="shared" si="2"/>
        <v>0</v>
      </c>
      <c r="H34" s="6">
        <f t="shared" si="3"/>
        <v>0</v>
      </c>
      <c r="I34" s="6">
        <f t="shared" si="4"/>
        <v>0</v>
      </c>
      <c r="J34" s="6">
        <f t="shared" si="5"/>
        <v>0</v>
      </c>
      <c r="K34" s="6">
        <f t="shared" si="6"/>
        <v>0</v>
      </c>
      <c r="L34" s="6">
        <f t="shared" si="7"/>
        <v>0</v>
      </c>
      <c r="M34" s="6">
        <f t="shared" si="8"/>
        <v>0</v>
      </c>
      <c r="N34" s="6">
        <f t="shared" si="9"/>
        <v>0</v>
      </c>
      <c r="O34" s="6">
        <f t="shared" si="10"/>
        <v>0</v>
      </c>
      <c r="P34" s="6">
        <f t="shared" si="11"/>
        <v>0</v>
      </c>
      <c r="Q34" s="6">
        <f t="shared" si="12"/>
        <v>0</v>
      </c>
      <c r="R34" s="6">
        <f t="shared" si="13"/>
        <v>0</v>
      </c>
      <c r="S34" s="6">
        <f t="shared" si="14"/>
        <v>0</v>
      </c>
      <c r="T34" s="6">
        <f t="shared" si="15"/>
        <v>0</v>
      </c>
      <c r="U34" s="6">
        <f t="shared" si="16"/>
        <v>0</v>
      </c>
      <c r="V34" s="6">
        <f t="shared" si="17"/>
        <v>0</v>
      </c>
      <c r="W34" s="6">
        <f t="shared" si="18"/>
        <v>0</v>
      </c>
      <c r="X34" s="6">
        <f t="shared" si="19"/>
        <v>0</v>
      </c>
      <c r="Y34" s="6">
        <f t="shared" si="20"/>
        <v>0</v>
      </c>
      <c r="Z34" s="6">
        <f t="shared" si="21"/>
        <v>0</v>
      </c>
      <c r="AB34" s="36" t="str">
        <f>IF(最佳化斷筋點!C34="","",最佳化斷筋點!C34)</f>
        <v/>
      </c>
      <c r="AC34" s="37" t="str">
        <f>IF(最佳化斷筋點!D34="","",最佳化斷筋點!D34)</f>
        <v/>
      </c>
      <c r="AD34" s="37" t="str">
        <f>IF(最佳化斷筋點!E34="","",最佳化斷筋點!E34)</f>
        <v/>
      </c>
      <c r="AE34" s="37" t="str">
        <f>IF(最佳化斷筋點!F34="","",最佳化斷筋點!F34)</f>
        <v/>
      </c>
      <c r="AF34" s="37" t="str">
        <f>IF(最佳化斷筋點!G34="","",最佳化斷筋點!G34)</f>
        <v/>
      </c>
      <c r="AG34" s="37" t="str">
        <f>IF(最佳化斷筋點!H34="","",最佳化斷筋點!H34)</f>
        <v/>
      </c>
      <c r="AH34" s="37" t="str">
        <f>IF(最佳化斷筋點!I34="","",最佳化斷筋點!I34)</f>
        <v/>
      </c>
      <c r="AI34" s="37" t="str">
        <f>IF(最佳化斷筋點!J34="","",最佳化斷筋點!J34)</f>
        <v/>
      </c>
      <c r="AJ34" s="37" t="str">
        <f>IF(最佳化斷筋點!K34="","",最佳化斷筋點!K34)</f>
        <v/>
      </c>
      <c r="AK34" s="37" t="str">
        <f>IF(最佳化斷筋點!L34="","",最佳化斷筋點!L34)</f>
        <v/>
      </c>
      <c r="AL34" s="37" t="str">
        <f>IF(最佳化斷筋點!M34="","",最佳化斷筋點!M34)</f>
        <v/>
      </c>
      <c r="AM34" s="37" t="str">
        <f>IF(最佳化斷筋點!N34="","",最佳化斷筋點!N34)</f>
        <v/>
      </c>
      <c r="AN34" s="37" t="str">
        <f>IF(最佳化斷筋點!O34="","",最佳化斷筋點!O34)</f>
        <v/>
      </c>
      <c r="AO34" s="37" t="str">
        <f>IF(最佳化斷筋點!P34="","",最佳化斷筋點!P34)</f>
        <v/>
      </c>
      <c r="AP34" s="37" t="str">
        <f>IF(最佳化斷筋點!Q34="","",最佳化斷筋點!Q34)</f>
        <v/>
      </c>
      <c r="AQ34" s="37" t="str">
        <f>IF(最佳化斷筋點!R34="","",最佳化斷筋點!R34)</f>
        <v/>
      </c>
      <c r="AR34" s="37" t="str">
        <f>IF(最佳化斷筋點!S34="","",最佳化斷筋點!S34)</f>
        <v/>
      </c>
      <c r="AS34" s="37" t="str">
        <f>IF(最佳化斷筋點!T34="","",最佳化斷筋點!T34)</f>
        <v/>
      </c>
      <c r="AT34" s="37" t="str">
        <f>IF(最佳化斷筋點!U34="","",最佳化斷筋點!U34)</f>
        <v/>
      </c>
      <c r="AU34" s="37" t="str">
        <f>IF(最佳化斷筋點!V34="","",最佳化斷筋點!V34)</f>
        <v/>
      </c>
      <c r="AV34" s="37" t="str">
        <f>IF(最佳化斷筋點!W34="","",最佳化斷筋點!W34)</f>
        <v/>
      </c>
      <c r="AW34" s="37" t="str">
        <f>IF(最佳化斷筋點!X34="","",最佳化斷筋點!X34)</f>
        <v/>
      </c>
      <c r="AZ34" s="37" t="s">
        <v>197</v>
      </c>
      <c r="BA34" s="37" t="s">
        <v>197</v>
      </c>
      <c r="BB34" s="37" t="s">
        <v>197</v>
      </c>
      <c r="BC34" s="37" t="s">
        <v>197</v>
      </c>
      <c r="BD34" s="37" t="s">
        <v>197</v>
      </c>
      <c r="BE34" s="37" t="s">
        <v>197</v>
      </c>
      <c r="BF34" s="37" t="s">
        <v>197</v>
      </c>
      <c r="BG34" s="37" t="s">
        <v>197</v>
      </c>
      <c r="BH34" s="37" t="s">
        <v>197</v>
      </c>
      <c r="BI34" s="37" t="s">
        <v>197</v>
      </c>
      <c r="BJ34" s="37" t="s">
        <v>197</v>
      </c>
      <c r="BK34" s="37" t="s">
        <v>197</v>
      </c>
      <c r="BL34" s="37" t="s">
        <v>197</v>
      </c>
      <c r="BM34" s="37" t="s">
        <v>197</v>
      </c>
      <c r="BN34" s="37" t="s">
        <v>197</v>
      </c>
      <c r="BO34" s="37" t="s">
        <v>197</v>
      </c>
      <c r="BP34" s="37" t="s">
        <v>197</v>
      </c>
      <c r="BQ34" s="37" t="s">
        <v>197</v>
      </c>
      <c r="BR34" s="37" t="s">
        <v>197</v>
      </c>
      <c r="BS34" s="37" t="s">
        <v>197</v>
      </c>
      <c r="BT34" s="37" t="s">
        <v>197</v>
      </c>
    </row>
    <row r="35" spans="5:72" x14ac:dyDescent="0.25">
      <c r="E35" s="6" t="s">
        <v>20</v>
      </c>
      <c r="F35" s="6">
        <f t="shared" si="1"/>
        <v>0</v>
      </c>
      <c r="G35" s="6">
        <f t="shared" si="2"/>
        <v>0</v>
      </c>
      <c r="H35" s="6">
        <f t="shared" si="3"/>
        <v>0</v>
      </c>
      <c r="I35" s="6">
        <f t="shared" si="4"/>
        <v>0</v>
      </c>
      <c r="J35" s="6">
        <f t="shared" si="5"/>
        <v>0</v>
      </c>
      <c r="K35" s="6">
        <f t="shared" si="6"/>
        <v>0</v>
      </c>
      <c r="L35" s="6">
        <f t="shared" si="7"/>
        <v>0</v>
      </c>
      <c r="M35" s="6">
        <f t="shared" si="8"/>
        <v>0</v>
      </c>
      <c r="N35" s="6">
        <f t="shared" si="9"/>
        <v>0</v>
      </c>
      <c r="O35" s="6">
        <f t="shared" si="10"/>
        <v>0</v>
      </c>
      <c r="P35" s="6">
        <f t="shared" si="11"/>
        <v>0</v>
      </c>
      <c r="Q35" s="6">
        <f t="shared" si="12"/>
        <v>0</v>
      </c>
      <c r="R35" s="6">
        <f t="shared" si="13"/>
        <v>0</v>
      </c>
      <c r="S35" s="6">
        <f t="shared" si="14"/>
        <v>0</v>
      </c>
      <c r="T35" s="6">
        <f t="shared" si="15"/>
        <v>0</v>
      </c>
      <c r="U35" s="6">
        <f t="shared" si="16"/>
        <v>0</v>
      </c>
      <c r="V35" s="6">
        <f t="shared" si="17"/>
        <v>0</v>
      </c>
      <c r="W35" s="6">
        <f t="shared" si="18"/>
        <v>0</v>
      </c>
      <c r="X35" s="6">
        <f t="shared" si="19"/>
        <v>0</v>
      </c>
      <c r="Y35" s="6">
        <f t="shared" si="20"/>
        <v>0</v>
      </c>
      <c r="Z35" s="6">
        <f t="shared" si="21"/>
        <v>0</v>
      </c>
      <c r="AB35" s="36" t="str">
        <f>IF(最佳化斷筋點!C35="","",最佳化斷筋點!C35)</f>
        <v>上層</v>
      </c>
      <c r="AC35" s="37">
        <f>IF(最佳化斷筋點!D35="","",最佳化斷筋點!D35)</f>
        <v>3</v>
      </c>
      <c r="AD35" s="37">
        <f>IF(最佳化斷筋點!E35="","",最佳化斷筋點!E35)</f>
        <v>3</v>
      </c>
      <c r="AE35" s="37">
        <f>IF(最佳化斷筋點!F35="","",最佳化斷筋點!F35)</f>
        <v>3</v>
      </c>
      <c r="AF35" s="37">
        <f>IF(最佳化斷筋點!G35="","",最佳化斷筋點!G35)</f>
        <v>3</v>
      </c>
      <c r="AG35" s="37">
        <f>IF(最佳化斷筋點!H35="","",最佳化斷筋點!H35)</f>
        <v>3</v>
      </c>
      <c r="AH35" s="37">
        <f>IF(最佳化斷筋點!I35="","",最佳化斷筋點!I35)</f>
        <v>3</v>
      </c>
      <c r="AI35" s="37">
        <f>IF(最佳化斷筋點!J35="","",最佳化斷筋點!J35)</f>
        <v>3</v>
      </c>
      <c r="AJ35" s="37">
        <f>IF(最佳化斷筋點!K35="","",最佳化斷筋點!K35)</f>
        <v>2</v>
      </c>
      <c r="AK35" s="37">
        <f>IF(最佳化斷筋點!L35="","",最佳化斷筋點!L35)</f>
        <v>2</v>
      </c>
      <c r="AL35" s="37">
        <f>IF(最佳化斷筋點!M35="","",最佳化斷筋點!M35)</f>
        <v>2</v>
      </c>
      <c r="AM35" s="37">
        <f>IF(最佳化斷筋點!N35="","",最佳化斷筋點!N35)</f>
        <v>2</v>
      </c>
      <c r="AN35" s="37">
        <f>IF(最佳化斷筋點!O35="","",最佳化斷筋點!O35)</f>
        <v>2</v>
      </c>
      <c r="AO35" s="37">
        <f>IF(最佳化斷筋點!P35="","",最佳化斷筋點!P35)</f>
        <v>2</v>
      </c>
      <c r="AP35" s="37">
        <f>IF(最佳化斷筋點!Q35="","",最佳化斷筋點!Q35)</f>
        <v>2</v>
      </c>
      <c r="AQ35" s="37">
        <f>IF(最佳化斷筋點!R35="","",最佳化斷筋點!R35)</f>
        <v>2</v>
      </c>
      <c r="AR35" s="37">
        <f>IF(最佳化斷筋點!S35="","",最佳化斷筋點!S35)</f>
        <v>2</v>
      </c>
      <c r="AS35" s="37">
        <f>IF(最佳化斷筋點!T35="","",最佳化斷筋點!T35)</f>
        <v>2</v>
      </c>
      <c r="AT35" s="37">
        <f>IF(最佳化斷筋點!U35="","",最佳化斷筋點!U35)</f>
        <v>2</v>
      </c>
      <c r="AU35" s="37">
        <f>IF(最佳化斷筋點!V35="","",最佳化斷筋點!V35)</f>
        <v>2</v>
      </c>
      <c r="AV35" s="37">
        <f>IF(最佳化斷筋點!W35="","",最佳化斷筋點!W35)</f>
        <v>2</v>
      </c>
      <c r="AW35" s="37">
        <f>IF(最佳化斷筋點!X35="","",最佳化斷筋點!X35)</f>
        <v>2</v>
      </c>
      <c r="AY35" s="6" t="s">
        <v>20</v>
      </c>
      <c r="AZ35" s="37">
        <v>3</v>
      </c>
      <c r="BA35" s="37">
        <v>3</v>
      </c>
      <c r="BB35" s="37">
        <v>3</v>
      </c>
      <c r="BC35" s="37">
        <v>3</v>
      </c>
      <c r="BD35" s="37">
        <v>3</v>
      </c>
      <c r="BE35" s="37">
        <v>3</v>
      </c>
      <c r="BF35" s="37">
        <v>3</v>
      </c>
      <c r="BG35" s="37">
        <v>2</v>
      </c>
      <c r="BH35" s="37">
        <v>2</v>
      </c>
      <c r="BI35" s="37">
        <v>2</v>
      </c>
      <c r="BJ35" s="37">
        <v>2</v>
      </c>
      <c r="BK35" s="37">
        <v>2</v>
      </c>
      <c r="BL35" s="37">
        <v>2</v>
      </c>
      <c r="BM35" s="37">
        <v>2</v>
      </c>
      <c r="BN35" s="37">
        <v>2</v>
      </c>
      <c r="BO35" s="37">
        <v>2</v>
      </c>
      <c r="BP35" s="37">
        <v>2</v>
      </c>
      <c r="BQ35" s="37">
        <v>2</v>
      </c>
      <c r="BR35" s="37">
        <v>2</v>
      </c>
      <c r="BS35" s="37">
        <v>2</v>
      </c>
      <c r="BT35" s="37">
        <v>2</v>
      </c>
    </row>
    <row r="36" spans="5:72" x14ac:dyDescent="0.25">
      <c r="F36" s="6">
        <f t="shared" si="1"/>
        <v>0</v>
      </c>
      <c r="G36" s="6">
        <f t="shared" si="2"/>
        <v>0</v>
      </c>
      <c r="H36" s="6">
        <f t="shared" si="3"/>
        <v>0</v>
      </c>
      <c r="I36" s="6">
        <f t="shared" si="4"/>
        <v>0</v>
      </c>
      <c r="J36" s="6">
        <f t="shared" si="5"/>
        <v>0</v>
      </c>
      <c r="K36" s="6">
        <f t="shared" si="6"/>
        <v>0</v>
      </c>
      <c r="L36" s="6">
        <f t="shared" si="7"/>
        <v>0</v>
      </c>
      <c r="M36" s="6">
        <f t="shared" si="8"/>
        <v>0</v>
      </c>
      <c r="N36" s="6">
        <f t="shared" si="9"/>
        <v>0</v>
      </c>
      <c r="O36" s="6">
        <f t="shared" si="10"/>
        <v>0</v>
      </c>
      <c r="P36" s="6">
        <f t="shared" si="11"/>
        <v>0</v>
      </c>
      <c r="Q36" s="6">
        <f t="shared" si="12"/>
        <v>0</v>
      </c>
      <c r="R36" s="6">
        <f t="shared" si="13"/>
        <v>0</v>
      </c>
      <c r="S36" s="6">
        <f t="shared" si="14"/>
        <v>0</v>
      </c>
      <c r="T36" s="6">
        <f t="shared" si="15"/>
        <v>0</v>
      </c>
      <c r="U36" s="6">
        <f t="shared" si="16"/>
        <v>0</v>
      </c>
      <c r="V36" s="6">
        <f t="shared" si="17"/>
        <v>0</v>
      </c>
      <c r="W36" s="6">
        <f t="shared" si="18"/>
        <v>0</v>
      </c>
      <c r="X36" s="6">
        <f t="shared" si="19"/>
        <v>0</v>
      </c>
      <c r="Y36" s="6">
        <f t="shared" si="20"/>
        <v>0</v>
      </c>
      <c r="Z36" s="6">
        <f t="shared" si="21"/>
        <v>0</v>
      </c>
      <c r="AB36" s="36" t="str">
        <f>IF(最佳化斷筋點!C36="","",最佳化斷筋點!C36)</f>
        <v/>
      </c>
      <c r="AC36" s="37" t="str">
        <f>IF(最佳化斷筋點!D36="","",最佳化斷筋點!D36)</f>
        <v/>
      </c>
      <c r="AD36" s="37" t="str">
        <f>IF(最佳化斷筋點!E36="","",最佳化斷筋點!E36)</f>
        <v/>
      </c>
      <c r="AE36" s="37" t="str">
        <f>IF(最佳化斷筋點!F36="","",最佳化斷筋點!F36)</f>
        <v/>
      </c>
      <c r="AF36" s="37" t="str">
        <f>IF(最佳化斷筋點!G36="","",最佳化斷筋點!G36)</f>
        <v/>
      </c>
      <c r="AG36" s="37" t="str">
        <f>IF(最佳化斷筋點!H36="","",最佳化斷筋點!H36)</f>
        <v/>
      </c>
      <c r="AH36" s="37" t="str">
        <f>IF(最佳化斷筋點!I36="","",最佳化斷筋點!I36)</f>
        <v/>
      </c>
      <c r="AI36" s="37" t="str">
        <f>IF(最佳化斷筋點!J36="","",最佳化斷筋點!J36)</f>
        <v/>
      </c>
      <c r="AJ36" s="37" t="str">
        <f>IF(最佳化斷筋點!K36="","",最佳化斷筋點!K36)</f>
        <v/>
      </c>
      <c r="AK36" s="37" t="str">
        <f>IF(最佳化斷筋點!L36="","",最佳化斷筋點!L36)</f>
        <v/>
      </c>
      <c r="AL36" s="37" t="str">
        <f>IF(最佳化斷筋點!M36="","",最佳化斷筋點!M36)</f>
        <v/>
      </c>
      <c r="AM36" s="37" t="str">
        <f>IF(最佳化斷筋點!N36="","",最佳化斷筋點!N36)</f>
        <v/>
      </c>
      <c r="AN36" s="37" t="str">
        <f>IF(最佳化斷筋點!O36="","",最佳化斷筋點!O36)</f>
        <v/>
      </c>
      <c r="AO36" s="37" t="str">
        <f>IF(最佳化斷筋點!P36="","",最佳化斷筋點!P36)</f>
        <v/>
      </c>
      <c r="AP36" s="37" t="str">
        <f>IF(最佳化斷筋點!Q36="","",最佳化斷筋點!Q36)</f>
        <v/>
      </c>
      <c r="AQ36" s="37" t="str">
        <f>IF(最佳化斷筋點!R36="","",最佳化斷筋點!R36)</f>
        <v/>
      </c>
      <c r="AR36" s="37" t="str">
        <f>IF(最佳化斷筋點!S36="","",最佳化斷筋點!S36)</f>
        <v/>
      </c>
      <c r="AS36" s="37" t="str">
        <f>IF(最佳化斷筋點!T36="","",最佳化斷筋點!T36)</f>
        <v/>
      </c>
      <c r="AT36" s="37" t="str">
        <f>IF(最佳化斷筋點!U36="","",最佳化斷筋點!U36)</f>
        <v/>
      </c>
      <c r="AU36" s="37" t="str">
        <f>IF(最佳化斷筋點!V36="","",最佳化斷筋點!V36)</f>
        <v/>
      </c>
      <c r="AV36" s="37" t="str">
        <f>IF(最佳化斷筋點!W36="","",最佳化斷筋點!W36)</f>
        <v/>
      </c>
      <c r="AW36" s="37" t="str">
        <f>IF(最佳化斷筋點!X36="","",最佳化斷筋點!X36)</f>
        <v/>
      </c>
      <c r="AZ36" s="37" t="s">
        <v>197</v>
      </c>
      <c r="BA36" s="37" t="s">
        <v>197</v>
      </c>
      <c r="BB36" s="37" t="s">
        <v>197</v>
      </c>
      <c r="BC36" s="37" t="s">
        <v>197</v>
      </c>
      <c r="BD36" s="37" t="s">
        <v>197</v>
      </c>
      <c r="BE36" s="37" t="s">
        <v>197</v>
      </c>
      <c r="BF36" s="37" t="s">
        <v>197</v>
      </c>
      <c r="BG36" s="37" t="s">
        <v>197</v>
      </c>
      <c r="BH36" s="37" t="s">
        <v>197</v>
      </c>
      <c r="BI36" s="37" t="s">
        <v>197</v>
      </c>
      <c r="BJ36" s="37" t="s">
        <v>197</v>
      </c>
      <c r="BK36" s="37" t="s">
        <v>197</v>
      </c>
      <c r="BL36" s="37" t="s">
        <v>197</v>
      </c>
      <c r="BM36" s="37" t="s">
        <v>197</v>
      </c>
      <c r="BN36" s="37" t="s">
        <v>197</v>
      </c>
      <c r="BO36" s="37" t="s">
        <v>197</v>
      </c>
      <c r="BP36" s="37" t="s">
        <v>197</v>
      </c>
      <c r="BQ36" s="37" t="s">
        <v>197</v>
      </c>
      <c r="BR36" s="37" t="s">
        <v>197</v>
      </c>
      <c r="BS36" s="37" t="s">
        <v>197</v>
      </c>
      <c r="BT36" s="37" t="s">
        <v>197</v>
      </c>
    </row>
    <row r="37" spans="5:72" x14ac:dyDescent="0.25">
      <c r="E37" s="6" t="s">
        <v>21</v>
      </c>
      <c r="F37" s="6">
        <f t="shared" si="1"/>
        <v>0</v>
      </c>
      <c r="G37" s="6">
        <f t="shared" si="2"/>
        <v>0</v>
      </c>
      <c r="H37" s="6">
        <f t="shared" si="3"/>
        <v>0</v>
      </c>
      <c r="I37" s="6">
        <f t="shared" si="4"/>
        <v>0</v>
      </c>
      <c r="J37" s="6">
        <f t="shared" si="5"/>
        <v>0</v>
      </c>
      <c r="K37" s="6">
        <f t="shared" si="6"/>
        <v>0</v>
      </c>
      <c r="L37" s="6">
        <f t="shared" si="7"/>
        <v>0</v>
      </c>
      <c r="M37" s="6">
        <f t="shared" si="8"/>
        <v>0</v>
      </c>
      <c r="N37" s="6">
        <f t="shared" si="9"/>
        <v>0</v>
      </c>
      <c r="O37" s="6">
        <f t="shared" si="10"/>
        <v>0</v>
      </c>
      <c r="P37" s="6">
        <f t="shared" si="11"/>
        <v>0</v>
      </c>
      <c r="Q37" s="6">
        <f t="shared" si="12"/>
        <v>0</v>
      </c>
      <c r="R37" s="6">
        <f t="shared" si="13"/>
        <v>0</v>
      </c>
      <c r="S37" s="6">
        <f t="shared" si="14"/>
        <v>0</v>
      </c>
      <c r="T37" s="6">
        <f t="shared" si="15"/>
        <v>0</v>
      </c>
      <c r="U37" s="6">
        <f t="shared" si="16"/>
        <v>0</v>
      </c>
      <c r="V37" s="6">
        <f t="shared" si="17"/>
        <v>0</v>
      </c>
      <c r="W37" s="6">
        <f t="shared" si="18"/>
        <v>0</v>
      </c>
      <c r="X37" s="6">
        <f t="shared" si="19"/>
        <v>0</v>
      </c>
      <c r="Y37" s="6">
        <f t="shared" si="20"/>
        <v>0</v>
      </c>
      <c r="Z37" s="6">
        <f t="shared" si="21"/>
        <v>0</v>
      </c>
      <c r="AB37" s="36" t="str">
        <f>IF(最佳化斷筋點!C37="","",最佳化斷筋點!C37)</f>
        <v>下層</v>
      </c>
      <c r="AC37" s="37">
        <f>IF(最佳化斷筋點!D37="","",最佳化斷筋點!D37)</f>
        <v>2</v>
      </c>
      <c r="AD37" s="37">
        <f>IF(最佳化斷筋點!E37="","",最佳化斷筋點!E37)</f>
        <v>2</v>
      </c>
      <c r="AE37" s="37">
        <f>IF(最佳化斷筋點!F37="","",最佳化斷筋點!F37)</f>
        <v>2</v>
      </c>
      <c r="AF37" s="37">
        <f>IF(最佳化斷筋點!G37="","",最佳化斷筋點!G37)</f>
        <v>2</v>
      </c>
      <c r="AG37" s="37">
        <f>IF(最佳化斷筋點!H37="","",最佳化斷筋點!H37)</f>
        <v>2</v>
      </c>
      <c r="AH37" s="37">
        <f>IF(最佳化斷筋點!I37="","",最佳化斷筋點!I37)</f>
        <v>2</v>
      </c>
      <c r="AI37" s="37">
        <f>IF(最佳化斷筋點!J37="","",最佳化斷筋點!J37)</f>
        <v>2</v>
      </c>
      <c r="AJ37" s="37">
        <f>IF(最佳化斷筋點!K37="","",最佳化斷筋點!K37)</f>
        <v>2</v>
      </c>
      <c r="AK37" s="37">
        <f>IF(最佳化斷筋點!L37="","",最佳化斷筋點!L37)</f>
        <v>2</v>
      </c>
      <c r="AL37" s="37">
        <f>IF(最佳化斷筋點!M37="","",最佳化斷筋點!M37)</f>
        <v>2</v>
      </c>
      <c r="AM37" s="37">
        <f>IF(最佳化斷筋點!N37="","",最佳化斷筋點!N37)</f>
        <v>2</v>
      </c>
      <c r="AN37" s="37">
        <f>IF(最佳化斷筋點!O37="","",最佳化斷筋點!O37)</f>
        <v>2</v>
      </c>
      <c r="AO37" s="37">
        <f>IF(最佳化斷筋點!P37="","",最佳化斷筋點!P37)</f>
        <v>2</v>
      </c>
      <c r="AP37" s="37">
        <f>IF(最佳化斷筋點!Q37="","",最佳化斷筋點!Q37)</f>
        <v>2</v>
      </c>
      <c r="AQ37" s="37">
        <f>IF(最佳化斷筋點!R37="","",最佳化斷筋點!R37)</f>
        <v>2</v>
      </c>
      <c r="AR37" s="37">
        <f>IF(最佳化斷筋點!S37="","",最佳化斷筋點!S37)</f>
        <v>2</v>
      </c>
      <c r="AS37" s="37">
        <f>IF(最佳化斷筋點!T37="","",最佳化斷筋點!T37)</f>
        <v>2</v>
      </c>
      <c r="AT37" s="37">
        <f>IF(最佳化斷筋點!U37="","",最佳化斷筋點!U37)</f>
        <v>2</v>
      </c>
      <c r="AU37" s="37">
        <f>IF(最佳化斷筋點!V37="","",最佳化斷筋點!V37)</f>
        <v>2</v>
      </c>
      <c r="AV37" s="37">
        <f>IF(最佳化斷筋點!W37="","",最佳化斷筋點!W37)</f>
        <v>2</v>
      </c>
      <c r="AW37" s="37">
        <f>IF(最佳化斷筋點!X37="","",最佳化斷筋點!X37)</f>
        <v>2</v>
      </c>
      <c r="AY37" s="6" t="s">
        <v>21</v>
      </c>
      <c r="AZ37" s="37">
        <v>2</v>
      </c>
      <c r="BA37" s="37">
        <v>2</v>
      </c>
      <c r="BB37" s="37">
        <v>2</v>
      </c>
      <c r="BC37" s="37">
        <v>2</v>
      </c>
      <c r="BD37" s="37">
        <v>2</v>
      </c>
      <c r="BE37" s="37">
        <v>2</v>
      </c>
      <c r="BF37" s="37">
        <v>2</v>
      </c>
      <c r="BG37" s="37">
        <v>2</v>
      </c>
      <c r="BH37" s="37">
        <v>2</v>
      </c>
      <c r="BI37" s="37">
        <v>2</v>
      </c>
      <c r="BJ37" s="37">
        <v>2</v>
      </c>
      <c r="BK37" s="37">
        <v>2</v>
      </c>
      <c r="BL37" s="37">
        <v>2</v>
      </c>
      <c r="BM37" s="37">
        <v>2</v>
      </c>
      <c r="BN37" s="37">
        <v>2</v>
      </c>
      <c r="BO37" s="37">
        <v>2</v>
      </c>
      <c r="BP37" s="37">
        <v>2</v>
      </c>
      <c r="BQ37" s="37">
        <v>2</v>
      </c>
      <c r="BR37" s="37">
        <v>2</v>
      </c>
      <c r="BS37" s="37">
        <v>2</v>
      </c>
      <c r="BT37" s="37">
        <v>2</v>
      </c>
    </row>
    <row r="38" spans="5:72" x14ac:dyDescent="0.25">
      <c r="F38" s="6">
        <f t="shared" si="1"/>
        <v>0</v>
      </c>
      <c r="G38" s="6">
        <f t="shared" si="2"/>
        <v>0</v>
      </c>
      <c r="H38" s="6">
        <f t="shared" si="3"/>
        <v>0</v>
      </c>
      <c r="I38" s="6">
        <f t="shared" si="4"/>
        <v>0</v>
      </c>
      <c r="J38" s="6">
        <f t="shared" si="5"/>
        <v>0</v>
      </c>
      <c r="K38" s="6">
        <f t="shared" si="6"/>
        <v>0</v>
      </c>
      <c r="L38" s="6">
        <f t="shared" si="7"/>
        <v>0</v>
      </c>
      <c r="M38" s="6">
        <f t="shared" si="8"/>
        <v>0</v>
      </c>
      <c r="N38" s="6">
        <f t="shared" si="9"/>
        <v>0</v>
      </c>
      <c r="O38" s="6">
        <f t="shared" si="10"/>
        <v>0</v>
      </c>
      <c r="P38" s="6">
        <f t="shared" si="11"/>
        <v>0</v>
      </c>
      <c r="Q38" s="6">
        <f t="shared" si="12"/>
        <v>0</v>
      </c>
      <c r="R38" s="6">
        <f t="shared" si="13"/>
        <v>0</v>
      </c>
      <c r="S38" s="6">
        <f t="shared" si="14"/>
        <v>0</v>
      </c>
      <c r="T38" s="6">
        <f t="shared" si="15"/>
        <v>0</v>
      </c>
      <c r="U38" s="6">
        <f t="shared" si="16"/>
        <v>0</v>
      </c>
      <c r="V38" s="6">
        <f t="shared" si="17"/>
        <v>0</v>
      </c>
      <c r="W38" s="6">
        <f t="shared" si="18"/>
        <v>0</v>
      </c>
      <c r="X38" s="6">
        <f t="shared" si="19"/>
        <v>0</v>
      </c>
      <c r="Y38" s="6">
        <f t="shared" si="20"/>
        <v>0</v>
      </c>
      <c r="Z38" s="6">
        <f t="shared" si="21"/>
        <v>0</v>
      </c>
      <c r="AB38" s="36" t="str">
        <f>IF(最佳化斷筋點!C38="","",最佳化斷筋點!C38)</f>
        <v/>
      </c>
      <c r="AC38" s="37" t="str">
        <f>IF(最佳化斷筋點!D38="","",最佳化斷筋點!D38)</f>
        <v/>
      </c>
      <c r="AD38" s="37" t="str">
        <f>IF(最佳化斷筋點!E38="","",最佳化斷筋點!E38)</f>
        <v/>
      </c>
      <c r="AE38" s="37" t="str">
        <f>IF(最佳化斷筋點!F38="","",最佳化斷筋點!F38)</f>
        <v/>
      </c>
      <c r="AF38" s="37" t="str">
        <f>IF(最佳化斷筋點!G38="","",最佳化斷筋點!G38)</f>
        <v/>
      </c>
      <c r="AG38" s="37" t="str">
        <f>IF(最佳化斷筋點!H38="","",最佳化斷筋點!H38)</f>
        <v/>
      </c>
      <c r="AH38" s="37" t="str">
        <f>IF(最佳化斷筋點!I38="","",最佳化斷筋點!I38)</f>
        <v/>
      </c>
      <c r="AI38" s="37" t="str">
        <f>IF(最佳化斷筋點!J38="","",最佳化斷筋點!J38)</f>
        <v/>
      </c>
      <c r="AJ38" s="37" t="str">
        <f>IF(最佳化斷筋點!K38="","",最佳化斷筋點!K38)</f>
        <v/>
      </c>
      <c r="AK38" s="37" t="str">
        <f>IF(最佳化斷筋點!L38="","",最佳化斷筋點!L38)</f>
        <v/>
      </c>
      <c r="AL38" s="37" t="str">
        <f>IF(最佳化斷筋點!M38="","",最佳化斷筋點!M38)</f>
        <v/>
      </c>
      <c r="AM38" s="37" t="str">
        <f>IF(最佳化斷筋點!N38="","",最佳化斷筋點!N38)</f>
        <v/>
      </c>
      <c r="AN38" s="37" t="str">
        <f>IF(最佳化斷筋點!O38="","",最佳化斷筋點!O38)</f>
        <v/>
      </c>
      <c r="AO38" s="37" t="str">
        <f>IF(最佳化斷筋點!P38="","",最佳化斷筋點!P38)</f>
        <v/>
      </c>
      <c r="AP38" s="37" t="str">
        <f>IF(最佳化斷筋點!Q38="","",最佳化斷筋點!Q38)</f>
        <v/>
      </c>
      <c r="AQ38" s="37" t="str">
        <f>IF(最佳化斷筋點!R38="","",最佳化斷筋點!R38)</f>
        <v/>
      </c>
      <c r="AR38" s="37" t="str">
        <f>IF(最佳化斷筋點!S38="","",最佳化斷筋點!S38)</f>
        <v/>
      </c>
      <c r="AS38" s="37" t="str">
        <f>IF(最佳化斷筋點!T38="","",最佳化斷筋點!T38)</f>
        <v/>
      </c>
      <c r="AT38" s="37" t="str">
        <f>IF(最佳化斷筋點!U38="","",最佳化斷筋點!U38)</f>
        <v/>
      </c>
      <c r="AU38" s="37" t="str">
        <f>IF(最佳化斷筋點!V38="","",最佳化斷筋點!V38)</f>
        <v/>
      </c>
      <c r="AV38" s="37" t="str">
        <f>IF(最佳化斷筋點!W38="","",最佳化斷筋點!W38)</f>
        <v/>
      </c>
      <c r="AW38" s="37" t="str">
        <f>IF(最佳化斷筋點!X38="","",最佳化斷筋點!X38)</f>
        <v/>
      </c>
      <c r="AZ38" s="37" t="s">
        <v>197</v>
      </c>
      <c r="BA38" s="37" t="s">
        <v>197</v>
      </c>
      <c r="BB38" s="37" t="s">
        <v>197</v>
      </c>
      <c r="BC38" s="37" t="s">
        <v>197</v>
      </c>
      <c r="BD38" s="37" t="s">
        <v>197</v>
      </c>
      <c r="BE38" s="37" t="s">
        <v>197</v>
      </c>
      <c r="BF38" s="37" t="s">
        <v>197</v>
      </c>
      <c r="BG38" s="37" t="s">
        <v>197</v>
      </c>
      <c r="BH38" s="37" t="s">
        <v>197</v>
      </c>
      <c r="BI38" s="37" t="s">
        <v>197</v>
      </c>
      <c r="BJ38" s="37" t="s">
        <v>197</v>
      </c>
      <c r="BK38" s="37" t="s">
        <v>197</v>
      </c>
      <c r="BL38" s="37" t="s">
        <v>197</v>
      </c>
      <c r="BM38" s="37" t="s">
        <v>197</v>
      </c>
      <c r="BN38" s="37" t="s">
        <v>197</v>
      </c>
      <c r="BO38" s="37" t="s">
        <v>197</v>
      </c>
      <c r="BP38" s="37" t="s">
        <v>197</v>
      </c>
      <c r="BQ38" s="37" t="s">
        <v>197</v>
      </c>
      <c r="BR38" s="37" t="s">
        <v>197</v>
      </c>
      <c r="BS38" s="37" t="s">
        <v>197</v>
      </c>
      <c r="BT38" s="37" t="s">
        <v>197</v>
      </c>
    </row>
    <row r="39" spans="5:72" x14ac:dyDescent="0.25">
      <c r="E39" s="6" t="s">
        <v>20</v>
      </c>
      <c r="F39" s="6">
        <f t="shared" si="1"/>
        <v>0</v>
      </c>
      <c r="G39" s="6">
        <f t="shared" si="2"/>
        <v>0</v>
      </c>
      <c r="H39" s="6">
        <f t="shared" si="3"/>
        <v>0</v>
      </c>
      <c r="I39" s="6">
        <f t="shared" si="4"/>
        <v>0</v>
      </c>
      <c r="J39" s="6">
        <f t="shared" si="5"/>
        <v>0</v>
      </c>
      <c r="K39" s="6">
        <f t="shared" si="6"/>
        <v>0</v>
      </c>
      <c r="L39" s="6">
        <f t="shared" si="7"/>
        <v>0</v>
      </c>
      <c r="M39" s="6">
        <f t="shared" si="8"/>
        <v>0</v>
      </c>
      <c r="N39" s="6">
        <f t="shared" si="9"/>
        <v>0</v>
      </c>
      <c r="O39" s="6">
        <f t="shared" si="10"/>
        <v>0</v>
      </c>
      <c r="P39" s="6">
        <f t="shared" si="11"/>
        <v>0</v>
      </c>
      <c r="Q39" s="6">
        <f t="shared" si="12"/>
        <v>0</v>
      </c>
      <c r="R39" s="6">
        <f t="shared" si="13"/>
        <v>0</v>
      </c>
      <c r="S39" s="6">
        <f t="shared" si="14"/>
        <v>0</v>
      </c>
      <c r="T39" s="6">
        <f t="shared" si="15"/>
        <v>0</v>
      </c>
      <c r="U39" s="6">
        <f t="shared" si="16"/>
        <v>0</v>
      </c>
      <c r="V39" s="6">
        <f t="shared" si="17"/>
        <v>0</v>
      </c>
      <c r="W39" s="6">
        <f t="shared" si="18"/>
        <v>0</v>
      </c>
      <c r="X39" s="6">
        <f t="shared" si="19"/>
        <v>0</v>
      </c>
      <c r="Y39" s="6">
        <f t="shared" si="20"/>
        <v>0</v>
      </c>
      <c r="Z39" s="6">
        <f t="shared" si="21"/>
        <v>0</v>
      </c>
      <c r="AB39" s="36" t="str">
        <f>IF(最佳化斷筋點!C39="","",最佳化斷筋點!C39)</f>
        <v>上層</v>
      </c>
      <c r="AC39" s="37">
        <f>IF(最佳化斷筋點!D39="","",最佳化斷筋點!D39)</f>
        <v>6</v>
      </c>
      <c r="AD39" s="37">
        <f>IF(最佳化斷筋點!E39="","",最佳化斷筋點!E39)</f>
        <v>6</v>
      </c>
      <c r="AE39" s="37">
        <f>IF(最佳化斷筋點!F39="","",最佳化斷筋點!F39)</f>
        <v>6</v>
      </c>
      <c r="AF39" s="37">
        <f>IF(最佳化斷筋點!G39="","",最佳化斷筋點!G39)</f>
        <v>6</v>
      </c>
      <c r="AG39" s="37">
        <f>IF(最佳化斷筋點!H39="","",最佳化斷筋點!H39)</f>
        <v>6</v>
      </c>
      <c r="AH39" s="37">
        <f>IF(最佳化斷筋點!I39="","",最佳化斷筋點!I39)</f>
        <v>6</v>
      </c>
      <c r="AI39" s="37">
        <f>IF(最佳化斷筋點!J39="","",最佳化斷筋點!J39)</f>
        <v>5</v>
      </c>
      <c r="AJ39" s="37">
        <f>IF(最佳化斷筋點!K39="","",最佳化斷筋點!K39)</f>
        <v>2</v>
      </c>
      <c r="AK39" s="37">
        <f>IF(最佳化斷筋點!L39="","",最佳化斷筋點!L39)</f>
        <v>2</v>
      </c>
      <c r="AL39" s="37">
        <f>IF(最佳化斷筋點!M39="","",最佳化斷筋點!M39)</f>
        <v>2</v>
      </c>
      <c r="AM39" s="37">
        <f>IF(最佳化斷筋點!N39="","",最佳化斷筋點!N39)</f>
        <v>2</v>
      </c>
      <c r="AN39" s="37">
        <f>IF(最佳化斷筋點!O39="","",最佳化斷筋點!O39)</f>
        <v>2</v>
      </c>
      <c r="AO39" s="37">
        <f>IF(最佳化斷筋點!P39="","",最佳化斷筋點!P39)</f>
        <v>2</v>
      </c>
      <c r="AP39" s="37">
        <f>IF(最佳化斷筋點!Q39="","",最佳化斷筋點!Q39)</f>
        <v>2</v>
      </c>
      <c r="AQ39" s="37">
        <f>IF(最佳化斷筋點!R39="","",最佳化斷筋點!R39)</f>
        <v>2</v>
      </c>
      <c r="AR39" s="37">
        <f>IF(最佳化斷筋點!S39="","",最佳化斷筋點!S39)</f>
        <v>2</v>
      </c>
      <c r="AS39" s="37">
        <f>IF(最佳化斷筋點!T39="","",最佳化斷筋點!T39)</f>
        <v>2</v>
      </c>
      <c r="AT39" s="37">
        <f>IF(最佳化斷筋點!U39="","",最佳化斷筋點!U39)</f>
        <v>2</v>
      </c>
      <c r="AU39" s="37">
        <f>IF(最佳化斷筋點!V39="","",最佳化斷筋點!V39)</f>
        <v>2</v>
      </c>
      <c r="AV39" s="37">
        <f>IF(最佳化斷筋點!W39="","",最佳化斷筋點!W39)</f>
        <v>2</v>
      </c>
      <c r="AW39" s="37">
        <f>IF(最佳化斷筋點!X39="","",最佳化斷筋點!X39)</f>
        <v>2</v>
      </c>
      <c r="AY39" s="6" t="s">
        <v>20</v>
      </c>
      <c r="AZ39" s="37">
        <v>6</v>
      </c>
      <c r="BA39" s="37">
        <v>6</v>
      </c>
      <c r="BB39" s="37">
        <v>6</v>
      </c>
      <c r="BC39" s="37">
        <v>6</v>
      </c>
      <c r="BD39" s="37">
        <v>6</v>
      </c>
      <c r="BE39" s="37">
        <v>6</v>
      </c>
      <c r="BF39" s="37">
        <v>5</v>
      </c>
      <c r="BG39" s="37">
        <v>2</v>
      </c>
      <c r="BH39" s="37">
        <v>2</v>
      </c>
      <c r="BI39" s="37">
        <v>2</v>
      </c>
      <c r="BJ39" s="37">
        <v>2</v>
      </c>
      <c r="BK39" s="37">
        <v>2</v>
      </c>
      <c r="BL39" s="37">
        <v>2</v>
      </c>
      <c r="BM39" s="37">
        <v>2</v>
      </c>
      <c r="BN39" s="37">
        <v>2</v>
      </c>
      <c r="BO39" s="37">
        <v>2</v>
      </c>
      <c r="BP39" s="37">
        <v>2</v>
      </c>
      <c r="BQ39" s="37">
        <v>2</v>
      </c>
      <c r="BR39" s="37">
        <v>2</v>
      </c>
      <c r="BS39" s="37">
        <v>2</v>
      </c>
      <c r="BT39" s="37">
        <v>2</v>
      </c>
    </row>
    <row r="40" spans="5:72" x14ac:dyDescent="0.25">
      <c r="F40" s="6">
        <f t="shared" si="1"/>
        <v>0</v>
      </c>
      <c r="G40" s="6">
        <f t="shared" si="2"/>
        <v>0</v>
      </c>
      <c r="H40" s="6">
        <f t="shared" si="3"/>
        <v>0</v>
      </c>
      <c r="I40" s="6">
        <f t="shared" si="4"/>
        <v>0</v>
      </c>
      <c r="J40" s="6">
        <f t="shared" si="5"/>
        <v>0</v>
      </c>
      <c r="K40" s="6">
        <f t="shared" si="6"/>
        <v>0</v>
      </c>
      <c r="L40" s="6">
        <f t="shared" si="7"/>
        <v>0</v>
      </c>
      <c r="M40" s="6">
        <f t="shared" si="8"/>
        <v>0</v>
      </c>
      <c r="N40" s="6">
        <f t="shared" si="9"/>
        <v>0</v>
      </c>
      <c r="O40" s="6">
        <f t="shared" si="10"/>
        <v>0</v>
      </c>
      <c r="P40" s="6">
        <f t="shared" si="11"/>
        <v>0</v>
      </c>
      <c r="Q40" s="6">
        <f t="shared" si="12"/>
        <v>0</v>
      </c>
      <c r="R40" s="6">
        <f t="shared" si="13"/>
        <v>0</v>
      </c>
      <c r="S40" s="6">
        <f t="shared" si="14"/>
        <v>0</v>
      </c>
      <c r="T40" s="6">
        <f t="shared" si="15"/>
        <v>0</v>
      </c>
      <c r="U40" s="6">
        <f t="shared" si="16"/>
        <v>0</v>
      </c>
      <c r="V40" s="6">
        <f t="shared" si="17"/>
        <v>0</v>
      </c>
      <c r="W40" s="6">
        <f t="shared" si="18"/>
        <v>0</v>
      </c>
      <c r="X40" s="6">
        <f t="shared" si="19"/>
        <v>0</v>
      </c>
      <c r="Y40" s="6">
        <f t="shared" si="20"/>
        <v>0</v>
      </c>
      <c r="Z40" s="6">
        <f t="shared" si="21"/>
        <v>0</v>
      </c>
      <c r="AB40" s="36" t="str">
        <f>IF(最佳化斷筋點!C40="","",最佳化斷筋點!C40)</f>
        <v/>
      </c>
      <c r="AC40" s="37" t="str">
        <f>IF(最佳化斷筋點!D40="","",最佳化斷筋點!D40)</f>
        <v/>
      </c>
      <c r="AD40" s="37" t="str">
        <f>IF(最佳化斷筋點!E40="","",最佳化斷筋點!E40)</f>
        <v/>
      </c>
      <c r="AE40" s="37" t="str">
        <f>IF(最佳化斷筋點!F40="","",最佳化斷筋點!F40)</f>
        <v/>
      </c>
      <c r="AF40" s="37" t="str">
        <f>IF(最佳化斷筋點!G40="","",最佳化斷筋點!G40)</f>
        <v/>
      </c>
      <c r="AG40" s="37" t="str">
        <f>IF(最佳化斷筋點!H40="","",最佳化斷筋點!H40)</f>
        <v/>
      </c>
      <c r="AH40" s="37" t="str">
        <f>IF(最佳化斷筋點!I40="","",最佳化斷筋點!I40)</f>
        <v/>
      </c>
      <c r="AI40" s="37" t="str">
        <f>IF(最佳化斷筋點!J40="","",最佳化斷筋點!J40)</f>
        <v/>
      </c>
      <c r="AJ40" s="37" t="str">
        <f>IF(最佳化斷筋點!K40="","",最佳化斷筋點!K40)</f>
        <v/>
      </c>
      <c r="AK40" s="37" t="str">
        <f>IF(最佳化斷筋點!L40="","",最佳化斷筋點!L40)</f>
        <v/>
      </c>
      <c r="AL40" s="37" t="str">
        <f>IF(最佳化斷筋點!M40="","",最佳化斷筋點!M40)</f>
        <v/>
      </c>
      <c r="AM40" s="37" t="str">
        <f>IF(最佳化斷筋點!N40="","",最佳化斷筋點!N40)</f>
        <v/>
      </c>
      <c r="AN40" s="37" t="str">
        <f>IF(最佳化斷筋點!O40="","",最佳化斷筋點!O40)</f>
        <v/>
      </c>
      <c r="AO40" s="37" t="str">
        <f>IF(最佳化斷筋點!P40="","",最佳化斷筋點!P40)</f>
        <v/>
      </c>
      <c r="AP40" s="37" t="str">
        <f>IF(最佳化斷筋點!Q40="","",最佳化斷筋點!Q40)</f>
        <v/>
      </c>
      <c r="AQ40" s="37" t="str">
        <f>IF(最佳化斷筋點!R40="","",最佳化斷筋點!R40)</f>
        <v/>
      </c>
      <c r="AR40" s="37" t="str">
        <f>IF(最佳化斷筋點!S40="","",最佳化斷筋點!S40)</f>
        <v/>
      </c>
      <c r="AS40" s="37" t="str">
        <f>IF(最佳化斷筋點!T40="","",最佳化斷筋點!T40)</f>
        <v/>
      </c>
      <c r="AT40" s="37" t="str">
        <f>IF(最佳化斷筋點!U40="","",最佳化斷筋點!U40)</f>
        <v/>
      </c>
      <c r="AU40" s="37" t="str">
        <f>IF(最佳化斷筋點!V40="","",最佳化斷筋點!V40)</f>
        <v/>
      </c>
      <c r="AV40" s="37" t="str">
        <f>IF(最佳化斷筋點!W40="","",最佳化斷筋點!W40)</f>
        <v/>
      </c>
      <c r="AW40" s="37" t="str">
        <f>IF(最佳化斷筋點!X40="","",最佳化斷筋點!X40)</f>
        <v/>
      </c>
      <c r="AZ40" s="37" t="s">
        <v>197</v>
      </c>
      <c r="BA40" s="37" t="s">
        <v>197</v>
      </c>
      <c r="BB40" s="37" t="s">
        <v>197</v>
      </c>
      <c r="BC40" s="37" t="s">
        <v>197</v>
      </c>
      <c r="BD40" s="37" t="s">
        <v>197</v>
      </c>
      <c r="BE40" s="37" t="s">
        <v>197</v>
      </c>
      <c r="BF40" s="37" t="s">
        <v>197</v>
      </c>
      <c r="BG40" s="37" t="s">
        <v>197</v>
      </c>
      <c r="BH40" s="37" t="s">
        <v>197</v>
      </c>
      <c r="BI40" s="37" t="s">
        <v>197</v>
      </c>
      <c r="BJ40" s="37" t="s">
        <v>197</v>
      </c>
      <c r="BK40" s="37" t="s">
        <v>197</v>
      </c>
      <c r="BL40" s="37" t="s">
        <v>197</v>
      </c>
      <c r="BM40" s="37" t="s">
        <v>197</v>
      </c>
      <c r="BN40" s="37" t="s">
        <v>197</v>
      </c>
      <c r="BO40" s="37" t="s">
        <v>197</v>
      </c>
      <c r="BP40" s="37" t="s">
        <v>197</v>
      </c>
      <c r="BQ40" s="37" t="s">
        <v>197</v>
      </c>
      <c r="BR40" s="37" t="s">
        <v>197</v>
      </c>
      <c r="BS40" s="37" t="s">
        <v>197</v>
      </c>
      <c r="BT40" s="37" t="s">
        <v>197</v>
      </c>
    </row>
    <row r="41" spans="5:72" x14ac:dyDescent="0.25">
      <c r="E41" s="6" t="s">
        <v>21</v>
      </c>
      <c r="F41" s="6">
        <f t="shared" si="1"/>
        <v>0</v>
      </c>
      <c r="G41" s="6">
        <f t="shared" si="2"/>
        <v>0</v>
      </c>
      <c r="H41" s="6">
        <f t="shared" si="3"/>
        <v>0</v>
      </c>
      <c r="I41" s="6">
        <f t="shared" si="4"/>
        <v>0</v>
      </c>
      <c r="J41" s="6">
        <f t="shared" si="5"/>
        <v>0</v>
      </c>
      <c r="K41" s="6">
        <f t="shared" si="6"/>
        <v>0</v>
      </c>
      <c r="L41" s="6">
        <f t="shared" si="7"/>
        <v>0</v>
      </c>
      <c r="M41" s="6">
        <f t="shared" si="8"/>
        <v>0</v>
      </c>
      <c r="N41" s="6">
        <f t="shared" si="9"/>
        <v>0</v>
      </c>
      <c r="O41" s="6">
        <f t="shared" si="10"/>
        <v>0</v>
      </c>
      <c r="P41" s="6">
        <f t="shared" si="11"/>
        <v>0</v>
      </c>
      <c r="Q41" s="6">
        <f t="shared" si="12"/>
        <v>0</v>
      </c>
      <c r="R41" s="6">
        <f t="shared" si="13"/>
        <v>0</v>
      </c>
      <c r="S41" s="6">
        <f t="shared" si="14"/>
        <v>0</v>
      </c>
      <c r="T41" s="6">
        <f t="shared" si="15"/>
        <v>0</v>
      </c>
      <c r="U41" s="6">
        <f t="shared" si="16"/>
        <v>0</v>
      </c>
      <c r="V41" s="6">
        <f t="shared" si="17"/>
        <v>0</v>
      </c>
      <c r="W41" s="6">
        <f t="shared" si="18"/>
        <v>0</v>
      </c>
      <c r="X41" s="6">
        <f t="shared" si="19"/>
        <v>0</v>
      </c>
      <c r="Y41" s="6">
        <f t="shared" si="20"/>
        <v>0</v>
      </c>
      <c r="Z41" s="6">
        <f t="shared" si="21"/>
        <v>0</v>
      </c>
      <c r="AB41" s="36" t="str">
        <f>IF(最佳化斷筋點!C41="","",最佳化斷筋點!C41)</f>
        <v>下層</v>
      </c>
      <c r="AC41" s="37">
        <f>IF(最佳化斷筋點!D41="","",最佳化斷筋點!D41)</f>
        <v>3</v>
      </c>
      <c r="AD41" s="37">
        <f>IF(最佳化斷筋點!E41="","",最佳化斷筋點!E41)</f>
        <v>3</v>
      </c>
      <c r="AE41" s="37">
        <f>IF(最佳化斷筋點!F41="","",最佳化斷筋點!F41)</f>
        <v>3</v>
      </c>
      <c r="AF41" s="37">
        <f>IF(最佳化斷筋點!G41="","",最佳化斷筋點!G41)</f>
        <v>3</v>
      </c>
      <c r="AG41" s="37">
        <f>IF(最佳化斷筋點!H41="","",最佳化斷筋點!H41)</f>
        <v>3</v>
      </c>
      <c r="AH41" s="37">
        <f>IF(最佳化斷筋點!I41="","",最佳化斷筋點!I41)</f>
        <v>3</v>
      </c>
      <c r="AI41" s="37">
        <f>IF(最佳化斷筋點!J41="","",最佳化斷筋點!J41)</f>
        <v>3</v>
      </c>
      <c r="AJ41" s="37">
        <f>IF(最佳化斷筋點!K41="","",最佳化斷筋點!K41)</f>
        <v>2</v>
      </c>
      <c r="AK41" s="37">
        <f>IF(最佳化斷筋點!L41="","",最佳化斷筋點!L41)</f>
        <v>2</v>
      </c>
      <c r="AL41" s="37">
        <f>IF(最佳化斷筋點!M41="","",最佳化斷筋點!M41)</f>
        <v>2</v>
      </c>
      <c r="AM41" s="37">
        <f>IF(最佳化斷筋點!N41="","",最佳化斷筋點!N41)</f>
        <v>2</v>
      </c>
      <c r="AN41" s="37">
        <f>IF(最佳化斷筋點!O41="","",最佳化斷筋點!O41)</f>
        <v>2</v>
      </c>
      <c r="AO41" s="37">
        <f>IF(最佳化斷筋點!P41="","",最佳化斷筋點!P41)</f>
        <v>2</v>
      </c>
      <c r="AP41" s="37">
        <f>IF(最佳化斷筋點!Q41="","",最佳化斷筋點!Q41)</f>
        <v>3</v>
      </c>
      <c r="AQ41" s="37">
        <f>IF(最佳化斷筋點!R41="","",最佳化斷筋點!R41)</f>
        <v>3</v>
      </c>
      <c r="AR41" s="37">
        <f>IF(最佳化斷筋點!S41="","",最佳化斷筋點!S41)</f>
        <v>3</v>
      </c>
      <c r="AS41" s="37">
        <f>IF(最佳化斷筋點!T41="","",最佳化斷筋點!T41)</f>
        <v>4</v>
      </c>
      <c r="AT41" s="37">
        <f>IF(最佳化斷筋點!U41="","",最佳化斷筋點!U41)</f>
        <v>4</v>
      </c>
      <c r="AU41" s="37">
        <f>IF(最佳化斷筋點!V41="","",最佳化斷筋點!V41)</f>
        <v>4</v>
      </c>
      <c r="AV41" s="37">
        <f>IF(最佳化斷筋點!W41="","",最佳化斷筋點!W41)</f>
        <v>4</v>
      </c>
      <c r="AW41" s="37">
        <f>IF(最佳化斷筋點!X41="","",最佳化斷筋點!X41)</f>
        <v>4</v>
      </c>
      <c r="AY41" s="6" t="s">
        <v>21</v>
      </c>
      <c r="AZ41" s="37">
        <v>3</v>
      </c>
      <c r="BA41" s="37">
        <v>3</v>
      </c>
      <c r="BB41" s="37">
        <v>3</v>
      </c>
      <c r="BC41" s="37">
        <v>3</v>
      </c>
      <c r="BD41" s="37">
        <v>3</v>
      </c>
      <c r="BE41" s="37">
        <v>3</v>
      </c>
      <c r="BF41" s="37">
        <v>3</v>
      </c>
      <c r="BG41" s="37">
        <v>2</v>
      </c>
      <c r="BH41" s="37">
        <v>2</v>
      </c>
      <c r="BI41" s="37">
        <v>2</v>
      </c>
      <c r="BJ41" s="37">
        <v>2</v>
      </c>
      <c r="BK41" s="37">
        <v>2</v>
      </c>
      <c r="BL41" s="37">
        <v>2</v>
      </c>
      <c r="BM41" s="37">
        <v>3</v>
      </c>
      <c r="BN41" s="37">
        <v>3</v>
      </c>
      <c r="BO41" s="37">
        <v>3</v>
      </c>
      <c r="BP41" s="37">
        <v>4</v>
      </c>
      <c r="BQ41" s="37">
        <v>4</v>
      </c>
      <c r="BR41" s="37">
        <v>4</v>
      </c>
      <c r="BS41" s="37">
        <v>4</v>
      </c>
      <c r="BT41" s="37">
        <v>4</v>
      </c>
    </row>
    <row r="42" spans="5:72" x14ac:dyDescent="0.25">
      <c r="F42" s="6">
        <f t="shared" si="1"/>
        <v>0</v>
      </c>
      <c r="G42" s="6">
        <f t="shared" si="2"/>
        <v>0</v>
      </c>
      <c r="H42" s="6">
        <f t="shared" si="3"/>
        <v>0</v>
      </c>
      <c r="I42" s="6">
        <f t="shared" si="4"/>
        <v>0</v>
      </c>
      <c r="J42" s="6">
        <f t="shared" si="5"/>
        <v>0</v>
      </c>
      <c r="K42" s="6">
        <f t="shared" si="6"/>
        <v>0</v>
      </c>
      <c r="L42" s="6">
        <f t="shared" si="7"/>
        <v>0</v>
      </c>
      <c r="M42" s="6">
        <f t="shared" si="8"/>
        <v>0</v>
      </c>
      <c r="N42" s="6">
        <f t="shared" si="9"/>
        <v>0</v>
      </c>
      <c r="O42" s="6">
        <f t="shared" si="10"/>
        <v>0</v>
      </c>
      <c r="P42" s="6">
        <f t="shared" si="11"/>
        <v>0</v>
      </c>
      <c r="Q42" s="6">
        <f t="shared" si="12"/>
        <v>0</v>
      </c>
      <c r="R42" s="6">
        <f t="shared" si="13"/>
        <v>0</v>
      </c>
      <c r="S42" s="6">
        <f t="shared" si="14"/>
        <v>0</v>
      </c>
      <c r="T42" s="6">
        <f t="shared" si="15"/>
        <v>0</v>
      </c>
      <c r="U42" s="6">
        <f t="shared" si="16"/>
        <v>0</v>
      </c>
      <c r="V42" s="6">
        <f t="shared" si="17"/>
        <v>0</v>
      </c>
      <c r="W42" s="6">
        <f t="shared" si="18"/>
        <v>0</v>
      </c>
      <c r="X42" s="6">
        <f t="shared" si="19"/>
        <v>0</v>
      </c>
      <c r="Y42" s="6">
        <f t="shared" si="20"/>
        <v>0</v>
      </c>
      <c r="Z42" s="6">
        <f t="shared" si="21"/>
        <v>0</v>
      </c>
      <c r="AB42" s="36" t="str">
        <f>IF(最佳化斷筋點!C42="","",最佳化斷筋點!C42)</f>
        <v/>
      </c>
      <c r="AC42" s="37" t="str">
        <f>IF(最佳化斷筋點!D42="","",最佳化斷筋點!D42)</f>
        <v/>
      </c>
      <c r="AD42" s="37" t="str">
        <f>IF(最佳化斷筋點!E42="","",最佳化斷筋點!E42)</f>
        <v/>
      </c>
      <c r="AE42" s="37" t="str">
        <f>IF(最佳化斷筋點!F42="","",最佳化斷筋點!F42)</f>
        <v/>
      </c>
      <c r="AF42" s="37" t="str">
        <f>IF(最佳化斷筋點!G42="","",最佳化斷筋點!G42)</f>
        <v/>
      </c>
      <c r="AG42" s="37" t="str">
        <f>IF(最佳化斷筋點!H42="","",最佳化斷筋點!H42)</f>
        <v/>
      </c>
      <c r="AH42" s="37" t="str">
        <f>IF(最佳化斷筋點!I42="","",最佳化斷筋點!I42)</f>
        <v/>
      </c>
      <c r="AI42" s="37" t="str">
        <f>IF(最佳化斷筋點!J42="","",最佳化斷筋點!J42)</f>
        <v/>
      </c>
      <c r="AJ42" s="37" t="str">
        <f>IF(最佳化斷筋點!K42="","",最佳化斷筋點!K42)</f>
        <v/>
      </c>
      <c r="AK42" s="37" t="str">
        <f>IF(最佳化斷筋點!L42="","",最佳化斷筋點!L42)</f>
        <v/>
      </c>
      <c r="AL42" s="37" t="str">
        <f>IF(最佳化斷筋點!M42="","",最佳化斷筋點!M42)</f>
        <v/>
      </c>
      <c r="AM42" s="37" t="str">
        <f>IF(最佳化斷筋點!N42="","",最佳化斷筋點!N42)</f>
        <v/>
      </c>
      <c r="AN42" s="37" t="str">
        <f>IF(最佳化斷筋點!O42="","",最佳化斷筋點!O42)</f>
        <v/>
      </c>
      <c r="AO42" s="37" t="str">
        <f>IF(最佳化斷筋點!P42="","",最佳化斷筋點!P42)</f>
        <v/>
      </c>
      <c r="AP42" s="37" t="str">
        <f>IF(最佳化斷筋點!Q42="","",最佳化斷筋點!Q42)</f>
        <v/>
      </c>
      <c r="AQ42" s="37" t="str">
        <f>IF(最佳化斷筋點!R42="","",最佳化斷筋點!R42)</f>
        <v/>
      </c>
      <c r="AR42" s="37" t="str">
        <f>IF(最佳化斷筋點!S42="","",最佳化斷筋點!S42)</f>
        <v/>
      </c>
      <c r="AS42" s="37" t="str">
        <f>IF(最佳化斷筋點!T42="","",最佳化斷筋點!T42)</f>
        <v/>
      </c>
      <c r="AT42" s="37" t="str">
        <f>IF(最佳化斷筋點!U42="","",最佳化斷筋點!U42)</f>
        <v/>
      </c>
      <c r="AU42" s="37" t="str">
        <f>IF(最佳化斷筋點!V42="","",最佳化斷筋點!V42)</f>
        <v/>
      </c>
      <c r="AV42" s="37" t="str">
        <f>IF(最佳化斷筋點!W42="","",最佳化斷筋點!W42)</f>
        <v/>
      </c>
      <c r="AW42" s="37" t="str">
        <f>IF(最佳化斷筋點!X42="","",最佳化斷筋點!X42)</f>
        <v/>
      </c>
      <c r="AZ42" s="37" t="s">
        <v>197</v>
      </c>
      <c r="BA42" s="37" t="s">
        <v>197</v>
      </c>
      <c r="BB42" s="37" t="s">
        <v>197</v>
      </c>
      <c r="BC42" s="37" t="s">
        <v>197</v>
      </c>
      <c r="BD42" s="37" t="s">
        <v>197</v>
      </c>
      <c r="BE42" s="37" t="s">
        <v>197</v>
      </c>
      <c r="BF42" s="37" t="s">
        <v>197</v>
      </c>
      <c r="BG42" s="37" t="s">
        <v>197</v>
      </c>
      <c r="BH42" s="37" t="s">
        <v>197</v>
      </c>
      <c r="BI42" s="37" t="s">
        <v>197</v>
      </c>
      <c r="BJ42" s="37" t="s">
        <v>197</v>
      </c>
      <c r="BK42" s="37" t="s">
        <v>197</v>
      </c>
      <c r="BL42" s="37" t="s">
        <v>197</v>
      </c>
      <c r="BM42" s="37" t="s">
        <v>197</v>
      </c>
      <c r="BN42" s="37" t="s">
        <v>197</v>
      </c>
      <c r="BO42" s="37" t="s">
        <v>197</v>
      </c>
      <c r="BP42" s="37" t="s">
        <v>197</v>
      </c>
      <c r="BQ42" s="37" t="s">
        <v>197</v>
      </c>
      <c r="BR42" s="37" t="s">
        <v>197</v>
      </c>
      <c r="BS42" s="37" t="s">
        <v>197</v>
      </c>
      <c r="BT42" s="37" t="s">
        <v>197</v>
      </c>
    </row>
    <row r="43" spans="5:72" x14ac:dyDescent="0.25">
      <c r="E43" s="6" t="s">
        <v>20</v>
      </c>
      <c r="F43" s="6">
        <f t="shared" si="1"/>
        <v>0</v>
      </c>
      <c r="G43" s="6">
        <f t="shared" si="2"/>
        <v>0</v>
      </c>
      <c r="H43" s="6">
        <f t="shared" si="3"/>
        <v>0</v>
      </c>
      <c r="I43" s="6">
        <f t="shared" si="4"/>
        <v>0</v>
      </c>
      <c r="J43" s="6">
        <f t="shared" si="5"/>
        <v>0</v>
      </c>
      <c r="K43" s="6">
        <f t="shared" si="6"/>
        <v>0</v>
      </c>
      <c r="L43" s="6">
        <f t="shared" si="7"/>
        <v>0</v>
      </c>
      <c r="M43" s="6">
        <f t="shared" si="8"/>
        <v>0</v>
      </c>
      <c r="N43" s="6">
        <f t="shared" si="9"/>
        <v>0</v>
      </c>
      <c r="O43" s="6">
        <f t="shared" si="10"/>
        <v>0</v>
      </c>
      <c r="P43" s="6">
        <f t="shared" si="11"/>
        <v>0</v>
      </c>
      <c r="Q43" s="6">
        <f t="shared" si="12"/>
        <v>0</v>
      </c>
      <c r="R43" s="6">
        <f t="shared" si="13"/>
        <v>0</v>
      </c>
      <c r="S43" s="6">
        <f t="shared" si="14"/>
        <v>0</v>
      </c>
      <c r="T43" s="6">
        <f t="shared" si="15"/>
        <v>0</v>
      </c>
      <c r="U43" s="6">
        <f t="shared" si="16"/>
        <v>0</v>
      </c>
      <c r="V43" s="6">
        <f t="shared" si="17"/>
        <v>0</v>
      </c>
      <c r="W43" s="6">
        <f t="shared" si="18"/>
        <v>0</v>
      </c>
      <c r="X43" s="6">
        <f t="shared" si="19"/>
        <v>0</v>
      </c>
      <c r="Y43" s="6">
        <f t="shared" si="20"/>
        <v>0</v>
      </c>
      <c r="Z43" s="6">
        <f t="shared" si="21"/>
        <v>0</v>
      </c>
      <c r="AB43" s="36" t="str">
        <f>IF(最佳化斷筋點!C43="","",最佳化斷筋點!C43)</f>
        <v>上層</v>
      </c>
      <c r="AC43" s="37">
        <f>IF(最佳化斷筋點!D43="","",最佳化斷筋點!D43)</f>
        <v>3</v>
      </c>
      <c r="AD43" s="37">
        <f>IF(最佳化斷筋點!E43="","",最佳化斷筋點!E43)</f>
        <v>3</v>
      </c>
      <c r="AE43" s="37">
        <f>IF(最佳化斷筋點!F43="","",最佳化斷筋點!F43)</f>
        <v>3</v>
      </c>
      <c r="AF43" s="37">
        <f>IF(最佳化斷筋點!G43="","",最佳化斷筋點!G43)</f>
        <v>3</v>
      </c>
      <c r="AG43" s="37">
        <f>IF(最佳化斷筋點!H43="","",最佳化斷筋點!H43)</f>
        <v>3</v>
      </c>
      <c r="AH43" s="37">
        <f>IF(最佳化斷筋點!I43="","",最佳化斷筋點!I43)</f>
        <v>3</v>
      </c>
      <c r="AI43" s="37">
        <f>IF(最佳化斷筋點!J43="","",最佳化斷筋點!J43)</f>
        <v>3</v>
      </c>
      <c r="AJ43" s="37">
        <f>IF(最佳化斷筋點!K43="","",最佳化斷筋點!K43)</f>
        <v>2</v>
      </c>
      <c r="AK43" s="37">
        <f>IF(最佳化斷筋點!L43="","",最佳化斷筋點!L43)</f>
        <v>2</v>
      </c>
      <c r="AL43" s="37">
        <f>IF(最佳化斷筋點!M43="","",最佳化斷筋點!M43)</f>
        <v>2</v>
      </c>
      <c r="AM43" s="37">
        <f>IF(最佳化斷筋點!N43="","",最佳化斷筋點!N43)</f>
        <v>2</v>
      </c>
      <c r="AN43" s="37">
        <f>IF(最佳化斷筋點!O43="","",最佳化斷筋點!O43)</f>
        <v>2</v>
      </c>
      <c r="AO43" s="37">
        <f>IF(最佳化斷筋點!P43="","",最佳化斷筋點!P43)</f>
        <v>2</v>
      </c>
      <c r="AP43" s="37">
        <f>IF(最佳化斷筋點!Q43="","",最佳化斷筋點!Q43)</f>
        <v>2</v>
      </c>
      <c r="AQ43" s="37">
        <f>IF(最佳化斷筋點!R43="","",最佳化斷筋點!R43)</f>
        <v>2</v>
      </c>
      <c r="AR43" s="37">
        <f>IF(最佳化斷筋點!S43="","",最佳化斷筋點!S43)</f>
        <v>2</v>
      </c>
      <c r="AS43" s="37">
        <f>IF(最佳化斷筋點!T43="","",最佳化斷筋點!T43)</f>
        <v>2</v>
      </c>
      <c r="AT43" s="37">
        <f>IF(最佳化斷筋點!U43="","",最佳化斷筋點!U43)</f>
        <v>2</v>
      </c>
      <c r="AU43" s="37">
        <f>IF(最佳化斷筋點!V43="","",最佳化斷筋點!V43)</f>
        <v>2</v>
      </c>
      <c r="AV43" s="37">
        <f>IF(最佳化斷筋點!W43="","",最佳化斷筋點!W43)</f>
        <v>2</v>
      </c>
      <c r="AW43" s="37">
        <f>IF(最佳化斷筋點!X43="","",最佳化斷筋點!X43)</f>
        <v>2</v>
      </c>
      <c r="AY43" s="6" t="s">
        <v>20</v>
      </c>
      <c r="AZ43" s="37">
        <v>3</v>
      </c>
      <c r="BA43" s="37">
        <v>3</v>
      </c>
      <c r="BB43" s="37">
        <v>3</v>
      </c>
      <c r="BC43" s="37">
        <v>3</v>
      </c>
      <c r="BD43" s="37">
        <v>3</v>
      </c>
      <c r="BE43" s="37">
        <v>3</v>
      </c>
      <c r="BF43" s="37">
        <v>3</v>
      </c>
      <c r="BG43" s="37">
        <v>2</v>
      </c>
      <c r="BH43" s="37">
        <v>2</v>
      </c>
      <c r="BI43" s="37">
        <v>2</v>
      </c>
      <c r="BJ43" s="37">
        <v>2</v>
      </c>
      <c r="BK43" s="37">
        <v>2</v>
      </c>
      <c r="BL43" s="37">
        <v>2</v>
      </c>
      <c r="BM43" s="37">
        <v>2</v>
      </c>
      <c r="BN43" s="37">
        <v>2</v>
      </c>
      <c r="BO43" s="37">
        <v>2</v>
      </c>
      <c r="BP43" s="37">
        <v>2</v>
      </c>
      <c r="BQ43" s="37">
        <v>2</v>
      </c>
      <c r="BR43" s="37">
        <v>2</v>
      </c>
      <c r="BS43" s="37">
        <v>2</v>
      </c>
      <c r="BT43" s="37">
        <v>2</v>
      </c>
    </row>
    <row r="44" spans="5:72" x14ac:dyDescent="0.25">
      <c r="F44" s="6">
        <f t="shared" si="1"/>
        <v>0</v>
      </c>
      <c r="G44" s="6">
        <f t="shared" si="2"/>
        <v>0</v>
      </c>
      <c r="H44" s="6">
        <f t="shared" si="3"/>
        <v>0</v>
      </c>
      <c r="I44" s="6">
        <f t="shared" si="4"/>
        <v>0</v>
      </c>
      <c r="J44" s="6">
        <f t="shared" si="5"/>
        <v>0</v>
      </c>
      <c r="K44" s="6">
        <f t="shared" si="6"/>
        <v>0</v>
      </c>
      <c r="L44" s="6">
        <f t="shared" si="7"/>
        <v>0</v>
      </c>
      <c r="M44" s="6">
        <f t="shared" si="8"/>
        <v>0</v>
      </c>
      <c r="N44" s="6">
        <f t="shared" si="9"/>
        <v>0</v>
      </c>
      <c r="O44" s="6">
        <f t="shared" si="10"/>
        <v>0</v>
      </c>
      <c r="P44" s="6">
        <f t="shared" si="11"/>
        <v>0</v>
      </c>
      <c r="Q44" s="6">
        <f t="shared" si="12"/>
        <v>0</v>
      </c>
      <c r="R44" s="6">
        <f t="shared" si="13"/>
        <v>0</v>
      </c>
      <c r="S44" s="6">
        <f t="shared" si="14"/>
        <v>0</v>
      </c>
      <c r="T44" s="6">
        <f t="shared" si="15"/>
        <v>0</v>
      </c>
      <c r="U44" s="6">
        <f t="shared" si="16"/>
        <v>0</v>
      </c>
      <c r="V44" s="6">
        <f t="shared" si="17"/>
        <v>0</v>
      </c>
      <c r="W44" s="6">
        <f t="shared" si="18"/>
        <v>0</v>
      </c>
      <c r="X44" s="6">
        <f t="shared" si="19"/>
        <v>0</v>
      </c>
      <c r="Y44" s="6">
        <f t="shared" si="20"/>
        <v>0</v>
      </c>
      <c r="Z44" s="6">
        <f t="shared" si="21"/>
        <v>0</v>
      </c>
      <c r="AB44" s="36" t="str">
        <f>IF(最佳化斷筋點!C44="","",最佳化斷筋點!C44)</f>
        <v/>
      </c>
      <c r="AC44" s="37" t="str">
        <f>IF(最佳化斷筋點!D44="","",最佳化斷筋點!D44)</f>
        <v/>
      </c>
      <c r="AD44" s="37" t="str">
        <f>IF(最佳化斷筋點!E44="","",最佳化斷筋點!E44)</f>
        <v/>
      </c>
      <c r="AE44" s="37" t="str">
        <f>IF(最佳化斷筋點!F44="","",最佳化斷筋點!F44)</f>
        <v/>
      </c>
      <c r="AF44" s="37" t="str">
        <f>IF(最佳化斷筋點!G44="","",最佳化斷筋點!G44)</f>
        <v/>
      </c>
      <c r="AG44" s="37" t="str">
        <f>IF(最佳化斷筋點!H44="","",最佳化斷筋點!H44)</f>
        <v/>
      </c>
      <c r="AH44" s="37" t="str">
        <f>IF(最佳化斷筋點!I44="","",最佳化斷筋點!I44)</f>
        <v/>
      </c>
      <c r="AI44" s="37" t="str">
        <f>IF(最佳化斷筋點!J44="","",最佳化斷筋點!J44)</f>
        <v/>
      </c>
      <c r="AJ44" s="37" t="str">
        <f>IF(最佳化斷筋點!K44="","",最佳化斷筋點!K44)</f>
        <v/>
      </c>
      <c r="AK44" s="37" t="str">
        <f>IF(最佳化斷筋點!L44="","",最佳化斷筋點!L44)</f>
        <v/>
      </c>
      <c r="AL44" s="37" t="str">
        <f>IF(最佳化斷筋點!M44="","",最佳化斷筋點!M44)</f>
        <v/>
      </c>
      <c r="AM44" s="37" t="str">
        <f>IF(最佳化斷筋點!N44="","",最佳化斷筋點!N44)</f>
        <v/>
      </c>
      <c r="AN44" s="37" t="str">
        <f>IF(最佳化斷筋點!O44="","",最佳化斷筋點!O44)</f>
        <v/>
      </c>
      <c r="AO44" s="37" t="str">
        <f>IF(最佳化斷筋點!P44="","",最佳化斷筋點!P44)</f>
        <v/>
      </c>
      <c r="AP44" s="37" t="str">
        <f>IF(最佳化斷筋點!Q44="","",最佳化斷筋點!Q44)</f>
        <v/>
      </c>
      <c r="AQ44" s="37" t="str">
        <f>IF(最佳化斷筋點!R44="","",最佳化斷筋點!R44)</f>
        <v/>
      </c>
      <c r="AR44" s="37" t="str">
        <f>IF(最佳化斷筋點!S44="","",最佳化斷筋點!S44)</f>
        <v/>
      </c>
      <c r="AS44" s="37" t="str">
        <f>IF(最佳化斷筋點!T44="","",最佳化斷筋點!T44)</f>
        <v/>
      </c>
      <c r="AT44" s="37" t="str">
        <f>IF(最佳化斷筋點!U44="","",最佳化斷筋點!U44)</f>
        <v/>
      </c>
      <c r="AU44" s="37" t="str">
        <f>IF(最佳化斷筋點!V44="","",最佳化斷筋點!V44)</f>
        <v/>
      </c>
      <c r="AV44" s="37" t="str">
        <f>IF(最佳化斷筋點!W44="","",最佳化斷筋點!W44)</f>
        <v/>
      </c>
      <c r="AW44" s="37" t="str">
        <f>IF(最佳化斷筋點!X44="","",最佳化斷筋點!X44)</f>
        <v/>
      </c>
      <c r="AZ44" s="37" t="s">
        <v>197</v>
      </c>
      <c r="BA44" s="37" t="s">
        <v>197</v>
      </c>
      <c r="BB44" s="37" t="s">
        <v>197</v>
      </c>
      <c r="BC44" s="37" t="s">
        <v>197</v>
      </c>
      <c r="BD44" s="37" t="s">
        <v>197</v>
      </c>
      <c r="BE44" s="37" t="s">
        <v>197</v>
      </c>
      <c r="BF44" s="37" t="s">
        <v>197</v>
      </c>
      <c r="BG44" s="37" t="s">
        <v>197</v>
      </c>
      <c r="BH44" s="37" t="s">
        <v>197</v>
      </c>
      <c r="BI44" s="37" t="s">
        <v>197</v>
      </c>
      <c r="BJ44" s="37" t="s">
        <v>197</v>
      </c>
      <c r="BK44" s="37" t="s">
        <v>197</v>
      </c>
      <c r="BL44" s="37" t="s">
        <v>197</v>
      </c>
      <c r="BM44" s="37" t="s">
        <v>197</v>
      </c>
      <c r="BN44" s="37" t="s">
        <v>197</v>
      </c>
      <c r="BO44" s="37" t="s">
        <v>197</v>
      </c>
      <c r="BP44" s="37" t="s">
        <v>197</v>
      </c>
      <c r="BQ44" s="37" t="s">
        <v>197</v>
      </c>
      <c r="BR44" s="37" t="s">
        <v>197</v>
      </c>
      <c r="BS44" s="37" t="s">
        <v>197</v>
      </c>
      <c r="BT44" s="37" t="s">
        <v>197</v>
      </c>
    </row>
    <row r="45" spans="5:72" x14ac:dyDescent="0.25">
      <c r="E45" s="6" t="s">
        <v>21</v>
      </c>
      <c r="F45" s="6">
        <f t="shared" si="1"/>
        <v>0</v>
      </c>
      <c r="G45" s="6">
        <f t="shared" si="2"/>
        <v>0</v>
      </c>
      <c r="H45" s="6">
        <f t="shared" si="3"/>
        <v>0</v>
      </c>
      <c r="I45" s="6">
        <f t="shared" si="4"/>
        <v>0</v>
      </c>
      <c r="J45" s="6">
        <f t="shared" si="5"/>
        <v>0</v>
      </c>
      <c r="K45" s="6">
        <f t="shared" si="6"/>
        <v>0</v>
      </c>
      <c r="L45" s="6">
        <f t="shared" si="7"/>
        <v>0</v>
      </c>
      <c r="M45" s="6">
        <f t="shared" si="8"/>
        <v>0</v>
      </c>
      <c r="N45" s="6">
        <f t="shared" si="9"/>
        <v>0</v>
      </c>
      <c r="O45" s="6">
        <f t="shared" si="10"/>
        <v>0</v>
      </c>
      <c r="P45" s="6">
        <f t="shared" si="11"/>
        <v>0</v>
      </c>
      <c r="Q45" s="6">
        <f t="shared" si="12"/>
        <v>0</v>
      </c>
      <c r="R45" s="6">
        <f t="shared" si="13"/>
        <v>0</v>
      </c>
      <c r="S45" s="6">
        <f t="shared" si="14"/>
        <v>0</v>
      </c>
      <c r="T45" s="6">
        <f t="shared" si="15"/>
        <v>0</v>
      </c>
      <c r="U45" s="6">
        <f t="shared" si="16"/>
        <v>0</v>
      </c>
      <c r="V45" s="6">
        <f t="shared" si="17"/>
        <v>0</v>
      </c>
      <c r="W45" s="6">
        <f t="shared" si="18"/>
        <v>0</v>
      </c>
      <c r="X45" s="6">
        <f t="shared" si="19"/>
        <v>0</v>
      </c>
      <c r="Y45" s="6">
        <f t="shared" si="20"/>
        <v>0</v>
      </c>
      <c r="Z45" s="6">
        <f t="shared" si="21"/>
        <v>0</v>
      </c>
      <c r="AB45" s="36" t="str">
        <f>IF(最佳化斷筋點!C45="","",最佳化斷筋點!C45)</f>
        <v>下層</v>
      </c>
      <c r="AC45" s="37">
        <f>IF(最佳化斷筋點!D45="","",最佳化斷筋點!D45)</f>
        <v>2</v>
      </c>
      <c r="AD45" s="37">
        <f>IF(最佳化斷筋點!E45="","",最佳化斷筋點!E45)</f>
        <v>2</v>
      </c>
      <c r="AE45" s="37">
        <f>IF(最佳化斷筋點!F45="","",最佳化斷筋點!F45)</f>
        <v>2</v>
      </c>
      <c r="AF45" s="37">
        <f>IF(最佳化斷筋點!G45="","",最佳化斷筋點!G45)</f>
        <v>2</v>
      </c>
      <c r="AG45" s="37">
        <f>IF(最佳化斷筋點!H45="","",最佳化斷筋點!H45)</f>
        <v>2</v>
      </c>
      <c r="AH45" s="37">
        <f>IF(最佳化斷筋點!I45="","",最佳化斷筋點!I45)</f>
        <v>2</v>
      </c>
      <c r="AI45" s="37">
        <f>IF(最佳化斷筋點!J45="","",最佳化斷筋點!J45)</f>
        <v>2</v>
      </c>
      <c r="AJ45" s="37">
        <f>IF(最佳化斷筋點!K45="","",最佳化斷筋點!K45)</f>
        <v>2</v>
      </c>
      <c r="AK45" s="37">
        <f>IF(最佳化斷筋點!L45="","",最佳化斷筋點!L45)</f>
        <v>2</v>
      </c>
      <c r="AL45" s="37">
        <f>IF(最佳化斷筋點!M45="","",最佳化斷筋點!M45)</f>
        <v>2</v>
      </c>
      <c r="AM45" s="37">
        <f>IF(最佳化斷筋點!N45="","",最佳化斷筋點!N45)</f>
        <v>2</v>
      </c>
      <c r="AN45" s="37">
        <f>IF(最佳化斷筋點!O45="","",最佳化斷筋點!O45)</f>
        <v>2</v>
      </c>
      <c r="AO45" s="37">
        <f>IF(最佳化斷筋點!P45="","",最佳化斷筋點!P45)</f>
        <v>2</v>
      </c>
      <c r="AP45" s="37">
        <f>IF(最佳化斷筋點!Q45="","",最佳化斷筋點!Q45)</f>
        <v>2</v>
      </c>
      <c r="AQ45" s="37">
        <f>IF(最佳化斷筋點!R45="","",最佳化斷筋點!R45)</f>
        <v>2</v>
      </c>
      <c r="AR45" s="37">
        <f>IF(最佳化斷筋點!S45="","",最佳化斷筋點!S45)</f>
        <v>2</v>
      </c>
      <c r="AS45" s="37">
        <f>IF(最佳化斷筋點!T45="","",最佳化斷筋點!T45)</f>
        <v>2</v>
      </c>
      <c r="AT45" s="37">
        <f>IF(最佳化斷筋點!U45="","",最佳化斷筋點!U45)</f>
        <v>2</v>
      </c>
      <c r="AU45" s="37">
        <f>IF(最佳化斷筋點!V45="","",最佳化斷筋點!V45)</f>
        <v>2</v>
      </c>
      <c r="AV45" s="37">
        <f>IF(最佳化斷筋點!W45="","",最佳化斷筋點!W45)</f>
        <v>2</v>
      </c>
      <c r="AW45" s="37">
        <f>IF(最佳化斷筋點!X45="","",最佳化斷筋點!X45)</f>
        <v>2</v>
      </c>
      <c r="AY45" s="6" t="s">
        <v>21</v>
      </c>
      <c r="AZ45" s="37">
        <v>2</v>
      </c>
      <c r="BA45" s="37">
        <v>2</v>
      </c>
      <c r="BB45" s="37">
        <v>2</v>
      </c>
      <c r="BC45" s="37">
        <v>2</v>
      </c>
      <c r="BD45" s="37">
        <v>2</v>
      </c>
      <c r="BE45" s="37">
        <v>2</v>
      </c>
      <c r="BF45" s="37">
        <v>2</v>
      </c>
      <c r="BG45" s="37">
        <v>2</v>
      </c>
      <c r="BH45" s="37">
        <v>2</v>
      </c>
      <c r="BI45" s="37">
        <v>2</v>
      </c>
      <c r="BJ45" s="37">
        <v>2</v>
      </c>
      <c r="BK45" s="37">
        <v>2</v>
      </c>
      <c r="BL45" s="37">
        <v>2</v>
      </c>
      <c r="BM45" s="37">
        <v>2</v>
      </c>
      <c r="BN45" s="37">
        <v>2</v>
      </c>
      <c r="BO45" s="37">
        <v>2</v>
      </c>
      <c r="BP45" s="37">
        <v>2</v>
      </c>
      <c r="BQ45" s="37">
        <v>2</v>
      </c>
      <c r="BR45" s="37">
        <v>2</v>
      </c>
      <c r="BS45" s="37">
        <v>2</v>
      </c>
      <c r="BT45" s="37">
        <v>2</v>
      </c>
    </row>
    <row r="46" spans="5:72" x14ac:dyDescent="0.25">
      <c r="F46" s="6">
        <f t="shared" si="1"/>
        <v>0</v>
      </c>
      <c r="G46" s="6">
        <f t="shared" si="2"/>
        <v>0</v>
      </c>
      <c r="H46" s="6">
        <f t="shared" si="3"/>
        <v>0</v>
      </c>
      <c r="I46" s="6">
        <f t="shared" si="4"/>
        <v>0</v>
      </c>
      <c r="J46" s="6">
        <f t="shared" si="5"/>
        <v>0</v>
      </c>
      <c r="K46" s="6">
        <f t="shared" si="6"/>
        <v>0</v>
      </c>
      <c r="L46" s="6">
        <f t="shared" si="7"/>
        <v>0</v>
      </c>
      <c r="M46" s="6">
        <f t="shared" si="8"/>
        <v>0</v>
      </c>
      <c r="N46" s="6">
        <f t="shared" si="9"/>
        <v>0</v>
      </c>
      <c r="O46" s="6">
        <f t="shared" si="10"/>
        <v>0</v>
      </c>
      <c r="P46" s="6">
        <f t="shared" si="11"/>
        <v>0</v>
      </c>
      <c r="Q46" s="6">
        <f t="shared" si="12"/>
        <v>0</v>
      </c>
      <c r="R46" s="6">
        <f t="shared" si="13"/>
        <v>0</v>
      </c>
      <c r="S46" s="6">
        <f t="shared" si="14"/>
        <v>0</v>
      </c>
      <c r="T46" s="6">
        <f t="shared" si="15"/>
        <v>0</v>
      </c>
      <c r="U46" s="6">
        <f t="shared" si="16"/>
        <v>0</v>
      </c>
      <c r="V46" s="6">
        <f t="shared" si="17"/>
        <v>0</v>
      </c>
      <c r="W46" s="6">
        <f t="shared" si="18"/>
        <v>0</v>
      </c>
      <c r="X46" s="6">
        <f t="shared" si="19"/>
        <v>0</v>
      </c>
      <c r="Y46" s="6">
        <f t="shared" si="20"/>
        <v>0</v>
      </c>
      <c r="Z46" s="6">
        <f t="shared" si="21"/>
        <v>0</v>
      </c>
      <c r="AB46" s="36" t="str">
        <f>IF(最佳化斷筋點!C46="","",最佳化斷筋點!C46)</f>
        <v/>
      </c>
      <c r="AC46" s="36" t="str">
        <f>IF(最佳化斷筋點!D46="","",最佳化斷筋點!D46)</f>
        <v/>
      </c>
      <c r="AD46" s="36" t="str">
        <f>IF(最佳化斷筋點!E46="","",最佳化斷筋點!E46)</f>
        <v/>
      </c>
      <c r="AE46" s="36" t="str">
        <f>IF(最佳化斷筋點!F46="","",最佳化斷筋點!F46)</f>
        <v/>
      </c>
      <c r="AF46" s="36" t="str">
        <f>IF(最佳化斷筋點!G46="","",最佳化斷筋點!G46)</f>
        <v/>
      </c>
      <c r="AG46" s="36" t="str">
        <f>IF(最佳化斷筋點!H46="","",最佳化斷筋點!H46)</f>
        <v/>
      </c>
      <c r="AH46" s="36" t="str">
        <f>IF(最佳化斷筋點!I46="","",最佳化斷筋點!I46)</f>
        <v/>
      </c>
      <c r="AI46" s="36" t="str">
        <f>IF(最佳化斷筋點!J46="","",最佳化斷筋點!J46)</f>
        <v/>
      </c>
      <c r="AJ46" s="36" t="str">
        <f>IF(最佳化斷筋點!K46="","",最佳化斷筋點!K46)</f>
        <v/>
      </c>
      <c r="AK46" s="36" t="str">
        <f>IF(最佳化斷筋點!L46="","",最佳化斷筋點!L46)</f>
        <v/>
      </c>
      <c r="AL46" s="36" t="str">
        <f>IF(最佳化斷筋點!M46="","",最佳化斷筋點!M46)</f>
        <v/>
      </c>
      <c r="AM46" s="36" t="str">
        <f>IF(最佳化斷筋點!N46="","",最佳化斷筋點!N46)</f>
        <v/>
      </c>
      <c r="AN46" s="36" t="str">
        <f>IF(最佳化斷筋點!O46="","",最佳化斷筋點!O46)</f>
        <v/>
      </c>
      <c r="AO46" s="36" t="str">
        <f>IF(最佳化斷筋點!P46="","",最佳化斷筋點!P46)</f>
        <v/>
      </c>
      <c r="AP46" s="36" t="str">
        <f>IF(最佳化斷筋點!Q46="","",最佳化斷筋點!Q46)</f>
        <v/>
      </c>
      <c r="AQ46" s="36" t="str">
        <f>IF(最佳化斷筋點!R46="","",最佳化斷筋點!R46)</f>
        <v/>
      </c>
      <c r="AR46" s="36" t="str">
        <f>IF(最佳化斷筋點!S46="","",最佳化斷筋點!S46)</f>
        <v/>
      </c>
      <c r="AS46" s="36" t="str">
        <f>IF(最佳化斷筋點!T46="","",最佳化斷筋點!T46)</f>
        <v/>
      </c>
      <c r="AT46" s="36" t="str">
        <f>IF(最佳化斷筋點!U46="","",最佳化斷筋點!U46)</f>
        <v/>
      </c>
      <c r="AU46" s="36" t="str">
        <f>IF(最佳化斷筋點!V46="","",最佳化斷筋點!V46)</f>
        <v/>
      </c>
      <c r="AV46" s="36" t="str">
        <f>IF(最佳化斷筋點!W46="","",最佳化斷筋點!W46)</f>
        <v/>
      </c>
      <c r="AW46" s="36" t="str">
        <f>IF(最佳化斷筋點!X46="","",最佳化斷筋點!X46)</f>
        <v/>
      </c>
      <c r="AZ46" s="37" t="s">
        <v>197</v>
      </c>
      <c r="BA46" s="37" t="s">
        <v>197</v>
      </c>
      <c r="BB46" s="37" t="s">
        <v>197</v>
      </c>
      <c r="BC46" s="37" t="s">
        <v>197</v>
      </c>
      <c r="BD46" s="37" t="s">
        <v>197</v>
      </c>
      <c r="BE46" s="37" t="s">
        <v>197</v>
      </c>
      <c r="BF46" s="37" t="s">
        <v>197</v>
      </c>
      <c r="BG46" s="37" t="s">
        <v>197</v>
      </c>
      <c r="BH46" s="37" t="s">
        <v>197</v>
      </c>
      <c r="BI46" s="37" t="s">
        <v>197</v>
      </c>
      <c r="BJ46" s="37" t="s">
        <v>197</v>
      </c>
      <c r="BK46" s="37" t="s">
        <v>197</v>
      </c>
      <c r="BL46" s="37" t="s">
        <v>197</v>
      </c>
      <c r="BM46" s="37" t="s">
        <v>197</v>
      </c>
      <c r="BN46" s="37" t="s">
        <v>197</v>
      </c>
      <c r="BO46" s="37" t="s">
        <v>197</v>
      </c>
      <c r="BP46" s="37" t="s">
        <v>197</v>
      </c>
      <c r="BQ46" s="37" t="s">
        <v>197</v>
      </c>
      <c r="BR46" s="37" t="s">
        <v>197</v>
      </c>
      <c r="BS46" s="37" t="s">
        <v>197</v>
      </c>
      <c r="BT46" s="37" t="s">
        <v>197</v>
      </c>
    </row>
    <row r="47" spans="5:72" x14ac:dyDescent="0.25">
      <c r="E47" s="6" t="s">
        <v>20</v>
      </c>
      <c r="F47" s="6">
        <f t="shared" si="1"/>
        <v>0</v>
      </c>
      <c r="G47" s="6">
        <f t="shared" si="2"/>
        <v>0</v>
      </c>
      <c r="H47" s="6">
        <f t="shared" si="3"/>
        <v>0</v>
      </c>
      <c r="I47" s="6">
        <f t="shared" si="4"/>
        <v>0</v>
      </c>
      <c r="J47" s="6">
        <f t="shared" si="5"/>
        <v>0</v>
      </c>
      <c r="K47" s="6">
        <f t="shared" si="6"/>
        <v>0</v>
      </c>
      <c r="L47" s="6">
        <f t="shared" si="7"/>
        <v>0</v>
      </c>
      <c r="M47" s="6">
        <f t="shared" si="8"/>
        <v>0</v>
      </c>
      <c r="N47" s="6">
        <f t="shared" si="9"/>
        <v>0</v>
      </c>
      <c r="O47" s="6">
        <f t="shared" si="10"/>
        <v>0</v>
      </c>
      <c r="P47" s="6">
        <f t="shared" si="11"/>
        <v>0</v>
      </c>
      <c r="Q47" s="6">
        <f t="shared" si="12"/>
        <v>0</v>
      </c>
      <c r="R47" s="6">
        <f t="shared" si="13"/>
        <v>0</v>
      </c>
      <c r="S47" s="6">
        <f t="shared" si="14"/>
        <v>0</v>
      </c>
      <c r="T47" s="6">
        <f t="shared" si="15"/>
        <v>0</v>
      </c>
      <c r="U47" s="6">
        <f t="shared" si="16"/>
        <v>0</v>
      </c>
      <c r="V47" s="6">
        <f t="shared" si="17"/>
        <v>0</v>
      </c>
      <c r="W47" s="6">
        <f t="shared" si="18"/>
        <v>0</v>
      </c>
      <c r="X47" s="6">
        <f t="shared" si="19"/>
        <v>0</v>
      </c>
      <c r="Y47" s="6">
        <f t="shared" si="20"/>
        <v>0</v>
      </c>
      <c r="Z47" s="6">
        <f t="shared" si="21"/>
        <v>0</v>
      </c>
      <c r="AB47" s="36" t="str">
        <f>IF(最佳化斷筋點!C47="","",最佳化斷筋點!C47)</f>
        <v>上層</v>
      </c>
      <c r="AC47" s="37">
        <f>IF(最佳化斷筋點!D47="","",最佳化斷筋點!D47)</f>
        <v>3</v>
      </c>
      <c r="AD47" s="37">
        <f>IF(最佳化斷筋點!E47="","",最佳化斷筋點!E47)</f>
        <v>3</v>
      </c>
      <c r="AE47" s="37">
        <f>IF(最佳化斷筋點!F47="","",最佳化斷筋點!F47)</f>
        <v>3</v>
      </c>
      <c r="AF47" s="37">
        <f>IF(最佳化斷筋點!G47="","",最佳化斷筋點!G47)</f>
        <v>3</v>
      </c>
      <c r="AG47" s="37">
        <f>IF(最佳化斷筋點!H47="","",最佳化斷筋點!H47)</f>
        <v>3</v>
      </c>
      <c r="AH47" s="37">
        <f>IF(最佳化斷筋點!I47="","",最佳化斷筋點!I47)</f>
        <v>3</v>
      </c>
      <c r="AI47" s="37">
        <f>IF(最佳化斷筋點!J47="","",最佳化斷筋點!J47)</f>
        <v>3</v>
      </c>
      <c r="AJ47" s="37">
        <f>IF(最佳化斷筋點!K47="","",最佳化斷筋點!K47)</f>
        <v>2</v>
      </c>
      <c r="AK47" s="37">
        <f>IF(最佳化斷筋點!L47="","",最佳化斷筋點!L47)</f>
        <v>2</v>
      </c>
      <c r="AL47" s="37">
        <f>IF(最佳化斷筋點!M47="","",最佳化斷筋點!M47)</f>
        <v>2</v>
      </c>
      <c r="AM47" s="37">
        <f>IF(最佳化斷筋點!N47="","",最佳化斷筋點!N47)</f>
        <v>2</v>
      </c>
      <c r="AN47" s="37">
        <f>IF(最佳化斷筋點!O47="","",最佳化斷筋點!O47)</f>
        <v>2</v>
      </c>
      <c r="AO47" s="37">
        <f>IF(最佳化斷筋點!P47="","",最佳化斷筋點!P47)</f>
        <v>2</v>
      </c>
      <c r="AP47" s="37">
        <f>IF(最佳化斷筋點!Q47="","",最佳化斷筋點!Q47)</f>
        <v>2</v>
      </c>
      <c r="AQ47" s="37">
        <f>IF(最佳化斷筋點!R47="","",最佳化斷筋點!R47)</f>
        <v>3</v>
      </c>
      <c r="AR47" s="37">
        <f>IF(最佳化斷筋點!S47="","",最佳化斷筋點!S47)</f>
        <v>3</v>
      </c>
      <c r="AS47" s="37">
        <f>IF(最佳化斷筋點!T47="","",最佳化斷筋點!T47)</f>
        <v>3</v>
      </c>
      <c r="AT47" s="37">
        <f>IF(最佳化斷筋點!U47="","",最佳化斷筋點!U47)</f>
        <v>3</v>
      </c>
      <c r="AU47" s="37">
        <f>IF(最佳化斷筋點!V47="","",最佳化斷筋點!V47)</f>
        <v>3</v>
      </c>
      <c r="AV47" s="37">
        <f>IF(最佳化斷筋點!W47="","",最佳化斷筋點!W47)</f>
        <v>3</v>
      </c>
      <c r="AW47" s="37">
        <f>IF(最佳化斷筋點!X47="","",最佳化斷筋點!X47)</f>
        <v>3</v>
      </c>
      <c r="AY47" s="6" t="s">
        <v>20</v>
      </c>
      <c r="AZ47" s="37">
        <v>3</v>
      </c>
      <c r="BA47" s="37">
        <v>3</v>
      </c>
      <c r="BB47" s="37">
        <v>3</v>
      </c>
      <c r="BC47" s="37">
        <v>3</v>
      </c>
      <c r="BD47" s="37">
        <v>3</v>
      </c>
      <c r="BE47" s="37">
        <v>3</v>
      </c>
      <c r="BF47" s="37">
        <v>3</v>
      </c>
      <c r="BG47" s="37">
        <v>2</v>
      </c>
      <c r="BH47" s="37">
        <v>2</v>
      </c>
      <c r="BI47" s="37">
        <v>2</v>
      </c>
      <c r="BJ47" s="37">
        <v>2</v>
      </c>
      <c r="BK47" s="37">
        <v>2</v>
      </c>
      <c r="BL47" s="37">
        <v>2</v>
      </c>
      <c r="BM47" s="37">
        <v>2</v>
      </c>
      <c r="BN47" s="37">
        <v>3</v>
      </c>
      <c r="BO47" s="37">
        <v>3</v>
      </c>
      <c r="BP47" s="37">
        <v>3</v>
      </c>
      <c r="BQ47" s="37">
        <v>3</v>
      </c>
      <c r="BR47" s="37">
        <v>3</v>
      </c>
      <c r="BS47" s="37">
        <v>3</v>
      </c>
      <c r="BT47" s="37">
        <v>3</v>
      </c>
    </row>
    <row r="48" spans="5:72" x14ac:dyDescent="0.25">
      <c r="F48" s="6">
        <f t="shared" si="1"/>
        <v>0</v>
      </c>
      <c r="G48" s="6">
        <f t="shared" si="2"/>
        <v>0</v>
      </c>
      <c r="H48" s="6">
        <f t="shared" si="3"/>
        <v>0</v>
      </c>
      <c r="I48" s="6">
        <f t="shared" si="4"/>
        <v>0</v>
      </c>
      <c r="J48" s="6">
        <f t="shared" si="5"/>
        <v>0</v>
      </c>
      <c r="K48" s="6">
        <f t="shared" si="6"/>
        <v>0</v>
      </c>
      <c r="L48" s="6">
        <f t="shared" si="7"/>
        <v>0</v>
      </c>
      <c r="M48" s="6">
        <f t="shared" si="8"/>
        <v>0</v>
      </c>
      <c r="N48" s="6">
        <f t="shared" si="9"/>
        <v>0</v>
      </c>
      <c r="O48" s="6">
        <f t="shared" si="10"/>
        <v>0</v>
      </c>
      <c r="P48" s="6">
        <f t="shared" si="11"/>
        <v>0</v>
      </c>
      <c r="Q48" s="6">
        <f t="shared" si="12"/>
        <v>0</v>
      </c>
      <c r="R48" s="6">
        <f t="shared" si="13"/>
        <v>0</v>
      </c>
      <c r="S48" s="6">
        <f t="shared" si="14"/>
        <v>0</v>
      </c>
      <c r="T48" s="6">
        <f t="shared" si="15"/>
        <v>0</v>
      </c>
      <c r="U48" s="6">
        <f t="shared" si="16"/>
        <v>0</v>
      </c>
      <c r="V48" s="6">
        <f t="shared" si="17"/>
        <v>0</v>
      </c>
      <c r="W48" s="6">
        <f t="shared" si="18"/>
        <v>0</v>
      </c>
      <c r="X48" s="6">
        <f t="shared" si="19"/>
        <v>0</v>
      </c>
      <c r="Y48" s="6">
        <f t="shared" si="20"/>
        <v>0</v>
      </c>
      <c r="Z48" s="6">
        <f t="shared" si="21"/>
        <v>0</v>
      </c>
      <c r="AB48" s="36" t="str">
        <f>IF(最佳化斷筋點!C48="","",最佳化斷筋點!C48)</f>
        <v/>
      </c>
      <c r="AC48" s="37" t="str">
        <f>IF(最佳化斷筋點!D48="","",最佳化斷筋點!D48)</f>
        <v/>
      </c>
      <c r="AD48" s="37" t="str">
        <f>IF(最佳化斷筋點!E48="","",最佳化斷筋點!E48)</f>
        <v/>
      </c>
      <c r="AE48" s="37" t="str">
        <f>IF(最佳化斷筋點!F48="","",最佳化斷筋點!F48)</f>
        <v/>
      </c>
      <c r="AF48" s="37" t="str">
        <f>IF(最佳化斷筋點!G48="","",最佳化斷筋點!G48)</f>
        <v/>
      </c>
      <c r="AG48" s="37" t="str">
        <f>IF(最佳化斷筋點!H48="","",最佳化斷筋點!H48)</f>
        <v/>
      </c>
      <c r="AH48" s="37" t="str">
        <f>IF(最佳化斷筋點!I48="","",最佳化斷筋點!I48)</f>
        <v/>
      </c>
      <c r="AI48" s="37" t="str">
        <f>IF(最佳化斷筋點!J48="","",最佳化斷筋點!J48)</f>
        <v/>
      </c>
      <c r="AJ48" s="37" t="str">
        <f>IF(最佳化斷筋點!K48="","",最佳化斷筋點!K48)</f>
        <v/>
      </c>
      <c r="AK48" s="37" t="str">
        <f>IF(最佳化斷筋點!L48="","",最佳化斷筋點!L48)</f>
        <v/>
      </c>
      <c r="AL48" s="37" t="str">
        <f>IF(最佳化斷筋點!M48="","",最佳化斷筋點!M48)</f>
        <v/>
      </c>
      <c r="AM48" s="37" t="str">
        <f>IF(最佳化斷筋點!N48="","",最佳化斷筋點!N48)</f>
        <v/>
      </c>
      <c r="AN48" s="37" t="str">
        <f>IF(最佳化斷筋點!O48="","",最佳化斷筋點!O48)</f>
        <v/>
      </c>
      <c r="AO48" s="37" t="str">
        <f>IF(最佳化斷筋點!P48="","",最佳化斷筋點!P48)</f>
        <v/>
      </c>
      <c r="AP48" s="37" t="str">
        <f>IF(最佳化斷筋點!Q48="","",最佳化斷筋點!Q48)</f>
        <v/>
      </c>
      <c r="AQ48" s="37" t="str">
        <f>IF(最佳化斷筋點!R48="","",最佳化斷筋點!R48)</f>
        <v/>
      </c>
      <c r="AR48" s="37" t="str">
        <f>IF(最佳化斷筋點!S48="","",最佳化斷筋點!S48)</f>
        <v/>
      </c>
      <c r="AS48" s="37" t="str">
        <f>IF(最佳化斷筋點!T48="","",最佳化斷筋點!T48)</f>
        <v/>
      </c>
      <c r="AT48" s="37" t="str">
        <f>IF(最佳化斷筋點!U48="","",最佳化斷筋點!U48)</f>
        <v/>
      </c>
      <c r="AU48" s="37" t="str">
        <f>IF(最佳化斷筋點!V48="","",最佳化斷筋點!V48)</f>
        <v/>
      </c>
      <c r="AV48" s="37" t="str">
        <f>IF(最佳化斷筋點!W48="","",最佳化斷筋點!W48)</f>
        <v/>
      </c>
      <c r="AW48" s="37" t="str">
        <f>IF(最佳化斷筋點!X48="","",最佳化斷筋點!X48)</f>
        <v/>
      </c>
      <c r="AZ48" s="37" t="s">
        <v>197</v>
      </c>
      <c r="BA48" s="37" t="s">
        <v>197</v>
      </c>
      <c r="BB48" s="37" t="s">
        <v>197</v>
      </c>
      <c r="BC48" s="37" t="s">
        <v>197</v>
      </c>
      <c r="BD48" s="37" t="s">
        <v>197</v>
      </c>
      <c r="BE48" s="37" t="s">
        <v>197</v>
      </c>
      <c r="BF48" s="37" t="s">
        <v>197</v>
      </c>
      <c r="BG48" s="37" t="s">
        <v>197</v>
      </c>
      <c r="BH48" s="37" t="s">
        <v>197</v>
      </c>
      <c r="BI48" s="37" t="s">
        <v>197</v>
      </c>
      <c r="BJ48" s="37" t="s">
        <v>197</v>
      </c>
      <c r="BK48" s="37" t="s">
        <v>197</v>
      </c>
      <c r="BL48" s="37" t="s">
        <v>197</v>
      </c>
      <c r="BM48" s="37" t="s">
        <v>197</v>
      </c>
      <c r="BN48" s="37" t="s">
        <v>197</v>
      </c>
      <c r="BO48" s="37" t="s">
        <v>197</v>
      </c>
      <c r="BP48" s="37" t="s">
        <v>197</v>
      </c>
      <c r="BQ48" s="37" t="s">
        <v>197</v>
      </c>
      <c r="BR48" s="37" t="s">
        <v>197</v>
      </c>
      <c r="BS48" s="37" t="s">
        <v>197</v>
      </c>
      <c r="BT48" s="37" t="s">
        <v>197</v>
      </c>
    </row>
    <row r="49" spans="5:72" x14ac:dyDescent="0.25">
      <c r="E49" s="6" t="s">
        <v>21</v>
      </c>
      <c r="F49" s="6">
        <f t="shared" si="1"/>
        <v>0</v>
      </c>
      <c r="G49" s="6">
        <f t="shared" si="2"/>
        <v>0</v>
      </c>
      <c r="H49" s="6">
        <f t="shared" si="3"/>
        <v>0</v>
      </c>
      <c r="I49" s="6">
        <f t="shared" si="4"/>
        <v>0</v>
      </c>
      <c r="J49" s="6">
        <f t="shared" si="5"/>
        <v>0</v>
      </c>
      <c r="K49" s="6">
        <f t="shared" si="6"/>
        <v>0</v>
      </c>
      <c r="L49" s="6">
        <f t="shared" si="7"/>
        <v>0</v>
      </c>
      <c r="M49" s="6">
        <f t="shared" si="8"/>
        <v>0</v>
      </c>
      <c r="N49" s="6">
        <f t="shared" si="9"/>
        <v>0</v>
      </c>
      <c r="O49" s="6">
        <f t="shared" si="10"/>
        <v>0</v>
      </c>
      <c r="P49" s="6">
        <f t="shared" si="11"/>
        <v>0</v>
      </c>
      <c r="Q49" s="6">
        <f t="shared" si="12"/>
        <v>0</v>
      </c>
      <c r="R49" s="6">
        <f t="shared" si="13"/>
        <v>0</v>
      </c>
      <c r="S49" s="6">
        <f t="shared" si="14"/>
        <v>0</v>
      </c>
      <c r="T49" s="6">
        <f t="shared" si="15"/>
        <v>0</v>
      </c>
      <c r="U49" s="6">
        <f t="shared" si="16"/>
        <v>0</v>
      </c>
      <c r="V49" s="6">
        <f t="shared" si="17"/>
        <v>0</v>
      </c>
      <c r="W49" s="6">
        <f t="shared" si="18"/>
        <v>0</v>
      </c>
      <c r="X49" s="6">
        <f t="shared" si="19"/>
        <v>0</v>
      </c>
      <c r="Y49" s="6">
        <f t="shared" si="20"/>
        <v>0</v>
      </c>
      <c r="Z49" s="6">
        <f t="shared" si="21"/>
        <v>0</v>
      </c>
      <c r="AB49" s="36" t="str">
        <f>IF(最佳化斷筋點!C49="","",最佳化斷筋點!C49)</f>
        <v>下層</v>
      </c>
      <c r="AC49" s="37">
        <f>IF(最佳化斷筋點!D49="","",最佳化斷筋點!D49)</f>
        <v>3</v>
      </c>
      <c r="AD49" s="37">
        <f>IF(最佳化斷筋點!E49="","",最佳化斷筋點!E49)</f>
        <v>3</v>
      </c>
      <c r="AE49" s="37">
        <f>IF(最佳化斷筋點!F49="","",最佳化斷筋點!F49)</f>
        <v>3</v>
      </c>
      <c r="AF49" s="37">
        <f>IF(最佳化斷筋點!G49="","",最佳化斷筋點!G49)</f>
        <v>3</v>
      </c>
      <c r="AG49" s="37">
        <f>IF(最佳化斷筋點!H49="","",最佳化斷筋點!H49)</f>
        <v>3</v>
      </c>
      <c r="AH49" s="37">
        <f>IF(最佳化斷筋點!I49="","",最佳化斷筋點!I49)</f>
        <v>3</v>
      </c>
      <c r="AI49" s="37">
        <f>IF(最佳化斷筋點!J49="","",最佳化斷筋點!J49)</f>
        <v>3</v>
      </c>
      <c r="AJ49" s="37">
        <f>IF(最佳化斷筋點!K49="","",最佳化斷筋點!K49)</f>
        <v>2</v>
      </c>
      <c r="AK49" s="37">
        <f>IF(最佳化斷筋點!L49="","",最佳化斷筋點!L49)</f>
        <v>2</v>
      </c>
      <c r="AL49" s="37">
        <f>IF(最佳化斷筋點!M49="","",最佳化斷筋點!M49)</f>
        <v>2</v>
      </c>
      <c r="AM49" s="37">
        <f>IF(最佳化斷筋點!N49="","",最佳化斷筋點!N49)</f>
        <v>2</v>
      </c>
      <c r="AN49" s="37">
        <f>IF(最佳化斷筋點!O49="","",最佳化斷筋點!O49)</f>
        <v>2</v>
      </c>
      <c r="AO49" s="37">
        <f>IF(最佳化斷筋點!P49="","",最佳化斷筋點!P49)</f>
        <v>2</v>
      </c>
      <c r="AP49" s="37">
        <f>IF(最佳化斷筋點!Q49="","",最佳化斷筋點!Q49)</f>
        <v>2</v>
      </c>
      <c r="AQ49" s="37">
        <f>IF(最佳化斷筋點!R49="","",最佳化斷筋點!R49)</f>
        <v>2</v>
      </c>
      <c r="AR49" s="37">
        <f>IF(最佳化斷筋點!S49="","",最佳化斷筋點!S49)</f>
        <v>2</v>
      </c>
      <c r="AS49" s="37">
        <f>IF(最佳化斷筋點!T49="","",最佳化斷筋點!T49)</f>
        <v>2</v>
      </c>
      <c r="AT49" s="37">
        <f>IF(最佳化斷筋點!U49="","",最佳化斷筋點!U49)</f>
        <v>2</v>
      </c>
      <c r="AU49" s="37">
        <f>IF(最佳化斷筋點!V49="","",最佳化斷筋點!V49)</f>
        <v>2</v>
      </c>
      <c r="AV49" s="37">
        <f>IF(最佳化斷筋點!W49="","",最佳化斷筋點!W49)</f>
        <v>2</v>
      </c>
      <c r="AW49" s="37">
        <f>IF(最佳化斷筋點!X49="","",最佳化斷筋點!X49)</f>
        <v>2</v>
      </c>
      <c r="AY49" s="6" t="s">
        <v>21</v>
      </c>
      <c r="AZ49" s="37">
        <v>3</v>
      </c>
      <c r="BA49" s="37">
        <v>3</v>
      </c>
      <c r="BB49" s="37">
        <v>3</v>
      </c>
      <c r="BC49" s="37">
        <v>3</v>
      </c>
      <c r="BD49" s="37">
        <v>3</v>
      </c>
      <c r="BE49" s="37">
        <v>3</v>
      </c>
      <c r="BF49" s="37">
        <v>3</v>
      </c>
      <c r="BG49" s="37">
        <v>2</v>
      </c>
      <c r="BH49" s="37">
        <v>2</v>
      </c>
      <c r="BI49" s="37">
        <v>2</v>
      </c>
      <c r="BJ49" s="37">
        <v>2</v>
      </c>
      <c r="BK49" s="37">
        <v>2</v>
      </c>
      <c r="BL49" s="37">
        <v>2</v>
      </c>
      <c r="BM49" s="37">
        <v>2</v>
      </c>
      <c r="BN49" s="37">
        <v>2</v>
      </c>
      <c r="BO49" s="37">
        <v>2</v>
      </c>
      <c r="BP49" s="37">
        <v>2</v>
      </c>
      <c r="BQ49" s="37">
        <v>2</v>
      </c>
      <c r="BR49" s="37">
        <v>2</v>
      </c>
      <c r="BS49" s="37">
        <v>2</v>
      </c>
      <c r="BT49" s="37">
        <v>2</v>
      </c>
    </row>
    <row r="50" spans="5:72" x14ac:dyDescent="0.25">
      <c r="F50" s="6">
        <f t="shared" si="1"/>
        <v>0</v>
      </c>
      <c r="G50" s="6">
        <f t="shared" si="2"/>
        <v>0</v>
      </c>
      <c r="H50" s="6">
        <f t="shared" si="3"/>
        <v>0</v>
      </c>
      <c r="I50" s="6">
        <f t="shared" si="4"/>
        <v>0</v>
      </c>
      <c r="J50" s="6">
        <f t="shared" si="5"/>
        <v>0</v>
      </c>
      <c r="K50" s="6">
        <f t="shared" si="6"/>
        <v>0</v>
      </c>
      <c r="L50" s="6">
        <f t="shared" si="7"/>
        <v>0</v>
      </c>
      <c r="M50" s="6">
        <f t="shared" si="8"/>
        <v>0</v>
      </c>
      <c r="N50" s="6">
        <f t="shared" si="9"/>
        <v>0</v>
      </c>
      <c r="O50" s="6">
        <f t="shared" si="10"/>
        <v>0</v>
      </c>
      <c r="P50" s="6">
        <f t="shared" si="11"/>
        <v>0</v>
      </c>
      <c r="Q50" s="6">
        <f t="shared" si="12"/>
        <v>0</v>
      </c>
      <c r="R50" s="6">
        <f t="shared" si="13"/>
        <v>0</v>
      </c>
      <c r="S50" s="6">
        <f t="shared" si="14"/>
        <v>0</v>
      </c>
      <c r="T50" s="6">
        <f t="shared" si="15"/>
        <v>0</v>
      </c>
      <c r="U50" s="6">
        <f t="shared" si="16"/>
        <v>0</v>
      </c>
      <c r="V50" s="6">
        <f t="shared" si="17"/>
        <v>0</v>
      </c>
      <c r="W50" s="6">
        <f t="shared" si="18"/>
        <v>0</v>
      </c>
      <c r="X50" s="6">
        <f t="shared" si="19"/>
        <v>0</v>
      </c>
      <c r="Y50" s="6">
        <f t="shared" si="20"/>
        <v>0</v>
      </c>
      <c r="Z50" s="6">
        <f t="shared" si="21"/>
        <v>0</v>
      </c>
      <c r="AB50" s="36" t="str">
        <f>IF(最佳化斷筋點!C50="","",最佳化斷筋點!C50)</f>
        <v/>
      </c>
      <c r="AC50" s="37" t="str">
        <f>IF(最佳化斷筋點!D50="","",最佳化斷筋點!D50)</f>
        <v/>
      </c>
      <c r="AD50" s="37" t="str">
        <f>IF(最佳化斷筋點!E50="","",最佳化斷筋點!E50)</f>
        <v/>
      </c>
      <c r="AE50" s="37" t="str">
        <f>IF(最佳化斷筋點!F50="","",最佳化斷筋點!F50)</f>
        <v/>
      </c>
      <c r="AF50" s="37" t="str">
        <f>IF(最佳化斷筋點!G50="","",最佳化斷筋點!G50)</f>
        <v/>
      </c>
      <c r="AG50" s="37" t="str">
        <f>IF(最佳化斷筋點!H50="","",最佳化斷筋點!H50)</f>
        <v/>
      </c>
      <c r="AH50" s="37" t="str">
        <f>IF(最佳化斷筋點!I50="","",最佳化斷筋點!I50)</f>
        <v/>
      </c>
      <c r="AI50" s="37" t="str">
        <f>IF(最佳化斷筋點!J50="","",最佳化斷筋點!J50)</f>
        <v/>
      </c>
      <c r="AJ50" s="37" t="str">
        <f>IF(最佳化斷筋點!K50="","",最佳化斷筋點!K50)</f>
        <v/>
      </c>
      <c r="AK50" s="37" t="str">
        <f>IF(最佳化斷筋點!L50="","",最佳化斷筋點!L50)</f>
        <v/>
      </c>
      <c r="AL50" s="37" t="str">
        <f>IF(最佳化斷筋點!M50="","",最佳化斷筋點!M50)</f>
        <v/>
      </c>
      <c r="AM50" s="37" t="str">
        <f>IF(最佳化斷筋點!N50="","",最佳化斷筋點!N50)</f>
        <v/>
      </c>
      <c r="AN50" s="37" t="str">
        <f>IF(最佳化斷筋點!O50="","",最佳化斷筋點!O50)</f>
        <v/>
      </c>
      <c r="AO50" s="37" t="str">
        <f>IF(最佳化斷筋點!P50="","",最佳化斷筋點!P50)</f>
        <v/>
      </c>
      <c r="AP50" s="37" t="str">
        <f>IF(最佳化斷筋點!Q50="","",最佳化斷筋點!Q50)</f>
        <v/>
      </c>
      <c r="AQ50" s="37" t="str">
        <f>IF(最佳化斷筋點!R50="","",最佳化斷筋點!R50)</f>
        <v/>
      </c>
      <c r="AR50" s="37" t="str">
        <f>IF(最佳化斷筋點!S50="","",最佳化斷筋點!S50)</f>
        <v/>
      </c>
      <c r="AS50" s="37" t="str">
        <f>IF(最佳化斷筋點!T50="","",最佳化斷筋點!T50)</f>
        <v/>
      </c>
      <c r="AT50" s="37" t="str">
        <f>IF(最佳化斷筋點!U50="","",最佳化斷筋點!U50)</f>
        <v/>
      </c>
      <c r="AU50" s="37" t="str">
        <f>IF(最佳化斷筋點!V50="","",最佳化斷筋點!V50)</f>
        <v/>
      </c>
      <c r="AV50" s="37" t="str">
        <f>IF(最佳化斷筋點!W50="","",最佳化斷筋點!W50)</f>
        <v/>
      </c>
      <c r="AW50" s="37" t="str">
        <f>IF(最佳化斷筋點!X50="","",最佳化斷筋點!X50)</f>
        <v/>
      </c>
      <c r="AZ50" s="37" t="s">
        <v>197</v>
      </c>
      <c r="BA50" s="37" t="s">
        <v>197</v>
      </c>
      <c r="BB50" s="37" t="s">
        <v>197</v>
      </c>
      <c r="BC50" s="37" t="s">
        <v>197</v>
      </c>
      <c r="BD50" s="37" t="s">
        <v>197</v>
      </c>
      <c r="BE50" s="37" t="s">
        <v>197</v>
      </c>
      <c r="BF50" s="37" t="s">
        <v>197</v>
      </c>
      <c r="BG50" s="37" t="s">
        <v>197</v>
      </c>
      <c r="BH50" s="37" t="s">
        <v>197</v>
      </c>
      <c r="BI50" s="37" t="s">
        <v>197</v>
      </c>
      <c r="BJ50" s="37" t="s">
        <v>197</v>
      </c>
      <c r="BK50" s="37" t="s">
        <v>197</v>
      </c>
      <c r="BL50" s="37" t="s">
        <v>197</v>
      </c>
      <c r="BM50" s="37" t="s">
        <v>197</v>
      </c>
      <c r="BN50" s="37" t="s">
        <v>197</v>
      </c>
      <c r="BO50" s="37" t="s">
        <v>197</v>
      </c>
      <c r="BP50" s="37" t="s">
        <v>197</v>
      </c>
      <c r="BQ50" s="37" t="s">
        <v>197</v>
      </c>
      <c r="BR50" s="37" t="s">
        <v>197</v>
      </c>
      <c r="BS50" s="37" t="s">
        <v>197</v>
      </c>
      <c r="BT50" s="37" t="s">
        <v>197</v>
      </c>
    </row>
    <row r="51" spans="5:72" x14ac:dyDescent="0.25">
      <c r="E51" s="6" t="s">
        <v>20</v>
      </c>
      <c r="F51" s="6">
        <f t="shared" si="1"/>
        <v>0</v>
      </c>
      <c r="G51" s="6">
        <f t="shared" si="2"/>
        <v>0</v>
      </c>
      <c r="H51" s="6">
        <f t="shared" si="3"/>
        <v>0</v>
      </c>
      <c r="I51" s="6">
        <f t="shared" si="4"/>
        <v>0</v>
      </c>
      <c r="J51" s="6">
        <f t="shared" si="5"/>
        <v>0</v>
      </c>
      <c r="K51" s="6">
        <f t="shared" si="6"/>
        <v>0</v>
      </c>
      <c r="L51" s="6">
        <f t="shared" si="7"/>
        <v>0</v>
      </c>
      <c r="M51" s="6">
        <f t="shared" si="8"/>
        <v>0</v>
      </c>
      <c r="N51" s="6">
        <f t="shared" si="9"/>
        <v>0</v>
      </c>
      <c r="O51" s="6">
        <f t="shared" si="10"/>
        <v>0</v>
      </c>
      <c r="P51" s="6">
        <f t="shared" si="11"/>
        <v>0</v>
      </c>
      <c r="Q51" s="6">
        <f t="shared" si="12"/>
        <v>0</v>
      </c>
      <c r="R51" s="6">
        <f t="shared" si="13"/>
        <v>0</v>
      </c>
      <c r="S51" s="6">
        <f t="shared" si="14"/>
        <v>0</v>
      </c>
      <c r="T51" s="6">
        <f t="shared" si="15"/>
        <v>0</v>
      </c>
      <c r="U51" s="6">
        <f t="shared" si="16"/>
        <v>0</v>
      </c>
      <c r="V51" s="6">
        <f t="shared" si="17"/>
        <v>0</v>
      </c>
      <c r="W51" s="6">
        <f t="shared" si="18"/>
        <v>0</v>
      </c>
      <c r="X51" s="6">
        <f t="shared" si="19"/>
        <v>0</v>
      </c>
      <c r="Y51" s="6">
        <f t="shared" si="20"/>
        <v>0</v>
      </c>
      <c r="Z51" s="6">
        <f t="shared" si="21"/>
        <v>0</v>
      </c>
      <c r="AB51" s="36" t="str">
        <f>IF(最佳化斷筋點!C51="","",最佳化斷筋點!C51)</f>
        <v>上層</v>
      </c>
      <c r="AC51" s="37">
        <f>IF(最佳化斷筋點!D51="","",最佳化斷筋點!D51)</f>
        <v>2</v>
      </c>
      <c r="AD51" s="37">
        <f>IF(最佳化斷筋點!E51="","",最佳化斷筋點!E51)</f>
        <v>2</v>
      </c>
      <c r="AE51" s="37">
        <f>IF(最佳化斷筋點!F51="","",最佳化斷筋點!F51)</f>
        <v>2</v>
      </c>
      <c r="AF51" s="37">
        <f>IF(最佳化斷筋點!G51="","",最佳化斷筋點!G51)</f>
        <v>2</v>
      </c>
      <c r="AG51" s="37">
        <f>IF(最佳化斷筋點!H51="","",最佳化斷筋點!H51)</f>
        <v>2</v>
      </c>
      <c r="AH51" s="37">
        <f>IF(最佳化斷筋點!I51="","",最佳化斷筋點!I51)</f>
        <v>2</v>
      </c>
      <c r="AI51" s="37">
        <f>IF(最佳化斷筋點!J51="","",最佳化斷筋點!J51)</f>
        <v>2</v>
      </c>
      <c r="AJ51" s="37">
        <f>IF(最佳化斷筋點!K51="","",最佳化斷筋點!K51)</f>
        <v>2</v>
      </c>
      <c r="AK51" s="37">
        <f>IF(最佳化斷筋點!L51="","",最佳化斷筋點!L51)</f>
        <v>2</v>
      </c>
      <c r="AL51" s="37">
        <f>IF(最佳化斷筋點!M51="","",最佳化斷筋點!M51)</f>
        <v>2</v>
      </c>
      <c r="AM51" s="37">
        <f>IF(最佳化斷筋點!N51="","",最佳化斷筋點!N51)</f>
        <v>2</v>
      </c>
      <c r="AN51" s="37">
        <f>IF(最佳化斷筋點!O51="","",最佳化斷筋點!O51)</f>
        <v>2</v>
      </c>
      <c r="AO51" s="37">
        <f>IF(最佳化斷筋點!P51="","",最佳化斷筋點!P51)</f>
        <v>2</v>
      </c>
      <c r="AP51" s="37">
        <f>IF(最佳化斷筋點!Q51="","",最佳化斷筋點!Q51)</f>
        <v>3</v>
      </c>
      <c r="AQ51" s="37">
        <f>IF(最佳化斷筋點!R51="","",最佳化斷筋點!R51)</f>
        <v>3</v>
      </c>
      <c r="AR51" s="37">
        <f>IF(最佳化斷筋點!S51="","",最佳化斷筋點!S51)</f>
        <v>3</v>
      </c>
      <c r="AS51" s="37">
        <f>IF(最佳化斷筋點!T51="","",最佳化斷筋點!T51)</f>
        <v>3</v>
      </c>
      <c r="AT51" s="37">
        <f>IF(最佳化斷筋點!U51="","",最佳化斷筋點!U51)</f>
        <v>3</v>
      </c>
      <c r="AU51" s="37">
        <f>IF(最佳化斷筋點!V51="","",最佳化斷筋點!V51)</f>
        <v>3</v>
      </c>
      <c r="AV51" s="37">
        <f>IF(最佳化斷筋點!W51="","",最佳化斷筋點!W51)</f>
        <v>3</v>
      </c>
      <c r="AW51" s="37">
        <f>IF(最佳化斷筋點!X51="","",最佳化斷筋點!X51)</f>
        <v>3</v>
      </c>
      <c r="AY51" s="6" t="s">
        <v>20</v>
      </c>
      <c r="AZ51" s="37">
        <v>2</v>
      </c>
      <c r="BA51" s="37">
        <v>2</v>
      </c>
      <c r="BB51" s="37">
        <v>2</v>
      </c>
      <c r="BC51" s="37">
        <v>2</v>
      </c>
      <c r="BD51" s="37">
        <v>2</v>
      </c>
      <c r="BE51" s="37">
        <v>2</v>
      </c>
      <c r="BF51" s="37">
        <v>2</v>
      </c>
      <c r="BG51" s="37">
        <v>2</v>
      </c>
      <c r="BH51" s="37">
        <v>2</v>
      </c>
      <c r="BI51" s="37">
        <v>2</v>
      </c>
      <c r="BJ51" s="37">
        <v>2</v>
      </c>
      <c r="BK51" s="37">
        <v>2</v>
      </c>
      <c r="BL51" s="37">
        <v>2</v>
      </c>
      <c r="BM51" s="37">
        <v>3</v>
      </c>
      <c r="BN51" s="37">
        <v>3</v>
      </c>
      <c r="BO51" s="37">
        <v>3</v>
      </c>
      <c r="BP51" s="37">
        <v>3</v>
      </c>
      <c r="BQ51" s="37">
        <v>3</v>
      </c>
      <c r="BR51" s="37">
        <v>3</v>
      </c>
      <c r="BS51" s="37">
        <v>3</v>
      </c>
      <c r="BT51" s="37">
        <v>3</v>
      </c>
    </row>
    <row r="52" spans="5:72" x14ac:dyDescent="0.25">
      <c r="F52" s="6">
        <f t="shared" si="1"/>
        <v>0</v>
      </c>
      <c r="G52" s="6">
        <f t="shared" si="2"/>
        <v>0</v>
      </c>
      <c r="H52" s="6">
        <f t="shared" si="3"/>
        <v>0</v>
      </c>
      <c r="I52" s="6">
        <f t="shared" si="4"/>
        <v>0</v>
      </c>
      <c r="J52" s="6">
        <f t="shared" si="5"/>
        <v>0</v>
      </c>
      <c r="K52" s="6">
        <f t="shared" si="6"/>
        <v>0</v>
      </c>
      <c r="L52" s="6">
        <f t="shared" si="7"/>
        <v>0</v>
      </c>
      <c r="M52" s="6">
        <f t="shared" si="8"/>
        <v>0</v>
      </c>
      <c r="N52" s="6">
        <f t="shared" si="9"/>
        <v>0</v>
      </c>
      <c r="O52" s="6">
        <f t="shared" si="10"/>
        <v>0</v>
      </c>
      <c r="P52" s="6">
        <f t="shared" si="11"/>
        <v>0</v>
      </c>
      <c r="Q52" s="6">
        <f t="shared" si="12"/>
        <v>0</v>
      </c>
      <c r="R52" s="6">
        <f t="shared" si="13"/>
        <v>0</v>
      </c>
      <c r="S52" s="6">
        <f t="shared" si="14"/>
        <v>0</v>
      </c>
      <c r="T52" s="6">
        <f t="shared" si="15"/>
        <v>0</v>
      </c>
      <c r="U52" s="6">
        <f t="shared" si="16"/>
        <v>0</v>
      </c>
      <c r="V52" s="6">
        <f t="shared" si="17"/>
        <v>0</v>
      </c>
      <c r="W52" s="6">
        <f t="shared" si="18"/>
        <v>0</v>
      </c>
      <c r="X52" s="6">
        <f t="shared" si="19"/>
        <v>0</v>
      </c>
      <c r="Y52" s="6">
        <f t="shared" si="20"/>
        <v>0</v>
      </c>
      <c r="Z52" s="6">
        <f t="shared" si="21"/>
        <v>0</v>
      </c>
      <c r="AB52" s="36" t="str">
        <f>IF(最佳化斷筋點!C52="","",最佳化斷筋點!C52)</f>
        <v/>
      </c>
      <c r="AC52" s="37" t="str">
        <f>IF(最佳化斷筋點!D52="","",最佳化斷筋點!D52)</f>
        <v/>
      </c>
      <c r="AD52" s="37" t="str">
        <f>IF(最佳化斷筋點!E52="","",最佳化斷筋點!E52)</f>
        <v/>
      </c>
      <c r="AE52" s="37" t="str">
        <f>IF(最佳化斷筋點!F52="","",最佳化斷筋點!F52)</f>
        <v/>
      </c>
      <c r="AF52" s="37" t="str">
        <f>IF(最佳化斷筋點!G52="","",最佳化斷筋點!G52)</f>
        <v/>
      </c>
      <c r="AG52" s="37" t="str">
        <f>IF(最佳化斷筋點!H52="","",最佳化斷筋點!H52)</f>
        <v/>
      </c>
      <c r="AH52" s="37" t="str">
        <f>IF(最佳化斷筋點!I52="","",最佳化斷筋點!I52)</f>
        <v/>
      </c>
      <c r="AI52" s="37" t="str">
        <f>IF(最佳化斷筋點!J52="","",最佳化斷筋點!J52)</f>
        <v/>
      </c>
      <c r="AJ52" s="37" t="str">
        <f>IF(最佳化斷筋點!K52="","",最佳化斷筋點!K52)</f>
        <v/>
      </c>
      <c r="AK52" s="37" t="str">
        <f>IF(最佳化斷筋點!L52="","",最佳化斷筋點!L52)</f>
        <v/>
      </c>
      <c r="AL52" s="37" t="str">
        <f>IF(最佳化斷筋點!M52="","",最佳化斷筋點!M52)</f>
        <v/>
      </c>
      <c r="AM52" s="37" t="str">
        <f>IF(最佳化斷筋點!N52="","",最佳化斷筋點!N52)</f>
        <v/>
      </c>
      <c r="AN52" s="37" t="str">
        <f>IF(最佳化斷筋點!O52="","",最佳化斷筋點!O52)</f>
        <v/>
      </c>
      <c r="AO52" s="37" t="str">
        <f>IF(最佳化斷筋點!P52="","",最佳化斷筋點!P52)</f>
        <v/>
      </c>
      <c r="AP52" s="37" t="str">
        <f>IF(最佳化斷筋點!Q52="","",最佳化斷筋點!Q52)</f>
        <v/>
      </c>
      <c r="AQ52" s="37" t="str">
        <f>IF(最佳化斷筋點!R52="","",最佳化斷筋點!R52)</f>
        <v/>
      </c>
      <c r="AR52" s="37" t="str">
        <f>IF(最佳化斷筋點!S52="","",最佳化斷筋點!S52)</f>
        <v/>
      </c>
      <c r="AS52" s="37" t="str">
        <f>IF(最佳化斷筋點!T52="","",最佳化斷筋點!T52)</f>
        <v/>
      </c>
      <c r="AT52" s="37" t="str">
        <f>IF(最佳化斷筋點!U52="","",最佳化斷筋點!U52)</f>
        <v/>
      </c>
      <c r="AU52" s="37" t="str">
        <f>IF(最佳化斷筋點!V52="","",最佳化斷筋點!V52)</f>
        <v/>
      </c>
      <c r="AV52" s="37" t="str">
        <f>IF(最佳化斷筋點!W52="","",最佳化斷筋點!W52)</f>
        <v/>
      </c>
      <c r="AW52" s="37" t="str">
        <f>IF(最佳化斷筋點!X52="","",最佳化斷筋點!X52)</f>
        <v/>
      </c>
      <c r="AZ52" s="37" t="s">
        <v>197</v>
      </c>
      <c r="BA52" s="37" t="s">
        <v>197</v>
      </c>
      <c r="BB52" s="37" t="s">
        <v>197</v>
      </c>
      <c r="BC52" s="37" t="s">
        <v>197</v>
      </c>
      <c r="BD52" s="37" t="s">
        <v>197</v>
      </c>
      <c r="BE52" s="37" t="s">
        <v>197</v>
      </c>
      <c r="BF52" s="37" t="s">
        <v>197</v>
      </c>
      <c r="BG52" s="37" t="s">
        <v>197</v>
      </c>
      <c r="BH52" s="37" t="s">
        <v>197</v>
      </c>
      <c r="BI52" s="37" t="s">
        <v>197</v>
      </c>
      <c r="BJ52" s="37" t="s">
        <v>197</v>
      </c>
      <c r="BK52" s="37" t="s">
        <v>197</v>
      </c>
      <c r="BL52" s="37" t="s">
        <v>197</v>
      </c>
      <c r="BM52" s="37" t="s">
        <v>197</v>
      </c>
      <c r="BN52" s="37" t="s">
        <v>197</v>
      </c>
      <c r="BO52" s="37" t="s">
        <v>197</v>
      </c>
      <c r="BP52" s="37" t="s">
        <v>197</v>
      </c>
      <c r="BQ52" s="37" t="s">
        <v>197</v>
      </c>
      <c r="BR52" s="37" t="s">
        <v>197</v>
      </c>
      <c r="BS52" s="37" t="s">
        <v>197</v>
      </c>
      <c r="BT52" s="37" t="s">
        <v>197</v>
      </c>
    </row>
    <row r="53" spans="5:72" x14ac:dyDescent="0.25">
      <c r="E53" s="6" t="s">
        <v>21</v>
      </c>
      <c r="F53" s="6">
        <f t="shared" si="1"/>
        <v>0</v>
      </c>
      <c r="G53" s="6">
        <f t="shared" si="2"/>
        <v>0</v>
      </c>
      <c r="H53" s="6">
        <f t="shared" si="3"/>
        <v>0</v>
      </c>
      <c r="I53" s="6">
        <f t="shared" si="4"/>
        <v>0</v>
      </c>
      <c r="J53" s="6">
        <f t="shared" si="5"/>
        <v>0</v>
      </c>
      <c r="K53" s="6">
        <f t="shared" si="6"/>
        <v>0</v>
      </c>
      <c r="L53" s="6">
        <f t="shared" si="7"/>
        <v>0</v>
      </c>
      <c r="M53" s="6">
        <f t="shared" si="8"/>
        <v>0</v>
      </c>
      <c r="N53" s="6">
        <f t="shared" si="9"/>
        <v>0</v>
      </c>
      <c r="O53" s="6">
        <f t="shared" si="10"/>
        <v>0</v>
      </c>
      <c r="P53" s="6">
        <f t="shared" si="11"/>
        <v>0</v>
      </c>
      <c r="Q53" s="6">
        <f t="shared" si="12"/>
        <v>0</v>
      </c>
      <c r="R53" s="6">
        <f t="shared" si="13"/>
        <v>0</v>
      </c>
      <c r="S53" s="6">
        <f t="shared" si="14"/>
        <v>0</v>
      </c>
      <c r="T53" s="6">
        <f t="shared" si="15"/>
        <v>0</v>
      </c>
      <c r="U53" s="6">
        <f t="shared" si="16"/>
        <v>0</v>
      </c>
      <c r="V53" s="6">
        <f t="shared" si="17"/>
        <v>0</v>
      </c>
      <c r="W53" s="6">
        <f t="shared" si="18"/>
        <v>0</v>
      </c>
      <c r="X53" s="6">
        <f t="shared" si="19"/>
        <v>0</v>
      </c>
      <c r="Y53" s="6">
        <f t="shared" si="20"/>
        <v>0</v>
      </c>
      <c r="Z53" s="6">
        <f t="shared" si="21"/>
        <v>0</v>
      </c>
      <c r="AB53" s="36" t="str">
        <f>IF(最佳化斷筋點!C53="","",最佳化斷筋點!C53)</f>
        <v>下層</v>
      </c>
      <c r="AC53" s="37">
        <f>IF(最佳化斷筋點!D53="","",最佳化斷筋點!D53)</f>
        <v>2</v>
      </c>
      <c r="AD53" s="37">
        <f>IF(最佳化斷筋點!E53="","",最佳化斷筋點!E53)</f>
        <v>2</v>
      </c>
      <c r="AE53" s="37">
        <f>IF(最佳化斷筋點!F53="","",最佳化斷筋點!F53)</f>
        <v>2</v>
      </c>
      <c r="AF53" s="37">
        <f>IF(最佳化斷筋點!G53="","",最佳化斷筋點!G53)</f>
        <v>2</v>
      </c>
      <c r="AG53" s="37">
        <f>IF(最佳化斷筋點!H53="","",最佳化斷筋點!H53)</f>
        <v>2</v>
      </c>
      <c r="AH53" s="37">
        <f>IF(最佳化斷筋點!I53="","",最佳化斷筋點!I53)</f>
        <v>2</v>
      </c>
      <c r="AI53" s="37">
        <f>IF(最佳化斷筋點!J53="","",最佳化斷筋點!J53)</f>
        <v>2</v>
      </c>
      <c r="AJ53" s="37">
        <f>IF(最佳化斷筋點!K53="","",最佳化斷筋點!K53)</f>
        <v>2</v>
      </c>
      <c r="AK53" s="37">
        <f>IF(最佳化斷筋點!L53="","",最佳化斷筋點!L53)</f>
        <v>2</v>
      </c>
      <c r="AL53" s="37">
        <f>IF(最佳化斷筋點!M53="","",最佳化斷筋點!M53)</f>
        <v>2</v>
      </c>
      <c r="AM53" s="37">
        <f>IF(最佳化斷筋點!N53="","",最佳化斷筋點!N53)</f>
        <v>2</v>
      </c>
      <c r="AN53" s="37">
        <f>IF(最佳化斷筋點!O53="","",最佳化斷筋點!O53)</f>
        <v>2</v>
      </c>
      <c r="AO53" s="37">
        <f>IF(最佳化斷筋點!P53="","",最佳化斷筋點!P53)</f>
        <v>2</v>
      </c>
      <c r="AP53" s="37">
        <f>IF(最佳化斷筋點!Q53="","",最佳化斷筋點!Q53)</f>
        <v>2</v>
      </c>
      <c r="AQ53" s="37">
        <f>IF(最佳化斷筋點!R53="","",最佳化斷筋點!R53)</f>
        <v>2</v>
      </c>
      <c r="AR53" s="37">
        <f>IF(最佳化斷筋點!S53="","",最佳化斷筋點!S53)</f>
        <v>2</v>
      </c>
      <c r="AS53" s="37">
        <f>IF(最佳化斷筋點!T53="","",最佳化斷筋點!T53)</f>
        <v>2</v>
      </c>
      <c r="AT53" s="37">
        <f>IF(最佳化斷筋點!U53="","",最佳化斷筋點!U53)</f>
        <v>2</v>
      </c>
      <c r="AU53" s="37">
        <f>IF(最佳化斷筋點!V53="","",最佳化斷筋點!V53)</f>
        <v>2</v>
      </c>
      <c r="AV53" s="37">
        <f>IF(最佳化斷筋點!W53="","",最佳化斷筋點!W53)</f>
        <v>2</v>
      </c>
      <c r="AW53" s="37">
        <f>IF(最佳化斷筋點!X53="","",最佳化斷筋點!X53)</f>
        <v>2</v>
      </c>
      <c r="AY53" s="6" t="s">
        <v>21</v>
      </c>
      <c r="AZ53" s="37">
        <v>2</v>
      </c>
      <c r="BA53" s="37">
        <v>2</v>
      </c>
      <c r="BB53" s="37">
        <v>2</v>
      </c>
      <c r="BC53" s="37">
        <v>2</v>
      </c>
      <c r="BD53" s="37">
        <v>2</v>
      </c>
      <c r="BE53" s="37">
        <v>2</v>
      </c>
      <c r="BF53" s="37">
        <v>2</v>
      </c>
      <c r="BG53" s="37">
        <v>2</v>
      </c>
      <c r="BH53" s="37">
        <v>2</v>
      </c>
      <c r="BI53" s="37">
        <v>2</v>
      </c>
      <c r="BJ53" s="37">
        <v>2</v>
      </c>
      <c r="BK53" s="37">
        <v>2</v>
      </c>
      <c r="BL53" s="37">
        <v>2</v>
      </c>
      <c r="BM53" s="37">
        <v>2</v>
      </c>
      <c r="BN53" s="37">
        <v>2</v>
      </c>
      <c r="BO53" s="37">
        <v>2</v>
      </c>
      <c r="BP53" s="37">
        <v>2</v>
      </c>
      <c r="BQ53" s="37">
        <v>2</v>
      </c>
      <c r="BR53" s="37">
        <v>2</v>
      </c>
      <c r="BS53" s="37">
        <v>2</v>
      </c>
      <c r="BT53" s="37">
        <v>2</v>
      </c>
    </row>
    <row r="54" spans="5:72" x14ac:dyDescent="0.25">
      <c r="F54" s="6">
        <f t="shared" si="1"/>
        <v>0</v>
      </c>
      <c r="G54" s="6">
        <f t="shared" si="2"/>
        <v>0</v>
      </c>
      <c r="H54" s="6">
        <f t="shared" si="3"/>
        <v>0</v>
      </c>
      <c r="I54" s="6">
        <f t="shared" si="4"/>
        <v>0</v>
      </c>
      <c r="J54" s="6">
        <f t="shared" si="5"/>
        <v>0</v>
      </c>
      <c r="K54" s="6">
        <f t="shared" si="6"/>
        <v>0</v>
      </c>
      <c r="L54" s="6">
        <f t="shared" si="7"/>
        <v>0</v>
      </c>
      <c r="M54" s="6">
        <f t="shared" si="8"/>
        <v>0</v>
      </c>
      <c r="N54" s="6">
        <f t="shared" si="9"/>
        <v>0</v>
      </c>
      <c r="O54" s="6">
        <f t="shared" si="10"/>
        <v>0</v>
      </c>
      <c r="P54" s="6">
        <f t="shared" si="11"/>
        <v>0</v>
      </c>
      <c r="Q54" s="6">
        <f t="shared" si="12"/>
        <v>0</v>
      </c>
      <c r="R54" s="6">
        <f t="shared" si="13"/>
        <v>0</v>
      </c>
      <c r="S54" s="6">
        <f t="shared" si="14"/>
        <v>0</v>
      </c>
      <c r="T54" s="6">
        <f t="shared" si="15"/>
        <v>0</v>
      </c>
      <c r="U54" s="6">
        <f t="shared" si="16"/>
        <v>0</v>
      </c>
      <c r="V54" s="6">
        <f t="shared" si="17"/>
        <v>0</v>
      </c>
      <c r="W54" s="6">
        <f t="shared" si="18"/>
        <v>0</v>
      </c>
      <c r="X54" s="6">
        <f t="shared" si="19"/>
        <v>0</v>
      </c>
      <c r="Y54" s="6">
        <f t="shared" si="20"/>
        <v>0</v>
      </c>
      <c r="Z54" s="6">
        <f t="shared" si="21"/>
        <v>0</v>
      </c>
      <c r="AB54" s="36" t="str">
        <f>IF(最佳化斷筋點!C54="","",最佳化斷筋點!C54)</f>
        <v/>
      </c>
      <c r="AC54" s="37" t="str">
        <f>IF(最佳化斷筋點!D54="","",最佳化斷筋點!D54)</f>
        <v/>
      </c>
      <c r="AD54" s="37" t="str">
        <f>IF(最佳化斷筋點!E54="","",最佳化斷筋點!E54)</f>
        <v/>
      </c>
      <c r="AE54" s="37" t="str">
        <f>IF(最佳化斷筋點!F54="","",最佳化斷筋點!F54)</f>
        <v/>
      </c>
      <c r="AF54" s="37" t="str">
        <f>IF(最佳化斷筋點!G54="","",最佳化斷筋點!G54)</f>
        <v/>
      </c>
      <c r="AG54" s="37" t="str">
        <f>IF(最佳化斷筋點!H54="","",最佳化斷筋點!H54)</f>
        <v/>
      </c>
      <c r="AH54" s="37" t="str">
        <f>IF(最佳化斷筋點!I54="","",最佳化斷筋點!I54)</f>
        <v/>
      </c>
      <c r="AI54" s="37" t="str">
        <f>IF(最佳化斷筋點!J54="","",最佳化斷筋點!J54)</f>
        <v/>
      </c>
      <c r="AJ54" s="37" t="str">
        <f>IF(最佳化斷筋點!K54="","",最佳化斷筋點!K54)</f>
        <v/>
      </c>
      <c r="AK54" s="37" t="str">
        <f>IF(最佳化斷筋點!L54="","",最佳化斷筋點!L54)</f>
        <v/>
      </c>
      <c r="AL54" s="37" t="str">
        <f>IF(最佳化斷筋點!M54="","",最佳化斷筋點!M54)</f>
        <v/>
      </c>
      <c r="AM54" s="37" t="str">
        <f>IF(最佳化斷筋點!N54="","",最佳化斷筋點!N54)</f>
        <v/>
      </c>
      <c r="AN54" s="37" t="str">
        <f>IF(最佳化斷筋點!O54="","",最佳化斷筋點!O54)</f>
        <v/>
      </c>
      <c r="AO54" s="37" t="str">
        <f>IF(最佳化斷筋點!P54="","",最佳化斷筋點!P54)</f>
        <v/>
      </c>
      <c r="AP54" s="37" t="str">
        <f>IF(最佳化斷筋點!Q54="","",最佳化斷筋點!Q54)</f>
        <v/>
      </c>
      <c r="AQ54" s="37" t="str">
        <f>IF(最佳化斷筋點!R54="","",最佳化斷筋點!R54)</f>
        <v/>
      </c>
      <c r="AR54" s="37" t="str">
        <f>IF(最佳化斷筋點!S54="","",最佳化斷筋點!S54)</f>
        <v/>
      </c>
      <c r="AS54" s="37" t="str">
        <f>IF(最佳化斷筋點!T54="","",最佳化斷筋點!T54)</f>
        <v/>
      </c>
      <c r="AT54" s="37" t="str">
        <f>IF(最佳化斷筋點!U54="","",最佳化斷筋點!U54)</f>
        <v/>
      </c>
      <c r="AU54" s="37" t="str">
        <f>IF(最佳化斷筋點!V54="","",最佳化斷筋點!V54)</f>
        <v/>
      </c>
      <c r="AV54" s="37" t="str">
        <f>IF(最佳化斷筋點!W54="","",最佳化斷筋點!W54)</f>
        <v/>
      </c>
      <c r="AW54" s="37" t="str">
        <f>IF(最佳化斷筋點!X54="","",最佳化斷筋點!X54)</f>
        <v/>
      </c>
      <c r="AZ54" s="37" t="s">
        <v>197</v>
      </c>
      <c r="BA54" s="37" t="s">
        <v>197</v>
      </c>
      <c r="BB54" s="37" t="s">
        <v>197</v>
      </c>
      <c r="BC54" s="37" t="s">
        <v>197</v>
      </c>
      <c r="BD54" s="37" t="s">
        <v>197</v>
      </c>
      <c r="BE54" s="37" t="s">
        <v>197</v>
      </c>
      <c r="BF54" s="37" t="s">
        <v>197</v>
      </c>
      <c r="BG54" s="37" t="s">
        <v>197</v>
      </c>
      <c r="BH54" s="37" t="s">
        <v>197</v>
      </c>
      <c r="BI54" s="37" t="s">
        <v>197</v>
      </c>
      <c r="BJ54" s="37" t="s">
        <v>197</v>
      </c>
      <c r="BK54" s="37" t="s">
        <v>197</v>
      </c>
      <c r="BL54" s="37" t="s">
        <v>197</v>
      </c>
      <c r="BM54" s="37" t="s">
        <v>197</v>
      </c>
      <c r="BN54" s="37" t="s">
        <v>197</v>
      </c>
      <c r="BO54" s="37" t="s">
        <v>197</v>
      </c>
      <c r="BP54" s="37" t="s">
        <v>197</v>
      </c>
      <c r="BQ54" s="37" t="s">
        <v>197</v>
      </c>
      <c r="BR54" s="37" t="s">
        <v>197</v>
      </c>
      <c r="BS54" s="37" t="s">
        <v>197</v>
      </c>
      <c r="BT54" s="37" t="s">
        <v>197</v>
      </c>
    </row>
    <row r="55" spans="5:72" x14ac:dyDescent="0.25">
      <c r="E55" s="6" t="s">
        <v>20</v>
      </c>
      <c r="F55" s="6">
        <f t="shared" si="1"/>
        <v>0</v>
      </c>
      <c r="G55" s="6">
        <f t="shared" si="2"/>
        <v>0</v>
      </c>
      <c r="H55" s="6">
        <f t="shared" si="3"/>
        <v>0</v>
      </c>
      <c r="I55" s="6">
        <f t="shared" si="4"/>
        <v>0</v>
      </c>
      <c r="J55" s="6">
        <f t="shared" si="5"/>
        <v>0</v>
      </c>
      <c r="K55" s="6">
        <f t="shared" si="6"/>
        <v>0</v>
      </c>
      <c r="L55" s="6">
        <f t="shared" si="7"/>
        <v>0</v>
      </c>
      <c r="M55" s="6">
        <f t="shared" si="8"/>
        <v>0</v>
      </c>
      <c r="N55" s="6">
        <f t="shared" si="9"/>
        <v>0</v>
      </c>
      <c r="O55" s="6">
        <f t="shared" si="10"/>
        <v>0</v>
      </c>
      <c r="P55" s="6">
        <f t="shared" si="11"/>
        <v>0</v>
      </c>
      <c r="Q55" s="6">
        <f t="shared" si="12"/>
        <v>0</v>
      </c>
      <c r="R55" s="6">
        <f t="shared" si="13"/>
        <v>0</v>
      </c>
      <c r="S55" s="6">
        <f t="shared" si="14"/>
        <v>0</v>
      </c>
      <c r="T55" s="6">
        <f t="shared" si="15"/>
        <v>0</v>
      </c>
      <c r="U55" s="6">
        <f t="shared" si="16"/>
        <v>0</v>
      </c>
      <c r="V55" s="6">
        <f t="shared" si="17"/>
        <v>0</v>
      </c>
      <c r="W55" s="6">
        <f t="shared" si="18"/>
        <v>0</v>
      </c>
      <c r="X55" s="6">
        <f t="shared" si="19"/>
        <v>0</v>
      </c>
      <c r="Y55" s="6">
        <f t="shared" si="20"/>
        <v>0</v>
      </c>
      <c r="Z55" s="6">
        <f t="shared" si="21"/>
        <v>0</v>
      </c>
      <c r="AB55" s="36" t="str">
        <f>IF(最佳化斷筋點!C55="","",最佳化斷筋點!C55)</f>
        <v>上層</v>
      </c>
      <c r="AC55" s="37">
        <f>IF(最佳化斷筋點!D55="","",最佳化斷筋點!D55)</f>
        <v>2</v>
      </c>
      <c r="AD55" s="37">
        <f>IF(最佳化斷筋點!E55="","",最佳化斷筋點!E55)</f>
        <v>2</v>
      </c>
      <c r="AE55" s="37">
        <f>IF(最佳化斷筋點!F55="","",最佳化斷筋點!F55)</f>
        <v>2</v>
      </c>
      <c r="AF55" s="37">
        <f>IF(最佳化斷筋點!G55="","",最佳化斷筋點!G55)</f>
        <v>2</v>
      </c>
      <c r="AG55" s="37">
        <f>IF(最佳化斷筋點!H55="","",最佳化斷筋點!H55)</f>
        <v>2</v>
      </c>
      <c r="AH55" s="37">
        <f>IF(最佳化斷筋點!I55="","",最佳化斷筋點!I55)</f>
        <v>2</v>
      </c>
      <c r="AI55" s="37">
        <f>IF(最佳化斷筋點!J55="","",最佳化斷筋點!J55)</f>
        <v>2</v>
      </c>
      <c r="AJ55" s="37">
        <f>IF(最佳化斷筋點!K55="","",最佳化斷筋點!K55)</f>
        <v>2</v>
      </c>
      <c r="AK55" s="37">
        <f>IF(最佳化斷筋點!L55="","",最佳化斷筋點!L55)</f>
        <v>2</v>
      </c>
      <c r="AL55" s="37">
        <f>IF(最佳化斷筋點!M55="","",最佳化斷筋點!M55)</f>
        <v>2</v>
      </c>
      <c r="AM55" s="37">
        <f>IF(最佳化斷筋點!N55="","",最佳化斷筋點!N55)</f>
        <v>2</v>
      </c>
      <c r="AN55" s="37">
        <f>IF(最佳化斷筋點!O55="","",最佳化斷筋點!O55)</f>
        <v>2</v>
      </c>
      <c r="AO55" s="37">
        <f>IF(最佳化斷筋點!P55="","",最佳化斷筋點!P55)</f>
        <v>2</v>
      </c>
      <c r="AP55" s="37">
        <f>IF(最佳化斷筋點!Q55="","",最佳化斷筋點!Q55)</f>
        <v>5</v>
      </c>
      <c r="AQ55" s="37">
        <f>IF(最佳化斷筋點!R55="","",最佳化斷筋點!R55)</f>
        <v>5</v>
      </c>
      <c r="AR55" s="37">
        <f>IF(最佳化斷筋點!S55="","",最佳化斷筋點!S55)</f>
        <v>5</v>
      </c>
      <c r="AS55" s="37">
        <f>IF(最佳化斷筋點!T55="","",最佳化斷筋點!T55)</f>
        <v>5</v>
      </c>
      <c r="AT55" s="37">
        <f>IF(最佳化斷筋點!U55="","",最佳化斷筋點!U55)</f>
        <v>5</v>
      </c>
      <c r="AU55" s="37">
        <f>IF(最佳化斷筋點!V55="","",最佳化斷筋點!V55)</f>
        <v>5</v>
      </c>
      <c r="AV55" s="37">
        <f>IF(最佳化斷筋點!W55="","",最佳化斷筋點!W55)</f>
        <v>5</v>
      </c>
      <c r="AW55" s="37">
        <f>IF(最佳化斷筋點!X55="","",最佳化斷筋點!X55)</f>
        <v>5</v>
      </c>
      <c r="AY55" s="6" t="s">
        <v>20</v>
      </c>
      <c r="AZ55" s="37">
        <v>2</v>
      </c>
      <c r="BA55" s="37">
        <v>2</v>
      </c>
      <c r="BB55" s="37">
        <v>2</v>
      </c>
      <c r="BC55" s="37">
        <v>2</v>
      </c>
      <c r="BD55" s="37">
        <v>2</v>
      </c>
      <c r="BE55" s="37">
        <v>2</v>
      </c>
      <c r="BF55" s="37">
        <v>2</v>
      </c>
      <c r="BG55" s="37">
        <v>2</v>
      </c>
      <c r="BH55" s="37">
        <v>2</v>
      </c>
      <c r="BI55" s="37">
        <v>2</v>
      </c>
      <c r="BJ55" s="37">
        <v>2</v>
      </c>
      <c r="BK55" s="37">
        <v>2</v>
      </c>
      <c r="BL55" s="37">
        <v>2</v>
      </c>
      <c r="BM55" s="37">
        <v>5</v>
      </c>
      <c r="BN55" s="37">
        <v>5</v>
      </c>
      <c r="BO55" s="37">
        <v>5</v>
      </c>
      <c r="BP55" s="37">
        <v>5</v>
      </c>
      <c r="BQ55" s="37">
        <v>5</v>
      </c>
      <c r="BR55" s="37">
        <v>5</v>
      </c>
      <c r="BS55" s="37">
        <v>5</v>
      </c>
      <c r="BT55" s="37">
        <v>5</v>
      </c>
    </row>
    <row r="56" spans="5:72" x14ac:dyDescent="0.25">
      <c r="F56" s="6">
        <f t="shared" si="1"/>
        <v>0</v>
      </c>
      <c r="G56" s="6">
        <f t="shared" si="2"/>
        <v>0</v>
      </c>
      <c r="H56" s="6">
        <f t="shared" si="3"/>
        <v>0</v>
      </c>
      <c r="I56" s="6">
        <f t="shared" si="4"/>
        <v>0</v>
      </c>
      <c r="J56" s="6">
        <f t="shared" si="5"/>
        <v>0</v>
      </c>
      <c r="K56" s="6">
        <f t="shared" si="6"/>
        <v>0</v>
      </c>
      <c r="L56" s="6">
        <f t="shared" si="7"/>
        <v>0</v>
      </c>
      <c r="M56" s="6">
        <f t="shared" si="8"/>
        <v>0</v>
      </c>
      <c r="N56" s="6">
        <f t="shared" si="9"/>
        <v>0</v>
      </c>
      <c r="O56" s="6">
        <f t="shared" si="10"/>
        <v>0</v>
      </c>
      <c r="P56" s="6">
        <f t="shared" si="11"/>
        <v>0</v>
      </c>
      <c r="Q56" s="6">
        <f t="shared" si="12"/>
        <v>0</v>
      </c>
      <c r="R56" s="6">
        <f t="shared" si="13"/>
        <v>0</v>
      </c>
      <c r="S56" s="6">
        <f t="shared" si="14"/>
        <v>0</v>
      </c>
      <c r="T56" s="6">
        <f t="shared" si="15"/>
        <v>0</v>
      </c>
      <c r="U56" s="6">
        <f t="shared" si="16"/>
        <v>0</v>
      </c>
      <c r="V56" s="6">
        <f t="shared" si="17"/>
        <v>0</v>
      </c>
      <c r="W56" s="6">
        <f t="shared" si="18"/>
        <v>0</v>
      </c>
      <c r="X56" s="6">
        <f t="shared" si="19"/>
        <v>0</v>
      </c>
      <c r="Y56" s="6">
        <f t="shared" si="20"/>
        <v>0</v>
      </c>
      <c r="Z56" s="6">
        <f t="shared" si="21"/>
        <v>0</v>
      </c>
      <c r="AB56" s="36" t="str">
        <f>IF(最佳化斷筋點!C56="","",最佳化斷筋點!C56)</f>
        <v/>
      </c>
      <c r="AC56" s="37" t="str">
        <f>IF(最佳化斷筋點!D56="","",最佳化斷筋點!D56)</f>
        <v/>
      </c>
      <c r="AD56" s="37" t="str">
        <f>IF(最佳化斷筋點!E56="","",最佳化斷筋點!E56)</f>
        <v/>
      </c>
      <c r="AE56" s="37" t="str">
        <f>IF(最佳化斷筋點!F56="","",最佳化斷筋點!F56)</f>
        <v/>
      </c>
      <c r="AF56" s="37" t="str">
        <f>IF(最佳化斷筋點!G56="","",最佳化斷筋點!G56)</f>
        <v/>
      </c>
      <c r="AG56" s="37" t="str">
        <f>IF(最佳化斷筋點!H56="","",最佳化斷筋點!H56)</f>
        <v/>
      </c>
      <c r="AH56" s="37" t="str">
        <f>IF(最佳化斷筋點!I56="","",最佳化斷筋點!I56)</f>
        <v/>
      </c>
      <c r="AI56" s="37" t="str">
        <f>IF(最佳化斷筋點!J56="","",最佳化斷筋點!J56)</f>
        <v/>
      </c>
      <c r="AJ56" s="37" t="str">
        <f>IF(最佳化斷筋點!K56="","",最佳化斷筋點!K56)</f>
        <v/>
      </c>
      <c r="AK56" s="37" t="str">
        <f>IF(最佳化斷筋點!L56="","",最佳化斷筋點!L56)</f>
        <v/>
      </c>
      <c r="AL56" s="37" t="str">
        <f>IF(最佳化斷筋點!M56="","",最佳化斷筋點!M56)</f>
        <v/>
      </c>
      <c r="AM56" s="37" t="str">
        <f>IF(最佳化斷筋點!N56="","",最佳化斷筋點!N56)</f>
        <v/>
      </c>
      <c r="AN56" s="37" t="str">
        <f>IF(最佳化斷筋點!O56="","",最佳化斷筋點!O56)</f>
        <v/>
      </c>
      <c r="AO56" s="37" t="str">
        <f>IF(最佳化斷筋點!P56="","",最佳化斷筋點!P56)</f>
        <v/>
      </c>
      <c r="AP56" s="37" t="str">
        <f>IF(最佳化斷筋點!Q56="","",最佳化斷筋點!Q56)</f>
        <v/>
      </c>
      <c r="AQ56" s="37" t="str">
        <f>IF(最佳化斷筋點!R56="","",最佳化斷筋點!R56)</f>
        <v/>
      </c>
      <c r="AR56" s="37" t="str">
        <f>IF(最佳化斷筋點!S56="","",最佳化斷筋點!S56)</f>
        <v/>
      </c>
      <c r="AS56" s="37" t="str">
        <f>IF(最佳化斷筋點!T56="","",最佳化斷筋點!T56)</f>
        <v/>
      </c>
      <c r="AT56" s="37" t="str">
        <f>IF(最佳化斷筋點!U56="","",最佳化斷筋點!U56)</f>
        <v/>
      </c>
      <c r="AU56" s="37" t="str">
        <f>IF(最佳化斷筋點!V56="","",最佳化斷筋點!V56)</f>
        <v/>
      </c>
      <c r="AV56" s="37" t="str">
        <f>IF(最佳化斷筋點!W56="","",最佳化斷筋點!W56)</f>
        <v/>
      </c>
      <c r="AW56" s="37" t="str">
        <f>IF(最佳化斷筋點!X56="","",最佳化斷筋點!X56)</f>
        <v/>
      </c>
      <c r="AZ56" s="37" t="s">
        <v>197</v>
      </c>
      <c r="BA56" s="37" t="s">
        <v>197</v>
      </c>
      <c r="BB56" s="37" t="s">
        <v>197</v>
      </c>
      <c r="BC56" s="37" t="s">
        <v>197</v>
      </c>
      <c r="BD56" s="37" t="s">
        <v>197</v>
      </c>
      <c r="BE56" s="37" t="s">
        <v>197</v>
      </c>
      <c r="BF56" s="37" t="s">
        <v>197</v>
      </c>
      <c r="BG56" s="37" t="s">
        <v>197</v>
      </c>
      <c r="BH56" s="37" t="s">
        <v>197</v>
      </c>
      <c r="BI56" s="37" t="s">
        <v>197</v>
      </c>
      <c r="BJ56" s="37" t="s">
        <v>197</v>
      </c>
      <c r="BK56" s="37" t="s">
        <v>197</v>
      </c>
      <c r="BL56" s="37" t="s">
        <v>197</v>
      </c>
      <c r="BM56" s="37" t="s">
        <v>197</v>
      </c>
      <c r="BN56" s="37" t="s">
        <v>197</v>
      </c>
      <c r="BO56" s="37" t="s">
        <v>197</v>
      </c>
      <c r="BP56" s="37" t="s">
        <v>197</v>
      </c>
      <c r="BQ56" s="37" t="s">
        <v>197</v>
      </c>
      <c r="BR56" s="37" t="s">
        <v>197</v>
      </c>
      <c r="BS56" s="37" t="s">
        <v>197</v>
      </c>
      <c r="BT56" s="37" t="s">
        <v>197</v>
      </c>
    </row>
    <row r="57" spans="5:72" x14ac:dyDescent="0.25">
      <c r="E57" s="6" t="s">
        <v>21</v>
      </c>
      <c r="F57" s="6">
        <f t="shared" si="1"/>
        <v>0</v>
      </c>
      <c r="G57" s="6">
        <f t="shared" si="2"/>
        <v>0</v>
      </c>
      <c r="H57" s="6">
        <f t="shared" si="3"/>
        <v>0</v>
      </c>
      <c r="I57" s="6">
        <f t="shared" si="4"/>
        <v>0</v>
      </c>
      <c r="J57" s="6">
        <f t="shared" si="5"/>
        <v>0</v>
      </c>
      <c r="K57" s="6">
        <f t="shared" si="6"/>
        <v>0</v>
      </c>
      <c r="L57" s="6">
        <f t="shared" si="7"/>
        <v>0</v>
      </c>
      <c r="M57" s="6">
        <f t="shared" si="8"/>
        <v>0</v>
      </c>
      <c r="N57" s="6">
        <f t="shared" si="9"/>
        <v>0</v>
      </c>
      <c r="O57" s="6">
        <f t="shared" si="10"/>
        <v>0</v>
      </c>
      <c r="P57" s="6">
        <f t="shared" si="11"/>
        <v>0</v>
      </c>
      <c r="Q57" s="6">
        <f t="shared" si="12"/>
        <v>0</v>
      </c>
      <c r="R57" s="6">
        <f t="shared" si="13"/>
        <v>0</v>
      </c>
      <c r="S57" s="6">
        <f t="shared" si="14"/>
        <v>0</v>
      </c>
      <c r="T57" s="6">
        <f t="shared" si="15"/>
        <v>0</v>
      </c>
      <c r="U57" s="6">
        <f t="shared" si="16"/>
        <v>0</v>
      </c>
      <c r="V57" s="6">
        <f t="shared" si="17"/>
        <v>0</v>
      </c>
      <c r="W57" s="6">
        <f t="shared" si="18"/>
        <v>0</v>
      </c>
      <c r="X57" s="6">
        <f t="shared" si="19"/>
        <v>0</v>
      </c>
      <c r="Y57" s="6">
        <f t="shared" si="20"/>
        <v>0</v>
      </c>
      <c r="Z57" s="6">
        <f t="shared" si="21"/>
        <v>0</v>
      </c>
      <c r="AB57" s="36" t="str">
        <f>IF(最佳化斷筋點!C57="","",最佳化斷筋點!C57)</f>
        <v>下層</v>
      </c>
      <c r="AC57" s="37">
        <f>IF(最佳化斷筋點!D57="","",最佳化斷筋點!D57)</f>
        <v>4</v>
      </c>
      <c r="AD57" s="37">
        <f>IF(最佳化斷筋點!E57="","",最佳化斷筋點!E57)</f>
        <v>4</v>
      </c>
      <c r="AE57" s="37">
        <f>IF(最佳化斷筋點!F57="","",最佳化斷筋點!F57)</f>
        <v>4</v>
      </c>
      <c r="AF57" s="37">
        <f>IF(最佳化斷筋點!G57="","",最佳化斷筋點!G57)</f>
        <v>4</v>
      </c>
      <c r="AG57" s="37">
        <f>IF(最佳化斷筋點!H57="","",最佳化斷筋點!H57)</f>
        <v>4</v>
      </c>
      <c r="AH57" s="37">
        <f>IF(最佳化斷筋點!I57="","",最佳化斷筋點!I57)</f>
        <v>4</v>
      </c>
      <c r="AI57" s="37">
        <f>IF(最佳化斷筋點!J57="","",最佳化斷筋點!J57)</f>
        <v>4</v>
      </c>
      <c r="AJ57" s="37">
        <f>IF(最佳化斷筋點!K57="","",最佳化斷筋點!K57)</f>
        <v>3</v>
      </c>
      <c r="AK57" s="37">
        <f>IF(最佳化斷筋點!L57="","",最佳化斷筋點!L57)</f>
        <v>3</v>
      </c>
      <c r="AL57" s="37">
        <f>IF(最佳化斷筋點!M57="","",最佳化斷筋點!M57)</f>
        <v>3</v>
      </c>
      <c r="AM57" s="37">
        <f>IF(最佳化斷筋點!N57="","",最佳化斷筋點!N57)</f>
        <v>3</v>
      </c>
      <c r="AN57" s="37">
        <f>IF(最佳化斷筋點!O57="","",最佳化斷筋點!O57)</f>
        <v>3</v>
      </c>
      <c r="AO57" s="37">
        <f>IF(最佳化斷筋點!P57="","",最佳化斷筋點!P57)</f>
        <v>3</v>
      </c>
      <c r="AP57" s="37">
        <f>IF(最佳化斷筋點!Q57="","",最佳化斷筋點!Q57)</f>
        <v>3</v>
      </c>
      <c r="AQ57" s="37">
        <f>IF(最佳化斷筋點!R57="","",最佳化斷筋點!R57)</f>
        <v>3</v>
      </c>
      <c r="AR57" s="37">
        <f>IF(最佳化斷筋點!S57="","",最佳化斷筋點!S57)</f>
        <v>3</v>
      </c>
      <c r="AS57" s="37">
        <f>IF(最佳化斷筋點!T57="","",最佳化斷筋點!T57)</f>
        <v>3</v>
      </c>
      <c r="AT57" s="37">
        <f>IF(最佳化斷筋點!U57="","",最佳化斷筋點!U57)</f>
        <v>3</v>
      </c>
      <c r="AU57" s="37">
        <f>IF(最佳化斷筋點!V57="","",最佳化斷筋點!V57)</f>
        <v>3</v>
      </c>
      <c r="AV57" s="37">
        <f>IF(最佳化斷筋點!W57="","",最佳化斷筋點!W57)</f>
        <v>3</v>
      </c>
      <c r="AW57" s="37">
        <f>IF(最佳化斷筋點!X57="","",最佳化斷筋點!X57)</f>
        <v>3</v>
      </c>
      <c r="AY57" s="6" t="s">
        <v>21</v>
      </c>
      <c r="AZ57" s="37">
        <v>4</v>
      </c>
      <c r="BA57" s="37">
        <v>4</v>
      </c>
      <c r="BB57" s="37">
        <v>4</v>
      </c>
      <c r="BC57" s="37">
        <v>4</v>
      </c>
      <c r="BD57" s="37">
        <v>4</v>
      </c>
      <c r="BE57" s="37">
        <v>4</v>
      </c>
      <c r="BF57" s="37">
        <v>4</v>
      </c>
      <c r="BG57" s="37">
        <v>3</v>
      </c>
      <c r="BH57" s="37">
        <v>3</v>
      </c>
      <c r="BI57" s="37">
        <v>3</v>
      </c>
      <c r="BJ57" s="37">
        <v>3</v>
      </c>
      <c r="BK57" s="37">
        <v>3</v>
      </c>
      <c r="BL57" s="37">
        <v>3</v>
      </c>
      <c r="BM57" s="37">
        <v>3</v>
      </c>
      <c r="BN57" s="37">
        <v>3</v>
      </c>
      <c r="BO57" s="37">
        <v>3</v>
      </c>
      <c r="BP57" s="37">
        <v>3</v>
      </c>
      <c r="BQ57" s="37">
        <v>3</v>
      </c>
      <c r="BR57" s="37">
        <v>3</v>
      </c>
      <c r="BS57" s="37">
        <v>3</v>
      </c>
      <c r="BT57" s="37">
        <v>3</v>
      </c>
    </row>
    <row r="58" spans="5:72" x14ac:dyDescent="0.25">
      <c r="F58" s="6">
        <f t="shared" si="1"/>
        <v>0</v>
      </c>
      <c r="G58" s="6">
        <f t="shared" si="2"/>
        <v>0</v>
      </c>
      <c r="H58" s="6">
        <f t="shared" si="3"/>
        <v>0</v>
      </c>
      <c r="I58" s="6">
        <f t="shared" si="4"/>
        <v>0</v>
      </c>
      <c r="J58" s="6">
        <f t="shared" si="5"/>
        <v>0</v>
      </c>
      <c r="K58" s="6">
        <f t="shared" si="6"/>
        <v>0</v>
      </c>
      <c r="L58" s="6">
        <f t="shared" si="7"/>
        <v>0</v>
      </c>
      <c r="M58" s="6">
        <f t="shared" si="8"/>
        <v>0</v>
      </c>
      <c r="N58" s="6">
        <f t="shared" si="9"/>
        <v>0</v>
      </c>
      <c r="O58" s="6">
        <f t="shared" si="10"/>
        <v>0</v>
      </c>
      <c r="P58" s="6">
        <f t="shared" si="11"/>
        <v>0</v>
      </c>
      <c r="Q58" s="6">
        <f t="shared" si="12"/>
        <v>0</v>
      </c>
      <c r="R58" s="6">
        <f t="shared" si="13"/>
        <v>0</v>
      </c>
      <c r="S58" s="6">
        <f t="shared" si="14"/>
        <v>0</v>
      </c>
      <c r="T58" s="6">
        <f t="shared" si="15"/>
        <v>0</v>
      </c>
      <c r="U58" s="6">
        <f t="shared" si="16"/>
        <v>0</v>
      </c>
      <c r="V58" s="6">
        <f t="shared" si="17"/>
        <v>0</v>
      </c>
      <c r="W58" s="6">
        <f t="shared" si="18"/>
        <v>0</v>
      </c>
      <c r="X58" s="6">
        <f t="shared" si="19"/>
        <v>0</v>
      </c>
      <c r="Y58" s="6">
        <f t="shared" si="20"/>
        <v>0</v>
      </c>
      <c r="Z58" s="6">
        <f t="shared" si="21"/>
        <v>0</v>
      </c>
      <c r="AB58" s="36" t="str">
        <f>IF(最佳化斷筋點!C58="","",最佳化斷筋點!C58)</f>
        <v/>
      </c>
      <c r="AC58" s="37" t="str">
        <f>IF(最佳化斷筋點!D58="","",最佳化斷筋點!D58)</f>
        <v/>
      </c>
      <c r="AD58" s="37" t="str">
        <f>IF(最佳化斷筋點!E58="","",最佳化斷筋點!E58)</f>
        <v/>
      </c>
      <c r="AE58" s="37" t="str">
        <f>IF(最佳化斷筋點!F58="","",最佳化斷筋點!F58)</f>
        <v/>
      </c>
      <c r="AF58" s="37" t="str">
        <f>IF(最佳化斷筋點!G58="","",最佳化斷筋點!G58)</f>
        <v/>
      </c>
      <c r="AG58" s="37" t="str">
        <f>IF(最佳化斷筋點!H58="","",最佳化斷筋點!H58)</f>
        <v/>
      </c>
      <c r="AH58" s="37" t="str">
        <f>IF(最佳化斷筋點!I58="","",最佳化斷筋點!I58)</f>
        <v/>
      </c>
      <c r="AI58" s="37" t="str">
        <f>IF(最佳化斷筋點!J58="","",最佳化斷筋點!J58)</f>
        <v/>
      </c>
      <c r="AJ58" s="37" t="str">
        <f>IF(最佳化斷筋點!K58="","",最佳化斷筋點!K58)</f>
        <v/>
      </c>
      <c r="AK58" s="37" t="str">
        <f>IF(最佳化斷筋點!L58="","",最佳化斷筋點!L58)</f>
        <v/>
      </c>
      <c r="AL58" s="37" t="str">
        <f>IF(最佳化斷筋點!M58="","",最佳化斷筋點!M58)</f>
        <v/>
      </c>
      <c r="AM58" s="37" t="str">
        <f>IF(最佳化斷筋點!N58="","",最佳化斷筋點!N58)</f>
        <v/>
      </c>
      <c r="AN58" s="37" t="str">
        <f>IF(最佳化斷筋點!O58="","",最佳化斷筋點!O58)</f>
        <v/>
      </c>
      <c r="AO58" s="37" t="str">
        <f>IF(最佳化斷筋點!P58="","",最佳化斷筋點!P58)</f>
        <v/>
      </c>
      <c r="AP58" s="37" t="str">
        <f>IF(最佳化斷筋點!Q58="","",最佳化斷筋點!Q58)</f>
        <v/>
      </c>
      <c r="AQ58" s="37" t="str">
        <f>IF(最佳化斷筋點!R58="","",最佳化斷筋點!R58)</f>
        <v/>
      </c>
      <c r="AR58" s="37" t="str">
        <f>IF(最佳化斷筋點!S58="","",最佳化斷筋點!S58)</f>
        <v/>
      </c>
      <c r="AS58" s="37" t="str">
        <f>IF(最佳化斷筋點!T58="","",最佳化斷筋點!T58)</f>
        <v/>
      </c>
      <c r="AT58" s="37" t="str">
        <f>IF(最佳化斷筋點!U58="","",最佳化斷筋點!U58)</f>
        <v/>
      </c>
      <c r="AU58" s="37" t="str">
        <f>IF(最佳化斷筋點!V58="","",最佳化斷筋點!V58)</f>
        <v/>
      </c>
      <c r="AV58" s="37" t="str">
        <f>IF(最佳化斷筋點!W58="","",最佳化斷筋點!W58)</f>
        <v/>
      </c>
      <c r="AW58" s="37" t="str">
        <f>IF(最佳化斷筋點!X58="","",最佳化斷筋點!X58)</f>
        <v/>
      </c>
      <c r="AZ58" s="37" t="s">
        <v>197</v>
      </c>
      <c r="BA58" s="37" t="s">
        <v>197</v>
      </c>
      <c r="BB58" s="37" t="s">
        <v>197</v>
      </c>
      <c r="BC58" s="37" t="s">
        <v>197</v>
      </c>
      <c r="BD58" s="37" t="s">
        <v>197</v>
      </c>
      <c r="BE58" s="37" t="s">
        <v>197</v>
      </c>
      <c r="BF58" s="37" t="s">
        <v>197</v>
      </c>
      <c r="BG58" s="37" t="s">
        <v>197</v>
      </c>
      <c r="BH58" s="37" t="s">
        <v>197</v>
      </c>
      <c r="BI58" s="37" t="s">
        <v>197</v>
      </c>
      <c r="BJ58" s="37" t="s">
        <v>197</v>
      </c>
      <c r="BK58" s="37" t="s">
        <v>197</v>
      </c>
      <c r="BL58" s="37" t="s">
        <v>197</v>
      </c>
      <c r="BM58" s="37" t="s">
        <v>197</v>
      </c>
      <c r="BN58" s="37" t="s">
        <v>197</v>
      </c>
      <c r="BO58" s="37" t="s">
        <v>197</v>
      </c>
      <c r="BP58" s="37" t="s">
        <v>197</v>
      </c>
      <c r="BQ58" s="37" t="s">
        <v>197</v>
      </c>
      <c r="BR58" s="37" t="s">
        <v>197</v>
      </c>
      <c r="BS58" s="37" t="s">
        <v>197</v>
      </c>
      <c r="BT58" s="37" t="s">
        <v>197</v>
      </c>
    </row>
    <row r="59" spans="5:72" x14ac:dyDescent="0.25">
      <c r="E59" s="6" t="s">
        <v>20</v>
      </c>
      <c r="F59" s="6">
        <f t="shared" si="1"/>
        <v>0</v>
      </c>
      <c r="G59" s="6">
        <f t="shared" si="2"/>
        <v>0</v>
      </c>
      <c r="H59" s="6">
        <f t="shared" si="3"/>
        <v>0</v>
      </c>
      <c r="I59" s="6">
        <f t="shared" si="4"/>
        <v>0</v>
      </c>
      <c r="J59" s="6">
        <f t="shared" si="5"/>
        <v>0</v>
      </c>
      <c r="K59" s="6">
        <f t="shared" si="6"/>
        <v>0</v>
      </c>
      <c r="L59" s="6">
        <f t="shared" si="7"/>
        <v>0</v>
      </c>
      <c r="M59" s="6">
        <f t="shared" si="8"/>
        <v>0</v>
      </c>
      <c r="N59" s="6">
        <f t="shared" si="9"/>
        <v>0</v>
      </c>
      <c r="O59" s="6">
        <f t="shared" si="10"/>
        <v>0</v>
      </c>
      <c r="P59" s="6">
        <f t="shared" si="11"/>
        <v>0</v>
      </c>
      <c r="Q59" s="6">
        <f t="shared" si="12"/>
        <v>0</v>
      </c>
      <c r="R59" s="6">
        <f t="shared" si="13"/>
        <v>0</v>
      </c>
      <c r="S59" s="6">
        <f t="shared" si="14"/>
        <v>0</v>
      </c>
      <c r="T59" s="6">
        <f t="shared" si="15"/>
        <v>0</v>
      </c>
      <c r="U59" s="6">
        <f t="shared" si="16"/>
        <v>0</v>
      </c>
      <c r="V59" s="6">
        <f t="shared" si="17"/>
        <v>0</v>
      </c>
      <c r="W59" s="6">
        <f t="shared" si="18"/>
        <v>0</v>
      </c>
      <c r="X59" s="6">
        <f t="shared" si="19"/>
        <v>0</v>
      </c>
      <c r="Y59" s="6">
        <f t="shared" si="20"/>
        <v>0</v>
      </c>
      <c r="Z59" s="6">
        <f t="shared" si="21"/>
        <v>0</v>
      </c>
      <c r="AB59" s="36" t="str">
        <f>IF(最佳化斷筋點!C59="","",最佳化斷筋點!C59)</f>
        <v>上層</v>
      </c>
      <c r="AC59" s="37">
        <f>IF(最佳化斷筋點!D59="","",最佳化斷筋點!D59)</f>
        <v>3</v>
      </c>
      <c r="AD59" s="37">
        <f>IF(最佳化斷筋點!E59="","",最佳化斷筋點!E59)</f>
        <v>3</v>
      </c>
      <c r="AE59" s="37">
        <f>IF(最佳化斷筋點!F59="","",最佳化斷筋點!F59)</f>
        <v>3</v>
      </c>
      <c r="AF59" s="37">
        <f>IF(最佳化斷筋點!G59="","",最佳化斷筋點!G59)</f>
        <v>3</v>
      </c>
      <c r="AG59" s="37">
        <f>IF(最佳化斷筋點!H59="","",最佳化斷筋點!H59)</f>
        <v>3</v>
      </c>
      <c r="AH59" s="37">
        <f>IF(最佳化斷筋點!I59="","",最佳化斷筋點!I59)</f>
        <v>3</v>
      </c>
      <c r="AI59" s="37">
        <f>IF(最佳化斷筋點!J59="","",最佳化斷筋點!J59)</f>
        <v>3</v>
      </c>
      <c r="AJ59" s="37">
        <f>IF(最佳化斷筋點!K59="","",最佳化斷筋點!K59)</f>
        <v>3</v>
      </c>
      <c r="AK59" s="37">
        <f>IF(最佳化斷筋點!L59="","",最佳化斷筋點!L59)</f>
        <v>2</v>
      </c>
      <c r="AL59" s="37">
        <f>IF(最佳化斷筋點!M59="","",最佳化斷筋點!M59)</f>
        <v>2</v>
      </c>
      <c r="AM59" s="37">
        <f>IF(最佳化斷筋點!N59="","",最佳化斷筋點!N59)</f>
        <v>2</v>
      </c>
      <c r="AN59" s="37">
        <f>IF(最佳化斷筋點!O59="","",最佳化斷筋點!O59)</f>
        <v>2</v>
      </c>
      <c r="AO59" s="37">
        <f>IF(最佳化斷筋點!P59="","",最佳化斷筋點!P59)</f>
        <v>3</v>
      </c>
      <c r="AP59" s="37">
        <f>IF(最佳化斷筋點!Q59="","",最佳化斷筋點!Q59)</f>
        <v>3</v>
      </c>
      <c r="AQ59" s="37">
        <f>IF(最佳化斷筋點!R59="","",最佳化斷筋點!R59)</f>
        <v>3</v>
      </c>
      <c r="AR59" s="37">
        <f>IF(最佳化斷筋點!S59="","",最佳化斷筋點!S59)</f>
        <v>4</v>
      </c>
      <c r="AS59" s="37">
        <f>IF(最佳化斷筋點!T59="","",最佳化斷筋點!T59)</f>
        <v>4</v>
      </c>
      <c r="AT59" s="37">
        <f>IF(最佳化斷筋點!U59="","",最佳化斷筋點!U59)</f>
        <v>4</v>
      </c>
      <c r="AU59" s="37">
        <f>IF(最佳化斷筋點!V59="","",最佳化斷筋點!V59)</f>
        <v>4</v>
      </c>
      <c r="AV59" s="37">
        <f>IF(最佳化斷筋點!W59="","",最佳化斷筋點!W59)</f>
        <v>4</v>
      </c>
      <c r="AW59" s="37">
        <f>IF(最佳化斷筋點!X59="","",最佳化斷筋點!X59)</f>
        <v>4</v>
      </c>
      <c r="AY59" s="6" t="s">
        <v>20</v>
      </c>
      <c r="AZ59" s="37">
        <v>3</v>
      </c>
      <c r="BA59" s="37">
        <v>3</v>
      </c>
      <c r="BB59" s="37">
        <v>3</v>
      </c>
      <c r="BC59" s="37">
        <v>3</v>
      </c>
      <c r="BD59" s="37">
        <v>3</v>
      </c>
      <c r="BE59" s="37">
        <v>3</v>
      </c>
      <c r="BF59" s="37">
        <v>3</v>
      </c>
      <c r="BG59" s="37">
        <v>3</v>
      </c>
      <c r="BH59" s="37">
        <v>2</v>
      </c>
      <c r="BI59" s="37">
        <v>2</v>
      </c>
      <c r="BJ59" s="37">
        <v>2</v>
      </c>
      <c r="BK59" s="37">
        <v>2</v>
      </c>
      <c r="BL59" s="37">
        <v>3</v>
      </c>
      <c r="BM59" s="37">
        <v>3</v>
      </c>
      <c r="BN59" s="37">
        <v>3</v>
      </c>
      <c r="BO59" s="37">
        <v>4</v>
      </c>
      <c r="BP59" s="37">
        <v>4</v>
      </c>
      <c r="BQ59" s="37">
        <v>4</v>
      </c>
      <c r="BR59" s="37">
        <v>4</v>
      </c>
      <c r="BS59" s="37">
        <v>4</v>
      </c>
      <c r="BT59" s="37">
        <v>4</v>
      </c>
    </row>
    <row r="60" spans="5:72" x14ac:dyDescent="0.25">
      <c r="F60" s="6">
        <f t="shared" si="1"/>
        <v>0</v>
      </c>
      <c r="G60" s="6">
        <f t="shared" si="2"/>
        <v>0</v>
      </c>
      <c r="H60" s="6">
        <f t="shared" si="3"/>
        <v>0</v>
      </c>
      <c r="I60" s="6">
        <f t="shared" si="4"/>
        <v>0</v>
      </c>
      <c r="J60" s="6">
        <f t="shared" si="5"/>
        <v>0</v>
      </c>
      <c r="K60" s="6">
        <f t="shared" si="6"/>
        <v>0</v>
      </c>
      <c r="L60" s="6">
        <f t="shared" si="7"/>
        <v>0</v>
      </c>
      <c r="M60" s="6">
        <f t="shared" si="8"/>
        <v>0</v>
      </c>
      <c r="N60" s="6">
        <f t="shared" si="9"/>
        <v>0</v>
      </c>
      <c r="O60" s="6">
        <f t="shared" si="10"/>
        <v>0</v>
      </c>
      <c r="P60" s="6">
        <f t="shared" si="11"/>
        <v>0</v>
      </c>
      <c r="Q60" s="6">
        <f t="shared" si="12"/>
        <v>0</v>
      </c>
      <c r="R60" s="6">
        <f t="shared" si="13"/>
        <v>0</v>
      </c>
      <c r="S60" s="6">
        <f t="shared" si="14"/>
        <v>0</v>
      </c>
      <c r="T60" s="6">
        <f t="shared" si="15"/>
        <v>0</v>
      </c>
      <c r="U60" s="6">
        <f t="shared" si="16"/>
        <v>0</v>
      </c>
      <c r="V60" s="6">
        <f t="shared" si="17"/>
        <v>0</v>
      </c>
      <c r="W60" s="6">
        <f t="shared" si="18"/>
        <v>0</v>
      </c>
      <c r="X60" s="6">
        <f t="shared" si="19"/>
        <v>0</v>
      </c>
      <c r="Y60" s="6">
        <f t="shared" si="20"/>
        <v>0</v>
      </c>
      <c r="Z60" s="6">
        <f t="shared" si="21"/>
        <v>0</v>
      </c>
      <c r="AB60" s="36" t="str">
        <f>IF(最佳化斷筋點!C60="","",最佳化斷筋點!C60)</f>
        <v/>
      </c>
      <c r="AC60" s="37" t="str">
        <f>IF(最佳化斷筋點!D60="","",最佳化斷筋點!D60)</f>
        <v/>
      </c>
      <c r="AD60" s="37" t="str">
        <f>IF(最佳化斷筋點!E60="","",最佳化斷筋點!E60)</f>
        <v/>
      </c>
      <c r="AE60" s="37" t="str">
        <f>IF(最佳化斷筋點!F60="","",最佳化斷筋點!F60)</f>
        <v/>
      </c>
      <c r="AF60" s="37" t="str">
        <f>IF(最佳化斷筋點!G60="","",最佳化斷筋點!G60)</f>
        <v/>
      </c>
      <c r="AG60" s="37" t="str">
        <f>IF(最佳化斷筋點!H60="","",最佳化斷筋點!H60)</f>
        <v/>
      </c>
      <c r="AH60" s="37" t="str">
        <f>IF(最佳化斷筋點!I60="","",最佳化斷筋點!I60)</f>
        <v/>
      </c>
      <c r="AI60" s="37" t="str">
        <f>IF(最佳化斷筋點!J60="","",最佳化斷筋點!J60)</f>
        <v/>
      </c>
      <c r="AJ60" s="37" t="str">
        <f>IF(最佳化斷筋點!K60="","",最佳化斷筋點!K60)</f>
        <v/>
      </c>
      <c r="AK60" s="37" t="str">
        <f>IF(最佳化斷筋點!L60="","",最佳化斷筋點!L60)</f>
        <v/>
      </c>
      <c r="AL60" s="37" t="str">
        <f>IF(最佳化斷筋點!M60="","",最佳化斷筋點!M60)</f>
        <v/>
      </c>
      <c r="AM60" s="37" t="str">
        <f>IF(最佳化斷筋點!N60="","",最佳化斷筋點!N60)</f>
        <v/>
      </c>
      <c r="AN60" s="37" t="str">
        <f>IF(最佳化斷筋點!O60="","",最佳化斷筋點!O60)</f>
        <v/>
      </c>
      <c r="AO60" s="37" t="str">
        <f>IF(最佳化斷筋點!P60="","",最佳化斷筋點!P60)</f>
        <v/>
      </c>
      <c r="AP60" s="37" t="str">
        <f>IF(最佳化斷筋點!Q60="","",最佳化斷筋點!Q60)</f>
        <v/>
      </c>
      <c r="AQ60" s="37" t="str">
        <f>IF(最佳化斷筋點!R60="","",最佳化斷筋點!R60)</f>
        <v/>
      </c>
      <c r="AR60" s="37" t="str">
        <f>IF(最佳化斷筋點!S60="","",最佳化斷筋點!S60)</f>
        <v/>
      </c>
      <c r="AS60" s="37" t="str">
        <f>IF(最佳化斷筋點!T60="","",最佳化斷筋點!T60)</f>
        <v/>
      </c>
      <c r="AT60" s="37" t="str">
        <f>IF(最佳化斷筋點!U60="","",最佳化斷筋點!U60)</f>
        <v/>
      </c>
      <c r="AU60" s="37" t="str">
        <f>IF(最佳化斷筋點!V60="","",最佳化斷筋點!V60)</f>
        <v/>
      </c>
      <c r="AV60" s="37" t="str">
        <f>IF(最佳化斷筋點!W60="","",最佳化斷筋點!W60)</f>
        <v/>
      </c>
      <c r="AW60" s="37" t="str">
        <f>IF(最佳化斷筋點!X60="","",最佳化斷筋點!X60)</f>
        <v/>
      </c>
      <c r="AZ60" s="37" t="s">
        <v>197</v>
      </c>
      <c r="BA60" s="37" t="s">
        <v>197</v>
      </c>
      <c r="BB60" s="37" t="s">
        <v>197</v>
      </c>
      <c r="BC60" s="37" t="s">
        <v>197</v>
      </c>
      <c r="BD60" s="37" t="s">
        <v>197</v>
      </c>
      <c r="BE60" s="37" t="s">
        <v>197</v>
      </c>
      <c r="BF60" s="37" t="s">
        <v>197</v>
      </c>
      <c r="BG60" s="37" t="s">
        <v>197</v>
      </c>
      <c r="BH60" s="37" t="s">
        <v>197</v>
      </c>
      <c r="BI60" s="37" t="s">
        <v>197</v>
      </c>
      <c r="BJ60" s="37" t="s">
        <v>197</v>
      </c>
      <c r="BK60" s="37" t="s">
        <v>197</v>
      </c>
      <c r="BL60" s="37" t="s">
        <v>197</v>
      </c>
      <c r="BM60" s="37" t="s">
        <v>197</v>
      </c>
      <c r="BN60" s="37" t="s">
        <v>197</v>
      </c>
      <c r="BO60" s="37" t="s">
        <v>197</v>
      </c>
      <c r="BP60" s="37" t="s">
        <v>197</v>
      </c>
      <c r="BQ60" s="37" t="s">
        <v>197</v>
      </c>
      <c r="BR60" s="37" t="s">
        <v>197</v>
      </c>
      <c r="BS60" s="37" t="s">
        <v>197</v>
      </c>
      <c r="BT60" s="37" t="s">
        <v>197</v>
      </c>
    </row>
    <row r="61" spans="5:72" x14ac:dyDescent="0.25">
      <c r="E61" s="6" t="s">
        <v>21</v>
      </c>
      <c r="F61" s="6">
        <f t="shared" si="1"/>
        <v>0</v>
      </c>
      <c r="G61" s="6">
        <f t="shared" si="2"/>
        <v>0</v>
      </c>
      <c r="H61" s="6">
        <f t="shared" si="3"/>
        <v>0</v>
      </c>
      <c r="I61" s="6">
        <f t="shared" si="4"/>
        <v>0</v>
      </c>
      <c r="J61" s="6">
        <f t="shared" si="5"/>
        <v>0</v>
      </c>
      <c r="K61" s="6">
        <f t="shared" si="6"/>
        <v>0</v>
      </c>
      <c r="L61" s="6">
        <f t="shared" si="7"/>
        <v>0</v>
      </c>
      <c r="M61" s="6">
        <f t="shared" si="8"/>
        <v>0</v>
      </c>
      <c r="N61" s="6">
        <f t="shared" si="9"/>
        <v>0</v>
      </c>
      <c r="O61" s="6">
        <f t="shared" si="10"/>
        <v>0</v>
      </c>
      <c r="P61" s="6">
        <f t="shared" si="11"/>
        <v>0</v>
      </c>
      <c r="Q61" s="6">
        <f t="shared" si="12"/>
        <v>0</v>
      </c>
      <c r="R61" s="6">
        <f t="shared" si="13"/>
        <v>0</v>
      </c>
      <c r="S61" s="6">
        <f t="shared" si="14"/>
        <v>0</v>
      </c>
      <c r="T61" s="6">
        <f t="shared" si="15"/>
        <v>0</v>
      </c>
      <c r="U61" s="6">
        <f t="shared" si="16"/>
        <v>0</v>
      </c>
      <c r="V61" s="6">
        <f t="shared" si="17"/>
        <v>0</v>
      </c>
      <c r="W61" s="6">
        <f t="shared" si="18"/>
        <v>0</v>
      </c>
      <c r="X61" s="6">
        <f t="shared" si="19"/>
        <v>0</v>
      </c>
      <c r="Y61" s="6">
        <f t="shared" si="20"/>
        <v>0</v>
      </c>
      <c r="Z61" s="6">
        <f t="shared" si="21"/>
        <v>0</v>
      </c>
      <c r="AB61" s="36" t="str">
        <f>IF(最佳化斷筋點!C61="","",最佳化斷筋點!C61)</f>
        <v>下層</v>
      </c>
      <c r="AC61" s="37">
        <f>IF(最佳化斷筋點!D61="","",最佳化斷筋點!D61)</f>
        <v>3</v>
      </c>
      <c r="AD61" s="37">
        <f>IF(最佳化斷筋點!E61="","",最佳化斷筋點!E61)</f>
        <v>3</v>
      </c>
      <c r="AE61" s="37">
        <f>IF(最佳化斷筋點!F61="","",最佳化斷筋點!F61)</f>
        <v>3</v>
      </c>
      <c r="AF61" s="37">
        <f>IF(最佳化斷筋點!G61="","",最佳化斷筋點!G61)</f>
        <v>3</v>
      </c>
      <c r="AG61" s="37">
        <f>IF(最佳化斷筋點!H61="","",最佳化斷筋點!H61)</f>
        <v>3</v>
      </c>
      <c r="AH61" s="37">
        <f>IF(最佳化斷筋點!I61="","",最佳化斷筋點!I61)</f>
        <v>3</v>
      </c>
      <c r="AI61" s="37">
        <f>IF(最佳化斷筋點!J61="","",最佳化斷筋點!J61)</f>
        <v>3</v>
      </c>
      <c r="AJ61" s="37">
        <f>IF(最佳化斷筋點!K61="","",最佳化斷筋點!K61)</f>
        <v>2</v>
      </c>
      <c r="AK61" s="37">
        <f>IF(最佳化斷筋點!L61="","",最佳化斷筋點!L61)</f>
        <v>2</v>
      </c>
      <c r="AL61" s="37">
        <f>IF(最佳化斷筋點!M61="","",最佳化斷筋點!M61)</f>
        <v>2</v>
      </c>
      <c r="AM61" s="37">
        <f>IF(最佳化斷筋點!N61="","",最佳化斷筋點!N61)</f>
        <v>2</v>
      </c>
      <c r="AN61" s="37">
        <f>IF(最佳化斷筋點!O61="","",最佳化斷筋點!O61)</f>
        <v>2</v>
      </c>
      <c r="AO61" s="37">
        <f>IF(最佳化斷筋點!P61="","",最佳化斷筋點!P61)</f>
        <v>2</v>
      </c>
      <c r="AP61" s="37">
        <f>IF(最佳化斷筋點!Q61="","",最佳化斷筋點!Q61)</f>
        <v>2</v>
      </c>
      <c r="AQ61" s="37">
        <f>IF(最佳化斷筋點!R61="","",最佳化斷筋點!R61)</f>
        <v>3</v>
      </c>
      <c r="AR61" s="37">
        <f>IF(最佳化斷筋點!S61="","",最佳化斷筋點!S61)</f>
        <v>3</v>
      </c>
      <c r="AS61" s="37">
        <f>IF(最佳化斷筋點!T61="","",最佳化斷筋點!T61)</f>
        <v>3</v>
      </c>
      <c r="AT61" s="37">
        <f>IF(最佳化斷筋點!U61="","",最佳化斷筋點!U61)</f>
        <v>3</v>
      </c>
      <c r="AU61" s="37">
        <f>IF(最佳化斷筋點!V61="","",最佳化斷筋點!V61)</f>
        <v>3</v>
      </c>
      <c r="AV61" s="37">
        <f>IF(最佳化斷筋點!W61="","",最佳化斷筋點!W61)</f>
        <v>3</v>
      </c>
      <c r="AW61" s="37">
        <f>IF(最佳化斷筋點!X61="","",最佳化斷筋點!X61)</f>
        <v>3</v>
      </c>
      <c r="AY61" s="6" t="s">
        <v>21</v>
      </c>
      <c r="AZ61" s="37">
        <v>3</v>
      </c>
      <c r="BA61" s="37">
        <v>3</v>
      </c>
      <c r="BB61" s="37">
        <v>3</v>
      </c>
      <c r="BC61" s="37">
        <v>3</v>
      </c>
      <c r="BD61" s="37">
        <v>3</v>
      </c>
      <c r="BE61" s="37">
        <v>3</v>
      </c>
      <c r="BF61" s="37">
        <v>3</v>
      </c>
      <c r="BG61" s="37">
        <v>2</v>
      </c>
      <c r="BH61" s="37">
        <v>2</v>
      </c>
      <c r="BI61" s="37">
        <v>2</v>
      </c>
      <c r="BJ61" s="37">
        <v>2</v>
      </c>
      <c r="BK61" s="37">
        <v>2</v>
      </c>
      <c r="BL61" s="37">
        <v>2</v>
      </c>
      <c r="BM61" s="37">
        <v>2</v>
      </c>
      <c r="BN61" s="37">
        <v>3</v>
      </c>
      <c r="BO61" s="37">
        <v>3</v>
      </c>
      <c r="BP61" s="37">
        <v>3</v>
      </c>
      <c r="BQ61" s="37">
        <v>3</v>
      </c>
      <c r="BR61" s="37">
        <v>3</v>
      </c>
      <c r="BS61" s="37">
        <v>3</v>
      </c>
      <c r="BT61" s="37">
        <v>3</v>
      </c>
    </row>
    <row r="62" spans="5:72" x14ac:dyDescent="0.25">
      <c r="F62" s="6">
        <f t="shared" si="1"/>
        <v>0</v>
      </c>
      <c r="G62" s="6">
        <f t="shared" si="2"/>
        <v>0</v>
      </c>
      <c r="H62" s="6">
        <f t="shared" si="3"/>
        <v>0</v>
      </c>
      <c r="I62" s="6">
        <f t="shared" si="4"/>
        <v>0</v>
      </c>
      <c r="J62" s="6">
        <f t="shared" si="5"/>
        <v>0</v>
      </c>
      <c r="K62" s="6">
        <f t="shared" si="6"/>
        <v>0</v>
      </c>
      <c r="L62" s="6">
        <f t="shared" si="7"/>
        <v>0</v>
      </c>
      <c r="M62" s="6">
        <f t="shared" si="8"/>
        <v>0</v>
      </c>
      <c r="N62" s="6">
        <f t="shared" si="9"/>
        <v>0</v>
      </c>
      <c r="O62" s="6">
        <f t="shared" si="10"/>
        <v>0</v>
      </c>
      <c r="P62" s="6">
        <f t="shared" si="11"/>
        <v>0</v>
      </c>
      <c r="Q62" s="6">
        <f t="shared" si="12"/>
        <v>0</v>
      </c>
      <c r="R62" s="6">
        <f t="shared" si="13"/>
        <v>0</v>
      </c>
      <c r="S62" s="6">
        <f t="shared" si="14"/>
        <v>0</v>
      </c>
      <c r="T62" s="6">
        <f t="shared" si="15"/>
        <v>0</v>
      </c>
      <c r="U62" s="6">
        <f t="shared" si="16"/>
        <v>0</v>
      </c>
      <c r="V62" s="6">
        <f t="shared" si="17"/>
        <v>0</v>
      </c>
      <c r="W62" s="6">
        <f t="shared" si="18"/>
        <v>0</v>
      </c>
      <c r="X62" s="6">
        <f t="shared" si="19"/>
        <v>0</v>
      </c>
      <c r="Y62" s="6">
        <f t="shared" si="20"/>
        <v>0</v>
      </c>
      <c r="Z62" s="6">
        <f t="shared" si="21"/>
        <v>0</v>
      </c>
      <c r="AB62" s="36" t="str">
        <f>IF(最佳化斷筋點!C62="","",最佳化斷筋點!C62)</f>
        <v/>
      </c>
      <c r="AC62" s="37" t="str">
        <f>IF(最佳化斷筋點!D62="","",最佳化斷筋點!D62)</f>
        <v/>
      </c>
      <c r="AD62" s="37" t="str">
        <f>IF(最佳化斷筋點!E62="","",最佳化斷筋點!E62)</f>
        <v/>
      </c>
      <c r="AE62" s="37" t="str">
        <f>IF(最佳化斷筋點!F62="","",最佳化斷筋點!F62)</f>
        <v/>
      </c>
      <c r="AF62" s="37" t="str">
        <f>IF(最佳化斷筋點!G62="","",最佳化斷筋點!G62)</f>
        <v/>
      </c>
      <c r="AG62" s="37" t="str">
        <f>IF(最佳化斷筋點!H62="","",最佳化斷筋點!H62)</f>
        <v/>
      </c>
      <c r="AH62" s="37" t="str">
        <f>IF(最佳化斷筋點!I62="","",最佳化斷筋點!I62)</f>
        <v/>
      </c>
      <c r="AI62" s="37" t="str">
        <f>IF(最佳化斷筋點!J62="","",最佳化斷筋點!J62)</f>
        <v/>
      </c>
      <c r="AJ62" s="37" t="str">
        <f>IF(最佳化斷筋點!K62="","",最佳化斷筋點!K62)</f>
        <v/>
      </c>
      <c r="AK62" s="37" t="str">
        <f>IF(最佳化斷筋點!L62="","",最佳化斷筋點!L62)</f>
        <v/>
      </c>
      <c r="AL62" s="37" t="str">
        <f>IF(最佳化斷筋點!M62="","",最佳化斷筋點!M62)</f>
        <v/>
      </c>
      <c r="AM62" s="37" t="str">
        <f>IF(最佳化斷筋點!N62="","",最佳化斷筋點!N62)</f>
        <v/>
      </c>
      <c r="AN62" s="37" t="str">
        <f>IF(最佳化斷筋點!O62="","",最佳化斷筋點!O62)</f>
        <v/>
      </c>
      <c r="AO62" s="37" t="str">
        <f>IF(最佳化斷筋點!P62="","",最佳化斷筋點!P62)</f>
        <v/>
      </c>
      <c r="AP62" s="37" t="str">
        <f>IF(最佳化斷筋點!Q62="","",最佳化斷筋點!Q62)</f>
        <v/>
      </c>
      <c r="AQ62" s="37" t="str">
        <f>IF(最佳化斷筋點!R62="","",最佳化斷筋點!R62)</f>
        <v/>
      </c>
      <c r="AR62" s="37" t="str">
        <f>IF(最佳化斷筋點!S62="","",最佳化斷筋點!S62)</f>
        <v/>
      </c>
      <c r="AS62" s="37" t="str">
        <f>IF(最佳化斷筋點!T62="","",最佳化斷筋點!T62)</f>
        <v/>
      </c>
      <c r="AT62" s="37" t="str">
        <f>IF(最佳化斷筋點!U62="","",最佳化斷筋點!U62)</f>
        <v/>
      </c>
      <c r="AU62" s="37" t="str">
        <f>IF(最佳化斷筋點!V62="","",最佳化斷筋點!V62)</f>
        <v/>
      </c>
      <c r="AV62" s="37" t="str">
        <f>IF(最佳化斷筋點!W62="","",最佳化斷筋點!W62)</f>
        <v/>
      </c>
      <c r="AW62" s="37" t="str">
        <f>IF(最佳化斷筋點!X62="","",最佳化斷筋點!X62)</f>
        <v/>
      </c>
      <c r="AZ62" s="37" t="s">
        <v>197</v>
      </c>
      <c r="BA62" s="37" t="s">
        <v>197</v>
      </c>
      <c r="BB62" s="37" t="s">
        <v>197</v>
      </c>
      <c r="BC62" s="37" t="s">
        <v>197</v>
      </c>
      <c r="BD62" s="37" t="s">
        <v>197</v>
      </c>
      <c r="BE62" s="37" t="s">
        <v>197</v>
      </c>
      <c r="BF62" s="37" t="s">
        <v>197</v>
      </c>
      <c r="BG62" s="37" t="s">
        <v>197</v>
      </c>
      <c r="BH62" s="37" t="s">
        <v>197</v>
      </c>
      <c r="BI62" s="37" t="s">
        <v>197</v>
      </c>
      <c r="BJ62" s="37" t="s">
        <v>197</v>
      </c>
      <c r="BK62" s="37" t="s">
        <v>197</v>
      </c>
      <c r="BL62" s="37" t="s">
        <v>197</v>
      </c>
      <c r="BM62" s="37" t="s">
        <v>197</v>
      </c>
      <c r="BN62" s="37" t="s">
        <v>197</v>
      </c>
      <c r="BO62" s="37" t="s">
        <v>197</v>
      </c>
      <c r="BP62" s="37" t="s">
        <v>197</v>
      </c>
      <c r="BQ62" s="37" t="s">
        <v>197</v>
      </c>
      <c r="BR62" s="37" t="s">
        <v>197</v>
      </c>
      <c r="BS62" s="37" t="s">
        <v>197</v>
      </c>
      <c r="BT62" s="37" t="s">
        <v>197</v>
      </c>
    </row>
    <row r="63" spans="5:72" x14ac:dyDescent="0.25">
      <c r="E63" s="6" t="s">
        <v>20</v>
      </c>
      <c r="F63" s="6">
        <f t="shared" si="1"/>
        <v>0</v>
      </c>
      <c r="G63" s="6">
        <f t="shared" si="2"/>
        <v>0</v>
      </c>
      <c r="H63" s="6">
        <f t="shared" si="3"/>
        <v>0</v>
      </c>
      <c r="I63" s="6">
        <f t="shared" si="4"/>
        <v>0</v>
      </c>
      <c r="J63" s="6">
        <f t="shared" si="5"/>
        <v>0</v>
      </c>
      <c r="K63" s="6">
        <f t="shared" si="6"/>
        <v>0</v>
      </c>
      <c r="L63" s="6">
        <f t="shared" si="7"/>
        <v>0</v>
      </c>
      <c r="M63" s="6">
        <f t="shared" si="8"/>
        <v>0</v>
      </c>
      <c r="N63" s="6">
        <f t="shared" si="9"/>
        <v>0</v>
      </c>
      <c r="O63" s="6">
        <f t="shared" si="10"/>
        <v>0</v>
      </c>
      <c r="P63" s="6">
        <f t="shared" si="11"/>
        <v>0</v>
      </c>
      <c r="Q63" s="6">
        <f t="shared" si="12"/>
        <v>0</v>
      </c>
      <c r="R63" s="6">
        <f t="shared" si="13"/>
        <v>0</v>
      </c>
      <c r="S63" s="6">
        <f t="shared" si="14"/>
        <v>0</v>
      </c>
      <c r="T63" s="6">
        <f t="shared" si="15"/>
        <v>0</v>
      </c>
      <c r="U63" s="6">
        <f t="shared" si="16"/>
        <v>0</v>
      </c>
      <c r="V63" s="6">
        <f t="shared" si="17"/>
        <v>0</v>
      </c>
      <c r="W63" s="6">
        <f t="shared" si="18"/>
        <v>0</v>
      </c>
      <c r="X63" s="6">
        <f t="shared" si="19"/>
        <v>0</v>
      </c>
      <c r="Y63" s="6">
        <f t="shared" si="20"/>
        <v>0</v>
      </c>
      <c r="Z63" s="6">
        <f t="shared" si="21"/>
        <v>0</v>
      </c>
      <c r="AB63" s="36" t="str">
        <f>IF(最佳化斷筋點!C63="","",最佳化斷筋點!C63)</f>
        <v>上層</v>
      </c>
      <c r="AC63" s="37">
        <f>IF(最佳化斷筋點!D63="","",最佳化斷筋點!D63)</f>
        <v>5</v>
      </c>
      <c r="AD63" s="37">
        <f>IF(最佳化斷筋點!E63="","",最佳化斷筋點!E63)</f>
        <v>5</v>
      </c>
      <c r="AE63" s="37">
        <f>IF(最佳化斷筋點!F63="","",最佳化斷筋點!F63)</f>
        <v>5</v>
      </c>
      <c r="AF63" s="37">
        <f>IF(最佳化斷筋點!G63="","",最佳化斷筋點!G63)</f>
        <v>5</v>
      </c>
      <c r="AG63" s="37">
        <f>IF(最佳化斷筋點!H63="","",最佳化斷筋點!H63)</f>
        <v>5</v>
      </c>
      <c r="AH63" s="37">
        <f>IF(最佳化斷筋點!I63="","",最佳化斷筋點!I63)</f>
        <v>5</v>
      </c>
      <c r="AI63" s="37">
        <f>IF(最佳化斷筋點!J63="","",最佳化斷筋點!J63)</f>
        <v>5</v>
      </c>
      <c r="AJ63" s="37">
        <f>IF(最佳化斷筋點!K63="","",最佳化斷筋點!K63)</f>
        <v>3</v>
      </c>
      <c r="AK63" s="37">
        <f>IF(最佳化斷筋點!L63="","",最佳化斷筋點!L63)</f>
        <v>3</v>
      </c>
      <c r="AL63" s="37">
        <f>IF(最佳化斷筋點!M63="","",最佳化斷筋點!M63)</f>
        <v>3</v>
      </c>
      <c r="AM63" s="37">
        <f>IF(最佳化斷筋點!N63="","",最佳化斷筋點!N63)</f>
        <v>3</v>
      </c>
      <c r="AN63" s="37">
        <f>IF(最佳化斷筋點!O63="","",最佳化斷筋點!O63)</f>
        <v>2</v>
      </c>
      <c r="AO63" s="37">
        <f>IF(最佳化斷筋點!P63="","",最佳化斷筋點!P63)</f>
        <v>2</v>
      </c>
      <c r="AP63" s="37">
        <f>IF(最佳化斷筋點!Q63="","",最佳化斷筋點!Q63)</f>
        <v>2</v>
      </c>
      <c r="AQ63" s="37">
        <f>IF(最佳化斷筋點!R63="","",最佳化斷筋點!R63)</f>
        <v>3</v>
      </c>
      <c r="AR63" s="37">
        <f>IF(最佳化斷筋點!S63="","",最佳化斷筋點!S63)</f>
        <v>3</v>
      </c>
      <c r="AS63" s="37">
        <f>IF(最佳化斷筋點!T63="","",最佳化斷筋點!T63)</f>
        <v>3</v>
      </c>
      <c r="AT63" s="37">
        <f>IF(最佳化斷筋點!U63="","",最佳化斷筋點!U63)</f>
        <v>3</v>
      </c>
      <c r="AU63" s="37">
        <f>IF(最佳化斷筋點!V63="","",最佳化斷筋點!V63)</f>
        <v>3</v>
      </c>
      <c r="AV63" s="37">
        <f>IF(最佳化斷筋點!W63="","",最佳化斷筋點!W63)</f>
        <v>3</v>
      </c>
      <c r="AW63" s="37">
        <f>IF(最佳化斷筋點!X63="","",最佳化斷筋點!X63)</f>
        <v>3</v>
      </c>
      <c r="AY63" s="6" t="s">
        <v>20</v>
      </c>
      <c r="AZ63" s="37">
        <v>5</v>
      </c>
      <c r="BA63" s="37">
        <v>5</v>
      </c>
      <c r="BB63" s="37">
        <v>5</v>
      </c>
      <c r="BC63" s="37">
        <v>5</v>
      </c>
      <c r="BD63" s="37">
        <v>5</v>
      </c>
      <c r="BE63" s="37">
        <v>5</v>
      </c>
      <c r="BF63" s="37">
        <v>5</v>
      </c>
      <c r="BG63" s="37">
        <v>3</v>
      </c>
      <c r="BH63" s="37">
        <v>3</v>
      </c>
      <c r="BI63" s="37">
        <v>3</v>
      </c>
      <c r="BJ63" s="37">
        <v>3</v>
      </c>
      <c r="BK63" s="37">
        <v>2</v>
      </c>
      <c r="BL63" s="37">
        <v>2</v>
      </c>
      <c r="BM63" s="37">
        <v>2</v>
      </c>
      <c r="BN63" s="37">
        <v>3</v>
      </c>
      <c r="BO63" s="37">
        <v>3</v>
      </c>
      <c r="BP63" s="37">
        <v>3</v>
      </c>
      <c r="BQ63" s="37">
        <v>3</v>
      </c>
      <c r="BR63" s="37">
        <v>3</v>
      </c>
      <c r="BS63" s="37">
        <v>3</v>
      </c>
      <c r="BT63" s="37">
        <v>3</v>
      </c>
    </row>
    <row r="64" spans="5:72" x14ac:dyDescent="0.25">
      <c r="F64" s="6">
        <f t="shared" si="1"/>
        <v>0</v>
      </c>
      <c r="G64" s="6">
        <f t="shared" si="2"/>
        <v>0</v>
      </c>
      <c r="H64" s="6">
        <f t="shared" si="3"/>
        <v>0</v>
      </c>
      <c r="I64" s="6">
        <f t="shared" si="4"/>
        <v>0</v>
      </c>
      <c r="J64" s="6">
        <f t="shared" si="5"/>
        <v>0</v>
      </c>
      <c r="K64" s="6">
        <f t="shared" si="6"/>
        <v>0</v>
      </c>
      <c r="L64" s="6">
        <f t="shared" si="7"/>
        <v>0</v>
      </c>
      <c r="M64" s="6">
        <f t="shared" si="8"/>
        <v>0</v>
      </c>
      <c r="N64" s="6">
        <f t="shared" si="9"/>
        <v>0</v>
      </c>
      <c r="O64" s="6">
        <f t="shared" si="10"/>
        <v>0</v>
      </c>
      <c r="P64" s="6">
        <f t="shared" si="11"/>
        <v>0</v>
      </c>
      <c r="Q64" s="6">
        <f t="shared" si="12"/>
        <v>0</v>
      </c>
      <c r="R64" s="6">
        <f t="shared" si="13"/>
        <v>0</v>
      </c>
      <c r="S64" s="6">
        <f t="shared" si="14"/>
        <v>0</v>
      </c>
      <c r="T64" s="6">
        <f t="shared" si="15"/>
        <v>0</v>
      </c>
      <c r="U64" s="6">
        <f t="shared" si="16"/>
        <v>0</v>
      </c>
      <c r="V64" s="6">
        <f t="shared" si="17"/>
        <v>0</v>
      </c>
      <c r="W64" s="6">
        <f t="shared" si="18"/>
        <v>0</v>
      </c>
      <c r="X64" s="6">
        <f t="shared" si="19"/>
        <v>0</v>
      </c>
      <c r="Y64" s="6">
        <f t="shared" si="20"/>
        <v>0</v>
      </c>
      <c r="Z64" s="6">
        <f t="shared" si="21"/>
        <v>0</v>
      </c>
      <c r="AB64" s="36" t="str">
        <f>IF(最佳化斷筋點!C64="","",最佳化斷筋點!C64)</f>
        <v/>
      </c>
      <c r="AC64" s="37" t="str">
        <f>IF(最佳化斷筋點!D64="","",最佳化斷筋點!D64)</f>
        <v/>
      </c>
      <c r="AD64" s="37" t="str">
        <f>IF(最佳化斷筋點!E64="","",最佳化斷筋點!E64)</f>
        <v/>
      </c>
      <c r="AE64" s="37" t="str">
        <f>IF(最佳化斷筋點!F64="","",最佳化斷筋點!F64)</f>
        <v/>
      </c>
      <c r="AF64" s="37" t="str">
        <f>IF(最佳化斷筋點!G64="","",最佳化斷筋點!G64)</f>
        <v/>
      </c>
      <c r="AG64" s="37" t="str">
        <f>IF(最佳化斷筋點!H64="","",最佳化斷筋點!H64)</f>
        <v/>
      </c>
      <c r="AH64" s="37" t="str">
        <f>IF(最佳化斷筋點!I64="","",最佳化斷筋點!I64)</f>
        <v/>
      </c>
      <c r="AI64" s="37" t="str">
        <f>IF(最佳化斷筋點!J64="","",最佳化斷筋點!J64)</f>
        <v/>
      </c>
      <c r="AJ64" s="37" t="str">
        <f>IF(最佳化斷筋點!K64="","",最佳化斷筋點!K64)</f>
        <v/>
      </c>
      <c r="AK64" s="37" t="str">
        <f>IF(最佳化斷筋點!L64="","",最佳化斷筋點!L64)</f>
        <v/>
      </c>
      <c r="AL64" s="37" t="str">
        <f>IF(最佳化斷筋點!M64="","",最佳化斷筋點!M64)</f>
        <v/>
      </c>
      <c r="AM64" s="37" t="str">
        <f>IF(最佳化斷筋點!N64="","",最佳化斷筋點!N64)</f>
        <v/>
      </c>
      <c r="AN64" s="37" t="str">
        <f>IF(最佳化斷筋點!O64="","",最佳化斷筋點!O64)</f>
        <v/>
      </c>
      <c r="AO64" s="37" t="str">
        <f>IF(最佳化斷筋點!P64="","",最佳化斷筋點!P64)</f>
        <v/>
      </c>
      <c r="AP64" s="37" t="str">
        <f>IF(最佳化斷筋點!Q64="","",最佳化斷筋點!Q64)</f>
        <v/>
      </c>
      <c r="AQ64" s="37" t="str">
        <f>IF(最佳化斷筋點!R64="","",最佳化斷筋點!R64)</f>
        <v/>
      </c>
      <c r="AR64" s="37" t="str">
        <f>IF(最佳化斷筋點!S64="","",最佳化斷筋點!S64)</f>
        <v/>
      </c>
      <c r="AS64" s="37" t="str">
        <f>IF(最佳化斷筋點!T64="","",最佳化斷筋點!T64)</f>
        <v/>
      </c>
      <c r="AT64" s="37" t="str">
        <f>IF(最佳化斷筋點!U64="","",最佳化斷筋點!U64)</f>
        <v/>
      </c>
      <c r="AU64" s="37" t="str">
        <f>IF(最佳化斷筋點!V64="","",最佳化斷筋點!V64)</f>
        <v/>
      </c>
      <c r="AV64" s="37" t="str">
        <f>IF(最佳化斷筋點!W64="","",最佳化斷筋點!W64)</f>
        <v/>
      </c>
      <c r="AW64" s="37" t="str">
        <f>IF(最佳化斷筋點!X64="","",最佳化斷筋點!X64)</f>
        <v/>
      </c>
      <c r="AZ64" s="37" t="s">
        <v>197</v>
      </c>
      <c r="BA64" s="37" t="s">
        <v>197</v>
      </c>
      <c r="BB64" s="37" t="s">
        <v>197</v>
      </c>
      <c r="BC64" s="37" t="s">
        <v>197</v>
      </c>
      <c r="BD64" s="37" t="s">
        <v>197</v>
      </c>
      <c r="BE64" s="37" t="s">
        <v>197</v>
      </c>
      <c r="BF64" s="37" t="s">
        <v>197</v>
      </c>
      <c r="BG64" s="37" t="s">
        <v>197</v>
      </c>
      <c r="BH64" s="37" t="s">
        <v>197</v>
      </c>
      <c r="BI64" s="37" t="s">
        <v>197</v>
      </c>
      <c r="BJ64" s="37" t="s">
        <v>197</v>
      </c>
      <c r="BK64" s="37" t="s">
        <v>197</v>
      </c>
      <c r="BL64" s="37" t="s">
        <v>197</v>
      </c>
      <c r="BM64" s="37" t="s">
        <v>197</v>
      </c>
      <c r="BN64" s="37" t="s">
        <v>197</v>
      </c>
      <c r="BO64" s="37" t="s">
        <v>197</v>
      </c>
      <c r="BP64" s="37" t="s">
        <v>197</v>
      </c>
      <c r="BQ64" s="37" t="s">
        <v>197</v>
      </c>
      <c r="BR64" s="37" t="s">
        <v>197</v>
      </c>
      <c r="BS64" s="37" t="s">
        <v>197</v>
      </c>
      <c r="BT64" s="37" t="s">
        <v>197</v>
      </c>
    </row>
    <row r="65" spans="5:72" x14ac:dyDescent="0.25">
      <c r="E65" s="6" t="s">
        <v>21</v>
      </c>
      <c r="F65" s="6">
        <f t="shared" si="1"/>
        <v>0</v>
      </c>
      <c r="G65" s="6">
        <f t="shared" si="2"/>
        <v>0</v>
      </c>
      <c r="H65" s="6">
        <f t="shared" si="3"/>
        <v>0</v>
      </c>
      <c r="I65" s="6">
        <f t="shared" si="4"/>
        <v>0</v>
      </c>
      <c r="J65" s="6">
        <f t="shared" si="5"/>
        <v>0</v>
      </c>
      <c r="K65" s="6">
        <f t="shared" si="6"/>
        <v>0</v>
      </c>
      <c r="L65" s="6">
        <f t="shared" si="7"/>
        <v>0</v>
      </c>
      <c r="M65" s="6">
        <f t="shared" si="8"/>
        <v>0</v>
      </c>
      <c r="N65" s="6">
        <f t="shared" si="9"/>
        <v>0</v>
      </c>
      <c r="O65" s="6">
        <f t="shared" si="10"/>
        <v>0</v>
      </c>
      <c r="P65" s="6">
        <f t="shared" si="11"/>
        <v>0</v>
      </c>
      <c r="Q65" s="6">
        <f t="shared" si="12"/>
        <v>0</v>
      </c>
      <c r="R65" s="6">
        <f t="shared" si="13"/>
        <v>0</v>
      </c>
      <c r="S65" s="6">
        <f t="shared" si="14"/>
        <v>0</v>
      </c>
      <c r="T65" s="6">
        <f t="shared" si="15"/>
        <v>0</v>
      </c>
      <c r="U65" s="6">
        <f t="shared" si="16"/>
        <v>0</v>
      </c>
      <c r="V65" s="6">
        <f t="shared" si="17"/>
        <v>0</v>
      </c>
      <c r="W65" s="6">
        <f t="shared" si="18"/>
        <v>0</v>
      </c>
      <c r="X65" s="6">
        <f t="shared" si="19"/>
        <v>0</v>
      </c>
      <c r="Y65" s="6">
        <f t="shared" si="20"/>
        <v>0</v>
      </c>
      <c r="Z65" s="6">
        <f t="shared" si="21"/>
        <v>0</v>
      </c>
      <c r="AB65" s="36" t="str">
        <f>IF(最佳化斷筋點!C65="","",最佳化斷筋點!C65)</f>
        <v>下層</v>
      </c>
      <c r="AC65" s="37">
        <f>IF(最佳化斷筋點!D65="","",最佳化斷筋點!D65)</f>
        <v>3</v>
      </c>
      <c r="AD65" s="37">
        <f>IF(最佳化斷筋點!E65="","",最佳化斷筋點!E65)</f>
        <v>3</v>
      </c>
      <c r="AE65" s="37">
        <f>IF(最佳化斷筋點!F65="","",最佳化斷筋點!F65)</f>
        <v>3</v>
      </c>
      <c r="AF65" s="37">
        <f>IF(最佳化斷筋點!G65="","",最佳化斷筋點!G65)</f>
        <v>3</v>
      </c>
      <c r="AG65" s="37">
        <f>IF(最佳化斷筋點!H65="","",最佳化斷筋點!H65)</f>
        <v>3</v>
      </c>
      <c r="AH65" s="37">
        <f>IF(最佳化斷筋點!I65="","",最佳化斷筋點!I65)</f>
        <v>3</v>
      </c>
      <c r="AI65" s="37">
        <f>IF(最佳化斷筋點!J65="","",最佳化斷筋點!J65)</f>
        <v>3</v>
      </c>
      <c r="AJ65" s="37">
        <f>IF(最佳化斷筋點!K65="","",最佳化斷筋點!K65)</f>
        <v>3</v>
      </c>
      <c r="AK65" s="37">
        <f>IF(最佳化斷筋點!L65="","",最佳化斷筋點!L65)</f>
        <v>3</v>
      </c>
      <c r="AL65" s="37">
        <f>IF(最佳化斷筋點!M65="","",最佳化斷筋點!M65)</f>
        <v>3</v>
      </c>
      <c r="AM65" s="37">
        <f>IF(最佳化斷筋點!N65="","",最佳化斷筋點!N65)</f>
        <v>3</v>
      </c>
      <c r="AN65" s="37">
        <f>IF(最佳化斷筋點!O65="","",最佳化斷筋點!O65)</f>
        <v>3</v>
      </c>
      <c r="AO65" s="37">
        <f>IF(最佳化斷筋點!P65="","",最佳化斷筋點!P65)</f>
        <v>3</v>
      </c>
      <c r="AP65" s="37">
        <f>IF(最佳化斷筋點!Q65="","",最佳化斷筋點!Q65)</f>
        <v>3</v>
      </c>
      <c r="AQ65" s="37">
        <f>IF(最佳化斷筋點!R65="","",最佳化斷筋點!R65)</f>
        <v>3</v>
      </c>
      <c r="AR65" s="37">
        <f>IF(最佳化斷筋點!S65="","",最佳化斷筋點!S65)</f>
        <v>3</v>
      </c>
      <c r="AS65" s="37">
        <f>IF(最佳化斷筋點!T65="","",最佳化斷筋點!T65)</f>
        <v>4</v>
      </c>
      <c r="AT65" s="37">
        <f>IF(最佳化斷筋點!U65="","",最佳化斷筋點!U65)</f>
        <v>4</v>
      </c>
      <c r="AU65" s="37">
        <f>IF(最佳化斷筋點!V65="","",最佳化斷筋點!V65)</f>
        <v>4</v>
      </c>
      <c r="AV65" s="37">
        <f>IF(最佳化斷筋點!W65="","",最佳化斷筋點!W65)</f>
        <v>4</v>
      </c>
      <c r="AW65" s="37">
        <f>IF(最佳化斷筋點!X65="","",最佳化斷筋點!X65)</f>
        <v>4</v>
      </c>
      <c r="AY65" s="6" t="s">
        <v>21</v>
      </c>
      <c r="AZ65" s="37">
        <v>3</v>
      </c>
      <c r="BA65" s="37">
        <v>3</v>
      </c>
      <c r="BB65" s="37">
        <v>3</v>
      </c>
      <c r="BC65" s="37">
        <v>3</v>
      </c>
      <c r="BD65" s="37">
        <v>3</v>
      </c>
      <c r="BE65" s="37">
        <v>3</v>
      </c>
      <c r="BF65" s="37">
        <v>3</v>
      </c>
      <c r="BG65" s="37">
        <v>3</v>
      </c>
      <c r="BH65" s="37">
        <v>3</v>
      </c>
      <c r="BI65" s="37">
        <v>3</v>
      </c>
      <c r="BJ65" s="37">
        <v>3</v>
      </c>
      <c r="BK65" s="37">
        <v>3</v>
      </c>
      <c r="BL65" s="37">
        <v>3</v>
      </c>
      <c r="BM65" s="37">
        <v>3</v>
      </c>
      <c r="BN65" s="37">
        <v>3</v>
      </c>
      <c r="BO65" s="37">
        <v>3</v>
      </c>
      <c r="BP65" s="37">
        <v>4</v>
      </c>
      <c r="BQ65" s="37">
        <v>4</v>
      </c>
      <c r="BR65" s="37">
        <v>4</v>
      </c>
      <c r="BS65" s="37">
        <v>4</v>
      </c>
      <c r="BT65" s="37">
        <v>4</v>
      </c>
    </row>
    <row r="66" spans="5:72" x14ac:dyDescent="0.25">
      <c r="F66" s="6">
        <f t="shared" si="1"/>
        <v>0</v>
      </c>
      <c r="G66" s="6">
        <f t="shared" si="2"/>
        <v>0</v>
      </c>
      <c r="H66" s="6">
        <f t="shared" si="3"/>
        <v>0</v>
      </c>
      <c r="I66" s="6">
        <f t="shared" si="4"/>
        <v>0</v>
      </c>
      <c r="J66" s="6">
        <f t="shared" si="5"/>
        <v>0</v>
      </c>
      <c r="K66" s="6">
        <f t="shared" si="6"/>
        <v>0</v>
      </c>
      <c r="L66" s="6">
        <f t="shared" si="7"/>
        <v>0</v>
      </c>
      <c r="M66" s="6">
        <f t="shared" si="8"/>
        <v>0</v>
      </c>
      <c r="N66" s="6">
        <f t="shared" si="9"/>
        <v>0</v>
      </c>
      <c r="O66" s="6">
        <f t="shared" si="10"/>
        <v>0</v>
      </c>
      <c r="P66" s="6">
        <f t="shared" si="11"/>
        <v>0</v>
      </c>
      <c r="Q66" s="6">
        <f t="shared" si="12"/>
        <v>0</v>
      </c>
      <c r="R66" s="6">
        <f t="shared" si="13"/>
        <v>0</v>
      </c>
      <c r="S66" s="6">
        <f t="shared" si="14"/>
        <v>0</v>
      </c>
      <c r="T66" s="6">
        <f t="shared" si="15"/>
        <v>0</v>
      </c>
      <c r="U66" s="6">
        <f t="shared" si="16"/>
        <v>0</v>
      </c>
      <c r="V66" s="6">
        <f t="shared" si="17"/>
        <v>0</v>
      </c>
      <c r="W66" s="6">
        <f t="shared" si="18"/>
        <v>0</v>
      </c>
      <c r="X66" s="6">
        <f t="shared" si="19"/>
        <v>0</v>
      </c>
      <c r="Y66" s="6">
        <f t="shared" si="20"/>
        <v>0</v>
      </c>
      <c r="Z66" s="6">
        <f t="shared" si="21"/>
        <v>0</v>
      </c>
      <c r="AB66" s="36" t="str">
        <f>IF(最佳化斷筋點!C66="","",最佳化斷筋點!C66)</f>
        <v/>
      </c>
      <c r="AC66" s="37" t="str">
        <f>IF(最佳化斷筋點!D66="","",最佳化斷筋點!D66)</f>
        <v/>
      </c>
      <c r="AD66" s="37" t="str">
        <f>IF(最佳化斷筋點!E66="","",最佳化斷筋點!E66)</f>
        <v/>
      </c>
      <c r="AE66" s="37" t="str">
        <f>IF(最佳化斷筋點!F66="","",最佳化斷筋點!F66)</f>
        <v/>
      </c>
      <c r="AF66" s="37" t="str">
        <f>IF(最佳化斷筋點!G66="","",最佳化斷筋點!G66)</f>
        <v/>
      </c>
      <c r="AG66" s="37" t="str">
        <f>IF(最佳化斷筋點!H66="","",最佳化斷筋點!H66)</f>
        <v/>
      </c>
      <c r="AH66" s="37" t="str">
        <f>IF(最佳化斷筋點!I66="","",最佳化斷筋點!I66)</f>
        <v/>
      </c>
      <c r="AI66" s="37" t="str">
        <f>IF(最佳化斷筋點!J66="","",最佳化斷筋點!J66)</f>
        <v/>
      </c>
      <c r="AJ66" s="37" t="str">
        <f>IF(最佳化斷筋點!K66="","",最佳化斷筋點!K66)</f>
        <v/>
      </c>
      <c r="AK66" s="37" t="str">
        <f>IF(最佳化斷筋點!L66="","",最佳化斷筋點!L66)</f>
        <v/>
      </c>
      <c r="AL66" s="37" t="str">
        <f>IF(最佳化斷筋點!M66="","",最佳化斷筋點!M66)</f>
        <v/>
      </c>
      <c r="AM66" s="37" t="str">
        <f>IF(最佳化斷筋點!N66="","",最佳化斷筋點!N66)</f>
        <v/>
      </c>
      <c r="AN66" s="37" t="str">
        <f>IF(最佳化斷筋點!O66="","",最佳化斷筋點!O66)</f>
        <v/>
      </c>
      <c r="AO66" s="37" t="str">
        <f>IF(最佳化斷筋點!P66="","",最佳化斷筋點!P66)</f>
        <v/>
      </c>
      <c r="AP66" s="37" t="str">
        <f>IF(最佳化斷筋點!Q66="","",最佳化斷筋點!Q66)</f>
        <v/>
      </c>
      <c r="AQ66" s="37" t="str">
        <f>IF(最佳化斷筋點!R66="","",最佳化斷筋點!R66)</f>
        <v/>
      </c>
      <c r="AR66" s="37" t="str">
        <f>IF(最佳化斷筋點!S66="","",最佳化斷筋點!S66)</f>
        <v/>
      </c>
      <c r="AS66" s="37" t="str">
        <f>IF(最佳化斷筋點!T66="","",最佳化斷筋點!T66)</f>
        <v/>
      </c>
      <c r="AT66" s="37" t="str">
        <f>IF(最佳化斷筋點!U66="","",最佳化斷筋點!U66)</f>
        <v/>
      </c>
      <c r="AU66" s="37" t="str">
        <f>IF(最佳化斷筋點!V66="","",最佳化斷筋點!V66)</f>
        <v/>
      </c>
      <c r="AV66" s="37" t="str">
        <f>IF(最佳化斷筋點!W66="","",最佳化斷筋點!W66)</f>
        <v/>
      </c>
      <c r="AW66" s="37" t="str">
        <f>IF(最佳化斷筋點!X66="","",最佳化斷筋點!X66)</f>
        <v/>
      </c>
      <c r="AZ66" s="37" t="s">
        <v>197</v>
      </c>
      <c r="BA66" s="37" t="s">
        <v>197</v>
      </c>
      <c r="BB66" s="37" t="s">
        <v>197</v>
      </c>
      <c r="BC66" s="37" t="s">
        <v>197</v>
      </c>
      <c r="BD66" s="37" t="s">
        <v>197</v>
      </c>
      <c r="BE66" s="37" t="s">
        <v>197</v>
      </c>
      <c r="BF66" s="37" t="s">
        <v>197</v>
      </c>
      <c r="BG66" s="37" t="s">
        <v>197</v>
      </c>
      <c r="BH66" s="37" t="s">
        <v>197</v>
      </c>
      <c r="BI66" s="37" t="s">
        <v>197</v>
      </c>
      <c r="BJ66" s="37" t="s">
        <v>197</v>
      </c>
      <c r="BK66" s="37" t="s">
        <v>197</v>
      </c>
      <c r="BL66" s="37" t="s">
        <v>197</v>
      </c>
      <c r="BM66" s="37" t="s">
        <v>197</v>
      </c>
      <c r="BN66" s="37" t="s">
        <v>197</v>
      </c>
      <c r="BO66" s="37" t="s">
        <v>197</v>
      </c>
      <c r="BP66" s="37" t="s">
        <v>197</v>
      </c>
      <c r="BQ66" s="37" t="s">
        <v>197</v>
      </c>
      <c r="BR66" s="37" t="s">
        <v>197</v>
      </c>
      <c r="BS66" s="37" t="s">
        <v>197</v>
      </c>
      <c r="BT66" s="37" t="s">
        <v>197</v>
      </c>
    </row>
    <row r="67" spans="5:72" x14ac:dyDescent="0.25">
      <c r="E67" s="6" t="s">
        <v>20</v>
      </c>
      <c r="F67" s="6">
        <f t="shared" si="1"/>
        <v>0</v>
      </c>
      <c r="G67" s="6">
        <f t="shared" si="2"/>
        <v>0</v>
      </c>
      <c r="H67" s="6">
        <f t="shared" si="3"/>
        <v>0</v>
      </c>
      <c r="I67" s="6">
        <f t="shared" si="4"/>
        <v>0</v>
      </c>
      <c r="J67" s="6">
        <f t="shared" si="5"/>
        <v>0</v>
      </c>
      <c r="K67" s="6">
        <f t="shared" si="6"/>
        <v>0</v>
      </c>
      <c r="L67" s="6">
        <f t="shared" si="7"/>
        <v>0</v>
      </c>
      <c r="M67" s="6">
        <f t="shared" si="8"/>
        <v>0</v>
      </c>
      <c r="N67" s="6">
        <f t="shared" si="9"/>
        <v>0</v>
      </c>
      <c r="O67" s="6">
        <f t="shared" si="10"/>
        <v>0</v>
      </c>
      <c r="P67" s="6">
        <f t="shared" si="11"/>
        <v>0</v>
      </c>
      <c r="Q67" s="6">
        <f t="shared" si="12"/>
        <v>0</v>
      </c>
      <c r="R67" s="6">
        <f t="shared" si="13"/>
        <v>0</v>
      </c>
      <c r="S67" s="6">
        <f t="shared" si="14"/>
        <v>0</v>
      </c>
      <c r="T67" s="6">
        <f t="shared" si="15"/>
        <v>0</v>
      </c>
      <c r="U67" s="6">
        <f t="shared" si="16"/>
        <v>0</v>
      </c>
      <c r="V67" s="6">
        <f t="shared" si="17"/>
        <v>0</v>
      </c>
      <c r="W67" s="6">
        <f t="shared" si="18"/>
        <v>0</v>
      </c>
      <c r="X67" s="6">
        <f t="shared" si="19"/>
        <v>0</v>
      </c>
      <c r="Y67" s="6">
        <f t="shared" si="20"/>
        <v>0</v>
      </c>
      <c r="Z67" s="6">
        <f t="shared" si="21"/>
        <v>0</v>
      </c>
      <c r="AB67" s="36" t="str">
        <f>IF(最佳化斷筋點!C67="","",最佳化斷筋點!C67)</f>
        <v>上層</v>
      </c>
      <c r="AC67" s="37">
        <f>IF(最佳化斷筋點!D67="","",最佳化斷筋點!D67)</f>
        <v>7</v>
      </c>
      <c r="AD67" s="37">
        <f>IF(最佳化斷筋點!E67="","",最佳化斷筋點!E67)</f>
        <v>7</v>
      </c>
      <c r="AE67" s="37">
        <f>IF(最佳化斷筋點!F67="","",最佳化斷筋點!F67)</f>
        <v>7</v>
      </c>
      <c r="AF67" s="37">
        <f>IF(最佳化斷筋點!G67="","",最佳化斷筋點!G67)</f>
        <v>7</v>
      </c>
      <c r="AG67" s="37">
        <f>IF(最佳化斷筋點!H67="","",最佳化斷筋點!H67)</f>
        <v>7</v>
      </c>
      <c r="AH67" s="37">
        <f>IF(最佳化斷筋點!I67="","",最佳化斷筋點!I67)</f>
        <v>7</v>
      </c>
      <c r="AI67" s="37">
        <f>IF(最佳化斷筋點!J67="","",最佳化斷筋點!J67)</f>
        <v>6</v>
      </c>
      <c r="AJ67" s="37">
        <f>IF(最佳化斷筋點!K67="","",最佳化斷筋點!K67)</f>
        <v>3</v>
      </c>
      <c r="AK67" s="37">
        <f>IF(最佳化斷筋點!L67="","",最佳化斷筋點!L67)</f>
        <v>3</v>
      </c>
      <c r="AL67" s="37">
        <f>IF(最佳化斷筋點!M67="","",最佳化斷筋點!M67)</f>
        <v>3</v>
      </c>
      <c r="AM67" s="37">
        <f>IF(最佳化斷筋點!N67="","",最佳化斷筋點!N67)</f>
        <v>3</v>
      </c>
      <c r="AN67" s="37">
        <f>IF(最佳化斷筋點!O67="","",最佳化斷筋點!O67)</f>
        <v>3</v>
      </c>
      <c r="AO67" s="37">
        <f>IF(最佳化斷筋點!P67="","",最佳化斷筋點!P67)</f>
        <v>2</v>
      </c>
      <c r="AP67" s="37">
        <f>IF(最佳化斷筋點!Q67="","",最佳化斷筋點!Q67)</f>
        <v>2</v>
      </c>
      <c r="AQ67" s="37">
        <f>IF(最佳化斷筋點!R67="","",最佳化斷筋點!R67)</f>
        <v>3</v>
      </c>
      <c r="AR67" s="37">
        <f>IF(最佳化斷筋點!S67="","",最佳化斷筋點!S67)</f>
        <v>3</v>
      </c>
      <c r="AS67" s="37">
        <f>IF(最佳化斷筋點!T67="","",最佳化斷筋點!T67)</f>
        <v>3</v>
      </c>
      <c r="AT67" s="37">
        <f>IF(最佳化斷筋點!U67="","",最佳化斷筋點!U67)</f>
        <v>3</v>
      </c>
      <c r="AU67" s="37">
        <f>IF(最佳化斷筋點!V67="","",最佳化斷筋點!V67)</f>
        <v>3</v>
      </c>
      <c r="AV67" s="37">
        <f>IF(最佳化斷筋點!W67="","",最佳化斷筋點!W67)</f>
        <v>3</v>
      </c>
      <c r="AW67" s="37">
        <f>IF(最佳化斷筋點!X67="","",最佳化斷筋點!X67)</f>
        <v>3</v>
      </c>
      <c r="AY67" s="6" t="s">
        <v>20</v>
      </c>
      <c r="AZ67" s="37">
        <v>7</v>
      </c>
      <c r="BA67" s="37">
        <v>7</v>
      </c>
      <c r="BB67" s="37">
        <v>7</v>
      </c>
      <c r="BC67" s="37">
        <v>7</v>
      </c>
      <c r="BD67" s="37">
        <v>7</v>
      </c>
      <c r="BE67" s="37">
        <v>7</v>
      </c>
      <c r="BF67" s="37">
        <v>6</v>
      </c>
      <c r="BG67" s="37">
        <v>3</v>
      </c>
      <c r="BH67" s="37">
        <v>3</v>
      </c>
      <c r="BI67" s="37">
        <v>3</v>
      </c>
      <c r="BJ67" s="37">
        <v>3</v>
      </c>
      <c r="BK67" s="37">
        <v>3</v>
      </c>
      <c r="BL67" s="37">
        <v>2</v>
      </c>
      <c r="BM67" s="37">
        <v>2</v>
      </c>
      <c r="BN67" s="37">
        <v>3</v>
      </c>
      <c r="BO67" s="37">
        <v>3</v>
      </c>
      <c r="BP67" s="37">
        <v>3</v>
      </c>
      <c r="BQ67" s="37">
        <v>3</v>
      </c>
      <c r="BR67" s="37">
        <v>3</v>
      </c>
      <c r="BS67" s="37">
        <v>3</v>
      </c>
      <c r="BT67" s="37">
        <v>3</v>
      </c>
    </row>
    <row r="68" spans="5:72" x14ac:dyDescent="0.25">
      <c r="F68" s="6">
        <f t="shared" ref="F68:F131" si="22">IF(AC68=AZ68,0,1)</f>
        <v>0</v>
      </c>
      <c r="G68" s="6">
        <f t="shared" ref="G68:G131" si="23">IF(AD68=BA68,0,1)</f>
        <v>0</v>
      </c>
      <c r="H68" s="6">
        <f t="shared" ref="H68:H131" si="24">IF(AE68=BB68,0,1)</f>
        <v>0</v>
      </c>
      <c r="I68" s="6">
        <f t="shared" ref="I68:I131" si="25">IF(AF68=BC68,0,1)</f>
        <v>0</v>
      </c>
      <c r="J68" s="6">
        <f t="shared" ref="J68:J131" si="26">IF(AG68=BD68,0,1)</f>
        <v>0</v>
      </c>
      <c r="K68" s="6">
        <f t="shared" ref="K68:K131" si="27">IF(AH68=BE68,0,1)</f>
        <v>0</v>
      </c>
      <c r="L68" s="6">
        <f t="shared" ref="L68:L131" si="28">IF(AI68=BF68,0,1)</f>
        <v>0</v>
      </c>
      <c r="M68" s="6">
        <f t="shared" ref="M68:M131" si="29">IF(AJ68=BG68,0,1)</f>
        <v>0</v>
      </c>
      <c r="N68" s="6">
        <f t="shared" ref="N68:N131" si="30">IF(AK68=BH68,0,1)</f>
        <v>0</v>
      </c>
      <c r="O68" s="6">
        <f t="shared" ref="O68:O131" si="31">IF(AL68=BI68,0,1)</f>
        <v>0</v>
      </c>
      <c r="P68" s="6">
        <f t="shared" ref="P68:P131" si="32">IF(AM68=BJ68,0,1)</f>
        <v>0</v>
      </c>
      <c r="Q68" s="6">
        <f t="shared" ref="Q68:Q131" si="33">IF(AN68=BK68,0,1)</f>
        <v>0</v>
      </c>
      <c r="R68" s="6">
        <f t="shared" ref="R68:R131" si="34">IF(AO68=BL68,0,1)</f>
        <v>0</v>
      </c>
      <c r="S68" s="6">
        <f t="shared" ref="S68:S131" si="35">IF(AP68=BM68,0,1)</f>
        <v>0</v>
      </c>
      <c r="T68" s="6">
        <f t="shared" ref="T68:T131" si="36">IF(AQ68=BN68,0,1)</f>
        <v>0</v>
      </c>
      <c r="U68" s="6">
        <f t="shared" ref="U68:U131" si="37">IF(AR68=BO68,0,1)</f>
        <v>0</v>
      </c>
      <c r="V68" s="6">
        <f t="shared" ref="V68:V131" si="38">IF(AS68=BP68,0,1)</f>
        <v>0</v>
      </c>
      <c r="W68" s="6">
        <f t="shared" ref="W68:W131" si="39">IF(AT68=BQ68,0,1)</f>
        <v>0</v>
      </c>
      <c r="X68" s="6">
        <f t="shared" ref="X68:X131" si="40">IF(AU68=BR68,0,1)</f>
        <v>0</v>
      </c>
      <c r="Y68" s="6">
        <f t="shared" ref="Y68:Y131" si="41">IF(AV68=BS68,0,1)</f>
        <v>0</v>
      </c>
      <c r="Z68" s="6">
        <f t="shared" ref="Z68:Z131" si="42">IF(AW68=BT68,0,1)</f>
        <v>0</v>
      </c>
      <c r="AB68" s="36" t="str">
        <f>IF(最佳化斷筋點!C68="","",最佳化斷筋點!C68)</f>
        <v/>
      </c>
      <c r="AC68" s="36" t="str">
        <f>IF(最佳化斷筋點!D68="","",最佳化斷筋點!D68)</f>
        <v/>
      </c>
      <c r="AD68" s="36" t="str">
        <f>IF(最佳化斷筋點!E68="","",最佳化斷筋點!E68)</f>
        <v/>
      </c>
      <c r="AE68" s="36" t="str">
        <f>IF(最佳化斷筋點!F68="","",最佳化斷筋點!F68)</f>
        <v/>
      </c>
      <c r="AF68" s="36" t="str">
        <f>IF(最佳化斷筋點!G68="","",最佳化斷筋點!G68)</f>
        <v/>
      </c>
      <c r="AG68" s="36" t="str">
        <f>IF(最佳化斷筋點!H68="","",最佳化斷筋點!H68)</f>
        <v/>
      </c>
      <c r="AH68" s="36" t="str">
        <f>IF(最佳化斷筋點!I68="","",最佳化斷筋點!I68)</f>
        <v/>
      </c>
      <c r="AI68" s="36" t="str">
        <f>IF(最佳化斷筋點!J68="","",最佳化斷筋點!J68)</f>
        <v/>
      </c>
      <c r="AJ68" s="36" t="str">
        <f>IF(最佳化斷筋點!K68="","",最佳化斷筋點!K68)</f>
        <v/>
      </c>
      <c r="AK68" s="36" t="str">
        <f>IF(最佳化斷筋點!L68="","",最佳化斷筋點!L68)</f>
        <v/>
      </c>
      <c r="AL68" s="36" t="str">
        <f>IF(最佳化斷筋點!M68="","",最佳化斷筋點!M68)</f>
        <v/>
      </c>
      <c r="AM68" s="36" t="str">
        <f>IF(最佳化斷筋點!N68="","",最佳化斷筋點!N68)</f>
        <v/>
      </c>
      <c r="AN68" s="36" t="str">
        <f>IF(最佳化斷筋點!O68="","",最佳化斷筋點!O68)</f>
        <v/>
      </c>
      <c r="AO68" s="36" t="str">
        <f>IF(最佳化斷筋點!P68="","",最佳化斷筋點!P68)</f>
        <v/>
      </c>
      <c r="AP68" s="36" t="str">
        <f>IF(最佳化斷筋點!Q68="","",最佳化斷筋點!Q68)</f>
        <v/>
      </c>
      <c r="AQ68" s="36" t="str">
        <f>IF(最佳化斷筋點!R68="","",最佳化斷筋點!R68)</f>
        <v/>
      </c>
      <c r="AR68" s="36" t="str">
        <f>IF(最佳化斷筋點!S68="","",最佳化斷筋點!S68)</f>
        <v/>
      </c>
      <c r="AS68" s="36" t="str">
        <f>IF(最佳化斷筋點!T68="","",最佳化斷筋點!T68)</f>
        <v/>
      </c>
      <c r="AT68" s="36" t="str">
        <f>IF(最佳化斷筋點!U68="","",最佳化斷筋點!U68)</f>
        <v/>
      </c>
      <c r="AU68" s="36" t="str">
        <f>IF(最佳化斷筋點!V68="","",最佳化斷筋點!V68)</f>
        <v/>
      </c>
      <c r="AV68" s="36" t="str">
        <f>IF(最佳化斷筋點!W68="","",最佳化斷筋點!W68)</f>
        <v/>
      </c>
      <c r="AW68" s="36" t="str">
        <f>IF(最佳化斷筋點!X68="","",最佳化斷筋點!X68)</f>
        <v/>
      </c>
      <c r="AZ68" s="37" t="s">
        <v>197</v>
      </c>
      <c r="BA68" s="37" t="s">
        <v>197</v>
      </c>
      <c r="BB68" s="37" t="s">
        <v>197</v>
      </c>
      <c r="BC68" s="37" t="s">
        <v>197</v>
      </c>
      <c r="BD68" s="37" t="s">
        <v>197</v>
      </c>
      <c r="BE68" s="37" t="s">
        <v>197</v>
      </c>
      <c r="BF68" s="37" t="s">
        <v>197</v>
      </c>
      <c r="BG68" s="37" t="s">
        <v>197</v>
      </c>
      <c r="BH68" s="37" t="s">
        <v>197</v>
      </c>
      <c r="BI68" s="37" t="s">
        <v>197</v>
      </c>
      <c r="BJ68" s="37" t="s">
        <v>197</v>
      </c>
      <c r="BK68" s="37" t="s">
        <v>197</v>
      </c>
      <c r="BL68" s="37" t="s">
        <v>197</v>
      </c>
      <c r="BM68" s="37" t="s">
        <v>197</v>
      </c>
      <c r="BN68" s="37" t="s">
        <v>197</v>
      </c>
      <c r="BO68" s="37" t="s">
        <v>197</v>
      </c>
      <c r="BP68" s="37" t="s">
        <v>197</v>
      </c>
      <c r="BQ68" s="37" t="s">
        <v>197</v>
      </c>
      <c r="BR68" s="37" t="s">
        <v>197</v>
      </c>
      <c r="BS68" s="37" t="s">
        <v>197</v>
      </c>
      <c r="BT68" s="37" t="s">
        <v>197</v>
      </c>
    </row>
    <row r="69" spans="5:72" x14ac:dyDescent="0.25">
      <c r="E69" s="6" t="s">
        <v>21</v>
      </c>
      <c r="F69" s="6">
        <f t="shared" si="22"/>
        <v>0</v>
      </c>
      <c r="G69" s="6">
        <f t="shared" si="23"/>
        <v>0</v>
      </c>
      <c r="H69" s="6">
        <f t="shared" si="24"/>
        <v>0</v>
      </c>
      <c r="I69" s="6">
        <f t="shared" si="25"/>
        <v>0</v>
      </c>
      <c r="J69" s="6">
        <f t="shared" si="26"/>
        <v>0</v>
      </c>
      <c r="K69" s="6">
        <f t="shared" si="27"/>
        <v>0</v>
      </c>
      <c r="L69" s="6">
        <f t="shared" si="28"/>
        <v>0</v>
      </c>
      <c r="M69" s="6">
        <f t="shared" si="29"/>
        <v>0</v>
      </c>
      <c r="N69" s="6">
        <f t="shared" si="30"/>
        <v>0</v>
      </c>
      <c r="O69" s="6">
        <f t="shared" si="31"/>
        <v>0</v>
      </c>
      <c r="P69" s="6">
        <f t="shared" si="32"/>
        <v>0</v>
      </c>
      <c r="Q69" s="6">
        <f t="shared" si="33"/>
        <v>0</v>
      </c>
      <c r="R69" s="6">
        <f t="shared" si="34"/>
        <v>0</v>
      </c>
      <c r="S69" s="6">
        <f t="shared" si="35"/>
        <v>0</v>
      </c>
      <c r="T69" s="6">
        <f t="shared" si="36"/>
        <v>0</v>
      </c>
      <c r="U69" s="6">
        <f t="shared" si="37"/>
        <v>0</v>
      </c>
      <c r="V69" s="6">
        <f t="shared" si="38"/>
        <v>0</v>
      </c>
      <c r="W69" s="6">
        <f t="shared" si="39"/>
        <v>0</v>
      </c>
      <c r="X69" s="6">
        <f t="shared" si="40"/>
        <v>0</v>
      </c>
      <c r="Y69" s="6">
        <f t="shared" si="41"/>
        <v>0</v>
      </c>
      <c r="Z69" s="6">
        <f t="shared" si="42"/>
        <v>0</v>
      </c>
      <c r="AB69" s="36" t="str">
        <f>IF(最佳化斷筋點!C69="","",最佳化斷筋點!C69)</f>
        <v>下層</v>
      </c>
      <c r="AC69" s="37">
        <f>IF(最佳化斷筋點!D69="","",最佳化斷筋點!D69)</f>
        <v>4</v>
      </c>
      <c r="AD69" s="37">
        <f>IF(最佳化斷筋點!E69="","",最佳化斷筋點!E69)</f>
        <v>4</v>
      </c>
      <c r="AE69" s="37">
        <f>IF(最佳化斷筋點!F69="","",最佳化斷筋點!F69)</f>
        <v>4</v>
      </c>
      <c r="AF69" s="37">
        <f>IF(最佳化斷筋點!G69="","",最佳化斷筋點!G69)</f>
        <v>4</v>
      </c>
      <c r="AG69" s="37">
        <f>IF(最佳化斷筋點!H69="","",最佳化斷筋點!H69)</f>
        <v>4</v>
      </c>
      <c r="AH69" s="37">
        <f>IF(最佳化斷筋點!I69="","",最佳化斷筋點!I69)</f>
        <v>4</v>
      </c>
      <c r="AI69" s="37">
        <f>IF(最佳化斷筋點!J69="","",最佳化斷筋點!J69)</f>
        <v>3</v>
      </c>
      <c r="AJ69" s="37">
        <f>IF(最佳化斷筋點!K69="","",最佳化斷筋點!K69)</f>
        <v>3</v>
      </c>
      <c r="AK69" s="37">
        <f>IF(最佳化斷筋點!L69="","",最佳化斷筋點!L69)</f>
        <v>3</v>
      </c>
      <c r="AL69" s="37">
        <f>IF(最佳化斷筋點!M69="","",最佳化斷筋點!M69)</f>
        <v>3</v>
      </c>
      <c r="AM69" s="37">
        <f>IF(最佳化斷筋點!N69="","",最佳化斷筋點!N69)</f>
        <v>3</v>
      </c>
      <c r="AN69" s="37">
        <f>IF(最佳化斷筋點!O69="","",最佳化斷筋點!O69)</f>
        <v>3</v>
      </c>
      <c r="AO69" s="37">
        <f>IF(最佳化斷筋點!P69="","",最佳化斷筋點!P69)</f>
        <v>3</v>
      </c>
      <c r="AP69" s="37">
        <f>IF(最佳化斷筋點!Q69="","",最佳化斷筋點!Q69)</f>
        <v>3</v>
      </c>
      <c r="AQ69" s="37">
        <f>IF(最佳化斷筋點!R69="","",最佳化斷筋點!R69)</f>
        <v>4</v>
      </c>
      <c r="AR69" s="37">
        <f>IF(最佳化斷筋點!S69="","",最佳化斷筋點!S69)</f>
        <v>4</v>
      </c>
      <c r="AS69" s="37">
        <f>IF(最佳化斷筋點!T69="","",最佳化斷筋點!T69)</f>
        <v>5</v>
      </c>
      <c r="AT69" s="37">
        <f>IF(最佳化斷筋點!U69="","",最佳化斷筋點!U69)</f>
        <v>5</v>
      </c>
      <c r="AU69" s="37">
        <f>IF(最佳化斷筋點!V69="","",最佳化斷筋點!V69)</f>
        <v>5</v>
      </c>
      <c r="AV69" s="37">
        <f>IF(最佳化斷筋點!W69="","",最佳化斷筋點!W69)</f>
        <v>5</v>
      </c>
      <c r="AW69" s="37">
        <f>IF(最佳化斷筋點!X69="","",最佳化斷筋點!X69)</f>
        <v>5</v>
      </c>
      <c r="AY69" s="6" t="s">
        <v>21</v>
      </c>
      <c r="AZ69" s="37">
        <v>4</v>
      </c>
      <c r="BA69" s="37">
        <v>4</v>
      </c>
      <c r="BB69" s="37">
        <v>4</v>
      </c>
      <c r="BC69" s="37">
        <v>4</v>
      </c>
      <c r="BD69" s="37">
        <v>4</v>
      </c>
      <c r="BE69" s="37">
        <v>4</v>
      </c>
      <c r="BF69" s="37">
        <v>3</v>
      </c>
      <c r="BG69" s="37">
        <v>3</v>
      </c>
      <c r="BH69" s="37">
        <v>3</v>
      </c>
      <c r="BI69" s="37">
        <v>3</v>
      </c>
      <c r="BJ69" s="37">
        <v>3</v>
      </c>
      <c r="BK69" s="37">
        <v>3</v>
      </c>
      <c r="BL69" s="37">
        <v>3</v>
      </c>
      <c r="BM69" s="37">
        <v>3</v>
      </c>
      <c r="BN69" s="37">
        <v>4</v>
      </c>
      <c r="BO69" s="37">
        <v>4</v>
      </c>
      <c r="BP69" s="37">
        <v>5</v>
      </c>
      <c r="BQ69" s="37">
        <v>5</v>
      </c>
      <c r="BR69" s="37">
        <v>5</v>
      </c>
      <c r="BS69" s="37">
        <v>5</v>
      </c>
      <c r="BT69" s="37">
        <v>5</v>
      </c>
    </row>
    <row r="70" spans="5:72" x14ac:dyDescent="0.25">
      <c r="F70" s="6">
        <f t="shared" si="22"/>
        <v>0</v>
      </c>
      <c r="G70" s="6">
        <f t="shared" si="23"/>
        <v>0</v>
      </c>
      <c r="H70" s="6">
        <f t="shared" si="24"/>
        <v>0</v>
      </c>
      <c r="I70" s="6">
        <f t="shared" si="25"/>
        <v>0</v>
      </c>
      <c r="J70" s="6">
        <f t="shared" si="26"/>
        <v>0</v>
      </c>
      <c r="K70" s="6">
        <f t="shared" si="27"/>
        <v>0</v>
      </c>
      <c r="L70" s="6">
        <f t="shared" si="28"/>
        <v>0</v>
      </c>
      <c r="M70" s="6">
        <f t="shared" si="29"/>
        <v>0</v>
      </c>
      <c r="N70" s="6">
        <f t="shared" si="30"/>
        <v>0</v>
      </c>
      <c r="O70" s="6">
        <f t="shared" si="31"/>
        <v>0</v>
      </c>
      <c r="P70" s="6">
        <f t="shared" si="32"/>
        <v>0</v>
      </c>
      <c r="Q70" s="6">
        <f t="shared" si="33"/>
        <v>0</v>
      </c>
      <c r="R70" s="6">
        <f t="shared" si="34"/>
        <v>0</v>
      </c>
      <c r="S70" s="6">
        <f t="shared" si="35"/>
        <v>0</v>
      </c>
      <c r="T70" s="6">
        <f t="shared" si="36"/>
        <v>0</v>
      </c>
      <c r="U70" s="6">
        <f t="shared" si="37"/>
        <v>0</v>
      </c>
      <c r="V70" s="6">
        <f t="shared" si="38"/>
        <v>0</v>
      </c>
      <c r="W70" s="6">
        <f t="shared" si="39"/>
        <v>0</v>
      </c>
      <c r="X70" s="6">
        <f t="shared" si="40"/>
        <v>0</v>
      </c>
      <c r="Y70" s="6">
        <f t="shared" si="41"/>
        <v>0</v>
      </c>
      <c r="Z70" s="6">
        <f t="shared" si="42"/>
        <v>0</v>
      </c>
      <c r="AB70" s="36" t="str">
        <f>IF(最佳化斷筋點!C70="","",最佳化斷筋點!C70)</f>
        <v/>
      </c>
      <c r="AC70" s="37" t="str">
        <f>IF(最佳化斷筋點!D70="","",最佳化斷筋點!D70)</f>
        <v/>
      </c>
      <c r="AD70" s="37" t="str">
        <f>IF(最佳化斷筋點!E70="","",最佳化斷筋點!E70)</f>
        <v/>
      </c>
      <c r="AE70" s="37" t="str">
        <f>IF(最佳化斷筋點!F70="","",最佳化斷筋點!F70)</f>
        <v/>
      </c>
      <c r="AF70" s="37" t="str">
        <f>IF(最佳化斷筋點!G70="","",最佳化斷筋點!G70)</f>
        <v/>
      </c>
      <c r="AG70" s="37" t="str">
        <f>IF(最佳化斷筋點!H70="","",最佳化斷筋點!H70)</f>
        <v/>
      </c>
      <c r="AH70" s="37" t="str">
        <f>IF(最佳化斷筋點!I70="","",最佳化斷筋點!I70)</f>
        <v/>
      </c>
      <c r="AI70" s="37" t="str">
        <f>IF(最佳化斷筋點!J70="","",最佳化斷筋點!J70)</f>
        <v/>
      </c>
      <c r="AJ70" s="37" t="str">
        <f>IF(最佳化斷筋點!K70="","",最佳化斷筋點!K70)</f>
        <v/>
      </c>
      <c r="AK70" s="37" t="str">
        <f>IF(最佳化斷筋點!L70="","",最佳化斷筋點!L70)</f>
        <v/>
      </c>
      <c r="AL70" s="37" t="str">
        <f>IF(最佳化斷筋點!M70="","",最佳化斷筋點!M70)</f>
        <v/>
      </c>
      <c r="AM70" s="37" t="str">
        <f>IF(最佳化斷筋點!N70="","",最佳化斷筋點!N70)</f>
        <v/>
      </c>
      <c r="AN70" s="37" t="str">
        <f>IF(最佳化斷筋點!O70="","",最佳化斷筋點!O70)</f>
        <v/>
      </c>
      <c r="AO70" s="37" t="str">
        <f>IF(最佳化斷筋點!P70="","",最佳化斷筋點!P70)</f>
        <v/>
      </c>
      <c r="AP70" s="37" t="str">
        <f>IF(最佳化斷筋點!Q70="","",最佳化斷筋點!Q70)</f>
        <v/>
      </c>
      <c r="AQ70" s="37" t="str">
        <f>IF(最佳化斷筋點!R70="","",最佳化斷筋點!R70)</f>
        <v/>
      </c>
      <c r="AR70" s="37" t="str">
        <f>IF(最佳化斷筋點!S70="","",最佳化斷筋點!S70)</f>
        <v/>
      </c>
      <c r="AS70" s="37" t="str">
        <f>IF(最佳化斷筋點!T70="","",最佳化斷筋點!T70)</f>
        <v/>
      </c>
      <c r="AT70" s="37" t="str">
        <f>IF(最佳化斷筋點!U70="","",最佳化斷筋點!U70)</f>
        <v/>
      </c>
      <c r="AU70" s="37" t="str">
        <f>IF(最佳化斷筋點!V70="","",最佳化斷筋點!V70)</f>
        <v/>
      </c>
      <c r="AV70" s="37" t="str">
        <f>IF(最佳化斷筋點!W70="","",最佳化斷筋點!W70)</f>
        <v/>
      </c>
      <c r="AW70" s="37" t="str">
        <f>IF(最佳化斷筋點!X70="","",最佳化斷筋點!X70)</f>
        <v/>
      </c>
      <c r="AZ70" s="37" t="s">
        <v>197</v>
      </c>
      <c r="BA70" s="37" t="s">
        <v>197</v>
      </c>
      <c r="BB70" s="37" t="s">
        <v>197</v>
      </c>
      <c r="BC70" s="37" t="s">
        <v>197</v>
      </c>
      <c r="BD70" s="37" t="s">
        <v>197</v>
      </c>
      <c r="BE70" s="37" t="s">
        <v>197</v>
      </c>
      <c r="BF70" s="37" t="s">
        <v>197</v>
      </c>
      <c r="BG70" s="37" t="s">
        <v>197</v>
      </c>
      <c r="BH70" s="37" t="s">
        <v>197</v>
      </c>
      <c r="BI70" s="37" t="s">
        <v>197</v>
      </c>
      <c r="BJ70" s="37" t="s">
        <v>197</v>
      </c>
      <c r="BK70" s="37" t="s">
        <v>197</v>
      </c>
      <c r="BL70" s="37" t="s">
        <v>197</v>
      </c>
      <c r="BM70" s="37" t="s">
        <v>197</v>
      </c>
      <c r="BN70" s="37" t="s">
        <v>197</v>
      </c>
      <c r="BO70" s="37" t="s">
        <v>197</v>
      </c>
      <c r="BP70" s="37" t="s">
        <v>197</v>
      </c>
      <c r="BQ70" s="37" t="s">
        <v>197</v>
      </c>
      <c r="BR70" s="37" t="s">
        <v>197</v>
      </c>
      <c r="BS70" s="37" t="s">
        <v>197</v>
      </c>
      <c r="BT70" s="37" t="s">
        <v>197</v>
      </c>
    </row>
    <row r="71" spans="5:72" x14ac:dyDescent="0.25">
      <c r="E71" s="6" t="s">
        <v>20</v>
      </c>
      <c r="F71" s="6">
        <f t="shared" si="22"/>
        <v>0</v>
      </c>
      <c r="G71" s="6">
        <f t="shared" si="23"/>
        <v>0</v>
      </c>
      <c r="H71" s="6">
        <f t="shared" si="24"/>
        <v>0</v>
      </c>
      <c r="I71" s="6">
        <f t="shared" si="25"/>
        <v>0</v>
      </c>
      <c r="J71" s="6">
        <f t="shared" si="26"/>
        <v>0</v>
      </c>
      <c r="K71" s="6">
        <f t="shared" si="27"/>
        <v>0</v>
      </c>
      <c r="L71" s="6">
        <f t="shared" si="28"/>
        <v>0</v>
      </c>
      <c r="M71" s="6">
        <f t="shared" si="29"/>
        <v>0</v>
      </c>
      <c r="N71" s="6">
        <f t="shared" si="30"/>
        <v>0</v>
      </c>
      <c r="O71" s="6">
        <f t="shared" si="31"/>
        <v>0</v>
      </c>
      <c r="P71" s="6">
        <f t="shared" si="32"/>
        <v>0</v>
      </c>
      <c r="Q71" s="6">
        <f t="shared" si="33"/>
        <v>0</v>
      </c>
      <c r="R71" s="6">
        <f t="shared" si="34"/>
        <v>0</v>
      </c>
      <c r="S71" s="6">
        <f t="shared" si="35"/>
        <v>0</v>
      </c>
      <c r="T71" s="6">
        <f t="shared" si="36"/>
        <v>0</v>
      </c>
      <c r="U71" s="6">
        <f t="shared" si="37"/>
        <v>0</v>
      </c>
      <c r="V71" s="6">
        <f t="shared" si="38"/>
        <v>0</v>
      </c>
      <c r="W71" s="6">
        <f t="shared" si="39"/>
        <v>0</v>
      </c>
      <c r="X71" s="6">
        <f t="shared" si="40"/>
        <v>0</v>
      </c>
      <c r="Y71" s="6">
        <f t="shared" si="41"/>
        <v>0</v>
      </c>
      <c r="Z71" s="6">
        <f t="shared" si="42"/>
        <v>0</v>
      </c>
      <c r="AB71" s="36" t="str">
        <f>IF(最佳化斷筋點!C71="","",最佳化斷筋點!C71)</f>
        <v>上層</v>
      </c>
      <c r="AC71" s="37">
        <f>IF(最佳化斷筋點!D71="","",最佳化斷筋點!D71)</f>
        <v>7</v>
      </c>
      <c r="AD71" s="37">
        <f>IF(最佳化斷筋點!E71="","",最佳化斷筋點!E71)</f>
        <v>7</v>
      </c>
      <c r="AE71" s="37">
        <f>IF(最佳化斷筋點!F71="","",最佳化斷筋點!F71)</f>
        <v>7</v>
      </c>
      <c r="AF71" s="37">
        <f>IF(最佳化斷筋點!G71="","",最佳化斷筋點!G71)</f>
        <v>7</v>
      </c>
      <c r="AG71" s="37">
        <f>IF(最佳化斷筋點!H71="","",最佳化斷筋點!H71)</f>
        <v>7</v>
      </c>
      <c r="AH71" s="37">
        <f>IF(最佳化斷筋點!I71="","",最佳化斷筋點!I71)</f>
        <v>7</v>
      </c>
      <c r="AI71" s="37">
        <f>IF(最佳化斷筋點!J71="","",最佳化斷筋點!J71)</f>
        <v>7</v>
      </c>
      <c r="AJ71" s="37">
        <f>IF(最佳化斷筋點!K71="","",最佳化斷筋點!K71)</f>
        <v>3</v>
      </c>
      <c r="AK71" s="37">
        <f>IF(最佳化斷筋點!L71="","",最佳化斷筋點!L71)</f>
        <v>3</v>
      </c>
      <c r="AL71" s="37">
        <f>IF(最佳化斷筋點!M71="","",最佳化斷筋點!M71)</f>
        <v>3</v>
      </c>
      <c r="AM71" s="37">
        <f>IF(最佳化斷筋點!N71="","",最佳化斷筋點!N71)</f>
        <v>3</v>
      </c>
      <c r="AN71" s="37">
        <f>IF(最佳化斷筋點!O71="","",最佳化斷筋點!O71)</f>
        <v>3</v>
      </c>
      <c r="AO71" s="37">
        <f>IF(最佳化斷筋點!P71="","",最佳化斷筋點!P71)</f>
        <v>3</v>
      </c>
      <c r="AP71" s="37">
        <f>IF(最佳化斷筋點!Q71="","",最佳化斷筋點!Q71)</f>
        <v>4</v>
      </c>
      <c r="AQ71" s="37">
        <f>IF(最佳化斷筋點!R71="","",最佳化斷筋點!R71)</f>
        <v>5</v>
      </c>
      <c r="AR71" s="37">
        <f>IF(最佳化斷筋點!S71="","",最佳化斷筋點!S71)</f>
        <v>5</v>
      </c>
      <c r="AS71" s="37">
        <f>IF(最佳化斷筋點!T71="","",最佳化斷筋點!T71)</f>
        <v>5</v>
      </c>
      <c r="AT71" s="37">
        <f>IF(最佳化斷筋點!U71="","",最佳化斷筋點!U71)</f>
        <v>5</v>
      </c>
      <c r="AU71" s="37">
        <f>IF(最佳化斷筋點!V71="","",最佳化斷筋點!V71)</f>
        <v>5</v>
      </c>
      <c r="AV71" s="37">
        <f>IF(最佳化斷筋點!W71="","",最佳化斷筋點!W71)</f>
        <v>5</v>
      </c>
      <c r="AW71" s="37">
        <f>IF(最佳化斷筋點!X71="","",最佳化斷筋點!X71)</f>
        <v>5</v>
      </c>
      <c r="AY71" s="6" t="s">
        <v>20</v>
      </c>
      <c r="AZ71" s="37">
        <v>7</v>
      </c>
      <c r="BA71" s="37">
        <v>7</v>
      </c>
      <c r="BB71" s="37">
        <v>7</v>
      </c>
      <c r="BC71" s="37">
        <v>7</v>
      </c>
      <c r="BD71" s="37">
        <v>7</v>
      </c>
      <c r="BE71" s="37">
        <v>7</v>
      </c>
      <c r="BF71" s="37">
        <v>7</v>
      </c>
      <c r="BG71" s="37">
        <v>3</v>
      </c>
      <c r="BH71" s="37">
        <v>3</v>
      </c>
      <c r="BI71" s="37">
        <v>3</v>
      </c>
      <c r="BJ71" s="37">
        <v>3</v>
      </c>
      <c r="BK71" s="37">
        <v>3</v>
      </c>
      <c r="BL71" s="37">
        <v>3</v>
      </c>
      <c r="BM71" s="37">
        <v>4</v>
      </c>
      <c r="BN71" s="37">
        <v>5</v>
      </c>
      <c r="BO71" s="37">
        <v>5</v>
      </c>
      <c r="BP71" s="37">
        <v>5</v>
      </c>
      <c r="BQ71" s="37">
        <v>5</v>
      </c>
      <c r="BR71" s="37">
        <v>5</v>
      </c>
      <c r="BS71" s="37">
        <v>5</v>
      </c>
      <c r="BT71" s="37">
        <v>5</v>
      </c>
    </row>
    <row r="72" spans="5:72" x14ac:dyDescent="0.25">
      <c r="F72" s="6">
        <f t="shared" si="22"/>
        <v>0</v>
      </c>
      <c r="G72" s="6">
        <f t="shared" si="23"/>
        <v>0</v>
      </c>
      <c r="H72" s="6">
        <f t="shared" si="24"/>
        <v>0</v>
      </c>
      <c r="I72" s="6">
        <f t="shared" si="25"/>
        <v>0</v>
      </c>
      <c r="J72" s="6">
        <f t="shared" si="26"/>
        <v>0</v>
      </c>
      <c r="K72" s="6">
        <f t="shared" si="27"/>
        <v>0</v>
      </c>
      <c r="L72" s="6">
        <f t="shared" si="28"/>
        <v>0</v>
      </c>
      <c r="M72" s="6">
        <f t="shared" si="29"/>
        <v>0</v>
      </c>
      <c r="N72" s="6">
        <f t="shared" si="30"/>
        <v>0</v>
      </c>
      <c r="O72" s="6">
        <f t="shared" si="31"/>
        <v>0</v>
      </c>
      <c r="P72" s="6">
        <f t="shared" si="32"/>
        <v>0</v>
      </c>
      <c r="Q72" s="6">
        <f t="shared" si="33"/>
        <v>0</v>
      </c>
      <c r="R72" s="6">
        <f t="shared" si="34"/>
        <v>0</v>
      </c>
      <c r="S72" s="6">
        <f t="shared" si="35"/>
        <v>0</v>
      </c>
      <c r="T72" s="6">
        <f t="shared" si="36"/>
        <v>0</v>
      </c>
      <c r="U72" s="6">
        <f t="shared" si="37"/>
        <v>0</v>
      </c>
      <c r="V72" s="6">
        <f t="shared" si="38"/>
        <v>0</v>
      </c>
      <c r="W72" s="6">
        <f t="shared" si="39"/>
        <v>0</v>
      </c>
      <c r="X72" s="6">
        <f t="shared" si="40"/>
        <v>0</v>
      </c>
      <c r="Y72" s="6">
        <f t="shared" si="41"/>
        <v>0</v>
      </c>
      <c r="Z72" s="6">
        <f t="shared" si="42"/>
        <v>0</v>
      </c>
      <c r="AB72" s="36" t="str">
        <f>IF(最佳化斷筋點!C72="","",最佳化斷筋點!C72)</f>
        <v/>
      </c>
      <c r="AC72" s="37" t="str">
        <f>IF(最佳化斷筋點!D72="","",最佳化斷筋點!D72)</f>
        <v/>
      </c>
      <c r="AD72" s="37" t="str">
        <f>IF(最佳化斷筋點!E72="","",最佳化斷筋點!E72)</f>
        <v/>
      </c>
      <c r="AE72" s="37" t="str">
        <f>IF(最佳化斷筋點!F72="","",最佳化斷筋點!F72)</f>
        <v/>
      </c>
      <c r="AF72" s="37" t="str">
        <f>IF(最佳化斷筋點!G72="","",最佳化斷筋點!G72)</f>
        <v/>
      </c>
      <c r="AG72" s="37" t="str">
        <f>IF(最佳化斷筋點!H72="","",最佳化斷筋點!H72)</f>
        <v/>
      </c>
      <c r="AH72" s="37" t="str">
        <f>IF(最佳化斷筋點!I72="","",最佳化斷筋點!I72)</f>
        <v/>
      </c>
      <c r="AI72" s="37" t="str">
        <f>IF(最佳化斷筋點!J72="","",最佳化斷筋點!J72)</f>
        <v/>
      </c>
      <c r="AJ72" s="37" t="str">
        <f>IF(最佳化斷筋點!K72="","",最佳化斷筋點!K72)</f>
        <v/>
      </c>
      <c r="AK72" s="37" t="str">
        <f>IF(最佳化斷筋點!L72="","",最佳化斷筋點!L72)</f>
        <v/>
      </c>
      <c r="AL72" s="37" t="str">
        <f>IF(最佳化斷筋點!M72="","",最佳化斷筋點!M72)</f>
        <v/>
      </c>
      <c r="AM72" s="37" t="str">
        <f>IF(最佳化斷筋點!N72="","",最佳化斷筋點!N72)</f>
        <v/>
      </c>
      <c r="AN72" s="37" t="str">
        <f>IF(最佳化斷筋點!O72="","",最佳化斷筋點!O72)</f>
        <v/>
      </c>
      <c r="AO72" s="37" t="str">
        <f>IF(最佳化斷筋點!P72="","",最佳化斷筋點!P72)</f>
        <v/>
      </c>
      <c r="AP72" s="37" t="str">
        <f>IF(最佳化斷筋點!Q72="","",最佳化斷筋點!Q72)</f>
        <v/>
      </c>
      <c r="AQ72" s="37" t="str">
        <f>IF(最佳化斷筋點!R72="","",最佳化斷筋點!R72)</f>
        <v/>
      </c>
      <c r="AR72" s="37" t="str">
        <f>IF(最佳化斷筋點!S72="","",最佳化斷筋點!S72)</f>
        <v/>
      </c>
      <c r="AS72" s="37" t="str">
        <f>IF(最佳化斷筋點!T72="","",最佳化斷筋點!T72)</f>
        <v/>
      </c>
      <c r="AT72" s="37" t="str">
        <f>IF(最佳化斷筋點!U72="","",最佳化斷筋點!U72)</f>
        <v/>
      </c>
      <c r="AU72" s="37" t="str">
        <f>IF(最佳化斷筋點!V72="","",最佳化斷筋點!V72)</f>
        <v/>
      </c>
      <c r="AV72" s="37" t="str">
        <f>IF(最佳化斷筋點!W72="","",最佳化斷筋點!W72)</f>
        <v/>
      </c>
      <c r="AW72" s="37" t="str">
        <f>IF(最佳化斷筋點!X72="","",最佳化斷筋點!X72)</f>
        <v/>
      </c>
      <c r="AZ72" s="37" t="s">
        <v>197</v>
      </c>
      <c r="BA72" s="37" t="s">
        <v>197</v>
      </c>
      <c r="BB72" s="37" t="s">
        <v>197</v>
      </c>
      <c r="BC72" s="37" t="s">
        <v>197</v>
      </c>
      <c r="BD72" s="37" t="s">
        <v>197</v>
      </c>
      <c r="BE72" s="37" t="s">
        <v>197</v>
      </c>
      <c r="BF72" s="37" t="s">
        <v>197</v>
      </c>
      <c r="BG72" s="37" t="s">
        <v>197</v>
      </c>
      <c r="BH72" s="37" t="s">
        <v>197</v>
      </c>
      <c r="BI72" s="37" t="s">
        <v>197</v>
      </c>
      <c r="BJ72" s="37" t="s">
        <v>197</v>
      </c>
      <c r="BK72" s="37" t="s">
        <v>197</v>
      </c>
      <c r="BL72" s="37" t="s">
        <v>197</v>
      </c>
      <c r="BM72" s="37" t="s">
        <v>197</v>
      </c>
      <c r="BN72" s="37" t="s">
        <v>197</v>
      </c>
      <c r="BO72" s="37" t="s">
        <v>197</v>
      </c>
      <c r="BP72" s="37" t="s">
        <v>197</v>
      </c>
      <c r="BQ72" s="37" t="s">
        <v>197</v>
      </c>
      <c r="BR72" s="37" t="s">
        <v>197</v>
      </c>
      <c r="BS72" s="37" t="s">
        <v>197</v>
      </c>
      <c r="BT72" s="37" t="s">
        <v>197</v>
      </c>
    </row>
    <row r="73" spans="5:72" x14ac:dyDescent="0.25">
      <c r="E73" s="6" t="s">
        <v>21</v>
      </c>
      <c r="F73" s="6">
        <f t="shared" si="22"/>
        <v>0</v>
      </c>
      <c r="G73" s="6">
        <f t="shared" si="23"/>
        <v>0</v>
      </c>
      <c r="H73" s="6">
        <f t="shared" si="24"/>
        <v>0</v>
      </c>
      <c r="I73" s="6">
        <f t="shared" si="25"/>
        <v>0</v>
      </c>
      <c r="J73" s="6">
        <f t="shared" si="26"/>
        <v>0</v>
      </c>
      <c r="K73" s="6">
        <f t="shared" si="27"/>
        <v>0</v>
      </c>
      <c r="L73" s="6">
        <f t="shared" si="28"/>
        <v>0</v>
      </c>
      <c r="M73" s="6">
        <f t="shared" si="29"/>
        <v>0</v>
      </c>
      <c r="N73" s="6">
        <f t="shared" si="30"/>
        <v>0</v>
      </c>
      <c r="O73" s="6">
        <f t="shared" si="31"/>
        <v>0</v>
      </c>
      <c r="P73" s="6">
        <f t="shared" si="32"/>
        <v>0</v>
      </c>
      <c r="Q73" s="6">
        <f t="shared" si="33"/>
        <v>0</v>
      </c>
      <c r="R73" s="6">
        <f t="shared" si="34"/>
        <v>0</v>
      </c>
      <c r="S73" s="6">
        <f t="shared" si="35"/>
        <v>0</v>
      </c>
      <c r="T73" s="6">
        <f t="shared" si="36"/>
        <v>0</v>
      </c>
      <c r="U73" s="6">
        <f t="shared" si="37"/>
        <v>0</v>
      </c>
      <c r="V73" s="6">
        <f t="shared" si="38"/>
        <v>0</v>
      </c>
      <c r="W73" s="6">
        <f t="shared" si="39"/>
        <v>0</v>
      </c>
      <c r="X73" s="6">
        <f t="shared" si="40"/>
        <v>0</v>
      </c>
      <c r="Y73" s="6">
        <f t="shared" si="41"/>
        <v>0</v>
      </c>
      <c r="Z73" s="6">
        <f t="shared" si="42"/>
        <v>0</v>
      </c>
      <c r="AB73" s="36" t="str">
        <f>IF(最佳化斷筋點!C73="","",最佳化斷筋點!C73)</f>
        <v>下層</v>
      </c>
      <c r="AC73" s="37">
        <f>IF(最佳化斷筋點!D73="","",最佳化斷筋點!D73)</f>
        <v>4</v>
      </c>
      <c r="AD73" s="37">
        <f>IF(最佳化斷筋點!E73="","",最佳化斷筋點!E73)</f>
        <v>4</v>
      </c>
      <c r="AE73" s="37">
        <f>IF(最佳化斷筋點!F73="","",最佳化斷筋點!F73)</f>
        <v>4</v>
      </c>
      <c r="AF73" s="37">
        <f>IF(最佳化斷筋點!G73="","",最佳化斷筋點!G73)</f>
        <v>4</v>
      </c>
      <c r="AG73" s="37">
        <f>IF(最佳化斷筋點!H73="","",最佳化斷筋點!H73)</f>
        <v>4</v>
      </c>
      <c r="AH73" s="37">
        <f>IF(最佳化斷筋點!I73="","",最佳化斷筋點!I73)</f>
        <v>4</v>
      </c>
      <c r="AI73" s="37">
        <f>IF(最佳化斷筋點!J73="","",最佳化斷筋點!J73)</f>
        <v>4</v>
      </c>
      <c r="AJ73" s="37">
        <f>IF(最佳化斷筋點!K73="","",最佳化斷筋點!K73)</f>
        <v>3</v>
      </c>
      <c r="AK73" s="37">
        <f>IF(最佳化斷筋點!L73="","",最佳化斷筋點!L73)</f>
        <v>3</v>
      </c>
      <c r="AL73" s="37">
        <f>IF(最佳化斷筋點!M73="","",最佳化斷筋點!M73)</f>
        <v>3</v>
      </c>
      <c r="AM73" s="37">
        <f>IF(最佳化斷筋點!N73="","",最佳化斷筋點!N73)</f>
        <v>3</v>
      </c>
      <c r="AN73" s="37">
        <f>IF(最佳化斷筋點!O73="","",最佳化斷筋點!O73)</f>
        <v>3</v>
      </c>
      <c r="AO73" s="37">
        <f>IF(最佳化斷筋點!P73="","",最佳化斷筋點!P73)</f>
        <v>3</v>
      </c>
      <c r="AP73" s="37">
        <f>IF(最佳化斷筋點!Q73="","",最佳化斷筋點!Q73)</f>
        <v>3</v>
      </c>
      <c r="AQ73" s="37">
        <f>IF(最佳化斷筋點!R73="","",最佳化斷筋點!R73)</f>
        <v>3</v>
      </c>
      <c r="AR73" s="37">
        <f>IF(最佳化斷筋點!S73="","",最佳化斷筋點!S73)</f>
        <v>3</v>
      </c>
      <c r="AS73" s="37">
        <f>IF(最佳化斷筋點!T73="","",最佳化斷筋點!T73)</f>
        <v>3</v>
      </c>
      <c r="AT73" s="37">
        <f>IF(最佳化斷筋點!U73="","",最佳化斷筋點!U73)</f>
        <v>3</v>
      </c>
      <c r="AU73" s="37">
        <f>IF(最佳化斷筋點!V73="","",最佳化斷筋點!V73)</f>
        <v>3</v>
      </c>
      <c r="AV73" s="37">
        <f>IF(最佳化斷筋點!W73="","",最佳化斷筋點!W73)</f>
        <v>3</v>
      </c>
      <c r="AW73" s="37">
        <f>IF(最佳化斷筋點!X73="","",最佳化斷筋點!X73)</f>
        <v>3</v>
      </c>
      <c r="AY73" s="6" t="s">
        <v>21</v>
      </c>
      <c r="AZ73" s="37">
        <v>4</v>
      </c>
      <c r="BA73" s="37">
        <v>4</v>
      </c>
      <c r="BB73" s="37">
        <v>4</v>
      </c>
      <c r="BC73" s="37">
        <v>4</v>
      </c>
      <c r="BD73" s="37">
        <v>4</v>
      </c>
      <c r="BE73" s="37">
        <v>4</v>
      </c>
      <c r="BF73" s="37">
        <v>4</v>
      </c>
      <c r="BG73" s="37">
        <v>3</v>
      </c>
      <c r="BH73" s="37">
        <v>3</v>
      </c>
      <c r="BI73" s="37">
        <v>3</v>
      </c>
      <c r="BJ73" s="37">
        <v>3</v>
      </c>
      <c r="BK73" s="37">
        <v>3</v>
      </c>
      <c r="BL73" s="37">
        <v>3</v>
      </c>
      <c r="BM73" s="37">
        <v>3</v>
      </c>
      <c r="BN73" s="37">
        <v>3</v>
      </c>
      <c r="BO73" s="37">
        <v>3</v>
      </c>
      <c r="BP73" s="37">
        <v>3</v>
      </c>
      <c r="BQ73" s="37">
        <v>3</v>
      </c>
      <c r="BR73" s="37">
        <v>3</v>
      </c>
      <c r="BS73" s="37">
        <v>3</v>
      </c>
      <c r="BT73" s="37">
        <v>3</v>
      </c>
    </row>
    <row r="74" spans="5:72" x14ac:dyDescent="0.25">
      <c r="F74" s="6">
        <f t="shared" si="22"/>
        <v>0</v>
      </c>
      <c r="G74" s="6">
        <f t="shared" si="23"/>
        <v>0</v>
      </c>
      <c r="H74" s="6">
        <f t="shared" si="24"/>
        <v>0</v>
      </c>
      <c r="I74" s="6">
        <f t="shared" si="25"/>
        <v>0</v>
      </c>
      <c r="J74" s="6">
        <f t="shared" si="26"/>
        <v>0</v>
      </c>
      <c r="K74" s="6">
        <f t="shared" si="27"/>
        <v>0</v>
      </c>
      <c r="L74" s="6">
        <f t="shared" si="28"/>
        <v>0</v>
      </c>
      <c r="M74" s="6">
        <f t="shared" si="29"/>
        <v>0</v>
      </c>
      <c r="N74" s="6">
        <f t="shared" si="30"/>
        <v>0</v>
      </c>
      <c r="O74" s="6">
        <f t="shared" si="31"/>
        <v>0</v>
      </c>
      <c r="P74" s="6">
        <f t="shared" si="32"/>
        <v>0</v>
      </c>
      <c r="Q74" s="6">
        <f t="shared" si="33"/>
        <v>0</v>
      </c>
      <c r="R74" s="6">
        <f t="shared" si="34"/>
        <v>0</v>
      </c>
      <c r="S74" s="6">
        <f t="shared" si="35"/>
        <v>0</v>
      </c>
      <c r="T74" s="6">
        <f t="shared" si="36"/>
        <v>0</v>
      </c>
      <c r="U74" s="6">
        <f t="shared" si="37"/>
        <v>0</v>
      </c>
      <c r="V74" s="6">
        <f t="shared" si="38"/>
        <v>0</v>
      </c>
      <c r="W74" s="6">
        <f t="shared" si="39"/>
        <v>0</v>
      </c>
      <c r="X74" s="6">
        <f t="shared" si="40"/>
        <v>0</v>
      </c>
      <c r="Y74" s="6">
        <f t="shared" si="41"/>
        <v>0</v>
      </c>
      <c r="Z74" s="6">
        <f t="shared" si="42"/>
        <v>0</v>
      </c>
      <c r="AB74" s="36" t="str">
        <f>IF(最佳化斷筋點!C74="","",最佳化斷筋點!C74)</f>
        <v/>
      </c>
      <c r="AC74" s="37" t="str">
        <f>IF(最佳化斷筋點!D74="","",最佳化斷筋點!D74)</f>
        <v/>
      </c>
      <c r="AD74" s="37" t="str">
        <f>IF(最佳化斷筋點!E74="","",最佳化斷筋點!E74)</f>
        <v/>
      </c>
      <c r="AE74" s="37" t="str">
        <f>IF(最佳化斷筋點!F74="","",最佳化斷筋點!F74)</f>
        <v/>
      </c>
      <c r="AF74" s="37" t="str">
        <f>IF(最佳化斷筋點!G74="","",最佳化斷筋點!G74)</f>
        <v/>
      </c>
      <c r="AG74" s="37" t="str">
        <f>IF(最佳化斷筋點!H74="","",最佳化斷筋點!H74)</f>
        <v/>
      </c>
      <c r="AH74" s="37" t="str">
        <f>IF(最佳化斷筋點!I74="","",最佳化斷筋點!I74)</f>
        <v/>
      </c>
      <c r="AI74" s="37" t="str">
        <f>IF(最佳化斷筋點!J74="","",最佳化斷筋點!J74)</f>
        <v/>
      </c>
      <c r="AJ74" s="37" t="str">
        <f>IF(最佳化斷筋點!K74="","",最佳化斷筋點!K74)</f>
        <v/>
      </c>
      <c r="AK74" s="37" t="str">
        <f>IF(最佳化斷筋點!L74="","",最佳化斷筋點!L74)</f>
        <v/>
      </c>
      <c r="AL74" s="37" t="str">
        <f>IF(最佳化斷筋點!M74="","",最佳化斷筋點!M74)</f>
        <v/>
      </c>
      <c r="AM74" s="37" t="str">
        <f>IF(最佳化斷筋點!N74="","",最佳化斷筋點!N74)</f>
        <v/>
      </c>
      <c r="AN74" s="37" t="str">
        <f>IF(最佳化斷筋點!O74="","",最佳化斷筋點!O74)</f>
        <v/>
      </c>
      <c r="AO74" s="37" t="str">
        <f>IF(最佳化斷筋點!P74="","",最佳化斷筋點!P74)</f>
        <v/>
      </c>
      <c r="AP74" s="37" t="str">
        <f>IF(最佳化斷筋點!Q74="","",最佳化斷筋點!Q74)</f>
        <v/>
      </c>
      <c r="AQ74" s="37" t="str">
        <f>IF(最佳化斷筋點!R74="","",最佳化斷筋點!R74)</f>
        <v/>
      </c>
      <c r="AR74" s="37" t="str">
        <f>IF(最佳化斷筋點!S74="","",最佳化斷筋點!S74)</f>
        <v/>
      </c>
      <c r="AS74" s="37" t="str">
        <f>IF(最佳化斷筋點!T74="","",最佳化斷筋點!T74)</f>
        <v/>
      </c>
      <c r="AT74" s="37" t="str">
        <f>IF(最佳化斷筋點!U74="","",最佳化斷筋點!U74)</f>
        <v/>
      </c>
      <c r="AU74" s="37" t="str">
        <f>IF(最佳化斷筋點!V74="","",最佳化斷筋點!V74)</f>
        <v/>
      </c>
      <c r="AV74" s="37" t="str">
        <f>IF(最佳化斷筋點!W74="","",最佳化斷筋點!W74)</f>
        <v/>
      </c>
      <c r="AW74" s="37" t="str">
        <f>IF(最佳化斷筋點!X74="","",最佳化斷筋點!X74)</f>
        <v/>
      </c>
      <c r="AZ74" s="37" t="s">
        <v>197</v>
      </c>
      <c r="BA74" s="37" t="s">
        <v>197</v>
      </c>
      <c r="BB74" s="37" t="s">
        <v>197</v>
      </c>
      <c r="BC74" s="37" t="s">
        <v>197</v>
      </c>
      <c r="BD74" s="37" t="s">
        <v>197</v>
      </c>
      <c r="BE74" s="37" t="s">
        <v>197</v>
      </c>
      <c r="BF74" s="37" t="s">
        <v>197</v>
      </c>
      <c r="BG74" s="37" t="s">
        <v>197</v>
      </c>
      <c r="BH74" s="37" t="s">
        <v>197</v>
      </c>
      <c r="BI74" s="37" t="s">
        <v>197</v>
      </c>
      <c r="BJ74" s="37" t="s">
        <v>197</v>
      </c>
      <c r="BK74" s="37" t="s">
        <v>197</v>
      </c>
      <c r="BL74" s="37" t="s">
        <v>197</v>
      </c>
      <c r="BM74" s="37" t="s">
        <v>197</v>
      </c>
      <c r="BN74" s="37" t="s">
        <v>197</v>
      </c>
      <c r="BO74" s="37" t="s">
        <v>197</v>
      </c>
      <c r="BP74" s="37" t="s">
        <v>197</v>
      </c>
      <c r="BQ74" s="37" t="s">
        <v>197</v>
      </c>
      <c r="BR74" s="37" t="s">
        <v>197</v>
      </c>
      <c r="BS74" s="37" t="s">
        <v>197</v>
      </c>
      <c r="BT74" s="37" t="s">
        <v>197</v>
      </c>
    </row>
    <row r="75" spans="5:72" x14ac:dyDescent="0.25">
      <c r="E75" s="6" t="s">
        <v>20</v>
      </c>
      <c r="F75" s="6">
        <f t="shared" si="22"/>
        <v>0</v>
      </c>
      <c r="G75" s="6">
        <f t="shared" si="23"/>
        <v>0</v>
      </c>
      <c r="H75" s="6">
        <f t="shared" si="24"/>
        <v>0</v>
      </c>
      <c r="I75" s="6">
        <f t="shared" si="25"/>
        <v>0</v>
      </c>
      <c r="J75" s="6">
        <f t="shared" si="26"/>
        <v>0</v>
      </c>
      <c r="K75" s="6">
        <f t="shared" si="27"/>
        <v>0</v>
      </c>
      <c r="L75" s="6">
        <f t="shared" si="28"/>
        <v>0</v>
      </c>
      <c r="M75" s="6">
        <f t="shared" si="29"/>
        <v>0</v>
      </c>
      <c r="N75" s="6">
        <f t="shared" si="30"/>
        <v>0</v>
      </c>
      <c r="O75" s="6">
        <f t="shared" si="31"/>
        <v>0</v>
      </c>
      <c r="P75" s="6">
        <f t="shared" si="32"/>
        <v>0</v>
      </c>
      <c r="Q75" s="6">
        <f t="shared" si="33"/>
        <v>0</v>
      </c>
      <c r="R75" s="6">
        <f t="shared" si="34"/>
        <v>0</v>
      </c>
      <c r="S75" s="6">
        <f t="shared" si="35"/>
        <v>0</v>
      </c>
      <c r="T75" s="6">
        <f t="shared" si="36"/>
        <v>0</v>
      </c>
      <c r="U75" s="6">
        <f t="shared" si="37"/>
        <v>0</v>
      </c>
      <c r="V75" s="6">
        <f t="shared" si="38"/>
        <v>0</v>
      </c>
      <c r="W75" s="6">
        <f t="shared" si="39"/>
        <v>0</v>
      </c>
      <c r="X75" s="6">
        <f t="shared" si="40"/>
        <v>0</v>
      </c>
      <c r="Y75" s="6">
        <f t="shared" si="41"/>
        <v>0</v>
      </c>
      <c r="Z75" s="6">
        <f t="shared" si="42"/>
        <v>0</v>
      </c>
      <c r="AB75" s="36" t="str">
        <f>IF(最佳化斷筋點!C75="","",最佳化斷筋點!C75)</f>
        <v>上層</v>
      </c>
      <c r="AC75" s="37">
        <f>IF(最佳化斷筋點!D75="","",最佳化斷筋點!D75)</f>
        <v>6</v>
      </c>
      <c r="AD75" s="37">
        <f>IF(最佳化斷筋點!E75="","",最佳化斷筋點!E75)</f>
        <v>6</v>
      </c>
      <c r="AE75" s="37">
        <f>IF(最佳化斷筋點!F75="","",最佳化斷筋點!F75)</f>
        <v>6</v>
      </c>
      <c r="AF75" s="37">
        <f>IF(最佳化斷筋點!G75="","",最佳化斷筋點!G75)</f>
        <v>6</v>
      </c>
      <c r="AG75" s="37">
        <f>IF(最佳化斷筋點!H75="","",最佳化斷筋點!H75)</f>
        <v>6</v>
      </c>
      <c r="AH75" s="37">
        <f>IF(最佳化斷筋點!I75="","",最佳化斷筋點!I75)</f>
        <v>6</v>
      </c>
      <c r="AI75" s="37">
        <f>IF(最佳化斷筋點!J75="","",最佳化斷筋點!J75)</f>
        <v>6</v>
      </c>
      <c r="AJ75" s="37">
        <f>IF(最佳化斷筋點!K75="","",最佳化斷筋點!K75)</f>
        <v>3</v>
      </c>
      <c r="AK75" s="37">
        <f>IF(最佳化斷筋點!L75="","",最佳化斷筋點!L75)</f>
        <v>3</v>
      </c>
      <c r="AL75" s="37">
        <f>IF(最佳化斷筋點!M75="","",最佳化斷筋點!M75)</f>
        <v>3</v>
      </c>
      <c r="AM75" s="37">
        <f>IF(最佳化斷筋點!N75="","",最佳化斷筋點!N75)</f>
        <v>3</v>
      </c>
      <c r="AN75" s="37">
        <f>IF(最佳化斷筋點!O75="","",最佳化斷筋點!O75)</f>
        <v>3</v>
      </c>
      <c r="AO75" s="37">
        <f>IF(最佳化斷筋點!P75="","",最佳化斷筋點!P75)</f>
        <v>3</v>
      </c>
      <c r="AP75" s="37">
        <f>IF(最佳化斷筋點!Q75="","",最佳化斷筋點!Q75)</f>
        <v>5</v>
      </c>
      <c r="AQ75" s="37">
        <f>IF(最佳化斷筋點!R75="","",最佳化斷筋點!R75)</f>
        <v>5</v>
      </c>
      <c r="AR75" s="37">
        <f>IF(最佳化斷筋點!S75="","",最佳化斷筋點!S75)</f>
        <v>6</v>
      </c>
      <c r="AS75" s="37">
        <f>IF(最佳化斷筋點!T75="","",最佳化斷筋點!T75)</f>
        <v>6</v>
      </c>
      <c r="AT75" s="37">
        <f>IF(最佳化斷筋點!U75="","",最佳化斷筋點!U75)</f>
        <v>6</v>
      </c>
      <c r="AU75" s="37">
        <f>IF(最佳化斷筋點!V75="","",最佳化斷筋點!V75)</f>
        <v>6</v>
      </c>
      <c r="AV75" s="37">
        <f>IF(最佳化斷筋點!W75="","",最佳化斷筋點!W75)</f>
        <v>6</v>
      </c>
      <c r="AW75" s="37">
        <f>IF(最佳化斷筋點!X75="","",最佳化斷筋點!X75)</f>
        <v>6</v>
      </c>
      <c r="AY75" s="6" t="s">
        <v>20</v>
      </c>
      <c r="AZ75" s="37">
        <v>6</v>
      </c>
      <c r="BA75" s="37">
        <v>6</v>
      </c>
      <c r="BB75" s="37">
        <v>6</v>
      </c>
      <c r="BC75" s="37">
        <v>6</v>
      </c>
      <c r="BD75" s="37">
        <v>6</v>
      </c>
      <c r="BE75" s="37">
        <v>6</v>
      </c>
      <c r="BF75" s="37">
        <v>6</v>
      </c>
      <c r="BG75" s="37">
        <v>3</v>
      </c>
      <c r="BH75" s="37">
        <v>3</v>
      </c>
      <c r="BI75" s="37">
        <v>3</v>
      </c>
      <c r="BJ75" s="37">
        <v>3</v>
      </c>
      <c r="BK75" s="37">
        <v>3</v>
      </c>
      <c r="BL75" s="37">
        <v>3</v>
      </c>
      <c r="BM75" s="37">
        <v>5</v>
      </c>
      <c r="BN75" s="37">
        <v>5</v>
      </c>
      <c r="BO75" s="37">
        <v>6</v>
      </c>
      <c r="BP75" s="37">
        <v>6</v>
      </c>
      <c r="BQ75" s="37">
        <v>6</v>
      </c>
      <c r="BR75" s="37">
        <v>6</v>
      </c>
      <c r="BS75" s="37">
        <v>6</v>
      </c>
      <c r="BT75" s="37">
        <v>6</v>
      </c>
    </row>
    <row r="76" spans="5:72" x14ac:dyDescent="0.25">
      <c r="F76" s="6">
        <f t="shared" si="22"/>
        <v>0</v>
      </c>
      <c r="G76" s="6">
        <f t="shared" si="23"/>
        <v>0</v>
      </c>
      <c r="H76" s="6">
        <f t="shared" si="24"/>
        <v>0</v>
      </c>
      <c r="I76" s="6">
        <f t="shared" si="25"/>
        <v>0</v>
      </c>
      <c r="J76" s="6">
        <f t="shared" si="26"/>
        <v>0</v>
      </c>
      <c r="K76" s="6">
        <f t="shared" si="27"/>
        <v>0</v>
      </c>
      <c r="L76" s="6">
        <f t="shared" si="28"/>
        <v>0</v>
      </c>
      <c r="M76" s="6">
        <f t="shared" si="29"/>
        <v>0</v>
      </c>
      <c r="N76" s="6">
        <f t="shared" si="30"/>
        <v>0</v>
      </c>
      <c r="O76" s="6">
        <f t="shared" si="31"/>
        <v>0</v>
      </c>
      <c r="P76" s="6">
        <f t="shared" si="32"/>
        <v>0</v>
      </c>
      <c r="Q76" s="6">
        <f t="shared" si="33"/>
        <v>0</v>
      </c>
      <c r="R76" s="6">
        <f t="shared" si="34"/>
        <v>0</v>
      </c>
      <c r="S76" s="6">
        <f t="shared" si="35"/>
        <v>0</v>
      </c>
      <c r="T76" s="6">
        <f t="shared" si="36"/>
        <v>0</v>
      </c>
      <c r="U76" s="6">
        <f t="shared" si="37"/>
        <v>0</v>
      </c>
      <c r="V76" s="6">
        <f t="shared" si="38"/>
        <v>0</v>
      </c>
      <c r="W76" s="6">
        <f t="shared" si="39"/>
        <v>0</v>
      </c>
      <c r="X76" s="6">
        <f t="shared" si="40"/>
        <v>0</v>
      </c>
      <c r="Y76" s="6">
        <f t="shared" si="41"/>
        <v>0</v>
      </c>
      <c r="Z76" s="6">
        <f t="shared" si="42"/>
        <v>0</v>
      </c>
      <c r="AB76" s="36" t="str">
        <f>IF(最佳化斷筋點!C76="","",最佳化斷筋點!C76)</f>
        <v/>
      </c>
      <c r="AC76" s="37" t="str">
        <f>IF(最佳化斷筋點!D76="","",最佳化斷筋點!D76)</f>
        <v/>
      </c>
      <c r="AD76" s="37" t="str">
        <f>IF(最佳化斷筋點!E76="","",最佳化斷筋點!E76)</f>
        <v/>
      </c>
      <c r="AE76" s="37" t="str">
        <f>IF(最佳化斷筋點!F76="","",最佳化斷筋點!F76)</f>
        <v/>
      </c>
      <c r="AF76" s="37" t="str">
        <f>IF(最佳化斷筋點!G76="","",最佳化斷筋點!G76)</f>
        <v/>
      </c>
      <c r="AG76" s="37" t="str">
        <f>IF(最佳化斷筋點!H76="","",最佳化斷筋點!H76)</f>
        <v/>
      </c>
      <c r="AH76" s="37" t="str">
        <f>IF(最佳化斷筋點!I76="","",最佳化斷筋點!I76)</f>
        <v/>
      </c>
      <c r="AI76" s="37" t="str">
        <f>IF(最佳化斷筋點!J76="","",最佳化斷筋點!J76)</f>
        <v/>
      </c>
      <c r="AJ76" s="37" t="str">
        <f>IF(最佳化斷筋點!K76="","",最佳化斷筋點!K76)</f>
        <v/>
      </c>
      <c r="AK76" s="37" t="str">
        <f>IF(最佳化斷筋點!L76="","",最佳化斷筋點!L76)</f>
        <v/>
      </c>
      <c r="AL76" s="37" t="str">
        <f>IF(最佳化斷筋點!M76="","",最佳化斷筋點!M76)</f>
        <v/>
      </c>
      <c r="AM76" s="37" t="str">
        <f>IF(最佳化斷筋點!N76="","",最佳化斷筋點!N76)</f>
        <v/>
      </c>
      <c r="AN76" s="37" t="str">
        <f>IF(最佳化斷筋點!O76="","",最佳化斷筋點!O76)</f>
        <v/>
      </c>
      <c r="AO76" s="37" t="str">
        <f>IF(最佳化斷筋點!P76="","",最佳化斷筋點!P76)</f>
        <v/>
      </c>
      <c r="AP76" s="37" t="str">
        <f>IF(最佳化斷筋點!Q76="","",最佳化斷筋點!Q76)</f>
        <v/>
      </c>
      <c r="AQ76" s="37" t="str">
        <f>IF(最佳化斷筋點!R76="","",最佳化斷筋點!R76)</f>
        <v/>
      </c>
      <c r="AR76" s="37" t="str">
        <f>IF(最佳化斷筋點!S76="","",最佳化斷筋點!S76)</f>
        <v/>
      </c>
      <c r="AS76" s="37" t="str">
        <f>IF(最佳化斷筋點!T76="","",最佳化斷筋點!T76)</f>
        <v/>
      </c>
      <c r="AT76" s="37" t="str">
        <f>IF(最佳化斷筋點!U76="","",最佳化斷筋點!U76)</f>
        <v/>
      </c>
      <c r="AU76" s="37" t="str">
        <f>IF(最佳化斷筋點!V76="","",最佳化斷筋點!V76)</f>
        <v/>
      </c>
      <c r="AV76" s="37" t="str">
        <f>IF(最佳化斷筋點!W76="","",最佳化斷筋點!W76)</f>
        <v/>
      </c>
      <c r="AW76" s="37" t="str">
        <f>IF(最佳化斷筋點!X76="","",最佳化斷筋點!X76)</f>
        <v/>
      </c>
      <c r="AZ76" s="37" t="s">
        <v>197</v>
      </c>
      <c r="BA76" s="37" t="s">
        <v>197</v>
      </c>
      <c r="BB76" s="37" t="s">
        <v>197</v>
      </c>
      <c r="BC76" s="37" t="s">
        <v>197</v>
      </c>
      <c r="BD76" s="37" t="s">
        <v>197</v>
      </c>
      <c r="BE76" s="37" t="s">
        <v>197</v>
      </c>
      <c r="BF76" s="37" t="s">
        <v>197</v>
      </c>
      <c r="BG76" s="37" t="s">
        <v>197</v>
      </c>
      <c r="BH76" s="37" t="s">
        <v>197</v>
      </c>
      <c r="BI76" s="37" t="s">
        <v>197</v>
      </c>
      <c r="BJ76" s="37" t="s">
        <v>197</v>
      </c>
      <c r="BK76" s="37" t="s">
        <v>197</v>
      </c>
      <c r="BL76" s="37" t="s">
        <v>197</v>
      </c>
      <c r="BM76" s="37" t="s">
        <v>197</v>
      </c>
      <c r="BN76" s="37" t="s">
        <v>197</v>
      </c>
      <c r="BO76" s="37" t="s">
        <v>197</v>
      </c>
      <c r="BP76" s="37" t="s">
        <v>197</v>
      </c>
      <c r="BQ76" s="37" t="s">
        <v>197</v>
      </c>
      <c r="BR76" s="37" t="s">
        <v>197</v>
      </c>
      <c r="BS76" s="37" t="s">
        <v>197</v>
      </c>
      <c r="BT76" s="37" t="s">
        <v>197</v>
      </c>
    </row>
    <row r="77" spans="5:72" x14ac:dyDescent="0.25">
      <c r="E77" s="6" t="s">
        <v>21</v>
      </c>
      <c r="F77" s="6">
        <f t="shared" si="22"/>
        <v>0</v>
      </c>
      <c r="G77" s="6">
        <f t="shared" si="23"/>
        <v>0</v>
      </c>
      <c r="H77" s="6">
        <f t="shared" si="24"/>
        <v>0</v>
      </c>
      <c r="I77" s="6">
        <f t="shared" si="25"/>
        <v>0</v>
      </c>
      <c r="J77" s="6">
        <f t="shared" si="26"/>
        <v>0</v>
      </c>
      <c r="K77" s="6">
        <f t="shared" si="27"/>
        <v>0</v>
      </c>
      <c r="L77" s="6">
        <f t="shared" si="28"/>
        <v>0</v>
      </c>
      <c r="M77" s="6">
        <f t="shared" si="29"/>
        <v>0</v>
      </c>
      <c r="N77" s="6">
        <f t="shared" si="30"/>
        <v>0</v>
      </c>
      <c r="O77" s="6">
        <f t="shared" si="31"/>
        <v>0</v>
      </c>
      <c r="P77" s="6">
        <f t="shared" si="32"/>
        <v>0</v>
      </c>
      <c r="Q77" s="6">
        <f t="shared" si="33"/>
        <v>0</v>
      </c>
      <c r="R77" s="6">
        <f t="shared" si="34"/>
        <v>0</v>
      </c>
      <c r="S77" s="6">
        <f t="shared" si="35"/>
        <v>0</v>
      </c>
      <c r="T77" s="6">
        <f t="shared" si="36"/>
        <v>0</v>
      </c>
      <c r="U77" s="6">
        <f t="shared" si="37"/>
        <v>0</v>
      </c>
      <c r="V77" s="6">
        <f t="shared" si="38"/>
        <v>0</v>
      </c>
      <c r="W77" s="6">
        <f t="shared" si="39"/>
        <v>0</v>
      </c>
      <c r="X77" s="6">
        <f t="shared" si="40"/>
        <v>0</v>
      </c>
      <c r="Y77" s="6">
        <f t="shared" si="41"/>
        <v>0</v>
      </c>
      <c r="Z77" s="6">
        <f t="shared" si="42"/>
        <v>0</v>
      </c>
      <c r="AB77" s="36" t="str">
        <f>IF(最佳化斷筋點!C77="","",最佳化斷筋點!C77)</f>
        <v>下層</v>
      </c>
      <c r="AC77" s="37">
        <f>IF(最佳化斷筋點!D77="","",最佳化斷筋點!D77)</f>
        <v>4</v>
      </c>
      <c r="AD77" s="37">
        <f>IF(最佳化斷筋點!E77="","",最佳化斷筋點!E77)</f>
        <v>4</v>
      </c>
      <c r="AE77" s="37">
        <f>IF(最佳化斷筋點!F77="","",最佳化斷筋點!F77)</f>
        <v>4</v>
      </c>
      <c r="AF77" s="37">
        <f>IF(最佳化斷筋點!G77="","",最佳化斷筋點!G77)</f>
        <v>4</v>
      </c>
      <c r="AG77" s="37">
        <f>IF(最佳化斷筋點!H77="","",最佳化斷筋點!H77)</f>
        <v>4</v>
      </c>
      <c r="AH77" s="37">
        <f>IF(最佳化斷筋點!I77="","",最佳化斷筋點!I77)</f>
        <v>4</v>
      </c>
      <c r="AI77" s="37">
        <f>IF(最佳化斷筋點!J77="","",最佳化斷筋點!J77)</f>
        <v>4</v>
      </c>
      <c r="AJ77" s="37">
        <f>IF(最佳化斷筋點!K77="","",最佳化斷筋點!K77)</f>
        <v>3</v>
      </c>
      <c r="AK77" s="37">
        <f>IF(最佳化斷筋點!L77="","",最佳化斷筋點!L77)</f>
        <v>3</v>
      </c>
      <c r="AL77" s="37">
        <f>IF(最佳化斷筋點!M77="","",最佳化斷筋點!M77)</f>
        <v>3</v>
      </c>
      <c r="AM77" s="37">
        <f>IF(最佳化斷筋點!N77="","",最佳化斷筋點!N77)</f>
        <v>3</v>
      </c>
      <c r="AN77" s="37">
        <f>IF(最佳化斷筋點!O77="","",最佳化斷筋點!O77)</f>
        <v>3</v>
      </c>
      <c r="AO77" s="37">
        <f>IF(最佳化斷筋點!P77="","",最佳化斷筋點!P77)</f>
        <v>3</v>
      </c>
      <c r="AP77" s="37">
        <f>IF(最佳化斷筋點!Q77="","",最佳化斷筋點!Q77)</f>
        <v>3</v>
      </c>
      <c r="AQ77" s="37">
        <f>IF(最佳化斷筋點!R77="","",最佳化斷筋點!R77)</f>
        <v>3</v>
      </c>
      <c r="AR77" s="37">
        <f>IF(最佳化斷筋點!S77="","",最佳化斷筋點!S77)</f>
        <v>4</v>
      </c>
      <c r="AS77" s="37">
        <f>IF(最佳化斷筋點!T77="","",最佳化斷筋點!T77)</f>
        <v>4</v>
      </c>
      <c r="AT77" s="37">
        <f>IF(最佳化斷筋點!U77="","",最佳化斷筋點!U77)</f>
        <v>4</v>
      </c>
      <c r="AU77" s="37">
        <f>IF(最佳化斷筋點!V77="","",最佳化斷筋點!V77)</f>
        <v>4</v>
      </c>
      <c r="AV77" s="37">
        <f>IF(最佳化斷筋點!W77="","",最佳化斷筋點!W77)</f>
        <v>4</v>
      </c>
      <c r="AW77" s="37">
        <f>IF(最佳化斷筋點!X77="","",最佳化斷筋點!X77)</f>
        <v>4</v>
      </c>
      <c r="AY77" s="6" t="s">
        <v>21</v>
      </c>
      <c r="AZ77" s="37">
        <v>4</v>
      </c>
      <c r="BA77" s="37">
        <v>4</v>
      </c>
      <c r="BB77" s="37">
        <v>4</v>
      </c>
      <c r="BC77" s="37">
        <v>4</v>
      </c>
      <c r="BD77" s="37">
        <v>4</v>
      </c>
      <c r="BE77" s="37">
        <v>4</v>
      </c>
      <c r="BF77" s="37">
        <v>4</v>
      </c>
      <c r="BG77" s="37">
        <v>3</v>
      </c>
      <c r="BH77" s="37">
        <v>3</v>
      </c>
      <c r="BI77" s="37">
        <v>3</v>
      </c>
      <c r="BJ77" s="37">
        <v>3</v>
      </c>
      <c r="BK77" s="37">
        <v>3</v>
      </c>
      <c r="BL77" s="37">
        <v>3</v>
      </c>
      <c r="BM77" s="37">
        <v>3</v>
      </c>
      <c r="BN77" s="37">
        <v>3</v>
      </c>
      <c r="BO77" s="37">
        <v>4</v>
      </c>
      <c r="BP77" s="37">
        <v>4</v>
      </c>
      <c r="BQ77" s="37">
        <v>4</v>
      </c>
      <c r="BR77" s="37">
        <v>4</v>
      </c>
      <c r="BS77" s="37">
        <v>4</v>
      </c>
      <c r="BT77" s="37">
        <v>4</v>
      </c>
    </row>
    <row r="78" spans="5:72" x14ac:dyDescent="0.25">
      <c r="F78" s="6">
        <f t="shared" si="22"/>
        <v>0</v>
      </c>
      <c r="G78" s="6">
        <f t="shared" si="23"/>
        <v>0</v>
      </c>
      <c r="H78" s="6">
        <f t="shared" si="24"/>
        <v>0</v>
      </c>
      <c r="I78" s="6">
        <f t="shared" si="25"/>
        <v>0</v>
      </c>
      <c r="J78" s="6">
        <f t="shared" si="26"/>
        <v>0</v>
      </c>
      <c r="K78" s="6">
        <f t="shared" si="27"/>
        <v>0</v>
      </c>
      <c r="L78" s="6">
        <f t="shared" si="28"/>
        <v>0</v>
      </c>
      <c r="M78" s="6">
        <f t="shared" si="29"/>
        <v>0</v>
      </c>
      <c r="N78" s="6">
        <f t="shared" si="30"/>
        <v>0</v>
      </c>
      <c r="O78" s="6">
        <f t="shared" si="31"/>
        <v>0</v>
      </c>
      <c r="P78" s="6">
        <f t="shared" si="32"/>
        <v>0</v>
      </c>
      <c r="Q78" s="6">
        <f t="shared" si="33"/>
        <v>0</v>
      </c>
      <c r="R78" s="6">
        <f t="shared" si="34"/>
        <v>0</v>
      </c>
      <c r="S78" s="6">
        <f t="shared" si="35"/>
        <v>0</v>
      </c>
      <c r="T78" s="6">
        <f t="shared" si="36"/>
        <v>0</v>
      </c>
      <c r="U78" s="6">
        <f t="shared" si="37"/>
        <v>0</v>
      </c>
      <c r="V78" s="6">
        <f t="shared" si="38"/>
        <v>0</v>
      </c>
      <c r="W78" s="6">
        <f t="shared" si="39"/>
        <v>0</v>
      </c>
      <c r="X78" s="6">
        <f t="shared" si="40"/>
        <v>0</v>
      </c>
      <c r="Y78" s="6">
        <f t="shared" si="41"/>
        <v>0</v>
      </c>
      <c r="Z78" s="6">
        <f t="shared" si="42"/>
        <v>0</v>
      </c>
      <c r="AB78" s="36" t="str">
        <f>IF(最佳化斷筋點!C78="","",最佳化斷筋點!C78)</f>
        <v/>
      </c>
      <c r="AC78" s="37" t="str">
        <f>IF(最佳化斷筋點!D78="","",最佳化斷筋點!D78)</f>
        <v/>
      </c>
      <c r="AD78" s="37" t="str">
        <f>IF(最佳化斷筋點!E78="","",最佳化斷筋點!E78)</f>
        <v/>
      </c>
      <c r="AE78" s="37" t="str">
        <f>IF(最佳化斷筋點!F78="","",最佳化斷筋點!F78)</f>
        <v/>
      </c>
      <c r="AF78" s="37" t="str">
        <f>IF(最佳化斷筋點!G78="","",最佳化斷筋點!G78)</f>
        <v/>
      </c>
      <c r="AG78" s="37" t="str">
        <f>IF(最佳化斷筋點!H78="","",最佳化斷筋點!H78)</f>
        <v/>
      </c>
      <c r="AH78" s="37" t="str">
        <f>IF(最佳化斷筋點!I78="","",最佳化斷筋點!I78)</f>
        <v/>
      </c>
      <c r="AI78" s="37" t="str">
        <f>IF(最佳化斷筋點!J78="","",最佳化斷筋點!J78)</f>
        <v/>
      </c>
      <c r="AJ78" s="37" t="str">
        <f>IF(最佳化斷筋點!K78="","",最佳化斷筋點!K78)</f>
        <v/>
      </c>
      <c r="AK78" s="37" t="str">
        <f>IF(最佳化斷筋點!L78="","",最佳化斷筋點!L78)</f>
        <v/>
      </c>
      <c r="AL78" s="37" t="str">
        <f>IF(最佳化斷筋點!M78="","",最佳化斷筋點!M78)</f>
        <v/>
      </c>
      <c r="AM78" s="37" t="str">
        <f>IF(最佳化斷筋點!N78="","",最佳化斷筋點!N78)</f>
        <v/>
      </c>
      <c r="AN78" s="37" t="str">
        <f>IF(最佳化斷筋點!O78="","",最佳化斷筋點!O78)</f>
        <v/>
      </c>
      <c r="AO78" s="37" t="str">
        <f>IF(最佳化斷筋點!P78="","",最佳化斷筋點!P78)</f>
        <v/>
      </c>
      <c r="AP78" s="37" t="str">
        <f>IF(最佳化斷筋點!Q78="","",最佳化斷筋點!Q78)</f>
        <v/>
      </c>
      <c r="AQ78" s="37" t="str">
        <f>IF(最佳化斷筋點!R78="","",最佳化斷筋點!R78)</f>
        <v/>
      </c>
      <c r="AR78" s="37" t="str">
        <f>IF(最佳化斷筋點!S78="","",最佳化斷筋點!S78)</f>
        <v/>
      </c>
      <c r="AS78" s="37" t="str">
        <f>IF(最佳化斷筋點!T78="","",最佳化斷筋點!T78)</f>
        <v/>
      </c>
      <c r="AT78" s="37" t="str">
        <f>IF(最佳化斷筋點!U78="","",最佳化斷筋點!U78)</f>
        <v/>
      </c>
      <c r="AU78" s="37" t="str">
        <f>IF(最佳化斷筋點!V78="","",最佳化斷筋點!V78)</f>
        <v/>
      </c>
      <c r="AV78" s="37" t="str">
        <f>IF(最佳化斷筋點!W78="","",最佳化斷筋點!W78)</f>
        <v/>
      </c>
      <c r="AW78" s="37" t="str">
        <f>IF(最佳化斷筋點!X78="","",最佳化斷筋點!X78)</f>
        <v/>
      </c>
      <c r="AZ78" s="37" t="s">
        <v>197</v>
      </c>
      <c r="BA78" s="37" t="s">
        <v>197</v>
      </c>
      <c r="BB78" s="37" t="s">
        <v>197</v>
      </c>
      <c r="BC78" s="37" t="s">
        <v>197</v>
      </c>
      <c r="BD78" s="37" t="s">
        <v>197</v>
      </c>
      <c r="BE78" s="37" t="s">
        <v>197</v>
      </c>
      <c r="BF78" s="37" t="s">
        <v>197</v>
      </c>
      <c r="BG78" s="37" t="s">
        <v>197</v>
      </c>
      <c r="BH78" s="37" t="s">
        <v>197</v>
      </c>
      <c r="BI78" s="37" t="s">
        <v>197</v>
      </c>
      <c r="BJ78" s="37" t="s">
        <v>197</v>
      </c>
      <c r="BK78" s="37" t="s">
        <v>197</v>
      </c>
      <c r="BL78" s="37" t="s">
        <v>197</v>
      </c>
      <c r="BM78" s="37" t="s">
        <v>197</v>
      </c>
      <c r="BN78" s="37" t="s">
        <v>197</v>
      </c>
      <c r="BO78" s="37" t="s">
        <v>197</v>
      </c>
      <c r="BP78" s="37" t="s">
        <v>197</v>
      </c>
      <c r="BQ78" s="37" t="s">
        <v>197</v>
      </c>
      <c r="BR78" s="37" t="s">
        <v>197</v>
      </c>
      <c r="BS78" s="37" t="s">
        <v>197</v>
      </c>
      <c r="BT78" s="37" t="s">
        <v>197</v>
      </c>
    </row>
    <row r="79" spans="5:72" x14ac:dyDescent="0.25">
      <c r="E79" s="6" t="s">
        <v>20</v>
      </c>
      <c r="F79" s="6">
        <f t="shared" si="22"/>
        <v>0</v>
      </c>
      <c r="G79" s="6">
        <f t="shared" si="23"/>
        <v>0</v>
      </c>
      <c r="H79" s="6">
        <f t="shared" si="24"/>
        <v>0</v>
      </c>
      <c r="I79" s="6">
        <f t="shared" si="25"/>
        <v>0</v>
      </c>
      <c r="J79" s="6">
        <f t="shared" si="26"/>
        <v>0</v>
      </c>
      <c r="K79" s="6">
        <f t="shared" si="27"/>
        <v>0</v>
      </c>
      <c r="L79" s="6">
        <f t="shared" si="28"/>
        <v>0</v>
      </c>
      <c r="M79" s="6">
        <f t="shared" si="29"/>
        <v>0</v>
      </c>
      <c r="N79" s="6">
        <f t="shared" si="30"/>
        <v>0</v>
      </c>
      <c r="O79" s="6">
        <f t="shared" si="31"/>
        <v>0</v>
      </c>
      <c r="P79" s="6">
        <f t="shared" si="32"/>
        <v>0</v>
      </c>
      <c r="Q79" s="6">
        <f t="shared" si="33"/>
        <v>0</v>
      </c>
      <c r="R79" s="6">
        <f t="shared" si="34"/>
        <v>0</v>
      </c>
      <c r="S79" s="6">
        <f t="shared" si="35"/>
        <v>0</v>
      </c>
      <c r="T79" s="6">
        <f t="shared" si="36"/>
        <v>0</v>
      </c>
      <c r="U79" s="6">
        <f t="shared" si="37"/>
        <v>0</v>
      </c>
      <c r="V79" s="6">
        <f t="shared" si="38"/>
        <v>0</v>
      </c>
      <c r="W79" s="6">
        <f t="shared" si="39"/>
        <v>0</v>
      </c>
      <c r="X79" s="6">
        <f t="shared" si="40"/>
        <v>0</v>
      </c>
      <c r="Y79" s="6">
        <f t="shared" si="41"/>
        <v>0</v>
      </c>
      <c r="Z79" s="6">
        <f t="shared" si="42"/>
        <v>0</v>
      </c>
      <c r="AB79" s="36" t="str">
        <f>IF(最佳化斷筋點!C79="","",最佳化斷筋點!C79)</f>
        <v>上層</v>
      </c>
      <c r="AC79" s="37">
        <f>IF(最佳化斷筋點!D79="","",最佳化斷筋點!D79)</f>
        <v>3</v>
      </c>
      <c r="AD79" s="37">
        <f>IF(最佳化斷筋點!E79="","",最佳化斷筋點!E79)</f>
        <v>3</v>
      </c>
      <c r="AE79" s="37">
        <f>IF(最佳化斷筋點!F79="","",最佳化斷筋點!F79)</f>
        <v>3</v>
      </c>
      <c r="AF79" s="37">
        <f>IF(最佳化斷筋點!G79="","",最佳化斷筋點!G79)</f>
        <v>3</v>
      </c>
      <c r="AG79" s="37">
        <f>IF(最佳化斷筋點!H79="","",最佳化斷筋點!H79)</f>
        <v>3</v>
      </c>
      <c r="AH79" s="37">
        <f>IF(最佳化斷筋點!I79="","",最佳化斷筋點!I79)</f>
        <v>3</v>
      </c>
      <c r="AI79" s="37">
        <f>IF(最佳化斷筋點!J79="","",最佳化斷筋點!J79)</f>
        <v>3</v>
      </c>
      <c r="AJ79" s="37">
        <f>IF(最佳化斷筋點!K79="","",最佳化斷筋點!K79)</f>
        <v>3</v>
      </c>
      <c r="AK79" s="37">
        <f>IF(最佳化斷筋點!L79="","",最佳化斷筋點!L79)</f>
        <v>3</v>
      </c>
      <c r="AL79" s="37">
        <f>IF(最佳化斷筋點!M79="","",最佳化斷筋點!M79)</f>
        <v>3</v>
      </c>
      <c r="AM79" s="37">
        <f>IF(最佳化斷筋點!N79="","",最佳化斷筋點!N79)</f>
        <v>3</v>
      </c>
      <c r="AN79" s="37">
        <f>IF(最佳化斷筋點!O79="","",最佳化斷筋點!O79)</f>
        <v>3</v>
      </c>
      <c r="AO79" s="37">
        <f>IF(最佳化斷筋點!P79="","",最佳化斷筋點!P79)</f>
        <v>3</v>
      </c>
      <c r="AP79" s="37">
        <f>IF(最佳化斷筋點!Q79="","",最佳化斷筋點!Q79)</f>
        <v>4</v>
      </c>
      <c r="AQ79" s="37">
        <f>IF(最佳化斷筋點!R79="","",最佳化斷筋點!R79)</f>
        <v>4</v>
      </c>
      <c r="AR79" s="37">
        <f>IF(最佳化斷筋點!S79="","",最佳化斷筋點!S79)</f>
        <v>4</v>
      </c>
      <c r="AS79" s="37">
        <f>IF(最佳化斷筋點!T79="","",最佳化斷筋點!T79)</f>
        <v>4</v>
      </c>
      <c r="AT79" s="37">
        <f>IF(最佳化斷筋點!U79="","",最佳化斷筋點!U79)</f>
        <v>4</v>
      </c>
      <c r="AU79" s="37">
        <f>IF(最佳化斷筋點!V79="","",最佳化斷筋點!V79)</f>
        <v>4</v>
      </c>
      <c r="AV79" s="37">
        <f>IF(最佳化斷筋點!W79="","",最佳化斷筋點!W79)</f>
        <v>4</v>
      </c>
      <c r="AW79" s="37">
        <f>IF(最佳化斷筋點!X79="","",最佳化斷筋點!X79)</f>
        <v>4</v>
      </c>
      <c r="AY79" s="6" t="s">
        <v>20</v>
      </c>
      <c r="AZ79" s="37">
        <v>3</v>
      </c>
      <c r="BA79" s="37">
        <v>3</v>
      </c>
      <c r="BB79" s="37">
        <v>3</v>
      </c>
      <c r="BC79" s="37">
        <v>3</v>
      </c>
      <c r="BD79" s="37">
        <v>3</v>
      </c>
      <c r="BE79" s="37">
        <v>3</v>
      </c>
      <c r="BF79" s="37">
        <v>3</v>
      </c>
      <c r="BG79" s="37">
        <v>3</v>
      </c>
      <c r="BH79" s="37">
        <v>3</v>
      </c>
      <c r="BI79" s="37">
        <v>3</v>
      </c>
      <c r="BJ79" s="37">
        <v>3</v>
      </c>
      <c r="BK79" s="37">
        <v>3</v>
      </c>
      <c r="BL79" s="37">
        <v>3</v>
      </c>
      <c r="BM79" s="37">
        <v>4</v>
      </c>
      <c r="BN79" s="37">
        <v>4</v>
      </c>
      <c r="BO79" s="37">
        <v>4</v>
      </c>
      <c r="BP79" s="37">
        <v>4</v>
      </c>
      <c r="BQ79" s="37">
        <v>4</v>
      </c>
      <c r="BR79" s="37">
        <v>4</v>
      </c>
      <c r="BS79" s="37">
        <v>4</v>
      </c>
      <c r="BT79" s="37">
        <v>4</v>
      </c>
    </row>
    <row r="80" spans="5:72" x14ac:dyDescent="0.25">
      <c r="F80" s="6">
        <f t="shared" si="22"/>
        <v>0</v>
      </c>
      <c r="G80" s="6">
        <f t="shared" si="23"/>
        <v>0</v>
      </c>
      <c r="H80" s="6">
        <f t="shared" si="24"/>
        <v>0</v>
      </c>
      <c r="I80" s="6">
        <f t="shared" si="25"/>
        <v>0</v>
      </c>
      <c r="J80" s="6">
        <f t="shared" si="26"/>
        <v>0</v>
      </c>
      <c r="K80" s="6">
        <f t="shared" si="27"/>
        <v>0</v>
      </c>
      <c r="L80" s="6">
        <f t="shared" si="28"/>
        <v>0</v>
      </c>
      <c r="M80" s="6">
        <f t="shared" si="29"/>
        <v>0</v>
      </c>
      <c r="N80" s="6">
        <f t="shared" si="30"/>
        <v>0</v>
      </c>
      <c r="O80" s="6">
        <f t="shared" si="31"/>
        <v>0</v>
      </c>
      <c r="P80" s="6">
        <f t="shared" si="32"/>
        <v>0</v>
      </c>
      <c r="Q80" s="6">
        <f t="shared" si="33"/>
        <v>0</v>
      </c>
      <c r="R80" s="6">
        <f t="shared" si="34"/>
        <v>0</v>
      </c>
      <c r="S80" s="6">
        <f t="shared" si="35"/>
        <v>0</v>
      </c>
      <c r="T80" s="6">
        <f t="shared" si="36"/>
        <v>0</v>
      </c>
      <c r="U80" s="6">
        <f t="shared" si="37"/>
        <v>0</v>
      </c>
      <c r="V80" s="6">
        <f t="shared" si="38"/>
        <v>0</v>
      </c>
      <c r="W80" s="6">
        <f t="shared" si="39"/>
        <v>0</v>
      </c>
      <c r="X80" s="6">
        <f t="shared" si="40"/>
        <v>0</v>
      </c>
      <c r="Y80" s="6">
        <f t="shared" si="41"/>
        <v>0</v>
      </c>
      <c r="Z80" s="6">
        <f t="shared" si="42"/>
        <v>0</v>
      </c>
      <c r="AB80" s="36" t="str">
        <f>IF(最佳化斷筋點!C80="","",最佳化斷筋點!C80)</f>
        <v/>
      </c>
      <c r="AC80" s="37" t="str">
        <f>IF(最佳化斷筋點!D80="","",最佳化斷筋點!D80)</f>
        <v/>
      </c>
      <c r="AD80" s="37" t="str">
        <f>IF(最佳化斷筋點!E80="","",最佳化斷筋點!E80)</f>
        <v/>
      </c>
      <c r="AE80" s="37" t="str">
        <f>IF(最佳化斷筋點!F80="","",最佳化斷筋點!F80)</f>
        <v/>
      </c>
      <c r="AF80" s="37" t="str">
        <f>IF(最佳化斷筋點!G80="","",最佳化斷筋點!G80)</f>
        <v/>
      </c>
      <c r="AG80" s="37" t="str">
        <f>IF(最佳化斷筋點!H80="","",最佳化斷筋點!H80)</f>
        <v/>
      </c>
      <c r="AH80" s="37" t="str">
        <f>IF(最佳化斷筋點!I80="","",最佳化斷筋點!I80)</f>
        <v/>
      </c>
      <c r="AI80" s="37" t="str">
        <f>IF(最佳化斷筋點!J80="","",最佳化斷筋點!J80)</f>
        <v/>
      </c>
      <c r="AJ80" s="37" t="str">
        <f>IF(最佳化斷筋點!K80="","",最佳化斷筋點!K80)</f>
        <v/>
      </c>
      <c r="AK80" s="37" t="str">
        <f>IF(最佳化斷筋點!L80="","",最佳化斷筋點!L80)</f>
        <v/>
      </c>
      <c r="AL80" s="37" t="str">
        <f>IF(最佳化斷筋點!M80="","",最佳化斷筋點!M80)</f>
        <v/>
      </c>
      <c r="AM80" s="37" t="str">
        <f>IF(最佳化斷筋點!N80="","",最佳化斷筋點!N80)</f>
        <v/>
      </c>
      <c r="AN80" s="37" t="str">
        <f>IF(最佳化斷筋點!O80="","",最佳化斷筋點!O80)</f>
        <v/>
      </c>
      <c r="AO80" s="37" t="str">
        <f>IF(最佳化斷筋點!P80="","",最佳化斷筋點!P80)</f>
        <v/>
      </c>
      <c r="AP80" s="37" t="str">
        <f>IF(最佳化斷筋點!Q80="","",最佳化斷筋點!Q80)</f>
        <v/>
      </c>
      <c r="AQ80" s="37" t="str">
        <f>IF(最佳化斷筋點!R80="","",最佳化斷筋點!R80)</f>
        <v/>
      </c>
      <c r="AR80" s="37" t="str">
        <f>IF(最佳化斷筋點!S80="","",最佳化斷筋點!S80)</f>
        <v/>
      </c>
      <c r="AS80" s="37" t="str">
        <f>IF(最佳化斷筋點!T80="","",最佳化斷筋點!T80)</f>
        <v/>
      </c>
      <c r="AT80" s="37" t="str">
        <f>IF(最佳化斷筋點!U80="","",最佳化斷筋點!U80)</f>
        <v/>
      </c>
      <c r="AU80" s="37" t="str">
        <f>IF(最佳化斷筋點!V80="","",最佳化斷筋點!V80)</f>
        <v/>
      </c>
      <c r="AV80" s="37" t="str">
        <f>IF(最佳化斷筋點!W80="","",最佳化斷筋點!W80)</f>
        <v/>
      </c>
      <c r="AW80" s="37" t="str">
        <f>IF(最佳化斷筋點!X80="","",最佳化斷筋點!X80)</f>
        <v/>
      </c>
      <c r="AZ80" s="37" t="s">
        <v>197</v>
      </c>
      <c r="BA80" s="37" t="s">
        <v>197</v>
      </c>
      <c r="BB80" s="37" t="s">
        <v>197</v>
      </c>
      <c r="BC80" s="37" t="s">
        <v>197</v>
      </c>
      <c r="BD80" s="37" t="s">
        <v>197</v>
      </c>
      <c r="BE80" s="37" t="s">
        <v>197</v>
      </c>
      <c r="BF80" s="37" t="s">
        <v>197</v>
      </c>
      <c r="BG80" s="37" t="s">
        <v>197</v>
      </c>
      <c r="BH80" s="37" t="s">
        <v>197</v>
      </c>
      <c r="BI80" s="37" t="s">
        <v>197</v>
      </c>
      <c r="BJ80" s="37" t="s">
        <v>197</v>
      </c>
      <c r="BK80" s="37" t="s">
        <v>197</v>
      </c>
      <c r="BL80" s="37" t="s">
        <v>197</v>
      </c>
      <c r="BM80" s="37" t="s">
        <v>197</v>
      </c>
      <c r="BN80" s="37" t="s">
        <v>197</v>
      </c>
      <c r="BO80" s="37" t="s">
        <v>197</v>
      </c>
      <c r="BP80" s="37" t="s">
        <v>197</v>
      </c>
      <c r="BQ80" s="37" t="s">
        <v>197</v>
      </c>
      <c r="BR80" s="37" t="s">
        <v>197</v>
      </c>
      <c r="BS80" s="37" t="s">
        <v>197</v>
      </c>
      <c r="BT80" s="37" t="s">
        <v>197</v>
      </c>
    </row>
    <row r="81" spans="5:72" x14ac:dyDescent="0.25">
      <c r="E81" s="6" t="s">
        <v>21</v>
      </c>
      <c r="F81" s="6">
        <f t="shared" si="22"/>
        <v>0</v>
      </c>
      <c r="G81" s="6">
        <f t="shared" si="23"/>
        <v>0</v>
      </c>
      <c r="H81" s="6">
        <f t="shared" si="24"/>
        <v>0</v>
      </c>
      <c r="I81" s="6">
        <f t="shared" si="25"/>
        <v>0</v>
      </c>
      <c r="J81" s="6">
        <f t="shared" si="26"/>
        <v>0</v>
      </c>
      <c r="K81" s="6">
        <f t="shared" si="27"/>
        <v>0</v>
      </c>
      <c r="L81" s="6">
        <f t="shared" si="28"/>
        <v>0</v>
      </c>
      <c r="M81" s="6">
        <f t="shared" si="29"/>
        <v>0</v>
      </c>
      <c r="N81" s="6">
        <f t="shared" si="30"/>
        <v>0</v>
      </c>
      <c r="O81" s="6">
        <f t="shared" si="31"/>
        <v>0</v>
      </c>
      <c r="P81" s="6">
        <f t="shared" si="32"/>
        <v>0</v>
      </c>
      <c r="Q81" s="6">
        <f t="shared" si="33"/>
        <v>0</v>
      </c>
      <c r="R81" s="6">
        <f t="shared" si="34"/>
        <v>0</v>
      </c>
      <c r="S81" s="6">
        <f t="shared" si="35"/>
        <v>0</v>
      </c>
      <c r="T81" s="6">
        <f t="shared" si="36"/>
        <v>0</v>
      </c>
      <c r="U81" s="6">
        <f t="shared" si="37"/>
        <v>0</v>
      </c>
      <c r="V81" s="6">
        <f t="shared" si="38"/>
        <v>0</v>
      </c>
      <c r="W81" s="6">
        <f t="shared" si="39"/>
        <v>0</v>
      </c>
      <c r="X81" s="6">
        <f t="shared" si="40"/>
        <v>0</v>
      </c>
      <c r="Y81" s="6">
        <f t="shared" si="41"/>
        <v>0</v>
      </c>
      <c r="Z81" s="6">
        <f t="shared" si="42"/>
        <v>0</v>
      </c>
      <c r="AB81" s="36" t="str">
        <f>IF(最佳化斷筋點!C81="","",最佳化斷筋點!C81)</f>
        <v>下層</v>
      </c>
      <c r="AC81" s="37">
        <f>IF(最佳化斷筋點!D81="","",最佳化斷筋點!D81)</f>
        <v>4</v>
      </c>
      <c r="AD81" s="37">
        <f>IF(最佳化斷筋點!E81="","",最佳化斷筋點!E81)</f>
        <v>4</v>
      </c>
      <c r="AE81" s="37">
        <f>IF(最佳化斷筋點!F81="","",最佳化斷筋點!F81)</f>
        <v>4</v>
      </c>
      <c r="AF81" s="37">
        <f>IF(最佳化斷筋點!G81="","",最佳化斷筋點!G81)</f>
        <v>4</v>
      </c>
      <c r="AG81" s="37">
        <f>IF(最佳化斷筋點!H81="","",最佳化斷筋點!H81)</f>
        <v>4</v>
      </c>
      <c r="AH81" s="37">
        <f>IF(最佳化斷筋點!I81="","",最佳化斷筋點!I81)</f>
        <v>4</v>
      </c>
      <c r="AI81" s="37">
        <f>IF(最佳化斷筋點!J81="","",最佳化斷筋點!J81)</f>
        <v>4</v>
      </c>
      <c r="AJ81" s="37">
        <f>IF(最佳化斷筋點!K81="","",最佳化斷筋點!K81)</f>
        <v>3</v>
      </c>
      <c r="AK81" s="37">
        <f>IF(最佳化斷筋點!L81="","",最佳化斷筋點!L81)</f>
        <v>3</v>
      </c>
      <c r="AL81" s="37">
        <f>IF(最佳化斷筋點!M81="","",最佳化斷筋點!M81)</f>
        <v>3</v>
      </c>
      <c r="AM81" s="37">
        <f>IF(最佳化斷筋點!N81="","",最佳化斷筋點!N81)</f>
        <v>3</v>
      </c>
      <c r="AN81" s="37">
        <f>IF(最佳化斷筋點!O81="","",最佳化斷筋點!O81)</f>
        <v>3</v>
      </c>
      <c r="AO81" s="37">
        <f>IF(最佳化斷筋點!P81="","",最佳化斷筋點!P81)</f>
        <v>3</v>
      </c>
      <c r="AP81" s="37">
        <f>IF(最佳化斷筋點!Q81="","",最佳化斷筋點!Q81)</f>
        <v>3</v>
      </c>
      <c r="AQ81" s="37">
        <f>IF(最佳化斷筋點!R81="","",最佳化斷筋點!R81)</f>
        <v>3</v>
      </c>
      <c r="AR81" s="37">
        <f>IF(最佳化斷筋點!S81="","",最佳化斷筋點!S81)</f>
        <v>3</v>
      </c>
      <c r="AS81" s="37">
        <f>IF(最佳化斷筋點!T81="","",最佳化斷筋點!T81)</f>
        <v>3</v>
      </c>
      <c r="AT81" s="37">
        <f>IF(最佳化斷筋點!U81="","",最佳化斷筋點!U81)</f>
        <v>3</v>
      </c>
      <c r="AU81" s="37">
        <f>IF(最佳化斷筋點!V81="","",最佳化斷筋點!V81)</f>
        <v>3</v>
      </c>
      <c r="AV81" s="37">
        <f>IF(最佳化斷筋點!W81="","",最佳化斷筋點!W81)</f>
        <v>3</v>
      </c>
      <c r="AW81" s="37">
        <f>IF(最佳化斷筋點!X81="","",最佳化斷筋點!X81)</f>
        <v>3</v>
      </c>
      <c r="AY81" s="6" t="s">
        <v>21</v>
      </c>
      <c r="AZ81" s="37">
        <v>4</v>
      </c>
      <c r="BA81" s="37">
        <v>4</v>
      </c>
      <c r="BB81" s="37">
        <v>4</v>
      </c>
      <c r="BC81" s="37">
        <v>4</v>
      </c>
      <c r="BD81" s="37">
        <v>4</v>
      </c>
      <c r="BE81" s="37">
        <v>4</v>
      </c>
      <c r="BF81" s="37">
        <v>4</v>
      </c>
      <c r="BG81" s="37">
        <v>3</v>
      </c>
      <c r="BH81" s="37">
        <v>3</v>
      </c>
      <c r="BI81" s="37">
        <v>3</v>
      </c>
      <c r="BJ81" s="37">
        <v>3</v>
      </c>
      <c r="BK81" s="37">
        <v>3</v>
      </c>
      <c r="BL81" s="37">
        <v>3</v>
      </c>
      <c r="BM81" s="37">
        <v>3</v>
      </c>
      <c r="BN81" s="37">
        <v>3</v>
      </c>
      <c r="BO81" s="37">
        <v>3</v>
      </c>
      <c r="BP81" s="37">
        <v>3</v>
      </c>
      <c r="BQ81" s="37">
        <v>3</v>
      </c>
      <c r="BR81" s="37">
        <v>3</v>
      </c>
      <c r="BS81" s="37">
        <v>3</v>
      </c>
      <c r="BT81" s="37">
        <v>3</v>
      </c>
    </row>
    <row r="82" spans="5:72" x14ac:dyDescent="0.25">
      <c r="F82" s="6">
        <f t="shared" si="22"/>
        <v>0</v>
      </c>
      <c r="G82" s="6">
        <f t="shared" si="23"/>
        <v>0</v>
      </c>
      <c r="H82" s="6">
        <f t="shared" si="24"/>
        <v>0</v>
      </c>
      <c r="I82" s="6">
        <f t="shared" si="25"/>
        <v>0</v>
      </c>
      <c r="J82" s="6">
        <f t="shared" si="26"/>
        <v>0</v>
      </c>
      <c r="K82" s="6">
        <f t="shared" si="27"/>
        <v>0</v>
      </c>
      <c r="L82" s="6">
        <f t="shared" si="28"/>
        <v>0</v>
      </c>
      <c r="M82" s="6">
        <f t="shared" si="29"/>
        <v>0</v>
      </c>
      <c r="N82" s="6">
        <f t="shared" si="30"/>
        <v>0</v>
      </c>
      <c r="O82" s="6">
        <f t="shared" si="31"/>
        <v>0</v>
      </c>
      <c r="P82" s="6">
        <f t="shared" si="32"/>
        <v>0</v>
      </c>
      <c r="Q82" s="6">
        <f t="shared" si="33"/>
        <v>0</v>
      </c>
      <c r="R82" s="6">
        <f t="shared" si="34"/>
        <v>0</v>
      </c>
      <c r="S82" s="6">
        <f t="shared" si="35"/>
        <v>0</v>
      </c>
      <c r="T82" s="6">
        <f t="shared" si="36"/>
        <v>0</v>
      </c>
      <c r="U82" s="6">
        <f t="shared" si="37"/>
        <v>0</v>
      </c>
      <c r="V82" s="6">
        <f t="shared" si="38"/>
        <v>0</v>
      </c>
      <c r="W82" s="6">
        <f t="shared" si="39"/>
        <v>0</v>
      </c>
      <c r="X82" s="6">
        <f t="shared" si="40"/>
        <v>0</v>
      </c>
      <c r="Y82" s="6">
        <f t="shared" si="41"/>
        <v>0</v>
      </c>
      <c r="Z82" s="6">
        <f t="shared" si="42"/>
        <v>0</v>
      </c>
      <c r="AB82" s="36" t="str">
        <f>IF(最佳化斷筋點!C82="","",最佳化斷筋點!C82)</f>
        <v/>
      </c>
      <c r="AC82" s="37" t="str">
        <f>IF(最佳化斷筋點!D82="","",最佳化斷筋點!D82)</f>
        <v/>
      </c>
      <c r="AD82" s="37" t="str">
        <f>IF(最佳化斷筋點!E82="","",最佳化斷筋點!E82)</f>
        <v/>
      </c>
      <c r="AE82" s="37" t="str">
        <f>IF(最佳化斷筋點!F82="","",最佳化斷筋點!F82)</f>
        <v/>
      </c>
      <c r="AF82" s="37" t="str">
        <f>IF(最佳化斷筋點!G82="","",最佳化斷筋點!G82)</f>
        <v/>
      </c>
      <c r="AG82" s="37" t="str">
        <f>IF(最佳化斷筋點!H82="","",最佳化斷筋點!H82)</f>
        <v/>
      </c>
      <c r="AH82" s="37" t="str">
        <f>IF(最佳化斷筋點!I82="","",最佳化斷筋點!I82)</f>
        <v/>
      </c>
      <c r="AI82" s="37" t="str">
        <f>IF(最佳化斷筋點!J82="","",最佳化斷筋點!J82)</f>
        <v/>
      </c>
      <c r="AJ82" s="37" t="str">
        <f>IF(最佳化斷筋點!K82="","",最佳化斷筋點!K82)</f>
        <v/>
      </c>
      <c r="AK82" s="37" t="str">
        <f>IF(最佳化斷筋點!L82="","",最佳化斷筋點!L82)</f>
        <v/>
      </c>
      <c r="AL82" s="37" t="str">
        <f>IF(最佳化斷筋點!M82="","",最佳化斷筋點!M82)</f>
        <v/>
      </c>
      <c r="AM82" s="37" t="str">
        <f>IF(最佳化斷筋點!N82="","",最佳化斷筋點!N82)</f>
        <v/>
      </c>
      <c r="AN82" s="37" t="str">
        <f>IF(最佳化斷筋點!O82="","",最佳化斷筋點!O82)</f>
        <v/>
      </c>
      <c r="AO82" s="37" t="str">
        <f>IF(最佳化斷筋點!P82="","",最佳化斷筋點!P82)</f>
        <v/>
      </c>
      <c r="AP82" s="37" t="str">
        <f>IF(最佳化斷筋點!Q82="","",最佳化斷筋點!Q82)</f>
        <v/>
      </c>
      <c r="AQ82" s="37" t="str">
        <f>IF(最佳化斷筋點!R82="","",最佳化斷筋點!R82)</f>
        <v/>
      </c>
      <c r="AR82" s="37" t="str">
        <f>IF(最佳化斷筋點!S82="","",最佳化斷筋點!S82)</f>
        <v/>
      </c>
      <c r="AS82" s="37" t="str">
        <f>IF(最佳化斷筋點!T82="","",最佳化斷筋點!T82)</f>
        <v/>
      </c>
      <c r="AT82" s="37" t="str">
        <f>IF(最佳化斷筋點!U82="","",最佳化斷筋點!U82)</f>
        <v/>
      </c>
      <c r="AU82" s="37" t="str">
        <f>IF(最佳化斷筋點!V82="","",最佳化斷筋點!V82)</f>
        <v/>
      </c>
      <c r="AV82" s="37" t="str">
        <f>IF(最佳化斷筋點!W82="","",最佳化斷筋點!W82)</f>
        <v/>
      </c>
      <c r="AW82" s="37" t="str">
        <f>IF(最佳化斷筋點!X82="","",最佳化斷筋點!X82)</f>
        <v/>
      </c>
      <c r="AZ82" s="37" t="s">
        <v>197</v>
      </c>
      <c r="BA82" s="37" t="s">
        <v>197</v>
      </c>
      <c r="BB82" s="37" t="s">
        <v>197</v>
      </c>
      <c r="BC82" s="37" t="s">
        <v>197</v>
      </c>
      <c r="BD82" s="37" t="s">
        <v>197</v>
      </c>
      <c r="BE82" s="37" t="s">
        <v>197</v>
      </c>
      <c r="BF82" s="37" t="s">
        <v>197</v>
      </c>
      <c r="BG82" s="37" t="s">
        <v>197</v>
      </c>
      <c r="BH82" s="37" t="s">
        <v>197</v>
      </c>
      <c r="BI82" s="37" t="s">
        <v>197</v>
      </c>
      <c r="BJ82" s="37" t="s">
        <v>197</v>
      </c>
      <c r="BK82" s="37" t="s">
        <v>197</v>
      </c>
      <c r="BL82" s="37" t="s">
        <v>197</v>
      </c>
      <c r="BM82" s="37" t="s">
        <v>197</v>
      </c>
      <c r="BN82" s="37" t="s">
        <v>197</v>
      </c>
      <c r="BO82" s="37" t="s">
        <v>197</v>
      </c>
      <c r="BP82" s="37" t="s">
        <v>197</v>
      </c>
      <c r="BQ82" s="37" t="s">
        <v>197</v>
      </c>
      <c r="BR82" s="37" t="s">
        <v>197</v>
      </c>
      <c r="BS82" s="37" t="s">
        <v>197</v>
      </c>
      <c r="BT82" s="37" t="s">
        <v>197</v>
      </c>
    </row>
    <row r="83" spans="5:72" x14ac:dyDescent="0.25">
      <c r="E83" s="6" t="s">
        <v>20</v>
      </c>
      <c r="F83" s="6">
        <f t="shared" si="22"/>
        <v>0</v>
      </c>
      <c r="G83" s="6">
        <f t="shared" si="23"/>
        <v>0</v>
      </c>
      <c r="H83" s="6">
        <f t="shared" si="24"/>
        <v>0</v>
      </c>
      <c r="I83" s="6">
        <f t="shared" si="25"/>
        <v>0</v>
      </c>
      <c r="J83" s="6">
        <f t="shared" si="26"/>
        <v>0</v>
      </c>
      <c r="K83" s="6">
        <f t="shared" si="27"/>
        <v>0</v>
      </c>
      <c r="L83" s="6">
        <f t="shared" si="28"/>
        <v>0</v>
      </c>
      <c r="M83" s="6">
        <f t="shared" si="29"/>
        <v>0</v>
      </c>
      <c r="N83" s="6">
        <f t="shared" si="30"/>
        <v>0</v>
      </c>
      <c r="O83" s="6">
        <f t="shared" si="31"/>
        <v>0</v>
      </c>
      <c r="P83" s="6">
        <f t="shared" si="32"/>
        <v>0</v>
      </c>
      <c r="Q83" s="6">
        <f t="shared" si="33"/>
        <v>0</v>
      </c>
      <c r="R83" s="6">
        <f t="shared" si="34"/>
        <v>0</v>
      </c>
      <c r="S83" s="6">
        <f t="shared" si="35"/>
        <v>0</v>
      </c>
      <c r="T83" s="6">
        <f t="shared" si="36"/>
        <v>0</v>
      </c>
      <c r="U83" s="6">
        <f t="shared" si="37"/>
        <v>0</v>
      </c>
      <c r="V83" s="6">
        <f t="shared" si="38"/>
        <v>0</v>
      </c>
      <c r="W83" s="6">
        <f t="shared" si="39"/>
        <v>0</v>
      </c>
      <c r="X83" s="6">
        <f t="shared" si="40"/>
        <v>0</v>
      </c>
      <c r="Y83" s="6">
        <f t="shared" si="41"/>
        <v>0</v>
      </c>
      <c r="Z83" s="6">
        <f t="shared" si="42"/>
        <v>0</v>
      </c>
      <c r="AB83" s="36" t="str">
        <f>IF(最佳化斷筋點!C83="","",最佳化斷筋點!C83)</f>
        <v>上層</v>
      </c>
      <c r="AC83" s="37">
        <f>IF(最佳化斷筋點!D83="","",最佳化斷筋點!D83)</f>
        <v>3</v>
      </c>
      <c r="AD83" s="37">
        <f>IF(最佳化斷筋點!E83="","",最佳化斷筋點!E83)</f>
        <v>3</v>
      </c>
      <c r="AE83" s="37">
        <f>IF(最佳化斷筋點!F83="","",最佳化斷筋點!F83)</f>
        <v>3</v>
      </c>
      <c r="AF83" s="37">
        <f>IF(最佳化斷筋點!G83="","",最佳化斷筋點!G83)</f>
        <v>3</v>
      </c>
      <c r="AG83" s="37">
        <f>IF(最佳化斷筋點!H83="","",最佳化斷筋點!H83)</f>
        <v>3</v>
      </c>
      <c r="AH83" s="37">
        <f>IF(最佳化斷筋點!I83="","",最佳化斷筋點!I83)</f>
        <v>3</v>
      </c>
      <c r="AI83" s="37">
        <f>IF(最佳化斷筋點!J83="","",最佳化斷筋點!J83)</f>
        <v>3</v>
      </c>
      <c r="AJ83" s="37">
        <f>IF(最佳化斷筋點!K83="","",最佳化斷筋點!K83)</f>
        <v>3</v>
      </c>
      <c r="AK83" s="37">
        <f>IF(最佳化斷筋點!L83="","",最佳化斷筋點!L83)</f>
        <v>3</v>
      </c>
      <c r="AL83" s="37">
        <f>IF(最佳化斷筋點!M83="","",最佳化斷筋點!M83)</f>
        <v>3</v>
      </c>
      <c r="AM83" s="37">
        <f>IF(最佳化斷筋點!N83="","",最佳化斷筋點!N83)</f>
        <v>3</v>
      </c>
      <c r="AN83" s="37">
        <f>IF(最佳化斷筋點!O83="","",最佳化斷筋點!O83)</f>
        <v>3</v>
      </c>
      <c r="AO83" s="37">
        <f>IF(最佳化斷筋點!P83="","",最佳化斷筋點!P83)</f>
        <v>3</v>
      </c>
      <c r="AP83" s="37">
        <f>IF(最佳化斷筋點!Q83="","",最佳化斷筋點!Q83)</f>
        <v>6</v>
      </c>
      <c r="AQ83" s="37">
        <f>IF(最佳化斷筋點!R83="","",最佳化斷筋點!R83)</f>
        <v>6</v>
      </c>
      <c r="AR83" s="37">
        <f>IF(最佳化斷筋點!S83="","",最佳化斷筋點!S83)</f>
        <v>6</v>
      </c>
      <c r="AS83" s="37">
        <f>IF(最佳化斷筋點!T83="","",最佳化斷筋點!T83)</f>
        <v>6</v>
      </c>
      <c r="AT83" s="37">
        <f>IF(最佳化斷筋點!U83="","",最佳化斷筋點!U83)</f>
        <v>6</v>
      </c>
      <c r="AU83" s="37">
        <f>IF(最佳化斷筋點!V83="","",最佳化斷筋點!V83)</f>
        <v>6</v>
      </c>
      <c r="AV83" s="37">
        <f>IF(最佳化斷筋點!W83="","",最佳化斷筋點!W83)</f>
        <v>6</v>
      </c>
      <c r="AW83" s="37">
        <f>IF(最佳化斷筋點!X83="","",最佳化斷筋點!X83)</f>
        <v>6</v>
      </c>
      <c r="AY83" s="6" t="s">
        <v>20</v>
      </c>
      <c r="AZ83" s="37">
        <v>3</v>
      </c>
      <c r="BA83" s="37">
        <v>3</v>
      </c>
      <c r="BB83" s="37">
        <v>3</v>
      </c>
      <c r="BC83" s="37">
        <v>3</v>
      </c>
      <c r="BD83" s="37">
        <v>3</v>
      </c>
      <c r="BE83" s="37">
        <v>3</v>
      </c>
      <c r="BF83" s="37">
        <v>3</v>
      </c>
      <c r="BG83" s="37">
        <v>3</v>
      </c>
      <c r="BH83" s="37">
        <v>3</v>
      </c>
      <c r="BI83" s="37">
        <v>3</v>
      </c>
      <c r="BJ83" s="37">
        <v>3</v>
      </c>
      <c r="BK83" s="37">
        <v>3</v>
      </c>
      <c r="BL83" s="37">
        <v>3</v>
      </c>
      <c r="BM83" s="37">
        <v>6</v>
      </c>
      <c r="BN83" s="37">
        <v>6</v>
      </c>
      <c r="BO83" s="37">
        <v>6</v>
      </c>
      <c r="BP83" s="37">
        <v>6</v>
      </c>
      <c r="BQ83" s="37">
        <v>6</v>
      </c>
      <c r="BR83" s="37">
        <v>6</v>
      </c>
      <c r="BS83" s="37">
        <v>6</v>
      </c>
      <c r="BT83" s="37">
        <v>6</v>
      </c>
    </row>
    <row r="84" spans="5:72" x14ac:dyDescent="0.25">
      <c r="F84" s="6">
        <f t="shared" si="22"/>
        <v>0</v>
      </c>
      <c r="G84" s="6">
        <f t="shared" si="23"/>
        <v>0</v>
      </c>
      <c r="H84" s="6">
        <f t="shared" si="24"/>
        <v>0</v>
      </c>
      <c r="I84" s="6">
        <f t="shared" si="25"/>
        <v>0</v>
      </c>
      <c r="J84" s="6">
        <f t="shared" si="26"/>
        <v>0</v>
      </c>
      <c r="K84" s="6">
        <f t="shared" si="27"/>
        <v>0</v>
      </c>
      <c r="L84" s="6">
        <f t="shared" si="28"/>
        <v>0</v>
      </c>
      <c r="M84" s="6">
        <f t="shared" si="29"/>
        <v>0</v>
      </c>
      <c r="N84" s="6">
        <f t="shared" si="30"/>
        <v>0</v>
      </c>
      <c r="O84" s="6">
        <f t="shared" si="31"/>
        <v>0</v>
      </c>
      <c r="P84" s="6">
        <f t="shared" si="32"/>
        <v>0</v>
      </c>
      <c r="Q84" s="6">
        <f t="shared" si="33"/>
        <v>0</v>
      </c>
      <c r="R84" s="6">
        <f t="shared" si="34"/>
        <v>0</v>
      </c>
      <c r="S84" s="6">
        <f t="shared" si="35"/>
        <v>0</v>
      </c>
      <c r="T84" s="6">
        <f t="shared" si="36"/>
        <v>0</v>
      </c>
      <c r="U84" s="6">
        <f t="shared" si="37"/>
        <v>0</v>
      </c>
      <c r="V84" s="6">
        <f t="shared" si="38"/>
        <v>0</v>
      </c>
      <c r="W84" s="6">
        <f t="shared" si="39"/>
        <v>0</v>
      </c>
      <c r="X84" s="6">
        <f t="shared" si="40"/>
        <v>0</v>
      </c>
      <c r="Y84" s="6">
        <f t="shared" si="41"/>
        <v>0</v>
      </c>
      <c r="Z84" s="6">
        <f t="shared" si="42"/>
        <v>0</v>
      </c>
      <c r="AB84" s="36" t="str">
        <f>IF(最佳化斷筋點!C84="","",最佳化斷筋點!C84)</f>
        <v/>
      </c>
      <c r="AC84" s="37" t="str">
        <f>IF(最佳化斷筋點!D84="","",最佳化斷筋點!D84)</f>
        <v/>
      </c>
      <c r="AD84" s="37" t="str">
        <f>IF(最佳化斷筋點!E84="","",最佳化斷筋點!E84)</f>
        <v/>
      </c>
      <c r="AE84" s="37" t="str">
        <f>IF(最佳化斷筋點!F84="","",最佳化斷筋點!F84)</f>
        <v/>
      </c>
      <c r="AF84" s="37" t="str">
        <f>IF(最佳化斷筋點!G84="","",最佳化斷筋點!G84)</f>
        <v/>
      </c>
      <c r="AG84" s="37" t="str">
        <f>IF(最佳化斷筋點!H84="","",最佳化斷筋點!H84)</f>
        <v/>
      </c>
      <c r="AH84" s="37" t="str">
        <f>IF(最佳化斷筋點!I84="","",最佳化斷筋點!I84)</f>
        <v/>
      </c>
      <c r="AI84" s="37" t="str">
        <f>IF(最佳化斷筋點!J84="","",最佳化斷筋點!J84)</f>
        <v/>
      </c>
      <c r="AJ84" s="37" t="str">
        <f>IF(最佳化斷筋點!K84="","",最佳化斷筋點!K84)</f>
        <v/>
      </c>
      <c r="AK84" s="37" t="str">
        <f>IF(最佳化斷筋點!L84="","",最佳化斷筋點!L84)</f>
        <v/>
      </c>
      <c r="AL84" s="37" t="str">
        <f>IF(最佳化斷筋點!M84="","",最佳化斷筋點!M84)</f>
        <v/>
      </c>
      <c r="AM84" s="37" t="str">
        <f>IF(最佳化斷筋點!N84="","",最佳化斷筋點!N84)</f>
        <v/>
      </c>
      <c r="AN84" s="37" t="str">
        <f>IF(最佳化斷筋點!O84="","",最佳化斷筋點!O84)</f>
        <v/>
      </c>
      <c r="AO84" s="37" t="str">
        <f>IF(最佳化斷筋點!P84="","",最佳化斷筋點!P84)</f>
        <v/>
      </c>
      <c r="AP84" s="37" t="str">
        <f>IF(最佳化斷筋點!Q84="","",最佳化斷筋點!Q84)</f>
        <v/>
      </c>
      <c r="AQ84" s="37" t="str">
        <f>IF(最佳化斷筋點!R84="","",最佳化斷筋點!R84)</f>
        <v/>
      </c>
      <c r="AR84" s="37" t="str">
        <f>IF(最佳化斷筋點!S84="","",最佳化斷筋點!S84)</f>
        <v/>
      </c>
      <c r="AS84" s="37" t="str">
        <f>IF(最佳化斷筋點!T84="","",最佳化斷筋點!T84)</f>
        <v/>
      </c>
      <c r="AT84" s="37" t="str">
        <f>IF(最佳化斷筋點!U84="","",最佳化斷筋點!U84)</f>
        <v/>
      </c>
      <c r="AU84" s="37" t="str">
        <f>IF(最佳化斷筋點!V84="","",最佳化斷筋點!V84)</f>
        <v/>
      </c>
      <c r="AV84" s="37" t="str">
        <f>IF(最佳化斷筋點!W84="","",最佳化斷筋點!W84)</f>
        <v/>
      </c>
      <c r="AW84" s="37" t="str">
        <f>IF(最佳化斷筋點!X84="","",最佳化斷筋點!X84)</f>
        <v/>
      </c>
      <c r="AZ84" s="37" t="s">
        <v>197</v>
      </c>
      <c r="BA84" s="37" t="s">
        <v>197</v>
      </c>
      <c r="BB84" s="37" t="s">
        <v>197</v>
      </c>
      <c r="BC84" s="37" t="s">
        <v>197</v>
      </c>
      <c r="BD84" s="37" t="s">
        <v>197</v>
      </c>
      <c r="BE84" s="37" t="s">
        <v>197</v>
      </c>
      <c r="BF84" s="37" t="s">
        <v>197</v>
      </c>
      <c r="BG84" s="37" t="s">
        <v>197</v>
      </c>
      <c r="BH84" s="37" t="s">
        <v>197</v>
      </c>
      <c r="BI84" s="37" t="s">
        <v>197</v>
      </c>
      <c r="BJ84" s="37" t="s">
        <v>197</v>
      </c>
      <c r="BK84" s="37" t="s">
        <v>197</v>
      </c>
      <c r="BL84" s="37" t="s">
        <v>197</v>
      </c>
      <c r="BM84" s="37" t="s">
        <v>197</v>
      </c>
      <c r="BN84" s="37" t="s">
        <v>197</v>
      </c>
      <c r="BO84" s="37" t="s">
        <v>197</v>
      </c>
      <c r="BP84" s="37" t="s">
        <v>197</v>
      </c>
      <c r="BQ84" s="37" t="s">
        <v>197</v>
      </c>
      <c r="BR84" s="37" t="s">
        <v>197</v>
      </c>
      <c r="BS84" s="37" t="s">
        <v>197</v>
      </c>
      <c r="BT84" s="37" t="s">
        <v>197</v>
      </c>
    </row>
    <row r="85" spans="5:72" x14ac:dyDescent="0.25">
      <c r="E85" s="6" t="s">
        <v>21</v>
      </c>
      <c r="F85" s="6">
        <f t="shared" si="22"/>
        <v>0</v>
      </c>
      <c r="G85" s="6">
        <f t="shared" si="23"/>
        <v>0</v>
      </c>
      <c r="H85" s="6">
        <f t="shared" si="24"/>
        <v>0</v>
      </c>
      <c r="I85" s="6">
        <f t="shared" si="25"/>
        <v>0</v>
      </c>
      <c r="J85" s="6">
        <f t="shared" si="26"/>
        <v>0</v>
      </c>
      <c r="K85" s="6">
        <f t="shared" si="27"/>
        <v>0</v>
      </c>
      <c r="L85" s="6">
        <f t="shared" si="28"/>
        <v>0</v>
      </c>
      <c r="M85" s="6">
        <f t="shared" si="29"/>
        <v>0</v>
      </c>
      <c r="N85" s="6">
        <f t="shared" si="30"/>
        <v>0</v>
      </c>
      <c r="O85" s="6">
        <f t="shared" si="31"/>
        <v>0</v>
      </c>
      <c r="P85" s="6">
        <f t="shared" si="32"/>
        <v>0</v>
      </c>
      <c r="Q85" s="6">
        <f t="shared" si="33"/>
        <v>0</v>
      </c>
      <c r="R85" s="6">
        <f t="shared" si="34"/>
        <v>0</v>
      </c>
      <c r="S85" s="6">
        <f t="shared" si="35"/>
        <v>0</v>
      </c>
      <c r="T85" s="6">
        <f t="shared" si="36"/>
        <v>0</v>
      </c>
      <c r="U85" s="6">
        <f t="shared" si="37"/>
        <v>0</v>
      </c>
      <c r="V85" s="6">
        <f t="shared" si="38"/>
        <v>0</v>
      </c>
      <c r="W85" s="6">
        <f t="shared" si="39"/>
        <v>0</v>
      </c>
      <c r="X85" s="6">
        <f t="shared" si="40"/>
        <v>0</v>
      </c>
      <c r="Y85" s="6">
        <f t="shared" si="41"/>
        <v>0</v>
      </c>
      <c r="Z85" s="6">
        <f t="shared" si="42"/>
        <v>0</v>
      </c>
      <c r="AB85" s="36" t="str">
        <f>IF(最佳化斷筋點!C85="","",最佳化斷筋點!C85)</f>
        <v>下層</v>
      </c>
      <c r="AC85" s="37">
        <f>IF(最佳化斷筋點!D85="","",最佳化斷筋點!D85)</f>
        <v>5</v>
      </c>
      <c r="AD85" s="37">
        <f>IF(最佳化斷筋點!E85="","",最佳化斷筋點!E85)</f>
        <v>5</v>
      </c>
      <c r="AE85" s="37">
        <f>IF(最佳化斷筋點!F85="","",最佳化斷筋點!F85)</f>
        <v>5</v>
      </c>
      <c r="AF85" s="37">
        <f>IF(最佳化斷筋點!G85="","",最佳化斷筋點!G85)</f>
        <v>5</v>
      </c>
      <c r="AG85" s="37">
        <f>IF(最佳化斷筋點!H85="","",最佳化斷筋點!H85)</f>
        <v>5</v>
      </c>
      <c r="AH85" s="37">
        <f>IF(最佳化斷筋點!I85="","",最佳化斷筋點!I85)</f>
        <v>5</v>
      </c>
      <c r="AI85" s="37">
        <f>IF(最佳化斷筋點!J85="","",最佳化斷筋點!J85)</f>
        <v>5</v>
      </c>
      <c r="AJ85" s="37">
        <f>IF(最佳化斷筋點!K85="","",最佳化斷筋點!K85)</f>
        <v>3</v>
      </c>
      <c r="AK85" s="37">
        <f>IF(最佳化斷筋點!L85="","",最佳化斷筋點!L85)</f>
        <v>3</v>
      </c>
      <c r="AL85" s="37">
        <f>IF(最佳化斷筋點!M85="","",最佳化斷筋點!M85)</f>
        <v>3</v>
      </c>
      <c r="AM85" s="37">
        <f>IF(最佳化斷筋點!N85="","",最佳化斷筋點!N85)</f>
        <v>3</v>
      </c>
      <c r="AN85" s="37">
        <f>IF(最佳化斷筋點!O85="","",最佳化斷筋點!O85)</f>
        <v>3</v>
      </c>
      <c r="AO85" s="37">
        <f>IF(最佳化斷筋點!P85="","",最佳化斷筋點!P85)</f>
        <v>3</v>
      </c>
      <c r="AP85" s="37">
        <f>IF(最佳化斷筋點!Q85="","",最佳化斷筋點!Q85)</f>
        <v>3</v>
      </c>
      <c r="AQ85" s="37">
        <f>IF(最佳化斷筋點!R85="","",最佳化斷筋點!R85)</f>
        <v>3</v>
      </c>
      <c r="AR85" s="37">
        <f>IF(最佳化斷筋點!S85="","",最佳化斷筋點!S85)</f>
        <v>3</v>
      </c>
      <c r="AS85" s="37">
        <f>IF(最佳化斷筋點!T85="","",最佳化斷筋點!T85)</f>
        <v>3</v>
      </c>
      <c r="AT85" s="37">
        <f>IF(最佳化斷筋點!U85="","",最佳化斷筋點!U85)</f>
        <v>3</v>
      </c>
      <c r="AU85" s="37">
        <f>IF(最佳化斷筋點!V85="","",最佳化斷筋點!V85)</f>
        <v>3</v>
      </c>
      <c r="AV85" s="37">
        <f>IF(最佳化斷筋點!W85="","",最佳化斷筋點!W85)</f>
        <v>3</v>
      </c>
      <c r="AW85" s="37">
        <f>IF(最佳化斷筋點!X85="","",最佳化斷筋點!X85)</f>
        <v>3</v>
      </c>
      <c r="AY85" s="6" t="s">
        <v>21</v>
      </c>
      <c r="AZ85" s="37">
        <v>5</v>
      </c>
      <c r="BA85" s="37">
        <v>5</v>
      </c>
      <c r="BB85" s="37">
        <v>5</v>
      </c>
      <c r="BC85" s="37">
        <v>5</v>
      </c>
      <c r="BD85" s="37">
        <v>5</v>
      </c>
      <c r="BE85" s="37">
        <v>5</v>
      </c>
      <c r="BF85" s="37">
        <v>5</v>
      </c>
      <c r="BG85" s="37">
        <v>3</v>
      </c>
      <c r="BH85" s="37">
        <v>3</v>
      </c>
      <c r="BI85" s="37">
        <v>3</v>
      </c>
      <c r="BJ85" s="37">
        <v>3</v>
      </c>
      <c r="BK85" s="37">
        <v>3</v>
      </c>
      <c r="BL85" s="37">
        <v>3</v>
      </c>
      <c r="BM85" s="37">
        <v>3</v>
      </c>
      <c r="BN85" s="37">
        <v>3</v>
      </c>
      <c r="BO85" s="37">
        <v>3</v>
      </c>
      <c r="BP85" s="37">
        <v>3</v>
      </c>
      <c r="BQ85" s="37">
        <v>3</v>
      </c>
      <c r="BR85" s="37">
        <v>3</v>
      </c>
      <c r="BS85" s="37">
        <v>3</v>
      </c>
      <c r="BT85" s="37">
        <v>3</v>
      </c>
    </row>
    <row r="86" spans="5:72" x14ac:dyDescent="0.25">
      <c r="F86" s="6">
        <f t="shared" si="22"/>
        <v>0</v>
      </c>
      <c r="G86" s="6">
        <f t="shared" si="23"/>
        <v>0</v>
      </c>
      <c r="H86" s="6">
        <f t="shared" si="24"/>
        <v>0</v>
      </c>
      <c r="I86" s="6">
        <f t="shared" si="25"/>
        <v>0</v>
      </c>
      <c r="J86" s="6">
        <f t="shared" si="26"/>
        <v>0</v>
      </c>
      <c r="K86" s="6">
        <f t="shared" si="27"/>
        <v>0</v>
      </c>
      <c r="L86" s="6">
        <f t="shared" si="28"/>
        <v>0</v>
      </c>
      <c r="M86" s="6">
        <f t="shared" si="29"/>
        <v>0</v>
      </c>
      <c r="N86" s="6">
        <f t="shared" si="30"/>
        <v>0</v>
      </c>
      <c r="O86" s="6">
        <f t="shared" si="31"/>
        <v>0</v>
      </c>
      <c r="P86" s="6">
        <f t="shared" si="32"/>
        <v>0</v>
      </c>
      <c r="Q86" s="6">
        <f t="shared" si="33"/>
        <v>0</v>
      </c>
      <c r="R86" s="6">
        <f t="shared" si="34"/>
        <v>0</v>
      </c>
      <c r="S86" s="6">
        <f t="shared" si="35"/>
        <v>0</v>
      </c>
      <c r="T86" s="6">
        <f t="shared" si="36"/>
        <v>0</v>
      </c>
      <c r="U86" s="6">
        <f t="shared" si="37"/>
        <v>0</v>
      </c>
      <c r="V86" s="6">
        <f t="shared" si="38"/>
        <v>0</v>
      </c>
      <c r="W86" s="6">
        <f t="shared" si="39"/>
        <v>0</v>
      </c>
      <c r="X86" s="6">
        <f t="shared" si="40"/>
        <v>0</v>
      </c>
      <c r="Y86" s="6">
        <f t="shared" si="41"/>
        <v>0</v>
      </c>
      <c r="Z86" s="6">
        <f t="shared" si="42"/>
        <v>0</v>
      </c>
      <c r="AB86" s="36" t="str">
        <f>IF(最佳化斷筋點!C86="","",最佳化斷筋點!C86)</f>
        <v/>
      </c>
      <c r="AC86" s="37" t="str">
        <f>IF(最佳化斷筋點!D86="","",最佳化斷筋點!D86)</f>
        <v/>
      </c>
      <c r="AD86" s="37" t="str">
        <f>IF(最佳化斷筋點!E86="","",最佳化斷筋點!E86)</f>
        <v/>
      </c>
      <c r="AE86" s="37" t="str">
        <f>IF(最佳化斷筋點!F86="","",最佳化斷筋點!F86)</f>
        <v/>
      </c>
      <c r="AF86" s="37" t="str">
        <f>IF(最佳化斷筋點!G86="","",最佳化斷筋點!G86)</f>
        <v/>
      </c>
      <c r="AG86" s="37" t="str">
        <f>IF(最佳化斷筋點!H86="","",最佳化斷筋點!H86)</f>
        <v/>
      </c>
      <c r="AH86" s="37" t="str">
        <f>IF(最佳化斷筋點!I86="","",最佳化斷筋點!I86)</f>
        <v/>
      </c>
      <c r="AI86" s="37" t="str">
        <f>IF(最佳化斷筋點!J86="","",最佳化斷筋點!J86)</f>
        <v/>
      </c>
      <c r="AJ86" s="37" t="str">
        <f>IF(最佳化斷筋點!K86="","",最佳化斷筋點!K86)</f>
        <v/>
      </c>
      <c r="AK86" s="37" t="str">
        <f>IF(最佳化斷筋點!L86="","",最佳化斷筋點!L86)</f>
        <v/>
      </c>
      <c r="AL86" s="37" t="str">
        <f>IF(最佳化斷筋點!M86="","",最佳化斷筋點!M86)</f>
        <v/>
      </c>
      <c r="AM86" s="37" t="str">
        <f>IF(最佳化斷筋點!N86="","",最佳化斷筋點!N86)</f>
        <v/>
      </c>
      <c r="AN86" s="37" t="str">
        <f>IF(最佳化斷筋點!O86="","",最佳化斷筋點!O86)</f>
        <v/>
      </c>
      <c r="AO86" s="37" t="str">
        <f>IF(最佳化斷筋點!P86="","",最佳化斷筋點!P86)</f>
        <v/>
      </c>
      <c r="AP86" s="37" t="str">
        <f>IF(最佳化斷筋點!Q86="","",最佳化斷筋點!Q86)</f>
        <v/>
      </c>
      <c r="AQ86" s="37" t="str">
        <f>IF(最佳化斷筋點!R86="","",最佳化斷筋點!R86)</f>
        <v/>
      </c>
      <c r="AR86" s="37" t="str">
        <f>IF(最佳化斷筋點!S86="","",最佳化斷筋點!S86)</f>
        <v/>
      </c>
      <c r="AS86" s="37" t="str">
        <f>IF(最佳化斷筋點!T86="","",最佳化斷筋點!T86)</f>
        <v/>
      </c>
      <c r="AT86" s="37" t="str">
        <f>IF(最佳化斷筋點!U86="","",最佳化斷筋點!U86)</f>
        <v/>
      </c>
      <c r="AU86" s="37" t="str">
        <f>IF(最佳化斷筋點!V86="","",最佳化斷筋點!V86)</f>
        <v/>
      </c>
      <c r="AV86" s="37" t="str">
        <f>IF(最佳化斷筋點!W86="","",最佳化斷筋點!W86)</f>
        <v/>
      </c>
      <c r="AW86" s="37" t="str">
        <f>IF(最佳化斷筋點!X86="","",最佳化斷筋點!X86)</f>
        <v/>
      </c>
      <c r="AZ86" s="37" t="s">
        <v>197</v>
      </c>
      <c r="BA86" s="37" t="s">
        <v>197</v>
      </c>
      <c r="BB86" s="37" t="s">
        <v>197</v>
      </c>
      <c r="BC86" s="37" t="s">
        <v>197</v>
      </c>
      <c r="BD86" s="37" t="s">
        <v>197</v>
      </c>
      <c r="BE86" s="37" t="s">
        <v>197</v>
      </c>
      <c r="BF86" s="37" t="s">
        <v>197</v>
      </c>
      <c r="BG86" s="37" t="s">
        <v>197</v>
      </c>
      <c r="BH86" s="37" t="s">
        <v>197</v>
      </c>
      <c r="BI86" s="37" t="s">
        <v>197</v>
      </c>
      <c r="BJ86" s="37" t="s">
        <v>197</v>
      </c>
      <c r="BK86" s="37" t="s">
        <v>197</v>
      </c>
      <c r="BL86" s="37" t="s">
        <v>197</v>
      </c>
      <c r="BM86" s="37" t="s">
        <v>197</v>
      </c>
      <c r="BN86" s="37" t="s">
        <v>197</v>
      </c>
      <c r="BO86" s="37" t="s">
        <v>197</v>
      </c>
      <c r="BP86" s="37" t="s">
        <v>197</v>
      </c>
      <c r="BQ86" s="37" t="s">
        <v>197</v>
      </c>
      <c r="BR86" s="37" t="s">
        <v>197</v>
      </c>
      <c r="BS86" s="37" t="s">
        <v>197</v>
      </c>
      <c r="BT86" s="37" t="s">
        <v>197</v>
      </c>
    </row>
    <row r="87" spans="5:72" x14ac:dyDescent="0.25">
      <c r="E87" s="6" t="s">
        <v>20</v>
      </c>
      <c r="F87" s="6">
        <f t="shared" si="22"/>
        <v>0</v>
      </c>
      <c r="G87" s="6">
        <f t="shared" si="23"/>
        <v>0</v>
      </c>
      <c r="H87" s="6">
        <f t="shared" si="24"/>
        <v>0</v>
      </c>
      <c r="I87" s="6">
        <f t="shared" si="25"/>
        <v>0</v>
      </c>
      <c r="J87" s="6">
        <f t="shared" si="26"/>
        <v>0</v>
      </c>
      <c r="K87" s="6">
        <f t="shared" si="27"/>
        <v>0</v>
      </c>
      <c r="L87" s="6">
        <f t="shared" si="28"/>
        <v>0</v>
      </c>
      <c r="M87" s="6">
        <f t="shared" si="29"/>
        <v>0</v>
      </c>
      <c r="N87" s="6">
        <f t="shared" si="30"/>
        <v>0</v>
      </c>
      <c r="O87" s="6">
        <f t="shared" si="31"/>
        <v>0</v>
      </c>
      <c r="P87" s="6">
        <f t="shared" si="32"/>
        <v>0</v>
      </c>
      <c r="Q87" s="6">
        <f t="shared" si="33"/>
        <v>0</v>
      </c>
      <c r="R87" s="6">
        <f t="shared" si="34"/>
        <v>0</v>
      </c>
      <c r="S87" s="6">
        <f t="shared" si="35"/>
        <v>0</v>
      </c>
      <c r="T87" s="6">
        <f t="shared" si="36"/>
        <v>0</v>
      </c>
      <c r="U87" s="6">
        <f t="shared" si="37"/>
        <v>0</v>
      </c>
      <c r="V87" s="6">
        <f t="shared" si="38"/>
        <v>0</v>
      </c>
      <c r="W87" s="6">
        <f t="shared" si="39"/>
        <v>0</v>
      </c>
      <c r="X87" s="6">
        <f t="shared" si="40"/>
        <v>0</v>
      </c>
      <c r="Y87" s="6">
        <f t="shared" si="41"/>
        <v>0</v>
      </c>
      <c r="Z87" s="6">
        <f t="shared" si="42"/>
        <v>0</v>
      </c>
      <c r="AB87" s="36" t="str">
        <f>IF(最佳化斷筋點!C87="","",最佳化斷筋點!C87)</f>
        <v>上層</v>
      </c>
      <c r="AC87" s="37">
        <f>IF(最佳化斷筋點!D87="","",最佳化斷筋點!D87)</f>
        <v>5</v>
      </c>
      <c r="AD87" s="37">
        <f>IF(最佳化斷筋點!E87="","",最佳化斷筋點!E87)</f>
        <v>5</v>
      </c>
      <c r="AE87" s="37">
        <f>IF(最佳化斷筋點!F87="","",最佳化斷筋點!F87)</f>
        <v>5</v>
      </c>
      <c r="AF87" s="37">
        <f>IF(最佳化斷筋點!G87="","",最佳化斷筋點!G87)</f>
        <v>5</v>
      </c>
      <c r="AG87" s="37">
        <f>IF(最佳化斷筋點!H87="","",最佳化斷筋點!H87)</f>
        <v>5</v>
      </c>
      <c r="AH87" s="37">
        <f>IF(最佳化斷筋點!I87="","",最佳化斷筋點!I87)</f>
        <v>5</v>
      </c>
      <c r="AI87" s="37">
        <f>IF(最佳化斷筋點!J87="","",最佳化斷筋點!J87)</f>
        <v>4</v>
      </c>
      <c r="AJ87" s="37">
        <f>IF(最佳化斷筋點!K87="","",最佳化斷筋點!K87)</f>
        <v>3</v>
      </c>
      <c r="AK87" s="37">
        <f>IF(最佳化斷筋點!L87="","",最佳化斷筋點!L87)</f>
        <v>3</v>
      </c>
      <c r="AL87" s="37">
        <f>IF(最佳化斷筋點!M87="","",最佳化斷筋點!M87)</f>
        <v>3</v>
      </c>
      <c r="AM87" s="37">
        <f>IF(最佳化斷筋點!N87="","",最佳化斷筋點!N87)</f>
        <v>2</v>
      </c>
      <c r="AN87" s="37">
        <f>IF(最佳化斷筋點!O87="","",最佳化斷筋點!O87)</f>
        <v>2</v>
      </c>
      <c r="AO87" s="37">
        <f>IF(最佳化斷筋點!P87="","",最佳化斷筋點!P87)</f>
        <v>2</v>
      </c>
      <c r="AP87" s="37">
        <f>IF(最佳化斷筋點!Q87="","",最佳化斷筋點!Q87)</f>
        <v>3</v>
      </c>
      <c r="AQ87" s="37">
        <f>IF(最佳化斷筋點!R87="","",最佳化斷筋點!R87)</f>
        <v>3</v>
      </c>
      <c r="AR87" s="37">
        <f>IF(最佳化斷筋點!S87="","",最佳化斷筋點!S87)</f>
        <v>3</v>
      </c>
      <c r="AS87" s="37">
        <f>IF(最佳化斷筋點!T87="","",最佳化斷筋點!T87)</f>
        <v>4</v>
      </c>
      <c r="AT87" s="37">
        <f>IF(最佳化斷筋點!U87="","",最佳化斷筋點!U87)</f>
        <v>4</v>
      </c>
      <c r="AU87" s="37">
        <f>IF(最佳化斷筋點!V87="","",最佳化斷筋點!V87)</f>
        <v>4</v>
      </c>
      <c r="AV87" s="37">
        <f>IF(最佳化斷筋點!W87="","",最佳化斷筋點!W87)</f>
        <v>4</v>
      </c>
      <c r="AW87" s="37">
        <f>IF(最佳化斷筋點!X87="","",最佳化斷筋點!X87)</f>
        <v>4</v>
      </c>
      <c r="AY87" s="6" t="s">
        <v>20</v>
      </c>
      <c r="AZ87" s="37">
        <v>5</v>
      </c>
      <c r="BA87" s="37">
        <v>5</v>
      </c>
      <c r="BB87" s="37">
        <v>5</v>
      </c>
      <c r="BC87" s="37">
        <v>5</v>
      </c>
      <c r="BD87" s="37">
        <v>5</v>
      </c>
      <c r="BE87" s="37">
        <v>5</v>
      </c>
      <c r="BF87" s="37">
        <v>4</v>
      </c>
      <c r="BG87" s="37">
        <v>3</v>
      </c>
      <c r="BH87" s="37">
        <v>3</v>
      </c>
      <c r="BI87" s="37">
        <v>3</v>
      </c>
      <c r="BJ87" s="37">
        <v>2</v>
      </c>
      <c r="BK87" s="37">
        <v>2</v>
      </c>
      <c r="BL87" s="37">
        <v>2</v>
      </c>
      <c r="BM87" s="37">
        <v>3</v>
      </c>
      <c r="BN87" s="37">
        <v>3</v>
      </c>
      <c r="BO87" s="37">
        <v>3</v>
      </c>
      <c r="BP87" s="37">
        <v>4</v>
      </c>
      <c r="BQ87" s="37">
        <v>4</v>
      </c>
      <c r="BR87" s="37">
        <v>4</v>
      </c>
      <c r="BS87" s="37">
        <v>4</v>
      </c>
      <c r="BT87" s="37">
        <v>4</v>
      </c>
    </row>
    <row r="88" spans="5:72" x14ac:dyDescent="0.25">
      <c r="F88" s="6">
        <f t="shared" si="22"/>
        <v>0</v>
      </c>
      <c r="G88" s="6">
        <f t="shared" si="23"/>
        <v>0</v>
      </c>
      <c r="H88" s="6">
        <f t="shared" si="24"/>
        <v>0</v>
      </c>
      <c r="I88" s="6">
        <f t="shared" si="25"/>
        <v>0</v>
      </c>
      <c r="J88" s="6">
        <f t="shared" si="26"/>
        <v>0</v>
      </c>
      <c r="K88" s="6">
        <f t="shared" si="27"/>
        <v>0</v>
      </c>
      <c r="L88" s="6">
        <f t="shared" si="28"/>
        <v>0</v>
      </c>
      <c r="M88" s="6">
        <f t="shared" si="29"/>
        <v>0</v>
      </c>
      <c r="N88" s="6">
        <f t="shared" si="30"/>
        <v>0</v>
      </c>
      <c r="O88" s="6">
        <f t="shared" si="31"/>
        <v>0</v>
      </c>
      <c r="P88" s="6">
        <f t="shared" si="32"/>
        <v>0</v>
      </c>
      <c r="Q88" s="6">
        <f t="shared" si="33"/>
        <v>0</v>
      </c>
      <c r="R88" s="6">
        <f t="shared" si="34"/>
        <v>0</v>
      </c>
      <c r="S88" s="6">
        <f t="shared" si="35"/>
        <v>0</v>
      </c>
      <c r="T88" s="6">
        <f t="shared" si="36"/>
        <v>0</v>
      </c>
      <c r="U88" s="6">
        <f t="shared" si="37"/>
        <v>0</v>
      </c>
      <c r="V88" s="6">
        <f t="shared" si="38"/>
        <v>0</v>
      </c>
      <c r="W88" s="6">
        <f t="shared" si="39"/>
        <v>0</v>
      </c>
      <c r="X88" s="6">
        <f t="shared" si="40"/>
        <v>0</v>
      </c>
      <c r="Y88" s="6">
        <f t="shared" si="41"/>
        <v>0</v>
      </c>
      <c r="Z88" s="6">
        <f t="shared" si="42"/>
        <v>0</v>
      </c>
      <c r="AB88" s="36" t="str">
        <f>IF(最佳化斷筋點!C88="","",最佳化斷筋點!C88)</f>
        <v/>
      </c>
      <c r="AC88" s="37" t="str">
        <f>IF(最佳化斷筋點!D88="","",最佳化斷筋點!D88)</f>
        <v/>
      </c>
      <c r="AD88" s="37" t="str">
        <f>IF(最佳化斷筋點!E88="","",最佳化斷筋點!E88)</f>
        <v/>
      </c>
      <c r="AE88" s="37" t="str">
        <f>IF(最佳化斷筋點!F88="","",最佳化斷筋點!F88)</f>
        <v/>
      </c>
      <c r="AF88" s="37" t="str">
        <f>IF(最佳化斷筋點!G88="","",最佳化斷筋點!G88)</f>
        <v/>
      </c>
      <c r="AG88" s="37" t="str">
        <f>IF(最佳化斷筋點!H88="","",最佳化斷筋點!H88)</f>
        <v/>
      </c>
      <c r="AH88" s="37" t="str">
        <f>IF(最佳化斷筋點!I88="","",最佳化斷筋點!I88)</f>
        <v/>
      </c>
      <c r="AI88" s="37" t="str">
        <f>IF(最佳化斷筋點!J88="","",最佳化斷筋點!J88)</f>
        <v/>
      </c>
      <c r="AJ88" s="37" t="str">
        <f>IF(最佳化斷筋點!K88="","",最佳化斷筋點!K88)</f>
        <v/>
      </c>
      <c r="AK88" s="37" t="str">
        <f>IF(最佳化斷筋點!L88="","",最佳化斷筋點!L88)</f>
        <v/>
      </c>
      <c r="AL88" s="37" t="str">
        <f>IF(最佳化斷筋點!M88="","",最佳化斷筋點!M88)</f>
        <v/>
      </c>
      <c r="AM88" s="37" t="str">
        <f>IF(最佳化斷筋點!N88="","",最佳化斷筋點!N88)</f>
        <v/>
      </c>
      <c r="AN88" s="37" t="str">
        <f>IF(最佳化斷筋點!O88="","",最佳化斷筋點!O88)</f>
        <v/>
      </c>
      <c r="AO88" s="37" t="str">
        <f>IF(最佳化斷筋點!P88="","",最佳化斷筋點!P88)</f>
        <v/>
      </c>
      <c r="AP88" s="37" t="str">
        <f>IF(最佳化斷筋點!Q88="","",最佳化斷筋點!Q88)</f>
        <v/>
      </c>
      <c r="AQ88" s="37" t="str">
        <f>IF(最佳化斷筋點!R88="","",最佳化斷筋點!R88)</f>
        <v/>
      </c>
      <c r="AR88" s="37" t="str">
        <f>IF(最佳化斷筋點!S88="","",最佳化斷筋點!S88)</f>
        <v/>
      </c>
      <c r="AS88" s="37" t="str">
        <f>IF(最佳化斷筋點!T88="","",最佳化斷筋點!T88)</f>
        <v/>
      </c>
      <c r="AT88" s="37" t="str">
        <f>IF(最佳化斷筋點!U88="","",最佳化斷筋點!U88)</f>
        <v/>
      </c>
      <c r="AU88" s="37" t="str">
        <f>IF(最佳化斷筋點!V88="","",最佳化斷筋點!V88)</f>
        <v/>
      </c>
      <c r="AV88" s="37" t="str">
        <f>IF(最佳化斷筋點!W88="","",最佳化斷筋點!W88)</f>
        <v/>
      </c>
      <c r="AW88" s="37" t="str">
        <f>IF(最佳化斷筋點!X88="","",最佳化斷筋點!X88)</f>
        <v/>
      </c>
      <c r="AZ88" s="37" t="s">
        <v>197</v>
      </c>
      <c r="BA88" s="37" t="s">
        <v>197</v>
      </c>
      <c r="BB88" s="37" t="s">
        <v>197</v>
      </c>
      <c r="BC88" s="37" t="s">
        <v>197</v>
      </c>
      <c r="BD88" s="37" t="s">
        <v>197</v>
      </c>
      <c r="BE88" s="37" t="s">
        <v>197</v>
      </c>
      <c r="BF88" s="37" t="s">
        <v>197</v>
      </c>
      <c r="BG88" s="37" t="s">
        <v>197</v>
      </c>
      <c r="BH88" s="37" t="s">
        <v>197</v>
      </c>
      <c r="BI88" s="37" t="s">
        <v>197</v>
      </c>
      <c r="BJ88" s="37" t="s">
        <v>197</v>
      </c>
      <c r="BK88" s="37" t="s">
        <v>197</v>
      </c>
      <c r="BL88" s="37" t="s">
        <v>197</v>
      </c>
      <c r="BM88" s="37" t="s">
        <v>197</v>
      </c>
      <c r="BN88" s="37" t="s">
        <v>197</v>
      </c>
      <c r="BO88" s="37" t="s">
        <v>197</v>
      </c>
      <c r="BP88" s="37" t="s">
        <v>197</v>
      </c>
      <c r="BQ88" s="37" t="s">
        <v>197</v>
      </c>
      <c r="BR88" s="37" t="s">
        <v>197</v>
      </c>
      <c r="BS88" s="37" t="s">
        <v>197</v>
      </c>
      <c r="BT88" s="37" t="s">
        <v>197</v>
      </c>
    </row>
    <row r="89" spans="5:72" x14ac:dyDescent="0.25">
      <c r="E89" s="6" t="s">
        <v>21</v>
      </c>
      <c r="F89" s="6">
        <f t="shared" si="22"/>
        <v>0</v>
      </c>
      <c r="G89" s="6">
        <f t="shared" si="23"/>
        <v>0</v>
      </c>
      <c r="H89" s="6">
        <f t="shared" si="24"/>
        <v>0</v>
      </c>
      <c r="I89" s="6">
        <f t="shared" si="25"/>
        <v>0</v>
      </c>
      <c r="J89" s="6">
        <f t="shared" si="26"/>
        <v>0</v>
      </c>
      <c r="K89" s="6">
        <f t="shared" si="27"/>
        <v>0</v>
      </c>
      <c r="L89" s="6">
        <f t="shared" si="28"/>
        <v>0</v>
      </c>
      <c r="M89" s="6">
        <f t="shared" si="29"/>
        <v>0</v>
      </c>
      <c r="N89" s="6">
        <f t="shared" si="30"/>
        <v>0</v>
      </c>
      <c r="O89" s="6">
        <f t="shared" si="31"/>
        <v>0</v>
      </c>
      <c r="P89" s="6">
        <f t="shared" si="32"/>
        <v>0</v>
      </c>
      <c r="Q89" s="6">
        <f t="shared" si="33"/>
        <v>0</v>
      </c>
      <c r="R89" s="6">
        <f t="shared" si="34"/>
        <v>0</v>
      </c>
      <c r="S89" s="6">
        <f t="shared" si="35"/>
        <v>0</v>
      </c>
      <c r="T89" s="6">
        <f t="shared" si="36"/>
        <v>0</v>
      </c>
      <c r="U89" s="6">
        <f t="shared" si="37"/>
        <v>0</v>
      </c>
      <c r="V89" s="6">
        <f t="shared" si="38"/>
        <v>0</v>
      </c>
      <c r="W89" s="6">
        <f t="shared" si="39"/>
        <v>0</v>
      </c>
      <c r="X89" s="6">
        <f t="shared" si="40"/>
        <v>0</v>
      </c>
      <c r="Y89" s="6">
        <f t="shared" si="41"/>
        <v>0</v>
      </c>
      <c r="Z89" s="6">
        <f t="shared" si="42"/>
        <v>0</v>
      </c>
      <c r="AB89" s="36" t="str">
        <f>IF(最佳化斷筋點!C89="","",最佳化斷筋點!C89)</f>
        <v>下層</v>
      </c>
      <c r="AC89" s="37">
        <f>IF(最佳化斷筋點!D89="","",最佳化斷筋點!D89)</f>
        <v>3</v>
      </c>
      <c r="AD89" s="37">
        <f>IF(最佳化斷筋點!E89="","",最佳化斷筋點!E89)</f>
        <v>3</v>
      </c>
      <c r="AE89" s="37">
        <f>IF(最佳化斷筋點!F89="","",最佳化斷筋點!F89)</f>
        <v>3</v>
      </c>
      <c r="AF89" s="37">
        <f>IF(最佳化斷筋點!G89="","",最佳化斷筋點!G89)</f>
        <v>3</v>
      </c>
      <c r="AG89" s="37">
        <f>IF(最佳化斷筋點!H89="","",最佳化斷筋點!H89)</f>
        <v>3</v>
      </c>
      <c r="AH89" s="37">
        <f>IF(最佳化斷筋點!I89="","",最佳化斷筋點!I89)</f>
        <v>3</v>
      </c>
      <c r="AI89" s="37">
        <f>IF(最佳化斷筋點!J89="","",最佳化斷筋點!J89)</f>
        <v>3</v>
      </c>
      <c r="AJ89" s="37">
        <f>IF(最佳化斷筋點!K89="","",最佳化斷筋點!K89)</f>
        <v>3</v>
      </c>
      <c r="AK89" s="37">
        <f>IF(最佳化斷筋點!L89="","",最佳化斷筋點!L89)</f>
        <v>3</v>
      </c>
      <c r="AL89" s="37">
        <f>IF(最佳化斷筋點!M89="","",最佳化斷筋點!M89)</f>
        <v>3</v>
      </c>
      <c r="AM89" s="37">
        <f>IF(最佳化斷筋點!N89="","",最佳化斷筋點!N89)</f>
        <v>3</v>
      </c>
      <c r="AN89" s="37">
        <f>IF(最佳化斷筋點!O89="","",最佳化斷筋點!O89)</f>
        <v>3</v>
      </c>
      <c r="AO89" s="37">
        <f>IF(最佳化斷筋點!P89="","",最佳化斷筋點!P89)</f>
        <v>3</v>
      </c>
      <c r="AP89" s="37">
        <f>IF(最佳化斷筋點!Q89="","",最佳化斷筋點!Q89)</f>
        <v>3</v>
      </c>
      <c r="AQ89" s="37">
        <f>IF(最佳化斷筋點!R89="","",最佳化斷筋點!R89)</f>
        <v>3</v>
      </c>
      <c r="AR89" s="37">
        <f>IF(最佳化斷筋點!S89="","",最佳化斷筋點!S89)</f>
        <v>3</v>
      </c>
      <c r="AS89" s="37">
        <f>IF(最佳化斷筋點!T89="","",最佳化斷筋點!T89)</f>
        <v>3</v>
      </c>
      <c r="AT89" s="37">
        <f>IF(最佳化斷筋點!U89="","",最佳化斷筋點!U89)</f>
        <v>3</v>
      </c>
      <c r="AU89" s="37">
        <f>IF(最佳化斷筋點!V89="","",最佳化斷筋點!V89)</f>
        <v>3</v>
      </c>
      <c r="AV89" s="37">
        <f>IF(最佳化斷筋點!W89="","",最佳化斷筋點!W89)</f>
        <v>3</v>
      </c>
      <c r="AW89" s="37">
        <f>IF(最佳化斷筋點!X89="","",最佳化斷筋點!X89)</f>
        <v>3</v>
      </c>
      <c r="AY89" s="6" t="s">
        <v>21</v>
      </c>
      <c r="AZ89" s="37">
        <v>3</v>
      </c>
      <c r="BA89" s="37">
        <v>3</v>
      </c>
      <c r="BB89" s="37">
        <v>3</v>
      </c>
      <c r="BC89" s="37">
        <v>3</v>
      </c>
      <c r="BD89" s="37">
        <v>3</v>
      </c>
      <c r="BE89" s="37">
        <v>3</v>
      </c>
      <c r="BF89" s="37">
        <v>3</v>
      </c>
      <c r="BG89" s="37">
        <v>3</v>
      </c>
      <c r="BH89" s="37">
        <v>3</v>
      </c>
      <c r="BI89" s="37">
        <v>3</v>
      </c>
      <c r="BJ89" s="37">
        <v>3</v>
      </c>
      <c r="BK89" s="37">
        <v>3</v>
      </c>
      <c r="BL89" s="37">
        <v>3</v>
      </c>
      <c r="BM89" s="37">
        <v>3</v>
      </c>
      <c r="BN89" s="37">
        <v>3</v>
      </c>
      <c r="BO89" s="37">
        <v>3</v>
      </c>
      <c r="BP89" s="37">
        <v>3</v>
      </c>
      <c r="BQ89" s="37">
        <v>3</v>
      </c>
      <c r="BR89" s="37">
        <v>3</v>
      </c>
      <c r="BS89" s="37">
        <v>3</v>
      </c>
      <c r="BT89" s="37">
        <v>3</v>
      </c>
    </row>
    <row r="90" spans="5:72" x14ac:dyDescent="0.25">
      <c r="F90" s="6">
        <f t="shared" si="22"/>
        <v>0</v>
      </c>
      <c r="G90" s="6">
        <f t="shared" si="23"/>
        <v>0</v>
      </c>
      <c r="H90" s="6">
        <f t="shared" si="24"/>
        <v>0</v>
      </c>
      <c r="I90" s="6">
        <f t="shared" si="25"/>
        <v>0</v>
      </c>
      <c r="J90" s="6">
        <f t="shared" si="26"/>
        <v>0</v>
      </c>
      <c r="K90" s="6">
        <f t="shared" si="27"/>
        <v>0</v>
      </c>
      <c r="L90" s="6">
        <f t="shared" si="28"/>
        <v>0</v>
      </c>
      <c r="M90" s="6">
        <f t="shared" si="29"/>
        <v>0</v>
      </c>
      <c r="N90" s="6">
        <f t="shared" si="30"/>
        <v>0</v>
      </c>
      <c r="O90" s="6">
        <f t="shared" si="31"/>
        <v>0</v>
      </c>
      <c r="P90" s="6">
        <f t="shared" si="32"/>
        <v>0</v>
      </c>
      <c r="Q90" s="6">
        <f t="shared" si="33"/>
        <v>0</v>
      </c>
      <c r="R90" s="6">
        <f t="shared" si="34"/>
        <v>0</v>
      </c>
      <c r="S90" s="6">
        <f t="shared" si="35"/>
        <v>0</v>
      </c>
      <c r="T90" s="6">
        <f t="shared" si="36"/>
        <v>0</v>
      </c>
      <c r="U90" s="6">
        <f t="shared" si="37"/>
        <v>0</v>
      </c>
      <c r="V90" s="6">
        <f t="shared" si="38"/>
        <v>0</v>
      </c>
      <c r="W90" s="6">
        <f t="shared" si="39"/>
        <v>0</v>
      </c>
      <c r="X90" s="6">
        <f t="shared" si="40"/>
        <v>0</v>
      </c>
      <c r="Y90" s="6">
        <f t="shared" si="41"/>
        <v>0</v>
      </c>
      <c r="Z90" s="6">
        <f t="shared" si="42"/>
        <v>0</v>
      </c>
      <c r="AB90" s="36" t="str">
        <f>IF(最佳化斷筋點!C90="","",最佳化斷筋點!C90)</f>
        <v/>
      </c>
      <c r="AC90" s="36" t="str">
        <f>IF(最佳化斷筋點!D90="","",最佳化斷筋點!D90)</f>
        <v/>
      </c>
      <c r="AD90" s="36" t="str">
        <f>IF(最佳化斷筋點!E90="","",最佳化斷筋點!E90)</f>
        <v/>
      </c>
      <c r="AE90" s="36" t="str">
        <f>IF(最佳化斷筋點!F90="","",最佳化斷筋點!F90)</f>
        <v/>
      </c>
      <c r="AF90" s="36" t="str">
        <f>IF(最佳化斷筋點!G90="","",最佳化斷筋點!G90)</f>
        <v/>
      </c>
      <c r="AG90" s="36" t="str">
        <f>IF(最佳化斷筋點!H90="","",最佳化斷筋點!H90)</f>
        <v/>
      </c>
      <c r="AH90" s="36" t="str">
        <f>IF(最佳化斷筋點!I90="","",最佳化斷筋點!I90)</f>
        <v/>
      </c>
      <c r="AI90" s="36" t="str">
        <f>IF(最佳化斷筋點!J90="","",最佳化斷筋點!J90)</f>
        <v/>
      </c>
      <c r="AJ90" s="36" t="str">
        <f>IF(最佳化斷筋點!K90="","",最佳化斷筋點!K90)</f>
        <v/>
      </c>
      <c r="AK90" s="36" t="str">
        <f>IF(最佳化斷筋點!L90="","",最佳化斷筋點!L90)</f>
        <v/>
      </c>
      <c r="AL90" s="36" t="str">
        <f>IF(最佳化斷筋點!M90="","",最佳化斷筋點!M90)</f>
        <v/>
      </c>
      <c r="AM90" s="36" t="str">
        <f>IF(最佳化斷筋點!N90="","",最佳化斷筋點!N90)</f>
        <v/>
      </c>
      <c r="AN90" s="36" t="str">
        <f>IF(最佳化斷筋點!O90="","",最佳化斷筋點!O90)</f>
        <v/>
      </c>
      <c r="AO90" s="36" t="str">
        <f>IF(最佳化斷筋點!P90="","",最佳化斷筋點!P90)</f>
        <v/>
      </c>
      <c r="AP90" s="36" t="str">
        <f>IF(最佳化斷筋點!Q90="","",最佳化斷筋點!Q90)</f>
        <v/>
      </c>
      <c r="AQ90" s="36" t="str">
        <f>IF(最佳化斷筋點!R90="","",最佳化斷筋點!R90)</f>
        <v/>
      </c>
      <c r="AR90" s="36" t="str">
        <f>IF(最佳化斷筋點!S90="","",最佳化斷筋點!S90)</f>
        <v/>
      </c>
      <c r="AS90" s="36" t="str">
        <f>IF(最佳化斷筋點!T90="","",最佳化斷筋點!T90)</f>
        <v/>
      </c>
      <c r="AT90" s="36" t="str">
        <f>IF(最佳化斷筋點!U90="","",最佳化斷筋點!U90)</f>
        <v/>
      </c>
      <c r="AU90" s="36" t="str">
        <f>IF(最佳化斷筋點!V90="","",最佳化斷筋點!V90)</f>
        <v/>
      </c>
      <c r="AV90" s="36" t="str">
        <f>IF(最佳化斷筋點!W90="","",最佳化斷筋點!W90)</f>
        <v/>
      </c>
      <c r="AW90" s="36" t="str">
        <f>IF(最佳化斷筋點!X90="","",最佳化斷筋點!X90)</f>
        <v/>
      </c>
      <c r="AZ90" s="37" t="s">
        <v>197</v>
      </c>
      <c r="BA90" s="37" t="s">
        <v>197</v>
      </c>
      <c r="BB90" s="37" t="s">
        <v>197</v>
      </c>
      <c r="BC90" s="37" t="s">
        <v>197</v>
      </c>
      <c r="BD90" s="37" t="s">
        <v>197</v>
      </c>
      <c r="BE90" s="37" t="s">
        <v>197</v>
      </c>
      <c r="BF90" s="37" t="s">
        <v>197</v>
      </c>
      <c r="BG90" s="37" t="s">
        <v>197</v>
      </c>
      <c r="BH90" s="37" t="s">
        <v>197</v>
      </c>
      <c r="BI90" s="37" t="s">
        <v>197</v>
      </c>
      <c r="BJ90" s="37" t="s">
        <v>197</v>
      </c>
      <c r="BK90" s="37" t="s">
        <v>197</v>
      </c>
      <c r="BL90" s="37" t="s">
        <v>197</v>
      </c>
      <c r="BM90" s="37" t="s">
        <v>197</v>
      </c>
      <c r="BN90" s="37" t="s">
        <v>197</v>
      </c>
      <c r="BO90" s="37" t="s">
        <v>197</v>
      </c>
      <c r="BP90" s="37" t="s">
        <v>197</v>
      </c>
      <c r="BQ90" s="37" t="s">
        <v>197</v>
      </c>
      <c r="BR90" s="37" t="s">
        <v>197</v>
      </c>
      <c r="BS90" s="37" t="s">
        <v>197</v>
      </c>
      <c r="BT90" s="37" t="s">
        <v>197</v>
      </c>
    </row>
    <row r="91" spans="5:72" x14ac:dyDescent="0.25">
      <c r="E91" s="6" t="s">
        <v>20</v>
      </c>
      <c r="F91" s="6">
        <f t="shared" si="22"/>
        <v>0</v>
      </c>
      <c r="G91" s="6">
        <f t="shared" si="23"/>
        <v>0</v>
      </c>
      <c r="H91" s="6">
        <f t="shared" si="24"/>
        <v>0</v>
      </c>
      <c r="I91" s="6">
        <f t="shared" si="25"/>
        <v>0</v>
      </c>
      <c r="J91" s="6">
        <f t="shared" si="26"/>
        <v>0</v>
      </c>
      <c r="K91" s="6">
        <f t="shared" si="27"/>
        <v>0</v>
      </c>
      <c r="L91" s="6">
        <f t="shared" si="28"/>
        <v>0</v>
      </c>
      <c r="M91" s="6">
        <f t="shared" si="29"/>
        <v>0</v>
      </c>
      <c r="N91" s="6">
        <f t="shared" si="30"/>
        <v>0</v>
      </c>
      <c r="O91" s="6">
        <f t="shared" si="31"/>
        <v>0</v>
      </c>
      <c r="P91" s="6">
        <f t="shared" si="32"/>
        <v>0</v>
      </c>
      <c r="Q91" s="6">
        <f t="shared" si="33"/>
        <v>0</v>
      </c>
      <c r="R91" s="6">
        <f t="shared" si="34"/>
        <v>0</v>
      </c>
      <c r="S91" s="6">
        <f t="shared" si="35"/>
        <v>0</v>
      </c>
      <c r="T91" s="6">
        <f t="shared" si="36"/>
        <v>0</v>
      </c>
      <c r="U91" s="6">
        <f t="shared" si="37"/>
        <v>0</v>
      </c>
      <c r="V91" s="6">
        <f t="shared" si="38"/>
        <v>0</v>
      </c>
      <c r="W91" s="6">
        <f t="shared" si="39"/>
        <v>0</v>
      </c>
      <c r="X91" s="6">
        <f t="shared" si="40"/>
        <v>0</v>
      </c>
      <c r="Y91" s="6">
        <f t="shared" si="41"/>
        <v>0</v>
      </c>
      <c r="Z91" s="6">
        <f t="shared" si="42"/>
        <v>0</v>
      </c>
      <c r="AB91" s="36" t="str">
        <f>IF(最佳化斷筋點!C91="","",最佳化斷筋點!C91)</f>
        <v>上層</v>
      </c>
      <c r="AC91" s="37">
        <f>IF(最佳化斷筋點!D91="","",最佳化斷筋點!D91)</f>
        <v>4</v>
      </c>
      <c r="AD91" s="37">
        <f>IF(最佳化斷筋點!E91="","",最佳化斷筋點!E91)</f>
        <v>4</v>
      </c>
      <c r="AE91" s="37">
        <f>IF(最佳化斷筋點!F91="","",最佳化斷筋點!F91)</f>
        <v>4</v>
      </c>
      <c r="AF91" s="37">
        <f>IF(最佳化斷筋點!G91="","",最佳化斷筋點!G91)</f>
        <v>4</v>
      </c>
      <c r="AG91" s="37">
        <f>IF(最佳化斷筋點!H91="","",最佳化斷筋點!H91)</f>
        <v>4</v>
      </c>
      <c r="AH91" s="37">
        <f>IF(最佳化斷筋點!I91="","",最佳化斷筋點!I91)</f>
        <v>4</v>
      </c>
      <c r="AI91" s="37">
        <f>IF(最佳化斷筋點!J91="","",最佳化斷筋點!J91)</f>
        <v>4</v>
      </c>
      <c r="AJ91" s="37">
        <f>IF(最佳化斷筋點!K91="","",最佳化斷筋點!K91)</f>
        <v>3</v>
      </c>
      <c r="AK91" s="37">
        <f>IF(最佳化斷筋點!L91="","",最佳化斷筋點!L91)</f>
        <v>3</v>
      </c>
      <c r="AL91" s="37">
        <f>IF(最佳化斷筋點!M91="","",最佳化斷筋點!M91)</f>
        <v>3</v>
      </c>
      <c r="AM91" s="37">
        <f>IF(最佳化斷筋點!N91="","",最佳化斷筋點!N91)</f>
        <v>2</v>
      </c>
      <c r="AN91" s="37">
        <f>IF(最佳化斷筋點!O91="","",最佳化斷筋點!O91)</f>
        <v>2</v>
      </c>
      <c r="AO91" s="37">
        <f>IF(最佳化斷筋點!P91="","",最佳化斷筋點!P91)</f>
        <v>3</v>
      </c>
      <c r="AP91" s="37">
        <f>IF(最佳化斷筋點!Q91="","",最佳化斷筋點!Q91)</f>
        <v>3</v>
      </c>
      <c r="AQ91" s="37">
        <f>IF(最佳化斷筋點!R91="","",最佳化斷筋點!R91)</f>
        <v>3</v>
      </c>
      <c r="AR91" s="37">
        <f>IF(最佳化斷筋點!S91="","",最佳化斷筋點!S91)</f>
        <v>4</v>
      </c>
      <c r="AS91" s="37">
        <f>IF(最佳化斷筋點!T91="","",最佳化斷筋點!T91)</f>
        <v>4</v>
      </c>
      <c r="AT91" s="37">
        <f>IF(最佳化斷筋點!U91="","",最佳化斷筋點!U91)</f>
        <v>4</v>
      </c>
      <c r="AU91" s="37">
        <f>IF(最佳化斷筋點!V91="","",最佳化斷筋點!V91)</f>
        <v>4</v>
      </c>
      <c r="AV91" s="37">
        <f>IF(最佳化斷筋點!W91="","",最佳化斷筋點!W91)</f>
        <v>4</v>
      </c>
      <c r="AW91" s="37">
        <f>IF(最佳化斷筋點!X91="","",最佳化斷筋點!X91)</f>
        <v>4</v>
      </c>
      <c r="AY91" s="6" t="s">
        <v>20</v>
      </c>
      <c r="AZ91" s="37">
        <v>4</v>
      </c>
      <c r="BA91" s="37">
        <v>4</v>
      </c>
      <c r="BB91" s="37">
        <v>4</v>
      </c>
      <c r="BC91" s="37">
        <v>4</v>
      </c>
      <c r="BD91" s="37">
        <v>4</v>
      </c>
      <c r="BE91" s="37">
        <v>4</v>
      </c>
      <c r="BF91" s="37">
        <v>4</v>
      </c>
      <c r="BG91" s="37">
        <v>3</v>
      </c>
      <c r="BH91" s="37">
        <v>3</v>
      </c>
      <c r="BI91" s="37">
        <v>3</v>
      </c>
      <c r="BJ91" s="37">
        <v>2</v>
      </c>
      <c r="BK91" s="37">
        <v>2</v>
      </c>
      <c r="BL91" s="37">
        <v>3</v>
      </c>
      <c r="BM91" s="37">
        <v>3</v>
      </c>
      <c r="BN91" s="37">
        <v>3</v>
      </c>
      <c r="BO91" s="37">
        <v>4</v>
      </c>
      <c r="BP91" s="37">
        <v>4</v>
      </c>
      <c r="BQ91" s="37">
        <v>4</v>
      </c>
      <c r="BR91" s="37">
        <v>4</v>
      </c>
      <c r="BS91" s="37">
        <v>4</v>
      </c>
      <c r="BT91" s="37">
        <v>4</v>
      </c>
    </row>
    <row r="92" spans="5:72" x14ac:dyDescent="0.25">
      <c r="F92" s="6">
        <f t="shared" si="22"/>
        <v>0</v>
      </c>
      <c r="G92" s="6">
        <f t="shared" si="23"/>
        <v>0</v>
      </c>
      <c r="H92" s="6">
        <f t="shared" si="24"/>
        <v>0</v>
      </c>
      <c r="I92" s="6">
        <f t="shared" si="25"/>
        <v>0</v>
      </c>
      <c r="J92" s="6">
        <f t="shared" si="26"/>
        <v>0</v>
      </c>
      <c r="K92" s="6">
        <f t="shared" si="27"/>
        <v>0</v>
      </c>
      <c r="L92" s="6">
        <f t="shared" si="28"/>
        <v>0</v>
      </c>
      <c r="M92" s="6">
        <f t="shared" si="29"/>
        <v>0</v>
      </c>
      <c r="N92" s="6">
        <f t="shared" si="30"/>
        <v>0</v>
      </c>
      <c r="O92" s="6">
        <f t="shared" si="31"/>
        <v>0</v>
      </c>
      <c r="P92" s="6">
        <f t="shared" si="32"/>
        <v>0</v>
      </c>
      <c r="Q92" s="6">
        <f t="shared" si="33"/>
        <v>0</v>
      </c>
      <c r="R92" s="6">
        <f t="shared" si="34"/>
        <v>0</v>
      </c>
      <c r="S92" s="6">
        <f t="shared" si="35"/>
        <v>0</v>
      </c>
      <c r="T92" s="6">
        <f t="shared" si="36"/>
        <v>0</v>
      </c>
      <c r="U92" s="6">
        <f t="shared" si="37"/>
        <v>0</v>
      </c>
      <c r="V92" s="6">
        <f t="shared" si="38"/>
        <v>0</v>
      </c>
      <c r="W92" s="6">
        <f t="shared" si="39"/>
        <v>0</v>
      </c>
      <c r="X92" s="6">
        <f t="shared" si="40"/>
        <v>0</v>
      </c>
      <c r="Y92" s="6">
        <f t="shared" si="41"/>
        <v>0</v>
      </c>
      <c r="Z92" s="6">
        <f t="shared" si="42"/>
        <v>0</v>
      </c>
      <c r="AB92" s="36" t="str">
        <f>IF(最佳化斷筋點!C92="","",最佳化斷筋點!C92)</f>
        <v/>
      </c>
      <c r="AC92" s="37" t="str">
        <f>IF(最佳化斷筋點!D92="","",最佳化斷筋點!D92)</f>
        <v/>
      </c>
      <c r="AD92" s="37" t="str">
        <f>IF(最佳化斷筋點!E92="","",最佳化斷筋點!E92)</f>
        <v/>
      </c>
      <c r="AE92" s="37" t="str">
        <f>IF(最佳化斷筋點!F92="","",最佳化斷筋點!F92)</f>
        <v/>
      </c>
      <c r="AF92" s="37" t="str">
        <f>IF(最佳化斷筋點!G92="","",最佳化斷筋點!G92)</f>
        <v/>
      </c>
      <c r="AG92" s="37" t="str">
        <f>IF(最佳化斷筋點!H92="","",最佳化斷筋點!H92)</f>
        <v/>
      </c>
      <c r="AH92" s="37" t="str">
        <f>IF(最佳化斷筋點!I92="","",最佳化斷筋點!I92)</f>
        <v/>
      </c>
      <c r="AI92" s="37" t="str">
        <f>IF(最佳化斷筋點!J92="","",最佳化斷筋點!J92)</f>
        <v/>
      </c>
      <c r="AJ92" s="37" t="str">
        <f>IF(最佳化斷筋點!K92="","",最佳化斷筋點!K92)</f>
        <v/>
      </c>
      <c r="AK92" s="37" t="str">
        <f>IF(最佳化斷筋點!L92="","",最佳化斷筋點!L92)</f>
        <v/>
      </c>
      <c r="AL92" s="37" t="str">
        <f>IF(最佳化斷筋點!M92="","",最佳化斷筋點!M92)</f>
        <v/>
      </c>
      <c r="AM92" s="37" t="str">
        <f>IF(最佳化斷筋點!N92="","",最佳化斷筋點!N92)</f>
        <v/>
      </c>
      <c r="AN92" s="37" t="str">
        <f>IF(最佳化斷筋點!O92="","",最佳化斷筋點!O92)</f>
        <v/>
      </c>
      <c r="AO92" s="37" t="str">
        <f>IF(最佳化斷筋點!P92="","",最佳化斷筋點!P92)</f>
        <v/>
      </c>
      <c r="AP92" s="37" t="str">
        <f>IF(最佳化斷筋點!Q92="","",最佳化斷筋點!Q92)</f>
        <v/>
      </c>
      <c r="AQ92" s="37" t="str">
        <f>IF(最佳化斷筋點!R92="","",最佳化斷筋點!R92)</f>
        <v/>
      </c>
      <c r="AR92" s="37" t="str">
        <f>IF(最佳化斷筋點!S92="","",最佳化斷筋點!S92)</f>
        <v/>
      </c>
      <c r="AS92" s="37" t="str">
        <f>IF(最佳化斷筋點!T92="","",最佳化斷筋點!T92)</f>
        <v/>
      </c>
      <c r="AT92" s="37" t="str">
        <f>IF(最佳化斷筋點!U92="","",最佳化斷筋點!U92)</f>
        <v/>
      </c>
      <c r="AU92" s="37" t="str">
        <f>IF(最佳化斷筋點!V92="","",最佳化斷筋點!V92)</f>
        <v/>
      </c>
      <c r="AV92" s="37" t="str">
        <f>IF(最佳化斷筋點!W92="","",最佳化斷筋點!W92)</f>
        <v/>
      </c>
      <c r="AW92" s="37" t="str">
        <f>IF(最佳化斷筋點!X92="","",最佳化斷筋點!X92)</f>
        <v/>
      </c>
      <c r="AZ92" s="37" t="s">
        <v>197</v>
      </c>
      <c r="BA92" s="37" t="s">
        <v>197</v>
      </c>
      <c r="BB92" s="37" t="s">
        <v>197</v>
      </c>
      <c r="BC92" s="37" t="s">
        <v>197</v>
      </c>
      <c r="BD92" s="37" t="s">
        <v>197</v>
      </c>
      <c r="BE92" s="37" t="s">
        <v>197</v>
      </c>
      <c r="BF92" s="37" t="s">
        <v>197</v>
      </c>
      <c r="BG92" s="37" t="s">
        <v>197</v>
      </c>
      <c r="BH92" s="37" t="s">
        <v>197</v>
      </c>
      <c r="BI92" s="37" t="s">
        <v>197</v>
      </c>
      <c r="BJ92" s="37" t="s">
        <v>197</v>
      </c>
      <c r="BK92" s="37" t="s">
        <v>197</v>
      </c>
      <c r="BL92" s="37" t="s">
        <v>197</v>
      </c>
      <c r="BM92" s="37" t="s">
        <v>197</v>
      </c>
      <c r="BN92" s="37" t="s">
        <v>197</v>
      </c>
      <c r="BO92" s="37" t="s">
        <v>197</v>
      </c>
      <c r="BP92" s="37" t="s">
        <v>197</v>
      </c>
      <c r="BQ92" s="37" t="s">
        <v>197</v>
      </c>
      <c r="BR92" s="37" t="s">
        <v>197</v>
      </c>
      <c r="BS92" s="37" t="s">
        <v>197</v>
      </c>
      <c r="BT92" s="37" t="s">
        <v>197</v>
      </c>
    </row>
    <row r="93" spans="5:72" x14ac:dyDescent="0.25">
      <c r="E93" s="6" t="s">
        <v>21</v>
      </c>
      <c r="F93" s="6">
        <f t="shared" si="22"/>
        <v>0</v>
      </c>
      <c r="G93" s="6">
        <f t="shared" si="23"/>
        <v>0</v>
      </c>
      <c r="H93" s="6">
        <f t="shared" si="24"/>
        <v>0</v>
      </c>
      <c r="I93" s="6">
        <f t="shared" si="25"/>
        <v>0</v>
      </c>
      <c r="J93" s="6">
        <f t="shared" si="26"/>
        <v>0</v>
      </c>
      <c r="K93" s="6">
        <f t="shared" si="27"/>
        <v>0</v>
      </c>
      <c r="L93" s="6">
        <f t="shared" si="28"/>
        <v>0</v>
      </c>
      <c r="M93" s="6">
        <f t="shared" si="29"/>
        <v>0</v>
      </c>
      <c r="N93" s="6">
        <f t="shared" si="30"/>
        <v>0</v>
      </c>
      <c r="O93" s="6">
        <f t="shared" si="31"/>
        <v>0</v>
      </c>
      <c r="P93" s="6">
        <f t="shared" si="32"/>
        <v>0</v>
      </c>
      <c r="Q93" s="6">
        <f t="shared" si="33"/>
        <v>0</v>
      </c>
      <c r="R93" s="6">
        <f t="shared" si="34"/>
        <v>0</v>
      </c>
      <c r="S93" s="6">
        <f t="shared" si="35"/>
        <v>0</v>
      </c>
      <c r="T93" s="6">
        <f t="shared" si="36"/>
        <v>0</v>
      </c>
      <c r="U93" s="6">
        <f t="shared" si="37"/>
        <v>0</v>
      </c>
      <c r="V93" s="6">
        <f t="shared" si="38"/>
        <v>0</v>
      </c>
      <c r="W93" s="6">
        <f t="shared" si="39"/>
        <v>0</v>
      </c>
      <c r="X93" s="6">
        <f t="shared" si="40"/>
        <v>0</v>
      </c>
      <c r="Y93" s="6">
        <f t="shared" si="41"/>
        <v>0</v>
      </c>
      <c r="Z93" s="6">
        <f t="shared" si="42"/>
        <v>0</v>
      </c>
      <c r="AB93" s="36" t="str">
        <f>IF(最佳化斷筋點!C93="","",最佳化斷筋點!C93)</f>
        <v>下層</v>
      </c>
      <c r="AC93" s="37">
        <f>IF(最佳化斷筋點!D93="","",最佳化斷筋點!D93)</f>
        <v>3</v>
      </c>
      <c r="AD93" s="37">
        <f>IF(最佳化斷筋點!E93="","",最佳化斷筋點!E93)</f>
        <v>3</v>
      </c>
      <c r="AE93" s="37">
        <f>IF(最佳化斷筋點!F93="","",最佳化斷筋點!F93)</f>
        <v>3</v>
      </c>
      <c r="AF93" s="37">
        <f>IF(最佳化斷筋點!G93="","",最佳化斷筋點!G93)</f>
        <v>3</v>
      </c>
      <c r="AG93" s="37">
        <f>IF(最佳化斷筋點!H93="","",最佳化斷筋點!H93)</f>
        <v>3</v>
      </c>
      <c r="AH93" s="37">
        <f>IF(最佳化斷筋點!I93="","",最佳化斷筋點!I93)</f>
        <v>3</v>
      </c>
      <c r="AI93" s="37">
        <f>IF(最佳化斷筋點!J93="","",最佳化斷筋點!J93)</f>
        <v>3</v>
      </c>
      <c r="AJ93" s="37">
        <f>IF(最佳化斷筋點!K93="","",最佳化斷筋點!K93)</f>
        <v>3</v>
      </c>
      <c r="AK93" s="37">
        <f>IF(最佳化斷筋點!L93="","",最佳化斷筋點!L93)</f>
        <v>3</v>
      </c>
      <c r="AL93" s="37">
        <f>IF(最佳化斷筋點!M93="","",最佳化斷筋點!M93)</f>
        <v>3</v>
      </c>
      <c r="AM93" s="37">
        <f>IF(最佳化斷筋點!N93="","",最佳化斷筋點!N93)</f>
        <v>3</v>
      </c>
      <c r="AN93" s="37">
        <f>IF(最佳化斷筋點!O93="","",最佳化斷筋點!O93)</f>
        <v>3</v>
      </c>
      <c r="AO93" s="37">
        <f>IF(最佳化斷筋點!P93="","",最佳化斷筋點!P93)</f>
        <v>3</v>
      </c>
      <c r="AP93" s="37">
        <f>IF(最佳化斷筋點!Q93="","",最佳化斷筋點!Q93)</f>
        <v>3</v>
      </c>
      <c r="AQ93" s="37">
        <f>IF(最佳化斷筋點!R93="","",最佳化斷筋點!R93)</f>
        <v>3</v>
      </c>
      <c r="AR93" s="37">
        <f>IF(最佳化斷筋點!S93="","",最佳化斷筋點!S93)</f>
        <v>3</v>
      </c>
      <c r="AS93" s="37">
        <f>IF(最佳化斷筋點!T93="","",最佳化斷筋點!T93)</f>
        <v>4</v>
      </c>
      <c r="AT93" s="37">
        <f>IF(最佳化斷筋點!U93="","",最佳化斷筋點!U93)</f>
        <v>4</v>
      </c>
      <c r="AU93" s="37">
        <f>IF(最佳化斷筋點!V93="","",最佳化斷筋點!V93)</f>
        <v>4</v>
      </c>
      <c r="AV93" s="37">
        <f>IF(最佳化斷筋點!W93="","",最佳化斷筋點!W93)</f>
        <v>4</v>
      </c>
      <c r="AW93" s="37">
        <f>IF(最佳化斷筋點!X93="","",最佳化斷筋點!X93)</f>
        <v>4</v>
      </c>
      <c r="AY93" s="6" t="s">
        <v>21</v>
      </c>
      <c r="AZ93" s="37">
        <v>3</v>
      </c>
      <c r="BA93" s="37">
        <v>3</v>
      </c>
      <c r="BB93" s="37">
        <v>3</v>
      </c>
      <c r="BC93" s="37">
        <v>3</v>
      </c>
      <c r="BD93" s="37">
        <v>3</v>
      </c>
      <c r="BE93" s="37">
        <v>3</v>
      </c>
      <c r="BF93" s="37">
        <v>3</v>
      </c>
      <c r="BG93" s="37">
        <v>3</v>
      </c>
      <c r="BH93" s="37">
        <v>3</v>
      </c>
      <c r="BI93" s="37">
        <v>3</v>
      </c>
      <c r="BJ93" s="37">
        <v>3</v>
      </c>
      <c r="BK93" s="37">
        <v>3</v>
      </c>
      <c r="BL93" s="37">
        <v>3</v>
      </c>
      <c r="BM93" s="37">
        <v>3</v>
      </c>
      <c r="BN93" s="37">
        <v>3</v>
      </c>
      <c r="BO93" s="37">
        <v>3</v>
      </c>
      <c r="BP93" s="37">
        <v>4</v>
      </c>
      <c r="BQ93" s="37">
        <v>4</v>
      </c>
      <c r="BR93" s="37">
        <v>4</v>
      </c>
      <c r="BS93" s="37">
        <v>4</v>
      </c>
      <c r="BT93" s="37">
        <v>4</v>
      </c>
    </row>
    <row r="94" spans="5:72" x14ac:dyDescent="0.25">
      <c r="F94" s="6">
        <f t="shared" si="22"/>
        <v>0</v>
      </c>
      <c r="G94" s="6">
        <f t="shared" si="23"/>
        <v>0</v>
      </c>
      <c r="H94" s="6">
        <f t="shared" si="24"/>
        <v>0</v>
      </c>
      <c r="I94" s="6">
        <f t="shared" si="25"/>
        <v>0</v>
      </c>
      <c r="J94" s="6">
        <f t="shared" si="26"/>
        <v>0</v>
      </c>
      <c r="K94" s="6">
        <f t="shared" si="27"/>
        <v>0</v>
      </c>
      <c r="L94" s="6">
        <f t="shared" si="28"/>
        <v>0</v>
      </c>
      <c r="M94" s="6">
        <f t="shared" si="29"/>
        <v>0</v>
      </c>
      <c r="N94" s="6">
        <f t="shared" si="30"/>
        <v>0</v>
      </c>
      <c r="O94" s="6">
        <f t="shared" si="31"/>
        <v>0</v>
      </c>
      <c r="P94" s="6">
        <f t="shared" si="32"/>
        <v>0</v>
      </c>
      <c r="Q94" s="6">
        <f t="shared" si="33"/>
        <v>0</v>
      </c>
      <c r="R94" s="6">
        <f t="shared" si="34"/>
        <v>0</v>
      </c>
      <c r="S94" s="6">
        <f t="shared" si="35"/>
        <v>0</v>
      </c>
      <c r="T94" s="6">
        <f t="shared" si="36"/>
        <v>0</v>
      </c>
      <c r="U94" s="6">
        <f t="shared" si="37"/>
        <v>0</v>
      </c>
      <c r="V94" s="6">
        <f t="shared" si="38"/>
        <v>0</v>
      </c>
      <c r="W94" s="6">
        <f t="shared" si="39"/>
        <v>0</v>
      </c>
      <c r="X94" s="6">
        <f t="shared" si="40"/>
        <v>0</v>
      </c>
      <c r="Y94" s="6">
        <f t="shared" si="41"/>
        <v>0</v>
      </c>
      <c r="Z94" s="6">
        <f t="shared" si="42"/>
        <v>0</v>
      </c>
      <c r="AB94" s="36" t="str">
        <f>IF(最佳化斷筋點!C94="","",最佳化斷筋點!C94)</f>
        <v/>
      </c>
      <c r="AC94" s="37" t="str">
        <f>IF(最佳化斷筋點!D94="","",最佳化斷筋點!D94)</f>
        <v/>
      </c>
      <c r="AD94" s="37" t="str">
        <f>IF(最佳化斷筋點!E94="","",最佳化斷筋點!E94)</f>
        <v/>
      </c>
      <c r="AE94" s="37" t="str">
        <f>IF(最佳化斷筋點!F94="","",最佳化斷筋點!F94)</f>
        <v/>
      </c>
      <c r="AF94" s="37" t="str">
        <f>IF(最佳化斷筋點!G94="","",最佳化斷筋點!G94)</f>
        <v/>
      </c>
      <c r="AG94" s="37" t="str">
        <f>IF(最佳化斷筋點!H94="","",最佳化斷筋點!H94)</f>
        <v/>
      </c>
      <c r="AH94" s="37" t="str">
        <f>IF(最佳化斷筋點!I94="","",最佳化斷筋點!I94)</f>
        <v/>
      </c>
      <c r="AI94" s="37" t="str">
        <f>IF(最佳化斷筋點!J94="","",最佳化斷筋點!J94)</f>
        <v/>
      </c>
      <c r="AJ94" s="37" t="str">
        <f>IF(最佳化斷筋點!K94="","",最佳化斷筋點!K94)</f>
        <v/>
      </c>
      <c r="AK94" s="37" t="str">
        <f>IF(最佳化斷筋點!L94="","",最佳化斷筋點!L94)</f>
        <v/>
      </c>
      <c r="AL94" s="37" t="str">
        <f>IF(最佳化斷筋點!M94="","",最佳化斷筋點!M94)</f>
        <v/>
      </c>
      <c r="AM94" s="37" t="str">
        <f>IF(最佳化斷筋點!N94="","",最佳化斷筋點!N94)</f>
        <v/>
      </c>
      <c r="AN94" s="37" t="str">
        <f>IF(最佳化斷筋點!O94="","",最佳化斷筋點!O94)</f>
        <v/>
      </c>
      <c r="AO94" s="37" t="str">
        <f>IF(最佳化斷筋點!P94="","",最佳化斷筋點!P94)</f>
        <v/>
      </c>
      <c r="AP94" s="37" t="str">
        <f>IF(最佳化斷筋點!Q94="","",最佳化斷筋點!Q94)</f>
        <v/>
      </c>
      <c r="AQ94" s="37" t="str">
        <f>IF(最佳化斷筋點!R94="","",最佳化斷筋點!R94)</f>
        <v/>
      </c>
      <c r="AR94" s="37" t="str">
        <f>IF(最佳化斷筋點!S94="","",最佳化斷筋點!S94)</f>
        <v/>
      </c>
      <c r="AS94" s="37" t="str">
        <f>IF(最佳化斷筋點!T94="","",最佳化斷筋點!T94)</f>
        <v/>
      </c>
      <c r="AT94" s="37" t="str">
        <f>IF(最佳化斷筋點!U94="","",最佳化斷筋點!U94)</f>
        <v/>
      </c>
      <c r="AU94" s="37" t="str">
        <f>IF(最佳化斷筋點!V94="","",最佳化斷筋點!V94)</f>
        <v/>
      </c>
      <c r="AV94" s="37" t="str">
        <f>IF(最佳化斷筋點!W94="","",最佳化斷筋點!W94)</f>
        <v/>
      </c>
      <c r="AW94" s="37" t="str">
        <f>IF(最佳化斷筋點!X94="","",最佳化斷筋點!X94)</f>
        <v/>
      </c>
      <c r="AZ94" s="37" t="s">
        <v>197</v>
      </c>
      <c r="BA94" s="37" t="s">
        <v>197</v>
      </c>
      <c r="BB94" s="37" t="s">
        <v>197</v>
      </c>
      <c r="BC94" s="37" t="s">
        <v>197</v>
      </c>
      <c r="BD94" s="37" t="s">
        <v>197</v>
      </c>
      <c r="BE94" s="37" t="s">
        <v>197</v>
      </c>
      <c r="BF94" s="37" t="s">
        <v>197</v>
      </c>
      <c r="BG94" s="37" t="s">
        <v>197</v>
      </c>
      <c r="BH94" s="37" t="s">
        <v>197</v>
      </c>
      <c r="BI94" s="37" t="s">
        <v>197</v>
      </c>
      <c r="BJ94" s="37" t="s">
        <v>197</v>
      </c>
      <c r="BK94" s="37" t="s">
        <v>197</v>
      </c>
      <c r="BL94" s="37" t="s">
        <v>197</v>
      </c>
      <c r="BM94" s="37" t="s">
        <v>197</v>
      </c>
      <c r="BN94" s="37" t="s">
        <v>197</v>
      </c>
      <c r="BO94" s="37" t="s">
        <v>197</v>
      </c>
      <c r="BP94" s="37" t="s">
        <v>197</v>
      </c>
      <c r="BQ94" s="37" t="s">
        <v>197</v>
      </c>
      <c r="BR94" s="37" t="s">
        <v>197</v>
      </c>
      <c r="BS94" s="37" t="s">
        <v>197</v>
      </c>
      <c r="BT94" s="37" t="s">
        <v>197</v>
      </c>
    </row>
    <row r="95" spans="5:72" x14ac:dyDescent="0.25">
      <c r="E95" s="6" t="s">
        <v>20</v>
      </c>
      <c r="F95" s="6">
        <f t="shared" si="22"/>
        <v>0</v>
      </c>
      <c r="G95" s="6">
        <f t="shared" si="23"/>
        <v>0</v>
      </c>
      <c r="H95" s="6">
        <f t="shared" si="24"/>
        <v>0</v>
      </c>
      <c r="I95" s="6">
        <f t="shared" si="25"/>
        <v>0</v>
      </c>
      <c r="J95" s="6">
        <f t="shared" si="26"/>
        <v>0</v>
      </c>
      <c r="K95" s="6">
        <f t="shared" si="27"/>
        <v>0</v>
      </c>
      <c r="L95" s="6">
        <f t="shared" si="28"/>
        <v>0</v>
      </c>
      <c r="M95" s="6">
        <f t="shared" si="29"/>
        <v>0</v>
      </c>
      <c r="N95" s="6">
        <f t="shared" si="30"/>
        <v>0</v>
      </c>
      <c r="O95" s="6">
        <f t="shared" si="31"/>
        <v>0</v>
      </c>
      <c r="P95" s="6">
        <f t="shared" si="32"/>
        <v>0</v>
      </c>
      <c r="Q95" s="6">
        <f t="shared" si="33"/>
        <v>0</v>
      </c>
      <c r="R95" s="6">
        <f t="shared" si="34"/>
        <v>0</v>
      </c>
      <c r="S95" s="6">
        <f t="shared" si="35"/>
        <v>0</v>
      </c>
      <c r="T95" s="6">
        <f t="shared" si="36"/>
        <v>0</v>
      </c>
      <c r="U95" s="6">
        <f t="shared" si="37"/>
        <v>0</v>
      </c>
      <c r="V95" s="6">
        <f t="shared" si="38"/>
        <v>0</v>
      </c>
      <c r="W95" s="6">
        <f t="shared" si="39"/>
        <v>0</v>
      </c>
      <c r="X95" s="6">
        <f t="shared" si="40"/>
        <v>0</v>
      </c>
      <c r="Y95" s="6">
        <f t="shared" si="41"/>
        <v>0</v>
      </c>
      <c r="Z95" s="6">
        <f t="shared" si="42"/>
        <v>0</v>
      </c>
      <c r="AB95" s="36" t="str">
        <f>IF(最佳化斷筋點!C95="","",最佳化斷筋點!C95)</f>
        <v>上層</v>
      </c>
      <c r="AC95" s="37">
        <f>IF(最佳化斷筋點!D95="","",最佳化斷筋點!D95)</f>
        <v>4</v>
      </c>
      <c r="AD95" s="37">
        <f>IF(最佳化斷筋點!E95="","",最佳化斷筋點!E95)</f>
        <v>4</v>
      </c>
      <c r="AE95" s="37">
        <f>IF(最佳化斷筋點!F95="","",最佳化斷筋點!F95)</f>
        <v>4</v>
      </c>
      <c r="AF95" s="37">
        <f>IF(最佳化斷筋點!G95="","",最佳化斷筋點!G95)</f>
        <v>4</v>
      </c>
      <c r="AG95" s="37">
        <f>IF(最佳化斷筋點!H95="","",最佳化斷筋點!H95)</f>
        <v>4</v>
      </c>
      <c r="AH95" s="37">
        <f>IF(最佳化斷筋點!I95="","",最佳化斷筋點!I95)</f>
        <v>4</v>
      </c>
      <c r="AI95" s="37">
        <f>IF(最佳化斷筋點!J95="","",最佳化斷筋點!J95)</f>
        <v>3</v>
      </c>
      <c r="AJ95" s="37">
        <f>IF(最佳化斷筋點!K95="","",最佳化斷筋點!K95)</f>
        <v>3</v>
      </c>
      <c r="AK95" s="37">
        <f>IF(最佳化斷筋點!L95="","",最佳化斷筋點!L95)</f>
        <v>3</v>
      </c>
      <c r="AL95" s="37">
        <f>IF(最佳化斷筋點!M95="","",最佳化斷筋點!M95)</f>
        <v>2</v>
      </c>
      <c r="AM95" s="37">
        <f>IF(最佳化斷筋點!N95="","",最佳化斷筋點!N95)</f>
        <v>2</v>
      </c>
      <c r="AN95" s="37">
        <f>IF(最佳化斷筋點!O95="","",最佳化斷筋點!O95)</f>
        <v>3</v>
      </c>
      <c r="AO95" s="37">
        <f>IF(最佳化斷筋點!P95="","",最佳化斷筋點!P95)</f>
        <v>3</v>
      </c>
      <c r="AP95" s="37">
        <f>IF(最佳化斷筋點!Q95="","",最佳化斷筋點!Q95)</f>
        <v>4</v>
      </c>
      <c r="AQ95" s="37">
        <f>IF(最佳化斷筋點!R95="","",最佳化斷筋點!R95)</f>
        <v>4</v>
      </c>
      <c r="AR95" s="37">
        <f>IF(最佳化斷筋點!S95="","",最佳化斷筋點!S95)</f>
        <v>5</v>
      </c>
      <c r="AS95" s="37">
        <f>IF(最佳化斷筋點!T95="","",最佳化斷筋點!T95)</f>
        <v>5</v>
      </c>
      <c r="AT95" s="37">
        <f>IF(最佳化斷筋點!U95="","",最佳化斷筋點!U95)</f>
        <v>6</v>
      </c>
      <c r="AU95" s="37">
        <f>IF(最佳化斷筋點!V95="","",最佳化斷筋點!V95)</f>
        <v>6</v>
      </c>
      <c r="AV95" s="37">
        <f>IF(最佳化斷筋點!W95="","",最佳化斷筋點!W95)</f>
        <v>6</v>
      </c>
      <c r="AW95" s="37">
        <f>IF(最佳化斷筋點!X95="","",最佳化斷筋點!X95)</f>
        <v>6</v>
      </c>
      <c r="AY95" s="6" t="s">
        <v>20</v>
      </c>
      <c r="AZ95" s="37">
        <v>4</v>
      </c>
      <c r="BA95" s="37">
        <v>4</v>
      </c>
      <c r="BB95" s="37">
        <v>4</v>
      </c>
      <c r="BC95" s="37">
        <v>4</v>
      </c>
      <c r="BD95" s="37">
        <v>4</v>
      </c>
      <c r="BE95" s="37">
        <v>4</v>
      </c>
      <c r="BF95" s="37">
        <v>3</v>
      </c>
      <c r="BG95" s="37">
        <v>3</v>
      </c>
      <c r="BH95" s="37">
        <v>3</v>
      </c>
      <c r="BI95" s="37">
        <v>2</v>
      </c>
      <c r="BJ95" s="37">
        <v>2</v>
      </c>
      <c r="BK95" s="37">
        <v>3</v>
      </c>
      <c r="BL95" s="37">
        <v>3</v>
      </c>
      <c r="BM95" s="37">
        <v>4</v>
      </c>
      <c r="BN95" s="37">
        <v>4</v>
      </c>
      <c r="BO95" s="37">
        <v>5</v>
      </c>
      <c r="BP95" s="37">
        <v>5</v>
      </c>
      <c r="BQ95" s="37">
        <v>6</v>
      </c>
      <c r="BR95" s="37">
        <v>6</v>
      </c>
      <c r="BS95" s="37">
        <v>6</v>
      </c>
      <c r="BT95" s="37">
        <v>6</v>
      </c>
    </row>
    <row r="96" spans="5:72" x14ac:dyDescent="0.25">
      <c r="F96" s="6">
        <f t="shared" si="22"/>
        <v>0</v>
      </c>
      <c r="G96" s="6">
        <f t="shared" si="23"/>
        <v>0</v>
      </c>
      <c r="H96" s="6">
        <f t="shared" si="24"/>
        <v>0</v>
      </c>
      <c r="I96" s="6">
        <f t="shared" si="25"/>
        <v>0</v>
      </c>
      <c r="J96" s="6">
        <f t="shared" si="26"/>
        <v>0</v>
      </c>
      <c r="K96" s="6">
        <f t="shared" si="27"/>
        <v>0</v>
      </c>
      <c r="L96" s="6">
        <f t="shared" si="28"/>
        <v>0</v>
      </c>
      <c r="M96" s="6">
        <f t="shared" si="29"/>
        <v>0</v>
      </c>
      <c r="N96" s="6">
        <f t="shared" si="30"/>
        <v>0</v>
      </c>
      <c r="O96" s="6">
        <f t="shared" si="31"/>
        <v>0</v>
      </c>
      <c r="P96" s="6">
        <f t="shared" si="32"/>
        <v>0</v>
      </c>
      <c r="Q96" s="6">
        <f t="shared" si="33"/>
        <v>0</v>
      </c>
      <c r="R96" s="6">
        <f t="shared" si="34"/>
        <v>0</v>
      </c>
      <c r="S96" s="6">
        <f t="shared" si="35"/>
        <v>0</v>
      </c>
      <c r="T96" s="6">
        <f t="shared" si="36"/>
        <v>0</v>
      </c>
      <c r="U96" s="6">
        <f t="shared" si="37"/>
        <v>0</v>
      </c>
      <c r="V96" s="6">
        <f t="shared" si="38"/>
        <v>0</v>
      </c>
      <c r="W96" s="6">
        <f t="shared" si="39"/>
        <v>0</v>
      </c>
      <c r="X96" s="6">
        <f t="shared" si="40"/>
        <v>0</v>
      </c>
      <c r="Y96" s="6">
        <f t="shared" si="41"/>
        <v>0</v>
      </c>
      <c r="Z96" s="6">
        <f t="shared" si="42"/>
        <v>0</v>
      </c>
      <c r="AB96" s="36" t="str">
        <f>IF(最佳化斷筋點!C96="","",最佳化斷筋點!C96)</f>
        <v/>
      </c>
      <c r="AC96" s="37" t="str">
        <f>IF(最佳化斷筋點!D96="","",最佳化斷筋點!D96)</f>
        <v/>
      </c>
      <c r="AD96" s="37" t="str">
        <f>IF(最佳化斷筋點!E96="","",最佳化斷筋點!E96)</f>
        <v/>
      </c>
      <c r="AE96" s="37" t="str">
        <f>IF(最佳化斷筋點!F96="","",最佳化斷筋點!F96)</f>
        <v/>
      </c>
      <c r="AF96" s="37" t="str">
        <f>IF(最佳化斷筋點!G96="","",最佳化斷筋點!G96)</f>
        <v/>
      </c>
      <c r="AG96" s="37" t="str">
        <f>IF(最佳化斷筋點!H96="","",最佳化斷筋點!H96)</f>
        <v/>
      </c>
      <c r="AH96" s="37" t="str">
        <f>IF(最佳化斷筋點!I96="","",最佳化斷筋點!I96)</f>
        <v/>
      </c>
      <c r="AI96" s="37" t="str">
        <f>IF(最佳化斷筋點!J96="","",最佳化斷筋點!J96)</f>
        <v/>
      </c>
      <c r="AJ96" s="37" t="str">
        <f>IF(最佳化斷筋點!K96="","",最佳化斷筋點!K96)</f>
        <v/>
      </c>
      <c r="AK96" s="37" t="str">
        <f>IF(最佳化斷筋點!L96="","",最佳化斷筋點!L96)</f>
        <v/>
      </c>
      <c r="AL96" s="37" t="str">
        <f>IF(最佳化斷筋點!M96="","",最佳化斷筋點!M96)</f>
        <v/>
      </c>
      <c r="AM96" s="37" t="str">
        <f>IF(最佳化斷筋點!N96="","",最佳化斷筋點!N96)</f>
        <v/>
      </c>
      <c r="AN96" s="37" t="str">
        <f>IF(最佳化斷筋點!O96="","",最佳化斷筋點!O96)</f>
        <v/>
      </c>
      <c r="AO96" s="37" t="str">
        <f>IF(最佳化斷筋點!P96="","",最佳化斷筋點!P96)</f>
        <v/>
      </c>
      <c r="AP96" s="37" t="str">
        <f>IF(最佳化斷筋點!Q96="","",最佳化斷筋點!Q96)</f>
        <v/>
      </c>
      <c r="AQ96" s="37" t="str">
        <f>IF(最佳化斷筋點!R96="","",最佳化斷筋點!R96)</f>
        <v/>
      </c>
      <c r="AR96" s="37" t="str">
        <f>IF(最佳化斷筋點!S96="","",最佳化斷筋點!S96)</f>
        <v/>
      </c>
      <c r="AS96" s="37" t="str">
        <f>IF(最佳化斷筋點!T96="","",最佳化斷筋點!T96)</f>
        <v/>
      </c>
      <c r="AT96" s="37" t="str">
        <f>IF(最佳化斷筋點!U96="","",最佳化斷筋點!U96)</f>
        <v/>
      </c>
      <c r="AU96" s="37" t="str">
        <f>IF(最佳化斷筋點!V96="","",最佳化斷筋點!V96)</f>
        <v/>
      </c>
      <c r="AV96" s="37" t="str">
        <f>IF(最佳化斷筋點!W96="","",最佳化斷筋點!W96)</f>
        <v/>
      </c>
      <c r="AW96" s="37" t="str">
        <f>IF(最佳化斷筋點!X96="","",最佳化斷筋點!X96)</f>
        <v/>
      </c>
      <c r="AZ96" s="37" t="s">
        <v>197</v>
      </c>
      <c r="BA96" s="37" t="s">
        <v>197</v>
      </c>
      <c r="BB96" s="37" t="s">
        <v>197</v>
      </c>
      <c r="BC96" s="37" t="s">
        <v>197</v>
      </c>
      <c r="BD96" s="37" t="s">
        <v>197</v>
      </c>
      <c r="BE96" s="37" t="s">
        <v>197</v>
      </c>
      <c r="BF96" s="37" t="s">
        <v>197</v>
      </c>
      <c r="BG96" s="37" t="s">
        <v>197</v>
      </c>
      <c r="BH96" s="37" t="s">
        <v>197</v>
      </c>
      <c r="BI96" s="37" t="s">
        <v>197</v>
      </c>
      <c r="BJ96" s="37" t="s">
        <v>197</v>
      </c>
      <c r="BK96" s="37" t="s">
        <v>197</v>
      </c>
      <c r="BL96" s="37" t="s">
        <v>197</v>
      </c>
      <c r="BM96" s="37" t="s">
        <v>197</v>
      </c>
      <c r="BN96" s="37" t="s">
        <v>197</v>
      </c>
      <c r="BO96" s="37" t="s">
        <v>197</v>
      </c>
      <c r="BP96" s="37" t="s">
        <v>197</v>
      </c>
      <c r="BQ96" s="37" t="s">
        <v>197</v>
      </c>
      <c r="BR96" s="37" t="s">
        <v>197</v>
      </c>
      <c r="BS96" s="37" t="s">
        <v>197</v>
      </c>
      <c r="BT96" s="37" t="s">
        <v>197</v>
      </c>
    </row>
    <row r="97" spans="5:72" x14ac:dyDescent="0.25">
      <c r="E97" s="6" t="s">
        <v>21</v>
      </c>
      <c r="F97" s="6">
        <f t="shared" si="22"/>
        <v>0</v>
      </c>
      <c r="G97" s="6">
        <f t="shared" si="23"/>
        <v>0</v>
      </c>
      <c r="H97" s="6">
        <f t="shared" si="24"/>
        <v>0</v>
      </c>
      <c r="I97" s="6">
        <f t="shared" si="25"/>
        <v>0</v>
      </c>
      <c r="J97" s="6">
        <f t="shared" si="26"/>
        <v>0</v>
      </c>
      <c r="K97" s="6">
        <f t="shared" si="27"/>
        <v>0</v>
      </c>
      <c r="L97" s="6">
        <f t="shared" si="28"/>
        <v>0</v>
      </c>
      <c r="M97" s="6">
        <f t="shared" si="29"/>
        <v>0</v>
      </c>
      <c r="N97" s="6">
        <f t="shared" si="30"/>
        <v>0</v>
      </c>
      <c r="O97" s="6">
        <f t="shared" si="31"/>
        <v>0</v>
      </c>
      <c r="P97" s="6">
        <f t="shared" si="32"/>
        <v>0</v>
      </c>
      <c r="Q97" s="6">
        <f t="shared" si="33"/>
        <v>0</v>
      </c>
      <c r="R97" s="6">
        <f t="shared" si="34"/>
        <v>0</v>
      </c>
      <c r="S97" s="6">
        <f t="shared" si="35"/>
        <v>0</v>
      </c>
      <c r="T97" s="6">
        <f t="shared" si="36"/>
        <v>0</v>
      </c>
      <c r="U97" s="6">
        <f t="shared" si="37"/>
        <v>0</v>
      </c>
      <c r="V97" s="6">
        <f t="shared" si="38"/>
        <v>0</v>
      </c>
      <c r="W97" s="6">
        <f t="shared" si="39"/>
        <v>0</v>
      </c>
      <c r="X97" s="6">
        <f t="shared" si="40"/>
        <v>0</v>
      </c>
      <c r="Y97" s="6">
        <f t="shared" si="41"/>
        <v>0</v>
      </c>
      <c r="Z97" s="6">
        <f t="shared" si="42"/>
        <v>0</v>
      </c>
      <c r="AB97" s="36" t="str">
        <f>IF(最佳化斷筋點!C97="","",最佳化斷筋點!C97)</f>
        <v>下層</v>
      </c>
      <c r="AC97" s="37">
        <f>IF(最佳化斷筋點!D97="","",最佳化斷筋點!D97)</f>
        <v>4</v>
      </c>
      <c r="AD97" s="37">
        <f>IF(最佳化斷筋點!E97="","",最佳化斷筋點!E97)</f>
        <v>4</v>
      </c>
      <c r="AE97" s="37">
        <f>IF(最佳化斷筋點!F97="","",最佳化斷筋點!F97)</f>
        <v>4</v>
      </c>
      <c r="AF97" s="37">
        <f>IF(最佳化斷筋點!G97="","",最佳化斷筋點!G97)</f>
        <v>4</v>
      </c>
      <c r="AG97" s="37">
        <f>IF(最佳化斷筋點!H97="","",最佳化斷筋點!H97)</f>
        <v>4</v>
      </c>
      <c r="AH97" s="37">
        <f>IF(最佳化斷筋點!I97="","",最佳化斷筋點!I97)</f>
        <v>3</v>
      </c>
      <c r="AI97" s="37">
        <f>IF(最佳化斷筋點!J97="","",最佳化斷筋點!J97)</f>
        <v>3</v>
      </c>
      <c r="AJ97" s="37">
        <f>IF(最佳化斷筋點!K97="","",最佳化斷筋點!K97)</f>
        <v>3</v>
      </c>
      <c r="AK97" s="37">
        <f>IF(最佳化斷筋點!L97="","",最佳化斷筋點!L97)</f>
        <v>3</v>
      </c>
      <c r="AL97" s="37">
        <f>IF(最佳化斷筋點!M97="","",最佳化斷筋點!M97)</f>
        <v>3</v>
      </c>
      <c r="AM97" s="37">
        <f>IF(最佳化斷筋點!N97="","",最佳化斷筋點!N97)</f>
        <v>3</v>
      </c>
      <c r="AN97" s="37">
        <f>IF(最佳化斷筋點!O97="","",最佳化斷筋點!O97)</f>
        <v>3</v>
      </c>
      <c r="AO97" s="37">
        <f>IF(最佳化斷筋點!P97="","",最佳化斷筋點!P97)</f>
        <v>3</v>
      </c>
      <c r="AP97" s="37">
        <f>IF(最佳化斷筋點!Q97="","",最佳化斷筋點!Q97)</f>
        <v>3</v>
      </c>
      <c r="AQ97" s="37">
        <f>IF(最佳化斷筋點!R97="","",最佳化斷筋點!R97)</f>
        <v>3</v>
      </c>
      <c r="AR97" s="37">
        <f>IF(最佳化斷筋點!S97="","",最佳化斷筋點!S97)</f>
        <v>3</v>
      </c>
      <c r="AS97" s="37">
        <f>IF(最佳化斷筋點!T97="","",最佳化斷筋點!T97)</f>
        <v>3</v>
      </c>
      <c r="AT97" s="37">
        <f>IF(最佳化斷筋點!U97="","",最佳化斷筋點!U97)</f>
        <v>3</v>
      </c>
      <c r="AU97" s="37">
        <f>IF(最佳化斷筋點!V97="","",最佳化斷筋點!V97)</f>
        <v>3</v>
      </c>
      <c r="AV97" s="37">
        <f>IF(最佳化斷筋點!W97="","",最佳化斷筋點!W97)</f>
        <v>3</v>
      </c>
      <c r="AW97" s="37">
        <f>IF(最佳化斷筋點!X97="","",最佳化斷筋點!X97)</f>
        <v>3</v>
      </c>
      <c r="AY97" s="6" t="s">
        <v>21</v>
      </c>
      <c r="AZ97" s="37">
        <v>4</v>
      </c>
      <c r="BA97" s="37">
        <v>4</v>
      </c>
      <c r="BB97" s="37">
        <v>4</v>
      </c>
      <c r="BC97" s="37">
        <v>4</v>
      </c>
      <c r="BD97" s="37">
        <v>4</v>
      </c>
      <c r="BE97" s="37">
        <v>3</v>
      </c>
      <c r="BF97" s="37">
        <v>3</v>
      </c>
      <c r="BG97" s="37">
        <v>3</v>
      </c>
      <c r="BH97" s="37">
        <v>3</v>
      </c>
      <c r="BI97" s="37">
        <v>3</v>
      </c>
      <c r="BJ97" s="37">
        <v>3</v>
      </c>
      <c r="BK97" s="37">
        <v>3</v>
      </c>
      <c r="BL97" s="37">
        <v>3</v>
      </c>
      <c r="BM97" s="37">
        <v>3</v>
      </c>
      <c r="BN97" s="37">
        <v>3</v>
      </c>
      <c r="BO97" s="37">
        <v>3</v>
      </c>
      <c r="BP97" s="37">
        <v>3</v>
      </c>
      <c r="BQ97" s="37">
        <v>3</v>
      </c>
      <c r="BR97" s="37">
        <v>3</v>
      </c>
      <c r="BS97" s="37">
        <v>3</v>
      </c>
      <c r="BT97" s="37">
        <v>3</v>
      </c>
    </row>
    <row r="98" spans="5:72" x14ac:dyDescent="0.25">
      <c r="F98" s="6">
        <f t="shared" si="22"/>
        <v>0</v>
      </c>
      <c r="G98" s="6">
        <f t="shared" si="23"/>
        <v>0</v>
      </c>
      <c r="H98" s="6">
        <f t="shared" si="24"/>
        <v>0</v>
      </c>
      <c r="I98" s="6">
        <f t="shared" si="25"/>
        <v>0</v>
      </c>
      <c r="J98" s="6">
        <f t="shared" si="26"/>
        <v>0</v>
      </c>
      <c r="K98" s="6">
        <f t="shared" si="27"/>
        <v>0</v>
      </c>
      <c r="L98" s="6">
        <f t="shared" si="28"/>
        <v>0</v>
      </c>
      <c r="M98" s="6">
        <f t="shared" si="29"/>
        <v>0</v>
      </c>
      <c r="N98" s="6">
        <f t="shared" si="30"/>
        <v>0</v>
      </c>
      <c r="O98" s="6">
        <f t="shared" si="31"/>
        <v>0</v>
      </c>
      <c r="P98" s="6">
        <f t="shared" si="32"/>
        <v>0</v>
      </c>
      <c r="Q98" s="6">
        <f t="shared" si="33"/>
        <v>0</v>
      </c>
      <c r="R98" s="6">
        <f t="shared" si="34"/>
        <v>0</v>
      </c>
      <c r="S98" s="6">
        <f t="shared" si="35"/>
        <v>0</v>
      </c>
      <c r="T98" s="6">
        <f t="shared" si="36"/>
        <v>0</v>
      </c>
      <c r="U98" s="6">
        <f t="shared" si="37"/>
        <v>0</v>
      </c>
      <c r="V98" s="6">
        <f t="shared" si="38"/>
        <v>0</v>
      </c>
      <c r="W98" s="6">
        <f t="shared" si="39"/>
        <v>0</v>
      </c>
      <c r="X98" s="6">
        <f t="shared" si="40"/>
        <v>0</v>
      </c>
      <c r="Y98" s="6">
        <f t="shared" si="41"/>
        <v>0</v>
      </c>
      <c r="Z98" s="6">
        <f t="shared" si="42"/>
        <v>0</v>
      </c>
      <c r="AB98" s="36" t="str">
        <f>IF(最佳化斷筋點!C98="","",最佳化斷筋點!C98)</f>
        <v/>
      </c>
      <c r="AC98" s="37" t="str">
        <f>IF(最佳化斷筋點!D98="","",最佳化斷筋點!D98)</f>
        <v/>
      </c>
      <c r="AD98" s="37" t="str">
        <f>IF(最佳化斷筋點!E98="","",最佳化斷筋點!E98)</f>
        <v/>
      </c>
      <c r="AE98" s="37" t="str">
        <f>IF(最佳化斷筋點!F98="","",最佳化斷筋點!F98)</f>
        <v/>
      </c>
      <c r="AF98" s="37" t="str">
        <f>IF(最佳化斷筋點!G98="","",最佳化斷筋點!G98)</f>
        <v/>
      </c>
      <c r="AG98" s="37" t="str">
        <f>IF(最佳化斷筋點!H98="","",最佳化斷筋點!H98)</f>
        <v/>
      </c>
      <c r="AH98" s="37" t="str">
        <f>IF(最佳化斷筋點!I98="","",最佳化斷筋點!I98)</f>
        <v/>
      </c>
      <c r="AI98" s="37" t="str">
        <f>IF(最佳化斷筋點!J98="","",最佳化斷筋點!J98)</f>
        <v/>
      </c>
      <c r="AJ98" s="37" t="str">
        <f>IF(最佳化斷筋點!K98="","",最佳化斷筋點!K98)</f>
        <v/>
      </c>
      <c r="AK98" s="37" t="str">
        <f>IF(最佳化斷筋點!L98="","",最佳化斷筋點!L98)</f>
        <v/>
      </c>
      <c r="AL98" s="37" t="str">
        <f>IF(最佳化斷筋點!M98="","",最佳化斷筋點!M98)</f>
        <v/>
      </c>
      <c r="AM98" s="37" t="str">
        <f>IF(最佳化斷筋點!N98="","",最佳化斷筋點!N98)</f>
        <v/>
      </c>
      <c r="AN98" s="37" t="str">
        <f>IF(最佳化斷筋點!O98="","",最佳化斷筋點!O98)</f>
        <v/>
      </c>
      <c r="AO98" s="37" t="str">
        <f>IF(最佳化斷筋點!P98="","",最佳化斷筋點!P98)</f>
        <v/>
      </c>
      <c r="AP98" s="37" t="str">
        <f>IF(最佳化斷筋點!Q98="","",最佳化斷筋點!Q98)</f>
        <v/>
      </c>
      <c r="AQ98" s="37" t="str">
        <f>IF(最佳化斷筋點!R98="","",最佳化斷筋點!R98)</f>
        <v/>
      </c>
      <c r="AR98" s="37" t="str">
        <f>IF(最佳化斷筋點!S98="","",最佳化斷筋點!S98)</f>
        <v/>
      </c>
      <c r="AS98" s="37" t="str">
        <f>IF(最佳化斷筋點!T98="","",最佳化斷筋點!T98)</f>
        <v/>
      </c>
      <c r="AT98" s="37" t="str">
        <f>IF(最佳化斷筋點!U98="","",最佳化斷筋點!U98)</f>
        <v/>
      </c>
      <c r="AU98" s="37" t="str">
        <f>IF(最佳化斷筋點!V98="","",最佳化斷筋點!V98)</f>
        <v/>
      </c>
      <c r="AV98" s="37" t="str">
        <f>IF(最佳化斷筋點!W98="","",最佳化斷筋點!W98)</f>
        <v/>
      </c>
      <c r="AW98" s="37" t="str">
        <f>IF(最佳化斷筋點!X98="","",最佳化斷筋點!X98)</f>
        <v/>
      </c>
      <c r="AZ98" s="37" t="s">
        <v>197</v>
      </c>
      <c r="BA98" s="37" t="s">
        <v>197</v>
      </c>
      <c r="BB98" s="37" t="s">
        <v>197</v>
      </c>
      <c r="BC98" s="37" t="s">
        <v>197</v>
      </c>
      <c r="BD98" s="37" t="s">
        <v>197</v>
      </c>
      <c r="BE98" s="37" t="s">
        <v>197</v>
      </c>
      <c r="BF98" s="37" t="s">
        <v>197</v>
      </c>
      <c r="BG98" s="37" t="s">
        <v>197</v>
      </c>
      <c r="BH98" s="37" t="s">
        <v>197</v>
      </c>
      <c r="BI98" s="37" t="s">
        <v>197</v>
      </c>
      <c r="BJ98" s="37" t="s">
        <v>197</v>
      </c>
      <c r="BK98" s="37" t="s">
        <v>197</v>
      </c>
      <c r="BL98" s="37" t="s">
        <v>197</v>
      </c>
      <c r="BM98" s="37" t="s">
        <v>197</v>
      </c>
      <c r="BN98" s="37" t="s">
        <v>197</v>
      </c>
      <c r="BO98" s="37" t="s">
        <v>197</v>
      </c>
      <c r="BP98" s="37" t="s">
        <v>197</v>
      </c>
      <c r="BQ98" s="37" t="s">
        <v>197</v>
      </c>
      <c r="BR98" s="37" t="s">
        <v>197</v>
      </c>
      <c r="BS98" s="37" t="s">
        <v>197</v>
      </c>
      <c r="BT98" s="37" t="s">
        <v>197</v>
      </c>
    </row>
    <row r="99" spans="5:72" x14ac:dyDescent="0.25">
      <c r="E99" s="6" t="s">
        <v>20</v>
      </c>
      <c r="F99" s="6">
        <f t="shared" si="22"/>
        <v>0</v>
      </c>
      <c r="G99" s="6">
        <f t="shared" si="23"/>
        <v>0</v>
      </c>
      <c r="H99" s="6">
        <f t="shared" si="24"/>
        <v>0</v>
      </c>
      <c r="I99" s="6">
        <f t="shared" si="25"/>
        <v>0</v>
      </c>
      <c r="J99" s="6">
        <f t="shared" si="26"/>
        <v>0</v>
      </c>
      <c r="K99" s="6">
        <f t="shared" si="27"/>
        <v>0</v>
      </c>
      <c r="L99" s="6">
        <f t="shared" si="28"/>
        <v>0</v>
      </c>
      <c r="M99" s="6">
        <f t="shared" si="29"/>
        <v>0</v>
      </c>
      <c r="N99" s="6">
        <f t="shared" si="30"/>
        <v>0</v>
      </c>
      <c r="O99" s="6">
        <f t="shared" si="31"/>
        <v>0</v>
      </c>
      <c r="P99" s="6">
        <f t="shared" si="32"/>
        <v>0</v>
      </c>
      <c r="Q99" s="6">
        <f t="shared" si="33"/>
        <v>0</v>
      </c>
      <c r="R99" s="6">
        <f t="shared" si="34"/>
        <v>0</v>
      </c>
      <c r="S99" s="6">
        <f t="shared" si="35"/>
        <v>0</v>
      </c>
      <c r="T99" s="6">
        <f t="shared" si="36"/>
        <v>0</v>
      </c>
      <c r="U99" s="6">
        <f t="shared" si="37"/>
        <v>0</v>
      </c>
      <c r="V99" s="6">
        <f t="shared" si="38"/>
        <v>0</v>
      </c>
      <c r="W99" s="6">
        <f t="shared" si="39"/>
        <v>0</v>
      </c>
      <c r="X99" s="6">
        <f t="shared" si="40"/>
        <v>0</v>
      </c>
      <c r="Y99" s="6">
        <f t="shared" si="41"/>
        <v>0</v>
      </c>
      <c r="Z99" s="6">
        <f t="shared" si="42"/>
        <v>0</v>
      </c>
      <c r="AB99" s="36" t="str">
        <f>IF(最佳化斷筋點!C99="","",最佳化斷筋點!C99)</f>
        <v>上層</v>
      </c>
      <c r="AC99" s="37">
        <f>IF(最佳化斷筋點!D99="","",最佳化斷筋點!D99)</f>
        <v>6</v>
      </c>
      <c r="AD99" s="37">
        <f>IF(最佳化斷筋點!E99="","",最佳化斷筋點!E99)</f>
        <v>6</v>
      </c>
      <c r="AE99" s="37">
        <f>IF(最佳化斷筋點!F99="","",最佳化斷筋點!F99)</f>
        <v>6</v>
      </c>
      <c r="AF99" s="37">
        <f>IF(最佳化斷筋點!G99="","",最佳化斷筋點!G99)</f>
        <v>6</v>
      </c>
      <c r="AG99" s="37">
        <f>IF(最佳化斷筋點!H99="","",最佳化斷筋點!H99)</f>
        <v>6</v>
      </c>
      <c r="AH99" s="37">
        <f>IF(最佳化斷筋點!I99="","",最佳化斷筋點!I99)</f>
        <v>5</v>
      </c>
      <c r="AI99" s="37">
        <f>IF(最佳化斷筋點!J99="","",最佳化斷筋點!J99)</f>
        <v>5</v>
      </c>
      <c r="AJ99" s="37">
        <f>IF(最佳化斷筋點!K99="","",最佳化斷筋點!K99)</f>
        <v>3</v>
      </c>
      <c r="AK99" s="37">
        <f>IF(最佳化斷筋點!L99="","",最佳化斷筋點!L99)</f>
        <v>3</v>
      </c>
      <c r="AL99" s="37">
        <f>IF(最佳化斷筋點!M99="","",最佳化斷筋點!M99)</f>
        <v>3</v>
      </c>
      <c r="AM99" s="37">
        <f>IF(最佳化斷筋點!N99="","",最佳化斷筋點!N99)</f>
        <v>3</v>
      </c>
      <c r="AN99" s="37">
        <f>IF(最佳化斷筋點!O99="","",最佳化斷筋點!O99)</f>
        <v>2</v>
      </c>
      <c r="AO99" s="37">
        <f>IF(最佳化斷筋點!P99="","",最佳化斷筋點!P99)</f>
        <v>2</v>
      </c>
      <c r="AP99" s="37">
        <f>IF(最佳化斷筋點!Q99="","",最佳化斷筋點!Q99)</f>
        <v>3</v>
      </c>
      <c r="AQ99" s="37">
        <f>IF(最佳化斷筋點!R99="","",最佳化斷筋點!R99)</f>
        <v>3</v>
      </c>
      <c r="AR99" s="37">
        <f>IF(最佳化斷筋點!S99="","",最佳化斷筋點!S99)</f>
        <v>3</v>
      </c>
      <c r="AS99" s="37">
        <f>IF(最佳化斷筋點!T99="","",最佳化斷筋點!T99)</f>
        <v>4</v>
      </c>
      <c r="AT99" s="37">
        <f>IF(最佳化斷筋點!U99="","",最佳化斷筋點!U99)</f>
        <v>4</v>
      </c>
      <c r="AU99" s="37">
        <f>IF(最佳化斷筋點!V99="","",最佳化斷筋點!V99)</f>
        <v>4</v>
      </c>
      <c r="AV99" s="37">
        <f>IF(最佳化斷筋點!W99="","",最佳化斷筋點!W99)</f>
        <v>4</v>
      </c>
      <c r="AW99" s="37">
        <f>IF(最佳化斷筋點!X99="","",最佳化斷筋點!X99)</f>
        <v>4</v>
      </c>
      <c r="AY99" s="6" t="s">
        <v>20</v>
      </c>
      <c r="AZ99" s="37">
        <v>6</v>
      </c>
      <c r="BA99" s="37">
        <v>6</v>
      </c>
      <c r="BB99" s="37">
        <v>6</v>
      </c>
      <c r="BC99" s="37">
        <v>6</v>
      </c>
      <c r="BD99" s="37">
        <v>6</v>
      </c>
      <c r="BE99" s="37">
        <v>5</v>
      </c>
      <c r="BF99" s="37">
        <v>5</v>
      </c>
      <c r="BG99" s="37">
        <v>3</v>
      </c>
      <c r="BH99" s="37">
        <v>3</v>
      </c>
      <c r="BI99" s="37">
        <v>3</v>
      </c>
      <c r="BJ99" s="37">
        <v>3</v>
      </c>
      <c r="BK99" s="37">
        <v>2</v>
      </c>
      <c r="BL99" s="37">
        <v>2</v>
      </c>
      <c r="BM99" s="37">
        <v>3</v>
      </c>
      <c r="BN99" s="37">
        <v>3</v>
      </c>
      <c r="BO99" s="37">
        <v>3</v>
      </c>
      <c r="BP99" s="37">
        <v>4</v>
      </c>
      <c r="BQ99" s="37">
        <v>4</v>
      </c>
      <c r="BR99" s="37">
        <v>4</v>
      </c>
      <c r="BS99" s="37">
        <v>4</v>
      </c>
      <c r="BT99" s="37">
        <v>4</v>
      </c>
    </row>
    <row r="100" spans="5:72" x14ac:dyDescent="0.25">
      <c r="F100" s="6">
        <f t="shared" si="22"/>
        <v>0</v>
      </c>
      <c r="G100" s="6">
        <f t="shared" si="23"/>
        <v>0</v>
      </c>
      <c r="H100" s="6">
        <f t="shared" si="24"/>
        <v>0</v>
      </c>
      <c r="I100" s="6">
        <f t="shared" si="25"/>
        <v>0</v>
      </c>
      <c r="J100" s="6">
        <f t="shared" si="26"/>
        <v>0</v>
      </c>
      <c r="K100" s="6">
        <f t="shared" si="27"/>
        <v>0</v>
      </c>
      <c r="L100" s="6">
        <f t="shared" si="28"/>
        <v>0</v>
      </c>
      <c r="M100" s="6">
        <f t="shared" si="29"/>
        <v>0</v>
      </c>
      <c r="N100" s="6">
        <f t="shared" si="30"/>
        <v>0</v>
      </c>
      <c r="O100" s="6">
        <f t="shared" si="31"/>
        <v>0</v>
      </c>
      <c r="P100" s="6">
        <f t="shared" si="32"/>
        <v>0</v>
      </c>
      <c r="Q100" s="6">
        <f t="shared" si="33"/>
        <v>0</v>
      </c>
      <c r="R100" s="6">
        <f t="shared" si="34"/>
        <v>0</v>
      </c>
      <c r="S100" s="6">
        <f t="shared" si="35"/>
        <v>0</v>
      </c>
      <c r="T100" s="6">
        <f t="shared" si="36"/>
        <v>0</v>
      </c>
      <c r="U100" s="6">
        <f t="shared" si="37"/>
        <v>0</v>
      </c>
      <c r="V100" s="6">
        <f t="shared" si="38"/>
        <v>0</v>
      </c>
      <c r="W100" s="6">
        <f t="shared" si="39"/>
        <v>0</v>
      </c>
      <c r="X100" s="6">
        <f t="shared" si="40"/>
        <v>0</v>
      </c>
      <c r="Y100" s="6">
        <f t="shared" si="41"/>
        <v>0</v>
      </c>
      <c r="Z100" s="6">
        <f t="shared" si="42"/>
        <v>0</v>
      </c>
      <c r="AB100" s="36" t="str">
        <f>IF(最佳化斷筋點!C100="","",最佳化斷筋點!C100)</f>
        <v/>
      </c>
      <c r="AC100" s="37" t="str">
        <f>IF(最佳化斷筋點!D100="","",最佳化斷筋點!D100)</f>
        <v/>
      </c>
      <c r="AD100" s="37" t="str">
        <f>IF(最佳化斷筋點!E100="","",最佳化斷筋點!E100)</f>
        <v/>
      </c>
      <c r="AE100" s="37" t="str">
        <f>IF(最佳化斷筋點!F100="","",最佳化斷筋點!F100)</f>
        <v/>
      </c>
      <c r="AF100" s="37" t="str">
        <f>IF(最佳化斷筋點!G100="","",最佳化斷筋點!G100)</f>
        <v/>
      </c>
      <c r="AG100" s="37" t="str">
        <f>IF(最佳化斷筋點!H100="","",最佳化斷筋點!H100)</f>
        <v/>
      </c>
      <c r="AH100" s="37" t="str">
        <f>IF(最佳化斷筋點!I100="","",最佳化斷筋點!I100)</f>
        <v/>
      </c>
      <c r="AI100" s="37" t="str">
        <f>IF(最佳化斷筋點!J100="","",最佳化斷筋點!J100)</f>
        <v/>
      </c>
      <c r="AJ100" s="37" t="str">
        <f>IF(最佳化斷筋點!K100="","",最佳化斷筋點!K100)</f>
        <v/>
      </c>
      <c r="AK100" s="37" t="str">
        <f>IF(最佳化斷筋點!L100="","",最佳化斷筋點!L100)</f>
        <v/>
      </c>
      <c r="AL100" s="37" t="str">
        <f>IF(最佳化斷筋點!M100="","",最佳化斷筋點!M100)</f>
        <v/>
      </c>
      <c r="AM100" s="37" t="str">
        <f>IF(最佳化斷筋點!N100="","",最佳化斷筋點!N100)</f>
        <v/>
      </c>
      <c r="AN100" s="37" t="str">
        <f>IF(最佳化斷筋點!O100="","",最佳化斷筋點!O100)</f>
        <v/>
      </c>
      <c r="AO100" s="37" t="str">
        <f>IF(最佳化斷筋點!P100="","",最佳化斷筋點!P100)</f>
        <v/>
      </c>
      <c r="AP100" s="37" t="str">
        <f>IF(最佳化斷筋點!Q100="","",最佳化斷筋點!Q100)</f>
        <v/>
      </c>
      <c r="AQ100" s="37" t="str">
        <f>IF(最佳化斷筋點!R100="","",最佳化斷筋點!R100)</f>
        <v/>
      </c>
      <c r="AR100" s="37" t="str">
        <f>IF(最佳化斷筋點!S100="","",最佳化斷筋點!S100)</f>
        <v/>
      </c>
      <c r="AS100" s="37" t="str">
        <f>IF(最佳化斷筋點!T100="","",最佳化斷筋點!T100)</f>
        <v/>
      </c>
      <c r="AT100" s="37" t="str">
        <f>IF(最佳化斷筋點!U100="","",最佳化斷筋點!U100)</f>
        <v/>
      </c>
      <c r="AU100" s="37" t="str">
        <f>IF(最佳化斷筋點!V100="","",最佳化斷筋點!V100)</f>
        <v/>
      </c>
      <c r="AV100" s="37" t="str">
        <f>IF(最佳化斷筋點!W100="","",最佳化斷筋點!W100)</f>
        <v/>
      </c>
      <c r="AW100" s="37" t="str">
        <f>IF(最佳化斷筋點!X100="","",最佳化斷筋點!X100)</f>
        <v/>
      </c>
      <c r="AZ100" s="37" t="s">
        <v>197</v>
      </c>
      <c r="BA100" s="37" t="s">
        <v>197</v>
      </c>
      <c r="BB100" s="37" t="s">
        <v>197</v>
      </c>
      <c r="BC100" s="37" t="s">
        <v>197</v>
      </c>
      <c r="BD100" s="37" t="s">
        <v>197</v>
      </c>
      <c r="BE100" s="37" t="s">
        <v>197</v>
      </c>
      <c r="BF100" s="37" t="s">
        <v>197</v>
      </c>
      <c r="BG100" s="37" t="s">
        <v>197</v>
      </c>
      <c r="BH100" s="37" t="s">
        <v>197</v>
      </c>
      <c r="BI100" s="37" t="s">
        <v>197</v>
      </c>
      <c r="BJ100" s="37" t="s">
        <v>197</v>
      </c>
      <c r="BK100" s="37" t="s">
        <v>197</v>
      </c>
      <c r="BL100" s="37" t="s">
        <v>197</v>
      </c>
      <c r="BM100" s="37" t="s">
        <v>197</v>
      </c>
      <c r="BN100" s="37" t="s">
        <v>197</v>
      </c>
      <c r="BO100" s="37" t="s">
        <v>197</v>
      </c>
      <c r="BP100" s="37" t="s">
        <v>197</v>
      </c>
      <c r="BQ100" s="37" t="s">
        <v>197</v>
      </c>
      <c r="BR100" s="37" t="s">
        <v>197</v>
      </c>
      <c r="BS100" s="37" t="s">
        <v>197</v>
      </c>
      <c r="BT100" s="37" t="s">
        <v>197</v>
      </c>
    </row>
    <row r="101" spans="5:72" x14ac:dyDescent="0.25">
      <c r="E101" s="6" t="s">
        <v>21</v>
      </c>
      <c r="F101" s="6">
        <f t="shared" si="22"/>
        <v>0</v>
      </c>
      <c r="G101" s="6">
        <f t="shared" si="23"/>
        <v>0</v>
      </c>
      <c r="H101" s="6">
        <f t="shared" si="24"/>
        <v>0</v>
      </c>
      <c r="I101" s="6">
        <f t="shared" si="25"/>
        <v>0</v>
      </c>
      <c r="J101" s="6">
        <f t="shared" si="26"/>
        <v>0</v>
      </c>
      <c r="K101" s="6">
        <f t="shared" si="27"/>
        <v>0</v>
      </c>
      <c r="L101" s="6">
        <f t="shared" si="28"/>
        <v>0</v>
      </c>
      <c r="M101" s="6">
        <f t="shared" si="29"/>
        <v>0</v>
      </c>
      <c r="N101" s="6">
        <f t="shared" si="30"/>
        <v>0</v>
      </c>
      <c r="O101" s="6">
        <f t="shared" si="31"/>
        <v>0</v>
      </c>
      <c r="P101" s="6">
        <f t="shared" si="32"/>
        <v>0</v>
      </c>
      <c r="Q101" s="6">
        <f t="shared" si="33"/>
        <v>0</v>
      </c>
      <c r="R101" s="6">
        <f t="shared" si="34"/>
        <v>0</v>
      </c>
      <c r="S101" s="6">
        <f t="shared" si="35"/>
        <v>0</v>
      </c>
      <c r="T101" s="6">
        <f t="shared" si="36"/>
        <v>0</v>
      </c>
      <c r="U101" s="6">
        <f t="shared" si="37"/>
        <v>0</v>
      </c>
      <c r="V101" s="6">
        <f t="shared" si="38"/>
        <v>0</v>
      </c>
      <c r="W101" s="6">
        <f t="shared" si="39"/>
        <v>0</v>
      </c>
      <c r="X101" s="6">
        <f t="shared" si="40"/>
        <v>0</v>
      </c>
      <c r="Y101" s="6">
        <f t="shared" si="41"/>
        <v>0</v>
      </c>
      <c r="Z101" s="6">
        <f t="shared" si="42"/>
        <v>0</v>
      </c>
      <c r="AB101" s="36" t="str">
        <f>IF(最佳化斷筋點!C101="","",最佳化斷筋點!C101)</f>
        <v>下層</v>
      </c>
      <c r="AC101" s="37">
        <f>IF(最佳化斷筋點!D101="","",最佳化斷筋點!D101)</f>
        <v>3</v>
      </c>
      <c r="AD101" s="37">
        <f>IF(最佳化斷筋點!E101="","",最佳化斷筋點!E101)</f>
        <v>3</v>
      </c>
      <c r="AE101" s="37">
        <f>IF(最佳化斷筋點!F101="","",最佳化斷筋點!F101)</f>
        <v>3</v>
      </c>
      <c r="AF101" s="37">
        <f>IF(最佳化斷筋點!G101="","",最佳化斷筋點!G101)</f>
        <v>3</v>
      </c>
      <c r="AG101" s="37">
        <f>IF(最佳化斷筋點!H101="","",最佳化斷筋點!H101)</f>
        <v>3</v>
      </c>
      <c r="AH101" s="37">
        <f>IF(最佳化斷筋點!I101="","",最佳化斷筋點!I101)</f>
        <v>3</v>
      </c>
      <c r="AI101" s="37">
        <f>IF(最佳化斷筋點!J101="","",最佳化斷筋點!J101)</f>
        <v>3</v>
      </c>
      <c r="AJ101" s="37">
        <f>IF(最佳化斷筋點!K101="","",最佳化斷筋點!K101)</f>
        <v>3</v>
      </c>
      <c r="AK101" s="37">
        <f>IF(最佳化斷筋點!L101="","",最佳化斷筋點!L101)</f>
        <v>3</v>
      </c>
      <c r="AL101" s="37">
        <f>IF(最佳化斷筋點!M101="","",最佳化斷筋點!M101)</f>
        <v>3</v>
      </c>
      <c r="AM101" s="37">
        <f>IF(最佳化斷筋點!N101="","",最佳化斷筋點!N101)</f>
        <v>3</v>
      </c>
      <c r="AN101" s="37">
        <f>IF(最佳化斷筋點!O101="","",最佳化斷筋點!O101)</f>
        <v>3</v>
      </c>
      <c r="AO101" s="37">
        <f>IF(最佳化斷筋點!P101="","",最佳化斷筋點!P101)</f>
        <v>3</v>
      </c>
      <c r="AP101" s="37">
        <f>IF(最佳化斷筋點!Q101="","",最佳化斷筋點!Q101)</f>
        <v>3</v>
      </c>
      <c r="AQ101" s="37">
        <f>IF(最佳化斷筋點!R101="","",最佳化斷筋點!R101)</f>
        <v>3</v>
      </c>
      <c r="AR101" s="37">
        <f>IF(最佳化斷筋點!S101="","",最佳化斷筋點!S101)</f>
        <v>3</v>
      </c>
      <c r="AS101" s="37">
        <f>IF(最佳化斷筋點!T101="","",最佳化斷筋點!T101)</f>
        <v>3</v>
      </c>
      <c r="AT101" s="37">
        <f>IF(最佳化斷筋點!U101="","",最佳化斷筋點!U101)</f>
        <v>3</v>
      </c>
      <c r="AU101" s="37">
        <f>IF(最佳化斷筋點!V101="","",最佳化斷筋點!V101)</f>
        <v>3</v>
      </c>
      <c r="AV101" s="37">
        <f>IF(最佳化斷筋點!W101="","",最佳化斷筋點!W101)</f>
        <v>3</v>
      </c>
      <c r="AW101" s="37">
        <f>IF(最佳化斷筋點!X101="","",最佳化斷筋點!X101)</f>
        <v>3</v>
      </c>
      <c r="AY101" s="6" t="s">
        <v>21</v>
      </c>
      <c r="AZ101" s="37">
        <v>3</v>
      </c>
      <c r="BA101" s="37">
        <v>3</v>
      </c>
      <c r="BB101" s="37">
        <v>3</v>
      </c>
      <c r="BC101" s="37">
        <v>3</v>
      </c>
      <c r="BD101" s="37">
        <v>3</v>
      </c>
      <c r="BE101" s="37">
        <v>3</v>
      </c>
      <c r="BF101" s="37">
        <v>3</v>
      </c>
      <c r="BG101" s="37">
        <v>3</v>
      </c>
      <c r="BH101" s="37">
        <v>3</v>
      </c>
      <c r="BI101" s="37">
        <v>3</v>
      </c>
      <c r="BJ101" s="37">
        <v>3</v>
      </c>
      <c r="BK101" s="37">
        <v>3</v>
      </c>
      <c r="BL101" s="37">
        <v>3</v>
      </c>
      <c r="BM101" s="37">
        <v>3</v>
      </c>
      <c r="BN101" s="37">
        <v>3</v>
      </c>
      <c r="BO101" s="37">
        <v>3</v>
      </c>
      <c r="BP101" s="37">
        <v>3</v>
      </c>
      <c r="BQ101" s="37">
        <v>3</v>
      </c>
      <c r="BR101" s="37">
        <v>3</v>
      </c>
      <c r="BS101" s="37">
        <v>3</v>
      </c>
      <c r="BT101" s="37">
        <v>3</v>
      </c>
    </row>
    <row r="102" spans="5:72" x14ac:dyDescent="0.25">
      <c r="F102" s="6">
        <f t="shared" si="22"/>
        <v>0</v>
      </c>
      <c r="G102" s="6">
        <f t="shared" si="23"/>
        <v>0</v>
      </c>
      <c r="H102" s="6">
        <f t="shared" si="24"/>
        <v>0</v>
      </c>
      <c r="I102" s="6">
        <f t="shared" si="25"/>
        <v>0</v>
      </c>
      <c r="J102" s="6">
        <f t="shared" si="26"/>
        <v>0</v>
      </c>
      <c r="K102" s="6">
        <f t="shared" si="27"/>
        <v>0</v>
      </c>
      <c r="L102" s="6">
        <f t="shared" si="28"/>
        <v>0</v>
      </c>
      <c r="M102" s="6">
        <f t="shared" si="29"/>
        <v>0</v>
      </c>
      <c r="N102" s="6">
        <f t="shared" si="30"/>
        <v>0</v>
      </c>
      <c r="O102" s="6">
        <f t="shared" si="31"/>
        <v>0</v>
      </c>
      <c r="P102" s="6">
        <f t="shared" si="32"/>
        <v>0</v>
      </c>
      <c r="Q102" s="6">
        <f t="shared" si="33"/>
        <v>0</v>
      </c>
      <c r="R102" s="6">
        <f t="shared" si="34"/>
        <v>0</v>
      </c>
      <c r="S102" s="6">
        <f t="shared" si="35"/>
        <v>0</v>
      </c>
      <c r="T102" s="6">
        <f t="shared" si="36"/>
        <v>0</v>
      </c>
      <c r="U102" s="6">
        <f t="shared" si="37"/>
        <v>0</v>
      </c>
      <c r="V102" s="6">
        <f t="shared" si="38"/>
        <v>0</v>
      </c>
      <c r="W102" s="6">
        <f t="shared" si="39"/>
        <v>0</v>
      </c>
      <c r="X102" s="6">
        <f t="shared" si="40"/>
        <v>0</v>
      </c>
      <c r="Y102" s="6">
        <f t="shared" si="41"/>
        <v>0</v>
      </c>
      <c r="Z102" s="6">
        <f t="shared" si="42"/>
        <v>0</v>
      </c>
      <c r="AB102" s="36" t="str">
        <f>IF(最佳化斷筋點!C102="","",最佳化斷筋點!C102)</f>
        <v/>
      </c>
      <c r="AC102" s="37" t="str">
        <f>IF(最佳化斷筋點!D102="","",最佳化斷筋點!D102)</f>
        <v/>
      </c>
      <c r="AD102" s="37" t="str">
        <f>IF(最佳化斷筋點!E102="","",最佳化斷筋點!E102)</f>
        <v/>
      </c>
      <c r="AE102" s="37" t="str">
        <f>IF(最佳化斷筋點!F102="","",最佳化斷筋點!F102)</f>
        <v/>
      </c>
      <c r="AF102" s="37" t="str">
        <f>IF(最佳化斷筋點!G102="","",最佳化斷筋點!G102)</f>
        <v/>
      </c>
      <c r="AG102" s="37" t="str">
        <f>IF(最佳化斷筋點!H102="","",最佳化斷筋點!H102)</f>
        <v/>
      </c>
      <c r="AH102" s="37" t="str">
        <f>IF(最佳化斷筋點!I102="","",最佳化斷筋點!I102)</f>
        <v/>
      </c>
      <c r="AI102" s="37" t="str">
        <f>IF(最佳化斷筋點!J102="","",最佳化斷筋點!J102)</f>
        <v/>
      </c>
      <c r="AJ102" s="37" t="str">
        <f>IF(最佳化斷筋點!K102="","",最佳化斷筋點!K102)</f>
        <v/>
      </c>
      <c r="AK102" s="37" t="str">
        <f>IF(最佳化斷筋點!L102="","",最佳化斷筋點!L102)</f>
        <v/>
      </c>
      <c r="AL102" s="37" t="str">
        <f>IF(最佳化斷筋點!M102="","",最佳化斷筋點!M102)</f>
        <v/>
      </c>
      <c r="AM102" s="37" t="str">
        <f>IF(最佳化斷筋點!N102="","",最佳化斷筋點!N102)</f>
        <v/>
      </c>
      <c r="AN102" s="37" t="str">
        <f>IF(最佳化斷筋點!O102="","",最佳化斷筋點!O102)</f>
        <v/>
      </c>
      <c r="AO102" s="37" t="str">
        <f>IF(最佳化斷筋點!P102="","",最佳化斷筋點!P102)</f>
        <v/>
      </c>
      <c r="AP102" s="37" t="str">
        <f>IF(最佳化斷筋點!Q102="","",最佳化斷筋點!Q102)</f>
        <v/>
      </c>
      <c r="AQ102" s="37" t="str">
        <f>IF(最佳化斷筋點!R102="","",最佳化斷筋點!R102)</f>
        <v/>
      </c>
      <c r="AR102" s="37" t="str">
        <f>IF(最佳化斷筋點!S102="","",最佳化斷筋點!S102)</f>
        <v/>
      </c>
      <c r="AS102" s="37" t="str">
        <f>IF(最佳化斷筋點!T102="","",最佳化斷筋點!T102)</f>
        <v/>
      </c>
      <c r="AT102" s="37" t="str">
        <f>IF(最佳化斷筋點!U102="","",最佳化斷筋點!U102)</f>
        <v/>
      </c>
      <c r="AU102" s="37" t="str">
        <f>IF(最佳化斷筋點!V102="","",最佳化斷筋點!V102)</f>
        <v/>
      </c>
      <c r="AV102" s="37" t="str">
        <f>IF(最佳化斷筋點!W102="","",最佳化斷筋點!W102)</f>
        <v/>
      </c>
      <c r="AW102" s="37" t="str">
        <f>IF(最佳化斷筋點!X102="","",最佳化斷筋點!X102)</f>
        <v/>
      </c>
      <c r="AZ102" s="37" t="s">
        <v>197</v>
      </c>
      <c r="BA102" s="37" t="s">
        <v>197</v>
      </c>
      <c r="BB102" s="37" t="s">
        <v>197</v>
      </c>
      <c r="BC102" s="37" t="s">
        <v>197</v>
      </c>
      <c r="BD102" s="37" t="s">
        <v>197</v>
      </c>
      <c r="BE102" s="37" t="s">
        <v>197</v>
      </c>
      <c r="BF102" s="37" t="s">
        <v>197</v>
      </c>
      <c r="BG102" s="37" t="s">
        <v>197</v>
      </c>
      <c r="BH102" s="37" t="s">
        <v>197</v>
      </c>
      <c r="BI102" s="37" t="s">
        <v>197</v>
      </c>
      <c r="BJ102" s="37" t="s">
        <v>197</v>
      </c>
      <c r="BK102" s="37" t="s">
        <v>197</v>
      </c>
      <c r="BL102" s="37" t="s">
        <v>197</v>
      </c>
      <c r="BM102" s="37" t="s">
        <v>197</v>
      </c>
      <c r="BN102" s="37" t="s">
        <v>197</v>
      </c>
      <c r="BO102" s="37" t="s">
        <v>197</v>
      </c>
      <c r="BP102" s="37" t="s">
        <v>197</v>
      </c>
      <c r="BQ102" s="37" t="s">
        <v>197</v>
      </c>
      <c r="BR102" s="37" t="s">
        <v>197</v>
      </c>
      <c r="BS102" s="37" t="s">
        <v>197</v>
      </c>
      <c r="BT102" s="37" t="s">
        <v>197</v>
      </c>
    </row>
    <row r="103" spans="5:72" x14ac:dyDescent="0.25">
      <c r="E103" s="6" t="s">
        <v>20</v>
      </c>
      <c r="F103" s="6">
        <f t="shared" si="22"/>
        <v>0</v>
      </c>
      <c r="G103" s="6">
        <f t="shared" si="23"/>
        <v>0</v>
      </c>
      <c r="H103" s="6">
        <f t="shared" si="24"/>
        <v>0</v>
      </c>
      <c r="I103" s="6">
        <f t="shared" si="25"/>
        <v>0</v>
      </c>
      <c r="J103" s="6">
        <f t="shared" si="26"/>
        <v>0</v>
      </c>
      <c r="K103" s="6">
        <f t="shared" si="27"/>
        <v>0</v>
      </c>
      <c r="L103" s="6">
        <f t="shared" si="28"/>
        <v>0</v>
      </c>
      <c r="M103" s="6">
        <f t="shared" si="29"/>
        <v>0</v>
      </c>
      <c r="N103" s="6">
        <f t="shared" si="30"/>
        <v>0</v>
      </c>
      <c r="O103" s="6">
        <f t="shared" si="31"/>
        <v>0</v>
      </c>
      <c r="P103" s="6">
        <f t="shared" si="32"/>
        <v>0</v>
      </c>
      <c r="Q103" s="6">
        <f t="shared" si="33"/>
        <v>0</v>
      </c>
      <c r="R103" s="6">
        <f t="shared" si="34"/>
        <v>0</v>
      </c>
      <c r="S103" s="6">
        <f t="shared" si="35"/>
        <v>0</v>
      </c>
      <c r="T103" s="6">
        <f t="shared" si="36"/>
        <v>0</v>
      </c>
      <c r="U103" s="6">
        <f t="shared" si="37"/>
        <v>0</v>
      </c>
      <c r="V103" s="6">
        <f t="shared" si="38"/>
        <v>0</v>
      </c>
      <c r="W103" s="6">
        <f t="shared" si="39"/>
        <v>0</v>
      </c>
      <c r="X103" s="6">
        <f t="shared" si="40"/>
        <v>0</v>
      </c>
      <c r="Y103" s="6">
        <f t="shared" si="41"/>
        <v>0</v>
      </c>
      <c r="Z103" s="6">
        <f t="shared" si="42"/>
        <v>0</v>
      </c>
      <c r="AB103" s="36" t="str">
        <f>IF(最佳化斷筋點!C103="","",最佳化斷筋點!C103)</f>
        <v>上層</v>
      </c>
      <c r="AC103" s="37">
        <f>IF(最佳化斷筋點!D103="","",最佳化斷筋點!D103)</f>
        <v>10</v>
      </c>
      <c r="AD103" s="37">
        <f>IF(最佳化斷筋點!E103="","",最佳化斷筋點!E103)</f>
        <v>10</v>
      </c>
      <c r="AE103" s="37">
        <f>IF(最佳化斷筋點!F103="","",最佳化斷筋點!F103)</f>
        <v>10</v>
      </c>
      <c r="AF103" s="37">
        <f>IF(最佳化斷筋點!G103="","",最佳化斷筋點!G103)</f>
        <v>10</v>
      </c>
      <c r="AG103" s="37">
        <f>IF(最佳化斷筋點!H103="","",最佳化斷筋點!H103)</f>
        <v>10</v>
      </c>
      <c r="AH103" s="37">
        <f>IF(最佳化斷筋點!I103="","",最佳化斷筋點!I103)</f>
        <v>10</v>
      </c>
      <c r="AI103" s="37">
        <f>IF(最佳化斷筋點!J103="","",最佳化斷筋點!J103)</f>
        <v>9</v>
      </c>
      <c r="AJ103" s="37">
        <f>IF(最佳化斷筋點!K103="","",最佳化斷筋點!K103)</f>
        <v>4</v>
      </c>
      <c r="AK103" s="37">
        <f>IF(最佳化斷筋點!L103="","",最佳化斷筋點!L103)</f>
        <v>4</v>
      </c>
      <c r="AL103" s="37">
        <f>IF(最佳化斷筋點!M103="","",最佳化斷筋點!M103)</f>
        <v>4</v>
      </c>
      <c r="AM103" s="37">
        <f>IF(最佳化斷筋點!N103="","",最佳化斷筋點!N103)</f>
        <v>4</v>
      </c>
      <c r="AN103" s="37">
        <f>IF(最佳化斷筋點!O103="","",最佳化斷筋點!O103)</f>
        <v>3</v>
      </c>
      <c r="AO103" s="37">
        <f>IF(最佳化斷筋點!P103="","",最佳化斷筋點!P103)</f>
        <v>2</v>
      </c>
      <c r="AP103" s="37">
        <f>IF(最佳化斷筋點!Q103="","",最佳化斷筋點!Q103)</f>
        <v>3</v>
      </c>
      <c r="AQ103" s="37">
        <f>IF(最佳化斷筋點!R103="","",最佳化斷筋點!R103)</f>
        <v>3</v>
      </c>
      <c r="AR103" s="37">
        <f>IF(最佳化斷筋點!S103="","",最佳化斷筋點!S103)</f>
        <v>3</v>
      </c>
      <c r="AS103" s="37">
        <f>IF(最佳化斷筋點!T103="","",最佳化斷筋點!T103)</f>
        <v>4</v>
      </c>
      <c r="AT103" s="37">
        <f>IF(最佳化斷筋點!U103="","",最佳化斷筋點!U103)</f>
        <v>4</v>
      </c>
      <c r="AU103" s="37">
        <f>IF(最佳化斷筋點!V103="","",最佳化斷筋點!V103)</f>
        <v>4</v>
      </c>
      <c r="AV103" s="37">
        <f>IF(最佳化斷筋點!W103="","",最佳化斷筋點!W103)</f>
        <v>4</v>
      </c>
      <c r="AW103" s="37">
        <f>IF(最佳化斷筋點!X103="","",最佳化斷筋點!X103)</f>
        <v>4</v>
      </c>
      <c r="AY103" s="6" t="s">
        <v>20</v>
      </c>
      <c r="AZ103" s="37">
        <v>10</v>
      </c>
      <c r="BA103" s="37">
        <v>10</v>
      </c>
      <c r="BB103" s="37">
        <v>10</v>
      </c>
      <c r="BC103" s="37">
        <v>10</v>
      </c>
      <c r="BD103" s="37">
        <v>10</v>
      </c>
      <c r="BE103" s="37">
        <v>10</v>
      </c>
      <c r="BF103" s="37">
        <v>9</v>
      </c>
      <c r="BG103" s="37">
        <v>4</v>
      </c>
      <c r="BH103" s="37">
        <v>4</v>
      </c>
      <c r="BI103" s="37">
        <v>4</v>
      </c>
      <c r="BJ103" s="37">
        <v>4</v>
      </c>
      <c r="BK103" s="37">
        <v>3</v>
      </c>
      <c r="BL103" s="37">
        <v>2</v>
      </c>
      <c r="BM103" s="37">
        <v>3</v>
      </c>
      <c r="BN103" s="37">
        <v>3</v>
      </c>
      <c r="BO103" s="37">
        <v>3</v>
      </c>
      <c r="BP103" s="37">
        <v>4</v>
      </c>
      <c r="BQ103" s="37">
        <v>4</v>
      </c>
      <c r="BR103" s="37">
        <v>4</v>
      </c>
      <c r="BS103" s="37">
        <v>4</v>
      </c>
      <c r="BT103" s="37">
        <v>4</v>
      </c>
    </row>
    <row r="104" spans="5:72" x14ac:dyDescent="0.25">
      <c r="F104" s="6">
        <f t="shared" si="22"/>
        <v>0</v>
      </c>
      <c r="G104" s="6">
        <f t="shared" si="23"/>
        <v>0</v>
      </c>
      <c r="H104" s="6">
        <f t="shared" si="24"/>
        <v>0</v>
      </c>
      <c r="I104" s="6">
        <f t="shared" si="25"/>
        <v>0</v>
      </c>
      <c r="J104" s="6">
        <f t="shared" si="26"/>
        <v>0</v>
      </c>
      <c r="K104" s="6">
        <f t="shared" si="27"/>
        <v>0</v>
      </c>
      <c r="L104" s="6">
        <f t="shared" si="28"/>
        <v>0</v>
      </c>
      <c r="M104" s="6">
        <f t="shared" si="29"/>
        <v>0</v>
      </c>
      <c r="N104" s="6">
        <f t="shared" si="30"/>
        <v>0</v>
      </c>
      <c r="O104" s="6">
        <f t="shared" si="31"/>
        <v>0</v>
      </c>
      <c r="P104" s="6">
        <f t="shared" si="32"/>
        <v>0</v>
      </c>
      <c r="Q104" s="6">
        <f t="shared" si="33"/>
        <v>0</v>
      </c>
      <c r="R104" s="6">
        <f t="shared" si="34"/>
        <v>0</v>
      </c>
      <c r="S104" s="6">
        <f t="shared" si="35"/>
        <v>0</v>
      </c>
      <c r="T104" s="6">
        <f t="shared" si="36"/>
        <v>0</v>
      </c>
      <c r="U104" s="6">
        <f t="shared" si="37"/>
        <v>0</v>
      </c>
      <c r="V104" s="6">
        <f t="shared" si="38"/>
        <v>0</v>
      </c>
      <c r="W104" s="6">
        <f t="shared" si="39"/>
        <v>0</v>
      </c>
      <c r="X104" s="6">
        <f t="shared" si="40"/>
        <v>0</v>
      </c>
      <c r="Y104" s="6">
        <f t="shared" si="41"/>
        <v>0</v>
      </c>
      <c r="Z104" s="6">
        <f t="shared" si="42"/>
        <v>0</v>
      </c>
      <c r="AB104" s="36" t="str">
        <f>IF(最佳化斷筋點!C104="","",最佳化斷筋點!C104)</f>
        <v/>
      </c>
      <c r="AC104" s="37" t="str">
        <f>IF(最佳化斷筋點!D104="","",最佳化斷筋點!D104)</f>
        <v/>
      </c>
      <c r="AD104" s="37" t="str">
        <f>IF(最佳化斷筋點!E104="","",最佳化斷筋點!E104)</f>
        <v/>
      </c>
      <c r="AE104" s="37" t="str">
        <f>IF(最佳化斷筋點!F104="","",最佳化斷筋點!F104)</f>
        <v/>
      </c>
      <c r="AF104" s="37" t="str">
        <f>IF(最佳化斷筋點!G104="","",最佳化斷筋點!G104)</f>
        <v/>
      </c>
      <c r="AG104" s="37" t="str">
        <f>IF(最佳化斷筋點!H104="","",最佳化斷筋點!H104)</f>
        <v/>
      </c>
      <c r="AH104" s="37" t="str">
        <f>IF(最佳化斷筋點!I104="","",最佳化斷筋點!I104)</f>
        <v/>
      </c>
      <c r="AI104" s="37" t="str">
        <f>IF(最佳化斷筋點!J104="","",最佳化斷筋點!J104)</f>
        <v/>
      </c>
      <c r="AJ104" s="37" t="str">
        <f>IF(最佳化斷筋點!K104="","",最佳化斷筋點!K104)</f>
        <v/>
      </c>
      <c r="AK104" s="37" t="str">
        <f>IF(最佳化斷筋點!L104="","",最佳化斷筋點!L104)</f>
        <v/>
      </c>
      <c r="AL104" s="37" t="str">
        <f>IF(最佳化斷筋點!M104="","",最佳化斷筋點!M104)</f>
        <v/>
      </c>
      <c r="AM104" s="37" t="str">
        <f>IF(最佳化斷筋點!N104="","",最佳化斷筋點!N104)</f>
        <v/>
      </c>
      <c r="AN104" s="37" t="str">
        <f>IF(最佳化斷筋點!O104="","",最佳化斷筋點!O104)</f>
        <v/>
      </c>
      <c r="AO104" s="37" t="str">
        <f>IF(最佳化斷筋點!P104="","",最佳化斷筋點!P104)</f>
        <v/>
      </c>
      <c r="AP104" s="37" t="str">
        <f>IF(最佳化斷筋點!Q104="","",最佳化斷筋點!Q104)</f>
        <v/>
      </c>
      <c r="AQ104" s="37" t="str">
        <f>IF(最佳化斷筋點!R104="","",最佳化斷筋點!R104)</f>
        <v/>
      </c>
      <c r="AR104" s="37" t="str">
        <f>IF(最佳化斷筋點!S104="","",最佳化斷筋點!S104)</f>
        <v/>
      </c>
      <c r="AS104" s="37" t="str">
        <f>IF(最佳化斷筋點!T104="","",最佳化斷筋點!T104)</f>
        <v/>
      </c>
      <c r="AT104" s="37" t="str">
        <f>IF(最佳化斷筋點!U104="","",最佳化斷筋點!U104)</f>
        <v/>
      </c>
      <c r="AU104" s="37" t="str">
        <f>IF(最佳化斷筋點!V104="","",最佳化斷筋點!V104)</f>
        <v/>
      </c>
      <c r="AV104" s="37" t="str">
        <f>IF(最佳化斷筋點!W104="","",最佳化斷筋點!W104)</f>
        <v/>
      </c>
      <c r="AW104" s="37" t="str">
        <f>IF(最佳化斷筋點!X104="","",最佳化斷筋點!X104)</f>
        <v/>
      </c>
      <c r="AZ104" s="37" t="s">
        <v>197</v>
      </c>
      <c r="BA104" s="37" t="s">
        <v>197</v>
      </c>
      <c r="BB104" s="37" t="s">
        <v>197</v>
      </c>
      <c r="BC104" s="37" t="s">
        <v>197</v>
      </c>
      <c r="BD104" s="37" t="s">
        <v>197</v>
      </c>
      <c r="BE104" s="37" t="s">
        <v>197</v>
      </c>
      <c r="BF104" s="37" t="s">
        <v>197</v>
      </c>
      <c r="BG104" s="37" t="s">
        <v>197</v>
      </c>
      <c r="BH104" s="37" t="s">
        <v>197</v>
      </c>
      <c r="BI104" s="37" t="s">
        <v>197</v>
      </c>
      <c r="BJ104" s="37" t="s">
        <v>197</v>
      </c>
      <c r="BK104" s="37" t="s">
        <v>197</v>
      </c>
      <c r="BL104" s="37" t="s">
        <v>197</v>
      </c>
      <c r="BM104" s="37" t="s">
        <v>197</v>
      </c>
      <c r="BN104" s="37" t="s">
        <v>197</v>
      </c>
      <c r="BO104" s="37" t="s">
        <v>197</v>
      </c>
      <c r="BP104" s="37" t="s">
        <v>197</v>
      </c>
      <c r="BQ104" s="37" t="s">
        <v>197</v>
      </c>
      <c r="BR104" s="37" t="s">
        <v>197</v>
      </c>
      <c r="BS104" s="37" t="s">
        <v>197</v>
      </c>
      <c r="BT104" s="37" t="s">
        <v>197</v>
      </c>
    </row>
    <row r="105" spans="5:72" x14ac:dyDescent="0.25">
      <c r="E105" s="6" t="s">
        <v>21</v>
      </c>
      <c r="F105" s="6">
        <f t="shared" si="22"/>
        <v>0</v>
      </c>
      <c r="G105" s="6">
        <f t="shared" si="23"/>
        <v>0</v>
      </c>
      <c r="H105" s="6">
        <f t="shared" si="24"/>
        <v>0</v>
      </c>
      <c r="I105" s="6">
        <f t="shared" si="25"/>
        <v>0</v>
      </c>
      <c r="J105" s="6">
        <f t="shared" si="26"/>
        <v>0</v>
      </c>
      <c r="K105" s="6">
        <f t="shared" si="27"/>
        <v>0</v>
      </c>
      <c r="L105" s="6">
        <f t="shared" si="28"/>
        <v>0</v>
      </c>
      <c r="M105" s="6">
        <f t="shared" si="29"/>
        <v>0</v>
      </c>
      <c r="N105" s="6">
        <f t="shared" si="30"/>
        <v>0</v>
      </c>
      <c r="O105" s="6">
        <f t="shared" si="31"/>
        <v>0</v>
      </c>
      <c r="P105" s="6">
        <f t="shared" si="32"/>
        <v>0</v>
      </c>
      <c r="Q105" s="6">
        <f t="shared" si="33"/>
        <v>0</v>
      </c>
      <c r="R105" s="6">
        <f t="shared" si="34"/>
        <v>0</v>
      </c>
      <c r="S105" s="6">
        <f t="shared" si="35"/>
        <v>0</v>
      </c>
      <c r="T105" s="6">
        <f t="shared" si="36"/>
        <v>0</v>
      </c>
      <c r="U105" s="6">
        <f t="shared" si="37"/>
        <v>0</v>
      </c>
      <c r="V105" s="6">
        <f t="shared" si="38"/>
        <v>0</v>
      </c>
      <c r="W105" s="6">
        <f t="shared" si="39"/>
        <v>0</v>
      </c>
      <c r="X105" s="6">
        <f t="shared" si="40"/>
        <v>0</v>
      </c>
      <c r="Y105" s="6">
        <f t="shared" si="41"/>
        <v>0</v>
      </c>
      <c r="Z105" s="6">
        <f t="shared" si="42"/>
        <v>0</v>
      </c>
      <c r="AB105" s="36" t="str">
        <f>IF(最佳化斷筋點!C105="","",最佳化斷筋點!C105)</f>
        <v>下層</v>
      </c>
      <c r="AC105" s="37">
        <f>IF(最佳化斷筋點!D105="","",最佳化斷筋點!D105)</f>
        <v>5</v>
      </c>
      <c r="AD105" s="37">
        <f>IF(最佳化斷筋點!E105="","",最佳化斷筋點!E105)</f>
        <v>5</v>
      </c>
      <c r="AE105" s="37">
        <f>IF(最佳化斷筋點!F105="","",最佳化斷筋點!F105)</f>
        <v>5</v>
      </c>
      <c r="AF105" s="37">
        <f>IF(最佳化斷筋點!G105="","",最佳化斷筋點!G105)</f>
        <v>5</v>
      </c>
      <c r="AG105" s="37">
        <f>IF(最佳化斷筋點!H105="","",最佳化斷筋點!H105)</f>
        <v>5</v>
      </c>
      <c r="AH105" s="37">
        <f>IF(最佳化斷筋點!I105="","",最佳化斷筋點!I105)</f>
        <v>5</v>
      </c>
      <c r="AI105" s="37">
        <f>IF(最佳化斷筋點!J105="","",最佳化斷筋點!J105)</f>
        <v>4</v>
      </c>
      <c r="AJ105" s="37">
        <f>IF(最佳化斷筋點!K105="","",最佳化斷筋點!K105)</f>
        <v>4</v>
      </c>
      <c r="AK105" s="37">
        <f>IF(最佳化斷筋點!L105="","",最佳化斷筋點!L105)</f>
        <v>4</v>
      </c>
      <c r="AL105" s="37">
        <f>IF(最佳化斷筋點!M105="","",最佳化斷筋點!M105)</f>
        <v>4</v>
      </c>
      <c r="AM105" s="37">
        <f>IF(最佳化斷筋點!N105="","",最佳化斷筋點!N105)</f>
        <v>4</v>
      </c>
      <c r="AN105" s="37">
        <f>IF(最佳化斷筋點!O105="","",最佳化斷筋點!O105)</f>
        <v>4</v>
      </c>
      <c r="AO105" s="37">
        <f>IF(最佳化斷筋點!P105="","",最佳化斷筋點!P105)</f>
        <v>4</v>
      </c>
      <c r="AP105" s="37">
        <f>IF(最佳化斷筋點!Q105="","",最佳化斷筋點!Q105)</f>
        <v>4</v>
      </c>
      <c r="AQ105" s="37">
        <f>IF(最佳化斷筋點!R105="","",最佳化斷筋點!R105)</f>
        <v>4</v>
      </c>
      <c r="AR105" s="37">
        <f>IF(最佳化斷筋點!S105="","",最佳化斷筋點!S105)</f>
        <v>5</v>
      </c>
      <c r="AS105" s="37">
        <f>IF(最佳化斷筋點!T105="","",最佳化斷筋點!T105)</f>
        <v>5</v>
      </c>
      <c r="AT105" s="37">
        <f>IF(最佳化斷筋點!U105="","",最佳化斷筋點!U105)</f>
        <v>6</v>
      </c>
      <c r="AU105" s="37">
        <f>IF(最佳化斷筋點!V105="","",最佳化斷筋點!V105)</f>
        <v>6</v>
      </c>
      <c r="AV105" s="37">
        <f>IF(最佳化斷筋點!W105="","",最佳化斷筋點!W105)</f>
        <v>6</v>
      </c>
      <c r="AW105" s="37">
        <f>IF(最佳化斷筋點!X105="","",最佳化斷筋點!X105)</f>
        <v>6</v>
      </c>
      <c r="AY105" s="6" t="s">
        <v>21</v>
      </c>
      <c r="AZ105" s="37">
        <v>5</v>
      </c>
      <c r="BA105" s="37">
        <v>5</v>
      </c>
      <c r="BB105" s="37">
        <v>5</v>
      </c>
      <c r="BC105" s="37">
        <v>5</v>
      </c>
      <c r="BD105" s="37">
        <v>5</v>
      </c>
      <c r="BE105" s="37">
        <v>5</v>
      </c>
      <c r="BF105" s="37">
        <v>4</v>
      </c>
      <c r="BG105" s="37">
        <v>4</v>
      </c>
      <c r="BH105" s="37">
        <v>4</v>
      </c>
      <c r="BI105" s="37">
        <v>4</v>
      </c>
      <c r="BJ105" s="37">
        <v>4</v>
      </c>
      <c r="BK105" s="37">
        <v>4</v>
      </c>
      <c r="BL105" s="37">
        <v>4</v>
      </c>
      <c r="BM105" s="37">
        <v>4</v>
      </c>
      <c r="BN105" s="37">
        <v>4</v>
      </c>
      <c r="BO105" s="37">
        <v>5</v>
      </c>
      <c r="BP105" s="37">
        <v>5</v>
      </c>
      <c r="BQ105" s="37">
        <v>6</v>
      </c>
      <c r="BR105" s="37">
        <v>6</v>
      </c>
      <c r="BS105" s="37">
        <v>6</v>
      </c>
      <c r="BT105" s="37">
        <v>6</v>
      </c>
    </row>
    <row r="106" spans="5:72" x14ac:dyDescent="0.25">
      <c r="F106" s="6">
        <f t="shared" si="22"/>
        <v>0</v>
      </c>
      <c r="G106" s="6">
        <f t="shared" si="23"/>
        <v>0</v>
      </c>
      <c r="H106" s="6">
        <f t="shared" si="24"/>
        <v>0</v>
      </c>
      <c r="I106" s="6">
        <f t="shared" si="25"/>
        <v>0</v>
      </c>
      <c r="J106" s="6">
        <f t="shared" si="26"/>
        <v>0</v>
      </c>
      <c r="K106" s="6">
        <f t="shared" si="27"/>
        <v>0</v>
      </c>
      <c r="L106" s="6">
        <f t="shared" si="28"/>
        <v>0</v>
      </c>
      <c r="M106" s="6">
        <f t="shared" si="29"/>
        <v>0</v>
      </c>
      <c r="N106" s="6">
        <f t="shared" si="30"/>
        <v>0</v>
      </c>
      <c r="O106" s="6">
        <f t="shared" si="31"/>
        <v>0</v>
      </c>
      <c r="P106" s="6">
        <f t="shared" si="32"/>
        <v>0</v>
      </c>
      <c r="Q106" s="6">
        <f t="shared" si="33"/>
        <v>0</v>
      </c>
      <c r="R106" s="6">
        <f t="shared" si="34"/>
        <v>0</v>
      </c>
      <c r="S106" s="6">
        <f t="shared" si="35"/>
        <v>0</v>
      </c>
      <c r="T106" s="6">
        <f t="shared" si="36"/>
        <v>0</v>
      </c>
      <c r="U106" s="6">
        <f t="shared" si="37"/>
        <v>0</v>
      </c>
      <c r="V106" s="6">
        <f t="shared" si="38"/>
        <v>0</v>
      </c>
      <c r="W106" s="6">
        <f t="shared" si="39"/>
        <v>0</v>
      </c>
      <c r="X106" s="6">
        <f t="shared" si="40"/>
        <v>0</v>
      </c>
      <c r="Y106" s="6">
        <f t="shared" si="41"/>
        <v>0</v>
      </c>
      <c r="Z106" s="6">
        <f t="shared" si="42"/>
        <v>0</v>
      </c>
      <c r="AB106" s="36" t="str">
        <f>IF(最佳化斷筋點!C106="","",最佳化斷筋點!C106)</f>
        <v/>
      </c>
      <c r="AC106" s="37" t="str">
        <f>IF(最佳化斷筋點!D106="","",最佳化斷筋點!D106)</f>
        <v/>
      </c>
      <c r="AD106" s="37" t="str">
        <f>IF(最佳化斷筋點!E106="","",最佳化斷筋點!E106)</f>
        <v/>
      </c>
      <c r="AE106" s="37" t="str">
        <f>IF(最佳化斷筋點!F106="","",最佳化斷筋點!F106)</f>
        <v/>
      </c>
      <c r="AF106" s="37" t="str">
        <f>IF(最佳化斷筋點!G106="","",最佳化斷筋點!G106)</f>
        <v/>
      </c>
      <c r="AG106" s="37" t="str">
        <f>IF(最佳化斷筋點!H106="","",最佳化斷筋點!H106)</f>
        <v/>
      </c>
      <c r="AH106" s="37" t="str">
        <f>IF(最佳化斷筋點!I106="","",最佳化斷筋點!I106)</f>
        <v/>
      </c>
      <c r="AI106" s="37" t="str">
        <f>IF(最佳化斷筋點!J106="","",最佳化斷筋點!J106)</f>
        <v/>
      </c>
      <c r="AJ106" s="37" t="str">
        <f>IF(最佳化斷筋點!K106="","",最佳化斷筋點!K106)</f>
        <v/>
      </c>
      <c r="AK106" s="37" t="str">
        <f>IF(最佳化斷筋點!L106="","",最佳化斷筋點!L106)</f>
        <v/>
      </c>
      <c r="AL106" s="37" t="str">
        <f>IF(最佳化斷筋點!M106="","",最佳化斷筋點!M106)</f>
        <v/>
      </c>
      <c r="AM106" s="37" t="str">
        <f>IF(最佳化斷筋點!N106="","",最佳化斷筋點!N106)</f>
        <v/>
      </c>
      <c r="AN106" s="37" t="str">
        <f>IF(最佳化斷筋點!O106="","",最佳化斷筋點!O106)</f>
        <v/>
      </c>
      <c r="AO106" s="37" t="str">
        <f>IF(最佳化斷筋點!P106="","",最佳化斷筋點!P106)</f>
        <v/>
      </c>
      <c r="AP106" s="37" t="str">
        <f>IF(最佳化斷筋點!Q106="","",最佳化斷筋點!Q106)</f>
        <v/>
      </c>
      <c r="AQ106" s="37" t="str">
        <f>IF(最佳化斷筋點!R106="","",最佳化斷筋點!R106)</f>
        <v/>
      </c>
      <c r="AR106" s="37" t="str">
        <f>IF(最佳化斷筋點!S106="","",最佳化斷筋點!S106)</f>
        <v/>
      </c>
      <c r="AS106" s="37" t="str">
        <f>IF(最佳化斷筋點!T106="","",最佳化斷筋點!T106)</f>
        <v/>
      </c>
      <c r="AT106" s="37" t="str">
        <f>IF(最佳化斷筋點!U106="","",最佳化斷筋點!U106)</f>
        <v/>
      </c>
      <c r="AU106" s="37" t="str">
        <f>IF(最佳化斷筋點!V106="","",最佳化斷筋點!V106)</f>
        <v/>
      </c>
      <c r="AV106" s="37" t="str">
        <f>IF(最佳化斷筋點!W106="","",最佳化斷筋點!W106)</f>
        <v/>
      </c>
      <c r="AW106" s="37" t="str">
        <f>IF(最佳化斷筋點!X106="","",最佳化斷筋點!X106)</f>
        <v/>
      </c>
      <c r="AZ106" s="37" t="s">
        <v>197</v>
      </c>
      <c r="BA106" s="37" t="s">
        <v>197</v>
      </c>
      <c r="BB106" s="37" t="s">
        <v>197</v>
      </c>
      <c r="BC106" s="37" t="s">
        <v>197</v>
      </c>
      <c r="BD106" s="37" t="s">
        <v>197</v>
      </c>
      <c r="BE106" s="37" t="s">
        <v>197</v>
      </c>
      <c r="BF106" s="37" t="s">
        <v>197</v>
      </c>
      <c r="BG106" s="37" t="s">
        <v>197</v>
      </c>
      <c r="BH106" s="37" t="s">
        <v>197</v>
      </c>
      <c r="BI106" s="37" t="s">
        <v>197</v>
      </c>
      <c r="BJ106" s="37" t="s">
        <v>197</v>
      </c>
      <c r="BK106" s="37" t="s">
        <v>197</v>
      </c>
      <c r="BL106" s="37" t="s">
        <v>197</v>
      </c>
      <c r="BM106" s="37" t="s">
        <v>197</v>
      </c>
      <c r="BN106" s="37" t="s">
        <v>197</v>
      </c>
      <c r="BO106" s="37" t="s">
        <v>197</v>
      </c>
      <c r="BP106" s="37" t="s">
        <v>197</v>
      </c>
      <c r="BQ106" s="37" t="s">
        <v>197</v>
      </c>
      <c r="BR106" s="37" t="s">
        <v>197</v>
      </c>
      <c r="BS106" s="37" t="s">
        <v>197</v>
      </c>
      <c r="BT106" s="37" t="s">
        <v>197</v>
      </c>
    </row>
    <row r="107" spans="5:72" x14ac:dyDescent="0.25">
      <c r="E107" s="6" t="s">
        <v>20</v>
      </c>
      <c r="F107" s="6">
        <f t="shared" si="22"/>
        <v>0</v>
      </c>
      <c r="G107" s="6">
        <f t="shared" si="23"/>
        <v>0</v>
      </c>
      <c r="H107" s="6">
        <f t="shared" si="24"/>
        <v>0</v>
      </c>
      <c r="I107" s="6">
        <f t="shared" si="25"/>
        <v>0</v>
      </c>
      <c r="J107" s="6">
        <f t="shared" si="26"/>
        <v>0</v>
      </c>
      <c r="K107" s="6">
        <f t="shared" si="27"/>
        <v>0</v>
      </c>
      <c r="L107" s="6">
        <f t="shared" si="28"/>
        <v>0</v>
      </c>
      <c r="M107" s="6">
        <f t="shared" si="29"/>
        <v>0</v>
      </c>
      <c r="N107" s="6">
        <f t="shared" si="30"/>
        <v>0</v>
      </c>
      <c r="O107" s="6">
        <f t="shared" si="31"/>
        <v>0</v>
      </c>
      <c r="P107" s="6">
        <f t="shared" si="32"/>
        <v>0</v>
      </c>
      <c r="Q107" s="6">
        <f t="shared" si="33"/>
        <v>0</v>
      </c>
      <c r="R107" s="6">
        <f t="shared" si="34"/>
        <v>0</v>
      </c>
      <c r="S107" s="6">
        <f t="shared" si="35"/>
        <v>0</v>
      </c>
      <c r="T107" s="6">
        <f t="shared" si="36"/>
        <v>0</v>
      </c>
      <c r="U107" s="6">
        <f t="shared" si="37"/>
        <v>0</v>
      </c>
      <c r="V107" s="6">
        <f t="shared" si="38"/>
        <v>0</v>
      </c>
      <c r="W107" s="6">
        <f t="shared" si="39"/>
        <v>0</v>
      </c>
      <c r="X107" s="6">
        <f t="shared" si="40"/>
        <v>0</v>
      </c>
      <c r="Y107" s="6">
        <f t="shared" si="41"/>
        <v>0</v>
      </c>
      <c r="Z107" s="6">
        <f t="shared" si="42"/>
        <v>0</v>
      </c>
      <c r="AB107" s="36" t="str">
        <f>IF(最佳化斷筋點!C107="","",最佳化斷筋點!C107)</f>
        <v>上層</v>
      </c>
      <c r="AC107" s="37">
        <f>IF(最佳化斷筋點!D107="","",最佳化斷筋點!D107)</f>
        <v>5</v>
      </c>
      <c r="AD107" s="37">
        <f>IF(最佳化斷筋點!E107="","",最佳化斷筋點!E107)</f>
        <v>5</v>
      </c>
      <c r="AE107" s="37">
        <f>IF(最佳化斷筋點!F107="","",最佳化斷筋點!F107)</f>
        <v>5</v>
      </c>
      <c r="AF107" s="37">
        <f>IF(最佳化斷筋點!G107="","",最佳化斷筋點!G107)</f>
        <v>5</v>
      </c>
      <c r="AG107" s="37">
        <f>IF(最佳化斷筋點!H107="","",最佳化斷筋點!H107)</f>
        <v>5</v>
      </c>
      <c r="AH107" s="37">
        <f>IF(最佳化斷筋點!I107="","",最佳化斷筋點!I107)</f>
        <v>5</v>
      </c>
      <c r="AI107" s="37">
        <f>IF(最佳化斷筋點!J107="","",最佳化斷筋點!J107)</f>
        <v>4</v>
      </c>
      <c r="AJ107" s="37">
        <f>IF(最佳化斷筋點!K107="","",最佳化斷筋點!K107)</f>
        <v>3</v>
      </c>
      <c r="AK107" s="37">
        <f>IF(最佳化斷筋點!L107="","",最佳化斷筋點!L107)</f>
        <v>3</v>
      </c>
      <c r="AL107" s="37">
        <f>IF(最佳化斷筋點!M107="","",最佳化斷筋點!M107)</f>
        <v>3</v>
      </c>
      <c r="AM107" s="37">
        <f>IF(最佳化斷筋點!N107="","",最佳化斷筋點!N107)</f>
        <v>2</v>
      </c>
      <c r="AN107" s="37">
        <f>IF(最佳化斷筋點!O107="","",最佳化斷筋點!O107)</f>
        <v>2</v>
      </c>
      <c r="AO107" s="37">
        <f>IF(最佳化斷筋點!P107="","",最佳化斷筋點!P107)</f>
        <v>2</v>
      </c>
      <c r="AP107" s="37">
        <f>IF(最佳化斷筋點!Q107="","",最佳化斷筋點!Q107)</f>
        <v>3</v>
      </c>
      <c r="AQ107" s="37">
        <f>IF(最佳化斷筋點!R107="","",最佳化斷筋點!R107)</f>
        <v>3</v>
      </c>
      <c r="AR107" s="37">
        <f>IF(最佳化斷筋點!S107="","",最佳化斷筋點!S107)</f>
        <v>3</v>
      </c>
      <c r="AS107" s="37">
        <f>IF(最佳化斷筋點!T107="","",最佳化斷筋點!T107)</f>
        <v>4</v>
      </c>
      <c r="AT107" s="37">
        <f>IF(最佳化斷筋點!U107="","",最佳化斷筋點!U107)</f>
        <v>4</v>
      </c>
      <c r="AU107" s="37">
        <f>IF(最佳化斷筋點!V107="","",最佳化斷筋點!V107)</f>
        <v>4</v>
      </c>
      <c r="AV107" s="37">
        <f>IF(最佳化斷筋點!W107="","",最佳化斷筋點!W107)</f>
        <v>4</v>
      </c>
      <c r="AW107" s="37">
        <f>IF(最佳化斷筋點!X107="","",最佳化斷筋點!X107)</f>
        <v>4</v>
      </c>
      <c r="AY107" s="6" t="s">
        <v>20</v>
      </c>
      <c r="AZ107" s="37">
        <v>5</v>
      </c>
      <c r="BA107" s="37">
        <v>5</v>
      </c>
      <c r="BB107" s="37">
        <v>5</v>
      </c>
      <c r="BC107" s="37">
        <v>5</v>
      </c>
      <c r="BD107" s="37">
        <v>5</v>
      </c>
      <c r="BE107" s="37">
        <v>5</v>
      </c>
      <c r="BF107" s="37">
        <v>4</v>
      </c>
      <c r="BG107" s="37">
        <v>3</v>
      </c>
      <c r="BH107" s="37">
        <v>3</v>
      </c>
      <c r="BI107" s="37">
        <v>3</v>
      </c>
      <c r="BJ107" s="37">
        <v>2</v>
      </c>
      <c r="BK107" s="37">
        <v>2</v>
      </c>
      <c r="BL107" s="37">
        <v>2</v>
      </c>
      <c r="BM107" s="37">
        <v>3</v>
      </c>
      <c r="BN107" s="37">
        <v>3</v>
      </c>
      <c r="BO107" s="37">
        <v>3</v>
      </c>
      <c r="BP107" s="37">
        <v>4</v>
      </c>
      <c r="BQ107" s="37">
        <v>4</v>
      </c>
      <c r="BR107" s="37">
        <v>4</v>
      </c>
      <c r="BS107" s="37">
        <v>4</v>
      </c>
      <c r="BT107" s="37">
        <v>4</v>
      </c>
    </row>
    <row r="108" spans="5:72" x14ac:dyDescent="0.25">
      <c r="F108" s="6">
        <f t="shared" si="22"/>
        <v>0</v>
      </c>
      <c r="G108" s="6">
        <f t="shared" si="23"/>
        <v>0</v>
      </c>
      <c r="H108" s="6">
        <f t="shared" si="24"/>
        <v>0</v>
      </c>
      <c r="I108" s="6">
        <f t="shared" si="25"/>
        <v>0</v>
      </c>
      <c r="J108" s="6">
        <f t="shared" si="26"/>
        <v>0</v>
      </c>
      <c r="K108" s="6">
        <f t="shared" si="27"/>
        <v>0</v>
      </c>
      <c r="L108" s="6">
        <f t="shared" si="28"/>
        <v>0</v>
      </c>
      <c r="M108" s="6">
        <f t="shared" si="29"/>
        <v>0</v>
      </c>
      <c r="N108" s="6">
        <f t="shared" si="30"/>
        <v>0</v>
      </c>
      <c r="O108" s="6">
        <f t="shared" si="31"/>
        <v>0</v>
      </c>
      <c r="P108" s="6">
        <f t="shared" si="32"/>
        <v>0</v>
      </c>
      <c r="Q108" s="6">
        <f t="shared" si="33"/>
        <v>0</v>
      </c>
      <c r="R108" s="6">
        <f t="shared" si="34"/>
        <v>0</v>
      </c>
      <c r="S108" s="6">
        <f t="shared" si="35"/>
        <v>0</v>
      </c>
      <c r="T108" s="6">
        <f t="shared" si="36"/>
        <v>0</v>
      </c>
      <c r="U108" s="6">
        <f t="shared" si="37"/>
        <v>0</v>
      </c>
      <c r="V108" s="6">
        <f t="shared" si="38"/>
        <v>0</v>
      </c>
      <c r="W108" s="6">
        <f t="shared" si="39"/>
        <v>0</v>
      </c>
      <c r="X108" s="6">
        <f t="shared" si="40"/>
        <v>0</v>
      </c>
      <c r="Y108" s="6">
        <f t="shared" si="41"/>
        <v>0</v>
      </c>
      <c r="Z108" s="6">
        <f t="shared" si="42"/>
        <v>0</v>
      </c>
      <c r="AB108" s="36" t="str">
        <f>IF(最佳化斷筋點!C108="","",最佳化斷筋點!C108)</f>
        <v/>
      </c>
      <c r="AC108" s="37" t="str">
        <f>IF(最佳化斷筋點!D108="","",最佳化斷筋點!D108)</f>
        <v/>
      </c>
      <c r="AD108" s="37" t="str">
        <f>IF(最佳化斷筋點!E108="","",最佳化斷筋點!E108)</f>
        <v/>
      </c>
      <c r="AE108" s="37" t="str">
        <f>IF(最佳化斷筋點!F108="","",最佳化斷筋點!F108)</f>
        <v/>
      </c>
      <c r="AF108" s="37" t="str">
        <f>IF(最佳化斷筋點!G108="","",最佳化斷筋點!G108)</f>
        <v/>
      </c>
      <c r="AG108" s="37" t="str">
        <f>IF(最佳化斷筋點!H108="","",最佳化斷筋點!H108)</f>
        <v/>
      </c>
      <c r="AH108" s="37" t="str">
        <f>IF(最佳化斷筋點!I108="","",最佳化斷筋點!I108)</f>
        <v/>
      </c>
      <c r="AI108" s="37" t="str">
        <f>IF(最佳化斷筋點!J108="","",最佳化斷筋點!J108)</f>
        <v/>
      </c>
      <c r="AJ108" s="37" t="str">
        <f>IF(最佳化斷筋點!K108="","",最佳化斷筋點!K108)</f>
        <v/>
      </c>
      <c r="AK108" s="37" t="str">
        <f>IF(最佳化斷筋點!L108="","",最佳化斷筋點!L108)</f>
        <v/>
      </c>
      <c r="AL108" s="37" t="str">
        <f>IF(最佳化斷筋點!M108="","",最佳化斷筋點!M108)</f>
        <v/>
      </c>
      <c r="AM108" s="37" t="str">
        <f>IF(最佳化斷筋點!N108="","",最佳化斷筋點!N108)</f>
        <v/>
      </c>
      <c r="AN108" s="37" t="str">
        <f>IF(最佳化斷筋點!O108="","",最佳化斷筋點!O108)</f>
        <v/>
      </c>
      <c r="AO108" s="37" t="str">
        <f>IF(最佳化斷筋點!P108="","",最佳化斷筋點!P108)</f>
        <v/>
      </c>
      <c r="AP108" s="37" t="str">
        <f>IF(最佳化斷筋點!Q108="","",最佳化斷筋點!Q108)</f>
        <v/>
      </c>
      <c r="AQ108" s="37" t="str">
        <f>IF(最佳化斷筋點!R108="","",最佳化斷筋點!R108)</f>
        <v/>
      </c>
      <c r="AR108" s="37" t="str">
        <f>IF(最佳化斷筋點!S108="","",最佳化斷筋點!S108)</f>
        <v/>
      </c>
      <c r="AS108" s="37" t="str">
        <f>IF(最佳化斷筋點!T108="","",最佳化斷筋點!T108)</f>
        <v/>
      </c>
      <c r="AT108" s="37" t="str">
        <f>IF(最佳化斷筋點!U108="","",最佳化斷筋點!U108)</f>
        <v/>
      </c>
      <c r="AU108" s="37" t="str">
        <f>IF(最佳化斷筋點!V108="","",最佳化斷筋點!V108)</f>
        <v/>
      </c>
      <c r="AV108" s="37" t="str">
        <f>IF(最佳化斷筋點!W108="","",最佳化斷筋點!W108)</f>
        <v/>
      </c>
      <c r="AW108" s="37" t="str">
        <f>IF(最佳化斷筋點!X108="","",最佳化斷筋點!X108)</f>
        <v/>
      </c>
      <c r="AZ108" s="37" t="s">
        <v>197</v>
      </c>
      <c r="BA108" s="37" t="s">
        <v>197</v>
      </c>
      <c r="BB108" s="37" t="s">
        <v>197</v>
      </c>
      <c r="BC108" s="37" t="s">
        <v>197</v>
      </c>
      <c r="BD108" s="37" t="s">
        <v>197</v>
      </c>
      <c r="BE108" s="37" t="s">
        <v>197</v>
      </c>
      <c r="BF108" s="37" t="s">
        <v>197</v>
      </c>
      <c r="BG108" s="37" t="s">
        <v>197</v>
      </c>
      <c r="BH108" s="37" t="s">
        <v>197</v>
      </c>
      <c r="BI108" s="37" t="s">
        <v>197</v>
      </c>
      <c r="BJ108" s="37" t="s">
        <v>197</v>
      </c>
      <c r="BK108" s="37" t="s">
        <v>197</v>
      </c>
      <c r="BL108" s="37" t="s">
        <v>197</v>
      </c>
      <c r="BM108" s="37" t="s">
        <v>197</v>
      </c>
      <c r="BN108" s="37" t="s">
        <v>197</v>
      </c>
      <c r="BO108" s="37" t="s">
        <v>197</v>
      </c>
      <c r="BP108" s="37" t="s">
        <v>197</v>
      </c>
      <c r="BQ108" s="37" t="s">
        <v>197</v>
      </c>
      <c r="BR108" s="37" t="s">
        <v>197</v>
      </c>
      <c r="BS108" s="37" t="s">
        <v>197</v>
      </c>
      <c r="BT108" s="37" t="s">
        <v>197</v>
      </c>
    </row>
    <row r="109" spans="5:72" x14ac:dyDescent="0.25">
      <c r="E109" s="6" t="s">
        <v>21</v>
      </c>
      <c r="F109" s="6">
        <f t="shared" si="22"/>
        <v>0</v>
      </c>
      <c r="G109" s="6">
        <f t="shared" si="23"/>
        <v>0</v>
      </c>
      <c r="H109" s="6">
        <f t="shared" si="24"/>
        <v>0</v>
      </c>
      <c r="I109" s="6">
        <f t="shared" si="25"/>
        <v>0</v>
      </c>
      <c r="J109" s="6">
        <f t="shared" si="26"/>
        <v>0</v>
      </c>
      <c r="K109" s="6">
        <f t="shared" si="27"/>
        <v>0</v>
      </c>
      <c r="L109" s="6">
        <f t="shared" si="28"/>
        <v>0</v>
      </c>
      <c r="M109" s="6">
        <f t="shared" si="29"/>
        <v>0</v>
      </c>
      <c r="N109" s="6">
        <f t="shared" si="30"/>
        <v>0</v>
      </c>
      <c r="O109" s="6">
        <f t="shared" si="31"/>
        <v>0</v>
      </c>
      <c r="P109" s="6">
        <f t="shared" si="32"/>
        <v>0</v>
      </c>
      <c r="Q109" s="6">
        <f t="shared" si="33"/>
        <v>0</v>
      </c>
      <c r="R109" s="6">
        <f t="shared" si="34"/>
        <v>0</v>
      </c>
      <c r="S109" s="6">
        <f t="shared" si="35"/>
        <v>0</v>
      </c>
      <c r="T109" s="6">
        <f t="shared" si="36"/>
        <v>0</v>
      </c>
      <c r="U109" s="6">
        <f t="shared" si="37"/>
        <v>0</v>
      </c>
      <c r="V109" s="6">
        <f t="shared" si="38"/>
        <v>0</v>
      </c>
      <c r="W109" s="6">
        <f t="shared" si="39"/>
        <v>0</v>
      </c>
      <c r="X109" s="6">
        <f t="shared" si="40"/>
        <v>0</v>
      </c>
      <c r="Y109" s="6">
        <f t="shared" si="41"/>
        <v>0</v>
      </c>
      <c r="Z109" s="6">
        <f t="shared" si="42"/>
        <v>0</v>
      </c>
      <c r="AB109" s="36" t="str">
        <f>IF(最佳化斷筋點!C109="","",最佳化斷筋點!C109)</f>
        <v>下層</v>
      </c>
      <c r="AC109" s="37">
        <f>IF(最佳化斷筋點!D109="","",最佳化斷筋點!D109)</f>
        <v>3</v>
      </c>
      <c r="AD109" s="37">
        <f>IF(最佳化斷筋點!E109="","",最佳化斷筋點!E109)</f>
        <v>3</v>
      </c>
      <c r="AE109" s="37">
        <f>IF(最佳化斷筋點!F109="","",最佳化斷筋點!F109)</f>
        <v>3</v>
      </c>
      <c r="AF109" s="37">
        <f>IF(最佳化斷筋點!G109="","",最佳化斷筋點!G109)</f>
        <v>3</v>
      </c>
      <c r="AG109" s="37">
        <f>IF(最佳化斷筋點!H109="","",最佳化斷筋點!H109)</f>
        <v>3</v>
      </c>
      <c r="AH109" s="37">
        <f>IF(最佳化斷筋點!I109="","",最佳化斷筋點!I109)</f>
        <v>3</v>
      </c>
      <c r="AI109" s="37">
        <f>IF(最佳化斷筋點!J109="","",最佳化斷筋點!J109)</f>
        <v>3</v>
      </c>
      <c r="AJ109" s="37">
        <f>IF(最佳化斷筋點!K109="","",最佳化斷筋點!K109)</f>
        <v>3</v>
      </c>
      <c r="AK109" s="37">
        <f>IF(最佳化斷筋點!L109="","",最佳化斷筋點!L109)</f>
        <v>3</v>
      </c>
      <c r="AL109" s="37">
        <f>IF(最佳化斷筋點!M109="","",最佳化斷筋點!M109)</f>
        <v>3</v>
      </c>
      <c r="AM109" s="37">
        <f>IF(最佳化斷筋點!N109="","",最佳化斷筋點!N109)</f>
        <v>3</v>
      </c>
      <c r="AN109" s="37">
        <f>IF(最佳化斷筋點!O109="","",最佳化斷筋點!O109)</f>
        <v>3</v>
      </c>
      <c r="AO109" s="37">
        <f>IF(最佳化斷筋點!P109="","",最佳化斷筋點!P109)</f>
        <v>3</v>
      </c>
      <c r="AP109" s="37">
        <f>IF(最佳化斷筋點!Q109="","",最佳化斷筋點!Q109)</f>
        <v>3</v>
      </c>
      <c r="AQ109" s="37">
        <f>IF(最佳化斷筋點!R109="","",最佳化斷筋點!R109)</f>
        <v>3</v>
      </c>
      <c r="AR109" s="37">
        <f>IF(最佳化斷筋點!S109="","",最佳化斷筋點!S109)</f>
        <v>3</v>
      </c>
      <c r="AS109" s="37">
        <f>IF(最佳化斷筋點!T109="","",最佳化斷筋點!T109)</f>
        <v>3</v>
      </c>
      <c r="AT109" s="37">
        <f>IF(最佳化斷筋點!U109="","",最佳化斷筋點!U109)</f>
        <v>3</v>
      </c>
      <c r="AU109" s="37">
        <f>IF(最佳化斷筋點!V109="","",最佳化斷筋點!V109)</f>
        <v>3</v>
      </c>
      <c r="AV109" s="37">
        <f>IF(最佳化斷筋點!W109="","",最佳化斷筋點!W109)</f>
        <v>3</v>
      </c>
      <c r="AW109" s="37">
        <f>IF(最佳化斷筋點!X109="","",最佳化斷筋點!X109)</f>
        <v>3</v>
      </c>
      <c r="AY109" s="6" t="s">
        <v>21</v>
      </c>
      <c r="AZ109" s="37">
        <v>3</v>
      </c>
      <c r="BA109" s="37">
        <v>3</v>
      </c>
      <c r="BB109" s="37">
        <v>3</v>
      </c>
      <c r="BC109" s="37">
        <v>3</v>
      </c>
      <c r="BD109" s="37">
        <v>3</v>
      </c>
      <c r="BE109" s="37">
        <v>3</v>
      </c>
      <c r="BF109" s="37">
        <v>3</v>
      </c>
      <c r="BG109" s="37">
        <v>3</v>
      </c>
      <c r="BH109" s="37">
        <v>3</v>
      </c>
      <c r="BI109" s="37">
        <v>3</v>
      </c>
      <c r="BJ109" s="37">
        <v>3</v>
      </c>
      <c r="BK109" s="37">
        <v>3</v>
      </c>
      <c r="BL109" s="37">
        <v>3</v>
      </c>
      <c r="BM109" s="37">
        <v>3</v>
      </c>
      <c r="BN109" s="37">
        <v>3</v>
      </c>
      <c r="BO109" s="37">
        <v>3</v>
      </c>
      <c r="BP109" s="37">
        <v>3</v>
      </c>
      <c r="BQ109" s="37">
        <v>3</v>
      </c>
      <c r="BR109" s="37">
        <v>3</v>
      </c>
      <c r="BS109" s="37">
        <v>3</v>
      </c>
      <c r="BT109" s="37">
        <v>3</v>
      </c>
    </row>
    <row r="110" spans="5:72" x14ac:dyDescent="0.25">
      <c r="F110" s="6">
        <f t="shared" si="22"/>
        <v>0</v>
      </c>
      <c r="G110" s="6">
        <f t="shared" si="23"/>
        <v>0</v>
      </c>
      <c r="H110" s="6">
        <f t="shared" si="24"/>
        <v>0</v>
      </c>
      <c r="I110" s="6">
        <f t="shared" si="25"/>
        <v>0</v>
      </c>
      <c r="J110" s="6">
        <f t="shared" si="26"/>
        <v>0</v>
      </c>
      <c r="K110" s="6">
        <f t="shared" si="27"/>
        <v>0</v>
      </c>
      <c r="L110" s="6">
        <f t="shared" si="28"/>
        <v>0</v>
      </c>
      <c r="M110" s="6">
        <f t="shared" si="29"/>
        <v>0</v>
      </c>
      <c r="N110" s="6">
        <f t="shared" si="30"/>
        <v>0</v>
      </c>
      <c r="O110" s="6">
        <f t="shared" si="31"/>
        <v>0</v>
      </c>
      <c r="P110" s="6">
        <f t="shared" si="32"/>
        <v>0</v>
      </c>
      <c r="Q110" s="6">
        <f t="shared" si="33"/>
        <v>0</v>
      </c>
      <c r="R110" s="6">
        <f t="shared" si="34"/>
        <v>0</v>
      </c>
      <c r="S110" s="6">
        <f t="shared" si="35"/>
        <v>0</v>
      </c>
      <c r="T110" s="6">
        <f t="shared" si="36"/>
        <v>0</v>
      </c>
      <c r="U110" s="6">
        <f t="shared" si="37"/>
        <v>0</v>
      </c>
      <c r="V110" s="6">
        <f t="shared" si="38"/>
        <v>0</v>
      </c>
      <c r="W110" s="6">
        <f t="shared" si="39"/>
        <v>0</v>
      </c>
      <c r="X110" s="6">
        <f t="shared" si="40"/>
        <v>0</v>
      </c>
      <c r="Y110" s="6">
        <f t="shared" si="41"/>
        <v>0</v>
      </c>
      <c r="Z110" s="6">
        <f t="shared" si="42"/>
        <v>0</v>
      </c>
      <c r="AB110" s="36" t="str">
        <f>IF(最佳化斷筋點!C110="","",最佳化斷筋點!C110)</f>
        <v/>
      </c>
      <c r="AC110" s="37" t="str">
        <f>IF(最佳化斷筋點!D110="","",最佳化斷筋點!D110)</f>
        <v/>
      </c>
      <c r="AD110" s="37" t="str">
        <f>IF(最佳化斷筋點!E110="","",最佳化斷筋點!E110)</f>
        <v/>
      </c>
      <c r="AE110" s="37" t="str">
        <f>IF(最佳化斷筋點!F110="","",最佳化斷筋點!F110)</f>
        <v/>
      </c>
      <c r="AF110" s="37" t="str">
        <f>IF(最佳化斷筋點!G110="","",最佳化斷筋點!G110)</f>
        <v/>
      </c>
      <c r="AG110" s="37" t="str">
        <f>IF(最佳化斷筋點!H110="","",最佳化斷筋點!H110)</f>
        <v/>
      </c>
      <c r="AH110" s="37" t="str">
        <f>IF(最佳化斷筋點!I110="","",最佳化斷筋點!I110)</f>
        <v/>
      </c>
      <c r="AI110" s="37" t="str">
        <f>IF(最佳化斷筋點!J110="","",最佳化斷筋點!J110)</f>
        <v/>
      </c>
      <c r="AJ110" s="37" t="str">
        <f>IF(最佳化斷筋點!K110="","",最佳化斷筋點!K110)</f>
        <v/>
      </c>
      <c r="AK110" s="37" t="str">
        <f>IF(最佳化斷筋點!L110="","",最佳化斷筋點!L110)</f>
        <v/>
      </c>
      <c r="AL110" s="37" t="str">
        <f>IF(最佳化斷筋點!M110="","",最佳化斷筋點!M110)</f>
        <v/>
      </c>
      <c r="AM110" s="37" t="str">
        <f>IF(最佳化斷筋點!N110="","",最佳化斷筋點!N110)</f>
        <v/>
      </c>
      <c r="AN110" s="37" t="str">
        <f>IF(最佳化斷筋點!O110="","",最佳化斷筋點!O110)</f>
        <v/>
      </c>
      <c r="AO110" s="37" t="str">
        <f>IF(最佳化斷筋點!P110="","",最佳化斷筋點!P110)</f>
        <v/>
      </c>
      <c r="AP110" s="37" t="str">
        <f>IF(最佳化斷筋點!Q110="","",最佳化斷筋點!Q110)</f>
        <v/>
      </c>
      <c r="AQ110" s="37" t="str">
        <f>IF(最佳化斷筋點!R110="","",最佳化斷筋點!R110)</f>
        <v/>
      </c>
      <c r="AR110" s="37" t="str">
        <f>IF(最佳化斷筋點!S110="","",最佳化斷筋點!S110)</f>
        <v/>
      </c>
      <c r="AS110" s="37" t="str">
        <f>IF(最佳化斷筋點!T110="","",最佳化斷筋點!T110)</f>
        <v/>
      </c>
      <c r="AT110" s="37" t="str">
        <f>IF(最佳化斷筋點!U110="","",最佳化斷筋點!U110)</f>
        <v/>
      </c>
      <c r="AU110" s="37" t="str">
        <f>IF(最佳化斷筋點!V110="","",最佳化斷筋點!V110)</f>
        <v/>
      </c>
      <c r="AV110" s="37" t="str">
        <f>IF(最佳化斷筋點!W110="","",最佳化斷筋點!W110)</f>
        <v/>
      </c>
      <c r="AW110" s="37" t="str">
        <f>IF(最佳化斷筋點!X110="","",最佳化斷筋點!X110)</f>
        <v/>
      </c>
      <c r="AZ110" s="37" t="s">
        <v>197</v>
      </c>
      <c r="BA110" s="37" t="s">
        <v>197</v>
      </c>
      <c r="BB110" s="37" t="s">
        <v>197</v>
      </c>
      <c r="BC110" s="37" t="s">
        <v>197</v>
      </c>
      <c r="BD110" s="37" t="s">
        <v>197</v>
      </c>
      <c r="BE110" s="37" t="s">
        <v>197</v>
      </c>
      <c r="BF110" s="37" t="s">
        <v>197</v>
      </c>
      <c r="BG110" s="37" t="s">
        <v>197</v>
      </c>
      <c r="BH110" s="37" t="s">
        <v>197</v>
      </c>
      <c r="BI110" s="37" t="s">
        <v>197</v>
      </c>
      <c r="BJ110" s="37" t="s">
        <v>197</v>
      </c>
      <c r="BK110" s="37" t="s">
        <v>197</v>
      </c>
      <c r="BL110" s="37" t="s">
        <v>197</v>
      </c>
      <c r="BM110" s="37" t="s">
        <v>197</v>
      </c>
      <c r="BN110" s="37" t="s">
        <v>197</v>
      </c>
      <c r="BO110" s="37" t="s">
        <v>197</v>
      </c>
      <c r="BP110" s="37" t="s">
        <v>197</v>
      </c>
      <c r="BQ110" s="37" t="s">
        <v>197</v>
      </c>
      <c r="BR110" s="37" t="s">
        <v>197</v>
      </c>
      <c r="BS110" s="37" t="s">
        <v>197</v>
      </c>
      <c r="BT110" s="37" t="s">
        <v>197</v>
      </c>
    </row>
    <row r="111" spans="5:72" x14ac:dyDescent="0.25">
      <c r="E111" s="6" t="s">
        <v>20</v>
      </c>
      <c r="F111" s="6">
        <f t="shared" si="22"/>
        <v>0</v>
      </c>
      <c r="G111" s="6">
        <f t="shared" si="23"/>
        <v>0</v>
      </c>
      <c r="H111" s="6">
        <f t="shared" si="24"/>
        <v>0</v>
      </c>
      <c r="I111" s="6">
        <f t="shared" si="25"/>
        <v>0</v>
      </c>
      <c r="J111" s="6">
        <f t="shared" si="26"/>
        <v>0</v>
      </c>
      <c r="K111" s="6">
        <f t="shared" si="27"/>
        <v>0</v>
      </c>
      <c r="L111" s="6">
        <f t="shared" si="28"/>
        <v>0</v>
      </c>
      <c r="M111" s="6">
        <f t="shared" si="29"/>
        <v>0</v>
      </c>
      <c r="N111" s="6">
        <f t="shared" si="30"/>
        <v>0</v>
      </c>
      <c r="O111" s="6">
        <f t="shared" si="31"/>
        <v>0</v>
      </c>
      <c r="P111" s="6">
        <f t="shared" si="32"/>
        <v>0</v>
      </c>
      <c r="Q111" s="6">
        <f t="shared" si="33"/>
        <v>0</v>
      </c>
      <c r="R111" s="6">
        <f t="shared" si="34"/>
        <v>0</v>
      </c>
      <c r="S111" s="6">
        <f t="shared" si="35"/>
        <v>0</v>
      </c>
      <c r="T111" s="6">
        <f t="shared" si="36"/>
        <v>0</v>
      </c>
      <c r="U111" s="6">
        <f t="shared" si="37"/>
        <v>0</v>
      </c>
      <c r="V111" s="6">
        <f t="shared" si="38"/>
        <v>0</v>
      </c>
      <c r="W111" s="6">
        <f t="shared" si="39"/>
        <v>0</v>
      </c>
      <c r="X111" s="6">
        <f t="shared" si="40"/>
        <v>0</v>
      </c>
      <c r="Y111" s="6">
        <f t="shared" si="41"/>
        <v>0</v>
      </c>
      <c r="Z111" s="6">
        <f t="shared" si="42"/>
        <v>0</v>
      </c>
      <c r="AB111" s="36" t="str">
        <f>IF(最佳化斷筋點!C111="","",最佳化斷筋點!C111)</f>
        <v>上層</v>
      </c>
      <c r="AC111" s="37">
        <f>IF(最佳化斷筋點!D111="","",最佳化斷筋點!D111)</f>
        <v>6</v>
      </c>
      <c r="AD111" s="37">
        <f>IF(最佳化斷筋點!E111="","",最佳化斷筋點!E111)</f>
        <v>6</v>
      </c>
      <c r="AE111" s="37">
        <f>IF(最佳化斷筋點!F111="","",最佳化斷筋點!F111)</f>
        <v>6</v>
      </c>
      <c r="AF111" s="37">
        <f>IF(最佳化斷筋點!G111="","",最佳化斷筋點!G111)</f>
        <v>6</v>
      </c>
      <c r="AG111" s="37">
        <f>IF(最佳化斷筋點!H111="","",最佳化斷筋點!H111)</f>
        <v>6</v>
      </c>
      <c r="AH111" s="37">
        <f>IF(最佳化斷筋點!I111="","",最佳化斷筋點!I111)</f>
        <v>6</v>
      </c>
      <c r="AI111" s="37">
        <f>IF(最佳化斷筋點!J111="","",最佳化斷筋點!J111)</f>
        <v>5</v>
      </c>
      <c r="AJ111" s="37">
        <f>IF(最佳化斷筋點!K111="","",最佳化斷筋點!K111)</f>
        <v>3</v>
      </c>
      <c r="AK111" s="37">
        <f>IF(最佳化斷筋點!L111="","",最佳化斷筋點!L111)</f>
        <v>3</v>
      </c>
      <c r="AL111" s="37">
        <f>IF(最佳化斷筋點!M111="","",最佳化斷筋點!M111)</f>
        <v>3</v>
      </c>
      <c r="AM111" s="37">
        <f>IF(最佳化斷筋點!N111="","",最佳化斷筋點!N111)</f>
        <v>3</v>
      </c>
      <c r="AN111" s="37">
        <f>IF(最佳化斷筋點!O111="","",最佳化斷筋點!O111)</f>
        <v>2</v>
      </c>
      <c r="AO111" s="37">
        <f>IF(最佳化斷筋點!P111="","",最佳化斷筋點!P111)</f>
        <v>2</v>
      </c>
      <c r="AP111" s="37">
        <f>IF(最佳化斷筋點!Q111="","",最佳化斷筋點!Q111)</f>
        <v>3</v>
      </c>
      <c r="AQ111" s="37">
        <f>IF(最佳化斷筋點!R111="","",最佳化斷筋點!R111)</f>
        <v>3</v>
      </c>
      <c r="AR111" s="37">
        <f>IF(最佳化斷筋點!S111="","",最佳化斷筋點!S111)</f>
        <v>3</v>
      </c>
      <c r="AS111" s="37">
        <f>IF(最佳化斷筋點!T111="","",最佳化斷筋點!T111)</f>
        <v>4</v>
      </c>
      <c r="AT111" s="37">
        <f>IF(最佳化斷筋點!U111="","",最佳化斷筋點!U111)</f>
        <v>4</v>
      </c>
      <c r="AU111" s="37">
        <f>IF(最佳化斷筋點!V111="","",最佳化斷筋點!V111)</f>
        <v>4</v>
      </c>
      <c r="AV111" s="37">
        <f>IF(最佳化斷筋點!W111="","",最佳化斷筋點!W111)</f>
        <v>4</v>
      </c>
      <c r="AW111" s="37">
        <f>IF(最佳化斷筋點!X111="","",最佳化斷筋點!X111)</f>
        <v>4</v>
      </c>
      <c r="AY111" s="6" t="s">
        <v>20</v>
      </c>
      <c r="AZ111" s="37">
        <v>6</v>
      </c>
      <c r="BA111" s="37">
        <v>6</v>
      </c>
      <c r="BB111" s="37">
        <v>6</v>
      </c>
      <c r="BC111" s="37">
        <v>6</v>
      </c>
      <c r="BD111" s="37">
        <v>6</v>
      </c>
      <c r="BE111" s="37">
        <v>6</v>
      </c>
      <c r="BF111" s="37">
        <v>5</v>
      </c>
      <c r="BG111" s="37">
        <v>3</v>
      </c>
      <c r="BH111" s="37">
        <v>3</v>
      </c>
      <c r="BI111" s="37">
        <v>3</v>
      </c>
      <c r="BJ111" s="37">
        <v>3</v>
      </c>
      <c r="BK111" s="37">
        <v>2</v>
      </c>
      <c r="BL111" s="37">
        <v>2</v>
      </c>
      <c r="BM111" s="37">
        <v>3</v>
      </c>
      <c r="BN111" s="37">
        <v>3</v>
      </c>
      <c r="BO111" s="37">
        <v>3</v>
      </c>
      <c r="BP111" s="37">
        <v>4</v>
      </c>
      <c r="BQ111" s="37">
        <v>4</v>
      </c>
      <c r="BR111" s="37">
        <v>4</v>
      </c>
      <c r="BS111" s="37">
        <v>4</v>
      </c>
      <c r="BT111" s="37">
        <v>4</v>
      </c>
    </row>
    <row r="112" spans="5:72" x14ac:dyDescent="0.25">
      <c r="F112" s="6">
        <f t="shared" si="22"/>
        <v>0</v>
      </c>
      <c r="G112" s="6">
        <f t="shared" si="23"/>
        <v>0</v>
      </c>
      <c r="H112" s="6">
        <f t="shared" si="24"/>
        <v>0</v>
      </c>
      <c r="I112" s="6">
        <f t="shared" si="25"/>
        <v>0</v>
      </c>
      <c r="J112" s="6">
        <f t="shared" si="26"/>
        <v>0</v>
      </c>
      <c r="K112" s="6">
        <f t="shared" si="27"/>
        <v>0</v>
      </c>
      <c r="L112" s="6">
        <f t="shared" si="28"/>
        <v>0</v>
      </c>
      <c r="M112" s="6">
        <f t="shared" si="29"/>
        <v>0</v>
      </c>
      <c r="N112" s="6">
        <f t="shared" si="30"/>
        <v>0</v>
      </c>
      <c r="O112" s="6">
        <f t="shared" si="31"/>
        <v>0</v>
      </c>
      <c r="P112" s="6">
        <f t="shared" si="32"/>
        <v>0</v>
      </c>
      <c r="Q112" s="6">
        <f t="shared" si="33"/>
        <v>0</v>
      </c>
      <c r="R112" s="6">
        <f t="shared" si="34"/>
        <v>0</v>
      </c>
      <c r="S112" s="6">
        <f t="shared" si="35"/>
        <v>0</v>
      </c>
      <c r="T112" s="6">
        <f t="shared" si="36"/>
        <v>0</v>
      </c>
      <c r="U112" s="6">
        <f t="shared" si="37"/>
        <v>0</v>
      </c>
      <c r="V112" s="6">
        <f t="shared" si="38"/>
        <v>0</v>
      </c>
      <c r="W112" s="6">
        <f t="shared" si="39"/>
        <v>0</v>
      </c>
      <c r="X112" s="6">
        <f t="shared" si="40"/>
        <v>0</v>
      </c>
      <c r="Y112" s="6">
        <f t="shared" si="41"/>
        <v>0</v>
      </c>
      <c r="Z112" s="6">
        <f t="shared" si="42"/>
        <v>0</v>
      </c>
      <c r="AB112" s="36" t="str">
        <f>IF(最佳化斷筋點!C112="","",最佳化斷筋點!C112)</f>
        <v/>
      </c>
      <c r="AC112" s="36" t="str">
        <f>IF(最佳化斷筋點!D112="","",最佳化斷筋點!D112)</f>
        <v/>
      </c>
      <c r="AD112" s="36" t="str">
        <f>IF(最佳化斷筋點!E112="","",最佳化斷筋點!E112)</f>
        <v/>
      </c>
      <c r="AE112" s="36" t="str">
        <f>IF(最佳化斷筋點!F112="","",最佳化斷筋點!F112)</f>
        <v/>
      </c>
      <c r="AF112" s="36" t="str">
        <f>IF(最佳化斷筋點!G112="","",最佳化斷筋點!G112)</f>
        <v/>
      </c>
      <c r="AG112" s="36" t="str">
        <f>IF(最佳化斷筋點!H112="","",最佳化斷筋點!H112)</f>
        <v/>
      </c>
      <c r="AH112" s="36" t="str">
        <f>IF(最佳化斷筋點!I112="","",最佳化斷筋點!I112)</f>
        <v/>
      </c>
      <c r="AI112" s="36" t="str">
        <f>IF(最佳化斷筋點!J112="","",最佳化斷筋點!J112)</f>
        <v/>
      </c>
      <c r="AJ112" s="36" t="str">
        <f>IF(最佳化斷筋點!K112="","",最佳化斷筋點!K112)</f>
        <v/>
      </c>
      <c r="AK112" s="36" t="str">
        <f>IF(最佳化斷筋點!L112="","",最佳化斷筋點!L112)</f>
        <v/>
      </c>
      <c r="AL112" s="36" t="str">
        <f>IF(最佳化斷筋點!M112="","",最佳化斷筋點!M112)</f>
        <v/>
      </c>
      <c r="AM112" s="36" t="str">
        <f>IF(最佳化斷筋點!N112="","",最佳化斷筋點!N112)</f>
        <v/>
      </c>
      <c r="AN112" s="36" t="str">
        <f>IF(最佳化斷筋點!O112="","",最佳化斷筋點!O112)</f>
        <v/>
      </c>
      <c r="AO112" s="36" t="str">
        <f>IF(最佳化斷筋點!P112="","",最佳化斷筋點!P112)</f>
        <v/>
      </c>
      <c r="AP112" s="36" t="str">
        <f>IF(最佳化斷筋點!Q112="","",最佳化斷筋點!Q112)</f>
        <v/>
      </c>
      <c r="AQ112" s="36" t="str">
        <f>IF(最佳化斷筋點!R112="","",最佳化斷筋點!R112)</f>
        <v/>
      </c>
      <c r="AR112" s="36" t="str">
        <f>IF(最佳化斷筋點!S112="","",最佳化斷筋點!S112)</f>
        <v/>
      </c>
      <c r="AS112" s="36" t="str">
        <f>IF(最佳化斷筋點!T112="","",最佳化斷筋點!T112)</f>
        <v/>
      </c>
      <c r="AT112" s="36" t="str">
        <f>IF(最佳化斷筋點!U112="","",最佳化斷筋點!U112)</f>
        <v/>
      </c>
      <c r="AU112" s="36" t="str">
        <f>IF(最佳化斷筋點!V112="","",最佳化斷筋點!V112)</f>
        <v/>
      </c>
      <c r="AV112" s="36" t="str">
        <f>IF(最佳化斷筋點!W112="","",最佳化斷筋點!W112)</f>
        <v/>
      </c>
      <c r="AW112" s="36" t="str">
        <f>IF(最佳化斷筋點!X112="","",最佳化斷筋點!X112)</f>
        <v/>
      </c>
      <c r="AZ112" s="37" t="s">
        <v>197</v>
      </c>
      <c r="BA112" s="37" t="s">
        <v>197</v>
      </c>
      <c r="BB112" s="37" t="s">
        <v>197</v>
      </c>
      <c r="BC112" s="37" t="s">
        <v>197</v>
      </c>
      <c r="BD112" s="37" t="s">
        <v>197</v>
      </c>
      <c r="BE112" s="37" t="s">
        <v>197</v>
      </c>
      <c r="BF112" s="37" t="s">
        <v>197</v>
      </c>
      <c r="BG112" s="37" t="s">
        <v>197</v>
      </c>
      <c r="BH112" s="37" t="s">
        <v>197</v>
      </c>
      <c r="BI112" s="37" t="s">
        <v>197</v>
      </c>
      <c r="BJ112" s="37" t="s">
        <v>197</v>
      </c>
      <c r="BK112" s="37" t="s">
        <v>197</v>
      </c>
      <c r="BL112" s="37" t="s">
        <v>197</v>
      </c>
      <c r="BM112" s="37" t="s">
        <v>197</v>
      </c>
      <c r="BN112" s="37" t="s">
        <v>197</v>
      </c>
      <c r="BO112" s="37" t="s">
        <v>197</v>
      </c>
      <c r="BP112" s="37" t="s">
        <v>197</v>
      </c>
      <c r="BQ112" s="37" t="s">
        <v>197</v>
      </c>
      <c r="BR112" s="37" t="s">
        <v>197</v>
      </c>
      <c r="BS112" s="37" t="s">
        <v>197</v>
      </c>
      <c r="BT112" s="37" t="s">
        <v>197</v>
      </c>
    </row>
    <row r="113" spans="5:72" x14ac:dyDescent="0.25">
      <c r="E113" s="6" t="s">
        <v>21</v>
      </c>
      <c r="F113" s="6">
        <f t="shared" si="22"/>
        <v>0</v>
      </c>
      <c r="G113" s="6">
        <f t="shared" si="23"/>
        <v>0</v>
      </c>
      <c r="H113" s="6">
        <f t="shared" si="24"/>
        <v>0</v>
      </c>
      <c r="I113" s="6">
        <f t="shared" si="25"/>
        <v>0</v>
      </c>
      <c r="J113" s="6">
        <f t="shared" si="26"/>
        <v>0</v>
      </c>
      <c r="K113" s="6">
        <f t="shared" si="27"/>
        <v>0</v>
      </c>
      <c r="L113" s="6">
        <f t="shared" si="28"/>
        <v>0</v>
      </c>
      <c r="M113" s="6">
        <f t="shared" si="29"/>
        <v>0</v>
      </c>
      <c r="N113" s="6">
        <f t="shared" si="30"/>
        <v>0</v>
      </c>
      <c r="O113" s="6">
        <f t="shared" si="31"/>
        <v>0</v>
      </c>
      <c r="P113" s="6">
        <f t="shared" si="32"/>
        <v>0</v>
      </c>
      <c r="Q113" s="6">
        <f t="shared" si="33"/>
        <v>0</v>
      </c>
      <c r="R113" s="6">
        <f t="shared" si="34"/>
        <v>0</v>
      </c>
      <c r="S113" s="6">
        <f t="shared" si="35"/>
        <v>0</v>
      </c>
      <c r="T113" s="6">
        <f t="shared" si="36"/>
        <v>0</v>
      </c>
      <c r="U113" s="6">
        <f t="shared" si="37"/>
        <v>0</v>
      </c>
      <c r="V113" s="6">
        <f t="shared" si="38"/>
        <v>0</v>
      </c>
      <c r="W113" s="6">
        <f t="shared" si="39"/>
        <v>0</v>
      </c>
      <c r="X113" s="6">
        <f t="shared" si="40"/>
        <v>0</v>
      </c>
      <c r="Y113" s="6">
        <f t="shared" si="41"/>
        <v>0</v>
      </c>
      <c r="Z113" s="6">
        <f t="shared" si="42"/>
        <v>0</v>
      </c>
      <c r="AB113" s="36" t="str">
        <f>IF(最佳化斷筋點!C113="","",最佳化斷筋點!C113)</f>
        <v>下層</v>
      </c>
      <c r="AC113" s="37">
        <f>IF(最佳化斷筋點!D113="","",最佳化斷筋點!D113)</f>
        <v>3</v>
      </c>
      <c r="AD113" s="37">
        <f>IF(最佳化斷筋點!E113="","",最佳化斷筋點!E113)</f>
        <v>3</v>
      </c>
      <c r="AE113" s="37">
        <f>IF(最佳化斷筋點!F113="","",最佳化斷筋點!F113)</f>
        <v>3</v>
      </c>
      <c r="AF113" s="37">
        <f>IF(最佳化斷筋點!G113="","",最佳化斷筋點!G113)</f>
        <v>3</v>
      </c>
      <c r="AG113" s="37">
        <f>IF(最佳化斷筋點!H113="","",最佳化斷筋點!H113)</f>
        <v>3</v>
      </c>
      <c r="AH113" s="37">
        <f>IF(最佳化斷筋點!I113="","",最佳化斷筋點!I113)</f>
        <v>3</v>
      </c>
      <c r="AI113" s="37">
        <f>IF(最佳化斷筋點!J113="","",最佳化斷筋點!J113)</f>
        <v>3</v>
      </c>
      <c r="AJ113" s="37">
        <f>IF(最佳化斷筋點!K113="","",最佳化斷筋點!K113)</f>
        <v>3</v>
      </c>
      <c r="AK113" s="37">
        <f>IF(最佳化斷筋點!L113="","",最佳化斷筋點!L113)</f>
        <v>3</v>
      </c>
      <c r="AL113" s="37">
        <f>IF(最佳化斷筋點!M113="","",最佳化斷筋點!M113)</f>
        <v>3</v>
      </c>
      <c r="AM113" s="37">
        <f>IF(最佳化斷筋點!N113="","",最佳化斷筋點!N113)</f>
        <v>3</v>
      </c>
      <c r="AN113" s="37">
        <f>IF(最佳化斷筋點!O113="","",最佳化斷筋點!O113)</f>
        <v>3</v>
      </c>
      <c r="AO113" s="37">
        <f>IF(最佳化斷筋點!P113="","",最佳化斷筋點!P113)</f>
        <v>3</v>
      </c>
      <c r="AP113" s="37">
        <f>IF(最佳化斷筋點!Q113="","",最佳化斷筋點!Q113)</f>
        <v>3</v>
      </c>
      <c r="AQ113" s="37">
        <f>IF(最佳化斷筋點!R113="","",最佳化斷筋點!R113)</f>
        <v>3</v>
      </c>
      <c r="AR113" s="37">
        <f>IF(最佳化斷筋點!S113="","",最佳化斷筋點!S113)</f>
        <v>3</v>
      </c>
      <c r="AS113" s="37">
        <f>IF(最佳化斷筋點!T113="","",最佳化斷筋點!T113)</f>
        <v>3</v>
      </c>
      <c r="AT113" s="37">
        <f>IF(最佳化斷筋點!U113="","",最佳化斷筋點!U113)</f>
        <v>3</v>
      </c>
      <c r="AU113" s="37">
        <f>IF(最佳化斷筋點!V113="","",最佳化斷筋點!V113)</f>
        <v>3</v>
      </c>
      <c r="AV113" s="37">
        <f>IF(最佳化斷筋點!W113="","",最佳化斷筋點!W113)</f>
        <v>3</v>
      </c>
      <c r="AW113" s="37">
        <f>IF(最佳化斷筋點!X113="","",最佳化斷筋點!X113)</f>
        <v>3</v>
      </c>
      <c r="AY113" s="6" t="s">
        <v>21</v>
      </c>
      <c r="AZ113" s="37">
        <v>3</v>
      </c>
      <c r="BA113" s="37">
        <v>3</v>
      </c>
      <c r="BB113" s="37">
        <v>3</v>
      </c>
      <c r="BC113" s="37">
        <v>3</v>
      </c>
      <c r="BD113" s="37">
        <v>3</v>
      </c>
      <c r="BE113" s="37">
        <v>3</v>
      </c>
      <c r="BF113" s="37">
        <v>3</v>
      </c>
      <c r="BG113" s="37">
        <v>3</v>
      </c>
      <c r="BH113" s="37">
        <v>3</v>
      </c>
      <c r="BI113" s="37">
        <v>3</v>
      </c>
      <c r="BJ113" s="37">
        <v>3</v>
      </c>
      <c r="BK113" s="37">
        <v>3</v>
      </c>
      <c r="BL113" s="37">
        <v>3</v>
      </c>
      <c r="BM113" s="37">
        <v>3</v>
      </c>
      <c r="BN113" s="37">
        <v>3</v>
      </c>
      <c r="BO113" s="37">
        <v>3</v>
      </c>
      <c r="BP113" s="37">
        <v>3</v>
      </c>
      <c r="BQ113" s="37">
        <v>3</v>
      </c>
      <c r="BR113" s="37">
        <v>3</v>
      </c>
      <c r="BS113" s="37">
        <v>3</v>
      </c>
      <c r="BT113" s="37">
        <v>3</v>
      </c>
    </row>
    <row r="114" spans="5:72" x14ac:dyDescent="0.25">
      <c r="F114" s="6">
        <f t="shared" si="22"/>
        <v>0</v>
      </c>
      <c r="G114" s="6">
        <f t="shared" si="23"/>
        <v>0</v>
      </c>
      <c r="H114" s="6">
        <f t="shared" si="24"/>
        <v>0</v>
      </c>
      <c r="I114" s="6">
        <f t="shared" si="25"/>
        <v>0</v>
      </c>
      <c r="J114" s="6">
        <f t="shared" si="26"/>
        <v>0</v>
      </c>
      <c r="K114" s="6">
        <f t="shared" si="27"/>
        <v>0</v>
      </c>
      <c r="L114" s="6">
        <f t="shared" si="28"/>
        <v>0</v>
      </c>
      <c r="M114" s="6">
        <f t="shared" si="29"/>
        <v>0</v>
      </c>
      <c r="N114" s="6">
        <f t="shared" si="30"/>
        <v>0</v>
      </c>
      <c r="O114" s="6">
        <f t="shared" si="31"/>
        <v>0</v>
      </c>
      <c r="P114" s="6">
        <f t="shared" si="32"/>
        <v>0</v>
      </c>
      <c r="Q114" s="6">
        <f t="shared" si="33"/>
        <v>0</v>
      </c>
      <c r="R114" s="6">
        <f t="shared" si="34"/>
        <v>0</v>
      </c>
      <c r="S114" s="6">
        <f t="shared" si="35"/>
        <v>0</v>
      </c>
      <c r="T114" s="6">
        <f t="shared" si="36"/>
        <v>0</v>
      </c>
      <c r="U114" s="6">
        <f t="shared" si="37"/>
        <v>0</v>
      </c>
      <c r="V114" s="6">
        <f t="shared" si="38"/>
        <v>0</v>
      </c>
      <c r="W114" s="6">
        <f t="shared" si="39"/>
        <v>0</v>
      </c>
      <c r="X114" s="6">
        <f t="shared" si="40"/>
        <v>0</v>
      </c>
      <c r="Y114" s="6">
        <f t="shared" si="41"/>
        <v>0</v>
      </c>
      <c r="Z114" s="6">
        <f t="shared" si="42"/>
        <v>0</v>
      </c>
      <c r="AB114" s="36" t="str">
        <f>IF(最佳化斷筋點!C114="","",最佳化斷筋點!C114)</f>
        <v/>
      </c>
      <c r="AC114" s="37" t="str">
        <f>IF(最佳化斷筋點!D114="","",最佳化斷筋點!D114)</f>
        <v/>
      </c>
      <c r="AD114" s="37" t="str">
        <f>IF(最佳化斷筋點!E114="","",最佳化斷筋點!E114)</f>
        <v/>
      </c>
      <c r="AE114" s="37" t="str">
        <f>IF(最佳化斷筋點!F114="","",最佳化斷筋點!F114)</f>
        <v/>
      </c>
      <c r="AF114" s="37" t="str">
        <f>IF(最佳化斷筋點!G114="","",最佳化斷筋點!G114)</f>
        <v/>
      </c>
      <c r="AG114" s="37" t="str">
        <f>IF(最佳化斷筋點!H114="","",最佳化斷筋點!H114)</f>
        <v/>
      </c>
      <c r="AH114" s="37" t="str">
        <f>IF(最佳化斷筋點!I114="","",最佳化斷筋點!I114)</f>
        <v/>
      </c>
      <c r="AI114" s="37" t="str">
        <f>IF(最佳化斷筋點!J114="","",最佳化斷筋點!J114)</f>
        <v/>
      </c>
      <c r="AJ114" s="37" t="str">
        <f>IF(最佳化斷筋點!K114="","",最佳化斷筋點!K114)</f>
        <v/>
      </c>
      <c r="AK114" s="37" t="str">
        <f>IF(最佳化斷筋點!L114="","",最佳化斷筋點!L114)</f>
        <v/>
      </c>
      <c r="AL114" s="37" t="str">
        <f>IF(最佳化斷筋點!M114="","",最佳化斷筋點!M114)</f>
        <v/>
      </c>
      <c r="AM114" s="37" t="str">
        <f>IF(最佳化斷筋點!N114="","",最佳化斷筋點!N114)</f>
        <v/>
      </c>
      <c r="AN114" s="37" t="str">
        <f>IF(最佳化斷筋點!O114="","",最佳化斷筋點!O114)</f>
        <v/>
      </c>
      <c r="AO114" s="37" t="str">
        <f>IF(最佳化斷筋點!P114="","",最佳化斷筋點!P114)</f>
        <v/>
      </c>
      <c r="AP114" s="37" t="str">
        <f>IF(最佳化斷筋點!Q114="","",最佳化斷筋點!Q114)</f>
        <v/>
      </c>
      <c r="AQ114" s="37" t="str">
        <f>IF(最佳化斷筋點!R114="","",最佳化斷筋點!R114)</f>
        <v/>
      </c>
      <c r="AR114" s="37" t="str">
        <f>IF(最佳化斷筋點!S114="","",最佳化斷筋點!S114)</f>
        <v/>
      </c>
      <c r="AS114" s="37" t="str">
        <f>IF(最佳化斷筋點!T114="","",最佳化斷筋點!T114)</f>
        <v/>
      </c>
      <c r="AT114" s="37" t="str">
        <f>IF(最佳化斷筋點!U114="","",最佳化斷筋點!U114)</f>
        <v/>
      </c>
      <c r="AU114" s="37" t="str">
        <f>IF(最佳化斷筋點!V114="","",最佳化斷筋點!V114)</f>
        <v/>
      </c>
      <c r="AV114" s="37" t="str">
        <f>IF(最佳化斷筋點!W114="","",最佳化斷筋點!W114)</f>
        <v/>
      </c>
      <c r="AW114" s="37" t="str">
        <f>IF(最佳化斷筋點!X114="","",最佳化斷筋點!X114)</f>
        <v/>
      </c>
      <c r="AZ114" s="37" t="s">
        <v>197</v>
      </c>
      <c r="BA114" s="37" t="s">
        <v>197</v>
      </c>
      <c r="BB114" s="37" t="s">
        <v>197</v>
      </c>
      <c r="BC114" s="37" t="s">
        <v>197</v>
      </c>
      <c r="BD114" s="37" t="s">
        <v>197</v>
      </c>
      <c r="BE114" s="37" t="s">
        <v>197</v>
      </c>
      <c r="BF114" s="37" t="s">
        <v>197</v>
      </c>
      <c r="BG114" s="37" t="s">
        <v>197</v>
      </c>
      <c r="BH114" s="37" t="s">
        <v>197</v>
      </c>
      <c r="BI114" s="37" t="s">
        <v>197</v>
      </c>
      <c r="BJ114" s="37" t="s">
        <v>197</v>
      </c>
      <c r="BK114" s="37" t="s">
        <v>197</v>
      </c>
      <c r="BL114" s="37" t="s">
        <v>197</v>
      </c>
      <c r="BM114" s="37" t="s">
        <v>197</v>
      </c>
      <c r="BN114" s="37" t="s">
        <v>197</v>
      </c>
      <c r="BO114" s="37" t="s">
        <v>197</v>
      </c>
      <c r="BP114" s="37" t="s">
        <v>197</v>
      </c>
      <c r="BQ114" s="37" t="s">
        <v>197</v>
      </c>
      <c r="BR114" s="37" t="s">
        <v>197</v>
      </c>
      <c r="BS114" s="37" t="s">
        <v>197</v>
      </c>
      <c r="BT114" s="37" t="s">
        <v>197</v>
      </c>
    </row>
    <row r="115" spans="5:72" x14ac:dyDescent="0.25">
      <c r="E115" s="6" t="s">
        <v>20</v>
      </c>
      <c r="F115" s="6">
        <f t="shared" si="22"/>
        <v>0</v>
      </c>
      <c r="G115" s="6">
        <f t="shared" si="23"/>
        <v>0</v>
      </c>
      <c r="H115" s="6">
        <f t="shared" si="24"/>
        <v>0</v>
      </c>
      <c r="I115" s="6">
        <f t="shared" si="25"/>
        <v>0</v>
      </c>
      <c r="J115" s="6">
        <f t="shared" si="26"/>
        <v>0</v>
      </c>
      <c r="K115" s="6">
        <f t="shared" si="27"/>
        <v>0</v>
      </c>
      <c r="L115" s="6">
        <f t="shared" si="28"/>
        <v>0</v>
      </c>
      <c r="M115" s="6">
        <f t="shared" si="29"/>
        <v>0</v>
      </c>
      <c r="N115" s="6">
        <f t="shared" si="30"/>
        <v>0</v>
      </c>
      <c r="O115" s="6">
        <f t="shared" si="31"/>
        <v>0</v>
      </c>
      <c r="P115" s="6">
        <f t="shared" si="32"/>
        <v>0</v>
      </c>
      <c r="Q115" s="6">
        <f t="shared" si="33"/>
        <v>0</v>
      </c>
      <c r="R115" s="6">
        <f t="shared" si="34"/>
        <v>0</v>
      </c>
      <c r="S115" s="6">
        <f t="shared" si="35"/>
        <v>0</v>
      </c>
      <c r="T115" s="6">
        <f t="shared" si="36"/>
        <v>0</v>
      </c>
      <c r="U115" s="6">
        <f t="shared" si="37"/>
        <v>0</v>
      </c>
      <c r="V115" s="6">
        <f t="shared" si="38"/>
        <v>0</v>
      </c>
      <c r="W115" s="6">
        <f t="shared" si="39"/>
        <v>0</v>
      </c>
      <c r="X115" s="6">
        <f t="shared" si="40"/>
        <v>0</v>
      </c>
      <c r="Y115" s="6">
        <f t="shared" si="41"/>
        <v>0</v>
      </c>
      <c r="Z115" s="6">
        <f t="shared" si="42"/>
        <v>0</v>
      </c>
      <c r="AB115" s="36" t="str">
        <f>IF(最佳化斷筋點!C115="","",最佳化斷筋點!C115)</f>
        <v>上層</v>
      </c>
      <c r="AC115" s="37">
        <f>IF(最佳化斷筋點!D115="","",最佳化斷筋點!D115)</f>
        <v>6</v>
      </c>
      <c r="AD115" s="37">
        <f>IF(最佳化斷筋點!E115="","",最佳化斷筋點!E115)</f>
        <v>6</v>
      </c>
      <c r="AE115" s="37">
        <f>IF(最佳化斷筋點!F115="","",最佳化斷筋點!F115)</f>
        <v>6</v>
      </c>
      <c r="AF115" s="37">
        <f>IF(最佳化斷筋點!G115="","",最佳化斷筋點!G115)</f>
        <v>6</v>
      </c>
      <c r="AG115" s="37">
        <f>IF(最佳化斷筋點!H115="","",最佳化斷筋點!H115)</f>
        <v>5</v>
      </c>
      <c r="AH115" s="37">
        <f>IF(最佳化斷筋點!I115="","",最佳化斷筋點!I115)</f>
        <v>5</v>
      </c>
      <c r="AI115" s="37">
        <f>IF(最佳化斷筋點!J115="","",最佳化斷筋點!J115)</f>
        <v>4</v>
      </c>
      <c r="AJ115" s="37">
        <f>IF(最佳化斷筋點!K115="","",最佳化斷筋點!K115)</f>
        <v>4</v>
      </c>
      <c r="AK115" s="37">
        <f>IF(最佳化斷筋點!L115="","",最佳化斷筋點!L115)</f>
        <v>3</v>
      </c>
      <c r="AL115" s="37">
        <f>IF(最佳化斷筋點!M115="","",最佳化斷筋點!M115)</f>
        <v>3</v>
      </c>
      <c r="AM115" s="37">
        <f>IF(最佳化斷筋點!N115="","",最佳化斷筋點!N115)</f>
        <v>2</v>
      </c>
      <c r="AN115" s="37">
        <f>IF(最佳化斷筋點!O115="","",最佳化斷筋點!O115)</f>
        <v>4</v>
      </c>
      <c r="AO115" s="37">
        <f>IF(最佳化斷筋點!P115="","",最佳化斷筋點!P115)</f>
        <v>4</v>
      </c>
      <c r="AP115" s="37">
        <f>IF(最佳化斷筋點!Q115="","",最佳化斷筋點!Q115)</f>
        <v>6</v>
      </c>
      <c r="AQ115" s="37">
        <f>IF(最佳化斷筋點!R115="","",最佳化斷筋點!R115)</f>
        <v>7</v>
      </c>
      <c r="AR115" s="37">
        <f>IF(最佳化斷筋點!S115="","",最佳化斷筋點!S115)</f>
        <v>8</v>
      </c>
      <c r="AS115" s="37">
        <f>IF(最佳化斷筋點!T115="","",最佳化斷筋點!T115)</f>
        <v>9</v>
      </c>
      <c r="AT115" s="37">
        <f>IF(最佳化斷筋點!U115="","",最佳化斷筋點!U115)</f>
        <v>10</v>
      </c>
      <c r="AU115" s="37">
        <f>IF(最佳化斷筋點!V115="","",最佳化斷筋點!V115)</f>
        <v>10</v>
      </c>
      <c r="AV115" s="37">
        <f>IF(最佳化斷筋點!W115="","",最佳化斷筋點!W115)</f>
        <v>10</v>
      </c>
      <c r="AW115" s="37">
        <f>IF(最佳化斷筋點!X115="","",最佳化斷筋點!X115)</f>
        <v>10</v>
      </c>
      <c r="AY115" s="6" t="s">
        <v>20</v>
      </c>
      <c r="AZ115" s="37">
        <v>6</v>
      </c>
      <c r="BA115" s="37">
        <v>6</v>
      </c>
      <c r="BB115" s="37">
        <v>6</v>
      </c>
      <c r="BC115" s="37">
        <v>6</v>
      </c>
      <c r="BD115" s="37">
        <v>5</v>
      </c>
      <c r="BE115" s="37">
        <v>5</v>
      </c>
      <c r="BF115" s="37">
        <v>4</v>
      </c>
      <c r="BG115" s="37">
        <v>4</v>
      </c>
      <c r="BH115" s="37">
        <v>3</v>
      </c>
      <c r="BI115" s="37">
        <v>3</v>
      </c>
      <c r="BJ115" s="37">
        <v>2</v>
      </c>
      <c r="BK115" s="37">
        <v>4</v>
      </c>
      <c r="BL115" s="37">
        <v>4</v>
      </c>
      <c r="BM115" s="37">
        <v>6</v>
      </c>
      <c r="BN115" s="37">
        <v>7</v>
      </c>
      <c r="BO115" s="37">
        <v>8</v>
      </c>
      <c r="BP115" s="37">
        <v>9</v>
      </c>
      <c r="BQ115" s="37">
        <v>10</v>
      </c>
      <c r="BR115" s="37">
        <v>10</v>
      </c>
      <c r="BS115" s="37">
        <v>10</v>
      </c>
      <c r="BT115" s="37">
        <v>10</v>
      </c>
    </row>
    <row r="116" spans="5:72" x14ac:dyDescent="0.25">
      <c r="F116" s="6">
        <f t="shared" si="22"/>
        <v>0</v>
      </c>
      <c r="G116" s="6">
        <f t="shared" si="23"/>
        <v>0</v>
      </c>
      <c r="H116" s="6">
        <f t="shared" si="24"/>
        <v>0</v>
      </c>
      <c r="I116" s="6">
        <f t="shared" si="25"/>
        <v>0</v>
      </c>
      <c r="J116" s="6">
        <f t="shared" si="26"/>
        <v>0</v>
      </c>
      <c r="K116" s="6">
        <f t="shared" si="27"/>
        <v>0</v>
      </c>
      <c r="L116" s="6">
        <f t="shared" si="28"/>
        <v>0</v>
      </c>
      <c r="M116" s="6">
        <f t="shared" si="29"/>
        <v>0</v>
      </c>
      <c r="N116" s="6">
        <f t="shared" si="30"/>
        <v>0</v>
      </c>
      <c r="O116" s="6">
        <f t="shared" si="31"/>
        <v>0</v>
      </c>
      <c r="P116" s="6">
        <f t="shared" si="32"/>
        <v>0</v>
      </c>
      <c r="Q116" s="6">
        <f t="shared" si="33"/>
        <v>0</v>
      </c>
      <c r="R116" s="6">
        <f t="shared" si="34"/>
        <v>0</v>
      </c>
      <c r="S116" s="6">
        <f t="shared" si="35"/>
        <v>0</v>
      </c>
      <c r="T116" s="6">
        <f t="shared" si="36"/>
        <v>0</v>
      </c>
      <c r="U116" s="6">
        <f t="shared" si="37"/>
        <v>0</v>
      </c>
      <c r="V116" s="6">
        <f t="shared" si="38"/>
        <v>0</v>
      </c>
      <c r="W116" s="6">
        <f t="shared" si="39"/>
        <v>0</v>
      </c>
      <c r="X116" s="6">
        <f t="shared" si="40"/>
        <v>0</v>
      </c>
      <c r="Y116" s="6">
        <f t="shared" si="41"/>
        <v>0</v>
      </c>
      <c r="Z116" s="6">
        <f t="shared" si="42"/>
        <v>0</v>
      </c>
      <c r="AB116" s="36" t="str">
        <f>IF(最佳化斷筋點!C116="","",最佳化斷筋點!C116)</f>
        <v/>
      </c>
      <c r="AC116" s="37" t="str">
        <f>IF(最佳化斷筋點!D116="","",最佳化斷筋點!D116)</f>
        <v/>
      </c>
      <c r="AD116" s="37" t="str">
        <f>IF(最佳化斷筋點!E116="","",最佳化斷筋點!E116)</f>
        <v/>
      </c>
      <c r="AE116" s="37" t="str">
        <f>IF(最佳化斷筋點!F116="","",最佳化斷筋點!F116)</f>
        <v/>
      </c>
      <c r="AF116" s="37" t="str">
        <f>IF(最佳化斷筋點!G116="","",最佳化斷筋點!G116)</f>
        <v/>
      </c>
      <c r="AG116" s="37" t="str">
        <f>IF(最佳化斷筋點!H116="","",最佳化斷筋點!H116)</f>
        <v/>
      </c>
      <c r="AH116" s="37" t="str">
        <f>IF(最佳化斷筋點!I116="","",最佳化斷筋點!I116)</f>
        <v/>
      </c>
      <c r="AI116" s="37" t="str">
        <f>IF(最佳化斷筋點!J116="","",最佳化斷筋點!J116)</f>
        <v/>
      </c>
      <c r="AJ116" s="37" t="str">
        <f>IF(最佳化斷筋點!K116="","",最佳化斷筋點!K116)</f>
        <v/>
      </c>
      <c r="AK116" s="37" t="str">
        <f>IF(最佳化斷筋點!L116="","",最佳化斷筋點!L116)</f>
        <v/>
      </c>
      <c r="AL116" s="37" t="str">
        <f>IF(最佳化斷筋點!M116="","",最佳化斷筋點!M116)</f>
        <v/>
      </c>
      <c r="AM116" s="37" t="str">
        <f>IF(最佳化斷筋點!N116="","",最佳化斷筋點!N116)</f>
        <v/>
      </c>
      <c r="AN116" s="37" t="str">
        <f>IF(最佳化斷筋點!O116="","",最佳化斷筋點!O116)</f>
        <v/>
      </c>
      <c r="AO116" s="37" t="str">
        <f>IF(最佳化斷筋點!P116="","",最佳化斷筋點!P116)</f>
        <v/>
      </c>
      <c r="AP116" s="37" t="str">
        <f>IF(最佳化斷筋點!Q116="","",最佳化斷筋點!Q116)</f>
        <v/>
      </c>
      <c r="AQ116" s="37" t="str">
        <f>IF(最佳化斷筋點!R116="","",最佳化斷筋點!R116)</f>
        <v/>
      </c>
      <c r="AR116" s="37" t="str">
        <f>IF(最佳化斷筋點!S116="","",最佳化斷筋點!S116)</f>
        <v/>
      </c>
      <c r="AS116" s="37" t="str">
        <f>IF(最佳化斷筋點!T116="","",最佳化斷筋點!T116)</f>
        <v/>
      </c>
      <c r="AT116" s="37" t="str">
        <f>IF(最佳化斷筋點!U116="","",最佳化斷筋點!U116)</f>
        <v/>
      </c>
      <c r="AU116" s="37" t="str">
        <f>IF(最佳化斷筋點!V116="","",最佳化斷筋點!V116)</f>
        <v/>
      </c>
      <c r="AV116" s="37" t="str">
        <f>IF(最佳化斷筋點!W116="","",最佳化斷筋點!W116)</f>
        <v/>
      </c>
      <c r="AW116" s="37" t="str">
        <f>IF(最佳化斷筋點!X116="","",最佳化斷筋點!X116)</f>
        <v/>
      </c>
      <c r="AZ116" s="37" t="s">
        <v>197</v>
      </c>
      <c r="BA116" s="37" t="s">
        <v>197</v>
      </c>
      <c r="BB116" s="37" t="s">
        <v>197</v>
      </c>
      <c r="BC116" s="37" t="s">
        <v>197</v>
      </c>
      <c r="BD116" s="37" t="s">
        <v>197</v>
      </c>
      <c r="BE116" s="37" t="s">
        <v>197</v>
      </c>
      <c r="BF116" s="37" t="s">
        <v>197</v>
      </c>
      <c r="BG116" s="37" t="s">
        <v>197</v>
      </c>
      <c r="BH116" s="37" t="s">
        <v>197</v>
      </c>
      <c r="BI116" s="37" t="s">
        <v>197</v>
      </c>
      <c r="BJ116" s="37" t="s">
        <v>197</v>
      </c>
      <c r="BK116" s="37" t="s">
        <v>197</v>
      </c>
      <c r="BL116" s="37" t="s">
        <v>197</v>
      </c>
      <c r="BM116" s="37" t="s">
        <v>197</v>
      </c>
      <c r="BN116" s="37" t="s">
        <v>197</v>
      </c>
      <c r="BO116" s="37" t="s">
        <v>197</v>
      </c>
      <c r="BP116" s="37" t="s">
        <v>197</v>
      </c>
      <c r="BQ116" s="37" t="s">
        <v>197</v>
      </c>
      <c r="BR116" s="37" t="s">
        <v>197</v>
      </c>
      <c r="BS116" s="37" t="s">
        <v>197</v>
      </c>
      <c r="BT116" s="37" t="s">
        <v>197</v>
      </c>
    </row>
    <row r="117" spans="5:72" x14ac:dyDescent="0.25">
      <c r="E117" s="6" t="s">
        <v>21</v>
      </c>
      <c r="F117" s="6">
        <f t="shared" si="22"/>
        <v>0</v>
      </c>
      <c r="G117" s="6">
        <f t="shared" si="23"/>
        <v>0</v>
      </c>
      <c r="H117" s="6">
        <f t="shared" si="24"/>
        <v>0</v>
      </c>
      <c r="I117" s="6">
        <f t="shared" si="25"/>
        <v>0</v>
      </c>
      <c r="J117" s="6">
        <f t="shared" si="26"/>
        <v>0</v>
      </c>
      <c r="K117" s="6">
        <f t="shared" si="27"/>
        <v>0</v>
      </c>
      <c r="L117" s="6">
        <f t="shared" si="28"/>
        <v>0</v>
      </c>
      <c r="M117" s="6">
        <f t="shared" si="29"/>
        <v>0</v>
      </c>
      <c r="N117" s="6">
        <f t="shared" si="30"/>
        <v>0</v>
      </c>
      <c r="O117" s="6">
        <f t="shared" si="31"/>
        <v>0</v>
      </c>
      <c r="P117" s="6">
        <f t="shared" si="32"/>
        <v>0</v>
      </c>
      <c r="Q117" s="6">
        <f t="shared" si="33"/>
        <v>0</v>
      </c>
      <c r="R117" s="6">
        <f t="shared" si="34"/>
        <v>0</v>
      </c>
      <c r="S117" s="6">
        <f t="shared" si="35"/>
        <v>0</v>
      </c>
      <c r="T117" s="6">
        <f t="shared" si="36"/>
        <v>0</v>
      </c>
      <c r="U117" s="6">
        <f t="shared" si="37"/>
        <v>0</v>
      </c>
      <c r="V117" s="6">
        <f t="shared" si="38"/>
        <v>0</v>
      </c>
      <c r="W117" s="6">
        <f t="shared" si="39"/>
        <v>0</v>
      </c>
      <c r="X117" s="6">
        <f t="shared" si="40"/>
        <v>0</v>
      </c>
      <c r="Y117" s="6">
        <f t="shared" si="41"/>
        <v>0</v>
      </c>
      <c r="Z117" s="6">
        <f t="shared" si="42"/>
        <v>0</v>
      </c>
      <c r="AB117" s="36" t="str">
        <f>IF(最佳化斷筋點!C117="","",最佳化斷筋點!C117)</f>
        <v>下層</v>
      </c>
      <c r="AC117" s="37">
        <f>IF(最佳化斷筋點!D117="","",最佳化斷筋點!D117)</f>
        <v>4</v>
      </c>
      <c r="AD117" s="37">
        <f>IF(最佳化斷筋點!E117="","",最佳化斷筋點!E117)</f>
        <v>4</v>
      </c>
      <c r="AE117" s="37">
        <f>IF(最佳化斷筋點!F117="","",最佳化斷筋點!F117)</f>
        <v>4</v>
      </c>
      <c r="AF117" s="37">
        <f>IF(最佳化斷筋點!G117="","",最佳化斷筋點!G117)</f>
        <v>4</v>
      </c>
      <c r="AG117" s="37">
        <f>IF(最佳化斷筋點!H117="","",最佳化斷筋點!H117)</f>
        <v>4</v>
      </c>
      <c r="AH117" s="37">
        <f>IF(最佳化斷筋點!I117="","",最佳化斷筋點!I117)</f>
        <v>5</v>
      </c>
      <c r="AI117" s="37">
        <f>IF(最佳化斷筋點!J117="","",最佳化斷筋點!J117)</f>
        <v>5</v>
      </c>
      <c r="AJ117" s="37">
        <f>IF(最佳化斷筋點!K117="","",最佳化斷筋點!K117)</f>
        <v>5</v>
      </c>
      <c r="AK117" s="37">
        <f>IF(最佳化斷筋點!L117="","",最佳化斷筋點!L117)</f>
        <v>5</v>
      </c>
      <c r="AL117" s="37">
        <f>IF(最佳化斷筋點!M117="","",最佳化斷筋點!M117)</f>
        <v>5</v>
      </c>
      <c r="AM117" s="37">
        <f>IF(最佳化斷筋點!N117="","",最佳化斷筋點!N117)</f>
        <v>5</v>
      </c>
      <c r="AN117" s="37">
        <f>IF(最佳化斷筋點!O117="","",最佳化斷筋點!O117)</f>
        <v>5</v>
      </c>
      <c r="AO117" s="37">
        <f>IF(最佳化斷筋點!P117="","",最佳化斷筋點!P117)</f>
        <v>5</v>
      </c>
      <c r="AP117" s="37">
        <f>IF(最佳化斷筋點!Q117="","",最佳化斷筋點!Q117)</f>
        <v>5</v>
      </c>
      <c r="AQ117" s="37">
        <f>IF(最佳化斷筋點!R117="","",最佳化斷筋點!R117)</f>
        <v>5</v>
      </c>
      <c r="AR117" s="37">
        <f>IF(最佳化斷筋點!S117="","",最佳化斷筋點!S117)</f>
        <v>5</v>
      </c>
      <c r="AS117" s="37">
        <f>IF(最佳化斷筋點!T117="","",最佳化斷筋點!T117)</f>
        <v>5</v>
      </c>
      <c r="AT117" s="37">
        <f>IF(最佳化斷筋點!U117="","",最佳化斷筋點!U117)</f>
        <v>5</v>
      </c>
      <c r="AU117" s="37">
        <f>IF(最佳化斷筋點!V117="","",最佳化斷筋點!V117)</f>
        <v>5</v>
      </c>
      <c r="AV117" s="37">
        <f>IF(最佳化斷筋點!W117="","",最佳化斷筋點!W117)</f>
        <v>5</v>
      </c>
      <c r="AW117" s="37">
        <f>IF(最佳化斷筋點!X117="","",最佳化斷筋點!X117)</f>
        <v>5</v>
      </c>
      <c r="AY117" s="6" t="s">
        <v>21</v>
      </c>
      <c r="AZ117" s="37">
        <v>4</v>
      </c>
      <c r="BA117" s="37">
        <v>4</v>
      </c>
      <c r="BB117" s="37">
        <v>4</v>
      </c>
      <c r="BC117" s="37">
        <v>4</v>
      </c>
      <c r="BD117" s="37">
        <v>4</v>
      </c>
      <c r="BE117" s="37">
        <v>5</v>
      </c>
      <c r="BF117" s="37">
        <v>5</v>
      </c>
      <c r="BG117" s="37">
        <v>5</v>
      </c>
      <c r="BH117" s="37">
        <v>5</v>
      </c>
      <c r="BI117" s="37">
        <v>5</v>
      </c>
      <c r="BJ117" s="37">
        <v>5</v>
      </c>
      <c r="BK117" s="37">
        <v>5</v>
      </c>
      <c r="BL117" s="37">
        <v>5</v>
      </c>
      <c r="BM117" s="37">
        <v>5</v>
      </c>
      <c r="BN117" s="37">
        <v>5</v>
      </c>
      <c r="BO117" s="37">
        <v>5</v>
      </c>
      <c r="BP117" s="37">
        <v>5</v>
      </c>
      <c r="BQ117" s="37">
        <v>5</v>
      </c>
      <c r="BR117" s="37">
        <v>5</v>
      </c>
      <c r="BS117" s="37">
        <v>5</v>
      </c>
      <c r="BT117" s="37">
        <v>5</v>
      </c>
    </row>
    <row r="118" spans="5:72" x14ac:dyDescent="0.25">
      <c r="F118" s="6">
        <f t="shared" si="22"/>
        <v>0</v>
      </c>
      <c r="G118" s="6">
        <f t="shared" si="23"/>
        <v>0</v>
      </c>
      <c r="H118" s="6">
        <f t="shared" si="24"/>
        <v>0</v>
      </c>
      <c r="I118" s="6">
        <f t="shared" si="25"/>
        <v>0</v>
      </c>
      <c r="J118" s="6">
        <f t="shared" si="26"/>
        <v>0</v>
      </c>
      <c r="K118" s="6">
        <f t="shared" si="27"/>
        <v>0</v>
      </c>
      <c r="L118" s="6">
        <f t="shared" si="28"/>
        <v>0</v>
      </c>
      <c r="M118" s="6">
        <f t="shared" si="29"/>
        <v>0</v>
      </c>
      <c r="N118" s="6">
        <f t="shared" si="30"/>
        <v>0</v>
      </c>
      <c r="O118" s="6">
        <f t="shared" si="31"/>
        <v>0</v>
      </c>
      <c r="P118" s="6">
        <f t="shared" si="32"/>
        <v>0</v>
      </c>
      <c r="Q118" s="6">
        <f t="shared" si="33"/>
        <v>0</v>
      </c>
      <c r="R118" s="6">
        <f t="shared" si="34"/>
        <v>0</v>
      </c>
      <c r="S118" s="6">
        <f t="shared" si="35"/>
        <v>0</v>
      </c>
      <c r="T118" s="6">
        <f t="shared" si="36"/>
        <v>0</v>
      </c>
      <c r="U118" s="6">
        <f t="shared" si="37"/>
        <v>0</v>
      </c>
      <c r="V118" s="6">
        <f t="shared" si="38"/>
        <v>0</v>
      </c>
      <c r="W118" s="6">
        <f t="shared" si="39"/>
        <v>0</v>
      </c>
      <c r="X118" s="6">
        <f t="shared" si="40"/>
        <v>0</v>
      </c>
      <c r="Y118" s="6">
        <f t="shared" si="41"/>
        <v>0</v>
      </c>
      <c r="Z118" s="6">
        <f t="shared" si="42"/>
        <v>0</v>
      </c>
      <c r="AB118" s="36" t="str">
        <f>IF(最佳化斷筋點!C118="","",最佳化斷筋點!C118)</f>
        <v/>
      </c>
      <c r="AC118" s="37" t="str">
        <f>IF(最佳化斷筋點!D118="","",最佳化斷筋點!D118)</f>
        <v/>
      </c>
      <c r="AD118" s="37" t="str">
        <f>IF(最佳化斷筋點!E118="","",最佳化斷筋點!E118)</f>
        <v/>
      </c>
      <c r="AE118" s="37" t="str">
        <f>IF(最佳化斷筋點!F118="","",最佳化斷筋點!F118)</f>
        <v/>
      </c>
      <c r="AF118" s="37" t="str">
        <f>IF(最佳化斷筋點!G118="","",最佳化斷筋點!G118)</f>
        <v/>
      </c>
      <c r="AG118" s="37" t="str">
        <f>IF(最佳化斷筋點!H118="","",最佳化斷筋點!H118)</f>
        <v/>
      </c>
      <c r="AH118" s="37" t="str">
        <f>IF(最佳化斷筋點!I118="","",最佳化斷筋點!I118)</f>
        <v/>
      </c>
      <c r="AI118" s="37" t="str">
        <f>IF(最佳化斷筋點!J118="","",最佳化斷筋點!J118)</f>
        <v/>
      </c>
      <c r="AJ118" s="37" t="str">
        <f>IF(最佳化斷筋點!K118="","",最佳化斷筋點!K118)</f>
        <v/>
      </c>
      <c r="AK118" s="37" t="str">
        <f>IF(最佳化斷筋點!L118="","",最佳化斷筋點!L118)</f>
        <v/>
      </c>
      <c r="AL118" s="37" t="str">
        <f>IF(最佳化斷筋點!M118="","",最佳化斷筋點!M118)</f>
        <v/>
      </c>
      <c r="AM118" s="37" t="str">
        <f>IF(最佳化斷筋點!N118="","",最佳化斷筋點!N118)</f>
        <v/>
      </c>
      <c r="AN118" s="37" t="str">
        <f>IF(最佳化斷筋點!O118="","",最佳化斷筋點!O118)</f>
        <v/>
      </c>
      <c r="AO118" s="37" t="str">
        <f>IF(最佳化斷筋點!P118="","",最佳化斷筋點!P118)</f>
        <v/>
      </c>
      <c r="AP118" s="37" t="str">
        <f>IF(最佳化斷筋點!Q118="","",最佳化斷筋點!Q118)</f>
        <v/>
      </c>
      <c r="AQ118" s="37" t="str">
        <f>IF(最佳化斷筋點!R118="","",最佳化斷筋點!R118)</f>
        <v/>
      </c>
      <c r="AR118" s="37" t="str">
        <f>IF(最佳化斷筋點!S118="","",最佳化斷筋點!S118)</f>
        <v/>
      </c>
      <c r="AS118" s="37" t="str">
        <f>IF(最佳化斷筋點!T118="","",最佳化斷筋點!T118)</f>
        <v/>
      </c>
      <c r="AT118" s="37" t="str">
        <f>IF(最佳化斷筋點!U118="","",最佳化斷筋點!U118)</f>
        <v/>
      </c>
      <c r="AU118" s="37" t="str">
        <f>IF(最佳化斷筋點!V118="","",最佳化斷筋點!V118)</f>
        <v/>
      </c>
      <c r="AV118" s="37" t="str">
        <f>IF(最佳化斷筋點!W118="","",最佳化斷筋點!W118)</f>
        <v/>
      </c>
      <c r="AW118" s="37" t="str">
        <f>IF(最佳化斷筋點!X118="","",最佳化斷筋點!X118)</f>
        <v/>
      </c>
      <c r="AZ118" s="37" t="s">
        <v>197</v>
      </c>
      <c r="BA118" s="37" t="s">
        <v>197</v>
      </c>
      <c r="BB118" s="37" t="s">
        <v>197</v>
      </c>
      <c r="BC118" s="37" t="s">
        <v>197</v>
      </c>
      <c r="BD118" s="37" t="s">
        <v>197</v>
      </c>
      <c r="BE118" s="37" t="s">
        <v>197</v>
      </c>
      <c r="BF118" s="37" t="s">
        <v>197</v>
      </c>
      <c r="BG118" s="37" t="s">
        <v>197</v>
      </c>
      <c r="BH118" s="37" t="s">
        <v>197</v>
      </c>
      <c r="BI118" s="37" t="s">
        <v>197</v>
      </c>
      <c r="BJ118" s="37" t="s">
        <v>197</v>
      </c>
      <c r="BK118" s="37" t="s">
        <v>197</v>
      </c>
      <c r="BL118" s="37" t="s">
        <v>197</v>
      </c>
      <c r="BM118" s="37" t="s">
        <v>197</v>
      </c>
      <c r="BN118" s="37" t="s">
        <v>197</v>
      </c>
      <c r="BO118" s="37" t="s">
        <v>197</v>
      </c>
      <c r="BP118" s="37" t="s">
        <v>197</v>
      </c>
      <c r="BQ118" s="37" t="s">
        <v>197</v>
      </c>
      <c r="BR118" s="37" t="s">
        <v>197</v>
      </c>
      <c r="BS118" s="37" t="s">
        <v>197</v>
      </c>
      <c r="BT118" s="37" t="s">
        <v>197</v>
      </c>
    </row>
    <row r="119" spans="5:72" x14ac:dyDescent="0.25">
      <c r="E119" s="6" t="s">
        <v>20</v>
      </c>
      <c r="F119" s="6">
        <f t="shared" si="22"/>
        <v>0</v>
      </c>
      <c r="G119" s="6">
        <f t="shared" si="23"/>
        <v>0</v>
      </c>
      <c r="H119" s="6">
        <f t="shared" si="24"/>
        <v>0</v>
      </c>
      <c r="I119" s="6">
        <f t="shared" si="25"/>
        <v>0</v>
      </c>
      <c r="J119" s="6">
        <f t="shared" si="26"/>
        <v>0</v>
      </c>
      <c r="K119" s="6">
        <f t="shared" si="27"/>
        <v>0</v>
      </c>
      <c r="L119" s="6">
        <f t="shared" si="28"/>
        <v>0</v>
      </c>
      <c r="M119" s="6">
        <f t="shared" si="29"/>
        <v>0</v>
      </c>
      <c r="N119" s="6">
        <f t="shared" si="30"/>
        <v>0</v>
      </c>
      <c r="O119" s="6">
        <f t="shared" si="31"/>
        <v>0</v>
      </c>
      <c r="P119" s="6">
        <f t="shared" si="32"/>
        <v>0</v>
      </c>
      <c r="Q119" s="6">
        <f t="shared" si="33"/>
        <v>0</v>
      </c>
      <c r="R119" s="6">
        <f t="shared" si="34"/>
        <v>0</v>
      </c>
      <c r="S119" s="6">
        <f t="shared" si="35"/>
        <v>0</v>
      </c>
      <c r="T119" s="6">
        <f t="shared" si="36"/>
        <v>0</v>
      </c>
      <c r="U119" s="6">
        <f t="shared" si="37"/>
        <v>0</v>
      </c>
      <c r="V119" s="6">
        <f t="shared" si="38"/>
        <v>0</v>
      </c>
      <c r="W119" s="6">
        <f t="shared" si="39"/>
        <v>0</v>
      </c>
      <c r="X119" s="6">
        <f t="shared" si="40"/>
        <v>0</v>
      </c>
      <c r="Y119" s="6">
        <f t="shared" si="41"/>
        <v>0</v>
      </c>
      <c r="Z119" s="6">
        <f t="shared" si="42"/>
        <v>0</v>
      </c>
      <c r="AB119" s="36" t="str">
        <f>IF(最佳化斷筋點!C119="","",最佳化斷筋點!C119)</f>
        <v>上層</v>
      </c>
      <c r="AC119" s="37">
        <f>IF(最佳化斷筋點!D119="","",最佳化斷筋點!D119)</f>
        <v>4</v>
      </c>
      <c r="AD119" s="37">
        <f>IF(最佳化斷筋點!E119="","",最佳化斷筋點!E119)</f>
        <v>4</v>
      </c>
      <c r="AE119" s="37">
        <f>IF(最佳化斷筋點!F119="","",最佳化斷筋點!F119)</f>
        <v>4</v>
      </c>
      <c r="AF119" s="37">
        <f>IF(最佳化斷筋點!G119="","",最佳化斷筋點!G119)</f>
        <v>4</v>
      </c>
      <c r="AG119" s="37">
        <f>IF(最佳化斷筋點!H119="","",最佳化斷筋點!H119)</f>
        <v>4</v>
      </c>
      <c r="AH119" s="37">
        <f>IF(最佳化斷筋點!I119="","",最佳化斷筋點!I119)</f>
        <v>4</v>
      </c>
      <c r="AI119" s="37">
        <f>IF(最佳化斷筋點!J119="","",最佳化斷筋點!J119)</f>
        <v>4</v>
      </c>
      <c r="AJ119" s="37">
        <f>IF(最佳化斷筋點!K119="","",最佳化斷筋點!K119)</f>
        <v>3</v>
      </c>
      <c r="AK119" s="37">
        <f>IF(最佳化斷筋點!L119="","",最佳化斷筋點!L119)</f>
        <v>3</v>
      </c>
      <c r="AL119" s="37">
        <f>IF(最佳化斷筋點!M119="","",最佳化斷筋點!M119)</f>
        <v>3</v>
      </c>
      <c r="AM119" s="37">
        <f>IF(最佳化斷筋點!N119="","",最佳化斷筋點!N119)</f>
        <v>2</v>
      </c>
      <c r="AN119" s="37">
        <f>IF(最佳化斷筋點!O119="","",最佳化斷筋點!O119)</f>
        <v>2</v>
      </c>
      <c r="AO119" s="37">
        <f>IF(最佳化斷筋點!P119="","",最佳化斷筋點!P119)</f>
        <v>3</v>
      </c>
      <c r="AP119" s="37">
        <f>IF(最佳化斷筋點!Q119="","",最佳化斷筋點!Q119)</f>
        <v>3</v>
      </c>
      <c r="AQ119" s="37">
        <f>IF(最佳化斷筋點!R119="","",最佳化斷筋點!R119)</f>
        <v>3</v>
      </c>
      <c r="AR119" s="37">
        <f>IF(最佳化斷筋點!S119="","",最佳化斷筋點!S119)</f>
        <v>4</v>
      </c>
      <c r="AS119" s="37">
        <f>IF(最佳化斷筋點!T119="","",最佳化斷筋點!T119)</f>
        <v>4</v>
      </c>
      <c r="AT119" s="37">
        <f>IF(最佳化斷筋點!U119="","",最佳化斷筋點!U119)</f>
        <v>4</v>
      </c>
      <c r="AU119" s="37">
        <f>IF(最佳化斷筋點!V119="","",最佳化斷筋點!V119)</f>
        <v>4</v>
      </c>
      <c r="AV119" s="37">
        <f>IF(最佳化斷筋點!W119="","",最佳化斷筋點!W119)</f>
        <v>4</v>
      </c>
      <c r="AW119" s="37">
        <f>IF(最佳化斷筋點!X119="","",最佳化斷筋點!X119)</f>
        <v>4</v>
      </c>
      <c r="AY119" s="6" t="s">
        <v>20</v>
      </c>
      <c r="AZ119" s="37">
        <v>4</v>
      </c>
      <c r="BA119" s="37">
        <v>4</v>
      </c>
      <c r="BB119" s="37">
        <v>4</v>
      </c>
      <c r="BC119" s="37">
        <v>4</v>
      </c>
      <c r="BD119" s="37">
        <v>4</v>
      </c>
      <c r="BE119" s="37">
        <v>4</v>
      </c>
      <c r="BF119" s="37">
        <v>4</v>
      </c>
      <c r="BG119" s="37">
        <v>3</v>
      </c>
      <c r="BH119" s="37">
        <v>3</v>
      </c>
      <c r="BI119" s="37">
        <v>3</v>
      </c>
      <c r="BJ119" s="37">
        <v>2</v>
      </c>
      <c r="BK119" s="37">
        <v>2</v>
      </c>
      <c r="BL119" s="37">
        <v>3</v>
      </c>
      <c r="BM119" s="37">
        <v>3</v>
      </c>
      <c r="BN119" s="37">
        <v>3</v>
      </c>
      <c r="BO119" s="37">
        <v>4</v>
      </c>
      <c r="BP119" s="37">
        <v>4</v>
      </c>
      <c r="BQ119" s="37">
        <v>4</v>
      </c>
      <c r="BR119" s="37">
        <v>4</v>
      </c>
      <c r="BS119" s="37">
        <v>4</v>
      </c>
      <c r="BT119" s="37">
        <v>4</v>
      </c>
    </row>
    <row r="120" spans="5:72" x14ac:dyDescent="0.25">
      <c r="F120" s="6">
        <f t="shared" si="22"/>
        <v>0</v>
      </c>
      <c r="G120" s="6">
        <f t="shared" si="23"/>
        <v>0</v>
      </c>
      <c r="H120" s="6">
        <f t="shared" si="24"/>
        <v>0</v>
      </c>
      <c r="I120" s="6">
        <f t="shared" si="25"/>
        <v>0</v>
      </c>
      <c r="J120" s="6">
        <f t="shared" si="26"/>
        <v>0</v>
      </c>
      <c r="K120" s="6">
        <f t="shared" si="27"/>
        <v>0</v>
      </c>
      <c r="L120" s="6">
        <f t="shared" si="28"/>
        <v>0</v>
      </c>
      <c r="M120" s="6">
        <f t="shared" si="29"/>
        <v>0</v>
      </c>
      <c r="N120" s="6">
        <f t="shared" si="30"/>
        <v>0</v>
      </c>
      <c r="O120" s="6">
        <f t="shared" si="31"/>
        <v>0</v>
      </c>
      <c r="P120" s="6">
        <f t="shared" si="32"/>
        <v>0</v>
      </c>
      <c r="Q120" s="6">
        <f t="shared" si="33"/>
        <v>0</v>
      </c>
      <c r="R120" s="6">
        <f t="shared" si="34"/>
        <v>0</v>
      </c>
      <c r="S120" s="6">
        <f t="shared" si="35"/>
        <v>0</v>
      </c>
      <c r="T120" s="6">
        <f t="shared" si="36"/>
        <v>0</v>
      </c>
      <c r="U120" s="6">
        <f t="shared" si="37"/>
        <v>0</v>
      </c>
      <c r="V120" s="6">
        <f t="shared" si="38"/>
        <v>0</v>
      </c>
      <c r="W120" s="6">
        <f t="shared" si="39"/>
        <v>0</v>
      </c>
      <c r="X120" s="6">
        <f t="shared" si="40"/>
        <v>0</v>
      </c>
      <c r="Y120" s="6">
        <f t="shared" si="41"/>
        <v>0</v>
      </c>
      <c r="Z120" s="6">
        <f t="shared" si="42"/>
        <v>0</v>
      </c>
      <c r="AB120" s="36" t="str">
        <f>IF(最佳化斷筋點!C120="","",最佳化斷筋點!C120)</f>
        <v/>
      </c>
      <c r="AC120" s="37" t="str">
        <f>IF(最佳化斷筋點!D120="","",最佳化斷筋點!D120)</f>
        <v/>
      </c>
      <c r="AD120" s="37" t="str">
        <f>IF(最佳化斷筋點!E120="","",最佳化斷筋點!E120)</f>
        <v/>
      </c>
      <c r="AE120" s="37" t="str">
        <f>IF(最佳化斷筋點!F120="","",最佳化斷筋點!F120)</f>
        <v/>
      </c>
      <c r="AF120" s="37" t="str">
        <f>IF(最佳化斷筋點!G120="","",最佳化斷筋點!G120)</f>
        <v/>
      </c>
      <c r="AG120" s="37" t="str">
        <f>IF(最佳化斷筋點!H120="","",最佳化斷筋點!H120)</f>
        <v/>
      </c>
      <c r="AH120" s="37" t="str">
        <f>IF(最佳化斷筋點!I120="","",最佳化斷筋點!I120)</f>
        <v/>
      </c>
      <c r="AI120" s="37" t="str">
        <f>IF(最佳化斷筋點!J120="","",最佳化斷筋點!J120)</f>
        <v/>
      </c>
      <c r="AJ120" s="37" t="str">
        <f>IF(最佳化斷筋點!K120="","",最佳化斷筋點!K120)</f>
        <v/>
      </c>
      <c r="AK120" s="37" t="str">
        <f>IF(最佳化斷筋點!L120="","",最佳化斷筋點!L120)</f>
        <v/>
      </c>
      <c r="AL120" s="37" t="str">
        <f>IF(最佳化斷筋點!M120="","",最佳化斷筋點!M120)</f>
        <v/>
      </c>
      <c r="AM120" s="37" t="str">
        <f>IF(最佳化斷筋點!N120="","",最佳化斷筋點!N120)</f>
        <v/>
      </c>
      <c r="AN120" s="37" t="str">
        <f>IF(最佳化斷筋點!O120="","",最佳化斷筋點!O120)</f>
        <v/>
      </c>
      <c r="AO120" s="37" t="str">
        <f>IF(最佳化斷筋點!P120="","",最佳化斷筋點!P120)</f>
        <v/>
      </c>
      <c r="AP120" s="37" t="str">
        <f>IF(最佳化斷筋點!Q120="","",最佳化斷筋點!Q120)</f>
        <v/>
      </c>
      <c r="AQ120" s="37" t="str">
        <f>IF(最佳化斷筋點!R120="","",最佳化斷筋點!R120)</f>
        <v/>
      </c>
      <c r="AR120" s="37" t="str">
        <f>IF(最佳化斷筋點!S120="","",最佳化斷筋點!S120)</f>
        <v/>
      </c>
      <c r="AS120" s="37" t="str">
        <f>IF(最佳化斷筋點!T120="","",最佳化斷筋點!T120)</f>
        <v/>
      </c>
      <c r="AT120" s="37" t="str">
        <f>IF(最佳化斷筋點!U120="","",最佳化斷筋點!U120)</f>
        <v/>
      </c>
      <c r="AU120" s="37" t="str">
        <f>IF(最佳化斷筋點!V120="","",最佳化斷筋點!V120)</f>
        <v/>
      </c>
      <c r="AV120" s="37" t="str">
        <f>IF(最佳化斷筋點!W120="","",最佳化斷筋點!W120)</f>
        <v/>
      </c>
      <c r="AW120" s="37" t="str">
        <f>IF(最佳化斷筋點!X120="","",最佳化斷筋點!X120)</f>
        <v/>
      </c>
      <c r="AZ120" s="37" t="s">
        <v>197</v>
      </c>
      <c r="BA120" s="37" t="s">
        <v>197</v>
      </c>
      <c r="BB120" s="37" t="s">
        <v>197</v>
      </c>
      <c r="BC120" s="37" t="s">
        <v>197</v>
      </c>
      <c r="BD120" s="37" t="s">
        <v>197</v>
      </c>
      <c r="BE120" s="37" t="s">
        <v>197</v>
      </c>
      <c r="BF120" s="37" t="s">
        <v>197</v>
      </c>
      <c r="BG120" s="37" t="s">
        <v>197</v>
      </c>
      <c r="BH120" s="37" t="s">
        <v>197</v>
      </c>
      <c r="BI120" s="37" t="s">
        <v>197</v>
      </c>
      <c r="BJ120" s="37" t="s">
        <v>197</v>
      </c>
      <c r="BK120" s="37" t="s">
        <v>197</v>
      </c>
      <c r="BL120" s="37" t="s">
        <v>197</v>
      </c>
      <c r="BM120" s="37" t="s">
        <v>197</v>
      </c>
      <c r="BN120" s="37" t="s">
        <v>197</v>
      </c>
      <c r="BO120" s="37" t="s">
        <v>197</v>
      </c>
      <c r="BP120" s="37" t="s">
        <v>197</v>
      </c>
      <c r="BQ120" s="37" t="s">
        <v>197</v>
      </c>
      <c r="BR120" s="37" t="s">
        <v>197</v>
      </c>
      <c r="BS120" s="37" t="s">
        <v>197</v>
      </c>
      <c r="BT120" s="37" t="s">
        <v>197</v>
      </c>
    </row>
    <row r="121" spans="5:72" x14ac:dyDescent="0.25">
      <c r="E121" s="6" t="s">
        <v>21</v>
      </c>
      <c r="F121" s="6">
        <f t="shared" si="22"/>
        <v>0</v>
      </c>
      <c r="G121" s="6">
        <f t="shared" si="23"/>
        <v>0</v>
      </c>
      <c r="H121" s="6">
        <f t="shared" si="24"/>
        <v>0</v>
      </c>
      <c r="I121" s="6">
        <f t="shared" si="25"/>
        <v>0</v>
      </c>
      <c r="J121" s="6">
        <f t="shared" si="26"/>
        <v>0</v>
      </c>
      <c r="K121" s="6">
        <f t="shared" si="27"/>
        <v>0</v>
      </c>
      <c r="L121" s="6">
        <f t="shared" si="28"/>
        <v>0</v>
      </c>
      <c r="M121" s="6">
        <f t="shared" si="29"/>
        <v>0</v>
      </c>
      <c r="N121" s="6">
        <f t="shared" si="30"/>
        <v>0</v>
      </c>
      <c r="O121" s="6">
        <f t="shared" si="31"/>
        <v>0</v>
      </c>
      <c r="P121" s="6">
        <f t="shared" si="32"/>
        <v>0</v>
      </c>
      <c r="Q121" s="6">
        <f t="shared" si="33"/>
        <v>0</v>
      </c>
      <c r="R121" s="6">
        <f t="shared" si="34"/>
        <v>0</v>
      </c>
      <c r="S121" s="6">
        <f t="shared" si="35"/>
        <v>0</v>
      </c>
      <c r="T121" s="6">
        <f t="shared" si="36"/>
        <v>0</v>
      </c>
      <c r="U121" s="6">
        <f t="shared" si="37"/>
        <v>0</v>
      </c>
      <c r="V121" s="6">
        <f t="shared" si="38"/>
        <v>0</v>
      </c>
      <c r="W121" s="6">
        <f t="shared" si="39"/>
        <v>0</v>
      </c>
      <c r="X121" s="6">
        <f t="shared" si="40"/>
        <v>0</v>
      </c>
      <c r="Y121" s="6">
        <f t="shared" si="41"/>
        <v>0</v>
      </c>
      <c r="Z121" s="6">
        <f t="shared" si="42"/>
        <v>0</v>
      </c>
      <c r="AB121" s="36" t="str">
        <f>IF(最佳化斷筋點!C121="","",最佳化斷筋點!C121)</f>
        <v>下層</v>
      </c>
      <c r="AC121" s="37">
        <f>IF(最佳化斷筋點!D121="","",最佳化斷筋點!D121)</f>
        <v>3</v>
      </c>
      <c r="AD121" s="37">
        <f>IF(最佳化斷筋點!E121="","",最佳化斷筋點!E121)</f>
        <v>3</v>
      </c>
      <c r="AE121" s="37">
        <f>IF(最佳化斷筋點!F121="","",最佳化斷筋點!F121)</f>
        <v>3</v>
      </c>
      <c r="AF121" s="37">
        <f>IF(最佳化斷筋點!G121="","",最佳化斷筋點!G121)</f>
        <v>3</v>
      </c>
      <c r="AG121" s="37">
        <f>IF(最佳化斷筋點!H121="","",最佳化斷筋點!H121)</f>
        <v>3</v>
      </c>
      <c r="AH121" s="37">
        <f>IF(最佳化斷筋點!I121="","",最佳化斷筋點!I121)</f>
        <v>3</v>
      </c>
      <c r="AI121" s="37">
        <f>IF(最佳化斷筋點!J121="","",最佳化斷筋點!J121)</f>
        <v>3</v>
      </c>
      <c r="AJ121" s="37">
        <f>IF(最佳化斷筋點!K121="","",最佳化斷筋點!K121)</f>
        <v>3</v>
      </c>
      <c r="AK121" s="37">
        <f>IF(最佳化斷筋點!L121="","",最佳化斷筋點!L121)</f>
        <v>3</v>
      </c>
      <c r="AL121" s="37">
        <f>IF(最佳化斷筋點!M121="","",最佳化斷筋點!M121)</f>
        <v>3</v>
      </c>
      <c r="AM121" s="37">
        <f>IF(最佳化斷筋點!N121="","",最佳化斷筋點!N121)</f>
        <v>3</v>
      </c>
      <c r="AN121" s="37">
        <f>IF(最佳化斷筋點!O121="","",最佳化斷筋點!O121)</f>
        <v>3</v>
      </c>
      <c r="AO121" s="37">
        <f>IF(最佳化斷筋點!P121="","",最佳化斷筋點!P121)</f>
        <v>3</v>
      </c>
      <c r="AP121" s="37">
        <f>IF(最佳化斷筋點!Q121="","",最佳化斷筋點!Q121)</f>
        <v>3</v>
      </c>
      <c r="AQ121" s="37">
        <f>IF(最佳化斷筋點!R121="","",最佳化斷筋點!R121)</f>
        <v>3</v>
      </c>
      <c r="AR121" s="37">
        <f>IF(最佳化斷筋點!S121="","",最佳化斷筋點!S121)</f>
        <v>3</v>
      </c>
      <c r="AS121" s="37">
        <f>IF(最佳化斷筋點!T121="","",最佳化斷筋點!T121)</f>
        <v>3</v>
      </c>
      <c r="AT121" s="37">
        <f>IF(最佳化斷筋點!U121="","",最佳化斷筋點!U121)</f>
        <v>3</v>
      </c>
      <c r="AU121" s="37">
        <f>IF(最佳化斷筋點!V121="","",最佳化斷筋點!V121)</f>
        <v>3</v>
      </c>
      <c r="AV121" s="37">
        <f>IF(最佳化斷筋點!W121="","",最佳化斷筋點!W121)</f>
        <v>3</v>
      </c>
      <c r="AW121" s="37">
        <f>IF(最佳化斷筋點!X121="","",最佳化斷筋點!X121)</f>
        <v>3</v>
      </c>
      <c r="AY121" s="6" t="s">
        <v>21</v>
      </c>
      <c r="AZ121" s="37">
        <v>3</v>
      </c>
      <c r="BA121" s="37">
        <v>3</v>
      </c>
      <c r="BB121" s="37">
        <v>3</v>
      </c>
      <c r="BC121" s="37">
        <v>3</v>
      </c>
      <c r="BD121" s="37">
        <v>3</v>
      </c>
      <c r="BE121" s="37">
        <v>3</v>
      </c>
      <c r="BF121" s="37">
        <v>3</v>
      </c>
      <c r="BG121" s="37">
        <v>3</v>
      </c>
      <c r="BH121" s="37">
        <v>3</v>
      </c>
      <c r="BI121" s="37">
        <v>3</v>
      </c>
      <c r="BJ121" s="37">
        <v>3</v>
      </c>
      <c r="BK121" s="37">
        <v>3</v>
      </c>
      <c r="BL121" s="37">
        <v>3</v>
      </c>
      <c r="BM121" s="37">
        <v>3</v>
      </c>
      <c r="BN121" s="37">
        <v>3</v>
      </c>
      <c r="BO121" s="37">
        <v>3</v>
      </c>
      <c r="BP121" s="37">
        <v>3</v>
      </c>
      <c r="BQ121" s="37">
        <v>3</v>
      </c>
      <c r="BR121" s="37">
        <v>3</v>
      </c>
      <c r="BS121" s="37">
        <v>3</v>
      </c>
      <c r="BT121" s="37">
        <v>3</v>
      </c>
    </row>
    <row r="122" spans="5:72" x14ac:dyDescent="0.25">
      <c r="F122" s="6">
        <f t="shared" si="22"/>
        <v>0</v>
      </c>
      <c r="G122" s="6">
        <f t="shared" si="23"/>
        <v>0</v>
      </c>
      <c r="H122" s="6">
        <f t="shared" si="24"/>
        <v>0</v>
      </c>
      <c r="I122" s="6">
        <f t="shared" si="25"/>
        <v>0</v>
      </c>
      <c r="J122" s="6">
        <f t="shared" si="26"/>
        <v>0</v>
      </c>
      <c r="K122" s="6">
        <f t="shared" si="27"/>
        <v>0</v>
      </c>
      <c r="L122" s="6">
        <f t="shared" si="28"/>
        <v>0</v>
      </c>
      <c r="M122" s="6">
        <f t="shared" si="29"/>
        <v>0</v>
      </c>
      <c r="N122" s="6">
        <f t="shared" si="30"/>
        <v>0</v>
      </c>
      <c r="O122" s="6">
        <f t="shared" si="31"/>
        <v>0</v>
      </c>
      <c r="P122" s="6">
        <f t="shared" si="32"/>
        <v>0</v>
      </c>
      <c r="Q122" s="6">
        <f t="shared" si="33"/>
        <v>0</v>
      </c>
      <c r="R122" s="6">
        <f t="shared" si="34"/>
        <v>0</v>
      </c>
      <c r="S122" s="6">
        <f t="shared" si="35"/>
        <v>0</v>
      </c>
      <c r="T122" s="6">
        <f t="shared" si="36"/>
        <v>0</v>
      </c>
      <c r="U122" s="6">
        <f t="shared" si="37"/>
        <v>0</v>
      </c>
      <c r="V122" s="6">
        <f t="shared" si="38"/>
        <v>0</v>
      </c>
      <c r="W122" s="6">
        <f t="shared" si="39"/>
        <v>0</v>
      </c>
      <c r="X122" s="6">
        <f t="shared" si="40"/>
        <v>0</v>
      </c>
      <c r="Y122" s="6">
        <f t="shared" si="41"/>
        <v>0</v>
      </c>
      <c r="Z122" s="6">
        <f t="shared" si="42"/>
        <v>0</v>
      </c>
      <c r="AB122" s="36" t="str">
        <f>IF(最佳化斷筋點!C122="","",最佳化斷筋點!C122)</f>
        <v/>
      </c>
      <c r="AC122" s="37" t="str">
        <f>IF(最佳化斷筋點!D122="","",最佳化斷筋點!D122)</f>
        <v/>
      </c>
      <c r="AD122" s="37" t="str">
        <f>IF(最佳化斷筋點!E122="","",最佳化斷筋點!E122)</f>
        <v/>
      </c>
      <c r="AE122" s="37" t="str">
        <f>IF(最佳化斷筋點!F122="","",最佳化斷筋點!F122)</f>
        <v/>
      </c>
      <c r="AF122" s="37" t="str">
        <f>IF(最佳化斷筋點!G122="","",最佳化斷筋點!G122)</f>
        <v/>
      </c>
      <c r="AG122" s="37" t="str">
        <f>IF(最佳化斷筋點!H122="","",最佳化斷筋點!H122)</f>
        <v/>
      </c>
      <c r="AH122" s="37" t="str">
        <f>IF(最佳化斷筋點!I122="","",最佳化斷筋點!I122)</f>
        <v/>
      </c>
      <c r="AI122" s="37" t="str">
        <f>IF(最佳化斷筋點!J122="","",最佳化斷筋點!J122)</f>
        <v/>
      </c>
      <c r="AJ122" s="37" t="str">
        <f>IF(最佳化斷筋點!K122="","",最佳化斷筋點!K122)</f>
        <v/>
      </c>
      <c r="AK122" s="37" t="str">
        <f>IF(最佳化斷筋點!L122="","",最佳化斷筋點!L122)</f>
        <v/>
      </c>
      <c r="AL122" s="37" t="str">
        <f>IF(最佳化斷筋點!M122="","",最佳化斷筋點!M122)</f>
        <v/>
      </c>
      <c r="AM122" s="37" t="str">
        <f>IF(最佳化斷筋點!N122="","",最佳化斷筋點!N122)</f>
        <v/>
      </c>
      <c r="AN122" s="37" t="str">
        <f>IF(最佳化斷筋點!O122="","",最佳化斷筋點!O122)</f>
        <v/>
      </c>
      <c r="AO122" s="37" t="str">
        <f>IF(最佳化斷筋點!P122="","",最佳化斷筋點!P122)</f>
        <v/>
      </c>
      <c r="AP122" s="37" t="str">
        <f>IF(最佳化斷筋點!Q122="","",最佳化斷筋點!Q122)</f>
        <v/>
      </c>
      <c r="AQ122" s="37" t="str">
        <f>IF(最佳化斷筋點!R122="","",最佳化斷筋點!R122)</f>
        <v/>
      </c>
      <c r="AR122" s="37" t="str">
        <f>IF(最佳化斷筋點!S122="","",最佳化斷筋點!S122)</f>
        <v/>
      </c>
      <c r="AS122" s="37" t="str">
        <f>IF(最佳化斷筋點!T122="","",最佳化斷筋點!T122)</f>
        <v/>
      </c>
      <c r="AT122" s="37" t="str">
        <f>IF(最佳化斷筋點!U122="","",最佳化斷筋點!U122)</f>
        <v/>
      </c>
      <c r="AU122" s="37" t="str">
        <f>IF(最佳化斷筋點!V122="","",最佳化斷筋點!V122)</f>
        <v/>
      </c>
      <c r="AV122" s="37" t="str">
        <f>IF(最佳化斷筋點!W122="","",最佳化斷筋點!W122)</f>
        <v/>
      </c>
      <c r="AW122" s="37" t="str">
        <f>IF(最佳化斷筋點!X122="","",最佳化斷筋點!X122)</f>
        <v/>
      </c>
      <c r="AZ122" s="37" t="s">
        <v>197</v>
      </c>
      <c r="BA122" s="37" t="s">
        <v>197</v>
      </c>
      <c r="BB122" s="37" t="s">
        <v>197</v>
      </c>
      <c r="BC122" s="37" t="s">
        <v>197</v>
      </c>
      <c r="BD122" s="37" t="s">
        <v>197</v>
      </c>
      <c r="BE122" s="37" t="s">
        <v>197</v>
      </c>
      <c r="BF122" s="37" t="s">
        <v>197</v>
      </c>
      <c r="BG122" s="37" t="s">
        <v>197</v>
      </c>
      <c r="BH122" s="37" t="s">
        <v>197</v>
      </c>
      <c r="BI122" s="37" t="s">
        <v>197</v>
      </c>
      <c r="BJ122" s="37" t="s">
        <v>197</v>
      </c>
      <c r="BK122" s="37" t="s">
        <v>197</v>
      </c>
      <c r="BL122" s="37" t="s">
        <v>197</v>
      </c>
      <c r="BM122" s="37" t="s">
        <v>197</v>
      </c>
      <c r="BN122" s="37" t="s">
        <v>197</v>
      </c>
      <c r="BO122" s="37" t="s">
        <v>197</v>
      </c>
      <c r="BP122" s="37" t="s">
        <v>197</v>
      </c>
      <c r="BQ122" s="37" t="s">
        <v>197</v>
      </c>
      <c r="BR122" s="37" t="s">
        <v>197</v>
      </c>
      <c r="BS122" s="37" t="s">
        <v>197</v>
      </c>
      <c r="BT122" s="37" t="s">
        <v>197</v>
      </c>
    </row>
    <row r="123" spans="5:72" x14ac:dyDescent="0.25">
      <c r="E123" s="6" t="s">
        <v>20</v>
      </c>
      <c r="F123" s="6">
        <f t="shared" si="22"/>
        <v>0</v>
      </c>
      <c r="G123" s="6">
        <f t="shared" si="23"/>
        <v>0</v>
      </c>
      <c r="H123" s="6">
        <f t="shared" si="24"/>
        <v>0</v>
      </c>
      <c r="I123" s="6">
        <f t="shared" si="25"/>
        <v>0</v>
      </c>
      <c r="J123" s="6">
        <f t="shared" si="26"/>
        <v>0</v>
      </c>
      <c r="K123" s="6">
        <f t="shared" si="27"/>
        <v>0</v>
      </c>
      <c r="L123" s="6">
        <f t="shared" si="28"/>
        <v>0</v>
      </c>
      <c r="M123" s="6">
        <f t="shared" si="29"/>
        <v>0</v>
      </c>
      <c r="N123" s="6">
        <f t="shared" si="30"/>
        <v>0</v>
      </c>
      <c r="O123" s="6">
        <f t="shared" si="31"/>
        <v>0</v>
      </c>
      <c r="P123" s="6">
        <f t="shared" si="32"/>
        <v>0</v>
      </c>
      <c r="Q123" s="6">
        <f t="shared" si="33"/>
        <v>0</v>
      </c>
      <c r="R123" s="6">
        <f t="shared" si="34"/>
        <v>0</v>
      </c>
      <c r="S123" s="6">
        <f t="shared" si="35"/>
        <v>0</v>
      </c>
      <c r="T123" s="6">
        <f t="shared" si="36"/>
        <v>0</v>
      </c>
      <c r="U123" s="6">
        <f t="shared" si="37"/>
        <v>0</v>
      </c>
      <c r="V123" s="6">
        <f t="shared" si="38"/>
        <v>0</v>
      </c>
      <c r="W123" s="6">
        <f t="shared" si="39"/>
        <v>0</v>
      </c>
      <c r="X123" s="6">
        <f t="shared" si="40"/>
        <v>0</v>
      </c>
      <c r="Y123" s="6">
        <f t="shared" si="41"/>
        <v>0</v>
      </c>
      <c r="Z123" s="6">
        <f t="shared" si="42"/>
        <v>0</v>
      </c>
      <c r="AB123" s="36" t="str">
        <f>IF(最佳化斷筋點!C123="","",最佳化斷筋點!C123)</f>
        <v>上層</v>
      </c>
      <c r="AC123" s="37">
        <f>IF(最佳化斷筋點!D123="","",最佳化斷筋點!D123)</f>
        <v>4</v>
      </c>
      <c r="AD123" s="37">
        <f>IF(最佳化斷筋點!E123="","",最佳化斷筋點!E123)</f>
        <v>4</v>
      </c>
      <c r="AE123" s="37">
        <f>IF(最佳化斷筋點!F123="","",最佳化斷筋點!F123)</f>
        <v>4</v>
      </c>
      <c r="AF123" s="37">
        <f>IF(最佳化斷筋點!G123="","",最佳化斷筋點!G123)</f>
        <v>4</v>
      </c>
      <c r="AG123" s="37">
        <f>IF(最佳化斷筋點!H123="","",最佳化斷筋點!H123)</f>
        <v>4</v>
      </c>
      <c r="AH123" s="37">
        <f>IF(最佳化斷筋點!I123="","",最佳化斷筋點!I123)</f>
        <v>4</v>
      </c>
      <c r="AI123" s="37">
        <f>IF(最佳化斷筋點!J123="","",最佳化斷筋點!J123)</f>
        <v>4</v>
      </c>
      <c r="AJ123" s="37">
        <f>IF(最佳化斷筋點!K123="","",最佳化斷筋點!K123)</f>
        <v>3</v>
      </c>
      <c r="AK123" s="37">
        <f>IF(最佳化斷筋點!L123="","",最佳化斷筋點!L123)</f>
        <v>3</v>
      </c>
      <c r="AL123" s="37">
        <f>IF(最佳化斷筋點!M123="","",最佳化斷筋點!M123)</f>
        <v>4</v>
      </c>
      <c r="AM123" s="37">
        <f>IF(最佳化斷筋點!N123="","",最佳化斷筋點!N123)</f>
        <v>4</v>
      </c>
      <c r="AN123" s="37">
        <f>IF(最佳化斷筋點!O123="","",最佳化斷筋點!O123)</f>
        <v>4</v>
      </c>
      <c r="AO123" s="37">
        <f>IF(最佳化斷筋點!P123="","",最佳化斷筋點!P123)</f>
        <v>4</v>
      </c>
      <c r="AP123" s="37">
        <f>IF(最佳化斷筋點!Q123="","",最佳化斷筋點!Q123)</f>
        <v>7</v>
      </c>
      <c r="AQ123" s="37">
        <f>IF(最佳化斷筋點!R123="","",最佳化斷筋點!R123)</f>
        <v>8</v>
      </c>
      <c r="AR123" s="37">
        <f>IF(最佳化斷筋點!S123="","",最佳化斷筋點!S123)</f>
        <v>9</v>
      </c>
      <c r="AS123" s="37">
        <f>IF(最佳化斷筋點!T123="","",最佳化斷筋點!T123)</f>
        <v>9</v>
      </c>
      <c r="AT123" s="37">
        <f>IF(最佳化斷筋點!U123="","",最佳化斷筋點!U123)</f>
        <v>9</v>
      </c>
      <c r="AU123" s="37">
        <f>IF(最佳化斷筋點!V123="","",最佳化斷筋點!V123)</f>
        <v>9</v>
      </c>
      <c r="AV123" s="37">
        <f>IF(最佳化斷筋點!W123="","",最佳化斷筋點!W123)</f>
        <v>9</v>
      </c>
      <c r="AW123" s="37">
        <f>IF(最佳化斷筋點!X123="","",最佳化斷筋點!X123)</f>
        <v>9</v>
      </c>
      <c r="AY123" s="6" t="s">
        <v>20</v>
      </c>
      <c r="AZ123" s="37">
        <v>4</v>
      </c>
      <c r="BA123" s="37">
        <v>4</v>
      </c>
      <c r="BB123" s="37">
        <v>4</v>
      </c>
      <c r="BC123" s="37">
        <v>4</v>
      </c>
      <c r="BD123" s="37">
        <v>4</v>
      </c>
      <c r="BE123" s="37">
        <v>4</v>
      </c>
      <c r="BF123" s="37">
        <v>4</v>
      </c>
      <c r="BG123" s="37">
        <v>3</v>
      </c>
      <c r="BH123" s="37">
        <v>3</v>
      </c>
      <c r="BI123" s="37">
        <v>4</v>
      </c>
      <c r="BJ123" s="37">
        <v>4</v>
      </c>
      <c r="BK123" s="37">
        <v>4</v>
      </c>
      <c r="BL123" s="37">
        <v>4</v>
      </c>
      <c r="BM123" s="37">
        <v>7</v>
      </c>
      <c r="BN123" s="37">
        <v>8</v>
      </c>
      <c r="BO123" s="37">
        <v>9</v>
      </c>
      <c r="BP123" s="37">
        <v>9</v>
      </c>
      <c r="BQ123" s="37">
        <v>9</v>
      </c>
      <c r="BR123" s="37">
        <v>9</v>
      </c>
      <c r="BS123" s="37">
        <v>9</v>
      </c>
      <c r="BT123" s="37">
        <v>9</v>
      </c>
    </row>
    <row r="124" spans="5:72" x14ac:dyDescent="0.25">
      <c r="F124" s="6">
        <f t="shared" si="22"/>
        <v>0</v>
      </c>
      <c r="G124" s="6">
        <f t="shared" si="23"/>
        <v>0</v>
      </c>
      <c r="H124" s="6">
        <f t="shared" si="24"/>
        <v>0</v>
      </c>
      <c r="I124" s="6">
        <f t="shared" si="25"/>
        <v>0</v>
      </c>
      <c r="J124" s="6">
        <f t="shared" si="26"/>
        <v>0</v>
      </c>
      <c r="K124" s="6">
        <f t="shared" si="27"/>
        <v>0</v>
      </c>
      <c r="L124" s="6">
        <f t="shared" si="28"/>
        <v>0</v>
      </c>
      <c r="M124" s="6">
        <f t="shared" si="29"/>
        <v>0</v>
      </c>
      <c r="N124" s="6">
        <f t="shared" si="30"/>
        <v>0</v>
      </c>
      <c r="O124" s="6">
        <f t="shared" si="31"/>
        <v>0</v>
      </c>
      <c r="P124" s="6">
        <f t="shared" si="32"/>
        <v>0</v>
      </c>
      <c r="Q124" s="6">
        <f t="shared" si="33"/>
        <v>0</v>
      </c>
      <c r="R124" s="6">
        <f t="shared" si="34"/>
        <v>0</v>
      </c>
      <c r="S124" s="6">
        <f t="shared" si="35"/>
        <v>0</v>
      </c>
      <c r="T124" s="6">
        <f t="shared" si="36"/>
        <v>0</v>
      </c>
      <c r="U124" s="6">
        <f t="shared" si="37"/>
        <v>0</v>
      </c>
      <c r="V124" s="6">
        <f t="shared" si="38"/>
        <v>0</v>
      </c>
      <c r="W124" s="6">
        <f t="shared" si="39"/>
        <v>0</v>
      </c>
      <c r="X124" s="6">
        <f t="shared" si="40"/>
        <v>0</v>
      </c>
      <c r="Y124" s="6">
        <f t="shared" si="41"/>
        <v>0</v>
      </c>
      <c r="Z124" s="6">
        <f t="shared" si="42"/>
        <v>0</v>
      </c>
      <c r="AB124" s="36" t="str">
        <f>IF(最佳化斷筋點!C124="","",最佳化斷筋點!C124)</f>
        <v/>
      </c>
      <c r="AC124" s="37" t="str">
        <f>IF(最佳化斷筋點!D124="","",最佳化斷筋點!D124)</f>
        <v/>
      </c>
      <c r="AD124" s="37" t="str">
        <f>IF(最佳化斷筋點!E124="","",最佳化斷筋點!E124)</f>
        <v/>
      </c>
      <c r="AE124" s="37" t="str">
        <f>IF(最佳化斷筋點!F124="","",最佳化斷筋點!F124)</f>
        <v/>
      </c>
      <c r="AF124" s="37" t="str">
        <f>IF(最佳化斷筋點!G124="","",最佳化斷筋點!G124)</f>
        <v/>
      </c>
      <c r="AG124" s="37" t="str">
        <f>IF(最佳化斷筋點!H124="","",最佳化斷筋點!H124)</f>
        <v/>
      </c>
      <c r="AH124" s="37" t="str">
        <f>IF(最佳化斷筋點!I124="","",最佳化斷筋點!I124)</f>
        <v/>
      </c>
      <c r="AI124" s="37" t="str">
        <f>IF(最佳化斷筋點!J124="","",最佳化斷筋點!J124)</f>
        <v/>
      </c>
      <c r="AJ124" s="37" t="str">
        <f>IF(最佳化斷筋點!K124="","",最佳化斷筋點!K124)</f>
        <v/>
      </c>
      <c r="AK124" s="37" t="str">
        <f>IF(最佳化斷筋點!L124="","",最佳化斷筋點!L124)</f>
        <v/>
      </c>
      <c r="AL124" s="37" t="str">
        <f>IF(最佳化斷筋點!M124="","",最佳化斷筋點!M124)</f>
        <v/>
      </c>
      <c r="AM124" s="37" t="str">
        <f>IF(最佳化斷筋點!N124="","",最佳化斷筋點!N124)</f>
        <v/>
      </c>
      <c r="AN124" s="37" t="str">
        <f>IF(最佳化斷筋點!O124="","",最佳化斷筋點!O124)</f>
        <v/>
      </c>
      <c r="AO124" s="37" t="str">
        <f>IF(最佳化斷筋點!P124="","",最佳化斷筋點!P124)</f>
        <v/>
      </c>
      <c r="AP124" s="37" t="str">
        <f>IF(最佳化斷筋點!Q124="","",最佳化斷筋點!Q124)</f>
        <v/>
      </c>
      <c r="AQ124" s="37" t="str">
        <f>IF(最佳化斷筋點!R124="","",最佳化斷筋點!R124)</f>
        <v/>
      </c>
      <c r="AR124" s="37" t="str">
        <f>IF(最佳化斷筋點!S124="","",最佳化斷筋點!S124)</f>
        <v/>
      </c>
      <c r="AS124" s="37" t="str">
        <f>IF(最佳化斷筋點!T124="","",最佳化斷筋點!T124)</f>
        <v/>
      </c>
      <c r="AT124" s="37" t="str">
        <f>IF(最佳化斷筋點!U124="","",最佳化斷筋點!U124)</f>
        <v/>
      </c>
      <c r="AU124" s="37" t="str">
        <f>IF(最佳化斷筋點!V124="","",最佳化斷筋點!V124)</f>
        <v/>
      </c>
      <c r="AV124" s="37" t="str">
        <f>IF(最佳化斷筋點!W124="","",最佳化斷筋點!W124)</f>
        <v/>
      </c>
      <c r="AW124" s="37" t="str">
        <f>IF(最佳化斷筋點!X124="","",最佳化斷筋點!X124)</f>
        <v/>
      </c>
      <c r="AZ124" s="37" t="s">
        <v>197</v>
      </c>
      <c r="BA124" s="37" t="s">
        <v>197</v>
      </c>
      <c r="BB124" s="37" t="s">
        <v>197</v>
      </c>
      <c r="BC124" s="37" t="s">
        <v>197</v>
      </c>
      <c r="BD124" s="37" t="s">
        <v>197</v>
      </c>
      <c r="BE124" s="37" t="s">
        <v>197</v>
      </c>
      <c r="BF124" s="37" t="s">
        <v>197</v>
      </c>
      <c r="BG124" s="37" t="s">
        <v>197</v>
      </c>
      <c r="BH124" s="37" t="s">
        <v>197</v>
      </c>
      <c r="BI124" s="37" t="s">
        <v>197</v>
      </c>
      <c r="BJ124" s="37" t="s">
        <v>197</v>
      </c>
      <c r="BK124" s="37" t="s">
        <v>197</v>
      </c>
      <c r="BL124" s="37" t="s">
        <v>197</v>
      </c>
      <c r="BM124" s="37" t="s">
        <v>197</v>
      </c>
      <c r="BN124" s="37" t="s">
        <v>197</v>
      </c>
      <c r="BO124" s="37" t="s">
        <v>197</v>
      </c>
      <c r="BP124" s="37" t="s">
        <v>197</v>
      </c>
      <c r="BQ124" s="37" t="s">
        <v>197</v>
      </c>
      <c r="BR124" s="37" t="s">
        <v>197</v>
      </c>
      <c r="BS124" s="37" t="s">
        <v>197</v>
      </c>
      <c r="BT124" s="37" t="s">
        <v>197</v>
      </c>
    </row>
    <row r="125" spans="5:72" x14ac:dyDescent="0.25">
      <c r="E125" s="6" t="s">
        <v>21</v>
      </c>
      <c r="F125" s="6">
        <f t="shared" si="22"/>
        <v>0</v>
      </c>
      <c r="G125" s="6">
        <f t="shared" si="23"/>
        <v>0</v>
      </c>
      <c r="H125" s="6">
        <f t="shared" si="24"/>
        <v>0</v>
      </c>
      <c r="I125" s="6">
        <f t="shared" si="25"/>
        <v>0</v>
      </c>
      <c r="J125" s="6">
        <f t="shared" si="26"/>
        <v>0</v>
      </c>
      <c r="K125" s="6">
        <f t="shared" si="27"/>
        <v>0</v>
      </c>
      <c r="L125" s="6">
        <f t="shared" si="28"/>
        <v>0</v>
      </c>
      <c r="M125" s="6">
        <f t="shared" si="29"/>
        <v>0</v>
      </c>
      <c r="N125" s="6">
        <f t="shared" si="30"/>
        <v>0</v>
      </c>
      <c r="O125" s="6">
        <f t="shared" si="31"/>
        <v>0</v>
      </c>
      <c r="P125" s="6">
        <f t="shared" si="32"/>
        <v>0</v>
      </c>
      <c r="Q125" s="6">
        <f t="shared" si="33"/>
        <v>0</v>
      </c>
      <c r="R125" s="6">
        <f t="shared" si="34"/>
        <v>0</v>
      </c>
      <c r="S125" s="6">
        <f t="shared" si="35"/>
        <v>0</v>
      </c>
      <c r="T125" s="6">
        <f t="shared" si="36"/>
        <v>0</v>
      </c>
      <c r="U125" s="6">
        <f t="shared" si="37"/>
        <v>0</v>
      </c>
      <c r="V125" s="6">
        <f t="shared" si="38"/>
        <v>0</v>
      </c>
      <c r="W125" s="6">
        <f t="shared" si="39"/>
        <v>0</v>
      </c>
      <c r="X125" s="6">
        <f t="shared" si="40"/>
        <v>0</v>
      </c>
      <c r="Y125" s="6">
        <f t="shared" si="41"/>
        <v>0</v>
      </c>
      <c r="Z125" s="6">
        <f t="shared" si="42"/>
        <v>0</v>
      </c>
      <c r="AB125" s="36" t="str">
        <f>IF(最佳化斷筋點!C125="","",最佳化斷筋點!C125)</f>
        <v>下層</v>
      </c>
      <c r="AC125" s="37">
        <f>IF(最佳化斷筋點!D125="","",最佳化斷筋點!D125)</f>
        <v>4</v>
      </c>
      <c r="AD125" s="37">
        <f>IF(最佳化斷筋點!E125="","",最佳化斷筋點!E125)</f>
        <v>4</v>
      </c>
      <c r="AE125" s="37">
        <f>IF(最佳化斷筋點!F125="","",最佳化斷筋點!F125)</f>
        <v>4</v>
      </c>
      <c r="AF125" s="37">
        <f>IF(最佳化斷筋點!G125="","",最佳化斷筋點!G125)</f>
        <v>4</v>
      </c>
      <c r="AG125" s="37">
        <f>IF(最佳化斷筋點!H125="","",最佳化斷筋點!H125)</f>
        <v>4</v>
      </c>
      <c r="AH125" s="37">
        <f>IF(最佳化斷筋點!I125="","",最佳化斷筋點!I125)</f>
        <v>4</v>
      </c>
      <c r="AI125" s="37">
        <f>IF(最佳化斷筋點!J125="","",最佳化斷筋點!J125)</f>
        <v>4</v>
      </c>
      <c r="AJ125" s="37">
        <f>IF(最佳化斷筋點!K125="","",最佳化斷筋點!K125)</f>
        <v>4</v>
      </c>
      <c r="AK125" s="37">
        <f>IF(最佳化斷筋點!L125="","",最佳化斷筋點!L125)</f>
        <v>4</v>
      </c>
      <c r="AL125" s="37">
        <f>IF(最佳化斷筋點!M125="","",最佳化斷筋點!M125)</f>
        <v>4</v>
      </c>
      <c r="AM125" s="37">
        <f>IF(最佳化斷筋點!N125="","",最佳化斷筋點!N125)</f>
        <v>4</v>
      </c>
      <c r="AN125" s="37">
        <f>IF(最佳化斷筋點!O125="","",最佳化斷筋點!O125)</f>
        <v>4</v>
      </c>
      <c r="AO125" s="37">
        <f>IF(最佳化斷筋點!P125="","",最佳化斷筋點!P125)</f>
        <v>4</v>
      </c>
      <c r="AP125" s="37">
        <f>IF(最佳化斷筋點!Q125="","",最佳化斷筋點!Q125)</f>
        <v>4</v>
      </c>
      <c r="AQ125" s="37">
        <f>IF(最佳化斷筋點!R125="","",最佳化斷筋點!R125)</f>
        <v>4</v>
      </c>
      <c r="AR125" s="37">
        <f>IF(最佳化斷筋點!S125="","",最佳化斷筋點!S125)</f>
        <v>4</v>
      </c>
      <c r="AS125" s="37">
        <f>IF(最佳化斷筋點!T125="","",最佳化斷筋點!T125)</f>
        <v>5</v>
      </c>
      <c r="AT125" s="37">
        <f>IF(最佳化斷筋點!U125="","",最佳化斷筋點!U125)</f>
        <v>5</v>
      </c>
      <c r="AU125" s="37">
        <f>IF(最佳化斷筋點!V125="","",最佳化斷筋點!V125)</f>
        <v>5</v>
      </c>
      <c r="AV125" s="37">
        <f>IF(最佳化斷筋點!W125="","",最佳化斷筋點!W125)</f>
        <v>5</v>
      </c>
      <c r="AW125" s="37">
        <f>IF(最佳化斷筋點!X125="","",最佳化斷筋點!X125)</f>
        <v>5</v>
      </c>
      <c r="AY125" s="6" t="s">
        <v>21</v>
      </c>
      <c r="AZ125" s="37">
        <v>4</v>
      </c>
      <c r="BA125" s="37">
        <v>4</v>
      </c>
      <c r="BB125" s="37">
        <v>4</v>
      </c>
      <c r="BC125" s="37">
        <v>4</v>
      </c>
      <c r="BD125" s="37">
        <v>4</v>
      </c>
      <c r="BE125" s="37">
        <v>4</v>
      </c>
      <c r="BF125" s="37">
        <v>4</v>
      </c>
      <c r="BG125" s="37">
        <v>4</v>
      </c>
      <c r="BH125" s="37">
        <v>4</v>
      </c>
      <c r="BI125" s="37">
        <v>4</v>
      </c>
      <c r="BJ125" s="37">
        <v>4</v>
      </c>
      <c r="BK125" s="37">
        <v>4</v>
      </c>
      <c r="BL125" s="37">
        <v>4</v>
      </c>
      <c r="BM125" s="37">
        <v>4</v>
      </c>
      <c r="BN125" s="37">
        <v>4</v>
      </c>
      <c r="BO125" s="37">
        <v>4</v>
      </c>
      <c r="BP125" s="37">
        <v>5</v>
      </c>
      <c r="BQ125" s="37">
        <v>5</v>
      </c>
      <c r="BR125" s="37">
        <v>5</v>
      </c>
      <c r="BS125" s="37">
        <v>5</v>
      </c>
      <c r="BT125" s="37">
        <v>5</v>
      </c>
    </row>
    <row r="126" spans="5:72" x14ac:dyDescent="0.25">
      <c r="F126" s="6">
        <f t="shared" si="22"/>
        <v>0</v>
      </c>
      <c r="G126" s="6">
        <f t="shared" si="23"/>
        <v>0</v>
      </c>
      <c r="H126" s="6">
        <f t="shared" si="24"/>
        <v>0</v>
      </c>
      <c r="I126" s="6">
        <f t="shared" si="25"/>
        <v>0</v>
      </c>
      <c r="J126" s="6">
        <f t="shared" si="26"/>
        <v>0</v>
      </c>
      <c r="K126" s="6">
        <f t="shared" si="27"/>
        <v>0</v>
      </c>
      <c r="L126" s="6">
        <f t="shared" si="28"/>
        <v>0</v>
      </c>
      <c r="M126" s="6">
        <f t="shared" si="29"/>
        <v>0</v>
      </c>
      <c r="N126" s="6">
        <f t="shared" si="30"/>
        <v>0</v>
      </c>
      <c r="O126" s="6">
        <f t="shared" si="31"/>
        <v>0</v>
      </c>
      <c r="P126" s="6">
        <f t="shared" si="32"/>
        <v>0</v>
      </c>
      <c r="Q126" s="6">
        <f t="shared" si="33"/>
        <v>0</v>
      </c>
      <c r="R126" s="6">
        <f t="shared" si="34"/>
        <v>0</v>
      </c>
      <c r="S126" s="6">
        <f t="shared" si="35"/>
        <v>0</v>
      </c>
      <c r="T126" s="6">
        <f t="shared" si="36"/>
        <v>0</v>
      </c>
      <c r="U126" s="6">
        <f t="shared" si="37"/>
        <v>0</v>
      </c>
      <c r="V126" s="6">
        <f t="shared" si="38"/>
        <v>0</v>
      </c>
      <c r="W126" s="6">
        <f t="shared" si="39"/>
        <v>0</v>
      </c>
      <c r="X126" s="6">
        <f t="shared" si="40"/>
        <v>0</v>
      </c>
      <c r="Y126" s="6">
        <f t="shared" si="41"/>
        <v>0</v>
      </c>
      <c r="Z126" s="6">
        <f t="shared" si="42"/>
        <v>0</v>
      </c>
      <c r="AB126" s="36" t="str">
        <f>IF(最佳化斷筋點!C126="","",最佳化斷筋點!C126)</f>
        <v/>
      </c>
      <c r="AC126" s="37" t="str">
        <f>IF(最佳化斷筋點!D126="","",最佳化斷筋點!D126)</f>
        <v/>
      </c>
      <c r="AD126" s="37" t="str">
        <f>IF(最佳化斷筋點!E126="","",最佳化斷筋點!E126)</f>
        <v/>
      </c>
      <c r="AE126" s="37" t="str">
        <f>IF(最佳化斷筋點!F126="","",最佳化斷筋點!F126)</f>
        <v/>
      </c>
      <c r="AF126" s="37" t="str">
        <f>IF(最佳化斷筋點!G126="","",最佳化斷筋點!G126)</f>
        <v/>
      </c>
      <c r="AG126" s="37" t="str">
        <f>IF(最佳化斷筋點!H126="","",最佳化斷筋點!H126)</f>
        <v/>
      </c>
      <c r="AH126" s="37" t="str">
        <f>IF(最佳化斷筋點!I126="","",最佳化斷筋點!I126)</f>
        <v/>
      </c>
      <c r="AI126" s="37" t="str">
        <f>IF(最佳化斷筋點!J126="","",最佳化斷筋點!J126)</f>
        <v/>
      </c>
      <c r="AJ126" s="37" t="str">
        <f>IF(最佳化斷筋點!K126="","",最佳化斷筋點!K126)</f>
        <v/>
      </c>
      <c r="AK126" s="37" t="str">
        <f>IF(最佳化斷筋點!L126="","",最佳化斷筋點!L126)</f>
        <v/>
      </c>
      <c r="AL126" s="37" t="str">
        <f>IF(最佳化斷筋點!M126="","",最佳化斷筋點!M126)</f>
        <v/>
      </c>
      <c r="AM126" s="37" t="str">
        <f>IF(最佳化斷筋點!N126="","",最佳化斷筋點!N126)</f>
        <v/>
      </c>
      <c r="AN126" s="37" t="str">
        <f>IF(最佳化斷筋點!O126="","",最佳化斷筋點!O126)</f>
        <v/>
      </c>
      <c r="AO126" s="37" t="str">
        <f>IF(最佳化斷筋點!P126="","",最佳化斷筋點!P126)</f>
        <v/>
      </c>
      <c r="AP126" s="37" t="str">
        <f>IF(最佳化斷筋點!Q126="","",最佳化斷筋點!Q126)</f>
        <v/>
      </c>
      <c r="AQ126" s="37" t="str">
        <f>IF(最佳化斷筋點!R126="","",最佳化斷筋點!R126)</f>
        <v/>
      </c>
      <c r="AR126" s="37" t="str">
        <f>IF(最佳化斷筋點!S126="","",最佳化斷筋點!S126)</f>
        <v/>
      </c>
      <c r="AS126" s="37" t="str">
        <f>IF(最佳化斷筋點!T126="","",最佳化斷筋點!T126)</f>
        <v/>
      </c>
      <c r="AT126" s="37" t="str">
        <f>IF(最佳化斷筋點!U126="","",最佳化斷筋點!U126)</f>
        <v/>
      </c>
      <c r="AU126" s="37" t="str">
        <f>IF(最佳化斷筋點!V126="","",最佳化斷筋點!V126)</f>
        <v/>
      </c>
      <c r="AV126" s="37" t="str">
        <f>IF(最佳化斷筋點!W126="","",最佳化斷筋點!W126)</f>
        <v/>
      </c>
      <c r="AW126" s="37" t="str">
        <f>IF(最佳化斷筋點!X126="","",最佳化斷筋點!X126)</f>
        <v/>
      </c>
      <c r="AZ126" s="37" t="s">
        <v>197</v>
      </c>
      <c r="BA126" s="37" t="s">
        <v>197</v>
      </c>
      <c r="BB126" s="37" t="s">
        <v>197</v>
      </c>
      <c r="BC126" s="37" t="s">
        <v>197</v>
      </c>
      <c r="BD126" s="37" t="s">
        <v>197</v>
      </c>
      <c r="BE126" s="37" t="s">
        <v>197</v>
      </c>
      <c r="BF126" s="37" t="s">
        <v>197</v>
      </c>
      <c r="BG126" s="37" t="s">
        <v>197</v>
      </c>
      <c r="BH126" s="37" t="s">
        <v>197</v>
      </c>
      <c r="BI126" s="37" t="s">
        <v>197</v>
      </c>
      <c r="BJ126" s="37" t="s">
        <v>197</v>
      </c>
      <c r="BK126" s="37" t="s">
        <v>197</v>
      </c>
      <c r="BL126" s="37" t="s">
        <v>197</v>
      </c>
      <c r="BM126" s="37" t="s">
        <v>197</v>
      </c>
      <c r="BN126" s="37" t="s">
        <v>197</v>
      </c>
      <c r="BO126" s="37" t="s">
        <v>197</v>
      </c>
      <c r="BP126" s="37" t="s">
        <v>197</v>
      </c>
      <c r="BQ126" s="37" t="s">
        <v>197</v>
      </c>
      <c r="BR126" s="37" t="s">
        <v>197</v>
      </c>
      <c r="BS126" s="37" t="s">
        <v>197</v>
      </c>
      <c r="BT126" s="37" t="s">
        <v>197</v>
      </c>
    </row>
    <row r="127" spans="5:72" x14ac:dyDescent="0.25">
      <c r="E127" s="6" t="s">
        <v>20</v>
      </c>
      <c r="F127" s="6">
        <f t="shared" si="22"/>
        <v>0</v>
      </c>
      <c r="G127" s="6">
        <f t="shared" si="23"/>
        <v>0</v>
      </c>
      <c r="H127" s="6">
        <f t="shared" si="24"/>
        <v>0</v>
      </c>
      <c r="I127" s="6">
        <f t="shared" si="25"/>
        <v>0</v>
      </c>
      <c r="J127" s="6">
        <f t="shared" si="26"/>
        <v>0</v>
      </c>
      <c r="K127" s="6">
        <f t="shared" si="27"/>
        <v>0</v>
      </c>
      <c r="L127" s="6">
        <f t="shared" si="28"/>
        <v>0</v>
      </c>
      <c r="M127" s="6">
        <f t="shared" si="29"/>
        <v>0</v>
      </c>
      <c r="N127" s="6">
        <f t="shared" si="30"/>
        <v>0</v>
      </c>
      <c r="O127" s="6">
        <f t="shared" si="31"/>
        <v>0</v>
      </c>
      <c r="P127" s="6">
        <f t="shared" si="32"/>
        <v>0</v>
      </c>
      <c r="Q127" s="6">
        <f t="shared" si="33"/>
        <v>0</v>
      </c>
      <c r="R127" s="6">
        <f t="shared" si="34"/>
        <v>0</v>
      </c>
      <c r="S127" s="6">
        <f t="shared" si="35"/>
        <v>0</v>
      </c>
      <c r="T127" s="6">
        <f t="shared" si="36"/>
        <v>0</v>
      </c>
      <c r="U127" s="6">
        <f t="shared" si="37"/>
        <v>0</v>
      </c>
      <c r="V127" s="6">
        <f t="shared" si="38"/>
        <v>0</v>
      </c>
      <c r="W127" s="6">
        <f t="shared" si="39"/>
        <v>0</v>
      </c>
      <c r="X127" s="6">
        <f t="shared" si="40"/>
        <v>0</v>
      </c>
      <c r="Y127" s="6">
        <f t="shared" si="41"/>
        <v>0</v>
      </c>
      <c r="Z127" s="6">
        <f t="shared" si="42"/>
        <v>0</v>
      </c>
      <c r="AB127" s="36" t="str">
        <f>IF(最佳化斷筋點!C127="","",最佳化斷筋點!C127)</f>
        <v>上層</v>
      </c>
      <c r="AC127" s="37">
        <f>IF(最佳化斷筋點!D127="","",最佳化斷筋點!D127)</f>
        <v>4</v>
      </c>
      <c r="AD127" s="37">
        <f>IF(最佳化斷筋點!E127="","",最佳化斷筋點!E127)</f>
        <v>4</v>
      </c>
      <c r="AE127" s="37">
        <f>IF(最佳化斷筋點!F127="","",最佳化斷筋點!F127)</f>
        <v>4</v>
      </c>
      <c r="AF127" s="37">
        <f>IF(最佳化斷筋點!G127="","",最佳化斷筋點!G127)</f>
        <v>4</v>
      </c>
      <c r="AG127" s="37">
        <f>IF(最佳化斷筋點!H127="","",最佳化斷筋點!H127)</f>
        <v>4</v>
      </c>
      <c r="AH127" s="37">
        <f>IF(最佳化斷筋點!I127="","",最佳化斷筋點!I127)</f>
        <v>4</v>
      </c>
      <c r="AI127" s="37">
        <f>IF(最佳化斷筋點!J127="","",最佳化斷筋點!J127)</f>
        <v>4</v>
      </c>
      <c r="AJ127" s="37">
        <f>IF(最佳化斷筋點!K127="","",最佳化斷筋點!K127)</f>
        <v>3</v>
      </c>
      <c r="AK127" s="37">
        <f>IF(最佳化斷筋點!L127="","",最佳化斷筋點!L127)</f>
        <v>3</v>
      </c>
      <c r="AL127" s="37">
        <f>IF(最佳化斷筋點!M127="","",最佳化斷筋點!M127)</f>
        <v>3</v>
      </c>
      <c r="AM127" s="37">
        <f>IF(最佳化斷筋點!N127="","",最佳化斷筋點!N127)</f>
        <v>2</v>
      </c>
      <c r="AN127" s="37">
        <f>IF(最佳化斷筋點!O127="","",最佳化斷筋點!O127)</f>
        <v>2</v>
      </c>
      <c r="AO127" s="37">
        <f>IF(最佳化斷筋點!P127="","",最佳化斷筋點!P127)</f>
        <v>2</v>
      </c>
      <c r="AP127" s="37">
        <f>IF(最佳化斷筋點!Q127="","",最佳化斷筋點!Q127)</f>
        <v>2</v>
      </c>
      <c r="AQ127" s="37">
        <f>IF(最佳化斷筋點!R127="","",最佳化斷筋點!R127)</f>
        <v>3</v>
      </c>
      <c r="AR127" s="37">
        <f>IF(最佳化斷筋點!S127="","",最佳化斷筋點!S127)</f>
        <v>3</v>
      </c>
      <c r="AS127" s="37">
        <f>IF(最佳化斷筋點!T127="","",最佳化斷筋點!T127)</f>
        <v>3</v>
      </c>
      <c r="AT127" s="37">
        <f>IF(最佳化斷筋點!U127="","",最佳化斷筋點!U127)</f>
        <v>3</v>
      </c>
      <c r="AU127" s="37">
        <f>IF(最佳化斷筋點!V127="","",最佳化斷筋點!V127)</f>
        <v>3</v>
      </c>
      <c r="AV127" s="37">
        <f>IF(最佳化斷筋點!W127="","",最佳化斷筋點!W127)</f>
        <v>3</v>
      </c>
      <c r="AW127" s="37">
        <f>IF(最佳化斷筋點!X127="","",最佳化斷筋點!X127)</f>
        <v>3</v>
      </c>
      <c r="AY127" s="6" t="s">
        <v>20</v>
      </c>
      <c r="AZ127" s="37">
        <v>4</v>
      </c>
      <c r="BA127" s="37">
        <v>4</v>
      </c>
      <c r="BB127" s="37">
        <v>4</v>
      </c>
      <c r="BC127" s="37">
        <v>4</v>
      </c>
      <c r="BD127" s="37">
        <v>4</v>
      </c>
      <c r="BE127" s="37">
        <v>4</v>
      </c>
      <c r="BF127" s="37">
        <v>4</v>
      </c>
      <c r="BG127" s="37">
        <v>3</v>
      </c>
      <c r="BH127" s="37">
        <v>3</v>
      </c>
      <c r="BI127" s="37">
        <v>3</v>
      </c>
      <c r="BJ127" s="37">
        <v>2</v>
      </c>
      <c r="BK127" s="37">
        <v>2</v>
      </c>
      <c r="BL127" s="37">
        <v>2</v>
      </c>
      <c r="BM127" s="37">
        <v>2</v>
      </c>
      <c r="BN127" s="37">
        <v>3</v>
      </c>
      <c r="BO127" s="37">
        <v>3</v>
      </c>
      <c r="BP127" s="37">
        <v>3</v>
      </c>
      <c r="BQ127" s="37">
        <v>3</v>
      </c>
      <c r="BR127" s="37">
        <v>3</v>
      </c>
      <c r="BS127" s="37">
        <v>3</v>
      </c>
      <c r="BT127" s="37">
        <v>3</v>
      </c>
    </row>
    <row r="128" spans="5:72" x14ac:dyDescent="0.25">
      <c r="F128" s="6">
        <f t="shared" si="22"/>
        <v>0</v>
      </c>
      <c r="G128" s="6">
        <f t="shared" si="23"/>
        <v>0</v>
      </c>
      <c r="H128" s="6">
        <f t="shared" si="24"/>
        <v>0</v>
      </c>
      <c r="I128" s="6">
        <f t="shared" si="25"/>
        <v>0</v>
      </c>
      <c r="J128" s="6">
        <f t="shared" si="26"/>
        <v>0</v>
      </c>
      <c r="K128" s="6">
        <f t="shared" si="27"/>
        <v>0</v>
      </c>
      <c r="L128" s="6">
        <f t="shared" si="28"/>
        <v>0</v>
      </c>
      <c r="M128" s="6">
        <f t="shared" si="29"/>
        <v>0</v>
      </c>
      <c r="N128" s="6">
        <f t="shared" si="30"/>
        <v>0</v>
      </c>
      <c r="O128" s="6">
        <f t="shared" si="31"/>
        <v>0</v>
      </c>
      <c r="P128" s="6">
        <f t="shared" si="32"/>
        <v>0</v>
      </c>
      <c r="Q128" s="6">
        <f t="shared" si="33"/>
        <v>0</v>
      </c>
      <c r="R128" s="6">
        <f t="shared" si="34"/>
        <v>0</v>
      </c>
      <c r="S128" s="6">
        <f t="shared" si="35"/>
        <v>0</v>
      </c>
      <c r="T128" s="6">
        <f t="shared" si="36"/>
        <v>0</v>
      </c>
      <c r="U128" s="6">
        <f t="shared" si="37"/>
        <v>0</v>
      </c>
      <c r="V128" s="6">
        <f t="shared" si="38"/>
        <v>0</v>
      </c>
      <c r="W128" s="6">
        <f t="shared" si="39"/>
        <v>0</v>
      </c>
      <c r="X128" s="6">
        <f t="shared" si="40"/>
        <v>0</v>
      </c>
      <c r="Y128" s="6">
        <f t="shared" si="41"/>
        <v>0</v>
      </c>
      <c r="Z128" s="6">
        <f t="shared" si="42"/>
        <v>0</v>
      </c>
      <c r="AB128" s="36" t="str">
        <f>IF(最佳化斷筋點!C128="","",最佳化斷筋點!C128)</f>
        <v/>
      </c>
      <c r="AC128" s="37" t="str">
        <f>IF(最佳化斷筋點!D128="","",最佳化斷筋點!D128)</f>
        <v/>
      </c>
      <c r="AD128" s="37" t="str">
        <f>IF(最佳化斷筋點!E128="","",最佳化斷筋點!E128)</f>
        <v/>
      </c>
      <c r="AE128" s="37" t="str">
        <f>IF(最佳化斷筋點!F128="","",最佳化斷筋點!F128)</f>
        <v/>
      </c>
      <c r="AF128" s="37" t="str">
        <f>IF(最佳化斷筋點!G128="","",最佳化斷筋點!G128)</f>
        <v/>
      </c>
      <c r="AG128" s="37" t="str">
        <f>IF(最佳化斷筋點!H128="","",最佳化斷筋點!H128)</f>
        <v/>
      </c>
      <c r="AH128" s="37" t="str">
        <f>IF(最佳化斷筋點!I128="","",最佳化斷筋點!I128)</f>
        <v/>
      </c>
      <c r="AI128" s="37" t="str">
        <f>IF(最佳化斷筋點!J128="","",最佳化斷筋點!J128)</f>
        <v/>
      </c>
      <c r="AJ128" s="37" t="str">
        <f>IF(最佳化斷筋點!K128="","",最佳化斷筋點!K128)</f>
        <v/>
      </c>
      <c r="AK128" s="37" t="str">
        <f>IF(最佳化斷筋點!L128="","",最佳化斷筋點!L128)</f>
        <v/>
      </c>
      <c r="AL128" s="37" t="str">
        <f>IF(最佳化斷筋點!M128="","",最佳化斷筋點!M128)</f>
        <v/>
      </c>
      <c r="AM128" s="37" t="str">
        <f>IF(最佳化斷筋點!N128="","",最佳化斷筋點!N128)</f>
        <v/>
      </c>
      <c r="AN128" s="37" t="str">
        <f>IF(最佳化斷筋點!O128="","",最佳化斷筋點!O128)</f>
        <v/>
      </c>
      <c r="AO128" s="37" t="str">
        <f>IF(最佳化斷筋點!P128="","",最佳化斷筋點!P128)</f>
        <v/>
      </c>
      <c r="AP128" s="37" t="str">
        <f>IF(最佳化斷筋點!Q128="","",最佳化斷筋點!Q128)</f>
        <v/>
      </c>
      <c r="AQ128" s="37" t="str">
        <f>IF(最佳化斷筋點!R128="","",最佳化斷筋點!R128)</f>
        <v/>
      </c>
      <c r="AR128" s="37" t="str">
        <f>IF(最佳化斷筋點!S128="","",最佳化斷筋點!S128)</f>
        <v/>
      </c>
      <c r="AS128" s="37" t="str">
        <f>IF(最佳化斷筋點!T128="","",最佳化斷筋點!T128)</f>
        <v/>
      </c>
      <c r="AT128" s="37" t="str">
        <f>IF(最佳化斷筋點!U128="","",最佳化斷筋點!U128)</f>
        <v/>
      </c>
      <c r="AU128" s="37" t="str">
        <f>IF(最佳化斷筋點!V128="","",最佳化斷筋點!V128)</f>
        <v/>
      </c>
      <c r="AV128" s="37" t="str">
        <f>IF(最佳化斷筋點!W128="","",最佳化斷筋點!W128)</f>
        <v/>
      </c>
      <c r="AW128" s="37" t="str">
        <f>IF(最佳化斷筋點!X128="","",最佳化斷筋點!X128)</f>
        <v/>
      </c>
      <c r="AZ128" s="37" t="s">
        <v>197</v>
      </c>
      <c r="BA128" s="37" t="s">
        <v>197</v>
      </c>
      <c r="BB128" s="37" t="s">
        <v>197</v>
      </c>
      <c r="BC128" s="37" t="s">
        <v>197</v>
      </c>
      <c r="BD128" s="37" t="s">
        <v>197</v>
      </c>
      <c r="BE128" s="37" t="s">
        <v>197</v>
      </c>
      <c r="BF128" s="37" t="s">
        <v>197</v>
      </c>
      <c r="BG128" s="37" t="s">
        <v>197</v>
      </c>
      <c r="BH128" s="37" t="s">
        <v>197</v>
      </c>
      <c r="BI128" s="37" t="s">
        <v>197</v>
      </c>
      <c r="BJ128" s="37" t="s">
        <v>197</v>
      </c>
      <c r="BK128" s="37" t="s">
        <v>197</v>
      </c>
      <c r="BL128" s="37" t="s">
        <v>197</v>
      </c>
      <c r="BM128" s="37" t="s">
        <v>197</v>
      </c>
      <c r="BN128" s="37" t="s">
        <v>197</v>
      </c>
      <c r="BO128" s="37" t="s">
        <v>197</v>
      </c>
      <c r="BP128" s="37" t="s">
        <v>197</v>
      </c>
      <c r="BQ128" s="37" t="s">
        <v>197</v>
      </c>
      <c r="BR128" s="37" t="s">
        <v>197</v>
      </c>
      <c r="BS128" s="37" t="s">
        <v>197</v>
      </c>
      <c r="BT128" s="37" t="s">
        <v>197</v>
      </c>
    </row>
    <row r="129" spans="5:72" x14ac:dyDescent="0.25">
      <c r="E129" s="6" t="s">
        <v>21</v>
      </c>
      <c r="F129" s="6">
        <f t="shared" si="22"/>
        <v>0</v>
      </c>
      <c r="G129" s="6">
        <f t="shared" si="23"/>
        <v>0</v>
      </c>
      <c r="H129" s="6">
        <f t="shared" si="24"/>
        <v>0</v>
      </c>
      <c r="I129" s="6">
        <f t="shared" si="25"/>
        <v>0</v>
      </c>
      <c r="J129" s="6">
        <f t="shared" si="26"/>
        <v>0</v>
      </c>
      <c r="K129" s="6">
        <f t="shared" si="27"/>
        <v>0</v>
      </c>
      <c r="L129" s="6">
        <f t="shared" si="28"/>
        <v>0</v>
      </c>
      <c r="M129" s="6">
        <f t="shared" si="29"/>
        <v>0</v>
      </c>
      <c r="N129" s="6">
        <f t="shared" si="30"/>
        <v>0</v>
      </c>
      <c r="O129" s="6">
        <f t="shared" si="31"/>
        <v>0</v>
      </c>
      <c r="P129" s="6">
        <f t="shared" si="32"/>
        <v>0</v>
      </c>
      <c r="Q129" s="6">
        <f t="shared" si="33"/>
        <v>0</v>
      </c>
      <c r="R129" s="6">
        <f t="shared" si="34"/>
        <v>0</v>
      </c>
      <c r="S129" s="6">
        <f t="shared" si="35"/>
        <v>0</v>
      </c>
      <c r="T129" s="6">
        <f t="shared" si="36"/>
        <v>0</v>
      </c>
      <c r="U129" s="6">
        <f t="shared" si="37"/>
        <v>0</v>
      </c>
      <c r="V129" s="6">
        <f t="shared" si="38"/>
        <v>0</v>
      </c>
      <c r="W129" s="6">
        <f t="shared" si="39"/>
        <v>0</v>
      </c>
      <c r="X129" s="6">
        <f t="shared" si="40"/>
        <v>0</v>
      </c>
      <c r="Y129" s="6">
        <f t="shared" si="41"/>
        <v>0</v>
      </c>
      <c r="Z129" s="6">
        <f t="shared" si="42"/>
        <v>0</v>
      </c>
      <c r="AB129" s="36" t="str">
        <f>IF(最佳化斷筋點!C129="","",最佳化斷筋點!C129)</f>
        <v>下層</v>
      </c>
      <c r="AC129" s="37">
        <f>IF(最佳化斷筋點!D129="","",最佳化斷筋點!D129)</f>
        <v>3</v>
      </c>
      <c r="AD129" s="37">
        <f>IF(最佳化斷筋點!E129="","",最佳化斷筋點!E129)</f>
        <v>3</v>
      </c>
      <c r="AE129" s="37">
        <f>IF(最佳化斷筋點!F129="","",最佳化斷筋點!F129)</f>
        <v>3</v>
      </c>
      <c r="AF129" s="37">
        <f>IF(最佳化斷筋點!G129="","",最佳化斷筋點!G129)</f>
        <v>3</v>
      </c>
      <c r="AG129" s="37">
        <f>IF(最佳化斷筋點!H129="","",最佳化斷筋點!H129)</f>
        <v>3</v>
      </c>
      <c r="AH129" s="37">
        <f>IF(最佳化斷筋點!I129="","",最佳化斷筋點!I129)</f>
        <v>3</v>
      </c>
      <c r="AI129" s="37">
        <f>IF(最佳化斷筋點!J129="","",最佳化斷筋點!J129)</f>
        <v>3</v>
      </c>
      <c r="AJ129" s="37">
        <f>IF(最佳化斷筋點!K129="","",最佳化斷筋點!K129)</f>
        <v>2</v>
      </c>
      <c r="AK129" s="37">
        <f>IF(最佳化斷筋點!L129="","",最佳化斷筋點!L129)</f>
        <v>2</v>
      </c>
      <c r="AL129" s="37">
        <f>IF(最佳化斷筋點!M129="","",最佳化斷筋點!M129)</f>
        <v>2</v>
      </c>
      <c r="AM129" s="37">
        <f>IF(最佳化斷筋點!N129="","",最佳化斷筋點!N129)</f>
        <v>2</v>
      </c>
      <c r="AN129" s="37">
        <f>IF(最佳化斷筋點!O129="","",最佳化斷筋點!O129)</f>
        <v>2</v>
      </c>
      <c r="AO129" s="37">
        <f>IF(最佳化斷筋點!P129="","",最佳化斷筋點!P129)</f>
        <v>2</v>
      </c>
      <c r="AP129" s="37">
        <f>IF(最佳化斷筋點!Q129="","",最佳化斷筋點!Q129)</f>
        <v>3</v>
      </c>
      <c r="AQ129" s="37">
        <f>IF(最佳化斷筋點!R129="","",最佳化斷筋點!R129)</f>
        <v>3</v>
      </c>
      <c r="AR129" s="37">
        <f>IF(最佳化斷筋點!S129="","",最佳化斷筋點!S129)</f>
        <v>3</v>
      </c>
      <c r="AS129" s="37">
        <f>IF(最佳化斷筋點!T129="","",最佳化斷筋點!T129)</f>
        <v>4</v>
      </c>
      <c r="AT129" s="37">
        <f>IF(最佳化斷筋點!U129="","",最佳化斷筋點!U129)</f>
        <v>4</v>
      </c>
      <c r="AU129" s="37">
        <f>IF(最佳化斷筋點!V129="","",最佳化斷筋點!V129)</f>
        <v>4</v>
      </c>
      <c r="AV129" s="37">
        <f>IF(最佳化斷筋點!W129="","",最佳化斷筋點!W129)</f>
        <v>4</v>
      </c>
      <c r="AW129" s="37">
        <f>IF(最佳化斷筋點!X129="","",最佳化斷筋點!X129)</f>
        <v>4</v>
      </c>
      <c r="AY129" s="6" t="s">
        <v>21</v>
      </c>
      <c r="AZ129" s="37">
        <v>3</v>
      </c>
      <c r="BA129" s="37">
        <v>3</v>
      </c>
      <c r="BB129" s="37">
        <v>3</v>
      </c>
      <c r="BC129" s="37">
        <v>3</v>
      </c>
      <c r="BD129" s="37">
        <v>3</v>
      </c>
      <c r="BE129" s="37">
        <v>3</v>
      </c>
      <c r="BF129" s="37">
        <v>3</v>
      </c>
      <c r="BG129" s="37">
        <v>2</v>
      </c>
      <c r="BH129" s="37">
        <v>2</v>
      </c>
      <c r="BI129" s="37">
        <v>2</v>
      </c>
      <c r="BJ129" s="37">
        <v>2</v>
      </c>
      <c r="BK129" s="37">
        <v>2</v>
      </c>
      <c r="BL129" s="37">
        <v>2</v>
      </c>
      <c r="BM129" s="37">
        <v>3</v>
      </c>
      <c r="BN129" s="37">
        <v>3</v>
      </c>
      <c r="BO129" s="37">
        <v>3</v>
      </c>
      <c r="BP129" s="37">
        <v>4</v>
      </c>
      <c r="BQ129" s="37">
        <v>4</v>
      </c>
      <c r="BR129" s="37">
        <v>4</v>
      </c>
      <c r="BS129" s="37">
        <v>4</v>
      </c>
      <c r="BT129" s="37">
        <v>4</v>
      </c>
    </row>
    <row r="130" spans="5:72" x14ac:dyDescent="0.25">
      <c r="F130" s="6">
        <f t="shared" si="22"/>
        <v>0</v>
      </c>
      <c r="G130" s="6">
        <f t="shared" si="23"/>
        <v>0</v>
      </c>
      <c r="H130" s="6">
        <f t="shared" si="24"/>
        <v>0</v>
      </c>
      <c r="I130" s="6">
        <f t="shared" si="25"/>
        <v>0</v>
      </c>
      <c r="J130" s="6">
        <f t="shared" si="26"/>
        <v>0</v>
      </c>
      <c r="K130" s="6">
        <f t="shared" si="27"/>
        <v>0</v>
      </c>
      <c r="L130" s="6">
        <f t="shared" si="28"/>
        <v>0</v>
      </c>
      <c r="M130" s="6">
        <f t="shared" si="29"/>
        <v>0</v>
      </c>
      <c r="N130" s="6">
        <f t="shared" si="30"/>
        <v>0</v>
      </c>
      <c r="O130" s="6">
        <f t="shared" si="31"/>
        <v>0</v>
      </c>
      <c r="P130" s="6">
        <f t="shared" si="32"/>
        <v>0</v>
      </c>
      <c r="Q130" s="6">
        <f t="shared" si="33"/>
        <v>0</v>
      </c>
      <c r="R130" s="6">
        <f t="shared" si="34"/>
        <v>0</v>
      </c>
      <c r="S130" s="6">
        <f t="shared" si="35"/>
        <v>0</v>
      </c>
      <c r="T130" s="6">
        <f t="shared" si="36"/>
        <v>0</v>
      </c>
      <c r="U130" s="6">
        <f t="shared" si="37"/>
        <v>0</v>
      </c>
      <c r="V130" s="6">
        <f t="shared" si="38"/>
        <v>0</v>
      </c>
      <c r="W130" s="6">
        <f t="shared" si="39"/>
        <v>0</v>
      </c>
      <c r="X130" s="6">
        <f t="shared" si="40"/>
        <v>0</v>
      </c>
      <c r="Y130" s="6">
        <f t="shared" si="41"/>
        <v>0</v>
      </c>
      <c r="Z130" s="6">
        <f t="shared" si="42"/>
        <v>0</v>
      </c>
      <c r="AB130" s="36" t="str">
        <f>IF(最佳化斷筋點!C130="","",最佳化斷筋點!C130)</f>
        <v/>
      </c>
      <c r="AC130" s="37" t="str">
        <f>IF(最佳化斷筋點!D130="","",最佳化斷筋點!D130)</f>
        <v/>
      </c>
      <c r="AD130" s="37" t="str">
        <f>IF(最佳化斷筋點!E130="","",最佳化斷筋點!E130)</f>
        <v/>
      </c>
      <c r="AE130" s="37" t="str">
        <f>IF(最佳化斷筋點!F130="","",最佳化斷筋點!F130)</f>
        <v/>
      </c>
      <c r="AF130" s="37" t="str">
        <f>IF(最佳化斷筋點!G130="","",最佳化斷筋點!G130)</f>
        <v/>
      </c>
      <c r="AG130" s="37" t="str">
        <f>IF(最佳化斷筋點!H130="","",最佳化斷筋點!H130)</f>
        <v/>
      </c>
      <c r="AH130" s="37" t="str">
        <f>IF(最佳化斷筋點!I130="","",最佳化斷筋點!I130)</f>
        <v/>
      </c>
      <c r="AI130" s="37" t="str">
        <f>IF(最佳化斷筋點!J130="","",最佳化斷筋點!J130)</f>
        <v/>
      </c>
      <c r="AJ130" s="37" t="str">
        <f>IF(最佳化斷筋點!K130="","",最佳化斷筋點!K130)</f>
        <v/>
      </c>
      <c r="AK130" s="37" t="str">
        <f>IF(最佳化斷筋點!L130="","",最佳化斷筋點!L130)</f>
        <v/>
      </c>
      <c r="AL130" s="37" t="str">
        <f>IF(最佳化斷筋點!M130="","",最佳化斷筋點!M130)</f>
        <v/>
      </c>
      <c r="AM130" s="37" t="str">
        <f>IF(最佳化斷筋點!N130="","",最佳化斷筋點!N130)</f>
        <v/>
      </c>
      <c r="AN130" s="37" t="str">
        <f>IF(最佳化斷筋點!O130="","",最佳化斷筋點!O130)</f>
        <v/>
      </c>
      <c r="AO130" s="37" t="str">
        <f>IF(最佳化斷筋點!P130="","",最佳化斷筋點!P130)</f>
        <v/>
      </c>
      <c r="AP130" s="37" t="str">
        <f>IF(最佳化斷筋點!Q130="","",最佳化斷筋點!Q130)</f>
        <v/>
      </c>
      <c r="AQ130" s="37" t="str">
        <f>IF(最佳化斷筋點!R130="","",最佳化斷筋點!R130)</f>
        <v/>
      </c>
      <c r="AR130" s="37" t="str">
        <f>IF(最佳化斷筋點!S130="","",最佳化斷筋點!S130)</f>
        <v/>
      </c>
      <c r="AS130" s="37" t="str">
        <f>IF(最佳化斷筋點!T130="","",最佳化斷筋點!T130)</f>
        <v/>
      </c>
      <c r="AT130" s="37" t="str">
        <f>IF(最佳化斷筋點!U130="","",最佳化斷筋點!U130)</f>
        <v/>
      </c>
      <c r="AU130" s="37" t="str">
        <f>IF(最佳化斷筋點!V130="","",最佳化斷筋點!V130)</f>
        <v/>
      </c>
      <c r="AV130" s="37" t="str">
        <f>IF(最佳化斷筋點!W130="","",最佳化斷筋點!W130)</f>
        <v/>
      </c>
      <c r="AW130" s="37" t="str">
        <f>IF(最佳化斷筋點!X130="","",最佳化斷筋點!X130)</f>
        <v/>
      </c>
      <c r="AZ130" s="37" t="s">
        <v>197</v>
      </c>
      <c r="BA130" s="37" t="s">
        <v>197</v>
      </c>
      <c r="BB130" s="37" t="s">
        <v>197</v>
      </c>
      <c r="BC130" s="37" t="s">
        <v>197</v>
      </c>
      <c r="BD130" s="37" t="s">
        <v>197</v>
      </c>
      <c r="BE130" s="37" t="s">
        <v>197</v>
      </c>
      <c r="BF130" s="37" t="s">
        <v>197</v>
      </c>
      <c r="BG130" s="37" t="s">
        <v>197</v>
      </c>
      <c r="BH130" s="37" t="s">
        <v>197</v>
      </c>
      <c r="BI130" s="37" t="s">
        <v>197</v>
      </c>
      <c r="BJ130" s="37" t="s">
        <v>197</v>
      </c>
      <c r="BK130" s="37" t="s">
        <v>197</v>
      </c>
      <c r="BL130" s="37" t="s">
        <v>197</v>
      </c>
      <c r="BM130" s="37" t="s">
        <v>197</v>
      </c>
      <c r="BN130" s="37" t="s">
        <v>197</v>
      </c>
      <c r="BO130" s="37" t="s">
        <v>197</v>
      </c>
      <c r="BP130" s="37" t="s">
        <v>197</v>
      </c>
      <c r="BQ130" s="37" t="s">
        <v>197</v>
      </c>
      <c r="BR130" s="37" t="s">
        <v>197</v>
      </c>
      <c r="BS130" s="37" t="s">
        <v>197</v>
      </c>
      <c r="BT130" s="37" t="s">
        <v>197</v>
      </c>
    </row>
    <row r="131" spans="5:72" x14ac:dyDescent="0.25">
      <c r="E131" s="6" t="s">
        <v>20</v>
      </c>
      <c r="F131" s="6">
        <f t="shared" si="22"/>
        <v>0</v>
      </c>
      <c r="G131" s="6">
        <f t="shared" si="23"/>
        <v>0</v>
      </c>
      <c r="H131" s="6">
        <f t="shared" si="24"/>
        <v>0</v>
      </c>
      <c r="I131" s="6">
        <f t="shared" si="25"/>
        <v>0</v>
      </c>
      <c r="J131" s="6">
        <f t="shared" si="26"/>
        <v>0</v>
      </c>
      <c r="K131" s="6">
        <f t="shared" si="27"/>
        <v>0</v>
      </c>
      <c r="L131" s="6">
        <f t="shared" si="28"/>
        <v>0</v>
      </c>
      <c r="M131" s="6">
        <f t="shared" si="29"/>
        <v>0</v>
      </c>
      <c r="N131" s="6">
        <f t="shared" si="30"/>
        <v>0</v>
      </c>
      <c r="O131" s="6">
        <f t="shared" si="31"/>
        <v>0</v>
      </c>
      <c r="P131" s="6">
        <f t="shared" si="32"/>
        <v>0</v>
      </c>
      <c r="Q131" s="6">
        <f t="shared" si="33"/>
        <v>0</v>
      </c>
      <c r="R131" s="6">
        <f t="shared" si="34"/>
        <v>0</v>
      </c>
      <c r="S131" s="6">
        <f t="shared" si="35"/>
        <v>0</v>
      </c>
      <c r="T131" s="6">
        <f t="shared" si="36"/>
        <v>0</v>
      </c>
      <c r="U131" s="6">
        <f t="shared" si="37"/>
        <v>0</v>
      </c>
      <c r="V131" s="6">
        <f t="shared" si="38"/>
        <v>0</v>
      </c>
      <c r="W131" s="6">
        <f t="shared" si="39"/>
        <v>0</v>
      </c>
      <c r="X131" s="6">
        <f t="shared" si="40"/>
        <v>0</v>
      </c>
      <c r="Y131" s="6">
        <f t="shared" si="41"/>
        <v>0</v>
      </c>
      <c r="Z131" s="6">
        <f t="shared" si="42"/>
        <v>0</v>
      </c>
      <c r="AB131" s="36" t="str">
        <f>IF(最佳化斷筋點!C131="","",最佳化斷筋點!C131)</f>
        <v>上層</v>
      </c>
      <c r="AC131" s="37">
        <f>IF(最佳化斷筋點!D131="","",最佳化斷筋點!D131)</f>
        <v>7</v>
      </c>
      <c r="AD131" s="37">
        <f>IF(最佳化斷筋點!E131="","",最佳化斷筋點!E131)</f>
        <v>7</v>
      </c>
      <c r="AE131" s="37">
        <f>IF(最佳化斷筋點!F131="","",最佳化斷筋點!F131)</f>
        <v>7</v>
      </c>
      <c r="AF131" s="37">
        <f>IF(最佳化斷筋點!G131="","",最佳化斷筋點!G131)</f>
        <v>7</v>
      </c>
      <c r="AG131" s="37">
        <f>IF(最佳化斷筋點!H131="","",最佳化斷筋點!H131)</f>
        <v>7</v>
      </c>
      <c r="AH131" s="37">
        <f>IF(最佳化斷筋點!I131="","",最佳化斷筋點!I131)</f>
        <v>7</v>
      </c>
      <c r="AI131" s="37">
        <f>IF(最佳化斷筋點!J131="","",最佳化斷筋點!J131)</f>
        <v>6</v>
      </c>
      <c r="AJ131" s="37">
        <f>IF(最佳化斷筋點!K131="","",最佳化斷筋點!K131)</f>
        <v>3</v>
      </c>
      <c r="AK131" s="37">
        <f>IF(最佳化斷筋點!L131="","",最佳化斷筋點!L131)</f>
        <v>3</v>
      </c>
      <c r="AL131" s="37">
        <f>IF(最佳化斷筋點!M131="","",最佳化斷筋點!M131)</f>
        <v>3</v>
      </c>
      <c r="AM131" s="37">
        <f>IF(最佳化斷筋點!N131="","",最佳化斷筋點!N131)</f>
        <v>3</v>
      </c>
      <c r="AN131" s="37">
        <f>IF(最佳化斷筋點!O131="","",最佳化斷筋點!O131)</f>
        <v>2</v>
      </c>
      <c r="AO131" s="37">
        <f>IF(最佳化斷筋點!P131="","",最佳化斷筋點!P131)</f>
        <v>3</v>
      </c>
      <c r="AP131" s="37">
        <f>IF(最佳化斷筋點!Q131="","",最佳化斷筋點!Q131)</f>
        <v>3</v>
      </c>
      <c r="AQ131" s="37">
        <f>IF(最佳化斷筋點!R131="","",最佳化斷筋點!R131)</f>
        <v>4</v>
      </c>
      <c r="AR131" s="37">
        <f>IF(最佳化斷筋點!S131="","",最佳化斷筋點!S131)</f>
        <v>4</v>
      </c>
      <c r="AS131" s="37">
        <f>IF(最佳化斷筋點!T131="","",最佳化斷筋點!T131)</f>
        <v>5</v>
      </c>
      <c r="AT131" s="37">
        <f>IF(最佳化斷筋點!U131="","",最佳化斷筋點!U131)</f>
        <v>5</v>
      </c>
      <c r="AU131" s="37">
        <f>IF(最佳化斷筋點!V131="","",最佳化斷筋點!V131)</f>
        <v>5</v>
      </c>
      <c r="AV131" s="37">
        <f>IF(最佳化斷筋點!W131="","",最佳化斷筋點!W131)</f>
        <v>5</v>
      </c>
      <c r="AW131" s="37">
        <f>IF(最佳化斷筋點!X131="","",最佳化斷筋點!X131)</f>
        <v>5</v>
      </c>
      <c r="AY131" s="6" t="s">
        <v>20</v>
      </c>
      <c r="AZ131" s="37">
        <v>7</v>
      </c>
      <c r="BA131" s="37">
        <v>7</v>
      </c>
      <c r="BB131" s="37">
        <v>7</v>
      </c>
      <c r="BC131" s="37">
        <v>7</v>
      </c>
      <c r="BD131" s="37">
        <v>7</v>
      </c>
      <c r="BE131" s="37">
        <v>7</v>
      </c>
      <c r="BF131" s="37">
        <v>6</v>
      </c>
      <c r="BG131" s="37">
        <v>3</v>
      </c>
      <c r="BH131" s="37">
        <v>3</v>
      </c>
      <c r="BI131" s="37">
        <v>3</v>
      </c>
      <c r="BJ131" s="37">
        <v>3</v>
      </c>
      <c r="BK131" s="37">
        <v>2</v>
      </c>
      <c r="BL131" s="37">
        <v>3</v>
      </c>
      <c r="BM131" s="37">
        <v>3</v>
      </c>
      <c r="BN131" s="37">
        <v>4</v>
      </c>
      <c r="BO131" s="37">
        <v>4</v>
      </c>
      <c r="BP131" s="37">
        <v>5</v>
      </c>
      <c r="BQ131" s="37">
        <v>5</v>
      </c>
      <c r="BR131" s="37">
        <v>5</v>
      </c>
      <c r="BS131" s="37">
        <v>5</v>
      </c>
      <c r="BT131" s="37">
        <v>5</v>
      </c>
    </row>
    <row r="132" spans="5:72" x14ac:dyDescent="0.25">
      <c r="F132" s="6">
        <f t="shared" ref="F132:F195" si="43">IF(AC132=AZ132,0,1)</f>
        <v>0</v>
      </c>
      <c r="G132" s="6">
        <f t="shared" ref="G132:G195" si="44">IF(AD132=BA132,0,1)</f>
        <v>0</v>
      </c>
      <c r="H132" s="6">
        <f t="shared" ref="H132:H195" si="45">IF(AE132=BB132,0,1)</f>
        <v>0</v>
      </c>
      <c r="I132" s="6">
        <f t="shared" ref="I132:I195" si="46">IF(AF132=BC132,0,1)</f>
        <v>0</v>
      </c>
      <c r="J132" s="6">
        <f t="shared" ref="J132:J195" si="47">IF(AG132=BD132,0,1)</f>
        <v>0</v>
      </c>
      <c r="K132" s="6">
        <f t="shared" ref="K132:K195" si="48">IF(AH132=BE132,0,1)</f>
        <v>0</v>
      </c>
      <c r="L132" s="6">
        <f t="shared" ref="L132:L195" si="49">IF(AI132=BF132,0,1)</f>
        <v>0</v>
      </c>
      <c r="M132" s="6">
        <f t="shared" ref="M132:M195" si="50">IF(AJ132=BG132,0,1)</f>
        <v>0</v>
      </c>
      <c r="N132" s="6">
        <f t="shared" ref="N132:N195" si="51">IF(AK132=BH132,0,1)</f>
        <v>0</v>
      </c>
      <c r="O132" s="6">
        <f t="shared" ref="O132:O195" si="52">IF(AL132=BI132,0,1)</f>
        <v>0</v>
      </c>
      <c r="P132" s="6">
        <f t="shared" ref="P132:P195" si="53">IF(AM132=BJ132,0,1)</f>
        <v>0</v>
      </c>
      <c r="Q132" s="6">
        <f t="shared" ref="Q132:Q195" si="54">IF(AN132=BK132,0,1)</f>
        <v>0</v>
      </c>
      <c r="R132" s="6">
        <f t="shared" ref="R132:R195" si="55">IF(AO132=BL132,0,1)</f>
        <v>0</v>
      </c>
      <c r="S132" s="6">
        <f t="shared" ref="S132:S195" si="56">IF(AP132=BM132,0,1)</f>
        <v>0</v>
      </c>
      <c r="T132" s="6">
        <f t="shared" ref="T132:T195" si="57">IF(AQ132=BN132,0,1)</f>
        <v>0</v>
      </c>
      <c r="U132" s="6">
        <f t="shared" ref="U132:U195" si="58">IF(AR132=BO132,0,1)</f>
        <v>0</v>
      </c>
      <c r="V132" s="6">
        <f t="shared" ref="V132:V195" si="59">IF(AS132=BP132,0,1)</f>
        <v>0</v>
      </c>
      <c r="W132" s="6">
        <f t="shared" ref="W132:W195" si="60">IF(AT132=BQ132,0,1)</f>
        <v>0</v>
      </c>
      <c r="X132" s="6">
        <f t="shared" ref="X132:X195" si="61">IF(AU132=BR132,0,1)</f>
        <v>0</v>
      </c>
      <c r="Y132" s="6">
        <f t="shared" ref="Y132:Y195" si="62">IF(AV132=BS132,0,1)</f>
        <v>0</v>
      </c>
      <c r="Z132" s="6">
        <f t="shared" ref="Z132:Z195" si="63">IF(AW132=BT132,0,1)</f>
        <v>0</v>
      </c>
      <c r="AB132" s="36" t="str">
        <f>IF(最佳化斷筋點!C132="","",最佳化斷筋點!C132)</f>
        <v/>
      </c>
      <c r="AC132" s="37" t="str">
        <f>IF(最佳化斷筋點!D132="","",最佳化斷筋點!D132)</f>
        <v/>
      </c>
      <c r="AD132" s="37" t="str">
        <f>IF(最佳化斷筋點!E132="","",最佳化斷筋點!E132)</f>
        <v/>
      </c>
      <c r="AE132" s="37" t="str">
        <f>IF(最佳化斷筋點!F132="","",最佳化斷筋點!F132)</f>
        <v/>
      </c>
      <c r="AF132" s="37" t="str">
        <f>IF(最佳化斷筋點!G132="","",最佳化斷筋點!G132)</f>
        <v/>
      </c>
      <c r="AG132" s="37" t="str">
        <f>IF(最佳化斷筋點!H132="","",最佳化斷筋點!H132)</f>
        <v/>
      </c>
      <c r="AH132" s="37" t="str">
        <f>IF(最佳化斷筋點!I132="","",最佳化斷筋點!I132)</f>
        <v/>
      </c>
      <c r="AI132" s="37" t="str">
        <f>IF(最佳化斷筋點!J132="","",最佳化斷筋點!J132)</f>
        <v/>
      </c>
      <c r="AJ132" s="37" t="str">
        <f>IF(最佳化斷筋點!K132="","",最佳化斷筋點!K132)</f>
        <v/>
      </c>
      <c r="AK132" s="37" t="str">
        <f>IF(最佳化斷筋點!L132="","",最佳化斷筋點!L132)</f>
        <v/>
      </c>
      <c r="AL132" s="37" t="str">
        <f>IF(最佳化斷筋點!M132="","",最佳化斷筋點!M132)</f>
        <v/>
      </c>
      <c r="AM132" s="37" t="str">
        <f>IF(最佳化斷筋點!N132="","",最佳化斷筋點!N132)</f>
        <v/>
      </c>
      <c r="AN132" s="37" t="str">
        <f>IF(最佳化斷筋點!O132="","",最佳化斷筋點!O132)</f>
        <v/>
      </c>
      <c r="AO132" s="37" t="str">
        <f>IF(最佳化斷筋點!P132="","",最佳化斷筋點!P132)</f>
        <v/>
      </c>
      <c r="AP132" s="37" t="str">
        <f>IF(最佳化斷筋點!Q132="","",最佳化斷筋點!Q132)</f>
        <v/>
      </c>
      <c r="AQ132" s="37" t="str">
        <f>IF(最佳化斷筋點!R132="","",最佳化斷筋點!R132)</f>
        <v/>
      </c>
      <c r="AR132" s="37" t="str">
        <f>IF(最佳化斷筋點!S132="","",最佳化斷筋點!S132)</f>
        <v/>
      </c>
      <c r="AS132" s="37" t="str">
        <f>IF(最佳化斷筋點!T132="","",最佳化斷筋點!T132)</f>
        <v/>
      </c>
      <c r="AT132" s="37" t="str">
        <f>IF(最佳化斷筋點!U132="","",最佳化斷筋點!U132)</f>
        <v/>
      </c>
      <c r="AU132" s="37" t="str">
        <f>IF(最佳化斷筋點!V132="","",最佳化斷筋點!V132)</f>
        <v/>
      </c>
      <c r="AV132" s="37" t="str">
        <f>IF(最佳化斷筋點!W132="","",最佳化斷筋點!W132)</f>
        <v/>
      </c>
      <c r="AW132" s="37" t="str">
        <f>IF(最佳化斷筋點!X132="","",最佳化斷筋點!X132)</f>
        <v/>
      </c>
      <c r="AZ132" s="37" t="s">
        <v>197</v>
      </c>
      <c r="BA132" s="37" t="s">
        <v>197</v>
      </c>
      <c r="BB132" s="37" t="s">
        <v>197</v>
      </c>
      <c r="BC132" s="37" t="s">
        <v>197</v>
      </c>
      <c r="BD132" s="37" t="s">
        <v>197</v>
      </c>
      <c r="BE132" s="37" t="s">
        <v>197</v>
      </c>
      <c r="BF132" s="37" t="s">
        <v>197</v>
      </c>
      <c r="BG132" s="37" t="s">
        <v>197</v>
      </c>
      <c r="BH132" s="37" t="s">
        <v>197</v>
      </c>
      <c r="BI132" s="37" t="s">
        <v>197</v>
      </c>
      <c r="BJ132" s="37" t="s">
        <v>197</v>
      </c>
      <c r="BK132" s="37" t="s">
        <v>197</v>
      </c>
      <c r="BL132" s="37" t="s">
        <v>197</v>
      </c>
      <c r="BM132" s="37" t="s">
        <v>197</v>
      </c>
      <c r="BN132" s="37" t="s">
        <v>197</v>
      </c>
      <c r="BO132" s="37" t="s">
        <v>197</v>
      </c>
      <c r="BP132" s="37" t="s">
        <v>197</v>
      </c>
      <c r="BQ132" s="37" t="s">
        <v>197</v>
      </c>
      <c r="BR132" s="37" t="s">
        <v>197</v>
      </c>
      <c r="BS132" s="37" t="s">
        <v>197</v>
      </c>
      <c r="BT132" s="37" t="s">
        <v>197</v>
      </c>
    </row>
    <row r="133" spans="5:72" x14ac:dyDescent="0.25">
      <c r="E133" s="6" t="s">
        <v>21</v>
      </c>
      <c r="F133" s="6">
        <f t="shared" si="43"/>
        <v>0</v>
      </c>
      <c r="G133" s="6">
        <f t="shared" si="44"/>
        <v>0</v>
      </c>
      <c r="H133" s="6">
        <f t="shared" si="45"/>
        <v>0</v>
      </c>
      <c r="I133" s="6">
        <f t="shared" si="46"/>
        <v>0</v>
      </c>
      <c r="J133" s="6">
        <f t="shared" si="47"/>
        <v>0</v>
      </c>
      <c r="K133" s="6">
        <f t="shared" si="48"/>
        <v>0</v>
      </c>
      <c r="L133" s="6">
        <f t="shared" si="49"/>
        <v>0</v>
      </c>
      <c r="M133" s="6">
        <f t="shared" si="50"/>
        <v>0</v>
      </c>
      <c r="N133" s="6">
        <f t="shared" si="51"/>
        <v>0</v>
      </c>
      <c r="O133" s="6">
        <f t="shared" si="52"/>
        <v>0</v>
      </c>
      <c r="P133" s="6">
        <f t="shared" si="53"/>
        <v>0</v>
      </c>
      <c r="Q133" s="6">
        <f t="shared" si="54"/>
        <v>0</v>
      </c>
      <c r="R133" s="6">
        <f t="shared" si="55"/>
        <v>0</v>
      </c>
      <c r="S133" s="6">
        <f t="shared" si="56"/>
        <v>0</v>
      </c>
      <c r="T133" s="6">
        <f t="shared" si="57"/>
        <v>0</v>
      </c>
      <c r="U133" s="6">
        <f t="shared" si="58"/>
        <v>0</v>
      </c>
      <c r="V133" s="6">
        <f t="shared" si="59"/>
        <v>0</v>
      </c>
      <c r="W133" s="6">
        <f t="shared" si="60"/>
        <v>0</v>
      </c>
      <c r="X133" s="6">
        <f t="shared" si="61"/>
        <v>0</v>
      </c>
      <c r="Y133" s="6">
        <f t="shared" si="62"/>
        <v>0</v>
      </c>
      <c r="Z133" s="6">
        <f t="shared" si="63"/>
        <v>0</v>
      </c>
      <c r="AB133" s="36" t="str">
        <f>IF(最佳化斷筋點!C133="","",最佳化斷筋點!C133)</f>
        <v>下層</v>
      </c>
      <c r="AC133" s="37">
        <f>IF(最佳化斷筋點!D133="","",最佳化斷筋點!D133)</f>
        <v>4</v>
      </c>
      <c r="AD133" s="37">
        <f>IF(最佳化斷筋點!E133="","",最佳化斷筋點!E133)</f>
        <v>4</v>
      </c>
      <c r="AE133" s="37">
        <f>IF(最佳化斷筋點!F133="","",最佳化斷筋點!F133)</f>
        <v>4</v>
      </c>
      <c r="AF133" s="37">
        <f>IF(最佳化斷筋點!G133="","",最佳化斷筋點!G133)</f>
        <v>4</v>
      </c>
      <c r="AG133" s="37">
        <f>IF(最佳化斷筋點!H133="","",最佳化斷筋點!H133)</f>
        <v>4</v>
      </c>
      <c r="AH133" s="37">
        <f>IF(最佳化斷筋點!I133="","",最佳化斷筋點!I133)</f>
        <v>3</v>
      </c>
      <c r="AI133" s="37">
        <f>IF(最佳化斷筋點!J133="","",最佳化斷筋點!J133)</f>
        <v>3</v>
      </c>
      <c r="AJ133" s="37">
        <f>IF(最佳化斷筋點!K133="","",最佳化斷筋點!K133)</f>
        <v>3</v>
      </c>
      <c r="AK133" s="37">
        <f>IF(最佳化斷筋點!L133="","",最佳化斷筋點!L133)</f>
        <v>3</v>
      </c>
      <c r="AL133" s="37">
        <f>IF(最佳化斷筋點!M133="","",最佳化斷筋點!M133)</f>
        <v>3</v>
      </c>
      <c r="AM133" s="37">
        <f>IF(最佳化斷筋點!N133="","",最佳化斷筋點!N133)</f>
        <v>3</v>
      </c>
      <c r="AN133" s="37">
        <f>IF(最佳化斷筋點!O133="","",最佳化斷筋點!O133)</f>
        <v>3</v>
      </c>
      <c r="AO133" s="37">
        <f>IF(最佳化斷筋點!P133="","",最佳化斷筋點!P133)</f>
        <v>3</v>
      </c>
      <c r="AP133" s="37">
        <f>IF(最佳化斷筋點!Q133="","",最佳化斷筋點!Q133)</f>
        <v>3</v>
      </c>
      <c r="AQ133" s="37">
        <f>IF(最佳化斷筋點!R133="","",最佳化斷筋點!R133)</f>
        <v>3</v>
      </c>
      <c r="AR133" s="37">
        <f>IF(最佳化斷筋點!S133="","",最佳化斷筋點!S133)</f>
        <v>3</v>
      </c>
      <c r="AS133" s="37">
        <f>IF(最佳化斷筋點!T133="","",最佳化斷筋點!T133)</f>
        <v>3</v>
      </c>
      <c r="AT133" s="37">
        <f>IF(最佳化斷筋點!U133="","",最佳化斷筋點!U133)</f>
        <v>4</v>
      </c>
      <c r="AU133" s="37">
        <f>IF(最佳化斷筋點!V133="","",最佳化斷筋點!V133)</f>
        <v>4</v>
      </c>
      <c r="AV133" s="37">
        <f>IF(最佳化斷筋點!W133="","",最佳化斷筋點!W133)</f>
        <v>4</v>
      </c>
      <c r="AW133" s="37">
        <f>IF(最佳化斷筋點!X133="","",最佳化斷筋點!X133)</f>
        <v>4</v>
      </c>
      <c r="AY133" s="6" t="s">
        <v>21</v>
      </c>
      <c r="AZ133" s="37">
        <v>4</v>
      </c>
      <c r="BA133" s="37">
        <v>4</v>
      </c>
      <c r="BB133" s="37">
        <v>4</v>
      </c>
      <c r="BC133" s="37">
        <v>4</v>
      </c>
      <c r="BD133" s="37">
        <v>4</v>
      </c>
      <c r="BE133" s="37">
        <v>3</v>
      </c>
      <c r="BF133" s="37">
        <v>3</v>
      </c>
      <c r="BG133" s="37">
        <v>3</v>
      </c>
      <c r="BH133" s="37">
        <v>3</v>
      </c>
      <c r="BI133" s="37">
        <v>3</v>
      </c>
      <c r="BJ133" s="37">
        <v>3</v>
      </c>
      <c r="BK133" s="37">
        <v>3</v>
      </c>
      <c r="BL133" s="37">
        <v>3</v>
      </c>
      <c r="BM133" s="37">
        <v>3</v>
      </c>
      <c r="BN133" s="37">
        <v>3</v>
      </c>
      <c r="BO133" s="37">
        <v>3</v>
      </c>
      <c r="BP133" s="37">
        <v>3</v>
      </c>
      <c r="BQ133" s="37">
        <v>4</v>
      </c>
      <c r="BR133" s="37">
        <v>4</v>
      </c>
      <c r="BS133" s="37">
        <v>4</v>
      </c>
      <c r="BT133" s="37">
        <v>4</v>
      </c>
    </row>
    <row r="134" spans="5:72" x14ac:dyDescent="0.25">
      <c r="F134" s="6">
        <f t="shared" si="43"/>
        <v>0</v>
      </c>
      <c r="G134" s="6">
        <f t="shared" si="44"/>
        <v>0</v>
      </c>
      <c r="H134" s="6">
        <f t="shared" si="45"/>
        <v>0</v>
      </c>
      <c r="I134" s="6">
        <f t="shared" si="46"/>
        <v>0</v>
      </c>
      <c r="J134" s="6">
        <f t="shared" si="47"/>
        <v>0</v>
      </c>
      <c r="K134" s="6">
        <f t="shared" si="48"/>
        <v>0</v>
      </c>
      <c r="L134" s="6">
        <f t="shared" si="49"/>
        <v>0</v>
      </c>
      <c r="M134" s="6">
        <f t="shared" si="50"/>
        <v>0</v>
      </c>
      <c r="N134" s="6">
        <f t="shared" si="51"/>
        <v>0</v>
      </c>
      <c r="O134" s="6">
        <f t="shared" si="52"/>
        <v>0</v>
      </c>
      <c r="P134" s="6">
        <f t="shared" si="53"/>
        <v>0</v>
      </c>
      <c r="Q134" s="6">
        <f t="shared" si="54"/>
        <v>0</v>
      </c>
      <c r="R134" s="6">
        <f t="shared" si="55"/>
        <v>0</v>
      </c>
      <c r="S134" s="6">
        <f t="shared" si="56"/>
        <v>0</v>
      </c>
      <c r="T134" s="6">
        <f t="shared" si="57"/>
        <v>0</v>
      </c>
      <c r="U134" s="6">
        <f t="shared" si="58"/>
        <v>0</v>
      </c>
      <c r="V134" s="6">
        <f t="shared" si="59"/>
        <v>0</v>
      </c>
      <c r="W134" s="6">
        <f t="shared" si="60"/>
        <v>0</v>
      </c>
      <c r="X134" s="6">
        <f t="shared" si="61"/>
        <v>0</v>
      </c>
      <c r="Y134" s="6">
        <f t="shared" si="62"/>
        <v>0</v>
      </c>
      <c r="Z134" s="6">
        <f t="shared" si="63"/>
        <v>0</v>
      </c>
      <c r="AB134" s="36" t="str">
        <f>IF(最佳化斷筋點!C134="","",最佳化斷筋點!C134)</f>
        <v/>
      </c>
      <c r="AC134" s="36" t="str">
        <f>IF(最佳化斷筋點!D134="","",最佳化斷筋點!D134)</f>
        <v/>
      </c>
      <c r="AD134" s="36" t="str">
        <f>IF(最佳化斷筋點!E134="","",最佳化斷筋點!E134)</f>
        <v/>
      </c>
      <c r="AE134" s="36" t="str">
        <f>IF(最佳化斷筋點!F134="","",最佳化斷筋點!F134)</f>
        <v/>
      </c>
      <c r="AF134" s="36" t="str">
        <f>IF(最佳化斷筋點!G134="","",最佳化斷筋點!G134)</f>
        <v/>
      </c>
      <c r="AG134" s="36" t="str">
        <f>IF(最佳化斷筋點!H134="","",最佳化斷筋點!H134)</f>
        <v/>
      </c>
      <c r="AH134" s="36" t="str">
        <f>IF(最佳化斷筋點!I134="","",最佳化斷筋點!I134)</f>
        <v/>
      </c>
      <c r="AI134" s="36" t="str">
        <f>IF(最佳化斷筋點!J134="","",最佳化斷筋點!J134)</f>
        <v/>
      </c>
      <c r="AJ134" s="36" t="str">
        <f>IF(最佳化斷筋點!K134="","",最佳化斷筋點!K134)</f>
        <v/>
      </c>
      <c r="AK134" s="36" t="str">
        <f>IF(最佳化斷筋點!L134="","",最佳化斷筋點!L134)</f>
        <v/>
      </c>
      <c r="AL134" s="36" t="str">
        <f>IF(最佳化斷筋點!M134="","",最佳化斷筋點!M134)</f>
        <v/>
      </c>
      <c r="AM134" s="36" t="str">
        <f>IF(最佳化斷筋點!N134="","",最佳化斷筋點!N134)</f>
        <v/>
      </c>
      <c r="AN134" s="36" t="str">
        <f>IF(最佳化斷筋點!O134="","",最佳化斷筋點!O134)</f>
        <v/>
      </c>
      <c r="AO134" s="36" t="str">
        <f>IF(最佳化斷筋點!P134="","",最佳化斷筋點!P134)</f>
        <v/>
      </c>
      <c r="AP134" s="36" t="str">
        <f>IF(最佳化斷筋點!Q134="","",最佳化斷筋點!Q134)</f>
        <v/>
      </c>
      <c r="AQ134" s="36" t="str">
        <f>IF(最佳化斷筋點!R134="","",最佳化斷筋點!R134)</f>
        <v/>
      </c>
      <c r="AR134" s="36" t="str">
        <f>IF(最佳化斷筋點!S134="","",最佳化斷筋點!S134)</f>
        <v/>
      </c>
      <c r="AS134" s="36" t="str">
        <f>IF(最佳化斷筋點!T134="","",最佳化斷筋點!T134)</f>
        <v/>
      </c>
      <c r="AT134" s="36" t="str">
        <f>IF(最佳化斷筋點!U134="","",最佳化斷筋點!U134)</f>
        <v/>
      </c>
      <c r="AU134" s="36" t="str">
        <f>IF(最佳化斷筋點!V134="","",最佳化斷筋點!V134)</f>
        <v/>
      </c>
      <c r="AV134" s="36" t="str">
        <f>IF(最佳化斷筋點!W134="","",最佳化斷筋點!W134)</f>
        <v/>
      </c>
      <c r="AW134" s="36" t="str">
        <f>IF(最佳化斷筋點!X134="","",最佳化斷筋點!X134)</f>
        <v/>
      </c>
      <c r="AZ134" s="37" t="s">
        <v>197</v>
      </c>
      <c r="BA134" s="37" t="s">
        <v>197</v>
      </c>
      <c r="BB134" s="37" t="s">
        <v>197</v>
      </c>
      <c r="BC134" s="37" t="s">
        <v>197</v>
      </c>
      <c r="BD134" s="37" t="s">
        <v>197</v>
      </c>
      <c r="BE134" s="37" t="s">
        <v>197</v>
      </c>
      <c r="BF134" s="37" t="s">
        <v>197</v>
      </c>
      <c r="BG134" s="37" t="s">
        <v>197</v>
      </c>
      <c r="BH134" s="37" t="s">
        <v>197</v>
      </c>
      <c r="BI134" s="37" t="s">
        <v>197</v>
      </c>
      <c r="BJ134" s="37" t="s">
        <v>197</v>
      </c>
      <c r="BK134" s="37" t="s">
        <v>197</v>
      </c>
      <c r="BL134" s="37" t="s">
        <v>197</v>
      </c>
      <c r="BM134" s="37" t="s">
        <v>197</v>
      </c>
      <c r="BN134" s="37" t="s">
        <v>197</v>
      </c>
      <c r="BO134" s="37" t="s">
        <v>197</v>
      </c>
      <c r="BP134" s="37" t="s">
        <v>197</v>
      </c>
      <c r="BQ134" s="37" t="s">
        <v>197</v>
      </c>
      <c r="BR134" s="37" t="s">
        <v>197</v>
      </c>
      <c r="BS134" s="37" t="s">
        <v>197</v>
      </c>
      <c r="BT134" s="37" t="s">
        <v>197</v>
      </c>
    </row>
    <row r="135" spans="5:72" x14ac:dyDescent="0.25">
      <c r="E135" s="6" t="s">
        <v>20</v>
      </c>
      <c r="F135" s="6">
        <f t="shared" si="43"/>
        <v>0</v>
      </c>
      <c r="G135" s="6">
        <f t="shared" si="44"/>
        <v>0</v>
      </c>
      <c r="H135" s="6">
        <f t="shared" si="45"/>
        <v>0</v>
      </c>
      <c r="I135" s="6">
        <f t="shared" si="46"/>
        <v>0</v>
      </c>
      <c r="J135" s="6">
        <f t="shared" si="47"/>
        <v>0</v>
      </c>
      <c r="K135" s="6">
        <f t="shared" si="48"/>
        <v>0</v>
      </c>
      <c r="L135" s="6">
        <f t="shared" si="49"/>
        <v>0</v>
      </c>
      <c r="M135" s="6">
        <f t="shared" si="50"/>
        <v>0</v>
      </c>
      <c r="N135" s="6">
        <f t="shared" si="51"/>
        <v>0</v>
      </c>
      <c r="O135" s="6">
        <f t="shared" si="52"/>
        <v>0</v>
      </c>
      <c r="P135" s="6">
        <f t="shared" si="53"/>
        <v>0</v>
      </c>
      <c r="Q135" s="6">
        <f t="shared" si="54"/>
        <v>0</v>
      </c>
      <c r="R135" s="6">
        <f t="shared" si="55"/>
        <v>0</v>
      </c>
      <c r="S135" s="6">
        <f t="shared" si="56"/>
        <v>0</v>
      </c>
      <c r="T135" s="6">
        <f t="shared" si="57"/>
        <v>0</v>
      </c>
      <c r="U135" s="6">
        <f t="shared" si="58"/>
        <v>0</v>
      </c>
      <c r="V135" s="6">
        <f t="shared" si="59"/>
        <v>0</v>
      </c>
      <c r="W135" s="6">
        <f t="shared" si="60"/>
        <v>0</v>
      </c>
      <c r="X135" s="6">
        <f t="shared" si="61"/>
        <v>0</v>
      </c>
      <c r="Y135" s="6">
        <f t="shared" si="62"/>
        <v>0</v>
      </c>
      <c r="Z135" s="6">
        <f t="shared" si="63"/>
        <v>0</v>
      </c>
      <c r="AB135" s="36" t="str">
        <f>IF(最佳化斷筋點!C135="","",最佳化斷筋點!C135)</f>
        <v>上層</v>
      </c>
      <c r="AC135" s="37">
        <f>IF(最佳化斷筋點!D135="","",最佳化斷筋點!D135)</f>
        <v>5</v>
      </c>
      <c r="AD135" s="37">
        <f>IF(最佳化斷筋點!E135="","",最佳化斷筋點!E135)</f>
        <v>5</v>
      </c>
      <c r="AE135" s="37">
        <f>IF(最佳化斷筋點!F135="","",最佳化斷筋點!F135)</f>
        <v>5</v>
      </c>
      <c r="AF135" s="37">
        <f>IF(最佳化斷筋點!G135="","",最佳化斷筋點!G135)</f>
        <v>5</v>
      </c>
      <c r="AG135" s="37">
        <f>IF(最佳化斷筋點!H135="","",最佳化斷筋點!H135)</f>
        <v>5</v>
      </c>
      <c r="AH135" s="37">
        <f>IF(最佳化斷筋點!I135="","",最佳化斷筋點!I135)</f>
        <v>5</v>
      </c>
      <c r="AI135" s="37">
        <f>IF(最佳化斷筋點!J135="","",最佳化斷筋點!J135)</f>
        <v>5</v>
      </c>
      <c r="AJ135" s="37">
        <f>IF(最佳化斷筋點!K135="","",最佳化斷筋點!K135)</f>
        <v>3</v>
      </c>
      <c r="AK135" s="37">
        <f>IF(最佳化斷筋點!L135="","",最佳化斷筋點!L135)</f>
        <v>3</v>
      </c>
      <c r="AL135" s="37">
        <f>IF(最佳化斷筋點!M135="","",最佳化斷筋點!M135)</f>
        <v>3</v>
      </c>
      <c r="AM135" s="37">
        <f>IF(最佳化斷筋點!N135="","",最佳化斷筋點!N135)</f>
        <v>3</v>
      </c>
      <c r="AN135" s="37">
        <f>IF(最佳化斷筋點!O135="","",最佳化斷筋點!O135)</f>
        <v>2</v>
      </c>
      <c r="AO135" s="37">
        <f>IF(最佳化斷筋點!P135="","",最佳化斷筋點!P135)</f>
        <v>2</v>
      </c>
      <c r="AP135" s="37">
        <f>IF(最佳化斷筋點!Q135="","",最佳化斷筋點!Q135)</f>
        <v>2</v>
      </c>
      <c r="AQ135" s="37">
        <f>IF(最佳化斷筋點!R135="","",最佳化斷筋點!R135)</f>
        <v>3</v>
      </c>
      <c r="AR135" s="37">
        <f>IF(最佳化斷筋點!S135="","",最佳化斷筋點!S135)</f>
        <v>3</v>
      </c>
      <c r="AS135" s="37">
        <f>IF(最佳化斷筋點!T135="","",最佳化斷筋點!T135)</f>
        <v>3</v>
      </c>
      <c r="AT135" s="37">
        <f>IF(最佳化斷筋點!U135="","",最佳化斷筋點!U135)</f>
        <v>3</v>
      </c>
      <c r="AU135" s="37">
        <f>IF(最佳化斷筋點!V135="","",最佳化斷筋點!V135)</f>
        <v>3</v>
      </c>
      <c r="AV135" s="37">
        <f>IF(最佳化斷筋點!W135="","",最佳化斷筋點!W135)</f>
        <v>3</v>
      </c>
      <c r="AW135" s="37">
        <f>IF(最佳化斷筋點!X135="","",最佳化斷筋點!X135)</f>
        <v>3</v>
      </c>
      <c r="AY135" s="6" t="s">
        <v>20</v>
      </c>
      <c r="AZ135" s="37">
        <v>5</v>
      </c>
      <c r="BA135" s="37">
        <v>5</v>
      </c>
      <c r="BB135" s="37">
        <v>5</v>
      </c>
      <c r="BC135" s="37">
        <v>5</v>
      </c>
      <c r="BD135" s="37">
        <v>5</v>
      </c>
      <c r="BE135" s="37">
        <v>5</v>
      </c>
      <c r="BF135" s="37">
        <v>5</v>
      </c>
      <c r="BG135" s="37">
        <v>3</v>
      </c>
      <c r="BH135" s="37">
        <v>3</v>
      </c>
      <c r="BI135" s="37">
        <v>3</v>
      </c>
      <c r="BJ135" s="37">
        <v>3</v>
      </c>
      <c r="BK135" s="37">
        <v>2</v>
      </c>
      <c r="BL135" s="37">
        <v>2</v>
      </c>
      <c r="BM135" s="37">
        <v>2</v>
      </c>
      <c r="BN135" s="37">
        <v>3</v>
      </c>
      <c r="BO135" s="37">
        <v>3</v>
      </c>
      <c r="BP135" s="37">
        <v>3</v>
      </c>
      <c r="BQ135" s="37">
        <v>3</v>
      </c>
      <c r="BR135" s="37">
        <v>3</v>
      </c>
      <c r="BS135" s="37">
        <v>3</v>
      </c>
      <c r="BT135" s="37">
        <v>3</v>
      </c>
    </row>
    <row r="136" spans="5:72" x14ac:dyDescent="0.25">
      <c r="F136" s="6">
        <f t="shared" si="43"/>
        <v>0</v>
      </c>
      <c r="G136" s="6">
        <f t="shared" si="44"/>
        <v>0</v>
      </c>
      <c r="H136" s="6">
        <f t="shared" si="45"/>
        <v>0</v>
      </c>
      <c r="I136" s="6">
        <f t="shared" si="46"/>
        <v>0</v>
      </c>
      <c r="J136" s="6">
        <f t="shared" si="47"/>
        <v>0</v>
      </c>
      <c r="K136" s="6">
        <f t="shared" si="48"/>
        <v>0</v>
      </c>
      <c r="L136" s="6">
        <f t="shared" si="49"/>
        <v>0</v>
      </c>
      <c r="M136" s="6">
        <f t="shared" si="50"/>
        <v>0</v>
      </c>
      <c r="N136" s="6">
        <f t="shared" si="51"/>
        <v>0</v>
      </c>
      <c r="O136" s="6">
        <f t="shared" si="52"/>
        <v>0</v>
      </c>
      <c r="P136" s="6">
        <f t="shared" si="53"/>
        <v>0</v>
      </c>
      <c r="Q136" s="6">
        <f t="shared" si="54"/>
        <v>0</v>
      </c>
      <c r="R136" s="6">
        <f t="shared" si="55"/>
        <v>0</v>
      </c>
      <c r="S136" s="6">
        <f t="shared" si="56"/>
        <v>0</v>
      </c>
      <c r="T136" s="6">
        <f t="shared" si="57"/>
        <v>0</v>
      </c>
      <c r="U136" s="6">
        <f t="shared" si="58"/>
        <v>0</v>
      </c>
      <c r="V136" s="6">
        <f t="shared" si="59"/>
        <v>0</v>
      </c>
      <c r="W136" s="6">
        <f t="shared" si="60"/>
        <v>0</v>
      </c>
      <c r="X136" s="6">
        <f t="shared" si="61"/>
        <v>0</v>
      </c>
      <c r="Y136" s="6">
        <f t="shared" si="62"/>
        <v>0</v>
      </c>
      <c r="Z136" s="6">
        <f t="shared" si="63"/>
        <v>0</v>
      </c>
      <c r="AB136" s="36" t="str">
        <f>IF(最佳化斷筋點!C136="","",最佳化斷筋點!C136)</f>
        <v/>
      </c>
      <c r="AC136" s="37" t="str">
        <f>IF(最佳化斷筋點!D136="","",最佳化斷筋點!D136)</f>
        <v/>
      </c>
      <c r="AD136" s="37" t="str">
        <f>IF(最佳化斷筋點!E136="","",最佳化斷筋點!E136)</f>
        <v/>
      </c>
      <c r="AE136" s="37" t="str">
        <f>IF(最佳化斷筋點!F136="","",最佳化斷筋點!F136)</f>
        <v/>
      </c>
      <c r="AF136" s="37" t="str">
        <f>IF(最佳化斷筋點!G136="","",最佳化斷筋點!G136)</f>
        <v/>
      </c>
      <c r="AG136" s="37" t="str">
        <f>IF(最佳化斷筋點!H136="","",最佳化斷筋點!H136)</f>
        <v/>
      </c>
      <c r="AH136" s="37" t="str">
        <f>IF(最佳化斷筋點!I136="","",最佳化斷筋點!I136)</f>
        <v/>
      </c>
      <c r="AI136" s="37" t="str">
        <f>IF(最佳化斷筋點!J136="","",最佳化斷筋點!J136)</f>
        <v/>
      </c>
      <c r="AJ136" s="37" t="str">
        <f>IF(最佳化斷筋點!K136="","",最佳化斷筋點!K136)</f>
        <v/>
      </c>
      <c r="AK136" s="37" t="str">
        <f>IF(最佳化斷筋點!L136="","",最佳化斷筋點!L136)</f>
        <v/>
      </c>
      <c r="AL136" s="37" t="str">
        <f>IF(最佳化斷筋點!M136="","",最佳化斷筋點!M136)</f>
        <v/>
      </c>
      <c r="AM136" s="37" t="str">
        <f>IF(最佳化斷筋點!N136="","",最佳化斷筋點!N136)</f>
        <v/>
      </c>
      <c r="AN136" s="37" t="str">
        <f>IF(最佳化斷筋點!O136="","",最佳化斷筋點!O136)</f>
        <v/>
      </c>
      <c r="AO136" s="37" t="str">
        <f>IF(最佳化斷筋點!P136="","",最佳化斷筋點!P136)</f>
        <v/>
      </c>
      <c r="AP136" s="37" t="str">
        <f>IF(最佳化斷筋點!Q136="","",最佳化斷筋點!Q136)</f>
        <v/>
      </c>
      <c r="AQ136" s="37" t="str">
        <f>IF(最佳化斷筋點!R136="","",最佳化斷筋點!R136)</f>
        <v/>
      </c>
      <c r="AR136" s="37" t="str">
        <f>IF(最佳化斷筋點!S136="","",最佳化斷筋點!S136)</f>
        <v/>
      </c>
      <c r="AS136" s="37" t="str">
        <f>IF(最佳化斷筋點!T136="","",最佳化斷筋點!T136)</f>
        <v/>
      </c>
      <c r="AT136" s="37" t="str">
        <f>IF(最佳化斷筋點!U136="","",最佳化斷筋點!U136)</f>
        <v/>
      </c>
      <c r="AU136" s="37" t="str">
        <f>IF(最佳化斷筋點!V136="","",最佳化斷筋點!V136)</f>
        <v/>
      </c>
      <c r="AV136" s="37" t="str">
        <f>IF(最佳化斷筋點!W136="","",最佳化斷筋點!W136)</f>
        <v/>
      </c>
      <c r="AW136" s="37" t="str">
        <f>IF(最佳化斷筋點!X136="","",最佳化斷筋點!X136)</f>
        <v/>
      </c>
      <c r="AZ136" s="37" t="s">
        <v>197</v>
      </c>
      <c r="BA136" s="37" t="s">
        <v>197</v>
      </c>
      <c r="BB136" s="37" t="s">
        <v>197</v>
      </c>
      <c r="BC136" s="37" t="s">
        <v>197</v>
      </c>
      <c r="BD136" s="37" t="s">
        <v>197</v>
      </c>
      <c r="BE136" s="37" t="s">
        <v>197</v>
      </c>
      <c r="BF136" s="37" t="s">
        <v>197</v>
      </c>
      <c r="BG136" s="37" t="s">
        <v>197</v>
      </c>
      <c r="BH136" s="37" t="s">
        <v>197</v>
      </c>
      <c r="BI136" s="37" t="s">
        <v>197</v>
      </c>
      <c r="BJ136" s="37" t="s">
        <v>197</v>
      </c>
      <c r="BK136" s="37" t="s">
        <v>197</v>
      </c>
      <c r="BL136" s="37" t="s">
        <v>197</v>
      </c>
      <c r="BM136" s="37" t="s">
        <v>197</v>
      </c>
      <c r="BN136" s="37" t="s">
        <v>197</v>
      </c>
      <c r="BO136" s="37" t="s">
        <v>197</v>
      </c>
      <c r="BP136" s="37" t="s">
        <v>197</v>
      </c>
      <c r="BQ136" s="37" t="s">
        <v>197</v>
      </c>
      <c r="BR136" s="37" t="s">
        <v>197</v>
      </c>
      <c r="BS136" s="37" t="s">
        <v>197</v>
      </c>
      <c r="BT136" s="37" t="s">
        <v>197</v>
      </c>
    </row>
    <row r="137" spans="5:72" x14ac:dyDescent="0.25">
      <c r="E137" s="6" t="s">
        <v>21</v>
      </c>
      <c r="F137" s="6">
        <f t="shared" si="43"/>
        <v>0</v>
      </c>
      <c r="G137" s="6">
        <f t="shared" si="44"/>
        <v>0</v>
      </c>
      <c r="H137" s="6">
        <f t="shared" si="45"/>
        <v>0</v>
      </c>
      <c r="I137" s="6">
        <f t="shared" si="46"/>
        <v>0</v>
      </c>
      <c r="J137" s="6">
        <f t="shared" si="47"/>
        <v>0</v>
      </c>
      <c r="K137" s="6">
        <f t="shared" si="48"/>
        <v>0</v>
      </c>
      <c r="L137" s="6">
        <f t="shared" si="49"/>
        <v>0</v>
      </c>
      <c r="M137" s="6">
        <f t="shared" si="50"/>
        <v>0</v>
      </c>
      <c r="N137" s="6">
        <f t="shared" si="51"/>
        <v>0</v>
      </c>
      <c r="O137" s="6">
        <f t="shared" si="52"/>
        <v>0</v>
      </c>
      <c r="P137" s="6">
        <f t="shared" si="53"/>
        <v>0</v>
      </c>
      <c r="Q137" s="6">
        <f t="shared" si="54"/>
        <v>0</v>
      </c>
      <c r="R137" s="6">
        <f t="shared" si="55"/>
        <v>0</v>
      </c>
      <c r="S137" s="6">
        <f t="shared" si="56"/>
        <v>0</v>
      </c>
      <c r="T137" s="6">
        <f t="shared" si="57"/>
        <v>0</v>
      </c>
      <c r="U137" s="6">
        <f t="shared" si="58"/>
        <v>0</v>
      </c>
      <c r="V137" s="6">
        <f t="shared" si="59"/>
        <v>0</v>
      </c>
      <c r="W137" s="6">
        <f t="shared" si="60"/>
        <v>0</v>
      </c>
      <c r="X137" s="6">
        <f t="shared" si="61"/>
        <v>0</v>
      </c>
      <c r="Y137" s="6">
        <f t="shared" si="62"/>
        <v>0</v>
      </c>
      <c r="Z137" s="6">
        <f t="shared" si="63"/>
        <v>0</v>
      </c>
      <c r="AB137" s="36" t="str">
        <f>IF(最佳化斷筋點!C137="","",最佳化斷筋點!C137)</f>
        <v>下層</v>
      </c>
      <c r="AC137" s="37">
        <f>IF(最佳化斷筋點!D137="","",最佳化斷筋點!D137)</f>
        <v>4</v>
      </c>
      <c r="AD137" s="37">
        <f>IF(最佳化斷筋點!E137="","",最佳化斷筋點!E137)</f>
        <v>4</v>
      </c>
      <c r="AE137" s="37">
        <f>IF(最佳化斷筋點!F137="","",最佳化斷筋點!F137)</f>
        <v>4</v>
      </c>
      <c r="AF137" s="37">
        <f>IF(最佳化斷筋點!G137="","",最佳化斷筋點!G137)</f>
        <v>4</v>
      </c>
      <c r="AG137" s="37">
        <f>IF(最佳化斷筋點!H137="","",最佳化斷筋點!H137)</f>
        <v>4</v>
      </c>
      <c r="AH137" s="37">
        <f>IF(最佳化斷筋點!I137="","",最佳化斷筋點!I137)</f>
        <v>4</v>
      </c>
      <c r="AI137" s="37">
        <f>IF(最佳化斷筋點!J137="","",最佳化斷筋點!J137)</f>
        <v>3</v>
      </c>
      <c r="AJ137" s="37">
        <f>IF(最佳化斷筋點!K137="","",最佳化斷筋點!K137)</f>
        <v>3</v>
      </c>
      <c r="AK137" s="37">
        <f>IF(最佳化斷筋點!L137="","",最佳化斷筋點!L137)</f>
        <v>3</v>
      </c>
      <c r="AL137" s="37">
        <f>IF(最佳化斷筋點!M137="","",最佳化斷筋點!M137)</f>
        <v>3</v>
      </c>
      <c r="AM137" s="37">
        <f>IF(最佳化斷筋點!N137="","",最佳化斷筋點!N137)</f>
        <v>3</v>
      </c>
      <c r="AN137" s="37">
        <f>IF(最佳化斷筋點!O137="","",最佳化斷筋點!O137)</f>
        <v>3</v>
      </c>
      <c r="AO137" s="37">
        <f>IF(最佳化斷筋點!P137="","",最佳化斷筋點!P137)</f>
        <v>3</v>
      </c>
      <c r="AP137" s="37">
        <f>IF(最佳化斷筋點!Q137="","",最佳化斷筋點!Q137)</f>
        <v>3</v>
      </c>
      <c r="AQ137" s="37">
        <f>IF(最佳化斷筋點!R137="","",最佳化斷筋點!R137)</f>
        <v>3</v>
      </c>
      <c r="AR137" s="37">
        <f>IF(最佳化斷筋點!S137="","",最佳化斷筋點!S137)</f>
        <v>3</v>
      </c>
      <c r="AS137" s="37">
        <f>IF(最佳化斷筋點!T137="","",最佳化斷筋點!T137)</f>
        <v>4</v>
      </c>
      <c r="AT137" s="37">
        <f>IF(最佳化斷筋點!U137="","",最佳化斷筋點!U137)</f>
        <v>4</v>
      </c>
      <c r="AU137" s="37">
        <f>IF(最佳化斷筋點!V137="","",最佳化斷筋點!V137)</f>
        <v>4</v>
      </c>
      <c r="AV137" s="37">
        <f>IF(最佳化斷筋點!W137="","",最佳化斷筋點!W137)</f>
        <v>4</v>
      </c>
      <c r="AW137" s="37">
        <f>IF(最佳化斷筋點!X137="","",最佳化斷筋點!X137)</f>
        <v>4</v>
      </c>
      <c r="AY137" s="6" t="s">
        <v>21</v>
      </c>
      <c r="AZ137" s="37">
        <v>4</v>
      </c>
      <c r="BA137" s="37">
        <v>4</v>
      </c>
      <c r="BB137" s="37">
        <v>4</v>
      </c>
      <c r="BC137" s="37">
        <v>4</v>
      </c>
      <c r="BD137" s="37">
        <v>4</v>
      </c>
      <c r="BE137" s="37">
        <v>4</v>
      </c>
      <c r="BF137" s="37">
        <v>3</v>
      </c>
      <c r="BG137" s="37">
        <v>3</v>
      </c>
      <c r="BH137" s="37">
        <v>3</v>
      </c>
      <c r="BI137" s="37">
        <v>3</v>
      </c>
      <c r="BJ137" s="37">
        <v>3</v>
      </c>
      <c r="BK137" s="37">
        <v>3</v>
      </c>
      <c r="BL137" s="37">
        <v>3</v>
      </c>
      <c r="BM137" s="37">
        <v>3</v>
      </c>
      <c r="BN137" s="37">
        <v>3</v>
      </c>
      <c r="BO137" s="37">
        <v>3</v>
      </c>
      <c r="BP137" s="37">
        <v>4</v>
      </c>
      <c r="BQ137" s="37">
        <v>4</v>
      </c>
      <c r="BR137" s="37">
        <v>4</v>
      </c>
      <c r="BS137" s="37">
        <v>4</v>
      </c>
      <c r="BT137" s="37">
        <v>4</v>
      </c>
    </row>
    <row r="138" spans="5:72" x14ac:dyDescent="0.25">
      <c r="F138" s="6">
        <f t="shared" si="43"/>
        <v>0</v>
      </c>
      <c r="G138" s="6">
        <f t="shared" si="44"/>
        <v>0</v>
      </c>
      <c r="H138" s="6">
        <f t="shared" si="45"/>
        <v>0</v>
      </c>
      <c r="I138" s="6">
        <f t="shared" si="46"/>
        <v>0</v>
      </c>
      <c r="J138" s="6">
        <f t="shared" si="47"/>
        <v>0</v>
      </c>
      <c r="K138" s="6">
        <f t="shared" si="48"/>
        <v>0</v>
      </c>
      <c r="L138" s="6">
        <f t="shared" si="49"/>
        <v>0</v>
      </c>
      <c r="M138" s="6">
        <f t="shared" si="50"/>
        <v>0</v>
      </c>
      <c r="N138" s="6">
        <f t="shared" si="51"/>
        <v>0</v>
      </c>
      <c r="O138" s="6">
        <f t="shared" si="52"/>
        <v>0</v>
      </c>
      <c r="P138" s="6">
        <f t="shared" si="53"/>
        <v>0</v>
      </c>
      <c r="Q138" s="6">
        <f t="shared" si="54"/>
        <v>0</v>
      </c>
      <c r="R138" s="6">
        <f t="shared" si="55"/>
        <v>0</v>
      </c>
      <c r="S138" s="6">
        <f t="shared" si="56"/>
        <v>0</v>
      </c>
      <c r="T138" s="6">
        <f t="shared" si="57"/>
        <v>0</v>
      </c>
      <c r="U138" s="6">
        <f t="shared" si="58"/>
        <v>0</v>
      </c>
      <c r="V138" s="6">
        <f t="shared" si="59"/>
        <v>0</v>
      </c>
      <c r="W138" s="6">
        <f t="shared" si="60"/>
        <v>0</v>
      </c>
      <c r="X138" s="6">
        <f t="shared" si="61"/>
        <v>0</v>
      </c>
      <c r="Y138" s="6">
        <f t="shared" si="62"/>
        <v>0</v>
      </c>
      <c r="Z138" s="6">
        <f t="shared" si="63"/>
        <v>0</v>
      </c>
      <c r="AB138" s="36" t="str">
        <f>IF(最佳化斷筋點!C138="","",最佳化斷筋點!C138)</f>
        <v/>
      </c>
      <c r="AC138" s="37" t="str">
        <f>IF(最佳化斷筋點!D138="","",最佳化斷筋點!D138)</f>
        <v/>
      </c>
      <c r="AD138" s="37" t="str">
        <f>IF(最佳化斷筋點!E138="","",最佳化斷筋點!E138)</f>
        <v/>
      </c>
      <c r="AE138" s="37" t="str">
        <f>IF(最佳化斷筋點!F138="","",最佳化斷筋點!F138)</f>
        <v/>
      </c>
      <c r="AF138" s="37" t="str">
        <f>IF(最佳化斷筋點!G138="","",最佳化斷筋點!G138)</f>
        <v/>
      </c>
      <c r="AG138" s="37" t="str">
        <f>IF(最佳化斷筋點!H138="","",最佳化斷筋點!H138)</f>
        <v/>
      </c>
      <c r="AH138" s="37" t="str">
        <f>IF(最佳化斷筋點!I138="","",最佳化斷筋點!I138)</f>
        <v/>
      </c>
      <c r="AI138" s="37" t="str">
        <f>IF(最佳化斷筋點!J138="","",最佳化斷筋點!J138)</f>
        <v/>
      </c>
      <c r="AJ138" s="37" t="str">
        <f>IF(最佳化斷筋點!K138="","",最佳化斷筋點!K138)</f>
        <v/>
      </c>
      <c r="AK138" s="37" t="str">
        <f>IF(最佳化斷筋點!L138="","",最佳化斷筋點!L138)</f>
        <v/>
      </c>
      <c r="AL138" s="37" t="str">
        <f>IF(最佳化斷筋點!M138="","",最佳化斷筋點!M138)</f>
        <v/>
      </c>
      <c r="AM138" s="37" t="str">
        <f>IF(最佳化斷筋點!N138="","",最佳化斷筋點!N138)</f>
        <v/>
      </c>
      <c r="AN138" s="37" t="str">
        <f>IF(最佳化斷筋點!O138="","",最佳化斷筋點!O138)</f>
        <v/>
      </c>
      <c r="AO138" s="37" t="str">
        <f>IF(最佳化斷筋點!P138="","",最佳化斷筋點!P138)</f>
        <v/>
      </c>
      <c r="AP138" s="37" t="str">
        <f>IF(最佳化斷筋點!Q138="","",最佳化斷筋點!Q138)</f>
        <v/>
      </c>
      <c r="AQ138" s="37" t="str">
        <f>IF(最佳化斷筋點!R138="","",最佳化斷筋點!R138)</f>
        <v/>
      </c>
      <c r="AR138" s="37" t="str">
        <f>IF(最佳化斷筋點!S138="","",最佳化斷筋點!S138)</f>
        <v/>
      </c>
      <c r="AS138" s="37" t="str">
        <f>IF(最佳化斷筋點!T138="","",最佳化斷筋點!T138)</f>
        <v/>
      </c>
      <c r="AT138" s="37" t="str">
        <f>IF(最佳化斷筋點!U138="","",最佳化斷筋點!U138)</f>
        <v/>
      </c>
      <c r="AU138" s="37" t="str">
        <f>IF(最佳化斷筋點!V138="","",最佳化斷筋點!V138)</f>
        <v/>
      </c>
      <c r="AV138" s="37" t="str">
        <f>IF(最佳化斷筋點!W138="","",最佳化斷筋點!W138)</f>
        <v/>
      </c>
      <c r="AW138" s="37" t="str">
        <f>IF(最佳化斷筋點!X138="","",最佳化斷筋點!X138)</f>
        <v/>
      </c>
      <c r="AZ138" s="37" t="s">
        <v>197</v>
      </c>
      <c r="BA138" s="37" t="s">
        <v>197</v>
      </c>
      <c r="BB138" s="37" t="s">
        <v>197</v>
      </c>
      <c r="BC138" s="37" t="s">
        <v>197</v>
      </c>
      <c r="BD138" s="37" t="s">
        <v>197</v>
      </c>
      <c r="BE138" s="37" t="s">
        <v>197</v>
      </c>
      <c r="BF138" s="37" t="s">
        <v>197</v>
      </c>
      <c r="BG138" s="37" t="s">
        <v>197</v>
      </c>
      <c r="BH138" s="37" t="s">
        <v>197</v>
      </c>
      <c r="BI138" s="37" t="s">
        <v>197</v>
      </c>
      <c r="BJ138" s="37" t="s">
        <v>197</v>
      </c>
      <c r="BK138" s="37" t="s">
        <v>197</v>
      </c>
      <c r="BL138" s="37" t="s">
        <v>197</v>
      </c>
      <c r="BM138" s="37" t="s">
        <v>197</v>
      </c>
      <c r="BN138" s="37" t="s">
        <v>197</v>
      </c>
      <c r="BO138" s="37" t="s">
        <v>197</v>
      </c>
      <c r="BP138" s="37" t="s">
        <v>197</v>
      </c>
      <c r="BQ138" s="37" t="s">
        <v>197</v>
      </c>
      <c r="BR138" s="37" t="s">
        <v>197</v>
      </c>
      <c r="BS138" s="37" t="s">
        <v>197</v>
      </c>
      <c r="BT138" s="37" t="s">
        <v>197</v>
      </c>
    </row>
    <row r="139" spans="5:72" x14ac:dyDescent="0.25">
      <c r="E139" s="6" t="s">
        <v>20</v>
      </c>
      <c r="F139" s="6">
        <f t="shared" si="43"/>
        <v>0</v>
      </c>
      <c r="G139" s="6">
        <f t="shared" si="44"/>
        <v>0</v>
      </c>
      <c r="H139" s="6">
        <f t="shared" si="45"/>
        <v>0</v>
      </c>
      <c r="I139" s="6">
        <f t="shared" si="46"/>
        <v>0</v>
      </c>
      <c r="J139" s="6">
        <f t="shared" si="47"/>
        <v>0</v>
      </c>
      <c r="K139" s="6">
        <f t="shared" si="48"/>
        <v>0</v>
      </c>
      <c r="L139" s="6">
        <f t="shared" si="49"/>
        <v>0</v>
      </c>
      <c r="M139" s="6">
        <f t="shared" si="50"/>
        <v>0</v>
      </c>
      <c r="N139" s="6">
        <f t="shared" si="51"/>
        <v>0</v>
      </c>
      <c r="O139" s="6">
        <f t="shared" si="52"/>
        <v>0</v>
      </c>
      <c r="P139" s="6">
        <f t="shared" si="53"/>
        <v>0</v>
      </c>
      <c r="Q139" s="6">
        <f t="shared" si="54"/>
        <v>0</v>
      </c>
      <c r="R139" s="6">
        <f t="shared" si="55"/>
        <v>0</v>
      </c>
      <c r="S139" s="6">
        <f t="shared" si="56"/>
        <v>0</v>
      </c>
      <c r="T139" s="6">
        <f t="shared" si="57"/>
        <v>0</v>
      </c>
      <c r="U139" s="6">
        <f t="shared" si="58"/>
        <v>0</v>
      </c>
      <c r="V139" s="6">
        <f t="shared" si="59"/>
        <v>0</v>
      </c>
      <c r="W139" s="6">
        <f t="shared" si="60"/>
        <v>0</v>
      </c>
      <c r="X139" s="6">
        <f t="shared" si="61"/>
        <v>0</v>
      </c>
      <c r="Y139" s="6">
        <f t="shared" si="62"/>
        <v>0</v>
      </c>
      <c r="Z139" s="6">
        <f t="shared" si="63"/>
        <v>0</v>
      </c>
      <c r="AB139" s="36" t="str">
        <f>IF(最佳化斷筋點!C139="","",最佳化斷筋點!C139)</f>
        <v>上層</v>
      </c>
      <c r="AC139" s="37">
        <f>IF(最佳化斷筋點!D139="","",最佳化斷筋點!D139)</f>
        <v>5</v>
      </c>
      <c r="AD139" s="37">
        <f>IF(最佳化斷筋點!E139="","",最佳化斷筋點!E139)</f>
        <v>5</v>
      </c>
      <c r="AE139" s="37">
        <f>IF(最佳化斷筋點!F139="","",最佳化斷筋點!F139)</f>
        <v>5</v>
      </c>
      <c r="AF139" s="37">
        <f>IF(最佳化斷筋點!G139="","",最佳化斷筋點!G139)</f>
        <v>5</v>
      </c>
      <c r="AG139" s="37">
        <f>IF(最佳化斷筋點!H139="","",最佳化斷筋點!H139)</f>
        <v>5</v>
      </c>
      <c r="AH139" s="37">
        <f>IF(最佳化斷筋點!I139="","",最佳化斷筋點!I139)</f>
        <v>5</v>
      </c>
      <c r="AI139" s="37">
        <f>IF(最佳化斷筋點!J139="","",最佳化斷筋點!J139)</f>
        <v>4</v>
      </c>
      <c r="AJ139" s="37">
        <f>IF(最佳化斷筋點!K139="","",最佳化斷筋點!K139)</f>
        <v>3</v>
      </c>
      <c r="AK139" s="37">
        <f>IF(最佳化斷筋點!L139="","",最佳化斷筋點!L139)</f>
        <v>3</v>
      </c>
      <c r="AL139" s="37">
        <f>IF(最佳化斷筋點!M139="","",最佳化斷筋點!M139)</f>
        <v>3</v>
      </c>
      <c r="AM139" s="37">
        <f>IF(最佳化斷筋點!N139="","",最佳化斷筋點!N139)</f>
        <v>3</v>
      </c>
      <c r="AN139" s="37">
        <f>IF(最佳化斷筋點!O139="","",最佳化斷筋點!O139)</f>
        <v>3</v>
      </c>
      <c r="AO139" s="37">
        <f>IF(最佳化斷筋點!P139="","",最佳化斷筋點!P139)</f>
        <v>3</v>
      </c>
      <c r="AP139" s="37">
        <f>IF(最佳化斷筋點!Q139="","",最佳化斷筋點!Q139)</f>
        <v>5</v>
      </c>
      <c r="AQ139" s="37">
        <f>IF(最佳化斷筋點!R139="","",最佳化斷筋點!R139)</f>
        <v>6</v>
      </c>
      <c r="AR139" s="37">
        <f>IF(最佳化斷筋點!S139="","",最佳化斷筋點!S139)</f>
        <v>6</v>
      </c>
      <c r="AS139" s="37">
        <f>IF(最佳化斷筋點!T139="","",最佳化斷筋點!T139)</f>
        <v>7</v>
      </c>
      <c r="AT139" s="37">
        <f>IF(最佳化斷筋點!U139="","",最佳化斷筋點!U139)</f>
        <v>8</v>
      </c>
      <c r="AU139" s="37">
        <f>IF(最佳化斷筋點!V139="","",最佳化斷筋點!V139)</f>
        <v>8</v>
      </c>
      <c r="AV139" s="37">
        <f>IF(最佳化斷筋點!W139="","",最佳化斷筋點!W139)</f>
        <v>8</v>
      </c>
      <c r="AW139" s="37">
        <f>IF(最佳化斷筋點!X139="","",最佳化斷筋點!X139)</f>
        <v>8</v>
      </c>
      <c r="AY139" s="6" t="s">
        <v>20</v>
      </c>
      <c r="AZ139" s="37">
        <v>5</v>
      </c>
      <c r="BA139" s="37">
        <v>5</v>
      </c>
      <c r="BB139" s="37">
        <v>5</v>
      </c>
      <c r="BC139" s="37">
        <v>5</v>
      </c>
      <c r="BD139" s="37">
        <v>5</v>
      </c>
      <c r="BE139" s="37">
        <v>5</v>
      </c>
      <c r="BF139" s="37">
        <v>4</v>
      </c>
      <c r="BG139" s="37">
        <v>3</v>
      </c>
      <c r="BH139" s="37">
        <v>3</v>
      </c>
      <c r="BI139" s="37">
        <v>3</v>
      </c>
      <c r="BJ139" s="37">
        <v>3</v>
      </c>
      <c r="BK139" s="37">
        <v>3</v>
      </c>
      <c r="BL139" s="37">
        <v>3</v>
      </c>
      <c r="BM139" s="37">
        <v>5</v>
      </c>
      <c r="BN139" s="37">
        <v>6</v>
      </c>
      <c r="BO139" s="37">
        <v>6</v>
      </c>
      <c r="BP139" s="37">
        <v>7</v>
      </c>
      <c r="BQ139" s="37">
        <v>8</v>
      </c>
      <c r="BR139" s="37">
        <v>8</v>
      </c>
      <c r="BS139" s="37">
        <v>8</v>
      </c>
      <c r="BT139" s="37">
        <v>8</v>
      </c>
    </row>
    <row r="140" spans="5:72" x14ac:dyDescent="0.25">
      <c r="F140" s="6">
        <f t="shared" si="43"/>
        <v>0</v>
      </c>
      <c r="G140" s="6">
        <f t="shared" si="44"/>
        <v>0</v>
      </c>
      <c r="H140" s="6">
        <f t="shared" si="45"/>
        <v>0</v>
      </c>
      <c r="I140" s="6">
        <f t="shared" si="46"/>
        <v>0</v>
      </c>
      <c r="J140" s="6">
        <f t="shared" si="47"/>
        <v>0</v>
      </c>
      <c r="K140" s="6">
        <f t="shared" si="48"/>
        <v>0</v>
      </c>
      <c r="L140" s="6">
        <f t="shared" si="49"/>
        <v>0</v>
      </c>
      <c r="M140" s="6">
        <f t="shared" si="50"/>
        <v>0</v>
      </c>
      <c r="N140" s="6">
        <f t="shared" si="51"/>
        <v>0</v>
      </c>
      <c r="O140" s="6">
        <f t="shared" si="52"/>
        <v>0</v>
      </c>
      <c r="P140" s="6">
        <f t="shared" si="53"/>
        <v>0</v>
      </c>
      <c r="Q140" s="6">
        <f t="shared" si="54"/>
        <v>0</v>
      </c>
      <c r="R140" s="6">
        <f t="shared" si="55"/>
        <v>0</v>
      </c>
      <c r="S140" s="6">
        <f t="shared" si="56"/>
        <v>0</v>
      </c>
      <c r="T140" s="6">
        <f t="shared" si="57"/>
        <v>0</v>
      </c>
      <c r="U140" s="6">
        <f t="shared" si="58"/>
        <v>0</v>
      </c>
      <c r="V140" s="6">
        <f t="shared" si="59"/>
        <v>0</v>
      </c>
      <c r="W140" s="6">
        <f t="shared" si="60"/>
        <v>0</v>
      </c>
      <c r="X140" s="6">
        <f t="shared" si="61"/>
        <v>0</v>
      </c>
      <c r="Y140" s="6">
        <f t="shared" si="62"/>
        <v>0</v>
      </c>
      <c r="Z140" s="6">
        <f t="shared" si="63"/>
        <v>0</v>
      </c>
      <c r="AB140" s="36" t="str">
        <f>IF(最佳化斷筋點!C140="","",最佳化斷筋點!C140)</f>
        <v/>
      </c>
      <c r="AC140" s="37" t="str">
        <f>IF(最佳化斷筋點!D140="","",最佳化斷筋點!D140)</f>
        <v/>
      </c>
      <c r="AD140" s="37" t="str">
        <f>IF(最佳化斷筋點!E140="","",最佳化斷筋點!E140)</f>
        <v/>
      </c>
      <c r="AE140" s="37" t="str">
        <f>IF(最佳化斷筋點!F140="","",最佳化斷筋點!F140)</f>
        <v/>
      </c>
      <c r="AF140" s="37" t="str">
        <f>IF(最佳化斷筋點!G140="","",最佳化斷筋點!G140)</f>
        <v/>
      </c>
      <c r="AG140" s="37" t="str">
        <f>IF(最佳化斷筋點!H140="","",最佳化斷筋點!H140)</f>
        <v/>
      </c>
      <c r="AH140" s="37" t="str">
        <f>IF(最佳化斷筋點!I140="","",最佳化斷筋點!I140)</f>
        <v/>
      </c>
      <c r="AI140" s="37" t="str">
        <f>IF(最佳化斷筋點!J140="","",最佳化斷筋點!J140)</f>
        <v/>
      </c>
      <c r="AJ140" s="37" t="str">
        <f>IF(最佳化斷筋點!K140="","",最佳化斷筋點!K140)</f>
        <v/>
      </c>
      <c r="AK140" s="37" t="str">
        <f>IF(最佳化斷筋點!L140="","",最佳化斷筋點!L140)</f>
        <v/>
      </c>
      <c r="AL140" s="37" t="str">
        <f>IF(最佳化斷筋點!M140="","",最佳化斷筋點!M140)</f>
        <v/>
      </c>
      <c r="AM140" s="37" t="str">
        <f>IF(最佳化斷筋點!N140="","",最佳化斷筋點!N140)</f>
        <v/>
      </c>
      <c r="AN140" s="37" t="str">
        <f>IF(最佳化斷筋點!O140="","",最佳化斷筋點!O140)</f>
        <v/>
      </c>
      <c r="AO140" s="37" t="str">
        <f>IF(最佳化斷筋點!P140="","",最佳化斷筋點!P140)</f>
        <v/>
      </c>
      <c r="AP140" s="37" t="str">
        <f>IF(最佳化斷筋點!Q140="","",最佳化斷筋點!Q140)</f>
        <v/>
      </c>
      <c r="AQ140" s="37" t="str">
        <f>IF(最佳化斷筋點!R140="","",最佳化斷筋點!R140)</f>
        <v/>
      </c>
      <c r="AR140" s="37" t="str">
        <f>IF(最佳化斷筋點!S140="","",最佳化斷筋點!S140)</f>
        <v/>
      </c>
      <c r="AS140" s="37" t="str">
        <f>IF(最佳化斷筋點!T140="","",最佳化斷筋點!T140)</f>
        <v/>
      </c>
      <c r="AT140" s="37" t="str">
        <f>IF(最佳化斷筋點!U140="","",最佳化斷筋點!U140)</f>
        <v/>
      </c>
      <c r="AU140" s="37" t="str">
        <f>IF(最佳化斷筋點!V140="","",最佳化斷筋點!V140)</f>
        <v/>
      </c>
      <c r="AV140" s="37" t="str">
        <f>IF(最佳化斷筋點!W140="","",最佳化斷筋點!W140)</f>
        <v/>
      </c>
      <c r="AW140" s="37" t="str">
        <f>IF(最佳化斷筋點!X140="","",最佳化斷筋點!X140)</f>
        <v/>
      </c>
      <c r="AZ140" s="37" t="s">
        <v>197</v>
      </c>
      <c r="BA140" s="37" t="s">
        <v>197</v>
      </c>
      <c r="BB140" s="37" t="s">
        <v>197</v>
      </c>
      <c r="BC140" s="37" t="s">
        <v>197</v>
      </c>
      <c r="BD140" s="37" t="s">
        <v>197</v>
      </c>
      <c r="BE140" s="37" t="s">
        <v>197</v>
      </c>
      <c r="BF140" s="37" t="s">
        <v>197</v>
      </c>
      <c r="BG140" s="37" t="s">
        <v>197</v>
      </c>
      <c r="BH140" s="37" t="s">
        <v>197</v>
      </c>
      <c r="BI140" s="37" t="s">
        <v>197</v>
      </c>
      <c r="BJ140" s="37" t="s">
        <v>197</v>
      </c>
      <c r="BK140" s="37" t="s">
        <v>197</v>
      </c>
      <c r="BL140" s="37" t="s">
        <v>197</v>
      </c>
      <c r="BM140" s="37" t="s">
        <v>197</v>
      </c>
      <c r="BN140" s="37" t="s">
        <v>197</v>
      </c>
      <c r="BO140" s="37" t="s">
        <v>197</v>
      </c>
      <c r="BP140" s="37" t="s">
        <v>197</v>
      </c>
      <c r="BQ140" s="37" t="s">
        <v>197</v>
      </c>
      <c r="BR140" s="37" t="s">
        <v>197</v>
      </c>
      <c r="BS140" s="37" t="s">
        <v>197</v>
      </c>
      <c r="BT140" s="37" t="s">
        <v>197</v>
      </c>
    </row>
    <row r="141" spans="5:72" x14ac:dyDescent="0.25">
      <c r="E141" s="6" t="s">
        <v>21</v>
      </c>
      <c r="F141" s="6">
        <f t="shared" si="43"/>
        <v>0</v>
      </c>
      <c r="G141" s="6">
        <f t="shared" si="44"/>
        <v>0</v>
      </c>
      <c r="H141" s="6">
        <f t="shared" si="45"/>
        <v>0</v>
      </c>
      <c r="I141" s="6">
        <f t="shared" si="46"/>
        <v>0</v>
      </c>
      <c r="J141" s="6">
        <f t="shared" si="47"/>
        <v>0</v>
      </c>
      <c r="K141" s="6">
        <f t="shared" si="48"/>
        <v>0</v>
      </c>
      <c r="L141" s="6">
        <f t="shared" si="49"/>
        <v>0</v>
      </c>
      <c r="M141" s="6">
        <f t="shared" si="50"/>
        <v>0</v>
      </c>
      <c r="N141" s="6">
        <f t="shared" si="51"/>
        <v>0</v>
      </c>
      <c r="O141" s="6">
        <f t="shared" si="52"/>
        <v>0</v>
      </c>
      <c r="P141" s="6">
        <f t="shared" si="53"/>
        <v>0</v>
      </c>
      <c r="Q141" s="6">
        <f t="shared" si="54"/>
        <v>0</v>
      </c>
      <c r="R141" s="6">
        <f t="shared" si="55"/>
        <v>0</v>
      </c>
      <c r="S141" s="6">
        <f t="shared" si="56"/>
        <v>0</v>
      </c>
      <c r="T141" s="6">
        <f t="shared" si="57"/>
        <v>0</v>
      </c>
      <c r="U141" s="6">
        <f t="shared" si="58"/>
        <v>0</v>
      </c>
      <c r="V141" s="6">
        <f t="shared" si="59"/>
        <v>0</v>
      </c>
      <c r="W141" s="6">
        <f t="shared" si="60"/>
        <v>0</v>
      </c>
      <c r="X141" s="6">
        <f t="shared" si="61"/>
        <v>0</v>
      </c>
      <c r="Y141" s="6">
        <f t="shared" si="62"/>
        <v>0</v>
      </c>
      <c r="Z141" s="6">
        <f t="shared" si="63"/>
        <v>0</v>
      </c>
      <c r="AB141" s="36" t="str">
        <f>IF(最佳化斷筋點!C141="","",最佳化斷筋點!C141)</f>
        <v>下層</v>
      </c>
      <c r="AC141" s="37">
        <f>IF(最佳化斷筋點!D141="","",最佳化斷筋點!D141)</f>
        <v>4</v>
      </c>
      <c r="AD141" s="37">
        <f>IF(最佳化斷筋點!E141="","",最佳化斷筋點!E141)</f>
        <v>4</v>
      </c>
      <c r="AE141" s="37">
        <f>IF(最佳化斷筋點!F141="","",最佳化斷筋點!F141)</f>
        <v>4</v>
      </c>
      <c r="AF141" s="37">
        <f>IF(最佳化斷筋點!G141="","",最佳化斷筋點!G141)</f>
        <v>4</v>
      </c>
      <c r="AG141" s="37">
        <f>IF(最佳化斷筋點!H141="","",最佳化斷筋點!H141)</f>
        <v>4</v>
      </c>
      <c r="AH141" s="37">
        <f>IF(最佳化斷筋點!I141="","",最佳化斷筋點!I141)</f>
        <v>3</v>
      </c>
      <c r="AI141" s="37">
        <f>IF(最佳化斷筋點!J141="","",最佳化斷筋點!J141)</f>
        <v>3</v>
      </c>
      <c r="AJ141" s="37">
        <f>IF(最佳化斷筋點!K141="","",最佳化斷筋點!K141)</f>
        <v>3</v>
      </c>
      <c r="AK141" s="37">
        <f>IF(最佳化斷筋點!L141="","",最佳化斷筋點!L141)</f>
        <v>3</v>
      </c>
      <c r="AL141" s="37">
        <f>IF(最佳化斷筋點!M141="","",最佳化斷筋點!M141)</f>
        <v>3</v>
      </c>
      <c r="AM141" s="37">
        <f>IF(最佳化斷筋點!N141="","",最佳化斷筋點!N141)</f>
        <v>3</v>
      </c>
      <c r="AN141" s="37">
        <f>IF(最佳化斷筋點!O141="","",最佳化斷筋點!O141)</f>
        <v>3</v>
      </c>
      <c r="AO141" s="37">
        <f>IF(最佳化斷筋點!P141="","",最佳化斷筋點!P141)</f>
        <v>3</v>
      </c>
      <c r="AP141" s="37">
        <f>IF(最佳化斷筋點!Q141="","",最佳化斷筋點!Q141)</f>
        <v>3</v>
      </c>
      <c r="AQ141" s="37">
        <f>IF(最佳化斷筋點!R141="","",最佳化斷筋點!R141)</f>
        <v>3</v>
      </c>
      <c r="AR141" s="37">
        <f>IF(最佳化斷筋點!S141="","",最佳化斷筋點!S141)</f>
        <v>3</v>
      </c>
      <c r="AS141" s="37">
        <f>IF(最佳化斷筋點!T141="","",最佳化斷筋點!T141)</f>
        <v>3</v>
      </c>
      <c r="AT141" s="37">
        <f>IF(最佳化斷筋點!U141="","",最佳化斷筋點!U141)</f>
        <v>4</v>
      </c>
      <c r="AU141" s="37">
        <f>IF(最佳化斷筋點!V141="","",最佳化斷筋點!V141)</f>
        <v>4</v>
      </c>
      <c r="AV141" s="37">
        <f>IF(最佳化斷筋點!W141="","",最佳化斷筋點!W141)</f>
        <v>4</v>
      </c>
      <c r="AW141" s="37">
        <f>IF(最佳化斷筋點!X141="","",最佳化斷筋點!X141)</f>
        <v>4</v>
      </c>
      <c r="AY141" s="6" t="s">
        <v>21</v>
      </c>
      <c r="AZ141" s="37">
        <v>4</v>
      </c>
      <c r="BA141" s="37">
        <v>4</v>
      </c>
      <c r="BB141" s="37">
        <v>4</v>
      </c>
      <c r="BC141" s="37">
        <v>4</v>
      </c>
      <c r="BD141" s="37">
        <v>4</v>
      </c>
      <c r="BE141" s="37">
        <v>3</v>
      </c>
      <c r="BF141" s="37">
        <v>3</v>
      </c>
      <c r="BG141" s="37">
        <v>3</v>
      </c>
      <c r="BH141" s="37">
        <v>3</v>
      </c>
      <c r="BI141" s="37">
        <v>3</v>
      </c>
      <c r="BJ141" s="37">
        <v>3</v>
      </c>
      <c r="BK141" s="37">
        <v>3</v>
      </c>
      <c r="BL141" s="37">
        <v>3</v>
      </c>
      <c r="BM141" s="37">
        <v>3</v>
      </c>
      <c r="BN141" s="37">
        <v>3</v>
      </c>
      <c r="BO141" s="37">
        <v>3</v>
      </c>
      <c r="BP141" s="37">
        <v>3</v>
      </c>
      <c r="BQ141" s="37">
        <v>4</v>
      </c>
      <c r="BR141" s="37">
        <v>4</v>
      </c>
      <c r="BS141" s="37">
        <v>4</v>
      </c>
      <c r="BT141" s="37">
        <v>4</v>
      </c>
    </row>
    <row r="142" spans="5:72" x14ac:dyDescent="0.25">
      <c r="F142" s="6">
        <f t="shared" si="43"/>
        <v>0</v>
      </c>
      <c r="G142" s="6">
        <f t="shared" si="44"/>
        <v>0</v>
      </c>
      <c r="H142" s="6">
        <f t="shared" si="45"/>
        <v>0</v>
      </c>
      <c r="I142" s="6">
        <f t="shared" si="46"/>
        <v>0</v>
      </c>
      <c r="J142" s="6">
        <f t="shared" si="47"/>
        <v>0</v>
      </c>
      <c r="K142" s="6">
        <f t="shared" si="48"/>
        <v>0</v>
      </c>
      <c r="L142" s="6">
        <f t="shared" si="49"/>
        <v>0</v>
      </c>
      <c r="M142" s="6">
        <f t="shared" si="50"/>
        <v>0</v>
      </c>
      <c r="N142" s="6">
        <f t="shared" si="51"/>
        <v>0</v>
      </c>
      <c r="O142" s="6">
        <f t="shared" si="52"/>
        <v>0</v>
      </c>
      <c r="P142" s="6">
        <f t="shared" si="53"/>
        <v>0</v>
      </c>
      <c r="Q142" s="6">
        <f t="shared" si="54"/>
        <v>0</v>
      </c>
      <c r="R142" s="6">
        <f t="shared" si="55"/>
        <v>0</v>
      </c>
      <c r="S142" s="6">
        <f t="shared" si="56"/>
        <v>0</v>
      </c>
      <c r="T142" s="6">
        <f t="shared" si="57"/>
        <v>0</v>
      </c>
      <c r="U142" s="6">
        <f t="shared" si="58"/>
        <v>0</v>
      </c>
      <c r="V142" s="6">
        <f t="shared" si="59"/>
        <v>0</v>
      </c>
      <c r="W142" s="6">
        <f t="shared" si="60"/>
        <v>0</v>
      </c>
      <c r="X142" s="6">
        <f t="shared" si="61"/>
        <v>0</v>
      </c>
      <c r="Y142" s="6">
        <f t="shared" si="62"/>
        <v>0</v>
      </c>
      <c r="Z142" s="6">
        <f t="shared" si="63"/>
        <v>0</v>
      </c>
      <c r="AB142" s="36" t="str">
        <f>IF(最佳化斷筋點!C142="","",最佳化斷筋點!C142)</f>
        <v/>
      </c>
      <c r="AC142" s="37" t="str">
        <f>IF(最佳化斷筋點!D142="","",最佳化斷筋點!D142)</f>
        <v/>
      </c>
      <c r="AD142" s="37" t="str">
        <f>IF(最佳化斷筋點!E142="","",最佳化斷筋點!E142)</f>
        <v/>
      </c>
      <c r="AE142" s="37" t="str">
        <f>IF(最佳化斷筋點!F142="","",最佳化斷筋點!F142)</f>
        <v/>
      </c>
      <c r="AF142" s="37" t="str">
        <f>IF(最佳化斷筋點!G142="","",最佳化斷筋點!G142)</f>
        <v/>
      </c>
      <c r="AG142" s="37" t="str">
        <f>IF(最佳化斷筋點!H142="","",最佳化斷筋點!H142)</f>
        <v/>
      </c>
      <c r="AH142" s="37" t="str">
        <f>IF(最佳化斷筋點!I142="","",最佳化斷筋點!I142)</f>
        <v/>
      </c>
      <c r="AI142" s="37" t="str">
        <f>IF(最佳化斷筋點!J142="","",最佳化斷筋點!J142)</f>
        <v/>
      </c>
      <c r="AJ142" s="37" t="str">
        <f>IF(最佳化斷筋點!K142="","",最佳化斷筋點!K142)</f>
        <v/>
      </c>
      <c r="AK142" s="37" t="str">
        <f>IF(最佳化斷筋點!L142="","",最佳化斷筋點!L142)</f>
        <v/>
      </c>
      <c r="AL142" s="37" t="str">
        <f>IF(最佳化斷筋點!M142="","",最佳化斷筋點!M142)</f>
        <v/>
      </c>
      <c r="AM142" s="37" t="str">
        <f>IF(最佳化斷筋點!N142="","",最佳化斷筋點!N142)</f>
        <v/>
      </c>
      <c r="AN142" s="37" t="str">
        <f>IF(最佳化斷筋點!O142="","",最佳化斷筋點!O142)</f>
        <v/>
      </c>
      <c r="AO142" s="37" t="str">
        <f>IF(最佳化斷筋點!P142="","",最佳化斷筋點!P142)</f>
        <v/>
      </c>
      <c r="AP142" s="37" t="str">
        <f>IF(最佳化斷筋點!Q142="","",最佳化斷筋點!Q142)</f>
        <v/>
      </c>
      <c r="AQ142" s="37" t="str">
        <f>IF(最佳化斷筋點!R142="","",最佳化斷筋點!R142)</f>
        <v/>
      </c>
      <c r="AR142" s="37" t="str">
        <f>IF(最佳化斷筋點!S142="","",最佳化斷筋點!S142)</f>
        <v/>
      </c>
      <c r="AS142" s="37" t="str">
        <f>IF(最佳化斷筋點!T142="","",最佳化斷筋點!T142)</f>
        <v/>
      </c>
      <c r="AT142" s="37" t="str">
        <f>IF(最佳化斷筋點!U142="","",最佳化斷筋點!U142)</f>
        <v/>
      </c>
      <c r="AU142" s="37" t="str">
        <f>IF(最佳化斷筋點!V142="","",最佳化斷筋點!V142)</f>
        <v/>
      </c>
      <c r="AV142" s="37" t="str">
        <f>IF(最佳化斷筋點!W142="","",最佳化斷筋點!W142)</f>
        <v/>
      </c>
      <c r="AW142" s="37" t="str">
        <f>IF(最佳化斷筋點!X142="","",最佳化斷筋點!X142)</f>
        <v/>
      </c>
      <c r="AZ142" s="37" t="s">
        <v>197</v>
      </c>
      <c r="BA142" s="37" t="s">
        <v>197</v>
      </c>
      <c r="BB142" s="37" t="s">
        <v>197</v>
      </c>
      <c r="BC142" s="37" t="s">
        <v>197</v>
      </c>
      <c r="BD142" s="37" t="s">
        <v>197</v>
      </c>
      <c r="BE142" s="37" t="s">
        <v>197</v>
      </c>
      <c r="BF142" s="37" t="s">
        <v>197</v>
      </c>
      <c r="BG142" s="37" t="s">
        <v>197</v>
      </c>
      <c r="BH142" s="37" t="s">
        <v>197</v>
      </c>
      <c r="BI142" s="37" t="s">
        <v>197</v>
      </c>
      <c r="BJ142" s="37" t="s">
        <v>197</v>
      </c>
      <c r="BK142" s="37" t="s">
        <v>197</v>
      </c>
      <c r="BL142" s="37" t="s">
        <v>197</v>
      </c>
      <c r="BM142" s="37" t="s">
        <v>197</v>
      </c>
      <c r="BN142" s="37" t="s">
        <v>197</v>
      </c>
      <c r="BO142" s="37" t="s">
        <v>197</v>
      </c>
      <c r="BP142" s="37" t="s">
        <v>197</v>
      </c>
      <c r="BQ142" s="37" t="s">
        <v>197</v>
      </c>
      <c r="BR142" s="37" t="s">
        <v>197</v>
      </c>
      <c r="BS142" s="37" t="s">
        <v>197</v>
      </c>
      <c r="BT142" s="37" t="s">
        <v>197</v>
      </c>
    </row>
    <row r="143" spans="5:72" x14ac:dyDescent="0.25">
      <c r="E143" s="6" t="s">
        <v>20</v>
      </c>
      <c r="F143" s="6">
        <f t="shared" si="43"/>
        <v>0</v>
      </c>
      <c r="G143" s="6">
        <f t="shared" si="44"/>
        <v>0</v>
      </c>
      <c r="H143" s="6">
        <f t="shared" si="45"/>
        <v>0</v>
      </c>
      <c r="I143" s="6">
        <f t="shared" si="46"/>
        <v>0</v>
      </c>
      <c r="J143" s="6">
        <f t="shared" si="47"/>
        <v>0</v>
      </c>
      <c r="K143" s="6">
        <f t="shared" si="48"/>
        <v>0</v>
      </c>
      <c r="L143" s="6">
        <f t="shared" si="49"/>
        <v>0</v>
      </c>
      <c r="M143" s="6">
        <f t="shared" si="50"/>
        <v>0</v>
      </c>
      <c r="N143" s="6">
        <f t="shared" si="51"/>
        <v>0</v>
      </c>
      <c r="O143" s="6">
        <f t="shared" si="52"/>
        <v>0</v>
      </c>
      <c r="P143" s="6">
        <f t="shared" si="53"/>
        <v>0</v>
      </c>
      <c r="Q143" s="6">
        <f t="shared" si="54"/>
        <v>0</v>
      </c>
      <c r="R143" s="6">
        <f t="shared" si="55"/>
        <v>0</v>
      </c>
      <c r="S143" s="6">
        <f t="shared" si="56"/>
        <v>0</v>
      </c>
      <c r="T143" s="6">
        <f t="shared" si="57"/>
        <v>0</v>
      </c>
      <c r="U143" s="6">
        <f t="shared" si="58"/>
        <v>0</v>
      </c>
      <c r="V143" s="6">
        <f t="shared" si="59"/>
        <v>0</v>
      </c>
      <c r="W143" s="6">
        <f t="shared" si="60"/>
        <v>0</v>
      </c>
      <c r="X143" s="6">
        <f t="shared" si="61"/>
        <v>0</v>
      </c>
      <c r="Y143" s="6">
        <f t="shared" si="62"/>
        <v>0</v>
      </c>
      <c r="Z143" s="6">
        <f t="shared" si="63"/>
        <v>0</v>
      </c>
      <c r="AB143" s="36" t="str">
        <f>IF(最佳化斷筋點!C143="","",最佳化斷筋點!C143)</f>
        <v>上層</v>
      </c>
      <c r="AC143" s="37">
        <f>IF(最佳化斷筋點!D143="","",最佳化斷筋點!D143)</f>
        <v>7</v>
      </c>
      <c r="AD143" s="37">
        <f>IF(最佳化斷筋點!E143="","",最佳化斷筋點!E143)</f>
        <v>7</v>
      </c>
      <c r="AE143" s="37">
        <f>IF(最佳化斷筋點!F143="","",最佳化斷筋點!F143)</f>
        <v>7</v>
      </c>
      <c r="AF143" s="37">
        <f>IF(最佳化斷筋點!G143="","",最佳化斷筋點!G143)</f>
        <v>7</v>
      </c>
      <c r="AG143" s="37">
        <f>IF(最佳化斷筋點!H143="","",最佳化斷筋點!H143)</f>
        <v>7</v>
      </c>
      <c r="AH143" s="37">
        <f>IF(最佳化斷筋點!I143="","",最佳化斷筋點!I143)</f>
        <v>6</v>
      </c>
      <c r="AI143" s="37">
        <f>IF(最佳化斷筋點!J143="","",最佳化斷筋點!J143)</f>
        <v>6</v>
      </c>
      <c r="AJ143" s="37">
        <f>IF(最佳化斷筋點!K143="","",最佳化斷筋點!K143)</f>
        <v>3</v>
      </c>
      <c r="AK143" s="37">
        <f>IF(最佳化斷筋點!L143="","",最佳化斷筋點!L143)</f>
        <v>3</v>
      </c>
      <c r="AL143" s="37">
        <f>IF(最佳化斷筋點!M143="","",最佳化斷筋點!M143)</f>
        <v>3</v>
      </c>
      <c r="AM143" s="37">
        <f>IF(最佳化斷筋點!N143="","",最佳化斷筋點!N143)</f>
        <v>2</v>
      </c>
      <c r="AN143" s="37">
        <f>IF(最佳化斷筋點!O143="","",最佳化斷筋點!O143)</f>
        <v>3</v>
      </c>
      <c r="AO143" s="37">
        <f>IF(最佳化斷筋點!P143="","",最佳化斷筋點!P143)</f>
        <v>3</v>
      </c>
      <c r="AP143" s="37">
        <f>IF(最佳化斷筋點!Q143="","",最佳化斷筋點!Q143)</f>
        <v>5</v>
      </c>
      <c r="AQ143" s="37">
        <f>IF(最佳化斷筋點!R143="","",最佳化斷筋點!R143)</f>
        <v>6</v>
      </c>
      <c r="AR143" s="37">
        <f>IF(最佳化斷筋點!S143="","",最佳化斷筋點!S143)</f>
        <v>7</v>
      </c>
      <c r="AS143" s="37">
        <f>IF(最佳化斷筋點!T143="","",最佳化斷筋點!T143)</f>
        <v>8</v>
      </c>
      <c r="AT143" s="37">
        <f>IF(最佳化斷筋點!U143="","",最佳化斷筋點!U143)</f>
        <v>9</v>
      </c>
      <c r="AU143" s="37">
        <f>IF(最佳化斷筋點!V143="","",最佳化斷筋點!V143)</f>
        <v>9</v>
      </c>
      <c r="AV143" s="37">
        <f>IF(最佳化斷筋點!W143="","",最佳化斷筋點!W143)</f>
        <v>9</v>
      </c>
      <c r="AW143" s="37">
        <f>IF(最佳化斷筋點!X143="","",最佳化斷筋點!X143)</f>
        <v>9</v>
      </c>
      <c r="AY143" s="6" t="s">
        <v>20</v>
      </c>
      <c r="AZ143" s="37">
        <v>7</v>
      </c>
      <c r="BA143" s="37">
        <v>7</v>
      </c>
      <c r="BB143" s="37">
        <v>7</v>
      </c>
      <c r="BC143" s="37">
        <v>7</v>
      </c>
      <c r="BD143" s="37">
        <v>7</v>
      </c>
      <c r="BE143" s="37">
        <v>6</v>
      </c>
      <c r="BF143" s="37">
        <v>6</v>
      </c>
      <c r="BG143" s="37">
        <v>3</v>
      </c>
      <c r="BH143" s="37">
        <v>3</v>
      </c>
      <c r="BI143" s="37">
        <v>3</v>
      </c>
      <c r="BJ143" s="37">
        <v>2</v>
      </c>
      <c r="BK143" s="37">
        <v>3</v>
      </c>
      <c r="BL143" s="37">
        <v>3</v>
      </c>
      <c r="BM143" s="37">
        <v>5</v>
      </c>
      <c r="BN143" s="37">
        <v>6</v>
      </c>
      <c r="BO143" s="37">
        <v>7</v>
      </c>
      <c r="BP143" s="37">
        <v>8</v>
      </c>
      <c r="BQ143" s="37">
        <v>9</v>
      </c>
      <c r="BR143" s="37">
        <v>9</v>
      </c>
      <c r="BS143" s="37">
        <v>9</v>
      </c>
      <c r="BT143" s="37">
        <v>9</v>
      </c>
    </row>
    <row r="144" spans="5:72" x14ac:dyDescent="0.25">
      <c r="F144" s="6">
        <f t="shared" si="43"/>
        <v>0</v>
      </c>
      <c r="G144" s="6">
        <f t="shared" si="44"/>
        <v>0</v>
      </c>
      <c r="H144" s="6">
        <f t="shared" si="45"/>
        <v>0</v>
      </c>
      <c r="I144" s="6">
        <f t="shared" si="46"/>
        <v>0</v>
      </c>
      <c r="J144" s="6">
        <f t="shared" si="47"/>
        <v>0</v>
      </c>
      <c r="K144" s="6">
        <f t="shared" si="48"/>
        <v>0</v>
      </c>
      <c r="L144" s="6">
        <f t="shared" si="49"/>
        <v>0</v>
      </c>
      <c r="M144" s="6">
        <f t="shared" si="50"/>
        <v>0</v>
      </c>
      <c r="N144" s="6">
        <f t="shared" si="51"/>
        <v>0</v>
      </c>
      <c r="O144" s="6">
        <f t="shared" si="52"/>
        <v>0</v>
      </c>
      <c r="P144" s="6">
        <f t="shared" si="53"/>
        <v>0</v>
      </c>
      <c r="Q144" s="6">
        <f t="shared" si="54"/>
        <v>0</v>
      </c>
      <c r="R144" s="6">
        <f t="shared" si="55"/>
        <v>0</v>
      </c>
      <c r="S144" s="6">
        <f t="shared" si="56"/>
        <v>0</v>
      </c>
      <c r="T144" s="6">
        <f t="shared" si="57"/>
        <v>0</v>
      </c>
      <c r="U144" s="6">
        <f t="shared" si="58"/>
        <v>0</v>
      </c>
      <c r="V144" s="6">
        <f t="shared" si="59"/>
        <v>0</v>
      </c>
      <c r="W144" s="6">
        <f t="shared" si="60"/>
        <v>0</v>
      </c>
      <c r="X144" s="6">
        <f t="shared" si="61"/>
        <v>0</v>
      </c>
      <c r="Y144" s="6">
        <f t="shared" si="62"/>
        <v>0</v>
      </c>
      <c r="Z144" s="6">
        <f t="shared" si="63"/>
        <v>0</v>
      </c>
      <c r="AB144" s="36" t="str">
        <f>IF(最佳化斷筋點!C144="","",最佳化斷筋點!C144)</f>
        <v/>
      </c>
      <c r="AC144" s="37" t="str">
        <f>IF(最佳化斷筋點!D144="","",最佳化斷筋點!D144)</f>
        <v/>
      </c>
      <c r="AD144" s="37" t="str">
        <f>IF(最佳化斷筋點!E144="","",最佳化斷筋點!E144)</f>
        <v/>
      </c>
      <c r="AE144" s="37" t="str">
        <f>IF(最佳化斷筋點!F144="","",最佳化斷筋點!F144)</f>
        <v/>
      </c>
      <c r="AF144" s="37" t="str">
        <f>IF(最佳化斷筋點!G144="","",最佳化斷筋點!G144)</f>
        <v/>
      </c>
      <c r="AG144" s="37" t="str">
        <f>IF(最佳化斷筋點!H144="","",最佳化斷筋點!H144)</f>
        <v/>
      </c>
      <c r="AH144" s="37" t="str">
        <f>IF(最佳化斷筋點!I144="","",最佳化斷筋點!I144)</f>
        <v/>
      </c>
      <c r="AI144" s="37" t="str">
        <f>IF(最佳化斷筋點!J144="","",最佳化斷筋點!J144)</f>
        <v/>
      </c>
      <c r="AJ144" s="37" t="str">
        <f>IF(最佳化斷筋點!K144="","",最佳化斷筋點!K144)</f>
        <v/>
      </c>
      <c r="AK144" s="37" t="str">
        <f>IF(最佳化斷筋點!L144="","",最佳化斷筋點!L144)</f>
        <v/>
      </c>
      <c r="AL144" s="37" t="str">
        <f>IF(最佳化斷筋點!M144="","",最佳化斷筋點!M144)</f>
        <v/>
      </c>
      <c r="AM144" s="37" t="str">
        <f>IF(最佳化斷筋點!N144="","",最佳化斷筋點!N144)</f>
        <v/>
      </c>
      <c r="AN144" s="37" t="str">
        <f>IF(最佳化斷筋點!O144="","",最佳化斷筋點!O144)</f>
        <v/>
      </c>
      <c r="AO144" s="37" t="str">
        <f>IF(最佳化斷筋點!P144="","",最佳化斷筋點!P144)</f>
        <v/>
      </c>
      <c r="AP144" s="37" t="str">
        <f>IF(最佳化斷筋點!Q144="","",最佳化斷筋點!Q144)</f>
        <v/>
      </c>
      <c r="AQ144" s="37" t="str">
        <f>IF(最佳化斷筋點!R144="","",最佳化斷筋點!R144)</f>
        <v/>
      </c>
      <c r="AR144" s="37" t="str">
        <f>IF(最佳化斷筋點!S144="","",最佳化斷筋點!S144)</f>
        <v/>
      </c>
      <c r="AS144" s="37" t="str">
        <f>IF(最佳化斷筋點!T144="","",最佳化斷筋點!T144)</f>
        <v/>
      </c>
      <c r="AT144" s="37" t="str">
        <f>IF(最佳化斷筋點!U144="","",最佳化斷筋點!U144)</f>
        <v/>
      </c>
      <c r="AU144" s="37" t="str">
        <f>IF(最佳化斷筋點!V144="","",最佳化斷筋點!V144)</f>
        <v/>
      </c>
      <c r="AV144" s="37" t="str">
        <f>IF(最佳化斷筋點!W144="","",最佳化斷筋點!W144)</f>
        <v/>
      </c>
      <c r="AW144" s="37" t="str">
        <f>IF(最佳化斷筋點!X144="","",最佳化斷筋點!X144)</f>
        <v/>
      </c>
      <c r="AZ144" s="37" t="s">
        <v>197</v>
      </c>
      <c r="BA144" s="37" t="s">
        <v>197</v>
      </c>
      <c r="BB144" s="37" t="s">
        <v>197</v>
      </c>
      <c r="BC144" s="37" t="s">
        <v>197</v>
      </c>
      <c r="BD144" s="37" t="s">
        <v>197</v>
      </c>
      <c r="BE144" s="37" t="s">
        <v>197</v>
      </c>
      <c r="BF144" s="37" t="s">
        <v>197</v>
      </c>
      <c r="BG144" s="37" t="s">
        <v>197</v>
      </c>
      <c r="BH144" s="37" t="s">
        <v>197</v>
      </c>
      <c r="BI144" s="37" t="s">
        <v>197</v>
      </c>
      <c r="BJ144" s="37" t="s">
        <v>197</v>
      </c>
      <c r="BK144" s="37" t="s">
        <v>197</v>
      </c>
      <c r="BL144" s="37" t="s">
        <v>197</v>
      </c>
      <c r="BM144" s="37" t="s">
        <v>197</v>
      </c>
      <c r="BN144" s="37" t="s">
        <v>197</v>
      </c>
      <c r="BO144" s="37" t="s">
        <v>197</v>
      </c>
      <c r="BP144" s="37" t="s">
        <v>197</v>
      </c>
      <c r="BQ144" s="37" t="s">
        <v>197</v>
      </c>
      <c r="BR144" s="37" t="s">
        <v>197</v>
      </c>
      <c r="BS144" s="37" t="s">
        <v>197</v>
      </c>
      <c r="BT144" s="37" t="s">
        <v>197</v>
      </c>
    </row>
    <row r="145" spans="5:72" x14ac:dyDescent="0.25">
      <c r="E145" s="6" t="s">
        <v>21</v>
      </c>
      <c r="F145" s="6">
        <f t="shared" si="43"/>
        <v>0</v>
      </c>
      <c r="G145" s="6">
        <f t="shared" si="44"/>
        <v>0</v>
      </c>
      <c r="H145" s="6">
        <f t="shared" si="45"/>
        <v>0</v>
      </c>
      <c r="I145" s="6">
        <f t="shared" si="46"/>
        <v>0</v>
      </c>
      <c r="J145" s="6">
        <f t="shared" si="47"/>
        <v>0</v>
      </c>
      <c r="K145" s="6">
        <f t="shared" si="48"/>
        <v>0</v>
      </c>
      <c r="L145" s="6">
        <f t="shared" si="49"/>
        <v>0</v>
      </c>
      <c r="M145" s="6">
        <f t="shared" si="50"/>
        <v>0</v>
      </c>
      <c r="N145" s="6">
        <f t="shared" si="51"/>
        <v>0</v>
      </c>
      <c r="O145" s="6">
        <f t="shared" si="52"/>
        <v>0</v>
      </c>
      <c r="P145" s="6">
        <f t="shared" si="53"/>
        <v>0</v>
      </c>
      <c r="Q145" s="6">
        <f t="shared" si="54"/>
        <v>0</v>
      </c>
      <c r="R145" s="6">
        <f t="shared" si="55"/>
        <v>0</v>
      </c>
      <c r="S145" s="6">
        <f t="shared" si="56"/>
        <v>0</v>
      </c>
      <c r="T145" s="6">
        <f t="shared" si="57"/>
        <v>0</v>
      </c>
      <c r="U145" s="6">
        <f t="shared" si="58"/>
        <v>0</v>
      </c>
      <c r="V145" s="6">
        <f t="shared" si="59"/>
        <v>0</v>
      </c>
      <c r="W145" s="6">
        <f t="shared" si="60"/>
        <v>0</v>
      </c>
      <c r="X145" s="6">
        <f t="shared" si="61"/>
        <v>0</v>
      </c>
      <c r="Y145" s="6">
        <f t="shared" si="62"/>
        <v>0</v>
      </c>
      <c r="Z145" s="6">
        <f t="shared" si="63"/>
        <v>0</v>
      </c>
      <c r="AB145" s="36" t="str">
        <f>IF(最佳化斷筋點!C145="","",最佳化斷筋點!C145)</f>
        <v>下層</v>
      </c>
      <c r="AC145" s="37">
        <f>IF(最佳化斷筋點!D145="","",最佳化斷筋點!D145)</f>
        <v>4</v>
      </c>
      <c r="AD145" s="37">
        <f>IF(最佳化斷筋點!E145="","",最佳化斷筋點!E145)</f>
        <v>4</v>
      </c>
      <c r="AE145" s="37">
        <f>IF(最佳化斷筋點!F145="","",最佳化斷筋點!F145)</f>
        <v>4</v>
      </c>
      <c r="AF145" s="37">
        <f>IF(最佳化斷筋點!G145="","",最佳化斷筋點!G145)</f>
        <v>4</v>
      </c>
      <c r="AG145" s="37">
        <f>IF(最佳化斷筋點!H145="","",最佳化斷筋點!H145)</f>
        <v>4</v>
      </c>
      <c r="AH145" s="37">
        <f>IF(最佳化斷筋點!I145="","",最佳化斷筋點!I145)</f>
        <v>4</v>
      </c>
      <c r="AI145" s="37">
        <f>IF(最佳化斷筋點!J145="","",最佳化斷筋點!J145)</f>
        <v>4</v>
      </c>
      <c r="AJ145" s="37">
        <f>IF(最佳化斷筋點!K145="","",最佳化斷筋點!K145)</f>
        <v>4</v>
      </c>
      <c r="AK145" s="37">
        <f>IF(最佳化斷筋點!L145="","",最佳化斷筋點!L145)</f>
        <v>4</v>
      </c>
      <c r="AL145" s="37">
        <f>IF(最佳化斷筋點!M145="","",最佳化斷筋點!M145)</f>
        <v>4</v>
      </c>
      <c r="AM145" s="37">
        <f>IF(最佳化斷筋點!N145="","",最佳化斷筋點!N145)</f>
        <v>4</v>
      </c>
      <c r="AN145" s="37">
        <f>IF(最佳化斷筋點!O145="","",最佳化斷筋點!O145)</f>
        <v>4</v>
      </c>
      <c r="AO145" s="37">
        <f>IF(最佳化斷筋點!P145="","",最佳化斷筋點!P145)</f>
        <v>4</v>
      </c>
      <c r="AP145" s="37">
        <f>IF(最佳化斷筋點!Q145="","",最佳化斷筋點!Q145)</f>
        <v>4</v>
      </c>
      <c r="AQ145" s="37">
        <f>IF(最佳化斷筋點!R145="","",最佳化斷筋點!R145)</f>
        <v>4</v>
      </c>
      <c r="AR145" s="37">
        <f>IF(最佳化斷筋點!S145="","",最佳化斷筋點!S145)</f>
        <v>4</v>
      </c>
      <c r="AS145" s="37">
        <f>IF(最佳化斷筋點!T145="","",最佳化斷筋點!T145)</f>
        <v>4</v>
      </c>
      <c r="AT145" s="37">
        <f>IF(最佳化斷筋點!U145="","",最佳化斷筋點!U145)</f>
        <v>5</v>
      </c>
      <c r="AU145" s="37">
        <f>IF(最佳化斷筋點!V145="","",最佳化斷筋點!V145)</f>
        <v>5</v>
      </c>
      <c r="AV145" s="37">
        <f>IF(最佳化斷筋點!W145="","",最佳化斷筋點!W145)</f>
        <v>5</v>
      </c>
      <c r="AW145" s="37">
        <f>IF(最佳化斷筋點!X145="","",最佳化斷筋點!X145)</f>
        <v>5</v>
      </c>
      <c r="AY145" s="6" t="s">
        <v>21</v>
      </c>
      <c r="AZ145" s="37">
        <v>4</v>
      </c>
      <c r="BA145" s="37">
        <v>4</v>
      </c>
      <c r="BB145" s="37">
        <v>4</v>
      </c>
      <c r="BC145" s="37">
        <v>4</v>
      </c>
      <c r="BD145" s="37">
        <v>4</v>
      </c>
      <c r="BE145" s="37">
        <v>4</v>
      </c>
      <c r="BF145" s="37">
        <v>4</v>
      </c>
      <c r="BG145" s="37">
        <v>4</v>
      </c>
      <c r="BH145" s="37">
        <v>4</v>
      </c>
      <c r="BI145" s="37">
        <v>4</v>
      </c>
      <c r="BJ145" s="37">
        <v>4</v>
      </c>
      <c r="BK145" s="37">
        <v>4</v>
      </c>
      <c r="BL145" s="37">
        <v>4</v>
      </c>
      <c r="BM145" s="37">
        <v>4</v>
      </c>
      <c r="BN145" s="37">
        <v>4</v>
      </c>
      <c r="BO145" s="37">
        <v>4</v>
      </c>
      <c r="BP145" s="37">
        <v>4</v>
      </c>
      <c r="BQ145" s="37">
        <v>5</v>
      </c>
      <c r="BR145" s="37">
        <v>5</v>
      </c>
      <c r="BS145" s="37">
        <v>5</v>
      </c>
      <c r="BT145" s="37">
        <v>5</v>
      </c>
    </row>
    <row r="146" spans="5:72" x14ac:dyDescent="0.25">
      <c r="F146" s="6">
        <f t="shared" si="43"/>
        <v>0</v>
      </c>
      <c r="G146" s="6">
        <f t="shared" si="44"/>
        <v>0</v>
      </c>
      <c r="H146" s="6">
        <f t="shared" si="45"/>
        <v>0</v>
      </c>
      <c r="I146" s="6">
        <f t="shared" si="46"/>
        <v>0</v>
      </c>
      <c r="J146" s="6">
        <f t="shared" si="47"/>
        <v>0</v>
      </c>
      <c r="K146" s="6">
        <f t="shared" si="48"/>
        <v>0</v>
      </c>
      <c r="L146" s="6">
        <f t="shared" si="49"/>
        <v>0</v>
      </c>
      <c r="M146" s="6">
        <f t="shared" si="50"/>
        <v>0</v>
      </c>
      <c r="N146" s="6">
        <f t="shared" si="51"/>
        <v>0</v>
      </c>
      <c r="O146" s="6">
        <f t="shared" si="52"/>
        <v>0</v>
      </c>
      <c r="P146" s="6">
        <f t="shared" si="53"/>
        <v>0</v>
      </c>
      <c r="Q146" s="6">
        <f t="shared" si="54"/>
        <v>0</v>
      </c>
      <c r="R146" s="6">
        <f t="shared" si="55"/>
        <v>0</v>
      </c>
      <c r="S146" s="6">
        <f t="shared" si="56"/>
        <v>0</v>
      </c>
      <c r="T146" s="6">
        <f t="shared" si="57"/>
        <v>0</v>
      </c>
      <c r="U146" s="6">
        <f t="shared" si="58"/>
        <v>0</v>
      </c>
      <c r="V146" s="6">
        <f t="shared" si="59"/>
        <v>0</v>
      </c>
      <c r="W146" s="6">
        <f t="shared" si="60"/>
        <v>0</v>
      </c>
      <c r="X146" s="6">
        <f t="shared" si="61"/>
        <v>0</v>
      </c>
      <c r="Y146" s="6">
        <f t="shared" si="62"/>
        <v>0</v>
      </c>
      <c r="Z146" s="6">
        <f t="shared" si="63"/>
        <v>0</v>
      </c>
      <c r="AB146" s="36" t="str">
        <f>IF(最佳化斷筋點!C146="","",最佳化斷筋點!C146)</f>
        <v/>
      </c>
      <c r="AC146" s="37" t="str">
        <f>IF(最佳化斷筋點!D146="","",最佳化斷筋點!D146)</f>
        <v/>
      </c>
      <c r="AD146" s="37" t="str">
        <f>IF(最佳化斷筋點!E146="","",最佳化斷筋點!E146)</f>
        <v/>
      </c>
      <c r="AE146" s="37" t="str">
        <f>IF(最佳化斷筋點!F146="","",最佳化斷筋點!F146)</f>
        <v/>
      </c>
      <c r="AF146" s="37" t="str">
        <f>IF(最佳化斷筋點!G146="","",最佳化斷筋點!G146)</f>
        <v/>
      </c>
      <c r="AG146" s="37" t="str">
        <f>IF(最佳化斷筋點!H146="","",最佳化斷筋點!H146)</f>
        <v/>
      </c>
      <c r="AH146" s="37" t="str">
        <f>IF(最佳化斷筋點!I146="","",最佳化斷筋點!I146)</f>
        <v/>
      </c>
      <c r="AI146" s="37" t="str">
        <f>IF(最佳化斷筋點!J146="","",最佳化斷筋點!J146)</f>
        <v/>
      </c>
      <c r="AJ146" s="37" t="str">
        <f>IF(最佳化斷筋點!K146="","",最佳化斷筋點!K146)</f>
        <v/>
      </c>
      <c r="AK146" s="37" t="str">
        <f>IF(最佳化斷筋點!L146="","",最佳化斷筋點!L146)</f>
        <v/>
      </c>
      <c r="AL146" s="37" t="str">
        <f>IF(最佳化斷筋點!M146="","",最佳化斷筋點!M146)</f>
        <v/>
      </c>
      <c r="AM146" s="37" t="str">
        <f>IF(最佳化斷筋點!N146="","",最佳化斷筋點!N146)</f>
        <v/>
      </c>
      <c r="AN146" s="37" t="str">
        <f>IF(最佳化斷筋點!O146="","",最佳化斷筋點!O146)</f>
        <v/>
      </c>
      <c r="AO146" s="37" t="str">
        <f>IF(最佳化斷筋點!P146="","",最佳化斷筋點!P146)</f>
        <v/>
      </c>
      <c r="AP146" s="37" t="str">
        <f>IF(最佳化斷筋點!Q146="","",最佳化斷筋點!Q146)</f>
        <v/>
      </c>
      <c r="AQ146" s="37" t="str">
        <f>IF(最佳化斷筋點!R146="","",最佳化斷筋點!R146)</f>
        <v/>
      </c>
      <c r="AR146" s="37" t="str">
        <f>IF(最佳化斷筋點!S146="","",最佳化斷筋點!S146)</f>
        <v/>
      </c>
      <c r="AS146" s="37" t="str">
        <f>IF(最佳化斷筋點!T146="","",最佳化斷筋點!T146)</f>
        <v/>
      </c>
      <c r="AT146" s="37" t="str">
        <f>IF(最佳化斷筋點!U146="","",最佳化斷筋點!U146)</f>
        <v/>
      </c>
      <c r="AU146" s="37" t="str">
        <f>IF(最佳化斷筋點!V146="","",最佳化斷筋點!V146)</f>
        <v/>
      </c>
      <c r="AV146" s="37" t="str">
        <f>IF(最佳化斷筋點!W146="","",最佳化斷筋點!W146)</f>
        <v/>
      </c>
      <c r="AW146" s="37" t="str">
        <f>IF(最佳化斷筋點!X146="","",最佳化斷筋點!X146)</f>
        <v/>
      </c>
      <c r="AZ146" s="37" t="s">
        <v>197</v>
      </c>
      <c r="BA146" s="37" t="s">
        <v>197</v>
      </c>
      <c r="BB146" s="37" t="s">
        <v>197</v>
      </c>
      <c r="BC146" s="37" t="s">
        <v>197</v>
      </c>
      <c r="BD146" s="37" t="s">
        <v>197</v>
      </c>
      <c r="BE146" s="37" t="s">
        <v>197</v>
      </c>
      <c r="BF146" s="37" t="s">
        <v>197</v>
      </c>
      <c r="BG146" s="37" t="s">
        <v>197</v>
      </c>
      <c r="BH146" s="37" t="s">
        <v>197</v>
      </c>
      <c r="BI146" s="37" t="s">
        <v>197</v>
      </c>
      <c r="BJ146" s="37" t="s">
        <v>197</v>
      </c>
      <c r="BK146" s="37" t="s">
        <v>197</v>
      </c>
      <c r="BL146" s="37" t="s">
        <v>197</v>
      </c>
      <c r="BM146" s="37" t="s">
        <v>197</v>
      </c>
      <c r="BN146" s="37" t="s">
        <v>197</v>
      </c>
      <c r="BO146" s="37" t="s">
        <v>197</v>
      </c>
      <c r="BP146" s="37" t="s">
        <v>197</v>
      </c>
      <c r="BQ146" s="37" t="s">
        <v>197</v>
      </c>
      <c r="BR146" s="37" t="s">
        <v>197</v>
      </c>
      <c r="BS146" s="37" t="s">
        <v>197</v>
      </c>
      <c r="BT146" s="37" t="s">
        <v>197</v>
      </c>
    </row>
    <row r="147" spans="5:72" x14ac:dyDescent="0.25">
      <c r="E147" s="6" t="s">
        <v>20</v>
      </c>
      <c r="F147" s="6">
        <f t="shared" si="43"/>
        <v>0</v>
      </c>
      <c r="G147" s="6">
        <f t="shared" si="44"/>
        <v>0</v>
      </c>
      <c r="H147" s="6">
        <f t="shared" si="45"/>
        <v>0</v>
      </c>
      <c r="I147" s="6">
        <f t="shared" si="46"/>
        <v>0</v>
      </c>
      <c r="J147" s="6">
        <f t="shared" si="47"/>
        <v>0</v>
      </c>
      <c r="K147" s="6">
        <f t="shared" si="48"/>
        <v>0</v>
      </c>
      <c r="L147" s="6">
        <f t="shared" si="49"/>
        <v>0</v>
      </c>
      <c r="M147" s="6">
        <f t="shared" si="50"/>
        <v>0</v>
      </c>
      <c r="N147" s="6">
        <f t="shared" si="51"/>
        <v>0</v>
      </c>
      <c r="O147" s="6">
        <f t="shared" si="52"/>
        <v>0</v>
      </c>
      <c r="P147" s="6">
        <f t="shared" si="53"/>
        <v>0</v>
      </c>
      <c r="Q147" s="6">
        <f t="shared" si="54"/>
        <v>0</v>
      </c>
      <c r="R147" s="6">
        <f t="shared" si="55"/>
        <v>0</v>
      </c>
      <c r="S147" s="6">
        <f t="shared" si="56"/>
        <v>0</v>
      </c>
      <c r="T147" s="6">
        <f t="shared" si="57"/>
        <v>0</v>
      </c>
      <c r="U147" s="6">
        <f t="shared" si="58"/>
        <v>0</v>
      </c>
      <c r="V147" s="6">
        <f t="shared" si="59"/>
        <v>0</v>
      </c>
      <c r="W147" s="6">
        <f t="shared" si="60"/>
        <v>0</v>
      </c>
      <c r="X147" s="6">
        <f t="shared" si="61"/>
        <v>0</v>
      </c>
      <c r="Y147" s="6">
        <f t="shared" si="62"/>
        <v>0</v>
      </c>
      <c r="Z147" s="6">
        <f t="shared" si="63"/>
        <v>0</v>
      </c>
      <c r="AB147" s="36" t="str">
        <f>IF(最佳化斷筋點!C147="","",最佳化斷筋點!C147)</f>
        <v>上層</v>
      </c>
      <c r="AC147" s="37">
        <f>IF(最佳化斷筋點!D147="","",最佳化斷筋點!D147)</f>
        <v>8</v>
      </c>
      <c r="AD147" s="37">
        <f>IF(最佳化斷筋點!E147="","",最佳化斷筋點!E147)</f>
        <v>8</v>
      </c>
      <c r="AE147" s="37">
        <f>IF(最佳化斷筋點!F147="","",最佳化斷筋點!F147)</f>
        <v>8</v>
      </c>
      <c r="AF147" s="37">
        <f>IF(最佳化斷筋點!G147="","",最佳化斷筋點!G147)</f>
        <v>8</v>
      </c>
      <c r="AG147" s="37">
        <f>IF(最佳化斷筋點!H147="","",最佳化斷筋點!H147)</f>
        <v>8</v>
      </c>
      <c r="AH147" s="37">
        <f>IF(最佳化斷筋點!I147="","",最佳化斷筋點!I147)</f>
        <v>7</v>
      </c>
      <c r="AI147" s="37">
        <f>IF(最佳化斷筋點!J147="","",最佳化斷筋點!J147)</f>
        <v>6</v>
      </c>
      <c r="AJ147" s="37">
        <f>IF(最佳化斷筋點!K147="","",最佳化斷筋點!K147)</f>
        <v>3</v>
      </c>
      <c r="AK147" s="37">
        <f>IF(最佳化斷筋點!L147="","",最佳化斷筋點!L147)</f>
        <v>3</v>
      </c>
      <c r="AL147" s="37">
        <f>IF(最佳化斷筋點!M147="","",最佳化斷筋點!M147)</f>
        <v>3</v>
      </c>
      <c r="AM147" s="37">
        <f>IF(最佳化斷筋點!N147="","",最佳化斷筋點!N147)</f>
        <v>3</v>
      </c>
      <c r="AN147" s="37">
        <f>IF(最佳化斷筋點!O147="","",最佳化斷筋點!O147)</f>
        <v>3</v>
      </c>
      <c r="AO147" s="37">
        <f>IF(最佳化斷筋點!P147="","",最佳化斷筋點!P147)</f>
        <v>3</v>
      </c>
      <c r="AP147" s="37">
        <f>IF(最佳化斷筋點!Q147="","",最佳化斷筋點!Q147)</f>
        <v>5</v>
      </c>
      <c r="AQ147" s="37">
        <f>IF(最佳化斷筋點!R147="","",最佳化斷筋點!R147)</f>
        <v>6</v>
      </c>
      <c r="AR147" s="37">
        <f>IF(最佳化斷筋點!S147="","",最佳化斷筋點!S147)</f>
        <v>7</v>
      </c>
      <c r="AS147" s="37">
        <f>IF(最佳化斷筋點!T147="","",最佳化斷筋點!T147)</f>
        <v>8</v>
      </c>
      <c r="AT147" s="37">
        <f>IF(最佳化斷筋點!U147="","",最佳化斷筋點!U147)</f>
        <v>9</v>
      </c>
      <c r="AU147" s="37">
        <f>IF(最佳化斷筋點!V147="","",最佳化斷筋點!V147)</f>
        <v>9</v>
      </c>
      <c r="AV147" s="37">
        <f>IF(最佳化斷筋點!W147="","",最佳化斷筋點!W147)</f>
        <v>9</v>
      </c>
      <c r="AW147" s="37">
        <f>IF(最佳化斷筋點!X147="","",最佳化斷筋點!X147)</f>
        <v>9</v>
      </c>
      <c r="AY147" s="6" t="s">
        <v>20</v>
      </c>
      <c r="AZ147" s="37">
        <v>8</v>
      </c>
      <c r="BA147" s="37">
        <v>8</v>
      </c>
      <c r="BB147" s="37">
        <v>8</v>
      </c>
      <c r="BC147" s="37">
        <v>8</v>
      </c>
      <c r="BD147" s="37">
        <v>8</v>
      </c>
      <c r="BE147" s="37">
        <v>7</v>
      </c>
      <c r="BF147" s="37">
        <v>6</v>
      </c>
      <c r="BG147" s="37">
        <v>3</v>
      </c>
      <c r="BH147" s="37">
        <v>3</v>
      </c>
      <c r="BI147" s="37">
        <v>3</v>
      </c>
      <c r="BJ147" s="37">
        <v>3</v>
      </c>
      <c r="BK147" s="37">
        <v>3</v>
      </c>
      <c r="BL147" s="37">
        <v>3</v>
      </c>
      <c r="BM147" s="37">
        <v>5</v>
      </c>
      <c r="BN147" s="37">
        <v>6</v>
      </c>
      <c r="BO147" s="37">
        <v>7</v>
      </c>
      <c r="BP147" s="37">
        <v>8</v>
      </c>
      <c r="BQ147" s="37">
        <v>9</v>
      </c>
      <c r="BR147" s="37">
        <v>9</v>
      </c>
      <c r="BS147" s="37">
        <v>9</v>
      </c>
      <c r="BT147" s="37">
        <v>9</v>
      </c>
    </row>
    <row r="148" spans="5:72" x14ac:dyDescent="0.25">
      <c r="F148" s="6">
        <f t="shared" si="43"/>
        <v>0</v>
      </c>
      <c r="G148" s="6">
        <f t="shared" si="44"/>
        <v>0</v>
      </c>
      <c r="H148" s="6">
        <f t="shared" si="45"/>
        <v>0</v>
      </c>
      <c r="I148" s="6">
        <f t="shared" si="46"/>
        <v>0</v>
      </c>
      <c r="J148" s="6">
        <f t="shared" si="47"/>
        <v>0</v>
      </c>
      <c r="K148" s="6">
        <f t="shared" si="48"/>
        <v>0</v>
      </c>
      <c r="L148" s="6">
        <f t="shared" si="49"/>
        <v>0</v>
      </c>
      <c r="M148" s="6">
        <f t="shared" si="50"/>
        <v>0</v>
      </c>
      <c r="N148" s="6">
        <f t="shared" si="51"/>
        <v>0</v>
      </c>
      <c r="O148" s="6">
        <f t="shared" si="52"/>
        <v>0</v>
      </c>
      <c r="P148" s="6">
        <f t="shared" si="53"/>
        <v>0</v>
      </c>
      <c r="Q148" s="6">
        <f t="shared" si="54"/>
        <v>0</v>
      </c>
      <c r="R148" s="6">
        <f t="shared" si="55"/>
        <v>0</v>
      </c>
      <c r="S148" s="6">
        <f t="shared" si="56"/>
        <v>0</v>
      </c>
      <c r="T148" s="6">
        <f t="shared" si="57"/>
        <v>0</v>
      </c>
      <c r="U148" s="6">
        <f t="shared" si="58"/>
        <v>0</v>
      </c>
      <c r="V148" s="6">
        <f t="shared" si="59"/>
        <v>0</v>
      </c>
      <c r="W148" s="6">
        <f t="shared" si="60"/>
        <v>0</v>
      </c>
      <c r="X148" s="6">
        <f t="shared" si="61"/>
        <v>0</v>
      </c>
      <c r="Y148" s="6">
        <f t="shared" si="62"/>
        <v>0</v>
      </c>
      <c r="Z148" s="6">
        <f t="shared" si="63"/>
        <v>0</v>
      </c>
      <c r="AB148" s="36" t="str">
        <f>IF(最佳化斷筋點!C148="","",最佳化斷筋點!C148)</f>
        <v/>
      </c>
      <c r="AC148" s="37" t="str">
        <f>IF(最佳化斷筋點!D148="","",最佳化斷筋點!D148)</f>
        <v/>
      </c>
      <c r="AD148" s="37" t="str">
        <f>IF(最佳化斷筋點!E148="","",最佳化斷筋點!E148)</f>
        <v/>
      </c>
      <c r="AE148" s="37" t="str">
        <f>IF(最佳化斷筋點!F148="","",最佳化斷筋點!F148)</f>
        <v/>
      </c>
      <c r="AF148" s="37" t="str">
        <f>IF(最佳化斷筋點!G148="","",最佳化斷筋點!G148)</f>
        <v/>
      </c>
      <c r="AG148" s="37" t="str">
        <f>IF(最佳化斷筋點!H148="","",最佳化斷筋點!H148)</f>
        <v/>
      </c>
      <c r="AH148" s="37" t="str">
        <f>IF(最佳化斷筋點!I148="","",最佳化斷筋點!I148)</f>
        <v/>
      </c>
      <c r="AI148" s="37" t="str">
        <f>IF(最佳化斷筋點!J148="","",最佳化斷筋點!J148)</f>
        <v/>
      </c>
      <c r="AJ148" s="37" t="str">
        <f>IF(最佳化斷筋點!K148="","",最佳化斷筋點!K148)</f>
        <v/>
      </c>
      <c r="AK148" s="37" t="str">
        <f>IF(最佳化斷筋點!L148="","",最佳化斷筋點!L148)</f>
        <v/>
      </c>
      <c r="AL148" s="37" t="str">
        <f>IF(最佳化斷筋點!M148="","",最佳化斷筋點!M148)</f>
        <v/>
      </c>
      <c r="AM148" s="37" t="str">
        <f>IF(最佳化斷筋點!N148="","",最佳化斷筋點!N148)</f>
        <v/>
      </c>
      <c r="AN148" s="37" t="str">
        <f>IF(最佳化斷筋點!O148="","",最佳化斷筋點!O148)</f>
        <v/>
      </c>
      <c r="AO148" s="37" t="str">
        <f>IF(最佳化斷筋點!P148="","",最佳化斷筋點!P148)</f>
        <v/>
      </c>
      <c r="AP148" s="37" t="str">
        <f>IF(最佳化斷筋點!Q148="","",最佳化斷筋點!Q148)</f>
        <v/>
      </c>
      <c r="AQ148" s="37" t="str">
        <f>IF(最佳化斷筋點!R148="","",最佳化斷筋點!R148)</f>
        <v/>
      </c>
      <c r="AR148" s="37" t="str">
        <f>IF(最佳化斷筋點!S148="","",最佳化斷筋點!S148)</f>
        <v/>
      </c>
      <c r="AS148" s="37" t="str">
        <f>IF(最佳化斷筋點!T148="","",最佳化斷筋點!T148)</f>
        <v/>
      </c>
      <c r="AT148" s="37" t="str">
        <f>IF(最佳化斷筋點!U148="","",最佳化斷筋點!U148)</f>
        <v/>
      </c>
      <c r="AU148" s="37" t="str">
        <f>IF(最佳化斷筋點!V148="","",最佳化斷筋點!V148)</f>
        <v/>
      </c>
      <c r="AV148" s="37" t="str">
        <f>IF(最佳化斷筋點!W148="","",最佳化斷筋點!W148)</f>
        <v/>
      </c>
      <c r="AW148" s="37" t="str">
        <f>IF(最佳化斷筋點!X148="","",最佳化斷筋點!X148)</f>
        <v/>
      </c>
      <c r="AZ148" s="37" t="s">
        <v>197</v>
      </c>
      <c r="BA148" s="37" t="s">
        <v>197</v>
      </c>
      <c r="BB148" s="37" t="s">
        <v>197</v>
      </c>
      <c r="BC148" s="37" t="s">
        <v>197</v>
      </c>
      <c r="BD148" s="37" t="s">
        <v>197</v>
      </c>
      <c r="BE148" s="37" t="s">
        <v>197</v>
      </c>
      <c r="BF148" s="37" t="s">
        <v>197</v>
      </c>
      <c r="BG148" s="37" t="s">
        <v>197</v>
      </c>
      <c r="BH148" s="37" t="s">
        <v>197</v>
      </c>
      <c r="BI148" s="37" t="s">
        <v>197</v>
      </c>
      <c r="BJ148" s="37" t="s">
        <v>197</v>
      </c>
      <c r="BK148" s="37" t="s">
        <v>197</v>
      </c>
      <c r="BL148" s="37" t="s">
        <v>197</v>
      </c>
      <c r="BM148" s="37" t="s">
        <v>197</v>
      </c>
      <c r="BN148" s="37" t="s">
        <v>197</v>
      </c>
      <c r="BO148" s="37" t="s">
        <v>197</v>
      </c>
      <c r="BP148" s="37" t="s">
        <v>197</v>
      </c>
      <c r="BQ148" s="37" t="s">
        <v>197</v>
      </c>
      <c r="BR148" s="37" t="s">
        <v>197</v>
      </c>
      <c r="BS148" s="37" t="s">
        <v>197</v>
      </c>
      <c r="BT148" s="37" t="s">
        <v>197</v>
      </c>
    </row>
    <row r="149" spans="5:72" x14ac:dyDescent="0.25">
      <c r="E149" s="6" t="s">
        <v>21</v>
      </c>
      <c r="F149" s="6">
        <f t="shared" si="43"/>
        <v>0</v>
      </c>
      <c r="G149" s="6">
        <f t="shared" si="44"/>
        <v>0</v>
      </c>
      <c r="H149" s="6">
        <f t="shared" si="45"/>
        <v>0</v>
      </c>
      <c r="I149" s="6">
        <f t="shared" si="46"/>
        <v>0</v>
      </c>
      <c r="J149" s="6">
        <f t="shared" si="47"/>
        <v>0</v>
      </c>
      <c r="K149" s="6">
        <f t="shared" si="48"/>
        <v>0</v>
      </c>
      <c r="L149" s="6">
        <f t="shared" si="49"/>
        <v>0</v>
      </c>
      <c r="M149" s="6">
        <f t="shared" si="50"/>
        <v>0</v>
      </c>
      <c r="N149" s="6">
        <f t="shared" si="51"/>
        <v>0</v>
      </c>
      <c r="O149" s="6">
        <f t="shared" si="52"/>
        <v>0</v>
      </c>
      <c r="P149" s="6">
        <f t="shared" si="53"/>
        <v>0</v>
      </c>
      <c r="Q149" s="6">
        <f t="shared" si="54"/>
        <v>0</v>
      </c>
      <c r="R149" s="6">
        <f t="shared" si="55"/>
        <v>0</v>
      </c>
      <c r="S149" s="6">
        <f t="shared" si="56"/>
        <v>0</v>
      </c>
      <c r="T149" s="6">
        <f t="shared" si="57"/>
        <v>0</v>
      </c>
      <c r="U149" s="6">
        <f t="shared" si="58"/>
        <v>0</v>
      </c>
      <c r="V149" s="6">
        <f t="shared" si="59"/>
        <v>0</v>
      </c>
      <c r="W149" s="6">
        <f t="shared" si="60"/>
        <v>0</v>
      </c>
      <c r="X149" s="6">
        <f t="shared" si="61"/>
        <v>0</v>
      </c>
      <c r="Y149" s="6">
        <f t="shared" si="62"/>
        <v>0</v>
      </c>
      <c r="Z149" s="6">
        <f t="shared" si="63"/>
        <v>0</v>
      </c>
      <c r="AB149" s="36" t="str">
        <f>IF(最佳化斷筋點!C149="","",最佳化斷筋點!C149)</f>
        <v>下層</v>
      </c>
      <c r="AC149" s="37">
        <f>IF(最佳化斷筋點!D149="","",最佳化斷筋點!D149)</f>
        <v>4</v>
      </c>
      <c r="AD149" s="37">
        <f>IF(最佳化斷筋點!E149="","",最佳化斷筋點!E149)</f>
        <v>4</v>
      </c>
      <c r="AE149" s="37">
        <f>IF(最佳化斷筋點!F149="","",最佳化斷筋點!F149)</f>
        <v>4</v>
      </c>
      <c r="AF149" s="37">
        <f>IF(最佳化斷筋點!G149="","",最佳化斷筋點!G149)</f>
        <v>4</v>
      </c>
      <c r="AG149" s="37">
        <f>IF(最佳化斷筋點!H149="","",最佳化斷筋點!H149)</f>
        <v>4</v>
      </c>
      <c r="AH149" s="37">
        <f>IF(最佳化斷筋點!I149="","",最佳化斷筋點!I149)</f>
        <v>4</v>
      </c>
      <c r="AI149" s="37">
        <f>IF(最佳化斷筋點!J149="","",最佳化斷筋點!J149)</f>
        <v>4</v>
      </c>
      <c r="AJ149" s="37">
        <f>IF(最佳化斷筋點!K149="","",最佳化斷筋點!K149)</f>
        <v>4</v>
      </c>
      <c r="AK149" s="37">
        <f>IF(最佳化斷筋點!L149="","",最佳化斷筋點!L149)</f>
        <v>4</v>
      </c>
      <c r="AL149" s="37">
        <f>IF(最佳化斷筋點!M149="","",最佳化斷筋點!M149)</f>
        <v>4</v>
      </c>
      <c r="AM149" s="37">
        <f>IF(最佳化斷筋點!N149="","",最佳化斷筋點!N149)</f>
        <v>4</v>
      </c>
      <c r="AN149" s="37">
        <f>IF(最佳化斷筋點!O149="","",最佳化斷筋點!O149)</f>
        <v>4</v>
      </c>
      <c r="AO149" s="37">
        <f>IF(最佳化斷筋點!P149="","",最佳化斷筋點!P149)</f>
        <v>4</v>
      </c>
      <c r="AP149" s="37">
        <f>IF(最佳化斷筋點!Q149="","",最佳化斷筋點!Q149)</f>
        <v>4</v>
      </c>
      <c r="AQ149" s="37">
        <f>IF(最佳化斷筋點!R149="","",最佳化斷筋點!R149)</f>
        <v>4</v>
      </c>
      <c r="AR149" s="37">
        <f>IF(最佳化斷筋點!S149="","",最佳化斷筋點!S149)</f>
        <v>4</v>
      </c>
      <c r="AS149" s="37">
        <f>IF(最佳化斷筋點!T149="","",最佳化斷筋點!T149)</f>
        <v>4</v>
      </c>
      <c r="AT149" s="37">
        <f>IF(最佳化斷筋點!U149="","",最佳化斷筋點!U149)</f>
        <v>5</v>
      </c>
      <c r="AU149" s="37">
        <f>IF(最佳化斷筋點!V149="","",最佳化斷筋點!V149)</f>
        <v>5</v>
      </c>
      <c r="AV149" s="37">
        <f>IF(最佳化斷筋點!W149="","",最佳化斷筋點!W149)</f>
        <v>5</v>
      </c>
      <c r="AW149" s="37">
        <f>IF(最佳化斷筋點!X149="","",最佳化斷筋點!X149)</f>
        <v>5</v>
      </c>
      <c r="AY149" s="6" t="s">
        <v>21</v>
      </c>
      <c r="AZ149" s="37">
        <v>4</v>
      </c>
      <c r="BA149" s="37">
        <v>4</v>
      </c>
      <c r="BB149" s="37">
        <v>4</v>
      </c>
      <c r="BC149" s="37">
        <v>4</v>
      </c>
      <c r="BD149" s="37">
        <v>4</v>
      </c>
      <c r="BE149" s="37">
        <v>4</v>
      </c>
      <c r="BF149" s="37">
        <v>4</v>
      </c>
      <c r="BG149" s="37">
        <v>4</v>
      </c>
      <c r="BH149" s="37">
        <v>4</v>
      </c>
      <c r="BI149" s="37">
        <v>4</v>
      </c>
      <c r="BJ149" s="37">
        <v>4</v>
      </c>
      <c r="BK149" s="37">
        <v>4</v>
      </c>
      <c r="BL149" s="37">
        <v>4</v>
      </c>
      <c r="BM149" s="37">
        <v>4</v>
      </c>
      <c r="BN149" s="37">
        <v>4</v>
      </c>
      <c r="BO149" s="37">
        <v>4</v>
      </c>
      <c r="BP149" s="37">
        <v>4</v>
      </c>
      <c r="BQ149" s="37">
        <v>5</v>
      </c>
      <c r="BR149" s="37">
        <v>5</v>
      </c>
      <c r="BS149" s="37">
        <v>5</v>
      </c>
      <c r="BT149" s="37">
        <v>5</v>
      </c>
    </row>
    <row r="150" spans="5:72" x14ac:dyDescent="0.25">
      <c r="F150" s="6">
        <f t="shared" si="43"/>
        <v>0</v>
      </c>
      <c r="G150" s="6">
        <f t="shared" si="44"/>
        <v>0</v>
      </c>
      <c r="H150" s="6">
        <f t="shared" si="45"/>
        <v>0</v>
      </c>
      <c r="I150" s="6">
        <f t="shared" si="46"/>
        <v>0</v>
      </c>
      <c r="J150" s="6">
        <f t="shared" si="47"/>
        <v>0</v>
      </c>
      <c r="K150" s="6">
        <f t="shared" si="48"/>
        <v>0</v>
      </c>
      <c r="L150" s="6">
        <f t="shared" si="49"/>
        <v>0</v>
      </c>
      <c r="M150" s="6">
        <f t="shared" si="50"/>
        <v>0</v>
      </c>
      <c r="N150" s="6">
        <f t="shared" si="51"/>
        <v>0</v>
      </c>
      <c r="O150" s="6">
        <f t="shared" si="52"/>
        <v>0</v>
      </c>
      <c r="P150" s="6">
        <f t="shared" si="53"/>
        <v>0</v>
      </c>
      <c r="Q150" s="6">
        <f t="shared" si="54"/>
        <v>0</v>
      </c>
      <c r="R150" s="6">
        <f t="shared" si="55"/>
        <v>0</v>
      </c>
      <c r="S150" s="6">
        <f t="shared" si="56"/>
        <v>0</v>
      </c>
      <c r="T150" s="6">
        <f t="shared" si="57"/>
        <v>0</v>
      </c>
      <c r="U150" s="6">
        <f t="shared" si="58"/>
        <v>0</v>
      </c>
      <c r="V150" s="6">
        <f t="shared" si="59"/>
        <v>0</v>
      </c>
      <c r="W150" s="6">
        <f t="shared" si="60"/>
        <v>0</v>
      </c>
      <c r="X150" s="6">
        <f t="shared" si="61"/>
        <v>0</v>
      </c>
      <c r="Y150" s="6">
        <f t="shared" si="62"/>
        <v>0</v>
      </c>
      <c r="Z150" s="6">
        <f t="shared" si="63"/>
        <v>0</v>
      </c>
      <c r="AB150" s="36" t="str">
        <f>IF(最佳化斷筋點!C150="","",最佳化斷筋點!C150)</f>
        <v/>
      </c>
      <c r="AC150" s="37" t="str">
        <f>IF(最佳化斷筋點!D150="","",最佳化斷筋點!D150)</f>
        <v/>
      </c>
      <c r="AD150" s="37" t="str">
        <f>IF(最佳化斷筋點!E150="","",最佳化斷筋點!E150)</f>
        <v/>
      </c>
      <c r="AE150" s="37" t="str">
        <f>IF(最佳化斷筋點!F150="","",最佳化斷筋點!F150)</f>
        <v/>
      </c>
      <c r="AF150" s="37" t="str">
        <f>IF(最佳化斷筋點!G150="","",最佳化斷筋點!G150)</f>
        <v/>
      </c>
      <c r="AG150" s="37" t="str">
        <f>IF(最佳化斷筋點!H150="","",最佳化斷筋點!H150)</f>
        <v/>
      </c>
      <c r="AH150" s="37" t="str">
        <f>IF(最佳化斷筋點!I150="","",最佳化斷筋點!I150)</f>
        <v/>
      </c>
      <c r="AI150" s="37" t="str">
        <f>IF(最佳化斷筋點!J150="","",最佳化斷筋點!J150)</f>
        <v/>
      </c>
      <c r="AJ150" s="37" t="str">
        <f>IF(最佳化斷筋點!K150="","",最佳化斷筋點!K150)</f>
        <v/>
      </c>
      <c r="AK150" s="37" t="str">
        <f>IF(最佳化斷筋點!L150="","",最佳化斷筋點!L150)</f>
        <v/>
      </c>
      <c r="AL150" s="37" t="str">
        <f>IF(最佳化斷筋點!M150="","",最佳化斷筋點!M150)</f>
        <v/>
      </c>
      <c r="AM150" s="37" t="str">
        <f>IF(最佳化斷筋點!N150="","",最佳化斷筋點!N150)</f>
        <v/>
      </c>
      <c r="AN150" s="37" t="str">
        <f>IF(最佳化斷筋點!O150="","",最佳化斷筋點!O150)</f>
        <v/>
      </c>
      <c r="AO150" s="37" t="str">
        <f>IF(最佳化斷筋點!P150="","",最佳化斷筋點!P150)</f>
        <v/>
      </c>
      <c r="AP150" s="37" t="str">
        <f>IF(最佳化斷筋點!Q150="","",最佳化斷筋點!Q150)</f>
        <v/>
      </c>
      <c r="AQ150" s="37" t="str">
        <f>IF(最佳化斷筋點!R150="","",最佳化斷筋點!R150)</f>
        <v/>
      </c>
      <c r="AR150" s="37" t="str">
        <f>IF(最佳化斷筋點!S150="","",最佳化斷筋點!S150)</f>
        <v/>
      </c>
      <c r="AS150" s="37" t="str">
        <f>IF(最佳化斷筋點!T150="","",最佳化斷筋點!T150)</f>
        <v/>
      </c>
      <c r="AT150" s="37" t="str">
        <f>IF(最佳化斷筋點!U150="","",最佳化斷筋點!U150)</f>
        <v/>
      </c>
      <c r="AU150" s="37" t="str">
        <f>IF(最佳化斷筋點!V150="","",最佳化斷筋點!V150)</f>
        <v/>
      </c>
      <c r="AV150" s="37" t="str">
        <f>IF(最佳化斷筋點!W150="","",最佳化斷筋點!W150)</f>
        <v/>
      </c>
      <c r="AW150" s="37" t="str">
        <f>IF(最佳化斷筋點!X150="","",最佳化斷筋點!X150)</f>
        <v/>
      </c>
      <c r="AZ150" s="37" t="s">
        <v>197</v>
      </c>
      <c r="BA150" s="37" t="s">
        <v>197</v>
      </c>
      <c r="BB150" s="37" t="s">
        <v>197</v>
      </c>
      <c r="BC150" s="37" t="s">
        <v>197</v>
      </c>
      <c r="BD150" s="37" t="s">
        <v>197</v>
      </c>
      <c r="BE150" s="37" t="s">
        <v>197</v>
      </c>
      <c r="BF150" s="37" t="s">
        <v>197</v>
      </c>
      <c r="BG150" s="37" t="s">
        <v>197</v>
      </c>
      <c r="BH150" s="37" t="s">
        <v>197</v>
      </c>
      <c r="BI150" s="37" t="s">
        <v>197</v>
      </c>
      <c r="BJ150" s="37" t="s">
        <v>197</v>
      </c>
      <c r="BK150" s="37" t="s">
        <v>197</v>
      </c>
      <c r="BL150" s="37" t="s">
        <v>197</v>
      </c>
      <c r="BM150" s="37" t="s">
        <v>197</v>
      </c>
      <c r="BN150" s="37" t="s">
        <v>197</v>
      </c>
      <c r="BO150" s="37" t="s">
        <v>197</v>
      </c>
      <c r="BP150" s="37" t="s">
        <v>197</v>
      </c>
      <c r="BQ150" s="37" t="s">
        <v>197</v>
      </c>
      <c r="BR150" s="37" t="s">
        <v>197</v>
      </c>
      <c r="BS150" s="37" t="s">
        <v>197</v>
      </c>
      <c r="BT150" s="37" t="s">
        <v>197</v>
      </c>
    </row>
    <row r="151" spans="5:72" x14ac:dyDescent="0.25">
      <c r="E151" s="6" t="s">
        <v>20</v>
      </c>
      <c r="F151" s="6">
        <f t="shared" si="43"/>
        <v>0</v>
      </c>
      <c r="G151" s="6">
        <f t="shared" si="44"/>
        <v>0</v>
      </c>
      <c r="H151" s="6">
        <f t="shared" si="45"/>
        <v>0</v>
      </c>
      <c r="I151" s="6">
        <f t="shared" si="46"/>
        <v>0</v>
      </c>
      <c r="J151" s="6">
        <f t="shared" si="47"/>
        <v>0</v>
      </c>
      <c r="K151" s="6">
        <f t="shared" si="48"/>
        <v>0</v>
      </c>
      <c r="L151" s="6">
        <f t="shared" si="49"/>
        <v>0</v>
      </c>
      <c r="M151" s="6">
        <f t="shared" si="50"/>
        <v>0</v>
      </c>
      <c r="N151" s="6">
        <f t="shared" si="51"/>
        <v>0</v>
      </c>
      <c r="O151" s="6">
        <f t="shared" si="52"/>
        <v>0</v>
      </c>
      <c r="P151" s="6">
        <f t="shared" si="53"/>
        <v>0</v>
      </c>
      <c r="Q151" s="6">
        <f t="shared" si="54"/>
        <v>0</v>
      </c>
      <c r="R151" s="6">
        <f t="shared" si="55"/>
        <v>0</v>
      </c>
      <c r="S151" s="6">
        <f t="shared" si="56"/>
        <v>0</v>
      </c>
      <c r="T151" s="6">
        <f t="shared" si="57"/>
        <v>0</v>
      </c>
      <c r="U151" s="6">
        <f t="shared" si="58"/>
        <v>0</v>
      </c>
      <c r="V151" s="6">
        <f t="shared" si="59"/>
        <v>0</v>
      </c>
      <c r="W151" s="6">
        <f t="shared" si="60"/>
        <v>0</v>
      </c>
      <c r="X151" s="6">
        <f t="shared" si="61"/>
        <v>0</v>
      </c>
      <c r="Y151" s="6">
        <f t="shared" si="62"/>
        <v>0</v>
      </c>
      <c r="Z151" s="6">
        <f t="shared" si="63"/>
        <v>0</v>
      </c>
      <c r="AB151" s="36" t="str">
        <f>IF(最佳化斷筋點!C151="","",最佳化斷筋點!C151)</f>
        <v>上層</v>
      </c>
      <c r="AC151" s="37">
        <f>IF(最佳化斷筋點!D151="","",最佳化斷筋點!D151)</f>
        <v>4</v>
      </c>
      <c r="AD151" s="37">
        <f>IF(最佳化斷筋點!E151="","",最佳化斷筋點!E151)</f>
        <v>4</v>
      </c>
      <c r="AE151" s="37">
        <f>IF(最佳化斷筋點!F151="","",最佳化斷筋點!F151)</f>
        <v>4</v>
      </c>
      <c r="AF151" s="37">
        <f>IF(最佳化斷筋點!G151="","",最佳化斷筋點!G151)</f>
        <v>4</v>
      </c>
      <c r="AG151" s="37">
        <f>IF(最佳化斷筋點!H151="","",最佳化斷筋點!H151)</f>
        <v>4</v>
      </c>
      <c r="AH151" s="37">
        <f>IF(最佳化斷筋點!I151="","",最佳化斷筋點!I151)</f>
        <v>4</v>
      </c>
      <c r="AI151" s="37">
        <f>IF(最佳化斷筋點!J151="","",最佳化斷筋點!J151)</f>
        <v>3</v>
      </c>
      <c r="AJ151" s="37">
        <f>IF(最佳化斷筋點!K151="","",最佳化斷筋點!K151)</f>
        <v>3</v>
      </c>
      <c r="AK151" s="37">
        <f>IF(最佳化斷筋點!L151="","",最佳化斷筋點!L151)</f>
        <v>3</v>
      </c>
      <c r="AL151" s="37">
        <f>IF(最佳化斷筋點!M151="","",最佳化斷筋點!M151)</f>
        <v>2</v>
      </c>
      <c r="AM151" s="37">
        <f>IF(最佳化斷筋點!N151="","",最佳化斷筋點!N151)</f>
        <v>2</v>
      </c>
      <c r="AN151" s="37">
        <f>IF(最佳化斷筋點!O151="","",最佳化斷筋點!O151)</f>
        <v>3</v>
      </c>
      <c r="AO151" s="37">
        <f>IF(最佳化斷筋點!P151="","",最佳化斷筋點!P151)</f>
        <v>3</v>
      </c>
      <c r="AP151" s="37">
        <f>IF(最佳化斷筋點!Q151="","",最佳化斷筋點!Q151)</f>
        <v>4</v>
      </c>
      <c r="AQ151" s="37">
        <f>IF(最佳化斷筋點!R151="","",最佳化斷筋點!R151)</f>
        <v>4</v>
      </c>
      <c r="AR151" s="37">
        <f>IF(最佳化斷筋點!S151="","",最佳化斷筋點!S151)</f>
        <v>5</v>
      </c>
      <c r="AS151" s="37">
        <f>IF(最佳化斷筋點!T151="","",最佳化斷筋點!T151)</f>
        <v>5</v>
      </c>
      <c r="AT151" s="37">
        <f>IF(最佳化斷筋點!U151="","",最佳化斷筋點!U151)</f>
        <v>6</v>
      </c>
      <c r="AU151" s="37">
        <f>IF(最佳化斷筋點!V151="","",最佳化斷筋點!V151)</f>
        <v>6</v>
      </c>
      <c r="AV151" s="37">
        <f>IF(最佳化斷筋點!W151="","",最佳化斷筋點!W151)</f>
        <v>6</v>
      </c>
      <c r="AW151" s="37">
        <f>IF(最佳化斷筋點!X151="","",最佳化斷筋點!X151)</f>
        <v>6</v>
      </c>
      <c r="AY151" s="6" t="s">
        <v>20</v>
      </c>
      <c r="AZ151" s="37">
        <v>4</v>
      </c>
      <c r="BA151" s="37">
        <v>4</v>
      </c>
      <c r="BB151" s="37">
        <v>4</v>
      </c>
      <c r="BC151" s="37">
        <v>4</v>
      </c>
      <c r="BD151" s="37">
        <v>4</v>
      </c>
      <c r="BE151" s="37">
        <v>4</v>
      </c>
      <c r="BF151" s="37">
        <v>3</v>
      </c>
      <c r="BG151" s="37">
        <v>3</v>
      </c>
      <c r="BH151" s="37">
        <v>3</v>
      </c>
      <c r="BI151" s="37">
        <v>2</v>
      </c>
      <c r="BJ151" s="37">
        <v>2</v>
      </c>
      <c r="BK151" s="37">
        <v>3</v>
      </c>
      <c r="BL151" s="37">
        <v>3</v>
      </c>
      <c r="BM151" s="37">
        <v>4</v>
      </c>
      <c r="BN151" s="37">
        <v>4</v>
      </c>
      <c r="BO151" s="37">
        <v>5</v>
      </c>
      <c r="BP151" s="37">
        <v>5</v>
      </c>
      <c r="BQ151" s="37">
        <v>6</v>
      </c>
      <c r="BR151" s="37">
        <v>6</v>
      </c>
      <c r="BS151" s="37">
        <v>6</v>
      </c>
      <c r="BT151" s="37">
        <v>6</v>
      </c>
    </row>
    <row r="152" spans="5:72" x14ac:dyDescent="0.25">
      <c r="F152" s="6">
        <f t="shared" si="43"/>
        <v>0</v>
      </c>
      <c r="G152" s="6">
        <f t="shared" si="44"/>
        <v>0</v>
      </c>
      <c r="H152" s="6">
        <f t="shared" si="45"/>
        <v>0</v>
      </c>
      <c r="I152" s="6">
        <f t="shared" si="46"/>
        <v>0</v>
      </c>
      <c r="J152" s="6">
        <f t="shared" si="47"/>
        <v>0</v>
      </c>
      <c r="K152" s="6">
        <f t="shared" si="48"/>
        <v>0</v>
      </c>
      <c r="L152" s="6">
        <f t="shared" si="49"/>
        <v>0</v>
      </c>
      <c r="M152" s="6">
        <f t="shared" si="50"/>
        <v>0</v>
      </c>
      <c r="N152" s="6">
        <f t="shared" si="51"/>
        <v>0</v>
      </c>
      <c r="O152" s="6">
        <f t="shared" si="52"/>
        <v>0</v>
      </c>
      <c r="P152" s="6">
        <f t="shared" si="53"/>
        <v>0</v>
      </c>
      <c r="Q152" s="6">
        <f t="shared" si="54"/>
        <v>0</v>
      </c>
      <c r="R152" s="6">
        <f t="shared" si="55"/>
        <v>0</v>
      </c>
      <c r="S152" s="6">
        <f t="shared" si="56"/>
        <v>0</v>
      </c>
      <c r="T152" s="6">
        <f t="shared" si="57"/>
        <v>0</v>
      </c>
      <c r="U152" s="6">
        <f t="shared" si="58"/>
        <v>0</v>
      </c>
      <c r="V152" s="6">
        <f t="shared" si="59"/>
        <v>0</v>
      </c>
      <c r="W152" s="6">
        <f t="shared" si="60"/>
        <v>0</v>
      </c>
      <c r="X152" s="6">
        <f t="shared" si="61"/>
        <v>0</v>
      </c>
      <c r="Y152" s="6">
        <f t="shared" si="62"/>
        <v>0</v>
      </c>
      <c r="Z152" s="6">
        <f t="shared" si="63"/>
        <v>0</v>
      </c>
      <c r="AB152" s="36" t="str">
        <f>IF(最佳化斷筋點!C152="","",最佳化斷筋點!C152)</f>
        <v/>
      </c>
      <c r="AC152" s="37" t="str">
        <f>IF(最佳化斷筋點!D152="","",最佳化斷筋點!D152)</f>
        <v/>
      </c>
      <c r="AD152" s="37" t="str">
        <f>IF(最佳化斷筋點!E152="","",最佳化斷筋點!E152)</f>
        <v/>
      </c>
      <c r="AE152" s="37" t="str">
        <f>IF(最佳化斷筋點!F152="","",最佳化斷筋點!F152)</f>
        <v/>
      </c>
      <c r="AF152" s="37" t="str">
        <f>IF(最佳化斷筋點!G152="","",最佳化斷筋點!G152)</f>
        <v/>
      </c>
      <c r="AG152" s="37" t="str">
        <f>IF(最佳化斷筋點!H152="","",最佳化斷筋點!H152)</f>
        <v/>
      </c>
      <c r="AH152" s="37" t="str">
        <f>IF(最佳化斷筋點!I152="","",最佳化斷筋點!I152)</f>
        <v/>
      </c>
      <c r="AI152" s="37" t="str">
        <f>IF(最佳化斷筋點!J152="","",最佳化斷筋點!J152)</f>
        <v/>
      </c>
      <c r="AJ152" s="37" t="str">
        <f>IF(最佳化斷筋點!K152="","",最佳化斷筋點!K152)</f>
        <v/>
      </c>
      <c r="AK152" s="37" t="str">
        <f>IF(最佳化斷筋點!L152="","",最佳化斷筋點!L152)</f>
        <v/>
      </c>
      <c r="AL152" s="37" t="str">
        <f>IF(最佳化斷筋點!M152="","",最佳化斷筋點!M152)</f>
        <v/>
      </c>
      <c r="AM152" s="37" t="str">
        <f>IF(最佳化斷筋點!N152="","",最佳化斷筋點!N152)</f>
        <v/>
      </c>
      <c r="AN152" s="37" t="str">
        <f>IF(最佳化斷筋點!O152="","",最佳化斷筋點!O152)</f>
        <v/>
      </c>
      <c r="AO152" s="37" t="str">
        <f>IF(最佳化斷筋點!P152="","",最佳化斷筋點!P152)</f>
        <v/>
      </c>
      <c r="AP152" s="37" t="str">
        <f>IF(最佳化斷筋點!Q152="","",最佳化斷筋點!Q152)</f>
        <v/>
      </c>
      <c r="AQ152" s="37" t="str">
        <f>IF(最佳化斷筋點!R152="","",最佳化斷筋點!R152)</f>
        <v/>
      </c>
      <c r="AR152" s="37" t="str">
        <f>IF(最佳化斷筋點!S152="","",最佳化斷筋點!S152)</f>
        <v/>
      </c>
      <c r="AS152" s="37" t="str">
        <f>IF(最佳化斷筋點!T152="","",最佳化斷筋點!T152)</f>
        <v/>
      </c>
      <c r="AT152" s="37" t="str">
        <f>IF(最佳化斷筋點!U152="","",最佳化斷筋點!U152)</f>
        <v/>
      </c>
      <c r="AU152" s="37" t="str">
        <f>IF(最佳化斷筋點!V152="","",最佳化斷筋點!V152)</f>
        <v/>
      </c>
      <c r="AV152" s="37" t="str">
        <f>IF(最佳化斷筋點!W152="","",最佳化斷筋點!W152)</f>
        <v/>
      </c>
      <c r="AW152" s="37" t="str">
        <f>IF(最佳化斷筋點!X152="","",最佳化斷筋點!X152)</f>
        <v/>
      </c>
      <c r="AZ152" s="37" t="s">
        <v>197</v>
      </c>
      <c r="BA152" s="37" t="s">
        <v>197</v>
      </c>
      <c r="BB152" s="37" t="s">
        <v>197</v>
      </c>
      <c r="BC152" s="37" t="s">
        <v>197</v>
      </c>
      <c r="BD152" s="37" t="s">
        <v>197</v>
      </c>
      <c r="BE152" s="37" t="s">
        <v>197</v>
      </c>
      <c r="BF152" s="37" t="s">
        <v>197</v>
      </c>
      <c r="BG152" s="37" t="s">
        <v>197</v>
      </c>
      <c r="BH152" s="37" t="s">
        <v>197</v>
      </c>
      <c r="BI152" s="37" t="s">
        <v>197</v>
      </c>
      <c r="BJ152" s="37" t="s">
        <v>197</v>
      </c>
      <c r="BK152" s="37" t="s">
        <v>197</v>
      </c>
      <c r="BL152" s="37" t="s">
        <v>197</v>
      </c>
      <c r="BM152" s="37" t="s">
        <v>197</v>
      </c>
      <c r="BN152" s="37" t="s">
        <v>197</v>
      </c>
      <c r="BO152" s="37" t="s">
        <v>197</v>
      </c>
      <c r="BP152" s="37" t="s">
        <v>197</v>
      </c>
      <c r="BQ152" s="37" t="s">
        <v>197</v>
      </c>
      <c r="BR152" s="37" t="s">
        <v>197</v>
      </c>
      <c r="BS152" s="37" t="s">
        <v>197</v>
      </c>
      <c r="BT152" s="37" t="s">
        <v>197</v>
      </c>
    </row>
    <row r="153" spans="5:72" x14ac:dyDescent="0.25">
      <c r="E153" s="6" t="s">
        <v>21</v>
      </c>
      <c r="F153" s="6">
        <f t="shared" si="43"/>
        <v>0</v>
      </c>
      <c r="G153" s="6">
        <f t="shared" si="44"/>
        <v>0</v>
      </c>
      <c r="H153" s="6">
        <f t="shared" si="45"/>
        <v>0</v>
      </c>
      <c r="I153" s="6">
        <f t="shared" si="46"/>
        <v>0</v>
      </c>
      <c r="J153" s="6">
        <f t="shared" si="47"/>
        <v>0</v>
      </c>
      <c r="K153" s="6">
        <f t="shared" si="48"/>
        <v>0</v>
      </c>
      <c r="L153" s="6">
        <f t="shared" si="49"/>
        <v>0</v>
      </c>
      <c r="M153" s="6">
        <f t="shared" si="50"/>
        <v>0</v>
      </c>
      <c r="N153" s="6">
        <f t="shared" si="51"/>
        <v>0</v>
      </c>
      <c r="O153" s="6">
        <f t="shared" si="52"/>
        <v>0</v>
      </c>
      <c r="P153" s="6">
        <f t="shared" si="53"/>
        <v>0</v>
      </c>
      <c r="Q153" s="6">
        <f t="shared" si="54"/>
        <v>0</v>
      </c>
      <c r="R153" s="6">
        <f t="shared" si="55"/>
        <v>0</v>
      </c>
      <c r="S153" s="6">
        <f t="shared" si="56"/>
        <v>0</v>
      </c>
      <c r="T153" s="6">
        <f t="shared" si="57"/>
        <v>0</v>
      </c>
      <c r="U153" s="6">
        <f t="shared" si="58"/>
        <v>0</v>
      </c>
      <c r="V153" s="6">
        <f t="shared" si="59"/>
        <v>0</v>
      </c>
      <c r="W153" s="6">
        <f t="shared" si="60"/>
        <v>0</v>
      </c>
      <c r="X153" s="6">
        <f t="shared" si="61"/>
        <v>0</v>
      </c>
      <c r="Y153" s="6">
        <f t="shared" si="62"/>
        <v>0</v>
      </c>
      <c r="Z153" s="6">
        <f t="shared" si="63"/>
        <v>0</v>
      </c>
      <c r="AB153" s="36" t="str">
        <f>IF(最佳化斷筋點!C153="","",最佳化斷筋點!C153)</f>
        <v>下層</v>
      </c>
      <c r="AC153" s="37">
        <f>IF(最佳化斷筋點!D153="","",最佳化斷筋點!D153)</f>
        <v>3</v>
      </c>
      <c r="AD153" s="37">
        <f>IF(最佳化斷筋點!E153="","",最佳化斷筋點!E153)</f>
        <v>3</v>
      </c>
      <c r="AE153" s="37">
        <f>IF(最佳化斷筋點!F153="","",最佳化斷筋點!F153)</f>
        <v>3</v>
      </c>
      <c r="AF153" s="37">
        <f>IF(最佳化斷筋點!G153="","",最佳化斷筋點!G153)</f>
        <v>3</v>
      </c>
      <c r="AG153" s="37">
        <f>IF(最佳化斷筋點!H153="","",最佳化斷筋點!H153)</f>
        <v>3</v>
      </c>
      <c r="AH153" s="37">
        <f>IF(最佳化斷筋點!I153="","",最佳化斷筋點!I153)</f>
        <v>3</v>
      </c>
      <c r="AI153" s="37">
        <f>IF(最佳化斷筋點!J153="","",最佳化斷筋點!J153)</f>
        <v>3</v>
      </c>
      <c r="AJ153" s="37">
        <f>IF(最佳化斷筋點!K153="","",最佳化斷筋點!K153)</f>
        <v>3</v>
      </c>
      <c r="AK153" s="37">
        <f>IF(最佳化斷筋點!L153="","",最佳化斷筋點!L153)</f>
        <v>3</v>
      </c>
      <c r="AL153" s="37">
        <f>IF(最佳化斷筋點!M153="","",最佳化斷筋點!M153)</f>
        <v>3</v>
      </c>
      <c r="AM153" s="37">
        <f>IF(最佳化斷筋點!N153="","",最佳化斷筋點!N153)</f>
        <v>3</v>
      </c>
      <c r="AN153" s="37">
        <f>IF(最佳化斷筋點!O153="","",最佳化斷筋點!O153)</f>
        <v>3</v>
      </c>
      <c r="AO153" s="37">
        <f>IF(最佳化斷筋點!P153="","",最佳化斷筋點!P153)</f>
        <v>3</v>
      </c>
      <c r="AP153" s="37">
        <f>IF(最佳化斷筋點!Q153="","",最佳化斷筋點!Q153)</f>
        <v>3</v>
      </c>
      <c r="AQ153" s="37">
        <f>IF(最佳化斷筋點!R153="","",最佳化斷筋點!R153)</f>
        <v>3</v>
      </c>
      <c r="AR153" s="37">
        <f>IF(最佳化斷筋點!S153="","",最佳化斷筋點!S153)</f>
        <v>3</v>
      </c>
      <c r="AS153" s="37">
        <f>IF(最佳化斷筋點!T153="","",最佳化斷筋點!T153)</f>
        <v>3</v>
      </c>
      <c r="AT153" s="37">
        <f>IF(最佳化斷筋點!U153="","",最佳化斷筋點!U153)</f>
        <v>3</v>
      </c>
      <c r="AU153" s="37">
        <f>IF(最佳化斷筋點!V153="","",最佳化斷筋點!V153)</f>
        <v>3</v>
      </c>
      <c r="AV153" s="37">
        <f>IF(最佳化斷筋點!W153="","",最佳化斷筋點!W153)</f>
        <v>3</v>
      </c>
      <c r="AW153" s="37">
        <f>IF(最佳化斷筋點!X153="","",最佳化斷筋點!X153)</f>
        <v>3</v>
      </c>
      <c r="AY153" s="6" t="s">
        <v>21</v>
      </c>
      <c r="AZ153" s="37">
        <v>3</v>
      </c>
      <c r="BA153" s="37">
        <v>3</v>
      </c>
      <c r="BB153" s="37">
        <v>3</v>
      </c>
      <c r="BC153" s="37">
        <v>3</v>
      </c>
      <c r="BD153" s="37">
        <v>3</v>
      </c>
      <c r="BE153" s="37">
        <v>3</v>
      </c>
      <c r="BF153" s="37">
        <v>3</v>
      </c>
      <c r="BG153" s="37">
        <v>3</v>
      </c>
      <c r="BH153" s="37">
        <v>3</v>
      </c>
      <c r="BI153" s="37">
        <v>3</v>
      </c>
      <c r="BJ153" s="37">
        <v>3</v>
      </c>
      <c r="BK153" s="37">
        <v>3</v>
      </c>
      <c r="BL153" s="37">
        <v>3</v>
      </c>
      <c r="BM153" s="37">
        <v>3</v>
      </c>
      <c r="BN153" s="37">
        <v>3</v>
      </c>
      <c r="BO153" s="37">
        <v>3</v>
      </c>
      <c r="BP153" s="37">
        <v>3</v>
      </c>
      <c r="BQ153" s="37">
        <v>3</v>
      </c>
      <c r="BR153" s="37">
        <v>3</v>
      </c>
      <c r="BS153" s="37">
        <v>3</v>
      </c>
      <c r="BT153" s="37">
        <v>3</v>
      </c>
    </row>
    <row r="154" spans="5:72" x14ac:dyDescent="0.25">
      <c r="F154" s="6">
        <f t="shared" si="43"/>
        <v>0</v>
      </c>
      <c r="G154" s="6">
        <f t="shared" si="44"/>
        <v>0</v>
      </c>
      <c r="H154" s="6">
        <f t="shared" si="45"/>
        <v>0</v>
      </c>
      <c r="I154" s="6">
        <f t="shared" si="46"/>
        <v>0</v>
      </c>
      <c r="J154" s="6">
        <f t="shared" si="47"/>
        <v>0</v>
      </c>
      <c r="K154" s="6">
        <f t="shared" si="48"/>
        <v>0</v>
      </c>
      <c r="L154" s="6">
        <f t="shared" si="49"/>
        <v>0</v>
      </c>
      <c r="M154" s="6">
        <f t="shared" si="50"/>
        <v>0</v>
      </c>
      <c r="N154" s="6">
        <f t="shared" si="51"/>
        <v>0</v>
      </c>
      <c r="O154" s="6">
        <f t="shared" si="52"/>
        <v>0</v>
      </c>
      <c r="P154" s="6">
        <f t="shared" si="53"/>
        <v>0</v>
      </c>
      <c r="Q154" s="6">
        <f t="shared" si="54"/>
        <v>0</v>
      </c>
      <c r="R154" s="6">
        <f t="shared" si="55"/>
        <v>0</v>
      </c>
      <c r="S154" s="6">
        <f t="shared" si="56"/>
        <v>0</v>
      </c>
      <c r="T154" s="6">
        <f t="shared" si="57"/>
        <v>0</v>
      </c>
      <c r="U154" s="6">
        <f t="shared" si="58"/>
        <v>0</v>
      </c>
      <c r="V154" s="6">
        <f t="shared" si="59"/>
        <v>0</v>
      </c>
      <c r="W154" s="6">
        <f t="shared" si="60"/>
        <v>0</v>
      </c>
      <c r="X154" s="6">
        <f t="shared" si="61"/>
        <v>0</v>
      </c>
      <c r="Y154" s="6">
        <f t="shared" si="62"/>
        <v>0</v>
      </c>
      <c r="Z154" s="6">
        <f t="shared" si="63"/>
        <v>0</v>
      </c>
      <c r="AB154" s="36" t="str">
        <f>IF(最佳化斷筋點!C154="","",最佳化斷筋點!C154)</f>
        <v/>
      </c>
      <c r="AC154" s="37" t="str">
        <f>IF(最佳化斷筋點!D154="","",最佳化斷筋點!D154)</f>
        <v/>
      </c>
      <c r="AD154" s="37" t="str">
        <f>IF(最佳化斷筋點!E154="","",最佳化斷筋點!E154)</f>
        <v/>
      </c>
      <c r="AE154" s="37" t="str">
        <f>IF(最佳化斷筋點!F154="","",最佳化斷筋點!F154)</f>
        <v/>
      </c>
      <c r="AF154" s="37" t="str">
        <f>IF(最佳化斷筋點!G154="","",最佳化斷筋點!G154)</f>
        <v/>
      </c>
      <c r="AG154" s="37" t="str">
        <f>IF(最佳化斷筋點!H154="","",最佳化斷筋點!H154)</f>
        <v/>
      </c>
      <c r="AH154" s="37" t="str">
        <f>IF(最佳化斷筋點!I154="","",最佳化斷筋點!I154)</f>
        <v/>
      </c>
      <c r="AI154" s="37" t="str">
        <f>IF(最佳化斷筋點!J154="","",最佳化斷筋點!J154)</f>
        <v/>
      </c>
      <c r="AJ154" s="37" t="str">
        <f>IF(最佳化斷筋點!K154="","",最佳化斷筋點!K154)</f>
        <v/>
      </c>
      <c r="AK154" s="37" t="str">
        <f>IF(最佳化斷筋點!L154="","",最佳化斷筋點!L154)</f>
        <v/>
      </c>
      <c r="AL154" s="37" t="str">
        <f>IF(最佳化斷筋點!M154="","",最佳化斷筋點!M154)</f>
        <v/>
      </c>
      <c r="AM154" s="37" t="str">
        <f>IF(最佳化斷筋點!N154="","",最佳化斷筋點!N154)</f>
        <v/>
      </c>
      <c r="AN154" s="37" t="str">
        <f>IF(最佳化斷筋點!O154="","",最佳化斷筋點!O154)</f>
        <v/>
      </c>
      <c r="AO154" s="37" t="str">
        <f>IF(最佳化斷筋點!P154="","",最佳化斷筋點!P154)</f>
        <v/>
      </c>
      <c r="AP154" s="37" t="str">
        <f>IF(最佳化斷筋點!Q154="","",最佳化斷筋點!Q154)</f>
        <v/>
      </c>
      <c r="AQ154" s="37" t="str">
        <f>IF(最佳化斷筋點!R154="","",最佳化斷筋點!R154)</f>
        <v/>
      </c>
      <c r="AR154" s="37" t="str">
        <f>IF(最佳化斷筋點!S154="","",最佳化斷筋點!S154)</f>
        <v/>
      </c>
      <c r="AS154" s="37" t="str">
        <f>IF(最佳化斷筋點!T154="","",最佳化斷筋點!T154)</f>
        <v/>
      </c>
      <c r="AT154" s="37" t="str">
        <f>IF(最佳化斷筋點!U154="","",最佳化斷筋點!U154)</f>
        <v/>
      </c>
      <c r="AU154" s="37" t="str">
        <f>IF(最佳化斷筋點!V154="","",最佳化斷筋點!V154)</f>
        <v/>
      </c>
      <c r="AV154" s="37" t="str">
        <f>IF(最佳化斷筋點!W154="","",最佳化斷筋點!W154)</f>
        <v/>
      </c>
      <c r="AW154" s="37" t="str">
        <f>IF(最佳化斷筋點!X154="","",最佳化斷筋點!X154)</f>
        <v/>
      </c>
      <c r="AZ154" s="37" t="s">
        <v>197</v>
      </c>
      <c r="BA154" s="37" t="s">
        <v>197</v>
      </c>
      <c r="BB154" s="37" t="s">
        <v>197</v>
      </c>
      <c r="BC154" s="37" t="s">
        <v>197</v>
      </c>
      <c r="BD154" s="37" t="s">
        <v>197</v>
      </c>
      <c r="BE154" s="37" t="s">
        <v>197</v>
      </c>
      <c r="BF154" s="37" t="s">
        <v>197</v>
      </c>
      <c r="BG154" s="37" t="s">
        <v>197</v>
      </c>
      <c r="BH154" s="37" t="s">
        <v>197</v>
      </c>
      <c r="BI154" s="37" t="s">
        <v>197</v>
      </c>
      <c r="BJ154" s="37" t="s">
        <v>197</v>
      </c>
      <c r="BK154" s="37" t="s">
        <v>197</v>
      </c>
      <c r="BL154" s="37" t="s">
        <v>197</v>
      </c>
      <c r="BM154" s="37" t="s">
        <v>197</v>
      </c>
      <c r="BN154" s="37" t="s">
        <v>197</v>
      </c>
      <c r="BO154" s="37" t="s">
        <v>197</v>
      </c>
      <c r="BP154" s="37" t="s">
        <v>197</v>
      </c>
      <c r="BQ154" s="37" t="s">
        <v>197</v>
      </c>
      <c r="BR154" s="37" t="s">
        <v>197</v>
      </c>
      <c r="BS154" s="37" t="s">
        <v>197</v>
      </c>
      <c r="BT154" s="37" t="s">
        <v>197</v>
      </c>
    </row>
    <row r="155" spans="5:72" x14ac:dyDescent="0.25">
      <c r="E155" s="6" t="s">
        <v>20</v>
      </c>
      <c r="F155" s="6">
        <f t="shared" si="43"/>
        <v>0</v>
      </c>
      <c r="G155" s="6">
        <f t="shared" si="44"/>
        <v>0</v>
      </c>
      <c r="H155" s="6">
        <f t="shared" si="45"/>
        <v>0</v>
      </c>
      <c r="I155" s="6">
        <f t="shared" si="46"/>
        <v>0</v>
      </c>
      <c r="J155" s="6">
        <f t="shared" si="47"/>
        <v>0</v>
      </c>
      <c r="K155" s="6">
        <f t="shared" si="48"/>
        <v>0</v>
      </c>
      <c r="L155" s="6">
        <f t="shared" si="49"/>
        <v>0</v>
      </c>
      <c r="M155" s="6">
        <f t="shared" si="50"/>
        <v>0</v>
      </c>
      <c r="N155" s="6">
        <f t="shared" si="51"/>
        <v>0</v>
      </c>
      <c r="O155" s="6">
        <f t="shared" si="52"/>
        <v>0</v>
      </c>
      <c r="P155" s="6">
        <f t="shared" si="53"/>
        <v>0</v>
      </c>
      <c r="Q155" s="6">
        <f t="shared" si="54"/>
        <v>0</v>
      </c>
      <c r="R155" s="6">
        <f t="shared" si="55"/>
        <v>0</v>
      </c>
      <c r="S155" s="6">
        <f t="shared" si="56"/>
        <v>0</v>
      </c>
      <c r="T155" s="6">
        <f t="shared" si="57"/>
        <v>0</v>
      </c>
      <c r="U155" s="6">
        <f t="shared" si="58"/>
        <v>0</v>
      </c>
      <c r="V155" s="6">
        <f t="shared" si="59"/>
        <v>0</v>
      </c>
      <c r="W155" s="6">
        <f t="shared" si="60"/>
        <v>0</v>
      </c>
      <c r="X155" s="6">
        <f t="shared" si="61"/>
        <v>0</v>
      </c>
      <c r="Y155" s="6">
        <f t="shared" si="62"/>
        <v>0</v>
      </c>
      <c r="Z155" s="6">
        <f t="shared" si="63"/>
        <v>0</v>
      </c>
      <c r="AB155" s="36" t="str">
        <f>IF(最佳化斷筋點!C155="","",最佳化斷筋點!C155)</f>
        <v>上層</v>
      </c>
      <c r="AC155" s="37">
        <f>IF(最佳化斷筋點!D155="","",最佳化斷筋點!D155)</f>
        <v>6</v>
      </c>
      <c r="AD155" s="37">
        <f>IF(最佳化斷筋點!E155="","",最佳化斷筋點!E155)</f>
        <v>6</v>
      </c>
      <c r="AE155" s="37">
        <f>IF(最佳化斷筋點!F155="","",最佳化斷筋點!F155)</f>
        <v>6</v>
      </c>
      <c r="AF155" s="37">
        <f>IF(最佳化斷筋點!G155="","",最佳化斷筋點!G155)</f>
        <v>6</v>
      </c>
      <c r="AG155" s="37">
        <f>IF(最佳化斷筋點!H155="","",最佳化斷筋點!H155)</f>
        <v>6</v>
      </c>
      <c r="AH155" s="37">
        <f>IF(最佳化斷筋點!I155="","",最佳化斷筋點!I155)</f>
        <v>5</v>
      </c>
      <c r="AI155" s="37">
        <f>IF(最佳化斷筋點!J155="","",最佳化斷筋點!J155)</f>
        <v>5</v>
      </c>
      <c r="AJ155" s="37">
        <f>IF(最佳化斷筋點!K155="","",最佳化斷筋點!K155)</f>
        <v>3</v>
      </c>
      <c r="AK155" s="37">
        <f>IF(最佳化斷筋點!L155="","",最佳化斷筋點!L155)</f>
        <v>3</v>
      </c>
      <c r="AL155" s="37">
        <f>IF(最佳化斷筋點!M155="","",最佳化斷筋點!M155)</f>
        <v>3</v>
      </c>
      <c r="AM155" s="37">
        <f>IF(最佳化斷筋點!N155="","",最佳化斷筋點!N155)</f>
        <v>3</v>
      </c>
      <c r="AN155" s="37">
        <f>IF(最佳化斷筋點!O155="","",最佳化斷筋點!O155)</f>
        <v>2</v>
      </c>
      <c r="AO155" s="37">
        <f>IF(最佳化斷筋點!P155="","",最佳化斷筋點!P155)</f>
        <v>3</v>
      </c>
      <c r="AP155" s="37">
        <f>IF(最佳化斷筋點!Q155="","",最佳化斷筋點!Q155)</f>
        <v>3</v>
      </c>
      <c r="AQ155" s="37">
        <f>IF(最佳化斷筋點!R155="","",最佳化斷筋點!R155)</f>
        <v>4</v>
      </c>
      <c r="AR155" s="37">
        <f>IF(最佳化斷筋點!S155="","",最佳化斷筋點!S155)</f>
        <v>4</v>
      </c>
      <c r="AS155" s="37">
        <f>IF(最佳化斷筋點!T155="","",最佳化斷筋點!T155)</f>
        <v>5</v>
      </c>
      <c r="AT155" s="37">
        <f>IF(最佳化斷筋點!U155="","",最佳化斷筋點!U155)</f>
        <v>5</v>
      </c>
      <c r="AU155" s="37">
        <f>IF(最佳化斷筋點!V155="","",最佳化斷筋點!V155)</f>
        <v>5</v>
      </c>
      <c r="AV155" s="37">
        <f>IF(最佳化斷筋點!W155="","",最佳化斷筋點!W155)</f>
        <v>5</v>
      </c>
      <c r="AW155" s="37">
        <f>IF(最佳化斷筋點!X155="","",最佳化斷筋點!X155)</f>
        <v>5</v>
      </c>
      <c r="AY155" s="6" t="s">
        <v>20</v>
      </c>
      <c r="AZ155" s="37">
        <v>6</v>
      </c>
      <c r="BA155" s="37">
        <v>6</v>
      </c>
      <c r="BB155" s="37">
        <v>6</v>
      </c>
      <c r="BC155" s="37">
        <v>6</v>
      </c>
      <c r="BD155" s="37">
        <v>6</v>
      </c>
      <c r="BE155" s="37">
        <v>5</v>
      </c>
      <c r="BF155" s="37">
        <v>5</v>
      </c>
      <c r="BG155" s="37">
        <v>3</v>
      </c>
      <c r="BH155" s="37">
        <v>3</v>
      </c>
      <c r="BI155" s="37">
        <v>3</v>
      </c>
      <c r="BJ155" s="37">
        <v>3</v>
      </c>
      <c r="BK155" s="37">
        <v>2</v>
      </c>
      <c r="BL155" s="37">
        <v>3</v>
      </c>
      <c r="BM155" s="37">
        <v>3</v>
      </c>
      <c r="BN155" s="37">
        <v>4</v>
      </c>
      <c r="BO155" s="37">
        <v>4</v>
      </c>
      <c r="BP155" s="37">
        <v>5</v>
      </c>
      <c r="BQ155" s="37">
        <v>5</v>
      </c>
      <c r="BR155" s="37">
        <v>5</v>
      </c>
      <c r="BS155" s="37">
        <v>5</v>
      </c>
      <c r="BT155" s="37">
        <v>5</v>
      </c>
    </row>
    <row r="156" spans="5:72" x14ac:dyDescent="0.25">
      <c r="F156" s="6">
        <f t="shared" si="43"/>
        <v>0</v>
      </c>
      <c r="G156" s="6">
        <f t="shared" si="44"/>
        <v>0</v>
      </c>
      <c r="H156" s="6">
        <f t="shared" si="45"/>
        <v>0</v>
      </c>
      <c r="I156" s="6">
        <f t="shared" si="46"/>
        <v>0</v>
      </c>
      <c r="J156" s="6">
        <f t="shared" si="47"/>
        <v>0</v>
      </c>
      <c r="K156" s="6">
        <f t="shared" si="48"/>
        <v>0</v>
      </c>
      <c r="L156" s="6">
        <f t="shared" si="49"/>
        <v>0</v>
      </c>
      <c r="M156" s="6">
        <f t="shared" si="50"/>
        <v>0</v>
      </c>
      <c r="N156" s="6">
        <f t="shared" si="51"/>
        <v>0</v>
      </c>
      <c r="O156" s="6">
        <f t="shared" si="52"/>
        <v>0</v>
      </c>
      <c r="P156" s="6">
        <f t="shared" si="53"/>
        <v>0</v>
      </c>
      <c r="Q156" s="6">
        <f t="shared" si="54"/>
        <v>0</v>
      </c>
      <c r="R156" s="6">
        <f t="shared" si="55"/>
        <v>0</v>
      </c>
      <c r="S156" s="6">
        <f t="shared" si="56"/>
        <v>0</v>
      </c>
      <c r="T156" s="6">
        <f t="shared" si="57"/>
        <v>0</v>
      </c>
      <c r="U156" s="6">
        <f t="shared" si="58"/>
        <v>0</v>
      </c>
      <c r="V156" s="6">
        <f t="shared" si="59"/>
        <v>0</v>
      </c>
      <c r="W156" s="6">
        <f t="shared" si="60"/>
        <v>0</v>
      </c>
      <c r="X156" s="6">
        <f t="shared" si="61"/>
        <v>0</v>
      </c>
      <c r="Y156" s="6">
        <f t="shared" si="62"/>
        <v>0</v>
      </c>
      <c r="Z156" s="6">
        <f t="shared" si="63"/>
        <v>0</v>
      </c>
      <c r="AB156" s="36" t="str">
        <f>IF(最佳化斷筋點!C156="","",最佳化斷筋點!C156)</f>
        <v/>
      </c>
      <c r="AC156" s="36" t="str">
        <f>IF(最佳化斷筋點!D156="","",最佳化斷筋點!D156)</f>
        <v/>
      </c>
      <c r="AD156" s="36" t="str">
        <f>IF(最佳化斷筋點!E156="","",最佳化斷筋點!E156)</f>
        <v/>
      </c>
      <c r="AE156" s="36" t="str">
        <f>IF(最佳化斷筋點!F156="","",最佳化斷筋點!F156)</f>
        <v/>
      </c>
      <c r="AF156" s="36" t="str">
        <f>IF(最佳化斷筋點!G156="","",最佳化斷筋點!G156)</f>
        <v/>
      </c>
      <c r="AG156" s="36" t="str">
        <f>IF(最佳化斷筋點!H156="","",最佳化斷筋點!H156)</f>
        <v/>
      </c>
      <c r="AH156" s="36" t="str">
        <f>IF(最佳化斷筋點!I156="","",最佳化斷筋點!I156)</f>
        <v/>
      </c>
      <c r="AI156" s="36" t="str">
        <f>IF(最佳化斷筋點!J156="","",最佳化斷筋點!J156)</f>
        <v/>
      </c>
      <c r="AJ156" s="36" t="str">
        <f>IF(最佳化斷筋點!K156="","",最佳化斷筋點!K156)</f>
        <v/>
      </c>
      <c r="AK156" s="36" t="str">
        <f>IF(最佳化斷筋點!L156="","",最佳化斷筋點!L156)</f>
        <v/>
      </c>
      <c r="AL156" s="36" t="str">
        <f>IF(最佳化斷筋點!M156="","",最佳化斷筋點!M156)</f>
        <v/>
      </c>
      <c r="AM156" s="36" t="str">
        <f>IF(最佳化斷筋點!N156="","",最佳化斷筋點!N156)</f>
        <v/>
      </c>
      <c r="AN156" s="36" t="str">
        <f>IF(最佳化斷筋點!O156="","",最佳化斷筋點!O156)</f>
        <v/>
      </c>
      <c r="AO156" s="36" t="str">
        <f>IF(最佳化斷筋點!P156="","",最佳化斷筋點!P156)</f>
        <v/>
      </c>
      <c r="AP156" s="36" t="str">
        <f>IF(最佳化斷筋點!Q156="","",最佳化斷筋點!Q156)</f>
        <v/>
      </c>
      <c r="AQ156" s="36" t="str">
        <f>IF(最佳化斷筋點!R156="","",最佳化斷筋點!R156)</f>
        <v/>
      </c>
      <c r="AR156" s="36" t="str">
        <f>IF(最佳化斷筋點!S156="","",最佳化斷筋點!S156)</f>
        <v/>
      </c>
      <c r="AS156" s="36" t="str">
        <f>IF(最佳化斷筋點!T156="","",最佳化斷筋點!T156)</f>
        <v/>
      </c>
      <c r="AT156" s="36" t="str">
        <f>IF(最佳化斷筋點!U156="","",最佳化斷筋點!U156)</f>
        <v/>
      </c>
      <c r="AU156" s="36" t="str">
        <f>IF(最佳化斷筋點!V156="","",最佳化斷筋點!V156)</f>
        <v/>
      </c>
      <c r="AV156" s="36" t="str">
        <f>IF(最佳化斷筋點!W156="","",最佳化斷筋點!W156)</f>
        <v/>
      </c>
      <c r="AW156" s="36" t="str">
        <f>IF(最佳化斷筋點!X156="","",最佳化斷筋點!X156)</f>
        <v/>
      </c>
      <c r="AZ156" s="37" t="s">
        <v>197</v>
      </c>
      <c r="BA156" s="37" t="s">
        <v>197</v>
      </c>
      <c r="BB156" s="37" t="s">
        <v>197</v>
      </c>
      <c r="BC156" s="37" t="s">
        <v>197</v>
      </c>
      <c r="BD156" s="37" t="s">
        <v>197</v>
      </c>
      <c r="BE156" s="37" t="s">
        <v>197</v>
      </c>
      <c r="BF156" s="37" t="s">
        <v>197</v>
      </c>
      <c r="BG156" s="37" t="s">
        <v>197</v>
      </c>
      <c r="BH156" s="37" t="s">
        <v>197</v>
      </c>
      <c r="BI156" s="37" t="s">
        <v>197</v>
      </c>
      <c r="BJ156" s="37" t="s">
        <v>197</v>
      </c>
      <c r="BK156" s="37" t="s">
        <v>197</v>
      </c>
      <c r="BL156" s="37" t="s">
        <v>197</v>
      </c>
      <c r="BM156" s="37" t="s">
        <v>197</v>
      </c>
      <c r="BN156" s="37" t="s">
        <v>197</v>
      </c>
      <c r="BO156" s="37" t="s">
        <v>197</v>
      </c>
      <c r="BP156" s="37" t="s">
        <v>197</v>
      </c>
      <c r="BQ156" s="37" t="s">
        <v>197</v>
      </c>
      <c r="BR156" s="37" t="s">
        <v>197</v>
      </c>
      <c r="BS156" s="37" t="s">
        <v>197</v>
      </c>
      <c r="BT156" s="37" t="s">
        <v>197</v>
      </c>
    </row>
    <row r="157" spans="5:72" x14ac:dyDescent="0.25">
      <c r="E157" s="6" t="s">
        <v>21</v>
      </c>
      <c r="F157" s="6">
        <f t="shared" si="43"/>
        <v>0</v>
      </c>
      <c r="G157" s="6">
        <f t="shared" si="44"/>
        <v>0</v>
      </c>
      <c r="H157" s="6">
        <f t="shared" si="45"/>
        <v>0</v>
      </c>
      <c r="I157" s="6">
        <f t="shared" si="46"/>
        <v>0</v>
      </c>
      <c r="J157" s="6">
        <f t="shared" si="47"/>
        <v>0</v>
      </c>
      <c r="K157" s="6">
        <f t="shared" si="48"/>
        <v>0</v>
      </c>
      <c r="L157" s="6">
        <f t="shared" si="49"/>
        <v>0</v>
      </c>
      <c r="M157" s="6">
        <f t="shared" si="50"/>
        <v>0</v>
      </c>
      <c r="N157" s="6">
        <f t="shared" si="51"/>
        <v>0</v>
      </c>
      <c r="O157" s="6">
        <f t="shared" si="52"/>
        <v>0</v>
      </c>
      <c r="P157" s="6">
        <f t="shared" si="53"/>
        <v>0</v>
      </c>
      <c r="Q157" s="6">
        <f t="shared" si="54"/>
        <v>0</v>
      </c>
      <c r="R157" s="6">
        <f t="shared" si="55"/>
        <v>0</v>
      </c>
      <c r="S157" s="6">
        <f t="shared" si="56"/>
        <v>0</v>
      </c>
      <c r="T157" s="6">
        <f t="shared" si="57"/>
        <v>0</v>
      </c>
      <c r="U157" s="6">
        <f t="shared" si="58"/>
        <v>0</v>
      </c>
      <c r="V157" s="6">
        <f t="shared" si="59"/>
        <v>0</v>
      </c>
      <c r="W157" s="6">
        <f t="shared" si="60"/>
        <v>0</v>
      </c>
      <c r="X157" s="6">
        <f t="shared" si="61"/>
        <v>0</v>
      </c>
      <c r="Y157" s="6">
        <f t="shared" si="62"/>
        <v>0</v>
      </c>
      <c r="Z157" s="6">
        <f t="shared" si="63"/>
        <v>0</v>
      </c>
      <c r="AB157" s="36" t="str">
        <f>IF(最佳化斷筋點!C157="","",最佳化斷筋點!C157)</f>
        <v>下層</v>
      </c>
      <c r="AC157" s="37">
        <f>IF(最佳化斷筋點!D157="","",最佳化斷筋點!D157)</f>
        <v>3</v>
      </c>
      <c r="AD157" s="37">
        <f>IF(最佳化斷筋點!E157="","",最佳化斷筋點!E157)</f>
        <v>3</v>
      </c>
      <c r="AE157" s="37">
        <f>IF(最佳化斷筋點!F157="","",最佳化斷筋點!F157)</f>
        <v>3</v>
      </c>
      <c r="AF157" s="37">
        <f>IF(最佳化斷筋點!G157="","",最佳化斷筋點!G157)</f>
        <v>3</v>
      </c>
      <c r="AG157" s="37">
        <f>IF(最佳化斷筋點!H157="","",最佳化斷筋點!H157)</f>
        <v>3</v>
      </c>
      <c r="AH157" s="37">
        <f>IF(最佳化斷筋點!I157="","",最佳化斷筋點!I157)</f>
        <v>3</v>
      </c>
      <c r="AI157" s="37">
        <f>IF(最佳化斷筋點!J157="","",最佳化斷筋點!J157)</f>
        <v>3</v>
      </c>
      <c r="AJ157" s="37">
        <f>IF(最佳化斷筋點!K157="","",最佳化斷筋點!K157)</f>
        <v>3</v>
      </c>
      <c r="AK157" s="37">
        <f>IF(最佳化斷筋點!L157="","",最佳化斷筋點!L157)</f>
        <v>3</v>
      </c>
      <c r="AL157" s="37">
        <f>IF(最佳化斷筋點!M157="","",最佳化斷筋點!M157)</f>
        <v>3</v>
      </c>
      <c r="AM157" s="37">
        <f>IF(最佳化斷筋點!N157="","",最佳化斷筋點!N157)</f>
        <v>3</v>
      </c>
      <c r="AN157" s="37">
        <f>IF(最佳化斷筋點!O157="","",最佳化斷筋點!O157)</f>
        <v>3</v>
      </c>
      <c r="AO157" s="37">
        <f>IF(最佳化斷筋點!P157="","",最佳化斷筋點!P157)</f>
        <v>3</v>
      </c>
      <c r="AP157" s="37">
        <f>IF(最佳化斷筋點!Q157="","",最佳化斷筋點!Q157)</f>
        <v>3</v>
      </c>
      <c r="AQ157" s="37">
        <f>IF(最佳化斷筋點!R157="","",最佳化斷筋點!R157)</f>
        <v>3</v>
      </c>
      <c r="AR157" s="37">
        <f>IF(最佳化斷筋點!S157="","",最佳化斷筋點!S157)</f>
        <v>3</v>
      </c>
      <c r="AS157" s="37">
        <f>IF(最佳化斷筋點!T157="","",最佳化斷筋點!T157)</f>
        <v>4</v>
      </c>
      <c r="AT157" s="37">
        <f>IF(最佳化斷筋點!U157="","",最佳化斷筋點!U157)</f>
        <v>4</v>
      </c>
      <c r="AU157" s="37">
        <f>IF(最佳化斷筋點!V157="","",最佳化斷筋點!V157)</f>
        <v>4</v>
      </c>
      <c r="AV157" s="37">
        <f>IF(最佳化斷筋點!W157="","",最佳化斷筋點!W157)</f>
        <v>4</v>
      </c>
      <c r="AW157" s="37">
        <f>IF(最佳化斷筋點!X157="","",最佳化斷筋點!X157)</f>
        <v>4</v>
      </c>
      <c r="AY157" s="6" t="s">
        <v>21</v>
      </c>
      <c r="AZ157" s="37">
        <v>3</v>
      </c>
      <c r="BA157" s="37">
        <v>3</v>
      </c>
      <c r="BB157" s="37">
        <v>3</v>
      </c>
      <c r="BC157" s="37">
        <v>3</v>
      </c>
      <c r="BD157" s="37">
        <v>3</v>
      </c>
      <c r="BE157" s="37">
        <v>3</v>
      </c>
      <c r="BF157" s="37">
        <v>3</v>
      </c>
      <c r="BG157" s="37">
        <v>3</v>
      </c>
      <c r="BH157" s="37">
        <v>3</v>
      </c>
      <c r="BI157" s="37">
        <v>3</v>
      </c>
      <c r="BJ157" s="37">
        <v>3</v>
      </c>
      <c r="BK157" s="37">
        <v>3</v>
      </c>
      <c r="BL157" s="37">
        <v>3</v>
      </c>
      <c r="BM157" s="37">
        <v>3</v>
      </c>
      <c r="BN157" s="37">
        <v>3</v>
      </c>
      <c r="BO157" s="37">
        <v>3</v>
      </c>
      <c r="BP157" s="37">
        <v>4</v>
      </c>
      <c r="BQ157" s="37">
        <v>4</v>
      </c>
      <c r="BR157" s="37">
        <v>4</v>
      </c>
      <c r="BS157" s="37">
        <v>4</v>
      </c>
      <c r="BT157" s="37">
        <v>4</v>
      </c>
    </row>
    <row r="158" spans="5:72" x14ac:dyDescent="0.25">
      <c r="F158" s="6">
        <f t="shared" si="43"/>
        <v>0</v>
      </c>
      <c r="G158" s="6">
        <f t="shared" si="44"/>
        <v>0</v>
      </c>
      <c r="H158" s="6">
        <f t="shared" si="45"/>
        <v>0</v>
      </c>
      <c r="I158" s="6">
        <f t="shared" si="46"/>
        <v>0</v>
      </c>
      <c r="J158" s="6">
        <f t="shared" si="47"/>
        <v>0</v>
      </c>
      <c r="K158" s="6">
        <f t="shared" si="48"/>
        <v>0</v>
      </c>
      <c r="L158" s="6">
        <f t="shared" si="49"/>
        <v>0</v>
      </c>
      <c r="M158" s="6">
        <f t="shared" si="50"/>
        <v>0</v>
      </c>
      <c r="N158" s="6">
        <f t="shared" si="51"/>
        <v>0</v>
      </c>
      <c r="O158" s="6">
        <f t="shared" si="52"/>
        <v>0</v>
      </c>
      <c r="P158" s="6">
        <f t="shared" si="53"/>
        <v>0</v>
      </c>
      <c r="Q158" s="6">
        <f t="shared" si="54"/>
        <v>0</v>
      </c>
      <c r="R158" s="6">
        <f t="shared" si="55"/>
        <v>0</v>
      </c>
      <c r="S158" s="6">
        <f t="shared" si="56"/>
        <v>0</v>
      </c>
      <c r="T158" s="6">
        <f t="shared" si="57"/>
        <v>0</v>
      </c>
      <c r="U158" s="6">
        <f t="shared" si="58"/>
        <v>0</v>
      </c>
      <c r="V158" s="6">
        <f t="shared" si="59"/>
        <v>0</v>
      </c>
      <c r="W158" s="6">
        <f t="shared" si="60"/>
        <v>0</v>
      </c>
      <c r="X158" s="6">
        <f t="shared" si="61"/>
        <v>0</v>
      </c>
      <c r="Y158" s="6">
        <f t="shared" si="62"/>
        <v>0</v>
      </c>
      <c r="Z158" s="6">
        <f t="shared" si="63"/>
        <v>0</v>
      </c>
      <c r="AB158" s="36" t="str">
        <f>IF(最佳化斷筋點!C158="","",最佳化斷筋點!C158)</f>
        <v/>
      </c>
      <c r="AC158" s="37" t="str">
        <f>IF(最佳化斷筋點!D158="","",最佳化斷筋點!D158)</f>
        <v/>
      </c>
      <c r="AD158" s="37" t="str">
        <f>IF(最佳化斷筋點!E158="","",最佳化斷筋點!E158)</f>
        <v/>
      </c>
      <c r="AE158" s="37" t="str">
        <f>IF(最佳化斷筋點!F158="","",最佳化斷筋點!F158)</f>
        <v/>
      </c>
      <c r="AF158" s="37" t="str">
        <f>IF(最佳化斷筋點!G158="","",最佳化斷筋點!G158)</f>
        <v/>
      </c>
      <c r="AG158" s="37" t="str">
        <f>IF(最佳化斷筋點!H158="","",最佳化斷筋點!H158)</f>
        <v/>
      </c>
      <c r="AH158" s="37" t="str">
        <f>IF(最佳化斷筋點!I158="","",最佳化斷筋點!I158)</f>
        <v/>
      </c>
      <c r="AI158" s="37" t="str">
        <f>IF(最佳化斷筋點!J158="","",最佳化斷筋點!J158)</f>
        <v/>
      </c>
      <c r="AJ158" s="37" t="str">
        <f>IF(最佳化斷筋點!K158="","",最佳化斷筋點!K158)</f>
        <v/>
      </c>
      <c r="AK158" s="37" t="str">
        <f>IF(最佳化斷筋點!L158="","",最佳化斷筋點!L158)</f>
        <v/>
      </c>
      <c r="AL158" s="37" t="str">
        <f>IF(最佳化斷筋點!M158="","",最佳化斷筋點!M158)</f>
        <v/>
      </c>
      <c r="AM158" s="37" t="str">
        <f>IF(最佳化斷筋點!N158="","",最佳化斷筋點!N158)</f>
        <v/>
      </c>
      <c r="AN158" s="37" t="str">
        <f>IF(最佳化斷筋點!O158="","",最佳化斷筋點!O158)</f>
        <v/>
      </c>
      <c r="AO158" s="37" t="str">
        <f>IF(最佳化斷筋點!P158="","",最佳化斷筋點!P158)</f>
        <v/>
      </c>
      <c r="AP158" s="37" t="str">
        <f>IF(最佳化斷筋點!Q158="","",最佳化斷筋點!Q158)</f>
        <v/>
      </c>
      <c r="AQ158" s="37" t="str">
        <f>IF(最佳化斷筋點!R158="","",最佳化斷筋點!R158)</f>
        <v/>
      </c>
      <c r="AR158" s="37" t="str">
        <f>IF(最佳化斷筋點!S158="","",最佳化斷筋點!S158)</f>
        <v/>
      </c>
      <c r="AS158" s="37" t="str">
        <f>IF(最佳化斷筋點!T158="","",最佳化斷筋點!T158)</f>
        <v/>
      </c>
      <c r="AT158" s="37" t="str">
        <f>IF(最佳化斷筋點!U158="","",最佳化斷筋點!U158)</f>
        <v/>
      </c>
      <c r="AU158" s="37" t="str">
        <f>IF(最佳化斷筋點!V158="","",最佳化斷筋點!V158)</f>
        <v/>
      </c>
      <c r="AV158" s="37" t="str">
        <f>IF(最佳化斷筋點!W158="","",最佳化斷筋點!W158)</f>
        <v/>
      </c>
      <c r="AW158" s="37" t="str">
        <f>IF(最佳化斷筋點!X158="","",最佳化斷筋點!X158)</f>
        <v/>
      </c>
      <c r="AZ158" s="37" t="s">
        <v>197</v>
      </c>
      <c r="BA158" s="37" t="s">
        <v>197</v>
      </c>
      <c r="BB158" s="37" t="s">
        <v>197</v>
      </c>
      <c r="BC158" s="37" t="s">
        <v>197</v>
      </c>
      <c r="BD158" s="37" t="s">
        <v>197</v>
      </c>
      <c r="BE158" s="37" t="s">
        <v>197</v>
      </c>
      <c r="BF158" s="37" t="s">
        <v>197</v>
      </c>
      <c r="BG158" s="37" t="s">
        <v>197</v>
      </c>
      <c r="BH158" s="37" t="s">
        <v>197</v>
      </c>
      <c r="BI158" s="37" t="s">
        <v>197</v>
      </c>
      <c r="BJ158" s="37" t="s">
        <v>197</v>
      </c>
      <c r="BK158" s="37" t="s">
        <v>197</v>
      </c>
      <c r="BL158" s="37" t="s">
        <v>197</v>
      </c>
      <c r="BM158" s="37" t="s">
        <v>197</v>
      </c>
      <c r="BN158" s="37" t="s">
        <v>197</v>
      </c>
      <c r="BO158" s="37" t="s">
        <v>197</v>
      </c>
      <c r="BP158" s="37" t="s">
        <v>197</v>
      </c>
      <c r="BQ158" s="37" t="s">
        <v>197</v>
      </c>
      <c r="BR158" s="37" t="s">
        <v>197</v>
      </c>
      <c r="BS158" s="37" t="s">
        <v>197</v>
      </c>
      <c r="BT158" s="37" t="s">
        <v>197</v>
      </c>
    </row>
    <row r="159" spans="5:72" x14ac:dyDescent="0.25">
      <c r="E159" s="6" t="s">
        <v>20</v>
      </c>
      <c r="F159" s="6">
        <f t="shared" si="43"/>
        <v>0</v>
      </c>
      <c r="G159" s="6">
        <f t="shared" si="44"/>
        <v>0</v>
      </c>
      <c r="H159" s="6">
        <f t="shared" si="45"/>
        <v>0</v>
      </c>
      <c r="I159" s="6">
        <f t="shared" si="46"/>
        <v>0</v>
      </c>
      <c r="J159" s="6">
        <f t="shared" si="47"/>
        <v>0</v>
      </c>
      <c r="K159" s="6">
        <f t="shared" si="48"/>
        <v>0</v>
      </c>
      <c r="L159" s="6">
        <f t="shared" si="49"/>
        <v>0</v>
      </c>
      <c r="M159" s="6">
        <f t="shared" si="50"/>
        <v>0</v>
      </c>
      <c r="N159" s="6">
        <f t="shared" si="51"/>
        <v>0</v>
      </c>
      <c r="O159" s="6">
        <f t="shared" si="52"/>
        <v>0</v>
      </c>
      <c r="P159" s="6">
        <f t="shared" si="53"/>
        <v>0</v>
      </c>
      <c r="Q159" s="6">
        <f t="shared" si="54"/>
        <v>0</v>
      </c>
      <c r="R159" s="6">
        <f t="shared" si="55"/>
        <v>0</v>
      </c>
      <c r="S159" s="6">
        <f t="shared" si="56"/>
        <v>0</v>
      </c>
      <c r="T159" s="6">
        <f t="shared" si="57"/>
        <v>0</v>
      </c>
      <c r="U159" s="6">
        <f t="shared" si="58"/>
        <v>0</v>
      </c>
      <c r="V159" s="6">
        <f t="shared" si="59"/>
        <v>0</v>
      </c>
      <c r="W159" s="6">
        <f t="shared" si="60"/>
        <v>0</v>
      </c>
      <c r="X159" s="6">
        <f t="shared" si="61"/>
        <v>0</v>
      </c>
      <c r="Y159" s="6">
        <f t="shared" si="62"/>
        <v>0</v>
      </c>
      <c r="Z159" s="6">
        <f t="shared" si="63"/>
        <v>0</v>
      </c>
      <c r="AB159" s="36" t="str">
        <f>IF(最佳化斷筋點!C159="","",最佳化斷筋點!C159)</f>
        <v>上層</v>
      </c>
      <c r="AC159" s="37">
        <f>IF(最佳化斷筋點!D159="","",最佳化斷筋點!D159)</f>
        <v>5</v>
      </c>
      <c r="AD159" s="37">
        <f>IF(最佳化斷筋點!E159="","",最佳化斷筋點!E159)</f>
        <v>5</v>
      </c>
      <c r="AE159" s="37">
        <f>IF(最佳化斷筋點!F159="","",最佳化斷筋點!F159)</f>
        <v>5</v>
      </c>
      <c r="AF159" s="37">
        <f>IF(最佳化斷筋點!G159="","",最佳化斷筋點!G159)</f>
        <v>5</v>
      </c>
      <c r="AG159" s="37">
        <f>IF(最佳化斷筋點!H159="","",最佳化斷筋點!H159)</f>
        <v>5</v>
      </c>
      <c r="AH159" s="37">
        <f>IF(最佳化斷筋點!I159="","",最佳化斷筋點!I159)</f>
        <v>5</v>
      </c>
      <c r="AI159" s="37">
        <f>IF(最佳化斷筋點!J159="","",最佳化斷筋點!J159)</f>
        <v>5</v>
      </c>
      <c r="AJ159" s="37">
        <f>IF(最佳化斷筋點!K159="","",最佳化斷筋點!K159)</f>
        <v>3</v>
      </c>
      <c r="AK159" s="37">
        <f>IF(最佳化斷筋點!L159="","",最佳化斷筋點!L159)</f>
        <v>3</v>
      </c>
      <c r="AL159" s="37">
        <f>IF(最佳化斷筋點!M159="","",最佳化斷筋點!M159)</f>
        <v>3</v>
      </c>
      <c r="AM159" s="37">
        <f>IF(最佳化斷筋點!N159="","",最佳化斷筋點!N159)</f>
        <v>3</v>
      </c>
      <c r="AN159" s="37">
        <f>IF(最佳化斷筋點!O159="","",最佳化斷筋點!O159)</f>
        <v>3</v>
      </c>
      <c r="AO159" s="37">
        <f>IF(最佳化斷筋點!P159="","",最佳化斷筋點!P159)</f>
        <v>3</v>
      </c>
      <c r="AP159" s="37">
        <f>IF(最佳化斷筋點!Q159="","",最佳化斷筋點!Q159)</f>
        <v>4</v>
      </c>
      <c r="AQ159" s="37">
        <f>IF(最佳化斷筋點!R159="","",最佳化斷筋點!R159)</f>
        <v>4</v>
      </c>
      <c r="AR159" s="37">
        <f>IF(最佳化斷筋點!S159="","",最佳化斷筋點!S159)</f>
        <v>5</v>
      </c>
      <c r="AS159" s="37">
        <f>IF(最佳化斷筋點!T159="","",最佳化斷筋點!T159)</f>
        <v>5</v>
      </c>
      <c r="AT159" s="37">
        <f>IF(最佳化斷筋點!U159="","",最佳化斷筋點!U159)</f>
        <v>5</v>
      </c>
      <c r="AU159" s="37">
        <f>IF(最佳化斷筋點!V159="","",最佳化斷筋點!V159)</f>
        <v>5</v>
      </c>
      <c r="AV159" s="37">
        <f>IF(最佳化斷筋點!W159="","",最佳化斷筋點!W159)</f>
        <v>5</v>
      </c>
      <c r="AW159" s="37">
        <f>IF(最佳化斷筋點!X159="","",最佳化斷筋點!X159)</f>
        <v>5</v>
      </c>
      <c r="AY159" s="6" t="s">
        <v>20</v>
      </c>
      <c r="AZ159" s="37">
        <v>5</v>
      </c>
      <c r="BA159" s="37">
        <v>5</v>
      </c>
      <c r="BB159" s="37">
        <v>5</v>
      </c>
      <c r="BC159" s="37">
        <v>5</v>
      </c>
      <c r="BD159" s="37">
        <v>5</v>
      </c>
      <c r="BE159" s="37">
        <v>5</v>
      </c>
      <c r="BF159" s="37">
        <v>5</v>
      </c>
      <c r="BG159" s="37">
        <v>3</v>
      </c>
      <c r="BH159" s="37">
        <v>3</v>
      </c>
      <c r="BI159" s="37">
        <v>3</v>
      </c>
      <c r="BJ159" s="37">
        <v>3</v>
      </c>
      <c r="BK159" s="37">
        <v>3</v>
      </c>
      <c r="BL159" s="37">
        <v>3</v>
      </c>
      <c r="BM159" s="37">
        <v>4</v>
      </c>
      <c r="BN159" s="37">
        <v>4</v>
      </c>
      <c r="BO159" s="37">
        <v>5</v>
      </c>
      <c r="BP159" s="37">
        <v>5</v>
      </c>
      <c r="BQ159" s="37">
        <v>5</v>
      </c>
      <c r="BR159" s="37">
        <v>5</v>
      </c>
      <c r="BS159" s="37">
        <v>5</v>
      </c>
      <c r="BT159" s="37">
        <v>5</v>
      </c>
    </row>
    <row r="160" spans="5:72" x14ac:dyDescent="0.25">
      <c r="F160" s="6">
        <f t="shared" si="43"/>
        <v>0</v>
      </c>
      <c r="G160" s="6">
        <f t="shared" si="44"/>
        <v>0</v>
      </c>
      <c r="H160" s="6">
        <f t="shared" si="45"/>
        <v>0</v>
      </c>
      <c r="I160" s="6">
        <f t="shared" si="46"/>
        <v>0</v>
      </c>
      <c r="J160" s="6">
        <f t="shared" si="47"/>
        <v>0</v>
      </c>
      <c r="K160" s="6">
        <f t="shared" si="48"/>
        <v>0</v>
      </c>
      <c r="L160" s="6">
        <f t="shared" si="49"/>
        <v>0</v>
      </c>
      <c r="M160" s="6">
        <f t="shared" si="50"/>
        <v>0</v>
      </c>
      <c r="N160" s="6">
        <f t="shared" si="51"/>
        <v>0</v>
      </c>
      <c r="O160" s="6">
        <f t="shared" si="52"/>
        <v>0</v>
      </c>
      <c r="P160" s="6">
        <f t="shared" si="53"/>
        <v>0</v>
      </c>
      <c r="Q160" s="6">
        <f t="shared" si="54"/>
        <v>0</v>
      </c>
      <c r="R160" s="6">
        <f t="shared" si="55"/>
        <v>0</v>
      </c>
      <c r="S160" s="6">
        <f t="shared" si="56"/>
        <v>0</v>
      </c>
      <c r="T160" s="6">
        <f t="shared" si="57"/>
        <v>0</v>
      </c>
      <c r="U160" s="6">
        <f t="shared" si="58"/>
        <v>0</v>
      </c>
      <c r="V160" s="6">
        <f t="shared" si="59"/>
        <v>0</v>
      </c>
      <c r="W160" s="6">
        <f t="shared" si="60"/>
        <v>0</v>
      </c>
      <c r="X160" s="6">
        <f t="shared" si="61"/>
        <v>0</v>
      </c>
      <c r="Y160" s="6">
        <f t="shared" si="62"/>
        <v>0</v>
      </c>
      <c r="Z160" s="6">
        <f t="shared" si="63"/>
        <v>0</v>
      </c>
      <c r="AB160" s="36" t="str">
        <f>IF(最佳化斷筋點!C160="","",最佳化斷筋點!C160)</f>
        <v/>
      </c>
      <c r="AC160" s="37" t="str">
        <f>IF(最佳化斷筋點!D160="","",最佳化斷筋點!D160)</f>
        <v/>
      </c>
      <c r="AD160" s="37" t="str">
        <f>IF(最佳化斷筋點!E160="","",最佳化斷筋點!E160)</f>
        <v/>
      </c>
      <c r="AE160" s="37" t="str">
        <f>IF(最佳化斷筋點!F160="","",最佳化斷筋點!F160)</f>
        <v/>
      </c>
      <c r="AF160" s="37" t="str">
        <f>IF(最佳化斷筋點!G160="","",最佳化斷筋點!G160)</f>
        <v/>
      </c>
      <c r="AG160" s="37" t="str">
        <f>IF(最佳化斷筋點!H160="","",最佳化斷筋點!H160)</f>
        <v/>
      </c>
      <c r="AH160" s="37" t="str">
        <f>IF(最佳化斷筋點!I160="","",最佳化斷筋點!I160)</f>
        <v/>
      </c>
      <c r="AI160" s="37" t="str">
        <f>IF(最佳化斷筋點!J160="","",最佳化斷筋點!J160)</f>
        <v/>
      </c>
      <c r="AJ160" s="37" t="str">
        <f>IF(最佳化斷筋點!K160="","",最佳化斷筋點!K160)</f>
        <v/>
      </c>
      <c r="AK160" s="37" t="str">
        <f>IF(最佳化斷筋點!L160="","",最佳化斷筋點!L160)</f>
        <v/>
      </c>
      <c r="AL160" s="37" t="str">
        <f>IF(最佳化斷筋點!M160="","",最佳化斷筋點!M160)</f>
        <v/>
      </c>
      <c r="AM160" s="37" t="str">
        <f>IF(最佳化斷筋點!N160="","",最佳化斷筋點!N160)</f>
        <v/>
      </c>
      <c r="AN160" s="37" t="str">
        <f>IF(最佳化斷筋點!O160="","",最佳化斷筋點!O160)</f>
        <v/>
      </c>
      <c r="AO160" s="37" t="str">
        <f>IF(最佳化斷筋點!P160="","",最佳化斷筋點!P160)</f>
        <v/>
      </c>
      <c r="AP160" s="37" t="str">
        <f>IF(最佳化斷筋點!Q160="","",最佳化斷筋點!Q160)</f>
        <v/>
      </c>
      <c r="AQ160" s="37" t="str">
        <f>IF(最佳化斷筋點!R160="","",最佳化斷筋點!R160)</f>
        <v/>
      </c>
      <c r="AR160" s="37" t="str">
        <f>IF(最佳化斷筋點!S160="","",最佳化斷筋點!S160)</f>
        <v/>
      </c>
      <c r="AS160" s="37" t="str">
        <f>IF(最佳化斷筋點!T160="","",最佳化斷筋點!T160)</f>
        <v/>
      </c>
      <c r="AT160" s="37" t="str">
        <f>IF(最佳化斷筋點!U160="","",最佳化斷筋點!U160)</f>
        <v/>
      </c>
      <c r="AU160" s="37" t="str">
        <f>IF(最佳化斷筋點!V160="","",最佳化斷筋點!V160)</f>
        <v/>
      </c>
      <c r="AV160" s="37" t="str">
        <f>IF(最佳化斷筋點!W160="","",最佳化斷筋點!W160)</f>
        <v/>
      </c>
      <c r="AW160" s="37" t="str">
        <f>IF(最佳化斷筋點!X160="","",最佳化斷筋點!X160)</f>
        <v/>
      </c>
      <c r="AZ160" s="37" t="s">
        <v>197</v>
      </c>
      <c r="BA160" s="37" t="s">
        <v>197</v>
      </c>
      <c r="BB160" s="37" t="s">
        <v>197</v>
      </c>
      <c r="BC160" s="37" t="s">
        <v>197</v>
      </c>
      <c r="BD160" s="37" t="s">
        <v>197</v>
      </c>
      <c r="BE160" s="37" t="s">
        <v>197</v>
      </c>
      <c r="BF160" s="37" t="s">
        <v>197</v>
      </c>
      <c r="BG160" s="37" t="s">
        <v>197</v>
      </c>
      <c r="BH160" s="37" t="s">
        <v>197</v>
      </c>
      <c r="BI160" s="37" t="s">
        <v>197</v>
      </c>
      <c r="BJ160" s="37" t="s">
        <v>197</v>
      </c>
      <c r="BK160" s="37" t="s">
        <v>197</v>
      </c>
      <c r="BL160" s="37" t="s">
        <v>197</v>
      </c>
      <c r="BM160" s="37" t="s">
        <v>197</v>
      </c>
      <c r="BN160" s="37" t="s">
        <v>197</v>
      </c>
      <c r="BO160" s="37" t="s">
        <v>197</v>
      </c>
      <c r="BP160" s="37" t="s">
        <v>197</v>
      </c>
      <c r="BQ160" s="37" t="s">
        <v>197</v>
      </c>
      <c r="BR160" s="37" t="s">
        <v>197</v>
      </c>
      <c r="BS160" s="37" t="s">
        <v>197</v>
      </c>
      <c r="BT160" s="37" t="s">
        <v>197</v>
      </c>
    </row>
    <row r="161" spans="5:72" x14ac:dyDescent="0.25">
      <c r="E161" s="6" t="s">
        <v>21</v>
      </c>
      <c r="F161" s="6">
        <f t="shared" si="43"/>
        <v>0</v>
      </c>
      <c r="G161" s="6">
        <f t="shared" si="44"/>
        <v>0</v>
      </c>
      <c r="H161" s="6">
        <f t="shared" si="45"/>
        <v>0</v>
      </c>
      <c r="I161" s="6">
        <f t="shared" si="46"/>
        <v>0</v>
      </c>
      <c r="J161" s="6">
        <f t="shared" si="47"/>
        <v>0</v>
      </c>
      <c r="K161" s="6">
        <f t="shared" si="48"/>
        <v>0</v>
      </c>
      <c r="L161" s="6">
        <f t="shared" si="49"/>
        <v>0</v>
      </c>
      <c r="M161" s="6">
        <f t="shared" si="50"/>
        <v>0</v>
      </c>
      <c r="N161" s="6">
        <f t="shared" si="51"/>
        <v>0</v>
      </c>
      <c r="O161" s="6">
        <f t="shared" si="52"/>
        <v>0</v>
      </c>
      <c r="P161" s="6">
        <f t="shared" si="53"/>
        <v>0</v>
      </c>
      <c r="Q161" s="6">
        <f t="shared" si="54"/>
        <v>0</v>
      </c>
      <c r="R161" s="6">
        <f t="shared" si="55"/>
        <v>0</v>
      </c>
      <c r="S161" s="6">
        <f t="shared" si="56"/>
        <v>0</v>
      </c>
      <c r="T161" s="6">
        <f t="shared" si="57"/>
        <v>0</v>
      </c>
      <c r="U161" s="6">
        <f t="shared" si="58"/>
        <v>0</v>
      </c>
      <c r="V161" s="6">
        <f t="shared" si="59"/>
        <v>0</v>
      </c>
      <c r="W161" s="6">
        <f t="shared" si="60"/>
        <v>0</v>
      </c>
      <c r="X161" s="6">
        <f t="shared" si="61"/>
        <v>0</v>
      </c>
      <c r="Y161" s="6">
        <f t="shared" si="62"/>
        <v>0</v>
      </c>
      <c r="Z161" s="6">
        <f t="shared" si="63"/>
        <v>0</v>
      </c>
      <c r="AB161" s="36" t="str">
        <f>IF(最佳化斷筋點!C161="","",最佳化斷筋點!C161)</f>
        <v>下層</v>
      </c>
      <c r="AC161" s="37">
        <f>IF(最佳化斷筋點!D161="","",最佳化斷筋點!D161)</f>
        <v>4</v>
      </c>
      <c r="AD161" s="37">
        <f>IF(最佳化斷筋點!E161="","",最佳化斷筋點!E161)</f>
        <v>4</v>
      </c>
      <c r="AE161" s="37">
        <f>IF(最佳化斷筋點!F161="","",最佳化斷筋點!F161)</f>
        <v>4</v>
      </c>
      <c r="AF161" s="37">
        <f>IF(最佳化斷筋點!G161="","",最佳化斷筋點!G161)</f>
        <v>4</v>
      </c>
      <c r="AG161" s="37">
        <f>IF(最佳化斷筋點!H161="","",最佳化斷筋點!H161)</f>
        <v>4</v>
      </c>
      <c r="AH161" s="37">
        <f>IF(最佳化斷筋點!I161="","",最佳化斷筋點!I161)</f>
        <v>4</v>
      </c>
      <c r="AI161" s="37">
        <f>IF(最佳化斷筋點!J161="","",最佳化斷筋點!J161)</f>
        <v>3</v>
      </c>
      <c r="AJ161" s="37">
        <f>IF(最佳化斷筋點!K161="","",最佳化斷筋點!K161)</f>
        <v>3</v>
      </c>
      <c r="AK161" s="37">
        <f>IF(最佳化斷筋點!L161="","",最佳化斷筋點!L161)</f>
        <v>3</v>
      </c>
      <c r="AL161" s="37">
        <f>IF(最佳化斷筋點!M161="","",最佳化斷筋點!M161)</f>
        <v>3</v>
      </c>
      <c r="AM161" s="37">
        <f>IF(最佳化斷筋點!N161="","",最佳化斷筋點!N161)</f>
        <v>3</v>
      </c>
      <c r="AN161" s="37">
        <f>IF(最佳化斷筋點!O161="","",最佳化斷筋點!O161)</f>
        <v>3</v>
      </c>
      <c r="AO161" s="37">
        <f>IF(最佳化斷筋點!P161="","",最佳化斷筋點!P161)</f>
        <v>3</v>
      </c>
      <c r="AP161" s="37">
        <f>IF(最佳化斷筋點!Q161="","",最佳化斷筋點!Q161)</f>
        <v>3</v>
      </c>
      <c r="AQ161" s="37">
        <f>IF(最佳化斷筋點!R161="","",最佳化斷筋點!R161)</f>
        <v>3</v>
      </c>
      <c r="AR161" s="37">
        <f>IF(最佳化斷筋點!S161="","",最佳化斷筋點!S161)</f>
        <v>3</v>
      </c>
      <c r="AS161" s="37">
        <f>IF(最佳化斷筋點!T161="","",最佳化斷筋點!T161)</f>
        <v>4</v>
      </c>
      <c r="AT161" s="37">
        <f>IF(最佳化斷筋點!U161="","",最佳化斷筋點!U161)</f>
        <v>4</v>
      </c>
      <c r="AU161" s="37">
        <f>IF(最佳化斷筋點!V161="","",最佳化斷筋點!V161)</f>
        <v>4</v>
      </c>
      <c r="AV161" s="37">
        <f>IF(最佳化斷筋點!W161="","",最佳化斷筋點!W161)</f>
        <v>4</v>
      </c>
      <c r="AW161" s="37">
        <f>IF(最佳化斷筋點!X161="","",最佳化斷筋點!X161)</f>
        <v>4</v>
      </c>
      <c r="AY161" s="6" t="s">
        <v>21</v>
      </c>
      <c r="AZ161" s="37">
        <v>4</v>
      </c>
      <c r="BA161" s="37">
        <v>4</v>
      </c>
      <c r="BB161" s="37">
        <v>4</v>
      </c>
      <c r="BC161" s="37">
        <v>4</v>
      </c>
      <c r="BD161" s="37">
        <v>4</v>
      </c>
      <c r="BE161" s="37">
        <v>4</v>
      </c>
      <c r="BF161" s="37">
        <v>3</v>
      </c>
      <c r="BG161" s="37">
        <v>3</v>
      </c>
      <c r="BH161" s="37">
        <v>3</v>
      </c>
      <c r="BI161" s="37">
        <v>3</v>
      </c>
      <c r="BJ161" s="37">
        <v>3</v>
      </c>
      <c r="BK161" s="37">
        <v>3</v>
      </c>
      <c r="BL161" s="37">
        <v>3</v>
      </c>
      <c r="BM161" s="37">
        <v>3</v>
      </c>
      <c r="BN161" s="37">
        <v>3</v>
      </c>
      <c r="BO161" s="37">
        <v>3</v>
      </c>
      <c r="BP161" s="37">
        <v>4</v>
      </c>
      <c r="BQ161" s="37">
        <v>4</v>
      </c>
      <c r="BR161" s="37">
        <v>4</v>
      </c>
      <c r="BS161" s="37">
        <v>4</v>
      </c>
      <c r="BT161" s="37">
        <v>4</v>
      </c>
    </row>
    <row r="162" spans="5:72" x14ac:dyDescent="0.25">
      <c r="F162" s="6">
        <f t="shared" si="43"/>
        <v>0</v>
      </c>
      <c r="G162" s="6">
        <f t="shared" si="44"/>
        <v>0</v>
      </c>
      <c r="H162" s="6">
        <f t="shared" si="45"/>
        <v>0</v>
      </c>
      <c r="I162" s="6">
        <f t="shared" si="46"/>
        <v>0</v>
      </c>
      <c r="J162" s="6">
        <f t="shared" si="47"/>
        <v>0</v>
      </c>
      <c r="K162" s="6">
        <f t="shared" si="48"/>
        <v>0</v>
      </c>
      <c r="L162" s="6">
        <f t="shared" si="49"/>
        <v>0</v>
      </c>
      <c r="M162" s="6">
        <f t="shared" si="50"/>
        <v>0</v>
      </c>
      <c r="N162" s="6">
        <f t="shared" si="51"/>
        <v>0</v>
      </c>
      <c r="O162" s="6">
        <f t="shared" si="52"/>
        <v>0</v>
      </c>
      <c r="P162" s="6">
        <f t="shared" si="53"/>
        <v>0</v>
      </c>
      <c r="Q162" s="6">
        <f t="shared" si="54"/>
        <v>0</v>
      </c>
      <c r="R162" s="6">
        <f t="shared" si="55"/>
        <v>0</v>
      </c>
      <c r="S162" s="6">
        <f t="shared" si="56"/>
        <v>0</v>
      </c>
      <c r="T162" s="6">
        <f t="shared" si="57"/>
        <v>0</v>
      </c>
      <c r="U162" s="6">
        <f t="shared" si="58"/>
        <v>0</v>
      </c>
      <c r="V162" s="6">
        <f t="shared" si="59"/>
        <v>0</v>
      </c>
      <c r="W162" s="6">
        <f t="shared" si="60"/>
        <v>0</v>
      </c>
      <c r="X162" s="6">
        <f t="shared" si="61"/>
        <v>0</v>
      </c>
      <c r="Y162" s="6">
        <f t="shared" si="62"/>
        <v>0</v>
      </c>
      <c r="Z162" s="6">
        <f t="shared" si="63"/>
        <v>0</v>
      </c>
      <c r="AB162" s="36" t="str">
        <f>IF(最佳化斷筋點!C162="","",最佳化斷筋點!C162)</f>
        <v/>
      </c>
      <c r="AC162" s="37" t="str">
        <f>IF(最佳化斷筋點!D162="","",最佳化斷筋點!D162)</f>
        <v/>
      </c>
      <c r="AD162" s="37" t="str">
        <f>IF(最佳化斷筋點!E162="","",最佳化斷筋點!E162)</f>
        <v/>
      </c>
      <c r="AE162" s="37" t="str">
        <f>IF(最佳化斷筋點!F162="","",最佳化斷筋點!F162)</f>
        <v/>
      </c>
      <c r="AF162" s="37" t="str">
        <f>IF(最佳化斷筋點!G162="","",最佳化斷筋點!G162)</f>
        <v/>
      </c>
      <c r="AG162" s="37" t="str">
        <f>IF(最佳化斷筋點!H162="","",最佳化斷筋點!H162)</f>
        <v/>
      </c>
      <c r="AH162" s="37" t="str">
        <f>IF(最佳化斷筋點!I162="","",最佳化斷筋點!I162)</f>
        <v/>
      </c>
      <c r="AI162" s="37" t="str">
        <f>IF(最佳化斷筋點!J162="","",最佳化斷筋點!J162)</f>
        <v/>
      </c>
      <c r="AJ162" s="37" t="str">
        <f>IF(最佳化斷筋點!K162="","",最佳化斷筋點!K162)</f>
        <v/>
      </c>
      <c r="AK162" s="37" t="str">
        <f>IF(最佳化斷筋點!L162="","",最佳化斷筋點!L162)</f>
        <v/>
      </c>
      <c r="AL162" s="37" t="str">
        <f>IF(最佳化斷筋點!M162="","",最佳化斷筋點!M162)</f>
        <v/>
      </c>
      <c r="AM162" s="37" t="str">
        <f>IF(最佳化斷筋點!N162="","",最佳化斷筋點!N162)</f>
        <v/>
      </c>
      <c r="AN162" s="37" t="str">
        <f>IF(最佳化斷筋點!O162="","",最佳化斷筋點!O162)</f>
        <v/>
      </c>
      <c r="AO162" s="37" t="str">
        <f>IF(最佳化斷筋點!P162="","",最佳化斷筋點!P162)</f>
        <v/>
      </c>
      <c r="AP162" s="37" t="str">
        <f>IF(最佳化斷筋點!Q162="","",最佳化斷筋點!Q162)</f>
        <v/>
      </c>
      <c r="AQ162" s="37" t="str">
        <f>IF(最佳化斷筋點!R162="","",最佳化斷筋點!R162)</f>
        <v/>
      </c>
      <c r="AR162" s="37" t="str">
        <f>IF(最佳化斷筋點!S162="","",最佳化斷筋點!S162)</f>
        <v/>
      </c>
      <c r="AS162" s="37" t="str">
        <f>IF(最佳化斷筋點!T162="","",最佳化斷筋點!T162)</f>
        <v/>
      </c>
      <c r="AT162" s="37" t="str">
        <f>IF(最佳化斷筋點!U162="","",最佳化斷筋點!U162)</f>
        <v/>
      </c>
      <c r="AU162" s="37" t="str">
        <f>IF(最佳化斷筋點!V162="","",最佳化斷筋點!V162)</f>
        <v/>
      </c>
      <c r="AV162" s="37" t="str">
        <f>IF(最佳化斷筋點!W162="","",最佳化斷筋點!W162)</f>
        <v/>
      </c>
      <c r="AW162" s="37" t="str">
        <f>IF(最佳化斷筋點!X162="","",最佳化斷筋點!X162)</f>
        <v/>
      </c>
      <c r="AZ162" s="37" t="s">
        <v>197</v>
      </c>
      <c r="BA162" s="37" t="s">
        <v>197</v>
      </c>
      <c r="BB162" s="37" t="s">
        <v>197</v>
      </c>
      <c r="BC162" s="37" t="s">
        <v>197</v>
      </c>
      <c r="BD162" s="37" t="s">
        <v>197</v>
      </c>
      <c r="BE162" s="37" t="s">
        <v>197</v>
      </c>
      <c r="BF162" s="37" t="s">
        <v>197</v>
      </c>
      <c r="BG162" s="37" t="s">
        <v>197</v>
      </c>
      <c r="BH162" s="37" t="s">
        <v>197</v>
      </c>
      <c r="BI162" s="37" t="s">
        <v>197</v>
      </c>
      <c r="BJ162" s="37" t="s">
        <v>197</v>
      </c>
      <c r="BK162" s="37" t="s">
        <v>197</v>
      </c>
      <c r="BL162" s="37" t="s">
        <v>197</v>
      </c>
      <c r="BM162" s="37" t="s">
        <v>197</v>
      </c>
      <c r="BN162" s="37" t="s">
        <v>197</v>
      </c>
      <c r="BO162" s="37" t="s">
        <v>197</v>
      </c>
      <c r="BP162" s="37" t="s">
        <v>197</v>
      </c>
      <c r="BQ162" s="37" t="s">
        <v>197</v>
      </c>
      <c r="BR162" s="37" t="s">
        <v>197</v>
      </c>
      <c r="BS162" s="37" t="s">
        <v>197</v>
      </c>
      <c r="BT162" s="37" t="s">
        <v>197</v>
      </c>
    </row>
    <row r="163" spans="5:72" x14ac:dyDescent="0.25">
      <c r="E163" s="6" t="s">
        <v>20</v>
      </c>
      <c r="F163" s="6">
        <f t="shared" si="43"/>
        <v>0</v>
      </c>
      <c r="G163" s="6">
        <f t="shared" si="44"/>
        <v>0</v>
      </c>
      <c r="H163" s="6">
        <f t="shared" si="45"/>
        <v>0</v>
      </c>
      <c r="I163" s="6">
        <f t="shared" si="46"/>
        <v>0</v>
      </c>
      <c r="J163" s="6">
        <f t="shared" si="47"/>
        <v>0</v>
      </c>
      <c r="K163" s="6">
        <f t="shared" si="48"/>
        <v>0</v>
      </c>
      <c r="L163" s="6">
        <f t="shared" si="49"/>
        <v>0</v>
      </c>
      <c r="M163" s="6">
        <f t="shared" si="50"/>
        <v>0</v>
      </c>
      <c r="N163" s="6">
        <f t="shared" si="51"/>
        <v>0</v>
      </c>
      <c r="O163" s="6">
        <f t="shared" si="52"/>
        <v>0</v>
      </c>
      <c r="P163" s="6">
        <f t="shared" si="53"/>
        <v>0</v>
      </c>
      <c r="Q163" s="6">
        <f t="shared" si="54"/>
        <v>0</v>
      </c>
      <c r="R163" s="6">
        <f t="shared" si="55"/>
        <v>0</v>
      </c>
      <c r="S163" s="6">
        <f t="shared" si="56"/>
        <v>0</v>
      </c>
      <c r="T163" s="6">
        <f t="shared" si="57"/>
        <v>0</v>
      </c>
      <c r="U163" s="6">
        <f t="shared" si="58"/>
        <v>0</v>
      </c>
      <c r="V163" s="6">
        <f t="shared" si="59"/>
        <v>0</v>
      </c>
      <c r="W163" s="6">
        <f t="shared" si="60"/>
        <v>0</v>
      </c>
      <c r="X163" s="6">
        <f t="shared" si="61"/>
        <v>0</v>
      </c>
      <c r="Y163" s="6">
        <f t="shared" si="62"/>
        <v>0</v>
      </c>
      <c r="Z163" s="6">
        <f t="shared" si="63"/>
        <v>0</v>
      </c>
      <c r="AB163" s="36" t="str">
        <f>IF(最佳化斷筋點!C163="","",最佳化斷筋點!C163)</f>
        <v>上層</v>
      </c>
      <c r="AC163" s="37">
        <f>IF(最佳化斷筋點!D163="","",最佳化斷筋點!D163)</f>
        <v>5</v>
      </c>
      <c r="AD163" s="37">
        <f>IF(最佳化斷筋點!E163="","",最佳化斷筋點!E163)</f>
        <v>5</v>
      </c>
      <c r="AE163" s="37">
        <f>IF(最佳化斷筋點!F163="","",最佳化斷筋點!F163)</f>
        <v>5</v>
      </c>
      <c r="AF163" s="37">
        <f>IF(最佳化斷筋點!G163="","",最佳化斷筋點!G163)</f>
        <v>5</v>
      </c>
      <c r="AG163" s="37">
        <f>IF(最佳化斷筋點!H163="","",最佳化斷筋點!H163)</f>
        <v>5</v>
      </c>
      <c r="AH163" s="37">
        <f>IF(最佳化斷筋點!I163="","",最佳化斷筋點!I163)</f>
        <v>5</v>
      </c>
      <c r="AI163" s="37">
        <f>IF(最佳化斷筋點!J163="","",最佳化斷筋點!J163)</f>
        <v>4</v>
      </c>
      <c r="AJ163" s="37">
        <f>IF(最佳化斷筋點!K163="","",最佳化斷筋點!K163)</f>
        <v>3</v>
      </c>
      <c r="AK163" s="37">
        <f>IF(最佳化斷筋點!L163="","",最佳化斷筋點!L163)</f>
        <v>3</v>
      </c>
      <c r="AL163" s="37">
        <f>IF(最佳化斷筋點!M163="","",最佳化斷筋點!M163)</f>
        <v>3</v>
      </c>
      <c r="AM163" s="37">
        <f>IF(最佳化斷筋點!N163="","",最佳化斷筋點!N163)</f>
        <v>3</v>
      </c>
      <c r="AN163" s="37">
        <f>IF(最佳化斷筋點!O163="","",最佳化斷筋點!O163)</f>
        <v>3</v>
      </c>
      <c r="AO163" s="37">
        <f>IF(最佳化斷筋點!P163="","",最佳化斷筋點!P163)</f>
        <v>3</v>
      </c>
      <c r="AP163" s="37">
        <f>IF(最佳化斷筋點!Q163="","",最佳化斷筋點!Q163)</f>
        <v>6</v>
      </c>
      <c r="AQ163" s="37">
        <f>IF(最佳化斷筋點!R163="","",最佳化斷筋點!R163)</f>
        <v>7</v>
      </c>
      <c r="AR163" s="37">
        <f>IF(最佳化斷筋點!S163="","",最佳化斷筋點!S163)</f>
        <v>8</v>
      </c>
      <c r="AS163" s="37">
        <f>IF(最佳化斷筋點!T163="","",最佳化斷筋點!T163)</f>
        <v>9</v>
      </c>
      <c r="AT163" s="37">
        <f>IF(最佳化斷筋點!U163="","",最佳化斷筋點!U163)</f>
        <v>9</v>
      </c>
      <c r="AU163" s="37">
        <f>IF(最佳化斷筋點!V163="","",最佳化斷筋點!V163)</f>
        <v>9</v>
      </c>
      <c r="AV163" s="37">
        <f>IF(最佳化斷筋點!W163="","",最佳化斷筋點!W163)</f>
        <v>9</v>
      </c>
      <c r="AW163" s="37">
        <f>IF(最佳化斷筋點!X163="","",最佳化斷筋點!X163)</f>
        <v>9</v>
      </c>
      <c r="AY163" s="6" t="s">
        <v>20</v>
      </c>
      <c r="AZ163" s="37">
        <v>5</v>
      </c>
      <c r="BA163" s="37">
        <v>5</v>
      </c>
      <c r="BB163" s="37">
        <v>5</v>
      </c>
      <c r="BC163" s="37">
        <v>5</v>
      </c>
      <c r="BD163" s="37">
        <v>5</v>
      </c>
      <c r="BE163" s="37">
        <v>5</v>
      </c>
      <c r="BF163" s="37">
        <v>4</v>
      </c>
      <c r="BG163" s="37">
        <v>3</v>
      </c>
      <c r="BH163" s="37">
        <v>3</v>
      </c>
      <c r="BI163" s="37">
        <v>3</v>
      </c>
      <c r="BJ163" s="37">
        <v>3</v>
      </c>
      <c r="BK163" s="37">
        <v>3</v>
      </c>
      <c r="BL163" s="37">
        <v>3</v>
      </c>
      <c r="BM163" s="37">
        <v>6</v>
      </c>
      <c r="BN163" s="37">
        <v>7</v>
      </c>
      <c r="BO163" s="37">
        <v>8</v>
      </c>
      <c r="BP163" s="37">
        <v>9</v>
      </c>
      <c r="BQ163" s="37">
        <v>9</v>
      </c>
      <c r="BR163" s="37">
        <v>9</v>
      </c>
      <c r="BS163" s="37">
        <v>9</v>
      </c>
      <c r="BT163" s="37">
        <v>9</v>
      </c>
    </row>
    <row r="164" spans="5:72" x14ac:dyDescent="0.25">
      <c r="F164" s="6">
        <f t="shared" si="43"/>
        <v>0</v>
      </c>
      <c r="G164" s="6">
        <f t="shared" si="44"/>
        <v>0</v>
      </c>
      <c r="H164" s="6">
        <f t="shared" si="45"/>
        <v>0</v>
      </c>
      <c r="I164" s="6">
        <f t="shared" si="46"/>
        <v>0</v>
      </c>
      <c r="J164" s="6">
        <f t="shared" si="47"/>
        <v>0</v>
      </c>
      <c r="K164" s="6">
        <f t="shared" si="48"/>
        <v>0</v>
      </c>
      <c r="L164" s="6">
        <f t="shared" si="49"/>
        <v>0</v>
      </c>
      <c r="M164" s="6">
        <f t="shared" si="50"/>
        <v>0</v>
      </c>
      <c r="N164" s="6">
        <f t="shared" si="51"/>
        <v>0</v>
      </c>
      <c r="O164" s="6">
        <f t="shared" si="52"/>
        <v>0</v>
      </c>
      <c r="P164" s="6">
        <f t="shared" si="53"/>
        <v>0</v>
      </c>
      <c r="Q164" s="6">
        <f t="shared" si="54"/>
        <v>0</v>
      </c>
      <c r="R164" s="6">
        <f t="shared" si="55"/>
        <v>0</v>
      </c>
      <c r="S164" s="6">
        <f t="shared" si="56"/>
        <v>0</v>
      </c>
      <c r="T164" s="6">
        <f t="shared" si="57"/>
        <v>0</v>
      </c>
      <c r="U164" s="6">
        <f t="shared" si="58"/>
        <v>0</v>
      </c>
      <c r="V164" s="6">
        <f t="shared" si="59"/>
        <v>0</v>
      </c>
      <c r="W164" s="6">
        <f t="shared" si="60"/>
        <v>0</v>
      </c>
      <c r="X164" s="6">
        <f t="shared" si="61"/>
        <v>0</v>
      </c>
      <c r="Y164" s="6">
        <f t="shared" si="62"/>
        <v>0</v>
      </c>
      <c r="Z164" s="6">
        <f t="shared" si="63"/>
        <v>0</v>
      </c>
      <c r="AB164" s="36" t="str">
        <f>IF(最佳化斷筋點!C164="","",最佳化斷筋點!C164)</f>
        <v/>
      </c>
      <c r="AC164" s="37" t="str">
        <f>IF(最佳化斷筋點!D164="","",最佳化斷筋點!D164)</f>
        <v/>
      </c>
      <c r="AD164" s="37" t="str">
        <f>IF(最佳化斷筋點!E164="","",最佳化斷筋點!E164)</f>
        <v/>
      </c>
      <c r="AE164" s="37" t="str">
        <f>IF(最佳化斷筋點!F164="","",最佳化斷筋點!F164)</f>
        <v/>
      </c>
      <c r="AF164" s="37" t="str">
        <f>IF(最佳化斷筋點!G164="","",最佳化斷筋點!G164)</f>
        <v/>
      </c>
      <c r="AG164" s="37" t="str">
        <f>IF(最佳化斷筋點!H164="","",最佳化斷筋點!H164)</f>
        <v/>
      </c>
      <c r="AH164" s="37" t="str">
        <f>IF(最佳化斷筋點!I164="","",最佳化斷筋點!I164)</f>
        <v/>
      </c>
      <c r="AI164" s="37" t="str">
        <f>IF(最佳化斷筋點!J164="","",最佳化斷筋點!J164)</f>
        <v/>
      </c>
      <c r="AJ164" s="37" t="str">
        <f>IF(最佳化斷筋點!K164="","",最佳化斷筋點!K164)</f>
        <v/>
      </c>
      <c r="AK164" s="37" t="str">
        <f>IF(最佳化斷筋點!L164="","",最佳化斷筋點!L164)</f>
        <v/>
      </c>
      <c r="AL164" s="37" t="str">
        <f>IF(最佳化斷筋點!M164="","",最佳化斷筋點!M164)</f>
        <v/>
      </c>
      <c r="AM164" s="37" t="str">
        <f>IF(最佳化斷筋點!N164="","",最佳化斷筋點!N164)</f>
        <v/>
      </c>
      <c r="AN164" s="37" t="str">
        <f>IF(最佳化斷筋點!O164="","",最佳化斷筋點!O164)</f>
        <v/>
      </c>
      <c r="AO164" s="37" t="str">
        <f>IF(最佳化斷筋點!P164="","",最佳化斷筋點!P164)</f>
        <v/>
      </c>
      <c r="AP164" s="37" t="str">
        <f>IF(最佳化斷筋點!Q164="","",最佳化斷筋點!Q164)</f>
        <v/>
      </c>
      <c r="AQ164" s="37" t="str">
        <f>IF(最佳化斷筋點!R164="","",最佳化斷筋點!R164)</f>
        <v/>
      </c>
      <c r="AR164" s="37" t="str">
        <f>IF(最佳化斷筋點!S164="","",最佳化斷筋點!S164)</f>
        <v/>
      </c>
      <c r="AS164" s="37" t="str">
        <f>IF(最佳化斷筋點!T164="","",最佳化斷筋點!T164)</f>
        <v/>
      </c>
      <c r="AT164" s="37" t="str">
        <f>IF(最佳化斷筋點!U164="","",最佳化斷筋點!U164)</f>
        <v/>
      </c>
      <c r="AU164" s="37" t="str">
        <f>IF(最佳化斷筋點!V164="","",最佳化斷筋點!V164)</f>
        <v/>
      </c>
      <c r="AV164" s="37" t="str">
        <f>IF(最佳化斷筋點!W164="","",最佳化斷筋點!W164)</f>
        <v/>
      </c>
      <c r="AW164" s="37" t="str">
        <f>IF(最佳化斷筋點!X164="","",最佳化斷筋點!X164)</f>
        <v/>
      </c>
      <c r="AZ164" s="37" t="s">
        <v>197</v>
      </c>
      <c r="BA164" s="37" t="s">
        <v>197</v>
      </c>
      <c r="BB164" s="37" t="s">
        <v>197</v>
      </c>
      <c r="BC164" s="37" t="s">
        <v>197</v>
      </c>
      <c r="BD164" s="37" t="s">
        <v>197</v>
      </c>
      <c r="BE164" s="37" t="s">
        <v>197</v>
      </c>
      <c r="BF164" s="37" t="s">
        <v>197</v>
      </c>
      <c r="BG164" s="37" t="s">
        <v>197</v>
      </c>
      <c r="BH164" s="37" t="s">
        <v>197</v>
      </c>
      <c r="BI164" s="37" t="s">
        <v>197</v>
      </c>
      <c r="BJ164" s="37" t="s">
        <v>197</v>
      </c>
      <c r="BK164" s="37" t="s">
        <v>197</v>
      </c>
      <c r="BL164" s="37" t="s">
        <v>197</v>
      </c>
      <c r="BM164" s="37" t="s">
        <v>197</v>
      </c>
      <c r="BN164" s="37" t="s">
        <v>197</v>
      </c>
      <c r="BO164" s="37" t="s">
        <v>197</v>
      </c>
      <c r="BP164" s="37" t="s">
        <v>197</v>
      </c>
      <c r="BQ164" s="37" t="s">
        <v>197</v>
      </c>
      <c r="BR164" s="37" t="s">
        <v>197</v>
      </c>
      <c r="BS164" s="37" t="s">
        <v>197</v>
      </c>
      <c r="BT164" s="37" t="s">
        <v>197</v>
      </c>
    </row>
    <row r="165" spans="5:72" x14ac:dyDescent="0.25">
      <c r="E165" s="6" t="s">
        <v>21</v>
      </c>
      <c r="F165" s="6">
        <f t="shared" si="43"/>
        <v>0</v>
      </c>
      <c r="G165" s="6">
        <f t="shared" si="44"/>
        <v>0</v>
      </c>
      <c r="H165" s="6">
        <f t="shared" si="45"/>
        <v>0</v>
      </c>
      <c r="I165" s="6">
        <f t="shared" si="46"/>
        <v>0</v>
      </c>
      <c r="J165" s="6">
        <f t="shared" si="47"/>
        <v>0</v>
      </c>
      <c r="K165" s="6">
        <f t="shared" si="48"/>
        <v>0</v>
      </c>
      <c r="L165" s="6">
        <f t="shared" si="49"/>
        <v>0</v>
      </c>
      <c r="M165" s="6">
        <f t="shared" si="50"/>
        <v>0</v>
      </c>
      <c r="N165" s="6">
        <f t="shared" si="51"/>
        <v>0</v>
      </c>
      <c r="O165" s="6">
        <f t="shared" si="52"/>
        <v>0</v>
      </c>
      <c r="P165" s="6">
        <f t="shared" si="53"/>
        <v>0</v>
      </c>
      <c r="Q165" s="6">
        <f t="shared" si="54"/>
        <v>0</v>
      </c>
      <c r="R165" s="6">
        <f t="shared" si="55"/>
        <v>0</v>
      </c>
      <c r="S165" s="6">
        <f t="shared" si="56"/>
        <v>0</v>
      </c>
      <c r="T165" s="6">
        <f t="shared" si="57"/>
        <v>0</v>
      </c>
      <c r="U165" s="6">
        <f t="shared" si="58"/>
        <v>0</v>
      </c>
      <c r="V165" s="6">
        <f t="shared" si="59"/>
        <v>0</v>
      </c>
      <c r="W165" s="6">
        <f t="shared" si="60"/>
        <v>0</v>
      </c>
      <c r="X165" s="6">
        <f t="shared" si="61"/>
        <v>0</v>
      </c>
      <c r="Y165" s="6">
        <f t="shared" si="62"/>
        <v>0</v>
      </c>
      <c r="Z165" s="6">
        <f t="shared" si="63"/>
        <v>0</v>
      </c>
      <c r="AB165" s="36" t="str">
        <f>IF(最佳化斷筋點!C165="","",最佳化斷筋點!C165)</f>
        <v>下層</v>
      </c>
      <c r="AC165" s="37">
        <f>IF(最佳化斷筋點!D165="","",最佳化斷筋點!D165)</f>
        <v>6</v>
      </c>
      <c r="AD165" s="37">
        <f>IF(最佳化斷筋點!E165="","",最佳化斷筋點!E165)</f>
        <v>6</v>
      </c>
      <c r="AE165" s="37">
        <f>IF(最佳化斷筋點!F165="","",最佳化斷筋點!F165)</f>
        <v>6</v>
      </c>
      <c r="AF165" s="37">
        <f>IF(最佳化斷筋點!G165="","",最佳化斷筋點!G165)</f>
        <v>6</v>
      </c>
      <c r="AG165" s="37">
        <f>IF(最佳化斷筋點!H165="","",最佳化斷筋點!H165)</f>
        <v>6</v>
      </c>
      <c r="AH165" s="37">
        <f>IF(最佳化斷筋點!I165="","",最佳化斷筋點!I165)</f>
        <v>5</v>
      </c>
      <c r="AI165" s="37">
        <f>IF(最佳化斷筋點!J165="","",最佳化斷筋點!J165)</f>
        <v>5</v>
      </c>
      <c r="AJ165" s="37">
        <f>IF(最佳化斷筋點!K165="","",最佳化斷筋點!K165)</f>
        <v>3</v>
      </c>
      <c r="AK165" s="37">
        <f>IF(最佳化斷筋點!L165="","",最佳化斷筋點!L165)</f>
        <v>3</v>
      </c>
      <c r="AL165" s="37">
        <f>IF(最佳化斷筋點!M165="","",最佳化斷筋點!M165)</f>
        <v>3</v>
      </c>
      <c r="AM165" s="37">
        <f>IF(最佳化斷筋點!N165="","",最佳化斷筋點!N165)</f>
        <v>3</v>
      </c>
      <c r="AN165" s="37">
        <f>IF(最佳化斷筋點!O165="","",最佳化斷筋點!O165)</f>
        <v>3</v>
      </c>
      <c r="AO165" s="37">
        <f>IF(最佳化斷筋點!P165="","",最佳化斷筋點!P165)</f>
        <v>3</v>
      </c>
      <c r="AP165" s="37">
        <f>IF(最佳化斷筋點!Q165="","",最佳化斷筋點!Q165)</f>
        <v>3</v>
      </c>
      <c r="AQ165" s="37">
        <f>IF(最佳化斷筋點!R165="","",最佳化斷筋點!R165)</f>
        <v>4</v>
      </c>
      <c r="AR165" s="37">
        <f>IF(最佳化斷筋點!S165="","",最佳化斷筋點!S165)</f>
        <v>4</v>
      </c>
      <c r="AS165" s="37">
        <f>IF(最佳化斷筋點!T165="","",最佳化斷筋點!T165)</f>
        <v>5</v>
      </c>
      <c r="AT165" s="37">
        <f>IF(最佳化斷筋點!U165="","",最佳化斷筋點!U165)</f>
        <v>5</v>
      </c>
      <c r="AU165" s="37">
        <f>IF(最佳化斷筋點!V165="","",最佳化斷筋點!V165)</f>
        <v>5</v>
      </c>
      <c r="AV165" s="37">
        <f>IF(最佳化斷筋點!W165="","",最佳化斷筋點!W165)</f>
        <v>5</v>
      </c>
      <c r="AW165" s="37">
        <f>IF(最佳化斷筋點!X165="","",最佳化斷筋點!X165)</f>
        <v>5</v>
      </c>
      <c r="AY165" s="6" t="s">
        <v>21</v>
      </c>
      <c r="AZ165" s="37">
        <v>6</v>
      </c>
      <c r="BA165" s="37">
        <v>6</v>
      </c>
      <c r="BB165" s="37">
        <v>6</v>
      </c>
      <c r="BC165" s="37">
        <v>6</v>
      </c>
      <c r="BD165" s="37">
        <v>6</v>
      </c>
      <c r="BE165" s="37">
        <v>5</v>
      </c>
      <c r="BF165" s="37">
        <v>5</v>
      </c>
      <c r="BG165" s="37">
        <v>3</v>
      </c>
      <c r="BH165" s="37">
        <v>3</v>
      </c>
      <c r="BI165" s="37">
        <v>3</v>
      </c>
      <c r="BJ165" s="37">
        <v>3</v>
      </c>
      <c r="BK165" s="37">
        <v>3</v>
      </c>
      <c r="BL165" s="37">
        <v>3</v>
      </c>
      <c r="BM165" s="37">
        <v>3</v>
      </c>
      <c r="BN165" s="37">
        <v>4</v>
      </c>
      <c r="BO165" s="37">
        <v>4</v>
      </c>
      <c r="BP165" s="37">
        <v>5</v>
      </c>
      <c r="BQ165" s="37">
        <v>5</v>
      </c>
      <c r="BR165" s="37">
        <v>5</v>
      </c>
      <c r="BS165" s="37">
        <v>5</v>
      </c>
      <c r="BT165" s="37">
        <v>5</v>
      </c>
    </row>
    <row r="166" spans="5:72" x14ac:dyDescent="0.25">
      <c r="F166" s="6">
        <f t="shared" si="43"/>
        <v>0</v>
      </c>
      <c r="G166" s="6">
        <f t="shared" si="44"/>
        <v>0</v>
      </c>
      <c r="H166" s="6">
        <f t="shared" si="45"/>
        <v>0</v>
      </c>
      <c r="I166" s="6">
        <f t="shared" si="46"/>
        <v>0</v>
      </c>
      <c r="J166" s="6">
        <f t="shared" si="47"/>
        <v>0</v>
      </c>
      <c r="K166" s="6">
        <f t="shared" si="48"/>
        <v>0</v>
      </c>
      <c r="L166" s="6">
        <f t="shared" si="49"/>
        <v>0</v>
      </c>
      <c r="M166" s="6">
        <f t="shared" si="50"/>
        <v>0</v>
      </c>
      <c r="N166" s="6">
        <f t="shared" si="51"/>
        <v>0</v>
      </c>
      <c r="O166" s="6">
        <f t="shared" si="52"/>
        <v>0</v>
      </c>
      <c r="P166" s="6">
        <f t="shared" si="53"/>
        <v>0</v>
      </c>
      <c r="Q166" s="6">
        <f t="shared" si="54"/>
        <v>0</v>
      </c>
      <c r="R166" s="6">
        <f t="shared" si="55"/>
        <v>0</v>
      </c>
      <c r="S166" s="6">
        <f t="shared" si="56"/>
        <v>0</v>
      </c>
      <c r="T166" s="6">
        <f t="shared" si="57"/>
        <v>0</v>
      </c>
      <c r="U166" s="6">
        <f t="shared" si="58"/>
        <v>0</v>
      </c>
      <c r="V166" s="6">
        <f t="shared" si="59"/>
        <v>0</v>
      </c>
      <c r="W166" s="6">
        <f t="shared" si="60"/>
        <v>0</v>
      </c>
      <c r="X166" s="6">
        <f t="shared" si="61"/>
        <v>0</v>
      </c>
      <c r="Y166" s="6">
        <f t="shared" si="62"/>
        <v>0</v>
      </c>
      <c r="Z166" s="6">
        <f t="shared" si="63"/>
        <v>0</v>
      </c>
      <c r="AB166" s="36" t="str">
        <f>IF(最佳化斷筋點!C166="","",最佳化斷筋點!C166)</f>
        <v/>
      </c>
      <c r="AC166" s="37" t="str">
        <f>IF(最佳化斷筋點!D166="","",最佳化斷筋點!D166)</f>
        <v/>
      </c>
      <c r="AD166" s="37" t="str">
        <f>IF(最佳化斷筋點!E166="","",最佳化斷筋點!E166)</f>
        <v/>
      </c>
      <c r="AE166" s="37" t="str">
        <f>IF(最佳化斷筋點!F166="","",最佳化斷筋點!F166)</f>
        <v/>
      </c>
      <c r="AF166" s="37" t="str">
        <f>IF(最佳化斷筋點!G166="","",最佳化斷筋點!G166)</f>
        <v/>
      </c>
      <c r="AG166" s="37" t="str">
        <f>IF(最佳化斷筋點!H166="","",最佳化斷筋點!H166)</f>
        <v/>
      </c>
      <c r="AH166" s="37" t="str">
        <f>IF(最佳化斷筋點!I166="","",最佳化斷筋點!I166)</f>
        <v/>
      </c>
      <c r="AI166" s="37" t="str">
        <f>IF(最佳化斷筋點!J166="","",最佳化斷筋點!J166)</f>
        <v/>
      </c>
      <c r="AJ166" s="37" t="str">
        <f>IF(最佳化斷筋點!K166="","",最佳化斷筋點!K166)</f>
        <v/>
      </c>
      <c r="AK166" s="37" t="str">
        <f>IF(最佳化斷筋點!L166="","",最佳化斷筋點!L166)</f>
        <v/>
      </c>
      <c r="AL166" s="37" t="str">
        <f>IF(最佳化斷筋點!M166="","",最佳化斷筋點!M166)</f>
        <v/>
      </c>
      <c r="AM166" s="37" t="str">
        <f>IF(最佳化斷筋點!N166="","",最佳化斷筋點!N166)</f>
        <v/>
      </c>
      <c r="AN166" s="37" t="str">
        <f>IF(最佳化斷筋點!O166="","",最佳化斷筋點!O166)</f>
        <v/>
      </c>
      <c r="AO166" s="37" t="str">
        <f>IF(最佳化斷筋點!P166="","",最佳化斷筋點!P166)</f>
        <v/>
      </c>
      <c r="AP166" s="37" t="str">
        <f>IF(最佳化斷筋點!Q166="","",最佳化斷筋點!Q166)</f>
        <v/>
      </c>
      <c r="AQ166" s="37" t="str">
        <f>IF(最佳化斷筋點!R166="","",最佳化斷筋點!R166)</f>
        <v/>
      </c>
      <c r="AR166" s="37" t="str">
        <f>IF(最佳化斷筋點!S166="","",最佳化斷筋點!S166)</f>
        <v/>
      </c>
      <c r="AS166" s="37" t="str">
        <f>IF(最佳化斷筋點!T166="","",最佳化斷筋點!T166)</f>
        <v/>
      </c>
      <c r="AT166" s="37" t="str">
        <f>IF(最佳化斷筋點!U166="","",最佳化斷筋點!U166)</f>
        <v/>
      </c>
      <c r="AU166" s="37" t="str">
        <f>IF(最佳化斷筋點!V166="","",最佳化斷筋點!V166)</f>
        <v/>
      </c>
      <c r="AV166" s="37" t="str">
        <f>IF(最佳化斷筋點!W166="","",最佳化斷筋點!W166)</f>
        <v/>
      </c>
      <c r="AW166" s="37" t="str">
        <f>IF(最佳化斷筋點!X166="","",最佳化斷筋點!X166)</f>
        <v/>
      </c>
      <c r="AZ166" s="37" t="s">
        <v>197</v>
      </c>
      <c r="BA166" s="37" t="s">
        <v>197</v>
      </c>
      <c r="BB166" s="37" t="s">
        <v>197</v>
      </c>
      <c r="BC166" s="37" t="s">
        <v>197</v>
      </c>
      <c r="BD166" s="37" t="s">
        <v>197</v>
      </c>
      <c r="BE166" s="37" t="s">
        <v>197</v>
      </c>
      <c r="BF166" s="37" t="s">
        <v>197</v>
      </c>
      <c r="BG166" s="37" t="s">
        <v>197</v>
      </c>
      <c r="BH166" s="37" t="s">
        <v>197</v>
      </c>
      <c r="BI166" s="37" t="s">
        <v>197</v>
      </c>
      <c r="BJ166" s="37" t="s">
        <v>197</v>
      </c>
      <c r="BK166" s="37" t="s">
        <v>197</v>
      </c>
      <c r="BL166" s="37" t="s">
        <v>197</v>
      </c>
      <c r="BM166" s="37" t="s">
        <v>197</v>
      </c>
      <c r="BN166" s="37" t="s">
        <v>197</v>
      </c>
      <c r="BO166" s="37" t="s">
        <v>197</v>
      </c>
      <c r="BP166" s="37" t="s">
        <v>197</v>
      </c>
      <c r="BQ166" s="37" t="s">
        <v>197</v>
      </c>
      <c r="BR166" s="37" t="s">
        <v>197</v>
      </c>
      <c r="BS166" s="37" t="s">
        <v>197</v>
      </c>
      <c r="BT166" s="37" t="s">
        <v>197</v>
      </c>
    </row>
    <row r="167" spans="5:72" x14ac:dyDescent="0.25">
      <c r="E167" s="6" t="s">
        <v>20</v>
      </c>
      <c r="F167" s="6">
        <f t="shared" si="43"/>
        <v>0</v>
      </c>
      <c r="G167" s="6">
        <f t="shared" si="44"/>
        <v>0</v>
      </c>
      <c r="H167" s="6">
        <f t="shared" si="45"/>
        <v>0</v>
      </c>
      <c r="I167" s="6">
        <f t="shared" si="46"/>
        <v>0</v>
      </c>
      <c r="J167" s="6">
        <f t="shared" si="47"/>
        <v>0</v>
      </c>
      <c r="K167" s="6">
        <f t="shared" si="48"/>
        <v>0</v>
      </c>
      <c r="L167" s="6">
        <f t="shared" si="49"/>
        <v>0</v>
      </c>
      <c r="M167" s="6">
        <f t="shared" si="50"/>
        <v>0</v>
      </c>
      <c r="N167" s="6">
        <f t="shared" si="51"/>
        <v>0</v>
      </c>
      <c r="O167" s="6">
        <f t="shared" si="52"/>
        <v>0</v>
      </c>
      <c r="P167" s="6">
        <f t="shared" si="53"/>
        <v>0</v>
      </c>
      <c r="Q167" s="6">
        <f t="shared" si="54"/>
        <v>0</v>
      </c>
      <c r="R167" s="6">
        <f t="shared" si="55"/>
        <v>0</v>
      </c>
      <c r="S167" s="6">
        <f t="shared" si="56"/>
        <v>0</v>
      </c>
      <c r="T167" s="6">
        <f t="shared" si="57"/>
        <v>0</v>
      </c>
      <c r="U167" s="6">
        <f t="shared" si="58"/>
        <v>0</v>
      </c>
      <c r="V167" s="6">
        <f t="shared" si="59"/>
        <v>0</v>
      </c>
      <c r="W167" s="6">
        <f t="shared" si="60"/>
        <v>0</v>
      </c>
      <c r="X167" s="6">
        <f t="shared" si="61"/>
        <v>0</v>
      </c>
      <c r="Y167" s="6">
        <f t="shared" si="62"/>
        <v>0</v>
      </c>
      <c r="Z167" s="6">
        <f t="shared" si="63"/>
        <v>0</v>
      </c>
      <c r="AB167" s="36" t="str">
        <f>IF(最佳化斷筋點!C167="","",最佳化斷筋點!C167)</f>
        <v>上層</v>
      </c>
      <c r="AC167" s="37">
        <f>IF(最佳化斷筋點!D167="","",最佳化斷筋點!D167)</f>
        <v>7</v>
      </c>
      <c r="AD167" s="37">
        <f>IF(最佳化斷筋點!E167="","",最佳化斷筋點!E167)</f>
        <v>7</v>
      </c>
      <c r="AE167" s="37">
        <f>IF(最佳化斷筋點!F167="","",最佳化斷筋點!F167)</f>
        <v>7</v>
      </c>
      <c r="AF167" s="37">
        <f>IF(最佳化斷筋點!G167="","",最佳化斷筋點!G167)</f>
        <v>7</v>
      </c>
      <c r="AG167" s="37">
        <f>IF(最佳化斷筋點!H167="","",最佳化斷筋點!H167)</f>
        <v>7</v>
      </c>
      <c r="AH167" s="37">
        <f>IF(最佳化斷筋點!I167="","",最佳化斷筋點!I167)</f>
        <v>7</v>
      </c>
      <c r="AI167" s="37">
        <f>IF(最佳化斷筋點!J167="","",最佳化斷筋點!J167)</f>
        <v>6</v>
      </c>
      <c r="AJ167" s="37">
        <f>IF(最佳化斷筋點!K167="","",最佳化斷筋點!K167)</f>
        <v>3</v>
      </c>
      <c r="AK167" s="37">
        <f>IF(最佳化斷筋點!L167="","",最佳化斷筋點!L167)</f>
        <v>3</v>
      </c>
      <c r="AL167" s="37">
        <f>IF(最佳化斷筋點!M167="","",最佳化斷筋點!M167)</f>
        <v>3</v>
      </c>
      <c r="AM167" s="37">
        <f>IF(最佳化斷筋點!N167="","",最佳化斷筋點!N167)</f>
        <v>3</v>
      </c>
      <c r="AN167" s="37">
        <f>IF(最佳化斷筋點!O167="","",最佳化斷筋點!O167)</f>
        <v>3</v>
      </c>
      <c r="AO167" s="37">
        <f>IF(最佳化斷筋點!P167="","",最佳化斷筋點!P167)</f>
        <v>3</v>
      </c>
      <c r="AP167" s="37">
        <f>IF(最佳化斷筋點!Q167="","",最佳化斷筋點!Q167)</f>
        <v>3</v>
      </c>
      <c r="AQ167" s="37">
        <f>IF(最佳化斷筋點!R167="","",最佳化斷筋點!R167)</f>
        <v>3</v>
      </c>
      <c r="AR167" s="37">
        <f>IF(最佳化斷筋點!S167="","",最佳化斷筋點!S167)</f>
        <v>4</v>
      </c>
      <c r="AS167" s="37">
        <f>IF(最佳化斷筋點!T167="","",最佳化斷筋點!T167)</f>
        <v>4</v>
      </c>
      <c r="AT167" s="37">
        <f>IF(最佳化斷筋點!U167="","",最佳化斷筋點!U167)</f>
        <v>4</v>
      </c>
      <c r="AU167" s="37">
        <f>IF(最佳化斷筋點!V167="","",最佳化斷筋點!V167)</f>
        <v>4</v>
      </c>
      <c r="AV167" s="37">
        <f>IF(最佳化斷筋點!W167="","",最佳化斷筋點!W167)</f>
        <v>4</v>
      </c>
      <c r="AW167" s="37">
        <f>IF(最佳化斷筋點!X167="","",最佳化斷筋點!X167)</f>
        <v>4</v>
      </c>
      <c r="AY167" s="6" t="s">
        <v>20</v>
      </c>
      <c r="AZ167" s="37">
        <v>7</v>
      </c>
      <c r="BA167" s="37">
        <v>7</v>
      </c>
      <c r="BB167" s="37">
        <v>7</v>
      </c>
      <c r="BC167" s="37">
        <v>7</v>
      </c>
      <c r="BD167" s="37">
        <v>7</v>
      </c>
      <c r="BE167" s="37">
        <v>7</v>
      </c>
      <c r="BF167" s="37">
        <v>6</v>
      </c>
      <c r="BG167" s="37">
        <v>3</v>
      </c>
      <c r="BH167" s="37">
        <v>3</v>
      </c>
      <c r="BI167" s="37">
        <v>3</v>
      </c>
      <c r="BJ167" s="37">
        <v>3</v>
      </c>
      <c r="BK167" s="37">
        <v>3</v>
      </c>
      <c r="BL167" s="37">
        <v>3</v>
      </c>
      <c r="BM167" s="37">
        <v>3</v>
      </c>
      <c r="BN167" s="37">
        <v>3</v>
      </c>
      <c r="BO167" s="37">
        <v>4</v>
      </c>
      <c r="BP167" s="37">
        <v>4</v>
      </c>
      <c r="BQ167" s="37">
        <v>4</v>
      </c>
      <c r="BR167" s="37">
        <v>4</v>
      </c>
      <c r="BS167" s="37">
        <v>4</v>
      </c>
      <c r="BT167" s="37">
        <v>4</v>
      </c>
    </row>
    <row r="168" spans="5:72" x14ac:dyDescent="0.25">
      <c r="F168" s="6">
        <f t="shared" si="43"/>
        <v>0</v>
      </c>
      <c r="G168" s="6">
        <f t="shared" si="44"/>
        <v>0</v>
      </c>
      <c r="H168" s="6">
        <f t="shared" si="45"/>
        <v>0</v>
      </c>
      <c r="I168" s="6">
        <f t="shared" si="46"/>
        <v>0</v>
      </c>
      <c r="J168" s="6">
        <f t="shared" si="47"/>
        <v>0</v>
      </c>
      <c r="K168" s="6">
        <f t="shared" si="48"/>
        <v>0</v>
      </c>
      <c r="L168" s="6">
        <f t="shared" si="49"/>
        <v>0</v>
      </c>
      <c r="M168" s="6">
        <f t="shared" si="50"/>
        <v>0</v>
      </c>
      <c r="N168" s="6">
        <f t="shared" si="51"/>
        <v>0</v>
      </c>
      <c r="O168" s="6">
        <f t="shared" si="52"/>
        <v>0</v>
      </c>
      <c r="P168" s="6">
        <f t="shared" si="53"/>
        <v>0</v>
      </c>
      <c r="Q168" s="6">
        <f t="shared" si="54"/>
        <v>0</v>
      </c>
      <c r="R168" s="6">
        <f t="shared" si="55"/>
        <v>0</v>
      </c>
      <c r="S168" s="6">
        <f t="shared" si="56"/>
        <v>0</v>
      </c>
      <c r="T168" s="6">
        <f t="shared" si="57"/>
        <v>0</v>
      </c>
      <c r="U168" s="6">
        <f t="shared" si="58"/>
        <v>0</v>
      </c>
      <c r="V168" s="6">
        <f t="shared" si="59"/>
        <v>0</v>
      </c>
      <c r="W168" s="6">
        <f t="shared" si="60"/>
        <v>0</v>
      </c>
      <c r="X168" s="6">
        <f t="shared" si="61"/>
        <v>0</v>
      </c>
      <c r="Y168" s="6">
        <f t="shared" si="62"/>
        <v>0</v>
      </c>
      <c r="Z168" s="6">
        <f t="shared" si="63"/>
        <v>0</v>
      </c>
      <c r="AB168" s="36" t="str">
        <f>IF(最佳化斷筋點!C168="","",最佳化斷筋點!C168)</f>
        <v/>
      </c>
      <c r="AC168" s="37" t="str">
        <f>IF(最佳化斷筋點!D168="","",最佳化斷筋點!D168)</f>
        <v/>
      </c>
      <c r="AD168" s="37" t="str">
        <f>IF(最佳化斷筋點!E168="","",最佳化斷筋點!E168)</f>
        <v/>
      </c>
      <c r="AE168" s="37" t="str">
        <f>IF(最佳化斷筋點!F168="","",最佳化斷筋點!F168)</f>
        <v/>
      </c>
      <c r="AF168" s="37" t="str">
        <f>IF(最佳化斷筋點!G168="","",最佳化斷筋點!G168)</f>
        <v/>
      </c>
      <c r="AG168" s="37" t="str">
        <f>IF(最佳化斷筋點!H168="","",最佳化斷筋點!H168)</f>
        <v/>
      </c>
      <c r="AH168" s="37" t="str">
        <f>IF(最佳化斷筋點!I168="","",最佳化斷筋點!I168)</f>
        <v/>
      </c>
      <c r="AI168" s="37" t="str">
        <f>IF(最佳化斷筋點!J168="","",最佳化斷筋點!J168)</f>
        <v/>
      </c>
      <c r="AJ168" s="37" t="str">
        <f>IF(最佳化斷筋點!K168="","",最佳化斷筋點!K168)</f>
        <v/>
      </c>
      <c r="AK168" s="37" t="str">
        <f>IF(最佳化斷筋點!L168="","",最佳化斷筋點!L168)</f>
        <v/>
      </c>
      <c r="AL168" s="37" t="str">
        <f>IF(最佳化斷筋點!M168="","",最佳化斷筋點!M168)</f>
        <v/>
      </c>
      <c r="AM168" s="37" t="str">
        <f>IF(最佳化斷筋點!N168="","",最佳化斷筋點!N168)</f>
        <v/>
      </c>
      <c r="AN168" s="37" t="str">
        <f>IF(最佳化斷筋點!O168="","",最佳化斷筋點!O168)</f>
        <v/>
      </c>
      <c r="AO168" s="37" t="str">
        <f>IF(最佳化斷筋點!P168="","",最佳化斷筋點!P168)</f>
        <v/>
      </c>
      <c r="AP168" s="37" t="str">
        <f>IF(最佳化斷筋點!Q168="","",最佳化斷筋點!Q168)</f>
        <v/>
      </c>
      <c r="AQ168" s="37" t="str">
        <f>IF(最佳化斷筋點!R168="","",最佳化斷筋點!R168)</f>
        <v/>
      </c>
      <c r="AR168" s="37" t="str">
        <f>IF(最佳化斷筋點!S168="","",最佳化斷筋點!S168)</f>
        <v/>
      </c>
      <c r="AS168" s="37" t="str">
        <f>IF(最佳化斷筋點!T168="","",最佳化斷筋點!T168)</f>
        <v/>
      </c>
      <c r="AT168" s="37" t="str">
        <f>IF(最佳化斷筋點!U168="","",最佳化斷筋點!U168)</f>
        <v/>
      </c>
      <c r="AU168" s="37" t="str">
        <f>IF(最佳化斷筋點!V168="","",最佳化斷筋點!V168)</f>
        <v/>
      </c>
      <c r="AV168" s="37" t="str">
        <f>IF(最佳化斷筋點!W168="","",最佳化斷筋點!W168)</f>
        <v/>
      </c>
      <c r="AW168" s="37" t="str">
        <f>IF(最佳化斷筋點!X168="","",最佳化斷筋點!X168)</f>
        <v/>
      </c>
      <c r="AZ168" s="37" t="s">
        <v>197</v>
      </c>
      <c r="BA168" s="37" t="s">
        <v>197</v>
      </c>
      <c r="BB168" s="37" t="s">
        <v>197</v>
      </c>
      <c r="BC168" s="37" t="s">
        <v>197</v>
      </c>
      <c r="BD168" s="37" t="s">
        <v>197</v>
      </c>
      <c r="BE168" s="37" t="s">
        <v>197</v>
      </c>
      <c r="BF168" s="37" t="s">
        <v>197</v>
      </c>
      <c r="BG168" s="37" t="s">
        <v>197</v>
      </c>
      <c r="BH168" s="37" t="s">
        <v>197</v>
      </c>
      <c r="BI168" s="37" t="s">
        <v>197</v>
      </c>
      <c r="BJ168" s="37" t="s">
        <v>197</v>
      </c>
      <c r="BK168" s="37" t="s">
        <v>197</v>
      </c>
      <c r="BL168" s="37" t="s">
        <v>197</v>
      </c>
      <c r="BM168" s="37" t="s">
        <v>197</v>
      </c>
      <c r="BN168" s="37" t="s">
        <v>197</v>
      </c>
      <c r="BO168" s="37" t="s">
        <v>197</v>
      </c>
      <c r="BP168" s="37" t="s">
        <v>197</v>
      </c>
      <c r="BQ168" s="37" t="s">
        <v>197</v>
      </c>
      <c r="BR168" s="37" t="s">
        <v>197</v>
      </c>
      <c r="BS168" s="37" t="s">
        <v>197</v>
      </c>
      <c r="BT168" s="37" t="s">
        <v>197</v>
      </c>
    </row>
    <row r="169" spans="5:72" x14ac:dyDescent="0.25">
      <c r="E169" s="6" t="s">
        <v>21</v>
      </c>
      <c r="F169" s="6">
        <f t="shared" si="43"/>
        <v>0</v>
      </c>
      <c r="G169" s="6">
        <f t="shared" si="44"/>
        <v>0</v>
      </c>
      <c r="H169" s="6">
        <f t="shared" si="45"/>
        <v>0</v>
      </c>
      <c r="I169" s="6">
        <f t="shared" si="46"/>
        <v>0</v>
      </c>
      <c r="J169" s="6">
        <f t="shared" si="47"/>
        <v>0</v>
      </c>
      <c r="K169" s="6">
        <f t="shared" si="48"/>
        <v>0</v>
      </c>
      <c r="L169" s="6">
        <f t="shared" si="49"/>
        <v>0</v>
      </c>
      <c r="M169" s="6">
        <f t="shared" si="50"/>
        <v>0</v>
      </c>
      <c r="N169" s="6">
        <f t="shared" si="51"/>
        <v>0</v>
      </c>
      <c r="O169" s="6">
        <f t="shared" si="52"/>
        <v>0</v>
      </c>
      <c r="P169" s="6">
        <f t="shared" si="53"/>
        <v>0</v>
      </c>
      <c r="Q169" s="6">
        <f t="shared" si="54"/>
        <v>0</v>
      </c>
      <c r="R169" s="6">
        <f t="shared" si="55"/>
        <v>0</v>
      </c>
      <c r="S169" s="6">
        <f t="shared" si="56"/>
        <v>0</v>
      </c>
      <c r="T169" s="6">
        <f t="shared" si="57"/>
        <v>0</v>
      </c>
      <c r="U169" s="6">
        <f t="shared" si="58"/>
        <v>0</v>
      </c>
      <c r="V169" s="6">
        <f t="shared" si="59"/>
        <v>0</v>
      </c>
      <c r="W169" s="6">
        <f t="shared" si="60"/>
        <v>0</v>
      </c>
      <c r="X169" s="6">
        <f t="shared" si="61"/>
        <v>0</v>
      </c>
      <c r="Y169" s="6">
        <f t="shared" si="62"/>
        <v>0</v>
      </c>
      <c r="Z169" s="6">
        <f t="shared" si="63"/>
        <v>0</v>
      </c>
      <c r="AB169" s="36" t="str">
        <f>IF(最佳化斷筋點!C169="","",最佳化斷筋點!C169)</f>
        <v>下層</v>
      </c>
      <c r="AC169" s="37">
        <f>IF(最佳化斷筋點!D169="","",最佳化斷筋點!D169)</f>
        <v>4</v>
      </c>
      <c r="AD169" s="37">
        <f>IF(最佳化斷筋點!E169="","",最佳化斷筋點!E169)</f>
        <v>4</v>
      </c>
      <c r="AE169" s="37">
        <f>IF(最佳化斷筋點!F169="","",最佳化斷筋點!F169)</f>
        <v>4</v>
      </c>
      <c r="AF169" s="37">
        <f>IF(最佳化斷筋點!G169="","",最佳化斷筋點!G169)</f>
        <v>4</v>
      </c>
      <c r="AG169" s="37">
        <f>IF(最佳化斷筋點!H169="","",最佳化斷筋點!H169)</f>
        <v>4</v>
      </c>
      <c r="AH169" s="37">
        <f>IF(最佳化斷筋點!I169="","",最佳化斷筋點!I169)</f>
        <v>4</v>
      </c>
      <c r="AI169" s="37">
        <f>IF(最佳化斷筋點!J169="","",最佳化斷筋點!J169)</f>
        <v>3</v>
      </c>
      <c r="AJ169" s="37">
        <f>IF(最佳化斷筋點!K169="","",最佳化斷筋點!K169)</f>
        <v>3</v>
      </c>
      <c r="AK169" s="37">
        <f>IF(最佳化斷筋點!L169="","",最佳化斷筋點!L169)</f>
        <v>3</v>
      </c>
      <c r="AL169" s="37">
        <f>IF(最佳化斷筋點!M169="","",最佳化斷筋點!M169)</f>
        <v>3</v>
      </c>
      <c r="AM169" s="37">
        <f>IF(最佳化斷筋點!N169="","",最佳化斷筋點!N169)</f>
        <v>3</v>
      </c>
      <c r="AN169" s="37">
        <f>IF(最佳化斷筋點!O169="","",最佳化斷筋點!O169)</f>
        <v>3</v>
      </c>
      <c r="AO169" s="37">
        <f>IF(最佳化斷筋點!P169="","",最佳化斷筋點!P169)</f>
        <v>3</v>
      </c>
      <c r="AP169" s="37">
        <f>IF(最佳化斷筋點!Q169="","",最佳化斷筋點!Q169)</f>
        <v>3</v>
      </c>
      <c r="AQ169" s="37">
        <f>IF(最佳化斷筋點!R169="","",最佳化斷筋點!R169)</f>
        <v>3</v>
      </c>
      <c r="AR169" s="37">
        <f>IF(最佳化斷筋點!S169="","",最佳化斷筋點!S169)</f>
        <v>3</v>
      </c>
      <c r="AS169" s="37">
        <f>IF(最佳化斷筋點!T169="","",最佳化斷筋點!T169)</f>
        <v>4</v>
      </c>
      <c r="AT169" s="37">
        <f>IF(最佳化斷筋點!U169="","",最佳化斷筋點!U169)</f>
        <v>4</v>
      </c>
      <c r="AU169" s="37">
        <f>IF(最佳化斷筋點!V169="","",最佳化斷筋點!V169)</f>
        <v>4</v>
      </c>
      <c r="AV169" s="37">
        <f>IF(最佳化斷筋點!W169="","",最佳化斷筋點!W169)</f>
        <v>4</v>
      </c>
      <c r="AW169" s="37">
        <f>IF(最佳化斷筋點!X169="","",最佳化斷筋點!X169)</f>
        <v>4</v>
      </c>
      <c r="AY169" s="6" t="s">
        <v>21</v>
      </c>
      <c r="AZ169" s="37">
        <v>4</v>
      </c>
      <c r="BA169" s="37">
        <v>4</v>
      </c>
      <c r="BB169" s="37">
        <v>4</v>
      </c>
      <c r="BC169" s="37">
        <v>4</v>
      </c>
      <c r="BD169" s="37">
        <v>4</v>
      </c>
      <c r="BE169" s="37">
        <v>4</v>
      </c>
      <c r="BF169" s="37">
        <v>3</v>
      </c>
      <c r="BG169" s="37">
        <v>3</v>
      </c>
      <c r="BH169" s="37">
        <v>3</v>
      </c>
      <c r="BI169" s="37">
        <v>3</v>
      </c>
      <c r="BJ169" s="37">
        <v>3</v>
      </c>
      <c r="BK169" s="37">
        <v>3</v>
      </c>
      <c r="BL169" s="37">
        <v>3</v>
      </c>
      <c r="BM169" s="37">
        <v>3</v>
      </c>
      <c r="BN169" s="37">
        <v>3</v>
      </c>
      <c r="BO169" s="37">
        <v>3</v>
      </c>
      <c r="BP169" s="37">
        <v>4</v>
      </c>
      <c r="BQ169" s="37">
        <v>4</v>
      </c>
      <c r="BR169" s="37">
        <v>4</v>
      </c>
      <c r="BS169" s="37">
        <v>4</v>
      </c>
      <c r="BT169" s="37">
        <v>4</v>
      </c>
    </row>
    <row r="170" spans="5:72" x14ac:dyDescent="0.25">
      <c r="F170" s="6">
        <f t="shared" si="43"/>
        <v>0</v>
      </c>
      <c r="G170" s="6">
        <f t="shared" si="44"/>
        <v>0</v>
      </c>
      <c r="H170" s="6">
        <f t="shared" si="45"/>
        <v>0</v>
      </c>
      <c r="I170" s="6">
        <f t="shared" si="46"/>
        <v>0</v>
      </c>
      <c r="J170" s="6">
        <f t="shared" si="47"/>
        <v>0</v>
      </c>
      <c r="K170" s="6">
        <f t="shared" si="48"/>
        <v>0</v>
      </c>
      <c r="L170" s="6">
        <f t="shared" si="49"/>
        <v>0</v>
      </c>
      <c r="M170" s="6">
        <f t="shared" si="50"/>
        <v>0</v>
      </c>
      <c r="N170" s="6">
        <f t="shared" si="51"/>
        <v>0</v>
      </c>
      <c r="O170" s="6">
        <f t="shared" si="52"/>
        <v>0</v>
      </c>
      <c r="P170" s="6">
        <f t="shared" si="53"/>
        <v>0</v>
      </c>
      <c r="Q170" s="6">
        <f t="shared" si="54"/>
        <v>0</v>
      </c>
      <c r="R170" s="6">
        <f t="shared" si="55"/>
        <v>0</v>
      </c>
      <c r="S170" s="6">
        <f t="shared" si="56"/>
        <v>0</v>
      </c>
      <c r="T170" s="6">
        <f t="shared" si="57"/>
        <v>0</v>
      </c>
      <c r="U170" s="6">
        <f t="shared" si="58"/>
        <v>0</v>
      </c>
      <c r="V170" s="6">
        <f t="shared" si="59"/>
        <v>0</v>
      </c>
      <c r="W170" s="6">
        <f t="shared" si="60"/>
        <v>0</v>
      </c>
      <c r="X170" s="6">
        <f t="shared" si="61"/>
        <v>0</v>
      </c>
      <c r="Y170" s="6">
        <f t="shared" si="62"/>
        <v>0</v>
      </c>
      <c r="Z170" s="6">
        <f t="shared" si="63"/>
        <v>0</v>
      </c>
      <c r="AB170" s="36" t="str">
        <f>IF(最佳化斷筋點!C170="","",最佳化斷筋點!C170)</f>
        <v/>
      </c>
      <c r="AC170" s="37" t="str">
        <f>IF(最佳化斷筋點!D170="","",最佳化斷筋點!D170)</f>
        <v/>
      </c>
      <c r="AD170" s="37" t="str">
        <f>IF(最佳化斷筋點!E170="","",最佳化斷筋點!E170)</f>
        <v/>
      </c>
      <c r="AE170" s="37" t="str">
        <f>IF(最佳化斷筋點!F170="","",最佳化斷筋點!F170)</f>
        <v/>
      </c>
      <c r="AF170" s="37" t="str">
        <f>IF(最佳化斷筋點!G170="","",最佳化斷筋點!G170)</f>
        <v/>
      </c>
      <c r="AG170" s="37" t="str">
        <f>IF(最佳化斷筋點!H170="","",最佳化斷筋點!H170)</f>
        <v/>
      </c>
      <c r="AH170" s="37" t="str">
        <f>IF(最佳化斷筋點!I170="","",最佳化斷筋點!I170)</f>
        <v/>
      </c>
      <c r="AI170" s="37" t="str">
        <f>IF(最佳化斷筋點!J170="","",最佳化斷筋點!J170)</f>
        <v/>
      </c>
      <c r="AJ170" s="37" t="str">
        <f>IF(最佳化斷筋點!K170="","",最佳化斷筋點!K170)</f>
        <v/>
      </c>
      <c r="AK170" s="37" t="str">
        <f>IF(最佳化斷筋點!L170="","",最佳化斷筋點!L170)</f>
        <v/>
      </c>
      <c r="AL170" s="37" t="str">
        <f>IF(最佳化斷筋點!M170="","",最佳化斷筋點!M170)</f>
        <v/>
      </c>
      <c r="AM170" s="37" t="str">
        <f>IF(最佳化斷筋點!N170="","",最佳化斷筋點!N170)</f>
        <v/>
      </c>
      <c r="AN170" s="37" t="str">
        <f>IF(最佳化斷筋點!O170="","",最佳化斷筋點!O170)</f>
        <v/>
      </c>
      <c r="AO170" s="37" t="str">
        <f>IF(最佳化斷筋點!P170="","",最佳化斷筋點!P170)</f>
        <v/>
      </c>
      <c r="AP170" s="37" t="str">
        <f>IF(最佳化斷筋點!Q170="","",最佳化斷筋點!Q170)</f>
        <v/>
      </c>
      <c r="AQ170" s="37" t="str">
        <f>IF(最佳化斷筋點!R170="","",最佳化斷筋點!R170)</f>
        <v/>
      </c>
      <c r="AR170" s="37" t="str">
        <f>IF(最佳化斷筋點!S170="","",最佳化斷筋點!S170)</f>
        <v/>
      </c>
      <c r="AS170" s="37" t="str">
        <f>IF(最佳化斷筋點!T170="","",最佳化斷筋點!T170)</f>
        <v/>
      </c>
      <c r="AT170" s="37" t="str">
        <f>IF(最佳化斷筋點!U170="","",最佳化斷筋點!U170)</f>
        <v/>
      </c>
      <c r="AU170" s="37" t="str">
        <f>IF(最佳化斷筋點!V170="","",最佳化斷筋點!V170)</f>
        <v/>
      </c>
      <c r="AV170" s="37" t="str">
        <f>IF(最佳化斷筋點!W170="","",最佳化斷筋點!W170)</f>
        <v/>
      </c>
      <c r="AW170" s="37" t="str">
        <f>IF(最佳化斷筋點!X170="","",最佳化斷筋點!X170)</f>
        <v/>
      </c>
      <c r="AZ170" s="37" t="s">
        <v>197</v>
      </c>
      <c r="BA170" s="37" t="s">
        <v>197</v>
      </c>
      <c r="BB170" s="37" t="s">
        <v>197</v>
      </c>
      <c r="BC170" s="37" t="s">
        <v>197</v>
      </c>
      <c r="BD170" s="37" t="s">
        <v>197</v>
      </c>
      <c r="BE170" s="37" t="s">
        <v>197</v>
      </c>
      <c r="BF170" s="37" t="s">
        <v>197</v>
      </c>
      <c r="BG170" s="37" t="s">
        <v>197</v>
      </c>
      <c r="BH170" s="37" t="s">
        <v>197</v>
      </c>
      <c r="BI170" s="37" t="s">
        <v>197</v>
      </c>
      <c r="BJ170" s="37" t="s">
        <v>197</v>
      </c>
      <c r="BK170" s="37" t="s">
        <v>197</v>
      </c>
      <c r="BL170" s="37" t="s">
        <v>197</v>
      </c>
      <c r="BM170" s="37" t="s">
        <v>197</v>
      </c>
      <c r="BN170" s="37" t="s">
        <v>197</v>
      </c>
      <c r="BO170" s="37" t="s">
        <v>197</v>
      </c>
      <c r="BP170" s="37" t="s">
        <v>197</v>
      </c>
      <c r="BQ170" s="37" t="s">
        <v>197</v>
      </c>
      <c r="BR170" s="37" t="s">
        <v>197</v>
      </c>
      <c r="BS170" s="37" t="s">
        <v>197</v>
      </c>
      <c r="BT170" s="37" t="s">
        <v>197</v>
      </c>
    </row>
    <row r="171" spans="5:72" x14ac:dyDescent="0.25">
      <c r="E171" s="6" t="s">
        <v>20</v>
      </c>
      <c r="F171" s="6">
        <f t="shared" si="43"/>
        <v>0</v>
      </c>
      <c r="G171" s="6">
        <f t="shared" si="44"/>
        <v>0</v>
      </c>
      <c r="H171" s="6">
        <f t="shared" si="45"/>
        <v>0</v>
      </c>
      <c r="I171" s="6">
        <f t="shared" si="46"/>
        <v>0</v>
      </c>
      <c r="J171" s="6">
        <f t="shared" si="47"/>
        <v>0</v>
      </c>
      <c r="K171" s="6">
        <f t="shared" si="48"/>
        <v>0</v>
      </c>
      <c r="L171" s="6">
        <f t="shared" si="49"/>
        <v>0</v>
      </c>
      <c r="M171" s="6">
        <f t="shared" si="50"/>
        <v>0</v>
      </c>
      <c r="N171" s="6">
        <f t="shared" si="51"/>
        <v>0</v>
      </c>
      <c r="O171" s="6">
        <f t="shared" si="52"/>
        <v>0</v>
      </c>
      <c r="P171" s="6">
        <f t="shared" si="53"/>
        <v>0</v>
      </c>
      <c r="Q171" s="6">
        <f t="shared" si="54"/>
        <v>0</v>
      </c>
      <c r="R171" s="6">
        <f t="shared" si="55"/>
        <v>0</v>
      </c>
      <c r="S171" s="6">
        <f t="shared" si="56"/>
        <v>0</v>
      </c>
      <c r="T171" s="6">
        <f t="shared" si="57"/>
        <v>0</v>
      </c>
      <c r="U171" s="6">
        <f t="shared" si="58"/>
        <v>0</v>
      </c>
      <c r="V171" s="6">
        <f t="shared" si="59"/>
        <v>0</v>
      </c>
      <c r="W171" s="6">
        <f t="shared" si="60"/>
        <v>0</v>
      </c>
      <c r="X171" s="6">
        <f t="shared" si="61"/>
        <v>0</v>
      </c>
      <c r="Y171" s="6">
        <f t="shared" si="62"/>
        <v>0</v>
      </c>
      <c r="Z171" s="6">
        <f t="shared" si="63"/>
        <v>0</v>
      </c>
      <c r="AB171" s="36" t="str">
        <f>IF(最佳化斷筋點!C171="","",最佳化斷筋點!C171)</f>
        <v>上層</v>
      </c>
      <c r="AC171" s="37">
        <f>IF(最佳化斷筋點!D171="","",最佳化斷筋點!D171)</f>
        <v>7</v>
      </c>
      <c r="AD171" s="37">
        <f>IF(最佳化斷筋點!E171="","",最佳化斷筋點!E171)</f>
        <v>7</v>
      </c>
      <c r="AE171" s="37">
        <f>IF(最佳化斷筋點!F171="","",最佳化斷筋點!F171)</f>
        <v>7</v>
      </c>
      <c r="AF171" s="37">
        <f>IF(最佳化斷筋點!G171="","",最佳化斷筋點!G171)</f>
        <v>7</v>
      </c>
      <c r="AG171" s="37">
        <f>IF(最佳化斷筋點!H171="","",最佳化斷筋點!H171)</f>
        <v>7</v>
      </c>
      <c r="AH171" s="37">
        <f>IF(最佳化斷筋點!I171="","",最佳化斷筋點!I171)</f>
        <v>7</v>
      </c>
      <c r="AI171" s="37">
        <f>IF(最佳化斷筋點!J171="","",最佳化斷筋點!J171)</f>
        <v>6</v>
      </c>
      <c r="AJ171" s="37">
        <f>IF(最佳化斷筋點!K171="","",最佳化斷筋點!K171)</f>
        <v>3</v>
      </c>
      <c r="AK171" s="37">
        <f>IF(最佳化斷筋點!L171="","",最佳化斷筋點!L171)</f>
        <v>3</v>
      </c>
      <c r="AL171" s="37">
        <f>IF(最佳化斷筋點!M171="","",最佳化斷筋點!M171)</f>
        <v>3</v>
      </c>
      <c r="AM171" s="37">
        <f>IF(最佳化斷筋點!N171="","",最佳化斷筋點!N171)</f>
        <v>3</v>
      </c>
      <c r="AN171" s="37">
        <f>IF(最佳化斷筋點!O171="","",最佳化斷筋點!O171)</f>
        <v>3</v>
      </c>
      <c r="AO171" s="37">
        <f>IF(最佳化斷筋點!P171="","",最佳化斷筋點!P171)</f>
        <v>2</v>
      </c>
      <c r="AP171" s="37">
        <f>IF(最佳化斷筋點!Q171="","",最佳化斷筋點!Q171)</f>
        <v>2</v>
      </c>
      <c r="AQ171" s="37">
        <f>IF(最佳化斷筋點!R171="","",最佳化斷筋點!R171)</f>
        <v>3</v>
      </c>
      <c r="AR171" s="37">
        <f>IF(最佳化斷筋點!S171="","",最佳化斷筋點!S171)</f>
        <v>3</v>
      </c>
      <c r="AS171" s="37">
        <f>IF(最佳化斷筋點!T171="","",最佳化斷筋點!T171)</f>
        <v>3</v>
      </c>
      <c r="AT171" s="37">
        <f>IF(最佳化斷筋點!U171="","",最佳化斷筋點!U171)</f>
        <v>3</v>
      </c>
      <c r="AU171" s="37">
        <f>IF(最佳化斷筋點!V171="","",最佳化斷筋點!V171)</f>
        <v>3</v>
      </c>
      <c r="AV171" s="37">
        <f>IF(最佳化斷筋點!W171="","",最佳化斷筋點!W171)</f>
        <v>3</v>
      </c>
      <c r="AW171" s="37">
        <f>IF(最佳化斷筋點!X171="","",最佳化斷筋點!X171)</f>
        <v>3</v>
      </c>
      <c r="AY171" s="6" t="s">
        <v>20</v>
      </c>
      <c r="AZ171" s="37">
        <v>7</v>
      </c>
      <c r="BA171" s="37">
        <v>7</v>
      </c>
      <c r="BB171" s="37">
        <v>7</v>
      </c>
      <c r="BC171" s="37">
        <v>7</v>
      </c>
      <c r="BD171" s="37">
        <v>7</v>
      </c>
      <c r="BE171" s="37">
        <v>7</v>
      </c>
      <c r="BF171" s="37">
        <v>6</v>
      </c>
      <c r="BG171" s="37">
        <v>3</v>
      </c>
      <c r="BH171" s="37">
        <v>3</v>
      </c>
      <c r="BI171" s="37">
        <v>3</v>
      </c>
      <c r="BJ171" s="37">
        <v>3</v>
      </c>
      <c r="BK171" s="37">
        <v>3</v>
      </c>
      <c r="BL171" s="37">
        <v>2</v>
      </c>
      <c r="BM171" s="37">
        <v>2</v>
      </c>
      <c r="BN171" s="37">
        <v>3</v>
      </c>
      <c r="BO171" s="37">
        <v>3</v>
      </c>
      <c r="BP171" s="37">
        <v>3</v>
      </c>
      <c r="BQ171" s="37">
        <v>3</v>
      </c>
      <c r="BR171" s="37">
        <v>3</v>
      </c>
      <c r="BS171" s="37">
        <v>3</v>
      </c>
      <c r="BT171" s="37">
        <v>3</v>
      </c>
    </row>
    <row r="172" spans="5:72" x14ac:dyDescent="0.25">
      <c r="F172" s="6">
        <f t="shared" si="43"/>
        <v>0</v>
      </c>
      <c r="G172" s="6">
        <f t="shared" si="44"/>
        <v>0</v>
      </c>
      <c r="H172" s="6">
        <f t="shared" si="45"/>
        <v>0</v>
      </c>
      <c r="I172" s="6">
        <f t="shared" si="46"/>
        <v>0</v>
      </c>
      <c r="J172" s="6">
        <f t="shared" si="47"/>
        <v>0</v>
      </c>
      <c r="K172" s="6">
        <f t="shared" si="48"/>
        <v>0</v>
      </c>
      <c r="L172" s="6">
        <f t="shared" si="49"/>
        <v>0</v>
      </c>
      <c r="M172" s="6">
        <f t="shared" si="50"/>
        <v>0</v>
      </c>
      <c r="N172" s="6">
        <f t="shared" si="51"/>
        <v>0</v>
      </c>
      <c r="O172" s="6">
        <f t="shared" si="52"/>
        <v>0</v>
      </c>
      <c r="P172" s="6">
        <f t="shared" si="53"/>
        <v>0</v>
      </c>
      <c r="Q172" s="6">
        <f t="shared" si="54"/>
        <v>0</v>
      </c>
      <c r="R172" s="6">
        <f t="shared" si="55"/>
        <v>0</v>
      </c>
      <c r="S172" s="6">
        <f t="shared" si="56"/>
        <v>0</v>
      </c>
      <c r="T172" s="6">
        <f t="shared" si="57"/>
        <v>0</v>
      </c>
      <c r="U172" s="6">
        <f t="shared" si="58"/>
        <v>0</v>
      </c>
      <c r="V172" s="6">
        <f t="shared" si="59"/>
        <v>0</v>
      </c>
      <c r="W172" s="6">
        <f t="shared" si="60"/>
        <v>0</v>
      </c>
      <c r="X172" s="6">
        <f t="shared" si="61"/>
        <v>0</v>
      </c>
      <c r="Y172" s="6">
        <f t="shared" si="62"/>
        <v>0</v>
      </c>
      <c r="Z172" s="6">
        <f t="shared" si="63"/>
        <v>0</v>
      </c>
      <c r="AB172" s="36" t="str">
        <f>IF(最佳化斷筋點!C172="","",最佳化斷筋點!C172)</f>
        <v/>
      </c>
      <c r="AC172" s="37" t="str">
        <f>IF(最佳化斷筋點!D172="","",最佳化斷筋點!D172)</f>
        <v/>
      </c>
      <c r="AD172" s="37" t="str">
        <f>IF(最佳化斷筋點!E172="","",最佳化斷筋點!E172)</f>
        <v/>
      </c>
      <c r="AE172" s="37" t="str">
        <f>IF(最佳化斷筋點!F172="","",最佳化斷筋點!F172)</f>
        <v/>
      </c>
      <c r="AF172" s="37" t="str">
        <f>IF(最佳化斷筋點!G172="","",最佳化斷筋點!G172)</f>
        <v/>
      </c>
      <c r="AG172" s="37" t="str">
        <f>IF(最佳化斷筋點!H172="","",最佳化斷筋點!H172)</f>
        <v/>
      </c>
      <c r="AH172" s="37" t="str">
        <f>IF(最佳化斷筋點!I172="","",最佳化斷筋點!I172)</f>
        <v/>
      </c>
      <c r="AI172" s="37" t="str">
        <f>IF(最佳化斷筋點!J172="","",最佳化斷筋點!J172)</f>
        <v/>
      </c>
      <c r="AJ172" s="37" t="str">
        <f>IF(最佳化斷筋點!K172="","",最佳化斷筋點!K172)</f>
        <v/>
      </c>
      <c r="AK172" s="37" t="str">
        <f>IF(最佳化斷筋點!L172="","",最佳化斷筋點!L172)</f>
        <v/>
      </c>
      <c r="AL172" s="37" t="str">
        <f>IF(最佳化斷筋點!M172="","",最佳化斷筋點!M172)</f>
        <v/>
      </c>
      <c r="AM172" s="37" t="str">
        <f>IF(最佳化斷筋點!N172="","",最佳化斷筋點!N172)</f>
        <v/>
      </c>
      <c r="AN172" s="37" t="str">
        <f>IF(最佳化斷筋點!O172="","",最佳化斷筋點!O172)</f>
        <v/>
      </c>
      <c r="AO172" s="37" t="str">
        <f>IF(最佳化斷筋點!P172="","",最佳化斷筋點!P172)</f>
        <v/>
      </c>
      <c r="AP172" s="37" t="str">
        <f>IF(最佳化斷筋點!Q172="","",最佳化斷筋點!Q172)</f>
        <v/>
      </c>
      <c r="AQ172" s="37" t="str">
        <f>IF(最佳化斷筋點!R172="","",最佳化斷筋點!R172)</f>
        <v/>
      </c>
      <c r="AR172" s="37" t="str">
        <f>IF(最佳化斷筋點!S172="","",最佳化斷筋點!S172)</f>
        <v/>
      </c>
      <c r="AS172" s="37" t="str">
        <f>IF(最佳化斷筋點!T172="","",最佳化斷筋點!T172)</f>
        <v/>
      </c>
      <c r="AT172" s="37" t="str">
        <f>IF(最佳化斷筋點!U172="","",最佳化斷筋點!U172)</f>
        <v/>
      </c>
      <c r="AU172" s="37" t="str">
        <f>IF(最佳化斷筋點!V172="","",最佳化斷筋點!V172)</f>
        <v/>
      </c>
      <c r="AV172" s="37" t="str">
        <f>IF(最佳化斷筋點!W172="","",最佳化斷筋點!W172)</f>
        <v/>
      </c>
      <c r="AW172" s="37" t="str">
        <f>IF(最佳化斷筋點!X172="","",最佳化斷筋點!X172)</f>
        <v/>
      </c>
      <c r="AZ172" s="37" t="s">
        <v>197</v>
      </c>
      <c r="BA172" s="37" t="s">
        <v>197</v>
      </c>
      <c r="BB172" s="37" t="s">
        <v>197</v>
      </c>
      <c r="BC172" s="37" t="s">
        <v>197</v>
      </c>
      <c r="BD172" s="37" t="s">
        <v>197</v>
      </c>
      <c r="BE172" s="37" t="s">
        <v>197</v>
      </c>
      <c r="BF172" s="37" t="s">
        <v>197</v>
      </c>
      <c r="BG172" s="37" t="s">
        <v>197</v>
      </c>
      <c r="BH172" s="37" t="s">
        <v>197</v>
      </c>
      <c r="BI172" s="37" t="s">
        <v>197</v>
      </c>
      <c r="BJ172" s="37" t="s">
        <v>197</v>
      </c>
      <c r="BK172" s="37" t="s">
        <v>197</v>
      </c>
      <c r="BL172" s="37" t="s">
        <v>197</v>
      </c>
      <c r="BM172" s="37" t="s">
        <v>197</v>
      </c>
      <c r="BN172" s="37" t="s">
        <v>197</v>
      </c>
      <c r="BO172" s="37" t="s">
        <v>197</v>
      </c>
      <c r="BP172" s="37" t="s">
        <v>197</v>
      </c>
      <c r="BQ172" s="37" t="s">
        <v>197</v>
      </c>
      <c r="BR172" s="37" t="s">
        <v>197</v>
      </c>
      <c r="BS172" s="37" t="s">
        <v>197</v>
      </c>
      <c r="BT172" s="37" t="s">
        <v>197</v>
      </c>
    </row>
    <row r="173" spans="5:72" x14ac:dyDescent="0.25">
      <c r="E173" s="6" t="s">
        <v>21</v>
      </c>
      <c r="F173" s="6">
        <f t="shared" si="43"/>
        <v>0</v>
      </c>
      <c r="G173" s="6">
        <f t="shared" si="44"/>
        <v>0</v>
      </c>
      <c r="H173" s="6">
        <f t="shared" si="45"/>
        <v>0</v>
      </c>
      <c r="I173" s="6">
        <f t="shared" si="46"/>
        <v>0</v>
      </c>
      <c r="J173" s="6">
        <f t="shared" si="47"/>
        <v>0</v>
      </c>
      <c r="K173" s="6">
        <f t="shared" si="48"/>
        <v>0</v>
      </c>
      <c r="L173" s="6">
        <f t="shared" si="49"/>
        <v>0</v>
      </c>
      <c r="M173" s="6">
        <f t="shared" si="50"/>
        <v>0</v>
      </c>
      <c r="N173" s="6">
        <f t="shared" si="51"/>
        <v>0</v>
      </c>
      <c r="O173" s="6">
        <f t="shared" si="52"/>
        <v>0</v>
      </c>
      <c r="P173" s="6">
        <f t="shared" si="53"/>
        <v>0</v>
      </c>
      <c r="Q173" s="6">
        <f t="shared" si="54"/>
        <v>0</v>
      </c>
      <c r="R173" s="6">
        <f t="shared" si="55"/>
        <v>0</v>
      </c>
      <c r="S173" s="6">
        <f t="shared" si="56"/>
        <v>0</v>
      </c>
      <c r="T173" s="6">
        <f t="shared" si="57"/>
        <v>0</v>
      </c>
      <c r="U173" s="6">
        <f t="shared" si="58"/>
        <v>0</v>
      </c>
      <c r="V173" s="6">
        <f t="shared" si="59"/>
        <v>0</v>
      </c>
      <c r="W173" s="6">
        <f t="shared" si="60"/>
        <v>0</v>
      </c>
      <c r="X173" s="6">
        <f t="shared" si="61"/>
        <v>0</v>
      </c>
      <c r="Y173" s="6">
        <f t="shared" si="62"/>
        <v>0</v>
      </c>
      <c r="Z173" s="6">
        <f t="shared" si="63"/>
        <v>0</v>
      </c>
      <c r="AB173" s="36" t="str">
        <f>IF(最佳化斷筋點!C173="","",最佳化斷筋點!C173)</f>
        <v>下層</v>
      </c>
      <c r="AC173" s="37">
        <f>IF(最佳化斷筋點!D173="","",最佳化斷筋點!D173)</f>
        <v>4</v>
      </c>
      <c r="AD173" s="37">
        <f>IF(最佳化斷筋點!E173="","",最佳化斷筋點!E173)</f>
        <v>4</v>
      </c>
      <c r="AE173" s="37">
        <f>IF(最佳化斷筋點!F173="","",最佳化斷筋點!F173)</f>
        <v>4</v>
      </c>
      <c r="AF173" s="37">
        <f>IF(最佳化斷筋點!G173="","",最佳化斷筋點!G173)</f>
        <v>4</v>
      </c>
      <c r="AG173" s="37">
        <f>IF(最佳化斷筋點!H173="","",最佳化斷筋點!H173)</f>
        <v>4</v>
      </c>
      <c r="AH173" s="37">
        <f>IF(最佳化斷筋點!I173="","",最佳化斷筋點!I173)</f>
        <v>4</v>
      </c>
      <c r="AI173" s="37">
        <f>IF(最佳化斷筋點!J173="","",最佳化斷筋點!J173)</f>
        <v>3</v>
      </c>
      <c r="AJ173" s="37">
        <f>IF(最佳化斷筋點!K173="","",最佳化斷筋點!K173)</f>
        <v>2</v>
      </c>
      <c r="AK173" s="37">
        <f>IF(最佳化斷筋點!L173="","",最佳化斷筋點!L173)</f>
        <v>2</v>
      </c>
      <c r="AL173" s="37">
        <f>IF(最佳化斷筋點!M173="","",最佳化斷筋點!M173)</f>
        <v>2</v>
      </c>
      <c r="AM173" s="37">
        <f>IF(最佳化斷筋點!N173="","",最佳化斷筋點!N173)</f>
        <v>2</v>
      </c>
      <c r="AN173" s="37">
        <f>IF(最佳化斷筋點!O173="","",最佳化斷筋點!O173)</f>
        <v>2</v>
      </c>
      <c r="AO173" s="37">
        <f>IF(最佳化斷筋點!P173="","",最佳化斷筋點!P173)</f>
        <v>2</v>
      </c>
      <c r="AP173" s="37">
        <f>IF(最佳化斷筋點!Q173="","",最佳化斷筋點!Q173)</f>
        <v>3</v>
      </c>
      <c r="AQ173" s="37">
        <f>IF(最佳化斷筋點!R173="","",最佳化斷筋點!R173)</f>
        <v>4</v>
      </c>
      <c r="AR173" s="37">
        <f>IF(最佳化斷筋點!S173="","",最佳化斷筋點!S173)</f>
        <v>4</v>
      </c>
      <c r="AS173" s="37">
        <f>IF(最佳化斷筋點!T173="","",最佳化斷筋點!T173)</f>
        <v>5</v>
      </c>
      <c r="AT173" s="37">
        <f>IF(最佳化斷筋點!U173="","",最佳化斷筋點!U173)</f>
        <v>5</v>
      </c>
      <c r="AU173" s="37">
        <f>IF(最佳化斷筋點!V173="","",最佳化斷筋點!V173)</f>
        <v>5</v>
      </c>
      <c r="AV173" s="37">
        <f>IF(最佳化斷筋點!W173="","",最佳化斷筋點!W173)</f>
        <v>5</v>
      </c>
      <c r="AW173" s="37">
        <f>IF(最佳化斷筋點!X173="","",最佳化斷筋點!X173)</f>
        <v>5</v>
      </c>
      <c r="AY173" s="6" t="s">
        <v>21</v>
      </c>
      <c r="AZ173" s="37">
        <v>4</v>
      </c>
      <c r="BA173" s="37">
        <v>4</v>
      </c>
      <c r="BB173" s="37">
        <v>4</v>
      </c>
      <c r="BC173" s="37">
        <v>4</v>
      </c>
      <c r="BD173" s="37">
        <v>4</v>
      </c>
      <c r="BE173" s="37">
        <v>4</v>
      </c>
      <c r="BF173" s="37">
        <v>3</v>
      </c>
      <c r="BG173" s="37">
        <v>2</v>
      </c>
      <c r="BH173" s="37">
        <v>2</v>
      </c>
      <c r="BI173" s="37">
        <v>2</v>
      </c>
      <c r="BJ173" s="37">
        <v>2</v>
      </c>
      <c r="BK173" s="37">
        <v>2</v>
      </c>
      <c r="BL173" s="37">
        <v>2</v>
      </c>
      <c r="BM173" s="37">
        <v>3</v>
      </c>
      <c r="BN173" s="37">
        <v>4</v>
      </c>
      <c r="BO173" s="37">
        <v>4</v>
      </c>
      <c r="BP173" s="37">
        <v>5</v>
      </c>
      <c r="BQ173" s="37">
        <v>5</v>
      </c>
      <c r="BR173" s="37">
        <v>5</v>
      </c>
      <c r="BS173" s="37">
        <v>5</v>
      </c>
      <c r="BT173" s="37">
        <v>5</v>
      </c>
    </row>
    <row r="174" spans="5:72" x14ac:dyDescent="0.25">
      <c r="F174" s="6">
        <f t="shared" si="43"/>
        <v>0</v>
      </c>
      <c r="G174" s="6">
        <f t="shared" si="44"/>
        <v>0</v>
      </c>
      <c r="H174" s="6">
        <f t="shared" si="45"/>
        <v>0</v>
      </c>
      <c r="I174" s="6">
        <f t="shared" si="46"/>
        <v>0</v>
      </c>
      <c r="J174" s="6">
        <f t="shared" si="47"/>
        <v>0</v>
      </c>
      <c r="K174" s="6">
        <f t="shared" si="48"/>
        <v>0</v>
      </c>
      <c r="L174" s="6">
        <f t="shared" si="49"/>
        <v>0</v>
      </c>
      <c r="M174" s="6">
        <f t="shared" si="50"/>
        <v>0</v>
      </c>
      <c r="N174" s="6">
        <f t="shared" si="51"/>
        <v>0</v>
      </c>
      <c r="O174" s="6">
        <f t="shared" si="52"/>
        <v>0</v>
      </c>
      <c r="P174" s="6">
        <f t="shared" si="53"/>
        <v>0</v>
      </c>
      <c r="Q174" s="6">
        <f t="shared" si="54"/>
        <v>0</v>
      </c>
      <c r="R174" s="6">
        <f t="shared" si="55"/>
        <v>0</v>
      </c>
      <c r="S174" s="6">
        <f t="shared" si="56"/>
        <v>0</v>
      </c>
      <c r="T174" s="6">
        <f t="shared" si="57"/>
        <v>0</v>
      </c>
      <c r="U174" s="6">
        <f t="shared" si="58"/>
        <v>0</v>
      </c>
      <c r="V174" s="6">
        <f t="shared" si="59"/>
        <v>0</v>
      </c>
      <c r="W174" s="6">
        <f t="shared" si="60"/>
        <v>0</v>
      </c>
      <c r="X174" s="6">
        <f t="shared" si="61"/>
        <v>0</v>
      </c>
      <c r="Y174" s="6">
        <f t="shared" si="62"/>
        <v>0</v>
      </c>
      <c r="Z174" s="6">
        <f t="shared" si="63"/>
        <v>0</v>
      </c>
      <c r="AB174" s="36" t="str">
        <f>IF(最佳化斷筋點!C174="","",最佳化斷筋點!C174)</f>
        <v/>
      </c>
      <c r="AC174" s="37" t="str">
        <f>IF(最佳化斷筋點!D174="","",最佳化斷筋點!D174)</f>
        <v/>
      </c>
      <c r="AD174" s="37" t="str">
        <f>IF(最佳化斷筋點!E174="","",最佳化斷筋點!E174)</f>
        <v/>
      </c>
      <c r="AE174" s="37" t="str">
        <f>IF(最佳化斷筋點!F174="","",最佳化斷筋點!F174)</f>
        <v/>
      </c>
      <c r="AF174" s="37" t="str">
        <f>IF(最佳化斷筋點!G174="","",最佳化斷筋點!G174)</f>
        <v/>
      </c>
      <c r="AG174" s="37" t="str">
        <f>IF(最佳化斷筋點!H174="","",最佳化斷筋點!H174)</f>
        <v/>
      </c>
      <c r="AH174" s="37" t="str">
        <f>IF(最佳化斷筋點!I174="","",最佳化斷筋點!I174)</f>
        <v/>
      </c>
      <c r="AI174" s="37" t="str">
        <f>IF(最佳化斷筋點!J174="","",最佳化斷筋點!J174)</f>
        <v/>
      </c>
      <c r="AJ174" s="37" t="str">
        <f>IF(最佳化斷筋點!K174="","",最佳化斷筋點!K174)</f>
        <v/>
      </c>
      <c r="AK174" s="37" t="str">
        <f>IF(最佳化斷筋點!L174="","",最佳化斷筋點!L174)</f>
        <v/>
      </c>
      <c r="AL174" s="37" t="str">
        <f>IF(最佳化斷筋點!M174="","",最佳化斷筋點!M174)</f>
        <v/>
      </c>
      <c r="AM174" s="37" t="str">
        <f>IF(最佳化斷筋點!N174="","",最佳化斷筋點!N174)</f>
        <v/>
      </c>
      <c r="AN174" s="37" t="str">
        <f>IF(最佳化斷筋點!O174="","",最佳化斷筋點!O174)</f>
        <v/>
      </c>
      <c r="AO174" s="37" t="str">
        <f>IF(最佳化斷筋點!P174="","",最佳化斷筋點!P174)</f>
        <v/>
      </c>
      <c r="AP174" s="37" t="str">
        <f>IF(最佳化斷筋點!Q174="","",最佳化斷筋點!Q174)</f>
        <v/>
      </c>
      <c r="AQ174" s="37" t="str">
        <f>IF(最佳化斷筋點!R174="","",最佳化斷筋點!R174)</f>
        <v/>
      </c>
      <c r="AR174" s="37" t="str">
        <f>IF(最佳化斷筋點!S174="","",最佳化斷筋點!S174)</f>
        <v/>
      </c>
      <c r="AS174" s="37" t="str">
        <f>IF(最佳化斷筋點!T174="","",最佳化斷筋點!T174)</f>
        <v/>
      </c>
      <c r="AT174" s="37" t="str">
        <f>IF(最佳化斷筋點!U174="","",最佳化斷筋點!U174)</f>
        <v/>
      </c>
      <c r="AU174" s="37" t="str">
        <f>IF(最佳化斷筋點!V174="","",最佳化斷筋點!V174)</f>
        <v/>
      </c>
      <c r="AV174" s="37" t="str">
        <f>IF(最佳化斷筋點!W174="","",最佳化斷筋點!W174)</f>
        <v/>
      </c>
      <c r="AW174" s="37" t="str">
        <f>IF(最佳化斷筋點!X174="","",最佳化斷筋點!X174)</f>
        <v/>
      </c>
      <c r="AZ174" s="37" t="s">
        <v>197</v>
      </c>
      <c r="BA174" s="37" t="s">
        <v>197</v>
      </c>
      <c r="BB174" s="37" t="s">
        <v>197</v>
      </c>
      <c r="BC174" s="37" t="s">
        <v>197</v>
      </c>
      <c r="BD174" s="37" t="s">
        <v>197</v>
      </c>
      <c r="BE174" s="37" t="s">
        <v>197</v>
      </c>
      <c r="BF174" s="37" t="s">
        <v>197</v>
      </c>
      <c r="BG174" s="37" t="s">
        <v>197</v>
      </c>
      <c r="BH174" s="37" t="s">
        <v>197</v>
      </c>
      <c r="BI174" s="37" t="s">
        <v>197</v>
      </c>
      <c r="BJ174" s="37" t="s">
        <v>197</v>
      </c>
      <c r="BK174" s="37" t="s">
        <v>197</v>
      </c>
      <c r="BL174" s="37" t="s">
        <v>197</v>
      </c>
      <c r="BM174" s="37" t="s">
        <v>197</v>
      </c>
      <c r="BN174" s="37" t="s">
        <v>197</v>
      </c>
      <c r="BO174" s="37" t="s">
        <v>197</v>
      </c>
      <c r="BP174" s="37" t="s">
        <v>197</v>
      </c>
      <c r="BQ174" s="37" t="s">
        <v>197</v>
      </c>
      <c r="BR174" s="37" t="s">
        <v>197</v>
      </c>
      <c r="BS174" s="37" t="s">
        <v>197</v>
      </c>
      <c r="BT174" s="37" t="s">
        <v>197</v>
      </c>
    </row>
    <row r="175" spans="5:72" x14ac:dyDescent="0.25">
      <c r="E175" s="6" t="s">
        <v>20</v>
      </c>
      <c r="F175" s="6">
        <f t="shared" si="43"/>
        <v>0</v>
      </c>
      <c r="G175" s="6">
        <f t="shared" si="44"/>
        <v>0</v>
      </c>
      <c r="H175" s="6">
        <f t="shared" si="45"/>
        <v>0</v>
      </c>
      <c r="I175" s="6">
        <f t="shared" si="46"/>
        <v>0</v>
      </c>
      <c r="J175" s="6">
        <f t="shared" si="47"/>
        <v>0</v>
      </c>
      <c r="K175" s="6">
        <f t="shared" si="48"/>
        <v>0</v>
      </c>
      <c r="L175" s="6">
        <f t="shared" si="49"/>
        <v>0</v>
      </c>
      <c r="M175" s="6">
        <f t="shared" si="50"/>
        <v>0</v>
      </c>
      <c r="N175" s="6">
        <f t="shared" si="51"/>
        <v>0</v>
      </c>
      <c r="O175" s="6">
        <f t="shared" si="52"/>
        <v>0</v>
      </c>
      <c r="P175" s="6">
        <f t="shared" si="53"/>
        <v>0</v>
      </c>
      <c r="Q175" s="6">
        <f t="shared" si="54"/>
        <v>0</v>
      </c>
      <c r="R175" s="6">
        <f t="shared" si="55"/>
        <v>0</v>
      </c>
      <c r="S175" s="6">
        <f t="shared" si="56"/>
        <v>0</v>
      </c>
      <c r="T175" s="6">
        <f t="shared" si="57"/>
        <v>0</v>
      </c>
      <c r="U175" s="6">
        <f t="shared" si="58"/>
        <v>0</v>
      </c>
      <c r="V175" s="6">
        <f t="shared" si="59"/>
        <v>0</v>
      </c>
      <c r="W175" s="6">
        <f t="shared" si="60"/>
        <v>0</v>
      </c>
      <c r="X175" s="6">
        <f t="shared" si="61"/>
        <v>0</v>
      </c>
      <c r="Y175" s="6">
        <f t="shared" si="62"/>
        <v>0</v>
      </c>
      <c r="Z175" s="6">
        <f t="shared" si="63"/>
        <v>0</v>
      </c>
      <c r="AB175" s="36" t="str">
        <f>IF(最佳化斷筋點!C175="","",最佳化斷筋點!C175)</f>
        <v>上層</v>
      </c>
      <c r="AC175" s="37">
        <f>IF(最佳化斷筋點!D175="","",最佳化斷筋點!D175)</f>
        <v>7</v>
      </c>
      <c r="AD175" s="37">
        <f>IF(最佳化斷筋點!E175="","",最佳化斷筋點!E175)</f>
        <v>7</v>
      </c>
      <c r="AE175" s="37">
        <f>IF(最佳化斷筋點!F175="","",最佳化斷筋點!F175)</f>
        <v>7</v>
      </c>
      <c r="AF175" s="37">
        <f>IF(最佳化斷筋點!G175="","",最佳化斷筋點!G175)</f>
        <v>7</v>
      </c>
      <c r="AG175" s="37">
        <f>IF(最佳化斷筋點!H175="","",最佳化斷筋點!H175)</f>
        <v>7</v>
      </c>
      <c r="AH175" s="37">
        <f>IF(最佳化斷筋點!I175="","",最佳化斷筋點!I175)</f>
        <v>7</v>
      </c>
      <c r="AI175" s="37">
        <f>IF(最佳化斷筋點!J175="","",最佳化斷筋點!J175)</f>
        <v>6</v>
      </c>
      <c r="AJ175" s="37">
        <f>IF(最佳化斷筋點!K175="","",最佳化斷筋點!K175)</f>
        <v>3</v>
      </c>
      <c r="AK175" s="37">
        <f>IF(最佳化斷筋點!L175="","",最佳化斷筋點!L175)</f>
        <v>3</v>
      </c>
      <c r="AL175" s="37">
        <f>IF(最佳化斷筋點!M175="","",最佳化斷筋點!M175)</f>
        <v>3</v>
      </c>
      <c r="AM175" s="37">
        <f>IF(最佳化斷筋點!N175="","",最佳化斷筋點!N175)</f>
        <v>3</v>
      </c>
      <c r="AN175" s="37">
        <f>IF(最佳化斷筋點!O175="","",最佳化斷筋點!O175)</f>
        <v>3</v>
      </c>
      <c r="AO175" s="37">
        <f>IF(最佳化斷筋點!P175="","",最佳化斷筋點!P175)</f>
        <v>3</v>
      </c>
      <c r="AP175" s="37">
        <f>IF(最佳化斷筋點!Q175="","",最佳化斷筋點!Q175)</f>
        <v>4</v>
      </c>
      <c r="AQ175" s="37">
        <f>IF(最佳化斷筋點!R175="","",最佳化斷筋點!R175)</f>
        <v>4</v>
      </c>
      <c r="AR175" s="37">
        <f>IF(最佳化斷筋點!S175="","",最佳化斷筋點!S175)</f>
        <v>5</v>
      </c>
      <c r="AS175" s="37">
        <f>IF(最佳化斷筋點!T175="","",最佳化斷筋點!T175)</f>
        <v>5</v>
      </c>
      <c r="AT175" s="37">
        <f>IF(最佳化斷筋點!U175="","",最佳化斷筋點!U175)</f>
        <v>5</v>
      </c>
      <c r="AU175" s="37">
        <f>IF(最佳化斷筋點!V175="","",最佳化斷筋點!V175)</f>
        <v>5</v>
      </c>
      <c r="AV175" s="37">
        <f>IF(最佳化斷筋點!W175="","",最佳化斷筋點!W175)</f>
        <v>5</v>
      </c>
      <c r="AW175" s="37">
        <f>IF(最佳化斷筋點!X175="","",最佳化斷筋點!X175)</f>
        <v>5</v>
      </c>
      <c r="AY175" s="6" t="s">
        <v>20</v>
      </c>
      <c r="AZ175" s="37">
        <v>7</v>
      </c>
      <c r="BA175" s="37">
        <v>7</v>
      </c>
      <c r="BB175" s="37">
        <v>7</v>
      </c>
      <c r="BC175" s="37">
        <v>7</v>
      </c>
      <c r="BD175" s="37">
        <v>7</v>
      </c>
      <c r="BE175" s="37">
        <v>7</v>
      </c>
      <c r="BF175" s="37">
        <v>6</v>
      </c>
      <c r="BG175" s="37">
        <v>3</v>
      </c>
      <c r="BH175" s="37">
        <v>3</v>
      </c>
      <c r="BI175" s="37">
        <v>3</v>
      </c>
      <c r="BJ175" s="37">
        <v>3</v>
      </c>
      <c r="BK175" s="37">
        <v>3</v>
      </c>
      <c r="BL175" s="37">
        <v>3</v>
      </c>
      <c r="BM175" s="37">
        <v>4</v>
      </c>
      <c r="BN175" s="37">
        <v>4</v>
      </c>
      <c r="BO175" s="37">
        <v>5</v>
      </c>
      <c r="BP175" s="37">
        <v>5</v>
      </c>
      <c r="BQ175" s="37">
        <v>5</v>
      </c>
      <c r="BR175" s="37">
        <v>5</v>
      </c>
      <c r="BS175" s="37">
        <v>5</v>
      </c>
      <c r="BT175" s="37">
        <v>5</v>
      </c>
    </row>
    <row r="176" spans="5:72" x14ac:dyDescent="0.25">
      <c r="F176" s="6">
        <f t="shared" si="43"/>
        <v>0</v>
      </c>
      <c r="G176" s="6">
        <f t="shared" si="44"/>
        <v>0</v>
      </c>
      <c r="H176" s="6">
        <f t="shared" si="45"/>
        <v>0</v>
      </c>
      <c r="I176" s="6">
        <f t="shared" si="46"/>
        <v>0</v>
      </c>
      <c r="J176" s="6">
        <f t="shared" si="47"/>
        <v>0</v>
      </c>
      <c r="K176" s="6">
        <f t="shared" si="48"/>
        <v>0</v>
      </c>
      <c r="L176" s="6">
        <f t="shared" si="49"/>
        <v>0</v>
      </c>
      <c r="M176" s="6">
        <f t="shared" si="50"/>
        <v>0</v>
      </c>
      <c r="N176" s="6">
        <f t="shared" si="51"/>
        <v>0</v>
      </c>
      <c r="O176" s="6">
        <f t="shared" si="52"/>
        <v>0</v>
      </c>
      <c r="P176" s="6">
        <f t="shared" si="53"/>
        <v>0</v>
      </c>
      <c r="Q176" s="6">
        <f t="shared" si="54"/>
        <v>0</v>
      </c>
      <c r="R176" s="6">
        <f t="shared" si="55"/>
        <v>0</v>
      </c>
      <c r="S176" s="6">
        <f t="shared" si="56"/>
        <v>0</v>
      </c>
      <c r="T176" s="6">
        <f t="shared" si="57"/>
        <v>0</v>
      </c>
      <c r="U176" s="6">
        <f t="shared" si="58"/>
        <v>0</v>
      </c>
      <c r="V176" s="6">
        <f t="shared" si="59"/>
        <v>0</v>
      </c>
      <c r="W176" s="6">
        <f t="shared" si="60"/>
        <v>0</v>
      </c>
      <c r="X176" s="6">
        <f t="shared" si="61"/>
        <v>0</v>
      </c>
      <c r="Y176" s="6">
        <f t="shared" si="62"/>
        <v>0</v>
      </c>
      <c r="Z176" s="6">
        <f t="shared" si="63"/>
        <v>0</v>
      </c>
      <c r="AB176" s="36" t="str">
        <f>IF(最佳化斷筋點!C176="","",最佳化斷筋點!C176)</f>
        <v/>
      </c>
      <c r="AC176" s="37" t="str">
        <f>IF(最佳化斷筋點!D176="","",最佳化斷筋點!D176)</f>
        <v/>
      </c>
      <c r="AD176" s="37" t="str">
        <f>IF(最佳化斷筋點!E176="","",最佳化斷筋點!E176)</f>
        <v/>
      </c>
      <c r="AE176" s="37" t="str">
        <f>IF(最佳化斷筋點!F176="","",最佳化斷筋點!F176)</f>
        <v/>
      </c>
      <c r="AF176" s="37" t="str">
        <f>IF(最佳化斷筋點!G176="","",最佳化斷筋點!G176)</f>
        <v/>
      </c>
      <c r="AG176" s="37" t="str">
        <f>IF(最佳化斷筋點!H176="","",最佳化斷筋點!H176)</f>
        <v/>
      </c>
      <c r="AH176" s="37" t="str">
        <f>IF(最佳化斷筋點!I176="","",最佳化斷筋點!I176)</f>
        <v/>
      </c>
      <c r="AI176" s="37" t="str">
        <f>IF(最佳化斷筋點!J176="","",最佳化斷筋點!J176)</f>
        <v/>
      </c>
      <c r="AJ176" s="37" t="str">
        <f>IF(最佳化斷筋點!K176="","",最佳化斷筋點!K176)</f>
        <v/>
      </c>
      <c r="AK176" s="37" t="str">
        <f>IF(最佳化斷筋點!L176="","",最佳化斷筋點!L176)</f>
        <v/>
      </c>
      <c r="AL176" s="37" t="str">
        <f>IF(最佳化斷筋點!M176="","",最佳化斷筋點!M176)</f>
        <v/>
      </c>
      <c r="AM176" s="37" t="str">
        <f>IF(最佳化斷筋點!N176="","",最佳化斷筋點!N176)</f>
        <v/>
      </c>
      <c r="AN176" s="37" t="str">
        <f>IF(最佳化斷筋點!O176="","",最佳化斷筋點!O176)</f>
        <v/>
      </c>
      <c r="AO176" s="37" t="str">
        <f>IF(最佳化斷筋點!P176="","",最佳化斷筋點!P176)</f>
        <v/>
      </c>
      <c r="AP176" s="37" t="str">
        <f>IF(最佳化斷筋點!Q176="","",最佳化斷筋點!Q176)</f>
        <v/>
      </c>
      <c r="AQ176" s="37" t="str">
        <f>IF(最佳化斷筋點!R176="","",最佳化斷筋點!R176)</f>
        <v/>
      </c>
      <c r="AR176" s="37" t="str">
        <f>IF(最佳化斷筋點!S176="","",最佳化斷筋點!S176)</f>
        <v/>
      </c>
      <c r="AS176" s="37" t="str">
        <f>IF(最佳化斷筋點!T176="","",最佳化斷筋點!T176)</f>
        <v/>
      </c>
      <c r="AT176" s="37" t="str">
        <f>IF(最佳化斷筋點!U176="","",最佳化斷筋點!U176)</f>
        <v/>
      </c>
      <c r="AU176" s="37" t="str">
        <f>IF(最佳化斷筋點!V176="","",最佳化斷筋點!V176)</f>
        <v/>
      </c>
      <c r="AV176" s="37" t="str">
        <f>IF(最佳化斷筋點!W176="","",最佳化斷筋點!W176)</f>
        <v/>
      </c>
      <c r="AW176" s="37" t="str">
        <f>IF(最佳化斷筋點!X176="","",最佳化斷筋點!X176)</f>
        <v/>
      </c>
      <c r="AZ176" s="37" t="s">
        <v>197</v>
      </c>
      <c r="BA176" s="37" t="s">
        <v>197</v>
      </c>
      <c r="BB176" s="37" t="s">
        <v>197</v>
      </c>
      <c r="BC176" s="37" t="s">
        <v>197</v>
      </c>
      <c r="BD176" s="37" t="s">
        <v>197</v>
      </c>
      <c r="BE176" s="37" t="s">
        <v>197</v>
      </c>
      <c r="BF176" s="37" t="s">
        <v>197</v>
      </c>
      <c r="BG176" s="37" t="s">
        <v>197</v>
      </c>
      <c r="BH176" s="37" t="s">
        <v>197</v>
      </c>
      <c r="BI176" s="37" t="s">
        <v>197</v>
      </c>
      <c r="BJ176" s="37" t="s">
        <v>197</v>
      </c>
      <c r="BK176" s="37" t="s">
        <v>197</v>
      </c>
      <c r="BL176" s="37" t="s">
        <v>197</v>
      </c>
      <c r="BM176" s="37" t="s">
        <v>197</v>
      </c>
      <c r="BN176" s="37" t="s">
        <v>197</v>
      </c>
      <c r="BO176" s="37" t="s">
        <v>197</v>
      </c>
      <c r="BP176" s="37" t="s">
        <v>197</v>
      </c>
      <c r="BQ176" s="37" t="s">
        <v>197</v>
      </c>
      <c r="BR176" s="37" t="s">
        <v>197</v>
      </c>
      <c r="BS176" s="37" t="s">
        <v>197</v>
      </c>
      <c r="BT176" s="37" t="s">
        <v>197</v>
      </c>
    </row>
    <row r="177" spans="5:72" x14ac:dyDescent="0.25">
      <c r="E177" s="6" t="s">
        <v>21</v>
      </c>
      <c r="F177" s="6">
        <f t="shared" si="43"/>
        <v>0</v>
      </c>
      <c r="G177" s="6">
        <f t="shared" si="44"/>
        <v>0</v>
      </c>
      <c r="H177" s="6">
        <f t="shared" si="45"/>
        <v>0</v>
      </c>
      <c r="I177" s="6">
        <f t="shared" si="46"/>
        <v>0</v>
      </c>
      <c r="J177" s="6">
        <f t="shared" si="47"/>
        <v>0</v>
      </c>
      <c r="K177" s="6">
        <f t="shared" si="48"/>
        <v>0</v>
      </c>
      <c r="L177" s="6">
        <f t="shared" si="49"/>
        <v>0</v>
      </c>
      <c r="M177" s="6">
        <f t="shared" si="50"/>
        <v>0</v>
      </c>
      <c r="N177" s="6">
        <f t="shared" si="51"/>
        <v>0</v>
      </c>
      <c r="O177" s="6">
        <f t="shared" si="52"/>
        <v>0</v>
      </c>
      <c r="P177" s="6">
        <f t="shared" si="53"/>
        <v>0</v>
      </c>
      <c r="Q177" s="6">
        <f t="shared" si="54"/>
        <v>0</v>
      </c>
      <c r="R177" s="6">
        <f t="shared" si="55"/>
        <v>0</v>
      </c>
      <c r="S177" s="6">
        <f t="shared" si="56"/>
        <v>0</v>
      </c>
      <c r="T177" s="6">
        <f t="shared" si="57"/>
        <v>0</v>
      </c>
      <c r="U177" s="6">
        <f t="shared" si="58"/>
        <v>0</v>
      </c>
      <c r="V177" s="6">
        <f t="shared" si="59"/>
        <v>0</v>
      </c>
      <c r="W177" s="6">
        <f t="shared" si="60"/>
        <v>0</v>
      </c>
      <c r="X177" s="6">
        <f t="shared" si="61"/>
        <v>0</v>
      </c>
      <c r="Y177" s="6">
        <f t="shared" si="62"/>
        <v>0</v>
      </c>
      <c r="Z177" s="6">
        <f t="shared" si="63"/>
        <v>0</v>
      </c>
      <c r="AB177" s="36" t="str">
        <f>IF(最佳化斷筋點!C177="","",最佳化斷筋點!C177)</f>
        <v>下層</v>
      </c>
      <c r="AC177" s="37">
        <f>IF(最佳化斷筋點!D177="","",最佳化斷筋點!D177)</f>
        <v>4</v>
      </c>
      <c r="AD177" s="37">
        <f>IF(最佳化斷筋點!E177="","",最佳化斷筋點!E177)</f>
        <v>4</v>
      </c>
      <c r="AE177" s="37">
        <f>IF(最佳化斷筋點!F177="","",最佳化斷筋點!F177)</f>
        <v>4</v>
      </c>
      <c r="AF177" s="37">
        <f>IF(最佳化斷筋點!G177="","",最佳化斷筋點!G177)</f>
        <v>4</v>
      </c>
      <c r="AG177" s="37">
        <f>IF(最佳化斷筋點!H177="","",最佳化斷筋點!H177)</f>
        <v>4</v>
      </c>
      <c r="AH177" s="37">
        <f>IF(最佳化斷筋點!I177="","",最佳化斷筋點!I177)</f>
        <v>4</v>
      </c>
      <c r="AI177" s="37">
        <f>IF(最佳化斷筋點!J177="","",最佳化斷筋點!J177)</f>
        <v>3</v>
      </c>
      <c r="AJ177" s="37">
        <f>IF(最佳化斷筋點!K177="","",最佳化斷筋點!K177)</f>
        <v>3</v>
      </c>
      <c r="AK177" s="37">
        <f>IF(最佳化斷筋點!L177="","",最佳化斷筋點!L177)</f>
        <v>3</v>
      </c>
      <c r="AL177" s="37">
        <f>IF(最佳化斷筋點!M177="","",最佳化斷筋點!M177)</f>
        <v>3</v>
      </c>
      <c r="AM177" s="37">
        <f>IF(最佳化斷筋點!N177="","",最佳化斷筋點!N177)</f>
        <v>3</v>
      </c>
      <c r="AN177" s="37">
        <f>IF(最佳化斷筋點!O177="","",最佳化斷筋點!O177)</f>
        <v>3</v>
      </c>
      <c r="AO177" s="37">
        <f>IF(最佳化斷筋點!P177="","",最佳化斷筋點!P177)</f>
        <v>3</v>
      </c>
      <c r="AP177" s="37">
        <f>IF(最佳化斷筋點!Q177="","",最佳化斷筋點!Q177)</f>
        <v>3</v>
      </c>
      <c r="AQ177" s="37">
        <f>IF(最佳化斷筋點!R177="","",最佳化斷筋點!R177)</f>
        <v>4</v>
      </c>
      <c r="AR177" s="37">
        <f>IF(最佳化斷筋點!S177="","",最佳化斷筋點!S177)</f>
        <v>4</v>
      </c>
      <c r="AS177" s="37">
        <f>IF(最佳化斷筋點!T177="","",最佳化斷筋點!T177)</f>
        <v>5</v>
      </c>
      <c r="AT177" s="37">
        <f>IF(最佳化斷筋點!U177="","",最佳化斷筋點!U177)</f>
        <v>5</v>
      </c>
      <c r="AU177" s="37">
        <f>IF(最佳化斷筋點!V177="","",最佳化斷筋點!V177)</f>
        <v>5</v>
      </c>
      <c r="AV177" s="37">
        <f>IF(最佳化斷筋點!W177="","",最佳化斷筋點!W177)</f>
        <v>5</v>
      </c>
      <c r="AW177" s="37">
        <f>IF(最佳化斷筋點!X177="","",最佳化斷筋點!X177)</f>
        <v>5</v>
      </c>
      <c r="AY177" s="6" t="s">
        <v>21</v>
      </c>
      <c r="AZ177" s="37">
        <v>4</v>
      </c>
      <c r="BA177" s="37">
        <v>4</v>
      </c>
      <c r="BB177" s="37">
        <v>4</v>
      </c>
      <c r="BC177" s="37">
        <v>4</v>
      </c>
      <c r="BD177" s="37">
        <v>4</v>
      </c>
      <c r="BE177" s="37">
        <v>4</v>
      </c>
      <c r="BF177" s="37">
        <v>3</v>
      </c>
      <c r="BG177" s="37">
        <v>3</v>
      </c>
      <c r="BH177" s="37">
        <v>3</v>
      </c>
      <c r="BI177" s="37">
        <v>3</v>
      </c>
      <c r="BJ177" s="37">
        <v>3</v>
      </c>
      <c r="BK177" s="37">
        <v>3</v>
      </c>
      <c r="BL177" s="37">
        <v>3</v>
      </c>
      <c r="BM177" s="37">
        <v>3</v>
      </c>
      <c r="BN177" s="37">
        <v>4</v>
      </c>
      <c r="BO177" s="37">
        <v>4</v>
      </c>
      <c r="BP177" s="37">
        <v>5</v>
      </c>
      <c r="BQ177" s="37">
        <v>5</v>
      </c>
      <c r="BR177" s="37">
        <v>5</v>
      </c>
      <c r="BS177" s="37">
        <v>5</v>
      </c>
      <c r="BT177" s="37">
        <v>5</v>
      </c>
    </row>
    <row r="178" spans="5:72" x14ac:dyDescent="0.25">
      <c r="F178" s="6">
        <f t="shared" si="43"/>
        <v>0</v>
      </c>
      <c r="G178" s="6">
        <f t="shared" si="44"/>
        <v>0</v>
      </c>
      <c r="H178" s="6">
        <f t="shared" si="45"/>
        <v>0</v>
      </c>
      <c r="I178" s="6">
        <f t="shared" si="46"/>
        <v>0</v>
      </c>
      <c r="J178" s="6">
        <f t="shared" si="47"/>
        <v>0</v>
      </c>
      <c r="K178" s="6">
        <f t="shared" si="48"/>
        <v>0</v>
      </c>
      <c r="L178" s="6">
        <f t="shared" si="49"/>
        <v>0</v>
      </c>
      <c r="M178" s="6">
        <f t="shared" si="50"/>
        <v>0</v>
      </c>
      <c r="N178" s="6">
        <f t="shared" si="51"/>
        <v>0</v>
      </c>
      <c r="O178" s="6">
        <f t="shared" si="52"/>
        <v>0</v>
      </c>
      <c r="P178" s="6">
        <f t="shared" si="53"/>
        <v>0</v>
      </c>
      <c r="Q178" s="6">
        <f t="shared" si="54"/>
        <v>0</v>
      </c>
      <c r="R178" s="6">
        <f t="shared" si="55"/>
        <v>0</v>
      </c>
      <c r="S178" s="6">
        <f t="shared" si="56"/>
        <v>0</v>
      </c>
      <c r="T178" s="6">
        <f t="shared" si="57"/>
        <v>0</v>
      </c>
      <c r="U178" s="6">
        <f t="shared" si="58"/>
        <v>0</v>
      </c>
      <c r="V178" s="6">
        <f t="shared" si="59"/>
        <v>0</v>
      </c>
      <c r="W178" s="6">
        <f t="shared" si="60"/>
        <v>0</v>
      </c>
      <c r="X178" s="6">
        <f t="shared" si="61"/>
        <v>0</v>
      </c>
      <c r="Y178" s="6">
        <f t="shared" si="62"/>
        <v>0</v>
      </c>
      <c r="Z178" s="6">
        <f t="shared" si="63"/>
        <v>0</v>
      </c>
      <c r="AB178" s="36" t="str">
        <f>IF(最佳化斷筋點!C178="","",最佳化斷筋點!C178)</f>
        <v/>
      </c>
      <c r="AC178" s="36" t="str">
        <f>IF(最佳化斷筋點!D178="","",最佳化斷筋點!D178)</f>
        <v/>
      </c>
      <c r="AD178" s="36" t="str">
        <f>IF(最佳化斷筋點!E178="","",最佳化斷筋點!E178)</f>
        <v/>
      </c>
      <c r="AE178" s="36" t="str">
        <f>IF(最佳化斷筋點!F178="","",最佳化斷筋點!F178)</f>
        <v/>
      </c>
      <c r="AF178" s="36" t="str">
        <f>IF(最佳化斷筋點!G178="","",最佳化斷筋點!G178)</f>
        <v/>
      </c>
      <c r="AG178" s="36" t="str">
        <f>IF(最佳化斷筋點!H178="","",最佳化斷筋點!H178)</f>
        <v/>
      </c>
      <c r="AH178" s="36" t="str">
        <f>IF(最佳化斷筋點!I178="","",最佳化斷筋點!I178)</f>
        <v/>
      </c>
      <c r="AI178" s="36" t="str">
        <f>IF(最佳化斷筋點!J178="","",最佳化斷筋點!J178)</f>
        <v/>
      </c>
      <c r="AJ178" s="36" t="str">
        <f>IF(最佳化斷筋點!K178="","",最佳化斷筋點!K178)</f>
        <v/>
      </c>
      <c r="AK178" s="36" t="str">
        <f>IF(最佳化斷筋點!L178="","",最佳化斷筋點!L178)</f>
        <v/>
      </c>
      <c r="AL178" s="36" t="str">
        <f>IF(最佳化斷筋點!M178="","",最佳化斷筋點!M178)</f>
        <v/>
      </c>
      <c r="AM178" s="36" t="str">
        <f>IF(最佳化斷筋點!N178="","",最佳化斷筋點!N178)</f>
        <v/>
      </c>
      <c r="AN178" s="36" t="str">
        <f>IF(最佳化斷筋點!O178="","",最佳化斷筋點!O178)</f>
        <v/>
      </c>
      <c r="AO178" s="36" t="str">
        <f>IF(最佳化斷筋點!P178="","",最佳化斷筋點!P178)</f>
        <v/>
      </c>
      <c r="AP178" s="36" t="str">
        <f>IF(最佳化斷筋點!Q178="","",最佳化斷筋點!Q178)</f>
        <v/>
      </c>
      <c r="AQ178" s="36" t="str">
        <f>IF(最佳化斷筋點!R178="","",最佳化斷筋點!R178)</f>
        <v/>
      </c>
      <c r="AR178" s="36" t="str">
        <f>IF(最佳化斷筋點!S178="","",最佳化斷筋點!S178)</f>
        <v/>
      </c>
      <c r="AS178" s="36" t="str">
        <f>IF(最佳化斷筋點!T178="","",最佳化斷筋點!T178)</f>
        <v/>
      </c>
      <c r="AT178" s="36" t="str">
        <f>IF(最佳化斷筋點!U178="","",最佳化斷筋點!U178)</f>
        <v/>
      </c>
      <c r="AU178" s="36" t="str">
        <f>IF(最佳化斷筋點!V178="","",最佳化斷筋點!V178)</f>
        <v/>
      </c>
      <c r="AV178" s="36" t="str">
        <f>IF(最佳化斷筋點!W178="","",最佳化斷筋點!W178)</f>
        <v/>
      </c>
      <c r="AW178" s="36" t="str">
        <f>IF(最佳化斷筋點!X178="","",最佳化斷筋點!X178)</f>
        <v/>
      </c>
      <c r="AZ178" s="37" t="s">
        <v>197</v>
      </c>
      <c r="BA178" s="37" t="s">
        <v>197</v>
      </c>
      <c r="BB178" s="37" t="s">
        <v>197</v>
      </c>
      <c r="BC178" s="37" t="s">
        <v>197</v>
      </c>
      <c r="BD178" s="37" t="s">
        <v>197</v>
      </c>
      <c r="BE178" s="37" t="s">
        <v>197</v>
      </c>
      <c r="BF178" s="37" t="s">
        <v>197</v>
      </c>
      <c r="BG178" s="37" t="s">
        <v>197</v>
      </c>
      <c r="BH178" s="37" t="s">
        <v>197</v>
      </c>
      <c r="BI178" s="37" t="s">
        <v>197</v>
      </c>
      <c r="BJ178" s="37" t="s">
        <v>197</v>
      </c>
      <c r="BK178" s="37" t="s">
        <v>197</v>
      </c>
      <c r="BL178" s="37" t="s">
        <v>197</v>
      </c>
      <c r="BM178" s="37" t="s">
        <v>197</v>
      </c>
      <c r="BN178" s="37" t="s">
        <v>197</v>
      </c>
      <c r="BO178" s="37" t="s">
        <v>197</v>
      </c>
      <c r="BP178" s="37" t="s">
        <v>197</v>
      </c>
      <c r="BQ178" s="37" t="s">
        <v>197</v>
      </c>
      <c r="BR178" s="37" t="s">
        <v>197</v>
      </c>
      <c r="BS178" s="37" t="s">
        <v>197</v>
      </c>
      <c r="BT178" s="37" t="s">
        <v>197</v>
      </c>
    </row>
    <row r="179" spans="5:72" x14ac:dyDescent="0.25">
      <c r="E179" s="6" t="s">
        <v>20</v>
      </c>
      <c r="F179" s="6">
        <f t="shared" si="43"/>
        <v>0</v>
      </c>
      <c r="G179" s="6">
        <f t="shared" si="44"/>
        <v>0</v>
      </c>
      <c r="H179" s="6">
        <f t="shared" si="45"/>
        <v>0</v>
      </c>
      <c r="I179" s="6">
        <f t="shared" si="46"/>
        <v>0</v>
      </c>
      <c r="J179" s="6">
        <f t="shared" si="47"/>
        <v>0</v>
      </c>
      <c r="K179" s="6">
        <f t="shared" si="48"/>
        <v>0</v>
      </c>
      <c r="L179" s="6">
        <f t="shared" si="49"/>
        <v>0</v>
      </c>
      <c r="M179" s="6">
        <f t="shared" si="50"/>
        <v>0</v>
      </c>
      <c r="N179" s="6">
        <f t="shared" si="51"/>
        <v>0</v>
      </c>
      <c r="O179" s="6">
        <f t="shared" si="52"/>
        <v>0</v>
      </c>
      <c r="P179" s="6">
        <f t="shared" si="53"/>
        <v>0</v>
      </c>
      <c r="Q179" s="6">
        <f t="shared" si="54"/>
        <v>0</v>
      </c>
      <c r="R179" s="6">
        <f t="shared" si="55"/>
        <v>0</v>
      </c>
      <c r="S179" s="6">
        <f t="shared" si="56"/>
        <v>0</v>
      </c>
      <c r="T179" s="6">
        <f t="shared" si="57"/>
        <v>0</v>
      </c>
      <c r="U179" s="6">
        <f t="shared" si="58"/>
        <v>0</v>
      </c>
      <c r="V179" s="6">
        <f t="shared" si="59"/>
        <v>0</v>
      </c>
      <c r="W179" s="6">
        <f t="shared" si="60"/>
        <v>0</v>
      </c>
      <c r="X179" s="6">
        <f t="shared" si="61"/>
        <v>0</v>
      </c>
      <c r="Y179" s="6">
        <f t="shared" si="62"/>
        <v>0</v>
      </c>
      <c r="Z179" s="6">
        <f t="shared" si="63"/>
        <v>0</v>
      </c>
      <c r="AB179" s="36" t="str">
        <f>IF(最佳化斷筋點!C179="","",最佳化斷筋點!C179)</f>
        <v>上層</v>
      </c>
      <c r="AC179" s="37">
        <f>IF(最佳化斷筋點!D179="","",最佳化斷筋點!D179)</f>
        <v>6</v>
      </c>
      <c r="AD179" s="37">
        <f>IF(最佳化斷筋點!E179="","",最佳化斷筋點!E179)</f>
        <v>6</v>
      </c>
      <c r="AE179" s="37">
        <f>IF(最佳化斷筋點!F179="","",最佳化斷筋點!F179)</f>
        <v>6</v>
      </c>
      <c r="AF179" s="37">
        <f>IF(最佳化斷筋點!G179="","",最佳化斷筋點!G179)</f>
        <v>6</v>
      </c>
      <c r="AG179" s="37">
        <f>IF(最佳化斷筋點!H179="","",最佳化斷筋點!H179)</f>
        <v>6</v>
      </c>
      <c r="AH179" s="37">
        <f>IF(最佳化斷筋點!I179="","",最佳化斷筋點!I179)</f>
        <v>6</v>
      </c>
      <c r="AI179" s="37">
        <f>IF(最佳化斷筋點!J179="","",最佳化斷筋點!J179)</f>
        <v>5</v>
      </c>
      <c r="AJ179" s="37">
        <f>IF(最佳化斷筋點!K179="","",最佳化斷筋點!K179)</f>
        <v>2</v>
      </c>
      <c r="AK179" s="37">
        <f>IF(最佳化斷筋點!L179="","",最佳化斷筋點!L179)</f>
        <v>2</v>
      </c>
      <c r="AL179" s="37">
        <f>IF(最佳化斷筋點!M179="","",最佳化斷筋點!M179)</f>
        <v>2</v>
      </c>
      <c r="AM179" s="37">
        <f>IF(最佳化斷筋點!N179="","",最佳化斷筋點!N179)</f>
        <v>2</v>
      </c>
      <c r="AN179" s="37">
        <f>IF(最佳化斷筋點!O179="","",最佳化斷筋點!O179)</f>
        <v>2</v>
      </c>
      <c r="AO179" s="37">
        <f>IF(最佳化斷筋點!P179="","",最佳化斷筋點!P179)</f>
        <v>2</v>
      </c>
      <c r="AP179" s="37">
        <f>IF(最佳化斷筋點!Q179="","",最佳化斷筋點!Q179)</f>
        <v>2</v>
      </c>
      <c r="AQ179" s="37">
        <f>IF(最佳化斷筋點!R179="","",最佳化斷筋點!R179)</f>
        <v>2</v>
      </c>
      <c r="AR179" s="37">
        <f>IF(最佳化斷筋點!S179="","",最佳化斷筋點!S179)</f>
        <v>3</v>
      </c>
      <c r="AS179" s="37">
        <f>IF(最佳化斷筋點!T179="","",最佳化斷筋點!T179)</f>
        <v>3</v>
      </c>
      <c r="AT179" s="37">
        <f>IF(最佳化斷筋點!U179="","",最佳化斷筋點!U179)</f>
        <v>3</v>
      </c>
      <c r="AU179" s="37">
        <f>IF(最佳化斷筋點!V179="","",最佳化斷筋點!V179)</f>
        <v>3</v>
      </c>
      <c r="AV179" s="37">
        <f>IF(最佳化斷筋點!W179="","",最佳化斷筋點!W179)</f>
        <v>3</v>
      </c>
      <c r="AW179" s="37">
        <f>IF(最佳化斷筋點!X179="","",最佳化斷筋點!X179)</f>
        <v>3</v>
      </c>
      <c r="AY179" s="6" t="s">
        <v>20</v>
      </c>
      <c r="AZ179" s="37">
        <v>6</v>
      </c>
      <c r="BA179" s="37">
        <v>6</v>
      </c>
      <c r="BB179" s="37">
        <v>6</v>
      </c>
      <c r="BC179" s="37">
        <v>6</v>
      </c>
      <c r="BD179" s="37">
        <v>6</v>
      </c>
      <c r="BE179" s="37">
        <v>6</v>
      </c>
      <c r="BF179" s="37">
        <v>5</v>
      </c>
      <c r="BG179" s="37">
        <v>2</v>
      </c>
      <c r="BH179" s="37">
        <v>2</v>
      </c>
      <c r="BI179" s="37">
        <v>2</v>
      </c>
      <c r="BJ179" s="37">
        <v>2</v>
      </c>
      <c r="BK179" s="37">
        <v>2</v>
      </c>
      <c r="BL179" s="37">
        <v>2</v>
      </c>
      <c r="BM179" s="37">
        <v>2</v>
      </c>
      <c r="BN179" s="37">
        <v>2</v>
      </c>
      <c r="BO179" s="37">
        <v>3</v>
      </c>
      <c r="BP179" s="37">
        <v>3</v>
      </c>
      <c r="BQ179" s="37">
        <v>3</v>
      </c>
      <c r="BR179" s="37">
        <v>3</v>
      </c>
      <c r="BS179" s="37">
        <v>3</v>
      </c>
      <c r="BT179" s="37">
        <v>3</v>
      </c>
    </row>
    <row r="180" spans="5:72" x14ac:dyDescent="0.25">
      <c r="F180" s="6">
        <f t="shared" si="43"/>
        <v>0</v>
      </c>
      <c r="G180" s="6">
        <f t="shared" si="44"/>
        <v>0</v>
      </c>
      <c r="H180" s="6">
        <f t="shared" si="45"/>
        <v>0</v>
      </c>
      <c r="I180" s="6">
        <f t="shared" si="46"/>
        <v>0</v>
      </c>
      <c r="J180" s="6">
        <f t="shared" si="47"/>
        <v>0</v>
      </c>
      <c r="K180" s="6">
        <f t="shared" si="48"/>
        <v>0</v>
      </c>
      <c r="L180" s="6">
        <f t="shared" si="49"/>
        <v>0</v>
      </c>
      <c r="M180" s="6">
        <f t="shared" si="50"/>
        <v>0</v>
      </c>
      <c r="N180" s="6">
        <f t="shared" si="51"/>
        <v>0</v>
      </c>
      <c r="O180" s="6">
        <f t="shared" si="52"/>
        <v>0</v>
      </c>
      <c r="P180" s="6">
        <f t="shared" si="53"/>
        <v>0</v>
      </c>
      <c r="Q180" s="6">
        <f t="shared" si="54"/>
        <v>0</v>
      </c>
      <c r="R180" s="6">
        <f t="shared" si="55"/>
        <v>0</v>
      </c>
      <c r="S180" s="6">
        <f t="shared" si="56"/>
        <v>0</v>
      </c>
      <c r="T180" s="6">
        <f t="shared" si="57"/>
        <v>0</v>
      </c>
      <c r="U180" s="6">
        <f t="shared" si="58"/>
        <v>0</v>
      </c>
      <c r="V180" s="6">
        <f t="shared" si="59"/>
        <v>0</v>
      </c>
      <c r="W180" s="6">
        <f t="shared" si="60"/>
        <v>0</v>
      </c>
      <c r="X180" s="6">
        <f t="shared" si="61"/>
        <v>0</v>
      </c>
      <c r="Y180" s="6">
        <f t="shared" si="62"/>
        <v>0</v>
      </c>
      <c r="Z180" s="6">
        <f t="shared" si="63"/>
        <v>0</v>
      </c>
      <c r="AB180" s="36" t="str">
        <f>IF(最佳化斷筋點!C180="","",最佳化斷筋點!C180)</f>
        <v/>
      </c>
      <c r="AC180" s="37" t="str">
        <f>IF(最佳化斷筋點!D180="","",最佳化斷筋點!D180)</f>
        <v/>
      </c>
      <c r="AD180" s="37" t="str">
        <f>IF(最佳化斷筋點!E180="","",最佳化斷筋點!E180)</f>
        <v/>
      </c>
      <c r="AE180" s="37" t="str">
        <f>IF(最佳化斷筋點!F180="","",最佳化斷筋點!F180)</f>
        <v/>
      </c>
      <c r="AF180" s="37" t="str">
        <f>IF(最佳化斷筋點!G180="","",最佳化斷筋點!G180)</f>
        <v/>
      </c>
      <c r="AG180" s="37" t="str">
        <f>IF(最佳化斷筋點!H180="","",最佳化斷筋點!H180)</f>
        <v/>
      </c>
      <c r="AH180" s="37" t="str">
        <f>IF(最佳化斷筋點!I180="","",最佳化斷筋點!I180)</f>
        <v/>
      </c>
      <c r="AI180" s="37" t="str">
        <f>IF(最佳化斷筋點!J180="","",最佳化斷筋點!J180)</f>
        <v/>
      </c>
      <c r="AJ180" s="37" t="str">
        <f>IF(最佳化斷筋點!K180="","",最佳化斷筋點!K180)</f>
        <v/>
      </c>
      <c r="AK180" s="37" t="str">
        <f>IF(最佳化斷筋點!L180="","",最佳化斷筋點!L180)</f>
        <v/>
      </c>
      <c r="AL180" s="37" t="str">
        <f>IF(最佳化斷筋點!M180="","",最佳化斷筋點!M180)</f>
        <v/>
      </c>
      <c r="AM180" s="37" t="str">
        <f>IF(最佳化斷筋點!N180="","",最佳化斷筋點!N180)</f>
        <v/>
      </c>
      <c r="AN180" s="37" t="str">
        <f>IF(最佳化斷筋點!O180="","",最佳化斷筋點!O180)</f>
        <v/>
      </c>
      <c r="AO180" s="37" t="str">
        <f>IF(最佳化斷筋點!P180="","",最佳化斷筋點!P180)</f>
        <v/>
      </c>
      <c r="AP180" s="37" t="str">
        <f>IF(最佳化斷筋點!Q180="","",最佳化斷筋點!Q180)</f>
        <v/>
      </c>
      <c r="AQ180" s="37" t="str">
        <f>IF(最佳化斷筋點!R180="","",最佳化斷筋點!R180)</f>
        <v/>
      </c>
      <c r="AR180" s="37" t="str">
        <f>IF(最佳化斷筋點!S180="","",最佳化斷筋點!S180)</f>
        <v/>
      </c>
      <c r="AS180" s="37" t="str">
        <f>IF(最佳化斷筋點!T180="","",最佳化斷筋點!T180)</f>
        <v/>
      </c>
      <c r="AT180" s="37" t="str">
        <f>IF(最佳化斷筋點!U180="","",最佳化斷筋點!U180)</f>
        <v/>
      </c>
      <c r="AU180" s="37" t="str">
        <f>IF(最佳化斷筋點!V180="","",最佳化斷筋點!V180)</f>
        <v/>
      </c>
      <c r="AV180" s="37" t="str">
        <f>IF(最佳化斷筋點!W180="","",最佳化斷筋點!W180)</f>
        <v/>
      </c>
      <c r="AW180" s="37" t="str">
        <f>IF(最佳化斷筋點!X180="","",最佳化斷筋點!X180)</f>
        <v/>
      </c>
      <c r="AZ180" s="37" t="s">
        <v>197</v>
      </c>
      <c r="BA180" s="37" t="s">
        <v>197</v>
      </c>
      <c r="BB180" s="37" t="s">
        <v>197</v>
      </c>
      <c r="BC180" s="37" t="s">
        <v>197</v>
      </c>
      <c r="BD180" s="37" t="s">
        <v>197</v>
      </c>
      <c r="BE180" s="37" t="s">
        <v>197</v>
      </c>
      <c r="BF180" s="37" t="s">
        <v>197</v>
      </c>
      <c r="BG180" s="37" t="s">
        <v>197</v>
      </c>
      <c r="BH180" s="37" t="s">
        <v>197</v>
      </c>
      <c r="BI180" s="37" t="s">
        <v>197</v>
      </c>
      <c r="BJ180" s="37" t="s">
        <v>197</v>
      </c>
      <c r="BK180" s="37" t="s">
        <v>197</v>
      </c>
      <c r="BL180" s="37" t="s">
        <v>197</v>
      </c>
      <c r="BM180" s="37" t="s">
        <v>197</v>
      </c>
      <c r="BN180" s="37" t="s">
        <v>197</v>
      </c>
      <c r="BO180" s="37" t="s">
        <v>197</v>
      </c>
      <c r="BP180" s="37" t="s">
        <v>197</v>
      </c>
      <c r="BQ180" s="37" t="s">
        <v>197</v>
      </c>
      <c r="BR180" s="37" t="s">
        <v>197</v>
      </c>
      <c r="BS180" s="37" t="s">
        <v>197</v>
      </c>
      <c r="BT180" s="37" t="s">
        <v>197</v>
      </c>
    </row>
    <row r="181" spans="5:72" x14ac:dyDescent="0.25">
      <c r="E181" s="6" t="s">
        <v>21</v>
      </c>
      <c r="F181" s="6">
        <f t="shared" si="43"/>
        <v>0</v>
      </c>
      <c r="G181" s="6">
        <f t="shared" si="44"/>
        <v>0</v>
      </c>
      <c r="H181" s="6">
        <f t="shared" si="45"/>
        <v>0</v>
      </c>
      <c r="I181" s="6">
        <f t="shared" si="46"/>
        <v>0</v>
      </c>
      <c r="J181" s="6">
        <f t="shared" si="47"/>
        <v>0</v>
      </c>
      <c r="K181" s="6">
        <f t="shared" si="48"/>
        <v>0</v>
      </c>
      <c r="L181" s="6">
        <f t="shared" si="49"/>
        <v>0</v>
      </c>
      <c r="M181" s="6">
        <f t="shared" si="50"/>
        <v>0</v>
      </c>
      <c r="N181" s="6">
        <f t="shared" si="51"/>
        <v>0</v>
      </c>
      <c r="O181" s="6">
        <f t="shared" si="52"/>
        <v>0</v>
      </c>
      <c r="P181" s="6">
        <f t="shared" si="53"/>
        <v>0</v>
      </c>
      <c r="Q181" s="6">
        <f t="shared" si="54"/>
        <v>0</v>
      </c>
      <c r="R181" s="6">
        <f t="shared" si="55"/>
        <v>0</v>
      </c>
      <c r="S181" s="6">
        <f t="shared" si="56"/>
        <v>0</v>
      </c>
      <c r="T181" s="6">
        <f t="shared" si="57"/>
        <v>0</v>
      </c>
      <c r="U181" s="6">
        <f t="shared" si="58"/>
        <v>0</v>
      </c>
      <c r="V181" s="6">
        <f t="shared" si="59"/>
        <v>0</v>
      </c>
      <c r="W181" s="6">
        <f t="shared" si="60"/>
        <v>0</v>
      </c>
      <c r="X181" s="6">
        <f t="shared" si="61"/>
        <v>0</v>
      </c>
      <c r="Y181" s="6">
        <f t="shared" si="62"/>
        <v>0</v>
      </c>
      <c r="Z181" s="6">
        <f t="shared" si="63"/>
        <v>0</v>
      </c>
      <c r="AB181" s="36" t="str">
        <f>IF(最佳化斷筋點!C181="","",最佳化斷筋點!C181)</f>
        <v>下層</v>
      </c>
      <c r="AC181" s="37">
        <f>IF(最佳化斷筋點!D181="","",最佳化斷筋點!D181)</f>
        <v>3</v>
      </c>
      <c r="AD181" s="37">
        <f>IF(最佳化斷筋點!E181="","",最佳化斷筋點!E181)</f>
        <v>3</v>
      </c>
      <c r="AE181" s="37">
        <f>IF(最佳化斷筋點!F181="","",最佳化斷筋點!F181)</f>
        <v>3</v>
      </c>
      <c r="AF181" s="37">
        <f>IF(最佳化斷筋點!G181="","",最佳化斷筋點!G181)</f>
        <v>3</v>
      </c>
      <c r="AG181" s="37">
        <f>IF(最佳化斷筋點!H181="","",最佳化斷筋點!H181)</f>
        <v>3</v>
      </c>
      <c r="AH181" s="37">
        <f>IF(最佳化斷筋點!I181="","",最佳化斷筋點!I181)</f>
        <v>3</v>
      </c>
      <c r="AI181" s="37">
        <f>IF(最佳化斷筋點!J181="","",最佳化斷筋點!J181)</f>
        <v>3</v>
      </c>
      <c r="AJ181" s="37">
        <f>IF(最佳化斷筋點!K181="","",最佳化斷筋點!K181)</f>
        <v>2</v>
      </c>
      <c r="AK181" s="37">
        <f>IF(最佳化斷筋點!L181="","",最佳化斷筋點!L181)</f>
        <v>2</v>
      </c>
      <c r="AL181" s="37">
        <f>IF(最佳化斷筋點!M181="","",最佳化斷筋點!M181)</f>
        <v>2</v>
      </c>
      <c r="AM181" s="37">
        <f>IF(最佳化斷筋點!N181="","",最佳化斷筋點!N181)</f>
        <v>2</v>
      </c>
      <c r="AN181" s="37">
        <f>IF(最佳化斷筋點!O181="","",最佳化斷筋點!O181)</f>
        <v>2</v>
      </c>
      <c r="AO181" s="37">
        <f>IF(最佳化斷筋點!P181="","",最佳化斷筋點!P181)</f>
        <v>2</v>
      </c>
      <c r="AP181" s="37">
        <f>IF(最佳化斷筋點!Q181="","",最佳化斷筋點!Q181)</f>
        <v>2</v>
      </c>
      <c r="AQ181" s="37">
        <f>IF(最佳化斷筋點!R181="","",最佳化斷筋點!R181)</f>
        <v>2</v>
      </c>
      <c r="AR181" s="37">
        <f>IF(最佳化斷筋點!S181="","",最佳化斷筋點!S181)</f>
        <v>3</v>
      </c>
      <c r="AS181" s="37">
        <f>IF(最佳化斷筋點!T181="","",最佳化斷筋點!T181)</f>
        <v>3</v>
      </c>
      <c r="AT181" s="37">
        <f>IF(最佳化斷筋點!U181="","",最佳化斷筋點!U181)</f>
        <v>3</v>
      </c>
      <c r="AU181" s="37">
        <f>IF(最佳化斷筋點!V181="","",最佳化斷筋點!V181)</f>
        <v>3</v>
      </c>
      <c r="AV181" s="37">
        <f>IF(最佳化斷筋點!W181="","",最佳化斷筋點!W181)</f>
        <v>3</v>
      </c>
      <c r="AW181" s="37">
        <f>IF(最佳化斷筋點!X181="","",最佳化斷筋點!X181)</f>
        <v>3</v>
      </c>
      <c r="AY181" s="6" t="s">
        <v>21</v>
      </c>
      <c r="AZ181" s="37">
        <v>3</v>
      </c>
      <c r="BA181" s="37">
        <v>3</v>
      </c>
      <c r="BB181" s="37">
        <v>3</v>
      </c>
      <c r="BC181" s="37">
        <v>3</v>
      </c>
      <c r="BD181" s="37">
        <v>3</v>
      </c>
      <c r="BE181" s="37">
        <v>3</v>
      </c>
      <c r="BF181" s="37">
        <v>3</v>
      </c>
      <c r="BG181" s="37">
        <v>2</v>
      </c>
      <c r="BH181" s="37">
        <v>2</v>
      </c>
      <c r="BI181" s="37">
        <v>2</v>
      </c>
      <c r="BJ181" s="37">
        <v>2</v>
      </c>
      <c r="BK181" s="37">
        <v>2</v>
      </c>
      <c r="BL181" s="37">
        <v>2</v>
      </c>
      <c r="BM181" s="37">
        <v>2</v>
      </c>
      <c r="BN181" s="37">
        <v>2</v>
      </c>
      <c r="BO181" s="37">
        <v>3</v>
      </c>
      <c r="BP181" s="37">
        <v>3</v>
      </c>
      <c r="BQ181" s="37">
        <v>3</v>
      </c>
      <c r="BR181" s="37">
        <v>3</v>
      </c>
      <c r="BS181" s="37">
        <v>3</v>
      </c>
      <c r="BT181" s="37">
        <v>3</v>
      </c>
    </row>
    <row r="182" spans="5:72" x14ac:dyDescent="0.25">
      <c r="F182" s="6">
        <f t="shared" si="43"/>
        <v>0</v>
      </c>
      <c r="G182" s="6">
        <f t="shared" si="44"/>
        <v>0</v>
      </c>
      <c r="H182" s="6">
        <f t="shared" si="45"/>
        <v>0</v>
      </c>
      <c r="I182" s="6">
        <f t="shared" si="46"/>
        <v>0</v>
      </c>
      <c r="J182" s="6">
        <f t="shared" si="47"/>
        <v>0</v>
      </c>
      <c r="K182" s="6">
        <f t="shared" si="48"/>
        <v>0</v>
      </c>
      <c r="L182" s="6">
        <f t="shared" si="49"/>
        <v>0</v>
      </c>
      <c r="M182" s="6">
        <f t="shared" si="50"/>
        <v>0</v>
      </c>
      <c r="N182" s="6">
        <f t="shared" si="51"/>
        <v>0</v>
      </c>
      <c r="O182" s="6">
        <f t="shared" si="52"/>
        <v>0</v>
      </c>
      <c r="P182" s="6">
        <f t="shared" si="53"/>
        <v>0</v>
      </c>
      <c r="Q182" s="6">
        <f t="shared" si="54"/>
        <v>0</v>
      </c>
      <c r="R182" s="6">
        <f t="shared" si="55"/>
        <v>0</v>
      </c>
      <c r="S182" s="6">
        <f t="shared" si="56"/>
        <v>0</v>
      </c>
      <c r="T182" s="6">
        <f t="shared" si="57"/>
        <v>0</v>
      </c>
      <c r="U182" s="6">
        <f t="shared" si="58"/>
        <v>0</v>
      </c>
      <c r="V182" s="6">
        <f t="shared" si="59"/>
        <v>0</v>
      </c>
      <c r="W182" s="6">
        <f t="shared" si="60"/>
        <v>0</v>
      </c>
      <c r="X182" s="6">
        <f t="shared" si="61"/>
        <v>0</v>
      </c>
      <c r="Y182" s="6">
        <f t="shared" si="62"/>
        <v>0</v>
      </c>
      <c r="Z182" s="6">
        <f t="shared" si="63"/>
        <v>0</v>
      </c>
      <c r="AB182" s="36" t="str">
        <f>IF(最佳化斷筋點!C182="","",最佳化斷筋點!C182)</f>
        <v/>
      </c>
      <c r="AC182" s="37" t="str">
        <f>IF(最佳化斷筋點!D182="","",最佳化斷筋點!D182)</f>
        <v/>
      </c>
      <c r="AD182" s="37" t="str">
        <f>IF(最佳化斷筋點!E182="","",最佳化斷筋點!E182)</f>
        <v/>
      </c>
      <c r="AE182" s="37" t="str">
        <f>IF(最佳化斷筋點!F182="","",最佳化斷筋點!F182)</f>
        <v/>
      </c>
      <c r="AF182" s="37" t="str">
        <f>IF(最佳化斷筋點!G182="","",最佳化斷筋點!G182)</f>
        <v/>
      </c>
      <c r="AG182" s="37" t="str">
        <f>IF(最佳化斷筋點!H182="","",最佳化斷筋點!H182)</f>
        <v/>
      </c>
      <c r="AH182" s="37" t="str">
        <f>IF(最佳化斷筋點!I182="","",最佳化斷筋點!I182)</f>
        <v/>
      </c>
      <c r="AI182" s="37" t="str">
        <f>IF(最佳化斷筋點!J182="","",最佳化斷筋點!J182)</f>
        <v/>
      </c>
      <c r="AJ182" s="37" t="str">
        <f>IF(最佳化斷筋點!K182="","",最佳化斷筋點!K182)</f>
        <v/>
      </c>
      <c r="AK182" s="37" t="str">
        <f>IF(最佳化斷筋點!L182="","",最佳化斷筋點!L182)</f>
        <v/>
      </c>
      <c r="AL182" s="37" t="str">
        <f>IF(最佳化斷筋點!M182="","",最佳化斷筋點!M182)</f>
        <v/>
      </c>
      <c r="AM182" s="37" t="str">
        <f>IF(最佳化斷筋點!N182="","",最佳化斷筋點!N182)</f>
        <v/>
      </c>
      <c r="AN182" s="37" t="str">
        <f>IF(最佳化斷筋點!O182="","",最佳化斷筋點!O182)</f>
        <v/>
      </c>
      <c r="AO182" s="37" t="str">
        <f>IF(最佳化斷筋點!P182="","",最佳化斷筋點!P182)</f>
        <v/>
      </c>
      <c r="AP182" s="37" t="str">
        <f>IF(最佳化斷筋點!Q182="","",最佳化斷筋點!Q182)</f>
        <v/>
      </c>
      <c r="AQ182" s="37" t="str">
        <f>IF(最佳化斷筋點!R182="","",最佳化斷筋點!R182)</f>
        <v/>
      </c>
      <c r="AR182" s="37" t="str">
        <f>IF(最佳化斷筋點!S182="","",最佳化斷筋點!S182)</f>
        <v/>
      </c>
      <c r="AS182" s="37" t="str">
        <f>IF(最佳化斷筋點!T182="","",最佳化斷筋點!T182)</f>
        <v/>
      </c>
      <c r="AT182" s="37" t="str">
        <f>IF(最佳化斷筋點!U182="","",最佳化斷筋點!U182)</f>
        <v/>
      </c>
      <c r="AU182" s="37" t="str">
        <f>IF(最佳化斷筋點!V182="","",最佳化斷筋點!V182)</f>
        <v/>
      </c>
      <c r="AV182" s="37" t="str">
        <f>IF(最佳化斷筋點!W182="","",最佳化斷筋點!W182)</f>
        <v/>
      </c>
      <c r="AW182" s="37" t="str">
        <f>IF(最佳化斷筋點!X182="","",最佳化斷筋點!X182)</f>
        <v/>
      </c>
      <c r="AZ182" s="37" t="s">
        <v>197</v>
      </c>
      <c r="BA182" s="37" t="s">
        <v>197</v>
      </c>
      <c r="BB182" s="37" t="s">
        <v>197</v>
      </c>
      <c r="BC182" s="37" t="s">
        <v>197</v>
      </c>
      <c r="BD182" s="37" t="s">
        <v>197</v>
      </c>
      <c r="BE182" s="37" t="s">
        <v>197</v>
      </c>
      <c r="BF182" s="37" t="s">
        <v>197</v>
      </c>
      <c r="BG182" s="37" t="s">
        <v>197</v>
      </c>
      <c r="BH182" s="37" t="s">
        <v>197</v>
      </c>
      <c r="BI182" s="37" t="s">
        <v>197</v>
      </c>
      <c r="BJ182" s="37" t="s">
        <v>197</v>
      </c>
      <c r="BK182" s="37" t="s">
        <v>197</v>
      </c>
      <c r="BL182" s="37" t="s">
        <v>197</v>
      </c>
      <c r="BM182" s="37" t="s">
        <v>197</v>
      </c>
      <c r="BN182" s="37" t="s">
        <v>197</v>
      </c>
      <c r="BO182" s="37" t="s">
        <v>197</v>
      </c>
      <c r="BP182" s="37" t="s">
        <v>197</v>
      </c>
      <c r="BQ182" s="37" t="s">
        <v>197</v>
      </c>
      <c r="BR182" s="37" t="s">
        <v>197</v>
      </c>
      <c r="BS182" s="37" t="s">
        <v>197</v>
      </c>
      <c r="BT182" s="37" t="s">
        <v>197</v>
      </c>
    </row>
    <row r="183" spans="5:72" x14ac:dyDescent="0.25">
      <c r="E183" s="6" t="s">
        <v>20</v>
      </c>
      <c r="F183" s="6">
        <f t="shared" si="43"/>
        <v>0</v>
      </c>
      <c r="G183" s="6">
        <f t="shared" si="44"/>
        <v>0</v>
      </c>
      <c r="H183" s="6">
        <f t="shared" si="45"/>
        <v>0</v>
      </c>
      <c r="I183" s="6">
        <f t="shared" si="46"/>
        <v>0</v>
      </c>
      <c r="J183" s="6">
        <f t="shared" si="47"/>
        <v>0</v>
      </c>
      <c r="K183" s="6">
        <f t="shared" si="48"/>
        <v>0</v>
      </c>
      <c r="L183" s="6">
        <f t="shared" si="49"/>
        <v>0</v>
      </c>
      <c r="M183" s="6">
        <f t="shared" si="50"/>
        <v>0</v>
      </c>
      <c r="N183" s="6">
        <f t="shared" si="51"/>
        <v>0</v>
      </c>
      <c r="O183" s="6">
        <f t="shared" si="52"/>
        <v>0</v>
      </c>
      <c r="P183" s="6">
        <f t="shared" si="53"/>
        <v>0</v>
      </c>
      <c r="Q183" s="6">
        <f t="shared" si="54"/>
        <v>0</v>
      </c>
      <c r="R183" s="6">
        <f t="shared" si="55"/>
        <v>0</v>
      </c>
      <c r="S183" s="6">
        <f t="shared" si="56"/>
        <v>0</v>
      </c>
      <c r="T183" s="6">
        <f t="shared" si="57"/>
        <v>0</v>
      </c>
      <c r="U183" s="6">
        <f t="shared" si="58"/>
        <v>0</v>
      </c>
      <c r="V183" s="6">
        <f t="shared" si="59"/>
        <v>0</v>
      </c>
      <c r="W183" s="6">
        <f t="shared" si="60"/>
        <v>0</v>
      </c>
      <c r="X183" s="6">
        <f t="shared" si="61"/>
        <v>0</v>
      </c>
      <c r="Y183" s="6">
        <f t="shared" si="62"/>
        <v>0</v>
      </c>
      <c r="Z183" s="6">
        <f t="shared" si="63"/>
        <v>0</v>
      </c>
      <c r="AB183" s="36" t="str">
        <f>IF(最佳化斷筋點!C183="","",最佳化斷筋點!C183)</f>
        <v>上層</v>
      </c>
      <c r="AC183" s="37">
        <f>IF(最佳化斷筋點!D183="","",最佳化斷筋點!D183)</f>
        <v>6</v>
      </c>
      <c r="AD183" s="37">
        <f>IF(最佳化斷筋點!E183="","",最佳化斷筋點!E183)</f>
        <v>6</v>
      </c>
      <c r="AE183" s="37">
        <f>IF(最佳化斷筋點!F183="","",最佳化斷筋點!F183)</f>
        <v>6</v>
      </c>
      <c r="AF183" s="37">
        <f>IF(最佳化斷筋點!G183="","",最佳化斷筋點!G183)</f>
        <v>6</v>
      </c>
      <c r="AG183" s="37">
        <f>IF(最佳化斷筋點!H183="","",最佳化斷筋點!H183)</f>
        <v>5</v>
      </c>
      <c r="AH183" s="37">
        <f>IF(最佳化斷筋點!I183="","",最佳化斷筋點!I183)</f>
        <v>5</v>
      </c>
      <c r="AI183" s="37">
        <f>IF(最佳化斷筋點!J183="","",最佳化斷筋點!J183)</f>
        <v>4</v>
      </c>
      <c r="AJ183" s="37">
        <f>IF(最佳化斷筋點!K183="","",最佳化斷筋點!K183)</f>
        <v>3</v>
      </c>
      <c r="AK183" s="37">
        <f>IF(最佳化斷筋點!L183="","",最佳化斷筋點!L183)</f>
        <v>3</v>
      </c>
      <c r="AL183" s="37">
        <f>IF(最佳化斷筋點!M183="","",最佳化斷筋點!M183)</f>
        <v>3</v>
      </c>
      <c r="AM183" s="37">
        <f>IF(最佳化斷筋點!N183="","",最佳化斷筋點!N183)</f>
        <v>2</v>
      </c>
      <c r="AN183" s="37">
        <f>IF(最佳化斷筋點!O183="","",最佳化斷筋點!O183)</f>
        <v>3</v>
      </c>
      <c r="AO183" s="37">
        <f>IF(最佳化斷筋點!P183="","",最佳化斷筋點!P183)</f>
        <v>3</v>
      </c>
      <c r="AP183" s="37">
        <f>IF(最佳化斷筋點!Q183="","",最佳化斷筋點!Q183)</f>
        <v>5</v>
      </c>
      <c r="AQ183" s="37">
        <f>IF(最佳化斷筋點!R183="","",最佳化斷筋點!R183)</f>
        <v>6</v>
      </c>
      <c r="AR183" s="37">
        <f>IF(最佳化斷筋點!S183="","",最佳化斷筋點!S183)</f>
        <v>7</v>
      </c>
      <c r="AS183" s="37">
        <f>IF(最佳化斷筋點!T183="","",最佳化斷筋點!T183)</f>
        <v>8</v>
      </c>
      <c r="AT183" s="37">
        <f>IF(最佳化斷筋點!U183="","",最佳化斷筋點!U183)</f>
        <v>9</v>
      </c>
      <c r="AU183" s="37">
        <f>IF(最佳化斷筋點!V183="","",最佳化斷筋點!V183)</f>
        <v>9</v>
      </c>
      <c r="AV183" s="37">
        <f>IF(最佳化斷筋點!W183="","",最佳化斷筋點!W183)</f>
        <v>9</v>
      </c>
      <c r="AW183" s="37">
        <f>IF(最佳化斷筋點!X183="","",最佳化斷筋點!X183)</f>
        <v>9</v>
      </c>
      <c r="AY183" s="6" t="s">
        <v>20</v>
      </c>
      <c r="AZ183" s="37">
        <v>6</v>
      </c>
      <c r="BA183" s="37">
        <v>6</v>
      </c>
      <c r="BB183" s="37">
        <v>6</v>
      </c>
      <c r="BC183" s="37">
        <v>6</v>
      </c>
      <c r="BD183" s="37">
        <v>5</v>
      </c>
      <c r="BE183" s="37">
        <v>5</v>
      </c>
      <c r="BF183" s="37">
        <v>4</v>
      </c>
      <c r="BG183" s="37">
        <v>3</v>
      </c>
      <c r="BH183" s="37">
        <v>3</v>
      </c>
      <c r="BI183" s="37">
        <v>3</v>
      </c>
      <c r="BJ183" s="37">
        <v>2</v>
      </c>
      <c r="BK183" s="37">
        <v>3</v>
      </c>
      <c r="BL183" s="37">
        <v>3</v>
      </c>
      <c r="BM183" s="37">
        <v>5</v>
      </c>
      <c r="BN183" s="37">
        <v>6</v>
      </c>
      <c r="BO183" s="37">
        <v>7</v>
      </c>
      <c r="BP183" s="37">
        <v>8</v>
      </c>
      <c r="BQ183" s="37">
        <v>9</v>
      </c>
      <c r="BR183" s="37">
        <v>9</v>
      </c>
      <c r="BS183" s="37">
        <v>9</v>
      </c>
      <c r="BT183" s="37">
        <v>9</v>
      </c>
    </row>
    <row r="184" spans="5:72" x14ac:dyDescent="0.25">
      <c r="F184" s="6">
        <f t="shared" si="43"/>
        <v>0</v>
      </c>
      <c r="G184" s="6">
        <f t="shared" si="44"/>
        <v>0</v>
      </c>
      <c r="H184" s="6">
        <f t="shared" si="45"/>
        <v>0</v>
      </c>
      <c r="I184" s="6">
        <f t="shared" si="46"/>
        <v>0</v>
      </c>
      <c r="J184" s="6">
        <f t="shared" si="47"/>
        <v>0</v>
      </c>
      <c r="K184" s="6">
        <f t="shared" si="48"/>
        <v>0</v>
      </c>
      <c r="L184" s="6">
        <f t="shared" si="49"/>
        <v>0</v>
      </c>
      <c r="M184" s="6">
        <f t="shared" si="50"/>
        <v>0</v>
      </c>
      <c r="N184" s="6">
        <f t="shared" si="51"/>
        <v>0</v>
      </c>
      <c r="O184" s="6">
        <f t="shared" si="52"/>
        <v>0</v>
      </c>
      <c r="P184" s="6">
        <f t="shared" si="53"/>
        <v>0</v>
      </c>
      <c r="Q184" s="6">
        <f t="shared" si="54"/>
        <v>0</v>
      </c>
      <c r="R184" s="6">
        <f t="shared" si="55"/>
        <v>0</v>
      </c>
      <c r="S184" s="6">
        <f t="shared" si="56"/>
        <v>0</v>
      </c>
      <c r="T184" s="6">
        <f t="shared" si="57"/>
        <v>0</v>
      </c>
      <c r="U184" s="6">
        <f t="shared" si="58"/>
        <v>0</v>
      </c>
      <c r="V184" s="6">
        <f t="shared" si="59"/>
        <v>0</v>
      </c>
      <c r="W184" s="6">
        <f t="shared" si="60"/>
        <v>0</v>
      </c>
      <c r="X184" s="6">
        <f t="shared" si="61"/>
        <v>0</v>
      </c>
      <c r="Y184" s="6">
        <f t="shared" si="62"/>
        <v>0</v>
      </c>
      <c r="Z184" s="6">
        <f t="shared" si="63"/>
        <v>0</v>
      </c>
      <c r="AB184" s="36" t="str">
        <f>IF(最佳化斷筋點!C184="","",最佳化斷筋點!C184)</f>
        <v/>
      </c>
      <c r="AC184" s="37" t="str">
        <f>IF(最佳化斷筋點!D184="","",最佳化斷筋點!D184)</f>
        <v/>
      </c>
      <c r="AD184" s="37" t="str">
        <f>IF(最佳化斷筋點!E184="","",最佳化斷筋點!E184)</f>
        <v/>
      </c>
      <c r="AE184" s="37" t="str">
        <f>IF(最佳化斷筋點!F184="","",最佳化斷筋點!F184)</f>
        <v/>
      </c>
      <c r="AF184" s="37" t="str">
        <f>IF(最佳化斷筋點!G184="","",最佳化斷筋點!G184)</f>
        <v/>
      </c>
      <c r="AG184" s="37" t="str">
        <f>IF(最佳化斷筋點!H184="","",最佳化斷筋點!H184)</f>
        <v/>
      </c>
      <c r="AH184" s="37" t="str">
        <f>IF(最佳化斷筋點!I184="","",最佳化斷筋點!I184)</f>
        <v/>
      </c>
      <c r="AI184" s="37" t="str">
        <f>IF(最佳化斷筋點!J184="","",最佳化斷筋點!J184)</f>
        <v/>
      </c>
      <c r="AJ184" s="37" t="str">
        <f>IF(最佳化斷筋點!K184="","",最佳化斷筋點!K184)</f>
        <v/>
      </c>
      <c r="AK184" s="37" t="str">
        <f>IF(最佳化斷筋點!L184="","",最佳化斷筋點!L184)</f>
        <v/>
      </c>
      <c r="AL184" s="37" t="str">
        <f>IF(最佳化斷筋點!M184="","",最佳化斷筋點!M184)</f>
        <v/>
      </c>
      <c r="AM184" s="37" t="str">
        <f>IF(最佳化斷筋點!N184="","",最佳化斷筋點!N184)</f>
        <v/>
      </c>
      <c r="AN184" s="37" t="str">
        <f>IF(最佳化斷筋點!O184="","",最佳化斷筋點!O184)</f>
        <v/>
      </c>
      <c r="AO184" s="37" t="str">
        <f>IF(最佳化斷筋點!P184="","",最佳化斷筋點!P184)</f>
        <v/>
      </c>
      <c r="AP184" s="37" t="str">
        <f>IF(最佳化斷筋點!Q184="","",最佳化斷筋點!Q184)</f>
        <v/>
      </c>
      <c r="AQ184" s="37" t="str">
        <f>IF(最佳化斷筋點!R184="","",最佳化斷筋點!R184)</f>
        <v/>
      </c>
      <c r="AR184" s="37" t="str">
        <f>IF(最佳化斷筋點!S184="","",最佳化斷筋點!S184)</f>
        <v/>
      </c>
      <c r="AS184" s="37" t="str">
        <f>IF(最佳化斷筋點!T184="","",最佳化斷筋點!T184)</f>
        <v/>
      </c>
      <c r="AT184" s="37" t="str">
        <f>IF(最佳化斷筋點!U184="","",最佳化斷筋點!U184)</f>
        <v/>
      </c>
      <c r="AU184" s="37" t="str">
        <f>IF(最佳化斷筋點!V184="","",最佳化斷筋點!V184)</f>
        <v/>
      </c>
      <c r="AV184" s="37" t="str">
        <f>IF(最佳化斷筋點!W184="","",最佳化斷筋點!W184)</f>
        <v/>
      </c>
      <c r="AW184" s="37" t="str">
        <f>IF(最佳化斷筋點!X184="","",最佳化斷筋點!X184)</f>
        <v/>
      </c>
      <c r="AZ184" s="37" t="s">
        <v>197</v>
      </c>
      <c r="BA184" s="37" t="s">
        <v>197</v>
      </c>
      <c r="BB184" s="37" t="s">
        <v>197</v>
      </c>
      <c r="BC184" s="37" t="s">
        <v>197</v>
      </c>
      <c r="BD184" s="37" t="s">
        <v>197</v>
      </c>
      <c r="BE184" s="37" t="s">
        <v>197</v>
      </c>
      <c r="BF184" s="37" t="s">
        <v>197</v>
      </c>
      <c r="BG184" s="37" t="s">
        <v>197</v>
      </c>
      <c r="BH184" s="37" t="s">
        <v>197</v>
      </c>
      <c r="BI184" s="37" t="s">
        <v>197</v>
      </c>
      <c r="BJ184" s="37" t="s">
        <v>197</v>
      </c>
      <c r="BK184" s="37" t="s">
        <v>197</v>
      </c>
      <c r="BL184" s="37" t="s">
        <v>197</v>
      </c>
      <c r="BM184" s="37" t="s">
        <v>197</v>
      </c>
      <c r="BN184" s="37" t="s">
        <v>197</v>
      </c>
      <c r="BO184" s="37" t="s">
        <v>197</v>
      </c>
      <c r="BP184" s="37" t="s">
        <v>197</v>
      </c>
      <c r="BQ184" s="37" t="s">
        <v>197</v>
      </c>
      <c r="BR184" s="37" t="s">
        <v>197</v>
      </c>
      <c r="BS184" s="37" t="s">
        <v>197</v>
      </c>
      <c r="BT184" s="37" t="s">
        <v>197</v>
      </c>
    </row>
    <row r="185" spans="5:72" x14ac:dyDescent="0.25">
      <c r="E185" s="6" t="s">
        <v>21</v>
      </c>
      <c r="F185" s="6">
        <f t="shared" si="43"/>
        <v>0</v>
      </c>
      <c r="G185" s="6">
        <f t="shared" si="44"/>
        <v>0</v>
      </c>
      <c r="H185" s="6">
        <f t="shared" si="45"/>
        <v>0</v>
      </c>
      <c r="I185" s="6">
        <f t="shared" si="46"/>
        <v>0</v>
      </c>
      <c r="J185" s="6">
        <f t="shared" si="47"/>
        <v>0</v>
      </c>
      <c r="K185" s="6">
        <f t="shared" si="48"/>
        <v>0</v>
      </c>
      <c r="L185" s="6">
        <f t="shared" si="49"/>
        <v>0</v>
      </c>
      <c r="M185" s="6">
        <f t="shared" si="50"/>
        <v>0</v>
      </c>
      <c r="N185" s="6">
        <f t="shared" si="51"/>
        <v>0</v>
      </c>
      <c r="O185" s="6">
        <f t="shared" si="52"/>
        <v>0</v>
      </c>
      <c r="P185" s="6">
        <f t="shared" si="53"/>
        <v>0</v>
      </c>
      <c r="Q185" s="6">
        <f t="shared" si="54"/>
        <v>0</v>
      </c>
      <c r="R185" s="6">
        <f t="shared" si="55"/>
        <v>0</v>
      </c>
      <c r="S185" s="6">
        <f t="shared" si="56"/>
        <v>0</v>
      </c>
      <c r="T185" s="6">
        <f t="shared" si="57"/>
        <v>0</v>
      </c>
      <c r="U185" s="6">
        <f t="shared" si="58"/>
        <v>0</v>
      </c>
      <c r="V185" s="6">
        <f t="shared" si="59"/>
        <v>0</v>
      </c>
      <c r="W185" s="6">
        <f t="shared" si="60"/>
        <v>0</v>
      </c>
      <c r="X185" s="6">
        <f t="shared" si="61"/>
        <v>0</v>
      </c>
      <c r="Y185" s="6">
        <f t="shared" si="62"/>
        <v>0</v>
      </c>
      <c r="Z185" s="6">
        <f t="shared" si="63"/>
        <v>0</v>
      </c>
      <c r="AB185" s="36" t="str">
        <f>IF(最佳化斷筋點!C185="","",最佳化斷筋點!C185)</f>
        <v>下層</v>
      </c>
      <c r="AC185" s="37">
        <f>IF(最佳化斷筋點!D185="","",最佳化斷筋點!D185)</f>
        <v>3</v>
      </c>
      <c r="AD185" s="37">
        <f>IF(最佳化斷筋點!E185="","",最佳化斷筋點!E185)</f>
        <v>3</v>
      </c>
      <c r="AE185" s="37">
        <f>IF(最佳化斷筋點!F185="","",最佳化斷筋點!F185)</f>
        <v>3</v>
      </c>
      <c r="AF185" s="37">
        <f>IF(最佳化斷筋點!G185="","",最佳化斷筋點!G185)</f>
        <v>3</v>
      </c>
      <c r="AG185" s="37">
        <f>IF(最佳化斷筋點!H185="","",最佳化斷筋點!H185)</f>
        <v>3</v>
      </c>
      <c r="AH185" s="37">
        <f>IF(最佳化斷筋點!I185="","",最佳化斷筋點!I185)</f>
        <v>3</v>
      </c>
      <c r="AI185" s="37">
        <f>IF(最佳化斷筋點!J185="","",最佳化斷筋點!J185)</f>
        <v>3</v>
      </c>
      <c r="AJ185" s="37">
        <f>IF(最佳化斷筋點!K185="","",最佳化斷筋點!K185)</f>
        <v>3</v>
      </c>
      <c r="AK185" s="37">
        <f>IF(最佳化斷筋點!L185="","",最佳化斷筋點!L185)</f>
        <v>3</v>
      </c>
      <c r="AL185" s="37">
        <f>IF(最佳化斷筋點!M185="","",最佳化斷筋點!M185)</f>
        <v>3</v>
      </c>
      <c r="AM185" s="37">
        <f>IF(最佳化斷筋點!N185="","",最佳化斷筋點!N185)</f>
        <v>3</v>
      </c>
      <c r="AN185" s="37">
        <f>IF(最佳化斷筋點!O185="","",最佳化斷筋點!O185)</f>
        <v>3</v>
      </c>
      <c r="AO185" s="37">
        <f>IF(最佳化斷筋點!P185="","",最佳化斷筋點!P185)</f>
        <v>3</v>
      </c>
      <c r="AP185" s="37">
        <f>IF(最佳化斷筋點!Q185="","",最佳化斷筋點!Q185)</f>
        <v>3</v>
      </c>
      <c r="AQ185" s="37">
        <f>IF(最佳化斷筋點!R185="","",最佳化斷筋點!R185)</f>
        <v>3</v>
      </c>
      <c r="AR185" s="37">
        <f>IF(最佳化斷筋點!S185="","",最佳化斷筋點!S185)</f>
        <v>4</v>
      </c>
      <c r="AS185" s="37">
        <f>IF(最佳化斷筋點!T185="","",最佳化斷筋點!T185)</f>
        <v>4</v>
      </c>
      <c r="AT185" s="37">
        <f>IF(最佳化斷筋點!U185="","",最佳化斷筋點!U185)</f>
        <v>5</v>
      </c>
      <c r="AU185" s="37">
        <f>IF(最佳化斷筋點!V185="","",最佳化斷筋點!V185)</f>
        <v>5</v>
      </c>
      <c r="AV185" s="37">
        <f>IF(最佳化斷筋點!W185="","",最佳化斷筋點!W185)</f>
        <v>5</v>
      </c>
      <c r="AW185" s="37">
        <f>IF(最佳化斷筋點!X185="","",最佳化斷筋點!X185)</f>
        <v>5</v>
      </c>
      <c r="AY185" s="6" t="s">
        <v>21</v>
      </c>
      <c r="AZ185" s="37">
        <v>3</v>
      </c>
      <c r="BA185" s="37">
        <v>3</v>
      </c>
      <c r="BB185" s="37">
        <v>3</v>
      </c>
      <c r="BC185" s="37">
        <v>3</v>
      </c>
      <c r="BD185" s="37">
        <v>3</v>
      </c>
      <c r="BE185" s="37">
        <v>3</v>
      </c>
      <c r="BF185" s="37">
        <v>3</v>
      </c>
      <c r="BG185" s="37">
        <v>3</v>
      </c>
      <c r="BH185" s="37">
        <v>3</v>
      </c>
      <c r="BI185" s="37">
        <v>3</v>
      </c>
      <c r="BJ185" s="37">
        <v>3</v>
      </c>
      <c r="BK185" s="37">
        <v>3</v>
      </c>
      <c r="BL185" s="37">
        <v>3</v>
      </c>
      <c r="BM185" s="37">
        <v>3</v>
      </c>
      <c r="BN185" s="37">
        <v>3</v>
      </c>
      <c r="BO185" s="37">
        <v>4</v>
      </c>
      <c r="BP185" s="37">
        <v>4</v>
      </c>
      <c r="BQ185" s="37">
        <v>5</v>
      </c>
      <c r="BR185" s="37">
        <v>5</v>
      </c>
      <c r="BS185" s="37">
        <v>5</v>
      </c>
      <c r="BT185" s="37">
        <v>5</v>
      </c>
    </row>
    <row r="186" spans="5:72" x14ac:dyDescent="0.25">
      <c r="F186" s="6">
        <f t="shared" si="43"/>
        <v>0</v>
      </c>
      <c r="G186" s="6">
        <f t="shared" si="44"/>
        <v>0</v>
      </c>
      <c r="H186" s="6">
        <f t="shared" si="45"/>
        <v>0</v>
      </c>
      <c r="I186" s="6">
        <f t="shared" si="46"/>
        <v>0</v>
      </c>
      <c r="J186" s="6">
        <f t="shared" si="47"/>
        <v>0</v>
      </c>
      <c r="K186" s="6">
        <f t="shared" si="48"/>
        <v>0</v>
      </c>
      <c r="L186" s="6">
        <f t="shared" si="49"/>
        <v>0</v>
      </c>
      <c r="M186" s="6">
        <f t="shared" si="50"/>
        <v>0</v>
      </c>
      <c r="N186" s="6">
        <f t="shared" si="51"/>
        <v>0</v>
      </c>
      <c r="O186" s="6">
        <f t="shared" si="52"/>
        <v>0</v>
      </c>
      <c r="P186" s="6">
        <f t="shared" si="53"/>
        <v>0</v>
      </c>
      <c r="Q186" s="6">
        <f t="shared" si="54"/>
        <v>0</v>
      </c>
      <c r="R186" s="6">
        <f t="shared" si="55"/>
        <v>0</v>
      </c>
      <c r="S186" s="6">
        <f t="shared" si="56"/>
        <v>0</v>
      </c>
      <c r="T186" s="6">
        <f t="shared" si="57"/>
        <v>0</v>
      </c>
      <c r="U186" s="6">
        <f t="shared" si="58"/>
        <v>0</v>
      </c>
      <c r="V186" s="6">
        <f t="shared" si="59"/>
        <v>0</v>
      </c>
      <c r="W186" s="6">
        <f t="shared" si="60"/>
        <v>0</v>
      </c>
      <c r="X186" s="6">
        <f t="shared" si="61"/>
        <v>0</v>
      </c>
      <c r="Y186" s="6">
        <f t="shared" si="62"/>
        <v>0</v>
      </c>
      <c r="Z186" s="6">
        <f t="shared" si="63"/>
        <v>0</v>
      </c>
      <c r="AB186" s="36" t="str">
        <f>IF(最佳化斷筋點!C186="","",最佳化斷筋點!C186)</f>
        <v/>
      </c>
      <c r="AC186" s="37" t="str">
        <f>IF(最佳化斷筋點!D186="","",最佳化斷筋點!D186)</f>
        <v/>
      </c>
      <c r="AD186" s="37" t="str">
        <f>IF(最佳化斷筋點!E186="","",最佳化斷筋點!E186)</f>
        <v/>
      </c>
      <c r="AE186" s="37" t="str">
        <f>IF(最佳化斷筋點!F186="","",最佳化斷筋點!F186)</f>
        <v/>
      </c>
      <c r="AF186" s="37" t="str">
        <f>IF(最佳化斷筋點!G186="","",最佳化斷筋點!G186)</f>
        <v/>
      </c>
      <c r="AG186" s="37" t="str">
        <f>IF(最佳化斷筋點!H186="","",最佳化斷筋點!H186)</f>
        <v/>
      </c>
      <c r="AH186" s="37" t="str">
        <f>IF(最佳化斷筋點!I186="","",最佳化斷筋點!I186)</f>
        <v/>
      </c>
      <c r="AI186" s="37" t="str">
        <f>IF(最佳化斷筋點!J186="","",最佳化斷筋點!J186)</f>
        <v/>
      </c>
      <c r="AJ186" s="37" t="str">
        <f>IF(最佳化斷筋點!K186="","",最佳化斷筋點!K186)</f>
        <v/>
      </c>
      <c r="AK186" s="37" t="str">
        <f>IF(最佳化斷筋點!L186="","",最佳化斷筋點!L186)</f>
        <v/>
      </c>
      <c r="AL186" s="37" t="str">
        <f>IF(最佳化斷筋點!M186="","",最佳化斷筋點!M186)</f>
        <v/>
      </c>
      <c r="AM186" s="37" t="str">
        <f>IF(最佳化斷筋點!N186="","",最佳化斷筋點!N186)</f>
        <v/>
      </c>
      <c r="AN186" s="37" t="str">
        <f>IF(最佳化斷筋點!O186="","",最佳化斷筋點!O186)</f>
        <v/>
      </c>
      <c r="AO186" s="37" t="str">
        <f>IF(最佳化斷筋點!P186="","",最佳化斷筋點!P186)</f>
        <v/>
      </c>
      <c r="AP186" s="37" t="str">
        <f>IF(最佳化斷筋點!Q186="","",最佳化斷筋點!Q186)</f>
        <v/>
      </c>
      <c r="AQ186" s="37" t="str">
        <f>IF(最佳化斷筋點!R186="","",最佳化斷筋點!R186)</f>
        <v/>
      </c>
      <c r="AR186" s="37" t="str">
        <f>IF(最佳化斷筋點!S186="","",最佳化斷筋點!S186)</f>
        <v/>
      </c>
      <c r="AS186" s="37" t="str">
        <f>IF(最佳化斷筋點!T186="","",最佳化斷筋點!T186)</f>
        <v/>
      </c>
      <c r="AT186" s="37" t="str">
        <f>IF(最佳化斷筋點!U186="","",最佳化斷筋點!U186)</f>
        <v/>
      </c>
      <c r="AU186" s="37" t="str">
        <f>IF(最佳化斷筋點!V186="","",最佳化斷筋點!V186)</f>
        <v/>
      </c>
      <c r="AV186" s="37" t="str">
        <f>IF(最佳化斷筋點!W186="","",最佳化斷筋點!W186)</f>
        <v/>
      </c>
      <c r="AW186" s="37" t="str">
        <f>IF(最佳化斷筋點!X186="","",最佳化斷筋點!X186)</f>
        <v/>
      </c>
      <c r="AZ186" s="37" t="s">
        <v>197</v>
      </c>
      <c r="BA186" s="37" t="s">
        <v>197</v>
      </c>
      <c r="BB186" s="37" t="s">
        <v>197</v>
      </c>
      <c r="BC186" s="37" t="s">
        <v>197</v>
      </c>
      <c r="BD186" s="37" t="s">
        <v>197</v>
      </c>
      <c r="BE186" s="37" t="s">
        <v>197</v>
      </c>
      <c r="BF186" s="37" t="s">
        <v>197</v>
      </c>
      <c r="BG186" s="37" t="s">
        <v>197</v>
      </c>
      <c r="BH186" s="37" t="s">
        <v>197</v>
      </c>
      <c r="BI186" s="37" t="s">
        <v>197</v>
      </c>
      <c r="BJ186" s="37" t="s">
        <v>197</v>
      </c>
      <c r="BK186" s="37" t="s">
        <v>197</v>
      </c>
      <c r="BL186" s="37" t="s">
        <v>197</v>
      </c>
      <c r="BM186" s="37" t="s">
        <v>197</v>
      </c>
      <c r="BN186" s="37" t="s">
        <v>197</v>
      </c>
      <c r="BO186" s="37" t="s">
        <v>197</v>
      </c>
      <c r="BP186" s="37" t="s">
        <v>197</v>
      </c>
      <c r="BQ186" s="37" t="s">
        <v>197</v>
      </c>
      <c r="BR186" s="37" t="s">
        <v>197</v>
      </c>
      <c r="BS186" s="37" t="s">
        <v>197</v>
      </c>
      <c r="BT186" s="37" t="s">
        <v>197</v>
      </c>
    </row>
    <row r="187" spans="5:72" x14ac:dyDescent="0.25">
      <c r="E187" s="6" t="s">
        <v>20</v>
      </c>
      <c r="F187" s="6">
        <f t="shared" si="43"/>
        <v>0</v>
      </c>
      <c r="G187" s="6">
        <f t="shared" si="44"/>
        <v>0</v>
      </c>
      <c r="H187" s="6">
        <f t="shared" si="45"/>
        <v>0</v>
      </c>
      <c r="I187" s="6">
        <f t="shared" si="46"/>
        <v>0</v>
      </c>
      <c r="J187" s="6">
        <f t="shared" si="47"/>
        <v>0</v>
      </c>
      <c r="K187" s="6">
        <f t="shared" si="48"/>
        <v>0</v>
      </c>
      <c r="L187" s="6">
        <f t="shared" si="49"/>
        <v>0</v>
      </c>
      <c r="M187" s="6">
        <f t="shared" si="50"/>
        <v>0</v>
      </c>
      <c r="N187" s="6">
        <f t="shared" si="51"/>
        <v>0</v>
      </c>
      <c r="O187" s="6">
        <f t="shared" si="52"/>
        <v>0</v>
      </c>
      <c r="P187" s="6">
        <f t="shared" si="53"/>
        <v>0</v>
      </c>
      <c r="Q187" s="6">
        <f t="shared" si="54"/>
        <v>0</v>
      </c>
      <c r="R187" s="6">
        <f t="shared" si="55"/>
        <v>0</v>
      </c>
      <c r="S187" s="6">
        <f t="shared" si="56"/>
        <v>0</v>
      </c>
      <c r="T187" s="6">
        <f t="shared" si="57"/>
        <v>0</v>
      </c>
      <c r="U187" s="6">
        <f t="shared" si="58"/>
        <v>0</v>
      </c>
      <c r="V187" s="6">
        <f t="shared" si="59"/>
        <v>0</v>
      </c>
      <c r="W187" s="6">
        <f t="shared" si="60"/>
        <v>0</v>
      </c>
      <c r="X187" s="6">
        <f t="shared" si="61"/>
        <v>0</v>
      </c>
      <c r="Y187" s="6">
        <f t="shared" si="62"/>
        <v>0</v>
      </c>
      <c r="Z187" s="6">
        <f t="shared" si="63"/>
        <v>0</v>
      </c>
      <c r="AB187" s="36" t="str">
        <f>IF(最佳化斷筋點!C187="","",最佳化斷筋點!C187)</f>
        <v>上層</v>
      </c>
      <c r="AC187" s="37">
        <f>IF(最佳化斷筋點!D187="","",最佳化斷筋點!D187)</f>
        <v>4</v>
      </c>
      <c r="AD187" s="37">
        <f>IF(最佳化斷筋點!E187="","",最佳化斷筋點!E187)</f>
        <v>4</v>
      </c>
      <c r="AE187" s="37">
        <f>IF(最佳化斷筋點!F187="","",最佳化斷筋點!F187)</f>
        <v>4</v>
      </c>
      <c r="AF187" s="37">
        <f>IF(最佳化斷筋點!G187="","",最佳化斷筋點!G187)</f>
        <v>4</v>
      </c>
      <c r="AG187" s="37">
        <f>IF(最佳化斷筋點!H187="","",最佳化斷筋點!H187)</f>
        <v>4</v>
      </c>
      <c r="AH187" s="37">
        <f>IF(最佳化斷筋點!I187="","",最佳化斷筋點!I187)</f>
        <v>4</v>
      </c>
      <c r="AI187" s="37">
        <f>IF(最佳化斷筋點!J187="","",最佳化斷筋點!J187)</f>
        <v>4</v>
      </c>
      <c r="AJ187" s="37">
        <f>IF(最佳化斷筋點!K187="","",最佳化斷筋點!K187)</f>
        <v>3</v>
      </c>
      <c r="AK187" s="37">
        <f>IF(最佳化斷筋點!L187="","",最佳化斷筋點!L187)</f>
        <v>3</v>
      </c>
      <c r="AL187" s="37">
        <f>IF(最佳化斷筋點!M187="","",最佳化斷筋點!M187)</f>
        <v>3</v>
      </c>
      <c r="AM187" s="37">
        <f>IF(最佳化斷筋點!N187="","",最佳化斷筋點!N187)</f>
        <v>2</v>
      </c>
      <c r="AN187" s="37">
        <f>IF(最佳化斷筋點!O187="","",最佳化斷筋點!O187)</f>
        <v>3</v>
      </c>
      <c r="AO187" s="37">
        <f>IF(最佳化斷筋點!P187="","",最佳化斷筋點!P187)</f>
        <v>3</v>
      </c>
      <c r="AP187" s="37">
        <f>IF(最佳化斷筋點!Q187="","",最佳化斷筋點!Q187)</f>
        <v>4</v>
      </c>
      <c r="AQ187" s="37">
        <f>IF(最佳化斷筋點!R187="","",最佳化斷筋點!R187)</f>
        <v>4</v>
      </c>
      <c r="AR187" s="37">
        <f>IF(最佳化斷筋點!S187="","",最佳化斷筋點!S187)</f>
        <v>5</v>
      </c>
      <c r="AS187" s="37">
        <f>IF(最佳化斷筋點!T187="","",最佳化斷筋點!T187)</f>
        <v>5</v>
      </c>
      <c r="AT187" s="37">
        <f>IF(最佳化斷筋點!U187="","",最佳化斷筋點!U187)</f>
        <v>5</v>
      </c>
      <c r="AU187" s="37">
        <f>IF(最佳化斷筋點!V187="","",最佳化斷筋點!V187)</f>
        <v>5</v>
      </c>
      <c r="AV187" s="37">
        <f>IF(最佳化斷筋點!W187="","",最佳化斷筋點!W187)</f>
        <v>5</v>
      </c>
      <c r="AW187" s="37">
        <f>IF(最佳化斷筋點!X187="","",最佳化斷筋點!X187)</f>
        <v>5</v>
      </c>
      <c r="AY187" s="6" t="s">
        <v>20</v>
      </c>
      <c r="AZ187" s="37">
        <v>4</v>
      </c>
      <c r="BA187" s="37">
        <v>4</v>
      </c>
      <c r="BB187" s="37">
        <v>4</v>
      </c>
      <c r="BC187" s="37">
        <v>4</v>
      </c>
      <c r="BD187" s="37">
        <v>4</v>
      </c>
      <c r="BE187" s="37">
        <v>4</v>
      </c>
      <c r="BF187" s="37">
        <v>4</v>
      </c>
      <c r="BG187" s="37">
        <v>3</v>
      </c>
      <c r="BH187" s="37">
        <v>3</v>
      </c>
      <c r="BI187" s="37">
        <v>3</v>
      </c>
      <c r="BJ187" s="37">
        <v>2</v>
      </c>
      <c r="BK187" s="37">
        <v>3</v>
      </c>
      <c r="BL187" s="37">
        <v>3</v>
      </c>
      <c r="BM187" s="37">
        <v>4</v>
      </c>
      <c r="BN187" s="37">
        <v>4</v>
      </c>
      <c r="BO187" s="37">
        <v>5</v>
      </c>
      <c r="BP187" s="37">
        <v>5</v>
      </c>
      <c r="BQ187" s="37">
        <v>5</v>
      </c>
      <c r="BR187" s="37">
        <v>5</v>
      </c>
      <c r="BS187" s="37">
        <v>5</v>
      </c>
      <c r="BT187" s="37">
        <v>5</v>
      </c>
    </row>
    <row r="188" spans="5:72" x14ac:dyDescent="0.25">
      <c r="F188" s="6">
        <f t="shared" si="43"/>
        <v>0</v>
      </c>
      <c r="G188" s="6">
        <f t="shared" si="44"/>
        <v>0</v>
      </c>
      <c r="H188" s="6">
        <f t="shared" si="45"/>
        <v>0</v>
      </c>
      <c r="I188" s="6">
        <f t="shared" si="46"/>
        <v>0</v>
      </c>
      <c r="J188" s="6">
        <f t="shared" si="47"/>
        <v>0</v>
      </c>
      <c r="K188" s="6">
        <f t="shared" si="48"/>
        <v>0</v>
      </c>
      <c r="L188" s="6">
        <f t="shared" si="49"/>
        <v>0</v>
      </c>
      <c r="M188" s="6">
        <f t="shared" si="50"/>
        <v>0</v>
      </c>
      <c r="N188" s="6">
        <f t="shared" si="51"/>
        <v>0</v>
      </c>
      <c r="O188" s="6">
        <f t="shared" si="52"/>
        <v>0</v>
      </c>
      <c r="P188" s="6">
        <f t="shared" si="53"/>
        <v>0</v>
      </c>
      <c r="Q188" s="6">
        <f t="shared" si="54"/>
        <v>0</v>
      </c>
      <c r="R188" s="6">
        <f t="shared" si="55"/>
        <v>0</v>
      </c>
      <c r="S188" s="6">
        <f t="shared" si="56"/>
        <v>0</v>
      </c>
      <c r="T188" s="6">
        <f t="shared" si="57"/>
        <v>0</v>
      </c>
      <c r="U188" s="6">
        <f t="shared" si="58"/>
        <v>0</v>
      </c>
      <c r="V188" s="6">
        <f t="shared" si="59"/>
        <v>0</v>
      </c>
      <c r="W188" s="6">
        <f t="shared" si="60"/>
        <v>0</v>
      </c>
      <c r="X188" s="6">
        <f t="shared" si="61"/>
        <v>0</v>
      </c>
      <c r="Y188" s="6">
        <f t="shared" si="62"/>
        <v>0</v>
      </c>
      <c r="Z188" s="6">
        <f t="shared" si="63"/>
        <v>0</v>
      </c>
      <c r="AB188" s="36" t="str">
        <f>IF(最佳化斷筋點!C188="","",最佳化斷筋點!C188)</f>
        <v/>
      </c>
      <c r="AC188" s="37" t="str">
        <f>IF(最佳化斷筋點!D188="","",最佳化斷筋點!D188)</f>
        <v/>
      </c>
      <c r="AD188" s="37" t="str">
        <f>IF(最佳化斷筋點!E188="","",最佳化斷筋點!E188)</f>
        <v/>
      </c>
      <c r="AE188" s="37" t="str">
        <f>IF(最佳化斷筋點!F188="","",最佳化斷筋點!F188)</f>
        <v/>
      </c>
      <c r="AF188" s="37" t="str">
        <f>IF(最佳化斷筋點!G188="","",最佳化斷筋點!G188)</f>
        <v/>
      </c>
      <c r="AG188" s="37" t="str">
        <f>IF(最佳化斷筋點!H188="","",最佳化斷筋點!H188)</f>
        <v/>
      </c>
      <c r="AH188" s="37" t="str">
        <f>IF(最佳化斷筋點!I188="","",最佳化斷筋點!I188)</f>
        <v/>
      </c>
      <c r="AI188" s="37" t="str">
        <f>IF(最佳化斷筋點!J188="","",最佳化斷筋點!J188)</f>
        <v/>
      </c>
      <c r="AJ188" s="37" t="str">
        <f>IF(最佳化斷筋點!K188="","",最佳化斷筋點!K188)</f>
        <v/>
      </c>
      <c r="AK188" s="37" t="str">
        <f>IF(最佳化斷筋點!L188="","",最佳化斷筋點!L188)</f>
        <v/>
      </c>
      <c r="AL188" s="37" t="str">
        <f>IF(最佳化斷筋點!M188="","",最佳化斷筋點!M188)</f>
        <v/>
      </c>
      <c r="AM188" s="37" t="str">
        <f>IF(最佳化斷筋點!N188="","",最佳化斷筋點!N188)</f>
        <v/>
      </c>
      <c r="AN188" s="37" t="str">
        <f>IF(最佳化斷筋點!O188="","",最佳化斷筋點!O188)</f>
        <v/>
      </c>
      <c r="AO188" s="37" t="str">
        <f>IF(最佳化斷筋點!P188="","",最佳化斷筋點!P188)</f>
        <v/>
      </c>
      <c r="AP188" s="37" t="str">
        <f>IF(最佳化斷筋點!Q188="","",最佳化斷筋點!Q188)</f>
        <v/>
      </c>
      <c r="AQ188" s="37" t="str">
        <f>IF(最佳化斷筋點!R188="","",最佳化斷筋點!R188)</f>
        <v/>
      </c>
      <c r="AR188" s="37" t="str">
        <f>IF(最佳化斷筋點!S188="","",最佳化斷筋點!S188)</f>
        <v/>
      </c>
      <c r="AS188" s="37" t="str">
        <f>IF(最佳化斷筋點!T188="","",最佳化斷筋點!T188)</f>
        <v/>
      </c>
      <c r="AT188" s="37" t="str">
        <f>IF(最佳化斷筋點!U188="","",最佳化斷筋點!U188)</f>
        <v/>
      </c>
      <c r="AU188" s="37" t="str">
        <f>IF(最佳化斷筋點!V188="","",最佳化斷筋點!V188)</f>
        <v/>
      </c>
      <c r="AV188" s="37" t="str">
        <f>IF(最佳化斷筋點!W188="","",最佳化斷筋點!W188)</f>
        <v/>
      </c>
      <c r="AW188" s="37" t="str">
        <f>IF(最佳化斷筋點!X188="","",最佳化斷筋點!X188)</f>
        <v/>
      </c>
      <c r="AZ188" s="37" t="s">
        <v>197</v>
      </c>
      <c r="BA188" s="37" t="s">
        <v>197</v>
      </c>
      <c r="BB188" s="37" t="s">
        <v>197</v>
      </c>
      <c r="BC188" s="37" t="s">
        <v>197</v>
      </c>
      <c r="BD188" s="37" t="s">
        <v>197</v>
      </c>
      <c r="BE188" s="37" t="s">
        <v>197</v>
      </c>
      <c r="BF188" s="37" t="s">
        <v>197</v>
      </c>
      <c r="BG188" s="37" t="s">
        <v>197</v>
      </c>
      <c r="BH188" s="37" t="s">
        <v>197</v>
      </c>
      <c r="BI188" s="37" t="s">
        <v>197</v>
      </c>
      <c r="BJ188" s="37" t="s">
        <v>197</v>
      </c>
      <c r="BK188" s="37" t="s">
        <v>197</v>
      </c>
      <c r="BL188" s="37" t="s">
        <v>197</v>
      </c>
      <c r="BM188" s="37" t="s">
        <v>197</v>
      </c>
      <c r="BN188" s="37" t="s">
        <v>197</v>
      </c>
      <c r="BO188" s="37" t="s">
        <v>197</v>
      </c>
      <c r="BP188" s="37" t="s">
        <v>197</v>
      </c>
      <c r="BQ188" s="37" t="s">
        <v>197</v>
      </c>
      <c r="BR188" s="37" t="s">
        <v>197</v>
      </c>
      <c r="BS188" s="37" t="s">
        <v>197</v>
      </c>
      <c r="BT188" s="37" t="s">
        <v>197</v>
      </c>
    </row>
    <row r="189" spans="5:72" x14ac:dyDescent="0.25">
      <c r="E189" s="6" t="s">
        <v>21</v>
      </c>
      <c r="F189" s="6">
        <f t="shared" si="43"/>
        <v>0</v>
      </c>
      <c r="G189" s="6">
        <f t="shared" si="44"/>
        <v>0</v>
      </c>
      <c r="H189" s="6">
        <f t="shared" si="45"/>
        <v>0</v>
      </c>
      <c r="I189" s="6">
        <f t="shared" si="46"/>
        <v>0</v>
      </c>
      <c r="J189" s="6">
        <f t="shared" si="47"/>
        <v>0</v>
      </c>
      <c r="K189" s="6">
        <f t="shared" si="48"/>
        <v>0</v>
      </c>
      <c r="L189" s="6">
        <f t="shared" si="49"/>
        <v>0</v>
      </c>
      <c r="M189" s="6">
        <f t="shared" si="50"/>
        <v>0</v>
      </c>
      <c r="N189" s="6">
        <f t="shared" si="51"/>
        <v>0</v>
      </c>
      <c r="O189" s="6">
        <f t="shared" si="52"/>
        <v>0</v>
      </c>
      <c r="P189" s="6">
        <f t="shared" si="53"/>
        <v>0</v>
      </c>
      <c r="Q189" s="6">
        <f t="shared" si="54"/>
        <v>0</v>
      </c>
      <c r="R189" s="6">
        <f t="shared" si="55"/>
        <v>0</v>
      </c>
      <c r="S189" s="6">
        <f t="shared" si="56"/>
        <v>0</v>
      </c>
      <c r="T189" s="6">
        <f t="shared" si="57"/>
        <v>0</v>
      </c>
      <c r="U189" s="6">
        <f t="shared" si="58"/>
        <v>0</v>
      </c>
      <c r="V189" s="6">
        <f t="shared" si="59"/>
        <v>0</v>
      </c>
      <c r="W189" s="6">
        <f t="shared" si="60"/>
        <v>0</v>
      </c>
      <c r="X189" s="6">
        <f t="shared" si="61"/>
        <v>0</v>
      </c>
      <c r="Y189" s="6">
        <f t="shared" si="62"/>
        <v>0</v>
      </c>
      <c r="Z189" s="6">
        <f t="shared" si="63"/>
        <v>0</v>
      </c>
      <c r="AB189" s="36" t="str">
        <f>IF(最佳化斷筋點!C189="","",最佳化斷筋點!C189)</f>
        <v>下層</v>
      </c>
      <c r="AC189" s="37">
        <f>IF(最佳化斷筋點!D189="","",最佳化斷筋點!D189)</f>
        <v>4</v>
      </c>
      <c r="AD189" s="37">
        <f>IF(最佳化斷筋點!E189="","",最佳化斷筋點!E189)</f>
        <v>4</v>
      </c>
      <c r="AE189" s="37">
        <f>IF(最佳化斷筋點!F189="","",最佳化斷筋點!F189)</f>
        <v>4</v>
      </c>
      <c r="AF189" s="37">
        <f>IF(最佳化斷筋點!G189="","",最佳化斷筋點!G189)</f>
        <v>4</v>
      </c>
      <c r="AG189" s="37">
        <f>IF(最佳化斷筋點!H189="","",最佳化斷筋點!H189)</f>
        <v>4</v>
      </c>
      <c r="AH189" s="37">
        <f>IF(最佳化斷筋點!I189="","",最佳化斷筋點!I189)</f>
        <v>4</v>
      </c>
      <c r="AI189" s="37">
        <f>IF(最佳化斷筋點!J189="","",最佳化斷筋點!J189)</f>
        <v>3</v>
      </c>
      <c r="AJ189" s="37">
        <f>IF(最佳化斷筋點!K189="","",最佳化斷筋點!K189)</f>
        <v>3</v>
      </c>
      <c r="AK189" s="37">
        <f>IF(最佳化斷筋點!L189="","",最佳化斷筋點!L189)</f>
        <v>3</v>
      </c>
      <c r="AL189" s="37">
        <f>IF(最佳化斷筋點!M189="","",最佳化斷筋點!M189)</f>
        <v>3</v>
      </c>
      <c r="AM189" s="37">
        <f>IF(最佳化斷筋點!N189="","",最佳化斷筋點!N189)</f>
        <v>3</v>
      </c>
      <c r="AN189" s="37">
        <f>IF(最佳化斷筋點!O189="","",最佳化斷筋點!O189)</f>
        <v>3</v>
      </c>
      <c r="AO189" s="37">
        <f>IF(最佳化斷筋點!P189="","",最佳化斷筋點!P189)</f>
        <v>3</v>
      </c>
      <c r="AP189" s="37">
        <f>IF(最佳化斷筋點!Q189="","",最佳化斷筋點!Q189)</f>
        <v>3</v>
      </c>
      <c r="AQ189" s="37">
        <f>IF(最佳化斷筋點!R189="","",最佳化斷筋點!R189)</f>
        <v>3</v>
      </c>
      <c r="AR189" s="37">
        <f>IF(最佳化斷筋點!S189="","",最佳化斷筋點!S189)</f>
        <v>3</v>
      </c>
      <c r="AS189" s="37">
        <f>IF(最佳化斷筋點!T189="","",最佳化斷筋點!T189)</f>
        <v>3</v>
      </c>
      <c r="AT189" s="37">
        <f>IF(最佳化斷筋點!U189="","",最佳化斷筋點!U189)</f>
        <v>3</v>
      </c>
      <c r="AU189" s="37">
        <f>IF(最佳化斷筋點!V189="","",最佳化斷筋點!V189)</f>
        <v>3</v>
      </c>
      <c r="AV189" s="37">
        <f>IF(最佳化斷筋點!W189="","",最佳化斷筋點!W189)</f>
        <v>3</v>
      </c>
      <c r="AW189" s="37">
        <f>IF(最佳化斷筋點!X189="","",最佳化斷筋點!X189)</f>
        <v>3</v>
      </c>
      <c r="AY189" s="6" t="s">
        <v>21</v>
      </c>
      <c r="AZ189" s="37">
        <v>4</v>
      </c>
      <c r="BA189" s="37">
        <v>4</v>
      </c>
      <c r="BB189" s="37">
        <v>4</v>
      </c>
      <c r="BC189" s="37">
        <v>4</v>
      </c>
      <c r="BD189" s="37">
        <v>4</v>
      </c>
      <c r="BE189" s="37">
        <v>4</v>
      </c>
      <c r="BF189" s="37">
        <v>3</v>
      </c>
      <c r="BG189" s="37">
        <v>3</v>
      </c>
      <c r="BH189" s="37">
        <v>3</v>
      </c>
      <c r="BI189" s="37">
        <v>3</v>
      </c>
      <c r="BJ189" s="37">
        <v>3</v>
      </c>
      <c r="BK189" s="37">
        <v>3</v>
      </c>
      <c r="BL189" s="37">
        <v>3</v>
      </c>
      <c r="BM189" s="37">
        <v>3</v>
      </c>
      <c r="BN189" s="37">
        <v>3</v>
      </c>
      <c r="BO189" s="37">
        <v>3</v>
      </c>
      <c r="BP189" s="37">
        <v>3</v>
      </c>
      <c r="BQ189" s="37">
        <v>3</v>
      </c>
      <c r="BR189" s="37">
        <v>3</v>
      </c>
      <c r="BS189" s="37">
        <v>3</v>
      </c>
      <c r="BT189" s="37">
        <v>3</v>
      </c>
    </row>
    <row r="190" spans="5:72" x14ac:dyDescent="0.25">
      <c r="F190" s="6">
        <f t="shared" si="43"/>
        <v>0</v>
      </c>
      <c r="G190" s="6">
        <f t="shared" si="44"/>
        <v>0</v>
      </c>
      <c r="H190" s="6">
        <f t="shared" si="45"/>
        <v>0</v>
      </c>
      <c r="I190" s="6">
        <f t="shared" si="46"/>
        <v>0</v>
      </c>
      <c r="J190" s="6">
        <f t="shared" si="47"/>
        <v>0</v>
      </c>
      <c r="K190" s="6">
        <f t="shared" si="48"/>
        <v>0</v>
      </c>
      <c r="L190" s="6">
        <f t="shared" si="49"/>
        <v>0</v>
      </c>
      <c r="M190" s="6">
        <f t="shared" si="50"/>
        <v>0</v>
      </c>
      <c r="N190" s="6">
        <f t="shared" si="51"/>
        <v>0</v>
      </c>
      <c r="O190" s="6">
        <f t="shared" si="52"/>
        <v>0</v>
      </c>
      <c r="P190" s="6">
        <f t="shared" si="53"/>
        <v>0</v>
      </c>
      <c r="Q190" s="6">
        <f t="shared" si="54"/>
        <v>0</v>
      </c>
      <c r="R190" s="6">
        <f t="shared" si="55"/>
        <v>0</v>
      </c>
      <c r="S190" s="6">
        <f t="shared" si="56"/>
        <v>0</v>
      </c>
      <c r="T190" s="6">
        <f t="shared" si="57"/>
        <v>0</v>
      </c>
      <c r="U190" s="6">
        <f t="shared" si="58"/>
        <v>0</v>
      </c>
      <c r="V190" s="6">
        <f t="shared" si="59"/>
        <v>0</v>
      </c>
      <c r="W190" s="6">
        <f t="shared" si="60"/>
        <v>0</v>
      </c>
      <c r="X190" s="6">
        <f t="shared" si="61"/>
        <v>0</v>
      </c>
      <c r="Y190" s="6">
        <f t="shared" si="62"/>
        <v>0</v>
      </c>
      <c r="Z190" s="6">
        <f t="shared" si="63"/>
        <v>0</v>
      </c>
      <c r="AB190" s="36" t="str">
        <f>IF(最佳化斷筋點!C190="","",最佳化斷筋點!C190)</f>
        <v/>
      </c>
      <c r="AC190" s="37" t="str">
        <f>IF(最佳化斷筋點!D190="","",最佳化斷筋點!D190)</f>
        <v/>
      </c>
      <c r="AD190" s="37" t="str">
        <f>IF(最佳化斷筋點!E190="","",最佳化斷筋點!E190)</f>
        <v/>
      </c>
      <c r="AE190" s="37" t="str">
        <f>IF(最佳化斷筋點!F190="","",最佳化斷筋點!F190)</f>
        <v/>
      </c>
      <c r="AF190" s="37" t="str">
        <f>IF(最佳化斷筋點!G190="","",最佳化斷筋點!G190)</f>
        <v/>
      </c>
      <c r="AG190" s="37" t="str">
        <f>IF(最佳化斷筋點!H190="","",最佳化斷筋點!H190)</f>
        <v/>
      </c>
      <c r="AH190" s="37" t="str">
        <f>IF(最佳化斷筋點!I190="","",最佳化斷筋點!I190)</f>
        <v/>
      </c>
      <c r="AI190" s="37" t="str">
        <f>IF(最佳化斷筋點!J190="","",最佳化斷筋點!J190)</f>
        <v/>
      </c>
      <c r="AJ190" s="37" t="str">
        <f>IF(最佳化斷筋點!K190="","",最佳化斷筋點!K190)</f>
        <v/>
      </c>
      <c r="AK190" s="37" t="str">
        <f>IF(最佳化斷筋點!L190="","",最佳化斷筋點!L190)</f>
        <v/>
      </c>
      <c r="AL190" s="37" t="str">
        <f>IF(最佳化斷筋點!M190="","",最佳化斷筋點!M190)</f>
        <v/>
      </c>
      <c r="AM190" s="37" t="str">
        <f>IF(最佳化斷筋點!N190="","",最佳化斷筋點!N190)</f>
        <v/>
      </c>
      <c r="AN190" s="37" t="str">
        <f>IF(最佳化斷筋點!O190="","",最佳化斷筋點!O190)</f>
        <v/>
      </c>
      <c r="AO190" s="37" t="str">
        <f>IF(最佳化斷筋點!P190="","",最佳化斷筋點!P190)</f>
        <v/>
      </c>
      <c r="AP190" s="37" t="str">
        <f>IF(最佳化斷筋點!Q190="","",最佳化斷筋點!Q190)</f>
        <v/>
      </c>
      <c r="AQ190" s="37" t="str">
        <f>IF(最佳化斷筋點!R190="","",最佳化斷筋點!R190)</f>
        <v/>
      </c>
      <c r="AR190" s="37" t="str">
        <f>IF(最佳化斷筋點!S190="","",最佳化斷筋點!S190)</f>
        <v/>
      </c>
      <c r="AS190" s="37" t="str">
        <f>IF(最佳化斷筋點!T190="","",最佳化斷筋點!T190)</f>
        <v/>
      </c>
      <c r="AT190" s="37" t="str">
        <f>IF(最佳化斷筋點!U190="","",最佳化斷筋點!U190)</f>
        <v/>
      </c>
      <c r="AU190" s="37" t="str">
        <f>IF(最佳化斷筋點!V190="","",最佳化斷筋點!V190)</f>
        <v/>
      </c>
      <c r="AV190" s="37" t="str">
        <f>IF(最佳化斷筋點!W190="","",最佳化斷筋點!W190)</f>
        <v/>
      </c>
      <c r="AW190" s="37" t="str">
        <f>IF(最佳化斷筋點!X190="","",最佳化斷筋點!X190)</f>
        <v/>
      </c>
      <c r="AZ190" s="37" t="s">
        <v>197</v>
      </c>
      <c r="BA190" s="37" t="s">
        <v>197</v>
      </c>
      <c r="BB190" s="37" t="s">
        <v>197</v>
      </c>
      <c r="BC190" s="37" t="s">
        <v>197</v>
      </c>
      <c r="BD190" s="37" t="s">
        <v>197</v>
      </c>
      <c r="BE190" s="37" t="s">
        <v>197</v>
      </c>
      <c r="BF190" s="37" t="s">
        <v>197</v>
      </c>
      <c r="BG190" s="37" t="s">
        <v>197</v>
      </c>
      <c r="BH190" s="37" t="s">
        <v>197</v>
      </c>
      <c r="BI190" s="37" t="s">
        <v>197</v>
      </c>
      <c r="BJ190" s="37" t="s">
        <v>197</v>
      </c>
      <c r="BK190" s="37" t="s">
        <v>197</v>
      </c>
      <c r="BL190" s="37" t="s">
        <v>197</v>
      </c>
      <c r="BM190" s="37" t="s">
        <v>197</v>
      </c>
      <c r="BN190" s="37" t="s">
        <v>197</v>
      </c>
      <c r="BO190" s="37" t="s">
        <v>197</v>
      </c>
      <c r="BP190" s="37" t="s">
        <v>197</v>
      </c>
      <c r="BQ190" s="37" t="s">
        <v>197</v>
      </c>
      <c r="BR190" s="37" t="s">
        <v>197</v>
      </c>
      <c r="BS190" s="37" t="s">
        <v>197</v>
      </c>
      <c r="BT190" s="37" t="s">
        <v>197</v>
      </c>
    </row>
    <row r="191" spans="5:72" x14ac:dyDescent="0.25">
      <c r="E191" s="6" t="s">
        <v>20</v>
      </c>
      <c r="F191" s="6">
        <f t="shared" si="43"/>
        <v>0</v>
      </c>
      <c r="G191" s="6">
        <f t="shared" si="44"/>
        <v>0</v>
      </c>
      <c r="H191" s="6">
        <f t="shared" si="45"/>
        <v>0</v>
      </c>
      <c r="I191" s="6">
        <f t="shared" si="46"/>
        <v>0</v>
      </c>
      <c r="J191" s="6">
        <f t="shared" si="47"/>
        <v>0</v>
      </c>
      <c r="K191" s="6">
        <f t="shared" si="48"/>
        <v>0</v>
      </c>
      <c r="L191" s="6">
        <f t="shared" si="49"/>
        <v>0</v>
      </c>
      <c r="M191" s="6">
        <f t="shared" si="50"/>
        <v>0</v>
      </c>
      <c r="N191" s="6">
        <f t="shared" si="51"/>
        <v>0</v>
      </c>
      <c r="O191" s="6">
        <f t="shared" si="52"/>
        <v>0</v>
      </c>
      <c r="P191" s="6">
        <f t="shared" si="53"/>
        <v>0</v>
      </c>
      <c r="Q191" s="6">
        <f t="shared" si="54"/>
        <v>0</v>
      </c>
      <c r="R191" s="6">
        <f t="shared" si="55"/>
        <v>0</v>
      </c>
      <c r="S191" s="6">
        <f t="shared" si="56"/>
        <v>0</v>
      </c>
      <c r="T191" s="6">
        <f t="shared" si="57"/>
        <v>0</v>
      </c>
      <c r="U191" s="6">
        <f t="shared" si="58"/>
        <v>0</v>
      </c>
      <c r="V191" s="6">
        <f t="shared" si="59"/>
        <v>0</v>
      </c>
      <c r="W191" s="6">
        <f t="shared" si="60"/>
        <v>0</v>
      </c>
      <c r="X191" s="6">
        <f t="shared" si="61"/>
        <v>0</v>
      </c>
      <c r="Y191" s="6">
        <f t="shared" si="62"/>
        <v>0</v>
      </c>
      <c r="Z191" s="6">
        <f t="shared" si="63"/>
        <v>0</v>
      </c>
      <c r="AB191" s="36" t="str">
        <f>IF(最佳化斷筋點!C191="","",最佳化斷筋點!C191)</f>
        <v>上層</v>
      </c>
      <c r="AC191" s="37">
        <f>IF(最佳化斷筋點!D191="","",最佳化斷筋點!D191)</f>
        <v>3</v>
      </c>
      <c r="AD191" s="37">
        <f>IF(最佳化斷筋點!E191="","",最佳化斷筋點!E191)</f>
        <v>3</v>
      </c>
      <c r="AE191" s="37">
        <f>IF(最佳化斷筋點!F191="","",最佳化斷筋點!F191)</f>
        <v>3</v>
      </c>
      <c r="AF191" s="37">
        <f>IF(最佳化斷筋點!G191="","",最佳化斷筋點!G191)</f>
        <v>3</v>
      </c>
      <c r="AG191" s="37">
        <f>IF(最佳化斷筋點!H191="","",最佳化斷筋點!H191)</f>
        <v>3</v>
      </c>
      <c r="AH191" s="37">
        <f>IF(最佳化斷筋點!I191="","",最佳化斷筋點!I191)</f>
        <v>3</v>
      </c>
      <c r="AI191" s="37">
        <f>IF(最佳化斷筋點!J191="","",最佳化斷筋點!J191)</f>
        <v>3</v>
      </c>
      <c r="AJ191" s="37">
        <f>IF(最佳化斷筋點!K191="","",最佳化斷筋點!K191)</f>
        <v>2</v>
      </c>
      <c r="AK191" s="37">
        <f>IF(最佳化斷筋點!L191="","",最佳化斷筋點!L191)</f>
        <v>2</v>
      </c>
      <c r="AL191" s="37">
        <f>IF(最佳化斷筋點!M191="","",最佳化斷筋點!M191)</f>
        <v>2</v>
      </c>
      <c r="AM191" s="37">
        <f>IF(最佳化斷筋點!N191="","",最佳化斷筋點!N191)</f>
        <v>2</v>
      </c>
      <c r="AN191" s="37">
        <f>IF(最佳化斷筋點!O191="","",最佳化斷筋點!O191)</f>
        <v>2</v>
      </c>
      <c r="AO191" s="37">
        <f>IF(最佳化斷筋點!P191="","",最佳化斷筋點!P191)</f>
        <v>2</v>
      </c>
      <c r="AP191" s="37">
        <f>IF(最佳化斷筋點!Q191="","",最佳化斷筋點!Q191)</f>
        <v>5</v>
      </c>
      <c r="AQ191" s="37">
        <f>IF(最佳化斷筋點!R191="","",最佳化斷筋點!R191)</f>
        <v>5</v>
      </c>
      <c r="AR191" s="37">
        <f>IF(最佳化斷筋點!S191="","",最佳化斷筋點!S191)</f>
        <v>6</v>
      </c>
      <c r="AS191" s="37">
        <f>IF(最佳化斷筋點!T191="","",最佳化斷筋點!T191)</f>
        <v>6</v>
      </c>
      <c r="AT191" s="37">
        <f>IF(最佳化斷筋點!U191="","",最佳化斷筋點!U191)</f>
        <v>6</v>
      </c>
      <c r="AU191" s="37">
        <f>IF(最佳化斷筋點!V191="","",最佳化斷筋點!V191)</f>
        <v>6</v>
      </c>
      <c r="AV191" s="37">
        <f>IF(最佳化斷筋點!W191="","",最佳化斷筋點!W191)</f>
        <v>6</v>
      </c>
      <c r="AW191" s="37">
        <f>IF(最佳化斷筋點!X191="","",最佳化斷筋點!X191)</f>
        <v>6</v>
      </c>
      <c r="AY191" s="6" t="s">
        <v>20</v>
      </c>
      <c r="AZ191" s="37">
        <v>3</v>
      </c>
      <c r="BA191" s="37">
        <v>3</v>
      </c>
      <c r="BB191" s="37">
        <v>3</v>
      </c>
      <c r="BC191" s="37">
        <v>3</v>
      </c>
      <c r="BD191" s="37">
        <v>3</v>
      </c>
      <c r="BE191" s="37">
        <v>3</v>
      </c>
      <c r="BF191" s="37">
        <v>3</v>
      </c>
      <c r="BG191" s="37">
        <v>2</v>
      </c>
      <c r="BH191" s="37">
        <v>2</v>
      </c>
      <c r="BI191" s="37">
        <v>2</v>
      </c>
      <c r="BJ191" s="37">
        <v>2</v>
      </c>
      <c r="BK191" s="37">
        <v>2</v>
      </c>
      <c r="BL191" s="37">
        <v>2</v>
      </c>
      <c r="BM191" s="37">
        <v>5</v>
      </c>
      <c r="BN191" s="37">
        <v>5</v>
      </c>
      <c r="BO191" s="37">
        <v>6</v>
      </c>
      <c r="BP191" s="37">
        <v>6</v>
      </c>
      <c r="BQ191" s="37">
        <v>6</v>
      </c>
      <c r="BR191" s="37">
        <v>6</v>
      </c>
      <c r="BS191" s="37">
        <v>6</v>
      </c>
      <c r="BT191" s="37">
        <v>6</v>
      </c>
    </row>
    <row r="192" spans="5:72" x14ac:dyDescent="0.25">
      <c r="F192" s="6">
        <f t="shared" si="43"/>
        <v>0</v>
      </c>
      <c r="G192" s="6">
        <f t="shared" si="44"/>
        <v>0</v>
      </c>
      <c r="H192" s="6">
        <f t="shared" si="45"/>
        <v>0</v>
      </c>
      <c r="I192" s="6">
        <f t="shared" si="46"/>
        <v>0</v>
      </c>
      <c r="J192" s="6">
        <f t="shared" si="47"/>
        <v>0</v>
      </c>
      <c r="K192" s="6">
        <f t="shared" si="48"/>
        <v>0</v>
      </c>
      <c r="L192" s="6">
        <f t="shared" si="49"/>
        <v>0</v>
      </c>
      <c r="M192" s="6">
        <f t="shared" si="50"/>
        <v>0</v>
      </c>
      <c r="N192" s="6">
        <f t="shared" si="51"/>
        <v>0</v>
      </c>
      <c r="O192" s="6">
        <f t="shared" si="52"/>
        <v>0</v>
      </c>
      <c r="P192" s="6">
        <f t="shared" si="53"/>
        <v>0</v>
      </c>
      <c r="Q192" s="6">
        <f t="shared" si="54"/>
        <v>0</v>
      </c>
      <c r="R192" s="6">
        <f t="shared" si="55"/>
        <v>0</v>
      </c>
      <c r="S192" s="6">
        <f t="shared" si="56"/>
        <v>0</v>
      </c>
      <c r="T192" s="6">
        <f t="shared" si="57"/>
        <v>0</v>
      </c>
      <c r="U192" s="6">
        <f t="shared" si="58"/>
        <v>0</v>
      </c>
      <c r="V192" s="6">
        <f t="shared" si="59"/>
        <v>0</v>
      </c>
      <c r="W192" s="6">
        <f t="shared" si="60"/>
        <v>0</v>
      </c>
      <c r="X192" s="6">
        <f t="shared" si="61"/>
        <v>0</v>
      </c>
      <c r="Y192" s="6">
        <f t="shared" si="62"/>
        <v>0</v>
      </c>
      <c r="Z192" s="6">
        <f t="shared" si="63"/>
        <v>0</v>
      </c>
      <c r="AB192" s="36" t="str">
        <f>IF(最佳化斷筋點!C192="","",最佳化斷筋點!C192)</f>
        <v/>
      </c>
      <c r="AC192" s="37" t="str">
        <f>IF(最佳化斷筋點!D192="","",最佳化斷筋點!D192)</f>
        <v/>
      </c>
      <c r="AD192" s="37" t="str">
        <f>IF(最佳化斷筋點!E192="","",最佳化斷筋點!E192)</f>
        <v/>
      </c>
      <c r="AE192" s="37" t="str">
        <f>IF(最佳化斷筋點!F192="","",最佳化斷筋點!F192)</f>
        <v/>
      </c>
      <c r="AF192" s="37" t="str">
        <f>IF(最佳化斷筋點!G192="","",最佳化斷筋點!G192)</f>
        <v/>
      </c>
      <c r="AG192" s="37" t="str">
        <f>IF(最佳化斷筋點!H192="","",最佳化斷筋點!H192)</f>
        <v/>
      </c>
      <c r="AH192" s="37" t="str">
        <f>IF(最佳化斷筋點!I192="","",最佳化斷筋點!I192)</f>
        <v/>
      </c>
      <c r="AI192" s="37" t="str">
        <f>IF(最佳化斷筋點!J192="","",最佳化斷筋點!J192)</f>
        <v/>
      </c>
      <c r="AJ192" s="37" t="str">
        <f>IF(最佳化斷筋點!K192="","",最佳化斷筋點!K192)</f>
        <v/>
      </c>
      <c r="AK192" s="37" t="str">
        <f>IF(最佳化斷筋點!L192="","",最佳化斷筋點!L192)</f>
        <v/>
      </c>
      <c r="AL192" s="37" t="str">
        <f>IF(最佳化斷筋點!M192="","",最佳化斷筋點!M192)</f>
        <v/>
      </c>
      <c r="AM192" s="37" t="str">
        <f>IF(最佳化斷筋點!N192="","",最佳化斷筋點!N192)</f>
        <v/>
      </c>
      <c r="AN192" s="37" t="str">
        <f>IF(最佳化斷筋點!O192="","",最佳化斷筋點!O192)</f>
        <v/>
      </c>
      <c r="AO192" s="37" t="str">
        <f>IF(最佳化斷筋點!P192="","",最佳化斷筋點!P192)</f>
        <v/>
      </c>
      <c r="AP192" s="37" t="str">
        <f>IF(最佳化斷筋點!Q192="","",最佳化斷筋點!Q192)</f>
        <v/>
      </c>
      <c r="AQ192" s="37" t="str">
        <f>IF(最佳化斷筋點!R192="","",最佳化斷筋點!R192)</f>
        <v/>
      </c>
      <c r="AR192" s="37" t="str">
        <f>IF(最佳化斷筋點!S192="","",最佳化斷筋點!S192)</f>
        <v/>
      </c>
      <c r="AS192" s="37" t="str">
        <f>IF(最佳化斷筋點!T192="","",最佳化斷筋點!T192)</f>
        <v/>
      </c>
      <c r="AT192" s="37" t="str">
        <f>IF(最佳化斷筋點!U192="","",最佳化斷筋點!U192)</f>
        <v/>
      </c>
      <c r="AU192" s="37" t="str">
        <f>IF(最佳化斷筋點!V192="","",最佳化斷筋點!V192)</f>
        <v/>
      </c>
      <c r="AV192" s="37" t="str">
        <f>IF(最佳化斷筋點!W192="","",最佳化斷筋點!W192)</f>
        <v/>
      </c>
      <c r="AW192" s="37" t="str">
        <f>IF(最佳化斷筋點!X192="","",最佳化斷筋點!X192)</f>
        <v/>
      </c>
      <c r="AZ192" s="37" t="s">
        <v>197</v>
      </c>
      <c r="BA192" s="37" t="s">
        <v>197</v>
      </c>
      <c r="BB192" s="37" t="s">
        <v>197</v>
      </c>
      <c r="BC192" s="37" t="s">
        <v>197</v>
      </c>
      <c r="BD192" s="37" t="s">
        <v>197</v>
      </c>
      <c r="BE192" s="37" t="s">
        <v>197</v>
      </c>
      <c r="BF192" s="37" t="s">
        <v>197</v>
      </c>
      <c r="BG192" s="37" t="s">
        <v>197</v>
      </c>
      <c r="BH192" s="37" t="s">
        <v>197</v>
      </c>
      <c r="BI192" s="37" t="s">
        <v>197</v>
      </c>
      <c r="BJ192" s="37" t="s">
        <v>197</v>
      </c>
      <c r="BK192" s="37" t="s">
        <v>197</v>
      </c>
      <c r="BL192" s="37" t="s">
        <v>197</v>
      </c>
      <c r="BM192" s="37" t="s">
        <v>197</v>
      </c>
      <c r="BN192" s="37" t="s">
        <v>197</v>
      </c>
      <c r="BO192" s="37" t="s">
        <v>197</v>
      </c>
      <c r="BP192" s="37" t="s">
        <v>197</v>
      </c>
      <c r="BQ192" s="37" t="s">
        <v>197</v>
      </c>
      <c r="BR192" s="37" t="s">
        <v>197</v>
      </c>
      <c r="BS192" s="37" t="s">
        <v>197</v>
      </c>
      <c r="BT192" s="37" t="s">
        <v>197</v>
      </c>
    </row>
    <row r="193" spans="5:72" x14ac:dyDescent="0.25">
      <c r="E193" s="6" t="s">
        <v>21</v>
      </c>
      <c r="F193" s="6">
        <f t="shared" si="43"/>
        <v>0</v>
      </c>
      <c r="G193" s="6">
        <f t="shared" si="44"/>
        <v>0</v>
      </c>
      <c r="H193" s="6">
        <f t="shared" si="45"/>
        <v>0</v>
      </c>
      <c r="I193" s="6">
        <f t="shared" si="46"/>
        <v>0</v>
      </c>
      <c r="J193" s="6">
        <f t="shared" si="47"/>
        <v>0</v>
      </c>
      <c r="K193" s="6">
        <f t="shared" si="48"/>
        <v>0</v>
      </c>
      <c r="L193" s="6">
        <f t="shared" si="49"/>
        <v>0</v>
      </c>
      <c r="M193" s="6">
        <f t="shared" si="50"/>
        <v>0</v>
      </c>
      <c r="N193" s="6">
        <f t="shared" si="51"/>
        <v>0</v>
      </c>
      <c r="O193" s="6">
        <f t="shared" si="52"/>
        <v>0</v>
      </c>
      <c r="P193" s="6">
        <f t="shared" si="53"/>
        <v>0</v>
      </c>
      <c r="Q193" s="6">
        <f t="shared" si="54"/>
        <v>0</v>
      </c>
      <c r="R193" s="6">
        <f t="shared" si="55"/>
        <v>0</v>
      </c>
      <c r="S193" s="6">
        <f t="shared" si="56"/>
        <v>0</v>
      </c>
      <c r="T193" s="6">
        <f t="shared" si="57"/>
        <v>0</v>
      </c>
      <c r="U193" s="6">
        <f t="shared" si="58"/>
        <v>0</v>
      </c>
      <c r="V193" s="6">
        <f t="shared" si="59"/>
        <v>0</v>
      </c>
      <c r="W193" s="6">
        <f t="shared" si="60"/>
        <v>0</v>
      </c>
      <c r="X193" s="6">
        <f t="shared" si="61"/>
        <v>0</v>
      </c>
      <c r="Y193" s="6">
        <f t="shared" si="62"/>
        <v>0</v>
      </c>
      <c r="Z193" s="6">
        <f t="shared" si="63"/>
        <v>0</v>
      </c>
      <c r="AB193" s="36" t="str">
        <f>IF(最佳化斷筋點!C193="","",最佳化斷筋點!C193)</f>
        <v>下層</v>
      </c>
      <c r="AC193" s="37">
        <f>IF(最佳化斷筋點!D193="","",最佳化斷筋點!D193)</f>
        <v>5</v>
      </c>
      <c r="AD193" s="37">
        <f>IF(最佳化斷筋點!E193="","",最佳化斷筋點!E193)</f>
        <v>5</v>
      </c>
      <c r="AE193" s="37">
        <f>IF(最佳化斷筋點!F193="","",最佳化斷筋點!F193)</f>
        <v>5</v>
      </c>
      <c r="AF193" s="37">
        <f>IF(最佳化斷筋點!G193="","",最佳化斷筋點!G193)</f>
        <v>5</v>
      </c>
      <c r="AG193" s="37">
        <f>IF(最佳化斷筋點!H193="","",最佳化斷筋點!H193)</f>
        <v>5</v>
      </c>
      <c r="AH193" s="37">
        <f>IF(最佳化斷筋點!I193="","",最佳化斷筋點!I193)</f>
        <v>5</v>
      </c>
      <c r="AI193" s="37">
        <f>IF(最佳化斷筋點!J193="","",最佳化斷筋點!J193)</f>
        <v>4</v>
      </c>
      <c r="AJ193" s="37">
        <f>IF(最佳化斷筋點!K193="","",最佳化斷筋點!K193)</f>
        <v>2</v>
      </c>
      <c r="AK193" s="37">
        <f>IF(最佳化斷筋點!L193="","",最佳化斷筋點!L193)</f>
        <v>2</v>
      </c>
      <c r="AL193" s="37">
        <f>IF(最佳化斷筋點!M193="","",最佳化斷筋點!M193)</f>
        <v>2</v>
      </c>
      <c r="AM193" s="37">
        <f>IF(最佳化斷筋點!N193="","",最佳化斷筋點!N193)</f>
        <v>2</v>
      </c>
      <c r="AN193" s="37">
        <f>IF(最佳化斷筋點!O193="","",最佳化斷筋點!O193)</f>
        <v>2</v>
      </c>
      <c r="AO193" s="37">
        <f>IF(最佳化斷筋點!P193="","",最佳化斷筋點!P193)</f>
        <v>2</v>
      </c>
      <c r="AP193" s="37">
        <f>IF(最佳化斷筋點!Q193="","",最佳化斷筋點!Q193)</f>
        <v>2</v>
      </c>
      <c r="AQ193" s="37">
        <f>IF(最佳化斷筋點!R193="","",最佳化斷筋點!R193)</f>
        <v>2</v>
      </c>
      <c r="AR193" s="37">
        <f>IF(最佳化斷筋點!S193="","",最佳化斷筋點!S193)</f>
        <v>3</v>
      </c>
      <c r="AS193" s="37">
        <f>IF(最佳化斷筋點!T193="","",最佳化斷筋點!T193)</f>
        <v>3</v>
      </c>
      <c r="AT193" s="37">
        <f>IF(最佳化斷筋點!U193="","",最佳化斷筋點!U193)</f>
        <v>3</v>
      </c>
      <c r="AU193" s="37">
        <f>IF(最佳化斷筋點!V193="","",最佳化斷筋點!V193)</f>
        <v>3</v>
      </c>
      <c r="AV193" s="37">
        <f>IF(最佳化斷筋點!W193="","",最佳化斷筋點!W193)</f>
        <v>3</v>
      </c>
      <c r="AW193" s="37">
        <f>IF(最佳化斷筋點!X193="","",最佳化斷筋點!X193)</f>
        <v>3</v>
      </c>
      <c r="AY193" s="6" t="s">
        <v>21</v>
      </c>
      <c r="AZ193" s="37">
        <v>5</v>
      </c>
      <c r="BA193" s="37">
        <v>5</v>
      </c>
      <c r="BB193" s="37">
        <v>5</v>
      </c>
      <c r="BC193" s="37">
        <v>5</v>
      </c>
      <c r="BD193" s="37">
        <v>5</v>
      </c>
      <c r="BE193" s="37">
        <v>5</v>
      </c>
      <c r="BF193" s="37">
        <v>4</v>
      </c>
      <c r="BG193" s="37">
        <v>2</v>
      </c>
      <c r="BH193" s="37">
        <v>2</v>
      </c>
      <c r="BI193" s="37">
        <v>2</v>
      </c>
      <c r="BJ193" s="37">
        <v>2</v>
      </c>
      <c r="BK193" s="37">
        <v>2</v>
      </c>
      <c r="BL193" s="37">
        <v>2</v>
      </c>
      <c r="BM193" s="37">
        <v>2</v>
      </c>
      <c r="BN193" s="37">
        <v>2</v>
      </c>
      <c r="BO193" s="37">
        <v>3</v>
      </c>
      <c r="BP193" s="37">
        <v>3</v>
      </c>
      <c r="BQ193" s="37">
        <v>3</v>
      </c>
      <c r="BR193" s="37">
        <v>3</v>
      </c>
      <c r="BS193" s="37">
        <v>3</v>
      </c>
      <c r="BT193" s="37">
        <v>3</v>
      </c>
    </row>
    <row r="194" spans="5:72" x14ac:dyDescent="0.25">
      <c r="F194" s="6">
        <f t="shared" si="43"/>
        <v>0</v>
      </c>
      <c r="G194" s="6">
        <f t="shared" si="44"/>
        <v>0</v>
      </c>
      <c r="H194" s="6">
        <f t="shared" si="45"/>
        <v>0</v>
      </c>
      <c r="I194" s="6">
        <f t="shared" si="46"/>
        <v>0</v>
      </c>
      <c r="J194" s="6">
        <f t="shared" si="47"/>
        <v>0</v>
      </c>
      <c r="K194" s="6">
        <f t="shared" si="48"/>
        <v>0</v>
      </c>
      <c r="L194" s="6">
        <f t="shared" si="49"/>
        <v>0</v>
      </c>
      <c r="M194" s="6">
        <f t="shared" si="50"/>
        <v>0</v>
      </c>
      <c r="N194" s="6">
        <f t="shared" si="51"/>
        <v>0</v>
      </c>
      <c r="O194" s="6">
        <f t="shared" si="52"/>
        <v>0</v>
      </c>
      <c r="P194" s="6">
        <f t="shared" si="53"/>
        <v>0</v>
      </c>
      <c r="Q194" s="6">
        <f t="shared" si="54"/>
        <v>0</v>
      </c>
      <c r="R194" s="6">
        <f t="shared" si="55"/>
        <v>0</v>
      </c>
      <c r="S194" s="6">
        <f t="shared" si="56"/>
        <v>0</v>
      </c>
      <c r="T194" s="6">
        <f t="shared" si="57"/>
        <v>0</v>
      </c>
      <c r="U194" s="6">
        <f t="shared" si="58"/>
        <v>0</v>
      </c>
      <c r="V194" s="6">
        <f t="shared" si="59"/>
        <v>0</v>
      </c>
      <c r="W194" s="6">
        <f t="shared" si="60"/>
        <v>0</v>
      </c>
      <c r="X194" s="6">
        <f t="shared" si="61"/>
        <v>0</v>
      </c>
      <c r="Y194" s="6">
        <f t="shared" si="62"/>
        <v>0</v>
      </c>
      <c r="Z194" s="6">
        <f t="shared" si="63"/>
        <v>0</v>
      </c>
      <c r="AB194" s="36" t="str">
        <f>IF(最佳化斷筋點!C194="","",最佳化斷筋點!C194)</f>
        <v/>
      </c>
      <c r="AC194" s="37" t="str">
        <f>IF(最佳化斷筋點!D194="","",最佳化斷筋點!D194)</f>
        <v/>
      </c>
      <c r="AD194" s="37" t="str">
        <f>IF(最佳化斷筋點!E194="","",最佳化斷筋點!E194)</f>
        <v/>
      </c>
      <c r="AE194" s="37" t="str">
        <f>IF(最佳化斷筋點!F194="","",最佳化斷筋點!F194)</f>
        <v/>
      </c>
      <c r="AF194" s="37" t="str">
        <f>IF(最佳化斷筋點!G194="","",最佳化斷筋點!G194)</f>
        <v/>
      </c>
      <c r="AG194" s="37" t="str">
        <f>IF(最佳化斷筋點!H194="","",最佳化斷筋點!H194)</f>
        <v/>
      </c>
      <c r="AH194" s="37" t="str">
        <f>IF(最佳化斷筋點!I194="","",最佳化斷筋點!I194)</f>
        <v/>
      </c>
      <c r="AI194" s="37" t="str">
        <f>IF(最佳化斷筋點!J194="","",最佳化斷筋點!J194)</f>
        <v/>
      </c>
      <c r="AJ194" s="37" t="str">
        <f>IF(最佳化斷筋點!K194="","",最佳化斷筋點!K194)</f>
        <v/>
      </c>
      <c r="AK194" s="37" t="str">
        <f>IF(最佳化斷筋點!L194="","",最佳化斷筋點!L194)</f>
        <v/>
      </c>
      <c r="AL194" s="37" t="str">
        <f>IF(最佳化斷筋點!M194="","",最佳化斷筋點!M194)</f>
        <v/>
      </c>
      <c r="AM194" s="37" t="str">
        <f>IF(最佳化斷筋點!N194="","",最佳化斷筋點!N194)</f>
        <v/>
      </c>
      <c r="AN194" s="37" t="str">
        <f>IF(最佳化斷筋點!O194="","",最佳化斷筋點!O194)</f>
        <v/>
      </c>
      <c r="AO194" s="37" t="str">
        <f>IF(最佳化斷筋點!P194="","",最佳化斷筋點!P194)</f>
        <v/>
      </c>
      <c r="AP194" s="37" t="str">
        <f>IF(最佳化斷筋點!Q194="","",最佳化斷筋點!Q194)</f>
        <v/>
      </c>
      <c r="AQ194" s="37" t="str">
        <f>IF(最佳化斷筋點!R194="","",最佳化斷筋點!R194)</f>
        <v/>
      </c>
      <c r="AR194" s="37" t="str">
        <f>IF(最佳化斷筋點!S194="","",最佳化斷筋點!S194)</f>
        <v/>
      </c>
      <c r="AS194" s="37" t="str">
        <f>IF(最佳化斷筋點!T194="","",最佳化斷筋點!T194)</f>
        <v/>
      </c>
      <c r="AT194" s="37" t="str">
        <f>IF(最佳化斷筋點!U194="","",最佳化斷筋點!U194)</f>
        <v/>
      </c>
      <c r="AU194" s="37" t="str">
        <f>IF(最佳化斷筋點!V194="","",最佳化斷筋點!V194)</f>
        <v/>
      </c>
      <c r="AV194" s="37" t="str">
        <f>IF(最佳化斷筋點!W194="","",最佳化斷筋點!W194)</f>
        <v/>
      </c>
      <c r="AW194" s="37" t="str">
        <f>IF(最佳化斷筋點!X194="","",最佳化斷筋點!X194)</f>
        <v/>
      </c>
      <c r="AZ194" s="37" t="s">
        <v>197</v>
      </c>
      <c r="BA194" s="37" t="s">
        <v>197</v>
      </c>
      <c r="BB194" s="37" t="s">
        <v>197</v>
      </c>
      <c r="BC194" s="37" t="s">
        <v>197</v>
      </c>
      <c r="BD194" s="37" t="s">
        <v>197</v>
      </c>
      <c r="BE194" s="37" t="s">
        <v>197</v>
      </c>
      <c r="BF194" s="37" t="s">
        <v>197</v>
      </c>
      <c r="BG194" s="37" t="s">
        <v>197</v>
      </c>
      <c r="BH194" s="37" t="s">
        <v>197</v>
      </c>
      <c r="BI194" s="37" t="s">
        <v>197</v>
      </c>
      <c r="BJ194" s="37" t="s">
        <v>197</v>
      </c>
      <c r="BK194" s="37" t="s">
        <v>197</v>
      </c>
      <c r="BL194" s="37" t="s">
        <v>197</v>
      </c>
      <c r="BM194" s="37" t="s">
        <v>197</v>
      </c>
      <c r="BN194" s="37" t="s">
        <v>197</v>
      </c>
      <c r="BO194" s="37" t="s">
        <v>197</v>
      </c>
      <c r="BP194" s="37" t="s">
        <v>197</v>
      </c>
      <c r="BQ194" s="37" t="s">
        <v>197</v>
      </c>
      <c r="BR194" s="37" t="s">
        <v>197</v>
      </c>
      <c r="BS194" s="37" t="s">
        <v>197</v>
      </c>
      <c r="BT194" s="37" t="s">
        <v>197</v>
      </c>
    </row>
    <row r="195" spans="5:72" x14ac:dyDescent="0.25">
      <c r="E195" s="6" t="s">
        <v>20</v>
      </c>
      <c r="F195" s="6">
        <f t="shared" si="43"/>
        <v>0</v>
      </c>
      <c r="G195" s="6">
        <f t="shared" si="44"/>
        <v>0</v>
      </c>
      <c r="H195" s="6">
        <f t="shared" si="45"/>
        <v>0</v>
      </c>
      <c r="I195" s="6">
        <f t="shared" si="46"/>
        <v>0</v>
      </c>
      <c r="J195" s="6">
        <f t="shared" si="47"/>
        <v>0</v>
      </c>
      <c r="K195" s="6">
        <f t="shared" si="48"/>
        <v>0</v>
      </c>
      <c r="L195" s="6">
        <f t="shared" si="49"/>
        <v>0</v>
      </c>
      <c r="M195" s="6">
        <f t="shared" si="50"/>
        <v>0</v>
      </c>
      <c r="N195" s="6">
        <f t="shared" si="51"/>
        <v>0</v>
      </c>
      <c r="O195" s="6">
        <f t="shared" si="52"/>
        <v>0</v>
      </c>
      <c r="P195" s="6">
        <f t="shared" si="53"/>
        <v>0</v>
      </c>
      <c r="Q195" s="6">
        <f t="shared" si="54"/>
        <v>0</v>
      </c>
      <c r="R195" s="6">
        <f t="shared" si="55"/>
        <v>0</v>
      </c>
      <c r="S195" s="6">
        <f t="shared" si="56"/>
        <v>0</v>
      </c>
      <c r="T195" s="6">
        <f t="shared" si="57"/>
        <v>0</v>
      </c>
      <c r="U195" s="6">
        <f t="shared" si="58"/>
        <v>0</v>
      </c>
      <c r="V195" s="6">
        <f t="shared" si="59"/>
        <v>0</v>
      </c>
      <c r="W195" s="6">
        <f t="shared" si="60"/>
        <v>0</v>
      </c>
      <c r="X195" s="6">
        <f t="shared" si="61"/>
        <v>0</v>
      </c>
      <c r="Y195" s="6">
        <f t="shared" si="62"/>
        <v>0</v>
      </c>
      <c r="Z195" s="6">
        <f t="shared" si="63"/>
        <v>0</v>
      </c>
      <c r="AB195" s="36" t="str">
        <f>IF(最佳化斷筋點!C195="","",最佳化斷筋點!C195)</f>
        <v>上層</v>
      </c>
      <c r="AC195" s="37">
        <f>IF(最佳化斷筋點!D195="","",最佳化斷筋點!D195)</f>
        <v>7</v>
      </c>
      <c r="AD195" s="37">
        <f>IF(最佳化斷筋點!E195="","",最佳化斷筋點!E195)</f>
        <v>7</v>
      </c>
      <c r="AE195" s="37">
        <f>IF(最佳化斷筋點!F195="","",最佳化斷筋點!F195)</f>
        <v>7</v>
      </c>
      <c r="AF195" s="37">
        <f>IF(最佳化斷筋點!G195="","",最佳化斷筋點!G195)</f>
        <v>7</v>
      </c>
      <c r="AG195" s="37">
        <f>IF(最佳化斷筋點!H195="","",最佳化斷筋點!H195)</f>
        <v>7</v>
      </c>
      <c r="AH195" s="37">
        <f>IF(最佳化斷筋點!I195="","",最佳化斷筋點!I195)</f>
        <v>6</v>
      </c>
      <c r="AI195" s="37">
        <f>IF(最佳化斷筋點!J195="","",最佳化斷筋點!J195)</f>
        <v>6</v>
      </c>
      <c r="AJ195" s="37">
        <f>IF(最佳化斷筋點!K195="","",最佳化斷筋點!K195)</f>
        <v>3</v>
      </c>
      <c r="AK195" s="37">
        <f>IF(最佳化斷筋點!L195="","",最佳化斷筋點!L195)</f>
        <v>3</v>
      </c>
      <c r="AL195" s="37">
        <f>IF(最佳化斷筋點!M195="","",最佳化斷筋點!M195)</f>
        <v>3</v>
      </c>
      <c r="AM195" s="37">
        <f>IF(最佳化斷筋點!N195="","",最佳化斷筋點!N195)</f>
        <v>2</v>
      </c>
      <c r="AN195" s="37">
        <f>IF(最佳化斷筋點!O195="","",最佳化斷筋點!O195)</f>
        <v>3</v>
      </c>
      <c r="AO195" s="37">
        <f>IF(最佳化斷筋點!P195="","",最佳化斷筋點!P195)</f>
        <v>3</v>
      </c>
      <c r="AP195" s="37">
        <f>IF(最佳化斷筋點!Q195="","",最佳化斷筋點!Q195)</f>
        <v>4</v>
      </c>
      <c r="AQ195" s="37">
        <f>IF(最佳化斷筋點!R195="","",最佳化斷筋點!R195)</f>
        <v>5</v>
      </c>
      <c r="AR195" s="37">
        <f>IF(最佳化斷筋點!S195="","",最佳化斷筋點!S195)</f>
        <v>6</v>
      </c>
      <c r="AS195" s="37">
        <f>IF(最佳化斷筋點!T195="","",最佳化斷筋點!T195)</f>
        <v>6</v>
      </c>
      <c r="AT195" s="37">
        <f>IF(最佳化斷筋點!U195="","",最佳化斷筋點!U195)</f>
        <v>7</v>
      </c>
      <c r="AU195" s="37">
        <f>IF(最佳化斷筋點!V195="","",最佳化斷筋點!V195)</f>
        <v>7</v>
      </c>
      <c r="AV195" s="37">
        <f>IF(最佳化斷筋點!W195="","",最佳化斷筋點!W195)</f>
        <v>7</v>
      </c>
      <c r="AW195" s="37">
        <f>IF(最佳化斷筋點!X195="","",最佳化斷筋點!X195)</f>
        <v>7</v>
      </c>
      <c r="AY195" s="6" t="s">
        <v>20</v>
      </c>
      <c r="AZ195" s="37">
        <v>7</v>
      </c>
      <c r="BA195" s="37">
        <v>7</v>
      </c>
      <c r="BB195" s="37">
        <v>7</v>
      </c>
      <c r="BC195" s="37">
        <v>7</v>
      </c>
      <c r="BD195" s="37">
        <v>7</v>
      </c>
      <c r="BE195" s="37">
        <v>6</v>
      </c>
      <c r="BF195" s="37">
        <v>6</v>
      </c>
      <c r="BG195" s="37">
        <v>3</v>
      </c>
      <c r="BH195" s="37">
        <v>3</v>
      </c>
      <c r="BI195" s="37">
        <v>3</v>
      </c>
      <c r="BJ195" s="37">
        <v>2</v>
      </c>
      <c r="BK195" s="37">
        <v>3</v>
      </c>
      <c r="BL195" s="37">
        <v>3</v>
      </c>
      <c r="BM195" s="37">
        <v>4</v>
      </c>
      <c r="BN195" s="37">
        <v>5</v>
      </c>
      <c r="BO195" s="37">
        <v>6</v>
      </c>
      <c r="BP195" s="37">
        <v>6</v>
      </c>
      <c r="BQ195" s="37">
        <v>7</v>
      </c>
      <c r="BR195" s="37">
        <v>7</v>
      </c>
      <c r="BS195" s="37">
        <v>7</v>
      </c>
      <c r="BT195" s="37">
        <v>7</v>
      </c>
    </row>
    <row r="196" spans="5:72" x14ac:dyDescent="0.25">
      <c r="F196" s="6">
        <f t="shared" ref="F196:F259" si="64">IF(AC196=AZ196,0,1)</f>
        <v>0</v>
      </c>
      <c r="G196" s="6">
        <f t="shared" ref="G196:G259" si="65">IF(AD196=BA196,0,1)</f>
        <v>0</v>
      </c>
      <c r="H196" s="6">
        <f t="shared" ref="H196:H259" si="66">IF(AE196=BB196,0,1)</f>
        <v>0</v>
      </c>
      <c r="I196" s="6">
        <f t="shared" ref="I196:I259" si="67">IF(AF196=BC196,0,1)</f>
        <v>0</v>
      </c>
      <c r="J196" s="6">
        <f t="shared" ref="J196:J259" si="68">IF(AG196=BD196,0,1)</f>
        <v>0</v>
      </c>
      <c r="K196" s="6">
        <f t="shared" ref="K196:K259" si="69">IF(AH196=BE196,0,1)</f>
        <v>0</v>
      </c>
      <c r="L196" s="6">
        <f t="shared" ref="L196:L259" si="70">IF(AI196=BF196,0,1)</f>
        <v>0</v>
      </c>
      <c r="M196" s="6">
        <f t="shared" ref="M196:M259" si="71">IF(AJ196=BG196,0,1)</f>
        <v>0</v>
      </c>
      <c r="N196" s="6">
        <f t="shared" ref="N196:N259" si="72">IF(AK196=BH196,0,1)</f>
        <v>0</v>
      </c>
      <c r="O196" s="6">
        <f t="shared" ref="O196:O259" si="73">IF(AL196=BI196,0,1)</f>
        <v>0</v>
      </c>
      <c r="P196" s="6">
        <f t="shared" ref="P196:P259" si="74">IF(AM196=BJ196,0,1)</f>
        <v>0</v>
      </c>
      <c r="Q196" s="6">
        <f t="shared" ref="Q196:Q259" si="75">IF(AN196=BK196,0,1)</f>
        <v>0</v>
      </c>
      <c r="R196" s="6">
        <f t="shared" ref="R196:R259" si="76">IF(AO196=BL196,0,1)</f>
        <v>0</v>
      </c>
      <c r="S196" s="6">
        <f t="shared" ref="S196:S259" si="77">IF(AP196=BM196,0,1)</f>
        <v>0</v>
      </c>
      <c r="T196" s="6">
        <f t="shared" ref="T196:T259" si="78">IF(AQ196=BN196,0,1)</f>
        <v>0</v>
      </c>
      <c r="U196" s="6">
        <f t="shared" ref="U196:U259" si="79">IF(AR196=BO196,0,1)</f>
        <v>0</v>
      </c>
      <c r="V196" s="6">
        <f t="shared" ref="V196:V259" si="80">IF(AS196=BP196,0,1)</f>
        <v>0</v>
      </c>
      <c r="W196" s="6">
        <f t="shared" ref="W196:W259" si="81">IF(AT196=BQ196,0,1)</f>
        <v>0</v>
      </c>
      <c r="X196" s="6">
        <f t="shared" ref="X196:X259" si="82">IF(AU196=BR196,0,1)</f>
        <v>0</v>
      </c>
      <c r="Y196" s="6">
        <f t="shared" ref="Y196:Y259" si="83">IF(AV196=BS196,0,1)</f>
        <v>0</v>
      </c>
      <c r="Z196" s="6">
        <f t="shared" ref="Z196:Z259" si="84">IF(AW196=BT196,0,1)</f>
        <v>0</v>
      </c>
      <c r="AB196" s="36" t="str">
        <f>IF(最佳化斷筋點!C196="","",最佳化斷筋點!C196)</f>
        <v/>
      </c>
      <c r="AC196" s="37" t="str">
        <f>IF(最佳化斷筋點!D196="","",最佳化斷筋點!D196)</f>
        <v/>
      </c>
      <c r="AD196" s="37" t="str">
        <f>IF(最佳化斷筋點!E196="","",最佳化斷筋點!E196)</f>
        <v/>
      </c>
      <c r="AE196" s="37" t="str">
        <f>IF(最佳化斷筋點!F196="","",最佳化斷筋點!F196)</f>
        <v/>
      </c>
      <c r="AF196" s="37" t="str">
        <f>IF(最佳化斷筋點!G196="","",最佳化斷筋點!G196)</f>
        <v/>
      </c>
      <c r="AG196" s="37" t="str">
        <f>IF(最佳化斷筋點!H196="","",最佳化斷筋點!H196)</f>
        <v/>
      </c>
      <c r="AH196" s="37" t="str">
        <f>IF(最佳化斷筋點!I196="","",最佳化斷筋點!I196)</f>
        <v/>
      </c>
      <c r="AI196" s="37" t="str">
        <f>IF(最佳化斷筋點!J196="","",最佳化斷筋點!J196)</f>
        <v/>
      </c>
      <c r="AJ196" s="37" t="str">
        <f>IF(最佳化斷筋點!K196="","",最佳化斷筋點!K196)</f>
        <v/>
      </c>
      <c r="AK196" s="37" t="str">
        <f>IF(最佳化斷筋點!L196="","",最佳化斷筋點!L196)</f>
        <v/>
      </c>
      <c r="AL196" s="37" t="str">
        <f>IF(最佳化斷筋點!M196="","",最佳化斷筋點!M196)</f>
        <v/>
      </c>
      <c r="AM196" s="37" t="str">
        <f>IF(最佳化斷筋點!N196="","",最佳化斷筋點!N196)</f>
        <v/>
      </c>
      <c r="AN196" s="37" t="str">
        <f>IF(最佳化斷筋點!O196="","",最佳化斷筋點!O196)</f>
        <v/>
      </c>
      <c r="AO196" s="37" t="str">
        <f>IF(最佳化斷筋點!P196="","",最佳化斷筋點!P196)</f>
        <v/>
      </c>
      <c r="AP196" s="37" t="str">
        <f>IF(最佳化斷筋點!Q196="","",最佳化斷筋點!Q196)</f>
        <v/>
      </c>
      <c r="AQ196" s="37" t="str">
        <f>IF(最佳化斷筋點!R196="","",最佳化斷筋點!R196)</f>
        <v/>
      </c>
      <c r="AR196" s="37" t="str">
        <f>IF(最佳化斷筋點!S196="","",最佳化斷筋點!S196)</f>
        <v/>
      </c>
      <c r="AS196" s="37" t="str">
        <f>IF(最佳化斷筋點!T196="","",最佳化斷筋點!T196)</f>
        <v/>
      </c>
      <c r="AT196" s="37" t="str">
        <f>IF(最佳化斷筋點!U196="","",最佳化斷筋點!U196)</f>
        <v/>
      </c>
      <c r="AU196" s="37" t="str">
        <f>IF(最佳化斷筋點!V196="","",最佳化斷筋點!V196)</f>
        <v/>
      </c>
      <c r="AV196" s="37" t="str">
        <f>IF(最佳化斷筋點!W196="","",最佳化斷筋點!W196)</f>
        <v/>
      </c>
      <c r="AW196" s="37" t="str">
        <f>IF(最佳化斷筋點!X196="","",最佳化斷筋點!X196)</f>
        <v/>
      </c>
      <c r="AZ196" s="37" t="s">
        <v>197</v>
      </c>
      <c r="BA196" s="37" t="s">
        <v>197</v>
      </c>
      <c r="BB196" s="37" t="s">
        <v>197</v>
      </c>
      <c r="BC196" s="37" t="s">
        <v>197</v>
      </c>
      <c r="BD196" s="37" t="s">
        <v>197</v>
      </c>
      <c r="BE196" s="37" t="s">
        <v>197</v>
      </c>
      <c r="BF196" s="37" t="s">
        <v>197</v>
      </c>
      <c r="BG196" s="37" t="s">
        <v>197</v>
      </c>
      <c r="BH196" s="37" t="s">
        <v>197</v>
      </c>
      <c r="BI196" s="37" t="s">
        <v>197</v>
      </c>
      <c r="BJ196" s="37" t="s">
        <v>197</v>
      </c>
      <c r="BK196" s="37" t="s">
        <v>197</v>
      </c>
      <c r="BL196" s="37" t="s">
        <v>197</v>
      </c>
      <c r="BM196" s="37" t="s">
        <v>197</v>
      </c>
      <c r="BN196" s="37" t="s">
        <v>197</v>
      </c>
      <c r="BO196" s="37" t="s">
        <v>197</v>
      </c>
      <c r="BP196" s="37" t="s">
        <v>197</v>
      </c>
      <c r="BQ196" s="37" t="s">
        <v>197</v>
      </c>
      <c r="BR196" s="37" t="s">
        <v>197</v>
      </c>
      <c r="BS196" s="37" t="s">
        <v>197</v>
      </c>
      <c r="BT196" s="37" t="s">
        <v>197</v>
      </c>
    </row>
    <row r="197" spans="5:72" x14ac:dyDescent="0.25">
      <c r="E197" s="6" t="s">
        <v>21</v>
      </c>
      <c r="F197" s="6">
        <f t="shared" si="64"/>
        <v>0</v>
      </c>
      <c r="G197" s="6">
        <f t="shared" si="65"/>
        <v>0</v>
      </c>
      <c r="H197" s="6">
        <f t="shared" si="66"/>
        <v>0</v>
      </c>
      <c r="I197" s="6">
        <f t="shared" si="67"/>
        <v>0</v>
      </c>
      <c r="J197" s="6">
        <f t="shared" si="68"/>
        <v>0</v>
      </c>
      <c r="K197" s="6">
        <f t="shared" si="69"/>
        <v>0</v>
      </c>
      <c r="L197" s="6">
        <f t="shared" si="70"/>
        <v>0</v>
      </c>
      <c r="M197" s="6">
        <f t="shared" si="71"/>
        <v>0</v>
      </c>
      <c r="N197" s="6">
        <f t="shared" si="72"/>
        <v>0</v>
      </c>
      <c r="O197" s="6">
        <f t="shared" si="73"/>
        <v>0</v>
      </c>
      <c r="P197" s="6">
        <f t="shared" si="74"/>
        <v>0</v>
      </c>
      <c r="Q197" s="6">
        <f t="shared" si="75"/>
        <v>0</v>
      </c>
      <c r="R197" s="6">
        <f t="shared" si="76"/>
        <v>0</v>
      </c>
      <c r="S197" s="6">
        <f t="shared" si="77"/>
        <v>0</v>
      </c>
      <c r="T197" s="6">
        <f t="shared" si="78"/>
        <v>0</v>
      </c>
      <c r="U197" s="6">
        <f t="shared" si="79"/>
        <v>0</v>
      </c>
      <c r="V197" s="6">
        <f t="shared" si="80"/>
        <v>0</v>
      </c>
      <c r="W197" s="6">
        <f t="shared" si="81"/>
        <v>0</v>
      </c>
      <c r="X197" s="6">
        <f t="shared" si="82"/>
        <v>0</v>
      </c>
      <c r="Y197" s="6">
        <f t="shared" si="83"/>
        <v>0</v>
      </c>
      <c r="Z197" s="6">
        <f t="shared" si="84"/>
        <v>0</v>
      </c>
      <c r="AB197" s="36" t="str">
        <f>IF(最佳化斷筋點!C197="","",最佳化斷筋點!C197)</f>
        <v>下層</v>
      </c>
      <c r="AC197" s="37">
        <f>IF(最佳化斷筋點!D197="","",最佳化斷筋點!D197)</f>
        <v>4</v>
      </c>
      <c r="AD197" s="37">
        <f>IF(最佳化斷筋點!E197="","",最佳化斷筋點!E197)</f>
        <v>4</v>
      </c>
      <c r="AE197" s="37">
        <f>IF(最佳化斷筋點!F197="","",最佳化斷筋點!F197)</f>
        <v>4</v>
      </c>
      <c r="AF197" s="37">
        <f>IF(最佳化斷筋點!G197="","",最佳化斷筋點!G197)</f>
        <v>4</v>
      </c>
      <c r="AG197" s="37">
        <f>IF(最佳化斷筋點!H197="","",最佳化斷筋點!H197)</f>
        <v>4</v>
      </c>
      <c r="AH197" s="37">
        <f>IF(最佳化斷筋點!I197="","",最佳化斷筋點!I197)</f>
        <v>3</v>
      </c>
      <c r="AI197" s="37">
        <f>IF(最佳化斷筋點!J197="","",最佳化斷筋點!J197)</f>
        <v>3</v>
      </c>
      <c r="AJ197" s="37">
        <f>IF(最佳化斷筋點!K197="","",最佳化斷筋點!K197)</f>
        <v>3</v>
      </c>
      <c r="AK197" s="37">
        <f>IF(最佳化斷筋點!L197="","",最佳化斷筋點!L197)</f>
        <v>3</v>
      </c>
      <c r="AL197" s="37">
        <f>IF(最佳化斷筋點!M197="","",最佳化斷筋點!M197)</f>
        <v>3</v>
      </c>
      <c r="AM197" s="37">
        <f>IF(最佳化斷筋點!N197="","",最佳化斷筋點!N197)</f>
        <v>3</v>
      </c>
      <c r="AN197" s="37">
        <f>IF(最佳化斷筋點!O197="","",最佳化斷筋點!O197)</f>
        <v>3</v>
      </c>
      <c r="AO197" s="37">
        <f>IF(最佳化斷筋點!P197="","",最佳化斷筋點!P197)</f>
        <v>3</v>
      </c>
      <c r="AP197" s="37">
        <f>IF(最佳化斷筋點!Q197="","",最佳化斷筋點!Q197)</f>
        <v>3</v>
      </c>
      <c r="AQ197" s="37">
        <f>IF(最佳化斷筋點!R197="","",最佳化斷筋點!R197)</f>
        <v>3</v>
      </c>
      <c r="AR197" s="37">
        <f>IF(最佳化斷筋點!S197="","",最佳化斷筋點!S197)</f>
        <v>3</v>
      </c>
      <c r="AS197" s="37">
        <f>IF(最佳化斷筋點!T197="","",最佳化斷筋點!T197)</f>
        <v>3</v>
      </c>
      <c r="AT197" s="37">
        <f>IF(最佳化斷筋點!U197="","",最佳化斷筋點!U197)</f>
        <v>4</v>
      </c>
      <c r="AU197" s="37">
        <f>IF(最佳化斷筋點!V197="","",最佳化斷筋點!V197)</f>
        <v>4</v>
      </c>
      <c r="AV197" s="37">
        <f>IF(最佳化斷筋點!W197="","",最佳化斷筋點!W197)</f>
        <v>4</v>
      </c>
      <c r="AW197" s="37">
        <f>IF(最佳化斷筋點!X197="","",最佳化斷筋點!X197)</f>
        <v>4</v>
      </c>
      <c r="AY197" s="6" t="s">
        <v>21</v>
      </c>
      <c r="AZ197" s="37">
        <v>4</v>
      </c>
      <c r="BA197" s="37">
        <v>4</v>
      </c>
      <c r="BB197" s="37">
        <v>4</v>
      </c>
      <c r="BC197" s="37">
        <v>4</v>
      </c>
      <c r="BD197" s="37">
        <v>4</v>
      </c>
      <c r="BE197" s="37">
        <v>3</v>
      </c>
      <c r="BF197" s="37">
        <v>3</v>
      </c>
      <c r="BG197" s="37">
        <v>3</v>
      </c>
      <c r="BH197" s="37">
        <v>3</v>
      </c>
      <c r="BI197" s="37">
        <v>3</v>
      </c>
      <c r="BJ197" s="37">
        <v>3</v>
      </c>
      <c r="BK197" s="37">
        <v>3</v>
      </c>
      <c r="BL197" s="37">
        <v>3</v>
      </c>
      <c r="BM197" s="37">
        <v>3</v>
      </c>
      <c r="BN197" s="37">
        <v>3</v>
      </c>
      <c r="BO197" s="37">
        <v>3</v>
      </c>
      <c r="BP197" s="37">
        <v>3</v>
      </c>
      <c r="BQ197" s="37">
        <v>4</v>
      </c>
      <c r="BR197" s="37">
        <v>4</v>
      </c>
      <c r="BS197" s="37">
        <v>4</v>
      </c>
      <c r="BT197" s="37">
        <v>4</v>
      </c>
    </row>
    <row r="198" spans="5:72" x14ac:dyDescent="0.25">
      <c r="F198" s="6">
        <f t="shared" si="64"/>
        <v>0</v>
      </c>
      <c r="G198" s="6">
        <f t="shared" si="65"/>
        <v>0</v>
      </c>
      <c r="H198" s="6">
        <f t="shared" si="66"/>
        <v>0</v>
      </c>
      <c r="I198" s="6">
        <f t="shared" si="67"/>
        <v>0</v>
      </c>
      <c r="J198" s="6">
        <f t="shared" si="68"/>
        <v>0</v>
      </c>
      <c r="K198" s="6">
        <f t="shared" si="69"/>
        <v>0</v>
      </c>
      <c r="L198" s="6">
        <f t="shared" si="70"/>
        <v>0</v>
      </c>
      <c r="M198" s="6">
        <f t="shared" si="71"/>
        <v>0</v>
      </c>
      <c r="N198" s="6">
        <f t="shared" si="72"/>
        <v>0</v>
      </c>
      <c r="O198" s="6">
        <f t="shared" si="73"/>
        <v>0</v>
      </c>
      <c r="P198" s="6">
        <f t="shared" si="74"/>
        <v>0</v>
      </c>
      <c r="Q198" s="6">
        <f t="shared" si="75"/>
        <v>0</v>
      </c>
      <c r="R198" s="6">
        <f t="shared" si="76"/>
        <v>0</v>
      </c>
      <c r="S198" s="6">
        <f t="shared" si="77"/>
        <v>0</v>
      </c>
      <c r="T198" s="6">
        <f t="shared" si="78"/>
        <v>0</v>
      </c>
      <c r="U198" s="6">
        <f t="shared" si="79"/>
        <v>0</v>
      </c>
      <c r="V198" s="6">
        <f t="shared" si="80"/>
        <v>0</v>
      </c>
      <c r="W198" s="6">
        <f t="shared" si="81"/>
        <v>0</v>
      </c>
      <c r="X198" s="6">
        <f t="shared" si="82"/>
        <v>0</v>
      </c>
      <c r="Y198" s="6">
        <f t="shared" si="83"/>
        <v>0</v>
      </c>
      <c r="Z198" s="6">
        <f t="shared" si="84"/>
        <v>0</v>
      </c>
      <c r="AB198" s="36" t="str">
        <f>IF(最佳化斷筋點!C198="","",最佳化斷筋點!C198)</f>
        <v/>
      </c>
      <c r="AC198" s="37" t="str">
        <f>IF(最佳化斷筋點!D198="","",最佳化斷筋點!D198)</f>
        <v/>
      </c>
      <c r="AD198" s="37" t="str">
        <f>IF(最佳化斷筋點!E198="","",最佳化斷筋點!E198)</f>
        <v/>
      </c>
      <c r="AE198" s="37" t="str">
        <f>IF(最佳化斷筋點!F198="","",最佳化斷筋點!F198)</f>
        <v/>
      </c>
      <c r="AF198" s="37" t="str">
        <f>IF(最佳化斷筋點!G198="","",最佳化斷筋點!G198)</f>
        <v/>
      </c>
      <c r="AG198" s="37" t="str">
        <f>IF(最佳化斷筋點!H198="","",最佳化斷筋點!H198)</f>
        <v/>
      </c>
      <c r="AH198" s="37" t="str">
        <f>IF(最佳化斷筋點!I198="","",最佳化斷筋點!I198)</f>
        <v/>
      </c>
      <c r="AI198" s="37" t="str">
        <f>IF(最佳化斷筋點!J198="","",最佳化斷筋點!J198)</f>
        <v/>
      </c>
      <c r="AJ198" s="37" t="str">
        <f>IF(最佳化斷筋點!K198="","",最佳化斷筋點!K198)</f>
        <v/>
      </c>
      <c r="AK198" s="37" t="str">
        <f>IF(最佳化斷筋點!L198="","",最佳化斷筋點!L198)</f>
        <v/>
      </c>
      <c r="AL198" s="37" t="str">
        <f>IF(最佳化斷筋點!M198="","",最佳化斷筋點!M198)</f>
        <v/>
      </c>
      <c r="AM198" s="37" t="str">
        <f>IF(最佳化斷筋點!N198="","",最佳化斷筋點!N198)</f>
        <v/>
      </c>
      <c r="AN198" s="37" t="str">
        <f>IF(最佳化斷筋點!O198="","",最佳化斷筋點!O198)</f>
        <v/>
      </c>
      <c r="AO198" s="37" t="str">
        <f>IF(最佳化斷筋點!P198="","",最佳化斷筋點!P198)</f>
        <v/>
      </c>
      <c r="AP198" s="37" t="str">
        <f>IF(最佳化斷筋點!Q198="","",最佳化斷筋點!Q198)</f>
        <v/>
      </c>
      <c r="AQ198" s="37" t="str">
        <f>IF(最佳化斷筋點!R198="","",最佳化斷筋點!R198)</f>
        <v/>
      </c>
      <c r="AR198" s="37" t="str">
        <f>IF(最佳化斷筋點!S198="","",最佳化斷筋點!S198)</f>
        <v/>
      </c>
      <c r="AS198" s="37" t="str">
        <f>IF(最佳化斷筋點!T198="","",最佳化斷筋點!T198)</f>
        <v/>
      </c>
      <c r="AT198" s="37" t="str">
        <f>IF(最佳化斷筋點!U198="","",最佳化斷筋點!U198)</f>
        <v/>
      </c>
      <c r="AU198" s="37" t="str">
        <f>IF(最佳化斷筋點!V198="","",最佳化斷筋點!V198)</f>
        <v/>
      </c>
      <c r="AV198" s="37" t="str">
        <f>IF(最佳化斷筋點!W198="","",最佳化斷筋點!W198)</f>
        <v/>
      </c>
      <c r="AW198" s="37" t="str">
        <f>IF(最佳化斷筋點!X198="","",最佳化斷筋點!X198)</f>
        <v/>
      </c>
      <c r="AZ198" s="37" t="s">
        <v>197</v>
      </c>
      <c r="BA198" s="37" t="s">
        <v>197</v>
      </c>
      <c r="BB198" s="37" t="s">
        <v>197</v>
      </c>
      <c r="BC198" s="37" t="s">
        <v>197</v>
      </c>
      <c r="BD198" s="37" t="s">
        <v>197</v>
      </c>
      <c r="BE198" s="37" t="s">
        <v>197</v>
      </c>
      <c r="BF198" s="37" t="s">
        <v>197</v>
      </c>
      <c r="BG198" s="37" t="s">
        <v>197</v>
      </c>
      <c r="BH198" s="37" t="s">
        <v>197</v>
      </c>
      <c r="BI198" s="37" t="s">
        <v>197</v>
      </c>
      <c r="BJ198" s="37" t="s">
        <v>197</v>
      </c>
      <c r="BK198" s="37" t="s">
        <v>197</v>
      </c>
      <c r="BL198" s="37" t="s">
        <v>197</v>
      </c>
      <c r="BM198" s="37" t="s">
        <v>197</v>
      </c>
      <c r="BN198" s="37" t="s">
        <v>197</v>
      </c>
      <c r="BO198" s="37" t="s">
        <v>197</v>
      </c>
      <c r="BP198" s="37" t="s">
        <v>197</v>
      </c>
      <c r="BQ198" s="37" t="s">
        <v>197</v>
      </c>
      <c r="BR198" s="37" t="s">
        <v>197</v>
      </c>
      <c r="BS198" s="37" t="s">
        <v>197</v>
      </c>
      <c r="BT198" s="37" t="s">
        <v>197</v>
      </c>
    </row>
    <row r="199" spans="5:72" x14ac:dyDescent="0.25">
      <c r="E199" s="6" t="s">
        <v>20</v>
      </c>
      <c r="F199" s="6">
        <f t="shared" si="64"/>
        <v>0</v>
      </c>
      <c r="G199" s="6">
        <f t="shared" si="65"/>
        <v>0</v>
      </c>
      <c r="H199" s="6">
        <f t="shared" si="66"/>
        <v>0</v>
      </c>
      <c r="I199" s="6">
        <f t="shared" si="67"/>
        <v>0</v>
      </c>
      <c r="J199" s="6">
        <f t="shared" si="68"/>
        <v>0</v>
      </c>
      <c r="K199" s="6">
        <f t="shared" si="69"/>
        <v>0</v>
      </c>
      <c r="L199" s="6">
        <f t="shared" si="70"/>
        <v>0</v>
      </c>
      <c r="M199" s="6">
        <f t="shared" si="71"/>
        <v>0</v>
      </c>
      <c r="N199" s="6">
        <f t="shared" si="72"/>
        <v>0</v>
      </c>
      <c r="O199" s="6">
        <f t="shared" si="73"/>
        <v>0</v>
      </c>
      <c r="P199" s="6">
        <f t="shared" si="74"/>
        <v>0</v>
      </c>
      <c r="Q199" s="6">
        <f t="shared" si="75"/>
        <v>0</v>
      </c>
      <c r="R199" s="6">
        <f t="shared" si="76"/>
        <v>0</v>
      </c>
      <c r="S199" s="6">
        <f t="shared" si="77"/>
        <v>0</v>
      </c>
      <c r="T199" s="6">
        <f t="shared" si="78"/>
        <v>0</v>
      </c>
      <c r="U199" s="6">
        <f t="shared" si="79"/>
        <v>0</v>
      </c>
      <c r="V199" s="6">
        <f t="shared" si="80"/>
        <v>0</v>
      </c>
      <c r="W199" s="6">
        <f t="shared" si="81"/>
        <v>0</v>
      </c>
      <c r="X199" s="6">
        <f t="shared" si="82"/>
        <v>0</v>
      </c>
      <c r="Y199" s="6">
        <f t="shared" si="83"/>
        <v>0</v>
      </c>
      <c r="Z199" s="6">
        <f t="shared" si="84"/>
        <v>0</v>
      </c>
      <c r="AB199" s="36" t="str">
        <f>IF(最佳化斷筋點!C199="","",最佳化斷筋點!C199)</f>
        <v>上層</v>
      </c>
      <c r="AC199" s="37">
        <f>IF(最佳化斷筋點!D199="","",最佳化斷筋點!D199)</f>
        <v>5</v>
      </c>
      <c r="AD199" s="37">
        <f>IF(最佳化斷筋點!E199="","",最佳化斷筋點!E199)</f>
        <v>5</v>
      </c>
      <c r="AE199" s="37">
        <f>IF(最佳化斷筋點!F199="","",最佳化斷筋點!F199)</f>
        <v>5</v>
      </c>
      <c r="AF199" s="37">
        <f>IF(最佳化斷筋點!G199="","",最佳化斷筋點!G199)</f>
        <v>5</v>
      </c>
      <c r="AG199" s="37">
        <f>IF(最佳化斷筋點!H199="","",最佳化斷筋點!H199)</f>
        <v>5</v>
      </c>
      <c r="AH199" s="37">
        <f>IF(最佳化斷筋點!I199="","",最佳化斷筋點!I199)</f>
        <v>5</v>
      </c>
      <c r="AI199" s="37">
        <f>IF(最佳化斷筋點!J199="","",最佳化斷筋點!J199)</f>
        <v>5</v>
      </c>
      <c r="AJ199" s="37">
        <f>IF(最佳化斷筋點!K199="","",最佳化斷筋點!K199)</f>
        <v>3</v>
      </c>
      <c r="AK199" s="37">
        <f>IF(最佳化斷筋點!L199="","",最佳化斷筋點!L199)</f>
        <v>3</v>
      </c>
      <c r="AL199" s="37">
        <f>IF(最佳化斷筋點!M199="","",最佳化斷筋點!M199)</f>
        <v>3</v>
      </c>
      <c r="AM199" s="37">
        <f>IF(最佳化斷筋點!N199="","",最佳化斷筋點!N199)</f>
        <v>3</v>
      </c>
      <c r="AN199" s="37">
        <f>IF(最佳化斷筋點!O199="","",最佳化斷筋點!O199)</f>
        <v>2</v>
      </c>
      <c r="AO199" s="37">
        <f>IF(最佳化斷筋點!P199="","",最佳化斷筋點!P199)</f>
        <v>3</v>
      </c>
      <c r="AP199" s="37">
        <f>IF(最佳化斷筋點!Q199="","",最佳化斷筋點!Q199)</f>
        <v>3</v>
      </c>
      <c r="AQ199" s="37">
        <f>IF(最佳化斷筋點!R199="","",最佳化斷筋點!R199)</f>
        <v>3</v>
      </c>
      <c r="AR199" s="37">
        <f>IF(最佳化斷筋點!S199="","",最佳化斷筋點!S199)</f>
        <v>4</v>
      </c>
      <c r="AS199" s="37">
        <f>IF(最佳化斷筋點!T199="","",最佳化斷筋點!T199)</f>
        <v>4</v>
      </c>
      <c r="AT199" s="37">
        <f>IF(最佳化斷筋點!U199="","",最佳化斷筋點!U199)</f>
        <v>4</v>
      </c>
      <c r="AU199" s="37">
        <f>IF(最佳化斷筋點!V199="","",最佳化斷筋點!V199)</f>
        <v>4</v>
      </c>
      <c r="AV199" s="37">
        <f>IF(最佳化斷筋點!W199="","",最佳化斷筋點!W199)</f>
        <v>4</v>
      </c>
      <c r="AW199" s="37">
        <f>IF(最佳化斷筋點!X199="","",最佳化斷筋點!X199)</f>
        <v>4</v>
      </c>
      <c r="AY199" s="6" t="s">
        <v>20</v>
      </c>
      <c r="AZ199" s="37">
        <v>5</v>
      </c>
      <c r="BA199" s="37">
        <v>5</v>
      </c>
      <c r="BB199" s="37">
        <v>5</v>
      </c>
      <c r="BC199" s="37">
        <v>5</v>
      </c>
      <c r="BD199" s="37">
        <v>5</v>
      </c>
      <c r="BE199" s="37">
        <v>5</v>
      </c>
      <c r="BF199" s="37">
        <v>5</v>
      </c>
      <c r="BG199" s="37">
        <v>3</v>
      </c>
      <c r="BH199" s="37">
        <v>3</v>
      </c>
      <c r="BI199" s="37">
        <v>3</v>
      </c>
      <c r="BJ199" s="37">
        <v>3</v>
      </c>
      <c r="BK199" s="37">
        <v>2</v>
      </c>
      <c r="BL199" s="37">
        <v>3</v>
      </c>
      <c r="BM199" s="37">
        <v>3</v>
      </c>
      <c r="BN199" s="37">
        <v>3</v>
      </c>
      <c r="BO199" s="37">
        <v>4</v>
      </c>
      <c r="BP199" s="37">
        <v>4</v>
      </c>
      <c r="BQ199" s="37">
        <v>4</v>
      </c>
      <c r="BR199" s="37">
        <v>4</v>
      </c>
      <c r="BS199" s="37">
        <v>4</v>
      </c>
      <c r="BT199" s="37">
        <v>4</v>
      </c>
    </row>
    <row r="200" spans="5:72" x14ac:dyDescent="0.25">
      <c r="F200" s="6">
        <f t="shared" si="64"/>
        <v>0</v>
      </c>
      <c r="G200" s="6">
        <f t="shared" si="65"/>
        <v>0</v>
      </c>
      <c r="H200" s="6">
        <f t="shared" si="66"/>
        <v>0</v>
      </c>
      <c r="I200" s="6">
        <f t="shared" si="67"/>
        <v>0</v>
      </c>
      <c r="J200" s="6">
        <f t="shared" si="68"/>
        <v>0</v>
      </c>
      <c r="K200" s="6">
        <f t="shared" si="69"/>
        <v>0</v>
      </c>
      <c r="L200" s="6">
        <f t="shared" si="70"/>
        <v>0</v>
      </c>
      <c r="M200" s="6">
        <f t="shared" si="71"/>
        <v>0</v>
      </c>
      <c r="N200" s="6">
        <f t="shared" si="72"/>
        <v>0</v>
      </c>
      <c r="O200" s="6">
        <f t="shared" si="73"/>
        <v>0</v>
      </c>
      <c r="P200" s="6">
        <f t="shared" si="74"/>
        <v>0</v>
      </c>
      <c r="Q200" s="6">
        <f t="shared" si="75"/>
        <v>0</v>
      </c>
      <c r="R200" s="6">
        <f t="shared" si="76"/>
        <v>0</v>
      </c>
      <c r="S200" s="6">
        <f t="shared" si="77"/>
        <v>0</v>
      </c>
      <c r="T200" s="6">
        <f t="shared" si="78"/>
        <v>0</v>
      </c>
      <c r="U200" s="6">
        <f t="shared" si="79"/>
        <v>0</v>
      </c>
      <c r="V200" s="6">
        <f t="shared" si="80"/>
        <v>0</v>
      </c>
      <c r="W200" s="6">
        <f t="shared" si="81"/>
        <v>0</v>
      </c>
      <c r="X200" s="6">
        <f t="shared" si="82"/>
        <v>0</v>
      </c>
      <c r="Y200" s="6">
        <f t="shared" si="83"/>
        <v>0</v>
      </c>
      <c r="Z200" s="6">
        <f t="shared" si="84"/>
        <v>0</v>
      </c>
      <c r="AB200" s="36" t="str">
        <f>IF(最佳化斷筋點!C200="","",最佳化斷筋點!C200)</f>
        <v/>
      </c>
      <c r="AC200" s="36" t="str">
        <f>IF(最佳化斷筋點!D200="","",最佳化斷筋點!D200)</f>
        <v/>
      </c>
      <c r="AD200" s="36" t="str">
        <f>IF(最佳化斷筋點!E200="","",最佳化斷筋點!E200)</f>
        <v/>
      </c>
      <c r="AE200" s="36" t="str">
        <f>IF(最佳化斷筋點!F200="","",最佳化斷筋點!F200)</f>
        <v/>
      </c>
      <c r="AF200" s="36" t="str">
        <f>IF(最佳化斷筋點!G200="","",最佳化斷筋點!G200)</f>
        <v/>
      </c>
      <c r="AG200" s="36" t="str">
        <f>IF(最佳化斷筋點!H200="","",最佳化斷筋點!H200)</f>
        <v/>
      </c>
      <c r="AH200" s="36" t="str">
        <f>IF(最佳化斷筋點!I200="","",最佳化斷筋點!I200)</f>
        <v/>
      </c>
      <c r="AI200" s="36" t="str">
        <f>IF(最佳化斷筋點!J200="","",最佳化斷筋點!J200)</f>
        <v/>
      </c>
      <c r="AJ200" s="36" t="str">
        <f>IF(最佳化斷筋點!K200="","",最佳化斷筋點!K200)</f>
        <v/>
      </c>
      <c r="AK200" s="36" t="str">
        <f>IF(最佳化斷筋點!L200="","",最佳化斷筋點!L200)</f>
        <v/>
      </c>
      <c r="AL200" s="36" t="str">
        <f>IF(最佳化斷筋點!M200="","",最佳化斷筋點!M200)</f>
        <v/>
      </c>
      <c r="AM200" s="36" t="str">
        <f>IF(最佳化斷筋點!N200="","",最佳化斷筋點!N200)</f>
        <v/>
      </c>
      <c r="AN200" s="36" t="str">
        <f>IF(最佳化斷筋點!O200="","",最佳化斷筋點!O200)</f>
        <v/>
      </c>
      <c r="AO200" s="36" t="str">
        <f>IF(最佳化斷筋點!P200="","",最佳化斷筋點!P200)</f>
        <v/>
      </c>
      <c r="AP200" s="36" t="str">
        <f>IF(最佳化斷筋點!Q200="","",最佳化斷筋點!Q200)</f>
        <v/>
      </c>
      <c r="AQ200" s="36" t="str">
        <f>IF(最佳化斷筋點!R200="","",最佳化斷筋點!R200)</f>
        <v/>
      </c>
      <c r="AR200" s="36" t="str">
        <f>IF(最佳化斷筋點!S200="","",最佳化斷筋點!S200)</f>
        <v/>
      </c>
      <c r="AS200" s="36" t="str">
        <f>IF(最佳化斷筋點!T200="","",最佳化斷筋點!T200)</f>
        <v/>
      </c>
      <c r="AT200" s="36" t="str">
        <f>IF(最佳化斷筋點!U200="","",最佳化斷筋點!U200)</f>
        <v/>
      </c>
      <c r="AU200" s="36" t="str">
        <f>IF(最佳化斷筋點!V200="","",最佳化斷筋點!V200)</f>
        <v/>
      </c>
      <c r="AV200" s="36" t="str">
        <f>IF(最佳化斷筋點!W200="","",最佳化斷筋點!W200)</f>
        <v/>
      </c>
      <c r="AW200" s="36" t="str">
        <f>IF(最佳化斷筋點!X200="","",最佳化斷筋點!X200)</f>
        <v/>
      </c>
      <c r="AZ200" s="37" t="s">
        <v>197</v>
      </c>
      <c r="BA200" s="37" t="s">
        <v>197</v>
      </c>
      <c r="BB200" s="37" t="s">
        <v>197</v>
      </c>
      <c r="BC200" s="37" t="s">
        <v>197</v>
      </c>
      <c r="BD200" s="37" t="s">
        <v>197</v>
      </c>
      <c r="BE200" s="37" t="s">
        <v>197</v>
      </c>
      <c r="BF200" s="37" t="s">
        <v>197</v>
      </c>
      <c r="BG200" s="37" t="s">
        <v>197</v>
      </c>
      <c r="BH200" s="37" t="s">
        <v>197</v>
      </c>
      <c r="BI200" s="37" t="s">
        <v>197</v>
      </c>
      <c r="BJ200" s="37" t="s">
        <v>197</v>
      </c>
      <c r="BK200" s="37" t="s">
        <v>197</v>
      </c>
      <c r="BL200" s="37" t="s">
        <v>197</v>
      </c>
      <c r="BM200" s="37" t="s">
        <v>197</v>
      </c>
      <c r="BN200" s="37" t="s">
        <v>197</v>
      </c>
      <c r="BO200" s="37" t="s">
        <v>197</v>
      </c>
      <c r="BP200" s="37" t="s">
        <v>197</v>
      </c>
      <c r="BQ200" s="37" t="s">
        <v>197</v>
      </c>
      <c r="BR200" s="37" t="s">
        <v>197</v>
      </c>
      <c r="BS200" s="37" t="s">
        <v>197</v>
      </c>
      <c r="BT200" s="37" t="s">
        <v>197</v>
      </c>
    </row>
    <row r="201" spans="5:72" x14ac:dyDescent="0.25">
      <c r="E201" s="6" t="s">
        <v>21</v>
      </c>
      <c r="F201" s="6">
        <f t="shared" si="64"/>
        <v>0</v>
      </c>
      <c r="G201" s="6">
        <f t="shared" si="65"/>
        <v>0</v>
      </c>
      <c r="H201" s="6">
        <f t="shared" si="66"/>
        <v>0</v>
      </c>
      <c r="I201" s="6">
        <f t="shared" si="67"/>
        <v>0</v>
      </c>
      <c r="J201" s="6">
        <f t="shared" si="68"/>
        <v>0</v>
      </c>
      <c r="K201" s="6">
        <f t="shared" si="69"/>
        <v>0</v>
      </c>
      <c r="L201" s="6">
        <f t="shared" si="70"/>
        <v>0</v>
      </c>
      <c r="M201" s="6">
        <f t="shared" si="71"/>
        <v>0</v>
      </c>
      <c r="N201" s="6">
        <f t="shared" si="72"/>
        <v>0</v>
      </c>
      <c r="O201" s="6">
        <f t="shared" si="73"/>
        <v>0</v>
      </c>
      <c r="P201" s="6">
        <f t="shared" si="74"/>
        <v>0</v>
      </c>
      <c r="Q201" s="6">
        <f t="shared" si="75"/>
        <v>0</v>
      </c>
      <c r="R201" s="6">
        <f t="shared" si="76"/>
        <v>0</v>
      </c>
      <c r="S201" s="6">
        <f t="shared" si="77"/>
        <v>0</v>
      </c>
      <c r="T201" s="6">
        <f t="shared" si="78"/>
        <v>0</v>
      </c>
      <c r="U201" s="6">
        <f t="shared" si="79"/>
        <v>0</v>
      </c>
      <c r="V201" s="6">
        <f t="shared" si="80"/>
        <v>0</v>
      </c>
      <c r="W201" s="6">
        <f t="shared" si="81"/>
        <v>0</v>
      </c>
      <c r="X201" s="6">
        <f t="shared" si="82"/>
        <v>0</v>
      </c>
      <c r="Y201" s="6">
        <f t="shared" si="83"/>
        <v>0</v>
      </c>
      <c r="Z201" s="6">
        <f t="shared" si="84"/>
        <v>0</v>
      </c>
      <c r="AB201" s="36" t="str">
        <f>IF(最佳化斷筋點!C201="","",最佳化斷筋點!C201)</f>
        <v>下層</v>
      </c>
      <c r="AC201" s="37">
        <f>IF(最佳化斷筋點!D201="","",最佳化斷筋點!D201)</f>
        <v>3</v>
      </c>
      <c r="AD201" s="37">
        <f>IF(最佳化斷筋點!E201="","",最佳化斷筋點!E201)</f>
        <v>3</v>
      </c>
      <c r="AE201" s="37">
        <f>IF(最佳化斷筋點!F201="","",最佳化斷筋點!F201)</f>
        <v>3</v>
      </c>
      <c r="AF201" s="37">
        <f>IF(最佳化斷筋點!G201="","",最佳化斷筋點!G201)</f>
        <v>3</v>
      </c>
      <c r="AG201" s="37">
        <f>IF(最佳化斷筋點!H201="","",最佳化斷筋點!H201)</f>
        <v>3</v>
      </c>
      <c r="AH201" s="37">
        <f>IF(最佳化斷筋點!I201="","",最佳化斷筋點!I201)</f>
        <v>3</v>
      </c>
      <c r="AI201" s="37">
        <f>IF(最佳化斷筋點!J201="","",最佳化斷筋點!J201)</f>
        <v>3</v>
      </c>
      <c r="AJ201" s="37">
        <f>IF(最佳化斷筋點!K201="","",最佳化斷筋點!K201)</f>
        <v>3</v>
      </c>
      <c r="AK201" s="37">
        <f>IF(最佳化斷筋點!L201="","",最佳化斷筋點!L201)</f>
        <v>3</v>
      </c>
      <c r="AL201" s="37">
        <f>IF(最佳化斷筋點!M201="","",最佳化斷筋點!M201)</f>
        <v>3</v>
      </c>
      <c r="AM201" s="37">
        <f>IF(最佳化斷筋點!N201="","",最佳化斷筋點!N201)</f>
        <v>3</v>
      </c>
      <c r="AN201" s="37">
        <f>IF(最佳化斷筋點!O201="","",最佳化斷筋點!O201)</f>
        <v>3</v>
      </c>
      <c r="AO201" s="37">
        <f>IF(最佳化斷筋點!P201="","",最佳化斷筋點!P201)</f>
        <v>3</v>
      </c>
      <c r="AP201" s="37">
        <f>IF(最佳化斷筋點!Q201="","",最佳化斷筋點!Q201)</f>
        <v>3</v>
      </c>
      <c r="AQ201" s="37">
        <f>IF(最佳化斷筋點!R201="","",最佳化斷筋點!R201)</f>
        <v>3</v>
      </c>
      <c r="AR201" s="37">
        <f>IF(最佳化斷筋點!S201="","",最佳化斷筋點!S201)</f>
        <v>3</v>
      </c>
      <c r="AS201" s="37">
        <f>IF(最佳化斷筋點!T201="","",最佳化斷筋點!T201)</f>
        <v>4</v>
      </c>
      <c r="AT201" s="37">
        <f>IF(最佳化斷筋點!U201="","",最佳化斷筋點!U201)</f>
        <v>4</v>
      </c>
      <c r="AU201" s="37">
        <f>IF(最佳化斷筋點!V201="","",最佳化斷筋點!V201)</f>
        <v>4</v>
      </c>
      <c r="AV201" s="37">
        <f>IF(最佳化斷筋點!W201="","",最佳化斷筋點!W201)</f>
        <v>4</v>
      </c>
      <c r="AW201" s="37">
        <f>IF(最佳化斷筋點!X201="","",最佳化斷筋點!X201)</f>
        <v>4</v>
      </c>
      <c r="AY201" s="6" t="s">
        <v>21</v>
      </c>
      <c r="AZ201" s="37">
        <v>3</v>
      </c>
      <c r="BA201" s="37">
        <v>3</v>
      </c>
      <c r="BB201" s="37">
        <v>3</v>
      </c>
      <c r="BC201" s="37">
        <v>3</v>
      </c>
      <c r="BD201" s="37">
        <v>3</v>
      </c>
      <c r="BE201" s="37">
        <v>3</v>
      </c>
      <c r="BF201" s="37">
        <v>3</v>
      </c>
      <c r="BG201" s="37">
        <v>3</v>
      </c>
      <c r="BH201" s="37">
        <v>3</v>
      </c>
      <c r="BI201" s="37">
        <v>3</v>
      </c>
      <c r="BJ201" s="37">
        <v>3</v>
      </c>
      <c r="BK201" s="37">
        <v>3</v>
      </c>
      <c r="BL201" s="37">
        <v>3</v>
      </c>
      <c r="BM201" s="37">
        <v>3</v>
      </c>
      <c r="BN201" s="37">
        <v>3</v>
      </c>
      <c r="BO201" s="37">
        <v>3</v>
      </c>
      <c r="BP201" s="37">
        <v>4</v>
      </c>
      <c r="BQ201" s="37">
        <v>4</v>
      </c>
      <c r="BR201" s="37">
        <v>4</v>
      </c>
      <c r="BS201" s="37">
        <v>4</v>
      </c>
      <c r="BT201" s="37">
        <v>4</v>
      </c>
    </row>
    <row r="202" spans="5:72" x14ac:dyDescent="0.25">
      <c r="F202" s="6">
        <f t="shared" si="64"/>
        <v>0</v>
      </c>
      <c r="G202" s="6">
        <f t="shared" si="65"/>
        <v>0</v>
      </c>
      <c r="H202" s="6">
        <f t="shared" si="66"/>
        <v>0</v>
      </c>
      <c r="I202" s="6">
        <f t="shared" si="67"/>
        <v>0</v>
      </c>
      <c r="J202" s="6">
        <f t="shared" si="68"/>
        <v>0</v>
      </c>
      <c r="K202" s="6">
        <f t="shared" si="69"/>
        <v>0</v>
      </c>
      <c r="L202" s="6">
        <f t="shared" si="70"/>
        <v>0</v>
      </c>
      <c r="M202" s="6">
        <f t="shared" si="71"/>
        <v>0</v>
      </c>
      <c r="N202" s="6">
        <f t="shared" si="72"/>
        <v>0</v>
      </c>
      <c r="O202" s="6">
        <f t="shared" si="73"/>
        <v>0</v>
      </c>
      <c r="P202" s="6">
        <f t="shared" si="74"/>
        <v>0</v>
      </c>
      <c r="Q202" s="6">
        <f t="shared" si="75"/>
        <v>0</v>
      </c>
      <c r="R202" s="6">
        <f t="shared" si="76"/>
        <v>0</v>
      </c>
      <c r="S202" s="6">
        <f t="shared" si="77"/>
        <v>0</v>
      </c>
      <c r="T202" s="6">
        <f t="shared" si="78"/>
        <v>0</v>
      </c>
      <c r="U202" s="6">
        <f t="shared" si="79"/>
        <v>0</v>
      </c>
      <c r="V202" s="6">
        <f t="shared" si="80"/>
        <v>0</v>
      </c>
      <c r="W202" s="6">
        <f t="shared" si="81"/>
        <v>0</v>
      </c>
      <c r="X202" s="6">
        <f t="shared" si="82"/>
        <v>0</v>
      </c>
      <c r="Y202" s="6">
        <f t="shared" si="83"/>
        <v>0</v>
      </c>
      <c r="Z202" s="6">
        <f t="shared" si="84"/>
        <v>0</v>
      </c>
      <c r="AB202" s="36" t="str">
        <f>IF(最佳化斷筋點!C202="","",最佳化斷筋點!C202)</f>
        <v/>
      </c>
      <c r="AC202" s="37" t="str">
        <f>IF(最佳化斷筋點!D202="","",最佳化斷筋點!D202)</f>
        <v/>
      </c>
      <c r="AD202" s="37" t="str">
        <f>IF(最佳化斷筋點!E202="","",最佳化斷筋點!E202)</f>
        <v/>
      </c>
      <c r="AE202" s="37" t="str">
        <f>IF(最佳化斷筋點!F202="","",最佳化斷筋點!F202)</f>
        <v/>
      </c>
      <c r="AF202" s="37" t="str">
        <f>IF(最佳化斷筋點!G202="","",最佳化斷筋點!G202)</f>
        <v/>
      </c>
      <c r="AG202" s="37" t="str">
        <f>IF(最佳化斷筋點!H202="","",最佳化斷筋點!H202)</f>
        <v/>
      </c>
      <c r="AH202" s="37" t="str">
        <f>IF(最佳化斷筋點!I202="","",最佳化斷筋點!I202)</f>
        <v/>
      </c>
      <c r="AI202" s="37" t="str">
        <f>IF(最佳化斷筋點!J202="","",最佳化斷筋點!J202)</f>
        <v/>
      </c>
      <c r="AJ202" s="37" t="str">
        <f>IF(最佳化斷筋點!K202="","",最佳化斷筋點!K202)</f>
        <v/>
      </c>
      <c r="AK202" s="37" t="str">
        <f>IF(最佳化斷筋點!L202="","",最佳化斷筋點!L202)</f>
        <v/>
      </c>
      <c r="AL202" s="37" t="str">
        <f>IF(最佳化斷筋點!M202="","",最佳化斷筋點!M202)</f>
        <v/>
      </c>
      <c r="AM202" s="37" t="str">
        <f>IF(最佳化斷筋點!N202="","",最佳化斷筋點!N202)</f>
        <v/>
      </c>
      <c r="AN202" s="37" t="str">
        <f>IF(最佳化斷筋點!O202="","",最佳化斷筋點!O202)</f>
        <v/>
      </c>
      <c r="AO202" s="37" t="str">
        <f>IF(最佳化斷筋點!P202="","",最佳化斷筋點!P202)</f>
        <v/>
      </c>
      <c r="AP202" s="37" t="str">
        <f>IF(最佳化斷筋點!Q202="","",最佳化斷筋點!Q202)</f>
        <v/>
      </c>
      <c r="AQ202" s="37" t="str">
        <f>IF(最佳化斷筋點!R202="","",最佳化斷筋點!R202)</f>
        <v/>
      </c>
      <c r="AR202" s="37" t="str">
        <f>IF(最佳化斷筋點!S202="","",最佳化斷筋點!S202)</f>
        <v/>
      </c>
      <c r="AS202" s="37" t="str">
        <f>IF(最佳化斷筋點!T202="","",最佳化斷筋點!T202)</f>
        <v/>
      </c>
      <c r="AT202" s="37" t="str">
        <f>IF(最佳化斷筋點!U202="","",最佳化斷筋點!U202)</f>
        <v/>
      </c>
      <c r="AU202" s="37" t="str">
        <f>IF(最佳化斷筋點!V202="","",最佳化斷筋點!V202)</f>
        <v/>
      </c>
      <c r="AV202" s="37" t="str">
        <f>IF(最佳化斷筋點!W202="","",最佳化斷筋點!W202)</f>
        <v/>
      </c>
      <c r="AW202" s="37" t="str">
        <f>IF(最佳化斷筋點!X202="","",最佳化斷筋點!X202)</f>
        <v/>
      </c>
      <c r="AZ202" s="37" t="s">
        <v>197</v>
      </c>
      <c r="BA202" s="37" t="s">
        <v>197</v>
      </c>
      <c r="BB202" s="37" t="s">
        <v>197</v>
      </c>
      <c r="BC202" s="37" t="s">
        <v>197</v>
      </c>
      <c r="BD202" s="37" t="s">
        <v>197</v>
      </c>
      <c r="BE202" s="37" t="s">
        <v>197</v>
      </c>
      <c r="BF202" s="37" t="s">
        <v>197</v>
      </c>
      <c r="BG202" s="37" t="s">
        <v>197</v>
      </c>
      <c r="BH202" s="37" t="s">
        <v>197</v>
      </c>
      <c r="BI202" s="37" t="s">
        <v>197</v>
      </c>
      <c r="BJ202" s="37" t="s">
        <v>197</v>
      </c>
      <c r="BK202" s="37" t="s">
        <v>197</v>
      </c>
      <c r="BL202" s="37" t="s">
        <v>197</v>
      </c>
      <c r="BM202" s="37" t="s">
        <v>197</v>
      </c>
      <c r="BN202" s="37" t="s">
        <v>197</v>
      </c>
      <c r="BO202" s="37" t="s">
        <v>197</v>
      </c>
      <c r="BP202" s="37" t="s">
        <v>197</v>
      </c>
      <c r="BQ202" s="37" t="s">
        <v>197</v>
      </c>
      <c r="BR202" s="37" t="s">
        <v>197</v>
      </c>
      <c r="BS202" s="37" t="s">
        <v>197</v>
      </c>
      <c r="BT202" s="37" t="s">
        <v>197</v>
      </c>
    </row>
    <row r="203" spans="5:72" x14ac:dyDescent="0.25">
      <c r="E203" s="6" t="s">
        <v>20</v>
      </c>
      <c r="F203" s="6">
        <f t="shared" si="64"/>
        <v>0</v>
      </c>
      <c r="G203" s="6">
        <f t="shared" si="65"/>
        <v>0</v>
      </c>
      <c r="H203" s="6">
        <f t="shared" si="66"/>
        <v>0</v>
      </c>
      <c r="I203" s="6">
        <f t="shared" si="67"/>
        <v>0</v>
      </c>
      <c r="J203" s="6">
        <f t="shared" si="68"/>
        <v>0</v>
      </c>
      <c r="K203" s="6">
        <f t="shared" si="69"/>
        <v>0</v>
      </c>
      <c r="L203" s="6">
        <f t="shared" si="70"/>
        <v>0</v>
      </c>
      <c r="M203" s="6">
        <f t="shared" si="71"/>
        <v>0</v>
      </c>
      <c r="N203" s="6">
        <f t="shared" si="72"/>
        <v>0</v>
      </c>
      <c r="O203" s="6">
        <f t="shared" si="73"/>
        <v>0</v>
      </c>
      <c r="P203" s="6">
        <f t="shared" si="74"/>
        <v>0</v>
      </c>
      <c r="Q203" s="6">
        <f t="shared" si="75"/>
        <v>0</v>
      </c>
      <c r="R203" s="6">
        <f t="shared" si="76"/>
        <v>0</v>
      </c>
      <c r="S203" s="6">
        <f t="shared" si="77"/>
        <v>0</v>
      </c>
      <c r="T203" s="6">
        <f t="shared" si="78"/>
        <v>0</v>
      </c>
      <c r="U203" s="6">
        <f t="shared" si="79"/>
        <v>0</v>
      </c>
      <c r="V203" s="6">
        <f t="shared" si="80"/>
        <v>0</v>
      </c>
      <c r="W203" s="6">
        <f t="shared" si="81"/>
        <v>0</v>
      </c>
      <c r="X203" s="6">
        <f t="shared" si="82"/>
        <v>0</v>
      </c>
      <c r="Y203" s="6">
        <f t="shared" si="83"/>
        <v>0</v>
      </c>
      <c r="Z203" s="6">
        <f t="shared" si="84"/>
        <v>0</v>
      </c>
      <c r="AB203" s="36" t="str">
        <f>IF(最佳化斷筋點!C203="","",最佳化斷筋點!C203)</f>
        <v>上層</v>
      </c>
      <c r="AC203" s="37">
        <f>IF(最佳化斷筋點!D203="","",最佳化斷筋點!D203)</f>
        <v>8</v>
      </c>
      <c r="AD203" s="37">
        <f>IF(最佳化斷筋點!E203="","",最佳化斷筋點!E203)</f>
        <v>8</v>
      </c>
      <c r="AE203" s="37">
        <f>IF(最佳化斷筋點!F203="","",最佳化斷筋點!F203)</f>
        <v>8</v>
      </c>
      <c r="AF203" s="37">
        <f>IF(最佳化斷筋點!G203="","",最佳化斷筋點!G203)</f>
        <v>8</v>
      </c>
      <c r="AG203" s="37">
        <f>IF(最佳化斷筋點!H203="","",最佳化斷筋點!H203)</f>
        <v>8</v>
      </c>
      <c r="AH203" s="37">
        <f>IF(最佳化斷筋點!I203="","",最佳化斷筋點!I203)</f>
        <v>8</v>
      </c>
      <c r="AI203" s="37">
        <f>IF(最佳化斷筋點!J203="","",最佳化斷筋點!J203)</f>
        <v>7</v>
      </c>
      <c r="AJ203" s="37">
        <f>IF(最佳化斷筋點!K203="","",最佳化斷筋點!K203)</f>
        <v>3</v>
      </c>
      <c r="AK203" s="37">
        <f>IF(最佳化斷筋點!L203="","",最佳化斷筋點!L203)</f>
        <v>3</v>
      </c>
      <c r="AL203" s="37">
        <f>IF(最佳化斷筋點!M203="","",最佳化斷筋點!M203)</f>
        <v>3</v>
      </c>
      <c r="AM203" s="37">
        <f>IF(最佳化斷筋點!N203="","",最佳化斷筋點!N203)</f>
        <v>3</v>
      </c>
      <c r="AN203" s="37">
        <f>IF(最佳化斷筋點!O203="","",最佳化斷筋點!O203)</f>
        <v>3</v>
      </c>
      <c r="AO203" s="37">
        <f>IF(最佳化斷筋點!P203="","",最佳化斷筋點!P203)</f>
        <v>3</v>
      </c>
      <c r="AP203" s="37">
        <f>IF(最佳化斷筋點!Q203="","",最佳化斷筋點!Q203)</f>
        <v>3</v>
      </c>
      <c r="AQ203" s="37">
        <f>IF(最佳化斷筋點!R203="","",最佳化斷筋點!R203)</f>
        <v>4</v>
      </c>
      <c r="AR203" s="37">
        <f>IF(最佳化斷筋點!S203="","",最佳化斷筋點!S203)</f>
        <v>4</v>
      </c>
      <c r="AS203" s="37">
        <f>IF(最佳化斷筋點!T203="","",最佳化斷筋點!T203)</f>
        <v>5</v>
      </c>
      <c r="AT203" s="37">
        <f>IF(最佳化斷筋點!U203="","",最佳化斷筋點!U203)</f>
        <v>5</v>
      </c>
      <c r="AU203" s="37">
        <f>IF(最佳化斷筋點!V203="","",最佳化斷筋點!V203)</f>
        <v>5</v>
      </c>
      <c r="AV203" s="37">
        <f>IF(最佳化斷筋點!W203="","",最佳化斷筋點!W203)</f>
        <v>5</v>
      </c>
      <c r="AW203" s="37">
        <f>IF(最佳化斷筋點!X203="","",最佳化斷筋點!X203)</f>
        <v>5</v>
      </c>
      <c r="AY203" s="6" t="s">
        <v>20</v>
      </c>
      <c r="AZ203" s="37">
        <v>8</v>
      </c>
      <c r="BA203" s="37">
        <v>8</v>
      </c>
      <c r="BB203" s="37">
        <v>8</v>
      </c>
      <c r="BC203" s="37">
        <v>8</v>
      </c>
      <c r="BD203" s="37">
        <v>8</v>
      </c>
      <c r="BE203" s="37">
        <v>8</v>
      </c>
      <c r="BF203" s="37">
        <v>7</v>
      </c>
      <c r="BG203" s="37">
        <v>3</v>
      </c>
      <c r="BH203" s="37">
        <v>3</v>
      </c>
      <c r="BI203" s="37">
        <v>3</v>
      </c>
      <c r="BJ203" s="37">
        <v>3</v>
      </c>
      <c r="BK203" s="37">
        <v>3</v>
      </c>
      <c r="BL203" s="37">
        <v>3</v>
      </c>
      <c r="BM203" s="37">
        <v>3</v>
      </c>
      <c r="BN203" s="37">
        <v>4</v>
      </c>
      <c r="BO203" s="37">
        <v>4</v>
      </c>
      <c r="BP203" s="37">
        <v>5</v>
      </c>
      <c r="BQ203" s="37">
        <v>5</v>
      </c>
      <c r="BR203" s="37">
        <v>5</v>
      </c>
      <c r="BS203" s="37">
        <v>5</v>
      </c>
      <c r="BT203" s="37">
        <v>5</v>
      </c>
    </row>
    <row r="204" spans="5:72" x14ac:dyDescent="0.25">
      <c r="F204" s="6">
        <f t="shared" si="64"/>
        <v>0</v>
      </c>
      <c r="G204" s="6">
        <f t="shared" si="65"/>
        <v>0</v>
      </c>
      <c r="H204" s="6">
        <f t="shared" si="66"/>
        <v>0</v>
      </c>
      <c r="I204" s="6">
        <f t="shared" si="67"/>
        <v>0</v>
      </c>
      <c r="J204" s="6">
        <f t="shared" si="68"/>
        <v>0</v>
      </c>
      <c r="K204" s="6">
        <f t="shared" si="69"/>
        <v>0</v>
      </c>
      <c r="L204" s="6">
        <f t="shared" si="70"/>
        <v>0</v>
      </c>
      <c r="M204" s="6">
        <f t="shared" si="71"/>
        <v>0</v>
      </c>
      <c r="N204" s="6">
        <f t="shared" si="72"/>
        <v>0</v>
      </c>
      <c r="O204" s="6">
        <f t="shared" si="73"/>
        <v>0</v>
      </c>
      <c r="P204" s="6">
        <f t="shared" si="74"/>
        <v>0</v>
      </c>
      <c r="Q204" s="6">
        <f t="shared" si="75"/>
        <v>0</v>
      </c>
      <c r="R204" s="6">
        <f t="shared" si="76"/>
        <v>0</v>
      </c>
      <c r="S204" s="6">
        <f t="shared" si="77"/>
        <v>0</v>
      </c>
      <c r="T204" s="6">
        <f t="shared" si="78"/>
        <v>0</v>
      </c>
      <c r="U204" s="6">
        <f t="shared" si="79"/>
        <v>0</v>
      </c>
      <c r="V204" s="6">
        <f t="shared" si="80"/>
        <v>0</v>
      </c>
      <c r="W204" s="6">
        <f t="shared" si="81"/>
        <v>0</v>
      </c>
      <c r="X204" s="6">
        <f t="shared" si="82"/>
        <v>0</v>
      </c>
      <c r="Y204" s="6">
        <f t="shared" si="83"/>
        <v>0</v>
      </c>
      <c r="Z204" s="6">
        <f t="shared" si="84"/>
        <v>0</v>
      </c>
      <c r="AB204" s="36" t="str">
        <f>IF(最佳化斷筋點!C204="","",最佳化斷筋點!C204)</f>
        <v/>
      </c>
      <c r="AC204" s="37" t="str">
        <f>IF(最佳化斷筋點!D204="","",最佳化斷筋點!D204)</f>
        <v/>
      </c>
      <c r="AD204" s="37" t="str">
        <f>IF(最佳化斷筋點!E204="","",最佳化斷筋點!E204)</f>
        <v/>
      </c>
      <c r="AE204" s="37" t="str">
        <f>IF(最佳化斷筋點!F204="","",最佳化斷筋點!F204)</f>
        <v/>
      </c>
      <c r="AF204" s="37" t="str">
        <f>IF(最佳化斷筋點!G204="","",最佳化斷筋點!G204)</f>
        <v/>
      </c>
      <c r="AG204" s="37" t="str">
        <f>IF(最佳化斷筋點!H204="","",最佳化斷筋點!H204)</f>
        <v/>
      </c>
      <c r="AH204" s="37" t="str">
        <f>IF(最佳化斷筋點!I204="","",最佳化斷筋點!I204)</f>
        <v/>
      </c>
      <c r="AI204" s="37" t="str">
        <f>IF(最佳化斷筋點!J204="","",最佳化斷筋點!J204)</f>
        <v/>
      </c>
      <c r="AJ204" s="37" t="str">
        <f>IF(最佳化斷筋點!K204="","",最佳化斷筋點!K204)</f>
        <v/>
      </c>
      <c r="AK204" s="37" t="str">
        <f>IF(最佳化斷筋點!L204="","",最佳化斷筋點!L204)</f>
        <v/>
      </c>
      <c r="AL204" s="37" t="str">
        <f>IF(最佳化斷筋點!M204="","",最佳化斷筋點!M204)</f>
        <v/>
      </c>
      <c r="AM204" s="37" t="str">
        <f>IF(最佳化斷筋點!N204="","",最佳化斷筋點!N204)</f>
        <v/>
      </c>
      <c r="AN204" s="37" t="str">
        <f>IF(最佳化斷筋點!O204="","",最佳化斷筋點!O204)</f>
        <v/>
      </c>
      <c r="AO204" s="37" t="str">
        <f>IF(最佳化斷筋點!P204="","",最佳化斷筋點!P204)</f>
        <v/>
      </c>
      <c r="AP204" s="37" t="str">
        <f>IF(最佳化斷筋點!Q204="","",最佳化斷筋點!Q204)</f>
        <v/>
      </c>
      <c r="AQ204" s="37" t="str">
        <f>IF(最佳化斷筋點!R204="","",最佳化斷筋點!R204)</f>
        <v/>
      </c>
      <c r="AR204" s="37" t="str">
        <f>IF(最佳化斷筋點!S204="","",最佳化斷筋點!S204)</f>
        <v/>
      </c>
      <c r="AS204" s="37" t="str">
        <f>IF(最佳化斷筋點!T204="","",最佳化斷筋點!T204)</f>
        <v/>
      </c>
      <c r="AT204" s="37" t="str">
        <f>IF(最佳化斷筋點!U204="","",最佳化斷筋點!U204)</f>
        <v/>
      </c>
      <c r="AU204" s="37" t="str">
        <f>IF(最佳化斷筋點!V204="","",最佳化斷筋點!V204)</f>
        <v/>
      </c>
      <c r="AV204" s="37" t="str">
        <f>IF(最佳化斷筋點!W204="","",最佳化斷筋點!W204)</f>
        <v/>
      </c>
      <c r="AW204" s="37" t="str">
        <f>IF(最佳化斷筋點!X204="","",最佳化斷筋點!X204)</f>
        <v/>
      </c>
      <c r="AZ204" s="37" t="s">
        <v>197</v>
      </c>
      <c r="BA204" s="37" t="s">
        <v>197</v>
      </c>
      <c r="BB204" s="37" t="s">
        <v>197</v>
      </c>
      <c r="BC204" s="37" t="s">
        <v>197</v>
      </c>
      <c r="BD204" s="37" t="s">
        <v>197</v>
      </c>
      <c r="BE204" s="37" t="s">
        <v>197</v>
      </c>
      <c r="BF204" s="37" t="s">
        <v>197</v>
      </c>
      <c r="BG204" s="37" t="s">
        <v>197</v>
      </c>
      <c r="BH204" s="37" t="s">
        <v>197</v>
      </c>
      <c r="BI204" s="37" t="s">
        <v>197</v>
      </c>
      <c r="BJ204" s="37" t="s">
        <v>197</v>
      </c>
      <c r="BK204" s="37" t="s">
        <v>197</v>
      </c>
      <c r="BL204" s="37" t="s">
        <v>197</v>
      </c>
      <c r="BM204" s="37" t="s">
        <v>197</v>
      </c>
      <c r="BN204" s="37" t="s">
        <v>197</v>
      </c>
      <c r="BO204" s="37" t="s">
        <v>197</v>
      </c>
      <c r="BP204" s="37" t="s">
        <v>197</v>
      </c>
      <c r="BQ204" s="37" t="s">
        <v>197</v>
      </c>
      <c r="BR204" s="37" t="s">
        <v>197</v>
      </c>
      <c r="BS204" s="37" t="s">
        <v>197</v>
      </c>
      <c r="BT204" s="37" t="s">
        <v>197</v>
      </c>
    </row>
    <row r="205" spans="5:72" x14ac:dyDescent="0.25">
      <c r="E205" s="6" t="s">
        <v>21</v>
      </c>
      <c r="F205" s="6">
        <f t="shared" si="64"/>
        <v>0</v>
      </c>
      <c r="G205" s="6">
        <f t="shared" si="65"/>
        <v>0</v>
      </c>
      <c r="H205" s="6">
        <f t="shared" si="66"/>
        <v>0</v>
      </c>
      <c r="I205" s="6">
        <f t="shared" si="67"/>
        <v>0</v>
      </c>
      <c r="J205" s="6">
        <f t="shared" si="68"/>
        <v>0</v>
      </c>
      <c r="K205" s="6">
        <f t="shared" si="69"/>
        <v>0</v>
      </c>
      <c r="L205" s="6">
        <f t="shared" si="70"/>
        <v>0</v>
      </c>
      <c r="M205" s="6">
        <f t="shared" si="71"/>
        <v>0</v>
      </c>
      <c r="N205" s="6">
        <f t="shared" si="72"/>
        <v>0</v>
      </c>
      <c r="O205" s="6">
        <f t="shared" si="73"/>
        <v>0</v>
      </c>
      <c r="P205" s="6">
        <f t="shared" si="74"/>
        <v>0</v>
      </c>
      <c r="Q205" s="6">
        <f t="shared" si="75"/>
        <v>0</v>
      </c>
      <c r="R205" s="6">
        <f t="shared" si="76"/>
        <v>0</v>
      </c>
      <c r="S205" s="6">
        <f t="shared" si="77"/>
        <v>0</v>
      </c>
      <c r="T205" s="6">
        <f t="shared" si="78"/>
        <v>0</v>
      </c>
      <c r="U205" s="6">
        <f t="shared" si="79"/>
        <v>0</v>
      </c>
      <c r="V205" s="6">
        <f t="shared" si="80"/>
        <v>0</v>
      </c>
      <c r="W205" s="6">
        <f t="shared" si="81"/>
        <v>0</v>
      </c>
      <c r="X205" s="6">
        <f t="shared" si="82"/>
        <v>0</v>
      </c>
      <c r="Y205" s="6">
        <f t="shared" si="83"/>
        <v>0</v>
      </c>
      <c r="Z205" s="6">
        <f t="shared" si="84"/>
        <v>0</v>
      </c>
      <c r="AB205" s="36" t="str">
        <f>IF(最佳化斷筋點!C205="","",最佳化斷筋點!C205)</f>
        <v>下層</v>
      </c>
      <c r="AC205" s="37">
        <f>IF(最佳化斷筋點!D205="","",最佳化斷筋點!D205)</f>
        <v>4</v>
      </c>
      <c r="AD205" s="37">
        <f>IF(最佳化斷筋點!E205="","",最佳化斷筋點!E205)</f>
        <v>4</v>
      </c>
      <c r="AE205" s="37">
        <f>IF(最佳化斷筋點!F205="","",最佳化斷筋點!F205)</f>
        <v>4</v>
      </c>
      <c r="AF205" s="37">
        <f>IF(最佳化斷筋點!G205="","",最佳化斷筋點!G205)</f>
        <v>4</v>
      </c>
      <c r="AG205" s="37">
        <f>IF(最佳化斷筋點!H205="","",最佳化斷筋點!H205)</f>
        <v>4</v>
      </c>
      <c r="AH205" s="37">
        <f>IF(最佳化斷筋點!I205="","",最佳化斷筋點!I205)</f>
        <v>4</v>
      </c>
      <c r="AI205" s="37">
        <f>IF(最佳化斷筋點!J205="","",最佳化斷筋點!J205)</f>
        <v>3</v>
      </c>
      <c r="AJ205" s="37">
        <f>IF(最佳化斷筋點!K205="","",最佳化斷筋點!K205)</f>
        <v>3</v>
      </c>
      <c r="AK205" s="37">
        <f>IF(最佳化斷筋點!L205="","",最佳化斷筋點!L205)</f>
        <v>3</v>
      </c>
      <c r="AL205" s="37">
        <f>IF(最佳化斷筋點!M205="","",最佳化斷筋點!M205)</f>
        <v>3</v>
      </c>
      <c r="AM205" s="37">
        <f>IF(最佳化斷筋點!N205="","",最佳化斷筋點!N205)</f>
        <v>3</v>
      </c>
      <c r="AN205" s="37">
        <f>IF(最佳化斷筋點!O205="","",最佳化斷筋點!O205)</f>
        <v>3</v>
      </c>
      <c r="AO205" s="37">
        <f>IF(最佳化斷筋點!P205="","",最佳化斷筋點!P205)</f>
        <v>3</v>
      </c>
      <c r="AP205" s="37">
        <f>IF(最佳化斷筋點!Q205="","",最佳化斷筋點!Q205)</f>
        <v>4</v>
      </c>
      <c r="AQ205" s="37">
        <f>IF(最佳化斷筋點!R205="","",最佳化斷筋點!R205)</f>
        <v>4</v>
      </c>
      <c r="AR205" s="37">
        <f>IF(最佳化斷筋點!S205="","",最佳化斷筋點!S205)</f>
        <v>5</v>
      </c>
      <c r="AS205" s="37">
        <f>IF(最佳化斷筋點!T205="","",最佳化斷筋點!T205)</f>
        <v>5</v>
      </c>
      <c r="AT205" s="37">
        <f>IF(最佳化斷筋點!U205="","",最佳化斷筋點!U205)</f>
        <v>6</v>
      </c>
      <c r="AU205" s="37">
        <f>IF(最佳化斷筋點!V205="","",最佳化斷筋點!V205)</f>
        <v>6</v>
      </c>
      <c r="AV205" s="37">
        <f>IF(最佳化斷筋點!W205="","",最佳化斷筋點!W205)</f>
        <v>6</v>
      </c>
      <c r="AW205" s="37">
        <f>IF(最佳化斷筋點!X205="","",最佳化斷筋點!X205)</f>
        <v>6</v>
      </c>
      <c r="AY205" s="6" t="s">
        <v>21</v>
      </c>
      <c r="AZ205" s="37">
        <v>4</v>
      </c>
      <c r="BA205" s="37">
        <v>4</v>
      </c>
      <c r="BB205" s="37">
        <v>4</v>
      </c>
      <c r="BC205" s="37">
        <v>4</v>
      </c>
      <c r="BD205" s="37">
        <v>4</v>
      </c>
      <c r="BE205" s="37">
        <v>4</v>
      </c>
      <c r="BF205" s="37">
        <v>3</v>
      </c>
      <c r="BG205" s="37">
        <v>3</v>
      </c>
      <c r="BH205" s="37">
        <v>3</v>
      </c>
      <c r="BI205" s="37">
        <v>3</v>
      </c>
      <c r="BJ205" s="37">
        <v>3</v>
      </c>
      <c r="BK205" s="37">
        <v>3</v>
      </c>
      <c r="BL205" s="37">
        <v>3</v>
      </c>
      <c r="BM205" s="37">
        <v>4</v>
      </c>
      <c r="BN205" s="37">
        <v>4</v>
      </c>
      <c r="BO205" s="37">
        <v>5</v>
      </c>
      <c r="BP205" s="37">
        <v>5</v>
      </c>
      <c r="BQ205" s="37">
        <v>6</v>
      </c>
      <c r="BR205" s="37">
        <v>6</v>
      </c>
      <c r="BS205" s="37">
        <v>6</v>
      </c>
      <c r="BT205" s="37">
        <v>6</v>
      </c>
    </row>
    <row r="206" spans="5:72" x14ac:dyDescent="0.25">
      <c r="F206" s="6">
        <f t="shared" si="64"/>
        <v>0</v>
      </c>
      <c r="G206" s="6">
        <f t="shared" si="65"/>
        <v>0</v>
      </c>
      <c r="H206" s="6">
        <f t="shared" si="66"/>
        <v>0</v>
      </c>
      <c r="I206" s="6">
        <f t="shared" si="67"/>
        <v>0</v>
      </c>
      <c r="J206" s="6">
        <f t="shared" si="68"/>
        <v>0</v>
      </c>
      <c r="K206" s="6">
        <f t="shared" si="69"/>
        <v>0</v>
      </c>
      <c r="L206" s="6">
        <f t="shared" si="70"/>
        <v>0</v>
      </c>
      <c r="M206" s="6">
        <f t="shared" si="71"/>
        <v>0</v>
      </c>
      <c r="N206" s="6">
        <f t="shared" si="72"/>
        <v>0</v>
      </c>
      <c r="O206" s="6">
        <f t="shared" si="73"/>
        <v>0</v>
      </c>
      <c r="P206" s="6">
        <f t="shared" si="74"/>
        <v>0</v>
      </c>
      <c r="Q206" s="6">
        <f t="shared" si="75"/>
        <v>0</v>
      </c>
      <c r="R206" s="6">
        <f t="shared" si="76"/>
        <v>0</v>
      </c>
      <c r="S206" s="6">
        <f t="shared" si="77"/>
        <v>0</v>
      </c>
      <c r="T206" s="6">
        <f t="shared" si="78"/>
        <v>0</v>
      </c>
      <c r="U206" s="6">
        <f t="shared" si="79"/>
        <v>0</v>
      </c>
      <c r="V206" s="6">
        <f t="shared" si="80"/>
        <v>0</v>
      </c>
      <c r="W206" s="6">
        <f t="shared" si="81"/>
        <v>0</v>
      </c>
      <c r="X206" s="6">
        <f t="shared" si="82"/>
        <v>0</v>
      </c>
      <c r="Y206" s="6">
        <f t="shared" si="83"/>
        <v>0</v>
      </c>
      <c r="Z206" s="6">
        <f t="shared" si="84"/>
        <v>0</v>
      </c>
      <c r="AB206" s="36" t="str">
        <f>IF(最佳化斷筋點!C206="","",最佳化斷筋點!C206)</f>
        <v/>
      </c>
      <c r="AC206" s="37" t="str">
        <f>IF(最佳化斷筋點!D206="","",最佳化斷筋點!D206)</f>
        <v/>
      </c>
      <c r="AD206" s="37" t="str">
        <f>IF(最佳化斷筋點!E206="","",最佳化斷筋點!E206)</f>
        <v/>
      </c>
      <c r="AE206" s="37" t="str">
        <f>IF(最佳化斷筋點!F206="","",最佳化斷筋點!F206)</f>
        <v/>
      </c>
      <c r="AF206" s="37" t="str">
        <f>IF(最佳化斷筋點!G206="","",最佳化斷筋點!G206)</f>
        <v/>
      </c>
      <c r="AG206" s="37" t="str">
        <f>IF(最佳化斷筋點!H206="","",最佳化斷筋點!H206)</f>
        <v/>
      </c>
      <c r="AH206" s="37" t="str">
        <f>IF(最佳化斷筋點!I206="","",最佳化斷筋點!I206)</f>
        <v/>
      </c>
      <c r="AI206" s="37" t="str">
        <f>IF(最佳化斷筋點!J206="","",最佳化斷筋點!J206)</f>
        <v/>
      </c>
      <c r="AJ206" s="37" t="str">
        <f>IF(最佳化斷筋點!K206="","",最佳化斷筋點!K206)</f>
        <v/>
      </c>
      <c r="AK206" s="37" t="str">
        <f>IF(最佳化斷筋點!L206="","",最佳化斷筋點!L206)</f>
        <v/>
      </c>
      <c r="AL206" s="37" t="str">
        <f>IF(最佳化斷筋點!M206="","",最佳化斷筋點!M206)</f>
        <v/>
      </c>
      <c r="AM206" s="37" t="str">
        <f>IF(最佳化斷筋點!N206="","",最佳化斷筋點!N206)</f>
        <v/>
      </c>
      <c r="AN206" s="37" t="str">
        <f>IF(最佳化斷筋點!O206="","",最佳化斷筋點!O206)</f>
        <v/>
      </c>
      <c r="AO206" s="37" t="str">
        <f>IF(最佳化斷筋點!P206="","",最佳化斷筋點!P206)</f>
        <v/>
      </c>
      <c r="AP206" s="37" t="str">
        <f>IF(最佳化斷筋點!Q206="","",最佳化斷筋點!Q206)</f>
        <v/>
      </c>
      <c r="AQ206" s="37" t="str">
        <f>IF(最佳化斷筋點!R206="","",最佳化斷筋點!R206)</f>
        <v/>
      </c>
      <c r="AR206" s="37" t="str">
        <f>IF(最佳化斷筋點!S206="","",最佳化斷筋點!S206)</f>
        <v/>
      </c>
      <c r="AS206" s="37" t="str">
        <f>IF(最佳化斷筋點!T206="","",最佳化斷筋點!T206)</f>
        <v/>
      </c>
      <c r="AT206" s="37" t="str">
        <f>IF(最佳化斷筋點!U206="","",最佳化斷筋點!U206)</f>
        <v/>
      </c>
      <c r="AU206" s="37" t="str">
        <f>IF(最佳化斷筋點!V206="","",最佳化斷筋點!V206)</f>
        <v/>
      </c>
      <c r="AV206" s="37" t="str">
        <f>IF(最佳化斷筋點!W206="","",最佳化斷筋點!W206)</f>
        <v/>
      </c>
      <c r="AW206" s="37" t="str">
        <f>IF(最佳化斷筋點!X206="","",最佳化斷筋點!X206)</f>
        <v/>
      </c>
      <c r="AZ206" s="37" t="s">
        <v>197</v>
      </c>
      <c r="BA206" s="37" t="s">
        <v>197</v>
      </c>
      <c r="BB206" s="37" t="s">
        <v>197</v>
      </c>
      <c r="BC206" s="37" t="s">
        <v>197</v>
      </c>
      <c r="BD206" s="37" t="s">
        <v>197</v>
      </c>
      <c r="BE206" s="37" t="s">
        <v>197</v>
      </c>
      <c r="BF206" s="37" t="s">
        <v>197</v>
      </c>
      <c r="BG206" s="37" t="s">
        <v>197</v>
      </c>
      <c r="BH206" s="37" t="s">
        <v>197</v>
      </c>
      <c r="BI206" s="37" t="s">
        <v>197</v>
      </c>
      <c r="BJ206" s="37" t="s">
        <v>197</v>
      </c>
      <c r="BK206" s="37" t="s">
        <v>197</v>
      </c>
      <c r="BL206" s="37" t="s">
        <v>197</v>
      </c>
      <c r="BM206" s="37" t="s">
        <v>197</v>
      </c>
      <c r="BN206" s="37" t="s">
        <v>197</v>
      </c>
      <c r="BO206" s="37" t="s">
        <v>197</v>
      </c>
      <c r="BP206" s="37" t="s">
        <v>197</v>
      </c>
      <c r="BQ206" s="37" t="s">
        <v>197</v>
      </c>
      <c r="BR206" s="37" t="s">
        <v>197</v>
      </c>
      <c r="BS206" s="37" t="s">
        <v>197</v>
      </c>
      <c r="BT206" s="37" t="s">
        <v>197</v>
      </c>
    </row>
    <row r="207" spans="5:72" x14ac:dyDescent="0.25">
      <c r="E207" s="6" t="s">
        <v>20</v>
      </c>
      <c r="F207" s="6">
        <f t="shared" si="64"/>
        <v>0</v>
      </c>
      <c r="G207" s="6">
        <f t="shared" si="65"/>
        <v>0</v>
      </c>
      <c r="H207" s="6">
        <f t="shared" si="66"/>
        <v>0</v>
      </c>
      <c r="I207" s="6">
        <f t="shared" si="67"/>
        <v>0</v>
      </c>
      <c r="J207" s="6">
        <f t="shared" si="68"/>
        <v>0</v>
      </c>
      <c r="K207" s="6">
        <f t="shared" si="69"/>
        <v>0</v>
      </c>
      <c r="L207" s="6">
        <f t="shared" si="70"/>
        <v>0</v>
      </c>
      <c r="M207" s="6">
        <f t="shared" si="71"/>
        <v>0</v>
      </c>
      <c r="N207" s="6">
        <f t="shared" si="72"/>
        <v>0</v>
      </c>
      <c r="O207" s="6">
        <f t="shared" si="73"/>
        <v>0</v>
      </c>
      <c r="P207" s="6">
        <f t="shared" si="74"/>
        <v>0</v>
      </c>
      <c r="Q207" s="6">
        <f t="shared" si="75"/>
        <v>0</v>
      </c>
      <c r="R207" s="6">
        <f t="shared" si="76"/>
        <v>0</v>
      </c>
      <c r="S207" s="6">
        <f t="shared" si="77"/>
        <v>0</v>
      </c>
      <c r="T207" s="6">
        <f t="shared" si="78"/>
        <v>0</v>
      </c>
      <c r="U207" s="6">
        <f t="shared" si="79"/>
        <v>0</v>
      </c>
      <c r="V207" s="6">
        <f t="shared" si="80"/>
        <v>0</v>
      </c>
      <c r="W207" s="6">
        <f t="shared" si="81"/>
        <v>0</v>
      </c>
      <c r="X207" s="6">
        <f t="shared" si="82"/>
        <v>0</v>
      </c>
      <c r="Y207" s="6">
        <f t="shared" si="83"/>
        <v>0</v>
      </c>
      <c r="Z207" s="6">
        <f t="shared" si="84"/>
        <v>0</v>
      </c>
      <c r="AB207" s="36" t="str">
        <f>IF(最佳化斷筋點!C207="","",最佳化斷筋點!C207)</f>
        <v>上層</v>
      </c>
      <c r="AC207" s="37">
        <f>IF(最佳化斷筋點!D207="","",最佳化斷筋點!D207)</f>
        <v>7</v>
      </c>
      <c r="AD207" s="37">
        <f>IF(最佳化斷筋點!E207="","",最佳化斷筋點!E207)</f>
        <v>7</v>
      </c>
      <c r="AE207" s="37">
        <f>IF(最佳化斷筋點!F207="","",最佳化斷筋點!F207)</f>
        <v>7</v>
      </c>
      <c r="AF207" s="37">
        <f>IF(最佳化斷筋點!G207="","",最佳化斷筋點!G207)</f>
        <v>7</v>
      </c>
      <c r="AG207" s="37">
        <f>IF(最佳化斷筋點!H207="","",最佳化斷筋點!H207)</f>
        <v>7</v>
      </c>
      <c r="AH207" s="37">
        <f>IF(最佳化斷筋點!I207="","",最佳化斷筋點!I207)</f>
        <v>7</v>
      </c>
      <c r="AI207" s="37">
        <f>IF(最佳化斷筋點!J207="","",最佳化斷筋點!J207)</f>
        <v>7</v>
      </c>
      <c r="AJ207" s="37">
        <f>IF(最佳化斷筋點!K207="","",最佳化斷筋點!K207)</f>
        <v>3</v>
      </c>
      <c r="AK207" s="37">
        <f>IF(最佳化斷筋點!L207="","",最佳化斷筋點!L207)</f>
        <v>3</v>
      </c>
      <c r="AL207" s="37">
        <f>IF(最佳化斷筋點!M207="","",最佳化斷筋點!M207)</f>
        <v>3</v>
      </c>
      <c r="AM207" s="37">
        <f>IF(最佳化斷筋點!N207="","",最佳化斷筋點!N207)</f>
        <v>3</v>
      </c>
      <c r="AN207" s="37">
        <f>IF(最佳化斷筋點!O207="","",最佳化斷筋點!O207)</f>
        <v>3</v>
      </c>
      <c r="AO207" s="37">
        <f>IF(最佳化斷筋點!P207="","",最佳化斷筋點!P207)</f>
        <v>3</v>
      </c>
      <c r="AP207" s="37">
        <f>IF(最佳化斷筋點!Q207="","",最佳化斷筋點!Q207)</f>
        <v>4</v>
      </c>
      <c r="AQ207" s="37">
        <f>IF(最佳化斷筋點!R207="","",最佳化斷筋點!R207)</f>
        <v>4</v>
      </c>
      <c r="AR207" s="37">
        <f>IF(最佳化斷筋點!S207="","",最佳化斷筋點!S207)</f>
        <v>5</v>
      </c>
      <c r="AS207" s="37">
        <f>IF(最佳化斷筋點!T207="","",最佳化斷筋點!T207)</f>
        <v>5</v>
      </c>
      <c r="AT207" s="37">
        <f>IF(最佳化斷筋點!U207="","",最佳化斷筋點!U207)</f>
        <v>5</v>
      </c>
      <c r="AU207" s="37">
        <f>IF(最佳化斷筋點!V207="","",最佳化斷筋點!V207)</f>
        <v>5</v>
      </c>
      <c r="AV207" s="37">
        <f>IF(最佳化斷筋點!W207="","",最佳化斷筋點!W207)</f>
        <v>5</v>
      </c>
      <c r="AW207" s="37">
        <f>IF(最佳化斷筋點!X207="","",最佳化斷筋點!X207)</f>
        <v>5</v>
      </c>
      <c r="AY207" s="6" t="s">
        <v>20</v>
      </c>
      <c r="AZ207" s="37">
        <v>7</v>
      </c>
      <c r="BA207" s="37">
        <v>7</v>
      </c>
      <c r="BB207" s="37">
        <v>7</v>
      </c>
      <c r="BC207" s="37">
        <v>7</v>
      </c>
      <c r="BD207" s="37">
        <v>7</v>
      </c>
      <c r="BE207" s="37">
        <v>7</v>
      </c>
      <c r="BF207" s="37">
        <v>7</v>
      </c>
      <c r="BG207" s="37">
        <v>3</v>
      </c>
      <c r="BH207" s="37">
        <v>3</v>
      </c>
      <c r="BI207" s="37">
        <v>3</v>
      </c>
      <c r="BJ207" s="37">
        <v>3</v>
      </c>
      <c r="BK207" s="37">
        <v>3</v>
      </c>
      <c r="BL207" s="37">
        <v>3</v>
      </c>
      <c r="BM207" s="37">
        <v>4</v>
      </c>
      <c r="BN207" s="37">
        <v>4</v>
      </c>
      <c r="BO207" s="37">
        <v>5</v>
      </c>
      <c r="BP207" s="37">
        <v>5</v>
      </c>
      <c r="BQ207" s="37">
        <v>5</v>
      </c>
      <c r="BR207" s="37">
        <v>5</v>
      </c>
      <c r="BS207" s="37">
        <v>5</v>
      </c>
      <c r="BT207" s="37">
        <v>5</v>
      </c>
    </row>
    <row r="208" spans="5:72" x14ac:dyDescent="0.25">
      <c r="F208" s="6">
        <f t="shared" si="64"/>
        <v>0</v>
      </c>
      <c r="G208" s="6">
        <f t="shared" si="65"/>
        <v>0</v>
      </c>
      <c r="H208" s="6">
        <f t="shared" si="66"/>
        <v>0</v>
      </c>
      <c r="I208" s="6">
        <f t="shared" si="67"/>
        <v>0</v>
      </c>
      <c r="J208" s="6">
        <f t="shared" si="68"/>
        <v>0</v>
      </c>
      <c r="K208" s="6">
        <f t="shared" si="69"/>
        <v>0</v>
      </c>
      <c r="L208" s="6">
        <f t="shared" si="70"/>
        <v>0</v>
      </c>
      <c r="M208" s="6">
        <f t="shared" si="71"/>
        <v>0</v>
      </c>
      <c r="N208" s="6">
        <f t="shared" si="72"/>
        <v>0</v>
      </c>
      <c r="O208" s="6">
        <f t="shared" si="73"/>
        <v>0</v>
      </c>
      <c r="P208" s="6">
        <f t="shared" si="74"/>
        <v>0</v>
      </c>
      <c r="Q208" s="6">
        <f t="shared" si="75"/>
        <v>0</v>
      </c>
      <c r="R208" s="6">
        <f t="shared" si="76"/>
        <v>0</v>
      </c>
      <c r="S208" s="6">
        <f t="shared" si="77"/>
        <v>0</v>
      </c>
      <c r="T208" s="6">
        <f t="shared" si="78"/>
        <v>0</v>
      </c>
      <c r="U208" s="6">
        <f t="shared" si="79"/>
        <v>0</v>
      </c>
      <c r="V208" s="6">
        <f t="shared" si="80"/>
        <v>0</v>
      </c>
      <c r="W208" s="6">
        <f t="shared" si="81"/>
        <v>0</v>
      </c>
      <c r="X208" s="6">
        <f t="shared" si="82"/>
        <v>0</v>
      </c>
      <c r="Y208" s="6">
        <f t="shared" si="83"/>
        <v>0</v>
      </c>
      <c r="Z208" s="6">
        <f t="shared" si="84"/>
        <v>0</v>
      </c>
      <c r="AB208" s="36" t="str">
        <f>IF(最佳化斷筋點!C208="","",最佳化斷筋點!C208)</f>
        <v/>
      </c>
      <c r="AC208" s="37" t="str">
        <f>IF(最佳化斷筋點!D208="","",最佳化斷筋點!D208)</f>
        <v/>
      </c>
      <c r="AD208" s="37" t="str">
        <f>IF(最佳化斷筋點!E208="","",最佳化斷筋點!E208)</f>
        <v/>
      </c>
      <c r="AE208" s="37" t="str">
        <f>IF(最佳化斷筋點!F208="","",最佳化斷筋點!F208)</f>
        <v/>
      </c>
      <c r="AF208" s="37" t="str">
        <f>IF(最佳化斷筋點!G208="","",最佳化斷筋點!G208)</f>
        <v/>
      </c>
      <c r="AG208" s="37" t="str">
        <f>IF(最佳化斷筋點!H208="","",最佳化斷筋點!H208)</f>
        <v/>
      </c>
      <c r="AH208" s="37" t="str">
        <f>IF(最佳化斷筋點!I208="","",最佳化斷筋點!I208)</f>
        <v/>
      </c>
      <c r="AI208" s="37" t="str">
        <f>IF(最佳化斷筋點!J208="","",最佳化斷筋點!J208)</f>
        <v/>
      </c>
      <c r="AJ208" s="37" t="str">
        <f>IF(最佳化斷筋點!K208="","",最佳化斷筋點!K208)</f>
        <v/>
      </c>
      <c r="AK208" s="37" t="str">
        <f>IF(最佳化斷筋點!L208="","",最佳化斷筋點!L208)</f>
        <v/>
      </c>
      <c r="AL208" s="37" t="str">
        <f>IF(最佳化斷筋點!M208="","",最佳化斷筋點!M208)</f>
        <v/>
      </c>
      <c r="AM208" s="37" t="str">
        <f>IF(最佳化斷筋點!N208="","",最佳化斷筋點!N208)</f>
        <v/>
      </c>
      <c r="AN208" s="37" t="str">
        <f>IF(最佳化斷筋點!O208="","",最佳化斷筋點!O208)</f>
        <v/>
      </c>
      <c r="AO208" s="37" t="str">
        <f>IF(最佳化斷筋點!P208="","",最佳化斷筋點!P208)</f>
        <v/>
      </c>
      <c r="AP208" s="37" t="str">
        <f>IF(最佳化斷筋點!Q208="","",最佳化斷筋點!Q208)</f>
        <v/>
      </c>
      <c r="AQ208" s="37" t="str">
        <f>IF(最佳化斷筋點!R208="","",最佳化斷筋點!R208)</f>
        <v/>
      </c>
      <c r="AR208" s="37" t="str">
        <f>IF(最佳化斷筋點!S208="","",最佳化斷筋點!S208)</f>
        <v/>
      </c>
      <c r="AS208" s="37" t="str">
        <f>IF(最佳化斷筋點!T208="","",最佳化斷筋點!T208)</f>
        <v/>
      </c>
      <c r="AT208" s="37" t="str">
        <f>IF(最佳化斷筋點!U208="","",最佳化斷筋點!U208)</f>
        <v/>
      </c>
      <c r="AU208" s="37" t="str">
        <f>IF(最佳化斷筋點!V208="","",最佳化斷筋點!V208)</f>
        <v/>
      </c>
      <c r="AV208" s="37" t="str">
        <f>IF(最佳化斷筋點!W208="","",最佳化斷筋點!W208)</f>
        <v/>
      </c>
      <c r="AW208" s="37" t="str">
        <f>IF(最佳化斷筋點!X208="","",最佳化斷筋點!X208)</f>
        <v/>
      </c>
      <c r="AZ208" s="37" t="s">
        <v>197</v>
      </c>
      <c r="BA208" s="37" t="s">
        <v>197</v>
      </c>
      <c r="BB208" s="37" t="s">
        <v>197</v>
      </c>
      <c r="BC208" s="37" t="s">
        <v>197</v>
      </c>
      <c r="BD208" s="37" t="s">
        <v>197</v>
      </c>
      <c r="BE208" s="37" t="s">
        <v>197</v>
      </c>
      <c r="BF208" s="37" t="s">
        <v>197</v>
      </c>
      <c r="BG208" s="37" t="s">
        <v>197</v>
      </c>
      <c r="BH208" s="37" t="s">
        <v>197</v>
      </c>
      <c r="BI208" s="37" t="s">
        <v>197</v>
      </c>
      <c r="BJ208" s="37" t="s">
        <v>197</v>
      </c>
      <c r="BK208" s="37" t="s">
        <v>197</v>
      </c>
      <c r="BL208" s="37" t="s">
        <v>197</v>
      </c>
      <c r="BM208" s="37" t="s">
        <v>197</v>
      </c>
      <c r="BN208" s="37" t="s">
        <v>197</v>
      </c>
      <c r="BO208" s="37" t="s">
        <v>197</v>
      </c>
      <c r="BP208" s="37" t="s">
        <v>197</v>
      </c>
      <c r="BQ208" s="37" t="s">
        <v>197</v>
      </c>
      <c r="BR208" s="37" t="s">
        <v>197</v>
      </c>
      <c r="BS208" s="37" t="s">
        <v>197</v>
      </c>
      <c r="BT208" s="37" t="s">
        <v>197</v>
      </c>
    </row>
    <row r="209" spans="5:72" x14ac:dyDescent="0.25">
      <c r="E209" s="6" t="s">
        <v>21</v>
      </c>
      <c r="F209" s="6">
        <f t="shared" si="64"/>
        <v>0</v>
      </c>
      <c r="G209" s="6">
        <f t="shared" si="65"/>
        <v>0</v>
      </c>
      <c r="H209" s="6">
        <f t="shared" si="66"/>
        <v>0</v>
      </c>
      <c r="I209" s="6">
        <f t="shared" si="67"/>
        <v>0</v>
      </c>
      <c r="J209" s="6">
        <f t="shared" si="68"/>
        <v>0</v>
      </c>
      <c r="K209" s="6">
        <f t="shared" si="69"/>
        <v>0</v>
      </c>
      <c r="L209" s="6">
        <f t="shared" si="70"/>
        <v>0</v>
      </c>
      <c r="M209" s="6">
        <f t="shared" si="71"/>
        <v>0</v>
      </c>
      <c r="N209" s="6">
        <f t="shared" si="72"/>
        <v>0</v>
      </c>
      <c r="O209" s="6">
        <f t="shared" si="73"/>
        <v>0</v>
      </c>
      <c r="P209" s="6">
        <f t="shared" si="74"/>
        <v>0</v>
      </c>
      <c r="Q209" s="6">
        <f t="shared" si="75"/>
        <v>0</v>
      </c>
      <c r="R209" s="6">
        <f t="shared" si="76"/>
        <v>0</v>
      </c>
      <c r="S209" s="6">
        <f t="shared" si="77"/>
        <v>0</v>
      </c>
      <c r="T209" s="6">
        <f t="shared" si="78"/>
        <v>0</v>
      </c>
      <c r="U209" s="6">
        <f t="shared" si="79"/>
        <v>0</v>
      </c>
      <c r="V209" s="6">
        <f t="shared" si="80"/>
        <v>0</v>
      </c>
      <c r="W209" s="6">
        <f t="shared" si="81"/>
        <v>0</v>
      </c>
      <c r="X209" s="6">
        <f t="shared" si="82"/>
        <v>0</v>
      </c>
      <c r="Y209" s="6">
        <f t="shared" si="83"/>
        <v>0</v>
      </c>
      <c r="Z209" s="6">
        <f t="shared" si="84"/>
        <v>0</v>
      </c>
      <c r="AB209" s="36" t="str">
        <f>IF(最佳化斷筋點!C209="","",最佳化斷筋點!C209)</f>
        <v>下層</v>
      </c>
      <c r="AC209" s="37">
        <f>IF(最佳化斷筋點!D209="","",最佳化斷筋點!D209)</f>
        <v>4</v>
      </c>
      <c r="AD209" s="37">
        <f>IF(最佳化斷筋點!E209="","",最佳化斷筋點!E209)</f>
        <v>4</v>
      </c>
      <c r="AE209" s="37">
        <f>IF(最佳化斷筋點!F209="","",最佳化斷筋點!F209)</f>
        <v>4</v>
      </c>
      <c r="AF209" s="37">
        <f>IF(最佳化斷筋點!G209="","",最佳化斷筋點!G209)</f>
        <v>4</v>
      </c>
      <c r="AG209" s="37">
        <f>IF(最佳化斷筋點!H209="","",最佳化斷筋點!H209)</f>
        <v>4</v>
      </c>
      <c r="AH209" s="37">
        <f>IF(最佳化斷筋點!I209="","",最佳化斷筋點!I209)</f>
        <v>4</v>
      </c>
      <c r="AI209" s="37">
        <f>IF(最佳化斷筋點!J209="","",最佳化斷筋點!J209)</f>
        <v>3</v>
      </c>
      <c r="AJ209" s="37">
        <f>IF(最佳化斷筋點!K209="","",最佳化斷筋點!K209)</f>
        <v>3</v>
      </c>
      <c r="AK209" s="37">
        <f>IF(最佳化斷筋點!L209="","",最佳化斷筋點!L209)</f>
        <v>3</v>
      </c>
      <c r="AL209" s="37">
        <f>IF(最佳化斷筋點!M209="","",最佳化斷筋點!M209)</f>
        <v>3</v>
      </c>
      <c r="AM209" s="37">
        <f>IF(最佳化斷筋點!N209="","",最佳化斷筋點!N209)</f>
        <v>3</v>
      </c>
      <c r="AN209" s="37">
        <f>IF(最佳化斷筋點!O209="","",最佳化斷筋點!O209)</f>
        <v>3</v>
      </c>
      <c r="AO209" s="37">
        <f>IF(最佳化斷筋點!P209="","",最佳化斷筋點!P209)</f>
        <v>3</v>
      </c>
      <c r="AP209" s="37">
        <f>IF(最佳化斷筋點!Q209="","",最佳化斷筋點!Q209)</f>
        <v>4</v>
      </c>
      <c r="AQ209" s="37">
        <f>IF(最佳化斷筋點!R209="","",最佳化斷筋點!R209)</f>
        <v>5</v>
      </c>
      <c r="AR209" s="37">
        <f>IF(最佳化斷筋點!S209="","",最佳化斷筋點!S209)</f>
        <v>5</v>
      </c>
      <c r="AS209" s="37">
        <f>IF(最佳化斷筋點!T209="","",最佳化斷筋點!T209)</f>
        <v>6</v>
      </c>
      <c r="AT209" s="37">
        <f>IF(最佳化斷筋點!U209="","",最佳化斷筋點!U209)</f>
        <v>6</v>
      </c>
      <c r="AU209" s="37">
        <f>IF(最佳化斷筋點!V209="","",最佳化斷筋點!V209)</f>
        <v>6</v>
      </c>
      <c r="AV209" s="37">
        <f>IF(最佳化斷筋點!W209="","",最佳化斷筋點!W209)</f>
        <v>6</v>
      </c>
      <c r="AW209" s="37">
        <f>IF(最佳化斷筋點!X209="","",最佳化斷筋點!X209)</f>
        <v>6</v>
      </c>
      <c r="AY209" s="6" t="s">
        <v>21</v>
      </c>
      <c r="AZ209" s="37">
        <v>4</v>
      </c>
      <c r="BA209" s="37">
        <v>4</v>
      </c>
      <c r="BB209" s="37">
        <v>4</v>
      </c>
      <c r="BC209" s="37">
        <v>4</v>
      </c>
      <c r="BD209" s="37">
        <v>4</v>
      </c>
      <c r="BE209" s="37">
        <v>4</v>
      </c>
      <c r="BF209" s="37">
        <v>3</v>
      </c>
      <c r="BG209" s="37">
        <v>3</v>
      </c>
      <c r="BH209" s="37">
        <v>3</v>
      </c>
      <c r="BI209" s="37">
        <v>3</v>
      </c>
      <c r="BJ209" s="37">
        <v>3</v>
      </c>
      <c r="BK209" s="37">
        <v>3</v>
      </c>
      <c r="BL209" s="37">
        <v>3</v>
      </c>
      <c r="BM209" s="37">
        <v>4</v>
      </c>
      <c r="BN209" s="37">
        <v>5</v>
      </c>
      <c r="BO209" s="37">
        <v>5</v>
      </c>
      <c r="BP209" s="37">
        <v>6</v>
      </c>
      <c r="BQ209" s="37">
        <v>6</v>
      </c>
      <c r="BR209" s="37">
        <v>6</v>
      </c>
      <c r="BS209" s="37">
        <v>6</v>
      </c>
      <c r="BT209" s="37">
        <v>6</v>
      </c>
    </row>
    <row r="210" spans="5:72" x14ac:dyDescent="0.25">
      <c r="F210" s="6">
        <f t="shared" si="64"/>
        <v>0</v>
      </c>
      <c r="G210" s="6">
        <f t="shared" si="65"/>
        <v>0</v>
      </c>
      <c r="H210" s="6">
        <f t="shared" si="66"/>
        <v>0</v>
      </c>
      <c r="I210" s="6">
        <f t="shared" si="67"/>
        <v>0</v>
      </c>
      <c r="J210" s="6">
        <f t="shared" si="68"/>
        <v>0</v>
      </c>
      <c r="K210" s="6">
        <f t="shared" si="69"/>
        <v>0</v>
      </c>
      <c r="L210" s="6">
        <f t="shared" si="70"/>
        <v>0</v>
      </c>
      <c r="M210" s="6">
        <f t="shared" si="71"/>
        <v>0</v>
      </c>
      <c r="N210" s="6">
        <f t="shared" si="72"/>
        <v>0</v>
      </c>
      <c r="O210" s="6">
        <f t="shared" si="73"/>
        <v>0</v>
      </c>
      <c r="P210" s="6">
        <f t="shared" si="74"/>
        <v>0</v>
      </c>
      <c r="Q210" s="6">
        <f t="shared" si="75"/>
        <v>0</v>
      </c>
      <c r="R210" s="6">
        <f t="shared" si="76"/>
        <v>0</v>
      </c>
      <c r="S210" s="6">
        <f t="shared" si="77"/>
        <v>0</v>
      </c>
      <c r="T210" s="6">
        <f t="shared" si="78"/>
        <v>0</v>
      </c>
      <c r="U210" s="6">
        <f t="shared" si="79"/>
        <v>0</v>
      </c>
      <c r="V210" s="6">
        <f t="shared" si="80"/>
        <v>0</v>
      </c>
      <c r="W210" s="6">
        <f t="shared" si="81"/>
        <v>0</v>
      </c>
      <c r="X210" s="6">
        <f t="shared" si="82"/>
        <v>0</v>
      </c>
      <c r="Y210" s="6">
        <f t="shared" si="83"/>
        <v>0</v>
      </c>
      <c r="Z210" s="6">
        <f t="shared" si="84"/>
        <v>0</v>
      </c>
      <c r="AB210" s="36" t="str">
        <f>IF(最佳化斷筋點!C210="","",最佳化斷筋點!C210)</f>
        <v/>
      </c>
      <c r="AC210" s="37" t="str">
        <f>IF(最佳化斷筋點!D210="","",最佳化斷筋點!D210)</f>
        <v/>
      </c>
      <c r="AD210" s="37" t="str">
        <f>IF(最佳化斷筋點!E210="","",最佳化斷筋點!E210)</f>
        <v/>
      </c>
      <c r="AE210" s="37" t="str">
        <f>IF(最佳化斷筋點!F210="","",最佳化斷筋點!F210)</f>
        <v/>
      </c>
      <c r="AF210" s="37" t="str">
        <f>IF(最佳化斷筋點!G210="","",最佳化斷筋點!G210)</f>
        <v/>
      </c>
      <c r="AG210" s="37" t="str">
        <f>IF(最佳化斷筋點!H210="","",最佳化斷筋點!H210)</f>
        <v/>
      </c>
      <c r="AH210" s="37" t="str">
        <f>IF(最佳化斷筋點!I210="","",最佳化斷筋點!I210)</f>
        <v/>
      </c>
      <c r="AI210" s="37" t="str">
        <f>IF(最佳化斷筋點!J210="","",最佳化斷筋點!J210)</f>
        <v/>
      </c>
      <c r="AJ210" s="37" t="str">
        <f>IF(最佳化斷筋點!K210="","",最佳化斷筋點!K210)</f>
        <v/>
      </c>
      <c r="AK210" s="37" t="str">
        <f>IF(最佳化斷筋點!L210="","",最佳化斷筋點!L210)</f>
        <v/>
      </c>
      <c r="AL210" s="37" t="str">
        <f>IF(最佳化斷筋點!M210="","",最佳化斷筋點!M210)</f>
        <v/>
      </c>
      <c r="AM210" s="37" t="str">
        <f>IF(最佳化斷筋點!N210="","",最佳化斷筋點!N210)</f>
        <v/>
      </c>
      <c r="AN210" s="37" t="str">
        <f>IF(最佳化斷筋點!O210="","",最佳化斷筋點!O210)</f>
        <v/>
      </c>
      <c r="AO210" s="37" t="str">
        <f>IF(最佳化斷筋點!P210="","",最佳化斷筋點!P210)</f>
        <v/>
      </c>
      <c r="AP210" s="37" t="str">
        <f>IF(最佳化斷筋點!Q210="","",最佳化斷筋點!Q210)</f>
        <v/>
      </c>
      <c r="AQ210" s="37" t="str">
        <f>IF(最佳化斷筋點!R210="","",最佳化斷筋點!R210)</f>
        <v/>
      </c>
      <c r="AR210" s="37" t="str">
        <f>IF(最佳化斷筋點!S210="","",最佳化斷筋點!S210)</f>
        <v/>
      </c>
      <c r="AS210" s="37" t="str">
        <f>IF(最佳化斷筋點!T210="","",最佳化斷筋點!T210)</f>
        <v/>
      </c>
      <c r="AT210" s="37" t="str">
        <f>IF(最佳化斷筋點!U210="","",最佳化斷筋點!U210)</f>
        <v/>
      </c>
      <c r="AU210" s="37" t="str">
        <f>IF(最佳化斷筋點!V210="","",最佳化斷筋點!V210)</f>
        <v/>
      </c>
      <c r="AV210" s="37" t="str">
        <f>IF(最佳化斷筋點!W210="","",最佳化斷筋點!W210)</f>
        <v/>
      </c>
      <c r="AW210" s="37" t="str">
        <f>IF(最佳化斷筋點!X210="","",最佳化斷筋點!X210)</f>
        <v/>
      </c>
      <c r="AZ210" s="37" t="s">
        <v>197</v>
      </c>
      <c r="BA210" s="37" t="s">
        <v>197</v>
      </c>
      <c r="BB210" s="37" t="s">
        <v>197</v>
      </c>
      <c r="BC210" s="37" t="s">
        <v>197</v>
      </c>
      <c r="BD210" s="37" t="s">
        <v>197</v>
      </c>
      <c r="BE210" s="37" t="s">
        <v>197</v>
      </c>
      <c r="BF210" s="37" t="s">
        <v>197</v>
      </c>
      <c r="BG210" s="37" t="s">
        <v>197</v>
      </c>
      <c r="BH210" s="37" t="s">
        <v>197</v>
      </c>
      <c r="BI210" s="37" t="s">
        <v>197</v>
      </c>
      <c r="BJ210" s="37" t="s">
        <v>197</v>
      </c>
      <c r="BK210" s="37" t="s">
        <v>197</v>
      </c>
      <c r="BL210" s="37" t="s">
        <v>197</v>
      </c>
      <c r="BM210" s="37" t="s">
        <v>197</v>
      </c>
      <c r="BN210" s="37" t="s">
        <v>197</v>
      </c>
      <c r="BO210" s="37" t="s">
        <v>197</v>
      </c>
      <c r="BP210" s="37" t="s">
        <v>197</v>
      </c>
      <c r="BQ210" s="37" t="s">
        <v>197</v>
      </c>
      <c r="BR210" s="37" t="s">
        <v>197</v>
      </c>
      <c r="BS210" s="37" t="s">
        <v>197</v>
      </c>
      <c r="BT210" s="37" t="s">
        <v>197</v>
      </c>
    </row>
    <row r="211" spans="5:72" x14ac:dyDescent="0.25">
      <c r="E211" s="6" t="s">
        <v>20</v>
      </c>
      <c r="F211" s="6">
        <f t="shared" si="64"/>
        <v>0</v>
      </c>
      <c r="G211" s="6">
        <f t="shared" si="65"/>
        <v>0</v>
      </c>
      <c r="H211" s="6">
        <f t="shared" si="66"/>
        <v>0</v>
      </c>
      <c r="I211" s="6">
        <f t="shared" si="67"/>
        <v>0</v>
      </c>
      <c r="J211" s="6">
        <f t="shared" si="68"/>
        <v>0</v>
      </c>
      <c r="K211" s="6">
        <f t="shared" si="69"/>
        <v>0</v>
      </c>
      <c r="L211" s="6">
        <f t="shared" si="70"/>
        <v>0</v>
      </c>
      <c r="M211" s="6">
        <f t="shared" si="71"/>
        <v>0</v>
      </c>
      <c r="N211" s="6">
        <f t="shared" si="72"/>
        <v>0</v>
      </c>
      <c r="O211" s="6">
        <f t="shared" si="73"/>
        <v>0</v>
      </c>
      <c r="P211" s="6">
        <f t="shared" si="74"/>
        <v>0</v>
      </c>
      <c r="Q211" s="6">
        <f t="shared" si="75"/>
        <v>0</v>
      </c>
      <c r="R211" s="6">
        <f t="shared" si="76"/>
        <v>0</v>
      </c>
      <c r="S211" s="6">
        <f t="shared" si="77"/>
        <v>0</v>
      </c>
      <c r="T211" s="6">
        <f t="shared" si="78"/>
        <v>0</v>
      </c>
      <c r="U211" s="6">
        <f t="shared" si="79"/>
        <v>0</v>
      </c>
      <c r="V211" s="6">
        <f t="shared" si="80"/>
        <v>0</v>
      </c>
      <c r="W211" s="6">
        <f t="shared" si="81"/>
        <v>0</v>
      </c>
      <c r="X211" s="6">
        <f t="shared" si="82"/>
        <v>0</v>
      </c>
      <c r="Y211" s="6">
        <f t="shared" si="83"/>
        <v>0</v>
      </c>
      <c r="Z211" s="6">
        <f t="shared" si="84"/>
        <v>0</v>
      </c>
      <c r="AB211" s="36" t="str">
        <f>IF(最佳化斷筋點!C211="","",最佳化斷筋點!C211)</f>
        <v>上層</v>
      </c>
      <c r="AC211" s="37">
        <f>IF(最佳化斷筋點!D211="","",最佳化斷筋點!D211)</f>
        <v>6</v>
      </c>
      <c r="AD211" s="37">
        <f>IF(最佳化斷筋點!E211="","",最佳化斷筋點!E211)</f>
        <v>6</v>
      </c>
      <c r="AE211" s="37">
        <f>IF(最佳化斷筋點!F211="","",最佳化斷筋點!F211)</f>
        <v>6</v>
      </c>
      <c r="AF211" s="37">
        <f>IF(最佳化斷筋點!G211="","",最佳化斷筋點!G211)</f>
        <v>6</v>
      </c>
      <c r="AG211" s="37">
        <f>IF(最佳化斷筋點!H211="","",最佳化斷筋點!H211)</f>
        <v>6</v>
      </c>
      <c r="AH211" s="37">
        <f>IF(最佳化斷筋點!I211="","",最佳化斷筋點!I211)</f>
        <v>6</v>
      </c>
      <c r="AI211" s="37">
        <f>IF(最佳化斷筋點!J211="","",最佳化斷筋點!J211)</f>
        <v>5</v>
      </c>
      <c r="AJ211" s="37">
        <f>IF(最佳化斷筋點!K211="","",最佳化斷筋點!K211)</f>
        <v>3</v>
      </c>
      <c r="AK211" s="37">
        <f>IF(最佳化斷筋點!L211="","",最佳化斷筋點!L211)</f>
        <v>3</v>
      </c>
      <c r="AL211" s="37">
        <f>IF(最佳化斷筋點!M211="","",最佳化斷筋點!M211)</f>
        <v>3</v>
      </c>
      <c r="AM211" s="37">
        <f>IF(最佳化斷筋點!N211="","",最佳化斷筋點!N211)</f>
        <v>3</v>
      </c>
      <c r="AN211" s="37">
        <f>IF(最佳化斷筋點!O211="","",最佳化斷筋點!O211)</f>
        <v>3</v>
      </c>
      <c r="AO211" s="37">
        <f>IF(最佳化斷筋點!P211="","",最佳化斷筋點!P211)</f>
        <v>3</v>
      </c>
      <c r="AP211" s="37">
        <f>IF(最佳化斷筋點!Q211="","",最佳化斷筋點!Q211)</f>
        <v>6</v>
      </c>
      <c r="AQ211" s="37">
        <f>IF(最佳化斷筋點!R211="","",最佳化斷筋點!R211)</f>
        <v>7</v>
      </c>
      <c r="AR211" s="37">
        <f>IF(最佳化斷筋點!S211="","",最佳化斷筋點!S211)</f>
        <v>8</v>
      </c>
      <c r="AS211" s="37">
        <f>IF(最佳化斷筋點!T211="","",最佳化斷筋點!T211)</f>
        <v>9</v>
      </c>
      <c r="AT211" s="37">
        <f>IF(最佳化斷筋點!U211="","",最佳化斷筋點!U211)</f>
        <v>9</v>
      </c>
      <c r="AU211" s="37">
        <f>IF(最佳化斷筋點!V211="","",最佳化斷筋點!V211)</f>
        <v>9</v>
      </c>
      <c r="AV211" s="37">
        <f>IF(最佳化斷筋點!W211="","",最佳化斷筋點!W211)</f>
        <v>9</v>
      </c>
      <c r="AW211" s="37">
        <f>IF(最佳化斷筋點!X211="","",最佳化斷筋點!X211)</f>
        <v>9</v>
      </c>
      <c r="AY211" s="6" t="s">
        <v>20</v>
      </c>
      <c r="AZ211" s="37">
        <v>6</v>
      </c>
      <c r="BA211" s="37">
        <v>6</v>
      </c>
      <c r="BB211" s="37">
        <v>6</v>
      </c>
      <c r="BC211" s="37">
        <v>6</v>
      </c>
      <c r="BD211" s="37">
        <v>6</v>
      </c>
      <c r="BE211" s="37">
        <v>6</v>
      </c>
      <c r="BF211" s="37">
        <v>5</v>
      </c>
      <c r="BG211" s="37">
        <v>3</v>
      </c>
      <c r="BH211" s="37">
        <v>3</v>
      </c>
      <c r="BI211" s="37">
        <v>3</v>
      </c>
      <c r="BJ211" s="37">
        <v>3</v>
      </c>
      <c r="BK211" s="37">
        <v>3</v>
      </c>
      <c r="BL211" s="37">
        <v>3</v>
      </c>
      <c r="BM211" s="37">
        <v>6</v>
      </c>
      <c r="BN211" s="37">
        <v>7</v>
      </c>
      <c r="BO211" s="37">
        <v>8</v>
      </c>
      <c r="BP211" s="37">
        <v>9</v>
      </c>
      <c r="BQ211" s="37">
        <v>9</v>
      </c>
      <c r="BR211" s="37">
        <v>9</v>
      </c>
      <c r="BS211" s="37">
        <v>9</v>
      </c>
      <c r="BT211" s="37">
        <v>9</v>
      </c>
    </row>
    <row r="212" spans="5:72" x14ac:dyDescent="0.25">
      <c r="F212" s="6">
        <f t="shared" si="64"/>
        <v>0</v>
      </c>
      <c r="G212" s="6">
        <f t="shared" si="65"/>
        <v>0</v>
      </c>
      <c r="H212" s="6">
        <f t="shared" si="66"/>
        <v>0</v>
      </c>
      <c r="I212" s="6">
        <f t="shared" si="67"/>
        <v>0</v>
      </c>
      <c r="J212" s="6">
        <f t="shared" si="68"/>
        <v>0</v>
      </c>
      <c r="K212" s="6">
        <f t="shared" si="69"/>
        <v>0</v>
      </c>
      <c r="L212" s="6">
        <f t="shared" si="70"/>
        <v>0</v>
      </c>
      <c r="M212" s="6">
        <f t="shared" si="71"/>
        <v>0</v>
      </c>
      <c r="N212" s="6">
        <f t="shared" si="72"/>
        <v>0</v>
      </c>
      <c r="O212" s="6">
        <f t="shared" si="73"/>
        <v>0</v>
      </c>
      <c r="P212" s="6">
        <f t="shared" si="74"/>
        <v>0</v>
      </c>
      <c r="Q212" s="6">
        <f t="shared" si="75"/>
        <v>0</v>
      </c>
      <c r="R212" s="6">
        <f t="shared" si="76"/>
        <v>0</v>
      </c>
      <c r="S212" s="6">
        <f t="shared" si="77"/>
        <v>0</v>
      </c>
      <c r="T212" s="6">
        <f t="shared" si="78"/>
        <v>0</v>
      </c>
      <c r="U212" s="6">
        <f t="shared" si="79"/>
        <v>0</v>
      </c>
      <c r="V212" s="6">
        <f t="shared" si="80"/>
        <v>0</v>
      </c>
      <c r="W212" s="6">
        <f t="shared" si="81"/>
        <v>0</v>
      </c>
      <c r="X212" s="6">
        <f t="shared" si="82"/>
        <v>0</v>
      </c>
      <c r="Y212" s="6">
        <f t="shared" si="83"/>
        <v>0</v>
      </c>
      <c r="Z212" s="6">
        <f t="shared" si="84"/>
        <v>0</v>
      </c>
      <c r="AB212" s="36" t="str">
        <f>IF(最佳化斷筋點!C212="","",最佳化斷筋點!C212)</f>
        <v/>
      </c>
      <c r="AC212" s="37" t="str">
        <f>IF(最佳化斷筋點!D212="","",最佳化斷筋點!D212)</f>
        <v/>
      </c>
      <c r="AD212" s="37" t="str">
        <f>IF(最佳化斷筋點!E212="","",最佳化斷筋點!E212)</f>
        <v/>
      </c>
      <c r="AE212" s="37" t="str">
        <f>IF(最佳化斷筋點!F212="","",最佳化斷筋點!F212)</f>
        <v/>
      </c>
      <c r="AF212" s="37" t="str">
        <f>IF(最佳化斷筋點!G212="","",最佳化斷筋點!G212)</f>
        <v/>
      </c>
      <c r="AG212" s="37" t="str">
        <f>IF(最佳化斷筋點!H212="","",最佳化斷筋點!H212)</f>
        <v/>
      </c>
      <c r="AH212" s="37" t="str">
        <f>IF(最佳化斷筋點!I212="","",最佳化斷筋點!I212)</f>
        <v/>
      </c>
      <c r="AI212" s="37" t="str">
        <f>IF(最佳化斷筋點!J212="","",最佳化斷筋點!J212)</f>
        <v/>
      </c>
      <c r="AJ212" s="37" t="str">
        <f>IF(最佳化斷筋點!K212="","",最佳化斷筋點!K212)</f>
        <v/>
      </c>
      <c r="AK212" s="37" t="str">
        <f>IF(最佳化斷筋點!L212="","",最佳化斷筋點!L212)</f>
        <v/>
      </c>
      <c r="AL212" s="37" t="str">
        <f>IF(最佳化斷筋點!M212="","",最佳化斷筋點!M212)</f>
        <v/>
      </c>
      <c r="AM212" s="37" t="str">
        <f>IF(最佳化斷筋點!N212="","",最佳化斷筋點!N212)</f>
        <v/>
      </c>
      <c r="AN212" s="37" t="str">
        <f>IF(最佳化斷筋點!O212="","",最佳化斷筋點!O212)</f>
        <v/>
      </c>
      <c r="AO212" s="37" t="str">
        <f>IF(最佳化斷筋點!P212="","",最佳化斷筋點!P212)</f>
        <v/>
      </c>
      <c r="AP212" s="37" t="str">
        <f>IF(最佳化斷筋點!Q212="","",最佳化斷筋點!Q212)</f>
        <v/>
      </c>
      <c r="AQ212" s="37" t="str">
        <f>IF(最佳化斷筋點!R212="","",最佳化斷筋點!R212)</f>
        <v/>
      </c>
      <c r="AR212" s="37" t="str">
        <f>IF(最佳化斷筋點!S212="","",最佳化斷筋點!S212)</f>
        <v/>
      </c>
      <c r="AS212" s="37" t="str">
        <f>IF(最佳化斷筋點!T212="","",最佳化斷筋點!T212)</f>
        <v/>
      </c>
      <c r="AT212" s="37" t="str">
        <f>IF(最佳化斷筋點!U212="","",最佳化斷筋點!U212)</f>
        <v/>
      </c>
      <c r="AU212" s="37" t="str">
        <f>IF(最佳化斷筋點!V212="","",最佳化斷筋點!V212)</f>
        <v/>
      </c>
      <c r="AV212" s="37" t="str">
        <f>IF(最佳化斷筋點!W212="","",最佳化斷筋點!W212)</f>
        <v/>
      </c>
      <c r="AW212" s="37" t="str">
        <f>IF(最佳化斷筋點!X212="","",最佳化斷筋點!X212)</f>
        <v/>
      </c>
      <c r="AZ212" s="37" t="s">
        <v>197</v>
      </c>
      <c r="BA212" s="37" t="s">
        <v>197</v>
      </c>
      <c r="BB212" s="37" t="s">
        <v>197</v>
      </c>
      <c r="BC212" s="37" t="s">
        <v>197</v>
      </c>
      <c r="BD212" s="37" t="s">
        <v>197</v>
      </c>
      <c r="BE212" s="37" t="s">
        <v>197</v>
      </c>
      <c r="BF212" s="37" t="s">
        <v>197</v>
      </c>
      <c r="BG212" s="37" t="s">
        <v>197</v>
      </c>
      <c r="BH212" s="37" t="s">
        <v>197</v>
      </c>
      <c r="BI212" s="37" t="s">
        <v>197</v>
      </c>
      <c r="BJ212" s="37" t="s">
        <v>197</v>
      </c>
      <c r="BK212" s="37" t="s">
        <v>197</v>
      </c>
      <c r="BL212" s="37" t="s">
        <v>197</v>
      </c>
      <c r="BM212" s="37" t="s">
        <v>197</v>
      </c>
      <c r="BN212" s="37" t="s">
        <v>197</v>
      </c>
      <c r="BO212" s="37" t="s">
        <v>197</v>
      </c>
      <c r="BP212" s="37" t="s">
        <v>197</v>
      </c>
      <c r="BQ212" s="37" t="s">
        <v>197</v>
      </c>
      <c r="BR212" s="37" t="s">
        <v>197</v>
      </c>
      <c r="BS212" s="37" t="s">
        <v>197</v>
      </c>
      <c r="BT212" s="37" t="s">
        <v>197</v>
      </c>
    </row>
    <row r="213" spans="5:72" x14ac:dyDescent="0.25">
      <c r="E213" s="6" t="s">
        <v>21</v>
      </c>
      <c r="F213" s="6">
        <f t="shared" si="64"/>
        <v>0</v>
      </c>
      <c r="G213" s="6">
        <f t="shared" si="65"/>
        <v>0</v>
      </c>
      <c r="H213" s="6">
        <f t="shared" si="66"/>
        <v>0</v>
      </c>
      <c r="I213" s="6">
        <f t="shared" si="67"/>
        <v>0</v>
      </c>
      <c r="J213" s="6">
        <f t="shared" si="68"/>
        <v>0</v>
      </c>
      <c r="K213" s="6">
        <f t="shared" si="69"/>
        <v>0</v>
      </c>
      <c r="L213" s="6">
        <f t="shared" si="70"/>
        <v>0</v>
      </c>
      <c r="M213" s="6">
        <f t="shared" si="71"/>
        <v>0</v>
      </c>
      <c r="N213" s="6">
        <f t="shared" si="72"/>
        <v>0</v>
      </c>
      <c r="O213" s="6">
        <f t="shared" si="73"/>
        <v>0</v>
      </c>
      <c r="P213" s="6">
        <f t="shared" si="74"/>
        <v>0</v>
      </c>
      <c r="Q213" s="6">
        <f t="shared" si="75"/>
        <v>0</v>
      </c>
      <c r="R213" s="6">
        <f t="shared" si="76"/>
        <v>0</v>
      </c>
      <c r="S213" s="6">
        <f t="shared" si="77"/>
        <v>0</v>
      </c>
      <c r="T213" s="6">
        <f t="shared" si="78"/>
        <v>0</v>
      </c>
      <c r="U213" s="6">
        <f t="shared" si="79"/>
        <v>0</v>
      </c>
      <c r="V213" s="6">
        <f t="shared" si="80"/>
        <v>0</v>
      </c>
      <c r="W213" s="6">
        <f t="shared" si="81"/>
        <v>0</v>
      </c>
      <c r="X213" s="6">
        <f t="shared" si="82"/>
        <v>0</v>
      </c>
      <c r="Y213" s="6">
        <f t="shared" si="83"/>
        <v>0</v>
      </c>
      <c r="Z213" s="6">
        <f t="shared" si="84"/>
        <v>0</v>
      </c>
      <c r="AB213" s="36" t="str">
        <f>IF(最佳化斷筋點!C213="","",最佳化斷筋點!C213)</f>
        <v>下層</v>
      </c>
      <c r="AC213" s="37">
        <f>IF(最佳化斷筋點!D213="","",最佳化斷筋點!D213)</f>
        <v>5</v>
      </c>
      <c r="AD213" s="37">
        <f>IF(最佳化斷筋點!E213="","",最佳化斷筋點!E213)</f>
        <v>5</v>
      </c>
      <c r="AE213" s="37">
        <f>IF(最佳化斷筋點!F213="","",最佳化斷筋點!F213)</f>
        <v>5</v>
      </c>
      <c r="AF213" s="37">
        <f>IF(最佳化斷筋點!G213="","",最佳化斷筋點!G213)</f>
        <v>5</v>
      </c>
      <c r="AG213" s="37">
        <f>IF(最佳化斷筋點!H213="","",最佳化斷筋點!H213)</f>
        <v>5</v>
      </c>
      <c r="AH213" s="37">
        <f>IF(最佳化斷筋點!I213="","",最佳化斷筋點!I213)</f>
        <v>5</v>
      </c>
      <c r="AI213" s="37">
        <f>IF(最佳化斷筋點!J213="","",最佳化斷筋點!J213)</f>
        <v>4</v>
      </c>
      <c r="AJ213" s="37">
        <f>IF(最佳化斷筋點!K213="","",最佳化斷筋點!K213)</f>
        <v>3</v>
      </c>
      <c r="AK213" s="37">
        <f>IF(最佳化斷筋點!L213="","",最佳化斷筋點!L213)</f>
        <v>3</v>
      </c>
      <c r="AL213" s="37">
        <f>IF(最佳化斷筋點!M213="","",最佳化斷筋點!M213)</f>
        <v>3</v>
      </c>
      <c r="AM213" s="37">
        <f>IF(最佳化斷筋點!N213="","",最佳化斷筋點!N213)</f>
        <v>3</v>
      </c>
      <c r="AN213" s="37">
        <f>IF(最佳化斷筋點!O213="","",最佳化斷筋點!O213)</f>
        <v>3</v>
      </c>
      <c r="AO213" s="37">
        <f>IF(最佳化斷筋點!P213="","",最佳化斷筋點!P213)</f>
        <v>3</v>
      </c>
      <c r="AP213" s="37">
        <f>IF(最佳化斷筋點!Q213="","",最佳化斷筋點!Q213)</f>
        <v>3</v>
      </c>
      <c r="AQ213" s="37">
        <f>IF(最佳化斷筋點!R213="","",最佳化斷筋點!R213)</f>
        <v>4</v>
      </c>
      <c r="AR213" s="37">
        <f>IF(最佳化斷筋點!S213="","",最佳化斷筋點!S213)</f>
        <v>4</v>
      </c>
      <c r="AS213" s="37">
        <f>IF(最佳化斷筋點!T213="","",最佳化斷筋點!T213)</f>
        <v>5</v>
      </c>
      <c r="AT213" s="37">
        <f>IF(最佳化斷筋點!U213="","",最佳化斷筋點!U213)</f>
        <v>5</v>
      </c>
      <c r="AU213" s="37">
        <f>IF(最佳化斷筋點!V213="","",最佳化斷筋點!V213)</f>
        <v>5</v>
      </c>
      <c r="AV213" s="37">
        <f>IF(最佳化斷筋點!W213="","",最佳化斷筋點!W213)</f>
        <v>5</v>
      </c>
      <c r="AW213" s="37">
        <f>IF(最佳化斷筋點!X213="","",最佳化斷筋點!X213)</f>
        <v>5</v>
      </c>
      <c r="AY213" s="6" t="s">
        <v>21</v>
      </c>
      <c r="AZ213" s="37">
        <v>5</v>
      </c>
      <c r="BA213" s="37">
        <v>5</v>
      </c>
      <c r="BB213" s="37">
        <v>5</v>
      </c>
      <c r="BC213" s="37">
        <v>5</v>
      </c>
      <c r="BD213" s="37">
        <v>5</v>
      </c>
      <c r="BE213" s="37">
        <v>5</v>
      </c>
      <c r="BF213" s="37">
        <v>4</v>
      </c>
      <c r="BG213" s="37">
        <v>3</v>
      </c>
      <c r="BH213" s="37">
        <v>3</v>
      </c>
      <c r="BI213" s="37">
        <v>3</v>
      </c>
      <c r="BJ213" s="37">
        <v>3</v>
      </c>
      <c r="BK213" s="37">
        <v>3</v>
      </c>
      <c r="BL213" s="37">
        <v>3</v>
      </c>
      <c r="BM213" s="37">
        <v>3</v>
      </c>
      <c r="BN213" s="37">
        <v>4</v>
      </c>
      <c r="BO213" s="37">
        <v>4</v>
      </c>
      <c r="BP213" s="37">
        <v>5</v>
      </c>
      <c r="BQ213" s="37">
        <v>5</v>
      </c>
      <c r="BR213" s="37">
        <v>5</v>
      </c>
      <c r="BS213" s="37">
        <v>5</v>
      </c>
      <c r="BT213" s="37">
        <v>5</v>
      </c>
    </row>
    <row r="214" spans="5:72" x14ac:dyDescent="0.25">
      <c r="F214" s="6">
        <f t="shared" si="64"/>
        <v>0</v>
      </c>
      <c r="G214" s="6">
        <f t="shared" si="65"/>
        <v>0</v>
      </c>
      <c r="H214" s="6">
        <f t="shared" si="66"/>
        <v>0</v>
      </c>
      <c r="I214" s="6">
        <f t="shared" si="67"/>
        <v>0</v>
      </c>
      <c r="J214" s="6">
        <f t="shared" si="68"/>
        <v>0</v>
      </c>
      <c r="K214" s="6">
        <f t="shared" si="69"/>
        <v>0</v>
      </c>
      <c r="L214" s="6">
        <f t="shared" si="70"/>
        <v>0</v>
      </c>
      <c r="M214" s="6">
        <f t="shared" si="71"/>
        <v>0</v>
      </c>
      <c r="N214" s="6">
        <f t="shared" si="72"/>
        <v>0</v>
      </c>
      <c r="O214" s="6">
        <f t="shared" si="73"/>
        <v>0</v>
      </c>
      <c r="P214" s="6">
        <f t="shared" si="74"/>
        <v>0</v>
      </c>
      <c r="Q214" s="6">
        <f t="shared" si="75"/>
        <v>0</v>
      </c>
      <c r="R214" s="6">
        <f t="shared" si="76"/>
        <v>0</v>
      </c>
      <c r="S214" s="6">
        <f t="shared" si="77"/>
        <v>0</v>
      </c>
      <c r="T214" s="6">
        <f t="shared" si="78"/>
        <v>0</v>
      </c>
      <c r="U214" s="6">
        <f t="shared" si="79"/>
        <v>0</v>
      </c>
      <c r="V214" s="6">
        <f t="shared" si="80"/>
        <v>0</v>
      </c>
      <c r="W214" s="6">
        <f t="shared" si="81"/>
        <v>0</v>
      </c>
      <c r="X214" s="6">
        <f t="shared" si="82"/>
        <v>0</v>
      </c>
      <c r="Y214" s="6">
        <f t="shared" si="83"/>
        <v>0</v>
      </c>
      <c r="Z214" s="6">
        <f t="shared" si="84"/>
        <v>0</v>
      </c>
      <c r="AB214" s="36" t="str">
        <f>IF(最佳化斷筋點!C214="","",最佳化斷筋點!C214)</f>
        <v/>
      </c>
      <c r="AC214" s="37" t="str">
        <f>IF(最佳化斷筋點!D214="","",最佳化斷筋點!D214)</f>
        <v/>
      </c>
      <c r="AD214" s="37" t="str">
        <f>IF(最佳化斷筋點!E214="","",最佳化斷筋點!E214)</f>
        <v/>
      </c>
      <c r="AE214" s="37" t="str">
        <f>IF(最佳化斷筋點!F214="","",最佳化斷筋點!F214)</f>
        <v/>
      </c>
      <c r="AF214" s="37" t="str">
        <f>IF(最佳化斷筋點!G214="","",最佳化斷筋點!G214)</f>
        <v/>
      </c>
      <c r="AG214" s="37" t="str">
        <f>IF(最佳化斷筋點!H214="","",最佳化斷筋點!H214)</f>
        <v/>
      </c>
      <c r="AH214" s="37" t="str">
        <f>IF(最佳化斷筋點!I214="","",最佳化斷筋點!I214)</f>
        <v/>
      </c>
      <c r="AI214" s="37" t="str">
        <f>IF(最佳化斷筋點!J214="","",最佳化斷筋點!J214)</f>
        <v/>
      </c>
      <c r="AJ214" s="37" t="str">
        <f>IF(最佳化斷筋點!K214="","",最佳化斷筋點!K214)</f>
        <v/>
      </c>
      <c r="AK214" s="37" t="str">
        <f>IF(最佳化斷筋點!L214="","",最佳化斷筋點!L214)</f>
        <v/>
      </c>
      <c r="AL214" s="37" t="str">
        <f>IF(最佳化斷筋點!M214="","",最佳化斷筋點!M214)</f>
        <v/>
      </c>
      <c r="AM214" s="37" t="str">
        <f>IF(最佳化斷筋點!N214="","",最佳化斷筋點!N214)</f>
        <v/>
      </c>
      <c r="AN214" s="37" t="str">
        <f>IF(最佳化斷筋點!O214="","",最佳化斷筋點!O214)</f>
        <v/>
      </c>
      <c r="AO214" s="37" t="str">
        <f>IF(最佳化斷筋點!P214="","",最佳化斷筋點!P214)</f>
        <v/>
      </c>
      <c r="AP214" s="37" t="str">
        <f>IF(最佳化斷筋點!Q214="","",最佳化斷筋點!Q214)</f>
        <v/>
      </c>
      <c r="AQ214" s="37" t="str">
        <f>IF(最佳化斷筋點!R214="","",最佳化斷筋點!R214)</f>
        <v/>
      </c>
      <c r="AR214" s="37" t="str">
        <f>IF(最佳化斷筋點!S214="","",最佳化斷筋點!S214)</f>
        <v/>
      </c>
      <c r="AS214" s="37" t="str">
        <f>IF(最佳化斷筋點!T214="","",最佳化斷筋點!T214)</f>
        <v/>
      </c>
      <c r="AT214" s="37" t="str">
        <f>IF(最佳化斷筋點!U214="","",最佳化斷筋點!U214)</f>
        <v/>
      </c>
      <c r="AU214" s="37" t="str">
        <f>IF(最佳化斷筋點!V214="","",最佳化斷筋點!V214)</f>
        <v/>
      </c>
      <c r="AV214" s="37" t="str">
        <f>IF(最佳化斷筋點!W214="","",最佳化斷筋點!W214)</f>
        <v/>
      </c>
      <c r="AW214" s="37" t="str">
        <f>IF(最佳化斷筋點!X214="","",最佳化斷筋點!X214)</f>
        <v/>
      </c>
      <c r="AZ214" s="37" t="s">
        <v>197</v>
      </c>
      <c r="BA214" s="37" t="s">
        <v>197</v>
      </c>
      <c r="BB214" s="37" t="s">
        <v>197</v>
      </c>
      <c r="BC214" s="37" t="s">
        <v>197</v>
      </c>
      <c r="BD214" s="37" t="s">
        <v>197</v>
      </c>
      <c r="BE214" s="37" t="s">
        <v>197</v>
      </c>
      <c r="BF214" s="37" t="s">
        <v>197</v>
      </c>
      <c r="BG214" s="37" t="s">
        <v>197</v>
      </c>
      <c r="BH214" s="37" t="s">
        <v>197</v>
      </c>
      <c r="BI214" s="37" t="s">
        <v>197</v>
      </c>
      <c r="BJ214" s="37" t="s">
        <v>197</v>
      </c>
      <c r="BK214" s="37" t="s">
        <v>197</v>
      </c>
      <c r="BL214" s="37" t="s">
        <v>197</v>
      </c>
      <c r="BM214" s="37" t="s">
        <v>197</v>
      </c>
      <c r="BN214" s="37" t="s">
        <v>197</v>
      </c>
      <c r="BO214" s="37" t="s">
        <v>197</v>
      </c>
      <c r="BP214" s="37" t="s">
        <v>197</v>
      </c>
      <c r="BQ214" s="37" t="s">
        <v>197</v>
      </c>
      <c r="BR214" s="37" t="s">
        <v>197</v>
      </c>
      <c r="BS214" s="37" t="s">
        <v>197</v>
      </c>
      <c r="BT214" s="37" t="s">
        <v>197</v>
      </c>
    </row>
    <row r="215" spans="5:72" x14ac:dyDescent="0.25">
      <c r="E215" s="6" t="s">
        <v>20</v>
      </c>
      <c r="F215" s="6">
        <f t="shared" si="64"/>
        <v>0</v>
      </c>
      <c r="G215" s="6">
        <f t="shared" si="65"/>
        <v>0</v>
      </c>
      <c r="H215" s="6">
        <f t="shared" si="66"/>
        <v>0</v>
      </c>
      <c r="I215" s="6">
        <f t="shared" si="67"/>
        <v>0</v>
      </c>
      <c r="J215" s="6">
        <f t="shared" si="68"/>
        <v>0</v>
      </c>
      <c r="K215" s="6">
        <f t="shared" si="69"/>
        <v>0</v>
      </c>
      <c r="L215" s="6">
        <f t="shared" si="70"/>
        <v>0</v>
      </c>
      <c r="M215" s="6">
        <f t="shared" si="71"/>
        <v>0</v>
      </c>
      <c r="N215" s="6">
        <f t="shared" si="72"/>
        <v>0</v>
      </c>
      <c r="O215" s="6">
        <f t="shared" si="73"/>
        <v>0</v>
      </c>
      <c r="P215" s="6">
        <f t="shared" si="74"/>
        <v>0</v>
      </c>
      <c r="Q215" s="6">
        <f t="shared" si="75"/>
        <v>0</v>
      </c>
      <c r="R215" s="6">
        <f t="shared" si="76"/>
        <v>0</v>
      </c>
      <c r="S215" s="6">
        <f t="shared" si="77"/>
        <v>0</v>
      </c>
      <c r="T215" s="6">
        <f t="shared" si="78"/>
        <v>0</v>
      </c>
      <c r="U215" s="6">
        <f t="shared" si="79"/>
        <v>0</v>
      </c>
      <c r="V215" s="6">
        <f t="shared" si="80"/>
        <v>0</v>
      </c>
      <c r="W215" s="6">
        <f t="shared" si="81"/>
        <v>0</v>
      </c>
      <c r="X215" s="6">
        <f t="shared" si="82"/>
        <v>0</v>
      </c>
      <c r="Y215" s="6">
        <f t="shared" si="83"/>
        <v>0</v>
      </c>
      <c r="Z215" s="6">
        <f t="shared" si="84"/>
        <v>0</v>
      </c>
      <c r="AB215" s="36" t="str">
        <f>IF(最佳化斷筋點!C215="","",最佳化斷筋點!C215)</f>
        <v>上層</v>
      </c>
      <c r="AC215" s="37">
        <f>IF(最佳化斷筋點!D215="","",最佳化斷筋點!D215)</f>
        <v>7</v>
      </c>
      <c r="AD215" s="37">
        <f>IF(最佳化斷筋點!E215="","",最佳化斷筋點!E215)</f>
        <v>7</v>
      </c>
      <c r="AE215" s="37">
        <f>IF(最佳化斷筋點!F215="","",最佳化斷筋點!F215)</f>
        <v>7</v>
      </c>
      <c r="AF215" s="37">
        <f>IF(最佳化斷筋點!G215="","",最佳化斷筋點!G215)</f>
        <v>7</v>
      </c>
      <c r="AG215" s="37">
        <f>IF(最佳化斷筋點!H215="","",最佳化斷筋點!H215)</f>
        <v>7</v>
      </c>
      <c r="AH215" s="37">
        <f>IF(最佳化斷筋點!I215="","",最佳化斷筋點!I215)</f>
        <v>6</v>
      </c>
      <c r="AI215" s="37">
        <f>IF(最佳化斷筋點!J215="","",最佳化斷筋點!J215)</f>
        <v>6</v>
      </c>
      <c r="AJ215" s="37">
        <f>IF(最佳化斷筋點!K215="","",最佳化斷筋點!K215)</f>
        <v>4</v>
      </c>
      <c r="AK215" s="37">
        <f>IF(最佳化斷筋點!L215="","",最佳化斷筋點!L215)</f>
        <v>4</v>
      </c>
      <c r="AL215" s="37">
        <f>IF(最佳化斷筋點!M215="","",最佳化斷筋點!M215)</f>
        <v>4</v>
      </c>
      <c r="AM215" s="37">
        <f>IF(最佳化斷筋點!N215="","",最佳化斷筋點!N215)</f>
        <v>2</v>
      </c>
      <c r="AN215" s="37">
        <f>IF(最佳化斷筋點!O215="","",最佳化斷筋點!O215)</f>
        <v>4</v>
      </c>
      <c r="AO215" s="37">
        <f>IF(最佳化斷筋點!P215="","",最佳化斷筋點!P215)</f>
        <v>4</v>
      </c>
      <c r="AP215" s="37">
        <f>IF(最佳化斷筋點!Q215="","",最佳化斷筋點!Q215)</f>
        <v>6</v>
      </c>
      <c r="AQ215" s="37">
        <f>IF(最佳化斷筋點!R215="","",最佳化斷筋點!R215)</f>
        <v>7</v>
      </c>
      <c r="AR215" s="37">
        <f>IF(最佳化斷筋點!S215="","",最佳化斷筋點!S215)</f>
        <v>8</v>
      </c>
      <c r="AS215" s="37">
        <f>IF(最佳化斷筋點!T215="","",最佳化斷筋點!T215)</f>
        <v>9</v>
      </c>
      <c r="AT215" s="37">
        <f>IF(最佳化斷筋點!U215="","",最佳化斷筋點!U215)</f>
        <v>10</v>
      </c>
      <c r="AU215" s="37">
        <f>IF(最佳化斷筋點!V215="","",最佳化斷筋點!V215)</f>
        <v>10</v>
      </c>
      <c r="AV215" s="37">
        <f>IF(最佳化斷筋點!W215="","",最佳化斷筋點!W215)</f>
        <v>10</v>
      </c>
      <c r="AW215" s="37">
        <f>IF(最佳化斷筋點!X215="","",最佳化斷筋點!X215)</f>
        <v>10</v>
      </c>
      <c r="AY215" s="6" t="s">
        <v>20</v>
      </c>
      <c r="AZ215" s="37">
        <v>7</v>
      </c>
      <c r="BA215" s="37">
        <v>7</v>
      </c>
      <c r="BB215" s="37">
        <v>7</v>
      </c>
      <c r="BC215" s="37">
        <v>7</v>
      </c>
      <c r="BD215" s="37">
        <v>7</v>
      </c>
      <c r="BE215" s="37">
        <v>6</v>
      </c>
      <c r="BF215" s="37">
        <v>6</v>
      </c>
      <c r="BG215" s="37">
        <v>4</v>
      </c>
      <c r="BH215" s="37">
        <v>4</v>
      </c>
      <c r="BI215" s="37">
        <v>4</v>
      </c>
      <c r="BJ215" s="37">
        <v>2</v>
      </c>
      <c r="BK215" s="37">
        <v>4</v>
      </c>
      <c r="BL215" s="37">
        <v>4</v>
      </c>
      <c r="BM215" s="37">
        <v>6</v>
      </c>
      <c r="BN215" s="37">
        <v>7</v>
      </c>
      <c r="BO215" s="37">
        <v>8</v>
      </c>
      <c r="BP215" s="37">
        <v>9</v>
      </c>
      <c r="BQ215" s="37">
        <v>10</v>
      </c>
      <c r="BR215" s="37">
        <v>10</v>
      </c>
      <c r="BS215" s="37">
        <v>10</v>
      </c>
      <c r="BT215" s="37">
        <v>10</v>
      </c>
    </row>
    <row r="216" spans="5:72" x14ac:dyDescent="0.25">
      <c r="F216" s="6">
        <f t="shared" si="64"/>
        <v>0</v>
      </c>
      <c r="G216" s="6">
        <f t="shared" si="65"/>
        <v>0</v>
      </c>
      <c r="H216" s="6">
        <f t="shared" si="66"/>
        <v>0</v>
      </c>
      <c r="I216" s="6">
        <f t="shared" si="67"/>
        <v>0</v>
      </c>
      <c r="J216" s="6">
        <f t="shared" si="68"/>
        <v>0</v>
      </c>
      <c r="K216" s="6">
        <f t="shared" si="69"/>
        <v>0</v>
      </c>
      <c r="L216" s="6">
        <f t="shared" si="70"/>
        <v>0</v>
      </c>
      <c r="M216" s="6">
        <f t="shared" si="71"/>
        <v>0</v>
      </c>
      <c r="N216" s="6">
        <f t="shared" si="72"/>
        <v>0</v>
      </c>
      <c r="O216" s="6">
        <f t="shared" si="73"/>
        <v>0</v>
      </c>
      <c r="P216" s="6">
        <f t="shared" si="74"/>
        <v>0</v>
      </c>
      <c r="Q216" s="6">
        <f t="shared" si="75"/>
        <v>0</v>
      </c>
      <c r="R216" s="6">
        <f t="shared" si="76"/>
        <v>0</v>
      </c>
      <c r="S216" s="6">
        <f t="shared" si="77"/>
        <v>0</v>
      </c>
      <c r="T216" s="6">
        <f t="shared" si="78"/>
        <v>0</v>
      </c>
      <c r="U216" s="6">
        <f t="shared" si="79"/>
        <v>0</v>
      </c>
      <c r="V216" s="6">
        <f t="shared" si="80"/>
        <v>0</v>
      </c>
      <c r="W216" s="6">
        <f t="shared" si="81"/>
        <v>0</v>
      </c>
      <c r="X216" s="6">
        <f t="shared" si="82"/>
        <v>0</v>
      </c>
      <c r="Y216" s="6">
        <f t="shared" si="83"/>
        <v>0</v>
      </c>
      <c r="Z216" s="6">
        <f t="shared" si="84"/>
        <v>0</v>
      </c>
      <c r="AB216" s="36" t="str">
        <f>IF(最佳化斷筋點!C216="","",最佳化斷筋點!C216)</f>
        <v/>
      </c>
      <c r="AC216" s="37" t="str">
        <f>IF(最佳化斷筋點!D216="","",最佳化斷筋點!D216)</f>
        <v/>
      </c>
      <c r="AD216" s="37" t="str">
        <f>IF(最佳化斷筋點!E216="","",最佳化斷筋點!E216)</f>
        <v/>
      </c>
      <c r="AE216" s="37" t="str">
        <f>IF(最佳化斷筋點!F216="","",最佳化斷筋點!F216)</f>
        <v/>
      </c>
      <c r="AF216" s="37" t="str">
        <f>IF(最佳化斷筋點!G216="","",最佳化斷筋點!G216)</f>
        <v/>
      </c>
      <c r="AG216" s="37" t="str">
        <f>IF(最佳化斷筋點!H216="","",最佳化斷筋點!H216)</f>
        <v/>
      </c>
      <c r="AH216" s="37" t="str">
        <f>IF(最佳化斷筋點!I216="","",最佳化斷筋點!I216)</f>
        <v/>
      </c>
      <c r="AI216" s="37" t="str">
        <f>IF(最佳化斷筋點!J216="","",最佳化斷筋點!J216)</f>
        <v/>
      </c>
      <c r="AJ216" s="37" t="str">
        <f>IF(最佳化斷筋點!K216="","",最佳化斷筋點!K216)</f>
        <v/>
      </c>
      <c r="AK216" s="37" t="str">
        <f>IF(最佳化斷筋點!L216="","",最佳化斷筋點!L216)</f>
        <v/>
      </c>
      <c r="AL216" s="37" t="str">
        <f>IF(最佳化斷筋點!M216="","",最佳化斷筋點!M216)</f>
        <v/>
      </c>
      <c r="AM216" s="37" t="str">
        <f>IF(最佳化斷筋點!N216="","",最佳化斷筋點!N216)</f>
        <v/>
      </c>
      <c r="AN216" s="37" t="str">
        <f>IF(最佳化斷筋點!O216="","",最佳化斷筋點!O216)</f>
        <v/>
      </c>
      <c r="AO216" s="37" t="str">
        <f>IF(最佳化斷筋點!P216="","",最佳化斷筋點!P216)</f>
        <v/>
      </c>
      <c r="AP216" s="37" t="str">
        <f>IF(最佳化斷筋點!Q216="","",最佳化斷筋點!Q216)</f>
        <v/>
      </c>
      <c r="AQ216" s="37" t="str">
        <f>IF(最佳化斷筋點!R216="","",最佳化斷筋點!R216)</f>
        <v/>
      </c>
      <c r="AR216" s="37" t="str">
        <f>IF(最佳化斷筋點!S216="","",最佳化斷筋點!S216)</f>
        <v/>
      </c>
      <c r="AS216" s="37" t="str">
        <f>IF(最佳化斷筋點!T216="","",最佳化斷筋點!T216)</f>
        <v/>
      </c>
      <c r="AT216" s="37" t="str">
        <f>IF(最佳化斷筋點!U216="","",最佳化斷筋點!U216)</f>
        <v/>
      </c>
      <c r="AU216" s="37" t="str">
        <f>IF(最佳化斷筋點!V216="","",最佳化斷筋點!V216)</f>
        <v/>
      </c>
      <c r="AV216" s="37" t="str">
        <f>IF(最佳化斷筋點!W216="","",最佳化斷筋點!W216)</f>
        <v/>
      </c>
      <c r="AW216" s="37" t="str">
        <f>IF(最佳化斷筋點!X216="","",最佳化斷筋點!X216)</f>
        <v/>
      </c>
      <c r="AZ216" s="37" t="s">
        <v>197</v>
      </c>
      <c r="BA216" s="37" t="s">
        <v>197</v>
      </c>
      <c r="BB216" s="37" t="s">
        <v>197</v>
      </c>
      <c r="BC216" s="37" t="s">
        <v>197</v>
      </c>
      <c r="BD216" s="37" t="s">
        <v>197</v>
      </c>
      <c r="BE216" s="37" t="s">
        <v>197</v>
      </c>
      <c r="BF216" s="37" t="s">
        <v>197</v>
      </c>
      <c r="BG216" s="37" t="s">
        <v>197</v>
      </c>
      <c r="BH216" s="37" t="s">
        <v>197</v>
      </c>
      <c r="BI216" s="37" t="s">
        <v>197</v>
      </c>
      <c r="BJ216" s="37" t="s">
        <v>197</v>
      </c>
      <c r="BK216" s="37" t="s">
        <v>197</v>
      </c>
      <c r="BL216" s="37" t="s">
        <v>197</v>
      </c>
      <c r="BM216" s="37" t="s">
        <v>197</v>
      </c>
      <c r="BN216" s="37" t="s">
        <v>197</v>
      </c>
      <c r="BO216" s="37" t="s">
        <v>197</v>
      </c>
      <c r="BP216" s="37" t="s">
        <v>197</v>
      </c>
      <c r="BQ216" s="37" t="s">
        <v>197</v>
      </c>
      <c r="BR216" s="37" t="s">
        <v>197</v>
      </c>
      <c r="BS216" s="37" t="s">
        <v>197</v>
      </c>
      <c r="BT216" s="37" t="s">
        <v>197</v>
      </c>
    </row>
    <row r="217" spans="5:72" x14ac:dyDescent="0.25">
      <c r="E217" s="6" t="s">
        <v>21</v>
      </c>
      <c r="F217" s="6">
        <f t="shared" si="64"/>
        <v>0</v>
      </c>
      <c r="G217" s="6">
        <f t="shared" si="65"/>
        <v>0</v>
      </c>
      <c r="H217" s="6">
        <f t="shared" si="66"/>
        <v>0</v>
      </c>
      <c r="I217" s="6">
        <f t="shared" si="67"/>
        <v>0</v>
      </c>
      <c r="J217" s="6">
        <f t="shared" si="68"/>
        <v>0</v>
      </c>
      <c r="K217" s="6">
        <f t="shared" si="69"/>
        <v>0</v>
      </c>
      <c r="L217" s="6">
        <f t="shared" si="70"/>
        <v>0</v>
      </c>
      <c r="M217" s="6">
        <f t="shared" si="71"/>
        <v>0</v>
      </c>
      <c r="N217" s="6">
        <f t="shared" si="72"/>
        <v>0</v>
      </c>
      <c r="O217" s="6">
        <f t="shared" si="73"/>
        <v>0</v>
      </c>
      <c r="P217" s="6">
        <f t="shared" si="74"/>
        <v>0</v>
      </c>
      <c r="Q217" s="6">
        <f t="shared" si="75"/>
        <v>0</v>
      </c>
      <c r="R217" s="6">
        <f t="shared" si="76"/>
        <v>0</v>
      </c>
      <c r="S217" s="6">
        <f t="shared" si="77"/>
        <v>0</v>
      </c>
      <c r="T217" s="6">
        <f t="shared" si="78"/>
        <v>0</v>
      </c>
      <c r="U217" s="6">
        <f t="shared" si="79"/>
        <v>0</v>
      </c>
      <c r="V217" s="6">
        <f t="shared" si="80"/>
        <v>0</v>
      </c>
      <c r="W217" s="6">
        <f t="shared" si="81"/>
        <v>0</v>
      </c>
      <c r="X217" s="6">
        <f t="shared" si="82"/>
        <v>0</v>
      </c>
      <c r="Y217" s="6">
        <f t="shared" si="83"/>
        <v>0</v>
      </c>
      <c r="Z217" s="6">
        <f t="shared" si="84"/>
        <v>0</v>
      </c>
      <c r="AB217" s="36" t="str">
        <f>IF(最佳化斷筋點!C217="","",最佳化斷筋點!C217)</f>
        <v>下層</v>
      </c>
      <c r="AC217" s="37">
        <f>IF(最佳化斷筋點!D217="","",最佳化斷筋點!D217)</f>
        <v>4</v>
      </c>
      <c r="AD217" s="37">
        <f>IF(最佳化斷筋點!E217="","",最佳化斷筋點!E217)</f>
        <v>4</v>
      </c>
      <c r="AE217" s="37">
        <f>IF(最佳化斷筋點!F217="","",最佳化斷筋點!F217)</f>
        <v>4</v>
      </c>
      <c r="AF217" s="37">
        <f>IF(最佳化斷筋點!G217="","",最佳化斷筋點!G217)</f>
        <v>4</v>
      </c>
      <c r="AG217" s="37">
        <f>IF(最佳化斷筋點!H217="","",最佳化斷筋點!H217)</f>
        <v>4</v>
      </c>
      <c r="AH217" s="37">
        <f>IF(最佳化斷筋點!I217="","",最佳化斷筋點!I217)</f>
        <v>4</v>
      </c>
      <c r="AI217" s="37">
        <f>IF(最佳化斷筋點!J217="","",最佳化斷筋點!J217)</f>
        <v>4</v>
      </c>
      <c r="AJ217" s="37">
        <f>IF(最佳化斷筋點!K217="","",最佳化斷筋點!K217)</f>
        <v>4</v>
      </c>
      <c r="AK217" s="37">
        <f>IF(最佳化斷筋點!L217="","",最佳化斷筋點!L217)</f>
        <v>4</v>
      </c>
      <c r="AL217" s="37">
        <f>IF(最佳化斷筋點!M217="","",最佳化斷筋點!M217)</f>
        <v>4</v>
      </c>
      <c r="AM217" s="37">
        <f>IF(最佳化斷筋點!N217="","",最佳化斷筋點!N217)</f>
        <v>4</v>
      </c>
      <c r="AN217" s="37">
        <f>IF(最佳化斷筋點!O217="","",最佳化斷筋點!O217)</f>
        <v>4</v>
      </c>
      <c r="AO217" s="37">
        <f>IF(最佳化斷筋點!P217="","",最佳化斷筋點!P217)</f>
        <v>4</v>
      </c>
      <c r="AP217" s="37">
        <f>IF(最佳化斷筋點!Q217="","",最佳化斷筋點!Q217)</f>
        <v>4</v>
      </c>
      <c r="AQ217" s="37">
        <f>IF(最佳化斷筋點!R217="","",最佳化斷筋點!R217)</f>
        <v>4</v>
      </c>
      <c r="AR217" s="37">
        <f>IF(最佳化斷筋點!S217="","",最佳化斷筋點!S217)</f>
        <v>4</v>
      </c>
      <c r="AS217" s="37">
        <f>IF(最佳化斷筋點!T217="","",最佳化斷筋點!T217)</f>
        <v>4</v>
      </c>
      <c r="AT217" s="37">
        <f>IF(最佳化斷筋點!U217="","",最佳化斷筋點!U217)</f>
        <v>5</v>
      </c>
      <c r="AU217" s="37">
        <f>IF(最佳化斷筋點!V217="","",最佳化斷筋點!V217)</f>
        <v>5</v>
      </c>
      <c r="AV217" s="37">
        <f>IF(最佳化斷筋點!W217="","",最佳化斷筋點!W217)</f>
        <v>5</v>
      </c>
      <c r="AW217" s="37">
        <f>IF(最佳化斷筋點!X217="","",最佳化斷筋點!X217)</f>
        <v>5</v>
      </c>
      <c r="AY217" s="6" t="s">
        <v>21</v>
      </c>
      <c r="AZ217" s="37">
        <v>4</v>
      </c>
      <c r="BA217" s="37">
        <v>4</v>
      </c>
      <c r="BB217" s="37">
        <v>4</v>
      </c>
      <c r="BC217" s="37">
        <v>4</v>
      </c>
      <c r="BD217" s="37">
        <v>4</v>
      </c>
      <c r="BE217" s="37">
        <v>4</v>
      </c>
      <c r="BF217" s="37">
        <v>4</v>
      </c>
      <c r="BG217" s="37">
        <v>4</v>
      </c>
      <c r="BH217" s="37">
        <v>4</v>
      </c>
      <c r="BI217" s="37">
        <v>4</v>
      </c>
      <c r="BJ217" s="37">
        <v>4</v>
      </c>
      <c r="BK217" s="37">
        <v>4</v>
      </c>
      <c r="BL217" s="37">
        <v>4</v>
      </c>
      <c r="BM217" s="37">
        <v>4</v>
      </c>
      <c r="BN217" s="37">
        <v>4</v>
      </c>
      <c r="BO217" s="37">
        <v>4</v>
      </c>
      <c r="BP217" s="37">
        <v>4</v>
      </c>
      <c r="BQ217" s="37">
        <v>5</v>
      </c>
      <c r="BR217" s="37">
        <v>5</v>
      </c>
      <c r="BS217" s="37">
        <v>5</v>
      </c>
      <c r="BT217" s="37">
        <v>5</v>
      </c>
    </row>
    <row r="218" spans="5:72" x14ac:dyDescent="0.25">
      <c r="F218" s="6">
        <f t="shared" si="64"/>
        <v>0</v>
      </c>
      <c r="G218" s="6">
        <f t="shared" si="65"/>
        <v>0</v>
      </c>
      <c r="H218" s="6">
        <f t="shared" si="66"/>
        <v>0</v>
      </c>
      <c r="I218" s="6">
        <f t="shared" si="67"/>
        <v>0</v>
      </c>
      <c r="J218" s="6">
        <f t="shared" si="68"/>
        <v>0</v>
      </c>
      <c r="K218" s="6">
        <f t="shared" si="69"/>
        <v>0</v>
      </c>
      <c r="L218" s="6">
        <f t="shared" si="70"/>
        <v>0</v>
      </c>
      <c r="M218" s="6">
        <f t="shared" si="71"/>
        <v>0</v>
      </c>
      <c r="N218" s="6">
        <f t="shared" si="72"/>
        <v>0</v>
      </c>
      <c r="O218" s="6">
        <f t="shared" si="73"/>
        <v>0</v>
      </c>
      <c r="P218" s="6">
        <f t="shared" si="74"/>
        <v>0</v>
      </c>
      <c r="Q218" s="6">
        <f t="shared" si="75"/>
        <v>0</v>
      </c>
      <c r="R218" s="6">
        <f t="shared" si="76"/>
        <v>0</v>
      </c>
      <c r="S218" s="6">
        <f t="shared" si="77"/>
        <v>0</v>
      </c>
      <c r="T218" s="6">
        <f t="shared" si="78"/>
        <v>0</v>
      </c>
      <c r="U218" s="6">
        <f t="shared" si="79"/>
        <v>0</v>
      </c>
      <c r="V218" s="6">
        <f t="shared" si="80"/>
        <v>0</v>
      </c>
      <c r="W218" s="6">
        <f t="shared" si="81"/>
        <v>0</v>
      </c>
      <c r="X218" s="6">
        <f t="shared" si="82"/>
        <v>0</v>
      </c>
      <c r="Y218" s="6">
        <f t="shared" si="83"/>
        <v>0</v>
      </c>
      <c r="Z218" s="6">
        <f t="shared" si="84"/>
        <v>0</v>
      </c>
      <c r="AB218" s="36" t="str">
        <f>IF(最佳化斷筋點!C218="","",最佳化斷筋點!C218)</f>
        <v/>
      </c>
      <c r="AC218" s="37" t="str">
        <f>IF(最佳化斷筋點!D218="","",最佳化斷筋點!D218)</f>
        <v/>
      </c>
      <c r="AD218" s="37" t="str">
        <f>IF(最佳化斷筋點!E218="","",最佳化斷筋點!E218)</f>
        <v/>
      </c>
      <c r="AE218" s="37" t="str">
        <f>IF(最佳化斷筋點!F218="","",最佳化斷筋點!F218)</f>
        <v/>
      </c>
      <c r="AF218" s="37" t="str">
        <f>IF(最佳化斷筋點!G218="","",最佳化斷筋點!G218)</f>
        <v/>
      </c>
      <c r="AG218" s="37" t="str">
        <f>IF(最佳化斷筋點!H218="","",最佳化斷筋點!H218)</f>
        <v/>
      </c>
      <c r="AH218" s="37" t="str">
        <f>IF(最佳化斷筋點!I218="","",最佳化斷筋點!I218)</f>
        <v/>
      </c>
      <c r="AI218" s="37" t="str">
        <f>IF(最佳化斷筋點!J218="","",最佳化斷筋點!J218)</f>
        <v/>
      </c>
      <c r="AJ218" s="37" t="str">
        <f>IF(最佳化斷筋點!K218="","",最佳化斷筋點!K218)</f>
        <v/>
      </c>
      <c r="AK218" s="37" t="str">
        <f>IF(最佳化斷筋點!L218="","",最佳化斷筋點!L218)</f>
        <v/>
      </c>
      <c r="AL218" s="37" t="str">
        <f>IF(最佳化斷筋點!M218="","",最佳化斷筋點!M218)</f>
        <v/>
      </c>
      <c r="AM218" s="37" t="str">
        <f>IF(最佳化斷筋點!N218="","",最佳化斷筋點!N218)</f>
        <v/>
      </c>
      <c r="AN218" s="37" t="str">
        <f>IF(最佳化斷筋點!O218="","",最佳化斷筋點!O218)</f>
        <v/>
      </c>
      <c r="AO218" s="37" t="str">
        <f>IF(最佳化斷筋點!P218="","",最佳化斷筋點!P218)</f>
        <v/>
      </c>
      <c r="AP218" s="37" t="str">
        <f>IF(最佳化斷筋點!Q218="","",最佳化斷筋點!Q218)</f>
        <v/>
      </c>
      <c r="AQ218" s="37" t="str">
        <f>IF(最佳化斷筋點!R218="","",最佳化斷筋點!R218)</f>
        <v/>
      </c>
      <c r="AR218" s="37" t="str">
        <f>IF(最佳化斷筋點!S218="","",最佳化斷筋點!S218)</f>
        <v/>
      </c>
      <c r="AS218" s="37" t="str">
        <f>IF(最佳化斷筋點!T218="","",最佳化斷筋點!T218)</f>
        <v/>
      </c>
      <c r="AT218" s="37" t="str">
        <f>IF(最佳化斷筋點!U218="","",最佳化斷筋點!U218)</f>
        <v/>
      </c>
      <c r="AU218" s="37" t="str">
        <f>IF(最佳化斷筋點!V218="","",最佳化斷筋點!V218)</f>
        <v/>
      </c>
      <c r="AV218" s="37" t="str">
        <f>IF(最佳化斷筋點!W218="","",最佳化斷筋點!W218)</f>
        <v/>
      </c>
      <c r="AW218" s="37" t="str">
        <f>IF(最佳化斷筋點!X218="","",最佳化斷筋點!X218)</f>
        <v/>
      </c>
      <c r="AZ218" s="37" t="s">
        <v>197</v>
      </c>
      <c r="BA218" s="37" t="s">
        <v>197</v>
      </c>
      <c r="BB218" s="37" t="s">
        <v>197</v>
      </c>
      <c r="BC218" s="37" t="s">
        <v>197</v>
      </c>
      <c r="BD218" s="37" t="s">
        <v>197</v>
      </c>
      <c r="BE218" s="37" t="s">
        <v>197</v>
      </c>
      <c r="BF218" s="37" t="s">
        <v>197</v>
      </c>
      <c r="BG218" s="37" t="s">
        <v>197</v>
      </c>
      <c r="BH218" s="37" t="s">
        <v>197</v>
      </c>
      <c r="BI218" s="37" t="s">
        <v>197</v>
      </c>
      <c r="BJ218" s="37" t="s">
        <v>197</v>
      </c>
      <c r="BK218" s="37" t="s">
        <v>197</v>
      </c>
      <c r="BL218" s="37" t="s">
        <v>197</v>
      </c>
      <c r="BM218" s="37" t="s">
        <v>197</v>
      </c>
      <c r="BN218" s="37" t="s">
        <v>197</v>
      </c>
      <c r="BO218" s="37" t="s">
        <v>197</v>
      </c>
      <c r="BP218" s="37" t="s">
        <v>197</v>
      </c>
      <c r="BQ218" s="37" t="s">
        <v>197</v>
      </c>
      <c r="BR218" s="37" t="s">
        <v>197</v>
      </c>
      <c r="BS218" s="37" t="s">
        <v>197</v>
      </c>
      <c r="BT218" s="37" t="s">
        <v>197</v>
      </c>
    </row>
    <row r="219" spans="5:72" x14ac:dyDescent="0.25">
      <c r="E219" s="6" t="s">
        <v>20</v>
      </c>
      <c r="F219" s="6">
        <f t="shared" si="64"/>
        <v>0</v>
      </c>
      <c r="G219" s="6">
        <f t="shared" si="65"/>
        <v>0</v>
      </c>
      <c r="H219" s="6">
        <f t="shared" si="66"/>
        <v>0</v>
      </c>
      <c r="I219" s="6">
        <f t="shared" si="67"/>
        <v>0</v>
      </c>
      <c r="J219" s="6">
        <f t="shared" si="68"/>
        <v>0</v>
      </c>
      <c r="K219" s="6">
        <f t="shared" si="69"/>
        <v>0</v>
      </c>
      <c r="L219" s="6">
        <f t="shared" si="70"/>
        <v>0</v>
      </c>
      <c r="M219" s="6">
        <f t="shared" si="71"/>
        <v>0</v>
      </c>
      <c r="N219" s="6">
        <f t="shared" si="72"/>
        <v>0</v>
      </c>
      <c r="O219" s="6">
        <f t="shared" si="73"/>
        <v>0</v>
      </c>
      <c r="P219" s="6">
        <f t="shared" si="74"/>
        <v>0</v>
      </c>
      <c r="Q219" s="6">
        <f t="shared" si="75"/>
        <v>0</v>
      </c>
      <c r="R219" s="6">
        <f t="shared" si="76"/>
        <v>0</v>
      </c>
      <c r="S219" s="6">
        <f t="shared" si="77"/>
        <v>0</v>
      </c>
      <c r="T219" s="6">
        <f t="shared" si="78"/>
        <v>0</v>
      </c>
      <c r="U219" s="6">
        <f t="shared" si="79"/>
        <v>0</v>
      </c>
      <c r="V219" s="6">
        <f t="shared" si="80"/>
        <v>0</v>
      </c>
      <c r="W219" s="6">
        <f t="shared" si="81"/>
        <v>0</v>
      </c>
      <c r="X219" s="6">
        <f t="shared" si="82"/>
        <v>0</v>
      </c>
      <c r="Y219" s="6">
        <f t="shared" si="83"/>
        <v>0</v>
      </c>
      <c r="Z219" s="6">
        <f t="shared" si="84"/>
        <v>0</v>
      </c>
      <c r="AB219" s="36" t="str">
        <f>IF(最佳化斷筋點!C219="","",最佳化斷筋點!C219)</f>
        <v>上層</v>
      </c>
      <c r="AC219" s="37">
        <f>IF(最佳化斷筋點!D219="","",最佳化斷筋點!D219)</f>
        <v>8</v>
      </c>
      <c r="AD219" s="37">
        <f>IF(最佳化斷筋點!E219="","",最佳化斷筋點!E219)</f>
        <v>8</v>
      </c>
      <c r="AE219" s="37">
        <f>IF(最佳化斷筋點!F219="","",最佳化斷筋點!F219)</f>
        <v>8</v>
      </c>
      <c r="AF219" s="37">
        <f>IF(最佳化斷筋點!G219="","",最佳化斷筋點!G219)</f>
        <v>8</v>
      </c>
      <c r="AG219" s="37">
        <f>IF(最佳化斷筋點!H219="","",最佳化斷筋點!H219)</f>
        <v>8</v>
      </c>
      <c r="AH219" s="37">
        <f>IF(最佳化斷筋點!I219="","",最佳化斷筋點!I219)</f>
        <v>7</v>
      </c>
      <c r="AI219" s="37">
        <f>IF(最佳化斷筋點!J219="","",最佳化斷筋點!J219)</f>
        <v>6</v>
      </c>
      <c r="AJ219" s="37">
        <f>IF(最佳化斷筋點!K219="","",最佳化斷筋點!K219)</f>
        <v>3</v>
      </c>
      <c r="AK219" s="37">
        <f>IF(最佳化斷筋點!L219="","",最佳化斷筋點!L219)</f>
        <v>3</v>
      </c>
      <c r="AL219" s="37">
        <f>IF(最佳化斷筋點!M219="","",最佳化斷筋點!M219)</f>
        <v>3</v>
      </c>
      <c r="AM219" s="37">
        <f>IF(最佳化斷筋點!N219="","",最佳化斷筋點!N219)</f>
        <v>3</v>
      </c>
      <c r="AN219" s="37">
        <f>IF(最佳化斷筋點!O219="","",最佳化斷筋點!O219)</f>
        <v>3</v>
      </c>
      <c r="AO219" s="37">
        <f>IF(最佳化斷筋點!P219="","",最佳化斷筋點!P219)</f>
        <v>3</v>
      </c>
      <c r="AP219" s="37">
        <f>IF(最佳化斷筋點!Q219="","",最佳化斷筋點!Q219)</f>
        <v>5</v>
      </c>
      <c r="AQ219" s="37">
        <f>IF(最佳化斷筋點!R219="","",最佳化斷筋點!R219)</f>
        <v>6</v>
      </c>
      <c r="AR219" s="37">
        <f>IF(最佳化斷筋點!S219="","",最佳化斷筋點!S219)</f>
        <v>7</v>
      </c>
      <c r="AS219" s="37">
        <f>IF(最佳化斷筋點!T219="","",最佳化斷筋點!T219)</f>
        <v>8</v>
      </c>
      <c r="AT219" s="37">
        <f>IF(最佳化斷筋點!U219="","",最佳化斷筋點!U219)</f>
        <v>9</v>
      </c>
      <c r="AU219" s="37">
        <f>IF(最佳化斷筋點!V219="","",最佳化斷筋點!V219)</f>
        <v>9</v>
      </c>
      <c r="AV219" s="37">
        <f>IF(最佳化斷筋點!W219="","",最佳化斷筋點!W219)</f>
        <v>9</v>
      </c>
      <c r="AW219" s="37">
        <f>IF(最佳化斷筋點!X219="","",最佳化斷筋點!X219)</f>
        <v>9</v>
      </c>
      <c r="AY219" s="6" t="s">
        <v>20</v>
      </c>
      <c r="AZ219" s="37">
        <v>8</v>
      </c>
      <c r="BA219" s="37">
        <v>8</v>
      </c>
      <c r="BB219" s="37">
        <v>8</v>
      </c>
      <c r="BC219" s="37">
        <v>8</v>
      </c>
      <c r="BD219" s="37">
        <v>8</v>
      </c>
      <c r="BE219" s="37">
        <v>7</v>
      </c>
      <c r="BF219" s="37">
        <v>6</v>
      </c>
      <c r="BG219" s="37">
        <v>3</v>
      </c>
      <c r="BH219" s="37">
        <v>3</v>
      </c>
      <c r="BI219" s="37">
        <v>3</v>
      </c>
      <c r="BJ219" s="37">
        <v>3</v>
      </c>
      <c r="BK219" s="37">
        <v>3</v>
      </c>
      <c r="BL219" s="37">
        <v>3</v>
      </c>
      <c r="BM219" s="37">
        <v>5</v>
      </c>
      <c r="BN219" s="37">
        <v>6</v>
      </c>
      <c r="BO219" s="37">
        <v>7</v>
      </c>
      <c r="BP219" s="37">
        <v>8</v>
      </c>
      <c r="BQ219" s="37">
        <v>9</v>
      </c>
      <c r="BR219" s="37">
        <v>9</v>
      </c>
      <c r="BS219" s="37">
        <v>9</v>
      </c>
      <c r="BT219" s="37">
        <v>9</v>
      </c>
    </row>
    <row r="220" spans="5:72" x14ac:dyDescent="0.25">
      <c r="F220" s="6">
        <f t="shared" si="64"/>
        <v>0</v>
      </c>
      <c r="G220" s="6">
        <f t="shared" si="65"/>
        <v>0</v>
      </c>
      <c r="H220" s="6">
        <f t="shared" si="66"/>
        <v>0</v>
      </c>
      <c r="I220" s="6">
        <f t="shared" si="67"/>
        <v>0</v>
      </c>
      <c r="J220" s="6">
        <f t="shared" si="68"/>
        <v>0</v>
      </c>
      <c r="K220" s="6">
        <f t="shared" si="69"/>
        <v>0</v>
      </c>
      <c r="L220" s="6">
        <f t="shared" si="70"/>
        <v>0</v>
      </c>
      <c r="M220" s="6">
        <f t="shared" si="71"/>
        <v>0</v>
      </c>
      <c r="N220" s="6">
        <f t="shared" si="72"/>
        <v>0</v>
      </c>
      <c r="O220" s="6">
        <f t="shared" si="73"/>
        <v>0</v>
      </c>
      <c r="P220" s="6">
        <f t="shared" si="74"/>
        <v>0</v>
      </c>
      <c r="Q220" s="6">
        <f t="shared" si="75"/>
        <v>0</v>
      </c>
      <c r="R220" s="6">
        <f t="shared" si="76"/>
        <v>0</v>
      </c>
      <c r="S220" s="6">
        <f t="shared" si="77"/>
        <v>0</v>
      </c>
      <c r="T220" s="6">
        <f t="shared" si="78"/>
        <v>0</v>
      </c>
      <c r="U220" s="6">
        <f t="shared" si="79"/>
        <v>0</v>
      </c>
      <c r="V220" s="6">
        <f t="shared" si="80"/>
        <v>0</v>
      </c>
      <c r="W220" s="6">
        <f t="shared" si="81"/>
        <v>0</v>
      </c>
      <c r="X220" s="6">
        <f t="shared" si="82"/>
        <v>0</v>
      </c>
      <c r="Y220" s="6">
        <f t="shared" si="83"/>
        <v>0</v>
      </c>
      <c r="Z220" s="6">
        <f t="shared" si="84"/>
        <v>0</v>
      </c>
      <c r="AB220" s="36" t="str">
        <f>IF(最佳化斷筋點!C220="","",最佳化斷筋點!C220)</f>
        <v/>
      </c>
      <c r="AC220" s="37" t="str">
        <f>IF(最佳化斷筋點!D220="","",最佳化斷筋點!D220)</f>
        <v/>
      </c>
      <c r="AD220" s="37" t="str">
        <f>IF(最佳化斷筋點!E220="","",最佳化斷筋點!E220)</f>
        <v/>
      </c>
      <c r="AE220" s="37" t="str">
        <f>IF(最佳化斷筋點!F220="","",最佳化斷筋點!F220)</f>
        <v/>
      </c>
      <c r="AF220" s="37" t="str">
        <f>IF(最佳化斷筋點!G220="","",最佳化斷筋點!G220)</f>
        <v/>
      </c>
      <c r="AG220" s="37" t="str">
        <f>IF(最佳化斷筋點!H220="","",最佳化斷筋點!H220)</f>
        <v/>
      </c>
      <c r="AH220" s="37" t="str">
        <f>IF(最佳化斷筋點!I220="","",最佳化斷筋點!I220)</f>
        <v/>
      </c>
      <c r="AI220" s="37" t="str">
        <f>IF(最佳化斷筋點!J220="","",最佳化斷筋點!J220)</f>
        <v/>
      </c>
      <c r="AJ220" s="37" t="str">
        <f>IF(最佳化斷筋點!K220="","",最佳化斷筋點!K220)</f>
        <v/>
      </c>
      <c r="AK220" s="37" t="str">
        <f>IF(最佳化斷筋點!L220="","",最佳化斷筋點!L220)</f>
        <v/>
      </c>
      <c r="AL220" s="37" t="str">
        <f>IF(最佳化斷筋點!M220="","",最佳化斷筋點!M220)</f>
        <v/>
      </c>
      <c r="AM220" s="37" t="str">
        <f>IF(最佳化斷筋點!N220="","",最佳化斷筋點!N220)</f>
        <v/>
      </c>
      <c r="AN220" s="37" t="str">
        <f>IF(最佳化斷筋點!O220="","",最佳化斷筋點!O220)</f>
        <v/>
      </c>
      <c r="AO220" s="37" t="str">
        <f>IF(最佳化斷筋點!P220="","",最佳化斷筋點!P220)</f>
        <v/>
      </c>
      <c r="AP220" s="37" t="str">
        <f>IF(最佳化斷筋點!Q220="","",最佳化斷筋點!Q220)</f>
        <v/>
      </c>
      <c r="AQ220" s="37" t="str">
        <f>IF(最佳化斷筋點!R220="","",最佳化斷筋點!R220)</f>
        <v/>
      </c>
      <c r="AR220" s="37" t="str">
        <f>IF(最佳化斷筋點!S220="","",最佳化斷筋點!S220)</f>
        <v/>
      </c>
      <c r="AS220" s="37" t="str">
        <f>IF(最佳化斷筋點!T220="","",最佳化斷筋點!T220)</f>
        <v/>
      </c>
      <c r="AT220" s="37" t="str">
        <f>IF(最佳化斷筋點!U220="","",最佳化斷筋點!U220)</f>
        <v/>
      </c>
      <c r="AU220" s="37" t="str">
        <f>IF(最佳化斷筋點!V220="","",最佳化斷筋點!V220)</f>
        <v/>
      </c>
      <c r="AV220" s="37" t="str">
        <f>IF(最佳化斷筋點!W220="","",最佳化斷筋點!W220)</f>
        <v/>
      </c>
      <c r="AW220" s="37" t="str">
        <f>IF(最佳化斷筋點!X220="","",最佳化斷筋點!X220)</f>
        <v/>
      </c>
      <c r="AZ220" s="37" t="s">
        <v>197</v>
      </c>
      <c r="BA220" s="37" t="s">
        <v>197</v>
      </c>
      <c r="BB220" s="37" t="s">
        <v>197</v>
      </c>
      <c r="BC220" s="37" t="s">
        <v>197</v>
      </c>
      <c r="BD220" s="37" t="s">
        <v>197</v>
      </c>
      <c r="BE220" s="37" t="s">
        <v>197</v>
      </c>
      <c r="BF220" s="37" t="s">
        <v>197</v>
      </c>
      <c r="BG220" s="37" t="s">
        <v>197</v>
      </c>
      <c r="BH220" s="37" t="s">
        <v>197</v>
      </c>
      <c r="BI220" s="37" t="s">
        <v>197</v>
      </c>
      <c r="BJ220" s="37" t="s">
        <v>197</v>
      </c>
      <c r="BK220" s="37" t="s">
        <v>197</v>
      </c>
      <c r="BL220" s="37" t="s">
        <v>197</v>
      </c>
      <c r="BM220" s="37" t="s">
        <v>197</v>
      </c>
      <c r="BN220" s="37" t="s">
        <v>197</v>
      </c>
      <c r="BO220" s="37" t="s">
        <v>197</v>
      </c>
      <c r="BP220" s="37" t="s">
        <v>197</v>
      </c>
      <c r="BQ220" s="37" t="s">
        <v>197</v>
      </c>
      <c r="BR220" s="37" t="s">
        <v>197</v>
      </c>
      <c r="BS220" s="37" t="s">
        <v>197</v>
      </c>
      <c r="BT220" s="37" t="s">
        <v>197</v>
      </c>
    </row>
    <row r="221" spans="5:72" x14ac:dyDescent="0.25">
      <c r="E221" s="6" t="s">
        <v>21</v>
      </c>
      <c r="F221" s="6">
        <f t="shared" si="64"/>
        <v>0</v>
      </c>
      <c r="G221" s="6">
        <f t="shared" si="65"/>
        <v>0</v>
      </c>
      <c r="H221" s="6">
        <f t="shared" si="66"/>
        <v>0</v>
      </c>
      <c r="I221" s="6">
        <f t="shared" si="67"/>
        <v>0</v>
      </c>
      <c r="J221" s="6">
        <f t="shared" si="68"/>
        <v>0</v>
      </c>
      <c r="K221" s="6">
        <f t="shared" si="69"/>
        <v>0</v>
      </c>
      <c r="L221" s="6">
        <f t="shared" si="70"/>
        <v>0</v>
      </c>
      <c r="M221" s="6">
        <f t="shared" si="71"/>
        <v>0</v>
      </c>
      <c r="N221" s="6">
        <f t="shared" si="72"/>
        <v>0</v>
      </c>
      <c r="O221" s="6">
        <f t="shared" si="73"/>
        <v>0</v>
      </c>
      <c r="P221" s="6">
        <f t="shared" si="74"/>
        <v>0</v>
      </c>
      <c r="Q221" s="6">
        <f t="shared" si="75"/>
        <v>0</v>
      </c>
      <c r="R221" s="6">
        <f t="shared" si="76"/>
        <v>0</v>
      </c>
      <c r="S221" s="6">
        <f t="shared" si="77"/>
        <v>0</v>
      </c>
      <c r="T221" s="6">
        <f t="shared" si="78"/>
        <v>0</v>
      </c>
      <c r="U221" s="6">
        <f t="shared" si="79"/>
        <v>0</v>
      </c>
      <c r="V221" s="6">
        <f t="shared" si="80"/>
        <v>0</v>
      </c>
      <c r="W221" s="6">
        <f t="shared" si="81"/>
        <v>0</v>
      </c>
      <c r="X221" s="6">
        <f t="shared" si="82"/>
        <v>0</v>
      </c>
      <c r="Y221" s="6">
        <f t="shared" si="83"/>
        <v>0</v>
      </c>
      <c r="Z221" s="6">
        <f t="shared" si="84"/>
        <v>0</v>
      </c>
      <c r="AB221" s="36" t="str">
        <f>IF(最佳化斷筋點!C221="","",最佳化斷筋點!C221)</f>
        <v>下層</v>
      </c>
      <c r="AC221" s="37">
        <f>IF(最佳化斷筋點!D221="","",最佳化斷筋點!D221)</f>
        <v>4</v>
      </c>
      <c r="AD221" s="37">
        <f>IF(最佳化斷筋點!E221="","",最佳化斷筋點!E221)</f>
        <v>4</v>
      </c>
      <c r="AE221" s="37">
        <f>IF(最佳化斷筋點!F221="","",最佳化斷筋點!F221)</f>
        <v>4</v>
      </c>
      <c r="AF221" s="37">
        <f>IF(最佳化斷筋點!G221="","",最佳化斷筋點!G221)</f>
        <v>4</v>
      </c>
      <c r="AG221" s="37">
        <f>IF(最佳化斷筋點!H221="","",最佳化斷筋點!H221)</f>
        <v>4</v>
      </c>
      <c r="AH221" s="37">
        <f>IF(最佳化斷筋點!I221="","",最佳化斷筋點!I221)</f>
        <v>3</v>
      </c>
      <c r="AI221" s="37">
        <f>IF(最佳化斷筋點!J221="","",最佳化斷筋點!J221)</f>
        <v>3</v>
      </c>
      <c r="AJ221" s="37">
        <f>IF(最佳化斷筋點!K221="","",最佳化斷筋點!K221)</f>
        <v>3</v>
      </c>
      <c r="AK221" s="37">
        <f>IF(最佳化斷筋點!L221="","",最佳化斷筋點!L221)</f>
        <v>3</v>
      </c>
      <c r="AL221" s="37">
        <f>IF(最佳化斷筋點!M221="","",最佳化斷筋點!M221)</f>
        <v>3</v>
      </c>
      <c r="AM221" s="37">
        <f>IF(最佳化斷筋點!N221="","",最佳化斷筋點!N221)</f>
        <v>3</v>
      </c>
      <c r="AN221" s="37">
        <f>IF(最佳化斷筋點!O221="","",最佳化斷筋點!O221)</f>
        <v>3</v>
      </c>
      <c r="AO221" s="37">
        <f>IF(最佳化斷筋點!P221="","",最佳化斷筋點!P221)</f>
        <v>3</v>
      </c>
      <c r="AP221" s="37">
        <f>IF(最佳化斷筋點!Q221="","",最佳化斷筋點!Q221)</f>
        <v>3</v>
      </c>
      <c r="AQ221" s="37">
        <f>IF(最佳化斷筋點!R221="","",最佳化斷筋點!R221)</f>
        <v>3</v>
      </c>
      <c r="AR221" s="37">
        <f>IF(最佳化斷筋點!S221="","",最佳化斷筋點!S221)</f>
        <v>4</v>
      </c>
      <c r="AS221" s="37">
        <f>IF(最佳化斷筋點!T221="","",最佳化斷筋點!T221)</f>
        <v>4</v>
      </c>
      <c r="AT221" s="37">
        <f>IF(最佳化斷筋點!U221="","",最佳化斷筋點!U221)</f>
        <v>5</v>
      </c>
      <c r="AU221" s="37">
        <f>IF(最佳化斷筋點!V221="","",最佳化斷筋點!V221)</f>
        <v>5</v>
      </c>
      <c r="AV221" s="37">
        <f>IF(最佳化斷筋點!W221="","",最佳化斷筋點!W221)</f>
        <v>5</v>
      </c>
      <c r="AW221" s="37">
        <f>IF(最佳化斷筋點!X221="","",最佳化斷筋點!X221)</f>
        <v>5</v>
      </c>
      <c r="AY221" s="6" t="s">
        <v>21</v>
      </c>
      <c r="AZ221" s="37">
        <v>4</v>
      </c>
      <c r="BA221" s="37">
        <v>4</v>
      </c>
      <c r="BB221" s="37">
        <v>4</v>
      </c>
      <c r="BC221" s="37">
        <v>4</v>
      </c>
      <c r="BD221" s="37">
        <v>4</v>
      </c>
      <c r="BE221" s="37">
        <v>3</v>
      </c>
      <c r="BF221" s="37">
        <v>3</v>
      </c>
      <c r="BG221" s="37">
        <v>3</v>
      </c>
      <c r="BH221" s="37">
        <v>3</v>
      </c>
      <c r="BI221" s="37">
        <v>3</v>
      </c>
      <c r="BJ221" s="37">
        <v>3</v>
      </c>
      <c r="BK221" s="37">
        <v>3</v>
      </c>
      <c r="BL221" s="37">
        <v>3</v>
      </c>
      <c r="BM221" s="37">
        <v>3</v>
      </c>
      <c r="BN221" s="37">
        <v>3</v>
      </c>
      <c r="BO221" s="37">
        <v>4</v>
      </c>
      <c r="BP221" s="37">
        <v>4</v>
      </c>
      <c r="BQ221" s="37">
        <v>5</v>
      </c>
      <c r="BR221" s="37">
        <v>5</v>
      </c>
      <c r="BS221" s="37">
        <v>5</v>
      </c>
      <c r="BT221" s="37">
        <v>5</v>
      </c>
    </row>
    <row r="222" spans="5:72" x14ac:dyDescent="0.25">
      <c r="F222" s="6">
        <f t="shared" si="64"/>
        <v>0</v>
      </c>
      <c r="G222" s="6">
        <f t="shared" si="65"/>
        <v>0</v>
      </c>
      <c r="H222" s="6">
        <f t="shared" si="66"/>
        <v>0</v>
      </c>
      <c r="I222" s="6">
        <f t="shared" si="67"/>
        <v>0</v>
      </c>
      <c r="J222" s="6">
        <f t="shared" si="68"/>
        <v>0</v>
      </c>
      <c r="K222" s="6">
        <f t="shared" si="69"/>
        <v>0</v>
      </c>
      <c r="L222" s="6">
        <f t="shared" si="70"/>
        <v>0</v>
      </c>
      <c r="M222" s="6">
        <f t="shared" si="71"/>
        <v>0</v>
      </c>
      <c r="N222" s="6">
        <f t="shared" si="72"/>
        <v>0</v>
      </c>
      <c r="O222" s="6">
        <f t="shared" si="73"/>
        <v>0</v>
      </c>
      <c r="P222" s="6">
        <f t="shared" si="74"/>
        <v>0</v>
      </c>
      <c r="Q222" s="6">
        <f t="shared" si="75"/>
        <v>0</v>
      </c>
      <c r="R222" s="6">
        <f t="shared" si="76"/>
        <v>0</v>
      </c>
      <c r="S222" s="6">
        <f t="shared" si="77"/>
        <v>0</v>
      </c>
      <c r="T222" s="6">
        <f t="shared" si="78"/>
        <v>0</v>
      </c>
      <c r="U222" s="6">
        <f t="shared" si="79"/>
        <v>0</v>
      </c>
      <c r="V222" s="6">
        <f t="shared" si="80"/>
        <v>0</v>
      </c>
      <c r="W222" s="6">
        <f t="shared" si="81"/>
        <v>0</v>
      </c>
      <c r="X222" s="6">
        <f t="shared" si="82"/>
        <v>0</v>
      </c>
      <c r="Y222" s="6">
        <f t="shared" si="83"/>
        <v>0</v>
      </c>
      <c r="Z222" s="6">
        <f t="shared" si="84"/>
        <v>0</v>
      </c>
      <c r="AB222" s="36" t="str">
        <f>IF(最佳化斷筋點!C222="","",最佳化斷筋點!C222)</f>
        <v/>
      </c>
      <c r="AC222" s="36" t="str">
        <f>IF(最佳化斷筋點!D222="","",最佳化斷筋點!D222)</f>
        <v/>
      </c>
      <c r="AD222" s="36" t="str">
        <f>IF(最佳化斷筋點!E222="","",最佳化斷筋點!E222)</f>
        <v/>
      </c>
      <c r="AE222" s="36" t="str">
        <f>IF(最佳化斷筋點!F222="","",最佳化斷筋點!F222)</f>
        <v/>
      </c>
      <c r="AF222" s="36" t="str">
        <f>IF(最佳化斷筋點!G222="","",最佳化斷筋點!G222)</f>
        <v/>
      </c>
      <c r="AG222" s="36" t="str">
        <f>IF(最佳化斷筋點!H222="","",最佳化斷筋點!H222)</f>
        <v/>
      </c>
      <c r="AH222" s="36" t="str">
        <f>IF(最佳化斷筋點!I222="","",最佳化斷筋點!I222)</f>
        <v/>
      </c>
      <c r="AI222" s="36" t="str">
        <f>IF(最佳化斷筋點!J222="","",最佳化斷筋點!J222)</f>
        <v/>
      </c>
      <c r="AJ222" s="36" t="str">
        <f>IF(最佳化斷筋點!K222="","",最佳化斷筋點!K222)</f>
        <v/>
      </c>
      <c r="AK222" s="36" t="str">
        <f>IF(最佳化斷筋點!L222="","",最佳化斷筋點!L222)</f>
        <v/>
      </c>
      <c r="AL222" s="36" t="str">
        <f>IF(最佳化斷筋點!M222="","",最佳化斷筋點!M222)</f>
        <v/>
      </c>
      <c r="AM222" s="36" t="str">
        <f>IF(最佳化斷筋點!N222="","",最佳化斷筋點!N222)</f>
        <v/>
      </c>
      <c r="AN222" s="36" t="str">
        <f>IF(最佳化斷筋點!O222="","",最佳化斷筋點!O222)</f>
        <v/>
      </c>
      <c r="AO222" s="36" t="str">
        <f>IF(最佳化斷筋點!P222="","",最佳化斷筋點!P222)</f>
        <v/>
      </c>
      <c r="AP222" s="36" t="str">
        <f>IF(最佳化斷筋點!Q222="","",最佳化斷筋點!Q222)</f>
        <v/>
      </c>
      <c r="AQ222" s="36" t="str">
        <f>IF(最佳化斷筋點!R222="","",最佳化斷筋點!R222)</f>
        <v/>
      </c>
      <c r="AR222" s="36" t="str">
        <f>IF(最佳化斷筋點!S222="","",最佳化斷筋點!S222)</f>
        <v/>
      </c>
      <c r="AS222" s="36" t="str">
        <f>IF(最佳化斷筋點!T222="","",最佳化斷筋點!T222)</f>
        <v/>
      </c>
      <c r="AT222" s="36" t="str">
        <f>IF(最佳化斷筋點!U222="","",最佳化斷筋點!U222)</f>
        <v/>
      </c>
      <c r="AU222" s="36" t="str">
        <f>IF(最佳化斷筋點!V222="","",最佳化斷筋點!V222)</f>
        <v/>
      </c>
      <c r="AV222" s="36" t="str">
        <f>IF(最佳化斷筋點!W222="","",最佳化斷筋點!W222)</f>
        <v/>
      </c>
      <c r="AW222" s="36" t="str">
        <f>IF(最佳化斷筋點!X222="","",最佳化斷筋點!X222)</f>
        <v/>
      </c>
      <c r="AZ222" s="37" t="s">
        <v>197</v>
      </c>
      <c r="BA222" s="37" t="s">
        <v>197</v>
      </c>
      <c r="BB222" s="37" t="s">
        <v>197</v>
      </c>
      <c r="BC222" s="37" t="s">
        <v>197</v>
      </c>
      <c r="BD222" s="37" t="s">
        <v>197</v>
      </c>
      <c r="BE222" s="37" t="s">
        <v>197</v>
      </c>
      <c r="BF222" s="37" t="s">
        <v>197</v>
      </c>
      <c r="BG222" s="37" t="s">
        <v>197</v>
      </c>
      <c r="BH222" s="37" t="s">
        <v>197</v>
      </c>
      <c r="BI222" s="37" t="s">
        <v>197</v>
      </c>
      <c r="BJ222" s="37" t="s">
        <v>197</v>
      </c>
      <c r="BK222" s="37" t="s">
        <v>197</v>
      </c>
      <c r="BL222" s="37" t="s">
        <v>197</v>
      </c>
      <c r="BM222" s="37" t="s">
        <v>197</v>
      </c>
      <c r="BN222" s="37" t="s">
        <v>197</v>
      </c>
      <c r="BO222" s="37" t="s">
        <v>197</v>
      </c>
      <c r="BP222" s="37" t="s">
        <v>197</v>
      </c>
      <c r="BQ222" s="37" t="s">
        <v>197</v>
      </c>
      <c r="BR222" s="37" t="s">
        <v>197</v>
      </c>
      <c r="BS222" s="37" t="s">
        <v>197</v>
      </c>
      <c r="BT222" s="37" t="s">
        <v>197</v>
      </c>
    </row>
    <row r="223" spans="5:72" x14ac:dyDescent="0.25">
      <c r="E223" s="6" t="s">
        <v>20</v>
      </c>
      <c r="F223" s="6">
        <f t="shared" si="64"/>
        <v>0</v>
      </c>
      <c r="G223" s="6">
        <f t="shared" si="65"/>
        <v>0</v>
      </c>
      <c r="H223" s="6">
        <f t="shared" si="66"/>
        <v>0</v>
      </c>
      <c r="I223" s="6">
        <f t="shared" si="67"/>
        <v>0</v>
      </c>
      <c r="J223" s="6">
        <f t="shared" si="68"/>
        <v>0</v>
      </c>
      <c r="K223" s="6">
        <f t="shared" si="69"/>
        <v>0</v>
      </c>
      <c r="L223" s="6">
        <f t="shared" si="70"/>
        <v>0</v>
      </c>
      <c r="M223" s="6">
        <f t="shared" si="71"/>
        <v>0</v>
      </c>
      <c r="N223" s="6">
        <f t="shared" si="72"/>
        <v>0</v>
      </c>
      <c r="O223" s="6">
        <f t="shared" si="73"/>
        <v>0</v>
      </c>
      <c r="P223" s="6">
        <f t="shared" si="74"/>
        <v>0</v>
      </c>
      <c r="Q223" s="6">
        <f t="shared" si="75"/>
        <v>0</v>
      </c>
      <c r="R223" s="6">
        <f t="shared" si="76"/>
        <v>0</v>
      </c>
      <c r="S223" s="6">
        <f t="shared" si="77"/>
        <v>0</v>
      </c>
      <c r="T223" s="6">
        <f t="shared" si="78"/>
        <v>0</v>
      </c>
      <c r="U223" s="6">
        <f t="shared" si="79"/>
        <v>0</v>
      </c>
      <c r="V223" s="6">
        <f t="shared" si="80"/>
        <v>0</v>
      </c>
      <c r="W223" s="6">
        <f t="shared" si="81"/>
        <v>0</v>
      </c>
      <c r="X223" s="6">
        <f t="shared" si="82"/>
        <v>0</v>
      </c>
      <c r="Y223" s="6">
        <f t="shared" si="83"/>
        <v>0</v>
      </c>
      <c r="Z223" s="6">
        <f t="shared" si="84"/>
        <v>0</v>
      </c>
      <c r="AB223" s="36" t="str">
        <f>IF(最佳化斷筋點!C223="","",最佳化斷筋點!C223)</f>
        <v>上層</v>
      </c>
      <c r="AC223" s="37">
        <f>IF(最佳化斷筋點!D223="","",最佳化斷筋點!D223)</f>
        <v>5</v>
      </c>
      <c r="AD223" s="37">
        <f>IF(最佳化斷筋點!E223="","",最佳化斷筋點!E223)</f>
        <v>5</v>
      </c>
      <c r="AE223" s="37">
        <f>IF(最佳化斷筋點!F223="","",最佳化斷筋點!F223)</f>
        <v>5</v>
      </c>
      <c r="AF223" s="37">
        <f>IF(最佳化斷筋點!G223="","",最佳化斷筋點!G223)</f>
        <v>5</v>
      </c>
      <c r="AG223" s="37">
        <f>IF(最佳化斷筋點!H223="","",最佳化斷筋點!H223)</f>
        <v>5</v>
      </c>
      <c r="AH223" s="37">
        <f>IF(最佳化斷筋點!I223="","",最佳化斷筋點!I223)</f>
        <v>5</v>
      </c>
      <c r="AI223" s="37">
        <f>IF(最佳化斷筋點!J223="","",最佳化斷筋點!J223)</f>
        <v>4</v>
      </c>
      <c r="AJ223" s="37">
        <f>IF(最佳化斷筋點!K223="","",最佳化斷筋點!K223)</f>
        <v>3</v>
      </c>
      <c r="AK223" s="37">
        <f>IF(最佳化斷筋點!L223="","",最佳化斷筋點!L223)</f>
        <v>3</v>
      </c>
      <c r="AL223" s="37">
        <f>IF(最佳化斷筋點!M223="","",最佳化斷筋點!M223)</f>
        <v>3</v>
      </c>
      <c r="AM223" s="37">
        <f>IF(最佳化斷筋點!N223="","",最佳化斷筋點!N223)</f>
        <v>2</v>
      </c>
      <c r="AN223" s="37">
        <f>IF(最佳化斷筋點!O223="","",最佳化斷筋點!O223)</f>
        <v>3</v>
      </c>
      <c r="AO223" s="37">
        <f>IF(最佳化斷筋點!P223="","",最佳化斷筋點!P223)</f>
        <v>3</v>
      </c>
      <c r="AP223" s="37">
        <f>IF(最佳化斷筋點!Q223="","",最佳化斷筋點!Q223)</f>
        <v>4</v>
      </c>
      <c r="AQ223" s="37">
        <f>IF(最佳化斷筋點!R223="","",最佳化斷筋點!R223)</f>
        <v>4</v>
      </c>
      <c r="AR223" s="37">
        <f>IF(最佳化斷筋點!S223="","",最佳化斷筋點!S223)</f>
        <v>5</v>
      </c>
      <c r="AS223" s="37">
        <f>IF(最佳化斷筋點!T223="","",最佳化斷筋點!T223)</f>
        <v>5</v>
      </c>
      <c r="AT223" s="37">
        <f>IF(最佳化斷筋點!U223="","",最佳化斷筋點!U223)</f>
        <v>6</v>
      </c>
      <c r="AU223" s="37">
        <f>IF(最佳化斷筋點!V223="","",最佳化斷筋點!V223)</f>
        <v>6</v>
      </c>
      <c r="AV223" s="37">
        <f>IF(最佳化斷筋點!W223="","",最佳化斷筋點!W223)</f>
        <v>6</v>
      </c>
      <c r="AW223" s="37">
        <f>IF(最佳化斷筋點!X223="","",最佳化斷筋點!X223)</f>
        <v>6</v>
      </c>
      <c r="AY223" s="6" t="s">
        <v>20</v>
      </c>
      <c r="AZ223" s="37">
        <v>5</v>
      </c>
      <c r="BA223" s="37">
        <v>5</v>
      </c>
      <c r="BB223" s="37">
        <v>5</v>
      </c>
      <c r="BC223" s="37">
        <v>5</v>
      </c>
      <c r="BD223" s="37">
        <v>5</v>
      </c>
      <c r="BE223" s="37">
        <v>5</v>
      </c>
      <c r="BF223" s="37">
        <v>4</v>
      </c>
      <c r="BG223" s="37">
        <v>3</v>
      </c>
      <c r="BH223" s="37">
        <v>3</v>
      </c>
      <c r="BI223" s="37">
        <v>3</v>
      </c>
      <c r="BJ223" s="37">
        <v>2</v>
      </c>
      <c r="BK223" s="37">
        <v>3</v>
      </c>
      <c r="BL223" s="37">
        <v>3</v>
      </c>
      <c r="BM223" s="37">
        <v>4</v>
      </c>
      <c r="BN223" s="37">
        <v>4</v>
      </c>
      <c r="BO223" s="37">
        <v>5</v>
      </c>
      <c r="BP223" s="37">
        <v>5</v>
      </c>
      <c r="BQ223" s="37">
        <v>6</v>
      </c>
      <c r="BR223" s="37">
        <v>6</v>
      </c>
      <c r="BS223" s="37">
        <v>6</v>
      </c>
      <c r="BT223" s="37">
        <v>6</v>
      </c>
    </row>
    <row r="224" spans="5:72" x14ac:dyDescent="0.25">
      <c r="F224" s="6">
        <f t="shared" si="64"/>
        <v>0</v>
      </c>
      <c r="G224" s="6">
        <f t="shared" si="65"/>
        <v>0</v>
      </c>
      <c r="H224" s="6">
        <f t="shared" si="66"/>
        <v>0</v>
      </c>
      <c r="I224" s="6">
        <f t="shared" si="67"/>
        <v>0</v>
      </c>
      <c r="J224" s="6">
        <f t="shared" si="68"/>
        <v>0</v>
      </c>
      <c r="K224" s="6">
        <f t="shared" si="69"/>
        <v>0</v>
      </c>
      <c r="L224" s="6">
        <f t="shared" si="70"/>
        <v>0</v>
      </c>
      <c r="M224" s="6">
        <f t="shared" si="71"/>
        <v>0</v>
      </c>
      <c r="N224" s="6">
        <f t="shared" si="72"/>
        <v>0</v>
      </c>
      <c r="O224" s="6">
        <f t="shared" si="73"/>
        <v>0</v>
      </c>
      <c r="P224" s="6">
        <f t="shared" si="74"/>
        <v>0</v>
      </c>
      <c r="Q224" s="6">
        <f t="shared" si="75"/>
        <v>0</v>
      </c>
      <c r="R224" s="6">
        <f t="shared" si="76"/>
        <v>0</v>
      </c>
      <c r="S224" s="6">
        <f t="shared" si="77"/>
        <v>0</v>
      </c>
      <c r="T224" s="6">
        <f t="shared" si="78"/>
        <v>0</v>
      </c>
      <c r="U224" s="6">
        <f t="shared" si="79"/>
        <v>0</v>
      </c>
      <c r="V224" s="6">
        <f t="shared" si="80"/>
        <v>0</v>
      </c>
      <c r="W224" s="6">
        <f t="shared" si="81"/>
        <v>0</v>
      </c>
      <c r="X224" s="6">
        <f t="shared" si="82"/>
        <v>0</v>
      </c>
      <c r="Y224" s="6">
        <f t="shared" si="83"/>
        <v>0</v>
      </c>
      <c r="Z224" s="6">
        <f t="shared" si="84"/>
        <v>0</v>
      </c>
      <c r="AB224" s="36" t="str">
        <f>IF(最佳化斷筋點!C224="","",最佳化斷筋點!C224)</f>
        <v/>
      </c>
      <c r="AC224" s="37" t="str">
        <f>IF(最佳化斷筋點!D224="","",最佳化斷筋點!D224)</f>
        <v/>
      </c>
      <c r="AD224" s="37" t="str">
        <f>IF(最佳化斷筋點!E224="","",最佳化斷筋點!E224)</f>
        <v/>
      </c>
      <c r="AE224" s="37" t="str">
        <f>IF(最佳化斷筋點!F224="","",最佳化斷筋點!F224)</f>
        <v/>
      </c>
      <c r="AF224" s="37" t="str">
        <f>IF(最佳化斷筋點!G224="","",最佳化斷筋點!G224)</f>
        <v/>
      </c>
      <c r="AG224" s="37" t="str">
        <f>IF(最佳化斷筋點!H224="","",最佳化斷筋點!H224)</f>
        <v/>
      </c>
      <c r="AH224" s="37" t="str">
        <f>IF(最佳化斷筋點!I224="","",最佳化斷筋點!I224)</f>
        <v/>
      </c>
      <c r="AI224" s="37" t="str">
        <f>IF(最佳化斷筋點!J224="","",最佳化斷筋點!J224)</f>
        <v/>
      </c>
      <c r="AJ224" s="37" t="str">
        <f>IF(最佳化斷筋點!K224="","",最佳化斷筋點!K224)</f>
        <v/>
      </c>
      <c r="AK224" s="37" t="str">
        <f>IF(最佳化斷筋點!L224="","",最佳化斷筋點!L224)</f>
        <v/>
      </c>
      <c r="AL224" s="37" t="str">
        <f>IF(最佳化斷筋點!M224="","",最佳化斷筋點!M224)</f>
        <v/>
      </c>
      <c r="AM224" s="37" t="str">
        <f>IF(最佳化斷筋點!N224="","",最佳化斷筋點!N224)</f>
        <v/>
      </c>
      <c r="AN224" s="37" t="str">
        <f>IF(最佳化斷筋點!O224="","",最佳化斷筋點!O224)</f>
        <v/>
      </c>
      <c r="AO224" s="37" t="str">
        <f>IF(最佳化斷筋點!P224="","",最佳化斷筋點!P224)</f>
        <v/>
      </c>
      <c r="AP224" s="37" t="str">
        <f>IF(最佳化斷筋點!Q224="","",最佳化斷筋點!Q224)</f>
        <v/>
      </c>
      <c r="AQ224" s="37" t="str">
        <f>IF(最佳化斷筋點!R224="","",最佳化斷筋點!R224)</f>
        <v/>
      </c>
      <c r="AR224" s="37" t="str">
        <f>IF(最佳化斷筋點!S224="","",最佳化斷筋點!S224)</f>
        <v/>
      </c>
      <c r="AS224" s="37" t="str">
        <f>IF(最佳化斷筋點!T224="","",最佳化斷筋點!T224)</f>
        <v/>
      </c>
      <c r="AT224" s="37" t="str">
        <f>IF(最佳化斷筋點!U224="","",最佳化斷筋點!U224)</f>
        <v/>
      </c>
      <c r="AU224" s="37" t="str">
        <f>IF(最佳化斷筋點!V224="","",最佳化斷筋點!V224)</f>
        <v/>
      </c>
      <c r="AV224" s="37" t="str">
        <f>IF(最佳化斷筋點!W224="","",最佳化斷筋點!W224)</f>
        <v/>
      </c>
      <c r="AW224" s="37" t="str">
        <f>IF(最佳化斷筋點!X224="","",最佳化斷筋點!X224)</f>
        <v/>
      </c>
      <c r="AZ224" s="37" t="s">
        <v>197</v>
      </c>
      <c r="BA224" s="37" t="s">
        <v>197</v>
      </c>
      <c r="BB224" s="37" t="s">
        <v>197</v>
      </c>
      <c r="BC224" s="37" t="s">
        <v>197</v>
      </c>
      <c r="BD224" s="37" t="s">
        <v>197</v>
      </c>
      <c r="BE224" s="37" t="s">
        <v>197</v>
      </c>
      <c r="BF224" s="37" t="s">
        <v>197</v>
      </c>
      <c r="BG224" s="37" t="s">
        <v>197</v>
      </c>
      <c r="BH224" s="37" t="s">
        <v>197</v>
      </c>
      <c r="BI224" s="37" t="s">
        <v>197</v>
      </c>
      <c r="BJ224" s="37" t="s">
        <v>197</v>
      </c>
      <c r="BK224" s="37" t="s">
        <v>197</v>
      </c>
      <c r="BL224" s="37" t="s">
        <v>197</v>
      </c>
      <c r="BM224" s="37" t="s">
        <v>197</v>
      </c>
      <c r="BN224" s="37" t="s">
        <v>197</v>
      </c>
      <c r="BO224" s="37" t="s">
        <v>197</v>
      </c>
      <c r="BP224" s="37" t="s">
        <v>197</v>
      </c>
      <c r="BQ224" s="37" t="s">
        <v>197</v>
      </c>
      <c r="BR224" s="37" t="s">
        <v>197</v>
      </c>
      <c r="BS224" s="37" t="s">
        <v>197</v>
      </c>
      <c r="BT224" s="37" t="s">
        <v>197</v>
      </c>
    </row>
    <row r="225" spans="5:72" x14ac:dyDescent="0.25">
      <c r="E225" s="6" t="s">
        <v>21</v>
      </c>
      <c r="F225" s="6">
        <f t="shared" si="64"/>
        <v>0</v>
      </c>
      <c r="G225" s="6">
        <f t="shared" si="65"/>
        <v>0</v>
      </c>
      <c r="H225" s="6">
        <f t="shared" si="66"/>
        <v>0</v>
      </c>
      <c r="I225" s="6">
        <f t="shared" si="67"/>
        <v>0</v>
      </c>
      <c r="J225" s="6">
        <f t="shared" si="68"/>
        <v>0</v>
      </c>
      <c r="K225" s="6">
        <f t="shared" si="69"/>
        <v>0</v>
      </c>
      <c r="L225" s="6">
        <f t="shared" si="70"/>
        <v>0</v>
      </c>
      <c r="M225" s="6">
        <f t="shared" si="71"/>
        <v>0</v>
      </c>
      <c r="N225" s="6">
        <f t="shared" si="72"/>
        <v>0</v>
      </c>
      <c r="O225" s="6">
        <f t="shared" si="73"/>
        <v>0</v>
      </c>
      <c r="P225" s="6">
        <f t="shared" si="74"/>
        <v>0</v>
      </c>
      <c r="Q225" s="6">
        <f t="shared" si="75"/>
        <v>0</v>
      </c>
      <c r="R225" s="6">
        <f t="shared" si="76"/>
        <v>0</v>
      </c>
      <c r="S225" s="6">
        <f t="shared" si="77"/>
        <v>0</v>
      </c>
      <c r="T225" s="6">
        <f t="shared" si="78"/>
        <v>0</v>
      </c>
      <c r="U225" s="6">
        <f t="shared" si="79"/>
        <v>0</v>
      </c>
      <c r="V225" s="6">
        <f t="shared" si="80"/>
        <v>0</v>
      </c>
      <c r="W225" s="6">
        <f t="shared" si="81"/>
        <v>0</v>
      </c>
      <c r="X225" s="6">
        <f t="shared" si="82"/>
        <v>0</v>
      </c>
      <c r="Y225" s="6">
        <f t="shared" si="83"/>
        <v>0</v>
      </c>
      <c r="Z225" s="6">
        <f t="shared" si="84"/>
        <v>0</v>
      </c>
      <c r="AB225" s="36" t="str">
        <f>IF(最佳化斷筋點!C225="","",最佳化斷筋點!C225)</f>
        <v>下層</v>
      </c>
      <c r="AC225" s="37">
        <f>IF(最佳化斷筋點!D225="","",最佳化斷筋點!D225)</f>
        <v>3</v>
      </c>
      <c r="AD225" s="37">
        <f>IF(最佳化斷筋點!E225="","",最佳化斷筋點!E225)</f>
        <v>3</v>
      </c>
      <c r="AE225" s="37">
        <f>IF(最佳化斷筋點!F225="","",最佳化斷筋點!F225)</f>
        <v>3</v>
      </c>
      <c r="AF225" s="37">
        <f>IF(最佳化斷筋點!G225="","",最佳化斷筋點!G225)</f>
        <v>3</v>
      </c>
      <c r="AG225" s="37">
        <f>IF(最佳化斷筋點!H225="","",最佳化斷筋點!H225)</f>
        <v>3</v>
      </c>
      <c r="AH225" s="37">
        <f>IF(最佳化斷筋點!I225="","",最佳化斷筋點!I225)</f>
        <v>3</v>
      </c>
      <c r="AI225" s="37">
        <f>IF(最佳化斷筋點!J225="","",最佳化斷筋點!J225)</f>
        <v>3</v>
      </c>
      <c r="AJ225" s="37">
        <f>IF(最佳化斷筋點!K225="","",最佳化斷筋點!K225)</f>
        <v>3</v>
      </c>
      <c r="AK225" s="37">
        <f>IF(最佳化斷筋點!L225="","",最佳化斷筋點!L225)</f>
        <v>3</v>
      </c>
      <c r="AL225" s="37">
        <f>IF(最佳化斷筋點!M225="","",最佳化斷筋點!M225)</f>
        <v>3</v>
      </c>
      <c r="AM225" s="37">
        <f>IF(最佳化斷筋點!N225="","",最佳化斷筋點!N225)</f>
        <v>3</v>
      </c>
      <c r="AN225" s="37">
        <f>IF(最佳化斷筋點!O225="","",最佳化斷筋點!O225)</f>
        <v>3</v>
      </c>
      <c r="AO225" s="37">
        <f>IF(最佳化斷筋點!P225="","",最佳化斷筋點!P225)</f>
        <v>3</v>
      </c>
      <c r="AP225" s="37">
        <f>IF(最佳化斷筋點!Q225="","",最佳化斷筋點!Q225)</f>
        <v>3</v>
      </c>
      <c r="AQ225" s="37">
        <f>IF(最佳化斷筋點!R225="","",最佳化斷筋點!R225)</f>
        <v>3</v>
      </c>
      <c r="AR225" s="37">
        <f>IF(最佳化斷筋點!S225="","",最佳化斷筋點!S225)</f>
        <v>3</v>
      </c>
      <c r="AS225" s="37">
        <f>IF(最佳化斷筋點!T225="","",最佳化斷筋點!T225)</f>
        <v>3</v>
      </c>
      <c r="AT225" s="37">
        <f>IF(最佳化斷筋點!U225="","",最佳化斷筋點!U225)</f>
        <v>3</v>
      </c>
      <c r="AU225" s="37">
        <f>IF(最佳化斷筋點!V225="","",最佳化斷筋點!V225)</f>
        <v>3</v>
      </c>
      <c r="AV225" s="37">
        <f>IF(最佳化斷筋點!W225="","",最佳化斷筋點!W225)</f>
        <v>3</v>
      </c>
      <c r="AW225" s="37">
        <f>IF(最佳化斷筋點!X225="","",最佳化斷筋點!X225)</f>
        <v>3</v>
      </c>
      <c r="AY225" s="6" t="s">
        <v>21</v>
      </c>
      <c r="AZ225" s="37">
        <v>3</v>
      </c>
      <c r="BA225" s="37">
        <v>3</v>
      </c>
      <c r="BB225" s="37">
        <v>3</v>
      </c>
      <c r="BC225" s="37">
        <v>3</v>
      </c>
      <c r="BD225" s="37">
        <v>3</v>
      </c>
      <c r="BE225" s="37">
        <v>3</v>
      </c>
      <c r="BF225" s="37">
        <v>3</v>
      </c>
      <c r="BG225" s="37">
        <v>3</v>
      </c>
      <c r="BH225" s="37">
        <v>3</v>
      </c>
      <c r="BI225" s="37">
        <v>3</v>
      </c>
      <c r="BJ225" s="37">
        <v>3</v>
      </c>
      <c r="BK225" s="37">
        <v>3</v>
      </c>
      <c r="BL225" s="37">
        <v>3</v>
      </c>
      <c r="BM225" s="37">
        <v>3</v>
      </c>
      <c r="BN225" s="37">
        <v>3</v>
      </c>
      <c r="BO225" s="37">
        <v>3</v>
      </c>
      <c r="BP225" s="37">
        <v>3</v>
      </c>
      <c r="BQ225" s="37">
        <v>3</v>
      </c>
      <c r="BR225" s="37">
        <v>3</v>
      </c>
      <c r="BS225" s="37">
        <v>3</v>
      </c>
      <c r="BT225" s="37">
        <v>3</v>
      </c>
    </row>
    <row r="226" spans="5:72" x14ac:dyDescent="0.25">
      <c r="F226" s="6">
        <f t="shared" si="64"/>
        <v>0</v>
      </c>
      <c r="G226" s="6">
        <f t="shared" si="65"/>
        <v>0</v>
      </c>
      <c r="H226" s="6">
        <f t="shared" si="66"/>
        <v>0</v>
      </c>
      <c r="I226" s="6">
        <f t="shared" si="67"/>
        <v>0</v>
      </c>
      <c r="J226" s="6">
        <f t="shared" si="68"/>
        <v>0</v>
      </c>
      <c r="K226" s="6">
        <f t="shared" si="69"/>
        <v>0</v>
      </c>
      <c r="L226" s="6">
        <f t="shared" si="70"/>
        <v>0</v>
      </c>
      <c r="M226" s="6">
        <f t="shared" si="71"/>
        <v>0</v>
      </c>
      <c r="N226" s="6">
        <f t="shared" si="72"/>
        <v>0</v>
      </c>
      <c r="O226" s="6">
        <f t="shared" si="73"/>
        <v>0</v>
      </c>
      <c r="P226" s="6">
        <f t="shared" si="74"/>
        <v>0</v>
      </c>
      <c r="Q226" s="6">
        <f t="shared" si="75"/>
        <v>0</v>
      </c>
      <c r="R226" s="6">
        <f t="shared" si="76"/>
        <v>0</v>
      </c>
      <c r="S226" s="6">
        <f t="shared" si="77"/>
        <v>0</v>
      </c>
      <c r="T226" s="6">
        <f t="shared" si="78"/>
        <v>0</v>
      </c>
      <c r="U226" s="6">
        <f t="shared" si="79"/>
        <v>0</v>
      </c>
      <c r="V226" s="6">
        <f t="shared" si="80"/>
        <v>0</v>
      </c>
      <c r="W226" s="6">
        <f t="shared" si="81"/>
        <v>0</v>
      </c>
      <c r="X226" s="6">
        <f t="shared" si="82"/>
        <v>0</v>
      </c>
      <c r="Y226" s="6">
        <f t="shared" si="83"/>
        <v>0</v>
      </c>
      <c r="Z226" s="6">
        <f t="shared" si="84"/>
        <v>0</v>
      </c>
      <c r="AB226" s="36" t="str">
        <f>IF(最佳化斷筋點!C226="","",最佳化斷筋點!C226)</f>
        <v/>
      </c>
      <c r="AC226" s="37" t="str">
        <f>IF(最佳化斷筋點!D226="","",最佳化斷筋點!D226)</f>
        <v/>
      </c>
      <c r="AD226" s="37" t="str">
        <f>IF(最佳化斷筋點!E226="","",最佳化斷筋點!E226)</f>
        <v/>
      </c>
      <c r="AE226" s="37" t="str">
        <f>IF(最佳化斷筋點!F226="","",最佳化斷筋點!F226)</f>
        <v/>
      </c>
      <c r="AF226" s="37" t="str">
        <f>IF(最佳化斷筋點!G226="","",最佳化斷筋點!G226)</f>
        <v/>
      </c>
      <c r="AG226" s="37" t="str">
        <f>IF(最佳化斷筋點!H226="","",最佳化斷筋點!H226)</f>
        <v/>
      </c>
      <c r="AH226" s="37" t="str">
        <f>IF(最佳化斷筋點!I226="","",最佳化斷筋點!I226)</f>
        <v/>
      </c>
      <c r="AI226" s="37" t="str">
        <f>IF(最佳化斷筋點!J226="","",最佳化斷筋點!J226)</f>
        <v/>
      </c>
      <c r="AJ226" s="37" t="str">
        <f>IF(最佳化斷筋點!K226="","",最佳化斷筋點!K226)</f>
        <v/>
      </c>
      <c r="AK226" s="37" t="str">
        <f>IF(最佳化斷筋點!L226="","",最佳化斷筋點!L226)</f>
        <v/>
      </c>
      <c r="AL226" s="37" t="str">
        <f>IF(最佳化斷筋點!M226="","",最佳化斷筋點!M226)</f>
        <v/>
      </c>
      <c r="AM226" s="37" t="str">
        <f>IF(最佳化斷筋點!N226="","",最佳化斷筋點!N226)</f>
        <v/>
      </c>
      <c r="AN226" s="37" t="str">
        <f>IF(最佳化斷筋點!O226="","",最佳化斷筋點!O226)</f>
        <v/>
      </c>
      <c r="AO226" s="37" t="str">
        <f>IF(最佳化斷筋點!P226="","",最佳化斷筋點!P226)</f>
        <v/>
      </c>
      <c r="AP226" s="37" t="str">
        <f>IF(最佳化斷筋點!Q226="","",最佳化斷筋點!Q226)</f>
        <v/>
      </c>
      <c r="AQ226" s="37" t="str">
        <f>IF(最佳化斷筋點!R226="","",最佳化斷筋點!R226)</f>
        <v/>
      </c>
      <c r="AR226" s="37" t="str">
        <f>IF(最佳化斷筋點!S226="","",最佳化斷筋點!S226)</f>
        <v/>
      </c>
      <c r="AS226" s="37" t="str">
        <f>IF(最佳化斷筋點!T226="","",最佳化斷筋點!T226)</f>
        <v/>
      </c>
      <c r="AT226" s="37" t="str">
        <f>IF(最佳化斷筋點!U226="","",最佳化斷筋點!U226)</f>
        <v/>
      </c>
      <c r="AU226" s="37" t="str">
        <f>IF(最佳化斷筋點!V226="","",最佳化斷筋點!V226)</f>
        <v/>
      </c>
      <c r="AV226" s="37" t="str">
        <f>IF(最佳化斷筋點!W226="","",最佳化斷筋點!W226)</f>
        <v/>
      </c>
      <c r="AW226" s="37" t="str">
        <f>IF(最佳化斷筋點!X226="","",最佳化斷筋點!X226)</f>
        <v/>
      </c>
      <c r="AZ226" s="37" t="s">
        <v>197</v>
      </c>
      <c r="BA226" s="37" t="s">
        <v>197</v>
      </c>
      <c r="BB226" s="37" t="s">
        <v>197</v>
      </c>
      <c r="BC226" s="37" t="s">
        <v>197</v>
      </c>
      <c r="BD226" s="37" t="s">
        <v>197</v>
      </c>
      <c r="BE226" s="37" t="s">
        <v>197</v>
      </c>
      <c r="BF226" s="37" t="s">
        <v>197</v>
      </c>
      <c r="BG226" s="37" t="s">
        <v>197</v>
      </c>
      <c r="BH226" s="37" t="s">
        <v>197</v>
      </c>
      <c r="BI226" s="37" t="s">
        <v>197</v>
      </c>
      <c r="BJ226" s="37" t="s">
        <v>197</v>
      </c>
      <c r="BK226" s="37" t="s">
        <v>197</v>
      </c>
      <c r="BL226" s="37" t="s">
        <v>197</v>
      </c>
      <c r="BM226" s="37" t="s">
        <v>197</v>
      </c>
      <c r="BN226" s="37" t="s">
        <v>197</v>
      </c>
      <c r="BO226" s="37" t="s">
        <v>197</v>
      </c>
      <c r="BP226" s="37" t="s">
        <v>197</v>
      </c>
      <c r="BQ226" s="37" t="s">
        <v>197</v>
      </c>
      <c r="BR226" s="37" t="s">
        <v>197</v>
      </c>
      <c r="BS226" s="37" t="s">
        <v>197</v>
      </c>
      <c r="BT226" s="37" t="s">
        <v>197</v>
      </c>
    </row>
    <row r="227" spans="5:72" x14ac:dyDescent="0.25">
      <c r="E227" s="6" t="s">
        <v>20</v>
      </c>
      <c r="F227" s="6">
        <f t="shared" si="64"/>
        <v>0</v>
      </c>
      <c r="G227" s="6">
        <f t="shared" si="65"/>
        <v>0</v>
      </c>
      <c r="H227" s="6">
        <f t="shared" si="66"/>
        <v>0</v>
      </c>
      <c r="I227" s="6">
        <f t="shared" si="67"/>
        <v>0</v>
      </c>
      <c r="J227" s="6">
        <f t="shared" si="68"/>
        <v>0</v>
      </c>
      <c r="K227" s="6">
        <f t="shared" si="69"/>
        <v>0</v>
      </c>
      <c r="L227" s="6">
        <f t="shared" si="70"/>
        <v>0</v>
      </c>
      <c r="M227" s="6">
        <f t="shared" si="71"/>
        <v>0</v>
      </c>
      <c r="N227" s="6">
        <f t="shared" si="72"/>
        <v>0</v>
      </c>
      <c r="O227" s="6">
        <f t="shared" si="73"/>
        <v>0</v>
      </c>
      <c r="P227" s="6">
        <f t="shared" si="74"/>
        <v>0</v>
      </c>
      <c r="Q227" s="6">
        <f t="shared" si="75"/>
        <v>0</v>
      </c>
      <c r="R227" s="6">
        <f t="shared" si="76"/>
        <v>0</v>
      </c>
      <c r="S227" s="6">
        <f t="shared" si="77"/>
        <v>0</v>
      </c>
      <c r="T227" s="6">
        <f t="shared" si="78"/>
        <v>0</v>
      </c>
      <c r="U227" s="6">
        <f t="shared" si="79"/>
        <v>0</v>
      </c>
      <c r="V227" s="6">
        <f t="shared" si="80"/>
        <v>0</v>
      </c>
      <c r="W227" s="6">
        <f t="shared" si="81"/>
        <v>0</v>
      </c>
      <c r="X227" s="6">
        <f t="shared" si="82"/>
        <v>0</v>
      </c>
      <c r="Y227" s="6">
        <f t="shared" si="83"/>
        <v>0</v>
      </c>
      <c r="Z227" s="6">
        <f t="shared" si="84"/>
        <v>0</v>
      </c>
      <c r="AB227" s="36" t="str">
        <f>IF(最佳化斷筋點!C227="","",最佳化斷筋點!C227)</f>
        <v>上層</v>
      </c>
      <c r="AC227" s="37">
        <f>IF(最佳化斷筋點!D227="","",最佳化斷筋點!D227)</f>
        <v>8</v>
      </c>
      <c r="AD227" s="37">
        <f>IF(最佳化斷筋點!E227="","",最佳化斷筋點!E227)</f>
        <v>8</v>
      </c>
      <c r="AE227" s="37">
        <f>IF(最佳化斷筋點!F227="","",最佳化斷筋點!F227)</f>
        <v>8</v>
      </c>
      <c r="AF227" s="37">
        <f>IF(最佳化斷筋點!G227="","",最佳化斷筋點!G227)</f>
        <v>8</v>
      </c>
      <c r="AG227" s="37">
        <f>IF(最佳化斷筋點!H227="","",最佳化斷筋點!H227)</f>
        <v>8</v>
      </c>
      <c r="AH227" s="37">
        <f>IF(最佳化斷筋點!I227="","",最佳化斷筋點!I227)</f>
        <v>8</v>
      </c>
      <c r="AI227" s="37">
        <f>IF(最佳化斷筋點!J227="","",最佳化斷筋點!J227)</f>
        <v>7</v>
      </c>
      <c r="AJ227" s="37">
        <f>IF(最佳化斷筋點!K227="","",最佳化斷筋點!K227)</f>
        <v>3</v>
      </c>
      <c r="AK227" s="37">
        <f>IF(最佳化斷筋點!L227="","",最佳化斷筋點!L227)</f>
        <v>3</v>
      </c>
      <c r="AL227" s="37">
        <f>IF(最佳化斷筋點!M227="","",最佳化斷筋點!M227)</f>
        <v>3</v>
      </c>
      <c r="AM227" s="37">
        <f>IF(最佳化斷筋點!N227="","",最佳化斷筋點!N227)</f>
        <v>3</v>
      </c>
      <c r="AN227" s="37">
        <f>IF(最佳化斷筋點!O227="","",最佳化斷筋點!O227)</f>
        <v>3</v>
      </c>
      <c r="AO227" s="37">
        <f>IF(最佳化斷筋點!P227="","",最佳化斷筋點!P227)</f>
        <v>3</v>
      </c>
      <c r="AP227" s="37">
        <f>IF(最佳化斷筋點!Q227="","",最佳化斷筋點!Q227)</f>
        <v>4</v>
      </c>
      <c r="AQ227" s="37">
        <f>IF(最佳化斷筋點!R227="","",最佳化斷筋點!R227)</f>
        <v>4</v>
      </c>
      <c r="AR227" s="37">
        <f>IF(最佳化斷筋點!S227="","",最佳化斷筋點!S227)</f>
        <v>5</v>
      </c>
      <c r="AS227" s="37">
        <f>IF(最佳化斷筋點!T227="","",最佳化斷筋點!T227)</f>
        <v>5</v>
      </c>
      <c r="AT227" s="37">
        <f>IF(最佳化斷筋點!U227="","",最佳化斷筋點!U227)</f>
        <v>6</v>
      </c>
      <c r="AU227" s="37">
        <f>IF(最佳化斷筋點!V227="","",最佳化斷筋點!V227)</f>
        <v>6</v>
      </c>
      <c r="AV227" s="37">
        <f>IF(最佳化斷筋點!W227="","",最佳化斷筋點!W227)</f>
        <v>6</v>
      </c>
      <c r="AW227" s="37">
        <f>IF(最佳化斷筋點!X227="","",最佳化斷筋點!X227)</f>
        <v>6</v>
      </c>
      <c r="AY227" s="6" t="s">
        <v>20</v>
      </c>
      <c r="AZ227" s="37">
        <v>8</v>
      </c>
      <c r="BA227" s="37">
        <v>8</v>
      </c>
      <c r="BB227" s="37">
        <v>8</v>
      </c>
      <c r="BC227" s="37">
        <v>8</v>
      </c>
      <c r="BD227" s="37">
        <v>8</v>
      </c>
      <c r="BE227" s="37">
        <v>8</v>
      </c>
      <c r="BF227" s="37">
        <v>7</v>
      </c>
      <c r="BG227" s="37">
        <v>3</v>
      </c>
      <c r="BH227" s="37">
        <v>3</v>
      </c>
      <c r="BI227" s="37">
        <v>3</v>
      </c>
      <c r="BJ227" s="37">
        <v>3</v>
      </c>
      <c r="BK227" s="37">
        <v>3</v>
      </c>
      <c r="BL227" s="37">
        <v>3</v>
      </c>
      <c r="BM227" s="37">
        <v>4</v>
      </c>
      <c r="BN227" s="37">
        <v>4</v>
      </c>
      <c r="BO227" s="37">
        <v>5</v>
      </c>
      <c r="BP227" s="37">
        <v>5</v>
      </c>
      <c r="BQ227" s="37">
        <v>6</v>
      </c>
      <c r="BR227" s="37">
        <v>6</v>
      </c>
      <c r="BS227" s="37">
        <v>6</v>
      </c>
      <c r="BT227" s="37">
        <v>6</v>
      </c>
    </row>
    <row r="228" spans="5:72" x14ac:dyDescent="0.25">
      <c r="F228" s="6">
        <f t="shared" si="64"/>
        <v>0</v>
      </c>
      <c r="G228" s="6">
        <f t="shared" si="65"/>
        <v>0</v>
      </c>
      <c r="H228" s="6">
        <f t="shared" si="66"/>
        <v>0</v>
      </c>
      <c r="I228" s="6">
        <f t="shared" si="67"/>
        <v>0</v>
      </c>
      <c r="J228" s="6">
        <f t="shared" si="68"/>
        <v>0</v>
      </c>
      <c r="K228" s="6">
        <f t="shared" si="69"/>
        <v>0</v>
      </c>
      <c r="L228" s="6">
        <f t="shared" si="70"/>
        <v>0</v>
      </c>
      <c r="M228" s="6">
        <f t="shared" si="71"/>
        <v>0</v>
      </c>
      <c r="N228" s="6">
        <f t="shared" si="72"/>
        <v>0</v>
      </c>
      <c r="O228" s="6">
        <f t="shared" si="73"/>
        <v>0</v>
      </c>
      <c r="P228" s="6">
        <f t="shared" si="74"/>
        <v>0</v>
      </c>
      <c r="Q228" s="6">
        <f t="shared" si="75"/>
        <v>0</v>
      </c>
      <c r="R228" s="6">
        <f t="shared" si="76"/>
        <v>0</v>
      </c>
      <c r="S228" s="6">
        <f t="shared" si="77"/>
        <v>0</v>
      </c>
      <c r="T228" s="6">
        <f t="shared" si="78"/>
        <v>0</v>
      </c>
      <c r="U228" s="6">
        <f t="shared" si="79"/>
        <v>0</v>
      </c>
      <c r="V228" s="6">
        <f t="shared" si="80"/>
        <v>0</v>
      </c>
      <c r="W228" s="6">
        <f t="shared" si="81"/>
        <v>0</v>
      </c>
      <c r="X228" s="6">
        <f t="shared" si="82"/>
        <v>0</v>
      </c>
      <c r="Y228" s="6">
        <f t="shared" si="83"/>
        <v>0</v>
      </c>
      <c r="Z228" s="6">
        <f t="shared" si="84"/>
        <v>0</v>
      </c>
      <c r="AB228" s="36" t="str">
        <f>IF(最佳化斷筋點!C228="","",最佳化斷筋點!C228)</f>
        <v/>
      </c>
      <c r="AC228" s="37" t="str">
        <f>IF(最佳化斷筋點!D228="","",最佳化斷筋點!D228)</f>
        <v/>
      </c>
      <c r="AD228" s="37" t="str">
        <f>IF(最佳化斷筋點!E228="","",最佳化斷筋點!E228)</f>
        <v/>
      </c>
      <c r="AE228" s="37" t="str">
        <f>IF(最佳化斷筋點!F228="","",最佳化斷筋點!F228)</f>
        <v/>
      </c>
      <c r="AF228" s="37" t="str">
        <f>IF(最佳化斷筋點!G228="","",最佳化斷筋點!G228)</f>
        <v/>
      </c>
      <c r="AG228" s="37" t="str">
        <f>IF(最佳化斷筋點!H228="","",最佳化斷筋點!H228)</f>
        <v/>
      </c>
      <c r="AH228" s="37" t="str">
        <f>IF(最佳化斷筋點!I228="","",最佳化斷筋點!I228)</f>
        <v/>
      </c>
      <c r="AI228" s="37" t="str">
        <f>IF(最佳化斷筋點!J228="","",最佳化斷筋點!J228)</f>
        <v/>
      </c>
      <c r="AJ228" s="37" t="str">
        <f>IF(最佳化斷筋點!K228="","",最佳化斷筋點!K228)</f>
        <v/>
      </c>
      <c r="AK228" s="37" t="str">
        <f>IF(最佳化斷筋點!L228="","",最佳化斷筋點!L228)</f>
        <v/>
      </c>
      <c r="AL228" s="37" t="str">
        <f>IF(最佳化斷筋點!M228="","",最佳化斷筋點!M228)</f>
        <v/>
      </c>
      <c r="AM228" s="37" t="str">
        <f>IF(最佳化斷筋點!N228="","",最佳化斷筋點!N228)</f>
        <v/>
      </c>
      <c r="AN228" s="37" t="str">
        <f>IF(最佳化斷筋點!O228="","",最佳化斷筋點!O228)</f>
        <v/>
      </c>
      <c r="AO228" s="37" t="str">
        <f>IF(最佳化斷筋點!P228="","",最佳化斷筋點!P228)</f>
        <v/>
      </c>
      <c r="AP228" s="37" t="str">
        <f>IF(最佳化斷筋點!Q228="","",最佳化斷筋點!Q228)</f>
        <v/>
      </c>
      <c r="AQ228" s="37" t="str">
        <f>IF(最佳化斷筋點!R228="","",最佳化斷筋點!R228)</f>
        <v/>
      </c>
      <c r="AR228" s="37" t="str">
        <f>IF(最佳化斷筋點!S228="","",最佳化斷筋點!S228)</f>
        <v/>
      </c>
      <c r="AS228" s="37" t="str">
        <f>IF(最佳化斷筋點!T228="","",最佳化斷筋點!T228)</f>
        <v/>
      </c>
      <c r="AT228" s="37" t="str">
        <f>IF(最佳化斷筋點!U228="","",最佳化斷筋點!U228)</f>
        <v/>
      </c>
      <c r="AU228" s="37" t="str">
        <f>IF(最佳化斷筋點!V228="","",最佳化斷筋點!V228)</f>
        <v/>
      </c>
      <c r="AV228" s="37" t="str">
        <f>IF(最佳化斷筋點!W228="","",最佳化斷筋點!W228)</f>
        <v/>
      </c>
      <c r="AW228" s="37" t="str">
        <f>IF(最佳化斷筋點!X228="","",最佳化斷筋點!X228)</f>
        <v/>
      </c>
      <c r="AZ228" s="37" t="s">
        <v>197</v>
      </c>
      <c r="BA228" s="37" t="s">
        <v>197</v>
      </c>
      <c r="BB228" s="37" t="s">
        <v>197</v>
      </c>
      <c r="BC228" s="37" t="s">
        <v>197</v>
      </c>
      <c r="BD228" s="37" t="s">
        <v>197</v>
      </c>
      <c r="BE228" s="37" t="s">
        <v>197</v>
      </c>
      <c r="BF228" s="37" t="s">
        <v>197</v>
      </c>
      <c r="BG228" s="37" t="s">
        <v>197</v>
      </c>
      <c r="BH228" s="37" t="s">
        <v>197</v>
      </c>
      <c r="BI228" s="37" t="s">
        <v>197</v>
      </c>
      <c r="BJ228" s="37" t="s">
        <v>197</v>
      </c>
      <c r="BK228" s="37" t="s">
        <v>197</v>
      </c>
      <c r="BL228" s="37" t="s">
        <v>197</v>
      </c>
      <c r="BM228" s="37" t="s">
        <v>197</v>
      </c>
      <c r="BN228" s="37" t="s">
        <v>197</v>
      </c>
      <c r="BO228" s="37" t="s">
        <v>197</v>
      </c>
      <c r="BP228" s="37" t="s">
        <v>197</v>
      </c>
      <c r="BQ228" s="37" t="s">
        <v>197</v>
      </c>
      <c r="BR228" s="37" t="s">
        <v>197</v>
      </c>
      <c r="BS228" s="37" t="s">
        <v>197</v>
      </c>
      <c r="BT228" s="37" t="s">
        <v>197</v>
      </c>
    </row>
    <row r="229" spans="5:72" x14ac:dyDescent="0.25">
      <c r="E229" s="6" t="s">
        <v>21</v>
      </c>
      <c r="F229" s="6">
        <f t="shared" si="64"/>
        <v>0</v>
      </c>
      <c r="G229" s="6">
        <f t="shared" si="65"/>
        <v>0</v>
      </c>
      <c r="H229" s="6">
        <f t="shared" si="66"/>
        <v>0</v>
      </c>
      <c r="I229" s="6">
        <f t="shared" si="67"/>
        <v>0</v>
      </c>
      <c r="J229" s="6">
        <f t="shared" si="68"/>
        <v>0</v>
      </c>
      <c r="K229" s="6">
        <f t="shared" si="69"/>
        <v>0</v>
      </c>
      <c r="L229" s="6">
        <f t="shared" si="70"/>
        <v>0</v>
      </c>
      <c r="M229" s="6">
        <f t="shared" si="71"/>
        <v>0</v>
      </c>
      <c r="N229" s="6">
        <f t="shared" si="72"/>
        <v>0</v>
      </c>
      <c r="O229" s="6">
        <f t="shared" si="73"/>
        <v>0</v>
      </c>
      <c r="P229" s="6">
        <f t="shared" si="74"/>
        <v>0</v>
      </c>
      <c r="Q229" s="6">
        <f t="shared" si="75"/>
        <v>0</v>
      </c>
      <c r="R229" s="6">
        <f t="shared" si="76"/>
        <v>0</v>
      </c>
      <c r="S229" s="6">
        <f t="shared" si="77"/>
        <v>0</v>
      </c>
      <c r="T229" s="6">
        <f t="shared" si="78"/>
        <v>0</v>
      </c>
      <c r="U229" s="6">
        <f t="shared" si="79"/>
        <v>0</v>
      </c>
      <c r="V229" s="6">
        <f t="shared" si="80"/>
        <v>0</v>
      </c>
      <c r="W229" s="6">
        <f t="shared" si="81"/>
        <v>0</v>
      </c>
      <c r="X229" s="6">
        <f t="shared" si="82"/>
        <v>0</v>
      </c>
      <c r="Y229" s="6">
        <f t="shared" si="83"/>
        <v>0</v>
      </c>
      <c r="Z229" s="6">
        <f t="shared" si="84"/>
        <v>0</v>
      </c>
      <c r="AB229" s="36" t="str">
        <f>IF(最佳化斷筋點!C229="","",最佳化斷筋點!C229)</f>
        <v>下層</v>
      </c>
      <c r="AC229" s="37">
        <f>IF(最佳化斷筋點!D229="","",最佳化斷筋點!D229)</f>
        <v>5</v>
      </c>
      <c r="AD229" s="37">
        <f>IF(最佳化斷筋點!E229="","",最佳化斷筋點!E229)</f>
        <v>5</v>
      </c>
      <c r="AE229" s="37">
        <f>IF(最佳化斷筋點!F229="","",最佳化斷筋點!F229)</f>
        <v>5</v>
      </c>
      <c r="AF229" s="37">
        <f>IF(最佳化斷筋點!G229="","",最佳化斷筋點!G229)</f>
        <v>5</v>
      </c>
      <c r="AG229" s="37">
        <f>IF(最佳化斷筋點!H229="","",最佳化斷筋點!H229)</f>
        <v>5</v>
      </c>
      <c r="AH229" s="37">
        <f>IF(最佳化斷筋點!I229="","",最佳化斷筋點!I229)</f>
        <v>5</v>
      </c>
      <c r="AI229" s="37">
        <f>IF(最佳化斷筋點!J229="","",最佳化斷筋點!J229)</f>
        <v>4</v>
      </c>
      <c r="AJ229" s="37">
        <f>IF(最佳化斷筋點!K229="","",最佳化斷筋點!K229)</f>
        <v>3</v>
      </c>
      <c r="AK229" s="37">
        <f>IF(最佳化斷筋點!L229="","",最佳化斷筋點!L229)</f>
        <v>3</v>
      </c>
      <c r="AL229" s="37">
        <f>IF(最佳化斷筋點!M229="","",最佳化斷筋點!M229)</f>
        <v>3</v>
      </c>
      <c r="AM229" s="37">
        <f>IF(最佳化斷筋點!N229="","",最佳化斷筋點!N229)</f>
        <v>3</v>
      </c>
      <c r="AN229" s="37">
        <f>IF(最佳化斷筋點!O229="","",最佳化斷筋點!O229)</f>
        <v>3</v>
      </c>
      <c r="AO229" s="37">
        <f>IF(最佳化斷筋點!P229="","",最佳化斷筋點!P229)</f>
        <v>3</v>
      </c>
      <c r="AP229" s="37">
        <f>IF(最佳化斷筋點!Q229="","",最佳化斷筋點!Q229)</f>
        <v>4</v>
      </c>
      <c r="AQ229" s="37">
        <f>IF(最佳化斷筋點!R229="","",最佳化斷筋點!R229)</f>
        <v>4</v>
      </c>
      <c r="AR229" s="37">
        <f>IF(最佳化斷筋點!S229="","",最佳化斷筋點!S229)</f>
        <v>5</v>
      </c>
      <c r="AS229" s="37">
        <f>IF(最佳化斷筋點!T229="","",最佳化斷筋點!T229)</f>
        <v>5</v>
      </c>
      <c r="AT229" s="37">
        <f>IF(最佳化斷筋點!U229="","",最佳化斷筋點!U229)</f>
        <v>6</v>
      </c>
      <c r="AU229" s="37">
        <f>IF(最佳化斷筋點!V229="","",最佳化斷筋點!V229)</f>
        <v>6</v>
      </c>
      <c r="AV229" s="37">
        <f>IF(最佳化斷筋點!W229="","",最佳化斷筋點!W229)</f>
        <v>6</v>
      </c>
      <c r="AW229" s="37">
        <f>IF(最佳化斷筋點!X229="","",最佳化斷筋點!X229)</f>
        <v>6</v>
      </c>
      <c r="AY229" s="6" t="s">
        <v>21</v>
      </c>
      <c r="AZ229" s="37">
        <v>5</v>
      </c>
      <c r="BA229" s="37">
        <v>5</v>
      </c>
      <c r="BB229" s="37">
        <v>5</v>
      </c>
      <c r="BC229" s="37">
        <v>5</v>
      </c>
      <c r="BD229" s="37">
        <v>5</v>
      </c>
      <c r="BE229" s="37">
        <v>5</v>
      </c>
      <c r="BF229" s="37">
        <v>4</v>
      </c>
      <c r="BG229" s="37">
        <v>3</v>
      </c>
      <c r="BH229" s="37">
        <v>3</v>
      </c>
      <c r="BI229" s="37">
        <v>3</v>
      </c>
      <c r="BJ229" s="37">
        <v>3</v>
      </c>
      <c r="BK229" s="37">
        <v>3</v>
      </c>
      <c r="BL229" s="37">
        <v>3</v>
      </c>
      <c r="BM229" s="37">
        <v>4</v>
      </c>
      <c r="BN229" s="37">
        <v>4</v>
      </c>
      <c r="BO229" s="37">
        <v>5</v>
      </c>
      <c r="BP229" s="37">
        <v>5</v>
      </c>
      <c r="BQ229" s="37">
        <v>6</v>
      </c>
      <c r="BR229" s="37">
        <v>6</v>
      </c>
      <c r="BS229" s="37">
        <v>6</v>
      </c>
      <c r="BT229" s="37">
        <v>6</v>
      </c>
    </row>
    <row r="230" spans="5:72" x14ac:dyDescent="0.25">
      <c r="F230" s="6">
        <f t="shared" si="64"/>
        <v>0</v>
      </c>
      <c r="G230" s="6">
        <f t="shared" si="65"/>
        <v>0</v>
      </c>
      <c r="H230" s="6">
        <f t="shared" si="66"/>
        <v>0</v>
      </c>
      <c r="I230" s="6">
        <f t="shared" si="67"/>
        <v>0</v>
      </c>
      <c r="J230" s="6">
        <f t="shared" si="68"/>
        <v>0</v>
      </c>
      <c r="K230" s="6">
        <f t="shared" si="69"/>
        <v>0</v>
      </c>
      <c r="L230" s="6">
        <f t="shared" si="70"/>
        <v>0</v>
      </c>
      <c r="M230" s="6">
        <f t="shared" si="71"/>
        <v>0</v>
      </c>
      <c r="N230" s="6">
        <f t="shared" si="72"/>
        <v>0</v>
      </c>
      <c r="O230" s="6">
        <f t="shared" si="73"/>
        <v>0</v>
      </c>
      <c r="P230" s="6">
        <f t="shared" si="74"/>
        <v>0</v>
      </c>
      <c r="Q230" s="6">
        <f t="shared" si="75"/>
        <v>0</v>
      </c>
      <c r="R230" s="6">
        <f t="shared" si="76"/>
        <v>0</v>
      </c>
      <c r="S230" s="6">
        <f t="shared" si="77"/>
        <v>0</v>
      </c>
      <c r="T230" s="6">
        <f t="shared" si="78"/>
        <v>0</v>
      </c>
      <c r="U230" s="6">
        <f t="shared" si="79"/>
        <v>0</v>
      </c>
      <c r="V230" s="6">
        <f t="shared" si="80"/>
        <v>0</v>
      </c>
      <c r="W230" s="6">
        <f t="shared" si="81"/>
        <v>0</v>
      </c>
      <c r="X230" s="6">
        <f t="shared" si="82"/>
        <v>0</v>
      </c>
      <c r="Y230" s="6">
        <f t="shared" si="83"/>
        <v>0</v>
      </c>
      <c r="Z230" s="6">
        <f t="shared" si="84"/>
        <v>0</v>
      </c>
      <c r="AB230" s="36" t="str">
        <f>IF(最佳化斷筋點!C230="","",最佳化斷筋點!C230)</f>
        <v/>
      </c>
      <c r="AC230" s="37" t="str">
        <f>IF(最佳化斷筋點!D230="","",最佳化斷筋點!D230)</f>
        <v/>
      </c>
      <c r="AD230" s="37" t="str">
        <f>IF(最佳化斷筋點!E230="","",最佳化斷筋點!E230)</f>
        <v/>
      </c>
      <c r="AE230" s="37" t="str">
        <f>IF(最佳化斷筋點!F230="","",最佳化斷筋點!F230)</f>
        <v/>
      </c>
      <c r="AF230" s="37" t="str">
        <f>IF(最佳化斷筋點!G230="","",最佳化斷筋點!G230)</f>
        <v/>
      </c>
      <c r="AG230" s="37" t="str">
        <f>IF(最佳化斷筋點!H230="","",最佳化斷筋點!H230)</f>
        <v/>
      </c>
      <c r="AH230" s="37" t="str">
        <f>IF(最佳化斷筋點!I230="","",最佳化斷筋點!I230)</f>
        <v/>
      </c>
      <c r="AI230" s="37" t="str">
        <f>IF(最佳化斷筋點!J230="","",最佳化斷筋點!J230)</f>
        <v/>
      </c>
      <c r="AJ230" s="37" t="str">
        <f>IF(最佳化斷筋點!K230="","",最佳化斷筋點!K230)</f>
        <v/>
      </c>
      <c r="AK230" s="37" t="str">
        <f>IF(最佳化斷筋點!L230="","",最佳化斷筋點!L230)</f>
        <v/>
      </c>
      <c r="AL230" s="37" t="str">
        <f>IF(最佳化斷筋點!M230="","",最佳化斷筋點!M230)</f>
        <v/>
      </c>
      <c r="AM230" s="37" t="str">
        <f>IF(最佳化斷筋點!N230="","",最佳化斷筋點!N230)</f>
        <v/>
      </c>
      <c r="AN230" s="37" t="str">
        <f>IF(最佳化斷筋點!O230="","",最佳化斷筋點!O230)</f>
        <v/>
      </c>
      <c r="AO230" s="37" t="str">
        <f>IF(最佳化斷筋點!P230="","",最佳化斷筋點!P230)</f>
        <v/>
      </c>
      <c r="AP230" s="37" t="str">
        <f>IF(最佳化斷筋點!Q230="","",最佳化斷筋點!Q230)</f>
        <v/>
      </c>
      <c r="AQ230" s="37" t="str">
        <f>IF(最佳化斷筋點!R230="","",最佳化斷筋點!R230)</f>
        <v/>
      </c>
      <c r="AR230" s="37" t="str">
        <f>IF(最佳化斷筋點!S230="","",最佳化斷筋點!S230)</f>
        <v/>
      </c>
      <c r="AS230" s="37" t="str">
        <f>IF(最佳化斷筋點!T230="","",最佳化斷筋點!T230)</f>
        <v/>
      </c>
      <c r="AT230" s="37" t="str">
        <f>IF(最佳化斷筋點!U230="","",最佳化斷筋點!U230)</f>
        <v/>
      </c>
      <c r="AU230" s="37" t="str">
        <f>IF(最佳化斷筋點!V230="","",最佳化斷筋點!V230)</f>
        <v/>
      </c>
      <c r="AV230" s="37" t="str">
        <f>IF(最佳化斷筋點!W230="","",最佳化斷筋點!W230)</f>
        <v/>
      </c>
      <c r="AW230" s="37" t="str">
        <f>IF(最佳化斷筋點!X230="","",最佳化斷筋點!X230)</f>
        <v/>
      </c>
      <c r="AZ230" s="37" t="s">
        <v>197</v>
      </c>
      <c r="BA230" s="37" t="s">
        <v>197</v>
      </c>
      <c r="BB230" s="37" t="s">
        <v>197</v>
      </c>
      <c r="BC230" s="37" t="s">
        <v>197</v>
      </c>
      <c r="BD230" s="37" t="s">
        <v>197</v>
      </c>
      <c r="BE230" s="37" t="s">
        <v>197</v>
      </c>
      <c r="BF230" s="37" t="s">
        <v>197</v>
      </c>
      <c r="BG230" s="37" t="s">
        <v>197</v>
      </c>
      <c r="BH230" s="37" t="s">
        <v>197</v>
      </c>
      <c r="BI230" s="37" t="s">
        <v>197</v>
      </c>
      <c r="BJ230" s="37" t="s">
        <v>197</v>
      </c>
      <c r="BK230" s="37" t="s">
        <v>197</v>
      </c>
      <c r="BL230" s="37" t="s">
        <v>197</v>
      </c>
      <c r="BM230" s="37" t="s">
        <v>197</v>
      </c>
      <c r="BN230" s="37" t="s">
        <v>197</v>
      </c>
      <c r="BO230" s="37" t="s">
        <v>197</v>
      </c>
      <c r="BP230" s="37" t="s">
        <v>197</v>
      </c>
      <c r="BQ230" s="37" t="s">
        <v>197</v>
      </c>
      <c r="BR230" s="37" t="s">
        <v>197</v>
      </c>
      <c r="BS230" s="37" t="s">
        <v>197</v>
      </c>
      <c r="BT230" s="37" t="s">
        <v>197</v>
      </c>
    </row>
    <row r="231" spans="5:72" x14ac:dyDescent="0.25">
      <c r="E231" s="6" t="s">
        <v>20</v>
      </c>
      <c r="F231" s="6">
        <f t="shared" si="64"/>
        <v>0</v>
      </c>
      <c r="G231" s="6">
        <f t="shared" si="65"/>
        <v>0</v>
      </c>
      <c r="H231" s="6">
        <f t="shared" si="66"/>
        <v>0</v>
      </c>
      <c r="I231" s="6">
        <f t="shared" si="67"/>
        <v>0</v>
      </c>
      <c r="J231" s="6">
        <f t="shared" si="68"/>
        <v>0</v>
      </c>
      <c r="K231" s="6">
        <f t="shared" si="69"/>
        <v>0</v>
      </c>
      <c r="L231" s="6">
        <f t="shared" si="70"/>
        <v>0</v>
      </c>
      <c r="M231" s="6">
        <f t="shared" si="71"/>
        <v>0</v>
      </c>
      <c r="N231" s="6">
        <f t="shared" si="72"/>
        <v>0</v>
      </c>
      <c r="O231" s="6">
        <f t="shared" si="73"/>
        <v>0</v>
      </c>
      <c r="P231" s="6">
        <f t="shared" si="74"/>
        <v>0</v>
      </c>
      <c r="Q231" s="6">
        <f t="shared" si="75"/>
        <v>0</v>
      </c>
      <c r="R231" s="6">
        <f t="shared" si="76"/>
        <v>0</v>
      </c>
      <c r="S231" s="6">
        <f t="shared" si="77"/>
        <v>0</v>
      </c>
      <c r="T231" s="6">
        <f t="shared" si="78"/>
        <v>0</v>
      </c>
      <c r="U231" s="6">
        <f t="shared" si="79"/>
        <v>0</v>
      </c>
      <c r="V231" s="6">
        <f t="shared" si="80"/>
        <v>0</v>
      </c>
      <c r="W231" s="6">
        <f t="shared" si="81"/>
        <v>0</v>
      </c>
      <c r="X231" s="6">
        <f t="shared" si="82"/>
        <v>0</v>
      </c>
      <c r="Y231" s="6">
        <f t="shared" si="83"/>
        <v>0</v>
      </c>
      <c r="Z231" s="6">
        <f t="shared" si="84"/>
        <v>0</v>
      </c>
      <c r="AB231" s="36" t="str">
        <f>IF(最佳化斷筋點!C231="","",最佳化斷筋點!C231)</f>
        <v>上層</v>
      </c>
      <c r="AC231" s="37">
        <f>IF(最佳化斷筋點!D231="","",最佳化斷筋點!D231)</f>
        <v>6</v>
      </c>
      <c r="AD231" s="37">
        <f>IF(最佳化斷筋點!E231="","",最佳化斷筋點!E231)</f>
        <v>6</v>
      </c>
      <c r="AE231" s="37">
        <f>IF(最佳化斷筋點!F231="","",最佳化斷筋點!F231)</f>
        <v>6</v>
      </c>
      <c r="AF231" s="37">
        <f>IF(最佳化斷筋點!G231="","",最佳化斷筋點!G231)</f>
        <v>6</v>
      </c>
      <c r="AG231" s="37">
        <f>IF(最佳化斷筋點!H231="","",最佳化斷筋點!H231)</f>
        <v>6</v>
      </c>
      <c r="AH231" s="37">
        <f>IF(最佳化斷筋點!I231="","",最佳化斷筋點!I231)</f>
        <v>6</v>
      </c>
      <c r="AI231" s="37">
        <f>IF(最佳化斷筋點!J231="","",最佳化斷筋點!J231)</f>
        <v>5</v>
      </c>
      <c r="AJ231" s="37">
        <f>IF(最佳化斷筋點!K231="","",最佳化斷筋點!K231)</f>
        <v>3</v>
      </c>
      <c r="AK231" s="37">
        <f>IF(最佳化斷筋點!L231="","",最佳化斷筋點!L231)</f>
        <v>3</v>
      </c>
      <c r="AL231" s="37">
        <f>IF(最佳化斷筋點!M231="","",最佳化斷筋點!M231)</f>
        <v>3</v>
      </c>
      <c r="AM231" s="37">
        <f>IF(最佳化斷筋點!N231="","",最佳化斷筋點!N231)</f>
        <v>3</v>
      </c>
      <c r="AN231" s="37">
        <f>IF(最佳化斷筋點!O231="","",最佳化斷筋點!O231)</f>
        <v>3</v>
      </c>
      <c r="AO231" s="37">
        <f>IF(最佳化斷筋點!P231="","",最佳化斷筋點!P231)</f>
        <v>3</v>
      </c>
      <c r="AP231" s="37">
        <f>IF(最佳化斷筋點!Q231="","",最佳化斷筋點!Q231)</f>
        <v>6</v>
      </c>
      <c r="AQ231" s="37">
        <f>IF(最佳化斷筋點!R231="","",最佳化斷筋點!R231)</f>
        <v>6</v>
      </c>
      <c r="AR231" s="37">
        <f>IF(最佳化斷筋點!S231="","",最佳化斷筋點!S231)</f>
        <v>7</v>
      </c>
      <c r="AS231" s="37">
        <f>IF(最佳化斷筋點!T231="","",最佳化斷筋點!T231)</f>
        <v>7</v>
      </c>
      <c r="AT231" s="37">
        <f>IF(最佳化斷筋點!U231="","",最佳化斷筋點!U231)</f>
        <v>7</v>
      </c>
      <c r="AU231" s="37">
        <f>IF(最佳化斷筋點!V231="","",最佳化斷筋點!V231)</f>
        <v>7</v>
      </c>
      <c r="AV231" s="37">
        <f>IF(最佳化斷筋點!W231="","",最佳化斷筋點!W231)</f>
        <v>7</v>
      </c>
      <c r="AW231" s="37">
        <f>IF(最佳化斷筋點!X231="","",最佳化斷筋點!X231)</f>
        <v>7</v>
      </c>
      <c r="AY231" s="6" t="s">
        <v>20</v>
      </c>
      <c r="AZ231" s="37">
        <v>6</v>
      </c>
      <c r="BA231" s="37">
        <v>6</v>
      </c>
      <c r="BB231" s="37">
        <v>6</v>
      </c>
      <c r="BC231" s="37">
        <v>6</v>
      </c>
      <c r="BD231" s="37">
        <v>6</v>
      </c>
      <c r="BE231" s="37">
        <v>6</v>
      </c>
      <c r="BF231" s="37">
        <v>5</v>
      </c>
      <c r="BG231" s="37">
        <v>3</v>
      </c>
      <c r="BH231" s="37">
        <v>3</v>
      </c>
      <c r="BI231" s="37">
        <v>3</v>
      </c>
      <c r="BJ231" s="37">
        <v>3</v>
      </c>
      <c r="BK231" s="37">
        <v>3</v>
      </c>
      <c r="BL231" s="37">
        <v>3</v>
      </c>
      <c r="BM231" s="37">
        <v>6</v>
      </c>
      <c r="BN231" s="37">
        <v>6</v>
      </c>
      <c r="BO231" s="37">
        <v>7</v>
      </c>
      <c r="BP231" s="37">
        <v>7</v>
      </c>
      <c r="BQ231" s="37">
        <v>7</v>
      </c>
      <c r="BR231" s="37">
        <v>7</v>
      </c>
      <c r="BS231" s="37">
        <v>7</v>
      </c>
      <c r="BT231" s="37">
        <v>7</v>
      </c>
    </row>
    <row r="232" spans="5:72" x14ac:dyDescent="0.25">
      <c r="F232" s="6">
        <f t="shared" si="64"/>
        <v>0</v>
      </c>
      <c r="G232" s="6">
        <f t="shared" si="65"/>
        <v>0</v>
      </c>
      <c r="H232" s="6">
        <f t="shared" si="66"/>
        <v>0</v>
      </c>
      <c r="I232" s="6">
        <f t="shared" si="67"/>
        <v>0</v>
      </c>
      <c r="J232" s="6">
        <f t="shared" si="68"/>
        <v>0</v>
      </c>
      <c r="K232" s="6">
        <f t="shared" si="69"/>
        <v>0</v>
      </c>
      <c r="L232" s="6">
        <f t="shared" si="70"/>
        <v>0</v>
      </c>
      <c r="M232" s="6">
        <f t="shared" si="71"/>
        <v>0</v>
      </c>
      <c r="N232" s="6">
        <f t="shared" si="72"/>
        <v>0</v>
      </c>
      <c r="O232" s="6">
        <f t="shared" si="73"/>
        <v>0</v>
      </c>
      <c r="P232" s="6">
        <f t="shared" si="74"/>
        <v>0</v>
      </c>
      <c r="Q232" s="6">
        <f t="shared" si="75"/>
        <v>0</v>
      </c>
      <c r="R232" s="6">
        <f t="shared" si="76"/>
        <v>0</v>
      </c>
      <c r="S232" s="6">
        <f t="shared" si="77"/>
        <v>0</v>
      </c>
      <c r="T232" s="6">
        <f t="shared" si="78"/>
        <v>0</v>
      </c>
      <c r="U232" s="6">
        <f t="shared" si="79"/>
        <v>0</v>
      </c>
      <c r="V232" s="6">
        <f t="shared" si="80"/>
        <v>0</v>
      </c>
      <c r="W232" s="6">
        <f t="shared" si="81"/>
        <v>0</v>
      </c>
      <c r="X232" s="6">
        <f t="shared" si="82"/>
        <v>0</v>
      </c>
      <c r="Y232" s="6">
        <f t="shared" si="83"/>
        <v>0</v>
      </c>
      <c r="Z232" s="6">
        <f t="shared" si="84"/>
        <v>0</v>
      </c>
      <c r="AB232" s="36" t="str">
        <f>IF(最佳化斷筋點!C232="","",最佳化斷筋點!C232)</f>
        <v/>
      </c>
      <c r="AC232" s="37" t="str">
        <f>IF(最佳化斷筋點!D232="","",最佳化斷筋點!D232)</f>
        <v/>
      </c>
      <c r="AD232" s="37" t="str">
        <f>IF(最佳化斷筋點!E232="","",最佳化斷筋點!E232)</f>
        <v/>
      </c>
      <c r="AE232" s="37" t="str">
        <f>IF(最佳化斷筋點!F232="","",最佳化斷筋點!F232)</f>
        <v/>
      </c>
      <c r="AF232" s="37" t="str">
        <f>IF(最佳化斷筋點!G232="","",最佳化斷筋點!G232)</f>
        <v/>
      </c>
      <c r="AG232" s="37" t="str">
        <f>IF(最佳化斷筋點!H232="","",最佳化斷筋點!H232)</f>
        <v/>
      </c>
      <c r="AH232" s="37" t="str">
        <f>IF(最佳化斷筋點!I232="","",最佳化斷筋點!I232)</f>
        <v/>
      </c>
      <c r="AI232" s="37" t="str">
        <f>IF(最佳化斷筋點!J232="","",最佳化斷筋點!J232)</f>
        <v/>
      </c>
      <c r="AJ232" s="37" t="str">
        <f>IF(最佳化斷筋點!K232="","",最佳化斷筋點!K232)</f>
        <v/>
      </c>
      <c r="AK232" s="37" t="str">
        <f>IF(最佳化斷筋點!L232="","",最佳化斷筋點!L232)</f>
        <v/>
      </c>
      <c r="AL232" s="37" t="str">
        <f>IF(最佳化斷筋點!M232="","",最佳化斷筋點!M232)</f>
        <v/>
      </c>
      <c r="AM232" s="37" t="str">
        <f>IF(最佳化斷筋點!N232="","",最佳化斷筋點!N232)</f>
        <v/>
      </c>
      <c r="AN232" s="37" t="str">
        <f>IF(最佳化斷筋點!O232="","",最佳化斷筋點!O232)</f>
        <v/>
      </c>
      <c r="AO232" s="37" t="str">
        <f>IF(最佳化斷筋點!P232="","",最佳化斷筋點!P232)</f>
        <v/>
      </c>
      <c r="AP232" s="37" t="str">
        <f>IF(最佳化斷筋點!Q232="","",最佳化斷筋點!Q232)</f>
        <v/>
      </c>
      <c r="AQ232" s="37" t="str">
        <f>IF(最佳化斷筋點!R232="","",最佳化斷筋點!R232)</f>
        <v/>
      </c>
      <c r="AR232" s="37" t="str">
        <f>IF(最佳化斷筋點!S232="","",最佳化斷筋點!S232)</f>
        <v/>
      </c>
      <c r="AS232" s="37" t="str">
        <f>IF(最佳化斷筋點!T232="","",最佳化斷筋點!T232)</f>
        <v/>
      </c>
      <c r="AT232" s="37" t="str">
        <f>IF(最佳化斷筋點!U232="","",最佳化斷筋點!U232)</f>
        <v/>
      </c>
      <c r="AU232" s="37" t="str">
        <f>IF(最佳化斷筋點!V232="","",最佳化斷筋點!V232)</f>
        <v/>
      </c>
      <c r="AV232" s="37" t="str">
        <f>IF(最佳化斷筋點!W232="","",最佳化斷筋點!W232)</f>
        <v/>
      </c>
      <c r="AW232" s="37" t="str">
        <f>IF(最佳化斷筋點!X232="","",最佳化斷筋點!X232)</f>
        <v/>
      </c>
      <c r="AZ232" s="37" t="s">
        <v>197</v>
      </c>
      <c r="BA232" s="37" t="s">
        <v>197</v>
      </c>
      <c r="BB232" s="37" t="s">
        <v>197</v>
      </c>
      <c r="BC232" s="37" t="s">
        <v>197</v>
      </c>
      <c r="BD232" s="37" t="s">
        <v>197</v>
      </c>
      <c r="BE232" s="37" t="s">
        <v>197</v>
      </c>
      <c r="BF232" s="37" t="s">
        <v>197</v>
      </c>
      <c r="BG232" s="37" t="s">
        <v>197</v>
      </c>
      <c r="BH232" s="37" t="s">
        <v>197</v>
      </c>
      <c r="BI232" s="37" t="s">
        <v>197</v>
      </c>
      <c r="BJ232" s="37" t="s">
        <v>197</v>
      </c>
      <c r="BK232" s="37" t="s">
        <v>197</v>
      </c>
      <c r="BL232" s="37" t="s">
        <v>197</v>
      </c>
      <c r="BM232" s="37" t="s">
        <v>197</v>
      </c>
      <c r="BN232" s="37" t="s">
        <v>197</v>
      </c>
      <c r="BO232" s="37" t="s">
        <v>197</v>
      </c>
      <c r="BP232" s="37" t="s">
        <v>197</v>
      </c>
      <c r="BQ232" s="37" t="s">
        <v>197</v>
      </c>
      <c r="BR232" s="37" t="s">
        <v>197</v>
      </c>
      <c r="BS232" s="37" t="s">
        <v>197</v>
      </c>
      <c r="BT232" s="37" t="s">
        <v>197</v>
      </c>
    </row>
    <row r="233" spans="5:72" x14ac:dyDescent="0.25">
      <c r="E233" s="6" t="s">
        <v>21</v>
      </c>
      <c r="F233" s="6">
        <f t="shared" si="64"/>
        <v>0</v>
      </c>
      <c r="G233" s="6">
        <f t="shared" si="65"/>
        <v>0</v>
      </c>
      <c r="H233" s="6">
        <f t="shared" si="66"/>
        <v>0</v>
      </c>
      <c r="I233" s="6">
        <f t="shared" si="67"/>
        <v>0</v>
      </c>
      <c r="J233" s="6">
        <f t="shared" si="68"/>
        <v>0</v>
      </c>
      <c r="K233" s="6">
        <f t="shared" si="69"/>
        <v>0</v>
      </c>
      <c r="L233" s="6">
        <f t="shared" si="70"/>
        <v>0</v>
      </c>
      <c r="M233" s="6">
        <f t="shared" si="71"/>
        <v>0</v>
      </c>
      <c r="N233" s="6">
        <f t="shared" si="72"/>
        <v>0</v>
      </c>
      <c r="O233" s="6">
        <f t="shared" si="73"/>
        <v>0</v>
      </c>
      <c r="P233" s="6">
        <f t="shared" si="74"/>
        <v>0</v>
      </c>
      <c r="Q233" s="6">
        <f t="shared" si="75"/>
        <v>0</v>
      </c>
      <c r="R233" s="6">
        <f t="shared" si="76"/>
        <v>0</v>
      </c>
      <c r="S233" s="6">
        <f t="shared" si="77"/>
        <v>0</v>
      </c>
      <c r="T233" s="6">
        <f t="shared" si="78"/>
        <v>0</v>
      </c>
      <c r="U233" s="6">
        <f t="shared" si="79"/>
        <v>0</v>
      </c>
      <c r="V233" s="6">
        <f t="shared" si="80"/>
        <v>0</v>
      </c>
      <c r="W233" s="6">
        <f t="shared" si="81"/>
        <v>0</v>
      </c>
      <c r="X233" s="6">
        <f t="shared" si="82"/>
        <v>0</v>
      </c>
      <c r="Y233" s="6">
        <f t="shared" si="83"/>
        <v>0</v>
      </c>
      <c r="Z233" s="6">
        <f t="shared" si="84"/>
        <v>0</v>
      </c>
      <c r="AB233" s="36" t="str">
        <f>IF(最佳化斷筋點!C233="","",最佳化斷筋點!C233)</f>
        <v>下層</v>
      </c>
      <c r="AC233" s="37">
        <f>IF(最佳化斷筋點!D233="","",最佳化斷筋點!D233)</f>
        <v>6</v>
      </c>
      <c r="AD233" s="37">
        <f>IF(最佳化斷筋點!E233="","",最佳化斷筋點!E233)</f>
        <v>6</v>
      </c>
      <c r="AE233" s="37">
        <f>IF(最佳化斷筋點!F233="","",最佳化斷筋點!F233)</f>
        <v>6</v>
      </c>
      <c r="AF233" s="37">
        <f>IF(最佳化斷筋點!G233="","",最佳化斷筋點!G233)</f>
        <v>6</v>
      </c>
      <c r="AG233" s="37">
        <f>IF(最佳化斷筋點!H233="","",最佳化斷筋點!H233)</f>
        <v>6</v>
      </c>
      <c r="AH233" s="37">
        <f>IF(最佳化斷筋點!I233="","",最佳化斷筋點!I233)</f>
        <v>5</v>
      </c>
      <c r="AI233" s="37">
        <f>IF(最佳化斷筋點!J233="","",最佳化斷筋點!J233)</f>
        <v>5</v>
      </c>
      <c r="AJ233" s="37">
        <f>IF(最佳化斷筋點!K233="","",最佳化斷筋點!K233)</f>
        <v>3</v>
      </c>
      <c r="AK233" s="37">
        <f>IF(最佳化斷筋點!L233="","",最佳化斷筋點!L233)</f>
        <v>3</v>
      </c>
      <c r="AL233" s="37">
        <f>IF(最佳化斷筋點!M233="","",最佳化斷筋點!M233)</f>
        <v>3</v>
      </c>
      <c r="AM233" s="37">
        <f>IF(最佳化斷筋點!N233="","",最佳化斷筋點!N233)</f>
        <v>3</v>
      </c>
      <c r="AN233" s="37">
        <f>IF(最佳化斷筋點!O233="","",最佳化斷筋點!O233)</f>
        <v>3</v>
      </c>
      <c r="AO233" s="37">
        <f>IF(最佳化斷筋點!P233="","",最佳化斷筋點!P233)</f>
        <v>3</v>
      </c>
      <c r="AP233" s="37">
        <f>IF(最佳化斷筋點!Q233="","",最佳化斷筋點!Q233)</f>
        <v>3</v>
      </c>
      <c r="AQ233" s="37">
        <f>IF(最佳化斷筋點!R233="","",最佳化斷筋點!R233)</f>
        <v>4</v>
      </c>
      <c r="AR233" s="37">
        <f>IF(最佳化斷筋點!S233="","",最佳化斷筋點!S233)</f>
        <v>4</v>
      </c>
      <c r="AS233" s="37">
        <f>IF(最佳化斷筋點!T233="","",最佳化斷筋點!T233)</f>
        <v>5</v>
      </c>
      <c r="AT233" s="37">
        <f>IF(最佳化斷筋點!U233="","",最佳化斷筋點!U233)</f>
        <v>5</v>
      </c>
      <c r="AU233" s="37">
        <f>IF(最佳化斷筋點!V233="","",最佳化斷筋點!V233)</f>
        <v>5</v>
      </c>
      <c r="AV233" s="37">
        <f>IF(最佳化斷筋點!W233="","",最佳化斷筋點!W233)</f>
        <v>5</v>
      </c>
      <c r="AW233" s="37">
        <f>IF(最佳化斷筋點!X233="","",最佳化斷筋點!X233)</f>
        <v>5</v>
      </c>
      <c r="AY233" s="6" t="s">
        <v>21</v>
      </c>
      <c r="AZ233" s="37">
        <v>6</v>
      </c>
      <c r="BA233" s="37">
        <v>6</v>
      </c>
      <c r="BB233" s="37">
        <v>6</v>
      </c>
      <c r="BC233" s="37">
        <v>6</v>
      </c>
      <c r="BD233" s="37">
        <v>6</v>
      </c>
      <c r="BE233" s="37">
        <v>5</v>
      </c>
      <c r="BF233" s="37">
        <v>5</v>
      </c>
      <c r="BG233" s="37">
        <v>3</v>
      </c>
      <c r="BH233" s="37">
        <v>3</v>
      </c>
      <c r="BI233" s="37">
        <v>3</v>
      </c>
      <c r="BJ233" s="37">
        <v>3</v>
      </c>
      <c r="BK233" s="37">
        <v>3</v>
      </c>
      <c r="BL233" s="37">
        <v>3</v>
      </c>
      <c r="BM233" s="37">
        <v>3</v>
      </c>
      <c r="BN233" s="37">
        <v>4</v>
      </c>
      <c r="BO233" s="37">
        <v>4</v>
      </c>
      <c r="BP233" s="37">
        <v>5</v>
      </c>
      <c r="BQ233" s="37">
        <v>5</v>
      </c>
      <c r="BR233" s="37">
        <v>5</v>
      </c>
      <c r="BS233" s="37">
        <v>5</v>
      </c>
      <c r="BT233" s="37">
        <v>5</v>
      </c>
    </row>
    <row r="234" spans="5:72" x14ac:dyDescent="0.25">
      <c r="F234" s="6">
        <f t="shared" si="64"/>
        <v>0</v>
      </c>
      <c r="G234" s="6">
        <f t="shared" si="65"/>
        <v>0</v>
      </c>
      <c r="H234" s="6">
        <f t="shared" si="66"/>
        <v>0</v>
      </c>
      <c r="I234" s="6">
        <f t="shared" si="67"/>
        <v>0</v>
      </c>
      <c r="J234" s="6">
        <f t="shared" si="68"/>
        <v>0</v>
      </c>
      <c r="K234" s="6">
        <f t="shared" si="69"/>
        <v>0</v>
      </c>
      <c r="L234" s="6">
        <f t="shared" si="70"/>
        <v>0</v>
      </c>
      <c r="M234" s="6">
        <f t="shared" si="71"/>
        <v>0</v>
      </c>
      <c r="N234" s="6">
        <f t="shared" si="72"/>
        <v>0</v>
      </c>
      <c r="O234" s="6">
        <f t="shared" si="73"/>
        <v>0</v>
      </c>
      <c r="P234" s="6">
        <f t="shared" si="74"/>
        <v>0</v>
      </c>
      <c r="Q234" s="6">
        <f t="shared" si="75"/>
        <v>0</v>
      </c>
      <c r="R234" s="6">
        <f t="shared" si="76"/>
        <v>0</v>
      </c>
      <c r="S234" s="6">
        <f t="shared" si="77"/>
        <v>0</v>
      </c>
      <c r="T234" s="6">
        <f t="shared" si="78"/>
        <v>0</v>
      </c>
      <c r="U234" s="6">
        <f t="shared" si="79"/>
        <v>0</v>
      </c>
      <c r="V234" s="6">
        <f t="shared" si="80"/>
        <v>0</v>
      </c>
      <c r="W234" s="6">
        <f t="shared" si="81"/>
        <v>0</v>
      </c>
      <c r="X234" s="6">
        <f t="shared" si="82"/>
        <v>0</v>
      </c>
      <c r="Y234" s="6">
        <f t="shared" si="83"/>
        <v>0</v>
      </c>
      <c r="Z234" s="6">
        <f t="shared" si="84"/>
        <v>0</v>
      </c>
      <c r="AB234" s="36" t="str">
        <f>IF(最佳化斷筋點!C234="","",最佳化斷筋點!C234)</f>
        <v/>
      </c>
      <c r="AC234" s="37" t="str">
        <f>IF(最佳化斷筋點!D234="","",最佳化斷筋點!D234)</f>
        <v/>
      </c>
      <c r="AD234" s="37" t="str">
        <f>IF(最佳化斷筋點!E234="","",最佳化斷筋點!E234)</f>
        <v/>
      </c>
      <c r="AE234" s="37" t="str">
        <f>IF(最佳化斷筋點!F234="","",最佳化斷筋點!F234)</f>
        <v/>
      </c>
      <c r="AF234" s="37" t="str">
        <f>IF(最佳化斷筋點!G234="","",最佳化斷筋點!G234)</f>
        <v/>
      </c>
      <c r="AG234" s="37" t="str">
        <f>IF(最佳化斷筋點!H234="","",最佳化斷筋點!H234)</f>
        <v/>
      </c>
      <c r="AH234" s="37" t="str">
        <f>IF(最佳化斷筋點!I234="","",最佳化斷筋點!I234)</f>
        <v/>
      </c>
      <c r="AI234" s="37" t="str">
        <f>IF(最佳化斷筋點!J234="","",最佳化斷筋點!J234)</f>
        <v/>
      </c>
      <c r="AJ234" s="37" t="str">
        <f>IF(最佳化斷筋點!K234="","",最佳化斷筋點!K234)</f>
        <v/>
      </c>
      <c r="AK234" s="37" t="str">
        <f>IF(最佳化斷筋點!L234="","",最佳化斷筋點!L234)</f>
        <v/>
      </c>
      <c r="AL234" s="37" t="str">
        <f>IF(最佳化斷筋點!M234="","",最佳化斷筋點!M234)</f>
        <v/>
      </c>
      <c r="AM234" s="37" t="str">
        <f>IF(最佳化斷筋點!N234="","",最佳化斷筋點!N234)</f>
        <v/>
      </c>
      <c r="AN234" s="37" t="str">
        <f>IF(最佳化斷筋點!O234="","",最佳化斷筋點!O234)</f>
        <v/>
      </c>
      <c r="AO234" s="37" t="str">
        <f>IF(最佳化斷筋點!P234="","",最佳化斷筋點!P234)</f>
        <v/>
      </c>
      <c r="AP234" s="37" t="str">
        <f>IF(最佳化斷筋點!Q234="","",最佳化斷筋點!Q234)</f>
        <v/>
      </c>
      <c r="AQ234" s="37" t="str">
        <f>IF(最佳化斷筋點!R234="","",最佳化斷筋點!R234)</f>
        <v/>
      </c>
      <c r="AR234" s="37" t="str">
        <f>IF(最佳化斷筋點!S234="","",最佳化斷筋點!S234)</f>
        <v/>
      </c>
      <c r="AS234" s="37" t="str">
        <f>IF(最佳化斷筋點!T234="","",最佳化斷筋點!T234)</f>
        <v/>
      </c>
      <c r="AT234" s="37" t="str">
        <f>IF(最佳化斷筋點!U234="","",最佳化斷筋點!U234)</f>
        <v/>
      </c>
      <c r="AU234" s="37" t="str">
        <f>IF(最佳化斷筋點!V234="","",最佳化斷筋點!V234)</f>
        <v/>
      </c>
      <c r="AV234" s="37" t="str">
        <f>IF(最佳化斷筋點!W234="","",最佳化斷筋點!W234)</f>
        <v/>
      </c>
      <c r="AW234" s="37" t="str">
        <f>IF(最佳化斷筋點!X234="","",最佳化斷筋點!X234)</f>
        <v/>
      </c>
      <c r="AZ234" s="37" t="s">
        <v>197</v>
      </c>
      <c r="BA234" s="37" t="s">
        <v>197</v>
      </c>
      <c r="BB234" s="37" t="s">
        <v>197</v>
      </c>
      <c r="BC234" s="37" t="s">
        <v>197</v>
      </c>
      <c r="BD234" s="37" t="s">
        <v>197</v>
      </c>
      <c r="BE234" s="37" t="s">
        <v>197</v>
      </c>
      <c r="BF234" s="37" t="s">
        <v>197</v>
      </c>
      <c r="BG234" s="37" t="s">
        <v>197</v>
      </c>
      <c r="BH234" s="37" t="s">
        <v>197</v>
      </c>
      <c r="BI234" s="37" t="s">
        <v>197</v>
      </c>
      <c r="BJ234" s="37" t="s">
        <v>197</v>
      </c>
      <c r="BK234" s="37" t="s">
        <v>197</v>
      </c>
      <c r="BL234" s="37" t="s">
        <v>197</v>
      </c>
      <c r="BM234" s="37" t="s">
        <v>197</v>
      </c>
      <c r="BN234" s="37" t="s">
        <v>197</v>
      </c>
      <c r="BO234" s="37" t="s">
        <v>197</v>
      </c>
      <c r="BP234" s="37" t="s">
        <v>197</v>
      </c>
      <c r="BQ234" s="37" t="s">
        <v>197</v>
      </c>
      <c r="BR234" s="37" t="s">
        <v>197</v>
      </c>
      <c r="BS234" s="37" t="s">
        <v>197</v>
      </c>
      <c r="BT234" s="37" t="s">
        <v>197</v>
      </c>
    </row>
    <row r="235" spans="5:72" x14ac:dyDescent="0.25">
      <c r="E235" s="6" t="s">
        <v>20</v>
      </c>
      <c r="F235" s="6">
        <f t="shared" si="64"/>
        <v>0</v>
      </c>
      <c r="G235" s="6">
        <f t="shared" si="65"/>
        <v>0</v>
      </c>
      <c r="H235" s="6">
        <f t="shared" si="66"/>
        <v>0</v>
      </c>
      <c r="I235" s="6">
        <f t="shared" si="67"/>
        <v>0</v>
      </c>
      <c r="J235" s="6">
        <f t="shared" si="68"/>
        <v>0</v>
      </c>
      <c r="K235" s="6">
        <f t="shared" si="69"/>
        <v>0</v>
      </c>
      <c r="L235" s="6">
        <f t="shared" si="70"/>
        <v>0</v>
      </c>
      <c r="M235" s="6">
        <f t="shared" si="71"/>
        <v>0</v>
      </c>
      <c r="N235" s="6">
        <f t="shared" si="72"/>
        <v>0</v>
      </c>
      <c r="O235" s="6">
        <f t="shared" si="73"/>
        <v>0</v>
      </c>
      <c r="P235" s="6">
        <f t="shared" si="74"/>
        <v>0</v>
      </c>
      <c r="Q235" s="6">
        <f t="shared" si="75"/>
        <v>0</v>
      </c>
      <c r="R235" s="6">
        <f t="shared" si="76"/>
        <v>0</v>
      </c>
      <c r="S235" s="6">
        <f t="shared" si="77"/>
        <v>0</v>
      </c>
      <c r="T235" s="6">
        <f t="shared" si="78"/>
        <v>0</v>
      </c>
      <c r="U235" s="6">
        <f t="shared" si="79"/>
        <v>0</v>
      </c>
      <c r="V235" s="6">
        <f t="shared" si="80"/>
        <v>0</v>
      </c>
      <c r="W235" s="6">
        <f t="shared" si="81"/>
        <v>0</v>
      </c>
      <c r="X235" s="6">
        <f t="shared" si="82"/>
        <v>0</v>
      </c>
      <c r="Y235" s="6">
        <f t="shared" si="83"/>
        <v>0</v>
      </c>
      <c r="Z235" s="6">
        <f t="shared" si="84"/>
        <v>0</v>
      </c>
      <c r="AB235" s="36" t="str">
        <f>IF(最佳化斷筋點!C235="","",最佳化斷筋點!C235)</f>
        <v>上層</v>
      </c>
      <c r="AC235" s="37">
        <f>IF(最佳化斷筋點!D235="","",最佳化斷筋點!D235)</f>
        <v>7</v>
      </c>
      <c r="AD235" s="37">
        <f>IF(最佳化斷筋點!E235="","",最佳化斷筋點!E235)</f>
        <v>7</v>
      </c>
      <c r="AE235" s="37">
        <f>IF(最佳化斷筋點!F235="","",最佳化斷筋點!F235)</f>
        <v>7</v>
      </c>
      <c r="AF235" s="37">
        <f>IF(最佳化斷筋點!G235="","",最佳化斷筋點!G235)</f>
        <v>7</v>
      </c>
      <c r="AG235" s="37">
        <f>IF(最佳化斷筋點!H235="","",最佳化斷筋點!H235)</f>
        <v>7</v>
      </c>
      <c r="AH235" s="37">
        <f>IF(最佳化斷筋點!I235="","",最佳化斷筋點!I235)</f>
        <v>7</v>
      </c>
      <c r="AI235" s="37">
        <f>IF(最佳化斷筋點!J235="","",最佳化斷筋點!J235)</f>
        <v>6</v>
      </c>
      <c r="AJ235" s="37">
        <f>IF(最佳化斷筋點!K235="","",最佳化斷筋點!K235)</f>
        <v>4</v>
      </c>
      <c r="AK235" s="37">
        <f>IF(最佳化斷筋點!L235="","",最佳化斷筋點!L235)</f>
        <v>4</v>
      </c>
      <c r="AL235" s="37">
        <f>IF(最佳化斷筋點!M235="","",最佳化斷筋點!M235)</f>
        <v>4</v>
      </c>
      <c r="AM235" s="37">
        <f>IF(最佳化斷筋點!N235="","",最佳化斷筋點!N235)</f>
        <v>4</v>
      </c>
      <c r="AN235" s="37">
        <f>IF(最佳化斷筋點!O235="","",最佳化斷筋點!O235)</f>
        <v>4</v>
      </c>
      <c r="AO235" s="37">
        <f>IF(最佳化斷筋點!P235="","",最佳化斷筋點!P235)</f>
        <v>4</v>
      </c>
      <c r="AP235" s="37">
        <f>IF(最佳化斷筋點!Q235="","",最佳化斷筋點!Q235)</f>
        <v>7</v>
      </c>
      <c r="AQ235" s="37">
        <f>IF(最佳化斷筋點!R235="","",最佳化斷筋點!R235)</f>
        <v>8</v>
      </c>
      <c r="AR235" s="37">
        <f>IF(最佳化斷筋點!S235="","",最佳化斷筋點!S235)</f>
        <v>9</v>
      </c>
      <c r="AS235" s="37">
        <f>IF(最佳化斷筋點!T235="","",最佳化斷筋點!T235)</f>
        <v>10</v>
      </c>
      <c r="AT235" s="37">
        <f>IF(最佳化斷筋點!U235="","",最佳化斷筋點!U235)</f>
        <v>10</v>
      </c>
      <c r="AU235" s="37">
        <f>IF(最佳化斷筋點!V235="","",最佳化斷筋點!V235)</f>
        <v>10</v>
      </c>
      <c r="AV235" s="37">
        <f>IF(最佳化斷筋點!W235="","",最佳化斷筋點!W235)</f>
        <v>10</v>
      </c>
      <c r="AW235" s="37">
        <f>IF(最佳化斷筋點!X235="","",最佳化斷筋點!X235)</f>
        <v>10</v>
      </c>
      <c r="AY235" s="6" t="s">
        <v>20</v>
      </c>
      <c r="AZ235" s="37">
        <v>7</v>
      </c>
      <c r="BA235" s="37">
        <v>7</v>
      </c>
      <c r="BB235" s="37">
        <v>7</v>
      </c>
      <c r="BC235" s="37">
        <v>7</v>
      </c>
      <c r="BD235" s="37">
        <v>7</v>
      </c>
      <c r="BE235" s="37">
        <v>7</v>
      </c>
      <c r="BF235" s="37">
        <v>6</v>
      </c>
      <c r="BG235" s="37">
        <v>4</v>
      </c>
      <c r="BH235" s="37">
        <v>4</v>
      </c>
      <c r="BI235" s="37">
        <v>4</v>
      </c>
      <c r="BJ235" s="37">
        <v>4</v>
      </c>
      <c r="BK235" s="37">
        <v>4</v>
      </c>
      <c r="BL235" s="37">
        <v>4</v>
      </c>
      <c r="BM235" s="37">
        <v>7</v>
      </c>
      <c r="BN235" s="37">
        <v>8</v>
      </c>
      <c r="BO235" s="37">
        <v>9</v>
      </c>
      <c r="BP235" s="37">
        <v>10</v>
      </c>
      <c r="BQ235" s="37">
        <v>10</v>
      </c>
      <c r="BR235" s="37">
        <v>10</v>
      </c>
      <c r="BS235" s="37">
        <v>10</v>
      </c>
      <c r="BT235" s="37">
        <v>10</v>
      </c>
    </row>
    <row r="236" spans="5:72" x14ac:dyDescent="0.25">
      <c r="F236" s="6">
        <f t="shared" si="64"/>
        <v>0</v>
      </c>
      <c r="G236" s="6">
        <f t="shared" si="65"/>
        <v>0</v>
      </c>
      <c r="H236" s="6">
        <f t="shared" si="66"/>
        <v>0</v>
      </c>
      <c r="I236" s="6">
        <f t="shared" si="67"/>
        <v>0</v>
      </c>
      <c r="J236" s="6">
        <f t="shared" si="68"/>
        <v>0</v>
      </c>
      <c r="K236" s="6">
        <f t="shared" si="69"/>
        <v>0</v>
      </c>
      <c r="L236" s="6">
        <f t="shared" si="70"/>
        <v>0</v>
      </c>
      <c r="M236" s="6">
        <f t="shared" si="71"/>
        <v>0</v>
      </c>
      <c r="N236" s="6">
        <f t="shared" si="72"/>
        <v>0</v>
      </c>
      <c r="O236" s="6">
        <f t="shared" si="73"/>
        <v>0</v>
      </c>
      <c r="P236" s="6">
        <f t="shared" si="74"/>
        <v>0</v>
      </c>
      <c r="Q236" s="6">
        <f t="shared" si="75"/>
        <v>0</v>
      </c>
      <c r="R236" s="6">
        <f t="shared" si="76"/>
        <v>0</v>
      </c>
      <c r="S236" s="6">
        <f t="shared" si="77"/>
        <v>0</v>
      </c>
      <c r="T236" s="6">
        <f t="shared" si="78"/>
        <v>0</v>
      </c>
      <c r="U236" s="6">
        <f t="shared" si="79"/>
        <v>0</v>
      </c>
      <c r="V236" s="6">
        <f t="shared" si="80"/>
        <v>0</v>
      </c>
      <c r="W236" s="6">
        <f t="shared" si="81"/>
        <v>0</v>
      </c>
      <c r="X236" s="6">
        <f t="shared" si="82"/>
        <v>0</v>
      </c>
      <c r="Y236" s="6">
        <f t="shared" si="83"/>
        <v>0</v>
      </c>
      <c r="Z236" s="6">
        <f t="shared" si="84"/>
        <v>0</v>
      </c>
      <c r="AB236" s="36" t="str">
        <f>IF(最佳化斷筋點!C236="","",最佳化斷筋點!C236)</f>
        <v/>
      </c>
      <c r="AC236" s="37" t="str">
        <f>IF(最佳化斷筋點!D236="","",最佳化斷筋點!D236)</f>
        <v/>
      </c>
      <c r="AD236" s="37" t="str">
        <f>IF(最佳化斷筋點!E236="","",最佳化斷筋點!E236)</f>
        <v/>
      </c>
      <c r="AE236" s="37" t="str">
        <f>IF(最佳化斷筋點!F236="","",最佳化斷筋點!F236)</f>
        <v/>
      </c>
      <c r="AF236" s="37" t="str">
        <f>IF(最佳化斷筋點!G236="","",最佳化斷筋點!G236)</f>
        <v/>
      </c>
      <c r="AG236" s="37" t="str">
        <f>IF(最佳化斷筋點!H236="","",最佳化斷筋點!H236)</f>
        <v/>
      </c>
      <c r="AH236" s="37" t="str">
        <f>IF(最佳化斷筋點!I236="","",最佳化斷筋點!I236)</f>
        <v/>
      </c>
      <c r="AI236" s="37" t="str">
        <f>IF(最佳化斷筋點!J236="","",最佳化斷筋點!J236)</f>
        <v/>
      </c>
      <c r="AJ236" s="37" t="str">
        <f>IF(最佳化斷筋點!K236="","",最佳化斷筋點!K236)</f>
        <v/>
      </c>
      <c r="AK236" s="37" t="str">
        <f>IF(最佳化斷筋點!L236="","",最佳化斷筋點!L236)</f>
        <v/>
      </c>
      <c r="AL236" s="37" t="str">
        <f>IF(最佳化斷筋點!M236="","",最佳化斷筋點!M236)</f>
        <v/>
      </c>
      <c r="AM236" s="37" t="str">
        <f>IF(最佳化斷筋點!N236="","",最佳化斷筋點!N236)</f>
        <v/>
      </c>
      <c r="AN236" s="37" t="str">
        <f>IF(最佳化斷筋點!O236="","",最佳化斷筋點!O236)</f>
        <v/>
      </c>
      <c r="AO236" s="37" t="str">
        <f>IF(最佳化斷筋點!P236="","",最佳化斷筋點!P236)</f>
        <v/>
      </c>
      <c r="AP236" s="37" t="str">
        <f>IF(最佳化斷筋點!Q236="","",最佳化斷筋點!Q236)</f>
        <v/>
      </c>
      <c r="AQ236" s="37" t="str">
        <f>IF(最佳化斷筋點!R236="","",最佳化斷筋點!R236)</f>
        <v/>
      </c>
      <c r="AR236" s="37" t="str">
        <f>IF(最佳化斷筋點!S236="","",最佳化斷筋點!S236)</f>
        <v/>
      </c>
      <c r="AS236" s="37" t="str">
        <f>IF(最佳化斷筋點!T236="","",最佳化斷筋點!T236)</f>
        <v/>
      </c>
      <c r="AT236" s="37" t="str">
        <f>IF(最佳化斷筋點!U236="","",最佳化斷筋點!U236)</f>
        <v/>
      </c>
      <c r="AU236" s="37" t="str">
        <f>IF(最佳化斷筋點!V236="","",最佳化斷筋點!V236)</f>
        <v/>
      </c>
      <c r="AV236" s="37" t="str">
        <f>IF(最佳化斷筋點!W236="","",最佳化斷筋點!W236)</f>
        <v/>
      </c>
      <c r="AW236" s="37" t="str">
        <f>IF(最佳化斷筋點!X236="","",最佳化斷筋點!X236)</f>
        <v/>
      </c>
      <c r="AZ236" s="37" t="s">
        <v>197</v>
      </c>
      <c r="BA236" s="37" t="s">
        <v>197</v>
      </c>
      <c r="BB236" s="37" t="s">
        <v>197</v>
      </c>
      <c r="BC236" s="37" t="s">
        <v>197</v>
      </c>
      <c r="BD236" s="37" t="s">
        <v>197</v>
      </c>
      <c r="BE236" s="37" t="s">
        <v>197</v>
      </c>
      <c r="BF236" s="37" t="s">
        <v>197</v>
      </c>
      <c r="BG236" s="37" t="s">
        <v>197</v>
      </c>
      <c r="BH236" s="37" t="s">
        <v>197</v>
      </c>
      <c r="BI236" s="37" t="s">
        <v>197</v>
      </c>
      <c r="BJ236" s="37" t="s">
        <v>197</v>
      </c>
      <c r="BK236" s="37" t="s">
        <v>197</v>
      </c>
      <c r="BL236" s="37" t="s">
        <v>197</v>
      </c>
      <c r="BM236" s="37" t="s">
        <v>197</v>
      </c>
      <c r="BN236" s="37" t="s">
        <v>197</v>
      </c>
      <c r="BO236" s="37" t="s">
        <v>197</v>
      </c>
      <c r="BP236" s="37" t="s">
        <v>197</v>
      </c>
      <c r="BQ236" s="37" t="s">
        <v>197</v>
      </c>
      <c r="BR236" s="37" t="s">
        <v>197</v>
      </c>
      <c r="BS236" s="37" t="s">
        <v>197</v>
      </c>
      <c r="BT236" s="37" t="s">
        <v>197</v>
      </c>
    </row>
    <row r="237" spans="5:72" x14ac:dyDescent="0.25">
      <c r="E237" s="6" t="s">
        <v>21</v>
      </c>
      <c r="F237" s="6">
        <f t="shared" si="64"/>
        <v>0</v>
      </c>
      <c r="G237" s="6">
        <f t="shared" si="65"/>
        <v>0</v>
      </c>
      <c r="H237" s="6">
        <f t="shared" si="66"/>
        <v>0</v>
      </c>
      <c r="I237" s="6">
        <f t="shared" si="67"/>
        <v>0</v>
      </c>
      <c r="J237" s="6">
        <f t="shared" si="68"/>
        <v>0</v>
      </c>
      <c r="K237" s="6">
        <f t="shared" si="69"/>
        <v>0</v>
      </c>
      <c r="L237" s="6">
        <f t="shared" si="70"/>
        <v>0</v>
      </c>
      <c r="M237" s="6">
        <f t="shared" si="71"/>
        <v>0</v>
      </c>
      <c r="N237" s="6">
        <f t="shared" si="72"/>
        <v>0</v>
      </c>
      <c r="O237" s="6">
        <f t="shared" si="73"/>
        <v>0</v>
      </c>
      <c r="P237" s="6">
        <f t="shared" si="74"/>
        <v>0</v>
      </c>
      <c r="Q237" s="6">
        <f t="shared" si="75"/>
        <v>0</v>
      </c>
      <c r="R237" s="6">
        <f t="shared" si="76"/>
        <v>0</v>
      </c>
      <c r="S237" s="6">
        <f t="shared" si="77"/>
        <v>0</v>
      </c>
      <c r="T237" s="6">
        <f t="shared" si="78"/>
        <v>0</v>
      </c>
      <c r="U237" s="6">
        <f t="shared" si="79"/>
        <v>0</v>
      </c>
      <c r="V237" s="6">
        <f t="shared" si="80"/>
        <v>0</v>
      </c>
      <c r="W237" s="6">
        <f t="shared" si="81"/>
        <v>0</v>
      </c>
      <c r="X237" s="6">
        <f t="shared" si="82"/>
        <v>0</v>
      </c>
      <c r="Y237" s="6">
        <f t="shared" si="83"/>
        <v>0</v>
      </c>
      <c r="Z237" s="6">
        <f t="shared" si="84"/>
        <v>0</v>
      </c>
      <c r="AB237" s="36" t="str">
        <f>IF(最佳化斷筋點!C237="","",最佳化斷筋點!C237)</f>
        <v>下層</v>
      </c>
      <c r="AC237" s="37">
        <f>IF(最佳化斷筋點!D237="","",最佳化斷筋點!D237)</f>
        <v>7</v>
      </c>
      <c r="AD237" s="37">
        <f>IF(最佳化斷筋點!E237="","",最佳化斷筋點!E237)</f>
        <v>7</v>
      </c>
      <c r="AE237" s="37">
        <f>IF(最佳化斷筋點!F237="","",最佳化斷筋點!F237)</f>
        <v>7</v>
      </c>
      <c r="AF237" s="37">
        <f>IF(最佳化斷筋點!G237="","",最佳化斷筋點!G237)</f>
        <v>7</v>
      </c>
      <c r="AG237" s="37">
        <f>IF(最佳化斷筋點!H237="","",最佳化斷筋點!H237)</f>
        <v>7</v>
      </c>
      <c r="AH237" s="37">
        <f>IF(最佳化斷筋點!I237="","",最佳化斷筋點!I237)</f>
        <v>6</v>
      </c>
      <c r="AI237" s="37">
        <f>IF(最佳化斷筋點!J237="","",最佳化斷筋點!J237)</f>
        <v>6</v>
      </c>
      <c r="AJ237" s="37">
        <f>IF(最佳化斷筋點!K237="","",最佳化斷筋點!K237)</f>
        <v>3</v>
      </c>
      <c r="AK237" s="37">
        <f>IF(最佳化斷筋點!L237="","",最佳化斷筋點!L237)</f>
        <v>3</v>
      </c>
      <c r="AL237" s="37">
        <f>IF(最佳化斷筋點!M237="","",最佳化斷筋點!M237)</f>
        <v>3</v>
      </c>
      <c r="AM237" s="37">
        <f>IF(最佳化斷筋點!N237="","",最佳化斷筋點!N237)</f>
        <v>3</v>
      </c>
      <c r="AN237" s="37">
        <f>IF(最佳化斷筋點!O237="","",最佳化斷筋點!O237)</f>
        <v>3</v>
      </c>
      <c r="AO237" s="37">
        <f>IF(最佳化斷筋點!P237="","",最佳化斷筋點!P237)</f>
        <v>3</v>
      </c>
      <c r="AP237" s="37">
        <f>IF(最佳化斷筋點!Q237="","",最佳化斷筋點!Q237)</f>
        <v>3</v>
      </c>
      <c r="AQ237" s="37">
        <f>IF(最佳化斷筋點!R237="","",最佳化斷筋點!R237)</f>
        <v>4</v>
      </c>
      <c r="AR237" s="37">
        <f>IF(最佳化斷筋點!S237="","",最佳化斷筋點!S237)</f>
        <v>4</v>
      </c>
      <c r="AS237" s="37">
        <f>IF(最佳化斷筋點!T237="","",最佳化斷筋點!T237)</f>
        <v>5</v>
      </c>
      <c r="AT237" s="37">
        <f>IF(最佳化斷筋點!U237="","",最佳化斷筋點!U237)</f>
        <v>5</v>
      </c>
      <c r="AU237" s="37">
        <f>IF(最佳化斷筋點!V237="","",最佳化斷筋點!V237)</f>
        <v>5</v>
      </c>
      <c r="AV237" s="37">
        <f>IF(最佳化斷筋點!W237="","",最佳化斷筋點!W237)</f>
        <v>5</v>
      </c>
      <c r="AW237" s="37">
        <f>IF(最佳化斷筋點!X237="","",最佳化斷筋點!X237)</f>
        <v>5</v>
      </c>
      <c r="AY237" s="6" t="s">
        <v>21</v>
      </c>
      <c r="AZ237" s="37">
        <v>7</v>
      </c>
      <c r="BA237" s="37">
        <v>7</v>
      </c>
      <c r="BB237" s="37">
        <v>7</v>
      </c>
      <c r="BC237" s="37">
        <v>7</v>
      </c>
      <c r="BD237" s="37">
        <v>7</v>
      </c>
      <c r="BE237" s="37">
        <v>6</v>
      </c>
      <c r="BF237" s="37">
        <v>6</v>
      </c>
      <c r="BG237" s="37">
        <v>3</v>
      </c>
      <c r="BH237" s="37">
        <v>3</v>
      </c>
      <c r="BI237" s="37">
        <v>3</v>
      </c>
      <c r="BJ237" s="37">
        <v>3</v>
      </c>
      <c r="BK237" s="37">
        <v>3</v>
      </c>
      <c r="BL237" s="37">
        <v>3</v>
      </c>
      <c r="BM237" s="37">
        <v>3</v>
      </c>
      <c r="BN237" s="37">
        <v>4</v>
      </c>
      <c r="BO237" s="37">
        <v>4</v>
      </c>
      <c r="BP237" s="37">
        <v>5</v>
      </c>
      <c r="BQ237" s="37">
        <v>5</v>
      </c>
      <c r="BR237" s="37">
        <v>5</v>
      </c>
      <c r="BS237" s="37">
        <v>5</v>
      </c>
      <c r="BT237" s="37">
        <v>5</v>
      </c>
    </row>
    <row r="238" spans="5:72" x14ac:dyDescent="0.25">
      <c r="F238" s="6">
        <f t="shared" si="64"/>
        <v>0</v>
      </c>
      <c r="G238" s="6">
        <f t="shared" si="65"/>
        <v>0</v>
      </c>
      <c r="H238" s="6">
        <f t="shared" si="66"/>
        <v>0</v>
      </c>
      <c r="I238" s="6">
        <f t="shared" si="67"/>
        <v>0</v>
      </c>
      <c r="J238" s="6">
        <f t="shared" si="68"/>
        <v>0</v>
      </c>
      <c r="K238" s="6">
        <f t="shared" si="69"/>
        <v>0</v>
      </c>
      <c r="L238" s="6">
        <f t="shared" si="70"/>
        <v>0</v>
      </c>
      <c r="M238" s="6">
        <f t="shared" si="71"/>
        <v>0</v>
      </c>
      <c r="N238" s="6">
        <f t="shared" si="72"/>
        <v>0</v>
      </c>
      <c r="O238" s="6">
        <f t="shared" si="73"/>
        <v>0</v>
      </c>
      <c r="P238" s="6">
        <f t="shared" si="74"/>
        <v>0</v>
      </c>
      <c r="Q238" s="6">
        <f t="shared" si="75"/>
        <v>0</v>
      </c>
      <c r="R238" s="6">
        <f t="shared" si="76"/>
        <v>0</v>
      </c>
      <c r="S238" s="6">
        <f t="shared" si="77"/>
        <v>0</v>
      </c>
      <c r="T238" s="6">
        <f t="shared" si="78"/>
        <v>0</v>
      </c>
      <c r="U238" s="6">
        <f t="shared" si="79"/>
        <v>0</v>
      </c>
      <c r="V238" s="6">
        <f t="shared" si="80"/>
        <v>0</v>
      </c>
      <c r="W238" s="6">
        <f t="shared" si="81"/>
        <v>0</v>
      </c>
      <c r="X238" s="6">
        <f t="shared" si="82"/>
        <v>0</v>
      </c>
      <c r="Y238" s="6">
        <f t="shared" si="83"/>
        <v>0</v>
      </c>
      <c r="Z238" s="6">
        <f t="shared" si="84"/>
        <v>0</v>
      </c>
      <c r="AB238" s="36" t="str">
        <f>IF(最佳化斷筋點!C238="","",最佳化斷筋點!C238)</f>
        <v/>
      </c>
      <c r="AC238" s="37" t="str">
        <f>IF(最佳化斷筋點!D238="","",最佳化斷筋點!D238)</f>
        <v/>
      </c>
      <c r="AD238" s="37" t="str">
        <f>IF(最佳化斷筋點!E238="","",最佳化斷筋點!E238)</f>
        <v/>
      </c>
      <c r="AE238" s="37" t="str">
        <f>IF(最佳化斷筋點!F238="","",最佳化斷筋點!F238)</f>
        <v/>
      </c>
      <c r="AF238" s="37" t="str">
        <f>IF(最佳化斷筋點!G238="","",最佳化斷筋點!G238)</f>
        <v/>
      </c>
      <c r="AG238" s="37" t="str">
        <f>IF(最佳化斷筋點!H238="","",最佳化斷筋點!H238)</f>
        <v/>
      </c>
      <c r="AH238" s="37" t="str">
        <f>IF(最佳化斷筋點!I238="","",最佳化斷筋點!I238)</f>
        <v/>
      </c>
      <c r="AI238" s="37" t="str">
        <f>IF(最佳化斷筋點!J238="","",最佳化斷筋點!J238)</f>
        <v/>
      </c>
      <c r="AJ238" s="37" t="str">
        <f>IF(最佳化斷筋點!K238="","",最佳化斷筋點!K238)</f>
        <v/>
      </c>
      <c r="AK238" s="37" t="str">
        <f>IF(最佳化斷筋點!L238="","",最佳化斷筋點!L238)</f>
        <v/>
      </c>
      <c r="AL238" s="37" t="str">
        <f>IF(最佳化斷筋點!M238="","",最佳化斷筋點!M238)</f>
        <v/>
      </c>
      <c r="AM238" s="37" t="str">
        <f>IF(最佳化斷筋點!N238="","",最佳化斷筋點!N238)</f>
        <v/>
      </c>
      <c r="AN238" s="37" t="str">
        <f>IF(最佳化斷筋點!O238="","",最佳化斷筋點!O238)</f>
        <v/>
      </c>
      <c r="AO238" s="37" t="str">
        <f>IF(最佳化斷筋點!P238="","",最佳化斷筋點!P238)</f>
        <v/>
      </c>
      <c r="AP238" s="37" t="str">
        <f>IF(最佳化斷筋點!Q238="","",最佳化斷筋點!Q238)</f>
        <v/>
      </c>
      <c r="AQ238" s="37" t="str">
        <f>IF(最佳化斷筋點!R238="","",最佳化斷筋點!R238)</f>
        <v/>
      </c>
      <c r="AR238" s="37" t="str">
        <f>IF(最佳化斷筋點!S238="","",最佳化斷筋點!S238)</f>
        <v/>
      </c>
      <c r="AS238" s="37" t="str">
        <f>IF(最佳化斷筋點!T238="","",最佳化斷筋點!T238)</f>
        <v/>
      </c>
      <c r="AT238" s="37" t="str">
        <f>IF(最佳化斷筋點!U238="","",最佳化斷筋點!U238)</f>
        <v/>
      </c>
      <c r="AU238" s="37" t="str">
        <f>IF(最佳化斷筋點!V238="","",最佳化斷筋點!V238)</f>
        <v/>
      </c>
      <c r="AV238" s="37" t="str">
        <f>IF(最佳化斷筋點!W238="","",最佳化斷筋點!W238)</f>
        <v/>
      </c>
      <c r="AW238" s="37" t="str">
        <f>IF(最佳化斷筋點!X238="","",最佳化斷筋點!X238)</f>
        <v/>
      </c>
      <c r="AZ238" s="37" t="s">
        <v>197</v>
      </c>
      <c r="BA238" s="37" t="s">
        <v>197</v>
      </c>
      <c r="BB238" s="37" t="s">
        <v>197</v>
      </c>
      <c r="BC238" s="37" t="s">
        <v>197</v>
      </c>
      <c r="BD238" s="37" t="s">
        <v>197</v>
      </c>
      <c r="BE238" s="37" t="s">
        <v>197</v>
      </c>
      <c r="BF238" s="37" t="s">
        <v>197</v>
      </c>
      <c r="BG238" s="37" t="s">
        <v>197</v>
      </c>
      <c r="BH238" s="37" t="s">
        <v>197</v>
      </c>
      <c r="BI238" s="37" t="s">
        <v>197</v>
      </c>
      <c r="BJ238" s="37" t="s">
        <v>197</v>
      </c>
      <c r="BK238" s="37" t="s">
        <v>197</v>
      </c>
      <c r="BL238" s="37" t="s">
        <v>197</v>
      </c>
      <c r="BM238" s="37" t="s">
        <v>197</v>
      </c>
      <c r="BN238" s="37" t="s">
        <v>197</v>
      </c>
      <c r="BO238" s="37" t="s">
        <v>197</v>
      </c>
      <c r="BP238" s="37" t="s">
        <v>197</v>
      </c>
      <c r="BQ238" s="37" t="s">
        <v>197</v>
      </c>
      <c r="BR238" s="37" t="s">
        <v>197</v>
      </c>
      <c r="BS238" s="37" t="s">
        <v>197</v>
      </c>
      <c r="BT238" s="37" t="s">
        <v>197</v>
      </c>
    </row>
    <row r="239" spans="5:72" x14ac:dyDescent="0.25">
      <c r="E239" s="6" t="s">
        <v>20</v>
      </c>
      <c r="F239" s="6">
        <f t="shared" si="64"/>
        <v>0</v>
      </c>
      <c r="G239" s="6">
        <f t="shared" si="65"/>
        <v>0</v>
      </c>
      <c r="H239" s="6">
        <f t="shared" si="66"/>
        <v>0</v>
      </c>
      <c r="I239" s="6">
        <f t="shared" si="67"/>
        <v>0</v>
      </c>
      <c r="J239" s="6">
        <f t="shared" si="68"/>
        <v>0</v>
      </c>
      <c r="K239" s="6">
        <f t="shared" si="69"/>
        <v>0</v>
      </c>
      <c r="L239" s="6">
        <f t="shared" si="70"/>
        <v>0</v>
      </c>
      <c r="M239" s="6">
        <f t="shared" si="71"/>
        <v>0</v>
      </c>
      <c r="N239" s="6">
        <f t="shared" si="72"/>
        <v>0</v>
      </c>
      <c r="O239" s="6">
        <f t="shared" si="73"/>
        <v>0</v>
      </c>
      <c r="P239" s="6">
        <f t="shared" si="74"/>
        <v>0</v>
      </c>
      <c r="Q239" s="6">
        <f t="shared" si="75"/>
        <v>0</v>
      </c>
      <c r="R239" s="6">
        <f t="shared" si="76"/>
        <v>0</v>
      </c>
      <c r="S239" s="6">
        <f t="shared" si="77"/>
        <v>0</v>
      </c>
      <c r="T239" s="6">
        <f t="shared" si="78"/>
        <v>0</v>
      </c>
      <c r="U239" s="6">
        <f t="shared" si="79"/>
        <v>0</v>
      </c>
      <c r="V239" s="6">
        <f t="shared" si="80"/>
        <v>0</v>
      </c>
      <c r="W239" s="6">
        <f t="shared" si="81"/>
        <v>0</v>
      </c>
      <c r="X239" s="6">
        <f t="shared" si="82"/>
        <v>0</v>
      </c>
      <c r="Y239" s="6">
        <f t="shared" si="83"/>
        <v>0</v>
      </c>
      <c r="Z239" s="6">
        <f t="shared" si="84"/>
        <v>0</v>
      </c>
      <c r="AB239" s="36" t="str">
        <f>IF(最佳化斷筋點!C239="","",最佳化斷筋點!C239)</f>
        <v>上層</v>
      </c>
      <c r="AC239" s="37">
        <f>IF(最佳化斷筋點!D239="","",最佳化斷筋點!D239)</f>
        <v>8</v>
      </c>
      <c r="AD239" s="37">
        <f>IF(最佳化斷筋點!E239="","",最佳化斷筋點!E239)</f>
        <v>8</v>
      </c>
      <c r="AE239" s="37">
        <f>IF(最佳化斷筋點!F239="","",最佳化斷筋點!F239)</f>
        <v>8</v>
      </c>
      <c r="AF239" s="37">
        <f>IF(最佳化斷筋點!G239="","",最佳化斷筋點!G239)</f>
        <v>8</v>
      </c>
      <c r="AG239" s="37">
        <f>IF(最佳化斷筋點!H239="","",最佳化斷筋點!H239)</f>
        <v>8</v>
      </c>
      <c r="AH239" s="37">
        <f>IF(最佳化斷筋點!I239="","",最佳化斷筋點!I239)</f>
        <v>8</v>
      </c>
      <c r="AI239" s="37">
        <f>IF(最佳化斷筋點!J239="","",最佳化斷筋點!J239)</f>
        <v>8</v>
      </c>
      <c r="AJ239" s="37">
        <f>IF(最佳化斷筋點!K239="","",最佳化斷筋點!K239)</f>
        <v>3</v>
      </c>
      <c r="AK239" s="37">
        <f>IF(最佳化斷筋點!L239="","",最佳化斷筋點!L239)</f>
        <v>3</v>
      </c>
      <c r="AL239" s="37">
        <f>IF(最佳化斷筋點!M239="","",最佳化斷筋點!M239)</f>
        <v>3</v>
      </c>
      <c r="AM239" s="37">
        <f>IF(最佳化斷筋點!N239="","",最佳化斷筋點!N239)</f>
        <v>3</v>
      </c>
      <c r="AN239" s="37">
        <f>IF(最佳化斷筋點!O239="","",最佳化斷筋點!O239)</f>
        <v>3</v>
      </c>
      <c r="AO239" s="37">
        <f>IF(最佳化斷筋點!P239="","",最佳化斷筋點!P239)</f>
        <v>3</v>
      </c>
      <c r="AP239" s="37">
        <f>IF(最佳化斷筋點!Q239="","",最佳化斷筋點!Q239)</f>
        <v>4</v>
      </c>
      <c r="AQ239" s="37">
        <f>IF(最佳化斷筋點!R239="","",最佳化斷筋點!R239)</f>
        <v>5</v>
      </c>
      <c r="AR239" s="37">
        <f>IF(最佳化斷筋點!S239="","",最佳化斷筋點!S239)</f>
        <v>5</v>
      </c>
      <c r="AS239" s="37">
        <f>IF(最佳化斷筋點!T239="","",最佳化斷筋點!T239)</f>
        <v>6</v>
      </c>
      <c r="AT239" s="37">
        <f>IF(最佳化斷筋點!U239="","",最佳化斷筋點!U239)</f>
        <v>6</v>
      </c>
      <c r="AU239" s="37">
        <f>IF(最佳化斷筋點!V239="","",最佳化斷筋點!V239)</f>
        <v>6</v>
      </c>
      <c r="AV239" s="37">
        <f>IF(最佳化斷筋點!W239="","",最佳化斷筋點!W239)</f>
        <v>6</v>
      </c>
      <c r="AW239" s="37">
        <f>IF(最佳化斷筋點!X239="","",最佳化斷筋點!X239)</f>
        <v>6</v>
      </c>
      <c r="AY239" s="6" t="s">
        <v>20</v>
      </c>
      <c r="AZ239" s="37">
        <v>8</v>
      </c>
      <c r="BA239" s="37">
        <v>8</v>
      </c>
      <c r="BB239" s="37">
        <v>8</v>
      </c>
      <c r="BC239" s="37">
        <v>8</v>
      </c>
      <c r="BD239" s="37">
        <v>8</v>
      </c>
      <c r="BE239" s="37">
        <v>8</v>
      </c>
      <c r="BF239" s="37">
        <v>8</v>
      </c>
      <c r="BG239" s="37">
        <v>3</v>
      </c>
      <c r="BH239" s="37">
        <v>3</v>
      </c>
      <c r="BI239" s="37">
        <v>3</v>
      </c>
      <c r="BJ239" s="37">
        <v>3</v>
      </c>
      <c r="BK239" s="37">
        <v>3</v>
      </c>
      <c r="BL239" s="37">
        <v>3</v>
      </c>
      <c r="BM239" s="37">
        <v>4</v>
      </c>
      <c r="BN239" s="37">
        <v>5</v>
      </c>
      <c r="BO239" s="37">
        <v>5</v>
      </c>
      <c r="BP239" s="37">
        <v>6</v>
      </c>
      <c r="BQ239" s="37">
        <v>6</v>
      </c>
      <c r="BR239" s="37">
        <v>6</v>
      </c>
      <c r="BS239" s="37">
        <v>6</v>
      </c>
      <c r="BT239" s="37">
        <v>6</v>
      </c>
    </row>
    <row r="240" spans="5:72" x14ac:dyDescent="0.25">
      <c r="F240" s="6">
        <f t="shared" si="64"/>
        <v>0</v>
      </c>
      <c r="G240" s="6">
        <f t="shared" si="65"/>
        <v>0</v>
      </c>
      <c r="H240" s="6">
        <f t="shared" si="66"/>
        <v>0</v>
      </c>
      <c r="I240" s="6">
        <f t="shared" si="67"/>
        <v>0</v>
      </c>
      <c r="J240" s="6">
        <f t="shared" si="68"/>
        <v>0</v>
      </c>
      <c r="K240" s="6">
        <f t="shared" si="69"/>
        <v>0</v>
      </c>
      <c r="L240" s="6">
        <f t="shared" si="70"/>
        <v>0</v>
      </c>
      <c r="M240" s="6">
        <f t="shared" si="71"/>
        <v>0</v>
      </c>
      <c r="N240" s="6">
        <f t="shared" si="72"/>
        <v>0</v>
      </c>
      <c r="O240" s="6">
        <f t="shared" si="73"/>
        <v>0</v>
      </c>
      <c r="P240" s="6">
        <f t="shared" si="74"/>
        <v>0</v>
      </c>
      <c r="Q240" s="6">
        <f t="shared" si="75"/>
        <v>0</v>
      </c>
      <c r="R240" s="6">
        <f t="shared" si="76"/>
        <v>0</v>
      </c>
      <c r="S240" s="6">
        <f t="shared" si="77"/>
        <v>0</v>
      </c>
      <c r="T240" s="6">
        <f t="shared" si="78"/>
        <v>0</v>
      </c>
      <c r="U240" s="6">
        <f t="shared" si="79"/>
        <v>0</v>
      </c>
      <c r="V240" s="6">
        <f t="shared" si="80"/>
        <v>0</v>
      </c>
      <c r="W240" s="6">
        <f t="shared" si="81"/>
        <v>0</v>
      </c>
      <c r="X240" s="6">
        <f t="shared" si="82"/>
        <v>0</v>
      </c>
      <c r="Y240" s="6">
        <f t="shared" si="83"/>
        <v>0</v>
      </c>
      <c r="Z240" s="6">
        <f t="shared" si="84"/>
        <v>0</v>
      </c>
      <c r="AB240" s="36" t="str">
        <f>IF(最佳化斷筋點!C240="","",最佳化斷筋點!C240)</f>
        <v/>
      </c>
      <c r="AC240" s="37" t="str">
        <f>IF(最佳化斷筋點!D240="","",最佳化斷筋點!D240)</f>
        <v/>
      </c>
      <c r="AD240" s="37" t="str">
        <f>IF(最佳化斷筋點!E240="","",最佳化斷筋點!E240)</f>
        <v/>
      </c>
      <c r="AE240" s="37" t="str">
        <f>IF(最佳化斷筋點!F240="","",最佳化斷筋點!F240)</f>
        <v/>
      </c>
      <c r="AF240" s="37" t="str">
        <f>IF(最佳化斷筋點!G240="","",最佳化斷筋點!G240)</f>
        <v/>
      </c>
      <c r="AG240" s="37" t="str">
        <f>IF(最佳化斷筋點!H240="","",最佳化斷筋點!H240)</f>
        <v/>
      </c>
      <c r="AH240" s="37" t="str">
        <f>IF(最佳化斷筋點!I240="","",最佳化斷筋點!I240)</f>
        <v/>
      </c>
      <c r="AI240" s="37" t="str">
        <f>IF(最佳化斷筋點!J240="","",最佳化斷筋點!J240)</f>
        <v/>
      </c>
      <c r="AJ240" s="37" t="str">
        <f>IF(最佳化斷筋點!K240="","",最佳化斷筋點!K240)</f>
        <v/>
      </c>
      <c r="AK240" s="37" t="str">
        <f>IF(最佳化斷筋點!L240="","",最佳化斷筋點!L240)</f>
        <v/>
      </c>
      <c r="AL240" s="37" t="str">
        <f>IF(最佳化斷筋點!M240="","",最佳化斷筋點!M240)</f>
        <v/>
      </c>
      <c r="AM240" s="37" t="str">
        <f>IF(最佳化斷筋點!N240="","",最佳化斷筋點!N240)</f>
        <v/>
      </c>
      <c r="AN240" s="37" t="str">
        <f>IF(最佳化斷筋點!O240="","",最佳化斷筋點!O240)</f>
        <v/>
      </c>
      <c r="AO240" s="37" t="str">
        <f>IF(最佳化斷筋點!P240="","",最佳化斷筋點!P240)</f>
        <v/>
      </c>
      <c r="AP240" s="37" t="str">
        <f>IF(最佳化斷筋點!Q240="","",最佳化斷筋點!Q240)</f>
        <v/>
      </c>
      <c r="AQ240" s="37" t="str">
        <f>IF(最佳化斷筋點!R240="","",最佳化斷筋點!R240)</f>
        <v/>
      </c>
      <c r="AR240" s="37" t="str">
        <f>IF(最佳化斷筋點!S240="","",最佳化斷筋點!S240)</f>
        <v/>
      </c>
      <c r="AS240" s="37" t="str">
        <f>IF(最佳化斷筋點!T240="","",最佳化斷筋點!T240)</f>
        <v/>
      </c>
      <c r="AT240" s="37" t="str">
        <f>IF(最佳化斷筋點!U240="","",最佳化斷筋點!U240)</f>
        <v/>
      </c>
      <c r="AU240" s="37" t="str">
        <f>IF(最佳化斷筋點!V240="","",最佳化斷筋點!V240)</f>
        <v/>
      </c>
      <c r="AV240" s="37" t="str">
        <f>IF(最佳化斷筋點!W240="","",最佳化斷筋點!W240)</f>
        <v/>
      </c>
      <c r="AW240" s="37" t="str">
        <f>IF(最佳化斷筋點!X240="","",最佳化斷筋點!X240)</f>
        <v/>
      </c>
      <c r="AZ240" s="37" t="s">
        <v>197</v>
      </c>
      <c r="BA240" s="37" t="s">
        <v>197</v>
      </c>
      <c r="BB240" s="37" t="s">
        <v>197</v>
      </c>
      <c r="BC240" s="37" t="s">
        <v>197</v>
      </c>
      <c r="BD240" s="37" t="s">
        <v>197</v>
      </c>
      <c r="BE240" s="37" t="s">
        <v>197</v>
      </c>
      <c r="BF240" s="37" t="s">
        <v>197</v>
      </c>
      <c r="BG240" s="37" t="s">
        <v>197</v>
      </c>
      <c r="BH240" s="37" t="s">
        <v>197</v>
      </c>
      <c r="BI240" s="37" t="s">
        <v>197</v>
      </c>
      <c r="BJ240" s="37" t="s">
        <v>197</v>
      </c>
      <c r="BK240" s="37" t="s">
        <v>197</v>
      </c>
      <c r="BL240" s="37" t="s">
        <v>197</v>
      </c>
      <c r="BM240" s="37" t="s">
        <v>197</v>
      </c>
      <c r="BN240" s="37" t="s">
        <v>197</v>
      </c>
      <c r="BO240" s="37" t="s">
        <v>197</v>
      </c>
      <c r="BP240" s="37" t="s">
        <v>197</v>
      </c>
      <c r="BQ240" s="37" t="s">
        <v>197</v>
      </c>
      <c r="BR240" s="37" t="s">
        <v>197</v>
      </c>
      <c r="BS240" s="37" t="s">
        <v>197</v>
      </c>
      <c r="BT240" s="37" t="s">
        <v>197</v>
      </c>
    </row>
    <row r="241" spans="5:72" x14ac:dyDescent="0.25">
      <c r="E241" s="6" t="s">
        <v>21</v>
      </c>
      <c r="F241" s="6">
        <f t="shared" si="64"/>
        <v>0</v>
      </c>
      <c r="G241" s="6">
        <f t="shared" si="65"/>
        <v>0</v>
      </c>
      <c r="H241" s="6">
        <f t="shared" si="66"/>
        <v>0</v>
      </c>
      <c r="I241" s="6">
        <f t="shared" si="67"/>
        <v>0</v>
      </c>
      <c r="J241" s="6">
        <f t="shared" si="68"/>
        <v>0</v>
      </c>
      <c r="K241" s="6">
        <f t="shared" si="69"/>
        <v>0</v>
      </c>
      <c r="L241" s="6">
        <f t="shared" si="70"/>
        <v>0</v>
      </c>
      <c r="M241" s="6">
        <f t="shared" si="71"/>
        <v>0</v>
      </c>
      <c r="N241" s="6">
        <f t="shared" si="72"/>
        <v>0</v>
      </c>
      <c r="O241" s="6">
        <f t="shared" si="73"/>
        <v>0</v>
      </c>
      <c r="P241" s="6">
        <f t="shared" si="74"/>
        <v>0</v>
      </c>
      <c r="Q241" s="6">
        <f t="shared" si="75"/>
        <v>0</v>
      </c>
      <c r="R241" s="6">
        <f t="shared" si="76"/>
        <v>0</v>
      </c>
      <c r="S241" s="6">
        <f t="shared" si="77"/>
        <v>0</v>
      </c>
      <c r="T241" s="6">
        <f t="shared" si="78"/>
        <v>0</v>
      </c>
      <c r="U241" s="6">
        <f t="shared" si="79"/>
        <v>0</v>
      </c>
      <c r="V241" s="6">
        <f t="shared" si="80"/>
        <v>0</v>
      </c>
      <c r="W241" s="6">
        <f t="shared" si="81"/>
        <v>0</v>
      </c>
      <c r="X241" s="6">
        <f t="shared" si="82"/>
        <v>0</v>
      </c>
      <c r="Y241" s="6">
        <f t="shared" si="83"/>
        <v>0</v>
      </c>
      <c r="Z241" s="6">
        <f t="shared" si="84"/>
        <v>0</v>
      </c>
      <c r="AB241" s="36" t="str">
        <f>IF(最佳化斷筋點!C241="","",最佳化斷筋點!C241)</f>
        <v>下層</v>
      </c>
      <c r="AC241" s="37">
        <f>IF(最佳化斷筋點!D241="","",最佳化斷筋點!D241)</f>
        <v>5</v>
      </c>
      <c r="AD241" s="37">
        <f>IF(最佳化斷筋點!E241="","",最佳化斷筋點!E241)</f>
        <v>5</v>
      </c>
      <c r="AE241" s="37">
        <f>IF(最佳化斷筋點!F241="","",最佳化斷筋點!F241)</f>
        <v>5</v>
      </c>
      <c r="AF241" s="37">
        <f>IF(最佳化斷筋點!G241="","",最佳化斷筋點!G241)</f>
        <v>5</v>
      </c>
      <c r="AG241" s="37">
        <f>IF(最佳化斷筋點!H241="","",最佳化斷筋點!H241)</f>
        <v>5</v>
      </c>
      <c r="AH241" s="37">
        <f>IF(最佳化斷筋點!I241="","",最佳化斷筋點!I241)</f>
        <v>5</v>
      </c>
      <c r="AI241" s="37">
        <f>IF(最佳化斷筋點!J241="","",最佳化斷筋點!J241)</f>
        <v>4</v>
      </c>
      <c r="AJ241" s="37">
        <f>IF(最佳化斷筋點!K241="","",最佳化斷筋點!K241)</f>
        <v>3</v>
      </c>
      <c r="AK241" s="37">
        <f>IF(最佳化斷筋點!L241="","",最佳化斷筋點!L241)</f>
        <v>3</v>
      </c>
      <c r="AL241" s="37">
        <f>IF(最佳化斷筋點!M241="","",最佳化斷筋點!M241)</f>
        <v>3</v>
      </c>
      <c r="AM241" s="37">
        <f>IF(最佳化斷筋點!N241="","",最佳化斷筋點!N241)</f>
        <v>3</v>
      </c>
      <c r="AN241" s="37">
        <f>IF(最佳化斷筋點!O241="","",最佳化斷筋點!O241)</f>
        <v>3</v>
      </c>
      <c r="AO241" s="37">
        <f>IF(最佳化斷筋點!P241="","",最佳化斷筋點!P241)</f>
        <v>3</v>
      </c>
      <c r="AP241" s="37">
        <f>IF(最佳化斷筋點!Q241="","",最佳化斷筋點!Q241)</f>
        <v>4</v>
      </c>
      <c r="AQ241" s="37">
        <f>IF(最佳化斷筋點!R241="","",最佳化斷筋點!R241)</f>
        <v>4</v>
      </c>
      <c r="AR241" s="37">
        <f>IF(最佳化斷筋點!S241="","",最佳化斷筋點!S241)</f>
        <v>5</v>
      </c>
      <c r="AS241" s="37">
        <f>IF(最佳化斷筋點!T241="","",最佳化斷筋點!T241)</f>
        <v>5</v>
      </c>
      <c r="AT241" s="37">
        <f>IF(最佳化斷筋點!U241="","",最佳化斷筋點!U241)</f>
        <v>6</v>
      </c>
      <c r="AU241" s="37">
        <f>IF(最佳化斷筋點!V241="","",最佳化斷筋點!V241)</f>
        <v>6</v>
      </c>
      <c r="AV241" s="37">
        <f>IF(最佳化斷筋點!W241="","",最佳化斷筋點!W241)</f>
        <v>6</v>
      </c>
      <c r="AW241" s="37">
        <f>IF(最佳化斷筋點!X241="","",最佳化斷筋點!X241)</f>
        <v>6</v>
      </c>
      <c r="AY241" s="6" t="s">
        <v>21</v>
      </c>
      <c r="AZ241" s="37">
        <v>5</v>
      </c>
      <c r="BA241" s="37">
        <v>5</v>
      </c>
      <c r="BB241" s="37">
        <v>5</v>
      </c>
      <c r="BC241" s="37">
        <v>5</v>
      </c>
      <c r="BD241" s="37">
        <v>5</v>
      </c>
      <c r="BE241" s="37">
        <v>5</v>
      </c>
      <c r="BF241" s="37">
        <v>4</v>
      </c>
      <c r="BG241" s="37">
        <v>3</v>
      </c>
      <c r="BH241" s="37">
        <v>3</v>
      </c>
      <c r="BI241" s="37">
        <v>3</v>
      </c>
      <c r="BJ241" s="37">
        <v>3</v>
      </c>
      <c r="BK241" s="37">
        <v>3</v>
      </c>
      <c r="BL241" s="37">
        <v>3</v>
      </c>
      <c r="BM241" s="37">
        <v>4</v>
      </c>
      <c r="BN241" s="37">
        <v>4</v>
      </c>
      <c r="BO241" s="37">
        <v>5</v>
      </c>
      <c r="BP241" s="37">
        <v>5</v>
      </c>
      <c r="BQ241" s="37">
        <v>6</v>
      </c>
      <c r="BR241" s="37">
        <v>6</v>
      </c>
      <c r="BS241" s="37">
        <v>6</v>
      </c>
      <c r="BT241" s="37">
        <v>6</v>
      </c>
    </row>
    <row r="242" spans="5:72" x14ac:dyDescent="0.25">
      <c r="F242" s="6">
        <f t="shared" si="64"/>
        <v>0</v>
      </c>
      <c r="G242" s="6">
        <f t="shared" si="65"/>
        <v>0</v>
      </c>
      <c r="H242" s="6">
        <f t="shared" si="66"/>
        <v>0</v>
      </c>
      <c r="I242" s="6">
        <f t="shared" si="67"/>
        <v>0</v>
      </c>
      <c r="J242" s="6">
        <f t="shared" si="68"/>
        <v>0</v>
      </c>
      <c r="K242" s="6">
        <f t="shared" si="69"/>
        <v>0</v>
      </c>
      <c r="L242" s="6">
        <f t="shared" si="70"/>
        <v>0</v>
      </c>
      <c r="M242" s="6">
        <f t="shared" si="71"/>
        <v>0</v>
      </c>
      <c r="N242" s="6">
        <f t="shared" si="72"/>
        <v>0</v>
      </c>
      <c r="O242" s="6">
        <f t="shared" si="73"/>
        <v>0</v>
      </c>
      <c r="P242" s="6">
        <f t="shared" si="74"/>
        <v>0</v>
      </c>
      <c r="Q242" s="6">
        <f t="shared" si="75"/>
        <v>0</v>
      </c>
      <c r="R242" s="6">
        <f t="shared" si="76"/>
        <v>0</v>
      </c>
      <c r="S242" s="6">
        <f t="shared" si="77"/>
        <v>0</v>
      </c>
      <c r="T242" s="6">
        <f t="shared" si="78"/>
        <v>0</v>
      </c>
      <c r="U242" s="6">
        <f t="shared" si="79"/>
        <v>0</v>
      </c>
      <c r="V242" s="6">
        <f t="shared" si="80"/>
        <v>0</v>
      </c>
      <c r="W242" s="6">
        <f t="shared" si="81"/>
        <v>0</v>
      </c>
      <c r="X242" s="6">
        <f t="shared" si="82"/>
        <v>0</v>
      </c>
      <c r="Y242" s="6">
        <f t="shared" si="83"/>
        <v>0</v>
      </c>
      <c r="Z242" s="6">
        <f t="shared" si="84"/>
        <v>0</v>
      </c>
      <c r="AB242" s="36" t="str">
        <f>IF(最佳化斷筋點!C242="","",最佳化斷筋點!C242)</f>
        <v/>
      </c>
      <c r="AC242" s="37" t="str">
        <f>IF(最佳化斷筋點!D242="","",最佳化斷筋點!D242)</f>
        <v/>
      </c>
      <c r="AD242" s="37" t="str">
        <f>IF(最佳化斷筋點!E242="","",最佳化斷筋點!E242)</f>
        <v/>
      </c>
      <c r="AE242" s="37" t="str">
        <f>IF(最佳化斷筋點!F242="","",最佳化斷筋點!F242)</f>
        <v/>
      </c>
      <c r="AF242" s="37" t="str">
        <f>IF(最佳化斷筋點!G242="","",最佳化斷筋點!G242)</f>
        <v/>
      </c>
      <c r="AG242" s="37" t="str">
        <f>IF(最佳化斷筋點!H242="","",最佳化斷筋點!H242)</f>
        <v/>
      </c>
      <c r="AH242" s="37" t="str">
        <f>IF(最佳化斷筋點!I242="","",最佳化斷筋點!I242)</f>
        <v/>
      </c>
      <c r="AI242" s="37" t="str">
        <f>IF(最佳化斷筋點!J242="","",最佳化斷筋點!J242)</f>
        <v/>
      </c>
      <c r="AJ242" s="37" t="str">
        <f>IF(最佳化斷筋點!K242="","",最佳化斷筋點!K242)</f>
        <v/>
      </c>
      <c r="AK242" s="37" t="str">
        <f>IF(最佳化斷筋點!L242="","",最佳化斷筋點!L242)</f>
        <v/>
      </c>
      <c r="AL242" s="37" t="str">
        <f>IF(最佳化斷筋點!M242="","",最佳化斷筋點!M242)</f>
        <v/>
      </c>
      <c r="AM242" s="37" t="str">
        <f>IF(最佳化斷筋點!N242="","",最佳化斷筋點!N242)</f>
        <v/>
      </c>
      <c r="AN242" s="37" t="str">
        <f>IF(最佳化斷筋點!O242="","",最佳化斷筋點!O242)</f>
        <v/>
      </c>
      <c r="AO242" s="37" t="str">
        <f>IF(最佳化斷筋點!P242="","",最佳化斷筋點!P242)</f>
        <v/>
      </c>
      <c r="AP242" s="37" t="str">
        <f>IF(最佳化斷筋點!Q242="","",最佳化斷筋點!Q242)</f>
        <v/>
      </c>
      <c r="AQ242" s="37" t="str">
        <f>IF(最佳化斷筋點!R242="","",最佳化斷筋點!R242)</f>
        <v/>
      </c>
      <c r="AR242" s="37" t="str">
        <f>IF(最佳化斷筋點!S242="","",最佳化斷筋點!S242)</f>
        <v/>
      </c>
      <c r="AS242" s="37" t="str">
        <f>IF(最佳化斷筋點!T242="","",最佳化斷筋點!T242)</f>
        <v/>
      </c>
      <c r="AT242" s="37" t="str">
        <f>IF(最佳化斷筋點!U242="","",最佳化斷筋點!U242)</f>
        <v/>
      </c>
      <c r="AU242" s="37" t="str">
        <f>IF(最佳化斷筋點!V242="","",最佳化斷筋點!V242)</f>
        <v/>
      </c>
      <c r="AV242" s="37" t="str">
        <f>IF(最佳化斷筋點!W242="","",最佳化斷筋點!W242)</f>
        <v/>
      </c>
      <c r="AW242" s="37" t="str">
        <f>IF(最佳化斷筋點!X242="","",最佳化斷筋點!X242)</f>
        <v/>
      </c>
      <c r="AZ242" s="37" t="s">
        <v>197</v>
      </c>
      <c r="BA242" s="37" t="s">
        <v>197</v>
      </c>
      <c r="BB242" s="37" t="s">
        <v>197</v>
      </c>
      <c r="BC242" s="37" t="s">
        <v>197</v>
      </c>
      <c r="BD242" s="37" t="s">
        <v>197</v>
      </c>
      <c r="BE242" s="37" t="s">
        <v>197</v>
      </c>
      <c r="BF242" s="37" t="s">
        <v>197</v>
      </c>
      <c r="BG242" s="37" t="s">
        <v>197</v>
      </c>
      <c r="BH242" s="37" t="s">
        <v>197</v>
      </c>
      <c r="BI242" s="37" t="s">
        <v>197</v>
      </c>
      <c r="BJ242" s="37" t="s">
        <v>197</v>
      </c>
      <c r="BK242" s="37" t="s">
        <v>197</v>
      </c>
      <c r="BL242" s="37" t="s">
        <v>197</v>
      </c>
      <c r="BM242" s="37" t="s">
        <v>197</v>
      </c>
      <c r="BN242" s="37" t="s">
        <v>197</v>
      </c>
      <c r="BO242" s="37" t="s">
        <v>197</v>
      </c>
      <c r="BP242" s="37" t="s">
        <v>197</v>
      </c>
      <c r="BQ242" s="37" t="s">
        <v>197</v>
      </c>
      <c r="BR242" s="37" t="s">
        <v>197</v>
      </c>
      <c r="BS242" s="37" t="s">
        <v>197</v>
      </c>
      <c r="BT242" s="37" t="s">
        <v>197</v>
      </c>
    </row>
    <row r="243" spans="5:72" x14ac:dyDescent="0.25">
      <c r="E243" s="6" t="s">
        <v>20</v>
      </c>
      <c r="F243" s="6">
        <f t="shared" si="64"/>
        <v>0</v>
      </c>
      <c r="G243" s="6">
        <f t="shared" si="65"/>
        <v>0</v>
      </c>
      <c r="H243" s="6">
        <f t="shared" si="66"/>
        <v>0</v>
      </c>
      <c r="I243" s="6">
        <f t="shared" si="67"/>
        <v>0</v>
      </c>
      <c r="J243" s="6">
        <f t="shared" si="68"/>
        <v>0</v>
      </c>
      <c r="K243" s="6">
        <f t="shared" si="69"/>
        <v>0</v>
      </c>
      <c r="L243" s="6">
        <f t="shared" si="70"/>
        <v>0</v>
      </c>
      <c r="M243" s="6">
        <f t="shared" si="71"/>
        <v>0</v>
      </c>
      <c r="N243" s="6">
        <f t="shared" si="72"/>
        <v>0</v>
      </c>
      <c r="O243" s="6">
        <f t="shared" si="73"/>
        <v>0</v>
      </c>
      <c r="P243" s="6">
        <f t="shared" si="74"/>
        <v>0</v>
      </c>
      <c r="Q243" s="6">
        <f t="shared" si="75"/>
        <v>0</v>
      </c>
      <c r="R243" s="6">
        <f t="shared" si="76"/>
        <v>0</v>
      </c>
      <c r="S243" s="6">
        <f t="shared" si="77"/>
        <v>0</v>
      </c>
      <c r="T243" s="6">
        <f t="shared" si="78"/>
        <v>0</v>
      </c>
      <c r="U243" s="6">
        <f t="shared" si="79"/>
        <v>0</v>
      </c>
      <c r="V243" s="6">
        <f t="shared" si="80"/>
        <v>0</v>
      </c>
      <c r="W243" s="6">
        <f t="shared" si="81"/>
        <v>0</v>
      </c>
      <c r="X243" s="6">
        <f t="shared" si="82"/>
        <v>0</v>
      </c>
      <c r="Y243" s="6">
        <f t="shared" si="83"/>
        <v>0</v>
      </c>
      <c r="Z243" s="6">
        <f t="shared" si="84"/>
        <v>0</v>
      </c>
      <c r="AB243" s="36" t="str">
        <f>IF(最佳化斷筋點!C243="","",最佳化斷筋點!C243)</f>
        <v>上層</v>
      </c>
      <c r="AC243" s="37">
        <f>IF(最佳化斷筋點!D243="","",最佳化斷筋點!D243)</f>
        <v>8</v>
      </c>
      <c r="AD243" s="37">
        <f>IF(最佳化斷筋點!E243="","",最佳化斷筋點!E243)</f>
        <v>8</v>
      </c>
      <c r="AE243" s="37">
        <f>IF(最佳化斷筋點!F243="","",最佳化斷筋點!F243)</f>
        <v>8</v>
      </c>
      <c r="AF243" s="37">
        <f>IF(最佳化斷筋點!G243="","",最佳化斷筋點!G243)</f>
        <v>8</v>
      </c>
      <c r="AG243" s="37">
        <f>IF(最佳化斷筋點!H243="","",最佳化斷筋點!H243)</f>
        <v>8</v>
      </c>
      <c r="AH243" s="37">
        <f>IF(最佳化斷筋點!I243="","",最佳化斷筋點!I243)</f>
        <v>8</v>
      </c>
      <c r="AI243" s="37">
        <f>IF(最佳化斷筋點!J243="","",最佳化斷筋點!J243)</f>
        <v>8</v>
      </c>
      <c r="AJ243" s="37">
        <f>IF(最佳化斷筋點!K243="","",最佳化斷筋點!K243)</f>
        <v>3</v>
      </c>
      <c r="AK243" s="37">
        <f>IF(最佳化斷筋點!L243="","",最佳化斷筋點!L243)</f>
        <v>3</v>
      </c>
      <c r="AL243" s="37">
        <f>IF(最佳化斷筋點!M243="","",最佳化斷筋點!M243)</f>
        <v>3</v>
      </c>
      <c r="AM243" s="37">
        <f>IF(最佳化斷筋點!N243="","",最佳化斷筋點!N243)</f>
        <v>3</v>
      </c>
      <c r="AN243" s="37">
        <f>IF(最佳化斷筋點!O243="","",最佳化斷筋點!O243)</f>
        <v>3</v>
      </c>
      <c r="AO243" s="37">
        <f>IF(最佳化斷筋點!P243="","",最佳化斷筋點!P243)</f>
        <v>3</v>
      </c>
      <c r="AP243" s="37">
        <f>IF(最佳化斷筋點!Q243="","",最佳化斷筋點!Q243)</f>
        <v>4</v>
      </c>
      <c r="AQ243" s="37">
        <f>IF(最佳化斷筋點!R243="","",最佳化斷筋點!R243)</f>
        <v>4</v>
      </c>
      <c r="AR243" s="37">
        <f>IF(最佳化斷筋點!S243="","",最佳化斷筋點!S243)</f>
        <v>5</v>
      </c>
      <c r="AS243" s="37">
        <f>IF(最佳化斷筋點!T243="","",最佳化斷筋點!T243)</f>
        <v>5</v>
      </c>
      <c r="AT243" s="37">
        <f>IF(最佳化斷筋點!U243="","",最佳化斷筋點!U243)</f>
        <v>5</v>
      </c>
      <c r="AU243" s="37">
        <f>IF(最佳化斷筋點!V243="","",最佳化斷筋點!V243)</f>
        <v>5</v>
      </c>
      <c r="AV243" s="37">
        <f>IF(最佳化斷筋點!W243="","",最佳化斷筋點!W243)</f>
        <v>5</v>
      </c>
      <c r="AW243" s="37">
        <f>IF(最佳化斷筋點!X243="","",最佳化斷筋點!X243)</f>
        <v>5</v>
      </c>
      <c r="AY243" s="6" t="s">
        <v>20</v>
      </c>
      <c r="AZ243" s="37">
        <v>8</v>
      </c>
      <c r="BA243" s="37">
        <v>8</v>
      </c>
      <c r="BB243" s="37">
        <v>8</v>
      </c>
      <c r="BC243" s="37">
        <v>8</v>
      </c>
      <c r="BD243" s="37">
        <v>8</v>
      </c>
      <c r="BE243" s="37">
        <v>8</v>
      </c>
      <c r="BF243" s="37">
        <v>8</v>
      </c>
      <c r="BG243" s="37">
        <v>3</v>
      </c>
      <c r="BH243" s="37">
        <v>3</v>
      </c>
      <c r="BI243" s="37">
        <v>3</v>
      </c>
      <c r="BJ243" s="37">
        <v>3</v>
      </c>
      <c r="BK243" s="37">
        <v>3</v>
      </c>
      <c r="BL243" s="37">
        <v>3</v>
      </c>
      <c r="BM243" s="37">
        <v>4</v>
      </c>
      <c r="BN243" s="37">
        <v>4</v>
      </c>
      <c r="BO243" s="37">
        <v>5</v>
      </c>
      <c r="BP243" s="37">
        <v>5</v>
      </c>
      <c r="BQ243" s="37">
        <v>5</v>
      </c>
      <c r="BR243" s="37">
        <v>5</v>
      </c>
      <c r="BS243" s="37">
        <v>5</v>
      </c>
      <c r="BT243" s="37">
        <v>5</v>
      </c>
    </row>
    <row r="244" spans="5:72" x14ac:dyDescent="0.25">
      <c r="F244" s="6">
        <f t="shared" si="64"/>
        <v>0</v>
      </c>
      <c r="G244" s="6">
        <f t="shared" si="65"/>
        <v>0</v>
      </c>
      <c r="H244" s="6">
        <f t="shared" si="66"/>
        <v>0</v>
      </c>
      <c r="I244" s="6">
        <f t="shared" si="67"/>
        <v>0</v>
      </c>
      <c r="J244" s="6">
        <f t="shared" si="68"/>
        <v>0</v>
      </c>
      <c r="K244" s="6">
        <f t="shared" si="69"/>
        <v>0</v>
      </c>
      <c r="L244" s="6">
        <f t="shared" si="70"/>
        <v>0</v>
      </c>
      <c r="M244" s="6">
        <f t="shared" si="71"/>
        <v>0</v>
      </c>
      <c r="N244" s="6">
        <f t="shared" si="72"/>
        <v>0</v>
      </c>
      <c r="O244" s="6">
        <f t="shared" si="73"/>
        <v>0</v>
      </c>
      <c r="P244" s="6">
        <f t="shared" si="74"/>
        <v>0</v>
      </c>
      <c r="Q244" s="6">
        <f t="shared" si="75"/>
        <v>0</v>
      </c>
      <c r="R244" s="6">
        <f t="shared" si="76"/>
        <v>0</v>
      </c>
      <c r="S244" s="6">
        <f t="shared" si="77"/>
        <v>0</v>
      </c>
      <c r="T244" s="6">
        <f t="shared" si="78"/>
        <v>0</v>
      </c>
      <c r="U244" s="6">
        <f t="shared" si="79"/>
        <v>0</v>
      </c>
      <c r="V244" s="6">
        <f t="shared" si="80"/>
        <v>0</v>
      </c>
      <c r="W244" s="6">
        <f t="shared" si="81"/>
        <v>0</v>
      </c>
      <c r="X244" s="6">
        <f t="shared" si="82"/>
        <v>0</v>
      </c>
      <c r="Y244" s="6">
        <f t="shared" si="83"/>
        <v>0</v>
      </c>
      <c r="Z244" s="6">
        <f t="shared" si="84"/>
        <v>0</v>
      </c>
      <c r="AB244" s="36" t="str">
        <f>IF(最佳化斷筋點!C244="","",最佳化斷筋點!C244)</f>
        <v/>
      </c>
      <c r="AC244" s="36" t="str">
        <f>IF(最佳化斷筋點!D244="","",最佳化斷筋點!D244)</f>
        <v/>
      </c>
      <c r="AD244" s="36" t="str">
        <f>IF(最佳化斷筋點!E244="","",最佳化斷筋點!E244)</f>
        <v/>
      </c>
      <c r="AE244" s="36" t="str">
        <f>IF(最佳化斷筋點!F244="","",最佳化斷筋點!F244)</f>
        <v/>
      </c>
      <c r="AF244" s="36" t="str">
        <f>IF(最佳化斷筋點!G244="","",最佳化斷筋點!G244)</f>
        <v/>
      </c>
      <c r="AG244" s="36" t="str">
        <f>IF(最佳化斷筋點!H244="","",最佳化斷筋點!H244)</f>
        <v/>
      </c>
      <c r="AH244" s="36" t="str">
        <f>IF(最佳化斷筋點!I244="","",最佳化斷筋點!I244)</f>
        <v/>
      </c>
      <c r="AI244" s="36" t="str">
        <f>IF(最佳化斷筋點!J244="","",最佳化斷筋點!J244)</f>
        <v/>
      </c>
      <c r="AJ244" s="36" t="str">
        <f>IF(最佳化斷筋點!K244="","",最佳化斷筋點!K244)</f>
        <v/>
      </c>
      <c r="AK244" s="36" t="str">
        <f>IF(最佳化斷筋點!L244="","",最佳化斷筋點!L244)</f>
        <v/>
      </c>
      <c r="AL244" s="36" t="str">
        <f>IF(最佳化斷筋點!M244="","",最佳化斷筋點!M244)</f>
        <v/>
      </c>
      <c r="AM244" s="36" t="str">
        <f>IF(最佳化斷筋點!N244="","",最佳化斷筋點!N244)</f>
        <v/>
      </c>
      <c r="AN244" s="36" t="str">
        <f>IF(最佳化斷筋點!O244="","",最佳化斷筋點!O244)</f>
        <v/>
      </c>
      <c r="AO244" s="36" t="str">
        <f>IF(最佳化斷筋點!P244="","",最佳化斷筋點!P244)</f>
        <v/>
      </c>
      <c r="AP244" s="36" t="str">
        <f>IF(最佳化斷筋點!Q244="","",最佳化斷筋點!Q244)</f>
        <v/>
      </c>
      <c r="AQ244" s="36" t="str">
        <f>IF(最佳化斷筋點!R244="","",最佳化斷筋點!R244)</f>
        <v/>
      </c>
      <c r="AR244" s="36" t="str">
        <f>IF(最佳化斷筋點!S244="","",最佳化斷筋點!S244)</f>
        <v/>
      </c>
      <c r="AS244" s="36" t="str">
        <f>IF(最佳化斷筋點!T244="","",最佳化斷筋點!T244)</f>
        <v/>
      </c>
      <c r="AT244" s="36" t="str">
        <f>IF(最佳化斷筋點!U244="","",最佳化斷筋點!U244)</f>
        <v/>
      </c>
      <c r="AU244" s="36" t="str">
        <f>IF(最佳化斷筋點!V244="","",最佳化斷筋點!V244)</f>
        <v/>
      </c>
      <c r="AV244" s="36" t="str">
        <f>IF(最佳化斷筋點!W244="","",最佳化斷筋點!W244)</f>
        <v/>
      </c>
      <c r="AW244" s="36" t="str">
        <f>IF(最佳化斷筋點!X244="","",最佳化斷筋點!X244)</f>
        <v/>
      </c>
      <c r="AZ244" s="37" t="s">
        <v>197</v>
      </c>
      <c r="BA244" s="37" t="s">
        <v>197</v>
      </c>
      <c r="BB244" s="37" t="s">
        <v>197</v>
      </c>
      <c r="BC244" s="37" t="s">
        <v>197</v>
      </c>
      <c r="BD244" s="37" t="s">
        <v>197</v>
      </c>
      <c r="BE244" s="37" t="s">
        <v>197</v>
      </c>
      <c r="BF244" s="37" t="s">
        <v>197</v>
      </c>
      <c r="BG244" s="37" t="s">
        <v>197</v>
      </c>
      <c r="BH244" s="37" t="s">
        <v>197</v>
      </c>
      <c r="BI244" s="37" t="s">
        <v>197</v>
      </c>
      <c r="BJ244" s="37" t="s">
        <v>197</v>
      </c>
      <c r="BK244" s="37" t="s">
        <v>197</v>
      </c>
      <c r="BL244" s="37" t="s">
        <v>197</v>
      </c>
      <c r="BM244" s="37" t="s">
        <v>197</v>
      </c>
      <c r="BN244" s="37" t="s">
        <v>197</v>
      </c>
      <c r="BO244" s="37" t="s">
        <v>197</v>
      </c>
      <c r="BP244" s="37" t="s">
        <v>197</v>
      </c>
      <c r="BQ244" s="37" t="s">
        <v>197</v>
      </c>
      <c r="BR244" s="37" t="s">
        <v>197</v>
      </c>
      <c r="BS244" s="37" t="s">
        <v>197</v>
      </c>
      <c r="BT244" s="37" t="s">
        <v>197</v>
      </c>
    </row>
    <row r="245" spans="5:72" x14ac:dyDescent="0.25">
      <c r="E245" s="6" t="s">
        <v>21</v>
      </c>
      <c r="F245" s="6">
        <f t="shared" si="64"/>
        <v>0</v>
      </c>
      <c r="G245" s="6">
        <f t="shared" si="65"/>
        <v>0</v>
      </c>
      <c r="H245" s="6">
        <f t="shared" si="66"/>
        <v>0</v>
      </c>
      <c r="I245" s="6">
        <f t="shared" si="67"/>
        <v>0</v>
      </c>
      <c r="J245" s="6">
        <f t="shared" si="68"/>
        <v>0</v>
      </c>
      <c r="K245" s="6">
        <f t="shared" si="69"/>
        <v>0</v>
      </c>
      <c r="L245" s="6">
        <f t="shared" si="70"/>
        <v>0</v>
      </c>
      <c r="M245" s="6">
        <f t="shared" si="71"/>
        <v>0</v>
      </c>
      <c r="N245" s="6">
        <f t="shared" si="72"/>
        <v>0</v>
      </c>
      <c r="O245" s="6">
        <f t="shared" si="73"/>
        <v>0</v>
      </c>
      <c r="P245" s="6">
        <f t="shared" si="74"/>
        <v>0</v>
      </c>
      <c r="Q245" s="6">
        <f t="shared" si="75"/>
        <v>0</v>
      </c>
      <c r="R245" s="6">
        <f t="shared" si="76"/>
        <v>0</v>
      </c>
      <c r="S245" s="6">
        <f t="shared" si="77"/>
        <v>0</v>
      </c>
      <c r="T245" s="6">
        <f t="shared" si="78"/>
        <v>0</v>
      </c>
      <c r="U245" s="6">
        <f t="shared" si="79"/>
        <v>0</v>
      </c>
      <c r="V245" s="6">
        <f t="shared" si="80"/>
        <v>0</v>
      </c>
      <c r="W245" s="6">
        <f t="shared" si="81"/>
        <v>0</v>
      </c>
      <c r="X245" s="6">
        <f t="shared" si="82"/>
        <v>0</v>
      </c>
      <c r="Y245" s="6">
        <f t="shared" si="83"/>
        <v>0</v>
      </c>
      <c r="Z245" s="6">
        <f t="shared" si="84"/>
        <v>0</v>
      </c>
      <c r="AB245" s="36" t="str">
        <f>IF(最佳化斷筋點!C245="","",最佳化斷筋點!C245)</f>
        <v>下層</v>
      </c>
      <c r="AC245" s="37">
        <f>IF(最佳化斷筋點!D245="","",最佳化斷筋點!D245)</f>
        <v>4</v>
      </c>
      <c r="AD245" s="37">
        <f>IF(最佳化斷筋點!E245="","",最佳化斷筋點!E245)</f>
        <v>4</v>
      </c>
      <c r="AE245" s="37">
        <f>IF(最佳化斷筋點!F245="","",最佳化斷筋點!F245)</f>
        <v>4</v>
      </c>
      <c r="AF245" s="37">
        <f>IF(最佳化斷筋點!G245="","",最佳化斷筋點!G245)</f>
        <v>4</v>
      </c>
      <c r="AG245" s="37">
        <f>IF(最佳化斷筋點!H245="","",最佳化斷筋點!H245)</f>
        <v>4</v>
      </c>
      <c r="AH245" s="37">
        <f>IF(最佳化斷筋點!I245="","",最佳化斷筋點!I245)</f>
        <v>4</v>
      </c>
      <c r="AI245" s="37">
        <f>IF(最佳化斷筋點!J245="","",最佳化斷筋點!J245)</f>
        <v>3</v>
      </c>
      <c r="AJ245" s="37">
        <f>IF(最佳化斷筋點!K245="","",最佳化斷筋點!K245)</f>
        <v>3</v>
      </c>
      <c r="AK245" s="37">
        <f>IF(最佳化斷筋點!L245="","",最佳化斷筋點!L245)</f>
        <v>3</v>
      </c>
      <c r="AL245" s="37">
        <f>IF(最佳化斷筋點!M245="","",最佳化斷筋點!M245)</f>
        <v>3</v>
      </c>
      <c r="AM245" s="37">
        <f>IF(最佳化斷筋點!N245="","",最佳化斷筋點!N245)</f>
        <v>3</v>
      </c>
      <c r="AN245" s="37">
        <f>IF(最佳化斷筋點!O245="","",最佳化斷筋點!O245)</f>
        <v>3</v>
      </c>
      <c r="AO245" s="37">
        <f>IF(最佳化斷筋點!P245="","",最佳化斷筋點!P245)</f>
        <v>3</v>
      </c>
      <c r="AP245" s="37">
        <f>IF(最佳化斷筋點!Q245="","",最佳化斷筋點!Q245)</f>
        <v>4</v>
      </c>
      <c r="AQ245" s="37">
        <f>IF(最佳化斷筋點!R245="","",最佳化斷筋點!R245)</f>
        <v>5</v>
      </c>
      <c r="AR245" s="37">
        <f>IF(最佳化斷筋點!S245="","",最佳化斷筋點!S245)</f>
        <v>5</v>
      </c>
      <c r="AS245" s="37">
        <f>IF(最佳化斷筋點!T245="","",最佳化斷筋點!T245)</f>
        <v>6</v>
      </c>
      <c r="AT245" s="37">
        <f>IF(最佳化斷筋點!U245="","",最佳化斷筋點!U245)</f>
        <v>6</v>
      </c>
      <c r="AU245" s="37">
        <f>IF(最佳化斷筋點!V245="","",最佳化斷筋點!V245)</f>
        <v>6</v>
      </c>
      <c r="AV245" s="37">
        <f>IF(最佳化斷筋點!W245="","",最佳化斷筋點!W245)</f>
        <v>6</v>
      </c>
      <c r="AW245" s="37">
        <f>IF(最佳化斷筋點!X245="","",最佳化斷筋點!X245)</f>
        <v>6</v>
      </c>
      <c r="AY245" s="6" t="s">
        <v>21</v>
      </c>
      <c r="AZ245" s="37">
        <v>4</v>
      </c>
      <c r="BA245" s="37">
        <v>4</v>
      </c>
      <c r="BB245" s="37">
        <v>4</v>
      </c>
      <c r="BC245" s="37">
        <v>4</v>
      </c>
      <c r="BD245" s="37">
        <v>4</v>
      </c>
      <c r="BE245" s="37">
        <v>4</v>
      </c>
      <c r="BF245" s="37">
        <v>3</v>
      </c>
      <c r="BG245" s="37">
        <v>3</v>
      </c>
      <c r="BH245" s="37">
        <v>3</v>
      </c>
      <c r="BI245" s="37">
        <v>3</v>
      </c>
      <c r="BJ245" s="37">
        <v>3</v>
      </c>
      <c r="BK245" s="37">
        <v>3</v>
      </c>
      <c r="BL245" s="37">
        <v>3</v>
      </c>
      <c r="BM245" s="37">
        <v>4</v>
      </c>
      <c r="BN245" s="37">
        <v>5</v>
      </c>
      <c r="BO245" s="37">
        <v>5</v>
      </c>
      <c r="BP245" s="37">
        <v>6</v>
      </c>
      <c r="BQ245" s="37">
        <v>6</v>
      </c>
      <c r="BR245" s="37">
        <v>6</v>
      </c>
      <c r="BS245" s="37">
        <v>6</v>
      </c>
      <c r="BT245" s="37">
        <v>6</v>
      </c>
    </row>
    <row r="246" spans="5:72" x14ac:dyDescent="0.25">
      <c r="F246" s="6">
        <f t="shared" si="64"/>
        <v>0</v>
      </c>
      <c r="G246" s="6">
        <f t="shared" si="65"/>
        <v>0</v>
      </c>
      <c r="H246" s="6">
        <f t="shared" si="66"/>
        <v>0</v>
      </c>
      <c r="I246" s="6">
        <f t="shared" si="67"/>
        <v>0</v>
      </c>
      <c r="J246" s="6">
        <f t="shared" si="68"/>
        <v>0</v>
      </c>
      <c r="K246" s="6">
        <f t="shared" si="69"/>
        <v>0</v>
      </c>
      <c r="L246" s="6">
        <f t="shared" si="70"/>
        <v>0</v>
      </c>
      <c r="M246" s="6">
        <f t="shared" si="71"/>
        <v>0</v>
      </c>
      <c r="N246" s="6">
        <f t="shared" si="72"/>
        <v>0</v>
      </c>
      <c r="O246" s="6">
        <f t="shared" si="73"/>
        <v>0</v>
      </c>
      <c r="P246" s="6">
        <f t="shared" si="74"/>
        <v>0</v>
      </c>
      <c r="Q246" s="6">
        <f t="shared" si="75"/>
        <v>0</v>
      </c>
      <c r="R246" s="6">
        <f t="shared" si="76"/>
        <v>0</v>
      </c>
      <c r="S246" s="6">
        <f t="shared" si="77"/>
        <v>0</v>
      </c>
      <c r="T246" s="6">
        <f t="shared" si="78"/>
        <v>0</v>
      </c>
      <c r="U246" s="6">
        <f t="shared" si="79"/>
        <v>0</v>
      </c>
      <c r="V246" s="6">
        <f t="shared" si="80"/>
        <v>0</v>
      </c>
      <c r="W246" s="6">
        <f t="shared" si="81"/>
        <v>0</v>
      </c>
      <c r="X246" s="6">
        <f t="shared" si="82"/>
        <v>0</v>
      </c>
      <c r="Y246" s="6">
        <f t="shared" si="83"/>
        <v>0</v>
      </c>
      <c r="Z246" s="6">
        <f t="shared" si="84"/>
        <v>0</v>
      </c>
      <c r="AB246" s="36" t="str">
        <f>IF(最佳化斷筋點!C246="","",最佳化斷筋點!C246)</f>
        <v/>
      </c>
      <c r="AC246" s="37" t="str">
        <f>IF(最佳化斷筋點!D246="","",最佳化斷筋點!D246)</f>
        <v/>
      </c>
      <c r="AD246" s="37" t="str">
        <f>IF(最佳化斷筋點!E246="","",最佳化斷筋點!E246)</f>
        <v/>
      </c>
      <c r="AE246" s="37" t="str">
        <f>IF(最佳化斷筋點!F246="","",最佳化斷筋點!F246)</f>
        <v/>
      </c>
      <c r="AF246" s="37" t="str">
        <f>IF(最佳化斷筋點!G246="","",最佳化斷筋點!G246)</f>
        <v/>
      </c>
      <c r="AG246" s="37" t="str">
        <f>IF(最佳化斷筋點!H246="","",最佳化斷筋點!H246)</f>
        <v/>
      </c>
      <c r="AH246" s="37" t="str">
        <f>IF(最佳化斷筋點!I246="","",最佳化斷筋點!I246)</f>
        <v/>
      </c>
      <c r="AI246" s="37" t="str">
        <f>IF(最佳化斷筋點!J246="","",最佳化斷筋點!J246)</f>
        <v/>
      </c>
      <c r="AJ246" s="37" t="str">
        <f>IF(最佳化斷筋點!K246="","",最佳化斷筋點!K246)</f>
        <v/>
      </c>
      <c r="AK246" s="37" t="str">
        <f>IF(最佳化斷筋點!L246="","",最佳化斷筋點!L246)</f>
        <v/>
      </c>
      <c r="AL246" s="37" t="str">
        <f>IF(最佳化斷筋點!M246="","",最佳化斷筋點!M246)</f>
        <v/>
      </c>
      <c r="AM246" s="37" t="str">
        <f>IF(最佳化斷筋點!N246="","",最佳化斷筋點!N246)</f>
        <v/>
      </c>
      <c r="AN246" s="37" t="str">
        <f>IF(最佳化斷筋點!O246="","",最佳化斷筋點!O246)</f>
        <v/>
      </c>
      <c r="AO246" s="37" t="str">
        <f>IF(最佳化斷筋點!P246="","",最佳化斷筋點!P246)</f>
        <v/>
      </c>
      <c r="AP246" s="37" t="str">
        <f>IF(最佳化斷筋點!Q246="","",最佳化斷筋點!Q246)</f>
        <v/>
      </c>
      <c r="AQ246" s="37" t="str">
        <f>IF(最佳化斷筋點!R246="","",最佳化斷筋點!R246)</f>
        <v/>
      </c>
      <c r="AR246" s="37" t="str">
        <f>IF(最佳化斷筋點!S246="","",最佳化斷筋點!S246)</f>
        <v/>
      </c>
      <c r="AS246" s="37" t="str">
        <f>IF(最佳化斷筋點!T246="","",最佳化斷筋點!T246)</f>
        <v/>
      </c>
      <c r="AT246" s="37" t="str">
        <f>IF(最佳化斷筋點!U246="","",最佳化斷筋點!U246)</f>
        <v/>
      </c>
      <c r="AU246" s="37" t="str">
        <f>IF(最佳化斷筋點!V246="","",最佳化斷筋點!V246)</f>
        <v/>
      </c>
      <c r="AV246" s="37" t="str">
        <f>IF(最佳化斷筋點!W246="","",最佳化斷筋點!W246)</f>
        <v/>
      </c>
      <c r="AW246" s="37" t="str">
        <f>IF(最佳化斷筋點!X246="","",最佳化斷筋點!X246)</f>
        <v/>
      </c>
      <c r="AZ246" s="37" t="s">
        <v>197</v>
      </c>
      <c r="BA246" s="37" t="s">
        <v>197</v>
      </c>
      <c r="BB246" s="37" t="s">
        <v>197</v>
      </c>
      <c r="BC246" s="37" t="s">
        <v>197</v>
      </c>
      <c r="BD246" s="37" t="s">
        <v>197</v>
      </c>
      <c r="BE246" s="37" t="s">
        <v>197</v>
      </c>
      <c r="BF246" s="37" t="s">
        <v>197</v>
      </c>
      <c r="BG246" s="37" t="s">
        <v>197</v>
      </c>
      <c r="BH246" s="37" t="s">
        <v>197</v>
      </c>
      <c r="BI246" s="37" t="s">
        <v>197</v>
      </c>
      <c r="BJ246" s="37" t="s">
        <v>197</v>
      </c>
      <c r="BK246" s="37" t="s">
        <v>197</v>
      </c>
      <c r="BL246" s="37" t="s">
        <v>197</v>
      </c>
      <c r="BM246" s="37" t="s">
        <v>197</v>
      </c>
      <c r="BN246" s="37" t="s">
        <v>197</v>
      </c>
      <c r="BO246" s="37" t="s">
        <v>197</v>
      </c>
      <c r="BP246" s="37" t="s">
        <v>197</v>
      </c>
      <c r="BQ246" s="37" t="s">
        <v>197</v>
      </c>
      <c r="BR246" s="37" t="s">
        <v>197</v>
      </c>
      <c r="BS246" s="37" t="s">
        <v>197</v>
      </c>
      <c r="BT246" s="37" t="s">
        <v>197</v>
      </c>
    </row>
    <row r="247" spans="5:72" x14ac:dyDescent="0.25">
      <c r="E247" s="6" t="s">
        <v>20</v>
      </c>
      <c r="F247" s="6">
        <f t="shared" si="64"/>
        <v>0</v>
      </c>
      <c r="G247" s="6">
        <f t="shared" si="65"/>
        <v>0</v>
      </c>
      <c r="H247" s="6">
        <f t="shared" si="66"/>
        <v>0</v>
      </c>
      <c r="I247" s="6">
        <f t="shared" si="67"/>
        <v>0</v>
      </c>
      <c r="J247" s="6">
        <f t="shared" si="68"/>
        <v>0</v>
      </c>
      <c r="K247" s="6">
        <f t="shared" si="69"/>
        <v>0</v>
      </c>
      <c r="L247" s="6">
        <f t="shared" si="70"/>
        <v>0</v>
      </c>
      <c r="M247" s="6">
        <f t="shared" si="71"/>
        <v>0</v>
      </c>
      <c r="N247" s="6">
        <f t="shared" si="72"/>
        <v>0</v>
      </c>
      <c r="O247" s="6">
        <f t="shared" si="73"/>
        <v>0</v>
      </c>
      <c r="P247" s="6">
        <f t="shared" si="74"/>
        <v>0</v>
      </c>
      <c r="Q247" s="6">
        <f t="shared" si="75"/>
        <v>0</v>
      </c>
      <c r="R247" s="6">
        <f t="shared" si="76"/>
        <v>0</v>
      </c>
      <c r="S247" s="6">
        <f t="shared" si="77"/>
        <v>0</v>
      </c>
      <c r="T247" s="6">
        <f t="shared" si="78"/>
        <v>0</v>
      </c>
      <c r="U247" s="6">
        <f t="shared" si="79"/>
        <v>0</v>
      </c>
      <c r="V247" s="6">
        <f t="shared" si="80"/>
        <v>0</v>
      </c>
      <c r="W247" s="6">
        <f t="shared" si="81"/>
        <v>0</v>
      </c>
      <c r="X247" s="6">
        <f t="shared" si="82"/>
        <v>0</v>
      </c>
      <c r="Y247" s="6">
        <f t="shared" si="83"/>
        <v>0</v>
      </c>
      <c r="Z247" s="6">
        <f t="shared" si="84"/>
        <v>0</v>
      </c>
      <c r="AB247" s="36" t="str">
        <f>IF(最佳化斷筋點!C247="","",最佳化斷筋點!C247)</f>
        <v>上層</v>
      </c>
      <c r="AC247" s="37">
        <f>IF(最佳化斷筋點!D247="","",最佳化斷筋點!D247)</f>
        <v>8</v>
      </c>
      <c r="AD247" s="37">
        <f>IF(最佳化斷筋點!E247="","",最佳化斷筋點!E247)</f>
        <v>8</v>
      </c>
      <c r="AE247" s="37">
        <f>IF(最佳化斷筋點!F247="","",最佳化斷筋點!F247)</f>
        <v>8</v>
      </c>
      <c r="AF247" s="37">
        <f>IF(最佳化斷筋點!G247="","",最佳化斷筋點!G247)</f>
        <v>8</v>
      </c>
      <c r="AG247" s="37">
        <f>IF(最佳化斷筋點!H247="","",最佳化斷筋點!H247)</f>
        <v>8</v>
      </c>
      <c r="AH247" s="37">
        <f>IF(最佳化斷筋點!I247="","",最佳化斷筋點!I247)</f>
        <v>8</v>
      </c>
      <c r="AI247" s="37">
        <f>IF(最佳化斷筋點!J247="","",最佳化斷筋點!J247)</f>
        <v>8</v>
      </c>
      <c r="AJ247" s="37">
        <f>IF(最佳化斷筋點!K247="","",最佳化斷筋點!K247)</f>
        <v>3</v>
      </c>
      <c r="AK247" s="37">
        <f>IF(最佳化斷筋點!L247="","",最佳化斷筋點!L247)</f>
        <v>3</v>
      </c>
      <c r="AL247" s="37">
        <f>IF(最佳化斷筋點!M247="","",最佳化斷筋點!M247)</f>
        <v>3</v>
      </c>
      <c r="AM247" s="37">
        <f>IF(最佳化斷筋點!N247="","",最佳化斷筋點!N247)</f>
        <v>3</v>
      </c>
      <c r="AN247" s="37">
        <f>IF(最佳化斷筋點!O247="","",最佳化斷筋點!O247)</f>
        <v>3</v>
      </c>
      <c r="AO247" s="37">
        <f>IF(最佳化斷筋點!P247="","",最佳化斷筋點!P247)</f>
        <v>3</v>
      </c>
      <c r="AP247" s="37">
        <f>IF(最佳化斷筋點!Q247="","",最佳化斷筋點!Q247)</f>
        <v>6</v>
      </c>
      <c r="AQ247" s="37">
        <f>IF(最佳化斷筋點!R247="","",最佳化斷筋點!R247)</f>
        <v>6</v>
      </c>
      <c r="AR247" s="37">
        <f>IF(最佳化斷筋點!S247="","",最佳化斷筋點!S247)</f>
        <v>7</v>
      </c>
      <c r="AS247" s="37">
        <f>IF(最佳化斷筋點!T247="","",最佳化斷筋點!T247)</f>
        <v>7</v>
      </c>
      <c r="AT247" s="37">
        <f>IF(最佳化斷筋點!U247="","",最佳化斷筋點!U247)</f>
        <v>7</v>
      </c>
      <c r="AU247" s="37">
        <f>IF(最佳化斷筋點!V247="","",最佳化斷筋點!V247)</f>
        <v>7</v>
      </c>
      <c r="AV247" s="37">
        <f>IF(最佳化斷筋點!W247="","",最佳化斷筋點!W247)</f>
        <v>7</v>
      </c>
      <c r="AW247" s="37">
        <f>IF(最佳化斷筋點!X247="","",最佳化斷筋點!X247)</f>
        <v>7</v>
      </c>
      <c r="AY247" s="6" t="s">
        <v>20</v>
      </c>
      <c r="AZ247" s="37">
        <v>8</v>
      </c>
      <c r="BA247" s="37">
        <v>8</v>
      </c>
      <c r="BB247" s="37">
        <v>8</v>
      </c>
      <c r="BC247" s="37">
        <v>8</v>
      </c>
      <c r="BD247" s="37">
        <v>8</v>
      </c>
      <c r="BE247" s="37">
        <v>8</v>
      </c>
      <c r="BF247" s="37">
        <v>8</v>
      </c>
      <c r="BG247" s="37">
        <v>3</v>
      </c>
      <c r="BH247" s="37">
        <v>3</v>
      </c>
      <c r="BI247" s="37">
        <v>3</v>
      </c>
      <c r="BJ247" s="37">
        <v>3</v>
      </c>
      <c r="BK247" s="37">
        <v>3</v>
      </c>
      <c r="BL247" s="37">
        <v>3</v>
      </c>
      <c r="BM247" s="37">
        <v>6</v>
      </c>
      <c r="BN247" s="37">
        <v>6</v>
      </c>
      <c r="BO247" s="37">
        <v>7</v>
      </c>
      <c r="BP247" s="37">
        <v>7</v>
      </c>
      <c r="BQ247" s="37">
        <v>7</v>
      </c>
      <c r="BR247" s="37">
        <v>7</v>
      </c>
      <c r="BS247" s="37">
        <v>7</v>
      </c>
      <c r="BT247" s="37">
        <v>7</v>
      </c>
    </row>
    <row r="248" spans="5:72" x14ac:dyDescent="0.25">
      <c r="F248" s="6">
        <f t="shared" si="64"/>
        <v>0</v>
      </c>
      <c r="G248" s="6">
        <f t="shared" si="65"/>
        <v>0</v>
      </c>
      <c r="H248" s="6">
        <f t="shared" si="66"/>
        <v>0</v>
      </c>
      <c r="I248" s="6">
        <f t="shared" si="67"/>
        <v>0</v>
      </c>
      <c r="J248" s="6">
        <f t="shared" si="68"/>
        <v>0</v>
      </c>
      <c r="K248" s="6">
        <f t="shared" si="69"/>
        <v>0</v>
      </c>
      <c r="L248" s="6">
        <f t="shared" si="70"/>
        <v>0</v>
      </c>
      <c r="M248" s="6">
        <f t="shared" si="71"/>
        <v>0</v>
      </c>
      <c r="N248" s="6">
        <f t="shared" si="72"/>
        <v>0</v>
      </c>
      <c r="O248" s="6">
        <f t="shared" si="73"/>
        <v>0</v>
      </c>
      <c r="P248" s="6">
        <f t="shared" si="74"/>
        <v>0</v>
      </c>
      <c r="Q248" s="6">
        <f t="shared" si="75"/>
        <v>0</v>
      </c>
      <c r="R248" s="6">
        <f t="shared" si="76"/>
        <v>0</v>
      </c>
      <c r="S248" s="6">
        <f t="shared" si="77"/>
        <v>0</v>
      </c>
      <c r="T248" s="6">
        <f t="shared" si="78"/>
        <v>0</v>
      </c>
      <c r="U248" s="6">
        <f t="shared" si="79"/>
        <v>0</v>
      </c>
      <c r="V248" s="6">
        <f t="shared" si="80"/>
        <v>0</v>
      </c>
      <c r="W248" s="6">
        <f t="shared" si="81"/>
        <v>0</v>
      </c>
      <c r="X248" s="6">
        <f t="shared" si="82"/>
        <v>0</v>
      </c>
      <c r="Y248" s="6">
        <f t="shared" si="83"/>
        <v>0</v>
      </c>
      <c r="Z248" s="6">
        <f t="shared" si="84"/>
        <v>0</v>
      </c>
      <c r="AB248" s="36" t="str">
        <f>IF(最佳化斷筋點!C248="","",最佳化斷筋點!C248)</f>
        <v/>
      </c>
      <c r="AC248" s="37" t="str">
        <f>IF(最佳化斷筋點!D248="","",最佳化斷筋點!D248)</f>
        <v/>
      </c>
      <c r="AD248" s="37" t="str">
        <f>IF(最佳化斷筋點!E248="","",最佳化斷筋點!E248)</f>
        <v/>
      </c>
      <c r="AE248" s="37" t="str">
        <f>IF(最佳化斷筋點!F248="","",最佳化斷筋點!F248)</f>
        <v/>
      </c>
      <c r="AF248" s="37" t="str">
        <f>IF(最佳化斷筋點!G248="","",最佳化斷筋點!G248)</f>
        <v/>
      </c>
      <c r="AG248" s="37" t="str">
        <f>IF(最佳化斷筋點!H248="","",最佳化斷筋點!H248)</f>
        <v/>
      </c>
      <c r="AH248" s="37" t="str">
        <f>IF(最佳化斷筋點!I248="","",最佳化斷筋點!I248)</f>
        <v/>
      </c>
      <c r="AI248" s="37" t="str">
        <f>IF(最佳化斷筋點!J248="","",最佳化斷筋點!J248)</f>
        <v/>
      </c>
      <c r="AJ248" s="37" t="str">
        <f>IF(最佳化斷筋點!K248="","",最佳化斷筋點!K248)</f>
        <v/>
      </c>
      <c r="AK248" s="37" t="str">
        <f>IF(最佳化斷筋點!L248="","",最佳化斷筋點!L248)</f>
        <v/>
      </c>
      <c r="AL248" s="37" t="str">
        <f>IF(最佳化斷筋點!M248="","",最佳化斷筋點!M248)</f>
        <v/>
      </c>
      <c r="AM248" s="37" t="str">
        <f>IF(最佳化斷筋點!N248="","",最佳化斷筋點!N248)</f>
        <v/>
      </c>
      <c r="AN248" s="37" t="str">
        <f>IF(最佳化斷筋點!O248="","",最佳化斷筋點!O248)</f>
        <v/>
      </c>
      <c r="AO248" s="37" t="str">
        <f>IF(最佳化斷筋點!P248="","",最佳化斷筋點!P248)</f>
        <v/>
      </c>
      <c r="AP248" s="37" t="str">
        <f>IF(最佳化斷筋點!Q248="","",最佳化斷筋點!Q248)</f>
        <v/>
      </c>
      <c r="AQ248" s="37" t="str">
        <f>IF(最佳化斷筋點!R248="","",最佳化斷筋點!R248)</f>
        <v/>
      </c>
      <c r="AR248" s="37" t="str">
        <f>IF(最佳化斷筋點!S248="","",最佳化斷筋點!S248)</f>
        <v/>
      </c>
      <c r="AS248" s="37" t="str">
        <f>IF(最佳化斷筋點!T248="","",最佳化斷筋點!T248)</f>
        <v/>
      </c>
      <c r="AT248" s="37" t="str">
        <f>IF(最佳化斷筋點!U248="","",最佳化斷筋點!U248)</f>
        <v/>
      </c>
      <c r="AU248" s="37" t="str">
        <f>IF(最佳化斷筋點!V248="","",最佳化斷筋點!V248)</f>
        <v/>
      </c>
      <c r="AV248" s="37" t="str">
        <f>IF(最佳化斷筋點!W248="","",最佳化斷筋點!W248)</f>
        <v/>
      </c>
      <c r="AW248" s="37" t="str">
        <f>IF(最佳化斷筋點!X248="","",最佳化斷筋點!X248)</f>
        <v/>
      </c>
      <c r="AZ248" s="37" t="s">
        <v>197</v>
      </c>
      <c r="BA248" s="37" t="s">
        <v>197</v>
      </c>
      <c r="BB248" s="37" t="s">
        <v>197</v>
      </c>
      <c r="BC248" s="37" t="s">
        <v>197</v>
      </c>
      <c r="BD248" s="37" t="s">
        <v>197</v>
      </c>
      <c r="BE248" s="37" t="s">
        <v>197</v>
      </c>
      <c r="BF248" s="37" t="s">
        <v>197</v>
      </c>
      <c r="BG248" s="37" t="s">
        <v>197</v>
      </c>
      <c r="BH248" s="37" t="s">
        <v>197</v>
      </c>
      <c r="BI248" s="37" t="s">
        <v>197</v>
      </c>
      <c r="BJ248" s="37" t="s">
        <v>197</v>
      </c>
      <c r="BK248" s="37" t="s">
        <v>197</v>
      </c>
      <c r="BL248" s="37" t="s">
        <v>197</v>
      </c>
      <c r="BM248" s="37" t="s">
        <v>197</v>
      </c>
      <c r="BN248" s="37" t="s">
        <v>197</v>
      </c>
      <c r="BO248" s="37" t="s">
        <v>197</v>
      </c>
      <c r="BP248" s="37" t="s">
        <v>197</v>
      </c>
      <c r="BQ248" s="37" t="s">
        <v>197</v>
      </c>
      <c r="BR248" s="37" t="s">
        <v>197</v>
      </c>
      <c r="BS248" s="37" t="s">
        <v>197</v>
      </c>
      <c r="BT248" s="37" t="s">
        <v>197</v>
      </c>
    </row>
    <row r="249" spans="5:72" x14ac:dyDescent="0.25">
      <c r="E249" s="6" t="s">
        <v>21</v>
      </c>
      <c r="F249" s="6">
        <f t="shared" si="64"/>
        <v>0</v>
      </c>
      <c r="G249" s="6">
        <f t="shared" si="65"/>
        <v>0</v>
      </c>
      <c r="H249" s="6">
        <f t="shared" si="66"/>
        <v>0</v>
      </c>
      <c r="I249" s="6">
        <f t="shared" si="67"/>
        <v>0</v>
      </c>
      <c r="J249" s="6">
        <f t="shared" si="68"/>
        <v>0</v>
      </c>
      <c r="K249" s="6">
        <f t="shared" si="69"/>
        <v>0</v>
      </c>
      <c r="L249" s="6">
        <f t="shared" si="70"/>
        <v>0</v>
      </c>
      <c r="M249" s="6">
        <f t="shared" si="71"/>
        <v>0</v>
      </c>
      <c r="N249" s="6">
        <f t="shared" si="72"/>
        <v>0</v>
      </c>
      <c r="O249" s="6">
        <f t="shared" si="73"/>
        <v>0</v>
      </c>
      <c r="P249" s="6">
        <f t="shared" si="74"/>
        <v>0</v>
      </c>
      <c r="Q249" s="6">
        <f t="shared" si="75"/>
        <v>0</v>
      </c>
      <c r="R249" s="6">
        <f t="shared" si="76"/>
        <v>0</v>
      </c>
      <c r="S249" s="6">
        <f t="shared" si="77"/>
        <v>0</v>
      </c>
      <c r="T249" s="6">
        <f t="shared" si="78"/>
        <v>0</v>
      </c>
      <c r="U249" s="6">
        <f t="shared" si="79"/>
        <v>0</v>
      </c>
      <c r="V249" s="6">
        <f t="shared" si="80"/>
        <v>0</v>
      </c>
      <c r="W249" s="6">
        <f t="shared" si="81"/>
        <v>0</v>
      </c>
      <c r="X249" s="6">
        <f t="shared" si="82"/>
        <v>0</v>
      </c>
      <c r="Y249" s="6">
        <f t="shared" si="83"/>
        <v>0</v>
      </c>
      <c r="Z249" s="6">
        <f t="shared" si="84"/>
        <v>0</v>
      </c>
      <c r="AB249" s="36" t="str">
        <f>IF(最佳化斷筋點!C249="","",最佳化斷筋點!C249)</f>
        <v>下層</v>
      </c>
      <c r="AC249" s="37">
        <f>IF(最佳化斷筋點!D249="","",最佳化斷筋點!D249)</f>
        <v>5</v>
      </c>
      <c r="AD249" s="37">
        <f>IF(最佳化斷筋點!E249="","",最佳化斷筋點!E249)</f>
        <v>5</v>
      </c>
      <c r="AE249" s="37">
        <f>IF(最佳化斷筋點!F249="","",最佳化斷筋點!F249)</f>
        <v>5</v>
      </c>
      <c r="AF249" s="37">
        <f>IF(最佳化斷筋點!G249="","",最佳化斷筋點!G249)</f>
        <v>5</v>
      </c>
      <c r="AG249" s="37">
        <f>IF(最佳化斷筋點!H249="","",最佳化斷筋點!H249)</f>
        <v>5</v>
      </c>
      <c r="AH249" s="37">
        <f>IF(最佳化斷筋點!I249="","",最佳化斷筋點!I249)</f>
        <v>5</v>
      </c>
      <c r="AI249" s="37">
        <f>IF(最佳化斷筋點!J249="","",最佳化斷筋點!J249)</f>
        <v>4</v>
      </c>
      <c r="AJ249" s="37">
        <f>IF(最佳化斷筋點!K249="","",最佳化斷筋點!K249)</f>
        <v>3</v>
      </c>
      <c r="AK249" s="37">
        <f>IF(最佳化斷筋點!L249="","",最佳化斷筋點!L249)</f>
        <v>3</v>
      </c>
      <c r="AL249" s="37">
        <f>IF(最佳化斷筋點!M249="","",最佳化斷筋點!M249)</f>
        <v>3</v>
      </c>
      <c r="AM249" s="37">
        <f>IF(最佳化斷筋點!N249="","",最佳化斷筋點!N249)</f>
        <v>3</v>
      </c>
      <c r="AN249" s="37">
        <f>IF(最佳化斷筋點!O249="","",最佳化斷筋點!O249)</f>
        <v>3</v>
      </c>
      <c r="AO249" s="37">
        <f>IF(最佳化斷筋點!P249="","",最佳化斷筋點!P249)</f>
        <v>3</v>
      </c>
      <c r="AP249" s="37">
        <f>IF(最佳化斷筋點!Q249="","",最佳化斷筋點!Q249)</f>
        <v>4</v>
      </c>
      <c r="AQ249" s="37">
        <f>IF(最佳化斷筋點!R249="","",最佳化斷筋點!R249)</f>
        <v>4</v>
      </c>
      <c r="AR249" s="37">
        <f>IF(最佳化斷筋點!S249="","",最佳化斷筋點!S249)</f>
        <v>5</v>
      </c>
      <c r="AS249" s="37">
        <f>IF(最佳化斷筋點!T249="","",最佳化斷筋點!T249)</f>
        <v>5</v>
      </c>
      <c r="AT249" s="37">
        <f>IF(最佳化斷筋點!U249="","",最佳化斷筋點!U249)</f>
        <v>6</v>
      </c>
      <c r="AU249" s="37">
        <f>IF(最佳化斷筋點!V249="","",最佳化斷筋點!V249)</f>
        <v>6</v>
      </c>
      <c r="AV249" s="37">
        <f>IF(最佳化斷筋點!W249="","",最佳化斷筋點!W249)</f>
        <v>6</v>
      </c>
      <c r="AW249" s="37">
        <f>IF(最佳化斷筋點!X249="","",最佳化斷筋點!X249)</f>
        <v>6</v>
      </c>
      <c r="AY249" s="6" t="s">
        <v>21</v>
      </c>
      <c r="AZ249" s="37">
        <v>5</v>
      </c>
      <c r="BA249" s="37">
        <v>5</v>
      </c>
      <c r="BB249" s="37">
        <v>5</v>
      </c>
      <c r="BC249" s="37">
        <v>5</v>
      </c>
      <c r="BD249" s="37">
        <v>5</v>
      </c>
      <c r="BE249" s="37">
        <v>5</v>
      </c>
      <c r="BF249" s="37">
        <v>4</v>
      </c>
      <c r="BG249" s="37">
        <v>3</v>
      </c>
      <c r="BH249" s="37">
        <v>3</v>
      </c>
      <c r="BI249" s="37">
        <v>3</v>
      </c>
      <c r="BJ249" s="37">
        <v>3</v>
      </c>
      <c r="BK249" s="37">
        <v>3</v>
      </c>
      <c r="BL249" s="37">
        <v>3</v>
      </c>
      <c r="BM249" s="37">
        <v>4</v>
      </c>
      <c r="BN249" s="37">
        <v>4</v>
      </c>
      <c r="BO249" s="37">
        <v>5</v>
      </c>
      <c r="BP249" s="37">
        <v>5</v>
      </c>
      <c r="BQ249" s="37">
        <v>6</v>
      </c>
      <c r="BR249" s="37">
        <v>6</v>
      </c>
      <c r="BS249" s="37">
        <v>6</v>
      </c>
      <c r="BT249" s="37">
        <v>6</v>
      </c>
    </row>
    <row r="250" spans="5:72" x14ac:dyDescent="0.25">
      <c r="F250" s="6">
        <f t="shared" si="64"/>
        <v>0</v>
      </c>
      <c r="G250" s="6">
        <f t="shared" si="65"/>
        <v>0</v>
      </c>
      <c r="H250" s="6">
        <f t="shared" si="66"/>
        <v>0</v>
      </c>
      <c r="I250" s="6">
        <f t="shared" si="67"/>
        <v>0</v>
      </c>
      <c r="J250" s="6">
        <f t="shared" si="68"/>
        <v>0</v>
      </c>
      <c r="K250" s="6">
        <f t="shared" si="69"/>
        <v>0</v>
      </c>
      <c r="L250" s="6">
        <f t="shared" si="70"/>
        <v>0</v>
      </c>
      <c r="M250" s="6">
        <f t="shared" si="71"/>
        <v>0</v>
      </c>
      <c r="N250" s="6">
        <f t="shared" si="72"/>
        <v>0</v>
      </c>
      <c r="O250" s="6">
        <f t="shared" si="73"/>
        <v>0</v>
      </c>
      <c r="P250" s="6">
        <f t="shared" si="74"/>
        <v>0</v>
      </c>
      <c r="Q250" s="6">
        <f t="shared" si="75"/>
        <v>0</v>
      </c>
      <c r="R250" s="6">
        <f t="shared" si="76"/>
        <v>0</v>
      </c>
      <c r="S250" s="6">
        <f t="shared" si="77"/>
        <v>0</v>
      </c>
      <c r="T250" s="6">
        <f t="shared" si="78"/>
        <v>0</v>
      </c>
      <c r="U250" s="6">
        <f t="shared" si="79"/>
        <v>0</v>
      </c>
      <c r="V250" s="6">
        <f t="shared" si="80"/>
        <v>0</v>
      </c>
      <c r="W250" s="6">
        <f t="shared" si="81"/>
        <v>0</v>
      </c>
      <c r="X250" s="6">
        <f t="shared" si="82"/>
        <v>0</v>
      </c>
      <c r="Y250" s="6">
        <f t="shared" si="83"/>
        <v>0</v>
      </c>
      <c r="Z250" s="6">
        <f t="shared" si="84"/>
        <v>0</v>
      </c>
      <c r="AB250" s="36" t="str">
        <f>IF(最佳化斷筋點!C250="","",最佳化斷筋點!C250)</f>
        <v/>
      </c>
      <c r="AC250" s="37" t="str">
        <f>IF(最佳化斷筋點!D250="","",最佳化斷筋點!D250)</f>
        <v/>
      </c>
      <c r="AD250" s="37" t="str">
        <f>IF(最佳化斷筋點!E250="","",最佳化斷筋點!E250)</f>
        <v/>
      </c>
      <c r="AE250" s="37" t="str">
        <f>IF(最佳化斷筋點!F250="","",最佳化斷筋點!F250)</f>
        <v/>
      </c>
      <c r="AF250" s="37" t="str">
        <f>IF(最佳化斷筋點!G250="","",最佳化斷筋點!G250)</f>
        <v/>
      </c>
      <c r="AG250" s="37" t="str">
        <f>IF(最佳化斷筋點!H250="","",最佳化斷筋點!H250)</f>
        <v/>
      </c>
      <c r="AH250" s="37" t="str">
        <f>IF(最佳化斷筋點!I250="","",最佳化斷筋點!I250)</f>
        <v/>
      </c>
      <c r="AI250" s="37" t="str">
        <f>IF(最佳化斷筋點!J250="","",最佳化斷筋點!J250)</f>
        <v/>
      </c>
      <c r="AJ250" s="37" t="str">
        <f>IF(最佳化斷筋點!K250="","",最佳化斷筋點!K250)</f>
        <v/>
      </c>
      <c r="AK250" s="37" t="str">
        <f>IF(最佳化斷筋點!L250="","",最佳化斷筋點!L250)</f>
        <v/>
      </c>
      <c r="AL250" s="37" t="str">
        <f>IF(最佳化斷筋點!M250="","",最佳化斷筋點!M250)</f>
        <v/>
      </c>
      <c r="AM250" s="37" t="str">
        <f>IF(最佳化斷筋點!N250="","",最佳化斷筋點!N250)</f>
        <v/>
      </c>
      <c r="AN250" s="37" t="str">
        <f>IF(最佳化斷筋點!O250="","",最佳化斷筋點!O250)</f>
        <v/>
      </c>
      <c r="AO250" s="37" t="str">
        <f>IF(最佳化斷筋點!P250="","",最佳化斷筋點!P250)</f>
        <v/>
      </c>
      <c r="AP250" s="37" t="str">
        <f>IF(最佳化斷筋點!Q250="","",最佳化斷筋點!Q250)</f>
        <v/>
      </c>
      <c r="AQ250" s="37" t="str">
        <f>IF(最佳化斷筋點!R250="","",最佳化斷筋點!R250)</f>
        <v/>
      </c>
      <c r="AR250" s="37" t="str">
        <f>IF(最佳化斷筋點!S250="","",最佳化斷筋點!S250)</f>
        <v/>
      </c>
      <c r="AS250" s="37" t="str">
        <f>IF(最佳化斷筋點!T250="","",最佳化斷筋點!T250)</f>
        <v/>
      </c>
      <c r="AT250" s="37" t="str">
        <f>IF(最佳化斷筋點!U250="","",最佳化斷筋點!U250)</f>
        <v/>
      </c>
      <c r="AU250" s="37" t="str">
        <f>IF(最佳化斷筋點!V250="","",最佳化斷筋點!V250)</f>
        <v/>
      </c>
      <c r="AV250" s="37" t="str">
        <f>IF(最佳化斷筋點!W250="","",最佳化斷筋點!W250)</f>
        <v/>
      </c>
      <c r="AW250" s="37" t="str">
        <f>IF(最佳化斷筋點!X250="","",最佳化斷筋點!X250)</f>
        <v/>
      </c>
      <c r="AZ250" s="37" t="s">
        <v>197</v>
      </c>
      <c r="BA250" s="37" t="s">
        <v>197</v>
      </c>
      <c r="BB250" s="37" t="s">
        <v>197</v>
      </c>
      <c r="BC250" s="37" t="s">
        <v>197</v>
      </c>
      <c r="BD250" s="37" t="s">
        <v>197</v>
      </c>
      <c r="BE250" s="37" t="s">
        <v>197</v>
      </c>
      <c r="BF250" s="37" t="s">
        <v>197</v>
      </c>
      <c r="BG250" s="37" t="s">
        <v>197</v>
      </c>
      <c r="BH250" s="37" t="s">
        <v>197</v>
      </c>
      <c r="BI250" s="37" t="s">
        <v>197</v>
      </c>
      <c r="BJ250" s="37" t="s">
        <v>197</v>
      </c>
      <c r="BK250" s="37" t="s">
        <v>197</v>
      </c>
      <c r="BL250" s="37" t="s">
        <v>197</v>
      </c>
      <c r="BM250" s="37" t="s">
        <v>197</v>
      </c>
      <c r="BN250" s="37" t="s">
        <v>197</v>
      </c>
      <c r="BO250" s="37" t="s">
        <v>197</v>
      </c>
      <c r="BP250" s="37" t="s">
        <v>197</v>
      </c>
      <c r="BQ250" s="37" t="s">
        <v>197</v>
      </c>
      <c r="BR250" s="37" t="s">
        <v>197</v>
      </c>
      <c r="BS250" s="37" t="s">
        <v>197</v>
      </c>
      <c r="BT250" s="37" t="s">
        <v>197</v>
      </c>
    </row>
    <row r="251" spans="5:72" x14ac:dyDescent="0.25">
      <c r="E251" s="6" t="s">
        <v>20</v>
      </c>
      <c r="F251" s="6">
        <f t="shared" si="64"/>
        <v>0</v>
      </c>
      <c r="G251" s="6">
        <f t="shared" si="65"/>
        <v>0</v>
      </c>
      <c r="H251" s="6">
        <f t="shared" si="66"/>
        <v>0</v>
      </c>
      <c r="I251" s="6">
        <f t="shared" si="67"/>
        <v>0</v>
      </c>
      <c r="J251" s="6">
        <f t="shared" si="68"/>
        <v>0</v>
      </c>
      <c r="K251" s="6">
        <f t="shared" si="69"/>
        <v>0</v>
      </c>
      <c r="L251" s="6">
        <f t="shared" si="70"/>
        <v>0</v>
      </c>
      <c r="M251" s="6">
        <f t="shared" si="71"/>
        <v>0</v>
      </c>
      <c r="N251" s="6">
        <f t="shared" si="72"/>
        <v>0</v>
      </c>
      <c r="O251" s="6">
        <f t="shared" si="73"/>
        <v>0</v>
      </c>
      <c r="P251" s="6">
        <f t="shared" si="74"/>
        <v>0</v>
      </c>
      <c r="Q251" s="6">
        <f t="shared" si="75"/>
        <v>0</v>
      </c>
      <c r="R251" s="6">
        <f t="shared" si="76"/>
        <v>0</v>
      </c>
      <c r="S251" s="6">
        <f t="shared" si="77"/>
        <v>0</v>
      </c>
      <c r="T251" s="6">
        <f t="shared" si="78"/>
        <v>0</v>
      </c>
      <c r="U251" s="6">
        <f t="shared" si="79"/>
        <v>0</v>
      </c>
      <c r="V251" s="6">
        <f t="shared" si="80"/>
        <v>0</v>
      </c>
      <c r="W251" s="6">
        <f t="shared" si="81"/>
        <v>0</v>
      </c>
      <c r="X251" s="6">
        <f t="shared" si="82"/>
        <v>0</v>
      </c>
      <c r="Y251" s="6">
        <f t="shared" si="83"/>
        <v>0</v>
      </c>
      <c r="Z251" s="6">
        <f t="shared" si="84"/>
        <v>0</v>
      </c>
      <c r="AB251" s="36" t="str">
        <f>IF(最佳化斷筋點!C251="","",最佳化斷筋點!C251)</f>
        <v>上層</v>
      </c>
      <c r="AC251" s="37">
        <f>IF(最佳化斷筋點!D251="","",最佳化斷筋點!D251)</f>
        <v>6</v>
      </c>
      <c r="AD251" s="37">
        <f>IF(最佳化斷筋點!E251="","",最佳化斷筋點!E251)</f>
        <v>6</v>
      </c>
      <c r="AE251" s="37">
        <f>IF(最佳化斷筋點!F251="","",最佳化斷筋點!F251)</f>
        <v>6</v>
      </c>
      <c r="AF251" s="37">
        <f>IF(最佳化斷筋點!G251="","",最佳化斷筋點!G251)</f>
        <v>6</v>
      </c>
      <c r="AG251" s="37">
        <f>IF(最佳化斷筋點!H251="","",最佳化斷筋點!H251)</f>
        <v>6</v>
      </c>
      <c r="AH251" s="37">
        <f>IF(最佳化斷筋點!I251="","",最佳化斷筋點!I251)</f>
        <v>6</v>
      </c>
      <c r="AI251" s="37">
        <f>IF(最佳化斷筋點!J251="","",最佳化斷筋點!J251)</f>
        <v>5</v>
      </c>
      <c r="AJ251" s="37">
        <f>IF(最佳化斷筋點!K251="","",最佳化斷筋點!K251)</f>
        <v>2</v>
      </c>
      <c r="AK251" s="37">
        <f>IF(最佳化斷筋點!L251="","",最佳化斷筋點!L251)</f>
        <v>2</v>
      </c>
      <c r="AL251" s="37">
        <f>IF(最佳化斷筋點!M251="","",最佳化斷筋點!M251)</f>
        <v>2</v>
      </c>
      <c r="AM251" s="37">
        <f>IF(最佳化斷筋點!N251="","",最佳化斷筋點!N251)</f>
        <v>2</v>
      </c>
      <c r="AN251" s="37">
        <f>IF(最佳化斷筋點!O251="","",最佳化斷筋點!O251)</f>
        <v>2</v>
      </c>
      <c r="AO251" s="37">
        <f>IF(最佳化斷筋點!P251="","",最佳化斷筋點!P251)</f>
        <v>2</v>
      </c>
      <c r="AP251" s="37">
        <f>IF(最佳化斷筋點!Q251="","",最佳化斷筋點!Q251)</f>
        <v>3</v>
      </c>
      <c r="AQ251" s="37">
        <f>IF(最佳化斷筋點!R251="","",最佳化斷筋點!R251)</f>
        <v>3</v>
      </c>
      <c r="AR251" s="37">
        <f>IF(最佳化斷筋點!S251="","",最佳化斷筋點!S251)</f>
        <v>3</v>
      </c>
      <c r="AS251" s="37">
        <f>IF(最佳化斷筋點!T251="","",最佳化斷筋點!T251)</f>
        <v>4</v>
      </c>
      <c r="AT251" s="37">
        <f>IF(最佳化斷筋點!U251="","",最佳化斷筋點!U251)</f>
        <v>4</v>
      </c>
      <c r="AU251" s="37">
        <f>IF(最佳化斷筋點!V251="","",最佳化斷筋點!V251)</f>
        <v>4</v>
      </c>
      <c r="AV251" s="37">
        <f>IF(最佳化斷筋點!W251="","",最佳化斷筋點!W251)</f>
        <v>4</v>
      </c>
      <c r="AW251" s="37">
        <f>IF(最佳化斷筋點!X251="","",最佳化斷筋點!X251)</f>
        <v>4</v>
      </c>
      <c r="AY251" s="6" t="s">
        <v>20</v>
      </c>
      <c r="AZ251" s="37">
        <v>6</v>
      </c>
      <c r="BA251" s="37">
        <v>6</v>
      </c>
      <c r="BB251" s="37">
        <v>6</v>
      </c>
      <c r="BC251" s="37">
        <v>6</v>
      </c>
      <c r="BD251" s="37">
        <v>6</v>
      </c>
      <c r="BE251" s="37">
        <v>6</v>
      </c>
      <c r="BF251" s="37">
        <v>5</v>
      </c>
      <c r="BG251" s="37">
        <v>2</v>
      </c>
      <c r="BH251" s="37">
        <v>2</v>
      </c>
      <c r="BI251" s="37">
        <v>2</v>
      </c>
      <c r="BJ251" s="37">
        <v>2</v>
      </c>
      <c r="BK251" s="37">
        <v>2</v>
      </c>
      <c r="BL251" s="37">
        <v>2</v>
      </c>
      <c r="BM251" s="37">
        <v>3</v>
      </c>
      <c r="BN251" s="37">
        <v>3</v>
      </c>
      <c r="BO251" s="37">
        <v>3</v>
      </c>
      <c r="BP251" s="37">
        <v>4</v>
      </c>
      <c r="BQ251" s="37">
        <v>4</v>
      </c>
      <c r="BR251" s="37">
        <v>4</v>
      </c>
      <c r="BS251" s="37">
        <v>4</v>
      </c>
      <c r="BT251" s="37">
        <v>4</v>
      </c>
    </row>
    <row r="252" spans="5:72" x14ac:dyDescent="0.25">
      <c r="F252" s="6">
        <f t="shared" si="64"/>
        <v>0</v>
      </c>
      <c r="G252" s="6">
        <f t="shared" si="65"/>
        <v>0</v>
      </c>
      <c r="H252" s="6">
        <f t="shared" si="66"/>
        <v>0</v>
      </c>
      <c r="I252" s="6">
        <f t="shared" si="67"/>
        <v>0</v>
      </c>
      <c r="J252" s="6">
        <f t="shared" si="68"/>
        <v>0</v>
      </c>
      <c r="K252" s="6">
        <f t="shared" si="69"/>
        <v>0</v>
      </c>
      <c r="L252" s="6">
        <f t="shared" si="70"/>
        <v>0</v>
      </c>
      <c r="M252" s="6">
        <f t="shared" si="71"/>
        <v>0</v>
      </c>
      <c r="N252" s="6">
        <f t="shared" si="72"/>
        <v>0</v>
      </c>
      <c r="O252" s="6">
        <f t="shared" si="73"/>
        <v>0</v>
      </c>
      <c r="P252" s="6">
        <f t="shared" si="74"/>
        <v>0</v>
      </c>
      <c r="Q252" s="6">
        <f t="shared" si="75"/>
        <v>0</v>
      </c>
      <c r="R252" s="6">
        <f t="shared" si="76"/>
        <v>0</v>
      </c>
      <c r="S252" s="6">
        <f t="shared" si="77"/>
        <v>0</v>
      </c>
      <c r="T252" s="6">
        <f t="shared" si="78"/>
        <v>0</v>
      </c>
      <c r="U252" s="6">
        <f t="shared" si="79"/>
        <v>0</v>
      </c>
      <c r="V252" s="6">
        <f t="shared" si="80"/>
        <v>0</v>
      </c>
      <c r="W252" s="6">
        <f t="shared" si="81"/>
        <v>0</v>
      </c>
      <c r="X252" s="6">
        <f t="shared" si="82"/>
        <v>0</v>
      </c>
      <c r="Y252" s="6">
        <f t="shared" si="83"/>
        <v>0</v>
      </c>
      <c r="Z252" s="6">
        <f t="shared" si="84"/>
        <v>0</v>
      </c>
      <c r="AB252" s="36" t="str">
        <f>IF(最佳化斷筋點!C252="","",最佳化斷筋點!C252)</f>
        <v/>
      </c>
      <c r="AC252" s="37" t="str">
        <f>IF(最佳化斷筋點!D252="","",最佳化斷筋點!D252)</f>
        <v/>
      </c>
      <c r="AD252" s="37" t="str">
        <f>IF(最佳化斷筋點!E252="","",最佳化斷筋點!E252)</f>
        <v/>
      </c>
      <c r="AE252" s="37" t="str">
        <f>IF(最佳化斷筋點!F252="","",最佳化斷筋點!F252)</f>
        <v/>
      </c>
      <c r="AF252" s="37" t="str">
        <f>IF(最佳化斷筋點!G252="","",最佳化斷筋點!G252)</f>
        <v/>
      </c>
      <c r="AG252" s="37" t="str">
        <f>IF(最佳化斷筋點!H252="","",最佳化斷筋點!H252)</f>
        <v/>
      </c>
      <c r="AH252" s="37" t="str">
        <f>IF(最佳化斷筋點!I252="","",最佳化斷筋點!I252)</f>
        <v/>
      </c>
      <c r="AI252" s="37" t="str">
        <f>IF(最佳化斷筋點!J252="","",最佳化斷筋點!J252)</f>
        <v/>
      </c>
      <c r="AJ252" s="37" t="str">
        <f>IF(最佳化斷筋點!K252="","",最佳化斷筋點!K252)</f>
        <v/>
      </c>
      <c r="AK252" s="37" t="str">
        <f>IF(最佳化斷筋點!L252="","",最佳化斷筋點!L252)</f>
        <v/>
      </c>
      <c r="AL252" s="37" t="str">
        <f>IF(最佳化斷筋點!M252="","",最佳化斷筋點!M252)</f>
        <v/>
      </c>
      <c r="AM252" s="37" t="str">
        <f>IF(最佳化斷筋點!N252="","",最佳化斷筋點!N252)</f>
        <v/>
      </c>
      <c r="AN252" s="37" t="str">
        <f>IF(最佳化斷筋點!O252="","",最佳化斷筋點!O252)</f>
        <v/>
      </c>
      <c r="AO252" s="37" t="str">
        <f>IF(最佳化斷筋點!P252="","",最佳化斷筋點!P252)</f>
        <v/>
      </c>
      <c r="AP252" s="37" t="str">
        <f>IF(最佳化斷筋點!Q252="","",最佳化斷筋點!Q252)</f>
        <v/>
      </c>
      <c r="AQ252" s="37" t="str">
        <f>IF(最佳化斷筋點!R252="","",最佳化斷筋點!R252)</f>
        <v/>
      </c>
      <c r="AR252" s="37" t="str">
        <f>IF(最佳化斷筋點!S252="","",最佳化斷筋點!S252)</f>
        <v/>
      </c>
      <c r="AS252" s="37" t="str">
        <f>IF(最佳化斷筋點!T252="","",最佳化斷筋點!T252)</f>
        <v/>
      </c>
      <c r="AT252" s="37" t="str">
        <f>IF(最佳化斷筋點!U252="","",最佳化斷筋點!U252)</f>
        <v/>
      </c>
      <c r="AU252" s="37" t="str">
        <f>IF(最佳化斷筋點!V252="","",最佳化斷筋點!V252)</f>
        <v/>
      </c>
      <c r="AV252" s="37" t="str">
        <f>IF(最佳化斷筋點!W252="","",最佳化斷筋點!W252)</f>
        <v/>
      </c>
      <c r="AW252" s="37" t="str">
        <f>IF(最佳化斷筋點!X252="","",最佳化斷筋點!X252)</f>
        <v/>
      </c>
      <c r="AZ252" s="37" t="s">
        <v>197</v>
      </c>
      <c r="BA252" s="37" t="s">
        <v>197</v>
      </c>
      <c r="BB252" s="37" t="s">
        <v>197</v>
      </c>
      <c r="BC252" s="37" t="s">
        <v>197</v>
      </c>
      <c r="BD252" s="37" t="s">
        <v>197</v>
      </c>
      <c r="BE252" s="37" t="s">
        <v>197</v>
      </c>
      <c r="BF252" s="37" t="s">
        <v>197</v>
      </c>
      <c r="BG252" s="37" t="s">
        <v>197</v>
      </c>
      <c r="BH252" s="37" t="s">
        <v>197</v>
      </c>
      <c r="BI252" s="37" t="s">
        <v>197</v>
      </c>
      <c r="BJ252" s="37" t="s">
        <v>197</v>
      </c>
      <c r="BK252" s="37" t="s">
        <v>197</v>
      </c>
      <c r="BL252" s="37" t="s">
        <v>197</v>
      </c>
      <c r="BM252" s="37" t="s">
        <v>197</v>
      </c>
      <c r="BN252" s="37" t="s">
        <v>197</v>
      </c>
      <c r="BO252" s="37" t="s">
        <v>197</v>
      </c>
      <c r="BP252" s="37" t="s">
        <v>197</v>
      </c>
      <c r="BQ252" s="37" t="s">
        <v>197</v>
      </c>
      <c r="BR252" s="37" t="s">
        <v>197</v>
      </c>
      <c r="BS252" s="37" t="s">
        <v>197</v>
      </c>
      <c r="BT252" s="37" t="s">
        <v>197</v>
      </c>
    </row>
    <row r="253" spans="5:72" x14ac:dyDescent="0.25">
      <c r="E253" s="6" t="s">
        <v>21</v>
      </c>
      <c r="F253" s="6">
        <f t="shared" si="64"/>
        <v>0</v>
      </c>
      <c r="G253" s="6">
        <f t="shared" si="65"/>
        <v>0</v>
      </c>
      <c r="H253" s="6">
        <f t="shared" si="66"/>
        <v>0</v>
      </c>
      <c r="I253" s="6">
        <f t="shared" si="67"/>
        <v>0</v>
      </c>
      <c r="J253" s="6">
        <f t="shared" si="68"/>
        <v>0</v>
      </c>
      <c r="K253" s="6">
        <f t="shared" si="69"/>
        <v>0</v>
      </c>
      <c r="L253" s="6">
        <f t="shared" si="70"/>
        <v>0</v>
      </c>
      <c r="M253" s="6">
        <f t="shared" si="71"/>
        <v>0</v>
      </c>
      <c r="N253" s="6">
        <f t="shared" si="72"/>
        <v>0</v>
      </c>
      <c r="O253" s="6">
        <f t="shared" si="73"/>
        <v>0</v>
      </c>
      <c r="P253" s="6">
        <f t="shared" si="74"/>
        <v>0</v>
      </c>
      <c r="Q253" s="6">
        <f t="shared" si="75"/>
        <v>0</v>
      </c>
      <c r="R253" s="6">
        <f t="shared" si="76"/>
        <v>0</v>
      </c>
      <c r="S253" s="6">
        <f t="shared" si="77"/>
        <v>0</v>
      </c>
      <c r="T253" s="6">
        <f t="shared" si="78"/>
        <v>0</v>
      </c>
      <c r="U253" s="6">
        <f t="shared" si="79"/>
        <v>0</v>
      </c>
      <c r="V253" s="6">
        <f t="shared" si="80"/>
        <v>0</v>
      </c>
      <c r="W253" s="6">
        <f t="shared" si="81"/>
        <v>0</v>
      </c>
      <c r="X253" s="6">
        <f t="shared" si="82"/>
        <v>0</v>
      </c>
      <c r="Y253" s="6">
        <f t="shared" si="83"/>
        <v>0</v>
      </c>
      <c r="Z253" s="6">
        <f t="shared" si="84"/>
        <v>0</v>
      </c>
      <c r="AB253" s="36" t="str">
        <f>IF(最佳化斷筋點!C253="","",最佳化斷筋點!C253)</f>
        <v>下層</v>
      </c>
      <c r="AC253" s="37">
        <f>IF(最佳化斷筋點!D253="","",最佳化斷筋點!D253)</f>
        <v>3</v>
      </c>
      <c r="AD253" s="37">
        <f>IF(最佳化斷筋點!E253="","",最佳化斷筋點!E253)</f>
        <v>3</v>
      </c>
      <c r="AE253" s="37">
        <f>IF(最佳化斷筋點!F253="","",最佳化斷筋點!F253)</f>
        <v>3</v>
      </c>
      <c r="AF253" s="37">
        <f>IF(最佳化斷筋點!G253="","",最佳化斷筋點!G253)</f>
        <v>3</v>
      </c>
      <c r="AG253" s="37">
        <f>IF(最佳化斷筋點!H253="","",最佳化斷筋點!H253)</f>
        <v>3</v>
      </c>
      <c r="AH253" s="37">
        <f>IF(最佳化斷筋點!I253="","",最佳化斷筋點!I253)</f>
        <v>3</v>
      </c>
      <c r="AI253" s="37">
        <f>IF(最佳化斷筋點!J253="","",最佳化斷筋點!J253)</f>
        <v>3</v>
      </c>
      <c r="AJ253" s="37">
        <f>IF(最佳化斷筋點!K253="","",最佳化斷筋點!K253)</f>
        <v>2</v>
      </c>
      <c r="AK253" s="37">
        <f>IF(最佳化斷筋點!L253="","",最佳化斷筋點!L253)</f>
        <v>2</v>
      </c>
      <c r="AL253" s="37">
        <f>IF(最佳化斷筋點!M253="","",最佳化斷筋點!M253)</f>
        <v>2</v>
      </c>
      <c r="AM253" s="37">
        <f>IF(最佳化斷筋點!N253="","",最佳化斷筋點!N253)</f>
        <v>2</v>
      </c>
      <c r="AN253" s="37">
        <f>IF(最佳化斷筋點!O253="","",最佳化斷筋點!O253)</f>
        <v>2</v>
      </c>
      <c r="AO253" s="37">
        <f>IF(最佳化斷筋點!P253="","",最佳化斷筋點!P253)</f>
        <v>2</v>
      </c>
      <c r="AP253" s="37">
        <f>IF(最佳化斷筋點!Q253="","",最佳化斷筋點!Q253)</f>
        <v>3</v>
      </c>
      <c r="AQ253" s="37">
        <f>IF(最佳化斷筋點!R253="","",最佳化斷筋點!R253)</f>
        <v>3</v>
      </c>
      <c r="AR253" s="37">
        <f>IF(最佳化斷筋點!S253="","",最佳化斷筋點!S253)</f>
        <v>3</v>
      </c>
      <c r="AS253" s="37">
        <f>IF(最佳化斷筋點!T253="","",最佳化斷筋點!T253)</f>
        <v>4</v>
      </c>
      <c r="AT253" s="37">
        <f>IF(最佳化斷筋點!U253="","",最佳化斷筋點!U253)</f>
        <v>4</v>
      </c>
      <c r="AU253" s="37">
        <f>IF(最佳化斷筋點!V253="","",最佳化斷筋點!V253)</f>
        <v>4</v>
      </c>
      <c r="AV253" s="37">
        <f>IF(最佳化斷筋點!W253="","",最佳化斷筋點!W253)</f>
        <v>4</v>
      </c>
      <c r="AW253" s="37">
        <f>IF(最佳化斷筋點!X253="","",最佳化斷筋點!X253)</f>
        <v>4</v>
      </c>
      <c r="AY253" s="6" t="s">
        <v>21</v>
      </c>
      <c r="AZ253" s="37">
        <v>3</v>
      </c>
      <c r="BA253" s="37">
        <v>3</v>
      </c>
      <c r="BB253" s="37">
        <v>3</v>
      </c>
      <c r="BC253" s="37">
        <v>3</v>
      </c>
      <c r="BD253" s="37">
        <v>3</v>
      </c>
      <c r="BE253" s="37">
        <v>3</v>
      </c>
      <c r="BF253" s="37">
        <v>3</v>
      </c>
      <c r="BG253" s="37">
        <v>2</v>
      </c>
      <c r="BH253" s="37">
        <v>2</v>
      </c>
      <c r="BI253" s="37">
        <v>2</v>
      </c>
      <c r="BJ253" s="37">
        <v>2</v>
      </c>
      <c r="BK253" s="37">
        <v>2</v>
      </c>
      <c r="BL253" s="37">
        <v>2</v>
      </c>
      <c r="BM253" s="37">
        <v>3</v>
      </c>
      <c r="BN253" s="37">
        <v>3</v>
      </c>
      <c r="BO253" s="37">
        <v>3</v>
      </c>
      <c r="BP253" s="37">
        <v>4</v>
      </c>
      <c r="BQ253" s="37">
        <v>4</v>
      </c>
      <c r="BR253" s="37">
        <v>4</v>
      </c>
      <c r="BS253" s="37">
        <v>4</v>
      </c>
      <c r="BT253" s="37">
        <v>4</v>
      </c>
    </row>
    <row r="254" spans="5:72" x14ac:dyDescent="0.25">
      <c r="F254" s="6">
        <f t="shared" si="64"/>
        <v>0</v>
      </c>
      <c r="G254" s="6">
        <f t="shared" si="65"/>
        <v>0</v>
      </c>
      <c r="H254" s="6">
        <f t="shared" si="66"/>
        <v>0</v>
      </c>
      <c r="I254" s="6">
        <f t="shared" si="67"/>
        <v>0</v>
      </c>
      <c r="J254" s="6">
        <f t="shared" si="68"/>
        <v>0</v>
      </c>
      <c r="K254" s="6">
        <f t="shared" si="69"/>
        <v>0</v>
      </c>
      <c r="L254" s="6">
        <f t="shared" si="70"/>
        <v>0</v>
      </c>
      <c r="M254" s="6">
        <f t="shared" si="71"/>
        <v>0</v>
      </c>
      <c r="N254" s="6">
        <f t="shared" si="72"/>
        <v>0</v>
      </c>
      <c r="O254" s="6">
        <f t="shared" si="73"/>
        <v>0</v>
      </c>
      <c r="P254" s="6">
        <f t="shared" si="74"/>
        <v>0</v>
      </c>
      <c r="Q254" s="6">
        <f t="shared" si="75"/>
        <v>0</v>
      </c>
      <c r="R254" s="6">
        <f t="shared" si="76"/>
        <v>0</v>
      </c>
      <c r="S254" s="6">
        <f t="shared" si="77"/>
        <v>0</v>
      </c>
      <c r="T254" s="6">
        <f t="shared" si="78"/>
        <v>0</v>
      </c>
      <c r="U254" s="6">
        <f t="shared" si="79"/>
        <v>0</v>
      </c>
      <c r="V254" s="6">
        <f t="shared" si="80"/>
        <v>0</v>
      </c>
      <c r="W254" s="6">
        <f t="shared" si="81"/>
        <v>0</v>
      </c>
      <c r="X254" s="6">
        <f t="shared" si="82"/>
        <v>0</v>
      </c>
      <c r="Y254" s="6">
        <f t="shared" si="83"/>
        <v>0</v>
      </c>
      <c r="Z254" s="6">
        <f t="shared" si="84"/>
        <v>0</v>
      </c>
      <c r="AB254" s="36" t="str">
        <f>IF(最佳化斷筋點!C254="","",最佳化斷筋點!C254)</f>
        <v/>
      </c>
      <c r="AC254" s="37" t="str">
        <f>IF(最佳化斷筋點!D254="","",最佳化斷筋點!D254)</f>
        <v/>
      </c>
      <c r="AD254" s="37" t="str">
        <f>IF(最佳化斷筋點!E254="","",最佳化斷筋點!E254)</f>
        <v/>
      </c>
      <c r="AE254" s="37" t="str">
        <f>IF(最佳化斷筋點!F254="","",最佳化斷筋點!F254)</f>
        <v/>
      </c>
      <c r="AF254" s="37" t="str">
        <f>IF(最佳化斷筋點!G254="","",最佳化斷筋點!G254)</f>
        <v/>
      </c>
      <c r="AG254" s="37" t="str">
        <f>IF(最佳化斷筋點!H254="","",最佳化斷筋點!H254)</f>
        <v/>
      </c>
      <c r="AH254" s="37" t="str">
        <f>IF(最佳化斷筋點!I254="","",最佳化斷筋點!I254)</f>
        <v/>
      </c>
      <c r="AI254" s="37" t="str">
        <f>IF(最佳化斷筋點!J254="","",最佳化斷筋點!J254)</f>
        <v/>
      </c>
      <c r="AJ254" s="37" t="str">
        <f>IF(最佳化斷筋點!K254="","",最佳化斷筋點!K254)</f>
        <v/>
      </c>
      <c r="AK254" s="37" t="str">
        <f>IF(最佳化斷筋點!L254="","",最佳化斷筋點!L254)</f>
        <v/>
      </c>
      <c r="AL254" s="37" t="str">
        <f>IF(最佳化斷筋點!M254="","",最佳化斷筋點!M254)</f>
        <v/>
      </c>
      <c r="AM254" s="37" t="str">
        <f>IF(最佳化斷筋點!N254="","",最佳化斷筋點!N254)</f>
        <v/>
      </c>
      <c r="AN254" s="37" t="str">
        <f>IF(最佳化斷筋點!O254="","",最佳化斷筋點!O254)</f>
        <v/>
      </c>
      <c r="AO254" s="37" t="str">
        <f>IF(最佳化斷筋點!P254="","",最佳化斷筋點!P254)</f>
        <v/>
      </c>
      <c r="AP254" s="37" t="str">
        <f>IF(最佳化斷筋點!Q254="","",最佳化斷筋點!Q254)</f>
        <v/>
      </c>
      <c r="AQ254" s="37" t="str">
        <f>IF(最佳化斷筋點!R254="","",最佳化斷筋點!R254)</f>
        <v/>
      </c>
      <c r="AR254" s="37" t="str">
        <f>IF(最佳化斷筋點!S254="","",最佳化斷筋點!S254)</f>
        <v/>
      </c>
      <c r="AS254" s="37" t="str">
        <f>IF(最佳化斷筋點!T254="","",最佳化斷筋點!T254)</f>
        <v/>
      </c>
      <c r="AT254" s="37" t="str">
        <f>IF(最佳化斷筋點!U254="","",最佳化斷筋點!U254)</f>
        <v/>
      </c>
      <c r="AU254" s="37" t="str">
        <f>IF(最佳化斷筋點!V254="","",最佳化斷筋點!V254)</f>
        <v/>
      </c>
      <c r="AV254" s="37" t="str">
        <f>IF(最佳化斷筋點!W254="","",最佳化斷筋點!W254)</f>
        <v/>
      </c>
      <c r="AW254" s="37" t="str">
        <f>IF(最佳化斷筋點!X254="","",最佳化斷筋點!X254)</f>
        <v/>
      </c>
      <c r="AZ254" s="37" t="s">
        <v>197</v>
      </c>
      <c r="BA254" s="37" t="s">
        <v>197</v>
      </c>
      <c r="BB254" s="37" t="s">
        <v>197</v>
      </c>
      <c r="BC254" s="37" t="s">
        <v>197</v>
      </c>
      <c r="BD254" s="37" t="s">
        <v>197</v>
      </c>
      <c r="BE254" s="37" t="s">
        <v>197</v>
      </c>
      <c r="BF254" s="37" t="s">
        <v>197</v>
      </c>
      <c r="BG254" s="37" t="s">
        <v>197</v>
      </c>
      <c r="BH254" s="37" t="s">
        <v>197</v>
      </c>
      <c r="BI254" s="37" t="s">
        <v>197</v>
      </c>
      <c r="BJ254" s="37" t="s">
        <v>197</v>
      </c>
      <c r="BK254" s="37" t="s">
        <v>197</v>
      </c>
      <c r="BL254" s="37" t="s">
        <v>197</v>
      </c>
      <c r="BM254" s="37" t="s">
        <v>197</v>
      </c>
      <c r="BN254" s="37" t="s">
        <v>197</v>
      </c>
      <c r="BO254" s="37" t="s">
        <v>197</v>
      </c>
      <c r="BP254" s="37" t="s">
        <v>197</v>
      </c>
      <c r="BQ254" s="37" t="s">
        <v>197</v>
      </c>
      <c r="BR254" s="37" t="s">
        <v>197</v>
      </c>
      <c r="BS254" s="37" t="s">
        <v>197</v>
      </c>
      <c r="BT254" s="37" t="s">
        <v>197</v>
      </c>
    </row>
    <row r="255" spans="5:72" x14ac:dyDescent="0.25">
      <c r="E255" s="6" t="s">
        <v>20</v>
      </c>
      <c r="F255" s="6">
        <f t="shared" si="64"/>
        <v>0</v>
      </c>
      <c r="G255" s="6">
        <f t="shared" si="65"/>
        <v>0</v>
      </c>
      <c r="H255" s="6">
        <f t="shared" si="66"/>
        <v>0</v>
      </c>
      <c r="I255" s="6">
        <f t="shared" si="67"/>
        <v>0</v>
      </c>
      <c r="J255" s="6">
        <f t="shared" si="68"/>
        <v>0</v>
      </c>
      <c r="K255" s="6">
        <f t="shared" si="69"/>
        <v>0</v>
      </c>
      <c r="L255" s="6">
        <f t="shared" si="70"/>
        <v>0</v>
      </c>
      <c r="M255" s="6">
        <f t="shared" si="71"/>
        <v>0</v>
      </c>
      <c r="N255" s="6">
        <f t="shared" si="72"/>
        <v>0</v>
      </c>
      <c r="O255" s="6">
        <f t="shared" si="73"/>
        <v>0</v>
      </c>
      <c r="P255" s="6">
        <f t="shared" si="74"/>
        <v>0</v>
      </c>
      <c r="Q255" s="6">
        <f t="shared" si="75"/>
        <v>0</v>
      </c>
      <c r="R255" s="6">
        <f t="shared" si="76"/>
        <v>0</v>
      </c>
      <c r="S255" s="6">
        <f t="shared" si="77"/>
        <v>0</v>
      </c>
      <c r="T255" s="6">
        <f t="shared" si="78"/>
        <v>0</v>
      </c>
      <c r="U255" s="6">
        <f t="shared" si="79"/>
        <v>0</v>
      </c>
      <c r="V255" s="6">
        <f t="shared" si="80"/>
        <v>0</v>
      </c>
      <c r="W255" s="6">
        <f t="shared" si="81"/>
        <v>0</v>
      </c>
      <c r="X255" s="6">
        <f t="shared" si="82"/>
        <v>0</v>
      </c>
      <c r="Y255" s="6">
        <f t="shared" si="83"/>
        <v>0</v>
      </c>
      <c r="Z255" s="6">
        <f t="shared" si="84"/>
        <v>0</v>
      </c>
      <c r="AB255" s="36" t="str">
        <f>IF(最佳化斷筋點!C255="","",最佳化斷筋點!C255)</f>
        <v>上層</v>
      </c>
      <c r="AC255" s="37">
        <f>IF(最佳化斷筋點!D255="","",最佳化斷筋點!D255)</f>
        <v>7</v>
      </c>
      <c r="AD255" s="37">
        <f>IF(最佳化斷筋點!E255="","",最佳化斷筋點!E255)</f>
        <v>7</v>
      </c>
      <c r="AE255" s="37">
        <f>IF(最佳化斷筋點!F255="","",最佳化斷筋點!F255)</f>
        <v>7</v>
      </c>
      <c r="AF255" s="37">
        <f>IF(最佳化斷筋點!G255="","",最佳化斷筋點!G255)</f>
        <v>7</v>
      </c>
      <c r="AG255" s="37">
        <f>IF(最佳化斷筋點!H255="","",最佳化斷筋點!H255)</f>
        <v>7</v>
      </c>
      <c r="AH255" s="37">
        <f>IF(最佳化斷筋點!I255="","",最佳化斷筋點!I255)</f>
        <v>6</v>
      </c>
      <c r="AI255" s="37">
        <f>IF(最佳化斷筋點!J255="","",最佳化斷筋點!J255)</f>
        <v>6</v>
      </c>
      <c r="AJ255" s="37">
        <f>IF(最佳化斷筋點!K255="","",最佳化斷筋點!K255)</f>
        <v>4</v>
      </c>
      <c r="AK255" s="37">
        <f>IF(最佳化斷筋點!L255="","",最佳化斷筋點!L255)</f>
        <v>4</v>
      </c>
      <c r="AL255" s="37">
        <f>IF(最佳化斷筋點!M255="","",最佳化斷筋點!M255)</f>
        <v>4</v>
      </c>
      <c r="AM255" s="37">
        <f>IF(最佳化斷筋點!N255="","",最佳化斷筋點!N255)</f>
        <v>2</v>
      </c>
      <c r="AN255" s="37">
        <f>IF(最佳化斷筋點!O255="","",最佳化斷筋點!O255)</f>
        <v>4</v>
      </c>
      <c r="AO255" s="37">
        <f>IF(最佳化斷筋點!P255="","",最佳化斷筋點!P255)</f>
        <v>4</v>
      </c>
      <c r="AP255" s="37">
        <f>IF(最佳化斷筋點!Q255="","",最佳化斷筋點!Q255)</f>
        <v>6</v>
      </c>
      <c r="AQ255" s="37">
        <f>IF(最佳化斷筋點!R255="","",最佳化斷筋點!R255)</f>
        <v>7</v>
      </c>
      <c r="AR255" s="37">
        <f>IF(最佳化斷筋點!S255="","",最佳化斷筋點!S255)</f>
        <v>8</v>
      </c>
      <c r="AS255" s="37">
        <f>IF(最佳化斷筋點!T255="","",最佳化斷筋點!T255)</f>
        <v>9</v>
      </c>
      <c r="AT255" s="37">
        <f>IF(最佳化斷筋點!U255="","",最佳化斷筋點!U255)</f>
        <v>10</v>
      </c>
      <c r="AU255" s="37">
        <f>IF(最佳化斷筋點!V255="","",最佳化斷筋點!V255)</f>
        <v>10</v>
      </c>
      <c r="AV255" s="37">
        <f>IF(最佳化斷筋點!W255="","",最佳化斷筋點!W255)</f>
        <v>10</v>
      </c>
      <c r="AW255" s="37">
        <f>IF(最佳化斷筋點!X255="","",最佳化斷筋點!X255)</f>
        <v>10</v>
      </c>
      <c r="AY255" s="6" t="s">
        <v>20</v>
      </c>
      <c r="AZ255" s="37">
        <v>7</v>
      </c>
      <c r="BA255" s="37">
        <v>7</v>
      </c>
      <c r="BB255" s="37">
        <v>7</v>
      </c>
      <c r="BC255" s="37">
        <v>7</v>
      </c>
      <c r="BD255" s="37">
        <v>7</v>
      </c>
      <c r="BE255" s="37">
        <v>6</v>
      </c>
      <c r="BF255" s="37">
        <v>6</v>
      </c>
      <c r="BG255" s="37">
        <v>4</v>
      </c>
      <c r="BH255" s="37">
        <v>4</v>
      </c>
      <c r="BI255" s="37">
        <v>4</v>
      </c>
      <c r="BJ255" s="37">
        <v>2</v>
      </c>
      <c r="BK255" s="37">
        <v>4</v>
      </c>
      <c r="BL255" s="37">
        <v>4</v>
      </c>
      <c r="BM255" s="37">
        <v>6</v>
      </c>
      <c r="BN255" s="37">
        <v>7</v>
      </c>
      <c r="BO255" s="37">
        <v>8</v>
      </c>
      <c r="BP255" s="37">
        <v>9</v>
      </c>
      <c r="BQ255" s="37">
        <v>10</v>
      </c>
      <c r="BR255" s="37">
        <v>10</v>
      </c>
      <c r="BS255" s="37">
        <v>10</v>
      </c>
      <c r="BT255" s="37">
        <v>10</v>
      </c>
    </row>
    <row r="256" spans="5:72" x14ac:dyDescent="0.25">
      <c r="F256" s="6">
        <f t="shared" si="64"/>
        <v>0</v>
      </c>
      <c r="G256" s="6">
        <f t="shared" si="65"/>
        <v>0</v>
      </c>
      <c r="H256" s="6">
        <f t="shared" si="66"/>
        <v>0</v>
      </c>
      <c r="I256" s="6">
        <f t="shared" si="67"/>
        <v>0</v>
      </c>
      <c r="J256" s="6">
        <f t="shared" si="68"/>
        <v>0</v>
      </c>
      <c r="K256" s="6">
        <f t="shared" si="69"/>
        <v>0</v>
      </c>
      <c r="L256" s="6">
        <f t="shared" si="70"/>
        <v>0</v>
      </c>
      <c r="M256" s="6">
        <f t="shared" si="71"/>
        <v>0</v>
      </c>
      <c r="N256" s="6">
        <f t="shared" si="72"/>
        <v>0</v>
      </c>
      <c r="O256" s="6">
        <f t="shared" si="73"/>
        <v>0</v>
      </c>
      <c r="P256" s="6">
        <f t="shared" si="74"/>
        <v>0</v>
      </c>
      <c r="Q256" s="6">
        <f t="shared" si="75"/>
        <v>0</v>
      </c>
      <c r="R256" s="6">
        <f t="shared" si="76"/>
        <v>0</v>
      </c>
      <c r="S256" s="6">
        <f t="shared" si="77"/>
        <v>0</v>
      </c>
      <c r="T256" s="6">
        <f t="shared" si="78"/>
        <v>0</v>
      </c>
      <c r="U256" s="6">
        <f t="shared" si="79"/>
        <v>0</v>
      </c>
      <c r="V256" s="6">
        <f t="shared" si="80"/>
        <v>0</v>
      </c>
      <c r="W256" s="6">
        <f t="shared" si="81"/>
        <v>0</v>
      </c>
      <c r="X256" s="6">
        <f t="shared" si="82"/>
        <v>0</v>
      </c>
      <c r="Y256" s="6">
        <f t="shared" si="83"/>
        <v>0</v>
      </c>
      <c r="Z256" s="6">
        <f t="shared" si="84"/>
        <v>0</v>
      </c>
      <c r="AB256" s="36" t="str">
        <f>IF(最佳化斷筋點!C256="","",最佳化斷筋點!C256)</f>
        <v/>
      </c>
      <c r="AC256" s="37" t="str">
        <f>IF(最佳化斷筋點!D256="","",最佳化斷筋點!D256)</f>
        <v/>
      </c>
      <c r="AD256" s="37" t="str">
        <f>IF(最佳化斷筋點!E256="","",最佳化斷筋點!E256)</f>
        <v/>
      </c>
      <c r="AE256" s="37" t="str">
        <f>IF(最佳化斷筋點!F256="","",最佳化斷筋點!F256)</f>
        <v/>
      </c>
      <c r="AF256" s="37" t="str">
        <f>IF(最佳化斷筋點!G256="","",最佳化斷筋點!G256)</f>
        <v/>
      </c>
      <c r="AG256" s="37" t="str">
        <f>IF(最佳化斷筋點!H256="","",最佳化斷筋點!H256)</f>
        <v/>
      </c>
      <c r="AH256" s="37" t="str">
        <f>IF(最佳化斷筋點!I256="","",最佳化斷筋點!I256)</f>
        <v/>
      </c>
      <c r="AI256" s="37" t="str">
        <f>IF(最佳化斷筋點!J256="","",最佳化斷筋點!J256)</f>
        <v/>
      </c>
      <c r="AJ256" s="37" t="str">
        <f>IF(最佳化斷筋點!K256="","",最佳化斷筋點!K256)</f>
        <v/>
      </c>
      <c r="AK256" s="37" t="str">
        <f>IF(最佳化斷筋點!L256="","",最佳化斷筋點!L256)</f>
        <v/>
      </c>
      <c r="AL256" s="37" t="str">
        <f>IF(最佳化斷筋點!M256="","",最佳化斷筋點!M256)</f>
        <v/>
      </c>
      <c r="AM256" s="37" t="str">
        <f>IF(最佳化斷筋點!N256="","",最佳化斷筋點!N256)</f>
        <v/>
      </c>
      <c r="AN256" s="37" t="str">
        <f>IF(最佳化斷筋點!O256="","",最佳化斷筋點!O256)</f>
        <v/>
      </c>
      <c r="AO256" s="37" t="str">
        <f>IF(最佳化斷筋點!P256="","",最佳化斷筋點!P256)</f>
        <v/>
      </c>
      <c r="AP256" s="37" t="str">
        <f>IF(最佳化斷筋點!Q256="","",最佳化斷筋點!Q256)</f>
        <v/>
      </c>
      <c r="AQ256" s="37" t="str">
        <f>IF(最佳化斷筋點!R256="","",最佳化斷筋點!R256)</f>
        <v/>
      </c>
      <c r="AR256" s="37" t="str">
        <f>IF(最佳化斷筋點!S256="","",最佳化斷筋點!S256)</f>
        <v/>
      </c>
      <c r="AS256" s="37" t="str">
        <f>IF(最佳化斷筋點!T256="","",最佳化斷筋點!T256)</f>
        <v/>
      </c>
      <c r="AT256" s="37" t="str">
        <f>IF(最佳化斷筋點!U256="","",最佳化斷筋點!U256)</f>
        <v/>
      </c>
      <c r="AU256" s="37" t="str">
        <f>IF(最佳化斷筋點!V256="","",最佳化斷筋點!V256)</f>
        <v/>
      </c>
      <c r="AV256" s="37" t="str">
        <f>IF(最佳化斷筋點!W256="","",最佳化斷筋點!W256)</f>
        <v/>
      </c>
      <c r="AW256" s="37" t="str">
        <f>IF(最佳化斷筋點!X256="","",最佳化斷筋點!X256)</f>
        <v/>
      </c>
      <c r="AZ256" s="37" t="s">
        <v>197</v>
      </c>
      <c r="BA256" s="37" t="s">
        <v>197</v>
      </c>
      <c r="BB256" s="37" t="s">
        <v>197</v>
      </c>
      <c r="BC256" s="37" t="s">
        <v>197</v>
      </c>
      <c r="BD256" s="37" t="s">
        <v>197</v>
      </c>
      <c r="BE256" s="37" t="s">
        <v>197</v>
      </c>
      <c r="BF256" s="37" t="s">
        <v>197</v>
      </c>
      <c r="BG256" s="37" t="s">
        <v>197</v>
      </c>
      <c r="BH256" s="37" t="s">
        <v>197</v>
      </c>
      <c r="BI256" s="37" t="s">
        <v>197</v>
      </c>
      <c r="BJ256" s="37" t="s">
        <v>197</v>
      </c>
      <c r="BK256" s="37" t="s">
        <v>197</v>
      </c>
      <c r="BL256" s="37" t="s">
        <v>197</v>
      </c>
      <c r="BM256" s="37" t="s">
        <v>197</v>
      </c>
      <c r="BN256" s="37" t="s">
        <v>197</v>
      </c>
      <c r="BO256" s="37" t="s">
        <v>197</v>
      </c>
      <c r="BP256" s="37" t="s">
        <v>197</v>
      </c>
      <c r="BQ256" s="37" t="s">
        <v>197</v>
      </c>
      <c r="BR256" s="37" t="s">
        <v>197</v>
      </c>
      <c r="BS256" s="37" t="s">
        <v>197</v>
      </c>
      <c r="BT256" s="37" t="s">
        <v>197</v>
      </c>
    </row>
    <row r="257" spans="5:72" x14ac:dyDescent="0.25">
      <c r="E257" s="6" t="s">
        <v>21</v>
      </c>
      <c r="F257" s="6">
        <f t="shared" si="64"/>
        <v>0</v>
      </c>
      <c r="G257" s="6">
        <f t="shared" si="65"/>
        <v>0</v>
      </c>
      <c r="H257" s="6">
        <f t="shared" si="66"/>
        <v>0</v>
      </c>
      <c r="I257" s="6">
        <f t="shared" si="67"/>
        <v>0</v>
      </c>
      <c r="J257" s="6">
        <f t="shared" si="68"/>
        <v>0</v>
      </c>
      <c r="K257" s="6">
        <f t="shared" si="69"/>
        <v>0</v>
      </c>
      <c r="L257" s="6">
        <f t="shared" si="70"/>
        <v>0</v>
      </c>
      <c r="M257" s="6">
        <f t="shared" si="71"/>
        <v>0</v>
      </c>
      <c r="N257" s="6">
        <f t="shared" si="72"/>
        <v>0</v>
      </c>
      <c r="O257" s="6">
        <f t="shared" si="73"/>
        <v>0</v>
      </c>
      <c r="P257" s="6">
        <f t="shared" si="74"/>
        <v>0</v>
      </c>
      <c r="Q257" s="6">
        <f t="shared" si="75"/>
        <v>0</v>
      </c>
      <c r="R257" s="6">
        <f t="shared" si="76"/>
        <v>0</v>
      </c>
      <c r="S257" s="6">
        <f t="shared" si="77"/>
        <v>0</v>
      </c>
      <c r="T257" s="6">
        <f t="shared" si="78"/>
        <v>0</v>
      </c>
      <c r="U257" s="6">
        <f t="shared" si="79"/>
        <v>0</v>
      </c>
      <c r="V257" s="6">
        <f t="shared" si="80"/>
        <v>0</v>
      </c>
      <c r="W257" s="6">
        <f t="shared" si="81"/>
        <v>0</v>
      </c>
      <c r="X257" s="6">
        <f t="shared" si="82"/>
        <v>0</v>
      </c>
      <c r="Y257" s="6">
        <f t="shared" si="83"/>
        <v>0</v>
      </c>
      <c r="Z257" s="6">
        <f t="shared" si="84"/>
        <v>0</v>
      </c>
      <c r="AB257" s="36" t="str">
        <f>IF(最佳化斷筋點!C257="","",最佳化斷筋點!C257)</f>
        <v>下層</v>
      </c>
      <c r="AC257" s="37">
        <f>IF(最佳化斷筋點!D257="","",最佳化斷筋點!D257)</f>
        <v>4</v>
      </c>
      <c r="AD257" s="37">
        <f>IF(最佳化斷筋點!E257="","",最佳化斷筋點!E257)</f>
        <v>4</v>
      </c>
      <c r="AE257" s="37">
        <f>IF(最佳化斷筋點!F257="","",最佳化斷筋點!F257)</f>
        <v>4</v>
      </c>
      <c r="AF257" s="37">
        <f>IF(最佳化斷筋點!G257="","",最佳化斷筋點!G257)</f>
        <v>4</v>
      </c>
      <c r="AG257" s="37">
        <f>IF(最佳化斷筋點!H257="","",最佳化斷筋點!H257)</f>
        <v>4</v>
      </c>
      <c r="AH257" s="37">
        <f>IF(最佳化斷筋點!I257="","",最佳化斷筋點!I257)</f>
        <v>3</v>
      </c>
      <c r="AI257" s="37">
        <f>IF(最佳化斷筋點!J257="","",最佳化斷筋點!J257)</f>
        <v>3</v>
      </c>
      <c r="AJ257" s="37">
        <f>IF(最佳化斷筋點!K257="","",最佳化斷筋點!K257)</f>
        <v>3</v>
      </c>
      <c r="AK257" s="37">
        <f>IF(最佳化斷筋點!L257="","",最佳化斷筋點!L257)</f>
        <v>3</v>
      </c>
      <c r="AL257" s="37">
        <f>IF(最佳化斷筋點!M257="","",最佳化斷筋點!M257)</f>
        <v>3</v>
      </c>
      <c r="AM257" s="37">
        <f>IF(最佳化斷筋點!N257="","",最佳化斷筋點!N257)</f>
        <v>3</v>
      </c>
      <c r="AN257" s="37">
        <f>IF(最佳化斷筋點!O257="","",最佳化斷筋點!O257)</f>
        <v>3</v>
      </c>
      <c r="AO257" s="37">
        <f>IF(最佳化斷筋點!P257="","",最佳化斷筋點!P257)</f>
        <v>3</v>
      </c>
      <c r="AP257" s="37">
        <f>IF(最佳化斷筋點!Q257="","",最佳化斷筋點!Q257)</f>
        <v>3</v>
      </c>
      <c r="AQ257" s="37">
        <f>IF(最佳化斷筋點!R257="","",最佳化斷筋點!R257)</f>
        <v>3</v>
      </c>
      <c r="AR257" s="37">
        <f>IF(最佳化斷筋點!S257="","",最佳化斷筋點!S257)</f>
        <v>4</v>
      </c>
      <c r="AS257" s="37">
        <f>IF(最佳化斷筋點!T257="","",最佳化斷筋點!T257)</f>
        <v>4</v>
      </c>
      <c r="AT257" s="37">
        <f>IF(最佳化斷筋點!U257="","",最佳化斷筋點!U257)</f>
        <v>5</v>
      </c>
      <c r="AU257" s="37">
        <f>IF(最佳化斷筋點!V257="","",最佳化斷筋點!V257)</f>
        <v>5</v>
      </c>
      <c r="AV257" s="37">
        <f>IF(最佳化斷筋點!W257="","",最佳化斷筋點!W257)</f>
        <v>5</v>
      </c>
      <c r="AW257" s="37">
        <f>IF(最佳化斷筋點!X257="","",最佳化斷筋點!X257)</f>
        <v>5</v>
      </c>
      <c r="AY257" s="6" t="s">
        <v>21</v>
      </c>
      <c r="AZ257" s="37">
        <v>4</v>
      </c>
      <c r="BA257" s="37">
        <v>4</v>
      </c>
      <c r="BB257" s="37">
        <v>4</v>
      </c>
      <c r="BC257" s="37">
        <v>4</v>
      </c>
      <c r="BD257" s="37">
        <v>4</v>
      </c>
      <c r="BE257" s="37">
        <v>3</v>
      </c>
      <c r="BF257" s="37">
        <v>3</v>
      </c>
      <c r="BG257" s="37">
        <v>3</v>
      </c>
      <c r="BH257" s="37">
        <v>3</v>
      </c>
      <c r="BI257" s="37">
        <v>3</v>
      </c>
      <c r="BJ257" s="37">
        <v>3</v>
      </c>
      <c r="BK257" s="37">
        <v>3</v>
      </c>
      <c r="BL257" s="37">
        <v>3</v>
      </c>
      <c r="BM257" s="37">
        <v>3</v>
      </c>
      <c r="BN257" s="37">
        <v>3</v>
      </c>
      <c r="BO257" s="37">
        <v>4</v>
      </c>
      <c r="BP257" s="37">
        <v>4</v>
      </c>
      <c r="BQ257" s="37">
        <v>5</v>
      </c>
      <c r="BR257" s="37">
        <v>5</v>
      </c>
      <c r="BS257" s="37">
        <v>5</v>
      </c>
      <c r="BT257" s="37">
        <v>5</v>
      </c>
    </row>
    <row r="258" spans="5:72" x14ac:dyDescent="0.25">
      <c r="F258" s="6">
        <f t="shared" si="64"/>
        <v>0</v>
      </c>
      <c r="G258" s="6">
        <f t="shared" si="65"/>
        <v>0</v>
      </c>
      <c r="H258" s="6">
        <f t="shared" si="66"/>
        <v>0</v>
      </c>
      <c r="I258" s="6">
        <f t="shared" si="67"/>
        <v>0</v>
      </c>
      <c r="J258" s="6">
        <f t="shared" si="68"/>
        <v>0</v>
      </c>
      <c r="K258" s="6">
        <f t="shared" si="69"/>
        <v>0</v>
      </c>
      <c r="L258" s="6">
        <f t="shared" si="70"/>
        <v>0</v>
      </c>
      <c r="M258" s="6">
        <f t="shared" si="71"/>
        <v>0</v>
      </c>
      <c r="N258" s="6">
        <f t="shared" si="72"/>
        <v>0</v>
      </c>
      <c r="O258" s="6">
        <f t="shared" si="73"/>
        <v>0</v>
      </c>
      <c r="P258" s="6">
        <f t="shared" si="74"/>
        <v>0</v>
      </c>
      <c r="Q258" s="6">
        <f t="shared" si="75"/>
        <v>0</v>
      </c>
      <c r="R258" s="6">
        <f t="shared" si="76"/>
        <v>0</v>
      </c>
      <c r="S258" s="6">
        <f t="shared" si="77"/>
        <v>0</v>
      </c>
      <c r="T258" s="6">
        <f t="shared" si="78"/>
        <v>0</v>
      </c>
      <c r="U258" s="6">
        <f t="shared" si="79"/>
        <v>0</v>
      </c>
      <c r="V258" s="6">
        <f t="shared" si="80"/>
        <v>0</v>
      </c>
      <c r="W258" s="6">
        <f t="shared" si="81"/>
        <v>0</v>
      </c>
      <c r="X258" s="6">
        <f t="shared" si="82"/>
        <v>0</v>
      </c>
      <c r="Y258" s="6">
        <f t="shared" si="83"/>
        <v>0</v>
      </c>
      <c r="Z258" s="6">
        <f t="shared" si="84"/>
        <v>0</v>
      </c>
      <c r="AB258" s="36" t="str">
        <f>IF(最佳化斷筋點!C258="","",最佳化斷筋點!C258)</f>
        <v/>
      </c>
      <c r="AC258" s="37" t="str">
        <f>IF(最佳化斷筋點!D258="","",最佳化斷筋點!D258)</f>
        <v/>
      </c>
      <c r="AD258" s="37" t="str">
        <f>IF(最佳化斷筋點!E258="","",最佳化斷筋點!E258)</f>
        <v/>
      </c>
      <c r="AE258" s="37" t="str">
        <f>IF(最佳化斷筋點!F258="","",最佳化斷筋點!F258)</f>
        <v/>
      </c>
      <c r="AF258" s="37" t="str">
        <f>IF(最佳化斷筋點!G258="","",最佳化斷筋點!G258)</f>
        <v/>
      </c>
      <c r="AG258" s="37" t="str">
        <f>IF(最佳化斷筋點!H258="","",最佳化斷筋點!H258)</f>
        <v/>
      </c>
      <c r="AH258" s="37" t="str">
        <f>IF(最佳化斷筋點!I258="","",最佳化斷筋點!I258)</f>
        <v/>
      </c>
      <c r="AI258" s="37" t="str">
        <f>IF(最佳化斷筋點!J258="","",最佳化斷筋點!J258)</f>
        <v/>
      </c>
      <c r="AJ258" s="37" t="str">
        <f>IF(最佳化斷筋點!K258="","",最佳化斷筋點!K258)</f>
        <v/>
      </c>
      <c r="AK258" s="37" t="str">
        <f>IF(最佳化斷筋點!L258="","",最佳化斷筋點!L258)</f>
        <v/>
      </c>
      <c r="AL258" s="37" t="str">
        <f>IF(最佳化斷筋點!M258="","",最佳化斷筋點!M258)</f>
        <v/>
      </c>
      <c r="AM258" s="37" t="str">
        <f>IF(最佳化斷筋點!N258="","",最佳化斷筋點!N258)</f>
        <v/>
      </c>
      <c r="AN258" s="37" t="str">
        <f>IF(最佳化斷筋點!O258="","",最佳化斷筋點!O258)</f>
        <v/>
      </c>
      <c r="AO258" s="37" t="str">
        <f>IF(最佳化斷筋點!P258="","",最佳化斷筋點!P258)</f>
        <v/>
      </c>
      <c r="AP258" s="37" t="str">
        <f>IF(最佳化斷筋點!Q258="","",最佳化斷筋點!Q258)</f>
        <v/>
      </c>
      <c r="AQ258" s="37" t="str">
        <f>IF(最佳化斷筋點!R258="","",最佳化斷筋點!R258)</f>
        <v/>
      </c>
      <c r="AR258" s="37" t="str">
        <f>IF(最佳化斷筋點!S258="","",最佳化斷筋點!S258)</f>
        <v/>
      </c>
      <c r="AS258" s="37" t="str">
        <f>IF(最佳化斷筋點!T258="","",最佳化斷筋點!T258)</f>
        <v/>
      </c>
      <c r="AT258" s="37" t="str">
        <f>IF(最佳化斷筋點!U258="","",最佳化斷筋點!U258)</f>
        <v/>
      </c>
      <c r="AU258" s="37" t="str">
        <f>IF(最佳化斷筋點!V258="","",最佳化斷筋點!V258)</f>
        <v/>
      </c>
      <c r="AV258" s="37" t="str">
        <f>IF(最佳化斷筋點!W258="","",最佳化斷筋點!W258)</f>
        <v/>
      </c>
      <c r="AW258" s="37" t="str">
        <f>IF(最佳化斷筋點!X258="","",最佳化斷筋點!X258)</f>
        <v/>
      </c>
      <c r="AZ258" s="37" t="s">
        <v>197</v>
      </c>
      <c r="BA258" s="37" t="s">
        <v>197</v>
      </c>
      <c r="BB258" s="37" t="s">
        <v>197</v>
      </c>
      <c r="BC258" s="37" t="s">
        <v>197</v>
      </c>
      <c r="BD258" s="37" t="s">
        <v>197</v>
      </c>
      <c r="BE258" s="37" t="s">
        <v>197</v>
      </c>
      <c r="BF258" s="37" t="s">
        <v>197</v>
      </c>
      <c r="BG258" s="37" t="s">
        <v>197</v>
      </c>
      <c r="BH258" s="37" t="s">
        <v>197</v>
      </c>
      <c r="BI258" s="37" t="s">
        <v>197</v>
      </c>
      <c r="BJ258" s="37" t="s">
        <v>197</v>
      </c>
      <c r="BK258" s="37" t="s">
        <v>197</v>
      </c>
      <c r="BL258" s="37" t="s">
        <v>197</v>
      </c>
      <c r="BM258" s="37" t="s">
        <v>197</v>
      </c>
      <c r="BN258" s="37" t="s">
        <v>197</v>
      </c>
      <c r="BO258" s="37" t="s">
        <v>197</v>
      </c>
      <c r="BP258" s="37" t="s">
        <v>197</v>
      </c>
      <c r="BQ258" s="37" t="s">
        <v>197</v>
      </c>
      <c r="BR258" s="37" t="s">
        <v>197</v>
      </c>
      <c r="BS258" s="37" t="s">
        <v>197</v>
      </c>
      <c r="BT258" s="37" t="s">
        <v>197</v>
      </c>
    </row>
    <row r="259" spans="5:72" x14ac:dyDescent="0.25">
      <c r="E259" s="6" t="s">
        <v>20</v>
      </c>
      <c r="F259" s="6">
        <f t="shared" si="64"/>
        <v>0</v>
      </c>
      <c r="G259" s="6">
        <f t="shared" si="65"/>
        <v>0</v>
      </c>
      <c r="H259" s="6">
        <f t="shared" si="66"/>
        <v>0</v>
      </c>
      <c r="I259" s="6">
        <f t="shared" si="67"/>
        <v>0</v>
      </c>
      <c r="J259" s="6">
        <f t="shared" si="68"/>
        <v>0</v>
      </c>
      <c r="K259" s="6">
        <f t="shared" si="69"/>
        <v>0</v>
      </c>
      <c r="L259" s="6">
        <f t="shared" si="70"/>
        <v>0</v>
      </c>
      <c r="M259" s="6">
        <f t="shared" si="71"/>
        <v>0</v>
      </c>
      <c r="N259" s="6">
        <f t="shared" si="72"/>
        <v>0</v>
      </c>
      <c r="O259" s="6">
        <f t="shared" si="73"/>
        <v>0</v>
      </c>
      <c r="P259" s="6">
        <f t="shared" si="74"/>
        <v>0</v>
      </c>
      <c r="Q259" s="6">
        <f t="shared" si="75"/>
        <v>0</v>
      </c>
      <c r="R259" s="6">
        <f t="shared" si="76"/>
        <v>0</v>
      </c>
      <c r="S259" s="6">
        <f t="shared" si="77"/>
        <v>0</v>
      </c>
      <c r="T259" s="6">
        <f t="shared" si="78"/>
        <v>0</v>
      </c>
      <c r="U259" s="6">
        <f t="shared" si="79"/>
        <v>0</v>
      </c>
      <c r="V259" s="6">
        <f t="shared" si="80"/>
        <v>0</v>
      </c>
      <c r="W259" s="6">
        <f t="shared" si="81"/>
        <v>0</v>
      </c>
      <c r="X259" s="6">
        <f t="shared" si="82"/>
        <v>0</v>
      </c>
      <c r="Y259" s="6">
        <f t="shared" si="83"/>
        <v>0</v>
      </c>
      <c r="Z259" s="6">
        <f t="shared" si="84"/>
        <v>0</v>
      </c>
      <c r="AB259" s="36" t="str">
        <f>IF(最佳化斷筋點!C259="","",最佳化斷筋點!C259)</f>
        <v>上層</v>
      </c>
      <c r="AC259" s="37">
        <f>IF(最佳化斷筋點!D259="","",最佳化斷筋點!D259)</f>
        <v>6</v>
      </c>
      <c r="AD259" s="37">
        <f>IF(最佳化斷筋點!E259="","",最佳化斷筋點!E259)</f>
        <v>6</v>
      </c>
      <c r="AE259" s="37">
        <f>IF(最佳化斷筋點!F259="","",最佳化斷筋點!F259)</f>
        <v>6</v>
      </c>
      <c r="AF259" s="37">
        <f>IF(最佳化斷筋點!G259="","",最佳化斷筋點!G259)</f>
        <v>6</v>
      </c>
      <c r="AG259" s="37">
        <f>IF(最佳化斷筋點!H259="","",最佳化斷筋點!H259)</f>
        <v>6</v>
      </c>
      <c r="AH259" s="37">
        <f>IF(最佳化斷筋點!I259="","",最佳化斷筋點!I259)</f>
        <v>6</v>
      </c>
      <c r="AI259" s="37">
        <f>IF(最佳化斷筋點!J259="","",最佳化斷筋點!J259)</f>
        <v>5</v>
      </c>
      <c r="AJ259" s="37">
        <f>IF(最佳化斷筋點!K259="","",最佳化斷筋點!K259)</f>
        <v>3</v>
      </c>
      <c r="AK259" s="37">
        <f>IF(最佳化斷筋點!L259="","",最佳化斷筋點!L259)</f>
        <v>3</v>
      </c>
      <c r="AL259" s="37">
        <f>IF(最佳化斷筋點!M259="","",最佳化斷筋點!M259)</f>
        <v>3</v>
      </c>
      <c r="AM259" s="37">
        <f>IF(最佳化斷筋點!N259="","",最佳化斷筋點!N259)</f>
        <v>3</v>
      </c>
      <c r="AN259" s="37">
        <f>IF(最佳化斷筋點!O259="","",最佳化斷筋點!O259)</f>
        <v>3</v>
      </c>
      <c r="AO259" s="37">
        <f>IF(最佳化斷筋點!P259="","",最佳化斷筋點!P259)</f>
        <v>3</v>
      </c>
      <c r="AP259" s="37">
        <f>IF(最佳化斷筋點!Q259="","",最佳化斷筋點!Q259)</f>
        <v>6</v>
      </c>
      <c r="AQ259" s="37">
        <f>IF(最佳化斷筋點!R259="","",最佳化斷筋點!R259)</f>
        <v>6</v>
      </c>
      <c r="AR259" s="37">
        <f>IF(最佳化斷筋點!S259="","",最佳化斷筋點!S259)</f>
        <v>7</v>
      </c>
      <c r="AS259" s="37">
        <f>IF(最佳化斷筋點!T259="","",最佳化斷筋點!T259)</f>
        <v>7</v>
      </c>
      <c r="AT259" s="37">
        <f>IF(最佳化斷筋點!U259="","",最佳化斷筋點!U259)</f>
        <v>7</v>
      </c>
      <c r="AU259" s="37">
        <f>IF(最佳化斷筋點!V259="","",最佳化斷筋點!V259)</f>
        <v>7</v>
      </c>
      <c r="AV259" s="37">
        <f>IF(最佳化斷筋點!W259="","",最佳化斷筋點!W259)</f>
        <v>7</v>
      </c>
      <c r="AW259" s="37">
        <f>IF(最佳化斷筋點!X259="","",最佳化斷筋點!X259)</f>
        <v>7</v>
      </c>
      <c r="AY259" s="6" t="s">
        <v>20</v>
      </c>
      <c r="AZ259" s="37">
        <v>6</v>
      </c>
      <c r="BA259" s="37">
        <v>6</v>
      </c>
      <c r="BB259" s="37">
        <v>6</v>
      </c>
      <c r="BC259" s="37">
        <v>6</v>
      </c>
      <c r="BD259" s="37">
        <v>6</v>
      </c>
      <c r="BE259" s="37">
        <v>6</v>
      </c>
      <c r="BF259" s="37">
        <v>5</v>
      </c>
      <c r="BG259" s="37">
        <v>3</v>
      </c>
      <c r="BH259" s="37">
        <v>3</v>
      </c>
      <c r="BI259" s="37">
        <v>3</v>
      </c>
      <c r="BJ259" s="37">
        <v>3</v>
      </c>
      <c r="BK259" s="37">
        <v>3</v>
      </c>
      <c r="BL259" s="37">
        <v>3</v>
      </c>
      <c r="BM259" s="37">
        <v>6</v>
      </c>
      <c r="BN259" s="37">
        <v>6</v>
      </c>
      <c r="BO259" s="37">
        <v>7</v>
      </c>
      <c r="BP259" s="37">
        <v>7</v>
      </c>
      <c r="BQ259" s="37">
        <v>7</v>
      </c>
      <c r="BR259" s="37">
        <v>7</v>
      </c>
      <c r="BS259" s="37">
        <v>7</v>
      </c>
      <c r="BT259" s="37">
        <v>7</v>
      </c>
    </row>
    <row r="260" spans="5:72" x14ac:dyDescent="0.25">
      <c r="F260" s="6">
        <f t="shared" ref="F260:F323" si="85">IF(AC260=AZ260,0,1)</f>
        <v>0</v>
      </c>
      <c r="G260" s="6">
        <f t="shared" ref="G260:G323" si="86">IF(AD260=BA260,0,1)</f>
        <v>0</v>
      </c>
      <c r="H260" s="6">
        <f t="shared" ref="H260:H323" si="87">IF(AE260=BB260,0,1)</f>
        <v>0</v>
      </c>
      <c r="I260" s="6">
        <f t="shared" ref="I260:I323" si="88">IF(AF260=BC260,0,1)</f>
        <v>0</v>
      </c>
      <c r="J260" s="6">
        <f t="shared" ref="J260:J323" si="89">IF(AG260=BD260,0,1)</f>
        <v>0</v>
      </c>
      <c r="K260" s="6">
        <f t="shared" ref="K260:K323" si="90">IF(AH260=BE260,0,1)</f>
        <v>0</v>
      </c>
      <c r="L260" s="6">
        <f t="shared" ref="L260:L323" si="91">IF(AI260=BF260,0,1)</f>
        <v>0</v>
      </c>
      <c r="M260" s="6">
        <f t="shared" ref="M260:M323" si="92">IF(AJ260=BG260,0,1)</f>
        <v>0</v>
      </c>
      <c r="N260" s="6">
        <f t="shared" ref="N260:N323" si="93">IF(AK260=BH260,0,1)</f>
        <v>0</v>
      </c>
      <c r="O260" s="6">
        <f t="shared" ref="O260:O323" si="94">IF(AL260=BI260,0,1)</f>
        <v>0</v>
      </c>
      <c r="P260" s="6">
        <f t="shared" ref="P260:P323" si="95">IF(AM260=BJ260,0,1)</f>
        <v>0</v>
      </c>
      <c r="Q260" s="6">
        <f t="shared" ref="Q260:Q323" si="96">IF(AN260=BK260,0,1)</f>
        <v>0</v>
      </c>
      <c r="R260" s="6">
        <f t="shared" ref="R260:R323" si="97">IF(AO260=BL260,0,1)</f>
        <v>0</v>
      </c>
      <c r="S260" s="6">
        <f t="shared" ref="S260:S323" si="98">IF(AP260=BM260,0,1)</f>
        <v>0</v>
      </c>
      <c r="T260" s="6">
        <f t="shared" ref="T260:T323" si="99">IF(AQ260=BN260,0,1)</f>
        <v>0</v>
      </c>
      <c r="U260" s="6">
        <f t="shared" ref="U260:U323" si="100">IF(AR260=BO260,0,1)</f>
        <v>0</v>
      </c>
      <c r="V260" s="6">
        <f t="shared" ref="V260:V323" si="101">IF(AS260=BP260,0,1)</f>
        <v>0</v>
      </c>
      <c r="W260" s="6">
        <f t="shared" ref="W260:W323" si="102">IF(AT260=BQ260,0,1)</f>
        <v>0</v>
      </c>
      <c r="X260" s="6">
        <f t="shared" ref="X260:X323" si="103">IF(AU260=BR260,0,1)</f>
        <v>0</v>
      </c>
      <c r="Y260" s="6">
        <f t="shared" ref="Y260:Y323" si="104">IF(AV260=BS260,0,1)</f>
        <v>0</v>
      </c>
      <c r="Z260" s="6">
        <f t="shared" ref="Z260:Z323" si="105">IF(AW260=BT260,0,1)</f>
        <v>0</v>
      </c>
      <c r="AB260" s="36" t="str">
        <f>IF(最佳化斷筋點!C260="","",最佳化斷筋點!C260)</f>
        <v/>
      </c>
      <c r="AC260" s="37" t="str">
        <f>IF(最佳化斷筋點!D260="","",最佳化斷筋點!D260)</f>
        <v/>
      </c>
      <c r="AD260" s="37" t="str">
        <f>IF(最佳化斷筋點!E260="","",最佳化斷筋點!E260)</f>
        <v/>
      </c>
      <c r="AE260" s="37" t="str">
        <f>IF(最佳化斷筋點!F260="","",最佳化斷筋點!F260)</f>
        <v/>
      </c>
      <c r="AF260" s="37" t="str">
        <f>IF(最佳化斷筋點!G260="","",最佳化斷筋點!G260)</f>
        <v/>
      </c>
      <c r="AG260" s="37" t="str">
        <f>IF(最佳化斷筋點!H260="","",最佳化斷筋點!H260)</f>
        <v/>
      </c>
      <c r="AH260" s="37" t="str">
        <f>IF(最佳化斷筋點!I260="","",最佳化斷筋點!I260)</f>
        <v/>
      </c>
      <c r="AI260" s="37" t="str">
        <f>IF(最佳化斷筋點!J260="","",最佳化斷筋點!J260)</f>
        <v/>
      </c>
      <c r="AJ260" s="37" t="str">
        <f>IF(最佳化斷筋點!K260="","",最佳化斷筋點!K260)</f>
        <v/>
      </c>
      <c r="AK260" s="37" t="str">
        <f>IF(最佳化斷筋點!L260="","",最佳化斷筋點!L260)</f>
        <v/>
      </c>
      <c r="AL260" s="37" t="str">
        <f>IF(最佳化斷筋點!M260="","",最佳化斷筋點!M260)</f>
        <v/>
      </c>
      <c r="AM260" s="37" t="str">
        <f>IF(最佳化斷筋點!N260="","",最佳化斷筋點!N260)</f>
        <v/>
      </c>
      <c r="AN260" s="37" t="str">
        <f>IF(最佳化斷筋點!O260="","",最佳化斷筋點!O260)</f>
        <v/>
      </c>
      <c r="AO260" s="37" t="str">
        <f>IF(最佳化斷筋點!P260="","",最佳化斷筋點!P260)</f>
        <v/>
      </c>
      <c r="AP260" s="37" t="str">
        <f>IF(最佳化斷筋點!Q260="","",最佳化斷筋點!Q260)</f>
        <v/>
      </c>
      <c r="AQ260" s="37" t="str">
        <f>IF(最佳化斷筋點!R260="","",最佳化斷筋點!R260)</f>
        <v/>
      </c>
      <c r="AR260" s="37" t="str">
        <f>IF(最佳化斷筋點!S260="","",最佳化斷筋點!S260)</f>
        <v/>
      </c>
      <c r="AS260" s="37" t="str">
        <f>IF(最佳化斷筋點!T260="","",最佳化斷筋點!T260)</f>
        <v/>
      </c>
      <c r="AT260" s="37" t="str">
        <f>IF(最佳化斷筋點!U260="","",最佳化斷筋點!U260)</f>
        <v/>
      </c>
      <c r="AU260" s="37" t="str">
        <f>IF(最佳化斷筋點!V260="","",最佳化斷筋點!V260)</f>
        <v/>
      </c>
      <c r="AV260" s="37" t="str">
        <f>IF(最佳化斷筋點!W260="","",最佳化斷筋點!W260)</f>
        <v/>
      </c>
      <c r="AW260" s="37" t="str">
        <f>IF(最佳化斷筋點!X260="","",最佳化斷筋點!X260)</f>
        <v/>
      </c>
      <c r="AZ260" s="37" t="s">
        <v>197</v>
      </c>
      <c r="BA260" s="37" t="s">
        <v>197</v>
      </c>
      <c r="BB260" s="37" t="s">
        <v>197</v>
      </c>
      <c r="BC260" s="37" t="s">
        <v>197</v>
      </c>
      <c r="BD260" s="37" t="s">
        <v>197</v>
      </c>
      <c r="BE260" s="37" t="s">
        <v>197</v>
      </c>
      <c r="BF260" s="37" t="s">
        <v>197</v>
      </c>
      <c r="BG260" s="37" t="s">
        <v>197</v>
      </c>
      <c r="BH260" s="37" t="s">
        <v>197</v>
      </c>
      <c r="BI260" s="37" t="s">
        <v>197</v>
      </c>
      <c r="BJ260" s="37" t="s">
        <v>197</v>
      </c>
      <c r="BK260" s="37" t="s">
        <v>197</v>
      </c>
      <c r="BL260" s="37" t="s">
        <v>197</v>
      </c>
      <c r="BM260" s="37" t="s">
        <v>197</v>
      </c>
      <c r="BN260" s="37" t="s">
        <v>197</v>
      </c>
      <c r="BO260" s="37" t="s">
        <v>197</v>
      </c>
      <c r="BP260" s="37" t="s">
        <v>197</v>
      </c>
      <c r="BQ260" s="37" t="s">
        <v>197</v>
      </c>
      <c r="BR260" s="37" t="s">
        <v>197</v>
      </c>
      <c r="BS260" s="37" t="s">
        <v>197</v>
      </c>
      <c r="BT260" s="37" t="s">
        <v>197</v>
      </c>
    </row>
    <row r="261" spans="5:72" x14ac:dyDescent="0.25">
      <c r="E261" s="6" t="s">
        <v>21</v>
      </c>
      <c r="F261" s="6">
        <f t="shared" si="85"/>
        <v>0</v>
      </c>
      <c r="G261" s="6">
        <f t="shared" si="86"/>
        <v>0</v>
      </c>
      <c r="H261" s="6">
        <f t="shared" si="87"/>
        <v>0</v>
      </c>
      <c r="I261" s="6">
        <f t="shared" si="88"/>
        <v>0</v>
      </c>
      <c r="J261" s="6">
        <f t="shared" si="89"/>
        <v>0</v>
      </c>
      <c r="K261" s="6">
        <f t="shared" si="90"/>
        <v>0</v>
      </c>
      <c r="L261" s="6">
        <f t="shared" si="91"/>
        <v>0</v>
      </c>
      <c r="M261" s="6">
        <f t="shared" si="92"/>
        <v>0</v>
      </c>
      <c r="N261" s="6">
        <f t="shared" si="93"/>
        <v>0</v>
      </c>
      <c r="O261" s="6">
        <f t="shared" si="94"/>
        <v>0</v>
      </c>
      <c r="P261" s="6">
        <f t="shared" si="95"/>
        <v>0</v>
      </c>
      <c r="Q261" s="6">
        <f t="shared" si="96"/>
        <v>0</v>
      </c>
      <c r="R261" s="6">
        <f t="shared" si="97"/>
        <v>0</v>
      </c>
      <c r="S261" s="6">
        <f t="shared" si="98"/>
        <v>0</v>
      </c>
      <c r="T261" s="6">
        <f t="shared" si="99"/>
        <v>0</v>
      </c>
      <c r="U261" s="6">
        <f t="shared" si="100"/>
        <v>0</v>
      </c>
      <c r="V261" s="6">
        <f t="shared" si="101"/>
        <v>0</v>
      </c>
      <c r="W261" s="6">
        <f t="shared" si="102"/>
        <v>0</v>
      </c>
      <c r="X261" s="6">
        <f t="shared" si="103"/>
        <v>0</v>
      </c>
      <c r="Y261" s="6">
        <f t="shared" si="104"/>
        <v>0</v>
      </c>
      <c r="Z261" s="6">
        <f t="shared" si="105"/>
        <v>0</v>
      </c>
      <c r="AB261" s="36" t="str">
        <f>IF(最佳化斷筋點!C261="","",最佳化斷筋點!C261)</f>
        <v>下層</v>
      </c>
      <c r="AC261" s="37">
        <f>IF(最佳化斷筋點!D261="","",最佳化斷筋點!D261)</f>
        <v>6</v>
      </c>
      <c r="AD261" s="37">
        <f>IF(最佳化斷筋點!E261="","",最佳化斷筋點!E261)</f>
        <v>6</v>
      </c>
      <c r="AE261" s="37">
        <f>IF(最佳化斷筋點!F261="","",最佳化斷筋點!F261)</f>
        <v>6</v>
      </c>
      <c r="AF261" s="37">
        <f>IF(最佳化斷筋點!G261="","",最佳化斷筋點!G261)</f>
        <v>6</v>
      </c>
      <c r="AG261" s="37">
        <f>IF(最佳化斷筋點!H261="","",最佳化斷筋點!H261)</f>
        <v>6</v>
      </c>
      <c r="AH261" s="37">
        <f>IF(最佳化斷筋點!I261="","",最佳化斷筋點!I261)</f>
        <v>6</v>
      </c>
      <c r="AI261" s="37">
        <f>IF(最佳化斷筋點!J261="","",最佳化斷筋點!J261)</f>
        <v>5</v>
      </c>
      <c r="AJ261" s="37">
        <f>IF(最佳化斷筋點!K261="","",最佳化斷筋點!K261)</f>
        <v>3</v>
      </c>
      <c r="AK261" s="37">
        <f>IF(最佳化斷筋點!L261="","",最佳化斷筋點!L261)</f>
        <v>3</v>
      </c>
      <c r="AL261" s="37">
        <f>IF(最佳化斷筋點!M261="","",最佳化斷筋點!M261)</f>
        <v>3</v>
      </c>
      <c r="AM261" s="37">
        <f>IF(最佳化斷筋點!N261="","",最佳化斷筋點!N261)</f>
        <v>3</v>
      </c>
      <c r="AN261" s="37">
        <f>IF(最佳化斷筋點!O261="","",最佳化斷筋點!O261)</f>
        <v>3</v>
      </c>
      <c r="AO261" s="37">
        <f>IF(最佳化斷筋點!P261="","",最佳化斷筋點!P261)</f>
        <v>3</v>
      </c>
      <c r="AP261" s="37">
        <f>IF(最佳化斷筋點!Q261="","",最佳化斷筋點!Q261)</f>
        <v>3</v>
      </c>
      <c r="AQ261" s="37">
        <f>IF(最佳化斷筋點!R261="","",最佳化斷筋點!R261)</f>
        <v>3</v>
      </c>
      <c r="AR261" s="37">
        <f>IF(最佳化斷筋點!S261="","",最佳化斷筋點!S261)</f>
        <v>3</v>
      </c>
      <c r="AS261" s="37">
        <f>IF(最佳化斷筋點!T261="","",最佳化斷筋點!T261)</f>
        <v>4</v>
      </c>
      <c r="AT261" s="37">
        <f>IF(最佳化斷筋點!U261="","",最佳化斷筋點!U261)</f>
        <v>4</v>
      </c>
      <c r="AU261" s="37">
        <f>IF(最佳化斷筋點!V261="","",最佳化斷筋點!V261)</f>
        <v>4</v>
      </c>
      <c r="AV261" s="37">
        <f>IF(最佳化斷筋點!W261="","",最佳化斷筋點!W261)</f>
        <v>4</v>
      </c>
      <c r="AW261" s="37">
        <f>IF(最佳化斷筋點!X261="","",最佳化斷筋點!X261)</f>
        <v>4</v>
      </c>
      <c r="AY261" s="6" t="s">
        <v>21</v>
      </c>
      <c r="AZ261" s="37">
        <v>6</v>
      </c>
      <c r="BA261" s="37">
        <v>6</v>
      </c>
      <c r="BB261" s="37">
        <v>6</v>
      </c>
      <c r="BC261" s="37">
        <v>6</v>
      </c>
      <c r="BD261" s="37">
        <v>6</v>
      </c>
      <c r="BE261" s="37">
        <v>6</v>
      </c>
      <c r="BF261" s="37">
        <v>5</v>
      </c>
      <c r="BG261" s="37">
        <v>3</v>
      </c>
      <c r="BH261" s="37">
        <v>3</v>
      </c>
      <c r="BI261" s="37">
        <v>3</v>
      </c>
      <c r="BJ261" s="37">
        <v>3</v>
      </c>
      <c r="BK261" s="37">
        <v>3</v>
      </c>
      <c r="BL261" s="37">
        <v>3</v>
      </c>
      <c r="BM261" s="37">
        <v>3</v>
      </c>
      <c r="BN261" s="37">
        <v>3</v>
      </c>
      <c r="BO261" s="37">
        <v>3</v>
      </c>
      <c r="BP261" s="37">
        <v>4</v>
      </c>
      <c r="BQ261" s="37">
        <v>4</v>
      </c>
      <c r="BR261" s="37">
        <v>4</v>
      </c>
      <c r="BS261" s="37">
        <v>4</v>
      </c>
      <c r="BT261" s="37">
        <v>4</v>
      </c>
    </row>
    <row r="262" spans="5:72" x14ac:dyDescent="0.25">
      <c r="F262" s="6">
        <f t="shared" si="85"/>
        <v>0</v>
      </c>
      <c r="G262" s="6">
        <f t="shared" si="86"/>
        <v>0</v>
      </c>
      <c r="H262" s="6">
        <f t="shared" si="87"/>
        <v>0</v>
      </c>
      <c r="I262" s="6">
        <f t="shared" si="88"/>
        <v>0</v>
      </c>
      <c r="J262" s="6">
        <f t="shared" si="89"/>
        <v>0</v>
      </c>
      <c r="K262" s="6">
        <f t="shared" si="90"/>
        <v>0</v>
      </c>
      <c r="L262" s="6">
        <f t="shared" si="91"/>
        <v>0</v>
      </c>
      <c r="M262" s="6">
        <f t="shared" si="92"/>
        <v>0</v>
      </c>
      <c r="N262" s="6">
        <f t="shared" si="93"/>
        <v>0</v>
      </c>
      <c r="O262" s="6">
        <f t="shared" si="94"/>
        <v>0</v>
      </c>
      <c r="P262" s="6">
        <f t="shared" si="95"/>
        <v>0</v>
      </c>
      <c r="Q262" s="6">
        <f t="shared" si="96"/>
        <v>0</v>
      </c>
      <c r="R262" s="6">
        <f t="shared" si="97"/>
        <v>0</v>
      </c>
      <c r="S262" s="6">
        <f t="shared" si="98"/>
        <v>0</v>
      </c>
      <c r="T262" s="6">
        <f t="shared" si="99"/>
        <v>0</v>
      </c>
      <c r="U262" s="6">
        <f t="shared" si="100"/>
        <v>0</v>
      </c>
      <c r="V262" s="6">
        <f t="shared" si="101"/>
        <v>0</v>
      </c>
      <c r="W262" s="6">
        <f t="shared" si="102"/>
        <v>0</v>
      </c>
      <c r="X262" s="6">
        <f t="shared" si="103"/>
        <v>0</v>
      </c>
      <c r="Y262" s="6">
        <f t="shared" si="104"/>
        <v>0</v>
      </c>
      <c r="Z262" s="6">
        <f t="shared" si="105"/>
        <v>0</v>
      </c>
      <c r="AB262" s="36" t="str">
        <f>IF(最佳化斷筋點!C262="","",最佳化斷筋點!C262)</f>
        <v/>
      </c>
      <c r="AC262" s="37" t="str">
        <f>IF(最佳化斷筋點!D262="","",最佳化斷筋點!D262)</f>
        <v/>
      </c>
      <c r="AD262" s="37" t="str">
        <f>IF(最佳化斷筋點!E262="","",最佳化斷筋點!E262)</f>
        <v/>
      </c>
      <c r="AE262" s="37" t="str">
        <f>IF(最佳化斷筋點!F262="","",最佳化斷筋點!F262)</f>
        <v/>
      </c>
      <c r="AF262" s="37" t="str">
        <f>IF(最佳化斷筋點!G262="","",最佳化斷筋點!G262)</f>
        <v/>
      </c>
      <c r="AG262" s="37" t="str">
        <f>IF(最佳化斷筋點!H262="","",最佳化斷筋點!H262)</f>
        <v/>
      </c>
      <c r="AH262" s="37" t="str">
        <f>IF(最佳化斷筋點!I262="","",最佳化斷筋點!I262)</f>
        <v/>
      </c>
      <c r="AI262" s="37" t="str">
        <f>IF(最佳化斷筋點!J262="","",最佳化斷筋點!J262)</f>
        <v/>
      </c>
      <c r="AJ262" s="37" t="str">
        <f>IF(最佳化斷筋點!K262="","",最佳化斷筋點!K262)</f>
        <v/>
      </c>
      <c r="AK262" s="37" t="str">
        <f>IF(最佳化斷筋點!L262="","",最佳化斷筋點!L262)</f>
        <v/>
      </c>
      <c r="AL262" s="37" t="str">
        <f>IF(最佳化斷筋點!M262="","",最佳化斷筋點!M262)</f>
        <v/>
      </c>
      <c r="AM262" s="37" t="str">
        <f>IF(最佳化斷筋點!N262="","",最佳化斷筋點!N262)</f>
        <v/>
      </c>
      <c r="AN262" s="37" t="str">
        <f>IF(最佳化斷筋點!O262="","",最佳化斷筋點!O262)</f>
        <v/>
      </c>
      <c r="AO262" s="37" t="str">
        <f>IF(最佳化斷筋點!P262="","",最佳化斷筋點!P262)</f>
        <v/>
      </c>
      <c r="AP262" s="37" t="str">
        <f>IF(最佳化斷筋點!Q262="","",最佳化斷筋點!Q262)</f>
        <v/>
      </c>
      <c r="AQ262" s="37" t="str">
        <f>IF(最佳化斷筋點!R262="","",最佳化斷筋點!R262)</f>
        <v/>
      </c>
      <c r="AR262" s="37" t="str">
        <f>IF(最佳化斷筋點!S262="","",最佳化斷筋點!S262)</f>
        <v/>
      </c>
      <c r="AS262" s="37" t="str">
        <f>IF(最佳化斷筋點!T262="","",最佳化斷筋點!T262)</f>
        <v/>
      </c>
      <c r="AT262" s="37" t="str">
        <f>IF(最佳化斷筋點!U262="","",最佳化斷筋點!U262)</f>
        <v/>
      </c>
      <c r="AU262" s="37" t="str">
        <f>IF(最佳化斷筋點!V262="","",最佳化斷筋點!V262)</f>
        <v/>
      </c>
      <c r="AV262" s="37" t="str">
        <f>IF(最佳化斷筋點!W262="","",最佳化斷筋點!W262)</f>
        <v/>
      </c>
      <c r="AW262" s="37" t="str">
        <f>IF(最佳化斷筋點!X262="","",最佳化斷筋點!X262)</f>
        <v/>
      </c>
      <c r="AZ262" s="37" t="s">
        <v>197</v>
      </c>
      <c r="BA262" s="37" t="s">
        <v>197</v>
      </c>
      <c r="BB262" s="37" t="s">
        <v>197</v>
      </c>
      <c r="BC262" s="37" t="s">
        <v>197</v>
      </c>
      <c r="BD262" s="37" t="s">
        <v>197</v>
      </c>
      <c r="BE262" s="37" t="s">
        <v>197</v>
      </c>
      <c r="BF262" s="37" t="s">
        <v>197</v>
      </c>
      <c r="BG262" s="37" t="s">
        <v>197</v>
      </c>
      <c r="BH262" s="37" t="s">
        <v>197</v>
      </c>
      <c r="BI262" s="37" t="s">
        <v>197</v>
      </c>
      <c r="BJ262" s="37" t="s">
        <v>197</v>
      </c>
      <c r="BK262" s="37" t="s">
        <v>197</v>
      </c>
      <c r="BL262" s="37" t="s">
        <v>197</v>
      </c>
      <c r="BM262" s="37" t="s">
        <v>197</v>
      </c>
      <c r="BN262" s="37" t="s">
        <v>197</v>
      </c>
      <c r="BO262" s="37" t="s">
        <v>197</v>
      </c>
      <c r="BP262" s="37" t="s">
        <v>197</v>
      </c>
      <c r="BQ262" s="37" t="s">
        <v>197</v>
      </c>
      <c r="BR262" s="37" t="s">
        <v>197</v>
      </c>
      <c r="BS262" s="37" t="s">
        <v>197</v>
      </c>
      <c r="BT262" s="37" t="s">
        <v>197</v>
      </c>
    </row>
    <row r="263" spans="5:72" x14ac:dyDescent="0.25">
      <c r="E263" s="6" t="s">
        <v>20</v>
      </c>
      <c r="F263" s="6">
        <f t="shared" si="85"/>
        <v>0</v>
      </c>
      <c r="G263" s="6">
        <f t="shared" si="86"/>
        <v>0</v>
      </c>
      <c r="H263" s="6">
        <f t="shared" si="87"/>
        <v>0</v>
      </c>
      <c r="I263" s="6">
        <f t="shared" si="88"/>
        <v>0</v>
      </c>
      <c r="J263" s="6">
        <f t="shared" si="89"/>
        <v>0</v>
      </c>
      <c r="K263" s="6">
        <f t="shared" si="90"/>
        <v>0</v>
      </c>
      <c r="L263" s="6">
        <f t="shared" si="91"/>
        <v>0</v>
      </c>
      <c r="M263" s="6">
        <f t="shared" si="92"/>
        <v>0</v>
      </c>
      <c r="N263" s="6">
        <f t="shared" si="93"/>
        <v>0</v>
      </c>
      <c r="O263" s="6">
        <f t="shared" si="94"/>
        <v>0</v>
      </c>
      <c r="P263" s="6">
        <f t="shared" si="95"/>
        <v>0</v>
      </c>
      <c r="Q263" s="6">
        <f t="shared" si="96"/>
        <v>0</v>
      </c>
      <c r="R263" s="6">
        <f t="shared" si="97"/>
        <v>0</v>
      </c>
      <c r="S263" s="6">
        <f t="shared" si="98"/>
        <v>0</v>
      </c>
      <c r="T263" s="6">
        <f t="shared" si="99"/>
        <v>0</v>
      </c>
      <c r="U263" s="6">
        <f t="shared" si="100"/>
        <v>0</v>
      </c>
      <c r="V263" s="6">
        <f t="shared" si="101"/>
        <v>0</v>
      </c>
      <c r="W263" s="6">
        <f t="shared" si="102"/>
        <v>0</v>
      </c>
      <c r="X263" s="6">
        <f t="shared" si="103"/>
        <v>0</v>
      </c>
      <c r="Y263" s="6">
        <f t="shared" si="104"/>
        <v>0</v>
      </c>
      <c r="Z263" s="6">
        <f t="shared" si="105"/>
        <v>0</v>
      </c>
      <c r="AB263" s="36" t="str">
        <f>IF(最佳化斷筋點!C263="","",最佳化斷筋點!C263)</f>
        <v>上層</v>
      </c>
      <c r="AC263" s="37">
        <f>IF(最佳化斷筋點!D263="","",最佳化斷筋點!D263)</f>
        <v>5</v>
      </c>
      <c r="AD263" s="37">
        <f>IF(最佳化斷筋點!E263="","",最佳化斷筋點!E263)</f>
        <v>5</v>
      </c>
      <c r="AE263" s="37">
        <f>IF(最佳化斷筋點!F263="","",最佳化斷筋點!F263)</f>
        <v>5</v>
      </c>
      <c r="AF263" s="37">
        <f>IF(最佳化斷筋點!G263="","",最佳化斷筋點!G263)</f>
        <v>5</v>
      </c>
      <c r="AG263" s="37">
        <f>IF(最佳化斷筋點!H263="","",最佳化斷筋點!H263)</f>
        <v>5</v>
      </c>
      <c r="AH263" s="37">
        <f>IF(最佳化斷筋點!I263="","",最佳化斷筋點!I263)</f>
        <v>5</v>
      </c>
      <c r="AI263" s="37">
        <f>IF(最佳化斷筋點!J263="","",最佳化斷筋點!J263)</f>
        <v>5</v>
      </c>
      <c r="AJ263" s="37">
        <f>IF(最佳化斷筋點!K263="","",最佳化斷筋點!K263)</f>
        <v>3</v>
      </c>
      <c r="AK263" s="37">
        <f>IF(最佳化斷筋點!L263="","",最佳化斷筋點!L263)</f>
        <v>3</v>
      </c>
      <c r="AL263" s="37">
        <f>IF(最佳化斷筋點!M263="","",最佳化斷筋點!M263)</f>
        <v>3</v>
      </c>
      <c r="AM263" s="37">
        <f>IF(最佳化斷筋點!N263="","",最佳化斷筋點!N263)</f>
        <v>3</v>
      </c>
      <c r="AN263" s="37">
        <f>IF(最佳化斷筋點!O263="","",最佳化斷筋點!O263)</f>
        <v>3</v>
      </c>
      <c r="AO263" s="37">
        <f>IF(最佳化斷筋點!P263="","",最佳化斷筋點!P263)</f>
        <v>3</v>
      </c>
      <c r="AP263" s="37">
        <f>IF(最佳化斷筋點!Q263="","",最佳化斷筋點!Q263)</f>
        <v>5</v>
      </c>
      <c r="AQ263" s="37">
        <f>IF(最佳化斷筋點!R263="","",最佳化斷筋點!R263)</f>
        <v>6</v>
      </c>
      <c r="AR263" s="37">
        <f>IF(最佳化斷筋點!S263="","",最佳化斷筋點!S263)</f>
        <v>6</v>
      </c>
      <c r="AS263" s="37">
        <f>IF(最佳化斷筋點!T263="","",最佳化斷筋點!T263)</f>
        <v>7</v>
      </c>
      <c r="AT263" s="37">
        <f>IF(最佳化斷筋點!U263="","",最佳化斷筋點!U263)</f>
        <v>7</v>
      </c>
      <c r="AU263" s="37">
        <f>IF(最佳化斷筋點!V263="","",最佳化斷筋點!V263)</f>
        <v>7</v>
      </c>
      <c r="AV263" s="37">
        <f>IF(最佳化斷筋點!W263="","",最佳化斷筋點!W263)</f>
        <v>7</v>
      </c>
      <c r="AW263" s="37">
        <f>IF(最佳化斷筋點!X263="","",最佳化斷筋點!X263)</f>
        <v>7</v>
      </c>
      <c r="AY263" s="6" t="s">
        <v>20</v>
      </c>
      <c r="AZ263" s="37">
        <v>5</v>
      </c>
      <c r="BA263" s="37">
        <v>5</v>
      </c>
      <c r="BB263" s="37">
        <v>5</v>
      </c>
      <c r="BC263" s="37">
        <v>5</v>
      </c>
      <c r="BD263" s="37">
        <v>5</v>
      </c>
      <c r="BE263" s="37">
        <v>5</v>
      </c>
      <c r="BF263" s="37">
        <v>5</v>
      </c>
      <c r="BG263" s="37">
        <v>3</v>
      </c>
      <c r="BH263" s="37">
        <v>3</v>
      </c>
      <c r="BI263" s="37">
        <v>3</v>
      </c>
      <c r="BJ263" s="37">
        <v>3</v>
      </c>
      <c r="BK263" s="37">
        <v>3</v>
      </c>
      <c r="BL263" s="37">
        <v>3</v>
      </c>
      <c r="BM263" s="37">
        <v>5</v>
      </c>
      <c r="BN263" s="37">
        <v>6</v>
      </c>
      <c r="BO263" s="37">
        <v>6</v>
      </c>
      <c r="BP263" s="37">
        <v>7</v>
      </c>
      <c r="BQ263" s="37">
        <v>7</v>
      </c>
      <c r="BR263" s="37">
        <v>7</v>
      </c>
      <c r="BS263" s="37">
        <v>7</v>
      </c>
      <c r="BT263" s="37">
        <v>7</v>
      </c>
    </row>
    <row r="264" spans="5:72" x14ac:dyDescent="0.25">
      <c r="F264" s="6">
        <f t="shared" si="85"/>
        <v>0</v>
      </c>
      <c r="G264" s="6">
        <f t="shared" si="86"/>
        <v>0</v>
      </c>
      <c r="H264" s="6">
        <f t="shared" si="87"/>
        <v>0</v>
      </c>
      <c r="I264" s="6">
        <f t="shared" si="88"/>
        <v>0</v>
      </c>
      <c r="J264" s="6">
        <f t="shared" si="89"/>
        <v>0</v>
      </c>
      <c r="K264" s="6">
        <f t="shared" si="90"/>
        <v>0</v>
      </c>
      <c r="L264" s="6">
        <f t="shared" si="91"/>
        <v>0</v>
      </c>
      <c r="M264" s="6">
        <f t="shared" si="92"/>
        <v>0</v>
      </c>
      <c r="N264" s="6">
        <f t="shared" si="93"/>
        <v>0</v>
      </c>
      <c r="O264" s="6">
        <f t="shared" si="94"/>
        <v>0</v>
      </c>
      <c r="P264" s="6">
        <f t="shared" si="95"/>
        <v>0</v>
      </c>
      <c r="Q264" s="6">
        <f t="shared" si="96"/>
        <v>0</v>
      </c>
      <c r="R264" s="6">
        <f t="shared" si="97"/>
        <v>0</v>
      </c>
      <c r="S264" s="6">
        <f t="shared" si="98"/>
        <v>0</v>
      </c>
      <c r="T264" s="6">
        <f t="shared" si="99"/>
        <v>0</v>
      </c>
      <c r="U264" s="6">
        <f t="shared" si="100"/>
        <v>0</v>
      </c>
      <c r="V264" s="6">
        <f t="shared" si="101"/>
        <v>0</v>
      </c>
      <c r="W264" s="6">
        <f t="shared" si="102"/>
        <v>0</v>
      </c>
      <c r="X264" s="6">
        <f t="shared" si="103"/>
        <v>0</v>
      </c>
      <c r="Y264" s="6">
        <f t="shared" si="104"/>
        <v>0</v>
      </c>
      <c r="Z264" s="6">
        <f t="shared" si="105"/>
        <v>0</v>
      </c>
      <c r="AB264" s="36" t="str">
        <f>IF(最佳化斷筋點!C264="","",最佳化斷筋點!C264)</f>
        <v/>
      </c>
      <c r="AC264" s="37" t="str">
        <f>IF(最佳化斷筋點!D264="","",最佳化斷筋點!D264)</f>
        <v/>
      </c>
      <c r="AD264" s="37" t="str">
        <f>IF(最佳化斷筋點!E264="","",最佳化斷筋點!E264)</f>
        <v/>
      </c>
      <c r="AE264" s="37" t="str">
        <f>IF(最佳化斷筋點!F264="","",最佳化斷筋點!F264)</f>
        <v/>
      </c>
      <c r="AF264" s="37" t="str">
        <f>IF(最佳化斷筋點!G264="","",最佳化斷筋點!G264)</f>
        <v/>
      </c>
      <c r="AG264" s="37" t="str">
        <f>IF(最佳化斷筋點!H264="","",最佳化斷筋點!H264)</f>
        <v/>
      </c>
      <c r="AH264" s="37" t="str">
        <f>IF(最佳化斷筋點!I264="","",最佳化斷筋點!I264)</f>
        <v/>
      </c>
      <c r="AI264" s="37" t="str">
        <f>IF(最佳化斷筋點!J264="","",最佳化斷筋點!J264)</f>
        <v/>
      </c>
      <c r="AJ264" s="37" t="str">
        <f>IF(最佳化斷筋點!K264="","",最佳化斷筋點!K264)</f>
        <v/>
      </c>
      <c r="AK264" s="37" t="str">
        <f>IF(最佳化斷筋點!L264="","",最佳化斷筋點!L264)</f>
        <v/>
      </c>
      <c r="AL264" s="37" t="str">
        <f>IF(最佳化斷筋點!M264="","",最佳化斷筋點!M264)</f>
        <v/>
      </c>
      <c r="AM264" s="37" t="str">
        <f>IF(最佳化斷筋點!N264="","",最佳化斷筋點!N264)</f>
        <v/>
      </c>
      <c r="AN264" s="37" t="str">
        <f>IF(最佳化斷筋點!O264="","",最佳化斷筋點!O264)</f>
        <v/>
      </c>
      <c r="AO264" s="37" t="str">
        <f>IF(最佳化斷筋點!P264="","",最佳化斷筋點!P264)</f>
        <v/>
      </c>
      <c r="AP264" s="37" t="str">
        <f>IF(最佳化斷筋點!Q264="","",最佳化斷筋點!Q264)</f>
        <v/>
      </c>
      <c r="AQ264" s="37" t="str">
        <f>IF(最佳化斷筋點!R264="","",最佳化斷筋點!R264)</f>
        <v/>
      </c>
      <c r="AR264" s="37" t="str">
        <f>IF(最佳化斷筋點!S264="","",最佳化斷筋點!S264)</f>
        <v/>
      </c>
      <c r="AS264" s="37" t="str">
        <f>IF(最佳化斷筋點!T264="","",最佳化斷筋點!T264)</f>
        <v/>
      </c>
      <c r="AT264" s="37" t="str">
        <f>IF(最佳化斷筋點!U264="","",最佳化斷筋點!U264)</f>
        <v/>
      </c>
      <c r="AU264" s="37" t="str">
        <f>IF(最佳化斷筋點!V264="","",最佳化斷筋點!V264)</f>
        <v/>
      </c>
      <c r="AV264" s="37" t="str">
        <f>IF(最佳化斷筋點!W264="","",最佳化斷筋點!W264)</f>
        <v/>
      </c>
      <c r="AW264" s="37" t="str">
        <f>IF(最佳化斷筋點!X264="","",最佳化斷筋點!X264)</f>
        <v/>
      </c>
      <c r="AZ264" s="37" t="s">
        <v>197</v>
      </c>
      <c r="BA264" s="37" t="s">
        <v>197</v>
      </c>
      <c r="BB264" s="37" t="s">
        <v>197</v>
      </c>
      <c r="BC264" s="37" t="s">
        <v>197</v>
      </c>
      <c r="BD264" s="37" t="s">
        <v>197</v>
      </c>
      <c r="BE264" s="37" t="s">
        <v>197</v>
      </c>
      <c r="BF264" s="37" t="s">
        <v>197</v>
      </c>
      <c r="BG264" s="37" t="s">
        <v>197</v>
      </c>
      <c r="BH264" s="37" t="s">
        <v>197</v>
      </c>
      <c r="BI264" s="37" t="s">
        <v>197</v>
      </c>
      <c r="BJ264" s="37" t="s">
        <v>197</v>
      </c>
      <c r="BK264" s="37" t="s">
        <v>197</v>
      </c>
      <c r="BL264" s="37" t="s">
        <v>197</v>
      </c>
      <c r="BM264" s="37" t="s">
        <v>197</v>
      </c>
      <c r="BN264" s="37" t="s">
        <v>197</v>
      </c>
      <c r="BO264" s="37" t="s">
        <v>197</v>
      </c>
      <c r="BP264" s="37" t="s">
        <v>197</v>
      </c>
      <c r="BQ264" s="37" t="s">
        <v>197</v>
      </c>
      <c r="BR264" s="37" t="s">
        <v>197</v>
      </c>
      <c r="BS264" s="37" t="s">
        <v>197</v>
      </c>
      <c r="BT264" s="37" t="s">
        <v>197</v>
      </c>
    </row>
    <row r="265" spans="5:72" x14ac:dyDescent="0.25">
      <c r="E265" s="6" t="s">
        <v>21</v>
      </c>
      <c r="F265" s="6">
        <f t="shared" si="85"/>
        <v>0</v>
      </c>
      <c r="G265" s="6">
        <f t="shared" si="86"/>
        <v>0</v>
      </c>
      <c r="H265" s="6">
        <f t="shared" si="87"/>
        <v>0</v>
      </c>
      <c r="I265" s="6">
        <f t="shared" si="88"/>
        <v>0</v>
      </c>
      <c r="J265" s="6">
        <f t="shared" si="89"/>
        <v>0</v>
      </c>
      <c r="K265" s="6">
        <f t="shared" si="90"/>
        <v>0</v>
      </c>
      <c r="L265" s="6">
        <f t="shared" si="91"/>
        <v>0</v>
      </c>
      <c r="M265" s="6">
        <f t="shared" si="92"/>
        <v>0</v>
      </c>
      <c r="N265" s="6">
        <f t="shared" si="93"/>
        <v>0</v>
      </c>
      <c r="O265" s="6">
        <f t="shared" si="94"/>
        <v>0</v>
      </c>
      <c r="P265" s="6">
        <f t="shared" si="95"/>
        <v>0</v>
      </c>
      <c r="Q265" s="6">
        <f t="shared" si="96"/>
        <v>0</v>
      </c>
      <c r="R265" s="6">
        <f t="shared" si="97"/>
        <v>0</v>
      </c>
      <c r="S265" s="6">
        <f t="shared" si="98"/>
        <v>0</v>
      </c>
      <c r="T265" s="6">
        <f t="shared" si="99"/>
        <v>0</v>
      </c>
      <c r="U265" s="6">
        <f t="shared" si="100"/>
        <v>0</v>
      </c>
      <c r="V265" s="6">
        <f t="shared" si="101"/>
        <v>0</v>
      </c>
      <c r="W265" s="6">
        <f t="shared" si="102"/>
        <v>0</v>
      </c>
      <c r="X265" s="6">
        <f t="shared" si="103"/>
        <v>0</v>
      </c>
      <c r="Y265" s="6">
        <f t="shared" si="104"/>
        <v>0</v>
      </c>
      <c r="Z265" s="6">
        <f t="shared" si="105"/>
        <v>0</v>
      </c>
      <c r="AB265" s="36" t="str">
        <f>IF(最佳化斷筋點!C265="","",最佳化斷筋點!C265)</f>
        <v>下層</v>
      </c>
      <c r="AC265" s="37">
        <f>IF(最佳化斷筋點!D265="","",最佳化斷筋點!D265)</f>
        <v>6</v>
      </c>
      <c r="AD265" s="37">
        <f>IF(最佳化斷筋點!E265="","",最佳化斷筋點!E265)</f>
        <v>6</v>
      </c>
      <c r="AE265" s="37">
        <f>IF(最佳化斷筋點!F265="","",最佳化斷筋點!F265)</f>
        <v>6</v>
      </c>
      <c r="AF265" s="37">
        <f>IF(最佳化斷筋點!G265="","",最佳化斷筋點!G265)</f>
        <v>6</v>
      </c>
      <c r="AG265" s="37">
        <f>IF(最佳化斷筋點!H265="","",最佳化斷筋點!H265)</f>
        <v>6</v>
      </c>
      <c r="AH265" s="37">
        <f>IF(最佳化斷筋點!I265="","",最佳化斷筋點!I265)</f>
        <v>6</v>
      </c>
      <c r="AI265" s="37">
        <f>IF(最佳化斷筋點!J265="","",最佳化斷筋點!J265)</f>
        <v>5</v>
      </c>
      <c r="AJ265" s="37">
        <f>IF(最佳化斷筋點!K265="","",最佳化斷筋點!K265)</f>
        <v>2</v>
      </c>
      <c r="AK265" s="37">
        <f>IF(最佳化斷筋點!L265="","",最佳化斷筋點!L265)</f>
        <v>2</v>
      </c>
      <c r="AL265" s="37">
        <f>IF(最佳化斷筋點!M265="","",最佳化斷筋點!M265)</f>
        <v>2</v>
      </c>
      <c r="AM265" s="37">
        <f>IF(最佳化斷筋點!N265="","",最佳化斷筋點!N265)</f>
        <v>2</v>
      </c>
      <c r="AN265" s="37">
        <f>IF(最佳化斷筋點!O265="","",最佳化斷筋點!O265)</f>
        <v>2</v>
      </c>
      <c r="AO265" s="37">
        <f>IF(最佳化斷筋點!P265="","",最佳化斷筋點!P265)</f>
        <v>2</v>
      </c>
      <c r="AP265" s="37">
        <f>IF(最佳化斷筋點!Q265="","",最佳化斷筋點!Q265)</f>
        <v>3</v>
      </c>
      <c r="AQ265" s="37">
        <f>IF(最佳化斷筋點!R265="","",最佳化斷筋點!R265)</f>
        <v>3</v>
      </c>
      <c r="AR265" s="37">
        <f>IF(最佳化斷筋點!S265="","",最佳化斷筋點!S265)</f>
        <v>3</v>
      </c>
      <c r="AS265" s="37">
        <f>IF(最佳化斷筋點!T265="","",最佳化斷筋點!T265)</f>
        <v>4</v>
      </c>
      <c r="AT265" s="37">
        <f>IF(最佳化斷筋點!U265="","",最佳化斷筋點!U265)</f>
        <v>4</v>
      </c>
      <c r="AU265" s="37">
        <f>IF(最佳化斷筋點!V265="","",最佳化斷筋點!V265)</f>
        <v>4</v>
      </c>
      <c r="AV265" s="37">
        <f>IF(最佳化斷筋點!W265="","",最佳化斷筋點!W265)</f>
        <v>4</v>
      </c>
      <c r="AW265" s="37">
        <f>IF(最佳化斷筋點!X265="","",最佳化斷筋點!X265)</f>
        <v>4</v>
      </c>
      <c r="AY265" s="6" t="s">
        <v>21</v>
      </c>
      <c r="AZ265" s="37">
        <v>6</v>
      </c>
      <c r="BA265" s="37">
        <v>6</v>
      </c>
      <c r="BB265" s="37">
        <v>6</v>
      </c>
      <c r="BC265" s="37">
        <v>6</v>
      </c>
      <c r="BD265" s="37">
        <v>6</v>
      </c>
      <c r="BE265" s="37">
        <v>6</v>
      </c>
      <c r="BF265" s="37">
        <v>5</v>
      </c>
      <c r="BG265" s="37">
        <v>2</v>
      </c>
      <c r="BH265" s="37">
        <v>2</v>
      </c>
      <c r="BI265" s="37">
        <v>2</v>
      </c>
      <c r="BJ265" s="37">
        <v>2</v>
      </c>
      <c r="BK265" s="37">
        <v>2</v>
      </c>
      <c r="BL265" s="37">
        <v>2</v>
      </c>
      <c r="BM265" s="37">
        <v>3</v>
      </c>
      <c r="BN265" s="37">
        <v>3</v>
      </c>
      <c r="BO265" s="37">
        <v>3</v>
      </c>
      <c r="BP265" s="37">
        <v>4</v>
      </c>
      <c r="BQ265" s="37">
        <v>4</v>
      </c>
      <c r="BR265" s="37">
        <v>4</v>
      </c>
      <c r="BS265" s="37">
        <v>4</v>
      </c>
      <c r="BT265" s="37">
        <v>4</v>
      </c>
    </row>
    <row r="266" spans="5:72" x14ac:dyDescent="0.25">
      <c r="F266" s="6">
        <f t="shared" si="85"/>
        <v>0</v>
      </c>
      <c r="G266" s="6">
        <f t="shared" si="86"/>
        <v>0</v>
      </c>
      <c r="H266" s="6">
        <f t="shared" si="87"/>
        <v>0</v>
      </c>
      <c r="I266" s="6">
        <f t="shared" si="88"/>
        <v>0</v>
      </c>
      <c r="J266" s="6">
        <f t="shared" si="89"/>
        <v>0</v>
      </c>
      <c r="K266" s="6">
        <f t="shared" si="90"/>
        <v>0</v>
      </c>
      <c r="L266" s="6">
        <f t="shared" si="91"/>
        <v>0</v>
      </c>
      <c r="M266" s="6">
        <f t="shared" si="92"/>
        <v>0</v>
      </c>
      <c r="N266" s="6">
        <f t="shared" si="93"/>
        <v>0</v>
      </c>
      <c r="O266" s="6">
        <f t="shared" si="94"/>
        <v>0</v>
      </c>
      <c r="P266" s="6">
        <f t="shared" si="95"/>
        <v>0</v>
      </c>
      <c r="Q266" s="6">
        <f t="shared" si="96"/>
        <v>0</v>
      </c>
      <c r="R266" s="6">
        <f t="shared" si="97"/>
        <v>0</v>
      </c>
      <c r="S266" s="6">
        <f t="shared" si="98"/>
        <v>0</v>
      </c>
      <c r="T266" s="6">
        <f t="shared" si="99"/>
        <v>0</v>
      </c>
      <c r="U266" s="6">
        <f t="shared" si="100"/>
        <v>0</v>
      </c>
      <c r="V266" s="6">
        <f t="shared" si="101"/>
        <v>0</v>
      </c>
      <c r="W266" s="6">
        <f t="shared" si="102"/>
        <v>0</v>
      </c>
      <c r="X266" s="6">
        <f t="shared" si="103"/>
        <v>0</v>
      </c>
      <c r="Y266" s="6">
        <f t="shared" si="104"/>
        <v>0</v>
      </c>
      <c r="Z266" s="6">
        <f t="shared" si="105"/>
        <v>0</v>
      </c>
      <c r="AB266" s="36" t="str">
        <f>IF(最佳化斷筋點!C266="","",最佳化斷筋點!C266)</f>
        <v/>
      </c>
      <c r="AC266" s="36" t="str">
        <f>IF(最佳化斷筋點!D266="","",最佳化斷筋點!D266)</f>
        <v/>
      </c>
      <c r="AD266" s="36" t="str">
        <f>IF(最佳化斷筋點!E266="","",最佳化斷筋點!E266)</f>
        <v/>
      </c>
      <c r="AE266" s="36" t="str">
        <f>IF(最佳化斷筋點!F266="","",最佳化斷筋點!F266)</f>
        <v/>
      </c>
      <c r="AF266" s="36" t="str">
        <f>IF(最佳化斷筋點!G266="","",最佳化斷筋點!G266)</f>
        <v/>
      </c>
      <c r="AG266" s="36" t="str">
        <f>IF(最佳化斷筋點!H266="","",最佳化斷筋點!H266)</f>
        <v/>
      </c>
      <c r="AH266" s="36" t="str">
        <f>IF(最佳化斷筋點!I266="","",最佳化斷筋點!I266)</f>
        <v/>
      </c>
      <c r="AI266" s="36" t="str">
        <f>IF(最佳化斷筋點!J266="","",最佳化斷筋點!J266)</f>
        <v/>
      </c>
      <c r="AJ266" s="36" t="str">
        <f>IF(最佳化斷筋點!K266="","",最佳化斷筋點!K266)</f>
        <v/>
      </c>
      <c r="AK266" s="36" t="str">
        <f>IF(最佳化斷筋點!L266="","",最佳化斷筋點!L266)</f>
        <v/>
      </c>
      <c r="AL266" s="36" t="str">
        <f>IF(最佳化斷筋點!M266="","",最佳化斷筋點!M266)</f>
        <v/>
      </c>
      <c r="AM266" s="36" t="str">
        <f>IF(最佳化斷筋點!N266="","",最佳化斷筋點!N266)</f>
        <v/>
      </c>
      <c r="AN266" s="36" t="str">
        <f>IF(最佳化斷筋點!O266="","",最佳化斷筋點!O266)</f>
        <v/>
      </c>
      <c r="AO266" s="36" t="str">
        <f>IF(最佳化斷筋點!P266="","",最佳化斷筋點!P266)</f>
        <v/>
      </c>
      <c r="AP266" s="36" t="str">
        <f>IF(最佳化斷筋點!Q266="","",最佳化斷筋點!Q266)</f>
        <v/>
      </c>
      <c r="AQ266" s="36" t="str">
        <f>IF(最佳化斷筋點!R266="","",最佳化斷筋點!R266)</f>
        <v/>
      </c>
      <c r="AR266" s="36" t="str">
        <f>IF(最佳化斷筋點!S266="","",最佳化斷筋點!S266)</f>
        <v/>
      </c>
      <c r="AS266" s="36" t="str">
        <f>IF(最佳化斷筋點!T266="","",最佳化斷筋點!T266)</f>
        <v/>
      </c>
      <c r="AT266" s="36" t="str">
        <f>IF(最佳化斷筋點!U266="","",最佳化斷筋點!U266)</f>
        <v/>
      </c>
      <c r="AU266" s="36" t="str">
        <f>IF(最佳化斷筋點!V266="","",最佳化斷筋點!V266)</f>
        <v/>
      </c>
      <c r="AV266" s="36" t="str">
        <f>IF(最佳化斷筋點!W266="","",最佳化斷筋點!W266)</f>
        <v/>
      </c>
      <c r="AW266" s="36" t="str">
        <f>IF(最佳化斷筋點!X266="","",最佳化斷筋點!X266)</f>
        <v/>
      </c>
      <c r="AZ266" s="37" t="s">
        <v>197</v>
      </c>
      <c r="BA266" s="37" t="s">
        <v>197</v>
      </c>
      <c r="BB266" s="37" t="s">
        <v>197</v>
      </c>
      <c r="BC266" s="37" t="s">
        <v>197</v>
      </c>
      <c r="BD266" s="37" t="s">
        <v>197</v>
      </c>
      <c r="BE266" s="37" t="s">
        <v>197</v>
      </c>
      <c r="BF266" s="37" t="s">
        <v>197</v>
      </c>
      <c r="BG266" s="37" t="s">
        <v>197</v>
      </c>
      <c r="BH266" s="37" t="s">
        <v>197</v>
      </c>
      <c r="BI266" s="37" t="s">
        <v>197</v>
      </c>
      <c r="BJ266" s="37" t="s">
        <v>197</v>
      </c>
      <c r="BK266" s="37" t="s">
        <v>197</v>
      </c>
      <c r="BL266" s="37" t="s">
        <v>197</v>
      </c>
      <c r="BM266" s="37" t="s">
        <v>197</v>
      </c>
      <c r="BN266" s="37" t="s">
        <v>197</v>
      </c>
      <c r="BO266" s="37" t="s">
        <v>197</v>
      </c>
      <c r="BP266" s="37" t="s">
        <v>197</v>
      </c>
      <c r="BQ266" s="37" t="s">
        <v>197</v>
      </c>
      <c r="BR266" s="37" t="s">
        <v>197</v>
      </c>
      <c r="BS266" s="37" t="s">
        <v>197</v>
      </c>
      <c r="BT266" s="37" t="s">
        <v>197</v>
      </c>
    </row>
    <row r="267" spans="5:72" x14ac:dyDescent="0.25">
      <c r="E267" s="6" t="s">
        <v>20</v>
      </c>
      <c r="F267" s="6">
        <f t="shared" si="85"/>
        <v>0</v>
      </c>
      <c r="G267" s="6">
        <f t="shared" si="86"/>
        <v>0</v>
      </c>
      <c r="H267" s="6">
        <f t="shared" si="87"/>
        <v>0</v>
      </c>
      <c r="I267" s="6">
        <f t="shared" si="88"/>
        <v>0</v>
      </c>
      <c r="J267" s="6">
        <f t="shared" si="89"/>
        <v>0</v>
      </c>
      <c r="K267" s="6">
        <f t="shared" si="90"/>
        <v>0</v>
      </c>
      <c r="L267" s="6">
        <f t="shared" si="91"/>
        <v>0</v>
      </c>
      <c r="M267" s="6">
        <f t="shared" si="92"/>
        <v>0</v>
      </c>
      <c r="N267" s="6">
        <f t="shared" si="93"/>
        <v>0</v>
      </c>
      <c r="O267" s="6">
        <f t="shared" si="94"/>
        <v>0</v>
      </c>
      <c r="P267" s="6">
        <f t="shared" si="95"/>
        <v>0</v>
      </c>
      <c r="Q267" s="6">
        <f t="shared" si="96"/>
        <v>0</v>
      </c>
      <c r="R267" s="6">
        <f t="shared" si="97"/>
        <v>0</v>
      </c>
      <c r="S267" s="6">
        <f t="shared" si="98"/>
        <v>0</v>
      </c>
      <c r="T267" s="6">
        <f t="shared" si="99"/>
        <v>0</v>
      </c>
      <c r="U267" s="6">
        <f t="shared" si="100"/>
        <v>0</v>
      </c>
      <c r="V267" s="6">
        <f t="shared" si="101"/>
        <v>0</v>
      </c>
      <c r="W267" s="6">
        <f t="shared" si="102"/>
        <v>0</v>
      </c>
      <c r="X267" s="6">
        <f t="shared" si="103"/>
        <v>0</v>
      </c>
      <c r="Y267" s="6">
        <f t="shared" si="104"/>
        <v>0</v>
      </c>
      <c r="Z267" s="6">
        <f t="shared" si="105"/>
        <v>0</v>
      </c>
      <c r="AB267" s="36" t="str">
        <f>IF(最佳化斷筋點!C267="","",最佳化斷筋點!C267)</f>
        <v>上層</v>
      </c>
      <c r="AC267" s="37">
        <f>IF(最佳化斷筋點!D267="","",最佳化斷筋點!D267)</f>
        <v>8</v>
      </c>
      <c r="AD267" s="37">
        <f>IF(最佳化斷筋點!E267="","",最佳化斷筋點!E267)</f>
        <v>8</v>
      </c>
      <c r="AE267" s="37">
        <f>IF(最佳化斷筋點!F267="","",最佳化斷筋點!F267)</f>
        <v>8</v>
      </c>
      <c r="AF267" s="37">
        <f>IF(最佳化斷筋點!G267="","",最佳化斷筋點!G267)</f>
        <v>8</v>
      </c>
      <c r="AG267" s="37">
        <f>IF(最佳化斷筋點!H267="","",最佳化斷筋點!H267)</f>
        <v>8</v>
      </c>
      <c r="AH267" s="37">
        <f>IF(最佳化斷筋點!I267="","",最佳化斷筋點!I267)</f>
        <v>7</v>
      </c>
      <c r="AI267" s="37">
        <f>IF(最佳化斷筋點!J267="","",最佳化斷筋點!J267)</f>
        <v>6</v>
      </c>
      <c r="AJ267" s="37">
        <f>IF(最佳化斷筋點!K267="","",最佳化斷筋點!K267)</f>
        <v>3</v>
      </c>
      <c r="AK267" s="37">
        <f>IF(最佳化斷筋點!L267="","",最佳化斷筋點!L267)</f>
        <v>3</v>
      </c>
      <c r="AL267" s="37">
        <f>IF(最佳化斷筋點!M267="","",最佳化斷筋點!M267)</f>
        <v>3</v>
      </c>
      <c r="AM267" s="37">
        <f>IF(最佳化斷筋點!N267="","",最佳化斷筋點!N267)</f>
        <v>3</v>
      </c>
      <c r="AN267" s="37">
        <f>IF(最佳化斷筋點!O267="","",最佳化斷筋點!O267)</f>
        <v>3</v>
      </c>
      <c r="AO267" s="37">
        <f>IF(最佳化斷筋點!P267="","",最佳化斷筋點!P267)</f>
        <v>3</v>
      </c>
      <c r="AP267" s="37">
        <f>IF(最佳化斷筋點!Q267="","",最佳化斷筋點!Q267)</f>
        <v>5</v>
      </c>
      <c r="AQ267" s="37">
        <f>IF(最佳化斷筋點!R267="","",最佳化斷筋點!R267)</f>
        <v>6</v>
      </c>
      <c r="AR267" s="37">
        <f>IF(最佳化斷筋點!S267="","",最佳化斷筋點!S267)</f>
        <v>6</v>
      </c>
      <c r="AS267" s="37">
        <f>IF(最佳化斷筋點!T267="","",最佳化斷筋點!T267)</f>
        <v>7</v>
      </c>
      <c r="AT267" s="37">
        <f>IF(最佳化斷筋點!U267="","",最佳化斷筋點!U267)</f>
        <v>8</v>
      </c>
      <c r="AU267" s="37">
        <f>IF(最佳化斷筋點!V267="","",最佳化斷筋點!V267)</f>
        <v>8</v>
      </c>
      <c r="AV267" s="37">
        <f>IF(最佳化斷筋點!W267="","",最佳化斷筋點!W267)</f>
        <v>8</v>
      </c>
      <c r="AW267" s="37">
        <f>IF(最佳化斷筋點!X267="","",最佳化斷筋點!X267)</f>
        <v>8</v>
      </c>
      <c r="AY267" s="6" t="s">
        <v>20</v>
      </c>
      <c r="AZ267" s="37">
        <v>8</v>
      </c>
      <c r="BA267" s="37">
        <v>8</v>
      </c>
      <c r="BB267" s="37">
        <v>8</v>
      </c>
      <c r="BC267" s="37">
        <v>8</v>
      </c>
      <c r="BD267" s="37">
        <v>8</v>
      </c>
      <c r="BE267" s="37">
        <v>7</v>
      </c>
      <c r="BF267" s="37">
        <v>6</v>
      </c>
      <c r="BG267" s="37">
        <v>3</v>
      </c>
      <c r="BH267" s="37">
        <v>3</v>
      </c>
      <c r="BI267" s="37">
        <v>3</v>
      </c>
      <c r="BJ267" s="37">
        <v>3</v>
      </c>
      <c r="BK267" s="37">
        <v>3</v>
      </c>
      <c r="BL267" s="37">
        <v>3</v>
      </c>
      <c r="BM267" s="37">
        <v>5</v>
      </c>
      <c r="BN267" s="37">
        <v>6</v>
      </c>
      <c r="BO267" s="37">
        <v>6</v>
      </c>
      <c r="BP267" s="37">
        <v>7</v>
      </c>
      <c r="BQ267" s="37">
        <v>8</v>
      </c>
      <c r="BR267" s="37">
        <v>8</v>
      </c>
      <c r="BS267" s="37">
        <v>8</v>
      </c>
      <c r="BT267" s="37">
        <v>8</v>
      </c>
    </row>
    <row r="268" spans="5:72" x14ac:dyDescent="0.25">
      <c r="F268" s="6">
        <f t="shared" si="85"/>
        <v>0</v>
      </c>
      <c r="G268" s="6">
        <f t="shared" si="86"/>
        <v>0</v>
      </c>
      <c r="H268" s="6">
        <f t="shared" si="87"/>
        <v>0</v>
      </c>
      <c r="I268" s="6">
        <f t="shared" si="88"/>
        <v>0</v>
      </c>
      <c r="J268" s="6">
        <f t="shared" si="89"/>
        <v>0</v>
      </c>
      <c r="K268" s="6">
        <f t="shared" si="90"/>
        <v>0</v>
      </c>
      <c r="L268" s="6">
        <f t="shared" si="91"/>
        <v>0</v>
      </c>
      <c r="M268" s="6">
        <f t="shared" si="92"/>
        <v>0</v>
      </c>
      <c r="N268" s="6">
        <f t="shared" si="93"/>
        <v>0</v>
      </c>
      <c r="O268" s="6">
        <f t="shared" si="94"/>
        <v>0</v>
      </c>
      <c r="P268" s="6">
        <f t="shared" si="95"/>
        <v>0</v>
      </c>
      <c r="Q268" s="6">
        <f t="shared" si="96"/>
        <v>0</v>
      </c>
      <c r="R268" s="6">
        <f t="shared" si="97"/>
        <v>0</v>
      </c>
      <c r="S268" s="6">
        <f t="shared" si="98"/>
        <v>0</v>
      </c>
      <c r="T268" s="6">
        <f t="shared" si="99"/>
        <v>0</v>
      </c>
      <c r="U268" s="6">
        <f t="shared" si="100"/>
        <v>0</v>
      </c>
      <c r="V268" s="6">
        <f t="shared" si="101"/>
        <v>0</v>
      </c>
      <c r="W268" s="6">
        <f t="shared" si="102"/>
        <v>0</v>
      </c>
      <c r="X268" s="6">
        <f t="shared" si="103"/>
        <v>0</v>
      </c>
      <c r="Y268" s="6">
        <f t="shared" si="104"/>
        <v>0</v>
      </c>
      <c r="Z268" s="6">
        <f t="shared" si="105"/>
        <v>0</v>
      </c>
      <c r="AB268" s="36" t="str">
        <f>IF(最佳化斷筋點!C268="","",最佳化斷筋點!C268)</f>
        <v/>
      </c>
      <c r="AC268" s="37" t="str">
        <f>IF(最佳化斷筋點!D268="","",最佳化斷筋點!D268)</f>
        <v/>
      </c>
      <c r="AD268" s="37" t="str">
        <f>IF(最佳化斷筋點!E268="","",最佳化斷筋點!E268)</f>
        <v/>
      </c>
      <c r="AE268" s="37" t="str">
        <f>IF(最佳化斷筋點!F268="","",最佳化斷筋點!F268)</f>
        <v/>
      </c>
      <c r="AF268" s="37" t="str">
        <f>IF(最佳化斷筋點!G268="","",最佳化斷筋點!G268)</f>
        <v/>
      </c>
      <c r="AG268" s="37" t="str">
        <f>IF(最佳化斷筋點!H268="","",最佳化斷筋點!H268)</f>
        <v/>
      </c>
      <c r="AH268" s="37" t="str">
        <f>IF(最佳化斷筋點!I268="","",最佳化斷筋點!I268)</f>
        <v/>
      </c>
      <c r="AI268" s="37" t="str">
        <f>IF(最佳化斷筋點!J268="","",最佳化斷筋點!J268)</f>
        <v/>
      </c>
      <c r="AJ268" s="37" t="str">
        <f>IF(最佳化斷筋點!K268="","",最佳化斷筋點!K268)</f>
        <v/>
      </c>
      <c r="AK268" s="37" t="str">
        <f>IF(最佳化斷筋點!L268="","",最佳化斷筋點!L268)</f>
        <v/>
      </c>
      <c r="AL268" s="37" t="str">
        <f>IF(最佳化斷筋點!M268="","",最佳化斷筋點!M268)</f>
        <v/>
      </c>
      <c r="AM268" s="37" t="str">
        <f>IF(最佳化斷筋點!N268="","",最佳化斷筋點!N268)</f>
        <v/>
      </c>
      <c r="AN268" s="37" t="str">
        <f>IF(最佳化斷筋點!O268="","",最佳化斷筋點!O268)</f>
        <v/>
      </c>
      <c r="AO268" s="37" t="str">
        <f>IF(最佳化斷筋點!P268="","",最佳化斷筋點!P268)</f>
        <v/>
      </c>
      <c r="AP268" s="37" t="str">
        <f>IF(最佳化斷筋點!Q268="","",最佳化斷筋點!Q268)</f>
        <v/>
      </c>
      <c r="AQ268" s="37" t="str">
        <f>IF(最佳化斷筋點!R268="","",最佳化斷筋點!R268)</f>
        <v/>
      </c>
      <c r="AR268" s="37" t="str">
        <f>IF(最佳化斷筋點!S268="","",最佳化斷筋點!S268)</f>
        <v/>
      </c>
      <c r="AS268" s="37" t="str">
        <f>IF(最佳化斷筋點!T268="","",最佳化斷筋點!T268)</f>
        <v/>
      </c>
      <c r="AT268" s="37" t="str">
        <f>IF(最佳化斷筋點!U268="","",最佳化斷筋點!U268)</f>
        <v/>
      </c>
      <c r="AU268" s="37" t="str">
        <f>IF(最佳化斷筋點!V268="","",最佳化斷筋點!V268)</f>
        <v/>
      </c>
      <c r="AV268" s="37" t="str">
        <f>IF(最佳化斷筋點!W268="","",最佳化斷筋點!W268)</f>
        <v/>
      </c>
      <c r="AW268" s="37" t="str">
        <f>IF(最佳化斷筋點!X268="","",最佳化斷筋點!X268)</f>
        <v/>
      </c>
      <c r="AZ268" s="37" t="s">
        <v>197</v>
      </c>
      <c r="BA268" s="37" t="s">
        <v>197</v>
      </c>
      <c r="BB268" s="37" t="s">
        <v>197</v>
      </c>
      <c r="BC268" s="37" t="s">
        <v>197</v>
      </c>
      <c r="BD268" s="37" t="s">
        <v>197</v>
      </c>
      <c r="BE268" s="37" t="s">
        <v>197</v>
      </c>
      <c r="BF268" s="37" t="s">
        <v>197</v>
      </c>
      <c r="BG268" s="37" t="s">
        <v>197</v>
      </c>
      <c r="BH268" s="37" t="s">
        <v>197</v>
      </c>
      <c r="BI268" s="37" t="s">
        <v>197</v>
      </c>
      <c r="BJ268" s="37" t="s">
        <v>197</v>
      </c>
      <c r="BK268" s="37" t="s">
        <v>197</v>
      </c>
      <c r="BL268" s="37" t="s">
        <v>197</v>
      </c>
      <c r="BM268" s="37" t="s">
        <v>197</v>
      </c>
      <c r="BN268" s="37" t="s">
        <v>197</v>
      </c>
      <c r="BO268" s="37" t="s">
        <v>197</v>
      </c>
      <c r="BP268" s="37" t="s">
        <v>197</v>
      </c>
      <c r="BQ268" s="37" t="s">
        <v>197</v>
      </c>
      <c r="BR268" s="37" t="s">
        <v>197</v>
      </c>
      <c r="BS268" s="37" t="s">
        <v>197</v>
      </c>
      <c r="BT268" s="37" t="s">
        <v>197</v>
      </c>
    </row>
    <row r="269" spans="5:72" x14ac:dyDescent="0.25">
      <c r="E269" s="6" t="s">
        <v>21</v>
      </c>
      <c r="F269" s="6">
        <f t="shared" si="85"/>
        <v>0</v>
      </c>
      <c r="G269" s="6">
        <f t="shared" si="86"/>
        <v>0</v>
      </c>
      <c r="H269" s="6">
        <f t="shared" si="87"/>
        <v>0</v>
      </c>
      <c r="I269" s="6">
        <f t="shared" si="88"/>
        <v>0</v>
      </c>
      <c r="J269" s="6">
        <f t="shared" si="89"/>
        <v>0</v>
      </c>
      <c r="K269" s="6">
        <f t="shared" si="90"/>
        <v>0</v>
      </c>
      <c r="L269" s="6">
        <f t="shared" si="91"/>
        <v>0</v>
      </c>
      <c r="M269" s="6">
        <f t="shared" si="92"/>
        <v>0</v>
      </c>
      <c r="N269" s="6">
        <f t="shared" si="93"/>
        <v>0</v>
      </c>
      <c r="O269" s="6">
        <f t="shared" si="94"/>
        <v>0</v>
      </c>
      <c r="P269" s="6">
        <f t="shared" si="95"/>
        <v>0</v>
      </c>
      <c r="Q269" s="6">
        <f t="shared" si="96"/>
        <v>0</v>
      </c>
      <c r="R269" s="6">
        <f t="shared" si="97"/>
        <v>0</v>
      </c>
      <c r="S269" s="6">
        <f t="shared" si="98"/>
        <v>0</v>
      </c>
      <c r="T269" s="6">
        <f t="shared" si="99"/>
        <v>0</v>
      </c>
      <c r="U269" s="6">
        <f t="shared" si="100"/>
        <v>0</v>
      </c>
      <c r="V269" s="6">
        <f t="shared" si="101"/>
        <v>0</v>
      </c>
      <c r="W269" s="6">
        <f t="shared" si="102"/>
        <v>0</v>
      </c>
      <c r="X269" s="6">
        <f t="shared" si="103"/>
        <v>0</v>
      </c>
      <c r="Y269" s="6">
        <f t="shared" si="104"/>
        <v>0</v>
      </c>
      <c r="Z269" s="6">
        <f t="shared" si="105"/>
        <v>0</v>
      </c>
      <c r="AB269" s="36" t="str">
        <f>IF(最佳化斷筋點!C269="","",最佳化斷筋點!C269)</f>
        <v>下層</v>
      </c>
      <c r="AC269" s="37">
        <f>IF(最佳化斷筋點!D269="","",最佳化斷筋點!D269)</f>
        <v>4</v>
      </c>
      <c r="AD269" s="37">
        <f>IF(最佳化斷筋點!E269="","",最佳化斷筋點!E269)</f>
        <v>4</v>
      </c>
      <c r="AE269" s="37">
        <f>IF(最佳化斷筋點!F269="","",最佳化斷筋點!F269)</f>
        <v>4</v>
      </c>
      <c r="AF269" s="37">
        <f>IF(最佳化斷筋點!G269="","",最佳化斷筋點!G269)</f>
        <v>4</v>
      </c>
      <c r="AG269" s="37">
        <f>IF(最佳化斷筋點!H269="","",最佳化斷筋點!H269)</f>
        <v>4</v>
      </c>
      <c r="AH269" s="37">
        <f>IF(最佳化斷筋點!I269="","",最佳化斷筋點!I269)</f>
        <v>3</v>
      </c>
      <c r="AI269" s="37">
        <f>IF(最佳化斷筋點!J269="","",最佳化斷筋點!J269)</f>
        <v>3</v>
      </c>
      <c r="AJ269" s="37">
        <f>IF(最佳化斷筋點!K269="","",最佳化斷筋點!K269)</f>
        <v>3</v>
      </c>
      <c r="AK269" s="37">
        <f>IF(最佳化斷筋點!L269="","",最佳化斷筋點!L269)</f>
        <v>3</v>
      </c>
      <c r="AL269" s="37">
        <f>IF(最佳化斷筋點!M269="","",最佳化斷筋點!M269)</f>
        <v>3</v>
      </c>
      <c r="AM269" s="37">
        <f>IF(最佳化斷筋點!N269="","",最佳化斷筋點!N269)</f>
        <v>3</v>
      </c>
      <c r="AN269" s="37">
        <f>IF(最佳化斷筋點!O269="","",最佳化斷筋點!O269)</f>
        <v>3</v>
      </c>
      <c r="AO269" s="37">
        <f>IF(最佳化斷筋點!P269="","",最佳化斷筋點!P269)</f>
        <v>3</v>
      </c>
      <c r="AP269" s="37">
        <f>IF(最佳化斷筋點!Q269="","",最佳化斷筋點!Q269)</f>
        <v>3</v>
      </c>
      <c r="AQ269" s="37">
        <f>IF(最佳化斷筋點!R269="","",最佳化斷筋點!R269)</f>
        <v>3</v>
      </c>
      <c r="AR269" s="37">
        <f>IF(最佳化斷筋點!S269="","",最佳化斷筋點!S269)</f>
        <v>4</v>
      </c>
      <c r="AS269" s="37">
        <f>IF(最佳化斷筋點!T269="","",最佳化斷筋點!T269)</f>
        <v>4</v>
      </c>
      <c r="AT269" s="37">
        <f>IF(最佳化斷筋點!U269="","",最佳化斷筋點!U269)</f>
        <v>5</v>
      </c>
      <c r="AU269" s="37">
        <f>IF(最佳化斷筋點!V269="","",最佳化斷筋點!V269)</f>
        <v>5</v>
      </c>
      <c r="AV269" s="37">
        <f>IF(最佳化斷筋點!W269="","",最佳化斷筋點!W269)</f>
        <v>5</v>
      </c>
      <c r="AW269" s="37">
        <f>IF(最佳化斷筋點!X269="","",最佳化斷筋點!X269)</f>
        <v>5</v>
      </c>
      <c r="AY269" s="6" t="s">
        <v>21</v>
      </c>
      <c r="AZ269" s="37">
        <v>4</v>
      </c>
      <c r="BA269" s="37">
        <v>4</v>
      </c>
      <c r="BB269" s="37">
        <v>4</v>
      </c>
      <c r="BC269" s="37">
        <v>4</v>
      </c>
      <c r="BD269" s="37">
        <v>4</v>
      </c>
      <c r="BE269" s="37">
        <v>3</v>
      </c>
      <c r="BF269" s="37">
        <v>3</v>
      </c>
      <c r="BG269" s="37">
        <v>3</v>
      </c>
      <c r="BH269" s="37">
        <v>3</v>
      </c>
      <c r="BI269" s="37">
        <v>3</v>
      </c>
      <c r="BJ269" s="37">
        <v>3</v>
      </c>
      <c r="BK269" s="37">
        <v>3</v>
      </c>
      <c r="BL269" s="37">
        <v>3</v>
      </c>
      <c r="BM269" s="37">
        <v>3</v>
      </c>
      <c r="BN269" s="37">
        <v>3</v>
      </c>
      <c r="BO269" s="37">
        <v>4</v>
      </c>
      <c r="BP269" s="37">
        <v>4</v>
      </c>
      <c r="BQ269" s="37">
        <v>5</v>
      </c>
      <c r="BR269" s="37">
        <v>5</v>
      </c>
      <c r="BS269" s="37">
        <v>5</v>
      </c>
      <c r="BT269" s="37">
        <v>5</v>
      </c>
    </row>
    <row r="270" spans="5:72" x14ac:dyDescent="0.25">
      <c r="F270" s="6">
        <f t="shared" si="85"/>
        <v>0</v>
      </c>
      <c r="G270" s="6">
        <f t="shared" si="86"/>
        <v>0</v>
      </c>
      <c r="H270" s="6">
        <f t="shared" si="87"/>
        <v>0</v>
      </c>
      <c r="I270" s="6">
        <f t="shared" si="88"/>
        <v>0</v>
      </c>
      <c r="J270" s="6">
        <f t="shared" si="89"/>
        <v>0</v>
      </c>
      <c r="K270" s="6">
        <f t="shared" si="90"/>
        <v>0</v>
      </c>
      <c r="L270" s="6">
        <f t="shared" si="91"/>
        <v>0</v>
      </c>
      <c r="M270" s="6">
        <f t="shared" si="92"/>
        <v>0</v>
      </c>
      <c r="N270" s="6">
        <f t="shared" si="93"/>
        <v>0</v>
      </c>
      <c r="O270" s="6">
        <f t="shared" si="94"/>
        <v>0</v>
      </c>
      <c r="P270" s="6">
        <f t="shared" si="95"/>
        <v>0</v>
      </c>
      <c r="Q270" s="6">
        <f t="shared" si="96"/>
        <v>0</v>
      </c>
      <c r="R270" s="6">
        <f t="shared" si="97"/>
        <v>0</v>
      </c>
      <c r="S270" s="6">
        <f t="shared" si="98"/>
        <v>0</v>
      </c>
      <c r="T270" s="6">
        <f t="shared" si="99"/>
        <v>0</v>
      </c>
      <c r="U270" s="6">
        <f t="shared" si="100"/>
        <v>0</v>
      </c>
      <c r="V270" s="6">
        <f t="shared" si="101"/>
        <v>0</v>
      </c>
      <c r="W270" s="6">
        <f t="shared" si="102"/>
        <v>0</v>
      </c>
      <c r="X270" s="6">
        <f t="shared" si="103"/>
        <v>0</v>
      </c>
      <c r="Y270" s="6">
        <f t="shared" si="104"/>
        <v>0</v>
      </c>
      <c r="Z270" s="6">
        <f t="shared" si="105"/>
        <v>0</v>
      </c>
      <c r="AB270" s="36" t="str">
        <f>IF(最佳化斷筋點!C270="","",最佳化斷筋點!C270)</f>
        <v/>
      </c>
      <c r="AC270" s="37" t="str">
        <f>IF(最佳化斷筋點!D270="","",最佳化斷筋點!D270)</f>
        <v/>
      </c>
      <c r="AD270" s="37" t="str">
        <f>IF(最佳化斷筋點!E270="","",最佳化斷筋點!E270)</f>
        <v/>
      </c>
      <c r="AE270" s="37" t="str">
        <f>IF(最佳化斷筋點!F270="","",最佳化斷筋點!F270)</f>
        <v/>
      </c>
      <c r="AF270" s="37" t="str">
        <f>IF(最佳化斷筋點!G270="","",最佳化斷筋點!G270)</f>
        <v/>
      </c>
      <c r="AG270" s="37" t="str">
        <f>IF(最佳化斷筋點!H270="","",最佳化斷筋點!H270)</f>
        <v/>
      </c>
      <c r="AH270" s="37" t="str">
        <f>IF(最佳化斷筋點!I270="","",最佳化斷筋點!I270)</f>
        <v/>
      </c>
      <c r="AI270" s="37" t="str">
        <f>IF(最佳化斷筋點!J270="","",最佳化斷筋點!J270)</f>
        <v/>
      </c>
      <c r="AJ270" s="37" t="str">
        <f>IF(最佳化斷筋點!K270="","",最佳化斷筋點!K270)</f>
        <v/>
      </c>
      <c r="AK270" s="37" t="str">
        <f>IF(最佳化斷筋點!L270="","",最佳化斷筋點!L270)</f>
        <v/>
      </c>
      <c r="AL270" s="37" t="str">
        <f>IF(最佳化斷筋點!M270="","",最佳化斷筋點!M270)</f>
        <v/>
      </c>
      <c r="AM270" s="37" t="str">
        <f>IF(最佳化斷筋點!N270="","",最佳化斷筋點!N270)</f>
        <v/>
      </c>
      <c r="AN270" s="37" t="str">
        <f>IF(最佳化斷筋點!O270="","",最佳化斷筋點!O270)</f>
        <v/>
      </c>
      <c r="AO270" s="37" t="str">
        <f>IF(最佳化斷筋點!P270="","",最佳化斷筋點!P270)</f>
        <v/>
      </c>
      <c r="AP270" s="37" t="str">
        <f>IF(最佳化斷筋點!Q270="","",最佳化斷筋點!Q270)</f>
        <v/>
      </c>
      <c r="AQ270" s="37" t="str">
        <f>IF(最佳化斷筋點!R270="","",最佳化斷筋點!R270)</f>
        <v/>
      </c>
      <c r="AR270" s="37" t="str">
        <f>IF(最佳化斷筋點!S270="","",最佳化斷筋點!S270)</f>
        <v/>
      </c>
      <c r="AS270" s="37" t="str">
        <f>IF(最佳化斷筋點!T270="","",最佳化斷筋點!T270)</f>
        <v/>
      </c>
      <c r="AT270" s="37" t="str">
        <f>IF(最佳化斷筋點!U270="","",最佳化斷筋點!U270)</f>
        <v/>
      </c>
      <c r="AU270" s="37" t="str">
        <f>IF(最佳化斷筋點!V270="","",最佳化斷筋點!V270)</f>
        <v/>
      </c>
      <c r="AV270" s="37" t="str">
        <f>IF(最佳化斷筋點!W270="","",最佳化斷筋點!W270)</f>
        <v/>
      </c>
      <c r="AW270" s="37" t="str">
        <f>IF(最佳化斷筋點!X270="","",最佳化斷筋點!X270)</f>
        <v/>
      </c>
      <c r="AZ270" s="37" t="s">
        <v>197</v>
      </c>
      <c r="BA270" s="37" t="s">
        <v>197</v>
      </c>
      <c r="BB270" s="37" t="s">
        <v>197</v>
      </c>
      <c r="BC270" s="37" t="s">
        <v>197</v>
      </c>
      <c r="BD270" s="37" t="s">
        <v>197</v>
      </c>
      <c r="BE270" s="37" t="s">
        <v>197</v>
      </c>
      <c r="BF270" s="37" t="s">
        <v>197</v>
      </c>
      <c r="BG270" s="37" t="s">
        <v>197</v>
      </c>
      <c r="BH270" s="37" t="s">
        <v>197</v>
      </c>
      <c r="BI270" s="37" t="s">
        <v>197</v>
      </c>
      <c r="BJ270" s="37" t="s">
        <v>197</v>
      </c>
      <c r="BK270" s="37" t="s">
        <v>197</v>
      </c>
      <c r="BL270" s="37" t="s">
        <v>197</v>
      </c>
      <c r="BM270" s="37" t="s">
        <v>197</v>
      </c>
      <c r="BN270" s="37" t="s">
        <v>197</v>
      </c>
      <c r="BO270" s="37" t="s">
        <v>197</v>
      </c>
      <c r="BP270" s="37" t="s">
        <v>197</v>
      </c>
      <c r="BQ270" s="37" t="s">
        <v>197</v>
      </c>
      <c r="BR270" s="37" t="s">
        <v>197</v>
      </c>
      <c r="BS270" s="37" t="s">
        <v>197</v>
      </c>
      <c r="BT270" s="37" t="s">
        <v>197</v>
      </c>
    </row>
    <row r="271" spans="5:72" x14ac:dyDescent="0.25">
      <c r="E271" s="6" t="s">
        <v>20</v>
      </c>
      <c r="F271" s="6">
        <f t="shared" si="85"/>
        <v>0</v>
      </c>
      <c r="G271" s="6">
        <f t="shared" si="86"/>
        <v>0</v>
      </c>
      <c r="H271" s="6">
        <f t="shared" si="87"/>
        <v>0</v>
      </c>
      <c r="I271" s="6">
        <f t="shared" si="88"/>
        <v>0</v>
      </c>
      <c r="J271" s="6">
        <f t="shared" si="89"/>
        <v>0</v>
      </c>
      <c r="K271" s="6">
        <f t="shared" si="90"/>
        <v>0</v>
      </c>
      <c r="L271" s="6">
        <f t="shared" si="91"/>
        <v>0</v>
      </c>
      <c r="M271" s="6">
        <f t="shared" si="92"/>
        <v>0</v>
      </c>
      <c r="N271" s="6">
        <f t="shared" si="93"/>
        <v>0</v>
      </c>
      <c r="O271" s="6">
        <f t="shared" si="94"/>
        <v>0</v>
      </c>
      <c r="P271" s="6">
        <f t="shared" si="95"/>
        <v>0</v>
      </c>
      <c r="Q271" s="6">
        <f t="shared" si="96"/>
        <v>0</v>
      </c>
      <c r="R271" s="6">
        <f t="shared" si="97"/>
        <v>0</v>
      </c>
      <c r="S271" s="6">
        <f t="shared" si="98"/>
        <v>0</v>
      </c>
      <c r="T271" s="6">
        <f t="shared" si="99"/>
        <v>0</v>
      </c>
      <c r="U271" s="6">
        <f t="shared" si="100"/>
        <v>0</v>
      </c>
      <c r="V271" s="6">
        <f t="shared" si="101"/>
        <v>0</v>
      </c>
      <c r="W271" s="6">
        <f t="shared" si="102"/>
        <v>0</v>
      </c>
      <c r="X271" s="6">
        <f t="shared" si="103"/>
        <v>0</v>
      </c>
      <c r="Y271" s="6">
        <f t="shared" si="104"/>
        <v>0</v>
      </c>
      <c r="Z271" s="6">
        <f t="shared" si="105"/>
        <v>0</v>
      </c>
      <c r="AB271" s="36" t="str">
        <f>IF(最佳化斷筋點!C271="","",最佳化斷筋點!C271)</f>
        <v>上層</v>
      </c>
      <c r="AC271" s="37">
        <f>IF(最佳化斷筋點!D271="","",最佳化斷筋點!D271)</f>
        <v>7</v>
      </c>
      <c r="AD271" s="37">
        <f>IF(最佳化斷筋點!E271="","",最佳化斷筋點!E271)</f>
        <v>7</v>
      </c>
      <c r="AE271" s="37">
        <f>IF(最佳化斷筋點!F271="","",最佳化斷筋點!F271)</f>
        <v>7</v>
      </c>
      <c r="AF271" s="37">
        <f>IF(最佳化斷筋點!G271="","",最佳化斷筋點!G271)</f>
        <v>7</v>
      </c>
      <c r="AG271" s="37">
        <f>IF(最佳化斷筋點!H271="","",最佳化斷筋點!H271)</f>
        <v>7</v>
      </c>
      <c r="AH271" s="37">
        <f>IF(最佳化斷筋點!I271="","",最佳化斷筋點!I271)</f>
        <v>7</v>
      </c>
      <c r="AI271" s="37">
        <f>IF(最佳化斷筋點!J271="","",最佳化斷筋點!J271)</f>
        <v>7</v>
      </c>
      <c r="AJ271" s="37">
        <f>IF(最佳化斷筋點!K271="","",最佳化斷筋點!K271)</f>
        <v>3</v>
      </c>
      <c r="AK271" s="37">
        <f>IF(最佳化斷筋點!L271="","",最佳化斷筋點!L271)</f>
        <v>3</v>
      </c>
      <c r="AL271" s="37">
        <f>IF(最佳化斷筋點!M271="","",最佳化斷筋點!M271)</f>
        <v>3</v>
      </c>
      <c r="AM271" s="37">
        <f>IF(最佳化斷筋點!N271="","",最佳化斷筋點!N271)</f>
        <v>3</v>
      </c>
      <c r="AN271" s="37">
        <f>IF(最佳化斷筋點!O271="","",最佳化斷筋點!O271)</f>
        <v>3</v>
      </c>
      <c r="AO271" s="37">
        <f>IF(最佳化斷筋點!P271="","",最佳化斷筋點!P271)</f>
        <v>3</v>
      </c>
      <c r="AP271" s="37">
        <f>IF(最佳化斷筋點!Q271="","",最佳化斷筋點!Q271)</f>
        <v>4</v>
      </c>
      <c r="AQ271" s="37">
        <f>IF(最佳化斷筋點!R271="","",最佳化斷筋點!R271)</f>
        <v>5</v>
      </c>
      <c r="AR271" s="37">
        <f>IF(最佳化斷筋點!S271="","",最佳化斷筋點!S271)</f>
        <v>5</v>
      </c>
      <c r="AS271" s="37">
        <f>IF(最佳化斷筋點!T271="","",最佳化斷筋點!T271)</f>
        <v>6</v>
      </c>
      <c r="AT271" s="37">
        <f>IF(最佳化斷筋點!U271="","",最佳化斷筋點!U271)</f>
        <v>6</v>
      </c>
      <c r="AU271" s="37">
        <f>IF(最佳化斷筋點!V271="","",最佳化斷筋點!V271)</f>
        <v>6</v>
      </c>
      <c r="AV271" s="37">
        <f>IF(最佳化斷筋點!W271="","",最佳化斷筋點!W271)</f>
        <v>6</v>
      </c>
      <c r="AW271" s="37">
        <f>IF(最佳化斷筋點!X271="","",最佳化斷筋點!X271)</f>
        <v>6</v>
      </c>
      <c r="AY271" s="6" t="s">
        <v>20</v>
      </c>
      <c r="AZ271" s="37">
        <v>7</v>
      </c>
      <c r="BA271" s="37">
        <v>7</v>
      </c>
      <c r="BB271" s="37">
        <v>7</v>
      </c>
      <c r="BC271" s="37">
        <v>7</v>
      </c>
      <c r="BD271" s="37">
        <v>7</v>
      </c>
      <c r="BE271" s="37">
        <v>7</v>
      </c>
      <c r="BF271" s="37">
        <v>7</v>
      </c>
      <c r="BG271" s="37">
        <v>3</v>
      </c>
      <c r="BH271" s="37">
        <v>3</v>
      </c>
      <c r="BI271" s="37">
        <v>3</v>
      </c>
      <c r="BJ271" s="37">
        <v>3</v>
      </c>
      <c r="BK271" s="37">
        <v>3</v>
      </c>
      <c r="BL271" s="37">
        <v>3</v>
      </c>
      <c r="BM271" s="37">
        <v>4</v>
      </c>
      <c r="BN271" s="37">
        <v>5</v>
      </c>
      <c r="BO271" s="37">
        <v>5</v>
      </c>
      <c r="BP271" s="37">
        <v>6</v>
      </c>
      <c r="BQ271" s="37">
        <v>6</v>
      </c>
      <c r="BR271" s="37">
        <v>6</v>
      </c>
      <c r="BS271" s="37">
        <v>6</v>
      </c>
      <c r="BT271" s="37">
        <v>6</v>
      </c>
    </row>
    <row r="272" spans="5:72" x14ac:dyDescent="0.25">
      <c r="F272" s="6">
        <f t="shared" si="85"/>
        <v>0</v>
      </c>
      <c r="G272" s="6">
        <f t="shared" si="86"/>
        <v>0</v>
      </c>
      <c r="H272" s="6">
        <f t="shared" si="87"/>
        <v>0</v>
      </c>
      <c r="I272" s="6">
        <f t="shared" si="88"/>
        <v>0</v>
      </c>
      <c r="J272" s="6">
        <f t="shared" si="89"/>
        <v>0</v>
      </c>
      <c r="K272" s="6">
        <f t="shared" si="90"/>
        <v>0</v>
      </c>
      <c r="L272" s="6">
        <f t="shared" si="91"/>
        <v>0</v>
      </c>
      <c r="M272" s="6">
        <f t="shared" si="92"/>
        <v>0</v>
      </c>
      <c r="N272" s="6">
        <f t="shared" si="93"/>
        <v>0</v>
      </c>
      <c r="O272" s="6">
        <f t="shared" si="94"/>
        <v>0</v>
      </c>
      <c r="P272" s="6">
        <f t="shared" si="95"/>
        <v>0</v>
      </c>
      <c r="Q272" s="6">
        <f t="shared" si="96"/>
        <v>0</v>
      </c>
      <c r="R272" s="6">
        <f t="shared" si="97"/>
        <v>0</v>
      </c>
      <c r="S272" s="6">
        <f t="shared" si="98"/>
        <v>0</v>
      </c>
      <c r="T272" s="6">
        <f t="shared" si="99"/>
        <v>0</v>
      </c>
      <c r="U272" s="6">
        <f t="shared" si="100"/>
        <v>0</v>
      </c>
      <c r="V272" s="6">
        <f t="shared" si="101"/>
        <v>0</v>
      </c>
      <c r="W272" s="6">
        <f t="shared" si="102"/>
        <v>0</v>
      </c>
      <c r="X272" s="6">
        <f t="shared" si="103"/>
        <v>0</v>
      </c>
      <c r="Y272" s="6">
        <f t="shared" si="104"/>
        <v>0</v>
      </c>
      <c r="Z272" s="6">
        <f t="shared" si="105"/>
        <v>0</v>
      </c>
      <c r="AB272" s="36" t="str">
        <f>IF(最佳化斷筋點!C272="","",最佳化斷筋點!C272)</f>
        <v/>
      </c>
      <c r="AC272" s="37" t="str">
        <f>IF(最佳化斷筋點!D272="","",最佳化斷筋點!D272)</f>
        <v/>
      </c>
      <c r="AD272" s="37" t="str">
        <f>IF(最佳化斷筋點!E272="","",最佳化斷筋點!E272)</f>
        <v/>
      </c>
      <c r="AE272" s="37" t="str">
        <f>IF(最佳化斷筋點!F272="","",最佳化斷筋點!F272)</f>
        <v/>
      </c>
      <c r="AF272" s="37" t="str">
        <f>IF(最佳化斷筋點!G272="","",最佳化斷筋點!G272)</f>
        <v/>
      </c>
      <c r="AG272" s="37" t="str">
        <f>IF(最佳化斷筋點!H272="","",最佳化斷筋點!H272)</f>
        <v/>
      </c>
      <c r="AH272" s="37" t="str">
        <f>IF(最佳化斷筋點!I272="","",最佳化斷筋點!I272)</f>
        <v/>
      </c>
      <c r="AI272" s="37" t="str">
        <f>IF(最佳化斷筋點!J272="","",最佳化斷筋點!J272)</f>
        <v/>
      </c>
      <c r="AJ272" s="37" t="str">
        <f>IF(最佳化斷筋點!K272="","",最佳化斷筋點!K272)</f>
        <v/>
      </c>
      <c r="AK272" s="37" t="str">
        <f>IF(最佳化斷筋點!L272="","",最佳化斷筋點!L272)</f>
        <v/>
      </c>
      <c r="AL272" s="37" t="str">
        <f>IF(最佳化斷筋點!M272="","",最佳化斷筋點!M272)</f>
        <v/>
      </c>
      <c r="AM272" s="37" t="str">
        <f>IF(最佳化斷筋點!N272="","",最佳化斷筋點!N272)</f>
        <v/>
      </c>
      <c r="AN272" s="37" t="str">
        <f>IF(最佳化斷筋點!O272="","",最佳化斷筋點!O272)</f>
        <v/>
      </c>
      <c r="AO272" s="37" t="str">
        <f>IF(最佳化斷筋點!P272="","",最佳化斷筋點!P272)</f>
        <v/>
      </c>
      <c r="AP272" s="37" t="str">
        <f>IF(最佳化斷筋點!Q272="","",最佳化斷筋點!Q272)</f>
        <v/>
      </c>
      <c r="AQ272" s="37" t="str">
        <f>IF(最佳化斷筋點!R272="","",最佳化斷筋點!R272)</f>
        <v/>
      </c>
      <c r="AR272" s="37" t="str">
        <f>IF(最佳化斷筋點!S272="","",最佳化斷筋點!S272)</f>
        <v/>
      </c>
      <c r="AS272" s="37" t="str">
        <f>IF(最佳化斷筋點!T272="","",最佳化斷筋點!T272)</f>
        <v/>
      </c>
      <c r="AT272" s="37" t="str">
        <f>IF(最佳化斷筋點!U272="","",最佳化斷筋點!U272)</f>
        <v/>
      </c>
      <c r="AU272" s="37" t="str">
        <f>IF(最佳化斷筋點!V272="","",最佳化斷筋點!V272)</f>
        <v/>
      </c>
      <c r="AV272" s="37" t="str">
        <f>IF(最佳化斷筋點!W272="","",最佳化斷筋點!W272)</f>
        <v/>
      </c>
      <c r="AW272" s="37" t="str">
        <f>IF(最佳化斷筋點!X272="","",最佳化斷筋點!X272)</f>
        <v/>
      </c>
      <c r="AZ272" s="37" t="s">
        <v>197</v>
      </c>
      <c r="BA272" s="37" t="s">
        <v>197</v>
      </c>
      <c r="BB272" s="37" t="s">
        <v>197</v>
      </c>
      <c r="BC272" s="37" t="s">
        <v>197</v>
      </c>
      <c r="BD272" s="37" t="s">
        <v>197</v>
      </c>
      <c r="BE272" s="37" t="s">
        <v>197</v>
      </c>
      <c r="BF272" s="37" t="s">
        <v>197</v>
      </c>
      <c r="BG272" s="37" t="s">
        <v>197</v>
      </c>
      <c r="BH272" s="37" t="s">
        <v>197</v>
      </c>
      <c r="BI272" s="37" t="s">
        <v>197</v>
      </c>
      <c r="BJ272" s="37" t="s">
        <v>197</v>
      </c>
      <c r="BK272" s="37" t="s">
        <v>197</v>
      </c>
      <c r="BL272" s="37" t="s">
        <v>197</v>
      </c>
      <c r="BM272" s="37" t="s">
        <v>197</v>
      </c>
      <c r="BN272" s="37" t="s">
        <v>197</v>
      </c>
      <c r="BO272" s="37" t="s">
        <v>197</v>
      </c>
      <c r="BP272" s="37" t="s">
        <v>197</v>
      </c>
      <c r="BQ272" s="37" t="s">
        <v>197</v>
      </c>
      <c r="BR272" s="37" t="s">
        <v>197</v>
      </c>
      <c r="BS272" s="37" t="s">
        <v>197</v>
      </c>
      <c r="BT272" s="37" t="s">
        <v>197</v>
      </c>
    </row>
    <row r="273" spans="5:72" x14ac:dyDescent="0.25">
      <c r="E273" s="6" t="s">
        <v>21</v>
      </c>
      <c r="F273" s="6">
        <f t="shared" si="85"/>
        <v>0</v>
      </c>
      <c r="G273" s="6">
        <f t="shared" si="86"/>
        <v>0</v>
      </c>
      <c r="H273" s="6">
        <f t="shared" si="87"/>
        <v>0</v>
      </c>
      <c r="I273" s="6">
        <f t="shared" si="88"/>
        <v>0</v>
      </c>
      <c r="J273" s="6">
        <f t="shared" si="89"/>
        <v>0</v>
      </c>
      <c r="K273" s="6">
        <f t="shared" si="90"/>
        <v>0</v>
      </c>
      <c r="L273" s="6">
        <f t="shared" si="91"/>
        <v>0</v>
      </c>
      <c r="M273" s="6">
        <f t="shared" si="92"/>
        <v>0</v>
      </c>
      <c r="N273" s="6">
        <f t="shared" si="93"/>
        <v>0</v>
      </c>
      <c r="O273" s="6">
        <f t="shared" si="94"/>
        <v>0</v>
      </c>
      <c r="P273" s="6">
        <f t="shared" si="95"/>
        <v>0</v>
      </c>
      <c r="Q273" s="6">
        <f t="shared" si="96"/>
        <v>0</v>
      </c>
      <c r="R273" s="6">
        <f t="shared" si="97"/>
        <v>0</v>
      </c>
      <c r="S273" s="6">
        <f t="shared" si="98"/>
        <v>0</v>
      </c>
      <c r="T273" s="6">
        <f t="shared" si="99"/>
        <v>0</v>
      </c>
      <c r="U273" s="6">
        <f t="shared" si="100"/>
        <v>0</v>
      </c>
      <c r="V273" s="6">
        <f t="shared" si="101"/>
        <v>0</v>
      </c>
      <c r="W273" s="6">
        <f t="shared" si="102"/>
        <v>0</v>
      </c>
      <c r="X273" s="6">
        <f t="shared" si="103"/>
        <v>0</v>
      </c>
      <c r="Y273" s="6">
        <f t="shared" si="104"/>
        <v>0</v>
      </c>
      <c r="Z273" s="6">
        <f t="shared" si="105"/>
        <v>0</v>
      </c>
      <c r="AB273" s="36" t="str">
        <f>IF(最佳化斷筋點!C273="","",最佳化斷筋點!C273)</f>
        <v>下層</v>
      </c>
      <c r="AC273" s="37">
        <f>IF(最佳化斷筋點!D273="","",最佳化斷筋點!D273)</f>
        <v>6</v>
      </c>
      <c r="AD273" s="37">
        <f>IF(最佳化斷筋點!E273="","",最佳化斷筋點!E273)</f>
        <v>6</v>
      </c>
      <c r="AE273" s="37">
        <f>IF(最佳化斷筋點!F273="","",最佳化斷筋點!F273)</f>
        <v>6</v>
      </c>
      <c r="AF273" s="37">
        <f>IF(最佳化斷筋點!G273="","",最佳化斷筋點!G273)</f>
        <v>6</v>
      </c>
      <c r="AG273" s="37">
        <f>IF(最佳化斷筋點!H273="","",最佳化斷筋點!H273)</f>
        <v>6</v>
      </c>
      <c r="AH273" s="37">
        <f>IF(最佳化斷筋點!I273="","",最佳化斷筋點!I273)</f>
        <v>5</v>
      </c>
      <c r="AI273" s="37">
        <f>IF(最佳化斷筋點!J273="","",最佳化斷筋點!J273)</f>
        <v>5</v>
      </c>
      <c r="AJ273" s="37">
        <f>IF(最佳化斷筋點!K273="","",最佳化斷筋點!K273)</f>
        <v>3</v>
      </c>
      <c r="AK273" s="37">
        <f>IF(最佳化斷筋點!L273="","",最佳化斷筋點!L273)</f>
        <v>3</v>
      </c>
      <c r="AL273" s="37">
        <f>IF(最佳化斷筋點!M273="","",最佳化斷筋點!M273)</f>
        <v>3</v>
      </c>
      <c r="AM273" s="37">
        <f>IF(最佳化斷筋點!N273="","",最佳化斷筋點!N273)</f>
        <v>3</v>
      </c>
      <c r="AN273" s="37">
        <f>IF(最佳化斷筋點!O273="","",最佳化斷筋點!O273)</f>
        <v>3</v>
      </c>
      <c r="AO273" s="37">
        <f>IF(最佳化斷筋點!P273="","",最佳化斷筋點!P273)</f>
        <v>3</v>
      </c>
      <c r="AP273" s="37">
        <f>IF(最佳化斷筋點!Q273="","",最佳化斷筋點!Q273)</f>
        <v>4</v>
      </c>
      <c r="AQ273" s="37">
        <f>IF(最佳化斷筋點!R273="","",最佳化斷筋點!R273)</f>
        <v>4</v>
      </c>
      <c r="AR273" s="37">
        <f>IF(最佳化斷筋點!S273="","",最佳化斷筋點!S273)</f>
        <v>5</v>
      </c>
      <c r="AS273" s="37">
        <f>IF(最佳化斷筋點!T273="","",最佳化斷筋點!T273)</f>
        <v>5</v>
      </c>
      <c r="AT273" s="37">
        <f>IF(最佳化斷筋點!U273="","",最佳化斷筋點!U273)</f>
        <v>6</v>
      </c>
      <c r="AU273" s="37">
        <f>IF(最佳化斷筋點!V273="","",最佳化斷筋點!V273)</f>
        <v>6</v>
      </c>
      <c r="AV273" s="37">
        <f>IF(最佳化斷筋點!W273="","",最佳化斷筋點!W273)</f>
        <v>6</v>
      </c>
      <c r="AW273" s="37">
        <f>IF(最佳化斷筋點!X273="","",最佳化斷筋點!X273)</f>
        <v>6</v>
      </c>
      <c r="AY273" s="6" t="s">
        <v>21</v>
      </c>
      <c r="AZ273" s="37">
        <v>6</v>
      </c>
      <c r="BA273" s="37">
        <v>6</v>
      </c>
      <c r="BB273" s="37">
        <v>6</v>
      </c>
      <c r="BC273" s="37">
        <v>6</v>
      </c>
      <c r="BD273" s="37">
        <v>6</v>
      </c>
      <c r="BE273" s="37">
        <v>5</v>
      </c>
      <c r="BF273" s="37">
        <v>5</v>
      </c>
      <c r="BG273" s="37">
        <v>3</v>
      </c>
      <c r="BH273" s="37">
        <v>3</v>
      </c>
      <c r="BI273" s="37">
        <v>3</v>
      </c>
      <c r="BJ273" s="37">
        <v>3</v>
      </c>
      <c r="BK273" s="37">
        <v>3</v>
      </c>
      <c r="BL273" s="37">
        <v>3</v>
      </c>
      <c r="BM273" s="37">
        <v>4</v>
      </c>
      <c r="BN273" s="37">
        <v>4</v>
      </c>
      <c r="BO273" s="37">
        <v>5</v>
      </c>
      <c r="BP273" s="37">
        <v>5</v>
      </c>
      <c r="BQ273" s="37">
        <v>6</v>
      </c>
      <c r="BR273" s="37">
        <v>6</v>
      </c>
      <c r="BS273" s="37">
        <v>6</v>
      </c>
      <c r="BT273" s="37">
        <v>6</v>
      </c>
    </row>
    <row r="274" spans="5:72" x14ac:dyDescent="0.25">
      <c r="F274" s="6">
        <f t="shared" si="85"/>
        <v>0</v>
      </c>
      <c r="G274" s="6">
        <f t="shared" si="86"/>
        <v>0</v>
      </c>
      <c r="H274" s="6">
        <f t="shared" si="87"/>
        <v>0</v>
      </c>
      <c r="I274" s="6">
        <f t="shared" si="88"/>
        <v>0</v>
      </c>
      <c r="J274" s="6">
        <f t="shared" si="89"/>
        <v>0</v>
      </c>
      <c r="K274" s="6">
        <f t="shared" si="90"/>
        <v>0</v>
      </c>
      <c r="L274" s="6">
        <f t="shared" si="91"/>
        <v>0</v>
      </c>
      <c r="M274" s="6">
        <f t="shared" si="92"/>
        <v>0</v>
      </c>
      <c r="N274" s="6">
        <f t="shared" si="93"/>
        <v>0</v>
      </c>
      <c r="O274" s="6">
        <f t="shared" si="94"/>
        <v>0</v>
      </c>
      <c r="P274" s="6">
        <f t="shared" si="95"/>
        <v>0</v>
      </c>
      <c r="Q274" s="6">
        <f t="shared" si="96"/>
        <v>0</v>
      </c>
      <c r="R274" s="6">
        <f t="shared" si="97"/>
        <v>0</v>
      </c>
      <c r="S274" s="6">
        <f t="shared" si="98"/>
        <v>0</v>
      </c>
      <c r="T274" s="6">
        <f t="shared" si="99"/>
        <v>0</v>
      </c>
      <c r="U274" s="6">
        <f t="shared" si="100"/>
        <v>0</v>
      </c>
      <c r="V274" s="6">
        <f t="shared" si="101"/>
        <v>0</v>
      </c>
      <c r="W274" s="6">
        <f t="shared" si="102"/>
        <v>0</v>
      </c>
      <c r="X274" s="6">
        <f t="shared" si="103"/>
        <v>0</v>
      </c>
      <c r="Y274" s="6">
        <f t="shared" si="104"/>
        <v>0</v>
      </c>
      <c r="Z274" s="6">
        <f t="shared" si="105"/>
        <v>0</v>
      </c>
      <c r="AB274" s="36" t="str">
        <f>IF(最佳化斷筋點!C274="","",最佳化斷筋點!C274)</f>
        <v/>
      </c>
      <c r="AC274" s="37" t="str">
        <f>IF(最佳化斷筋點!D274="","",最佳化斷筋點!D274)</f>
        <v/>
      </c>
      <c r="AD274" s="37" t="str">
        <f>IF(最佳化斷筋點!E274="","",最佳化斷筋點!E274)</f>
        <v/>
      </c>
      <c r="AE274" s="37" t="str">
        <f>IF(最佳化斷筋點!F274="","",最佳化斷筋點!F274)</f>
        <v/>
      </c>
      <c r="AF274" s="37" t="str">
        <f>IF(最佳化斷筋點!G274="","",最佳化斷筋點!G274)</f>
        <v/>
      </c>
      <c r="AG274" s="37" t="str">
        <f>IF(最佳化斷筋點!H274="","",最佳化斷筋點!H274)</f>
        <v/>
      </c>
      <c r="AH274" s="37" t="str">
        <f>IF(最佳化斷筋點!I274="","",最佳化斷筋點!I274)</f>
        <v/>
      </c>
      <c r="AI274" s="37" t="str">
        <f>IF(最佳化斷筋點!J274="","",最佳化斷筋點!J274)</f>
        <v/>
      </c>
      <c r="AJ274" s="37" t="str">
        <f>IF(最佳化斷筋點!K274="","",最佳化斷筋點!K274)</f>
        <v/>
      </c>
      <c r="AK274" s="37" t="str">
        <f>IF(最佳化斷筋點!L274="","",最佳化斷筋點!L274)</f>
        <v/>
      </c>
      <c r="AL274" s="37" t="str">
        <f>IF(最佳化斷筋點!M274="","",最佳化斷筋點!M274)</f>
        <v/>
      </c>
      <c r="AM274" s="37" t="str">
        <f>IF(最佳化斷筋點!N274="","",最佳化斷筋點!N274)</f>
        <v/>
      </c>
      <c r="AN274" s="37" t="str">
        <f>IF(最佳化斷筋點!O274="","",最佳化斷筋點!O274)</f>
        <v/>
      </c>
      <c r="AO274" s="37" t="str">
        <f>IF(最佳化斷筋點!P274="","",最佳化斷筋點!P274)</f>
        <v/>
      </c>
      <c r="AP274" s="37" t="str">
        <f>IF(最佳化斷筋點!Q274="","",最佳化斷筋點!Q274)</f>
        <v/>
      </c>
      <c r="AQ274" s="37" t="str">
        <f>IF(最佳化斷筋點!R274="","",最佳化斷筋點!R274)</f>
        <v/>
      </c>
      <c r="AR274" s="37" t="str">
        <f>IF(最佳化斷筋點!S274="","",最佳化斷筋點!S274)</f>
        <v/>
      </c>
      <c r="AS274" s="37" t="str">
        <f>IF(最佳化斷筋點!T274="","",最佳化斷筋點!T274)</f>
        <v/>
      </c>
      <c r="AT274" s="37" t="str">
        <f>IF(最佳化斷筋點!U274="","",最佳化斷筋點!U274)</f>
        <v/>
      </c>
      <c r="AU274" s="37" t="str">
        <f>IF(最佳化斷筋點!V274="","",最佳化斷筋點!V274)</f>
        <v/>
      </c>
      <c r="AV274" s="37" t="str">
        <f>IF(最佳化斷筋點!W274="","",最佳化斷筋點!W274)</f>
        <v/>
      </c>
      <c r="AW274" s="37" t="str">
        <f>IF(最佳化斷筋點!X274="","",最佳化斷筋點!X274)</f>
        <v/>
      </c>
      <c r="AZ274" s="37" t="s">
        <v>197</v>
      </c>
      <c r="BA274" s="37" t="s">
        <v>197</v>
      </c>
      <c r="BB274" s="37" t="s">
        <v>197</v>
      </c>
      <c r="BC274" s="37" t="s">
        <v>197</v>
      </c>
      <c r="BD274" s="37" t="s">
        <v>197</v>
      </c>
      <c r="BE274" s="37" t="s">
        <v>197</v>
      </c>
      <c r="BF274" s="37" t="s">
        <v>197</v>
      </c>
      <c r="BG274" s="37" t="s">
        <v>197</v>
      </c>
      <c r="BH274" s="37" t="s">
        <v>197</v>
      </c>
      <c r="BI274" s="37" t="s">
        <v>197</v>
      </c>
      <c r="BJ274" s="37" t="s">
        <v>197</v>
      </c>
      <c r="BK274" s="37" t="s">
        <v>197</v>
      </c>
      <c r="BL274" s="37" t="s">
        <v>197</v>
      </c>
      <c r="BM274" s="37" t="s">
        <v>197</v>
      </c>
      <c r="BN274" s="37" t="s">
        <v>197</v>
      </c>
      <c r="BO274" s="37" t="s">
        <v>197</v>
      </c>
      <c r="BP274" s="37" t="s">
        <v>197</v>
      </c>
      <c r="BQ274" s="37" t="s">
        <v>197</v>
      </c>
      <c r="BR274" s="37" t="s">
        <v>197</v>
      </c>
      <c r="BS274" s="37" t="s">
        <v>197</v>
      </c>
      <c r="BT274" s="37" t="s">
        <v>197</v>
      </c>
    </row>
    <row r="275" spans="5:72" x14ac:dyDescent="0.25">
      <c r="E275" s="6" t="s">
        <v>20</v>
      </c>
      <c r="F275" s="6">
        <f t="shared" si="85"/>
        <v>0</v>
      </c>
      <c r="G275" s="6">
        <f t="shared" si="86"/>
        <v>0</v>
      </c>
      <c r="H275" s="6">
        <f t="shared" si="87"/>
        <v>0</v>
      </c>
      <c r="I275" s="6">
        <f t="shared" si="88"/>
        <v>0</v>
      </c>
      <c r="J275" s="6">
        <f t="shared" si="89"/>
        <v>0</v>
      </c>
      <c r="K275" s="6">
        <f t="shared" si="90"/>
        <v>0</v>
      </c>
      <c r="L275" s="6">
        <f t="shared" si="91"/>
        <v>0</v>
      </c>
      <c r="M275" s="6">
        <f t="shared" si="92"/>
        <v>0</v>
      </c>
      <c r="N275" s="6">
        <f t="shared" si="93"/>
        <v>0</v>
      </c>
      <c r="O275" s="6">
        <f t="shared" si="94"/>
        <v>0</v>
      </c>
      <c r="P275" s="6">
        <f t="shared" si="95"/>
        <v>0</v>
      </c>
      <c r="Q275" s="6">
        <f t="shared" si="96"/>
        <v>0</v>
      </c>
      <c r="R275" s="6">
        <f t="shared" si="97"/>
        <v>0</v>
      </c>
      <c r="S275" s="6">
        <f t="shared" si="98"/>
        <v>0</v>
      </c>
      <c r="T275" s="6">
        <f t="shared" si="99"/>
        <v>0</v>
      </c>
      <c r="U275" s="6">
        <f t="shared" si="100"/>
        <v>0</v>
      </c>
      <c r="V275" s="6">
        <f t="shared" si="101"/>
        <v>0</v>
      </c>
      <c r="W275" s="6">
        <f t="shared" si="102"/>
        <v>0</v>
      </c>
      <c r="X275" s="6">
        <f t="shared" si="103"/>
        <v>0</v>
      </c>
      <c r="Y275" s="6">
        <f t="shared" si="104"/>
        <v>0</v>
      </c>
      <c r="Z275" s="6">
        <f t="shared" si="105"/>
        <v>0</v>
      </c>
      <c r="AB275" s="36" t="str">
        <f>IF(最佳化斷筋點!C275="","",最佳化斷筋點!C275)</f>
        <v>上層</v>
      </c>
      <c r="AC275" s="37">
        <f>IF(最佳化斷筋點!D275="","",最佳化斷筋點!D275)</f>
        <v>9</v>
      </c>
      <c r="AD275" s="37">
        <f>IF(最佳化斷筋點!E275="","",最佳化斷筋點!E275)</f>
        <v>9</v>
      </c>
      <c r="AE275" s="37">
        <f>IF(最佳化斷筋點!F275="","",最佳化斷筋點!F275)</f>
        <v>9</v>
      </c>
      <c r="AF275" s="37">
        <f>IF(最佳化斷筋點!G275="","",最佳化斷筋點!G275)</f>
        <v>9</v>
      </c>
      <c r="AG275" s="37">
        <f>IF(最佳化斷筋點!H275="","",最佳化斷筋點!H275)</f>
        <v>9</v>
      </c>
      <c r="AH275" s="37">
        <f>IF(最佳化斷筋點!I275="","",最佳化斷筋點!I275)</f>
        <v>9</v>
      </c>
      <c r="AI275" s="37">
        <f>IF(最佳化斷筋點!J275="","",最佳化斷筋點!J275)</f>
        <v>8</v>
      </c>
      <c r="AJ275" s="37">
        <f>IF(最佳化斷筋點!K275="","",最佳化斷筋點!K275)</f>
        <v>3</v>
      </c>
      <c r="AK275" s="37">
        <f>IF(最佳化斷筋點!L275="","",最佳化斷筋點!L275)</f>
        <v>3</v>
      </c>
      <c r="AL275" s="37">
        <f>IF(最佳化斷筋點!M275="","",最佳化斷筋點!M275)</f>
        <v>3</v>
      </c>
      <c r="AM275" s="37">
        <f>IF(最佳化斷筋點!N275="","",最佳化斷筋點!N275)</f>
        <v>3</v>
      </c>
      <c r="AN275" s="37">
        <f>IF(最佳化斷筋點!O275="","",最佳化斷筋點!O275)</f>
        <v>3</v>
      </c>
      <c r="AO275" s="37">
        <f>IF(最佳化斷筋點!P275="","",最佳化斷筋點!P275)</f>
        <v>3</v>
      </c>
      <c r="AP275" s="37">
        <f>IF(最佳化斷筋點!Q275="","",最佳化斷筋點!Q275)</f>
        <v>4</v>
      </c>
      <c r="AQ275" s="37">
        <f>IF(最佳化斷筋點!R275="","",最佳化斷筋點!R275)</f>
        <v>5</v>
      </c>
      <c r="AR275" s="37">
        <f>IF(最佳化斷筋點!S275="","",最佳化斷筋點!S275)</f>
        <v>5</v>
      </c>
      <c r="AS275" s="37">
        <f>IF(最佳化斷筋點!T275="","",最佳化斷筋點!T275)</f>
        <v>6</v>
      </c>
      <c r="AT275" s="37">
        <f>IF(最佳化斷筋點!U275="","",最佳化斷筋點!U275)</f>
        <v>6</v>
      </c>
      <c r="AU275" s="37">
        <f>IF(最佳化斷筋點!V275="","",最佳化斷筋點!V275)</f>
        <v>6</v>
      </c>
      <c r="AV275" s="37">
        <f>IF(最佳化斷筋點!W275="","",最佳化斷筋點!W275)</f>
        <v>6</v>
      </c>
      <c r="AW275" s="37">
        <f>IF(最佳化斷筋點!X275="","",最佳化斷筋點!X275)</f>
        <v>6</v>
      </c>
      <c r="AY275" s="6" t="s">
        <v>20</v>
      </c>
      <c r="AZ275" s="37">
        <v>9</v>
      </c>
      <c r="BA275" s="37">
        <v>9</v>
      </c>
      <c r="BB275" s="37">
        <v>9</v>
      </c>
      <c r="BC275" s="37">
        <v>9</v>
      </c>
      <c r="BD275" s="37">
        <v>9</v>
      </c>
      <c r="BE275" s="37">
        <v>9</v>
      </c>
      <c r="BF275" s="37">
        <v>8</v>
      </c>
      <c r="BG275" s="37">
        <v>3</v>
      </c>
      <c r="BH275" s="37">
        <v>3</v>
      </c>
      <c r="BI275" s="37">
        <v>3</v>
      </c>
      <c r="BJ275" s="37">
        <v>3</v>
      </c>
      <c r="BK275" s="37">
        <v>3</v>
      </c>
      <c r="BL275" s="37">
        <v>3</v>
      </c>
      <c r="BM275" s="37">
        <v>4</v>
      </c>
      <c r="BN275" s="37">
        <v>5</v>
      </c>
      <c r="BO275" s="37">
        <v>5</v>
      </c>
      <c r="BP275" s="37">
        <v>6</v>
      </c>
      <c r="BQ275" s="37">
        <v>6</v>
      </c>
      <c r="BR275" s="37">
        <v>6</v>
      </c>
      <c r="BS275" s="37">
        <v>6</v>
      </c>
      <c r="BT275" s="37">
        <v>6</v>
      </c>
    </row>
    <row r="276" spans="5:72" x14ac:dyDescent="0.25">
      <c r="F276" s="6">
        <f t="shared" si="85"/>
        <v>0</v>
      </c>
      <c r="G276" s="6">
        <f t="shared" si="86"/>
        <v>0</v>
      </c>
      <c r="H276" s="6">
        <f t="shared" si="87"/>
        <v>0</v>
      </c>
      <c r="I276" s="6">
        <f t="shared" si="88"/>
        <v>0</v>
      </c>
      <c r="J276" s="6">
        <f t="shared" si="89"/>
        <v>0</v>
      </c>
      <c r="K276" s="6">
        <f t="shared" si="90"/>
        <v>0</v>
      </c>
      <c r="L276" s="6">
        <f t="shared" si="91"/>
        <v>0</v>
      </c>
      <c r="M276" s="6">
        <f t="shared" si="92"/>
        <v>0</v>
      </c>
      <c r="N276" s="6">
        <f t="shared" si="93"/>
        <v>0</v>
      </c>
      <c r="O276" s="6">
        <f t="shared" si="94"/>
        <v>0</v>
      </c>
      <c r="P276" s="6">
        <f t="shared" si="95"/>
        <v>0</v>
      </c>
      <c r="Q276" s="6">
        <f t="shared" si="96"/>
        <v>0</v>
      </c>
      <c r="R276" s="6">
        <f t="shared" si="97"/>
        <v>0</v>
      </c>
      <c r="S276" s="6">
        <f t="shared" si="98"/>
        <v>0</v>
      </c>
      <c r="T276" s="6">
        <f t="shared" si="99"/>
        <v>0</v>
      </c>
      <c r="U276" s="6">
        <f t="shared" si="100"/>
        <v>0</v>
      </c>
      <c r="V276" s="6">
        <f t="shared" si="101"/>
        <v>0</v>
      </c>
      <c r="W276" s="6">
        <f t="shared" si="102"/>
        <v>0</v>
      </c>
      <c r="X276" s="6">
        <f t="shared" si="103"/>
        <v>0</v>
      </c>
      <c r="Y276" s="6">
        <f t="shared" si="104"/>
        <v>0</v>
      </c>
      <c r="Z276" s="6">
        <f t="shared" si="105"/>
        <v>0</v>
      </c>
      <c r="AB276" s="36" t="str">
        <f>IF(最佳化斷筋點!C276="","",最佳化斷筋點!C276)</f>
        <v/>
      </c>
      <c r="AC276" s="37" t="str">
        <f>IF(最佳化斷筋點!D276="","",最佳化斷筋點!D276)</f>
        <v/>
      </c>
      <c r="AD276" s="37" t="str">
        <f>IF(最佳化斷筋點!E276="","",最佳化斷筋點!E276)</f>
        <v/>
      </c>
      <c r="AE276" s="37" t="str">
        <f>IF(最佳化斷筋點!F276="","",最佳化斷筋點!F276)</f>
        <v/>
      </c>
      <c r="AF276" s="37" t="str">
        <f>IF(最佳化斷筋點!G276="","",最佳化斷筋點!G276)</f>
        <v/>
      </c>
      <c r="AG276" s="37" t="str">
        <f>IF(最佳化斷筋點!H276="","",最佳化斷筋點!H276)</f>
        <v/>
      </c>
      <c r="AH276" s="37" t="str">
        <f>IF(最佳化斷筋點!I276="","",最佳化斷筋點!I276)</f>
        <v/>
      </c>
      <c r="AI276" s="37" t="str">
        <f>IF(最佳化斷筋點!J276="","",最佳化斷筋點!J276)</f>
        <v/>
      </c>
      <c r="AJ276" s="37" t="str">
        <f>IF(最佳化斷筋點!K276="","",最佳化斷筋點!K276)</f>
        <v/>
      </c>
      <c r="AK276" s="37" t="str">
        <f>IF(最佳化斷筋點!L276="","",最佳化斷筋點!L276)</f>
        <v/>
      </c>
      <c r="AL276" s="37" t="str">
        <f>IF(最佳化斷筋點!M276="","",最佳化斷筋點!M276)</f>
        <v/>
      </c>
      <c r="AM276" s="37" t="str">
        <f>IF(最佳化斷筋點!N276="","",最佳化斷筋點!N276)</f>
        <v/>
      </c>
      <c r="AN276" s="37" t="str">
        <f>IF(最佳化斷筋點!O276="","",最佳化斷筋點!O276)</f>
        <v/>
      </c>
      <c r="AO276" s="37" t="str">
        <f>IF(最佳化斷筋點!P276="","",最佳化斷筋點!P276)</f>
        <v/>
      </c>
      <c r="AP276" s="37" t="str">
        <f>IF(最佳化斷筋點!Q276="","",最佳化斷筋點!Q276)</f>
        <v/>
      </c>
      <c r="AQ276" s="37" t="str">
        <f>IF(最佳化斷筋點!R276="","",最佳化斷筋點!R276)</f>
        <v/>
      </c>
      <c r="AR276" s="37" t="str">
        <f>IF(最佳化斷筋點!S276="","",最佳化斷筋點!S276)</f>
        <v/>
      </c>
      <c r="AS276" s="37" t="str">
        <f>IF(最佳化斷筋點!T276="","",最佳化斷筋點!T276)</f>
        <v/>
      </c>
      <c r="AT276" s="37" t="str">
        <f>IF(最佳化斷筋點!U276="","",最佳化斷筋點!U276)</f>
        <v/>
      </c>
      <c r="AU276" s="37" t="str">
        <f>IF(最佳化斷筋點!V276="","",最佳化斷筋點!V276)</f>
        <v/>
      </c>
      <c r="AV276" s="37" t="str">
        <f>IF(最佳化斷筋點!W276="","",最佳化斷筋點!W276)</f>
        <v/>
      </c>
      <c r="AW276" s="37" t="str">
        <f>IF(最佳化斷筋點!X276="","",最佳化斷筋點!X276)</f>
        <v/>
      </c>
      <c r="AZ276" s="37" t="s">
        <v>197</v>
      </c>
      <c r="BA276" s="37" t="s">
        <v>197</v>
      </c>
      <c r="BB276" s="37" t="s">
        <v>197</v>
      </c>
      <c r="BC276" s="37" t="s">
        <v>197</v>
      </c>
      <c r="BD276" s="37" t="s">
        <v>197</v>
      </c>
      <c r="BE276" s="37" t="s">
        <v>197</v>
      </c>
      <c r="BF276" s="37" t="s">
        <v>197</v>
      </c>
      <c r="BG276" s="37" t="s">
        <v>197</v>
      </c>
      <c r="BH276" s="37" t="s">
        <v>197</v>
      </c>
      <c r="BI276" s="37" t="s">
        <v>197</v>
      </c>
      <c r="BJ276" s="37" t="s">
        <v>197</v>
      </c>
      <c r="BK276" s="37" t="s">
        <v>197</v>
      </c>
      <c r="BL276" s="37" t="s">
        <v>197</v>
      </c>
      <c r="BM276" s="37" t="s">
        <v>197</v>
      </c>
      <c r="BN276" s="37" t="s">
        <v>197</v>
      </c>
      <c r="BO276" s="37" t="s">
        <v>197</v>
      </c>
      <c r="BP276" s="37" t="s">
        <v>197</v>
      </c>
      <c r="BQ276" s="37" t="s">
        <v>197</v>
      </c>
      <c r="BR276" s="37" t="s">
        <v>197</v>
      </c>
      <c r="BS276" s="37" t="s">
        <v>197</v>
      </c>
      <c r="BT276" s="37" t="s">
        <v>197</v>
      </c>
    </row>
    <row r="277" spans="5:72" x14ac:dyDescent="0.25">
      <c r="E277" s="6" t="s">
        <v>21</v>
      </c>
      <c r="F277" s="6">
        <f t="shared" si="85"/>
        <v>0</v>
      </c>
      <c r="G277" s="6">
        <f t="shared" si="86"/>
        <v>0</v>
      </c>
      <c r="H277" s="6">
        <f t="shared" si="87"/>
        <v>0</v>
      </c>
      <c r="I277" s="6">
        <f t="shared" si="88"/>
        <v>0</v>
      </c>
      <c r="J277" s="6">
        <f t="shared" si="89"/>
        <v>0</v>
      </c>
      <c r="K277" s="6">
        <f t="shared" si="90"/>
        <v>0</v>
      </c>
      <c r="L277" s="6">
        <f t="shared" si="91"/>
        <v>0</v>
      </c>
      <c r="M277" s="6">
        <f t="shared" si="92"/>
        <v>0</v>
      </c>
      <c r="N277" s="6">
        <f t="shared" si="93"/>
        <v>0</v>
      </c>
      <c r="O277" s="6">
        <f t="shared" si="94"/>
        <v>0</v>
      </c>
      <c r="P277" s="6">
        <f t="shared" si="95"/>
        <v>0</v>
      </c>
      <c r="Q277" s="6">
        <f t="shared" si="96"/>
        <v>0</v>
      </c>
      <c r="R277" s="6">
        <f t="shared" si="97"/>
        <v>0</v>
      </c>
      <c r="S277" s="6">
        <f t="shared" si="98"/>
        <v>0</v>
      </c>
      <c r="T277" s="6">
        <f t="shared" si="99"/>
        <v>0</v>
      </c>
      <c r="U277" s="6">
        <f t="shared" si="100"/>
        <v>0</v>
      </c>
      <c r="V277" s="6">
        <f t="shared" si="101"/>
        <v>0</v>
      </c>
      <c r="W277" s="6">
        <f t="shared" si="102"/>
        <v>0</v>
      </c>
      <c r="X277" s="6">
        <f t="shared" si="103"/>
        <v>0</v>
      </c>
      <c r="Y277" s="6">
        <f t="shared" si="104"/>
        <v>0</v>
      </c>
      <c r="Z277" s="6">
        <f t="shared" si="105"/>
        <v>0</v>
      </c>
      <c r="AB277" s="36" t="str">
        <f>IF(最佳化斷筋點!C277="","",最佳化斷筋點!C277)</f>
        <v>下層</v>
      </c>
      <c r="AC277" s="37">
        <f>IF(最佳化斷筋點!D277="","",最佳化斷筋點!D277)</f>
        <v>5</v>
      </c>
      <c r="AD277" s="37">
        <f>IF(最佳化斷筋點!E277="","",最佳化斷筋點!E277)</f>
        <v>5</v>
      </c>
      <c r="AE277" s="37">
        <f>IF(最佳化斷筋點!F277="","",最佳化斷筋點!F277)</f>
        <v>5</v>
      </c>
      <c r="AF277" s="37">
        <f>IF(最佳化斷筋點!G277="","",最佳化斷筋點!G277)</f>
        <v>5</v>
      </c>
      <c r="AG277" s="37">
        <f>IF(最佳化斷筋點!H277="","",最佳化斷筋點!H277)</f>
        <v>5</v>
      </c>
      <c r="AH277" s="37">
        <f>IF(最佳化斷筋點!I277="","",最佳化斷筋點!I277)</f>
        <v>5</v>
      </c>
      <c r="AI277" s="37">
        <f>IF(最佳化斷筋點!J277="","",最佳化斷筋點!J277)</f>
        <v>4</v>
      </c>
      <c r="AJ277" s="37">
        <f>IF(最佳化斷筋點!K277="","",最佳化斷筋點!K277)</f>
        <v>3</v>
      </c>
      <c r="AK277" s="37">
        <f>IF(最佳化斷筋點!L277="","",最佳化斷筋點!L277)</f>
        <v>3</v>
      </c>
      <c r="AL277" s="37">
        <f>IF(最佳化斷筋點!M277="","",最佳化斷筋點!M277)</f>
        <v>3</v>
      </c>
      <c r="AM277" s="37">
        <f>IF(最佳化斷筋點!N277="","",最佳化斷筋點!N277)</f>
        <v>3</v>
      </c>
      <c r="AN277" s="37">
        <f>IF(最佳化斷筋點!O277="","",最佳化斷筋點!O277)</f>
        <v>3</v>
      </c>
      <c r="AO277" s="37">
        <f>IF(最佳化斷筋點!P277="","",最佳化斷筋點!P277)</f>
        <v>3</v>
      </c>
      <c r="AP277" s="37">
        <f>IF(最佳化斷筋點!Q277="","",最佳化斷筋點!Q277)</f>
        <v>4</v>
      </c>
      <c r="AQ277" s="37">
        <f>IF(最佳化斷筋點!R277="","",最佳化斷筋點!R277)</f>
        <v>5</v>
      </c>
      <c r="AR277" s="37">
        <f>IF(最佳化斷筋點!S277="","",最佳化斷筋點!S277)</f>
        <v>6</v>
      </c>
      <c r="AS277" s="37">
        <f>IF(最佳化斷筋點!T277="","",最佳化斷筋點!T277)</f>
        <v>6</v>
      </c>
      <c r="AT277" s="37">
        <f>IF(最佳化斷筋點!U277="","",最佳化斷筋點!U277)</f>
        <v>7</v>
      </c>
      <c r="AU277" s="37">
        <f>IF(最佳化斷筋點!V277="","",最佳化斷筋點!V277)</f>
        <v>7</v>
      </c>
      <c r="AV277" s="37">
        <f>IF(最佳化斷筋點!W277="","",最佳化斷筋點!W277)</f>
        <v>7</v>
      </c>
      <c r="AW277" s="37">
        <f>IF(最佳化斷筋點!X277="","",最佳化斷筋點!X277)</f>
        <v>7</v>
      </c>
      <c r="AY277" s="6" t="s">
        <v>21</v>
      </c>
      <c r="AZ277" s="37">
        <v>5</v>
      </c>
      <c r="BA277" s="37">
        <v>5</v>
      </c>
      <c r="BB277" s="37">
        <v>5</v>
      </c>
      <c r="BC277" s="37">
        <v>5</v>
      </c>
      <c r="BD277" s="37">
        <v>5</v>
      </c>
      <c r="BE277" s="37">
        <v>5</v>
      </c>
      <c r="BF277" s="37">
        <v>4</v>
      </c>
      <c r="BG277" s="37">
        <v>3</v>
      </c>
      <c r="BH277" s="37">
        <v>3</v>
      </c>
      <c r="BI277" s="37">
        <v>3</v>
      </c>
      <c r="BJ277" s="37">
        <v>3</v>
      </c>
      <c r="BK277" s="37">
        <v>3</v>
      </c>
      <c r="BL277" s="37">
        <v>3</v>
      </c>
      <c r="BM277" s="37">
        <v>4</v>
      </c>
      <c r="BN277" s="37">
        <v>5</v>
      </c>
      <c r="BO277" s="37">
        <v>6</v>
      </c>
      <c r="BP277" s="37">
        <v>6</v>
      </c>
      <c r="BQ277" s="37">
        <v>7</v>
      </c>
      <c r="BR277" s="37">
        <v>7</v>
      </c>
      <c r="BS277" s="37">
        <v>7</v>
      </c>
      <c r="BT277" s="37">
        <v>7</v>
      </c>
    </row>
    <row r="278" spans="5:72" x14ac:dyDescent="0.25">
      <c r="F278" s="6">
        <f t="shared" si="85"/>
        <v>0</v>
      </c>
      <c r="G278" s="6">
        <f t="shared" si="86"/>
        <v>0</v>
      </c>
      <c r="H278" s="6">
        <f t="shared" si="87"/>
        <v>0</v>
      </c>
      <c r="I278" s="6">
        <f t="shared" si="88"/>
        <v>0</v>
      </c>
      <c r="J278" s="6">
        <f t="shared" si="89"/>
        <v>0</v>
      </c>
      <c r="K278" s="6">
        <f t="shared" si="90"/>
        <v>0</v>
      </c>
      <c r="L278" s="6">
        <f t="shared" si="91"/>
        <v>0</v>
      </c>
      <c r="M278" s="6">
        <f t="shared" si="92"/>
        <v>0</v>
      </c>
      <c r="N278" s="6">
        <f t="shared" si="93"/>
        <v>0</v>
      </c>
      <c r="O278" s="6">
        <f t="shared" si="94"/>
        <v>0</v>
      </c>
      <c r="P278" s="6">
        <f t="shared" si="95"/>
        <v>0</v>
      </c>
      <c r="Q278" s="6">
        <f t="shared" si="96"/>
        <v>0</v>
      </c>
      <c r="R278" s="6">
        <f t="shared" si="97"/>
        <v>0</v>
      </c>
      <c r="S278" s="6">
        <f t="shared" si="98"/>
        <v>0</v>
      </c>
      <c r="T278" s="6">
        <f t="shared" si="99"/>
        <v>0</v>
      </c>
      <c r="U278" s="6">
        <f t="shared" si="100"/>
        <v>0</v>
      </c>
      <c r="V278" s="6">
        <f t="shared" si="101"/>
        <v>0</v>
      </c>
      <c r="W278" s="6">
        <f t="shared" si="102"/>
        <v>0</v>
      </c>
      <c r="X278" s="6">
        <f t="shared" si="103"/>
        <v>0</v>
      </c>
      <c r="Y278" s="6">
        <f t="shared" si="104"/>
        <v>0</v>
      </c>
      <c r="Z278" s="6">
        <f t="shared" si="105"/>
        <v>0</v>
      </c>
      <c r="AB278" s="36" t="str">
        <f>IF(最佳化斷筋點!C278="","",最佳化斷筋點!C278)</f>
        <v/>
      </c>
      <c r="AC278" s="37" t="str">
        <f>IF(最佳化斷筋點!D278="","",最佳化斷筋點!D278)</f>
        <v/>
      </c>
      <c r="AD278" s="37" t="str">
        <f>IF(最佳化斷筋點!E278="","",最佳化斷筋點!E278)</f>
        <v/>
      </c>
      <c r="AE278" s="37" t="str">
        <f>IF(最佳化斷筋點!F278="","",最佳化斷筋點!F278)</f>
        <v/>
      </c>
      <c r="AF278" s="37" t="str">
        <f>IF(最佳化斷筋點!G278="","",最佳化斷筋點!G278)</f>
        <v/>
      </c>
      <c r="AG278" s="37" t="str">
        <f>IF(最佳化斷筋點!H278="","",最佳化斷筋點!H278)</f>
        <v/>
      </c>
      <c r="AH278" s="37" t="str">
        <f>IF(最佳化斷筋點!I278="","",最佳化斷筋點!I278)</f>
        <v/>
      </c>
      <c r="AI278" s="37" t="str">
        <f>IF(最佳化斷筋點!J278="","",最佳化斷筋點!J278)</f>
        <v/>
      </c>
      <c r="AJ278" s="37" t="str">
        <f>IF(最佳化斷筋點!K278="","",最佳化斷筋點!K278)</f>
        <v/>
      </c>
      <c r="AK278" s="37" t="str">
        <f>IF(最佳化斷筋點!L278="","",最佳化斷筋點!L278)</f>
        <v/>
      </c>
      <c r="AL278" s="37" t="str">
        <f>IF(最佳化斷筋點!M278="","",最佳化斷筋點!M278)</f>
        <v/>
      </c>
      <c r="AM278" s="37" t="str">
        <f>IF(最佳化斷筋點!N278="","",最佳化斷筋點!N278)</f>
        <v/>
      </c>
      <c r="AN278" s="37" t="str">
        <f>IF(最佳化斷筋點!O278="","",最佳化斷筋點!O278)</f>
        <v/>
      </c>
      <c r="AO278" s="37" t="str">
        <f>IF(最佳化斷筋點!P278="","",最佳化斷筋點!P278)</f>
        <v/>
      </c>
      <c r="AP278" s="37" t="str">
        <f>IF(最佳化斷筋點!Q278="","",最佳化斷筋點!Q278)</f>
        <v/>
      </c>
      <c r="AQ278" s="37" t="str">
        <f>IF(最佳化斷筋點!R278="","",最佳化斷筋點!R278)</f>
        <v/>
      </c>
      <c r="AR278" s="37" t="str">
        <f>IF(最佳化斷筋點!S278="","",最佳化斷筋點!S278)</f>
        <v/>
      </c>
      <c r="AS278" s="37" t="str">
        <f>IF(最佳化斷筋點!T278="","",最佳化斷筋點!T278)</f>
        <v/>
      </c>
      <c r="AT278" s="37" t="str">
        <f>IF(最佳化斷筋點!U278="","",最佳化斷筋點!U278)</f>
        <v/>
      </c>
      <c r="AU278" s="37" t="str">
        <f>IF(最佳化斷筋點!V278="","",最佳化斷筋點!V278)</f>
        <v/>
      </c>
      <c r="AV278" s="37" t="str">
        <f>IF(最佳化斷筋點!W278="","",最佳化斷筋點!W278)</f>
        <v/>
      </c>
      <c r="AW278" s="37" t="str">
        <f>IF(最佳化斷筋點!X278="","",最佳化斷筋點!X278)</f>
        <v/>
      </c>
      <c r="AZ278" s="37" t="s">
        <v>197</v>
      </c>
      <c r="BA278" s="37" t="s">
        <v>197</v>
      </c>
      <c r="BB278" s="37" t="s">
        <v>197</v>
      </c>
      <c r="BC278" s="37" t="s">
        <v>197</v>
      </c>
      <c r="BD278" s="37" t="s">
        <v>197</v>
      </c>
      <c r="BE278" s="37" t="s">
        <v>197</v>
      </c>
      <c r="BF278" s="37" t="s">
        <v>197</v>
      </c>
      <c r="BG278" s="37" t="s">
        <v>197</v>
      </c>
      <c r="BH278" s="37" t="s">
        <v>197</v>
      </c>
      <c r="BI278" s="37" t="s">
        <v>197</v>
      </c>
      <c r="BJ278" s="37" t="s">
        <v>197</v>
      </c>
      <c r="BK278" s="37" t="s">
        <v>197</v>
      </c>
      <c r="BL278" s="37" t="s">
        <v>197</v>
      </c>
      <c r="BM278" s="37" t="s">
        <v>197</v>
      </c>
      <c r="BN278" s="37" t="s">
        <v>197</v>
      </c>
      <c r="BO278" s="37" t="s">
        <v>197</v>
      </c>
      <c r="BP278" s="37" t="s">
        <v>197</v>
      </c>
      <c r="BQ278" s="37" t="s">
        <v>197</v>
      </c>
      <c r="BR278" s="37" t="s">
        <v>197</v>
      </c>
      <c r="BS278" s="37" t="s">
        <v>197</v>
      </c>
      <c r="BT278" s="37" t="s">
        <v>197</v>
      </c>
    </row>
    <row r="279" spans="5:72" x14ac:dyDescent="0.25">
      <c r="E279" s="6" t="s">
        <v>20</v>
      </c>
      <c r="F279" s="6">
        <f t="shared" si="85"/>
        <v>0</v>
      </c>
      <c r="G279" s="6">
        <f t="shared" si="86"/>
        <v>0</v>
      </c>
      <c r="H279" s="6">
        <f t="shared" si="87"/>
        <v>0</v>
      </c>
      <c r="I279" s="6">
        <f t="shared" si="88"/>
        <v>0</v>
      </c>
      <c r="J279" s="6">
        <f t="shared" si="89"/>
        <v>0</v>
      </c>
      <c r="K279" s="6">
        <f t="shared" si="90"/>
        <v>0</v>
      </c>
      <c r="L279" s="6">
        <f t="shared" si="91"/>
        <v>0</v>
      </c>
      <c r="M279" s="6">
        <f t="shared" si="92"/>
        <v>0</v>
      </c>
      <c r="N279" s="6">
        <f t="shared" si="93"/>
        <v>0</v>
      </c>
      <c r="O279" s="6">
        <f t="shared" si="94"/>
        <v>0</v>
      </c>
      <c r="P279" s="6">
        <f t="shared" si="95"/>
        <v>0</v>
      </c>
      <c r="Q279" s="6">
        <f t="shared" si="96"/>
        <v>0</v>
      </c>
      <c r="R279" s="6">
        <f t="shared" si="97"/>
        <v>0</v>
      </c>
      <c r="S279" s="6">
        <f t="shared" si="98"/>
        <v>0</v>
      </c>
      <c r="T279" s="6">
        <f t="shared" si="99"/>
        <v>0</v>
      </c>
      <c r="U279" s="6">
        <f t="shared" si="100"/>
        <v>0</v>
      </c>
      <c r="V279" s="6">
        <f t="shared" si="101"/>
        <v>0</v>
      </c>
      <c r="W279" s="6">
        <f t="shared" si="102"/>
        <v>0</v>
      </c>
      <c r="X279" s="6">
        <f t="shared" si="103"/>
        <v>0</v>
      </c>
      <c r="Y279" s="6">
        <f t="shared" si="104"/>
        <v>0</v>
      </c>
      <c r="Z279" s="6">
        <f t="shared" si="105"/>
        <v>0</v>
      </c>
      <c r="AB279" s="36" t="str">
        <f>IF(最佳化斷筋點!C279="","",最佳化斷筋點!C279)</f>
        <v>上層</v>
      </c>
      <c r="AC279" s="37">
        <f>IF(最佳化斷筋點!D279="","",最佳化斷筋點!D279)</f>
        <v>9</v>
      </c>
      <c r="AD279" s="37">
        <f>IF(最佳化斷筋點!E279="","",最佳化斷筋點!E279)</f>
        <v>9</v>
      </c>
      <c r="AE279" s="37">
        <f>IF(最佳化斷筋點!F279="","",最佳化斷筋點!F279)</f>
        <v>9</v>
      </c>
      <c r="AF279" s="37">
        <f>IF(最佳化斷筋點!G279="","",最佳化斷筋點!G279)</f>
        <v>9</v>
      </c>
      <c r="AG279" s="37">
        <f>IF(最佳化斷筋點!H279="","",最佳化斷筋點!H279)</f>
        <v>9</v>
      </c>
      <c r="AH279" s="37">
        <f>IF(最佳化斷筋點!I279="","",最佳化斷筋點!I279)</f>
        <v>9</v>
      </c>
      <c r="AI279" s="37">
        <f>IF(最佳化斷筋點!J279="","",最佳化斷筋點!J279)</f>
        <v>9</v>
      </c>
      <c r="AJ279" s="37">
        <f>IF(最佳化斷筋點!K279="","",最佳化斷筋點!K279)</f>
        <v>3</v>
      </c>
      <c r="AK279" s="37">
        <f>IF(最佳化斷筋點!L279="","",最佳化斷筋點!L279)</f>
        <v>3</v>
      </c>
      <c r="AL279" s="37">
        <f>IF(最佳化斷筋點!M279="","",最佳化斷筋點!M279)</f>
        <v>3</v>
      </c>
      <c r="AM279" s="37">
        <f>IF(最佳化斷筋點!N279="","",最佳化斷筋點!N279)</f>
        <v>3</v>
      </c>
      <c r="AN279" s="37">
        <f>IF(最佳化斷筋點!O279="","",最佳化斷筋點!O279)</f>
        <v>3</v>
      </c>
      <c r="AO279" s="37">
        <f>IF(最佳化斷筋點!P279="","",最佳化斷筋點!P279)</f>
        <v>3</v>
      </c>
      <c r="AP279" s="37">
        <f>IF(最佳化斷筋點!Q279="","",最佳化斷筋點!Q279)</f>
        <v>6</v>
      </c>
      <c r="AQ279" s="37">
        <f>IF(最佳化斷筋點!R279="","",最佳化斷筋點!R279)</f>
        <v>6</v>
      </c>
      <c r="AR279" s="37">
        <f>IF(最佳化斷筋點!S279="","",最佳化斷筋點!S279)</f>
        <v>7</v>
      </c>
      <c r="AS279" s="37">
        <f>IF(最佳化斷筋點!T279="","",最佳化斷筋點!T279)</f>
        <v>7</v>
      </c>
      <c r="AT279" s="37">
        <f>IF(最佳化斷筋點!U279="","",最佳化斷筋點!U279)</f>
        <v>7</v>
      </c>
      <c r="AU279" s="37">
        <f>IF(最佳化斷筋點!V279="","",最佳化斷筋點!V279)</f>
        <v>7</v>
      </c>
      <c r="AV279" s="37">
        <f>IF(最佳化斷筋點!W279="","",最佳化斷筋點!W279)</f>
        <v>7</v>
      </c>
      <c r="AW279" s="37">
        <f>IF(最佳化斷筋點!X279="","",最佳化斷筋點!X279)</f>
        <v>7</v>
      </c>
      <c r="AY279" s="6" t="s">
        <v>20</v>
      </c>
      <c r="AZ279" s="37">
        <v>9</v>
      </c>
      <c r="BA279" s="37">
        <v>9</v>
      </c>
      <c r="BB279" s="37">
        <v>9</v>
      </c>
      <c r="BC279" s="37">
        <v>9</v>
      </c>
      <c r="BD279" s="37">
        <v>9</v>
      </c>
      <c r="BE279" s="37">
        <v>9</v>
      </c>
      <c r="BF279" s="37">
        <v>9</v>
      </c>
      <c r="BG279" s="37">
        <v>3</v>
      </c>
      <c r="BH279" s="37">
        <v>3</v>
      </c>
      <c r="BI279" s="37">
        <v>3</v>
      </c>
      <c r="BJ279" s="37">
        <v>3</v>
      </c>
      <c r="BK279" s="37">
        <v>3</v>
      </c>
      <c r="BL279" s="37">
        <v>3</v>
      </c>
      <c r="BM279" s="37">
        <v>6</v>
      </c>
      <c r="BN279" s="37">
        <v>6</v>
      </c>
      <c r="BO279" s="37">
        <v>7</v>
      </c>
      <c r="BP279" s="37">
        <v>7</v>
      </c>
      <c r="BQ279" s="37">
        <v>7</v>
      </c>
      <c r="BR279" s="37">
        <v>7</v>
      </c>
      <c r="BS279" s="37">
        <v>7</v>
      </c>
      <c r="BT279" s="37">
        <v>7</v>
      </c>
    </row>
    <row r="280" spans="5:72" x14ac:dyDescent="0.25">
      <c r="F280" s="6">
        <f t="shared" si="85"/>
        <v>0</v>
      </c>
      <c r="G280" s="6">
        <f t="shared" si="86"/>
        <v>0</v>
      </c>
      <c r="H280" s="6">
        <f t="shared" si="87"/>
        <v>0</v>
      </c>
      <c r="I280" s="6">
        <f t="shared" si="88"/>
        <v>0</v>
      </c>
      <c r="J280" s="6">
        <f t="shared" si="89"/>
        <v>0</v>
      </c>
      <c r="K280" s="6">
        <f t="shared" si="90"/>
        <v>0</v>
      </c>
      <c r="L280" s="6">
        <f t="shared" si="91"/>
        <v>0</v>
      </c>
      <c r="M280" s="6">
        <f t="shared" si="92"/>
        <v>0</v>
      </c>
      <c r="N280" s="6">
        <f t="shared" si="93"/>
        <v>0</v>
      </c>
      <c r="O280" s="6">
        <f t="shared" si="94"/>
        <v>0</v>
      </c>
      <c r="P280" s="6">
        <f t="shared" si="95"/>
        <v>0</v>
      </c>
      <c r="Q280" s="6">
        <f t="shared" si="96"/>
        <v>0</v>
      </c>
      <c r="R280" s="6">
        <f t="shared" si="97"/>
        <v>0</v>
      </c>
      <c r="S280" s="6">
        <f t="shared" si="98"/>
        <v>0</v>
      </c>
      <c r="T280" s="6">
        <f t="shared" si="99"/>
        <v>0</v>
      </c>
      <c r="U280" s="6">
        <f t="shared" si="100"/>
        <v>0</v>
      </c>
      <c r="V280" s="6">
        <f t="shared" si="101"/>
        <v>0</v>
      </c>
      <c r="W280" s="6">
        <f t="shared" si="102"/>
        <v>0</v>
      </c>
      <c r="X280" s="6">
        <f t="shared" si="103"/>
        <v>0</v>
      </c>
      <c r="Y280" s="6">
        <f t="shared" si="104"/>
        <v>0</v>
      </c>
      <c r="Z280" s="6">
        <f t="shared" si="105"/>
        <v>0</v>
      </c>
      <c r="AB280" s="36" t="str">
        <f>IF(最佳化斷筋點!C280="","",最佳化斷筋點!C280)</f>
        <v/>
      </c>
      <c r="AC280" s="37" t="str">
        <f>IF(最佳化斷筋點!D280="","",最佳化斷筋點!D280)</f>
        <v/>
      </c>
      <c r="AD280" s="37" t="str">
        <f>IF(最佳化斷筋點!E280="","",最佳化斷筋點!E280)</f>
        <v/>
      </c>
      <c r="AE280" s="37" t="str">
        <f>IF(最佳化斷筋點!F280="","",最佳化斷筋點!F280)</f>
        <v/>
      </c>
      <c r="AF280" s="37" t="str">
        <f>IF(最佳化斷筋點!G280="","",最佳化斷筋點!G280)</f>
        <v/>
      </c>
      <c r="AG280" s="37" t="str">
        <f>IF(最佳化斷筋點!H280="","",最佳化斷筋點!H280)</f>
        <v/>
      </c>
      <c r="AH280" s="37" t="str">
        <f>IF(最佳化斷筋點!I280="","",最佳化斷筋點!I280)</f>
        <v/>
      </c>
      <c r="AI280" s="37" t="str">
        <f>IF(最佳化斷筋點!J280="","",最佳化斷筋點!J280)</f>
        <v/>
      </c>
      <c r="AJ280" s="37" t="str">
        <f>IF(最佳化斷筋點!K280="","",最佳化斷筋點!K280)</f>
        <v/>
      </c>
      <c r="AK280" s="37" t="str">
        <f>IF(最佳化斷筋點!L280="","",最佳化斷筋點!L280)</f>
        <v/>
      </c>
      <c r="AL280" s="37" t="str">
        <f>IF(最佳化斷筋點!M280="","",最佳化斷筋點!M280)</f>
        <v/>
      </c>
      <c r="AM280" s="37" t="str">
        <f>IF(最佳化斷筋點!N280="","",最佳化斷筋點!N280)</f>
        <v/>
      </c>
      <c r="AN280" s="37" t="str">
        <f>IF(最佳化斷筋點!O280="","",最佳化斷筋點!O280)</f>
        <v/>
      </c>
      <c r="AO280" s="37" t="str">
        <f>IF(最佳化斷筋點!P280="","",最佳化斷筋點!P280)</f>
        <v/>
      </c>
      <c r="AP280" s="37" t="str">
        <f>IF(最佳化斷筋點!Q280="","",最佳化斷筋點!Q280)</f>
        <v/>
      </c>
      <c r="AQ280" s="37" t="str">
        <f>IF(最佳化斷筋點!R280="","",最佳化斷筋點!R280)</f>
        <v/>
      </c>
      <c r="AR280" s="37" t="str">
        <f>IF(最佳化斷筋點!S280="","",最佳化斷筋點!S280)</f>
        <v/>
      </c>
      <c r="AS280" s="37" t="str">
        <f>IF(最佳化斷筋點!T280="","",最佳化斷筋點!T280)</f>
        <v/>
      </c>
      <c r="AT280" s="37" t="str">
        <f>IF(最佳化斷筋點!U280="","",最佳化斷筋點!U280)</f>
        <v/>
      </c>
      <c r="AU280" s="37" t="str">
        <f>IF(最佳化斷筋點!V280="","",最佳化斷筋點!V280)</f>
        <v/>
      </c>
      <c r="AV280" s="37" t="str">
        <f>IF(最佳化斷筋點!W280="","",最佳化斷筋點!W280)</f>
        <v/>
      </c>
      <c r="AW280" s="37" t="str">
        <f>IF(最佳化斷筋點!X280="","",最佳化斷筋點!X280)</f>
        <v/>
      </c>
      <c r="AZ280" s="37" t="s">
        <v>197</v>
      </c>
      <c r="BA280" s="37" t="s">
        <v>197</v>
      </c>
      <c r="BB280" s="37" t="s">
        <v>197</v>
      </c>
      <c r="BC280" s="37" t="s">
        <v>197</v>
      </c>
      <c r="BD280" s="37" t="s">
        <v>197</v>
      </c>
      <c r="BE280" s="37" t="s">
        <v>197</v>
      </c>
      <c r="BF280" s="37" t="s">
        <v>197</v>
      </c>
      <c r="BG280" s="37" t="s">
        <v>197</v>
      </c>
      <c r="BH280" s="37" t="s">
        <v>197</v>
      </c>
      <c r="BI280" s="37" t="s">
        <v>197</v>
      </c>
      <c r="BJ280" s="37" t="s">
        <v>197</v>
      </c>
      <c r="BK280" s="37" t="s">
        <v>197</v>
      </c>
      <c r="BL280" s="37" t="s">
        <v>197</v>
      </c>
      <c r="BM280" s="37" t="s">
        <v>197</v>
      </c>
      <c r="BN280" s="37" t="s">
        <v>197</v>
      </c>
      <c r="BO280" s="37" t="s">
        <v>197</v>
      </c>
      <c r="BP280" s="37" t="s">
        <v>197</v>
      </c>
      <c r="BQ280" s="37" t="s">
        <v>197</v>
      </c>
      <c r="BR280" s="37" t="s">
        <v>197</v>
      </c>
      <c r="BS280" s="37" t="s">
        <v>197</v>
      </c>
      <c r="BT280" s="37" t="s">
        <v>197</v>
      </c>
    </row>
    <row r="281" spans="5:72" x14ac:dyDescent="0.25">
      <c r="E281" s="6" t="s">
        <v>21</v>
      </c>
      <c r="F281" s="6">
        <f t="shared" si="85"/>
        <v>0</v>
      </c>
      <c r="G281" s="6">
        <f t="shared" si="86"/>
        <v>0</v>
      </c>
      <c r="H281" s="6">
        <f t="shared" si="87"/>
        <v>0</v>
      </c>
      <c r="I281" s="6">
        <f t="shared" si="88"/>
        <v>0</v>
      </c>
      <c r="J281" s="6">
        <f t="shared" si="89"/>
        <v>0</v>
      </c>
      <c r="K281" s="6">
        <f t="shared" si="90"/>
        <v>0</v>
      </c>
      <c r="L281" s="6">
        <f t="shared" si="91"/>
        <v>0</v>
      </c>
      <c r="M281" s="6">
        <f t="shared" si="92"/>
        <v>0</v>
      </c>
      <c r="N281" s="6">
        <f t="shared" si="93"/>
        <v>0</v>
      </c>
      <c r="O281" s="6">
        <f t="shared" si="94"/>
        <v>0</v>
      </c>
      <c r="P281" s="6">
        <f t="shared" si="95"/>
        <v>0</v>
      </c>
      <c r="Q281" s="6">
        <f t="shared" si="96"/>
        <v>0</v>
      </c>
      <c r="R281" s="6">
        <f t="shared" si="97"/>
        <v>0</v>
      </c>
      <c r="S281" s="6">
        <f t="shared" si="98"/>
        <v>0</v>
      </c>
      <c r="T281" s="6">
        <f t="shared" si="99"/>
        <v>0</v>
      </c>
      <c r="U281" s="6">
        <f t="shared" si="100"/>
        <v>0</v>
      </c>
      <c r="V281" s="6">
        <f t="shared" si="101"/>
        <v>0</v>
      </c>
      <c r="W281" s="6">
        <f t="shared" si="102"/>
        <v>0</v>
      </c>
      <c r="X281" s="6">
        <f t="shared" si="103"/>
        <v>0</v>
      </c>
      <c r="Y281" s="6">
        <f t="shared" si="104"/>
        <v>0</v>
      </c>
      <c r="Z281" s="6">
        <f t="shared" si="105"/>
        <v>0</v>
      </c>
      <c r="AB281" s="36" t="str">
        <f>IF(最佳化斷筋點!C281="","",最佳化斷筋點!C281)</f>
        <v>下層</v>
      </c>
      <c r="AC281" s="37">
        <f>IF(最佳化斷筋點!D281="","",最佳化斷筋點!D281)</f>
        <v>7</v>
      </c>
      <c r="AD281" s="37">
        <f>IF(最佳化斷筋點!E281="","",最佳化斷筋點!E281)</f>
        <v>7</v>
      </c>
      <c r="AE281" s="37">
        <f>IF(最佳化斷筋點!F281="","",最佳化斷筋點!F281)</f>
        <v>7</v>
      </c>
      <c r="AF281" s="37">
        <f>IF(最佳化斷筋點!G281="","",最佳化斷筋點!G281)</f>
        <v>7</v>
      </c>
      <c r="AG281" s="37">
        <f>IF(最佳化斷筋點!H281="","",最佳化斷筋點!H281)</f>
        <v>7</v>
      </c>
      <c r="AH281" s="37">
        <f>IF(最佳化斷筋點!I281="","",最佳化斷筋點!I281)</f>
        <v>7</v>
      </c>
      <c r="AI281" s="37">
        <f>IF(最佳化斷筋點!J281="","",最佳化斷筋點!J281)</f>
        <v>6</v>
      </c>
      <c r="AJ281" s="37">
        <f>IF(最佳化斷筋點!K281="","",最佳化斷筋點!K281)</f>
        <v>4</v>
      </c>
      <c r="AK281" s="37">
        <f>IF(最佳化斷筋點!L281="","",最佳化斷筋點!L281)</f>
        <v>4</v>
      </c>
      <c r="AL281" s="37">
        <f>IF(最佳化斷筋點!M281="","",最佳化斷筋點!M281)</f>
        <v>4</v>
      </c>
      <c r="AM281" s="37">
        <f>IF(最佳化斷筋點!N281="","",最佳化斷筋點!N281)</f>
        <v>4</v>
      </c>
      <c r="AN281" s="37">
        <f>IF(最佳化斷筋點!O281="","",最佳化斷筋點!O281)</f>
        <v>4</v>
      </c>
      <c r="AO281" s="37">
        <f>IF(最佳化斷筋點!P281="","",最佳化斷筋點!P281)</f>
        <v>4</v>
      </c>
      <c r="AP281" s="37">
        <f>IF(最佳化斷筋點!Q281="","",最佳化斷筋點!Q281)</f>
        <v>6</v>
      </c>
      <c r="AQ281" s="37">
        <f>IF(最佳化斷筋點!R281="","",最佳化斷筋點!R281)</f>
        <v>7</v>
      </c>
      <c r="AR281" s="37">
        <f>IF(最佳化斷筋點!S281="","",最佳化斷筋點!S281)</f>
        <v>8</v>
      </c>
      <c r="AS281" s="37">
        <f>IF(最佳化斷筋點!T281="","",最佳化斷筋點!T281)</f>
        <v>8</v>
      </c>
      <c r="AT281" s="37">
        <f>IF(最佳化斷筋點!U281="","",最佳化斷筋點!U281)</f>
        <v>8</v>
      </c>
      <c r="AU281" s="37">
        <f>IF(最佳化斷筋點!V281="","",最佳化斷筋點!V281)</f>
        <v>8</v>
      </c>
      <c r="AV281" s="37">
        <f>IF(最佳化斷筋點!W281="","",最佳化斷筋點!W281)</f>
        <v>8</v>
      </c>
      <c r="AW281" s="37">
        <f>IF(最佳化斷筋點!X281="","",最佳化斷筋點!X281)</f>
        <v>8</v>
      </c>
      <c r="AY281" s="6" t="s">
        <v>21</v>
      </c>
      <c r="AZ281" s="37">
        <v>7</v>
      </c>
      <c r="BA281" s="37">
        <v>7</v>
      </c>
      <c r="BB281" s="37">
        <v>7</v>
      </c>
      <c r="BC281" s="37">
        <v>7</v>
      </c>
      <c r="BD281" s="37">
        <v>7</v>
      </c>
      <c r="BE281" s="37">
        <v>7</v>
      </c>
      <c r="BF281" s="37">
        <v>6</v>
      </c>
      <c r="BG281" s="37">
        <v>4</v>
      </c>
      <c r="BH281" s="37">
        <v>4</v>
      </c>
      <c r="BI281" s="37">
        <v>4</v>
      </c>
      <c r="BJ281" s="37">
        <v>4</v>
      </c>
      <c r="BK281" s="37">
        <v>4</v>
      </c>
      <c r="BL281" s="37">
        <v>4</v>
      </c>
      <c r="BM281" s="37">
        <v>6</v>
      </c>
      <c r="BN281" s="37">
        <v>7</v>
      </c>
      <c r="BO281" s="37">
        <v>8</v>
      </c>
      <c r="BP281" s="37">
        <v>8</v>
      </c>
      <c r="BQ281" s="37">
        <v>8</v>
      </c>
      <c r="BR281" s="37">
        <v>8</v>
      </c>
      <c r="BS281" s="37">
        <v>8</v>
      </c>
      <c r="BT281" s="37">
        <v>8</v>
      </c>
    </row>
    <row r="282" spans="5:72" x14ac:dyDescent="0.25">
      <c r="F282" s="6">
        <f t="shared" si="85"/>
        <v>0</v>
      </c>
      <c r="G282" s="6">
        <f t="shared" si="86"/>
        <v>0</v>
      </c>
      <c r="H282" s="6">
        <f t="shared" si="87"/>
        <v>0</v>
      </c>
      <c r="I282" s="6">
        <f t="shared" si="88"/>
        <v>0</v>
      </c>
      <c r="J282" s="6">
        <f t="shared" si="89"/>
        <v>0</v>
      </c>
      <c r="K282" s="6">
        <f t="shared" si="90"/>
        <v>0</v>
      </c>
      <c r="L282" s="6">
        <f t="shared" si="91"/>
        <v>0</v>
      </c>
      <c r="M282" s="6">
        <f t="shared" si="92"/>
        <v>0</v>
      </c>
      <c r="N282" s="6">
        <f t="shared" si="93"/>
        <v>0</v>
      </c>
      <c r="O282" s="6">
        <f t="shared" si="94"/>
        <v>0</v>
      </c>
      <c r="P282" s="6">
        <f t="shared" si="95"/>
        <v>0</v>
      </c>
      <c r="Q282" s="6">
        <f t="shared" si="96"/>
        <v>0</v>
      </c>
      <c r="R282" s="6">
        <f t="shared" si="97"/>
        <v>0</v>
      </c>
      <c r="S282" s="6">
        <f t="shared" si="98"/>
        <v>0</v>
      </c>
      <c r="T282" s="6">
        <f t="shared" si="99"/>
        <v>0</v>
      </c>
      <c r="U282" s="6">
        <f t="shared" si="100"/>
        <v>0</v>
      </c>
      <c r="V282" s="6">
        <f t="shared" si="101"/>
        <v>0</v>
      </c>
      <c r="W282" s="6">
        <f t="shared" si="102"/>
        <v>0</v>
      </c>
      <c r="X282" s="6">
        <f t="shared" si="103"/>
        <v>0</v>
      </c>
      <c r="Y282" s="6">
        <f t="shared" si="104"/>
        <v>0</v>
      </c>
      <c r="Z282" s="6">
        <f t="shared" si="105"/>
        <v>0</v>
      </c>
      <c r="AB282" s="36" t="str">
        <f>IF(最佳化斷筋點!C282="","",最佳化斷筋點!C282)</f>
        <v/>
      </c>
      <c r="AC282" s="37" t="str">
        <f>IF(最佳化斷筋點!D282="","",最佳化斷筋點!D282)</f>
        <v/>
      </c>
      <c r="AD282" s="37" t="str">
        <f>IF(最佳化斷筋點!E282="","",最佳化斷筋點!E282)</f>
        <v/>
      </c>
      <c r="AE282" s="37" t="str">
        <f>IF(最佳化斷筋點!F282="","",最佳化斷筋點!F282)</f>
        <v/>
      </c>
      <c r="AF282" s="37" t="str">
        <f>IF(最佳化斷筋點!G282="","",最佳化斷筋點!G282)</f>
        <v/>
      </c>
      <c r="AG282" s="37" t="str">
        <f>IF(最佳化斷筋點!H282="","",最佳化斷筋點!H282)</f>
        <v/>
      </c>
      <c r="AH282" s="37" t="str">
        <f>IF(最佳化斷筋點!I282="","",最佳化斷筋點!I282)</f>
        <v/>
      </c>
      <c r="AI282" s="37" t="str">
        <f>IF(最佳化斷筋點!J282="","",最佳化斷筋點!J282)</f>
        <v/>
      </c>
      <c r="AJ282" s="37" t="str">
        <f>IF(最佳化斷筋點!K282="","",最佳化斷筋點!K282)</f>
        <v/>
      </c>
      <c r="AK282" s="37" t="str">
        <f>IF(最佳化斷筋點!L282="","",最佳化斷筋點!L282)</f>
        <v/>
      </c>
      <c r="AL282" s="37" t="str">
        <f>IF(最佳化斷筋點!M282="","",最佳化斷筋點!M282)</f>
        <v/>
      </c>
      <c r="AM282" s="37" t="str">
        <f>IF(最佳化斷筋點!N282="","",最佳化斷筋點!N282)</f>
        <v/>
      </c>
      <c r="AN282" s="37" t="str">
        <f>IF(最佳化斷筋點!O282="","",最佳化斷筋點!O282)</f>
        <v/>
      </c>
      <c r="AO282" s="37" t="str">
        <f>IF(最佳化斷筋點!P282="","",最佳化斷筋點!P282)</f>
        <v/>
      </c>
      <c r="AP282" s="37" t="str">
        <f>IF(最佳化斷筋點!Q282="","",最佳化斷筋點!Q282)</f>
        <v/>
      </c>
      <c r="AQ282" s="37" t="str">
        <f>IF(最佳化斷筋點!R282="","",最佳化斷筋點!R282)</f>
        <v/>
      </c>
      <c r="AR282" s="37" t="str">
        <f>IF(最佳化斷筋點!S282="","",最佳化斷筋點!S282)</f>
        <v/>
      </c>
      <c r="AS282" s="37" t="str">
        <f>IF(最佳化斷筋點!T282="","",最佳化斷筋點!T282)</f>
        <v/>
      </c>
      <c r="AT282" s="37" t="str">
        <f>IF(最佳化斷筋點!U282="","",最佳化斷筋點!U282)</f>
        <v/>
      </c>
      <c r="AU282" s="37" t="str">
        <f>IF(最佳化斷筋點!V282="","",最佳化斷筋點!V282)</f>
        <v/>
      </c>
      <c r="AV282" s="37" t="str">
        <f>IF(最佳化斷筋點!W282="","",最佳化斷筋點!W282)</f>
        <v/>
      </c>
      <c r="AW282" s="37" t="str">
        <f>IF(最佳化斷筋點!X282="","",最佳化斷筋點!X282)</f>
        <v/>
      </c>
      <c r="AZ282" s="37" t="s">
        <v>197</v>
      </c>
      <c r="BA282" s="37" t="s">
        <v>197</v>
      </c>
      <c r="BB282" s="37" t="s">
        <v>197</v>
      </c>
      <c r="BC282" s="37" t="s">
        <v>197</v>
      </c>
      <c r="BD282" s="37" t="s">
        <v>197</v>
      </c>
      <c r="BE282" s="37" t="s">
        <v>197</v>
      </c>
      <c r="BF282" s="37" t="s">
        <v>197</v>
      </c>
      <c r="BG282" s="37" t="s">
        <v>197</v>
      </c>
      <c r="BH282" s="37" t="s">
        <v>197</v>
      </c>
      <c r="BI282" s="37" t="s">
        <v>197</v>
      </c>
      <c r="BJ282" s="37" t="s">
        <v>197</v>
      </c>
      <c r="BK282" s="37" t="s">
        <v>197</v>
      </c>
      <c r="BL282" s="37" t="s">
        <v>197</v>
      </c>
      <c r="BM282" s="37" t="s">
        <v>197</v>
      </c>
      <c r="BN282" s="37" t="s">
        <v>197</v>
      </c>
      <c r="BO282" s="37" t="s">
        <v>197</v>
      </c>
      <c r="BP282" s="37" t="s">
        <v>197</v>
      </c>
      <c r="BQ282" s="37" t="s">
        <v>197</v>
      </c>
      <c r="BR282" s="37" t="s">
        <v>197</v>
      </c>
      <c r="BS282" s="37" t="s">
        <v>197</v>
      </c>
      <c r="BT282" s="37" t="s">
        <v>197</v>
      </c>
    </row>
    <row r="283" spans="5:72" x14ac:dyDescent="0.25">
      <c r="E283" s="6" t="s">
        <v>20</v>
      </c>
      <c r="F283" s="6">
        <f t="shared" si="85"/>
        <v>0</v>
      </c>
      <c r="G283" s="6">
        <f t="shared" si="86"/>
        <v>0</v>
      </c>
      <c r="H283" s="6">
        <f t="shared" si="87"/>
        <v>0</v>
      </c>
      <c r="I283" s="6">
        <f t="shared" si="88"/>
        <v>0</v>
      </c>
      <c r="J283" s="6">
        <f t="shared" si="89"/>
        <v>0</v>
      </c>
      <c r="K283" s="6">
        <f t="shared" si="90"/>
        <v>0</v>
      </c>
      <c r="L283" s="6">
        <f t="shared" si="91"/>
        <v>0</v>
      </c>
      <c r="M283" s="6">
        <f t="shared" si="92"/>
        <v>0</v>
      </c>
      <c r="N283" s="6">
        <f t="shared" si="93"/>
        <v>0</v>
      </c>
      <c r="O283" s="6">
        <f t="shared" si="94"/>
        <v>0</v>
      </c>
      <c r="P283" s="6">
        <f t="shared" si="95"/>
        <v>0</v>
      </c>
      <c r="Q283" s="6">
        <f t="shared" si="96"/>
        <v>0</v>
      </c>
      <c r="R283" s="6">
        <f t="shared" si="97"/>
        <v>0</v>
      </c>
      <c r="S283" s="6">
        <f t="shared" si="98"/>
        <v>0</v>
      </c>
      <c r="T283" s="6">
        <f t="shared" si="99"/>
        <v>0</v>
      </c>
      <c r="U283" s="6">
        <f t="shared" si="100"/>
        <v>0</v>
      </c>
      <c r="V283" s="6">
        <f t="shared" si="101"/>
        <v>0</v>
      </c>
      <c r="W283" s="6">
        <f t="shared" si="102"/>
        <v>0</v>
      </c>
      <c r="X283" s="6">
        <f t="shared" si="103"/>
        <v>0</v>
      </c>
      <c r="Y283" s="6">
        <f t="shared" si="104"/>
        <v>0</v>
      </c>
      <c r="Z283" s="6">
        <f t="shared" si="105"/>
        <v>0</v>
      </c>
      <c r="AB283" s="36" t="str">
        <f>IF(最佳化斷筋點!C283="","",最佳化斷筋點!C283)</f>
        <v>上層</v>
      </c>
      <c r="AC283" s="37">
        <f>IF(最佳化斷筋點!D283="","",最佳化斷筋點!D283)</f>
        <v>7</v>
      </c>
      <c r="AD283" s="37">
        <f>IF(最佳化斷筋點!E283="","",最佳化斷筋點!E283)</f>
        <v>7</v>
      </c>
      <c r="AE283" s="37">
        <f>IF(最佳化斷筋點!F283="","",最佳化斷筋點!F283)</f>
        <v>7</v>
      </c>
      <c r="AF283" s="37">
        <f>IF(最佳化斷筋點!G283="","",最佳化斷筋點!G283)</f>
        <v>7</v>
      </c>
      <c r="AG283" s="37">
        <f>IF(最佳化斷筋點!H283="","",最佳化斷筋點!H283)</f>
        <v>7</v>
      </c>
      <c r="AH283" s="37">
        <f>IF(最佳化斷筋點!I283="","",最佳化斷筋點!I283)</f>
        <v>6</v>
      </c>
      <c r="AI283" s="37">
        <f>IF(最佳化斷筋點!J283="","",最佳化斷筋點!J283)</f>
        <v>6</v>
      </c>
      <c r="AJ283" s="37">
        <f>IF(最佳化斷筋點!K283="","",最佳化斷筋點!K283)</f>
        <v>4</v>
      </c>
      <c r="AK283" s="37">
        <f>IF(最佳化斷筋點!L283="","",最佳化斷筋點!L283)</f>
        <v>4</v>
      </c>
      <c r="AL283" s="37">
        <f>IF(最佳化斷筋點!M283="","",最佳化斷筋點!M283)</f>
        <v>4</v>
      </c>
      <c r="AM283" s="37">
        <f>IF(最佳化斷筋點!N283="","",最佳化斷筋點!N283)</f>
        <v>4</v>
      </c>
      <c r="AN283" s="37">
        <f>IF(最佳化斷筋點!O283="","",最佳化斷筋點!O283)</f>
        <v>4</v>
      </c>
      <c r="AO283" s="37">
        <f>IF(最佳化斷筋點!P283="","",最佳化斷筋點!P283)</f>
        <v>4</v>
      </c>
      <c r="AP283" s="37">
        <f>IF(最佳化斷筋點!Q283="","",最佳化斷筋點!Q283)</f>
        <v>7</v>
      </c>
      <c r="AQ283" s="37">
        <f>IF(最佳化斷筋點!R283="","",最佳化斷筋點!R283)</f>
        <v>8</v>
      </c>
      <c r="AR283" s="37">
        <f>IF(最佳化斷筋點!S283="","",最佳化斷筋點!S283)</f>
        <v>9</v>
      </c>
      <c r="AS283" s="37">
        <f>IF(最佳化斷筋點!T283="","",最佳化斷筋點!T283)</f>
        <v>10</v>
      </c>
      <c r="AT283" s="37">
        <f>IF(最佳化斷筋點!U283="","",最佳化斷筋點!U283)</f>
        <v>10</v>
      </c>
      <c r="AU283" s="37">
        <f>IF(最佳化斷筋點!V283="","",最佳化斷筋點!V283)</f>
        <v>10</v>
      </c>
      <c r="AV283" s="37">
        <f>IF(最佳化斷筋點!W283="","",最佳化斷筋點!W283)</f>
        <v>10</v>
      </c>
      <c r="AW283" s="37">
        <f>IF(最佳化斷筋點!X283="","",最佳化斷筋點!X283)</f>
        <v>10</v>
      </c>
      <c r="AY283" s="6" t="s">
        <v>20</v>
      </c>
      <c r="AZ283" s="37">
        <v>7</v>
      </c>
      <c r="BA283" s="37">
        <v>7</v>
      </c>
      <c r="BB283" s="37">
        <v>7</v>
      </c>
      <c r="BC283" s="37">
        <v>7</v>
      </c>
      <c r="BD283" s="37">
        <v>7</v>
      </c>
      <c r="BE283" s="37">
        <v>6</v>
      </c>
      <c r="BF283" s="37">
        <v>6</v>
      </c>
      <c r="BG283" s="37">
        <v>4</v>
      </c>
      <c r="BH283" s="37">
        <v>4</v>
      </c>
      <c r="BI283" s="37">
        <v>4</v>
      </c>
      <c r="BJ283" s="37">
        <v>4</v>
      </c>
      <c r="BK283" s="37">
        <v>4</v>
      </c>
      <c r="BL283" s="37">
        <v>4</v>
      </c>
      <c r="BM283" s="37">
        <v>7</v>
      </c>
      <c r="BN283" s="37">
        <v>8</v>
      </c>
      <c r="BO283" s="37">
        <v>9</v>
      </c>
      <c r="BP283" s="37">
        <v>10</v>
      </c>
      <c r="BQ283" s="37">
        <v>10</v>
      </c>
      <c r="BR283" s="37">
        <v>10</v>
      </c>
      <c r="BS283" s="37">
        <v>10</v>
      </c>
      <c r="BT283" s="37">
        <v>10</v>
      </c>
    </row>
    <row r="284" spans="5:72" x14ac:dyDescent="0.25">
      <c r="F284" s="6">
        <f t="shared" si="85"/>
        <v>0</v>
      </c>
      <c r="G284" s="6">
        <f t="shared" si="86"/>
        <v>0</v>
      </c>
      <c r="H284" s="6">
        <f t="shared" si="87"/>
        <v>0</v>
      </c>
      <c r="I284" s="6">
        <f t="shared" si="88"/>
        <v>0</v>
      </c>
      <c r="J284" s="6">
        <f t="shared" si="89"/>
        <v>0</v>
      </c>
      <c r="K284" s="6">
        <f t="shared" si="90"/>
        <v>0</v>
      </c>
      <c r="L284" s="6">
        <f t="shared" si="91"/>
        <v>0</v>
      </c>
      <c r="M284" s="6">
        <f t="shared" si="92"/>
        <v>0</v>
      </c>
      <c r="N284" s="6">
        <f t="shared" si="93"/>
        <v>0</v>
      </c>
      <c r="O284" s="6">
        <f t="shared" si="94"/>
        <v>0</v>
      </c>
      <c r="P284" s="6">
        <f t="shared" si="95"/>
        <v>0</v>
      </c>
      <c r="Q284" s="6">
        <f t="shared" si="96"/>
        <v>0</v>
      </c>
      <c r="R284" s="6">
        <f t="shared" si="97"/>
        <v>0</v>
      </c>
      <c r="S284" s="6">
        <f t="shared" si="98"/>
        <v>0</v>
      </c>
      <c r="T284" s="6">
        <f t="shared" si="99"/>
        <v>0</v>
      </c>
      <c r="U284" s="6">
        <f t="shared" si="100"/>
        <v>0</v>
      </c>
      <c r="V284" s="6">
        <f t="shared" si="101"/>
        <v>0</v>
      </c>
      <c r="W284" s="6">
        <f t="shared" si="102"/>
        <v>0</v>
      </c>
      <c r="X284" s="6">
        <f t="shared" si="103"/>
        <v>0</v>
      </c>
      <c r="Y284" s="6">
        <f t="shared" si="104"/>
        <v>0</v>
      </c>
      <c r="Z284" s="6">
        <f t="shared" si="105"/>
        <v>0</v>
      </c>
      <c r="AB284" s="36" t="str">
        <f>IF(最佳化斷筋點!C284="","",最佳化斷筋點!C284)</f>
        <v/>
      </c>
      <c r="AC284" s="37" t="str">
        <f>IF(最佳化斷筋點!D284="","",最佳化斷筋點!D284)</f>
        <v/>
      </c>
      <c r="AD284" s="37" t="str">
        <f>IF(最佳化斷筋點!E284="","",最佳化斷筋點!E284)</f>
        <v/>
      </c>
      <c r="AE284" s="37" t="str">
        <f>IF(最佳化斷筋點!F284="","",最佳化斷筋點!F284)</f>
        <v/>
      </c>
      <c r="AF284" s="37" t="str">
        <f>IF(最佳化斷筋點!G284="","",最佳化斷筋點!G284)</f>
        <v/>
      </c>
      <c r="AG284" s="37" t="str">
        <f>IF(最佳化斷筋點!H284="","",最佳化斷筋點!H284)</f>
        <v/>
      </c>
      <c r="AH284" s="37" t="str">
        <f>IF(最佳化斷筋點!I284="","",最佳化斷筋點!I284)</f>
        <v/>
      </c>
      <c r="AI284" s="37" t="str">
        <f>IF(最佳化斷筋點!J284="","",最佳化斷筋點!J284)</f>
        <v/>
      </c>
      <c r="AJ284" s="37" t="str">
        <f>IF(最佳化斷筋點!K284="","",最佳化斷筋點!K284)</f>
        <v/>
      </c>
      <c r="AK284" s="37" t="str">
        <f>IF(最佳化斷筋點!L284="","",最佳化斷筋點!L284)</f>
        <v/>
      </c>
      <c r="AL284" s="37" t="str">
        <f>IF(最佳化斷筋點!M284="","",最佳化斷筋點!M284)</f>
        <v/>
      </c>
      <c r="AM284" s="37" t="str">
        <f>IF(最佳化斷筋點!N284="","",最佳化斷筋點!N284)</f>
        <v/>
      </c>
      <c r="AN284" s="37" t="str">
        <f>IF(最佳化斷筋點!O284="","",最佳化斷筋點!O284)</f>
        <v/>
      </c>
      <c r="AO284" s="37" t="str">
        <f>IF(最佳化斷筋點!P284="","",最佳化斷筋點!P284)</f>
        <v/>
      </c>
      <c r="AP284" s="37" t="str">
        <f>IF(最佳化斷筋點!Q284="","",最佳化斷筋點!Q284)</f>
        <v/>
      </c>
      <c r="AQ284" s="37" t="str">
        <f>IF(最佳化斷筋點!R284="","",最佳化斷筋點!R284)</f>
        <v/>
      </c>
      <c r="AR284" s="37" t="str">
        <f>IF(最佳化斷筋點!S284="","",最佳化斷筋點!S284)</f>
        <v/>
      </c>
      <c r="AS284" s="37" t="str">
        <f>IF(最佳化斷筋點!T284="","",最佳化斷筋點!T284)</f>
        <v/>
      </c>
      <c r="AT284" s="37" t="str">
        <f>IF(最佳化斷筋點!U284="","",最佳化斷筋點!U284)</f>
        <v/>
      </c>
      <c r="AU284" s="37" t="str">
        <f>IF(最佳化斷筋點!V284="","",最佳化斷筋點!V284)</f>
        <v/>
      </c>
      <c r="AV284" s="37" t="str">
        <f>IF(最佳化斷筋點!W284="","",最佳化斷筋點!W284)</f>
        <v/>
      </c>
      <c r="AW284" s="37" t="str">
        <f>IF(最佳化斷筋點!X284="","",最佳化斷筋點!X284)</f>
        <v/>
      </c>
      <c r="AZ284" s="37" t="s">
        <v>197</v>
      </c>
      <c r="BA284" s="37" t="s">
        <v>197</v>
      </c>
      <c r="BB284" s="37" t="s">
        <v>197</v>
      </c>
      <c r="BC284" s="37" t="s">
        <v>197</v>
      </c>
      <c r="BD284" s="37" t="s">
        <v>197</v>
      </c>
      <c r="BE284" s="37" t="s">
        <v>197</v>
      </c>
      <c r="BF284" s="37" t="s">
        <v>197</v>
      </c>
      <c r="BG284" s="37" t="s">
        <v>197</v>
      </c>
      <c r="BH284" s="37" t="s">
        <v>197</v>
      </c>
      <c r="BI284" s="37" t="s">
        <v>197</v>
      </c>
      <c r="BJ284" s="37" t="s">
        <v>197</v>
      </c>
      <c r="BK284" s="37" t="s">
        <v>197</v>
      </c>
      <c r="BL284" s="37" t="s">
        <v>197</v>
      </c>
      <c r="BM284" s="37" t="s">
        <v>197</v>
      </c>
      <c r="BN284" s="37" t="s">
        <v>197</v>
      </c>
      <c r="BO284" s="37" t="s">
        <v>197</v>
      </c>
      <c r="BP284" s="37" t="s">
        <v>197</v>
      </c>
      <c r="BQ284" s="37" t="s">
        <v>197</v>
      </c>
      <c r="BR284" s="37" t="s">
        <v>197</v>
      </c>
      <c r="BS284" s="37" t="s">
        <v>197</v>
      </c>
      <c r="BT284" s="37" t="s">
        <v>197</v>
      </c>
    </row>
    <row r="285" spans="5:72" x14ac:dyDescent="0.25">
      <c r="E285" s="6" t="s">
        <v>21</v>
      </c>
      <c r="F285" s="6">
        <f t="shared" si="85"/>
        <v>0</v>
      </c>
      <c r="G285" s="6">
        <f t="shared" si="86"/>
        <v>0</v>
      </c>
      <c r="H285" s="6">
        <f t="shared" si="87"/>
        <v>0</v>
      </c>
      <c r="I285" s="6">
        <f t="shared" si="88"/>
        <v>0</v>
      </c>
      <c r="J285" s="6">
        <f t="shared" si="89"/>
        <v>0</v>
      </c>
      <c r="K285" s="6">
        <f t="shared" si="90"/>
        <v>0</v>
      </c>
      <c r="L285" s="6">
        <f t="shared" si="91"/>
        <v>0</v>
      </c>
      <c r="M285" s="6">
        <f t="shared" si="92"/>
        <v>0</v>
      </c>
      <c r="N285" s="6">
        <f t="shared" si="93"/>
        <v>0</v>
      </c>
      <c r="O285" s="6">
        <f t="shared" si="94"/>
        <v>0</v>
      </c>
      <c r="P285" s="6">
        <f t="shared" si="95"/>
        <v>0</v>
      </c>
      <c r="Q285" s="6">
        <f t="shared" si="96"/>
        <v>0</v>
      </c>
      <c r="R285" s="6">
        <f t="shared" si="97"/>
        <v>0</v>
      </c>
      <c r="S285" s="6">
        <f t="shared" si="98"/>
        <v>0</v>
      </c>
      <c r="T285" s="6">
        <f t="shared" si="99"/>
        <v>0</v>
      </c>
      <c r="U285" s="6">
        <f t="shared" si="100"/>
        <v>0</v>
      </c>
      <c r="V285" s="6">
        <f t="shared" si="101"/>
        <v>0</v>
      </c>
      <c r="W285" s="6">
        <f t="shared" si="102"/>
        <v>0</v>
      </c>
      <c r="X285" s="6">
        <f t="shared" si="103"/>
        <v>0</v>
      </c>
      <c r="Y285" s="6">
        <f t="shared" si="104"/>
        <v>0</v>
      </c>
      <c r="Z285" s="6">
        <f t="shared" si="105"/>
        <v>0</v>
      </c>
      <c r="AB285" s="36" t="str">
        <f>IF(最佳化斷筋點!C285="","",最佳化斷筋點!C285)</f>
        <v>下層</v>
      </c>
      <c r="AC285" s="37">
        <f>IF(最佳化斷筋點!D285="","",最佳化斷筋點!D285)</f>
        <v>6</v>
      </c>
      <c r="AD285" s="37">
        <f>IF(最佳化斷筋點!E285="","",最佳化斷筋點!E285)</f>
        <v>6</v>
      </c>
      <c r="AE285" s="37">
        <f>IF(最佳化斷筋點!F285="","",最佳化斷筋點!F285)</f>
        <v>6</v>
      </c>
      <c r="AF285" s="37">
        <f>IF(最佳化斷筋點!G285="","",最佳化斷筋點!G285)</f>
        <v>6</v>
      </c>
      <c r="AG285" s="37">
        <f>IF(最佳化斷筋點!H285="","",最佳化斷筋點!H285)</f>
        <v>6</v>
      </c>
      <c r="AH285" s="37">
        <f>IF(最佳化斷筋點!I285="","",最佳化斷筋點!I285)</f>
        <v>5</v>
      </c>
      <c r="AI285" s="37">
        <f>IF(最佳化斷筋點!J285="","",最佳化斷筋點!J285)</f>
        <v>5</v>
      </c>
      <c r="AJ285" s="37">
        <f>IF(最佳化斷筋點!K285="","",最佳化斷筋點!K285)</f>
        <v>3</v>
      </c>
      <c r="AK285" s="37">
        <f>IF(最佳化斷筋點!L285="","",最佳化斷筋點!L285)</f>
        <v>3</v>
      </c>
      <c r="AL285" s="37">
        <f>IF(最佳化斷筋點!M285="","",最佳化斷筋點!M285)</f>
        <v>3</v>
      </c>
      <c r="AM285" s="37">
        <f>IF(最佳化斷筋點!N285="","",最佳化斷筋點!N285)</f>
        <v>3</v>
      </c>
      <c r="AN285" s="37">
        <f>IF(最佳化斷筋點!O285="","",最佳化斷筋點!O285)</f>
        <v>3</v>
      </c>
      <c r="AO285" s="37">
        <f>IF(最佳化斷筋點!P285="","",最佳化斷筋點!P285)</f>
        <v>3</v>
      </c>
      <c r="AP285" s="37">
        <f>IF(最佳化斷筋點!Q285="","",最佳化斷筋點!Q285)</f>
        <v>3</v>
      </c>
      <c r="AQ285" s="37">
        <f>IF(最佳化斷筋點!R285="","",最佳化斷筋點!R285)</f>
        <v>4</v>
      </c>
      <c r="AR285" s="37">
        <f>IF(最佳化斷筋點!S285="","",最佳化斷筋點!S285)</f>
        <v>4</v>
      </c>
      <c r="AS285" s="37">
        <f>IF(最佳化斷筋點!T285="","",最佳化斷筋點!T285)</f>
        <v>5</v>
      </c>
      <c r="AT285" s="37">
        <f>IF(最佳化斷筋點!U285="","",最佳化斷筋點!U285)</f>
        <v>5</v>
      </c>
      <c r="AU285" s="37">
        <f>IF(最佳化斷筋點!V285="","",最佳化斷筋點!V285)</f>
        <v>5</v>
      </c>
      <c r="AV285" s="37">
        <f>IF(最佳化斷筋點!W285="","",最佳化斷筋點!W285)</f>
        <v>5</v>
      </c>
      <c r="AW285" s="37">
        <f>IF(最佳化斷筋點!X285="","",最佳化斷筋點!X285)</f>
        <v>5</v>
      </c>
      <c r="AY285" s="6" t="s">
        <v>21</v>
      </c>
      <c r="AZ285" s="37">
        <v>6</v>
      </c>
      <c r="BA285" s="37">
        <v>6</v>
      </c>
      <c r="BB285" s="37">
        <v>6</v>
      </c>
      <c r="BC285" s="37">
        <v>6</v>
      </c>
      <c r="BD285" s="37">
        <v>6</v>
      </c>
      <c r="BE285" s="37">
        <v>5</v>
      </c>
      <c r="BF285" s="37">
        <v>5</v>
      </c>
      <c r="BG285" s="37">
        <v>3</v>
      </c>
      <c r="BH285" s="37">
        <v>3</v>
      </c>
      <c r="BI285" s="37">
        <v>3</v>
      </c>
      <c r="BJ285" s="37">
        <v>3</v>
      </c>
      <c r="BK285" s="37">
        <v>3</v>
      </c>
      <c r="BL285" s="37">
        <v>3</v>
      </c>
      <c r="BM285" s="37">
        <v>3</v>
      </c>
      <c r="BN285" s="37">
        <v>4</v>
      </c>
      <c r="BO285" s="37">
        <v>4</v>
      </c>
      <c r="BP285" s="37">
        <v>5</v>
      </c>
      <c r="BQ285" s="37">
        <v>5</v>
      </c>
      <c r="BR285" s="37">
        <v>5</v>
      </c>
      <c r="BS285" s="37">
        <v>5</v>
      </c>
      <c r="BT285" s="37">
        <v>5</v>
      </c>
    </row>
    <row r="286" spans="5:72" x14ac:dyDescent="0.25">
      <c r="F286" s="6">
        <f t="shared" si="85"/>
        <v>0</v>
      </c>
      <c r="G286" s="6">
        <f t="shared" si="86"/>
        <v>0</v>
      </c>
      <c r="H286" s="6">
        <f t="shared" si="87"/>
        <v>0</v>
      </c>
      <c r="I286" s="6">
        <f t="shared" si="88"/>
        <v>0</v>
      </c>
      <c r="J286" s="6">
        <f t="shared" si="89"/>
        <v>0</v>
      </c>
      <c r="K286" s="6">
        <f t="shared" si="90"/>
        <v>0</v>
      </c>
      <c r="L286" s="6">
        <f t="shared" si="91"/>
        <v>0</v>
      </c>
      <c r="M286" s="6">
        <f t="shared" si="92"/>
        <v>0</v>
      </c>
      <c r="N286" s="6">
        <f t="shared" si="93"/>
        <v>0</v>
      </c>
      <c r="O286" s="6">
        <f t="shared" si="94"/>
        <v>0</v>
      </c>
      <c r="P286" s="6">
        <f t="shared" si="95"/>
        <v>0</v>
      </c>
      <c r="Q286" s="6">
        <f t="shared" si="96"/>
        <v>0</v>
      </c>
      <c r="R286" s="6">
        <f t="shared" si="97"/>
        <v>0</v>
      </c>
      <c r="S286" s="6">
        <f t="shared" si="98"/>
        <v>0</v>
      </c>
      <c r="T286" s="6">
        <f t="shared" si="99"/>
        <v>0</v>
      </c>
      <c r="U286" s="6">
        <f t="shared" si="100"/>
        <v>0</v>
      </c>
      <c r="V286" s="6">
        <f t="shared" si="101"/>
        <v>0</v>
      </c>
      <c r="W286" s="6">
        <f t="shared" si="102"/>
        <v>0</v>
      </c>
      <c r="X286" s="6">
        <f t="shared" si="103"/>
        <v>0</v>
      </c>
      <c r="Y286" s="6">
        <f t="shared" si="104"/>
        <v>0</v>
      </c>
      <c r="Z286" s="6">
        <f t="shared" si="105"/>
        <v>0</v>
      </c>
      <c r="AB286" s="36" t="str">
        <f>IF(最佳化斷筋點!C286="","",最佳化斷筋點!C286)</f>
        <v/>
      </c>
      <c r="AC286" s="37" t="str">
        <f>IF(最佳化斷筋點!D286="","",最佳化斷筋點!D286)</f>
        <v/>
      </c>
      <c r="AD286" s="37" t="str">
        <f>IF(最佳化斷筋點!E286="","",最佳化斷筋點!E286)</f>
        <v/>
      </c>
      <c r="AE286" s="37" t="str">
        <f>IF(最佳化斷筋點!F286="","",最佳化斷筋點!F286)</f>
        <v/>
      </c>
      <c r="AF286" s="37" t="str">
        <f>IF(最佳化斷筋點!G286="","",最佳化斷筋點!G286)</f>
        <v/>
      </c>
      <c r="AG286" s="37" t="str">
        <f>IF(最佳化斷筋點!H286="","",最佳化斷筋點!H286)</f>
        <v/>
      </c>
      <c r="AH286" s="37" t="str">
        <f>IF(最佳化斷筋點!I286="","",最佳化斷筋點!I286)</f>
        <v/>
      </c>
      <c r="AI286" s="37" t="str">
        <f>IF(最佳化斷筋點!J286="","",最佳化斷筋點!J286)</f>
        <v/>
      </c>
      <c r="AJ286" s="37" t="str">
        <f>IF(最佳化斷筋點!K286="","",最佳化斷筋點!K286)</f>
        <v/>
      </c>
      <c r="AK286" s="37" t="str">
        <f>IF(最佳化斷筋點!L286="","",最佳化斷筋點!L286)</f>
        <v/>
      </c>
      <c r="AL286" s="37" t="str">
        <f>IF(最佳化斷筋點!M286="","",最佳化斷筋點!M286)</f>
        <v/>
      </c>
      <c r="AM286" s="37" t="str">
        <f>IF(最佳化斷筋點!N286="","",最佳化斷筋點!N286)</f>
        <v/>
      </c>
      <c r="AN286" s="37" t="str">
        <f>IF(最佳化斷筋點!O286="","",最佳化斷筋點!O286)</f>
        <v/>
      </c>
      <c r="AO286" s="37" t="str">
        <f>IF(最佳化斷筋點!P286="","",最佳化斷筋點!P286)</f>
        <v/>
      </c>
      <c r="AP286" s="37" t="str">
        <f>IF(最佳化斷筋點!Q286="","",最佳化斷筋點!Q286)</f>
        <v/>
      </c>
      <c r="AQ286" s="37" t="str">
        <f>IF(最佳化斷筋點!R286="","",最佳化斷筋點!R286)</f>
        <v/>
      </c>
      <c r="AR286" s="37" t="str">
        <f>IF(最佳化斷筋點!S286="","",最佳化斷筋點!S286)</f>
        <v/>
      </c>
      <c r="AS286" s="37" t="str">
        <f>IF(最佳化斷筋點!T286="","",最佳化斷筋點!T286)</f>
        <v/>
      </c>
      <c r="AT286" s="37" t="str">
        <f>IF(最佳化斷筋點!U286="","",最佳化斷筋點!U286)</f>
        <v/>
      </c>
      <c r="AU286" s="37" t="str">
        <f>IF(最佳化斷筋點!V286="","",最佳化斷筋點!V286)</f>
        <v/>
      </c>
      <c r="AV286" s="37" t="str">
        <f>IF(最佳化斷筋點!W286="","",最佳化斷筋點!W286)</f>
        <v/>
      </c>
      <c r="AW286" s="37" t="str">
        <f>IF(最佳化斷筋點!X286="","",最佳化斷筋點!X286)</f>
        <v/>
      </c>
      <c r="AZ286" s="37" t="s">
        <v>197</v>
      </c>
      <c r="BA286" s="37" t="s">
        <v>197</v>
      </c>
      <c r="BB286" s="37" t="s">
        <v>197</v>
      </c>
      <c r="BC286" s="37" t="s">
        <v>197</v>
      </c>
      <c r="BD286" s="37" t="s">
        <v>197</v>
      </c>
      <c r="BE286" s="37" t="s">
        <v>197</v>
      </c>
      <c r="BF286" s="37" t="s">
        <v>197</v>
      </c>
      <c r="BG286" s="37" t="s">
        <v>197</v>
      </c>
      <c r="BH286" s="37" t="s">
        <v>197</v>
      </c>
      <c r="BI286" s="37" t="s">
        <v>197</v>
      </c>
      <c r="BJ286" s="37" t="s">
        <v>197</v>
      </c>
      <c r="BK286" s="37" t="s">
        <v>197</v>
      </c>
      <c r="BL286" s="37" t="s">
        <v>197</v>
      </c>
      <c r="BM286" s="37" t="s">
        <v>197</v>
      </c>
      <c r="BN286" s="37" t="s">
        <v>197</v>
      </c>
      <c r="BO286" s="37" t="s">
        <v>197</v>
      </c>
      <c r="BP286" s="37" t="s">
        <v>197</v>
      </c>
      <c r="BQ286" s="37" t="s">
        <v>197</v>
      </c>
      <c r="BR286" s="37" t="s">
        <v>197</v>
      </c>
      <c r="BS286" s="37" t="s">
        <v>197</v>
      </c>
      <c r="BT286" s="37" t="s">
        <v>197</v>
      </c>
    </row>
    <row r="287" spans="5:72" x14ac:dyDescent="0.25">
      <c r="E287" s="6" t="s">
        <v>20</v>
      </c>
      <c r="F287" s="6">
        <f t="shared" si="85"/>
        <v>0</v>
      </c>
      <c r="G287" s="6">
        <f t="shared" si="86"/>
        <v>0</v>
      </c>
      <c r="H287" s="6">
        <f t="shared" si="87"/>
        <v>0</v>
      </c>
      <c r="I287" s="6">
        <f t="shared" si="88"/>
        <v>0</v>
      </c>
      <c r="J287" s="6">
        <f t="shared" si="89"/>
        <v>0</v>
      </c>
      <c r="K287" s="6">
        <f t="shared" si="90"/>
        <v>0</v>
      </c>
      <c r="L287" s="6">
        <f t="shared" si="91"/>
        <v>0</v>
      </c>
      <c r="M287" s="6">
        <f t="shared" si="92"/>
        <v>0</v>
      </c>
      <c r="N287" s="6">
        <f t="shared" si="93"/>
        <v>0</v>
      </c>
      <c r="O287" s="6">
        <f t="shared" si="94"/>
        <v>0</v>
      </c>
      <c r="P287" s="6">
        <f t="shared" si="95"/>
        <v>0</v>
      </c>
      <c r="Q287" s="6">
        <f t="shared" si="96"/>
        <v>0</v>
      </c>
      <c r="R287" s="6">
        <f t="shared" si="97"/>
        <v>0</v>
      </c>
      <c r="S287" s="6">
        <f t="shared" si="98"/>
        <v>0</v>
      </c>
      <c r="T287" s="6">
        <f t="shared" si="99"/>
        <v>0</v>
      </c>
      <c r="U287" s="6">
        <f t="shared" si="100"/>
        <v>0</v>
      </c>
      <c r="V287" s="6">
        <f t="shared" si="101"/>
        <v>0</v>
      </c>
      <c r="W287" s="6">
        <f t="shared" si="102"/>
        <v>0</v>
      </c>
      <c r="X287" s="6">
        <f t="shared" si="103"/>
        <v>0</v>
      </c>
      <c r="Y287" s="6">
        <f t="shared" si="104"/>
        <v>0</v>
      </c>
      <c r="Z287" s="6">
        <f t="shared" si="105"/>
        <v>0</v>
      </c>
      <c r="AB287" s="36" t="str">
        <f>IF(最佳化斷筋點!C287="","",最佳化斷筋點!C287)</f>
        <v>上層</v>
      </c>
      <c r="AC287" s="37">
        <f>IF(最佳化斷筋點!D287="","",最佳化斷筋點!D287)</f>
        <v>8</v>
      </c>
      <c r="AD287" s="37">
        <f>IF(最佳化斷筋點!E287="","",最佳化斷筋點!E287)</f>
        <v>8</v>
      </c>
      <c r="AE287" s="37">
        <f>IF(最佳化斷筋點!F287="","",最佳化斷筋點!F287)</f>
        <v>8</v>
      </c>
      <c r="AF287" s="37">
        <f>IF(最佳化斷筋點!G287="","",最佳化斷筋點!G287)</f>
        <v>8</v>
      </c>
      <c r="AG287" s="37">
        <f>IF(最佳化斷筋點!H287="","",最佳化斷筋點!H287)</f>
        <v>8</v>
      </c>
      <c r="AH287" s="37">
        <f>IF(最佳化斷筋點!I287="","",最佳化斷筋點!I287)</f>
        <v>7</v>
      </c>
      <c r="AI287" s="37">
        <f>IF(最佳化斷筋點!J287="","",最佳化斷筋點!J287)</f>
        <v>6</v>
      </c>
      <c r="AJ287" s="37">
        <f>IF(最佳化斷筋點!K287="","",最佳化斷筋點!K287)</f>
        <v>4</v>
      </c>
      <c r="AK287" s="37">
        <f>IF(最佳化斷筋點!L287="","",最佳化斷筋點!L287)</f>
        <v>4</v>
      </c>
      <c r="AL287" s="37">
        <f>IF(最佳化斷筋點!M287="","",最佳化斷筋點!M287)</f>
        <v>4</v>
      </c>
      <c r="AM287" s="37">
        <f>IF(最佳化斷筋點!N287="","",最佳化斷筋點!N287)</f>
        <v>3</v>
      </c>
      <c r="AN287" s="37">
        <f>IF(最佳化斷筋點!O287="","",最佳化斷筋點!O287)</f>
        <v>4</v>
      </c>
      <c r="AO287" s="37">
        <f>IF(最佳化斷筋點!P287="","",最佳化斷筋點!P287)</f>
        <v>4</v>
      </c>
      <c r="AP287" s="37">
        <f>IF(最佳化斷筋點!Q287="","",最佳化斷筋點!Q287)</f>
        <v>6</v>
      </c>
      <c r="AQ287" s="37">
        <f>IF(最佳化斷筋點!R287="","",最佳化斷筋點!R287)</f>
        <v>7</v>
      </c>
      <c r="AR287" s="37">
        <f>IF(最佳化斷筋點!S287="","",最佳化斷筋點!S287)</f>
        <v>8</v>
      </c>
      <c r="AS287" s="37">
        <f>IF(最佳化斷筋點!T287="","",最佳化斷筋點!T287)</f>
        <v>9</v>
      </c>
      <c r="AT287" s="37">
        <f>IF(最佳化斷筋點!U287="","",最佳化斷筋點!U287)</f>
        <v>10</v>
      </c>
      <c r="AU287" s="37">
        <f>IF(最佳化斷筋點!V287="","",最佳化斷筋點!V287)</f>
        <v>10</v>
      </c>
      <c r="AV287" s="37">
        <f>IF(最佳化斷筋點!W287="","",最佳化斷筋點!W287)</f>
        <v>10</v>
      </c>
      <c r="AW287" s="37">
        <f>IF(最佳化斷筋點!X287="","",最佳化斷筋點!X287)</f>
        <v>10</v>
      </c>
      <c r="AY287" s="6" t="s">
        <v>20</v>
      </c>
      <c r="AZ287" s="37">
        <v>8</v>
      </c>
      <c r="BA287" s="37">
        <v>8</v>
      </c>
      <c r="BB287" s="37">
        <v>8</v>
      </c>
      <c r="BC287" s="37">
        <v>8</v>
      </c>
      <c r="BD287" s="37">
        <v>8</v>
      </c>
      <c r="BE287" s="37">
        <v>7</v>
      </c>
      <c r="BF287" s="37">
        <v>6</v>
      </c>
      <c r="BG287" s="37">
        <v>4</v>
      </c>
      <c r="BH287" s="37">
        <v>4</v>
      </c>
      <c r="BI287" s="37">
        <v>4</v>
      </c>
      <c r="BJ287" s="37">
        <v>3</v>
      </c>
      <c r="BK287" s="37">
        <v>4</v>
      </c>
      <c r="BL287" s="37">
        <v>4</v>
      </c>
      <c r="BM287" s="37">
        <v>6</v>
      </c>
      <c r="BN287" s="37">
        <v>7</v>
      </c>
      <c r="BO287" s="37">
        <v>8</v>
      </c>
      <c r="BP287" s="37">
        <v>9</v>
      </c>
      <c r="BQ287" s="37">
        <v>10</v>
      </c>
      <c r="BR287" s="37">
        <v>10</v>
      </c>
      <c r="BS287" s="37">
        <v>10</v>
      </c>
      <c r="BT287" s="37">
        <v>10</v>
      </c>
    </row>
    <row r="288" spans="5:72" x14ac:dyDescent="0.25">
      <c r="F288" s="6">
        <f t="shared" si="85"/>
        <v>0</v>
      </c>
      <c r="G288" s="6">
        <f t="shared" si="86"/>
        <v>0</v>
      </c>
      <c r="H288" s="6">
        <f t="shared" si="87"/>
        <v>0</v>
      </c>
      <c r="I288" s="6">
        <f t="shared" si="88"/>
        <v>0</v>
      </c>
      <c r="J288" s="6">
        <f t="shared" si="89"/>
        <v>0</v>
      </c>
      <c r="K288" s="6">
        <f t="shared" si="90"/>
        <v>0</v>
      </c>
      <c r="L288" s="6">
        <f t="shared" si="91"/>
        <v>0</v>
      </c>
      <c r="M288" s="6">
        <f t="shared" si="92"/>
        <v>0</v>
      </c>
      <c r="N288" s="6">
        <f t="shared" si="93"/>
        <v>0</v>
      </c>
      <c r="O288" s="6">
        <f t="shared" si="94"/>
        <v>0</v>
      </c>
      <c r="P288" s="6">
        <f t="shared" si="95"/>
        <v>0</v>
      </c>
      <c r="Q288" s="6">
        <f t="shared" si="96"/>
        <v>0</v>
      </c>
      <c r="R288" s="6">
        <f t="shared" si="97"/>
        <v>0</v>
      </c>
      <c r="S288" s="6">
        <f t="shared" si="98"/>
        <v>0</v>
      </c>
      <c r="T288" s="6">
        <f t="shared" si="99"/>
        <v>0</v>
      </c>
      <c r="U288" s="6">
        <f t="shared" si="100"/>
        <v>0</v>
      </c>
      <c r="V288" s="6">
        <f t="shared" si="101"/>
        <v>0</v>
      </c>
      <c r="W288" s="6">
        <f t="shared" si="102"/>
        <v>0</v>
      </c>
      <c r="X288" s="6">
        <f t="shared" si="103"/>
        <v>0</v>
      </c>
      <c r="Y288" s="6">
        <f t="shared" si="104"/>
        <v>0</v>
      </c>
      <c r="Z288" s="6">
        <f t="shared" si="105"/>
        <v>0</v>
      </c>
      <c r="AB288" s="36" t="str">
        <f>IF(最佳化斷筋點!C288="","",最佳化斷筋點!C288)</f>
        <v/>
      </c>
      <c r="AC288" s="36" t="str">
        <f>IF(最佳化斷筋點!D288="","",最佳化斷筋點!D288)</f>
        <v/>
      </c>
      <c r="AD288" s="36" t="str">
        <f>IF(最佳化斷筋點!E288="","",最佳化斷筋點!E288)</f>
        <v/>
      </c>
      <c r="AE288" s="36" t="str">
        <f>IF(最佳化斷筋點!F288="","",最佳化斷筋點!F288)</f>
        <v/>
      </c>
      <c r="AF288" s="36" t="str">
        <f>IF(最佳化斷筋點!G288="","",最佳化斷筋點!G288)</f>
        <v/>
      </c>
      <c r="AG288" s="36" t="str">
        <f>IF(最佳化斷筋點!H288="","",最佳化斷筋點!H288)</f>
        <v/>
      </c>
      <c r="AH288" s="36" t="str">
        <f>IF(最佳化斷筋點!I288="","",最佳化斷筋點!I288)</f>
        <v/>
      </c>
      <c r="AI288" s="36" t="str">
        <f>IF(最佳化斷筋點!J288="","",最佳化斷筋點!J288)</f>
        <v/>
      </c>
      <c r="AJ288" s="36" t="str">
        <f>IF(最佳化斷筋點!K288="","",最佳化斷筋點!K288)</f>
        <v/>
      </c>
      <c r="AK288" s="36" t="str">
        <f>IF(最佳化斷筋點!L288="","",最佳化斷筋點!L288)</f>
        <v/>
      </c>
      <c r="AL288" s="36" t="str">
        <f>IF(最佳化斷筋點!M288="","",最佳化斷筋點!M288)</f>
        <v/>
      </c>
      <c r="AM288" s="36" t="str">
        <f>IF(最佳化斷筋點!N288="","",最佳化斷筋點!N288)</f>
        <v/>
      </c>
      <c r="AN288" s="36" t="str">
        <f>IF(最佳化斷筋點!O288="","",最佳化斷筋點!O288)</f>
        <v/>
      </c>
      <c r="AO288" s="36" t="str">
        <f>IF(最佳化斷筋點!P288="","",最佳化斷筋點!P288)</f>
        <v/>
      </c>
      <c r="AP288" s="36" t="str">
        <f>IF(最佳化斷筋點!Q288="","",最佳化斷筋點!Q288)</f>
        <v/>
      </c>
      <c r="AQ288" s="36" t="str">
        <f>IF(最佳化斷筋點!R288="","",最佳化斷筋點!R288)</f>
        <v/>
      </c>
      <c r="AR288" s="36" t="str">
        <f>IF(最佳化斷筋點!S288="","",最佳化斷筋點!S288)</f>
        <v/>
      </c>
      <c r="AS288" s="36" t="str">
        <f>IF(最佳化斷筋點!T288="","",最佳化斷筋點!T288)</f>
        <v/>
      </c>
      <c r="AT288" s="36" t="str">
        <f>IF(最佳化斷筋點!U288="","",最佳化斷筋點!U288)</f>
        <v/>
      </c>
      <c r="AU288" s="36" t="str">
        <f>IF(最佳化斷筋點!V288="","",最佳化斷筋點!V288)</f>
        <v/>
      </c>
      <c r="AV288" s="36" t="str">
        <f>IF(最佳化斷筋點!W288="","",最佳化斷筋點!W288)</f>
        <v/>
      </c>
      <c r="AW288" s="36" t="str">
        <f>IF(最佳化斷筋點!X288="","",最佳化斷筋點!X288)</f>
        <v/>
      </c>
      <c r="AZ288" s="37" t="s">
        <v>197</v>
      </c>
      <c r="BA288" s="37" t="s">
        <v>197</v>
      </c>
      <c r="BB288" s="37" t="s">
        <v>197</v>
      </c>
      <c r="BC288" s="37" t="s">
        <v>197</v>
      </c>
      <c r="BD288" s="37" t="s">
        <v>197</v>
      </c>
      <c r="BE288" s="37" t="s">
        <v>197</v>
      </c>
      <c r="BF288" s="37" t="s">
        <v>197</v>
      </c>
      <c r="BG288" s="37" t="s">
        <v>197</v>
      </c>
      <c r="BH288" s="37" t="s">
        <v>197</v>
      </c>
      <c r="BI288" s="37" t="s">
        <v>197</v>
      </c>
      <c r="BJ288" s="37" t="s">
        <v>197</v>
      </c>
      <c r="BK288" s="37" t="s">
        <v>197</v>
      </c>
      <c r="BL288" s="37" t="s">
        <v>197</v>
      </c>
      <c r="BM288" s="37" t="s">
        <v>197</v>
      </c>
      <c r="BN288" s="37" t="s">
        <v>197</v>
      </c>
      <c r="BO288" s="37" t="s">
        <v>197</v>
      </c>
      <c r="BP288" s="37" t="s">
        <v>197</v>
      </c>
      <c r="BQ288" s="37" t="s">
        <v>197</v>
      </c>
      <c r="BR288" s="37" t="s">
        <v>197</v>
      </c>
      <c r="BS288" s="37" t="s">
        <v>197</v>
      </c>
      <c r="BT288" s="37" t="s">
        <v>197</v>
      </c>
    </row>
    <row r="289" spans="5:72" x14ac:dyDescent="0.25">
      <c r="E289" s="6" t="s">
        <v>21</v>
      </c>
      <c r="F289" s="6">
        <f t="shared" si="85"/>
        <v>0</v>
      </c>
      <c r="G289" s="6">
        <f t="shared" si="86"/>
        <v>0</v>
      </c>
      <c r="H289" s="6">
        <f t="shared" si="87"/>
        <v>0</v>
      </c>
      <c r="I289" s="6">
        <f t="shared" si="88"/>
        <v>0</v>
      </c>
      <c r="J289" s="6">
        <f t="shared" si="89"/>
        <v>0</v>
      </c>
      <c r="K289" s="6">
        <f t="shared" si="90"/>
        <v>0</v>
      </c>
      <c r="L289" s="6">
        <f t="shared" si="91"/>
        <v>0</v>
      </c>
      <c r="M289" s="6">
        <f t="shared" si="92"/>
        <v>0</v>
      </c>
      <c r="N289" s="6">
        <f t="shared" si="93"/>
        <v>0</v>
      </c>
      <c r="O289" s="6">
        <f t="shared" si="94"/>
        <v>0</v>
      </c>
      <c r="P289" s="6">
        <f t="shared" si="95"/>
        <v>0</v>
      </c>
      <c r="Q289" s="6">
        <f t="shared" si="96"/>
        <v>0</v>
      </c>
      <c r="R289" s="6">
        <f t="shared" si="97"/>
        <v>0</v>
      </c>
      <c r="S289" s="6">
        <f t="shared" si="98"/>
        <v>0</v>
      </c>
      <c r="T289" s="6">
        <f t="shared" si="99"/>
        <v>0</v>
      </c>
      <c r="U289" s="6">
        <f t="shared" si="100"/>
        <v>0</v>
      </c>
      <c r="V289" s="6">
        <f t="shared" si="101"/>
        <v>0</v>
      </c>
      <c r="W289" s="6">
        <f t="shared" si="102"/>
        <v>0</v>
      </c>
      <c r="X289" s="6">
        <f t="shared" si="103"/>
        <v>0</v>
      </c>
      <c r="Y289" s="6">
        <f t="shared" si="104"/>
        <v>0</v>
      </c>
      <c r="Z289" s="6">
        <f t="shared" si="105"/>
        <v>0</v>
      </c>
      <c r="AB289" s="36" t="str">
        <f>IF(最佳化斷筋點!C289="","",最佳化斷筋點!C289)</f>
        <v>下層</v>
      </c>
      <c r="AC289" s="37">
        <f>IF(最佳化斷筋點!D289="","",最佳化斷筋點!D289)</f>
        <v>5</v>
      </c>
      <c r="AD289" s="37">
        <f>IF(最佳化斷筋點!E289="","",最佳化斷筋點!E289)</f>
        <v>5</v>
      </c>
      <c r="AE289" s="37">
        <f>IF(最佳化斷筋點!F289="","",最佳化斷筋點!F289)</f>
        <v>5</v>
      </c>
      <c r="AF289" s="37">
        <f>IF(最佳化斷筋點!G289="","",最佳化斷筋點!G289)</f>
        <v>5</v>
      </c>
      <c r="AG289" s="37">
        <f>IF(最佳化斷筋點!H289="","",最佳化斷筋點!H289)</f>
        <v>5</v>
      </c>
      <c r="AH289" s="37">
        <f>IF(最佳化斷筋點!I289="","",最佳化斷筋點!I289)</f>
        <v>4</v>
      </c>
      <c r="AI289" s="37">
        <f>IF(最佳化斷筋點!J289="","",最佳化斷筋點!J289)</f>
        <v>4</v>
      </c>
      <c r="AJ289" s="37">
        <f>IF(最佳化斷筋點!K289="","",最佳化斷筋點!K289)</f>
        <v>4</v>
      </c>
      <c r="AK289" s="37">
        <f>IF(最佳化斷筋點!L289="","",最佳化斷筋點!L289)</f>
        <v>4</v>
      </c>
      <c r="AL289" s="37">
        <f>IF(最佳化斷筋點!M289="","",最佳化斷筋點!M289)</f>
        <v>4</v>
      </c>
      <c r="AM289" s="37">
        <f>IF(最佳化斷筋點!N289="","",最佳化斷筋點!N289)</f>
        <v>4</v>
      </c>
      <c r="AN289" s="37">
        <f>IF(最佳化斷筋點!O289="","",最佳化斷筋點!O289)</f>
        <v>4</v>
      </c>
      <c r="AO289" s="37">
        <f>IF(最佳化斷筋點!P289="","",最佳化斷筋點!P289)</f>
        <v>4</v>
      </c>
      <c r="AP289" s="37">
        <f>IF(最佳化斷筋點!Q289="","",最佳化斷筋點!Q289)</f>
        <v>4</v>
      </c>
      <c r="AQ289" s="37">
        <f>IF(最佳化斷筋點!R289="","",最佳化斷筋點!R289)</f>
        <v>4</v>
      </c>
      <c r="AR289" s="37">
        <f>IF(最佳化斷筋點!S289="","",最佳化斷筋點!S289)</f>
        <v>4</v>
      </c>
      <c r="AS289" s="37">
        <f>IF(最佳化斷筋點!T289="","",最佳化斷筋點!T289)</f>
        <v>5</v>
      </c>
      <c r="AT289" s="37">
        <f>IF(最佳化斷筋點!U289="","",最佳化斷筋點!U289)</f>
        <v>5</v>
      </c>
      <c r="AU289" s="37">
        <f>IF(最佳化斷筋點!V289="","",最佳化斷筋點!V289)</f>
        <v>6</v>
      </c>
      <c r="AV289" s="37">
        <f>IF(最佳化斷筋點!W289="","",最佳化斷筋點!W289)</f>
        <v>6</v>
      </c>
      <c r="AW289" s="37">
        <f>IF(最佳化斷筋點!X289="","",最佳化斷筋點!X289)</f>
        <v>6</v>
      </c>
      <c r="AY289" s="6" t="s">
        <v>21</v>
      </c>
      <c r="AZ289" s="37">
        <v>5</v>
      </c>
      <c r="BA289" s="37">
        <v>5</v>
      </c>
      <c r="BB289" s="37">
        <v>5</v>
      </c>
      <c r="BC289" s="37">
        <v>5</v>
      </c>
      <c r="BD289" s="37">
        <v>5</v>
      </c>
      <c r="BE289" s="37">
        <v>4</v>
      </c>
      <c r="BF289" s="37">
        <v>4</v>
      </c>
      <c r="BG289" s="37">
        <v>4</v>
      </c>
      <c r="BH289" s="37">
        <v>4</v>
      </c>
      <c r="BI289" s="37">
        <v>4</v>
      </c>
      <c r="BJ289" s="37">
        <v>4</v>
      </c>
      <c r="BK289" s="37">
        <v>4</v>
      </c>
      <c r="BL289" s="37">
        <v>4</v>
      </c>
      <c r="BM289" s="37">
        <v>4</v>
      </c>
      <c r="BN289" s="37">
        <v>4</v>
      </c>
      <c r="BO289" s="37">
        <v>4</v>
      </c>
      <c r="BP289" s="37">
        <v>5</v>
      </c>
      <c r="BQ289" s="37">
        <v>5</v>
      </c>
      <c r="BR289" s="37">
        <v>6</v>
      </c>
      <c r="BS289" s="37">
        <v>6</v>
      </c>
      <c r="BT289" s="37">
        <v>6</v>
      </c>
    </row>
    <row r="290" spans="5:72" x14ac:dyDescent="0.25">
      <c r="F290" s="6">
        <f t="shared" si="85"/>
        <v>0</v>
      </c>
      <c r="G290" s="6">
        <f t="shared" si="86"/>
        <v>0</v>
      </c>
      <c r="H290" s="6">
        <f t="shared" si="87"/>
        <v>0</v>
      </c>
      <c r="I290" s="6">
        <f t="shared" si="88"/>
        <v>0</v>
      </c>
      <c r="J290" s="6">
        <f t="shared" si="89"/>
        <v>0</v>
      </c>
      <c r="K290" s="6">
        <f t="shared" si="90"/>
        <v>0</v>
      </c>
      <c r="L290" s="6">
        <f t="shared" si="91"/>
        <v>0</v>
      </c>
      <c r="M290" s="6">
        <f t="shared" si="92"/>
        <v>0</v>
      </c>
      <c r="N290" s="6">
        <f t="shared" si="93"/>
        <v>0</v>
      </c>
      <c r="O290" s="6">
        <f t="shared" si="94"/>
        <v>0</v>
      </c>
      <c r="P290" s="6">
        <f t="shared" si="95"/>
        <v>0</v>
      </c>
      <c r="Q290" s="6">
        <f t="shared" si="96"/>
        <v>0</v>
      </c>
      <c r="R290" s="6">
        <f t="shared" si="97"/>
        <v>0</v>
      </c>
      <c r="S290" s="6">
        <f t="shared" si="98"/>
        <v>0</v>
      </c>
      <c r="T290" s="6">
        <f t="shared" si="99"/>
        <v>0</v>
      </c>
      <c r="U290" s="6">
        <f t="shared" si="100"/>
        <v>0</v>
      </c>
      <c r="V290" s="6">
        <f t="shared" si="101"/>
        <v>0</v>
      </c>
      <c r="W290" s="6">
        <f t="shared" si="102"/>
        <v>0</v>
      </c>
      <c r="X290" s="6">
        <f t="shared" si="103"/>
        <v>0</v>
      </c>
      <c r="Y290" s="6">
        <f t="shared" si="104"/>
        <v>0</v>
      </c>
      <c r="Z290" s="6">
        <f t="shared" si="105"/>
        <v>0</v>
      </c>
      <c r="AB290" s="36" t="str">
        <f>IF(最佳化斷筋點!C290="","",最佳化斷筋點!C290)</f>
        <v/>
      </c>
      <c r="AC290" s="37" t="str">
        <f>IF(最佳化斷筋點!D290="","",最佳化斷筋點!D290)</f>
        <v/>
      </c>
      <c r="AD290" s="37" t="str">
        <f>IF(最佳化斷筋點!E290="","",最佳化斷筋點!E290)</f>
        <v/>
      </c>
      <c r="AE290" s="37" t="str">
        <f>IF(最佳化斷筋點!F290="","",最佳化斷筋點!F290)</f>
        <v/>
      </c>
      <c r="AF290" s="37" t="str">
        <f>IF(最佳化斷筋點!G290="","",最佳化斷筋點!G290)</f>
        <v/>
      </c>
      <c r="AG290" s="37" t="str">
        <f>IF(最佳化斷筋點!H290="","",最佳化斷筋點!H290)</f>
        <v/>
      </c>
      <c r="AH290" s="37" t="str">
        <f>IF(最佳化斷筋點!I290="","",最佳化斷筋點!I290)</f>
        <v/>
      </c>
      <c r="AI290" s="37" t="str">
        <f>IF(最佳化斷筋點!J290="","",最佳化斷筋點!J290)</f>
        <v/>
      </c>
      <c r="AJ290" s="37" t="str">
        <f>IF(最佳化斷筋點!K290="","",最佳化斷筋點!K290)</f>
        <v/>
      </c>
      <c r="AK290" s="37" t="str">
        <f>IF(最佳化斷筋點!L290="","",最佳化斷筋點!L290)</f>
        <v/>
      </c>
      <c r="AL290" s="37" t="str">
        <f>IF(最佳化斷筋點!M290="","",最佳化斷筋點!M290)</f>
        <v/>
      </c>
      <c r="AM290" s="37" t="str">
        <f>IF(最佳化斷筋點!N290="","",最佳化斷筋點!N290)</f>
        <v/>
      </c>
      <c r="AN290" s="37" t="str">
        <f>IF(最佳化斷筋點!O290="","",最佳化斷筋點!O290)</f>
        <v/>
      </c>
      <c r="AO290" s="37" t="str">
        <f>IF(最佳化斷筋點!P290="","",最佳化斷筋點!P290)</f>
        <v/>
      </c>
      <c r="AP290" s="37" t="str">
        <f>IF(最佳化斷筋點!Q290="","",最佳化斷筋點!Q290)</f>
        <v/>
      </c>
      <c r="AQ290" s="37" t="str">
        <f>IF(最佳化斷筋點!R290="","",最佳化斷筋點!R290)</f>
        <v/>
      </c>
      <c r="AR290" s="37" t="str">
        <f>IF(最佳化斷筋點!S290="","",最佳化斷筋點!S290)</f>
        <v/>
      </c>
      <c r="AS290" s="37" t="str">
        <f>IF(最佳化斷筋點!T290="","",最佳化斷筋點!T290)</f>
        <v/>
      </c>
      <c r="AT290" s="37" t="str">
        <f>IF(最佳化斷筋點!U290="","",最佳化斷筋點!U290)</f>
        <v/>
      </c>
      <c r="AU290" s="37" t="str">
        <f>IF(最佳化斷筋點!V290="","",最佳化斷筋點!V290)</f>
        <v/>
      </c>
      <c r="AV290" s="37" t="str">
        <f>IF(最佳化斷筋點!W290="","",最佳化斷筋點!W290)</f>
        <v/>
      </c>
      <c r="AW290" s="37" t="str">
        <f>IF(最佳化斷筋點!X290="","",最佳化斷筋點!X290)</f>
        <v/>
      </c>
      <c r="AZ290" s="37" t="s">
        <v>197</v>
      </c>
      <c r="BA290" s="37" t="s">
        <v>197</v>
      </c>
      <c r="BB290" s="37" t="s">
        <v>197</v>
      </c>
      <c r="BC290" s="37" t="s">
        <v>197</v>
      </c>
      <c r="BD290" s="37" t="s">
        <v>197</v>
      </c>
      <c r="BE290" s="37" t="s">
        <v>197</v>
      </c>
      <c r="BF290" s="37" t="s">
        <v>197</v>
      </c>
      <c r="BG290" s="37" t="s">
        <v>197</v>
      </c>
      <c r="BH290" s="37" t="s">
        <v>197</v>
      </c>
      <c r="BI290" s="37" t="s">
        <v>197</v>
      </c>
      <c r="BJ290" s="37" t="s">
        <v>197</v>
      </c>
      <c r="BK290" s="37" t="s">
        <v>197</v>
      </c>
      <c r="BL290" s="37" t="s">
        <v>197</v>
      </c>
      <c r="BM290" s="37" t="s">
        <v>197</v>
      </c>
      <c r="BN290" s="37" t="s">
        <v>197</v>
      </c>
      <c r="BO290" s="37" t="s">
        <v>197</v>
      </c>
      <c r="BP290" s="37" t="s">
        <v>197</v>
      </c>
      <c r="BQ290" s="37" t="s">
        <v>197</v>
      </c>
      <c r="BR290" s="37" t="s">
        <v>197</v>
      </c>
      <c r="BS290" s="37" t="s">
        <v>197</v>
      </c>
      <c r="BT290" s="37" t="s">
        <v>197</v>
      </c>
    </row>
    <row r="291" spans="5:72" x14ac:dyDescent="0.25">
      <c r="E291" s="6" t="s">
        <v>20</v>
      </c>
      <c r="F291" s="6">
        <f t="shared" si="85"/>
        <v>0</v>
      </c>
      <c r="G291" s="6">
        <f t="shared" si="86"/>
        <v>0</v>
      </c>
      <c r="H291" s="6">
        <f t="shared" si="87"/>
        <v>0</v>
      </c>
      <c r="I291" s="6">
        <f t="shared" si="88"/>
        <v>0</v>
      </c>
      <c r="J291" s="6">
        <f t="shared" si="89"/>
        <v>0</v>
      </c>
      <c r="K291" s="6">
        <f t="shared" si="90"/>
        <v>0</v>
      </c>
      <c r="L291" s="6">
        <f t="shared" si="91"/>
        <v>0</v>
      </c>
      <c r="M291" s="6">
        <f t="shared" si="92"/>
        <v>0</v>
      </c>
      <c r="N291" s="6">
        <f t="shared" si="93"/>
        <v>0</v>
      </c>
      <c r="O291" s="6">
        <f t="shared" si="94"/>
        <v>0</v>
      </c>
      <c r="P291" s="6">
        <f t="shared" si="95"/>
        <v>0</v>
      </c>
      <c r="Q291" s="6">
        <f t="shared" si="96"/>
        <v>0</v>
      </c>
      <c r="R291" s="6">
        <f t="shared" si="97"/>
        <v>0</v>
      </c>
      <c r="S291" s="6">
        <f t="shared" si="98"/>
        <v>0</v>
      </c>
      <c r="T291" s="6">
        <f t="shared" si="99"/>
        <v>0</v>
      </c>
      <c r="U291" s="6">
        <f t="shared" si="100"/>
        <v>0</v>
      </c>
      <c r="V291" s="6">
        <f t="shared" si="101"/>
        <v>0</v>
      </c>
      <c r="W291" s="6">
        <f t="shared" si="102"/>
        <v>0</v>
      </c>
      <c r="X291" s="6">
        <f t="shared" si="103"/>
        <v>0</v>
      </c>
      <c r="Y291" s="6">
        <f t="shared" si="104"/>
        <v>0</v>
      </c>
      <c r="Z291" s="6">
        <f t="shared" si="105"/>
        <v>0</v>
      </c>
      <c r="AB291" s="36" t="str">
        <f>IF(最佳化斷筋點!C291="","",最佳化斷筋點!C291)</f>
        <v>上層</v>
      </c>
      <c r="AC291" s="37">
        <f>IF(最佳化斷筋點!D291="","",最佳化斷筋點!D291)</f>
        <v>9</v>
      </c>
      <c r="AD291" s="37">
        <f>IF(最佳化斷筋點!E291="","",最佳化斷筋點!E291)</f>
        <v>9</v>
      </c>
      <c r="AE291" s="37">
        <f>IF(最佳化斷筋點!F291="","",最佳化斷筋點!F291)</f>
        <v>9</v>
      </c>
      <c r="AF291" s="37">
        <f>IF(最佳化斷筋點!G291="","",最佳化斷筋點!G291)</f>
        <v>9</v>
      </c>
      <c r="AG291" s="37">
        <f>IF(最佳化斷筋點!H291="","",最佳化斷筋點!H291)</f>
        <v>9</v>
      </c>
      <c r="AH291" s="37">
        <f>IF(最佳化斷筋點!I291="","",最佳化斷筋點!I291)</f>
        <v>8</v>
      </c>
      <c r="AI291" s="37">
        <f>IF(最佳化斷筋點!J291="","",最佳化斷筋點!J291)</f>
        <v>7</v>
      </c>
      <c r="AJ291" s="37">
        <f>IF(最佳化斷筋點!K291="","",最佳化斷筋點!K291)</f>
        <v>4</v>
      </c>
      <c r="AK291" s="37">
        <f>IF(最佳化斷筋點!L291="","",最佳化斷筋點!L291)</f>
        <v>4</v>
      </c>
      <c r="AL291" s="37">
        <f>IF(最佳化斷筋點!M291="","",最佳化斷筋點!M291)</f>
        <v>4</v>
      </c>
      <c r="AM291" s="37">
        <f>IF(最佳化斷筋點!N291="","",最佳化斷筋點!N291)</f>
        <v>3</v>
      </c>
      <c r="AN291" s="37">
        <f>IF(最佳化斷筋點!O291="","",最佳化斷筋點!O291)</f>
        <v>4</v>
      </c>
      <c r="AO291" s="37">
        <f>IF(最佳化斷筋點!P291="","",最佳化斷筋點!P291)</f>
        <v>4</v>
      </c>
      <c r="AP291" s="37">
        <f>IF(最佳化斷筋點!Q291="","",最佳化斷筋點!Q291)</f>
        <v>6</v>
      </c>
      <c r="AQ291" s="37">
        <f>IF(最佳化斷筋點!R291="","",最佳化斷筋點!R291)</f>
        <v>7</v>
      </c>
      <c r="AR291" s="37">
        <f>IF(最佳化斷筋點!S291="","",最佳化斷筋點!S291)</f>
        <v>8</v>
      </c>
      <c r="AS291" s="37">
        <f>IF(最佳化斷筋點!T291="","",最佳化斷筋點!T291)</f>
        <v>9</v>
      </c>
      <c r="AT291" s="37">
        <f>IF(最佳化斷筋點!U291="","",最佳化斷筋點!U291)</f>
        <v>10</v>
      </c>
      <c r="AU291" s="37">
        <f>IF(最佳化斷筋點!V291="","",最佳化斷筋點!V291)</f>
        <v>10</v>
      </c>
      <c r="AV291" s="37">
        <f>IF(最佳化斷筋點!W291="","",最佳化斷筋點!W291)</f>
        <v>10</v>
      </c>
      <c r="AW291" s="37">
        <f>IF(最佳化斷筋點!X291="","",最佳化斷筋點!X291)</f>
        <v>10</v>
      </c>
      <c r="AY291" s="6" t="s">
        <v>20</v>
      </c>
      <c r="AZ291" s="37">
        <v>9</v>
      </c>
      <c r="BA291" s="37">
        <v>9</v>
      </c>
      <c r="BB291" s="37">
        <v>9</v>
      </c>
      <c r="BC291" s="37">
        <v>9</v>
      </c>
      <c r="BD291" s="37">
        <v>9</v>
      </c>
      <c r="BE291" s="37">
        <v>8</v>
      </c>
      <c r="BF291" s="37">
        <v>7</v>
      </c>
      <c r="BG291" s="37">
        <v>4</v>
      </c>
      <c r="BH291" s="37">
        <v>4</v>
      </c>
      <c r="BI291" s="37">
        <v>4</v>
      </c>
      <c r="BJ291" s="37">
        <v>3</v>
      </c>
      <c r="BK291" s="37">
        <v>4</v>
      </c>
      <c r="BL291" s="37">
        <v>4</v>
      </c>
      <c r="BM291" s="37">
        <v>6</v>
      </c>
      <c r="BN291" s="37">
        <v>7</v>
      </c>
      <c r="BO291" s="37">
        <v>8</v>
      </c>
      <c r="BP291" s="37">
        <v>9</v>
      </c>
      <c r="BQ291" s="37">
        <v>10</v>
      </c>
      <c r="BR291" s="37">
        <v>10</v>
      </c>
      <c r="BS291" s="37">
        <v>10</v>
      </c>
      <c r="BT291" s="37">
        <v>10</v>
      </c>
    </row>
    <row r="292" spans="5:72" x14ac:dyDescent="0.25">
      <c r="F292" s="6">
        <f t="shared" si="85"/>
        <v>0</v>
      </c>
      <c r="G292" s="6">
        <f t="shared" si="86"/>
        <v>0</v>
      </c>
      <c r="H292" s="6">
        <f t="shared" si="87"/>
        <v>0</v>
      </c>
      <c r="I292" s="6">
        <f t="shared" si="88"/>
        <v>0</v>
      </c>
      <c r="J292" s="6">
        <f t="shared" si="89"/>
        <v>0</v>
      </c>
      <c r="K292" s="6">
        <f t="shared" si="90"/>
        <v>0</v>
      </c>
      <c r="L292" s="6">
        <f t="shared" si="91"/>
        <v>0</v>
      </c>
      <c r="M292" s="6">
        <f t="shared" si="92"/>
        <v>0</v>
      </c>
      <c r="N292" s="6">
        <f t="shared" si="93"/>
        <v>0</v>
      </c>
      <c r="O292" s="6">
        <f t="shared" si="94"/>
        <v>0</v>
      </c>
      <c r="P292" s="6">
        <f t="shared" si="95"/>
        <v>0</v>
      </c>
      <c r="Q292" s="6">
        <f t="shared" si="96"/>
        <v>0</v>
      </c>
      <c r="R292" s="6">
        <f t="shared" si="97"/>
        <v>0</v>
      </c>
      <c r="S292" s="6">
        <f t="shared" si="98"/>
        <v>0</v>
      </c>
      <c r="T292" s="6">
        <f t="shared" si="99"/>
        <v>0</v>
      </c>
      <c r="U292" s="6">
        <f t="shared" si="100"/>
        <v>0</v>
      </c>
      <c r="V292" s="6">
        <f t="shared" si="101"/>
        <v>0</v>
      </c>
      <c r="W292" s="6">
        <f t="shared" si="102"/>
        <v>0</v>
      </c>
      <c r="X292" s="6">
        <f t="shared" si="103"/>
        <v>0</v>
      </c>
      <c r="Y292" s="6">
        <f t="shared" si="104"/>
        <v>0</v>
      </c>
      <c r="Z292" s="6">
        <f t="shared" si="105"/>
        <v>0</v>
      </c>
      <c r="AB292" s="36" t="str">
        <f>IF(最佳化斷筋點!C292="","",最佳化斷筋點!C292)</f>
        <v/>
      </c>
      <c r="AC292" s="37" t="str">
        <f>IF(最佳化斷筋點!D292="","",最佳化斷筋點!D292)</f>
        <v/>
      </c>
      <c r="AD292" s="37" t="str">
        <f>IF(最佳化斷筋點!E292="","",最佳化斷筋點!E292)</f>
        <v/>
      </c>
      <c r="AE292" s="37" t="str">
        <f>IF(最佳化斷筋點!F292="","",最佳化斷筋點!F292)</f>
        <v/>
      </c>
      <c r="AF292" s="37" t="str">
        <f>IF(最佳化斷筋點!G292="","",最佳化斷筋點!G292)</f>
        <v/>
      </c>
      <c r="AG292" s="37" t="str">
        <f>IF(最佳化斷筋點!H292="","",最佳化斷筋點!H292)</f>
        <v/>
      </c>
      <c r="AH292" s="37" t="str">
        <f>IF(最佳化斷筋點!I292="","",最佳化斷筋點!I292)</f>
        <v/>
      </c>
      <c r="AI292" s="37" t="str">
        <f>IF(最佳化斷筋點!J292="","",最佳化斷筋點!J292)</f>
        <v/>
      </c>
      <c r="AJ292" s="37" t="str">
        <f>IF(最佳化斷筋點!K292="","",最佳化斷筋點!K292)</f>
        <v/>
      </c>
      <c r="AK292" s="37" t="str">
        <f>IF(最佳化斷筋點!L292="","",最佳化斷筋點!L292)</f>
        <v/>
      </c>
      <c r="AL292" s="37" t="str">
        <f>IF(最佳化斷筋點!M292="","",最佳化斷筋點!M292)</f>
        <v/>
      </c>
      <c r="AM292" s="37" t="str">
        <f>IF(最佳化斷筋點!N292="","",最佳化斷筋點!N292)</f>
        <v/>
      </c>
      <c r="AN292" s="37" t="str">
        <f>IF(最佳化斷筋點!O292="","",最佳化斷筋點!O292)</f>
        <v/>
      </c>
      <c r="AO292" s="37" t="str">
        <f>IF(最佳化斷筋點!P292="","",最佳化斷筋點!P292)</f>
        <v/>
      </c>
      <c r="AP292" s="37" t="str">
        <f>IF(最佳化斷筋點!Q292="","",最佳化斷筋點!Q292)</f>
        <v/>
      </c>
      <c r="AQ292" s="37" t="str">
        <f>IF(最佳化斷筋點!R292="","",最佳化斷筋點!R292)</f>
        <v/>
      </c>
      <c r="AR292" s="37" t="str">
        <f>IF(最佳化斷筋點!S292="","",最佳化斷筋點!S292)</f>
        <v/>
      </c>
      <c r="AS292" s="37" t="str">
        <f>IF(最佳化斷筋點!T292="","",最佳化斷筋點!T292)</f>
        <v/>
      </c>
      <c r="AT292" s="37" t="str">
        <f>IF(最佳化斷筋點!U292="","",最佳化斷筋點!U292)</f>
        <v/>
      </c>
      <c r="AU292" s="37" t="str">
        <f>IF(最佳化斷筋點!V292="","",最佳化斷筋點!V292)</f>
        <v/>
      </c>
      <c r="AV292" s="37" t="str">
        <f>IF(最佳化斷筋點!W292="","",最佳化斷筋點!W292)</f>
        <v/>
      </c>
      <c r="AW292" s="37" t="str">
        <f>IF(最佳化斷筋點!X292="","",最佳化斷筋點!X292)</f>
        <v/>
      </c>
      <c r="AZ292" s="37" t="s">
        <v>197</v>
      </c>
      <c r="BA292" s="37" t="s">
        <v>197</v>
      </c>
      <c r="BB292" s="37" t="s">
        <v>197</v>
      </c>
      <c r="BC292" s="37" t="s">
        <v>197</v>
      </c>
      <c r="BD292" s="37" t="s">
        <v>197</v>
      </c>
      <c r="BE292" s="37" t="s">
        <v>197</v>
      </c>
      <c r="BF292" s="37" t="s">
        <v>197</v>
      </c>
      <c r="BG292" s="37" t="s">
        <v>197</v>
      </c>
      <c r="BH292" s="37" t="s">
        <v>197</v>
      </c>
      <c r="BI292" s="37" t="s">
        <v>197</v>
      </c>
      <c r="BJ292" s="37" t="s">
        <v>197</v>
      </c>
      <c r="BK292" s="37" t="s">
        <v>197</v>
      </c>
      <c r="BL292" s="37" t="s">
        <v>197</v>
      </c>
      <c r="BM292" s="37" t="s">
        <v>197</v>
      </c>
      <c r="BN292" s="37" t="s">
        <v>197</v>
      </c>
      <c r="BO292" s="37" t="s">
        <v>197</v>
      </c>
      <c r="BP292" s="37" t="s">
        <v>197</v>
      </c>
      <c r="BQ292" s="37" t="s">
        <v>197</v>
      </c>
      <c r="BR292" s="37" t="s">
        <v>197</v>
      </c>
      <c r="BS292" s="37" t="s">
        <v>197</v>
      </c>
      <c r="BT292" s="37" t="s">
        <v>197</v>
      </c>
    </row>
    <row r="293" spans="5:72" x14ac:dyDescent="0.25">
      <c r="E293" s="6" t="s">
        <v>21</v>
      </c>
      <c r="F293" s="6">
        <f t="shared" si="85"/>
        <v>0</v>
      </c>
      <c r="G293" s="6">
        <f t="shared" si="86"/>
        <v>0</v>
      </c>
      <c r="H293" s="6">
        <f t="shared" si="87"/>
        <v>0</v>
      </c>
      <c r="I293" s="6">
        <f t="shared" si="88"/>
        <v>0</v>
      </c>
      <c r="J293" s="6">
        <f t="shared" si="89"/>
        <v>0</v>
      </c>
      <c r="K293" s="6">
        <f t="shared" si="90"/>
        <v>0</v>
      </c>
      <c r="L293" s="6">
        <f t="shared" si="91"/>
        <v>0</v>
      </c>
      <c r="M293" s="6">
        <f t="shared" si="92"/>
        <v>0</v>
      </c>
      <c r="N293" s="6">
        <f t="shared" si="93"/>
        <v>0</v>
      </c>
      <c r="O293" s="6">
        <f t="shared" si="94"/>
        <v>0</v>
      </c>
      <c r="P293" s="6">
        <f t="shared" si="95"/>
        <v>0</v>
      </c>
      <c r="Q293" s="6">
        <f t="shared" si="96"/>
        <v>0</v>
      </c>
      <c r="R293" s="6">
        <f t="shared" si="97"/>
        <v>0</v>
      </c>
      <c r="S293" s="6">
        <f t="shared" si="98"/>
        <v>0</v>
      </c>
      <c r="T293" s="6">
        <f t="shared" si="99"/>
        <v>0</v>
      </c>
      <c r="U293" s="6">
        <f t="shared" si="100"/>
        <v>0</v>
      </c>
      <c r="V293" s="6">
        <f t="shared" si="101"/>
        <v>0</v>
      </c>
      <c r="W293" s="6">
        <f t="shared" si="102"/>
        <v>0</v>
      </c>
      <c r="X293" s="6">
        <f t="shared" si="103"/>
        <v>0</v>
      </c>
      <c r="Y293" s="6">
        <f t="shared" si="104"/>
        <v>0</v>
      </c>
      <c r="Z293" s="6">
        <f t="shared" si="105"/>
        <v>0</v>
      </c>
      <c r="AB293" s="36" t="str">
        <f>IF(最佳化斷筋點!C293="","",最佳化斷筋點!C293)</f>
        <v>下層</v>
      </c>
      <c r="AC293" s="37">
        <f>IF(最佳化斷筋點!D293="","",最佳化斷筋點!D293)</f>
        <v>6</v>
      </c>
      <c r="AD293" s="37">
        <f>IF(最佳化斷筋點!E293="","",最佳化斷筋點!E293)</f>
        <v>6</v>
      </c>
      <c r="AE293" s="37">
        <f>IF(最佳化斷筋點!F293="","",最佳化斷筋點!F293)</f>
        <v>6</v>
      </c>
      <c r="AF293" s="37">
        <f>IF(最佳化斷筋點!G293="","",最佳化斷筋點!G293)</f>
        <v>6</v>
      </c>
      <c r="AG293" s="37">
        <f>IF(最佳化斷筋點!H293="","",最佳化斷筋點!H293)</f>
        <v>5</v>
      </c>
      <c r="AH293" s="37">
        <f>IF(最佳化斷筋點!I293="","",最佳化斷筋點!I293)</f>
        <v>5</v>
      </c>
      <c r="AI293" s="37">
        <f>IF(最佳化斷筋點!J293="","",最佳化斷筋點!J293)</f>
        <v>4</v>
      </c>
      <c r="AJ293" s="37">
        <f>IF(最佳化斷筋點!K293="","",最佳化斷筋點!K293)</f>
        <v>4</v>
      </c>
      <c r="AK293" s="37">
        <f>IF(最佳化斷筋點!L293="","",最佳化斷筋點!L293)</f>
        <v>4</v>
      </c>
      <c r="AL293" s="37">
        <f>IF(最佳化斷筋點!M293="","",最佳化斷筋點!M293)</f>
        <v>4</v>
      </c>
      <c r="AM293" s="37">
        <f>IF(最佳化斷筋點!N293="","",最佳化斷筋點!N293)</f>
        <v>4</v>
      </c>
      <c r="AN293" s="37">
        <f>IF(最佳化斷筋點!O293="","",最佳化斷筋點!O293)</f>
        <v>4</v>
      </c>
      <c r="AO293" s="37">
        <f>IF(最佳化斷筋點!P293="","",最佳化斷筋點!P293)</f>
        <v>4</v>
      </c>
      <c r="AP293" s="37">
        <f>IF(最佳化斷筋點!Q293="","",最佳化斷筋點!Q293)</f>
        <v>4</v>
      </c>
      <c r="AQ293" s="37">
        <f>IF(最佳化斷筋點!R293="","",最佳化斷筋點!R293)</f>
        <v>4</v>
      </c>
      <c r="AR293" s="37">
        <f>IF(最佳化斷筋點!S293="","",最佳化斷筋點!S293)</f>
        <v>4</v>
      </c>
      <c r="AS293" s="37">
        <f>IF(最佳化斷筋點!T293="","",最佳化斷筋點!T293)</f>
        <v>4</v>
      </c>
      <c r="AT293" s="37">
        <f>IF(最佳化斷筋點!U293="","",最佳化斷筋點!U293)</f>
        <v>5</v>
      </c>
      <c r="AU293" s="37">
        <f>IF(最佳化斷筋點!V293="","",最佳化斷筋點!V293)</f>
        <v>5</v>
      </c>
      <c r="AV293" s="37">
        <f>IF(最佳化斷筋點!W293="","",最佳化斷筋點!W293)</f>
        <v>5</v>
      </c>
      <c r="AW293" s="37">
        <f>IF(最佳化斷筋點!X293="","",最佳化斷筋點!X293)</f>
        <v>5</v>
      </c>
      <c r="AY293" s="6" t="s">
        <v>21</v>
      </c>
      <c r="AZ293" s="37">
        <v>6</v>
      </c>
      <c r="BA293" s="37">
        <v>6</v>
      </c>
      <c r="BB293" s="37">
        <v>6</v>
      </c>
      <c r="BC293" s="37">
        <v>6</v>
      </c>
      <c r="BD293" s="37">
        <v>5</v>
      </c>
      <c r="BE293" s="37">
        <v>5</v>
      </c>
      <c r="BF293" s="37">
        <v>4</v>
      </c>
      <c r="BG293" s="37">
        <v>4</v>
      </c>
      <c r="BH293" s="37">
        <v>4</v>
      </c>
      <c r="BI293" s="37">
        <v>4</v>
      </c>
      <c r="BJ293" s="37">
        <v>4</v>
      </c>
      <c r="BK293" s="37">
        <v>4</v>
      </c>
      <c r="BL293" s="37">
        <v>4</v>
      </c>
      <c r="BM293" s="37">
        <v>4</v>
      </c>
      <c r="BN293" s="37">
        <v>4</v>
      </c>
      <c r="BO293" s="37">
        <v>4</v>
      </c>
      <c r="BP293" s="37">
        <v>4</v>
      </c>
      <c r="BQ293" s="37">
        <v>5</v>
      </c>
      <c r="BR293" s="37">
        <v>5</v>
      </c>
      <c r="BS293" s="37">
        <v>5</v>
      </c>
      <c r="BT293" s="37">
        <v>5</v>
      </c>
    </row>
    <row r="294" spans="5:72" x14ac:dyDescent="0.25">
      <c r="F294" s="6">
        <f t="shared" si="85"/>
        <v>0</v>
      </c>
      <c r="G294" s="6">
        <f t="shared" si="86"/>
        <v>0</v>
      </c>
      <c r="H294" s="6">
        <f t="shared" si="87"/>
        <v>0</v>
      </c>
      <c r="I294" s="6">
        <f t="shared" si="88"/>
        <v>0</v>
      </c>
      <c r="J294" s="6">
        <f t="shared" si="89"/>
        <v>0</v>
      </c>
      <c r="K294" s="6">
        <f t="shared" si="90"/>
        <v>0</v>
      </c>
      <c r="L294" s="6">
        <f t="shared" si="91"/>
        <v>0</v>
      </c>
      <c r="M294" s="6">
        <f t="shared" si="92"/>
        <v>0</v>
      </c>
      <c r="N294" s="6">
        <f t="shared" si="93"/>
        <v>0</v>
      </c>
      <c r="O294" s="6">
        <f t="shared" si="94"/>
        <v>0</v>
      </c>
      <c r="P294" s="6">
        <f t="shared" si="95"/>
        <v>0</v>
      </c>
      <c r="Q294" s="6">
        <f t="shared" si="96"/>
        <v>0</v>
      </c>
      <c r="R294" s="6">
        <f t="shared" si="97"/>
        <v>0</v>
      </c>
      <c r="S294" s="6">
        <f t="shared" si="98"/>
        <v>0</v>
      </c>
      <c r="T294" s="6">
        <f t="shared" si="99"/>
        <v>0</v>
      </c>
      <c r="U294" s="6">
        <f t="shared" si="100"/>
        <v>0</v>
      </c>
      <c r="V294" s="6">
        <f t="shared" si="101"/>
        <v>0</v>
      </c>
      <c r="W294" s="6">
        <f t="shared" si="102"/>
        <v>0</v>
      </c>
      <c r="X294" s="6">
        <f t="shared" si="103"/>
        <v>0</v>
      </c>
      <c r="Y294" s="6">
        <f t="shared" si="104"/>
        <v>0</v>
      </c>
      <c r="Z294" s="6">
        <f t="shared" si="105"/>
        <v>0</v>
      </c>
      <c r="AB294" s="36" t="str">
        <f>IF(最佳化斷筋點!C294="","",最佳化斷筋點!C294)</f>
        <v/>
      </c>
      <c r="AC294" s="37" t="str">
        <f>IF(最佳化斷筋點!D294="","",最佳化斷筋點!D294)</f>
        <v/>
      </c>
      <c r="AD294" s="37" t="str">
        <f>IF(最佳化斷筋點!E294="","",最佳化斷筋點!E294)</f>
        <v/>
      </c>
      <c r="AE294" s="37" t="str">
        <f>IF(最佳化斷筋點!F294="","",最佳化斷筋點!F294)</f>
        <v/>
      </c>
      <c r="AF294" s="37" t="str">
        <f>IF(最佳化斷筋點!G294="","",最佳化斷筋點!G294)</f>
        <v/>
      </c>
      <c r="AG294" s="37" t="str">
        <f>IF(最佳化斷筋點!H294="","",最佳化斷筋點!H294)</f>
        <v/>
      </c>
      <c r="AH294" s="37" t="str">
        <f>IF(最佳化斷筋點!I294="","",最佳化斷筋點!I294)</f>
        <v/>
      </c>
      <c r="AI294" s="37" t="str">
        <f>IF(最佳化斷筋點!J294="","",最佳化斷筋點!J294)</f>
        <v/>
      </c>
      <c r="AJ294" s="37" t="str">
        <f>IF(最佳化斷筋點!K294="","",最佳化斷筋點!K294)</f>
        <v/>
      </c>
      <c r="AK294" s="37" t="str">
        <f>IF(最佳化斷筋點!L294="","",最佳化斷筋點!L294)</f>
        <v/>
      </c>
      <c r="AL294" s="37" t="str">
        <f>IF(最佳化斷筋點!M294="","",最佳化斷筋點!M294)</f>
        <v/>
      </c>
      <c r="AM294" s="37" t="str">
        <f>IF(最佳化斷筋點!N294="","",最佳化斷筋點!N294)</f>
        <v/>
      </c>
      <c r="AN294" s="37" t="str">
        <f>IF(最佳化斷筋點!O294="","",最佳化斷筋點!O294)</f>
        <v/>
      </c>
      <c r="AO294" s="37" t="str">
        <f>IF(最佳化斷筋點!P294="","",最佳化斷筋點!P294)</f>
        <v/>
      </c>
      <c r="AP294" s="37" t="str">
        <f>IF(最佳化斷筋點!Q294="","",最佳化斷筋點!Q294)</f>
        <v/>
      </c>
      <c r="AQ294" s="37" t="str">
        <f>IF(最佳化斷筋點!R294="","",最佳化斷筋點!R294)</f>
        <v/>
      </c>
      <c r="AR294" s="37" t="str">
        <f>IF(最佳化斷筋點!S294="","",最佳化斷筋點!S294)</f>
        <v/>
      </c>
      <c r="AS294" s="37" t="str">
        <f>IF(最佳化斷筋點!T294="","",最佳化斷筋點!T294)</f>
        <v/>
      </c>
      <c r="AT294" s="37" t="str">
        <f>IF(最佳化斷筋點!U294="","",最佳化斷筋點!U294)</f>
        <v/>
      </c>
      <c r="AU294" s="37" t="str">
        <f>IF(最佳化斷筋點!V294="","",最佳化斷筋點!V294)</f>
        <v/>
      </c>
      <c r="AV294" s="37" t="str">
        <f>IF(最佳化斷筋點!W294="","",最佳化斷筋點!W294)</f>
        <v/>
      </c>
      <c r="AW294" s="37" t="str">
        <f>IF(最佳化斷筋點!X294="","",最佳化斷筋點!X294)</f>
        <v/>
      </c>
      <c r="AZ294" s="37" t="s">
        <v>197</v>
      </c>
      <c r="BA294" s="37" t="s">
        <v>197</v>
      </c>
      <c r="BB294" s="37" t="s">
        <v>197</v>
      </c>
      <c r="BC294" s="37" t="s">
        <v>197</v>
      </c>
      <c r="BD294" s="37" t="s">
        <v>197</v>
      </c>
      <c r="BE294" s="37" t="s">
        <v>197</v>
      </c>
      <c r="BF294" s="37" t="s">
        <v>197</v>
      </c>
      <c r="BG294" s="37" t="s">
        <v>197</v>
      </c>
      <c r="BH294" s="37" t="s">
        <v>197</v>
      </c>
      <c r="BI294" s="37" t="s">
        <v>197</v>
      </c>
      <c r="BJ294" s="37" t="s">
        <v>197</v>
      </c>
      <c r="BK294" s="37" t="s">
        <v>197</v>
      </c>
      <c r="BL294" s="37" t="s">
        <v>197</v>
      </c>
      <c r="BM294" s="37" t="s">
        <v>197</v>
      </c>
      <c r="BN294" s="37" t="s">
        <v>197</v>
      </c>
      <c r="BO294" s="37" t="s">
        <v>197</v>
      </c>
      <c r="BP294" s="37" t="s">
        <v>197</v>
      </c>
      <c r="BQ294" s="37" t="s">
        <v>197</v>
      </c>
      <c r="BR294" s="37" t="s">
        <v>197</v>
      </c>
      <c r="BS294" s="37" t="s">
        <v>197</v>
      </c>
      <c r="BT294" s="37" t="s">
        <v>197</v>
      </c>
    </row>
    <row r="295" spans="5:72" x14ac:dyDescent="0.25">
      <c r="E295" s="6" t="s">
        <v>20</v>
      </c>
      <c r="F295" s="6">
        <f t="shared" si="85"/>
        <v>0</v>
      </c>
      <c r="G295" s="6">
        <f t="shared" si="86"/>
        <v>0</v>
      </c>
      <c r="H295" s="6">
        <f t="shared" si="87"/>
        <v>0</v>
      </c>
      <c r="I295" s="6">
        <f t="shared" si="88"/>
        <v>0</v>
      </c>
      <c r="J295" s="6">
        <f t="shared" si="89"/>
        <v>0</v>
      </c>
      <c r="K295" s="6">
        <f t="shared" si="90"/>
        <v>0</v>
      </c>
      <c r="L295" s="6">
        <f t="shared" si="91"/>
        <v>0</v>
      </c>
      <c r="M295" s="6">
        <f t="shared" si="92"/>
        <v>0</v>
      </c>
      <c r="N295" s="6">
        <f t="shared" si="93"/>
        <v>0</v>
      </c>
      <c r="O295" s="6">
        <f t="shared" si="94"/>
        <v>0</v>
      </c>
      <c r="P295" s="6">
        <f t="shared" si="95"/>
        <v>0</v>
      </c>
      <c r="Q295" s="6">
        <f t="shared" si="96"/>
        <v>0</v>
      </c>
      <c r="R295" s="6">
        <f t="shared" si="97"/>
        <v>0</v>
      </c>
      <c r="S295" s="6">
        <f t="shared" si="98"/>
        <v>0</v>
      </c>
      <c r="T295" s="6">
        <f t="shared" si="99"/>
        <v>0</v>
      </c>
      <c r="U295" s="6">
        <f t="shared" si="100"/>
        <v>0</v>
      </c>
      <c r="V295" s="6">
        <f t="shared" si="101"/>
        <v>0</v>
      </c>
      <c r="W295" s="6">
        <f t="shared" si="102"/>
        <v>0</v>
      </c>
      <c r="X295" s="6">
        <f t="shared" si="103"/>
        <v>0</v>
      </c>
      <c r="Y295" s="6">
        <f t="shared" si="104"/>
        <v>0</v>
      </c>
      <c r="Z295" s="6">
        <f t="shared" si="105"/>
        <v>0</v>
      </c>
      <c r="AB295" s="36" t="str">
        <f>IF(最佳化斷筋點!C295="","",最佳化斷筋點!C295)</f>
        <v>上層</v>
      </c>
      <c r="AC295" s="37">
        <f>IF(最佳化斷筋點!D295="","",最佳化斷筋點!D295)</f>
        <v>7</v>
      </c>
      <c r="AD295" s="37">
        <f>IF(最佳化斷筋點!E295="","",最佳化斷筋點!E295)</f>
        <v>7</v>
      </c>
      <c r="AE295" s="37">
        <f>IF(最佳化斷筋點!F295="","",最佳化斷筋點!F295)</f>
        <v>7</v>
      </c>
      <c r="AF295" s="37">
        <f>IF(最佳化斷筋點!G295="","",最佳化斷筋點!G295)</f>
        <v>7</v>
      </c>
      <c r="AG295" s="37">
        <f>IF(最佳化斷筋點!H295="","",最佳化斷筋點!H295)</f>
        <v>7</v>
      </c>
      <c r="AH295" s="37">
        <f>IF(最佳化斷筋點!I295="","",最佳化斷筋點!I295)</f>
        <v>7</v>
      </c>
      <c r="AI295" s="37">
        <f>IF(最佳化斷筋點!J295="","",最佳化斷筋點!J295)</f>
        <v>6</v>
      </c>
      <c r="AJ295" s="37">
        <f>IF(最佳化斷筋點!K295="","",最佳化斷筋點!K295)</f>
        <v>3</v>
      </c>
      <c r="AK295" s="37">
        <f>IF(最佳化斷筋點!L295="","",最佳化斷筋點!L295)</f>
        <v>3</v>
      </c>
      <c r="AL295" s="37">
        <f>IF(最佳化斷筋點!M295="","",最佳化斷筋點!M295)</f>
        <v>3</v>
      </c>
      <c r="AM295" s="37">
        <f>IF(最佳化斷筋點!N295="","",最佳化斷筋點!N295)</f>
        <v>3</v>
      </c>
      <c r="AN295" s="37">
        <f>IF(最佳化斷筋點!O295="","",最佳化斷筋點!O295)</f>
        <v>3</v>
      </c>
      <c r="AO295" s="37">
        <f>IF(最佳化斷筋點!P295="","",最佳化斷筋點!P295)</f>
        <v>3</v>
      </c>
      <c r="AP295" s="37">
        <f>IF(最佳化斷筋點!Q295="","",最佳化斷筋點!Q295)</f>
        <v>6</v>
      </c>
      <c r="AQ295" s="37">
        <f>IF(最佳化斷筋點!R295="","",最佳化斷筋點!R295)</f>
        <v>6</v>
      </c>
      <c r="AR295" s="37">
        <f>IF(最佳化斷筋點!S295="","",最佳化斷筋點!S295)</f>
        <v>7</v>
      </c>
      <c r="AS295" s="37">
        <f>IF(最佳化斷筋點!T295="","",最佳化斷筋點!T295)</f>
        <v>8</v>
      </c>
      <c r="AT295" s="37">
        <f>IF(最佳化斷筋點!U295="","",最佳化斷筋點!U295)</f>
        <v>8</v>
      </c>
      <c r="AU295" s="37">
        <f>IF(最佳化斷筋點!V295="","",最佳化斷筋點!V295)</f>
        <v>8</v>
      </c>
      <c r="AV295" s="37">
        <f>IF(最佳化斷筋點!W295="","",最佳化斷筋點!W295)</f>
        <v>8</v>
      </c>
      <c r="AW295" s="37">
        <f>IF(最佳化斷筋點!X295="","",最佳化斷筋點!X295)</f>
        <v>8</v>
      </c>
      <c r="AY295" s="6" t="s">
        <v>20</v>
      </c>
      <c r="AZ295" s="37">
        <v>7</v>
      </c>
      <c r="BA295" s="37">
        <v>7</v>
      </c>
      <c r="BB295" s="37">
        <v>7</v>
      </c>
      <c r="BC295" s="37">
        <v>7</v>
      </c>
      <c r="BD295" s="37">
        <v>7</v>
      </c>
      <c r="BE295" s="37">
        <v>7</v>
      </c>
      <c r="BF295" s="37">
        <v>6</v>
      </c>
      <c r="BG295" s="37">
        <v>3</v>
      </c>
      <c r="BH295" s="37">
        <v>3</v>
      </c>
      <c r="BI295" s="37">
        <v>3</v>
      </c>
      <c r="BJ295" s="37">
        <v>3</v>
      </c>
      <c r="BK295" s="37">
        <v>3</v>
      </c>
      <c r="BL295" s="37">
        <v>3</v>
      </c>
      <c r="BM295" s="37">
        <v>6</v>
      </c>
      <c r="BN295" s="37">
        <v>6</v>
      </c>
      <c r="BO295" s="37">
        <v>7</v>
      </c>
      <c r="BP295" s="37">
        <v>8</v>
      </c>
      <c r="BQ295" s="37">
        <v>8</v>
      </c>
      <c r="BR295" s="37">
        <v>8</v>
      </c>
      <c r="BS295" s="37">
        <v>8</v>
      </c>
      <c r="BT295" s="37">
        <v>8</v>
      </c>
    </row>
    <row r="296" spans="5:72" x14ac:dyDescent="0.25">
      <c r="F296" s="6">
        <f t="shared" si="85"/>
        <v>0</v>
      </c>
      <c r="G296" s="6">
        <f t="shared" si="86"/>
        <v>0</v>
      </c>
      <c r="H296" s="6">
        <f t="shared" si="87"/>
        <v>0</v>
      </c>
      <c r="I296" s="6">
        <f t="shared" si="88"/>
        <v>0</v>
      </c>
      <c r="J296" s="6">
        <f t="shared" si="89"/>
        <v>0</v>
      </c>
      <c r="K296" s="6">
        <f t="shared" si="90"/>
        <v>0</v>
      </c>
      <c r="L296" s="6">
        <f t="shared" si="91"/>
        <v>0</v>
      </c>
      <c r="M296" s="6">
        <f t="shared" si="92"/>
        <v>0</v>
      </c>
      <c r="N296" s="6">
        <f t="shared" si="93"/>
        <v>0</v>
      </c>
      <c r="O296" s="6">
        <f t="shared" si="94"/>
        <v>0</v>
      </c>
      <c r="P296" s="6">
        <f t="shared" si="95"/>
        <v>0</v>
      </c>
      <c r="Q296" s="6">
        <f t="shared" si="96"/>
        <v>0</v>
      </c>
      <c r="R296" s="6">
        <f t="shared" si="97"/>
        <v>0</v>
      </c>
      <c r="S296" s="6">
        <f t="shared" si="98"/>
        <v>0</v>
      </c>
      <c r="T296" s="6">
        <f t="shared" si="99"/>
        <v>0</v>
      </c>
      <c r="U296" s="6">
        <f t="shared" si="100"/>
        <v>0</v>
      </c>
      <c r="V296" s="6">
        <f t="shared" si="101"/>
        <v>0</v>
      </c>
      <c r="W296" s="6">
        <f t="shared" si="102"/>
        <v>0</v>
      </c>
      <c r="X296" s="6">
        <f t="shared" si="103"/>
        <v>0</v>
      </c>
      <c r="Y296" s="6">
        <f t="shared" si="104"/>
        <v>0</v>
      </c>
      <c r="Z296" s="6">
        <f t="shared" si="105"/>
        <v>0</v>
      </c>
      <c r="AB296" s="36" t="str">
        <f>IF(最佳化斷筋點!C296="","",最佳化斷筋點!C296)</f>
        <v/>
      </c>
      <c r="AC296" s="37" t="str">
        <f>IF(最佳化斷筋點!D296="","",最佳化斷筋點!D296)</f>
        <v/>
      </c>
      <c r="AD296" s="37" t="str">
        <f>IF(最佳化斷筋點!E296="","",最佳化斷筋點!E296)</f>
        <v/>
      </c>
      <c r="AE296" s="37" t="str">
        <f>IF(最佳化斷筋點!F296="","",最佳化斷筋點!F296)</f>
        <v/>
      </c>
      <c r="AF296" s="37" t="str">
        <f>IF(最佳化斷筋點!G296="","",最佳化斷筋點!G296)</f>
        <v/>
      </c>
      <c r="AG296" s="37" t="str">
        <f>IF(最佳化斷筋點!H296="","",最佳化斷筋點!H296)</f>
        <v/>
      </c>
      <c r="AH296" s="37" t="str">
        <f>IF(最佳化斷筋點!I296="","",最佳化斷筋點!I296)</f>
        <v/>
      </c>
      <c r="AI296" s="37" t="str">
        <f>IF(最佳化斷筋點!J296="","",最佳化斷筋點!J296)</f>
        <v/>
      </c>
      <c r="AJ296" s="37" t="str">
        <f>IF(最佳化斷筋點!K296="","",最佳化斷筋點!K296)</f>
        <v/>
      </c>
      <c r="AK296" s="37" t="str">
        <f>IF(最佳化斷筋點!L296="","",最佳化斷筋點!L296)</f>
        <v/>
      </c>
      <c r="AL296" s="37" t="str">
        <f>IF(最佳化斷筋點!M296="","",最佳化斷筋點!M296)</f>
        <v/>
      </c>
      <c r="AM296" s="37" t="str">
        <f>IF(最佳化斷筋點!N296="","",最佳化斷筋點!N296)</f>
        <v/>
      </c>
      <c r="AN296" s="37" t="str">
        <f>IF(最佳化斷筋點!O296="","",最佳化斷筋點!O296)</f>
        <v/>
      </c>
      <c r="AO296" s="37" t="str">
        <f>IF(最佳化斷筋點!P296="","",最佳化斷筋點!P296)</f>
        <v/>
      </c>
      <c r="AP296" s="37" t="str">
        <f>IF(最佳化斷筋點!Q296="","",最佳化斷筋點!Q296)</f>
        <v/>
      </c>
      <c r="AQ296" s="37" t="str">
        <f>IF(最佳化斷筋點!R296="","",最佳化斷筋點!R296)</f>
        <v/>
      </c>
      <c r="AR296" s="37" t="str">
        <f>IF(最佳化斷筋點!S296="","",最佳化斷筋點!S296)</f>
        <v/>
      </c>
      <c r="AS296" s="37" t="str">
        <f>IF(最佳化斷筋點!T296="","",最佳化斷筋點!T296)</f>
        <v/>
      </c>
      <c r="AT296" s="37" t="str">
        <f>IF(最佳化斷筋點!U296="","",最佳化斷筋點!U296)</f>
        <v/>
      </c>
      <c r="AU296" s="37" t="str">
        <f>IF(最佳化斷筋點!V296="","",最佳化斷筋點!V296)</f>
        <v/>
      </c>
      <c r="AV296" s="37" t="str">
        <f>IF(最佳化斷筋點!W296="","",最佳化斷筋點!W296)</f>
        <v/>
      </c>
      <c r="AW296" s="37" t="str">
        <f>IF(最佳化斷筋點!X296="","",最佳化斷筋點!X296)</f>
        <v/>
      </c>
      <c r="AZ296" s="37" t="s">
        <v>197</v>
      </c>
      <c r="BA296" s="37" t="s">
        <v>197</v>
      </c>
      <c r="BB296" s="37" t="s">
        <v>197</v>
      </c>
      <c r="BC296" s="37" t="s">
        <v>197</v>
      </c>
      <c r="BD296" s="37" t="s">
        <v>197</v>
      </c>
      <c r="BE296" s="37" t="s">
        <v>197</v>
      </c>
      <c r="BF296" s="37" t="s">
        <v>197</v>
      </c>
      <c r="BG296" s="37" t="s">
        <v>197</v>
      </c>
      <c r="BH296" s="37" t="s">
        <v>197</v>
      </c>
      <c r="BI296" s="37" t="s">
        <v>197</v>
      </c>
      <c r="BJ296" s="37" t="s">
        <v>197</v>
      </c>
      <c r="BK296" s="37" t="s">
        <v>197</v>
      </c>
      <c r="BL296" s="37" t="s">
        <v>197</v>
      </c>
      <c r="BM296" s="37" t="s">
        <v>197</v>
      </c>
      <c r="BN296" s="37" t="s">
        <v>197</v>
      </c>
      <c r="BO296" s="37" t="s">
        <v>197</v>
      </c>
      <c r="BP296" s="37" t="s">
        <v>197</v>
      </c>
      <c r="BQ296" s="37" t="s">
        <v>197</v>
      </c>
      <c r="BR296" s="37" t="s">
        <v>197</v>
      </c>
      <c r="BS296" s="37" t="s">
        <v>197</v>
      </c>
      <c r="BT296" s="37" t="s">
        <v>197</v>
      </c>
    </row>
    <row r="297" spans="5:72" x14ac:dyDescent="0.25">
      <c r="E297" s="6" t="s">
        <v>21</v>
      </c>
      <c r="F297" s="6">
        <f t="shared" si="85"/>
        <v>0</v>
      </c>
      <c r="G297" s="6">
        <f t="shared" si="86"/>
        <v>0</v>
      </c>
      <c r="H297" s="6">
        <f t="shared" si="87"/>
        <v>0</v>
      </c>
      <c r="I297" s="6">
        <f t="shared" si="88"/>
        <v>0</v>
      </c>
      <c r="J297" s="6">
        <f t="shared" si="89"/>
        <v>0</v>
      </c>
      <c r="K297" s="6">
        <f t="shared" si="90"/>
        <v>0</v>
      </c>
      <c r="L297" s="6">
        <f t="shared" si="91"/>
        <v>0</v>
      </c>
      <c r="M297" s="6">
        <f t="shared" si="92"/>
        <v>0</v>
      </c>
      <c r="N297" s="6">
        <f t="shared" si="93"/>
        <v>0</v>
      </c>
      <c r="O297" s="6">
        <f t="shared" si="94"/>
        <v>0</v>
      </c>
      <c r="P297" s="6">
        <f t="shared" si="95"/>
        <v>0</v>
      </c>
      <c r="Q297" s="6">
        <f t="shared" si="96"/>
        <v>0</v>
      </c>
      <c r="R297" s="6">
        <f t="shared" si="97"/>
        <v>0</v>
      </c>
      <c r="S297" s="6">
        <f t="shared" si="98"/>
        <v>0</v>
      </c>
      <c r="T297" s="6">
        <f t="shared" si="99"/>
        <v>0</v>
      </c>
      <c r="U297" s="6">
        <f t="shared" si="100"/>
        <v>0</v>
      </c>
      <c r="V297" s="6">
        <f t="shared" si="101"/>
        <v>0</v>
      </c>
      <c r="W297" s="6">
        <f t="shared" si="102"/>
        <v>0</v>
      </c>
      <c r="X297" s="6">
        <f t="shared" si="103"/>
        <v>0</v>
      </c>
      <c r="Y297" s="6">
        <f t="shared" si="104"/>
        <v>0</v>
      </c>
      <c r="Z297" s="6">
        <f t="shared" si="105"/>
        <v>0</v>
      </c>
      <c r="AB297" s="36" t="str">
        <f>IF(最佳化斷筋點!C297="","",最佳化斷筋點!C297)</f>
        <v>下層</v>
      </c>
      <c r="AC297" s="37">
        <f>IF(最佳化斷筋點!D297="","",最佳化斷筋點!D297)</f>
        <v>5</v>
      </c>
      <c r="AD297" s="37">
        <f>IF(最佳化斷筋點!E297="","",最佳化斷筋點!E297)</f>
        <v>5</v>
      </c>
      <c r="AE297" s="37">
        <f>IF(最佳化斷筋點!F297="","",最佳化斷筋點!F297)</f>
        <v>5</v>
      </c>
      <c r="AF297" s="37">
        <f>IF(最佳化斷筋點!G297="","",最佳化斷筋點!G297)</f>
        <v>5</v>
      </c>
      <c r="AG297" s="37">
        <f>IF(最佳化斷筋點!H297="","",最佳化斷筋點!H297)</f>
        <v>5</v>
      </c>
      <c r="AH297" s="37">
        <f>IF(最佳化斷筋點!I297="","",最佳化斷筋點!I297)</f>
        <v>5</v>
      </c>
      <c r="AI297" s="37">
        <f>IF(最佳化斷筋點!J297="","",最佳化斷筋點!J297)</f>
        <v>4</v>
      </c>
      <c r="AJ297" s="37">
        <f>IF(最佳化斷筋點!K297="","",最佳化斷筋點!K297)</f>
        <v>3</v>
      </c>
      <c r="AK297" s="37">
        <f>IF(最佳化斷筋點!L297="","",最佳化斷筋點!L297)</f>
        <v>3</v>
      </c>
      <c r="AL297" s="37">
        <f>IF(最佳化斷筋點!M297="","",最佳化斷筋點!M297)</f>
        <v>3</v>
      </c>
      <c r="AM297" s="37">
        <f>IF(最佳化斷筋點!N297="","",最佳化斷筋點!N297)</f>
        <v>3</v>
      </c>
      <c r="AN297" s="37">
        <f>IF(最佳化斷筋點!O297="","",最佳化斷筋點!O297)</f>
        <v>3</v>
      </c>
      <c r="AO297" s="37">
        <f>IF(最佳化斷筋點!P297="","",最佳化斷筋點!P297)</f>
        <v>3</v>
      </c>
      <c r="AP297" s="37">
        <f>IF(最佳化斷筋點!Q297="","",最佳化斷筋點!Q297)</f>
        <v>3</v>
      </c>
      <c r="AQ297" s="37">
        <f>IF(最佳化斷筋點!R297="","",最佳化斷筋點!R297)</f>
        <v>3</v>
      </c>
      <c r="AR297" s="37">
        <f>IF(最佳化斷筋點!S297="","",最佳化斷筋點!S297)</f>
        <v>3</v>
      </c>
      <c r="AS297" s="37">
        <f>IF(最佳化斷筋點!T297="","",最佳化斷筋點!T297)</f>
        <v>4</v>
      </c>
      <c r="AT297" s="37">
        <f>IF(最佳化斷筋點!U297="","",最佳化斷筋點!U297)</f>
        <v>4</v>
      </c>
      <c r="AU297" s="37">
        <f>IF(最佳化斷筋點!V297="","",最佳化斷筋點!V297)</f>
        <v>4</v>
      </c>
      <c r="AV297" s="37">
        <f>IF(最佳化斷筋點!W297="","",最佳化斷筋點!W297)</f>
        <v>4</v>
      </c>
      <c r="AW297" s="37">
        <f>IF(最佳化斷筋點!X297="","",最佳化斷筋點!X297)</f>
        <v>4</v>
      </c>
      <c r="AY297" s="6" t="s">
        <v>21</v>
      </c>
      <c r="AZ297" s="37">
        <v>5</v>
      </c>
      <c r="BA297" s="37">
        <v>5</v>
      </c>
      <c r="BB297" s="37">
        <v>5</v>
      </c>
      <c r="BC297" s="37">
        <v>5</v>
      </c>
      <c r="BD297" s="37">
        <v>5</v>
      </c>
      <c r="BE297" s="37">
        <v>5</v>
      </c>
      <c r="BF297" s="37">
        <v>4</v>
      </c>
      <c r="BG297" s="37">
        <v>3</v>
      </c>
      <c r="BH297" s="37">
        <v>3</v>
      </c>
      <c r="BI297" s="37">
        <v>3</v>
      </c>
      <c r="BJ297" s="37">
        <v>3</v>
      </c>
      <c r="BK297" s="37">
        <v>3</v>
      </c>
      <c r="BL297" s="37">
        <v>3</v>
      </c>
      <c r="BM297" s="37">
        <v>3</v>
      </c>
      <c r="BN297" s="37">
        <v>3</v>
      </c>
      <c r="BO297" s="37">
        <v>3</v>
      </c>
      <c r="BP297" s="37">
        <v>4</v>
      </c>
      <c r="BQ297" s="37">
        <v>4</v>
      </c>
      <c r="BR297" s="37">
        <v>4</v>
      </c>
      <c r="BS297" s="37">
        <v>4</v>
      </c>
      <c r="BT297" s="37">
        <v>4</v>
      </c>
    </row>
    <row r="298" spans="5:72" x14ac:dyDescent="0.25">
      <c r="F298" s="6">
        <f t="shared" si="85"/>
        <v>0</v>
      </c>
      <c r="G298" s="6">
        <f t="shared" si="86"/>
        <v>0</v>
      </c>
      <c r="H298" s="6">
        <f t="shared" si="87"/>
        <v>0</v>
      </c>
      <c r="I298" s="6">
        <f t="shared" si="88"/>
        <v>0</v>
      </c>
      <c r="J298" s="6">
        <f t="shared" si="89"/>
        <v>0</v>
      </c>
      <c r="K298" s="6">
        <f t="shared" si="90"/>
        <v>0</v>
      </c>
      <c r="L298" s="6">
        <f t="shared" si="91"/>
        <v>0</v>
      </c>
      <c r="M298" s="6">
        <f t="shared" si="92"/>
        <v>0</v>
      </c>
      <c r="N298" s="6">
        <f t="shared" si="93"/>
        <v>0</v>
      </c>
      <c r="O298" s="6">
        <f t="shared" si="94"/>
        <v>0</v>
      </c>
      <c r="P298" s="6">
        <f t="shared" si="95"/>
        <v>0</v>
      </c>
      <c r="Q298" s="6">
        <f t="shared" si="96"/>
        <v>0</v>
      </c>
      <c r="R298" s="6">
        <f t="shared" si="97"/>
        <v>0</v>
      </c>
      <c r="S298" s="6">
        <f t="shared" si="98"/>
        <v>0</v>
      </c>
      <c r="T298" s="6">
        <f t="shared" si="99"/>
        <v>0</v>
      </c>
      <c r="U298" s="6">
        <f t="shared" si="100"/>
        <v>0</v>
      </c>
      <c r="V298" s="6">
        <f t="shared" si="101"/>
        <v>0</v>
      </c>
      <c r="W298" s="6">
        <f t="shared" si="102"/>
        <v>0</v>
      </c>
      <c r="X298" s="6">
        <f t="shared" si="103"/>
        <v>0</v>
      </c>
      <c r="Y298" s="6">
        <f t="shared" si="104"/>
        <v>0</v>
      </c>
      <c r="Z298" s="6">
        <f t="shared" si="105"/>
        <v>0</v>
      </c>
      <c r="AB298" s="36" t="str">
        <f>IF(最佳化斷筋點!C298="","",最佳化斷筋點!C298)</f>
        <v/>
      </c>
      <c r="AC298" s="37" t="str">
        <f>IF(最佳化斷筋點!D298="","",最佳化斷筋點!D298)</f>
        <v/>
      </c>
      <c r="AD298" s="37" t="str">
        <f>IF(最佳化斷筋點!E298="","",最佳化斷筋點!E298)</f>
        <v/>
      </c>
      <c r="AE298" s="37" t="str">
        <f>IF(最佳化斷筋點!F298="","",最佳化斷筋點!F298)</f>
        <v/>
      </c>
      <c r="AF298" s="37" t="str">
        <f>IF(最佳化斷筋點!G298="","",最佳化斷筋點!G298)</f>
        <v/>
      </c>
      <c r="AG298" s="37" t="str">
        <f>IF(最佳化斷筋點!H298="","",最佳化斷筋點!H298)</f>
        <v/>
      </c>
      <c r="AH298" s="37" t="str">
        <f>IF(最佳化斷筋點!I298="","",最佳化斷筋點!I298)</f>
        <v/>
      </c>
      <c r="AI298" s="37" t="str">
        <f>IF(最佳化斷筋點!J298="","",最佳化斷筋點!J298)</f>
        <v/>
      </c>
      <c r="AJ298" s="37" t="str">
        <f>IF(最佳化斷筋點!K298="","",最佳化斷筋點!K298)</f>
        <v/>
      </c>
      <c r="AK298" s="37" t="str">
        <f>IF(最佳化斷筋點!L298="","",最佳化斷筋點!L298)</f>
        <v/>
      </c>
      <c r="AL298" s="37" t="str">
        <f>IF(最佳化斷筋點!M298="","",最佳化斷筋點!M298)</f>
        <v/>
      </c>
      <c r="AM298" s="37" t="str">
        <f>IF(最佳化斷筋點!N298="","",最佳化斷筋點!N298)</f>
        <v/>
      </c>
      <c r="AN298" s="37" t="str">
        <f>IF(最佳化斷筋點!O298="","",最佳化斷筋點!O298)</f>
        <v/>
      </c>
      <c r="AO298" s="37" t="str">
        <f>IF(最佳化斷筋點!P298="","",最佳化斷筋點!P298)</f>
        <v/>
      </c>
      <c r="AP298" s="37" t="str">
        <f>IF(最佳化斷筋點!Q298="","",最佳化斷筋點!Q298)</f>
        <v/>
      </c>
      <c r="AQ298" s="37" t="str">
        <f>IF(最佳化斷筋點!R298="","",最佳化斷筋點!R298)</f>
        <v/>
      </c>
      <c r="AR298" s="37" t="str">
        <f>IF(最佳化斷筋點!S298="","",最佳化斷筋點!S298)</f>
        <v/>
      </c>
      <c r="AS298" s="37" t="str">
        <f>IF(最佳化斷筋點!T298="","",最佳化斷筋點!T298)</f>
        <v/>
      </c>
      <c r="AT298" s="37" t="str">
        <f>IF(最佳化斷筋點!U298="","",最佳化斷筋點!U298)</f>
        <v/>
      </c>
      <c r="AU298" s="37" t="str">
        <f>IF(最佳化斷筋點!V298="","",最佳化斷筋點!V298)</f>
        <v/>
      </c>
      <c r="AV298" s="37" t="str">
        <f>IF(最佳化斷筋點!W298="","",最佳化斷筋點!W298)</f>
        <v/>
      </c>
      <c r="AW298" s="37" t="str">
        <f>IF(最佳化斷筋點!X298="","",最佳化斷筋點!X298)</f>
        <v/>
      </c>
      <c r="AZ298" s="37" t="s">
        <v>197</v>
      </c>
      <c r="BA298" s="37" t="s">
        <v>197</v>
      </c>
      <c r="BB298" s="37" t="s">
        <v>197</v>
      </c>
      <c r="BC298" s="37" t="s">
        <v>197</v>
      </c>
      <c r="BD298" s="37" t="s">
        <v>197</v>
      </c>
      <c r="BE298" s="37" t="s">
        <v>197</v>
      </c>
      <c r="BF298" s="37" t="s">
        <v>197</v>
      </c>
      <c r="BG298" s="37" t="s">
        <v>197</v>
      </c>
      <c r="BH298" s="37" t="s">
        <v>197</v>
      </c>
      <c r="BI298" s="37" t="s">
        <v>197</v>
      </c>
      <c r="BJ298" s="37" t="s">
        <v>197</v>
      </c>
      <c r="BK298" s="37" t="s">
        <v>197</v>
      </c>
      <c r="BL298" s="37" t="s">
        <v>197</v>
      </c>
      <c r="BM298" s="37" t="s">
        <v>197</v>
      </c>
      <c r="BN298" s="37" t="s">
        <v>197</v>
      </c>
      <c r="BO298" s="37" t="s">
        <v>197</v>
      </c>
      <c r="BP298" s="37" t="s">
        <v>197</v>
      </c>
      <c r="BQ298" s="37" t="s">
        <v>197</v>
      </c>
      <c r="BR298" s="37" t="s">
        <v>197</v>
      </c>
      <c r="BS298" s="37" t="s">
        <v>197</v>
      </c>
      <c r="BT298" s="37" t="s">
        <v>197</v>
      </c>
    </row>
    <row r="299" spans="5:72" x14ac:dyDescent="0.25">
      <c r="E299" s="6" t="s">
        <v>20</v>
      </c>
      <c r="F299" s="6">
        <f t="shared" si="85"/>
        <v>0</v>
      </c>
      <c r="G299" s="6">
        <f t="shared" si="86"/>
        <v>0</v>
      </c>
      <c r="H299" s="6">
        <f t="shared" si="87"/>
        <v>0</v>
      </c>
      <c r="I299" s="6">
        <f t="shared" si="88"/>
        <v>0</v>
      </c>
      <c r="J299" s="6">
        <f t="shared" si="89"/>
        <v>0</v>
      </c>
      <c r="K299" s="6">
        <f t="shared" si="90"/>
        <v>0</v>
      </c>
      <c r="L299" s="6">
        <f t="shared" si="91"/>
        <v>0</v>
      </c>
      <c r="M299" s="6">
        <f t="shared" si="92"/>
        <v>0</v>
      </c>
      <c r="N299" s="6">
        <f t="shared" si="93"/>
        <v>0</v>
      </c>
      <c r="O299" s="6">
        <f t="shared" si="94"/>
        <v>0</v>
      </c>
      <c r="P299" s="6">
        <f t="shared" si="95"/>
        <v>0</v>
      </c>
      <c r="Q299" s="6">
        <f t="shared" si="96"/>
        <v>0</v>
      </c>
      <c r="R299" s="6">
        <f t="shared" si="97"/>
        <v>0</v>
      </c>
      <c r="S299" s="6">
        <f t="shared" si="98"/>
        <v>0</v>
      </c>
      <c r="T299" s="6">
        <f t="shared" si="99"/>
        <v>0</v>
      </c>
      <c r="U299" s="6">
        <f t="shared" si="100"/>
        <v>0</v>
      </c>
      <c r="V299" s="6">
        <f t="shared" si="101"/>
        <v>0</v>
      </c>
      <c r="W299" s="6">
        <f t="shared" si="102"/>
        <v>0</v>
      </c>
      <c r="X299" s="6">
        <f t="shared" si="103"/>
        <v>0</v>
      </c>
      <c r="Y299" s="6">
        <f t="shared" si="104"/>
        <v>0</v>
      </c>
      <c r="Z299" s="6">
        <f t="shared" si="105"/>
        <v>0</v>
      </c>
      <c r="AB299" s="36" t="str">
        <f>IF(最佳化斷筋點!C299="","",最佳化斷筋點!C299)</f>
        <v>上層</v>
      </c>
      <c r="AC299" s="37">
        <f>IF(最佳化斷筋點!D299="","",最佳化斷筋點!D299)</f>
        <v>9</v>
      </c>
      <c r="AD299" s="37">
        <f>IF(最佳化斷筋點!E299="","",最佳化斷筋點!E299)</f>
        <v>9</v>
      </c>
      <c r="AE299" s="37">
        <f>IF(最佳化斷筋點!F299="","",最佳化斷筋點!F299)</f>
        <v>9</v>
      </c>
      <c r="AF299" s="37">
        <f>IF(最佳化斷筋點!G299="","",最佳化斷筋點!G299)</f>
        <v>9</v>
      </c>
      <c r="AG299" s="37">
        <f>IF(最佳化斷筋點!H299="","",最佳化斷筋點!H299)</f>
        <v>9</v>
      </c>
      <c r="AH299" s="37">
        <f>IF(最佳化斷筋點!I299="","",最佳化斷筋點!I299)</f>
        <v>9</v>
      </c>
      <c r="AI299" s="37">
        <f>IF(最佳化斷筋點!J299="","",最佳化斷筋點!J299)</f>
        <v>8</v>
      </c>
      <c r="AJ299" s="37">
        <f>IF(最佳化斷筋點!K299="","",最佳化斷筋點!K299)</f>
        <v>3</v>
      </c>
      <c r="AK299" s="37">
        <f>IF(最佳化斷筋點!L299="","",最佳化斷筋點!L299)</f>
        <v>3</v>
      </c>
      <c r="AL299" s="37">
        <f>IF(最佳化斷筋點!M299="","",最佳化斷筋點!M299)</f>
        <v>3</v>
      </c>
      <c r="AM299" s="37">
        <f>IF(最佳化斷筋點!N299="","",最佳化斷筋點!N299)</f>
        <v>3</v>
      </c>
      <c r="AN299" s="37">
        <f>IF(最佳化斷筋點!O299="","",最佳化斷筋點!O299)</f>
        <v>3</v>
      </c>
      <c r="AO299" s="37">
        <f>IF(最佳化斷筋點!P299="","",最佳化斷筋點!P299)</f>
        <v>3</v>
      </c>
      <c r="AP299" s="37">
        <f>IF(最佳化斷筋點!Q299="","",最佳化斷筋點!Q299)</f>
        <v>6</v>
      </c>
      <c r="AQ299" s="37">
        <f>IF(最佳化斷筋點!R299="","",最佳化斷筋點!R299)</f>
        <v>7</v>
      </c>
      <c r="AR299" s="37">
        <f>IF(最佳化斷筋點!S299="","",最佳化斷筋點!S299)</f>
        <v>8</v>
      </c>
      <c r="AS299" s="37">
        <f>IF(最佳化斷筋點!T299="","",最佳化斷筋點!T299)</f>
        <v>8</v>
      </c>
      <c r="AT299" s="37">
        <f>IF(最佳化斷筋點!U299="","",最佳化斷筋點!U299)</f>
        <v>8</v>
      </c>
      <c r="AU299" s="37">
        <f>IF(最佳化斷筋點!V299="","",最佳化斷筋點!V299)</f>
        <v>8</v>
      </c>
      <c r="AV299" s="37">
        <f>IF(最佳化斷筋點!W299="","",最佳化斷筋點!W299)</f>
        <v>8</v>
      </c>
      <c r="AW299" s="37">
        <f>IF(最佳化斷筋點!X299="","",最佳化斷筋點!X299)</f>
        <v>8</v>
      </c>
      <c r="AY299" s="6" t="s">
        <v>20</v>
      </c>
      <c r="AZ299" s="37">
        <v>9</v>
      </c>
      <c r="BA299" s="37">
        <v>9</v>
      </c>
      <c r="BB299" s="37">
        <v>9</v>
      </c>
      <c r="BC299" s="37">
        <v>9</v>
      </c>
      <c r="BD299" s="37">
        <v>9</v>
      </c>
      <c r="BE299" s="37">
        <v>9</v>
      </c>
      <c r="BF299" s="37">
        <v>8</v>
      </c>
      <c r="BG299" s="37">
        <v>3</v>
      </c>
      <c r="BH299" s="37">
        <v>3</v>
      </c>
      <c r="BI299" s="37">
        <v>3</v>
      </c>
      <c r="BJ299" s="37">
        <v>3</v>
      </c>
      <c r="BK299" s="37">
        <v>3</v>
      </c>
      <c r="BL299" s="37">
        <v>3</v>
      </c>
      <c r="BM299" s="37">
        <v>6</v>
      </c>
      <c r="BN299" s="37">
        <v>7</v>
      </c>
      <c r="BO299" s="37">
        <v>8</v>
      </c>
      <c r="BP299" s="37">
        <v>8</v>
      </c>
      <c r="BQ299" s="37">
        <v>8</v>
      </c>
      <c r="BR299" s="37">
        <v>8</v>
      </c>
      <c r="BS299" s="37">
        <v>8</v>
      </c>
      <c r="BT299" s="37">
        <v>8</v>
      </c>
    </row>
    <row r="300" spans="5:72" x14ac:dyDescent="0.25">
      <c r="F300" s="6">
        <f t="shared" si="85"/>
        <v>0</v>
      </c>
      <c r="G300" s="6">
        <f t="shared" si="86"/>
        <v>0</v>
      </c>
      <c r="H300" s="6">
        <f t="shared" si="87"/>
        <v>0</v>
      </c>
      <c r="I300" s="6">
        <f t="shared" si="88"/>
        <v>0</v>
      </c>
      <c r="J300" s="6">
        <f t="shared" si="89"/>
        <v>0</v>
      </c>
      <c r="K300" s="6">
        <f t="shared" si="90"/>
        <v>0</v>
      </c>
      <c r="L300" s="6">
        <f t="shared" si="91"/>
        <v>0</v>
      </c>
      <c r="M300" s="6">
        <f t="shared" si="92"/>
        <v>0</v>
      </c>
      <c r="N300" s="6">
        <f t="shared" si="93"/>
        <v>0</v>
      </c>
      <c r="O300" s="6">
        <f t="shared" si="94"/>
        <v>0</v>
      </c>
      <c r="P300" s="6">
        <f t="shared" si="95"/>
        <v>0</v>
      </c>
      <c r="Q300" s="6">
        <f t="shared" si="96"/>
        <v>0</v>
      </c>
      <c r="R300" s="6">
        <f t="shared" si="97"/>
        <v>0</v>
      </c>
      <c r="S300" s="6">
        <f t="shared" si="98"/>
        <v>0</v>
      </c>
      <c r="T300" s="6">
        <f t="shared" si="99"/>
        <v>0</v>
      </c>
      <c r="U300" s="6">
        <f t="shared" si="100"/>
        <v>0</v>
      </c>
      <c r="V300" s="6">
        <f t="shared" si="101"/>
        <v>0</v>
      </c>
      <c r="W300" s="6">
        <f t="shared" si="102"/>
        <v>0</v>
      </c>
      <c r="X300" s="6">
        <f t="shared" si="103"/>
        <v>0</v>
      </c>
      <c r="Y300" s="6">
        <f t="shared" si="104"/>
        <v>0</v>
      </c>
      <c r="Z300" s="6">
        <f t="shared" si="105"/>
        <v>0</v>
      </c>
      <c r="AB300" s="36" t="str">
        <f>IF(最佳化斷筋點!C300="","",最佳化斷筋點!C300)</f>
        <v/>
      </c>
      <c r="AC300" s="37" t="str">
        <f>IF(最佳化斷筋點!D300="","",最佳化斷筋點!D300)</f>
        <v/>
      </c>
      <c r="AD300" s="37" t="str">
        <f>IF(最佳化斷筋點!E300="","",最佳化斷筋點!E300)</f>
        <v/>
      </c>
      <c r="AE300" s="37" t="str">
        <f>IF(最佳化斷筋點!F300="","",最佳化斷筋點!F300)</f>
        <v/>
      </c>
      <c r="AF300" s="37" t="str">
        <f>IF(最佳化斷筋點!G300="","",最佳化斷筋點!G300)</f>
        <v/>
      </c>
      <c r="AG300" s="37" t="str">
        <f>IF(最佳化斷筋點!H300="","",最佳化斷筋點!H300)</f>
        <v/>
      </c>
      <c r="AH300" s="37" t="str">
        <f>IF(最佳化斷筋點!I300="","",最佳化斷筋點!I300)</f>
        <v/>
      </c>
      <c r="AI300" s="37" t="str">
        <f>IF(最佳化斷筋點!J300="","",最佳化斷筋點!J300)</f>
        <v/>
      </c>
      <c r="AJ300" s="37" t="str">
        <f>IF(最佳化斷筋點!K300="","",最佳化斷筋點!K300)</f>
        <v/>
      </c>
      <c r="AK300" s="37" t="str">
        <f>IF(最佳化斷筋點!L300="","",最佳化斷筋點!L300)</f>
        <v/>
      </c>
      <c r="AL300" s="37" t="str">
        <f>IF(最佳化斷筋點!M300="","",最佳化斷筋點!M300)</f>
        <v/>
      </c>
      <c r="AM300" s="37" t="str">
        <f>IF(最佳化斷筋點!N300="","",最佳化斷筋點!N300)</f>
        <v/>
      </c>
      <c r="AN300" s="37" t="str">
        <f>IF(最佳化斷筋點!O300="","",最佳化斷筋點!O300)</f>
        <v/>
      </c>
      <c r="AO300" s="37" t="str">
        <f>IF(最佳化斷筋點!P300="","",最佳化斷筋點!P300)</f>
        <v/>
      </c>
      <c r="AP300" s="37" t="str">
        <f>IF(最佳化斷筋點!Q300="","",最佳化斷筋點!Q300)</f>
        <v/>
      </c>
      <c r="AQ300" s="37" t="str">
        <f>IF(最佳化斷筋點!R300="","",最佳化斷筋點!R300)</f>
        <v/>
      </c>
      <c r="AR300" s="37" t="str">
        <f>IF(最佳化斷筋點!S300="","",最佳化斷筋點!S300)</f>
        <v/>
      </c>
      <c r="AS300" s="37" t="str">
        <f>IF(最佳化斷筋點!T300="","",最佳化斷筋點!T300)</f>
        <v/>
      </c>
      <c r="AT300" s="37" t="str">
        <f>IF(最佳化斷筋點!U300="","",最佳化斷筋點!U300)</f>
        <v/>
      </c>
      <c r="AU300" s="37" t="str">
        <f>IF(最佳化斷筋點!V300="","",最佳化斷筋點!V300)</f>
        <v/>
      </c>
      <c r="AV300" s="37" t="str">
        <f>IF(最佳化斷筋點!W300="","",最佳化斷筋點!W300)</f>
        <v/>
      </c>
      <c r="AW300" s="37" t="str">
        <f>IF(最佳化斷筋點!X300="","",最佳化斷筋點!X300)</f>
        <v/>
      </c>
      <c r="AZ300" s="37" t="s">
        <v>197</v>
      </c>
      <c r="BA300" s="37" t="s">
        <v>197</v>
      </c>
      <c r="BB300" s="37" t="s">
        <v>197</v>
      </c>
      <c r="BC300" s="37" t="s">
        <v>197</v>
      </c>
      <c r="BD300" s="37" t="s">
        <v>197</v>
      </c>
      <c r="BE300" s="37" t="s">
        <v>197</v>
      </c>
      <c r="BF300" s="37" t="s">
        <v>197</v>
      </c>
      <c r="BG300" s="37" t="s">
        <v>197</v>
      </c>
      <c r="BH300" s="37" t="s">
        <v>197</v>
      </c>
      <c r="BI300" s="37" t="s">
        <v>197</v>
      </c>
      <c r="BJ300" s="37" t="s">
        <v>197</v>
      </c>
      <c r="BK300" s="37" t="s">
        <v>197</v>
      </c>
      <c r="BL300" s="37" t="s">
        <v>197</v>
      </c>
      <c r="BM300" s="37" t="s">
        <v>197</v>
      </c>
      <c r="BN300" s="37" t="s">
        <v>197</v>
      </c>
      <c r="BO300" s="37" t="s">
        <v>197</v>
      </c>
      <c r="BP300" s="37" t="s">
        <v>197</v>
      </c>
      <c r="BQ300" s="37" t="s">
        <v>197</v>
      </c>
      <c r="BR300" s="37" t="s">
        <v>197</v>
      </c>
      <c r="BS300" s="37" t="s">
        <v>197</v>
      </c>
      <c r="BT300" s="37" t="s">
        <v>197</v>
      </c>
    </row>
    <row r="301" spans="5:72" x14ac:dyDescent="0.25">
      <c r="E301" s="6" t="s">
        <v>21</v>
      </c>
      <c r="F301" s="6">
        <f t="shared" si="85"/>
        <v>0</v>
      </c>
      <c r="G301" s="6">
        <f t="shared" si="86"/>
        <v>0</v>
      </c>
      <c r="H301" s="6">
        <f t="shared" si="87"/>
        <v>0</v>
      </c>
      <c r="I301" s="6">
        <f t="shared" si="88"/>
        <v>0</v>
      </c>
      <c r="J301" s="6">
        <f t="shared" si="89"/>
        <v>0</v>
      </c>
      <c r="K301" s="6">
        <f t="shared" si="90"/>
        <v>0</v>
      </c>
      <c r="L301" s="6">
        <f t="shared" si="91"/>
        <v>0</v>
      </c>
      <c r="M301" s="6">
        <f t="shared" si="92"/>
        <v>0</v>
      </c>
      <c r="N301" s="6">
        <f t="shared" si="93"/>
        <v>0</v>
      </c>
      <c r="O301" s="6">
        <f t="shared" si="94"/>
        <v>0</v>
      </c>
      <c r="P301" s="6">
        <f t="shared" si="95"/>
        <v>0</v>
      </c>
      <c r="Q301" s="6">
        <f t="shared" si="96"/>
        <v>0</v>
      </c>
      <c r="R301" s="6">
        <f t="shared" si="97"/>
        <v>0</v>
      </c>
      <c r="S301" s="6">
        <f t="shared" si="98"/>
        <v>0</v>
      </c>
      <c r="T301" s="6">
        <f t="shared" si="99"/>
        <v>0</v>
      </c>
      <c r="U301" s="6">
        <f t="shared" si="100"/>
        <v>0</v>
      </c>
      <c r="V301" s="6">
        <f t="shared" si="101"/>
        <v>0</v>
      </c>
      <c r="W301" s="6">
        <f t="shared" si="102"/>
        <v>0</v>
      </c>
      <c r="X301" s="6">
        <f t="shared" si="103"/>
        <v>0</v>
      </c>
      <c r="Y301" s="6">
        <f t="shared" si="104"/>
        <v>0</v>
      </c>
      <c r="Z301" s="6">
        <f t="shared" si="105"/>
        <v>0</v>
      </c>
      <c r="AB301" s="36" t="str">
        <f>IF(最佳化斷筋點!C301="","",最佳化斷筋點!C301)</f>
        <v>下層</v>
      </c>
      <c r="AC301" s="37">
        <f>IF(最佳化斷筋點!D301="","",最佳化斷筋點!D301)</f>
        <v>6</v>
      </c>
      <c r="AD301" s="37">
        <f>IF(最佳化斷筋點!E301="","",最佳化斷筋點!E301)</f>
        <v>6</v>
      </c>
      <c r="AE301" s="37">
        <f>IF(最佳化斷筋點!F301="","",最佳化斷筋點!F301)</f>
        <v>6</v>
      </c>
      <c r="AF301" s="37">
        <f>IF(最佳化斷筋點!G301="","",最佳化斷筋點!G301)</f>
        <v>6</v>
      </c>
      <c r="AG301" s="37">
        <f>IF(最佳化斷筋點!H301="","",最佳化斷筋點!H301)</f>
        <v>6</v>
      </c>
      <c r="AH301" s="37">
        <f>IF(最佳化斷筋點!I301="","",最佳化斷筋點!I301)</f>
        <v>5</v>
      </c>
      <c r="AI301" s="37">
        <f>IF(最佳化斷筋點!J301="","",最佳化斷筋點!J301)</f>
        <v>5</v>
      </c>
      <c r="AJ301" s="37">
        <f>IF(最佳化斷筋點!K301="","",最佳化斷筋點!K301)</f>
        <v>3</v>
      </c>
      <c r="AK301" s="37">
        <f>IF(最佳化斷筋點!L301="","",最佳化斷筋點!L301)</f>
        <v>3</v>
      </c>
      <c r="AL301" s="37">
        <f>IF(最佳化斷筋點!M301="","",最佳化斷筋點!M301)</f>
        <v>3</v>
      </c>
      <c r="AM301" s="37">
        <f>IF(最佳化斷筋點!N301="","",最佳化斷筋點!N301)</f>
        <v>3</v>
      </c>
      <c r="AN301" s="37">
        <f>IF(最佳化斷筋點!O301="","",最佳化斷筋點!O301)</f>
        <v>3</v>
      </c>
      <c r="AO301" s="37">
        <f>IF(最佳化斷筋點!P301="","",最佳化斷筋點!P301)</f>
        <v>3</v>
      </c>
      <c r="AP301" s="37">
        <f>IF(最佳化斷筋點!Q301="","",最佳化斷筋點!Q301)</f>
        <v>4</v>
      </c>
      <c r="AQ301" s="37">
        <f>IF(最佳化斷筋點!R301="","",最佳化斷筋點!R301)</f>
        <v>5</v>
      </c>
      <c r="AR301" s="37">
        <f>IF(最佳化斷筋點!S301="","",最佳化斷筋點!S301)</f>
        <v>6</v>
      </c>
      <c r="AS301" s="37">
        <f>IF(最佳化斷筋點!T301="","",最佳化斷筋點!T301)</f>
        <v>6</v>
      </c>
      <c r="AT301" s="37">
        <f>IF(最佳化斷筋點!U301="","",最佳化斷筋點!U301)</f>
        <v>7</v>
      </c>
      <c r="AU301" s="37">
        <f>IF(最佳化斷筋點!V301="","",最佳化斷筋點!V301)</f>
        <v>7</v>
      </c>
      <c r="AV301" s="37">
        <f>IF(最佳化斷筋點!W301="","",最佳化斷筋點!W301)</f>
        <v>7</v>
      </c>
      <c r="AW301" s="37">
        <f>IF(最佳化斷筋點!X301="","",最佳化斷筋點!X301)</f>
        <v>7</v>
      </c>
      <c r="AY301" s="6" t="s">
        <v>21</v>
      </c>
      <c r="AZ301" s="37">
        <v>6</v>
      </c>
      <c r="BA301" s="37">
        <v>6</v>
      </c>
      <c r="BB301" s="37">
        <v>6</v>
      </c>
      <c r="BC301" s="37">
        <v>6</v>
      </c>
      <c r="BD301" s="37">
        <v>6</v>
      </c>
      <c r="BE301" s="37">
        <v>5</v>
      </c>
      <c r="BF301" s="37">
        <v>5</v>
      </c>
      <c r="BG301" s="37">
        <v>3</v>
      </c>
      <c r="BH301" s="37">
        <v>3</v>
      </c>
      <c r="BI301" s="37">
        <v>3</v>
      </c>
      <c r="BJ301" s="37">
        <v>3</v>
      </c>
      <c r="BK301" s="37">
        <v>3</v>
      </c>
      <c r="BL301" s="37">
        <v>3</v>
      </c>
      <c r="BM301" s="37">
        <v>4</v>
      </c>
      <c r="BN301" s="37">
        <v>5</v>
      </c>
      <c r="BO301" s="37">
        <v>6</v>
      </c>
      <c r="BP301" s="37">
        <v>6</v>
      </c>
      <c r="BQ301" s="37">
        <v>7</v>
      </c>
      <c r="BR301" s="37">
        <v>7</v>
      </c>
      <c r="BS301" s="37">
        <v>7</v>
      </c>
      <c r="BT301" s="37">
        <v>7</v>
      </c>
    </row>
    <row r="302" spans="5:72" x14ac:dyDescent="0.25">
      <c r="F302" s="6">
        <f t="shared" si="85"/>
        <v>0</v>
      </c>
      <c r="G302" s="6">
        <f t="shared" si="86"/>
        <v>0</v>
      </c>
      <c r="H302" s="6">
        <f t="shared" si="87"/>
        <v>0</v>
      </c>
      <c r="I302" s="6">
        <f t="shared" si="88"/>
        <v>0</v>
      </c>
      <c r="J302" s="6">
        <f t="shared" si="89"/>
        <v>0</v>
      </c>
      <c r="K302" s="6">
        <f t="shared" si="90"/>
        <v>0</v>
      </c>
      <c r="L302" s="6">
        <f t="shared" si="91"/>
        <v>0</v>
      </c>
      <c r="M302" s="6">
        <f t="shared" si="92"/>
        <v>0</v>
      </c>
      <c r="N302" s="6">
        <f t="shared" si="93"/>
        <v>0</v>
      </c>
      <c r="O302" s="6">
        <f t="shared" si="94"/>
        <v>0</v>
      </c>
      <c r="P302" s="6">
        <f t="shared" si="95"/>
        <v>0</v>
      </c>
      <c r="Q302" s="6">
        <f t="shared" si="96"/>
        <v>0</v>
      </c>
      <c r="R302" s="6">
        <f t="shared" si="97"/>
        <v>0</v>
      </c>
      <c r="S302" s="6">
        <f t="shared" si="98"/>
        <v>0</v>
      </c>
      <c r="T302" s="6">
        <f t="shared" si="99"/>
        <v>0</v>
      </c>
      <c r="U302" s="6">
        <f t="shared" si="100"/>
        <v>0</v>
      </c>
      <c r="V302" s="6">
        <f t="shared" si="101"/>
        <v>0</v>
      </c>
      <c r="W302" s="6">
        <f t="shared" si="102"/>
        <v>0</v>
      </c>
      <c r="X302" s="6">
        <f t="shared" si="103"/>
        <v>0</v>
      </c>
      <c r="Y302" s="6">
        <f t="shared" si="104"/>
        <v>0</v>
      </c>
      <c r="Z302" s="6">
        <f t="shared" si="105"/>
        <v>0</v>
      </c>
      <c r="AB302" s="36" t="str">
        <f>IF(最佳化斷筋點!C302="","",最佳化斷筋點!C302)</f>
        <v/>
      </c>
      <c r="AC302" s="37" t="str">
        <f>IF(最佳化斷筋點!D302="","",最佳化斷筋點!D302)</f>
        <v/>
      </c>
      <c r="AD302" s="37" t="str">
        <f>IF(最佳化斷筋點!E302="","",最佳化斷筋點!E302)</f>
        <v/>
      </c>
      <c r="AE302" s="37" t="str">
        <f>IF(最佳化斷筋點!F302="","",最佳化斷筋點!F302)</f>
        <v/>
      </c>
      <c r="AF302" s="37" t="str">
        <f>IF(最佳化斷筋點!G302="","",最佳化斷筋點!G302)</f>
        <v/>
      </c>
      <c r="AG302" s="37" t="str">
        <f>IF(最佳化斷筋點!H302="","",最佳化斷筋點!H302)</f>
        <v/>
      </c>
      <c r="AH302" s="37" t="str">
        <f>IF(最佳化斷筋點!I302="","",最佳化斷筋點!I302)</f>
        <v/>
      </c>
      <c r="AI302" s="37" t="str">
        <f>IF(最佳化斷筋點!J302="","",最佳化斷筋點!J302)</f>
        <v/>
      </c>
      <c r="AJ302" s="37" t="str">
        <f>IF(最佳化斷筋點!K302="","",最佳化斷筋點!K302)</f>
        <v/>
      </c>
      <c r="AK302" s="37" t="str">
        <f>IF(最佳化斷筋點!L302="","",最佳化斷筋點!L302)</f>
        <v/>
      </c>
      <c r="AL302" s="37" t="str">
        <f>IF(最佳化斷筋點!M302="","",最佳化斷筋點!M302)</f>
        <v/>
      </c>
      <c r="AM302" s="37" t="str">
        <f>IF(最佳化斷筋點!N302="","",最佳化斷筋點!N302)</f>
        <v/>
      </c>
      <c r="AN302" s="37" t="str">
        <f>IF(最佳化斷筋點!O302="","",最佳化斷筋點!O302)</f>
        <v/>
      </c>
      <c r="AO302" s="37" t="str">
        <f>IF(最佳化斷筋點!P302="","",最佳化斷筋點!P302)</f>
        <v/>
      </c>
      <c r="AP302" s="37" t="str">
        <f>IF(最佳化斷筋點!Q302="","",最佳化斷筋點!Q302)</f>
        <v/>
      </c>
      <c r="AQ302" s="37" t="str">
        <f>IF(最佳化斷筋點!R302="","",最佳化斷筋點!R302)</f>
        <v/>
      </c>
      <c r="AR302" s="37" t="str">
        <f>IF(最佳化斷筋點!S302="","",最佳化斷筋點!S302)</f>
        <v/>
      </c>
      <c r="AS302" s="37" t="str">
        <f>IF(最佳化斷筋點!T302="","",最佳化斷筋點!T302)</f>
        <v/>
      </c>
      <c r="AT302" s="37" t="str">
        <f>IF(最佳化斷筋點!U302="","",最佳化斷筋點!U302)</f>
        <v/>
      </c>
      <c r="AU302" s="37" t="str">
        <f>IF(最佳化斷筋點!V302="","",最佳化斷筋點!V302)</f>
        <v/>
      </c>
      <c r="AV302" s="37" t="str">
        <f>IF(最佳化斷筋點!W302="","",最佳化斷筋點!W302)</f>
        <v/>
      </c>
      <c r="AW302" s="37" t="str">
        <f>IF(最佳化斷筋點!X302="","",最佳化斷筋點!X302)</f>
        <v/>
      </c>
      <c r="AZ302" s="37" t="s">
        <v>197</v>
      </c>
      <c r="BA302" s="37" t="s">
        <v>197</v>
      </c>
      <c r="BB302" s="37" t="s">
        <v>197</v>
      </c>
      <c r="BC302" s="37" t="s">
        <v>197</v>
      </c>
      <c r="BD302" s="37" t="s">
        <v>197</v>
      </c>
      <c r="BE302" s="37" t="s">
        <v>197</v>
      </c>
      <c r="BF302" s="37" t="s">
        <v>197</v>
      </c>
      <c r="BG302" s="37" t="s">
        <v>197</v>
      </c>
      <c r="BH302" s="37" t="s">
        <v>197</v>
      </c>
      <c r="BI302" s="37" t="s">
        <v>197</v>
      </c>
      <c r="BJ302" s="37" t="s">
        <v>197</v>
      </c>
      <c r="BK302" s="37" t="s">
        <v>197</v>
      </c>
      <c r="BL302" s="37" t="s">
        <v>197</v>
      </c>
      <c r="BM302" s="37" t="s">
        <v>197</v>
      </c>
      <c r="BN302" s="37" t="s">
        <v>197</v>
      </c>
      <c r="BO302" s="37" t="s">
        <v>197</v>
      </c>
      <c r="BP302" s="37" t="s">
        <v>197</v>
      </c>
      <c r="BQ302" s="37" t="s">
        <v>197</v>
      </c>
      <c r="BR302" s="37" t="s">
        <v>197</v>
      </c>
      <c r="BS302" s="37" t="s">
        <v>197</v>
      </c>
      <c r="BT302" s="37" t="s">
        <v>197</v>
      </c>
    </row>
    <row r="303" spans="5:72" x14ac:dyDescent="0.25">
      <c r="E303" s="6" t="s">
        <v>20</v>
      </c>
      <c r="F303" s="6">
        <f t="shared" si="85"/>
        <v>0</v>
      </c>
      <c r="G303" s="6">
        <f t="shared" si="86"/>
        <v>0</v>
      </c>
      <c r="H303" s="6">
        <f t="shared" si="87"/>
        <v>0</v>
      </c>
      <c r="I303" s="6">
        <f t="shared" si="88"/>
        <v>0</v>
      </c>
      <c r="J303" s="6">
        <f t="shared" si="89"/>
        <v>0</v>
      </c>
      <c r="K303" s="6">
        <f t="shared" si="90"/>
        <v>0</v>
      </c>
      <c r="L303" s="6">
        <f t="shared" si="91"/>
        <v>0</v>
      </c>
      <c r="M303" s="6">
        <f t="shared" si="92"/>
        <v>0</v>
      </c>
      <c r="N303" s="6">
        <f t="shared" si="93"/>
        <v>0</v>
      </c>
      <c r="O303" s="6">
        <f t="shared" si="94"/>
        <v>0</v>
      </c>
      <c r="P303" s="6">
        <f t="shared" si="95"/>
        <v>0</v>
      </c>
      <c r="Q303" s="6">
        <f t="shared" si="96"/>
        <v>0</v>
      </c>
      <c r="R303" s="6">
        <f t="shared" si="97"/>
        <v>0</v>
      </c>
      <c r="S303" s="6">
        <f t="shared" si="98"/>
        <v>0</v>
      </c>
      <c r="T303" s="6">
        <f t="shared" si="99"/>
        <v>0</v>
      </c>
      <c r="U303" s="6">
        <f t="shared" si="100"/>
        <v>0</v>
      </c>
      <c r="V303" s="6">
        <f t="shared" si="101"/>
        <v>0</v>
      </c>
      <c r="W303" s="6">
        <f t="shared" si="102"/>
        <v>0</v>
      </c>
      <c r="X303" s="6">
        <f t="shared" si="103"/>
        <v>0</v>
      </c>
      <c r="Y303" s="6">
        <f t="shared" si="104"/>
        <v>0</v>
      </c>
      <c r="Z303" s="6">
        <f t="shared" si="105"/>
        <v>0</v>
      </c>
      <c r="AB303" s="36" t="str">
        <f>IF(最佳化斷筋點!C303="","",最佳化斷筋點!C303)</f>
        <v>上層</v>
      </c>
      <c r="AC303" s="37">
        <f>IF(最佳化斷筋點!D303="","",最佳化斷筋點!D303)</f>
        <v>8</v>
      </c>
      <c r="AD303" s="37">
        <f>IF(最佳化斷筋點!E303="","",最佳化斷筋點!E303)</f>
        <v>8</v>
      </c>
      <c r="AE303" s="37">
        <f>IF(最佳化斷筋點!F303="","",最佳化斷筋點!F303)</f>
        <v>8</v>
      </c>
      <c r="AF303" s="37">
        <f>IF(最佳化斷筋點!G303="","",最佳化斷筋點!G303)</f>
        <v>8</v>
      </c>
      <c r="AG303" s="37">
        <f>IF(最佳化斷筋點!H303="","",最佳化斷筋點!H303)</f>
        <v>8</v>
      </c>
      <c r="AH303" s="37">
        <f>IF(最佳化斷筋點!I303="","",最佳化斷筋點!I303)</f>
        <v>8</v>
      </c>
      <c r="AI303" s="37">
        <f>IF(最佳化斷筋點!J303="","",最佳化斷筋點!J303)</f>
        <v>8</v>
      </c>
      <c r="AJ303" s="37">
        <f>IF(最佳化斷筋點!K303="","",最佳化斷筋點!K303)</f>
        <v>3</v>
      </c>
      <c r="AK303" s="37">
        <f>IF(最佳化斷筋點!L303="","",最佳化斷筋點!L303)</f>
        <v>3</v>
      </c>
      <c r="AL303" s="37">
        <f>IF(最佳化斷筋點!M303="","",最佳化斷筋點!M303)</f>
        <v>3</v>
      </c>
      <c r="AM303" s="37">
        <f>IF(最佳化斷筋點!N303="","",最佳化斷筋點!N303)</f>
        <v>3</v>
      </c>
      <c r="AN303" s="37">
        <f>IF(最佳化斷筋點!O303="","",最佳化斷筋點!O303)</f>
        <v>3</v>
      </c>
      <c r="AO303" s="37">
        <f>IF(最佳化斷筋點!P303="","",最佳化斷筋點!P303)</f>
        <v>3</v>
      </c>
      <c r="AP303" s="37">
        <f>IF(最佳化斷筋點!Q303="","",最佳化斷筋點!Q303)</f>
        <v>7</v>
      </c>
      <c r="AQ303" s="37">
        <f>IF(最佳化斷筋點!R303="","",最佳化斷筋點!R303)</f>
        <v>8</v>
      </c>
      <c r="AR303" s="37">
        <f>IF(最佳化斷筋點!S303="","",最佳化斷筋點!S303)</f>
        <v>8</v>
      </c>
      <c r="AS303" s="37">
        <f>IF(最佳化斷筋點!T303="","",最佳化斷筋點!T303)</f>
        <v>8</v>
      </c>
      <c r="AT303" s="37">
        <f>IF(最佳化斷筋點!U303="","",最佳化斷筋點!U303)</f>
        <v>8</v>
      </c>
      <c r="AU303" s="37">
        <f>IF(最佳化斷筋點!V303="","",最佳化斷筋點!V303)</f>
        <v>8</v>
      </c>
      <c r="AV303" s="37">
        <f>IF(最佳化斷筋點!W303="","",最佳化斷筋點!W303)</f>
        <v>8</v>
      </c>
      <c r="AW303" s="37">
        <f>IF(最佳化斷筋點!X303="","",最佳化斷筋點!X303)</f>
        <v>8</v>
      </c>
      <c r="AY303" s="6" t="s">
        <v>20</v>
      </c>
      <c r="AZ303" s="37">
        <v>8</v>
      </c>
      <c r="BA303" s="37">
        <v>8</v>
      </c>
      <c r="BB303" s="37">
        <v>8</v>
      </c>
      <c r="BC303" s="37">
        <v>8</v>
      </c>
      <c r="BD303" s="37">
        <v>8</v>
      </c>
      <c r="BE303" s="37">
        <v>8</v>
      </c>
      <c r="BF303" s="37">
        <v>8</v>
      </c>
      <c r="BG303" s="37">
        <v>3</v>
      </c>
      <c r="BH303" s="37">
        <v>3</v>
      </c>
      <c r="BI303" s="37">
        <v>3</v>
      </c>
      <c r="BJ303" s="37">
        <v>3</v>
      </c>
      <c r="BK303" s="37">
        <v>3</v>
      </c>
      <c r="BL303" s="37">
        <v>3</v>
      </c>
      <c r="BM303" s="37">
        <v>7</v>
      </c>
      <c r="BN303" s="37">
        <v>8</v>
      </c>
      <c r="BO303" s="37">
        <v>8</v>
      </c>
      <c r="BP303" s="37">
        <v>8</v>
      </c>
      <c r="BQ303" s="37">
        <v>8</v>
      </c>
      <c r="BR303" s="37">
        <v>8</v>
      </c>
      <c r="BS303" s="37">
        <v>8</v>
      </c>
      <c r="BT303" s="37">
        <v>8</v>
      </c>
    </row>
    <row r="304" spans="5:72" x14ac:dyDescent="0.25">
      <c r="F304" s="6">
        <f t="shared" si="85"/>
        <v>0</v>
      </c>
      <c r="G304" s="6">
        <f t="shared" si="86"/>
        <v>0</v>
      </c>
      <c r="H304" s="6">
        <f t="shared" si="87"/>
        <v>0</v>
      </c>
      <c r="I304" s="6">
        <f t="shared" si="88"/>
        <v>0</v>
      </c>
      <c r="J304" s="6">
        <f t="shared" si="89"/>
        <v>0</v>
      </c>
      <c r="K304" s="6">
        <f t="shared" si="90"/>
        <v>0</v>
      </c>
      <c r="L304" s="6">
        <f t="shared" si="91"/>
        <v>0</v>
      </c>
      <c r="M304" s="6">
        <f t="shared" si="92"/>
        <v>0</v>
      </c>
      <c r="N304" s="6">
        <f t="shared" si="93"/>
        <v>0</v>
      </c>
      <c r="O304" s="6">
        <f t="shared" si="94"/>
        <v>0</v>
      </c>
      <c r="P304" s="6">
        <f t="shared" si="95"/>
        <v>0</v>
      </c>
      <c r="Q304" s="6">
        <f t="shared" si="96"/>
        <v>0</v>
      </c>
      <c r="R304" s="6">
        <f t="shared" si="97"/>
        <v>0</v>
      </c>
      <c r="S304" s="6">
        <f t="shared" si="98"/>
        <v>0</v>
      </c>
      <c r="T304" s="6">
        <f t="shared" si="99"/>
        <v>0</v>
      </c>
      <c r="U304" s="6">
        <f t="shared" si="100"/>
        <v>0</v>
      </c>
      <c r="V304" s="6">
        <f t="shared" si="101"/>
        <v>0</v>
      </c>
      <c r="W304" s="6">
        <f t="shared" si="102"/>
        <v>0</v>
      </c>
      <c r="X304" s="6">
        <f t="shared" si="103"/>
        <v>0</v>
      </c>
      <c r="Y304" s="6">
        <f t="shared" si="104"/>
        <v>0</v>
      </c>
      <c r="Z304" s="6">
        <f t="shared" si="105"/>
        <v>0</v>
      </c>
      <c r="AB304" s="36" t="str">
        <f>IF(最佳化斷筋點!C304="","",最佳化斷筋點!C304)</f>
        <v/>
      </c>
      <c r="AC304" s="37" t="str">
        <f>IF(最佳化斷筋點!D304="","",最佳化斷筋點!D304)</f>
        <v/>
      </c>
      <c r="AD304" s="37" t="str">
        <f>IF(最佳化斷筋點!E304="","",最佳化斷筋點!E304)</f>
        <v/>
      </c>
      <c r="AE304" s="37" t="str">
        <f>IF(最佳化斷筋點!F304="","",最佳化斷筋點!F304)</f>
        <v/>
      </c>
      <c r="AF304" s="37" t="str">
        <f>IF(最佳化斷筋點!G304="","",最佳化斷筋點!G304)</f>
        <v/>
      </c>
      <c r="AG304" s="37" t="str">
        <f>IF(最佳化斷筋點!H304="","",最佳化斷筋點!H304)</f>
        <v/>
      </c>
      <c r="AH304" s="37" t="str">
        <f>IF(最佳化斷筋點!I304="","",最佳化斷筋點!I304)</f>
        <v/>
      </c>
      <c r="AI304" s="37" t="str">
        <f>IF(最佳化斷筋點!J304="","",最佳化斷筋點!J304)</f>
        <v/>
      </c>
      <c r="AJ304" s="37" t="str">
        <f>IF(最佳化斷筋點!K304="","",最佳化斷筋點!K304)</f>
        <v/>
      </c>
      <c r="AK304" s="37" t="str">
        <f>IF(最佳化斷筋點!L304="","",最佳化斷筋點!L304)</f>
        <v/>
      </c>
      <c r="AL304" s="37" t="str">
        <f>IF(最佳化斷筋點!M304="","",最佳化斷筋點!M304)</f>
        <v/>
      </c>
      <c r="AM304" s="37" t="str">
        <f>IF(最佳化斷筋點!N304="","",最佳化斷筋點!N304)</f>
        <v/>
      </c>
      <c r="AN304" s="37" t="str">
        <f>IF(最佳化斷筋點!O304="","",最佳化斷筋點!O304)</f>
        <v/>
      </c>
      <c r="AO304" s="37" t="str">
        <f>IF(最佳化斷筋點!P304="","",最佳化斷筋點!P304)</f>
        <v/>
      </c>
      <c r="AP304" s="37" t="str">
        <f>IF(最佳化斷筋點!Q304="","",最佳化斷筋點!Q304)</f>
        <v/>
      </c>
      <c r="AQ304" s="37" t="str">
        <f>IF(最佳化斷筋點!R304="","",最佳化斷筋點!R304)</f>
        <v/>
      </c>
      <c r="AR304" s="37" t="str">
        <f>IF(最佳化斷筋點!S304="","",最佳化斷筋點!S304)</f>
        <v/>
      </c>
      <c r="AS304" s="37" t="str">
        <f>IF(最佳化斷筋點!T304="","",最佳化斷筋點!T304)</f>
        <v/>
      </c>
      <c r="AT304" s="37" t="str">
        <f>IF(最佳化斷筋點!U304="","",最佳化斷筋點!U304)</f>
        <v/>
      </c>
      <c r="AU304" s="37" t="str">
        <f>IF(最佳化斷筋點!V304="","",最佳化斷筋點!V304)</f>
        <v/>
      </c>
      <c r="AV304" s="37" t="str">
        <f>IF(最佳化斷筋點!W304="","",最佳化斷筋點!W304)</f>
        <v/>
      </c>
      <c r="AW304" s="37" t="str">
        <f>IF(最佳化斷筋點!X304="","",最佳化斷筋點!X304)</f>
        <v/>
      </c>
      <c r="AZ304" s="37" t="s">
        <v>197</v>
      </c>
      <c r="BA304" s="37" t="s">
        <v>197</v>
      </c>
      <c r="BB304" s="37" t="s">
        <v>197</v>
      </c>
      <c r="BC304" s="37" t="s">
        <v>197</v>
      </c>
      <c r="BD304" s="37" t="s">
        <v>197</v>
      </c>
      <c r="BE304" s="37" t="s">
        <v>197</v>
      </c>
      <c r="BF304" s="37" t="s">
        <v>197</v>
      </c>
      <c r="BG304" s="37" t="s">
        <v>197</v>
      </c>
      <c r="BH304" s="37" t="s">
        <v>197</v>
      </c>
      <c r="BI304" s="37" t="s">
        <v>197</v>
      </c>
      <c r="BJ304" s="37" t="s">
        <v>197</v>
      </c>
      <c r="BK304" s="37" t="s">
        <v>197</v>
      </c>
      <c r="BL304" s="37" t="s">
        <v>197</v>
      </c>
      <c r="BM304" s="37" t="s">
        <v>197</v>
      </c>
      <c r="BN304" s="37" t="s">
        <v>197</v>
      </c>
      <c r="BO304" s="37" t="s">
        <v>197</v>
      </c>
      <c r="BP304" s="37" t="s">
        <v>197</v>
      </c>
      <c r="BQ304" s="37" t="s">
        <v>197</v>
      </c>
      <c r="BR304" s="37" t="s">
        <v>197</v>
      </c>
      <c r="BS304" s="37" t="s">
        <v>197</v>
      </c>
      <c r="BT304" s="37" t="s">
        <v>197</v>
      </c>
    </row>
    <row r="305" spans="5:72" x14ac:dyDescent="0.25">
      <c r="E305" s="6" t="s">
        <v>21</v>
      </c>
      <c r="F305" s="6">
        <f t="shared" si="85"/>
        <v>0</v>
      </c>
      <c r="G305" s="6">
        <f t="shared" si="86"/>
        <v>0</v>
      </c>
      <c r="H305" s="6">
        <f t="shared" si="87"/>
        <v>0</v>
      </c>
      <c r="I305" s="6">
        <f t="shared" si="88"/>
        <v>0</v>
      </c>
      <c r="J305" s="6">
        <f t="shared" si="89"/>
        <v>0</v>
      </c>
      <c r="K305" s="6">
        <f t="shared" si="90"/>
        <v>0</v>
      </c>
      <c r="L305" s="6">
        <f t="shared" si="91"/>
        <v>0</v>
      </c>
      <c r="M305" s="6">
        <f t="shared" si="92"/>
        <v>0</v>
      </c>
      <c r="N305" s="6">
        <f t="shared" si="93"/>
        <v>0</v>
      </c>
      <c r="O305" s="6">
        <f t="shared" si="94"/>
        <v>0</v>
      </c>
      <c r="P305" s="6">
        <f t="shared" si="95"/>
        <v>0</v>
      </c>
      <c r="Q305" s="6">
        <f t="shared" si="96"/>
        <v>0</v>
      </c>
      <c r="R305" s="6">
        <f t="shared" si="97"/>
        <v>0</v>
      </c>
      <c r="S305" s="6">
        <f t="shared" si="98"/>
        <v>0</v>
      </c>
      <c r="T305" s="6">
        <f t="shared" si="99"/>
        <v>0</v>
      </c>
      <c r="U305" s="6">
        <f t="shared" si="100"/>
        <v>0</v>
      </c>
      <c r="V305" s="6">
        <f t="shared" si="101"/>
        <v>0</v>
      </c>
      <c r="W305" s="6">
        <f t="shared" si="102"/>
        <v>0</v>
      </c>
      <c r="X305" s="6">
        <f t="shared" si="103"/>
        <v>0</v>
      </c>
      <c r="Y305" s="6">
        <f t="shared" si="104"/>
        <v>0</v>
      </c>
      <c r="Z305" s="6">
        <f t="shared" si="105"/>
        <v>0</v>
      </c>
      <c r="AB305" s="36" t="str">
        <f>IF(最佳化斷筋點!C305="","",最佳化斷筋點!C305)</f>
        <v>下層</v>
      </c>
      <c r="AC305" s="37">
        <f>IF(最佳化斷筋點!D305="","",最佳化斷筋點!D305)</f>
        <v>7</v>
      </c>
      <c r="AD305" s="37">
        <f>IF(最佳化斷筋點!E305="","",最佳化斷筋點!E305)</f>
        <v>7</v>
      </c>
      <c r="AE305" s="37">
        <f>IF(最佳化斷筋點!F305="","",最佳化斷筋點!F305)</f>
        <v>7</v>
      </c>
      <c r="AF305" s="37">
        <f>IF(最佳化斷筋點!G305="","",最佳化斷筋點!G305)</f>
        <v>7</v>
      </c>
      <c r="AG305" s="37">
        <f>IF(最佳化斷筋點!H305="","",最佳化斷筋點!H305)</f>
        <v>7</v>
      </c>
      <c r="AH305" s="37">
        <f>IF(最佳化斷筋點!I305="","",最佳化斷筋點!I305)</f>
        <v>7</v>
      </c>
      <c r="AI305" s="37">
        <f>IF(最佳化斷筋點!J305="","",最佳化斷筋點!J305)</f>
        <v>6</v>
      </c>
      <c r="AJ305" s="37">
        <f>IF(最佳化斷筋點!K305="","",最佳化斷筋點!K305)</f>
        <v>3</v>
      </c>
      <c r="AK305" s="37">
        <f>IF(最佳化斷筋點!L305="","",最佳化斷筋點!L305)</f>
        <v>3</v>
      </c>
      <c r="AL305" s="37">
        <f>IF(最佳化斷筋點!M305="","",最佳化斷筋點!M305)</f>
        <v>3</v>
      </c>
      <c r="AM305" s="37">
        <f>IF(最佳化斷筋點!N305="","",最佳化斷筋點!N305)</f>
        <v>3</v>
      </c>
      <c r="AN305" s="37">
        <f>IF(最佳化斷筋點!O305="","",最佳化斷筋點!O305)</f>
        <v>3</v>
      </c>
      <c r="AO305" s="37">
        <f>IF(最佳化斷筋點!P305="","",最佳化斷筋點!P305)</f>
        <v>3</v>
      </c>
      <c r="AP305" s="37">
        <f>IF(最佳化斷筋點!Q305="","",最佳化斷筋點!Q305)</f>
        <v>6</v>
      </c>
      <c r="AQ305" s="37">
        <f>IF(最佳化斷筋點!R305="","",最佳化斷筋點!R305)</f>
        <v>7</v>
      </c>
      <c r="AR305" s="37">
        <f>IF(最佳化斷筋點!S305="","",最佳化斷筋點!S305)</f>
        <v>8</v>
      </c>
      <c r="AS305" s="37">
        <f>IF(最佳化斷筋點!T305="","",最佳化斷筋點!T305)</f>
        <v>8</v>
      </c>
      <c r="AT305" s="37">
        <f>IF(最佳化斷筋點!U305="","",最佳化斷筋點!U305)</f>
        <v>8</v>
      </c>
      <c r="AU305" s="37">
        <f>IF(最佳化斷筋點!V305="","",最佳化斷筋點!V305)</f>
        <v>8</v>
      </c>
      <c r="AV305" s="37">
        <f>IF(最佳化斷筋點!W305="","",最佳化斷筋點!W305)</f>
        <v>8</v>
      </c>
      <c r="AW305" s="37">
        <f>IF(最佳化斷筋點!X305="","",最佳化斷筋點!X305)</f>
        <v>8</v>
      </c>
      <c r="AY305" s="6" t="s">
        <v>21</v>
      </c>
      <c r="AZ305" s="37">
        <v>7</v>
      </c>
      <c r="BA305" s="37">
        <v>7</v>
      </c>
      <c r="BB305" s="37">
        <v>7</v>
      </c>
      <c r="BC305" s="37">
        <v>7</v>
      </c>
      <c r="BD305" s="37">
        <v>7</v>
      </c>
      <c r="BE305" s="37">
        <v>7</v>
      </c>
      <c r="BF305" s="37">
        <v>6</v>
      </c>
      <c r="BG305" s="37">
        <v>3</v>
      </c>
      <c r="BH305" s="37">
        <v>3</v>
      </c>
      <c r="BI305" s="37">
        <v>3</v>
      </c>
      <c r="BJ305" s="37">
        <v>3</v>
      </c>
      <c r="BK305" s="37">
        <v>3</v>
      </c>
      <c r="BL305" s="37">
        <v>3</v>
      </c>
      <c r="BM305" s="37">
        <v>6</v>
      </c>
      <c r="BN305" s="37">
        <v>7</v>
      </c>
      <c r="BO305" s="37">
        <v>8</v>
      </c>
      <c r="BP305" s="37">
        <v>8</v>
      </c>
      <c r="BQ305" s="37">
        <v>8</v>
      </c>
      <c r="BR305" s="37">
        <v>8</v>
      </c>
      <c r="BS305" s="37">
        <v>8</v>
      </c>
      <c r="BT305" s="37">
        <v>8</v>
      </c>
    </row>
    <row r="306" spans="5:72" x14ac:dyDescent="0.25">
      <c r="F306" s="6">
        <f t="shared" si="85"/>
        <v>0</v>
      </c>
      <c r="G306" s="6">
        <f t="shared" si="86"/>
        <v>0</v>
      </c>
      <c r="H306" s="6">
        <f t="shared" si="87"/>
        <v>0</v>
      </c>
      <c r="I306" s="6">
        <f t="shared" si="88"/>
        <v>0</v>
      </c>
      <c r="J306" s="6">
        <f t="shared" si="89"/>
        <v>0</v>
      </c>
      <c r="K306" s="6">
        <f t="shared" si="90"/>
        <v>0</v>
      </c>
      <c r="L306" s="6">
        <f t="shared" si="91"/>
        <v>0</v>
      </c>
      <c r="M306" s="6">
        <f t="shared" si="92"/>
        <v>0</v>
      </c>
      <c r="N306" s="6">
        <f t="shared" si="93"/>
        <v>0</v>
      </c>
      <c r="O306" s="6">
        <f t="shared" si="94"/>
        <v>0</v>
      </c>
      <c r="P306" s="6">
        <f t="shared" si="95"/>
        <v>0</v>
      </c>
      <c r="Q306" s="6">
        <f t="shared" si="96"/>
        <v>0</v>
      </c>
      <c r="R306" s="6">
        <f t="shared" si="97"/>
        <v>0</v>
      </c>
      <c r="S306" s="6">
        <f t="shared" si="98"/>
        <v>0</v>
      </c>
      <c r="T306" s="6">
        <f t="shared" si="99"/>
        <v>0</v>
      </c>
      <c r="U306" s="6">
        <f t="shared" si="100"/>
        <v>0</v>
      </c>
      <c r="V306" s="6">
        <f t="shared" si="101"/>
        <v>0</v>
      </c>
      <c r="W306" s="6">
        <f t="shared" si="102"/>
        <v>0</v>
      </c>
      <c r="X306" s="6">
        <f t="shared" si="103"/>
        <v>0</v>
      </c>
      <c r="Y306" s="6">
        <f t="shared" si="104"/>
        <v>0</v>
      </c>
      <c r="Z306" s="6">
        <f t="shared" si="105"/>
        <v>0</v>
      </c>
      <c r="AB306" s="36" t="str">
        <f>IF(最佳化斷筋點!C306="","",最佳化斷筋點!C306)</f>
        <v/>
      </c>
      <c r="AC306" s="37" t="str">
        <f>IF(最佳化斷筋點!D306="","",最佳化斷筋點!D306)</f>
        <v/>
      </c>
      <c r="AD306" s="37" t="str">
        <f>IF(最佳化斷筋點!E306="","",最佳化斷筋點!E306)</f>
        <v/>
      </c>
      <c r="AE306" s="37" t="str">
        <f>IF(最佳化斷筋點!F306="","",最佳化斷筋點!F306)</f>
        <v/>
      </c>
      <c r="AF306" s="37" t="str">
        <f>IF(最佳化斷筋點!G306="","",最佳化斷筋點!G306)</f>
        <v/>
      </c>
      <c r="AG306" s="37" t="str">
        <f>IF(最佳化斷筋點!H306="","",最佳化斷筋點!H306)</f>
        <v/>
      </c>
      <c r="AH306" s="37" t="str">
        <f>IF(最佳化斷筋點!I306="","",最佳化斷筋點!I306)</f>
        <v/>
      </c>
      <c r="AI306" s="37" t="str">
        <f>IF(最佳化斷筋點!J306="","",最佳化斷筋點!J306)</f>
        <v/>
      </c>
      <c r="AJ306" s="37" t="str">
        <f>IF(最佳化斷筋點!K306="","",最佳化斷筋點!K306)</f>
        <v/>
      </c>
      <c r="AK306" s="37" t="str">
        <f>IF(最佳化斷筋點!L306="","",最佳化斷筋點!L306)</f>
        <v/>
      </c>
      <c r="AL306" s="37" t="str">
        <f>IF(最佳化斷筋點!M306="","",最佳化斷筋點!M306)</f>
        <v/>
      </c>
      <c r="AM306" s="37" t="str">
        <f>IF(最佳化斷筋點!N306="","",最佳化斷筋點!N306)</f>
        <v/>
      </c>
      <c r="AN306" s="37" t="str">
        <f>IF(最佳化斷筋點!O306="","",最佳化斷筋點!O306)</f>
        <v/>
      </c>
      <c r="AO306" s="37" t="str">
        <f>IF(最佳化斷筋點!P306="","",最佳化斷筋點!P306)</f>
        <v/>
      </c>
      <c r="AP306" s="37" t="str">
        <f>IF(最佳化斷筋點!Q306="","",最佳化斷筋點!Q306)</f>
        <v/>
      </c>
      <c r="AQ306" s="37" t="str">
        <f>IF(最佳化斷筋點!R306="","",最佳化斷筋點!R306)</f>
        <v/>
      </c>
      <c r="AR306" s="37" t="str">
        <f>IF(最佳化斷筋點!S306="","",最佳化斷筋點!S306)</f>
        <v/>
      </c>
      <c r="AS306" s="37" t="str">
        <f>IF(最佳化斷筋點!T306="","",最佳化斷筋點!T306)</f>
        <v/>
      </c>
      <c r="AT306" s="37" t="str">
        <f>IF(最佳化斷筋點!U306="","",最佳化斷筋點!U306)</f>
        <v/>
      </c>
      <c r="AU306" s="37" t="str">
        <f>IF(最佳化斷筋點!V306="","",最佳化斷筋點!V306)</f>
        <v/>
      </c>
      <c r="AV306" s="37" t="str">
        <f>IF(最佳化斷筋點!W306="","",最佳化斷筋點!W306)</f>
        <v/>
      </c>
      <c r="AW306" s="37" t="str">
        <f>IF(最佳化斷筋點!X306="","",最佳化斷筋點!X306)</f>
        <v/>
      </c>
      <c r="AZ306" s="37" t="s">
        <v>197</v>
      </c>
      <c r="BA306" s="37" t="s">
        <v>197</v>
      </c>
      <c r="BB306" s="37" t="s">
        <v>197</v>
      </c>
      <c r="BC306" s="37" t="s">
        <v>197</v>
      </c>
      <c r="BD306" s="37" t="s">
        <v>197</v>
      </c>
      <c r="BE306" s="37" t="s">
        <v>197</v>
      </c>
      <c r="BF306" s="37" t="s">
        <v>197</v>
      </c>
      <c r="BG306" s="37" t="s">
        <v>197</v>
      </c>
      <c r="BH306" s="37" t="s">
        <v>197</v>
      </c>
      <c r="BI306" s="37" t="s">
        <v>197</v>
      </c>
      <c r="BJ306" s="37" t="s">
        <v>197</v>
      </c>
      <c r="BK306" s="37" t="s">
        <v>197</v>
      </c>
      <c r="BL306" s="37" t="s">
        <v>197</v>
      </c>
      <c r="BM306" s="37" t="s">
        <v>197</v>
      </c>
      <c r="BN306" s="37" t="s">
        <v>197</v>
      </c>
      <c r="BO306" s="37" t="s">
        <v>197</v>
      </c>
      <c r="BP306" s="37" t="s">
        <v>197</v>
      </c>
      <c r="BQ306" s="37" t="s">
        <v>197</v>
      </c>
      <c r="BR306" s="37" t="s">
        <v>197</v>
      </c>
      <c r="BS306" s="37" t="s">
        <v>197</v>
      </c>
      <c r="BT306" s="37" t="s">
        <v>197</v>
      </c>
    </row>
    <row r="307" spans="5:72" x14ac:dyDescent="0.25">
      <c r="E307" s="6" t="s">
        <v>20</v>
      </c>
      <c r="F307" s="6">
        <f t="shared" si="85"/>
        <v>0</v>
      </c>
      <c r="G307" s="6">
        <f t="shared" si="86"/>
        <v>0</v>
      </c>
      <c r="H307" s="6">
        <f t="shared" si="87"/>
        <v>0</v>
      </c>
      <c r="I307" s="6">
        <f t="shared" si="88"/>
        <v>0</v>
      </c>
      <c r="J307" s="6">
        <f t="shared" si="89"/>
        <v>0</v>
      </c>
      <c r="K307" s="6">
        <f t="shared" si="90"/>
        <v>0</v>
      </c>
      <c r="L307" s="6">
        <f t="shared" si="91"/>
        <v>0</v>
      </c>
      <c r="M307" s="6">
        <f t="shared" si="92"/>
        <v>0</v>
      </c>
      <c r="N307" s="6">
        <f t="shared" si="93"/>
        <v>0</v>
      </c>
      <c r="O307" s="6">
        <f t="shared" si="94"/>
        <v>0</v>
      </c>
      <c r="P307" s="6">
        <f t="shared" si="95"/>
        <v>0</v>
      </c>
      <c r="Q307" s="6">
        <f t="shared" si="96"/>
        <v>0</v>
      </c>
      <c r="R307" s="6">
        <f t="shared" si="97"/>
        <v>0</v>
      </c>
      <c r="S307" s="6">
        <f t="shared" si="98"/>
        <v>0</v>
      </c>
      <c r="T307" s="6">
        <f t="shared" si="99"/>
        <v>0</v>
      </c>
      <c r="U307" s="6">
        <f t="shared" si="100"/>
        <v>0</v>
      </c>
      <c r="V307" s="6">
        <f t="shared" si="101"/>
        <v>0</v>
      </c>
      <c r="W307" s="6">
        <f t="shared" si="102"/>
        <v>0</v>
      </c>
      <c r="X307" s="6">
        <f t="shared" si="103"/>
        <v>0</v>
      </c>
      <c r="Y307" s="6">
        <f t="shared" si="104"/>
        <v>0</v>
      </c>
      <c r="Z307" s="6">
        <f t="shared" si="105"/>
        <v>0</v>
      </c>
      <c r="AB307" s="36" t="str">
        <f>IF(最佳化斷筋點!C307="","",最佳化斷筋點!C307)</f>
        <v>上層</v>
      </c>
      <c r="AC307" s="37">
        <f>IF(最佳化斷筋點!D307="","",最佳化斷筋點!D307)</f>
        <v>8</v>
      </c>
      <c r="AD307" s="37">
        <f>IF(最佳化斷筋點!E307="","",最佳化斷筋點!E307)</f>
        <v>8</v>
      </c>
      <c r="AE307" s="37">
        <f>IF(最佳化斷筋點!F307="","",最佳化斷筋點!F307)</f>
        <v>8</v>
      </c>
      <c r="AF307" s="37">
        <f>IF(最佳化斷筋點!G307="","",最佳化斷筋點!G307)</f>
        <v>8</v>
      </c>
      <c r="AG307" s="37">
        <f>IF(最佳化斷筋點!H307="","",最佳化斷筋點!H307)</f>
        <v>8</v>
      </c>
      <c r="AH307" s="37">
        <f>IF(最佳化斷筋點!I307="","",最佳化斷筋點!I307)</f>
        <v>8</v>
      </c>
      <c r="AI307" s="37">
        <f>IF(最佳化斷筋點!J307="","",最佳化斷筋點!J307)</f>
        <v>8</v>
      </c>
      <c r="AJ307" s="37">
        <f>IF(最佳化斷筋點!K307="","",最佳化斷筋點!K307)</f>
        <v>4</v>
      </c>
      <c r="AK307" s="37">
        <f>IF(最佳化斷筋點!L307="","",最佳化斷筋點!L307)</f>
        <v>4</v>
      </c>
      <c r="AL307" s="37">
        <f>IF(最佳化斷筋點!M307="","",最佳化斷筋點!M307)</f>
        <v>4</v>
      </c>
      <c r="AM307" s="37">
        <f>IF(最佳化斷筋點!N307="","",最佳化斷筋點!N307)</f>
        <v>4</v>
      </c>
      <c r="AN307" s="37">
        <f>IF(最佳化斷筋點!O307="","",最佳化斷筋點!O307)</f>
        <v>4</v>
      </c>
      <c r="AO307" s="37">
        <f>IF(最佳化斷筋點!P307="","",最佳化斷筋點!P307)</f>
        <v>4</v>
      </c>
      <c r="AP307" s="37">
        <f>IF(最佳化斷筋點!Q307="","",最佳化斷筋點!Q307)</f>
        <v>8</v>
      </c>
      <c r="AQ307" s="37">
        <f>IF(最佳化斷筋點!R307="","",最佳化斷筋點!R307)</f>
        <v>9</v>
      </c>
      <c r="AR307" s="37">
        <f>IF(最佳化斷筋點!S307="","",最佳化斷筋點!S307)</f>
        <v>10</v>
      </c>
      <c r="AS307" s="37">
        <f>IF(最佳化斷筋點!T307="","",最佳化斷筋點!T307)</f>
        <v>10</v>
      </c>
      <c r="AT307" s="37">
        <f>IF(最佳化斷筋點!U307="","",最佳化斷筋點!U307)</f>
        <v>10</v>
      </c>
      <c r="AU307" s="37">
        <f>IF(最佳化斷筋點!V307="","",最佳化斷筋點!V307)</f>
        <v>10</v>
      </c>
      <c r="AV307" s="37">
        <f>IF(最佳化斷筋點!W307="","",最佳化斷筋點!W307)</f>
        <v>10</v>
      </c>
      <c r="AW307" s="37">
        <f>IF(最佳化斷筋點!X307="","",最佳化斷筋點!X307)</f>
        <v>10</v>
      </c>
      <c r="AY307" s="6" t="s">
        <v>20</v>
      </c>
      <c r="AZ307" s="37">
        <v>8</v>
      </c>
      <c r="BA307" s="37">
        <v>8</v>
      </c>
      <c r="BB307" s="37">
        <v>8</v>
      </c>
      <c r="BC307" s="37">
        <v>8</v>
      </c>
      <c r="BD307" s="37">
        <v>8</v>
      </c>
      <c r="BE307" s="37">
        <v>8</v>
      </c>
      <c r="BF307" s="37">
        <v>8</v>
      </c>
      <c r="BG307" s="37">
        <v>4</v>
      </c>
      <c r="BH307" s="37">
        <v>4</v>
      </c>
      <c r="BI307" s="37">
        <v>4</v>
      </c>
      <c r="BJ307" s="37">
        <v>4</v>
      </c>
      <c r="BK307" s="37">
        <v>4</v>
      </c>
      <c r="BL307" s="37">
        <v>4</v>
      </c>
      <c r="BM307" s="37">
        <v>8</v>
      </c>
      <c r="BN307" s="37">
        <v>9</v>
      </c>
      <c r="BO307" s="37">
        <v>10</v>
      </c>
      <c r="BP307" s="37">
        <v>10</v>
      </c>
      <c r="BQ307" s="37">
        <v>10</v>
      </c>
      <c r="BR307" s="37">
        <v>10</v>
      </c>
      <c r="BS307" s="37">
        <v>10</v>
      </c>
      <c r="BT307" s="37">
        <v>10</v>
      </c>
    </row>
    <row r="308" spans="5:72" x14ac:dyDescent="0.25">
      <c r="F308" s="6">
        <f t="shared" si="85"/>
        <v>0</v>
      </c>
      <c r="G308" s="6">
        <f t="shared" si="86"/>
        <v>0</v>
      </c>
      <c r="H308" s="6">
        <f t="shared" si="87"/>
        <v>0</v>
      </c>
      <c r="I308" s="6">
        <f t="shared" si="88"/>
        <v>0</v>
      </c>
      <c r="J308" s="6">
        <f t="shared" si="89"/>
        <v>0</v>
      </c>
      <c r="K308" s="6">
        <f t="shared" si="90"/>
        <v>0</v>
      </c>
      <c r="L308" s="6">
        <f t="shared" si="91"/>
        <v>0</v>
      </c>
      <c r="M308" s="6">
        <f t="shared" si="92"/>
        <v>0</v>
      </c>
      <c r="N308" s="6">
        <f t="shared" si="93"/>
        <v>0</v>
      </c>
      <c r="O308" s="6">
        <f t="shared" si="94"/>
        <v>0</v>
      </c>
      <c r="P308" s="6">
        <f t="shared" si="95"/>
        <v>0</v>
      </c>
      <c r="Q308" s="6">
        <f t="shared" si="96"/>
        <v>0</v>
      </c>
      <c r="R308" s="6">
        <f t="shared" si="97"/>
        <v>0</v>
      </c>
      <c r="S308" s="6">
        <f t="shared" si="98"/>
        <v>0</v>
      </c>
      <c r="T308" s="6">
        <f t="shared" si="99"/>
        <v>0</v>
      </c>
      <c r="U308" s="6">
        <f t="shared" si="100"/>
        <v>0</v>
      </c>
      <c r="V308" s="6">
        <f t="shared" si="101"/>
        <v>0</v>
      </c>
      <c r="W308" s="6">
        <f t="shared" si="102"/>
        <v>0</v>
      </c>
      <c r="X308" s="6">
        <f t="shared" si="103"/>
        <v>0</v>
      </c>
      <c r="Y308" s="6">
        <f t="shared" si="104"/>
        <v>0</v>
      </c>
      <c r="Z308" s="6">
        <f t="shared" si="105"/>
        <v>0</v>
      </c>
      <c r="AB308" s="36" t="str">
        <f>IF(最佳化斷筋點!C308="","",最佳化斷筋點!C308)</f>
        <v/>
      </c>
      <c r="AC308" s="37" t="str">
        <f>IF(最佳化斷筋點!D308="","",最佳化斷筋點!D308)</f>
        <v/>
      </c>
      <c r="AD308" s="37" t="str">
        <f>IF(最佳化斷筋點!E308="","",最佳化斷筋點!E308)</f>
        <v/>
      </c>
      <c r="AE308" s="37" t="str">
        <f>IF(最佳化斷筋點!F308="","",最佳化斷筋點!F308)</f>
        <v/>
      </c>
      <c r="AF308" s="37" t="str">
        <f>IF(最佳化斷筋點!G308="","",最佳化斷筋點!G308)</f>
        <v/>
      </c>
      <c r="AG308" s="37" t="str">
        <f>IF(最佳化斷筋點!H308="","",最佳化斷筋點!H308)</f>
        <v/>
      </c>
      <c r="AH308" s="37" t="str">
        <f>IF(最佳化斷筋點!I308="","",最佳化斷筋點!I308)</f>
        <v/>
      </c>
      <c r="AI308" s="37" t="str">
        <f>IF(最佳化斷筋點!J308="","",最佳化斷筋點!J308)</f>
        <v/>
      </c>
      <c r="AJ308" s="37" t="str">
        <f>IF(最佳化斷筋點!K308="","",最佳化斷筋點!K308)</f>
        <v/>
      </c>
      <c r="AK308" s="37" t="str">
        <f>IF(最佳化斷筋點!L308="","",最佳化斷筋點!L308)</f>
        <v/>
      </c>
      <c r="AL308" s="37" t="str">
        <f>IF(最佳化斷筋點!M308="","",最佳化斷筋點!M308)</f>
        <v/>
      </c>
      <c r="AM308" s="37" t="str">
        <f>IF(最佳化斷筋點!N308="","",最佳化斷筋點!N308)</f>
        <v/>
      </c>
      <c r="AN308" s="37" t="str">
        <f>IF(最佳化斷筋點!O308="","",最佳化斷筋點!O308)</f>
        <v/>
      </c>
      <c r="AO308" s="37" t="str">
        <f>IF(最佳化斷筋點!P308="","",最佳化斷筋點!P308)</f>
        <v/>
      </c>
      <c r="AP308" s="37" t="str">
        <f>IF(最佳化斷筋點!Q308="","",最佳化斷筋點!Q308)</f>
        <v/>
      </c>
      <c r="AQ308" s="37" t="str">
        <f>IF(最佳化斷筋點!R308="","",最佳化斷筋點!R308)</f>
        <v/>
      </c>
      <c r="AR308" s="37" t="str">
        <f>IF(最佳化斷筋點!S308="","",最佳化斷筋點!S308)</f>
        <v/>
      </c>
      <c r="AS308" s="37" t="str">
        <f>IF(最佳化斷筋點!T308="","",最佳化斷筋點!T308)</f>
        <v/>
      </c>
      <c r="AT308" s="37" t="str">
        <f>IF(最佳化斷筋點!U308="","",最佳化斷筋點!U308)</f>
        <v/>
      </c>
      <c r="AU308" s="37" t="str">
        <f>IF(最佳化斷筋點!V308="","",最佳化斷筋點!V308)</f>
        <v/>
      </c>
      <c r="AV308" s="37" t="str">
        <f>IF(最佳化斷筋點!W308="","",最佳化斷筋點!W308)</f>
        <v/>
      </c>
      <c r="AW308" s="37" t="str">
        <f>IF(最佳化斷筋點!X308="","",最佳化斷筋點!X308)</f>
        <v/>
      </c>
      <c r="AZ308" s="37" t="s">
        <v>197</v>
      </c>
      <c r="BA308" s="37" t="s">
        <v>197</v>
      </c>
      <c r="BB308" s="37" t="s">
        <v>197</v>
      </c>
      <c r="BC308" s="37" t="s">
        <v>197</v>
      </c>
      <c r="BD308" s="37" t="s">
        <v>197</v>
      </c>
      <c r="BE308" s="37" t="s">
        <v>197</v>
      </c>
      <c r="BF308" s="37" t="s">
        <v>197</v>
      </c>
      <c r="BG308" s="37" t="s">
        <v>197</v>
      </c>
      <c r="BH308" s="37" t="s">
        <v>197</v>
      </c>
      <c r="BI308" s="37" t="s">
        <v>197</v>
      </c>
      <c r="BJ308" s="37" t="s">
        <v>197</v>
      </c>
      <c r="BK308" s="37" t="s">
        <v>197</v>
      </c>
      <c r="BL308" s="37" t="s">
        <v>197</v>
      </c>
      <c r="BM308" s="37" t="s">
        <v>197</v>
      </c>
      <c r="BN308" s="37" t="s">
        <v>197</v>
      </c>
      <c r="BO308" s="37" t="s">
        <v>197</v>
      </c>
      <c r="BP308" s="37" t="s">
        <v>197</v>
      </c>
      <c r="BQ308" s="37" t="s">
        <v>197</v>
      </c>
      <c r="BR308" s="37" t="s">
        <v>197</v>
      </c>
      <c r="BS308" s="37" t="s">
        <v>197</v>
      </c>
      <c r="BT308" s="37" t="s">
        <v>197</v>
      </c>
    </row>
    <row r="309" spans="5:72" x14ac:dyDescent="0.25">
      <c r="E309" s="6" t="s">
        <v>21</v>
      </c>
      <c r="F309" s="6">
        <f t="shared" si="85"/>
        <v>0</v>
      </c>
      <c r="G309" s="6">
        <f t="shared" si="86"/>
        <v>0</v>
      </c>
      <c r="H309" s="6">
        <f t="shared" si="87"/>
        <v>0</v>
      </c>
      <c r="I309" s="6">
        <f t="shared" si="88"/>
        <v>0</v>
      </c>
      <c r="J309" s="6">
        <f t="shared" si="89"/>
        <v>0</v>
      </c>
      <c r="K309" s="6">
        <f t="shared" si="90"/>
        <v>0</v>
      </c>
      <c r="L309" s="6">
        <f t="shared" si="91"/>
        <v>0</v>
      </c>
      <c r="M309" s="6">
        <f t="shared" si="92"/>
        <v>0</v>
      </c>
      <c r="N309" s="6">
        <f t="shared" si="93"/>
        <v>0</v>
      </c>
      <c r="O309" s="6">
        <f t="shared" si="94"/>
        <v>0</v>
      </c>
      <c r="P309" s="6">
        <f t="shared" si="95"/>
        <v>0</v>
      </c>
      <c r="Q309" s="6">
        <f t="shared" si="96"/>
        <v>0</v>
      </c>
      <c r="R309" s="6">
        <f t="shared" si="97"/>
        <v>0</v>
      </c>
      <c r="S309" s="6">
        <f t="shared" si="98"/>
        <v>0</v>
      </c>
      <c r="T309" s="6">
        <f t="shared" si="99"/>
        <v>0</v>
      </c>
      <c r="U309" s="6">
        <f t="shared" si="100"/>
        <v>0</v>
      </c>
      <c r="V309" s="6">
        <f t="shared" si="101"/>
        <v>0</v>
      </c>
      <c r="W309" s="6">
        <f t="shared" si="102"/>
        <v>0</v>
      </c>
      <c r="X309" s="6">
        <f t="shared" si="103"/>
        <v>0</v>
      </c>
      <c r="Y309" s="6">
        <f t="shared" si="104"/>
        <v>0</v>
      </c>
      <c r="Z309" s="6">
        <f t="shared" si="105"/>
        <v>0</v>
      </c>
      <c r="AB309" s="36" t="str">
        <f>IF(最佳化斷筋點!C309="","",最佳化斷筋點!C309)</f>
        <v>下層</v>
      </c>
      <c r="AC309" s="37">
        <f>IF(最佳化斷筋點!D309="","",最佳化斷筋點!D309)</f>
        <v>8</v>
      </c>
      <c r="AD309" s="37">
        <f>IF(最佳化斷筋點!E309="","",最佳化斷筋點!E309)</f>
        <v>8</v>
      </c>
      <c r="AE309" s="37">
        <f>IF(最佳化斷筋點!F309="","",最佳化斷筋點!F309)</f>
        <v>8</v>
      </c>
      <c r="AF309" s="37">
        <f>IF(最佳化斷筋點!G309="","",最佳化斷筋點!G309)</f>
        <v>8</v>
      </c>
      <c r="AG309" s="37">
        <f>IF(最佳化斷筋點!H309="","",最佳化斷筋點!H309)</f>
        <v>8</v>
      </c>
      <c r="AH309" s="37">
        <f>IF(最佳化斷筋點!I309="","",最佳化斷筋點!I309)</f>
        <v>8</v>
      </c>
      <c r="AI309" s="37">
        <f>IF(最佳化斷筋點!J309="","",最佳化斷筋點!J309)</f>
        <v>7</v>
      </c>
      <c r="AJ309" s="37">
        <f>IF(最佳化斷筋點!K309="","",最佳化斷筋點!K309)</f>
        <v>3</v>
      </c>
      <c r="AK309" s="37">
        <f>IF(最佳化斷筋點!L309="","",最佳化斷筋點!L309)</f>
        <v>3</v>
      </c>
      <c r="AL309" s="37">
        <f>IF(最佳化斷筋點!M309="","",最佳化斷筋點!M309)</f>
        <v>3</v>
      </c>
      <c r="AM309" s="37">
        <f>IF(最佳化斷筋點!N309="","",最佳化斷筋點!N309)</f>
        <v>3</v>
      </c>
      <c r="AN309" s="37">
        <f>IF(最佳化斷筋點!O309="","",最佳化斷筋點!O309)</f>
        <v>3</v>
      </c>
      <c r="AO309" s="37">
        <f>IF(最佳化斷筋點!P309="","",最佳化斷筋點!P309)</f>
        <v>3</v>
      </c>
      <c r="AP309" s="37">
        <f>IF(最佳化斷筋點!Q309="","",最佳化斷筋點!Q309)</f>
        <v>4</v>
      </c>
      <c r="AQ309" s="37">
        <f>IF(最佳化斷筋點!R309="","",最佳化斷筋點!R309)</f>
        <v>4</v>
      </c>
      <c r="AR309" s="37">
        <f>IF(最佳化斷筋點!S309="","",最佳化斷筋點!S309)</f>
        <v>5</v>
      </c>
      <c r="AS309" s="37">
        <f>IF(最佳化斷筋點!T309="","",最佳化斷筋點!T309)</f>
        <v>5</v>
      </c>
      <c r="AT309" s="37">
        <f>IF(最佳化斷筋點!U309="","",最佳化斷筋點!U309)</f>
        <v>6</v>
      </c>
      <c r="AU309" s="37">
        <f>IF(最佳化斷筋點!V309="","",最佳化斷筋點!V309)</f>
        <v>6</v>
      </c>
      <c r="AV309" s="37">
        <f>IF(最佳化斷筋點!W309="","",最佳化斷筋點!W309)</f>
        <v>6</v>
      </c>
      <c r="AW309" s="37">
        <f>IF(最佳化斷筋點!X309="","",最佳化斷筋點!X309)</f>
        <v>6</v>
      </c>
      <c r="AY309" s="6" t="s">
        <v>21</v>
      </c>
      <c r="AZ309" s="37">
        <v>8</v>
      </c>
      <c r="BA309" s="37">
        <v>8</v>
      </c>
      <c r="BB309" s="37">
        <v>8</v>
      </c>
      <c r="BC309" s="37">
        <v>8</v>
      </c>
      <c r="BD309" s="37">
        <v>8</v>
      </c>
      <c r="BE309" s="37">
        <v>8</v>
      </c>
      <c r="BF309" s="37">
        <v>7</v>
      </c>
      <c r="BG309" s="37">
        <v>3</v>
      </c>
      <c r="BH309" s="37">
        <v>3</v>
      </c>
      <c r="BI309" s="37">
        <v>3</v>
      </c>
      <c r="BJ309" s="37">
        <v>3</v>
      </c>
      <c r="BK309" s="37">
        <v>3</v>
      </c>
      <c r="BL309" s="37">
        <v>3</v>
      </c>
      <c r="BM309" s="37">
        <v>4</v>
      </c>
      <c r="BN309" s="37">
        <v>4</v>
      </c>
      <c r="BO309" s="37">
        <v>5</v>
      </c>
      <c r="BP309" s="37">
        <v>5</v>
      </c>
      <c r="BQ309" s="37">
        <v>6</v>
      </c>
      <c r="BR309" s="37">
        <v>6</v>
      </c>
      <c r="BS309" s="37">
        <v>6</v>
      </c>
      <c r="BT309" s="37">
        <v>6</v>
      </c>
    </row>
    <row r="310" spans="5:72" x14ac:dyDescent="0.25">
      <c r="F310" s="6">
        <f t="shared" si="85"/>
        <v>0</v>
      </c>
      <c r="G310" s="6">
        <f t="shared" si="86"/>
        <v>0</v>
      </c>
      <c r="H310" s="6">
        <f t="shared" si="87"/>
        <v>0</v>
      </c>
      <c r="I310" s="6">
        <f t="shared" si="88"/>
        <v>0</v>
      </c>
      <c r="J310" s="6">
        <f t="shared" si="89"/>
        <v>0</v>
      </c>
      <c r="K310" s="6">
        <f t="shared" si="90"/>
        <v>0</v>
      </c>
      <c r="L310" s="6">
        <f t="shared" si="91"/>
        <v>0</v>
      </c>
      <c r="M310" s="6">
        <f t="shared" si="92"/>
        <v>0</v>
      </c>
      <c r="N310" s="6">
        <f t="shared" si="93"/>
        <v>0</v>
      </c>
      <c r="O310" s="6">
        <f t="shared" si="94"/>
        <v>0</v>
      </c>
      <c r="P310" s="6">
        <f t="shared" si="95"/>
        <v>0</v>
      </c>
      <c r="Q310" s="6">
        <f t="shared" si="96"/>
        <v>0</v>
      </c>
      <c r="R310" s="6">
        <f t="shared" si="97"/>
        <v>0</v>
      </c>
      <c r="S310" s="6">
        <f t="shared" si="98"/>
        <v>0</v>
      </c>
      <c r="T310" s="6">
        <f t="shared" si="99"/>
        <v>0</v>
      </c>
      <c r="U310" s="6">
        <f t="shared" si="100"/>
        <v>0</v>
      </c>
      <c r="V310" s="6">
        <f t="shared" si="101"/>
        <v>0</v>
      </c>
      <c r="W310" s="6">
        <f t="shared" si="102"/>
        <v>0</v>
      </c>
      <c r="X310" s="6">
        <f t="shared" si="103"/>
        <v>0</v>
      </c>
      <c r="Y310" s="6">
        <f t="shared" si="104"/>
        <v>0</v>
      </c>
      <c r="Z310" s="6">
        <f t="shared" si="105"/>
        <v>0</v>
      </c>
      <c r="AB310" s="36" t="str">
        <f>IF(最佳化斷筋點!C310="","",最佳化斷筋點!C310)</f>
        <v/>
      </c>
      <c r="AC310" s="36" t="str">
        <f>IF(最佳化斷筋點!D310="","",最佳化斷筋點!D310)</f>
        <v/>
      </c>
      <c r="AD310" s="36" t="str">
        <f>IF(最佳化斷筋點!E310="","",最佳化斷筋點!E310)</f>
        <v/>
      </c>
      <c r="AE310" s="36" t="str">
        <f>IF(最佳化斷筋點!F310="","",最佳化斷筋點!F310)</f>
        <v/>
      </c>
      <c r="AF310" s="36" t="str">
        <f>IF(最佳化斷筋點!G310="","",最佳化斷筋點!G310)</f>
        <v/>
      </c>
      <c r="AG310" s="36" t="str">
        <f>IF(最佳化斷筋點!H310="","",最佳化斷筋點!H310)</f>
        <v/>
      </c>
      <c r="AH310" s="36" t="str">
        <f>IF(最佳化斷筋點!I310="","",最佳化斷筋點!I310)</f>
        <v/>
      </c>
      <c r="AI310" s="36" t="str">
        <f>IF(最佳化斷筋點!J310="","",最佳化斷筋點!J310)</f>
        <v/>
      </c>
      <c r="AJ310" s="36" t="str">
        <f>IF(最佳化斷筋點!K310="","",最佳化斷筋點!K310)</f>
        <v/>
      </c>
      <c r="AK310" s="36" t="str">
        <f>IF(最佳化斷筋點!L310="","",最佳化斷筋點!L310)</f>
        <v/>
      </c>
      <c r="AL310" s="36" t="str">
        <f>IF(最佳化斷筋點!M310="","",最佳化斷筋點!M310)</f>
        <v/>
      </c>
      <c r="AM310" s="36" t="str">
        <f>IF(最佳化斷筋點!N310="","",最佳化斷筋點!N310)</f>
        <v/>
      </c>
      <c r="AN310" s="36" t="str">
        <f>IF(最佳化斷筋點!O310="","",最佳化斷筋點!O310)</f>
        <v/>
      </c>
      <c r="AO310" s="36" t="str">
        <f>IF(最佳化斷筋點!P310="","",最佳化斷筋點!P310)</f>
        <v/>
      </c>
      <c r="AP310" s="36" t="str">
        <f>IF(最佳化斷筋點!Q310="","",最佳化斷筋點!Q310)</f>
        <v/>
      </c>
      <c r="AQ310" s="36" t="str">
        <f>IF(最佳化斷筋點!R310="","",最佳化斷筋點!R310)</f>
        <v/>
      </c>
      <c r="AR310" s="36" t="str">
        <f>IF(最佳化斷筋點!S310="","",最佳化斷筋點!S310)</f>
        <v/>
      </c>
      <c r="AS310" s="36" t="str">
        <f>IF(最佳化斷筋點!T310="","",最佳化斷筋點!T310)</f>
        <v/>
      </c>
      <c r="AT310" s="36" t="str">
        <f>IF(最佳化斷筋點!U310="","",最佳化斷筋點!U310)</f>
        <v/>
      </c>
      <c r="AU310" s="36" t="str">
        <f>IF(最佳化斷筋點!V310="","",最佳化斷筋點!V310)</f>
        <v/>
      </c>
      <c r="AV310" s="36" t="str">
        <f>IF(最佳化斷筋點!W310="","",最佳化斷筋點!W310)</f>
        <v/>
      </c>
      <c r="AW310" s="36" t="str">
        <f>IF(最佳化斷筋點!X310="","",最佳化斷筋點!X310)</f>
        <v/>
      </c>
      <c r="AZ310" s="37" t="s">
        <v>197</v>
      </c>
      <c r="BA310" s="37" t="s">
        <v>197</v>
      </c>
      <c r="BB310" s="37" t="s">
        <v>197</v>
      </c>
      <c r="BC310" s="37" t="s">
        <v>197</v>
      </c>
      <c r="BD310" s="37" t="s">
        <v>197</v>
      </c>
      <c r="BE310" s="37" t="s">
        <v>197</v>
      </c>
      <c r="BF310" s="37" t="s">
        <v>197</v>
      </c>
      <c r="BG310" s="37" t="s">
        <v>197</v>
      </c>
      <c r="BH310" s="37" t="s">
        <v>197</v>
      </c>
      <c r="BI310" s="37" t="s">
        <v>197</v>
      </c>
      <c r="BJ310" s="37" t="s">
        <v>197</v>
      </c>
      <c r="BK310" s="37" t="s">
        <v>197</v>
      </c>
      <c r="BL310" s="37" t="s">
        <v>197</v>
      </c>
      <c r="BM310" s="37" t="s">
        <v>197</v>
      </c>
      <c r="BN310" s="37" t="s">
        <v>197</v>
      </c>
      <c r="BO310" s="37" t="s">
        <v>197</v>
      </c>
      <c r="BP310" s="37" t="s">
        <v>197</v>
      </c>
      <c r="BQ310" s="37" t="s">
        <v>197</v>
      </c>
      <c r="BR310" s="37" t="s">
        <v>197</v>
      </c>
      <c r="BS310" s="37" t="s">
        <v>197</v>
      </c>
      <c r="BT310" s="37" t="s">
        <v>197</v>
      </c>
    </row>
    <row r="311" spans="5:72" x14ac:dyDescent="0.25">
      <c r="E311" s="6" t="s">
        <v>20</v>
      </c>
      <c r="F311" s="6">
        <f t="shared" si="85"/>
        <v>0</v>
      </c>
      <c r="G311" s="6">
        <f t="shared" si="86"/>
        <v>0</v>
      </c>
      <c r="H311" s="6">
        <f t="shared" si="87"/>
        <v>0</v>
      </c>
      <c r="I311" s="6">
        <f t="shared" si="88"/>
        <v>0</v>
      </c>
      <c r="J311" s="6">
        <f t="shared" si="89"/>
        <v>0</v>
      </c>
      <c r="K311" s="6">
        <f t="shared" si="90"/>
        <v>0</v>
      </c>
      <c r="L311" s="6">
        <f t="shared" si="91"/>
        <v>0</v>
      </c>
      <c r="M311" s="6">
        <f t="shared" si="92"/>
        <v>0</v>
      </c>
      <c r="N311" s="6">
        <f t="shared" si="93"/>
        <v>0</v>
      </c>
      <c r="O311" s="6">
        <f t="shared" si="94"/>
        <v>0</v>
      </c>
      <c r="P311" s="6">
        <f t="shared" si="95"/>
        <v>0</v>
      </c>
      <c r="Q311" s="6">
        <f t="shared" si="96"/>
        <v>0</v>
      </c>
      <c r="R311" s="6">
        <f t="shared" si="97"/>
        <v>0</v>
      </c>
      <c r="S311" s="6">
        <f t="shared" si="98"/>
        <v>0</v>
      </c>
      <c r="T311" s="6">
        <f t="shared" si="99"/>
        <v>0</v>
      </c>
      <c r="U311" s="6">
        <f t="shared" si="100"/>
        <v>0</v>
      </c>
      <c r="V311" s="6">
        <f t="shared" si="101"/>
        <v>0</v>
      </c>
      <c r="W311" s="6">
        <f t="shared" si="102"/>
        <v>0</v>
      </c>
      <c r="X311" s="6">
        <f t="shared" si="103"/>
        <v>0</v>
      </c>
      <c r="Y311" s="6">
        <f t="shared" si="104"/>
        <v>0</v>
      </c>
      <c r="Z311" s="6">
        <f t="shared" si="105"/>
        <v>0</v>
      </c>
      <c r="AB311" s="36" t="str">
        <f>IF(最佳化斷筋點!C311="","",最佳化斷筋點!C311)</f>
        <v>上層</v>
      </c>
      <c r="AC311" s="37">
        <f>IF(最佳化斷筋點!D311="","",最佳化斷筋點!D311)</f>
        <v>10</v>
      </c>
      <c r="AD311" s="37">
        <f>IF(最佳化斷筋點!E311="","",最佳化斷筋點!E311)</f>
        <v>10</v>
      </c>
      <c r="AE311" s="37">
        <f>IF(最佳化斷筋點!F311="","",最佳化斷筋點!F311)</f>
        <v>10</v>
      </c>
      <c r="AF311" s="37">
        <f>IF(最佳化斷筋點!G311="","",最佳化斷筋點!G311)</f>
        <v>10</v>
      </c>
      <c r="AG311" s="37">
        <f>IF(最佳化斷筋點!H311="","",最佳化斷筋點!H311)</f>
        <v>10</v>
      </c>
      <c r="AH311" s="37">
        <f>IF(最佳化斷筋點!I311="","",最佳化斷筋點!I311)</f>
        <v>10</v>
      </c>
      <c r="AI311" s="37">
        <f>IF(最佳化斷筋點!J311="","",最佳化斷筋點!J311)</f>
        <v>10</v>
      </c>
      <c r="AJ311" s="37">
        <f>IF(最佳化斷筋點!K311="","",最佳化斷筋點!K311)</f>
        <v>4</v>
      </c>
      <c r="AK311" s="37">
        <f>IF(最佳化斷筋點!L311="","",最佳化斷筋點!L311)</f>
        <v>4</v>
      </c>
      <c r="AL311" s="37">
        <f>IF(最佳化斷筋點!M311="","",最佳化斷筋點!M311)</f>
        <v>4</v>
      </c>
      <c r="AM311" s="37">
        <f>IF(最佳化斷筋點!N311="","",最佳化斷筋點!N311)</f>
        <v>4</v>
      </c>
      <c r="AN311" s="37">
        <f>IF(最佳化斷筋點!O311="","",最佳化斷筋點!O311)</f>
        <v>4</v>
      </c>
      <c r="AO311" s="37">
        <f>IF(最佳化斷筋點!P311="","",最佳化斷筋點!P311)</f>
        <v>4</v>
      </c>
      <c r="AP311" s="37">
        <f>IF(最佳化斷筋點!Q311="","",最佳化斷筋點!Q311)</f>
        <v>6</v>
      </c>
      <c r="AQ311" s="37">
        <f>IF(最佳化斷筋點!R311="","",最佳化斷筋點!R311)</f>
        <v>7</v>
      </c>
      <c r="AR311" s="37">
        <f>IF(最佳化斷筋點!S311="","",最佳化斷筋點!S311)</f>
        <v>8</v>
      </c>
      <c r="AS311" s="37">
        <f>IF(最佳化斷筋點!T311="","",最佳化斷筋點!T311)</f>
        <v>8</v>
      </c>
      <c r="AT311" s="37">
        <f>IF(最佳化斷筋點!U311="","",最佳化斷筋點!U311)</f>
        <v>8</v>
      </c>
      <c r="AU311" s="37">
        <f>IF(最佳化斷筋點!V311="","",最佳化斷筋點!V311)</f>
        <v>8</v>
      </c>
      <c r="AV311" s="37">
        <f>IF(最佳化斷筋點!W311="","",最佳化斷筋點!W311)</f>
        <v>8</v>
      </c>
      <c r="AW311" s="37">
        <f>IF(最佳化斷筋點!X311="","",最佳化斷筋點!X311)</f>
        <v>8</v>
      </c>
      <c r="AY311" s="6" t="s">
        <v>20</v>
      </c>
      <c r="AZ311" s="37">
        <v>10</v>
      </c>
      <c r="BA311" s="37">
        <v>10</v>
      </c>
      <c r="BB311" s="37">
        <v>10</v>
      </c>
      <c r="BC311" s="37">
        <v>10</v>
      </c>
      <c r="BD311" s="37">
        <v>10</v>
      </c>
      <c r="BE311" s="37">
        <v>10</v>
      </c>
      <c r="BF311" s="37">
        <v>10</v>
      </c>
      <c r="BG311" s="37">
        <v>4</v>
      </c>
      <c r="BH311" s="37">
        <v>4</v>
      </c>
      <c r="BI311" s="37">
        <v>4</v>
      </c>
      <c r="BJ311" s="37">
        <v>4</v>
      </c>
      <c r="BK311" s="37">
        <v>4</v>
      </c>
      <c r="BL311" s="37">
        <v>4</v>
      </c>
      <c r="BM311" s="37">
        <v>6</v>
      </c>
      <c r="BN311" s="37">
        <v>7</v>
      </c>
      <c r="BO311" s="37">
        <v>8</v>
      </c>
      <c r="BP311" s="37">
        <v>8</v>
      </c>
      <c r="BQ311" s="37">
        <v>8</v>
      </c>
      <c r="BR311" s="37">
        <v>8</v>
      </c>
      <c r="BS311" s="37">
        <v>8</v>
      </c>
      <c r="BT311" s="37">
        <v>8</v>
      </c>
    </row>
    <row r="312" spans="5:72" x14ac:dyDescent="0.25">
      <c r="F312" s="6">
        <f t="shared" si="85"/>
        <v>0</v>
      </c>
      <c r="G312" s="6">
        <f t="shared" si="86"/>
        <v>0</v>
      </c>
      <c r="H312" s="6">
        <f t="shared" si="87"/>
        <v>0</v>
      </c>
      <c r="I312" s="6">
        <f t="shared" si="88"/>
        <v>0</v>
      </c>
      <c r="J312" s="6">
        <f t="shared" si="89"/>
        <v>0</v>
      </c>
      <c r="K312" s="6">
        <f t="shared" si="90"/>
        <v>0</v>
      </c>
      <c r="L312" s="6">
        <f t="shared" si="91"/>
        <v>0</v>
      </c>
      <c r="M312" s="6">
        <f t="shared" si="92"/>
        <v>0</v>
      </c>
      <c r="N312" s="6">
        <f t="shared" si="93"/>
        <v>0</v>
      </c>
      <c r="O312" s="6">
        <f t="shared" si="94"/>
        <v>0</v>
      </c>
      <c r="P312" s="6">
        <f t="shared" si="95"/>
        <v>0</v>
      </c>
      <c r="Q312" s="6">
        <f t="shared" si="96"/>
        <v>0</v>
      </c>
      <c r="R312" s="6">
        <f t="shared" si="97"/>
        <v>0</v>
      </c>
      <c r="S312" s="6">
        <f t="shared" si="98"/>
        <v>0</v>
      </c>
      <c r="T312" s="6">
        <f t="shared" si="99"/>
        <v>0</v>
      </c>
      <c r="U312" s="6">
        <f t="shared" si="100"/>
        <v>0</v>
      </c>
      <c r="V312" s="6">
        <f t="shared" si="101"/>
        <v>0</v>
      </c>
      <c r="W312" s="6">
        <f t="shared" si="102"/>
        <v>0</v>
      </c>
      <c r="X312" s="6">
        <f t="shared" si="103"/>
        <v>0</v>
      </c>
      <c r="Y312" s="6">
        <f t="shared" si="104"/>
        <v>0</v>
      </c>
      <c r="Z312" s="6">
        <f t="shared" si="105"/>
        <v>0</v>
      </c>
      <c r="AB312" s="36" t="str">
        <f>IF(最佳化斷筋點!C312="","",最佳化斷筋點!C312)</f>
        <v/>
      </c>
      <c r="AC312" s="37" t="str">
        <f>IF(最佳化斷筋點!D312="","",最佳化斷筋點!D312)</f>
        <v/>
      </c>
      <c r="AD312" s="37" t="str">
        <f>IF(最佳化斷筋點!E312="","",最佳化斷筋點!E312)</f>
        <v/>
      </c>
      <c r="AE312" s="37" t="str">
        <f>IF(最佳化斷筋點!F312="","",最佳化斷筋點!F312)</f>
        <v/>
      </c>
      <c r="AF312" s="37" t="str">
        <f>IF(最佳化斷筋點!G312="","",最佳化斷筋點!G312)</f>
        <v/>
      </c>
      <c r="AG312" s="37" t="str">
        <f>IF(最佳化斷筋點!H312="","",最佳化斷筋點!H312)</f>
        <v/>
      </c>
      <c r="AH312" s="37" t="str">
        <f>IF(最佳化斷筋點!I312="","",最佳化斷筋點!I312)</f>
        <v/>
      </c>
      <c r="AI312" s="37" t="str">
        <f>IF(最佳化斷筋點!J312="","",最佳化斷筋點!J312)</f>
        <v/>
      </c>
      <c r="AJ312" s="37" t="str">
        <f>IF(最佳化斷筋點!K312="","",最佳化斷筋點!K312)</f>
        <v/>
      </c>
      <c r="AK312" s="37" t="str">
        <f>IF(最佳化斷筋點!L312="","",最佳化斷筋點!L312)</f>
        <v/>
      </c>
      <c r="AL312" s="37" t="str">
        <f>IF(最佳化斷筋點!M312="","",最佳化斷筋點!M312)</f>
        <v/>
      </c>
      <c r="AM312" s="37" t="str">
        <f>IF(最佳化斷筋點!N312="","",最佳化斷筋點!N312)</f>
        <v/>
      </c>
      <c r="AN312" s="37" t="str">
        <f>IF(最佳化斷筋點!O312="","",最佳化斷筋點!O312)</f>
        <v/>
      </c>
      <c r="AO312" s="37" t="str">
        <f>IF(最佳化斷筋點!P312="","",最佳化斷筋點!P312)</f>
        <v/>
      </c>
      <c r="AP312" s="37" t="str">
        <f>IF(最佳化斷筋點!Q312="","",最佳化斷筋點!Q312)</f>
        <v/>
      </c>
      <c r="AQ312" s="37" t="str">
        <f>IF(最佳化斷筋點!R312="","",最佳化斷筋點!R312)</f>
        <v/>
      </c>
      <c r="AR312" s="37" t="str">
        <f>IF(最佳化斷筋點!S312="","",最佳化斷筋點!S312)</f>
        <v/>
      </c>
      <c r="AS312" s="37" t="str">
        <f>IF(最佳化斷筋點!T312="","",最佳化斷筋點!T312)</f>
        <v/>
      </c>
      <c r="AT312" s="37" t="str">
        <f>IF(最佳化斷筋點!U312="","",最佳化斷筋點!U312)</f>
        <v/>
      </c>
      <c r="AU312" s="37" t="str">
        <f>IF(最佳化斷筋點!V312="","",最佳化斷筋點!V312)</f>
        <v/>
      </c>
      <c r="AV312" s="37" t="str">
        <f>IF(最佳化斷筋點!W312="","",最佳化斷筋點!W312)</f>
        <v/>
      </c>
      <c r="AW312" s="37" t="str">
        <f>IF(最佳化斷筋點!X312="","",最佳化斷筋點!X312)</f>
        <v/>
      </c>
      <c r="AZ312" s="37" t="s">
        <v>197</v>
      </c>
      <c r="BA312" s="37" t="s">
        <v>197</v>
      </c>
      <c r="BB312" s="37" t="s">
        <v>197</v>
      </c>
      <c r="BC312" s="37" t="s">
        <v>197</v>
      </c>
      <c r="BD312" s="37" t="s">
        <v>197</v>
      </c>
      <c r="BE312" s="37" t="s">
        <v>197</v>
      </c>
      <c r="BF312" s="37" t="s">
        <v>197</v>
      </c>
      <c r="BG312" s="37" t="s">
        <v>197</v>
      </c>
      <c r="BH312" s="37" t="s">
        <v>197</v>
      </c>
      <c r="BI312" s="37" t="s">
        <v>197</v>
      </c>
      <c r="BJ312" s="37" t="s">
        <v>197</v>
      </c>
      <c r="BK312" s="37" t="s">
        <v>197</v>
      </c>
      <c r="BL312" s="37" t="s">
        <v>197</v>
      </c>
      <c r="BM312" s="37" t="s">
        <v>197</v>
      </c>
      <c r="BN312" s="37" t="s">
        <v>197</v>
      </c>
      <c r="BO312" s="37" t="s">
        <v>197</v>
      </c>
      <c r="BP312" s="37" t="s">
        <v>197</v>
      </c>
      <c r="BQ312" s="37" t="s">
        <v>197</v>
      </c>
      <c r="BR312" s="37" t="s">
        <v>197</v>
      </c>
      <c r="BS312" s="37" t="s">
        <v>197</v>
      </c>
      <c r="BT312" s="37" t="s">
        <v>197</v>
      </c>
    </row>
    <row r="313" spans="5:72" x14ac:dyDescent="0.25">
      <c r="E313" s="6" t="s">
        <v>21</v>
      </c>
      <c r="F313" s="6">
        <f t="shared" si="85"/>
        <v>0</v>
      </c>
      <c r="G313" s="6">
        <f t="shared" si="86"/>
        <v>0</v>
      </c>
      <c r="H313" s="6">
        <f t="shared" si="87"/>
        <v>0</v>
      </c>
      <c r="I313" s="6">
        <f t="shared" si="88"/>
        <v>0</v>
      </c>
      <c r="J313" s="6">
        <f t="shared" si="89"/>
        <v>0</v>
      </c>
      <c r="K313" s="6">
        <f t="shared" si="90"/>
        <v>0</v>
      </c>
      <c r="L313" s="6">
        <f t="shared" si="91"/>
        <v>0</v>
      </c>
      <c r="M313" s="6">
        <f t="shared" si="92"/>
        <v>0</v>
      </c>
      <c r="N313" s="6">
        <f t="shared" si="93"/>
        <v>0</v>
      </c>
      <c r="O313" s="6">
        <f t="shared" si="94"/>
        <v>0</v>
      </c>
      <c r="P313" s="6">
        <f t="shared" si="95"/>
        <v>0</v>
      </c>
      <c r="Q313" s="6">
        <f t="shared" si="96"/>
        <v>0</v>
      </c>
      <c r="R313" s="6">
        <f t="shared" si="97"/>
        <v>0</v>
      </c>
      <c r="S313" s="6">
        <f t="shared" si="98"/>
        <v>0</v>
      </c>
      <c r="T313" s="6">
        <f t="shared" si="99"/>
        <v>0</v>
      </c>
      <c r="U313" s="6">
        <f t="shared" si="100"/>
        <v>0</v>
      </c>
      <c r="V313" s="6">
        <f t="shared" si="101"/>
        <v>0</v>
      </c>
      <c r="W313" s="6">
        <f t="shared" si="102"/>
        <v>0</v>
      </c>
      <c r="X313" s="6">
        <f t="shared" si="103"/>
        <v>0</v>
      </c>
      <c r="Y313" s="6">
        <f t="shared" si="104"/>
        <v>0</v>
      </c>
      <c r="Z313" s="6">
        <f t="shared" si="105"/>
        <v>0</v>
      </c>
      <c r="AB313" s="36" t="str">
        <f>IF(最佳化斷筋點!C313="","",最佳化斷筋點!C313)</f>
        <v>下層</v>
      </c>
      <c r="AC313" s="37">
        <f>IF(最佳化斷筋點!D313="","",最佳化斷筋點!D313)</f>
        <v>7</v>
      </c>
      <c r="AD313" s="37">
        <f>IF(最佳化斷筋點!E313="","",最佳化斷筋點!E313)</f>
        <v>7</v>
      </c>
      <c r="AE313" s="37">
        <f>IF(最佳化斷筋點!F313="","",最佳化斷筋點!F313)</f>
        <v>7</v>
      </c>
      <c r="AF313" s="37">
        <f>IF(最佳化斷筋點!G313="","",最佳化斷筋點!G313)</f>
        <v>7</v>
      </c>
      <c r="AG313" s="37">
        <f>IF(最佳化斷筋點!H313="","",最佳化斷筋點!H313)</f>
        <v>7</v>
      </c>
      <c r="AH313" s="37">
        <f>IF(最佳化斷筋點!I313="","",最佳化斷筋點!I313)</f>
        <v>7</v>
      </c>
      <c r="AI313" s="37">
        <f>IF(最佳化斷筋點!J313="","",最佳化斷筋點!J313)</f>
        <v>6</v>
      </c>
      <c r="AJ313" s="37">
        <f>IF(最佳化斷筋點!K313="","",最佳化斷筋點!K313)</f>
        <v>3</v>
      </c>
      <c r="AK313" s="37">
        <f>IF(最佳化斷筋點!L313="","",最佳化斷筋點!L313)</f>
        <v>3</v>
      </c>
      <c r="AL313" s="37">
        <f>IF(最佳化斷筋點!M313="","",最佳化斷筋點!M313)</f>
        <v>3</v>
      </c>
      <c r="AM313" s="37">
        <f>IF(最佳化斷筋點!N313="","",最佳化斷筋點!N313)</f>
        <v>3</v>
      </c>
      <c r="AN313" s="37">
        <f>IF(最佳化斷筋點!O313="","",最佳化斷筋點!O313)</f>
        <v>3</v>
      </c>
      <c r="AO313" s="37">
        <f>IF(最佳化斷筋點!P313="","",最佳化斷筋點!P313)</f>
        <v>3</v>
      </c>
      <c r="AP313" s="37">
        <f>IF(最佳化斷筋點!Q313="","",最佳化斷筋點!Q313)</f>
        <v>5</v>
      </c>
      <c r="AQ313" s="37">
        <f>IF(最佳化斷筋點!R313="","",最佳化斷筋點!R313)</f>
        <v>6</v>
      </c>
      <c r="AR313" s="37">
        <f>IF(最佳化斷筋點!S313="","",最佳化斷筋點!S313)</f>
        <v>6</v>
      </c>
      <c r="AS313" s="37">
        <f>IF(最佳化斷筋點!T313="","",最佳化斷筋點!T313)</f>
        <v>7</v>
      </c>
      <c r="AT313" s="37">
        <f>IF(最佳化斷筋點!U313="","",最佳化斷筋點!U313)</f>
        <v>7</v>
      </c>
      <c r="AU313" s="37">
        <f>IF(最佳化斷筋點!V313="","",最佳化斷筋點!V313)</f>
        <v>7</v>
      </c>
      <c r="AV313" s="37">
        <f>IF(最佳化斷筋點!W313="","",最佳化斷筋點!W313)</f>
        <v>7</v>
      </c>
      <c r="AW313" s="37">
        <f>IF(最佳化斷筋點!X313="","",最佳化斷筋點!X313)</f>
        <v>7</v>
      </c>
      <c r="AY313" s="6" t="s">
        <v>21</v>
      </c>
      <c r="AZ313" s="37">
        <v>7</v>
      </c>
      <c r="BA313" s="37">
        <v>7</v>
      </c>
      <c r="BB313" s="37">
        <v>7</v>
      </c>
      <c r="BC313" s="37">
        <v>7</v>
      </c>
      <c r="BD313" s="37">
        <v>7</v>
      </c>
      <c r="BE313" s="37">
        <v>7</v>
      </c>
      <c r="BF313" s="37">
        <v>6</v>
      </c>
      <c r="BG313" s="37">
        <v>3</v>
      </c>
      <c r="BH313" s="37">
        <v>3</v>
      </c>
      <c r="BI313" s="37">
        <v>3</v>
      </c>
      <c r="BJ313" s="37">
        <v>3</v>
      </c>
      <c r="BK313" s="37">
        <v>3</v>
      </c>
      <c r="BL313" s="37">
        <v>3</v>
      </c>
      <c r="BM313" s="37">
        <v>5</v>
      </c>
      <c r="BN313" s="37">
        <v>6</v>
      </c>
      <c r="BO313" s="37">
        <v>6</v>
      </c>
      <c r="BP313" s="37">
        <v>7</v>
      </c>
      <c r="BQ313" s="37">
        <v>7</v>
      </c>
      <c r="BR313" s="37">
        <v>7</v>
      </c>
      <c r="BS313" s="37">
        <v>7</v>
      </c>
      <c r="BT313" s="37">
        <v>7</v>
      </c>
    </row>
    <row r="314" spans="5:72" x14ac:dyDescent="0.25">
      <c r="F314" s="6">
        <f t="shared" si="85"/>
        <v>0</v>
      </c>
      <c r="G314" s="6">
        <f t="shared" si="86"/>
        <v>0</v>
      </c>
      <c r="H314" s="6">
        <f t="shared" si="87"/>
        <v>0</v>
      </c>
      <c r="I314" s="6">
        <f t="shared" si="88"/>
        <v>0</v>
      </c>
      <c r="J314" s="6">
        <f t="shared" si="89"/>
        <v>0</v>
      </c>
      <c r="K314" s="6">
        <f t="shared" si="90"/>
        <v>0</v>
      </c>
      <c r="L314" s="6">
        <f t="shared" si="91"/>
        <v>0</v>
      </c>
      <c r="M314" s="6">
        <f t="shared" si="92"/>
        <v>0</v>
      </c>
      <c r="N314" s="6">
        <f t="shared" si="93"/>
        <v>0</v>
      </c>
      <c r="O314" s="6">
        <f t="shared" si="94"/>
        <v>0</v>
      </c>
      <c r="P314" s="6">
        <f t="shared" si="95"/>
        <v>0</v>
      </c>
      <c r="Q314" s="6">
        <f t="shared" si="96"/>
        <v>0</v>
      </c>
      <c r="R314" s="6">
        <f t="shared" si="97"/>
        <v>0</v>
      </c>
      <c r="S314" s="6">
        <f t="shared" si="98"/>
        <v>0</v>
      </c>
      <c r="T314" s="6">
        <f t="shared" si="99"/>
        <v>0</v>
      </c>
      <c r="U314" s="6">
        <f t="shared" si="100"/>
        <v>0</v>
      </c>
      <c r="V314" s="6">
        <f t="shared" si="101"/>
        <v>0</v>
      </c>
      <c r="W314" s="6">
        <f t="shared" si="102"/>
        <v>0</v>
      </c>
      <c r="X314" s="6">
        <f t="shared" si="103"/>
        <v>0</v>
      </c>
      <c r="Y314" s="6">
        <f t="shared" si="104"/>
        <v>0</v>
      </c>
      <c r="Z314" s="6">
        <f t="shared" si="105"/>
        <v>0</v>
      </c>
      <c r="AB314" s="36" t="str">
        <f>IF(最佳化斷筋點!C314="","",最佳化斷筋點!C314)</f>
        <v/>
      </c>
      <c r="AC314" s="37" t="str">
        <f>IF(最佳化斷筋點!D314="","",最佳化斷筋點!D314)</f>
        <v/>
      </c>
      <c r="AD314" s="37" t="str">
        <f>IF(最佳化斷筋點!E314="","",最佳化斷筋點!E314)</f>
        <v/>
      </c>
      <c r="AE314" s="37" t="str">
        <f>IF(最佳化斷筋點!F314="","",最佳化斷筋點!F314)</f>
        <v/>
      </c>
      <c r="AF314" s="37" t="str">
        <f>IF(最佳化斷筋點!G314="","",最佳化斷筋點!G314)</f>
        <v/>
      </c>
      <c r="AG314" s="37" t="str">
        <f>IF(最佳化斷筋點!H314="","",最佳化斷筋點!H314)</f>
        <v/>
      </c>
      <c r="AH314" s="37" t="str">
        <f>IF(最佳化斷筋點!I314="","",最佳化斷筋點!I314)</f>
        <v/>
      </c>
      <c r="AI314" s="37" t="str">
        <f>IF(最佳化斷筋點!J314="","",最佳化斷筋點!J314)</f>
        <v/>
      </c>
      <c r="AJ314" s="37" t="str">
        <f>IF(最佳化斷筋點!K314="","",最佳化斷筋點!K314)</f>
        <v/>
      </c>
      <c r="AK314" s="37" t="str">
        <f>IF(最佳化斷筋點!L314="","",最佳化斷筋點!L314)</f>
        <v/>
      </c>
      <c r="AL314" s="37" t="str">
        <f>IF(最佳化斷筋點!M314="","",最佳化斷筋點!M314)</f>
        <v/>
      </c>
      <c r="AM314" s="37" t="str">
        <f>IF(最佳化斷筋點!N314="","",最佳化斷筋點!N314)</f>
        <v/>
      </c>
      <c r="AN314" s="37" t="str">
        <f>IF(最佳化斷筋點!O314="","",最佳化斷筋點!O314)</f>
        <v/>
      </c>
      <c r="AO314" s="37" t="str">
        <f>IF(最佳化斷筋點!P314="","",最佳化斷筋點!P314)</f>
        <v/>
      </c>
      <c r="AP314" s="37" t="str">
        <f>IF(最佳化斷筋點!Q314="","",最佳化斷筋點!Q314)</f>
        <v/>
      </c>
      <c r="AQ314" s="37" t="str">
        <f>IF(最佳化斷筋點!R314="","",最佳化斷筋點!R314)</f>
        <v/>
      </c>
      <c r="AR314" s="37" t="str">
        <f>IF(最佳化斷筋點!S314="","",最佳化斷筋點!S314)</f>
        <v/>
      </c>
      <c r="AS314" s="37" t="str">
        <f>IF(最佳化斷筋點!T314="","",最佳化斷筋點!T314)</f>
        <v/>
      </c>
      <c r="AT314" s="37" t="str">
        <f>IF(最佳化斷筋點!U314="","",最佳化斷筋點!U314)</f>
        <v/>
      </c>
      <c r="AU314" s="37" t="str">
        <f>IF(最佳化斷筋點!V314="","",最佳化斷筋點!V314)</f>
        <v/>
      </c>
      <c r="AV314" s="37" t="str">
        <f>IF(最佳化斷筋點!W314="","",最佳化斷筋點!W314)</f>
        <v/>
      </c>
      <c r="AW314" s="37" t="str">
        <f>IF(最佳化斷筋點!X314="","",最佳化斷筋點!X314)</f>
        <v/>
      </c>
      <c r="AZ314" s="37" t="s">
        <v>197</v>
      </c>
      <c r="BA314" s="37" t="s">
        <v>197</v>
      </c>
      <c r="BB314" s="37" t="s">
        <v>197</v>
      </c>
      <c r="BC314" s="37" t="s">
        <v>197</v>
      </c>
      <c r="BD314" s="37" t="s">
        <v>197</v>
      </c>
      <c r="BE314" s="37" t="s">
        <v>197</v>
      </c>
      <c r="BF314" s="37" t="s">
        <v>197</v>
      </c>
      <c r="BG314" s="37" t="s">
        <v>197</v>
      </c>
      <c r="BH314" s="37" t="s">
        <v>197</v>
      </c>
      <c r="BI314" s="37" t="s">
        <v>197</v>
      </c>
      <c r="BJ314" s="37" t="s">
        <v>197</v>
      </c>
      <c r="BK314" s="37" t="s">
        <v>197</v>
      </c>
      <c r="BL314" s="37" t="s">
        <v>197</v>
      </c>
      <c r="BM314" s="37" t="s">
        <v>197</v>
      </c>
      <c r="BN314" s="37" t="s">
        <v>197</v>
      </c>
      <c r="BO314" s="37" t="s">
        <v>197</v>
      </c>
      <c r="BP314" s="37" t="s">
        <v>197</v>
      </c>
      <c r="BQ314" s="37" t="s">
        <v>197</v>
      </c>
      <c r="BR314" s="37" t="s">
        <v>197</v>
      </c>
      <c r="BS314" s="37" t="s">
        <v>197</v>
      </c>
      <c r="BT314" s="37" t="s">
        <v>197</v>
      </c>
    </row>
    <row r="315" spans="5:72" x14ac:dyDescent="0.25">
      <c r="E315" s="6" t="s">
        <v>20</v>
      </c>
      <c r="F315" s="6">
        <f t="shared" si="85"/>
        <v>0</v>
      </c>
      <c r="G315" s="6">
        <f t="shared" si="86"/>
        <v>0</v>
      </c>
      <c r="H315" s="6">
        <f t="shared" si="87"/>
        <v>0</v>
      </c>
      <c r="I315" s="6">
        <f t="shared" si="88"/>
        <v>0</v>
      </c>
      <c r="J315" s="6">
        <f t="shared" si="89"/>
        <v>0</v>
      </c>
      <c r="K315" s="6">
        <f t="shared" si="90"/>
        <v>0</v>
      </c>
      <c r="L315" s="6">
        <f t="shared" si="91"/>
        <v>0</v>
      </c>
      <c r="M315" s="6">
        <f t="shared" si="92"/>
        <v>0</v>
      </c>
      <c r="N315" s="6">
        <f t="shared" si="93"/>
        <v>0</v>
      </c>
      <c r="O315" s="6">
        <f t="shared" si="94"/>
        <v>0</v>
      </c>
      <c r="P315" s="6">
        <f t="shared" si="95"/>
        <v>0</v>
      </c>
      <c r="Q315" s="6">
        <f t="shared" si="96"/>
        <v>0</v>
      </c>
      <c r="R315" s="6">
        <f t="shared" si="97"/>
        <v>0</v>
      </c>
      <c r="S315" s="6">
        <f t="shared" si="98"/>
        <v>0</v>
      </c>
      <c r="T315" s="6">
        <f t="shared" si="99"/>
        <v>0</v>
      </c>
      <c r="U315" s="6">
        <f t="shared" si="100"/>
        <v>0</v>
      </c>
      <c r="V315" s="6">
        <f t="shared" si="101"/>
        <v>0</v>
      </c>
      <c r="W315" s="6">
        <f t="shared" si="102"/>
        <v>0</v>
      </c>
      <c r="X315" s="6">
        <f t="shared" si="103"/>
        <v>0</v>
      </c>
      <c r="Y315" s="6">
        <f t="shared" si="104"/>
        <v>0</v>
      </c>
      <c r="Z315" s="6">
        <f t="shared" si="105"/>
        <v>0</v>
      </c>
      <c r="AB315" s="36" t="str">
        <f>IF(最佳化斷筋點!C315="","",最佳化斷筋點!C315)</f>
        <v>上層</v>
      </c>
      <c r="AC315" s="37">
        <f>IF(最佳化斷筋點!D315="","",最佳化斷筋點!D315)</f>
        <v>10</v>
      </c>
      <c r="AD315" s="37">
        <f>IF(最佳化斷筋點!E315="","",最佳化斷筋點!E315)</f>
        <v>10</v>
      </c>
      <c r="AE315" s="37">
        <f>IF(最佳化斷筋點!F315="","",最佳化斷筋點!F315)</f>
        <v>10</v>
      </c>
      <c r="AF315" s="37">
        <f>IF(最佳化斷筋點!G315="","",最佳化斷筋點!G315)</f>
        <v>10</v>
      </c>
      <c r="AG315" s="37">
        <f>IF(最佳化斷筋點!H315="","",最佳化斷筋點!H315)</f>
        <v>10</v>
      </c>
      <c r="AH315" s="37">
        <f>IF(最佳化斷筋點!I315="","",最佳化斷筋點!I315)</f>
        <v>10</v>
      </c>
      <c r="AI315" s="37">
        <f>IF(最佳化斷筋點!J315="","",最佳化斷筋點!J315)</f>
        <v>10</v>
      </c>
      <c r="AJ315" s="37">
        <f>IF(最佳化斷筋點!K315="","",最佳化斷筋點!K315)</f>
        <v>4</v>
      </c>
      <c r="AK315" s="37">
        <f>IF(最佳化斷筋點!L315="","",最佳化斷筋點!L315)</f>
        <v>4</v>
      </c>
      <c r="AL315" s="37">
        <f>IF(最佳化斷筋點!M315="","",最佳化斷筋點!M315)</f>
        <v>4</v>
      </c>
      <c r="AM315" s="37">
        <f>IF(最佳化斷筋點!N315="","",最佳化斷筋點!N315)</f>
        <v>4</v>
      </c>
      <c r="AN315" s="37">
        <f>IF(最佳化斷筋點!O315="","",最佳化斷筋點!O315)</f>
        <v>4</v>
      </c>
      <c r="AO315" s="37">
        <f>IF(最佳化斷筋點!P315="","",最佳化斷筋點!P315)</f>
        <v>4</v>
      </c>
      <c r="AP315" s="37">
        <f>IF(最佳化斷筋點!Q315="","",最佳化斷筋點!Q315)</f>
        <v>5</v>
      </c>
      <c r="AQ315" s="37">
        <f>IF(最佳化斷筋點!R315="","",最佳化斷筋點!R315)</f>
        <v>5</v>
      </c>
      <c r="AR315" s="37">
        <f>IF(最佳化斷筋點!S315="","",最佳化斷筋點!S315)</f>
        <v>6</v>
      </c>
      <c r="AS315" s="37">
        <f>IF(最佳化斷筋點!T315="","",最佳化斷筋點!T315)</f>
        <v>6</v>
      </c>
      <c r="AT315" s="37">
        <f>IF(最佳化斷筋點!U315="","",最佳化斷筋點!U315)</f>
        <v>6</v>
      </c>
      <c r="AU315" s="37">
        <f>IF(最佳化斷筋點!V315="","",最佳化斷筋點!V315)</f>
        <v>6</v>
      </c>
      <c r="AV315" s="37">
        <f>IF(最佳化斷筋點!W315="","",最佳化斷筋點!W315)</f>
        <v>6</v>
      </c>
      <c r="AW315" s="37">
        <f>IF(最佳化斷筋點!X315="","",最佳化斷筋點!X315)</f>
        <v>6</v>
      </c>
      <c r="AY315" s="6" t="s">
        <v>20</v>
      </c>
      <c r="AZ315" s="37">
        <v>10</v>
      </c>
      <c r="BA315" s="37">
        <v>10</v>
      </c>
      <c r="BB315" s="37">
        <v>10</v>
      </c>
      <c r="BC315" s="37">
        <v>10</v>
      </c>
      <c r="BD315" s="37">
        <v>10</v>
      </c>
      <c r="BE315" s="37">
        <v>10</v>
      </c>
      <c r="BF315" s="37">
        <v>10</v>
      </c>
      <c r="BG315" s="37">
        <v>4</v>
      </c>
      <c r="BH315" s="37">
        <v>4</v>
      </c>
      <c r="BI315" s="37">
        <v>4</v>
      </c>
      <c r="BJ315" s="37">
        <v>4</v>
      </c>
      <c r="BK315" s="37">
        <v>4</v>
      </c>
      <c r="BL315" s="37">
        <v>4</v>
      </c>
      <c r="BM315" s="37">
        <v>5</v>
      </c>
      <c r="BN315" s="37">
        <v>5</v>
      </c>
      <c r="BO315" s="37">
        <v>6</v>
      </c>
      <c r="BP315" s="37">
        <v>6</v>
      </c>
      <c r="BQ315" s="37">
        <v>6</v>
      </c>
      <c r="BR315" s="37">
        <v>6</v>
      </c>
      <c r="BS315" s="37">
        <v>6</v>
      </c>
      <c r="BT315" s="37">
        <v>6</v>
      </c>
    </row>
    <row r="316" spans="5:72" x14ac:dyDescent="0.25">
      <c r="F316" s="6">
        <f t="shared" si="85"/>
        <v>0</v>
      </c>
      <c r="G316" s="6">
        <f t="shared" si="86"/>
        <v>0</v>
      </c>
      <c r="H316" s="6">
        <f t="shared" si="87"/>
        <v>0</v>
      </c>
      <c r="I316" s="6">
        <f t="shared" si="88"/>
        <v>0</v>
      </c>
      <c r="J316" s="6">
        <f t="shared" si="89"/>
        <v>0</v>
      </c>
      <c r="K316" s="6">
        <f t="shared" si="90"/>
        <v>0</v>
      </c>
      <c r="L316" s="6">
        <f t="shared" si="91"/>
        <v>0</v>
      </c>
      <c r="M316" s="6">
        <f t="shared" si="92"/>
        <v>0</v>
      </c>
      <c r="N316" s="6">
        <f t="shared" si="93"/>
        <v>0</v>
      </c>
      <c r="O316" s="6">
        <f t="shared" si="94"/>
        <v>0</v>
      </c>
      <c r="P316" s="6">
        <f t="shared" si="95"/>
        <v>0</v>
      </c>
      <c r="Q316" s="6">
        <f t="shared" si="96"/>
        <v>0</v>
      </c>
      <c r="R316" s="6">
        <f t="shared" si="97"/>
        <v>0</v>
      </c>
      <c r="S316" s="6">
        <f t="shared" si="98"/>
        <v>0</v>
      </c>
      <c r="T316" s="6">
        <f t="shared" si="99"/>
        <v>0</v>
      </c>
      <c r="U316" s="6">
        <f t="shared" si="100"/>
        <v>0</v>
      </c>
      <c r="V316" s="6">
        <f t="shared" si="101"/>
        <v>0</v>
      </c>
      <c r="W316" s="6">
        <f t="shared" si="102"/>
        <v>0</v>
      </c>
      <c r="X316" s="6">
        <f t="shared" si="103"/>
        <v>0</v>
      </c>
      <c r="Y316" s="6">
        <f t="shared" si="104"/>
        <v>0</v>
      </c>
      <c r="Z316" s="6">
        <f t="shared" si="105"/>
        <v>0</v>
      </c>
      <c r="AB316" s="36" t="str">
        <f>IF(最佳化斷筋點!C316="","",最佳化斷筋點!C316)</f>
        <v/>
      </c>
      <c r="AC316" s="37" t="str">
        <f>IF(最佳化斷筋點!D316="","",最佳化斷筋點!D316)</f>
        <v/>
      </c>
      <c r="AD316" s="37" t="str">
        <f>IF(最佳化斷筋點!E316="","",最佳化斷筋點!E316)</f>
        <v/>
      </c>
      <c r="AE316" s="37" t="str">
        <f>IF(最佳化斷筋點!F316="","",最佳化斷筋點!F316)</f>
        <v/>
      </c>
      <c r="AF316" s="37" t="str">
        <f>IF(最佳化斷筋點!G316="","",最佳化斷筋點!G316)</f>
        <v/>
      </c>
      <c r="AG316" s="37" t="str">
        <f>IF(最佳化斷筋點!H316="","",最佳化斷筋點!H316)</f>
        <v/>
      </c>
      <c r="AH316" s="37" t="str">
        <f>IF(最佳化斷筋點!I316="","",最佳化斷筋點!I316)</f>
        <v/>
      </c>
      <c r="AI316" s="37" t="str">
        <f>IF(最佳化斷筋點!J316="","",最佳化斷筋點!J316)</f>
        <v/>
      </c>
      <c r="AJ316" s="37" t="str">
        <f>IF(最佳化斷筋點!K316="","",最佳化斷筋點!K316)</f>
        <v/>
      </c>
      <c r="AK316" s="37" t="str">
        <f>IF(最佳化斷筋點!L316="","",最佳化斷筋點!L316)</f>
        <v/>
      </c>
      <c r="AL316" s="37" t="str">
        <f>IF(最佳化斷筋點!M316="","",最佳化斷筋點!M316)</f>
        <v/>
      </c>
      <c r="AM316" s="37" t="str">
        <f>IF(最佳化斷筋點!N316="","",最佳化斷筋點!N316)</f>
        <v/>
      </c>
      <c r="AN316" s="37" t="str">
        <f>IF(最佳化斷筋點!O316="","",最佳化斷筋點!O316)</f>
        <v/>
      </c>
      <c r="AO316" s="37" t="str">
        <f>IF(最佳化斷筋點!P316="","",最佳化斷筋點!P316)</f>
        <v/>
      </c>
      <c r="AP316" s="37" t="str">
        <f>IF(最佳化斷筋點!Q316="","",最佳化斷筋點!Q316)</f>
        <v/>
      </c>
      <c r="AQ316" s="37" t="str">
        <f>IF(最佳化斷筋點!R316="","",最佳化斷筋點!R316)</f>
        <v/>
      </c>
      <c r="AR316" s="37" t="str">
        <f>IF(最佳化斷筋點!S316="","",最佳化斷筋點!S316)</f>
        <v/>
      </c>
      <c r="AS316" s="37" t="str">
        <f>IF(最佳化斷筋點!T316="","",最佳化斷筋點!T316)</f>
        <v/>
      </c>
      <c r="AT316" s="37" t="str">
        <f>IF(最佳化斷筋點!U316="","",最佳化斷筋點!U316)</f>
        <v/>
      </c>
      <c r="AU316" s="37" t="str">
        <f>IF(最佳化斷筋點!V316="","",最佳化斷筋點!V316)</f>
        <v/>
      </c>
      <c r="AV316" s="37" t="str">
        <f>IF(最佳化斷筋點!W316="","",最佳化斷筋點!W316)</f>
        <v/>
      </c>
      <c r="AW316" s="37" t="str">
        <f>IF(最佳化斷筋點!X316="","",最佳化斷筋點!X316)</f>
        <v/>
      </c>
      <c r="AZ316" s="37" t="s">
        <v>197</v>
      </c>
      <c r="BA316" s="37" t="s">
        <v>197</v>
      </c>
      <c r="BB316" s="37" t="s">
        <v>197</v>
      </c>
      <c r="BC316" s="37" t="s">
        <v>197</v>
      </c>
      <c r="BD316" s="37" t="s">
        <v>197</v>
      </c>
      <c r="BE316" s="37" t="s">
        <v>197</v>
      </c>
      <c r="BF316" s="37" t="s">
        <v>197</v>
      </c>
      <c r="BG316" s="37" t="s">
        <v>197</v>
      </c>
      <c r="BH316" s="37" t="s">
        <v>197</v>
      </c>
      <c r="BI316" s="37" t="s">
        <v>197</v>
      </c>
      <c r="BJ316" s="37" t="s">
        <v>197</v>
      </c>
      <c r="BK316" s="37" t="s">
        <v>197</v>
      </c>
      <c r="BL316" s="37" t="s">
        <v>197</v>
      </c>
      <c r="BM316" s="37" t="s">
        <v>197</v>
      </c>
      <c r="BN316" s="37" t="s">
        <v>197</v>
      </c>
      <c r="BO316" s="37" t="s">
        <v>197</v>
      </c>
      <c r="BP316" s="37" t="s">
        <v>197</v>
      </c>
      <c r="BQ316" s="37" t="s">
        <v>197</v>
      </c>
      <c r="BR316" s="37" t="s">
        <v>197</v>
      </c>
      <c r="BS316" s="37" t="s">
        <v>197</v>
      </c>
      <c r="BT316" s="37" t="s">
        <v>197</v>
      </c>
    </row>
    <row r="317" spans="5:72" x14ac:dyDescent="0.25">
      <c r="E317" s="6" t="s">
        <v>21</v>
      </c>
      <c r="F317" s="6">
        <f t="shared" si="85"/>
        <v>0</v>
      </c>
      <c r="G317" s="6">
        <f t="shared" si="86"/>
        <v>0</v>
      </c>
      <c r="H317" s="6">
        <f t="shared" si="87"/>
        <v>0</v>
      </c>
      <c r="I317" s="6">
        <f t="shared" si="88"/>
        <v>0</v>
      </c>
      <c r="J317" s="6">
        <f t="shared" si="89"/>
        <v>0</v>
      </c>
      <c r="K317" s="6">
        <f t="shared" si="90"/>
        <v>0</v>
      </c>
      <c r="L317" s="6">
        <f t="shared" si="91"/>
        <v>0</v>
      </c>
      <c r="M317" s="6">
        <f t="shared" si="92"/>
        <v>0</v>
      </c>
      <c r="N317" s="6">
        <f t="shared" si="93"/>
        <v>0</v>
      </c>
      <c r="O317" s="6">
        <f t="shared" si="94"/>
        <v>0</v>
      </c>
      <c r="P317" s="6">
        <f t="shared" si="95"/>
        <v>0</v>
      </c>
      <c r="Q317" s="6">
        <f t="shared" si="96"/>
        <v>0</v>
      </c>
      <c r="R317" s="6">
        <f t="shared" si="97"/>
        <v>0</v>
      </c>
      <c r="S317" s="6">
        <f t="shared" si="98"/>
        <v>0</v>
      </c>
      <c r="T317" s="6">
        <f t="shared" si="99"/>
        <v>0</v>
      </c>
      <c r="U317" s="6">
        <f t="shared" si="100"/>
        <v>0</v>
      </c>
      <c r="V317" s="6">
        <f t="shared" si="101"/>
        <v>0</v>
      </c>
      <c r="W317" s="6">
        <f t="shared" si="102"/>
        <v>0</v>
      </c>
      <c r="X317" s="6">
        <f t="shared" si="103"/>
        <v>0</v>
      </c>
      <c r="Y317" s="6">
        <f t="shared" si="104"/>
        <v>0</v>
      </c>
      <c r="Z317" s="6">
        <f t="shared" si="105"/>
        <v>0</v>
      </c>
      <c r="AB317" s="36" t="str">
        <f>IF(最佳化斷筋點!C317="","",最佳化斷筋點!C317)</f>
        <v>下層</v>
      </c>
      <c r="AC317" s="37">
        <f>IF(最佳化斷筋點!D317="","",最佳化斷筋點!D317)</f>
        <v>5</v>
      </c>
      <c r="AD317" s="37">
        <f>IF(最佳化斷筋點!E317="","",最佳化斷筋點!E317)</f>
        <v>5</v>
      </c>
      <c r="AE317" s="37">
        <f>IF(最佳化斷筋點!F317="","",最佳化斷筋點!F317)</f>
        <v>5</v>
      </c>
      <c r="AF317" s="37">
        <f>IF(最佳化斷筋點!G317="","",最佳化斷筋點!G317)</f>
        <v>5</v>
      </c>
      <c r="AG317" s="37">
        <f>IF(最佳化斷筋點!H317="","",最佳化斷筋點!H317)</f>
        <v>5</v>
      </c>
      <c r="AH317" s="37">
        <f>IF(最佳化斷筋點!I317="","",最佳化斷筋點!I317)</f>
        <v>5</v>
      </c>
      <c r="AI317" s="37">
        <f>IF(最佳化斷筋點!J317="","",最佳化斷筋點!J317)</f>
        <v>4</v>
      </c>
      <c r="AJ317" s="37">
        <f>IF(最佳化斷筋點!K317="","",最佳化斷筋點!K317)</f>
        <v>3</v>
      </c>
      <c r="AK317" s="37">
        <f>IF(最佳化斷筋點!L317="","",最佳化斷筋點!L317)</f>
        <v>3</v>
      </c>
      <c r="AL317" s="37">
        <f>IF(最佳化斷筋點!M317="","",最佳化斷筋點!M317)</f>
        <v>3</v>
      </c>
      <c r="AM317" s="37">
        <f>IF(最佳化斷筋點!N317="","",最佳化斷筋點!N317)</f>
        <v>3</v>
      </c>
      <c r="AN317" s="37">
        <f>IF(最佳化斷筋點!O317="","",最佳化斷筋點!O317)</f>
        <v>3</v>
      </c>
      <c r="AO317" s="37">
        <f>IF(最佳化斷筋點!P317="","",最佳化斷筋點!P317)</f>
        <v>3</v>
      </c>
      <c r="AP317" s="37">
        <f>IF(最佳化斷筋點!Q317="","",最佳化斷筋點!Q317)</f>
        <v>4</v>
      </c>
      <c r="AQ317" s="37">
        <f>IF(最佳化斷筋點!R317="","",最佳化斷筋點!R317)</f>
        <v>5</v>
      </c>
      <c r="AR317" s="37">
        <f>IF(最佳化斷筋點!S317="","",最佳化斷筋點!S317)</f>
        <v>6</v>
      </c>
      <c r="AS317" s="37">
        <f>IF(最佳化斷筋點!T317="","",最佳化斷筋點!T317)</f>
        <v>6</v>
      </c>
      <c r="AT317" s="37">
        <f>IF(最佳化斷筋點!U317="","",最佳化斷筋點!U317)</f>
        <v>7</v>
      </c>
      <c r="AU317" s="37">
        <f>IF(最佳化斷筋點!V317="","",最佳化斷筋點!V317)</f>
        <v>7</v>
      </c>
      <c r="AV317" s="37">
        <f>IF(最佳化斷筋點!W317="","",最佳化斷筋點!W317)</f>
        <v>7</v>
      </c>
      <c r="AW317" s="37">
        <f>IF(最佳化斷筋點!X317="","",最佳化斷筋點!X317)</f>
        <v>7</v>
      </c>
      <c r="AY317" s="6" t="s">
        <v>21</v>
      </c>
      <c r="AZ317" s="37">
        <v>5</v>
      </c>
      <c r="BA317" s="37">
        <v>5</v>
      </c>
      <c r="BB317" s="37">
        <v>5</v>
      </c>
      <c r="BC317" s="37">
        <v>5</v>
      </c>
      <c r="BD317" s="37">
        <v>5</v>
      </c>
      <c r="BE317" s="37">
        <v>5</v>
      </c>
      <c r="BF317" s="37">
        <v>4</v>
      </c>
      <c r="BG317" s="37">
        <v>3</v>
      </c>
      <c r="BH317" s="37">
        <v>3</v>
      </c>
      <c r="BI317" s="37">
        <v>3</v>
      </c>
      <c r="BJ317" s="37">
        <v>3</v>
      </c>
      <c r="BK317" s="37">
        <v>3</v>
      </c>
      <c r="BL317" s="37">
        <v>3</v>
      </c>
      <c r="BM317" s="37">
        <v>4</v>
      </c>
      <c r="BN317" s="37">
        <v>5</v>
      </c>
      <c r="BO317" s="37">
        <v>6</v>
      </c>
      <c r="BP317" s="37">
        <v>6</v>
      </c>
      <c r="BQ317" s="37">
        <v>7</v>
      </c>
      <c r="BR317" s="37">
        <v>7</v>
      </c>
      <c r="BS317" s="37">
        <v>7</v>
      </c>
      <c r="BT317" s="37">
        <v>7</v>
      </c>
    </row>
    <row r="318" spans="5:72" x14ac:dyDescent="0.25">
      <c r="F318" s="6">
        <f t="shared" si="85"/>
        <v>0</v>
      </c>
      <c r="G318" s="6">
        <f t="shared" si="86"/>
        <v>0</v>
      </c>
      <c r="H318" s="6">
        <f t="shared" si="87"/>
        <v>0</v>
      </c>
      <c r="I318" s="6">
        <f t="shared" si="88"/>
        <v>0</v>
      </c>
      <c r="J318" s="6">
        <f t="shared" si="89"/>
        <v>0</v>
      </c>
      <c r="K318" s="6">
        <f t="shared" si="90"/>
        <v>0</v>
      </c>
      <c r="L318" s="6">
        <f t="shared" si="91"/>
        <v>0</v>
      </c>
      <c r="M318" s="6">
        <f t="shared" si="92"/>
        <v>0</v>
      </c>
      <c r="N318" s="6">
        <f t="shared" si="93"/>
        <v>0</v>
      </c>
      <c r="O318" s="6">
        <f t="shared" si="94"/>
        <v>0</v>
      </c>
      <c r="P318" s="6">
        <f t="shared" si="95"/>
        <v>0</v>
      </c>
      <c r="Q318" s="6">
        <f t="shared" si="96"/>
        <v>0</v>
      </c>
      <c r="R318" s="6">
        <f t="shared" si="97"/>
        <v>0</v>
      </c>
      <c r="S318" s="6">
        <f t="shared" si="98"/>
        <v>0</v>
      </c>
      <c r="T318" s="6">
        <f t="shared" si="99"/>
        <v>0</v>
      </c>
      <c r="U318" s="6">
        <f t="shared" si="100"/>
        <v>0</v>
      </c>
      <c r="V318" s="6">
        <f t="shared" si="101"/>
        <v>0</v>
      </c>
      <c r="W318" s="6">
        <f t="shared" si="102"/>
        <v>0</v>
      </c>
      <c r="X318" s="6">
        <f t="shared" si="103"/>
        <v>0</v>
      </c>
      <c r="Y318" s="6">
        <f t="shared" si="104"/>
        <v>0</v>
      </c>
      <c r="Z318" s="6">
        <f t="shared" si="105"/>
        <v>0</v>
      </c>
      <c r="AB318" s="36" t="str">
        <f>IF(最佳化斷筋點!C318="","",最佳化斷筋點!C318)</f>
        <v/>
      </c>
      <c r="AC318" s="37" t="str">
        <f>IF(最佳化斷筋點!D318="","",最佳化斷筋點!D318)</f>
        <v/>
      </c>
      <c r="AD318" s="37" t="str">
        <f>IF(最佳化斷筋點!E318="","",最佳化斷筋點!E318)</f>
        <v/>
      </c>
      <c r="AE318" s="37" t="str">
        <f>IF(最佳化斷筋點!F318="","",最佳化斷筋點!F318)</f>
        <v/>
      </c>
      <c r="AF318" s="37" t="str">
        <f>IF(最佳化斷筋點!G318="","",最佳化斷筋點!G318)</f>
        <v/>
      </c>
      <c r="AG318" s="37" t="str">
        <f>IF(最佳化斷筋點!H318="","",最佳化斷筋點!H318)</f>
        <v/>
      </c>
      <c r="AH318" s="37" t="str">
        <f>IF(最佳化斷筋點!I318="","",最佳化斷筋點!I318)</f>
        <v/>
      </c>
      <c r="AI318" s="37" t="str">
        <f>IF(最佳化斷筋點!J318="","",最佳化斷筋點!J318)</f>
        <v/>
      </c>
      <c r="AJ318" s="37" t="str">
        <f>IF(最佳化斷筋點!K318="","",最佳化斷筋點!K318)</f>
        <v/>
      </c>
      <c r="AK318" s="37" t="str">
        <f>IF(最佳化斷筋點!L318="","",最佳化斷筋點!L318)</f>
        <v/>
      </c>
      <c r="AL318" s="37" t="str">
        <f>IF(最佳化斷筋點!M318="","",最佳化斷筋點!M318)</f>
        <v/>
      </c>
      <c r="AM318" s="37" t="str">
        <f>IF(最佳化斷筋點!N318="","",最佳化斷筋點!N318)</f>
        <v/>
      </c>
      <c r="AN318" s="37" t="str">
        <f>IF(最佳化斷筋點!O318="","",最佳化斷筋點!O318)</f>
        <v/>
      </c>
      <c r="AO318" s="37" t="str">
        <f>IF(最佳化斷筋點!P318="","",最佳化斷筋點!P318)</f>
        <v/>
      </c>
      <c r="AP318" s="37" t="str">
        <f>IF(最佳化斷筋點!Q318="","",最佳化斷筋點!Q318)</f>
        <v/>
      </c>
      <c r="AQ318" s="37" t="str">
        <f>IF(最佳化斷筋點!R318="","",最佳化斷筋點!R318)</f>
        <v/>
      </c>
      <c r="AR318" s="37" t="str">
        <f>IF(最佳化斷筋點!S318="","",最佳化斷筋點!S318)</f>
        <v/>
      </c>
      <c r="AS318" s="37" t="str">
        <f>IF(最佳化斷筋點!T318="","",最佳化斷筋點!T318)</f>
        <v/>
      </c>
      <c r="AT318" s="37" t="str">
        <f>IF(最佳化斷筋點!U318="","",最佳化斷筋點!U318)</f>
        <v/>
      </c>
      <c r="AU318" s="37" t="str">
        <f>IF(最佳化斷筋點!V318="","",最佳化斷筋點!V318)</f>
        <v/>
      </c>
      <c r="AV318" s="37" t="str">
        <f>IF(最佳化斷筋點!W318="","",最佳化斷筋點!W318)</f>
        <v/>
      </c>
      <c r="AW318" s="37" t="str">
        <f>IF(最佳化斷筋點!X318="","",最佳化斷筋點!X318)</f>
        <v/>
      </c>
      <c r="AZ318" s="37" t="s">
        <v>197</v>
      </c>
      <c r="BA318" s="37" t="s">
        <v>197</v>
      </c>
      <c r="BB318" s="37" t="s">
        <v>197</v>
      </c>
      <c r="BC318" s="37" t="s">
        <v>197</v>
      </c>
      <c r="BD318" s="37" t="s">
        <v>197</v>
      </c>
      <c r="BE318" s="37" t="s">
        <v>197</v>
      </c>
      <c r="BF318" s="37" t="s">
        <v>197</v>
      </c>
      <c r="BG318" s="37" t="s">
        <v>197</v>
      </c>
      <c r="BH318" s="37" t="s">
        <v>197</v>
      </c>
      <c r="BI318" s="37" t="s">
        <v>197</v>
      </c>
      <c r="BJ318" s="37" t="s">
        <v>197</v>
      </c>
      <c r="BK318" s="37" t="s">
        <v>197</v>
      </c>
      <c r="BL318" s="37" t="s">
        <v>197</v>
      </c>
      <c r="BM318" s="37" t="s">
        <v>197</v>
      </c>
      <c r="BN318" s="37" t="s">
        <v>197</v>
      </c>
      <c r="BO318" s="37" t="s">
        <v>197</v>
      </c>
      <c r="BP318" s="37" t="s">
        <v>197</v>
      </c>
      <c r="BQ318" s="37" t="s">
        <v>197</v>
      </c>
      <c r="BR318" s="37" t="s">
        <v>197</v>
      </c>
      <c r="BS318" s="37" t="s">
        <v>197</v>
      </c>
      <c r="BT318" s="37" t="s">
        <v>197</v>
      </c>
    </row>
    <row r="319" spans="5:72" x14ac:dyDescent="0.25">
      <c r="E319" s="6" t="s">
        <v>20</v>
      </c>
      <c r="F319" s="6">
        <f t="shared" si="85"/>
        <v>0</v>
      </c>
      <c r="G319" s="6">
        <f t="shared" si="86"/>
        <v>0</v>
      </c>
      <c r="H319" s="6">
        <f t="shared" si="87"/>
        <v>0</v>
      </c>
      <c r="I319" s="6">
        <f t="shared" si="88"/>
        <v>0</v>
      </c>
      <c r="J319" s="6">
        <f t="shared" si="89"/>
        <v>0</v>
      </c>
      <c r="K319" s="6">
        <f t="shared" si="90"/>
        <v>0</v>
      </c>
      <c r="L319" s="6">
        <f t="shared" si="91"/>
        <v>0</v>
      </c>
      <c r="M319" s="6">
        <f t="shared" si="92"/>
        <v>0</v>
      </c>
      <c r="N319" s="6">
        <f t="shared" si="93"/>
        <v>0</v>
      </c>
      <c r="O319" s="6">
        <f t="shared" si="94"/>
        <v>0</v>
      </c>
      <c r="P319" s="6">
        <f t="shared" si="95"/>
        <v>0</v>
      </c>
      <c r="Q319" s="6">
        <f t="shared" si="96"/>
        <v>0</v>
      </c>
      <c r="R319" s="6">
        <f t="shared" si="97"/>
        <v>0</v>
      </c>
      <c r="S319" s="6">
        <f t="shared" si="98"/>
        <v>0</v>
      </c>
      <c r="T319" s="6">
        <f t="shared" si="99"/>
        <v>0</v>
      </c>
      <c r="U319" s="6">
        <f t="shared" si="100"/>
        <v>0</v>
      </c>
      <c r="V319" s="6">
        <f t="shared" si="101"/>
        <v>0</v>
      </c>
      <c r="W319" s="6">
        <f t="shared" si="102"/>
        <v>0</v>
      </c>
      <c r="X319" s="6">
        <f t="shared" si="103"/>
        <v>0</v>
      </c>
      <c r="Y319" s="6">
        <f t="shared" si="104"/>
        <v>0</v>
      </c>
      <c r="Z319" s="6">
        <f t="shared" si="105"/>
        <v>0</v>
      </c>
      <c r="AB319" s="36" t="str">
        <f>IF(最佳化斷筋點!C319="","",最佳化斷筋點!C319)</f>
        <v>上層</v>
      </c>
      <c r="AC319" s="37">
        <f>IF(最佳化斷筋點!D319="","",最佳化斷筋點!D319)</f>
        <v>10</v>
      </c>
      <c r="AD319" s="37">
        <f>IF(最佳化斷筋點!E319="","",最佳化斷筋點!E319)</f>
        <v>10</v>
      </c>
      <c r="AE319" s="37">
        <f>IF(最佳化斷筋點!F319="","",最佳化斷筋點!F319)</f>
        <v>10</v>
      </c>
      <c r="AF319" s="37">
        <f>IF(最佳化斷筋點!G319="","",最佳化斷筋點!G319)</f>
        <v>10</v>
      </c>
      <c r="AG319" s="37">
        <f>IF(最佳化斷筋點!H319="","",最佳化斷筋點!H319)</f>
        <v>10</v>
      </c>
      <c r="AH319" s="37">
        <f>IF(最佳化斷筋點!I319="","",最佳化斷筋點!I319)</f>
        <v>10</v>
      </c>
      <c r="AI319" s="37">
        <f>IF(最佳化斷筋點!J319="","",最佳化斷筋點!J319)</f>
        <v>10</v>
      </c>
      <c r="AJ319" s="37">
        <f>IF(最佳化斷筋點!K319="","",最佳化斷筋點!K319)</f>
        <v>4</v>
      </c>
      <c r="AK319" s="37">
        <f>IF(最佳化斷筋點!L319="","",最佳化斷筋點!L319)</f>
        <v>4</v>
      </c>
      <c r="AL319" s="37">
        <f>IF(最佳化斷筋點!M319="","",最佳化斷筋點!M319)</f>
        <v>4</v>
      </c>
      <c r="AM319" s="37">
        <f>IF(最佳化斷筋點!N319="","",最佳化斷筋點!N319)</f>
        <v>4</v>
      </c>
      <c r="AN319" s="37">
        <f>IF(最佳化斷筋點!O319="","",最佳化斷筋點!O319)</f>
        <v>4</v>
      </c>
      <c r="AO319" s="37">
        <f>IF(最佳化斷筋點!P319="","",最佳化斷筋點!P319)</f>
        <v>4</v>
      </c>
      <c r="AP319" s="37">
        <f>IF(最佳化斷筋點!Q319="","",最佳化斷筋點!Q319)</f>
        <v>7</v>
      </c>
      <c r="AQ319" s="37">
        <f>IF(最佳化斷筋點!R319="","",最佳化斷筋點!R319)</f>
        <v>8</v>
      </c>
      <c r="AR319" s="37">
        <f>IF(最佳化斷筋點!S319="","",最佳化斷筋點!S319)</f>
        <v>9</v>
      </c>
      <c r="AS319" s="37">
        <f>IF(最佳化斷筋點!T319="","",最佳化斷筋點!T319)</f>
        <v>9</v>
      </c>
      <c r="AT319" s="37">
        <f>IF(最佳化斷筋點!U319="","",最佳化斷筋點!U319)</f>
        <v>9</v>
      </c>
      <c r="AU319" s="37">
        <f>IF(最佳化斷筋點!V319="","",最佳化斷筋點!V319)</f>
        <v>9</v>
      </c>
      <c r="AV319" s="37">
        <f>IF(最佳化斷筋點!W319="","",最佳化斷筋點!W319)</f>
        <v>9</v>
      </c>
      <c r="AW319" s="37">
        <f>IF(最佳化斷筋點!X319="","",最佳化斷筋點!X319)</f>
        <v>9</v>
      </c>
      <c r="AY319" s="6" t="s">
        <v>20</v>
      </c>
      <c r="AZ319" s="37">
        <v>10</v>
      </c>
      <c r="BA319" s="37">
        <v>10</v>
      </c>
      <c r="BB319" s="37">
        <v>10</v>
      </c>
      <c r="BC319" s="37">
        <v>10</v>
      </c>
      <c r="BD319" s="37">
        <v>10</v>
      </c>
      <c r="BE319" s="37">
        <v>10</v>
      </c>
      <c r="BF319" s="37">
        <v>10</v>
      </c>
      <c r="BG319" s="37">
        <v>4</v>
      </c>
      <c r="BH319" s="37">
        <v>4</v>
      </c>
      <c r="BI319" s="37">
        <v>4</v>
      </c>
      <c r="BJ319" s="37">
        <v>4</v>
      </c>
      <c r="BK319" s="37">
        <v>4</v>
      </c>
      <c r="BL319" s="37">
        <v>4</v>
      </c>
      <c r="BM319" s="37">
        <v>7</v>
      </c>
      <c r="BN319" s="37">
        <v>8</v>
      </c>
      <c r="BO319" s="37">
        <v>9</v>
      </c>
      <c r="BP319" s="37">
        <v>9</v>
      </c>
      <c r="BQ319" s="37">
        <v>9</v>
      </c>
      <c r="BR319" s="37">
        <v>9</v>
      </c>
      <c r="BS319" s="37">
        <v>9</v>
      </c>
      <c r="BT319" s="37">
        <v>9</v>
      </c>
    </row>
    <row r="320" spans="5:72" x14ac:dyDescent="0.25">
      <c r="F320" s="6">
        <f t="shared" si="85"/>
        <v>0</v>
      </c>
      <c r="G320" s="6">
        <f t="shared" si="86"/>
        <v>0</v>
      </c>
      <c r="H320" s="6">
        <f t="shared" si="87"/>
        <v>0</v>
      </c>
      <c r="I320" s="6">
        <f t="shared" si="88"/>
        <v>0</v>
      </c>
      <c r="J320" s="6">
        <f t="shared" si="89"/>
        <v>0</v>
      </c>
      <c r="K320" s="6">
        <f t="shared" si="90"/>
        <v>0</v>
      </c>
      <c r="L320" s="6">
        <f t="shared" si="91"/>
        <v>0</v>
      </c>
      <c r="M320" s="6">
        <f t="shared" si="92"/>
        <v>0</v>
      </c>
      <c r="N320" s="6">
        <f t="shared" si="93"/>
        <v>0</v>
      </c>
      <c r="O320" s="6">
        <f t="shared" si="94"/>
        <v>0</v>
      </c>
      <c r="P320" s="6">
        <f t="shared" si="95"/>
        <v>0</v>
      </c>
      <c r="Q320" s="6">
        <f t="shared" si="96"/>
        <v>0</v>
      </c>
      <c r="R320" s="6">
        <f t="shared" si="97"/>
        <v>0</v>
      </c>
      <c r="S320" s="6">
        <f t="shared" si="98"/>
        <v>0</v>
      </c>
      <c r="T320" s="6">
        <f t="shared" si="99"/>
        <v>0</v>
      </c>
      <c r="U320" s="6">
        <f t="shared" si="100"/>
        <v>0</v>
      </c>
      <c r="V320" s="6">
        <f t="shared" si="101"/>
        <v>0</v>
      </c>
      <c r="W320" s="6">
        <f t="shared" si="102"/>
        <v>0</v>
      </c>
      <c r="X320" s="6">
        <f t="shared" si="103"/>
        <v>0</v>
      </c>
      <c r="Y320" s="6">
        <f t="shared" si="104"/>
        <v>0</v>
      </c>
      <c r="Z320" s="6">
        <f t="shared" si="105"/>
        <v>0</v>
      </c>
      <c r="AB320" s="36" t="str">
        <f>IF(最佳化斷筋點!C320="","",最佳化斷筋點!C320)</f>
        <v/>
      </c>
      <c r="AC320" s="37" t="str">
        <f>IF(最佳化斷筋點!D320="","",最佳化斷筋點!D320)</f>
        <v/>
      </c>
      <c r="AD320" s="37" t="str">
        <f>IF(最佳化斷筋點!E320="","",最佳化斷筋點!E320)</f>
        <v/>
      </c>
      <c r="AE320" s="37" t="str">
        <f>IF(最佳化斷筋點!F320="","",最佳化斷筋點!F320)</f>
        <v/>
      </c>
      <c r="AF320" s="37" t="str">
        <f>IF(最佳化斷筋點!G320="","",最佳化斷筋點!G320)</f>
        <v/>
      </c>
      <c r="AG320" s="37" t="str">
        <f>IF(最佳化斷筋點!H320="","",最佳化斷筋點!H320)</f>
        <v/>
      </c>
      <c r="AH320" s="37" t="str">
        <f>IF(最佳化斷筋點!I320="","",最佳化斷筋點!I320)</f>
        <v/>
      </c>
      <c r="AI320" s="37" t="str">
        <f>IF(最佳化斷筋點!J320="","",最佳化斷筋點!J320)</f>
        <v/>
      </c>
      <c r="AJ320" s="37" t="str">
        <f>IF(最佳化斷筋點!K320="","",最佳化斷筋點!K320)</f>
        <v/>
      </c>
      <c r="AK320" s="37" t="str">
        <f>IF(最佳化斷筋點!L320="","",最佳化斷筋點!L320)</f>
        <v/>
      </c>
      <c r="AL320" s="37" t="str">
        <f>IF(最佳化斷筋點!M320="","",最佳化斷筋點!M320)</f>
        <v/>
      </c>
      <c r="AM320" s="37" t="str">
        <f>IF(最佳化斷筋點!N320="","",最佳化斷筋點!N320)</f>
        <v/>
      </c>
      <c r="AN320" s="37" t="str">
        <f>IF(最佳化斷筋點!O320="","",最佳化斷筋點!O320)</f>
        <v/>
      </c>
      <c r="AO320" s="37" t="str">
        <f>IF(最佳化斷筋點!P320="","",最佳化斷筋點!P320)</f>
        <v/>
      </c>
      <c r="AP320" s="37" t="str">
        <f>IF(最佳化斷筋點!Q320="","",最佳化斷筋點!Q320)</f>
        <v/>
      </c>
      <c r="AQ320" s="37" t="str">
        <f>IF(最佳化斷筋點!R320="","",最佳化斷筋點!R320)</f>
        <v/>
      </c>
      <c r="AR320" s="37" t="str">
        <f>IF(最佳化斷筋點!S320="","",最佳化斷筋點!S320)</f>
        <v/>
      </c>
      <c r="AS320" s="37" t="str">
        <f>IF(最佳化斷筋點!T320="","",最佳化斷筋點!T320)</f>
        <v/>
      </c>
      <c r="AT320" s="37" t="str">
        <f>IF(最佳化斷筋點!U320="","",最佳化斷筋點!U320)</f>
        <v/>
      </c>
      <c r="AU320" s="37" t="str">
        <f>IF(最佳化斷筋點!V320="","",最佳化斷筋點!V320)</f>
        <v/>
      </c>
      <c r="AV320" s="37" t="str">
        <f>IF(最佳化斷筋點!W320="","",最佳化斷筋點!W320)</f>
        <v/>
      </c>
      <c r="AW320" s="37" t="str">
        <f>IF(最佳化斷筋點!X320="","",最佳化斷筋點!X320)</f>
        <v/>
      </c>
      <c r="AZ320" s="37" t="s">
        <v>197</v>
      </c>
      <c r="BA320" s="37" t="s">
        <v>197</v>
      </c>
      <c r="BB320" s="37" t="s">
        <v>197</v>
      </c>
      <c r="BC320" s="37" t="s">
        <v>197</v>
      </c>
      <c r="BD320" s="37" t="s">
        <v>197</v>
      </c>
      <c r="BE320" s="37" t="s">
        <v>197</v>
      </c>
      <c r="BF320" s="37" t="s">
        <v>197</v>
      </c>
      <c r="BG320" s="37" t="s">
        <v>197</v>
      </c>
      <c r="BH320" s="37" t="s">
        <v>197</v>
      </c>
      <c r="BI320" s="37" t="s">
        <v>197</v>
      </c>
      <c r="BJ320" s="37" t="s">
        <v>197</v>
      </c>
      <c r="BK320" s="37" t="s">
        <v>197</v>
      </c>
      <c r="BL320" s="37" t="s">
        <v>197</v>
      </c>
      <c r="BM320" s="37" t="s">
        <v>197</v>
      </c>
      <c r="BN320" s="37" t="s">
        <v>197</v>
      </c>
      <c r="BO320" s="37" t="s">
        <v>197</v>
      </c>
      <c r="BP320" s="37" t="s">
        <v>197</v>
      </c>
      <c r="BQ320" s="37" t="s">
        <v>197</v>
      </c>
      <c r="BR320" s="37" t="s">
        <v>197</v>
      </c>
      <c r="BS320" s="37" t="s">
        <v>197</v>
      </c>
      <c r="BT320" s="37" t="s">
        <v>197</v>
      </c>
    </row>
    <row r="321" spans="5:72" x14ac:dyDescent="0.25">
      <c r="E321" s="6" t="s">
        <v>21</v>
      </c>
      <c r="F321" s="6">
        <f t="shared" si="85"/>
        <v>0</v>
      </c>
      <c r="G321" s="6">
        <f t="shared" si="86"/>
        <v>0</v>
      </c>
      <c r="H321" s="6">
        <f t="shared" si="87"/>
        <v>0</v>
      </c>
      <c r="I321" s="6">
        <f t="shared" si="88"/>
        <v>0</v>
      </c>
      <c r="J321" s="6">
        <f t="shared" si="89"/>
        <v>0</v>
      </c>
      <c r="K321" s="6">
        <f t="shared" si="90"/>
        <v>0</v>
      </c>
      <c r="L321" s="6">
        <f t="shared" si="91"/>
        <v>0</v>
      </c>
      <c r="M321" s="6">
        <f t="shared" si="92"/>
        <v>0</v>
      </c>
      <c r="N321" s="6">
        <f t="shared" si="93"/>
        <v>0</v>
      </c>
      <c r="O321" s="6">
        <f t="shared" si="94"/>
        <v>0</v>
      </c>
      <c r="P321" s="6">
        <f t="shared" si="95"/>
        <v>0</v>
      </c>
      <c r="Q321" s="6">
        <f t="shared" si="96"/>
        <v>0</v>
      </c>
      <c r="R321" s="6">
        <f t="shared" si="97"/>
        <v>0</v>
      </c>
      <c r="S321" s="6">
        <f t="shared" si="98"/>
        <v>0</v>
      </c>
      <c r="T321" s="6">
        <f t="shared" si="99"/>
        <v>0</v>
      </c>
      <c r="U321" s="6">
        <f t="shared" si="100"/>
        <v>0</v>
      </c>
      <c r="V321" s="6">
        <f t="shared" si="101"/>
        <v>0</v>
      </c>
      <c r="W321" s="6">
        <f t="shared" si="102"/>
        <v>0</v>
      </c>
      <c r="X321" s="6">
        <f t="shared" si="103"/>
        <v>0</v>
      </c>
      <c r="Y321" s="6">
        <f t="shared" si="104"/>
        <v>0</v>
      </c>
      <c r="Z321" s="6">
        <f t="shared" si="105"/>
        <v>0</v>
      </c>
      <c r="AB321" s="36" t="str">
        <f>IF(最佳化斷筋點!C321="","",最佳化斷筋點!C321)</f>
        <v>下層</v>
      </c>
      <c r="AC321" s="37">
        <f>IF(最佳化斷筋點!D321="","",最佳化斷筋點!D321)</f>
        <v>7</v>
      </c>
      <c r="AD321" s="37">
        <f>IF(最佳化斷筋點!E321="","",最佳化斷筋點!E321)</f>
        <v>7</v>
      </c>
      <c r="AE321" s="37">
        <f>IF(最佳化斷筋點!F321="","",最佳化斷筋點!F321)</f>
        <v>7</v>
      </c>
      <c r="AF321" s="37">
        <f>IF(最佳化斷筋點!G321="","",最佳化斷筋點!G321)</f>
        <v>7</v>
      </c>
      <c r="AG321" s="37">
        <f>IF(最佳化斷筋點!H321="","",最佳化斷筋點!H321)</f>
        <v>7</v>
      </c>
      <c r="AH321" s="37">
        <f>IF(最佳化斷筋點!I321="","",最佳化斷筋點!I321)</f>
        <v>7</v>
      </c>
      <c r="AI321" s="37">
        <f>IF(最佳化斷筋點!J321="","",最佳化斷筋點!J321)</f>
        <v>6</v>
      </c>
      <c r="AJ321" s="37">
        <f>IF(最佳化斷筋點!K321="","",最佳化斷筋點!K321)</f>
        <v>3</v>
      </c>
      <c r="AK321" s="37">
        <f>IF(最佳化斷筋點!L321="","",最佳化斷筋點!L321)</f>
        <v>3</v>
      </c>
      <c r="AL321" s="37">
        <f>IF(最佳化斷筋點!M321="","",最佳化斷筋點!M321)</f>
        <v>3</v>
      </c>
      <c r="AM321" s="37">
        <f>IF(最佳化斷筋點!N321="","",最佳化斷筋點!N321)</f>
        <v>3</v>
      </c>
      <c r="AN321" s="37">
        <f>IF(最佳化斷筋點!O321="","",最佳化斷筋點!O321)</f>
        <v>3</v>
      </c>
      <c r="AO321" s="37">
        <f>IF(最佳化斷筋點!P321="","",最佳化斷筋點!P321)</f>
        <v>3</v>
      </c>
      <c r="AP321" s="37">
        <f>IF(最佳化斷筋點!Q321="","",最佳化斷筋點!Q321)</f>
        <v>6</v>
      </c>
      <c r="AQ321" s="37">
        <f>IF(最佳化斷筋點!R321="","",最佳化斷筋點!R321)</f>
        <v>6</v>
      </c>
      <c r="AR321" s="37">
        <f>IF(最佳化斷筋點!S321="","",最佳化斷筋點!S321)</f>
        <v>7</v>
      </c>
      <c r="AS321" s="37">
        <f>IF(最佳化斷筋點!T321="","",最佳化斷筋點!T321)</f>
        <v>8</v>
      </c>
      <c r="AT321" s="37">
        <f>IF(最佳化斷筋點!U321="","",最佳化斷筋點!U321)</f>
        <v>8</v>
      </c>
      <c r="AU321" s="37">
        <f>IF(最佳化斷筋點!V321="","",最佳化斷筋點!V321)</f>
        <v>8</v>
      </c>
      <c r="AV321" s="37">
        <f>IF(最佳化斷筋點!W321="","",最佳化斷筋點!W321)</f>
        <v>8</v>
      </c>
      <c r="AW321" s="37">
        <f>IF(最佳化斷筋點!X321="","",最佳化斷筋點!X321)</f>
        <v>8</v>
      </c>
      <c r="AY321" s="6" t="s">
        <v>21</v>
      </c>
      <c r="AZ321" s="37">
        <v>7</v>
      </c>
      <c r="BA321" s="37">
        <v>7</v>
      </c>
      <c r="BB321" s="37">
        <v>7</v>
      </c>
      <c r="BC321" s="37">
        <v>7</v>
      </c>
      <c r="BD321" s="37">
        <v>7</v>
      </c>
      <c r="BE321" s="37">
        <v>7</v>
      </c>
      <c r="BF321" s="37">
        <v>6</v>
      </c>
      <c r="BG321" s="37">
        <v>3</v>
      </c>
      <c r="BH321" s="37">
        <v>3</v>
      </c>
      <c r="BI321" s="37">
        <v>3</v>
      </c>
      <c r="BJ321" s="37">
        <v>3</v>
      </c>
      <c r="BK321" s="37">
        <v>3</v>
      </c>
      <c r="BL321" s="37">
        <v>3</v>
      </c>
      <c r="BM321" s="37">
        <v>6</v>
      </c>
      <c r="BN321" s="37">
        <v>6</v>
      </c>
      <c r="BO321" s="37">
        <v>7</v>
      </c>
      <c r="BP321" s="37">
        <v>8</v>
      </c>
      <c r="BQ321" s="37">
        <v>8</v>
      </c>
      <c r="BR321" s="37">
        <v>8</v>
      </c>
      <c r="BS321" s="37">
        <v>8</v>
      </c>
      <c r="BT321" s="37">
        <v>8</v>
      </c>
    </row>
    <row r="322" spans="5:72" x14ac:dyDescent="0.25">
      <c r="F322" s="6">
        <f t="shared" si="85"/>
        <v>0</v>
      </c>
      <c r="G322" s="6">
        <f t="shared" si="86"/>
        <v>0</v>
      </c>
      <c r="H322" s="6">
        <f t="shared" si="87"/>
        <v>0</v>
      </c>
      <c r="I322" s="6">
        <f t="shared" si="88"/>
        <v>0</v>
      </c>
      <c r="J322" s="6">
        <f t="shared" si="89"/>
        <v>0</v>
      </c>
      <c r="K322" s="6">
        <f t="shared" si="90"/>
        <v>0</v>
      </c>
      <c r="L322" s="6">
        <f t="shared" si="91"/>
        <v>0</v>
      </c>
      <c r="M322" s="6">
        <f t="shared" si="92"/>
        <v>0</v>
      </c>
      <c r="N322" s="6">
        <f t="shared" si="93"/>
        <v>0</v>
      </c>
      <c r="O322" s="6">
        <f t="shared" si="94"/>
        <v>0</v>
      </c>
      <c r="P322" s="6">
        <f t="shared" si="95"/>
        <v>0</v>
      </c>
      <c r="Q322" s="6">
        <f t="shared" si="96"/>
        <v>0</v>
      </c>
      <c r="R322" s="6">
        <f t="shared" si="97"/>
        <v>0</v>
      </c>
      <c r="S322" s="6">
        <f t="shared" si="98"/>
        <v>0</v>
      </c>
      <c r="T322" s="6">
        <f t="shared" si="99"/>
        <v>0</v>
      </c>
      <c r="U322" s="6">
        <f t="shared" si="100"/>
        <v>0</v>
      </c>
      <c r="V322" s="6">
        <f t="shared" si="101"/>
        <v>0</v>
      </c>
      <c r="W322" s="6">
        <f t="shared" si="102"/>
        <v>0</v>
      </c>
      <c r="X322" s="6">
        <f t="shared" si="103"/>
        <v>0</v>
      </c>
      <c r="Y322" s="6">
        <f t="shared" si="104"/>
        <v>0</v>
      </c>
      <c r="Z322" s="6">
        <f t="shared" si="105"/>
        <v>0</v>
      </c>
      <c r="AB322" s="36" t="str">
        <f>IF(最佳化斷筋點!C322="","",最佳化斷筋點!C322)</f>
        <v/>
      </c>
      <c r="AC322" s="37" t="str">
        <f>IF(最佳化斷筋點!D322="","",最佳化斷筋點!D322)</f>
        <v/>
      </c>
      <c r="AD322" s="37" t="str">
        <f>IF(最佳化斷筋點!E322="","",最佳化斷筋點!E322)</f>
        <v/>
      </c>
      <c r="AE322" s="37" t="str">
        <f>IF(最佳化斷筋點!F322="","",最佳化斷筋點!F322)</f>
        <v/>
      </c>
      <c r="AF322" s="37" t="str">
        <f>IF(最佳化斷筋點!G322="","",最佳化斷筋點!G322)</f>
        <v/>
      </c>
      <c r="AG322" s="37" t="str">
        <f>IF(最佳化斷筋點!H322="","",最佳化斷筋點!H322)</f>
        <v/>
      </c>
      <c r="AH322" s="37" t="str">
        <f>IF(最佳化斷筋點!I322="","",最佳化斷筋點!I322)</f>
        <v/>
      </c>
      <c r="AI322" s="37" t="str">
        <f>IF(最佳化斷筋點!J322="","",最佳化斷筋點!J322)</f>
        <v/>
      </c>
      <c r="AJ322" s="37" t="str">
        <f>IF(最佳化斷筋點!K322="","",最佳化斷筋點!K322)</f>
        <v/>
      </c>
      <c r="AK322" s="37" t="str">
        <f>IF(最佳化斷筋點!L322="","",最佳化斷筋點!L322)</f>
        <v/>
      </c>
      <c r="AL322" s="37" t="str">
        <f>IF(最佳化斷筋點!M322="","",最佳化斷筋點!M322)</f>
        <v/>
      </c>
      <c r="AM322" s="37" t="str">
        <f>IF(最佳化斷筋點!N322="","",最佳化斷筋點!N322)</f>
        <v/>
      </c>
      <c r="AN322" s="37" t="str">
        <f>IF(最佳化斷筋點!O322="","",最佳化斷筋點!O322)</f>
        <v/>
      </c>
      <c r="AO322" s="37" t="str">
        <f>IF(最佳化斷筋點!P322="","",最佳化斷筋點!P322)</f>
        <v/>
      </c>
      <c r="AP322" s="37" t="str">
        <f>IF(最佳化斷筋點!Q322="","",最佳化斷筋點!Q322)</f>
        <v/>
      </c>
      <c r="AQ322" s="37" t="str">
        <f>IF(最佳化斷筋點!R322="","",最佳化斷筋點!R322)</f>
        <v/>
      </c>
      <c r="AR322" s="37" t="str">
        <f>IF(最佳化斷筋點!S322="","",最佳化斷筋點!S322)</f>
        <v/>
      </c>
      <c r="AS322" s="37" t="str">
        <f>IF(最佳化斷筋點!T322="","",最佳化斷筋點!T322)</f>
        <v/>
      </c>
      <c r="AT322" s="37" t="str">
        <f>IF(最佳化斷筋點!U322="","",最佳化斷筋點!U322)</f>
        <v/>
      </c>
      <c r="AU322" s="37" t="str">
        <f>IF(最佳化斷筋點!V322="","",最佳化斷筋點!V322)</f>
        <v/>
      </c>
      <c r="AV322" s="37" t="str">
        <f>IF(最佳化斷筋點!W322="","",最佳化斷筋點!W322)</f>
        <v/>
      </c>
      <c r="AW322" s="37" t="str">
        <f>IF(最佳化斷筋點!X322="","",最佳化斷筋點!X322)</f>
        <v/>
      </c>
      <c r="AZ322" s="37" t="s">
        <v>197</v>
      </c>
      <c r="BA322" s="37" t="s">
        <v>197</v>
      </c>
      <c r="BB322" s="37" t="s">
        <v>197</v>
      </c>
      <c r="BC322" s="37" t="s">
        <v>197</v>
      </c>
      <c r="BD322" s="37" t="s">
        <v>197</v>
      </c>
      <c r="BE322" s="37" t="s">
        <v>197</v>
      </c>
      <c r="BF322" s="37" t="s">
        <v>197</v>
      </c>
      <c r="BG322" s="37" t="s">
        <v>197</v>
      </c>
      <c r="BH322" s="37" t="s">
        <v>197</v>
      </c>
      <c r="BI322" s="37" t="s">
        <v>197</v>
      </c>
      <c r="BJ322" s="37" t="s">
        <v>197</v>
      </c>
      <c r="BK322" s="37" t="s">
        <v>197</v>
      </c>
      <c r="BL322" s="37" t="s">
        <v>197</v>
      </c>
      <c r="BM322" s="37" t="s">
        <v>197</v>
      </c>
      <c r="BN322" s="37" t="s">
        <v>197</v>
      </c>
      <c r="BO322" s="37" t="s">
        <v>197</v>
      </c>
      <c r="BP322" s="37" t="s">
        <v>197</v>
      </c>
      <c r="BQ322" s="37" t="s">
        <v>197</v>
      </c>
      <c r="BR322" s="37" t="s">
        <v>197</v>
      </c>
      <c r="BS322" s="37" t="s">
        <v>197</v>
      </c>
      <c r="BT322" s="37" t="s">
        <v>197</v>
      </c>
    </row>
    <row r="323" spans="5:72" x14ac:dyDescent="0.25">
      <c r="E323" s="6" t="s">
        <v>20</v>
      </c>
      <c r="F323" s="6">
        <f t="shared" si="85"/>
        <v>0</v>
      </c>
      <c r="G323" s="6">
        <f t="shared" si="86"/>
        <v>0</v>
      </c>
      <c r="H323" s="6">
        <f t="shared" si="87"/>
        <v>0</v>
      </c>
      <c r="I323" s="6">
        <f t="shared" si="88"/>
        <v>0</v>
      </c>
      <c r="J323" s="6">
        <f t="shared" si="89"/>
        <v>0</v>
      </c>
      <c r="K323" s="6">
        <f t="shared" si="90"/>
        <v>0</v>
      </c>
      <c r="L323" s="6">
        <f t="shared" si="91"/>
        <v>0</v>
      </c>
      <c r="M323" s="6">
        <f t="shared" si="92"/>
        <v>0</v>
      </c>
      <c r="N323" s="6">
        <f t="shared" si="93"/>
        <v>0</v>
      </c>
      <c r="O323" s="6">
        <f t="shared" si="94"/>
        <v>0</v>
      </c>
      <c r="P323" s="6">
        <f t="shared" si="95"/>
        <v>0</v>
      </c>
      <c r="Q323" s="6">
        <f t="shared" si="96"/>
        <v>0</v>
      </c>
      <c r="R323" s="6">
        <f t="shared" si="97"/>
        <v>0</v>
      </c>
      <c r="S323" s="6">
        <f t="shared" si="98"/>
        <v>0</v>
      </c>
      <c r="T323" s="6">
        <f t="shared" si="99"/>
        <v>0</v>
      </c>
      <c r="U323" s="6">
        <f t="shared" si="100"/>
        <v>0</v>
      </c>
      <c r="V323" s="6">
        <f t="shared" si="101"/>
        <v>0</v>
      </c>
      <c r="W323" s="6">
        <f t="shared" si="102"/>
        <v>0</v>
      </c>
      <c r="X323" s="6">
        <f t="shared" si="103"/>
        <v>0</v>
      </c>
      <c r="Y323" s="6">
        <f t="shared" si="104"/>
        <v>0</v>
      </c>
      <c r="Z323" s="6">
        <f t="shared" si="105"/>
        <v>0</v>
      </c>
      <c r="AB323" s="36" t="str">
        <f>IF(最佳化斷筋點!C323="","",最佳化斷筋點!C323)</f>
        <v>上層</v>
      </c>
      <c r="AC323" s="37">
        <f>IF(最佳化斷筋點!D323="","",最佳化斷筋點!D323)</f>
        <v>8</v>
      </c>
      <c r="AD323" s="37">
        <f>IF(最佳化斷筋點!E323="","",最佳化斷筋點!E323)</f>
        <v>8</v>
      </c>
      <c r="AE323" s="37">
        <f>IF(最佳化斷筋點!F323="","",最佳化斷筋點!F323)</f>
        <v>8</v>
      </c>
      <c r="AF323" s="37">
        <f>IF(最佳化斷筋點!G323="","",最佳化斷筋點!G323)</f>
        <v>8</v>
      </c>
      <c r="AG323" s="37">
        <f>IF(最佳化斷筋點!H323="","",最佳化斷筋點!H323)</f>
        <v>8</v>
      </c>
      <c r="AH323" s="37">
        <f>IF(最佳化斷筋點!I323="","",最佳化斷筋點!I323)</f>
        <v>8</v>
      </c>
      <c r="AI323" s="37">
        <f>IF(最佳化斷筋點!J323="","",最佳化斷筋點!J323)</f>
        <v>7</v>
      </c>
      <c r="AJ323" s="37">
        <f>IF(最佳化斷筋點!K323="","",最佳化斷筋點!K323)</f>
        <v>3</v>
      </c>
      <c r="AK323" s="37">
        <f>IF(最佳化斷筋點!L323="","",最佳化斷筋點!L323)</f>
        <v>3</v>
      </c>
      <c r="AL323" s="37">
        <f>IF(最佳化斷筋點!M323="","",最佳化斷筋點!M323)</f>
        <v>3</v>
      </c>
      <c r="AM323" s="37">
        <f>IF(最佳化斷筋點!N323="","",最佳化斷筋點!N323)</f>
        <v>3</v>
      </c>
      <c r="AN323" s="37">
        <f>IF(最佳化斷筋點!O323="","",最佳化斷筋點!O323)</f>
        <v>3</v>
      </c>
      <c r="AO323" s="37">
        <f>IF(最佳化斷筋點!P323="","",最佳化斷筋點!P323)</f>
        <v>3</v>
      </c>
      <c r="AP323" s="37">
        <f>IF(最佳化斷筋點!Q323="","",最佳化斷筋點!Q323)</f>
        <v>3</v>
      </c>
      <c r="AQ323" s="37">
        <f>IF(最佳化斷筋點!R323="","",最佳化斷筋點!R323)</f>
        <v>4</v>
      </c>
      <c r="AR323" s="37">
        <f>IF(最佳化斷筋點!S323="","",最佳化斷筋點!S323)</f>
        <v>4</v>
      </c>
      <c r="AS323" s="37">
        <f>IF(最佳化斷筋點!T323="","",最佳化斷筋點!T323)</f>
        <v>5</v>
      </c>
      <c r="AT323" s="37">
        <f>IF(最佳化斷筋點!U323="","",最佳化斷筋點!U323)</f>
        <v>5</v>
      </c>
      <c r="AU323" s="37">
        <f>IF(最佳化斷筋點!V323="","",最佳化斷筋點!V323)</f>
        <v>5</v>
      </c>
      <c r="AV323" s="37">
        <f>IF(最佳化斷筋點!W323="","",最佳化斷筋點!W323)</f>
        <v>5</v>
      </c>
      <c r="AW323" s="37">
        <f>IF(最佳化斷筋點!X323="","",最佳化斷筋點!X323)</f>
        <v>5</v>
      </c>
      <c r="AY323" s="6" t="s">
        <v>20</v>
      </c>
      <c r="AZ323" s="37">
        <v>8</v>
      </c>
      <c r="BA323" s="37">
        <v>8</v>
      </c>
      <c r="BB323" s="37">
        <v>8</v>
      </c>
      <c r="BC323" s="37">
        <v>8</v>
      </c>
      <c r="BD323" s="37">
        <v>8</v>
      </c>
      <c r="BE323" s="37">
        <v>8</v>
      </c>
      <c r="BF323" s="37">
        <v>7</v>
      </c>
      <c r="BG323" s="37">
        <v>3</v>
      </c>
      <c r="BH323" s="37">
        <v>3</v>
      </c>
      <c r="BI323" s="37">
        <v>3</v>
      </c>
      <c r="BJ323" s="37">
        <v>3</v>
      </c>
      <c r="BK323" s="37">
        <v>3</v>
      </c>
      <c r="BL323" s="37">
        <v>3</v>
      </c>
      <c r="BM323" s="37">
        <v>3</v>
      </c>
      <c r="BN323" s="37">
        <v>4</v>
      </c>
      <c r="BO323" s="37">
        <v>4</v>
      </c>
      <c r="BP323" s="37">
        <v>5</v>
      </c>
      <c r="BQ323" s="37">
        <v>5</v>
      </c>
      <c r="BR323" s="37">
        <v>5</v>
      </c>
      <c r="BS323" s="37">
        <v>5</v>
      </c>
      <c r="BT323" s="37">
        <v>5</v>
      </c>
    </row>
    <row r="324" spans="5:72" x14ac:dyDescent="0.25">
      <c r="F324" s="6">
        <f t="shared" ref="F324:F387" si="106">IF(AC324=AZ324,0,1)</f>
        <v>0</v>
      </c>
      <c r="G324" s="6">
        <f t="shared" ref="G324:G387" si="107">IF(AD324=BA324,0,1)</f>
        <v>0</v>
      </c>
      <c r="H324" s="6">
        <f t="shared" ref="H324:H387" si="108">IF(AE324=BB324,0,1)</f>
        <v>0</v>
      </c>
      <c r="I324" s="6">
        <f t="shared" ref="I324:I387" si="109">IF(AF324=BC324,0,1)</f>
        <v>0</v>
      </c>
      <c r="J324" s="6">
        <f t="shared" ref="J324:J387" si="110">IF(AG324=BD324,0,1)</f>
        <v>0</v>
      </c>
      <c r="K324" s="6">
        <f t="shared" ref="K324:K387" si="111">IF(AH324=BE324,0,1)</f>
        <v>0</v>
      </c>
      <c r="L324" s="6">
        <f t="shared" ref="L324:L387" si="112">IF(AI324=BF324,0,1)</f>
        <v>0</v>
      </c>
      <c r="M324" s="6">
        <f t="shared" ref="M324:M387" si="113">IF(AJ324=BG324,0,1)</f>
        <v>0</v>
      </c>
      <c r="N324" s="6">
        <f t="shared" ref="N324:N387" si="114">IF(AK324=BH324,0,1)</f>
        <v>0</v>
      </c>
      <c r="O324" s="6">
        <f t="shared" ref="O324:O387" si="115">IF(AL324=BI324,0,1)</f>
        <v>0</v>
      </c>
      <c r="P324" s="6">
        <f t="shared" ref="P324:P387" si="116">IF(AM324=BJ324,0,1)</f>
        <v>0</v>
      </c>
      <c r="Q324" s="6">
        <f t="shared" ref="Q324:Q387" si="117">IF(AN324=BK324,0,1)</f>
        <v>0</v>
      </c>
      <c r="R324" s="6">
        <f t="shared" ref="R324:R387" si="118">IF(AO324=BL324,0,1)</f>
        <v>0</v>
      </c>
      <c r="S324" s="6">
        <f t="shared" ref="S324:S387" si="119">IF(AP324=BM324,0,1)</f>
        <v>0</v>
      </c>
      <c r="T324" s="6">
        <f t="shared" ref="T324:T387" si="120">IF(AQ324=BN324,0,1)</f>
        <v>0</v>
      </c>
      <c r="U324" s="6">
        <f t="shared" ref="U324:U387" si="121">IF(AR324=BO324,0,1)</f>
        <v>0</v>
      </c>
      <c r="V324" s="6">
        <f t="shared" ref="V324:V387" si="122">IF(AS324=BP324,0,1)</f>
        <v>0</v>
      </c>
      <c r="W324" s="6">
        <f t="shared" ref="W324:W387" si="123">IF(AT324=BQ324,0,1)</f>
        <v>0</v>
      </c>
      <c r="X324" s="6">
        <f t="shared" ref="X324:X387" si="124">IF(AU324=BR324,0,1)</f>
        <v>0</v>
      </c>
      <c r="Y324" s="6">
        <f t="shared" ref="Y324:Y387" si="125">IF(AV324=BS324,0,1)</f>
        <v>0</v>
      </c>
      <c r="Z324" s="6">
        <f t="shared" ref="Z324:Z387" si="126">IF(AW324=BT324,0,1)</f>
        <v>0</v>
      </c>
      <c r="AB324" s="36" t="str">
        <f>IF(最佳化斷筋點!C324="","",最佳化斷筋點!C324)</f>
        <v/>
      </c>
      <c r="AC324" s="37" t="str">
        <f>IF(最佳化斷筋點!D324="","",最佳化斷筋點!D324)</f>
        <v/>
      </c>
      <c r="AD324" s="37" t="str">
        <f>IF(最佳化斷筋點!E324="","",最佳化斷筋點!E324)</f>
        <v/>
      </c>
      <c r="AE324" s="37" t="str">
        <f>IF(最佳化斷筋點!F324="","",最佳化斷筋點!F324)</f>
        <v/>
      </c>
      <c r="AF324" s="37" t="str">
        <f>IF(最佳化斷筋點!G324="","",最佳化斷筋點!G324)</f>
        <v/>
      </c>
      <c r="AG324" s="37" t="str">
        <f>IF(最佳化斷筋點!H324="","",最佳化斷筋點!H324)</f>
        <v/>
      </c>
      <c r="AH324" s="37" t="str">
        <f>IF(最佳化斷筋點!I324="","",最佳化斷筋點!I324)</f>
        <v/>
      </c>
      <c r="AI324" s="37" t="str">
        <f>IF(最佳化斷筋點!J324="","",最佳化斷筋點!J324)</f>
        <v/>
      </c>
      <c r="AJ324" s="37" t="str">
        <f>IF(最佳化斷筋點!K324="","",最佳化斷筋點!K324)</f>
        <v/>
      </c>
      <c r="AK324" s="37" t="str">
        <f>IF(最佳化斷筋點!L324="","",最佳化斷筋點!L324)</f>
        <v/>
      </c>
      <c r="AL324" s="37" t="str">
        <f>IF(最佳化斷筋點!M324="","",最佳化斷筋點!M324)</f>
        <v/>
      </c>
      <c r="AM324" s="37" t="str">
        <f>IF(最佳化斷筋點!N324="","",最佳化斷筋點!N324)</f>
        <v/>
      </c>
      <c r="AN324" s="37" t="str">
        <f>IF(最佳化斷筋點!O324="","",最佳化斷筋點!O324)</f>
        <v/>
      </c>
      <c r="AO324" s="37" t="str">
        <f>IF(最佳化斷筋點!P324="","",最佳化斷筋點!P324)</f>
        <v/>
      </c>
      <c r="AP324" s="37" t="str">
        <f>IF(最佳化斷筋點!Q324="","",最佳化斷筋點!Q324)</f>
        <v/>
      </c>
      <c r="AQ324" s="37" t="str">
        <f>IF(最佳化斷筋點!R324="","",最佳化斷筋點!R324)</f>
        <v/>
      </c>
      <c r="AR324" s="37" t="str">
        <f>IF(最佳化斷筋點!S324="","",最佳化斷筋點!S324)</f>
        <v/>
      </c>
      <c r="AS324" s="37" t="str">
        <f>IF(最佳化斷筋點!T324="","",最佳化斷筋點!T324)</f>
        <v/>
      </c>
      <c r="AT324" s="37" t="str">
        <f>IF(最佳化斷筋點!U324="","",最佳化斷筋點!U324)</f>
        <v/>
      </c>
      <c r="AU324" s="37" t="str">
        <f>IF(最佳化斷筋點!V324="","",最佳化斷筋點!V324)</f>
        <v/>
      </c>
      <c r="AV324" s="37" t="str">
        <f>IF(最佳化斷筋點!W324="","",最佳化斷筋點!W324)</f>
        <v/>
      </c>
      <c r="AW324" s="37" t="str">
        <f>IF(最佳化斷筋點!X324="","",最佳化斷筋點!X324)</f>
        <v/>
      </c>
      <c r="AZ324" s="37" t="s">
        <v>197</v>
      </c>
      <c r="BA324" s="37" t="s">
        <v>197</v>
      </c>
      <c r="BB324" s="37" t="s">
        <v>197</v>
      </c>
      <c r="BC324" s="37" t="s">
        <v>197</v>
      </c>
      <c r="BD324" s="37" t="s">
        <v>197</v>
      </c>
      <c r="BE324" s="37" t="s">
        <v>197</v>
      </c>
      <c r="BF324" s="37" t="s">
        <v>197</v>
      </c>
      <c r="BG324" s="37" t="s">
        <v>197</v>
      </c>
      <c r="BH324" s="37" t="s">
        <v>197</v>
      </c>
      <c r="BI324" s="37" t="s">
        <v>197</v>
      </c>
      <c r="BJ324" s="37" t="s">
        <v>197</v>
      </c>
      <c r="BK324" s="37" t="s">
        <v>197</v>
      </c>
      <c r="BL324" s="37" t="s">
        <v>197</v>
      </c>
      <c r="BM324" s="37" t="s">
        <v>197</v>
      </c>
      <c r="BN324" s="37" t="s">
        <v>197</v>
      </c>
      <c r="BO324" s="37" t="s">
        <v>197</v>
      </c>
      <c r="BP324" s="37" t="s">
        <v>197</v>
      </c>
      <c r="BQ324" s="37" t="s">
        <v>197</v>
      </c>
      <c r="BR324" s="37" t="s">
        <v>197</v>
      </c>
      <c r="BS324" s="37" t="s">
        <v>197</v>
      </c>
      <c r="BT324" s="37" t="s">
        <v>197</v>
      </c>
    </row>
    <row r="325" spans="5:72" x14ac:dyDescent="0.25">
      <c r="E325" s="6" t="s">
        <v>21</v>
      </c>
      <c r="F325" s="6">
        <f t="shared" si="106"/>
        <v>0</v>
      </c>
      <c r="G325" s="6">
        <f t="shared" si="107"/>
        <v>0</v>
      </c>
      <c r="H325" s="6">
        <f t="shared" si="108"/>
        <v>0</v>
      </c>
      <c r="I325" s="6">
        <f t="shared" si="109"/>
        <v>0</v>
      </c>
      <c r="J325" s="6">
        <f t="shared" si="110"/>
        <v>0</v>
      </c>
      <c r="K325" s="6">
        <f t="shared" si="111"/>
        <v>0</v>
      </c>
      <c r="L325" s="6">
        <f t="shared" si="112"/>
        <v>0</v>
      </c>
      <c r="M325" s="6">
        <f t="shared" si="113"/>
        <v>0</v>
      </c>
      <c r="N325" s="6">
        <f t="shared" si="114"/>
        <v>0</v>
      </c>
      <c r="O325" s="6">
        <f t="shared" si="115"/>
        <v>0</v>
      </c>
      <c r="P325" s="6">
        <f t="shared" si="116"/>
        <v>0</v>
      </c>
      <c r="Q325" s="6">
        <f t="shared" si="117"/>
        <v>0</v>
      </c>
      <c r="R325" s="6">
        <f t="shared" si="118"/>
        <v>0</v>
      </c>
      <c r="S325" s="6">
        <f t="shared" si="119"/>
        <v>0</v>
      </c>
      <c r="T325" s="6">
        <f t="shared" si="120"/>
        <v>0</v>
      </c>
      <c r="U325" s="6">
        <f t="shared" si="121"/>
        <v>0</v>
      </c>
      <c r="V325" s="6">
        <f t="shared" si="122"/>
        <v>0</v>
      </c>
      <c r="W325" s="6">
        <f t="shared" si="123"/>
        <v>0</v>
      </c>
      <c r="X325" s="6">
        <f t="shared" si="124"/>
        <v>0</v>
      </c>
      <c r="Y325" s="6">
        <f t="shared" si="125"/>
        <v>0</v>
      </c>
      <c r="Z325" s="6">
        <f t="shared" si="126"/>
        <v>0</v>
      </c>
      <c r="AB325" s="36" t="str">
        <f>IF(最佳化斷筋點!C325="","",最佳化斷筋點!C325)</f>
        <v>下層</v>
      </c>
      <c r="AC325" s="37">
        <f>IF(最佳化斷筋點!D325="","",最佳化斷筋點!D325)</f>
        <v>4</v>
      </c>
      <c r="AD325" s="37">
        <f>IF(最佳化斷筋點!E325="","",最佳化斷筋點!E325)</f>
        <v>4</v>
      </c>
      <c r="AE325" s="37">
        <f>IF(最佳化斷筋點!F325="","",最佳化斷筋點!F325)</f>
        <v>4</v>
      </c>
      <c r="AF325" s="37">
        <f>IF(最佳化斷筋點!G325="","",最佳化斷筋點!G325)</f>
        <v>4</v>
      </c>
      <c r="AG325" s="37">
        <f>IF(最佳化斷筋點!H325="","",最佳化斷筋點!H325)</f>
        <v>4</v>
      </c>
      <c r="AH325" s="37">
        <f>IF(最佳化斷筋點!I325="","",最佳化斷筋點!I325)</f>
        <v>4</v>
      </c>
      <c r="AI325" s="37">
        <f>IF(最佳化斷筋點!J325="","",最佳化斷筋點!J325)</f>
        <v>3</v>
      </c>
      <c r="AJ325" s="37">
        <f>IF(最佳化斷筋點!K325="","",最佳化斷筋點!K325)</f>
        <v>2</v>
      </c>
      <c r="AK325" s="37">
        <f>IF(最佳化斷筋點!L325="","",最佳化斷筋點!L325)</f>
        <v>2</v>
      </c>
      <c r="AL325" s="37">
        <f>IF(最佳化斷筋點!M325="","",最佳化斷筋點!M325)</f>
        <v>2</v>
      </c>
      <c r="AM325" s="37">
        <f>IF(最佳化斷筋點!N325="","",最佳化斷筋點!N325)</f>
        <v>2</v>
      </c>
      <c r="AN325" s="37">
        <f>IF(最佳化斷筋點!O325="","",最佳化斷筋點!O325)</f>
        <v>2</v>
      </c>
      <c r="AO325" s="37">
        <f>IF(最佳化斷筋點!P325="","",最佳化斷筋點!P325)</f>
        <v>2</v>
      </c>
      <c r="AP325" s="37">
        <f>IF(最佳化斷筋點!Q325="","",最佳化斷筋點!Q325)</f>
        <v>3</v>
      </c>
      <c r="AQ325" s="37">
        <f>IF(最佳化斷筋點!R325="","",最佳化斷筋點!R325)</f>
        <v>4</v>
      </c>
      <c r="AR325" s="37">
        <f>IF(最佳化斷筋點!S325="","",最佳化斷筋點!S325)</f>
        <v>4</v>
      </c>
      <c r="AS325" s="37">
        <f>IF(最佳化斷筋點!T325="","",最佳化斷筋點!T325)</f>
        <v>5</v>
      </c>
      <c r="AT325" s="37">
        <f>IF(最佳化斷筋點!U325="","",最佳化斷筋點!U325)</f>
        <v>5</v>
      </c>
      <c r="AU325" s="37">
        <f>IF(最佳化斷筋點!V325="","",最佳化斷筋點!V325)</f>
        <v>5</v>
      </c>
      <c r="AV325" s="37">
        <f>IF(最佳化斷筋點!W325="","",最佳化斷筋點!W325)</f>
        <v>5</v>
      </c>
      <c r="AW325" s="37">
        <f>IF(最佳化斷筋點!X325="","",最佳化斷筋點!X325)</f>
        <v>5</v>
      </c>
      <c r="AY325" s="6" t="s">
        <v>21</v>
      </c>
      <c r="AZ325" s="37">
        <v>4</v>
      </c>
      <c r="BA325" s="37">
        <v>4</v>
      </c>
      <c r="BB325" s="37">
        <v>4</v>
      </c>
      <c r="BC325" s="37">
        <v>4</v>
      </c>
      <c r="BD325" s="37">
        <v>4</v>
      </c>
      <c r="BE325" s="37">
        <v>4</v>
      </c>
      <c r="BF325" s="37">
        <v>3</v>
      </c>
      <c r="BG325" s="37">
        <v>2</v>
      </c>
      <c r="BH325" s="37">
        <v>2</v>
      </c>
      <c r="BI325" s="37">
        <v>2</v>
      </c>
      <c r="BJ325" s="37">
        <v>2</v>
      </c>
      <c r="BK325" s="37">
        <v>2</v>
      </c>
      <c r="BL325" s="37">
        <v>2</v>
      </c>
      <c r="BM325" s="37">
        <v>3</v>
      </c>
      <c r="BN325" s="37">
        <v>4</v>
      </c>
      <c r="BO325" s="37">
        <v>4</v>
      </c>
      <c r="BP325" s="37">
        <v>5</v>
      </c>
      <c r="BQ325" s="37">
        <v>5</v>
      </c>
      <c r="BR325" s="37">
        <v>5</v>
      </c>
      <c r="BS325" s="37">
        <v>5</v>
      </c>
      <c r="BT325" s="37">
        <v>5</v>
      </c>
    </row>
    <row r="326" spans="5:72" x14ac:dyDescent="0.25">
      <c r="F326" s="6">
        <f t="shared" si="106"/>
        <v>0</v>
      </c>
      <c r="G326" s="6">
        <f t="shared" si="107"/>
        <v>0</v>
      </c>
      <c r="H326" s="6">
        <f t="shared" si="108"/>
        <v>0</v>
      </c>
      <c r="I326" s="6">
        <f t="shared" si="109"/>
        <v>0</v>
      </c>
      <c r="J326" s="6">
        <f t="shared" si="110"/>
        <v>0</v>
      </c>
      <c r="K326" s="6">
        <f t="shared" si="111"/>
        <v>0</v>
      </c>
      <c r="L326" s="6">
        <f t="shared" si="112"/>
        <v>0</v>
      </c>
      <c r="M326" s="6">
        <f t="shared" si="113"/>
        <v>0</v>
      </c>
      <c r="N326" s="6">
        <f t="shared" si="114"/>
        <v>0</v>
      </c>
      <c r="O326" s="6">
        <f t="shared" si="115"/>
        <v>0</v>
      </c>
      <c r="P326" s="6">
        <f t="shared" si="116"/>
        <v>0</v>
      </c>
      <c r="Q326" s="6">
        <f t="shared" si="117"/>
        <v>0</v>
      </c>
      <c r="R326" s="6">
        <f t="shared" si="118"/>
        <v>0</v>
      </c>
      <c r="S326" s="6">
        <f t="shared" si="119"/>
        <v>0</v>
      </c>
      <c r="T326" s="6">
        <f t="shared" si="120"/>
        <v>0</v>
      </c>
      <c r="U326" s="6">
        <f t="shared" si="121"/>
        <v>0</v>
      </c>
      <c r="V326" s="6">
        <f t="shared" si="122"/>
        <v>0</v>
      </c>
      <c r="W326" s="6">
        <f t="shared" si="123"/>
        <v>0</v>
      </c>
      <c r="X326" s="6">
        <f t="shared" si="124"/>
        <v>0</v>
      </c>
      <c r="Y326" s="6">
        <f t="shared" si="125"/>
        <v>0</v>
      </c>
      <c r="Z326" s="6">
        <f t="shared" si="126"/>
        <v>0</v>
      </c>
      <c r="AB326" s="36" t="str">
        <f>IF(最佳化斷筋點!C326="","",最佳化斷筋點!C326)</f>
        <v/>
      </c>
      <c r="AC326" s="37" t="str">
        <f>IF(最佳化斷筋點!D326="","",最佳化斷筋點!D326)</f>
        <v/>
      </c>
      <c r="AD326" s="37" t="str">
        <f>IF(最佳化斷筋點!E326="","",最佳化斷筋點!E326)</f>
        <v/>
      </c>
      <c r="AE326" s="37" t="str">
        <f>IF(最佳化斷筋點!F326="","",最佳化斷筋點!F326)</f>
        <v/>
      </c>
      <c r="AF326" s="37" t="str">
        <f>IF(最佳化斷筋點!G326="","",最佳化斷筋點!G326)</f>
        <v/>
      </c>
      <c r="AG326" s="37" t="str">
        <f>IF(最佳化斷筋點!H326="","",最佳化斷筋點!H326)</f>
        <v/>
      </c>
      <c r="AH326" s="37" t="str">
        <f>IF(最佳化斷筋點!I326="","",最佳化斷筋點!I326)</f>
        <v/>
      </c>
      <c r="AI326" s="37" t="str">
        <f>IF(最佳化斷筋點!J326="","",最佳化斷筋點!J326)</f>
        <v/>
      </c>
      <c r="AJ326" s="37" t="str">
        <f>IF(最佳化斷筋點!K326="","",最佳化斷筋點!K326)</f>
        <v/>
      </c>
      <c r="AK326" s="37" t="str">
        <f>IF(最佳化斷筋點!L326="","",最佳化斷筋點!L326)</f>
        <v/>
      </c>
      <c r="AL326" s="37" t="str">
        <f>IF(最佳化斷筋點!M326="","",最佳化斷筋點!M326)</f>
        <v/>
      </c>
      <c r="AM326" s="37" t="str">
        <f>IF(最佳化斷筋點!N326="","",最佳化斷筋點!N326)</f>
        <v/>
      </c>
      <c r="AN326" s="37" t="str">
        <f>IF(最佳化斷筋點!O326="","",最佳化斷筋點!O326)</f>
        <v/>
      </c>
      <c r="AO326" s="37" t="str">
        <f>IF(最佳化斷筋點!P326="","",最佳化斷筋點!P326)</f>
        <v/>
      </c>
      <c r="AP326" s="37" t="str">
        <f>IF(最佳化斷筋點!Q326="","",最佳化斷筋點!Q326)</f>
        <v/>
      </c>
      <c r="AQ326" s="37" t="str">
        <f>IF(最佳化斷筋點!R326="","",最佳化斷筋點!R326)</f>
        <v/>
      </c>
      <c r="AR326" s="37" t="str">
        <f>IF(最佳化斷筋點!S326="","",最佳化斷筋點!S326)</f>
        <v/>
      </c>
      <c r="AS326" s="37" t="str">
        <f>IF(最佳化斷筋點!T326="","",最佳化斷筋點!T326)</f>
        <v/>
      </c>
      <c r="AT326" s="37" t="str">
        <f>IF(最佳化斷筋點!U326="","",最佳化斷筋點!U326)</f>
        <v/>
      </c>
      <c r="AU326" s="37" t="str">
        <f>IF(最佳化斷筋點!V326="","",最佳化斷筋點!V326)</f>
        <v/>
      </c>
      <c r="AV326" s="37" t="str">
        <f>IF(最佳化斷筋點!W326="","",最佳化斷筋點!W326)</f>
        <v/>
      </c>
      <c r="AW326" s="37" t="str">
        <f>IF(最佳化斷筋點!X326="","",最佳化斷筋點!X326)</f>
        <v/>
      </c>
      <c r="AZ326" s="37" t="s">
        <v>197</v>
      </c>
      <c r="BA326" s="37" t="s">
        <v>197</v>
      </c>
      <c r="BB326" s="37" t="s">
        <v>197</v>
      </c>
      <c r="BC326" s="37" t="s">
        <v>197</v>
      </c>
      <c r="BD326" s="37" t="s">
        <v>197</v>
      </c>
      <c r="BE326" s="37" t="s">
        <v>197</v>
      </c>
      <c r="BF326" s="37" t="s">
        <v>197</v>
      </c>
      <c r="BG326" s="37" t="s">
        <v>197</v>
      </c>
      <c r="BH326" s="37" t="s">
        <v>197</v>
      </c>
      <c r="BI326" s="37" t="s">
        <v>197</v>
      </c>
      <c r="BJ326" s="37" t="s">
        <v>197</v>
      </c>
      <c r="BK326" s="37" t="s">
        <v>197</v>
      </c>
      <c r="BL326" s="37" t="s">
        <v>197</v>
      </c>
      <c r="BM326" s="37" t="s">
        <v>197</v>
      </c>
      <c r="BN326" s="37" t="s">
        <v>197</v>
      </c>
      <c r="BO326" s="37" t="s">
        <v>197</v>
      </c>
      <c r="BP326" s="37" t="s">
        <v>197</v>
      </c>
      <c r="BQ326" s="37" t="s">
        <v>197</v>
      </c>
      <c r="BR326" s="37" t="s">
        <v>197</v>
      </c>
      <c r="BS326" s="37" t="s">
        <v>197</v>
      </c>
      <c r="BT326" s="37" t="s">
        <v>197</v>
      </c>
    </row>
    <row r="327" spans="5:72" x14ac:dyDescent="0.25">
      <c r="E327" s="6" t="s">
        <v>20</v>
      </c>
      <c r="F327" s="6">
        <f t="shared" si="106"/>
        <v>0</v>
      </c>
      <c r="G327" s="6">
        <f t="shared" si="107"/>
        <v>0</v>
      </c>
      <c r="H327" s="6">
        <f t="shared" si="108"/>
        <v>0</v>
      </c>
      <c r="I327" s="6">
        <f t="shared" si="109"/>
        <v>0</v>
      </c>
      <c r="J327" s="6">
        <f t="shared" si="110"/>
        <v>0</v>
      </c>
      <c r="K327" s="6">
        <f t="shared" si="111"/>
        <v>0</v>
      </c>
      <c r="L327" s="6">
        <f t="shared" si="112"/>
        <v>0</v>
      </c>
      <c r="M327" s="6">
        <f t="shared" si="113"/>
        <v>0</v>
      </c>
      <c r="N327" s="6">
        <f t="shared" si="114"/>
        <v>0</v>
      </c>
      <c r="O327" s="6">
        <f t="shared" si="115"/>
        <v>0</v>
      </c>
      <c r="P327" s="6">
        <f t="shared" si="116"/>
        <v>0</v>
      </c>
      <c r="Q327" s="6">
        <f t="shared" si="117"/>
        <v>0</v>
      </c>
      <c r="R327" s="6">
        <f t="shared" si="118"/>
        <v>0</v>
      </c>
      <c r="S327" s="6">
        <f t="shared" si="119"/>
        <v>0</v>
      </c>
      <c r="T327" s="6">
        <f t="shared" si="120"/>
        <v>0</v>
      </c>
      <c r="U327" s="6">
        <f t="shared" si="121"/>
        <v>0</v>
      </c>
      <c r="V327" s="6">
        <f t="shared" si="122"/>
        <v>0</v>
      </c>
      <c r="W327" s="6">
        <f t="shared" si="123"/>
        <v>0</v>
      </c>
      <c r="X327" s="6">
        <f t="shared" si="124"/>
        <v>0</v>
      </c>
      <c r="Y327" s="6">
        <f t="shared" si="125"/>
        <v>0</v>
      </c>
      <c r="Z327" s="6">
        <f t="shared" si="126"/>
        <v>0</v>
      </c>
      <c r="AB327" s="36" t="str">
        <f>IF(最佳化斷筋點!C327="","",最佳化斷筋點!C327)</f>
        <v>上層</v>
      </c>
      <c r="AC327" s="37">
        <f>IF(最佳化斷筋點!D327="","",最佳化斷筋點!D327)</f>
        <v>8</v>
      </c>
      <c r="AD327" s="37">
        <f>IF(最佳化斷筋點!E327="","",最佳化斷筋點!E327)</f>
        <v>8</v>
      </c>
      <c r="AE327" s="37">
        <f>IF(最佳化斷筋點!F327="","",最佳化斷筋點!F327)</f>
        <v>8</v>
      </c>
      <c r="AF327" s="37">
        <f>IF(最佳化斷筋點!G327="","",最佳化斷筋點!G327)</f>
        <v>8</v>
      </c>
      <c r="AG327" s="37">
        <f>IF(最佳化斷筋點!H327="","",最佳化斷筋點!H327)</f>
        <v>8</v>
      </c>
      <c r="AH327" s="37">
        <f>IF(最佳化斷筋點!I327="","",最佳化斷筋點!I327)</f>
        <v>7</v>
      </c>
      <c r="AI327" s="37">
        <f>IF(最佳化斷筋點!J327="","",最佳化斷筋點!J327)</f>
        <v>6</v>
      </c>
      <c r="AJ327" s="37">
        <f>IF(最佳化斷筋點!K327="","",最佳化斷筋點!K327)</f>
        <v>4</v>
      </c>
      <c r="AK327" s="37">
        <f>IF(最佳化斷筋點!L327="","",最佳化斷筋點!L327)</f>
        <v>4</v>
      </c>
      <c r="AL327" s="37">
        <f>IF(最佳化斷筋點!M327="","",最佳化斷筋點!M327)</f>
        <v>4</v>
      </c>
      <c r="AM327" s="37">
        <f>IF(最佳化斷筋點!N327="","",最佳化斷筋點!N327)</f>
        <v>3</v>
      </c>
      <c r="AN327" s="37">
        <f>IF(最佳化斷筋點!O327="","",最佳化斷筋點!O327)</f>
        <v>4</v>
      </c>
      <c r="AO327" s="37">
        <f>IF(最佳化斷筋點!P327="","",最佳化斷筋點!P327)</f>
        <v>4</v>
      </c>
      <c r="AP327" s="37">
        <f>IF(最佳化斷筋點!Q327="","",最佳化斷筋點!Q327)</f>
        <v>6</v>
      </c>
      <c r="AQ327" s="37">
        <f>IF(最佳化斷筋點!R327="","",最佳化斷筋點!R327)</f>
        <v>7</v>
      </c>
      <c r="AR327" s="37">
        <f>IF(最佳化斷筋點!S327="","",最佳化斷筋點!S327)</f>
        <v>8</v>
      </c>
      <c r="AS327" s="37">
        <f>IF(最佳化斷筋點!T327="","",最佳化斷筋點!T327)</f>
        <v>9</v>
      </c>
      <c r="AT327" s="37">
        <f>IF(最佳化斷筋點!U327="","",最佳化斷筋點!U327)</f>
        <v>10</v>
      </c>
      <c r="AU327" s="37">
        <f>IF(最佳化斷筋點!V327="","",最佳化斷筋點!V327)</f>
        <v>10</v>
      </c>
      <c r="AV327" s="37">
        <f>IF(最佳化斷筋點!W327="","",最佳化斷筋點!W327)</f>
        <v>10</v>
      </c>
      <c r="AW327" s="37">
        <f>IF(最佳化斷筋點!X327="","",最佳化斷筋點!X327)</f>
        <v>10</v>
      </c>
      <c r="AY327" s="6" t="s">
        <v>20</v>
      </c>
      <c r="AZ327" s="37">
        <v>8</v>
      </c>
      <c r="BA327" s="37">
        <v>8</v>
      </c>
      <c r="BB327" s="37">
        <v>8</v>
      </c>
      <c r="BC327" s="37">
        <v>8</v>
      </c>
      <c r="BD327" s="37">
        <v>8</v>
      </c>
      <c r="BE327" s="37">
        <v>7</v>
      </c>
      <c r="BF327" s="37">
        <v>6</v>
      </c>
      <c r="BG327" s="37">
        <v>4</v>
      </c>
      <c r="BH327" s="37">
        <v>4</v>
      </c>
      <c r="BI327" s="37">
        <v>4</v>
      </c>
      <c r="BJ327" s="37">
        <v>3</v>
      </c>
      <c r="BK327" s="37">
        <v>4</v>
      </c>
      <c r="BL327" s="37">
        <v>4</v>
      </c>
      <c r="BM327" s="37">
        <v>6</v>
      </c>
      <c r="BN327" s="37">
        <v>7</v>
      </c>
      <c r="BO327" s="37">
        <v>8</v>
      </c>
      <c r="BP327" s="37">
        <v>9</v>
      </c>
      <c r="BQ327" s="37">
        <v>10</v>
      </c>
      <c r="BR327" s="37">
        <v>10</v>
      </c>
      <c r="BS327" s="37">
        <v>10</v>
      </c>
      <c r="BT327" s="37">
        <v>10</v>
      </c>
    </row>
    <row r="328" spans="5:72" x14ac:dyDescent="0.25">
      <c r="F328" s="6">
        <f t="shared" si="106"/>
        <v>0</v>
      </c>
      <c r="G328" s="6">
        <f t="shared" si="107"/>
        <v>0</v>
      </c>
      <c r="H328" s="6">
        <f t="shared" si="108"/>
        <v>0</v>
      </c>
      <c r="I328" s="6">
        <f t="shared" si="109"/>
        <v>0</v>
      </c>
      <c r="J328" s="6">
        <f t="shared" si="110"/>
        <v>0</v>
      </c>
      <c r="K328" s="6">
        <f t="shared" si="111"/>
        <v>0</v>
      </c>
      <c r="L328" s="6">
        <f t="shared" si="112"/>
        <v>0</v>
      </c>
      <c r="M328" s="6">
        <f t="shared" si="113"/>
        <v>0</v>
      </c>
      <c r="N328" s="6">
        <f t="shared" si="114"/>
        <v>0</v>
      </c>
      <c r="O328" s="6">
        <f t="shared" si="115"/>
        <v>0</v>
      </c>
      <c r="P328" s="6">
        <f t="shared" si="116"/>
        <v>0</v>
      </c>
      <c r="Q328" s="6">
        <f t="shared" si="117"/>
        <v>0</v>
      </c>
      <c r="R328" s="6">
        <f t="shared" si="118"/>
        <v>0</v>
      </c>
      <c r="S328" s="6">
        <f t="shared" si="119"/>
        <v>0</v>
      </c>
      <c r="T328" s="6">
        <f t="shared" si="120"/>
        <v>0</v>
      </c>
      <c r="U328" s="6">
        <f t="shared" si="121"/>
        <v>0</v>
      </c>
      <c r="V328" s="6">
        <f t="shared" si="122"/>
        <v>0</v>
      </c>
      <c r="W328" s="6">
        <f t="shared" si="123"/>
        <v>0</v>
      </c>
      <c r="X328" s="6">
        <f t="shared" si="124"/>
        <v>0</v>
      </c>
      <c r="Y328" s="6">
        <f t="shared" si="125"/>
        <v>0</v>
      </c>
      <c r="Z328" s="6">
        <f t="shared" si="126"/>
        <v>0</v>
      </c>
      <c r="AB328" s="36" t="str">
        <f>IF(最佳化斷筋點!C328="","",最佳化斷筋點!C328)</f>
        <v/>
      </c>
      <c r="AC328" s="37" t="str">
        <f>IF(最佳化斷筋點!D328="","",最佳化斷筋點!D328)</f>
        <v/>
      </c>
      <c r="AD328" s="37" t="str">
        <f>IF(最佳化斷筋點!E328="","",最佳化斷筋點!E328)</f>
        <v/>
      </c>
      <c r="AE328" s="37" t="str">
        <f>IF(最佳化斷筋點!F328="","",最佳化斷筋點!F328)</f>
        <v/>
      </c>
      <c r="AF328" s="37" t="str">
        <f>IF(最佳化斷筋點!G328="","",最佳化斷筋點!G328)</f>
        <v/>
      </c>
      <c r="AG328" s="37" t="str">
        <f>IF(最佳化斷筋點!H328="","",最佳化斷筋點!H328)</f>
        <v/>
      </c>
      <c r="AH328" s="37" t="str">
        <f>IF(最佳化斷筋點!I328="","",最佳化斷筋點!I328)</f>
        <v/>
      </c>
      <c r="AI328" s="37" t="str">
        <f>IF(最佳化斷筋點!J328="","",最佳化斷筋點!J328)</f>
        <v/>
      </c>
      <c r="AJ328" s="37" t="str">
        <f>IF(最佳化斷筋點!K328="","",最佳化斷筋點!K328)</f>
        <v/>
      </c>
      <c r="AK328" s="37" t="str">
        <f>IF(最佳化斷筋點!L328="","",最佳化斷筋點!L328)</f>
        <v/>
      </c>
      <c r="AL328" s="37" t="str">
        <f>IF(最佳化斷筋點!M328="","",最佳化斷筋點!M328)</f>
        <v/>
      </c>
      <c r="AM328" s="37" t="str">
        <f>IF(最佳化斷筋點!N328="","",最佳化斷筋點!N328)</f>
        <v/>
      </c>
      <c r="AN328" s="37" t="str">
        <f>IF(最佳化斷筋點!O328="","",最佳化斷筋點!O328)</f>
        <v/>
      </c>
      <c r="AO328" s="37" t="str">
        <f>IF(最佳化斷筋點!P328="","",最佳化斷筋點!P328)</f>
        <v/>
      </c>
      <c r="AP328" s="37" t="str">
        <f>IF(最佳化斷筋點!Q328="","",最佳化斷筋點!Q328)</f>
        <v/>
      </c>
      <c r="AQ328" s="37" t="str">
        <f>IF(最佳化斷筋點!R328="","",最佳化斷筋點!R328)</f>
        <v/>
      </c>
      <c r="AR328" s="37" t="str">
        <f>IF(最佳化斷筋點!S328="","",最佳化斷筋點!S328)</f>
        <v/>
      </c>
      <c r="AS328" s="37" t="str">
        <f>IF(最佳化斷筋點!T328="","",最佳化斷筋點!T328)</f>
        <v/>
      </c>
      <c r="AT328" s="37" t="str">
        <f>IF(最佳化斷筋點!U328="","",最佳化斷筋點!U328)</f>
        <v/>
      </c>
      <c r="AU328" s="37" t="str">
        <f>IF(最佳化斷筋點!V328="","",最佳化斷筋點!V328)</f>
        <v/>
      </c>
      <c r="AV328" s="37" t="str">
        <f>IF(最佳化斷筋點!W328="","",最佳化斷筋點!W328)</f>
        <v/>
      </c>
      <c r="AW328" s="37" t="str">
        <f>IF(最佳化斷筋點!X328="","",最佳化斷筋點!X328)</f>
        <v/>
      </c>
      <c r="AZ328" s="37" t="s">
        <v>197</v>
      </c>
      <c r="BA328" s="37" t="s">
        <v>197</v>
      </c>
      <c r="BB328" s="37" t="s">
        <v>197</v>
      </c>
      <c r="BC328" s="37" t="s">
        <v>197</v>
      </c>
      <c r="BD328" s="37" t="s">
        <v>197</v>
      </c>
      <c r="BE328" s="37" t="s">
        <v>197</v>
      </c>
      <c r="BF328" s="37" t="s">
        <v>197</v>
      </c>
      <c r="BG328" s="37" t="s">
        <v>197</v>
      </c>
      <c r="BH328" s="37" t="s">
        <v>197</v>
      </c>
      <c r="BI328" s="37" t="s">
        <v>197</v>
      </c>
      <c r="BJ328" s="37" t="s">
        <v>197</v>
      </c>
      <c r="BK328" s="37" t="s">
        <v>197</v>
      </c>
      <c r="BL328" s="37" t="s">
        <v>197</v>
      </c>
      <c r="BM328" s="37" t="s">
        <v>197</v>
      </c>
      <c r="BN328" s="37" t="s">
        <v>197</v>
      </c>
      <c r="BO328" s="37" t="s">
        <v>197</v>
      </c>
      <c r="BP328" s="37" t="s">
        <v>197</v>
      </c>
      <c r="BQ328" s="37" t="s">
        <v>197</v>
      </c>
      <c r="BR328" s="37" t="s">
        <v>197</v>
      </c>
      <c r="BS328" s="37" t="s">
        <v>197</v>
      </c>
      <c r="BT328" s="37" t="s">
        <v>197</v>
      </c>
    </row>
    <row r="329" spans="5:72" x14ac:dyDescent="0.25">
      <c r="E329" s="6" t="s">
        <v>21</v>
      </c>
      <c r="F329" s="6">
        <f t="shared" si="106"/>
        <v>0</v>
      </c>
      <c r="G329" s="6">
        <f t="shared" si="107"/>
        <v>0</v>
      </c>
      <c r="H329" s="6">
        <f t="shared" si="108"/>
        <v>0</v>
      </c>
      <c r="I329" s="6">
        <f t="shared" si="109"/>
        <v>0</v>
      </c>
      <c r="J329" s="6">
        <f t="shared" si="110"/>
        <v>0</v>
      </c>
      <c r="K329" s="6">
        <f t="shared" si="111"/>
        <v>0</v>
      </c>
      <c r="L329" s="6">
        <f t="shared" si="112"/>
        <v>0</v>
      </c>
      <c r="M329" s="6">
        <f t="shared" si="113"/>
        <v>0</v>
      </c>
      <c r="N329" s="6">
        <f t="shared" si="114"/>
        <v>0</v>
      </c>
      <c r="O329" s="6">
        <f t="shared" si="115"/>
        <v>0</v>
      </c>
      <c r="P329" s="6">
        <f t="shared" si="116"/>
        <v>0</v>
      </c>
      <c r="Q329" s="6">
        <f t="shared" si="117"/>
        <v>0</v>
      </c>
      <c r="R329" s="6">
        <f t="shared" si="118"/>
        <v>0</v>
      </c>
      <c r="S329" s="6">
        <f t="shared" si="119"/>
        <v>0</v>
      </c>
      <c r="T329" s="6">
        <f t="shared" si="120"/>
        <v>0</v>
      </c>
      <c r="U329" s="6">
        <f t="shared" si="121"/>
        <v>0</v>
      </c>
      <c r="V329" s="6">
        <f t="shared" si="122"/>
        <v>0</v>
      </c>
      <c r="W329" s="6">
        <f t="shared" si="123"/>
        <v>0</v>
      </c>
      <c r="X329" s="6">
        <f t="shared" si="124"/>
        <v>0</v>
      </c>
      <c r="Y329" s="6">
        <f t="shared" si="125"/>
        <v>0</v>
      </c>
      <c r="Z329" s="6">
        <f t="shared" si="126"/>
        <v>0</v>
      </c>
      <c r="AB329" s="36" t="str">
        <f>IF(最佳化斷筋點!C329="","",最佳化斷筋點!C329)</f>
        <v>下層</v>
      </c>
      <c r="AC329" s="37">
        <f>IF(最佳化斷筋點!D329="","",最佳化斷筋點!D329)</f>
        <v>4</v>
      </c>
      <c r="AD329" s="37">
        <f>IF(最佳化斷筋點!E329="","",最佳化斷筋點!E329)</f>
        <v>4</v>
      </c>
      <c r="AE329" s="37">
        <f>IF(最佳化斷筋點!F329="","",最佳化斷筋點!F329)</f>
        <v>4</v>
      </c>
      <c r="AF329" s="37">
        <f>IF(最佳化斷筋點!G329="","",最佳化斷筋點!G329)</f>
        <v>4</v>
      </c>
      <c r="AG329" s="37">
        <f>IF(最佳化斷筋點!H329="","",最佳化斷筋點!H329)</f>
        <v>4</v>
      </c>
      <c r="AH329" s="37">
        <f>IF(最佳化斷筋點!I329="","",最佳化斷筋點!I329)</f>
        <v>3</v>
      </c>
      <c r="AI329" s="37">
        <f>IF(最佳化斷筋點!J329="","",最佳化斷筋點!J329)</f>
        <v>3</v>
      </c>
      <c r="AJ329" s="37">
        <f>IF(最佳化斷筋點!K329="","",最佳化斷筋點!K329)</f>
        <v>3</v>
      </c>
      <c r="AK329" s="37">
        <f>IF(最佳化斷筋點!L329="","",最佳化斷筋點!L329)</f>
        <v>3</v>
      </c>
      <c r="AL329" s="37">
        <f>IF(最佳化斷筋點!M329="","",最佳化斷筋點!M329)</f>
        <v>3</v>
      </c>
      <c r="AM329" s="37">
        <f>IF(最佳化斷筋點!N329="","",最佳化斷筋點!N329)</f>
        <v>3</v>
      </c>
      <c r="AN329" s="37">
        <f>IF(最佳化斷筋點!O329="","",最佳化斷筋點!O329)</f>
        <v>3</v>
      </c>
      <c r="AO329" s="37">
        <f>IF(最佳化斷筋點!P329="","",最佳化斷筋點!P329)</f>
        <v>3</v>
      </c>
      <c r="AP329" s="37">
        <f>IF(最佳化斷筋點!Q329="","",最佳化斷筋點!Q329)</f>
        <v>3</v>
      </c>
      <c r="AQ329" s="37">
        <f>IF(最佳化斷筋點!R329="","",最佳化斷筋點!R329)</f>
        <v>4</v>
      </c>
      <c r="AR329" s="37">
        <f>IF(最佳化斷筋點!S329="","",最佳化斷筋點!S329)</f>
        <v>4</v>
      </c>
      <c r="AS329" s="37">
        <f>IF(最佳化斷筋點!T329="","",最佳化斷筋點!T329)</f>
        <v>5</v>
      </c>
      <c r="AT329" s="37">
        <f>IF(最佳化斷筋點!U329="","",最佳化斷筋點!U329)</f>
        <v>5</v>
      </c>
      <c r="AU329" s="37">
        <f>IF(最佳化斷筋點!V329="","",最佳化斷筋點!V329)</f>
        <v>6</v>
      </c>
      <c r="AV329" s="37">
        <f>IF(最佳化斷筋點!W329="","",最佳化斷筋點!W329)</f>
        <v>6</v>
      </c>
      <c r="AW329" s="37">
        <f>IF(最佳化斷筋點!X329="","",最佳化斷筋點!X329)</f>
        <v>6</v>
      </c>
      <c r="AY329" s="6" t="s">
        <v>21</v>
      </c>
      <c r="AZ329" s="37">
        <v>4</v>
      </c>
      <c r="BA329" s="37">
        <v>4</v>
      </c>
      <c r="BB329" s="37">
        <v>4</v>
      </c>
      <c r="BC329" s="37">
        <v>4</v>
      </c>
      <c r="BD329" s="37">
        <v>4</v>
      </c>
      <c r="BE329" s="37">
        <v>3</v>
      </c>
      <c r="BF329" s="37">
        <v>3</v>
      </c>
      <c r="BG329" s="37">
        <v>3</v>
      </c>
      <c r="BH329" s="37">
        <v>3</v>
      </c>
      <c r="BI329" s="37">
        <v>3</v>
      </c>
      <c r="BJ329" s="37">
        <v>3</v>
      </c>
      <c r="BK329" s="37">
        <v>3</v>
      </c>
      <c r="BL329" s="37">
        <v>3</v>
      </c>
      <c r="BM329" s="37">
        <v>3</v>
      </c>
      <c r="BN329" s="37">
        <v>4</v>
      </c>
      <c r="BO329" s="37">
        <v>4</v>
      </c>
      <c r="BP329" s="37">
        <v>5</v>
      </c>
      <c r="BQ329" s="37">
        <v>5</v>
      </c>
      <c r="BR329" s="37">
        <v>6</v>
      </c>
      <c r="BS329" s="37">
        <v>6</v>
      </c>
      <c r="BT329" s="37">
        <v>6</v>
      </c>
    </row>
    <row r="330" spans="5:72" x14ac:dyDescent="0.25">
      <c r="F330" s="6">
        <f t="shared" si="106"/>
        <v>0</v>
      </c>
      <c r="G330" s="6">
        <f t="shared" si="107"/>
        <v>0</v>
      </c>
      <c r="H330" s="6">
        <f t="shared" si="108"/>
        <v>0</v>
      </c>
      <c r="I330" s="6">
        <f t="shared" si="109"/>
        <v>0</v>
      </c>
      <c r="J330" s="6">
        <f t="shared" si="110"/>
        <v>0</v>
      </c>
      <c r="K330" s="6">
        <f t="shared" si="111"/>
        <v>0</v>
      </c>
      <c r="L330" s="6">
        <f t="shared" si="112"/>
        <v>0</v>
      </c>
      <c r="M330" s="6">
        <f t="shared" si="113"/>
        <v>0</v>
      </c>
      <c r="N330" s="6">
        <f t="shared" si="114"/>
        <v>0</v>
      </c>
      <c r="O330" s="6">
        <f t="shared" si="115"/>
        <v>0</v>
      </c>
      <c r="P330" s="6">
        <f t="shared" si="116"/>
        <v>0</v>
      </c>
      <c r="Q330" s="6">
        <f t="shared" si="117"/>
        <v>0</v>
      </c>
      <c r="R330" s="6">
        <f t="shared" si="118"/>
        <v>0</v>
      </c>
      <c r="S330" s="6">
        <f t="shared" si="119"/>
        <v>0</v>
      </c>
      <c r="T330" s="6">
        <f t="shared" si="120"/>
        <v>0</v>
      </c>
      <c r="U330" s="6">
        <f t="shared" si="121"/>
        <v>0</v>
      </c>
      <c r="V330" s="6">
        <f t="shared" si="122"/>
        <v>0</v>
      </c>
      <c r="W330" s="6">
        <f t="shared" si="123"/>
        <v>0</v>
      </c>
      <c r="X330" s="6">
        <f t="shared" si="124"/>
        <v>0</v>
      </c>
      <c r="Y330" s="6">
        <f t="shared" si="125"/>
        <v>0</v>
      </c>
      <c r="Z330" s="6">
        <f t="shared" si="126"/>
        <v>0</v>
      </c>
      <c r="AB330" s="36" t="str">
        <f>IF(最佳化斷筋點!C330="","",最佳化斷筋點!C330)</f>
        <v/>
      </c>
      <c r="AC330" s="37" t="str">
        <f>IF(最佳化斷筋點!D330="","",最佳化斷筋點!D330)</f>
        <v/>
      </c>
      <c r="AD330" s="37" t="str">
        <f>IF(最佳化斷筋點!E330="","",最佳化斷筋點!E330)</f>
        <v/>
      </c>
      <c r="AE330" s="37" t="str">
        <f>IF(最佳化斷筋點!F330="","",最佳化斷筋點!F330)</f>
        <v/>
      </c>
      <c r="AF330" s="37" t="str">
        <f>IF(最佳化斷筋點!G330="","",最佳化斷筋點!G330)</f>
        <v/>
      </c>
      <c r="AG330" s="37" t="str">
        <f>IF(最佳化斷筋點!H330="","",最佳化斷筋點!H330)</f>
        <v/>
      </c>
      <c r="AH330" s="37" t="str">
        <f>IF(最佳化斷筋點!I330="","",最佳化斷筋點!I330)</f>
        <v/>
      </c>
      <c r="AI330" s="37" t="str">
        <f>IF(最佳化斷筋點!J330="","",最佳化斷筋點!J330)</f>
        <v/>
      </c>
      <c r="AJ330" s="37" t="str">
        <f>IF(最佳化斷筋點!K330="","",最佳化斷筋點!K330)</f>
        <v/>
      </c>
      <c r="AK330" s="37" t="str">
        <f>IF(最佳化斷筋點!L330="","",最佳化斷筋點!L330)</f>
        <v/>
      </c>
      <c r="AL330" s="37" t="str">
        <f>IF(最佳化斷筋點!M330="","",最佳化斷筋點!M330)</f>
        <v/>
      </c>
      <c r="AM330" s="37" t="str">
        <f>IF(最佳化斷筋點!N330="","",最佳化斷筋點!N330)</f>
        <v/>
      </c>
      <c r="AN330" s="37" t="str">
        <f>IF(最佳化斷筋點!O330="","",最佳化斷筋點!O330)</f>
        <v/>
      </c>
      <c r="AO330" s="37" t="str">
        <f>IF(最佳化斷筋點!P330="","",最佳化斷筋點!P330)</f>
        <v/>
      </c>
      <c r="AP330" s="37" t="str">
        <f>IF(最佳化斷筋點!Q330="","",最佳化斷筋點!Q330)</f>
        <v/>
      </c>
      <c r="AQ330" s="37" t="str">
        <f>IF(最佳化斷筋點!R330="","",最佳化斷筋點!R330)</f>
        <v/>
      </c>
      <c r="AR330" s="37" t="str">
        <f>IF(最佳化斷筋點!S330="","",最佳化斷筋點!S330)</f>
        <v/>
      </c>
      <c r="AS330" s="37" t="str">
        <f>IF(最佳化斷筋點!T330="","",最佳化斷筋點!T330)</f>
        <v/>
      </c>
      <c r="AT330" s="37" t="str">
        <f>IF(最佳化斷筋點!U330="","",最佳化斷筋點!U330)</f>
        <v/>
      </c>
      <c r="AU330" s="37" t="str">
        <f>IF(最佳化斷筋點!V330="","",最佳化斷筋點!V330)</f>
        <v/>
      </c>
      <c r="AV330" s="37" t="str">
        <f>IF(最佳化斷筋點!W330="","",最佳化斷筋點!W330)</f>
        <v/>
      </c>
      <c r="AW330" s="37" t="str">
        <f>IF(最佳化斷筋點!X330="","",最佳化斷筋點!X330)</f>
        <v/>
      </c>
      <c r="AZ330" s="37" t="s">
        <v>197</v>
      </c>
      <c r="BA330" s="37" t="s">
        <v>197</v>
      </c>
      <c r="BB330" s="37" t="s">
        <v>197</v>
      </c>
      <c r="BC330" s="37" t="s">
        <v>197</v>
      </c>
      <c r="BD330" s="37" t="s">
        <v>197</v>
      </c>
      <c r="BE330" s="37" t="s">
        <v>197</v>
      </c>
      <c r="BF330" s="37" t="s">
        <v>197</v>
      </c>
      <c r="BG330" s="37" t="s">
        <v>197</v>
      </c>
      <c r="BH330" s="37" t="s">
        <v>197</v>
      </c>
      <c r="BI330" s="37" t="s">
        <v>197</v>
      </c>
      <c r="BJ330" s="37" t="s">
        <v>197</v>
      </c>
      <c r="BK330" s="37" t="s">
        <v>197</v>
      </c>
      <c r="BL330" s="37" t="s">
        <v>197</v>
      </c>
      <c r="BM330" s="37" t="s">
        <v>197</v>
      </c>
      <c r="BN330" s="37" t="s">
        <v>197</v>
      </c>
      <c r="BO330" s="37" t="s">
        <v>197</v>
      </c>
      <c r="BP330" s="37" t="s">
        <v>197</v>
      </c>
      <c r="BQ330" s="37" t="s">
        <v>197</v>
      </c>
      <c r="BR330" s="37" t="s">
        <v>197</v>
      </c>
      <c r="BS330" s="37" t="s">
        <v>197</v>
      </c>
      <c r="BT330" s="37" t="s">
        <v>197</v>
      </c>
    </row>
    <row r="331" spans="5:72" x14ac:dyDescent="0.25">
      <c r="E331" s="6" t="s">
        <v>20</v>
      </c>
      <c r="F331" s="6">
        <f t="shared" si="106"/>
        <v>0</v>
      </c>
      <c r="G331" s="6">
        <f t="shared" si="107"/>
        <v>0</v>
      </c>
      <c r="H331" s="6">
        <f t="shared" si="108"/>
        <v>0</v>
      </c>
      <c r="I331" s="6">
        <f t="shared" si="109"/>
        <v>0</v>
      </c>
      <c r="J331" s="6">
        <f t="shared" si="110"/>
        <v>0</v>
      </c>
      <c r="K331" s="6">
        <f t="shared" si="111"/>
        <v>0</v>
      </c>
      <c r="L331" s="6">
        <f t="shared" si="112"/>
        <v>0</v>
      </c>
      <c r="M331" s="6">
        <f t="shared" si="113"/>
        <v>0</v>
      </c>
      <c r="N331" s="6">
        <f t="shared" si="114"/>
        <v>0</v>
      </c>
      <c r="O331" s="6">
        <f t="shared" si="115"/>
        <v>0</v>
      </c>
      <c r="P331" s="6">
        <f t="shared" si="116"/>
        <v>0</v>
      </c>
      <c r="Q331" s="6">
        <f t="shared" si="117"/>
        <v>0</v>
      </c>
      <c r="R331" s="6">
        <f t="shared" si="118"/>
        <v>0</v>
      </c>
      <c r="S331" s="6">
        <f t="shared" si="119"/>
        <v>0</v>
      </c>
      <c r="T331" s="6">
        <f t="shared" si="120"/>
        <v>0</v>
      </c>
      <c r="U331" s="6">
        <f t="shared" si="121"/>
        <v>0</v>
      </c>
      <c r="V331" s="6">
        <f t="shared" si="122"/>
        <v>0</v>
      </c>
      <c r="W331" s="6">
        <f t="shared" si="123"/>
        <v>0</v>
      </c>
      <c r="X331" s="6">
        <f t="shared" si="124"/>
        <v>0</v>
      </c>
      <c r="Y331" s="6">
        <f t="shared" si="125"/>
        <v>0</v>
      </c>
      <c r="Z331" s="6">
        <f t="shared" si="126"/>
        <v>0</v>
      </c>
      <c r="AB331" s="36" t="str">
        <f>IF(最佳化斷筋點!C331="","",最佳化斷筋點!C331)</f>
        <v>上層</v>
      </c>
      <c r="AC331" s="37">
        <f>IF(最佳化斷筋點!D331="","",最佳化斷筋點!D331)</f>
        <v>8</v>
      </c>
      <c r="AD331" s="37">
        <f>IF(最佳化斷筋點!E331="","",最佳化斷筋點!E331)</f>
        <v>8</v>
      </c>
      <c r="AE331" s="37">
        <f>IF(最佳化斷筋點!F331="","",最佳化斷筋點!F331)</f>
        <v>8</v>
      </c>
      <c r="AF331" s="37">
        <f>IF(最佳化斷筋點!G331="","",最佳化斷筋點!G331)</f>
        <v>8</v>
      </c>
      <c r="AG331" s="37">
        <f>IF(最佳化斷筋點!H331="","",最佳化斷筋點!H331)</f>
        <v>8</v>
      </c>
      <c r="AH331" s="37">
        <f>IF(最佳化斷筋點!I331="","",最佳化斷筋點!I331)</f>
        <v>8</v>
      </c>
      <c r="AI331" s="37">
        <f>IF(最佳化斷筋點!J331="","",最佳化斷筋點!J331)</f>
        <v>8</v>
      </c>
      <c r="AJ331" s="37">
        <f>IF(最佳化斷筋點!K331="","",最佳化斷筋點!K331)</f>
        <v>3</v>
      </c>
      <c r="AK331" s="37">
        <f>IF(最佳化斷筋點!L331="","",最佳化斷筋點!L331)</f>
        <v>3</v>
      </c>
      <c r="AL331" s="37">
        <f>IF(最佳化斷筋點!M331="","",最佳化斷筋點!M331)</f>
        <v>3</v>
      </c>
      <c r="AM331" s="37">
        <f>IF(最佳化斷筋點!N331="","",最佳化斷筋點!N331)</f>
        <v>3</v>
      </c>
      <c r="AN331" s="37">
        <f>IF(最佳化斷筋點!O331="","",最佳化斷筋點!O331)</f>
        <v>3</v>
      </c>
      <c r="AO331" s="37">
        <f>IF(最佳化斷筋點!P331="","",最佳化斷筋點!P331)</f>
        <v>3</v>
      </c>
      <c r="AP331" s="37">
        <f>IF(最佳化斷筋點!Q331="","",最佳化斷筋點!Q331)</f>
        <v>7</v>
      </c>
      <c r="AQ331" s="37">
        <f>IF(最佳化斷筋點!R331="","",最佳化斷筋點!R331)</f>
        <v>8</v>
      </c>
      <c r="AR331" s="37">
        <f>IF(最佳化斷筋點!S331="","",最佳化斷筋點!S331)</f>
        <v>8</v>
      </c>
      <c r="AS331" s="37">
        <f>IF(最佳化斷筋點!T331="","",最佳化斷筋點!T331)</f>
        <v>8</v>
      </c>
      <c r="AT331" s="37">
        <f>IF(最佳化斷筋點!U331="","",最佳化斷筋點!U331)</f>
        <v>8</v>
      </c>
      <c r="AU331" s="37">
        <f>IF(最佳化斷筋點!V331="","",最佳化斷筋點!V331)</f>
        <v>8</v>
      </c>
      <c r="AV331" s="37">
        <f>IF(最佳化斷筋點!W331="","",最佳化斷筋點!W331)</f>
        <v>8</v>
      </c>
      <c r="AW331" s="37">
        <f>IF(最佳化斷筋點!X331="","",最佳化斷筋點!X331)</f>
        <v>8</v>
      </c>
      <c r="AY331" s="6" t="s">
        <v>20</v>
      </c>
      <c r="AZ331" s="37">
        <v>8</v>
      </c>
      <c r="BA331" s="37">
        <v>8</v>
      </c>
      <c r="BB331" s="37">
        <v>8</v>
      </c>
      <c r="BC331" s="37">
        <v>8</v>
      </c>
      <c r="BD331" s="37">
        <v>8</v>
      </c>
      <c r="BE331" s="37">
        <v>8</v>
      </c>
      <c r="BF331" s="37">
        <v>8</v>
      </c>
      <c r="BG331" s="37">
        <v>3</v>
      </c>
      <c r="BH331" s="37">
        <v>3</v>
      </c>
      <c r="BI331" s="37">
        <v>3</v>
      </c>
      <c r="BJ331" s="37">
        <v>3</v>
      </c>
      <c r="BK331" s="37">
        <v>3</v>
      </c>
      <c r="BL331" s="37">
        <v>3</v>
      </c>
      <c r="BM331" s="37">
        <v>7</v>
      </c>
      <c r="BN331" s="37">
        <v>8</v>
      </c>
      <c r="BO331" s="37">
        <v>8</v>
      </c>
      <c r="BP331" s="37">
        <v>8</v>
      </c>
      <c r="BQ331" s="37">
        <v>8</v>
      </c>
      <c r="BR331" s="37">
        <v>8</v>
      </c>
      <c r="BS331" s="37">
        <v>8</v>
      </c>
      <c r="BT331" s="37">
        <v>8</v>
      </c>
    </row>
    <row r="332" spans="5:72" x14ac:dyDescent="0.25">
      <c r="F332" s="6">
        <f t="shared" si="106"/>
        <v>0</v>
      </c>
      <c r="G332" s="6">
        <f t="shared" si="107"/>
        <v>0</v>
      </c>
      <c r="H332" s="6">
        <f t="shared" si="108"/>
        <v>0</v>
      </c>
      <c r="I332" s="6">
        <f t="shared" si="109"/>
        <v>0</v>
      </c>
      <c r="J332" s="6">
        <f t="shared" si="110"/>
        <v>0</v>
      </c>
      <c r="K332" s="6">
        <f t="shared" si="111"/>
        <v>0</v>
      </c>
      <c r="L332" s="6">
        <f t="shared" si="112"/>
        <v>0</v>
      </c>
      <c r="M332" s="6">
        <f t="shared" si="113"/>
        <v>0</v>
      </c>
      <c r="N332" s="6">
        <f t="shared" si="114"/>
        <v>0</v>
      </c>
      <c r="O332" s="6">
        <f t="shared" si="115"/>
        <v>0</v>
      </c>
      <c r="P332" s="6">
        <f t="shared" si="116"/>
        <v>0</v>
      </c>
      <c r="Q332" s="6">
        <f t="shared" si="117"/>
        <v>0</v>
      </c>
      <c r="R332" s="6">
        <f t="shared" si="118"/>
        <v>0</v>
      </c>
      <c r="S332" s="6">
        <f t="shared" si="119"/>
        <v>0</v>
      </c>
      <c r="T332" s="6">
        <f t="shared" si="120"/>
        <v>0</v>
      </c>
      <c r="U332" s="6">
        <f t="shared" si="121"/>
        <v>0</v>
      </c>
      <c r="V332" s="6">
        <f t="shared" si="122"/>
        <v>0</v>
      </c>
      <c r="W332" s="6">
        <f t="shared" si="123"/>
        <v>0</v>
      </c>
      <c r="X332" s="6">
        <f t="shared" si="124"/>
        <v>0</v>
      </c>
      <c r="Y332" s="6">
        <f t="shared" si="125"/>
        <v>0</v>
      </c>
      <c r="Z332" s="6">
        <f t="shared" si="126"/>
        <v>0</v>
      </c>
      <c r="AB332" s="36" t="str">
        <f>IF(最佳化斷筋點!C332="","",最佳化斷筋點!C332)</f>
        <v/>
      </c>
      <c r="AC332" s="36" t="str">
        <f>IF(最佳化斷筋點!D332="","",最佳化斷筋點!D332)</f>
        <v/>
      </c>
      <c r="AD332" s="36" t="str">
        <f>IF(最佳化斷筋點!E332="","",最佳化斷筋點!E332)</f>
        <v/>
      </c>
      <c r="AE332" s="36" t="str">
        <f>IF(最佳化斷筋點!F332="","",最佳化斷筋點!F332)</f>
        <v/>
      </c>
      <c r="AF332" s="36" t="str">
        <f>IF(最佳化斷筋點!G332="","",最佳化斷筋點!G332)</f>
        <v/>
      </c>
      <c r="AG332" s="36" t="str">
        <f>IF(最佳化斷筋點!H332="","",最佳化斷筋點!H332)</f>
        <v/>
      </c>
      <c r="AH332" s="36" t="str">
        <f>IF(最佳化斷筋點!I332="","",最佳化斷筋點!I332)</f>
        <v/>
      </c>
      <c r="AI332" s="36" t="str">
        <f>IF(最佳化斷筋點!J332="","",最佳化斷筋點!J332)</f>
        <v/>
      </c>
      <c r="AJ332" s="36" t="str">
        <f>IF(最佳化斷筋點!K332="","",最佳化斷筋點!K332)</f>
        <v/>
      </c>
      <c r="AK332" s="36" t="str">
        <f>IF(最佳化斷筋點!L332="","",最佳化斷筋點!L332)</f>
        <v/>
      </c>
      <c r="AL332" s="36" t="str">
        <f>IF(最佳化斷筋點!M332="","",最佳化斷筋點!M332)</f>
        <v/>
      </c>
      <c r="AM332" s="36" t="str">
        <f>IF(最佳化斷筋點!N332="","",最佳化斷筋點!N332)</f>
        <v/>
      </c>
      <c r="AN332" s="36" t="str">
        <f>IF(最佳化斷筋點!O332="","",最佳化斷筋點!O332)</f>
        <v/>
      </c>
      <c r="AO332" s="36" t="str">
        <f>IF(最佳化斷筋點!P332="","",最佳化斷筋點!P332)</f>
        <v/>
      </c>
      <c r="AP332" s="36" t="str">
        <f>IF(最佳化斷筋點!Q332="","",最佳化斷筋點!Q332)</f>
        <v/>
      </c>
      <c r="AQ332" s="36" t="str">
        <f>IF(最佳化斷筋點!R332="","",最佳化斷筋點!R332)</f>
        <v/>
      </c>
      <c r="AR332" s="36" t="str">
        <f>IF(最佳化斷筋點!S332="","",最佳化斷筋點!S332)</f>
        <v/>
      </c>
      <c r="AS332" s="36" t="str">
        <f>IF(最佳化斷筋點!T332="","",最佳化斷筋點!T332)</f>
        <v/>
      </c>
      <c r="AT332" s="36" t="str">
        <f>IF(最佳化斷筋點!U332="","",最佳化斷筋點!U332)</f>
        <v/>
      </c>
      <c r="AU332" s="36" t="str">
        <f>IF(最佳化斷筋點!V332="","",最佳化斷筋點!V332)</f>
        <v/>
      </c>
      <c r="AV332" s="36" t="str">
        <f>IF(最佳化斷筋點!W332="","",最佳化斷筋點!W332)</f>
        <v/>
      </c>
      <c r="AW332" s="36" t="str">
        <f>IF(最佳化斷筋點!X332="","",最佳化斷筋點!X332)</f>
        <v/>
      </c>
      <c r="AZ332" s="37" t="s">
        <v>197</v>
      </c>
      <c r="BA332" s="37" t="s">
        <v>197</v>
      </c>
      <c r="BB332" s="37" t="s">
        <v>197</v>
      </c>
      <c r="BC332" s="37" t="s">
        <v>197</v>
      </c>
      <c r="BD332" s="37" t="s">
        <v>197</v>
      </c>
      <c r="BE332" s="37" t="s">
        <v>197</v>
      </c>
      <c r="BF332" s="37" t="s">
        <v>197</v>
      </c>
      <c r="BG332" s="37" t="s">
        <v>197</v>
      </c>
      <c r="BH332" s="37" t="s">
        <v>197</v>
      </c>
      <c r="BI332" s="37" t="s">
        <v>197</v>
      </c>
      <c r="BJ332" s="37" t="s">
        <v>197</v>
      </c>
      <c r="BK332" s="37" t="s">
        <v>197</v>
      </c>
      <c r="BL332" s="37" t="s">
        <v>197</v>
      </c>
      <c r="BM332" s="37" t="s">
        <v>197</v>
      </c>
      <c r="BN332" s="37" t="s">
        <v>197</v>
      </c>
      <c r="BO332" s="37" t="s">
        <v>197</v>
      </c>
      <c r="BP332" s="37" t="s">
        <v>197</v>
      </c>
      <c r="BQ332" s="37" t="s">
        <v>197</v>
      </c>
      <c r="BR332" s="37" t="s">
        <v>197</v>
      </c>
      <c r="BS332" s="37" t="s">
        <v>197</v>
      </c>
      <c r="BT332" s="37" t="s">
        <v>197</v>
      </c>
    </row>
    <row r="333" spans="5:72" x14ac:dyDescent="0.25">
      <c r="E333" s="6" t="s">
        <v>21</v>
      </c>
      <c r="F333" s="6">
        <f t="shared" si="106"/>
        <v>0</v>
      </c>
      <c r="G333" s="6">
        <f t="shared" si="107"/>
        <v>0</v>
      </c>
      <c r="H333" s="6">
        <f t="shared" si="108"/>
        <v>0</v>
      </c>
      <c r="I333" s="6">
        <f t="shared" si="109"/>
        <v>0</v>
      </c>
      <c r="J333" s="6">
        <f t="shared" si="110"/>
        <v>0</v>
      </c>
      <c r="K333" s="6">
        <f t="shared" si="111"/>
        <v>0</v>
      </c>
      <c r="L333" s="6">
        <f t="shared" si="112"/>
        <v>0</v>
      </c>
      <c r="M333" s="6">
        <f t="shared" si="113"/>
        <v>0</v>
      </c>
      <c r="N333" s="6">
        <f t="shared" si="114"/>
        <v>0</v>
      </c>
      <c r="O333" s="6">
        <f t="shared" si="115"/>
        <v>0</v>
      </c>
      <c r="P333" s="6">
        <f t="shared" si="116"/>
        <v>0</v>
      </c>
      <c r="Q333" s="6">
        <f t="shared" si="117"/>
        <v>0</v>
      </c>
      <c r="R333" s="6">
        <f t="shared" si="118"/>
        <v>0</v>
      </c>
      <c r="S333" s="6">
        <f t="shared" si="119"/>
        <v>0</v>
      </c>
      <c r="T333" s="6">
        <f t="shared" si="120"/>
        <v>0</v>
      </c>
      <c r="U333" s="6">
        <f t="shared" si="121"/>
        <v>0</v>
      </c>
      <c r="V333" s="6">
        <f t="shared" si="122"/>
        <v>0</v>
      </c>
      <c r="W333" s="6">
        <f t="shared" si="123"/>
        <v>0</v>
      </c>
      <c r="X333" s="6">
        <f t="shared" si="124"/>
        <v>0</v>
      </c>
      <c r="Y333" s="6">
        <f t="shared" si="125"/>
        <v>0</v>
      </c>
      <c r="Z333" s="6">
        <f t="shared" si="126"/>
        <v>0</v>
      </c>
      <c r="AB333" s="36" t="str">
        <f>IF(最佳化斷筋點!C333="","",最佳化斷筋點!C333)</f>
        <v>下層</v>
      </c>
      <c r="AC333" s="37">
        <f>IF(最佳化斷筋點!D333="","",最佳化斷筋點!D333)</f>
        <v>7</v>
      </c>
      <c r="AD333" s="37">
        <f>IF(最佳化斷筋點!E333="","",最佳化斷筋點!E333)</f>
        <v>7</v>
      </c>
      <c r="AE333" s="37">
        <f>IF(最佳化斷筋點!F333="","",最佳化斷筋點!F333)</f>
        <v>7</v>
      </c>
      <c r="AF333" s="37">
        <f>IF(最佳化斷筋點!G333="","",最佳化斷筋點!G333)</f>
        <v>7</v>
      </c>
      <c r="AG333" s="37">
        <f>IF(最佳化斷筋點!H333="","",最佳化斷筋點!H333)</f>
        <v>7</v>
      </c>
      <c r="AH333" s="37">
        <f>IF(最佳化斷筋點!I333="","",最佳化斷筋點!I333)</f>
        <v>7</v>
      </c>
      <c r="AI333" s="37">
        <f>IF(最佳化斷筋點!J333="","",最佳化斷筋點!J333)</f>
        <v>6</v>
      </c>
      <c r="AJ333" s="37">
        <f>IF(最佳化斷筋點!K333="","",最佳化斷筋點!K333)</f>
        <v>3</v>
      </c>
      <c r="AK333" s="37">
        <f>IF(最佳化斷筋點!L333="","",最佳化斷筋點!L333)</f>
        <v>3</v>
      </c>
      <c r="AL333" s="37">
        <f>IF(最佳化斷筋點!M333="","",最佳化斷筋點!M333)</f>
        <v>3</v>
      </c>
      <c r="AM333" s="37">
        <f>IF(最佳化斷筋點!N333="","",最佳化斷筋點!N333)</f>
        <v>3</v>
      </c>
      <c r="AN333" s="37">
        <f>IF(最佳化斷筋點!O333="","",最佳化斷筋點!O333)</f>
        <v>3</v>
      </c>
      <c r="AO333" s="37">
        <f>IF(最佳化斷筋點!P333="","",最佳化斷筋點!P333)</f>
        <v>3</v>
      </c>
      <c r="AP333" s="37">
        <f>IF(最佳化斷筋點!Q333="","",最佳化斷筋點!Q333)</f>
        <v>4</v>
      </c>
      <c r="AQ333" s="37">
        <f>IF(最佳化斷筋點!R333="","",最佳化斷筋點!R333)</f>
        <v>5</v>
      </c>
      <c r="AR333" s="37">
        <f>IF(最佳化斷筋點!S333="","",最佳化斷筋點!S333)</f>
        <v>5</v>
      </c>
      <c r="AS333" s="37">
        <f>IF(最佳化斷筋點!T333="","",最佳化斷筋點!T333)</f>
        <v>6</v>
      </c>
      <c r="AT333" s="37">
        <f>IF(最佳化斷筋點!U333="","",最佳化斷筋點!U333)</f>
        <v>6</v>
      </c>
      <c r="AU333" s="37">
        <f>IF(最佳化斷筋點!V333="","",最佳化斷筋點!V333)</f>
        <v>6</v>
      </c>
      <c r="AV333" s="37">
        <f>IF(最佳化斷筋點!W333="","",最佳化斷筋點!W333)</f>
        <v>6</v>
      </c>
      <c r="AW333" s="37">
        <f>IF(最佳化斷筋點!X333="","",最佳化斷筋點!X333)</f>
        <v>6</v>
      </c>
      <c r="AY333" s="6" t="s">
        <v>21</v>
      </c>
      <c r="AZ333" s="37">
        <v>7</v>
      </c>
      <c r="BA333" s="37">
        <v>7</v>
      </c>
      <c r="BB333" s="37">
        <v>7</v>
      </c>
      <c r="BC333" s="37">
        <v>7</v>
      </c>
      <c r="BD333" s="37">
        <v>7</v>
      </c>
      <c r="BE333" s="37">
        <v>7</v>
      </c>
      <c r="BF333" s="37">
        <v>6</v>
      </c>
      <c r="BG333" s="37">
        <v>3</v>
      </c>
      <c r="BH333" s="37">
        <v>3</v>
      </c>
      <c r="BI333" s="37">
        <v>3</v>
      </c>
      <c r="BJ333" s="37">
        <v>3</v>
      </c>
      <c r="BK333" s="37">
        <v>3</v>
      </c>
      <c r="BL333" s="37">
        <v>3</v>
      </c>
      <c r="BM333" s="37">
        <v>4</v>
      </c>
      <c r="BN333" s="37">
        <v>5</v>
      </c>
      <c r="BO333" s="37">
        <v>5</v>
      </c>
      <c r="BP333" s="37">
        <v>6</v>
      </c>
      <c r="BQ333" s="37">
        <v>6</v>
      </c>
      <c r="BR333" s="37">
        <v>6</v>
      </c>
      <c r="BS333" s="37">
        <v>6</v>
      </c>
      <c r="BT333" s="37">
        <v>6</v>
      </c>
    </row>
    <row r="334" spans="5:72" x14ac:dyDescent="0.25">
      <c r="F334" s="6">
        <f t="shared" si="106"/>
        <v>0</v>
      </c>
      <c r="G334" s="6">
        <f t="shared" si="107"/>
        <v>0</v>
      </c>
      <c r="H334" s="6">
        <f t="shared" si="108"/>
        <v>0</v>
      </c>
      <c r="I334" s="6">
        <f t="shared" si="109"/>
        <v>0</v>
      </c>
      <c r="J334" s="6">
        <f t="shared" si="110"/>
        <v>0</v>
      </c>
      <c r="K334" s="6">
        <f t="shared" si="111"/>
        <v>0</v>
      </c>
      <c r="L334" s="6">
        <f t="shared" si="112"/>
        <v>0</v>
      </c>
      <c r="M334" s="6">
        <f t="shared" si="113"/>
        <v>0</v>
      </c>
      <c r="N334" s="6">
        <f t="shared" si="114"/>
        <v>0</v>
      </c>
      <c r="O334" s="6">
        <f t="shared" si="115"/>
        <v>0</v>
      </c>
      <c r="P334" s="6">
        <f t="shared" si="116"/>
        <v>0</v>
      </c>
      <c r="Q334" s="6">
        <f t="shared" si="117"/>
        <v>0</v>
      </c>
      <c r="R334" s="6">
        <f t="shared" si="118"/>
        <v>0</v>
      </c>
      <c r="S334" s="6">
        <f t="shared" si="119"/>
        <v>0</v>
      </c>
      <c r="T334" s="6">
        <f t="shared" si="120"/>
        <v>0</v>
      </c>
      <c r="U334" s="6">
        <f t="shared" si="121"/>
        <v>0</v>
      </c>
      <c r="V334" s="6">
        <f t="shared" si="122"/>
        <v>0</v>
      </c>
      <c r="W334" s="6">
        <f t="shared" si="123"/>
        <v>0</v>
      </c>
      <c r="X334" s="6">
        <f t="shared" si="124"/>
        <v>0</v>
      </c>
      <c r="Y334" s="6">
        <f t="shared" si="125"/>
        <v>0</v>
      </c>
      <c r="Z334" s="6">
        <f t="shared" si="126"/>
        <v>0</v>
      </c>
      <c r="AB334" s="36" t="str">
        <f>IF(最佳化斷筋點!C334="","",最佳化斷筋點!C334)</f>
        <v/>
      </c>
      <c r="AC334" s="37" t="str">
        <f>IF(最佳化斷筋點!D334="","",最佳化斷筋點!D334)</f>
        <v/>
      </c>
      <c r="AD334" s="37" t="str">
        <f>IF(最佳化斷筋點!E334="","",最佳化斷筋點!E334)</f>
        <v/>
      </c>
      <c r="AE334" s="37" t="str">
        <f>IF(最佳化斷筋點!F334="","",最佳化斷筋點!F334)</f>
        <v/>
      </c>
      <c r="AF334" s="37" t="str">
        <f>IF(最佳化斷筋點!G334="","",最佳化斷筋點!G334)</f>
        <v/>
      </c>
      <c r="AG334" s="37" t="str">
        <f>IF(最佳化斷筋點!H334="","",最佳化斷筋點!H334)</f>
        <v/>
      </c>
      <c r="AH334" s="37" t="str">
        <f>IF(最佳化斷筋點!I334="","",最佳化斷筋點!I334)</f>
        <v/>
      </c>
      <c r="AI334" s="37" t="str">
        <f>IF(最佳化斷筋點!J334="","",最佳化斷筋點!J334)</f>
        <v/>
      </c>
      <c r="AJ334" s="37" t="str">
        <f>IF(最佳化斷筋點!K334="","",最佳化斷筋點!K334)</f>
        <v/>
      </c>
      <c r="AK334" s="37" t="str">
        <f>IF(最佳化斷筋點!L334="","",最佳化斷筋點!L334)</f>
        <v/>
      </c>
      <c r="AL334" s="37" t="str">
        <f>IF(最佳化斷筋點!M334="","",最佳化斷筋點!M334)</f>
        <v/>
      </c>
      <c r="AM334" s="37" t="str">
        <f>IF(最佳化斷筋點!N334="","",最佳化斷筋點!N334)</f>
        <v/>
      </c>
      <c r="AN334" s="37" t="str">
        <f>IF(最佳化斷筋點!O334="","",最佳化斷筋點!O334)</f>
        <v/>
      </c>
      <c r="AO334" s="37" t="str">
        <f>IF(最佳化斷筋點!P334="","",最佳化斷筋點!P334)</f>
        <v/>
      </c>
      <c r="AP334" s="37" t="str">
        <f>IF(最佳化斷筋點!Q334="","",最佳化斷筋點!Q334)</f>
        <v/>
      </c>
      <c r="AQ334" s="37" t="str">
        <f>IF(最佳化斷筋點!R334="","",最佳化斷筋點!R334)</f>
        <v/>
      </c>
      <c r="AR334" s="37" t="str">
        <f>IF(最佳化斷筋點!S334="","",最佳化斷筋點!S334)</f>
        <v/>
      </c>
      <c r="AS334" s="37" t="str">
        <f>IF(最佳化斷筋點!T334="","",最佳化斷筋點!T334)</f>
        <v/>
      </c>
      <c r="AT334" s="37" t="str">
        <f>IF(最佳化斷筋點!U334="","",最佳化斷筋點!U334)</f>
        <v/>
      </c>
      <c r="AU334" s="37" t="str">
        <f>IF(最佳化斷筋點!V334="","",最佳化斷筋點!V334)</f>
        <v/>
      </c>
      <c r="AV334" s="37" t="str">
        <f>IF(最佳化斷筋點!W334="","",最佳化斷筋點!W334)</f>
        <v/>
      </c>
      <c r="AW334" s="37" t="str">
        <f>IF(最佳化斷筋點!X334="","",最佳化斷筋點!X334)</f>
        <v/>
      </c>
      <c r="AZ334" s="37" t="s">
        <v>197</v>
      </c>
      <c r="BA334" s="37" t="s">
        <v>197</v>
      </c>
      <c r="BB334" s="37" t="s">
        <v>197</v>
      </c>
      <c r="BC334" s="37" t="s">
        <v>197</v>
      </c>
      <c r="BD334" s="37" t="s">
        <v>197</v>
      </c>
      <c r="BE334" s="37" t="s">
        <v>197</v>
      </c>
      <c r="BF334" s="37" t="s">
        <v>197</v>
      </c>
      <c r="BG334" s="37" t="s">
        <v>197</v>
      </c>
      <c r="BH334" s="37" t="s">
        <v>197</v>
      </c>
      <c r="BI334" s="37" t="s">
        <v>197</v>
      </c>
      <c r="BJ334" s="37" t="s">
        <v>197</v>
      </c>
      <c r="BK334" s="37" t="s">
        <v>197</v>
      </c>
      <c r="BL334" s="37" t="s">
        <v>197</v>
      </c>
      <c r="BM334" s="37" t="s">
        <v>197</v>
      </c>
      <c r="BN334" s="37" t="s">
        <v>197</v>
      </c>
      <c r="BO334" s="37" t="s">
        <v>197</v>
      </c>
      <c r="BP334" s="37" t="s">
        <v>197</v>
      </c>
      <c r="BQ334" s="37" t="s">
        <v>197</v>
      </c>
      <c r="BR334" s="37" t="s">
        <v>197</v>
      </c>
      <c r="BS334" s="37" t="s">
        <v>197</v>
      </c>
      <c r="BT334" s="37" t="s">
        <v>197</v>
      </c>
    </row>
    <row r="335" spans="5:72" x14ac:dyDescent="0.25">
      <c r="E335" s="6" t="s">
        <v>20</v>
      </c>
      <c r="F335" s="6">
        <f t="shared" si="106"/>
        <v>0</v>
      </c>
      <c r="G335" s="6">
        <f t="shared" si="107"/>
        <v>0</v>
      </c>
      <c r="H335" s="6">
        <f t="shared" si="108"/>
        <v>0</v>
      </c>
      <c r="I335" s="6">
        <f t="shared" si="109"/>
        <v>0</v>
      </c>
      <c r="J335" s="6">
        <f t="shared" si="110"/>
        <v>0</v>
      </c>
      <c r="K335" s="6">
        <f t="shared" si="111"/>
        <v>0</v>
      </c>
      <c r="L335" s="6">
        <f t="shared" si="112"/>
        <v>0</v>
      </c>
      <c r="M335" s="6">
        <f t="shared" si="113"/>
        <v>0</v>
      </c>
      <c r="N335" s="6">
        <f t="shared" si="114"/>
        <v>0</v>
      </c>
      <c r="O335" s="6">
        <f t="shared" si="115"/>
        <v>0</v>
      </c>
      <c r="P335" s="6">
        <f t="shared" si="116"/>
        <v>0</v>
      </c>
      <c r="Q335" s="6">
        <f t="shared" si="117"/>
        <v>0</v>
      </c>
      <c r="R335" s="6">
        <f t="shared" si="118"/>
        <v>0</v>
      </c>
      <c r="S335" s="6">
        <f t="shared" si="119"/>
        <v>0</v>
      </c>
      <c r="T335" s="6">
        <f t="shared" si="120"/>
        <v>0</v>
      </c>
      <c r="U335" s="6">
        <f t="shared" si="121"/>
        <v>0</v>
      </c>
      <c r="V335" s="6">
        <f t="shared" si="122"/>
        <v>0</v>
      </c>
      <c r="W335" s="6">
        <f t="shared" si="123"/>
        <v>0</v>
      </c>
      <c r="X335" s="6">
        <f t="shared" si="124"/>
        <v>0</v>
      </c>
      <c r="Y335" s="6">
        <f t="shared" si="125"/>
        <v>0</v>
      </c>
      <c r="Z335" s="6">
        <f t="shared" si="126"/>
        <v>0</v>
      </c>
      <c r="AB335" s="36" t="str">
        <f>IF(最佳化斷筋點!C335="","",最佳化斷筋點!C335)</f>
        <v>上層</v>
      </c>
      <c r="AC335" s="37">
        <f>IF(最佳化斷筋點!D335="","",最佳化斷筋點!D335)</f>
        <v>6</v>
      </c>
      <c r="AD335" s="37">
        <f>IF(最佳化斷筋點!E335="","",最佳化斷筋點!E335)</f>
        <v>6</v>
      </c>
      <c r="AE335" s="37">
        <f>IF(最佳化斷筋點!F335="","",最佳化斷筋點!F335)</f>
        <v>6</v>
      </c>
      <c r="AF335" s="37">
        <f>IF(最佳化斷筋點!G335="","",最佳化斷筋點!G335)</f>
        <v>6</v>
      </c>
      <c r="AG335" s="37">
        <f>IF(最佳化斷筋點!H335="","",最佳化斷筋點!H335)</f>
        <v>6</v>
      </c>
      <c r="AH335" s="37">
        <f>IF(最佳化斷筋點!I335="","",最佳化斷筋點!I335)</f>
        <v>6</v>
      </c>
      <c r="AI335" s="37">
        <f>IF(最佳化斷筋點!J335="","",最佳化斷筋點!J335)</f>
        <v>6</v>
      </c>
      <c r="AJ335" s="37">
        <f>IF(最佳化斷筋點!K335="","",最佳化斷筋點!K335)</f>
        <v>3</v>
      </c>
      <c r="AK335" s="37">
        <f>IF(最佳化斷筋點!L335="","",最佳化斷筋點!L335)</f>
        <v>3</v>
      </c>
      <c r="AL335" s="37">
        <f>IF(最佳化斷筋點!M335="","",最佳化斷筋點!M335)</f>
        <v>3</v>
      </c>
      <c r="AM335" s="37">
        <f>IF(最佳化斷筋點!N335="","",最佳化斷筋點!N335)</f>
        <v>3</v>
      </c>
      <c r="AN335" s="37">
        <f>IF(最佳化斷筋點!O335="","",最佳化斷筋點!O335)</f>
        <v>3</v>
      </c>
      <c r="AO335" s="37">
        <f>IF(最佳化斷筋點!P335="","",最佳化斷筋點!P335)</f>
        <v>3</v>
      </c>
      <c r="AP335" s="37">
        <f>IF(最佳化斷筋點!Q335="","",最佳化斷筋點!Q335)</f>
        <v>7</v>
      </c>
      <c r="AQ335" s="37">
        <f>IF(最佳化斷筋點!R335="","",最佳化斷筋點!R335)</f>
        <v>8</v>
      </c>
      <c r="AR335" s="37">
        <f>IF(最佳化斷筋點!S335="","",最佳化斷筋點!S335)</f>
        <v>9</v>
      </c>
      <c r="AS335" s="37">
        <f>IF(最佳化斷筋點!T335="","",最佳化斷筋點!T335)</f>
        <v>9</v>
      </c>
      <c r="AT335" s="37">
        <f>IF(最佳化斷筋點!U335="","",最佳化斷筋點!U335)</f>
        <v>9</v>
      </c>
      <c r="AU335" s="37">
        <f>IF(最佳化斷筋點!V335="","",最佳化斷筋點!V335)</f>
        <v>9</v>
      </c>
      <c r="AV335" s="37">
        <f>IF(最佳化斷筋點!W335="","",最佳化斷筋點!W335)</f>
        <v>9</v>
      </c>
      <c r="AW335" s="37">
        <f>IF(最佳化斷筋點!X335="","",最佳化斷筋點!X335)</f>
        <v>9</v>
      </c>
      <c r="AY335" s="6" t="s">
        <v>20</v>
      </c>
      <c r="AZ335" s="37">
        <v>6</v>
      </c>
      <c r="BA335" s="37">
        <v>6</v>
      </c>
      <c r="BB335" s="37">
        <v>6</v>
      </c>
      <c r="BC335" s="37">
        <v>6</v>
      </c>
      <c r="BD335" s="37">
        <v>6</v>
      </c>
      <c r="BE335" s="37">
        <v>6</v>
      </c>
      <c r="BF335" s="37">
        <v>6</v>
      </c>
      <c r="BG335" s="37">
        <v>3</v>
      </c>
      <c r="BH335" s="37">
        <v>3</v>
      </c>
      <c r="BI335" s="37">
        <v>3</v>
      </c>
      <c r="BJ335" s="37">
        <v>3</v>
      </c>
      <c r="BK335" s="37">
        <v>3</v>
      </c>
      <c r="BL335" s="37">
        <v>3</v>
      </c>
      <c r="BM335" s="37">
        <v>7</v>
      </c>
      <c r="BN335" s="37">
        <v>8</v>
      </c>
      <c r="BO335" s="37">
        <v>9</v>
      </c>
      <c r="BP335" s="37">
        <v>9</v>
      </c>
      <c r="BQ335" s="37">
        <v>9</v>
      </c>
      <c r="BR335" s="37">
        <v>9</v>
      </c>
      <c r="BS335" s="37">
        <v>9</v>
      </c>
      <c r="BT335" s="37">
        <v>9</v>
      </c>
    </row>
    <row r="336" spans="5:72" x14ac:dyDescent="0.25">
      <c r="F336" s="6">
        <f t="shared" si="106"/>
        <v>0</v>
      </c>
      <c r="G336" s="6">
        <f t="shared" si="107"/>
        <v>0</v>
      </c>
      <c r="H336" s="6">
        <f t="shared" si="108"/>
        <v>0</v>
      </c>
      <c r="I336" s="6">
        <f t="shared" si="109"/>
        <v>0</v>
      </c>
      <c r="J336" s="6">
        <f t="shared" si="110"/>
        <v>0</v>
      </c>
      <c r="K336" s="6">
        <f t="shared" si="111"/>
        <v>0</v>
      </c>
      <c r="L336" s="6">
        <f t="shared" si="112"/>
        <v>0</v>
      </c>
      <c r="M336" s="6">
        <f t="shared" si="113"/>
        <v>0</v>
      </c>
      <c r="N336" s="6">
        <f t="shared" si="114"/>
        <v>0</v>
      </c>
      <c r="O336" s="6">
        <f t="shared" si="115"/>
        <v>0</v>
      </c>
      <c r="P336" s="6">
        <f t="shared" si="116"/>
        <v>0</v>
      </c>
      <c r="Q336" s="6">
        <f t="shared" si="117"/>
        <v>0</v>
      </c>
      <c r="R336" s="6">
        <f t="shared" si="118"/>
        <v>0</v>
      </c>
      <c r="S336" s="6">
        <f t="shared" si="119"/>
        <v>0</v>
      </c>
      <c r="T336" s="6">
        <f t="shared" si="120"/>
        <v>0</v>
      </c>
      <c r="U336" s="6">
        <f t="shared" si="121"/>
        <v>0</v>
      </c>
      <c r="V336" s="6">
        <f t="shared" si="122"/>
        <v>0</v>
      </c>
      <c r="W336" s="6">
        <f t="shared" si="123"/>
        <v>0</v>
      </c>
      <c r="X336" s="6">
        <f t="shared" si="124"/>
        <v>0</v>
      </c>
      <c r="Y336" s="6">
        <f t="shared" si="125"/>
        <v>0</v>
      </c>
      <c r="Z336" s="6">
        <f t="shared" si="126"/>
        <v>0</v>
      </c>
      <c r="AB336" s="36" t="str">
        <f>IF(最佳化斷筋點!C336="","",最佳化斷筋點!C336)</f>
        <v/>
      </c>
      <c r="AC336" s="37" t="str">
        <f>IF(最佳化斷筋點!D336="","",最佳化斷筋點!D336)</f>
        <v/>
      </c>
      <c r="AD336" s="37" t="str">
        <f>IF(最佳化斷筋點!E336="","",最佳化斷筋點!E336)</f>
        <v/>
      </c>
      <c r="AE336" s="37" t="str">
        <f>IF(最佳化斷筋點!F336="","",最佳化斷筋點!F336)</f>
        <v/>
      </c>
      <c r="AF336" s="37" t="str">
        <f>IF(最佳化斷筋點!G336="","",最佳化斷筋點!G336)</f>
        <v/>
      </c>
      <c r="AG336" s="37" t="str">
        <f>IF(最佳化斷筋點!H336="","",最佳化斷筋點!H336)</f>
        <v/>
      </c>
      <c r="AH336" s="37" t="str">
        <f>IF(最佳化斷筋點!I336="","",最佳化斷筋點!I336)</f>
        <v/>
      </c>
      <c r="AI336" s="37" t="str">
        <f>IF(最佳化斷筋點!J336="","",最佳化斷筋點!J336)</f>
        <v/>
      </c>
      <c r="AJ336" s="37" t="str">
        <f>IF(最佳化斷筋點!K336="","",最佳化斷筋點!K336)</f>
        <v/>
      </c>
      <c r="AK336" s="37" t="str">
        <f>IF(最佳化斷筋點!L336="","",最佳化斷筋點!L336)</f>
        <v/>
      </c>
      <c r="AL336" s="37" t="str">
        <f>IF(最佳化斷筋點!M336="","",最佳化斷筋點!M336)</f>
        <v/>
      </c>
      <c r="AM336" s="37" t="str">
        <f>IF(最佳化斷筋點!N336="","",最佳化斷筋點!N336)</f>
        <v/>
      </c>
      <c r="AN336" s="37" t="str">
        <f>IF(最佳化斷筋點!O336="","",最佳化斷筋點!O336)</f>
        <v/>
      </c>
      <c r="AO336" s="37" t="str">
        <f>IF(最佳化斷筋點!P336="","",最佳化斷筋點!P336)</f>
        <v/>
      </c>
      <c r="AP336" s="37" t="str">
        <f>IF(最佳化斷筋點!Q336="","",最佳化斷筋點!Q336)</f>
        <v/>
      </c>
      <c r="AQ336" s="37" t="str">
        <f>IF(最佳化斷筋點!R336="","",最佳化斷筋點!R336)</f>
        <v/>
      </c>
      <c r="AR336" s="37" t="str">
        <f>IF(最佳化斷筋點!S336="","",最佳化斷筋點!S336)</f>
        <v/>
      </c>
      <c r="AS336" s="37" t="str">
        <f>IF(最佳化斷筋點!T336="","",最佳化斷筋點!T336)</f>
        <v/>
      </c>
      <c r="AT336" s="37" t="str">
        <f>IF(最佳化斷筋點!U336="","",最佳化斷筋點!U336)</f>
        <v/>
      </c>
      <c r="AU336" s="37" t="str">
        <f>IF(最佳化斷筋點!V336="","",最佳化斷筋點!V336)</f>
        <v/>
      </c>
      <c r="AV336" s="37" t="str">
        <f>IF(最佳化斷筋點!W336="","",最佳化斷筋點!W336)</f>
        <v/>
      </c>
      <c r="AW336" s="37" t="str">
        <f>IF(最佳化斷筋點!X336="","",最佳化斷筋點!X336)</f>
        <v/>
      </c>
      <c r="AZ336" s="37" t="s">
        <v>197</v>
      </c>
      <c r="BA336" s="37" t="s">
        <v>197</v>
      </c>
      <c r="BB336" s="37" t="s">
        <v>197</v>
      </c>
      <c r="BC336" s="37" t="s">
        <v>197</v>
      </c>
      <c r="BD336" s="37" t="s">
        <v>197</v>
      </c>
      <c r="BE336" s="37" t="s">
        <v>197</v>
      </c>
      <c r="BF336" s="37" t="s">
        <v>197</v>
      </c>
      <c r="BG336" s="37" t="s">
        <v>197</v>
      </c>
      <c r="BH336" s="37" t="s">
        <v>197</v>
      </c>
      <c r="BI336" s="37" t="s">
        <v>197</v>
      </c>
      <c r="BJ336" s="37" t="s">
        <v>197</v>
      </c>
      <c r="BK336" s="37" t="s">
        <v>197</v>
      </c>
      <c r="BL336" s="37" t="s">
        <v>197</v>
      </c>
      <c r="BM336" s="37" t="s">
        <v>197</v>
      </c>
      <c r="BN336" s="37" t="s">
        <v>197</v>
      </c>
      <c r="BO336" s="37" t="s">
        <v>197</v>
      </c>
      <c r="BP336" s="37" t="s">
        <v>197</v>
      </c>
      <c r="BQ336" s="37" t="s">
        <v>197</v>
      </c>
      <c r="BR336" s="37" t="s">
        <v>197</v>
      </c>
      <c r="BS336" s="37" t="s">
        <v>197</v>
      </c>
      <c r="BT336" s="37" t="s">
        <v>197</v>
      </c>
    </row>
    <row r="337" spans="5:72" x14ac:dyDescent="0.25">
      <c r="E337" s="6" t="s">
        <v>21</v>
      </c>
      <c r="F337" s="6">
        <f t="shared" si="106"/>
        <v>0</v>
      </c>
      <c r="G337" s="6">
        <f t="shared" si="107"/>
        <v>0</v>
      </c>
      <c r="H337" s="6">
        <f t="shared" si="108"/>
        <v>0</v>
      </c>
      <c r="I337" s="6">
        <f t="shared" si="109"/>
        <v>0</v>
      </c>
      <c r="J337" s="6">
        <f t="shared" si="110"/>
        <v>0</v>
      </c>
      <c r="K337" s="6">
        <f t="shared" si="111"/>
        <v>0</v>
      </c>
      <c r="L337" s="6">
        <f t="shared" si="112"/>
        <v>0</v>
      </c>
      <c r="M337" s="6">
        <f t="shared" si="113"/>
        <v>0</v>
      </c>
      <c r="N337" s="6">
        <f t="shared" si="114"/>
        <v>0</v>
      </c>
      <c r="O337" s="6">
        <f t="shared" si="115"/>
        <v>0</v>
      </c>
      <c r="P337" s="6">
        <f t="shared" si="116"/>
        <v>0</v>
      </c>
      <c r="Q337" s="6">
        <f t="shared" si="117"/>
        <v>0</v>
      </c>
      <c r="R337" s="6">
        <f t="shared" si="118"/>
        <v>0</v>
      </c>
      <c r="S337" s="6">
        <f t="shared" si="119"/>
        <v>0</v>
      </c>
      <c r="T337" s="6">
        <f t="shared" si="120"/>
        <v>0</v>
      </c>
      <c r="U337" s="6">
        <f t="shared" si="121"/>
        <v>0</v>
      </c>
      <c r="V337" s="6">
        <f t="shared" si="122"/>
        <v>0</v>
      </c>
      <c r="W337" s="6">
        <f t="shared" si="123"/>
        <v>0</v>
      </c>
      <c r="X337" s="6">
        <f t="shared" si="124"/>
        <v>0</v>
      </c>
      <c r="Y337" s="6">
        <f t="shared" si="125"/>
        <v>0</v>
      </c>
      <c r="Z337" s="6">
        <f t="shared" si="126"/>
        <v>0</v>
      </c>
      <c r="AB337" s="36" t="str">
        <f>IF(最佳化斷筋點!C337="","",最佳化斷筋點!C337)</f>
        <v>下層</v>
      </c>
      <c r="AC337" s="37">
        <f>IF(最佳化斷筋點!D337="","",最佳化斷筋點!D337)</f>
        <v>7</v>
      </c>
      <c r="AD337" s="37">
        <f>IF(最佳化斷筋點!E337="","",最佳化斷筋點!E337)</f>
        <v>7</v>
      </c>
      <c r="AE337" s="37">
        <f>IF(最佳化斷筋點!F337="","",最佳化斷筋點!F337)</f>
        <v>7</v>
      </c>
      <c r="AF337" s="37">
        <f>IF(最佳化斷筋點!G337="","",最佳化斷筋點!G337)</f>
        <v>7</v>
      </c>
      <c r="AG337" s="37">
        <f>IF(最佳化斷筋點!H337="","",最佳化斷筋點!H337)</f>
        <v>7</v>
      </c>
      <c r="AH337" s="37">
        <f>IF(最佳化斷筋點!I337="","",最佳化斷筋點!I337)</f>
        <v>6</v>
      </c>
      <c r="AI337" s="37">
        <f>IF(最佳化斷筋點!J337="","",最佳化斷筋點!J337)</f>
        <v>6</v>
      </c>
      <c r="AJ337" s="37">
        <f>IF(最佳化斷筋點!K337="","",最佳化斷筋點!K337)</f>
        <v>3</v>
      </c>
      <c r="AK337" s="37">
        <f>IF(最佳化斷筋點!L337="","",最佳化斷筋點!L337)</f>
        <v>3</v>
      </c>
      <c r="AL337" s="37">
        <f>IF(最佳化斷筋點!M337="","",最佳化斷筋點!M337)</f>
        <v>3</v>
      </c>
      <c r="AM337" s="37">
        <f>IF(最佳化斷筋點!N337="","",最佳化斷筋點!N337)</f>
        <v>3</v>
      </c>
      <c r="AN337" s="37">
        <f>IF(最佳化斷筋點!O337="","",最佳化斷筋點!O337)</f>
        <v>3</v>
      </c>
      <c r="AO337" s="37">
        <f>IF(最佳化斷筋點!P337="","",最佳化斷筋點!P337)</f>
        <v>3</v>
      </c>
      <c r="AP337" s="37">
        <f>IF(最佳化斷筋點!Q337="","",最佳化斷筋點!Q337)</f>
        <v>3</v>
      </c>
      <c r="AQ337" s="37">
        <f>IF(最佳化斷筋點!R337="","",最佳化斷筋點!R337)</f>
        <v>4</v>
      </c>
      <c r="AR337" s="37">
        <f>IF(最佳化斷筋點!S337="","",最佳化斷筋點!S337)</f>
        <v>4</v>
      </c>
      <c r="AS337" s="37">
        <f>IF(最佳化斷筋點!T337="","",最佳化斷筋點!T337)</f>
        <v>5</v>
      </c>
      <c r="AT337" s="37">
        <f>IF(最佳化斷筋點!U337="","",最佳化斷筋點!U337)</f>
        <v>5</v>
      </c>
      <c r="AU337" s="37">
        <f>IF(最佳化斷筋點!V337="","",最佳化斷筋點!V337)</f>
        <v>5</v>
      </c>
      <c r="AV337" s="37">
        <f>IF(最佳化斷筋點!W337="","",最佳化斷筋點!W337)</f>
        <v>5</v>
      </c>
      <c r="AW337" s="37">
        <f>IF(最佳化斷筋點!X337="","",最佳化斷筋點!X337)</f>
        <v>5</v>
      </c>
      <c r="AY337" s="6" t="s">
        <v>21</v>
      </c>
      <c r="AZ337" s="37">
        <v>7</v>
      </c>
      <c r="BA337" s="37">
        <v>7</v>
      </c>
      <c r="BB337" s="37">
        <v>7</v>
      </c>
      <c r="BC337" s="37">
        <v>7</v>
      </c>
      <c r="BD337" s="37">
        <v>7</v>
      </c>
      <c r="BE337" s="37">
        <v>6</v>
      </c>
      <c r="BF337" s="37">
        <v>6</v>
      </c>
      <c r="BG337" s="37">
        <v>3</v>
      </c>
      <c r="BH337" s="37">
        <v>3</v>
      </c>
      <c r="BI337" s="37">
        <v>3</v>
      </c>
      <c r="BJ337" s="37">
        <v>3</v>
      </c>
      <c r="BK337" s="37">
        <v>3</v>
      </c>
      <c r="BL337" s="37">
        <v>3</v>
      </c>
      <c r="BM337" s="37">
        <v>3</v>
      </c>
      <c r="BN337" s="37">
        <v>4</v>
      </c>
      <c r="BO337" s="37">
        <v>4</v>
      </c>
      <c r="BP337" s="37">
        <v>5</v>
      </c>
      <c r="BQ337" s="37">
        <v>5</v>
      </c>
      <c r="BR337" s="37">
        <v>5</v>
      </c>
      <c r="BS337" s="37">
        <v>5</v>
      </c>
      <c r="BT337" s="37">
        <v>5</v>
      </c>
    </row>
    <row r="338" spans="5:72" x14ac:dyDescent="0.25">
      <c r="F338" s="6">
        <f t="shared" si="106"/>
        <v>0</v>
      </c>
      <c r="G338" s="6">
        <f t="shared" si="107"/>
        <v>0</v>
      </c>
      <c r="H338" s="6">
        <f t="shared" si="108"/>
        <v>0</v>
      </c>
      <c r="I338" s="6">
        <f t="shared" si="109"/>
        <v>0</v>
      </c>
      <c r="J338" s="6">
        <f t="shared" si="110"/>
        <v>0</v>
      </c>
      <c r="K338" s="6">
        <f t="shared" si="111"/>
        <v>0</v>
      </c>
      <c r="L338" s="6">
        <f t="shared" si="112"/>
        <v>0</v>
      </c>
      <c r="M338" s="6">
        <f t="shared" si="113"/>
        <v>0</v>
      </c>
      <c r="N338" s="6">
        <f t="shared" si="114"/>
        <v>0</v>
      </c>
      <c r="O338" s="6">
        <f t="shared" si="115"/>
        <v>0</v>
      </c>
      <c r="P338" s="6">
        <f t="shared" si="116"/>
        <v>0</v>
      </c>
      <c r="Q338" s="6">
        <f t="shared" si="117"/>
        <v>0</v>
      </c>
      <c r="R338" s="6">
        <f t="shared" si="118"/>
        <v>0</v>
      </c>
      <c r="S338" s="6">
        <f t="shared" si="119"/>
        <v>0</v>
      </c>
      <c r="T338" s="6">
        <f t="shared" si="120"/>
        <v>0</v>
      </c>
      <c r="U338" s="6">
        <f t="shared" si="121"/>
        <v>0</v>
      </c>
      <c r="V338" s="6">
        <f t="shared" si="122"/>
        <v>0</v>
      </c>
      <c r="W338" s="6">
        <f t="shared" si="123"/>
        <v>0</v>
      </c>
      <c r="X338" s="6">
        <f t="shared" si="124"/>
        <v>0</v>
      </c>
      <c r="Y338" s="6">
        <f t="shared" si="125"/>
        <v>0</v>
      </c>
      <c r="Z338" s="6">
        <f t="shared" si="126"/>
        <v>0</v>
      </c>
      <c r="AB338" s="36" t="str">
        <f>IF(最佳化斷筋點!C338="","",最佳化斷筋點!C338)</f>
        <v/>
      </c>
      <c r="AC338" s="37" t="str">
        <f>IF(最佳化斷筋點!D338="","",最佳化斷筋點!D338)</f>
        <v/>
      </c>
      <c r="AD338" s="37" t="str">
        <f>IF(最佳化斷筋點!E338="","",最佳化斷筋點!E338)</f>
        <v/>
      </c>
      <c r="AE338" s="37" t="str">
        <f>IF(最佳化斷筋點!F338="","",最佳化斷筋點!F338)</f>
        <v/>
      </c>
      <c r="AF338" s="37" t="str">
        <f>IF(最佳化斷筋點!G338="","",最佳化斷筋點!G338)</f>
        <v/>
      </c>
      <c r="AG338" s="37" t="str">
        <f>IF(最佳化斷筋點!H338="","",最佳化斷筋點!H338)</f>
        <v/>
      </c>
      <c r="AH338" s="37" t="str">
        <f>IF(最佳化斷筋點!I338="","",最佳化斷筋點!I338)</f>
        <v/>
      </c>
      <c r="AI338" s="37" t="str">
        <f>IF(最佳化斷筋點!J338="","",最佳化斷筋點!J338)</f>
        <v/>
      </c>
      <c r="AJ338" s="37" t="str">
        <f>IF(最佳化斷筋點!K338="","",最佳化斷筋點!K338)</f>
        <v/>
      </c>
      <c r="AK338" s="37" t="str">
        <f>IF(最佳化斷筋點!L338="","",最佳化斷筋點!L338)</f>
        <v/>
      </c>
      <c r="AL338" s="37" t="str">
        <f>IF(最佳化斷筋點!M338="","",最佳化斷筋點!M338)</f>
        <v/>
      </c>
      <c r="AM338" s="37" t="str">
        <f>IF(最佳化斷筋點!N338="","",最佳化斷筋點!N338)</f>
        <v/>
      </c>
      <c r="AN338" s="37" t="str">
        <f>IF(最佳化斷筋點!O338="","",最佳化斷筋點!O338)</f>
        <v/>
      </c>
      <c r="AO338" s="37" t="str">
        <f>IF(最佳化斷筋點!P338="","",最佳化斷筋點!P338)</f>
        <v/>
      </c>
      <c r="AP338" s="37" t="str">
        <f>IF(最佳化斷筋點!Q338="","",最佳化斷筋點!Q338)</f>
        <v/>
      </c>
      <c r="AQ338" s="37" t="str">
        <f>IF(最佳化斷筋點!R338="","",最佳化斷筋點!R338)</f>
        <v/>
      </c>
      <c r="AR338" s="37" t="str">
        <f>IF(最佳化斷筋點!S338="","",最佳化斷筋點!S338)</f>
        <v/>
      </c>
      <c r="AS338" s="37" t="str">
        <f>IF(最佳化斷筋點!T338="","",最佳化斷筋點!T338)</f>
        <v/>
      </c>
      <c r="AT338" s="37" t="str">
        <f>IF(最佳化斷筋點!U338="","",最佳化斷筋點!U338)</f>
        <v/>
      </c>
      <c r="AU338" s="37" t="str">
        <f>IF(最佳化斷筋點!V338="","",最佳化斷筋點!V338)</f>
        <v/>
      </c>
      <c r="AV338" s="37" t="str">
        <f>IF(最佳化斷筋點!W338="","",最佳化斷筋點!W338)</f>
        <v/>
      </c>
      <c r="AW338" s="37" t="str">
        <f>IF(最佳化斷筋點!X338="","",最佳化斷筋點!X338)</f>
        <v/>
      </c>
      <c r="AZ338" s="37" t="s">
        <v>197</v>
      </c>
      <c r="BA338" s="37" t="s">
        <v>197</v>
      </c>
      <c r="BB338" s="37" t="s">
        <v>197</v>
      </c>
      <c r="BC338" s="37" t="s">
        <v>197</v>
      </c>
      <c r="BD338" s="37" t="s">
        <v>197</v>
      </c>
      <c r="BE338" s="37" t="s">
        <v>197</v>
      </c>
      <c r="BF338" s="37" t="s">
        <v>197</v>
      </c>
      <c r="BG338" s="37" t="s">
        <v>197</v>
      </c>
      <c r="BH338" s="37" t="s">
        <v>197</v>
      </c>
      <c r="BI338" s="37" t="s">
        <v>197</v>
      </c>
      <c r="BJ338" s="37" t="s">
        <v>197</v>
      </c>
      <c r="BK338" s="37" t="s">
        <v>197</v>
      </c>
      <c r="BL338" s="37" t="s">
        <v>197</v>
      </c>
      <c r="BM338" s="37" t="s">
        <v>197</v>
      </c>
      <c r="BN338" s="37" t="s">
        <v>197</v>
      </c>
      <c r="BO338" s="37" t="s">
        <v>197</v>
      </c>
      <c r="BP338" s="37" t="s">
        <v>197</v>
      </c>
      <c r="BQ338" s="37" t="s">
        <v>197</v>
      </c>
      <c r="BR338" s="37" t="s">
        <v>197</v>
      </c>
      <c r="BS338" s="37" t="s">
        <v>197</v>
      </c>
      <c r="BT338" s="37" t="s">
        <v>197</v>
      </c>
    </row>
    <row r="339" spans="5:72" x14ac:dyDescent="0.25">
      <c r="E339" s="6" t="s">
        <v>20</v>
      </c>
      <c r="F339" s="6">
        <f t="shared" si="106"/>
        <v>0</v>
      </c>
      <c r="G339" s="6">
        <f t="shared" si="107"/>
        <v>0</v>
      </c>
      <c r="H339" s="6">
        <f t="shared" si="108"/>
        <v>0</v>
      </c>
      <c r="I339" s="6">
        <f t="shared" si="109"/>
        <v>0</v>
      </c>
      <c r="J339" s="6">
        <f t="shared" si="110"/>
        <v>0</v>
      </c>
      <c r="K339" s="6">
        <f t="shared" si="111"/>
        <v>0</v>
      </c>
      <c r="L339" s="6">
        <f t="shared" si="112"/>
        <v>0</v>
      </c>
      <c r="M339" s="6">
        <f t="shared" si="113"/>
        <v>0</v>
      </c>
      <c r="N339" s="6">
        <f t="shared" si="114"/>
        <v>0</v>
      </c>
      <c r="O339" s="6">
        <f t="shared" si="115"/>
        <v>0</v>
      </c>
      <c r="P339" s="6">
        <f t="shared" si="116"/>
        <v>0</v>
      </c>
      <c r="Q339" s="6">
        <f t="shared" si="117"/>
        <v>0</v>
      </c>
      <c r="R339" s="6">
        <f t="shared" si="118"/>
        <v>0</v>
      </c>
      <c r="S339" s="6">
        <f t="shared" si="119"/>
        <v>0</v>
      </c>
      <c r="T339" s="6">
        <f t="shared" si="120"/>
        <v>0</v>
      </c>
      <c r="U339" s="6">
        <f t="shared" si="121"/>
        <v>0</v>
      </c>
      <c r="V339" s="6">
        <f t="shared" si="122"/>
        <v>0</v>
      </c>
      <c r="W339" s="6">
        <f t="shared" si="123"/>
        <v>0</v>
      </c>
      <c r="X339" s="6">
        <f t="shared" si="124"/>
        <v>0</v>
      </c>
      <c r="Y339" s="6">
        <f t="shared" si="125"/>
        <v>0</v>
      </c>
      <c r="Z339" s="6">
        <f t="shared" si="126"/>
        <v>0</v>
      </c>
      <c r="AB339" s="36" t="str">
        <f>IF(最佳化斷筋點!C339="","",最佳化斷筋點!C339)</f>
        <v>上層</v>
      </c>
      <c r="AC339" s="37">
        <f>IF(最佳化斷筋點!D339="","",最佳化斷筋點!D339)</f>
        <v>9</v>
      </c>
      <c r="AD339" s="37">
        <f>IF(最佳化斷筋點!E339="","",最佳化斷筋點!E339)</f>
        <v>9</v>
      </c>
      <c r="AE339" s="37">
        <f>IF(最佳化斷筋點!F339="","",最佳化斷筋點!F339)</f>
        <v>9</v>
      </c>
      <c r="AF339" s="37">
        <f>IF(最佳化斷筋點!G339="","",最佳化斷筋點!G339)</f>
        <v>9</v>
      </c>
      <c r="AG339" s="37">
        <f>IF(最佳化斷筋點!H339="","",最佳化斷筋點!H339)</f>
        <v>9</v>
      </c>
      <c r="AH339" s="37">
        <f>IF(最佳化斷筋點!I339="","",最佳化斷筋點!I339)</f>
        <v>8</v>
      </c>
      <c r="AI339" s="37">
        <f>IF(最佳化斷筋點!J339="","",最佳化斷筋點!J339)</f>
        <v>7</v>
      </c>
      <c r="AJ339" s="37">
        <f>IF(最佳化斷筋點!K339="","",最佳化斷筋點!K339)</f>
        <v>3</v>
      </c>
      <c r="AK339" s="37">
        <f>IF(最佳化斷筋點!L339="","",最佳化斷筋點!L339)</f>
        <v>3</v>
      </c>
      <c r="AL339" s="37">
        <f>IF(最佳化斷筋點!M339="","",最佳化斷筋點!M339)</f>
        <v>3</v>
      </c>
      <c r="AM339" s="37">
        <f>IF(最佳化斷筋點!N339="","",最佳化斷筋點!N339)</f>
        <v>3</v>
      </c>
      <c r="AN339" s="37">
        <f>IF(最佳化斷筋點!O339="","",最佳化斷筋點!O339)</f>
        <v>3</v>
      </c>
      <c r="AO339" s="37">
        <f>IF(最佳化斷筋點!P339="","",最佳化斷筋點!P339)</f>
        <v>3</v>
      </c>
      <c r="AP339" s="37">
        <f>IF(最佳化斷筋點!Q339="","",最佳化斷筋點!Q339)</f>
        <v>5</v>
      </c>
      <c r="AQ339" s="37">
        <f>IF(最佳化斷筋點!R339="","",最佳化斷筋點!R339)</f>
        <v>6</v>
      </c>
      <c r="AR339" s="37">
        <f>IF(最佳化斷筋點!S339="","",最佳化斷筋點!S339)</f>
        <v>7</v>
      </c>
      <c r="AS339" s="37">
        <f>IF(最佳化斷筋點!T339="","",最佳化斷筋點!T339)</f>
        <v>8</v>
      </c>
      <c r="AT339" s="37">
        <f>IF(最佳化斷筋點!U339="","",最佳化斷筋點!U339)</f>
        <v>9</v>
      </c>
      <c r="AU339" s="37">
        <f>IF(最佳化斷筋點!V339="","",最佳化斷筋點!V339)</f>
        <v>9</v>
      </c>
      <c r="AV339" s="37">
        <f>IF(最佳化斷筋點!W339="","",最佳化斷筋點!W339)</f>
        <v>9</v>
      </c>
      <c r="AW339" s="37">
        <f>IF(最佳化斷筋點!X339="","",最佳化斷筋點!X339)</f>
        <v>9</v>
      </c>
      <c r="AY339" s="6" t="s">
        <v>20</v>
      </c>
      <c r="AZ339" s="37">
        <v>9</v>
      </c>
      <c r="BA339" s="37">
        <v>9</v>
      </c>
      <c r="BB339" s="37">
        <v>9</v>
      </c>
      <c r="BC339" s="37">
        <v>9</v>
      </c>
      <c r="BD339" s="37">
        <v>9</v>
      </c>
      <c r="BE339" s="37">
        <v>8</v>
      </c>
      <c r="BF339" s="37">
        <v>7</v>
      </c>
      <c r="BG339" s="37">
        <v>3</v>
      </c>
      <c r="BH339" s="37">
        <v>3</v>
      </c>
      <c r="BI339" s="37">
        <v>3</v>
      </c>
      <c r="BJ339" s="37">
        <v>3</v>
      </c>
      <c r="BK339" s="37">
        <v>3</v>
      </c>
      <c r="BL339" s="37">
        <v>3</v>
      </c>
      <c r="BM339" s="37">
        <v>5</v>
      </c>
      <c r="BN339" s="37">
        <v>6</v>
      </c>
      <c r="BO339" s="37">
        <v>7</v>
      </c>
      <c r="BP339" s="37">
        <v>8</v>
      </c>
      <c r="BQ339" s="37">
        <v>9</v>
      </c>
      <c r="BR339" s="37">
        <v>9</v>
      </c>
      <c r="BS339" s="37">
        <v>9</v>
      </c>
      <c r="BT339" s="37">
        <v>9</v>
      </c>
    </row>
    <row r="340" spans="5:72" x14ac:dyDescent="0.25">
      <c r="F340" s="6">
        <f t="shared" si="106"/>
        <v>0</v>
      </c>
      <c r="G340" s="6">
        <f t="shared" si="107"/>
        <v>0</v>
      </c>
      <c r="H340" s="6">
        <f t="shared" si="108"/>
        <v>0</v>
      </c>
      <c r="I340" s="6">
        <f t="shared" si="109"/>
        <v>0</v>
      </c>
      <c r="J340" s="6">
        <f t="shared" si="110"/>
        <v>0</v>
      </c>
      <c r="K340" s="6">
        <f t="shared" si="111"/>
        <v>0</v>
      </c>
      <c r="L340" s="6">
        <f t="shared" si="112"/>
        <v>0</v>
      </c>
      <c r="M340" s="6">
        <f t="shared" si="113"/>
        <v>0</v>
      </c>
      <c r="N340" s="6">
        <f t="shared" si="114"/>
        <v>0</v>
      </c>
      <c r="O340" s="6">
        <f t="shared" si="115"/>
        <v>0</v>
      </c>
      <c r="P340" s="6">
        <f t="shared" si="116"/>
        <v>0</v>
      </c>
      <c r="Q340" s="6">
        <f t="shared" si="117"/>
        <v>0</v>
      </c>
      <c r="R340" s="6">
        <f t="shared" si="118"/>
        <v>0</v>
      </c>
      <c r="S340" s="6">
        <f t="shared" si="119"/>
        <v>0</v>
      </c>
      <c r="T340" s="6">
        <f t="shared" si="120"/>
        <v>0</v>
      </c>
      <c r="U340" s="6">
        <f t="shared" si="121"/>
        <v>0</v>
      </c>
      <c r="V340" s="6">
        <f t="shared" si="122"/>
        <v>0</v>
      </c>
      <c r="W340" s="6">
        <f t="shared" si="123"/>
        <v>0</v>
      </c>
      <c r="X340" s="6">
        <f t="shared" si="124"/>
        <v>0</v>
      </c>
      <c r="Y340" s="6">
        <f t="shared" si="125"/>
        <v>0</v>
      </c>
      <c r="Z340" s="6">
        <f t="shared" si="126"/>
        <v>0</v>
      </c>
      <c r="AB340" s="36" t="str">
        <f>IF(最佳化斷筋點!C340="","",最佳化斷筋點!C340)</f>
        <v/>
      </c>
      <c r="AC340" s="37" t="str">
        <f>IF(最佳化斷筋點!D340="","",最佳化斷筋點!D340)</f>
        <v/>
      </c>
      <c r="AD340" s="37" t="str">
        <f>IF(最佳化斷筋點!E340="","",最佳化斷筋點!E340)</f>
        <v/>
      </c>
      <c r="AE340" s="37" t="str">
        <f>IF(最佳化斷筋點!F340="","",最佳化斷筋點!F340)</f>
        <v/>
      </c>
      <c r="AF340" s="37" t="str">
        <f>IF(最佳化斷筋點!G340="","",最佳化斷筋點!G340)</f>
        <v/>
      </c>
      <c r="AG340" s="37" t="str">
        <f>IF(最佳化斷筋點!H340="","",最佳化斷筋點!H340)</f>
        <v/>
      </c>
      <c r="AH340" s="37" t="str">
        <f>IF(最佳化斷筋點!I340="","",最佳化斷筋點!I340)</f>
        <v/>
      </c>
      <c r="AI340" s="37" t="str">
        <f>IF(最佳化斷筋點!J340="","",最佳化斷筋點!J340)</f>
        <v/>
      </c>
      <c r="AJ340" s="37" t="str">
        <f>IF(最佳化斷筋點!K340="","",最佳化斷筋點!K340)</f>
        <v/>
      </c>
      <c r="AK340" s="37" t="str">
        <f>IF(最佳化斷筋點!L340="","",最佳化斷筋點!L340)</f>
        <v/>
      </c>
      <c r="AL340" s="37" t="str">
        <f>IF(最佳化斷筋點!M340="","",最佳化斷筋點!M340)</f>
        <v/>
      </c>
      <c r="AM340" s="37" t="str">
        <f>IF(最佳化斷筋點!N340="","",最佳化斷筋點!N340)</f>
        <v/>
      </c>
      <c r="AN340" s="37" t="str">
        <f>IF(最佳化斷筋點!O340="","",最佳化斷筋點!O340)</f>
        <v/>
      </c>
      <c r="AO340" s="37" t="str">
        <f>IF(最佳化斷筋點!P340="","",最佳化斷筋點!P340)</f>
        <v/>
      </c>
      <c r="AP340" s="37" t="str">
        <f>IF(最佳化斷筋點!Q340="","",最佳化斷筋點!Q340)</f>
        <v/>
      </c>
      <c r="AQ340" s="37" t="str">
        <f>IF(最佳化斷筋點!R340="","",最佳化斷筋點!R340)</f>
        <v/>
      </c>
      <c r="AR340" s="37" t="str">
        <f>IF(最佳化斷筋點!S340="","",最佳化斷筋點!S340)</f>
        <v/>
      </c>
      <c r="AS340" s="37" t="str">
        <f>IF(最佳化斷筋點!T340="","",最佳化斷筋點!T340)</f>
        <v/>
      </c>
      <c r="AT340" s="37" t="str">
        <f>IF(最佳化斷筋點!U340="","",最佳化斷筋點!U340)</f>
        <v/>
      </c>
      <c r="AU340" s="37" t="str">
        <f>IF(最佳化斷筋點!V340="","",最佳化斷筋點!V340)</f>
        <v/>
      </c>
      <c r="AV340" s="37" t="str">
        <f>IF(最佳化斷筋點!W340="","",最佳化斷筋點!W340)</f>
        <v/>
      </c>
      <c r="AW340" s="37" t="str">
        <f>IF(最佳化斷筋點!X340="","",最佳化斷筋點!X340)</f>
        <v/>
      </c>
      <c r="AZ340" s="37" t="s">
        <v>197</v>
      </c>
      <c r="BA340" s="37" t="s">
        <v>197</v>
      </c>
      <c r="BB340" s="37" t="s">
        <v>197</v>
      </c>
      <c r="BC340" s="37" t="s">
        <v>197</v>
      </c>
      <c r="BD340" s="37" t="s">
        <v>197</v>
      </c>
      <c r="BE340" s="37" t="s">
        <v>197</v>
      </c>
      <c r="BF340" s="37" t="s">
        <v>197</v>
      </c>
      <c r="BG340" s="37" t="s">
        <v>197</v>
      </c>
      <c r="BH340" s="37" t="s">
        <v>197</v>
      </c>
      <c r="BI340" s="37" t="s">
        <v>197</v>
      </c>
      <c r="BJ340" s="37" t="s">
        <v>197</v>
      </c>
      <c r="BK340" s="37" t="s">
        <v>197</v>
      </c>
      <c r="BL340" s="37" t="s">
        <v>197</v>
      </c>
      <c r="BM340" s="37" t="s">
        <v>197</v>
      </c>
      <c r="BN340" s="37" t="s">
        <v>197</v>
      </c>
      <c r="BO340" s="37" t="s">
        <v>197</v>
      </c>
      <c r="BP340" s="37" t="s">
        <v>197</v>
      </c>
      <c r="BQ340" s="37" t="s">
        <v>197</v>
      </c>
      <c r="BR340" s="37" t="s">
        <v>197</v>
      </c>
      <c r="BS340" s="37" t="s">
        <v>197</v>
      </c>
      <c r="BT340" s="37" t="s">
        <v>197</v>
      </c>
    </row>
    <row r="341" spans="5:72" x14ac:dyDescent="0.25">
      <c r="E341" s="6" t="s">
        <v>21</v>
      </c>
      <c r="F341" s="6">
        <f t="shared" si="106"/>
        <v>0</v>
      </c>
      <c r="G341" s="6">
        <f t="shared" si="107"/>
        <v>0</v>
      </c>
      <c r="H341" s="6">
        <f t="shared" si="108"/>
        <v>0</v>
      </c>
      <c r="I341" s="6">
        <f t="shared" si="109"/>
        <v>0</v>
      </c>
      <c r="J341" s="6">
        <f t="shared" si="110"/>
        <v>0</v>
      </c>
      <c r="K341" s="6">
        <f t="shared" si="111"/>
        <v>0</v>
      </c>
      <c r="L341" s="6">
        <f t="shared" si="112"/>
        <v>0</v>
      </c>
      <c r="M341" s="6">
        <f t="shared" si="113"/>
        <v>0</v>
      </c>
      <c r="N341" s="6">
        <f t="shared" si="114"/>
        <v>0</v>
      </c>
      <c r="O341" s="6">
        <f t="shared" si="115"/>
        <v>0</v>
      </c>
      <c r="P341" s="6">
        <f t="shared" si="116"/>
        <v>0</v>
      </c>
      <c r="Q341" s="6">
        <f t="shared" si="117"/>
        <v>0</v>
      </c>
      <c r="R341" s="6">
        <f t="shared" si="118"/>
        <v>0</v>
      </c>
      <c r="S341" s="6">
        <f t="shared" si="119"/>
        <v>0</v>
      </c>
      <c r="T341" s="6">
        <f t="shared" si="120"/>
        <v>0</v>
      </c>
      <c r="U341" s="6">
        <f t="shared" si="121"/>
        <v>0</v>
      </c>
      <c r="V341" s="6">
        <f t="shared" si="122"/>
        <v>0</v>
      </c>
      <c r="W341" s="6">
        <f t="shared" si="123"/>
        <v>0</v>
      </c>
      <c r="X341" s="6">
        <f t="shared" si="124"/>
        <v>0</v>
      </c>
      <c r="Y341" s="6">
        <f t="shared" si="125"/>
        <v>0</v>
      </c>
      <c r="Z341" s="6">
        <f t="shared" si="126"/>
        <v>0</v>
      </c>
      <c r="AB341" s="36" t="str">
        <f>IF(最佳化斷筋點!C341="","",最佳化斷筋點!C341)</f>
        <v>下層</v>
      </c>
      <c r="AC341" s="37">
        <f>IF(最佳化斷筋點!D341="","",最佳化斷筋點!D341)</f>
        <v>5</v>
      </c>
      <c r="AD341" s="37">
        <f>IF(最佳化斷筋點!E341="","",最佳化斷筋點!E341)</f>
        <v>5</v>
      </c>
      <c r="AE341" s="37">
        <f>IF(最佳化斷筋點!F341="","",最佳化斷筋點!F341)</f>
        <v>5</v>
      </c>
      <c r="AF341" s="37">
        <f>IF(最佳化斷筋點!G341="","",最佳化斷筋點!G341)</f>
        <v>5</v>
      </c>
      <c r="AG341" s="37">
        <f>IF(最佳化斷筋點!H341="","",最佳化斷筋點!H341)</f>
        <v>5</v>
      </c>
      <c r="AH341" s="37">
        <f>IF(最佳化斷筋點!I341="","",最佳化斷筋點!I341)</f>
        <v>4</v>
      </c>
      <c r="AI341" s="37">
        <f>IF(最佳化斷筋點!J341="","",最佳化斷筋點!J341)</f>
        <v>4</v>
      </c>
      <c r="AJ341" s="37">
        <f>IF(最佳化斷筋點!K341="","",最佳化斷筋點!K341)</f>
        <v>3</v>
      </c>
      <c r="AK341" s="37">
        <f>IF(最佳化斷筋點!L341="","",最佳化斷筋點!L341)</f>
        <v>3</v>
      </c>
      <c r="AL341" s="37">
        <f>IF(最佳化斷筋點!M341="","",最佳化斷筋點!M341)</f>
        <v>3</v>
      </c>
      <c r="AM341" s="37">
        <f>IF(最佳化斷筋點!N341="","",最佳化斷筋點!N341)</f>
        <v>3</v>
      </c>
      <c r="AN341" s="37">
        <f>IF(最佳化斷筋點!O341="","",最佳化斷筋點!O341)</f>
        <v>3</v>
      </c>
      <c r="AO341" s="37">
        <f>IF(最佳化斷筋點!P341="","",最佳化斷筋點!P341)</f>
        <v>3</v>
      </c>
      <c r="AP341" s="37">
        <f>IF(最佳化斷筋點!Q341="","",最佳化斷筋點!Q341)</f>
        <v>3</v>
      </c>
      <c r="AQ341" s="37">
        <f>IF(最佳化斷筋點!R341="","",最佳化斷筋點!R341)</f>
        <v>4</v>
      </c>
      <c r="AR341" s="37">
        <f>IF(最佳化斷筋點!S341="","",最佳化斷筋點!S341)</f>
        <v>4</v>
      </c>
      <c r="AS341" s="37">
        <f>IF(最佳化斷筋點!T341="","",最佳化斷筋點!T341)</f>
        <v>5</v>
      </c>
      <c r="AT341" s="37">
        <f>IF(最佳化斷筋點!U341="","",最佳化斷筋點!U341)</f>
        <v>5</v>
      </c>
      <c r="AU341" s="37">
        <f>IF(最佳化斷筋點!V341="","",最佳化斷筋點!V341)</f>
        <v>6</v>
      </c>
      <c r="AV341" s="37">
        <f>IF(最佳化斷筋點!W341="","",最佳化斷筋點!W341)</f>
        <v>6</v>
      </c>
      <c r="AW341" s="37">
        <f>IF(最佳化斷筋點!X341="","",最佳化斷筋點!X341)</f>
        <v>6</v>
      </c>
      <c r="AY341" s="6" t="s">
        <v>21</v>
      </c>
      <c r="AZ341" s="37">
        <v>5</v>
      </c>
      <c r="BA341" s="37">
        <v>5</v>
      </c>
      <c r="BB341" s="37">
        <v>5</v>
      </c>
      <c r="BC341" s="37">
        <v>5</v>
      </c>
      <c r="BD341" s="37">
        <v>5</v>
      </c>
      <c r="BE341" s="37">
        <v>4</v>
      </c>
      <c r="BF341" s="37">
        <v>4</v>
      </c>
      <c r="BG341" s="37">
        <v>3</v>
      </c>
      <c r="BH341" s="37">
        <v>3</v>
      </c>
      <c r="BI341" s="37">
        <v>3</v>
      </c>
      <c r="BJ341" s="37">
        <v>3</v>
      </c>
      <c r="BK341" s="37">
        <v>3</v>
      </c>
      <c r="BL341" s="37">
        <v>3</v>
      </c>
      <c r="BM341" s="37">
        <v>3</v>
      </c>
      <c r="BN341" s="37">
        <v>4</v>
      </c>
      <c r="BO341" s="37">
        <v>4</v>
      </c>
      <c r="BP341" s="37">
        <v>5</v>
      </c>
      <c r="BQ341" s="37">
        <v>5</v>
      </c>
      <c r="BR341" s="37">
        <v>6</v>
      </c>
      <c r="BS341" s="37">
        <v>6</v>
      </c>
      <c r="BT341" s="37">
        <v>6</v>
      </c>
    </row>
    <row r="342" spans="5:72" x14ac:dyDescent="0.25">
      <c r="F342" s="6">
        <f t="shared" si="106"/>
        <v>0</v>
      </c>
      <c r="G342" s="6">
        <f t="shared" si="107"/>
        <v>0</v>
      </c>
      <c r="H342" s="6">
        <f t="shared" si="108"/>
        <v>0</v>
      </c>
      <c r="I342" s="6">
        <f t="shared" si="109"/>
        <v>0</v>
      </c>
      <c r="J342" s="6">
        <f t="shared" si="110"/>
        <v>0</v>
      </c>
      <c r="K342" s="6">
        <f t="shared" si="111"/>
        <v>0</v>
      </c>
      <c r="L342" s="6">
        <f t="shared" si="112"/>
        <v>0</v>
      </c>
      <c r="M342" s="6">
        <f t="shared" si="113"/>
        <v>0</v>
      </c>
      <c r="N342" s="6">
        <f t="shared" si="114"/>
        <v>0</v>
      </c>
      <c r="O342" s="6">
        <f t="shared" si="115"/>
        <v>0</v>
      </c>
      <c r="P342" s="6">
        <f t="shared" si="116"/>
        <v>0</v>
      </c>
      <c r="Q342" s="6">
        <f t="shared" si="117"/>
        <v>0</v>
      </c>
      <c r="R342" s="6">
        <f t="shared" si="118"/>
        <v>0</v>
      </c>
      <c r="S342" s="6">
        <f t="shared" si="119"/>
        <v>0</v>
      </c>
      <c r="T342" s="6">
        <f t="shared" si="120"/>
        <v>0</v>
      </c>
      <c r="U342" s="6">
        <f t="shared" si="121"/>
        <v>0</v>
      </c>
      <c r="V342" s="6">
        <f t="shared" si="122"/>
        <v>0</v>
      </c>
      <c r="W342" s="6">
        <f t="shared" si="123"/>
        <v>0</v>
      </c>
      <c r="X342" s="6">
        <f t="shared" si="124"/>
        <v>0</v>
      </c>
      <c r="Y342" s="6">
        <f t="shared" si="125"/>
        <v>0</v>
      </c>
      <c r="Z342" s="6">
        <f t="shared" si="126"/>
        <v>0</v>
      </c>
      <c r="AB342" s="36" t="str">
        <f>IF(最佳化斷筋點!C342="","",最佳化斷筋點!C342)</f>
        <v/>
      </c>
      <c r="AC342" s="37" t="str">
        <f>IF(最佳化斷筋點!D342="","",最佳化斷筋點!D342)</f>
        <v/>
      </c>
      <c r="AD342" s="37" t="str">
        <f>IF(最佳化斷筋點!E342="","",最佳化斷筋點!E342)</f>
        <v/>
      </c>
      <c r="AE342" s="37" t="str">
        <f>IF(最佳化斷筋點!F342="","",最佳化斷筋點!F342)</f>
        <v/>
      </c>
      <c r="AF342" s="37" t="str">
        <f>IF(最佳化斷筋點!G342="","",最佳化斷筋點!G342)</f>
        <v/>
      </c>
      <c r="AG342" s="37" t="str">
        <f>IF(最佳化斷筋點!H342="","",最佳化斷筋點!H342)</f>
        <v/>
      </c>
      <c r="AH342" s="37" t="str">
        <f>IF(最佳化斷筋點!I342="","",最佳化斷筋點!I342)</f>
        <v/>
      </c>
      <c r="AI342" s="37" t="str">
        <f>IF(最佳化斷筋點!J342="","",最佳化斷筋點!J342)</f>
        <v/>
      </c>
      <c r="AJ342" s="37" t="str">
        <f>IF(最佳化斷筋點!K342="","",最佳化斷筋點!K342)</f>
        <v/>
      </c>
      <c r="AK342" s="37" t="str">
        <f>IF(最佳化斷筋點!L342="","",最佳化斷筋點!L342)</f>
        <v/>
      </c>
      <c r="AL342" s="37" t="str">
        <f>IF(最佳化斷筋點!M342="","",最佳化斷筋點!M342)</f>
        <v/>
      </c>
      <c r="AM342" s="37" t="str">
        <f>IF(最佳化斷筋點!N342="","",最佳化斷筋點!N342)</f>
        <v/>
      </c>
      <c r="AN342" s="37" t="str">
        <f>IF(最佳化斷筋點!O342="","",最佳化斷筋點!O342)</f>
        <v/>
      </c>
      <c r="AO342" s="37" t="str">
        <f>IF(最佳化斷筋點!P342="","",最佳化斷筋點!P342)</f>
        <v/>
      </c>
      <c r="AP342" s="37" t="str">
        <f>IF(最佳化斷筋點!Q342="","",最佳化斷筋點!Q342)</f>
        <v/>
      </c>
      <c r="AQ342" s="37" t="str">
        <f>IF(最佳化斷筋點!R342="","",最佳化斷筋點!R342)</f>
        <v/>
      </c>
      <c r="AR342" s="37" t="str">
        <f>IF(最佳化斷筋點!S342="","",最佳化斷筋點!S342)</f>
        <v/>
      </c>
      <c r="AS342" s="37" t="str">
        <f>IF(最佳化斷筋點!T342="","",最佳化斷筋點!T342)</f>
        <v/>
      </c>
      <c r="AT342" s="37" t="str">
        <f>IF(最佳化斷筋點!U342="","",最佳化斷筋點!U342)</f>
        <v/>
      </c>
      <c r="AU342" s="37" t="str">
        <f>IF(最佳化斷筋點!V342="","",最佳化斷筋點!V342)</f>
        <v/>
      </c>
      <c r="AV342" s="37" t="str">
        <f>IF(最佳化斷筋點!W342="","",最佳化斷筋點!W342)</f>
        <v/>
      </c>
      <c r="AW342" s="37" t="str">
        <f>IF(最佳化斷筋點!X342="","",最佳化斷筋點!X342)</f>
        <v/>
      </c>
      <c r="AZ342" s="37" t="s">
        <v>197</v>
      </c>
      <c r="BA342" s="37" t="s">
        <v>197</v>
      </c>
      <c r="BB342" s="37" t="s">
        <v>197</v>
      </c>
      <c r="BC342" s="37" t="s">
        <v>197</v>
      </c>
      <c r="BD342" s="37" t="s">
        <v>197</v>
      </c>
      <c r="BE342" s="37" t="s">
        <v>197</v>
      </c>
      <c r="BF342" s="37" t="s">
        <v>197</v>
      </c>
      <c r="BG342" s="37" t="s">
        <v>197</v>
      </c>
      <c r="BH342" s="37" t="s">
        <v>197</v>
      </c>
      <c r="BI342" s="37" t="s">
        <v>197</v>
      </c>
      <c r="BJ342" s="37" t="s">
        <v>197</v>
      </c>
      <c r="BK342" s="37" t="s">
        <v>197</v>
      </c>
      <c r="BL342" s="37" t="s">
        <v>197</v>
      </c>
      <c r="BM342" s="37" t="s">
        <v>197</v>
      </c>
      <c r="BN342" s="37" t="s">
        <v>197</v>
      </c>
      <c r="BO342" s="37" t="s">
        <v>197</v>
      </c>
      <c r="BP342" s="37" t="s">
        <v>197</v>
      </c>
      <c r="BQ342" s="37" t="s">
        <v>197</v>
      </c>
      <c r="BR342" s="37" t="s">
        <v>197</v>
      </c>
      <c r="BS342" s="37" t="s">
        <v>197</v>
      </c>
      <c r="BT342" s="37" t="s">
        <v>197</v>
      </c>
    </row>
    <row r="343" spans="5:72" x14ac:dyDescent="0.25">
      <c r="E343" s="6" t="s">
        <v>20</v>
      </c>
      <c r="F343" s="6">
        <f t="shared" si="106"/>
        <v>0</v>
      </c>
      <c r="G343" s="6">
        <f t="shared" si="107"/>
        <v>0</v>
      </c>
      <c r="H343" s="6">
        <f t="shared" si="108"/>
        <v>0</v>
      </c>
      <c r="I343" s="6">
        <f t="shared" si="109"/>
        <v>0</v>
      </c>
      <c r="J343" s="6">
        <f t="shared" si="110"/>
        <v>0</v>
      </c>
      <c r="K343" s="6">
        <f t="shared" si="111"/>
        <v>0</v>
      </c>
      <c r="L343" s="6">
        <f t="shared" si="112"/>
        <v>0</v>
      </c>
      <c r="M343" s="6">
        <f t="shared" si="113"/>
        <v>0</v>
      </c>
      <c r="N343" s="6">
        <f t="shared" si="114"/>
        <v>0</v>
      </c>
      <c r="O343" s="6">
        <f t="shared" si="115"/>
        <v>0</v>
      </c>
      <c r="P343" s="6">
        <f t="shared" si="116"/>
        <v>0</v>
      </c>
      <c r="Q343" s="6">
        <f t="shared" si="117"/>
        <v>0</v>
      </c>
      <c r="R343" s="6">
        <f t="shared" si="118"/>
        <v>0</v>
      </c>
      <c r="S343" s="6">
        <f t="shared" si="119"/>
        <v>0</v>
      </c>
      <c r="T343" s="6">
        <f t="shared" si="120"/>
        <v>0</v>
      </c>
      <c r="U343" s="6">
        <f t="shared" si="121"/>
        <v>0</v>
      </c>
      <c r="V343" s="6">
        <f t="shared" si="122"/>
        <v>0</v>
      </c>
      <c r="W343" s="6">
        <f t="shared" si="123"/>
        <v>0</v>
      </c>
      <c r="X343" s="6">
        <f t="shared" si="124"/>
        <v>0</v>
      </c>
      <c r="Y343" s="6">
        <f t="shared" si="125"/>
        <v>0</v>
      </c>
      <c r="Z343" s="6">
        <f t="shared" si="126"/>
        <v>0</v>
      </c>
      <c r="AB343" s="36" t="str">
        <f>IF(最佳化斷筋點!C343="","",最佳化斷筋點!C343)</f>
        <v>上層</v>
      </c>
      <c r="AC343" s="37">
        <f>IF(最佳化斷筋點!D343="","",最佳化斷筋點!D343)</f>
        <v>9</v>
      </c>
      <c r="AD343" s="37">
        <f>IF(最佳化斷筋點!E343="","",最佳化斷筋點!E343)</f>
        <v>9</v>
      </c>
      <c r="AE343" s="37">
        <f>IF(最佳化斷筋點!F343="","",最佳化斷筋點!F343)</f>
        <v>9</v>
      </c>
      <c r="AF343" s="37">
        <f>IF(最佳化斷筋點!G343="","",最佳化斷筋點!G343)</f>
        <v>9</v>
      </c>
      <c r="AG343" s="37">
        <f>IF(最佳化斷筋點!H343="","",最佳化斷筋點!H343)</f>
        <v>9</v>
      </c>
      <c r="AH343" s="37">
        <f>IF(最佳化斷筋點!I343="","",最佳化斷筋點!I343)</f>
        <v>9</v>
      </c>
      <c r="AI343" s="37">
        <f>IF(最佳化斷筋點!J343="","",最佳化斷筋點!J343)</f>
        <v>9</v>
      </c>
      <c r="AJ343" s="37">
        <f>IF(最佳化斷筋點!K343="","",最佳化斷筋點!K343)</f>
        <v>3</v>
      </c>
      <c r="AK343" s="37">
        <f>IF(最佳化斷筋點!L343="","",最佳化斷筋點!L343)</f>
        <v>3</v>
      </c>
      <c r="AL343" s="37">
        <f>IF(最佳化斷筋點!M343="","",最佳化斷筋點!M343)</f>
        <v>3</v>
      </c>
      <c r="AM343" s="37">
        <f>IF(最佳化斷筋點!N343="","",最佳化斷筋點!N343)</f>
        <v>3</v>
      </c>
      <c r="AN343" s="37">
        <f>IF(最佳化斷筋點!O343="","",最佳化斷筋點!O343)</f>
        <v>3</v>
      </c>
      <c r="AO343" s="37">
        <f>IF(最佳化斷筋點!P343="","",最佳化斷筋點!P343)</f>
        <v>3</v>
      </c>
      <c r="AP343" s="37">
        <f>IF(最佳化斷筋點!Q343="","",最佳化斷筋點!Q343)</f>
        <v>7</v>
      </c>
      <c r="AQ343" s="37">
        <f>IF(最佳化斷筋點!R343="","",最佳化斷筋點!R343)</f>
        <v>8</v>
      </c>
      <c r="AR343" s="37">
        <f>IF(最佳化斷筋點!S343="","",最佳化斷筋點!S343)</f>
        <v>8</v>
      </c>
      <c r="AS343" s="37">
        <f>IF(最佳化斷筋點!T343="","",最佳化斷筋點!T343)</f>
        <v>8</v>
      </c>
      <c r="AT343" s="37">
        <f>IF(最佳化斷筋點!U343="","",最佳化斷筋點!U343)</f>
        <v>8</v>
      </c>
      <c r="AU343" s="37">
        <f>IF(最佳化斷筋點!V343="","",最佳化斷筋點!V343)</f>
        <v>8</v>
      </c>
      <c r="AV343" s="37">
        <f>IF(最佳化斷筋點!W343="","",最佳化斷筋點!W343)</f>
        <v>8</v>
      </c>
      <c r="AW343" s="37">
        <f>IF(最佳化斷筋點!X343="","",最佳化斷筋點!X343)</f>
        <v>8</v>
      </c>
      <c r="AY343" s="6" t="s">
        <v>20</v>
      </c>
      <c r="AZ343" s="37">
        <v>9</v>
      </c>
      <c r="BA343" s="37">
        <v>9</v>
      </c>
      <c r="BB343" s="37">
        <v>9</v>
      </c>
      <c r="BC343" s="37">
        <v>9</v>
      </c>
      <c r="BD343" s="37">
        <v>9</v>
      </c>
      <c r="BE343" s="37">
        <v>9</v>
      </c>
      <c r="BF343" s="37">
        <v>9</v>
      </c>
      <c r="BG343" s="37">
        <v>3</v>
      </c>
      <c r="BH343" s="37">
        <v>3</v>
      </c>
      <c r="BI343" s="37">
        <v>3</v>
      </c>
      <c r="BJ343" s="37">
        <v>3</v>
      </c>
      <c r="BK343" s="37">
        <v>3</v>
      </c>
      <c r="BL343" s="37">
        <v>3</v>
      </c>
      <c r="BM343" s="37">
        <v>7</v>
      </c>
      <c r="BN343" s="37">
        <v>8</v>
      </c>
      <c r="BO343" s="37">
        <v>8</v>
      </c>
      <c r="BP343" s="37">
        <v>8</v>
      </c>
      <c r="BQ343" s="37">
        <v>8</v>
      </c>
      <c r="BR343" s="37">
        <v>8</v>
      </c>
      <c r="BS343" s="37">
        <v>8</v>
      </c>
      <c r="BT343" s="37">
        <v>8</v>
      </c>
    </row>
    <row r="344" spans="5:72" x14ac:dyDescent="0.25">
      <c r="F344" s="6">
        <f t="shared" si="106"/>
        <v>0</v>
      </c>
      <c r="G344" s="6">
        <f t="shared" si="107"/>
        <v>0</v>
      </c>
      <c r="H344" s="6">
        <f t="shared" si="108"/>
        <v>0</v>
      </c>
      <c r="I344" s="6">
        <f t="shared" si="109"/>
        <v>0</v>
      </c>
      <c r="J344" s="6">
        <f t="shared" si="110"/>
        <v>0</v>
      </c>
      <c r="K344" s="6">
        <f t="shared" si="111"/>
        <v>0</v>
      </c>
      <c r="L344" s="6">
        <f t="shared" si="112"/>
        <v>0</v>
      </c>
      <c r="M344" s="6">
        <f t="shared" si="113"/>
        <v>0</v>
      </c>
      <c r="N344" s="6">
        <f t="shared" si="114"/>
        <v>0</v>
      </c>
      <c r="O344" s="6">
        <f t="shared" si="115"/>
        <v>0</v>
      </c>
      <c r="P344" s="6">
        <f t="shared" si="116"/>
        <v>0</v>
      </c>
      <c r="Q344" s="6">
        <f t="shared" si="117"/>
        <v>0</v>
      </c>
      <c r="R344" s="6">
        <f t="shared" si="118"/>
        <v>0</v>
      </c>
      <c r="S344" s="6">
        <f t="shared" si="119"/>
        <v>0</v>
      </c>
      <c r="T344" s="6">
        <f t="shared" si="120"/>
        <v>0</v>
      </c>
      <c r="U344" s="6">
        <f t="shared" si="121"/>
        <v>0</v>
      </c>
      <c r="V344" s="6">
        <f t="shared" si="122"/>
        <v>0</v>
      </c>
      <c r="W344" s="6">
        <f t="shared" si="123"/>
        <v>0</v>
      </c>
      <c r="X344" s="6">
        <f t="shared" si="124"/>
        <v>0</v>
      </c>
      <c r="Y344" s="6">
        <f t="shared" si="125"/>
        <v>0</v>
      </c>
      <c r="Z344" s="6">
        <f t="shared" si="126"/>
        <v>0</v>
      </c>
      <c r="AB344" s="36" t="str">
        <f>IF(最佳化斷筋點!C344="","",最佳化斷筋點!C344)</f>
        <v/>
      </c>
      <c r="AC344" s="37" t="str">
        <f>IF(最佳化斷筋點!D344="","",最佳化斷筋點!D344)</f>
        <v/>
      </c>
      <c r="AD344" s="37" t="str">
        <f>IF(最佳化斷筋點!E344="","",最佳化斷筋點!E344)</f>
        <v/>
      </c>
      <c r="AE344" s="37" t="str">
        <f>IF(最佳化斷筋點!F344="","",最佳化斷筋點!F344)</f>
        <v/>
      </c>
      <c r="AF344" s="37" t="str">
        <f>IF(最佳化斷筋點!G344="","",最佳化斷筋點!G344)</f>
        <v/>
      </c>
      <c r="AG344" s="37" t="str">
        <f>IF(最佳化斷筋點!H344="","",最佳化斷筋點!H344)</f>
        <v/>
      </c>
      <c r="AH344" s="37" t="str">
        <f>IF(最佳化斷筋點!I344="","",最佳化斷筋點!I344)</f>
        <v/>
      </c>
      <c r="AI344" s="37" t="str">
        <f>IF(最佳化斷筋點!J344="","",最佳化斷筋點!J344)</f>
        <v/>
      </c>
      <c r="AJ344" s="37" t="str">
        <f>IF(最佳化斷筋點!K344="","",最佳化斷筋點!K344)</f>
        <v/>
      </c>
      <c r="AK344" s="37" t="str">
        <f>IF(最佳化斷筋點!L344="","",最佳化斷筋點!L344)</f>
        <v/>
      </c>
      <c r="AL344" s="37" t="str">
        <f>IF(最佳化斷筋點!M344="","",最佳化斷筋點!M344)</f>
        <v/>
      </c>
      <c r="AM344" s="37" t="str">
        <f>IF(最佳化斷筋點!N344="","",最佳化斷筋點!N344)</f>
        <v/>
      </c>
      <c r="AN344" s="37" t="str">
        <f>IF(最佳化斷筋點!O344="","",最佳化斷筋點!O344)</f>
        <v/>
      </c>
      <c r="AO344" s="37" t="str">
        <f>IF(最佳化斷筋點!P344="","",最佳化斷筋點!P344)</f>
        <v/>
      </c>
      <c r="AP344" s="37" t="str">
        <f>IF(最佳化斷筋點!Q344="","",最佳化斷筋點!Q344)</f>
        <v/>
      </c>
      <c r="AQ344" s="37" t="str">
        <f>IF(最佳化斷筋點!R344="","",最佳化斷筋點!R344)</f>
        <v/>
      </c>
      <c r="AR344" s="37" t="str">
        <f>IF(最佳化斷筋點!S344="","",最佳化斷筋點!S344)</f>
        <v/>
      </c>
      <c r="AS344" s="37" t="str">
        <f>IF(最佳化斷筋點!T344="","",最佳化斷筋點!T344)</f>
        <v/>
      </c>
      <c r="AT344" s="37" t="str">
        <f>IF(最佳化斷筋點!U344="","",最佳化斷筋點!U344)</f>
        <v/>
      </c>
      <c r="AU344" s="37" t="str">
        <f>IF(最佳化斷筋點!V344="","",最佳化斷筋點!V344)</f>
        <v/>
      </c>
      <c r="AV344" s="37" t="str">
        <f>IF(最佳化斷筋點!W344="","",最佳化斷筋點!W344)</f>
        <v/>
      </c>
      <c r="AW344" s="37" t="str">
        <f>IF(最佳化斷筋點!X344="","",最佳化斷筋點!X344)</f>
        <v/>
      </c>
      <c r="AZ344" s="37" t="s">
        <v>197</v>
      </c>
      <c r="BA344" s="37" t="s">
        <v>197</v>
      </c>
      <c r="BB344" s="37" t="s">
        <v>197</v>
      </c>
      <c r="BC344" s="37" t="s">
        <v>197</v>
      </c>
      <c r="BD344" s="37" t="s">
        <v>197</v>
      </c>
      <c r="BE344" s="37" t="s">
        <v>197</v>
      </c>
      <c r="BF344" s="37" t="s">
        <v>197</v>
      </c>
      <c r="BG344" s="37" t="s">
        <v>197</v>
      </c>
      <c r="BH344" s="37" t="s">
        <v>197</v>
      </c>
      <c r="BI344" s="37" t="s">
        <v>197</v>
      </c>
      <c r="BJ344" s="37" t="s">
        <v>197</v>
      </c>
      <c r="BK344" s="37" t="s">
        <v>197</v>
      </c>
      <c r="BL344" s="37" t="s">
        <v>197</v>
      </c>
      <c r="BM344" s="37" t="s">
        <v>197</v>
      </c>
      <c r="BN344" s="37" t="s">
        <v>197</v>
      </c>
      <c r="BO344" s="37" t="s">
        <v>197</v>
      </c>
      <c r="BP344" s="37" t="s">
        <v>197</v>
      </c>
      <c r="BQ344" s="37" t="s">
        <v>197</v>
      </c>
      <c r="BR344" s="37" t="s">
        <v>197</v>
      </c>
      <c r="BS344" s="37" t="s">
        <v>197</v>
      </c>
      <c r="BT344" s="37" t="s">
        <v>197</v>
      </c>
    </row>
    <row r="345" spans="5:72" x14ac:dyDescent="0.25">
      <c r="E345" s="6" t="s">
        <v>21</v>
      </c>
      <c r="F345" s="6">
        <f t="shared" si="106"/>
        <v>0</v>
      </c>
      <c r="G345" s="6">
        <f t="shared" si="107"/>
        <v>0</v>
      </c>
      <c r="H345" s="6">
        <f t="shared" si="108"/>
        <v>0</v>
      </c>
      <c r="I345" s="6">
        <f t="shared" si="109"/>
        <v>0</v>
      </c>
      <c r="J345" s="6">
        <f t="shared" si="110"/>
        <v>0</v>
      </c>
      <c r="K345" s="6">
        <f t="shared" si="111"/>
        <v>0</v>
      </c>
      <c r="L345" s="6">
        <f t="shared" si="112"/>
        <v>0</v>
      </c>
      <c r="M345" s="6">
        <f t="shared" si="113"/>
        <v>0</v>
      </c>
      <c r="N345" s="6">
        <f t="shared" si="114"/>
        <v>0</v>
      </c>
      <c r="O345" s="6">
        <f t="shared" si="115"/>
        <v>0</v>
      </c>
      <c r="P345" s="6">
        <f t="shared" si="116"/>
        <v>0</v>
      </c>
      <c r="Q345" s="6">
        <f t="shared" si="117"/>
        <v>0</v>
      </c>
      <c r="R345" s="6">
        <f t="shared" si="118"/>
        <v>0</v>
      </c>
      <c r="S345" s="6">
        <f t="shared" si="119"/>
        <v>0</v>
      </c>
      <c r="T345" s="6">
        <f t="shared" si="120"/>
        <v>0</v>
      </c>
      <c r="U345" s="6">
        <f t="shared" si="121"/>
        <v>0</v>
      </c>
      <c r="V345" s="6">
        <f t="shared" si="122"/>
        <v>0</v>
      </c>
      <c r="W345" s="6">
        <f t="shared" si="123"/>
        <v>0</v>
      </c>
      <c r="X345" s="6">
        <f t="shared" si="124"/>
        <v>0</v>
      </c>
      <c r="Y345" s="6">
        <f t="shared" si="125"/>
        <v>0</v>
      </c>
      <c r="Z345" s="6">
        <f t="shared" si="126"/>
        <v>0</v>
      </c>
      <c r="AB345" s="36" t="str">
        <f>IF(最佳化斷筋點!C345="","",最佳化斷筋點!C345)</f>
        <v>下層</v>
      </c>
      <c r="AC345" s="37">
        <f>IF(最佳化斷筋點!D345="","",最佳化斷筋點!D345)</f>
        <v>8</v>
      </c>
      <c r="AD345" s="37">
        <f>IF(最佳化斷筋點!E345="","",最佳化斷筋點!E345)</f>
        <v>8</v>
      </c>
      <c r="AE345" s="37">
        <f>IF(最佳化斷筋點!F345="","",最佳化斷筋點!F345)</f>
        <v>8</v>
      </c>
      <c r="AF345" s="37">
        <f>IF(最佳化斷筋點!G345="","",最佳化斷筋點!G345)</f>
        <v>8</v>
      </c>
      <c r="AG345" s="37">
        <f>IF(最佳化斷筋點!H345="","",最佳化斷筋點!H345)</f>
        <v>8</v>
      </c>
      <c r="AH345" s="37">
        <f>IF(最佳化斷筋點!I345="","",最佳化斷筋點!I345)</f>
        <v>8</v>
      </c>
      <c r="AI345" s="37">
        <f>IF(最佳化斷筋點!J345="","",最佳化斷筋點!J345)</f>
        <v>8</v>
      </c>
      <c r="AJ345" s="37">
        <f>IF(最佳化斷筋點!K345="","",最佳化斷筋點!K345)</f>
        <v>3</v>
      </c>
      <c r="AK345" s="37">
        <f>IF(最佳化斷筋點!L345="","",最佳化斷筋點!L345)</f>
        <v>3</v>
      </c>
      <c r="AL345" s="37">
        <f>IF(最佳化斷筋點!M345="","",最佳化斷筋點!M345)</f>
        <v>3</v>
      </c>
      <c r="AM345" s="37">
        <f>IF(最佳化斷筋點!N345="","",最佳化斷筋點!N345)</f>
        <v>3</v>
      </c>
      <c r="AN345" s="37">
        <f>IF(最佳化斷筋點!O345="","",最佳化斷筋點!O345)</f>
        <v>3</v>
      </c>
      <c r="AO345" s="37">
        <f>IF(最佳化斷筋點!P345="","",最佳化斷筋點!P345)</f>
        <v>3</v>
      </c>
      <c r="AP345" s="37">
        <f>IF(最佳化斷筋點!Q345="","",最佳化斷筋點!Q345)</f>
        <v>6</v>
      </c>
      <c r="AQ345" s="37">
        <f>IF(最佳化斷筋點!R345="","",最佳化斷筋點!R345)</f>
        <v>7</v>
      </c>
      <c r="AR345" s="37">
        <f>IF(最佳化斷筋點!S345="","",最佳化斷筋點!S345)</f>
        <v>8</v>
      </c>
      <c r="AS345" s="37">
        <f>IF(最佳化斷筋點!T345="","",最佳化斷筋點!T345)</f>
        <v>8</v>
      </c>
      <c r="AT345" s="37">
        <f>IF(最佳化斷筋點!U345="","",最佳化斷筋點!U345)</f>
        <v>8</v>
      </c>
      <c r="AU345" s="37">
        <f>IF(最佳化斷筋點!V345="","",最佳化斷筋點!V345)</f>
        <v>8</v>
      </c>
      <c r="AV345" s="37">
        <f>IF(最佳化斷筋點!W345="","",最佳化斷筋點!W345)</f>
        <v>8</v>
      </c>
      <c r="AW345" s="37">
        <f>IF(最佳化斷筋點!X345="","",最佳化斷筋點!X345)</f>
        <v>8</v>
      </c>
      <c r="AY345" s="6" t="s">
        <v>21</v>
      </c>
      <c r="AZ345" s="37">
        <v>8</v>
      </c>
      <c r="BA345" s="37">
        <v>8</v>
      </c>
      <c r="BB345" s="37">
        <v>8</v>
      </c>
      <c r="BC345" s="37">
        <v>8</v>
      </c>
      <c r="BD345" s="37">
        <v>8</v>
      </c>
      <c r="BE345" s="37">
        <v>8</v>
      </c>
      <c r="BF345" s="37">
        <v>8</v>
      </c>
      <c r="BG345" s="37">
        <v>3</v>
      </c>
      <c r="BH345" s="37">
        <v>3</v>
      </c>
      <c r="BI345" s="37">
        <v>3</v>
      </c>
      <c r="BJ345" s="37">
        <v>3</v>
      </c>
      <c r="BK345" s="37">
        <v>3</v>
      </c>
      <c r="BL345" s="37">
        <v>3</v>
      </c>
      <c r="BM345" s="37">
        <v>6</v>
      </c>
      <c r="BN345" s="37">
        <v>7</v>
      </c>
      <c r="BO345" s="37">
        <v>8</v>
      </c>
      <c r="BP345" s="37">
        <v>8</v>
      </c>
      <c r="BQ345" s="37">
        <v>8</v>
      </c>
      <c r="BR345" s="37">
        <v>8</v>
      </c>
      <c r="BS345" s="37">
        <v>8</v>
      </c>
      <c r="BT345" s="37">
        <v>8</v>
      </c>
    </row>
    <row r="346" spans="5:72" x14ac:dyDescent="0.25">
      <c r="F346" s="6">
        <f t="shared" si="106"/>
        <v>0</v>
      </c>
      <c r="G346" s="6">
        <f t="shared" si="107"/>
        <v>0</v>
      </c>
      <c r="H346" s="6">
        <f t="shared" si="108"/>
        <v>0</v>
      </c>
      <c r="I346" s="6">
        <f t="shared" si="109"/>
        <v>0</v>
      </c>
      <c r="J346" s="6">
        <f t="shared" si="110"/>
        <v>0</v>
      </c>
      <c r="K346" s="6">
        <f t="shared" si="111"/>
        <v>0</v>
      </c>
      <c r="L346" s="6">
        <f t="shared" si="112"/>
        <v>0</v>
      </c>
      <c r="M346" s="6">
        <f t="shared" si="113"/>
        <v>0</v>
      </c>
      <c r="N346" s="6">
        <f t="shared" si="114"/>
        <v>0</v>
      </c>
      <c r="O346" s="6">
        <f t="shared" si="115"/>
        <v>0</v>
      </c>
      <c r="P346" s="6">
        <f t="shared" si="116"/>
        <v>0</v>
      </c>
      <c r="Q346" s="6">
        <f t="shared" si="117"/>
        <v>0</v>
      </c>
      <c r="R346" s="6">
        <f t="shared" si="118"/>
        <v>0</v>
      </c>
      <c r="S346" s="6">
        <f t="shared" si="119"/>
        <v>0</v>
      </c>
      <c r="T346" s="6">
        <f t="shared" si="120"/>
        <v>0</v>
      </c>
      <c r="U346" s="6">
        <f t="shared" si="121"/>
        <v>0</v>
      </c>
      <c r="V346" s="6">
        <f t="shared" si="122"/>
        <v>0</v>
      </c>
      <c r="W346" s="6">
        <f t="shared" si="123"/>
        <v>0</v>
      </c>
      <c r="X346" s="6">
        <f t="shared" si="124"/>
        <v>0</v>
      </c>
      <c r="Y346" s="6">
        <f t="shared" si="125"/>
        <v>0</v>
      </c>
      <c r="Z346" s="6">
        <f t="shared" si="126"/>
        <v>0</v>
      </c>
      <c r="AB346" s="36" t="str">
        <f>IF(最佳化斷筋點!C346="","",最佳化斷筋點!C346)</f>
        <v/>
      </c>
      <c r="AC346" s="37" t="str">
        <f>IF(最佳化斷筋點!D346="","",最佳化斷筋點!D346)</f>
        <v/>
      </c>
      <c r="AD346" s="37" t="str">
        <f>IF(最佳化斷筋點!E346="","",最佳化斷筋點!E346)</f>
        <v/>
      </c>
      <c r="AE346" s="37" t="str">
        <f>IF(最佳化斷筋點!F346="","",最佳化斷筋點!F346)</f>
        <v/>
      </c>
      <c r="AF346" s="37" t="str">
        <f>IF(最佳化斷筋點!G346="","",最佳化斷筋點!G346)</f>
        <v/>
      </c>
      <c r="AG346" s="37" t="str">
        <f>IF(最佳化斷筋點!H346="","",最佳化斷筋點!H346)</f>
        <v/>
      </c>
      <c r="AH346" s="37" t="str">
        <f>IF(最佳化斷筋點!I346="","",最佳化斷筋點!I346)</f>
        <v/>
      </c>
      <c r="AI346" s="37" t="str">
        <f>IF(最佳化斷筋點!J346="","",最佳化斷筋點!J346)</f>
        <v/>
      </c>
      <c r="AJ346" s="37" t="str">
        <f>IF(最佳化斷筋點!K346="","",最佳化斷筋點!K346)</f>
        <v/>
      </c>
      <c r="AK346" s="37" t="str">
        <f>IF(最佳化斷筋點!L346="","",最佳化斷筋點!L346)</f>
        <v/>
      </c>
      <c r="AL346" s="37" t="str">
        <f>IF(最佳化斷筋點!M346="","",最佳化斷筋點!M346)</f>
        <v/>
      </c>
      <c r="AM346" s="37" t="str">
        <f>IF(最佳化斷筋點!N346="","",最佳化斷筋點!N346)</f>
        <v/>
      </c>
      <c r="AN346" s="37" t="str">
        <f>IF(最佳化斷筋點!O346="","",最佳化斷筋點!O346)</f>
        <v/>
      </c>
      <c r="AO346" s="37" t="str">
        <f>IF(最佳化斷筋點!P346="","",最佳化斷筋點!P346)</f>
        <v/>
      </c>
      <c r="AP346" s="37" t="str">
        <f>IF(最佳化斷筋點!Q346="","",最佳化斷筋點!Q346)</f>
        <v/>
      </c>
      <c r="AQ346" s="37" t="str">
        <f>IF(最佳化斷筋點!R346="","",最佳化斷筋點!R346)</f>
        <v/>
      </c>
      <c r="AR346" s="37" t="str">
        <f>IF(最佳化斷筋點!S346="","",最佳化斷筋點!S346)</f>
        <v/>
      </c>
      <c r="AS346" s="37" t="str">
        <f>IF(最佳化斷筋點!T346="","",最佳化斷筋點!T346)</f>
        <v/>
      </c>
      <c r="AT346" s="37" t="str">
        <f>IF(最佳化斷筋點!U346="","",最佳化斷筋點!U346)</f>
        <v/>
      </c>
      <c r="AU346" s="37" t="str">
        <f>IF(最佳化斷筋點!V346="","",最佳化斷筋點!V346)</f>
        <v/>
      </c>
      <c r="AV346" s="37" t="str">
        <f>IF(最佳化斷筋點!W346="","",最佳化斷筋點!W346)</f>
        <v/>
      </c>
      <c r="AW346" s="37" t="str">
        <f>IF(最佳化斷筋點!X346="","",最佳化斷筋點!X346)</f>
        <v/>
      </c>
      <c r="AZ346" s="37" t="s">
        <v>197</v>
      </c>
      <c r="BA346" s="37" t="s">
        <v>197</v>
      </c>
      <c r="BB346" s="37" t="s">
        <v>197</v>
      </c>
      <c r="BC346" s="37" t="s">
        <v>197</v>
      </c>
      <c r="BD346" s="37" t="s">
        <v>197</v>
      </c>
      <c r="BE346" s="37" t="s">
        <v>197</v>
      </c>
      <c r="BF346" s="37" t="s">
        <v>197</v>
      </c>
      <c r="BG346" s="37" t="s">
        <v>197</v>
      </c>
      <c r="BH346" s="37" t="s">
        <v>197</v>
      </c>
      <c r="BI346" s="37" t="s">
        <v>197</v>
      </c>
      <c r="BJ346" s="37" t="s">
        <v>197</v>
      </c>
      <c r="BK346" s="37" t="s">
        <v>197</v>
      </c>
      <c r="BL346" s="37" t="s">
        <v>197</v>
      </c>
      <c r="BM346" s="37" t="s">
        <v>197</v>
      </c>
      <c r="BN346" s="37" t="s">
        <v>197</v>
      </c>
      <c r="BO346" s="37" t="s">
        <v>197</v>
      </c>
      <c r="BP346" s="37" t="s">
        <v>197</v>
      </c>
      <c r="BQ346" s="37" t="s">
        <v>197</v>
      </c>
      <c r="BR346" s="37" t="s">
        <v>197</v>
      </c>
      <c r="BS346" s="37" t="s">
        <v>197</v>
      </c>
      <c r="BT346" s="37" t="s">
        <v>197</v>
      </c>
    </row>
    <row r="347" spans="5:72" x14ac:dyDescent="0.25">
      <c r="E347" s="6" t="s">
        <v>20</v>
      </c>
      <c r="F347" s="6">
        <f t="shared" si="106"/>
        <v>0</v>
      </c>
      <c r="G347" s="6">
        <f t="shared" si="107"/>
        <v>0</v>
      </c>
      <c r="H347" s="6">
        <f t="shared" si="108"/>
        <v>0</v>
      </c>
      <c r="I347" s="6">
        <f t="shared" si="109"/>
        <v>0</v>
      </c>
      <c r="J347" s="6">
        <f t="shared" si="110"/>
        <v>0</v>
      </c>
      <c r="K347" s="6">
        <f t="shared" si="111"/>
        <v>0</v>
      </c>
      <c r="L347" s="6">
        <f t="shared" si="112"/>
        <v>0</v>
      </c>
      <c r="M347" s="6">
        <f t="shared" si="113"/>
        <v>0</v>
      </c>
      <c r="N347" s="6">
        <f t="shared" si="114"/>
        <v>0</v>
      </c>
      <c r="O347" s="6">
        <f t="shared" si="115"/>
        <v>0</v>
      </c>
      <c r="P347" s="6">
        <f t="shared" si="116"/>
        <v>0</v>
      </c>
      <c r="Q347" s="6">
        <f t="shared" si="117"/>
        <v>0</v>
      </c>
      <c r="R347" s="6">
        <f t="shared" si="118"/>
        <v>0</v>
      </c>
      <c r="S347" s="6">
        <f t="shared" si="119"/>
        <v>0</v>
      </c>
      <c r="T347" s="6">
        <f t="shared" si="120"/>
        <v>0</v>
      </c>
      <c r="U347" s="6">
        <f t="shared" si="121"/>
        <v>0</v>
      </c>
      <c r="V347" s="6">
        <f t="shared" si="122"/>
        <v>0</v>
      </c>
      <c r="W347" s="6">
        <f t="shared" si="123"/>
        <v>0</v>
      </c>
      <c r="X347" s="6">
        <f t="shared" si="124"/>
        <v>0</v>
      </c>
      <c r="Y347" s="6">
        <f t="shared" si="125"/>
        <v>0</v>
      </c>
      <c r="Z347" s="6">
        <f t="shared" si="126"/>
        <v>0</v>
      </c>
      <c r="AB347" s="36" t="str">
        <f>IF(最佳化斷筋點!C347="","",最佳化斷筋點!C347)</f>
        <v>上層</v>
      </c>
      <c r="AC347" s="37">
        <f>IF(最佳化斷筋點!D347="","",最佳化斷筋點!D347)</f>
        <v>11</v>
      </c>
      <c r="AD347" s="37">
        <f>IF(最佳化斷筋點!E347="","",最佳化斷筋點!E347)</f>
        <v>11</v>
      </c>
      <c r="AE347" s="37">
        <f>IF(最佳化斷筋點!F347="","",最佳化斷筋點!F347)</f>
        <v>11</v>
      </c>
      <c r="AF347" s="37">
        <f>IF(最佳化斷筋點!G347="","",最佳化斷筋點!G347)</f>
        <v>11</v>
      </c>
      <c r="AG347" s="37">
        <f>IF(最佳化斷筋點!H347="","",最佳化斷筋點!H347)</f>
        <v>11</v>
      </c>
      <c r="AH347" s="37">
        <f>IF(最佳化斷筋點!I347="","",最佳化斷筋點!I347)</f>
        <v>11</v>
      </c>
      <c r="AI347" s="37">
        <f>IF(最佳化斷筋點!J347="","",最佳化斷筋點!J347)</f>
        <v>10</v>
      </c>
      <c r="AJ347" s="37">
        <f>IF(最佳化斷筋點!K347="","",最佳化斷筋點!K347)</f>
        <v>4</v>
      </c>
      <c r="AK347" s="37">
        <f>IF(最佳化斷筋點!L347="","",最佳化斷筋點!L347)</f>
        <v>4</v>
      </c>
      <c r="AL347" s="37">
        <f>IF(最佳化斷筋點!M347="","",最佳化斷筋點!M347)</f>
        <v>4</v>
      </c>
      <c r="AM347" s="37">
        <f>IF(最佳化斷筋點!N347="","",最佳化斷筋點!N347)</f>
        <v>4</v>
      </c>
      <c r="AN347" s="37">
        <f>IF(最佳化斷筋點!O347="","",最佳化斷筋點!O347)</f>
        <v>4</v>
      </c>
      <c r="AO347" s="37">
        <f>IF(最佳化斷筋點!P347="","",最佳化斷筋點!P347)</f>
        <v>4</v>
      </c>
      <c r="AP347" s="37">
        <f>IF(最佳化斷筋點!Q347="","",最佳化斷筋點!Q347)</f>
        <v>6</v>
      </c>
      <c r="AQ347" s="37">
        <f>IF(最佳化斷筋點!R347="","",最佳化斷筋點!R347)</f>
        <v>7</v>
      </c>
      <c r="AR347" s="37">
        <f>IF(最佳化斷筋點!S347="","",最佳化斷筋點!S347)</f>
        <v>8</v>
      </c>
      <c r="AS347" s="37">
        <f>IF(最佳化斷筋點!T347="","",最佳化斷筋點!T347)</f>
        <v>8</v>
      </c>
      <c r="AT347" s="37">
        <f>IF(最佳化斷筋點!U347="","",最佳化斷筋點!U347)</f>
        <v>8</v>
      </c>
      <c r="AU347" s="37">
        <f>IF(最佳化斷筋點!V347="","",最佳化斷筋點!V347)</f>
        <v>8</v>
      </c>
      <c r="AV347" s="37">
        <f>IF(最佳化斷筋點!W347="","",最佳化斷筋點!W347)</f>
        <v>8</v>
      </c>
      <c r="AW347" s="37">
        <f>IF(最佳化斷筋點!X347="","",最佳化斷筋點!X347)</f>
        <v>8</v>
      </c>
      <c r="AY347" s="6" t="s">
        <v>20</v>
      </c>
      <c r="AZ347" s="37">
        <v>11</v>
      </c>
      <c r="BA347" s="37">
        <v>11</v>
      </c>
      <c r="BB347" s="37">
        <v>11</v>
      </c>
      <c r="BC347" s="37">
        <v>11</v>
      </c>
      <c r="BD347" s="37">
        <v>11</v>
      </c>
      <c r="BE347" s="37">
        <v>11</v>
      </c>
      <c r="BF347" s="37">
        <v>10</v>
      </c>
      <c r="BG347" s="37">
        <v>4</v>
      </c>
      <c r="BH347" s="37">
        <v>4</v>
      </c>
      <c r="BI347" s="37">
        <v>4</v>
      </c>
      <c r="BJ347" s="37">
        <v>4</v>
      </c>
      <c r="BK347" s="37">
        <v>4</v>
      </c>
      <c r="BL347" s="37">
        <v>4</v>
      </c>
      <c r="BM347" s="37">
        <v>6</v>
      </c>
      <c r="BN347" s="37">
        <v>7</v>
      </c>
      <c r="BO347" s="37">
        <v>8</v>
      </c>
      <c r="BP347" s="37">
        <v>8</v>
      </c>
      <c r="BQ347" s="37">
        <v>8</v>
      </c>
      <c r="BR347" s="37">
        <v>8</v>
      </c>
      <c r="BS347" s="37">
        <v>8</v>
      </c>
      <c r="BT347" s="37">
        <v>8</v>
      </c>
    </row>
    <row r="348" spans="5:72" x14ac:dyDescent="0.25">
      <c r="F348" s="6">
        <f t="shared" si="106"/>
        <v>0</v>
      </c>
      <c r="G348" s="6">
        <f t="shared" si="107"/>
        <v>0</v>
      </c>
      <c r="H348" s="6">
        <f t="shared" si="108"/>
        <v>0</v>
      </c>
      <c r="I348" s="6">
        <f t="shared" si="109"/>
        <v>0</v>
      </c>
      <c r="J348" s="6">
        <f t="shared" si="110"/>
        <v>0</v>
      </c>
      <c r="K348" s="6">
        <f t="shared" si="111"/>
        <v>0</v>
      </c>
      <c r="L348" s="6">
        <f t="shared" si="112"/>
        <v>0</v>
      </c>
      <c r="M348" s="6">
        <f t="shared" si="113"/>
        <v>0</v>
      </c>
      <c r="N348" s="6">
        <f t="shared" si="114"/>
        <v>0</v>
      </c>
      <c r="O348" s="6">
        <f t="shared" si="115"/>
        <v>0</v>
      </c>
      <c r="P348" s="6">
        <f t="shared" si="116"/>
        <v>0</v>
      </c>
      <c r="Q348" s="6">
        <f t="shared" si="117"/>
        <v>0</v>
      </c>
      <c r="R348" s="6">
        <f t="shared" si="118"/>
        <v>0</v>
      </c>
      <c r="S348" s="6">
        <f t="shared" si="119"/>
        <v>0</v>
      </c>
      <c r="T348" s="6">
        <f t="shared" si="120"/>
        <v>0</v>
      </c>
      <c r="U348" s="6">
        <f t="shared" si="121"/>
        <v>0</v>
      </c>
      <c r="V348" s="6">
        <f t="shared" si="122"/>
        <v>0</v>
      </c>
      <c r="W348" s="6">
        <f t="shared" si="123"/>
        <v>0</v>
      </c>
      <c r="X348" s="6">
        <f t="shared" si="124"/>
        <v>0</v>
      </c>
      <c r="Y348" s="6">
        <f t="shared" si="125"/>
        <v>0</v>
      </c>
      <c r="Z348" s="6">
        <f t="shared" si="126"/>
        <v>0</v>
      </c>
      <c r="AB348" s="36" t="str">
        <f>IF(最佳化斷筋點!C348="","",最佳化斷筋點!C348)</f>
        <v/>
      </c>
      <c r="AC348" s="37" t="str">
        <f>IF(最佳化斷筋點!D348="","",最佳化斷筋點!D348)</f>
        <v/>
      </c>
      <c r="AD348" s="37" t="str">
        <f>IF(最佳化斷筋點!E348="","",最佳化斷筋點!E348)</f>
        <v/>
      </c>
      <c r="AE348" s="37" t="str">
        <f>IF(最佳化斷筋點!F348="","",最佳化斷筋點!F348)</f>
        <v/>
      </c>
      <c r="AF348" s="37" t="str">
        <f>IF(最佳化斷筋點!G348="","",最佳化斷筋點!G348)</f>
        <v/>
      </c>
      <c r="AG348" s="37" t="str">
        <f>IF(最佳化斷筋點!H348="","",最佳化斷筋點!H348)</f>
        <v/>
      </c>
      <c r="AH348" s="37" t="str">
        <f>IF(最佳化斷筋點!I348="","",最佳化斷筋點!I348)</f>
        <v/>
      </c>
      <c r="AI348" s="37" t="str">
        <f>IF(最佳化斷筋點!J348="","",最佳化斷筋點!J348)</f>
        <v/>
      </c>
      <c r="AJ348" s="37" t="str">
        <f>IF(最佳化斷筋點!K348="","",最佳化斷筋點!K348)</f>
        <v/>
      </c>
      <c r="AK348" s="37" t="str">
        <f>IF(最佳化斷筋點!L348="","",最佳化斷筋點!L348)</f>
        <v/>
      </c>
      <c r="AL348" s="37" t="str">
        <f>IF(最佳化斷筋點!M348="","",最佳化斷筋點!M348)</f>
        <v/>
      </c>
      <c r="AM348" s="37" t="str">
        <f>IF(最佳化斷筋點!N348="","",最佳化斷筋點!N348)</f>
        <v/>
      </c>
      <c r="AN348" s="37" t="str">
        <f>IF(最佳化斷筋點!O348="","",最佳化斷筋點!O348)</f>
        <v/>
      </c>
      <c r="AO348" s="37" t="str">
        <f>IF(最佳化斷筋點!P348="","",最佳化斷筋點!P348)</f>
        <v/>
      </c>
      <c r="AP348" s="37" t="str">
        <f>IF(最佳化斷筋點!Q348="","",最佳化斷筋點!Q348)</f>
        <v/>
      </c>
      <c r="AQ348" s="37" t="str">
        <f>IF(最佳化斷筋點!R348="","",最佳化斷筋點!R348)</f>
        <v/>
      </c>
      <c r="AR348" s="37" t="str">
        <f>IF(最佳化斷筋點!S348="","",最佳化斷筋點!S348)</f>
        <v/>
      </c>
      <c r="AS348" s="37" t="str">
        <f>IF(最佳化斷筋點!T348="","",最佳化斷筋點!T348)</f>
        <v/>
      </c>
      <c r="AT348" s="37" t="str">
        <f>IF(最佳化斷筋點!U348="","",最佳化斷筋點!U348)</f>
        <v/>
      </c>
      <c r="AU348" s="37" t="str">
        <f>IF(最佳化斷筋點!V348="","",最佳化斷筋點!V348)</f>
        <v/>
      </c>
      <c r="AV348" s="37" t="str">
        <f>IF(最佳化斷筋點!W348="","",最佳化斷筋點!W348)</f>
        <v/>
      </c>
      <c r="AW348" s="37" t="str">
        <f>IF(最佳化斷筋點!X348="","",最佳化斷筋點!X348)</f>
        <v/>
      </c>
      <c r="AZ348" s="37" t="s">
        <v>197</v>
      </c>
      <c r="BA348" s="37" t="s">
        <v>197</v>
      </c>
      <c r="BB348" s="37" t="s">
        <v>197</v>
      </c>
      <c r="BC348" s="37" t="s">
        <v>197</v>
      </c>
      <c r="BD348" s="37" t="s">
        <v>197</v>
      </c>
      <c r="BE348" s="37" t="s">
        <v>197</v>
      </c>
      <c r="BF348" s="37" t="s">
        <v>197</v>
      </c>
      <c r="BG348" s="37" t="s">
        <v>197</v>
      </c>
      <c r="BH348" s="37" t="s">
        <v>197</v>
      </c>
      <c r="BI348" s="37" t="s">
        <v>197</v>
      </c>
      <c r="BJ348" s="37" t="s">
        <v>197</v>
      </c>
      <c r="BK348" s="37" t="s">
        <v>197</v>
      </c>
      <c r="BL348" s="37" t="s">
        <v>197</v>
      </c>
      <c r="BM348" s="37" t="s">
        <v>197</v>
      </c>
      <c r="BN348" s="37" t="s">
        <v>197</v>
      </c>
      <c r="BO348" s="37" t="s">
        <v>197</v>
      </c>
      <c r="BP348" s="37" t="s">
        <v>197</v>
      </c>
      <c r="BQ348" s="37" t="s">
        <v>197</v>
      </c>
      <c r="BR348" s="37" t="s">
        <v>197</v>
      </c>
      <c r="BS348" s="37" t="s">
        <v>197</v>
      </c>
      <c r="BT348" s="37" t="s">
        <v>197</v>
      </c>
    </row>
    <row r="349" spans="5:72" x14ac:dyDescent="0.25">
      <c r="E349" s="6" t="s">
        <v>21</v>
      </c>
      <c r="F349" s="6">
        <f t="shared" si="106"/>
        <v>0</v>
      </c>
      <c r="G349" s="6">
        <f t="shared" si="107"/>
        <v>0</v>
      </c>
      <c r="H349" s="6">
        <f t="shared" si="108"/>
        <v>0</v>
      </c>
      <c r="I349" s="6">
        <f t="shared" si="109"/>
        <v>0</v>
      </c>
      <c r="J349" s="6">
        <f t="shared" si="110"/>
        <v>0</v>
      </c>
      <c r="K349" s="6">
        <f t="shared" si="111"/>
        <v>0</v>
      </c>
      <c r="L349" s="6">
        <f t="shared" si="112"/>
        <v>0</v>
      </c>
      <c r="M349" s="6">
        <f t="shared" si="113"/>
        <v>0</v>
      </c>
      <c r="N349" s="6">
        <f t="shared" si="114"/>
        <v>0</v>
      </c>
      <c r="O349" s="6">
        <f t="shared" si="115"/>
        <v>0</v>
      </c>
      <c r="P349" s="6">
        <f t="shared" si="116"/>
        <v>0</v>
      </c>
      <c r="Q349" s="6">
        <f t="shared" si="117"/>
        <v>0</v>
      </c>
      <c r="R349" s="6">
        <f t="shared" si="118"/>
        <v>0</v>
      </c>
      <c r="S349" s="6">
        <f t="shared" si="119"/>
        <v>0</v>
      </c>
      <c r="T349" s="6">
        <f t="shared" si="120"/>
        <v>0</v>
      </c>
      <c r="U349" s="6">
        <f t="shared" si="121"/>
        <v>0</v>
      </c>
      <c r="V349" s="6">
        <f t="shared" si="122"/>
        <v>0</v>
      </c>
      <c r="W349" s="6">
        <f t="shared" si="123"/>
        <v>0</v>
      </c>
      <c r="X349" s="6">
        <f t="shared" si="124"/>
        <v>0</v>
      </c>
      <c r="Y349" s="6">
        <f t="shared" si="125"/>
        <v>0</v>
      </c>
      <c r="Z349" s="6">
        <f t="shared" si="126"/>
        <v>0</v>
      </c>
      <c r="AB349" s="36" t="str">
        <f>IF(最佳化斷筋點!C349="","",最佳化斷筋點!C349)</f>
        <v>下層</v>
      </c>
      <c r="AC349" s="37">
        <f>IF(最佳化斷筋點!D349="","",最佳化斷筋點!D349)</f>
        <v>7</v>
      </c>
      <c r="AD349" s="37">
        <f>IF(最佳化斷筋點!E349="","",最佳化斷筋點!E349)</f>
        <v>7</v>
      </c>
      <c r="AE349" s="37">
        <f>IF(最佳化斷筋點!F349="","",最佳化斷筋點!F349)</f>
        <v>7</v>
      </c>
      <c r="AF349" s="37">
        <f>IF(最佳化斷筋點!G349="","",最佳化斷筋點!G349)</f>
        <v>7</v>
      </c>
      <c r="AG349" s="37">
        <f>IF(最佳化斷筋點!H349="","",最佳化斷筋點!H349)</f>
        <v>7</v>
      </c>
      <c r="AH349" s="37">
        <f>IF(最佳化斷筋點!I349="","",最佳化斷筋點!I349)</f>
        <v>6</v>
      </c>
      <c r="AI349" s="37">
        <f>IF(最佳化斷筋點!J349="","",最佳化斷筋點!J349)</f>
        <v>6</v>
      </c>
      <c r="AJ349" s="37">
        <f>IF(最佳化斷筋點!K349="","",最佳化斷筋點!K349)</f>
        <v>3</v>
      </c>
      <c r="AK349" s="37">
        <f>IF(最佳化斷筋點!L349="","",最佳化斷筋點!L349)</f>
        <v>3</v>
      </c>
      <c r="AL349" s="37">
        <f>IF(最佳化斷筋點!M349="","",最佳化斷筋點!M349)</f>
        <v>3</v>
      </c>
      <c r="AM349" s="37">
        <f>IF(最佳化斷筋點!N349="","",最佳化斷筋點!N349)</f>
        <v>3</v>
      </c>
      <c r="AN349" s="37">
        <f>IF(最佳化斷筋點!O349="","",最佳化斷筋點!O349)</f>
        <v>3</v>
      </c>
      <c r="AO349" s="37">
        <f>IF(最佳化斷筋點!P349="","",最佳化斷筋點!P349)</f>
        <v>3</v>
      </c>
      <c r="AP349" s="37">
        <f>IF(最佳化斷筋點!Q349="","",最佳化斷筋點!Q349)</f>
        <v>5</v>
      </c>
      <c r="AQ349" s="37">
        <f>IF(最佳化斷筋點!R349="","",最佳化斷筋點!R349)</f>
        <v>6</v>
      </c>
      <c r="AR349" s="37">
        <f>IF(最佳化斷筋點!S349="","",最佳化斷筋點!S349)</f>
        <v>7</v>
      </c>
      <c r="AS349" s="37">
        <f>IF(最佳化斷筋點!T349="","",最佳化斷筋點!T349)</f>
        <v>8</v>
      </c>
      <c r="AT349" s="37">
        <f>IF(最佳化斷筋點!U349="","",最佳化斷筋點!U349)</f>
        <v>9</v>
      </c>
      <c r="AU349" s="37">
        <f>IF(最佳化斷筋點!V349="","",最佳化斷筋點!V349)</f>
        <v>9</v>
      </c>
      <c r="AV349" s="37">
        <f>IF(最佳化斷筋點!W349="","",最佳化斷筋點!W349)</f>
        <v>9</v>
      </c>
      <c r="AW349" s="37">
        <f>IF(最佳化斷筋點!X349="","",最佳化斷筋點!X349)</f>
        <v>9</v>
      </c>
      <c r="AY349" s="6" t="s">
        <v>21</v>
      </c>
      <c r="AZ349" s="37">
        <v>7</v>
      </c>
      <c r="BA349" s="37">
        <v>7</v>
      </c>
      <c r="BB349" s="37">
        <v>7</v>
      </c>
      <c r="BC349" s="37">
        <v>7</v>
      </c>
      <c r="BD349" s="37">
        <v>7</v>
      </c>
      <c r="BE349" s="37">
        <v>6</v>
      </c>
      <c r="BF349" s="37">
        <v>6</v>
      </c>
      <c r="BG349" s="37">
        <v>3</v>
      </c>
      <c r="BH349" s="37">
        <v>3</v>
      </c>
      <c r="BI349" s="37">
        <v>3</v>
      </c>
      <c r="BJ349" s="37">
        <v>3</v>
      </c>
      <c r="BK349" s="37">
        <v>3</v>
      </c>
      <c r="BL349" s="37">
        <v>3</v>
      </c>
      <c r="BM349" s="37">
        <v>5</v>
      </c>
      <c r="BN349" s="37">
        <v>6</v>
      </c>
      <c r="BO349" s="37">
        <v>7</v>
      </c>
      <c r="BP349" s="37">
        <v>8</v>
      </c>
      <c r="BQ349" s="37">
        <v>9</v>
      </c>
      <c r="BR349" s="37">
        <v>9</v>
      </c>
      <c r="BS349" s="37">
        <v>9</v>
      </c>
      <c r="BT349" s="37">
        <v>9</v>
      </c>
    </row>
    <row r="350" spans="5:72" x14ac:dyDescent="0.25">
      <c r="F350" s="6">
        <f t="shared" si="106"/>
        <v>0</v>
      </c>
      <c r="G350" s="6">
        <f t="shared" si="107"/>
        <v>0</v>
      </c>
      <c r="H350" s="6">
        <f t="shared" si="108"/>
        <v>0</v>
      </c>
      <c r="I350" s="6">
        <f t="shared" si="109"/>
        <v>0</v>
      </c>
      <c r="J350" s="6">
        <f t="shared" si="110"/>
        <v>0</v>
      </c>
      <c r="K350" s="6">
        <f t="shared" si="111"/>
        <v>0</v>
      </c>
      <c r="L350" s="6">
        <f t="shared" si="112"/>
        <v>0</v>
      </c>
      <c r="M350" s="6">
        <f t="shared" si="113"/>
        <v>0</v>
      </c>
      <c r="N350" s="6">
        <f t="shared" si="114"/>
        <v>0</v>
      </c>
      <c r="O350" s="6">
        <f t="shared" si="115"/>
        <v>0</v>
      </c>
      <c r="P350" s="6">
        <f t="shared" si="116"/>
        <v>0</v>
      </c>
      <c r="Q350" s="6">
        <f t="shared" si="117"/>
        <v>0</v>
      </c>
      <c r="R350" s="6">
        <f t="shared" si="118"/>
        <v>0</v>
      </c>
      <c r="S350" s="6">
        <f t="shared" si="119"/>
        <v>0</v>
      </c>
      <c r="T350" s="6">
        <f t="shared" si="120"/>
        <v>0</v>
      </c>
      <c r="U350" s="6">
        <f t="shared" si="121"/>
        <v>0</v>
      </c>
      <c r="V350" s="6">
        <f t="shared" si="122"/>
        <v>0</v>
      </c>
      <c r="W350" s="6">
        <f t="shared" si="123"/>
        <v>0</v>
      </c>
      <c r="X350" s="6">
        <f t="shared" si="124"/>
        <v>0</v>
      </c>
      <c r="Y350" s="6">
        <f t="shared" si="125"/>
        <v>0</v>
      </c>
      <c r="Z350" s="6">
        <f t="shared" si="126"/>
        <v>0</v>
      </c>
      <c r="AB350" s="36" t="str">
        <f>IF(最佳化斷筋點!C350="","",最佳化斷筋點!C350)</f>
        <v/>
      </c>
      <c r="AC350" s="37" t="str">
        <f>IF(最佳化斷筋點!D350="","",最佳化斷筋點!D350)</f>
        <v/>
      </c>
      <c r="AD350" s="37" t="str">
        <f>IF(最佳化斷筋點!E350="","",最佳化斷筋點!E350)</f>
        <v/>
      </c>
      <c r="AE350" s="37" t="str">
        <f>IF(最佳化斷筋點!F350="","",最佳化斷筋點!F350)</f>
        <v/>
      </c>
      <c r="AF350" s="37" t="str">
        <f>IF(最佳化斷筋點!G350="","",最佳化斷筋點!G350)</f>
        <v/>
      </c>
      <c r="AG350" s="37" t="str">
        <f>IF(最佳化斷筋點!H350="","",最佳化斷筋點!H350)</f>
        <v/>
      </c>
      <c r="AH350" s="37" t="str">
        <f>IF(最佳化斷筋點!I350="","",最佳化斷筋點!I350)</f>
        <v/>
      </c>
      <c r="AI350" s="37" t="str">
        <f>IF(最佳化斷筋點!J350="","",最佳化斷筋點!J350)</f>
        <v/>
      </c>
      <c r="AJ350" s="37" t="str">
        <f>IF(最佳化斷筋點!K350="","",最佳化斷筋點!K350)</f>
        <v/>
      </c>
      <c r="AK350" s="37" t="str">
        <f>IF(最佳化斷筋點!L350="","",最佳化斷筋點!L350)</f>
        <v/>
      </c>
      <c r="AL350" s="37" t="str">
        <f>IF(最佳化斷筋點!M350="","",最佳化斷筋點!M350)</f>
        <v/>
      </c>
      <c r="AM350" s="37" t="str">
        <f>IF(最佳化斷筋點!N350="","",最佳化斷筋點!N350)</f>
        <v/>
      </c>
      <c r="AN350" s="37" t="str">
        <f>IF(最佳化斷筋點!O350="","",最佳化斷筋點!O350)</f>
        <v/>
      </c>
      <c r="AO350" s="37" t="str">
        <f>IF(最佳化斷筋點!P350="","",最佳化斷筋點!P350)</f>
        <v/>
      </c>
      <c r="AP350" s="37" t="str">
        <f>IF(最佳化斷筋點!Q350="","",最佳化斷筋點!Q350)</f>
        <v/>
      </c>
      <c r="AQ350" s="37" t="str">
        <f>IF(最佳化斷筋點!R350="","",最佳化斷筋點!R350)</f>
        <v/>
      </c>
      <c r="AR350" s="37" t="str">
        <f>IF(最佳化斷筋點!S350="","",最佳化斷筋點!S350)</f>
        <v/>
      </c>
      <c r="AS350" s="37" t="str">
        <f>IF(最佳化斷筋點!T350="","",最佳化斷筋點!T350)</f>
        <v/>
      </c>
      <c r="AT350" s="37" t="str">
        <f>IF(最佳化斷筋點!U350="","",最佳化斷筋點!U350)</f>
        <v/>
      </c>
      <c r="AU350" s="37" t="str">
        <f>IF(最佳化斷筋點!V350="","",最佳化斷筋點!V350)</f>
        <v/>
      </c>
      <c r="AV350" s="37" t="str">
        <f>IF(最佳化斷筋點!W350="","",最佳化斷筋點!W350)</f>
        <v/>
      </c>
      <c r="AW350" s="37" t="str">
        <f>IF(最佳化斷筋點!X350="","",最佳化斷筋點!X350)</f>
        <v/>
      </c>
      <c r="AZ350" s="37" t="s">
        <v>197</v>
      </c>
      <c r="BA350" s="37" t="s">
        <v>197</v>
      </c>
      <c r="BB350" s="37" t="s">
        <v>197</v>
      </c>
      <c r="BC350" s="37" t="s">
        <v>197</v>
      </c>
      <c r="BD350" s="37" t="s">
        <v>197</v>
      </c>
      <c r="BE350" s="37" t="s">
        <v>197</v>
      </c>
      <c r="BF350" s="37" t="s">
        <v>197</v>
      </c>
      <c r="BG350" s="37" t="s">
        <v>197</v>
      </c>
      <c r="BH350" s="37" t="s">
        <v>197</v>
      </c>
      <c r="BI350" s="37" t="s">
        <v>197</v>
      </c>
      <c r="BJ350" s="37" t="s">
        <v>197</v>
      </c>
      <c r="BK350" s="37" t="s">
        <v>197</v>
      </c>
      <c r="BL350" s="37" t="s">
        <v>197</v>
      </c>
      <c r="BM350" s="37" t="s">
        <v>197</v>
      </c>
      <c r="BN350" s="37" t="s">
        <v>197</v>
      </c>
      <c r="BO350" s="37" t="s">
        <v>197</v>
      </c>
      <c r="BP350" s="37" t="s">
        <v>197</v>
      </c>
      <c r="BQ350" s="37" t="s">
        <v>197</v>
      </c>
      <c r="BR350" s="37" t="s">
        <v>197</v>
      </c>
      <c r="BS350" s="37" t="s">
        <v>197</v>
      </c>
      <c r="BT350" s="37" t="s">
        <v>197</v>
      </c>
    </row>
    <row r="351" spans="5:72" x14ac:dyDescent="0.25">
      <c r="E351" s="6" t="s">
        <v>20</v>
      </c>
      <c r="F351" s="6">
        <f t="shared" si="106"/>
        <v>0</v>
      </c>
      <c r="G351" s="6">
        <f t="shared" si="107"/>
        <v>0</v>
      </c>
      <c r="H351" s="6">
        <f t="shared" si="108"/>
        <v>0</v>
      </c>
      <c r="I351" s="6">
        <f t="shared" si="109"/>
        <v>0</v>
      </c>
      <c r="J351" s="6">
        <f t="shared" si="110"/>
        <v>0</v>
      </c>
      <c r="K351" s="6">
        <f t="shared" si="111"/>
        <v>0</v>
      </c>
      <c r="L351" s="6">
        <f t="shared" si="112"/>
        <v>0</v>
      </c>
      <c r="M351" s="6">
        <f t="shared" si="113"/>
        <v>0</v>
      </c>
      <c r="N351" s="6">
        <f t="shared" si="114"/>
        <v>0</v>
      </c>
      <c r="O351" s="6">
        <f t="shared" si="115"/>
        <v>0</v>
      </c>
      <c r="P351" s="6">
        <f t="shared" si="116"/>
        <v>0</v>
      </c>
      <c r="Q351" s="6">
        <f t="shared" si="117"/>
        <v>0</v>
      </c>
      <c r="R351" s="6">
        <f t="shared" si="118"/>
        <v>0</v>
      </c>
      <c r="S351" s="6">
        <f t="shared" si="119"/>
        <v>0</v>
      </c>
      <c r="T351" s="6">
        <f t="shared" si="120"/>
        <v>0</v>
      </c>
      <c r="U351" s="6">
        <f t="shared" si="121"/>
        <v>0</v>
      </c>
      <c r="V351" s="6">
        <f t="shared" si="122"/>
        <v>0</v>
      </c>
      <c r="W351" s="6">
        <f t="shared" si="123"/>
        <v>0</v>
      </c>
      <c r="X351" s="6">
        <f t="shared" si="124"/>
        <v>0</v>
      </c>
      <c r="Y351" s="6">
        <f t="shared" si="125"/>
        <v>0</v>
      </c>
      <c r="Z351" s="6">
        <f t="shared" si="126"/>
        <v>0</v>
      </c>
      <c r="AB351" s="36" t="str">
        <f>IF(最佳化斷筋點!C351="","",最佳化斷筋點!C351)</f>
        <v>上層</v>
      </c>
      <c r="AC351" s="37">
        <f>IF(最佳化斷筋點!D351="","",最佳化斷筋點!D351)</f>
        <v>12</v>
      </c>
      <c r="AD351" s="37">
        <f>IF(最佳化斷筋點!E351="","",最佳化斷筋點!E351)</f>
        <v>12</v>
      </c>
      <c r="AE351" s="37">
        <f>IF(最佳化斷筋點!F351="","",最佳化斷筋點!F351)</f>
        <v>12</v>
      </c>
      <c r="AF351" s="37">
        <f>IF(最佳化斷筋點!G351="","",最佳化斷筋點!G351)</f>
        <v>12</v>
      </c>
      <c r="AG351" s="37">
        <f>IF(最佳化斷筋點!H351="","",最佳化斷筋點!H351)</f>
        <v>12</v>
      </c>
      <c r="AH351" s="37">
        <f>IF(最佳化斷筋點!I351="","",最佳化斷筋點!I351)</f>
        <v>12</v>
      </c>
      <c r="AI351" s="37">
        <f>IF(最佳化斷筋點!J351="","",最佳化斷筋點!J351)</f>
        <v>12</v>
      </c>
      <c r="AJ351" s="37">
        <f>IF(最佳化斷筋點!K351="","",最佳化斷筋點!K351)</f>
        <v>4</v>
      </c>
      <c r="AK351" s="37">
        <f>IF(最佳化斷筋點!L351="","",最佳化斷筋點!L351)</f>
        <v>4</v>
      </c>
      <c r="AL351" s="37">
        <f>IF(最佳化斷筋點!M351="","",最佳化斷筋點!M351)</f>
        <v>4</v>
      </c>
      <c r="AM351" s="37">
        <f>IF(最佳化斷筋點!N351="","",最佳化斷筋點!N351)</f>
        <v>4</v>
      </c>
      <c r="AN351" s="37">
        <f>IF(最佳化斷筋點!O351="","",最佳化斷筋點!O351)</f>
        <v>4</v>
      </c>
      <c r="AO351" s="37">
        <f>IF(最佳化斷筋點!P351="","",最佳化斷筋點!P351)</f>
        <v>4</v>
      </c>
      <c r="AP351" s="37">
        <f>IF(最佳化斷筋點!Q351="","",最佳化斷筋點!Q351)</f>
        <v>9</v>
      </c>
      <c r="AQ351" s="37">
        <f>IF(最佳化斷筋點!R351="","",最佳化斷筋點!R351)</f>
        <v>10</v>
      </c>
      <c r="AR351" s="37">
        <f>IF(最佳化斷筋點!S351="","",最佳化斷筋點!S351)</f>
        <v>10</v>
      </c>
      <c r="AS351" s="37">
        <f>IF(最佳化斷筋點!T351="","",最佳化斷筋點!T351)</f>
        <v>10</v>
      </c>
      <c r="AT351" s="37">
        <f>IF(最佳化斷筋點!U351="","",最佳化斷筋點!U351)</f>
        <v>10</v>
      </c>
      <c r="AU351" s="37">
        <f>IF(最佳化斷筋點!V351="","",最佳化斷筋點!V351)</f>
        <v>10</v>
      </c>
      <c r="AV351" s="37">
        <f>IF(最佳化斷筋點!W351="","",最佳化斷筋點!W351)</f>
        <v>10</v>
      </c>
      <c r="AW351" s="37">
        <f>IF(最佳化斷筋點!X351="","",最佳化斷筋點!X351)</f>
        <v>10</v>
      </c>
      <c r="AY351" s="6" t="s">
        <v>20</v>
      </c>
      <c r="AZ351" s="37">
        <v>12</v>
      </c>
      <c r="BA351" s="37">
        <v>12</v>
      </c>
      <c r="BB351" s="37">
        <v>12</v>
      </c>
      <c r="BC351" s="37">
        <v>12</v>
      </c>
      <c r="BD351" s="37">
        <v>12</v>
      </c>
      <c r="BE351" s="37">
        <v>12</v>
      </c>
      <c r="BF351" s="37">
        <v>12</v>
      </c>
      <c r="BG351" s="37">
        <v>4</v>
      </c>
      <c r="BH351" s="37">
        <v>4</v>
      </c>
      <c r="BI351" s="37">
        <v>4</v>
      </c>
      <c r="BJ351" s="37">
        <v>4</v>
      </c>
      <c r="BK351" s="37">
        <v>4</v>
      </c>
      <c r="BL351" s="37">
        <v>4</v>
      </c>
      <c r="BM351" s="37">
        <v>9</v>
      </c>
      <c r="BN351" s="37">
        <v>10</v>
      </c>
      <c r="BO351" s="37">
        <v>10</v>
      </c>
      <c r="BP351" s="37">
        <v>10</v>
      </c>
      <c r="BQ351" s="37">
        <v>10</v>
      </c>
      <c r="BR351" s="37">
        <v>10</v>
      </c>
      <c r="BS351" s="37">
        <v>10</v>
      </c>
      <c r="BT351" s="37">
        <v>10</v>
      </c>
    </row>
    <row r="352" spans="5:72" x14ac:dyDescent="0.25">
      <c r="F352" s="6">
        <f t="shared" si="106"/>
        <v>0</v>
      </c>
      <c r="G352" s="6">
        <f t="shared" si="107"/>
        <v>0</v>
      </c>
      <c r="H352" s="6">
        <f t="shared" si="108"/>
        <v>0</v>
      </c>
      <c r="I352" s="6">
        <f t="shared" si="109"/>
        <v>0</v>
      </c>
      <c r="J352" s="6">
        <f t="shared" si="110"/>
        <v>0</v>
      </c>
      <c r="K352" s="6">
        <f t="shared" si="111"/>
        <v>0</v>
      </c>
      <c r="L352" s="6">
        <f t="shared" si="112"/>
        <v>0</v>
      </c>
      <c r="M352" s="6">
        <f t="shared" si="113"/>
        <v>0</v>
      </c>
      <c r="N352" s="6">
        <f t="shared" si="114"/>
        <v>0</v>
      </c>
      <c r="O352" s="6">
        <f t="shared" si="115"/>
        <v>0</v>
      </c>
      <c r="P352" s="6">
        <f t="shared" si="116"/>
        <v>0</v>
      </c>
      <c r="Q352" s="6">
        <f t="shared" si="117"/>
        <v>0</v>
      </c>
      <c r="R352" s="6">
        <f t="shared" si="118"/>
        <v>0</v>
      </c>
      <c r="S352" s="6">
        <f t="shared" si="119"/>
        <v>0</v>
      </c>
      <c r="T352" s="6">
        <f t="shared" si="120"/>
        <v>0</v>
      </c>
      <c r="U352" s="6">
        <f t="shared" si="121"/>
        <v>0</v>
      </c>
      <c r="V352" s="6">
        <f t="shared" si="122"/>
        <v>0</v>
      </c>
      <c r="W352" s="6">
        <f t="shared" si="123"/>
        <v>0</v>
      </c>
      <c r="X352" s="6">
        <f t="shared" si="124"/>
        <v>0</v>
      </c>
      <c r="Y352" s="6">
        <f t="shared" si="125"/>
        <v>0</v>
      </c>
      <c r="Z352" s="6">
        <f t="shared" si="126"/>
        <v>0</v>
      </c>
      <c r="AB352" s="36" t="str">
        <f>IF(最佳化斷筋點!C352="","",最佳化斷筋點!C352)</f>
        <v/>
      </c>
      <c r="AC352" s="37" t="str">
        <f>IF(最佳化斷筋點!D352="","",最佳化斷筋點!D352)</f>
        <v/>
      </c>
      <c r="AD352" s="37" t="str">
        <f>IF(最佳化斷筋點!E352="","",最佳化斷筋點!E352)</f>
        <v/>
      </c>
      <c r="AE352" s="37" t="str">
        <f>IF(最佳化斷筋點!F352="","",最佳化斷筋點!F352)</f>
        <v/>
      </c>
      <c r="AF352" s="37" t="str">
        <f>IF(最佳化斷筋點!G352="","",最佳化斷筋點!G352)</f>
        <v/>
      </c>
      <c r="AG352" s="37" t="str">
        <f>IF(最佳化斷筋點!H352="","",最佳化斷筋點!H352)</f>
        <v/>
      </c>
      <c r="AH352" s="37" t="str">
        <f>IF(最佳化斷筋點!I352="","",最佳化斷筋點!I352)</f>
        <v/>
      </c>
      <c r="AI352" s="37" t="str">
        <f>IF(最佳化斷筋點!J352="","",最佳化斷筋點!J352)</f>
        <v/>
      </c>
      <c r="AJ352" s="37" t="str">
        <f>IF(最佳化斷筋點!K352="","",最佳化斷筋點!K352)</f>
        <v/>
      </c>
      <c r="AK352" s="37" t="str">
        <f>IF(最佳化斷筋點!L352="","",最佳化斷筋點!L352)</f>
        <v/>
      </c>
      <c r="AL352" s="37" t="str">
        <f>IF(最佳化斷筋點!M352="","",最佳化斷筋點!M352)</f>
        <v/>
      </c>
      <c r="AM352" s="37" t="str">
        <f>IF(最佳化斷筋點!N352="","",最佳化斷筋點!N352)</f>
        <v/>
      </c>
      <c r="AN352" s="37" t="str">
        <f>IF(最佳化斷筋點!O352="","",最佳化斷筋點!O352)</f>
        <v/>
      </c>
      <c r="AO352" s="37" t="str">
        <f>IF(最佳化斷筋點!P352="","",最佳化斷筋點!P352)</f>
        <v/>
      </c>
      <c r="AP352" s="37" t="str">
        <f>IF(最佳化斷筋點!Q352="","",最佳化斷筋點!Q352)</f>
        <v/>
      </c>
      <c r="AQ352" s="37" t="str">
        <f>IF(最佳化斷筋點!R352="","",最佳化斷筋點!R352)</f>
        <v/>
      </c>
      <c r="AR352" s="37" t="str">
        <f>IF(最佳化斷筋點!S352="","",最佳化斷筋點!S352)</f>
        <v/>
      </c>
      <c r="AS352" s="37" t="str">
        <f>IF(最佳化斷筋點!T352="","",最佳化斷筋點!T352)</f>
        <v/>
      </c>
      <c r="AT352" s="37" t="str">
        <f>IF(最佳化斷筋點!U352="","",最佳化斷筋點!U352)</f>
        <v/>
      </c>
      <c r="AU352" s="37" t="str">
        <f>IF(最佳化斷筋點!V352="","",最佳化斷筋點!V352)</f>
        <v/>
      </c>
      <c r="AV352" s="37" t="str">
        <f>IF(最佳化斷筋點!W352="","",最佳化斷筋點!W352)</f>
        <v/>
      </c>
      <c r="AW352" s="37" t="str">
        <f>IF(最佳化斷筋點!X352="","",最佳化斷筋點!X352)</f>
        <v/>
      </c>
      <c r="AZ352" s="37" t="s">
        <v>197</v>
      </c>
      <c r="BA352" s="37" t="s">
        <v>197</v>
      </c>
      <c r="BB352" s="37" t="s">
        <v>197</v>
      </c>
      <c r="BC352" s="37" t="s">
        <v>197</v>
      </c>
      <c r="BD352" s="37" t="s">
        <v>197</v>
      </c>
      <c r="BE352" s="37" t="s">
        <v>197</v>
      </c>
      <c r="BF352" s="37" t="s">
        <v>197</v>
      </c>
      <c r="BG352" s="37" t="s">
        <v>197</v>
      </c>
      <c r="BH352" s="37" t="s">
        <v>197</v>
      </c>
      <c r="BI352" s="37" t="s">
        <v>197</v>
      </c>
      <c r="BJ352" s="37" t="s">
        <v>197</v>
      </c>
      <c r="BK352" s="37" t="s">
        <v>197</v>
      </c>
      <c r="BL352" s="37" t="s">
        <v>197</v>
      </c>
      <c r="BM352" s="37" t="s">
        <v>197</v>
      </c>
      <c r="BN352" s="37" t="s">
        <v>197</v>
      </c>
      <c r="BO352" s="37" t="s">
        <v>197</v>
      </c>
      <c r="BP352" s="37" t="s">
        <v>197</v>
      </c>
      <c r="BQ352" s="37" t="s">
        <v>197</v>
      </c>
      <c r="BR352" s="37" t="s">
        <v>197</v>
      </c>
      <c r="BS352" s="37" t="s">
        <v>197</v>
      </c>
      <c r="BT352" s="37" t="s">
        <v>197</v>
      </c>
    </row>
    <row r="353" spans="5:72" x14ac:dyDescent="0.25">
      <c r="E353" s="6" t="s">
        <v>21</v>
      </c>
      <c r="F353" s="6">
        <f t="shared" si="106"/>
        <v>0</v>
      </c>
      <c r="G353" s="6">
        <f t="shared" si="107"/>
        <v>0</v>
      </c>
      <c r="H353" s="6">
        <f t="shared" si="108"/>
        <v>0</v>
      </c>
      <c r="I353" s="6">
        <f t="shared" si="109"/>
        <v>0</v>
      </c>
      <c r="J353" s="6">
        <f t="shared" si="110"/>
        <v>0</v>
      </c>
      <c r="K353" s="6">
        <f t="shared" si="111"/>
        <v>0</v>
      </c>
      <c r="L353" s="6">
        <f t="shared" si="112"/>
        <v>0</v>
      </c>
      <c r="M353" s="6">
        <f t="shared" si="113"/>
        <v>0</v>
      </c>
      <c r="N353" s="6">
        <f t="shared" si="114"/>
        <v>0</v>
      </c>
      <c r="O353" s="6">
        <f t="shared" si="115"/>
        <v>0</v>
      </c>
      <c r="P353" s="6">
        <f t="shared" si="116"/>
        <v>0</v>
      </c>
      <c r="Q353" s="6">
        <f t="shared" si="117"/>
        <v>0</v>
      </c>
      <c r="R353" s="6">
        <f t="shared" si="118"/>
        <v>0</v>
      </c>
      <c r="S353" s="6">
        <f t="shared" si="119"/>
        <v>0</v>
      </c>
      <c r="T353" s="6">
        <f t="shared" si="120"/>
        <v>0</v>
      </c>
      <c r="U353" s="6">
        <f t="shared" si="121"/>
        <v>0</v>
      </c>
      <c r="V353" s="6">
        <f t="shared" si="122"/>
        <v>0</v>
      </c>
      <c r="W353" s="6">
        <f t="shared" si="123"/>
        <v>0</v>
      </c>
      <c r="X353" s="6">
        <f t="shared" si="124"/>
        <v>0</v>
      </c>
      <c r="Y353" s="6">
        <f t="shared" si="125"/>
        <v>0</v>
      </c>
      <c r="Z353" s="6">
        <f t="shared" si="126"/>
        <v>0</v>
      </c>
      <c r="AB353" s="36" t="str">
        <f>IF(最佳化斷筋點!C353="","",最佳化斷筋點!C353)</f>
        <v>下層</v>
      </c>
      <c r="AC353" s="37">
        <f>IF(最佳化斷筋點!D353="","",最佳化斷筋點!D353)</f>
        <v>9</v>
      </c>
      <c r="AD353" s="37">
        <f>IF(最佳化斷筋點!E353="","",最佳化斷筋點!E353)</f>
        <v>9</v>
      </c>
      <c r="AE353" s="37">
        <f>IF(最佳化斷筋點!F353="","",最佳化斷筋點!F353)</f>
        <v>9</v>
      </c>
      <c r="AF353" s="37">
        <f>IF(最佳化斷筋點!G353="","",最佳化斷筋點!G353)</f>
        <v>9</v>
      </c>
      <c r="AG353" s="37">
        <f>IF(最佳化斷筋點!H353="","",最佳化斷筋點!H353)</f>
        <v>9</v>
      </c>
      <c r="AH353" s="37">
        <f>IF(最佳化斷筋點!I353="","",最佳化斷筋點!I353)</f>
        <v>9</v>
      </c>
      <c r="AI353" s="37">
        <f>IF(最佳化斷筋點!J353="","",最佳化斷筋點!J353)</f>
        <v>8</v>
      </c>
      <c r="AJ353" s="37">
        <f>IF(最佳化斷筋點!K353="","",最佳化斷筋點!K353)</f>
        <v>4</v>
      </c>
      <c r="AK353" s="37">
        <f>IF(最佳化斷筋點!L353="","",最佳化斷筋點!L353)</f>
        <v>4</v>
      </c>
      <c r="AL353" s="37">
        <f>IF(最佳化斷筋點!M353="","",最佳化斷筋點!M353)</f>
        <v>4</v>
      </c>
      <c r="AM353" s="37">
        <f>IF(最佳化斷筋點!N353="","",最佳化斷筋點!N353)</f>
        <v>4</v>
      </c>
      <c r="AN353" s="37">
        <f>IF(最佳化斷筋點!O353="","",最佳化斷筋點!O353)</f>
        <v>4</v>
      </c>
      <c r="AO353" s="37">
        <f>IF(最佳化斷筋點!P353="","",最佳化斷筋點!P353)</f>
        <v>4</v>
      </c>
      <c r="AP353" s="37">
        <f>IF(最佳化斷筋點!Q353="","",最佳化斷筋點!Q353)</f>
        <v>7</v>
      </c>
      <c r="AQ353" s="37">
        <f>IF(最佳化斷筋點!R353="","",最佳化斷筋點!R353)</f>
        <v>8</v>
      </c>
      <c r="AR353" s="37">
        <f>IF(最佳化斷筋點!S353="","",最佳化斷筋點!S353)</f>
        <v>9</v>
      </c>
      <c r="AS353" s="37">
        <f>IF(最佳化斷筋點!T353="","",最佳化斷筋點!T353)</f>
        <v>10</v>
      </c>
      <c r="AT353" s="37">
        <f>IF(最佳化斷筋點!U353="","",最佳化斷筋點!U353)</f>
        <v>10</v>
      </c>
      <c r="AU353" s="37">
        <f>IF(最佳化斷筋點!V353="","",最佳化斷筋點!V353)</f>
        <v>10</v>
      </c>
      <c r="AV353" s="37">
        <f>IF(最佳化斷筋點!W353="","",最佳化斷筋點!W353)</f>
        <v>10</v>
      </c>
      <c r="AW353" s="37">
        <f>IF(最佳化斷筋點!X353="","",最佳化斷筋點!X353)</f>
        <v>10</v>
      </c>
      <c r="AY353" s="6" t="s">
        <v>21</v>
      </c>
      <c r="AZ353" s="37">
        <v>9</v>
      </c>
      <c r="BA353" s="37">
        <v>9</v>
      </c>
      <c r="BB353" s="37">
        <v>9</v>
      </c>
      <c r="BC353" s="37">
        <v>9</v>
      </c>
      <c r="BD353" s="37">
        <v>9</v>
      </c>
      <c r="BE353" s="37">
        <v>9</v>
      </c>
      <c r="BF353" s="37">
        <v>8</v>
      </c>
      <c r="BG353" s="37">
        <v>4</v>
      </c>
      <c r="BH353" s="37">
        <v>4</v>
      </c>
      <c r="BI353" s="37">
        <v>4</v>
      </c>
      <c r="BJ353" s="37">
        <v>4</v>
      </c>
      <c r="BK353" s="37">
        <v>4</v>
      </c>
      <c r="BL353" s="37">
        <v>4</v>
      </c>
      <c r="BM353" s="37">
        <v>7</v>
      </c>
      <c r="BN353" s="37">
        <v>8</v>
      </c>
      <c r="BO353" s="37">
        <v>9</v>
      </c>
      <c r="BP353" s="37">
        <v>10</v>
      </c>
      <c r="BQ353" s="37">
        <v>10</v>
      </c>
      <c r="BR353" s="37">
        <v>10</v>
      </c>
      <c r="BS353" s="37">
        <v>10</v>
      </c>
      <c r="BT353" s="37">
        <v>10</v>
      </c>
    </row>
    <row r="354" spans="5:72" x14ac:dyDescent="0.25">
      <c r="F354" s="6">
        <f t="shared" si="106"/>
        <v>0</v>
      </c>
      <c r="G354" s="6">
        <f t="shared" si="107"/>
        <v>0</v>
      </c>
      <c r="H354" s="6">
        <f t="shared" si="108"/>
        <v>0</v>
      </c>
      <c r="I354" s="6">
        <f t="shared" si="109"/>
        <v>0</v>
      </c>
      <c r="J354" s="6">
        <f t="shared" si="110"/>
        <v>0</v>
      </c>
      <c r="K354" s="6">
        <f t="shared" si="111"/>
        <v>0</v>
      </c>
      <c r="L354" s="6">
        <f t="shared" si="112"/>
        <v>0</v>
      </c>
      <c r="M354" s="6">
        <f t="shared" si="113"/>
        <v>0</v>
      </c>
      <c r="N354" s="6">
        <f t="shared" si="114"/>
        <v>0</v>
      </c>
      <c r="O354" s="6">
        <f t="shared" si="115"/>
        <v>0</v>
      </c>
      <c r="P354" s="6">
        <f t="shared" si="116"/>
        <v>0</v>
      </c>
      <c r="Q354" s="6">
        <f t="shared" si="117"/>
        <v>0</v>
      </c>
      <c r="R354" s="6">
        <f t="shared" si="118"/>
        <v>0</v>
      </c>
      <c r="S354" s="6">
        <f t="shared" si="119"/>
        <v>0</v>
      </c>
      <c r="T354" s="6">
        <f t="shared" si="120"/>
        <v>0</v>
      </c>
      <c r="U354" s="6">
        <f t="shared" si="121"/>
        <v>0</v>
      </c>
      <c r="V354" s="6">
        <f t="shared" si="122"/>
        <v>0</v>
      </c>
      <c r="W354" s="6">
        <f t="shared" si="123"/>
        <v>0</v>
      </c>
      <c r="X354" s="6">
        <f t="shared" si="124"/>
        <v>0</v>
      </c>
      <c r="Y354" s="6">
        <f t="shared" si="125"/>
        <v>0</v>
      </c>
      <c r="Z354" s="6">
        <f t="shared" si="126"/>
        <v>0</v>
      </c>
      <c r="AB354" s="36" t="str">
        <f>IF(最佳化斷筋點!C354="","",最佳化斷筋點!C354)</f>
        <v/>
      </c>
      <c r="AC354" s="36" t="str">
        <f>IF(最佳化斷筋點!D354="","",最佳化斷筋點!D354)</f>
        <v/>
      </c>
      <c r="AD354" s="36" t="str">
        <f>IF(最佳化斷筋點!E354="","",最佳化斷筋點!E354)</f>
        <v/>
      </c>
      <c r="AE354" s="36" t="str">
        <f>IF(最佳化斷筋點!F354="","",最佳化斷筋點!F354)</f>
        <v/>
      </c>
      <c r="AF354" s="36" t="str">
        <f>IF(最佳化斷筋點!G354="","",最佳化斷筋點!G354)</f>
        <v/>
      </c>
      <c r="AG354" s="36" t="str">
        <f>IF(最佳化斷筋點!H354="","",最佳化斷筋點!H354)</f>
        <v/>
      </c>
      <c r="AH354" s="36" t="str">
        <f>IF(最佳化斷筋點!I354="","",最佳化斷筋點!I354)</f>
        <v/>
      </c>
      <c r="AI354" s="36" t="str">
        <f>IF(最佳化斷筋點!J354="","",最佳化斷筋點!J354)</f>
        <v/>
      </c>
      <c r="AJ354" s="36" t="str">
        <f>IF(最佳化斷筋點!K354="","",最佳化斷筋點!K354)</f>
        <v/>
      </c>
      <c r="AK354" s="36" t="str">
        <f>IF(最佳化斷筋點!L354="","",最佳化斷筋點!L354)</f>
        <v/>
      </c>
      <c r="AL354" s="36" t="str">
        <f>IF(最佳化斷筋點!M354="","",最佳化斷筋點!M354)</f>
        <v/>
      </c>
      <c r="AM354" s="36" t="str">
        <f>IF(最佳化斷筋點!N354="","",最佳化斷筋點!N354)</f>
        <v/>
      </c>
      <c r="AN354" s="36" t="str">
        <f>IF(最佳化斷筋點!O354="","",最佳化斷筋點!O354)</f>
        <v/>
      </c>
      <c r="AO354" s="36" t="str">
        <f>IF(最佳化斷筋點!P354="","",最佳化斷筋點!P354)</f>
        <v/>
      </c>
      <c r="AP354" s="36" t="str">
        <f>IF(最佳化斷筋點!Q354="","",最佳化斷筋點!Q354)</f>
        <v/>
      </c>
      <c r="AQ354" s="36" t="str">
        <f>IF(最佳化斷筋點!R354="","",最佳化斷筋點!R354)</f>
        <v/>
      </c>
      <c r="AR354" s="36" t="str">
        <f>IF(最佳化斷筋點!S354="","",最佳化斷筋點!S354)</f>
        <v/>
      </c>
      <c r="AS354" s="36" t="str">
        <f>IF(最佳化斷筋點!T354="","",最佳化斷筋點!T354)</f>
        <v/>
      </c>
      <c r="AT354" s="36" t="str">
        <f>IF(最佳化斷筋點!U354="","",最佳化斷筋點!U354)</f>
        <v/>
      </c>
      <c r="AU354" s="36" t="str">
        <f>IF(最佳化斷筋點!V354="","",最佳化斷筋點!V354)</f>
        <v/>
      </c>
      <c r="AV354" s="36" t="str">
        <f>IF(最佳化斷筋點!W354="","",最佳化斷筋點!W354)</f>
        <v/>
      </c>
      <c r="AW354" s="36" t="str">
        <f>IF(最佳化斷筋點!X354="","",最佳化斷筋點!X354)</f>
        <v/>
      </c>
      <c r="AZ354" s="37" t="s">
        <v>197</v>
      </c>
      <c r="BA354" s="37" t="s">
        <v>197</v>
      </c>
      <c r="BB354" s="37" t="s">
        <v>197</v>
      </c>
      <c r="BC354" s="37" t="s">
        <v>197</v>
      </c>
      <c r="BD354" s="37" t="s">
        <v>197</v>
      </c>
      <c r="BE354" s="37" t="s">
        <v>197</v>
      </c>
      <c r="BF354" s="37" t="s">
        <v>197</v>
      </c>
      <c r="BG354" s="37" t="s">
        <v>197</v>
      </c>
      <c r="BH354" s="37" t="s">
        <v>197</v>
      </c>
      <c r="BI354" s="37" t="s">
        <v>197</v>
      </c>
      <c r="BJ354" s="37" t="s">
        <v>197</v>
      </c>
      <c r="BK354" s="37" t="s">
        <v>197</v>
      </c>
      <c r="BL354" s="37" t="s">
        <v>197</v>
      </c>
      <c r="BM354" s="37" t="s">
        <v>197</v>
      </c>
      <c r="BN354" s="37" t="s">
        <v>197</v>
      </c>
      <c r="BO354" s="37" t="s">
        <v>197</v>
      </c>
      <c r="BP354" s="37" t="s">
        <v>197</v>
      </c>
      <c r="BQ354" s="37" t="s">
        <v>197</v>
      </c>
      <c r="BR354" s="37" t="s">
        <v>197</v>
      </c>
      <c r="BS354" s="37" t="s">
        <v>197</v>
      </c>
      <c r="BT354" s="37" t="s">
        <v>197</v>
      </c>
    </row>
    <row r="355" spans="5:72" x14ac:dyDescent="0.25">
      <c r="E355" s="6" t="s">
        <v>20</v>
      </c>
      <c r="F355" s="6">
        <f t="shared" si="106"/>
        <v>0</v>
      </c>
      <c r="G355" s="6">
        <f t="shared" si="107"/>
        <v>0</v>
      </c>
      <c r="H355" s="6">
        <f t="shared" si="108"/>
        <v>0</v>
      </c>
      <c r="I355" s="6">
        <f t="shared" si="109"/>
        <v>0</v>
      </c>
      <c r="J355" s="6">
        <f t="shared" si="110"/>
        <v>0</v>
      </c>
      <c r="K355" s="6">
        <f t="shared" si="111"/>
        <v>0</v>
      </c>
      <c r="L355" s="6">
        <f t="shared" si="112"/>
        <v>0</v>
      </c>
      <c r="M355" s="6">
        <f t="shared" si="113"/>
        <v>0</v>
      </c>
      <c r="N355" s="6">
        <f t="shared" si="114"/>
        <v>0</v>
      </c>
      <c r="O355" s="6">
        <f t="shared" si="115"/>
        <v>0</v>
      </c>
      <c r="P355" s="6">
        <f t="shared" si="116"/>
        <v>0</v>
      </c>
      <c r="Q355" s="6">
        <f t="shared" si="117"/>
        <v>0</v>
      </c>
      <c r="R355" s="6">
        <f t="shared" si="118"/>
        <v>0</v>
      </c>
      <c r="S355" s="6">
        <f t="shared" si="119"/>
        <v>0</v>
      </c>
      <c r="T355" s="6">
        <f t="shared" si="120"/>
        <v>0</v>
      </c>
      <c r="U355" s="6">
        <f t="shared" si="121"/>
        <v>0</v>
      </c>
      <c r="V355" s="6">
        <f t="shared" si="122"/>
        <v>0</v>
      </c>
      <c r="W355" s="6">
        <f t="shared" si="123"/>
        <v>0</v>
      </c>
      <c r="X355" s="6">
        <f t="shared" si="124"/>
        <v>0</v>
      </c>
      <c r="Y355" s="6">
        <f t="shared" si="125"/>
        <v>0</v>
      </c>
      <c r="Z355" s="6">
        <f t="shared" si="126"/>
        <v>0</v>
      </c>
      <c r="AB355" s="36" t="str">
        <f>IF(最佳化斷筋點!C355="","",最佳化斷筋點!C355)</f>
        <v>上層</v>
      </c>
      <c r="AC355" s="37">
        <f>IF(最佳化斷筋點!D355="","",最佳化斷筋點!D355)</f>
        <v>9</v>
      </c>
      <c r="AD355" s="37">
        <f>IF(最佳化斷筋點!E355="","",最佳化斷筋點!E355)</f>
        <v>9</v>
      </c>
      <c r="AE355" s="37">
        <f>IF(最佳化斷筋點!F355="","",最佳化斷筋點!F355)</f>
        <v>9</v>
      </c>
      <c r="AF355" s="37">
        <f>IF(最佳化斷筋點!G355="","",最佳化斷筋點!G355)</f>
        <v>9</v>
      </c>
      <c r="AG355" s="37">
        <f>IF(最佳化斷筋點!H355="","",最佳化斷筋點!H355)</f>
        <v>9</v>
      </c>
      <c r="AH355" s="37">
        <f>IF(最佳化斷筋點!I355="","",最佳化斷筋點!I355)</f>
        <v>9</v>
      </c>
      <c r="AI355" s="37">
        <f>IF(最佳化斷筋點!J355="","",最佳化斷筋點!J355)</f>
        <v>8</v>
      </c>
      <c r="AJ355" s="37">
        <f>IF(最佳化斷筋點!K355="","",最佳化斷筋點!K355)</f>
        <v>4</v>
      </c>
      <c r="AK355" s="37">
        <f>IF(最佳化斷筋點!L355="","",最佳化斷筋點!L355)</f>
        <v>4</v>
      </c>
      <c r="AL355" s="37">
        <f>IF(最佳化斷筋點!M355="","",最佳化斷筋點!M355)</f>
        <v>4</v>
      </c>
      <c r="AM355" s="37">
        <f>IF(最佳化斷筋點!N355="","",最佳化斷筋點!N355)</f>
        <v>4</v>
      </c>
      <c r="AN355" s="37">
        <f>IF(最佳化斷筋點!O355="","",最佳化斷筋點!O355)</f>
        <v>4</v>
      </c>
      <c r="AO355" s="37">
        <f>IF(最佳化斷筋點!P355="","",最佳化斷筋點!P355)</f>
        <v>4</v>
      </c>
      <c r="AP355" s="37">
        <f>IF(最佳化斷筋點!Q355="","",最佳化斷筋點!Q355)</f>
        <v>7</v>
      </c>
      <c r="AQ355" s="37">
        <f>IF(最佳化斷筋點!R355="","",最佳化斷筋點!R355)</f>
        <v>8</v>
      </c>
      <c r="AR355" s="37">
        <f>IF(最佳化斷筋點!S355="","",最佳化斷筋點!S355)</f>
        <v>9</v>
      </c>
      <c r="AS355" s="37">
        <f>IF(最佳化斷筋點!T355="","",最佳化斷筋點!T355)</f>
        <v>10</v>
      </c>
      <c r="AT355" s="37">
        <f>IF(最佳化斷筋點!U355="","",最佳化斷筋點!U355)</f>
        <v>10</v>
      </c>
      <c r="AU355" s="37">
        <f>IF(最佳化斷筋點!V355="","",最佳化斷筋點!V355)</f>
        <v>10</v>
      </c>
      <c r="AV355" s="37">
        <f>IF(最佳化斷筋點!W355="","",最佳化斷筋點!W355)</f>
        <v>10</v>
      </c>
      <c r="AW355" s="37">
        <f>IF(最佳化斷筋點!X355="","",最佳化斷筋點!X355)</f>
        <v>10</v>
      </c>
      <c r="AY355" s="6" t="s">
        <v>20</v>
      </c>
      <c r="AZ355" s="37">
        <v>9</v>
      </c>
      <c r="BA355" s="37">
        <v>9</v>
      </c>
      <c r="BB355" s="37">
        <v>9</v>
      </c>
      <c r="BC355" s="37">
        <v>9</v>
      </c>
      <c r="BD355" s="37">
        <v>9</v>
      </c>
      <c r="BE355" s="37">
        <v>9</v>
      </c>
      <c r="BF355" s="37">
        <v>8</v>
      </c>
      <c r="BG355" s="37">
        <v>4</v>
      </c>
      <c r="BH355" s="37">
        <v>4</v>
      </c>
      <c r="BI355" s="37">
        <v>4</v>
      </c>
      <c r="BJ355" s="37">
        <v>4</v>
      </c>
      <c r="BK355" s="37">
        <v>4</v>
      </c>
      <c r="BL355" s="37">
        <v>4</v>
      </c>
      <c r="BM355" s="37">
        <v>7</v>
      </c>
      <c r="BN355" s="37">
        <v>8</v>
      </c>
      <c r="BO355" s="37">
        <v>9</v>
      </c>
      <c r="BP355" s="37">
        <v>10</v>
      </c>
      <c r="BQ355" s="37">
        <v>10</v>
      </c>
      <c r="BR355" s="37">
        <v>10</v>
      </c>
      <c r="BS355" s="37">
        <v>10</v>
      </c>
      <c r="BT355" s="37">
        <v>10</v>
      </c>
    </row>
    <row r="356" spans="5:72" x14ac:dyDescent="0.25">
      <c r="F356" s="6">
        <f t="shared" si="106"/>
        <v>0</v>
      </c>
      <c r="G356" s="6">
        <f t="shared" si="107"/>
        <v>0</v>
      </c>
      <c r="H356" s="6">
        <f t="shared" si="108"/>
        <v>0</v>
      </c>
      <c r="I356" s="6">
        <f t="shared" si="109"/>
        <v>0</v>
      </c>
      <c r="J356" s="6">
        <f t="shared" si="110"/>
        <v>0</v>
      </c>
      <c r="K356" s="6">
        <f t="shared" si="111"/>
        <v>0</v>
      </c>
      <c r="L356" s="6">
        <f t="shared" si="112"/>
        <v>0</v>
      </c>
      <c r="M356" s="6">
        <f t="shared" si="113"/>
        <v>0</v>
      </c>
      <c r="N356" s="6">
        <f t="shared" si="114"/>
        <v>0</v>
      </c>
      <c r="O356" s="6">
        <f t="shared" si="115"/>
        <v>0</v>
      </c>
      <c r="P356" s="6">
        <f t="shared" si="116"/>
        <v>0</v>
      </c>
      <c r="Q356" s="6">
        <f t="shared" si="117"/>
        <v>0</v>
      </c>
      <c r="R356" s="6">
        <f t="shared" si="118"/>
        <v>0</v>
      </c>
      <c r="S356" s="6">
        <f t="shared" si="119"/>
        <v>0</v>
      </c>
      <c r="T356" s="6">
        <f t="shared" si="120"/>
        <v>0</v>
      </c>
      <c r="U356" s="6">
        <f t="shared" si="121"/>
        <v>0</v>
      </c>
      <c r="V356" s="6">
        <f t="shared" si="122"/>
        <v>0</v>
      </c>
      <c r="W356" s="6">
        <f t="shared" si="123"/>
        <v>0</v>
      </c>
      <c r="X356" s="6">
        <f t="shared" si="124"/>
        <v>0</v>
      </c>
      <c r="Y356" s="6">
        <f t="shared" si="125"/>
        <v>0</v>
      </c>
      <c r="Z356" s="6">
        <f t="shared" si="126"/>
        <v>0</v>
      </c>
      <c r="AB356" s="36" t="str">
        <f>IF(最佳化斷筋點!C356="","",最佳化斷筋點!C356)</f>
        <v/>
      </c>
      <c r="AC356" s="37" t="str">
        <f>IF(最佳化斷筋點!D356="","",最佳化斷筋點!D356)</f>
        <v/>
      </c>
      <c r="AD356" s="37" t="str">
        <f>IF(最佳化斷筋點!E356="","",最佳化斷筋點!E356)</f>
        <v/>
      </c>
      <c r="AE356" s="37" t="str">
        <f>IF(最佳化斷筋點!F356="","",最佳化斷筋點!F356)</f>
        <v/>
      </c>
      <c r="AF356" s="37" t="str">
        <f>IF(最佳化斷筋點!G356="","",最佳化斷筋點!G356)</f>
        <v/>
      </c>
      <c r="AG356" s="37" t="str">
        <f>IF(最佳化斷筋點!H356="","",最佳化斷筋點!H356)</f>
        <v/>
      </c>
      <c r="AH356" s="37" t="str">
        <f>IF(最佳化斷筋點!I356="","",最佳化斷筋點!I356)</f>
        <v/>
      </c>
      <c r="AI356" s="37" t="str">
        <f>IF(最佳化斷筋點!J356="","",最佳化斷筋點!J356)</f>
        <v/>
      </c>
      <c r="AJ356" s="37" t="str">
        <f>IF(最佳化斷筋點!K356="","",最佳化斷筋點!K356)</f>
        <v/>
      </c>
      <c r="AK356" s="37" t="str">
        <f>IF(最佳化斷筋點!L356="","",最佳化斷筋點!L356)</f>
        <v/>
      </c>
      <c r="AL356" s="37" t="str">
        <f>IF(最佳化斷筋點!M356="","",最佳化斷筋點!M356)</f>
        <v/>
      </c>
      <c r="AM356" s="37" t="str">
        <f>IF(最佳化斷筋點!N356="","",最佳化斷筋點!N356)</f>
        <v/>
      </c>
      <c r="AN356" s="37" t="str">
        <f>IF(最佳化斷筋點!O356="","",最佳化斷筋點!O356)</f>
        <v/>
      </c>
      <c r="AO356" s="37" t="str">
        <f>IF(最佳化斷筋點!P356="","",最佳化斷筋點!P356)</f>
        <v/>
      </c>
      <c r="AP356" s="37" t="str">
        <f>IF(最佳化斷筋點!Q356="","",最佳化斷筋點!Q356)</f>
        <v/>
      </c>
      <c r="AQ356" s="37" t="str">
        <f>IF(最佳化斷筋點!R356="","",最佳化斷筋點!R356)</f>
        <v/>
      </c>
      <c r="AR356" s="37" t="str">
        <f>IF(最佳化斷筋點!S356="","",最佳化斷筋點!S356)</f>
        <v/>
      </c>
      <c r="AS356" s="37" t="str">
        <f>IF(最佳化斷筋點!T356="","",最佳化斷筋點!T356)</f>
        <v/>
      </c>
      <c r="AT356" s="37" t="str">
        <f>IF(最佳化斷筋點!U356="","",最佳化斷筋點!U356)</f>
        <v/>
      </c>
      <c r="AU356" s="37" t="str">
        <f>IF(最佳化斷筋點!V356="","",最佳化斷筋點!V356)</f>
        <v/>
      </c>
      <c r="AV356" s="37" t="str">
        <f>IF(最佳化斷筋點!W356="","",最佳化斷筋點!W356)</f>
        <v/>
      </c>
      <c r="AW356" s="37" t="str">
        <f>IF(最佳化斷筋點!X356="","",最佳化斷筋點!X356)</f>
        <v/>
      </c>
      <c r="AZ356" s="37" t="s">
        <v>197</v>
      </c>
      <c r="BA356" s="37" t="s">
        <v>197</v>
      </c>
      <c r="BB356" s="37" t="s">
        <v>197</v>
      </c>
      <c r="BC356" s="37" t="s">
        <v>197</v>
      </c>
      <c r="BD356" s="37" t="s">
        <v>197</v>
      </c>
      <c r="BE356" s="37" t="s">
        <v>197</v>
      </c>
      <c r="BF356" s="37" t="s">
        <v>197</v>
      </c>
      <c r="BG356" s="37" t="s">
        <v>197</v>
      </c>
      <c r="BH356" s="37" t="s">
        <v>197</v>
      </c>
      <c r="BI356" s="37" t="s">
        <v>197</v>
      </c>
      <c r="BJ356" s="37" t="s">
        <v>197</v>
      </c>
      <c r="BK356" s="37" t="s">
        <v>197</v>
      </c>
      <c r="BL356" s="37" t="s">
        <v>197</v>
      </c>
      <c r="BM356" s="37" t="s">
        <v>197</v>
      </c>
      <c r="BN356" s="37" t="s">
        <v>197</v>
      </c>
      <c r="BO356" s="37" t="s">
        <v>197</v>
      </c>
      <c r="BP356" s="37" t="s">
        <v>197</v>
      </c>
      <c r="BQ356" s="37" t="s">
        <v>197</v>
      </c>
      <c r="BR356" s="37" t="s">
        <v>197</v>
      </c>
      <c r="BS356" s="37" t="s">
        <v>197</v>
      </c>
      <c r="BT356" s="37" t="s">
        <v>197</v>
      </c>
    </row>
    <row r="357" spans="5:72" x14ac:dyDescent="0.25">
      <c r="E357" s="6" t="s">
        <v>21</v>
      </c>
      <c r="F357" s="6">
        <f t="shared" si="106"/>
        <v>0</v>
      </c>
      <c r="G357" s="6">
        <f t="shared" si="107"/>
        <v>0</v>
      </c>
      <c r="H357" s="6">
        <f t="shared" si="108"/>
        <v>0</v>
      </c>
      <c r="I357" s="6">
        <f t="shared" si="109"/>
        <v>0</v>
      </c>
      <c r="J357" s="6">
        <f t="shared" si="110"/>
        <v>0</v>
      </c>
      <c r="K357" s="6">
        <f t="shared" si="111"/>
        <v>0</v>
      </c>
      <c r="L357" s="6">
        <f t="shared" si="112"/>
        <v>0</v>
      </c>
      <c r="M357" s="6">
        <f t="shared" si="113"/>
        <v>0</v>
      </c>
      <c r="N357" s="6">
        <f t="shared" si="114"/>
        <v>0</v>
      </c>
      <c r="O357" s="6">
        <f t="shared" si="115"/>
        <v>0</v>
      </c>
      <c r="P357" s="6">
        <f t="shared" si="116"/>
        <v>0</v>
      </c>
      <c r="Q357" s="6">
        <f t="shared" si="117"/>
        <v>0</v>
      </c>
      <c r="R357" s="6">
        <f t="shared" si="118"/>
        <v>0</v>
      </c>
      <c r="S357" s="6">
        <f t="shared" si="119"/>
        <v>0</v>
      </c>
      <c r="T357" s="6">
        <f t="shared" si="120"/>
        <v>0</v>
      </c>
      <c r="U357" s="6">
        <f t="shared" si="121"/>
        <v>0</v>
      </c>
      <c r="V357" s="6">
        <f t="shared" si="122"/>
        <v>0</v>
      </c>
      <c r="W357" s="6">
        <f t="shared" si="123"/>
        <v>0</v>
      </c>
      <c r="X357" s="6">
        <f t="shared" si="124"/>
        <v>0</v>
      </c>
      <c r="Y357" s="6">
        <f t="shared" si="125"/>
        <v>0</v>
      </c>
      <c r="Z357" s="6">
        <f t="shared" si="126"/>
        <v>0</v>
      </c>
      <c r="AB357" s="36" t="str">
        <f>IF(最佳化斷筋點!C357="","",最佳化斷筋點!C357)</f>
        <v>下層</v>
      </c>
      <c r="AC357" s="37">
        <f>IF(最佳化斷筋點!D357="","",最佳化斷筋點!D357)</f>
        <v>7</v>
      </c>
      <c r="AD357" s="37">
        <f>IF(最佳化斷筋點!E357="","",最佳化斷筋點!E357)</f>
        <v>7</v>
      </c>
      <c r="AE357" s="37">
        <f>IF(最佳化斷筋點!F357="","",最佳化斷筋點!F357)</f>
        <v>7</v>
      </c>
      <c r="AF357" s="37">
        <f>IF(最佳化斷筋點!G357="","",最佳化斷筋點!G357)</f>
        <v>7</v>
      </c>
      <c r="AG357" s="37">
        <f>IF(最佳化斷筋點!H357="","",最佳化斷筋點!H357)</f>
        <v>7</v>
      </c>
      <c r="AH357" s="37">
        <f>IF(最佳化斷筋點!I357="","",最佳化斷筋點!I357)</f>
        <v>6</v>
      </c>
      <c r="AI357" s="37">
        <f>IF(最佳化斷筋點!J357="","",最佳化斷筋點!J357)</f>
        <v>6</v>
      </c>
      <c r="AJ357" s="37">
        <f>IF(最佳化斷筋點!K357="","",最佳化斷筋點!K357)</f>
        <v>4</v>
      </c>
      <c r="AK357" s="37">
        <f>IF(最佳化斷筋點!L357="","",最佳化斷筋點!L357)</f>
        <v>4</v>
      </c>
      <c r="AL357" s="37">
        <f>IF(最佳化斷筋點!M357="","",最佳化斷筋點!M357)</f>
        <v>4</v>
      </c>
      <c r="AM357" s="37">
        <f>IF(最佳化斷筋點!N357="","",最佳化斷筋點!N357)</f>
        <v>4</v>
      </c>
      <c r="AN357" s="37">
        <f>IF(最佳化斷筋點!O357="","",最佳化斷筋點!O357)</f>
        <v>4</v>
      </c>
      <c r="AO357" s="37">
        <f>IF(最佳化斷筋點!P357="","",最佳化斷筋點!P357)</f>
        <v>4</v>
      </c>
      <c r="AP357" s="37">
        <f>IF(最佳化斷筋點!Q357="","",最佳化斷筋點!Q357)</f>
        <v>4</v>
      </c>
      <c r="AQ357" s="37">
        <f>IF(最佳化斷筋點!R357="","",最佳化斷筋點!R357)</f>
        <v>4</v>
      </c>
      <c r="AR357" s="37">
        <f>IF(最佳化斷筋點!S357="","",最佳化斷筋點!S357)</f>
        <v>5</v>
      </c>
      <c r="AS357" s="37">
        <f>IF(最佳化斷筋點!T357="","",最佳化斷筋點!T357)</f>
        <v>5</v>
      </c>
      <c r="AT357" s="37">
        <f>IF(最佳化斷筋點!U357="","",最佳化斷筋點!U357)</f>
        <v>6</v>
      </c>
      <c r="AU357" s="37">
        <f>IF(最佳化斷筋點!V357="","",最佳化斷筋點!V357)</f>
        <v>6</v>
      </c>
      <c r="AV357" s="37">
        <f>IF(最佳化斷筋點!W357="","",最佳化斷筋點!W357)</f>
        <v>6</v>
      </c>
      <c r="AW357" s="37">
        <f>IF(最佳化斷筋點!X357="","",最佳化斷筋點!X357)</f>
        <v>6</v>
      </c>
      <c r="AY357" s="6" t="s">
        <v>21</v>
      </c>
      <c r="AZ357" s="37">
        <v>7</v>
      </c>
      <c r="BA357" s="37">
        <v>7</v>
      </c>
      <c r="BB357" s="37">
        <v>7</v>
      </c>
      <c r="BC357" s="37">
        <v>7</v>
      </c>
      <c r="BD357" s="37">
        <v>7</v>
      </c>
      <c r="BE357" s="37">
        <v>6</v>
      </c>
      <c r="BF357" s="37">
        <v>6</v>
      </c>
      <c r="BG357" s="37">
        <v>4</v>
      </c>
      <c r="BH357" s="37">
        <v>4</v>
      </c>
      <c r="BI357" s="37">
        <v>4</v>
      </c>
      <c r="BJ357" s="37">
        <v>4</v>
      </c>
      <c r="BK357" s="37">
        <v>4</v>
      </c>
      <c r="BL357" s="37">
        <v>4</v>
      </c>
      <c r="BM357" s="37">
        <v>4</v>
      </c>
      <c r="BN357" s="37">
        <v>4</v>
      </c>
      <c r="BO357" s="37">
        <v>5</v>
      </c>
      <c r="BP357" s="37">
        <v>5</v>
      </c>
      <c r="BQ357" s="37">
        <v>6</v>
      </c>
      <c r="BR357" s="37">
        <v>6</v>
      </c>
      <c r="BS357" s="37">
        <v>6</v>
      </c>
      <c r="BT357" s="37">
        <v>6</v>
      </c>
    </row>
    <row r="358" spans="5:72" x14ac:dyDescent="0.25">
      <c r="F358" s="6">
        <f t="shared" si="106"/>
        <v>0</v>
      </c>
      <c r="G358" s="6">
        <f t="shared" si="107"/>
        <v>0</v>
      </c>
      <c r="H358" s="6">
        <f t="shared" si="108"/>
        <v>0</v>
      </c>
      <c r="I358" s="6">
        <f t="shared" si="109"/>
        <v>0</v>
      </c>
      <c r="J358" s="6">
        <f t="shared" si="110"/>
        <v>0</v>
      </c>
      <c r="K358" s="6">
        <f t="shared" si="111"/>
        <v>0</v>
      </c>
      <c r="L358" s="6">
        <f t="shared" si="112"/>
        <v>0</v>
      </c>
      <c r="M358" s="6">
        <f t="shared" si="113"/>
        <v>0</v>
      </c>
      <c r="N358" s="6">
        <f t="shared" si="114"/>
        <v>0</v>
      </c>
      <c r="O358" s="6">
        <f t="shared" si="115"/>
        <v>0</v>
      </c>
      <c r="P358" s="6">
        <f t="shared" si="116"/>
        <v>0</v>
      </c>
      <c r="Q358" s="6">
        <f t="shared" si="117"/>
        <v>0</v>
      </c>
      <c r="R358" s="6">
        <f t="shared" si="118"/>
        <v>0</v>
      </c>
      <c r="S358" s="6">
        <f t="shared" si="119"/>
        <v>0</v>
      </c>
      <c r="T358" s="6">
        <f t="shared" si="120"/>
        <v>0</v>
      </c>
      <c r="U358" s="6">
        <f t="shared" si="121"/>
        <v>0</v>
      </c>
      <c r="V358" s="6">
        <f t="shared" si="122"/>
        <v>0</v>
      </c>
      <c r="W358" s="6">
        <f t="shared" si="123"/>
        <v>0</v>
      </c>
      <c r="X358" s="6">
        <f t="shared" si="124"/>
        <v>0</v>
      </c>
      <c r="Y358" s="6">
        <f t="shared" si="125"/>
        <v>0</v>
      </c>
      <c r="Z358" s="6">
        <f t="shared" si="126"/>
        <v>0</v>
      </c>
      <c r="AB358" s="36" t="str">
        <f>IF(最佳化斷筋點!C358="","",最佳化斷筋點!C358)</f>
        <v/>
      </c>
      <c r="AC358" s="37" t="str">
        <f>IF(最佳化斷筋點!D358="","",最佳化斷筋點!D358)</f>
        <v/>
      </c>
      <c r="AD358" s="37" t="str">
        <f>IF(最佳化斷筋點!E358="","",最佳化斷筋點!E358)</f>
        <v/>
      </c>
      <c r="AE358" s="37" t="str">
        <f>IF(最佳化斷筋點!F358="","",最佳化斷筋點!F358)</f>
        <v/>
      </c>
      <c r="AF358" s="37" t="str">
        <f>IF(最佳化斷筋點!G358="","",最佳化斷筋點!G358)</f>
        <v/>
      </c>
      <c r="AG358" s="37" t="str">
        <f>IF(最佳化斷筋點!H358="","",最佳化斷筋點!H358)</f>
        <v/>
      </c>
      <c r="AH358" s="37" t="str">
        <f>IF(最佳化斷筋點!I358="","",最佳化斷筋點!I358)</f>
        <v/>
      </c>
      <c r="AI358" s="37" t="str">
        <f>IF(最佳化斷筋點!J358="","",最佳化斷筋點!J358)</f>
        <v/>
      </c>
      <c r="AJ358" s="37" t="str">
        <f>IF(最佳化斷筋點!K358="","",最佳化斷筋點!K358)</f>
        <v/>
      </c>
      <c r="AK358" s="37" t="str">
        <f>IF(最佳化斷筋點!L358="","",最佳化斷筋點!L358)</f>
        <v/>
      </c>
      <c r="AL358" s="37" t="str">
        <f>IF(最佳化斷筋點!M358="","",最佳化斷筋點!M358)</f>
        <v/>
      </c>
      <c r="AM358" s="37" t="str">
        <f>IF(最佳化斷筋點!N358="","",最佳化斷筋點!N358)</f>
        <v/>
      </c>
      <c r="AN358" s="37" t="str">
        <f>IF(最佳化斷筋點!O358="","",最佳化斷筋點!O358)</f>
        <v/>
      </c>
      <c r="AO358" s="37" t="str">
        <f>IF(最佳化斷筋點!P358="","",最佳化斷筋點!P358)</f>
        <v/>
      </c>
      <c r="AP358" s="37" t="str">
        <f>IF(最佳化斷筋點!Q358="","",最佳化斷筋點!Q358)</f>
        <v/>
      </c>
      <c r="AQ358" s="37" t="str">
        <f>IF(最佳化斷筋點!R358="","",最佳化斷筋點!R358)</f>
        <v/>
      </c>
      <c r="AR358" s="37" t="str">
        <f>IF(最佳化斷筋點!S358="","",最佳化斷筋點!S358)</f>
        <v/>
      </c>
      <c r="AS358" s="37" t="str">
        <f>IF(最佳化斷筋點!T358="","",最佳化斷筋點!T358)</f>
        <v/>
      </c>
      <c r="AT358" s="37" t="str">
        <f>IF(最佳化斷筋點!U358="","",最佳化斷筋點!U358)</f>
        <v/>
      </c>
      <c r="AU358" s="37" t="str">
        <f>IF(最佳化斷筋點!V358="","",最佳化斷筋點!V358)</f>
        <v/>
      </c>
      <c r="AV358" s="37" t="str">
        <f>IF(最佳化斷筋點!W358="","",最佳化斷筋點!W358)</f>
        <v/>
      </c>
      <c r="AW358" s="37" t="str">
        <f>IF(最佳化斷筋點!X358="","",最佳化斷筋點!X358)</f>
        <v/>
      </c>
      <c r="AZ358" s="37" t="s">
        <v>197</v>
      </c>
      <c r="BA358" s="37" t="s">
        <v>197</v>
      </c>
      <c r="BB358" s="37" t="s">
        <v>197</v>
      </c>
      <c r="BC358" s="37" t="s">
        <v>197</v>
      </c>
      <c r="BD358" s="37" t="s">
        <v>197</v>
      </c>
      <c r="BE358" s="37" t="s">
        <v>197</v>
      </c>
      <c r="BF358" s="37" t="s">
        <v>197</v>
      </c>
      <c r="BG358" s="37" t="s">
        <v>197</v>
      </c>
      <c r="BH358" s="37" t="s">
        <v>197</v>
      </c>
      <c r="BI358" s="37" t="s">
        <v>197</v>
      </c>
      <c r="BJ358" s="37" t="s">
        <v>197</v>
      </c>
      <c r="BK358" s="37" t="s">
        <v>197</v>
      </c>
      <c r="BL358" s="37" t="s">
        <v>197</v>
      </c>
      <c r="BM358" s="37" t="s">
        <v>197</v>
      </c>
      <c r="BN358" s="37" t="s">
        <v>197</v>
      </c>
      <c r="BO358" s="37" t="s">
        <v>197</v>
      </c>
      <c r="BP358" s="37" t="s">
        <v>197</v>
      </c>
      <c r="BQ358" s="37" t="s">
        <v>197</v>
      </c>
      <c r="BR358" s="37" t="s">
        <v>197</v>
      </c>
      <c r="BS358" s="37" t="s">
        <v>197</v>
      </c>
      <c r="BT358" s="37" t="s">
        <v>197</v>
      </c>
    </row>
    <row r="359" spans="5:72" x14ac:dyDescent="0.25">
      <c r="E359" s="6" t="s">
        <v>20</v>
      </c>
      <c r="F359" s="6">
        <f t="shared" si="106"/>
        <v>0</v>
      </c>
      <c r="G359" s="6">
        <f t="shared" si="107"/>
        <v>0</v>
      </c>
      <c r="H359" s="6">
        <f t="shared" si="108"/>
        <v>0</v>
      </c>
      <c r="I359" s="6">
        <f t="shared" si="109"/>
        <v>0</v>
      </c>
      <c r="J359" s="6">
        <f t="shared" si="110"/>
        <v>0</v>
      </c>
      <c r="K359" s="6">
        <f t="shared" si="111"/>
        <v>0</v>
      </c>
      <c r="L359" s="6">
        <f t="shared" si="112"/>
        <v>0</v>
      </c>
      <c r="M359" s="6">
        <f t="shared" si="113"/>
        <v>0</v>
      </c>
      <c r="N359" s="6">
        <f t="shared" si="114"/>
        <v>0</v>
      </c>
      <c r="O359" s="6">
        <f t="shared" si="115"/>
        <v>0</v>
      </c>
      <c r="P359" s="6">
        <f t="shared" si="116"/>
        <v>0</v>
      </c>
      <c r="Q359" s="6">
        <f t="shared" si="117"/>
        <v>0</v>
      </c>
      <c r="R359" s="6">
        <f t="shared" si="118"/>
        <v>0</v>
      </c>
      <c r="S359" s="6">
        <f t="shared" si="119"/>
        <v>0</v>
      </c>
      <c r="T359" s="6">
        <f t="shared" si="120"/>
        <v>0</v>
      </c>
      <c r="U359" s="6">
        <f t="shared" si="121"/>
        <v>0</v>
      </c>
      <c r="V359" s="6">
        <f t="shared" si="122"/>
        <v>0</v>
      </c>
      <c r="W359" s="6">
        <f t="shared" si="123"/>
        <v>0</v>
      </c>
      <c r="X359" s="6">
        <f t="shared" si="124"/>
        <v>0</v>
      </c>
      <c r="Y359" s="6">
        <f t="shared" si="125"/>
        <v>0</v>
      </c>
      <c r="Z359" s="6">
        <f t="shared" si="126"/>
        <v>0</v>
      </c>
      <c r="AB359" s="36" t="str">
        <f>IF(最佳化斷筋點!C359="","",最佳化斷筋點!C359)</f>
        <v>上層</v>
      </c>
      <c r="AC359" s="37">
        <f>IF(最佳化斷筋點!D359="","",最佳化斷筋點!D359)</f>
        <v>9</v>
      </c>
      <c r="AD359" s="37">
        <f>IF(最佳化斷筋點!E359="","",最佳化斷筋點!E359)</f>
        <v>9</v>
      </c>
      <c r="AE359" s="37">
        <f>IF(最佳化斷筋點!F359="","",最佳化斷筋點!F359)</f>
        <v>9</v>
      </c>
      <c r="AF359" s="37">
        <f>IF(最佳化斷筋點!G359="","",最佳化斷筋點!G359)</f>
        <v>9</v>
      </c>
      <c r="AG359" s="37">
        <f>IF(最佳化斷筋點!H359="","",最佳化斷筋點!H359)</f>
        <v>9</v>
      </c>
      <c r="AH359" s="37">
        <f>IF(最佳化斷筋點!I359="","",最佳化斷筋點!I359)</f>
        <v>8</v>
      </c>
      <c r="AI359" s="37">
        <f>IF(最佳化斷筋點!J359="","",最佳化斷筋點!J359)</f>
        <v>7</v>
      </c>
      <c r="AJ359" s="37">
        <f>IF(最佳化斷筋點!K359="","",最佳化斷筋點!K359)</f>
        <v>4</v>
      </c>
      <c r="AK359" s="37">
        <f>IF(最佳化斷筋點!L359="","",最佳化斷筋點!L359)</f>
        <v>4</v>
      </c>
      <c r="AL359" s="37">
        <f>IF(最佳化斷筋點!M359="","",最佳化斷筋點!M359)</f>
        <v>4</v>
      </c>
      <c r="AM359" s="37">
        <f>IF(最佳化斷筋點!N359="","",最佳化斷筋點!N359)</f>
        <v>3</v>
      </c>
      <c r="AN359" s="37">
        <f>IF(最佳化斷筋點!O359="","",最佳化斷筋點!O359)</f>
        <v>4</v>
      </c>
      <c r="AO359" s="37">
        <f>IF(最佳化斷筋點!P359="","",最佳化斷筋點!P359)</f>
        <v>4</v>
      </c>
      <c r="AP359" s="37">
        <f>IF(最佳化斷筋點!Q359="","",最佳化斷筋點!Q359)</f>
        <v>7</v>
      </c>
      <c r="AQ359" s="37">
        <f>IF(最佳化斷筋點!R359="","",最佳化斷筋點!R359)</f>
        <v>8</v>
      </c>
      <c r="AR359" s="37">
        <f>IF(最佳化斷筋點!S359="","",最佳化斷筋點!S359)</f>
        <v>9</v>
      </c>
      <c r="AS359" s="37">
        <f>IF(最佳化斷筋點!T359="","",最佳化斷筋點!T359)</f>
        <v>10</v>
      </c>
      <c r="AT359" s="37">
        <f>IF(最佳化斷筋點!U359="","",最佳化斷筋點!U359)</f>
        <v>11</v>
      </c>
      <c r="AU359" s="37">
        <f>IF(最佳化斷筋點!V359="","",最佳化斷筋點!V359)</f>
        <v>11</v>
      </c>
      <c r="AV359" s="37">
        <f>IF(最佳化斷筋點!W359="","",最佳化斷筋點!W359)</f>
        <v>11</v>
      </c>
      <c r="AW359" s="37">
        <f>IF(最佳化斷筋點!X359="","",最佳化斷筋點!X359)</f>
        <v>11</v>
      </c>
      <c r="AY359" s="6" t="s">
        <v>20</v>
      </c>
      <c r="AZ359" s="37">
        <v>9</v>
      </c>
      <c r="BA359" s="37">
        <v>9</v>
      </c>
      <c r="BB359" s="37">
        <v>9</v>
      </c>
      <c r="BC359" s="37">
        <v>9</v>
      </c>
      <c r="BD359" s="37">
        <v>9</v>
      </c>
      <c r="BE359" s="37">
        <v>8</v>
      </c>
      <c r="BF359" s="37">
        <v>7</v>
      </c>
      <c r="BG359" s="37">
        <v>4</v>
      </c>
      <c r="BH359" s="37">
        <v>4</v>
      </c>
      <c r="BI359" s="37">
        <v>4</v>
      </c>
      <c r="BJ359" s="37">
        <v>3</v>
      </c>
      <c r="BK359" s="37">
        <v>4</v>
      </c>
      <c r="BL359" s="37">
        <v>4</v>
      </c>
      <c r="BM359" s="37">
        <v>7</v>
      </c>
      <c r="BN359" s="37">
        <v>8</v>
      </c>
      <c r="BO359" s="37">
        <v>9</v>
      </c>
      <c r="BP359" s="37">
        <v>10</v>
      </c>
      <c r="BQ359" s="37">
        <v>11</v>
      </c>
      <c r="BR359" s="37">
        <v>11</v>
      </c>
      <c r="BS359" s="37">
        <v>11</v>
      </c>
      <c r="BT359" s="37">
        <v>11</v>
      </c>
    </row>
    <row r="360" spans="5:72" x14ac:dyDescent="0.25">
      <c r="F360" s="6">
        <f t="shared" si="106"/>
        <v>0</v>
      </c>
      <c r="G360" s="6">
        <f t="shared" si="107"/>
        <v>0</v>
      </c>
      <c r="H360" s="6">
        <f t="shared" si="108"/>
        <v>0</v>
      </c>
      <c r="I360" s="6">
        <f t="shared" si="109"/>
        <v>0</v>
      </c>
      <c r="J360" s="6">
        <f t="shared" si="110"/>
        <v>0</v>
      </c>
      <c r="K360" s="6">
        <f t="shared" si="111"/>
        <v>0</v>
      </c>
      <c r="L360" s="6">
        <f t="shared" si="112"/>
        <v>0</v>
      </c>
      <c r="M360" s="6">
        <f t="shared" si="113"/>
        <v>0</v>
      </c>
      <c r="N360" s="6">
        <f t="shared" si="114"/>
        <v>0</v>
      </c>
      <c r="O360" s="6">
        <f t="shared" si="115"/>
        <v>0</v>
      </c>
      <c r="P360" s="6">
        <f t="shared" si="116"/>
        <v>0</v>
      </c>
      <c r="Q360" s="6">
        <f t="shared" si="117"/>
        <v>0</v>
      </c>
      <c r="R360" s="6">
        <f t="shared" si="118"/>
        <v>0</v>
      </c>
      <c r="S360" s="6">
        <f t="shared" si="119"/>
        <v>0</v>
      </c>
      <c r="T360" s="6">
        <f t="shared" si="120"/>
        <v>0</v>
      </c>
      <c r="U360" s="6">
        <f t="shared" si="121"/>
        <v>0</v>
      </c>
      <c r="V360" s="6">
        <f t="shared" si="122"/>
        <v>0</v>
      </c>
      <c r="W360" s="6">
        <f t="shared" si="123"/>
        <v>0</v>
      </c>
      <c r="X360" s="6">
        <f t="shared" si="124"/>
        <v>0</v>
      </c>
      <c r="Y360" s="6">
        <f t="shared" si="125"/>
        <v>0</v>
      </c>
      <c r="Z360" s="6">
        <f t="shared" si="126"/>
        <v>0</v>
      </c>
      <c r="AB360" s="36" t="str">
        <f>IF(最佳化斷筋點!C360="","",最佳化斷筋點!C360)</f>
        <v/>
      </c>
      <c r="AC360" s="37" t="str">
        <f>IF(最佳化斷筋點!D360="","",最佳化斷筋點!D360)</f>
        <v/>
      </c>
      <c r="AD360" s="37" t="str">
        <f>IF(最佳化斷筋點!E360="","",最佳化斷筋點!E360)</f>
        <v/>
      </c>
      <c r="AE360" s="37" t="str">
        <f>IF(最佳化斷筋點!F360="","",最佳化斷筋點!F360)</f>
        <v/>
      </c>
      <c r="AF360" s="37" t="str">
        <f>IF(最佳化斷筋點!G360="","",最佳化斷筋點!G360)</f>
        <v/>
      </c>
      <c r="AG360" s="37" t="str">
        <f>IF(最佳化斷筋點!H360="","",最佳化斷筋點!H360)</f>
        <v/>
      </c>
      <c r="AH360" s="37" t="str">
        <f>IF(最佳化斷筋點!I360="","",最佳化斷筋點!I360)</f>
        <v/>
      </c>
      <c r="AI360" s="37" t="str">
        <f>IF(最佳化斷筋點!J360="","",最佳化斷筋點!J360)</f>
        <v/>
      </c>
      <c r="AJ360" s="37" t="str">
        <f>IF(最佳化斷筋點!K360="","",最佳化斷筋點!K360)</f>
        <v/>
      </c>
      <c r="AK360" s="37" t="str">
        <f>IF(最佳化斷筋點!L360="","",最佳化斷筋點!L360)</f>
        <v/>
      </c>
      <c r="AL360" s="37" t="str">
        <f>IF(最佳化斷筋點!M360="","",最佳化斷筋點!M360)</f>
        <v/>
      </c>
      <c r="AM360" s="37" t="str">
        <f>IF(最佳化斷筋點!N360="","",最佳化斷筋點!N360)</f>
        <v/>
      </c>
      <c r="AN360" s="37" t="str">
        <f>IF(最佳化斷筋點!O360="","",最佳化斷筋點!O360)</f>
        <v/>
      </c>
      <c r="AO360" s="37" t="str">
        <f>IF(最佳化斷筋點!P360="","",最佳化斷筋點!P360)</f>
        <v/>
      </c>
      <c r="AP360" s="37" t="str">
        <f>IF(最佳化斷筋點!Q360="","",最佳化斷筋點!Q360)</f>
        <v/>
      </c>
      <c r="AQ360" s="37" t="str">
        <f>IF(最佳化斷筋點!R360="","",最佳化斷筋點!R360)</f>
        <v/>
      </c>
      <c r="AR360" s="37" t="str">
        <f>IF(最佳化斷筋點!S360="","",最佳化斷筋點!S360)</f>
        <v/>
      </c>
      <c r="AS360" s="37" t="str">
        <f>IF(最佳化斷筋點!T360="","",最佳化斷筋點!T360)</f>
        <v/>
      </c>
      <c r="AT360" s="37" t="str">
        <f>IF(最佳化斷筋點!U360="","",最佳化斷筋點!U360)</f>
        <v/>
      </c>
      <c r="AU360" s="37" t="str">
        <f>IF(最佳化斷筋點!V360="","",最佳化斷筋點!V360)</f>
        <v/>
      </c>
      <c r="AV360" s="37" t="str">
        <f>IF(最佳化斷筋點!W360="","",最佳化斷筋點!W360)</f>
        <v/>
      </c>
      <c r="AW360" s="37" t="str">
        <f>IF(最佳化斷筋點!X360="","",最佳化斷筋點!X360)</f>
        <v/>
      </c>
      <c r="AZ360" s="37" t="s">
        <v>197</v>
      </c>
      <c r="BA360" s="37" t="s">
        <v>197</v>
      </c>
      <c r="BB360" s="37" t="s">
        <v>197</v>
      </c>
      <c r="BC360" s="37" t="s">
        <v>197</v>
      </c>
      <c r="BD360" s="37" t="s">
        <v>197</v>
      </c>
      <c r="BE360" s="37" t="s">
        <v>197</v>
      </c>
      <c r="BF360" s="37" t="s">
        <v>197</v>
      </c>
      <c r="BG360" s="37" t="s">
        <v>197</v>
      </c>
      <c r="BH360" s="37" t="s">
        <v>197</v>
      </c>
      <c r="BI360" s="37" t="s">
        <v>197</v>
      </c>
      <c r="BJ360" s="37" t="s">
        <v>197</v>
      </c>
      <c r="BK360" s="37" t="s">
        <v>197</v>
      </c>
      <c r="BL360" s="37" t="s">
        <v>197</v>
      </c>
      <c r="BM360" s="37" t="s">
        <v>197</v>
      </c>
      <c r="BN360" s="37" t="s">
        <v>197</v>
      </c>
      <c r="BO360" s="37" t="s">
        <v>197</v>
      </c>
      <c r="BP360" s="37" t="s">
        <v>197</v>
      </c>
      <c r="BQ360" s="37" t="s">
        <v>197</v>
      </c>
      <c r="BR360" s="37" t="s">
        <v>197</v>
      </c>
      <c r="BS360" s="37" t="s">
        <v>197</v>
      </c>
      <c r="BT360" s="37" t="s">
        <v>197</v>
      </c>
    </row>
    <row r="361" spans="5:72" x14ac:dyDescent="0.25">
      <c r="E361" s="6" t="s">
        <v>21</v>
      </c>
      <c r="F361" s="6">
        <f t="shared" si="106"/>
        <v>0</v>
      </c>
      <c r="G361" s="6">
        <f t="shared" si="107"/>
        <v>0</v>
      </c>
      <c r="H361" s="6">
        <f t="shared" si="108"/>
        <v>0</v>
      </c>
      <c r="I361" s="6">
        <f t="shared" si="109"/>
        <v>0</v>
      </c>
      <c r="J361" s="6">
        <f t="shared" si="110"/>
        <v>0</v>
      </c>
      <c r="K361" s="6">
        <f t="shared" si="111"/>
        <v>0</v>
      </c>
      <c r="L361" s="6">
        <f t="shared" si="112"/>
        <v>0</v>
      </c>
      <c r="M361" s="6">
        <f t="shared" si="113"/>
        <v>0</v>
      </c>
      <c r="N361" s="6">
        <f t="shared" si="114"/>
        <v>0</v>
      </c>
      <c r="O361" s="6">
        <f t="shared" si="115"/>
        <v>0</v>
      </c>
      <c r="P361" s="6">
        <f t="shared" si="116"/>
        <v>0</v>
      </c>
      <c r="Q361" s="6">
        <f t="shared" si="117"/>
        <v>0</v>
      </c>
      <c r="R361" s="6">
        <f t="shared" si="118"/>
        <v>0</v>
      </c>
      <c r="S361" s="6">
        <f t="shared" si="119"/>
        <v>0</v>
      </c>
      <c r="T361" s="6">
        <f t="shared" si="120"/>
        <v>0</v>
      </c>
      <c r="U361" s="6">
        <f t="shared" si="121"/>
        <v>0</v>
      </c>
      <c r="V361" s="6">
        <f t="shared" si="122"/>
        <v>0</v>
      </c>
      <c r="W361" s="6">
        <f t="shared" si="123"/>
        <v>0</v>
      </c>
      <c r="X361" s="6">
        <f t="shared" si="124"/>
        <v>0</v>
      </c>
      <c r="Y361" s="6">
        <f t="shared" si="125"/>
        <v>0</v>
      </c>
      <c r="Z361" s="6">
        <f t="shared" si="126"/>
        <v>0</v>
      </c>
      <c r="AB361" s="36" t="str">
        <f>IF(最佳化斷筋點!C361="","",最佳化斷筋點!C361)</f>
        <v>下層</v>
      </c>
      <c r="AC361" s="37">
        <f>IF(最佳化斷筋點!D361="","",最佳化斷筋點!D361)</f>
        <v>6</v>
      </c>
      <c r="AD361" s="37">
        <f>IF(最佳化斷筋點!E361="","",最佳化斷筋點!E361)</f>
        <v>6</v>
      </c>
      <c r="AE361" s="37">
        <f>IF(最佳化斷筋點!F361="","",最佳化斷筋點!F361)</f>
        <v>6</v>
      </c>
      <c r="AF361" s="37">
        <f>IF(最佳化斷筋點!G361="","",最佳化斷筋點!G361)</f>
        <v>6</v>
      </c>
      <c r="AG361" s="37">
        <f>IF(最佳化斷筋點!H361="","",最佳化斷筋點!H361)</f>
        <v>5</v>
      </c>
      <c r="AH361" s="37">
        <f>IF(最佳化斷筋點!I361="","",最佳化斷筋點!I361)</f>
        <v>5</v>
      </c>
      <c r="AI361" s="37">
        <f>IF(最佳化斷筋點!J361="","",最佳化斷筋點!J361)</f>
        <v>4</v>
      </c>
      <c r="AJ361" s="37">
        <f>IF(最佳化斷筋點!K361="","",最佳化斷筋點!K361)</f>
        <v>4</v>
      </c>
      <c r="AK361" s="37">
        <f>IF(最佳化斷筋點!L361="","",最佳化斷筋點!L361)</f>
        <v>4</v>
      </c>
      <c r="AL361" s="37">
        <f>IF(最佳化斷筋點!M361="","",最佳化斷筋點!M361)</f>
        <v>4</v>
      </c>
      <c r="AM361" s="37">
        <f>IF(最佳化斷筋點!N361="","",最佳化斷筋點!N361)</f>
        <v>4</v>
      </c>
      <c r="AN361" s="37">
        <f>IF(最佳化斷筋點!O361="","",最佳化斷筋點!O361)</f>
        <v>4</v>
      </c>
      <c r="AO361" s="37">
        <f>IF(最佳化斷筋點!P361="","",最佳化斷筋點!P361)</f>
        <v>4</v>
      </c>
      <c r="AP361" s="37">
        <f>IF(最佳化斷筋點!Q361="","",最佳化斷筋點!Q361)</f>
        <v>4</v>
      </c>
      <c r="AQ361" s="37">
        <f>IF(最佳化斷筋點!R361="","",最佳化斷筋點!R361)</f>
        <v>4</v>
      </c>
      <c r="AR361" s="37">
        <f>IF(最佳化斷筋點!S361="","",最佳化斷筋點!S361)</f>
        <v>4</v>
      </c>
      <c r="AS361" s="37">
        <f>IF(最佳化斷筋點!T361="","",最佳化斷筋點!T361)</f>
        <v>5</v>
      </c>
      <c r="AT361" s="37">
        <f>IF(最佳化斷筋點!U361="","",最佳化斷筋點!U361)</f>
        <v>5</v>
      </c>
      <c r="AU361" s="37">
        <f>IF(最佳化斷筋點!V361="","",最佳化斷筋點!V361)</f>
        <v>6</v>
      </c>
      <c r="AV361" s="37">
        <f>IF(最佳化斷筋點!W361="","",最佳化斷筋點!W361)</f>
        <v>6</v>
      </c>
      <c r="AW361" s="37">
        <f>IF(最佳化斷筋點!X361="","",最佳化斷筋點!X361)</f>
        <v>6</v>
      </c>
      <c r="AY361" s="6" t="s">
        <v>21</v>
      </c>
      <c r="AZ361" s="37">
        <v>6</v>
      </c>
      <c r="BA361" s="37">
        <v>6</v>
      </c>
      <c r="BB361" s="37">
        <v>6</v>
      </c>
      <c r="BC361" s="37">
        <v>6</v>
      </c>
      <c r="BD361" s="37">
        <v>5</v>
      </c>
      <c r="BE361" s="37">
        <v>5</v>
      </c>
      <c r="BF361" s="37">
        <v>4</v>
      </c>
      <c r="BG361" s="37">
        <v>4</v>
      </c>
      <c r="BH361" s="37">
        <v>4</v>
      </c>
      <c r="BI361" s="37">
        <v>4</v>
      </c>
      <c r="BJ361" s="37">
        <v>4</v>
      </c>
      <c r="BK361" s="37">
        <v>4</v>
      </c>
      <c r="BL361" s="37">
        <v>4</v>
      </c>
      <c r="BM361" s="37">
        <v>4</v>
      </c>
      <c r="BN361" s="37">
        <v>4</v>
      </c>
      <c r="BO361" s="37">
        <v>4</v>
      </c>
      <c r="BP361" s="37">
        <v>5</v>
      </c>
      <c r="BQ361" s="37">
        <v>5</v>
      </c>
      <c r="BR361" s="37">
        <v>6</v>
      </c>
      <c r="BS361" s="37">
        <v>6</v>
      </c>
      <c r="BT361" s="37">
        <v>6</v>
      </c>
    </row>
    <row r="362" spans="5:72" x14ac:dyDescent="0.25">
      <c r="F362" s="6">
        <f t="shared" si="106"/>
        <v>0</v>
      </c>
      <c r="G362" s="6">
        <f t="shared" si="107"/>
        <v>0</v>
      </c>
      <c r="H362" s="6">
        <f t="shared" si="108"/>
        <v>0</v>
      </c>
      <c r="I362" s="6">
        <f t="shared" si="109"/>
        <v>0</v>
      </c>
      <c r="J362" s="6">
        <f t="shared" si="110"/>
        <v>0</v>
      </c>
      <c r="K362" s="6">
        <f t="shared" si="111"/>
        <v>0</v>
      </c>
      <c r="L362" s="6">
        <f t="shared" si="112"/>
        <v>0</v>
      </c>
      <c r="M362" s="6">
        <f t="shared" si="113"/>
        <v>0</v>
      </c>
      <c r="N362" s="6">
        <f t="shared" si="114"/>
        <v>0</v>
      </c>
      <c r="O362" s="6">
        <f t="shared" si="115"/>
        <v>0</v>
      </c>
      <c r="P362" s="6">
        <f t="shared" si="116"/>
        <v>0</v>
      </c>
      <c r="Q362" s="6">
        <f t="shared" si="117"/>
        <v>0</v>
      </c>
      <c r="R362" s="6">
        <f t="shared" si="118"/>
        <v>0</v>
      </c>
      <c r="S362" s="6">
        <f t="shared" si="119"/>
        <v>0</v>
      </c>
      <c r="T362" s="6">
        <f t="shared" si="120"/>
        <v>0</v>
      </c>
      <c r="U362" s="6">
        <f t="shared" si="121"/>
        <v>0</v>
      </c>
      <c r="V362" s="6">
        <f t="shared" si="122"/>
        <v>0</v>
      </c>
      <c r="W362" s="6">
        <f t="shared" si="123"/>
        <v>0</v>
      </c>
      <c r="X362" s="6">
        <f t="shared" si="124"/>
        <v>0</v>
      </c>
      <c r="Y362" s="6">
        <f t="shared" si="125"/>
        <v>0</v>
      </c>
      <c r="Z362" s="6">
        <f t="shared" si="126"/>
        <v>0</v>
      </c>
      <c r="AB362" s="36" t="str">
        <f>IF(最佳化斷筋點!C362="","",最佳化斷筋點!C362)</f>
        <v/>
      </c>
      <c r="AC362" s="37" t="str">
        <f>IF(最佳化斷筋點!D362="","",最佳化斷筋點!D362)</f>
        <v/>
      </c>
      <c r="AD362" s="37" t="str">
        <f>IF(最佳化斷筋點!E362="","",最佳化斷筋點!E362)</f>
        <v/>
      </c>
      <c r="AE362" s="37" t="str">
        <f>IF(最佳化斷筋點!F362="","",最佳化斷筋點!F362)</f>
        <v/>
      </c>
      <c r="AF362" s="37" t="str">
        <f>IF(最佳化斷筋點!G362="","",最佳化斷筋點!G362)</f>
        <v/>
      </c>
      <c r="AG362" s="37" t="str">
        <f>IF(最佳化斷筋點!H362="","",最佳化斷筋點!H362)</f>
        <v/>
      </c>
      <c r="AH362" s="37" t="str">
        <f>IF(最佳化斷筋點!I362="","",最佳化斷筋點!I362)</f>
        <v/>
      </c>
      <c r="AI362" s="37" t="str">
        <f>IF(最佳化斷筋點!J362="","",最佳化斷筋點!J362)</f>
        <v/>
      </c>
      <c r="AJ362" s="37" t="str">
        <f>IF(最佳化斷筋點!K362="","",最佳化斷筋點!K362)</f>
        <v/>
      </c>
      <c r="AK362" s="37" t="str">
        <f>IF(最佳化斷筋點!L362="","",最佳化斷筋點!L362)</f>
        <v/>
      </c>
      <c r="AL362" s="37" t="str">
        <f>IF(最佳化斷筋點!M362="","",最佳化斷筋點!M362)</f>
        <v/>
      </c>
      <c r="AM362" s="37" t="str">
        <f>IF(最佳化斷筋點!N362="","",最佳化斷筋點!N362)</f>
        <v/>
      </c>
      <c r="AN362" s="37" t="str">
        <f>IF(最佳化斷筋點!O362="","",最佳化斷筋點!O362)</f>
        <v/>
      </c>
      <c r="AO362" s="37" t="str">
        <f>IF(最佳化斷筋點!P362="","",最佳化斷筋點!P362)</f>
        <v/>
      </c>
      <c r="AP362" s="37" t="str">
        <f>IF(最佳化斷筋點!Q362="","",最佳化斷筋點!Q362)</f>
        <v/>
      </c>
      <c r="AQ362" s="37" t="str">
        <f>IF(最佳化斷筋點!R362="","",最佳化斷筋點!R362)</f>
        <v/>
      </c>
      <c r="AR362" s="37" t="str">
        <f>IF(最佳化斷筋點!S362="","",最佳化斷筋點!S362)</f>
        <v/>
      </c>
      <c r="AS362" s="37" t="str">
        <f>IF(最佳化斷筋點!T362="","",最佳化斷筋點!T362)</f>
        <v/>
      </c>
      <c r="AT362" s="37" t="str">
        <f>IF(最佳化斷筋點!U362="","",最佳化斷筋點!U362)</f>
        <v/>
      </c>
      <c r="AU362" s="37" t="str">
        <f>IF(最佳化斷筋點!V362="","",最佳化斷筋點!V362)</f>
        <v/>
      </c>
      <c r="AV362" s="37" t="str">
        <f>IF(最佳化斷筋點!W362="","",最佳化斷筋點!W362)</f>
        <v/>
      </c>
      <c r="AW362" s="37" t="str">
        <f>IF(最佳化斷筋點!X362="","",最佳化斷筋點!X362)</f>
        <v/>
      </c>
      <c r="AZ362" s="37" t="s">
        <v>197</v>
      </c>
      <c r="BA362" s="37" t="s">
        <v>197</v>
      </c>
      <c r="BB362" s="37" t="s">
        <v>197</v>
      </c>
      <c r="BC362" s="37" t="s">
        <v>197</v>
      </c>
      <c r="BD362" s="37" t="s">
        <v>197</v>
      </c>
      <c r="BE362" s="37" t="s">
        <v>197</v>
      </c>
      <c r="BF362" s="37" t="s">
        <v>197</v>
      </c>
      <c r="BG362" s="37" t="s">
        <v>197</v>
      </c>
      <c r="BH362" s="37" t="s">
        <v>197</v>
      </c>
      <c r="BI362" s="37" t="s">
        <v>197</v>
      </c>
      <c r="BJ362" s="37" t="s">
        <v>197</v>
      </c>
      <c r="BK362" s="37" t="s">
        <v>197</v>
      </c>
      <c r="BL362" s="37" t="s">
        <v>197</v>
      </c>
      <c r="BM362" s="37" t="s">
        <v>197</v>
      </c>
      <c r="BN362" s="37" t="s">
        <v>197</v>
      </c>
      <c r="BO362" s="37" t="s">
        <v>197</v>
      </c>
      <c r="BP362" s="37" t="s">
        <v>197</v>
      </c>
      <c r="BQ362" s="37" t="s">
        <v>197</v>
      </c>
      <c r="BR362" s="37" t="s">
        <v>197</v>
      </c>
      <c r="BS362" s="37" t="s">
        <v>197</v>
      </c>
      <c r="BT362" s="37" t="s">
        <v>197</v>
      </c>
    </row>
    <row r="363" spans="5:72" x14ac:dyDescent="0.25">
      <c r="E363" s="6" t="s">
        <v>20</v>
      </c>
      <c r="F363" s="6">
        <f t="shared" si="106"/>
        <v>0</v>
      </c>
      <c r="G363" s="6">
        <f t="shared" si="107"/>
        <v>0</v>
      </c>
      <c r="H363" s="6">
        <f t="shared" si="108"/>
        <v>0</v>
      </c>
      <c r="I363" s="6">
        <f t="shared" si="109"/>
        <v>0</v>
      </c>
      <c r="J363" s="6">
        <f t="shared" si="110"/>
        <v>0</v>
      </c>
      <c r="K363" s="6">
        <f t="shared" si="111"/>
        <v>0</v>
      </c>
      <c r="L363" s="6">
        <f t="shared" si="112"/>
        <v>0</v>
      </c>
      <c r="M363" s="6">
        <f t="shared" si="113"/>
        <v>0</v>
      </c>
      <c r="N363" s="6">
        <f t="shared" si="114"/>
        <v>0</v>
      </c>
      <c r="O363" s="6">
        <f t="shared" si="115"/>
        <v>0</v>
      </c>
      <c r="P363" s="6">
        <f t="shared" si="116"/>
        <v>0</v>
      </c>
      <c r="Q363" s="6">
        <f t="shared" si="117"/>
        <v>0</v>
      </c>
      <c r="R363" s="6">
        <f t="shared" si="118"/>
        <v>0</v>
      </c>
      <c r="S363" s="6">
        <f t="shared" si="119"/>
        <v>0</v>
      </c>
      <c r="T363" s="6">
        <f t="shared" si="120"/>
        <v>0</v>
      </c>
      <c r="U363" s="6">
        <f t="shared" si="121"/>
        <v>0</v>
      </c>
      <c r="V363" s="6">
        <f t="shared" si="122"/>
        <v>0</v>
      </c>
      <c r="W363" s="6">
        <f t="shared" si="123"/>
        <v>0</v>
      </c>
      <c r="X363" s="6">
        <f t="shared" si="124"/>
        <v>0</v>
      </c>
      <c r="Y363" s="6">
        <f t="shared" si="125"/>
        <v>0</v>
      </c>
      <c r="Z363" s="6">
        <f t="shared" si="126"/>
        <v>0</v>
      </c>
      <c r="AB363" s="36" t="str">
        <f>IF(最佳化斷筋點!C363="","",最佳化斷筋點!C363)</f>
        <v>上層</v>
      </c>
      <c r="AC363" s="37">
        <f>IF(最佳化斷筋點!D363="","",最佳化斷筋點!D363)</f>
        <v>10</v>
      </c>
      <c r="AD363" s="37">
        <f>IF(最佳化斷筋點!E363="","",最佳化斷筋點!E363)</f>
        <v>10</v>
      </c>
      <c r="AE363" s="37">
        <f>IF(最佳化斷筋點!F363="","",最佳化斷筋點!F363)</f>
        <v>10</v>
      </c>
      <c r="AF363" s="37">
        <f>IF(最佳化斷筋點!G363="","",最佳化斷筋點!G363)</f>
        <v>10</v>
      </c>
      <c r="AG363" s="37">
        <f>IF(最佳化斷筋點!H363="","",最佳化斷筋點!H363)</f>
        <v>10</v>
      </c>
      <c r="AH363" s="37">
        <f>IF(最佳化斷筋點!I363="","",最佳化斷筋點!I363)</f>
        <v>9</v>
      </c>
      <c r="AI363" s="37">
        <f>IF(最佳化斷筋點!J363="","",最佳化斷筋點!J363)</f>
        <v>8</v>
      </c>
      <c r="AJ363" s="37">
        <f>IF(最佳化斷筋點!K363="","",最佳化斷筋點!K363)</f>
        <v>4</v>
      </c>
      <c r="AK363" s="37">
        <f>IF(最佳化斷筋點!L363="","",最佳化斷筋點!L363)</f>
        <v>4</v>
      </c>
      <c r="AL363" s="37">
        <f>IF(最佳化斷筋點!M363="","",最佳化斷筋點!M363)</f>
        <v>4</v>
      </c>
      <c r="AM363" s="37">
        <f>IF(最佳化斷筋點!N363="","",最佳化斷筋點!N363)</f>
        <v>3</v>
      </c>
      <c r="AN363" s="37">
        <f>IF(最佳化斷筋點!O363="","",最佳化斷筋點!O363)</f>
        <v>4</v>
      </c>
      <c r="AO363" s="37">
        <f>IF(最佳化斷筋點!P363="","",最佳化斷筋點!P363)</f>
        <v>4</v>
      </c>
      <c r="AP363" s="37">
        <f>IF(最佳化斷筋點!Q363="","",最佳化斷筋點!Q363)</f>
        <v>7</v>
      </c>
      <c r="AQ363" s="37">
        <f>IF(最佳化斷筋點!R363="","",最佳化斷筋點!R363)</f>
        <v>8</v>
      </c>
      <c r="AR363" s="37">
        <f>IF(最佳化斷筋點!S363="","",最佳化斷筋點!S363)</f>
        <v>9</v>
      </c>
      <c r="AS363" s="37">
        <f>IF(最佳化斷筋點!T363="","",最佳化斷筋點!T363)</f>
        <v>10</v>
      </c>
      <c r="AT363" s="37">
        <f>IF(最佳化斷筋點!U363="","",最佳化斷筋點!U363)</f>
        <v>11</v>
      </c>
      <c r="AU363" s="37">
        <f>IF(最佳化斷筋點!V363="","",最佳化斷筋點!V363)</f>
        <v>11</v>
      </c>
      <c r="AV363" s="37">
        <f>IF(最佳化斷筋點!W363="","",最佳化斷筋點!W363)</f>
        <v>11</v>
      </c>
      <c r="AW363" s="37">
        <f>IF(最佳化斷筋點!X363="","",最佳化斷筋點!X363)</f>
        <v>11</v>
      </c>
      <c r="AY363" s="6" t="s">
        <v>20</v>
      </c>
      <c r="AZ363" s="37">
        <v>10</v>
      </c>
      <c r="BA363" s="37">
        <v>10</v>
      </c>
      <c r="BB363" s="37">
        <v>10</v>
      </c>
      <c r="BC363" s="37">
        <v>10</v>
      </c>
      <c r="BD363" s="37">
        <v>10</v>
      </c>
      <c r="BE363" s="37">
        <v>9</v>
      </c>
      <c r="BF363" s="37">
        <v>8</v>
      </c>
      <c r="BG363" s="37">
        <v>4</v>
      </c>
      <c r="BH363" s="37">
        <v>4</v>
      </c>
      <c r="BI363" s="37">
        <v>4</v>
      </c>
      <c r="BJ363" s="37">
        <v>3</v>
      </c>
      <c r="BK363" s="37">
        <v>4</v>
      </c>
      <c r="BL363" s="37">
        <v>4</v>
      </c>
      <c r="BM363" s="37">
        <v>7</v>
      </c>
      <c r="BN363" s="37">
        <v>8</v>
      </c>
      <c r="BO363" s="37">
        <v>9</v>
      </c>
      <c r="BP363" s="37">
        <v>10</v>
      </c>
      <c r="BQ363" s="37">
        <v>11</v>
      </c>
      <c r="BR363" s="37">
        <v>11</v>
      </c>
      <c r="BS363" s="37">
        <v>11</v>
      </c>
      <c r="BT363" s="37">
        <v>11</v>
      </c>
    </row>
    <row r="364" spans="5:72" x14ac:dyDescent="0.25">
      <c r="F364" s="6">
        <f t="shared" si="106"/>
        <v>0</v>
      </c>
      <c r="G364" s="6">
        <f t="shared" si="107"/>
        <v>0</v>
      </c>
      <c r="H364" s="6">
        <f t="shared" si="108"/>
        <v>0</v>
      </c>
      <c r="I364" s="6">
        <f t="shared" si="109"/>
        <v>0</v>
      </c>
      <c r="J364" s="6">
        <f t="shared" si="110"/>
        <v>0</v>
      </c>
      <c r="K364" s="6">
        <f t="shared" si="111"/>
        <v>0</v>
      </c>
      <c r="L364" s="6">
        <f t="shared" si="112"/>
        <v>0</v>
      </c>
      <c r="M364" s="6">
        <f t="shared" si="113"/>
        <v>0</v>
      </c>
      <c r="N364" s="6">
        <f t="shared" si="114"/>
        <v>0</v>
      </c>
      <c r="O364" s="6">
        <f t="shared" si="115"/>
        <v>0</v>
      </c>
      <c r="P364" s="6">
        <f t="shared" si="116"/>
        <v>0</v>
      </c>
      <c r="Q364" s="6">
        <f t="shared" si="117"/>
        <v>0</v>
      </c>
      <c r="R364" s="6">
        <f t="shared" si="118"/>
        <v>0</v>
      </c>
      <c r="S364" s="6">
        <f t="shared" si="119"/>
        <v>0</v>
      </c>
      <c r="T364" s="6">
        <f t="shared" si="120"/>
        <v>0</v>
      </c>
      <c r="U364" s="6">
        <f t="shared" si="121"/>
        <v>0</v>
      </c>
      <c r="V364" s="6">
        <f t="shared" si="122"/>
        <v>0</v>
      </c>
      <c r="W364" s="6">
        <f t="shared" si="123"/>
        <v>0</v>
      </c>
      <c r="X364" s="6">
        <f t="shared" si="124"/>
        <v>0</v>
      </c>
      <c r="Y364" s="6">
        <f t="shared" si="125"/>
        <v>0</v>
      </c>
      <c r="Z364" s="6">
        <f t="shared" si="126"/>
        <v>0</v>
      </c>
      <c r="AB364" s="36" t="str">
        <f>IF(最佳化斷筋點!C364="","",最佳化斷筋點!C364)</f>
        <v/>
      </c>
      <c r="AC364" s="37" t="str">
        <f>IF(最佳化斷筋點!D364="","",最佳化斷筋點!D364)</f>
        <v/>
      </c>
      <c r="AD364" s="37" t="str">
        <f>IF(最佳化斷筋點!E364="","",最佳化斷筋點!E364)</f>
        <v/>
      </c>
      <c r="AE364" s="37" t="str">
        <f>IF(最佳化斷筋點!F364="","",最佳化斷筋點!F364)</f>
        <v/>
      </c>
      <c r="AF364" s="37" t="str">
        <f>IF(最佳化斷筋點!G364="","",最佳化斷筋點!G364)</f>
        <v/>
      </c>
      <c r="AG364" s="37" t="str">
        <f>IF(最佳化斷筋點!H364="","",最佳化斷筋點!H364)</f>
        <v/>
      </c>
      <c r="AH364" s="37" t="str">
        <f>IF(最佳化斷筋點!I364="","",最佳化斷筋點!I364)</f>
        <v/>
      </c>
      <c r="AI364" s="37" t="str">
        <f>IF(最佳化斷筋點!J364="","",最佳化斷筋點!J364)</f>
        <v/>
      </c>
      <c r="AJ364" s="37" t="str">
        <f>IF(最佳化斷筋點!K364="","",最佳化斷筋點!K364)</f>
        <v/>
      </c>
      <c r="AK364" s="37" t="str">
        <f>IF(最佳化斷筋點!L364="","",最佳化斷筋點!L364)</f>
        <v/>
      </c>
      <c r="AL364" s="37" t="str">
        <f>IF(最佳化斷筋點!M364="","",最佳化斷筋點!M364)</f>
        <v/>
      </c>
      <c r="AM364" s="37" t="str">
        <f>IF(最佳化斷筋點!N364="","",最佳化斷筋點!N364)</f>
        <v/>
      </c>
      <c r="AN364" s="37" t="str">
        <f>IF(最佳化斷筋點!O364="","",最佳化斷筋點!O364)</f>
        <v/>
      </c>
      <c r="AO364" s="37" t="str">
        <f>IF(最佳化斷筋點!P364="","",最佳化斷筋點!P364)</f>
        <v/>
      </c>
      <c r="AP364" s="37" t="str">
        <f>IF(最佳化斷筋點!Q364="","",最佳化斷筋點!Q364)</f>
        <v/>
      </c>
      <c r="AQ364" s="37" t="str">
        <f>IF(最佳化斷筋點!R364="","",最佳化斷筋點!R364)</f>
        <v/>
      </c>
      <c r="AR364" s="37" t="str">
        <f>IF(最佳化斷筋點!S364="","",最佳化斷筋點!S364)</f>
        <v/>
      </c>
      <c r="AS364" s="37" t="str">
        <f>IF(最佳化斷筋點!T364="","",最佳化斷筋點!T364)</f>
        <v/>
      </c>
      <c r="AT364" s="37" t="str">
        <f>IF(最佳化斷筋點!U364="","",最佳化斷筋點!U364)</f>
        <v/>
      </c>
      <c r="AU364" s="37" t="str">
        <f>IF(最佳化斷筋點!V364="","",最佳化斷筋點!V364)</f>
        <v/>
      </c>
      <c r="AV364" s="37" t="str">
        <f>IF(最佳化斷筋點!W364="","",最佳化斷筋點!W364)</f>
        <v/>
      </c>
      <c r="AW364" s="37" t="str">
        <f>IF(最佳化斷筋點!X364="","",最佳化斷筋點!X364)</f>
        <v/>
      </c>
      <c r="AZ364" s="37" t="s">
        <v>197</v>
      </c>
      <c r="BA364" s="37" t="s">
        <v>197</v>
      </c>
      <c r="BB364" s="37" t="s">
        <v>197</v>
      </c>
      <c r="BC364" s="37" t="s">
        <v>197</v>
      </c>
      <c r="BD364" s="37" t="s">
        <v>197</v>
      </c>
      <c r="BE364" s="37" t="s">
        <v>197</v>
      </c>
      <c r="BF364" s="37" t="s">
        <v>197</v>
      </c>
      <c r="BG364" s="37" t="s">
        <v>197</v>
      </c>
      <c r="BH364" s="37" t="s">
        <v>197</v>
      </c>
      <c r="BI364" s="37" t="s">
        <v>197</v>
      </c>
      <c r="BJ364" s="37" t="s">
        <v>197</v>
      </c>
      <c r="BK364" s="37" t="s">
        <v>197</v>
      </c>
      <c r="BL364" s="37" t="s">
        <v>197</v>
      </c>
      <c r="BM364" s="37" t="s">
        <v>197</v>
      </c>
      <c r="BN364" s="37" t="s">
        <v>197</v>
      </c>
      <c r="BO364" s="37" t="s">
        <v>197</v>
      </c>
      <c r="BP364" s="37" t="s">
        <v>197</v>
      </c>
      <c r="BQ364" s="37" t="s">
        <v>197</v>
      </c>
      <c r="BR364" s="37" t="s">
        <v>197</v>
      </c>
      <c r="BS364" s="37" t="s">
        <v>197</v>
      </c>
      <c r="BT364" s="37" t="s">
        <v>197</v>
      </c>
    </row>
    <row r="365" spans="5:72" x14ac:dyDescent="0.25">
      <c r="E365" s="6" t="s">
        <v>21</v>
      </c>
      <c r="F365" s="6">
        <f t="shared" si="106"/>
        <v>0</v>
      </c>
      <c r="G365" s="6">
        <f t="shared" si="107"/>
        <v>0</v>
      </c>
      <c r="H365" s="6">
        <f t="shared" si="108"/>
        <v>0</v>
      </c>
      <c r="I365" s="6">
        <f t="shared" si="109"/>
        <v>0</v>
      </c>
      <c r="J365" s="6">
        <f t="shared" si="110"/>
        <v>0</v>
      </c>
      <c r="K365" s="6">
        <f t="shared" si="111"/>
        <v>0</v>
      </c>
      <c r="L365" s="6">
        <f t="shared" si="112"/>
        <v>0</v>
      </c>
      <c r="M365" s="6">
        <f t="shared" si="113"/>
        <v>0</v>
      </c>
      <c r="N365" s="6">
        <f t="shared" si="114"/>
        <v>0</v>
      </c>
      <c r="O365" s="6">
        <f t="shared" si="115"/>
        <v>0</v>
      </c>
      <c r="P365" s="6">
        <f t="shared" si="116"/>
        <v>0</v>
      </c>
      <c r="Q365" s="6">
        <f t="shared" si="117"/>
        <v>0</v>
      </c>
      <c r="R365" s="6">
        <f t="shared" si="118"/>
        <v>0</v>
      </c>
      <c r="S365" s="6">
        <f t="shared" si="119"/>
        <v>0</v>
      </c>
      <c r="T365" s="6">
        <f t="shared" si="120"/>
        <v>0</v>
      </c>
      <c r="U365" s="6">
        <f t="shared" si="121"/>
        <v>0</v>
      </c>
      <c r="V365" s="6">
        <f t="shared" si="122"/>
        <v>0</v>
      </c>
      <c r="W365" s="6">
        <f t="shared" si="123"/>
        <v>0</v>
      </c>
      <c r="X365" s="6">
        <f t="shared" si="124"/>
        <v>0</v>
      </c>
      <c r="Y365" s="6">
        <f t="shared" si="125"/>
        <v>0</v>
      </c>
      <c r="Z365" s="6">
        <f t="shared" si="126"/>
        <v>0</v>
      </c>
      <c r="AB365" s="36" t="str">
        <f>IF(最佳化斷筋點!C365="","",最佳化斷筋點!C365)</f>
        <v>下層</v>
      </c>
      <c r="AC365" s="37">
        <f>IF(最佳化斷筋點!D365="","",最佳化斷筋點!D365)</f>
        <v>5</v>
      </c>
      <c r="AD365" s="37">
        <f>IF(最佳化斷筋點!E365="","",最佳化斷筋點!E365)</f>
        <v>5</v>
      </c>
      <c r="AE365" s="37">
        <f>IF(最佳化斷筋點!F365="","",最佳化斷筋點!F365)</f>
        <v>5</v>
      </c>
      <c r="AF365" s="37">
        <f>IF(最佳化斷筋點!G365="","",最佳化斷筋點!G365)</f>
        <v>5</v>
      </c>
      <c r="AG365" s="37">
        <f>IF(最佳化斷筋點!H365="","",最佳化斷筋點!H365)</f>
        <v>5</v>
      </c>
      <c r="AH365" s="37">
        <f>IF(最佳化斷筋點!I365="","",最佳化斷筋點!I365)</f>
        <v>4</v>
      </c>
      <c r="AI365" s="37">
        <f>IF(最佳化斷筋點!J365="","",最佳化斷筋點!J365)</f>
        <v>4</v>
      </c>
      <c r="AJ365" s="37">
        <f>IF(最佳化斷筋點!K365="","",最佳化斷筋點!K365)</f>
        <v>4</v>
      </c>
      <c r="AK365" s="37">
        <f>IF(最佳化斷筋點!L365="","",最佳化斷筋點!L365)</f>
        <v>4</v>
      </c>
      <c r="AL365" s="37">
        <f>IF(最佳化斷筋點!M365="","",最佳化斷筋點!M365)</f>
        <v>4</v>
      </c>
      <c r="AM365" s="37">
        <f>IF(最佳化斷筋點!N365="","",最佳化斷筋點!N365)</f>
        <v>4</v>
      </c>
      <c r="AN365" s="37">
        <f>IF(最佳化斷筋點!O365="","",最佳化斷筋點!O365)</f>
        <v>4</v>
      </c>
      <c r="AO365" s="37">
        <f>IF(最佳化斷筋點!P365="","",最佳化斷筋點!P365)</f>
        <v>4</v>
      </c>
      <c r="AP365" s="37">
        <f>IF(最佳化斷筋點!Q365="","",最佳化斷筋點!Q365)</f>
        <v>4</v>
      </c>
      <c r="AQ365" s="37">
        <f>IF(最佳化斷筋點!R365="","",最佳化斷筋點!R365)</f>
        <v>4</v>
      </c>
      <c r="AR365" s="37">
        <f>IF(最佳化斷筋點!S365="","",最佳化斷筋點!S365)</f>
        <v>4</v>
      </c>
      <c r="AS365" s="37">
        <f>IF(最佳化斷筋點!T365="","",最佳化斷筋點!T365)</f>
        <v>5</v>
      </c>
      <c r="AT365" s="37">
        <f>IF(最佳化斷筋點!U365="","",最佳化斷筋點!U365)</f>
        <v>5</v>
      </c>
      <c r="AU365" s="37">
        <f>IF(最佳化斷筋點!V365="","",最佳化斷筋點!V365)</f>
        <v>6</v>
      </c>
      <c r="AV365" s="37">
        <f>IF(最佳化斷筋點!W365="","",最佳化斷筋點!W365)</f>
        <v>6</v>
      </c>
      <c r="AW365" s="37">
        <f>IF(最佳化斷筋點!X365="","",最佳化斷筋點!X365)</f>
        <v>6</v>
      </c>
      <c r="AY365" s="6" t="s">
        <v>21</v>
      </c>
      <c r="AZ365" s="37">
        <v>5</v>
      </c>
      <c r="BA365" s="37">
        <v>5</v>
      </c>
      <c r="BB365" s="37">
        <v>5</v>
      </c>
      <c r="BC365" s="37">
        <v>5</v>
      </c>
      <c r="BD365" s="37">
        <v>5</v>
      </c>
      <c r="BE365" s="37">
        <v>4</v>
      </c>
      <c r="BF365" s="37">
        <v>4</v>
      </c>
      <c r="BG365" s="37">
        <v>4</v>
      </c>
      <c r="BH365" s="37">
        <v>4</v>
      </c>
      <c r="BI365" s="37">
        <v>4</v>
      </c>
      <c r="BJ365" s="37">
        <v>4</v>
      </c>
      <c r="BK365" s="37">
        <v>4</v>
      </c>
      <c r="BL365" s="37">
        <v>4</v>
      </c>
      <c r="BM365" s="37">
        <v>4</v>
      </c>
      <c r="BN365" s="37">
        <v>4</v>
      </c>
      <c r="BO365" s="37">
        <v>4</v>
      </c>
      <c r="BP365" s="37">
        <v>5</v>
      </c>
      <c r="BQ365" s="37">
        <v>5</v>
      </c>
      <c r="BR365" s="37">
        <v>6</v>
      </c>
      <c r="BS365" s="37">
        <v>6</v>
      </c>
      <c r="BT365" s="37">
        <v>6</v>
      </c>
    </row>
    <row r="366" spans="5:72" x14ac:dyDescent="0.25">
      <c r="F366" s="6">
        <f t="shared" si="106"/>
        <v>0</v>
      </c>
      <c r="G366" s="6">
        <f t="shared" si="107"/>
        <v>0</v>
      </c>
      <c r="H366" s="6">
        <f t="shared" si="108"/>
        <v>0</v>
      </c>
      <c r="I366" s="6">
        <f t="shared" si="109"/>
        <v>0</v>
      </c>
      <c r="J366" s="6">
        <f t="shared" si="110"/>
        <v>0</v>
      </c>
      <c r="K366" s="6">
        <f t="shared" si="111"/>
        <v>0</v>
      </c>
      <c r="L366" s="6">
        <f t="shared" si="112"/>
        <v>0</v>
      </c>
      <c r="M366" s="6">
        <f t="shared" si="113"/>
        <v>0</v>
      </c>
      <c r="N366" s="6">
        <f t="shared" si="114"/>
        <v>0</v>
      </c>
      <c r="O366" s="6">
        <f t="shared" si="115"/>
        <v>0</v>
      </c>
      <c r="P366" s="6">
        <f t="shared" si="116"/>
        <v>0</v>
      </c>
      <c r="Q366" s="6">
        <f t="shared" si="117"/>
        <v>0</v>
      </c>
      <c r="R366" s="6">
        <f t="shared" si="118"/>
        <v>0</v>
      </c>
      <c r="S366" s="6">
        <f t="shared" si="119"/>
        <v>0</v>
      </c>
      <c r="T366" s="6">
        <f t="shared" si="120"/>
        <v>0</v>
      </c>
      <c r="U366" s="6">
        <f t="shared" si="121"/>
        <v>0</v>
      </c>
      <c r="V366" s="6">
        <f t="shared" si="122"/>
        <v>0</v>
      </c>
      <c r="W366" s="6">
        <f t="shared" si="123"/>
        <v>0</v>
      </c>
      <c r="X366" s="6">
        <f t="shared" si="124"/>
        <v>0</v>
      </c>
      <c r="Y366" s="6">
        <f t="shared" si="125"/>
        <v>0</v>
      </c>
      <c r="Z366" s="6">
        <f t="shared" si="126"/>
        <v>0</v>
      </c>
      <c r="AB366" s="36" t="str">
        <f>IF(最佳化斷筋點!C366="","",最佳化斷筋點!C366)</f>
        <v/>
      </c>
      <c r="AC366" s="37" t="str">
        <f>IF(最佳化斷筋點!D366="","",最佳化斷筋點!D366)</f>
        <v/>
      </c>
      <c r="AD366" s="37" t="str">
        <f>IF(最佳化斷筋點!E366="","",最佳化斷筋點!E366)</f>
        <v/>
      </c>
      <c r="AE366" s="37" t="str">
        <f>IF(最佳化斷筋點!F366="","",最佳化斷筋點!F366)</f>
        <v/>
      </c>
      <c r="AF366" s="37" t="str">
        <f>IF(最佳化斷筋點!G366="","",最佳化斷筋點!G366)</f>
        <v/>
      </c>
      <c r="AG366" s="37" t="str">
        <f>IF(最佳化斷筋點!H366="","",最佳化斷筋點!H366)</f>
        <v/>
      </c>
      <c r="AH366" s="37" t="str">
        <f>IF(最佳化斷筋點!I366="","",最佳化斷筋點!I366)</f>
        <v/>
      </c>
      <c r="AI366" s="37" t="str">
        <f>IF(最佳化斷筋點!J366="","",最佳化斷筋點!J366)</f>
        <v/>
      </c>
      <c r="AJ366" s="37" t="str">
        <f>IF(最佳化斷筋點!K366="","",最佳化斷筋點!K366)</f>
        <v/>
      </c>
      <c r="AK366" s="37" t="str">
        <f>IF(最佳化斷筋點!L366="","",最佳化斷筋點!L366)</f>
        <v/>
      </c>
      <c r="AL366" s="37" t="str">
        <f>IF(最佳化斷筋點!M366="","",最佳化斷筋點!M366)</f>
        <v/>
      </c>
      <c r="AM366" s="37" t="str">
        <f>IF(最佳化斷筋點!N366="","",最佳化斷筋點!N366)</f>
        <v/>
      </c>
      <c r="AN366" s="37" t="str">
        <f>IF(最佳化斷筋點!O366="","",最佳化斷筋點!O366)</f>
        <v/>
      </c>
      <c r="AO366" s="37" t="str">
        <f>IF(最佳化斷筋點!P366="","",最佳化斷筋點!P366)</f>
        <v/>
      </c>
      <c r="AP366" s="37" t="str">
        <f>IF(最佳化斷筋點!Q366="","",最佳化斷筋點!Q366)</f>
        <v/>
      </c>
      <c r="AQ366" s="37" t="str">
        <f>IF(最佳化斷筋點!R366="","",最佳化斷筋點!R366)</f>
        <v/>
      </c>
      <c r="AR366" s="37" t="str">
        <f>IF(最佳化斷筋點!S366="","",最佳化斷筋點!S366)</f>
        <v/>
      </c>
      <c r="AS366" s="37" t="str">
        <f>IF(最佳化斷筋點!T366="","",最佳化斷筋點!T366)</f>
        <v/>
      </c>
      <c r="AT366" s="37" t="str">
        <f>IF(最佳化斷筋點!U366="","",最佳化斷筋點!U366)</f>
        <v/>
      </c>
      <c r="AU366" s="37" t="str">
        <f>IF(最佳化斷筋點!V366="","",最佳化斷筋點!V366)</f>
        <v/>
      </c>
      <c r="AV366" s="37" t="str">
        <f>IF(最佳化斷筋點!W366="","",最佳化斷筋點!W366)</f>
        <v/>
      </c>
      <c r="AW366" s="37" t="str">
        <f>IF(最佳化斷筋點!X366="","",最佳化斷筋點!X366)</f>
        <v/>
      </c>
      <c r="AZ366" s="37" t="s">
        <v>197</v>
      </c>
      <c r="BA366" s="37" t="s">
        <v>197</v>
      </c>
      <c r="BB366" s="37" t="s">
        <v>197</v>
      </c>
      <c r="BC366" s="37" t="s">
        <v>197</v>
      </c>
      <c r="BD366" s="37" t="s">
        <v>197</v>
      </c>
      <c r="BE366" s="37" t="s">
        <v>197</v>
      </c>
      <c r="BF366" s="37" t="s">
        <v>197</v>
      </c>
      <c r="BG366" s="37" t="s">
        <v>197</v>
      </c>
      <c r="BH366" s="37" t="s">
        <v>197</v>
      </c>
      <c r="BI366" s="37" t="s">
        <v>197</v>
      </c>
      <c r="BJ366" s="37" t="s">
        <v>197</v>
      </c>
      <c r="BK366" s="37" t="s">
        <v>197</v>
      </c>
      <c r="BL366" s="37" t="s">
        <v>197</v>
      </c>
      <c r="BM366" s="37" t="s">
        <v>197</v>
      </c>
      <c r="BN366" s="37" t="s">
        <v>197</v>
      </c>
      <c r="BO366" s="37" t="s">
        <v>197</v>
      </c>
      <c r="BP366" s="37" t="s">
        <v>197</v>
      </c>
      <c r="BQ366" s="37" t="s">
        <v>197</v>
      </c>
      <c r="BR366" s="37" t="s">
        <v>197</v>
      </c>
      <c r="BS366" s="37" t="s">
        <v>197</v>
      </c>
      <c r="BT366" s="37" t="s">
        <v>197</v>
      </c>
    </row>
    <row r="367" spans="5:72" x14ac:dyDescent="0.25">
      <c r="E367" s="6" t="s">
        <v>20</v>
      </c>
      <c r="F367" s="6">
        <f t="shared" si="106"/>
        <v>0</v>
      </c>
      <c r="G367" s="6">
        <f t="shared" si="107"/>
        <v>0</v>
      </c>
      <c r="H367" s="6">
        <f t="shared" si="108"/>
        <v>0</v>
      </c>
      <c r="I367" s="6">
        <f t="shared" si="109"/>
        <v>0</v>
      </c>
      <c r="J367" s="6">
        <f t="shared" si="110"/>
        <v>0</v>
      </c>
      <c r="K367" s="6">
        <f t="shared" si="111"/>
        <v>0</v>
      </c>
      <c r="L367" s="6">
        <f t="shared" si="112"/>
        <v>0</v>
      </c>
      <c r="M367" s="6">
        <f t="shared" si="113"/>
        <v>0</v>
      </c>
      <c r="N367" s="6">
        <f t="shared" si="114"/>
        <v>0</v>
      </c>
      <c r="O367" s="6">
        <f t="shared" si="115"/>
        <v>0</v>
      </c>
      <c r="P367" s="6">
        <f t="shared" si="116"/>
        <v>0</v>
      </c>
      <c r="Q367" s="6">
        <f t="shared" si="117"/>
        <v>0</v>
      </c>
      <c r="R367" s="6">
        <f t="shared" si="118"/>
        <v>0</v>
      </c>
      <c r="S367" s="6">
        <f t="shared" si="119"/>
        <v>0</v>
      </c>
      <c r="T367" s="6">
        <f t="shared" si="120"/>
        <v>0</v>
      </c>
      <c r="U367" s="6">
        <f t="shared" si="121"/>
        <v>0</v>
      </c>
      <c r="V367" s="6">
        <f t="shared" si="122"/>
        <v>0</v>
      </c>
      <c r="W367" s="6">
        <f t="shared" si="123"/>
        <v>0</v>
      </c>
      <c r="X367" s="6">
        <f t="shared" si="124"/>
        <v>0</v>
      </c>
      <c r="Y367" s="6">
        <f t="shared" si="125"/>
        <v>0</v>
      </c>
      <c r="Z367" s="6">
        <f t="shared" si="126"/>
        <v>0</v>
      </c>
      <c r="AB367" s="36" t="str">
        <f>IF(最佳化斷筋點!C367="","",最佳化斷筋點!C367)</f>
        <v>上層</v>
      </c>
      <c r="AC367" s="37">
        <f>IF(最佳化斷筋點!D367="","",最佳化斷筋點!D367)</f>
        <v>8</v>
      </c>
      <c r="AD367" s="37">
        <f>IF(最佳化斷筋點!E367="","",最佳化斷筋點!E367)</f>
        <v>8</v>
      </c>
      <c r="AE367" s="37">
        <f>IF(最佳化斷筋點!F367="","",最佳化斷筋點!F367)</f>
        <v>8</v>
      </c>
      <c r="AF367" s="37">
        <f>IF(最佳化斷筋點!G367="","",最佳化斷筋點!G367)</f>
        <v>8</v>
      </c>
      <c r="AG367" s="37">
        <f>IF(最佳化斷筋點!H367="","",最佳化斷筋點!H367)</f>
        <v>8</v>
      </c>
      <c r="AH367" s="37">
        <f>IF(最佳化斷筋點!I367="","",最佳化斷筋點!I367)</f>
        <v>8</v>
      </c>
      <c r="AI367" s="37">
        <f>IF(最佳化斷筋點!J367="","",最佳化斷筋點!J367)</f>
        <v>8</v>
      </c>
      <c r="AJ367" s="37">
        <f>IF(最佳化斷筋點!K367="","",最佳化斷筋點!K367)</f>
        <v>4</v>
      </c>
      <c r="AK367" s="37">
        <f>IF(最佳化斷筋點!L367="","",最佳化斷筋點!L367)</f>
        <v>4</v>
      </c>
      <c r="AL367" s="37">
        <f>IF(最佳化斷筋點!M367="","",最佳化斷筋點!M367)</f>
        <v>4</v>
      </c>
      <c r="AM367" s="37">
        <f>IF(最佳化斷筋點!N367="","",最佳化斷筋點!N367)</f>
        <v>4</v>
      </c>
      <c r="AN367" s="37">
        <f>IF(最佳化斷筋點!O367="","",最佳化斷筋點!O367)</f>
        <v>4</v>
      </c>
      <c r="AO367" s="37">
        <f>IF(最佳化斷筋點!P367="","",最佳化斷筋點!P367)</f>
        <v>4</v>
      </c>
      <c r="AP367" s="37">
        <f>IF(最佳化斷筋點!Q367="","",最佳化斷筋點!Q367)</f>
        <v>8</v>
      </c>
      <c r="AQ367" s="37">
        <f>IF(最佳化斷筋點!R367="","",最佳化斷筋點!R367)</f>
        <v>9</v>
      </c>
      <c r="AR367" s="37">
        <f>IF(最佳化斷筋點!S367="","",最佳化斷筋點!S367)</f>
        <v>10</v>
      </c>
      <c r="AS367" s="37">
        <f>IF(最佳化斷筋點!T367="","",最佳化斷筋點!T367)</f>
        <v>10</v>
      </c>
      <c r="AT367" s="37">
        <f>IF(最佳化斷筋點!U367="","",最佳化斷筋點!U367)</f>
        <v>10</v>
      </c>
      <c r="AU367" s="37">
        <f>IF(最佳化斷筋點!V367="","",最佳化斷筋點!V367)</f>
        <v>10</v>
      </c>
      <c r="AV367" s="37">
        <f>IF(最佳化斷筋點!W367="","",最佳化斷筋點!W367)</f>
        <v>10</v>
      </c>
      <c r="AW367" s="37">
        <f>IF(最佳化斷筋點!X367="","",最佳化斷筋點!X367)</f>
        <v>10</v>
      </c>
      <c r="AY367" s="6" t="s">
        <v>20</v>
      </c>
      <c r="AZ367" s="37">
        <v>8</v>
      </c>
      <c r="BA367" s="37">
        <v>8</v>
      </c>
      <c r="BB367" s="37">
        <v>8</v>
      </c>
      <c r="BC367" s="37">
        <v>8</v>
      </c>
      <c r="BD367" s="37">
        <v>8</v>
      </c>
      <c r="BE367" s="37">
        <v>8</v>
      </c>
      <c r="BF367" s="37">
        <v>8</v>
      </c>
      <c r="BG367" s="37">
        <v>4</v>
      </c>
      <c r="BH367" s="37">
        <v>4</v>
      </c>
      <c r="BI367" s="37">
        <v>4</v>
      </c>
      <c r="BJ367" s="37">
        <v>4</v>
      </c>
      <c r="BK367" s="37">
        <v>4</v>
      </c>
      <c r="BL367" s="37">
        <v>4</v>
      </c>
      <c r="BM367" s="37">
        <v>8</v>
      </c>
      <c r="BN367" s="37">
        <v>9</v>
      </c>
      <c r="BO367" s="37">
        <v>10</v>
      </c>
      <c r="BP367" s="37">
        <v>10</v>
      </c>
      <c r="BQ367" s="37">
        <v>10</v>
      </c>
      <c r="BR367" s="37">
        <v>10</v>
      </c>
      <c r="BS367" s="37">
        <v>10</v>
      </c>
      <c r="BT367" s="37">
        <v>10</v>
      </c>
    </row>
    <row r="368" spans="5:72" x14ac:dyDescent="0.25">
      <c r="F368" s="6">
        <f t="shared" si="106"/>
        <v>0</v>
      </c>
      <c r="G368" s="6">
        <f t="shared" si="107"/>
        <v>0</v>
      </c>
      <c r="H368" s="6">
        <f t="shared" si="108"/>
        <v>0</v>
      </c>
      <c r="I368" s="6">
        <f t="shared" si="109"/>
        <v>0</v>
      </c>
      <c r="J368" s="6">
        <f t="shared" si="110"/>
        <v>0</v>
      </c>
      <c r="K368" s="6">
        <f t="shared" si="111"/>
        <v>0</v>
      </c>
      <c r="L368" s="6">
        <f t="shared" si="112"/>
        <v>0</v>
      </c>
      <c r="M368" s="6">
        <f t="shared" si="113"/>
        <v>0</v>
      </c>
      <c r="N368" s="6">
        <f t="shared" si="114"/>
        <v>0</v>
      </c>
      <c r="O368" s="6">
        <f t="shared" si="115"/>
        <v>0</v>
      </c>
      <c r="P368" s="6">
        <f t="shared" si="116"/>
        <v>0</v>
      </c>
      <c r="Q368" s="6">
        <f t="shared" si="117"/>
        <v>0</v>
      </c>
      <c r="R368" s="6">
        <f t="shared" si="118"/>
        <v>0</v>
      </c>
      <c r="S368" s="6">
        <f t="shared" si="119"/>
        <v>0</v>
      </c>
      <c r="T368" s="6">
        <f t="shared" si="120"/>
        <v>0</v>
      </c>
      <c r="U368" s="6">
        <f t="shared" si="121"/>
        <v>0</v>
      </c>
      <c r="V368" s="6">
        <f t="shared" si="122"/>
        <v>0</v>
      </c>
      <c r="W368" s="6">
        <f t="shared" si="123"/>
        <v>0</v>
      </c>
      <c r="X368" s="6">
        <f t="shared" si="124"/>
        <v>0</v>
      </c>
      <c r="Y368" s="6">
        <f t="shared" si="125"/>
        <v>0</v>
      </c>
      <c r="Z368" s="6">
        <f t="shared" si="126"/>
        <v>0</v>
      </c>
      <c r="AB368" s="36" t="str">
        <f>IF(最佳化斷筋點!C368="","",最佳化斷筋點!C368)</f>
        <v/>
      </c>
      <c r="AC368" s="37" t="str">
        <f>IF(最佳化斷筋點!D368="","",最佳化斷筋點!D368)</f>
        <v/>
      </c>
      <c r="AD368" s="37" t="str">
        <f>IF(最佳化斷筋點!E368="","",最佳化斷筋點!E368)</f>
        <v/>
      </c>
      <c r="AE368" s="37" t="str">
        <f>IF(最佳化斷筋點!F368="","",最佳化斷筋點!F368)</f>
        <v/>
      </c>
      <c r="AF368" s="37" t="str">
        <f>IF(最佳化斷筋點!G368="","",最佳化斷筋點!G368)</f>
        <v/>
      </c>
      <c r="AG368" s="37" t="str">
        <f>IF(最佳化斷筋點!H368="","",最佳化斷筋點!H368)</f>
        <v/>
      </c>
      <c r="AH368" s="37" t="str">
        <f>IF(最佳化斷筋點!I368="","",最佳化斷筋點!I368)</f>
        <v/>
      </c>
      <c r="AI368" s="37" t="str">
        <f>IF(最佳化斷筋點!J368="","",最佳化斷筋點!J368)</f>
        <v/>
      </c>
      <c r="AJ368" s="37" t="str">
        <f>IF(最佳化斷筋點!K368="","",最佳化斷筋點!K368)</f>
        <v/>
      </c>
      <c r="AK368" s="37" t="str">
        <f>IF(最佳化斷筋點!L368="","",最佳化斷筋點!L368)</f>
        <v/>
      </c>
      <c r="AL368" s="37" t="str">
        <f>IF(最佳化斷筋點!M368="","",最佳化斷筋點!M368)</f>
        <v/>
      </c>
      <c r="AM368" s="37" t="str">
        <f>IF(最佳化斷筋點!N368="","",最佳化斷筋點!N368)</f>
        <v/>
      </c>
      <c r="AN368" s="37" t="str">
        <f>IF(最佳化斷筋點!O368="","",最佳化斷筋點!O368)</f>
        <v/>
      </c>
      <c r="AO368" s="37" t="str">
        <f>IF(最佳化斷筋點!P368="","",最佳化斷筋點!P368)</f>
        <v/>
      </c>
      <c r="AP368" s="37" t="str">
        <f>IF(最佳化斷筋點!Q368="","",最佳化斷筋點!Q368)</f>
        <v/>
      </c>
      <c r="AQ368" s="37" t="str">
        <f>IF(最佳化斷筋點!R368="","",最佳化斷筋點!R368)</f>
        <v/>
      </c>
      <c r="AR368" s="37" t="str">
        <f>IF(最佳化斷筋點!S368="","",最佳化斷筋點!S368)</f>
        <v/>
      </c>
      <c r="AS368" s="37" t="str">
        <f>IF(最佳化斷筋點!T368="","",最佳化斷筋點!T368)</f>
        <v/>
      </c>
      <c r="AT368" s="37" t="str">
        <f>IF(最佳化斷筋點!U368="","",最佳化斷筋點!U368)</f>
        <v/>
      </c>
      <c r="AU368" s="37" t="str">
        <f>IF(最佳化斷筋點!V368="","",最佳化斷筋點!V368)</f>
        <v/>
      </c>
      <c r="AV368" s="37" t="str">
        <f>IF(最佳化斷筋點!W368="","",最佳化斷筋點!W368)</f>
        <v/>
      </c>
      <c r="AW368" s="37" t="str">
        <f>IF(最佳化斷筋點!X368="","",最佳化斷筋點!X368)</f>
        <v/>
      </c>
      <c r="AZ368" s="37" t="s">
        <v>197</v>
      </c>
      <c r="BA368" s="37" t="s">
        <v>197</v>
      </c>
      <c r="BB368" s="37" t="s">
        <v>197</v>
      </c>
      <c r="BC368" s="37" t="s">
        <v>197</v>
      </c>
      <c r="BD368" s="37" t="s">
        <v>197</v>
      </c>
      <c r="BE368" s="37" t="s">
        <v>197</v>
      </c>
      <c r="BF368" s="37" t="s">
        <v>197</v>
      </c>
      <c r="BG368" s="37" t="s">
        <v>197</v>
      </c>
      <c r="BH368" s="37" t="s">
        <v>197</v>
      </c>
      <c r="BI368" s="37" t="s">
        <v>197</v>
      </c>
      <c r="BJ368" s="37" t="s">
        <v>197</v>
      </c>
      <c r="BK368" s="37" t="s">
        <v>197</v>
      </c>
      <c r="BL368" s="37" t="s">
        <v>197</v>
      </c>
      <c r="BM368" s="37" t="s">
        <v>197</v>
      </c>
      <c r="BN368" s="37" t="s">
        <v>197</v>
      </c>
      <c r="BO368" s="37" t="s">
        <v>197</v>
      </c>
      <c r="BP368" s="37" t="s">
        <v>197</v>
      </c>
      <c r="BQ368" s="37" t="s">
        <v>197</v>
      </c>
      <c r="BR368" s="37" t="s">
        <v>197</v>
      </c>
      <c r="BS368" s="37" t="s">
        <v>197</v>
      </c>
      <c r="BT368" s="37" t="s">
        <v>197</v>
      </c>
    </row>
    <row r="369" spans="5:72" x14ac:dyDescent="0.25">
      <c r="E369" s="6" t="s">
        <v>21</v>
      </c>
      <c r="F369" s="6">
        <f t="shared" si="106"/>
        <v>0</v>
      </c>
      <c r="G369" s="6">
        <f t="shared" si="107"/>
        <v>0</v>
      </c>
      <c r="H369" s="6">
        <f t="shared" si="108"/>
        <v>0</v>
      </c>
      <c r="I369" s="6">
        <f t="shared" si="109"/>
        <v>0</v>
      </c>
      <c r="J369" s="6">
        <f t="shared" si="110"/>
        <v>0</v>
      </c>
      <c r="K369" s="6">
        <f t="shared" si="111"/>
        <v>0</v>
      </c>
      <c r="L369" s="6">
        <f t="shared" si="112"/>
        <v>0</v>
      </c>
      <c r="M369" s="6">
        <f t="shared" si="113"/>
        <v>0</v>
      </c>
      <c r="N369" s="6">
        <f t="shared" si="114"/>
        <v>0</v>
      </c>
      <c r="O369" s="6">
        <f t="shared" si="115"/>
        <v>0</v>
      </c>
      <c r="P369" s="6">
        <f t="shared" si="116"/>
        <v>0</v>
      </c>
      <c r="Q369" s="6">
        <f t="shared" si="117"/>
        <v>0</v>
      </c>
      <c r="R369" s="6">
        <f t="shared" si="118"/>
        <v>0</v>
      </c>
      <c r="S369" s="6">
        <f t="shared" si="119"/>
        <v>0</v>
      </c>
      <c r="T369" s="6">
        <f t="shared" si="120"/>
        <v>0</v>
      </c>
      <c r="U369" s="6">
        <f t="shared" si="121"/>
        <v>0</v>
      </c>
      <c r="V369" s="6">
        <f t="shared" si="122"/>
        <v>0</v>
      </c>
      <c r="W369" s="6">
        <f t="shared" si="123"/>
        <v>0</v>
      </c>
      <c r="X369" s="6">
        <f t="shared" si="124"/>
        <v>0</v>
      </c>
      <c r="Y369" s="6">
        <f t="shared" si="125"/>
        <v>0</v>
      </c>
      <c r="Z369" s="6">
        <f t="shared" si="126"/>
        <v>0</v>
      </c>
      <c r="AB369" s="36" t="str">
        <f>IF(最佳化斷筋點!C369="","",最佳化斷筋點!C369)</f>
        <v>下層</v>
      </c>
      <c r="AC369" s="37">
        <f>IF(最佳化斷筋點!D369="","",最佳化斷筋點!D369)</f>
        <v>6</v>
      </c>
      <c r="AD369" s="37">
        <f>IF(最佳化斷筋點!E369="","",最佳化斷筋點!E369)</f>
        <v>6</v>
      </c>
      <c r="AE369" s="37">
        <f>IF(最佳化斷筋點!F369="","",最佳化斷筋點!F369)</f>
        <v>6</v>
      </c>
      <c r="AF369" s="37">
        <f>IF(最佳化斷筋點!G369="","",最佳化斷筋點!G369)</f>
        <v>6</v>
      </c>
      <c r="AG369" s="37">
        <f>IF(最佳化斷筋點!H369="","",最佳化斷筋點!H369)</f>
        <v>6</v>
      </c>
      <c r="AH369" s="37">
        <f>IF(最佳化斷筋點!I369="","",最佳化斷筋點!I369)</f>
        <v>5</v>
      </c>
      <c r="AI369" s="37">
        <f>IF(最佳化斷筋點!J369="","",最佳化斷筋點!J369)</f>
        <v>5</v>
      </c>
      <c r="AJ369" s="37">
        <f>IF(最佳化斷筋點!K369="","",最佳化斷筋點!K369)</f>
        <v>3</v>
      </c>
      <c r="AK369" s="37">
        <f>IF(最佳化斷筋點!L369="","",最佳化斷筋點!L369)</f>
        <v>3</v>
      </c>
      <c r="AL369" s="37">
        <f>IF(最佳化斷筋點!M369="","",最佳化斷筋點!M369)</f>
        <v>3</v>
      </c>
      <c r="AM369" s="37">
        <f>IF(最佳化斷筋點!N369="","",最佳化斷筋點!N369)</f>
        <v>3</v>
      </c>
      <c r="AN369" s="37">
        <f>IF(最佳化斷筋點!O369="","",最佳化斷筋點!O369)</f>
        <v>3</v>
      </c>
      <c r="AO369" s="37">
        <f>IF(最佳化斷筋點!P369="","",最佳化斷筋點!P369)</f>
        <v>3</v>
      </c>
      <c r="AP369" s="37">
        <f>IF(最佳化斷筋點!Q369="","",最佳化斷筋點!Q369)</f>
        <v>4</v>
      </c>
      <c r="AQ369" s="37">
        <f>IF(最佳化斷筋點!R369="","",最佳化斷筋點!R369)</f>
        <v>4</v>
      </c>
      <c r="AR369" s="37">
        <f>IF(最佳化斷筋點!S369="","",最佳化斷筋點!S369)</f>
        <v>5</v>
      </c>
      <c r="AS369" s="37">
        <f>IF(最佳化斷筋點!T369="","",最佳化斷筋點!T369)</f>
        <v>5</v>
      </c>
      <c r="AT369" s="37">
        <f>IF(最佳化斷筋點!U369="","",最佳化斷筋點!U369)</f>
        <v>6</v>
      </c>
      <c r="AU369" s="37">
        <f>IF(最佳化斷筋點!V369="","",最佳化斷筋點!V369)</f>
        <v>6</v>
      </c>
      <c r="AV369" s="37">
        <f>IF(最佳化斷筋點!W369="","",最佳化斷筋點!W369)</f>
        <v>6</v>
      </c>
      <c r="AW369" s="37">
        <f>IF(最佳化斷筋點!X369="","",最佳化斷筋點!X369)</f>
        <v>6</v>
      </c>
      <c r="AY369" s="6" t="s">
        <v>21</v>
      </c>
      <c r="AZ369" s="37">
        <v>6</v>
      </c>
      <c r="BA369" s="37">
        <v>6</v>
      </c>
      <c r="BB369" s="37">
        <v>6</v>
      </c>
      <c r="BC369" s="37">
        <v>6</v>
      </c>
      <c r="BD369" s="37">
        <v>6</v>
      </c>
      <c r="BE369" s="37">
        <v>5</v>
      </c>
      <c r="BF369" s="37">
        <v>5</v>
      </c>
      <c r="BG369" s="37">
        <v>3</v>
      </c>
      <c r="BH369" s="37">
        <v>3</v>
      </c>
      <c r="BI369" s="37">
        <v>3</v>
      </c>
      <c r="BJ369" s="37">
        <v>3</v>
      </c>
      <c r="BK369" s="37">
        <v>3</v>
      </c>
      <c r="BL369" s="37">
        <v>3</v>
      </c>
      <c r="BM369" s="37">
        <v>4</v>
      </c>
      <c r="BN369" s="37">
        <v>4</v>
      </c>
      <c r="BO369" s="37">
        <v>5</v>
      </c>
      <c r="BP369" s="37">
        <v>5</v>
      </c>
      <c r="BQ369" s="37">
        <v>6</v>
      </c>
      <c r="BR369" s="37">
        <v>6</v>
      </c>
      <c r="BS369" s="37">
        <v>6</v>
      </c>
      <c r="BT369" s="37">
        <v>6</v>
      </c>
    </row>
    <row r="370" spans="5:72" x14ac:dyDescent="0.25">
      <c r="F370" s="6">
        <f t="shared" si="106"/>
        <v>0</v>
      </c>
      <c r="G370" s="6">
        <f t="shared" si="107"/>
        <v>0</v>
      </c>
      <c r="H370" s="6">
        <f t="shared" si="108"/>
        <v>0</v>
      </c>
      <c r="I370" s="6">
        <f t="shared" si="109"/>
        <v>0</v>
      </c>
      <c r="J370" s="6">
        <f t="shared" si="110"/>
        <v>0</v>
      </c>
      <c r="K370" s="6">
        <f t="shared" si="111"/>
        <v>0</v>
      </c>
      <c r="L370" s="6">
        <f t="shared" si="112"/>
        <v>0</v>
      </c>
      <c r="M370" s="6">
        <f t="shared" si="113"/>
        <v>0</v>
      </c>
      <c r="N370" s="6">
        <f t="shared" si="114"/>
        <v>0</v>
      </c>
      <c r="O370" s="6">
        <f t="shared" si="115"/>
        <v>0</v>
      </c>
      <c r="P370" s="6">
        <f t="shared" si="116"/>
        <v>0</v>
      </c>
      <c r="Q370" s="6">
        <f t="shared" si="117"/>
        <v>0</v>
      </c>
      <c r="R370" s="6">
        <f t="shared" si="118"/>
        <v>0</v>
      </c>
      <c r="S370" s="6">
        <f t="shared" si="119"/>
        <v>0</v>
      </c>
      <c r="T370" s="6">
        <f t="shared" si="120"/>
        <v>0</v>
      </c>
      <c r="U370" s="6">
        <f t="shared" si="121"/>
        <v>0</v>
      </c>
      <c r="V370" s="6">
        <f t="shared" si="122"/>
        <v>0</v>
      </c>
      <c r="W370" s="6">
        <f t="shared" si="123"/>
        <v>0</v>
      </c>
      <c r="X370" s="6">
        <f t="shared" si="124"/>
        <v>0</v>
      </c>
      <c r="Y370" s="6">
        <f t="shared" si="125"/>
        <v>0</v>
      </c>
      <c r="Z370" s="6">
        <f t="shared" si="126"/>
        <v>0</v>
      </c>
      <c r="AB370" s="36" t="str">
        <f>IF(最佳化斷筋點!C370="","",最佳化斷筋點!C370)</f>
        <v/>
      </c>
      <c r="AC370" s="37" t="str">
        <f>IF(最佳化斷筋點!D370="","",最佳化斷筋點!D370)</f>
        <v/>
      </c>
      <c r="AD370" s="37" t="str">
        <f>IF(最佳化斷筋點!E370="","",最佳化斷筋點!E370)</f>
        <v/>
      </c>
      <c r="AE370" s="37" t="str">
        <f>IF(最佳化斷筋點!F370="","",最佳化斷筋點!F370)</f>
        <v/>
      </c>
      <c r="AF370" s="37" t="str">
        <f>IF(最佳化斷筋點!G370="","",最佳化斷筋點!G370)</f>
        <v/>
      </c>
      <c r="AG370" s="37" t="str">
        <f>IF(最佳化斷筋點!H370="","",最佳化斷筋點!H370)</f>
        <v/>
      </c>
      <c r="AH370" s="37" t="str">
        <f>IF(最佳化斷筋點!I370="","",最佳化斷筋點!I370)</f>
        <v/>
      </c>
      <c r="AI370" s="37" t="str">
        <f>IF(最佳化斷筋點!J370="","",最佳化斷筋點!J370)</f>
        <v/>
      </c>
      <c r="AJ370" s="37" t="str">
        <f>IF(最佳化斷筋點!K370="","",最佳化斷筋點!K370)</f>
        <v/>
      </c>
      <c r="AK370" s="37" t="str">
        <f>IF(最佳化斷筋點!L370="","",最佳化斷筋點!L370)</f>
        <v/>
      </c>
      <c r="AL370" s="37" t="str">
        <f>IF(最佳化斷筋點!M370="","",最佳化斷筋點!M370)</f>
        <v/>
      </c>
      <c r="AM370" s="37" t="str">
        <f>IF(最佳化斷筋點!N370="","",最佳化斷筋點!N370)</f>
        <v/>
      </c>
      <c r="AN370" s="37" t="str">
        <f>IF(最佳化斷筋點!O370="","",最佳化斷筋點!O370)</f>
        <v/>
      </c>
      <c r="AO370" s="37" t="str">
        <f>IF(最佳化斷筋點!P370="","",最佳化斷筋點!P370)</f>
        <v/>
      </c>
      <c r="AP370" s="37" t="str">
        <f>IF(最佳化斷筋點!Q370="","",最佳化斷筋點!Q370)</f>
        <v/>
      </c>
      <c r="AQ370" s="37" t="str">
        <f>IF(最佳化斷筋點!R370="","",最佳化斷筋點!R370)</f>
        <v/>
      </c>
      <c r="AR370" s="37" t="str">
        <f>IF(最佳化斷筋點!S370="","",最佳化斷筋點!S370)</f>
        <v/>
      </c>
      <c r="AS370" s="37" t="str">
        <f>IF(最佳化斷筋點!T370="","",最佳化斷筋點!T370)</f>
        <v/>
      </c>
      <c r="AT370" s="37" t="str">
        <f>IF(最佳化斷筋點!U370="","",最佳化斷筋點!U370)</f>
        <v/>
      </c>
      <c r="AU370" s="37" t="str">
        <f>IF(最佳化斷筋點!V370="","",最佳化斷筋點!V370)</f>
        <v/>
      </c>
      <c r="AV370" s="37" t="str">
        <f>IF(最佳化斷筋點!W370="","",最佳化斷筋點!W370)</f>
        <v/>
      </c>
      <c r="AW370" s="37" t="str">
        <f>IF(最佳化斷筋點!X370="","",最佳化斷筋點!X370)</f>
        <v/>
      </c>
      <c r="AZ370" s="37" t="s">
        <v>197</v>
      </c>
      <c r="BA370" s="37" t="s">
        <v>197</v>
      </c>
      <c r="BB370" s="37" t="s">
        <v>197</v>
      </c>
      <c r="BC370" s="37" t="s">
        <v>197</v>
      </c>
      <c r="BD370" s="37" t="s">
        <v>197</v>
      </c>
      <c r="BE370" s="37" t="s">
        <v>197</v>
      </c>
      <c r="BF370" s="37" t="s">
        <v>197</v>
      </c>
      <c r="BG370" s="37" t="s">
        <v>197</v>
      </c>
      <c r="BH370" s="37" t="s">
        <v>197</v>
      </c>
      <c r="BI370" s="37" t="s">
        <v>197</v>
      </c>
      <c r="BJ370" s="37" t="s">
        <v>197</v>
      </c>
      <c r="BK370" s="37" t="s">
        <v>197</v>
      </c>
      <c r="BL370" s="37" t="s">
        <v>197</v>
      </c>
      <c r="BM370" s="37" t="s">
        <v>197</v>
      </c>
      <c r="BN370" s="37" t="s">
        <v>197</v>
      </c>
      <c r="BO370" s="37" t="s">
        <v>197</v>
      </c>
      <c r="BP370" s="37" t="s">
        <v>197</v>
      </c>
      <c r="BQ370" s="37" t="s">
        <v>197</v>
      </c>
      <c r="BR370" s="37" t="s">
        <v>197</v>
      </c>
      <c r="BS370" s="37" t="s">
        <v>197</v>
      </c>
      <c r="BT370" s="37" t="s">
        <v>197</v>
      </c>
    </row>
    <row r="371" spans="5:72" x14ac:dyDescent="0.25">
      <c r="E371" s="6" t="s">
        <v>20</v>
      </c>
      <c r="F371" s="6">
        <f t="shared" si="106"/>
        <v>0</v>
      </c>
      <c r="G371" s="6">
        <f t="shared" si="107"/>
        <v>0</v>
      </c>
      <c r="H371" s="6">
        <f t="shared" si="108"/>
        <v>0</v>
      </c>
      <c r="I371" s="6">
        <f t="shared" si="109"/>
        <v>0</v>
      </c>
      <c r="J371" s="6">
        <f t="shared" si="110"/>
        <v>0</v>
      </c>
      <c r="K371" s="6">
        <f t="shared" si="111"/>
        <v>0</v>
      </c>
      <c r="L371" s="6">
        <f t="shared" si="112"/>
        <v>0</v>
      </c>
      <c r="M371" s="6">
        <f t="shared" si="113"/>
        <v>0</v>
      </c>
      <c r="N371" s="6">
        <f t="shared" si="114"/>
        <v>0</v>
      </c>
      <c r="O371" s="6">
        <f t="shared" si="115"/>
        <v>0</v>
      </c>
      <c r="P371" s="6">
        <f t="shared" si="116"/>
        <v>0</v>
      </c>
      <c r="Q371" s="6">
        <f t="shared" si="117"/>
        <v>0</v>
      </c>
      <c r="R371" s="6">
        <f t="shared" si="118"/>
        <v>0</v>
      </c>
      <c r="S371" s="6">
        <f t="shared" si="119"/>
        <v>0</v>
      </c>
      <c r="T371" s="6">
        <f t="shared" si="120"/>
        <v>0</v>
      </c>
      <c r="U371" s="6">
        <f t="shared" si="121"/>
        <v>0</v>
      </c>
      <c r="V371" s="6">
        <f t="shared" si="122"/>
        <v>0</v>
      </c>
      <c r="W371" s="6">
        <f t="shared" si="123"/>
        <v>0</v>
      </c>
      <c r="X371" s="6">
        <f t="shared" si="124"/>
        <v>0</v>
      </c>
      <c r="Y371" s="6">
        <f t="shared" si="125"/>
        <v>0</v>
      </c>
      <c r="Z371" s="6">
        <f t="shared" si="126"/>
        <v>0</v>
      </c>
      <c r="AB371" s="36" t="str">
        <f>IF(最佳化斷筋點!C371="","",最佳化斷筋點!C371)</f>
        <v>上層</v>
      </c>
      <c r="AC371" s="37">
        <f>IF(最佳化斷筋點!D371="","",最佳化斷筋點!D371)</f>
        <v>10</v>
      </c>
      <c r="AD371" s="37">
        <f>IF(最佳化斷筋點!E371="","",最佳化斷筋點!E371)</f>
        <v>10</v>
      </c>
      <c r="AE371" s="37">
        <f>IF(最佳化斷筋點!F371="","",最佳化斷筋點!F371)</f>
        <v>10</v>
      </c>
      <c r="AF371" s="37">
        <f>IF(最佳化斷筋點!G371="","",最佳化斷筋點!G371)</f>
        <v>10</v>
      </c>
      <c r="AG371" s="37">
        <f>IF(最佳化斷筋點!H371="","",最佳化斷筋點!H371)</f>
        <v>10</v>
      </c>
      <c r="AH371" s="37">
        <f>IF(最佳化斷筋點!I371="","",最佳化斷筋點!I371)</f>
        <v>10</v>
      </c>
      <c r="AI371" s="37">
        <f>IF(最佳化斷筋點!J371="","",最佳化斷筋點!J371)</f>
        <v>10</v>
      </c>
      <c r="AJ371" s="37">
        <f>IF(最佳化斷筋點!K371="","",最佳化斷筋點!K371)</f>
        <v>4</v>
      </c>
      <c r="AK371" s="37">
        <f>IF(最佳化斷筋點!L371="","",最佳化斷筋點!L371)</f>
        <v>4</v>
      </c>
      <c r="AL371" s="37">
        <f>IF(最佳化斷筋點!M371="","",最佳化斷筋點!M371)</f>
        <v>4</v>
      </c>
      <c r="AM371" s="37">
        <f>IF(最佳化斷筋點!N371="","",最佳化斷筋點!N371)</f>
        <v>4</v>
      </c>
      <c r="AN371" s="37">
        <f>IF(最佳化斷筋點!O371="","",最佳化斷筋點!O371)</f>
        <v>4</v>
      </c>
      <c r="AO371" s="37">
        <f>IF(最佳化斷筋點!P371="","",最佳化斷筋點!P371)</f>
        <v>4</v>
      </c>
      <c r="AP371" s="37">
        <f>IF(最佳化斷筋點!Q371="","",最佳化斷筋點!Q371)</f>
        <v>6</v>
      </c>
      <c r="AQ371" s="37">
        <f>IF(最佳化斷筋點!R371="","",最佳化斷筋點!R371)</f>
        <v>7</v>
      </c>
      <c r="AR371" s="37">
        <f>IF(最佳化斷筋點!S371="","",最佳化斷筋點!S371)</f>
        <v>8</v>
      </c>
      <c r="AS371" s="37">
        <f>IF(最佳化斷筋點!T371="","",最佳化斷筋點!T371)</f>
        <v>8</v>
      </c>
      <c r="AT371" s="37">
        <f>IF(最佳化斷筋點!U371="","",最佳化斷筋點!U371)</f>
        <v>8</v>
      </c>
      <c r="AU371" s="37">
        <f>IF(最佳化斷筋點!V371="","",最佳化斷筋點!V371)</f>
        <v>8</v>
      </c>
      <c r="AV371" s="37">
        <f>IF(最佳化斷筋點!W371="","",最佳化斷筋點!W371)</f>
        <v>8</v>
      </c>
      <c r="AW371" s="37">
        <f>IF(最佳化斷筋點!X371="","",最佳化斷筋點!X371)</f>
        <v>8</v>
      </c>
      <c r="AY371" s="6" t="s">
        <v>20</v>
      </c>
      <c r="AZ371" s="37">
        <v>10</v>
      </c>
      <c r="BA371" s="37">
        <v>10</v>
      </c>
      <c r="BB371" s="37">
        <v>10</v>
      </c>
      <c r="BC371" s="37">
        <v>10</v>
      </c>
      <c r="BD371" s="37">
        <v>10</v>
      </c>
      <c r="BE371" s="37">
        <v>10</v>
      </c>
      <c r="BF371" s="37">
        <v>10</v>
      </c>
      <c r="BG371" s="37">
        <v>4</v>
      </c>
      <c r="BH371" s="37">
        <v>4</v>
      </c>
      <c r="BI371" s="37">
        <v>4</v>
      </c>
      <c r="BJ371" s="37">
        <v>4</v>
      </c>
      <c r="BK371" s="37">
        <v>4</v>
      </c>
      <c r="BL371" s="37">
        <v>4</v>
      </c>
      <c r="BM371" s="37">
        <v>6</v>
      </c>
      <c r="BN371" s="37">
        <v>7</v>
      </c>
      <c r="BO371" s="37">
        <v>8</v>
      </c>
      <c r="BP371" s="37">
        <v>8</v>
      </c>
      <c r="BQ371" s="37">
        <v>8</v>
      </c>
      <c r="BR371" s="37">
        <v>8</v>
      </c>
      <c r="BS371" s="37">
        <v>8</v>
      </c>
      <c r="BT371" s="37">
        <v>8</v>
      </c>
    </row>
    <row r="372" spans="5:72" x14ac:dyDescent="0.25">
      <c r="F372" s="6">
        <f t="shared" si="106"/>
        <v>0</v>
      </c>
      <c r="G372" s="6">
        <f t="shared" si="107"/>
        <v>0</v>
      </c>
      <c r="H372" s="6">
        <f t="shared" si="108"/>
        <v>0</v>
      </c>
      <c r="I372" s="6">
        <f t="shared" si="109"/>
        <v>0</v>
      </c>
      <c r="J372" s="6">
        <f t="shared" si="110"/>
        <v>0</v>
      </c>
      <c r="K372" s="6">
        <f t="shared" si="111"/>
        <v>0</v>
      </c>
      <c r="L372" s="6">
        <f t="shared" si="112"/>
        <v>0</v>
      </c>
      <c r="M372" s="6">
        <f t="shared" si="113"/>
        <v>0</v>
      </c>
      <c r="N372" s="6">
        <f t="shared" si="114"/>
        <v>0</v>
      </c>
      <c r="O372" s="6">
        <f t="shared" si="115"/>
        <v>0</v>
      </c>
      <c r="P372" s="6">
        <f t="shared" si="116"/>
        <v>0</v>
      </c>
      <c r="Q372" s="6">
        <f t="shared" si="117"/>
        <v>0</v>
      </c>
      <c r="R372" s="6">
        <f t="shared" si="118"/>
        <v>0</v>
      </c>
      <c r="S372" s="6">
        <f t="shared" si="119"/>
        <v>0</v>
      </c>
      <c r="T372" s="6">
        <f t="shared" si="120"/>
        <v>0</v>
      </c>
      <c r="U372" s="6">
        <f t="shared" si="121"/>
        <v>0</v>
      </c>
      <c r="V372" s="6">
        <f t="shared" si="122"/>
        <v>0</v>
      </c>
      <c r="W372" s="6">
        <f t="shared" si="123"/>
        <v>0</v>
      </c>
      <c r="X372" s="6">
        <f t="shared" si="124"/>
        <v>0</v>
      </c>
      <c r="Y372" s="6">
        <f t="shared" si="125"/>
        <v>0</v>
      </c>
      <c r="Z372" s="6">
        <f t="shared" si="126"/>
        <v>0</v>
      </c>
      <c r="AB372" s="36" t="str">
        <f>IF(最佳化斷筋點!C372="","",最佳化斷筋點!C372)</f>
        <v/>
      </c>
      <c r="AC372" s="37" t="str">
        <f>IF(最佳化斷筋點!D372="","",最佳化斷筋點!D372)</f>
        <v/>
      </c>
      <c r="AD372" s="37" t="str">
        <f>IF(最佳化斷筋點!E372="","",最佳化斷筋點!E372)</f>
        <v/>
      </c>
      <c r="AE372" s="37" t="str">
        <f>IF(最佳化斷筋點!F372="","",最佳化斷筋點!F372)</f>
        <v/>
      </c>
      <c r="AF372" s="37" t="str">
        <f>IF(最佳化斷筋點!G372="","",最佳化斷筋點!G372)</f>
        <v/>
      </c>
      <c r="AG372" s="37" t="str">
        <f>IF(最佳化斷筋點!H372="","",最佳化斷筋點!H372)</f>
        <v/>
      </c>
      <c r="AH372" s="37" t="str">
        <f>IF(最佳化斷筋點!I372="","",最佳化斷筋點!I372)</f>
        <v/>
      </c>
      <c r="AI372" s="37" t="str">
        <f>IF(最佳化斷筋點!J372="","",最佳化斷筋點!J372)</f>
        <v/>
      </c>
      <c r="AJ372" s="37" t="str">
        <f>IF(最佳化斷筋點!K372="","",最佳化斷筋點!K372)</f>
        <v/>
      </c>
      <c r="AK372" s="37" t="str">
        <f>IF(最佳化斷筋點!L372="","",最佳化斷筋點!L372)</f>
        <v/>
      </c>
      <c r="AL372" s="37" t="str">
        <f>IF(最佳化斷筋點!M372="","",最佳化斷筋點!M372)</f>
        <v/>
      </c>
      <c r="AM372" s="37" t="str">
        <f>IF(最佳化斷筋點!N372="","",最佳化斷筋點!N372)</f>
        <v/>
      </c>
      <c r="AN372" s="37" t="str">
        <f>IF(最佳化斷筋點!O372="","",最佳化斷筋點!O372)</f>
        <v/>
      </c>
      <c r="AO372" s="37" t="str">
        <f>IF(最佳化斷筋點!P372="","",最佳化斷筋點!P372)</f>
        <v/>
      </c>
      <c r="AP372" s="37" t="str">
        <f>IF(最佳化斷筋點!Q372="","",最佳化斷筋點!Q372)</f>
        <v/>
      </c>
      <c r="AQ372" s="37" t="str">
        <f>IF(最佳化斷筋點!R372="","",最佳化斷筋點!R372)</f>
        <v/>
      </c>
      <c r="AR372" s="37" t="str">
        <f>IF(最佳化斷筋點!S372="","",最佳化斷筋點!S372)</f>
        <v/>
      </c>
      <c r="AS372" s="37" t="str">
        <f>IF(最佳化斷筋點!T372="","",最佳化斷筋點!T372)</f>
        <v/>
      </c>
      <c r="AT372" s="37" t="str">
        <f>IF(最佳化斷筋點!U372="","",最佳化斷筋點!U372)</f>
        <v/>
      </c>
      <c r="AU372" s="37" t="str">
        <f>IF(最佳化斷筋點!V372="","",最佳化斷筋點!V372)</f>
        <v/>
      </c>
      <c r="AV372" s="37" t="str">
        <f>IF(最佳化斷筋點!W372="","",最佳化斷筋點!W372)</f>
        <v/>
      </c>
      <c r="AW372" s="37" t="str">
        <f>IF(最佳化斷筋點!X372="","",最佳化斷筋點!X372)</f>
        <v/>
      </c>
      <c r="AZ372" s="37" t="s">
        <v>197</v>
      </c>
      <c r="BA372" s="37" t="s">
        <v>197</v>
      </c>
      <c r="BB372" s="37" t="s">
        <v>197</v>
      </c>
      <c r="BC372" s="37" t="s">
        <v>197</v>
      </c>
      <c r="BD372" s="37" t="s">
        <v>197</v>
      </c>
      <c r="BE372" s="37" t="s">
        <v>197</v>
      </c>
      <c r="BF372" s="37" t="s">
        <v>197</v>
      </c>
      <c r="BG372" s="37" t="s">
        <v>197</v>
      </c>
      <c r="BH372" s="37" t="s">
        <v>197</v>
      </c>
      <c r="BI372" s="37" t="s">
        <v>197</v>
      </c>
      <c r="BJ372" s="37" t="s">
        <v>197</v>
      </c>
      <c r="BK372" s="37" t="s">
        <v>197</v>
      </c>
      <c r="BL372" s="37" t="s">
        <v>197</v>
      </c>
      <c r="BM372" s="37" t="s">
        <v>197</v>
      </c>
      <c r="BN372" s="37" t="s">
        <v>197</v>
      </c>
      <c r="BO372" s="37" t="s">
        <v>197</v>
      </c>
      <c r="BP372" s="37" t="s">
        <v>197</v>
      </c>
      <c r="BQ372" s="37" t="s">
        <v>197</v>
      </c>
      <c r="BR372" s="37" t="s">
        <v>197</v>
      </c>
      <c r="BS372" s="37" t="s">
        <v>197</v>
      </c>
      <c r="BT372" s="37" t="s">
        <v>197</v>
      </c>
    </row>
    <row r="373" spans="5:72" x14ac:dyDescent="0.25">
      <c r="E373" s="6" t="s">
        <v>21</v>
      </c>
      <c r="F373" s="6">
        <f t="shared" si="106"/>
        <v>0</v>
      </c>
      <c r="G373" s="6">
        <f t="shared" si="107"/>
        <v>0</v>
      </c>
      <c r="H373" s="6">
        <f t="shared" si="108"/>
        <v>0</v>
      </c>
      <c r="I373" s="6">
        <f t="shared" si="109"/>
        <v>0</v>
      </c>
      <c r="J373" s="6">
        <f t="shared" si="110"/>
        <v>0</v>
      </c>
      <c r="K373" s="6">
        <f t="shared" si="111"/>
        <v>0</v>
      </c>
      <c r="L373" s="6">
        <f t="shared" si="112"/>
        <v>0</v>
      </c>
      <c r="M373" s="6">
        <f t="shared" si="113"/>
        <v>0</v>
      </c>
      <c r="N373" s="6">
        <f t="shared" si="114"/>
        <v>0</v>
      </c>
      <c r="O373" s="6">
        <f t="shared" si="115"/>
        <v>0</v>
      </c>
      <c r="P373" s="6">
        <f t="shared" si="116"/>
        <v>0</v>
      </c>
      <c r="Q373" s="6">
        <f t="shared" si="117"/>
        <v>0</v>
      </c>
      <c r="R373" s="6">
        <f t="shared" si="118"/>
        <v>0</v>
      </c>
      <c r="S373" s="6">
        <f t="shared" si="119"/>
        <v>0</v>
      </c>
      <c r="T373" s="6">
        <f t="shared" si="120"/>
        <v>0</v>
      </c>
      <c r="U373" s="6">
        <f t="shared" si="121"/>
        <v>0</v>
      </c>
      <c r="V373" s="6">
        <f t="shared" si="122"/>
        <v>0</v>
      </c>
      <c r="W373" s="6">
        <f t="shared" si="123"/>
        <v>0</v>
      </c>
      <c r="X373" s="6">
        <f t="shared" si="124"/>
        <v>0</v>
      </c>
      <c r="Y373" s="6">
        <f t="shared" si="125"/>
        <v>0</v>
      </c>
      <c r="Z373" s="6">
        <f t="shared" si="126"/>
        <v>0</v>
      </c>
      <c r="AB373" s="36" t="str">
        <f>IF(最佳化斷筋點!C373="","",最佳化斷筋點!C373)</f>
        <v>下層</v>
      </c>
      <c r="AC373" s="37">
        <f>IF(最佳化斷筋點!D373="","",最佳化斷筋點!D373)</f>
        <v>7</v>
      </c>
      <c r="AD373" s="37">
        <f>IF(最佳化斷筋點!E373="","",最佳化斷筋點!E373)</f>
        <v>7</v>
      </c>
      <c r="AE373" s="37">
        <f>IF(最佳化斷筋點!F373="","",最佳化斷筋點!F373)</f>
        <v>7</v>
      </c>
      <c r="AF373" s="37">
        <f>IF(最佳化斷筋點!G373="","",最佳化斷筋點!G373)</f>
        <v>7</v>
      </c>
      <c r="AG373" s="37">
        <f>IF(最佳化斷筋點!H373="","",最佳化斷筋點!H373)</f>
        <v>7</v>
      </c>
      <c r="AH373" s="37">
        <f>IF(最佳化斷筋點!I373="","",最佳化斷筋點!I373)</f>
        <v>6</v>
      </c>
      <c r="AI373" s="37">
        <f>IF(最佳化斷筋點!J373="","",最佳化斷筋點!J373)</f>
        <v>6</v>
      </c>
      <c r="AJ373" s="37">
        <f>IF(最佳化斷筋點!K373="","",最佳化斷筋點!K373)</f>
        <v>3</v>
      </c>
      <c r="AK373" s="37">
        <f>IF(最佳化斷筋點!L373="","",最佳化斷筋點!L373)</f>
        <v>3</v>
      </c>
      <c r="AL373" s="37">
        <f>IF(最佳化斷筋點!M373="","",最佳化斷筋點!M373)</f>
        <v>3</v>
      </c>
      <c r="AM373" s="37">
        <f>IF(最佳化斷筋點!N373="","",最佳化斷筋點!N373)</f>
        <v>3</v>
      </c>
      <c r="AN373" s="37">
        <f>IF(最佳化斷筋點!O373="","",最佳化斷筋點!O373)</f>
        <v>3</v>
      </c>
      <c r="AO373" s="37">
        <f>IF(最佳化斷筋點!P373="","",最佳化斷筋點!P373)</f>
        <v>3</v>
      </c>
      <c r="AP373" s="37">
        <f>IF(最佳化斷筋點!Q373="","",最佳化斷筋點!Q373)</f>
        <v>5</v>
      </c>
      <c r="AQ373" s="37">
        <f>IF(最佳化斷筋點!R373="","",最佳化斷筋點!R373)</f>
        <v>6</v>
      </c>
      <c r="AR373" s="37">
        <f>IF(最佳化斷筋點!S373="","",最佳化斷筋點!S373)</f>
        <v>7</v>
      </c>
      <c r="AS373" s="37">
        <f>IF(最佳化斷筋點!T373="","",最佳化斷筋點!T373)</f>
        <v>8</v>
      </c>
      <c r="AT373" s="37">
        <f>IF(最佳化斷筋點!U373="","",最佳化斷筋點!U373)</f>
        <v>9</v>
      </c>
      <c r="AU373" s="37">
        <f>IF(最佳化斷筋點!V373="","",最佳化斷筋點!V373)</f>
        <v>9</v>
      </c>
      <c r="AV373" s="37">
        <f>IF(最佳化斷筋點!W373="","",最佳化斷筋點!W373)</f>
        <v>9</v>
      </c>
      <c r="AW373" s="37">
        <f>IF(最佳化斷筋點!X373="","",最佳化斷筋點!X373)</f>
        <v>9</v>
      </c>
      <c r="AY373" s="6" t="s">
        <v>21</v>
      </c>
      <c r="AZ373" s="37">
        <v>7</v>
      </c>
      <c r="BA373" s="37">
        <v>7</v>
      </c>
      <c r="BB373" s="37">
        <v>7</v>
      </c>
      <c r="BC373" s="37">
        <v>7</v>
      </c>
      <c r="BD373" s="37">
        <v>7</v>
      </c>
      <c r="BE373" s="37">
        <v>6</v>
      </c>
      <c r="BF373" s="37">
        <v>6</v>
      </c>
      <c r="BG373" s="37">
        <v>3</v>
      </c>
      <c r="BH373" s="37">
        <v>3</v>
      </c>
      <c r="BI373" s="37">
        <v>3</v>
      </c>
      <c r="BJ373" s="37">
        <v>3</v>
      </c>
      <c r="BK373" s="37">
        <v>3</v>
      </c>
      <c r="BL373" s="37">
        <v>3</v>
      </c>
      <c r="BM373" s="37">
        <v>5</v>
      </c>
      <c r="BN373" s="37">
        <v>6</v>
      </c>
      <c r="BO373" s="37">
        <v>7</v>
      </c>
      <c r="BP373" s="37">
        <v>8</v>
      </c>
      <c r="BQ373" s="37">
        <v>9</v>
      </c>
      <c r="BR373" s="37">
        <v>9</v>
      </c>
      <c r="BS373" s="37">
        <v>9</v>
      </c>
      <c r="BT373" s="37">
        <v>9</v>
      </c>
    </row>
    <row r="374" spans="5:72" x14ac:dyDescent="0.25">
      <c r="F374" s="6">
        <f t="shared" si="106"/>
        <v>0</v>
      </c>
      <c r="G374" s="6">
        <f t="shared" si="107"/>
        <v>0</v>
      </c>
      <c r="H374" s="6">
        <f t="shared" si="108"/>
        <v>0</v>
      </c>
      <c r="I374" s="6">
        <f t="shared" si="109"/>
        <v>0</v>
      </c>
      <c r="J374" s="6">
        <f t="shared" si="110"/>
        <v>0</v>
      </c>
      <c r="K374" s="6">
        <f t="shared" si="111"/>
        <v>0</v>
      </c>
      <c r="L374" s="6">
        <f t="shared" si="112"/>
        <v>0</v>
      </c>
      <c r="M374" s="6">
        <f t="shared" si="113"/>
        <v>0</v>
      </c>
      <c r="N374" s="6">
        <f t="shared" si="114"/>
        <v>0</v>
      </c>
      <c r="O374" s="6">
        <f t="shared" si="115"/>
        <v>0</v>
      </c>
      <c r="P374" s="6">
        <f t="shared" si="116"/>
        <v>0</v>
      </c>
      <c r="Q374" s="6">
        <f t="shared" si="117"/>
        <v>0</v>
      </c>
      <c r="R374" s="6">
        <f t="shared" si="118"/>
        <v>0</v>
      </c>
      <c r="S374" s="6">
        <f t="shared" si="119"/>
        <v>0</v>
      </c>
      <c r="T374" s="6">
        <f t="shared" si="120"/>
        <v>0</v>
      </c>
      <c r="U374" s="6">
        <f t="shared" si="121"/>
        <v>0</v>
      </c>
      <c r="V374" s="6">
        <f t="shared" si="122"/>
        <v>0</v>
      </c>
      <c r="W374" s="6">
        <f t="shared" si="123"/>
        <v>0</v>
      </c>
      <c r="X374" s="6">
        <f t="shared" si="124"/>
        <v>0</v>
      </c>
      <c r="Y374" s="6">
        <f t="shared" si="125"/>
        <v>0</v>
      </c>
      <c r="Z374" s="6">
        <f t="shared" si="126"/>
        <v>0</v>
      </c>
      <c r="AB374" s="36" t="str">
        <f>IF(最佳化斷筋點!C374="","",最佳化斷筋點!C374)</f>
        <v/>
      </c>
      <c r="AC374" s="37" t="str">
        <f>IF(最佳化斷筋點!D374="","",最佳化斷筋點!D374)</f>
        <v/>
      </c>
      <c r="AD374" s="37" t="str">
        <f>IF(最佳化斷筋點!E374="","",最佳化斷筋點!E374)</f>
        <v/>
      </c>
      <c r="AE374" s="37" t="str">
        <f>IF(最佳化斷筋點!F374="","",最佳化斷筋點!F374)</f>
        <v/>
      </c>
      <c r="AF374" s="37" t="str">
        <f>IF(最佳化斷筋點!G374="","",最佳化斷筋點!G374)</f>
        <v/>
      </c>
      <c r="AG374" s="37" t="str">
        <f>IF(最佳化斷筋點!H374="","",最佳化斷筋點!H374)</f>
        <v/>
      </c>
      <c r="AH374" s="37" t="str">
        <f>IF(最佳化斷筋點!I374="","",最佳化斷筋點!I374)</f>
        <v/>
      </c>
      <c r="AI374" s="37" t="str">
        <f>IF(最佳化斷筋點!J374="","",最佳化斷筋點!J374)</f>
        <v/>
      </c>
      <c r="AJ374" s="37" t="str">
        <f>IF(最佳化斷筋點!K374="","",最佳化斷筋點!K374)</f>
        <v/>
      </c>
      <c r="AK374" s="37" t="str">
        <f>IF(最佳化斷筋點!L374="","",最佳化斷筋點!L374)</f>
        <v/>
      </c>
      <c r="AL374" s="37" t="str">
        <f>IF(最佳化斷筋點!M374="","",最佳化斷筋點!M374)</f>
        <v/>
      </c>
      <c r="AM374" s="37" t="str">
        <f>IF(最佳化斷筋點!N374="","",最佳化斷筋點!N374)</f>
        <v/>
      </c>
      <c r="AN374" s="37" t="str">
        <f>IF(最佳化斷筋點!O374="","",最佳化斷筋點!O374)</f>
        <v/>
      </c>
      <c r="AO374" s="37" t="str">
        <f>IF(最佳化斷筋點!P374="","",最佳化斷筋點!P374)</f>
        <v/>
      </c>
      <c r="AP374" s="37" t="str">
        <f>IF(最佳化斷筋點!Q374="","",最佳化斷筋點!Q374)</f>
        <v/>
      </c>
      <c r="AQ374" s="37" t="str">
        <f>IF(最佳化斷筋點!R374="","",最佳化斷筋點!R374)</f>
        <v/>
      </c>
      <c r="AR374" s="37" t="str">
        <f>IF(最佳化斷筋點!S374="","",最佳化斷筋點!S374)</f>
        <v/>
      </c>
      <c r="AS374" s="37" t="str">
        <f>IF(最佳化斷筋點!T374="","",最佳化斷筋點!T374)</f>
        <v/>
      </c>
      <c r="AT374" s="37" t="str">
        <f>IF(最佳化斷筋點!U374="","",最佳化斷筋點!U374)</f>
        <v/>
      </c>
      <c r="AU374" s="37" t="str">
        <f>IF(最佳化斷筋點!V374="","",最佳化斷筋點!V374)</f>
        <v/>
      </c>
      <c r="AV374" s="37" t="str">
        <f>IF(最佳化斷筋點!W374="","",最佳化斷筋點!W374)</f>
        <v/>
      </c>
      <c r="AW374" s="37" t="str">
        <f>IF(最佳化斷筋點!X374="","",最佳化斷筋點!X374)</f>
        <v/>
      </c>
      <c r="AZ374" s="37" t="s">
        <v>197</v>
      </c>
      <c r="BA374" s="37" t="s">
        <v>197</v>
      </c>
      <c r="BB374" s="37" t="s">
        <v>197</v>
      </c>
      <c r="BC374" s="37" t="s">
        <v>197</v>
      </c>
      <c r="BD374" s="37" t="s">
        <v>197</v>
      </c>
      <c r="BE374" s="37" t="s">
        <v>197</v>
      </c>
      <c r="BF374" s="37" t="s">
        <v>197</v>
      </c>
      <c r="BG374" s="37" t="s">
        <v>197</v>
      </c>
      <c r="BH374" s="37" t="s">
        <v>197</v>
      </c>
      <c r="BI374" s="37" t="s">
        <v>197</v>
      </c>
      <c r="BJ374" s="37" t="s">
        <v>197</v>
      </c>
      <c r="BK374" s="37" t="s">
        <v>197</v>
      </c>
      <c r="BL374" s="37" t="s">
        <v>197</v>
      </c>
      <c r="BM374" s="37" t="s">
        <v>197</v>
      </c>
      <c r="BN374" s="37" t="s">
        <v>197</v>
      </c>
      <c r="BO374" s="37" t="s">
        <v>197</v>
      </c>
      <c r="BP374" s="37" t="s">
        <v>197</v>
      </c>
      <c r="BQ374" s="37" t="s">
        <v>197</v>
      </c>
      <c r="BR374" s="37" t="s">
        <v>197</v>
      </c>
      <c r="BS374" s="37" t="s">
        <v>197</v>
      </c>
      <c r="BT374" s="37" t="s">
        <v>197</v>
      </c>
    </row>
    <row r="375" spans="5:72" x14ac:dyDescent="0.25">
      <c r="E375" s="6" t="s">
        <v>20</v>
      </c>
      <c r="F375" s="6">
        <f t="shared" si="106"/>
        <v>0</v>
      </c>
      <c r="G375" s="6">
        <f t="shared" si="107"/>
        <v>0</v>
      </c>
      <c r="H375" s="6">
        <f t="shared" si="108"/>
        <v>0</v>
      </c>
      <c r="I375" s="6">
        <f t="shared" si="109"/>
        <v>0</v>
      </c>
      <c r="J375" s="6">
        <f t="shared" si="110"/>
        <v>0</v>
      </c>
      <c r="K375" s="6">
        <f t="shared" si="111"/>
        <v>0</v>
      </c>
      <c r="L375" s="6">
        <f t="shared" si="112"/>
        <v>0</v>
      </c>
      <c r="M375" s="6">
        <f t="shared" si="113"/>
        <v>0</v>
      </c>
      <c r="N375" s="6">
        <f t="shared" si="114"/>
        <v>0</v>
      </c>
      <c r="O375" s="6">
        <f t="shared" si="115"/>
        <v>0</v>
      </c>
      <c r="P375" s="6">
        <f t="shared" si="116"/>
        <v>0</v>
      </c>
      <c r="Q375" s="6">
        <f t="shared" si="117"/>
        <v>0</v>
      </c>
      <c r="R375" s="6">
        <f t="shared" si="118"/>
        <v>0</v>
      </c>
      <c r="S375" s="6">
        <f t="shared" si="119"/>
        <v>0</v>
      </c>
      <c r="T375" s="6">
        <f t="shared" si="120"/>
        <v>0</v>
      </c>
      <c r="U375" s="6">
        <f t="shared" si="121"/>
        <v>0</v>
      </c>
      <c r="V375" s="6">
        <f t="shared" si="122"/>
        <v>0</v>
      </c>
      <c r="W375" s="6">
        <f t="shared" si="123"/>
        <v>0</v>
      </c>
      <c r="X375" s="6">
        <f t="shared" si="124"/>
        <v>0</v>
      </c>
      <c r="Y375" s="6">
        <f t="shared" si="125"/>
        <v>0</v>
      </c>
      <c r="Z375" s="6">
        <f t="shared" si="126"/>
        <v>0</v>
      </c>
      <c r="AB375" s="36" t="str">
        <f>IF(最佳化斷筋點!C375="","",最佳化斷筋點!C375)</f>
        <v>上層</v>
      </c>
      <c r="AC375" s="37">
        <f>IF(最佳化斷筋點!D375="","",最佳化斷筋點!D375)</f>
        <v>10</v>
      </c>
      <c r="AD375" s="37">
        <f>IF(最佳化斷筋點!E375="","",最佳化斷筋點!E375)</f>
        <v>10</v>
      </c>
      <c r="AE375" s="37">
        <f>IF(最佳化斷筋點!F375="","",最佳化斷筋點!F375)</f>
        <v>10</v>
      </c>
      <c r="AF375" s="37">
        <f>IF(最佳化斷筋點!G375="","",最佳化斷筋點!G375)</f>
        <v>10</v>
      </c>
      <c r="AG375" s="37">
        <f>IF(最佳化斷筋點!H375="","",最佳化斷筋點!H375)</f>
        <v>10</v>
      </c>
      <c r="AH375" s="37">
        <f>IF(最佳化斷筋點!I375="","",最佳化斷筋點!I375)</f>
        <v>10</v>
      </c>
      <c r="AI375" s="37">
        <f>IF(最佳化斷筋點!J375="","",最佳化斷筋點!J375)</f>
        <v>10</v>
      </c>
      <c r="AJ375" s="37">
        <f>IF(最佳化斷筋點!K375="","",最佳化斷筋點!K375)</f>
        <v>4</v>
      </c>
      <c r="AK375" s="37">
        <f>IF(最佳化斷筋點!L375="","",最佳化斷筋點!L375)</f>
        <v>4</v>
      </c>
      <c r="AL375" s="37">
        <f>IF(最佳化斷筋點!M375="","",最佳化斷筋點!M375)</f>
        <v>4</v>
      </c>
      <c r="AM375" s="37">
        <f>IF(最佳化斷筋點!N375="","",最佳化斷筋點!N375)</f>
        <v>4</v>
      </c>
      <c r="AN375" s="37">
        <f>IF(最佳化斷筋點!O375="","",最佳化斷筋點!O375)</f>
        <v>4</v>
      </c>
      <c r="AO375" s="37">
        <f>IF(最佳化斷筋點!P375="","",最佳化斷筋點!P375)</f>
        <v>4</v>
      </c>
      <c r="AP375" s="37">
        <f>IF(最佳化斷筋點!Q375="","",最佳化斷筋點!Q375)</f>
        <v>9</v>
      </c>
      <c r="AQ375" s="37">
        <f>IF(最佳化斷筋點!R375="","",最佳化斷筋點!R375)</f>
        <v>10</v>
      </c>
      <c r="AR375" s="37">
        <f>IF(最佳化斷筋點!S375="","",最佳化斷筋點!S375)</f>
        <v>10</v>
      </c>
      <c r="AS375" s="37">
        <f>IF(最佳化斷筋點!T375="","",最佳化斷筋點!T375)</f>
        <v>10</v>
      </c>
      <c r="AT375" s="37">
        <f>IF(最佳化斷筋點!U375="","",最佳化斷筋點!U375)</f>
        <v>10</v>
      </c>
      <c r="AU375" s="37">
        <f>IF(最佳化斷筋點!V375="","",最佳化斷筋點!V375)</f>
        <v>10</v>
      </c>
      <c r="AV375" s="37">
        <f>IF(最佳化斷筋點!W375="","",最佳化斷筋點!W375)</f>
        <v>10</v>
      </c>
      <c r="AW375" s="37">
        <f>IF(最佳化斷筋點!X375="","",最佳化斷筋點!X375)</f>
        <v>10</v>
      </c>
      <c r="AY375" s="6" t="s">
        <v>20</v>
      </c>
      <c r="AZ375" s="37">
        <v>10</v>
      </c>
      <c r="BA375" s="37">
        <v>10</v>
      </c>
      <c r="BB375" s="37">
        <v>10</v>
      </c>
      <c r="BC375" s="37">
        <v>10</v>
      </c>
      <c r="BD375" s="37">
        <v>10</v>
      </c>
      <c r="BE375" s="37">
        <v>10</v>
      </c>
      <c r="BF375" s="37">
        <v>10</v>
      </c>
      <c r="BG375" s="37">
        <v>4</v>
      </c>
      <c r="BH375" s="37">
        <v>4</v>
      </c>
      <c r="BI375" s="37">
        <v>4</v>
      </c>
      <c r="BJ375" s="37">
        <v>4</v>
      </c>
      <c r="BK375" s="37">
        <v>4</v>
      </c>
      <c r="BL375" s="37">
        <v>4</v>
      </c>
      <c r="BM375" s="37">
        <v>9</v>
      </c>
      <c r="BN375" s="37">
        <v>10</v>
      </c>
      <c r="BO375" s="37">
        <v>10</v>
      </c>
      <c r="BP375" s="37">
        <v>10</v>
      </c>
      <c r="BQ375" s="37">
        <v>10</v>
      </c>
      <c r="BR375" s="37">
        <v>10</v>
      </c>
      <c r="BS375" s="37">
        <v>10</v>
      </c>
      <c r="BT375" s="37">
        <v>10</v>
      </c>
    </row>
    <row r="376" spans="5:72" x14ac:dyDescent="0.25">
      <c r="F376" s="6">
        <f t="shared" si="106"/>
        <v>0</v>
      </c>
      <c r="G376" s="6">
        <f t="shared" si="107"/>
        <v>0</v>
      </c>
      <c r="H376" s="6">
        <f t="shared" si="108"/>
        <v>0</v>
      </c>
      <c r="I376" s="6">
        <f t="shared" si="109"/>
        <v>0</v>
      </c>
      <c r="J376" s="6">
        <f t="shared" si="110"/>
        <v>0</v>
      </c>
      <c r="K376" s="6">
        <f t="shared" si="111"/>
        <v>0</v>
      </c>
      <c r="L376" s="6">
        <f t="shared" si="112"/>
        <v>0</v>
      </c>
      <c r="M376" s="6">
        <f t="shared" si="113"/>
        <v>0</v>
      </c>
      <c r="N376" s="6">
        <f t="shared" si="114"/>
        <v>0</v>
      </c>
      <c r="O376" s="6">
        <f t="shared" si="115"/>
        <v>0</v>
      </c>
      <c r="P376" s="6">
        <f t="shared" si="116"/>
        <v>0</v>
      </c>
      <c r="Q376" s="6">
        <f t="shared" si="117"/>
        <v>0</v>
      </c>
      <c r="R376" s="6">
        <f t="shared" si="118"/>
        <v>0</v>
      </c>
      <c r="S376" s="6">
        <f t="shared" si="119"/>
        <v>0</v>
      </c>
      <c r="T376" s="6">
        <f t="shared" si="120"/>
        <v>0</v>
      </c>
      <c r="U376" s="6">
        <f t="shared" si="121"/>
        <v>0</v>
      </c>
      <c r="V376" s="6">
        <f t="shared" si="122"/>
        <v>0</v>
      </c>
      <c r="W376" s="6">
        <f t="shared" si="123"/>
        <v>0</v>
      </c>
      <c r="X376" s="6">
        <f t="shared" si="124"/>
        <v>0</v>
      </c>
      <c r="Y376" s="6">
        <f t="shared" si="125"/>
        <v>0</v>
      </c>
      <c r="Z376" s="6">
        <f t="shared" si="126"/>
        <v>0</v>
      </c>
      <c r="AB376" s="36" t="str">
        <f>IF(最佳化斷筋點!C376="","",最佳化斷筋點!C376)</f>
        <v/>
      </c>
      <c r="AC376" s="36" t="str">
        <f>IF(最佳化斷筋點!D376="","",最佳化斷筋點!D376)</f>
        <v/>
      </c>
      <c r="AD376" s="36" t="str">
        <f>IF(最佳化斷筋點!E376="","",最佳化斷筋點!E376)</f>
        <v/>
      </c>
      <c r="AE376" s="36" t="str">
        <f>IF(最佳化斷筋點!F376="","",最佳化斷筋點!F376)</f>
        <v/>
      </c>
      <c r="AF376" s="36" t="str">
        <f>IF(最佳化斷筋點!G376="","",最佳化斷筋點!G376)</f>
        <v/>
      </c>
      <c r="AG376" s="36" t="str">
        <f>IF(最佳化斷筋點!H376="","",最佳化斷筋點!H376)</f>
        <v/>
      </c>
      <c r="AH376" s="36" t="str">
        <f>IF(最佳化斷筋點!I376="","",最佳化斷筋點!I376)</f>
        <v/>
      </c>
      <c r="AI376" s="36" t="str">
        <f>IF(最佳化斷筋點!J376="","",最佳化斷筋點!J376)</f>
        <v/>
      </c>
      <c r="AJ376" s="36" t="str">
        <f>IF(最佳化斷筋點!K376="","",最佳化斷筋點!K376)</f>
        <v/>
      </c>
      <c r="AK376" s="36" t="str">
        <f>IF(最佳化斷筋點!L376="","",最佳化斷筋點!L376)</f>
        <v/>
      </c>
      <c r="AL376" s="36" t="str">
        <f>IF(最佳化斷筋點!M376="","",最佳化斷筋點!M376)</f>
        <v/>
      </c>
      <c r="AM376" s="36" t="str">
        <f>IF(最佳化斷筋點!N376="","",最佳化斷筋點!N376)</f>
        <v/>
      </c>
      <c r="AN376" s="36" t="str">
        <f>IF(最佳化斷筋點!O376="","",最佳化斷筋點!O376)</f>
        <v/>
      </c>
      <c r="AO376" s="36" t="str">
        <f>IF(最佳化斷筋點!P376="","",最佳化斷筋點!P376)</f>
        <v/>
      </c>
      <c r="AP376" s="36" t="str">
        <f>IF(最佳化斷筋點!Q376="","",最佳化斷筋點!Q376)</f>
        <v/>
      </c>
      <c r="AQ376" s="36" t="str">
        <f>IF(最佳化斷筋點!R376="","",最佳化斷筋點!R376)</f>
        <v/>
      </c>
      <c r="AR376" s="36" t="str">
        <f>IF(最佳化斷筋點!S376="","",最佳化斷筋點!S376)</f>
        <v/>
      </c>
      <c r="AS376" s="36" t="str">
        <f>IF(最佳化斷筋點!T376="","",最佳化斷筋點!T376)</f>
        <v/>
      </c>
      <c r="AT376" s="36" t="str">
        <f>IF(最佳化斷筋點!U376="","",最佳化斷筋點!U376)</f>
        <v/>
      </c>
      <c r="AU376" s="36" t="str">
        <f>IF(最佳化斷筋點!V376="","",最佳化斷筋點!V376)</f>
        <v/>
      </c>
      <c r="AV376" s="36" t="str">
        <f>IF(最佳化斷筋點!W376="","",最佳化斷筋點!W376)</f>
        <v/>
      </c>
      <c r="AW376" s="36" t="str">
        <f>IF(最佳化斷筋點!X376="","",最佳化斷筋點!X376)</f>
        <v/>
      </c>
      <c r="AZ376" s="37" t="s">
        <v>197</v>
      </c>
      <c r="BA376" s="37" t="s">
        <v>197</v>
      </c>
      <c r="BB376" s="37" t="s">
        <v>197</v>
      </c>
      <c r="BC376" s="37" t="s">
        <v>197</v>
      </c>
      <c r="BD376" s="37" t="s">
        <v>197</v>
      </c>
      <c r="BE376" s="37" t="s">
        <v>197</v>
      </c>
      <c r="BF376" s="37" t="s">
        <v>197</v>
      </c>
      <c r="BG376" s="37" t="s">
        <v>197</v>
      </c>
      <c r="BH376" s="37" t="s">
        <v>197</v>
      </c>
      <c r="BI376" s="37" t="s">
        <v>197</v>
      </c>
      <c r="BJ376" s="37" t="s">
        <v>197</v>
      </c>
      <c r="BK376" s="37" t="s">
        <v>197</v>
      </c>
      <c r="BL376" s="37" t="s">
        <v>197</v>
      </c>
      <c r="BM376" s="37" t="s">
        <v>197</v>
      </c>
      <c r="BN376" s="37" t="s">
        <v>197</v>
      </c>
      <c r="BO376" s="37" t="s">
        <v>197</v>
      </c>
      <c r="BP376" s="37" t="s">
        <v>197</v>
      </c>
      <c r="BQ376" s="37" t="s">
        <v>197</v>
      </c>
      <c r="BR376" s="37" t="s">
        <v>197</v>
      </c>
      <c r="BS376" s="37" t="s">
        <v>197</v>
      </c>
      <c r="BT376" s="37" t="s">
        <v>197</v>
      </c>
    </row>
    <row r="377" spans="5:72" x14ac:dyDescent="0.25">
      <c r="E377" s="6" t="s">
        <v>21</v>
      </c>
      <c r="F377" s="6">
        <f t="shared" si="106"/>
        <v>0</v>
      </c>
      <c r="G377" s="6">
        <f t="shared" si="107"/>
        <v>0</v>
      </c>
      <c r="H377" s="6">
        <f t="shared" si="108"/>
        <v>0</v>
      </c>
      <c r="I377" s="6">
        <f t="shared" si="109"/>
        <v>0</v>
      </c>
      <c r="J377" s="6">
        <f t="shared" si="110"/>
        <v>0</v>
      </c>
      <c r="K377" s="6">
        <f t="shared" si="111"/>
        <v>0</v>
      </c>
      <c r="L377" s="6">
        <f t="shared" si="112"/>
        <v>0</v>
      </c>
      <c r="M377" s="6">
        <f t="shared" si="113"/>
        <v>0</v>
      </c>
      <c r="N377" s="6">
        <f t="shared" si="114"/>
        <v>0</v>
      </c>
      <c r="O377" s="6">
        <f t="shared" si="115"/>
        <v>0</v>
      </c>
      <c r="P377" s="6">
        <f t="shared" si="116"/>
        <v>0</v>
      </c>
      <c r="Q377" s="6">
        <f t="shared" si="117"/>
        <v>0</v>
      </c>
      <c r="R377" s="6">
        <f t="shared" si="118"/>
        <v>0</v>
      </c>
      <c r="S377" s="6">
        <f t="shared" si="119"/>
        <v>0</v>
      </c>
      <c r="T377" s="6">
        <f t="shared" si="120"/>
        <v>0</v>
      </c>
      <c r="U377" s="6">
        <f t="shared" si="121"/>
        <v>0</v>
      </c>
      <c r="V377" s="6">
        <f t="shared" si="122"/>
        <v>0</v>
      </c>
      <c r="W377" s="6">
        <f t="shared" si="123"/>
        <v>0</v>
      </c>
      <c r="X377" s="6">
        <f t="shared" si="124"/>
        <v>0</v>
      </c>
      <c r="Y377" s="6">
        <f t="shared" si="125"/>
        <v>0</v>
      </c>
      <c r="Z377" s="6">
        <f t="shared" si="126"/>
        <v>0</v>
      </c>
      <c r="AB377" s="36" t="str">
        <f>IF(最佳化斷筋點!C377="","",最佳化斷筋點!C377)</f>
        <v>下層</v>
      </c>
      <c r="AC377" s="37">
        <f>IF(最佳化斷筋點!D377="","",最佳化斷筋點!D377)</f>
        <v>9</v>
      </c>
      <c r="AD377" s="37">
        <f>IF(最佳化斷筋點!E377="","",最佳化斷筋點!E377)</f>
        <v>9</v>
      </c>
      <c r="AE377" s="37">
        <f>IF(最佳化斷筋點!F377="","",最佳化斷筋點!F377)</f>
        <v>9</v>
      </c>
      <c r="AF377" s="37">
        <f>IF(最佳化斷筋點!G377="","",最佳化斷筋點!G377)</f>
        <v>9</v>
      </c>
      <c r="AG377" s="37">
        <f>IF(最佳化斷筋點!H377="","",最佳化斷筋點!H377)</f>
        <v>9</v>
      </c>
      <c r="AH377" s="37">
        <f>IF(最佳化斷筋點!I377="","",最佳化斷筋點!I377)</f>
        <v>9</v>
      </c>
      <c r="AI377" s="37">
        <f>IF(最佳化斷筋點!J377="","",最佳化斷筋點!J377)</f>
        <v>8</v>
      </c>
      <c r="AJ377" s="37">
        <f>IF(最佳化斷筋點!K377="","",最佳化斷筋點!K377)</f>
        <v>4</v>
      </c>
      <c r="AK377" s="37">
        <f>IF(最佳化斷筋點!L377="","",最佳化斷筋點!L377)</f>
        <v>4</v>
      </c>
      <c r="AL377" s="37">
        <f>IF(最佳化斷筋點!M377="","",最佳化斷筋點!M377)</f>
        <v>4</v>
      </c>
      <c r="AM377" s="37">
        <f>IF(最佳化斷筋點!N377="","",最佳化斷筋點!N377)</f>
        <v>4</v>
      </c>
      <c r="AN377" s="37">
        <f>IF(最佳化斷筋點!O377="","",最佳化斷筋點!O377)</f>
        <v>4</v>
      </c>
      <c r="AO377" s="37">
        <f>IF(最佳化斷筋點!P377="","",最佳化斷筋點!P377)</f>
        <v>4</v>
      </c>
      <c r="AP377" s="37">
        <f>IF(最佳化斷筋點!Q377="","",最佳化斷筋點!Q377)</f>
        <v>6</v>
      </c>
      <c r="AQ377" s="37">
        <f>IF(最佳化斷筋點!R377="","",最佳化斷筋點!R377)</f>
        <v>7</v>
      </c>
      <c r="AR377" s="37">
        <f>IF(最佳化斷筋點!S377="","",最佳化斷筋點!S377)</f>
        <v>8</v>
      </c>
      <c r="AS377" s="37">
        <f>IF(最佳化斷筋點!T377="","",最佳化斷筋點!T377)</f>
        <v>9</v>
      </c>
      <c r="AT377" s="37">
        <f>IF(最佳化斷筋點!U377="","",最佳化斷筋點!U377)</f>
        <v>9</v>
      </c>
      <c r="AU377" s="37">
        <f>IF(最佳化斷筋點!V377="","",最佳化斷筋點!V377)</f>
        <v>9</v>
      </c>
      <c r="AV377" s="37">
        <f>IF(最佳化斷筋點!W377="","",最佳化斷筋點!W377)</f>
        <v>9</v>
      </c>
      <c r="AW377" s="37">
        <f>IF(最佳化斷筋點!X377="","",最佳化斷筋點!X377)</f>
        <v>9</v>
      </c>
      <c r="AY377" s="6" t="s">
        <v>21</v>
      </c>
      <c r="AZ377" s="37">
        <v>9</v>
      </c>
      <c r="BA377" s="37">
        <v>9</v>
      </c>
      <c r="BB377" s="37">
        <v>9</v>
      </c>
      <c r="BC377" s="37">
        <v>9</v>
      </c>
      <c r="BD377" s="37">
        <v>9</v>
      </c>
      <c r="BE377" s="37">
        <v>9</v>
      </c>
      <c r="BF377" s="37">
        <v>8</v>
      </c>
      <c r="BG377" s="37">
        <v>4</v>
      </c>
      <c r="BH377" s="37">
        <v>4</v>
      </c>
      <c r="BI377" s="37">
        <v>4</v>
      </c>
      <c r="BJ377" s="37">
        <v>4</v>
      </c>
      <c r="BK377" s="37">
        <v>4</v>
      </c>
      <c r="BL377" s="37">
        <v>4</v>
      </c>
      <c r="BM377" s="37">
        <v>6</v>
      </c>
      <c r="BN377" s="37">
        <v>7</v>
      </c>
      <c r="BO377" s="37">
        <v>8</v>
      </c>
      <c r="BP377" s="37">
        <v>9</v>
      </c>
      <c r="BQ377" s="37">
        <v>9</v>
      </c>
      <c r="BR377" s="37">
        <v>9</v>
      </c>
      <c r="BS377" s="37">
        <v>9</v>
      </c>
      <c r="BT377" s="37">
        <v>9</v>
      </c>
    </row>
    <row r="378" spans="5:72" x14ac:dyDescent="0.25">
      <c r="F378" s="6">
        <f t="shared" si="106"/>
        <v>0</v>
      </c>
      <c r="G378" s="6">
        <f t="shared" si="107"/>
        <v>0</v>
      </c>
      <c r="H378" s="6">
        <f t="shared" si="108"/>
        <v>0</v>
      </c>
      <c r="I378" s="6">
        <f t="shared" si="109"/>
        <v>0</v>
      </c>
      <c r="J378" s="6">
        <f t="shared" si="110"/>
        <v>0</v>
      </c>
      <c r="K378" s="6">
        <f t="shared" si="111"/>
        <v>0</v>
      </c>
      <c r="L378" s="6">
        <f t="shared" si="112"/>
        <v>0</v>
      </c>
      <c r="M378" s="6">
        <f t="shared" si="113"/>
        <v>0</v>
      </c>
      <c r="N378" s="6">
        <f t="shared" si="114"/>
        <v>0</v>
      </c>
      <c r="O378" s="6">
        <f t="shared" si="115"/>
        <v>0</v>
      </c>
      <c r="P378" s="6">
        <f t="shared" si="116"/>
        <v>0</v>
      </c>
      <c r="Q378" s="6">
        <f t="shared" si="117"/>
        <v>0</v>
      </c>
      <c r="R378" s="6">
        <f t="shared" si="118"/>
        <v>0</v>
      </c>
      <c r="S378" s="6">
        <f t="shared" si="119"/>
        <v>0</v>
      </c>
      <c r="T378" s="6">
        <f t="shared" si="120"/>
        <v>0</v>
      </c>
      <c r="U378" s="6">
        <f t="shared" si="121"/>
        <v>0</v>
      </c>
      <c r="V378" s="6">
        <f t="shared" si="122"/>
        <v>0</v>
      </c>
      <c r="W378" s="6">
        <f t="shared" si="123"/>
        <v>0</v>
      </c>
      <c r="X378" s="6">
        <f t="shared" si="124"/>
        <v>0</v>
      </c>
      <c r="Y378" s="6">
        <f t="shared" si="125"/>
        <v>0</v>
      </c>
      <c r="Z378" s="6">
        <f t="shared" si="126"/>
        <v>0</v>
      </c>
      <c r="AB378" s="36" t="str">
        <f>IF(最佳化斷筋點!C378="","",最佳化斷筋點!C378)</f>
        <v/>
      </c>
      <c r="AC378" s="37" t="str">
        <f>IF(最佳化斷筋點!D378="","",最佳化斷筋點!D378)</f>
        <v/>
      </c>
      <c r="AD378" s="37" t="str">
        <f>IF(最佳化斷筋點!E378="","",最佳化斷筋點!E378)</f>
        <v/>
      </c>
      <c r="AE378" s="37" t="str">
        <f>IF(最佳化斷筋點!F378="","",最佳化斷筋點!F378)</f>
        <v/>
      </c>
      <c r="AF378" s="37" t="str">
        <f>IF(最佳化斷筋點!G378="","",最佳化斷筋點!G378)</f>
        <v/>
      </c>
      <c r="AG378" s="37" t="str">
        <f>IF(最佳化斷筋點!H378="","",最佳化斷筋點!H378)</f>
        <v/>
      </c>
      <c r="AH378" s="37" t="str">
        <f>IF(最佳化斷筋點!I378="","",最佳化斷筋點!I378)</f>
        <v/>
      </c>
      <c r="AI378" s="37" t="str">
        <f>IF(最佳化斷筋點!J378="","",最佳化斷筋點!J378)</f>
        <v/>
      </c>
      <c r="AJ378" s="37" t="str">
        <f>IF(最佳化斷筋點!K378="","",最佳化斷筋點!K378)</f>
        <v/>
      </c>
      <c r="AK378" s="37" t="str">
        <f>IF(最佳化斷筋點!L378="","",最佳化斷筋點!L378)</f>
        <v/>
      </c>
      <c r="AL378" s="37" t="str">
        <f>IF(最佳化斷筋點!M378="","",最佳化斷筋點!M378)</f>
        <v/>
      </c>
      <c r="AM378" s="37" t="str">
        <f>IF(最佳化斷筋點!N378="","",最佳化斷筋點!N378)</f>
        <v/>
      </c>
      <c r="AN378" s="37" t="str">
        <f>IF(最佳化斷筋點!O378="","",最佳化斷筋點!O378)</f>
        <v/>
      </c>
      <c r="AO378" s="37" t="str">
        <f>IF(最佳化斷筋點!P378="","",最佳化斷筋點!P378)</f>
        <v/>
      </c>
      <c r="AP378" s="37" t="str">
        <f>IF(最佳化斷筋點!Q378="","",最佳化斷筋點!Q378)</f>
        <v/>
      </c>
      <c r="AQ378" s="37" t="str">
        <f>IF(最佳化斷筋點!R378="","",最佳化斷筋點!R378)</f>
        <v/>
      </c>
      <c r="AR378" s="37" t="str">
        <f>IF(最佳化斷筋點!S378="","",最佳化斷筋點!S378)</f>
        <v/>
      </c>
      <c r="AS378" s="37" t="str">
        <f>IF(最佳化斷筋點!T378="","",最佳化斷筋點!T378)</f>
        <v/>
      </c>
      <c r="AT378" s="37" t="str">
        <f>IF(最佳化斷筋點!U378="","",最佳化斷筋點!U378)</f>
        <v/>
      </c>
      <c r="AU378" s="37" t="str">
        <f>IF(最佳化斷筋點!V378="","",最佳化斷筋點!V378)</f>
        <v/>
      </c>
      <c r="AV378" s="37" t="str">
        <f>IF(最佳化斷筋點!W378="","",最佳化斷筋點!W378)</f>
        <v/>
      </c>
      <c r="AW378" s="37" t="str">
        <f>IF(最佳化斷筋點!X378="","",最佳化斷筋點!X378)</f>
        <v/>
      </c>
      <c r="AZ378" s="37" t="s">
        <v>197</v>
      </c>
      <c r="BA378" s="37" t="s">
        <v>197</v>
      </c>
      <c r="BB378" s="37" t="s">
        <v>197</v>
      </c>
      <c r="BC378" s="37" t="s">
        <v>197</v>
      </c>
      <c r="BD378" s="37" t="s">
        <v>197</v>
      </c>
      <c r="BE378" s="37" t="s">
        <v>197</v>
      </c>
      <c r="BF378" s="37" t="s">
        <v>197</v>
      </c>
      <c r="BG378" s="37" t="s">
        <v>197</v>
      </c>
      <c r="BH378" s="37" t="s">
        <v>197</v>
      </c>
      <c r="BI378" s="37" t="s">
        <v>197</v>
      </c>
      <c r="BJ378" s="37" t="s">
        <v>197</v>
      </c>
      <c r="BK378" s="37" t="s">
        <v>197</v>
      </c>
      <c r="BL378" s="37" t="s">
        <v>197</v>
      </c>
      <c r="BM378" s="37" t="s">
        <v>197</v>
      </c>
      <c r="BN378" s="37" t="s">
        <v>197</v>
      </c>
      <c r="BO378" s="37" t="s">
        <v>197</v>
      </c>
      <c r="BP378" s="37" t="s">
        <v>197</v>
      </c>
      <c r="BQ378" s="37" t="s">
        <v>197</v>
      </c>
      <c r="BR378" s="37" t="s">
        <v>197</v>
      </c>
      <c r="BS378" s="37" t="s">
        <v>197</v>
      </c>
      <c r="BT378" s="37" t="s">
        <v>197</v>
      </c>
    </row>
    <row r="379" spans="5:72" x14ac:dyDescent="0.25">
      <c r="E379" s="6" t="s">
        <v>20</v>
      </c>
      <c r="F379" s="6">
        <f t="shared" si="106"/>
        <v>0</v>
      </c>
      <c r="G379" s="6">
        <f t="shared" si="107"/>
        <v>0</v>
      </c>
      <c r="H379" s="6">
        <f t="shared" si="108"/>
        <v>0</v>
      </c>
      <c r="I379" s="6">
        <f t="shared" si="109"/>
        <v>0</v>
      </c>
      <c r="J379" s="6">
        <f t="shared" si="110"/>
        <v>0</v>
      </c>
      <c r="K379" s="6">
        <f t="shared" si="111"/>
        <v>0</v>
      </c>
      <c r="L379" s="6">
        <f t="shared" si="112"/>
        <v>0</v>
      </c>
      <c r="M379" s="6">
        <f t="shared" si="113"/>
        <v>0</v>
      </c>
      <c r="N379" s="6">
        <f t="shared" si="114"/>
        <v>0</v>
      </c>
      <c r="O379" s="6">
        <f t="shared" si="115"/>
        <v>0</v>
      </c>
      <c r="P379" s="6">
        <f t="shared" si="116"/>
        <v>0</v>
      </c>
      <c r="Q379" s="6">
        <f t="shared" si="117"/>
        <v>0</v>
      </c>
      <c r="R379" s="6">
        <f t="shared" si="118"/>
        <v>0</v>
      </c>
      <c r="S379" s="6">
        <f t="shared" si="119"/>
        <v>0</v>
      </c>
      <c r="T379" s="6">
        <f t="shared" si="120"/>
        <v>0</v>
      </c>
      <c r="U379" s="6">
        <f t="shared" si="121"/>
        <v>0</v>
      </c>
      <c r="V379" s="6">
        <f t="shared" si="122"/>
        <v>0</v>
      </c>
      <c r="W379" s="6">
        <f t="shared" si="123"/>
        <v>0</v>
      </c>
      <c r="X379" s="6">
        <f t="shared" si="124"/>
        <v>0</v>
      </c>
      <c r="Y379" s="6">
        <f t="shared" si="125"/>
        <v>0</v>
      </c>
      <c r="Z379" s="6">
        <f t="shared" si="126"/>
        <v>0</v>
      </c>
      <c r="AB379" s="36" t="str">
        <f>IF(最佳化斷筋點!C379="","",最佳化斷筋點!C379)</f>
        <v>上層</v>
      </c>
      <c r="AC379" s="37">
        <f>IF(最佳化斷筋點!D379="","",最佳化斷筋點!D379)</f>
        <v>8</v>
      </c>
      <c r="AD379" s="37">
        <f>IF(最佳化斷筋點!E379="","",最佳化斷筋點!E379)</f>
        <v>8</v>
      </c>
      <c r="AE379" s="37">
        <f>IF(最佳化斷筋點!F379="","",最佳化斷筋點!F379)</f>
        <v>8</v>
      </c>
      <c r="AF379" s="37">
        <f>IF(最佳化斷筋點!G379="","",最佳化斷筋點!G379)</f>
        <v>8</v>
      </c>
      <c r="AG379" s="37">
        <f>IF(最佳化斷筋點!H379="","",最佳化斷筋點!H379)</f>
        <v>8</v>
      </c>
      <c r="AH379" s="37">
        <f>IF(最佳化斷筋點!I379="","",最佳化斷筋點!I379)</f>
        <v>8</v>
      </c>
      <c r="AI379" s="37">
        <f>IF(最佳化斷筋點!J379="","",最佳化斷筋點!J379)</f>
        <v>8</v>
      </c>
      <c r="AJ379" s="37">
        <f>IF(最佳化斷筋點!K379="","",最佳化斷筋點!K379)</f>
        <v>5</v>
      </c>
      <c r="AK379" s="37">
        <f>IF(最佳化斷筋點!L379="","",最佳化斷筋點!L379)</f>
        <v>5</v>
      </c>
      <c r="AL379" s="37">
        <f>IF(最佳化斷筋點!M379="","",最佳化斷筋點!M379)</f>
        <v>5</v>
      </c>
      <c r="AM379" s="37">
        <f>IF(最佳化斷筋點!N379="","",最佳化斷筋點!N379)</f>
        <v>5</v>
      </c>
      <c r="AN379" s="37">
        <f>IF(最佳化斷筋點!O379="","",最佳化斷筋點!O379)</f>
        <v>5</v>
      </c>
      <c r="AO379" s="37">
        <f>IF(最佳化斷筋點!P379="","",最佳化斷筋點!P379)</f>
        <v>5</v>
      </c>
      <c r="AP379" s="37">
        <f>IF(最佳化斷筋點!Q379="","",最佳化斷筋點!Q379)</f>
        <v>10</v>
      </c>
      <c r="AQ379" s="37">
        <f>IF(最佳化斷筋點!R379="","",最佳化斷筋點!R379)</f>
        <v>11</v>
      </c>
      <c r="AR379" s="37">
        <f>IF(最佳化斷筋點!S379="","",最佳化斷筋點!S379)</f>
        <v>12</v>
      </c>
      <c r="AS379" s="37">
        <f>IF(最佳化斷筋點!T379="","",最佳化斷筋點!T379)</f>
        <v>12</v>
      </c>
      <c r="AT379" s="37">
        <f>IF(最佳化斷筋點!U379="","",最佳化斷筋點!U379)</f>
        <v>12</v>
      </c>
      <c r="AU379" s="37">
        <f>IF(最佳化斷筋點!V379="","",最佳化斷筋點!V379)</f>
        <v>12</v>
      </c>
      <c r="AV379" s="37">
        <f>IF(最佳化斷筋點!W379="","",最佳化斷筋點!W379)</f>
        <v>12</v>
      </c>
      <c r="AW379" s="37">
        <f>IF(最佳化斷筋點!X379="","",最佳化斷筋點!X379)</f>
        <v>12</v>
      </c>
      <c r="AY379" s="6" t="s">
        <v>20</v>
      </c>
      <c r="AZ379" s="37">
        <v>8</v>
      </c>
      <c r="BA379" s="37">
        <v>8</v>
      </c>
      <c r="BB379" s="37">
        <v>8</v>
      </c>
      <c r="BC379" s="37">
        <v>8</v>
      </c>
      <c r="BD379" s="37">
        <v>8</v>
      </c>
      <c r="BE379" s="37">
        <v>8</v>
      </c>
      <c r="BF379" s="37">
        <v>8</v>
      </c>
      <c r="BG379" s="37">
        <v>5</v>
      </c>
      <c r="BH379" s="37">
        <v>5</v>
      </c>
      <c r="BI379" s="37">
        <v>5</v>
      </c>
      <c r="BJ379" s="37">
        <v>5</v>
      </c>
      <c r="BK379" s="37">
        <v>5</v>
      </c>
      <c r="BL379" s="37">
        <v>5</v>
      </c>
      <c r="BM379" s="37">
        <v>10</v>
      </c>
      <c r="BN379" s="37">
        <v>11</v>
      </c>
      <c r="BO379" s="37">
        <v>12</v>
      </c>
      <c r="BP379" s="37">
        <v>12</v>
      </c>
      <c r="BQ379" s="37">
        <v>12</v>
      </c>
      <c r="BR379" s="37">
        <v>12</v>
      </c>
      <c r="BS379" s="37">
        <v>12</v>
      </c>
      <c r="BT379" s="37">
        <v>12</v>
      </c>
    </row>
    <row r="380" spans="5:72" x14ac:dyDescent="0.25">
      <c r="F380" s="6">
        <f t="shared" si="106"/>
        <v>0</v>
      </c>
      <c r="G380" s="6">
        <f t="shared" si="107"/>
        <v>0</v>
      </c>
      <c r="H380" s="6">
        <f t="shared" si="108"/>
        <v>0</v>
      </c>
      <c r="I380" s="6">
        <f t="shared" si="109"/>
        <v>0</v>
      </c>
      <c r="J380" s="6">
        <f t="shared" si="110"/>
        <v>0</v>
      </c>
      <c r="K380" s="6">
        <f t="shared" si="111"/>
        <v>0</v>
      </c>
      <c r="L380" s="6">
        <f t="shared" si="112"/>
        <v>0</v>
      </c>
      <c r="M380" s="6">
        <f t="shared" si="113"/>
        <v>0</v>
      </c>
      <c r="N380" s="6">
        <f t="shared" si="114"/>
        <v>0</v>
      </c>
      <c r="O380" s="6">
        <f t="shared" si="115"/>
        <v>0</v>
      </c>
      <c r="P380" s="6">
        <f t="shared" si="116"/>
        <v>0</v>
      </c>
      <c r="Q380" s="6">
        <f t="shared" si="117"/>
        <v>0</v>
      </c>
      <c r="R380" s="6">
        <f t="shared" si="118"/>
        <v>0</v>
      </c>
      <c r="S380" s="6">
        <f t="shared" si="119"/>
        <v>0</v>
      </c>
      <c r="T380" s="6">
        <f t="shared" si="120"/>
        <v>0</v>
      </c>
      <c r="U380" s="6">
        <f t="shared" si="121"/>
        <v>0</v>
      </c>
      <c r="V380" s="6">
        <f t="shared" si="122"/>
        <v>0</v>
      </c>
      <c r="W380" s="6">
        <f t="shared" si="123"/>
        <v>0</v>
      </c>
      <c r="X380" s="6">
        <f t="shared" si="124"/>
        <v>0</v>
      </c>
      <c r="Y380" s="6">
        <f t="shared" si="125"/>
        <v>0</v>
      </c>
      <c r="Z380" s="6">
        <f t="shared" si="126"/>
        <v>0</v>
      </c>
      <c r="AB380" s="36" t="str">
        <f>IF(最佳化斷筋點!C380="","",最佳化斷筋點!C380)</f>
        <v/>
      </c>
      <c r="AC380" s="37" t="str">
        <f>IF(最佳化斷筋點!D380="","",最佳化斷筋點!D380)</f>
        <v/>
      </c>
      <c r="AD380" s="37" t="str">
        <f>IF(最佳化斷筋點!E380="","",最佳化斷筋點!E380)</f>
        <v/>
      </c>
      <c r="AE380" s="37" t="str">
        <f>IF(最佳化斷筋點!F380="","",最佳化斷筋點!F380)</f>
        <v/>
      </c>
      <c r="AF380" s="37" t="str">
        <f>IF(最佳化斷筋點!G380="","",最佳化斷筋點!G380)</f>
        <v/>
      </c>
      <c r="AG380" s="37" t="str">
        <f>IF(最佳化斷筋點!H380="","",最佳化斷筋點!H380)</f>
        <v/>
      </c>
      <c r="AH380" s="37" t="str">
        <f>IF(最佳化斷筋點!I380="","",最佳化斷筋點!I380)</f>
        <v/>
      </c>
      <c r="AI380" s="37" t="str">
        <f>IF(最佳化斷筋點!J380="","",最佳化斷筋點!J380)</f>
        <v/>
      </c>
      <c r="AJ380" s="37" t="str">
        <f>IF(最佳化斷筋點!K380="","",最佳化斷筋點!K380)</f>
        <v/>
      </c>
      <c r="AK380" s="37" t="str">
        <f>IF(最佳化斷筋點!L380="","",最佳化斷筋點!L380)</f>
        <v/>
      </c>
      <c r="AL380" s="37" t="str">
        <f>IF(最佳化斷筋點!M380="","",最佳化斷筋點!M380)</f>
        <v/>
      </c>
      <c r="AM380" s="37" t="str">
        <f>IF(最佳化斷筋點!N380="","",最佳化斷筋點!N380)</f>
        <v/>
      </c>
      <c r="AN380" s="37" t="str">
        <f>IF(最佳化斷筋點!O380="","",最佳化斷筋點!O380)</f>
        <v/>
      </c>
      <c r="AO380" s="37" t="str">
        <f>IF(最佳化斷筋點!P380="","",最佳化斷筋點!P380)</f>
        <v/>
      </c>
      <c r="AP380" s="37" t="str">
        <f>IF(最佳化斷筋點!Q380="","",最佳化斷筋點!Q380)</f>
        <v/>
      </c>
      <c r="AQ380" s="37" t="str">
        <f>IF(最佳化斷筋點!R380="","",最佳化斷筋點!R380)</f>
        <v/>
      </c>
      <c r="AR380" s="37" t="str">
        <f>IF(最佳化斷筋點!S380="","",最佳化斷筋點!S380)</f>
        <v/>
      </c>
      <c r="AS380" s="37" t="str">
        <f>IF(最佳化斷筋點!T380="","",最佳化斷筋點!T380)</f>
        <v/>
      </c>
      <c r="AT380" s="37" t="str">
        <f>IF(最佳化斷筋點!U380="","",最佳化斷筋點!U380)</f>
        <v/>
      </c>
      <c r="AU380" s="37" t="str">
        <f>IF(最佳化斷筋點!V380="","",最佳化斷筋點!V380)</f>
        <v/>
      </c>
      <c r="AV380" s="37" t="str">
        <f>IF(最佳化斷筋點!W380="","",最佳化斷筋點!W380)</f>
        <v/>
      </c>
      <c r="AW380" s="37" t="str">
        <f>IF(最佳化斷筋點!X380="","",最佳化斷筋點!X380)</f>
        <v/>
      </c>
      <c r="AZ380" s="37" t="s">
        <v>197</v>
      </c>
      <c r="BA380" s="37" t="s">
        <v>197</v>
      </c>
      <c r="BB380" s="37" t="s">
        <v>197</v>
      </c>
      <c r="BC380" s="37" t="s">
        <v>197</v>
      </c>
      <c r="BD380" s="37" t="s">
        <v>197</v>
      </c>
      <c r="BE380" s="37" t="s">
        <v>197</v>
      </c>
      <c r="BF380" s="37" t="s">
        <v>197</v>
      </c>
      <c r="BG380" s="37" t="s">
        <v>197</v>
      </c>
      <c r="BH380" s="37" t="s">
        <v>197</v>
      </c>
      <c r="BI380" s="37" t="s">
        <v>197</v>
      </c>
      <c r="BJ380" s="37" t="s">
        <v>197</v>
      </c>
      <c r="BK380" s="37" t="s">
        <v>197</v>
      </c>
      <c r="BL380" s="37" t="s">
        <v>197</v>
      </c>
      <c r="BM380" s="37" t="s">
        <v>197</v>
      </c>
      <c r="BN380" s="37" t="s">
        <v>197</v>
      </c>
      <c r="BO380" s="37" t="s">
        <v>197</v>
      </c>
      <c r="BP380" s="37" t="s">
        <v>197</v>
      </c>
      <c r="BQ380" s="37" t="s">
        <v>197</v>
      </c>
      <c r="BR380" s="37" t="s">
        <v>197</v>
      </c>
      <c r="BS380" s="37" t="s">
        <v>197</v>
      </c>
      <c r="BT380" s="37" t="s">
        <v>197</v>
      </c>
    </row>
    <row r="381" spans="5:72" x14ac:dyDescent="0.25">
      <c r="E381" s="6" t="s">
        <v>21</v>
      </c>
      <c r="F381" s="6">
        <f t="shared" si="106"/>
        <v>0</v>
      </c>
      <c r="G381" s="6">
        <f t="shared" si="107"/>
        <v>0</v>
      </c>
      <c r="H381" s="6">
        <f t="shared" si="108"/>
        <v>0</v>
      </c>
      <c r="I381" s="6">
        <f t="shared" si="109"/>
        <v>0</v>
      </c>
      <c r="J381" s="6">
        <f t="shared" si="110"/>
        <v>0</v>
      </c>
      <c r="K381" s="6">
        <f t="shared" si="111"/>
        <v>0</v>
      </c>
      <c r="L381" s="6">
        <f t="shared" si="112"/>
        <v>0</v>
      </c>
      <c r="M381" s="6">
        <f t="shared" si="113"/>
        <v>0</v>
      </c>
      <c r="N381" s="6">
        <f t="shared" si="114"/>
        <v>0</v>
      </c>
      <c r="O381" s="6">
        <f t="shared" si="115"/>
        <v>0</v>
      </c>
      <c r="P381" s="6">
        <f t="shared" si="116"/>
        <v>0</v>
      </c>
      <c r="Q381" s="6">
        <f t="shared" si="117"/>
        <v>0</v>
      </c>
      <c r="R381" s="6">
        <f t="shared" si="118"/>
        <v>0</v>
      </c>
      <c r="S381" s="6">
        <f t="shared" si="119"/>
        <v>0</v>
      </c>
      <c r="T381" s="6">
        <f t="shared" si="120"/>
        <v>0</v>
      </c>
      <c r="U381" s="6">
        <f t="shared" si="121"/>
        <v>0</v>
      </c>
      <c r="V381" s="6">
        <f t="shared" si="122"/>
        <v>0</v>
      </c>
      <c r="W381" s="6">
        <f t="shared" si="123"/>
        <v>0</v>
      </c>
      <c r="X381" s="6">
        <f t="shared" si="124"/>
        <v>0</v>
      </c>
      <c r="Y381" s="6">
        <f t="shared" si="125"/>
        <v>0</v>
      </c>
      <c r="Z381" s="6">
        <f t="shared" si="126"/>
        <v>0</v>
      </c>
      <c r="AB381" s="36" t="str">
        <f>IF(最佳化斷筋點!C381="","",最佳化斷筋點!C381)</f>
        <v>下層</v>
      </c>
      <c r="AC381" s="37">
        <f>IF(最佳化斷筋點!D381="","",最佳化斷筋點!D381)</f>
        <v>9</v>
      </c>
      <c r="AD381" s="37">
        <f>IF(最佳化斷筋點!E381="","",最佳化斷筋點!E381)</f>
        <v>9</v>
      </c>
      <c r="AE381" s="37">
        <f>IF(最佳化斷筋點!F381="","",最佳化斷筋點!F381)</f>
        <v>9</v>
      </c>
      <c r="AF381" s="37">
        <f>IF(最佳化斷筋點!G381="","",最佳化斷筋點!G381)</f>
        <v>9</v>
      </c>
      <c r="AG381" s="37">
        <f>IF(最佳化斷筋點!H381="","",最佳化斷筋點!H381)</f>
        <v>9</v>
      </c>
      <c r="AH381" s="37">
        <f>IF(最佳化斷筋點!I381="","",最佳化斷筋點!I381)</f>
        <v>8</v>
      </c>
      <c r="AI381" s="37">
        <f>IF(最佳化斷筋點!J381="","",最佳化斷筋點!J381)</f>
        <v>7</v>
      </c>
      <c r="AJ381" s="37">
        <f>IF(最佳化斷筋點!K381="","",最佳化斷筋點!K381)</f>
        <v>4</v>
      </c>
      <c r="AK381" s="37">
        <f>IF(最佳化斷筋點!L381="","",最佳化斷筋點!L381)</f>
        <v>4</v>
      </c>
      <c r="AL381" s="37">
        <f>IF(最佳化斷筋點!M381="","",最佳化斷筋點!M381)</f>
        <v>4</v>
      </c>
      <c r="AM381" s="37">
        <f>IF(最佳化斷筋點!N381="","",最佳化斷筋點!N381)</f>
        <v>4</v>
      </c>
      <c r="AN381" s="37">
        <f>IF(最佳化斷筋點!O381="","",最佳化斷筋點!O381)</f>
        <v>4</v>
      </c>
      <c r="AO381" s="37">
        <f>IF(最佳化斷筋點!P381="","",最佳化斷筋點!P381)</f>
        <v>4</v>
      </c>
      <c r="AP381" s="37">
        <f>IF(最佳化斷筋點!Q381="","",最佳化斷筋點!Q381)</f>
        <v>4</v>
      </c>
      <c r="AQ381" s="37">
        <f>IF(最佳化斷筋點!R381="","",最佳化斷筋點!R381)</f>
        <v>5</v>
      </c>
      <c r="AR381" s="37">
        <f>IF(最佳化斷筋點!S381="","",最佳化斷筋點!S381)</f>
        <v>6</v>
      </c>
      <c r="AS381" s="37">
        <f>IF(最佳化斷筋點!T381="","",最佳化斷筋點!T381)</f>
        <v>6</v>
      </c>
      <c r="AT381" s="37">
        <f>IF(最佳化斷筋點!U381="","",最佳化斷筋點!U381)</f>
        <v>7</v>
      </c>
      <c r="AU381" s="37">
        <f>IF(最佳化斷筋點!V381="","",最佳化斷筋點!V381)</f>
        <v>7</v>
      </c>
      <c r="AV381" s="37">
        <f>IF(最佳化斷筋點!W381="","",最佳化斷筋點!W381)</f>
        <v>7</v>
      </c>
      <c r="AW381" s="37">
        <f>IF(最佳化斷筋點!X381="","",最佳化斷筋點!X381)</f>
        <v>7</v>
      </c>
      <c r="AY381" s="6" t="s">
        <v>21</v>
      </c>
      <c r="AZ381" s="37">
        <v>9</v>
      </c>
      <c r="BA381" s="37">
        <v>9</v>
      </c>
      <c r="BB381" s="37">
        <v>9</v>
      </c>
      <c r="BC381" s="37">
        <v>9</v>
      </c>
      <c r="BD381" s="37">
        <v>9</v>
      </c>
      <c r="BE381" s="37">
        <v>8</v>
      </c>
      <c r="BF381" s="37">
        <v>7</v>
      </c>
      <c r="BG381" s="37">
        <v>4</v>
      </c>
      <c r="BH381" s="37">
        <v>4</v>
      </c>
      <c r="BI381" s="37">
        <v>4</v>
      </c>
      <c r="BJ381" s="37">
        <v>4</v>
      </c>
      <c r="BK381" s="37">
        <v>4</v>
      </c>
      <c r="BL381" s="37">
        <v>4</v>
      </c>
      <c r="BM381" s="37">
        <v>4</v>
      </c>
      <c r="BN381" s="37">
        <v>5</v>
      </c>
      <c r="BO381" s="37">
        <v>6</v>
      </c>
      <c r="BP381" s="37">
        <v>6</v>
      </c>
      <c r="BQ381" s="37">
        <v>7</v>
      </c>
      <c r="BR381" s="37">
        <v>7</v>
      </c>
      <c r="BS381" s="37">
        <v>7</v>
      </c>
      <c r="BT381" s="37">
        <v>7</v>
      </c>
    </row>
    <row r="382" spans="5:72" x14ac:dyDescent="0.25">
      <c r="F382" s="6">
        <f t="shared" si="106"/>
        <v>0</v>
      </c>
      <c r="G382" s="6">
        <f t="shared" si="107"/>
        <v>0</v>
      </c>
      <c r="H382" s="6">
        <f t="shared" si="108"/>
        <v>0</v>
      </c>
      <c r="I382" s="6">
        <f t="shared" si="109"/>
        <v>0</v>
      </c>
      <c r="J382" s="6">
        <f t="shared" si="110"/>
        <v>0</v>
      </c>
      <c r="K382" s="6">
        <f t="shared" si="111"/>
        <v>0</v>
      </c>
      <c r="L382" s="6">
        <f t="shared" si="112"/>
        <v>0</v>
      </c>
      <c r="M382" s="6">
        <f t="shared" si="113"/>
        <v>0</v>
      </c>
      <c r="N382" s="6">
        <f t="shared" si="114"/>
        <v>0</v>
      </c>
      <c r="O382" s="6">
        <f t="shared" si="115"/>
        <v>0</v>
      </c>
      <c r="P382" s="6">
        <f t="shared" si="116"/>
        <v>0</v>
      </c>
      <c r="Q382" s="6">
        <f t="shared" si="117"/>
        <v>0</v>
      </c>
      <c r="R382" s="6">
        <f t="shared" si="118"/>
        <v>0</v>
      </c>
      <c r="S382" s="6">
        <f t="shared" si="119"/>
        <v>0</v>
      </c>
      <c r="T382" s="6">
        <f t="shared" si="120"/>
        <v>0</v>
      </c>
      <c r="U382" s="6">
        <f t="shared" si="121"/>
        <v>0</v>
      </c>
      <c r="V382" s="6">
        <f t="shared" si="122"/>
        <v>0</v>
      </c>
      <c r="W382" s="6">
        <f t="shared" si="123"/>
        <v>0</v>
      </c>
      <c r="X382" s="6">
        <f t="shared" si="124"/>
        <v>0</v>
      </c>
      <c r="Y382" s="6">
        <f t="shared" si="125"/>
        <v>0</v>
      </c>
      <c r="Z382" s="6">
        <f t="shared" si="126"/>
        <v>0</v>
      </c>
      <c r="AB382" s="36" t="str">
        <f>IF(最佳化斷筋點!C382="","",最佳化斷筋點!C382)</f>
        <v/>
      </c>
      <c r="AC382" s="37" t="str">
        <f>IF(最佳化斷筋點!D382="","",最佳化斷筋點!D382)</f>
        <v/>
      </c>
      <c r="AD382" s="37" t="str">
        <f>IF(最佳化斷筋點!E382="","",最佳化斷筋點!E382)</f>
        <v/>
      </c>
      <c r="AE382" s="37" t="str">
        <f>IF(最佳化斷筋點!F382="","",最佳化斷筋點!F382)</f>
        <v/>
      </c>
      <c r="AF382" s="37" t="str">
        <f>IF(最佳化斷筋點!G382="","",最佳化斷筋點!G382)</f>
        <v/>
      </c>
      <c r="AG382" s="37" t="str">
        <f>IF(最佳化斷筋點!H382="","",最佳化斷筋點!H382)</f>
        <v/>
      </c>
      <c r="AH382" s="37" t="str">
        <f>IF(最佳化斷筋點!I382="","",最佳化斷筋點!I382)</f>
        <v/>
      </c>
      <c r="AI382" s="37" t="str">
        <f>IF(最佳化斷筋點!J382="","",最佳化斷筋點!J382)</f>
        <v/>
      </c>
      <c r="AJ382" s="37" t="str">
        <f>IF(最佳化斷筋點!K382="","",最佳化斷筋點!K382)</f>
        <v/>
      </c>
      <c r="AK382" s="37" t="str">
        <f>IF(最佳化斷筋點!L382="","",最佳化斷筋點!L382)</f>
        <v/>
      </c>
      <c r="AL382" s="37" t="str">
        <f>IF(最佳化斷筋點!M382="","",最佳化斷筋點!M382)</f>
        <v/>
      </c>
      <c r="AM382" s="37" t="str">
        <f>IF(最佳化斷筋點!N382="","",最佳化斷筋點!N382)</f>
        <v/>
      </c>
      <c r="AN382" s="37" t="str">
        <f>IF(最佳化斷筋點!O382="","",最佳化斷筋點!O382)</f>
        <v/>
      </c>
      <c r="AO382" s="37" t="str">
        <f>IF(最佳化斷筋點!P382="","",最佳化斷筋點!P382)</f>
        <v/>
      </c>
      <c r="AP382" s="37" t="str">
        <f>IF(最佳化斷筋點!Q382="","",最佳化斷筋點!Q382)</f>
        <v/>
      </c>
      <c r="AQ382" s="37" t="str">
        <f>IF(最佳化斷筋點!R382="","",最佳化斷筋點!R382)</f>
        <v/>
      </c>
      <c r="AR382" s="37" t="str">
        <f>IF(最佳化斷筋點!S382="","",最佳化斷筋點!S382)</f>
        <v/>
      </c>
      <c r="AS382" s="37" t="str">
        <f>IF(最佳化斷筋點!T382="","",最佳化斷筋點!T382)</f>
        <v/>
      </c>
      <c r="AT382" s="37" t="str">
        <f>IF(最佳化斷筋點!U382="","",最佳化斷筋點!U382)</f>
        <v/>
      </c>
      <c r="AU382" s="37" t="str">
        <f>IF(最佳化斷筋點!V382="","",最佳化斷筋點!V382)</f>
        <v/>
      </c>
      <c r="AV382" s="37" t="str">
        <f>IF(最佳化斷筋點!W382="","",最佳化斷筋點!W382)</f>
        <v/>
      </c>
      <c r="AW382" s="37" t="str">
        <f>IF(最佳化斷筋點!X382="","",最佳化斷筋點!X382)</f>
        <v/>
      </c>
      <c r="AZ382" s="37" t="s">
        <v>197</v>
      </c>
      <c r="BA382" s="37" t="s">
        <v>197</v>
      </c>
      <c r="BB382" s="37" t="s">
        <v>197</v>
      </c>
      <c r="BC382" s="37" t="s">
        <v>197</v>
      </c>
      <c r="BD382" s="37" t="s">
        <v>197</v>
      </c>
      <c r="BE382" s="37" t="s">
        <v>197</v>
      </c>
      <c r="BF382" s="37" t="s">
        <v>197</v>
      </c>
      <c r="BG382" s="37" t="s">
        <v>197</v>
      </c>
      <c r="BH382" s="37" t="s">
        <v>197</v>
      </c>
      <c r="BI382" s="37" t="s">
        <v>197</v>
      </c>
      <c r="BJ382" s="37" t="s">
        <v>197</v>
      </c>
      <c r="BK382" s="37" t="s">
        <v>197</v>
      </c>
      <c r="BL382" s="37" t="s">
        <v>197</v>
      </c>
      <c r="BM382" s="37" t="s">
        <v>197</v>
      </c>
      <c r="BN382" s="37" t="s">
        <v>197</v>
      </c>
      <c r="BO382" s="37" t="s">
        <v>197</v>
      </c>
      <c r="BP382" s="37" t="s">
        <v>197</v>
      </c>
      <c r="BQ382" s="37" t="s">
        <v>197</v>
      </c>
      <c r="BR382" s="37" t="s">
        <v>197</v>
      </c>
      <c r="BS382" s="37" t="s">
        <v>197</v>
      </c>
      <c r="BT382" s="37" t="s">
        <v>197</v>
      </c>
    </row>
    <row r="383" spans="5:72" x14ac:dyDescent="0.25">
      <c r="E383" s="6" t="s">
        <v>20</v>
      </c>
      <c r="F383" s="6">
        <f t="shared" si="106"/>
        <v>0</v>
      </c>
      <c r="G383" s="6">
        <f t="shared" si="107"/>
        <v>0</v>
      </c>
      <c r="H383" s="6">
        <f t="shared" si="108"/>
        <v>0</v>
      </c>
      <c r="I383" s="6">
        <f t="shared" si="109"/>
        <v>0</v>
      </c>
      <c r="J383" s="6">
        <f t="shared" si="110"/>
        <v>0</v>
      </c>
      <c r="K383" s="6">
        <f t="shared" si="111"/>
        <v>0</v>
      </c>
      <c r="L383" s="6">
        <f t="shared" si="112"/>
        <v>0</v>
      </c>
      <c r="M383" s="6">
        <f t="shared" si="113"/>
        <v>0</v>
      </c>
      <c r="N383" s="6">
        <f t="shared" si="114"/>
        <v>0</v>
      </c>
      <c r="O383" s="6">
        <f t="shared" si="115"/>
        <v>0</v>
      </c>
      <c r="P383" s="6">
        <f t="shared" si="116"/>
        <v>0</v>
      </c>
      <c r="Q383" s="6">
        <f t="shared" si="117"/>
        <v>0</v>
      </c>
      <c r="R383" s="6">
        <f t="shared" si="118"/>
        <v>0</v>
      </c>
      <c r="S383" s="6">
        <f t="shared" si="119"/>
        <v>0</v>
      </c>
      <c r="T383" s="6">
        <f t="shared" si="120"/>
        <v>0</v>
      </c>
      <c r="U383" s="6">
        <f t="shared" si="121"/>
        <v>0</v>
      </c>
      <c r="V383" s="6">
        <f t="shared" si="122"/>
        <v>0</v>
      </c>
      <c r="W383" s="6">
        <f t="shared" si="123"/>
        <v>0</v>
      </c>
      <c r="X383" s="6">
        <f t="shared" si="124"/>
        <v>0</v>
      </c>
      <c r="Y383" s="6">
        <f t="shared" si="125"/>
        <v>0</v>
      </c>
      <c r="Z383" s="6">
        <f t="shared" si="126"/>
        <v>0</v>
      </c>
      <c r="AB383" s="36" t="str">
        <f>IF(最佳化斷筋點!C383="","",最佳化斷筋點!C383)</f>
        <v>上層</v>
      </c>
      <c r="AC383" s="37">
        <f>IF(最佳化斷筋點!D383="","",最佳化斷筋點!D383)</f>
        <v>11</v>
      </c>
      <c r="AD383" s="37">
        <f>IF(最佳化斷筋點!E383="","",最佳化斷筋點!E383)</f>
        <v>11</v>
      </c>
      <c r="AE383" s="37">
        <f>IF(最佳化斷筋點!F383="","",最佳化斷筋點!F383)</f>
        <v>11</v>
      </c>
      <c r="AF383" s="37">
        <f>IF(最佳化斷筋點!G383="","",最佳化斷筋點!G383)</f>
        <v>11</v>
      </c>
      <c r="AG383" s="37">
        <f>IF(最佳化斷筋點!H383="","",最佳化斷筋點!H383)</f>
        <v>11</v>
      </c>
      <c r="AH383" s="37">
        <f>IF(最佳化斷筋點!I383="","",最佳化斷筋點!I383)</f>
        <v>11</v>
      </c>
      <c r="AI383" s="37">
        <f>IF(最佳化斷筋點!J383="","",最佳化斷筋點!J383)</f>
        <v>10</v>
      </c>
      <c r="AJ383" s="37">
        <f>IF(最佳化斷筋點!K383="","",最佳化斷筋點!K383)</f>
        <v>4</v>
      </c>
      <c r="AK383" s="37">
        <f>IF(最佳化斷筋點!L383="","",最佳化斷筋點!L383)</f>
        <v>4</v>
      </c>
      <c r="AL383" s="37">
        <f>IF(最佳化斷筋點!M383="","",最佳化斷筋點!M383)</f>
        <v>4</v>
      </c>
      <c r="AM383" s="37">
        <f>IF(最佳化斷筋點!N383="","",最佳化斷筋點!N383)</f>
        <v>4</v>
      </c>
      <c r="AN383" s="37">
        <f>IF(最佳化斷筋點!O383="","",最佳化斷筋點!O383)</f>
        <v>4</v>
      </c>
      <c r="AO383" s="37">
        <f>IF(最佳化斷筋點!P383="","",最佳化斷筋點!P383)</f>
        <v>4</v>
      </c>
      <c r="AP383" s="37">
        <f>IF(最佳化斷筋點!Q383="","",最佳化斷筋點!Q383)</f>
        <v>6</v>
      </c>
      <c r="AQ383" s="37">
        <f>IF(最佳化斷筋點!R383="","",最佳化斷筋點!R383)</f>
        <v>7</v>
      </c>
      <c r="AR383" s="37">
        <f>IF(最佳化斷筋點!S383="","",最佳化斷筋點!S383)</f>
        <v>8</v>
      </c>
      <c r="AS383" s="37">
        <f>IF(最佳化斷筋點!T383="","",最佳化斷筋點!T383)</f>
        <v>9</v>
      </c>
      <c r="AT383" s="37">
        <f>IF(最佳化斷筋點!U383="","",最佳化斷筋點!U383)</f>
        <v>9</v>
      </c>
      <c r="AU383" s="37">
        <f>IF(最佳化斷筋點!V383="","",最佳化斷筋點!V383)</f>
        <v>9</v>
      </c>
      <c r="AV383" s="37">
        <f>IF(最佳化斷筋點!W383="","",最佳化斷筋點!W383)</f>
        <v>9</v>
      </c>
      <c r="AW383" s="37">
        <f>IF(最佳化斷筋點!X383="","",最佳化斷筋點!X383)</f>
        <v>9</v>
      </c>
      <c r="AY383" s="6" t="s">
        <v>20</v>
      </c>
      <c r="AZ383" s="37">
        <v>11</v>
      </c>
      <c r="BA383" s="37">
        <v>11</v>
      </c>
      <c r="BB383" s="37">
        <v>11</v>
      </c>
      <c r="BC383" s="37">
        <v>11</v>
      </c>
      <c r="BD383" s="37">
        <v>11</v>
      </c>
      <c r="BE383" s="37">
        <v>11</v>
      </c>
      <c r="BF383" s="37">
        <v>10</v>
      </c>
      <c r="BG383" s="37">
        <v>4</v>
      </c>
      <c r="BH383" s="37">
        <v>4</v>
      </c>
      <c r="BI383" s="37">
        <v>4</v>
      </c>
      <c r="BJ383" s="37">
        <v>4</v>
      </c>
      <c r="BK383" s="37">
        <v>4</v>
      </c>
      <c r="BL383" s="37">
        <v>4</v>
      </c>
      <c r="BM383" s="37">
        <v>6</v>
      </c>
      <c r="BN383" s="37">
        <v>7</v>
      </c>
      <c r="BO383" s="37">
        <v>8</v>
      </c>
      <c r="BP383" s="37">
        <v>9</v>
      </c>
      <c r="BQ383" s="37">
        <v>9</v>
      </c>
      <c r="BR383" s="37">
        <v>9</v>
      </c>
      <c r="BS383" s="37">
        <v>9</v>
      </c>
      <c r="BT383" s="37">
        <v>9</v>
      </c>
    </row>
    <row r="384" spans="5:72" x14ac:dyDescent="0.25">
      <c r="F384" s="6">
        <f t="shared" si="106"/>
        <v>0</v>
      </c>
      <c r="G384" s="6">
        <f t="shared" si="107"/>
        <v>0</v>
      </c>
      <c r="H384" s="6">
        <f t="shared" si="108"/>
        <v>0</v>
      </c>
      <c r="I384" s="6">
        <f t="shared" si="109"/>
        <v>0</v>
      </c>
      <c r="J384" s="6">
        <f t="shared" si="110"/>
        <v>0</v>
      </c>
      <c r="K384" s="6">
        <f t="shared" si="111"/>
        <v>0</v>
      </c>
      <c r="L384" s="6">
        <f t="shared" si="112"/>
        <v>0</v>
      </c>
      <c r="M384" s="6">
        <f t="shared" si="113"/>
        <v>0</v>
      </c>
      <c r="N384" s="6">
        <f t="shared" si="114"/>
        <v>0</v>
      </c>
      <c r="O384" s="6">
        <f t="shared" si="115"/>
        <v>0</v>
      </c>
      <c r="P384" s="6">
        <f t="shared" si="116"/>
        <v>0</v>
      </c>
      <c r="Q384" s="6">
        <f t="shared" si="117"/>
        <v>0</v>
      </c>
      <c r="R384" s="6">
        <f t="shared" si="118"/>
        <v>0</v>
      </c>
      <c r="S384" s="6">
        <f t="shared" si="119"/>
        <v>0</v>
      </c>
      <c r="T384" s="6">
        <f t="shared" si="120"/>
        <v>0</v>
      </c>
      <c r="U384" s="6">
        <f t="shared" si="121"/>
        <v>0</v>
      </c>
      <c r="V384" s="6">
        <f t="shared" si="122"/>
        <v>0</v>
      </c>
      <c r="W384" s="6">
        <f t="shared" si="123"/>
        <v>0</v>
      </c>
      <c r="X384" s="6">
        <f t="shared" si="124"/>
        <v>0</v>
      </c>
      <c r="Y384" s="6">
        <f t="shared" si="125"/>
        <v>0</v>
      </c>
      <c r="Z384" s="6">
        <f t="shared" si="126"/>
        <v>0</v>
      </c>
      <c r="AB384" s="36" t="str">
        <f>IF(最佳化斷筋點!C384="","",最佳化斷筋點!C384)</f>
        <v/>
      </c>
      <c r="AC384" s="37" t="str">
        <f>IF(最佳化斷筋點!D384="","",最佳化斷筋點!D384)</f>
        <v/>
      </c>
      <c r="AD384" s="37" t="str">
        <f>IF(最佳化斷筋點!E384="","",最佳化斷筋點!E384)</f>
        <v/>
      </c>
      <c r="AE384" s="37" t="str">
        <f>IF(最佳化斷筋點!F384="","",最佳化斷筋點!F384)</f>
        <v/>
      </c>
      <c r="AF384" s="37" t="str">
        <f>IF(最佳化斷筋點!G384="","",最佳化斷筋點!G384)</f>
        <v/>
      </c>
      <c r="AG384" s="37" t="str">
        <f>IF(最佳化斷筋點!H384="","",最佳化斷筋點!H384)</f>
        <v/>
      </c>
      <c r="AH384" s="37" t="str">
        <f>IF(最佳化斷筋點!I384="","",最佳化斷筋點!I384)</f>
        <v/>
      </c>
      <c r="AI384" s="37" t="str">
        <f>IF(最佳化斷筋點!J384="","",最佳化斷筋點!J384)</f>
        <v/>
      </c>
      <c r="AJ384" s="37" t="str">
        <f>IF(最佳化斷筋點!K384="","",最佳化斷筋點!K384)</f>
        <v/>
      </c>
      <c r="AK384" s="37" t="str">
        <f>IF(最佳化斷筋點!L384="","",最佳化斷筋點!L384)</f>
        <v/>
      </c>
      <c r="AL384" s="37" t="str">
        <f>IF(最佳化斷筋點!M384="","",最佳化斷筋點!M384)</f>
        <v/>
      </c>
      <c r="AM384" s="37" t="str">
        <f>IF(最佳化斷筋點!N384="","",最佳化斷筋點!N384)</f>
        <v/>
      </c>
      <c r="AN384" s="37" t="str">
        <f>IF(最佳化斷筋點!O384="","",最佳化斷筋點!O384)</f>
        <v/>
      </c>
      <c r="AO384" s="37" t="str">
        <f>IF(最佳化斷筋點!P384="","",最佳化斷筋點!P384)</f>
        <v/>
      </c>
      <c r="AP384" s="37" t="str">
        <f>IF(最佳化斷筋點!Q384="","",最佳化斷筋點!Q384)</f>
        <v/>
      </c>
      <c r="AQ384" s="37" t="str">
        <f>IF(最佳化斷筋點!R384="","",最佳化斷筋點!R384)</f>
        <v/>
      </c>
      <c r="AR384" s="37" t="str">
        <f>IF(最佳化斷筋點!S384="","",最佳化斷筋點!S384)</f>
        <v/>
      </c>
      <c r="AS384" s="37" t="str">
        <f>IF(最佳化斷筋點!T384="","",最佳化斷筋點!T384)</f>
        <v/>
      </c>
      <c r="AT384" s="37" t="str">
        <f>IF(最佳化斷筋點!U384="","",最佳化斷筋點!U384)</f>
        <v/>
      </c>
      <c r="AU384" s="37" t="str">
        <f>IF(最佳化斷筋點!V384="","",最佳化斷筋點!V384)</f>
        <v/>
      </c>
      <c r="AV384" s="37" t="str">
        <f>IF(最佳化斷筋點!W384="","",最佳化斷筋點!W384)</f>
        <v/>
      </c>
      <c r="AW384" s="37" t="str">
        <f>IF(最佳化斷筋點!X384="","",最佳化斷筋點!X384)</f>
        <v/>
      </c>
      <c r="AZ384" s="37" t="s">
        <v>197</v>
      </c>
      <c r="BA384" s="37" t="s">
        <v>197</v>
      </c>
      <c r="BB384" s="37" t="s">
        <v>197</v>
      </c>
      <c r="BC384" s="37" t="s">
        <v>197</v>
      </c>
      <c r="BD384" s="37" t="s">
        <v>197</v>
      </c>
      <c r="BE384" s="37" t="s">
        <v>197</v>
      </c>
      <c r="BF384" s="37" t="s">
        <v>197</v>
      </c>
      <c r="BG384" s="37" t="s">
        <v>197</v>
      </c>
      <c r="BH384" s="37" t="s">
        <v>197</v>
      </c>
      <c r="BI384" s="37" t="s">
        <v>197</v>
      </c>
      <c r="BJ384" s="37" t="s">
        <v>197</v>
      </c>
      <c r="BK384" s="37" t="s">
        <v>197</v>
      </c>
      <c r="BL384" s="37" t="s">
        <v>197</v>
      </c>
      <c r="BM384" s="37" t="s">
        <v>197</v>
      </c>
      <c r="BN384" s="37" t="s">
        <v>197</v>
      </c>
      <c r="BO384" s="37" t="s">
        <v>197</v>
      </c>
      <c r="BP384" s="37" t="s">
        <v>197</v>
      </c>
      <c r="BQ384" s="37" t="s">
        <v>197</v>
      </c>
      <c r="BR384" s="37" t="s">
        <v>197</v>
      </c>
      <c r="BS384" s="37" t="s">
        <v>197</v>
      </c>
      <c r="BT384" s="37" t="s">
        <v>197</v>
      </c>
    </row>
    <row r="385" spans="5:72" x14ac:dyDescent="0.25">
      <c r="E385" s="6" t="s">
        <v>21</v>
      </c>
      <c r="F385" s="6">
        <f t="shared" si="106"/>
        <v>0</v>
      </c>
      <c r="G385" s="6">
        <f t="shared" si="107"/>
        <v>0</v>
      </c>
      <c r="H385" s="6">
        <f t="shared" si="108"/>
        <v>0</v>
      </c>
      <c r="I385" s="6">
        <f t="shared" si="109"/>
        <v>0</v>
      </c>
      <c r="J385" s="6">
        <f t="shared" si="110"/>
        <v>0</v>
      </c>
      <c r="K385" s="6">
        <f t="shared" si="111"/>
        <v>0</v>
      </c>
      <c r="L385" s="6">
        <f t="shared" si="112"/>
        <v>0</v>
      </c>
      <c r="M385" s="6">
        <f t="shared" si="113"/>
        <v>0</v>
      </c>
      <c r="N385" s="6">
        <f t="shared" si="114"/>
        <v>0</v>
      </c>
      <c r="O385" s="6">
        <f t="shared" si="115"/>
        <v>0</v>
      </c>
      <c r="P385" s="6">
        <f t="shared" si="116"/>
        <v>0</v>
      </c>
      <c r="Q385" s="6">
        <f t="shared" si="117"/>
        <v>0</v>
      </c>
      <c r="R385" s="6">
        <f t="shared" si="118"/>
        <v>0</v>
      </c>
      <c r="S385" s="6">
        <f t="shared" si="119"/>
        <v>0</v>
      </c>
      <c r="T385" s="6">
        <f t="shared" si="120"/>
        <v>0</v>
      </c>
      <c r="U385" s="6">
        <f t="shared" si="121"/>
        <v>0</v>
      </c>
      <c r="V385" s="6">
        <f t="shared" si="122"/>
        <v>0</v>
      </c>
      <c r="W385" s="6">
        <f t="shared" si="123"/>
        <v>0</v>
      </c>
      <c r="X385" s="6">
        <f t="shared" si="124"/>
        <v>0</v>
      </c>
      <c r="Y385" s="6">
        <f t="shared" si="125"/>
        <v>0</v>
      </c>
      <c r="Z385" s="6">
        <f t="shared" si="126"/>
        <v>0</v>
      </c>
      <c r="AB385" s="36" t="str">
        <f>IF(最佳化斷筋點!C385="","",最佳化斷筋點!C385)</f>
        <v>下層</v>
      </c>
      <c r="AC385" s="37">
        <f>IF(最佳化斷筋點!D385="","",最佳化斷筋點!D385)</f>
        <v>8</v>
      </c>
      <c r="AD385" s="37">
        <f>IF(最佳化斷筋點!E385="","",最佳化斷筋點!E385)</f>
        <v>8</v>
      </c>
      <c r="AE385" s="37">
        <f>IF(最佳化斷筋點!F385="","",最佳化斷筋點!F385)</f>
        <v>8</v>
      </c>
      <c r="AF385" s="37">
        <f>IF(最佳化斷筋點!G385="","",最佳化斷筋點!G385)</f>
        <v>8</v>
      </c>
      <c r="AG385" s="37">
        <f>IF(最佳化斷筋點!H385="","",最佳化斷筋點!H385)</f>
        <v>8</v>
      </c>
      <c r="AH385" s="37">
        <f>IF(最佳化斷筋點!I385="","",最佳化斷筋點!I385)</f>
        <v>8</v>
      </c>
      <c r="AI385" s="37">
        <f>IF(最佳化斷筋點!J385="","",最佳化斷筋點!J385)</f>
        <v>7</v>
      </c>
      <c r="AJ385" s="37">
        <f>IF(最佳化斷筋點!K385="","",最佳化斷筋點!K385)</f>
        <v>4</v>
      </c>
      <c r="AK385" s="37">
        <f>IF(最佳化斷筋點!L385="","",最佳化斷筋點!L385)</f>
        <v>4</v>
      </c>
      <c r="AL385" s="37">
        <f>IF(最佳化斷筋點!M385="","",最佳化斷筋點!M385)</f>
        <v>4</v>
      </c>
      <c r="AM385" s="37">
        <f>IF(最佳化斷筋點!N385="","",最佳化斷筋點!N385)</f>
        <v>4</v>
      </c>
      <c r="AN385" s="37">
        <f>IF(最佳化斷筋點!O385="","",最佳化斷筋點!O385)</f>
        <v>4</v>
      </c>
      <c r="AO385" s="37">
        <f>IF(最佳化斷筋點!P385="","",最佳化斷筋點!P385)</f>
        <v>4</v>
      </c>
      <c r="AP385" s="37">
        <f>IF(最佳化斷筋點!Q385="","",最佳化斷筋點!Q385)</f>
        <v>6</v>
      </c>
      <c r="AQ385" s="37">
        <f>IF(最佳化斷筋點!R385="","",最佳化斷筋點!R385)</f>
        <v>7</v>
      </c>
      <c r="AR385" s="37">
        <f>IF(最佳化斷筋點!S385="","",最佳化斷筋點!S385)</f>
        <v>8</v>
      </c>
      <c r="AS385" s="37">
        <f>IF(最佳化斷筋點!T385="","",最佳化斷筋點!T385)</f>
        <v>9</v>
      </c>
      <c r="AT385" s="37">
        <f>IF(最佳化斷筋點!U385="","",最佳化斷筋點!U385)</f>
        <v>9</v>
      </c>
      <c r="AU385" s="37">
        <f>IF(最佳化斷筋點!V385="","",最佳化斷筋點!V385)</f>
        <v>9</v>
      </c>
      <c r="AV385" s="37">
        <f>IF(最佳化斷筋點!W385="","",最佳化斷筋點!W385)</f>
        <v>9</v>
      </c>
      <c r="AW385" s="37">
        <f>IF(最佳化斷筋點!X385="","",最佳化斷筋點!X385)</f>
        <v>9</v>
      </c>
      <c r="AY385" s="6" t="s">
        <v>21</v>
      </c>
      <c r="AZ385" s="37">
        <v>8</v>
      </c>
      <c r="BA385" s="37">
        <v>8</v>
      </c>
      <c r="BB385" s="37">
        <v>8</v>
      </c>
      <c r="BC385" s="37">
        <v>8</v>
      </c>
      <c r="BD385" s="37">
        <v>8</v>
      </c>
      <c r="BE385" s="37">
        <v>8</v>
      </c>
      <c r="BF385" s="37">
        <v>7</v>
      </c>
      <c r="BG385" s="37">
        <v>4</v>
      </c>
      <c r="BH385" s="37">
        <v>4</v>
      </c>
      <c r="BI385" s="37">
        <v>4</v>
      </c>
      <c r="BJ385" s="37">
        <v>4</v>
      </c>
      <c r="BK385" s="37">
        <v>4</v>
      </c>
      <c r="BL385" s="37">
        <v>4</v>
      </c>
      <c r="BM385" s="37">
        <v>6</v>
      </c>
      <c r="BN385" s="37">
        <v>7</v>
      </c>
      <c r="BO385" s="37">
        <v>8</v>
      </c>
      <c r="BP385" s="37">
        <v>9</v>
      </c>
      <c r="BQ385" s="37">
        <v>9</v>
      </c>
      <c r="BR385" s="37">
        <v>9</v>
      </c>
      <c r="BS385" s="37">
        <v>9</v>
      </c>
      <c r="BT385" s="37">
        <v>9</v>
      </c>
    </row>
    <row r="386" spans="5:72" x14ac:dyDescent="0.25">
      <c r="F386" s="6">
        <f t="shared" si="106"/>
        <v>0</v>
      </c>
      <c r="G386" s="6">
        <f t="shared" si="107"/>
        <v>0</v>
      </c>
      <c r="H386" s="6">
        <f t="shared" si="108"/>
        <v>0</v>
      </c>
      <c r="I386" s="6">
        <f t="shared" si="109"/>
        <v>0</v>
      </c>
      <c r="J386" s="6">
        <f t="shared" si="110"/>
        <v>0</v>
      </c>
      <c r="K386" s="6">
        <f t="shared" si="111"/>
        <v>0</v>
      </c>
      <c r="L386" s="6">
        <f t="shared" si="112"/>
        <v>0</v>
      </c>
      <c r="M386" s="6">
        <f t="shared" si="113"/>
        <v>0</v>
      </c>
      <c r="N386" s="6">
        <f t="shared" si="114"/>
        <v>0</v>
      </c>
      <c r="O386" s="6">
        <f t="shared" si="115"/>
        <v>0</v>
      </c>
      <c r="P386" s="6">
        <f t="shared" si="116"/>
        <v>0</v>
      </c>
      <c r="Q386" s="6">
        <f t="shared" si="117"/>
        <v>0</v>
      </c>
      <c r="R386" s="6">
        <f t="shared" si="118"/>
        <v>0</v>
      </c>
      <c r="S386" s="6">
        <f t="shared" si="119"/>
        <v>0</v>
      </c>
      <c r="T386" s="6">
        <f t="shared" si="120"/>
        <v>0</v>
      </c>
      <c r="U386" s="6">
        <f t="shared" si="121"/>
        <v>0</v>
      </c>
      <c r="V386" s="6">
        <f t="shared" si="122"/>
        <v>0</v>
      </c>
      <c r="W386" s="6">
        <f t="shared" si="123"/>
        <v>0</v>
      </c>
      <c r="X386" s="6">
        <f t="shared" si="124"/>
        <v>0</v>
      </c>
      <c r="Y386" s="6">
        <f t="shared" si="125"/>
        <v>0</v>
      </c>
      <c r="Z386" s="6">
        <f t="shared" si="126"/>
        <v>0</v>
      </c>
      <c r="AB386" s="36" t="str">
        <f>IF(最佳化斷筋點!C386="","",最佳化斷筋點!C386)</f>
        <v/>
      </c>
      <c r="AC386" s="37" t="str">
        <f>IF(最佳化斷筋點!D386="","",最佳化斷筋點!D386)</f>
        <v/>
      </c>
      <c r="AD386" s="37" t="str">
        <f>IF(最佳化斷筋點!E386="","",最佳化斷筋點!E386)</f>
        <v/>
      </c>
      <c r="AE386" s="37" t="str">
        <f>IF(最佳化斷筋點!F386="","",最佳化斷筋點!F386)</f>
        <v/>
      </c>
      <c r="AF386" s="37" t="str">
        <f>IF(最佳化斷筋點!G386="","",最佳化斷筋點!G386)</f>
        <v/>
      </c>
      <c r="AG386" s="37" t="str">
        <f>IF(最佳化斷筋點!H386="","",最佳化斷筋點!H386)</f>
        <v/>
      </c>
      <c r="AH386" s="37" t="str">
        <f>IF(最佳化斷筋點!I386="","",最佳化斷筋點!I386)</f>
        <v/>
      </c>
      <c r="AI386" s="37" t="str">
        <f>IF(最佳化斷筋點!J386="","",最佳化斷筋點!J386)</f>
        <v/>
      </c>
      <c r="AJ386" s="37" t="str">
        <f>IF(最佳化斷筋點!K386="","",最佳化斷筋點!K386)</f>
        <v/>
      </c>
      <c r="AK386" s="37" t="str">
        <f>IF(最佳化斷筋點!L386="","",最佳化斷筋點!L386)</f>
        <v/>
      </c>
      <c r="AL386" s="37" t="str">
        <f>IF(最佳化斷筋點!M386="","",最佳化斷筋點!M386)</f>
        <v/>
      </c>
      <c r="AM386" s="37" t="str">
        <f>IF(最佳化斷筋點!N386="","",最佳化斷筋點!N386)</f>
        <v/>
      </c>
      <c r="AN386" s="37" t="str">
        <f>IF(最佳化斷筋點!O386="","",最佳化斷筋點!O386)</f>
        <v/>
      </c>
      <c r="AO386" s="37" t="str">
        <f>IF(最佳化斷筋點!P386="","",最佳化斷筋點!P386)</f>
        <v/>
      </c>
      <c r="AP386" s="37" t="str">
        <f>IF(最佳化斷筋點!Q386="","",最佳化斷筋點!Q386)</f>
        <v/>
      </c>
      <c r="AQ386" s="37" t="str">
        <f>IF(最佳化斷筋點!R386="","",最佳化斷筋點!R386)</f>
        <v/>
      </c>
      <c r="AR386" s="37" t="str">
        <f>IF(最佳化斷筋點!S386="","",最佳化斷筋點!S386)</f>
        <v/>
      </c>
      <c r="AS386" s="37" t="str">
        <f>IF(最佳化斷筋點!T386="","",最佳化斷筋點!T386)</f>
        <v/>
      </c>
      <c r="AT386" s="37" t="str">
        <f>IF(最佳化斷筋點!U386="","",最佳化斷筋點!U386)</f>
        <v/>
      </c>
      <c r="AU386" s="37" t="str">
        <f>IF(最佳化斷筋點!V386="","",最佳化斷筋點!V386)</f>
        <v/>
      </c>
      <c r="AV386" s="37" t="str">
        <f>IF(最佳化斷筋點!W386="","",最佳化斷筋點!W386)</f>
        <v/>
      </c>
      <c r="AW386" s="37" t="str">
        <f>IF(最佳化斷筋點!X386="","",最佳化斷筋點!X386)</f>
        <v/>
      </c>
      <c r="AZ386" s="37" t="s">
        <v>197</v>
      </c>
      <c r="BA386" s="37" t="s">
        <v>197</v>
      </c>
      <c r="BB386" s="37" t="s">
        <v>197</v>
      </c>
      <c r="BC386" s="37" t="s">
        <v>197</v>
      </c>
      <c r="BD386" s="37" t="s">
        <v>197</v>
      </c>
      <c r="BE386" s="37" t="s">
        <v>197</v>
      </c>
      <c r="BF386" s="37" t="s">
        <v>197</v>
      </c>
      <c r="BG386" s="37" t="s">
        <v>197</v>
      </c>
      <c r="BH386" s="37" t="s">
        <v>197</v>
      </c>
      <c r="BI386" s="37" t="s">
        <v>197</v>
      </c>
      <c r="BJ386" s="37" t="s">
        <v>197</v>
      </c>
      <c r="BK386" s="37" t="s">
        <v>197</v>
      </c>
      <c r="BL386" s="37" t="s">
        <v>197</v>
      </c>
      <c r="BM386" s="37" t="s">
        <v>197</v>
      </c>
      <c r="BN386" s="37" t="s">
        <v>197</v>
      </c>
      <c r="BO386" s="37" t="s">
        <v>197</v>
      </c>
      <c r="BP386" s="37" t="s">
        <v>197</v>
      </c>
      <c r="BQ386" s="37" t="s">
        <v>197</v>
      </c>
      <c r="BR386" s="37" t="s">
        <v>197</v>
      </c>
      <c r="BS386" s="37" t="s">
        <v>197</v>
      </c>
      <c r="BT386" s="37" t="s">
        <v>197</v>
      </c>
    </row>
    <row r="387" spans="5:72" x14ac:dyDescent="0.25">
      <c r="E387" s="6" t="s">
        <v>20</v>
      </c>
      <c r="F387" s="6">
        <f t="shared" si="106"/>
        <v>0</v>
      </c>
      <c r="G387" s="6">
        <f t="shared" si="107"/>
        <v>0</v>
      </c>
      <c r="H387" s="6">
        <f t="shared" si="108"/>
        <v>0</v>
      </c>
      <c r="I387" s="6">
        <f t="shared" si="109"/>
        <v>0</v>
      </c>
      <c r="J387" s="6">
        <f t="shared" si="110"/>
        <v>0</v>
      </c>
      <c r="K387" s="6">
        <f t="shared" si="111"/>
        <v>0</v>
      </c>
      <c r="L387" s="6">
        <f t="shared" si="112"/>
        <v>0</v>
      </c>
      <c r="M387" s="6">
        <f t="shared" si="113"/>
        <v>0</v>
      </c>
      <c r="N387" s="6">
        <f t="shared" si="114"/>
        <v>0</v>
      </c>
      <c r="O387" s="6">
        <f t="shared" si="115"/>
        <v>0</v>
      </c>
      <c r="P387" s="6">
        <f t="shared" si="116"/>
        <v>0</v>
      </c>
      <c r="Q387" s="6">
        <f t="shared" si="117"/>
        <v>0</v>
      </c>
      <c r="R387" s="6">
        <f t="shared" si="118"/>
        <v>0</v>
      </c>
      <c r="S387" s="6">
        <f t="shared" si="119"/>
        <v>0</v>
      </c>
      <c r="T387" s="6">
        <f t="shared" si="120"/>
        <v>0</v>
      </c>
      <c r="U387" s="6">
        <f t="shared" si="121"/>
        <v>0</v>
      </c>
      <c r="V387" s="6">
        <f t="shared" si="122"/>
        <v>0</v>
      </c>
      <c r="W387" s="6">
        <f t="shared" si="123"/>
        <v>0</v>
      </c>
      <c r="X387" s="6">
        <f t="shared" si="124"/>
        <v>0</v>
      </c>
      <c r="Y387" s="6">
        <f t="shared" si="125"/>
        <v>0</v>
      </c>
      <c r="Z387" s="6">
        <f t="shared" si="126"/>
        <v>0</v>
      </c>
      <c r="AB387" s="36" t="str">
        <f>IF(最佳化斷筋點!C387="","",最佳化斷筋點!C387)</f>
        <v>上層</v>
      </c>
      <c r="AC387" s="37">
        <f>IF(最佳化斷筋點!D387="","",最佳化斷筋點!D387)</f>
        <v>11</v>
      </c>
      <c r="AD387" s="37">
        <f>IF(最佳化斷筋點!E387="","",最佳化斷筋點!E387)</f>
        <v>11</v>
      </c>
      <c r="AE387" s="37">
        <f>IF(最佳化斷筋點!F387="","",最佳化斷筋點!F387)</f>
        <v>11</v>
      </c>
      <c r="AF387" s="37">
        <f>IF(最佳化斷筋點!G387="","",最佳化斷筋點!G387)</f>
        <v>11</v>
      </c>
      <c r="AG387" s="37">
        <f>IF(最佳化斷筋點!H387="","",最佳化斷筋點!H387)</f>
        <v>11</v>
      </c>
      <c r="AH387" s="37">
        <f>IF(最佳化斷筋點!I387="","",最佳化斷筋點!I387)</f>
        <v>10</v>
      </c>
      <c r="AI387" s="37">
        <f>IF(最佳化斷筋點!J387="","",最佳化斷筋點!J387)</f>
        <v>9</v>
      </c>
      <c r="AJ387" s="37">
        <f>IF(最佳化斷筋點!K387="","",最佳化斷筋點!K387)</f>
        <v>4</v>
      </c>
      <c r="AK387" s="37">
        <f>IF(最佳化斷筋點!L387="","",最佳化斷筋點!L387)</f>
        <v>4</v>
      </c>
      <c r="AL387" s="37">
        <f>IF(最佳化斷筋點!M387="","",最佳化斷筋點!M387)</f>
        <v>4</v>
      </c>
      <c r="AM387" s="37">
        <f>IF(最佳化斷筋點!N387="","",最佳化斷筋點!N387)</f>
        <v>4</v>
      </c>
      <c r="AN387" s="37">
        <f>IF(最佳化斷筋點!O387="","",最佳化斷筋點!O387)</f>
        <v>4</v>
      </c>
      <c r="AO387" s="37">
        <f>IF(最佳化斷筋點!P387="","",最佳化斷筋點!P387)</f>
        <v>4</v>
      </c>
      <c r="AP387" s="37">
        <f>IF(最佳化斷筋點!Q387="","",最佳化斷筋點!Q387)</f>
        <v>5</v>
      </c>
      <c r="AQ387" s="37">
        <f>IF(最佳化斷筋點!R387="","",最佳化斷筋點!R387)</f>
        <v>6</v>
      </c>
      <c r="AR387" s="37">
        <f>IF(最佳化斷筋點!S387="","",最佳化斷筋點!S387)</f>
        <v>6</v>
      </c>
      <c r="AS387" s="37">
        <f>IF(最佳化斷筋點!T387="","",最佳化斷筋點!T387)</f>
        <v>7</v>
      </c>
      <c r="AT387" s="37">
        <f>IF(最佳化斷筋點!U387="","",最佳化斷筋點!U387)</f>
        <v>7</v>
      </c>
      <c r="AU387" s="37">
        <f>IF(最佳化斷筋點!V387="","",最佳化斷筋點!V387)</f>
        <v>7</v>
      </c>
      <c r="AV387" s="37">
        <f>IF(最佳化斷筋點!W387="","",最佳化斷筋點!W387)</f>
        <v>7</v>
      </c>
      <c r="AW387" s="37">
        <f>IF(最佳化斷筋點!X387="","",最佳化斷筋點!X387)</f>
        <v>7</v>
      </c>
      <c r="AY387" s="6" t="s">
        <v>20</v>
      </c>
      <c r="AZ387" s="37">
        <v>11</v>
      </c>
      <c r="BA387" s="37">
        <v>11</v>
      </c>
      <c r="BB387" s="37">
        <v>11</v>
      </c>
      <c r="BC387" s="37">
        <v>11</v>
      </c>
      <c r="BD387" s="37">
        <v>11</v>
      </c>
      <c r="BE387" s="37">
        <v>10</v>
      </c>
      <c r="BF387" s="37">
        <v>9</v>
      </c>
      <c r="BG387" s="37">
        <v>4</v>
      </c>
      <c r="BH387" s="37">
        <v>4</v>
      </c>
      <c r="BI387" s="37">
        <v>4</v>
      </c>
      <c r="BJ387" s="37">
        <v>4</v>
      </c>
      <c r="BK387" s="37">
        <v>4</v>
      </c>
      <c r="BL387" s="37">
        <v>4</v>
      </c>
      <c r="BM387" s="37">
        <v>5</v>
      </c>
      <c r="BN387" s="37">
        <v>6</v>
      </c>
      <c r="BO387" s="37">
        <v>6</v>
      </c>
      <c r="BP387" s="37">
        <v>7</v>
      </c>
      <c r="BQ387" s="37">
        <v>7</v>
      </c>
      <c r="BR387" s="37">
        <v>7</v>
      </c>
      <c r="BS387" s="37">
        <v>7</v>
      </c>
      <c r="BT387" s="37">
        <v>7</v>
      </c>
    </row>
    <row r="388" spans="5:72" x14ac:dyDescent="0.25">
      <c r="F388" s="6">
        <f t="shared" ref="F388:F451" si="127">IF(AC388=AZ388,0,1)</f>
        <v>0</v>
      </c>
      <c r="G388" s="6">
        <f t="shared" ref="G388:G451" si="128">IF(AD388=BA388,0,1)</f>
        <v>0</v>
      </c>
      <c r="H388" s="6">
        <f t="shared" ref="H388:H451" si="129">IF(AE388=BB388,0,1)</f>
        <v>0</v>
      </c>
      <c r="I388" s="6">
        <f t="shared" ref="I388:I451" si="130">IF(AF388=BC388,0,1)</f>
        <v>0</v>
      </c>
      <c r="J388" s="6">
        <f t="shared" ref="J388:J451" si="131">IF(AG388=BD388,0,1)</f>
        <v>0</v>
      </c>
      <c r="K388" s="6">
        <f t="shared" ref="K388:K451" si="132">IF(AH388=BE388,0,1)</f>
        <v>0</v>
      </c>
      <c r="L388" s="6">
        <f t="shared" ref="L388:L451" si="133">IF(AI388=BF388,0,1)</f>
        <v>0</v>
      </c>
      <c r="M388" s="6">
        <f t="shared" ref="M388:M451" si="134">IF(AJ388=BG388,0,1)</f>
        <v>0</v>
      </c>
      <c r="N388" s="6">
        <f t="shared" ref="N388:N451" si="135">IF(AK388=BH388,0,1)</f>
        <v>0</v>
      </c>
      <c r="O388" s="6">
        <f t="shared" ref="O388:O451" si="136">IF(AL388=BI388,0,1)</f>
        <v>0</v>
      </c>
      <c r="P388" s="6">
        <f t="shared" ref="P388:P451" si="137">IF(AM388=BJ388,0,1)</f>
        <v>0</v>
      </c>
      <c r="Q388" s="6">
        <f t="shared" ref="Q388:Q451" si="138">IF(AN388=BK388,0,1)</f>
        <v>0</v>
      </c>
      <c r="R388" s="6">
        <f t="shared" ref="R388:R451" si="139">IF(AO388=BL388,0,1)</f>
        <v>0</v>
      </c>
      <c r="S388" s="6">
        <f t="shared" ref="S388:S451" si="140">IF(AP388=BM388,0,1)</f>
        <v>0</v>
      </c>
      <c r="T388" s="6">
        <f t="shared" ref="T388:T451" si="141">IF(AQ388=BN388,0,1)</f>
        <v>0</v>
      </c>
      <c r="U388" s="6">
        <f t="shared" ref="U388:U451" si="142">IF(AR388=BO388,0,1)</f>
        <v>0</v>
      </c>
      <c r="V388" s="6">
        <f t="shared" ref="V388:V451" si="143">IF(AS388=BP388,0,1)</f>
        <v>0</v>
      </c>
      <c r="W388" s="6">
        <f t="shared" ref="W388:W451" si="144">IF(AT388=BQ388,0,1)</f>
        <v>0</v>
      </c>
      <c r="X388" s="6">
        <f t="shared" ref="X388:X451" si="145">IF(AU388=BR388,0,1)</f>
        <v>0</v>
      </c>
      <c r="Y388" s="6">
        <f t="shared" ref="Y388:Y451" si="146">IF(AV388=BS388,0,1)</f>
        <v>0</v>
      </c>
      <c r="Z388" s="6">
        <f t="shared" ref="Z388:Z451" si="147">IF(AW388=BT388,0,1)</f>
        <v>0</v>
      </c>
      <c r="AB388" s="36" t="str">
        <f>IF(最佳化斷筋點!C388="","",最佳化斷筋點!C388)</f>
        <v/>
      </c>
      <c r="AC388" s="37" t="str">
        <f>IF(最佳化斷筋點!D388="","",最佳化斷筋點!D388)</f>
        <v/>
      </c>
      <c r="AD388" s="37" t="str">
        <f>IF(最佳化斷筋點!E388="","",最佳化斷筋點!E388)</f>
        <v/>
      </c>
      <c r="AE388" s="37" t="str">
        <f>IF(最佳化斷筋點!F388="","",最佳化斷筋點!F388)</f>
        <v/>
      </c>
      <c r="AF388" s="37" t="str">
        <f>IF(最佳化斷筋點!G388="","",最佳化斷筋點!G388)</f>
        <v/>
      </c>
      <c r="AG388" s="37" t="str">
        <f>IF(最佳化斷筋點!H388="","",最佳化斷筋點!H388)</f>
        <v/>
      </c>
      <c r="AH388" s="37" t="str">
        <f>IF(最佳化斷筋點!I388="","",最佳化斷筋點!I388)</f>
        <v/>
      </c>
      <c r="AI388" s="37" t="str">
        <f>IF(最佳化斷筋點!J388="","",最佳化斷筋點!J388)</f>
        <v/>
      </c>
      <c r="AJ388" s="37" t="str">
        <f>IF(最佳化斷筋點!K388="","",最佳化斷筋點!K388)</f>
        <v/>
      </c>
      <c r="AK388" s="37" t="str">
        <f>IF(最佳化斷筋點!L388="","",最佳化斷筋點!L388)</f>
        <v/>
      </c>
      <c r="AL388" s="37" t="str">
        <f>IF(最佳化斷筋點!M388="","",最佳化斷筋點!M388)</f>
        <v/>
      </c>
      <c r="AM388" s="37" t="str">
        <f>IF(最佳化斷筋點!N388="","",最佳化斷筋點!N388)</f>
        <v/>
      </c>
      <c r="AN388" s="37" t="str">
        <f>IF(最佳化斷筋點!O388="","",最佳化斷筋點!O388)</f>
        <v/>
      </c>
      <c r="AO388" s="37" t="str">
        <f>IF(最佳化斷筋點!P388="","",最佳化斷筋點!P388)</f>
        <v/>
      </c>
      <c r="AP388" s="37" t="str">
        <f>IF(最佳化斷筋點!Q388="","",最佳化斷筋點!Q388)</f>
        <v/>
      </c>
      <c r="AQ388" s="37" t="str">
        <f>IF(最佳化斷筋點!R388="","",最佳化斷筋點!R388)</f>
        <v/>
      </c>
      <c r="AR388" s="37" t="str">
        <f>IF(最佳化斷筋點!S388="","",最佳化斷筋點!S388)</f>
        <v/>
      </c>
      <c r="AS388" s="37" t="str">
        <f>IF(最佳化斷筋點!T388="","",最佳化斷筋點!T388)</f>
        <v/>
      </c>
      <c r="AT388" s="37" t="str">
        <f>IF(最佳化斷筋點!U388="","",最佳化斷筋點!U388)</f>
        <v/>
      </c>
      <c r="AU388" s="37" t="str">
        <f>IF(最佳化斷筋點!V388="","",最佳化斷筋點!V388)</f>
        <v/>
      </c>
      <c r="AV388" s="37" t="str">
        <f>IF(最佳化斷筋點!W388="","",最佳化斷筋點!W388)</f>
        <v/>
      </c>
      <c r="AW388" s="37" t="str">
        <f>IF(最佳化斷筋點!X388="","",最佳化斷筋點!X388)</f>
        <v/>
      </c>
      <c r="AZ388" s="37" t="s">
        <v>197</v>
      </c>
      <c r="BA388" s="37" t="s">
        <v>197</v>
      </c>
      <c r="BB388" s="37" t="s">
        <v>197</v>
      </c>
      <c r="BC388" s="37" t="s">
        <v>197</v>
      </c>
      <c r="BD388" s="37" t="s">
        <v>197</v>
      </c>
      <c r="BE388" s="37" t="s">
        <v>197</v>
      </c>
      <c r="BF388" s="37" t="s">
        <v>197</v>
      </c>
      <c r="BG388" s="37" t="s">
        <v>197</v>
      </c>
      <c r="BH388" s="37" t="s">
        <v>197</v>
      </c>
      <c r="BI388" s="37" t="s">
        <v>197</v>
      </c>
      <c r="BJ388" s="37" t="s">
        <v>197</v>
      </c>
      <c r="BK388" s="37" t="s">
        <v>197</v>
      </c>
      <c r="BL388" s="37" t="s">
        <v>197</v>
      </c>
      <c r="BM388" s="37" t="s">
        <v>197</v>
      </c>
      <c r="BN388" s="37" t="s">
        <v>197</v>
      </c>
      <c r="BO388" s="37" t="s">
        <v>197</v>
      </c>
      <c r="BP388" s="37" t="s">
        <v>197</v>
      </c>
      <c r="BQ388" s="37" t="s">
        <v>197</v>
      </c>
      <c r="BR388" s="37" t="s">
        <v>197</v>
      </c>
      <c r="BS388" s="37" t="s">
        <v>197</v>
      </c>
      <c r="BT388" s="37" t="s">
        <v>197</v>
      </c>
    </row>
    <row r="389" spans="5:72" x14ac:dyDescent="0.25">
      <c r="E389" s="6" t="s">
        <v>21</v>
      </c>
      <c r="F389" s="6">
        <f t="shared" si="127"/>
        <v>0</v>
      </c>
      <c r="G389" s="6">
        <f t="shared" si="128"/>
        <v>0</v>
      </c>
      <c r="H389" s="6">
        <f t="shared" si="129"/>
        <v>0</v>
      </c>
      <c r="I389" s="6">
        <f t="shared" si="130"/>
        <v>0</v>
      </c>
      <c r="J389" s="6">
        <f t="shared" si="131"/>
        <v>0</v>
      </c>
      <c r="K389" s="6">
        <f t="shared" si="132"/>
        <v>0</v>
      </c>
      <c r="L389" s="6">
        <f t="shared" si="133"/>
        <v>0</v>
      </c>
      <c r="M389" s="6">
        <f t="shared" si="134"/>
        <v>0</v>
      </c>
      <c r="N389" s="6">
        <f t="shared" si="135"/>
        <v>0</v>
      </c>
      <c r="O389" s="6">
        <f t="shared" si="136"/>
        <v>0</v>
      </c>
      <c r="P389" s="6">
        <f t="shared" si="137"/>
        <v>0</v>
      </c>
      <c r="Q389" s="6">
        <f t="shared" si="138"/>
        <v>0</v>
      </c>
      <c r="R389" s="6">
        <f t="shared" si="139"/>
        <v>0</v>
      </c>
      <c r="S389" s="6">
        <f t="shared" si="140"/>
        <v>0</v>
      </c>
      <c r="T389" s="6">
        <f t="shared" si="141"/>
        <v>0</v>
      </c>
      <c r="U389" s="6">
        <f t="shared" si="142"/>
        <v>0</v>
      </c>
      <c r="V389" s="6">
        <f t="shared" si="143"/>
        <v>0</v>
      </c>
      <c r="W389" s="6">
        <f t="shared" si="144"/>
        <v>0</v>
      </c>
      <c r="X389" s="6">
        <f t="shared" si="145"/>
        <v>0</v>
      </c>
      <c r="Y389" s="6">
        <f t="shared" si="146"/>
        <v>0</v>
      </c>
      <c r="Z389" s="6">
        <f t="shared" si="147"/>
        <v>0</v>
      </c>
      <c r="AB389" s="36" t="str">
        <f>IF(最佳化斷筋點!C389="","",最佳化斷筋點!C389)</f>
        <v>下層</v>
      </c>
      <c r="AC389" s="37">
        <f>IF(最佳化斷筋點!D389="","",最佳化斷筋點!D389)</f>
        <v>6</v>
      </c>
      <c r="AD389" s="37">
        <f>IF(最佳化斷筋點!E389="","",最佳化斷筋點!E389)</f>
        <v>6</v>
      </c>
      <c r="AE389" s="37">
        <f>IF(最佳化斷筋點!F389="","",最佳化斷筋點!F389)</f>
        <v>6</v>
      </c>
      <c r="AF389" s="37">
        <f>IF(最佳化斷筋點!G389="","",最佳化斷筋點!G389)</f>
        <v>6</v>
      </c>
      <c r="AG389" s="37">
        <f>IF(最佳化斷筋點!H389="","",最佳化斷筋點!H389)</f>
        <v>6</v>
      </c>
      <c r="AH389" s="37">
        <f>IF(最佳化斷筋點!I389="","",最佳化斷筋點!I389)</f>
        <v>6</v>
      </c>
      <c r="AI389" s="37">
        <f>IF(最佳化斷筋點!J389="","",最佳化斷筋點!J389)</f>
        <v>5</v>
      </c>
      <c r="AJ389" s="37">
        <f>IF(最佳化斷筋點!K389="","",最佳化斷筋點!K389)</f>
        <v>3</v>
      </c>
      <c r="AK389" s="37">
        <f>IF(最佳化斷筋點!L389="","",最佳化斷筋點!L389)</f>
        <v>3</v>
      </c>
      <c r="AL389" s="37">
        <f>IF(最佳化斷筋點!M389="","",最佳化斷筋點!M389)</f>
        <v>3</v>
      </c>
      <c r="AM389" s="37">
        <f>IF(最佳化斷筋點!N389="","",最佳化斷筋點!N389)</f>
        <v>3</v>
      </c>
      <c r="AN389" s="37">
        <f>IF(最佳化斷筋點!O389="","",最佳化斷筋點!O389)</f>
        <v>3</v>
      </c>
      <c r="AO389" s="37">
        <f>IF(最佳化斷筋點!P389="","",最佳化斷筋點!P389)</f>
        <v>3</v>
      </c>
      <c r="AP389" s="37">
        <f>IF(最佳化斷筋點!Q389="","",最佳化斷筋點!Q389)</f>
        <v>6</v>
      </c>
      <c r="AQ389" s="37">
        <f>IF(最佳化斷筋點!R389="","",最佳化斷筋點!R389)</f>
        <v>6</v>
      </c>
      <c r="AR389" s="37">
        <f>IF(最佳化斷筋點!S389="","",最佳化斷筋點!S389)</f>
        <v>7</v>
      </c>
      <c r="AS389" s="37">
        <f>IF(最佳化斷筋點!T389="","",最佳化斷筋點!T389)</f>
        <v>8</v>
      </c>
      <c r="AT389" s="37">
        <f>IF(最佳化斷筋點!U389="","",最佳化斷筋點!U389)</f>
        <v>8</v>
      </c>
      <c r="AU389" s="37">
        <f>IF(最佳化斷筋點!V389="","",最佳化斷筋點!V389)</f>
        <v>8</v>
      </c>
      <c r="AV389" s="37">
        <f>IF(最佳化斷筋點!W389="","",最佳化斷筋點!W389)</f>
        <v>8</v>
      </c>
      <c r="AW389" s="37">
        <f>IF(最佳化斷筋點!X389="","",最佳化斷筋點!X389)</f>
        <v>8</v>
      </c>
      <c r="AY389" s="6" t="s">
        <v>21</v>
      </c>
      <c r="AZ389" s="37">
        <v>6</v>
      </c>
      <c r="BA389" s="37">
        <v>6</v>
      </c>
      <c r="BB389" s="37">
        <v>6</v>
      </c>
      <c r="BC389" s="37">
        <v>6</v>
      </c>
      <c r="BD389" s="37">
        <v>6</v>
      </c>
      <c r="BE389" s="37">
        <v>6</v>
      </c>
      <c r="BF389" s="37">
        <v>5</v>
      </c>
      <c r="BG389" s="37">
        <v>3</v>
      </c>
      <c r="BH389" s="37">
        <v>3</v>
      </c>
      <c r="BI389" s="37">
        <v>3</v>
      </c>
      <c r="BJ389" s="37">
        <v>3</v>
      </c>
      <c r="BK389" s="37">
        <v>3</v>
      </c>
      <c r="BL389" s="37">
        <v>3</v>
      </c>
      <c r="BM389" s="37">
        <v>6</v>
      </c>
      <c r="BN389" s="37">
        <v>6</v>
      </c>
      <c r="BO389" s="37">
        <v>7</v>
      </c>
      <c r="BP389" s="37">
        <v>8</v>
      </c>
      <c r="BQ389" s="37">
        <v>8</v>
      </c>
      <c r="BR389" s="37">
        <v>8</v>
      </c>
      <c r="BS389" s="37">
        <v>8</v>
      </c>
      <c r="BT389" s="37">
        <v>8</v>
      </c>
    </row>
    <row r="390" spans="5:72" x14ac:dyDescent="0.25">
      <c r="F390" s="6">
        <f t="shared" si="127"/>
        <v>0</v>
      </c>
      <c r="G390" s="6">
        <f t="shared" si="128"/>
        <v>0</v>
      </c>
      <c r="H390" s="6">
        <f t="shared" si="129"/>
        <v>0</v>
      </c>
      <c r="I390" s="6">
        <f t="shared" si="130"/>
        <v>0</v>
      </c>
      <c r="J390" s="6">
        <f t="shared" si="131"/>
        <v>0</v>
      </c>
      <c r="K390" s="6">
        <f t="shared" si="132"/>
        <v>0</v>
      </c>
      <c r="L390" s="6">
        <f t="shared" si="133"/>
        <v>0</v>
      </c>
      <c r="M390" s="6">
        <f t="shared" si="134"/>
        <v>0</v>
      </c>
      <c r="N390" s="6">
        <f t="shared" si="135"/>
        <v>0</v>
      </c>
      <c r="O390" s="6">
        <f t="shared" si="136"/>
        <v>0</v>
      </c>
      <c r="P390" s="6">
        <f t="shared" si="137"/>
        <v>0</v>
      </c>
      <c r="Q390" s="6">
        <f t="shared" si="138"/>
        <v>0</v>
      </c>
      <c r="R390" s="6">
        <f t="shared" si="139"/>
        <v>0</v>
      </c>
      <c r="S390" s="6">
        <f t="shared" si="140"/>
        <v>0</v>
      </c>
      <c r="T390" s="6">
        <f t="shared" si="141"/>
        <v>0</v>
      </c>
      <c r="U390" s="6">
        <f t="shared" si="142"/>
        <v>0</v>
      </c>
      <c r="V390" s="6">
        <f t="shared" si="143"/>
        <v>0</v>
      </c>
      <c r="W390" s="6">
        <f t="shared" si="144"/>
        <v>0</v>
      </c>
      <c r="X390" s="6">
        <f t="shared" si="145"/>
        <v>0</v>
      </c>
      <c r="Y390" s="6">
        <f t="shared" si="146"/>
        <v>0</v>
      </c>
      <c r="Z390" s="6">
        <f t="shared" si="147"/>
        <v>0</v>
      </c>
      <c r="AB390" s="36" t="str">
        <f>IF(最佳化斷筋點!C390="","",最佳化斷筋點!C390)</f>
        <v/>
      </c>
      <c r="AC390" s="37" t="str">
        <f>IF(最佳化斷筋點!D390="","",最佳化斷筋點!D390)</f>
        <v/>
      </c>
      <c r="AD390" s="37" t="str">
        <f>IF(最佳化斷筋點!E390="","",最佳化斷筋點!E390)</f>
        <v/>
      </c>
      <c r="AE390" s="37" t="str">
        <f>IF(最佳化斷筋點!F390="","",最佳化斷筋點!F390)</f>
        <v/>
      </c>
      <c r="AF390" s="37" t="str">
        <f>IF(最佳化斷筋點!G390="","",最佳化斷筋點!G390)</f>
        <v/>
      </c>
      <c r="AG390" s="37" t="str">
        <f>IF(最佳化斷筋點!H390="","",最佳化斷筋點!H390)</f>
        <v/>
      </c>
      <c r="AH390" s="37" t="str">
        <f>IF(最佳化斷筋點!I390="","",最佳化斷筋點!I390)</f>
        <v/>
      </c>
      <c r="AI390" s="37" t="str">
        <f>IF(最佳化斷筋點!J390="","",最佳化斷筋點!J390)</f>
        <v/>
      </c>
      <c r="AJ390" s="37" t="str">
        <f>IF(最佳化斷筋點!K390="","",最佳化斷筋點!K390)</f>
        <v/>
      </c>
      <c r="AK390" s="37" t="str">
        <f>IF(最佳化斷筋點!L390="","",最佳化斷筋點!L390)</f>
        <v/>
      </c>
      <c r="AL390" s="37" t="str">
        <f>IF(最佳化斷筋點!M390="","",最佳化斷筋點!M390)</f>
        <v/>
      </c>
      <c r="AM390" s="37" t="str">
        <f>IF(最佳化斷筋點!N390="","",最佳化斷筋點!N390)</f>
        <v/>
      </c>
      <c r="AN390" s="37" t="str">
        <f>IF(最佳化斷筋點!O390="","",最佳化斷筋點!O390)</f>
        <v/>
      </c>
      <c r="AO390" s="37" t="str">
        <f>IF(最佳化斷筋點!P390="","",最佳化斷筋點!P390)</f>
        <v/>
      </c>
      <c r="AP390" s="37" t="str">
        <f>IF(最佳化斷筋點!Q390="","",最佳化斷筋點!Q390)</f>
        <v/>
      </c>
      <c r="AQ390" s="37" t="str">
        <f>IF(最佳化斷筋點!R390="","",最佳化斷筋點!R390)</f>
        <v/>
      </c>
      <c r="AR390" s="37" t="str">
        <f>IF(最佳化斷筋點!S390="","",最佳化斷筋點!S390)</f>
        <v/>
      </c>
      <c r="AS390" s="37" t="str">
        <f>IF(最佳化斷筋點!T390="","",最佳化斷筋點!T390)</f>
        <v/>
      </c>
      <c r="AT390" s="37" t="str">
        <f>IF(最佳化斷筋點!U390="","",最佳化斷筋點!U390)</f>
        <v/>
      </c>
      <c r="AU390" s="37" t="str">
        <f>IF(最佳化斷筋點!V390="","",最佳化斷筋點!V390)</f>
        <v/>
      </c>
      <c r="AV390" s="37" t="str">
        <f>IF(最佳化斷筋點!W390="","",最佳化斷筋點!W390)</f>
        <v/>
      </c>
      <c r="AW390" s="37" t="str">
        <f>IF(最佳化斷筋點!X390="","",最佳化斷筋點!X390)</f>
        <v/>
      </c>
      <c r="AZ390" s="37" t="s">
        <v>197</v>
      </c>
      <c r="BA390" s="37" t="s">
        <v>197</v>
      </c>
      <c r="BB390" s="37" t="s">
        <v>197</v>
      </c>
      <c r="BC390" s="37" t="s">
        <v>197</v>
      </c>
      <c r="BD390" s="37" t="s">
        <v>197</v>
      </c>
      <c r="BE390" s="37" t="s">
        <v>197</v>
      </c>
      <c r="BF390" s="37" t="s">
        <v>197</v>
      </c>
      <c r="BG390" s="37" t="s">
        <v>197</v>
      </c>
      <c r="BH390" s="37" t="s">
        <v>197</v>
      </c>
      <c r="BI390" s="37" t="s">
        <v>197</v>
      </c>
      <c r="BJ390" s="37" t="s">
        <v>197</v>
      </c>
      <c r="BK390" s="37" t="s">
        <v>197</v>
      </c>
      <c r="BL390" s="37" t="s">
        <v>197</v>
      </c>
      <c r="BM390" s="37" t="s">
        <v>197</v>
      </c>
      <c r="BN390" s="37" t="s">
        <v>197</v>
      </c>
      <c r="BO390" s="37" t="s">
        <v>197</v>
      </c>
      <c r="BP390" s="37" t="s">
        <v>197</v>
      </c>
      <c r="BQ390" s="37" t="s">
        <v>197</v>
      </c>
      <c r="BR390" s="37" t="s">
        <v>197</v>
      </c>
      <c r="BS390" s="37" t="s">
        <v>197</v>
      </c>
      <c r="BT390" s="37" t="s">
        <v>197</v>
      </c>
    </row>
    <row r="391" spans="5:72" x14ac:dyDescent="0.25">
      <c r="E391" s="6" t="s">
        <v>20</v>
      </c>
      <c r="F391" s="6">
        <f t="shared" si="127"/>
        <v>0</v>
      </c>
      <c r="G391" s="6">
        <f t="shared" si="128"/>
        <v>0</v>
      </c>
      <c r="H391" s="6">
        <f t="shared" si="129"/>
        <v>0</v>
      </c>
      <c r="I391" s="6">
        <f t="shared" si="130"/>
        <v>0</v>
      </c>
      <c r="J391" s="6">
        <f t="shared" si="131"/>
        <v>0</v>
      </c>
      <c r="K391" s="6">
        <f t="shared" si="132"/>
        <v>0</v>
      </c>
      <c r="L391" s="6">
        <f t="shared" si="133"/>
        <v>0</v>
      </c>
      <c r="M391" s="6">
        <f t="shared" si="134"/>
        <v>0</v>
      </c>
      <c r="N391" s="6">
        <f t="shared" si="135"/>
        <v>0</v>
      </c>
      <c r="O391" s="6">
        <f t="shared" si="136"/>
        <v>0</v>
      </c>
      <c r="P391" s="6">
        <f t="shared" si="137"/>
        <v>0</v>
      </c>
      <c r="Q391" s="6">
        <f t="shared" si="138"/>
        <v>0</v>
      </c>
      <c r="R391" s="6">
        <f t="shared" si="139"/>
        <v>0</v>
      </c>
      <c r="S391" s="6">
        <f t="shared" si="140"/>
        <v>0</v>
      </c>
      <c r="T391" s="6">
        <f t="shared" si="141"/>
        <v>0</v>
      </c>
      <c r="U391" s="6">
        <f t="shared" si="142"/>
        <v>0</v>
      </c>
      <c r="V391" s="6">
        <f t="shared" si="143"/>
        <v>0</v>
      </c>
      <c r="W391" s="6">
        <f t="shared" si="144"/>
        <v>0</v>
      </c>
      <c r="X391" s="6">
        <f t="shared" si="145"/>
        <v>0</v>
      </c>
      <c r="Y391" s="6">
        <f t="shared" si="146"/>
        <v>0</v>
      </c>
      <c r="Z391" s="6">
        <f t="shared" si="147"/>
        <v>0</v>
      </c>
      <c r="AB391" s="36" t="str">
        <f>IF(最佳化斷筋點!C391="","",最佳化斷筋點!C391)</f>
        <v>上層</v>
      </c>
      <c r="AC391" s="37">
        <f>IF(最佳化斷筋點!D391="","",最佳化斷筋點!D391)</f>
        <v>12</v>
      </c>
      <c r="AD391" s="37">
        <f>IF(最佳化斷筋點!E391="","",最佳化斷筋點!E391)</f>
        <v>12</v>
      </c>
      <c r="AE391" s="37">
        <f>IF(最佳化斷筋點!F391="","",最佳化斷筋點!F391)</f>
        <v>12</v>
      </c>
      <c r="AF391" s="37">
        <f>IF(最佳化斷筋點!G391="","",最佳化斷筋點!G391)</f>
        <v>12</v>
      </c>
      <c r="AG391" s="37">
        <f>IF(最佳化斷筋點!H391="","",最佳化斷筋點!H391)</f>
        <v>12</v>
      </c>
      <c r="AH391" s="37">
        <f>IF(最佳化斷筋點!I391="","",最佳化斷筋點!I391)</f>
        <v>12</v>
      </c>
      <c r="AI391" s="37">
        <f>IF(最佳化斷筋點!J391="","",最佳化斷筋點!J391)</f>
        <v>11</v>
      </c>
      <c r="AJ391" s="37">
        <f>IF(最佳化斷筋點!K391="","",最佳化斷筋點!K391)</f>
        <v>4</v>
      </c>
      <c r="AK391" s="37">
        <f>IF(最佳化斷筋點!L391="","",最佳化斷筋點!L391)</f>
        <v>4</v>
      </c>
      <c r="AL391" s="37">
        <f>IF(最佳化斷筋點!M391="","",最佳化斷筋點!M391)</f>
        <v>4</v>
      </c>
      <c r="AM391" s="37">
        <f>IF(最佳化斷筋點!N391="","",最佳化斷筋點!N391)</f>
        <v>4</v>
      </c>
      <c r="AN391" s="37">
        <f>IF(最佳化斷筋點!O391="","",最佳化斷筋點!O391)</f>
        <v>4</v>
      </c>
      <c r="AO391" s="37">
        <f>IF(最佳化斷筋點!P391="","",最佳化斷筋點!P391)</f>
        <v>4</v>
      </c>
      <c r="AP391" s="37">
        <f>IF(最佳化斷筋點!Q391="","",最佳化斷筋點!Q391)</f>
        <v>6</v>
      </c>
      <c r="AQ391" s="37">
        <f>IF(最佳化斷筋點!R391="","",最佳化斷筋點!R391)</f>
        <v>7</v>
      </c>
      <c r="AR391" s="37">
        <f>IF(最佳化斷筋點!S391="","",最佳化斷筋點!S391)</f>
        <v>8</v>
      </c>
      <c r="AS391" s="37">
        <f>IF(最佳化斷筋點!T391="","",最佳化斷筋點!T391)</f>
        <v>9</v>
      </c>
      <c r="AT391" s="37">
        <f>IF(最佳化斷筋點!U391="","",最佳化斷筋點!U391)</f>
        <v>9</v>
      </c>
      <c r="AU391" s="37">
        <f>IF(最佳化斷筋點!V391="","",最佳化斷筋點!V391)</f>
        <v>9</v>
      </c>
      <c r="AV391" s="37">
        <f>IF(最佳化斷筋點!W391="","",最佳化斷筋點!W391)</f>
        <v>9</v>
      </c>
      <c r="AW391" s="37">
        <f>IF(最佳化斷筋點!X391="","",最佳化斷筋點!X391)</f>
        <v>9</v>
      </c>
      <c r="AY391" s="6" t="s">
        <v>20</v>
      </c>
      <c r="AZ391" s="37">
        <v>12</v>
      </c>
      <c r="BA391" s="37">
        <v>12</v>
      </c>
      <c r="BB391" s="37">
        <v>12</v>
      </c>
      <c r="BC391" s="37">
        <v>12</v>
      </c>
      <c r="BD391" s="37">
        <v>12</v>
      </c>
      <c r="BE391" s="37">
        <v>12</v>
      </c>
      <c r="BF391" s="37">
        <v>11</v>
      </c>
      <c r="BG391" s="37">
        <v>4</v>
      </c>
      <c r="BH391" s="37">
        <v>4</v>
      </c>
      <c r="BI391" s="37">
        <v>4</v>
      </c>
      <c r="BJ391" s="37">
        <v>4</v>
      </c>
      <c r="BK391" s="37">
        <v>4</v>
      </c>
      <c r="BL391" s="37">
        <v>4</v>
      </c>
      <c r="BM391" s="37">
        <v>6</v>
      </c>
      <c r="BN391" s="37">
        <v>7</v>
      </c>
      <c r="BO391" s="37">
        <v>8</v>
      </c>
      <c r="BP391" s="37">
        <v>9</v>
      </c>
      <c r="BQ391" s="37">
        <v>9</v>
      </c>
      <c r="BR391" s="37">
        <v>9</v>
      </c>
      <c r="BS391" s="37">
        <v>9</v>
      </c>
      <c r="BT391" s="37">
        <v>9</v>
      </c>
    </row>
    <row r="392" spans="5:72" x14ac:dyDescent="0.25">
      <c r="F392" s="6">
        <f t="shared" si="127"/>
        <v>0</v>
      </c>
      <c r="G392" s="6">
        <f t="shared" si="128"/>
        <v>0</v>
      </c>
      <c r="H392" s="6">
        <f t="shared" si="129"/>
        <v>0</v>
      </c>
      <c r="I392" s="6">
        <f t="shared" si="130"/>
        <v>0</v>
      </c>
      <c r="J392" s="6">
        <f t="shared" si="131"/>
        <v>0</v>
      </c>
      <c r="K392" s="6">
        <f t="shared" si="132"/>
        <v>0</v>
      </c>
      <c r="L392" s="6">
        <f t="shared" si="133"/>
        <v>0</v>
      </c>
      <c r="M392" s="6">
        <f t="shared" si="134"/>
        <v>0</v>
      </c>
      <c r="N392" s="6">
        <f t="shared" si="135"/>
        <v>0</v>
      </c>
      <c r="O392" s="6">
        <f t="shared" si="136"/>
        <v>0</v>
      </c>
      <c r="P392" s="6">
        <f t="shared" si="137"/>
        <v>0</v>
      </c>
      <c r="Q392" s="6">
        <f t="shared" si="138"/>
        <v>0</v>
      </c>
      <c r="R392" s="6">
        <f t="shared" si="139"/>
        <v>0</v>
      </c>
      <c r="S392" s="6">
        <f t="shared" si="140"/>
        <v>0</v>
      </c>
      <c r="T392" s="6">
        <f t="shared" si="141"/>
        <v>0</v>
      </c>
      <c r="U392" s="6">
        <f t="shared" si="142"/>
        <v>0</v>
      </c>
      <c r="V392" s="6">
        <f t="shared" si="143"/>
        <v>0</v>
      </c>
      <c r="W392" s="6">
        <f t="shared" si="144"/>
        <v>0</v>
      </c>
      <c r="X392" s="6">
        <f t="shared" si="145"/>
        <v>0</v>
      </c>
      <c r="Y392" s="6">
        <f t="shared" si="146"/>
        <v>0</v>
      </c>
      <c r="Z392" s="6">
        <f t="shared" si="147"/>
        <v>0</v>
      </c>
      <c r="AB392" s="36" t="str">
        <f>IF(最佳化斷筋點!C392="","",最佳化斷筋點!C392)</f>
        <v/>
      </c>
      <c r="AC392" s="37" t="str">
        <f>IF(最佳化斷筋點!D392="","",最佳化斷筋點!D392)</f>
        <v/>
      </c>
      <c r="AD392" s="37" t="str">
        <f>IF(最佳化斷筋點!E392="","",最佳化斷筋點!E392)</f>
        <v/>
      </c>
      <c r="AE392" s="37" t="str">
        <f>IF(最佳化斷筋點!F392="","",最佳化斷筋點!F392)</f>
        <v/>
      </c>
      <c r="AF392" s="37" t="str">
        <f>IF(最佳化斷筋點!G392="","",最佳化斷筋點!G392)</f>
        <v/>
      </c>
      <c r="AG392" s="37" t="str">
        <f>IF(最佳化斷筋點!H392="","",最佳化斷筋點!H392)</f>
        <v/>
      </c>
      <c r="AH392" s="37" t="str">
        <f>IF(最佳化斷筋點!I392="","",最佳化斷筋點!I392)</f>
        <v/>
      </c>
      <c r="AI392" s="37" t="str">
        <f>IF(最佳化斷筋點!J392="","",最佳化斷筋點!J392)</f>
        <v/>
      </c>
      <c r="AJ392" s="37" t="str">
        <f>IF(最佳化斷筋點!K392="","",最佳化斷筋點!K392)</f>
        <v/>
      </c>
      <c r="AK392" s="37" t="str">
        <f>IF(最佳化斷筋點!L392="","",最佳化斷筋點!L392)</f>
        <v/>
      </c>
      <c r="AL392" s="37" t="str">
        <f>IF(最佳化斷筋點!M392="","",最佳化斷筋點!M392)</f>
        <v/>
      </c>
      <c r="AM392" s="37" t="str">
        <f>IF(最佳化斷筋點!N392="","",最佳化斷筋點!N392)</f>
        <v/>
      </c>
      <c r="AN392" s="37" t="str">
        <f>IF(最佳化斷筋點!O392="","",最佳化斷筋點!O392)</f>
        <v/>
      </c>
      <c r="AO392" s="37" t="str">
        <f>IF(最佳化斷筋點!P392="","",最佳化斷筋點!P392)</f>
        <v/>
      </c>
      <c r="AP392" s="37" t="str">
        <f>IF(最佳化斷筋點!Q392="","",最佳化斷筋點!Q392)</f>
        <v/>
      </c>
      <c r="AQ392" s="37" t="str">
        <f>IF(最佳化斷筋點!R392="","",最佳化斷筋點!R392)</f>
        <v/>
      </c>
      <c r="AR392" s="37" t="str">
        <f>IF(最佳化斷筋點!S392="","",最佳化斷筋點!S392)</f>
        <v/>
      </c>
      <c r="AS392" s="37" t="str">
        <f>IF(最佳化斷筋點!T392="","",最佳化斷筋點!T392)</f>
        <v/>
      </c>
      <c r="AT392" s="37" t="str">
        <f>IF(最佳化斷筋點!U392="","",最佳化斷筋點!U392)</f>
        <v/>
      </c>
      <c r="AU392" s="37" t="str">
        <f>IF(最佳化斷筋點!V392="","",最佳化斷筋點!V392)</f>
        <v/>
      </c>
      <c r="AV392" s="37" t="str">
        <f>IF(最佳化斷筋點!W392="","",最佳化斷筋點!W392)</f>
        <v/>
      </c>
      <c r="AW392" s="37" t="str">
        <f>IF(最佳化斷筋點!X392="","",最佳化斷筋點!X392)</f>
        <v/>
      </c>
      <c r="AZ392" s="37" t="s">
        <v>197</v>
      </c>
      <c r="BA392" s="37" t="s">
        <v>197</v>
      </c>
      <c r="BB392" s="37" t="s">
        <v>197</v>
      </c>
      <c r="BC392" s="37" t="s">
        <v>197</v>
      </c>
      <c r="BD392" s="37" t="s">
        <v>197</v>
      </c>
      <c r="BE392" s="37" t="s">
        <v>197</v>
      </c>
      <c r="BF392" s="37" t="s">
        <v>197</v>
      </c>
      <c r="BG392" s="37" t="s">
        <v>197</v>
      </c>
      <c r="BH392" s="37" t="s">
        <v>197</v>
      </c>
      <c r="BI392" s="37" t="s">
        <v>197</v>
      </c>
      <c r="BJ392" s="37" t="s">
        <v>197</v>
      </c>
      <c r="BK392" s="37" t="s">
        <v>197</v>
      </c>
      <c r="BL392" s="37" t="s">
        <v>197</v>
      </c>
      <c r="BM392" s="37" t="s">
        <v>197</v>
      </c>
      <c r="BN392" s="37" t="s">
        <v>197</v>
      </c>
      <c r="BO392" s="37" t="s">
        <v>197</v>
      </c>
      <c r="BP392" s="37" t="s">
        <v>197</v>
      </c>
      <c r="BQ392" s="37" t="s">
        <v>197</v>
      </c>
      <c r="BR392" s="37" t="s">
        <v>197</v>
      </c>
      <c r="BS392" s="37" t="s">
        <v>197</v>
      </c>
      <c r="BT392" s="37" t="s">
        <v>197</v>
      </c>
    </row>
    <row r="393" spans="5:72" x14ac:dyDescent="0.25">
      <c r="E393" s="6" t="s">
        <v>21</v>
      </c>
      <c r="F393" s="6">
        <f t="shared" si="127"/>
        <v>0</v>
      </c>
      <c r="G393" s="6">
        <f t="shared" si="128"/>
        <v>0</v>
      </c>
      <c r="H393" s="6">
        <f t="shared" si="129"/>
        <v>0</v>
      </c>
      <c r="I393" s="6">
        <f t="shared" si="130"/>
        <v>0</v>
      </c>
      <c r="J393" s="6">
        <f t="shared" si="131"/>
        <v>0</v>
      </c>
      <c r="K393" s="6">
        <f t="shared" si="132"/>
        <v>0</v>
      </c>
      <c r="L393" s="6">
        <f t="shared" si="133"/>
        <v>0</v>
      </c>
      <c r="M393" s="6">
        <f t="shared" si="134"/>
        <v>0</v>
      </c>
      <c r="N393" s="6">
        <f t="shared" si="135"/>
        <v>0</v>
      </c>
      <c r="O393" s="6">
        <f t="shared" si="136"/>
        <v>0</v>
      </c>
      <c r="P393" s="6">
        <f t="shared" si="137"/>
        <v>0</v>
      </c>
      <c r="Q393" s="6">
        <f t="shared" si="138"/>
        <v>0</v>
      </c>
      <c r="R393" s="6">
        <f t="shared" si="139"/>
        <v>0</v>
      </c>
      <c r="S393" s="6">
        <f t="shared" si="140"/>
        <v>0</v>
      </c>
      <c r="T393" s="6">
        <f t="shared" si="141"/>
        <v>0</v>
      </c>
      <c r="U393" s="6">
        <f t="shared" si="142"/>
        <v>0</v>
      </c>
      <c r="V393" s="6">
        <f t="shared" si="143"/>
        <v>0</v>
      </c>
      <c r="W393" s="6">
        <f t="shared" si="144"/>
        <v>0</v>
      </c>
      <c r="X393" s="6">
        <f t="shared" si="145"/>
        <v>0</v>
      </c>
      <c r="Y393" s="6">
        <f t="shared" si="146"/>
        <v>0</v>
      </c>
      <c r="Z393" s="6">
        <f t="shared" si="147"/>
        <v>0</v>
      </c>
      <c r="AB393" s="36" t="str">
        <f>IF(最佳化斷筋點!C393="","",最佳化斷筋點!C393)</f>
        <v>下層</v>
      </c>
      <c r="AC393" s="37">
        <f>IF(最佳化斷筋點!D393="","",最佳化斷筋點!D393)</f>
        <v>9</v>
      </c>
      <c r="AD393" s="37">
        <f>IF(最佳化斷筋點!E393="","",最佳化斷筋點!E393)</f>
        <v>9</v>
      </c>
      <c r="AE393" s="37">
        <f>IF(最佳化斷筋點!F393="","",最佳化斷筋點!F393)</f>
        <v>9</v>
      </c>
      <c r="AF393" s="37">
        <f>IF(最佳化斷筋點!G393="","",最佳化斷筋點!G393)</f>
        <v>9</v>
      </c>
      <c r="AG393" s="37">
        <f>IF(最佳化斷筋點!H393="","",最佳化斷筋點!H393)</f>
        <v>9</v>
      </c>
      <c r="AH393" s="37">
        <f>IF(最佳化斷筋點!I393="","",最佳化斷筋點!I393)</f>
        <v>9</v>
      </c>
      <c r="AI393" s="37">
        <f>IF(最佳化斷筋點!J393="","",最佳化斷筋點!J393)</f>
        <v>8</v>
      </c>
      <c r="AJ393" s="37">
        <f>IF(最佳化斷筋點!K393="","",最佳化斷筋點!K393)</f>
        <v>3</v>
      </c>
      <c r="AK393" s="37">
        <f>IF(最佳化斷筋點!L393="","",最佳化斷筋點!L393)</f>
        <v>3</v>
      </c>
      <c r="AL393" s="37">
        <f>IF(最佳化斷筋點!M393="","",最佳化斷筋點!M393)</f>
        <v>3</v>
      </c>
      <c r="AM393" s="37">
        <f>IF(最佳化斷筋點!N393="","",最佳化斷筋點!N393)</f>
        <v>3</v>
      </c>
      <c r="AN393" s="37">
        <f>IF(最佳化斷筋點!O393="","",最佳化斷筋點!O393)</f>
        <v>3</v>
      </c>
      <c r="AO393" s="37">
        <f>IF(最佳化斷筋點!P393="","",最佳化斷筋點!P393)</f>
        <v>3</v>
      </c>
      <c r="AP393" s="37">
        <f>IF(最佳化斷筋點!Q393="","",最佳化斷筋點!Q393)</f>
        <v>7</v>
      </c>
      <c r="AQ393" s="37">
        <f>IF(最佳化斷筋點!R393="","",最佳化斷筋點!R393)</f>
        <v>8</v>
      </c>
      <c r="AR393" s="37">
        <f>IF(最佳化斷筋點!S393="","",最佳化斷筋點!S393)</f>
        <v>9</v>
      </c>
      <c r="AS393" s="37">
        <f>IF(最佳化斷筋點!T393="","",最佳化斷筋點!T393)</f>
        <v>10</v>
      </c>
      <c r="AT393" s="37">
        <f>IF(最佳化斷筋點!U393="","",最佳化斷筋點!U393)</f>
        <v>10</v>
      </c>
      <c r="AU393" s="37">
        <f>IF(最佳化斷筋點!V393="","",最佳化斷筋點!V393)</f>
        <v>10</v>
      </c>
      <c r="AV393" s="37">
        <f>IF(最佳化斷筋點!W393="","",最佳化斷筋點!W393)</f>
        <v>10</v>
      </c>
      <c r="AW393" s="37">
        <f>IF(最佳化斷筋點!X393="","",最佳化斷筋點!X393)</f>
        <v>10</v>
      </c>
      <c r="AY393" s="6" t="s">
        <v>21</v>
      </c>
      <c r="AZ393" s="37">
        <v>9</v>
      </c>
      <c r="BA393" s="37">
        <v>9</v>
      </c>
      <c r="BB393" s="37">
        <v>9</v>
      </c>
      <c r="BC393" s="37">
        <v>9</v>
      </c>
      <c r="BD393" s="37">
        <v>9</v>
      </c>
      <c r="BE393" s="37">
        <v>9</v>
      </c>
      <c r="BF393" s="37">
        <v>8</v>
      </c>
      <c r="BG393" s="37">
        <v>3</v>
      </c>
      <c r="BH393" s="37">
        <v>3</v>
      </c>
      <c r="BI393" s="37">
        <v>3</v>
      </c>
      <c r="BJ393" s="37">
        <v>3</v>
      </c>
      <c r="BK393" s="37">
        <v>3</v>
      </c>
      <c r="BL393" s="37">
        <v>3</v>
      </c>
      <c r="BM393" s="37">
        <v>7</v>
      </c>
      <c r="BN393" s="37">
        <v>8</v>
      </c>
      <c r="BO393" s="37">
        <v>9</v>
      </c>
      <c r="BP393" s="37">
        <v>10</v>
      </c>
      <c r="BQ393" s="37">
        <v>10</v>
      </c>
      <c r="BR393" s="37">
        <v>10</v>
      </c>
      <c r="BS393" s="37">
        <v>10</v>
      </c>
      <c r="BT393" s="37">
        <v>10</v>
      </c>
    </row>
    <row r="394" spans="5:72" x14ac:dyDescent="0.25">
      <c r="F394" s="6">
        <f t="shared" si="127"/>
        <v>0</v>
      </c>
      <c r="G394" s="6">
        <f t="shared" si="128"/>
        <v>0</v>
      </c>
      <c r="H394" s="6">
        <f t="shared" si="129"/>
        <v>0</v>
      </c>
      <c r="I394" s="6">
        <f t="shared" si="130"/>
        <v>0</v>
      </c>
      <c r="J394" s="6">
        <f t="shared" si="131"/>
        <v>0</v>
      </c>
      <c r="K394" s="6">
        <f t="shared" si="132"/>
        <v>0</v>
      </c>
      <c r="L394" s="6">
        <f t="shared" si="133"/>
        <v>0</v>
      </c>
      <c r="M394" s="6">
        <f t="shared" si="134"/>
        <v>0</v>
      </c>
      <c r="N394" s="6">
        <f t="shared" si="135"/>
        <v>0</v>
      </c>
      <c r="O394" s="6">
        <f t="shared" si="136"/>
        <v>0</v>
      </c>
      <c r="P394" s="6">
        <f t="shared" si="137"/>
        <v>0</v>
      </c>
      <c r="Q394" s="6">
        <f t="shared" si="138"/>
        <v>0</v>
      </c>
      <c r="R394" s="6">
        <f t="shared" si="139"/>
        <v>0</v>
      </c>
      <c r="S394" s="6">
        <f t="shared" si="140"/>
        <v>0</v>
      </c>
      <c r="T394" s="6">
        <f t="shared" si="141"/>
        <v>0</v>
      </c>
      <c r="U394" s="6">
        <f t="shared" si="142"/>
        <v>0</v>
      </c>
      <c r="V394" s="6">
        <f t="shared" si="143"/>
        <v>0</v>
      </c>
      <c r="W394" s="6">
        <f t="shared" si="144"/>
        <v>0</v>
      </c>
      <c r="X394" s="6">
        <f t="shared" si="145"/>
        <v>0</v>
      </c>
      <c r="Y394" s="6">
        <f t="shared" si="146"/>
        <v>0</v>
      </c>
      <c r="Z394" s="6">
        <f t="shared" si="147"/>
        <v>0</v>
      </c>
      <c r="AB394" s="36" t="str">
        <f>IF(最佳化斷筋點!C394="","",最佳化斷筋點!C394)</f>
        <v/>
      </c>
      <c r="AC394" s="37" t="str">
        <f>IF(最佳化斷筋點!D394="","",最佳化斷筋點!D394)</f>
        <v/>
      </c>
      <c r="AD394" s="37" t="str">
        <f>IF(最佳化斷筋點!E394="","",最佳化斷筋點!E394)</f>
        <v/>
      </c>
      <c r="AE394" s="37" t="str">
        <f>IF(最佳化斷筋點!F394="","",最佳化斷筋點!F394)</f>
        <v/>
      </c>
      <c r="AF394" s="37" t="str">
        <f>IF(最佳化斷筋點!G394="","",最佳化斷筋點!G394)</f>
        <v/>
      </c>
      <c r="AG394" s="37" t="str">
        <f>IF(最佳化斷筋點!H394="","",最佳化斷筋點!H394)</f>
        <v/>
      </c>
      <c r="AH394" s="37" t="str">
        <f>IF(最佳化斷筋點!I394="","",最佳化斷筋點!I394)</f>
        <v/>
      </c>
      <c r="AI394" s="37" t="str">
        <f>IF(最佳化斷筋點!J394="","",最佳化斷筋點!J394)</f>
        <v/>
      </c>
      <c r="AJ394" s="37" t="str">
        <f>IF(最佳化斷筋點!K394="","",最佳化斷筋點!K394)</f>
        <v/>
      </c>
      <c r="AK394" s="37" t="str">
        <f>IF(最佳化斷筋點!L394="","",最佳化斷筋點!L394)</f>
        <v/>
      </c>
      <c r="AL394" s="37" t="str">
        <f>IF(最佳化斷筋點!M394="","",最佳化斷筋點!M394)</f>
        <v/>
      </c>
      <c r="AM394" s="37" t="str">
        <f>IF(最佳化斷筋點!N394="","",最佳化斷筋點!N394)</f>
        <v/>
      </c>
      <c r="AN394" s="37" t="str">
        <f>IF(最佳化斷筋點!O394="","",最佳化斷筋點!O394)</f>
        <v/>
      </c>
      <c r="AO394" s="37" t="str">
        <f>IF(最佳化斷筋點!P394="","",最佳化斷筋點!P394)</f>
        <v/>
      </c>
      <c r="AP394" s="37" t="str">
        <f>IF(最佳化斷筋點!Q394="","",最佳化斷筋點!Q394)</f>
        <v/>
      </c>
      <c r="AQ394" s="37" t="str">
        <f>IF(最佳化斷筋點!R394="","",最佳化斷筋點!R394)</f>
        <v/>
      </c>
      <c r="AR394" s="37" t="str">
        <f>IF(最佳化斷筋點!S394="","",最佳化斷筋點!S394)</f>
        <v/>
      </c>
      <c r="AS394" s="37" t="str">
        <f>IF(最佳化斷筋點!T394="","",最佳化斷筋點!T394)</f>
        <v/>
      </c>
      <c r="AT394" s="37" t="str">
        <f>IF(最佳化斷筋點!U394="","",最佳化斷筋點!U394)</f>
        <v/>
      </c>
      <c r="AU394" s="37" t="str">
        <f>IF(最佳化斷筋點!V394="","",最佳化斷筋點!V394)</f>
        <v/>
      </c>
      <c r="AV394" s="37" t="str">
        <f>IF(最佳化斷筋點!W394="","",最佳化斷筋點!W394)</f>
        <v/>
      </c>
      <c r="AW394" s="37" t="str">
        <f>IF(最佳化斷筋點!X394="","",最佳化斷筋點!X394)</f>
        <v/>
      </c>
      <c r="AZ394" s="37" t="s">
        <v>197</v>
      </c>
      <c r="BA394" s="37" t="s">
        <v>197</v>
      </c>
      <c r="BB394" s="37" t="s">
        <v>197</v>
      </c>
      <c r="BC394" s="37" t="s">
        <v>197</v>
      </c>
      <c r="BD394" s="37" t="s">
        <v>197</v>
      </c>
      <c r="BE394" s="37" t="s">
        <v>197</v>
      </c>
      <c r="BF394" s="37" t="s">
        <v>197</v>
      </c>
      <c r="BG394" s="37" t="s">
        <v>197</v>
      </c>
      <c r="BH394" s="37" t="s">
        <v>197</v>
      </c>
      <c r="BI394" s="37" t="s">
        <v>197</v>
      </c>
      <c r="BJ394" s="37" t="s">
        <v>197</v>
      </c>
      <c r="BK394" s="37" t="s">
        <v>197</v>
      </c>
      <c r="BL394" s="37" t="s">
        <v>197</v>
      </c>
      <c r="BM394" s="37" t="s">
        <v>197</v>
      </c>
      <c r="BN394" s="37" t="s">
        <v>197</v>
      </c>
      <c r="BO394" s="37" t="s">
        <v>197</v>
      </c>
      <c r="BP394" s="37" t="s">
        <v>197</v>
      </c>
      <c r="BQ394" s="37" t="s">
        <v>197</v>
      </c>
      <c r="BR394" s="37" t="s">
        <v>197</v>
      </c>
      <c r="BS394" s="37" t="s">
        <v>197</v>
      </c>
      <c r="BT394" s="37" t="s">
        <v>197</v>
      </c>
    </row>
    <row r="395" spans="5:72" x14ac:dyDescent="0.25">
      <c r="E395" s="6" t="s">
        <v>20</v>
      </c>
      <c r="F395" s="6">
        <f t="shared" si="127"/>
        <v>0</v>
      </c>
      <c r="G395" s="6">
        <f t="shared" si="128"/>
        <v>0</v>
      </c>
      <c r="H395" s="6">
        <f t="shared" si="129"/>
        <v>0</v>
      </c>
      <c r="I395" s="6">
        <f t="shared" si="130"/>
        <v>0</v>
      </c>
      <c r="J395" s="6">
        <f t="shared" si="131"/>
        <v>0</v>
      </c>
      <c r="K395" s="6">
        <f t="shared" si="132"/>
        <v>0</v>
      </c>
      <c r="L395" s="6">
        <f t="shared" si="133"/>
        <v>0</v>
      </c>
      <c r="M395" s="6">
        <f t="shared" si="134"/>
        <v>0</v>
      </c>
      <c r="N395" s="6">
        <f t="shared" si="135"/>
        <v>0</v>
      </c>
      <c r="O395" s="6">
        <f t="shared" si="136"/>
        <v>0</v>
      </c>
      <c r="P395" s="6">
        <f t="shared" si="137"/>
        <v>0</v>
      </c>
      <c r="Q395" s="6">
        <f t="shared" si="138"/>
        <v>0</v>
      </c>
      <c r="R395" s="6">
        <f t="shared" si="139"/>
        <v>0</v>
      </c>
      <c r="S395" s="6">
        <f t="shared" si="140"/>
        <v>0</v>
      </c>
      <c r="T395" s="6">
        <f t="shared" si="141"/>
        <v>0</v>
      </c>
      <c r="U395" s="6">
        <f t="shared" si="142"/>
        <v>0</v>
      </c>
      <c r="V395" s="6">
        <f t="shared" si="143"/>
        <v>0</v>
      </c>
      <c r="W395" s="6">
        <f t="shared" si="144"/>
        <v>0</v>
      </c>
      <c r="X395" s="6">
        <f t="shared" si="145"/>
        <v>0</v>
      </c>
      <c r="Y395" s="6">
        <f t="shared" si="146"/>
        <v>0</v>
      </c>
      <c r="Z395" s="6">
        <f t="shared" si="147"/>
        <v>0</v>
      </c>
      <c r="AB395" s="36" t="str">
        <f>IF(最佳化斷筋點!C395="","",最佳化斷筋點!C395)</f>
        <v>上層</v>
      </c>
      <c r="AC395" s="37">
        <f>IF(最佳化斷筋點!D395="","",最佳化斷筋點!D395)</f>
        <v>8</v>
      </c>
      <c r="AD395" s="37">
        <f>IF(最佳化斷筋點!E395="","",最佳化斷筋點!E395)</f>
        <v>8</v>
      </c>
      <c r="AE395" s="37">
        <f>IF(最佳化斷筋點!F395="","",最佳化斷筋點!F395)</f>
        <v>8</v>
      </c>
      <c r="AF395" s="37">
        <f>IF(最佳化斷筋點!G395="","",最佳化斷筋點!G395)</f>
        <v>8</v>
      </c>
      <c r="AG395" s="37">
        <f>IF(最佳化斷筋點!H395="","",最佳化斷筋點!H395)</f>
        <v>8</v>
      </c>
      <c r="AH395" s="37">
        <f>IF(最佳化斷筋點!I395="","",最佳化斷筋點!I395)</f>
        <v>8</v>
      </c>
      <c r="AI395" s="37">
        <f>IF(最佳化斷筋點!J395="","",最佳化斷筋點!J395)</f>
        <v>7</v>
      </c>
      <c r="AJ395" s="37">
        <f>IF(最佳化斷筋點!K395="","",最佳化斷筋點!K395)</f>
        <v>3</v>
      </c>
      <c r="AK395" s="37">
        <f>IF(最佳化斷筋點!L395="","",最佳化斷筋點!L395)</f>
        <v>3</v>
      </c>
      <c r="AL395" s="37">
        <f>IF(最佳化斷筋點!M395="","",最佳化斷筋點!M395)</f>
        <v>3</v>
      </c>
      <c r="AM395" s="37">
        <f>IF(最佳化斷筋點!N395="","",最佳化斷筋點!N395)</f>
        <v>3</v>
      </c>
      <c r="AN395" s="37">
        <f>IF(最佳化斷筋點!O395="","",最佳化斷筋點!O395)</f>
        <v>3</v>
      </c>
      <c r="AO395" s="37">
        <f>IF(最佳化斷筋點!P395="","",最佳化斷筋點!P395)</f>
        <v>3</v>
      </c>
      <c r="AP395" s="37">
        <f>IF(最佳化斷筋點!Q395="","",最佳化斷筋點!Q395)</f>
        <v>4</v>
      </c>
      <c r="AQ395" s="37">
        <f>IF(最佳化斷筋點!R395="","",最佳化斷筋點!R395)</f>
        <v>5</v>
      </c>
      <c r="AR395" s="37">
        <f>IF(最佳化斷筋點!S395="","",最佳化斷筋點!S395)</f>
        <v>5</v>
      </c>
      <c r="AS395" s="37">
        <f>IF(最佳化斷筋點!T395="","",最佳化斷筋點!T395)</f>
        <v>6</v>
      </c>
      <c r="AT395" s="37">
        <f>IF(最佳化斷筋點!U395="","",最佳化斷筋點!U395)</f>
        <v>6</v>
      </c>
      <c r="AU395" s="37">
        <f>IF(最佳化斷筋點!V395="","",最佳化斷筋點!V395)</f>
        <v>6</v>
      </c>
      <c r="AV395" s="37">
        <f>IF(最佳化斷筋點!W395="","",最佳化斷筋點!W395)</f>
        <v>6</v>
      </c>
      <c r="AW395" s="37">
        <f>IF(最佳化斷筋點!X395="","",最佳化斷筋點!X395)</f>
        <v>6</v>
      </c>
      <c r="AY395" s="6" t="s">
        <v>20</v>
      </c>
      <c r="AZ395" s="37">
        <v>8</v>
      </c>
      <c r="BA395" s="37">
        <v>8</v>
      </c>
      <c r="BB395" s="37">
        <v>8</v>
      </c>
      <c r="BC395" s="37">
        <v>8</v>
      </c>
      <c r="BD395" s="37">
        <v>8</v>
      </c>
      <c r="BE395" s="37">
        <v>8</v>
      </c>
      <c r="BF395" s="37">
        <v>7</v>
      </c>
      <c r="BG395" s="37">
        <v>3</v>
      </c>
      <c r="BH395" s="37">
        <v>3</v>
      </c>
      <c r="BI395" s="37">
        <v>3</v>
      </c>
      <c r="BJ395" s="37">
        <v>3</v>
      </c>
      <c r="BK395" s="37">
        <v>3</v>
      </c>
      <c r="BL395" s="37">
        <v>3</v>
      </c>
      <c r="BM395" s="37">
        <v>4</v>
      </c>
      <c r="BN395" s="37">
        <v>5</v>
      </c>
      <c r="BO395" s="37">
        <v>5</v>
      </c>
      <c r="BP395" s="37">
        <v>6</v>
      </c>
      <c r="BQ395" s="37">
        <v>6</v>
      </c>
      <c r="BR395" s="37">
        <v>6</v>
      </c>
      <c r="BS395" s="37">
        <v>6</v>
      </c>
      <c r="BT395" s="37">
        <v>6</v>
      </c>
    </row>
    <row r="396" spans="5:72" x14ac:dyDescent="0.25">
      <c r="F396" s="6">
        <f t="shared" si="127"/>
        <v>0</v>
      </c>
      <c r="G396" s="6">
        <f t="shared" si="128"/>
        <v>0</v>
      </c>
      <c r="H396" s="6">
        <f t="shared" si="129"/>
        <v>0</v>
      </c>
      <c r="I396" s="6">
        <f t="shared" si="130"/>
        <v>0</v>
      </c>
      <c r="J396" s="6">
        <f t="shared" si="131"/>
        <v>0</v>
      </c>
      <c r="K396" s="6">
        <f t="shared" si="132"/>
        <v>0</v>
      </c>
      <c r="L396" s="6">
        <f t="shared" si="133"/>
        <v>0</v>
      </c>
      <c r="M396" s="6">
        <f t="shared" si="134"/>
        <v>0</v>
      </c>
      <c r="N396" s="6">
        <f t="shared" si="135"/>
        <v>0</v>
      </c>
      <c r="O396" s="6">
        <f t="shared" si="136"/>
        <v>0</v>
      </c>
      <c r="P396" s="6">
        <f t="shared" si="137"/>
        <v>0</v>
      </c>
      <c r="Q396" s="6">
        <f t="shared" si="138"/>
        <v>0</v>
      </c>
      <c r="R396" s="6">
        <f t="shared" si="139"/>
        <v>0</v>
      </c>
      <c r="S396" s="6">
        <f t="shared" si="140"/>
        <v>0</v>
      </c>
      <c r="T396" s="6">
        <f t="shared" si="141"/>
        <v>0</v>
      </c>
      <c r="U396" s="6">
        <f t="shared" si="142"/>
        <v>0</v>
      </c>
      <c r="V396" s="6">
        <f t="shared" si="143"/>
        <v>0</v>
      </c>
      <c r="W396" s="6">
        <f t="shared" si="144"/>
        <v>0</v>
      </c>
      <c r="X396" s="6">
        <f t="shared" si="145"/>
        <v>0</v>
      </c>
      <c r="Y396" s="6">
        <f t="shared" si="146"/>
        <v>0</v>
      </c>
      <c r="Z396" s="6">
        <f t="shared" si="147"/>
        <v>0</v>
      </c>
      <c r="AB396" s="36" t="str">
        <f>IF(最佳化斷筋點!C396="","",最佳化斷筋點!C396)</f>
        <v/>
      </c>
      <c r="AC396" s="37" t="str">
        <f>IF(最佳化斷筋點!D396="","",最佳化斷筋點!D396)</f>
        <v/>
      </c>
      <c r="AD396" s="37" t="str">
        <f>IF(最佳化斷筋點!E396="","",最佳化斷筋點!E396)</f>
        <v/>
      </c>
      <c r="AE396" s="37" t="str">
        <f>IF(最佳化斷筋點!F396="","",最佳化斷筋點!F396)</f>
        <v/>
      </c>
      <c r="AF396" s="37" t="str">
        <f>IF(最佳化斷筋點!G396="","",最佳化斷筋點!G396)</f>
        <v/>
      </c>
      <c r="AG396" s="37" t="str">
        <f>IF(最佳化斷筋點!H396="","",最佳化斷筋點!H396)</f>
        <v/>
      </c>
      <c r="AH396" s="37" t="str">
        <f>IF(最佳化斷筋點!I396="","",最佳化斷筋點!I396)</f>
        <v/>
      </c>
      <c r="AI396" s="37" t="str">
        <f>IF(最佳化斷筋點!J396="","",最佳化斷筋點!J396)</f>
        <v/>
      </c>
      <c r="AJ396" s="37" t="str">
        <f>IF(最佳化斷筋點!K396="","",最佳化斷筋點!K396)</f>
        <v/>
      </c>
      <c r="AK396" s="37" t="str">
        <f>IF(最佳化斷筋點!L396="","",最佳化斷筋點!L396)</f>
        <v/>
      </c>
      <c r="AL396" s="37" t="str">
        <f>IF(最佳化斷筋點!M396="","",最佳化斷筋點!M396)</f>
        <v/>
      </c>
      <c r="AM396" s="37" t="str">
        <f>IF(最佳化斷筋點!N396="","",最佳化斷筋點!N396)</f>
        <v/>
      </c>
      <c r="AN396" s="37" t="str">
        <f>IF(最佳化斷筋點!O396="","",最佳化斷筋點!O396)</f>
        <v/>
      </c>
      <c r="AO396" s="37" t="str">
        <f>IF(最佳化斷筋點!P396="","",最佳化斷筋點!P396)</f>
        <v/>
      </c>
      <c r="AP396" s="37" t="str">
        <f>IF(最佳化斷筋點!Q396="","",最佳化斷筋點!Q396)</f>
        <v/>
      </c>
      <c r="AQ396" s="37" t="str">
        <f>IF(最佳化斷筋點!R396="","",最佳化斷筋點!R396)</f>
        <v/>
      </c>
      <c r="AR396" s="37" t="str">
        <f>IF(最佳化斷筋點!S396="","",最佳化斷筋點!S396)</f>
        <v/>
      </c>
      <c r="AS396" s="37" t="str">
        <f>IF(最佳化斷筋點!T396="","",最佳化斷筋點!T396)</f>
        <v/>
      </c>
      <c r="AT396" s="37" t="str">
        <f>IF(最佳化斷筋點!U396="","",最佳化斷筋點!U396)</f>
        <v/>
      </c>
      <c r="AU396" s="37" t="str">
        <f>IF(最佳化斷筋點!V396="","",最佳化斷筋點!V396)</f>
        <v/>
      </c>
      <c r="AV396" s="37" t="str">
        <f>IF(最佳化斷筋點!W396="","",最佳化斷筋點!W396)</f>
        <v/>
      </c>
      <c r="AW396" s="37" t="str">
        <f>IF(最佳化斷筋點!X396="","",最佳化斷筋點!X396)</f>
        <v/>
      </c>
      <c r="AZ396" s="37" t="s">
        <v>197</v>
      </c>
      <c r="BA396" s="37" t="s">
        <v>197</v>
      </c>
      <c r="BB396" s="37" t="s">
        <v>197</v>
      </c>
      <c r="BC396" s="37" t="s">
        <v>197</v>
      </c>
      <c r="BD396" s="37" t="s">
        <v>197</v>
      </c>
      <c r="BE396" s="37" t="s">
        <v>197</v>
      </c>
      <c r="BF396" s="37" t="s">
        <v>197</v>
      </c>
      <c r="BG396" s="37" t="s">
        <v>197</v>
      </c>
      <c r="BH396" s="37" t="s">
        <v>197</v>
      </c>
      <c r="BI396" s="37" t="s">
        <v>197</v>
      </c>
      <c r="BJ396" s="37" t="s">
        <v>197</v>
      </c>
      <c r="BK396" s="37" t="s">
        <v>197</v>
      </c>
      <c r="BL396" s="37" t="s">
        <v>197</v>
      </c>
      <c r="BM396" s="37" t="s">
        <v>197</v>
      </c>
      <c r="BN396" s="37" t="s">
        <v>197</v>
      </c>
      <c r="BO396" s="37" t="s">
        <v>197</v>
      </c>
      <c r="BP396" s="37" t="s">
        <v>197</v>
      </c>
      <c r="BQ396" s="37" t="s">
        <v>197</v>
      </c>
      <c r="BR396" s="37" t="s">
        <v>197</v>
      </c>
      <c r="BS396" s="37" t="s">
        <v>197</v>
      </c>
      <c r="BT396" s="37" t="s">
        <v>197</v>
      </c>
    </row>
    <row r="397" spans="5:72" x14ac:dyDescent="0.25">
      <c r="E397" s="6" t="s">
        <v>21</v>
      </c>
      <c r="F397" s="6">
        <f t="shared" si="127"/>
        <v>0</v>
      </c>
      <c r="G397" s="6">
        <f t="shared" si="128"/>
        <v>0</v>
      </c>
      <c r="H397" s="6">
        <f t="shared" si="129"/>
        <v>0</v>
      </c>
      <c r="I397" s="6">
        <f t="shared" si="130"/>
        <v>0</v>
      </c>
      <c r="J397" s="6">
        <f t="shared" si="131"/>
        <v>0</v>
      </c>
      <c r="K397" s="6">
        <f t="shared" si="132"/>
        <v>0</v>
      </c>
      <c r="L397" s="6">
        <f t="shared" si="133"/>
        <v>0</v>
      </c>
      <c r="M397" s="6">
        <f t="shared" si="134"/>
        <v>0</v>
      </c>
      <c r="N397" s="6">
        <f t="shared" si="135"/>
        <v>0</v>
      </c>
      <c r="O397" s="6">
        <f t="shared" si="136"/>
        <v>0</v>
      </c>
      <c r="P397" s="6">
        <f t="shared" si="137"/>
        <v>0</v>
      </c>
      <c r="Q397" s="6">
        <f t="shared" si="138"/>
        <v>0</v>
      </c>
      <c r="R397" s="6">
        <f t="shared" si="139"/>
        <v>0</v>
      </c>
      <c r="S397" s="6">
        <f t="shared" si="140"/>
        <v>0</v>
      </c>
      <c r="T397" s="6">
        <f t="shared" si="141"/>
        <v>0</v>
      </c>
      <c r="U397" s="6">
        <f t="shared" si="142"/>
        <v>0</v>
      </c>
      <c r="V397" s="6">
        <f t="shared" si="143"/>
        <v>0</v>
      </c>
      <c r="W397" s="6">
        <f t="shared" si="144"/>
        <v>0</v>
      </c>
      <c r="X397" s="6">
        <f t="shared" si="145"/>
        <v>0</v>
      </c>
      <c r="Y397" s="6">
        <f t="shared" si="146"/>
        <v>0</v>
      </c>
      <c r="Z397" s="6">
        <f t="shared" si="147"/>
        <v>0</v>
      </c>
      <c r="AB397" s="36" t="str">
        <f>IF(最佳化斷筋點!C397="","",最佳化斷筋點!C397)</f>
        <v>下層</v>
      </c>
      <c r="AC397" s="37">
        <f>IF(最佳化斷筋點!D397="","",最佳化斷筋點!D397)</f>
        <v>4</v>
      </c>
      <c r="AD397" s="37">
        <f>IF(最佳化斷筋點!E397="","",最佳化斷筋點!E397)</f>
        <v>4</v>
      </c>
      <c r="AE397" s="37">
        <f>IF(最佳化斷筋點!F397="","",最佳化斷筋點!F397)</f>
        <v>4</v>
      </c>
      <c r="AF397" s="37">
        <f>IF(最佳化斷筋點!G397="","",最佳化斷筋點!G397)</f>
        <v>4</v>
      </c>
      <c r="AG397" s="37">
        <f>IF(最佳化斷筋點!H397="","",最佳化斷筋點!H397)</f>
        <v>4</v>
      </c>
      <c r="AH397" s="37">
        <f>IF(最佳化斷筋點!I397="","",最佳化斷筋點!I397)</f>
        <v>4</v>
      </c>
      <c r="AI397" s="37">
        <f>IF(最佳化斷筋點!J397="","",最佳化斷筋點!J397)</f>
        <v>3</v>
      </c>
      <c r="AJ397" s="37">
        <f>IF(最佳化斷筋點!K397="","",最佳化斷筋點!K397)</f>
        <v>2</v>
      </c>
      <c r="AK397" s="37">
        <f>IF(最佳化斷筋點!L397="","",最佳化斷筋點!L397)</f>
        <v>2</v>
      </c>
      <c r="AL397" s="37">
        <f>IF(最佳化斷筋點!M397="","",最佳化斷筋點!M397)</f>
        <v>2</v>
      </c>
      <c r="AM397" s="37">
        <f>IF(最佳化斷筋點!N397="","",最佳化斷筋點!N397)</f>
        <v>2</v>
      </c>
      <c r="AN397" s="37">
        <f>IF(最佳化斷筋點!O397="","",最佳化斷筋點!O397)</f>
        <v>2</v>
      </c>
      <c r="AO397" s="37">
        <f>IF(最佳化斷筋點!P397="","",最佳化斷筋點!P397)</f>
        <v>2</v>
      </c>
      <c r="AP397" s="37">
        <f>IF(最佳化斷筋點!Q397="","",最佳化斷筋點!Q397)</f>
        <v>4</v>
      </c>
      <c r="AQ397" s="37">
        <f>IF(最佳化斷筋點!R397="","",最佳化斷筋點!R397)</f>
        <v>4</v>
      </c>
      <c r="AR397" s="37">
        <f>IF(最佳化斷筋點!S397="","",最佳化斷筋點!S397)</f>
        <v>5</v>
      </c>
      <c r="AS397" s="37">
        <f>IF(最佳化斷筋點!T397="","",最佳化斷筋點!T397)</f>
        <v>5</v>
      </c>
      <c r="AT397" s="37">
        <f>IF(最佳化斷筋點!U397="","",最佳化斷筋點!U397)</f>
        <v>6</v>
      </c>
      <c r="AU397" s="37">
        <f>IF(最佳化斷筋點!V397="","",最佳化斷筋點!V397)</f>
        <v>6</v>
      </c>
      <c r="AV397" s="37">
        <f>IF(最佳化斷筋點!W397="","",最佳化斷筋點!W397)</f>
        <v>6</v>
      </c>
      <c r="AW397" s="37">
        <f>IF(最佳化斷筋點!X397="","",最佳化斷筋點!X397)</f>
        <v>6</v>
      </c>
      <c r="AY397" s="6" t="s">
        <v>21</v>
      </c>
      <c r="AZ397" s="37">
        <v>4</v>
      </c>
      <c r="BA397" s="37">
        <v>4</v>
      </c>
      <c r="BB397" s="37">
        <v>4</v>
      </c>
      <c r="BC397" s="37">
        <v>4</v>
      </c>
      <c r="BD397" s="37">
        <v>4</v>
      </c>
      <c r="BE397" s="37">
        <v>4</v>
      </c>
      <c r="BF397" s="37">
        <v>3</v>
      </c>
      <c r="BG397" s="37">
        <v>2</v>
      </c>
      <c r="BH397" s="37">
        <v>2</v>
      </c>
      <c r="BI397" s="37">
        <v>2</v>
      </c>
      <c r="BJ397" s="37">
        <v>2</v>
      </c>
      <c r="BK397" s="37">
        <v>2</v>
      </c>
      <c r="BL397" s="37">
        <v>2</v>
      </c>
      <c r="BM397" s="37">
        <v>4</v>
      </c>
      <c r="BN397" s="37">
        <v>4</v>
      </c>
      <c r="BO397" s="37">
        <v>5</v>
      </c>
      <c r="BP397" s="37">
        <v>5</v>
      </c>
      <c r="BQ397" s="37">
        <v>6</v>
      </c>
      <c r="BR397" s="37">
        <v>6</v>
      </c>
      <c r="BS397" s="37">
        <v>6</v>
      </c>
      <c r="BT397" s="37">
        <v>6</v>
      </c>
    </row>
    <row r="398" spans="5:72" x14ac:dyDescent="0.25">
      <c r="F398" s="6">
        <f t="shared" si="127"/>
        <v>0</v>
      </c>
      <c r="G398" s="6">
        <f t="shared" si="128"/>
        <v>0</v>
      </c>
      <c r="H398" s="6">
        <f t="shared" si="129"/>
        <v>0</v>
      </c>
      <c r="I398" s="6">
        <f t="shared" si="130"/>
        <v>0</v>
      </c>
      <c r="J398" s="6">
        <f t="shared" si="131"/>
        <v>0</v>
      </c>
      <c r="K398" s="6">
        <f t="shared" si="132"/>
        <v>0</v>
      </c>
      <c r="L398" s="6">
        <f t="shared" si="133"/>
        <v>0</v>
      </c>
      <c r="M398" s="6">
        <f t="shared" si="134"/>
        <v>0</v>
      </c>
      <c r="N398" s="6">
        <f t="shared" si="135"/>
        <v>0</v>
      </c>
      <c r="O398" s="6">
        <f t="shared" si="136"/>
        <v>0</v>
      </c>
      <c r="P398" s="6">
        <f t="shared" si="137"/>
        <v>0</v>
      </c>
      <c r="Q398" s="6">
        <f t="shared" si="138"/>
        <v>0</v>
      </c>
      <c r="R398" s="6">
        <f t="shared" si="139"/>
        <v>0</v>
      </c>
      <c r="S398" s="6">
        <f t="shared" si="140"/>
        <v>0</v>
      </c>
      <c r="T398" s="6">
        <f t="shared" si="141"/>
        <v>0</v>
      </c>
      <c r="U398" s="6">
        <f t="shared" si="142"/>
        <v>0</v>
      </c>
      <c r="V398" s="6">
        <f t="shared" si="143"/>
        <v>0</v>
      </c>
      <c r="W398" s="6">
        <f t="shared" si="144"/>
        <v>0</v>
      </c>
      <c r="X398" s="6">
        <f t="shared" si="145"/>
        <v>0</v>
      </c>
      <c r="Y398" s="6">
        <f t="shared" si="146"/>
        <v>0</v>
      </c>
      <c r="Z398" s="6">
        <f t="shared" si="147"/>
        <v>0</v>
      </c>
      <c r="AB398" s="36" t="str">
        <f>IF(最佳化斷筋點!C398="","",最佳化斷筋點!C398)</f>
        <v/>
      </c>
      <c r="AC398" s="36" t="str">
        <f>IF(最佳化斷筋點!D398="","",最佳化斷筋點!D398)</f>
        <v/>
      </c>
      <c r="AD398" s="36" t="str">
        <f>IF(最佳化斷筋點!E398="","",最佳化斷筋點!E398)</f>
        <v/>
      </c>
      <c r="AE398" s="36" t="str">
        <f>IF(最佳化斷筋點!F398="","",最佳化斷筋點!F398)</f>
        <v/>
      </c>
      <c r="AF398" s="36" t="str">
        <f>IF(最佳化斷筋點!G398="","",最佳化斷筋點!G398)</f>
        <v/>
      </c>
      <c r="AG398" s="36" t="str">
        <f>IF(最佳化斷筋點!H398="","",最佳化斷筋點!H398)</f>
        <v/>
      </c>
      <c r="AH398" s="36" t="str">
        <f>IF(最佳化斷筋點!I398="","",最佳化斷筋點!I398)</f>
        <v/>
      </c>
      <c r="AI398" s="36" t="str">
        <f>IF(最佳化斷筋點!J398="","",最佳化斷筋點!J398)</f>
        <v/>
      </c>
      <c r="AJ398" s="36" t="str">
        <f>IF(最佳化斷筋點!K398="","",最佳化斷筋點!K398)</f>
        <v/>
      </c>
      <c r="AK398" s="36" t="str">
        <f>IF(最佳化斷筋點!L398="","",最佳化斷筋點!L398)</f>
        <v/>
      </c>
      <c r="AL398" s="36" t="str">
        <f>IF(最佳化斷筋點!M398="","",最佳化斷筋點!M398)</f>
        <v/>
      </c>
      <c r="AM398" s="36" t="str">
        <f>IF(最佳化斷筋點!N398="","",最佳化斷筋點!N398)</f>
        <v/>
      </c>
      <c r="AN398" s="36" t="str">
        <f>IF(最佳化斷筋點!O398="","",最佳化斷筋點!O398)</f>
        <v/>
      </c>
      <c r="AO398" s="36" t="str">
        <f>IF(最佳化斷筋點!P398="","",最佳化斷筋點!P398)</f>
        <v/>
      </c>
      <c r="AP398" s="36" t="str">
        <f>IF(最佳化斷筋點!Q398="","",最佳化斷筋點!Q398)</f>
        <v/>
      </c>
      <c r="AQ398" s="36" t="str">
        <f>IF(最佳化斷筋點!R398="","",最佳化斷筋點!R398)</f>
        <v/>
      </c>
      <c r="AR398" s="36" t="str">
        <f>IF(最佳化斷筋點!S398="","",最佳化斷筋點!S398)</f>
        <v/>
      </c>
      <c r="AS398" s="36" t="str">
        <f>IF(最佳化斷筋點!T398="","",最佳化斷筋點!T398)</f>
        <v/>
      </c>
      <c r="AT398" s="36" t="str">
        <f>IF(最佳化斷筋點!U398="","",最佳化斷筋點!U398)</f>
        <v/>
      </c>
      <c r="AU398" s="36" t="str">
        <f>IF(最佳化斷筋點!V398="","",最佳化斷筋點!V398)</f>
        <v/>
      </c>
      <c r="AV398" s="36" t="str">
        <f>IF(最佳化斷筋點!W398="","",最佳化斷筋點!W398)</f>
        <v/>
      </c>
      <c r="AW398" s="36" t="str">
        <f>IF(最佳化斷筋點!X398="","",最佳化斷筋點!X398)</f>
        <v/>
      </c>
      <c r="AZ398" s="37" t="s">
        <v>197</v>
      </c>
      <c r="BA398" s="37" t="s">
        <v>197</v>
      </c>
      <c r="BB398" s="37" t="s">
        <v>197</v>
      </c>
      <c r="BC398" s="37" t="s">
        <v>197</v>
      </c>
      <c r="BD398" s="37" t="s">
        <v>197</v>
      </c>
      <c r="BE398" s="37" t="s">
        <v>197</v>
      </c>
      <c r="BF398" s="37" t="s">
        <v>197</v>
      </c>
      <c r="BG398" s="37" t="s">
        <v>197</v>
      </c>
      <c r="BH398" s="37" t="s">
        <v>197</v>
      </c>
      <c r="BI398" s="37" t="s">
        <v>197</v>
      </c>
      <c r="BJ398" s="37" t="s">
        <v>197</v>
      </c>
      <c r="BK398" s="37" t="s">
        <v>197</v>
      </c>
      <c r="BL398" s="37" t="s">
        <v>197</v>
      </c>
      <c r="BM398" s="37" t="s">
        <v>197</v>
      </c>
      <c r="BN398" s="37" t="s">
        <v>197</v>
      </c>
      <c r="BO398" s="37" t="s">
        <v>197</v>
      </c>
      <c r="BP398" s="37" t="s">
        <v>197</v>
      </c>
      <c r="BQ398" s="37" t="s">
        <v>197</v>
      </c>
      <c r="BR398" s="37" t="s">
        <v>197</v>
      </c>
      <c r="BS398" s="37" t="s">
        <v>197</v>
      </c>
      <c r="BT398" s="37" t="s">
        <v>197</v>
      </c>
    </row>
    <row r="399" spans="5:72" x14ac:dyDescent="0.25">
      <c r="E399" s="6" t="s">
        <v>20</v>
      </c>
      <c r="F399" s="6">
        <f t="shared" si="127"/>
        <v>0</v>
      </c>
      <c r="G399" s="6">
        <f t="shared" si="128"/>
        <v>0</v>
      </c>
      <c r="H399" s="6">
        <f t="shared" si="129"/>
        <v>0</v>
      </c>
      <c r="I399" s="6">
        <f t="shared" si="130"/>
        <v>0</v>
      </c>
      <c r="J399" s="6">
        <f t="shared" si="131"/>
        <v>0</v>
      </c>
      <c r="K399" s="6">
        <f t="shared" si="132"/>
        <v>0</v>
      </c>
      <c r="L399" s="6">
        <f t="shared" si="133"/>
        <v>0</v>
      </c>
      <c r="M399" s="6">
        <f t="shared" si="134"/>
        <v>0</v>
      </c>
      <c r="N399" s="6">
        <f t="shared" si="135"/>
        <v>0</v>
      </c>
      <c r="O399" s="6">
        <f t="shared" si="136"/>
        <v>0</v>
      </c>
      <c r="P399" s="6">
        <f t="shared" si="137"/>
        <v>0</v>
      </c>
      <c r="Q399" s="6">
        <f t="shared" si="138"/>
        <v>0</v>
      </c>
      <c r="R399" s="6">
        <f t="shared" si="139"/>
        <v>0</v>
      </c>
      <c r="S399" s="6">
        <f t="shared" si="140"/>
        <v>0</v>
      </c>
      <c r="T399" s="6">
        <f t="shared" si="141"/>
        <v>0</v>
      </c>
      <c r="U399" s="6">
        <f t="shared" si="142"/>
        <v>0</v>
      </c>
      <c r="V399" s="6">
        <f t="shared" si="143"/>
        <v>0</v>
      </c>
      <c r="W399" s="6">
        <f t="shared" si="144"/>
        <v>0</v>
      </c>
      <c r="X399" s="6">
        <f t="shared" si="145"/>
        <v>0</v>
      </c>
      <c r="Y399" s="6">
        <f t="shared" si="146"/>
        <v>0</v>
      </c>
      <c r="Z399" s="6">
        <f t="shared" si="147"/>
        <v>0</v>
      </c>
      <c r="AB399" s="36" t="str">
        <f>IF(最佳化斷筋點!C399="","",最佳化斷筋點!C399)</f>
        <v>上層</v>
      </c>
      <c r="AC399" s="37">
        <f>IF(最佳化斷筋點!D399="","",最佳化斷筋點!D399)</f>
        <v>8</v>
      </c>
      <c r="AD399" s="37">
        <f>IF(最佳化斷筋點!E399="","",最佳化斷筋點!E399)</f>
        <v>8</v>
      </c>
      <c r="AE399" s="37">
        <f>IF(最佳化斷筋點!F399="","",最佳化斷筋點!F399)</f>
        <v>8</v>
      </c>
      <c r="AF399" s="37">
        <f>IF(最佳化斷筋點!G399="","",最佳化斷筋點!G399)</f>
        <v>8</v>
      </c>
      <c r="AG399" s="37">
        <f>IF(最佳化斷筋點!H399="","",最佳化斷筋點!H399)</f>
        <v>8</v>
      </c>
      <c r="AH399" s="37">
        <f>IF(最佳化斷筋點!I399="","",最佳化斷筋點!I399)</f>
        <v>7</v>
      </c>
      <c r="AI399" s="37">
        <f>IF(最佳化斷筋點!J399="","",最佳化斷筋點!J399)</f>
        <v>6</v>
      </c>
      <c r="AJ399" s="37">
        <f>IF(最佳化斷筋點!K399="","",最佳化斷筋點!K399)</f>
        <v>4</v>
      </c>
      <c r="AK399" s="37">
        <f>IF(最佳化斷筋點!L399="","",最佳化斷筋點!L399)</f>
        <v>4</v>
      </c>
      <c r="AL399" s="37">
        <f>IF(最佳化斷筋點!M399="","",最佳化斷筋點!M399)</f>
        <v>4</v>
      </c>
      <c r="AM399" s="37">
        <f>IF(最佳化斷筋點!N399="","",最佳化斷筋點!N399)</f>
        <v>3</v>
      </c>
      <c r="AN399" s="37">
        <f>IF(最佳化斷筋點!O399="","",最佳化斷筋點!O399)</f>
        <v>4</v>
      </c>
      <c r="AO399" s="37">
        <f>IF(最佳化斷筋點!P399="","",最佳化斷筋點!P399)</f>
        <v>4</v>
      </c>
      <c r="AP399" s="37">
        <f>IF(最佳化斷筋點!Q399="","",最佳化斷筋點!Q399)</f>
        <v>6</v>
      </c>
      <c r="AQ399" s="37">
        <f>IF(最佳化斷筋點!R399="","",最佳化斷筋點!R399)</f>
        <v>7</v>
      </c>
      <c r="AR399" s="37">
        <f>IF(最佳化斷筋點!S399="","",最佳化斷筋點!S399)</f>
        <v>8</v>
      </c>
      <c r="AS399" s="37">
        <f>IF(最佳化斷筋點!T399="","",最佳化斷筋點!T399)</f>
        <v>9</v>
      </c>
      <c r="AT399" s="37">
        <f>IF(最佳化斷筋點!U399="","",最佳化斷筋點!U399)</f>
        <v>10</v>
      </c>
      <c r="AU399" s="37">
        <f>IF(最佳化斷筋點!V399="","",最佳化斷筋點!V399)</f>
        <v>10</v>
      </c>
      <c r="AV399" s="37">
        <f>IF(最佳化斷筋點!W399="","",最佳化斷筋點!W399)</f>
        <v>10</v>
      </c>
      <c r="AW399" s="37">
        <f>IF(最佳化斷筋點!X399="","",最佳化斷筋點!X399)</f>
        <v>10</v>
      </c>
      <c r="AY399" s="6" t="s">
        <v>20</v>
      </c>
      <c r="AZ399" s="37">
        <v>8</v>
      </c>
      <c r="BA399" s="37">
        <v>8</v>
      </c>
      <c r="BB399" s="37">
        <v>8</v>
      </c>
      <c r="BC399" s="37">
        <v>8</v>
      </c>
      <c r="BD399" s="37">
        <v>8</v>
      </c>
      <c r="BE399" s="37">
        <v>7</v>
      </c>
      <c r="BF399" s="37">
        <v>6</v>
      </c>
      <c r="BG399" s="37">
        <v>4</v>
      </c>
      <c r="BH399" s="37">
        <v>4</v>
      </c>
      <c r="BI399" s="37">
        <v>4</v>
      </c>
      <c r="BJ399" s="37">
        <v>3</v>
      </c>
      <c r="BK399" s="37">
        <v>4</v>
      </c>
      <c r="BL399" s="37">
        <v>4</v>
      </c>
      <c r="BM399" s="37">
        <v>6</v>
      </c>
      <c r="BN399" s="37">
        <v>7</v>
      </c>
      <c r="BO399" s="37">
        <v>8</v>
      </c>
      <c r="BP399" s="37">
        <v>9</v>
      </c>
      <c r="BQ399" s="37">
        <v>10</v>
      </c>
      <c r="BR399" s="37">
        <v>10</v>
      </c>
      <c r="BS399" s="37">
        <v>10</v>
      </c>
      <c r="BT399" s="37">
        <v>10</v>
      </c>
    </row>
    <row r="400" spans="5:72" x14ac:dyDescent="0.25">
      <c r="F400" s="6">
        <f t="shared" si="127"/>
        <v>0</v>
      </c>
      <c r="G400" s="6">
        <f t="shared" si="128"/>
        <v>0</v>
      </c>
      <c r="H400" s="6">
        <f t="shared" si="129"/>
        <v>0</v>
      </c>
      <c r="I400" s="6">
        <f t="shared" si="130"/>
        <v>0</v>
      </c>
      <c r="J400" s="6">
        <f t="shared" si="131"/>
        <v>0</v>
      </c>
      <c r="K400" s="6">
        <f t="shared" si="132"/>
        <v>0</v>
      </c>
      <c r="L400" s="6">
        <f t="shared" si="133"/>
        <v>0</v>
      </c>
      <c r="M400" s="6">
        <f t="shared" si="134"/>
        <v>0</v>
      </c>
      <c r="N400" s="6">
        <f t="shared" si="135"/>
        <v>0</v>
      </c>
      <c r="O400" s="6">
        <f t="shared" si="136"/>
        <v>0</v>
      </c>
      <c r="P400" s="6">
        <f t="shared" si="137"/>
        <v>0</v>
      </c>
      <c r="Q400" s="6">
        <f t="shared" si="138"/>
        <v>0</v>
      </c>
      <c r="R400" s="6">
        <f t="shared" si="139"/>
        <v>0</v>
      </c>
      <c r="S400" s="6">
        <f t="shared" si="140"/>
        <v>0</v>
      </c>
      <c r="T400" s="6">
        <f t="shared" si="141"/>
        <v>0</v>
      </c>
      <c r="U400" s="6">
        <f t="shared" si="142"/>
        <v>0</v>
      </c>
      <c r="V400" s="6">
        <f t="shared" si="143"/>
        <v>0</v>
      </c>
      <c r="W400" s="6">
        <f t="shared" si="144"/>
        <v>0</v>
      </c>
      <c r="X400" s="6">
        <f t="shared" si="145"/>
        <v>0</v>
      </c>
      <c r="Y400" s="6">
        <f t="shared" si="146"/>
        <v>0</v>
      </c>
      <c r="Z400" s="6">
        <f t="shared" si="147"/>
        <v>0</v>
      </c>
      <c r="AB400" s="36" t="str">
        <f>IF(最佳化斷筋點!C400="","",最佳化斷筋點!C400)</f>
        <v/>
      </c>
      <c r="AC400" s="37" t="str">
        <f>IF(最佳化斷筋點!D400="","",最佳化斷筋點!D400)</f>
        <v/>
      </c>
      <c r="AD400" s="37" t="str">
        <f>IF(最佳化斷筋點!E400="","",最佳化斷筋點!E400)</f>
        <v/>
      </c>
      <c r="AE400" s="37" t="str">
        <f>IF(最佳化斷筋點!F400="","",最佳化斷筋點!F400)</f>
        <v/>
      </c>
      <c r="AF400" s="37" t="str">
        <f>IF(最佳化斷筋點!G400="","",最佳化斷筋點!G400)</f>
        <v/>
      </c>
      <c r="AG400" s="37" t="str">
        <f>IF(最佳化斷筋點!H400="","",最佳化斷筋點!H400)</f>
        <v/>
      </c>
      <c r="AH400" s="37" t="str">
        <f>IF(最佳化斷筋點!I400="","",最佳化斷筋點!I400)</f>
        <v/>
      </c>
      <c r="AI400" s="37" t="str">
        <f>IF(最佳化斷筋點!J400="","",最佳化斷筋點!J400)</f>
        <v/>
      </c>
      <c r="AJ400" s="37" t="str">
        <f>IF(最佳化斷筋點!K400="","",最佳化斷筋點!K400)</f>
        <v/>
      </c>
      <c r="AK400" s="37" t="str">
        <f>IF(最佳化斷筋點!L400="","",最佳化斷筋點!L400)</f>
        <v/>
      </c>
      <c r="AL400" s="37" t="str">
        <f>IF(最佳化斷筋點!M400="","",最佳化斷筋點!M400)</f>
        <v/>
      </c>
      <c r="AM400" s="37" t="str">
        <f>IF(最佳化斷筋點!N400="","",最佳化斷筋點!N400)</f>
        <v/>
      </c>
      <c r="AN400" s="37" t="str">
        <f>IF(最佳化斷筋點!O400="","",最佳化斷筋點!O400)</f>
        <v/>
      </c>
      <c r="AO400" s="37" t="str">
        <f>IF(最佳化斷筋點!P400="","",最佳化斷筋點!P400)</f>
        <v/>
      </c>
      <c r="AP400" s="37" t="str">
        <f>IF(最佳化斷筋點!Q400="","",最佳化斷筋點!Q400)</f>
        <v/>
      </c>
      <c r="AQ400" s="37" t="str">
        <f>IF(最佳化斷筋點!R400="","",最佳化斷筋點!R400)</f>
        <v/>
      </c>
      <c r="AR400" s="37" t="str">
        <f>IF(最佳化斷筋點!S400="","",最佳化斷筋點!S400)</f>
        <v/>
      </c>
      <c r="AS400" s="37" t="str">
        <f>IF(最佳化斷筋點!T400="","",最佳化斷筋點!T400)</f>
        <v/>
      </c>
      <c r="AT400" s="37" t="str">
        <f>IF(最佳化斷筋點!U400="","",最佳化斷筋點!U400)</f>
        <v/>
      </c>
      <c r="AU400" s="37" t="str">
        <f>IF(最佳化斷筋點!V400="","",最佳化斷筋點!V400)</f>
        <v/>
      </c>
      <c r="AV400" s="37" t="str">
        <f>IF(最佳化斷筋點!W400="","",最佳化斷筋點!W400)</f>
        <v/>
      </c>
      <c r="AW400" s="37" t="str">
        <f>IF(最佳化斷筋點!X400="","",最佳化斷筋點!X400)</f>
        <v/>
      </c>
      <c r="AZ400" s="37" t="s">
        <v>197</v>
      </c>
      <c r="BA400" s="37" t="s">
        <v>197</v>
      </c>
      <c r="BB400" s="37" t="s">
        <v>197</v>
      </c>
      <c r="BC400" s="37" t="s">
        <v>197</v>
      </c>
      <c r="BD400" s="37" t="s">
        <v>197</v>
      </c>
      <c r="BE400" s="37" t="s">
        <v>197</v>
      </c>
      <c r="BF400" s="37" t="s">
        <v>197</v>
      </c>
      <c r="BG400" s="37" t="s">
        <v>197</v>
      </c>
      <c r="BH400" s="37" t="s">
        <v>197</v>
      </c>
      <c r="BI400" s="37" t="s">
        <v>197</v>
      </c>
      <c r="BJ400" s="37" t="s">
        <v>197</v>
      </c>
      <c r="BK400" s="37" t="s">
        <v>197</v>
      </c>
      <c r="BL400" s="37" t="s">
        <v>197</v>
      </c>
      <c r="BM400" s="37" t="s">
        <v>197</v>
      </c>
      <c r="BN400" s="37" t="s">
        <v>197</v>
      </c>
      <c r="BO400" s="37" t="s">
        <v>197</v>
      </c>
      <c r="BP400" s="37" t="s">
        <v>197</v>
      </c>
      <c r="BQ400" s="37" t="s">
        <v>197</v>
      </c>
      <c r="BR400" s="37" t="s">
        <v>197</v>
      </c>
      <c r="BS400" s="37" t="s">
        <v>197</v>
      </c>
      <c r="BT400" s="37" t="s">
        <v>197</v>
      </c>
    </row>
    <row r="401" spans="5:72" x14ac:dyDescent="0.25">
      <c r="E401" s="6" t="s">
        <v>21</v>
      </c>
      <c r="F401" s="6">
        <f t="shared" si="127"/>
        <v>0</v>
      </c>
      <c r="G401" s="6">
        <f t="shared" si="128"/>
        <v>0</v>
      </c>
      <c r="H401" s="6">
        <f t="shared" si="129"/>
        <v>0</v>
      </c>
      <c r="I401" s="6">
        <f t="shared" si="130"/>
        <v>0</v>
      </c>
      <c r="J401" s="6">
        <f t="shared" si="131"/>
        <v>0</v>
      </c>
      <c r="K401" s="6">
        <f t="shared" si="132"/>
        <v>0</v>
      </c>
      <c r="L401" s="6">
        <f t="shared" si="133"/>
        <v>0</v>
      </c>
      <c r="M401" s="6">
        <f t="shared" si="134"/>
        <v>0</v>
      </c>
      <c r="N401" s="6">
        <f t="shared" si="135"/>
        <v>0</v>
      </c>
      <c r="O401" s="6">
        <f t="shared" si="136"/>
        <v>0</v>
      </c>
      <c r="P401" s="6">
        <f t="shared" si="137"/>
        <v>0</v>
      </c>
      <c r="Q401" s="6">
        <f t="shared" si="138"/>
        <v>0</v>
      </c>
      <c r="R401" s="6">
        <f t="shared" si="139"/>
        <v>0</v>
      </c>
      <c r="S401" s="6">
        <f t="shared" si="140"/>
        <v>0</v>
      </c>
      <c r="T401" s="6">
        <f t="shared" si="141"/>
        <v>0</v>
      </c>
      <c r="U401" s="6">
        <f t="shared" si="142"/>
        <v>0</v>
      </c>
      <c r="V401" s="6">
        <f t="shared" si="143"/>
        <v>0</v>
      </c>
      <c r="W401" s="6">
        <f t="shared" si="144"/>
        <v>0</v>
      </c>
      <c r="X401" s="6">
        <f t="shared" si="145"/>
        <v>0</v>
      </c>
      <c r="Y401" s="6">
        <f t="shared" si="146"/>
        <v>0</v>
      </c>
      <c r="Z401" s="6">
        <f t="shared" si="147"/>
        <v>0</v>
      </c>
      <c r="AB401" s="36" t="str">
        <f>IF(最佳化斷筋點!C401="","",最佳化斷筋點!C401)</f>
        <v>下層</v>
      </c>
      <c r="AC401" s="37">
        <f>IF(最佳化斷筋點!D401="","",最佳化斷筋點!D401)</f>
        <v>5</v>
      </c>
      <c r="AD401" s="37">
        <f>IF(最佳化斷筋點!E401="","",最佳化斷筋點!E401)</f>
        <v>5</v>
      </c>
      <c r="AE401" s="37">
        <f>IF(最佳化斷筋點!F401="","",最佳化斷筋點!F401)</f>
        <v>5</v>
      </c>
      <c r="AF401" s="37">
        <f>IF(最佳化斷筋點!G401="","",最佳化斷筋點!G401)</f>
        <v>5</v>
      </c>
      <c r="AG401" s="37">
        <f>IF(最佳化斷筋點!H401="","",最佳化斷筋點!H401)</f>
        <v>5</v>
      </c>
      <c r="AH401" s="37">
        <f>IF(最佳化斷筋點!I401="","",最佳化斷筋點!I401)</f>
        <v>4</v>
      </c>
      <c r="AI401" s="37">
        <f>IF(最佳化斷筋點!J401="","",最佳化斷筋點!J401)</f>
        <v>4</v>
      </c>
      <c r="AJ401" s="37">
        <f>IF(最佳化斷筋點!K401="","",最佳化斷筋點!K401)</f>
        <v>4</v>
      </c>
      <c r="AK401" s="37">
        <f>IF(最佳化斷筋點!L401="","",最佳化斷筋點!L401)</f>
        <v>4</v>
      </c>
      <c r="AL401" s="37">
        <f>IF(最佳化斷筋點!M401="","",最佳化斷筋點!M401)</f>
        <v>4</v>
      </c>
      <c r="AM401" s="37">
        <f>IF(最佳化斷筋點!N401="","",最佳化斷筋點!N401)</f>
        <v>4</v>
      </c>
      <c r="AN401" s="37">
        <f>IF(最佳化斷筋點!O401="","",最佳化斷筋點!O401)</f>
        <v>4</v>
      </c>
      <c r="AO401" s="37">
        <f>IF(最佳化斷筋點!P401="","",最佳化斷筋點!P401)</f>
        <v>4</v>
      </c>
      <c r="AP401" s="37">
        <f>IF(最佳化斷筋點!Q401="","",最佳化斷筋點!Q401)</f>
        <v>4</v>
      </c>
      <c r="AQ401" s="37">
        <f>IF(最佳化斷筋點!R401="","",最佳化斷筋點!R401)</f>
        <v>4</v>
      </c>
      <c r="AR401" s="37">
        <f>IF(最佳化斷筋點!S401="","",最佳化斷筋點!S401)</f>
        <v>4</v>
      </c>
      <c r="AS401" s="37">
        <f>IF(最佳化斷筋點!T401="","",最佳化斷筋點!T401)</f>
        <v>5</v>
      </c>
      <c r="AT401" s="37">
        <f>IF(最佳化斷筋點!U401="","",最佳化斷筋點!U401)</f>
        <v>5</v>
      </c>
      <c r="AU401" s="37">
        <f>IF(最佳化斷筋點!V401="","",最佳化斷筋點!V401)</f>
        <v>6</v>
      </c>
      <c r="AV401" s="37">
        <f>IF(最佳化斷筋點!W401="","",最佳化斷筋點!W401)</f>
        <v>6</v>
      </c>
      <c r="AW401" s="37">
        <f>IF(最佳化斷筋點!X401="","",最佳化斷筋點!X401)</f>
        <v>6</v>
      </c>
      <c r="AY401" s="6" t="s">
        <v>21</v>
      </c>
      <c r="AZ401" s="37">
        <v>5</v>
      </c>
      <c r="BA401" s="37">
        <v>5</v>
      </c>
      <c r="BB401" s="37">
        <v>5</v>
      </c>
      <c r="BC401" s="37">
        <v>5</v>
      </c>
      <c r="BD401" s="37">
        <v>5</v>
      </c>
      <c r="BE401" s="37">
        <v>4</v>
      </c>
      <c r="BF401" s="37">
        <v>4</v>
      </c>
      <c r="BG401" s="37">
        <v>4</v>
      </c>
      <c r="BH401" s="37">
        <v>4</v>
      </c>
      <c r="BI401" s="37">
        <v>4</v>
      </c>
      <c r="BJ401" s="37">
        <v>4</v>
      </c>
      <c r="BK401" s="37">
        <v>4</v>
      </c>
      <c r="BL401" s="37">
        <v>4</v>
      </c>
      <c r="BM401" s="37">
        <v>4</v>
      </c>
      <c r="BN401" s="37">
        <v>4</v>
      </c>
      <c r="BO401" s="37">
        <v>4</v>
      </c>
      <c r="BP401" s="37">
        <v>5</v>
      </c>
      <c r="BQ401" s="37">
        <v>5</v>
      </c>
      <c r="BR401" s="37">
        <v>6</v>
      </c>
      <c r="BS401" s="37">
        <v>6</v>
      </c>
      <c r="BT401" s="37">
        <v>6</v>
      </c>
    </row>
    <row r="402" spans="5:72" x14ac:dyDescent="0.25">
      <c r="F402" s="6">
        <f t="shared" si="127"/>
        <v>0</v>
      </c>
      <c r="G402" s="6">
        <f t="shared" si="128"/>
        <v>0</v>
      </c>
      <c r="H402" s="6">
        <f t="shared" si="129"/>
        <v>0</v>
      </c>
      <c r="I402" s="6">
        <f t="shared" si="130"/>
        <v>0</v>
      </c>
      <c r="J402" s="6">
        <f t="shared" si="131"/>
        <v>0</v>
      </c>
      <c r="K402" s="6">
        <f t="shared" si="132"/>
        <v>0</v>
      </c>
      <c r="L402" s="6">
        <f t="shared" si="133"/>
        <v>0</v>
      </c>
      <c r="M402" s="6">
        <f t="shared" si="134"/>
        <v>0</v>
      </c>
      <c r="N402" s="6">
        <f t="shared" si="135"/>
        <v>0</v>
      </c>
      <c r="O402" s="6">
        <f t="shared" si="136"/>
        <v>0</v>
      </c>
      <c r="P402" s="6">
        <f t="shared" si="137"/>
        <v>0</v>
      </c>
      <c r="Q402" s="6">
        <f t="shared" si="138"/>
        <v>0</v>
      </c>
      <c r="R402" s="6">
        <f t="shared" si="139"/>
        <v>0</v>
      </c>
      <c r="S402" s="6">
        <f t="shared" si="140"/>
        <v>0</v>
      </c>
      <c r="T402" s="6">
        <f t="shared" si="141"/>
        <v>0</v>
      </c>
      <c r="U402" s="6">
        <f t="shared" si="142"/>
        <v>0</v>
      </c>
      <c r="V402" s="6">
        <f t="shared" si="143"/>
        <v>0</v>
      </c>
      <c r="W402" s="6">
        <f t="shared" si="144"/>
        <v>0</v>
      </c>
      <c r="X402" s="6">
        <f t="shared" si="145"/>
        <v>0</v>
      </c>
      <c r="Y402" s="6">
        <f t="shared" si="146"/>
        <v>0</v>
      </c>
      <c r="Z402" s="6">
        <f t="shared" si="147"/>
        <v>0</v>
      </c>
      <c r="AB402" s="36" t="str">
        <f>IF(最佳化斷筋點!C402="","",最佳化斷筋點!C402)</f>
        <v/>
      </c>
      <c r="AC402" s="37" t="str">
        <f>IF(最佳化斷筋點!D402="","",最佳化斷筋點!D402)</f>
        <v/>
      </c>
      <c r="AD402" s="37" t="str">
        <f>IF(最佳化斷筋點!E402="","",最佳化斷筋點!E402)</f>
        <v/>
      </c>
      <c r="AE402" s="37" t="str">
        <f>IF(最佳化斷筋點!F402="","",最佳化斷筋點!F402)</f>
        <v/>
      </c>
      <c r="AF402" s="37" t="str">
        <f>IF(最佳化斷筋點!G402="","",最佳化斷筋點!G402)</f>
        <v/>
      </c>
      <c r="AG402" s="37" t="str">
        <f>IF(最佳化斷筋點!H402="","",最佳化斷筋點!H402)</f>
        <v/>
      </c>
      <c r="AH402" s="37" t="str">
        <f>IF(最佳化斷筋點!I402="","",最佳化斷筋點!I402)</f>
        <v/>
      </c>
      <c r="AI402" s="37" t="str">
        <f>IF(最佳化斷筋點!J402="","",最佳化斷筋點!J402)</f>
        <v/>
      </c>
      <c r="AJ402" s="37" t="str">
        <f>IF(最佳化斷筋點!K402="","",最佳化斷筋點!K402)</f>
        <v/>
      </c>
      <c r="AK402" s="37" t="str">
        <f>IF(最佳化斷筋點!L402="","",最佳化斷筋點!L402)</f>
        <v/>
      </c>
      <c r="AL402" s="37" t="str">
        <f>IF(最佳化斷筋點!M402="","",最佳化斷筋點!M402)</f>
        <v/>
      </c>
      <c r="AM402" s="37" t="str">
        <f>IF(最佳化斷筋點!N402="","",最佳化斷筋點!N402)</f>
        <v/>
      </c>
      <c r="AN402" s="37" t="str">
        <f>IF(最佳化斷筋點!O402="","",最佳化斷筋點!O402)</f>
        <v/>
      </c>
      <c r="AO402" s="37" t="str">
        <f>IF(最佳化斷筋點!P402="","",最佳化斷筋點!P402)</f>
        <v/>
      </c>
      <c r="AP402" s="37" t="str">
        <f>IF(最佳化斷筋點!Q402="","",最佳化斷筋點!Q402)</f>
        <v/>
      </c>
      <c r="AQ402" s="37" t="str">
        <f>IF(最佳化斷筋點!R402="","",最佳化斷筋點!R402)</f>
        <v/>
      </c>
      <c r="AR402" s="37" t="str">
        <f>IF(最佳化斷筋點!S402="","",最佳化斷筋點!S402)</f>
        <v/>
      </c>
      <c r="AS402" s="37" t="str">
        <f>IF(最佳化斷筋點!T402="","",最佳化斷筋點!T402)</f>
        <v/>
      </c>
      <c r="AT402" s="37" t="str">
        <f>IF(最佳化斷筋點!U402="","",最佳化斷筋點!U402)</f>
        <v/>
      </c>
      <c r="AU402" s="37" t="str">
        <f>IF(最佳化斷筋點!V402="","",最佳化斷筋點!V402)</f>
        <v/>
      </c>
      <c r="AV402" s="37" t="str">
        <f>IF(最佳化斷筋點!W402="","",最佳化斷筋點!W402)</f>
        <v/>
      </c>
      <c r="AW402" s="37" t="str">
        <f>IF(最佳化斷筋點!X402="","",最佳化斷筋點!X402)</f>
        <v/>
      </c>
      <c r="AZ402" s="37" t="s">
        <v>197</v>
      </c>
      <c r="BA402" s="37" t="s">
        <v>197</v>
      </c>
      <c r="BB402" s="37" t="s">
        <v>197</v>
      </c>
      <c r="BC402" s="37" t="s">
        <v>197</v>
      </c>
      <c r="BD402" s="37" t="s">
        <v>197</v>
      </c>
      <c r="BE402" s="37" t="s">
        <v>197</v>
      </c>
      <c r="BF402" s="37" t="s">
        <v>197</v>
      </c>
      <c r="BG402" s="37" t="s">
        <v>197</v>
      </c>
      <c r="BH402" s="37" t="s">
        <v>197</v>
      </c>
      <c r="BI402" s="37" t="s">
        <v>197</v>
      </c>
      <c r="BJ402" s="37" t="s">
        <v>197</v>
      </c>
      <c r="BK402" s="37" t="s">
        <v>197</v>
      </c>
      <c r="BL402" s="37" t="s">
        <v>197</v>
      </c>
      <c r="BM402" s="37" t="s">
        <v>197</v>
      </c>
      <c r="BN402" s="37" t="s">
        <v>197</v>
      </c>
      <c r="BO402" s="37" t="s">
        <v>197</v>
      </c>
      <c r="BP402" s="37" t="s">
        <v>197</v>
      </c>
      <c r="BQ402" s="37" t="s">
        <v>197</v>
      </c>
      <c r="BR402" s="37" t="s">
        <v>197</v>
      </c>
      <c r="BS402" s="37" t="s">
        <v>197</v>
      </c>
      <c r="BT402" s="37" t="s">
        <v>197</v>
      </c>
    </row>
    <row r="403" spans="5:72" x14ac:dyDescent="0.25">
      <c r="E403" s="6" t="s">
        <v>20</v>
      </c>
      <c r="F403" s="6">
        <f t="shared" si="127"/>
        <v>0</v>
      </c>
      <c r="G403" s="6">
        <f t="shared" si="128"/>
        <v>0</v>
      </c>
      <c r="H403" s="6">
        <f t="shared" si="129"/>
        <v>0</v>
      </c>
      <c r="I403" s="6">
        <f t="shared" si="130"/>
        <v>0</v>
      </c>
      <c r="J403" s="6">
        <f t="shared" si="131"/>
        <v>0</v>
      </c>
      <c r="K403" s="6">
        <f t="shared" si="132"/>
        <v>0</v>
      </c>
      <c r="L403" s="6">
        <f t="shared" si="133"/>
        <v>0</v>
      </c>
      <c r="M403" s="6">
        <f t="shared" si="134"/>
        <v>0</v>
      </c>
      <c r="N403" s="6">
        <f t="shared" si="135"/>
        <v>0</v>
      </c>
      <c r="O403" s="6">
        <f t="shared" si="136"/>
        <v>0</v>
      </c>
      <c r="P403" s="6">
        <f t="shared" si="137"/>
        <v>0</v>
      </c>
      <c r="Q403" s="6">
        <f t="shared" si="138"/>
        <v>0</v>
      </c>
      <c r="R403" s="6">
        <f t="shared" si="139"/>
        <v>0</v>
      </c>
      <c r="S403" s="6">
        <f t="shared" si="140"/>
        <v>0</v>
      </c>
      <c r="T403" s="6">
        <f t="shared" si="141"/>
        <v>0</v>
      </c>
      <c r="U403" s="6">
        <f t="shared" si="142"/>
        <v>0</v>
      </c>
      <c r="V403" s="6">
        <f t="shared" si="143"/>
        <v>0</v>
      </c>
      <c r="W403" s="6">
        <f t="shared" si="144"/>
        <v>0</v>
      </c>
      <c r="X403" s="6">
        <f t="shared" si="145"/>
        <v>0</v>
      </c>
      <c r="Y403" s="6">
        <f t="shared" si="146"/>
        <v>0</v>
      </c>
      <c r="Z403" s="6">
        <f t="shared" si="147"/>
        <v>0</v>
      </c>
      <c r="AB403" s="36" t="str">
        <f>IF(最佳化斷筋點!C403="","",最佳化斷筋點!C403)</f>
        <v>上層</v>
      </c>
      <c r="AC403" s="37">
        <f>IF(最佳化斷筋點!D403="","",最佳化斷筋點!D403)</f>
        <v>9</v>
      </c>
      <c r="AD403" s="37">
        <f>IF(最佳化斷筋點!E403="","",最佳化斷筋點!E403)</f>
        <v>9</v>
      </c>
      <c r="AE403" s="37">
        <f>IF(最佳化斷筋點!F403="","",最佳化斷筋點!F403)</f>
        <v>9</v>
      </c>
      <c r="AF403" s="37">
        <f>IF(最佳化斷筋點!G403="","",最佳化斷筋點!G403)</f>
        <v>9</v>
      </c>
      <c r="AG403" s="37">
        <f>IF(最佳化斷筋點!H403="","",最佳化斷筋點!H403)</f>
        <v>9</v>
      </c>
      <c r="AH403" s="37">
        <f>IF(最佳化斷筋點!I403="","",最佳化斷筋點!I403)</f>
        <v>9</v>
      </c>
      <c r="AI403" s="37">
        <f>IF(最佳化斷筋點!J403="","",最佳化斷筋點!J403)</f>
        <v>9</v>
      </c>
      <c r="AJ403" s="37">
        <f>IF(最佳化斷筋點!K403="","",最佳化斷筋點!K403)</f>
        <v>4</v>
      </c>
      <c r="AK403" s="37">
        <f>IF(最佳化斷筋點!L403="","",最佳化斷筋點!L403)</f>
        <v>4</v>
      </c>
      <c r="AL403" s="37">
        <f>IF(最佳化斷筋點!M403="","",最佳化斷筋點!M403)</f>
        <v>4</v>
      </c>
      <c r="AM403" s="37">
        <f>IF(最佳化斷筋點!N403="","",最佳化斷筋點!N403)</f>
        <v>4</v>
      </c>
      <c r="AN403" s="37">
        <f>IF(最佳化斷筋點!O403="","",最佳化斷筋點!O403)</f>
        <v>4</v>
      </c>
      <c r="AO403" s="37">
        <f>IF(最佳化斷筋點!P403="","",最佳化斷筋點!P403)</f>
        <v>4</v>
      </c>
      <c r="AP403" s="37">
        <f>IF(最佳化斷筋點!Q403="","",最佳化斷筋點!Q403)</f>
        <v>9</v>
      </c>
      <c r="AQ403" s="37">
        <f>IF(最佳化斷筋點!R403="","",最佳化斷筋點!R403)</f>
        <v>10</v>
      </c>
      <c r="AR403" s="37">
        <f>IF(最佳化斷筋點!S403="","",最佳化斷筋點!S403)</f>
        <v>10</v>
      </c>
      <c r="AS403" s="37">
        <f>IF(最佳化斷筋點!T403="","",最佳化斷筋點!T403)</f>
        <v>10</v>
      </c>
      <c r="AT403" s="37">
        <f>IF(最佳化斷筋點!U403="","",最佳化斷筋點!U403)</f>
        <v>10</v>
      </c>
      <c r="AU403" s="37">
        <f>IF(最佳化斷筋點!V403="","",最佳化斷筋點!V403)</f>
        <v>10</v>
      </c>
      <c r="AV403" s="37">
        <f>IF(最佳化斷筋點!W403="","",最佳化斷筋點!W403)</f>
        <v>10</v>
      </c>
      <c r="AW403" s="37">
        <f>IF(最佳化斷筋點!X403="","",最佳化斷筋點!X403)</f>
        <v>10</v>
      </c>
      <c r="AY403" s="6" t="s">
        <v>20</v>
      </c>
      <c r="AZ403" s="37">
        <v>9</v>
      </c>
      <c r="BA403" s="37">
        <v>9</v>
      </c>
      <c r="BB403" s="37">
        <v>9</v>
      </c>
      <c r="BC403" s="37">
        <v>9</v>
      </c>
      <c r="BD403" s="37">
        <v>9</v>
      </c>
      <c r="BE403" s="37">
        <v>9</v>
      </c>
      <c r="BF403" s="37">
        <v>9</v>
      </c>
      <c r="BG403" s="37">
        <v>4</v>
      </c>
      <c r="BH403" s="37">
        <v>4</v>
      </c>
      <c r="BI403" s="37">
        <v>4</v>
      </c>
      <c r="BJ403" s="37">
        <v>4</v>
      </c>
      <c r="BK403" s="37">
        <v>4</v>
      </c>
      <c r="BL403" s="37">
        <v>4</v>
      </c>
      <c r="BM403" s="37">
        <v>9</v>
      </c>
      <c r="BN403" s="37">
        <v>10</v>
      </c>
      <c r="BO403" s="37">
        <v>10</v>
      </c>
      <c r="BP403" s="37">
        <v>10</v>
      </c>
      <c r="BQ403" s="37">
        <v>10</v>
      </c>
      <c r="BR403" s="37">
        <v>10</v>
      </c>
      <c r="BS403" s="37">
        <v>10</v>
      </c>
      <c r="BT403" s="37">
        <v>10</v>
      </c>
    </row>
    <row r="404" spans="5:72" x14ac:dyDescent="0.25">
      <c r="F404" s="6">
        <f t="shared" si="127"/>
        <v>0</v>
      </c>
      <c r="G404" s="6">
        <f t="shared" si="128"/>
        <v>0</v>
      </c>
      <c r="H404" s="6">
        <f t="shared" si="129"/>
        <v>0</v>
      </c>
      <c r="I404" s="6">
        <f t="shared" si="130"/>
        <v>0</v>
      </c>
      <c r="J404" s="6">
        <f t="shared" si="131"/>
        <v>0</v>
      </c>
      <c r="K404" s="6">
        <f t="shared" si="132"/>
        <v>0</v>
      </c>
      <c r="L404" s="6">
        <f t="shared" si="133"/>
        <v>0</v>
      </c>
      <c r="M404" s="6">
        <f t="shared" si="134"/>
        <v>0</v>
      </c>
      <c r="N404" s="6">
        <f t="shared" si="135"/>
        <v>0</v>
      </c>
      <c r="O404" s="6">
        <f t="shared" si="136"/>
        <v>0</v>
      </c>
      <c r="P404" s="6">
        <f t="shared" si="137"/>
        <v>0</v>
      </c>
      <c r="Q404" s="6">
        <f t="shared" si="138"/>
        <v>0</v>
      </c>
      <c r="R404" s="6">
        <f t="shared" si="139"/>
        <v>0</v>
      </c>
      <c r="S404" s="6">
        <f t="shared" si="140"/>
        <v>0</v>
      </c>
      <c r="T404" s="6">
        <f t="shared" si="141"/>
        <v>0</v>
      </c>
      <c r="U404" s="6">
        <f t="shared" si="142"/>
        <v>0</v>
      </c>
      <c r="V404" s="6">
        <f t="shared" si="143"/>
        <v>0</v>
      </c>
      <c r="W404" s="6">
        <f t="shared" si="144"/>
        <v>0</v>
      </c>
      <c r="X404" s="6">
        <f t="shared" si="145"/>
        <v>0</v>
      </c>
      <c r="Y404" s="6">
        <f t="shared" si="146"/>
        <v>0</v>
      </c>
      <c r="Z404" s="6">
        <f t="shared" si="147"/>
        <v>0</v>
      </c>
      <c r="AB404" s="36" t="str">
        <f>IF(最佳化斷筋點!C404="","",最佳化斷筋點!C404)</f>
        <v/>
      </c>
      <c r="AC404" s="37" t="str">
        <f>IF(最佳化斷筋點!D404="","",最佳化斷筋點!D404)</f>
        <v/>
      </c>
      <c r="AD404" s="37" t="str">
        <f>IF(最佳化斷筋點!E404="","",最佳化斷筋點!E404)</f>
        <v/>
      </c>
      <c r="AE404" s="37" t="str">
        <f>IF(最佳化斷筋點!F404="","",最佳化斷筋點!F404)</f>
        <v/>
      </c>
      <c r="AF404" s="37" t="str">
        <f>IF(最佳化斷筋點!G404="","",最佳化斷筋點!G404)</f>
        <v/>
      </c>
      <c r="AG404" s="37" t="str">
        <f>IF(最佳化斷筋點!H404="","",最佳化斷筋點!H404)</f>
        <v/>
      </c>
      <c r="AH404" s="37" t="str">
        <f>IF(最佳化斷筋點!I404="","",最佳化斷筋點!I404)</f>
        <v/>
      </c>
      <c r="AI404" s="37" t="str">
        <f>IF(最佳化斷筋點!J404="","",最佳化斷筋點!J404)</f>
        <v/>
      </c>
      <c r="AJ404" s="37" t="str">
        <f>IF(最佳化斷筋點!K404="","",最佳化斷筋點!K404)</f>
        <v/>
      </c>
      <c r="AK404" s="37" t="str">
        <f>IF(最佳化斷筋點!L404="","",最佳化斷筋點!L404)</f>
        <v/>
      </c>
      <c r="AL404" s="37" t="str">
        <f>IF(最佳化斷筋點!M404="","",最佳化斷筋點!M404)</f>
        <v/>
      </c>
      <c r="AM404" s="37" t="str">
        <f>IF(最佳化斷筋點!N404="","",最佳化斷筋點!N404)</f>
        <v/>
      </c>
      <c r="AN404" s="37" t="str">
        <f>IF(最佳化斷筋點!O404="","",最佳化斷筋點!O404)</f>
        <v/>
      </c>
      <c r="AO404" s="37" t="str">
        <f>IF(最佳化斷筋點!P404="","",最佳化斷筋點!P404)</f>
        <v/>
      </c>
      <c r="AP404" s="37" t="str">
        <f>IF(最佳化斷筋點!Q404="","",最佳化斷筋點!Q404)</f>
        <v/>
      </c>
      <c r="AQ404" s="37" t="str">
        <f>IF(最佳化斷筋點!R404="","",最佳化斷筋點!R404)</f>
        <v/>
      </c>
      <c r="AR404" s="37" t="str">
        <f>IF(最佳化斷筋點!S404="","",最佳化斷筋點!S404)</f>
        <v/>
      </c>
      <c r="AS404" s="37" t="str">
        <f>IF(最佳化斷筋點!T404="","",最佳化斷筋點!T404)</f>
        <v/>
      </c>
      <c r="AT404" s="37" t="str">
        <f>IF(最佳化斷筋點!U404="","",最佳化斷筋點!U404)</f>
        <v/>
      </c>
      <c r="AU404" s="37" t="str">
        <f>IF(最佳化斷筋點!V404="","",最佳化斷筋點!V404)</f>
        <v/>
      </c>
      <c r="AV404" s="37" t="str">
        <f>IF(最佳化斷筋點!W404="","",最佳化斷筋點!W404)</f>
        <v/>
      </c>
      <c r="AW404" s="37" t="str">
        <f>IF(最佳化斷筋點!X404="","",最佳化斷筋點!X404)</f>
        <v/>
      </c>
      <c r="AZ404" s="37" t="s">
        <v>197</v>
      </c>
      <c r="BA404" s="37" t="s">
        <v>197</v>
      </c>
      <c r="BB404" s="37" t="s">
        <v>197</v>
      </c>
      <c r="BC404" s="37" t="s">
        <v>197</v>
      </c>
      <c r="BD404" s="37" t="s">
        <v>197</v>
      </c>
      <c r="BE404" s="37" t="s">
        <v>197</v>
      </c>
      <c r="BF404" s="37" t="s">
        <v>197</v>
      </c>
      <c r="BG404" s="37" t="s">
        <v>197</v>
      </c>
      <c r="BH404" s="37" t="s">
        <v>197</v>
      </c>
      <c r="BI404" s="37" t="s">
        <v>197</v>
      </c>
      <c r="BJ404" s="37" t="s">
        <v>197</v>
      </c>
      <c r="BK404" s="37" t="s">
        <v>197</v>
      </c>
      <c r="BL404" s="37" t="s">
        <v>197</v>
      </c>
      <c r="BM404" s="37" t="s">
        <v>197</v>
      </c>
      <c r="BN404" s="37" t="s">
        <v>197</v>
      </c>
      <c r="BO404" s="37" t="s">
        <v>197</v>
      </c>
      <c r="BP404" s="37" t="s">
        <v>197</v>
      </c>
      <c r="BQ404" s="37" t="s">
        <v>197</v>
      </c>
      <c r="BR404" s="37" t="s">
        <v>197</v>
      </c>
      <c r="BS404" s="37" t="s">
        <v>197</v>
      </c>
      <c r="BT404" s="37" t="s">
        <v>197</v>
      </c>
    </row>
    <row r="405" spans="5:72" x14ac:dyDescent="0.25">
      <c r="E405" s="6" t="s">
        <v>21</v>
      </c>
      <c r="F405" s="6">
        <f t="shared" si="127"/>
        <v>0</v>
      </c>
      <c r="G405" s="6">
        <f t="shared" si="128"/>
        <v>0</v>
      </c>
      <c r="H405" s="6">
        <f t="shared" si="129"/>
        <v>0</v>
      </c>
      <c r="I405" s="6">
        <f t="shared" si="130"/>
        <v>0</v>
      </c>
      <c r="J405" s="6">
        <f t="shared" si="131"/>
        <v>0</v>
      </c>
      <c r="K405" s="6">
        <f t="shared" si="132"/>
        <v>0</v>
      </c>
      <c r="L405" s="6">
        <f t="shared" si="133"/>
        <v>0</v>
      </c>
      <c r="M405" s="6">
        <f t="shared" si="134"/>
        <v>0</v>
      </c>
      <c r="N405" s="6">
        <f t="shared" si="135"/>
        <v>0</v>
      </c>
      <c r="O405" s="6">
        <f t="shared" si="136"/>
        <v>0</v>
      </c>
      <c r="P405" s="6">
        <f t="shared" si="137"/>
        <v>0</v>
      </c>
      <c r="Q405" s="6">
        <f t="shared" si="138"/>
        <v>0</v>
      </c>
      <c r="R405" s="6">
        <f t="shared" si="139"/>
        <v>0</v>
      </c>
      <c r="S405" s="6">
        <f t="shared" si="140"/>
        <v>0</v>
      </c>
      <c r="T405" s="6">
        <f t="shared" si="141"/>
        <v>0</v>
      </c>
      <c r="U405" s="6">
        <f t="shared" si="142"/>
        <v>0</v>
      </c>
      <c r="V405" s="6">
        <f t="shared" si="143"/>
        <v>0</v>
      </c>
      <c r="W405" s="6">
        <f t="shared" si="144"/>
        <v>0</v>
      </c>
      <c r="X405" s="6">
        <f t="shared" si="145"/>
        <v>0</v>
      </c>
      <c r="Y405" s="6">
        <f t="shared" si="146"/>
        <v>0</v>
      </c>
      <c r="Z405" s="6">
        <f t="shared" si="147"/>
        <v>0</v>
      </c>
      <c r="AB405" s="36" t="str">
        <f>IF(最佳化斷筋點!C405="","",最佳化斷筋點!C405)</f>
        <v>下層</v>
      </c>
      <c r="AC405" s="37">
        <f>IF(最佳化斷筋點!D405="","",最佳化斷筋點!D405)</f>
        <v>9</v>
      </c>
      <c r="AD405" s="37">
        <f>IF(最佳化斷筋點!E405="","",最佳化斷筋點!E405)</f>
        <v>9</v>
      </c>
      <c r="AE405" s="37">
        <f>IF(最佳化斷筋點!F405="","",最佳化斷筋點!F405)</f>
        <v>9</v>
      </c>
      <c r="AF405" s="37">
        <f>IF(最佳化斷筋點!G405="","",最佳化斷筋點!G405)</f>
        <v>9</v>
      </c>
      <c r="AG405" s="37">
        <f>IF(最佳化斷筋點!H405="","",最佳化斷筋點!H405)</f>
        <v>9</v>
      </c>
      <c r="AH405" s="37">
        <f>IF(最佳化斷筋點!I405="","",最佳化斷筋點!I405)</f>
        <v>9</v>
      </c>
      <c r="AI405" s="37">
        <f>IF(最佳化斷筋點!J405="","",最佳化斷筋點!J405)</f>
        <v>8</v>
      </c>
      <c r="AJ405" s="37">
        <f>IF(最佳化斷筋點!K405="","",最佳化斷筋點!K405)</f>
        <v>3</v>
      </c>
      <c r="AK405" s="37">
        <f>IF(最佳化斷筋點!L405="","",最佳化斷筋點!L405)</f>
        <v>3</v>
      </c>
      <c r="AL405" s="37">
        <f>IF(最佳化斷筋點!M405="","",最佳化斷筋點!M405)</f>
        <v>3</v>
      </c>
      <c r="AM405" s="37">
        <f>IF(最佳化斷筋點!N405="","",最佳化斷筋點!N405)</f>
        <v>3</v>
      </c>
      <c r="AN405" s="37">
        <f>IF(最佳化斷筋點!O405="","",最佳化斷筋點!O405)</f>
        <v>3</v>
      </c>
      <c r="AO405" s="37">
        <f>IF(最佳化斷筋點!P405="","",最佳化斷筋點!P405)</f>
        <v>3</v>
      </c>
      <c r="AP405" s="37">
        <f>IF(最佳化斷筋點!Q405="","",最佳化斷筋點!Q405)</f>
        <v>5</v>
      </c>
      <c r="AQ405" s="37">
        <f>IF(最佳化斷筋點!R405="","",最佳化斷筋點!R405)</f>
        <v>6</v>
      </c>
      <c r="AR405" s="37">
        <f>IF(最佳化斷筋點!S405="","",最佳化斷筋點!S405)</f>
        <v>6</v>
      </c>
      <c r="AS405" s="37">
        <f>IF(最佳化斷筋點!T405="","",最佳化斷筋點!T405)</f>
        <v>7</v>
      </c>
      <c r="AT405" s="37">
        <f>IF(最佳化斷筋點!U405="","",最佳化斷筋點!U405)</f>
        <v>7</v>
      </c>
      <c r="AU405" s="37">
        <f>IF(最佳化斷筋點!V405="","",最佳化斷筋點!V405)</f>
        <v>7</v>
      </c>
      <c r="AV405" s="37">
        <f>IF(最佳化斷筋點!W405="","",最佳化斷筋點!W405)</f>
        <v>7</v>
      </c>
      <c r="AW405" s="37">
        <f>IF(最佳化斷筋點!X405="","",最佳化斷筋點!X405)</f>
        <v>7</v>
      </c>
      <c r="AY405" s="6" t="s">
        <v>21</v>
      </c>
      <c r="AZ405" s="37">
        <v>9</v>
      </c>
      <c r="BA405" s="37">
        <v>9</v>
      </c>
      <c r="BB405" s="37">
        <v>9</v>
      </c>
      <c r="BC405" s="37">
        <v>9</v>
      </c>
      <c r="BD405" s="37">
        <v>9</v>
      </c>
      <c r="BE405" s="37">
        <v>9</v>
      </c>
      <c r="BF405" s="37">
        <v>8</v>
      </c>
      <c r="BG405" s="37">
        <v>3</v>
      </c>
      <c r="BH405" s="37">
        <v>3</v>
      </c>
      <c r="BI405" s="37">
        <v>3</v>
      </c>
      <c r="BJ405" s="37">
        <v>3</v>
      </c>
      <c r="BK405" s="37">
        <v>3</v>
      </c>
      <c r="BL405" s="37">
        <v>3</v>
      </c>
      <c r="BM405" s="37">
        <v>5</v>
      </c>
      <c r="BN405" s="37">
        <v>6</v>
      </c>
      <c r="BO405" s="37">
        <v>6</v>
      </c>
      <c r="BP405" s="37">
        <v>7</v>
      </c>
      <c r="BQ405" s="37">
        <v>7</v>
      </c>
      <c r="BR405" s="37">
        <v>7</v>
      </c>
      <c r="BS405" s="37">
        <v>7</v>
      </c>
      <c r="BT405" s="37">
        <v>7</v>
      </c>
    </row>
    <row r="406" spans="5:72" x14ac:dyDescent="0.25">
      <c r="F406" s="6">
        <f t="shared" si="127"/>
        <v>0</v>
      </c>
      <c r="G406" s="6">
        <f t="shared" si="128"/>
        <v>0</v>
      </c>
      <c r="H406" s="6">
        <f t="shared" si="129"/>
        <v>0</v>
      </c>
      <c r="I406" s="6">
        <f t="shared" si="130"/>
        <v>0</v>
      </c>
      <c r="J406" s="6">
        <f t="shared" si="131"/>
        <v>0</v>
      </c>
      <c r="K406" s="6">
        <f t="shared" si="132"/>
        <v>0</v>
      </c>
      <c r="L406" s="6">
        <f t="shared" si="133"/>
        <v>0</v>
      </c>
      <c r="M406" s="6">
        <f t="shared" si="134"/>
        <v>0</v>
      </c>
      <c r="N406" s="6">
        <f t="shared" si="135"/>
        <v>0</v>
      </c>
      <c r="O406" s="6">
        <f t="shared" si="136"/>
        <v>0</v>
      </c>
      <c r="P406" s="6">
        <f t="shared" si="137"/>
        <v>0</v>
      </c>
      <c r="Q406" s="6">
        <f t="shared" si="138"/>
        <v>0</v>
      </c>
      <c r="R406" s="6">
        <f t="shared" si="139"/>
        <v>0</v>
      </c>
      <c r="S406" s="6">
        <f t="shared" si="140"/>
        <v>0</v>
      </c>
      <c r="T406" s="6">
        <f t="shared" si="141"/>
        <v>0</v>
      </c>
      <c r="U406" s="6">
        <f t="shared" si="142"/>
        <v>0</v>
      </c>
      <c r="V406" s="6">
        <f t="shared" si="143"/>
        <v>0</v>
      </c>
      <c r="W406" s="6">
        <f t="shared" si="144"/>
        <v>0</v>
      </c>
      <c r="X406" s="6">
        <f t="shared" si="145"/>
        <v>0</v>
      </c>
      <c r="Y406" s="6">
        <f t="shared" si="146"/>
        <v>0</v>
      </c>
      <c r="Z406" s="6">
        <f t="shared" si="147"/>
        <v>0</v>
      </c>
      <c r="AB406" s="36" t="str">
        <f>IF(最佳化斷筋點!C406="","",最佳化斷筋點!C406)</f>
        <v/>
      </c>
      <c r="AC406" s="37" t="str">
        <f>IF(最佳化斷筋點!D406="","",最佳化斷筋點!D406)</f>
        <v/>
      </c>
      <c r="AD406" s="37" t="str">
        <f>IF(最佳化斷筋點!E406="","",最佳化斷筋點!E406)</f>
        <v/>
      </c>
      <c r="AE406" s="37" t="str">
        <f>IF(最佳化斷筋點!F406="","",最佳化斷筋點!F406)</f>
        <v/>
      </c>
      <c r="AF406" s="37" t="str">
        <f>IF(最佳化斷筋點!G406="","",最佳化斷筋點!G406)</f>
        <v/>
      </c>
      <c r="AG406" s="37" t="str">
        <f>IF(最佳化斷筋點!H406="","",最佳化斷筋點!H406)</f>
        <v/>
      </c>
      <c r="AH406" s="37" t="str">
        <f>IF(最佳化斷筋點!I406="","",最佳化斷筋點!I406)</f>
        <v/>
      </c>
      <c r="AI406" s="37" t="str">
        <f>IF(最佳化斷筋點!J406="","",最佳化斷筋點!J406)</f>
        <v/>
      </c>
      <c r="AJ406" s="37" t="str">
        <f>IF(最佳化斷筋點!K406="","",最佳化斷筋點!K406)</f>
        <v/>
      </c>
      <c r="AK406" s="37" t="str">
        <f>IF(最佳化斷筋點!L406="","",最佳化斷筋點!L406)</f>
        <v/>
      </c>
      <c r="AL406" s="37" t="str">
        <f>IF(最佳化斷筋點!M406="","",最佳化斷筋點!M406)</f>
        <v/>
      </c>
      <c r="AM406" s="37" t="str">
        <f>IF(最佳化斷筋點!N406="","",最佳化斷筋點!N406)</f>
        <v/>
      </c>
      <c r="AN406" s="37" t="str">
        <f>IF(最佳化斷筋點!O406="","",最佳化斷筋點!O406)</f>
        <v/>
      </c>
      <c r="AO406" s="37" t="str">
        <f>IF(最佳化斷筋點!P406="","",最佳化斷筋點!P406)</f>
        <v/>
      </c>
      <c r="AP406" s="37" t="str">
        <f>IF(最佳化斷筋點!Q406="","",最佳化斷筋點!Q406)</f>
        <v/>
      </c>
      <c r="AQ406" s="37" t="str">
        <f>IF(最佳化斷筋點!R406="","",最佳化斷筋點!R406)</f>
        <v/>
      </c>
      <c r="AR406" s="37" t="str">
        <f>IF(最佳化斷筋點!S406="","",最佳化斷筋點!S406)</f>
        <v/>
      </c>
      <c r="AS406" s="37" t="str">
        <f>IF(最佳化斷筋點!T406="","",最佳化斷筋點!T406)</f>
        <v/>
      </c>
      <c r="AT406" s="37" t="str">
        <f>IF(最佳化斷筋點!U406="","",最佳化斷筋點!U406)</f>
        <v/>
      </c>
      <c r="AU406" s="37" t="str">
        <f>IF(最佳化斷筋點!V406="","",最佳化斷筋點!V406)</f>
        <v/>
      </c>
      <c r="AV406" s="37" t="str">
        <f>IF(最佳化斷筋點!W406="","",最佳化斷筋點!W406)</f>
        <v/>
      </c>
      <c r="AW406" s="37" t="str">
        <f>IF(最佳化斷筋點!X406="","",最佳化斷筋點!X406)</f>
        <v/>
      </c>
      <c r="AZ406" s="37" t="s">
        <v>197</v>
      </c>
      <c r="BA406" s="37" t="s">
        <v>197</v>
      </c>
      <c r="BB406" s="37" t="s">
        <v>197</v>
      </c>
      <c r="BC406" s="37" t="s">
        <v>197</v>
      </c>
      <c r="BD406" s="37" t="s">
        <v>197</v>
      </c>
      <c r="BE406" s="37" t="s">
        <v>197</v>
      </c>
      <c r="BF406" s="37" t="s">
        <v>197</v>
      </c>
      <c r="BG406" s="37" t="s">
        <v>197</v>
      </c>
      <c r="BH406" s="37" t="s">
        <v>197</v>
      </c>
      <c r="BI406" s="37" t="s">
        <v>197</v>
      </c>
      <c r="BJ406" s="37" t="s">
        <v>197</v>
      </c>
      <c r="BK406" s="37" t="s">
        <v>197</v>
      </c>
      <c r="BL406" s="37" t="s">
        <v>197</v>
      </c>
      <c r="BM406" s="37" t="s">
        <v>197</v>
      </c>
      <c r="BN406" s="37" t="s">
        <v>197</v>
      </c>
      <c r="BO406" s="37" t="s">
        <v>197</v>
      </c>
      <c r="BP406" s="37" t="s">
        <v>197</v>
      </c>
      <c r="BQ406" s="37" t="s">
        <v>197</v>
      </c>
      <c r="BR406" s="37" t="s">
        <v>197</v>
      </c>
      <c r="BS406" s="37" t="s">
        <v>197</v>
      </c>
      <c r="BT406" s="37" t="s">
        <v>197</v>
      </c>
    </row>
    <row r="407" spans="5:72" x14ac:dyDescent="0.25">
      <c r="E407" s="6" t="s">
        <v>20</v>
      </c>
      <c r="F407" s="6">
        <f t="shared" si="127"/>
        <v>0</v>
      </c>
      <c r="G407" s="6">
        <f t="shared" si="128"/>
        <v>0</v>
      </c>
      <c r="H407" s="6">
        <f t="shared" si="129"/>
        <v>0</v>
      </c>
      <c r="I407" s="6">
        <f t="shared" si="130"/>
        <v>0</v>
      </c>
      <c r="J407" s="6">
        <f t="shared" si="131"/>
        <v>0</v>
      </c>
      <c r="K407" s="6">
        <f t="shared" si="132"/>
        <v>0</v>
      </c>
      <c r="L407" s="6">
        <f t="shared" si="133"/>
        <v>0</v>
      </c>
      <c r="M407" s="6">
        <f t="shared" si="134"/>
        <v>0</v>
      </c>
      <c r="N407" s="6">
        <f t="shared" si="135"/>
        <v>0</v>
      </c>
      <c r="O407" s="6">
        <f t="shared" si="136"/>
        <v>0</v>
      </c>
      <c r="P407" s="6">
        <f t="shared" si="137"/>
        <v>0</v>
      </c>
      <c r="Q407" s="6">
        <f t="shared" si="138"/>
        <v>0</v>
      </c>
      <c r="R407" s="6">
        <f t="shared" si="139"/>
        <v>0</v>
      </c>
      <c r="S407" s="6">
        <f t="shared" si="140"/>
        <v>0</v>
      </c>
      <c r="T407" s="6">
        <f t="shared" si="141"/>
        <v>0</v>
      </c>
      <c r="U407" s="6">
        <f t="shared" si="142"/>
        <v>0</v>
      </c>
      <c r="V407" s="6">
        <f t="shared" si="143"/>
        <v>0</v>
      </c>
      <c r="W407" s="6">
        <f t="shared" si="144"/>
        <v>0</v>
      </c>
      <c r="X407" s="6">
        <f t="shared" si="145"/>
        <v>0</v>
      </c>
      <c r="Y407" s="6">
        <f t="shared" si="146"/>
        <v>0</v>
      </c>
      <c r="Z407" s="6">
        <f t="shared" si="147"/>
        <v>0</v>
      </c>
      <c r="AB407" s="36" t="str">
        <f>IF(最佳化斷筋點!C407="","",最佳化斷筋點!C407)</f>
        <v>上層</v>
      </c>
      <c r="AC407" s="37">
        <f>IF(最佳化斷筋點!D407="","",最佳化斷筋點!D407)</f>
        <v>7</v>
      </c>
      <c r="AD407" s="37">
        <f>IF(最佳化斷筋點!E407="","",最佳化斷筋點!E407)</f>
        <v>7</v>
      </c>
      <c r="AE407" s="37">
        <f>IF(最佳化斷筋點!F407="","",最佳化斷筋點!F407)</f>
        <v>7</v>
      </c>
      <c r="AF407" s="37">
        <f>IF(最佳化斷筋點!G407="","",最佳化斷筋點!G407)</f>
        <v>7</v>
      </c>
      <c r="AG407" s="37">
        <f>IF(最佳化斷筋點!H407="","",最佳化斷筋點!H407)</f>
        <v>7</v>
      </c>
      <c r="AH407" s="37">
        <f>IF(最佳化斷筋點!I407="","",最佳化斷筋點!I407)</f>
        <v>7</v>
      </c>
      <c r="AI407" s="37">
        <f>IF(最佳化斷筋點!J407="","",最佳化斷筋點!J407)</f>
        <v>6</v>
      </c>
      <c r="AJ407" s="37">
        <f>IF(最佳化斷筋點!K407="","",最佳化斷筋點!K407)</f>
        <v>4</v>
      </c>
      <c r="AK407" s="37">
        <f>IF(最佳化斷筋點!L407="","",最佳化斷筋點!L407)</f>
        <v>4</v>
      </c>
      <c r="AL407" s="37">
        <f>IF(最佳化斷筋點!M407="","",最佳化斷筋點!M407)</f>
        <v>4</v>
      </c>
      <c r="AM407" s="37">
        <f>IF(最佳化斷筋點!N407="","",最佳化斷筋點!N407)</f>
        <v>4</v>
      </c>
      <c r="AN407" s="37">
        <f>IF(最佳化斷筋點!O407="","",最佳化斷筋點!O407)</f>
        <v>4</v>
      </c>
      <c r="AO407" s="37">
        <f>IF(最佳化斷筋點!P407="","",最佳化斷筋點!P407)</f>
        <v>4</v>
      </c>
      <c r="AP407" s="37">
        <f>IF(最佳化斷筋點!Q407="","",最佳化斷筋點!Q407)</f>
        <v>8</v>
      </c>
      <c r="AQ407" s="37">
        <f>IF(最佳化斷筋點!R407="","",最佳化斷筋點!R407)</f>
        <v>9</v>
      </c>
      <c r="AR407" s="37">
        <f>IF(最佳化斷筋點!S407="","",最佳化斷筋點!S407)</f>
        <v>10</v>
      </c>
      <c r="AS407" s="37">
        <f>IF(最佳化斷筋點!T407="","",最佳化斷筋點!T407)</f>
        <v>10</v>
      </c>
      <c r="AT407" s="37">
        <f>IF(最佳化斷筋點!U407="","",最佳化斷筋點!U407)</f>
        <v>10</v>
      </c>
      <c r="AU407" s="37">
        <f>IF(最佳化斷筋點!V407="","",最佳化斷筋點!V407)</f>
        <v>10</v>
      </c>
      <c r="AV407" s="37">
        <f>IF(最佳化斷筋點!W407="","",最佳化斷筋點!W407)</f>
        <v>10</v>
      </c>
      <c r="AW407" s="37">
        <f>IF(最佳化斷筋點!X407="","",最佳化斷筋點!X407)</f>
        <v>10</v>
      </c>
      <c r="AY407" s="6" t="s">
        <v>20</v>
      </c>
      <c r="AZ407" s="37">
        <v>7</v>
      </c>
      <c r="BA407" s="37">
        <v>7</v>
      </c>
      <c r="BB407" s="37">
        <v>7</v>
      </c>
      <c r="BC407" s="37">
        <v>7</v>
      </c>
      <c r="BD407" s="37">
        <v>7</v>
      </c>
      <c r="BE407" s="37">
        <v>7</v>
      </c>
      <c r="BF407" s="37">
        <v>6</v>
      </c>
      <c r="BG407" s="37">
        <v>4</v>
      </c>
      <c r="BH407" s="37">
        <v>4</v>
      </c>
      <c r="BI407" s="37">
        <v>4</v>
      </c>
      <c r="BJ407" s="37">
        <v>4</v>
      </c>
      <c r="BK407" s="37">
        <v>4</v>
      </c>
      <c r="BL407" s="37">
        <v>4</v>
      </c>
      <c r="BM407" s="37">
        <v>8</v>
      </c>
      <c r="BN407" s="37">
        <v>9</v>
      </c>
      <c r="BO407" s="37">
        <v>10</v>
      </c>
      <c r="BP407" s="37">
        <v>10</v>
      </c>
      <c r="BQ407" s="37">
        <v>10</v>
      </c>
      <c r="BR407" s="37">
        <v>10</v>
      </c>
      <c r="BS407" s="37">
        <v>10</v>
      </c>
      <c r="BT407" s="37">
        <v>10</v>
      </c>
    </row>
    <row r="408" spans="5:72" x14ac:dyDescent="0.25">
      <c r="F408" s="6">
        <f t="shared" si="127"/>
        <v>0</v>
      </c>
      <c r="G408" s="6">
        <f t="shared" si="128"/>
        <v>0</v>
      </c>
      <c r="H408" s="6">
        <f t="shared" si="129"/>
        <v>0</v>
      </c>
      <c r="I408" s="6">
        <f t="shared" si="130"/>
        <v>0</v>
      </c>
      <c r="J408" s="6">
        <f t="shared" si="131"/>
        <v>0</v>
      </c>
      <c r="K408" s="6">
        <f t="shared" si="132"/>
        <v>0</v>
      </c>
      <c r="L408" s="6">
        <f t="shared" si="133"/>
        <v>0</v>
      </c>
      <c r="M408" s="6">
        <f t="shared" si="134"/>
        <v>0</v>
      </c>
      <c r="N408" s="6">
        <f t="shared" si="135"/>
        <v>0</v>
      </c>
      <c r="O408" s="6">
        <f t="shared" si="136"/>
        <v>0</v>
      </c>
      <c r="P408" s="6">
        <f t="shared" si="137"/>
        <v>0</v>
      </c>
      <c r="Q408" s="6">
        <f t="shared" si="138"/>
        <v>0</v>
      </c>
      <c r="R408" s="6">
        <f t="shared" si="139"/>
        <v>0</v>
      </c>
      <c r="S408" s="6">
        <f t="shared" si="140"/>
        <v>0</v>
      </c>
      <c r="T408" s="6">
        <f t="shared" si="141"/>
        <v>0</v>
      </c>
      <c r="U408" s="6">
        <f t="shared" si="142"/>
        <v>0</v>
      </c>
      <c r="V408" s="6">
        <f t="shared" si="143"/>
        <v>0</v>
      </c>
      <c r="W408" s="6">
        <f t="shared" si="144"/>
        <v>0</v>
      </c>
      <c r="X408" s="6">
        <f t="shared" si="145"/>
        <v>0</v>
      </c>
      <c r="Y408" s="6">
        <f t="shared" si="146"/>
        <v>0</v>
      </c>
      <c r="Z408" s="6">
        <f t="shared" si="147"/>
        <v>0</v>
      </c>
      <c r="AB408" s="36" t="str">
        <f>IF(最佳化斷筋點!C408="","",最佳化斷筋點!C408)</f>
        <v/>
      </c>
      <c r="AC408" s="37" t="str">
        <f>IF(最佳化斷筋點!D408="","",最佳化斷筋點!D408)</f>
        <v/>
      </c>
      <c r="AD408" s="37" t="str">
        <f>IF(最佳化斷筋點!E408="","",最佳化斷筋點!E408)</f>
        <v/>
      </c>
      <c r="AE408" s="37" t="str">
        <f>IF(最佳化斷筋點!F408="","",最佳化斷筋點!F408)</f>
        <v/>
      </c>
      <c r="AF408" s="37" t="str">
        <f>IF(最佳化斷筋點!G408="","",最佳化斷筋點!G408)</f>
        <v/>
      </c>
      <c r="AG408" s="37" t="str">
        <f>IF(最佳化斷筋點!H408="","",最佳化斷筋點!H408)</f>
        <v/>
      </c>
      <c r="AH408" s="37" t="str">
        <f>IF(最佳化斷筋點!I408="","",最佳化斷筋點!I408)</f>
        <v/>
      </c>
      <c r="AI408" s="37" t="str">
        <f>IF(最佳化斷筋點!J408="","",最佳化斷筋點!J408)</f>
        <v/>
      </c>
      <c r="AJ408" s="37" t="str">
        <f>IF(最佳化斷筋點!K408="","",最佳化斷筋點!K408)</f>
        <v/>
      </c>
      <c r="AK408" s="37" t="str">
        <f>IF(最佳化斷筋點!L408="","",最佳化斷筋點!L408)</f>
        <v/>
      </c>
      <c r="AL408" s="37" t="str">
        <f>IF(最佳化斷筋點!M408="","",最佳化斷筋點!M408)</f>
        <v/>
      </c>
      <c r="AM408" s="37" t="str">
        <f>IF(最佳化斷筋點!N408="","",最佳化斷筋點!N408)</f>
        <v/>
      </c>
      <c r="AN408" s="37" t="str">
        <f>IF(最佳化斷筋點!O408="","",最佳化斷筋點!O408)</f>
        <v/>
      </c>
      <c r="AO408" s="37" t="str">
        <f>IF(最佳化斷筋點!P408="","",最佳化斷筋點!P408)</f>
        <v/>
      </c>
      <c r="AP408" s="37" t="str">
        <f>IF(最佳化斷筋點!Q408="","",最佳化斷筋點!Q408)</f>
        <v/>
      </c>
      <c r="AQ408" s="37" t="str">
        <f>IF(最佳化斷筋點!R408="","",最佳化斷筋點!R408)</f>
        <v/>
      </c>
      <c r="AR408" s="37" t="str">
        <f>IF(最佳化斷筋點!S408="","",最佳化斷筋點!S408)</f>
        <v/>
      </c>
      <c r="AS408" s="37" t="str">
        <f>IF(最佳化斷筋點!T408="","",最佳化斷筋點!T408)</f>
        <v/>
      </c>
      <c r="AT408" s="37" t="str">
        <f>IF(最佳化斷筋點!U408="","",最佳化斷筋點!U408)</f>
        <v/>
      </c>
      <c r="AU408" s="37" t="str">
        <f>IF(最佳化斷筋點!V408="","",最佳化斷筋點!V408)</f>
        <v/>
      </c>
      <c r="AV408" s="37" t="str">
        <f>IF(最佳化斷筋點!W408="","",最佳化斷筋點!W408)</f>
        <v/>
      </c>
      <c r="AW408" s="37" t="str">
        <f>IF(最佳化斷筋點!X408="","",最佳化斷筋點!X408)</f>
        <v/>
      </c>
      <c r="AZ408" s="37" t="s">
        <v>197</v>
      </c>
      <c r="BA408" s="37" t="s">
        <v>197</v>
      </c>
      <c r="BB408" s="37" t="s">
        <v>197</v>
      </c>
      <c r="BC408" s="37" t="s">
        <v>197</v>
      </c>
      <c r="BD408" s="37" t="s">
        <v>197</v>
      </c>
      <c r="BE408" s="37" t="s">
        <v>197</v>
      </c>
      <c r="BF408" s="37" t="s">
        <v>197</v>
      </c>
      <c r="BG408" s="37" t="s">
        <v>197</v>
      </c>
      <c r="BH408" s="37" t="s">
        <v>197</v>
      </c>
      <c r="BI408" s="37" t="s">
        <v>197</v>
      </c>
      <c r="BJ408" s="37" t="s">
        <v>197</v>
      </c>
      <c r="BK408" s="37" t="s">
        <v>197</v>
      </c>
      <c r="BL408" s="37" t="s">
        <v>197</v>
      </c>
      <c r="BM408" s="37" t="s">
        <v>197</v>
      </c>
      <c r="BN408" s="37" t="s">
        <v>197</v>
      </c>
      <c r="BO408" s="37" t="s">
        <v>197</v>
      </c>
      <c r="BP408" s="37" t="s">
        <v>197</v>
      </c>
      <c r="BQ408" s="37" t="s">
        <v>197</v>
      </c>
      <c r="BR408" s="37" t="s">
        <v>197</v>
      </c>
      <c r="BS408" s="37" t="s">
        <v>197</v>
      </c>
      <c r="BT408" s="37" t="s">
        <v>197</v>
      </c>
    </row>
    <row r="409" spans="5:72" x14ac:dyDescent="0.25">
      <c r="E409" s="6" t="s">
        <v>21</v>
      </c>
      <c r="F409" s="6">
        <f t="shared" si="127"/>
        <v>0</v>
      </c>
      <c r="G409" s="6">
        <f t="shared" si="128"/>
        <v>0</v>
      </c>
      <c r="H409" s="6">
        <f t="shared" si="129"/>
        <v>0</v>
      </c>
      <c r="I409" s="6">
        <f t="shared" si="130"/>
        <v>0</v>
      </c>
      <c r="J409" s="6">
        <f t="shared" si="131"/>
        <v>0</v>
      </c>
      <c r="K409" s="6">
        <f t="shared" si="132"/>
        <v>0</v>
      </c>
      <c r="L409" s="6">
        <f t="shared" si="133"/>
        <v>0</v>
      </c>
      <c r="M409" s="6">
        <f t="shared" si="134"/>
        <v>0</v>
      </c>
      <c r="N409" s="6">
        <f t="shared" si="135"/>
        <v>0</v>
      </c>
      <c r="O409" s="6">
        <f t="shared" si="136"/>
        <v>0</v>
      </c>
      <c r="P409" s="6">
        <f t="shared" si="137"/>
        <v>0</v>
      </c>
      <c r="Q409" s="6">
        <f t="shared" si="138"/>
        <v>0</v>
      </c>
      <c r="R409" s="6">
        <f t="shared" si="139"/>
        <v>0</v>
      </c>
      <c r="S409" s="6">
        <f t="shared" si="140"/>
        <v>0</v>
      </c>
      <c r="T409" s="6">
        <f t="shared" si="141"/>
        <v>0</v>
      </c>
      <c r="U409" s="6">
        <f t="shared" si="142"/>
        <v>0</v>
      </c>
      <c r="V409" s="6">
        <f t="shared" si="143"/>
        <v>0</v>
      </c>
      <c r="W409" s="6">
        <f t="shared" si="144"/>
        <v>0</v>
      </c>
      <c r="X409" s="6">
        <f t="shared" si="145"/>
        <v>0</v>
      </c>
      <c r="Y409" s="6">
        <f t="shared" si="146"/>
        <v>0</v>
      </c>
      <c r="Z409" s="6">
        <f t="shared" si="147"/>
        <v>0</v>
      </c>
      <c r="AB409" s="36" t="str">
        <f>IF(最佳化斷筋點!C409="","",最佳化斷筋點!C409)</f>
        <v>下層</v>
      </c>
      <c r="AC409" s="37">
        <f>IF(最佳化斷筋點!D409="","",最佳化斷筋點!D409)</f>
        <v>8</v>
      </c>
      <c r="AD409" s="37">
        <f>IF(最佳化斷筋點!E409="","",最佳化斷筋點!E409)</f>
        <v>8</v>
      </c>
      <c r="AE409" s="37">
        <f>IF(最佳化斷筋點!F409="","",最佳化斷筋點!F409)</f>
        <v>8</v>
      </c>
      <c r="AF409" s="37">
        <f>IF(最佳化斷筋點!G409="","",最佳化斷筋點!G409)</f>
        <v>8</v>
      </c>
      <c r="AG409" s="37">
        <f>IF(最佳化斷筋點!H409="","",最佳化斷筋點!H409)</f>
        <v>8</v>
      </c>
      <c r="AH409" s="37">
        <f>IF(最佳化斷筋點!I409="","",最佳化斷筋點!I409)</f>
        <v>8</v>
      </c>
      <c r="AI409" s="37">
        <f>IF(最佳化斷筋點!J409="","",最佳化斷筋點!J409)</f>
        <v>7</v>
      </c>
      <c r="AJ409" s="37">
        <f>IF(最佳化斷筋點!K409="","",最佳化斷筋點!K409)</f>
        <v>3</v>
      </c>
      <c r="AK409" s="37">
        <f>IF(最佳化斷筋點!L409="","",最佳化斷筋點!L409)</f>
        <v>3</v>
      </c>
      <c r="AL409" s="37">
        <f>IF(最佳化斷筋點!M409="","",最佳化斷筋點!M409)</f>
        <v>3</v>
      </c>
      <c r="AM409" s="37">
        <f>IF(最佳化斷筋點!N409="","",最佳化斷筋點!N409)</f>
        <v>3</v>
      </c>
      <c r="AN409" s="37">
        <f>IF(最佳化斷筋點!O409="","",最佳化斷筋點!O409)</f>
        <v>3</v>
      </c>
      <c r="AO409" s="37">
        <f>IF(最佳化斷筋點!P409="","",最佳化斷筋點!P409)</f>
        <v>3</v>
      </c>
      <c r="AP409" s="37">
        <f>IF(最佳化斷筋點!Q409="","",最佳化斷筋點!Q409)</f>
        <v>4</v>
      </c>
      <c r="AQ409" s="37">
        <f>IF(最佳化斷筋點!R409="","",最佳化斷筋點!R409)</f>
        <v>5</v>
      </c>
      <c r="AR409" s="37">
        <f>IF(最佳化斷筋點!S409="","",最佳化斷筋點!S409)</f>
        <v>5</v>
      </c>
      <c r="AS409" s="37">
        <f>IF(最佳化斷筋點!T409="","",最佳化斷筋點!T409)</f>
        <v>6</v>
      </c>
      <c r="AT409" s="37">
        <f>IF(最佳化斷筋點!U409="","",最佳化斷筋點!U409)</f>
        <v>6</v>
      </c>
      <c r="AU409" s="37">
        <f>IF(最佳化斷筋點!V409="","",最佳化斷筋點!V409)</f>
        <v>6</v>
      </c>
      <c r="AV409" s="37">
        <f>IF(最佳化斷筋點!W409="","",最佳化斷筋點!W409)</f>
        <v>6</v>
      </c>
      <c r="AW409" s="37">
        <f>IF(最佳化斷筋點!X409="","",最佳化斷筋點!X409)</f>
        <v>6</v>
      </c>
      <c r="AY409" s="6" t="s">
        <v>21</v>
      </c>
      <c r="AZ409" s="37">
        <v>8</v>
      </c>
      <c r="BA409" s="37">
        <v>8</v>
      </c>
      <c r="BB409" s="37">
        <v>8</v>
      </c>
      <c r="BC409" s="37">
        <v>8</v>
      </c>
      <c r="BD409" s="37">
        <v>8</v>
      </c>
      <c r="BE409" s="37">
        <v>8</v>
      </c>
      <c r="BF409" s="37">
        <v>7</v>
      </c>
      <c r="BG409" s="37">
        <v>3</v>
      </c>
      <c r="BH409" s="37">
        <v>3</v>
      </c>
      <c r="BI409" s="37">
        <v>3</v>
      </c>
      <c r="BJ409" s="37">
        <v>3</v>
      </c>
      <c r="BK409" s="37">
        <v>3</v>
      </c>
      <c r="BL409" s="37">
        <v>3</v>
      </c>
      <c r="BM409" s="37">
        <v>4</v>
      </c>
      <c r="BN409" s="37">
        <v>5</v>
      </c>
      <c r="BO409" s="37">
        <v>5</v>
      </c>
      <c r="BP409" s="37">
        <v>6</v>
      </c>
      <c r="BQ409" s="37">
        <v>6</v>
      </c>
      <c r="BR409" s="37">
        <v>6</v>
      </c>
      <c r="BS409" s="37">
        <v>6</v>
      </c>
      <c r="BT409" s="37">
        <v>6</v>
      </c>
    </row>
    <row r="410" spans="5:72" x14ac:dyDescent="0.25">
      <c r="F410" s="6">
        <f t="shared" si="127"/>
        <v>0</v>
      </c>
      <c r="G410" s="6">
        <f t="shared" si="128"/>
        <v>0</v>
      </c>
      <c r="H410" s="6">
        <f t="shared" si="129"/>
        <v>0</v>
      </c>
      <c r="I410" s="6">
        <f t="shared" si="130"/>
        <v>0</v>
      </c>
      <c r="J410" s="6">
        <f t="shared" si="131"/>
        <v>0</v>
      </c>
      <c r="K410" s="6">
        <f t="shared" si="132"/>
        <v>0</v>
      </c>
      <c r="L410" s="6">
        <f t="shared" si="133"/>
        <v>0</v>
      </c>
      <c r="M410" s="6">
        <f t="shared" si="134"/>
        <v>0</v>
      </c>
      <c r="N410" s="6">
        <f t="shared" si="135"/>
        <v>0</v>
      </c>
      <c r="O410" s="6">
        <f t="shared" si="136"/>
        <v>0</v>
      </c>
      <c r="P410" s="6">
        <f t="shared" si="137"/>
        <v>0</v>
      </c>
      <c r="Q410" s="6">
        <f t="shared" si="138"/>
        <v>0</v>
      </c>
      <c r="R410" s="6">
        <f t="shared" si="139"/>
        <v>0</v>
      </c>
      <c r="S410" s="6">
        <f t="shared" si="140"/>
        <v>0</v>
      </c>
      <c r="T410" s="6">
        <f t="shared" si="141"/>
        <v>0</v>
      </c>
      <c r="U410" s="6">
        <f t="shared" si="142"/>
        <v>0</v>
      </c>
      <c r="V410" s="6">
        <f t="shared" si="143"/>
        <v>0</v>
      </c>
      <c r="W410" s="6">
        <f t="shared" si="144"/>
        <v>0</v>
      </c>
      <c r="X410" s="6">
        <f t="shared" si="145"/>
        <v>0</v>
      </c>
      <c r="Y410" s="6">
        <f t="shared" si="146"/>
        <v>0</v>
      </c>
      <c r="Z410" s="6">
        <f t="shared" si="147"/>
        <v>0</v>
      </c>
      <c r="AB410" s="36" t="str">
        <f>IF(最佳化斷筋點!C410="","",最佳化斷筋點!C410)</f>
        <v/>
      </c>
      <c r="AC410" s="37" t="str">
        <f>IF(最佳化斷筋點!D410="","",最佳化斷筋點!D410)</f>
        <v/>
      </c>
      <c r="AD410" s="37" t="str">
        <f>IF(最佳化斷筋點!E410="","",最佳化斷筋點!E410)</f>
        <v/>
      </c>
      <c r="AE410" s="37" t="str">
        <f>IF(最佳化斷筋點!F410="","",最佳化斷筋點!F410)</f>
        <v/>
      </c>
      <c r="AF410" s="37" t="str">
        <f>IF(最佳化斷筋點!G410="","",最佳化斷筋點!G410)</f>
        <v/>
      </c>
      <c r="AG410" s="37" t="str">
        <f>IF(最佳化斷筋點!H410="","",最佳化斷筋點!H410)</f>
        <v/>
      </c>
      <c r="AH410" s="37" t="str">
        <f>IF(最佳化斷筋點!I410="","",最佳化斷筋點!I410)</f>
        <v/>
      </c>
      <c r="AI410" s="37" t="str">
        <f>IF(最佳化斷筋點!J410="","",最佳化斷筋點!J410)</f>
        <v/>
      </c>
      <c r="AJ410" s="37" t="str">
        <f>IF(最佳化斷筋點!K410="","",最佳化斷筋點!K410)</f>
        <v/>
      </c>
      <c r="AK410" s="37" t="str">
        <f>IF(最佳化斷筋點!L410="","",最佳化斷筋點!L410)</f>
        <v/>
      </c>
      <c r="AL410" s="37" t="str">
        <f>IF(最佳化斷筋點!M410="","",最佳化斷筋點!M410)</f>
        <v/>
      </c>
      <c r="AM410" s="37" t="str">
        <f>IF(最佳化斷筋點!N410="","",最佳化斷筋點!N410)</f>
        <v/>
      </c>
      <c r="AN410" s="37" t="str">
        <f>IF(最佳化斷筋點!O410="","",最佳化斷筋點!O410)</f>
        <v/>
      </c>
      <c r="AO410" s="37" t="str">
        <f>IF(最佳化斷筋點!P410="","",最佳化斷筋點!P410)</f>
        <v/>
      </c>
      <c r="AP410" s="37" t="str">
        <f>IF(最佳化斷筋點!Q410="","",最佳化斷筋點!Q410)</f>
        <v/>
      </c>
      <c r="AQ410" s="37" t="str">
        <f>IF(最佳化斷筋點!R410="","",最佳化斷筋點!R410)</f>
        <v/>
      </c>
      <c r="AR410" s="37" t="str">
        <f>IF(最佳化斷筋點!S410="","",最佳化斷筋點!S410)</f>
        <v/>
      </c>
      <c r="AS410" s="37" t="str">
        <f>IF(最佳化斷筋點!T410="","",最佳化斷筋點!T410)</f>
        <v/>
      </c>
      <c r="AT410" s="37" t="str">
        <f>IF(最佳化斷筋點!U410="","",最佳化斷筋點!U410)</f>
        <v/>
      </c>
      <c r="AU410" s="37" t="str">
        <f>IF(最佳化斷筋點!V410="","",最佳化斷筋點!V410)</f>
        <v/>
      </c>
      <c r="AV410" s="37" t="str">
        <f>IF(最佳化斷筋點!W410="","",最佳化斷筋點!W410)</f>
        <v/>
      </c>
      <c r="AW410" s="37" t="str">
        <f>IF(最佳化斷筋點!X410="","",最佳化斷筋點!X410)</f>
        <v/>
      </c>
      <c r="AZ410" s="37" t="s">
        <v>197</v>
      </c>
      <c r="BA410" s="37" t="s">
        <v>197</v>
      </c>
      <c r="BB410" s="37" t="s">
        <v>197</v>
      </c>
      <c r="BC410" s="37" t="s">
        <v>197</v>
      </c>
      <c r="BD410" s="37" t="s">
        <v>197</v>
      </c>
      <c r="BE410" s="37" t="s">
        <v>197</v>
      </c>
      <c r="BF410" s="37" t="s">
        <v>197</v>
      </c>
      <c r="BG410" s="37" t="s">
        <v>197</v>
      </c>
      <c r="BH410" s="37" t="s">
        <v>197</v>
      </c>
      <c r="BI410" s="37" t="s">
        <v>197</v>
      </c>
      <c r="BJ410" s="37" t="s">
        <v>197</v>
      </c>
      <c r="BK410" s="37" t="s">
        <v>197</v>
      </c>
      <c r="BL410" s="37" t="s">
        <v>197</v>
      </c>
      <c r="BM410" s="37" t="s">
        <v>197</v>
      </c>
      <c r="BN410" s="37" t="s">
        <v>197</v>
      </c>
      <c r="BO410" s="37" t="s">
        <v>197</v>
      </c>
      <c r="BP410" s="37" t="s">
        <v>197</v>
      </c>
      <c r="BQ410" s="37" t="s">
        <v>197</v>
      </c>
      <c r="BR410" s="37" t="s">
        <v>197</v>
      </c>
      <c r="BS410" s="37" t="s">
        <v>197</v>
      </c>
      <c r="BT410" s="37" t="s">
        <v>197</v>
      </c>
    </row>
    <row r="411" spans="5:72" x14ac:dyDescent="0.25">
      <c r="E411" s="6" t="s">
        <v>20</v>
      </c>
      <c r="F411" s="6">
        <f t="shared" si="127"/>
        <v>0</v>
      </c>
      <c r="G411" s="6">
        <f t="shared" si="128"/>
        <v>0</v>
      </c>
      <c r="H411" s="6">
        <f t="shared" si="129"/>
        <v>0</v>
      </c>
      <c r="I411" s="6">
        <f t="shared" si="130"/>
        <v>0</v>
      </c>
      <c r="J411" s="6">
        <f t="shared" si="131"/>
        <v>0</v>
      </c>
      <c r="K411" s="6">
        <f t="shared" si="132"/>
        <v>0</v>
      </c>
      <c r="L411" s="6">
        <f t="shared" si="133"/>
        <v>0</v>
      </c>
      <c r="M411" s="6">
        <f t="shared" si="134"/>
        <v>0</v>
      </c>
      <c r="N411" s="6">
        <f t="shared" si="135"/>
        <v>0</v>
      </c>
      <c r="O411" s="6">
        <f t="shared" si="136"/>
        <v>0</v>
      </c>
      <c r="P411" s="6">
        <f t="shared" si="137"/>
        <v>0</v>
      </c>
      <c r="Q411" s="6">
        <f t="shared" si="138"/>
        <v>0</v>
      </c>
      <c r="R411" s="6">
        <f t="shared" si="139"/>
        <v>0</v>
      </c>
      <c r="S411" s="6">
        <f t="shared" si="140"/>
        <v>0</v>
      </c>
      <c r="T411" s="6">
        <f t="shared" si="141"/>
        <v>0</v>
      </c>
      <c r="U411" s="6">
        <f t="shared" si="142"/>
        <v>0</v>
      </c>
      <c r="V411" s="6">
        <f t="shared" si="143"/>
        <v>0</v>
      </c>
      <c r="W411" s="6">
        <f t="shared" si="144"/>
        <v>0</v>
      </c>
      <c r="X411" s="6">
        <f t="shared" si="145"/>
        <v>0</v>
      </c>
      <c r="Y411" s="6">
        <f t="shared" si="146"/>
        <v>0</v>
      </c>
      <c r="Z411" s="6">
        <f t="shared" si="147"/>
        <v>0</v>
      </c>
      <c r="AB411" s="36" t="str">
        <f>IF(最佳化斷筋點!C411="","",最佳化斷筋點!C411)</f>
        <v>上層</v>
      </c>
      <c r="AC411" s="37">
        <f>IF(最佳化斷筋點!D411="","",最佳化斷筋點!D411)</f>
        <v>10</v>
      </c>
      <c r="AD411" s="37">
        <f>IF(最佳化斷筋點!E411="","",最佳化斷筋點!E411)</f>
        <v>10</v>
      </c>
      <c r="AE411" s="37">
        <f>IF(最佳化斷筋點!F411="","",最佳化斷筋點!F411)</f>
        <v>10</v>
      </c>
      <c r="AF411" s="37">
        <f>IF(最佳化斷筋點!G411="","",最佳化斷筋點!G411)</f>
        <v>10</v>
      </c>
      <c r="AG411" s="37">
        <f>IF(最佳化斷筋點!H411="","",最佳化斷筋點!H411)</f>
        <v>10</v>
      </c>
      <c r="AH411" s="37">
        <f>IF(最佳化斷筋點!I411="","",最佳化斷筋點!I411)</f>
        <v>9</v>
      </c>
      <c r="AI411" s="37">
        <f>IF(最佳化斷筋點!J411="","",最佳化斷筋點!J411)</f>
        <v>8</v>
      </c>
      <c r="AJ411" s="37">
        <f>IF(最佳化斷筋點!K411="","",最佳化斷筋點!K411)</f>
        <v>4</v>
      </c>
      <c r="AK411" s="37">
        <f>IF(最佳化斷筋點!L411="","",最佳化斷筋點!L411)</f>
        <v>4</v>
      </c>
      <c r="AL411" s="37">
        <f>IF(最佳化斷筋點!M411="","",最佳化斷筋點!M411)</f>
        <v>4</v>
      </c>
      <c r="AM411" s="37">
        <f>IF(最佳化斷筋點!N411="","",最佳化斷筋點!N411)</f>
        <v>3</v>
      </c>
      <c r="AN411" s="37">
        <f>IF(最佳化斷筋點!O411="","",最佳化斷筋點!O411)</f>
        <v>4</v>
      </c>
      <c r="AO411" s="37">
        <f>IF(最佳化斷筋點!P411="","",最佳化斷筋點!P411)</f>
        <v>4</v>
      </c>
      <c r="AP411" s="37">
        <f>IF(最佳化斷筋點!Q411="","",最佳化斷筋點!Q411)</f>
        <v>6</v>
      </c>
      <c r="AQ411" s="37">
        <f>IF(最佳化斷筋點!R411="","",最佳化斷筋點!R411)</f>
        <v>7</v>
      </c>
      <c r="AR411" s="37">
        <f>IF(最佳化斷筋點!S411="","",最佳化斷筋點!S411)</f>
        <v>8</v>
      </c>
      <c r="AS411" s="37">
        <f>IF(最佳化斷筋點!T411="","",最佳化斷筋點!T411)</f>
        <v>9</v>
      </c>
      <c r="AT411" s="37">
        <f>IF(最佳化斷筋點!U411="","",最佳化斷筋點!U411)</f>
        <v>10</v>
      </c>
      <c r="AU411" s="37">
        <f>IF(最佳化斷筋點!V411="","",最佳化斷筋點!V411)</f>
        <v>10</v>
      </c>
      <c r="AV411" s="37">
        <f>IF(最佳化斷筋點!W411="","",最佳化斷筋點!W411)</f>
        <v>10</v>
      </c>
      <c r="AW411" s="37">
        <f>IF(最佳化斷筋點!X411="","",最佳化斷筋點!X411)</f>
        <v>10</v>
      </c>
      <c r="AY411" s="6" t="s">
        <v>20</v>
      </c>
      <c r="AZ411" s="37">
        <v>10</v>
      </c>
      <c r="BA411" s="37">
        <v>10</v>
      </c>
      <c r="BB411" s="37">
        <v>10</v>
      </c>
      <c r="BC411" s="37">
        <v>10</v>
      </c>
      <c r="BD411" s="37">
        <v>10</v>
      </c>
      <c r="BE411" s="37">
        <v>9</v>
      </c>
      <c r="BF411" s="37">
        <v>8</v>
      </c>
      <c r="BG411" s="37">
        <v>4</v>
      </c>
      <c r="BH411" s="37">
        <v>4</v>
      </c>
      <c r="BI411" s="37">
        <v>4</v>
      </c>
      <c r="BJ411" s="37">
        <v>3</v>
      </c>
      <c r="BK411" s="37">
        <v>4</v>
      </c>
      <c r="BL411" s="37">
        <v>4</v>
      </c>
      <c r="BM411" s="37">
        <v>6</v>
      </c>
      <c r="BN411" s="37">
        <v>7</v>
      </c>
      <c r="BO411" s="37">
        <v>8</v>
      </c>
      <c r="BP411" s="37">
        <v>9</v>
      </c>
      <c r="BQ411" s="37">
        <v>10</v>
      </c>
      <c r="BR411" s="37">
        <v>10</v>
      </c>
      <c r="BS411" s="37">
        <v>10</v>
      </c>
      <c r="BT411" s="37">
        <v>10</v>
      </c>
    </row>
    <row r="412" spans="5:72" x14ac:dyDescent="0.25">
      <c r="F412" s="6">
        <f t="shared" si="127"/>
        <v>0</v>
      </c>
      <c r="G412" s="6">
        <f t="shared" si="128"/>
        <v>0</v>
      </c>
      <c r="H412" s="6">
        <f t="shared" si="129"/>
        <v>0</v>
      </c>
      <c r="I412" s="6">
        <f t="shared" si="130"/>
        <v>0</v>
      </c>
      <c r="J412" s="6">
        <f t="shared" si="131"/>
        <v>0</v>
      </c>
      <c r="K412" s="6">
        <f t="shared" si="132"/>
        <v>0</v>
      </c>
      <c r="L412" s="6">
        <f t="shared" si="133"/>
        <v>0</v>
      </c>
      <c r="M412" s="6">
        <f t="shared" si="134"/>
        <v>0</v>
      </c>
      <c r="N412" s="6">
        <f t="shared" si="135"/>
        <v>0</v>
      </c>
      <c r="O412" s="6">
        <f t="shared" si="136"/>
        <v>0</v>
      </c>
      <c r="P412" s="6">
        <f t="shared" si="137"/>
        <v>0</v>
      </c>
      <c r="Q412" s="6">
        <f t="shared" si="138"/>
        <v>0</v>
      </c>
      <c r="R412" s="6">
        <f t="shared" si="139"/>
        <v>0</v>
      </c>
      <c r="S412" s="6">
        <f t="shared" si="140"/>
        <v>0</v>
      </c>
      <c r="T412" s="6">
        <f t="shared" si="141"/>
        <v>0</v>
      </c>
      <c r="U412" s="6">
        <f t="shared" si="142"/>
        <v>0</v>
      </c>
      <c r="V412" s="6">
        <f t="shared" si="143"/>
        <v>0</v>
      </c>
      <c r="W412" s="6">
        <f t="shared" si="144"/>
        <v>0</v>
      </c>
      <c r="X412" s="6">
        <f t="shared" si="145"/>
        <v>0</v>
      </c>
      <c r="Y412" s="6">
        <f t="shared" si="146"/>
        <v>0</v>
      </c>
      <c r="Z412" s="6">
        <f t="shared" si="147"/>
        <v>0</v>
      </c>
      <c r="AB412" s="36" t="str">
        <f>IF(最佳化斷筋點!C412="","",最佳化斷筋點!C412)</f>
        <v/>
      </c>
      <c r="AC412" s="37" t="str">
        <f>IF(最佳化斷筋點!D412="","",最佳化斷筋點!D412)</f>
        <v/>
      </c>
      <c r="AD412" s="37" t="str">
        <f>IF(最佳化斷筋點!E412="","",最佳化斷筋點!E412)</f>
        <v/>
      </c>
      <c r="AE412" s="37" t="str">
        <f>IF(最佳化斷筋點!F412="","",最佳化斷筋點!F412)</f>
        <v/>
      </c>
      <c r="AF412" s="37" t="str">
        <f>IF(最佳化斷筋點!G412="","",最佳化斷筋點!G412)</f>
        <v/>
      </c>
      <c r="AG412" s="37" t="str">
        <f>IF(最佳化斷筋點!H412="","",最佳化斷筋點!H412)</f>
        <v/>
      </c>
      <c r="AH412" s="37" t="str">
        <f>IF(最佳化斷筋點!I412="","",最佳化斷筋點!I412)</f>
        <v/>
      </c>
      <c r="AI412" s="37" t="str">
        <f>IF(最佳化斷筋點!J412="","",最佳化斷筋點!J412)</f>
        <v/>
      </c>
      <c r="AJ412" s="37" t="str">
        <f>IF(最佳化斷筋點!K412="","",最佳化斷筋點!K412)</f>
        <v/>
      </c>
      <c r="AK412" s="37" t="str">
        <f>IF(最佳化斷筋點!L412="","",最佳化斷筋點!L412)</f>
        <v/>
      </c>
      <c r="AL412" s="37" t="str">
        <f>IF(最佳化斷筋點!M412="","",最佳化斷筋點!M412)</f>
        <v/>
      </c>
      <c r="AM412" s="37" t="str">
        <f>IF(最佳化斷筋點!N412="","",最佳化斷筋點!N412)</f>
        <v/>
      </c>
      <c r="AN412" s="37" t="str">
        <f>IF(最佳化斷筋點!O412="","",最佳化斷筋點!O412)</f>
        <v/>
      </c>
      <c r="AO412" s="37" t="str">
        <f>IF(最佳化斷筋點!P412="","",最佳化斷筋點!P412)</f>
        <v/>
      </c>
      <c r="AP412" s="37" t="str">
        <f>IF(最佳化斷筋點!Q412="","",最佳化斷筋點!Q412)</f>
        <v/>
      </c>
      <c r="AQ412" s="37" t="str">
        <f>IF(最佳化斷筋點!R412="","",最佳化斷筋點!R412)</f>
        <v/>
      </c>
      <c r="AR412" s="37" t="str">
        <f>IF(最佳化斷筋點!S412="","",最佳化斷筋點!S412)</f>
        <v/>
      </c>
      <c r="AS412" s="37" t="str">
        <f>IF(最佳化斷筋點!T412="","",最佳化斷筋點!T412)</f>
        <v/>
      </c>
      <c r="AT412" s="37" t="str">
        <f>IF(最佳化斷筋點!U412="","",最佳化斷筋點!U412)</f>
        <v/>
      </c>
      <c r="AU412" s="37" t="str">
        <f>IF(最佳化斷筋點!V412="","",最佳化斷筋點!V412)</f>
        <v/>
      </c>
      <c r="AV412" s="37" t="str">
        <f>IF(最佳化斷筋點!W412="","",最佳化斷筋點!W412)</f>
        <v/>
      </c>
      <c r="AW412" s="37" t="str">
        <f>IF(最佳化斷筋點!X412="","",最佳化斷筋點!X412)</f>
        <v/>
      </c>
      <c r="AZ412" s="37" t="s">
        <v>197</v>
      </c>
      <c r="BA412" s="37" t="s">
        <v>197</v>
      </c>
      <c r="BB412" s="37" t="s">
        <v>197</v>
      </c>
      <c r="BC412" s="37" t="s">
        <v>197</v>
      </c>
      <c r="BD412" s="37" t="s">
        <v>197</v>
      </c>
      <c r="BE412" s="37" t="s">
        <v>197</v>
      </c>
      <c r="BF412" s="37" t="s">
        <v>197</v>
      </c>
      <c r="BG412" s="37" t="s">
        <v>197</v>
      </c>
      <c r="BH412" s="37" t="s">
        <v>197</v>
      </c>
      <c r="BI412" s="37" t="s">
        <v>197</v>
      </c>
      <c r="BJ412" s="37" t="s">
        <v>197</v>
      </c>
      <c r="BK412" s="37" t="s">
        <v>197</v>
      </c>
      <c r="BL412" s="37" t="s">
        <v>197</v>
      </c>
      <c r="BM412" s="37" t="s">
        <v>197</v>
      </c>
      <c r="BN412" s="37" t="s">
        <v>197</v>
      </c>
      <c r="BO412" s="37" t="s">
        <v>197</v>
      </c>
      <c r="BP412" s="37" t="s">
        <v>197</v>
      </c>
      <c r="BQ412" s="37" t="s">
        <v>197</v>
      </c>
      <c r="BR412" s="37" t="s">
        <v>197</v>
      </c>
      <c r="BS412" s="37" t="s">
        <v>197</v>
      </c>
      <c r="BT412" s="37" t="s">
        <v>197</v>
      </c>
    </row>
    <row r="413" spans="5:72" x14ac:dyDescent="0.25">
      <c r="E413" s="6" t="s">
        <v>21</v>
      </c>
      <c r="F413" s="6">
        <f t="shared" si="127"/>
        <v>0</v>
      </c>
      <c r="G413" s="6">
        <f t="shared" si="128"/>
        <v>0</v>
      </c>
      <c r="H413" s="6">
        <f t="shared" si="129"/>
        <v>0</v>
      </c>
      <c r="I413" s="6">
        <f t="shared" si="130"/>
        <v>0</v>
      </c>
      <c r="J413" s="6">
        <f t="shared" si="131"/>
        <v>0</v>
      </c>
      <c r="K413" s="6">
        <f t="shared" si="132"/>
        <v>0</v>
      </c>
      <c r="L413" s="6">
        <f t="shared" si="133"/>
        <v>0</v>
      </c>
      <c r="M413" s="6">
        <f t="shared" si="134"/>
        <v>0</v>
      </c>
      <c r="N413" s="6">
        <f t="shared" si="135"/>
        <v>0</v>
      </c>
      <c r="O413" s="6">
        <f t="shared" si="136"/>
        <v>0</v>
      </c>
      <c r="P413" s="6">
        <f t="shared" si="137"/>
        <v>0</v>
      </c>
      <c r="Q413" s="6">
        <f t="shared" si="138"/>
        <v>0</v>
      </c>
      <c r="R413" s="6">
        <f t="shared" si="139"/>
        <v>0</v>
      </c>
      <c r="S413" s="6">
        <f t="shared" si="140"/>
        <v>0</v>
      </c>
      <c r="T413" s="6">
        <f t="shared" si="141"/>
        <v>0</v>
      </c>
      <c r="U413" s="6">
        <f t="shared" si="142"/>
        <v>0</v>
      </c>
      <c r="V413" s="6">
        <f t="shared" si="143"/>
        <v>0</v>
      </c>
      <c r="W413" s="6">
        <f t="shared" si="144"/>
        <v>0</v>
      </c>
      <c r="X413" s="6">
        <f t="shared" si="145"/>
        <v>0</v>
      </c>
      <c r="Y413" s="6">
        <f t="shared" si="146"/>
        <v>0</v>
      </c>
      <c r="Z413" s="6">
        <f t="shared" si="147"/>
        <v>0</v>
      </c>
      <c r="AB413" s="36" t="str">
        <f>IF(最佳化斷筋點!C413="","",最佳化斷筋點!C413)</f>
        <v>下層</v>
      </c>
      <c r="AC413" s="37">
        <f>IF(最佳化斷筋點!D413="","",最佳化斷筋點!D413)</f>
        <v>5</v>
      </c>
      <c r="AD413" s="37">
        <f>IF(最佳化斷筋點!E413="","",最佳化斷筋點!E413)</f>
        <v>5</v>
      </c>
      <c r="AE413" s="37">
        <f>IF(最佳化斷筋點!F413="","",最佳化斷筋點!F413)</f>
        <v>5</v>
      </c>
      <c r="AF413" s="37">
        <f>IF(最佳化斷筋點!G413="","",最佳化斷筋點!G413)</f>
        <v>5</v>
      </c>
      <c r="AG413" s="37">
        <f>IF(最佳化斷筋點!H413="","",最佳化斷筋點!H413)</f>
        <v>5</v>
      </c>
      <c r="AH413" s="37">
        <f>IF(最佳化斷筋點!I413="","",最佳化斷筋點!I413)</f>
        <v>4</v>
      </c>
      <c r="AI413" s="37">
        <f>IF(最佳化斷筋點!J413="","",最佳化斷筋點!J413)</f>
        <v>4</v>
      </c>
      <c r="AJ413" s="37">
        <f>IF(最佳化斷筋點!K413="","",最佳化斷筋點!K413)</f>
        <v>4</v>
      </c>
      <c r="AK413" s="37">
        <f>IF(最佳化斷筋點!L413="","",最佳化斷筋點!L413)</f>
        <v>4</v>
      </c>
      <c r="AL413" s="37">
        <f>IF(最佳化斷筋點!M413="","",最佳化斷筋點!M413)</f>
        <v>4</v>
      </c>
      <c r="AM413" s="37">
        <f>IF(最佳化斷筋點!N413="","",最佳化斷筋點!N413)</f>
        <v>4</v>
      </c>
      <c r="AN413" s="37">
        <f>IF(最佳化斷筋點!O413="","",最佳化斷筋點!O413)</f>
        <v>4</v>
      </c>
      <c r="AO413" s="37">
        <f>IF(最佳化斷筋點!P413="","",最佳化斷筋點!P413)</f>
        <v>4</v>
      </c>
      <c r="AP413" s="37">
        <f>IF(最佳化斷筋點!Q413="","",最佳化斷筋點!Q413)</f>
        <v>4</v>
      </c>
      <c r="AQ413" s="37">
        <f>IF(最佳化斷筋點!R413="","",最佳化斷筋點!R413)</f>
        <v>4</v>
      </c>
      <c r="AR413" s="37">
        <f>IF(最佳化斷筋點!S413="","",最佳化斷筋點!S413)</f>
        <v>4</v>
      </c>
      <c r="AS413" s="37">
        <f>IF(最佳化斷筋點!T413="","",最佳化斷筋點!T413)</f>
        <v>4</v>
      </c>
      <c r="AT413" s="37">
        <f>IF(最佳化斷筋點!U413="","",最佳化斷筋點!U413)</f>
        <v>5</v>
      </c>
      <c r="AU413" s="37">
        <f>IF(最佳化斷筋點!V413="","",最佳化斷筋點!V413)</f>
        <v>5</v>
      </c>
      <c r="AV413" s="37">
        <f>IF(最佳化斷筋點!W413="","",最佳化斷筋點!W413)</f>
        <v>5</v>
      </c>
      <c r="AW413" s="37">
        <f>IF(最佳化斷筋點!X413="","",最佳化斷筋點!X413)</f>
        <v>5</v>
      </c>
      <c r="AY413" s="6" t="s">
        <v>21</v>
      </c>
      <c r="AZ413" s="37">
        <v>5</v>
      </c>
      <c r="BA413" s="37">
        <v>5</v>
      </c>
      <c r="BB413" s="37">
        <v>5</v>
      </c>
      <c r="BC413" s="37">
        <v>5</v>
      </c>
      <c r="BD413" s="37">
        <v>5</v>
      </c>
      <c r="BE413" s="37">
        <v>4</v>
      </c>
      <c r="BF413" s="37">
        <v>4</v>
      </c>
      <c r="BG413" s="37">
        <v>4</v>
      </c>
      <c r="BH413" s="37">
        <v>4</v>
      </c>
      <c r="BI413" s="37">
        <v>4</v>
      </c>
      <c r="BJ413" s="37">
        <v>4</v>
      </c>
      <c r="BK413" s="37">
        <v>4</v>
      </c>
      <c r="BL413" s="37">
        <v>4</v>
      </c>
      <c r="BM413" s="37">
        <v>4</v>
      </c>
      <c r="BN413" s="37">
        <v>4</v>
      </c>
      <c r="BO413" s="37">
        <v>4</v>
      </c>
      <c r="BP413" s="37">
        <v>4</v>
      </c>
      <c r="BQ413" s="37">
        <v>5</v>
      </c>
      <c r="BR413" s="37">
        <v>5</v>
      </c>
      <c r="BS413" s="37">
        <v>5</v>
      </c>
      <c r="BT413" s="37">
        <v>5</v>
      </c>
    </row>
    <row r="414" spans="5:72" x14ac:dyDescent="0.25">
      <c r="F414" s="6">
        <f t="shared" si="127"/>
        <v>0</v>
      </c>
      <c r="G414" s="6">
        <f t="shared" si="128"/>
        <v>0</v>
      </c>
      <c r="H414" s="6">
        <f t="shared" si="129"/>
        <v>0</v>
      </c>
      <c r="I414" s="6">
        <f t="shared" si="130"/>
        <v>0</v>
      </c>
      <c r="J414" s="6">
        <f t="shared" si="131"/>
        <v>0</v>
      </c>
      <c r="K414" s="6">
        <f t="shared" si="132"/>
        <v>0</v>
      </c>
      <c r="L414" s="6">
        <f t="shared" si="133"/>
        <v>0</v>
      </c>
      <c r="M414" s="6">
        <f t="shared" si="134"/>
        <v>0</v>
      </c>
      <c r="N414" s="6">
        <f t="shared" si="135"/>
        <v>0</v>
      </c>
      <c r="O414" s="6">
        <f t="shared" si="136"/>
        <v>0</v>
      </c>
      <c r="P414" s="6">
        <f t="shared" si="137"/>
        <v>0</v>
      </c>
      <c r="Q414" s="6">
        <f t="shared" si="138"/>
        <v>0</v>
      </c>
      <c r="R414" s="6">
        <f t="shared" si="139"/>
        <v>0</v>
      </c>
      <c r="S414" s="6">
        <f t="shared" si="140"/>
        <v>0</v>
      </c>
      <c r="T414" s="6">
        <f t="shared" si="141"/>
        <v>0</v>
      </c>
      <c r="U414" s="6">
        <f t="shared" si="142"/>
        <v>0</v>
      </c>
      <c r="V414" s="6">
        <f t="shared" si="143"/>
        <v>0</v>
      </c>
      <c r="W414" s="6">
        <f t="shared" si="144"/>
        <v>0</v>
      </c>
      <c r="X414" s="6">
        <f t="shared" si="145"/>
        <v>0</v>
      </c>
      <c r="Y414" s="6">
        <f t="shared" si="146"/>
        <v>0</v>
      </c>
      <c r="Z414" s="6">
        <f t="shared" si="147"/>
        <v>0</v>
      </c>
      <c r="AB414" s="36" t="str">
        <f>IF(最佳化斷筋點!C414="","",最佳化斷筋點!C414)</f>
        <v/>
      </c>
      <c r="AC414" s="37" t="str">
        <f>IF(最佳化斷筋點!D414="","",最佳化斷筋點!D414)</f>
        <v/>
      </c>
      <c r="AD414" s="37" t="str">
        <f>IF(最佳化斷筋點!E414="","",最佳化斷筋點!E414)</f>
        <v/>
      </c>
      <c r="AE414" s="37" t="str">
        <f>IF(最佳化斷筋點!F414="","",最佳化斷筋點!F414)</f>
        <v/>
      </c>
      <c r="AF414" s="37" t="str">
        <f>IF(最佳化斷筋點!G414="","",最佳化斷筋點!G414)</f>
        <v/>
      </c>
      <c r="AG414" s="37" t="str">
        <f>IF(最佳化斷筋點!H414="","",最佳化斷筋點!H414)</f>
        <v/>
      </c>
      <c r="AH414" s="37" t="str">
        <f>IF(最佳化斷筋點!I414="","",最佳化斷筋點!I414)</f>
        <v/>
      </c>
      <c r="AI414" s="37" t="str">
        <f>IF(最佳化斷筋點!J414="","",最佳化斷筋點!J414)</f>
        <v/>
      </c>
      <c r="AJ414" s="37" t="str">
        <f>IF(最佳化斷筋點!K414="","",最佳化斷筋點!K414)</f>
        <v/>
      </c>
      <c r="AK414" s="37" t="str">
        <f>IF(最佳化斷筋點!L414="","",最佳化斷筋點!L414)</f>
        <v/>
      </c>
      <c r="AL414" s="37" t="str">
        <f>IF(最佳化斷筋點!M414="","",最佳化斷筋點!M414)</f>
        <v/>
      </c>
      <c r="AM414" s="37" t="str">
        <f>IF(最佳化斷筋點!N414="","",最佳化斷筋點!N414)</f>
        <v/>
      </c>
      <c r="AN414" s="37" t="str">
        <f>IF(最佳化斷筋點!O414="","",最佳化斷筋點!O414)</f>
        <v/>
      </c>
      <c r="AO414" s="37" t="str">
        <f>IF(最佳化斷筋點!P414="","",最佳化斷筋點!P414)</f>
        <v/>
      </c>
      <c r="AP414" s="37" t="str">
        <f>IF(最佳化斷筋點!Q414="","",最佳化斷筋點!Q414)</f>
        <v/>
      </c>
      <c r="AQ414" s="37" t="str">
        <f>IF(最佳化斷筋點!R414="","",最佳化斷筋點!R414)</f>
        <v/>
      </c>
      <c r="AR414" s="37" t="str">
        <f>IF(最佳化斷筋點!S414="","",最佳化斷筋點!S414)</f>
        <v/>
      </c>
      <c r="AS414" s="37" t="str">
        <f>IF(最佳化斷筋點!T414="","",最佳化斷筋點!T414)</f>
        <v/>
      </c>
      <c r="AT414" s="37" t="str">
        <f>IF(最佳化斷筋點!U414="","",最佳化斷筋點!U414)</f>
        <v/>
      </c>
      <c r="AU414" s="37" t="str">
        <f>IF(最佳化斷筋點!V414="","",最佳化斷筋點!V414)</f>
        <v/>
      </c>
      <c r="AV414" s="37" t="str">
        <f>IF(最佳化斷筋點!W414="","",最佳化斷筋點!W414)</f>
        <v/>
      </c>
      <c r="AW414" s="37" t="str">
        <f>IF(最佳化斷筋點!X414="","",最佳化斷筋點!X414)</f>
        <v/>
      </c>
      <c r="AZ414" s="37" t="s">
        <v>197</v>
      </c>
      <c r="BA414" s="37" t="s">
        <v>197</v>
      </c>
      <c r="BB414" s="37" t="s">
        <v>197</v>
      </c>
      <c r="BC414" s="37" t="s">
        <v>197</v>
      </c>
      <c r="BD414" s="37" t="s">
        <v>197</v>
      </c>
      <c r="BE414" s="37" t="s">
        <v>197</v>
      </c>
      <c r="BF414" s="37" t="s">
        <v>197</v>
      </c>
      <c r="BG414" s="37" t="s">
        <v>197</v>
      </c>
      <c r="BH414" s="37" t="s">
        <v>197</v>
      </c>
      <c r="BI414" s="37" t="s">
        <v>197</v>
      </c>
      <c r="BJ414" s="37" t="s">
        <v>197</v>
      </c>
      <c r="BK414" s="37" t="s">
        <v>197</v>
      </c>
      <c r="BL414" s="37" t="s">
        <v>197</v>
      </c>
      <c r="BM414" s="37" t="s">
        <v>197</v>
      </c>
      <c r="BN414" s="37" t="s">
        <v>197</v>
      </c>
      <c r="BO414" s="37" t="s">
        <v>197</v>
      </c>
      <c r="BP414" s="37" t="s">
        <v>197</v>
      </c>
      <c r="BQ414" s="37" t="s">
        <v>197</v>
      </c>
      <c r="BR414" s="37" t="s">
        <v>197</v>
      </c>
      <c r="BS414" s="37" t="s">
        <v>197</v>
      </c>
      <c r="BT414" s="37" t="s">
        <v>197</v>
      </c>
    </row>
    <row r="415" spans="5:72" x14ac:dyDescent="0.25">
      <c r="E415" s="6" t="s">
        <v>20</v>
      </c>
      <c r="F415" s="6">
        <f t="shared" si="127"/>
        <v>0</v>
      </c>
      <c r="G415" s="6">
        <f t="shared" si="128"/>
        <v>0</v>
      </c>
      <c r="H415" s="6">
        <f t="shared" si="129"/>
        <v>0</v>
      </c>
      <c r="I415" s="6">
        <f t="shared" si="130"/>
        <v>0</v>
      </c>
      <c r="J415" s="6">
        <f t="shared" si="131"/>
        <v>0</v>
      </c>
      <c r="K415" s="6">
        <f t="shared" si="132"/>
        <v>0</v>
      </c>
      <c r="L415" s="6">
        <f t="shared" si="133"/>
        <v>0</v>
      </c>
      <c r="M415" s="6">
        <f t="shared" si="134"/>
        <v>0</v>
      </c>
      <c r="N415" s="6">
        <f t="shared" si="135"/>
        <v>0</v>
      </c>
      <c r="O415" s="6">
        <f t="shared" si="136"/>
        <v>0</v>
      </c>
      <c r="P415" s="6">
        <f t="shared" si="137"/>
        <v>0</v>
      </c>
      <c r="Q415" s="6">
        <f t="shared" si="138"/>
        <v>0</v>
      </c>
      <c r="R415" s="6">
        <f t="shared" si="139"/>
        <v>0</v>
      </c>
      <c r="S415" s="6">
        <f t="shared" si="140"/>
        <v>0</v>
      </c>
      <c r="T415" s="6">
        <f t="shared" si="141"/>
        <v>0</v>
      </c>
      <c r="U415" s="6">
        <f t="shared" si="142"/>
        <v>0</v>
      </c>
      <c r="V415" s="6">
        <f t="shared" si="143"/>
        <v>0</v>
      </c>
      <c r="W415" s="6">
        <f t="shared" si="144"/>
        <v>0</v>
      </c>
      <c r="X415" s="6">
        <f t="shared" si="145"/>
        <v>0</v>
      </c>
      <c r="Y415" s="6">
        <f t="shared" si="146"/>
        <v>0</v>
      </c>
      <c r="Z415" s="6">
        <f t="shared" si="147"/>
        <v>0</v>
      </c>
      <c r="AB415" s="36" t="str">
        <f>IF(最佳化斷筋點!C415="","",最佳化斷筋點!C415)</f>
        <v>上層</v>
      </c>
      <c r="AC415" s="37">
        <f>IF(最佳化斷筋點!D415="","",最佳化斷筋點!D415)</f>
        <v>11</v>
      </c>
      <c r="AD415" s="37">
        <f>IF(最佳化斷筋點!E415="","",最佳化斷筋點!E415)</f>
        <v>11</v>
      </c>
      <c r="AE415" s="37">
        <f>IF(最佳化斷筋點!F415="","",最佳化斷筋點!F415)</f>
        <v>11</v>
      </c>
      <c r="AF415" s="37">
        <f>IF(最佳化斷筋點!G415="","",最佳化斷筋點!G415)</f>
        <v>11</v>
      </c>
      <c r="AG415" s="37">
        <f>IF(最佳化斷筋點!H415="","",最佳化斷筋點!H415)</f>
        <v>11</v>
      </c>
      <c r="AH415" s="37">
        <f>IF(最佳化斷筋點!I415="","",最佳化斷筋點!I415)</f>
        <v>11</v>
      </c>
      <c r="AI415" s="37">
        <f>IF(最佳化斷筋點!J415="","",最佳化斷筋點!J415)</f>
        <v>11</v>
      </c>
      <c r="AJ415" s="37">
        <f>IF(最佳化斷筋點!K415="","",最佳化斷筋點!K415)</f>
        <v>4</v>
      </c>
      <c r="AK415" s="37">
        <f>IF(最佳化斷筋點!L415="","",最佳化斷筋點!L415)</f>
        <v>4</v>
      </c>
      <c r="AL415" s="37">
        <f>IF(最佳化斷筋點!M415="","",最佳化斷筋點!M415)</f>
        <v>4</v>
      </c>
      <c r="AM415" s="37">
        <f>IF(最佳化斷筋點!N415="","",最佳化斷筋點!N415)</f>
        <v>4</v>
      </c>
      <c r="AN415" s="37">
        <f>IF(最佳化斷筋點!O415="","",最佳化斷筋點!O415)</f>
        <v>4</v>
      </c>
      <c r="AO415" s="37">
        <f>IF(最佳化斷筋點!P415="","",最佳化斷筋點!P415)</f>
        <v>4</v>
      </c>
      <c r="AP415" s="37">
        <f>IF(最佳化斷筋點!Q415="","",最佳化斷筋點!Q415)</f>
        <v>9</v>
      </c>
      <c r="AQ415" s="37">
        <f>IF(最佳化斷筋點!R415="","",最佳化斷筋點!R415)</f>
        <v>10</v>
      </c>
      <c r="AR415" s="37">
        <f>IF(最佳化斷筋點!S415="","",最佳化斷筋點!S415)</f>
        <v>10</v>
      </c>
      <c r="AS415" s="37">
        <f>IF(最佳化斷筋點!T415="","",最佳化斷筋點!T415)</f>
        <v>10</v>
      </c>
      <c r="AT415" s="37">
        <f>IF(最佳化斷筋點!U415="","",最佳化斷筋點!U415)</f>
        <v>10</v>
      </c>
      <c r="AU415" s="37">
        <f>IF(最佳化斷筋點!V415="","",最佳化斷筋點!V415)</f>
        <v>10</v>
      </c>
      <c r="AV415" s="37">
        <f>IF(最佳化斷筋點!W415="","",最佳化斷筋點!W415)</f>
        <v>10</v>
      </c>
      <c r="AW415" s="37">
        <f>IF(最佳化斷筋點!X415="","",最佳化斷筋點!X415)</f>
        <v>10</v>
      </c>
      <c r="AY415" s="6" t="s">
        <v>20</v>
      </c>
      <c r="AZ415" s="37">
        <v>11</v>
      </c>
      <c r="BA415" s="37">
        <v>11</v>
      </c>
      <c r="BB415" s="37">
        <v>11</v>
      </c>
      <c r="BC415" s="37">
        <v>11</v>
      </c>
      <c r="BD415" s="37">
        <v>11</v>
      </c>
      <c r="BE415" s="37">
        <v>11</v>
      </c>
      <c r="BF415" s="37">
        <v>11</v>
      </c>
      <c r="BG415" s="37">
        <v>4</v>
      </c>
      <c r="BH415" s="37">
        <v>4</v>
      </c>
      <c r="BI415" s="37">
        <v>4</v>
      </c>
      <c r="BJ415" s="37">
        <v>4</v>
      </c>
      <c r="BK415" s="37">
        <v>4</v>
      </c>
      <c r="BL415" s="37">
        <v>4</v>
      </c>
      <c r="BM415" s="37">
        <v>9</v>
      </c>
      <c r="BN415" s="37">
        <v>10</v>
      </c>
      <c r="BO415" s="37">
        <v>10</v>
      </c>
      <c r="BP415" s="37">
        <v>10</v>
      </c>
      <c r="BQ415" s="37">
        <v>10</v>
      </c>
      <c r="BR415" s="37">
        <v>10</v>
      </c>
      <c r="BS415" s="37">
        <v>10</v>
      </c>
      <c r="BT415" s="37">
        <v>10</v>
      </c>
    </row>
    <row r="416" spans="5:72" x14ac:dyDescent="0.25">
      <c r="F416" s="6">
        <f t="shared" si="127"/>
        <v>0</v>
      </c>
      <c r="G416" s="6">
        <f t="shared" si="128"/>
        <v>0</v>
      </c>
      <c r="H416" s="6">
        <f t="shared" si="129"/>
        <v>0</v>
      </c>
      <c r="I416" s="6">
        <f t="shared" si="130"/>
        <v>0</v>
      </c>
      <c r="J416" s="6">
        <f t="shared" si="131"/>
        <v>0</v>
      </c>
      <c r="K416" s="6">
        <f t="shared" si="132"/>
        <v>0</v>
      </c>
      <c r="L416" s="6">
        <f t="shared" si="133"/>
        <v>0</v>
      </c>
      <c r="M416" s="6">
        <f t="shared" si="134"/>
        <v>0</v>
      </c>
      <c r="N416" s="6">
        <f t="shared" si="135"/>
        <v>0</v>
      </c>
      <c r="O416" s="6">
        <f t="shared" si="136"/>
        <v>0</v>
      </c>
      <c r="P416" s="6">
        <f t="shared" si="137"/>
        <v>0</v>
      </c>
      <c r="Q416" s="6">
        <f t="shared" si="138"/>
        <v>0</v>
      </c>
      <c r="R416" s="6">
        <f t="shared" si="139"/>
        <v>0</v>
      </c>
      <c r="S416" s="6">
        <f t="shared" si="140"/>
        <v>0</v>
      </c>
      <c r="T416" s="6">
        <f t="shared" si="141"/>
        <v>0</v>
      </c>
      <c r="U416" s="6">
        <f t="shared" si="142"/>
        <v>0</v>
      </c>
      <c r="V416" s="6">
        <f t="shared" si="143"/>
        <v>0</v>
      </c>
      <c r="W416" s="6">
        <f t="shared" si="144"/>
        <v>0</v>
      </c>
      <c r="X416" s="6">
        <f t="shared" si="145"/>
        <v>0</v>
      </c>
      <c r="Y416" s="6">
        <f t="shared" si="146"/>
        <v>0</v>
      </c>
      <c r="Z416" s="6">
        <f t="shared" si="147"/>
        <v>0</v>
      </c>
      <c r="AB416" s="36" t="str">
        <f>IF(最佳化斷筋點!C416="","",最佳化斷筋點!C416)</f>
        <v/>
      </c>
      <c r="AC416" s="37" t="str">
        <f>IF(最佳化斷筋點!D416="","",最佳化斷筋點!D416)</f>
        <v/>
      </c>
      <c r="AD416" s="37" t="str">
        <f>IF(最佳化斷筋點!E416="","",最佳化斷筋點!E416)</f>
        <v/>
      </c>
      <c r="AE416" s="37" t="str">
        <f>IF(最佳化斷筋點!F416="","",最佳化斷筋點!F416)</f>
        <v/>
      </c>
      <c r="AF416" s="37" t="str">
        <f>IF(最佳化斷筋點!G416="","",最佳化斷筋點!G416)</f>
        <v/>
      </c>
      <c r="AG416" s="37" t="str">
        <f>IF(最佳化斷筋點!H416="","",最佳化斷筋點!H416)</f>
        <v/>
      </c>
      <c r="AH416" s="37" t="str">
        <f>IF(最佳化斷筋點!I416="","",最佳化斷筋點!I416)</f>
        <v/>
      </c>
      <c r="AI416" s="37" t="str">
        <f>IF(最佳化斷筋點!J416="","",最佳化斷筋點!J416)</f>
        <v/>
      </c>
      <c r="AJ416" s="37" t="str">
        <f>IF(最佳化斷筋點!K416="","",最佳化斷筋點!K416)</f>
        <v/>
      </c>
      <c r="AK416" s="37" t="str">
        <f>IF(最佳化斷筋點!L416="","",最佳化斷筋點!L416)</f>
        <v/>
      </c>
      <c r="AL416" s="37" t="str">
        <f>IF(最佳化斷筋點!M416="","",最佳化斷筋點!M416)</f>
        <v/>
      </c>
      <c r="AM416" s="37" t="str">
        <f>IF(最佳化斷筋點!N416="","",最佳化斷筋點!N416)</f>
        <v/>
      </c>
      <c r="AN416" s="37" t="str">
        <f>IF(最佳化斷筋點!O416="","",最佳化斷筋點!O416)</f>
        <v/>
      </c>
      <c r="AO416" s="37" t="str">
        <f>IF(最佳化斷筋點!P416="","",最佳化斷筋點!P416)</f>
        <v/>
      </c>
      <c r="AP416" s="37" t="str">
        <f>IF(最佳化斷筋點!Q416="","",最佳化斷筋點!Q416)</f>
        <v/>
      </c>
      <c r="AQ416" s="37" t="str">
        <f>IF(最佳化斷筋點!R416="","",最佳化斷筋點!R416)</f>
        <v/>
      </c>
      <c r="AR416" s="37" t="str">
        <f>IF(最佳化斷筋點!S416="","",最佳化斷筋點!S416)</f>
        <v/>
      </c>
      <c r="AS416" s="37" t="str">
        <f>IF(最佳化斷筋點!T416="","",最佳化斷筋點!T416)</f>
        <v/>
      </c>
      <c r="AT416" s="37" t="str">
        <f>IF(最佳化斷筋點!U416="","",最佳化斷筋點!U416)</f>
        <v/>
      </c>
      <c r="AU416" s="37" t="str">
        <f>IF(最佳化斷筋點!V416="","",最佳化斷筋點!V416)</f>
        <v/>
      </c>
      <c r="AV416" s="37" t="str">
        <f>IF(最佳化斷筋點!W416="","",最佳化斷筋點!W416)</f>
        <v/>
      </c>
      <c r="AW416" s="37" t="str">
        <f>IF(最佳化斷筋點!X416="","",最佳化斷筋點!X416)</f>
        <v/>
      </c>
      <c r="AZ416" s="37" t="s">
        <v>197</v>
      </c>
      <c r="BA416" s="37" t="s">
        <v>197</v>
      </c>
      <c r="BB416" s="37" t="s">
        <v>197</v>
      </c>
      <c r="BC416" s="37" t="s">
        <v>197</v>
      </c>
      <c r="BD416" s="37" t="s">
        <v>197</v>
      </c>
      <c r="BE416" s="37" t="s">
        <v>197</v>
      </c>
      <c r="BF416" s="37" t="s">
        <v>197</v>
      </c>
      <c r="BG416" s="37" t="s">
        <v>197</v>
      </c>
      <c r="BH416" s="37" t="s">
        <v>197</v>
      </c>
      <c r="BI416" s="37" t="s">
        <v>197</v>
      </c>
      <c r="BJ416" s="37" t="s">
        <v>197</v>
      </c>
      <c r="BK416" s="37" t="s">
        <v>197</v>
      </c>
      <c r="BL416" s="37" t="s">
        <v>197</v>
      </c>
      <c r="BM416" s="37" t="s">
        <v>197</v>
      </c>
      <c r="BN416" s="37" t="s">
        <v>197</v>
      </c>
      <c r="BO416" s="37" t="s">
        <v>197</v>
      </c>
      <c r="BP416" s="37" t="s">
        <v>197</v>
      </c>
      <c r="BQ416" s="37" t="s">
        <v>197</v>
      </c>
      <c r="BR416" s="37" t="s">
        <v>197</v>
      </c>
      <c r="BS416" s="37" t="s">
        <v>197</v>
      </c>
      <c r="BT416" s="37" t="s">
        <v>197</v>
      </c>
    </row>
    <row r="417" spans="5:72" x14ac:dyDescent="0.25">
      <c r="E417" s="6" t="s">
        <v>21</v>
      </c>
      <c r="F417" s="6">
        <f t="shared" si="127"/>
        <v>0</v>
      </c>
      <c r="G417" s="6">
        <f t="shared" si="128"/>
        <v>0</v>
      </c>
      <c r="H417" s="6">
        <f t="shared" si="129"/>
        <v>0</v>
      </c>
      <c r="I417" s="6">
        <f t="shared" si="130"/>
        <v>0</v>
      </c>
      <c r="J417" s="6">
        <f t="shared" si="131"/>
        <v>0</v>
      </c>
      <c r="K417" s="6">
        <f t="shared" si="132"/>
        <v>0</v>
      </c>
      <c r="L417" s="6">
        <f t="shared" si="133"/>
        <v>0</v>
      </c>
      <c r="M417" s="6">
        <f t="shared" si="134"/>
        <v>0</v>
      </c>
      <c r="N417" s="6">
        <f t="shared" si="135"/>
        <v>0</v>
      </c>
      <c r="O417" s="6">
        <f t="shared" si="136"/>
        <v>0</v>
      </c>
      <c r="P417" s="6">
        <f t="shared" si="137"/>
        <v>0</v>
      </c>
      <c r="Q417" s="6">
        <f t="shared" si="138"/>
        <v>0</v>
      </c>
      <c r="R417" s="6">
        <f t="shared" si="139"/>
        <v>0</v>
      </c>
      <c r="S417" s="6">
        <f t="shared" si="140"/>
        <v>0</v>
      </c>
      <c r="T417" s="6">
        <f t="shared" si="141"/>
        <v>0</v>
      </c>
      <c r="U417" s="6">
        <f t="shared" si="142"/>
        <v>0</v>
      </c>
      <c r="V417" s="6">
        <f t="shared" si="143"/>
        <v>0</v>
      </c>
      <c r="W417" s="6">
        <f t="shared" si="144"/>
        <v>0</v>
      </c>
      <c r="X417" s="6">
        <f t="shared" si="145"/>
        <v>0</v>
      </c>
      <c r="Y417" s="6">
        <f t="shared" si="146"/>
        <v>0</v>
      </c>
      <c r="Z417" s="6">
        <f t="shared" si="147"/>
        <v>0</v>
      </c>
      <c r="AB417" s="36" t="str">
        <f>IF(最佳化斷筋點!C417="","",最佳化斷筋點!C417)</f>
        <v>下層</v>
      </c>
      <c r="AC417" s="37">
        <f>IF(最佳化斷筋點!D417="","",最佳化斷筋點!D417)</f>
        <v>10</v>
      </c>
      <c r="AD417" s="37">
        <f>IF(最佳化斷筋點!E417="","",最佳化斷筋點!E417)</f>
        <v>10</v>
      </c>
      <c r="AE417" s="37">
        <f>IF(最佳化斷筋點!F417="","",最佳化斷筋點!F417)</f>
        <v>10</v>
      </c>
      <c r="AF417" s="37">
        <f>IF(最佳化斷筋點!G417="","",最佳化斷筋點!G417)</f>
        <v>10</v>
      </c>
      <c r="AG417" s="37">
        <f>IF(最佳化斷筋點!H417="","",最佳化斷筋點!H417)</f>
        <v>10</v>
      </c>
      <c r="AH417" s="37">
        <f>IF(最佳化斷筋點!I417="","",最佳化斷筋點!I417)</f>
        <v>10</v>
      </c>
      <c r="AI417" s="37">
        <f>IF(最佳化斷筋點!J417="","",最佳化斷筋點!J417)</f>
        <v>10</v>
      </c>
      <c r="AJ417" s="37">
        <f>IF(最佳化斷筋點!K417="","",最佳化斷筋點!K417)</f>
        <v>3</v>
      </c>
      <c r="AK417" s="37">
        <f>IF(最佳化斷筋點!L417="","",最佳化斷筋點!L417)</f>
        <v>3</v>
      </c>
      <c r="AL417" s="37">
        <f>IF(最佳化斷筋點!M417="","",最佳化斷筋點!M417)</f>
        <v>3</v>
      </c>
      <c r="AM417" s="37">
        <f>IF(最佳化斷筋點!N417="","",最佳化斷筋點!N417)</f>
        <v>3</v>
      </c>
      <c r="AN417" s="37">
        <f>IF(最佳化斷筋點!O417="","",最佳化斷筋點!O417)</f>
        <v>3</v>
      </c>
      <c r="AO417" s="37">
        <f>IF(最佳化斷筋點!P417="","",最佳化斷筋點!P417)</f>
        <v>3</v>
      </c>
      <c r="AP417" s="37">
        <f>IF(最佳化斷筋點!Q417="","",最佳化斷筋點!Q417)</f>
        <v>6</v>
      </c>
      <c r="AQ417" s="37">
        <f>IF(最佳化斷筋點!R417="","",最佳化斷筋點!R417)</f>
        <v>7</v>
      </c>
      <c r="AR417" s="37">
        <f>IF(最佳化斷筋點!S417="","",最佳化斷筋點!S417)</f>
        <v>8</v>
      </c>
      <c r="AS417" s="37">
        <f>IF(最佳化斷筋點!T417="","",最佳化斷筋點!T417)</f>
        <v>9</v>
      </c>
      <c r="AT417" s="37">
        <f>IF(最佳化斷筋點!U417="","",最佳化斷筋點!U417)</f>
        <v>9</v>
      </c>
      <c r="AU417" s="37">
        <f>IF(最佳化斷筋點!V417="","",最佳化斷筋點!V417)</f>
        <v>9</v>
      </c>
      <c r="AV417" s="37">
        <f>IF(最佳化斷筋點!W417="","",最佳化斷筋點!W417)</f>
        <v>9</v>
      </c>
      <c r="AW417" s="37">
        <f>IF(最佳化斷筋點!X417="","",最佳化斷筋點!X417)</f>
        <v>9</v>
      </c>
      <c r="AY417" s="6" t="s">
        <v>21</v>
      </c>
      <c r="AZ417" s="37">
        <v>10</v>
      </c>
      <c r="BA417" s="37">
        <v>10</v>
      </c>
      <c r="BB417" s="37">
        <v>10</v>
      </c>
      <c r="BC417" s="37">
        <v>10</v>
      </c>
      <c r="BD417" s="37">
        <v>10</v>
      </c>
      <c r="BE417" s="37">
        <v>10</v>
      </c>
      <c r="BF417" s="37">
        <v>10</v>
      </c>
      <c r="BG417" s="37">
        <v>3</v>
      </c>
      <c r="BH417" s="37">
        <v>3</v>
      </c>
      <c r="BI417" s="37">
        <v>3</v>
      </c>
      <c r="BJ417" s="37">
        <v>3</v>
      </c>
      <c r="BK417" s="37">
        <v>3</v>
      </c>
      <c r="BL417" s="37">
        <v>3</v>
      </c>
      <c r="BM417" s="37">
        <v>6</v>
      </c>
      <c r="BN417" s="37">
        <v>7</v>
      </c>
      <c r="BO417" s="37">
        <v>8</v>
      </c>
      <c r="BP417" s="37">
        <v>9</v>
      </c>
      <c r="BQ417" s="37">
        <v>9</v>
      </c>
      <c r="BR417" s="37">
        <v>9</v>
      </c>
      <c r="BS417" s="37">
        <v>9</v>
      </c>
      <c r="BT417" s="37">
        <v>9</v>
      </c>
    </row>
    <row r="418" spans="5:72" x14ac:dyDescent="0.25">
      <c r="F418" s="6">
        <f t="shared" si="127"/>
        <v>0</v>
      </c>
      <c r="G418" s="6">
        <f t="shared" si="128"/>
        <v>0</v>
      </c>
      <c r="H418" s="6">
        <f t="shared" si="129"/>
        <v>0</v>
      </c>
      <c r="I418" s="6">
        <f t="shared" si="130"/>
        <v>0</v>
      </c>
      <c r="J418" s="6">
        <f t="shared" si="131"/>
        <v>0</v>
      </c>
      <c r="K418" s="6">
        <f t="shared" si="132"/>
        <v>0</v>
      </c>
      <c r="L418" s="6">
        <f t="shared" si="133"/>
        <v>0</v>
      </c>
      <c r="M418" s="6">
        <f t="shared" si="134"/>
        <v>0</v>
      </c>
      <c r="N418" s="6">
        <f t="shared" si="135"/>
        <v>0</v>
      </c>
      <c r="O418" s="6">
        <f t="shared" si="136"/>
        <v>0</v>
      </c>
      <c r="P418" s="6">
        <f t="shared" si="137"/>
        <v>0</v>
      </c>
      <c r="Q418" s="6">
        <f t="shared" si="138"/>
        <v>0</v>
      </c>
      <c r="R418" s="6">
        <f t="shared" si="139"/>
        <v>0</v>
      </c>
      <c r="S418" s="6">
        <f t="shared" si="140"/>
        <v>0</v>
      </c>
      <c r="T418" s="6">
        <f t="shared" si="141"/>
        <v>0</v>
      </c>
      <c r="U418" s="6">
        <f t="shared" si="142"/>
        <v>0</v>
      </c>
      <c r="V418" s="6">
        <f t="shared" si="143"/>
        <v>0</v>
      </c>
      <c r="W418" s="6">
        <f t="shared" si="144"/>
        <v>0</v>
      </c>
      <c r="X418" s="6">
        <f t="shared" si="145"/>
        <v>0</v>
      </c>
      <c r="Y418" s="6">
        <f t="shared" si="146"/>
        <v>0</v>
      </c>
      <c r="Z418" s="6">
        <f t="shared" si="147"/>
        <v>0</v>
      </c>
      <c r="AB418" s="36" t="str">
        <f>IF(最佳化斷筋點!C418="","",最佳化斷筋點!C418)</f>
        <v/>
      </c>
      <c r="AC418" s="37" t="str">
        <f>IF(最佳化斷筋點!D418="","",最佳化斷筋點!D418)</f>
        <v/>
      </c>
      <c r="AD418" s="37" t="str">
        <f>IF(最佳化斷筋點!E418="","",最佳化斷筋點!E418)</f>
        <v/>
      </c>
      <c r="AE418" s="37" t="str">
        <f>IF(最佳化斷筋點!F418="","",最佳化斷筋點!F418)</f>
        <v/>
      </c>
      <c r="AF418" s="37" t="str">
        <f>IF(最佳化斷筋點!G418="","",最佳化斷筋點!G418)</f>
        <v/>
      </c>
      <c r="AG418" s="37" t="str">
        <f>IF(最佳化斷筋點!H418="","",最佳化斷筋點!H418)</f>
        <v/>
      </c>
      <c r="AH418" s="37" t="str">
        <f>IF(最佳化斷筋點!I418="","",最佳化斷筋點!I418)</f>
        <v/>
      </c>
      <c r="AI418" s="37" t="str">
        <f>IF(最佳化斷筋點!J418="","",最佳化斷筋點!J418)</f>
        <v/>
      </c>
      <c r="AJ418" s="37" t="str">
        <f>IF(最佳化斷筋點!K418="","",最佳化斷筋點!K418)</f>
        <v/>
      </c>
      <c r="AK418" s="37" t="str">
        <f>IF(最佳化斷筋點!L418="","",最佳化斷筋點!L418)</f>
        <v/>
      </c>
      <c r="AL418" s="37" t="str">
        <f>IF(最佳化斷筋點!M418="","",最佳化斷筋點!M418)</f>
        <v/>
      </c>
      <c r="AM418" s="37" t="str">
        <f>IF(最佳化斷筋點!N418="","",最佳化斷筋點!N418)</f>
        <v/>
      </c>
      <c r="AN418" s="37" t="str">
        <f>IF(最佳化斷筋點!O418="","",最佳化斷筋點!O418)</f>
        <v/>
      </c>
      <c r="AO418" s="37" t="str">
        <f>IF(最佳化斷筋點!P418="","",最佳化斷筋點!P418)</f>
        <v/>
      </c>
      <c r="AP418" s="37" t="str">
        <f>IF(最佳化斷筋點!Q418="","",最佳化斷筋點!Q418)</f>
        <v/>
      </c>
      <c r="AQ418" s="37" t="str">
        <f>IF(最佳化斷筋點!R418="","",最佳化斷筋點!R418)</f>
        <v/>
      </c>
      <c r="AR418" s="37" t="str">
        <f>IF(最佳化斷筋點!S418="","",最佳化斷筋點!S418)</f>
        <v/>
      </c>
      <c r="AS418" s="37" t="str">
        <f>IF(最佳化斷筋點!T418="","",最佳化斷筋點!T418)</f>
        <v/>
      </c>
      <c r="AT418" s="37" t="str">
        <f>IF(最佳化斷筋點!U418="","",最佳化斷筋點!U418)</f>
        <v/>
      </c>
      <c r="AU418" s="37" t="str">
        <f>IF(最佳化斷筋點!V418="","",最佳化斷筋點!V418)</f>
        <v/>
      </c>
      <c r="AV418" s="37" t="str">
        <f>IF(最佳化斷筋點!W418="","",最佳化斷筋點!W418)</f>
        <v/>
      </c>
      <c r="AW418" s="37" t="str">
        <f>IF(最佳化斷筋點!X418="","",最佳化斷筋點!X418)</f>
        <v/>
      </c>
      <c r="AZ418" s="37" t="s">
        <v>197</v>
      </c>
      <c r="BA418" s="37" t="s">
        <v>197</v>
      </c>
      <c r="BB418" s="37" t="s">
        <v>197</v>
      </c>
      <c r="BC418" s="37" t="s">
        <v>197</v>
      </c>
      <c r="BD418" s="37" t="s">
        <v>197</v>
      </c>
      <c r="BE418" s="37" t="s">
        <v>197</v>
      </c>
      <c r="BF418" s="37" t="s">
        <v>197</v>
      </c>
      <c r="BG418" s="37" t="s">
        <v>197</v>
      </c>
      <c r="BH418" s="37" t="s">
        <v>197</v>
      </c>
      <c r="BI418" s="37" t="s">
        <v>197</v>
      </c>
      <c r="BJ418" s="37" t="s">
        <v>197</v>
      </c>
      <c r="BK418" s="37" t="s">
        <v>197</v>
      </c>
      <c r="BL418" s="37" t="s">
        <v>197</v>
      </c>
      <c r="BM418" s="37" t="s">
        <v>197</v>
      </c>
      <c r="BN418" s="37" t="s">
        <v>197</v>
      </c>
      <c r="BO418" s="37" t="s">
        <v>197</v>
      </c>
      <c r="BP418" s="37" t="s">
        <v>197</v>
      </c>
      <c r="BQ418" s="37" t="s">
        <v>197</v>
      </c>
      <c r="BR418" s="37" t="s">
        <v>197</v>
      </c>
      <c r="BS418" s="37" t="s">
        <v>197</v>
      </c>
      <c r="BT418" s="37" t="s">
        <v>197</v>
      </c>
    </row>
    <row r="419" spans="5:72" x14ac:dyDescent="0.25">
      <c r="E419" s="6" t="s">
        <v>20</v>
      </c>
      <c r="F419" s="6">
        <f t="shared" si="127"/>
        <v>0</v>
      </c>
      <c r="G419" s="6">
        <f t="shared" si="128"/>
        <v>0</v>
      </c>
      <c r="H419" s="6">
        <f t="shared" si="129"/>
        <v>0</v>
      </c>
      <c r="I419" s="6">
        <f t="shared" si="130"/>
        <v>0</v>
      </c>
      <c r="J419" s="6">
        <f t="shared" si="131"/>
        <v>0</v>
      </c>
      <c r="K419" s="6">
        <f t="shared" si="132"/>
        <v>0</v>
      </c>
      <c r="L419" s="6">
        <f t="shared" si="133"/>
        <v>0</v>
      </c>
      <c r="M419" s="6">
        <f t="shared" si="134"/>
        <v>0</v>
      </c>
      <c r="N419" s="6">
        <f t="shared" si="135"/>
        <v>0</v>
      </c>
      <c r="O419" s="6">
        <f t="shared" si="136"/>
        <v>0</v>
      </c>
      <c r="P419" s="6">
        <f t="shared" si="137"/>
        <v>0</v>
      </c>
      <c r="Q419" s="6">
        <f t="shared" si="138"/>
        <v>0</v>
      </c>
      <c r="R419" s="6">
        <f t="shared" si="139"/>
        <v>0</v>
      </c>
      <c r="S419" s="6">
        <f t="shared" si="140"/>
        <v>0</v>
      </c>
      <c r="T419" s="6">
        <f t="shared" si="141"/>
        <v>0</v>
      </c>
      <c r="U419" s="6">
        <f t="shared" si="142"/>
        <v>0</v>
      </c>
      <c r="V419" s="6">
        <f t="shared" si="143"/>
        <v>0</v>
      </c>
      <c r="W419" s="6">
        <f t="shared" si="144"/>
        <v>0</v>
      </c>
      <c r="X419" s="6">
        <f t="shared" si="145"/>
        <v>0</v>
      </c>
      <c r="Y419" s="6">
        <f t="shared" si="146"/>
        <v>0</v>
      </c>
      <c r="Z419" s="6">
        <f t="shared" si="147"/>
        <v>0</v>
      </c>
      <c r="AB419" s="36" t="str">
        <f>IF(最佳化斷筋點!C419="","",最佳化斷筋點!C419)</f>
        <v>上層</v>
      </c>
      <c r="AC419" s="37">
        <f>IF(最佳化斷筋點!D419="","",最佳化斷筋點!D419)</f>
        <v>13</v>
      </c>
      <c r="AD419" s="37">
        <f>IF(最佳化斷筋點!E419="","",最佳化斷筋點!E419)</f>
        <v>13</v>
      </c>
      <c r="AE419" s="37">
        <f>IF(最佳化斷筋點!F419="","",最佳化斷筋點!F419)</f>
        <v>13</v>
      </c>
      <c r="AF419" s="37">
        <f>IF(最佳化斷筋點!G419="","",最佳化斷筋點!G419)</f>
        <v>13</v>
      </c>
      <c r="AG419" s="37">
        <f>IF(最佳化斷筋點!H419="","",最佳化斷筋點!H419)</f>
        <v>13</v>
      </c>
      <c r="AH419" s="37">
        <f>IF(最佳化斷筋點!I419="","",最佳化斷筋點!I419)</f>
        <v>13</v>
      </c>
      <c r="AI419" s="37">
        <f>IF(最佳化斷筋點!J419="","",最佳化斷筋點!J419)</f>
        <v>12</v>
      </c>
      <c r="AJ419" s="37">
        <f>IF(最佳化斷筋點!K419="","",最佳化斷筋點!K419)</f>
        <v>5</v>
      </c>
      <c r="AK419" s="37">
        <f>IF(最佳化斷筋點!L419="","",最佳化斷筋點!L419)</f>
        <v>5</v>
      </c>
      <c r="AL419" s="37">
        <f>IF(最佳化斷筋點!M419="","",最佳化斷筋點!M419)</f>
        <v>5</v>
      </c>
      <c r="AM419" s="37">
        <f>IF(最佳化斷筋點!N419="","",最佳化斷筋點!N419)</f>
        <v>5</v>
      </c>
      <c r="AN419" s="37">
        <f>IF(最佳化斷筋點!O419="","",最佳化斷筋點!O419)</f>
        <v>5</v>
      </c>
      <c r="AO419" s="37">
        <f>IF(最佳化斷筋點!P419="","",最佳化斷筋點!P419)</f>
        <v>5</v>
      </c>
      <c r="AP419" s="37">
        <f>IF(最佳化斷筋點!Q419="","",最佳化斷筋點!Q419)</f>
        <v>6</v>
      </c>
      <c r="AQ419" s="37">
        <f>IF(最佳化斷筋點!R419="","",最佳化斷筋點!R419)</f>
        <v>7</v>
      </c>
      <c r="AR419" s="37">
        <f>IF(最佳化斷筋點!S419="","",最佳化斷筋點!S419)</f>
        <v>8</v>
      </c>
      <c r="AS419" s="37">
        <f>IF(最佳化斷筋點!T419="","",最佳化斷筋點!T419)</f>
        <v>9</v>
      </c>
      <c r="AT419" s="37">
        <f>IF(最佳化斷筋點!U419="","",最佳化斷筋點!U419)</f>
        <v>9</v>
      </c>
      <c r="AU419" s="37">
        <f>IF(最佳化斷筋點!V419="","",最佳化斷筋點!V419)</f>
        <v>9</v>
      </c>
      <c r="AV419" s="37">
        <f>IF(最佳化斷筋點!W419="","",最佳化斷筋點!W419)</f>
        <v>9</v>
      </c>
      <c r="AW419" s="37">
        <f>IF(最佳化斷筋點!X419="","",最佳化斷筋點!X419)</f>
        <v>9</v>
      </c>
      <c r="AY419" s="6" t="s">
        <v>20</v>
      </c>
      <c r="AZ419" s="37">
        <v>13</v>
      </c>
      <c r="BA419" s="37">
        <v>13</v>
      </c>
      <c r="BB419" s="37">
        <v>13</v>
      </c>
      <c r="BC419" s="37">
        <v>13</v>
      </c>
      <c r="BD419" s="37">
        <v>13</v>
      </c>
      <c r="BE419" s="37">
        <v>13</v>
      </c>
      <c r="BF419" s="37">
        <v>12</v>
      </c>
      <c r="BG419" s="37">
        <v>5</v>
      </c>
      <c r="BH419" s="37">
        <v>5</v>
      </c>
      <c r="BI419" s="37">
        <v>5</v>
      </c>
      <c r="BJ419" s="37">
        <v>5</v>
      </c>
      <c r="BK419" s="37">
        <v>5</v>
      </c>
      <c r="BL419" s="37">
        <v>5</v>
      </c>
      <c r="BM419" s="37">
        <v>6</v>
      </c>
      <c r="BN419" s="37">
        <v>7</v>
      </c>
      <c r="BO419" s="37">
        <v>8</v>
      </c>
      <c r="BP419" s="37">
        <v>9</v>
      </c>
      <c r="BQ419" s="37">
        <v>9</v>
      </c>
      <c r="BR419" s="37">
        <v>9</v>
      </c>
      <c r="BS419" s="37">
        <v>9</v>
      </c>
      <c r="BT419" s="37">
        <v>9</v>
      </c>
    </row>
    <row r="420" spans="5:72" x14ac:dyDescent="0.25">
      <c r="F420" s="6">
        <f t="shared" si="127"/>
        <v>0</v>
      </c>
      <c r="G420" s="6">
        <f t="shared" si="128"/>
        <v>0</v>
      </c>
      <c r="H420" s="6">
        <f t="shared" si="129"/>
        <v>0</v>
      </c>
      <c r="I420" s="6">
        <f t="shared" si="130"/>
        <v>0</v>
      </c>
      <c r="J420" s="6">
        <f t="shared" si="131"/>
        <v>0</v>
      </c>
      <c r="K420" s="6">
        <f t="shared" si="132"/>
        <v>0</v>
      </c>
      <c r="L420" s="6">
        <f t="shared" si="133"/>
        <v>0</v>
      </c>
      <c r="M420" s="6">
        <f t="shared" si="134"/>
        <v>0</v>
      </c>
      <c r="N420" s="6">
        <f t="shared" si="135"/>
        <v>0</v>
      </c>
      <c r="O420" s="6">
        <f t="shared" si="136"/>
        <v>0</v>
      </c>
      <c r="P420" s="6">
        <f t="shared" si="137"/>
        <v>0</v>
      </c>
      <c r="Q420" s="6">
        <f t="shared" si="138"/>
        <v>0</v>
      </c>
      <c r="R420" s="6">
        <f t="shared" si="139"/>
        <v>0</v>
      </c>
      <c r="S420" s="6">
        <f t="shared" si="140"/>
        <v>0</v>
      </c>
      <c r="T420" s="6">
        <f t="shared" si="141"/>
        <v>0</v>
      </c>
      <c r="U420" s="6">
        <f t="shared" si="142"/>
        <v>0</v>
      </c>
      <c r="V420" s="6">
        <f t="shared" si="143"/>
        <v>0</v>
      </c>
      <c r="W420" s="6">
        <f t="shared" si="144"/>
        <v>0</v>
      </c>
      <c r="X420" s="6">
        <f t="shared" si="145"/>
        <v>0</v>
      </c>
      <c r="Y420" s="6">
        <f t="shared" si="146"/>
        <v>0</v>
      </c>
      <c r="Z420" s="6">
        <f t="shared" si="147"/>
        <v>0</v>
      </c>
      <c r="AB420" s="36" t="str">
        <f>IF(最佳化斷筋點!C420="","",最佳化斷筋點!C420)</f>
        <v/>
      </c>
      <c r="AC420" s="37" t="str">
        <f>IF(最佳化斷筋點!D420="","",最佳化斷筋點!D420)</f>
        <v/>
      </c>
      <c r="AD420" s="37" t="str">
        <f>IF(最佳化斷筋點!E420="","",最佳化斷筋點!E420)</f>
        <v/>
      </c>
      <c r="AE420" s="37" t="str">
        <f>IF(最佳化斷筋點!F420="","",最佳化斷筋點!F420)</f>
        <v/>
      </c>
      <c r="AF420" s="37" t="str">
        <f>IF(最佳化斷筋點!G420="","",最佳化斷筋點!G420)</f>
        <v/>
      </c>
      <c r="AG420" s="37" t="str">
        <f>IF(最佳化斷筋點!H420="","",最佳化斷筋點!H420)</f>
        <v/>
      </c>
      <c r="AH420" s="37" t="str">
        <f>IF(最佳化斷筋點!I420="","",最佳化斷筋點!I420)</f>
        <v/>
      </c>
      <c r="AI420" s="37" t="str">
        <f>IF(最佳化斷筋點!J420="","",最佳化斷筋點!J420)</f>
        <v/>
      </c>
      <c r="AJ420" s="37" t="str">
        <f>IF(最佳化斷筋點!K420="","",最佳化斷筋點!K420)</f>
        <v/>
      </c>
      <c r="AK420" s="37" t="str">
        <f>IF(最佳化斷筋點!L420="","",最佳化斷筋點!L420)</f>
        <v/>
      </c>
      <c r="AL420" s="37" t="str">
        <f>IF(最佳化斷筋點!M420="","",最佳化斷筋點!M420)</f>
        <v/>
      </c>
      <c r="AM420" s="37" t="str">
        <f>IF(最佳化斷筋點!N420="","",最佳化斷筋點!N420)</f>
        <v/>
      </c>
      <c r="AN420" s="37" t="str">
        <f>IF(最佳化斷筋點!O420="","",最佳化斷筋點!O420)</f>
        <v/>
      </c>
      <c r="AO420" s="37" t="str">
        <f>IF(最佳化斷筋點!P420="","",最佳化斷筋點!P420)</f>
        <v/>
      </c>
      <c r="AP420" s="37" t="str">
        <f>IF(最佳化斷筋點!Q420="","",最佳化斷筋點!Q420)</f>
        <v/>
      </c>
      <c r="AQ420" s="37" t="str">
        <f>IF(最佳化斷筋點!R420="","",最佳化斷筋點!R420)</f>
        <v/>
      </c>
      <c r="AR420" s="37" t="str">
        <f>IF(最佳化斷筋點!S420="","",最佳化斷筋點!S420)</f>
        <v/>
      </c>
      <c r="AS420" s="37" t="str">
        <f>IF(最佳化斷筋點!T420="","",最佳化斷筋點!T420)</f>
        <v/>
      </c>
      <c r="AT420" s="37" t="str">
        <f>IF(最佳化斷筋點!U420="","",最佳化斷筋點!U420)</f>
        <v/>
      </c>
      <c r="AU420" s="37" t="str">
        <f>IF(最佳化斷筋點!V420="","",最佳化斷筋點!V420)</f>
        <v/>
      </c>
      <c r="AV420" s="37" t="str">
        <f>IF(最佳化斷筋點!W420="","",最佳化斷筋點!W420)</f>
        <v/>
      </c>
      <c r="AW420" s="37" t="str">
        <f>IF(最佳化斷筋點!X420="","",最佳化斷筋點!X420)</f>
        <v/>
      </c>
      <c r="AZ420" s="37" t="s">
        <v>197</v>
      </c>
      <c r="BA420" s="37" t="s">
        <v>197</v>
      </c>
      <c r="BB420" s="37" t="s">
        <v>197</v>
      </c>
      <c r="BC420" s="37" t="s">
        <v>197</v>
      </c>
      <c r="BD420" s="37" t="s">
        <v>197</v>
      </c>
      <c r="BE420" s="37" t="s">
        <v>197</v>
      </c>
      <c r="BF420" s="37" t="s">
        <v>197</v>
      </c>
      <c r="BG420" s="37" t="s">
        <v>197</v>
      </c>
      <c r="BH420" s="37" t="s">
        <v>197</v>
      </c>
      <c r="BI420" s="37" t="s">
        <v>197</v>
      </c>
      <c r="BJ420" s="37" t="s">
        <v>197</v>
      </c>
      <c r="BK420" s="37" t="s">
        <v>197</v>
      </c>
      <c r="BL420" s="37" t="s">
        <v>197</v>
      </c>
      <c r="BM420" s="37" t="s">
        <v>197</v>
      </c>
      <c r="BN420" s="37" t="s">
        <v>197</v>
      </c>
      <c r="BO420" s="37" t="s">
        <v>197</v>
      </c>
      <c r="BP420" s="37" t="s">
        <v>197</v>
      </c>
      <c r="BQ420" s="37" t="s">
        <v>197</v>
      </c>
      <c r="BR420" s="37" t="s">
        <v>197</v>
      </c>
      <c r="BS420" s="37" t="s">
        <v>197</v>
      </c>
      <c r="BT420" s="37" t="s">
        <v>197</v>
      </c>
    </row>
    <row r="421" spans="5:72" x14ac:dyDescent="0.25">
      <c r="E421" s="6" t="s">
        <v>21</v>
      </c>
      <c r="F421" s="6">
        <f t="shared" si="127"/>
        <v>0</v>
      </c>
      <c r="G421" s="6">
        <f t="shared" si="128"/>
        <v>0</v>
      </c>
      <c r="H421" s="6">
        <f t="shared" si="129"/>
        <v>0</v>
      </c>
      <c r="I421" s="6">
        <f t="shared" si="130"/>
        <v>0</v>
      </c>
      <c r="J421" s="6">
        <f t="shared" si="131"/>
        <v>0</v>
      </c>
      <c r="K421" s="6">
        <f t="shared" si="132"/>
        <v>0</v>
      </c>
      <c r="L421" s="6">
        <f t="shared" si="133"/>
        <v>0</v>
      </c>
      <c r="M421" s="6">
        <f t="shared" si="134"/>
        <v>0</v>
      </c>
      <c r="N421" s="6">
        <f t="shared" si="135"/>
        <v>0</v>
      </c>
      <c r="O421" s="6">
        <f t="shared" si="136"/>
        <v>0</v>
      </c>
      <c r="P421" s="6">
        <f t="shared" si="137"/>
        <v>0</v>
      </c>
      <c r="Q421" s="6">
        <f t="shared" si="138"/>
        <v>0</v>
      </c>
      <c r="R421" s="6">
        <f t="shared" si="139"/>
        <v>0</v>
      </c>
      <c r="S421" s="6">
        <f t="shared" si="140"/>
        <v>0</v>
      </c>
      <c r="T421" s="6">
        <f t="shared" si="141"/>
        <v>0</v>
      </c>
      <c r="U421" s="6">
        <f t="shared" si="142"/>
        <v>0</v>
      </c>
      <c r="V421" s="6">
        <f t="shared" si="143"/>
        <v>0</v>
      </c>
      <c r="W421" s="6">
        <f t="shared" si="144"/>
        <v>0</v>
      </c>
      <c r="X421" s="6">
        <f t="shared" si="145"/>
        <v>0</v>
      </c>
      <c r="Y421" s="6">
        <f t="shared" si="146"/>
        <v>0</v>
      </c>
      <c r="Z421" s="6">
        <f t="shared" si="147"/>
        <v>0</v>
      </c>
      <c r="AB421" s="36" t="str">
        <f>IF(最佳化斷筋點!C421="","",最佳化斷筋點!C421)</f>
        <v>下層</v>
      </c>
      <c r="AC421" s="37">
        <f>IF(最佳化斷筋點!D421="","",最佳化斷筋點!D421)</f>
        <v>9</v>
      </c>
      <c r="AD421" s="37">
        <f>IF(最佳化斷筋點!E421="","",最佳化斷筋點!E421)</f>
        <v>9</v>
      </c>
      <c r="AE421" s="37">
        <f>IF(最佳化斷筋點!F421="","",最佳化斷筋點!F421)</f>
        <v>9</v>
      </c>
      <c r="AF421" s="37">
        <f>IF(最佳化斷筋點!G421="","",最佳化斷筋點!G421)</f>
        <v>9</v>
      </c>
      <c r="AG421" s="37">
        <f>IF(最佳化斷筋點!H421="","",最佳化斷筋點!H421)</f>
        <v>9</v>
      </c>
      <c r="AH421" s="37">
        <f>IF(最佳化斷筋點!I421="","",最佳化斷筋點!I421)</f>
        <v>8</v>
      </c>
      <c r="AI421" s="37">
        <f>IF(最佳化斷筋點!J421="","",最佳化斷筋點!J421)</f>
        <v>7</v>
      </c>
      <c r="AJ421" s="37">
        <f>IF(最佳化斷筋點!K421="","",最佳化斷筋點!K421)</f>
        <v>4</v>
      </c>
      <c r="AK421" s="37">
        <f>IF(最佳化斷筋點!L421="","",最佳化斷筋點!L421)</f>
        <v>4</v>
      </c>
      <c r="AL421" s="37">
        <f>IF(最佳化斷筋點!M421="","",最佳化斷筋點!M421)</f>
        <v>4</v>
      </c>
      <c r="AM421" s="37">
        <f>IF(最佳化斷筋點!N421="","",最佳化斷筋點!N421)</f>
        <v>4</v>
      </c>
      <c r="AN421" s="37">
        <f>IF(最佳化斷筋點!O421="","",最佳化斷筋點!O421)</f>
        <v>4</v>
      </c>
      <c r="AO421" s="37">
        <f>IF(最佳化斷筋點!P421="","",最佳化斷筋點!P421)</f>
        <v>4</v>
      </c>
      <c r="AP421" s="37">
        <f>IF(最佳化斷筋點!Q421="","",最佳化斷筋點!Q421)</f>
        <v>7</v>
      </c>
      <c r="AQ421" s="37">
        <f>IF(最佳化斷筋點!R421="","",最佳化斷筋點!R421)</f>
        <v>8</v>
      </c>
      <c r="AR421" s="37">
        <f>IF(最佳化斷筋點!S421="","",最佳化斷筋點!S421)</f>
        <v>9</v>
      </c>
      <c r="AS421" s="37">
        <f>IF(最佳化斷筋點!T421="","",最佳化斷筋點!T421)</f>
        <v>10</v>
      </c>
      <c r="AT421" s="37">
        <f>IF(最佳化斷筋點!U421="","",最佳化斷筋點!U421)</f>
        <v>10</v>
      </c>
      <c r="AU421" s="37">
        <f>IF(最佳化斷筋點!V421="","",最佳化斷筋點!V421)</f>
        <v>10</v>
      </c>
      <c r="AV421" s="37">
        <f>IF(最佳化斷筋點!W421="","",最佳化斷筋點!W421)</f>
        <v>10</v>
      </c>
      <c r="AW421" s="37">
        <f>IF(最佳化斷筋點!X421="","",最佳化斷筋點!X421)</f>
        <v>10</v>
      </c>
      <c r="AY421" s="6" t="s">
        <v>21</v>
      </c>
      <c r="AZ421" s="37">
        <v>9</v>
      </c>
      <c r="BA421" s="37">
        <v>9</v>
      </c>
      <c r="BB421" s="37">
        <v>9</v>
      </c>
      <c r="BC421" s="37">
        <v>9</v>
      </c>
      <c r="BD421" s="37">
        <v>9</v>
      </c>
      <c r="BE421" s="37">
        <v>8</v>
      </c>
      <c r="BF421" s="37">
        <v>7</v>
      </c>
      <c r="BG421" s="37">
        <v>4</v>
      </c>
      <c r="BH421" s="37">
        <v>4</v>
      </c>
      <c r="BI421" s="37">
        <v>4</v>
      </c>
      <c r="BJ421" s="37">
        <v>4</v>
      </c>
      <c r="BK421" s="37">
        <v>4</v>
      </c>
      <c r="BL421" s="37">
        <v>4</v>
      </c>
      <c r="BM421" s="37">
        <v>7</v>
      </c>
      <c r="BN421" s="37">
        <v>8</v>
      </c>
      <c r="BO421" s="37">
        <v>9</v>
      </c>
      <c r="BP421" s="37">
        <v>10</v>
      </c>
      <c r="BQ421" s="37">
        <v>10</v>
      </c>
      <c r="BR421" s="37">
        <v>10</v>
      </c>
      <c r="BS421" s="37">
        <v>10</v>
      </c>
      <c r="BT421" s="37">
        <v>10</v>
      </c>
    </row>
    <row r="422" spans="5:72" x14ac:dyDescent="0.25">
      <c r="F422" s="6">
        <f t="shared" si="127"/>
        <v>0</v>
      </c>
      <c r="G422" s="6">
        <f t="shared" si="128"/>
        <v>0</v>
      </c>
      <c r="H422" s="6">
        <f t="shared" si="129"/>
        <v>0</v>
      </c>
      <c r="I422" s="6">
        <f t="shared" si="130"/>
        <v>0</v>
      </c>
      <c r="J422" s="6">
        <f t="shared" si="131"/>
        <v>0</v>
      </c>
      <c r="K422" s="6">
        <f t="shared" si="132"/>
        <v>0</v>
      </c>
      <c r="L422" s="6">
        <f t="shared" si="133"/>
        <v>0</v>
      </c>
      <c r="M422" s="6">
        <f t="shared" si="134"/>
        <v>0</v>
      </c>
      <c r="N422" s="6">
        <f t="shared" si="135"/>
        <v>0</v>
      </c>
      <c r="O422" s="6">
        <f t="shared" si="136"/>
        <v>0</v>
      </c>
      <c r="P422" s="6">
        <f t="shared" si="137"/>
        <v>0</v>
      </c>
      <c r="Q422" s="6">
        <f t="shared" si="138"/>
        <v>0</v>
      </c>
      <c r="R422" s="6">
        <f t="shared" si="139"/>
        <v>0</v>
      </c>
      <c r="S422" s="6">
        <f t="shared" si="140"/>
        <v>0</v>
      </c>
      <c r="T422" s="6">
        <f t="shared" si="141"/>
        <v>0</v>
      </c>
      <c r="U422" s="6">
        <f t="shared" si="142"/>
        <v>0</v>
      </c>
      <c r="V422" s="6">
        <f t="shared" si="143"/>
        <v>0</v>
      </c>
      <c r="W422" s="6">
        <f t="shared" si="144"/>
        <v>0</v>
      </c>
      <c r="X422" s="6">
        <f t="shared" si="145"/>
        <v>0</v>
      </c>
      <c r="Y422" s="6">
        <f t="shared" si="146"/>
        <v>0</v>
      </c>
      <c r="Z422" s="6">
        <f t="shared" si="147"/>
        <v>0</v>
      </c>
      <c r="AB422" s="36" t="str">
        <f>IF(最佳化斷筋點!C422="","",最佳化斷筋點!C422)</f>
        <v/>
      </c>
      <c r="AC422" s="37" t="str">
        <f>IF(最佳化斷筋點!D422="","",最佳化斷筋點!D422)</f>
        <v/>
      </c>
      <c r="AD422" s="37" t="str">
        <f>IF(最佳化斷筋點!E422="","",最佳化斷筋點!E422)</f>
        <v/>
      </c>
      <c r="AE422" s="37" t="str">
        <f>IF(最佳化斷筋點!F422="","",最佳化斷筋點!F422)</f>
        <v/>
      </c>
      <c r="AF422" s="37" t="str">
        <f>IF(最佳化斷筋點!G422="","",最佳化斷筋點!G422)</f>
        <v/>
      </c>
      <c r="AG422" s="37" t="str">
        <f>IF(最佳化斷筋點!H422="","",最佳化斷筋點!H422)</f>
        <v/>
      </c>
      <c r="AH422" s="37" t="str">
        <f>IF(最佳化斷筋點!I422="","",最佳化斷筋點!I422)</f>
        <v/>
      </c>
      <c r="AI422" s="37" t="str">
        <f>IF(最佳化斷筋點!J422="","",最佳化斷筋點!J422)</f>
        <v/>
      </c>
      <c r="AJ422" s="37" t="str">
        <f>IF(最佳化斷筋點!K422="","",最佳化斷筋點!K422)</f>
        <v/>
      </c>
      <c r="AK422" s="37" t="str">
        <f>IF(最佳化斷筋點!L422="","",最佳化斷筋點!L422)</f>
        <v/>
      </c>
      <c r="AL422" s="37" t="str">
        <f>IF(最佳化斷筋點!M422="","",最佳化斷筋點!M422)</f>
        <v/>
      </c>
      <c r="AM422" s="37" t="str">
        <f>IF(最佳化斷筋點!N422="","",最佳化斷筋點!N422)</f>
        <v/>
      </c>
      <c r="AN422" s="37" t="str">
        <f>IF(最佳化斷筋點!O422="","",最佳化斷筋點!O422)</f>
        <v/>
      </c>
      <c r="AO422" s="37" t="str">
        <f>IF(最佳化斷筋點!P422="","",最佳化斷筋點!P422)</f>
        <v/>
      </c>
      <c r="AP422" s="37" t="str">
        <f>IF(最佳化斷筋點!Q422="","",最佳化斷筋點!Q422)</f>
        <v/>
      </c>
      <c r="AQ422" s="37" t="str">
        <f>IF(最佳化斷筋點!R422="","",最佳化斷筋點!R422)</f>
        <v/>
      </c>
      <c r="AR422" s="37" t="str">
        <f>IF(最佳化斷筋點!S422="","",最佳化斷筋點!S422)</f>
        <v/>
      </c>
      <c r="AS422" s="37" t="str">
        <f>IF(最佳化斷筋點!T422="","",最佳化斷筋點!T422)</f>
        <v/>
      </c>
      <c r="AT422" s="37" t="str">
        <f>IF(最佳化斷筋點!U422="","",最佳化斷筋點!U422)</f>
        <v/>
      </c>
      <c r="AU422" s="37" t="str">
        <f>IF(最佳化斷筋點!V422="","",最佳化斷筋點!V422)</f>
        <v/>
      </c>
      <c r="AV422" s="37" t="str">
        <f>IF(最佳化斷筋點!W422="","",最佳化斷筋點!W422)</f>
        <v/>
      </c>
      <c r="AW422" s="37" t="str">
        <f>IF(最佳化斷筋點!X422="","",最佳化斷筋點!X422)</f>
        <v/>
      </c>
      <c r="AZ422" s="37" t="s">
        <v>197</v>
      </c>
      <c r="BA422" s="37" t="s">
        <v>197</v>
      </c>
      <c r="BB422" s="37" t="s">
        <v>197</v>
      </c>
      <c r="BC422" s="37" t="s">
        <v>197</v>
      </c>
      <c r="BD422" s="37" t="s">
        <v>197</v>
      </c>
      <c r="BE422" s="37" t="s">
        <v>197</v>
      </c>
      <c r="BF422" s="37" t="s">
        <v>197</v>
      </c>
      <c r="BG422" s="37" t="s">
        <v>197</v>
      </c>
      <c r="BH422" s="37" t="s">
        <v>197</v>
      </c>
      <c r="BI422" s="37" t="s">
        <v>197</v>
      </c>
      <c r="BJ422" s="37" t="s">
        <v>197</v>
      </c>
      <c r="BK422" s="37" t="s">
        <v>197</v>
      </c>
      <c r="BL422" s="37" t="s">
        <v>197</v>
      </c>
      <c r="BM422" s="37" t="s">
        <v>197</v>
      </c>
      <c r="BN422" s="37" t="s">
        <v>197</v>
      </c>
      <c r="BO422" s="37" t="s">
        <v>197</v>
      </c>
      <c r="BP422" s="37" t="s">
        <v>197</v>
      </c>
      <c r="BQ422" s="37" t="s">
        <v>197</v>
      </c>
      <c r="BR422" s="37" t="s">
        <v>197</v>
      </c>
      <c r="BS422" s="37" t="s">
        <v>197</v>
      </c>
      <c r="BT422" s="37" t="s">
        <v>197</v>
      </c>
    </row>
    <row r="423" spans="5:72" x14ac:dyDescent="0.25">
      <c r="E423" s="6" t="s">
        <v>20</v>
      </c>
      <c r="F423" s="6">
        <f t="shared" si="127"/>
        <v>0</v>
      </c>
      <c r="G423" s="6">
        <f t="shared" si="128"/>
        <v>0</v>
      </c>
      <c r="H423" s="6">
        <f t="shared" si="129"/>
        <v>0</v>
      </c>
      <c r="I423" s="6">
        <f t="shared" si="130"/>
        <v>0</v>
      </c>
      <c r="J423" s="6">
        <f t="shared" si="131"/>
        <v>0</v>
      </c>
      <c r="K423" s="6">
        <f t="shared" si="132"/>
        <v>0</v>
      </c>
      <c r="L423" s="6">
        <f t="shared" si="133"/>
        <v>0</v>
      </c>
      <c r="M423" s="6">
        <f t="shared" si="134"/>
        <v>0</v>
      </c>
      <c r="N423" s="6">
        <f t="shared" si="135"/>
        <v>0</v>
      </c>
      <c r="O423" s="6">
        <f t="shared" si="136"/>
        <v>0</v>
      </c>
      <c r="P423" s="6">
        <f t="shared" si="137"/>
        <v>0</v>
      </c>
      <c r="Q423" s="6">
        <f t="shared" si="138"/>
        <v>0</v>
      </c>
      <c r="R423" s="6">
        <f t="shared" si="139"/>
        <v>0</v>
      </c>
      <c r="S423" s="6">
        <f t="shared" si="140"/>
        <v>0</v>
      </c>
      <c r="T423" s="6">
        <f t="shared" si="141"/>
        <v>0</v>
      </c>
      <c r="U423" s="6">
        <f t="shared" si="142"/>
        <v>0</v>
      </c>
      <c r="V423" s="6">
        <f t="shared" si="143"/>
        <v>0</v>
      </c>
      <c r="W423" s="6">
        <f t="shared" si="144"/>
        <v>0</v>
      </c>
      <c r="X423" s="6">
        <f t="shared" si="145"/>
        <v>0</v>
      </c>
      <c r="Y423" s="6">
        <f t="shared" si="146"/>
        <v>0</v>
      </c>
      <c r="Z423" s="6">
        <f t="shared" si="147"/>
        <v>0</v>
      </c>
      <c r="AB423" s="36" t="str">
        <f>IF(最佳化斷筋點!C423="","",最佳化斷筋點!C423)</f>
        <v>上層</v>
      </c>
      <c r="AC423" s="37">
        <f>IF(最佳化斷筋點!D423="","",最佳化斷筋點!D423)</f>
        <v>14</v>
      </c>
      <c r="AD423" s="37">
        <f>IF(最佳化斷筋點!E423="","",最佳化斷筋點!E423)</f>
        <v>14</v>
      </c>
      <c r="AE423" s="37">
        <f>IF(最佳化斷筋點!F423="","",最佳化斷筋點!F423)</f>
        <v>14</v>
      </c>
      <c r="AF423" s="37">
        <f>IF(最佳化斷筋點!G423="","",最佳化斷筋點!G423)</f>
        <v>14</v>
      </c>
      <c r="AG423" s="37">
        <f>IF(最佳化斷筋點!H423="","",最佳化斷筋點!H423)</f>
        <v>14</v>
      </c>
      <c r="AH423" s="37">
        <f>IF(最佳化斷筋點!I423="","",最佳化斷筋點!I423)</f>
        <v>14</v>
      </c>
      <c r="AI423" s="37">
        <f>IF(最佳化斷筋點!J423="","",最佳化斷筋點!J423)</f>
        <v>14</v>
      </c>
      <c r="AJ423" s="37">
        <f>IF(最佳化斷筋點!K423="","",最佳化斷筋點!K423)</f>
        <v>5</v>
      </c>
      <c r="AK423" s="37">
        <f>IF(最佳化斷筋點!L423="","",最佳化斷筋點!L423)</f>
        <v>5</v>
      </c>
      <c r="AL423" s="37">
        <f>IF(最佳化斷筋點!M423="","",最佳化斷筋點!M423)</f>
        <v>5</v>
      </c>
      <c r="AM423" s="37">
        <f>IF(最佳化斷筋點!N423="","",最佳化斷筋點!N423)</f>
        <v>5</v>
      </c>
      <c r="AN423" s="37">
        <f>IF(最佳化斷筋點!O423="","",最佳化斷筋點!O423)</f>
        <v>5</v>
      </c>
      <c r="AO423" s="37">
        <f>IF(最佳化斷筋點!P423="","",最佳化斷筋點!P423)</f>
        <v>5</v>
      </c>
      <c r="AP423" s="37">
        <f>IF(最佳化斷筋點!Q423="","",最佳化斷筋點!Q423)</f>
        <v>10</v>
      </c>
      <c r="AQ423" s="37">
        <f>IF(最佳化斷筋點!R423="","",最佳化斷筋點!R423)</f>
        <v>11</v>
      </c>
      <c r="AR423" s="37">
        <f>IF(最佳化斷筋點!S423="","",最佳化斷筋點!S423)</f>
        <v>11</v>
      </c>
      <c r="AS423" s="37">
        <f>IF(最佳化斷筋點!T423="","",最佳化斷筋點!T423)</f>
        <v>11</v>
      </c>
      <c r="AT423" s="37">
        <f>IF(最佳化斷筋點!U423="","",最佳化斷筋點!U423)</f>
        <v>11</v>
      </c>
      <c r="AU423" s="37">
        <f>IF(最佳化斷筋點!V423="","",最佳化斷筋點!V423)</f>
        <v>11</v>
      </c>
      <c r="AV423" s="37">
        <f>IF(最佳化斷筋點!W423="","",最佳化斷筋點!W423)</f>
        <v>11</v>
      </c>
      <c r="AW423" s="37">
        <f>IF(最佳化斷筋點!X423="","",最佳化斷筋點!X423)</f>
        <v>11</v>
      </c>
      <c r="AY423" s="6" t="s">
        <v>20</v>
      </c>
      <c r="AZ423" s="37">
        <v>14</v>
      </c>
      <c r="BA423" s="37">
        <v>14</v>
      </c>
      <c r="BB423" s="37">
        <v>14</v>
      </c>
      <c r="BC423" s="37">
        <v>14</v>
      </c>
      <c r="BD423" s="37">
        <v>14</v>
      </c>
      <c r="BE423" s="37">
        <v>14</v>
      </c>
      <c r="BF423" s="37">
        <v>14</v>
      </c>
      <c r="BG423" s="37">
        <v>5</v>
      </c>
      <c r="BH423" s="37">
        <v>5</v>
      </c>
      <c r="BI423" s="37">
        <v>5</v>
      </c>
      <c r="BJ423" s="37">
        <v>5</v>
      </c>
      <c r="BK423" s="37">
        <v>5</v>
      </c>
      <c r="BL423" s="37">
        <v>5</v>
      </c>
      <c r="BM423" s="37">
        <v>10</v>
      </c>
      <c r="BN423" s="37">
        <v>11</v>
      </c>
      <c r="BO423" s="37">
        <v>11</v>
      </c>
      <c r="BP423" s="37">
        <v>11</v>
      </c>
      <c r="BQ423" s="37">
        <v>11</v>
      </c>
      <c r="BR423" s="37">
        <v>11</v>
      </c>
      <c r="BS423" s="37">
        <v>11</v>
      </c>
      <c r="BT423" s="37">
        <v>11</v>
      </c>
    </row>
    <row r="424" spans="5:72" x14ac:dyDescent="0.25">
      <c r="F424" s="6">
        <f t="shared" si="127"/>
        <v>0</v>
      </c>
      <c r="G424" s="6">
        <f t="shared" si="128"/>
        <v>0</v>
      </c>
      <c r="H424" s="6">
        <f t="shared" si="129"/>
        <v>0</v>
      </c>
      <c r="I424" s="6">
        <f t="shared" si="130"/>
        <v>0</v>
      </c>
      <c r="J424" s="6">
        <f t="shared" si="131"/>
        <v>0</v>
      </c>
      <c r="K424" s="6">
        <f t="shared" si="132"/>
        <v>0</v>
      </c>
      <c r="L424" s="6">
        <f t="shared" si="133"/>
        <v>0</v>
      </c>
      <c r="M424" s="6">
        <f t="shared" si="134"/>
        <v>0</v>
      </c>
      <c r="N424" s="6">
        <f t="shared" si="135"/>
        <v>0</v>
      </c>
      <c r="O424" s="6">
        <f t="shared" si="136"/>
        <v>0</v>
      </c>
      <c r="P424" s="6">
        <f t="shared" si="137"/>
        <v>0</v>
      </c>
      <c r="Q424" s="6">
        <f t="shared" si="138"/>
        <v>0</v>
      </c>
      <c r="R424" s="6">
        <f t="shared" si="139"/>
        <v>0</v>
      </c>
      <c r="S424" s="6">
        <f t="shared" si="140"/>
        <v>0</v>
      </c>
      <c r="T424" s="6">
        <f t="shared" si="141"/>
        <v>0</v>
      </c>
      <c r="U424" s="6">
        <f t="shared" si="142"/>
        <v>0</v>
      </c>
      <c r="V424" s="6">
        <f t="shared" si="143"/>
        <v>0</v>
      </c>
      <c r="W424" s="6">
        <f t="shared" si="144"/>
        <v>0</v>
      </c>
      <c r="X424" s="6">
        <f t="shared" si="145"/>
        <v>0</v>
      </c>
      <c r="Y424" s="6">
        <f t="shared" si="146"/>
        <v>0</v>
      </c>
      <c r="Z424" s="6">
        <f t="shared" si="147"/>
        <v>0</v>
      </c>
      <c r="AB424" s="36" t="str">
        <f>IF(最佳化斷筋點!C424="","",最佳化斷筋點!C424)</f>
        <v/>
      </c>
      <c r="AC424" s="37" t="str">
        <f>IF(最佳化斷筋點!D424="","",最佳化斷筋點!D424)</f>
        <v/>
      </c>
      <c r="AD424" s="37" t="str">
        <f>IF(最佳化斷筋點!E424="","",最佳化斷筋點!E424)</f>
        <v/>
      </c>
      <c r="AE424" s="37" t="str">
        <f>IF(最佳化斷筋點!F424="","",最佳化斷筋點!F424)</f>
        <v/>
      </c>
      <c r="AF424" s="37" t="str">
        <f>IF(最佳化斷筋點!G424="","",最佳化斷筋點!G424)</f>
        <v/>
      </c>
      <c r="AG424" s="37" t="str">
        <f>IF(最佳化斷筋點!H424="","",最佳化斷筋點!H424)</f>
        <v/>
      </c>
      <c r="AH424" s="37" t="str">
        <f>IF(最佳化斷筋點!I424="","",最佳化斷筋點!I424)</f>
        <v/>
      </c>
      <c r="AI424" s="37" t="str">
        <f>IF(最佳化斷筋點!J424="","",最佳化斷筋點!J424)</f>
        <v/>
      </c>
      <c r="AJ424" s="37" t="str">
        <f>IF(最佳化斷筋點!K424="","",最佳化斷筋點!K424)</f>
        <v/>
      </c>
      <c r="AK424" s="37" t="str">
        <f>IF(最佳化斷筋點!L424="","",最佳化斷筋點!L424)</f>
        <v/>
      </c>
      <c r="AL424" s="37" t="str">
        <f>IF(最佳化斷筋點!M424="","",最佳化斷筋點!M424)</f>
        <v/>
      </c>
      <c r="AM424" s="37" t="str">
        <f>IF(最佳化斷筋點!N424="","",最佳化斷筋點!N424)</f>
        <v/>
      </c>
      <c r="AN424" s="37" t="str">
        <f>IF(最佳化斷筋點!O424="","",最佳化斷筋點!O424)</f>
        <v/>
      </c>
      <c r="AO424" s="37" t="str">
        <f>IF(最佳化斷筋點!P424="","",最佳化斷筋點!P424)</f>
        <v/>
      </c>
      <c r="AP424" s="37" t="str">
        <f>IF(最佳化斷筋點!Q424="","",最佳化斷筋點!Q424)</f>
        <v/>
      </c>
      <c r="AQ424" s="37" t="str">
        <f>IF(最佳化斷筋點!R424="","",最佳化斷筋點!R424)</f>
        <v/>
      </c>
      <c r="AR424" s="37" t="str">
        <f>IF(最佳化斷筋點!S424="","",最佳化斷筋點!S424)</f>
        <v/>
      </c>
      <c r="AS424" s="37" t="str">
        <f>IF(最佳化斷筋點!T424="","",最佳化斷筋點!T424)</f>
        <v/>
      </c>
      <c r="AT424" s="37" t="str">
        <f>IF(最佳化斷筋點!U424="","",最佳化斷筋點!U424)</f>
        <v/>
      </c>
      <c r="AU424" s="37" t="str">
        <f>IF(最佳化斷筋點!V424="","",最佳化斷筋點!V424)</f>
        <v/>
      </c>
      <c r="AV424" s="37" t="str">
        <f>IF(最佳化斷筋點!W424="","",最佳化斷筋點!W424)</f>
        <v/>
      </c>
      <c r="AW424" s="37" t="str">
        <f>IF(最佳化斷筋點!X424="","",最佳化斷筋點!X424)</f>
        <v/>
      </c>
      <c r="AZ424" s="37" t="s">
        <v>197</v>
      </c>
      <c r="BA424" s="37" t="s">
        <v>197</v>
      </c>
      <c r="BB424" s="37" t="s">
        <v>197</v>
      </c>
      <c r="BC424" s="37" t="s">
        <v>197</v>
      </c>
      <c r="BD424" s="37" t="s">
        <v>197</v>
      </c>
      <c r="BE424" s="37" t="s">
        <v>197</v>
      </c>
      <c r="BF424" s="37" t="s">
        <v>197</v>
      </c>
      <c r="BG424" s="37" t="s">
        <v>197</v>
      </c>
      <c r="BH424" s="37" t="s">
        <v>197</v>
      </c>
      <c r="BI424" s="37" t="s">
        <v>197</v>
      </c>
      <c r="BJ424" s="37" t="s">
        <v>197</v>
      </c>
      <c r="BK424" s="37" t="s">
        <v>197</v>
      </c>
      <c r="BL424" s="37" t="s">
        <v>197</v>
      </c>
      <c r="BM424" s="37" t="s">
        <v>197</v>
      </c>
      <c r="BN424" s="37" t="s">
        <v>197</v>
      </c>
      <c r="BO424" s="37" t="s">
        <v>197</v>
      </c>
      <c r="BP424" s="37" t="s">
        <v>197</v>
      </c>
      <c r="BQ424" s="37" t="s">
        <v>197</v>
      </c>
      <c r="BR424" s="37" t="s">
        <v>197</v>
      </c>
      <c r="BS424" s="37" t="s">
        <v>197</v>
      </c>
      <c r="BT424" s="37" t="s">
        <v>197</v>
      </c>
    </row>
    <row r="425" spans="5:72" x14ac:dyDescent="0.25">
      <c r="E425" s="6" t="s">
        <v>21</v>
      </c>
      <c r="F425" s="6">
        <f t="shared" si="127"/>
        <v>0</v>
      </c>
      <c r="G425" s="6">
        <f t="shared" si="128"/>
        <v>0</v>
      </c>
      <c r="H425" s="6">
        <f t="shared" si="129"/>
        <v>0</v>
      </c>
      <c r="I425" s="6">
        <f t="shared" si="130"/>
        <v>0</v>
      </c>
      <c r="J425" s="6">
        <f t="shared" si="131"/>
        <v>0</v>
      </c>
      <c r="K425" s="6">
        <f t="shared" si="132"/>
        <v>0</v>
      </c>
      <c r="L425" s="6">
        <f t="shared" si="133"/>
        <v>0</v>
      </c>
      <c r="M425" s="6">
        <f t="shared" si="134"/>
        <v>0</v>
      </c>
      <c r="N425" s="6">
        <f t="shared" si="135"/>
        <v>0</v>
      </c>
      <c r="O425" s="6">
        <f t="shared" si="136"/>
        <v>0</v>
      </c>
      <c r="P425" s="6">
        <f t="shared" si="137"/>
        <v>0</v>
      </c>
      <c r="Q425" s="6">
        <f t="shared" si="138"/>
        <v>0</v>
      </c>
      <c r="R425" s="6">
        <f t="shared" si="139"/>
        <v>0</v>
      </c>
      <c r="S425" s="6">
        <f t="shared" si="140"/>
        <v>0</v>
      </c>
      <c r="T425" s="6">
        <f t="shared" si="141"/>
        <v>0</v>
      </c>
      <c r="U425" s="6">
        <f t="shared" si="142"/>
        <v>0</v>
      </c>
      <c r="V425" s="6">
        <f t="shared" si="143"/>
        <v>0</v>
      </c>
      <c r="W425" s="6">
        <f t="shared" si="144"/>
        <v>0</v>
      </c>
      <c r="X425" s="6">
        <f t="shared" si="145"/>
        <v>0</v>
      </c>
      <c r="Y425" s="6">
        <f t="shared" si="146"/>
        <v>0</v>
      </c>
      <c r="Z425" s="6">
        <f t="shared" si="147"/>
        <v>0</v>
      </c>
      <c r="AB425" s="36" t="str">
        <f>IF(最佳化斷筋點!C425="","",最佳化斷筋點!C425)</f>
        <v>下層</v>
      </c>
      <c r="AC425" s="37">
        <f>IF(最佳化斷筋點!D425="","",最佳化斷筋點!D425)</f>
        <v>10</v>
      </c>
      <c r="AD425" s="37">
        <f>IF(最佳化斷筋點!E425="","",最佳化斷筋點!E425)</f>
        <v>10</v>
      </c>
      <c r="AE425" s="37">
        <f>IF(最佳化斷筋點!F425="","",最佳化斷筋點!F425)</f>
        <v>10</v>
      </c>
      <c r="AF425" s="37">
        <f>IF(最佳化斷筋點!G425="","",最佳化斷筋點!G425)</f>
        <v>10</v>
      </c>
      <c r="AG425" s="37">
        <f>IF(最佳化斷筋點!H425="","",最佳化斷筋點!H425)</f>
        <v>10</v>
      </c>
      <c r="AH425" s="37">
        <f>IF(最佳化斷筋點!I425="","",最佳化斷筋點!I425)</f>
        <v>10</v>
      </c>
      <c r="AI425" s="37">
        <f>IF(最佳化斷筋點!J425="","",最佳化斷筋點!J425)</f>
        <v>9</v>
      </c>
      <c r="AJ425" s="37">
        <f>IF(最佳化斷筋點!K425="","",最佳化斷筋點!K425)</f>
        <v>5</v>
      </c>
      <c r="AK425" s="37">
        <f>IF(最佳化斷筋點!L425="","",最佳化斷筋點!L425)</f>
        <v>5</v>
      </c>
      <c r="AL425" s="37">
        <f>IF(最佳化斷筋點!M425="","",最佳化斷筋點!M425)</f>
        <v>5</v>
      </c>
      <c r="AM425" s="37">
        <f>IF(最佳化斷筋點!N425="","",最佳化斷筋點!N425)</f>
        <v>5</v>
      </c>
      <c r="AN425" s="37">
        <f>IF(最佳化斷筋點!O425="","",最佳化斷筋點!O425)</f>
        <v>5</v>
      </c>
      <c r="AO425" s="37">
        <f>IF(最佳化斷筋點!P425="","",最佳化斷筋點!P425)</f>
        <v>5</v>
      </c>
      <c r="AP425" s="37">
        <f>IF(最佳化斷筋點!Q425="","",最佳化斷筋點!Q425)</f>
        <v>9</v>
      </c>
      <c r="AQ425" s="37">
        <f>IF(最佳化斷筋點!R425="","",最佳化斷筋點!R425)</f>
        <v>10</v>
      </c>
      <c r="AR425" s="37">
        <f>IF(最佳化斷筋點!S425="","",最佳化斷筋點!S425)</f>
        <v>11</v>
      </c>
      <c r="AS425" s="37">
        <f>IF(最佳化斷筋點!T425="","",最佳化斷筋點!T425)</f>
        <v>12</v>
      </c>
      <c r="AT425" s="37">
        <f>IF(最佳化斷筋點!U425="","",最佳化斷筋點!U425)</f>
        <v>12</v>
      </c>
      <c r="AU425" s="37">
        <f>IF(最佳化斷筋點!V425="","",最佳化斷筋點!V425)</f>
        <v>12</v>
      </c>
      <c r="AV425" s="37">
        <f>IF(最佳化斷筋點!W425="","",最佳化斷筋點!W425)</f>
        <v>12</v>
      </c>
      <c r="AW425" s="37">
        <f>IF(最佳化斷筋點!X425="","",最佳化斷筋點!X425)</f>
        <v>12</v>
      </c>
      <c r="AY425" s="6" t="s">
        <v>21</v>
      </c>
      <c r="AZ425" s="37">
        <v>10</v>
      </c>
      <c r="BA425" s="37">
        <v>10</v>
      </c>
      <c r="BB425" s="37">
        <v>10</v>
      </c>
      <c r="BC425" s="37">
        <v>10</v>
      </c>
      <c r="BD425" s="37">
        <v>10</v>
      </c>
      <c r="BE425" s="37">
        <v>10</v>
      </c>
      <c r="BF425" s="37">
        <v>9</v>
      </c>
      <c r="BG425" s="37">
        <v>5</v>
      </c>
      <c r="BH425" s="37">
        <v>5</v>
      </c>
      <c r="BI425" s="37">
        <v>5</v>
      </c>
      <c r="BJ425" s="37">
        <v>5</v>
      </c>
      <c r="BK425" s="37">
        <v>5</v>
      </c>
      <c r="BL425" s="37">
        <v>5</v>
      </c>
      <c r="BM425" s="37">
        <v>9</v>
      </c>
      <c r="BN425" s="37">
        <v>10</v>
      </c>
      <c r="BO425" s="37">
        <v>11</v>
      </c>
      <c r="BP425" s="37">
        <v>12</v>
      </c>
      <c r="BQ425" s="37">
        <v>12</v>
      </c>
      <c r="BR425" s="37">
        <v>12</v>
      </c>
      <c r="BS425" s="37">
        <v>12</v>
      </c>
      <c r="BT425" s="37">
        <v>12</v>
      </c>
    </row>
    <row r="426" spans="5:72" x14ac:dyDescent="0.25">
      <c r="F426" s="6">
        <f t="shared" si="127"/>
        <v>0</v>
      </c>
      <c r="G426" s="6">
        <f t="shared" si="128"/>
        <v>0</v>
      </c>
      <c r="H426" s="6">
        <f t="shared" si="129"/>
        <v>0</v>
      </c>
      <c r="I426" s="6">
        <f t="shared" si="130"/>
        <v>0</v>
      </c>
      <c r="J426" s="6">
        <f t="shared" si="131"/>
        <v>0</v>
      </c>
      <c r="K426" s="6">
        <f t="shared" si="132"/>
        <v>0</v>
      </c>
      <c r="L426" s="6">
        <f t="shared" si="133"/>
        <v>0</v>
      </c>
      <c r="M426" s="6">
        <f t="shared" si="134"/>
        <v>0</v>
      </c>
      <c r="N426" s="6">
        <f t="shared" si="135"/>
        <v>0</v>
      </c>
      <c r="O426" s="6">
        <f t="shared" si="136"/>
        <v>0</v>
      </c>
      <c r="P426" s="6">
        <f t="shared" si="137"/>
        <v>0</v>
      </c>
      <c r="Q426" s="6">
        <f t="shared" si="138"/>
        <v>0</v>
      </c>
      <c r="R426" s="6">
        <f t="shared" si="139"/>
        <v>0</v>
      </c>
      <c r="S426" s="6">
        <f t="shared" si="140"/>
        <v>0</v>
      </c>
      <c r="T426" s="6">
        <f t="shared" si="141"/>
        <v>0</v>
      </c>
      <c r="U426" s="6">
        <f t="shared" si="142"/>
        <v>0</v>
      </c>
      <c r="V426" s="6">
        <f t="shared" si="143"/>
        <v>0</v>
      </c>
      <c r="W426" s="6">
        <f t="shared" si="144"/>
        <v>0</v>
      </c>
      <c r="X426" s="6">
        <f t="shared" si="145"/>
        <v>0</v>
      </c>
      <c r="Y426" s="6">
        <f t="shared" si="146"/>
        <v>0</v>
      </c>
      <c r="Z426" s="6">
        <f t="shared" si="147"/>
        <v>0</v>
      </c>
      <c r="AB426" s="36" t="str">
        <f>IF(最佳化斷筋點!C426="","",最佳化斷筋點!C426)</f>
        <v/>
      </c>
      <c r="AC426" s="37" t="str">
        <f>IF(最佳化斷筋點!D426="","",最佳化斷筋點!D426)</f>
        <v/>
      </c>
      <c r="AD426" s="37" t="str">
        <f>IF(最佳化斷筋點!E426="","",最佳化斷筋點!E426)</f>
        <v/>
      </c>
      <c r="AE426" s="37" t="str">
        <f>IF(最佳化斷筋點!F426="","",最佳化斷筋點!F426)</f>
        <v/>
      </c>
      <c r="AF426" s="37" t="str">
        <f>IF(最佳化斷筋點!G426="","",最佳化斷筋點!G426)</f>
        <v/>
      </c>
      <c r="AG426" s="37" t="str">
        <f>IF(最佳化斷筋點!H426="","",最佳化斷筋點!H426)</f>
        <v/>
      </c>
      <c r="AH426" s="37" t="str">
        <f>IF(最佳化斷筋點!I426="","",最佳化斷筋點!I426)</f>
        <v/>
      </c>
      <c r="AI426" s="37" t="str">
        <f>IF(最佳化斷筋點!J426="","",最佳化斷筋點!J426)</f>
        <v/>
      </c>
      <c r="AJ426" s="37" t="str">
        <f>IF(最佳化斷筋點!K426="","",最佳化斷筋點!K426)</f>
        <v/>
      </c>
      <c r="AK426" s="37" t="str">
        <f>IF(最佳化斷筋點!L426="","",最佳化斷筋點!L426)</f>
        <v/>
      </c>
      <c r="AL426" s="37" t="str">
        <f>IF(最佳化斷筋點!M426="","",最佳化斷筋點!M426)</f>
        <v/>
      </c>
      <c r="AM426" s="37" t="str">
        <f>IF(最佳化斷筋點!N426="","",最佳化斷筋點!N426)</f>
        <v/>
      </c>
      <c r="AN426" s="37" t="str">
        <f>IF(最佳化斷筋點!O426="","",最佳化斷筋點!O426)</f>
        <v/>
      </c>
      <c r="AO426" s="37" t="str">
        <f>IF(最佳化斷筋點!P426="","",最佳化斷筋點!P426)</f>
        <v/>
      </c>
      <c r="AP426" s="37" t="str">
        <f>IF(最佳化斷筋點!Q426="","",最佳化斷筋點!Q426)</f>
        <v/>
      </c>
      <c r="AQ426" s="37" t="str">
        <f>IF(最佳化斷筋點!R426="","",最佳化斷筋點!R426)</f>
        <v/>
      </c>
      <c r="AR426" s="37" t="str">
        <f>IF(最佳化斷筋點!S426="","",最佳化斷筋點!S426)</f>
        <v/>
      </c>
      <c r="AS426" s="37" t="str">
        <f>IF(最佳化斷筋點!T426="","",最佳化斷筋點!T426)</f>
        <v/>
      </c>
      <c r="AT426" s="37" t="str">
        <f>IF(最佳化斷筋點!U426="","",最佳化斷筋點!U426)</f>
        <v/>
      </c>
      <c r="AU426" s="37" t="str">
        <f>IF(最佳化斷筋點!V426="","",最佳化斷筋點!V426)</f>
        <v/>
      </c>
      <c r="AV426" s="37" t="str">
        <f>IF(最佳化斷筋點!W426="","",最佳化斷筋點!W426)</f>
        <v/>
      </c>
      <c r="AW426" s="37" t="str">
        <f>IF(最佳化斷筋點!X426="","",最佳化斷筋點!X426)</f>
        <v/>
      </c>
      <c r="AZ426" s="37" t="s">
        <v>197</v>
      </c>
      <c r="BA426" s="37" t="s">
        <v>197</v>
      </c>
      <c r="BB426" s="37" t="s">
        <v>197</v>
      </c>
      <c r="BC426" s="37" t="s">
        <v>197</v>
      </c>
      <c r="BD426" s="37" t="s">
        <v>197</v>
      </c>
      <c r="BE426" s="37" t="s">
        <v>197</v>
      </c>
      <c r="BF426" s="37" t="s">
        <v>197</v>
      </c>
      <c r="BG426" s="37" t="s">
        <v>197</v>
      </c>
      <c r="BH426" s="37" t="s">
        <v>197</v>
      </c>
      <c r="BI426" s="37" t="s">
        <v>197</v>
      </c>
      <c r="BJ426" s="37" t="s">
        <v>197</v>
      </c>
      <c r="BK426" s="37" t="s">
        <v>197</v>
      </c>
      <c r="BL426" s="37" t="s">
        <v>197</v>
      </c>
      <c r="BM426" s="37" t="s">
        <v>197</v>
      </c>
      <c r="BN426" s="37" t="s">
        <v>197</v>
      </c>
      <c r="BO426" s="37" t="s">
        <v>197</v>
      </c>
      <c r="BP426" s="37" t="s">
        <v>197</v>
      </c>
      <c r="BQ426" s="37" t="s">
        <v>197</v>
      </c>
      <c r="BR426" s="37" t="s">
        <v>197</v>
      </c>
      <c r="BS426" s="37" t="s">
        <v>197</v>
      </c>
      <c r="BT426" s="37" t="s">
        <v>197</v>
      </c>
    </row>
    <row r="427" spans="5:72" x14ac:dyDescent="0.25">
      <c r="E427" s="6" t="s">
        <v>20</v>
      </c>
      <c r="F427" s="6">
        <f t="shared" si="127"/>
        <v>0</v>
      </c>
      <c r="G427" s="6">
        <f t="shared" si="128"/>
        <v>0</v>
      </c>
      <c r="H427" s="6">
        <f t="shared" si="129"/>
        <v>0</v>
      </c>
      <c r="I427" s="6">
        <f t="shared" si="130"/>
        <v>0</v>
      </c>
      <c r="J427" s="6">
        <f t="shared" si="131"/>
        <v>0</v>
      </c>
      <c r="K427" s="6">
        <f t="shared" si="132"/>
        <v>0</v>
      </c>
      <c r="L427" s="6">
        <f t="shared" si="133"/>
        <v>0</v>
      </c>
      <c r="M427" s="6">
        <f t="shared" si="134"/>
        <v>0</v>
      </c>
      <c r="N427" s="6">
        <f t="shared" si="135"/>
        <v>0</v>
      </c>
      <c r="O427" s="6">
        <f t="shared" si="136"/>
        <v>0</v>
      </c>
      <c r="P427" s="6">
        <f t="shared" si="137"/>
        <v>0</v>
      </c>
      <c r="Q427" s="6">
        <f t="shared" si="138"/>
        <v>0</v>
      </c>
      <c r="R427" s="6">
        <f t="shared" si="139"/>
        <v>0</v>
      </c>
      <c r="S427" s="6">
        <f t="shared" si="140"/>
        <v>0</v>
      </c>
      <c r="T427" s="6">
        <f t="shared" si="141"/>
        <v>0</v>
      </c>
      <c r="U427" s="6">
        <f t="shared" si="142"/>
        <v>0</v>
      </c>
      <c r="V427" s="6">
        <f t="shared" si="143"/>
        <v>0</v>
      </c>
      <c r="W427" s="6">
        <f t="shared" si="144"/>
        <v>0</v>
      </c>
      <c r="X427" s="6">
        <f t="shared" si="145"/>
        <v>0</v>
      </c>
      <c r="Y427" s="6">
        <f t="shared" si="146"/>
        <v>0</v>
      </c>
      <c r="Z427" s="6">
        <f t="shared" si="147"/>
        <v>0</v>
      </c>
      <c r="AB427" s="36" t="str">
        <f>IF(最佳化斷筋點!C427="","",最佳化斷筋點!C427)</f>
        <v>上層</v>
      </c>
      <c r="AC427" s="37">
        <f>IF(最佳化斷筋點!D427="","",最佳化斷筋點!D427)</f>
        <v>10</v>
      </c>
      <c r="AD427" s="37">
        <f>IF(最佳化斷筋點!E427="","",最佳化斷筋點!E427)</f>
        <v>10</v>
      </c>
      <c r="AE427" s="37">
        <f>IF(最佳化斷筋點!F427="","",最佳化斷筋點!F427)</f>
        <v>10</v>
      </c>
      <c r="AF427" s="37">
        <f>IF(最佳化斷筋點!G427="","",最佳化斷筋點!G427)</f>
        <v>10</v>
      </c>
      <c r="AG427" s="37">
        <f>IF(最佳化斷筋點!H427="","",最佳化斷筋點!H427)</f>
        <v>10</v>
      </c>
      <c r="AH427" s="37">
        <f>IF(最佳化斷筋點!I427="","",最佳化斷筋點!I427)</f>
        <v>10</v>
      </c>
      <c r="AI427" s="37">
        <f>IF(最佳化斷筋點!J427="","",最佳化斷筋點!J427)</f>
        <v>9</v>
      </c>
      <c r="AJ427" s="37">
        <f>IF(最佳化斷筋點!K427="","",最佳化斷筋點!K427)</f>
        <v>4</v>
      </c>
      <c r="AK427" s="37">
        <f>IF(最佳化斷筋點!L427="","",最佳化斷筋點!L427)</f>
        <v>4</v>
      </c>
      <c r="AL427" s="37">
        <f>IF(最佳化斷筋點!M427="","",最佳化斷筋點!M427)</f>
        <v>4</v>
      </c>
      <c r="AM427" s="37">
        <f>IF(最佳化斷筋點!N427="","",最佳化斷筋點!N427)</f>
        <v>4</v>
      </c>
      <c r="AN427" s="37">
        <f>IF(最佳化斷筋點!O427="","",最佳化斷筋點!O427)</f>
        <v>4</v>
      </c>
      <c r="AO427" s="37">
        <f>IF(最佳化斷筋點!P427="","",最佳化斷筋點!P427)</f>
        <v>4</v>
      </c>
      <c r="AP427" s="37">
        <f>IF(最佳化斷筋點!Q427="","",最佳化斷筋點!Q427)</f>
        <v>8</v>
      </c>
      <c r="AQ427" s="37">
        <f>IF(最佳化斷筋點!R427="","",最佳化斷筋點!R427)</f>
        <v>9</v>
      </c>
      <c r="AR427" s="37">
        <f>IF(最佳化斷筋點!S427="","",最佳化斷筋點!S427)</f>
        <v>10</v>
      </c>
      <c r="AS427" s="37">
        <f>IF(最佳化斷筋點!T427="","",最佳化斷筋點!T427)</f>
        <v>11</v>
      </c>
      <c r="AT427" s="37">
        <f>IF(最佳化斷筋點!U427="","",最佳化斷筋點!U427)</f>
        <v>11</v>
      </c>
      <c r="AU427" s="37">
        <f>IF(最佳化斷筋點!V427="","",最佳化斷筋點!V427)</f>
        <v>11</v>
      </c>
      <c r="AV427" s="37">
        <f>IF(最佳化斷筋點!W427="","",最佳化斷筋點!W427)</f>
        <v>11</v>
      </c>
      <c r="AW427" s="37">
        <f>IF(最佳化斷筋點!X427="","",最佳化斷筋點!X427)</f>
        <v>11</v>
      </c>
      <c r="AY427" s="6" t="s">
        <v>20</v>
      </c>
      <c r="AZ427" s="37">
        <v>10</v>
      </c>
      <c r="BA427" s="37">
        <v>10</v>
      </c>
      <c r="BB427" s="37">
        <v>10</v>
      </c>
      <c r="BC427" s="37">
        <v>10</v>
      </c>
      <c r="BD427" s="37">
        <v>10</v>
      </c>
      <c r="BE427" s="37">
        <v>10</v>
      </c>
      <c r="BF427" s="37">
        <v>9</v>
      </c>
      <c r="BG427" s="37">
        <v>4</v>
      </c>
      <c r="BH427" s="37">
        <v>4</v>
      </c>
      <c r="BI427" s="37">
        <v>4</v>
      </c>
      <c r="BJ427" s="37">
        <v>4</v>
      </c>
      <c r="BK427" s="37">
        <v>4</v>
      </c>
      <c r="BL427" s="37">
        <v>4</v>
      </c>
      <c r="BM427" s="37">
        <v>8</v>
      </c>
      <c r="BN427" s="37">
        <v>9</v>
      </c>
      <c r="BO427" s="37">
        <v>10</v>
      </c>
      <c r="BP427" s="37">
        <v>11</v>
      </c>
      <c r="BQ427" s="37">
        <v>11</v>
      </c>
      <c r="BR427" s="37">
        <v>11</v>
      </c>
      <c r="BS427" s="37">
        <v>11</v>
      </c>
      <c r="BT427" s="37">
        <v>11</v>
      </c>
    </row>
    <row r="428" spans="5:72" x14ac:dyDescent="0.25">
      <c r="F428" s="6">
        <f t="shared" si="127"/>
        <v>0</v>
      </c>
      <c r="G428" s="6">
        <f t="shared" si="128"/>
        <v>0</v>
      </c>
      <c r="H428" s="6">
        <f t="shared" si="129"/>
        <v>0</v>
      </c>
      <c r="I428" s="6">
        <f t="shared" si="130"/>
        <v>0</v>
      </c>
      <c r="J428" s="6">
        <f t="shared" si="131"/>
        <v>0</v>
      </c>
      <c r="K428" s="6">
        <f t="shared" si="132"/>
        <v>0</v>
      </c>
      <c r="L428" s="6">
        <f t="shared" si="133"/>
        <v>0</v>
      </c>
      <c r="M428" s="6">
        <f t="shared" si="134"/>
        <v>0</v>
      </c>
      <c r="N428" s="6">
        <f t="shared" si="135"/>
        <v>0</v>
      </c>
      <c r="O428" s="6">
        <f t="shared" si="136"/>
        <v>0</v>
      </c>
      <c r="P428" s="6">
        <f t="shared" si="137"/>
        <v>0</v>
      </c>
      <c r="Q428" s="6">
        <f t="shared" si="138"/>
        <v>0</v>
      </c>
      <c r="R428" s="6">
        <f t="shared" si="139"/>
        <v>0</v>
      </c>
      <c r="S428" s="6">
        <f t="shared" si="140"/>
        <v>0</v>
      </c>
      <c r="T428" s="6">
        <f t="shared" si="141"/>
        <v>0</v>
      </c>
      <c r="U428" s="6">
        <f t="shared" si="142"/>
        <v>0</v>
      </c>
      <c r="V428" s="6">
        <f t="shared" si="143"/>
        <v>0</v>
      </c>
      <c r="W428" s="6">
        <f t="shared" si="144"/>
        <v>0</v>
      </c>
      <c r="X428" s="6">
        <f t="shared" si="145"/>
        <v>0</v>
      </c>
      <c r="Y428" s="6">
        <f t="shared" si="146"/>
        <v>0</v>
      </c>
      <c r="Z428" s="6">
        <f t="shared" si="147"/>
        <v>0</v>
      </c>
      <c r="AB428" s="36" t="str">
        <f>IF(最佳化斷筋點!C428="","",最佳化斷筋點!C428)</f>
        <v/>
      </c>
      <c r="AC428" s="37" t="str">
        <f>IF(最佳化斷筋點!D428="","",最佳化斷筋點!D428)</f>
        <v/>
      </c>
      <c r="AD428" s="37" t="str">
        <f>IF(最佳化斷筋點!E428="","",最佳化斷筋點!E428)</f>
        <v/>
      </c>
      <c r="AE428" s="37" t="str">
        <f>IF(最佳化斷筋點!F428="","",最佳化斷筋點!F428)</f>
        <v/>
      </c>
      <c r="AF428" s="37" t="str">
        <f>IF(最佳化斷筋點!G428="","",最佳化斷筋點!G428)</f>
        <v/>
      </c>
      <c r="AG428" s="37" t="str">
        <f>IF(最佳化斷筋點!H428="","",最佳化斷筋點!H428)</f>
        <v/>
      </c>
      <c r="AH428" s="37" t="str">
        <f>IF(最佳化斷筋點!I428="","",最佳化斷筋點!I428)</f>
        <v/>
      </c>
      <c r="AI428" s="37" t="str">
        <f>IF(最佳化斷筋點!J428="","",最佳化斷筋點!J428)</f>
        <v/>
      </c>
      <c r="AJ428" s="37" t="str">
        <f>IF(最佳化斷筋點!K428="","",最佳化斷筋點!K428)</f>
        <v/>
      </c>
      <c r="AK428" s="37" t="str">
        <f>IF(最佳化斷筋點!L428="","",最佳化斷筋點!L428)</f>
        <v/>
      </c>
      <c r="AL428" s="37" t="str">
        <f>IF(最佳化斷筋點!M428="","",最佳化斷筋點!M428)</f>
        <v/>
      </c>
      <c r="AM428" s="37" t="str">
        <f>IF(最佳化斷筋點!N428="","",最佳化斷筋點!N428)</f>
        <v/>
      </c>
      <c r="AN428" s="37" t="str">
        <f>IF(最佳化斷筋點!O428="","",最佳化斷筋點!O428)</f>
        <v/>
      </c>
      <c r="AO428" s="37" t="str">
        <f>IF(最佳化斷筋點!P428="","",最佳化斷筋點!P428)</f>
        <v/>
      </c>
      <c r="AP428" s="37" t="str">
        <f>IF(最佳化斷筋點!Q428="","",最佳化斷筋點!Q428)</f>
        <v/>
      </c>
      <c r="AQ428" s="37" t="str">
        <f>IF(最佳化斷筋點!R428="","",最佳化斷筋點!R428)</f>
        <v/>
      </c>
      <c r="AR428" s="37" t="str">
        <f>IF(最佳化斷筋點!S428="","",最佳化斷筋點!S428)</f>
        <v/>
      </c>
      <c r="AS428" s="37" t="str">
        <f>IF(最佳化斷筋點!T428="","",最佳化斷筋點!T428)</f>
        <v/>
      </c>
      <c r="AT428" s="37" t="str">
        <f>IF(最佳化斷筋點!U428="","",最佳化斷筋點!U428)</f>
        <v/>
      </c>
      <c r="AU428" s="37" t="str">
        <f>IF(最佳化斷筋點!V428="","",最佳化斷筋點!V428)</f>
        <v/>
      </c>
      <c r="AV428" s="37" t="str">
        <f>IF(最佳化斷筋點!W428="","",最佳化斷筋點!W428)</f>
        <v/>
      </c>
      <c r="AW428" s="37" t="str">
        <f>IF(最佳化斷筋點!X428="","",最佳化斷筋點!X428)</f>
        <v/>
      </c>
      <c r="AZ428" s="37" t="s">
        <v>197</v>
      </c>
      <c r="BA428" s="37" t="s">
        <v>197</v>
      </c>
      <c r="BB428" s="37" t="s">
        <v>197</v>
      </c>
      <c r="BC428" s="37" t="s">
        <v>197</v>
      </c>
      <c r="BD428" s="37" t="s">
        <v>197</v>
      </c>
      <c r="BE428" s="37" t="s">
        <v>197</v>
      </c>
      <c r="BF428" s="37" t="s">
        <v>197</v>
      </c>
      <c r="BG428" s="37" t="s">
        <v>197</v>
      </c>
      <c r="BH428" s="37" t="s">
        <v>197</v>
      </c>
      <c r="BI428" s="37" t="s">
        <v>197</v>
      </c>
      <c r="BJ428" s="37" t="s">
        <v>197</v>
      </c>
      <c r="BK428" s="37" t="s">
        <v>197</v>
      </c>
      <c r="BL428" s="37" t="s">
        <v>197</v>
      </c>
      <c r="BM428" s="37" t="s">
        <v>197</v>
      </c>
      <c r="BN428" s="37" t="s">
        <v>197</v>
      </c>
      <c r="BO428" s="37" t="s">
        <v>197</v>
      </c>
      <c r="BP428" s="37" t="s">
        <v>197</v>
      </c>
      <c r="BQ428" s="37" t="s">
        <v>197</v>
      </c>
      <c r="BR428" s="37" t="s">
        <v>197</v>
      </c>
      <c r="BS428" s="37" t="s">
        <v>197</v>
      </c>
      <c r="BT428" s="37" t="s">
        <v>197</v>
      </c>
    </row>
    <row r="429" spans="5:72" x14ac:dyDescent="0.25">
      <c r="E429" s="6" t="s">
        <v>21</v>
      </c>
      <c r="F429" s="6">
        <f t="shared" si="127"/>
        <v>0</v>
      </c>
      <c r="G429" s="6">
        <f t="shared" si="128"/>
        <v>0</v>
      </c>
      <c r="H429" s="6">
        <f t="shared" si="129"/>
        <v>0</v>
      </c>
      <c r="I429" s="6">
        <f t="shared" si="130"/>
        <v>0</v>
      </c>
      <c r="J429" s="6">
        <f t="shared" si="131"/>
        <v>0</v>
      </c>
      <c r="K429" s="6">
        <f t="shared" si="132"/>
        <v>0</v>
      </c>
      <c r="L429" s="6">
        <f t="shared" si="133"/>
        <v>0</v>
      </c>
      <c r="M429" s="6">
        <f t="shared" si="134"/>
        <v>0</v>
      </c>
      <c r="N429" s="6">
        <f t="shared" si="135"/>
        <v>0</v>
      </c>
      <c r="O429" s="6">
        <f t="shared" si="136"/>
        <v>0</v>
      </c>
      <c r="P429" s="6">
        <f t="shared" si="137"/>
        <v>0</v>
      </c>
      <c r="Q429" s="6">
        <f t="shared" si="138"/>
        <v>0</v>
      </c>
      <c r="R429" s="6">
        <f t="shared" si="139"/>
        <v>0</v>
      </c>
      <c r="S429" s="6">
        <f t="shared" si="140"/>
        <v>0</v>
      </c>
      <c r="T429" s="6">
        <f t="shared" si="141"/>
        <v>0</v>
      </c>
      <c r="U429" s="6">
        <f t="shared" si="142"/>
        <v>0</v>
      </c>
      <c r="V429" s="6">
        <f t="shared" si="143"/>
        <v>0</v>
      </c>
      <c r="W429" s="6">
        <f t="shared" si="144"/>
        <v>0</v>
      </c>
      <c r="X429" s="6">
        <f t="shared" si="145"/>
        <v>0</v>
      </c>
      <c r="Y429" s="6">
        <f t="shared" si="146"/>
        <v>0</v>
      </c>
      <c r="Z429" s="6">
        <f t="shared" si="147"/>
        <v>0</v>
      </c>
      <c r="AB429" s="36" t="str">
        <f>IF(最佳化斷筋點!C429="","",最佳化斷筋點!C429)</f>
        <v>下層</v>
      </c>
      <c r="AC429" s="37">
        <f>IF(最佳化斷筋點!D429="","",最佳化斷筋點!D429)</f>
        <v>8</v>
      </c>
      <c r="AD429" s="37">
        <f>IF(最佳化斷筋點!E429="","",最佳化斷筋點!E429)</f>
        <v>8</v>
      </c>
      <c r="AE429" s="37">
        <f>IF(最佳化斷筋點!F429="","",最佳化斷筋點!F429)</f>
        <v>8</v>
      </c>
      <c r="AF429" s="37">
        <f>IF(最佳化斷筋點!G429="","",最佳化斷筋點!G429)</f>
        <v>8</v>
      </c>
      <c r="AG429" s="37">
        <f>IF(最佳化斷筋點!H429="","",最佳化斷筋點!H429)</f>
        <v>8</v>
      </c>
      <c r="AH429" s="37">
        <f>IF(最佳化斷筋點!I429="","",最佳化斷筋點!I429)</f>
        <v>7</v>
      </c>
      <c r="AI429" s="37">
        <f>IF(最佳化斷筋點!J429="","",最佳化斷筋點!J429)</f>
        <v>6</v>
      </c>
      <c r="AJ429" s="37">
        <f>IF(最佳化斷筋點!K429="","",最佳化斷筋點!K429)</f>
        <v>4</v>
      </c>
      <c r="AK429" s="37">
        <f>IF(最佳化斷筋點!L429="","",最佳化斷筋點!L429)</f>
        <v>4</v>
      </c>
      <c r="AL429" s="37">
        <f>IF(最佳化斷筋點!M429="","",最佳化斷筋點!M429)</f>
        <v>4</v>
      </c>
      <c r="AM429" s="37">
        <f>IF(最佳化斷筋點!N429="","",最佳化斷筋點!N429)</f>
        <v>4</v>
      </c>
      <c r="AN429" s="37">
        <f>IF(最佳化斷筋點!O429="","",最佳化斷筋點!O429)</f>
        <v>4</v>
      </c>
      <c r="AO429" s="37">
        <f>IF(最佳化斷筋點!P429="","",最佳化斷筋點!P429)</f>
        <v>4</v>
      </c>
      <c r="AP429" s="37">
        <f>IF(最佳化斷筋點!Q429="","",最佳化斷筋點!Q429)</f>
        <v>4</v>
      </c>
      <c r="AQ429" s="37">
        <f>IF(最佳化斷筋點!R429="","",最佳化斷筋點!R429)</f>
        <v>4</v>
      </c>
      <c r="AR429" s="37">
        <f>IF(最佳化斷筋點!S429="","",最佳化斷筋點!S429)</f>
        <v>5</v>
      </c>
      <c r="AS429" s="37">
        <f>IF(最佳化斷筋點!T429="","",最佳化斷筋點!T429)</f>
        <v>5</v>
      </c>
      <c r="AT429" s="37">
        <f>IF(最佳化斷筋點!U429="","",最佳化斷筋點!U429)</f>
        <v>6</v>
      </c>
      <c r="AU429" s="37">
        <f>IF(最佳化斷筋點!V429="","",最佳化斷筋點!V429)</f>
        <v>6</v>
      </c>
      <c r="AV429" s="37">
        <f>IF(最佳化斷筋點!W429="","",最佳化斷筋點!W429)</f>
        <v>6</v>
      </c>
      <c r="AW429" s="37">
        <f>IF(最佳化斷筋點!X429="","",最佳化斷筋點!X429)</f>
        <v>6</v>
      </c>
      <c r="AY429" s="6" t="s">
        <v>21</v>
      </c>
      <c r="AZ429" s="37">
        <v>8</v>
      </c>
      <c r="BA429" s="37">
        <v>8</v>
      </c>
      <c r="BB429" s="37">
        <v>8</v>
      </c>
      <c r="BC429" s="37">
        <v>8</v>
      </c>
      <c r="BD429" s="37">
        <v>8</v>
      </c>
      <c r="BE429" s="37">
        <v>7</v>
      </c>
      <c r="BF429" s="37">
        <v>6</v>
      </c>
      <c r="BG429" s="37">
        <v>4</v>
      </c>
      <c r="BH429" s="37">
        <v>4</v>
      </c>
      <c r="BI429" s="37">
        <v>4</v>
      </c>
      <c r="BJ429" s="37">
        <v>4</v>
      </c>
      <c r="BK429" s="37">
        <v>4</v>
      </c>
      <c r="BL429" s="37">
        <v>4</v>
      </c>
      <c r="BM429" s="37">
        <v>4</v>
      </c>
      <c r="BN429" s="37">
        <v>4</v>
      </c>
      <c r="BO429" s="37">
        <v>5</v>
      </c>
      <c r="BP429" s="37">
        <v>5</v>
      </c>
      <c r="BQ429" s="37">
        <v>6</v>
      </c>
      <c r="BR429" s="37">
        <v>6</v>
      </c>
      <c r="BS429" s="37">
        <v>6</v>
      </c>
      <c r="BT429" s="37">
        <v>6</v>
      </c>
    </row>
    <row r="430" spans="5:72" x14ac:dyDescent="0.25">
      <c r="F430" s="6">
        <f t="shared" si="127"/>
        <v>0</v>
      </c>
      <c r="G430" s="6">
        <f t="shared" si="128"/>
        <v>0</v>
      </c>
      <c r="H430" s="6">
        <f t="shared" si="129"/>
        <v>0</v>
      </c>
      <c r="I430" s="6">
        <f t="shared" si="130"/>
        <v>0</v>
      </c>
      <c r="J430" s="6">
        <f t="shared" si="131"/>
        <v>0</v>
      </c>
      <c r="K430" s="6">
        <f t="shared" si="132"/>
        <v>0</v>
      </c>
      <c r="L430" s="6">
        <f t="shared" si="133"/>
        <v>0</v>
      </c>
      <c r="M430" s="6">
        <f t="shared" si="134"/>
        <v>0</v>
      </c>
      <c r="N430" s="6">
        <f t="shared" si="135"/>
        <v>0</v>
      </c>
      <c r="O430" s="6">
        <f t="shared" si="136"/>
        <v>0</v>
      </c>
      <c r="P430" s="6">
        <f t="shared" si="137"/>
        <v>0</v>
      </c>
      <c r="Q430" s="6">
        <f t="shared" si="138"/>
        <v>0</v>
      </c>
      <c r="R430" s="6">
        <f t="shared" si="139"/>
        <v>0</v>
      </c>
      <c r="S430" s="6">
        <f t="shared" si="140"/>
        <v>0</v>
      </c>
      <c r="T430" s="6">
        <f t="shared" si="141"/>
        <v>0</v>
      </c>
      <c r="U430" s="6">
        <f t="shared" si="142"/>
        <v>0</v>
      </c>
      <c r="V430" s="6">
        <f t="shared" si="143"/>
        <v>0</v>
      </c>
      <c r="W430" s="6">
        <f t="shared" si="144"/>
        <v>0</v>
      </c>
      <c r="X430" s="6">
        <f t="shared" si="145"/>
        <v>0</v>
      </c>
      <c r="Y430" s="6">
        <f t="shared" si="146"/>
        <v>0</v>
      </c>
      <c r="Z430" s="6">
        <f t="shared" si="147"/>
        <v>0</v>
      </c>
      <c r="AB430" s="36" t="str">
        <f>IF(最佳化斷筋點!C430="","",最佳化斷筋點!C430)</f>
        <v/>
      </c>
      <c r="AC430" s="37" t="str">
        <f>IF(最佳化斷筋點!D430="","",最佳化斷筋點!D430)</f>
        <v/>
      </c>
      <c r="AD430" s="37" t="str">
        <f>IF(最佳化斷筋點!E430="","",最佳化斷筋點!E430)</f>
        <v/>
      </c>
      <c r="AE430" s="37" t="str">
        <f>IF(最佳化斷筋點!F430="","",最佳化斷筋點!F430)</f>
        <v/>
      </c>
      <c r="AF430" s="37" t="str">
        <f>IF(最佳化斷筋點!G430="","",最佳化斷筋點!G430)</f>
        <v/>
      </c>
      <c r="AG430" s="37" t="str">
        <f>IF(最佳化斷筋點!H430="","",最佳化斷筋點!H430)</f>
        <v/>
      </c>
      <c r="AH430" s="37" t="str">
        <f>IF(最佳化斷筋點!I430="","",最佳化斷筋點!I430)</f>
        <v/>
      </c>
      <c r="AI430" s="37" t="str">
        <f>IF(最佳化斷筋點!J430="","",最佳化斷筋點!J430)</f>
        <v/>
      </c>
      <c r="AJ430" s="37" t="str">
        <f>IF(最佳化斷筋點!K430="","",最佳化斷筋點!K430)</f>
        <v/>
      </c>
      <c r="AK430" s="37" t="str">
        <f>IF(最佳化斷筋點!L430="","",最佳化斷筋點!L430)</f>
        <v/>
      </c>
      <c r="AL430" s="37" t="str">
        <f>IF(最佳化斷筋點!M430="","",最佳化斷筋點!M430)</f>
        <v/>
      </c>
      <c r="AM430" s="37" t="str">
        <f>IF(最佳化斷筋點!N430="","",最佳化斷筋點!N430)</f>
        <v/>
      </c>
      <c r="AN430" s="37" t="str">
        <f>IF(最佳化斷筋點!O430="","",最佳化斷筋點!O430)</f>
        <v/>
      </c>
      <c r="AO430" s="37" t="str">
        <f>IF(最佳化斷筋點!P430="","",最佳化斷筋點!P430)</f>
        <v/>
      </c>
      <c r="AP430" s="37" t="str">
        <f>IF(最佳化斷筋點!Q430="","",最佳化斷筋點!Q430)</f>
        <v/>
      </c>
      <c r="AQ430" s="37" t="str">
        <f>IF(最佳化斷筋點!R430="","",最佳化斷筋點!R430)</f>
        <v/>
      </c>
      <c r="AR430" s="37" t="str">
        <f>IF(最佳化斷筋點!S430="","",最佳化斷筋點!S430)</f>
        <v/>
      </c>
      <c r="AS430" s="37" t="str">
        <f>IF(最佳化斷筋點!T430="","",最佳化斷筋點!T430)</f>
        <v/>
      </c>
      <c r="AT430" s="37" t="str">
        <f>IF(最佳化斷筋點!U430="","",最佳化斷筋點!U430)</f>
        <v/>
      </c>
      <c r="AU430" s="37" t="str">
        <f>IF(最佳化斷筋點!V430="","",最佳化斷筋點!V430)</f>
        <v/>
      </c>
      <c r="AV430" s="37" t="str">
        <f>IF(最佳化斷筋點!W430="","",最佳化斷筋點!W430)</f>
        <v/>
      </c>
      <c r="AW430" s="37" t="str">
        <f>IF(最佳化斷筋點!X430="","",最佳化斷筋點!X430)</f>
        <v/>
      </c>
      <c r="AZ430" s="37" t="s">
        <v>197</v>
      </c>
      <c r="BA430" s="37" t="s">
        <v>197</v>
      </c>
      <c r="BB430" s="37" t="s">
        <v>197</v>
      </c>
      <c r="BC430" s="37" t="s">
        <v>197</v>
      </c>
      <c r="BD430" s="37" t="s">
        <v>197</v>
      </c>
      <c r="BE430" s="37" t="s">
        <v>197</v>
      </c>
      <c r="BF430" s="37" t="s">
        <v>197</v>
      </c>
      <c r="BG430" s="37" t="s">
        <v>197</v>
      </c>
      <c r="BH430" s="37" t="s">
        <v>197</v>
      </c>
      <c r="BI430" s="37" t="s">
        <v>197</v>
      </c>
      <c r="BJ430" s="37" t="s">
        <v>197</v>
      </c>
      <c r="BK430" s="37" t="s">
        <v>197</v>
      </c>
      <c r="BL430" s="37" t="s">
        <v>197</v>
      </c>
      <c r="BM430" s="37" t="s">
        <v>197</v>
      </c>
      <c r="BN430" s="37" t="s">
        <v>197</v>
      </c>
      <c r="BO430" s="37" t="s">
        <v>197</v>
      </c>
      <c r="BP430" s="37" t="s">
        <v>197</v>
      </c>
      <c r="BQ430" s="37" t="s">
        <v>197</v>
      </c>
      <c r="BR430" s="37" t="s">
        <v>197</v>
      </c>
      <c r="BS430" s="37" t="s">
        <v>197</v>
      </c>
      <c r="BT430" s="37" t="s">
        <v>197</v>
      </c>
    </row>
    <row r="431" spans="5:72" x14ac:dyDescent="0.25">
      <c r="E431" s="6" t="s">
        <v>20</v>
      </c>
      <c r="F431" s="6">
        <f t="shared" si="127"/>
        <v>0</v>
      </c>
      <c r="G431" s="6">
        <f t="shared" si="128"/>
        <v>0</v>
      </c>
      <c r="H431" s="6">
        <f t="shared" si="129"/>
        <v>0</v>
      </c>
      <c r="I431" s="6">
        <f t="shared" si="130"/>
        <v>0</v>
      </c>
      <c r="J431" s="6">
        <f t="shared" si="131"/>
        <v>0</v>
      </c>
      <c r="K431" s="6">
        <f t="shared" si="132"/>
        <v>0</v>
      </c>
      <c r="L431" s="6">
        <f t="shared" si="133"/>
        <v>0</v>
      </c>
      <c r="M431" s="6">
        <f t="shared" si="134"/>
        <v>0</v>
      </c>
      <c r="N431" s="6">
        <f t="shared" si="135"/>
        <v>0</v>
      </c>
      <c r="O431" s="6">
        <f t="shared" si="136"/>
        <v>0</v>
      </c>
      <c r="P431" s="6">
        <f t="shared" si="137"/>
        <v>0</v>
      </c>
      <c r="Q431" s="6">
        <f t="shared" si="138"/>
        <v>0</v>
      </c>
      <c r="R431" s="6">
        <f t="shared" si="139"/>
        <v>0</v>
      </c>
      <c r="S431" s="6">
        <f t="shared" si="140"/>
        <v>0</v>
      </c>
      <c r="T431" s="6">
        <f t="shared" si="141"/>
        <v>0</v>
      </c>
      <c r="U431" s="6">
        <f t="shared" si="142"/>
        <v>0</v>
      </c>
      <c r="V431" s="6">
        <f t="shared" si="143"/>
        <v>0</v>
      </c>
      <c r="W431" s="6">
        <f t="shared" si="144"/>
        <v>0</v>
      </c>
      <c r="X431" s="6">
        <f t="shared" si="145"/>
        <v>0</v>
      </c>
      <c r="Y431" s="6">
        <f t="shared" si="146"/>
        <v>0</v>
      </c>
      <c r="Z431" s="6">
        <f t="shared" si="147"/>
        <v>0</v>
      </c>
      <c r="AB431" s="36" t="str">
        <f>IF(最佳化斷筋點!C431="","",最佳化斷筋點!C431)</f>
        <v>上層</v>
      </c>
      <c r="AC431" s="37">
        <f>IF(最佳化斷筋點!D431="","",最佳化斷筋點!D431)</f>
        <v>11</v>
      </c>
      <c r="AD431" s="37">
        <f>IF(最佳化斷筋點!E431="","",最佳化斷筋點!E431)</f>
        <v>11</v>
      </c>
      <c r="AE431" s="37">
        <f>IF(最佳化斷筋點!F431="","",最佳化斷筋點!F431)</f>
        <v>11</v>
      </c>
      <c r="AF431" s="37">
        <f>IF(最佳化斷筋點!G431="","",最佳化斷筋點!G431)</f>
        <v>11</v>
      </c>
      <c r="AG431" s="37">
        <f>IF(最佳化斷筋點!H431="","",最佳化斷筋點!H431)</f>
        <v>10</v>
      </c>
      <c r="AH431" s="37">
        <f>IF(最佳化斷筋點!I431="","",最佳化斷筋點!I431)</f>
        <v>9</v>
      </c>
      <c r="AI431" s="37">
        <f>IF(最佳化斷筋點!J431="","",最佳化斷筋點!J431)</f>
        <v>8</v>
      </c>
      <c r="AJ431" s="37">
        <f>IF(最佳化斷筋點!K431="","",最佳化斷筋點!K431)</f>
        <v>5</v>
      </c>
      <c r="AK431" s="37">
        <f>IF(最佳化斷筋點!L431="","",最佳化斷筋點!L431)</f>
        <v>5</v>
      </c>
      <c r="AL431" s="37">
        <f>IF(最佳化斷筋點!M431="","",最佳化斷筋點!M431)</f>
        <v>5</v>
      </c>
      <c r="AM431" s="37">
        <f>IF(最佳化斷筋點!N431="","",最佳化斷筋點!N431)</f>
        <v>3</v>
      </c>
      <c r="AN431" s="37">
        <f>IF(最佳化斷筋點!O431="","",最佳化斷筋點!O431)</f>
        <v>5</v>
      </c>
      <c r="AO431" s="37">
        <f>IF(最佳化斷筋點!P431="","",最佳化斷筋點!P431)</f>
        <v>5</v>
      </c>
      <c r="AP431" s="37">
        <f>IF(最佳化斷筋點!Q431="","",最佳化斷筋點!Q431)</f>
        <v>8</v>
      </c>
      <c r="AQ431" s="37">
        <f>IF(最佳化斷筋點!R431="","",最佳化斷筋點!R431)</f>
        <v>9</v>
      </c>
      <c r="AR431" s="37">
        <f>IF(最佳化斷筋點!S431="","",最佳化斷筋點!S431)</f>
        <v>10</v>
      </c>
      <c r="AS431" s="37">
        <f>IF(最佳化斷筋點!T431="","",最佳化斷筋點!T431)</f>
        <v>11</v>
      </c>
      <c r="AT431" s="37">
        <f>IF(最佳化斷筋點!U431="","",最佳化斷筋點!U431)</f>
        <v>12</v>
      </c>
      <c r="AU431" s="37">
        <f>IF(最佳化斷筋點!V431="","",最佳化斷筋點!V431)</f>
        <v>12</v>
      </c>
      <c r="AV431" s="37">
        <f>IF(最佳化斷筋點!W431="","",最佳化斷筋點!W431)</f>
        <v>12</v>
      </c>
      <c r="AW431" s="37">
        <f>IF(最佳化斷筋點!X431="","",最佳化斷筋點!X431)</f>
        <v>12</v>
      </c>
      <c r="AY431" s="6" t="s">
        <v>20</v>
      </c>
      <c r="AZ431" s="37">
        <v>11</v>
      </c>
      <c r="BA431" s="37">
        <v>11</v>
      </c>
      <c r="BB431" s="37">
        <v>11</v>
      </c>
      <c r="BC431" s="37">
        <v>11</v>
      </c>
      <c r="BD431" s="37">
        <v>10</v>
      </c>
      <c r="BE431" s="37">
        <v>9</v>
      </c>
      <c r="BF431" s="37">
        <v>8</v>
      </c>
      <c r="BG431" s="37">
        <v>5</v>
      </c>
      <c r="BH431" s="37">
        <v>5</v>
      </c>
      <c r="BI431" s="37">
        <v>5</v>
      </c>
      <c r="BJ431" s="37">
        <v>3</v>
      </c>
      <c r="BK431" s="37">
        <v>5</v>
      </c>
      <c r="BL431" s="37">
        <v>5</v>
      </c>
      <c r="BM431" s="37">
        <v>8</v>
      </c>
      <c r="BN431" s="37">
        <v>9</v>
      </c>
      <c r="BO431" s="37">
        <v>10</v>
      </c>
      <c r="BP431" s="37">
        <v>11</v>
      </c>
      <c r="BQ431" s="37">
        <v>12</v>
      </c>
      <c r="BR431" s="37">
        <v>12</v>
      </c>
      <c r="BS431" s="37">
        <v>12</v>
      </c>
      <c r="BT431" s="37">
        <v>12</v>
      </c>
    </row>
    <row r="432" spans="5:72" x14ac:dyDescent="0.25">
      <c r="F432" s="6">
        <f t="shared" si="127"/>
        <v>0</v>
      </c>
      <c r="G432" s="6">
        <f t="shared" si="128"/>
        <v>0</v>
      </c>
      <c r="H432" s="6">
        <f t="shared" si="129"/>
        <v>0</v>
      </c>
      <c r="I432" s="6">
        <f t="shared" si="130"/>
        <v>0</v>
      </c>
      <c r="J432" s="6">
        <f t="shared" si="131"/>
        <v>0</v>
      </c>
      <c r="K432" s="6">
        <f t="shared" si="132"/>
        <v>0</v>
      </c>
      <c r="L432" s="6">
        <f t="shared" si="133"/>
        <v>0</v>
      </c>
      <c r="M432" s="6">
        <f t="shared" si="134"/>
        <v>0</v>
      </c>
      <c r="N432" s="6">
        <f t="shared" si="135"/>
        <v>0</v>
      </c>
      <c r="O432" s="6">
        <f t="shared" si="136"/>
        <v>0</v>
      </c>
      <c r="P432" s="6">
        <f t="shared" si="137"/>
        <v>0</v>
      </c>
      <c r="Q432" s="6">
        <f t="shared" si="138"/>
        <v>0</v>
      </c>
      <c r="R432" s="6">
        <f t="shared" si="139"/>
        <v>0</v>
      </c>
      <c r="S432" s="6">
        <f t="shared" si="140"/>
        <v>0</v>
      </c>
      <c r="T432" s="6">
        <f t="shared" si="141"/>
        <v>0</v>
      </c>
      <c r="U432" s="6">
        <f t="shared" si="142"/>
        <v>0</v>
      </c>
      <c r="V432" s="6">
        <f t="shared" si="143"/>
        <v>0</v>
      </c>
      <c r="W432" s="6">
        <f t="shared" si="144"/>
        <v>0</v>
      </c>
      <c r="X432" s="6">
        <f t="shared" si="145"/>
        <v>0</v>
      </c>
      <c r="Y432" s="6">
        <f t="shared" si="146"/>
        <v>0</v>
      </c>
      <c r="Z432" s="6">
        <f t="shared" si="147"/>
        <v>0</v>
      </c>
      <c r="AB432" s="36" t="str">
        <f>IF(最佳化斷筋點!C432="","",最佳化斷筋點!C432)</f>
        <v/>
      </c>
      <c r="AC432" s="37" t="str">
        <f>IF(最佳化斷筋點!D432="","",最佳化斷筋點!D432)</f>
        <v/>
      </c>
      <c r="AD432" s="37" t="str">
        <f>IF(最佳化斷筋點!E432="","",最佳化斷筋點!E432)</f>
        <v/>
      </c>
      <c r="AE432" s="37" t="str">
        <f>IF(最佳化斷筋點!F432="","",最佳化斷筋點!F432)</f>
        <v/>
      </c>
      <c r="AF432" s="37" t="str">
        <f>IF(最佳化斷筋點!G432="","",最佳化斷筋點!G432)</f>
        <v/>
      </c>
      <c r="AG432" s="37" t="str">
        <f>IF(最佳化斷筋點!H432="","",最佳化斷筋點!H432)</f>
        <v/>
      </c>
      <c r="AH432" s="37" t="str">
        <f>IF(最佳化斷筋點!I432="","",最佳化斷筋點!I432)</f>
        <v/>
      </c>
      <c r="AI432" s="37" t="str">
        <f>IF(最佳化斷筋點!J432="","",最佳化斷筋點!J432)</f>
        <v/>
      </c>
      <c r="AJ432" s="37" t="str">
        <f>IF(最佳化斷筋點!K432="","",最佳化斷筋點!K432)</f>
        <v/>
      </c>
      <c r="AK432" s="37" t="str">
        <f>IF(最佳化斷筋點!L432="","",最佳化斷筋點!L432)</f>
        <v/>
      </c>
      <c r="AL432" s="37" t="str">
        <f>IF(最佳化斷筋點!M432="","",最佳化斷筋點!M432)</f>
        <v/>
      </c>
      <c r="AM432" s="37" t="str">
        <f>IF(最佳化斷筋點!N432="","",最佳化斷筋點!N432)</f>
        <v/>
      </c>
      <c r="AN432" s="37" t="str">
        <f>IF(最佳化斷筋點!O432="","",最佳化斷筋點!O432)</f>
        <v/>
      </c>
      <c r="AO432" s="37" t="str">
        <f>IF(最佳化斷筋點!P432="","",最佳化斷筋點!P432)</f>
        <v/>
      </c>
      <c r="AP432" s="37" t="str">
        <f>IF(最佳化斷筋點!Q432="","",最佳化斷筋點!Q432)</f>
        <v/>
      </c>
      <c r="AQ432" s="37" t="str">
        <f>IF(最佳化斷筋點!R432="","",最佳化斷筋點!R432)</f>
        <v/>
      </c>
      <c r="AR432" s="37" t="str">
        <f>IF(最佳化斷筋點!S432="","",最佳化斷筋點!S432)</f>
        <v/>
      </c>
      <c r="AS432" s="37" t="str">
        <f>IF(最佳化斷筋點!T432="","",最佳化斷筋點!T432)</f>
        <v/>
      </c>
      <c r="AT432" s="37" t="str">
        <f>IF(最佳化斷筋點!U432="","",最佳化斷筋點!U432)</f>
        <v/>
      </c>
      <c r="AU432" s="37" t="str">
        <f>IF(最佳化斷筋點!V432="","",最佳化斷筋點!V432)</f>
        <v/>
      </c>
      <c r="AV432" s="37" t="str">
        <f>IF(最佳化斷筋點!W432="","",最佳化斷筋點!W432)</f>
        <v/>
      </c>
      <c r="AW432" s="37" t="str">
        <f>IF(最佳化斷筋點!X432="","",最佳化斷筋點!X432)</f>
        <v/>
      </c>
      <c r="AZ432" s="37" t="s">
        <v>197</v>
      </c>
      <c r="BA432" s="37" t="s">
        <v>197</v>
      </c>
      <c r="BB432" s="37" t="s">
        <v>197</v>
      </c>
      <c r="BC432" s="37" t="s">
        <v>197</v>
      </c>
      <c r="BD432" s="37" t="s">
        <v>197</v>
      </c>
      <c r="BE432" s="37" t="s">
        <v>197</v>
      </c>
      <c r="BF432" s="37" t="s">
        <v>197</v>
      </c>
      <c r="BG432" s="37" t="s">
        <v>197</v>
      </c>
      <c r="BH432" s="37" t="s">
        <v>197</v>
      </c>
      <c r="BI432" s="37" t="s">
        <v>197</v>
      </c>
      <c r="BJ432" s="37" t="s">
        <v>197</v>
      </c>
      <c r="BK432" s="37" t="s">
        <v>197</v>
      </c>
      <c r="BL432" s="37" t="s">
        <v>197</v>
      </c>
      <c r="BM432" s="37" t="s">
        <v>197</v>
      </c>
      <c r="BN432" s="37" t="s">
        <v>197</v>
      </c>
      <c r="BO432" s="37" t="s">
        <v>197</v>
      </c>
      <c r="BP432" s="37" t="s">
        <v>197</v>
      </c>
      <c r="BQ432" s="37" t="s">
        <v>197</v>
      </c>
      <c r="BR432" s="37" t="s">
        <v>197</v>
      </c>
      <c r="BS432" s="37" t="s">
        <v>197</v>
      </c>
      <c r="BT432" s="37" t="s">
        <v>197</v>
      </c>
    </row>
    <row r="433" spans="5:72" x14ac:dyDescent="0.25">
      <c r="E433" s="6" t="s">
        <v>21</v>
      </c>
      <c r="F433" s="6">
        <f t="shared" si="127"/>
        <v>0</v>
      </c>
      <c r="G433" s="6">
        <f t="shared" si="128"/>
        <v>0</v>
      </c>
      <c r="H433" s="6">
        <f t="shared" si="129"/>
        <v>0</v>
      </c>
      <c r="I433" s="6">
        <f t="shared" si="130"/>
        <v>0</v>
      </c>
      <c r="J433" s="6">
        <f t="shared" si="131"/>
        <v>0</v>
      </c>
      <c r="K433" s="6">
        <f t="shared" si="132"/>
        <v>0</v>
      </c>
      <c r="L433" s="6">
        <f t="shared" si="133"/>
        <v>0</v>
      </c>
      <c r="M433" s="6">
        <f t="shared" si="134"/>
        <v>0</v>
      </c>
      <c r="N433" s="6">
        <f t="shared" si="135"/>
        <v>0</v>
      </c>
      <c r="O433" s="6">
        <f t="shared" si="136"/>
        <v>0</v>
      </c>
      <c r="P433" s="6">
        <f t="shared" si="137"/>
        <v>0</v>
      </c>
      <c r="Q433" s="6">
        <f t="shared" si="138"/>
        <v>0</v>
      </c>
      <c r="R433" s="6">
        <f t="shared" si="139"/>
        <v>0</v>
      </c>
      <c r="S433" s="6">
        <f t="shared" si="140"/>
        <v>0</v>
      </c>
      <c r="T433" s="6">
        <f t="shared" si="141"/>
        <v>0</v>
      </c>
      <c r="U433" s="6">
        <f t="shared" si="142"/>
        <v>0</v>
      </c>
      <c r="V433" s="6">
        <f t="shared" si="143"/>
        <v>0</v>
      </c>
      <c r="W433" s="6">
        <f t="shared" si="144"/>
        <v>0</v>
      </c>
      <c r="X433" s="6">
        <f t="shared" si="145"/>
        <v>0</v>
      </c>
      <c r="Y433" s="6">
        <f t="shared" si="146"/>
        <v>0</v>
      </c>
      <c r="Z433" s="6">
        <f t="shared" si="147"/>
        <v>0</v>
      </c>
      <c r="AB433" s="36" t="str">
        <f>IF(最佳化斷筋點!C433="","",最佳化斷筋點!C433)</f>
        <v>下層</v>
      </c>
      <c r="AC433" s="37">
        <f>IF(最佳化斷筋點!D433="","",最佳化斷筋點!D433)</f>
        <v>7</v>
      </c>
      <c r="AD433" s="37">
        <f>IF(最佳化斷筋點!E433="","",最佳化斷筋點!E433)</f>
        <v>7</v>
      </c>
      <c r="AE433" s="37">
        <f>IF(最佳化斷筋點!F433="","",最佳化斷筋點!F433)</f>
        <v>7</v>
      </c>
      <c r="AF433" s="37">
        <f>IF(最佳化斷筋點!G433="","",最佳化斷筋點!G433)</f>
        <v>7</v>
      </c>
      <c r="AG433" s="37">
        <f>IF(最佳化斷筋點!H433="","",最佳化斷筋點!H433)</f>
        <v>6</v>
      </c>
      <c r="AH433" s="37">
        <f>IF(最佳化斷筋點!I433="","",最佳化斷筋點!I433)</f>
        <v>6</v>
      </c>
      <c r="AI433" s="37">
        <f>IF(最佳化斷筋點!J433="","",最佳化斷筋點!J433)</f>
        <v>5</v>
      </c>
      <c r="AJ433" s="37">
        <f>IF(最佳化斷筋點!K433="","",最佳化斷筋點!K433)</f>
        <v>4</v>
      </c>
      <c r="AK433" s="37">
        <f>IF(最佳化斷筋點!L433="","",最佳化斷筋點!L433)</f>
        <v>4</v>
      </c>
      <c r="AL433" s="37">
        <f>IF(最佳化斷筋點!M433="","",最佳化斷筋點!M433)</f>
        <v>4</v>
      </c>
      <c r="AM433" s="37">
        <f>IF(最佳化斷筋點!N433="","",最佳化斷筋點!N433)</f>
        <v>4</v>
      </c>
      <c r="AN433" s="37">
        <f>IF(最佳化斷筋點!O433="","",最佳化斷筋點!O433)</f>
        <v>4</v>
      </c>
      <c r="AO433" s="37">
        <f>IF(最佳化斷筋點!P433="","",最佳化斷筋點!P433)</f>
        <v>4</v>
      </c>
      <c r="AP433" s="37">
        <f>IF(最佳化斷筋點!Q433="","",最佳化斷筋點!Q433)</f>
        <v>4</v>
      </c>
      <c r="AQ433" s="37">
        <f>IF(最佳化斷筋點!R433="","",最佳化斷筋點!R433)</f>
        <v>4</v>
      </c>
      <c r="AR433" s="37">
        <f>IF(最佳化斷筋點!S433="","",最佳化斷筋點!S433)</f>
        <v>5</v>
      </c>
      <c r="AS433" s="37">
        <f>IF(最佳化斷筋點!T433="","",最佳化斷筋點!T433)</f>
        <v>6</v>
      </c>
      <c r="AT433" s="37">
        <f>IF(最佳化斷筋點!U433="","",最佳化斷筋點!U433)</f>
        <v>6</v>
      </c>
      <c r="AU433" s="37">
        <f>IF(最佳化斷筋點!V433="","",最佳化斷筋點!V433)</f>
        <v>7</v>
      </c>
      <c r="AV433" s="37">
        <f>IF(最佳化斷筋點!W433="","",最佳化斷筋點!W433)</f>
        <v>7</v>
      </c>
      <c r="AW433" s="37">
        <f>IF(最佳化斷筋點!X433="","",最佳化斷筋點!X433)</f>
        <v>7</v>
      </c>
      <c r="AY433" s="6" t="s">
        <v>21</v>
      </c>
      <c r="AZ433" s="37">
        <v>7</v>
      </c>
      <c r="BA433" s="37">
        <v>7</v>
      </c>
      <c r="BB433" s="37">
        <v>7</v>
      </c>
      <c r="BC433" s="37">
        <v>7</v>
      </c>
      <c r="BD433" s="37">
        <v>6</v>
      </c>
      <c r="BE433" s="37">
        <v>6</v>
      </c>
      <c r="BF433" s="37">
        <v>5</v>
      </c>
      <c r="BG433" s="37">
        <v>4</v>
      </c>
      <c r="BH433" s="37">
        <v>4</v>
      </c>
      <c r="BI433" s="37">
        <v>4</v>
      </c>
      <c r="BJ433" s="37">
        <v>4</v>
      </c>
      <c r="BK433" s="37">
        <v>4</v>
      </c>
      <c r="BL433" s="37">
        <v>4</v>
      </c>
      <c r="BM433" s="37">
        <v>4</v>
      </c>
      <c r="BN433" s="37">
        <v>4</v>
      </c>
      <c r="BO433" s="37">
        <v>5</v>
      </c>
      <c r="BP433" s="37">
        <v>6</v>
      </c>
      <c r="BQ433" s="37">
        <v>6</v>
      </c>
      <c r="BR433" s="37">
        <v>7</v>
      </c>
      <c r="BS433" s="37">
        <v>7</v>
      </c>
      <c r="BT433" s="37">
        <v>7</v>
      </c>
    </row>
    <row r="434" spans="5:72" x14ac:dyDescent="0.25">
      <c r="F434" s="6">
        <f t="shared" si="127"/>
        <v>0</v>
      </c>
      <c r="G434" s="6">
        <f t="shared" si="128"/>
        <v>0</v>
      </c>
      <c r="H434" s="6">
        <f t="shared" si="129"/>
        <v>0</v>
      </c>
      <c r="I434" s="6">
        <f t="shared" si="130"/>
        <v>0</v>
      </c>
      <c r="J434" s="6">
        <f t="shared" si="131"/>
        <v>0</v>
      </c>
      <c r="K434" s="6">
        <f t="shared" si="132"/>
        <v>0</v>
      </c>
      <c r="L434" s="6">
        <f t="shared" si="133"/>
        <v>0</v>
      </c>
      <c r="M434" s="6">
        <f t="shared" si="134"/>
        <v>0</v>
      </c>
      <c r="N434" s="6">
        <f t="shared" si="135"/>
        <v>0</v>
      </c>
      <c r="O434" s="6">
        <f t="shared" si="136"/>
        <v>0</v>
      </c>
      <c r="P434" s="6">
        <f t="shared" si="137"/>
        <v>0</v>
      </c>
      <c r="Q434" s="6">
        <f t="shared" si="138"/>
        <v>0</v>
      </c>
      <c r="R434" s="6">
        <f t="shared" si="139"/>
        <v>0</v>
      </c>
      <c r="S434" s="6">
        <f t="shared" si="140"/>
        <v>0</v>
      </c>
      <c r="T434" s="6">
        <f t="shared" si="141"/>
        <v>0</v>
      </c>
      <c r="U434" s="6">
        <f t="shared" si="142"/>
        <v>0</v>
      </c>
      <c r="V434" s="6">
        <f t="shared" si="143"/>
        <v>0</v>
      </c>
      <c r="W434" s="6">
        <f t="shared" si="144"/>
        <v>0</v>
      </c>
      <c r="X434" s="6">
        <f t="shared" si="145"/>
        <v>0</v>
      </c>
      <c r="Y434" s="6">
        <f t="shared" si="146"/>
        <v>0</v>
      </c>
      <c r="Z434" s="6">
        <f t="shared" si="147"/>
        <v>0</v>
      </c>
      <c r="AB434" s="36" t="str">
        <f>IF(最佳化斷筋點!C434="","",最佳化斷筋點!C434)</f>
        <v/>
      </c>
      <c r="AC434" s="37" t="str">
        <f>IF(最佳化斷筋點!D434="","",最佳化斷筋點!D434)</f>
        <v/>
      </c>
      <c r="AD434" s="37" t="str">
        <f>IF(最佳化斷筋點!E434="","",最佳化斷筋點!E434)</f>
        <v/>
      </c>
      <c r="AE434" s="37" t="str">
        <f>IF(最佳化斷筋點!F434="","",最佳化斷筋點!F434)</f>
        <v/>
      </c>
      <c r="AF434" s="37" t="str">
        <f>IF(最佳化斷筋點!G434="","",最佳化斷筋點!G434)</f>
        <v/>
      </c>
      <c r="AG434" s="37" t="str">
        <f>IF(最佳化斷筋點!H434="","",最佳化斷筋點!H434)</f>
        <v/>
      </c>
      <c r="AH434" s="37" t="str">
        <f>IF(最佳化斷筋點!I434="","",最佳化斷筋點!I434)</f>
        <v/>
      </c>
      <c r="AI434" s="37" t="str">
        <f>IF(最佳化斷筋點!J434="","",最佳化斷筋點!J434)</f>
        <v/>
      </c>
      <c r="AJ434" s="37" t="str">
        <f>IF(最佳化斷筋點!K434="","",最佳化斷筋點!K434)</f>
        <v/>
      </c>
      <c r="AK434" s="37" t="str">
        <f>IF(最佳化斷筋點!L434="","",最佳化斷筋點!L434)</f>
        <v/>
      </c>
      <c r="AL434" s="37" t="str">
        <f>IF(最佳化斷筋點!M434="","",最佳化斷筋點!M434)</f>
        <v/>
      </c>
      <c r="AM434" s="37" t="str">
        <f>IF(最佳化斷筋點!N434="","",最佳化斷筋點!N434)</f>
        <v/>
      </c>
      <c r="AN434" s="37" t="str">
        <f>IF(最佳化斷筋點!O434="","",最佳化斷筋點!O434)</f>
        <v/>
      </c>
      <c r="AO434" s="37" t="str">
        <f>IF(最佳化斷筋點!P434="","",最佳化斷筋點!P434)</f>
        <v/>
      </c>
      <c r="AP434" s="37" t="str">
        <f>IF(最佳化斷筋點!Q434="","",最佳化斷筋點!Q434)</f>
        <v/>
      </c>
      <c r="AQ434" s="37" t="str">
        <f>IF(最佳化斷筋點!R434="","",最佳化斷筋點!R434)</f>
        <v/>
      </c>
      <c r="AR434" s="37" t="str">
        <f>IF(最佳化斷筋點!S434="","",最佳化斷筋點!S434)</f>
        <v/>
      </c>
      <c r="AS434" s="37" t="str">
        <f>IF(最佳化斷筋點!T434="","",最佳化斷筋點!T434)</f>
        <v/>
      </c>
      <c r="AT434" s="37" t="str">
        <f>IF(最佳化斷筋點!U434="","",最佳化斷筋點!U434)</f>
        <v/>
      </c>
      <c r="AU434" s="37" t="str">
        <f>IF(最佳化斷筋點!V434="","",最佳化斷筋點!V434)</f>
        <v/>
      </c>
      <c r="AV434" s="37" t="str">
        <f>IF(最佳化斷筋點!W434="","",最佳化斷筋點!W434)</f>
        <v/>
      </c>
      <c r="AW434" s="37" t="str">
        <f>IF(最佳化斷筋點!X434="","",最佳化斷筋點!X434)</f>
        <v/>
      </c>
      <c r="AZ434" s="37" t="s">
        <v>197</v>
      </c>
      <c r="BA434" s="37" t="s">
        <v>197</v>
      </c>
      <c r="BB434" s="37" t="s">
        <v>197</v>
      </c>
      <c r="BC434" s="37" t="s">
        <v>197</v>
      </c>
      <c r="BD434" s="37" t="s">
        <v>197</v>
      </c>
      <c r="BE434" s="37" t="s">
        <v>197</v>
      </c>
      <c r="BF434" s="37" t="s">
        <v>197</v>
      </c>
      <c r="BG434" s="37" t="s">
        <v>197</v>
      </c>
      <c r="BH434" s="37" t="s">
        <v>197</v>
      </c>
      <c r="BI434" s="37" t="s">
        <v>197</v>
      </c>
      <c r="BJ434" s="37" t="s">
        <v>197</v>
      </c>
      <c r="BK434" s="37" t="s">
        <v>197</v>
      </c>
      <c r="BL434" s="37" t="s">
        <v>197</v>
      </c>
      <c r="BM434" s="37" t="s">
        <v>197</v>
      </c>
      <c r="BN434" s="37" t="s">
        <v>197</v>
      </c>
      <c r="BO434" s="37" t="s">
        <v>197</v>
      </c>
      <c r="BP434" s="37" t="s">
        <v>197</v>
      </c>
      <c r="BQ434" s="37" t="s">
        <v>197</v>
      </c>
      <c r="BR434" s="37" t="s">
        <v>197</v>
      </c>
      <c r="BS434" s="37" t="s">
        <v>197</v>
      </c>
      <c r="BT434" s="37" t="s">
        <v>197</v>
      </c>
    </row>
    <row r="435" spans="5:72" x14ac:dyDescent="0.25">
      <c r="E435" s="6" t="s">
        <v>20</v>
      </c>
      <c r="F435" s="6">
        <f t="shared" si="127"/>
        <v>0</v>
      </c>
      <c r="G435" s="6">
        <f t="shared" si="128"/>
        <v>0</v>
      </c>
      <c r="H435" s="6">
        <f t="shared" si="129"/>
        <v>0</v>
      </c>
      <c r="I435" s="6">
        <f t="shared" si="130"/>
        <v>0</v>
      </c>
      <c r="J435" s="6">
        <f t="shared" si="131"/>
        <v>0</v>
      </c>
      <c r="K435" s="6">
        <f t="shared" si="132"/>
        <v>0</v>
      </c>
      <c r="L435" s="6">
        <f t="shared" si="133"/>
        <v>0</v>
      </c>
      <c r="M435" s="6">
        <f t="shared" si="134"/>
        <v>0</v>
      </c>
      <c r="N435" s="6">
        <f t="shared" si="135"/>
        <v>0</v>
      </c>
      <c r="O435" s="6">
        <f t="shared" si="136"/>
        <v>0</v>
      </c>
      <c r="P435" s="6">
        <f t="shared" si="137"/>
        <v>0</v>
      </c>
      <c r="Q435" s="6">
        <f t="shared" si="138"/>
        <v>0</v>
      </c>
      <c r="R435" s="6">
        <f t="shared" si="139"/>
        <v>0</v>
      </c>
      <c r="S435" s="6">
        <f t="shared" si="140"/>
        <v>0</v>
      </c>
      <c r="T435" s="6">
        <f t="shared" si="141"/>
        <v>0</v>
      </c>
      <c r="U435" s="6">
        <f t="shared" si="142"/>
        <v>0</v>
      </c>
      <c r="V435" s="6">
        <f t="shared" si="143"/>
        <v>0</v>
      </c>
      <c r="W435" s="6">
        <f t="shared" si="144"/>
        <v>0</v>
      </c>
      <c r="X435" s="6">
        <f t="shared" si="145"/>
        <v>0</v>
      </c>
      <c r="Y435" s="6">
        <f t="shared" si="146"/>
        <v>0</v>
      </c>
      <c r="Z435" s="6">
        <f t="shared" si="147"/>
        <v>0</v>
      </c>
      <c r="AB435" s="36" t="str">
        <f>IF(最佳化斷筋點!C435="","",最佳化斷筋點!C435)</f>
        <v>上層</v>
      </c>
      <c r="AC435" s="37">
        <f>IF(最佳化斷筋點!D435="","",最佳化斷筋點!D435)</f>
        <v>11</v>
      </c>
      <c r="AD435" s="37">
        <f>IF(最佳化斷筋點!E435="","",最佳化斷筋點!E435)</f>
        <v>11</v>
      </c>
      <c r="AE435" s="37">
        <f>IF(最佳化斷筋點!F435="","",最佳化斷筋點!F435)</f>
        <v>11</v>
      </c>
      <c r="AF435" s="37">
        <f>IF(最佳化斷筋點!G435="","",最佳化斷筋點!G435)</f>
        <v>11</v>
      </c>
      <c r="AG435" s="37">
        <f>IF(最佳化斷筋點!H435="","",最佳化斷筋點!H435)</f>
        <v>10</v>
      </c>
      <c r="AH435" s="37">
        <f>IF(最佳化斷筋點!I435="","",最佳化斷筋點!I435)</f>
        <v>9</v>
      </c>
      <c r="AI435" s="37">
        <f>IF(最佳化斷筋點!J435="","",最佳化斷筋點!J435)</f>
        <v>8</v>
      </c>
      <c r="AJ435" s="37">
        <f>IF(最佳化斷筋點!K435="","",最佳化斷筋點!K435)</f>
        <v>5</v>
      </c>
      <c r="AK435" s="37">
        <f>IF(最佳化斷筋點!L435="","",最佳化斷筋點!L435)</f>
        <v>5</v>
      </c>
      <c r="AL435" s="37">
        <f>IF(最佳化斷筋點!M435="","",最佳化斷筋點!M435)</f>
        <v>5</v>
      </c>
      <c r="AM435" s="37">
        <f>IF(最佳化斷筋點!N435="","",最佳化斷筋點!N435)</f>
        <v>3</v>
      </c>
      <c r="AN435" s="37">
        <f>IF(最佳化斷筋點!O435="","",最佳化斷筋點!O435)</f>
        <v>5</v>
      </c>
      <c r="AO435" s="37">
        <f>IF(最佳化斷筋點!P435="","",最佳化斷筋點!P435)</f>
        <v>5</v>
      </c>
      <c r="AP435" s="37">
        <f>IF(最佳化斷筋點!Q435="","",最佳化斷筋點!Q435)</f>
        <v>8</v>
      </c>
      <c r="AQ435" s="37">
        <f>IF(最佳化斷筋點!R435="","",最佳化斷筋點!R435)</f>
        <v>9</v>
      </c>
      <c r="AR435" s="37">
        <f>IF(最佳化斷筋點!S435="","",最佳化斷筋點!S435)</f>
        <v>10</v>
      </c>
      <c r="AS435" s="37">
        <f>IF(最佳化斷筋點!T435="","",最佳化斷筋點!T435)</f>
        <v>11</v>
      </c>
      <c r="AT435" s="37">
        <f>IF(最佳化斷筋點!U435="","",最佳化斷筋點!U435)</f>
        <v>12</v>
      </c>
      <c r="AU435" s="37">
        <f>IF(最佳化斷筋點!V435="","",最佳化斷筋點!V435)</f>
        <v>12</v>
      </c>
      <c r="AV435" s="37">
        <f>IF(最佳化斷筋點!W435="","",最佳化斷筋點!W435)</f>
        <v>12</v>
      </c>
      <c r="AW435" s="37">
        <f>IF(最佳化斷筋點!X435="","",最佳化斷筋點!X435)</f>
        <v>12</v>
      </c>
      <c r="AY435" s="6" t="s">
        <v>20</v>
      </c>
      <c r="AZ435" s="37">
        <v>11</v>
      </c>
      <c r="BA435" s="37">
        <v>11</v>
      </c>
      <c r="BB435" s="37">
        <v>11</v>
      </c>
      <c r="BC435" s="37">
        <v>11</v>
      </c>
      <c r="BD435" s="37">
        <v>10</v>
      </c>
      <c r="BE435" s="37">
        <v>9</v>
      </c>
      <c r="BF435" s="37">
        <v>8</v>
      </c>
      <c r="BG435" s="37">
        <v>5</v>
      </c>
      <c r="BH435" s="37">
        <v>5</v>
      </c>
      <c r="BI435" s="37">
        <v>5</v>
      </c>
      <c r="BJ435" s="37">
        <v>3</v>
      </c>
      <c r="BK435" s="37">
        <v>5</v>
      </c>
      <c r="BL435" s="37">
        <v>5</v>
      </c>
      <c r="BM435" s="37">
        <v>8</v>
      </c>
      <c r="BN435" s="37">
        <v>9</v>
      </c>
      <c r="BO435" s="37">
        <v>10</v>
      </c>
      <c r="BP435" s="37">
        <v>11</v>
      </c>
      <c r="BQ435" s="37">
        <v>12</v>
      </c>
      <c r="BR435" s="37">
        <v>12</v>
      </c>
      <c r="BS435" s="37">
        <v>12</v>
      </c>
      <c r="BT435" s="37">
        <v>12</v>
      </c>
    </row>
    <row r="436" spans="5:72" x14ac:dyDescent="0.25">
      <c r="F436" s="6">
        <f t="shared" si="127"/>
        <v>0</v>
      </c>
      <c r="G436" s="6">
        <f t="shared" si="128"/>
        <v>0</v>
      </c>
      <c r="H436" s="6">
        <f t="shared" si="129"/>
        <v>0</v>
      </c>
      <c r="I436" s="6">
        <f t="shared" si="130"/>
        <v>0</v>
      </c>
      <c r="J436" s="6">
        <f t="shared" si="131"/>
        <v>0</v>
      </c>
      <c r="K436" s="6">
        <f t="shared" si="132"/>
        <v>0</v>
      </c>
      <c r="L436" s="6">
        <f t="shared" si="133"/>
        <v>0</v>
      </c>
      <c r="M436" s="6">
        <f t="shared" si="134"/>
        <v>0</v>
      </c>
      <c r="N436" s="6">
        <f t="shared" si="135"/>
        <v>0</v>
      </c>
      <c r="O436" s="6">
        <f t="shared" si="136"/>
        <v>0</v>
      </c>
      <c r="P436" s="6">
        <f t="shared" si="137"/>
        <v>0</v>
      </c>
      <c r="Q436" s="6">
        <f t="shared" si="138"/>
        <v>0</v>
      </c>
      <c r="R436" s="6">
        <f t="shared" si="139"/>
        <v>0</v>
      </c>
      <c r="S436" s="6">
        <f t="shared" si="140"/>
        <v>0</v>
      </c>
      <c r="T436" s="6">
        <f t="shared" si="141"/>
        <v>0</v>
      </c>
      <c r="U436" s="6">
        <f t="shared" si="142"/>
        <v>0</v>
      </c>
      <c r="V436" s="6">
        <f t="shared" si="143"/>
        <v>0</v>
      </c>
      <c r="W436" s="6">
        <f t="shared" si="144"/>
        <v>0</v>
      </c>
      <c r="X436" s="6">
        <f t="shared" si="145"/>
        <v>0</v>
      </c>
      <c r="Y436" s="6">
        <f t="shared" si="146"/>
        <v>0</v>
      </c>
      <c r="Z436" s="6">
        <f t="shared" si="147"/>
        <v>0</v>
      </c>
      <c r="AB436" s="36" t="str">
        <f>IF(最佳化斷筋點!C436="","",最佳化斷筋點!C436)</f>
        <v/>
      </c>
      <c r="AC436" s="37" t="str">
        <f>IF(最佳化斷筋點!D436="","",最佳化斷筋點!D436)</f>
        <v/>
      </c>
      <c r="AD436" s="37" t="str">
        <f>IF(最佳化斷筋點!E436="","",最佳化斷筋點!E436)</f>
        <v/>
      </c>
      <c r="AE436" s="37" t="str">
        <f>IF(最佳化斷筋點!F436="","",最佳化斷筋點!F436)</f>
        <v/>
      </c>
      <c r="AF436" s="37" t="str">
        <f>IF(最佳化斷筋點!G436="","",最佳化斷筋點!G436)</f>
        <v/>
      </c>
      <c r="AG436" s="37" t="str">
        <f>IF(最佳化斷筋點!H436="","",最佳化斷筋點!H436)</f>
        <v/>
      </c>
      <c r="AH436" s="37" t="str">
        <f>IF(最佳化斷筋點!I436="","",最佳化斷筋點!I436)</f>
        <v/>
      </c>
      <c r="AI436" s="37" t="str">
        <f>IF(最佳化斷筋點!J436="","",最佳化斷筋點!J436)</f>
        <v/>
      </c>
      <c r="AJ436" s="37" t="str">
        <f>IF(最佳化斷筋點!K436="","",最佳化斷筋點!K436)</f>
        <v/>
      </c>
      <c r="AK436" s="37" t="str">
        <f>IF(最佳化斷筋點!L436="","",最佳化斷筋點!L436)</f>
        <v/>
      </c>
      <c r="AL436" s="37" t="str">
        <f>IF(最佳化斷筋點!M436="","",最佳化斷筋點!M436)</f>
        <v/>
      </c>
      <c r="AM436" s="37" t="str">
        <f>IF(最佳化斷筋點!N436="","",最佳化斷筋點!N436)</f>
        <v/>
      </c>
      <c r="AN436" s="37" t="str">
        <f>IF(最佳化斷筋點!O436="","",最佳化斷筋點!O436)</f>
        <v/>
      </c>
      <c r="AO436" s="37" t="str">
        <f>IF(最佳化斷筋點!P436="","",最佳化斷筋點!P436)</f>
        <v/>
      </c>
      <c r="AP436" s="37" t="str">
        <f>IF(最佳化斷筋點!Q436="","",最佳化斷筋點!Q436)</f>
        <v/>
      </c>
      <c r="AQ436" s="37" t="str">
        <f>IF(最佳化斷筋點!R436="","",最佳化斷筋點!R436)</f>
        <v/>
      </c>
      <c r="AR436" s="37" t="str">
        <f>IF(最佳化斷筋點!S436="","",最佳化斷筋點!S436)</f>
        <v/>
      </c>
      <c r="AS436" s="37" t="str">
        <f>IF(最佳化斷筋點!T436="","",最佳化斷筋點!T436)</f>
        <v/>
      </c>
      <c r="AT436" s="37" t="str">
        <f>IF(最佳化斷筋點!U436="","",最佳化斷筋點!U436)</f>
        <v/>
      </c>
      <c r="AU436" s="37" t="str">
        <f>IF(最佳化斷筋點!V436="","",最佳化斷筋點!V436)</f>
        <v/>
      </c>
      <c r="AV436" s="37" t="str">
        <f>IF(最佳化斷筋點!W436="","",最佳化斷筋點!W436)</f>
        <v/>
      </c>
      <c r="AW436" s="37" t="str">
        <f>IF(最佳化斷筋點!X436="","",最佳化斷筋點!X436)</f>
        <v/>
      </c>
      <c r="AZ436" s="37" t="s">
        <v>197</v>
      </c>
      <c r="BA436" s="37" t="s">
        <v>197</v>
      </c>
      <c r="BB436" s="37" t="s">
        <v>197</v>
      </c>
      <c r="BC436" s="37" t="s">
        <v>197</v>
      </c>
      <c r="BD436" s="37" t="s">
        <v>197</v>
      </c>
      <c r="BE436" s="37" t="s">
        <v>197</v>
      </c>
      <c r="BF436" s="37" t="s">
        <v>197</v>
      </c>
      <c r="BG436" s="37" t="s">
        <v>197</v>
      </c>
      <c r="BH436" s="37" t="s">
        <v>197</v>
      </c>
      <c r="BI436" s="37" t="s">
        <v>197</v>
      </c>
      <c r="BJ436" s="37" t="s">
        <v>197</v>
      </c>
      <c r="BK436" s="37" t="s">
        <v>197</v>
      </c>
      <c r="BL436" s="37" t="s">
        <v>197</v>
      </c>
      <c r="BM436" s="37" t="s">
        <v>197</v>
      </c>
      <c r="BN436" s="37" t="s">
        <v>197</v>
      </c>
      <c r="BO436" s="37" t="s">
        <v>197</v>
      </c>
      <c r="BP436" s="37" t="s">
        <v>197</v>
      </c>
      <c r="BQ436" s="37" t="s">
        <v>197</v>
      </c>
      <c r="BR436" s="37" t="s">
        <v>197</v>
      </c>
      <c r="BS436" s="37" t="s">
        <v>197</v>
      </c>
      <c r="BT436" s="37" t="s">
        <v>197</v>
      </c>
    </row>
    <row r="437" spans="5:72" x14ac:dyDescent="0.25">
      <c r="E437" s="6" t="s">
        <v>21</v>
      </c>
      <c r="F437" s="6">
        <f t="shared" si="127"/>
        <v>0</v>
      </c>
      <c r="G437" s="6">
        <f t="shared" si="128"/>
        <v>0</v>
      </c>
      <c r="H437" s="6">
        <f t="shared" si="129"/>
        <v>0</v>
      </c>
      <c r="I437" s="6">
        <f t="shared" si="130"/>
        <v>0</v>
      </c>
      <c r="J437" s="6">
        <f t="shared" si="131"/>
        <v>0</v>
      </c>
      <c r="K437" s="6">
        <f t="shared" si="132"/>
        <v>0</v>
      </c>
      <c r="L437" s="6">
        <f t="shared" si="133"/>
        <v>0</v>
      </c>
      <c r="M437" s="6">
        <f t="shared" si="134"/>
        <v>0</v>
      </c>
      <c r="N437" s="6">
        <f t="shared" si="135"/>
        <v>0</v>
      </c>
      <c r="O437" s="6">
        <f t="shared" si="136"/>
        <v>0</v>
      </c>
      <c r="P437" s="6">
        <f t="shared" si="137"/>
        <v>0</v>
      </c>
      <c r="Q437" s="6">
        <f t="shared" si="138"/>
        <v>0</v>
      </c>
      <c r="R437" s="6">
        <f t="shared" si="139"/>
        <v>0</v>
      </c>
      <c r="S437" s="6">
        <f t="shared" si="140"/>
        <v>0</v>
      </c>
      <c r="T437" s="6">
        <f t="shared" si="141"/>
        <v>0</v>
      </c>
      <c r="U437" s="6">
        <f t="shared" si="142"/>
        <v>0</v>
      </c>
      <c r="V437" s="6">
        <f t="shared" si="143"/>
        <v>0</v>
      </c>
      <c r="W437" s="6">
        <f t="shared" si="144"/>
        <v>0</v>
      </c>
      <c r="X437" s="6">
        <f t="shared" si="145"/>
        <v>0</v>
      </c>
      <c r="Y437" s="6">
        <f t="shared" si="146"/>
        <v>0</v>
      </c>
      <c r="Z437" s="6">
        <f t="shared" si="147"/>
        <v>0</v>
      </c>
      <c r="AB437" s="36" t="str">
        <f>IF(最佳化斷筋點!C437="","",最佳化斷筋點!C437)</f>
        <v>下層</v>
      </c>
      <c r="AC437" s="37">
        <f>IF(最佳化斷筋點!D437="","",最佳化斷筋點!D437)</f>
        <v>6</v>
      </c>
      <c r="AD437" s="37">
        <f>IF(最佳化斷筋點!E437="","",最佳化斷筋點!E437)</f>
        <v>6</v>
      </c>
      <c r="AE437" s="37">
        <f>IF(最佳化斷筋點!F437="","",最佳化斷筋點!F437)</f>
        <v>6</v>
      </c>
      <c r="AF437" s="37">
        <f>IF(最佳化斷筋點!G437="","",最佳化斷筋點!G437)</f>
        <v>6</v>
      </c>
      <c r="AG437" s="37">
        <f>IF(最佳化斷筋點!H437="","",最佳化斷筋點!H437)</f>
        <v>5</v>
      </c>
      <c r="AH437" s="37">
        <f>IF(最佳化斷筋點!I437="","",最佳化斷筋點!I437)</f>
        <v>5</v>
      </c>
      <c r="AI437" s="37">
        <f>IF(最佳化斷筋點!J437="","",最佳化斷筋點!J437)</f>
        <v>4</v>
      </c>
      <c r="AJ437" s="37">
        <f>IF(最佳化斷筋點!K437="","",最佳化斷筋點!K437)</f>
        <v>4</v>
      </c>
      <c r="AK437" s="37">
        <f>IF(最佳化斷筋點!L437="","",最佳化斷筋點!L437)</f>
        <v>4</v>
      </c>
      <c r="AL437" s="37">
        <f>IF(最佳化斷筋點!M437="","",最佳化斷筋點!M437)</f>
        <v>4</v>
      </c>
      <c r="AM437" s="37">
        <f>IF(最佳化斷筋點!N437="","",最佳化斷筋點!N437)</f>
        <v>4</v>
      </c>
      <c r="AN437" s="37">
        <f>IF(最佳化斷筋點!O437="","",最佳化斷筋點!O437)</f>
        <v>4</v>
      </c>
      <c r="AO437" s="37">
        <f>IF(最佳化斷筋點!P437="","",最佳化斷筋點!P437)</f>
        <v>4</v>
      </c>
      <c r="AP437" s="37">
        <f>IF(最佳化斷筋點!Q437="","",最佳化斷筋點!Q437)</f>
        <v>4</v>
      </c>
      <c r="AQ437" s="37">
        <f>IF(最佳化斷筋點!R437="","",最佳化斷筋點!R437)</f>
        <v>4</v>
      </c>
      <c r="AR437" s="37">
        <f>IF(最佳化斷筋點!S437="","",最佳化斷筋點!S437)</f>
        <v>5</v>
      </c>
      <c r="AS437" s="37">
        <f>IF(最佳化斷筋點!T437="","",最佳化斷筋點!T437)</f>
        <v>6</v>
      </c>
      <c r="AT437" s="37">
        <f>IF(最佳化斷筋點!U437="","",最佳化斷筋點!U437)</f>
        <v>6</v>
      </c>
      <c r="AU437" s="37">
        <f>IF(最佳化斷筋點!V437="","",最佳化斷筋點!V437)</f>
        <v>7</v>
      </c>
      <c r="AV437" s="37">
        <f>IF(最佳化斷筋點!W437="","",最佳化斷筋點!W437)</f>
        <v>7</v>
      </c>
      <c r="AW437" s="37">
        <f>IF(最佳化斷筋點!X437="","",最佳化斷筋點!X437)</f>
        <v>7</v>
      </c>
      <c r="AY437" s="6" t="s">
        <v>21</v>
      </c>
      <c r="AZ437" s="37">
        <v>6</v>
      </c>
      <c r="BA437" s="37">
        <v>6</v>
      </c>
      <c r="BB437" s="37">
        <v>6</v>
      </c>
      <c r="BC437" s="37">
        <v>6</v>
      </c>
      <c r="BD437" s="37">
        <v>5</v>
      </c>
      <c r="BE437" s="37">
        <v>5</v>
      </c>
      <c r="BF437" s="37">
        <v>4</v>
      </c>
      <c r="BG437" s="37">
        <v>4</v>
      </c>
      <c r="BH437" s="37">
        <v>4</v>
      </c>
      <c r="BI437" s="37">
        <v>4</v>
      </c>
      <c r="BJ437" s="37">
        <v>4</v>
      </c>
      <c r="BK437" s="37">
        <v>4</v>
      </c>
      <c r="BL437" s="37">
        <v>4</v>
      </c>
      <c r="BM437" s="37">
        <v>4</v>
      </c>
      <c r="BN437" s="37">
        <v>4</v>
      </c>
      <c r="BO437" s="37">
        <v>5</v>
      </c>
      <c r="BP437" s="37">
        <v>6</v>
      </c>
      <c r="BQ437" s="37">
        <v>6</v>
      </c>
      <c r="BR437" s="37">
        <v>7</v>
      </c>
      <c r="BS437" s="37">
        <v>7</v>
      </c>
      <c r="BT437" s="37">
        <v>7</v>
      </c>
    </row>
    <row r="438" spans="5:72" x14ac:dyDescent="0.25">
      <c r="F438" s="6">
        <f t="shared" si="127"/>
        <v>0</v>
      </c>
      <c r="G438" s="6">
        <f t="shared" si="128"/>
        <v>0</v>
      </c>
      <c r="H438" s="6">
        <f t="shared" si="129"/>
        <v>0</v>
      </c>
      <c r="I438" s="6">
        <f t="shared" si="130"/>
        <v>0</v>
      </c>
      <c r="J438" s="6">
        <f t="shared" si="131"/>
        <v>0</v>
      </c>
      <c r="K438" s="6">
        <f t="shared" si="132"/>
        <v>0</v>
      </c>
      <c r="L438" s="6">
        <f t="shared" si="133"/>
        <v>0</v>
      </c>
      <c r="M438" s="6">
        <f t="shared" si="134"/>
        <v>0</v>
      </c>
      <c r="N438" s="6">
        <f t="shared" si="135"/>
        <v>0</v>
      </c>
      <c r="O438" s="6">
        <f t="shared" si="136"/>
        <v>0</v>
      </c>
      <c r="P438" s="6">
        <f t="shared" si="137"/>
        <v>0</v>
      </c>
      <c r="Q438" s="6">
        <f t="shared" si="138"/>
        <v>0</v>
      </c>
      <c r="R438" s="6">
        <f t="shared" si="139"/>
        <v>0</v>
      </c>
      <c r="S438" s="6">
        <f t="shared" si="140"/>
        <v>0</v>
      </c>
      <c r="T438" s="6">
        <f t="shared" si="141"/>
        <v>0</v>
      </c>
      <c r="U438" s="6">
        <f t="shared" si="142"/>
        <v>0</v>
      </c>
      <c r="V438" s="6">
        <f t="shared" si="143"/>
        <v>0</v>
      </c>
      <c r="W438" s="6">
        <f t="shared" si="144"/>
        <v>0</v>
      </c>
      <c r="X438" s="6">
        <f t="shared" si="145"/>
        <v>0</v>
      </c>
      <c r="Y438" s="6">
        <f t="shared" si="146"/>
        <v>0</v>
      </c>
      <c r="Z438" s="6">
        <f t="shared" si="147"/>
        <v>0</v>
      </c>
      <c r="AB438" s="36" t="str">
        <f>IF(最佳化斷筋點!C438="","",最佳化斷筋點!C438)</f>
        <v/>
      </c>
      <c r="AC438" s="37" t="str">
        <f>IF(最佳化斷筋點!D438="","",最佳化斷筋點!D438)</f>
        <v/>
      </c>
      <c r="AD438" s="37" t="str">
        <f>IF(最佳化斷筋點!E438="","",最佳化斷筋點!E438)</f>
        <v/>
      </c>
      <c r="AE438" s="37" t="str">
        <f>IF(最佳化斷筋點!F438="","",最佳化斷筋點!F438)</f>
        <v/>
      </c>
      <c r="AF438" s="37" t="str">
        <f>IF(最佳化斷筋點!G438="","",最佳化斷筋點!G438)</f>
        <v/>
      </c>
      <c r="AG438" s="37" t="str">
        <f>IF(最佳化斷筋點!H438="","",最佳化斷筋點!H438)</f>
        <v/>
      </c>
      <c r="AH438" s="37" t="str">
        <f>IF(最佳化斷筋點!I438="","",最佳化斷筋點!I438)</f>
        <v/>
      </c>
      <c r="AI438" s="37" t="str">
        <f>IF(最佳化斷筋點!J438="","",最佳化斷筋點!J438)</f>
        <v/>
      </c>
      <c r="AJ438" s="37" t="str">
        <f>IF(最佳化斷筋點!K438="","",最佳化斷筋點!K438)</f>
        <v/>
      </c>
      <c r="AK438" s="37" t="str">
        <f>IF(最佳化斷筋點!L438="","",最佳化斷筋點!L438)</f>
        <v/>
      </c>
      <c r="AL438" s="37" t="str">
        <f>IF(最佳化斷筋點!M438="","",最佳化斷筋點!M438)</f>
        <v/>
      </c>
      <c r="AM438" s="37" t="str">
        <f>IF(最佳化斷筋點!N438="","",最佳化斷筋點!N438)</f>
        <v/>
      </c>
      <c r="AN438" s="37" t="str">
        <f>IF(最佳化斷筋點!O438="","",最佳化斷筋點!O438)</f>
        <v/>
      </c>
      <c r="AO438" s="37" t="str">
        <f>IF(最佳化斷筋點!P438="","",最佳化斷筋點!P438)</f>
        <v/>
      </c>
      <c r="AP438" s="37" t="str">
        <f>IF(最佳化斷筋點!Q438="","",最佳化斷筋點!Q438)</f>
        <v/>
      </c>
      <c r="AQ438" s="37" t="str">
        <f>IF(最佳化斷筋點!R438="","",最佳化斷筋點!R438)</f>
        <v/>
      </c>
      <c r="AR438" s="37" t="str">
        <f>IF(最佳化斷筋點!S438="","",最佳化斷筋點!S438)</f>
        <v/>
      </c>
      <c r="AS438" s="37" t="str">
        <f>IF(最佳化斷筋點!T438="","",最佳化斷筋點!T438)</f>
        <v/>
      </c>
      <c r="AT438" s="37" t="str">
        <f>IF(最佳化斷筋點!U438="","",最佳化斷筋點!U438)</f>
        <v/>
      </c>
      <c r="AU438" s="37" t="str">
        <f>IF(最佳化斷筋點!V438="","",最佳化斷筋點!V438)</f>
        <v/>
      </c>
      <c r="AV438" s="37" t="str">
        <f>IF(最佳化斷筋點!W438="","",最佳化斷筋點!W438)</f>
        <v/>
      </c>
      <c r="AW438" s="37" t="str">
        <f>IF(最佳化斷筋點!X438="","",最佳化斷筋點!X438)</f>
        <v/>
      </c>
      <c r="AZ438" s="37" t="s">
        <v>197</v>
      </c>
      <c r="BA438" s="37" t="s">
        <v>197</v>
      </c>
      <c r="BB438" s="37" t="s">
        <v>197</v>
      </c>
      <c r="BC438" s="37" t="s">
        <v>197</v>
      </c>
      <c r="BD438" s="37" t="s">
        <v>197</v>
      </c>
      <c r="BE438" s="37" t="s">
        <v>197</v>
      </c>
      <c r="BF438" s="37" t="s">
        <v>197</v>
      </c>
      <c r="BG438" s="37" t="s">
        <v>197</v>
      </c>
      <c r="BH438" s="37" t="s">
        <v>197</v>
      </c>
      <c r="BI438" s="37" t="s">
        <v>197</v>
      </c>
      <c r="BJ438" s="37" t="s">
        <v>197</v>
      </c>
      <c r="BK438" s="37" t="s">
        <v>197</v>
      </c>
      <c r="BL438" s="37" t="s">
        <v>197</v>
      </c>
      <c r="BM438" s="37" t="s">
        <v>197</v>
      </c>
      <c r="BN438" s="37" t="s">
        <v>197</v>
      </c>
      <c r="BO438" s="37" t="s">
        <v>197</v>
      </c>
      <c r="BP438" s="37" t="s">
        <v>197</v>
      </c>
      <c r="BQ438" s="37" t="s">
        <v>197</v>
      </c>
      <c r="BR438" s="37" t="s">
        <v>197</v>
      </c>
      <c r="BS438" s="37" t="s">
        <v>197</v>
      </c>
      <c r="BT438" s="37" t="s">
        <v>197</v>
      </c>
    </row>
    <row r="439" spans="5:72" x14ac:dyDescent="0.25">
      <c r="E439" s="6" t="s">
        <v>20</v>
      </c>
      <c r="F439" s="6">
        <f t="shared" si="127"/>
        <v>0</v>
      </c>
      <c r="G439" s="6">
        <f t="shared" si="128"/>
        <v>0</v>
      </c>
      <c r="H439" s="6">
        <f t="shared" si="129"/>
        <v>0</v>
      </c>
      <c r="I439" s="6">
        <f t="shared" si="130"/>
        <v>0</v>
      </c>
      <c r="J439" s="6">
        <f t="shared" si="131"/>
        <v>0</v>
      </c>
      <c r="K439" s="6">
        <f t="shared" si="132"/>
        <v>0</v>
      </c>
      <c r="L439" s="6">
        <f t="shared" si="133"/>
        <v>0</v>
      </c>
      <c r="M439" s="6">
        <f t="shared" si="134"/>
        <v>0</v>
      </c>
      <c r="N439" s="6">
        <f t="shared" si="135"/>
        <v>0</v>
      </c>
      <c r="O439" s="6">
        <f t="shared" si="136"/>
        <v>0</v>
      </c>
      <c r="P439" s="6">
        <f t="shared" si="137"/>
        <v>0</v>
      </c>
      <c r="Q439" s="6">
        <f t="shared" si="138"/>
        <v>0</v>
      </c>
      <c r="R439" s="6">
        <f t="shared" si="139"/>
        <v>0</v>
      </c>
      <c r="S439" s="6">
        <f t="shared" si="140"/>
        <v>0</v>
      </c>
      <c r="T439" s="6">
        <f t="shared" si="141"/>
        <v>0</v>
      </c>
      <c r="U439" s="6">
        <f t="shared" si="142"/>
        <v>0</v>
      </c>
      <c r="V439" s="6">
        <f t="shared" si="143"/>
        <v>0</v>
      </c>
      <c r="W439" s="6">
        <f t="shared" si="144"/>
        <v>0</v>
      </c>
      <c r="X439" s="6">
        <f t="shared" si="145"/>
        <v>0</v>
      </c>
      <c r="Y439" s="6">
        <f t="shared" si="146"/>
        <v>0</v>
      </c>
      <c r="Z439" s="6">
        <f t="shared" si="147"/>
        <v>0</v>
      </c>
      <c r="AB439" s="36" t="str">
        <f>IF(最佳化斷筋點!C439="","",最佳化斷筋點!C439)</f>
        <v>上層</v>
      </c>
      <c r="AC439" s="37">
        <f>IF(最佳化斷筋點!D439="","",最佳化斷筋點!D439)</f>
        <v>10</v>
      </c>
      <c r="AD439" s="37">
        <f>IF(最佳化斷筋點!E439="","",最佳化斷筋點!E439)</f>
        <v>10</v>
      </c>
      <c r="AE439" s="37">
        <f>IF(最佳化斷筋點!F439="","",最佳化斷筋點!F439)</f>
        <v>10</v>
      </c>
      <c r="AF439" s="37">
        <f>IF(最佳化斷筋點!G439="","",最佳化斷筋點!G439)</f>
        <v>10</v>
      </c>
      <c r="AG439" s="37">
        <f>IF(最佳化斷筋點!H439="","",最佳化斷筋點!H439)</f>
        <v>10</v>
      </c>
      <c r="AH439" s="37">
        <f>IF(最佳化斷筋點!I439="","",最佳化斷筋點!I439)</f>
        <v>10</v>
      </c>
      <c r="AI439" s="37">
        <f>IF(最佳化斷筋點!J439="","",最佳化斷筋點!J439)</f>
        <v>10</v>
      </c>
      <c r="AJ439" s="37">
        <f>IF(最佳化斷筋點!K439="","",最佳化斷筋點!K439)</f>
        <v>4</v>
      </c>
      <c r="AK439" s="37">
        <f>IF(最佳化斷筋點!L439="","",最佳化斷筋點!L439)</f>
        <v>4</v>
      </c>
      <c r="AL439" s="37">
        <f>IF(最佳化斷筋點!M439="","",最佳化斷筋點!M439)</f>
        <v>4</v>
      </c>
      <c r="AM439" s="37">
        <f>IF(最佳化斷筋點!N439="","",最佳化斷筋點!N439)</f>
        <v>4</v>
      </c>
      <c r="AN439" s="37">
        <f>IF(最佳化斷筋點!O439="","",最佳化斷筋點!O439)</f>
        <v>4</v>
      </c>
      <c r="AO439" s="37">
        <f>IF(最佳化斷筋點!P439="","",最佳化斷筋點!P439)</f>
        <v>4</v>
      </c>
      <c r="AP439" s="37">
        <f>IF(最佳化斷筋點!Q439="","",最佳化斷筋點!Q439)</f>
        <v>9</v>
      </c>
      <c r="AQ439" s="37">
        <f>IF(最佳化斷筋點!R439="","",最佳化斷筋點!R439)</f>
        <v>10</v>
      </c>
      <c r="AR439" s="37">
        <f>IF(最佳化斷筋點!S439="","",最佳化斷筋點!S439)</f>
        <v>11</v>
      </c>
      <c r="AS439" s="37">
        <f>IF(最佳化斷筋點!T439="","",最佳化斷筋點!T439)</f>
        <v>11</v>
      </c>
      <c r="AT439" s="37">
        <f>IF(最佳化斷筋點!U439="","",最佳化斷筋點!U439)</f>
        <v>11</v>
      </c>
      <c r="AU439" s="37">
        <f>IF(最佳化斷筋點!V439="","",最佳化斷筋點!V439)</f>
        <v>11</v>
      </c>
      <c r="AV439" s="37">
        <f>IF(最佳化斷筋點!W439="","",最佳化斷筋點!W439)</f>
        <v>11</v>
      </c>
      <c r="AW439" s="37">
        <f>IF(最佳化斷筋點!X439="","",最佳化斷筋點!X439)</f>
        <v>11</v>
      </c>
      <c r="AY439" s="6" t="s">
        <v>20</v>
      </c>
      <c r="AZ439" s="37">
        <v>10</v>
      </c>
      <c r="BA439" s="37">
        <v>10</v>
      </c>
      <c r="BB439" s="37">
        <v>10</v>
      </c>
      <c r="BC439" s="37">
        <v>10</v>
      </c>
      <c r="BD439" s="37">
        <v>10</v>
      </c>
      <c r="BE439" s="37">
        <v>10</v>
      </c>
      <c r="BF439" s="37">
        <v>10</v>
      </c>
      <c r="BG439" s="37">
        <v>4</v>
      </c>
      <c r="BH439" s="37">
        <v>4</v>
      </c>
      <c r="BI439" s="37">
        <v>4</v>
      </c>
      <c r="BJ439" s="37">
        <v>4</v>
      </c>
      <c r="BK439" s="37">
        <v>4</v>
      </c>
      <c r="BL439" s="37">
        <v>4</v>
      </c>
      <c r="BM439" s="37">
        <v>9</v>
      </c>
      <c r="BN439" s="37">
        <v>10</v>
      </c>
      <c r="BO439" s="37">
        <v>11</v>
      </c>
      <c r="BP439" s="37">
        <v>11</v>
      </c>
      <c r="BQ439" s="37">
        <v>11</v>
      </c>
      <c r="BR439" s="37">
        <v>11</v>
      </c>
      <c r="BS439" s="37">
        <v>11</v>
      </c>
      <c r="BT439" s="37">
        <v>11</v>
      </c>
    </row>
    <row r="440" spans="5:72" x14ac:dyDescent="0.25">
      <c r="F440" s="6">
        <f t="shared" si="127"/>
        <v>0</v>
      </c>
      <c r="G440" s="6">
        <f t="shared" si="128"/>
        <v>0</v>
      </c>
      <c r="H440" s="6">
        <f t="shared" si="129"/>
        <v>0</v>
      </c>
      <c r="I440" s="6">
        <f t="shared" si="130"/>
        <v>0</v>
      </c>
      <c r="J440" s="6">
        <f t="shared" si="131"/>
        <v>0</v>
      </c>
      <c r="K440" s="6">
        <f t="shared" si="132"/>
        <v>0</v>
      </c>
      <c r="L440" s="6">
        <f t="shared" si="133"/>
        <v>0</v>
      </c>
      <c r="M440" s="6">
        <f t="shared" si="134"/>
        <v>0</v>
      </c>
      <c r="N440" s="6">
        <f t="shared" si="135"/>
        <v>0</v>
      </c>
      <c r="O440" s="6">
        <f t="shared" si="136"/>
        <v>0</v>
      </c>
      <c r="P440" s="6">
        <f t="shared" si="137"/>
        <v>0</v>
      </c>
      <c r="Q440" s="6">
        <f t="shared" si="138"/>
        <v>0</v>
      </c>
      <c r="R440" s="6">
        <f t="shared" si="139"/>
        <v>0</v>
      </c>
      <c r="S440" s="6">
        <f t="shared" si="140"/>
        <v>0</v>
      </c>
      <c r="T440" s="6">
        <f t="shared" si="141"/>
        <v>0</v>
      </c>
      <c r="U440" s="6">
        <f t="shared" si="142"/>
        <v>0</v>
      </c>
      <c r="V440" s="6">
        <f t="shared" si="143"/>
        <v>0</v>
      </c>
      <c r="W440" s="6">
        <f t="shared" si="144"/>
        <v>0</v>
      </c>
      <c r="X440" s="6">
        <f t="shared" si="145"/>
        <v>0</v>
      </c>
      <c r="Y440" s="6">
        <f t="shared" si="146"/>
        <v>0</v>
      </c>
      <c r="Z440" s="6">
        <f t="shared" si="147"/>
        <v>0</v>
      </c>
      <c r="AB440" s="36" t="str">
        <f>IF(最佳化斷筋點!C440="","",最佳化斷筋點!C440)</f>
        <v/>
      </c>
      <c r="AC440" s="37" t="str">
        <f>IF(最佳化斷筋點!D440="","",最佳化斷筋點!D440)</f>
        <v/>
      </c>
      <c r="AD440" s="37" t="str">
        <f>IF(最佳化斷筋點!E440="","",最佳化斷筋點!E440)</f>
        <v/>
      </c>
      <c r="AE440" s="37" t="str">
        <f>IF(最佳化斷筋點!F440="","",最佳化斷筋點!F440)</f>
        <v/>
      </c>
      <c r="AF440" s="37" t="str">
        <f>IF(最佳化斷筋點!G440="","",最佳化斷筋點!G440)</f>
        <v/>
      </c>
      <c r="AG440" s="37" t="str">
        <f>IF(最佳化斷筋點!H440="","",最佳化斷筋點!H440)</f>
        <v/>
      </c>
      <c r="AH440" s="37" t="str">
        <f>IF(最佳化斷筋點!I440="","",最佳化斷筋點!I440)</f>
        <v/>
      </c>
      <c r="AI440" s="37" t="str">
        <f>IF(最佳化斷筋點!J440="","",最佳化斷筋點!J440)</f>
        <v/>
      </c>
      <c r="AJ440" s="37" t="str">
        <f>IF(最佳化斷筋點!K440="","",最佳化斷筋點!K440)</f>
        <v/>
      </c>
      <c r="AK440" s="37" t="str">
        <f>IF(最佳化斷筋點!L440="","",最佳化斷筋點!L440)</f>
        <v/>
      </c>
      <c r="AL440" s="37" t="str">
        <f>IF(最佳化斷筋點!M440="","",最佳化斷筋點!M440)</f>
        <v/>
      </c>
      <c r="AM440" s="37" t="str">
        <f>IF(最佳化斷筋點!N440="","",最佳化斷筋點!N440)</f>
        <v/>
      </c>
      <c r="AN440" s="37" t="str">
        <f>IF(最佳化斷筋點!O440="","",最佳化斷筋點!O440)</f>
        <v/>
      </c>
      <c r="AO440" s="37" t="str">
        <f>IF(最佳化斷筋點!P440="","",最佳化斷筋點!P440)</f>
        <v/>
      </c>
      <c r="AP440" s="37" t="str">
        <f>IF(最佳化斷筋點!Q440="","",最佳化斷筋點!Q440)</f>
        <v/>
      </c>
      <c r="AQ440" s="37" t="str">
        <f>IF(最佳化斷筋點!R440="","",最佳化斷筋點!R440)</f>
        <v/>
      </c>
      <c r="AR440" s="37" t="str">
        <f>IF(最佳化斷筋點!S440="","",最佳化斷筋點!S440)</f>
        <v/>
      </c>
      <c r="AS440" s="37" t="str">
        <f>IF(最佳化斷筋點!T440="","",最佳化斷筋點!T440)</f>
        <v/>
      </c>
      <c r="AT440" s="37" t="str">
        <f>IF(最佳化斷筋點!U440="","",最佳化斷筋點!U440)</f>
        <v/>
      </c>
      <c r="AU440" s="37" t="str">
        <f>IF(最佳化斷筋點!V440="","",最佳化斷筋點!V440)</f>
        <v/>
      </c>
      <c r="AV440" s="37" t="str">
        <f>IF(最佳化斷筋點!W440="","",最佳化斷筋點!W440)</f>
        <v/>
      </c>
      <c r="AW440" s="37" t="str">
        <f>IF(最佳化斷筋點!X440="","",最佳化斷筋點!X440)</f>
        <v/>
      </c>
      <c r="AZ440" s="37" t="s">
        <v>197</v>
      </c>
      <c r="BA440" s="37" t="s">
        <v>197</v>
      </c>
      <c r="BB440" s="37" t="s">
        <v>197</v>
      </c>
      <c r="BC440" s="37" t="s">
        <v>197</v>
      </c>
      <c r="BD440" s="37" t="s">
        <v>197</v>
      </c>
      <c r="BE440" s="37" t="s">
        <v>197</v>
      </c>
      <c r="BF440" s="37" t="s">
        <v>197</v>
      </c>
      <c r="BG440" s="37" t="s">
        <v>197</v>
      </c>
      <c r="BH440" s="37" t="s">
        <v>197</v>
      </c>
      <c r="BI440" s="37" t="s">
        <v>197</v>
      </c>
      <c r="BJ440" s="37" t="s">
        <v>197</v>
      </c>
      <c r="BK440" s="37" t="s">
        <v>197</v>
      </c>
      <c r="BL440" s="37" t="s">
        <v>197</v>
      </c>
      <c r="BM440" s="37" t="s">
        <v>197</v>
      </c>
      <c r="BN440" s="37" t="s">
        <v>197</v>
      </c>
      <c r="BO440" s="37" t="s">
        <v>197</v>
      </c>
      <c r="BP440" s="37" t="s">
        <v>197</v>
      </c>
      <c r="BQ440" s="37" t="s">
        <v>197</v>
      </c>
      <c r="BR440" s="37" t="s">
        <v>197</v>
      </c>
      <c r="BS440" s="37" t="s">
        <v>197</v>
      </c>
      <c r="BT440" s="37" t="s">
        <v>197</v>
      </c>
    </row>
    <row r="441" spans="5:72" x14ac:dyDescent="0.25">
      <c r="E441" s="6" t="s">
        <v>21</v>
      </c>
      <c r="F441" s="6">
        <f t="shared" si="127"/>
        <v>0</v>
      </c>
      <c r="G441" s="6">
        <f t="shared" si="128"/>
        <v>0</v>
      </c>
      <c r="H441" s="6">
        <f t="shared" si="129"/>
        <v>0</v>
      </c>
      <c r="I441" s="6">
        <f t="shared" si="130"/>
        <v>0</v>
      </c>
      <c r="J441" s="6">
        <f t="shared" si="131"/>
        <v>0</v>
      </c>
      <c r="K441" s="6">
        <f t="shared" si="132"/>
        <v>0</v>
      </c>
      <c r="L441" s="6">
        <f t="shared" si="133"/>
        <v>0</v>
      </c>
      <c r="M441" s="6">
        <f t="shared" si="134"/>
        <v>0</v>
      </c>
      <c r="N441" s="6">
        <f t="shared" si="135"/>
        <v>0</v>
      </c>
      <c r="O441" s="6">
        <f t="shared" si="136"/>
        <v>0</v>
      </c>
      <c r="P441" s="6">
        <f t="shared" si="137"/>
        <v>0</v>
      </c>
      <c r="Q441" s="6">
        <f t="shared" si="138"/>
        <v>0</v>
      </c>
      <c r="R441" s="6">
        <f t="shared" si="139"/>
        <v>0</v>
      </c>
      <c r="S441" s="6">
        <f t="shared" si="140"/>
        <v>0</v>
      </c>
      <c r="T441" s="6">
        <f t="shared" si="141"/>
        <v>0</v>
      </c>
      <c r="U441" s="6">
        <f t="shared" si="142"/>
        <v>0</v>
      </c>
      <c r="V441" s="6">
        <f t="shared" si="143"/>
        <v>0</v>
      </c>
      <c r="W441" s="6">
        <f t="shared" si="144"/>
        <v>0</v>
      </c>
      <c r="X441" s="6">
        <f t="shared" si="145"/>
        <v>0</v>
      </c>
      <c r="Y441" s="6">
        <f t="shared" si="146"/>
        <v>0</v>
      </c>
      <c r="Z441" s="6">
        <f t="shared" si="147"/>
        <v>0</v>
      </c>
      <c r="AB441" s="36" t="str">
        <f>IF(最佳化斷筋點!C441="","",最佳化斷筋點!C441)</f>
        <v>下層</v>
      </c>
      <c r="AC441" s="37">
        <f>IF(最佳化斷筋點!D441="","",最佳化斷筋點!D441)</f>
        <v>8</v>
      </c>
      <c r="AD441" s="37">
        <f>IF(最佳化斷筋點!E441="","",最佳化斷筋點!E441)</f>
        <v>8</v>
      </c>
      <c r="AE441" s="37">
        <f>IF(最佳化斷筋點!F441="","",最佳化斷筋點!F441)</f>
        <v>8</v>
      </c>
      <c r="AF441" s="37">
        <f>IF(最佳化斷筋點!G441="","",最佳化斷筋點!G441)</f>
        <v>8</v>
      </c>
      <c r="AG441" s="37">
        <f>IF(最佳化斷筋點!H441="","",最佳化斷筋點!H441)</f>
        <v>8</v>
      </c>
      <c r="AH441" s="37">
        <f>IF(最佳化斷筋點!I441="","",最佳化斷筋點!I441)</f>
        <v>8</v>
      </c>
      <c r="AI441" s="37">
        <f>IF(最佳化斷筋點!J441="","",最佳化斷筋點!J441)</f>
        <v>7</v>
      </c>
      <c r="AJ441" s="37">
        <f>IF(最佳化斷筋點!K441="","",最佳化斷筋點!K441)</f>
        <v>4</v>
      </c>
      <c r="AK441" s="37">
        <f>IF(最佳化斷筋點!L441="","",最佳化斷筋點!L441)</f>
        <v>4</v>
      </c>
      <c r="AL441" s="37">
        <f>IF(最佳化斷筋點!M441="","",最佳化斷筋點!M441)</f>
        <v>4</v>
      </c>
      <c r="AM441" s="37">
        <f>IF(最佳化斷筋點!N441="","",最佳化斷筋點!N441)</f>
        <v>4</v>
      </c>
      <c r="AN441" s="37">
        <f>IF(最佳化斷筋點!O441="","",最佳化斷筋點!O441)</f>
        <v>4</v>
      </c>
      <c r="AO441" s="37">
        <f>IF(最佳化斷筋點!P441="","",最佳化斷筋點!P441)</f>
        <v>4</v>
      </c>
      <c r="AP441" s="37">
        <f>IF(最佳化斷筋點!Q441="","",最佳化斷筋點!Q441)</f>
        <v>4</v>
      </c>
      <c r="AQ441" s="37">
        <f>IF(最佳化斷筋點!R441="","",最佳化斷筋點!R441)</f>
        <v>5</v>
      </c>
      <c r="AR441" s="37">
        <f>IF(最佳化斷筋點!S441="","",最佳化斷筋點!S441)</f>
        <v>6</v>
      </c>
      <c r="AS441" s="37">
        <f>IF(最佳化斷筋點!T441="","",最佳化斷筋點!T441)</f>
        <v>6</v>
      </c>
      <c r="AT441" s="37">
        <f>IF(最佳化斷筋點!U441="","",最佳化斷筋點!U441)</f>
        <v>7</v>
      </c>
      <c r="AU441" s="37">
        <f>IF(最佳化斷筋點!V441="","",最佳化斷筋點!V441)</f>
        <v>7</v>
      </c>
      <c r="AV441" s="37">
        <f>IF(最佳化斷筋點!W441="","",最佳化斷筋點!W441)</f>
        <v>7</v>
      </c>
      <c r="AW441" s="37">
        <f>IF(最佳化斷筋點!X441="","",最佳化斷筋點!X441)</f>
        <v>7</v>
      </c>
      <c r="AY441" s="6" t="s">
        <v>21</v>
      </c>
      <c r="AZ441" s="37">
        <v>8</v>
      </c>
      <c r="BA441" s="37">
        <v>8</v>
      </c>
      <c r="BB441" s="37">
        <v>8</v>
      </c>
      <c r="BC441" s="37">
        <v>8</v>
      </c>
      <c r="BD441" s="37">
        <v>8</v>
      </c>
      <c r="BE441" s="37">
        <v>8</v>
      </c>
      <c r="BF441" s="37">
        <v>7</v>
      </c>
      <c r="BG441" s="37">
        <v>4</v>
      </c>
      <c r="BH441" s="37">
        <v>4</v>
      </c>
      <c r="BI441" s="37">
        <v>4</v>
      </c>
      <c r="BJ441" s="37">
        <v>4</v>
      </c>
      <c r="BK441" s="37">
        <v>4</v>
      </c>
      <c r="BL441" s="37">
        <v>4</v>
      </c>
      <c r="BM441" s="37">
        <v>4</v>
      </c>
      <c r="BN441" s="37">
        <v>5</v>
      </c>
      <c r="BO441" s="37">
        <v>6</v>
      </c>
      <c r="BP441" s="37">
        <v>6</v>
      </c>
      <c r="BQ441" s="37">
        <v>7</v>
      </c>
      <c r="BR441" s="37">
        <v>7</v>
      </c>
      <c r="BS441" s="37">
        <v>7</v>
      </c>
      <c r="BT441" s="37">
        <v>7</v>
      </c>
    </row>
    <row r="442" spans="5:72" x14ac:dyDescent="0.25">
      <c r="F442" s="6">
        <f t="shared" si="127"/>
        <v>0</v>
      </c>
      <c r="G442" s="6">
        <f t="shared" si="128"/>
        <v>0</v>
      </c>
      <c r="H442" s="6">
        <f t="shared" si="129"/>
        <v>0</v>
      </c>
      <c r="I442" s="6">
        <f t="shared" si="130"/>
        <v>0</v>
      </c>
      <c r="J442" s="6">
        <f t="shared" si="131"/>
        <v>0</v>
      </c>
      <c r="K442" s="6">
        <f t="shared" si="132"/>
        <v>0</v>
      </c>
      <c r="L442" s="6">
        <f t="shared" si="133"/>
        <v>0</v>
      </c>
      <c r="M442" s="6">
        <f t="shared" si="134"/>
        <v>0</v>
      </c>
      <c r="N442" s="6">
        <f t="shared" si="135"/>
        <v>0</v>
      </c>
      <c r="O442" s="6">
        <f t="shared" si="136"/>
        <v>0</v>
      </c>
      <c r="P442" s="6">
        <f t="shared" si="137"/>
        <v>0</v>
      </c>
      <c r="Q442" s="6">
        <f t="shared" si="138"/>
        <v>0</v>
      </c>
      <c r="R442" s="6">
        <f t="shared" si="139"/>
        <v>0</v>
      </c>
      <c r="S442" s="6">
        <f t="shared" si="140"/>
        <v>0</v>
      </c>
      <c r="T442" s="6">
        <f t="shared" si="141"/>
        <v>0</v>
      </c>
      <c r="U442" s="6">
        <f t="shared" si="142"/>
        <v>0</v>
      </c>
      <c r="V442" s="6">
        <f t="shared" si="143"/>
        <v>0</v>
      </c>
      <c r="W442" s="6">
        <f t="shared" si="144"/>
        <v>0</v>
      </c>
      <c r="X442" s="6">
        <f t="shared" si="145"/>
        <v>0</v>
      </c>
      <c r="Y442" s="6">
        <f t="shared" si="146"/>
        <v>0</v>
      </c>
      <c r="Z442" s="6">
        <f t="shared" si="147"/>
        <v>0</v>
      </c>
      <c r="AB442" s="36" t="str">
        <f>IF(最佳化斷筋點!C442="","",最佳化斷筋點!C442)</f>
        <v/>
      </c>
      <c r="AC442" s="37" t="str">
        <f>IF(最佳化斷筋點!D442="","",最佳化斷筋點!D442)</f>
        <v/>
      </c>
      <c r="AD442" s="37" t="str">
        <f>IF(最佳化斷筋點!E442="","",最佳化斷筋點!E442)</f>
        <v/>
      </c>
      <c r="AE442" s="37" t="str">
        <f>IF(最佳化斷筋點!F442="","",最佳化斷筋點!F442)</f>
        <v/>
      </c>
      <c r="AF442" s="37" t="str">
        <f>IF(最佳化斷筋點!G442="","",最佳化斷筋點!G442)</f>
        <v/>
      </c>
      <c r="AG442" s="37" t="str">
        <f>IF(最佳化斷筋點!H442="","",最佳化斷筋點!H442)</f>
        <v/>
      </c>
      <c r="AH442" s="37" t="str">
        <f>IF(最佳化斷筋點!I442="","",最佳化斷筋點!I442)</f>
        <v/>
      </c>
      <c r="AI442" s="37" t="str">
        <f>IF(最佳化斷筋點!J442="","",最佳化斷筋點!J442)</f>
        <v/>
      </c>
      <c r="AJ442" s="37" t="str">
        <f>IF(最佳化斷筋點!K442="","",最佳化斷筋點!K442)</f>
        <v/>
      </c>
      <c r="AK442" s="37" t="str">
        <f>IF(最佳化斷筋點!L442="","",最佳化斷筋點!L442)</f>
        <v/>
      </c>
      <c r="AL442" s="37" t="str">
        <f>IF(最佳化斷筋點!M442="","",最佳化斷筋點!M442)</f>
        <v/>
      </c>
      <c r="AM442" s="37" t="str">
        <f>IF(最佳化斷筋點!N442="","",最佳化斷筋點!N442)</f>
        <v/>
      </c>
      <c r="AN442" s="37" t="str">
        <f>IF(最佳化斷筋點!O442="","",最佳化斷筋點!O442)</f>
        <v/>
      </c>
      <c r="AO442" s="37" t="str">
        <f>IF(最佳化斷筋點!P442="","",最佳化斷筋點!P442)</f>
        <v/>
      </c>
      <c r="AP442" s="37" t="str">
        <f>IF(最佳化斷筋點!Q442="","",最佳化斷筋點!Q442)</f>
        <v/>
      </c>
      <c r="AQ442" s="37" t="str">
        <f>IF(最佳化斷筋點!R442="","",最佳化斷筋點!R442)</f>
        <v/>
      </c>
      <c r="AR442" s="37" t="str">
        <f>IF(最佳化斷筋點!S442="","",最佳化斷筋點!S442)</f>
        <v/>
      </c>
      <c r="AS442" s="37" t="str">
        <f>IF(最佳化斷筋點!T442="","",最佳化斷筋點!T442)</f>
        <v/>
      </c>
      <c r="AT442" s="37" t="str">
        <f>IF(最佳化斷筋點!U442="","",最佳化斷筋點!U442)</f>
        <v/>
      </c>
      <c r="AU442" s="37" t="str">
        <f>IF(最佳化斷筋點!V442="","",最佳化斷筋點!V442)</f>
        <v/>
      </c>
      <c r="AV442" s="37" t="str">
        <f>IF(最佳化斷筋點!W442="","",最佳化斷筋點!W442)</f>
        <v/>
      </c>
      <c r="AW442" s="37" t="str">
        <f>IF(最佳化斷筋點!X442="","",最佳化斷筋點!X442)</f>
        <v/>
      </c>
      <c r="AZ442" s="37" t="s">
        <v>197</v>
      </c>
      <c r="BA442" s="37" t="s">
        <v>197</v>
      </c>
      <c r="BB442" s="37" t="s">
        <v>197</v>
      </c>
      <c r="BC442" s="37" t="s">
        <v>197</v>
      </c>
      <c r="BD442" s="37" t="s">
        <v>197</v>
      </c>
      <c r="BE442" s="37" t="s">
        <v>197</v>
      </c>
      <c r="BF442" s="37" t="s">
        <v>197</v>
      </c>
      <c r="BG442" s="37" t="s">
        <v>197</v>
      </c>
      <c r="BH442" s="37" t="s">
        <v>197</v>
      </c>
      <c r="BI442" s="37" t="s">
        <v>197</v>
      </c>
      <c r="BJ442" s="37" t="s">
        <v>197</v>
      </c>
      <c r="BK442" s="37" t="s">
        <v>197</v>
      </c>
      <c r="BL442" s="37" t="s">
        <v>197</v>
      </c>
      <c r="BM442" s="37" t="s">
        <v>197</v>
      </c>
      <c r="BN442" s="37" t="s">
        <v>197</v>
      </c>
      <c r="BO442" s="37" t="s">
        <v>197</v>
      </c>
      <c r="BP442" s="37" t="s">
        <v>197</v>
      </c>
      <c r="BQ442" s="37" t="s">
        <v>197</v>
      </c>
      <c r="BR442" s="37" t="s">
        <v>197</v>
      </c>
      <c r="BS442" s="37" t="s">
        <v>197</v>
      </c>
      <c r="BT442" s="37" t="s">
        <v>197</v>
      </c>
    </row>
    <row r="443" spans="5:72" x14ac:dyDescent="0.25">
      <c r="E443" s="6" t="s">
        <v>20</v>
      </c>
      <c r="F443" s="6">
        <f t="shared" si="127"/>
        <v>0</v>
      </c>
      <c r="G443" s="6">
        <f t="shared" si="128"/>
        <v>0</v>
      </c>
      <c r="H443" s="6">
        <f t="shared" si="129"/>
        <v>0</v>
      </c>
      <c r="I443" s="6">
        <f t="shared" si="130"/>
        <v>0</v>
      </c>
      <c r="J443" s="6">
        <f t="shared" si="131"/>
        <v>0</v>
      </c>
      <c r="K443" s="6">
        <f t="shared" si="132"/>
        <v>0</v>
      </c>
      <c r="L443" s="6">
        <f t="shared" si="133"/>
        <v>0</v>
      </c>
      <c r="M443" s="6">
        <f t="shared" si="134"/>
        <v>0</v>
      </c>
      <c r="N443" s="6">
        <f t="shared" si="135"/>
        <v>0</v>
      </c>
      <c r="O443" s="6">
        <f t="shared" si="136"/>
        <v>0</v>
      </c>
      <c r="P443" s="6">
        <f t="shared" si="137"/>
        <v>0</v>
      </c>
      <c r="Q443" s="6">
        <f t="shared" si="138"/>
        <v>0</v>
      </c>
      <c r="R443" s="6">
        <f t="shared" si="139"/>
        <v>0</v>
      </c>
      <c r="S443" s="6">
        <f t="shared" si="140"/>
        <v>0</v>
      </c>
      <c r="T443" s="6">
        <f t="shared" si="141"/>
        <v>0</v>
      </c>
      <c r="U443" s="6">
        <f t="shared" si="142"/>
        <v>0</v>
      </c>
      <c r="V443" s="6">
        <f t="shared" si="143"/>
        <v>0</v>
      </c>
      <c r="W443" s="6">
        <f t="shared" si="144"/>
        <v>0</v>
      </c>
      <c r="X443" s="6">
        <f t="shared" si="145"/>
        <v>0</v>
      </c>
      <c r="Y443" s="6">
        <f t="shared" si="146"/>
        <v>0</v>
      </c>
      <c r="Z443" s="6">
        <f t="shared" si="147"/>
        <v>0</v>
      </c>
      <c r="AB443" s="36" t="str">
        <f>IF(最佳化斷筋點!C443="","",最佳化斷筋點!C443)</f>
        <v>上層</v>
      </c>
      <c r="AC443" s="37">
        <f>IF(最佳化斷筋點!D443="","",最佳化斷筋點!D443)</f>
        <v>7</v>
      </c>
      <c r="AD443" s="37">
        <f>IF(最佳化斷筋點!E443="","",最佳化斷筋點!E443)</f>
        <v>7</v>
      </c>
      <c r="AE443" s="37">
        <f>IF(最佳化斷筋點!F443="","",最佳化斷筋點!F443)</f>
        <v>7</v>
      </c>
      <c r="AF443" s="37">
        <f>IF(最佳化斷筋點!G443="","",最佳化斷筋點!G443)</f>
        <v>7</v>
      </c>
      <c r="AG443" s="37">
        <f>IF(最佳化斷筋點!H443="","",最佳化斷筋點!H443)</f>
        <v>7</v>
      </c>
      <c r="AH443" s="37">
        <f>IF(最佳化斷筋點!I443="","",最佳化斷筋點!I443)</f>
        <v>7</v>
      </c>
      <c r="AI443" s="37">
        <f>IF(最佳化斷筋點!J443="","",最佳化斷筋點!J443)</f>
        <v>7</v>
      </c>
      <c r="AJ443" s="37">
        <f>IF(最佳化斷筋點!K443="","",最佳化斷筋點!K443)</f>
        <v>3</v>
      </c>
      <c r="AK443" s="37">
        <f>IF(最佳化斷筋點!L443="","",最佳化斷筋點!L443)</f>
        <v>3</v>
      </c>
      <c r="AL443" s="37">
        <f>IF(最佳化斷筋點!M443="","",最佳化斷筋點!M443)</f>
        <v>3</v>
      </c>
      <c r="AM443" s="37">
        <f>IF(最佳化斷筋點!N443="","",最佳化斷筋點!N443)</f>
        <v>3</v>
      </c>
      <c r="AN443" s="37">
        <f>IF(最佳化斷筋點!O443="","",最佳化斷筋點!O443)</f>
        <v>3</v>
      </c>
      <c r="AO443" s="37">
        <f>IF(最佳化斷筋點!P443="","",最佳化斷筋點!P443)</f>
        <v>3</v>
      </c>
      <c r="AP443" s="37">
        <f>IF(最佳化斷筋點!Q443="","",最佳化斷筋點!Q443)</f>
        <v>6</v>
      </c>
      <c r="AQ443" s="37">
        <f>IF(最佳化斷筋點!R443="","",最佳化斷筋點!R443)</f>
        <v>6</v>
      </c>
      <c r="AR443" s="37">
        <f>IF(最佳化斷筋點!S443="","",最佳化斷筋點!S443)</f>
        <v>7</v>
      </c>
      <c r="AS443" s="37">
        <f>IF(最佳化斷筋點!T443="","",最佳化斷筋點!T443)</f>
        <v>7</v>
      </c>
      <c r="AT443" s="37">
        <f>IF(最佳化斷筋點!U443="","",最佳化斷筋點!U443)</f>
        <v>7</v>
      </c>
      <c r="AU443" s="37">
        <f>IF(最佳化斷筋點!V443="","",最佳化斷筋點!V443)</f>
        <v>7</v>
      </c>
      <c r="AV443" s="37">
        <f>IF(最佳化斷筋點!W443="","",最佳化斷筋點!W443)</f>
        <v>7</v>
      </c>
      <c r="AW443" s="37">
        <f>IF(最佳化斷筋點!X443="","",最佳化斷筋點!X443)</f>
        <v>7</v>
      </c>
      <c r="AY443" s="6" t="s">
        <v>20</v>
      </c>
      <c r="AZ443" s="37">
        <v>7</v>
      </c>
      <c r="BA443" s="37">
        <v>7</v>
      </c>
      <c r="BB443" s="37">
        <v>7</v>
      </c>
      <c r="BC443" s="37">
        <v>7</v>
      </c>
      <c r="BD443" s="37">
        <v>7</v>
      </c>
      <c r="BE443" s="37">
        <v>7</v>
      </c>
      <c r="BF443" s="37">
        <v>7</v>
      </c>
      <c r="BG443" s="37">
        <v>3</v>
      </c>
      <c r="BH443" s="37">
        <v>3</v>
      </c>
      <c r="BI443" s="37">
        <v>3</v>
      </c>
      <c r="BJ443" s="37">
        <v>3</v>
      </c>
      <c r="BK443" s="37">
        <v>3</v>
      </c>
      <c r="BL443" s="37">
        <v>3</v>
      </c>
      <c r="BM443" s="37">
        <v>6</v>
      </c>
      <c r="BN443" s="37">
        <v>6</v>
      </c>
      <c r="BO443" s="37">
        <v>7</v>
      </c>
      <c r="BP443" s="37">
        <v>7</v>
      </c>
      <c r="BQ443" s="37">
        <v>7</v>
      </c>
      <c r="BR443" s="37">
        <v>7</v>
      </c>
      <c r="BS443" s="37">
        <v>7</v>
      </c>
      <c r="BT443" s="37">
        <v>7</v>
      </c>
    </row>
    <row r="444" spans="5:72" x14ac:dyDescent="0.25">
      <c r="F444" s="6">
        <f t="shared" si="127"/>
        <v>0</v>
      </c>
      <c r="G444" s="6">
        <f t="shared" si="128"/>
        <v>0</v>
      </c>
      <c r="H444" s="6">
        <f t="shared" si="129"/>
        <v>0</v>
      </c>
      <c r="I444" s="6">
        <f t="shared" si="130"/>
        <v>0</v>
      </c>
      <c r="J444" s="6">
        <f t="shared" si="131"/>
        <v>0</v>
      </c>
      <c r="K444" s="6">
        <f t="shared" si="132"/>
        <v>0</v>
      </c>
      <c r="L444" s="6">
        <f t="shared" si="133"/>
        <v>0</v>
      </c>
      <c r="M444" s="6">
        <f t="shared" si="134"/>
        <v>0</v>
      </c>
      <c r="N444" s="6">
        <f t="shared" si="135"/>
        <v>0</v>
      </c>
      <c r="O444" s="6">
        <f t="shared" si="136"/>
        <v>0</v>
      </c>
      <c r="P444" s="6">
        <f t="shared" si="137"/>
        <v>0</v>
      </c>
      <c r="Q444" s="6">
        <f t="shared" si="138"/>
        <v>0</v>
      </c>
      <c r="R444" s="6">
        <f t="shared" si="139"/>
        <v>0</v>
      </c>
      <c r="S444" s="6">
        <f t="shared" si="140"/>
        <v>0</v>
      </c>
      <c r="T444" s="6">
        <f t="shared" si="141"/>
        <v>0</v>
      </c>
      <c r="U444" s="6">
        <f t="shared" si="142"/>
        <v>0</v>
      </c>
      <c r="V444" s="6">
        <f t="shared" si="143"/>
        <v>0</v>
      </c>
      <c r="W444" s="6">
        <f t="shared" si="144"/>
        <v>0</v>
      </c>
      <c r="X444" s="6">
        <f t="shared" si="145"/>
        <v>0</v>
      </c>
      <c r="Y444" s="6">
        <f t="shared" si="146"/>
        <v>0</v>
      </c>
      <c r="Z444" s="6">
        <f t="shared" si="147"/>
        <v>0</v>
      </c>
      <c r="AB444" s="36" t="str">
        <f>IF(最佳化斷筋點!C444="","",最佳化斷筋點!C444)</f>
        <v/>
      </c>
      <c r="AC444" s="37" t="str">
        <f>IF(最佳化斷筋點!D444="","",最佳化斷筋點!D444)</f>
        <v/>
      </c>
      <c r="AD444" s="37" t="str">
        <f>IF(最佳化斷筋點!E444="","",最佳化斷筋點!E444)</f>
        <v/>
      </c>
      <c r="AE444" s="37" t="str">
        <f>IF(最佳化斷筋點!F444="","",最佳化斷筋點!F444)</f>
        <v/>
      </c>
      <c r="AF444" s="37" t="str">
        <f>IF(最佳化斷筋點!G444="","",最佳化斷筋點!G444)</f>
        <v/>
      </c>
      <c r="AG444" s="37" t="str">
        <f>IF(最佳化斷筋點!H444="","",最佳化斷筋點!H444)</f>
        <v/>
      </c>
      <c r="AH444" s="37" t="str">
        <f>IF(最佳化斷筋點!I444="","",最佳化斷筋點!I444)</f>
        <v/>
      </c>
      <c r="AI444" s="37" t="str">
        <f>IF(最佳化斷筋點!J444="","",最佳化斷筋點!J444)</f>
        <v/>
      </c>
      <c r="AJ444" s="37" t="str">
        <f>IF(最佳化斷筋點!K444="","",最佳化斷筋點!K444)</f>
        <v/>
      </c>
      <c r="AK444" s="37" t="str">
        <f>IF(最佳化斷筋點!L444="","",最佳化斷筋點!L444)</f>
        <v/>
      </c>
      <c r="AL444" s="37" t="str">
        <f>IF(最佳化斷筋點!M444="","",最佳化斷筋點!M444)</f>
        <v/>
      </c>
      <c r="AM444" s="37" t="str">
        <f>IF(最佳化斷筋點!N444="","",最佳化斷筋點!N444)</f>
        <v/>
      </c>
      <c r="AN444" s="37" t="str">
        <f>IF(最佳化斷筋點!O444="","",最佳化斷筋點!O444)</f>
        <v/>
      </c>
      <c r="AO444" s="37" t="str">
        <f>IF(最佳化斷筋點!P444="","",最佳化斷筋點!P444)</f>
        <v/>
      </c>
      <c r="AP444" s="37" t="str">
        <f>IF(最佳化斷筋點!Q444="","",最佳化斷筋點!Q444)</f>
        <v/>
      </c>
      <c r="AQ444" s="37" t="str">
        <f>IF(最佳化斷筋點!R444="","",最佳化斷筋點!R444)</f>
        <v/>
      </c>
      <c r="AR444" s="37" t="str">
        <f>IF(最佳化斷筋點!S444="","",最佳化斷筋點!S444)</f>
        <v/>
      </c>
      <c r="AS444" s="37" t="str">
        <f>IF(最佳化斷筋點!T444="","",最佳化斷筋點!T444)</f>
        <v/>
      </c>
      <c r="AT444" s="37" t="str">
        <f>IF(最佳化斷筋點!U444="","",最佳化斷筋點!U444)</f>
        <v/>
      </c>
      <c r="AU444" s="37" t="str">
        <f>IF(最佳化斷筋點!V444="","",最佳化斷筋點!V444)</f>
        <v/>
      </c>
      <c r="AV444" s="37" t="str">
        <f>IF(最佳化斷筋點!W444="","",最佳化斷筋點!W444)</f>
        <v/>
      </c>
      <c r="AW444" s="37" t="str">
        <f>IF(最佳化斷筋點!X444="","",最佳化斷筋點!X444)</f>
        <v/>
      </c>
      <c r="AZ444" s="37" t="s">
        <v>197</v>
      </c>
      <c r="BA444" s="37" t="s">
        <v>197</v>
      </c>
      <c r="BB444" s="37" t="s">
        <v>197</v>
      </c>
      <c r="BC444" s="37" t="s">
        <v>197</v>
      </c>
      <c r="BD444" s="37" t="s">
        <v>197</v>
      </c>
      <c r="BE444" s="37" t="s">
        <v>197</v>
      </c>
      <c r="BF444" s="37" t="s">
        <v>197</v>
      </c>
      <c r="BG444" s="37" t="s">
        <v>197</v>
      </c>
      <c r="BH444" s="37" t="s">
        <v>197</v>
      </c>
      <c r="BI444" s="37" t="s">
        <v>197</v>
      </c>
      <c r="BJ444" s="37" t="s">
        <v>197</v>
      </c>
      <c r="BK444" s="37" t="s">
        <v>197</v>
      </c>
      <c r="BL444" s="37" t="s">
        <v>197</v>
      </c>
      <c r="BM444" s="37" t="s">
        <v>197</v>
      </c>
      <c r="BN444" s="37" t="s">
        <v>197</v>
      </c>
      <c r="BO444" s="37" t="s">
        <v>197</v>
      </c>
      <c r="BP444" s="37" t="s">
        <v>197</v>
      </c>
      <c r="BQ444" s="37" t="s">
        <v>197</v>
      </c>
      <c r="BR444" s="37" t="s">
        <v>197</v>
      </c>
      <c r="BS444" s="37" t="s">
        <v>197</v>
      </c>
      <c r="BT444" s="37" t="s">
        <v>197</v>
      </c>
    </row>
    <row r="445" spans="5:72" x14ac:dyDescent="0.25">
      <c r="E445" s="6" t="s">
        <v>21</v>
      </c>
      <c r="F445" s="6">
        <f t="shared" si="127"/>
        <v>0</v>
      </c>
      <c r="G445" s="6">
        <f t="shared" si="128"/>
        <v>0</v>
      </c>
      <c r="H445" s="6">
        <f t="shared" si="129"/>
        <v>0</v>
      </c>
      <c r="I445" s="6">
        <f t="shared" si="130"/>
        <v>0</v>
      </c>
      <c r="J445" s="6">
        <f t="shared" si="131"/>
        <v>0</v>
      </c>
      <c r="K445" s="6">
        <f t="shared" si="132"/>
        <v>0</v>
      </c>
      <c r="L445" s="6">
        <f t="shared" si="133"/>
        <v>0</v>
      </c>
      <c r="M445" s="6">
        <f t="shared" si="134"/>
        <v>0</v>
      </c>
      <c r="N445" s="6">
        <f t="shared" si="135"/>
        <v>0</v>
      </c>
      <c r="O445" s="6">
        <f t="shared" si="136"/>
        <v>0</v>
      </c>
      <c r="P445" s="6">
        <f t="shared" si="137"/>
        <v>0</v>
      </c>
      <c r="Q445" s="6">
        <f t="shared" si="138"/>
        <v>0</v>
      </c>
      <c r="R445" s="6">
        <f t="shared" si="139"/>
        <v>0</v>
      </c>
      <c r="S445" s="6">
        <f t="shared" si="140"/>
        <v>0</v>
      </c>
      <c r="T445" s="6">
        <f t="shared" si="141"/>
        <v>0</v>
      </c>
      <c r="U445" s="6">
        <f t="shared" si="142"/>
        <v>0</v>
      </c>
      <c r="V445" s="6">
        <f t="shared" si="143"/>
        <v>0</v>
      </c>
      <c r="W445" s="6">
        <f t="shared" si="144"/>
        <v>0</v>
      </c>
      <c r="X445" s="6">
        <f t="shared" si="145"/>
        <v>0</v>
      </c>
      <c r="Y445" s="6">
        <f t="shared" si="146"/>
        <v>0</v>
      </c>
      <c r="Z445" s="6">
        <f t="shared" si="147"/>
        <v>0</v>
      </c>
      <c r="AB445" s="36" t="str">
        <f>IF(最佳化斷筋點!C445="","",最佳化斷筋點!C445)</f>
        <v>下層</v>
      </c>
      <c r="AC445" s="37">
        <f>IF(最佳化斷筋點!D445="","",最佳化斷筋點!D445)</f>
        <v>9</v>
      </c>
      <c r="AD445" s="37">
        <f>IF(最佳化斷筋點!E445="","",最佳化斷筋點!E445)</f>
        <v>9</v>
      </c>
      <c r="AE445" s="37">
        <f>IF(最佳化斷筋點!F445="","",最佳化斷筋點!F445)</f>
        <v>9</v>
      </c>
      <c r="AF445" s="37">
        <f>IF(最佳化斷筋點!G445="","",最佳化斷筋點!G445)</f>
        <v>9</v>
      </c>
      <c r="AG445" s="37">
        <f>IF(最佳化斷筋點!H445="","",最佳化斷筋點!H445)</f>
        <v>9</v>
      </c>
      <c r="AH445" s="37">
        <f>IF(最佳化斷筋點!I445="","",最佳化斷筋點!I445)</f>
        <v>8</v>
      </c>
      <c r="AI445" s="37">
        <f>IF(最佳化斷筋點!J445="","",最佳化斷筋點!J445)</f>
        <v>7</v>
      </c>
      <c r="AJ445" s="37">
        <f>IF(最佳化斷筋點!K445="","",最佳化斷筋點!K445)</f>
        <v>4</v>
      </c>
      <c r="AK445" s="37">
        <f>IF(最佳化斷筋點!L445="","",最佳化斷筋點!L445)</f>
        <v>4</v>
      </c>
      <c r="AL445" s="37">
        <f>IF(最佳化斷筋點!M445="","",最佳化斷筋點!M445)</f>
        <v>4</v>
      </c>
      <c r="AM445" s="37">
        <f>IF(最佳化斷筋點!N445="","",最佳化斷筋點!N445)</f>
        <v>4</v>
      </c>
      <c r="AN445" s="37">
        <f>IF(最佳化斷筋點!O445="","",最佳化斷筋點!O445)</f>
        <v>4</v>
      </c>
      <c r="AO445" s="37">
        <f>IF(最佳化斷筋點!P445="","",最佳化斷筋點!P445)</f>
        <v>4</v>
      </c>
      <c r="AP445" s="37">
        <f>IF(最佳化斷筋點!Q445="","",最佳化斷筋點!Q445)</f>
        <v>5</v>
      </c>
      <c r="AQ445" s="37">
        <f>IF(最佳化斷筋點!R445="","",最佳化斷筋點!R445)</f>
        <v>6</v>
      </c>
      <c r="AR445" s="37">
        <f>IF(最佳化斷筋點!S445="","",最佳化斷筋點!S445)</f>
        <v>7</v>
      </c>
      <c r="AS445" s="37">
        <f>IF(最佳化斷筋點!T445="","",最佳化斷筋點!T445)</f>
        <v>8</v>
      </c>
      <c r="AT445" s="37">
        <f>IF(最佳化斷筋點!U445="","",最佳化斷筋點!U445)</f>
        <v>9</v>
      </c>
      <c r="AU445" s="37">
        <f>IF(最佳化斷筋點!V445="","",最佳化斷筋點!V445)</f>
        <v>9</v>
      </c>
      <c r="AV445" s="37">
        <f>IF(最佳化斷筋點!W445="","",最佳化斷筋點!W445)</f>
        <v>9</v>
      </c>
      <c r="AW445" s="37">
        <f>IF(最佳化斷筋點!X445="","",最佳化斷筋點!X445)</f>
        <v>9</v>
      </c>
      <c r="AY445" s="6" t="s">
        <v>21</v>
      </c>
      <c r="AZ445" s="37">
        <v>9</v>
      </c>
      <c r="BA445" s="37">
        <v>9</v>
      </c>
      <c r="BB445" s="37">
        <v>9</v>
      </c>
      <c r="BC445" s="37">
        <v>9</v>
      </c>
      <c r="BD445" s="37">
        <v>9</v>
      </c>
      <c r="BE445" s="37">
        <v>8</v>
      </c>
      <c r="BF445" s="37">
        <v>7</v>
      </c>
      <c r="BG445" s="37">
        <v>4</v>
      </c>
      <c r="BH445" s="37">
        <v>4</v>
      </c>
      <c r="BI445" s="37">
        <v>4</v>
      </c>
      <c r="BJ445" s="37">
        <v>4</v>
      </c>
      <c r="BK445" s="37">
        <v>4</v>
      </c>
      <c r="BL445" s="37">
        <v>4</v>
      </c>
      <c r="BM445" s="37">
        <v>5</v>
      </c>
      <c r="BN445" s="37">
        <v>6</v>
      </c>
      <c r="BO445" s="37">
        <v>7</v>
      </c>
      <c r="BP445" s="37">
        <v>8</v>
      </c>
      <c r="BQ445" s="37">
        <v>9</v>
      </c>
      <c r="BR445" s="37">
        <v>9</v>
      </c>
      <c r="BS445" s="37">
        <v>9</v>
      </c>
      <c r="BT445" s="37">
        <v>9</v>
      </c>
    </row>
    <row r="446" spans="5:72" x14ac:dyDescent="0.25">
      <c r="F446" s="6">
        <f t="shared" si="127"/>
        <v>0</v>
      </c>
      <c r="G446" s="6">
        <f t="shared" si="128"/>
        <v>0</v>
      </c>
      <c r="H446" s="6">
        <f t="shared" si="129"/>
        <v>0</v>
      </c>
      <c r="I446" s="6">
        <f t="shared" si="130"/>
        <v>0</v>
      </c>
      <c r="J446" s="6">
        <f t="shared" si="131"/>
        <v>0</v>
      </c>
      <c r="K446" s="6">
        <f t="shared" si="132"/>
        <v>0</v>
      </c>
      <c r="L446" s="6">
        <f t="shared" si="133"/>
        <v>0</v>
      </c>
      <c r="M446" s="6">
        <f t="shared" si="134"/>
        <v>0</v>
      </c>
      <c r="N446" s="6">
        <f t="shared" si="135"/>
        <v>0</v>
      </c>
      <c r="O446" s="6">
        <f t="shared" si="136"/>
        <v>0</v>
      </c>
      <c r="P446" s="6">
        <f t="shared" si="137"/>
        <v>0</v>
      </c>
      <c r="Q446" s="6">
        <f t="shared" si="138"/>
        <v>0</v>
      </c>
      <c r="R446" s="6">
        <f t="shared" si="139"/>
        <v>0</v>
      </c>
      <c r="S446" s="6">
        <f t="shared" si="140"/>
        <v>0</v>
      </c>
      <c r="T446" s="6">
        <f t="shared" si="141"/>
        <v>0</v>
      </c>
      <c r="U446" s="6">
        <f t="shared" si="142"/>
        <v>0</v>
      </c>
      <c r="V446" s="6">
        <f t="shared" si="143"/>
        <v>0</v>
      </c>
      <c r="W446" s="6">
        <f t="shared" si="144"/>
        <v>0</v>
      </c>
      <c r="X446" s="6">
        <f t="shared" si="145"/>
        <v>0</v>
      </c>
      <c r="Y446" s="6">
        <f t="shared" si="146"/>
        <v>0</v>
      </c>
      <c r="Z446" s="6">
        <f t="shared" si="147"/>
        <v>0</v>
      </c>
      <c r="AB446" s="36" t="str">
        <f>IF(最佳化斷筋點!C446="","",最佳化斷筋點!C446)</f>
        <v/>
      </c>
      <c r="AC446" s="37" t="str">
        <f>IF(最佳化斷筋點!D446="","",最佳化斷筋點!D446)</f>
        <v/>
      </c>
      <c r="AD446" s="37" t="str">
        <f>IF(最佳化斷筋點!E446="","",最佳化斷筋點!E446)</f>
        <v/>
      </c>
      <c r="AE446" s="37" t="str">
        <f>IF(最佳化斷筋點!F446="","",最佳化斷筋點!F446)</f>
        <v/>
      </c>
      <c r="AF446" s="37" t="str">
        <f>IF(最佳化斷筋點!G446="","",最佳化斷筋點!G446)</f>
        <v/>
      </c>
      <c r="AG446" s="37" t="str">
        <f>IF(最佳化斷筋點!H446="","",最佳化斷筋點!H446)</f>
        <v/>
      </c>
      <c r="AH446" s="37" t="str">
        <f>IF(最佳化斷筋點!I446="","",最佳化斷筋點!I446)</f>
        <v/>
      </c>
      <c r="AI446" s="37" t="str">
        <f>IF(最佳化斷筋點!J446="","",最佳化斷筋點!J446)</f>
        <v/>
      </c>
      <c r="AJ446" s="37" t="str">
        <f>IF(最佳化斷筋點!K446="","",最佳化斷筋點!K446)</f>
        <v/>
      </c>
      <c r="AK446" s="37" t="str">
        <f>IF(最佳化斷筋點!L446="","",最佳化斷筋點!L446)</f>
        <v/>
      </c>
      <c r="AL446" s="37" t="str">
        <f>IF(最佳化斷筋點!M446="","",最佳化斷筋點!M446)</f>
        <v/>
      </c>
      <c r="AM446" s="37" t="str">
        <f>IF(最佳化斷筋點!N446="","",最佳化斷筋點!N446)</f>
        <v/>
      </c>
      <c r="AN446" s="37" t="str">
        <f>IF(最佳化斷筋點!O446="","",最佳化斷筋點!O446)</f>
        <v/>
      </c>
      <c r="AO446" s="37" t="str">
        <f>IF(最佳化斷筋點!P446="","",最佳化斷筋點!P446)</f>
        <v/>
      </c>
      <c r="AP446" s="37" t="str">
        <f>IF(最佳化斷筋點!Q446="","",最佳化斷筋點!Q446)</f>
        <v/>
      </c>
      <c r="AQ446" s="37" t="str">
        <f>IF(最佳化斷筋點!R446="","",最佳化斷筋點!R446)</f>
        <v/>
      </c>
      <c r="AR446" s="37" t="str">
        <f>IF(最佳化斷筋點!S446="","",最佳化斷筋點!S446)</f>
        <v/>
      </c>
      <c r="AS446" s="37" t="str">
        <f>IF(最佳化斷筋點!T446="","",最佳化斷筋點!T446)</f>
        <v/>
      </c>
      <c r="AT446" s="37" t="str">
        <f>IF(最佳化斷筋點!U446="","",最佳化斷筋點!U446)</f>
        <v/>
      </c>
      <c r="AU446" s="37" t="str">
        <f>IF(最佳化斷筋點!V446="","",最佳化斷筋點!V446)</f>
        <v/>
      </c>
      <c r="AV446" s="37" t="str">
        <f>IF(最佳化斷筋點!W446="","",最佳化斷筋點!W446)</f>
        <v/>
      </c>
      <c r="AW446" s="37" t="str">
        <f>IF(最佳化斷筋點!X446="","",最佳化斷筋點!X446)</f>
        <v/>
      </c>
      <c r="AZ446" s="37" t="s">
        <v>197</v>
      </c>
      <c r="BA446" s="37" t="s">
        <v>197</v>
      </c>
      <c r="BB446" s="37" t="s">
        <v>197</v>
      </c>
      <c r="BC446" s="37" t="s">
        <v>197</v>
      </c>
      <c r="BD446" s="37" t="s">
        <v>197</v>
      </c>
      <c r="BE446" s="37" t="s">
        <v>197</v>
      </c>
      <c r="BF446" s="37" t="s">
        <v>197</v>
      </c>
      <c r="BG446" s="37" t="s">
        <v>197</v>
      </c>
      <c r="BH446" s="37" t="s">
        <v>197</v>
      </c>
      <c r="BI446" s="37" t="s">
        <v>197</v>
      </c>
      <c r="BJ446" s="37" t="s">
        <v>197</v>
      </c>
      <c r="BK446" s="37" t="s">
        <v>197</v>
      </c>
      <c r="BL446" s="37" t="s">
        <v>197</v>
      </c>
      <c r="BM446" s="37" t="s">
        <v>197</v>
      </c>
      <c r="BN446" s="37" t="s">
        <v>197</v>
      </c>
      <c r="BO446" s="37" t="s">
        <v>197</v>
      </c>
      <c r="BP446" s="37" t="s">
        <v>197</v>
      </c>
      <c r="BQ446" s="37" t="s">
        <v>197</v>
      </c>
      <c r="BR446" s="37" t="s">
        <v>197</v>
      </c>
      <c r="BS446" s="37" t="s">
        <v>197</v>
      </c>
      <c r="BT446" s="37" t="s">
        <v>197</v>
      </c>
    </row>
    <row r="447" spans="5:72" x14ac:dyDescent="0.25">
      <c r="E447" s="6" t="s">
        <v>20</v>
      </c>
      <c r="F447" s="6">
        <f t="shared" si="127"/>
        <v>0</v>
      </c>
      <c r="G447" s="6">
        <f t="shared" si="128"/>
        <v>0</v>
      </c>
      <c r="H447" s="6">
        <f t="shared" si="129"/>
        <v>0</v>
      </c>
      <c r="I447" s="6">
        <f t="shared" si="130"/>
        <v>0</v>
      </c>
      <c r="J447" s="6">
        <f t="shared" si="131"/>
        <v>0</v>
      </c>
      <c r="K447" s="6">
        <f t="shared" si="132"/>
        <v>0</v>
      </c>
      <c r="L447" s="6">
        <f t="shared" si="133"/>
        <v>0</v>
      </c>
      <c r="M447" s="6">
        <f t="shared" si="134"/>
        <v>0</v>
      </c>
      <c r="N447" s="6">
        <f t="shared" si="135"/>
        <v>0</v>
      </c>
      <c r="O447" s="6">
        <f t="shared" si="136"/>
        <v>0</v>
      </c>
      <c r="P447" s="6">
        <f t="shared" si="137"/>
        <v>0</v>
      </c>
      <c r="Q447" s="6">
        <f t="shared" si="138"/>
        <v>0</v>
      </c>
      <c r="R447" s="6">
        <f t="shared" si="139"/>
        <v>0</v>
      </c>
      <c r="S447" s="6">
        <f t="shared" si="140"/>
        <v>0</v>
      </c>
      <c r="T447" s="6">
        <f t="shared" si="141"/>
        <v>0</v>
      </c>
      <c r="U447" s="6">
        <f t="shared" si="142"/>
        <v>0</v>
      </c>
      <c r="V447" s="6">
        <f t="shared" si="143"/>
        <v>0</v>
      </c>
      <c r="W447" s="6">
        <f t="shared" si="144"/>
        <v>0</v>
      </c>
      <c r="X447" s="6">
        <f t="shared" si="145"/>
        <v>0</v>
      </c>
      <c r="Y447" s="6">
        <f t="shared" si="146"/>
        <v>0</v>
      </c>
      <c r="Z447" s="6">
        <f t="shared" si="147"/>
        <v>0</v>
      </c>
      <c r="AB447" s="36" t="str">
        <f>IF(最佳化斷筋點!C447="","",最佳化斷筋點!C447)</f>
        <v>上層</v>
      </c>
      <c r="AC447" s="37">
        <f>IF(最佳化斷筋點!D447="","",最佳化斷筋點!D447)</f>
        <v>7</v>
      </c>
      <c r="AD447" s="37">
        <f>IF(最佳化斷筋點!E447="","",最佳化斷筋點!E447)</f>
        <v>7</v>
      </c>
      <c r="AE447" s="37">
        <f>IF(最佳化斷筋點!F447="","",最佳化斷筋點!F447)</f>
        <v>7</v>
      </c>
      <c r="AF447" s="37">
        <f>IF(最佳化斷筋點!G447="","",最佳化斷筋點!G447)</f>
        <v>7</v>
      </c>
      <c r="AG447" s="37">
        <f>IF(最佳化斷筋點!H447="","",最佳化斷筋點!H447)</f>
        <v>7</v>
      </c>
      <c r="AH447" s="37">
        <f>IF(最佳化斷筋點!I447="","",最佳化斷筋點!I447)</f>
        <v>7</v>
      </c>
      <c r="AI447" s="37">
        <f>IF(最佳化斷筋點!J447="","",最佳化斷筋點!J447)</f>
        <v>7</v>
      </c>
      <c r="AJ447" s="37">
        <f>IF(最佳化斷筋點!K447="","",最佳化斷筋點!K447)</f>
        <v>7</v>
      </c>
      <c r="AK447" s="37">
        <f>IF(最佳化斷筋點!L447="","",最佳化斷筋點!L447)</f>
        <v>6</v>
      </c>
      <c r="AL447" s="37">
        <f>IF(最佳化斷筋點!M447="","",最佳化斷筋點!M447)</f>
        <v>6</v>
      </c>
      <c r="AM447" s="37">
        <f>IF(最佳化斷筋點!N447="","",最佳化斷筋點!N447)</f>
        <v>6</v>
      </c>
      <c r="AN447" s="37">
        <f>IF(最佳化斷筋點!O447="","",最佳化斷筋點!O447)</f>
        <v>6</v>
      </c>
      <c r="AO447" s="37">
        <f>IF(最佳化斷筋點!P447="","",最佳化斷筋點!P447)</f>
        <v>7</v>
      </c>
      <c r="AP447" s="37">
        <f>IF(最佳化斷筋點!Q447="","",最佳化斷筋點!Q447)</f>
        <v>8</v>
      </c>
      <c r="AQ447" s="37">
        <f>IF(最佳化斷筋點!R447="","",最佳化斷筋點!R447)</f>
        <v>8</v>
      </c>
      <c r="AR447" s="37">
        <f>IF(最佳化斷筋點!S447="","",最佳化斷筋點!S447)</f>
        <v>8</v>
      </c>
      <c r="AS447" s="37">
        <f>IF(最佳化斷筋點!T447="","",最佳化斷筋點!T447)</f>
        <v>8</v>
      </c>
      <c r="AT447" s="37">
        <f>IF(最佳化斷筋點!U447="","",最佳化斷筋點!U447)</f>
        <v>8</v>
      </c>
      <c r="AU447" s="37">
        <f>IF(最佳化斷筋點!V447="","",最佳化斷筋點!V447)</f>
        <v>8</v>
      </c>
      <c r="AV447" s="37">
        <f>IF(最佳化斷筋點!W447="","",最佳化斷筋點!W447)</f>
        <v>8</v>
      </c>
      <c r="AW447" s="37">
        <f>IF(最佳化斷筋點!X447="","",最佳化斷筋點!X447)</f>
        <v>8</v>
      </c>
      <c r="AY447" s="6" t="s">
        <v>20</v>
      </c>
      <c r="AZ447" s="37">
        <v>7</v>
      </c>
      <c r="BA447" s="37">
        <v>7</v>
      </c>
      <c r="BB447" s="37">
        <v>7</v>
      </c>
      <c r="BC447" s="37">
        <v>7</v>
      </c>
      <c r="BD447" s="37">
        <v>7</v>
      </c>
      <c r="BE447" s="37">
        <v>7</v>
      </c>
      <c r="BF447" s="37">
        <v>7</v>
      </c>
      <c r="BG447" s="37">
        <v>7</v>
      </c>
      <c r="BH447" s="37">
        <v>6</v>
      </c>
      <c r="BI447" s="37">
        <v>6</v>
      </c>
      <c r="BJ447" s="37">
        <v>6</v>
      </c>
      <c r="BK447" s="37">
        <v>6</v>
      </c>
      <c r="BL447" s="37">
        <v>7</v>
      </c>
      <c r="BM447" s="37">
        <v>8</v>
      </c>
      <c r="BN447" s="37">
        <v>8</v>
      </c>
      <c r="BO447" s="37">
        <v>8</v>
      </c>
      <c r="BP447" s="37">
        <v>8</v>
      </c>
      <c r="BQ447" s="37">
        <v>8</v>
      </c>
      <c r="BR447" s="37">
        <v>8</v>
      </c>
      <c r="BS447" s="37">
        <v>8</v>
      </c>
      <c r="BT447" s="37">
        <v>8</v>
      </c>
    </row>
    <row r="448" spans="5:72" x14ac:dyDescent="0.25">
      <c r="F448" s="6">
        <f t="shared" si="127"/>
        <v>0</v>
      </c>
      <c r="G448" s="6">
        <f t="shared" si="128"/>
        <v>0</v>
      </c>
      <c r="H448" s="6">
        <f t="shared" si="129"/>
        <v>0</v>
      </c>
      <c r="I448" s="6">
        <f t="shared" si="130"/>
        <v>0</v>
      </c>
      <c r="J448" s="6">
        <f t="shared" si="131"/>
        <v>0</v>
      </c>
      <c r="K448" s="6">
        <f t="shared" si="132"/>
        <v>0</v>
      </c>
      <c r="L448" s="6">
        <f t="shared" si="133"/>
        <v>0</v>
      </c>
      <c r="M448" s="6">
        <f t="shared" si="134"/>
        <v>0</v>
      </c>
      <c r="N448" s="6">
        <f t="shared" si="135"/>
        <v>0</v>
      </c>
      <c r="O448" s="6">
        <f t="shared" si="136"/>
        <v>0</v>
      </c>
      <c r="P448" s="6">
        <f t="shared" si="137"/>
        <v>0</v>
      </c>
      <c r="Q448" s="6">
        <f t="shared" si="138"/>
        <v>0</v>
      </c>
      <c r="R448" s="6">
        <f t="shared" si="139"/>
        <v>0</v>
      </c>
      <c r="S448" s="6">
        <f t="shared" si="140"/>
        <v>0</v>
      </c>
      <c r="T448" s="6">
        <f t="shared" si="141"/>
        <v>0</v>
      </c>
      <c r="U448" s="6">
        <f t="shared" si="142"/>
        <v>0</v>
      </c>
      <c r="V448" s="6">
        <f t="shared" si="143"/>
        <v>0</v>
      </c>
      <c r="W448" s="6">
        <f t="shared" si="144"/>
        <v>0</v>
      </c>
      <c r="X448" s="6">
        <f t="shared" si="145"/>
        <v>0</v>
      </c>
      <c r="Y448" s="6">
        <f t="shared" si="146"/>
        <v>0</v>
      </c>
      <c r="Z448" s="6">
        <f t="shared" si="147"/>
        <v>0</v>
      </c>
      <c r="AB448" s="36" t="str">
        <f>IF(最佳化斷筋點!C448="","",最佳化斷筋點!C448)</f>
        <v/>
      </c>
      <c r="AC448" s="37" t="str">
        <f>IF(最佳化斷筋點!D448="","",最佳化斷筋點!D448)</f>
        <v/>
      </c>
      <c r="AD448" s="37" t="str">
        <f>IF(最佳化斷筋點!E448="","",最佳化斷筋點!E448)</f>
        <v/>
      </c>
      <c r="AE448" s="37" t="str">
        <f>IF(最佳化斷筋點!F448="","",最佳化斷筋點!F448)</f>
        <v/>
      </c>
      <c r="AF448" s="37" t="str">
        <f>IF(最佳化斷筋點!G448="","",最佳化斷筋點!G448)</f>
        <v/>
      </c>
      <c r="AG448" s="37" t="str">
        <f>IF(最佳化斷筋點!H448="","",最佳化斷筋點!H448)</f>
        <v/>
      </c>
      <c r="AH448" s="37" t="str">
        <f>IF(最佳化斷筋點!I448="","",最佳化斷筋點!I448)</f>
        <v/>
      </c>
      <c r="AI448" s="37" t="str">
        <f>IF(最佳化斷筋點!J448="","",最佳化斷筋點!J448)</f>
        <v/>
      </c>
      <c r="AJ448" s="37" t="str">
        <f>IF(最佳化斷筋點!K448="","",最佳化斷筋點!K448)</f>
        <v/>
      </c>
      <c r="AK448" s="37" t="str">
        <f>IF(最佳化斷筋點!L448="","",最佳化斷筋點!L448)</f>
        <v/>
      </c>
      <c r="AL448" s="37" t="str">
        <f>IF(最佳化斷筋點!M448="","",最佳化斷筋點!M448)</f>
        <v/>
      </c>
      <c r="AM448" s="37" t="str">
        <f>IF(最佳化斷筋點!N448="","",最佳化斷筋點!N448)</f>
        <v/>
      </c>
      <c r="AN448" s="37" t="str">
        <f>IF(最佳化斷筋點!O448="","",最佳化斷筋點!O448)</f>
        <v/>
      </c>
      <c r="AO448" s="37" t="str">
        <f>IF(最佳化斷筋點!P448="","",最佳化斷筋點!P448)</f>
        <v/>
      </c>
      <c r="AP448" s="37" t="str">
        <f>IF(最佳化斷筋點!Q448="","",最佳化斷筋點!Q448)</f>
        <v/>
      </c>
      <c r="AQ448" s="37" t="str">
        <f>IF(最佳化斷筋點!R448="","",最佳化斷筋點!R448)</f>
        <v/>
      </c>
      <c r="AR448" s="37" t="str">
        <f>IF(最佳化斷筋點!S448="","",最佳化斷筋點!S448)</f>
        <v/>
      </c>
      <c r="AS448" s="37" t="str">
        <f>IF(最佳化斷筋點!T448="","",最佳化斷筋點!T448)</f>
        <v/>
      </c>
      <c r="AT448" s="37" t="str">
        <f>IF(最佳化斷筋點!U448="","",最佳化斷筋點!U448)</f>
        <v/>
      </c>
      <c r="AU448" s="37" t="str">
        <f>IF(最佳化斷筋點!V448="","",最佳化斷筋點!V448)</f>
        <v/>
      </c>
      <c r="AV448" s="37" t="str">
        <f>IF(最佳化斷筋點!W448="","",最佳化斷筋點!W448)</f>
        <v/>
      </c>
      <c r="AW448" s="37" t="str">
        <f>IF(最佳化斷筋點!X448="","",最佳化斷筋點!X448)</f>
        <v/>
      </c>
      <c r="AZ448" s="37" t="s">
        <v>197</v>
      </c>
      <c r="BA448" s="37" t="s">
        <v>197</v>
      </c>
      <c r="BB448" s="37" t="s">
        <v>197</v>
      </c>
      <c r="BC448" s="37" t="s">
        <v>197</v>
      </c>
      <c r="BD448" s="37" t="s">
        <v>197</v>
      </c>
      <c r="BE448" s="37" t="s">
        <v>197</v>
      </c>
      <c r="BF448" s="37" t="s">
        <v>197</v>
      </c>
      <c r="BG448" s="37" t="s">
        <v>197</v>
      </c>
      <c r="BH448" s="37" t="s">
        <v>197</v>
      </c>
      <c r="BI448" s="37" t="s">
        <v>197</v>
      </c>
      <c r="BJ448" s="37" t="s">
        <v>197</v>
      </c>
      <c r="BK448" s="37" t="s">
        <v>197</v>
      </c>
      <c r="BL448" s="37" t="s">
        <v>197</v>
      </c>
      <c r="BM448" s="37" t="s">
        <v>197</v>
      </c>
      <c r="BN448" s="37" t="s">
        <v>197</v>
      </c>
      <c r="BO448" s="37" t="s">
        <v>197</v>
      </c>
      <c r="BP448" s="37" t="s">
        <v>197</v>
      </c>
      <c r="BQ448" s="37" t="s">
        <v>197</v>
      </c>
      <c r="BR448" s="37" t="s">
        <v>197</v>
      </c>
      <c r="BS448" s="37" t="s">
        <v>197</v>
      </c>
      <c r="BT448" s="37" t="s">
        <v>197</v>
      </c>
    </row>
    <row r="449" spans="5:72" x14ac:dyDescent="0.25">
      <c r="E449" s="6" t="s">
        <v>21</v>
      </c>
      <c r="F449" s="6">
        <f t="shared" si="127"/>
        <v>0</v>
      </c>
      <c r="G449" s="6">
        <f t="shared" si="128"/>
        <v>0</v>
      </c>
      <c r="H449" s="6">
        <f t="shared" si="129"/>
        <v>0</v>
      </c>
      <c r="I449" s="6">
        <f t="shared" si="130"/>
        <v>0</v>
      </c>
      <c r="J449" s="6">
        <f t="shared" si="131"/>
        <v>0</v>
      </c>
      <c r="K449" s="6">
        <f t="shared" si="132"/>
        <v>0</v>
      </c>
      <c r="L449" s="6">
        <f t="shared" si="133"/>
        <v>0</v>
      </c>
      <c r="M449" s="6">
        <f t="shared" si="134"/>
        <v>0</v>
      </c>
      <c r="N449" s="6">
        <f t="shared" si="135"/>
        <v>0</v>
      </c>
      <c r="O449" s="6">
        <f t="shared" si="136"/>
        <v>0</v>
      </c>
      <c r="P449" s="6">
        <f t="shared" si="137"/>
        <v>0</v>
      </c>
      <c r="Q449" s="6">
        <f t="shared" si="138"/>
        <v>0</v>
      </c>
      <c r="R449" s="6">
        <f t="shared" si="139"/>
        <v>0</v>
      </c>
      <c r="S449" s="6">
        <f t="shared" si="140"/>
        <v>0</v>
      </c>
      <c r="T449" s="6">
        <f t="shared" si="141"/>
        <v>0</v>
      </c>
      <c r="U449" s="6">
        <f t="shared" si="142"/>
        <v>0</v>
      </c>
      <c r="V449" s="6">
        <f t="shared" si="143"/>
        <v>0</v>
      </c>
      <c r="W449" s="6">
        <f t="shared" si="144"/>
        <v>0</v>
      </c>
      <c r="X449" s="6">
        <f t="shared" si="145"/>
        <v>0</v>
      </c>
      <c r="Y449" s="6">
        <f t="shared" si="146"/>
        <v>0</v>
      </c>
      <c r="Z449" s="6">
        <f t="shared" si="147"/>
        <v>0</v>
      </c>
      <c r="AB449" s="36" t="str">
        <f>IF(最佳化斷筋點!C449="","",最佳化斷筋點!C449)</f>
        <v>下層</v>
      </c>
      <c r="AC449" s="37">
        <f>IF(最佳化斷筋點!D449="","",最佳化斷筋點!D449)</f>
        <v>11</v>
      </c>
      <c r="AD449" s="37">
        <f>IF(最佳化斷筋點!E449="","",最佳化斷筋點!E449)</f>
        <v>11</v>
      </c>
      <c r="AE449" s="37">
        <f>IF(最佳化斷筋點!F449="","",最佳化斷筋點!F449)</f>
        <v>11</v>
      </c>
      <c r="AF449" s="37">
        <f>IF(最佳化斷筋點!G449="","",最佳化斷筋點!G449)</f>
        <v>11</v>
      </c>
      <c r="AG449" s="37">
        <f>IF(最佳化斷筋點!H449="","",最佳化斷筋點!H449)</f>
        <v>11</v>
      </c>
      <c r="AH449" s="37">
        <f>IF(最佳化斷筋點!I449="","",最佳化斷筋點!I449)</f>
        <v>11</v>
      </c>
      <c r="AI449" s="37">
        <f>IF(最佳化斷筋點!J449="","",最佳化斷筋點!J449)</f>
        <v>10</v>
      </c>
      <c r="AJ449" s="37">
        <f>IF(最佳化斷筋點!K449="","",最佳化斷筋點!K449)</f>
        <v>10</v>
      </c>
      <c r="AK449" s="37">
        <f>IF(最佳化斷筋點!L449="","",最佳化斷筋點!L449)</f>
        <v>10</v>
      </c>
      <c r="AL449" s="37">
        <f>IF(最佳化斷筋點!M449="","",最佳化斷筋點!M449)</f>
        <v>10</v>
      </c>
      <c r="AM449" s="37">
        <f>IF(最佳化斷筋點!N449="","",最佳化斷筋點!N449)</f>
        <v>10</v>
      </c>
      <c r="AN449" s="37">
        <f>IF(最佳化斷筋點!O449="","",最佳化斷筋點!O449)</f>
        <v>10</v>
      </c>
      <c r="AO449" s="37">
        <f>IF(最佳化斷筋點!P449="","",最佳化斷筋點!P449)</f>
        <v>10</v>
      </c>
      <c r="AP449" s="37">
        <f>IF(最佳化斷筋點!Q449="","",最佳化斷筋點!Q449)</f>
        <v>10</v>
      </c>
      <c r="AQ449" s="37">
        <f>IF(最佳化斷筋點!R449="","",最佳化斷筋點!R449)</f>
        <v>10</v>
      </c>
      <c r="AR449" s="37">
        <f>IF(最佳化斷筋點!S449="","",最佳化斷筋點!S449)</f>
        <v>10</v>
      </c>
      <c r="AS449" s="37">
        <f>IF(最佳化斷筋點!T449="","",最佳化斷筋點!T449)</f>
        <v>10</v>
      </c>
      <c r="AT449" s="37">
        <f>IF(最佳化斷筋點!U449="","",最佳化斷筋點!U449)</f>
        <v>10</v>
      </c>
      <c r="AU449" s="37">
        <f>IF(最佳化斷筋點!V449="","",最佳化斷筋點!V449)</f>
        <v>10</v>
      </c>
      <c r="AV449" s="37">
        <f>IF(最佳化斷筋點!W449="","",最佳化斷筋點!W449)</f>
        <v>10</v>
      </c>
      <c r="AW449" s="37">
        <f>IF(最佳化斷筋點!X449="","",最佳化斷筋點!X449)</f>
        <v>10</v>
      </c>
      <c r="AY449" s="6" t="s">
        <v>21</v>
      </c>
      <c r="AZ449" s="37">
        <v>11</v>
      </c>
      <c r="BA449" s="37">
        <v>11</v>
      </c>
      <c r="BB449" s="37">
        <v>11</v>
      </c>
      <c r="BC449" s="37">
        <v>11</v>
      </c>
      <c r="BD449" s="37">
        <v>11</v>
      </c>
      <c r="BE449" s="37">
        <v>11</v>
      </c>
      <c r="BF449" s="37">
        <v>10</v>
      </c>
      <c r="BG449" s="37">
        <v>10</v>
      </c>
      <c r="BH449" s="37">
        <v>10</v>
      </c>
      <c r="BI449" s="37">
        <v>10</v>
      </c>
      <c r="BJ449" s="37">
        <v>10</v>
      </c>
      <c r="BK449" s="37">
        <v>10</v>
      </c>
      <c r="BL449" s="37">
        <v>10</v>
      </c>
      <c r="BM449" s="37">
        <v>10</v>
      </c>
      <c r="BN449" s="37">
        <v>10</v>
      </c>
      <c r="BO449" s="37">
        <v>10</v>
      </c>
      <c r="BP449" s="37">
        <v>10</v>
      </c>
      <c r="BQ449" s="37">
        <v>10</v>
      </c>
      <c r="BR449" s="37">
        <v>10</v>
      </c>
      <c r="BS449" s="37">
        <v>10</v>
      </c>
      <c r="BT449" s="37">
        <v>10</v>
      </c>
    </row>
    <row r="450" spans="5:72" x14ac:dyDescent="0.25">
      <c r="F450" s="6">
        <f t="shared" si="127"/>
        <v>0</v>
      </c>
      <c r="G450" s="6">
        <f t="shared" si="128"/>
        <v>0</v>
      </c>
      <c r="H450" s="6">
        <f t="shared" si="129"/>
        <v>0</v>
      </c>
      <c r="I450" s="6">
        <f t="shared" si="130"/>
        <v>0</v>
      </c>
      <c r="J450" s="6">
        <f t="shared" si="131"/>
        <v>0</v>
      </c>
      <c r="K450" s="6">
        <f t="shared" si="132"/>
        <v>0</v>
      </c>
      <c r="L450" s="6">
        <f t="shared" si="133"/>
        <v>0</v>
      </c>
      <c r="M450" s="6">
        <f t="shared" si="134"/>
        <v>0</v>
      </c>
      <c r="N450" s="6">
        <f t="shared" si="135"/>
        <v>0</v>
      </c>
      <c r="O450" s="6">
        <f t="shared" si="136"/>
        <v>0</v>
      </c>
      <c r="P450" s="6">
        <f t="shared" si="137"/>
        <v>0</v>
      </c>
      <c r="Q450" s="6">
        <f t="shared" si="138"/>
        <v>0</v>
      </c>
      <c r="R450" s="6">
        <f t="shared" si="139"/>
        <v>0</v>
      </c>
      <c r="S450" s="6">
        <f t="shared" si="140"/>
        <v>0</v>
      </c>
      <c r="T450" s="6">
        <f t="shared" si="141"/>
        <v>0</v>
      </c>
      <c r="U450" s="6">
        <f t="shared" si="142"/>
        <v>0</v>
      </c>
      <c r="V450" s="6">
        <f t="shared" si="143"/>
        <v>0</v>
      </c>
      <c r="W450" s="6">
        <f t="shared" si="144"/>
        <v>0</v>
      </c>
      <c r="X450" s="6">
        <f t="shared" si="145"/>
        <v>0</v>
      </c>
      <c r="Y450" s="6">
        <f t="shared" si="146"/>
        <v>0</v>
      </c>
      <c r="Z450" s="6">
        <f t="shared" si="147"/>
        <v>0</v>
      </c>
      <c r="AB450" s="36" t="str">
        <f>IF(最佳化斷筋點!C450="","",最佳化斷筋點!C450)</f>
        <v/>
      </c>
      <c r="AC450" s="37" t="str">
        <f>IF(最佳化斷筋點!D450="","",最佳化斷筋點!D450)</f>
        <v/>
      </c>
      <c r="AD450" s="37" t="str">
        <f>IF(最佳化斷筋點!E450="","",最佳化斷筋點!E450)</f>
        <v/>
      </c>
      <c r="AE450" s="37" t="str">
        <f>IF(最佳化斷筋點!F450="","",最佳化斷筋點!F450)</f>
        <v/>
      </c>
      <c r="AF450" s="37" t="str">
        <f>IF(最佳化斷筋點!G450="","",最佳化斷筋點!G450)</f>
        <v/>
      </c>
      <c r="AG450" s="37" t="str">
        <f>IF(最佳化斷筋點!H450="","",最佳化斷筋點!H450)</f>
        <v/>
      </c>
      <c r="AH450" s="37" t="str">
        <f>IF(最佳化斷筋點!I450="","",最佳化斷筋點!I450)</f>
        <v/>
      </c>
      <c r="AI450" s="37" t="str">
        <f>IF(最佳化斷筋點!J450="","",最佳化斷筋點!J450)</f>
        <v/>
      </c>
      <c r="AJ450" s="37" t="str">
        <f>IF(最佳化斷筋點!K450="","",最佳化斷筋點!K450)</f>
        <v/>
      </c>
      <c r="AK450" s="37" t="str">
        <f>IF(最佳化斷筋點!L450="","",最佳化斷筋點!L450)</f>
        <v/>
      </c>
      <c r="AL450" s="37" t="str">
        <f>IF(最佳化斷筋點!M450="","",最佳化斷筋點!M450)</f>
        <v/>
      </c>
      <c r="AM450" s="37" t="str">
        <f>IF(最佳化斷筋點!N450="","",最佳化斷筋點!N450)</f>
        <v/>
      </c>
      <c r="AN450" s="37" t="str">
        <f>IF(最佳化斷筋點!O450="","",最佳化斷筋點!O450)</f>
        <v/>
      </c>
      <c r="AO450" s="37" t="str">
        <f>IF(最佳化斷筋點!P450="","",最佳化斷筋點!P450)</f>
        <v/>
      </c>
      <c r="AP450" s="37" t="str">
        <f>IF(最佳化斷筋點!Q450="","",最佳化斷筋點!Q450)</f>
        <v/>
      </c>
      <c r="AQ450" s="37" t="str">
        <f>IF(最佳化斷筋點!R450="","",最佳化斷筋點!R450)</f>
        <v/>
      </c>
      <c r="AR450" s="37" t="str">
        <f>IF(最佳化斷筋點!S450="","",最佳化斷筋點!S450)</f>
        <v/>
      </c>
      <c r="AS450" s="37" t="str">
        <f>IF(最佳化斷筋點!T450="","",最佳化斷筋點!T450)</f>
        <v/>
      </c>
      <c r="AT450" s="37" t="str">
        <f>IF(最佳化斷筋點!U450="","",最佳化斷筋點!U450)</f>
        <v/>
      </c>
      <c r="AU450" s="37" t="str">
        <f>IF(最佳化斷筋點!V450="","",最佳化斷筋點!V450)</f>
        <v/>
      </c>
      <c r="AV450" s="37" t="str">
        <f>IF(最佳化斷筋點!W450="","",最佳化斷筋點!W450)</f>
        <v/>
      </c>
      <c r="AW450" s="37" t="str">
        <f>IF(最佳化斷筋點!X450="","",最佳化斷筋點!X450)</f>
        <v/>
      </c>
      <c r="AZ450" s="37" t="s">
        <v>197</v>
      </c>
      <c r="BA450" s="37" t="s">
        <v>197</v>
      </c>
      <c r="BB450" s="37" t="s">
        <v>197</v>
      </c>
      <c r="BC450" s="37" t="s">
        <v>197</v>
      </c>
      <c r="BD450" s="37" t="s">
        <v>197</v>
      </c>
      <c r="BE450" s="37" t="s">
        <v>197</v>
      </c>
      <c r="BF450" s="37" t="s">
        <v>197</v>
      </c>
      <c r="BG450" s="37" t="s">
        <v>197</v>
      </c>
      <c r="BH450" s="37" t="s">
        <v>197</v>
      </c>
      <c r="BI450" s="37" t="s">
        <v>197</v>
      </c>
      <c r="BJ450" s="37" t="s">
        <v>197</v>
      </c>
      <c r="BK450" s="37" t="s">
        <v>197</v>
      </c>
      <c r="BL450" s="37" t="s">
        <v>197</v>
      </c>
      <c r="BM450" s="37" t="s">
        <v>197</v>
      </c>
      <c r="BN450" s="37" t="s">
        <v>197</v>
      </c>
      <c r="BO450" s="37" t="s">
        <v>197</v>
      </c>
      <c r="BP450" s="37" t="s">
        <v>197</v>
      </c>
      <c r="BQ450" s="37" t="s">
        <v>197</v>
      </c>
      <c r="BR450" s="37" t="s">
        <v>197</v>
      </c>
      <c r="BS450" s="37" t="s">
        <v>197</v>
      </c>
      <c r="BT450" s="37" t="s">
        <v>197</v>
      </c>
    </row>
    <row r="451" spans="5:72" x14ac:dyDescent="0.25">
      <c r="E451" s="6" t="s">
        <v>20</v>
      </c>
      <c r="F451" s="6">
        <f t="shared" si="127"/>
        <v>0</v>
      </c>
      <c r="G451" s="6">
        <f t="shared" si="128"/>
        <v>0</v>
      </c>
      <c r="H451" s="6">
        <f t="shared" si="129"/>
        <v>0</v>
      </c>
      <c r="I451" s="6">
        <f t="shared" si="130"/>
        <v>0</v>
      </c>
      <c r="J451" s="6">
        <f t="shared" si="131"/>
        <v>0</v>
      </c>
      <c r="K451" s="6">
        <f t="shared" si="132"/>
        <v>0</v>
      </c>
      <c r="L451" s="6">
        <f t="shared" si="133"/>
        <v>0</v>
      </c>
      <c r="M451" s="6">
        <f t="shared" si="134"/>
        <v>0</v>
      </c>
      <c r="N451" s="6">
        <f t="shared" si="135"/>
        <v>0</v>
      </c>
      <c r="O451" s="6">
        <f t="shared" si="136"/>
        <v>0</v>
      </c>
      <c r="P451" s="6">
        <f t="shared" si="137"/>
        <v>0</v>
      </c>
      <c r="Q451" s="6">
        <f t="shared" si="138"/>
        <v>0</v>
      </c>
      <c r="R451" s="6">
        <f t="shared" si="139"/>
        <v>0</v>
      </c>
      <c r="S451" s="6">
        <f t="shared" si="140"/>
        <v>0</v>
      </c>
      <c r="T451" s="6">
        <f t="shared" si="141"/>
        <v>0</v>
      </c>
      <c r="U451" s="6">
        <f t="shared" si="142"/>
        <v>0</v>
      </c>
      <c r="V451" s="6">
        <f t="shared" si="143"/>
        <v>0</v>
      </c>
      <c r="W451" s="6">
        <f t="shared" si="144"/>
        <v>0</v>
      </c>
      <c r="X451" s="6">
        <f t="shared" si="145"/>
        <v>0</v>
      </c>
      <c r="Y451" s="6">
        <f t="shared" si="146"/>
        <v>0</v>
      </c>
      <c r="Z451" s="6">
        <f t="shared" si="147"/>
        <v>0</v>
      </c>
      <c r="AB451" s="36" t="str">
        <f>IF(最佳化斷筋點!C451="","",最佳化斷筋點!C451)</f>
        <v>上層</v>
      </c>
      <c r="AC451" s="37">
        <f>IF(最佳化斷筋點!D451="","",最佳化斷筋點!D451)</f>
        <v>6</v>
      </c>
      <c r="AD451" s="37">
        <f>IF(最佳化斷筋點!E451="","",最佳化斷筋點!E451)</f>
        <v>6</v>
      </c>
      <c r="AE451" s="37">
        <f>IF(最佳化斷筋點!F451="","",最佳化斷筋點!F451)</f>
        <v>6</v>
      </c>
      <c r="AF451" s="37">
        <f>IF(最佳化斷筋點!G451="","",最佳化斷筋點!G451)</f>
        <v>6</v>
      </c>
      <c r="AG451" s="37">
        <f>IF(最佳化斷筋點!H451="","",最佳化斷筋點!H451)</f>
        <v>6</v>
      </c>
      <c r="AH451" s="37">
        <f>IF(最佳化斷筋點!I451="","",最佳化斷筋點!I451)</f>
        <v>6</v>
      </c>
      <c r="AI451" s="37">
        <f>IF(最佳化斷筋點!J451="","",最佳化斷筋點!J451)</f>
        <v>6</v>
      </c>
      <c r="AJ451" s="37">
        <f>IF(最佳化斷筋點!K451="","",最佳化斷筋點!K451)</f>
        <v>3</v>
      </c>
      <c r="AK451" s="37">
        <f>IF(最佳化斷筋點!L451="","",最佳化斷筋點!L451)</f>
        <v>3</v>
      </c>
      <c r="AL451" s="37">
        <f>IF(最佳化斷筋點!M451="","",最佳化斷筋點!M451)</f>
        <v>3</v>
      </c>
      <c r="AM451" s="37">
        <f>IF(最佳化斷筋點!N451="","",最佳化斷筋點!N451)</f>
        <v>3</v>
      </c>
      <c r="AN451" s="37">
        <f>IF(最佳化斷筋點!O451="","",最佳化斷筋點!O451)</f>
        <v>3</v>
      </c>
      <c r="AO451" s="37">
        <f>IF(最佳化斷筋點!P451="","",最佳化斷筋點!P451)</f>
        <v>3</v>
      </c>
      <c r="AP451" s="37">
        <f>IF(最佳化斷筋點!Q451="","",最佳化斷筋點!Q451)</f>
        <v>8</v>
      </c>
      <c r="AQ451" s="37">
        <f>IF(最佳化斷筋點!R451="","",最佳化斷筋點!R451)</f>
        <v>9</v>
      </c>
      <c r="AR451" s="37">
        <f>IF(最佳化斷筋點!S451="","",最佳化斷筋點!S451)</f>
        <v>9</v>
      </c>
      <c r="AS451" s="37">
        <f>IF(最佳化斷筋點!T451="","",最佳化斷筋點!T451)</f>
        <v>9</v>
      </c>
      <c r="AT451" s="37">
        <f>IF(最佳化斷筋點!U451="","",最佳化斷筋點!U451)</f>
        <v>9</v>
      </c>
      <c r="AU451" s="37">
        <f>IF(最佳化斷筋點!V451="","",最佳化斷筋點!V451)</f>
        <v>9</v>
      </c>
      <c r="AV451" s="37">
        <f>IF(最佳化斷筋點!W451="","",最佳化斷筋點!W451)</f>
        <v>9</v>
      </c>
      <c r="AW451" s="37">
        <f>IF(最佳化斷筋點!X451="","",最佳化斷筋點!X451)</f>
        <v>9</v>
      </c>
      <c r="AY451" s="6" t="s">
        <v>20</v>
      </c>
      <c r="AZ451" s="37">
        <v>6</v>
      </c>
      <c r="BA451" s="37">
        <v>6</v>
      </c>
      <c r="BB451" s="37">
        <v>6</v>
      </c>
      <c r="BC451" s="37">
        <v>6</v>
      </c>
      <c r="BD451" s="37">
        <v>6</v>
      </c>
      <c r="BE451" s="37">
        <v>6</v>
      </c>
      <c r="BF451" s="37">
        <v>6</v>
      </c>
      <c r="BG451" s="37">
        <v>3</v>
      </c>
      <c r="BH451" s="37">
        <v>3</v>
      </c>
      <c r="BI451" s="37">
        <v>3</v>
      </c>
      <c r="BJ451" s="37">
        <v>3</v>
      </c>
      <c r="BK451" s="37">
        <v>3</v>
      </c>
      <c r="BL451" s="37">
        <v>3</v>
      </c>
      <c r="BM451" s="37">
        <v>8</v>
      </c>
      <c r="BN451" s="37">
        <v>9</v>
      </c>
      <c r="BO451" s="37">
        <v>9</v>
      </c>
      <c r="BP451" s="37">
        <v>9</v>
      </c>
      <c r="BQ451" s="37">
        <v>9</v>
      </c>
      <c r="BR451" s="37">
        <v>9</v>
      </c>
      <c r="BS451" s="37">
        <v>9</v>
      </c>
      <c r="BT451" s="37">
        <v>9</v>
      </c>
    </row>
    <row r="452" spans="5:72" x14ac:dyDescent="0.25">
      <c r="F452" s="6">
        <f t="shared" ref="F452:F515" si="148">IF(AC452=AZ452,0,1)</f>
        <v>0</v>
      </c>
      <c r="G452" s="6">
        <f t="shared" ref="G452:G515" si="149">IF(AD452=BA452,0,1)</f>
        <v>0</v>
      </c>
      <c r="H452" s="6">
        <f t="shared" ref="H452:H515" si="150">IF(AE452=BB452,0,1)</f>
        <v>0</v>
      </c>
      <c r="I452" s="6">
        <f t="shared" ref="I452:I515" si="151">IF(AF452=BC452,0,1)</f>
        <v>0</v>
      </c>
      <c r="J452" s="6">
        <f t="shared" ref="J452:J515" si="152">IF(AG452=BD452,0,1)</f>
        <v>0</v>
      </c>
      <c r="K452" s="6">
        <f t="shared" ref="K452:K515" si="153">IF(AH452=BE452,0,1)</f>
        <v>0</v>
      </c>
      <c r="L452" s="6">
        <f t="shared" ref="L452:L515" si="154">IF(AI452=BF452,0,1)</f>
        <v>0</v>
      </c>
      <c r="M452" s="6">
        <f t="shared" ref="M452:M515" si="155">IF(AJ452=BG452,0,1)</f>
        <v>0</v>
      </c>
      <c r="N452" s="6">
        <f t="shared" ref="N452:N515" si="156">IF(AK452=BH452,0,1)</f>
        <v>0</v>
      </c>
      <c r="O452" s="6">
        <f t="shared" ref="O452:O515" si="157">IF(AL452=BI452,0,1)</f>
        <v>0</v>
      </c>
      <c r="P452" s="6">
        <f t="shared" ref="P452:P515" si="158">IF(AM452=BJ452,0,1)</f>
        <v>0</v>
      </c>
      <c r="Q452" s="6">
        <f t="shared" ref="Q452:Q515" si="159">IF(AN452=BK452,0,1)</f>
        <v>0</v>
      </c>
      <c r="R452" s="6">
        <f t="shared" ref="R452:R515" si="160">IF(AO452=BL452,0,1)</f>
        <v>0</v>
      </c>
      <c r="S452" s="6">
        <f t="shared" ref="S452:S515" si="161">IF(AP452=BM452,0,1)</f>
        <v>0</v>
      </c>
      <c r="T452" s="6">
        <f t="shared" ref="T452:T515" si="162">IF(AQ452=BN452,0,1)</f>
        <v>0</v>
      </c>
      <c r="U452" s="6">
        <f t="shared" ref="U452:U515" si="163">IF(AR452=BO452,0,1)</f>
        <v>0</v>
      </c>
      <c r="V452" s="6">
        <f t="shared" ref="V452:V515" si="164">IF(AS452=BP452,0,1)</f>
        <v>0</v>
      </c>
      <c r="W452" s="6">
        <f t="shared" ref="W452:W515" si="165">IF(AT452=BQ452,0,1)</f>
        <v>0</v>
      </c>
      <c r="X452" s="6">
        <f t="shared" ref="X452:X515" si="166">IF(AU452=BR452,0,1)</f>
        <v>0</v>
      </c>
      <c r="Y452" s="6">
        <f t="shared" ref="Y452:Y515" si="167">IF(AV452=BS452,0,1)</f>
        <v>0</v>
      </c>
      <c r="Z452" s="6">
        <f t="shared" ref="Z452:Z515" si="168">IF(AW452=BT452,0,1)</f>
        <v>0</v>
      </c>
      <c r="AB452" s="36" t="str">
        <f>IF(最佳化斷筋點!C452="","",最佳化斷筋點!C452)</f>
        <v/>
      </c>
      <c r="AC452" s="37" t="str">
        <f>IF(最佳化斷筋點!D452="","",最佳化斷筋點!D452)</f>
        <v/>
      </c>
      <c r="AD452" s="37" t="str">
        <f>IF(最佳化斷筋點!E452="","",最佳化斷筋點!E452)</f>
        <v/>
      </c>
      <c r="AE452" s="37" t="str">
        <f>IF(最佳化斷筋點!F452="","",最佳化斷筋點!F452)</f>
        <v/>
      </c>
      <c r="AF452" s="37" t="str">
        <f>IF(最佳化斷筋點!G452="","",最佳化斷筋點!G452)</f>
        <v/>
      </c>
      <c r="AG452" s="37" t="str">
        <f>IF(最佳化斷筋點!H452="","",最佳化斷筋點!H452)</f>
        <v/>
      </c>
      <c r="AH452" s="37" t="str">
        <f>IF(最佳化斷筋點!I452="","",最佳化斷筋點!I452)</f>
        <v/>
      </c>
      <c r="AI452" s="37" t="str">
        <f>IF(最佳化斷筋點!J452="","",最佳化斷筋點!J452)</f>
        <v/>
      </c>
      <c r="AJ452" s="37" t="str">
        <f>IF(最佳化斷筋點!K452="","",最佳化斷筋點!K452)</f>
        <v/>
      </c>
      <c r="AK452" s="37" t="str">
        <f>IF(最佳化斷筋點!L452="","",最佳化斷筋點!L452)</f>
        <v/>
      </c>
      <c r="AL452" s="37" t="str">
        <f>IF(最佳化斷筋點!M452="","",最佳化斷筋點!M452)</f>
        <v/>
      </c>
      <c r="AM452" s="37" t="str">
        <f>IF(最佳化斷筋點!N452="","",最佳化斷筋點!N452)</f>
        <v/>
      </c>
      <c r="AN452" s="37" t="str">
        <f>IF(最佳化斷筋點!O452="","",最佳化斷筋點!O452)</f>
        <v/>
      </c>
      <c r="AO452" s="37" t="str">
        <f>IF(最佳化斷筋點!P452="","",最佳化斷筋點!P452)</f>
        <v/>
      </c>
      <c r="AP452" s="37" t="str">
        <f>IF(最佳化斷筋點!Q452="","",最佳化斷筋點!Q452)</f>
        <v/>
      </c>
      <c r="AQ452" s="37" t="str">
        <f>IF(最佳化斷筋點!R452="","",最佳化斷筋點!R452)</f>
        <v/>
      </c>
      <c r="AR452" s="37" t="str">
        <f>IF(最佳化斷筋點!S452="","",最佳化斷筋點!S452)</f>
        <v/>
      </c>
      <c r="AS452" s="37" t="str">
        <f>IF(最佳化斷筋點!T452="","",最佳化斷筋點!T452)</f>
        <v/>
      </c>
      <c r="AT452" s="37" t="str">
        <f>IF(最佳化斷筋點!U452="","",最佳化斷筋點!U452)</f>
        <v/>
      </c>
      <c r="AU452" s="37" t="str">
        <f>IF(最佳化斷筋點!V452="","",最佳化斷筋點!V452)</f>
        <v/>
      </c>
      <c r="AV452" s="37" t="str">
        <f>IF(最佳化斷筋點!W452="","",最佳化斷筋點!W452)</f>
        <v/>
      </c>
      <c r="AW452" s="37" t="str">
        <f>IF(最佳化斷筋點!X452="","",最佳化斷筋點!X452)</f>
        <v/>
      </c>
      <c r="AZ452" s="37" t="s">
        <v>197</v>
      </c>
      <c r="BA452" s="37" t="s">
        <v>197</v>
      </c>
      <c r="BB452" s="37" t="s">
        <v>197</v>
      </c>
      <c r="BC452" s="37" t="s">
        <v>197</v>
      </c>
      <c r="BD452" s="37" t="s">
        <v>197</v>
      </c>
      <c r="BE452" s="37" t="s">
        <v>197</v>
      </c>
      <c r="BF452" s="37" t="s">
        <v>197</v>
      </c>
      <c r="BG452" s="37" t="s">
        <v>197</v>
      </c>
      <c r="BH452" s="37" t="s">
        <v>197</v>
      </c>
      <c r="BI452" s="37" t="s">
        <v>197</v>
      </c>
      <c r="BJ452" s="37" t="s">
        <v>197</v>
      </c>
      <c r="BK452" s="37" t="s">
        <v>197</v>
      </c>
      <c r="BL452" s="37" t="s">
        <v>197</v>
      </c>
      <c r="BM452" s="37" t="s">
        <v>197</v>
      </c>
      <c r="BN452" s="37" t="s">
        <v>197</v>
      </c>
      <c r="BO452" s="37" t="s">
        <v>197</v>
      </c>
      <c r="BP452" s="37" t="s">
        <v>197</v>
      </c>
      <c r="BQ452" s="37" t="s">
        <v>197</v>
      </c>
      <c r="BR452" s="37" t="s">
        <v>197</v>
      </c>
      <c r="BS452" s="37" t="s">
        <v>197</v>
      </c>
      <c r="BT452" s="37" t="s">
        <v>197</v>
      </c>
    </row>
    <row r="453" spans="5:72" x14ac:dyDescent="0.25">
      <c r="E453" s="6" t="s">
        <v>21</v>
      </c>
      <c r="F453" s="6">
        <f t="shared" si="148"/>
        <v>0</v>
      </c>
      <c r="G453" s="6">
        <f t="shared" si="149"/>
        <v>0</v>
      </c>
      <c r="H453" s="6">
        <f t="shared" si="150"/>
        <v>0</v>
      </c>
      <c r="I453" s="6">
        <f t="shared" si="151"/>
        <v>0</v>
      </c>
      <c r="J453" s="6">
        <f t="shared" si="152"/>
        <v>0</v>
      </c>
      <c r="K453" s="6">
        <f t="shared" si="153"/>
        <v>0</v>
      </c>
      <c r="L453" s="6">
        <f t="shared" si="154"/>
        <v>0</v>
      </c>
      <c r="M453" s="6">
        <f t="shared" si="155"/>
        <v>0</v>
      </c>
      <c r="N453" s="6">
        <f t="shared" si="156"/>
        <v>0</v>
      </c>
      <c r="O453" s="6">
        <f t="shared" si="157"/>
        <v>0</v>
      </c>
      <c r="P453" s="6">
        <f t="shared" si="158"/>
        <v>0</v>
      </c>
      <c r="Q453" s="6">
        <f t="shared" si="159"/>
        <v>0</v>
      </c>
      <c r="R453" s="6">
        <f t="shared" si="160"/>
        <v>0</v>
      </c>
      <c r="S453" s="6">
        <f t="shared" si="161"/>
        <v>0</v>
      </c>
      <c r="T453" s="6">
        <f t="shared" si="162"/>
        <v>0</v>
      </c>
      <c r="U453" s="6">
        <f t="shared" si="163"/>
        <v>0</v>
      </c>
      <c r="V453" s="6">
        <f t="shared" si="164"/>
        <v>0</v>
      </c>
      <c r="W453" s="6">
        <f t="shared" si="165"/>
        <v>0</v>
      </c>
      <c r="X453" s="6">
        <f t="shared" si="166"/>
        <v>0</v>
      </c>
      <c r="Y453" s="6">
        <f t="shared" si="167"/>
        <v>0</v>
      </c>
      <c r="Z453" s="6">
        <f t="shared" si="168"/>
        <v>0</v>
      </c>
      <c r="AB453" s="36" t="str">
        <f>IF(最佳化斷筋點!C453="","",最佳化斷筋點!C453)</f>
        <v>下層</v>
      </c>
      <c r="AC453" s="37">
        <f>IF(最佳化斷筋點!D453="","",最佳化斷筋點!D453)</f>
        <v>10</v>
      </c>
      <c r="AD453" s="37">
        <f>IF(最佳化斷筋點!E453="","",最佳化斷筋點!E453)</f>
        <v>10</v>
      </c>
      <c r="AE453" s="37">
        <f>IF(最佳化斷筋點!F453="","",最佳化斷筋點!F453)</f>
        <v>10</v>
      </c>
      <c r="AF453" s="37">
        <f>IF(最佳化斷筋點!G453="","",最佳化斷筋點!G453)</f>
        <v>10</v>
      </c>
      <c r="AG453" s="37">
        <f>IF(最佳化斷筋點!H453="","",最佳化斷筋點!H453)</f>
        <v>10</v>
      </c>
      <c r="AH453" s="37">
        <f>IF(最佳化斷筋點!I453="","",最佳化斷筋點!I453)</f>
        <v>10</v>
      </c>
      <c r="AI453" s="37">
        <f>IF(最佳化斷筋點!J453="","",最佳化斷筋點!J453)</f>
        <v>9</v>
      </c>
      <c r="AJ453" s="37">
        <f>IF(最佳化斷筋點!K453="","",最佳化斷筋點!K453)</f>
        <v>4</v>
      </c>
      <c r="AK453" s="37">
        <f>IF(最佳化斷筋點!L453="","",最佳化斷筋點!L453)</f>
        <v>4</v>
      </c>
      <c r="AL453" s="37">
        <f>IF(最佳化斷筋點!M453="","",最佳化斷筋點!M453)</f>
        <v>4</v>
      </c>
      <c r="AM453" s="37">
        <f>IF(最佳化斷筋點!N453="","",最佳化斷筋點!N453)</f>
        <v>4</v>
      </c>
      <c r="AN453" s="37">
        <f>IF(最佳化斷筋點!O453="","",最佳化斷筋點!O453)</f>
        <v>4</v>
      </c>
      <c r="AO453" s="37">
        <f>IF(最佳化斷筋點!P453="","",最佳化斷筋點!P453)</f>
        <v>4</v>
      </c>
      <c r="AP453" s="37">
        <f>IF(最佳化斷筋點!Q453="","",最佳化斷筋點!Q453)</f>
        <v>6</v>
      </c>
      <c r="AQ453" s="37">
        <f>IF(最佳化斷筋點!R453="","",最佳化斷筋點!R453)</f>
        <v>6</v>
      </c>
      <c r="AR453" s="37">
        <f>IF(最佳化斷筋點!S453="","",最佳化斷筋點!S453)</f>
        <v>7</v>
      </c>
      <c r="AS453" s="37">
        <f>IF(最佳化斷筋點!T453="","",最佳化斷筋點!T453)</f>
        <v>8</v>
      </c>
      <c r="AT453" s="37">
        <f>IF(最佳化斷筋點!U453="","",最佳化斷筋點!U453)</f>
        <v>8</v>
      </c>
      <c r="AU453" s="37">
        <f>IF(最佳化斷筋點!V453="","",最佳化斷筋點!V453)</f>
        <v>8</v>
      </c>
      <c r="AV453" s="37">
        <f>IF(最佳化斷筋點!W453="","",最佳化斷筋點!W453)</f>
        <v>8</v>
      </c>
      <c r="AW453" s="37">
        <f>IF(最佳化斷筋點!X453="","",最佳化斷筋點!X453)</f>
        <v>8</v>
      </c>
      <c r="AY453" s="6" t="s">
        <v>21</v>
      </c>
      <c r="AZ453" s="37">
        <v>10</v>
      </c>
      <c r="BA453" s="37">
        <v>10</v>
      </c>
      <c r="BB453" s="37">
        <v>10</v>
      </c>
      <c r="BC453" s="37">
        <v>10</v>
      </c>
      <c r="BD453" s="37">
        <v>10</v>
      </c>
      <c r="BE453" s="37">
        <v>10</v>
      </c>
      <c r="BF453" s="37">
        <v>9</v>
      </c>
      <c r="BG453" s="37">
        <v>4</v>
      </c>
      <c r="BH453" s="37">
        <v>4</v>
      </c>
      <c r="BI453" s="37">
        <v>4</v>
      </c>
      <c r="BJ453" s="37">
        <v>4</v>
      </c>
      <c r="BK453" s="37">
        <v>4</v>
      </c>
      <c r="BL453" s="37">
        <v>4</v>
      </c>
      <c r="BM453" s="37">
        <v>6</v>
      </c>
      <c r="BN453" s="37">
        <v>6</v>
      </c>
      <c r="BO453" s="37">
        <v>7</v>
      </c>
      <c r="BP453" s="37">
        <v>8</v>
      </c>
      <c r="BQ453" s="37">
        <v>8</v>
      </c>
      <c r="BR453" s="37">
        <v>8</v>
      </c>
      <c r="BS453" s="37">
        <v>8</v>
      </c>
      <c r="BT453" s="37">
        <v>8</v>
      </c>
    </row>
    <row r="454" spans="5:72" x14ac:dyDescent="0.25">
      <c r="F454" s="6">
        <f t="shared" si="148"/>
        <v>0</v>
      </c>
      <c r="G454" s="6">
        <f t="shared" si="149"/>
        <v>0</v>
      </c>
      <c r="H454" s="6">
        <f t="shared" si="150"/>
        <v>0</v>
      </c>
      <c r="I454" s="6">
        <f t="shared" si="151"/>
        <v>0</v>
      </c>
      <c r="J454" s="6">
        <f t="shared" si="152"/>
        <v>0</v>
      </c>
      <c r="K454" s="6">
        <f t="shared" si="153"/>
        <v>0</v>
      </c>
      <c r="L454" s="6">
        <f t="shared" si="154"/>
        <v>0</v>
      </c>
      <c r="M454" s="6">
        <f t="shared" si="155"/>
        <v>0</v>
      </c>
      <c r="N454" s="6">
        <f t="shared" si="156"/>
        <v>0</v>
      </c>
      <c r="O454" s="6">
        <f t="shared" si="157"/>
        <v>0</v>
      </c>
      <c r="P454" s="6">
        <f t="shared" si="158"/>
        <v>0</v>
      </c>
      <c r="Q454" s="6">
        <f t="shared" si="159"/>
        <v>0</v>
      </c>
      <c r="R454" s="6">
        <f t="shared" si="160"/>
        <v>0</v>
      </c>
      <c r="S454" s="6">
        <f t="shared" si="161"/>
        <v>0</v>
      </c>
      <c r="T454" s="6">
        <f t="shared" si="162"/>
        <v>0</v>
      </c>
      <c r="U454" s="6">
        <f t="shared" si="163"/>
        <v>0</v>
      </c>
      <c r="V454" s="6">
        <f t="shared" si="164"/>
        <v>0</v>
      </c>
      <c r="W454" s="6">
        <f t="shared" si="165"/>
        <v>0</v>
      </c>
      <c r="X454" s="6">
        <f t="shared" si="166"/>
        <v>0</v>
      </c>
      <c r="Y454" s="6">
        <f t="shared" si="167"/>
        <v>0</v>
      </c>
      <c r="Z454" s="6">
        <f t="shared" si="168"/>
        <v>0</v>
      </c>
      <c r="AB454" s="36" t="str">
        <f>IF(最佳化斷筋點!C454="","",最佳化斷筋點!C454)</f>
        <v/>
      </c>
      <c r="AC454" s="37" t="str">
        <f>IF(最佳化斷筋點!D454="","",最佳化斷筋點!D454)</f>
        <v/>
      </c>
      <c r="AD454" s="37" t="str">
        <f>IF(最佳化斷筋點!E454="","",最佳化斷筋點!E454)</f>
        <v/>
      </c>
      <c r="AE454" s="37" t="str">
        <f>IF(最佳化斷筋點!F454="","",最佳化斷筋點!F454)</f>
        <v/>
      </c>
      <c r="AF454" s="37" t="str">
        <f>IF(最佳化斷筋點!G454="","",最佳化斷筋點!G454)</f>
        <v/>
      </c>
      <c r="AG454" s="37" t="str">
        <f>IF(最佳化斷筋點!H454="","",最佳化斷筋點!H454)</f>
        <v/>
      </c>
      <c r="AH454" s="37" t="str">
        <f>IF(最佳化斷筋點!I454="","",最佳化斷筋點!I454)</f>
        <v/>
      </c>
      <c r="AI454" s="37" t="str">
        <f>IF(最佳化斷筋點!J454="","",最佳化斷筋點!J454)</f>
        <v/>
      </c>
      <c r="AJ454" s="37" t="str">
        <f>IF(最佳化斷筋點!K454="","",最佳化斷筋點!K454)</f>
        <v/>
      </c>
      <c r="AK454" s="37" t="str">
        <f>IF(最佳化斷筋點!L454="","",最佳化斷筋點!L454)</f>
        <v/>
      </c>
      <c r="AL454" s="37" t="str">
        <f>IF(最佳化斷筋點!M454="","",最佳化斷筋點!M454)</f>
        <v/>
      </c>
      <c r="AM454" s="37" t="str">
        <f>IF(最佳化斷筋點!N454="","",最佳化斷筋點!N454)</f>
        <v/>
      </c>
      <c r="AN454" s="37" t="str">
        <f>IF(最佳化斷筋點!O454="","",最佳化斷筋點!O454)</f>
        <v/>
      </c>
      <c r="AO454" s="37" t="str">
        <f>IF(最佳化斷筋點!P454="","",最佳化斷筋點!P454)</f>
        <v/>
      </c>
      <c r="AP454" s="37" t="str">
        <f>IF(最佳化斷筋點!Q454="","",最佳化斷筋點!Q454)</f>
        <v/>
      </c>
      <c r="AQ454" s="37" t="str">
        <f>IF(最佳化斷筋點!R454="","",最佳化斷筋點!R454)</f>
        <v/>
      </c>
      <c r="AR454" s="37" t="str">
        <f>IF(最佳化斷筋點!S454="","",最佳化斷筋點!S454)</f>
        <v/>
      </c>
      <c r="AS454" s="37" t="str">
        <f>IF(最佳化斷筋點!T454="","",最佳化斷筋點!T454)</f>
        <v/>
      </c>
      <c r="AT454" s="37" t="str">
        <f>IF(最佳化斷筋點!U454="","",最佳化斷筋點!U454)</f>
        <v/>
      </c>
      <c r="AU454" s="37" t="str">
        <f>IF(最佳化斷筋點!V454="","",最佳化斷筋點!V454)</f>
        <v/>
      </c>
      <c r="AV454" s="37" t="str">
        <f>IF(最佳化斷筋點!W454="","",最佳化斷筋點!W454)</f>
        <v/>
      </c>
      <c r="AW454" s="37" t="str">
        <f>IF(最佳化斷筋點!X454="","",最佳化斷筋點!X454)</f>
        <v/>
      </c>
      <c r="AZ454" s="37" t="s">
        <v>197</v>
      </c>
      <c r="BA454" s="37" t="s">
        <v>197</v>
      </c>
      <c r="BB454" s="37" t="s">
        <v>197</v>
      </c>
      <c r="BC454" s="37" t="s">
        <v>197</v>
      </c>
      <c r="BD454" s="37" t="s">
        <v>197</v>
      </c>
      <c r="BE454" s="37" t="s">
        <v>197</v>
      </c>
      <c r="BF454" s="37" t="s">
        <v>197</v>
      </c>
      <c r="BG454" s="37" t="s">
        <v>197</v>
      </c>
      <c r="BH454" s="37" t="s">
        <v>197</v>
      </c>
      <c r="BI454" s="37" t="s">
        <v>197</v>
      </c>
      <c r="BJ454" s="37" t="s">
        <v>197</v>
      </c>
      <c r="BK454" s="37" t="s">
        <v>197</v>
      </c>
      <c r="BL454" s="37" t="s">
        <v>197</v>
      </c>
      <c r="BM454" s="37" t="s">
        <v>197</v>
      </c>
      <c r="BN454" s="37" t="s">
        <v>197</v>
      </c>
      <c r="BO454" s="37" t="s">
        <v>197</v>
      </c>
      <c r="BP454" s="37" t="s">
        <v>197</v>
      </c>
      <c r="BQ454" s="37" t="s">
        <v>197</v>
      </c>
      <c r="BR454" s="37" t="s">
        <v>197</v>
      </c>
      <c r="BS454" s="37" t="s">
        <v>197</v>
      </c>
      <c r="BT454" s="37" t="s">
        <v>197</v>
      </c>
    </row>
    <row r="455" spans="5:72" x14ac:dyDescent="0.25">
      <c r="E455" s="6" t="s">
        <v>20</v>
      </c>
      <c r="F455" s="6">
        <f t="shared" si="148"/>
        <v>0</v>
      </c>
      <c r="G455" s="6">
        <f t="shared" si="149"/>
        <v>0</v>
      </c>
      <c r="H455" s="6">
        <f t="shared" si="150"/>
        <v>0</v>
      </c>
      <c r="I455" s="6">
        <f t="shared" si="151"/>
        <v>0</v>
      </c>
      <c r="J455" s="6">
        <f t="shared" si="152"/>
        <v>0</v>
      </c>
      <c r="K455" s="6">
        <f t="shared" si="153"/>
        <v>0</v>
      </c>
      <c r="L455" s="6">
        <f t="shared" si="154"/>
        <v>0</v>
      </c>
      <c r="M455" s="6">
        <f t="shared" si="155"/>
        <v>0</v>
      </c>
      <c r="N455" s="6">
        <f t="shared" si="156"/>
        <v>0</v>
      </c>
      <c r="O455" s="6">
        <f t="shared" si="157"/>
        <v>0</v>
      </c>
      <c r="P455" s="6">
        <f t="shared" si="158"/>
        <v>0</v>
      </c>
      <c r="Q455" s="6">
        <f t="shared" si="159"/>
        <v>0</v>
      </c>
      <c r="R455" s="6">
        <f t="shared" si="160"/>
        <v>0</v>
      </c>
      <c r="S455" s="6">
        <f t="shared" si="161"/>
        <v>0</v>
      </c>
      <c r="T455" s="6">
        <f t="shared" si="162"/>
        <v>0</v>
      </c>
      <c r="U455" s="6">
        <f t="shared" si="163"/>
        <v>0</v>
      </c>
      <c r="V455" s="6">
        <f t="shared" si="164"/>
        <v>0</v>
      </c>
      <c r="W455" s="6">
        <f t="shared" si="165"/>
        <v>0</v>
      </c>
      <c r="X455" s="6">
        <f t="shared" si="166"/>
        <v>0</v>
      </c>
      <c r="Y455" s="6">
        <f t="shared" si="167"/>
        <v>0</v>
      </c>
      <c r="Z455" s="6">
        <f t="shared" si="168"/>
        <v>0</v>
      </c>
      <c r="AB455" s="36" t="str">
        <f>IF(最佳化斷筋點!C455="","",最佳化斷筋點!C455)</f>
        <v>上層</v>
      </c>
      <c r="AC455" s="37">
        <f>IF(最佳化斷筋點!D455="","",最佳化斷筋點!D455)</f>
        <v>8</v>
      </c>
      <c r="AD455" s="37">
        <f>IF(最佳化斷筋點!E455="","",最佳化斷筋點!E455)</f>
        <v>8</v>
      </c>
      <c r="AE455" s="37">
        <f>IF(最佳化斷筋點!F455="","",最佳化斷筋點!F455)</f>
        <v>8</v>
      </c>
      <c r="AF455" s="37">
        <f>IF(最佳化斷筋點!G455="","",最佳化斷筋點!G455)</f>
        <v>8</v>
      </c>
      <c r="AG455" s="37">
        <f>IF(最佳化斷筋點!H455="","",最佳化斷筋點!H455)</f>
        <v>8</v>
      </c>
      <c r="AH455" s="37">
        <f>IF(最佳化斷筋點!I455="","",最佳化斷筋點!I455)</f>
        <v>8</v>
      </c>
      <c r="AI455" s="37">
        <f>IF(最佳化斷筋點!J455="","",最佳化斷筋點!J455)</f>
        <v>8</v>
      </c>
      <c r="AJ455" s="37">
        <f>IF(最佳化斷筋點!K455="","",最佳化斷筋點!K455)</f>
        <v>3</v>
      </c>
      <c r="AK455" s="37">
        <f>IF(最佳化斷筋點!L455="","",最佳化斷筋點!L455)</f>
        <v>3</v>
      </c>
      <c r="AL455" s="37">
        <f>IF(最佳化斷筋點!M455="","",最佳化斷筋點!M455)</f>
        <v>3</v>
      </c>
      <c r="AM455" s="37">
        <f>IF(最佳化斷筋點!N455="","",最佳化斷筋點!N455)</f>
        <v>3</v>
      </c>
      <c r="AN455" s="37">
        <f>IF(最佳化斷筋點!O455="","",最佳化斷筋點!O455)</f>
        <v>3</v>
      </c>
      <c r="AO455" s="37">
        <f>IF(最佳化斷筋點!P455="","",最佳化斷筋點!P455)</f>
        <v>3</v>
      </c>
      <c r="AP455" s="37">
        <f>IF(最佳化斷筋點!Q455="","",最佳化斷筋點!Q455)</f>
        <v>6</v>
      </c>
      <c r="AQ455" s="37">
        <f>IF(最佳化斷筋點!R455="","",最佳化斷筋點!R455)</f>
        <v>6</v>
      </c>
      <c r="AR455" s="37">
        <f>IF(最佳化斷筋點!S455="","",最佳化斷筋點!S455)</f>
        <v>7</v>
      </c>
      <c r="AS455" s="37">
        <f>IF(最佳化斷筋點!T455="","",最佳化斷筋點!T455)</f>
        <v>7</v>
      </c>
      <c r="AT455" s="37">
        <f>IF(最佳化斷筋點!U455="","",最佳化斷筋點!U455)</f>
        <v>7</v>
      </c>
      <c r="AU455" s="37">
        <f>IF(最佳化斷筋點!V455="","",最佳化斷筋點!V455)</f>
        <v>7</v>
      </c>
      <c r="AV455" s="37">
        <f>IF(最佳化斷筋點!W455="","",最佳化斷筋點!W455)</f>
        <v>7</v>
      </c>
      <c r="AW455" s="37">
        <f>IF(最佳化斷筋點!X455="","",最佳化斷筋點!X455)</f>
        <v>7</v>
      </c>
      <c r="AY455" s="6" t="s">
        <v>20</v>
      </c>
      <c r="AZ455" s="37">
        <v>8</v>
      </c>
      <c r="BA455" s="37">
        <v>8</v>
      </c>
      <c r="BB455" s="37">
        <v>8</v>
      </c>
      <c r="BC455" s="37">
        <v>8</v>
      </c>
      <c r="BD455" s="37">
        <v>8</v>
      </c>
      <c r="BE455" s="37">
        <v>8</v>
      </c>
      <c r="BF455" s="37">
        <v>8</v>
      </c>
      <c r="BG455" s="37">
        <v>3</v>
      </c>
      <c r="BH455" s="37">
        <v>3</v>
      </c>
      <c r="BI455" s="37">
        <v>3</v>
      </c>
      <c r="BJ455" s="37">
        <v>3</v>
      </c>
      <c r="BK455" s="37">
        <v>3</v>
      </c>
      <c r="BL455" s="37">
        <v>3</v>
      </c>
      <c r="BM455" s="37">
        <v>6</v>
      </c>
      <c r="BN455" s="37">
        <v>6</v>
      </c>
      <c r="BO455" s="37">
        <v>7</v>
      </c>
      <c r="BP455" s="37">
        <v>7</v>
      </c>
      <c r="BQ455" s="37">
        <v>7</v>
      </c>
      <c r="BR455" s="37">
        <v>7</v>
      </c>
      <c r="BS455" s="37">
        <v>7</v>
      </c>
      <c r="BT455" s="37">
        <v>7</v>
      </c>
    </row>
    <row r="456" spans="5:72" x14ac:dyDescent="0.25">
      <c r="F456" s="6">
        <f t="shared" si="148"/>
        <v>0</v>
      </c>
      <c r="G456" s="6">
        <f t="shared" si="149"/>
        <v>0</v>
      </c>
      <c r="H456" s="6">
        <f t="shared" si="150"/>
        <v>0</v>
      </c>
      <c r="I456" s="6">
        <f t="shared" si="151"/>
        <v>0</v>
      </c>
      <c r="J456" s="6">
        <f t="shared" si="152"/>
        <v>0</v>
      </c>
      <c r="K456" s="6">
        <f t="shared" si="153"/>
        <v>0</v>
      </c>
      <c r="L456" s="6">
        <f t="shared" si="154"/>
        <v>0</v>
      </c>
      <c r="M456" s="6">
        <f t="shared" si="155"/>
        <v>0</v>
      </c>
      <c r="N456" s="6">
        <f t="shared" si="156"/>
        <v>0</v>
      </c>
      <c r="O456" s="6">
        <f t="shared" si="157"/>
        <v>0</v>
      </c>
      <c r="P456" s="6">
        <f t="shared" si="158"/>
        <v>0</v>
      </c>
      <c r="Q456" s="6">
        <f t="shared" si="159"/>
        <v>0</v>
      </c>
      <c r="R456" s="6">
        <f t="shared" si="160"/>
        <v>0</v>
      </c>
      <c r="S456" s="6">
        <f t="shared" si="161"/>
        <v>0</v>
      </c>
      <c r="T456" s="6">
        <f t="shared" si="162"/>
        <v>0</v>
      </c>
      <c r="U456" s="6">
        <f t="shared" si="163"/>
        <v>0</v>
      </c>
      <c r="V456" s="6">
        <f t="shared" si="164"/>
        <v>0</v>
      </c>
      <c r="W456" s="6">
        <f t="shared" si="165"/>
        <v>0</v>
      </c>
      <c r="X456" s="6">
        <f t="shared" si="166"/>
        <v>0</v>
      </c>
      <c r="Y456" s="6">
        <f t="shared" si="167"/>
        <v>0</v>
      </c>
      <c r="Z456" s="6">
        <f t="shared" si="168"/>
        <v>0</v>
      </c>
      <c r="AB456" s="36" t="str">
        <f>IF(最佳化斷筋點!C456="","",最佳化斷筋點!C456)</f>
        <v/>
      </c>
      <c r="AC456" s="37" t="str">
        <f>IF(最佳化斷筋點!D456="","",最佳化斷筋點!D456)</f>
        <v/>
      </c>
      <c r="AD456" s="37" t="str">
        <f>IF(最佳化斷筋點!E456="","",最佳化斷筋點!E456)</f>
        <v/>
      </c>
      <c r="AE456" s="37" t="str">
        <f>IF(最佳化斷筋點!F456="","",最佳化斷筋點!F456)</f>
        <v/>
      </c>
      <c r="AF456" s="37" t="str">
        <f>IF(最佳化斷筋點!G456="","",最佳化斷筋點!G456)</f>
        <v/>
      </c>
      <c r="AG456" s="37" t="str">
        <f>IF(最佳化斷筋點!H456="","",最佳化斷筋點!H456)</f>
        <v/>
      </c>
      <c r="AH456" s="37" t="str">
        <f>IF(最佳化斷筋點!I456="","",最佳化斷筋點!I456)</f>
        <v/>
      </c>
      <c r="AI456" s="37" t="str">
        <f>IF(最佳化斷筋點!J456="","",最佳化斷筋點!J456)</f>
        <v/>
      </c>
      <c r="AJ456" s="37" t="str">
        <f>IF(最佳化斷筋點!K456="","",最佳化斷筋點!K456)</f>
        <v/>
      </c>
      <c r="AK456" s="37" t="str">
        <f>IF(最佳化斷筋點!L456="","",最佳化斷筋點!L456)</f>
        <v/>
      </c>
      <c r="AL456" s="37" t="str">
        <f>IF(最佳化斷筋點!M456="","",最佳化斷筋點!M456)</f>
        <v/>
      </c>
      <c r="AM456" s="37" t="str">
        <f>IF(最佳化斷筋點!N456="","",最佳化斷筋點!N456)</f>
        <v/>
      </c>
      <c r="AN456" s="37" t="str">
        <f>IF(最佳化斷筋點!O456="","",最佳化斷筋點!O456)</f>
        <v/>
      </c>
      <c r="AO456" s="37" t="str">
        <f>IF(最佳化斷筋點!P456="","",最佳化斷筋點!P456)</f>
        <v/>
      </c>
      <c r="AP456" s="37" t="str">
        <f>IF(最佳化斷筋點!Q456="","",最佳化斷筋點!Q456)</f>
        <v/>
      </c>
      <c r="AQ456" s="37" t="str">
        <f>IF(最佳化斷筋點!R456="","",最佳化斷筋點!R456)</f>
        <v/>
      </c>
      <c r="AR456" s="37" t="str">
        <f>IF(最佳化斷筋點!S456="","",最佳化斷筋點!S456)</f>
        <v/>
      </c>
      <c r="AS456" s="37" t="str">
        <f>IF(最佳化斷筋點!T456="","",最佳化斷筋點!T456)</f>
        <v/>
      </c>
      <c r="AT456" s="37" t="str">
        <f>IF(最佳化斷筋點!U456="","",最佳化斷筋點!U456)</f>
        <v/>
      </c>
      <c r="AU456" s="37" t="str">
        <f>IF(最佳化斷筋點!V456="","",最佳化斷筋點!V456)</f>
        <v/>
      </c>
      <c r="AV456" s="37" t="str">
        <f>IF(最佳化斷筋點!W456="","",最佳化斷筋點!W456)</f>
        <v/>
      </c>
      <c r="AW456" s="37" t="str">
        <f>IF(最佳化斷筋點!X456="","",最佳化斷筋點!X456)</f>
        <v/>
      </c>
      <c r="AZ456" s="37" t="s">
        <v>197</v>
      </c>
      <c r="BA456" s="37" t="s">
        <v>197</v>
      </c>
      <c r="BB456" s="37" t="s">
        <v>197</v>
      </c>
      <c r="BC456" s="37" t="s">
        <v>197</v>
      </c>
      <c r="BD456" s="37" t="s">
        <v>197</v>
      </c>
      <c r="BE456" s="37" t="s">
        <v>197</v>
      </c>
      <c r="BF456" s="37" t="s">
        <v>197</v>
      </c>
      <c r="BG456" s="37" t="s">
        <v>197</v>
      </c>
      <c r="BH456" s="37" t="s">
        <v>197</v>
      </c>
      <c r="BI456" s="37" t="s">
        <v>197</v>
      </c>
      <c r="BJ456" s="37" t="s">
        <v>197</v>
      </c>
      <c r="BK456" s="37" t="s">
        <v>197</v>
      </c>
      <c r="BL456" s="37" t="s">
        <v>197</v>
      </c>
      <c r="BM456" s="37" t="s">
        <v>197</v>
      </c>
      <c r="BN456" s="37" t="s">
        <v>197</v>
      </c>
      <c r="BO456" s="37" t="s">
        <v>197</v>
      </c>
      <c r="BP456" s="37" t="s">
        <v>197</v>
      </c>
      <c r="BQ456" s="37" t="s">
        <v>197</v>
      </c>
      <c r="BR456" s="37" t="s">
        <v>197</v>
      </c>
      <c r="BS456" s="37" t="s">
        <v>197</v>
      </c>
      <c r="BT456" s="37" t="s">
        <v>197</v>
      </c>
    </row>
    <row r="457" spans="5:72" x14ac:dyDescent="0.25">
      <c r="E457" s="6" t="s">
        <v>21</v>
      </c>
      <c r="F457" s="6">
        <f t="shared" si="148"/>
        <v>0</v>
      </c>
      <c r="G457" s="6">
        <f t="shared" si="149"/>
        <v>0</v>
      </c>
      <c r="H457" s="6">
        <f t="shared" si="150"/>
        <v>0</v>
      </c>
      <c r="I457" s="6">
        <f t="shared" si="151"/>
        <v>0</v>
      </c>
      <c r="J457" s="6">
        <f t="shared" si="152"/>
        <v>0</v>
      </c>
      <c r="K457" s="6">
        <f t="shared" si="153"/>
        <v>0</v>
      </c>
      <c r="L457" s="6">
        <f t="shared" si="154"/>
        <v>0</v>
      </c>
      <c r="M457" s="6">
        <f t="shared" si="155"/>
        <v>0</v>
      </c>
      <c r="N457" s="6">
        <f t="shared" si="156"/>
        <v>0</v>
      </c>
      <c r="O457" s="6">
        <f t="shared" si="157"/>
        <v>0</v>
      </c>
      <c r="P457" s="6">
        <f t="shared" si="158"/>
        <v>0</v>
      </c>
      <c r="Q457" s="6">
        <f t="shared" si="159"/>
        <v>0</v>
      </c>
      <c r="R457" s="6">
        <f t="shared" si="160"/>
        <v>0</v>
      </c>
      <c r="S457" s="6">
        <f t="shared" si="161"/>
        <v>0</v>
      </c>
      <c r="T457" s="6">
        <f t="shared" si="162"/>
        <v>0</v>
      </c>
      <c r="U457" s="6">
        <f t="shared" si="163"/>
        <v>0</v>
      </c>
      <c r="V457" s="6">
        <f t="shared" si="164"/>
        <v>0</v>
      </c>
      <c r="W457" s="6">
        <f t="shared" si="165"/>
        <v>0</v>
      </c>
      <c r="X457" s="6">
        <f t="shared" si="166"/>
        <v>0</v>
      </c>
      <c r="Y457" s="6">
        <f t="shared" si="167"/>
        <v>0</v>
      </c>
      <c r="Z457" s="6">
        <f t="shared" si="168"/>
        <v>0</v>
      </c>
      <c r="AB457" s="36" t="str">
        <f>IF(最佳化斷筋點!C457="","",最佳化斷筋點!C457)</f>
        <v>下層</v>
      </c>
      <c r="AC457" s="37">
        <f>IF(最佳化斷筋點!D457="","",最佳化斷筋點!D457)</f>
        <v>10</v>
      </c>
      <c r="AD457" s="37">
        <f>IF(最佳化斷筋點!E457="","",最佳化斷筋點!E457)</f>
        <v>10</v>
      </c>
      <c r="AE457" s="37">
        <f>IF(最佳化斷筋點!F457="","",最佳化斷筋點!F457)</f>
        <v>10</v>
      </c>
      <c r="AF457" s="37">
        <f>IF(最佳化斷筋點!G457="","",最佳化斷筋點!G457)</f>
        <v>10</v>
      </c>
      <c r="AG457" s="37">
        <f>IF(最佳化斷筋點!H457="","",最佳化斷筋點!H457)</f>
        <v>10</v>
      </c>
      <c r="AH457" s="37">
        <f>IF(最佳化斷筋點!I457="","",最佳化斷筋點!I457)</f>
        <v>10</v>
      </c>
      <c r="AI457" s="37">
        <f>IF(最佳化斷筋點!J457="","",最佳化斷筋點!J457)</f>
        <v>9</v>
      </c>
      <c r="AJ457" s="37">
        <f>IF(最佳化斷筋點!K457="","",最佳化斷筋點!K457)</f>
        <v>4</v>
      </c>
      <c r="AK457" s="37">
        <f>IF(最佳化斷筋點!L457="","",最佳化斷筋點!L457)</f>
        <v>4</v>
      </c>
      <c r="AL457" s="37">
        <f>IF(最佳化斷筋點!M457="","",最佳化斷筋點!M457)</f>
        <v>4</v>
      </c>
      <c r="AM457" s="37">
        <f>IF(最佳化斷筋點!N457="","",最佳化斷筋點!N457)</f>
        <v>4</v>
      </c>
      <c r="AN457" s="37">
        <f>IF(最佳化斷筋點!O457="","",最佳化斷筋點!O457)</f>
        <v>4</v>
      </c>
      <c r="AO457" s="37">
        <f>IF(最佳化斷筋點!P457="","",最佳化斷筋點!P457)</f>
        <v>4</v>
      </c>
      <c r="AP457" s="37">
        <f>IF(最佳化斷筋點!Q457="","",最佳化斷筋點!Q457)</f>
        <v>7</v>
      </c>
      <c r="AQ457" s="37">
        <f>IF(最佳化斷筋點!R457="","",最佳化斷筋點!R457)</f>
        <v>8</v>
      </c>
      <c r="AR457" s="37">
        <f>IF(最佳化斷筋點!S457="","",最佳化斷筋點!S457)</f>
        <v>9</v>
      </c>
      <c r="AS457" s="37">
        <f>IF(最佳化斷筋點!T457="","",最佳化斷筋點!T457)</f>
        <v>10</v>
      </c>
      <c r="AT457" s="37">
        <f>IF(最佳化斷筋點!U457="","",最佳化斷筋點!U457)</f>
        <v>10</v>
      </c>
      <c r="AU457" s="37">
        <f>IF(最佳化斷筋點!V457="","",最佳化斷筋點!V457)</f>
        <v>10</v>
      </c>
      <c r="AV457" s="37">
        <f>IF(最佳化斷筋點!W457="","",最佳化斷筋點!W457)</f>
        <v>10</v>
      </c>
      <c r="AW457" s="37">
        <f>IF(最佳化斷筋點!X457="","",最佳化斷筋點!X457)</f>
        <v>10</v>
      </c>
      <c r="AY457" s="6" t="s">
        <v>21</v>
      </c>
      <c r="AZ457" s="37">
        <v>10</v>
      </c>
      <c r="BA457" s="37">
        <v>10</v>
      </c>
      <c r="BB457" s="37">
        <v>10</v>
      </c>
      <c r="BC457" s="37">
        <v>10</v>
      </c>
      <c r="BD457" s="37">
        <v>10</v>
      </c>
      <c r="BE457" s="37">
        <v>10</v>
      </c>
      <c r="BF457" s="37">
        <v>9</v>
      </c>
      <c r="BG457" s="37">
        <v>4</v>
      </c>
      <c r="BH457" s="37">
        <v>4</v>
      </c>
      <c r="BI457" s="37">
        <v>4</v>
      </c>
      <c r="BJ457" s="37">
        <v>4</v>
      </c>
      <c r="BK457" s="37">
        <v>4</v>
      </c>
      <c r="BL457" s="37">
        <v>4</v>
      </c>
      <c r="BM457" s="37">
        <v>7</v>
      </c>
      <c r="BN457" s="37">
        <v>8</v>
      </c>
      <c r="BO457" s="37">
        <v>9</v>
      </c>
      <c r="BP457" s="37">
        <v>10</v>
      </c>
      <c r="BQ457" s="37">
        <v>10</v>
      </c>
      <c r="BR457" s="37">
        <v>10</v>
      </c>
      <c r="BS457" s="37">
        <v>10</v>
      </c>
      <c r="BT457" s="37">
        <v>10</v>
      </c>
    </row>
    <row r="458" spans="5:72" x14ac:dyDescent="0.25">
      <c r="F458" s="6">
        <f t="shared" si="148"/>
        <v>0</v>
      </c>
      <c r="G458" s="6">
        <f t="shared" si="149"/>
        <v>0</v>
      </c>
      <c r="H458" s="6">
        <f t="shared" si="150"/>
        <v>0</v>
      </c>
      <c r="I458" s="6">
        <f t="shared" si="151"/>
        <v>0</v>
      </c>
      <c r="J458" s="6">
        <f t="shared" si="152"/>
        <v>0</v>
      </c>
      <c r="K458" s="6">
        <f t="shared" si="153"/>
        <v>0</v>
      </c>
      <c r="L458" s="6">
        <f t="shared" si="154"/>
        <v>0</v>
      </c>
      <c r="M458" s="6">
        <f t="shared" si="155"/>
        <v>0</v>
      </c>
      <c r="N458" s="6">
        <f t="shared" si="156"/>
        <v>0</v>
      </c>
      <c r="O458" s="6">
        <f t="shared" si="157"/>
        <v>0</v>
      </c>
      <c r="P458" s="6">
        <f t="shared" si="158"/>
        <v>0</v>
      </c>
      <c r="Q458" s="6">
        <f t="shared" si="159"/>
        <v>0</v>
      </c>
      <c r="R458" s="6">
        <f t="shared" si="160"/>
        <v>0</v>
      </c>
      <c r="S458" s="6">
        <f t="shared" si="161"/>
        <v>0</v>
      </c>
      <c r="T458" s="6">
        <f t="shared" si="162"/>
        <v>0</v>
      </c>
      <c r="U458" s="6">
        <f t="shared" si="163"/>
        <v>0</v>
      </c>
      <c r="V458" s="6">
        <f t="shared" si="164"/>
        <v>0</v>
      </c>
      <c r="W458" s="6">
        <f t="shared" si="165"/>
        <v>0</v>
      </c>
      <c r="X458" s="6">
        <f t="shared" si="166"/>
        <v>0</v>
      </c>
      <c r="Y458" s="6">
        <f t="shared" si="167"/>
        <v>0</v>
      </c>
      <c r="Z458" s="6">
        <f t="shared" si="168"/>
        <v>0</v>
      </c>
      <c r="AB458" s="36" t="str">
        <f>IF(最佳化斷筋點!C458="","",最佳化斷筋點!C458)</f>
        <v/>
      </c>
      <c r="AC458" s="37" t="str">
        <f>IF(最佳化斷筋點!D458="","",最佳化斷筋點!D458)</f>
        <v/>
      </c>
      <c r="AD458" s="37" t="str">
        <f>IF(最佳化斷筋點!E458="","",最佳化斷筋點!E458)</f>
        <v/>
      </c>
      <c r="AE458" s="37" t="str">
        <f>IF(最佳化斷筋點!F458="","",最佳化斷筋點!F458)</f>
        <v/>
      </c>
      <c r="AF458" s="37" t="str">
        <f>IF(最佳化斷筋點!G458="","",最佳化斷筋點!G458)</f>
        <v/>
      </c>
      <c r="AG458" s="37" t="str">
        <f>IF(最佳化斷筋點!H458="","",最佳化斷筋點!H458)</f>
        <v/>
      </c>
      <c r="AH458" s="37" t="str">
        <f>IF(最佳化斷筋點!I458="","",最佳化斷筋點!I458)</f>
        <v/>
      </c>
      <c r="AI458" s="37" t="str">
        <f>IF(最佳化斷筋點!J458="","",最佳化斷筋點!J458)</f>
        <v/>
      </c>
      <c r="AJ458" s="37" t="str">
        <f>IF(最佳化斷筋點!K458="","",最佳化斷筋點!K458)</f>
        <v/>
      </c>
      <c r="AK458" s="37" t="str">
        <f>IF(最佳化斷筋點!L458="","",最佳化斷筋點!L458)</f>
        <v/>
      </c>
      <c r="AL458" s="37" t="str">
        <f>IF(最佳化斷筋點!M458="","",最佳化斷筋點!M458)</f>
        <v/>
      </c>
      <c r="AM458" s="37" t="str">
        <f>IF(最佳化斷筋點!N458="","",最佳化斷筋點!N458)</f>
        <v/>
      </c>
      <c r="AN458" s="37" t="str">
        <f>IF(最佳化斷筋點!O458="","",最佳化斷筋點!O458)</f>
        <v/>
      </c>
      <c r="AO458" s="37" t="str">
        <f>IF(最佳化斷筋點!P458="","",最佳化斷筋點!P458)</f>
        <v/>
      </c>
      <c r="AP458" s="37" t="str">
        <f>IF(最佳化斷筋點!Q458="","",最佳化斷筋點!Q458)</f>
        <v/>
      </c>
      <c r="AQ458" s="37" t="str">
        <f>IF(最佳化斷筋點!R458="","",最佳化斷筋點!R458)</f>
        <v/>
      </c>
      <c r="AR458" s="37" t="str">
        <f>IF(最佳化斷筋點!S458="","",最佳化斷筋點!S458)</f>
        <v/>
      </c>
      <c r="AS458" s="37" t="str">
        <f>IF(最佳化斷筋點!T458="","",最佳化斷筋點!T458)</f>
        <v/>
      </c>
      <c r="AT458" s="37" t="str">
        <f>IF(最佳化斷筋點!U458="","",最佳化斷筋點!U458)</f>
        <v/>
      </c>
      <c r="AU458" s="37" t="str">
        <f>IF(最佳化斷筋點!V458="","",最佳化斷筋點!V458)</f>
        <v/>
      </c>
      <c r="AV458" s="37" t="str">
        <f>IF(最佳化斷筋點!W458="","",最佳化斷筋點!W458)</f>
        <v/>
      </c>
      <c r="AW458" s="37" t="str">
        <f>IF(最佳化斷筋點!X458="","",最佳化斷筋點!X458)</f>
        <v/>
      </c>
      <c r="AZ458" s="37" t="s">
        <v>197</v>
      </c>
      <c r="BA458" s="37" t="s">
        <v>197</v>
      </c>
      <c r="BB458" s="37" t="s">
        <v>197</v>
      </c>
      <c r="BC458" s="37" t="s">
        <v>197</v>
      </c>
      <c r="BD458" s="37" t="s">
        <v>197</v>
      </c>
      <c r="BE458" s="37" t="s">
        <v>197</v>
      </c>
      <c r="BF458" s="37" t="s">
        <v>197</v>
      </c>
      <c r="BG458" s="37" t="s">
        <v>197</v>
      </c>
      <c r="BH458" s="37" t="s">
        <v>197</v>
      </c>
      <c r="BI458" s="37" t="s">
        <v>197</v>
      </c>
      <c r="BJ458" s="37" t="s">
        <v>197</v>
      </c>
      <c r="BK458" s="37" t="s">
        <v>197</v>
      </c>
      <c r="BL458" s="37" t="s">
        <v>197</v>
      </c>
      <c r="BM458" s="37" t="s">
        <v>197</v>
      </c>
      <c r="BN458" s="37" t="s">
        <v>197</v>
      </c>
      <c r="BO458" s="37" t="s">
        <v>197</v>
      </c>
      <c r="BP458" s="37" t="s">
        <v>197</v>
      </c>
      <c r="BQ458" s="37" t="s">
        <v>197</v>
      </c>
      <c r="BR458" s="37" t="s">
        <v>197</v>
      </c>
      <c r="BS458" s="37" t="s">
        <v>197</v>
      </c>
      <c r="BT458" s="37" t="s">
        <v>197</v>
      </c>
    </row>
    <row r="459" spans="5:72" x14ac:dyDescent="0.25">
      <c r="E459" s="6" t="s">
        <v>20</v>
      </c>
      <c r="F459" s="6">
        <f t="shared" si="148"/>
        <v>0</v>
      </c>
      <c r="G459" s="6">
        <f t="shared" si="149"/>
        <v>0</v>
      </c>
      <c r="H459" s="6">
        <f t="shared" si="150"/>
        <v>0</v>
      </c>
      <c r="I459" s="6">
        <f t="shared" si="151"/>
        <v>0</v>
      </c>
      <c r="J459" s="6">
        <f t="shared" si="152"/>
        <v>0</v>
      </c>
      <c r="K459" s="6">
        <f t="shared" si="153"/>
        <v>0</v>
      </c>
      <c r="L459" s="6">
        <f t="shared" si="154"/>
        <v>0</v>
      </c>
      <c r="M459" s="6">
        <f t="shared" si="155"/>
        <v>0</v>
      </c>
      <c r="N459" s="6">
        <f t="shared" si="156"/>
        <v>0</v>
      </c>
      <c r="O459" s="6">
        <f t="shared" si="157"/>
        <v>0</v>
      </c>
      <c r="P459" s="6">
        <f t="shared" si="158"/>
        <v>0</v>
      </c>
      <c r="Q459" s="6">
        <f t="shared" si="159"/>
        <v>0</v>
      </c>
      <c r="R459" s="6">
        <f t="shared" si="160"/>
        <v>0</v>
      </c>
      <c r="S459" s="6">
        <f t="shared" si="161"/>
        <v>0</v>
      </c>
      <c r="T459" s="6">
        <f t="shared" si="162"/>
        <v>0</v>
      </c>
      <c r="U459" s="6">
        <f t="shared" si="163"/>
        <v>0</v>
      </c>
      <c r="V459" s="6">
        <f t="shared" si="164"/>
        <v>0</v>
      </c>
      <c r="W459" s="6">
        <f t="shared" si="165"/>
        <v>0</v>
      </c>
      <c r="X459" s="6">
        <f t="shared" si="166"/>
        <v>0</v>
      </c>
      <c r="Y459" s="6">
        <f t="shared" si="167"/>
        <v>0</v>
      </c>
      <c r="Z459" s="6">
        <f t="shared" si="168"/>
        <v>0</v>
      </c>
      <c r="AB459" s="36" t="str">
        <f>IF(最佳化斷筋點!C459="","",最佳化斷筋點!C459)</f>
        <v>上層</v>
      </c>
      <c r="AC459" s="37">
        <f>IF(最佳化斷筋點!D459="","",最佳化斷筋點!D459)</f>
        <v>8</v>
      </c>
      <c r="AD459" s="37">
        <f>IF(最佳化斷筋點!E459="","",最佳化斷筋點!E459)</f>
        <v>8</v>
      </c>
      <c r="AE459" s="37">
        <f>IF(最佳化斷筋點!F459="","",最佳化斷筋點!F459)</f>
        <v>8</v>
      </c>
      <c r="AF459" s="37">
        <f>IF(最佳化斷筋點!G459="","",最佳化斷筋點!G459)</f>
        <v>8</v>
      </c>
      <c r="AG459" s="37">
        <f>IF(最佳化斷筋點!H459="","",最佳化斷筋點!H459)</f>
        <v>8</v>
      </c>
      <c r="AH459" s="37">
        <f>IF(最佳化斷筋點!I459="","",最佳化斷筋點!I459)</f>
        <v>8</v>
      </c>
      <c r="AI459" s="37">
        <f>IF(最佳化斷筋點!J459="","",最佳化斷筋點!J459)</f>
        <v>8</v>
      </c>
      <c r="AJ459" s="37">
        <f>IF(最佳化斷筋點!K459="","",最佳化斷筋點!K459)</f>
        <v>3</v>
      </c>
      <c r="AK459" s="37">
        <f>IF(最佳化斷筋點!L459="","",最佳化斷筋點!L459)</f>
        <v>3</v>
      </c>
      <c r="AL459" s="37">
        <f>IF(最佳化斷筋點!M459="","",最佳化斷筋點!M459)</f>
        <v>3</v>
      </c>
      <c r="AM459" s="37">
        <f>IF(最佳化斷筋點!N459="","",最佳化斷筋點!N459)</f>
        <v>3</v>
      </c>
      <c r="AN459" s="37">
        <f>IF(最佳化斷筋點!O459="","",最佳化斷筋點!O459)</f>
        <v>3</v>
      </c>
      <c r="AO459" s="37">
        <f>IF(最佳化斷筋點!P459="","",最佳化斷筋點!P459)</f>
        <v>3</v>
      </c>
      <c r="AP459" s="37">
        <f>IF(最佳化斷筋點!Q459="","",最佳化斷筋點!Q459)</f>
        <v>5</v>
      </c>
      <c r="AQ459" s="37">
        <f>IF(最佳化斷筋點!R459="","",最佳化斷筋點!R459)</f>
        <v>5</v>
      </c>
      <c r="AR459" s="37">
        <f>IF(最佳化斷筋點!S459="","",最佳化斷筋點!S459)</f>
        <v>5</v>
      </c>
      <c r="AS459" s="37">
        <f>IF(最佳化斷筋點!T459="","",最佳化斷筋點!T459)</f>
        <v>5</v>
      </c>
      <c r="AT459" s="37">
        <f>IF(最佳化斷筋點!U459="","",最佳化斷筋點!U459)</f>
        <v>5</v>
      </c>
      <c r="AU459" s="37">
        <f>IF(最佳化斷筋點!V459="","",最佳化斷筋點!V459)</f>
        <v>5</v>
      </c>
      <c r="AV459" s="37">
        <f>IF(最佳化斷筋點!W459="","",最佳化斷筋點!W459)</f>
        <v>5</v>
      </c>
      <c r="AW459" s="37">
        <f>IF(最佳化斷筋點!X459="","",最佳化斷筋點!X459)</f>
        <v>5</v>
      </c>
      <c r="AY459" s="6" t="s">
        <v>20</v>
      </c>
      <c r="AZ459" s="37">
        <v>8</v>
      </c>
      <c r="BA459" s="37">
        <v>8</v>
      </c>
      <c r="BB459" s="37">
        <v>8</v>
      </c>
      <c r="BC459" s="37">
        <v>8</v>
      </c>
      <c r="BD459" s="37">
        <v>8</v>
      </c>
      <c r="BE459" s="37">
        <v>8</v>
      </c>
      <c r="BF459" s="37">
        <v>8</v>
      </c>
      <c r="BG459" s="37">
        <v>3</v>
      </c>
      <c r="BH459" s="37">
        <v>3</v>
      </c>
      <c r="BI459" s="37">
        <v>3</v>
      </c>
      <c r="BJ459" s="37">
        <v>3</v>
      </c>
      <c r="BK459" s="37">
        <v>3</v>
      </c>
      <c r="BL459" s="37">
        <v>3</v>
      </c>
      <c r="BM459" s="37">
        <v>5</v>
      </c>
      <c r="BN459" s="37">
        <v>5</v>
      </c>
      <c r="BO459" s="37">
        <v>5</v>
      </c>
      <c r="BP459" s="37">
        <v>5</v>
      </c>
      <c r="BQ459" s="37">
        <v>5</v>
      </c>
      <c r="BR459" s="37">
        <v>5</v>
      </c>
      <c r="BS459" s="37">
        <v>5</v>
      </c>
      <c r="BT459" s="37">
        <v>5</v>
      </c>
    </row>
    <row r="460" spans="5:72" x14ac:dyDescent="0.25">
      <c r="F460" s="6">
        <f t="shared" si="148"/>
        <v>0</v>
      </c>
      <c r="G460" s="6">
        <f t="shared" si="149"/>
        <v>0</v>
      </c>
      <c r="H460" s="6">
        <f t="shared" si="150"/>
        <v>0</v>
      </c>
      <c r="I460" s="6">
        <f t="shared" si="151"/>
        <v>0</v>
      </c>
      <c r="J460" s="6">
        <f t="shared" si="152"/>
        <v>0</v>
      </c>
      <c r="K460" s="6">
        <f t="shared" si="153"/>
        <v>0</v>
      </c>
      <c r="L460" s="6">
        <f t="shared" si="154"/>
        <v>0</v>
      </c>
      <c r="M460" s="6">
        <f t="shared" si="155"/>
        <v>0</v>
      </c>
      <c r="N460" s="6">
        <f t="shared" si="156"/>
        <v>0</v>
      </c>
      <c r="O460" s="6">
        <f t="shared" si="157"/>
        <v>0</v>
      </c>
      <c r="P460" s="6">
        <f t="shared" si="158"/>
        <v>0</v>
      </c>
      <c r="Q460" s="6">
        <f t="shared" si="159"/>
        <v>0</v>
      </c>
      <c r="R460" s="6">
        <f t="shared" si="160"/>
        <v>0</v>
      </c>
      <c r="S460" s="6">
        <f t="shared" si="161"/>
        <v>0</v>
      </c>
      <c r="T460" s="6">
        <f t="shared" si="162"/>
        <v>0</v>
      </c>
      <c r="U460" s="6">
        <f t="shared" si="163"/>
        <v>0</v>
      </c>
      <c r="V460" s="6">
        <f t="shared" si="164"/>
        <v>0</v>
      </c>
      <c r="W460" s="6">
        <f t="shared" si="165"/>
        <v>0</v>
      </c>
      <c r="X460" s="6">
        <f t="shared" si="166"/>
        <v>0</v>
      </c>
      <c r="Y460" s="6">
        <f t="shared" si="167"/>
        <v>0</v>
      </c>
      <c r="Z460" s="6">
        <f t="shared" si="168"/>
        <v>0</v>
      </c>
      <c r="AB460" s="36" t="str">
        <f>IF(最佳化斷筋點!C460="","",最佳化斷筋點!C460)</f>
        <v/>
      </c>
      <c r="AC460" s="37" t="str">
        <f>IF(最佳化斷筋點!D460="","",最佳化斷筋點!D460)</f>
        <v/>
      </c>
      <c r="AD460" s="37" t="str">
        <f>IF(最佳化斷筋點!E460="","",最佳化斷筋點!E460)</f>
        <v/>
      </c>
      <c r="AE460" s="37" t="str">
        <f>IF(最佳化斷筋點!F460="","",最佳化斷筋點!F460)</f>
        <v/>
      </c>
      <c r="AF460" s="37" t="str">
        <f>IF(最佳化斷筋點!G460="","",最佳化斷筋點!G460)</f>
        <v/>
      </c>
      <c r="AG460" s="37" t="str">
        <f>IF(最佳化斷筋點!H460="","",最佳化斷筋點!H460)</f>
        <v/>
      </c>
      <c r="AH460" s="37" t="str">
        <f>IF(最佳化斷筋點!I460="","",最佳化斷筋點!I460)</f>
        <v/>
      </c>
      <c r="AI460" s="37" t="str">
        <f>IF(最佳化斷筋點!J460="","",最佳化斷筋點!J460)</f>
        <v/>
      </c>
      <c r="AJ460" s="37" t="str">
        <f>IF(最佳化斷筋點!K460="","",最佳化斷筋點!K460)</f>
        <v/>
      </c>
      <c r="AK460" s="37" t="str">
        <f>IF(最佳化斷筋點!L460="","",最佳化斷筋點!L460)</f>
        <v/>
      </c>
      <c r="AL460" s="37" t="str">
        <f>IF(最佳化斷筋點!M460="","",最佳化斷筋點!M460)</f>
        <v/>
      </c>
      <c r="AM460" s="37" t="str">
        <f>IF(最佳化斷筋點!N460="","",最佳化斷筋點!N460)</f>
        <v/>
      </c>
      <c r="AN460" s="37" t="str">
        <f>IF(最佳化斷筋點!O460="","",最佳化斷筋點!O460)</f>
        <v/>
      </c>
      <c r="AO460" s="37" t="str">
        <f>IF(最佳化斷筋點!P460="","",最佳化斷筋點!P460)</f>
        <v/>
      </c>
      <c r="AP460" s="37" t="str">
        <f>IF(最佳化斷筋點!Q460="","",最佳化斷筋點!Q460)</f>
        <v/>
      </c>
      <c r="AQ460" s="37" t="str">
        <f>IF(最佳化斷筋點!R460="","",最佳化斷筋點!R460)</f>
        <v/>
      </c>
      <c r="AR460" s="37" t="str">
        <f>IF(最佳化斷筋點!S460="","",最佳化斷筋點!S460)</f>
        <v/>
      </c>
      <c r="AS460" s="37" t="str">
        <f>IF(最佳化斷筋點!T460="","",最佳化斷筋點!T460)</f>
        <v/>
      </c>
      <c r="AT460" s="37" t="str">
        <f>IF(最佳化斷筋點!U460="","",最佳化斷筋點!U460)</f>
        <v/>
      </c>
      <c r="AU460" s="37" t="str">
        <f>IF(最佳化斷筋點!V460="","",最佳化斷筋點!V460)</f>
        <v/>
      </c>
      <c r="AV460" s="37" t="str">
        <f>IF(最佳化斷筋點!W460="","",最佳化斷筋點!W460)</f>
        <v/>
      </c>
      <c r="AW460" s="37" t="str">
        <f>IF(最佳化斷筋點!X460="","",最佳化斷筋點!X460)</f>
        <v/>
      </c>
      <c r="AZ460" s="37" t="s">
        <v>197</v>
      </c>
      <c r="BA460" s="37" t="s">
        <v>197</v>
      </c>
      <c r="BB460" s="37" t="s">
        <v>197</v>
      </c>
      <c r="BC460" s="37" t="s">
        <v>197</v>
      </c>
      <c r="BD460" s="37" t="s">
        <v>197</v>
      </c>
      <c r="BE460" s="37" t="s">
        <v>197</v>
      </c>
      <c r="BF460" s="37" t="s">
        <v>197</v>
      </c>
      <c r="BG460" s="37" t="s">
        <v>197</v>
      </c>
      <c r="BH460" s="37" t="s">
        <v>197</v>
      </c>
      <c r="BI460" s="37" t="s">
        <v>197</v>
      </c>
      <c r="BJ460" s="37" t="s">
        <v>197</v>
      </c>
      <c r="BK460" s="37" t="s">
        <v>197</v>
      </c>
      <c r="BL460" s="37" t="s">
        <v>197</v>
      </c>
      <c r="BM460" s="37" t="s">
        <v>197</v>
      </c>
      <c r="BN460" s="37" t="s">
        <v>197</v>
      </c>
      <c r="BO460" s="37" t="s">
        <v>197</v>
      </c>
      <c r="BP460" s="37" t="s">
        <v>197</v>
      </c>
      <c r="BQ460" s="37" t="s">
        <v>197</v>
      </c>
      <c r="BR460" s="37" t="s">
        <v>197</v>
      </c>
      <c r="BS460" s="37" t="s">
        <v>197</v>
      </c>
      <c r="BT460" s="37" t="s">
        <v>197</v>
      </c>
    </row>
    <row r="461" spans="5:72" x14ac:dyDescent="0.25">
      <c r="E461" s="6" t="s">
        <v>21</v>
      </c>
      <c r="F461" s="6">
        <f t="shared" si="148"/>
        <v>0</v>
      </c>
      <c r="G461" s="6">
        <f t="shared" si="149"/>
        <v>0</v>
      </c>
      <c r="H461" s="6">
        <f t="shared" si="150"/>
        <v>0</v>
      </c>
      <c r="I461" s="6">
        <f t="shared" si="151"/>
        <v>0</v>
      </c>
      <c r="J461" s="6">
        <f t="shared" si="152"/>
        <v>0</v>
      </c>
      <c r="K461" s="6">
        <f t="shared" si="153"/>
        <v>0</v>
      </c>
      <c r="L461" s="6">
        <f t="shared" si="154"/>
        <v>0</v>
      </c>
      <c r="M461" s="6">
        <f t="shared" si="155"/>
        <v>0</v>
      </c>
      <c r="N461" s="6">
        <f t="shared" si="156"/>
        <v>0</v>
      </c>
      <c r="O461" s="6">
        <f t="shared" si="157"/>
        <v>0</v>
      </c>
      <c r="P461" s="6">
        <f t="shared" si="158"/>
        <v>0</v>
      </c>
      <c r="Q461" s="6">
        <f t="shared" si="159"/>
        <v>0</v>
      </c>
      <c r="R461" s="6">
        <f t="shared" si="160"/>
        <v>0</v>
      </c>
      <c r="S461" s="6">
        <f t="shared" si="161"/>
        <v>0</v>
      </c>
      <c r="T461" s="6">
        <f t="shared" si="162"/>
        <v>0</v>
      </c>
      <c r="U461" s="6">
        <f t="shared" si="163"/>
        <v>0</v>
      </c>
      <c r="V461" s="6">
        <f t="shared" si="164"/>
        <v>0</v>
      </c>
      <c r="W461" s="6">
        <f t="shared" si="165"/>
        <v>0</v>
      </c>
      <c r="X461" s="6">
        <f t="shared" si="166"/>
        <v>0</v>
      </c>
      <c r="Y461" s="6">
        <f t="shared" si="167"/>
        <v>0</v>
      </c>
      <c r="Z461" s="6">
        <f t="shared" si="168"/>
        <v>0</v>
      </c>
      <c r="AB461" s="36" t="str">
        <f>IF(最佳化斷筋點!C461="","",最佳化斷筋點!C461)</f>
        <v>下層</v>
      </c>
      <c r="AC461" s="37">
        <f>IF(最佳化斷筋點!D461="","",最佳化斷筋點!D461)</f>
        <v>7</v>
      </c>
      <c r="AD461" s="37">
        <f>IF(最佳化斷筋點!E461="","",最佳化斷筋點!E461)</f>
        <v>7</v>
      </c>
      <c r="AE461" s="37">
        <f>IF(最佳化斷筋點!F461="","",最佳化斷筋點!F461)</f>
        <v>7</v>
      </c>
      <c r="AF461" s="37">
        <f>IF(最佳化斷筋點!G461="","",最佳化斷筋點!G461)</f>
        <v>7</v>
      </c>
      <c r="AG461" s="37">
        <f>IF(最佳化斷筋點!H461="","",最佳化斷筋點!H461)</f>
        <v>7</v>
      </c>
      <c r="AH461" s="37">
        <f>IF(最佳化斷筋點!I461="","",最佳化斷筋點!I461)</f>
        <v>6</v>
      </c>
      <c r="AI461" s="37">
        <f>IF(最佳化斷筋點!J461="","",最佳化斷筋點!J461)</f>
        <v>6</v>
      </c>
      <c r="AJ461" s="37">
        <f>IF(最佳化斷筋點!K461="","",最佳化斷筋點!K461)</f>
        <v>3</v>
      </c>
      <c r="AK461" s="37">
        <f>IF(最佳化斷筋點!L461="","",最佳化斷筋點!L461)</f>
        <v>3</v>
      </c>
      <c r="AL461" s="37">
        <f>IF(最佳化斷筋點!M461="","",最佳化斷筋點!M461)</f>
        <v>3</v>
      </c>
      <c r="AM461" s="37">
        <f>IF(最佳化斷筋點!N461="","",最佳化斷筋點!N461)</f>
        <v>3</v>
      </c>
      <c r="AN461" s="37">
        <f>IF(最佳化斷筋點!O461="","",最佳化斷筋點!O461)</f>
        <v>3</v>
      </c>
      <c r="AO461" s="37">
        <f>IF(最佳化斷筋點!P461="","",最佳化斷筋點!P461)</f>
        <v>3</v>
      </c>
      <c r="AP461" s="37">
        <f>IF(最佳化斷筋點!Q461="","",最佳化斷筋點!Q461)</f>
        <v>6</v>
      </c>
      <c r="AQ461" s="37">
        <f>IF(最佳化斷筋點!R461="","",最佳化斷筋點!R461)</f>
        <v>7</v>
      </c>
      <c r="AR461" s="37">
        <f>IF(最佳化斷筋點!S461="","",最佳化斷筋點!S461)</f>
        <v>8</v>
      </c>
      <c r="AS461" s="37">
        <f>IF(最佳化斷筋點!T461="","",最佳化斷筋點!T461)</f>
        <v>9</v>
      </c>
      <c r="AT461" s="37">
        <f>IF(最佳化斷筋點!U461="","",最佳化斷筋點!U461)</f>
        <v>9</v>
      </c>
      <c r="AU461" s="37">
        <f>IF(最佳化斷筋點!V461="","",最佳化斷筋點!V461)</f>
        <v>9</v>
      </c>
      <c r="AV461" s="37">
        <f>IF(最佳化斷筋點!W461="","",最佳化斷筋點!W461)</f>
        <v>9</v>
      </c>
      <c r="AW461" s="37">
        <f>IF(最佳化斷筋點!X461="","",最佳化斷筋點!X461)</f>
        <v>9</v>
      </c>
      <c r="AY461" s="6" t="s">
        <v>21</v>
      </c>
      <c r="AZ461" s="37">
        <v>7</v>
      </c>
      <c r="BA461" s="37">
        <v>7</v>
      </c>
      <c r="BB461" s="37">
        <v>7</v>
      </c>
      <c r="BC461" s="37">
        <v>7</v>
      </c>
      <c r="BD461" s="37">
        <v>7</v>
      </c>
      <c r="BE461" s="37">
        <v>6</v>
      </c>
      <c r="BF461" s="37">
        <v>6</v>
      </c>
      <c r="BG461" s="37">
        <v>3</v>
      </c>
      <c r="BH461" s="37">
        <v>3</v>
      </c>
      <c r="BI461" s="37">
        <v>3</v>
      </c>
      <c r="BJ461" s="37">
        <v>3</v>
      </c>
      <c r="BK461" s="37">
        <v>3</v>
      </c>
      <c r="BL461" s="37">
        <v>3</v>
      </c>
      <c r="BM461" s="37">
        <v>6</v>
      </c>
      <c r="BN461" s="37">
        <v>7</v>
      </c>
      <c r="BO461" s="37">
        <v>8</v>
      </c>
      <c r="BP461" s="37">
        <v>9</v>
      </c>
      <c r="BQ461" s="37">
        <v>9</v>
      </c>
      <c r="BR461" s="37">
        <v>9</v>
      </c>
      <c r="BS461" s="37">
        <v>9</v>
      </c>
      <c r="BT461" s="37">
        <v>9</v>
      </c>
    </row>
    <row r="462" spans="5:72" x14ac:dyDescent="0.25">
      <c r="F462" s="6">
        <f t="shared" si="148"/>
        <v>0</v>
      </c>
      <c r="G462" s="6">
        <f t="shared" si="149"/>
        <v>0</v>
      </c>
      <c r="H462" s="6">
        <f t="shared" si="150"/>
        <v>0</v>
      </c>
      <c r="I462" s="6">
        <f t="shared" si="151"/>
        <v>0</v>
      </c>
      <c r="J462" s="6">
        <f t="shared" si="152"/>
        <v>0</v>
      </c>
      <c r="K462" s="6">
        <f t="shared" si="153"/>
        <v>0</v>
      </c>
      <c r="L462" s="6">
        <f t="shared" si="154"/>
        <v>0</v>
      </c>
      <c r="M462" s="6">
        <f t="shared" si="155"/>
        <v>0</v>
      </c>
      <c r="N462" s="6">
        <f t="shared" si="156"/>
        <v>0</v>
      </c>
      <c r="O462" s="6">
        <f t="shared" si="157"/>
        <v>0</v>
      </c>
      <c r="P462" s="6">
        <f t="shared" si="158"/>
        <v>0</v>
      </c>
      <c r="Q462" s="6">
        <f t="shared" si="159"/>
        <v>0</v>
      </c>
      <c r="R462" s="6">
        <f t="shared" si="160"/>
        <v>0</v>
      </c>
      <c r="S462" s="6">
        <f t="shared" si="161"/>
        <v>0</v>
      </c>
      <c r="T462" s="6">
        <f t="shared" si="162"/>
        <v>0</v>
      </c>
      <c r="U462" s="6">
        <f t="shared" si="163"/>
        <v>0</v>
      </c>
      <c r="V462" s="6">
        <f t="shared" si="164"/>
        <v>0</v>
      </c>
      <c r="W462" s="6">
        <f t="shared" si="165"/>
        <v>0</v>
      </c>
      <c r="X462" s="6">
        <f t="shared" si="166"/>
        <v>0</v>
      </c>
      <c r="Y462" s="6">
        <f t="shared" si="167"/>
        <v>0</v>
      </c>
      <c r="Z462" s="6">
        <f t="shared" si="168"/>
        <v>0</v>
      </c>
      <c r="AB462" s="36" t="str">
        <f>IF(最佳化斷筋點!C462="","",最佳化斷筋點!C462)</f>
        <v/>
      </c>
      <c r="AC462" s="37" t="str">
        <f>IF(最佳化斷筋點!D462="","",最佳化斷筋點!D462)</f>
        <v/>
      </c>
      <c r="AD462" s="37" t="str">
        <f>IF(最佳化斷筋點!E462="","",最佳化斷筋點!E462)</f>
        <v/>
      </c>
      <c r="AE462" s="37" t="str">
        <f>IF(最佳化斷筋點!F462="","",最佳化斷筋點!F462)</f>
        <v/>
      </c>
      <c r="AF462" s="37" t="str">
        <f>IF(最佳化斷筋點!G462="","",最佳化斷筋點!G462)</f>
        <v/>
      </c>
      <c r="AG462" s="37" t="str">
        <f>IF(最佳化斷筋點!H462="","",最佳化斷筋點!H462)</f>
        <v/>
      </c>
      <c r="AH462" s="37" t="str">
        <f>IF(最佳化斷筋點!I462="","",最佳化斷筋點!I462)</f>
        <v/>
      </c>
      <c r="AI462" s="37" t="str">
        <f>IF(最佳化斷筋點!J462="","",最佳化斷筋點!J462)</f>
        <v/>
      </c>
      <c r="AJ462" s="37" t="str">
        <f>IF(最佳化斷筋點!K462="","",最佳化斷筋點!K462)</f>
        <v/>
      </c>
      <c r="AK462" s="37" t="str">
        <f>IF(最佳化斷筋點!L462="","",最佳化斷筋點!L462)</f>
        <v/>
      </c>
      <c r="AL462" s="37" t="str">
        <f>IF(最佳化斷筋點!M462="","",最佳化斷筋點!M462)</f>
        <v/>
      </c>
      <c r="AM462" s="37" t="str">
        <f>IF(最佳化斷筋點!N462="","",最佳化斷筋點!N462)</f>
        <v/>
      </c>
      <c r="AN462" s="37" t="str">
        <f>IF(最佳化斷筋點!O462="","",最佳化斷筋點!O462)</f>
        <v/>
      </c>
      <c r="AO462" s="37" t="str">
        <f>IF(最佳化斷筋點!P462="","",最佳化斷筋點!P462)</f>
        <v/>
      </c>
      <c r="AP462" s="37" t="str">
        <f>IF(最佳化斷筋點!Q462="","",最佳化斷筋點!Q462)</f>
        <v/>
      </c>
      <c r="AQ462" s="37" t="str">
        <f>IF(最佳化斷筋點!R462="","",最佳化斷筋點!R462)</f>
        <v/>
      </c>
      <c r="AR462" s="37" t="str">
        <f>IF(最佳化斷筋點!S462="","",最佳化斷筋點!S462)</f>
        <v/>
      </c>
      <c r="AS462" s="37" t="str">
        <f>IF(最佳化斷筋點!T462="","",最佳化斷筋點!T462)</f>
        <v/>
      </c>
      <c r="AT462" s="37" t="str">
        <f>IF(最佳化斷筋點!U462="","",最佳化斷筋點!U462)</f>
        <v/>
      </c>
      <c r="AU462" s="37" t="str">
        <f>IF(最佳化斷筋點!V462="","",最佳化斷筋點!V462)</f>
        <v/>
      </c>
      <c r="AV462" s="37" t="str">
        <f>IF(最佳化斷筋點!W462="","",最佳化斷筋點!W462)</f>
        <v/>
      </c>
      <c r="AW462" s="37" t="str">
        <f>IF(最佳化斷筋點!X462="","",最佳化斷筋點!X462)</f>
        <v/>
      </c>
      <c r="AZ462" s="37" t="s">
        <v>197</v>
      </c>
      <c r="BA462" s="37" t="s">
        <v>197</v>
      </c>
      <c r="BB462" s="37" t="s">
        <v>197</v>
      </c>
      <c r="BC462" s="37" t="s">
        <v>197</v>
      </c>
      <c r="BD462" s="37" t="s">
        <v>197</v>
      </c>
      <c r="BE462" s="37" t="s">
        <v>197</v>
      </c>
      <c r="BF462" s="37" t="s">
        <v>197</v>
      </c>
      <c r="BG462" s="37" t="s">
        <v>197</v>
      </c>
      <c r="BH462" s="37" t="s">
        <v>197</v>
      </c>
      <c r="BI462" s="37" t="s">
        <v>197</v>
      </c>
      <c r="BJ462" s="37" t="s">
        <v>197</v>
      </c>
      <c r="BK462" s="37" t="s">
        <v>197</v>
      </c>
      <c r="BL462" s="37" t="s">
        <v>197</v>
      </c>
      <c r="BM462" s="37" t="s">
        <v>197</v>
      </c>
      <c r="BN462" s="37" t="s">
        <v>197</v>
      </c>
      <c r="BO462" s="37" t="s">
        <v>197</v>
      </c>
      <c r="BP462" s="37" t="s">
        <v>197</v>
      </c>
      <c r="BQ462" s="37" t="s">
        <v>197</v>
      </c>
      <c r="BR462" s="37" t="s">
        <v>197</v>
      </c>
      <c r="BS462" s="37" t="s">
        <v>197</v>
      </c>
      <c r="BT462" s="37" t="s">
        <v>197</v>
      </c>
    </row>
    <row r="463" spans="5:72" x14ac:dyDescent="0.25">
      <c r="E463" s="6" t="s">
        <v>20</v>
      </c>
      <c r="F463" s="6">
        <f t="shared" si="148"/>
        <v>0</v>
      </c>
      <c r="G463" s="6">
        <f t="shared" si="149"/>
        <v>0</v>
      </c>
      <c r="H463" s="6">
        <f t="shared" si="150"/>
        <v>0</v>
      </c>
      <c r="I463" s="6">
        <f t="shared" si="151"/>
        <v>0</v>
      </c>
      <c r="J463" s="6">
        <f t="shared" si="152"/>
        <v>0</v>
      </c>
      <c r="K463" s="6">
        <f t="shared" si="153"/>
        <v>0</v>
      </c>
      <c r="L463" s="6">
        <f t="shared" si="154"/>
        <v>0</v>
      </c>
      <c r="M463" s="6">
        <f t="shared" si="155"/>
        <v>0</v>
      </c>
      <c r="N463" s="6">
        <f t="shared" si="156"/>
        <v>0</v>
      </c>
      <c r="O463" s="6">
        <f t="shared" si="157"/>
        <v>0</v>
      </c>
      <c r="P463" s="6">
        <f t="shared" si="158"/>
        <v>0</v>
      </c>
      <c r="Q463" s="6">
        <f t="shared" si="159"/>
        <v>0</v>
      </c>
      <c r="R463" s="6">
        <f t="shared" si="160"/>
        <v>0</v>
      </c>
      <c r="S463" s="6">
        <f t="shared" si="161"/>
        <v>0</v>
      </c>
      <c r="T463" s="6">
        <f t="shared" si="162"/>
        <v>0</v>
      </c>
      <c r="U463" s="6">
        <f t="shared" si="163"/>
        <v>0</v>
      </c>
      <c r="V463" s="6">
        <f t="shared" si="164"/>
        <v>0</v>
      </c>
      <c r="W463" s="6">
        <f t="shared" si="165"/>
        <v>0</v>
      </c>
      <c r="X463" s="6">
        <f t="shared" si="166"/>
        <v>0</v>
      </c>
      <c r="Y463" s="6">
        <f t="shared" si="167"/>
        <v>0</v>
      </c>
      <c r="Z463" s="6">
        <f t="shared" si="168"/>
        <v>0</v>
      </c>
      <c r="AB463" s="36" t="str">
        <f>IF(最佳化斷筋點!C463="","",最佳化斷筋點!C463)</f>
        <v>上層</v>
      </c>
      <c r="AC463" s="37">
        <f>IF(最佳化斷筋點!D463="","",最佳化斷筋點!D463)</f>
        <v>9</v>
      </c>
      <c r="AD463" s="37">
        <f>IF(最佳化斷筋點!E463="","",最佳化斷筋點!E463)</f>
        <v>9</v>
      </c>
      <c r="AE463" s="37">
        <f>IF(最佳化斷筋點!F463="","",最佳化斷筋點!F463)</f>
        <v>9</v>
      </c>
      <c r="AF463" s="37">
        <f>IF(最佳化斷筋點!G463="","",最佳化斷筋點!G463)</f>
        <v>9</v>
      </c>
      <c r="AG463" s="37">
        <f>IF(最佳化斷筋點!H463="","",最佳化斷筋點!H463)</f>
        <v>9</v>
      </c>
      <c r="AH463" s="37">
        <f>IF(最佳化斷筋點!I463="","",最佳化斷筋點!I463)</f>
        <v>9</v>
      </c>
      <c r="AI463" s="37">
        <f>IF(最佳化斷筋點!J463="","",最佳化斷筋點!J463)</f>
        <v>9</v>
      </c>
      <c r="AJ463" s="37">
        <f>IF(最佳化斷筋點!K463="","",最佳化斷筋點!K463)</f>
        <v>3</v>
      </c>
      <c r="AK463" s="37">
        <f>IF(最佳化斷筋點!L463="","",最佳化斷筋點!L463)</f>
        <v>3</v>
      </c>
      <c r="AL463" s="37">
        <f>IF(最佳化斷筋點!M463="","",最佳化斷筋點!M463)</f>
        <v>3</v>
      </c>
      <c r="AM463" s="37">
        <f>IF(最佳化斷筋點!N463="","",最佳化斷筋點!N463)</f>
        <v>3</v>
      </c>
      <c r="AN463" s="37">
        <f>IF(最佳化斷筋點!O463="","",最佳化斷筋點!O463)</f>
        <v>3</v>
      </c>
      <c r="AO463" s="37">
        <f>IF(最佳化斷筋點!P463="","",最佳化斷筋點!P463)</f>
        <v>3</v>
      </c>
      <c r="AP463" s="37">
        <f>IF(最佳化斷筋點!Q463="","",最佳化斷筋點!Q463)</f>
        <v>7</v>
      </c>
      <c r="AQ463" s="37">
        <f>IF(最佳化斷筋點!R463="","",最佳化斷筋點!R463)</f>
        <v>8</v>
      </c>
      <c r="AR463" s="37">
        <f>IF(最佳化斷筋點!S463="","",最佳化斷筋點!S463)</f>
        <v>8</v>
      </c>
      <c r="AS463" s="37">
        <f>IF(最佳化斷筋點!T463="","",最佳化斷筋點!T463)</f>
        <v>8</v>
      </c>
      <c r="AT463" s="37">
        <f>IF(最佳化斷筋點!U463="","",最佳化斷筋點!U463)</f>
        <v>8</v>
      </c>
      <c r="AU463" s="37">
        <f>IF(最佳化斷筋點!V463="","",最佳化斷筋點!V463)</f>
        <v>8</v>
      </c>
      <c r="AV463" s="37">
        <f>IF(最佳化斷筋點!W463="","",最佳化斷筋點!W463)</f>
        <v>8</v>
      </c>
      <c r="AW463" s="37">
        <f>IF(最佳化斷筋點!X463="","",最佳化斷筋點!X463)</f>
        <v>8</v>
      </c>
      <c r="AY463" s="6" t="s">
        <v>20</v>
      </c>
      <c r="AZ463" s="37">
        <v>9</v>
      </c>
      <c r="BA463" s="37">
        <v>9</v>
      </c>
      <c r="BB463" s="37">
        <v>9</v>
      </c>
      <c r="BC463" s="37">
        <v>9</v>
      </c>
      <c r="BD463" s="37">
        <v>9</v>
      </c>
      <c r="BE463" s="37">
        <v>9</v>
      </c>
      <c r="BF463" s="37">
        <v>9</v>
      </c>
      <c r="BG463" s="37">
        <v>3</v>
      </c>
      <c r="BH463" s="37">
        <v>3</v>
      </c>
      <c r="BI463" s="37">
        <v>3</v>
      </c>
      <c r="BJ463" s="37">
        <v>3</v>
      </c>
      <c r="BK463" s="37">
        <v>3</v>
      </c>
      <c r="BL463" s="37">
        <v>3</v>
      </c>
      <c r="BM463" s="37">
        <v>7</v>
      </c>
      <c r="BN463" s="37">
        <v>8</v>
      </c>
      <c r="BO463" s="37">
        <v>8</v>
      </c>
      <c r="BP463" s="37">
        <v>8</v>
      </c>
      <c r="BQ463" s="37">
        <v>8</v>
      </c>
      <c r="BR463" s="37">
        <v>8</v>
      </c>
      <c r="BS463" s="37">
        <v>8</v>
      </c>
      <c r="BT463" s="37">
        <v>8</v>
      </c>
    </row>
    <row r="464" spans="5:72" x14ac:dyDescent="0.25">
      <c r="F464" s="6">
        <f t="shared" si="148"/>
        <v>0</v>
      </c>
      <c r="G464" s="6">
        <f t="shared" si="149"/>
        <v>0</v>
      </c>
      <c r="H464" s="6">
        <f t="shared" si="150"/>
        <v>0</v>
      </c>
      <c r="I464" s="6">
        <f t="shared" si="151"/>
        <v>0</v>
      </c>
      <c r="J464" s="6">
        <f t="shared" si="152"/>
        <v>0</v>
      </c>
      <c r="K464" s="6">
        <f t="shared" si="153"/>
        <v>0</v>
      </c>
      <c r="L464" s="6">
        <f t="shared" si="154"/>
        <v>0</v>
      </c>
      <c r="M464" s="6">
        <f t="shared" si="155"/>
        <v>0</v>
      </c>
      <c r="N464" s="6">
        <f t="shared" si="156"/>
        <v>0</v>
      </c>
      <c r="O464" s="6">
        <f t="shared" si="157"/>
        <v>0</v>
      </c>
      <c r="P464" s="6">
        <f t="shared" si="158"/>
        <v>0</v>
      </c>
      <c r="Q464" s="6">
        <f t="shared" si="159"/>
        <v>0</v>
      </c>
      <c r="R464" s="6">
        <f t="shared" si="160"/>
        <v>0</v>
      </c>
      <c r="S464" s="6">
        <f t="shared" si="161"/>
        <v>0</v>
      </c>
      <c r="T464" s="6">
        <f t="shared" si="162"/>
        <v>0</v>
      </c>
      <c r="U464" s="6">
        <f t="shared" si="163"/>
        <v>0</v>
      </c>
      <c r="V464" s="6">
        <f t="shared" si="164"/>
        <v>0</v>
      </c>
      <c r="W464" s="6">
        <f t="shared" si="165"/>
        <v>0</v>
      </c>
      <c r="X464" s="6">
        <f t="shared" si="166"/>
        <v>0</v>
      </c>
      <c r="Y464" s="6">
        <f t="shared" si="167"/>
        <v>0</v>
      </c>
      <c r="Z464" s="6">
        <f t="shared" si="168"/>
        <v>0</v>
      </c>
      <c r="AB464" s="36" t="str">
        <f>IF(最佳化斷筋點!C464="","",最佳化斷筋點!C464)</f>
        <v/>
      </c>
      <c r="AC464" s="37" t="str">
        <f>IF(最佳化斷筋點!D464="","",最佳化斷筋點!D464)</f>
        <v/>
      </c>
      <c r="AD464" s="37" t="str">
        <f>IF(最佳化斷筋點!E464="","",最佳化斷筋點!E464)</f>
        <v/>
      </c>
      <c r="AE464" s="37" t="str">
        <f>IF(最佳化斷筋點!F464="","",最佳化斷筋點!F464)</f>
        <v/>
      </c>
      <c r="AF464" s="37" t="str">
        <f>IF(最佳化斷筋點!G464="","",最佳化斷筋點!G464)</f>
        <v/>
      </c>
      <c r="AG464" s="37" t="str">
        <f>IF(最佳化斷筋點!H464="","",最佳化斷筋點!H464)</f>
        <v/>
      </c>
      <c r="AH464" s="37" t="str">
        <f>IF(最佳化斷筋點!I464="","",最佳化斷筋點!I464)</f>
        <v/>
      </c>
      <c r="AI464" s="37" t="str">
        <f>IF(最佳化斷筋點!J464="","",最佳化斷筋點!J464)</f>
        <v/>
      </c>
      <c r="AJ464" s="37" t="str">
        <f>IF(最佳化斷筋點!K464="","",最佳化斷筋點!K464)</f>
        <v/>
      </c>
      <c r="AK464" s="37" t="str">
        <f>IF(最佳化斷筋點!L464="","",最佳化斷筋點!L464)</f>
        <v/>
      </c>
      <c r="AL464" s="37" t="str">
        <f>IF(最佳化斷筋點!M464="","",最佳化斷筋點!M464)</f>
        <v/>
      </c>
      <c r="AM464" s="37" t="str">
        <f>IF(最佳化斷筋點!N464="","",最佳化斷筋點!N464)</f>
        <v/>
      </c>
      <c r="AN464" s="37" t="str">
        <f>IF(最佳化斷筋點!O464="","",最佳化斷筋點!O464)</f>
        <v/>
      </c>
      <c r="AO464" s="37" t="str">
        <f>IF(最佳化斷筋點!P464="","",最佳化斷筋點!P464)</f>
        <v/>
      </c>
      <c r="AP464" s="37" t="str">
        <f>IF(最佳化斷筋點!Q464="","",最佳化斷筋點!Q464)</f>
        <v/>
      </c>
      <c r="AQ464" s="37" t="str">
        <f>IF(最佳化斷筋點!R464="","",最佳化斷筋點!R464)</f>
        <v/>
      </c>
      <c r="AR464" s="37" t="str">
        <f>IF(最佳化斷筋點!S464="","",最佳化斷筋點!S464)</f>
        <v/>
      </c>
      <c r="AS464" s="37" t="str">
        <f>IF(最佳化斷筋點!T464="","",最佳化斷筋點!T464)</f>
        <v/>
      </c>
      <c r="AT464" s="37" t="str">
        <f>IF(最佳化斷筋點!U464="","",最佳化斷筋點!U464)</f>
        <v/>
      </c>
      <c r="AU464" s="37" t="str">
        <f>IF(最佳化斷筋點!V464="","",最佳化斷筋點!V464)</f>
        <v/>
      </c>
      <c r="AV464" s="37" t="str">
        <f>IF(最佳化斷筋點!W464="","",最佳化斷筋點!W464)</f>
        <v/>
      </c>
      <c r="AW464" s="37" t="str">
        <f>IF(最佳化斷筋點!X464="","",最佳化斷筋點!X464)</f>
        <v/>
      </c>
      <c r="AZ464" s="37" t="s">
        <v>197</v>
      </c>
      <c r="BA464" s="37" t="s">
        <v>197</v>
      </c>
      <c r="BB464" s="37" t="s">
        <v>197</v>
      </c>
      <c r="BC464" s="37" t="s">
        <v>197</v>
      </c>
      <c r="BD464" s="37" t="s">
        <v>197</v>
      </c>
      <c r="BE464" s="37" t="s">
        <v>197</v>
      </c>
      <c r="BF464" s="37" t="s">
        <v>197</v>
      </c>
      <c r="BG464" s="37" t="s">
        <v>197</v>
      </c>
      <c r="BH464" s="37" t="s">
        <v>197</v>
      </c>
      <c r="BI464" s="37" t="s">
        <v>197</v>
      </c>
      <c r="BJ464" s="37" t="s">
        <v>197</v>
      </c>
      <c r="BK464" s="37" t="s">
        <v>197</v>
      </c>
      <c r="BL464" s="37" t="s">
        <v>197</v>
      </c>
      <c r="BM464" s="37" t="s">
        <v>197</v>
      </c>
      <c r="BN464" s="37" t="s">
        <v>197</v>
      </c>
      <c r="BO464" s="37" t="s">
        <v>197</v>
      </c>
      <c r="BP464" s="37" t="s">
        <v>197</v>
      </c>
      <c r="BQ464" s="37" t="s">
        <v>197</v>
      </c>
      <c r="BR464" s="37" t="s">
        <v>197</v>
      </c>
      <c r="BS464" s="37" t="s">
        <v>197</v>
      </c>
      <c r="BT464" s="37" t="s">
        <v>197</v>
      </c>
    </row>
    <row r="465" spans="5:72" x14ac:dyDescent="0.25">
      <c r="E465" s="6" t="s">
        <v>21</v>
      </c>
      <c r="F465" s="6">
        <f t="shared" si="148"/>
        <v>0</v>
      </c>
      <c r="G465" s="6">
        <f t="shared" si="149"/>
        <v>0</v>
      </c>
      <c r="H465" s="6">
        <f t="shared" si="150"/>
        <v>0</v>
      </c>
      <c r="I465" s="6">
        <f t="shared" si="151"/>
        <v>0</v>
      </c>
      <c r="J465" s="6">
        <f t="shared" si="152"/>
        <v>0</v>
      </c>
      <c r="K465" s="6">
        <f t="shared" si="153"/>
        <v>0</v>
      </c>
      <c r="L465" s="6">
        <f t="shared" si="154"/>
        <v>0</v>
      </c>
      <c r="M465" s="6">
        <f t="shared" si="155"/>
        <v>0</v>
      </c>
      <c r="N465" s="6">
        <f t="shared" si="156"/>
        <v>0</v>
      </c>
      <c r="O465" s="6">
        <f t="shared" si="157"/>
        <v>0</v>
      </c>
      <c r="P465" s="6">
        <f t="shared" si="158"/>
        <v>0</v>
      </c>
      <c r="Q465" s="6">
        <f t="shared" si="159"/>
        <v>0</v>
      </c>
      <c r="R465" s="6">
        <f t="shared" si="160"/>
        <v>0</v>
      </c>
      <c r="S465" s="6">
        <f t="shared" si="161"/>
        <v>0</v>
      </c>
      <c r="T465" s="6">
        <f t="shared" si="162"/>
        <v>0</v>
      </c>
      <c r="U465" s="6">
        <f t="shared" si="163"/>
        <v>0</v>
      </c>
      <c r="V465" s="6">
        <f t="shared" si="164"/>
        <v>0</v>
      </c>
      <c r="W465" s="6">
        <f t="shared" si="165"/>
        <v>0</v>
      </c>
      <c r="X465" s="6">
        <f t="shared" si="166"/>
        <v>0</v>
      </c>
      <c r="Y465" s="6">
        <f t="shared" si="167"/>
        <v>0</v>
      </c>
      <c r="Z465" s="6">
        <f t="shared" si="168"/>
        <v>0</v>
      </c>
      <c r="AB465" s="36" t="str">
        <f>IF(最佳化斷筋點!C465="","",最佳化斷筋點!C465)</f>
        <v>下層</v>
      </c>
      <c r="AC465" s="37">
        <f>IF(最佳化斷筋點!D465="","",最佳化斷筋點!D465)</f>
        <v>10</v>
      </c>
      <c r="AD465" s="37">
        <f>IF(最佳化斷筋點!E465="","",最佳化斷筋點!E465)</f>
        <v>10</v>
      </c>
      <c r="AE465" s="37">
        <f>IF(最佳化斷筋點!F465="","",最佳化斷筋點!F465)</f>
        <v>10</v>
      </c>
      <c r="AF465" s="37">
        <f>IF(最佳化斷筋點!G465="","",最佳化斷筋點!G465)</f>
        <v>10</v>
      </c>
      <c r="AG465" s="37">
        <f>IF(最佳化斷筋點!H465="","",最佳化斷筋點!H465)</f>
        <v>10</v>
      </c>
      <c r="AH465" s="37">
        <f>IF(最佳化斷筋點!I465="","",最佳化斷筋點!I465)</f>
        <v>10</v>
      </c>
      <c r="AI465" s="37">
        <f>IF(最佳化斷筋點!J465="","",最佳化斷筋點!J465)</f>
        <v>9</v>
      </c>
      <c r="AJ465" s="37">
        <f>IF(最佳化斷筋點!K465="","",最佳化斷筋點!K465)</f>
        <v>3</v>
      </c>
      <c r="AK465" s="37">
        <f>IF(最佳化斷筋點!L465="","",最佳化斷筋點!L465)</f>
        <v>3</v>
      </c>
      <c r="AL465" s="37">
        <f>IF(最佳化斷筋點!M465="","",最佳化斷筋點!M465)</f>
        <v>3</v>
      </c>
      <c r="AM465" s="37">
        <f>IF(最佳化斷筋點!N465="","",最佳化斷筋點!N465)</f>
        <v>3</v>
      </c>
      <c r="AN465" s="37">
        <f>IF(最佳化斷筋點!O465="","",最佳化斷筋點!O465)</f>
        <v>3</v>
      </c>
      <c r="AO465" s="37">
        <f>IF(最佳化斷筋點!P465="","",最佳化斷筋點!P465)</f>
        <v>3</v>
      </c>
      <c r="AP465" s="37">
        <f>IF(最佳化斷筋點!Q465="","",最佳化斷筋點!Q465)</f>
        <v>7</v>
      </c>
      <c r="AQ465" s="37">
        <f>IF(最佳化斷筋點!R465="","",最佳化斷筋點!R465)</f>
        <v>8</v>
      </c>
      <c r="AR465" s="37">
        <f>IF(最佳化斷筋點!S465="","",最佳化斷筋點!S465)</f>
        <v>9</v>
      </c>
      <c r="AS465" s="37">
        <f>IF(最佳化斷筋點!T465="","",最佳化斷筋點!T465)</f>
        <v>10</v>
      </c>
      <c r="AT465" s="37">
        <f>IF(最佳化斷筋點!U465="","",最佳化斷筋點!U465)</f>
        <v>10</v>
      </c>
      <c r="AU465" s="37">
        <f>IF(最佳化斷筋點!V465="","",最佳化斷筋點!V465)</f>
        <v>10</v>
      </c>
      <c r="AV465" s="37">
        <f>IF(最佳化斷筋點!W465="","",最佳化斷筋點!W465)</f>
        <v>10</v>
      </c>
      <c r="AW465" s="37">
        <f>IF(最佳化斷筋點!X465="","",最佳化斷筋點!X465)</f>
        <v>10</v>
      </c>
      <c r="AY465" s="6" t="s">
        <v>21</v>
      </c>
      <c r="AZ465" s="37">
        <v>10</v>
      </c>
      <c r="BA465" s="37">
        <v>10</v>
      </c>
      <c r="BB465" s="37">
        <v>10</v>
      </c>
      <c r="BC465" s="37">
        <v>10</v>
      </c>
      <c r="BD465" s="37">
        <v>10</v>
      </c>
      <c r="BE465" s="37">
        <v>10</v>
      </c>
      <c r="BF465" s="37">
        <v>9</v>
      </c>
      <c r="BG465" s="37">
        <v>3</v>
      </c>
      <c r="BH465" s="37">
        <v>3</v>
      </c>
      <c r="BI465" s="37">
        <v>3</v>
      </c>
      <c r="BJ465" s="37">
        <v>3</v>
      </c>
      <c r="BK465" s="37">
        <v>3</v>
      </c>
      <c r="BL465" s="37">
        <v>3</v>
      </c>
      <c r="BM465" s="37">
        <v>7</v>
      </c>
      <c r="BN465" s="37">
        <v>8</v>
      </c>
      <c r="BO465" s="37">
        <v>9</v>
      </c>
      <c r="BP465" s="37">
        <v>10</v>
      </c>
      <c r="BQ465" s="37">
        <v>10</v>
      </c>
      <c r="BR465" s="37">
        <v>10</v>
      </c>
      <c r="BS465" s="37">
        <v>10</v>
      </c>
      <c r="BT465" s="37">
        <v>10</v>
      </c>
    </row>
    <row r="466" spans="5:72" x14ac:dyDescent="0.25">
      <c r="F466" s="6">
        <f t="shared" si="148"/>
        <v>0</v>
      </c>
      <c r="G466" s="6">
        <f t="shared" si="149"/>
        <v>0</v>
      </c>
      <c r="H466" s="6">
        <f t="shared" si="150"/>
        <v>0</v>
      </c>
      <c r="I466" s="6">
        <f t="shared" si="151"/>
        <v>0</v>
      </c>
      <c r="J466" s="6">
        <f t="shared" si="152"/>
        <v>0</v>
      </c>
      <c r="K466" s="6">
        <f t="shared" si="153"/>
        <v>0</v>
      </c>
      <c r="L466" s="6">
        <f t="shared" si="154"/>
        <v>0</v>
      </c>
      <c r="M466" s="6">
        <f t="shared" si="155"/>
        <v>0</v>
      </c>
      <c r="N466" s="6">
        <f t="shared" si="156"/>
        <v>0</v>
      </c>
      <c r="O466" s="6">
        <f t="shared" si="157"/>
        <v>0</v>
      </c>
      <c r="P466" s="6">
        <f t="shared" si="158"/>
        <v>0</v>
      </c>
      <c r="Q466" s="6">
        <f t="shared" si="159"/>
        <v>0</v>
      </c>
      <c r="R466" s="6">
        <f t="shared" si="160"/>
        <v>0</v>
      </c>
      <c r="S466" s="6">
        <f t="shared" si="161"/>
        <v>0</v>
      </c>
      <c r="T466" s="6">
        <f t="shared" si="162"/>
        <v>0</v>
      </c>
      <c r="U466" s="6">
        <f t="shared" si="163"/>
        <v>0</v>
      </c>
      <c r="V466" s="6">
        <f t="shared" si="164"/>
        <v>0</v>
      </c>
      <c r="W466" s="6">
        <f t="shared" si="165"/>
        <v>0</v>
      </c>
      <c r="X466" s="6">
        <f t="shared" si="166"/>
        <v>0</v>
      </c>
      <c r="Y466" s="6">
        <f t="shared" si="167"/>
        <v>0</v>
      </c>
      <c r="Z466" s="6">
        <f t="shared" si="168"/>
        <v>0</v>
      </c>
      <c r="AB466" s="36" t="str">
        <f>IF(最佳化斷筋點!C466="","",最佳化斷筋點!C466)</f>
        <v/>
      </c>
      <c r="AC466" s="37" t="str">
        <f>IF(最佳化斷筋點!D466="","",最佳化斷筋點!D466)</f>
        <v/>
      </c>
      <c r="AD466" s="37" t="str">
        <f>IF(最佳化斷筋點!E466="","",最佳化斷筋點!E466)</f>
        <v/>
      </c>
      <c r="AE466" s="37" t="str">
        <f>IF(最佳化斷筋點!F466="","",最佳化斷筋點!F466)</f>
        <v/>
      </c>
      <c r="AF466" s="37" t="str">
        <f>IF(最佳化斷筋點!G466="","",最佳化斷筋點!G466)</f>
        <v/>
      </c>
      <c r="AG466" s="37" t="str">
        <f>IF(最佳化斷筋點!H466="","",最佳化斷筋點!H466)</f>
        <v/>
      </c>
      <c r="AH466" s="37" t="str">
        <f>IF(最佳化斷筋點!I466="","",最佳化斷筋點!I466)</f>
        <v/>
      </c>
      <c r="AI466" s="37" t="str">
        <f>IF(最佳化斷筋點!J466="","",最佳化斷筋點!J466)</f>
        <v/>
      </c>
      <c r="AJ466" s="37" t="str">
        <f>IF(最佳化斷筋點!K466="","",最佳化斷筋點!K466)</f>
        <v/>
      </c>
      <c r="AK466" s="37" t="str">
        <f>IF(最佳化斷筋點!L466="","",最佳化斷筋點!L466)</f>
        <v/>
      </c>
      <c r="AL466" s="37" t="str">
        <f>IF(最佳化斷筋點!M466="","",最佳化斷筋點!M466)</f>
        <v/>
      </c>
      <c r="AM466" s="37" t="str">
        <f>IF(最佳化斷筋點!N466="","",最佳化斷筋點!N466)</f>
        <v/>
      </c>
      <c r="AN466" s="37" t="str">
        <f>IF(最佳化斷筋點!O466="","",最佳化斷筋點!O466)</f>
        <v/>
      </c>
      <c r="AO466" s="37" t="str">
        <f>IF(最佳化斷筋點!P466="","",最佳化斷筋點!P466)</f>
        <v/>
      </c>
      <c r="AP466" s="37" t="str">
        <f>IF(最佳化斷筋點!Q466="","",最佳化斷筋點!Q466)</f>
        <v/>
      </c>
      <c r="AQ466" s="37" t="str">
        <f>IF(最佳化斷筋點!R466="","",最佳化斷筋點!R466)</f>
        <v/>
      </c>
      <c r="AR466" s="37" t="str">
        <f>IF(最佳化斷筋點!S466="","",最佳化斷筋點!S466)</f>
        <v/>
      </c>
      <c r="AS466" s="37" t="str">
        <f>IF(最佳化斷筋點!T466="","",最佳化斷筋點!T466)</f>
        <v/>
      </c>
      <c r="AT466" s="37" t="str">
        <f>IF(最佳化斷筋點!U466="","",最佳化斷筋點!U466)</f>
        <v/>
      </c>
      <c r="AU466" s="37" t="str">
        <f>IF(最佳化斷筋點!V466="","",最佳化斷筋點!V466)</f>
        <v/>
      </c>
      <c r="AV466" s="37" t="str">
        <f>IF(最佳化斷筋點!W466="","",最佳化斷筋點!W466)</f>
        <v/>
      </c>
      <c r="AW466" s="37" t="str">
        <f>IF(最佳化斷筋點!X466="","",最佳化斷筋點!X466)</f>
        <v/>
      </c>
      <c r="AZ466" s="37" t="s">
        <v>197</v>
      </c>
      <c r="BA466" s="37" t="s">
        <v>197</v>
      </c>
      <c r="BB466" s="37" t="s">
        <v>197</v>
      </c>
      <c r="BC466" s="37" t="s">
        <v>197</v>
      </c>
      <c r="BD466" s="37" t="s">
        <v>197</v>
      </c>
      <c r="BE466" s="37" t="s">
        <v>197</v>
      </c>
      <c r="BF466" s="37" t="s">
        <v>197</v>
      </c>
      <c r="BG466" s="37" t="s">
        <v>197</v>
      </c>
      <c r="BH466" s="37" t="s">
        <v>197</v>
      </c>
      <c r="BI466" s="37" t="s">
        <v>197</v>
      </c>
      <c r="BJ466" s="37" t="s">
        <v>197</v>
      </c>
      <c r="BK466" s="37" t="s">
        <v>197</v>
      </c>
      <c r="BL466" s="37" t="s">
        <v>197</v>
      </c>
      <c r="BM466" s="37" t="s">
        <v>197</v>
      </c>
      <c r="BN466" s="37" t="s">
        <v>197</v>
      </c>
      <c r="BO466" s="37" t="s">
        <v>197</v>
      </c>
      <c r="BP466" s="37" t="s">
        <v>197</v>
      </c>
      <c r="BQ466" s="37" t="s">
        <v>197</v>
      </c>
      <c r="BR466" s="37" t="s">
        <v>197</v>
      </c>
      <c r="BS466" s="37" t="s">
        <v>197</v>
      </c>
      <c r="BT466" s="37" t="s">
        <v>197</v>
      </c>
    </row>
    <row r="467" spans="5:72" x14ac:dyDescent="0.25">
      <c r="E467" s="6" t="s">
        <v>20</v>
      </c>
      <c r="F467" s="6">
        <f t="shared" si="148"/>
        <v>0</v>
      </c>
      <c r="G467" s="6">
        <f t="shared" si="149"/>
        <v>0</v>
      </c>
      <c r="H467" s="6">
        <f t="shared" si="150"/>
        <v>0</v>
      </c>
      <c r="I467" s="6">
        <f t="shared" si="151"/>
        <v>0</v>
      </c>
      <c r="J467" s="6">
        <f t="shared" si="152"/>
        <v>0</v>
      </c>
      <c r="K467" s="6">
        <f t="shared" si="153"/>
        <v>0</v>
      </c>
      <c r="L467" s="6">
        <f t="shared" si="154"/>
        <v>0</v>
      </c>
      <c r="M467" s="6">
        <f t="shared" si="155"/>
        <v>0</v>
      </c>
      <c r="N467" s="6">
        <f t="shared" si="156"/>
        <v>0</v>
      </c>
      <c r="O467" s="6">
        <f t="shared" si="157"/>
        <v>0</v>
      </c>
      <c r="P467" s="6">
        <f t="shared" si="158"/>
        <v>0</v>
      </c>
      <c r="Q467" s="6">
        <f t="shared" si="159"/>
        <v>0</v>
      </c>
      <c r="R467" s="6">
        <f t="shared" si="160"/>
        <v>0</v>
      </c>
      <c r="S467" s="6">
        <f t="shared" si="161"/>
        <v>0</v>
      </c>
      <c r="T467" s="6">
        <f t="shared" si="162"/>
        <v>0</v>
      </c>
      <c r="U467" s="6">
        <f t="shared" si="163"/>
        <v>0</v>
      </c>
      <c r="V467" s="6">
        <f t="shared" si="164"/>
        <v>0</v>
      </c>
      <c r="W467" s="6">
        <f t="shared" si="165"/>
        <v>0</v>
      </c>
      <c r="X467" s="6">
        <f t="shared" si="166"/>
        <v>0</v>
      </c>
      <c r="Y467" s="6">
        <f t="shared" si="167"/>
        <v>0</v>
      </c>
      <c r="Z467" s="6">
        <f t="shared" si="168"/>
        <v>0</v>
      </c>
      <c r="AB467" s="36" t="str">
        <f>IF(最佳化斷筋點!C467="","",最佳化斷筋點!C467)</f>
        <v>上層</v>
      </c>
      <c r="AC467" s="37">
        <f>IF(最佳化斷筋點!D467="","",最佳化斷筋點!D467)</f>
        <v>6</v>
      </c>
      <c r="AD467" s="37">
        <f>IF(最佳化斷筋點!E467="","",最佳化斷筋點!E467)</f>
        <v>6</v>
      </c>
      <c r="AE467" s="37">
        <f>IF(最佳化斷筋點!F467="","",最佳化斷筋點!F467)</f>
        <v>6</v>
      </c>
      <c r="AF467" s="37">
        <f>IF(最佳化斷筋點!G467="","",最佳化斷筋點!G467)</f>
        <v>6</v>
      </c>
      <c r="AG467" s="37">
        <f>IF(最佳化斷筋點!H467="","",最佳化斷筋點!H467)</f>
        <v>6</v>
      </c>
      <c r="AH467" s="37">
        <f>IF(最佳化斷筋點!I467="","",最佳化斷筋點!I467)</f>
        <v>6</v>
      </c>
      <c r="AI467" s="37">
        <f>IF(最佳化斷筋點!J467="","",最佳化斷筋點!J467)</f>
        <v>5</v>
      </c>
      <c r="AJ467" s="37">
        <f>IF(最佳化斷筋點!K467="","",最佳化斷筋點!K467)</f>
        <v>2</v>
      </c>
      <c r="AK467" s="37">
        <f>IF(最佳化斷筋點!L467="","",最佳化斷筋點!L467)</f>
        <v>2</v>
      </c>
      <c r="AL467" s="37">
        <f>IF(最佳化斷筋點!M467="","",最佳化斷筋點!M467)</f>
        <v>2</v>
      </c>
      <c r="AM467" s="37">
        <f>IF(最佳化斷筋點!N467="","",最佳化斷筋點!N467)</f>
        <v>2</v>
      </c>
      <c r="AN467" s="37">
        <f>IF(最佳化斷筋點!O467="","",最佳化斷筋點!O467)</f>
        <v>2</v>
      </c>
      <c r="AO467" s="37">
        <f>IF(最佳化斷筋點!P467="","",最佳化斷筋點!P467)</f>
        <v>2</v>
      </c>
      <c r="AP467" s="37">
        <f>IF(最佳化斷筋點!Q467="","",最佳化斷筋點!Q467)</f>
        <v>3</v>
      </c>
      <c r="AQ467" s="37">
        <f>IF(最佳化斷筋點!R467="","",最佳化斷筋點!R467)</f>
        <v>3</v>
      </c>
      <c r="AR467" s="37">
        <f>IF(最佳化斷筋點!S467="","",最佳化斷筋點!S467)</f>
        <v>4</v>
      </c>
      <c r="AS467" s="37">
        <f>IF(最佳化斷筋點!T467="","",最佳化斷筋點!T467)</f>
        <v>4</v>
      </c>
      <c r="AT467" s="37">
        <f>IF(最佳化斷筋點!U467="","",最佳化斷筋點!U467)</f>
        <v>4</v>
      </c>
      <c r="AU467" s="37">
        <f>IF(最佳化斷筋點!V467="","",最佳化斷筋點!V467)</f>
        <v>4</v>
      </c>
      <c r="AV467" s="37">
        <f>IF(最佳化斷筋點!W467="","",最佳化斷筋點!W467)</f>
        <v>4</v>
      </c>
      <c r="AW467" s="37">
        <f>IF(最佳化斷筋點!X467="","",最佳化斷筋點!X467)</f>
        <v>4</v>
      </c>
      <c r="AY467" s="6" t="s">
        <v>20</v>
      </c>
      <c r="AZ467" s="37">
        <v>6</v>
      </c>
      <c r="BA467" s="37">
        <v>6</v>
      </c>
      <c r="BB467" s="37">
        <v>6</v>
      </c>
      <c r="BC467" s="37">
        <v>6</v>
      </c>
      <c r="BD467" s="37">
        <v>6</v>
      </c>
      <c r="BE467" s="37">
        <v>6</v>
      </c>
      <c r="BF467" s="37">
        <v>5</v>
      </c>
      <c r="BG467" s="37">
        <v>2</v>
      </c>
      <c r="BH467" s="37">
        <v>2</v>
      </c>
      <c r="BI467" s="37">
        <v>2</v>
      </c>
      <c r="BJ467" s="37">
        <v>2</v>
      </c>
      <c r="BK467" s="37">
        <v>2</v>
      </c>
      <c r="BL467" s="37">
        <v>2</v>
      </c>
      <c r="BM467" s="37">
        <v>3</v>
      </c>
      <c r="BN467" s="37">
        <v>3</v>
      </c>
      <c r="BO467" s="37">
        <v>4</v>
      </c>
      <c r="BP467" s="37">
        <v>4</v>
      </c>
      <c r="BQ467" s="37">
        <v>4</v>
      </c>
      <c r="BR467" s="37">
        <v>4</v>
      </c>
      <c r="BS467" s="37">
        <v>4</v>
      </c>
      <c r="BT467" s="37">
        <v>4</v>
      </c>
    </row>
    <row r="468" spans="5:72" x14ac:dyDescent="0.25">
      <c r="F468" s="6">
        <f t="shared" si="148"/>
        <v>0</v>
      </c>
      <c r="G468" s="6">
        <f t="shared" si="149"/>
        <v>0</v>
      </c>
      <c r="H468" s="6">
        <f t="shared" si="150"/>
        <v>0</v>
      </c>
      <c r="I468" s="6">
        <f t="shared" si="151"/>
        <v>0</v>
      </c>
      <c r="J468" s="6">
        <f t="shared" si="152"/>
        <v>0</v>
      </c>
      <c r="K468" s="6">
        <f t="shared" si="153"/>
        <v>0</v>
      </c>
      <c r="L468" s="6">
        <f t="shared" si="154"/>
        <v>0</v>
      </c>
      <c r="M468" s="6">
        <f t="shared" si="155"/>
        <v>0</v>
      </c>
      <c r="N468" s="6">
        <f t="shared" si="156"/>
        <v>0</v>
      </c>
      <c r="O468" s="6">
        <f t="shared" si="157"/>
        <v>0</v>
      </c>
      <c r="P468" s="6">
        <f t="shared" si="158"/>
        <v>0</v>
      </c>
      <c r="Q468" s="6">
        <f t="shared" si="159"/>
        <v>0</v>
      </c>
      <c r="R468" s="6">
        <f t="shared" si="160"/>
        <v>0</v>
      </c>
      <c r="S468" s="6">
        <f t="shared" si="161"/>
        <v>0</v>
      </c>
      <c r="T468" s="6">
        <f t="shared" si="162"/>
        <v>0</v>
      </c>
      <c r="U468" s="6">
        <f t="shared" si="163"/>
        <v>0</v>
      </c>
      <c r="V468" s="6">
        <f t="shared" si="164"/>
        <v>0</v>
      </c>
      <c r="W468" s="6">
        <f t="shared" si="165"/>
        <v>0</v>
      </c>
      <c r="X468" s="6">
        <f t="shared" si="166"/>
        <v>0</v>
      </c>
      <c r="Y468" s="6">
        <f t="shared" si="167"/>
        <v>0</v>
      </c>
      <c r="Z468" s="6">
        <f t="shared" si="168"/>
        <v>0</v>
      </c>
      <c r="AB468" s="36" t="str">
        <f>IF(最佳化斷筋點!C468="","",最佳化斷筋點!C468)</f>
        <v/>
      </c>
      <c r="AC468" s="37" t="str">
        <f>IF(最佳化斷筋點!D468="","",最佳化斷筋點!D468)</f>
        <v/>
      </c>
      <c r="AD468" s="37" t="str">
        <f>IF(最佳化斷筋點!E468="","",最佳化斷筋點!E468)</f>
        <v/>
      </c>
      <c r="AE468" s="37" t="str">
        <f>IF(最佳化斷筋點!F468="","",最佳化斷筋點!F468)</f>
        <v/>
      </c>
      <c r="AF468" s="37" t="str">
        <f>IF(最佳化斷筋點!G468="","",最佳化斷筋點!G468)</f>
        <v/>
      </c>
      <c r="AG468" s="37" t="str">
        <f>IF(最佳化斷筋點!H468="","",最佳化斷筋點!H468)</f>
        <v/>
      </c>
      <c r="AH468" s="37" t="str">
        <f>IF(最佳化斷筋點!I468="","",最佳化斷筋點!I468)</f>
        <v/>
      </c>
      <c r="AI468" s="37" t="str">
        <f>IF(最佳化斷筋點!J468="","",最佳化斷筋點!J468)</f>
        <v/>
      </c>
      <c r="AJ468" s="37" t="str">
        <f>IF(最佳化斷筋點!K468="","",最佳化斷筋點!K468)</f>
        <v/>
      </c>
      <c r="AK468" s="37" t="str">
        <f>IF(最佳化斷筋點!L468="","",最佳化斷筋點!L468)</f>
        <v/>
      </c>
      <c r="AL468" s="37" t="str">
        <f>IF(最佳化斷筋點!M468="","",最佳化斷筋點!M468)</f>
        <v/>
      </c>
      <c r="AM468" s="37" t="str">
        <f>IF(最佳化斷筋點!N468="","",最佳化斷筋點!N468)</f>
        <v/>
      </c>
      <c r="AN468" s="37" t="str">
        <f>IF(最佳化斷筋點!O468="","",最佳化斷筋點!O468)</f>
        <v/>
      </c>
      <c r="AO468" s="37" t="str">
        <f>IF(最佳化斷筋點!P468="","",最佳化斷筋點!P468)</f>
        <v/>
      </c>
      <c r="AP468" s="37" t="str">
        <f>IF(最佳化斷筋點!Q468="","",最佳化斷筋點!Q468)</f>
        <v/>
      </c>
      <c r="AQ468" s="37" t="str">
        <f>IF(最佳化斷筋點!R468="","",最佳化斷筋點!R468)</f>
        <v/>
      </c>
      <c r="AR468" s="37" t="str">
        <f>IF(最佳化斷筋點!S468="","",最佳化斷筋點!S468)</f>
        <v/>
      </c>
      <c r="AS468" s="37" t="str">
        <f>IF(最佳化斷筋點!T468="","",最佳化斷筋點!T468)</f>
        <v/>
      </c>
      <c r="AT468" s="37" t="str">
        <f>IF(最佳化斷筋點!U468="","",最佳化斷筋點!U468)</f>
        <v/>
      </c>
      <c r="AU468" s="37" t="str">
        <f>IF(最佳化斷筋點!V468="","",最佳化斷筋點!V468)</f>
        <v/>
      </c>
      <c r="AV468" s="37" t="str">
        <f>IF(最佳化斷筋點!W468="","",最佳化斷筋點!W468)</f>
        <v/>
      </c>
      <c r="AW468" s="37" t="str">
        <f>IF(最佳化斷筋點!X468="","",最佳化斷筋點!X468)</f>
        <v/>
      </c>
      <c r="AZ468" s="37" t="s">
        <v>197</v>
      </c>
      <c r="BA468" s="37" t="s">
        <v>197</v>
      </c>
      <c r="BB468" s="37" t="s">
        <v>197</v>
      </c>
      <c r="BC468" s="37" t="s">
        <v>197</v>
      </c>
      <c r="BD468" s="37" t="s">
        <v>197</v>
      </c>
      <c r="BE468" s="37" t="s">
        <v>197</v>
      </c>
      <c r="BF468" s="37" t="s">
        <v>197</v>
      </c>
      <c r="BG468" s="37" t="s">
        <v>197</v>
      </c>
      <c r="BH468" s="37" t="s">
        <v>197</v>
      </c>
      <c r="BI468" s="37" t="s">
        <v>197</v>
      </c>
      <c r="BJ468" s="37" t="s">
        <v>197</v>
      </c>
      <c r="BK468" s="37" t="s">
        <v>197</v>
      </c>
      <c r="BL468" s="37" t="s">
        <v>197</v>
      </c>
      <c r="BM468" s="37" t="s">
        <v>197</v>
      </c>
      <c r="BN468" s="37" t="s">
        <v>197</v>
      </c>
      <c r="BO468" s="37" t="s">
        <v>197</v>
      </c>
      <c r="BP468" s="37" t="s">
        <v>197</v>
      </c>
      <c r="BQ468" s="37" t="s">
        <v>197</v>
      </c>
      <c r="BR468" s="37" t="s">
        <v>197</v>
      </c>
      <c r="BS468" s="37" t="s">
        <v>197</v>
      </c>
      <c r="BT468" s="37" t="s">
        <v>197</v>
      </c>
    </row>
    <row r="469" spans="5:72" x14ac:dyDescent="0.25">
      <c r="E469" s="6" t="s">
        <v>21</v>
      </c>
      <c r="F469" s="6">
        <f t="shared" si="148"/>
        <v>0</v>
      </c>
      <c r="G469" s="6">
        <f t="shared" si="149"/>
        <v>0</v>
      </c>
      <c r="H469" s="6">
        <f t="shared" si="150"/>
        <v>0</v>
      </c>
      <c r="I469" s="6">
        <f t="shared" si="151"/>
        <v>0</v>
      </c>
      <c r="J469" s="6">
        <f t="shared" si="152"/>
        <v>0</v>
      </c>
      <c r="K469" s="6">
        <f t="shared" si="153"/>
        <v>0</v>
      </c>
      <c r="L469" s="6">
        <f t="shared" si="154"/>
        <v>0</v>
      </c>
      <c r="M469" s="6">
        <f t="shared" si="155"/>
        <v>0</v>
      </c>
      <c r="N469" s="6">
        <f t="shared" si="156"/>
        <v>0</v>
      </c>
      <c r="O469" s="6">
        <f t="shared" si="157"/>
        <v>0</v>
      </c>
      <c r="P469" s="6">
        <f t="shared" si="158"/>
        <v>0</v>
      </c>
      <c r="Q469" s="6">
        <f t="shared" si="159"/>
        <v>0</v>
      </c>
      <c r="R469" s="6">
        <f t="shared" si="160"/>
        <v>0</v>
      </c>
      <c r="S469" s="6">
        <f t="shared" si="161"/>
        <v>0</v>
      </c>
      <c r="T469" s="6">
        <f t="shared" si="162"/>
        <v>0</v>
      </c>
      <c r="U469" s="6">
        <f t="shared" si="163"/>
        <v>0</v>
      </c>
      <c r="V469" s="6">
        <f t="shared" si="164"/>
        <v>0</v>
      </c>
      <c r="W469" s="6">
        <f t="shared" si="165"/>
        <v>0</v>
      </c>
      <c r="X469" s="6">
        <f t="shared" si="166"/>
        <v>0</v>
      </c>
      <c r="Y469" s="6">
        <f t="shared" si="167"/>
        <v>0</v>
      </c>
      <c r="Z469" s="6">
        <f t="shared" si="168"/>
        <v>0</v>
      </c>
      <c r="AB469" s="36" t="str">
        <f>IF(最佳化斷筋點!C469="","",最佳化斷筋點!C469)</f>
        <v>下層</v>
      </c>
      <c r="AC469" s="37">
        <f>IF(最佳化斷筋點!D469="","",最佳化斷筋點!D469)</f>
        <v>5</v>
      </c>
      <c r="AD469" s="37">
        <f>IF(最佳化斷筋點!E469="","",最佳化斷筋點!E469)</f>
        <v>5</v>
      </c>
      <c r="AE469" s="37">
        <f>IF(最佳化斷筋點!F469="","",最佳化斷筋點!F469)</f>
        <v>5</v>
      </c>
      <c r="AF469" s="37">
        <f>IF(最佳化斷筋點!G469="","",最佳化斷筋點!G469)</f>
        <v>5</v>
      </c>
      <c r="AG469" s="37">
        <f>IF(最佳化斷筋點!H469="","",最佳化斷筋點!H469)</f>
        <v>5</v>
      </c>
      <c r="AH469" s="37">
        <f>IF(最佳化斷筋點!I469="","",最佳化斷筋點!I469)</f>
        <v>5</v>
      </c>
      <c r="AI469" s="37">
        <f>IF(最佳化斷筋點!J469="","",最佳化斷筋點!J469)</f>
        <v>4</v>
      </c>
      <c r="AJ469" s="37">
        <f>IF(最佳化斷筋點!K469="","",最佳化斷筋點!K469)</f>
        <v>3</v>
      </c>
      <c r="AK469" s="37">
        <f>IF(最佳化斷筋點!L469="","",最佳化斷筋點!L469)</f>
        <v>3</v>
      </c>
      <c r="AL469" s="37">
        <f>IF(最佳化斷筋點!M469="","",最佳化斷筋點!M469)</f>
        <v>3</v>
      </c>
      <c r="AM469" s="37">
        <f>IF(最佳化斷筋點!N469="","",最佳化斷筋點!N469)</f>
        <v>3</v>
      </c>
      <c r="AN469" s="37">
        <f>IF(最佳化斷筋點!O469="","",最佳化斷筋點!O469)</f>
        <v>3</v>
      </c>
      <c r="AO469" s="37">
        <f>IF(最佳化斷筋點!P469="","",最佳化斷筋點!P469)</f>
        <v>3</v>
      </c>
      <c r="AP469" s="37">
        <f>IF(最佳化斷筋點!Q469="","",最佳化斷筋點!Q469)</f>
        <v>4</v>
      </c>
      <c r="AQ469" s="37">
        <f>IF(最佳化斷筋點!R469="","",最佳化斷筋點!R469)</f>
        <v>5</v>
      </c>
      <c r="AR469" s="37">
        <f>IF(最佳化斷筋點!S469="","",最佳化斷筋點!S469)</f>
        <v>6</v>
      </c>
      <c r="AS469" s="37">
        <f>IF(最佳化斷筋點!T469="","",最佳化斷筋點!T469)</f>
        <v>6</v>
      </c>
      <c r="AT469" s="37">
        <f>IF(最佳化斷筋點!U469="","",最佳化斷筋點!U469)</f>
        <v>7</v>
      </c>
      <c r="AU469" s="37">
        <f>IF(最佳化斷筋點!V469="","",最佳化斷筋點!V469)</f>
        <v>7</v>
      </c>
      <c r="AV469" s="37">
        <f>IF(最佳化斷筋點!W469="","",最佳化斷筋點!W469)</f>
        <v>7</v>
      </c>
      <c r="AW469" s="37">
        <f>IF(最佳化斷筋點!X469="","",最佳化斷筋點!X469)</f>
        <v>7</v>
      </c>
      <c r="AY469" s="6" t="s">
        <v>21</v>
      </c>
      <c r="AZ469" s="37">
        <v>5</v>
      </c>
      <c r="BA469" s="37">
        <v>5</v>
      </c>
      <c r="BB469" s="37">
        <v>5</v>
      </c>
      <c r="BC469" s="37">
        <v>5</v>
      </c>
      <c r="BD469" s="37">
        <v>5</v>
      </c>
      <c r="BE469" s="37">
        <v>5</v>
      </c>
      <c r="BF469" s="37">
        <v>4</v>
      </c>
      <c r="BG469" s="37">
        <v>3</v>
      </c>
      <c r="BH469" s="37">
        <v>3</v>
      </c>
      <c r="BI469" s="37">
        <v>3</v>
      </c>
      <c r="BJ469" s="37">
        <v>3</v>
      </c>
      <c r="BK469" s="37">
        <v>3</v>
      </c>
      <c r="BL469" s="37">
        <v>3</v>
      </c>
      <c r="BM469" s="37">
        <v>4</v>
      </c>
      <c r="BN469" s="37">
        <v>5</v>
      </c>
      <c r="BO469" s="37">
        <v>6</v>
      </c>
      <c r="BP469" s="37">
        <v>6</v>
      </c>
      <c r="BQ469" s="37">
        <v>7</v>
      </c>
      <c r="BR469" s="37">
        <v>7</v>
      </c>
      <c r="BS469" s="37">
        <v>7</v>
      </c>
      <c r="BT469" s="37">
        <v>7</v>
      </c>
    </row>
    <row r="470" spans="5:72" x14ac:dyDescent="0.25">
      <c r="F470" s="6">
        <f t="shared" si="148"/>
        <v>0</v>
      </c>
      <c r="G470" s="6">
        <f t="shared" si="149"/>
        <v>0</v>
      </c>
      <c r="H470" s="6">
        <f t="shared" si="150"/>
        <v>0</v>
      </c>
      <c r="I470" s="6">
        <f t="shared" si="151"/>
        <v>0</v>
      </c>
      <c r="J470" s="6">
        <f t="shared" si="152"/>
        <v>0</v>
      </c>
      <c r="K470" s="6">
        <f t="shared" si="153"/>
        <v>0</v>
      </c>
      <c r="L470" s="6">
        <f t="shared" si="154"/>
        <v>0</v>
      </c>
      <c r="M470" s="6">
        <f t="shared" si="155"/>
        <v>0</v>
      </c>
      <c r="N470" s="6">
        <f t="shared" si="156"/>
        <v>0</v>
      </c>
      <c r="O470" s="6">
        <f t="shared" si="157"/>
        <v>0</v>
      </c>
      <c r="P470" s="6">
        <f t="shared" si="158"/>
        <v>0</v>
      </c>
      <c r="Q470" s="6">
        <f t="shared" si="159"/>
        <v>0</v>
      </c>
      <c r="R470" s="6">
        <f t="shared" si="160"/>
        <v>0</v>
      </c>
      <c r="S470" s="6">
        <f t="shared" si="161"/>
        <v>0</v>
      </c>
      <c r="T470" s="6">
        <f t="shared" si="162"/>
        <v>0</v>
      </c>
      <c r="U470" s="6">
        <f t="shared" si="163"/>
        <v>0</v>
      </c>
      <c r="V470" s="6">
        <f t="shared" si="164"/>
        <v>0</v>
      </c>
      <c r="W470" s="6">
        <f t="shared" si="165"/>
        <v>0</v>
      </c>
      <c r="X470" s="6">
        <f t="shared" si="166"/>
        <v>0</v>
      </c>
      <c r="Y470" s="6">
        <f t="shared" si="167"/>
        <v>0</v>
      </c>
      <c r="Z470" s="6">
        <f t="shared" si="168"/>
        <v>0</v>
      </c>
      <c r="AB470" s="36" t="str">
        <f>IF(最佳化斷筋點!C470="","",最佳化斷筋點!C470)</f>
        <v/>
      </c>
      <c r="AC470" s="37" t="str">
        <f>IF(最佳化斷筋點!D470="","",最佳化斷筋點!D470)</f>
        <v/>
      </c>
      <c r="AD470" s="37" t="str">
        <f>IF(最佳化斷筋點!E470="","",最佳化斷筋點!E470)</f>
        <v/>
      </c>
      <c r="AE470" s="37" t="str">
        <f>IF(最佳化斷筋點!F470="","",最佳化斷筋點!F470)</f>
        <v/>
      </c>
      <c r="AF470" s="37" t="str">
        <f>IF(最佳化斷筋點!G470="","",最佳化斷筋點!G470)</f>
        <v/>
      </c>
      <c r="AG470" s="37" t="str">
        <f>IF(最佳化斷筋點!H470="","",最佳化斷筋點!H470)</f>
        <v/>
      </c>
      <c r="AH470" s="37" t="str">
        <f>IF(最佳化斷筋點!I470="","",最佳化斷筋點!I470)</f>
        <v/>
      </c>
      <c r="AI470" s="37" t="str">
        <f>IF(最佳化斷筋點!J470="","",最佳化斷筋點!J470)</f>
        <v/>
      </c>
      <c r="AJ470" s="37" t="str">
        <f>IF(最佳化斷筋點!K470="","",最佳化斷筋點!K470)</f>
        <v/>
      </c>
      <c r="AK470" s="37" t="str">
        <f>IF(最佳化斷筋點!L470="","",最佳化斷筋點!L470)</f>
        <v/>
      </c>
      <c r="AL470" s="37" t="str">
        <f>IF(最佳化斷筋點!M470="","",最佳化斷筋點!M470)</f>
        <v/>
      </c>
      <c r="AM470" s="37" t="str">
        <f>IF(最佳化斷筋點!N470="","",最佳化斷筋點!N470)</f>
        <v/>
      </c>
      <c r="AN470" s="37" t="str">
        <f>IF(最佳化斷筋點!O470="","",最佳化斷筋點!O470)</f>
        <v/>
      </c>
      <c r="AO470" s="37" t="str">
        <f>IF(最佳化斷筋點!P470="","",最佳化斷筋點!P470)</f>
        <v/>
      </c>
      <c r="AP470" s="37" t="str">
        <f>IF(最佳化斷筋點!Q470="","",最佳化斷筋點!Q470)</f>
        <v/>
      </c>
      <c r="AQ470" s="37" t="str">
        <f>IF(最佳化斷筋點!R470="","",最佳化斷筋點!R470)</f>
        <v/>
      </c>
      <c r="AR470" s="37" t="str">
        <f>IF(最佳化斷筋點!S470="","",最佳化斷筋點!S470)</f>
        <v/>
      </c>
      <c r="AS470" s="37" t="str">
        <f>IF(最佳化斷筋點!T470="","",最佳化斷筋點!T470)</f>
        <v/>
      </c>
      <c r="AT470" s="37" t="str">
        <f>IF(最佳化斷筋點!U470="","",最佳化斷筋點!U470)</f>
        <v/>
      </c>
      <c r="AU470" s="37" t="str">
        <f>IF(最佳化斷筋點!V470="","",最佳化斷筋點!V470)</f>
        <v/>
      </c>
      <c r="AV470" s="37" t="str">
        <f>IF(最佳化斷筋點!W470="","",最佳化斷筋點!W470)</f>
        <v/>
      </c>
      <c r="AW470" s="37" t="str">
        <f>IF(最佳化斷筋點!X470="","",最佳化斷筋點!X470)</f>
        <v/>
      </c>
      <c r="AZ470" s="37" t="s">
        <v>197</v>
      </c>
      <c r="BA470" s="37" t="s">
        <v>197</v>
      </c>
      <c r="BB470" s="37" t="s">
        <v>197</v>
      </c>
      <c r="BC470" s="37" t="s">
        <v>197</v>
      </c>
      <c r="BD470" s="37" t="s">
        <v>197</v>
      </c>
      <c r="BE470" s="37" t="s">
        <v>197</v>
      </c>
      <c r="BF470" s="37" t="s">
        <v>197</v>
      </c>
      <c r="BG470" s="37" t="s">
        <v>197</v>
      </c>
      <c r="BH470" s="37" t="s">
        <v>197</v>
      </c>
      <c r="BI470" s="37" t="s">
        <v>197</v>
      </c>
      <c r="BJ470" s="37" t="s">
        <v>197</v>
      </c>
      <c r="BK470" s="37" t="s">
        <v>197</v>
      </c>
      <c r="BL470" s="37" t="s">
        <v>197</v>
      </c>
      <c r="BM470" s="37" t="s">
        <v>197</v>
      </c>
      <c r="BN470" s="37" t="s">
        <v>197</v>
      </c>
      <c r="BO470" s="37" t="s">
        <v>197</v>
      </c>
      <c r="BP470" s="37" t="s">
        <v>197</v>
      </c>
      <c r="BQ470" s="37" t="s">
        <v>197</v>
      </c>
      <c r="BR470" s="37" t="s">
        <v>197</v>
      </c>
      <c r="BS470" s="37" t="s">
        <v>197</v>
      </c>
      <c r="BT470" s="37" t="s">
        <v>197</v>
      </c>
    </row>
    <row r="471" spans="5:72" x14ac:dyDescent="0.25">
      <c r="E471" s="6" t="s">
        <v>20</v>
      </c>
      <c r="F471" s="6">
        <f t="shared" si="148"/>
        <v>0</v>
      </c>
      <c r="G471" s="6">
        <f t="shared" si="149"/>
        <v>0</v>
      </c>
      <c r="H471" s="6">
        <f t="shared" si="150"/>
        <v>0</v>
      </c>
      <c r="I471" s="6">
        <f t="shared" si="151"/>
        <v>0</v>
      </c>
      <c r="J471" s="6">
        <f t="shared" si="152"/>
        <v>0</v>
      </c>
      <c r="K471" s="6">
        <f t="shared" si="153"/>
        <v>0</v>
      </c>
      <c r="L471" s="6">
        <f t="shared" si="154"/>
        <v>0</v>
      </c>
      <c r="M471" s="6">
        <f t="shared" si="155"/>
        <v>0</v>
      </c>
      <c r="N471" s="6">
        <f t="shared" si="156"/>
        <v>0</v>
      </c>
      <c r="O471" s="6">
        <f t="shared" si="157"/>
        <v>0</v>
      </c>
      <c r="P471" s="6">
        <f t="shared" si="158"/>
        <v>0</v>
      </c>
      <c r="Q471" s="6">
        <f t="shared" si="159"/>
        <v>0</v>
      </c>
      <c r="R471" s="6">
        <f t="shared" si="160"/>
        <v>0</v>
      </c>
      <c r="S471" s="6">
        <f t="shared" si="161"/>
        <v>0</v>
      </c>
      <c r="T471" s="6">
        <f t="shared" si="162"/>
        <v>0</v>
      </c>
      <c r="U471" s="6">
        <f t="shared" si="163"/>
        <v>0</v>
      </c>
      <c r="V471" s="6">
        <f t="shared" si="164"/>
        <v>0</v>
      </c>
      <c r="W471" s="6">
        <f t="shared" si="165"/>
        <v>0</v>
      </c>
      <c r="X471" s="6">
        <f t="shared" si="166"/>
        <v>0</v>
      </c>
      <c r="Y471" s="6">
        <f t="shared" si="167"/>
        <v>0</v>
      </c>
      <c r="Z471" s="6">
        <f t="shared" si="168"/>
        <v>0</v>
      </c>
      <c r="AB471" s="36" t="str">
        <f>IF(最佳化斷筋點!C471="","",最佳化斷筋點!C471)</f>
        <v>上層</v>
      </c>
      <c r="AC471" s="37">
        <f>IF(最佳化斷筋點!D471="","",最佳化斷筋點!D471)</f>
        <v>6</v>
      </c>
      <c r="AD471" s="37">
        <f>IF(最佳化斷筋點!E471="","",最佳化斷筋點!E471)</f>
        <v>6</v>
      </c>
      <c r="AE471" s="37">
        <f>IF(最佳化斷筋點!F471="","",最佳化斷筋點!F471)</f>
        <v>6</v>
      </c>
      <c r="AF471" s="37">
        <f>IF(最佳化斷筋點!G471="","",最佳化斷筋點!G471)</f>
        <v>6</v>
      </c>
      <c r="AG471" s="37">
        <f>IF(最佳化斷筋點!H471="","",最佳化斷筋點!H471)</f>
        <v>6</v>
      </c>
      <c r="AH471" s="37">
        <f>IF(最佳化斷筋點!I471="","",最佳化斷筋點!I471)</f>
        <v>5</v>
      </c>
      <c r="AI471" s="37">
        <f>IF(最佳化斷筋點!J471="","",最佳化斷筋點!J471)</f>
        <v>5</v>
      </c>
      <c r="AJ471" s="37">
        <f>IF(最佳化斷筋點!K471="","",最佳化斷筋點!K471)</f>
        <v>3</v>
      </c>
      <c r="AK471" s="37">
        <f>IF(最佳化斷筋點!L471="","",最佳化斷筋點!L471)</f>
        <v>3</v>
      </c>
      <c r="AL471" s="37">
        <f>IF(最佳化斷筋點!M471="","",最佳化斷筋點!M471)</f>
        <v>3</v>
      </c>
      <c r="AM471" s="37">
        <f>IF(最佳化斷筋點!N471="","",最佳化斷筋點!N471)</f>
        <v>3</v>
      </c>
      <c r="AN471" s="37">
        <f>IF(最佳化斷筋點!O471="","",最佳化斷筋點!O471)</f>
        <v>3</v>
      </c>
      <c r="AO471" s="37">
        <f>IF(最佳化斷筋點!P471="","",最佳化斷筋點!P471)</f>
        <v>3</v>
      </c>
      <c r="AP471" s="37">
        <f>IF(最佳化斷筋點!Q471="","",最佳化斷筋點!Q471)</f>
        <v>5</v>
      </c>
      <c r="AQ471" s="37">
        <f>IF(最佳化斷筋點!R471="","",最佳化斷筋點!R471)</f>
        <v>6</v>
      </c>
      <c r="AR471" s="37">
        <f>IF(最佳化斷筋點!S471="","",最佳化斷筋點!S471)</f>
        <v>6</v>
      </c>
      <c r="AS471" s="37">
        <f>IF(最佳化斷筋點!T471="","",最佳化斷筋點!T471)</f>
        <v>7</v>
      </c>
      <c r="AT471" s="37">
        <f>IF(最佳化斷筋點!U471="","",最佳化斷筋點!U471)</f>
        <v>8</v>
      </c>
      <c r="AU471" s="37">
        <f>IF(最佳化斷筋點!V471="","",最佳化斷筋點!V471)</f>
        <v>8</v>
      </c>
      <c r="AV471" s="37">
        <f>IF(最佳化斷筋點!W471="","",最佳化斷筋點!W471)</f>
        <v>8</v>
      </c>
      <c r="AW471" s="37">
        <f>IF(最佳化斷筋點!X471="","",最佳化斷筋點!X471)</f>
        <v>8</v>
      </c>
      <c r="AY471" s="6" t="s">
        <v>20</v>
      </c>
      <c r="AZ471" s="37">
        <v>6</v>
      </c>
      <c r="BA471" s="37">
        <v>6</v>
      </c>
      <c r="BB471" s="37">
        <v>6</v>
      </c>
      <c r="BC471" s="37">
        <v>6</v>
      </c>
      <c r="BD471" s="37">
        <v>6</v>
      </c>
      <c r="BE471" s="37">
        <v>5</v>
      </c>
      <c r="BF471" s="37">
        <v>5</v>
      </c>
      <c r="BG471" s="37">
        <v>3</v>
      </c>
      <c r="BH471" s="37">
        <v>3</v>
      </c>
      <c r="BI471" s="37">
        <v>3</v>
      </c>
      <c r="BJ471" s="37">
        <v>3</v>
      </c>
      <c r="BK471" s="37">
        <v>3</v>
      </c>
      <c r="BL471" s="37">
        <v>3</v>
      </c>
      <c r="BM471" s="37">
        <v>5</v>
      </c>
      <c r="BN471" s="37">
        <v>6</v>
      </c>
      <c r="BO471" s="37">
        <v>6</v>
      </c>
      <c r="BP471" s="37">
        <v>7</v>
      </c>
      <c r="BQ471" s="37">
        <v>8</v>
      </c>
      <c r="BR471" s="37">
        <v>8</v>
      </c>
      <c r="BS471" s="37">
        <v>8</v>
      </c>
      <c r="BT471" s="37">
        <v>8</v>
      </c>
    </row>
    <row r="472" spans="5:72" x14ac:dyDescent="0.25">
      <c r="F472" s="6">
        <f t="shared" si="148"/>
        <v>0</v>
      </c>
      <c r="G472" s="6">
        <f t="shared" si="149"/>
        <v>0</v>
      </c>
      <c r="H472" s="6">
        <f t="shared" si="150"/>
        <v>0</v>
      </c>
      <c r="I472" s="6">
        <f t="shared" si="151"/>
        <v>0</v>
      </c>
      <c r="J472" s="6">
        <f t="shared" si="152"/>
        <v>0</v>
      </c>
      <c r="K472" s="6">
        <f t="shared" si="153"/>
        <v>0</v>
      </c>
      <c r="L472" s="6">
        <f t="shared" si="154"/>
        <v>0</v>
      </c>
      <c r="M472" s="6">
        <f t="shared" si="155"/>
        <v>0</v>
      </c>
      <c r="N472" s="6">
        <f t="shared" si="156"/>
        <v>0</v>
      </c>
      <c r="O472" s="6">
        <f t="shared" si="157"/>
        <v>0</v>
      </c>
      <c r="P472" s="6">
        <f t="shared" si="158"/>
        <v>0</v>
      </c>
      <c r="Q472" s="6">
        <f t="shared" si="159"/>
        <v>0</v>
      </c>
      <c r="R472" s="6">
        <f t="shared" si="160"/>
        <v>0</v>
      </c>
      <c r="S472" s="6">
        <f t="shared" si="161"/>
        <v>0</v>
      </c>
      <c r="T472" s="6">
        <f t="shared" si="162"/>
        <v>0</v>
      </c>
      <c r="U472" s="6">
        <f t="shared" si="163"/>
        <v>0</v>
      </c>
      <c r="V472" s="6">
        <f t="shared" si="164"/>
        <v>0</v>
      </c>
      <c r="W472" s="6">
        <f t="shared" si="165"/>
        <v>0</v>
      </c>
      <c r="X472" s="6">
        <f t="shared" si="166"/>
        <v>0</v>
      </c>
      <c r="Y472" s="6">
        <f t="shared" si="167"/>
        <v>0</v>
      </c>
      <c r="Z472" s="6">
        <f t="shared" si="168"/>
        <v>0</v>
      </c>
      <c r="AB472" s="36" t="str">
        <f>IF(最佳化斷筋點!C472="","",最佳化斷筋點!C472)</f>
        <v/>
      </c>
      <c r="AC472" s="37" t="str">
        <f>IF(最佳化斷筋點!D472="","",最佳化斷筋點!D472)</f>
        <v/>
      </c>
      <c r="AD472" s="37" t="str">
        <f>IF(最佳化斷筋點!E472="","",最佳化斷筋點!E472)</f>
        <v/>
      </c>
      <c r="AE472" s="37" t="str">
        <f>IF(最佳化斷筋點!F472="","",最佳化斷筋點!F472)</f>
        <v/>
      </c>
      <c r="AF472" s="37" t="str">
        <f>IF(最佳化斷筋點!G472="","",最佳化斷筋點!G472)</f>
        <v/>
      </c>
      <c r="AG472" s="37" t="str">
        <f>IF(最佳化斷筋點!H472="","",最佳化斷筋點!H472)</f>
        <v/>
      </c>
      <c r="AH472" s="37" t="str">
        <f>IF(最佳化斷筋點!I472="","",最佳化斷筋點!I472)</f>
        <v/>
      </c>
      <c r="AI472" s="37" t="str">
        <f>IF(最佳化斷筋點!J472="","",最佳化斷筋點!J472)</f>
        <v/>
      </c>
      <c r="AJ472" s="37" t="str">
        <f>IF(最佳化斷筋點!K472="","",最佳化斷筋點!K472)</f>
        <v/>
      </c>
      <c r="AK472" s="37" t="str">
        <f>IF(最佳化斷筋點!L472="","",最佳化斷筋點!L472)</f>
        <v/>
      </c>
      <c r="AL472" s="37" t="str">
        <f>IF(最佳化斷筋點!M472="","",最佳化斷筋點!M472)</f>
        <v/>
      </c>
      <c r="AM472" s="37" t="str">
        <f>IF(最佳化斷筋點!N472="","",最佳化斷筋點!N472)</f>
        <v/>
      </c>
      <c r="AN472" s="37" t="str">
        <f>IF(最佳化斷筋點!O472="","",最佳化斷筋點!O472)</f>
        <v/>
      </c>
      <c r="AO472" s="37" t="str">
        <f>IF(最佳化斷筋點!P472="","",最佳化斷筋點!P472)</f>
        <v/>
      </c>
      <c r="AP472" s="37" t="str">
        <f>IF(最佳化斷筋點!Q472="","",最佳化斷筋點!Q472)</f>
        <v/>
      </c>
      <c r="AQ472" s="37" t="str">
        <f>IF(最佳化斷筋點!R472="","",最佳化斷筋點!R472)</f>
        <v/>
      </c>
      <c r="AR472" s="37" t="str">
        <f>IF(最佳化斷筋點!S472="","",最佳化斷筋點!S472)</f>
        <v/>
      </c>
      <c r="AS472" s="37" t="str">
        <f>IF(最佳化斷筋點!T472="","",最佳化斷筋點!T472)</f>
        <v/>
      </c>
      <c r="AT472" s="37" t="str">
        <f>IF(最佳化斷筋點!U472="","",最佳化斷筋點!U472)</f>
        <v/>
      </c>
      <c r="AU472" s="37" t="str">
        <f>IF(最佳化斷筋點!V472="","",最佳化斷筋點!V472)</f>
        <v/>
      </c>
      <c r="AV472" s="37" t="str">
        <f>IF(最佳化斷筋點!W472="","",最佳化斷筋點!W472)</f>
        <v/>
      </c>
      <c r="AW472" s="37" t="str">
        <f>IF(最佳化斷筋點!X472="","",最佳化斷筋點!X472)</f>
        <v/>
      </c>
      <c r="AZ472" s="37" t="s">
        <v>197</v>
      </c>
      <c r="BA472" s="37" t="s">
        <v>197</v>
      </c>
      <c r="BB472" s="37" t="s">
        <v>197</v>
      </c>
      <c r="BC472" s="37" t="s">
        <v>197</v>
      </c>
      <c r="BD472" s="37" t="s">
        <v>197</v>
      </c>
      <c r="BE472" s="37" t="s">
        <v>197</v>
      </c>
      <c r="BF472" s="37" t="s">
        <v>197</v>
      </c>
      <c r="BG472" s="37" t="s">
        <v>197</v>
      </c>
      <c r="BH472" s="37" t="s">
        <v>197</v>
      </c>
      <c r="BI472" s="37" t="s">
        <v>197</v>
      </c>
      <c r="BJ472" s="37" t="s">
        <v>197</v>
      </c>
      <c r="BK472" s="37" t="s">
        <v>197</v>
      </c>
      <c r="BL472" s="37" t="s">
        <v>197</v>
      </c>
      <c r="BM472" s="37" t="s">
        <v>197</v>
      </c>
      <c r="BN472" s="37" t="s">
        <v>197</v>
      </c>
      <c r="BO472" s="37" t="s">
        <v>197</v>
      </c>
      <c r="BP472" s="37" t="s">
        <v>197</v>
      </c>
      <c r="BQ472" s="37" t="s">
        <v>197</v>
      </c>
      <c r="BR472" s="37" t="s">
        <v>197</v>
      </c>
      <c r="BS472" s="37" t="s">
        <v>197</v>
      </c>
      <c r="BT472" s="37" t="s">
        <v>197</v>
      </c>
    </row>
    <row r="473" spans="5:72" x14ac:dyDescent="0.25">
      <c r="E473" s="6" t="s">
        <v>21</v>
      </c>
      <c r="F473" s="6">
        <f t="shared" si="148"/>
        <v>0</v>
      </c>
      <c r="G473" s="6">
        <f t="shared" si="149"/>
        <v>0</v>
      </c>
      <c r="H473" s="6">
        <f t="shared" si="150"/>
        <v>0</v>
      </c>
      <c r="I473" s="6">
        <f t="shared" si="151"/>
        <v>0</v>
      </c>
      <c r="J473" s="6">
        <f t="shared" si="152"/>
        <v>0</v>
      </c>
      <c r="K473" s="6">
        <f t="shared" si="153"/>
        <v>0</v>
      </c>
      <c r="L473" s="6">
        <f t="shared" si="154"/>
        <v>0</v>
      </c>
      <c r="M473" s="6">
        <f t="shared" si="155"/>
        <v>0</v>
      </c>
      <c r="N473" s="6">
        <f t="shared" si="156"/>
        <v>0</v>
      </c>
      <c r="O473" s="6">
        <f t="shared" si="157"/>
        <v>0</v>
      </c>
      <c r="P473" s="6">
        <f t="shared" si="158"/>
        <v>0</v>
      </c>
      <c r="Q473" s="6">
        <f t="shared" si="159"/>
        <v>0</v>
      </c>
      <c r="R473" s="6">
        <f t="shared" si="160"/>
        <v>0</v>
      </c>
      <c r="S473" s="6">
        <f t="shared" si="161"/>
        <v>0</v>
      </c>
      <c r="T473" s="6">
        <f t="shared" si="162"/>
        <v>0</v>
      </c>
      <c r="U473" s="6">
        <f t="shared" si="163"/>
        <v>0</v>
      </c>
      <c r="V473" s="6">
        <f t="shared" si="164"/>
        <v>0</v>
      </c>
      <c r="W473" s="6">
        <f t="shared" si="165"/>
        <v>0</v>
      </c>
      <c r="X473" s="6">
        <f t="shared" si="166"/>
        <v>0</v>
      </c>
      <c r="Y473" s="6">
        <f t="shared" si="167"/>
        <v>0</v>
      </c>
      <c r="Z473" s="6">
        <f t="shared" si="168"/>
        <v>0</v>
      </c>
      <c r="AB473" s="36" t="str">
        <f>IF(最佳化斷筋點!C473="","",最佳化斷筋點!C473)</f>
        <v>下層</v>
      </c>
      <c r="AC473" s="37">
        <f>IF(最佳化斷筋點!D473="","",最佳化斷筋點!D473)</f>
        <v>5</v>
      </c>
      <c r="AD473" s="37">
        <f>IF(最佳化斷筋點!E473="","",最佳化斷筋點!E473)</f>
        <v>5</v>
      </c>
      <c r="AE473" s="37">
        <f>IF(最佳化斷筋點!F473="","",最佳化斷筋點!F473)</f>
        <v>5</v>
      </c>
      <c r="AF473" s="37">
        <f>IF(最佳化斷筋點!G473="","",最佳化斷筋點!G473)</f>
        <v>5</v>
      </c>
      <c r="AG473" s="37">
        <f>IF(最佳化斷筋點!H473="","",最佳化斷筋點!H473)</f>
        <v>5</v>
      </c>
      <c r="AH473" s="37">
        <f>IF(最佳化斷筋點!I473="","",最佳化斷筋點!I473)</f>
        <v>4</v>
      </c>
      <c r="AI473" s="37">
        <f>IF(最佳化斷筋點!J473="","",最佳化斷筋點!J473)</f>
        <v>4</v>
      </c>
      <c r="AJ473" s="37">
        <f>IF(最佳化斷筋點!K473="","",最佳化斷筋點!K473)</f>
        <v>4</v>
      </c>
      <c r="AK473" s="37">
        <f>IF(最佳化斷筋點!L473="","",最佳化斷筋點!L473)</f>
        <v>4</v>
      </c>
      <c r="AL473" s="37">
        <f>IF(最佳化斷筋點!M473="","",最佳化斷筋點!M473)</f>
        <v>4</v>
      </c>
      <c r="AM473" s="37">
        <f>IF(最佳化斷筋點!N473="","",最佳化斷筋點!N473)</f>
        <v>4</v>
      </c>
      <c r="AN473" s="37">
        <f>IF(最佳化斷筋點!O473="","",最佳化斷筋點!O473)</f>
        <v>4</v>
      </c>
      <c r="AO473" s="37">
        <f>IF(最佳化斷筋點!P473="","",最佳化斷筋點!P473)</f>
        <v>4</v>
      </c>
      <c r="AP473" s="37">
        <f>IF(最佳化斷筋點!Q473="","",最佳化斷筋點!Q473)</f>
        <v>4</v>
      </c>
      <c r="AQ473" s="37">
        <f>IF(最佳化斷筋點!R473="","",最佳化斷筋點!R473)</f>
        <v>4</v>
      </c>
      <c r="AR473" s="37">
        <f>IF(最佳化斷筋點!S473="","",最佳化斷筋點!S473)</f>
        <v>4</v>
      </c>
      <c r="AS473" s="37">
        <f>IF(最佳化斷筋點!T473="","",最佳化斷筋點!T473)</f>
        <v>5</v>
      </c>
      <c r="AT473" s="37">
        <f>IF(最佳化斷筋點!U473="","",最佳化斷筋點!U473)</f>
        <v>5</v>
      </c>
      <c r="AU473" s="37">
        <f>IF(最佳化斷筋點!V473="","",最佳化斷筋點!V473)</f>
        <v>6</v>
      </c>
      <c r="AV473" s="37">
        <f>IF(最佳化斷筋點!W473="","",最佳化斷筋點!W473)</f>
        <v>6</v>
      </c>
      <c r="AW473" s="37">
        <f>IF(最佳化斷筋點!X473="","",最佳化斷筋點!X473)</f>
        <v>6</v>
      </c>
      <c r="AY473" s="6" t="s">
        <v>21</v>
      </c>
      <c r="AZ473" s="37">
        <v>5</v>
      </c>
      <c r="BA473" s="37">
        <v>5</v>
      </c>
      <c r="BB473" s="37">
        <v>5</v>
      </c>
      <c r="BC473" s="37">
        <v>5</v>
      </c>
      <c r="BD473" s="37">
        <v>5</v>
      </c>
      <c r="BE473" s="37">
        <v>4</v>
      </c>
      <c r="BF473" s="37">
        <v>4</v>
      </c>
      <c r="BG473" s="37">
        <v>4</v>
      </c>
      <c r="BH473" s="37">
        <v>4</v>
      </c>
      <c r="BI473" s="37">
        <v>4</v>
      </c>
      <c r="BJ473" s="37">
        <v>4</v>
      </c>
      <c r="BK473" s="37">
        <v>4</v>
      </c>
      <c r="BL473" s="37">
        <v>4</v>
      </c>
      <c r="BM473" s="37">
        <v>4</v>
      </c>
      <c r="BN473" s="37">
        <v>4</v>
      </c>
      <c r="BO473" s="37">
        <v>4</v>
      </c>
      <c r="BP473" s="37">
        <v>5</v>
      </c>
      <c r="BQ473" s="37">
        <v>5</v>
      </c>
      <c r="BR473" s="37">
        <v>6</v>
      </c>
      <c r="BS473" s="37">
        <v>6</v>
      </c>
      <c r="BT473" s="37">
        <v>6</v>
      </c>
    </row>
    <row r="474" spans="5:72" x14ac:dyDescent="0.25">
      <c r="F474" s="6">
        <f t="shared" si="148"/>
        <v>0</v>
      </c>
      <c r="G474" s="6">
        <f t="shared" si="149"/>
        <v>0</v>
      </c>
      <c r="H474" s="6">
        <f t="shared" si="150"/>
        <v>0</v>
      </c>
      <c r="I474" s="6">
        <f t="shared" si="151"/>
        <v>0</v>
      </c>
      <c r="J474" s="6">
        <f t="shared" si="152"/>
        <v>0</v>
      </c>
      <c r="K474" s="6">
        <f t="shared" si="153"/>
        <v>0</v>
      </c>
      <c r="L474" s="6">
        <f t="shared" si="154"/>
        <v>0</v>
      </c>
      <c r="M474" s="6">
        <f t="shared" si="155"/>
        <v>0</v>
      </c>
      <c r="N474" s="6">
        <f t="shared" si="156"/>
        <v>0</v>
      </c>
      <c r="O474" s="6">
        <f t="shared" si="157"/>
        <v>0</v>
      </c>
      <c r="P474" s="6">
        <f t="shared" si="158"/>
        <v>0</v>
      </c>
      <c r="Q474" s="6">
        <f t="shared" si="159"/>
        <v>0</v>
      </c>
      <c r="R474" s="6">
        <f t="shared" si="160"/>
        <v>0</v>
      </c>
      <c r="S474" s="6">
        <f t="shared" si="161"/>
        <v>0</v>
      </c>
      <c r="T474" s="6">
        <f t="shared" si="162"/>
        <v>0</v>
      </c>
      <c r="U474" s="6">
        <f t="shared" si="163"/>
        <v>0</v>
      </c>
      <c r="V474" s="6">
        <f t="shared" si="164"/>
        <v>0</v>
      </c>
      <c r="W474" s="6">
        <f t="shared" si="165"/>
        <v>0</v>
      </c>
      <c r="X474" s="6">
        <f t="shared" si="166"/>
        <v>0</v>
      </c>
      <c r="Y474" s="6">
        <f t="shared" si="167"/>
        <v>0</v>
      </c>
      <c r="Z474" s="6">
        <f t="shared" si="168"/>
        <v>0</v>
      </c>
      <c r="AB474" s="36" t="str">
        <f>IF(最佳化斷筋點!C474="","",最佳化斷筋點!C474)</f>
        <v/>
      </c>
      <c r="AC474" s="37" t="str">
        <f>IF(最佳化斷筋點!D474="","",最佳化斷筋點!D474)</f>
        <v/>
      </c>
      <c r="AD474" s="37" t="str">
        <f>IF(最佳化斷筋點!E474="","",最佳化斷筋點!E474)</f>
        <v/>
      </c>
      <c r="AE474" s="37" t="str">
        <f>IF(最佳化斷筋點!F474="","",最佳化斷筋點!F474)</f>
        <v/>
      </c>
      <c r="AF474" s="37" t="str">
        <f>IF(最佳化斷筋點!G474="","",最佳化斷筋點!G474)</f>
        <v/>
      </c>
      <c r="AG474" s="37" t="str">
        <f>IF(最佳化斷筋點!H474="","",最佳化斷筋點!H474)</f>
        <v/>
      </c>
      <c r="AH474" s="37" t="str">
        <f>IF(最佳化斷筋點!I474="","",最佳化斷筋點!I474)</f>
        <v/>
      </c>
      <c r="AI474" s="37" t="str">
        <f>IF(最佳化斷筋點!J474="","",最佳化斷筋點!J474)</f>
        <v/>
      </c>
      <c r="AJ474" s="37" t="str">
        <f>IF(最佳化斷筋點!K474="","",最佳化斷筋點!K474)</f>
        <v/>
      </c>
      <c r="AK474" s="37" t="str">
        <f>IF(最佳化斷筋點!L474="","",最佳化斷筋點!L474)</f>
        <v/>
      </c>
      <c r="AL474" s="37" t="str">
        <f>IF(最佳化斷筋點!M474="","",最佳化斷筋點!M474)</f>
        <v/>
      </c>
      <c r="AM474" s="37" t="str">
        <f>IF(最佳化斷筋點!N474="","",最佳化斷筋點!N474)</f>
        <v/>
      </c>
      <c r="AN474" s="37" t="str">
        <f>IF(最佳化斷筋點!O474="","",最佳化斷筋點!O474)</f>
        <v/>
      </c>
      <c r="AO474" s="37" t="str">
        <f>IF(最佳化斷筋點!P474="","",最佳化斷筋點!P474)</f>
        <v/>
      </c>
      <c r="AP474" s="37" t="str">
        <f>IF(最佳化斷筋點!Q474="","",最佳化斷筋點!Q474)</f>
        <v/>
      </c>
      <c r="AQ474" s="37" t="str">
        <f>IF(最佳化斷筋點!R474="","",最佳化斷筋點!R474)</f>
        <v/>
      </c>
      <c r="AR474" s="37" t="str">
        <f>IF(最佳化斷筋點!S474="","",最佳化斷筋點!S474)</f>
        <v/>
      </c>
      <c r="AS474" s="37" t="str">
        <f>IF(最佳化斷筋點!T474="","",最佳化斷筋點!T474)</f>
        <v/>
      </c>
      <c r="AT474" s="37" t="str">
        <f>IF(最佳化斷筋點!U474="","",最佳化斷筋點!U474)</f>
        <v/>
      </c>
      <c r="AU474" s="37" t="str">
        <f>IF(最佳化斷筋點!V474="","",最佳化斷筋點!V474)</f>
        <v/>
      </c>
      <c r="AV474" s="37" t="str">
        <f>IF(最佳化斷筋點!W474="","",最佳化斷筋點!W474)</f>
        <v/>
      </c>
      <c r="AW474" s="37" t="str">
        <f>IF(最佳化斷筋點!X474="","",最佳化斷筋點!X474)</f>
        <v/>
      </c>
      <c r="AZ474" s="37" t="s">
        <v>197</v>
      </c>
      <c r="BA474" s="37" t="s">
        <v>197</v>
      </c>
      <c r="BB474" s="37" t="s">
        <v>197</v>
      </c>
      <c r="BC474" s="37" t="s">
        <v>197</v>
      </c>
      <c r="BD474" s="37" t="s">
        <v>197</v>
      </c>
      <c r="BE474" s="37" t="s">
        <v>197</v>
      </c>
      <c r="BF474" s="37" t="s">
        <v>197</v>
      </c>
      <c r="BG474" s="37" t="s">
        <v>197</v>
      </c>
      <c r="BH474" s="37" t="s">
        <v>197</v>
      </c>
      <c r="BI474" s="37" t="s">
        <v>197</v>
      </c>
      <c r="BJ474" s="37" t="s">
        <v>197</v>
      </c>
      <c r="BK474" s="37" t="s">
        <v>197</v>
      </c>
      <c r="BL474" s="37" t="s">
        <v>197</v>
      </c>
      <c r="BM474" s="37" t="s">
        <v>197</v>
      </c>
      <c r="BN474" s="37" t="s">
        <v>197</v>
      </c>
      <c r="BO474" s="37" t="s">
        <v>197</v>
      </c>
      <c r="BP474" s="37" t="s">
        <v>197</v>
      </c>
      <c r="BQ474" s="37" t="s">
        <v>197</v>
      </c>
      <c r="BR474" s="37" t="s">
        <v>197</v>
      </c>
      <c r="BS474" s="37" t="s">
        <v>197</v>
      </c>
      <c r="BT474" s="37" t="s">
        <v>197</v>
      </c>
    </row>
    <row r="475" spans="5:72" x14ac:dyDescent="0.25">
      <c r="E475" s="6" t="s">
        <v>20</v>
      </c>
      <c r="F475" s="6">
        <f t="shared" si="148"/>
        <v>0</v>
      </c>
      <c r="G475" s="6">
        <f t="shared" si="149"/>
        <v>0</v>
      </c>
      <c r="H475" s="6">
        <f t="shared" si="150"/>
        <v>0</v>
      </c>
      <c r="I475" s="6">
        <f t="shared" si="151"/>
        <v>0</v>
      </c>
      <c r="J475" s="6">
        <f t="shared" si="152"/>
        <v>0</v>
      </c>
      <c r="K475" s="6">
        <f t="shared" si="153"/>
        <v>0</v>
      </c>
      <c r="L475" s="6">
        <f t="shared" si="154"/>
        <v>0</v>
      </c>
      <c r="M475" s="6">
        <f t="shared" si="155"/>
        <v>0</v>
      </c>
      <c r="N475" s="6">
        <f t="shared" si="156"/>
        <v>0</v>
      </c>
      <c r="O475" s="6">
        <f t="shared" si="157"/>
        <v>0</v>
      </c>
      <c r="P475" s="6">
        <f t="shared" si="158"/>
        <v>0</v>
      </c>
      <c r="Q475" s="6">
        <f t="shared" si="159"/>
        <v>0</v>
      </c>
      <c r="R475" s="6">
        <f t="shared" si="160"/>
        <v>0</v>
      </c>
      <c r="S475" s="6">
        <f t="shared" si="161"/>
        <v>0</v>
      </c>
      <c r="T475" s="6">
        <f t="shared" si="162"/>
        <v>0</v>
      </c>
      <c r="U475" s="6">
        <f t="shared" si="163"/>
        <v>0</v>
      </c>
      <c r="V475" s="6">
        <f t="shared" si="164"/>
        <v>0</v>
      </c>
      <c r="W475" s="6">
        <f t="shared" si="165"/>
        <v>0</v>
      </c>
      <c r="X475" s="6">
        <f t="shared" si="166"/>
        <v>0</v>
      </c>
      <c r="Y475" s="6">
        <f t="shared" si="167"/>
        <v>0</v>
      </c>
      <c r="Z475" s="6">
        <f t="shared" si="168"/>
        <v>0</v>
      </c>
      <c r="AB475" s="36" t="str">
        <f>IF(最佳化斷筋點!C475="","",最佳化斷筋點!C475)</f>
        <v>上層</v>
      </c>
      <c r="AC475" s="37">
        <f>IF(最佳化斷筋點!D475="","",最佳化斷筋點!D475)</f>
        <v>7</v>
      </c>
      <c r="AD475" s="37">
        <f>IF(最佳化斷筋點!E475="","",最佳化斷筋點!E475)</f>
        <v>7</v>
      </c>
      <c r="AE475" s="37">
        <f>IF(最佳化斷筋點!F475="","",最佳化斷筋點!F475)</f>
        <v>7</v>
      </c>
      <c r="AF475" s="37">
        <f>IF(最佳化斷筋點!G475="","",最佳化斷筋點!G475)</f>
        <v>7</v>
      </c>
      <c r="AG475" s="37">
        <f>IF(最佳化斷筋點!H475="","",最佳化斷筋點!H475)</f>
        <v>7</v>
      </c>
      <c r="AH475" s="37">
        <f>IF(最佳化斷筋點!I475="","",最佳化斷筋點!I475)</f>
        <v>7</v>
      </c>
      <c r="AI475" s="37">
        <f>IF(最佳化斷筋點!J475="","",最佳化斷筋點!J475)</f>
        <v>7</v>
      </c>
      <c r="AJ475" s="37">
        <f>IF(最佳化斷筋點!K475="","",最佳化斷筋點!K475)</f>
        <v>6</v>
      </c>
      <c r="AK475" s="37">
        <f>IF(最佳化斷筋點!L475="","",最佳化斷筋點!L475)</f>
        <v>6</v>
      </c>
      <c r="AL475" s="37">
        <f>IF(最佳化斷筋點!M475="","",最佳化斷筋點!M475)</f>
        <v>5</v>
      </c>
      <c r="AM475" s="37">
        <f>IF(最佳化斷筋點!N475="","",最佳化斷筋點!N475)</f>
        <v>6</v>
      </c>
      <c r="AN475" s="37">
        <f>IF(最佳化斷筋點!O475="","",最佳化斷筋點!O475)</f>
        <v>6</v>
      </c>
      <c r="AO475" s="37">
        <f>IF(最佳化斷筋點!P475="","",最佳化斷筋點!P475)</f>
        <v>7</v>
      </c>
      <c r="AP475" s="37">
        <f>IF(最佳化斷筋點!Q475="","",最佳化斷筋點!Q475)</f>
        <v>8</v>
      </c>
      <c r="AQ475" s="37">
        <f>IF(最佳化斷筋點!R475="","",最佳化斷筋點!R475)</f>
        <v>8</v>
      </c>
      <c r="AR475" s="37">
        <f>IF(最佳化斷筋點!S475="","",最佳化斷筋點!S475)</f>
        <v>8</v>
      </c>
      <c r="AS475" s="37">
        <f>IF(最佳化斷筋點!T475="","",最佳化斷筋點!T475)</f>
        <v>8</v>
      </c>
      <c r="AT475" s="37">
        <f>IF(最佳化斷筋點!U475="","",最佳化斷筋點!U475)</f>
        <v>8</v>
      </c>
      <c r="AU475" s="37">
        <f>IF(最佳化斷筋點!V475="","",最佳化斷筋點!V475)</f>
        <v>8</v>
      </c>
      <c r="AV475" s="37">
        <f>IF(最佳化斷筋點!W475="","",最佳化斷筋點!W475)</f>
        <v>8</v>
      </c>
      <c r="AW475" s="37">
        <f>IF(最佳化斷筋點!X475="","",最佳化斷筋點!X475)</f>
        <v>8</v>
      </c>
      <c r="AY475" s="6" t="s">
        <v>20</v>
      </c>
      <c r="AZ475" s="37">
        <v>7</v>
      </c>
      <c r="BA475" s="37">
        <v>7</v>
      </c>
      <c r="BB475" s="37">
        <v>7</v>
      </c>
      <c r="BC475" s="37">
        <v>7</v>
      </c>
      <c r="BD475" s="37">
        <v>7</v>
      </c>
      <c r="BE475" s="37">
        <v>7</v>
      </c>
      <c r="BF475" s="37">
        <v>7</v>
      </c>
      <c r="BG475" s="37">
        <v>6</v>
      </c>
      <c r="BH475" s="37">
        <v>6</v>
      </c>
      <c r="BI475" s="37">
        <v>5</v>
      </c>
      <c r="BJ475" s="37">
        <v>6</v>
      </c>
      <c r="BK475" s="37">
        <v>6</v>
      </c>
      <c r="BL475" s="37">
        <v>7</v>
      </c>
      <c r="BM475" s="37">
        <v>8</v>
      </c>
      <c r="BN475" s="37">
        <v>8</v>
      </c>
      <c r="BO475" s="37">
        <v>8</v>
      </c>
      <c r="BP475" s="37">
        <v>8</v>
      </c>
      <c r="BQ475" s="37">
        <v>8</v>
      </c>
      <c r="BR475" s="37">
        <v>8</v>
      </c>
      <c r="BS475" s="37">
        <v>8</v>
      </c>
      <c r="BT475" s="37">
        <v>8</v>
      </c>
    </row>
    <row r="476" spans="5:72" x14ac:dyDescent="0.25">
      <c r="F476" s="6">
        <f t="shared" si="148"/>
        <v>0</v>
      </c>
      <c r="G476" s="6">
        <f t="shared" si="149"/>
        <v>0</v>
      </c>
      <c r="H476" s="6">
        <f t="shared" si="150"/>
        <v>0</v>
      </c>
      <c r="I476" s="6">
        <f t="shared" si="151"/>
        <v>0</v>
      </c>
      <c r="J476" s="6">
        <f t="shared" si="152"/>
        <v>0</v>
      </c>
      <c r="K476" s="6">
        <f t="shared" si="153"/>
        <v>0</v>
      </c>
      <c r="L476" s="6">
        <f t="shared" si="154"/>
        <v>0</v>
      </c>
      <c r="M476" s="6">
        <f t="shared" si="155"/>
        <v>0</v>
      </c>
      <c r="N476" s="6">
        <f t="shared" si="156"/>
        <v>0</v>
      </c>
      <c r="O476" s="6">
        <f t="shared" si="157"/>
        <v>0</v>
      </c>
      <c r="P476" s="6">
        <f t="shared" si="158"/>
        <v>0</v>
      </c>
      <c r="Q476" s="6">
        <f t="shared" si="159"/>
        <v>0</v>
      </c>
      <c r="R476" s="6">
        <f t="shared" si="160"/>
        <v>0</v>
      </c>
      <c r="S476" s="6">
        <f t="shared" si="161"/>
        <v>0</v>
      </c>
      <c r="T476" s="6">
        <f t="shared" si="162"/>
        <v>0</v>
      </c>
      <c r="U476" s="6">
        <f t="shared" si="163"/>
        <v>0</v>
      </c>
      <c r="V476" s="6">
        <f t="shared" si="164"/>
        <v>0</v>
      </c>
      <c r="W476" s="6">
        <f t="shared" si="165"/>
        <v>0</v>
      </c>
      <c r="X476" s="6">
        <f t="shared" si="166"/>
        <v>0</v>
      </c>
      <c r="Y476" s="6">
        <f t="shared" si="167"/>
        <v>0</v>
      </c>
      <c r="Z476" s="6">
        <f t="shared" si="168"/>
        <v>0</v>
      </c>
      <c r="AB476" s="36" t="str">
        <f>IF(最佳化斷筋點!C476="","",最佳化斷筋點!C476)</f>
        <v/>
      </c>
      <c r="AC476" s="37" t="str">
        <f>IF(最佳化斷筋點!D476="","",最佳化斷筋點!D476)</f>
        <v/>
      </c>
      <c r="AD476" s="37" t="str">
        <f>IF(最佳化斷筋點!E476="","",最佳化斷筋點!E476)</f>
        <v/>
      </c>
      <c r="AE476" s="37" t="str">
        <f>IF(最佳化斷筋點!F476="","",最佳化斷筋點!F476)</f>
        <v/>
      </c>
      <c r="AF476" s="37" t="str">
        <f>IF(最佳化斷筋點!G476="","",最佳化斷筋點!G476)</f>
        <v/>
      </c>
      <c r="AG476" s="37" t="str">
        <f>IF(最佳化斷筋點!H476="","",最佳化斷筋點!H476)</f>
        <v/>
      </c>
      <c r="AH476" s="37" t="str">
        <f>IF(最佳化斷筋點!I476="","",最佳化斷筋點!I476)</f>
        <v/>
      </c>
      <c r="AI476" s="37" t="str">
        <f>IF(最佳化斷筋點!J476="","",最佳化斷筋點!J476)</f>
        <v/>
      </c>
      <c r="AJ476" s="37" t="str">
        <f>IF(最佳化斷筋點!K476="","",最佳化斷筋點!K476)</f>
        <v/>
      </c>
      <c r="AK476" s="37" t="str">
        <f>IF(最佳化斷筋點!L476="","",最佳化斷筋點!L476)</f>
        <v/>
      </c>
      <c r="AL476" s="37" t="str">
        <f>IF(最佳化斷筋點!M476="","",最佳化斷筋點!M476)</f>
        <v/>
      </c>
      <c r="AM476" s="37" t="str">
        <f>IF(最佳化斷筋點!N476="","",最佳化斷筋點!N476)</f>
        <v/>
      </c>
      <c r="AN476" s="37" t="str">
        <f>IF(最佳化斷筋點!O476="","",最佳化斷筋點!O476)</f>
        <v/>
      </c>
      <c r="AO476" s="37" t="str">
        <f>IF(最佳化斷筋點!P476="","",最佳化斷筋點!P476)</f>
        <v/>
      </c>
      <c r="AP476" s="37" t="str">
        <f>IF(最佳化斷筋點!Q476="","",最佳化斷筋點!Q476)</f>
        <v/>
      </c>
      <c r="AQ476" s="37" t="str">
        <f>IF(最佳化斷筋點!R476="","",最佳化斷筋點!R476)</f>
        <v/>
      </c>
      <c r="AR476" s="37" t="str">
        <f>IF(最佳化斷筋點!S476="","",最佳化斷筋點!S476)</f>
        <v/>
      </c>
      <c r="AS476" s="37" t="str">
        <f>IF(最佳化斷筋點!T476="","",最佳化斷筋點!T476)</f>
        <v/>
      </c>
      <c r="AT476" s="37" t="str">
        <f>IF(最佳化斷筋點!U476="","",最佳化斷筋點!U476)</f>
        <v/>
      </c>
      <c r="AU476" s="37" t="str">
        <f>IF(最佳化斷筋點!V476="","",最佳化斷筋點!V476)</f>
        <v/>
      </c>
      <c r="AV476" s="37" t="str">
        <f>IF(最佳化斷筋點!W476="","",最佳化斷筋點!W476)</f>
        <v/>
      </c>
      <c r="AW476" s="37" t="str">
        <f>IF(最佳化斷筋點!X476="","",最佳化斷筋點!X476)</f>
        <v/>
      </c>
      <c r="AZ476" s="37" t="s">
        <v>197</v>
      </c>
      <c r="BA476" s="37" t="s">
        <v>197</v>
      </c>
      <c r="BB476" s="37" t="s">
        <v>197</v>
      </c>
      <c r="BC476" s="37" t="s">
        <v>197</v>
      </c>
      <c r="BD476" s="37" t="s">
        <v>197</v>
      </c>
      <c r="BE476" s="37" t="s">
        <v>197</v>
      </c>
      <c r="BF476" s="37" t="s">
        <v>197</v>
      </c>
      <c r="BG476" s="37" t="s">
        <v>197</v>
      </c>
      <c r="BH476" s="37" t="s">
        <v>197</v>
      </c>
      <c r="BI476" s="37" t="s">
        <v>197</v>
      </c>
      <c r="BJ476" s="37" t="s">
        <v>197</v>
      </c>
      <c r="BK476" s="37" t="s">
        <v>197</v>
      </c>
      <c r="BL476" s="37" t="s">
        <v>197</v>
      </c>
      <c r="BM476" s="37" t="s">
        <v>197</v>
      </c>
      <c r="BN476" s="37" t="s">
        <v>197</v>
      </c>
      <c r="BO476" s="37" t="s">
        <v>197</v>
      </c>
      <c r="BP476" s="37" t="s">
        <v>197</v>
      </c>
      <c r="BQ476" s="37" t="s">
        <v>197</v>
      </c>
      <c r="BR476" s="37" t="s">
        <v>197</v>
      </c>
      <c r="BS476" s="37" t="s">
        <v>197</v>
      </c>
      <c r="BT476" s="37" t="s">
        <v>197</v>
      </c>
    </row>
    <row r="477" spans="5:72" x14ac:dyDescent="0.25">
      <c r="E477" s="6" t="s">
        <v>21</v>
      </c>
      <c r="F477" s="6">
        <f t="shared" si="148"/>
        <v>0</v>
      </c>
      <c r="G477" s="6">
        <f t="shared" si="149"/>
        <v>0</v>
      </c>
      <c r="H477" s="6">
        <f t="shared" si="150"/>
        <v>0</v>
      </c>
      <c r="I477" s="6">
        <f t="shared" si="151"/>
        <v>0</v>
      </c>
      <c r="J477" s="6">
        <f t="shared" si="152"/>
        <v>0</v>
      </c>
      <c r="K477" s="6">
        <f t="shared" si="153"/>
        <v>0</v>
      </c>
      <c r="L477" s="6">
        <f t="shared" si="154"/>
        <v>0</v>
      </c>
      <c r="M477" s="6">
        <f t="shared" si="155"/>
        <v>0</v>
      </c>
      <c r="N477" s="6">
        <f t="shared" si="156"/>
        <v>0</v>
      </c>
      <c r="O477" s="6">
        <f t="shared" si="157"/>
        <v>0</v>
      </c>
      <c r="P477" s="6">
        <f t="shared" si="158"/>
        <v>0</v>
      </c>
      <c r="Q477" s="6">
        <f t="shared" si="159"/>
        <v>0</v>
      </c>
      <c r="R477" s="6">
        <f t="shared" si="160"/>
        <v>0</v>
      </c>
      <c r="S477" s="6">
        <f t="shared" si="161"/>
        <v>0</v>
      </c>
      <c r="T477" s="6">
        <f t="shared" si="162"/>
        <v>0</v>
      </c>
      <c r="U477" s="6">
        <f t="shared" si="163"/>
        <v>0</v>
      </c>
      <c r="V477" s="6">
        <f t="shared" si="164"/>
        <v>0</v>
      </c>
      <c r="W477" s="6">
        <f t="shared" si="165"/>
        <v>0</v>
      </c>
      <c r="X477" s="6">
        <f t="shared" si="166"/>
        <v>0</v>
      </c>
      <c r="Y477" s="6">
        <f t="shared" si="167"/>
        <v>0</v>
      </c>
      <c r="Z477" s="6">
        <f t="shared" si="168"/>
        <v>0</v>
      </c>
      <c r="AB477" s="36" t="str">
        <f>IF(最佳化斷筋點!C477="","",最佳化斷筋點!C477)</f>
        <v>下層</v>
      </c>
      <c r="AC477" s="37">
        <f>IF(最佳化斷筋點!D477="","",最佳化斷筋點!D477)</f>
        <v>10</v>
      </c>
      <c r="AD477" s="37">
        <f>IF(最佳化斷筋點!E477="","",最佳化斷筋點!E477)</f>
        <v>10</v>
      </c>
      <c r="AE477" s="37">
        <f>IF(最佳化斷筋點!F477="","",最佳化斷筋點!F477)</f>
        <v>10</v>
      </c>
      <c r="AF477" s="37">
        <f>IF(最佳化斷筋點!G477="","",最佳化斷筋點!G477)</f>
        <v>10</v>
      </c>
      <c r="AG477" s="37">
        <f>IF(最佳化斷筋點!H477="","",最佳化斷筋點!H477)</f>
        <v>10</v>
      </c>
      <c r="AH477" s="37">
        <f>IF(最佳化斷筋點!I477="","",最佳化斷筋點!I477)</f>
        <v>10</v>
      </c>
      <c r="AI477" s="37">
        <f>IF(最佳化斷筋點!J477="","",最佳化斷筋點!J477)</f>
        <v>10</v>
      </c>
      <c r="AJ477" s="37">
        <f>IF(最佳化斷筋點!K477="","",最佳化斷筋點!K477)</f>
        <v>9</v>
      </c>
      <c r="AK477" s="37">
        <f>IF(最佳化斷筋點!L477="","",最佳化斷筋點!L477)</f>
        <v>9</v>
      </c>
      <c r="AL477" s="37">
        <f>IF(最佳化斷筋點!M477="","",最佳化斷筋點!M477)</f>
        <v>9</v>
      </c>
      <c r="AM477" s="37">
        <f>IF(最佳化斷筋點!N477="","",最佳化斷筋點!N477)</f>
        <v>9</v>
      </c>
      <c r="AN477" s="37">
        <f>IF(最佳化斷筋點!O477="","",最佳化斷筋點!O477)</f>
        <v>9</v>
      </c>
      <c r="AO477" s="37">
        <f>IF(最佳化斷筋點!P477="","",最佳化斷筋點!P477)</f>
        <v>9</v>
      </c>
      <c r="AP477" s="37">
        <f>IF(最佳化斷筋點!Q477="","",最佳化斷筋點!Q477)</f>
        <v>9</v>
      </c>
      <c r="AQ477" s="37">
        <f>IF(最佳化斷筋點!R477="","",最佳化斷筋點!R477)</f>
        <v>9</v>
      </c>
      <c r="AR477" s="37">
        <f>IF(最佳化斷筋點!S477="","",最佳化斷筋點!S477)</f>
        <v>9</v>
      </c>
      <c r="AS477" s="37">
        <f>IF(最佳化斷筋點!T477="","",最佳化斷筋點!T477)</f>
        <v>9</v>
      </c>
      <c r="AT477" s="37">
        <f>IF(最佳化斷筋點!U477="","",最佳化斷筋點!U477)</f>
        <v>9</v>
      </c>
      <c r="AU477" s="37">
        <f>IF(最佳化斷筋點!V477="","",最佳化斷筋點!V477)</f>
        <v>9</v>
      </c>
      <c r="AV477" s="37">
        <f>IF(最佳化斷筋點!W477="","",最佳化斷筋點!W477)</f>
        <v>9</v>
      </c>
      <c r="AW477" s="37">
        <f>IF(最佳化斷筋點!X477="","",最佳化斷筋點!X477)</f>
        <v>9</v>
      </c>
      <c r="AY477" s="6" t="s">
        <v>21</v>
      </c>
      <c r="AZ477" s="37">
        <v>10</v>
      </c>
      <c r="BA477" s="37">
        <v>10</v>
      </c>
      <c r="BB477" s="37">
        <v>10</v>
      </c>
      <c r="BC477" s="37">
        <v>10</v>
      </c>
      <c r="BD477" s="37">
        <v>10</v>
      </c>
      <c r="BE477" s="37">
        <v>10</v>
      </c>
      <c r="BF477" s="37">
        <v>10</v>
      </c>
      <c r="BG477" s="37">
        <v>9</v>
      </c>
      <c r="BH477" s="37">
        <v>9</v>
      </c>
      <c r="BI477" s="37">
        <v>9</v>
      </c>
      <c r="BJ477" s="37">
        <v>9</v>
      </c>
      <c r="BK477" s="37">
        <v>9</v>
      </c>
      <c r="BL477" s="37">
        <v>9</v>
      </c>
      <c r="BM477" s="37">
        <v>9</v>
      </c>
      <c r="BN477" s="37">
        <v>9</v>
      </c>
      <c r="BO477" s="37">
        <v>9</v>
      </c>
      <c r="BP477" s="37">
        <v>9</v>
      </c>
      <c r="BQ477" s="37">
        <v>9</v>
      </c>
      <c r="BR477" s="37">
        <v>9</v>
      </c>
      <c r="BS477" s="37">
        <v>9</v>
      </c>
      <c r="BT477" s="37">
        <v>9</v>
      </c>
    </row>
    <row r="478" spans="5:72" x14ac:dyDescent="0.25">
      <c r="F478" s="6">
        <f t="shared" si="148"/>
        <v>0</v>
      </c>
      <c r="G478" s="6">
        <f t="shared" si="149"/>
        <v>0</v>
      </c>
      <c r="H478" s="6">
        <f t="shared" si="150"/>
        <v>0</v>
      </c>
      <c r="I478" s="6">
        <f t="shared" si="151"/>
        <v>0</v>
      </c>
      <c r="J478" s="6">
        <f t="shared" si="152"/>
        <v>0</v>
      </c>
      <c r="K478" s="6">
        <f t="shared" si="153"/>
        <v>0</v>
      </c>
      <c r="L478" s="6">
        <f t="shared" si="154"/>
        <v>0</v>
      </c>
      <c r="M478" s="6">
        <f t="shared" si="155"/>
        <v>0</v>
      </c>
      <c r="N478" s="6">
        <f t="shared" si="156"/>
        <v>0</v>
      </c>
      <c r="O478" s="6">
        <f t="shared" si="157"/>
        <v>0</v>
      </c>
      <c r="P478" s="6">
        <f t="shared" si="158"/>
        <v>0</v>
      </c>
      <c r="Q478" s="6">
        <f t="shared" si="159"/>
        <v>0</v>
      </c>
      <c r="R478" s="6">
        <f t="shared" si="160"/>
        <v>0</v>
      </c>
      <c r="S478" s="6">
        <f t="shared" si="161"/>
        <v>0</v>
      </c>
      <c r="T478" s="6">
        <f t="shared" si="162"/>
        <v>0</v>
      </c>
      <c r="U478" s="6">
        <f t="shared" si="163"/>
        <v>0</v>
      </c>
      <c r="V478" s="6">
        <f t="shared" si="164"/>
        <v>0</v>
      </c>
      <c r="W478" s="6">
        <f t="shared" si="165"/>
        <v>0</v>
      </c>
      <c r="X478" s="6">
        <f t="shared" si="166"/>
        <v>0</v>
      </c>
      <c r="Y478" s="6">
        <f t="shared" si="167"/>
        <v>0</v>
      </c>
      <c r="Z478" s="6">
        <f t="shared" si="168"/>
        <v>0</v>
      </c>
      <c r="AB478" s="36" t="str">
        <f>IF(最佳化斷筋點!C478="","",最佳化斷筋點!C478)</f>
        <v/>
      </c>
      <c r="AC478" s="37" t="str">
        <f>IF(最佳化斷筋點!D478="","",最佳化斷筋點!D478)</f>
        <v/>
      </c>
      <c r="AD478" s="37" t="str">
        <f>IF(最佳化斷筋點!E478="","",最佳化斷筋點!E478)</f>
        <v/>
      </c>
      <c r="AE478" s="37" t="str">
        <f>IF(最佳化斷筋點!F478="","",最佳化斷筋點!F478)</f>
        <v/>
      </c>
      <c r="AF478" s="37" t="str">
        <f>IF(最佳化斷筋點!G478="","",最佳化斷筋點!G478)</f>
        <v/>
      </c>
      <c r="AG478" s="37" t="str">
        <f>IF(最佳化斷筋點!H478="","",最佳化斷筋點!H478)</f>
        <v/>
      </c>
      <c r="AH478" s="37" t="str">
        <f>IF(最佳化斷筋點!I478="","",最佳化斷筋點!I478)</f>
        <v/>
      </c>
      <c r="AI478" s="37" t="str">
        <f>IF(最佳化斷筋點!J478="","",最佳化斷筋點!J478)</f>
        <v/>
      </c>
      <c r="AJ478" s="37" t="str">
        <f>IF(最佳化斷筋點!K478="","",最佳化斷筋點!K478)</f>
        <v/>
      </c>
      <c r="AK478" s="37" t="str">
        <f>IF(最佳化斷筋點!L478="","",最佳化斷筋點!L478)</f>
        <v/>
      </c>
      <c r="AL478" s="37" t="str">
        <f>IF(最佳化斷筋點!M478="","",最佳化斷筋點!M478)</f>
        <v/>
      </c>
      <c r="AM478" s="37" t="str">
        <f>IF(最佳化斷筋點!N478="","",最佳化斷筋點!N478)</f>
        <v/>
      </c>
      <c r="AN478" s="37" t="str">
        <f>IF(最佳化斷筋點!O478="","",最佳化斷筋點!O478)</f>
        <v/>
      </c>
      <c r="AO478" s="37" t="str">
        <f>IF(最佳化斷筋點!P478="","",最佳化斷筋點!P478)</f>
        <v/>
      </c>
      <c r="AP478" s="37" t="str">
        <f>IF(最佳化斷筋點!Q478="","",最佳化斷筋點!Q478)</f>
        <v/>
      </c>
      <c r="AQ478" s="37" t="str">
        <f>IF(最佳化斷筋點!R478="","",最佳化斷筋點!R478)</f>
        <v/>
      </c>
      <c r="AR478" s="37" t="str">
        <f>IF(最佳化斷筋點!S478="","",最佳化斷筋點!S478)</f>
        <v/>
      </c>
      <c r="AS478" s="37" t="str">
        <f>IF(最佳化斷筋點!T478="","",最佳化斷筋點!T478)</f>
        <v/>
      </c>
      <c r="AT478" s="37" t="str">
        <f>IF(最佳化斷筋點!U478="","",最佳化斷筋點!U478)</f>
        <v/>
      </c>
      <c r="AU478" s="37" t="str">
        <f>IF(最佳化斷筋點!V478="","",最佳化斷筋點!V478)</f>
        <v/>
      </c>
      <c r="AV478" s="37" t="str">
        <f>IF(最佳化斷筋點!W478="","",最佳化斷筋點!W478)</f>
        <v/>
      </c>
      <c r="AW478" s="37" t="str">
        <f>IF(最佳化斷筋點!X478="","",最佳化斷筋點!X478)</f>
        <v/>
      </c>
      <c r="AZ478" s="37" t="s">
        <v>197</v>
      </c>
      <c r="BA478" s="37" t="s">
        <v>197</v>
      </c>
      <c r="BB478" s="37" t="s">
        <v>197</v>
      </c>
      <c r="BC478" s="37" t="s">
        <v>197</v>
      </c>
      <c r="BD478" s="37" t="s">
        <v>197</v>
      </c>
      <c r="BE478" s="37" t="s">
        <v>197</v>
      </c>
      <c r="BF478" s="37" t="s">
        <v>197</v>
      </c>
      <c r="BG478" s="37" t="s">
        <v>197</v>
      </c>
      <c r="BH478" s="37" t="s">
        <v>197</v>
      </c>
      <c r="BI478" s="37" t="s">
        <v>197</v>
      </c>
      <c r="BJ478" s="37" t="s">
        <v>197</v>
      </c>
      <c r="BK478" s="37" t="s">
        <v>197</v>
      </c>
      <c r="BL478" s="37" t="s">
        <v>197</v>
      </c>
      <c r="BM478" s="37" t="s">
        <v>197</v>
      </c>
      <c r="BN478" s="37" t="s">
        <v>197</v>
      </c>
      <c r="BO478" s="37" t="s">
        <v>197</v>
      </c>
      <c r="BP478" s="37" t="s">
        <v>197</v>
      </c>
      <c r="BQ478" s="37" t="s">
        <v>197</v>
      </c>
      <c r="BR478" s="37" t="s">
        <v>197</v>
      </c>
      <c r="BS478" s="37" t="s">
        <v>197</v>
      </c>
      <c r="BT478" s="37" t="s">
        <v>197</v>
      </c>
    </row>
    <row r="479" spans="5:72" x14ac:dyDescent="0.25">
      <c r="E479" s="6" t="s">
        <v>20</v>
      </c>
      <c r="F479" s="6">
        <f t="shared" si="148"/>
        <v>0</v>
      </c>
      <c r="G479" s="6">
        <f t="shared" si="149"/>
        <v>0</v>
      </c>
      <c r="H479" s="6">
        <f t="shared" si="150"/>
        <v>0</v>
      </c>
      <c r="I479" s="6">
        <f t="shared" si="151"/>
        <v>0</v>
      </c>
      <c r="J479" s="6">
        <f t="shared" si="152"/>
        <v>0</v>
      </c>
      <c r="K479" s="6">
        <f t="shared" si="153"/>
        <v>0</v>
      </c>
      <c r="L479" s="6">
        <f t="shared" si="154"/>
        <v>0</v>
      </c>
      <c r="M479" s="6">
        <f t="shared" si="155"/>
        <v>0</v>
      </c>
      <c r="N479" s="6">
        <f t="shared" si="156"/>
        <v>0</v>
      </c>
      <c r="O479" s="6">
        <f t="shared" si="157"/>
        <v>0</v>
      </c>
      <c r="P479" s="6">
        <f t="shared" si="158"/>
        <v>0</v>
      </c>
      <c r="Q479" s="6">
        <f t="shared" si="159"/>
        <v>0</v>
      </c>
      <c r="R479" s="6">
        <f t="shared" si="160"/>
        <v>0</v>
      </c>
      <c r="S479" s="6">
        <f t="shared" si="161"/>
        <v>0</v>
      </c>
      <c r="T479" s="6">
        <f t="shared" si="162"/>
        <v>0</v>
      </c>
      <c r="U479" s="6">
        <f t="shared" si="163"/>
        <v>0</v>
      </c>
      <c r="V479" s="6">
        <f t="shared" si="164"/>
        <v>0</v>
      </c>
      <c r="W479" s="6">
        <f t="shared" si="165"/>
        <v>0</v>
      </c>
      <c r="X479" s="6">
        <f t="shared" si="166"/>
        <v>0</v>
      </c>
      <c r="Y479" s="6">
        <f t="shared" si="167"/>
        <v>0</v>
      </c>
      <c r="Z479" s="6">
        <f t="shared" si="168"/>
        <v>0</v>
      </c>
      <c r="AB479" s="36" t="str">
        <f>IF(最佳化斷筋點!C479="","",最佳化斷筋點!C479)</f>
        <v>上層</v>
      </c>
      <c r="AC479" s="37">
        <f>IF(最佳化斷筋點!D479="","",最佳化斷筋點!D479)</f>
        <v>5</v>
      </c>
      <c r="AD479" s="37">
        <f>IF(最佳化斷筋點!E479="","",最佳化斷筋點!E479)</f>
        <v>5</v>
      </c>
      <c r="AE479" s="37">
        <f>IF(最佳化斷筋點!F479="","",最佳化斷筋點!F479)</f>
        <v>5</v>
      </c>
      <c r="AF479" s="37">
        <f>IF(最佳化斷筋點!G479="","",最佳化斷筋點!G479)</f>
        <v>5</v>
      </c>
      <c r="AG479" s="37">
        <f>IF(最佳化斷筋點!H479="","",最佳化斷筋點!H479)</f>
        <v>5</v>
      </c>
      <c r="AH479" s="37">
        <f>IF(最佳化斷筋點!I479="","",最佳化斷筋點!I479)</f>
        <v>5</v>
      </c>
      <c r="AI479" s="37">
        <f>IF(最佳化斷筋點!J479="","",最佳化斷筋點!J479)</f>
        <v>5</v>
      </c>
      <c r="AJ479" s="37">
        <f>IF(最佳化斷筋點!K479="","",最佳化斷筋點!K479)</f>
        <v>5</v>
      </c>
      <c r="AK479" s="37">
        <f>IF(最佳化斷筋點!L479="","",最佳化斷筋點!L479)</f>
        <v>5</v>
      </c>
      <c r="AL479" s="37">
        <f>IF(最佳化斷筋點!M479="","",最佳化斷筋點!M479)</f>
        <v>5</v>
      </c>
      <c r="AM479" s="37">
        <f>IF(最佳化斷筋點!N479="","",最佳化斷筋點!N479)</f>
        <v>5</v>
      </c>
      <c r="AN479" s="37">
        <f>IF(最佳化斷筋點!O479="","",最佳化斷筋點!O479)</f>
        <v>5</v>
      </c>
      <c r="AO479" s="37">
        <f>IF(最佳化斷筋點!P479="","",最佳化斷筋點!P479)</f>
        <v>5</v>
      </c>
      <c r="AP479" s="37">
        <f>IF(最佳化斷筋點!Q479="","",最佳化斷筋點!Q479)</f>
        <v>7</v>
      </c>
      <c r="AQ479" s="37">
        <f>IF(最佳化斷筋點!R479="","",最佳化斷筋點!R479)</f>
        <v>7</v>
      </c>
      <c r="AR479" s="37">
        <f>IF(最佳化斷筋點!S479="","",最佳化斷筋點!S479)</f>
        <v>7</v>
      </c>
      <c r="AS479" s="37">
        <f>IF(最佳化斷筋點!T479="","",最佳化斷筋點!T479)</f>
        <v>7</v>
      </c>
      <c r="AT479" s="37">
        <f>IF(最佳化斷筋點!U479="","",最佳化斷筋點!U479)</f>
        <v>7</v>
      </c>
      <c r="AU479" s="37">
        <f>IF(最佳化斷筋點!V479="","",最佳化斷筋點!V479)</f>
        <v>7</v>
      </c>
      <c r="AV479" s="37">
        <f>IF(最佳化斷筋點!W479="","",最佳化斷筋點!W479)</f>
        <v>7</v>
      </c>
      <c r="AW479" s="37">
        <f>IF(最佳化斷筋點!X479="","",最佳化斷筋點!X479)</f>
        <v>7</v>
      </c>
      <c r="AY479" s="6" t="s">
        <v>20</v>
      </c>
      <c r="AZ479" s="37">
        <v>5</v>
      </c>
      <c r="BA479" s="37">
        <v>5</v>
      </c>
      <c r="BB479" s="37">
        <v>5</v>
      </c>
      <c r="BC479" s="37">
        <v>5</v>
      </c>
      <c r="BD479" s="37">
        <v>5</v>
      </c>
      <c r="BE479" s="37">
        <v>5</v>
      </c>
      <c r="BF479" s="37">
        <v>5</v>
      </c>
      <c r="BG479" s="37">
        <v>5</v>
      </c>
      <c r="BH479" s="37">
        <v>5</v>
      </c>
      <c r="BI479" s="37">
        <v>5</v>
      </c>
      <c r="BJ479" s="37">
        <v>5</v>
      </c>
      <c r="BK479" s="37">
        <v>5</v>
      </c>
      <c r="BL479" s="37">
        <v>5</v>
      </c>
      <c r="BM479" s="37">
        <v>7</v>
      </c>
      <c r="BN479" s="37">
        <v>7</v>
      </c>
      <c r="BO479" s="37">
        <v>7</v>
      </c>
      <c r="BP479" s="37">
        <v>7</v>
      </c>
      <c r="BQ479" s="37">
        <v>7</v>
      </c>
      <c r="BR479" s="37">
        <v>7</v>
      </c>
      <c r="BS479" s="37">
        <v>7</v>
      </c>
      <c r="BT479" s="37">
        <v>7</v>
      </c>
    </row>
    <row r="480" spans="5:72" x14ac:dyDescent="0.25">
      <c r="F480" s="6">
        <f t="shared" si="148"/>
        <v>0</v>
      </c>
      <c r="G480" s="6">
        <f t="shared" si="149"/>
        <v>0</v>
      </c>
      <c r="H480" s="6">
        <f t="shared" si="150"/>
        <v>0</v>
      </c>
      <c r="I480" s="6">
        <f t="shared" si="151"/>
        <v>0</v>
      </c>
      <c r="J480" s="6">
        <f t="shared" si="152"/>
        <v>0</v>
      </c>
      <c r="K480" s="6">
        <f t="shared" si="153"/>
        <v>0</v>
      </c>
      <c r="L480" s="6">
        <f t="shared" si="154"/>
        <v>0</v>
      </c>
      <c r="M480" s="6">
        <f t="shared" si="155"/>
        <v>0</v>
      </c>
      <c r="N480" s="6">
        <f t="shared" si="156"/>
        <v>0</v>
      </c>
      <c r="O480" s="6">
        <f t="shared" si="157"/>
        <v>0</v>
      </c>
      <c r="P480" s="6">
        <f t="shared" si="158"/>
        <v>0</v>
      </c>
      <c r="Q480" s="6">
        <f t="shared" si="159"/>
        <v>0</v>
      </c>
      <c r="R480" s="6">
        <f t="shared" si="160"/>
        <v>0</v>
      </c>
      <c r="S480" s="6">
        <f t="shared" si="161"/>
        <v>0</v>
      </c>
      <c r="T480" s="6">
        <f t="shared" si="162"/>
        <v>0</v>
      </c>
      <c r="U480" s="6">
        <f t="shared" si="163"/>
        <v>0</v>
      </c>
      <c r="V480" s="6">
        <f t="shared" si="164"/>
        <v>0</v>
      </c>
      <c r="W480" s="6">
        <f t="shared" si="165"/>
        <v>0</v>
      </c>
      <c r="X480" s="6">
        <f t="shared" si="166"/>
        <v>0</v>
      </c>
      <c r="Y480" s="6">
        <f t="shared" si="167"/>
        <v>0</v>
      </c>
      <c r="Z480" s="6">
        <f t="shared" si="168"/>
        <v>0</v>
      </c>
      <c r="AB480" s="36" t="str">
        <f>IF(最佳化斷筋點!C480="","",最佳化斷筋點!C480)</f>
        <v/>
      </c>
      <c r="AC480" s="37" t="str">
        <f>IF(最佳化斷筋點!D480="","",最佳化斷筋點!D480)</f>
        <v/>
      </c>
      <c r="AD480" s="37" t="str">
        <f>IF(最佳化斷筋點!E480="","",最佳化斷筋點!E480)</f>
        <v/>
      </c>
      <c r="AE480" s="37" t="str">
        <f>IF(最佳化斷筋點!F480="","",最佳化斷筋點!F480)</f>
        <v/>
      </c>
      <c r="AF480" s="37" t="str">
        <f>IF(最佳化斷筋點!G480="","",最佳化斷筋點!G480)</f>
        <v/>
      </c>
      <c r="AG480" s="37" t="str">
        <f>IF(最佳化斷筋點!H480="","",最佳化斷筋點!H480)</f>
        <v/>
      </c>
      <c r="AH480" s="37" t="str">
        <f>IF(最佳化斷筋點!I480="","",最佳化斷筋點!I480)</f>
        <v/>
      </c>
      <c r="AI480" s="37" t="str">
        <f>IF(最佳化斷筋點!J480="","",最佳化斷筋點!J480)</f>
        <v/>
      </c>
      <c r="AJ480" s="37" t="str">
        <f>IF(最佳化斷筋點!K480="","",最佳化斷筋點!K480)</f>
        <v/>
      </c>
      <c r="AK480" s="37" t="str">
        <f>IF(最佳化斷筋點!L480="","",最佳化斷筋點!L480)</f>
        <v/>
      </c>
      <c r="AL480" s="37" t="str">
        <f>IF(最佳化斷筋點!M480="","",最佳化斷筋點!M480)</f>
        <v/>
      </c>
      <c r="AM480" s="37" t="str">
        <f>IF(最佳化斷筋點!N480="","",最佳化斷筋點!N480)</f>
        <v/>
      </c>
      <c r="AN480" s="37" t="str">
        <f>IF(最佳化斷筋點!O480="","",最佳化斷筋點!O480)</f>
        <v/>
      </c>
      <c r="AO480" s="37" t="str">
        <f>IF(最佳化斷筋點!P480="","",最佳化斷筋點!P480)</f>
        <v/>
      </c>
      <c r="AP480" s="37" t="str">
        <f>IF(最佳化斷筋點!Q480="","",最佳化斷筋點!Q480)</f>
        <v/>
      </c>
      <c r="AQ480" s="37" t="str">
        <f>IF(最佳化斷筋點!R480="","",最佳化斷筋點!R480)</f>
        <v/>
      </c>
      <c r="AR480" s="37" t="str">
        <f>IF(最佳化斷筋點!S480="","",最佳化斷筋點!S480)</f>
        <v/>
      </c>
      <c r="AS480" s="37" t="str">
        <f>IF(最佳化斷筋點!T480="","",最佳化斷筋點!T480)</f>
        <v/>
      </c>
      <c r="AT480" s="37" t="str">
        <f>IF(最佳化斷筋點!U480="","",最佳化斷筋點!U480)</f>
        <v/>
      </c>
      <c r="AU480" s="37" t="str">
        <f>IF(最佳化斷筋點!V480="","",最佳化斷筋點!V480)</f>
        <v/>
      </c>
      <c r="AV480" s="37" t="str">
        <f>IF(最佳化斷筋點!W480="","",最佳化斷筋點!W480)</f>
        <v/>
      </c>
      <c r="AW480" s="37" t="str">
        <f>IF(最佳化斷筋點!X480="","",最佳化斷筋點!X480)</f>
        <v/>
      </c>
      <c r="AZ480" s="37" t="s">
        <v>197</v>
      </c>
      <c r="BA480" s="37" t="s">
        <v>197</v>
      </c>
      <c r="BB480" s="37" t="s">
        <v>197</v>
      </c>
      <c r="BC480" s="37" t="s">
        <v>197</v>
      </c>
      <c r="BD480" s="37" t="s">
        <v>197</v>
      </c>
      <c r="BE480" s="37" t="s">
        <v>197</v>
      </c>
      <c r="BF480" s="37" t="s">
        <v>197</v>
      </c>
      <c r="BG480" s="37" t="s">
        <v>197</v>
      </c>
      <c r="BH480" s="37" t="s">
        <v>197</v>
      </c>
      <c r="BI480" s="37" t="s">
        <v>197</v>
      </c>
      <c r="BJ480" s="37" t="s">
        <v>197</v>
      </c>
      <c r="BK480" s="37" t="s">
        <v>197</v>
      </c>
      <c r="BL480" s="37" t="s">
        <v>197</v>
      </c>
      <c r="BM480" s="37" t="s">
        <v>197</v>
      </c>
      <c r="BN480" s="37" t="s">
        <v>197</v>
      </c>
      <c r="BO480" s="37" t="s">
        <v>197</v>
      </c>
      <c r="BP480" s="37" t="s">
        <v>197</v>
      </c>
      <c r="BQ480" s="37" t="s">
        <v>197</v>
      </c>
      <c r="BR480" s="37" t="s">
        <v>197</v>
      </c>
      <c r="BS480" s="37" t="s">
        <v>197</v>
      </c>
      <c r="BT480" s="37" t="s">
        <v>197</v>
      </c>
    </row>
    <row r="481" spans="5:72" x14ac:dyDescent="0.25">
      <c r="E481" s="6" t="s">
        <v>21</v>
      </c>
      <c r="F481" s="6">
        <f t="shared" si="148"/>
        <v>0</v>
      </c>
      <c r="G481" s="6">
        <f t="shared" si="149"/>
        <v>0</v>
      </c>
      <c r="H481" s="6">
        <f t="shared" si="150"/>
        <v>0</v>
      </c>
      <c r="I481" s="6">
        <f t="shared" si="151"/>
        <v>0</v>
      </c>
      <c r="J481" s="6">
        <f t="shared" si="152"/>
        <v>0</v>
      </c>
      <c r="K481" s="6">
        <f t="shared" si="153"/>
        <v>0</v>
      </c>
      <c r="L481" s="6">
        <f t="shared" si="154"/>
        <v>0</v>
      </c>
      <c r="M481" s="6">
        <f t="shared" si="155"/>
        <v>0</v>
      </c>
      <c r="N481" s="6">
        <f t="shared" si="156"/>
        <v>0</v>
      </c>
      <c r="O481" s="6">
        <f t="shared" si="157"/>
        <v>0</v>
      </c>
      <c r="P481" s="6">
        <f t="shared" si="158"/>
        <v>0</v>
      </c>
      <c r="Q481" s="6">
        <f t="shared" si="159"/>
        <v>0</v>
      </c>
      <c r="R481" s="6">
        <f t="shared" si="160"/>
        <v>0</v>
      </c>
      <c r="S481" s="6">
        <f t="shared" si="161"/>
        <v>0</v>
      </c>
      <c r="T481" s="6">
        <f t="shared" si="162"/>
        <v>0</v>
      </c>
      <c r="U481" s="6">
        <f t="shared" si="163"/>
        <v>0</v>
      </c>
      <c r="V481" s="6">
        <f t="shared" si="164"/>
        <v>0</v>
      </c>
      <c r="W481" s="6">
        <f t="shared" si="165"/>
        <v>0</v>
      </c>
      <c r="X481" s="6">
        <f t="shared" si="166"/>
        <v>0</v>
      </c>
      <c r="Y481" s="6">
        <f t="shared" si="167"/>
        <v>0</v>
      </c>
      <c r="Z481" s="6">
        <f t="shared" si="168"/>
        <v>0</v>
      </c>
      <c r="AB481" s="36" t="str">
        <f>IF(最佳化斷筋點!C481="","",最佳化斷筋點!C481)</f>
        <v>下層</v>
      </c>
      <c r="AC481" s="37">
        <f>IF(最佳化斷筋點!D481="","",最佳化斷筋點!D481)</f>
        <v>9</v>
      </c>
      <c r="AD481" s="37">
        <f>IF(最佳化斷筋點!E481="","",最佳化斷筋點!E481)</f>
        <v>9</v>
      </c>
      <c r="AE481" s="37">
        <f>IF(最佳化斷筋點!F481="","",最佳化斷筋點!F481)</f>
        <v>9</v>
      </c>
      <c r="AF481" s="37">
        <f>IF(最佳化斷筋點!G481="","",最佳化斷筋點!G481)</f>
        <v>9</v>
      </c>
      <c r="AG481" s="37">
        <f>IF(最佳化斷筋點!H481="","",最佳化斷筋點!H481)</f>
        <v>9</v>
      </c>
      <c r="AH481" s="37">
        <f>IF(最佳化斷筋點!I481="","",最佳化斷筋點!I481)</f>
        <v>9</v>
      </c>
      <c r="AI481" s="37">
        <f>IF(最佳化斷筋點!J481="","",最佳化斷筋點!J481)</f>
        <v>8</v>
      </c>
      <c r="AJ481" s="37">
        <f>IF(最佳化斷筋點!K481="","",最佳化斷筋點!K481)</f>
        <v>7</v>
      </c>
      <c r="AK481" s="37">
        <f>IF(最佳化斷筋點!L481="","",最佳化斷筋點!L481)</f>
        <v>7</v>
      </c>
      <c r="AL481" s="37">
        <f>IF(最佳化斷筋點!M481="","",最佳化斷筋點!M481)</f>
        <v>7</v>
      </c>
      <c r="AM481" s="37">
        <f>IF(最佳化斷筋點!N481="","",最佳化斷筋點!N481)</f>
        <v>7</v>
      </c>
      <c r="AN481" s="37">
        <f>IF(最佳化斷筋點!O481="","",最佳化斷筋點!O481)</f>
        <v>7</v>
      </c>
      <c r="AO481" s="37">
        <f>IF(最佳化斷筋點!P481="","",最佳化斷筋點!P481)</f>
        <v>7</v>
      </c>
      <c r="AP481" s="37">
        <f>IF(最佳化斷筋點!Q481="","",最佳化斷筋點!Q481)</f>
        <v>7</v>
      </c>
      <c r="AQ481" s="37">
        <f>IF(最佳化斷筋點!R481="","",最佳化斷筋點!R481)</f>
        <v>7</v>
      </c>
      <c r="AR481" s="37">
        <f>IF(最佳化斷筋點!S481="","",最佳化斷筋點!S481)</f>
        <v>7</v>
      </c>
      <c r="AS481" s="37">
        <f>IF(最佳化斷筋點!T481="","",最佳化斷筋點!T481)</f>
        <v>7</v>
      </c>
      <c r="AT481" s="37">
        <f>IF(最佳化斷筋點!U481="","",最佳化斷筋點!U481)</f>
        <v>7</v>
      </c>
      <c r="AU481" s="37">
        <f>IF(最佳化斷筋點!V481="","",最佳化斷筋點!V481)</f>
        <v>7</v>
      </c>
      <c r="AV481" s="37">
        <f>IF(最佳化斷筋點!W481="","",最佳化斷筋點!W481)</f>
        <v>7</v>
      </c>
      <c r="AW481" s="37">
        <f>IF(最佳化斷筋點!X481="","",最佳化斷筋點!X481)</f>
        <v>7</v>
      </c>
      <c r="AY481" s="6" t="s">
        <v>21</v>
      </c>
      <c r="AZ481" s="37">
        <v>9</v>
      </c>
      <c r="BA481" s="37">
        <v>9</v>
      </c>
      <c r="BB481" s="37">
        <v>9</v>
      </c>
      <c r="BC481" s="37">
        <v>9</v>
      </c>
      <c r="BD481" s="37">
        <v>9</v>
      </c>
      <c r="BE481" s="37">
        <v>9</v>
      </c>
      <c r="BF481" s="37">
        <v>8</v>
      </c>
      <c r="BG481" s="37">
        <v>7</v>
      </c>
      <c r="BH481" s="37">
        <v>7</v>
      </c>
      <c r="BI481" s="37">
        <v>7</v>
      </c>
      <c r="BJ481" s="37">
        <v>7</v>
      </c>
      <c r="BK481" s="37">
        <v>7</v>
      </c>
      <c r="BL481" s="37">
        <v>7</v>
      </c>
      <c r="BM481" s="37">
        <v>7</v>
      </c>
      <c r="BN481" s="37">
        <v>7</v>
      </c>
      <c r="BO481" s="37">
        <v>7</v>
      </c>
      <c r="BP481" s="37">
        <v>7</v>
      </c>
      <c r="BQ481" s="37">
        <v>7</v>
      </c>
      <c r="BR481" s="37">
        <v>7</v>
      </c>
      <c r="BS481" s="37">
        <v>7</v>
      </c>
      <c r="BT481" s="37">
        <v>7</v>
      </c>
    </row>
    <row r="482" spans="5:72" x14ac:dyDescent="0.25">
      <c r="F482" s="6">
        <f t="shared" si="148"/>
        <v>0</v>
      </c>
      <c r="G482" s="6">
        <f t="shared" si="149"/>
        <v>0</v>
      </c>
      <c r="H482" s="6">
        <f t="shared" si="150"/>
        <v>0</v>
      </c>
      <c r="I482" s="6">
        <f t="shared" si="151"/>
        <v>0</v>
      </c>
      <c r="J482" s="6">
        <f t="shared" si="152"/>
        <v>0</v>
      </c>
      <c r="K482" s="6">
        <f t="shared" si="153"/>
        <v>0</v>
      </c>
      <c r="L482" s="6">
        <f t="shared" si="154"/>
        <v>0</v>
      </c>
      <c r="M482" s="6">
        <f t="shared" si="155"/>
        <v>0</v>
      </c>
      <c r="N482" s="6">
        <f t="shared" si="156"/>
        <v>0</v>
      </c>
      <c r="O482" s="6">
        <f t="shared" si="157"/>
        <v>0</v>
      </c>
      <c r="P482" s="6">
        <f t="shared" si="158"/>
        <v>0</v>
      </c>
      <c r="Q482" s="6">
        <f t="shared" si="159"/>
        <v>0</v>
      </c>
      <c r="R482" s="6">
        <f t="shared" si="160"/>
        <v>0</v>
      </c>
      <c r="S482" s="6">
        <f t="shared" si="161"/>
        <v>0</v>
      </c>
      <c r="T482" s="6">
        <f t="shared" si="162"/>
        <v>0</v>
      </c>
      <c r="U482" s="6">
        <f t="shared" si="163"/>
        <v>0</v>
      </c>
      <c r="V482" s="6">
        <f t="shared" si="164"/>
        <v>0</v>
      </c>
      <c r="W482" s="6">
        <f t="shared" si="165"/>
        <v>0</v>
      </c>
      <c r="X482" s="6">
        <f t="shared" si="166"/>
        <v>0</v>
      </c>
      <c r="Y482" s="6">
        <f t="shared" si="167"/>
        <v>0</v>
      </c>
      <c r="Z482" s="6">
        <f t="shared" si="168"/>
        <v>0</v>
      </c>
      <c r="AB482" s="36" t="str">
        <f>IF(最佳化斷筋點!C482="","",最佳化斷筋點!C482)</f>
        <v/>
      </c>
      <c r="AC482" s="37" t="str">
        <f>IF(最佳化斷筋點!D482="","",最佳化斷筋點!D482)</f>
        <v/>
      </c>
      <c r="AD482" s="37" t="str">
        <f>IF(最佳化斷筋點!E482="","",最佳化斷筋點!E482)</f>
        <v/>
      </c>
      <c r="AE482" s="37" t="str">
        <f>IF(最佳化斷筋點!F482="","",最佳化斷筋點!F482)</f>
        <v/>
      </c>
      <c r="AF482" s="37" t="str">
        <f>IF(最佳化斷筋點!G482="","",最佳化斷筋點!G482)</f>
        <v/>
      </c>
      <c r="AG482" s="37" t="str">
        <f>IF(最佳化斷筋點!H482="","",最佳化斷筋點!H482)</f>
        <v/>
      </c>
      <c r="AH482" s="37" t="str">
        <f>IF(最佳化斷筋點!I482="","",最佳化斷筋點!I482)</f>
        <v/>
      </c>
      <c r="AI482" s="37" t="str">
        <f>IF(最佳化斷筋點!J482="","",最佳化斷筋點!J482)</f>
        <v/>
      </c>
      <c r="AJ482" s="37" t="str">
        <f>IF(最佳化斷筋點!K482="","",最佳化斷筋點!K482)</f>
        <v/>
      </c>
      <c r="AK482" s="37" t="str">
        <f>IF(最佳化斷筋點!L482="","",最佳化斷筋點!L482)</f>
        <v/>
      </c>
      <c r="AL482" s="37" t="str">
        <f>IF(最佳化斷筋點!M482="","",最佳化斷筋點!M482)</f>
        <v/>
      </c>
      <c r="AM482" s="37" t="str">
        <f>IF(最佳化斷筋點!N482="","",最佳化斷筋點!N482)</f>
        <v/>
      </c>
      <c r="AN482" s="37" t="str">
        <f>IF(最佳化斷筋點!O482="","",最佳化斷筋點!O482)</f>
        <v/>
      </c>
      <c r="AO482" s="37" t="str">
        <f>IF(最佳化斷筋點!P482="","",最佳化斷筋點!P482)</f>
        <v/>
      </c>
      <c r="AP482" s="37" t="str">
        <f>IF(最佳化斷筋點!Q482="","",最佳化斷筋點!Q482)</f>
        <v/>
      </c>
      <c r="AQ482" s="37" t="str">
        <f>IF(最佳化斷筋點!R482="","",最佳化斷筋點!R482)</f>
        <v/>
      </c>
      <c r="AR482" s="37" t="str">
        <f>IF(最佳化斷筋點!S482="","",最佳化斷筋點!S482)</f>
        <v/>
      </c>
      <c r="AS482" s="37" t="str">
        <f>IF(最佳化斷筋點!T482="","",最佳化斷筋點!T482)</f>
        <v/>
      </c>
      <c r="AT482" s="37" t="str">
        <f>IF(最佳化斷筋點!U482="","",最佳化斷筋點!U482)</f>
        <v/>
      </c>
      <c r="AU482" s="37" t="str">
        <f>IF(最佳化斷筋點!V482="","",最佳化斷筋點!V482)</f>
        <v/>
      </c>
      <c r="AV482" s="37" t="str">
        <f>IF(最佳化斷筋點!W482="","",最佳化斷筋點!W482)</f>
        <v/>
      </c>
      <c r="AW482" s="37" t="str">
        <f>IF(最佳化斷筋點!X482="","",最佳化斷筋點!X482)</f>
        <v/>
      </c>
      <c r="AZ482" s="37" t="s">
        <v>197</v>
      </c>
      <c r="BA482" s="37" t="s">
        <v>197</v>
      </c>
      <c r="BB482" s="37" t="s">
        <v>197</v>
      </c>
      <c r="BC482" s="37" t="s">
        <v>197</v>
      </c>
      <c r="BD482" s="37" t="s">
        <v>197</v>
      </c>
      <c r="BE482" s="37" t="s">
        <v>197</v>
      </c>
      <c r="BF482" s="37" t="s">
        <v>197</v>
      </c>
      <c r="BG482" s="37" t="s">
        <v>197</v>
      </c>
      <c r="BH482" s="37" t="s">
        <v>197</v>
      </c>
      <c r="BI482" s="37" t="s">
        <v>197</v>
      </c>
      <c r="BJ482" s="37" t="s">
        <v>197</v>
      </c>
      <c r="BK482" s="37" t="s">
        <v>197</v>
      </c>
      <c r="BL482" s="37" t="s">
        <v>197</v>
      </c>
      <c r="BM482" s="37" t="s">
        <v>197</v>
      </c>
      <c r="BN482" s="37" t="s">
        <v>197</v>
      </c>
      <c r="BO482" s="37" t="s">
        <v>197</v>
      </c>
      <c r="BP482" s="37" t="s">
        <v>197</v>
      </c>
      <c r="BQ482" s="37" t="s">
        <v>197</v>
      </c>
      <c r="BR482" s="37" t="s">
        <v>197</v>
      </c>
      <c r="BS482" s="37" t="s">
        <v>197</v>
      </c>
      <c r="BT482" s="37" t="s">
        <v>197</v>
      </c>
    </row>
    <row r="483" spans="5:72" x14ac:dyDescent="0.25">
      <c r="E483" s="6" t="s">
        <v>20</v>
      </c>
      <c r="F483" s="6">
        <f t="shared" si="148"/>
        <v>0</v>
      </c>
      <c r="G483" s="6">
        <f t="shared" si="149"/>
        <v>0</v>
      </c>
      <c r="H483" s="6">
        <f t="shared" si="150"/>
        <v>0</v>
      </c>
      <c r="I483" s="6">
        <f t="shared" si="151"/>
        <v>0</v>
      </c>
      <c r="J483" s="6">
        <f t="shared" si="152"/>
        <v>0</v>
      </c>
      <c r="K483" s="6">
        <f t="shared" si="153"/>
        <v>0</v>
      </c>
      <c r="L483" s="6">
        <f t="shared" si="154"/>
        <v>0</v>
      </c>
      <c r="M483" s="6">
        <f t="shared" si="155"/>
        <v>0</v>
      </c>
      <c r="N483" s="6">
        <f t="shared" si="156"/>
        <v>0</v>
      </c>
      <c r="O483" s="6">
        <f t="shared" si="157"/>
        <v>0</v>
      </c>
      <c r="P483" s="6">
        <f t="shared" si="158"/>
        <v>0</v>
      </c>
      <c r="Q483" s="6">
        <f t="shared" si="159"/>
        <v>0</v>
      </c>
      <c r="R483" s="6">
        <f t="shared" si="160"/>
        <v>0</v>
      </c>
      <c r="S483" s="6">
        <f t="shared" si="161"/>
        <v>0</v>
      </c>
      <c r="T483" s="6">
        <f t="shared" si="162"/>
        <v>0</v>
      </c>
      <c r="U483" s="6">
        <f t="shared" si="163"/>
        <v>0</v>
      </c>
      <c r="V483" s="6">
        <f t="shared" si="164"/>
        <v>0</v>
      </c>
      <c r="W483" s="6">
        <f t="shared" si="165"/>
        <v>0</v>
      </c>
      <c r="X483" s="6">
        <f t="shared" si="166"/>
        <v>0</v>
      </c>
      <c r="Y483" s="6">
        <f t="shared" si="167"/>
        <v>0</v>
      </c>
      <c r="Z483" s="6">
        <f t="shared" si="168"/>
        <v>0</v>
      </c>
      <c r="AB483" s="36" t="str">
        <f>IF(最佳化斷筋點!C483="","",最佳化斷筋點!C483)</f>
        <v>上層</v>
      </c>
      <c r="AC483" s="37">
        <f>IF(最佳化斷筋點!D483="","",最佳化斷筋點!D483)</f>
        <v>7</v>
      </c>
      <c r="AD483" s="37">
        <f>IF(最佳化斷筋點!E483="","",最佳化斷筋點!E483)</f>
        <v>7</v>
      </c>
      <c r="AE483" s="37">
        <f>IF(最佳化斷筋點!F483="","",最佳化斷筋點!F483)</f>
        <v>7</v>
      </c>
      <c r="AF483" s="37">
        <f>IF(最佳化斷筋點!G483="","",最佳化斷筋點!G483)</f>
        <v>7</v>
      </c>
      <c r="AG483" s="37">
        <f>IF(最佳化斷筋點!H483="","",最佳化斷筋點!H483)</f>
        <v>7</v>
      </c>
      <c r="AH483" s="37">
        <f>IF(最佳化斷筋點!I483="","",最佳化斷筋點!I483)</f>
        <v>6</v>
      </c>
      <c r="AI483" s="37">
        <f>IF(最佳化斷筋點!J483="","",最佳化斷筋點!J483)</f>
        <v>6</v>
      </c>
      <c r="AJ483" s="37">
        <f>IF(最佳化斷筋點!K483="","",最佳化斷筋點!K483)</f>
        <v>3</v>
      </c>
      <c r="AK483" s="37">
        <f>IF(最佳化斷筋點!L483="","",最佳化斷筋點!L483)</f>
        <v>3</v>
      </c>
      <c r="AL483" s="37">
        <f>IF(最佳化斷筋點!M483="","",最佳化斷筋點!M483)</f>
        <v>3</v>
      </c>
      <c r="AM483" s="37">
        <f>IF(最佳化斷筋點!N483="","",最佳化斷筋點!N483)</f>
        <v>3</v>
      </c>
      <c r="AN483" s="37">
        <f>IF(最佳化斷筋點!O483="","",最佳化斷筋點!O483)</f>
        <v>3</v>
      </c>
      <c r="AO483" s="37">
        <f>IF(最佳化斷筋點!P483="","",最佳化斷筋點!P483)</f>
        <v>3</v>
      </c>
      <c r="AP483" s="37">
        <f>IF(最佳化斷筋點!Q483="","",最佳化斷筋點!Q483)</f>
        <v>4</v>
      </c>
      <c r="AQ483" s="37">
        <f>IF(最佳化斷筋點!R483="","",最佳化斷筋點!R483)</f>
        <v>5</v>
      </c>
      <c r="AR483" s="37">
        <f>IF(最佳化斷筋點!S483="","",最佳化斷筋點!S483)</f>
        <v>6</v>
      </c>
      <c r="AS483" s="37">
        <f>IF(最佳化斷筋點!T483="","",最佳化斷筋點!T483)</f>
        <v>6</v>
      </c>
      <c r="AT483" s="37">
        <f>IF(最佳化斷筋點!U483="","",最佳化斷筋點!U483)</f>
        <v>7</v>
      </c>
      <c r="AU483" s="37">
        <f>IF(最佳化斷筋點!V483="","",最佳化斷筋點!V483)</f>
        <v>7</v>
      </c>
      <c r="AV483" s="37">
        <f>IF(最佳化斷筋點!W483="","",最佳化斷筋點!W483)</f>
        <v>7</v>
      </c>
      <c r="AW483" s="37">
        <f>IF(最佳化斷筋點!X483="","",最佳化斷筋點!X483)</f>
        <v>7</v>
      </c>
      <c r="AY483" s="6" t="s">
        <v>20</v>
      </c>
      <c r="AZ483" s="37">
        <v>7</v>
      </c>
      <c r="BA483" s="37">
        <v>7</v>
      </c>
      <c r="BB483" s="37">
        <v>7</v>
      </c>
      <c r="BC483" s="37">
        <v>7</v>
      </c>
      <c r="BD483" s="37">
        <v>7</v>
      </c>
      <c r="BE483" s="37">
        <v>6</v>
      </c>
      <c r="BF483" s="37">
        <v>6</v>
      </c>
      <c r="BG483" s="37">
        <v>3</v>
      </c>
      <c r="BH483" s="37">
        <v>3</v>
      </c>
      <c r="BI483" s="37">
        <v>3</v>
      </c>
      <c r="BJ483" s="37">
        <v>3</v>
      </c>
      <c r="BK483" s="37">
        <v>3</v>
      </c>
      <c r="BL483" s="37">
        <v>3</v>
      </c>
      <c r="BM483" s="37">
        <v>4</v>
      </c>
      <c r="BN483" s="37">
        <v>5</v>
      </c>
      <c r="BO483" s="37">
        <v>6</v>
      </c>
      <c r="BP483" s="37">
        <v>6</v>
      </c>
      <c r="BQ483" s="37">
        <v>7</v>
      </c>
      <c r="BR483" s="37">
        <v>7</v>
      </c>
      <c r="BS483" s="37">
        <v>7</v>
      </c>
      <c r="BT483" s="37">
        <v>7</v>
      </c>
    </row>
    <row r="484" spans="5:72" x14ac:dyDescent="0.25">
      <c r="F484" s="6">
        <f t="shared" si="148"/>
        <v>0</v>
      </c>
      <c r="G484" s="6">
        <f t="shared" si="149"/>
        <v>0</v>
      </c>
      <c r="H484" s="6">
        <f t="shared" si="150"/>
        <v>0</v>
      </c>
      <c r="I484" s="6">
        <f t="shared" si="151"/>
        <v>0</v>
      </c>
      <c r="J484" s="6">
        <f t="shared" si="152"/>
        <v>0</v>
      </c>
      <c r="K484" s="6">
        <f t="shared" si="153"/>
        <v>0</v>
      </c>
      <c r="L484" s="6">
        <f t="shared" si="154"/>
        <v>0</v>
      </c>
      <c r="M484" s="6">
        <f t="shared" si="155"/>
        <v>0</v>
      </c>
      <c r="N484" s="6">
        <f t="shared" si="156"/>
        <v>0</v>
      </c>
      <c r="O484" s="6">
        <f t="shared" si="157"/>
        <v>0</v>
      </c>
      <c r="P484" s="6">
        <f t="shared" si="158"/>
        <v>0</v>
      </c>
      <c r="Q484" s="6">
        <f t="shared" si="159"/>
        <v>0</v>
      </c>
      <c r="R484" s="6">
        <f t="shared" si="160"/>
        <v>0</v>
      </c>
      <c r="S484" s="6">
        <f t="shared" si="161"/>
        <v>0</v>
      </c>
      <c r="T484" s="6">
        <f t="shared" si="162"/>
        <v>0</v>
      </c>
      <c r="U484" s="6">
        <f t="shared" si="163"/>
        <v>0</v>
      </c>
      <c r="V484" s="6">
        <f t="shared" si="164"/>
        <v>0</v>
      </c>
      <c r="W484" s="6">
        <f t="shared" si="165"/>
        <v>0</v>
      </c>
      <c r="X484" s="6">
        <f t="shared" si="166"/>
        <v>0</v>
      </c>
      <c r="Y484" s="6">
        <f t="shared" si="167"/>
        <v>0</v>
      </c>
      <c r="Z484" s="6">
        <f t="shared" si="168"/>
        <v>0</v>
      </c>
      <c r="AB484" s="36" t="str">
        <f>IF(最佳化斷筋點!C484="","",最佳化斷筋點!C484)</f>
        <v/>
      </c>
      <c r="AC484" s="37" t="str">
        <f>IF(最佳化斷筋點!D484="","",最佳化斷筋點!D484)</f>
        <v/>
      </c>
      <c r="AD484" s="37" t="str">
        <f>IF(最佳化斷筋點!E484="","",最佳化斷筋點!E484)</f>
        <v/>
      </c>
      <c r="AE484" s="37" t="str">
        <f>IF(最佳化斷筋點!F484="","",最佳化斷筋點!F484)</f>
        <v/>
      </c>
      <c r="AF484" s="37" t="str">
        <f>IF(最佳化斷筋點!G484="","",最佳化斷筋點!G484)</f>
        <v/>
      </c>
      <c r="AG484" s="37" t="str">
        <f>IF(最佳化斷筋點!H484="","",最佳化斷筋點!H484)</f>
        <v/>
      </c>
      <c r="AH484" s="37" t="str">
        <f>IF(最佳化斷筋點!I484="","",最佳化斷筋點!I484)</f>
        <v/>
      </c>
      <c r="AI484" s="37" t="str">
        <f>IF(最佳化斷筋點!J484="","",最佳化斷筋點!J484)</f>
        <v/>
      </c>
      <c r="AJ484" s="37" t="str">
        <f>IF(最佳化斷筋點!K484="","",最佳化斷筋點!K484)</f>
        <v/>
      </c>
      <c r="AK484" s="37" t="str">
        <f>IF(最佳化斷筋點!L484="","",最佳化斷筋點!L484)</f>
        <v/>
      </c>
      <c r="AL484" s="37" t="str">
        <f>IF(最佳化斷筋點!M484="","",最佳化斷筋點!M484)</f>
        <v/>
      </c>
      <c r="AM484" s="37" t="str">
        <f>IF(最佳化斷筋點!N484="","",最佳化斷筋點!N484)</f>
        <v/>
      </c>
      <c r="AN484" s="37" t="str">
        <f>IF(最佳化斷筋點!O484="","",最佳化斷筋點!O484)</f>
        <v/>
      </c>
      <c r="AO484" s="37" t="str">
        <f>IF(最佳化斷筋點!P484="","",最佳化斷筋點!P484)</f>
        <v/>
      </c>
      <c r="AP484" s="37" t="str">
        <f>IF(最佳化斷筋點!Q484="","",最佳化斷筋點!Q484)</f>
        <v/>
      </c>
      <c r="AQ484" s="37" t="str">
        <f>IF(最佳化斷筋點!R484="","",最佳化斷筋點!R484)</f>
        <v/>
      </c>
      <c r="AR484" s="37" t="str">
        <f>IF(最佳化斷筋點!S484="","",最佳化斷筋點!S484)</f>
        <v/>
      </c>
      <c r="AS484" s="37" t="str">
        <f>IF(最佳化斷筋點!T484="","",最佳化斷筋點!T484)</f>
        <v/>
      </c>
      <c r="AT484" s="37" t="str">
        <f>IF(最佳化斷筋點!U484="","",最佳化斷筋點!U484)</f>
        <v/>
      </c>
      <c r="AU484" s="37" t="str">
        <f>IF(最佳化斷筋點!V484="","",最佳化斷筋點!V484)</f>
        <v/>
      </c>
      <c r="AV484" s="37" t="str">
        <f>IF(最佳化斷筋點!W484="","",最佳化斷筋點!W484)</f>
        <v/>
      </c>
      <c r="AW484" s="37" t="str">
        <f>IF(最佳化斷筋點!X484="","",最佳化斷筋點!X484)</f>
        <v/>
      </c>
      <c r="AZ484" s="37" t="s">
        <v>197</v>
      </c>
      <c r="BA484" s="37" t="s">
        <v>197</v>
      </c>
      <c r="BB484" s="37" t="s">
        <v>197</v>
      </c>
      <c r="BC484" s="37" t="s">
        <v>197</v>
      </c>
      <c r="BD484" s="37" t="s">
        <v>197</v>
      </c>
      <c r="BE484" s="37" t="s">
        <v>197</v>
      </c>
      <c r="BF484" s="37" t="s">
        <v>197</v>
      </c>
      <c r="BG484" s="37" t="s">
        <v>197</v>
      </c>
      <c r="BH484" s="37" t="s">
        <v>197</v>
      </c>
      <c r="BI484" s="37" t="s">
        <v>197</v>
      </c>
      <c r="BJ484" s="37" t="s">
        <v>197</v>
      </c>
      <c r="BK484" s="37" t="s">
        <v>197</v>
      </c>
      <c r="BL484" s="37" t="s">
        <v>197</v>
      </c>
      <c r="BM484" s="37" t="s">
        <v>197</v>
      </c>
      <c r="BN484" s="37" t="s">
        <v>197</v>
      </c>
      <c r="BO484" s="37" t="s">
        <v>197</v>
      </c>
      <c r="BP484" s="37" t="s">
        <v>197</v>
      </c>
      <c r="BQ484" s="37" t="s">
        <v>197</v>
      </c>
      <c r="BR484" s="37" t="s">
        <v>197</v>
      </c>
      <c r="BS484" s="37" t="s">
        <v>197</v>
      </c>
      <c r="BT484" s="37" t="s">
        <v>197</v>
      </c>
    </row>
    <row r="485" spans="5:72" x14ac:dyDescent="0.25">
      <c r="E485" s="6" t="s">
        <v>21</v>
      </c>
      <c r="F485" s="6">
        <f t="shared" si="148"/>
        <v>0</v>
      </c>
      <c r="G485" s="6">
        <f t="shared" si="149"/>
        <v>0</v>
      </c>
      <c r="H485" s="6">
        <f t="shared" si="150"/>
        <v>0</v>
      </c>
      <c r="I485" s="6">
        <f t="shared" si="151"/>
        <v>0</v>
      </c>
      <c r="J485" s="6">
        <f t="shared" si="152"/>
        <v>0</v>
      </c>
      <c r="K485" s="6">
        <f t="shared" si="153"/>
        <v>0</v>
      </c>
      <c r="L485" s="6">
        <f t="shared" si="154"/>
        <v>0</v>
      </c>
      <c r="M485" s="6">
        <f t="shared" si="155"/>
        <v>0</v>
      </c>
      <c r="N485" s="6">
        <f t="shared" si="156"/>
        <v>0</v>
      </c>
      <c r="O485" s="6">
        <f t="shared" si="157"/>
        <v>0</v>
      </c>
      <c r="P485" s="6">
        <f t="shared" si="158"/>
        <v>0</v>
      </c>
      <c r="Q485" s="6">
        <f t="shared" si="159"/>
        <v>0</v>
      </c>
      <c r="R485" s="6">
        <f t="shared" si="160"/>
        <v>0</v>
      </c>
      <c r="S485" s="6">
        <f t="shared" si="161"/>
        <v>0</v>
      </c>
      <c r="T485" s="6">
        <f t="shared" si="162"/>
        <v>0</v>
      </c>
      <c r="U485" s="6">
        <f t="shared" si="163"/>
        <v>0</v>
      </c>
      <c r="V485" s="6">
        <f t="shared" si="164"/>
        <v>0</v>
      </c>
      <c r="W485" s="6">
        <f t="shared" si="165"/>
        <v>0</v>
      </c>
      <c r="X485" s="6">
        <f t="shared" si="166"/>
        <v>0</v>
      </c>
      <c r="Y485" s="6">
        <f t="shared" si="167"/>
        <v>0</v>
      </c>
      <c r="Z485" s="6">
        <f t="shared" si="168"/>
        <v>0</v>
      </c>
      <c r="AB485" s="36" t="str">
        <f>IF(最佳化斷筋點!C485="","",最佳化斷筋點!C485)</f>
        <v>下層</v>
      </c>
      <c r="AC485" s="37">
        <f>IF(最佳化斷筋點!D485="","",最佳化斷筋點!D485)</f>
        <v>5</v>
      </c>
      <c r="AD485" s="37">
        <f>IF(最佳化斷筋點!E485="","",最佳化斷筋點!E485)</f>
        <v>5</v>
      </c>
      <c r="AE485" s="37">
        <f>IF(最佳化斷筋點!F485="","",最佳化斷筋點!F485)</f>
        <v>5</v>
      </c>
      <c r="AF485" s="37">
        <f>IF(最佳化斷筋點!G485="","",最佳化斷筋點!G485)</f>
        <v>5</v>
      </c>
      <c r="AG485" s="37">
        <f>IF(最佳化斷筋點!H485="","",最佳化斷筋點!H485)</f>
        <v>5</v>
      </c>
      <c r="AH485" s="37">
        <f>IF(最佳化斷筋點!I485="","",最佳化斷筋點!I485)</f>
        <v>4</v>
      </c>
      <c r="AI485" s="37">
        <f>IF(最佳化斷筋點!J485="","",最佳化斷筋點!J485)</f>
        <v>4</v>
      </c>
      <c r="AJ485" s="37">
        <f>IF(最佳化斷筋點!K485="","",最佳化斷筋點!K485)</f>
        <v>4</v>
      </c>
      <c r="AK485" s="37">
        <f>IF(最佳化斷筋點!L485="","",最佳化斷筋點!L485)</f>
        <v>4</v>
      </c>
      <c r="AL485" s="37">
        <f>IF(最佳化斷筋點!M485="","",最佳化斷筋點!M485)</f>
        <v>4</v>
      </c>
      <c r="AM485" s="37">
        <f>IF(最佳化斷筋點!N485="","",最佳化斷筋點!N485)</f>
        <v>4</v>
      </c>
      <c r="AN485" s="37">
        <f>IF(最佳化斷筋點!O485="","",最佳化斷筋點!O485)</f>
        <v>4</v>
      </c>
      <c r="AO485" s="37">
        <f>IF(最佳化斷筋點!P485="","",最佳化斷筋點!P485)</f>
        <v>4</v>
      </c>
      <c r="AP485" s="37">
        <f>IF(最佳化斷筋點!Q485="","",最佳化斷筋點!Q485)</f>
        <v>4</v>
      </c>
      <c r="AQ485" s="37">
        <f>IF(最佳化斷筋點!R485="","",最佳化斷筋點!R485)</f>
        <v>4</v>
      </c>
      <c r="AR485" s="37">
        <f>IF(最佳化斷筋點!S485="","",最佳化斷筋點!S485)</f>
        <v>4</v>
      </c>
      <c r="AS485" s="37">
        <f>IF(最佳化斷筋點!T485="","",最佳化斷筋點!T485)</f>
        <v>4</v>
      </c>
      <c r="AT485" s="37">
        <f>IF(最佳化斷筋點!U485="","",最佳化斷筋點!U485)</f>
        <v>5</v>
      </c>
      <c r="AU485" s="37">
        <f>IF(最佳化斷筋點!V485="","",最佳化斷筋點!V485)</f>
        <v>5</v>
      </c>
      <c r="AV485" s="37">
        <f>IF(最佳化斷筋點!W485="","",最佳化斷筋點!W485)</f>
        <v>5</v>
      </c>
      <c r="AW485" s="37">
        <f>IF(最佳化斷筋點!X485="","",最佳化斷筋點!X485)</f>
        <v>5</v>
      </c>
      <c r="AY485" s="6" t="s">
        <v>21</v>
      </c>
      <c r="AZ485" s="37">
        <v>5</v>
      </c>
      <c r="BA485" s="37">
        <v>5</v>
      </c>
      <c r="BB485" s="37">
        <v>5</v>
      </c>
      <c r="BC485" s="37">
        <v>5</v>
      </c>
      <c r="BD485" s="37">
        <v>5</v>
      </c>
      <c r="BE485" s="37">
        <v>4</v>
      </c>
      <c r="BF485" s="37">
        <v>4</v>
      </c>
      <c r="BG485" s="37">
        <v>4</v>
      </c>
      <c r="BH485" s="37">
        <v>4</v>
      </c>
      <c r="BI485" s="37">
        <v>4</v>
      </c>
      <c r="BJ485" s="37">
        <v>4</v>
      </c>
      <c r="BK485" s="37">
        <v>4</v>
      </c>
      <c r="BL485" s="37">
        <v>4</v>
      </c>
      <c r="BM485" s="37">
        <v>4</v>
      </c>
      <c r="BN485" s="37">
        <v>4</v>
      </c>
      <c r="BO485" s="37">
        <v>4</v>
      </c>
      <c r="BP485" s="37">
        <v>4</v>
      </c>
      <c r="BQ485" s="37">
        <v>5</v>
      </c>
      <c r="BR485" s="37">
        <v>5</v>
      </c>
      <c r="BS485" s="37">
        <v>5</v>
      </c>
      <c r="BT485" s="37">
        <v>5</v>
      </c>
    </row>
    <row r="486" spans="5:72" x14ac:dyDescent="0.25">
      <c r="F486" s="6">
        <f t="shared" si="148"/>
        <v>0</v>
      </c>
      <c r="G486" s="6">
        <f t="shared" si="149"/>
        <v>0</v>
      </c>
      <c r="H486" s="6">
        <f t="shared" si="150"/>
        <v>0</v>
      </c>
      <c r="I486" s="6">
        <f t="shared" si="151"/>
        <v>0</v>
      </c>
      <c r="J486" s="6">
        <f t="shared" si="152"/>
        <v>0</v>
      </c>
      <c r="K486" s="6">
        <f t="shared" si="153"/>
        <v>0</v>
      </c>
      <c r="L486" s="6">
        <f t="shared" si="154"/>
        <v>0</v>
      </c>
      <c r="M486" s="6">
        <f t="shared" si="155"/>
        <v>0</v>
      </c>
      <c r="N486" s="6">
        <f t="shared" si="156"/>
        <v>0</v>
      </c>
      <c r="O486" s="6">
        <f t="shared" si="157"/>
        <v>0</v>
      </c>
      <c r="P486" s="6">
        <f t="shared" si="158"/>
        <v>0</v>
      </c>
      <c r="Q486" s="6">
        <f t="shared" si="159"/>
        <v>0</v>
      </c>
      <c r="R486" s="6">
        <f t="shared" si="160"/>
        <v>0</v>
      </c>
      <c r="S486" s="6">
        <f t="shared" si="161"/>
        <v>0</v>
      </c>
      <c r="T486" s="6">
        <f t="shared" si="162"/>
        <v>0</v>
      </c>
      <c r="U486" s="6">
        <f t="shared" si="163"/>
        <v>0</v>
      </c>
      <c r="V486" s="6">
        <f t="shared" si="164"/>
        <v>0</v>
      </c>
      <c r="W486" s="6">
        <f t="shared" si="165"/>
        <v>0</v>
      </c>
      <c r="X486" s="6">
        <f t="shared" si="166"/>
        <v>0</v>
      </c>
      <c r="Y486" s="6">
        <f t="shared" si="167"/>
        <v>0</v>
      </c>
      <c r="Z486" s="6">
        <f t="shared" si="168"/>
        <v>0</v>
      </c>
      <c r="AB486" s="36" t="str">
        <f>IF(最佳化斷筋點!C486="","",最佳化斷筋點!C486)</f>
        <v/>
      </c>
      <c r="AC486" s="37" t="str">
        <f>IF(最佳化斷筋點!D486="","",最佳化斷筋點!D486)</f>
        <v/>
      </c>
      <c r="AD486" s="37" t="str">
        <f>IF(最佳化斷筋點!E486="","",最佳化斷筋點!E486)</f>
        <v/>
      </c>
      <c r="AE486" s="37" t="str">
        <f>IF(最佳化斷筋點!F486="","",最佳化斷筋點!F486)</f>
        <v/>
      </c>
      <c r="AF486" s="37" t="str">
        <f>IF(最佳化斷筋點!G486="","",最佳化斷筋點!G486)</f>
        <v/>
      </c>
      <c r="AG486" s="37" t="str">
        <f>IF(最佳化斷筋點!H486="","",最佳化斷筋點!H486)</f>
        <v/>
      </c>
      <c r="AH486" s="37" t="str">
        <f>IF(最佳化斷筋點!I486="","",最佳化斷筋點!I486)</f>
        <v/>
      </c>
      <c r="AI486" s="37" t="str">
        <f>IF(最佳化斷筋點!J486="","",最佳化斷筋點!J486)</f>
        <v/>
      </c>
      <c r="AJ486" s="37" t="str">
        <f>IF(最佳化斷筋點!K486="","",最佳化斷筋點!K486)</f>
        <v/>
      </c>
      <c r="AK486" s="37" t="str">
        <f>IF(最佳化斷筋點!L486="","",最佳化斷筋點!L486)</f>
        <v/>
      </c>
      <c r="AL486" s="37" t="str">
        <f>IF(最佳化斷筋點!M486="","",最佳化斷筋點!M486)</f>
        <v/>
      </c>
      <c r="AM486" s="37" t="str">
        <f>IF(最佳化斷筋點!N486="","",最佳化斷筋點!N486)</f>
        <v/>
      </c>
      <c r="AN486" s="37" t="str">
        <f>IF(最佳化斷筋點!O486="","",最佳化斷筋點!O486)</f>
        <v/>
      </c>
      <c r="AO486" s="37" t="str">
        <f>IF(最佳化斷筋點!P486="","",最佳化斷筋點!P486)</f>
        <v/>
      </c>
      <c r="AP486" s="37" t="str">
        <f>IF(最佳化斷筋點!Q486="","",最佳化斷筋點!Q486)</f>
        <v/>
      </c>
      <c r="AQ486" s="37" t="str">
        <f>IF(最佳化斷筋點!R486="","",最佳化斷筋點!R486)</f>
        <v/>
      </c>
      <c r="AR486" s="37" t="str">
        <f>IF(最佳化斷筋點!S486="","",最佳化斷筋點!S486)</f>
        <v/>
      </c>
      <c r="AS486" s="37" t="str">
        <f>IF(最佳化斷筋點!T486="","",最佳化斷筋點!T486)</f>
        <v/>
      </c>
      <c r="AT486" s="37" t="str">
        <f>IF(最佳化斷筋點!U486="","",最佳化斷筋點!U486)</f>
        <v/>
      </c>
      <c r="AU486" s="37" t="str">
        <f>IF(最佳化斷筋點!V486="","",最佳化斷筋點!V486)</f>
        <v/>
      </c>
      <c r="AV486" s="37" t="str">
        <f>IF(最佳化斷筋點!W486="","",最佳化斷筋點!W486)</f>
        <v/>
      </c>
      <c r="AW486" s="37" t="str">
        <f>IF(最佳化斷筋點!X486="","",最佳化斷筋點!X486)</f>
        <v/>
      </c>
      <c r="AZ486" s="37" t="s">
        <v>197</v>
      </c>
      <c r="BA486" s="37" t="s">
        <v>197</v>
      </c>
      <c r="BB486" s="37" t="s">
        <v>197</v>
      </c>
      <c r="BC486" s="37" t="s">
        <v>197</v>
      </c>
      <c r="BD486" s="37" t="s">
        <v>197</v>
      </c>
      <c r="BE486" s="37" t="s">
        <v>197</v>
      </c>
      <c r="BF486" s="37" t="s">
        <v>197</v>
      </c>
      <c r="BG486" s="37" t="s">
        <v>197</v>
      </c>
      <c r="BH486" s="37" t="s">
        <v>197</v>
      </c>
      <c r="BI486" s="37" t="s">
        <v>197</v>
      </c>
      <c r="BJ486" s="37" t="s">
        <v>197</v>
      </c>
      <c r="BK486" s="37" t="s">
        <v>197</v>
      </c>
      <c r="BL486" s="37" t="s">
        <v>197</v>
      </c>
      <c r="BM486" s="37" t="s">
        <v>197</v>
      </c>
      <c r="BN486" s="37" t="s">
        <v>197</v>
      </c>
      <c r="BO486" s="37" t="s">
        <v>197</v>
      </c>
      <c r="BP486" s="37" t="s">
        <v>197</v>
      </c>
      <c r="BQ486" s="37" t="s">
        <v>197</v>
      </c>
      <c r="BR486" s="37" t="s">
        <v>197</v>
      </c>
      <c r="BS486" s="37" t="s">
        <v>197</v>
      </c>
      <c r="BT486" s="37" t="s">
        <v>197</v>
      </c>
    </row>
    <row r="487" spans="5:72" x14ac:dyDescent="0.25">
      <c r="E487" s="6" t="s">
        <v>20</v>
      </c>
      <c r="F487" s="6">
        <f t="shared" si="148"/>
        <v>0</v>
      </c>
      <c r="G487" s="6">
        <f t="shared" si="149"/>
        <v>0</v>
      </c>
      <c r="H487" s="6">
        <f t="shared" si="150"/>
        <v>0</v>
      </c>
      <c r="I487" s="6">
        <f t="shared" si="151"/>
        <v>0</v>
      </c>
      <c r="J487" s="6">
        <f t="shared" si="152"/>
        <v>0</v>
      </c>
      <c r="K487" s="6">
        <f t="shared" si="153"/>
        <v>0</v>
      </c>
      <c r="L487" s="6">
        <f t="shared" si="154"/>
        <v>0</v>
      </c>
      <c r="M487" s="6">
        <f t="shared" si="155"/>
        <v>0</v>
      </c>
      <c r="N487" s="6">
        <f t="shared" si="156"/>
        <v>0</v>
      </c>
      <c r="O487" s="6">
        <f t="shared" si="157"/>
        <v>0</v>
      </c>
      <c r="P487" s="6">
        <f t="shared" si="158"/>
        <v>0</v>
      </c>
      <c r="Q487" s="6">
        <f t="shared" si="159"/>
        <v>0</v>
      </c>
      <c r="R487" s="6">
        <f t="shared" si="160"/>
        <v>0</v>
      </c>
      <c r="S487" s="6">
        <f t="shared" si="161"/>
        <v>0</v>
      </c>
      <c r="T487" s="6">
        <f t="shared" si="162"/>
        <v>0</v>
      </c>
      <c r="U487" s="6">
        <f t="shared" si="163"/>
        <v>0</v>
      </c>
      <c r="V487" s="6">
        <f t="shared" si="164"/>
        <v>0</v>
      </c>
      <c r="W487" s="6">
        <f t="shared" si="165"/>
        <v>0</v>
      </c>
      <c r="X487" s="6">
        <f t="shared" si="166"/>
        <v>0</v>
      </c>
      <c r="Y487" s="6">
        <f t="shared" si="167"/>
        <v>0</v>
      </c>
      <c r="Z487" s="6">
        <f t="shared" si="168"/>
        <v>0</v>
      </c>
      <c r="AB487" s="36" t="str">
        <f>IF(最佳化斷筋點!C487="","",最佳化斷筋點!C487)</f>
        <v>上層</v>
      </c>
      <c r="AC487" s="37">
        <f>IF(最佳化斷筋點!D487="","",最佳化斷筋點!D487)</f>
        <v>8</v>
      </c>
      <c r="AD487" s="37">
        <f>IF(最佳化斷筋點!E487="","",最佳化斷筋點!E487)</f>
        <v>8</v>
      </c>
      <c r="AE487" s="37">
        <f>IF(最佳化斷筋點!F487="","",最佳化斷筋點!F487)</f>
        <v>8</v>
      </c>
      <c r="AF487" s="37">
        <f>IF(最佳化斷筋點!G487="","",最佳化斷筋點!G487)</f>
        <v>8</v>
      </c>
      <c r="AG487" s="37">
        <f>IF(最佳化斷筋點!H487="","",最佳化斷筋點!H487)</f>
        <v>8</v>
      </c>
      <c r="AH487" s="37">
        <f>IF(最佳化斷筋點!I487="","",最佳化斷筋點!I487)</f>
        <v>8</v>
      </c>
      <c r="AI487" s="37">
        <f>IF(最佳化斷筋點!J487="","",最佳化斷筋點!J487)</f>
        <v>8</v>
      </c>
      <c r="AJ487" s="37">
        <f>IF(最佳化斷筋點!K487="","",最佳化斷筋點!K487)</f>
        <v>8</v>
      </c>
      <c r="AK487" s="37">
        <f>IF(最佳化斷筋點!L487="","",最佳化斷筋點!L487)</f>
        <v>8</v>
      </c>
      <c r="AL487" s="37">
        <f>IF(最佳化斷筋點!M487="","",最佳化斷筋點!M487)</f>
        <v>7</v>
      </c>
      <c r="AM487" s="37">
        <f>IF(最佳化斷筋點!N487="","",最佳化斷筋點!N487)</f>
        <v>6</v>
      </c>
      <c r="AN487" s="37">
        <f>IF(最佳化斷筋點!O487="","",最佳化斷筋點!O487)</f>
        <v>6</v>
      </c>
      <c r="AO487" s="37">
        <f>IF(最佳化斷筋點!P487="","",最佳化斷筋點!P487)</f>
        <v>7</v>
      </c>
      <c r="AP487" s="37">
        <f>IF(最佳化斷筋點!Q487="","",最佳化斷筋點!Q487)</f>
        <v>8</v>
      </c>
      <c r="AQ487" s="37">
        <f>IF(最佳化斷筋點!R487="","",最佳化斷筋點!R487)</f>
        <v>8</v>
      </c>
      <c r="AR487" s="37">
        <f>IF(最佳化斷筋點!S487="","",最佳化斷筋點!S487)</f>
        <v>8</v>
      </c>
      <c r="AS487" s="37">
        <f>IF(最佳化斷筋點!T487="","",最佳化斷筋點!T487)</f>
        <v>8</v>
      </c>
      <c r="AT487" s="37">
        <f>IF(最佳化斷筋點!U487="","",最佳化斷筋點!U487)</f>
        <v>8</v>
      </c>
      <c r="AU487" s="37">
        <f>IF(最佳化斷筋點!V487="","",最佳化斷筋點!V487)</f>
        <v>8</v>
      </c>
      <c r="AV487" s="37">
        <f>IF(最佳化斷筋點!W487="","",最佳化斷筋點!W487)</f>
        <v>8</v>
      </c>
      <c r="AW487" s="37">
        <f>IF(最佳化斷筋點!X487="","",最佳化斷筋點!X487)</f>
        <v>8</v>
      </c>
      <c r="AY487" s="6" t="s">
        <v>20</v>
      </c>
      <c r="AZ487" s="37">
        <v>8</v>
      </c>
      <c r="BA487" s="37">
        <v>8</v>
      </c>
      <c r="BB487" s="37">
        <v>8</v>
      </c>
      <c r="BC487" s="37">
        <v>8</v>
      </c>
      <c r="BD487" s="37">
        <v>8</v>
      </c>
      <c r="BE487" s="37">
        <v>8</v>
      </c>
      <c r="BF487" s="37">
        <v>8</v>
      </c>
      <c r="BG487" s="37">
        <v>8</v>
      </c>
      <c r="BH487" s="37">
        <v>8</v>
      </c>
      <c r="BI487" s="37">
        <v>7</v>
      </c>
      <c r="BJ487" s="37">
        <v>6</v>
      </c>
      <c r="BK487" s="37">
        <v>6</v>
      </c>
      <c r="BL487" s="37">
        <v>7</v>
      </c>
      <c r="BM487" s="37">
        <v>8</v>
      </c>
      <c r="BN487" s="37">
        <v>8</v>
      </c>
      <c r="BO487" s="37">
        <v>8</v>
      </c>
      <c r="BP487" s="37">
        <v>8</v>
      </c>
      <c r="BQ487" s="37">
        <v>8</v>
      </c>
      <c r="BR487" s="37">
        <v>8</v>
      </c>
      <c r="BS487" s="37">
        <v>8</v>
      </c>
      <c r="BT487" s="37">
        <v>8</v>
      </c>
    </row>
    <row r="488" spans="5:72" x14ac:dyDescent="0.25">
      <c r="F488" s="6">
        <f t="shared" si="148"/>
        <v>0</v>
      </c>
      <c r="G488" s="6">
        <f t="shared" si="149"/>
        <v>0</v>
      </c>
      <c r="H488" s="6">
        <f t="shared" si="150"/>
        <v>0</v>
      </c>
      <c r="I488" s="6">
        <f t="shared" si="151"/>
        <v>0</v>
      </c>
      <c r="J488" s="6">
        <f t="shared" si="152"/>
        <v>0</v>
      </c>
      <c r="K488" s="6">
        <f t="shared" si="153"/>
        <v>0</v>
      </c>
      <c r="L488" s="6">
        <f t="shared" si="154"/>
        <v>0</v>
      </c>
      <c r="M488" s="6">
        <f t="shared" si="155"/>
        <v>0</v>
      </c>
      <c r="N488" s="6">
        <f t="shared" si="156"/>
        <v>0</v>
      </c>
      <c r="O488" s="6">
        <f t="shared" si="157"/>
        <v>0</v>
      </c>
      <c r="P488" s="6">
        <f t="shared" si="158"/>
        <v>0</v>
      </c>
      <c r="Q488" s="6">
        <f t="shared" si="159"/>
        <v>0</v>
      </c>
      <c r="R488" s="6">
        <f t="shared" si="160"/>
        <v>0</v>
      </c>
      <c r="S488" s="6">
        <f t="shared" si="161"/>
        <v>0</v>
      </c>
      <c r="T488" s="6">
        <f t="shared" si="162"/>
        <v>0</v>
      </c>
      <c r="U488" s="6">
        <f t="shared" si="163"/>
        <v>0</v>
      </c>
      <c r="V488" s="6">
        <f t="shared" si="164"/>
        <v>0</v>
      </c>
      <c r="W488" s="6">
        <f t="shared" si="165"/>
        <v>0</v>
      </c>
      <c r="X488" s="6">
        <f t="shared" si="166"/>
        <v>0</v>
      </c>
      <c r="Y488" s="6">
        <f t="shared" si="167"/>
        <v>0</v>
      </c>
      <c r="Z488" s="6">
        <f t="shared" si="168"/>
        <v>0</v>
      </c>
      <c r="AB488" s="36" t="str">
        <f>IF(最佳化斷筋點!C488="","",最佳化斷筋點!C488)</f>
        <v/>
      </c>
      <c r="AC488" s="37" t="str">
        <f>IF(最佳化斷筋點!D488="","",最佳化斷筋點!D488)</f>
        <v/>
      </c>
      <c r="AD488" s="37" t="str">
        <f>IF(最佳化斷筋點!E488="","",最佳化斷筋點!E488)</f>
        <v/>
      </c>
      <c r="AE488" s="37" t="str">
        <f>IF(最佳化斷筋點!F488="","",最佳化斷筋點!F488)</f>
        <v/>
      </c>
      <c r="AF488" s="37" t="str">
        <f>IF(最佳化斷筋點!G488="","",最佳化斷筋點!G488)</f>
        <v/>
      </c>
      <c r="AG488" s="37" t="str">
        <f>IF(最佳化斷筋點!H488="","",最佳化斷筋點!H488)</f>
        <v/>
      </c>
      <c r="AH488" s="37" t="str">
        <f>IF(最佳化斷筋點!I488="","",最佳化斷筋點!I488)</f>
        <v/>
      </c>
      <c r="AI488" s="37" t="str">
        <f>IF(最佳化斷筋點!J488="","",最佳化斷筋點!J488)</f>
        <v/>
      </c>
      <c r="AJ488" s="37" t="str">
        <f>IF(最佳化斷筋點!K488="","",最佳化斷筋點!K488)</f>
        <v/>
      </c>
      <c r="AK488" s="37" t="str">
        <f>IF(最佳化斷筋點!L488="","",最佳化斷筋點!L488)</f>
        <v/>
      </c>
      <c r="AL488" s="37" t="str">
        <f>IF(最佳化斷筋點!M488="","",最佳化斷筋點!M488)</f>
        <v/>
      </c>
      <c r="AM488" s="37" t="str">
        <f>IF(最佳化斷筋點!N488="","",最佳化斷筋點!N488)</f>
        <v/>
      </c>
      <c r="AN488" s="37" t="str">
        <f>IF(最佳化斷筋點!O488="","",最佳化斷筋點!O488)</f>
        <v/>
      </c>
      <c r="AO488" s="37" t="str">
        <f>IF(最佳化斷筋點!P488="","",最佳化斷筋點!P488)</f>
        <v/>
      </c>
      <c r="AP488" s="37" t="str">
        <f>IF(最佳化斷筋點!Q488="","",最佳化斷筋點!Q488)</f>
        <v/>
      </c>
      <c r="AQ488" s="37" t="str">
        <f>IF(最佳化斷筋點!R488="","",最佳化斷筋點!R488)</f>
        <v/>
      </c>
      <c r="AR488" s="37" t="str">
        <f>IF(最佳化斷筋點!S488="","",最佳化斷筋點!S488)</f>
        <v/>
      </c>
      <c r="AS488" s="37" t="str">
        <f>IF(最佳化斷筋點!T488="","",最佳化斷筋點!T488)</f>
        <v/>
      </c>
      <c r="AT488" s="37" t="str">
        <f>IF(最佳化斷筋點!U488="","",最佳化斷筋點!U488)</f>
        <v/>
      </c>
      <c r="AU488" s="37" t="str">
        <f>IF(最佳化斷筋點!V488="","",最佳化斷筋點!V488)</f>
        <v/>
      </c>
      <c r="AV488" s="37" t="str">
        <f>IF(最佳化斷筋點!W488="","",最佳化斷筋點!W488)</f>
        <v/>
      </c>
      <c r="AW488" s="37" t="str">
        <f>IF(最佳化斷筋點!X488="","",最佳化斷筋點!X488)</f>
        <v/>
      </c>
      <c r="AZ488" s="37" t="s">
        <v>197</v>
      </c>
      <c r="BA488" s="37" t="s">
        <v>197</v>
      </c>
      <c r="BB488" s="37" t="s">
        <v>197</v>
      </c>
      <c r="BC488" s="37" t="s">
        <v>197</v>
      </c>
      <c r="BD488" s="37" t="s">
        <v>197</v>
      </c>
      <c r="BE488" s="37" t="s">
        <v>197</v>
      </c>
      <c r="BF488" s="37" t="s">
        <v>197</v>
      </c>
      <c r="BG488" s="37" t="s">
        <v>197</v>
      </c>
      <c r="BH488" s="37" t="s">
        <v>197</v>
      </c>
      <c r="BI488" s="37" t="s">
        <v>197</v>
      </c>
      <c r="BJ488" s="37" t="s">
        <v>197</v>
      </c>
      <c r="BK488" s="37" t="s">
        <v>197</v>
      </c>
      <c r="BL488" s="37" t="s">
        <v>197</v>
      </c>
      <c r="BM488" s="37" t="s">
        <v>197</v>
      </c>
      <c r="BN488" s="37" t="s">
        <v>197</v>
      </c>
      <c r="BO488" s="37" t="s">
        <v>197</v>
      </c>
      <c r="BP488" s="37" t="s">
        <v>197</v>
      </c>
      <c r="BQ488" s="37" t="s">
        <v>197</v>
      </c>
      <c r="BR488" s="37" t="s">
        <v>197</v>
      </c>
      <c r="BS488" s="37" t="s">
        <v>197</v>
      </c>
      <c r="BT488" s="37" t="s">
        <v>197</v>
      </c>
    </row>
    <row r="489" spans="5:72" x14ac:dyDescent="0.25">
      <c r="E489" s="6" t="s">
        <v>21</v>
      </c>
      <c r="F489" s="6">
        <f t="shared" si="148"/>
        <v>0</v>
      </c>
      <c r="G489" s="6">
        <f t="shared" si="149"/>
        <v>0</v>
      </c>
      <c r="H489" s="6">
        <f t="shared" si="150"/>
        <v>0</v>
      </c>
      <c r="I489" s="6">
        <f t="shared" si="151"/>
        <v>0</v>
      </c>
      <c r="J489" s="6">
        <f t="shared" si="152"/>
        <v>0</v>
      </c>
      <c r="K489" s="6">
        <f t="shared" si="153"/>
        <v>0</v>
      </c>
      <c r="L489" s="6">
        <f t="shared" si="154"/>
        <v>0</v>
      </c>
      <c r="M489" s="6">
        <f t="shared" si="155"/>
        <v>0</v>
      </c>
      <c r="N489" s="6">
        <f t="shared" si="156"/>
        <v>0</v>
      </c>
      <c r="O489" s="6">
        <f t="shared" si="157"/>
        <v>0</v>
      </c>
      <c r="P489" s="6">
        <f t="shared" si="158"/>
        <v>0</v>
      </c>
      <c r="Q489" s="6">
        <f t="shared" si="159"/>
        <v>0</v>
      </c>
      <c r="R489" s="6">
        <f t="shared" si="160"/>
        <v>0</v>
      </c>
      <c r="S489" s="6">
        <f t="shared" si="161"/>
        <v>0</v>
      </c>
      <c r="T489" s="6">
        <f t="shared" si="162"/>
        <v>0</v>
      </c>
      <c r="U489" s="6">
        <f t="shared" si="163"/>
        <v>0</v>
      </c>
      <c r="V489" s="6">
        <f t="shared" si="164"/>
        <v>0</v>
      </c>
      <c r="W489" s="6">
        <f t="shared" si="165"/>
        <v>0</v>
      </c>
      <c r="X489" s="6">
        <f t="shared" si="166"/>
        <v>0</v>
      </c>
      <c r="Y489" s="6">
        <f t="shared" si="167"/>
        <v>0</v>
      </c>
      <c r="Z489" s="6">
        <f t="shared" si="168"/>
        <v>0</v>
      </c>
      <c r="AB489" s="36" t="str">
        <f>IF(最佳化斷筋點!C489="","",最佳化斷筋點!C489)</f>
        <v>下層</v>
      </c>
      <c r="AC489" s="37">
        <f>IF(最佳化斷筋點!D489="","",最佳化斷筋點!D489)</f>
        <v>11</v>
      </c>
      <c r="AD489" s="37">
        <f>IF(最佳化斷筋點!E489="","",最佳化斷筋點!E489)</f>
        <v>11</v>
      </c>
      <c r="AE489" s="37">
        <f>IF(最佳化斷筋點!F489="","",最佳化斷筋點!F489)</f>
        <v>11</v>
      </c>
      <c r="AF489" s="37">
        <f>IF(最佳化斷筋點!G489="","",最佳化斷筋點!G489)</f>
        <v>11</v>
      </c>
      <c r="AG489" s="37">
        <f>IF(最佳化斷筋點!H489="","",最佳化斷筋點!H489)</f>
        <v>11</v>
      </c>
      <c r="AH489" s="37">
        <f>IF(最佳化斷筋點!I489="","",最佳化斷筋點!I489)</f>
        <v>11</v>
      </c>
      <c r="AI489" s="37">
        <f>IF(最佳化斷筋點!J489="","",最佳化斷筋點!J489)</f>
        <v>11</v>
      </c>
      <c r="AJ489" s="37">
        <f>IF(最佳化斷筋點!K489="","",最佳化斷筋點!K489)</f>
        <v>11</v>
      </c>
      <c r="AK489" s="37">
        <f>IF(最佳化斷筋點!L489="","",最佳化斷筋點!L489)</f>
        <v>11</v>
      </c>
      <c r="AL489" s="37">
        <f>IF(最佳化斷筋點!M489="","",最佳化斷筋點!M489)</f>
        <v>11</v>
      </c>
      <c r="AM489" s="37">
        <f>IF(最佳化斷筋點!N489="","",最佳化斷筋點!N489)</f>
        <v>11</v>
      </c>
      <c r="AN489" s="37">
        <f>IF(最佳化斷筋點!O489="","",最佳化斷筋點!O489)</f>
        <v>11</v>
      </c>
      <c r="AO489" s="37">
        <f>IF(最佳化斷筋點!P489="","",最佳化斷筋點!P489)</f>
        <v>11</v>
      </c>
      <c r="AP489" s="37">
        <f>IF(最佳化斷筋點!Q489="","",最佳化斷筋點!Q489)</f>
        <v>11</v>
      </c>
      <c r="AQ489" s="37">
        <f>IF(最佳化斷筋點!R489="","",最佳化斷筋點!R489)</f>
        <v>11</v>
      </c>
      <c r="AR489" s="37">
        <f>IF(最佳化斷筋點!S489="","",最佳化斷筋點!S489)</f>
        <v>11</v>
      </c>
      <c r="AS489" s="37">
        <f>IF(最佳化斷筋點!T489="","",最佳化斷筋點!T489)</f>
        <v>11</v>
      </c>
      <c r="AT489" s="37">
        <f>IF(最佳化斷筋點!U489="","",最佳化斷筋點!U489)</f>
        <v>11</v>
      </c>
      <c r="AU489" s="37">
        <f>IF(最佳化斷筋點!V489="","",最佳化斷筋點!V489)</f>
        <v>11</v>
      </c>
      <c r="AV489" s="37">
        <f>IF(最佳化斷筋點!W489="","",最佳化斷筋點!W489)</f>
        <v>10</v>
      </c>
      <c r="AW489" s="37">
        <f>IF(最佳化斷筋點!X489="","",最佳化斷筋點!X489)</f>
        <v>10</v>
      </c>
      <c r="AY489" s="6" t="s">
        <v>21</v>
      </c>
      <c r="AZ489" s="37">
        <v>11</v>
      </c>
      <c r="BA489" s="37">
        <v>11</v>
      </c>
      <c r="BB489" s="37">
        <v>11</v>
      </c>
      <c r="BC489" s="37">
        <v>11</v>
      </c>
      <c r="BD489" s="37">
        <v>11</v>
      </c>
      <c r="BE489" s="37">
        <v>11</v>
      </c>
      <c r="BF489" s="37">
        <v>11</v>
      </c>
      <c r="BG489" s="37">
        <v>11</v>
      </c>
      <c r="BH489" s="37">
        <v>11</v>
      </c>
      <c r="BI489" s="37">
        <v>11</v>
      </c>
      <c r="BJ489" s="37">
        <v>11</v>
      </c>
      <c r="BK489" s="37">
        <v>11</v>
      </c>
      <c r="BL489" s="37">
        <v>11</v>
      </c>
      <c r="BM489" s="37">
        <v>11</v>
      </c>
      <c r="BN489" s="37">
        <v>11</v>
      </c>
      <c r="BO489" s="37">
        <v>11</v>
      </c>
      <c r="BP489" s="37">
        <v>11</v>
      </c>
      <c r="BQ489" s="37">
        <v>11</v>
      </c>
      <c r="BR489" s="37">
        <v>11</v>
      </c>
      <c r="BS489" s="37">
        <v>10</v>
      </c>
      <c r="BT489" s="37">
        <v>10</v>
      </c>
    </row>
    <row r="490" spans="5:72" x14ac:dyDescent="0.25">
      <c r="F490" s="6">
        <f t="shared" si="148"/>
        <v>0</v>
      </c>
      <c r="G490" s="6">
        <f t="shared" si="149"/>
        <v>0</v>
      </c>
      <c r="H490" s="6">
        <f t="shared" si="150"/>
        <v>0</v>
      </c>
      <c r="I490" s="6">
        <f t="shared" si="151"/>
        <v>0</v>
      </c>
      <c r="J490" s="6">
        <f t="shared" si="152"/>
        <v>0</v>
      </c>
      <c r="K490" s="6">
        <f t="shared" si="153"/>
        <v>0</v>
      </c>
      <c r="L490" s="6">
        <f t="shared" si="154"/>
        <v>0</v>
      </c>
      <c r="M490" s="6">
        <f t="shared" si="155"/>
        <v>0</v>
      </c>
      <c r="N490" s="6">
        <f t="shared" si="156"/>
        <v>0</v>
      </c>
      <c r="O490" s="6">
        <f t="shared" si="157"/>
        <v>0</v>
      </c>
      <c r="P490" s="6">
        <f t="shared" si="158"/>
        <v>0</v>
      </c>
      <c r="Q490" s="6">
        <f t="shared" si="159"/>
        <v>0</v>
      </c>
      <c r="R490" s="6">
        <f t="shared" si="160"/>
        <v>0</v>
      </c>
      <c r="S490" s="6">
        <f t="shared" si="161"/>
        <v>0</v>
      </c>
      <c r="T490" s="6">
        <f t="shared" si="162"/>
        <v>0</v>
      </c>
      <c r="U490" s="6">
        <f t="shared" si="163"/>
        <v>0</v>
      </c>
      <c r="V490" s="6">
        <f t="shared" si="164"/>
        <v>0</v>
      </c>
      <c r="W490" s="6">
        <f t="shared" si="165"/>
        <v>0</v>
      </c>
      <c r="X490" s="6">
        <f t="shared" si="166"/>
        <v>0</v>
      </c>
      <c r="Y490" s="6">
        <f t="shared" si="167"/>
        <v>0</v>
      </c>
      <c r="Z490" s="6">
        <f t="shared" si="168"/>
        <v>0</v>
      </c>
      <c r="AB490" s="36" t="str">
        <f>IF(最佳化斷筋點!C490="","",最佳化斷筋點!C490)</f>
        <v/>
      </c>
      <c r="AC490" s="37" t="str">
        <f>IF(最佳化斷筋點!D490="","",最佳化斷筋點!D490)</f>
        <v/>
      </c>
      <c r="AD490" s="37" t="str">
        <f>IF(最佳化斷筋點!E490="","",最佳化斷筋點!E490)</f>
        <v/>
      </c>
      <c r="AE490" s="37" t="str">
        <f>IF(最佳化斷筋點!F490="","",最佳化斷筋點!F490)</f>
        <v/>
      </c>
      <c r="AF490" s="37" t="str">
        <f>IF(最佳化斷筋點!G490="","",最佳化斷筋點!G490)</f>
        <v/>
      </c>
      <c r="AG490" s="37" t="str">
        <f>IF(最佳化斷筋點!H490="","",最佳化斷筋點!H490)</f>
        <v/>
      </c>
      <c r="AH490" s="37" t="str">
        <f>IF(最佳化斷筋點!I490="","",最佳化斷筋點!I490)</f>
        <v/>
      </c>
      <c r="AI490" s="37" t="str">
        <f>IF(最佳化斷筋點!J490="","",最佳化斷筋點!J490)</f>
        <v/>
      </c>
      <c r="AJ490" s="37" t="str">
        <f>IF(最佳化斷筋點!K490="","",最佳化斷筋點!K490)</f>
        <v/>
      </c>
      <c r="AK490" s="37" t="str">
        <f>IF(最佳化斷筋點!L490="","",最佳化斷筋點!L490)</f>
        <v/>
      </c>
      <c r="AL490" s="37" t="str">
        <f>IF(最佳化斷筋點!M490="","",最佳化斷筋點!M490)</f>
        <v/>
      </c>
      <c r="AM490" s="37" t="str">
        <f>IF(最佳化斷筋點!N490="","",最佳化斷筋點!N490)</f>
        <v/>
      </c>
      <c r="AN490" s="37" t="str">
        <f>IF(最佳化斷筋點!O490="","",最佳化斷筋點!O490)</f>
        <v/>
      </c>
      <c r="AO490" s="37" t="str">
        <f>IF(最佳化斷筋點!P490="","",最佳化斷筋點!P490)</f>
        <v/>
      </c>
      <c r="AP490" s="37" t="str">
        <f>IF(最佳化斷筋點!Q490="","",最佳化斷筋點!Q490)</f>
        <v/>
      </c>
      <c r="AQ490" s="37" t="str">
        <f>IF(最佳化斷筋點!R490="","",最佳化斷筋點!R490)</f>
        <v/>
      </c>
      <c r="AR490" s="37" t="str">
        <f>IF(最佳化斷筋點!S490="","",最佳化斷筋點!S490)</f>
        <v/>
      </c>
      <c r="AS490" s="37" t="str">
        <f>IF(最佳化斷筋點!T490="","",最佳化斷筋點!T490)</f>
        <v/>
      </c>
      <c r="AT490" s="37" t="str">
        <f>IF(最佳化斷筋點!U490="","",最佳化斷筋點!U490)</f>
        <v/>
      </c>
      <c r="AU490" s="37" t="str">
        <f>IF(最佳化斷筋點!V490="","",最佳化斷筋點!V490)</f>
        <v/>
      </c>
      <c r="AV490" s="37" t="str">
        <f>IF(最佳化斷筋點!W490="","",最佳化斷筋點!W490)</f>
        <v/>
      </c>
      <c r="AW490" s="37" t="str">
        <f>IF(最佳化斷筋點!X490="","",最佳化斷筋點!X490)</f>
        <v/>
      </c>
      <c r="AZ490" s="37" t="s">
        <v>197</v>
      </c>
      <c r="BA490" s="37" t="s">
        <v>197</v>
      </c>
      <c r="BB490" s="37" t="s">
        <v>197</v>
      </c>
      <c r="BC490" s="37" t="s">
        <v>197</v>
      </c>
      <c r="BD490" s="37" t="s">
        <v>197</v>
      </c>
      <c r="BE490" s="37" t="s">
        <v>197</v>
      </c>
      <c r="BF490" s="37" t="s">
        <v>197</v>
      </c>
      <c r="BG490" s="37" t="s">
        <v>197</v>
      </c>
      <c r="BH490" s="37" t="s">
        <v>197</v>
      </c>
      <c r="BI490" s="37" t="s">
        <v>197</v>
      </c>
      <c r="BJ490" s="37" t="s">
        <v>197</v>
      </c>
      <c r="BK490" s="37" t="s">
        <v>197</v>
      </c>
      <c r="BL490" s="37" t="s">
        <v>197</v>
      </c>
      <c r="BM490" s="37" t="s">
        <v>197</v>
      </c>
      <c r="BN490" s="37" t="s">
        <v>197</v>
      </c>
      <c r="BO490" s="37" t="s">
        <v>197</v>
      </c>
      <c r="BP490" s="37" t="s">
        <v>197</v>
      </c>
      <c r="BQ490" s="37" t="s">
        <v>197</v>
      </c>
      <c r="BR490" s="37" t="s">
        <v>197</v>
      </c>
      <c r="BS490" s="37" t="s">
        <v>197</v>
      </c>
      <c r="BT490" s="37" t="s">
        <v>197</v>
      </c>
    </row>
    <row r="491" spans="5:72" x14ac:dyDescent="0.25">
      <c r="E491" s="6" t="s">
        <v>20</v>
      </c>
      <c r="F491" s="6">
        <f t="shared" si="148"/>
        <v>0</v>
      </c>
      <c r="G491" s="6">
        <f t="shared" si="149"/>
        <v>0</v>
      </c>
      <c r="H491" s="6">
        <f t="shared" si="150"/>
        <v>0</v>
      </c>
      <c r="I491" s="6">
        <f t="shared" si="151"/>
        <v>0</v>
      </c>
      <c r="J491" s="6">
        <f t="shared" si="152"/>
        <v>0</v>
      </c>
      <c r="K491" s="6">
        <f t="shared" si="153"/>
        <v>0</v>
      </c>
      <c r="L491" s="6">
        <f t="shared" si="154"/>
        <v>0</v>
      </c>
      <c r="M491" s="6">
        <f t="shared" si="155"/>
        <v>0</v>
      </c>
      <c r="N491" s="6">
        <f t="shared" si="156"/>
        <v>0</v>
      </c>
      <c r="O491" s="6">
        <f t="shared" si="157"/>
        <v>0</v>
      </c>
      <c r="P491" s="6">
        <f t="shared" si="158"/>
        <v>0</v>
      </c>
      <c r="Q491" s="6">
        <f t="shared" si="159"/>
        <v>0</v>
      </c>
      <c r="R491" s="6">
        <f t="shared" si="160"/>
        <v>0</v>
      </c>
      <c r="S491" s="6">
        <f t="shared" si="161"/>
        <v>0</v>
      </c>
      <c r="T491" s="6">
        <f t="shared" si="162"/>
        <v>0</v>
      </c>
      <c r="U491" s="6">
        <f t="shared" si="163"/>
        <v>0</v>
      </c>
      <c r="V491" s="6">
        <f t="shared" si="164"/>
        <v>0</v>
      </c>
      <c r="W491" s="6">
        <f t="shared" si="165"/>
        <v>0</v>
      </c>
      <c r="X491" s="6">
        <f t="shared" si="166"/>
        <v>0</v>
      </c>
      <c r="Y491" s="6">
        <f t="shared" si="167"/>
        <v>0</v>
      </c>
      <c r="Z491" s="6">
        <f t="shared" si="168"/>
        <v>0</v>
      </c>
      <c r="AB491" s="36" t="str">
        <f>IF(最佳化斷筋點!C491="","",最佳化斷筋點!C491)</f>
        <v>上層</v>
      </c>
      <c r="AC491" s="37">
        <f>IF(最佳化斷筋點!D491="","",最佳化斷筋點!D491)</f>
        <v>9</v>
      </c>
      <c r="AD491" s="37">
        <f>IF(最佳化斷筋點!E491="","",最佳化斷筋點!E491)</f>
        <v>9</v>
      </c>
      <c r="AE491" s="37">
        <f>IF(最佳化斷筋點!F491="","",最佳化斷筋點!F491)</f>
        <v>9</v>
      </c>
      <c r="AF491" s="37">
        <f>IF(最佳化斷筋點!G491="","",最佳化斷筋點!G491)</f>
        <v>9</v>
      </c>
      <c r="AG491" s="37">
        <f>IF(最佳化斷筋點!H491="","",最佳化斷筋點!H491)</f>
        <v>9</v>
      </c>
      <c r="AH491" s="37">
        <f>IF(最佳化斷筋點!I491="","",最佳化斷筋點!I491)</f>
        <v>9</v>
      </c>
      <c r="AI491" s="37">
        <f>IF(最佳化斷筋點!J491="","",最佳化斷筋點!J491)</f>
        <v>9</v>
      </c>
      <c r="AJ491" s="37">
        <f>IF(最佳化斷筋點!K491="","",最佳化斷筋點!K491)</f>
        <v>3</v>
      </c>
      <c r="AK491" s="37">
        <f>IF(最佳化斷筋點!L491="","",最佳化斷筋點!L491)</f>
        <v>3</v>
      </c>
      <c r="AL491" s="37">
        <f>IF(最佳化斷筋點!M491="","",最佳化斷筋點!M491)</f>
        <v>3</v>
      </c>
      <c r="AM491" s="37">
        <f>IF(最佳化斷筋點!N491="","",最佳化斷筋點!N491)</f>
        <v>3</v>
      </c>
      <c r="AN491" s="37">
        <f>IF(最佳化斷筋點!O491="","",最佳化斷筋點!O491)</f>
        <v>3</v>
      </c>
      <c r="AO491" s="37">
        <f>IF(最佳化斷筋點!P491="","",最佳化斷筋點!P491)</f>
        <v>3</v>
      </c>
      <c r="AP491" s="37">
        <f>IF(最佳化斷筋點!Q491="","",最佳化斷筋點!Q491)</f>
        <v>6</v>
      </c>
      <c r="AQ491" s="37">
        <f>IF(最佳化斷筋點!R491="","",最佳化斷筋點!R491)</f>
        <v>7</v>
      </c>
      <c r="AR491" s="37">
        <f>IF(最佳化斷筋點!S491="","",最佳化斷筋點!S491)</f>
        <v>8</v>
      </c>
      <c r="AS491" s="37">
        <f>IF(最佳化斷筋點!T491="","",最佳化斷筋點!T491)</f>
        <v>8</v>
      </c>
      <c r="AT491" s="37">
        <f>IF(最佳化斷筋點!U491="","",最佳化斷筋點!U491)</f>
        <v>8</v>
      </c>
      <c r="AU491" s="37">
        <f>IF(最佳化斷筋點!V491="","",最佳化斷筋點!V491)</f>
        <v>8</v>
      </c>
      <c r="AV491" s="37">
        <f>IF(最佳化斷筋點!W491="","",最佳化斷筋點!W491)</f>
        <v>8</v>
      </c>
      <c r="AW491" s="37">
        <f>IF(最佳化斷筋點!X491="","",最佳化斷筋點!X491)</f>
        <v>8</v>
      </c>
      <c r="AY491" s="6" t="s">
        <v>20</v>
      </c>
      <c r="AZ491" s="37">
        <v>9</v>
      </c>
      <c r="BA491" s="37">
        <v>9</v>
      </c>
      <c r="BB491" s="37">
        <v>9</v>
      </c>
      <c r="BC491" s="37">
        <v>9</v>
      </c>
      <c r="BD491" s="37">
        <v>9</v>
      </c>
      <c r="BE491" s="37">
        <v>9</v>
      </c>
      <c r="BF491" s="37">
        <v>9</v>
      </c>
      <c r="BG491" s="37">
        <v>3</v>
      </c>
      <c r="BH491" s="37">
        <v>3</v>
      </c>
      <c r="BI491" s="37">
        <v>3</v>
      </c>
      <c r="BJ491" s="37">
        <v>3</v>
      </c>
      <c r="BK491" s="37">
        <v>3</v>
      </c>
      <c r="BL491" s="37">
        <v>3</v>
      </c>
      <c r="BM491" s="37">
        <v>6</v>
      </c>
      <c r="BN491" s="37">
        <v>7</v>
      </c>
      <c r="BO491" s="37">
        <v>8</v>
      </c>
      <c r="BP491" s="37">
        <v>8</v>
      </c>
      <c r="BQ491" s="37">
        <v>8</v>
      </c>
      <c r="BR491" s="37">
        <v>8</v>
      </c>
      <c r="BS491" s="37">
        <v>8</v>
      </c>
      <c r="BT491" s="37">
        <v>8</v>
      </c>
    </row>
    <row r="492" spans="5:72" x14ac:dyDescent="0.25">
      <c r="F492" s="6">
        <f t="shared" si="148"/>
        <v>0</v>
      </c>
      <c r="G492" s="6">
        <f t="shared" si="149"/>
        <v>0</v>
      </c>
      <c r="H492" s="6">
        <f t="shared" si="150"/>
        <v>0</v>
      </c>
      <c r="I492" s="6">
        <f t="shared" si="151"/>
        <v>0</v>
      </c>
      <c r="J492" s="6">
        <f t="shared" si="152"/>
        <v>0</v>
      </c>
      <c r="K492" s="6">
        <f t="shared" si="153"/>
        <v>0</v>
      </c>
      <c r="L492" s="6">
        <f t="shared" si="154"/>
        <v>0</v>
      </c>
      <c r="M492" s="6">
        <f t="shared" si="155"/>
        <v>0</v>
      </c>
      <c r="N492" s="6">
        <f t="shared" si="156"/>
        <v>0</v>
      </c>
      <c r="O492" s="6">
        <f t="shared" si="157"/>
        <v>0</v>
      </c>
      <c r="P492" s="6">
        <f t="shared" si="158"/>
        <v>0</v>
      </c>
      <c r="Q492" s="6">
        <f t="shared" si="159"/>
        <v>0</v>
      </c>
      <c r="R492" s="6">
        <f t="shared" si="160"/>
        <v>0</v>
      </c>
      <c r="S492" s="6">
        <f t="shared" si="161"/>
        <v>0</v>
      </c>
      <c r="T492" s="6">
        <f t="shared" si="162"/>
        <v>0</v>
      </c>
      <c r="U492" s="6">
        <f t="shared" si="163"/>
        <v>0</v>
      </c>
      <c r="V492" s="6">
        <f t="shared" si="164"/>
        <v>0</v>
      </c>
      <c r="W492" s="6">
        <f t="shared" si="165"/>
        <v>0</v>
      </c>
      <c r="X492" s="6">
        <f t="shared" si="166"/>
        <v>0</v>
      </c>
      <c r="Y492" s="6">
        <f t="shared" si="167"/>
        <v>0</v>
      </c>
      <c r="Z492" s="6">
        <f t="shared" si="168"/>
        <v>0</v>
      </c>
      <c r="AB492" s="36" t="str">
        <f>IF(最佳化斷筋點!C492="","",最佳化斷筋點!C492)</f>
        <v/>
      </c>
      <c r="AC492" s="37" t="str">
        <f>IF(最佳化斷筋點!D492="","",最佳化斷筋點!D492)</f>
        <v/>
      </c>
      <c r="AD492" s="37" t="str">
        <f>IF(最佳化斷筋點!E492="","",最佳化斷筋點!E492)</f>
        <v/>
      </c>
      <c r="AE492" s="37" t="str">
        <f>IF(最佳化斷筋點!F492="","",最佳化斷筋點!F492)</f>
        <v/>
      </c>
      <c r="AF492" s="37" t="str">
        <f>IF(最佳化斷筋點!G492="","",最佳化斷筋點!G492)</f>
        <v/>
      </c>
      <c r="AG492" s="37" t="str">
        <f>IF(最佳化斷筋點!H492="","",最佳化斷筋點!H492)</f>
        <v/>
      </c>
      <c r="AH492" s="37" t="str">
        <f>IF(最佳化斷筋點!I492="","",最佳化斷筋點!I492)</f>
        <v/>
      </c>
      <c r="AI492" s="37" t="str">
        <f>IF(最佳化斷筋點!J492="","",最佳化斷筋點!J492)</f>
        <v/>
      </c>
      <c r="AJ492" s="37" t="str">
        <f>IF(最佳化斷筋點!K492="","",最佳化斷筋點!K492)</f>
        <v/>
      </c>
      <c r="AK492" s="37" t="str">
        <f>IF(最佳化斷筋點!L492="","",最佳化斷筋點!L492)</f>
        <v/>
      </c>
      <c r="AL492" s="37" t="str">
        <f>IF(最佳化斷筋點!M492="","",最佳化斷筋點!M492)</f>
        <v/>
      </c>
      <c r="AM492" s="37" t="str">
        <f>IF(最佳化斷筋點!N492="","",最佳化斷筋點!N492)</f>
        <v/>
      </c>
      <c r="AN492" s="37" t="str">
        <f>IF(最佳化斷筋點!O492="","",最佳化斷筋點!O492)</f>
        <v/>
      </c>
      <c r="AO492" s="37" t="str">
        <f>IF(最佳化斷筋點!P492="","",最佳化斷筋點!P492)</f>
        <v/>
      </c>
      <c r="AP492" s="37" t="str">
        <f>IF(最佳化斷筋點!Q492="","",最佳化斷筋點!Q492)</f>
        <v/>
      </c>
      <c r="AQ492" s="37" t="str">
        <f>IF(最佳化斷筋點!R492="","",最佳化斷筋點!R492)</f>
        <v/>
      </c>
      <c r="AR492" s="37" t="str">
        <f>IF(最佳化斷筋點!S492="","",最佳化斷筋點!S492)</f>
        <v/>
      </c>
      <c r="AS492" s="37" t="str">
        <f>IF(最佳化斷筋點!T492="","",最佳化斷筋點!T492)</f>
        <v/>
      </c>
      <c r="AT492" s="37" t="str">
        <f>IF(最佳化斷筋點!U492="","",最佳化斷筋點!U492)</f>
        <v/>
      </c>
      <c r="AU492" s="37" t="str">
        <f>IF(最佳化斷筋點!V492="","",最佳化斷筋點!V492)</f>
        <v/>
      </c>
      <c r="AV492" s="37" t="str">
        <f>IF(最佳化斷筋點!W492="","",最佳化斷筋點!W492)</f>
        <v/>
      </c>
      <c r="AW492" s="37" t="str">
        <f>IF(最佳化斷筋點!X492="","",最佳化斷筋點!X492)</f>
        <v/>
      </c>
      <c r="AZ492" s="37" t="s">
        <v>197</v>
      </c>
      <c r="BA492" s="37" t="s">
        <v>197</v>
      </c>
      <c r="BB492" s="37" t="s">
        <v>197</v>
      </c>
      <c r="BC492" s="37" t="s">
        <v>197</v>
      </c>
      <c r="BD492" s="37" t="s">
        <v>197</v>
      </c>
      <c r="BE492" s="37" t="s">
        <v>197</v>
      </c>
      <c r="BF492" s="37" t="s">
        <v>197</v>
      </c>
      <c r="BG492" s="37" t="s">
        <v>197</v>
      </c>
      <c r="BH492" s="37" t="s">
        <v>197</v>
      </c>
      <c r="BI492" s="37" t="s">
        <v>197</v>
      </c>
      <c r="BJ492" s="37" t="s">
        <v>197</v>
      </c>
      <c r="BK492" s="37" t="s">
        <v>197</v>
      </c>
      <c r="BL492" s="37" t="s">
        <v>197</v>
      </c>
      <c r="BM492" s="37" t="s">
        <v>197</v>
      </c>
      <c r="BN492" s="37" t="s">
        <v>197</v>
      </c>
      <c r="BO492" s="37" t="s">
        <v>197</v>
      </c>
      <c r="BP492" s="37" t="s">
        <v>197</v>
      </c>
      <c r="BQ492" s="37" t="s">
        <v>197</v>
      </c>
      <c r="BR492" s="37" t="s">
        <v>197</v>
      </c>
      <c r="BS492" s="37" t="s">
        <v>197</v>
      </c>
      <c r="BT492" s="37" t="s">
        <v>197</v>
      </c>
    </row>
    <row r="493" spans="5:72" x14ac:dyDescent="0.25">
      <c r="E493" s="6" t="s">
        <v>21</v>
      </c>
      <c r="F493" s="6">
        <f t="shared" si="148"/>
        <v>0</v>
      </c>
      <c r="G493" s="6">
        <f t="shared" si="149"/>
        <v>0</v>
      </c>
      <c r="H493" s="6">
        <f t="shared" si="150"/>
        <v>0</v>
      </c>
      <c r="I493" s="6">
        <f t="shared" si="151"/>
        <v>0</v>
      </c>
      <c r="J493" s="6">
        <f t="shared" si="152"/>
        <v>0</v>
      </c>
      <c r="K493" s="6">
        <f t="shared" si="153"/>
        <v>0</v>
      </c>
      <c r="L493" s="6">
        <f t="shared" si="154"/>
        <v>0</v>
      </c>
      <c r="M493" s="6">
        <f t="shared" si="155"/>
        <v>0</v>
      </c>
      <c r="N493" s="6">
        <f t="shared" si="156"/>
        <v>0</v>
      </c>
      <c r="O493" s="6">
        <f t="shared" si="157"/>
        <v>0</v>
      </c>
      <c r="P493" s="6">
        <f t="shared" si="158"/>
        <v>0</v>
      </c>
      <c r="Q493" s="6">
        <f t="shared" si="159"/>
        <v>0</v>
      </c>
      <c r="R493" s="6">
        <f t="shared" si="160"/>
        <v>0</v>
      </c>
      <c r="S493" s="6">
        <f t="shared" si="161"/>
        <v>0</v>
      </c>
      <c r="T493" s="6">
        <f t="shared" si="162"/>
        <v>0</v>
      </c>
      <c r="U493" s="6">
        <f t="shared" si="163"/>
        <v>0</v>
      </c>
      <c r="V493" s="6">
        <f t="shared" si="164"/>
        <v>0</v>
      </c>
      <c r="W493" s="6">
        <f t="shared" si="165"/>
        <v>0</v>
      </c>
      <c r="X493" s="6">
        <f t="shared" si="166"/>
        <v>0</v>
      </c>
      <c r="Y493" s="6">
        <f t="shared" si="167"/>
        <v>0</v>
      </c>
      <c r="Z493" s="6">
        <f t="shared" si="168"/>
        <v>0</v>
      </c>
      <c r="AB493" s="36" t="str">
        <f>IF(最佳化斷筋點!C493="","",最佳化斷筋點!C493)</f>
        <v>下層</v>
      </c>
      <c r="AC493" s="37">
        <f>IF(最佳化斷筋點!D493="","",最佳化斷筋點!D493)</f>
        <v>10</v>
      </c>
      <c r="AD493" s="37">
        <f>IF(最佳化斷筋點!E493="","",最佳化斷筋點!E493)</f>
        <v>10</v>
      </c>
      <c r="AE493" s="37">
        <f>IF(最佳化斷筋點!F493="","",最佳化斷筋點!F493)</f>
        <v>10</v>
      </c>
      <c r="AF493" s="37">
        <f>IF(最佳化斷筋點!G493="","",最佳化斷筋點!G493)</f>
        <v>10</v>
      </c>
      <c r="AG493" s="37">
        <f>IF(最佳化斷筋點!H493="","",最佳化斷筋點!H493)</f>
        <v>10</v>
      </c>
      <c r="AH493" s="37">
        <f>IF(最佳化斷筋點!I493="","",最佳化斷筋點!I493)</f>
        <v>10</v>
      </c>
      <c r="AI493" s="37">
        <f>IF(最佳化斷筋點!J493="","",最佳化斷筋點!J493)</f>
        <v>9</v>
      </c>
      <c r="AJ493" s="37">
        <f>IF(最佳化斷筋點!K493="","",最佳化斷筋點!K493)</f>
        <v>4</v>
      </c>
      <c r="AK493" s="37">
        <f>IF(最佳化斷筋點!L493="","",最佳化斷筋點!L493)</f>
        <v>4</v>
      </c>
      <c r="AL493" s="37">
        <f>IF(最佳化斷筋點!M493="","",最佳化斷筋點!M493)</f>
        <v>4</v>
      </c>
      <c r="AM493" s="37">
        <f>IF(最佳化斷筋點!N493="","",最佳化斷筋點!N493)</f>
        <v>4</v>
      </c>
      <c r="AN493" s="37">
        <f>IF(最佳化斷筋點!O493="","",最佳化斷筋點!O493)</f>
        <v>4</v>
      </c>
      <c r="AO493" s="37">
        <f>IF(最佳化斷筋點!P493="","",最佳化斷筋點!P493)</f>
        <v>4</v>
      </c>
      <c r="AP493" s="37">
        <f>IF(最佳化斷筋點!Q493="","",最佳化斷筋點!Q493)</f>
        <v>8</v>
      </c>
      <c r="AQ493" s="37">
        <f>IF(最佳化斷筋點!R493="","",最佳化斷筋點!R493)</f>
        <v>9</v>
      </c>
      <c r="AR493" s="37">
        <f>IF(最佳化斷筋點!S493="","",最佳化斷筋點!S493)</f>
        <v>10</v>
      </c>
      <c r="AS493" s="37">
        <f>IF(最佳化斷筋點!T493="","",最佳化斷筋點!T493)</f>
        <v>11</v>
      </c>
      <c r="AT493" s="37">
        <f>IF(最佳化斷筋點!U493="","",最佳化斷筋點!U493)</f>
        <v>11</v>
      </c>
      <c r="AU493" s="37">
        <f>IF(最佳化斷筋點!V493="","",最佳化斷筋點!V493)</f>
        <v>11</v>
      </c>
      <c r="AV493" s="37">
        <f>IF(最佳化斷筋點!W493="","",最佳化斷筋點!W493)</f>
        <v>11</v>
      </c>
      <c r="AW493" s="37">
        <f>IF(最佳化斷筋點!X493="","",最佳化斷筋點!X493)</f>
        <v>11</v>
      </c>
      <c r="AY493" s="6" t="s">
        <v>21</v>
      </c>
      <c r="AZ493" s="37">
        <v>10</v>
      </c>
      <c r="BA493" s="37">
        <v>10</v>
      </c>
      <c r="BB493" s="37">
        <v>10</v>
      </c>
      <c r="BC493" s="37">
        <v>10</v>
      </c>
      <c r="BD493" s="37">
        <v>10</v>
      </c>
      <c r="BE493" s="37">
        <v>10</v>
      </c>
      <c r="BF493" s="37">
        <v>9</v>
      </c>
      <c r="BG493" s="37">
        <v>4</v>
      </c>
      <c r="BH493" s="37">
        <v>4</v>
      </c>
      <c r="BI493" s="37">
        <v>4</v>
      </c>
      <c r="BJ493" s="37">
        <v>4</v>
      </c>
      <c r="BK493" s="37">
        <v>4</v>
      </c>
      <c r="BL493" s="37">
        <v>4</v>
      </c>
      <c r="BM493" s="37">
        <v>8</v>
      </c>
      <c r="BN493" s="37">
        <v>9</v>
      </c>
      <c r="BO493" s="37">
        <v>10</v>
      </c>
      <c r="BP493" s="37">
        <v>11</v>
      </c>
      <c r="BQ493" s="37">
        <v>11</v>
      </c>
      <c r="BR493" s="37">
        <v>11</v>
      </c>
      <c r="BS493" s="37">
        <v>11</v>
      </c>
      <c r="BT493" s="37">
        <v>11</v>
      </c>
    </row>
    <row r="494" spans="5:72" x14ac:dyDescent="0.25">
      <c r="F494" s="6">
        <f t="shared" si="148"/>
        <v>0</v>
      </c>
      <c r="G494" s="6">
        <f t="shared" si="149"/>
        <v>0</v>
      </c>
      <c r="H494" s="6">
        <f t="shared" si="150"/>
        <v>0</v>
      </c>
      <c r="I494" s="6">
        <f t="shared" si="151"/>
        <v>0</v>
      </c>
      <c r="J494" s="6">
        <f t="shared" si="152"/>
        <v>0</v>
      </c>
      <c r="K494" s="6">
        <f t="shared" si="153"/>
        <v>0</v>
      </c>
      <c r="L494" s="6">
        <f t="shared" si="154"/>
        <v>0</v>
      </c>
      <c r="M494" s="6">
        <f t="shared" si="155"/>
        <v>0</v>
      </c>
      <c r="N494" s="6">
        <f t="shared" si="156"/>
        <v>0</v>
      </c>
      <c r="O494" s="6">
        <f t="shared" si="157"/>
        <v>0</v>
      </c>
      <c r="P494" s="6">
        <f t="shared" si="158"/>
        <v>0</v>
      </c>
      <c r="Q494" s="6">
        <f t="shared" si="159"/>
        <v>0</v>
      </c>
      <c r="R494" s="6">
        <f t="shared" si="160"/>
        <v>0</v>
      </c>
      <c r="S494" s="6">
        <f t="shared" si="161"/>
        <v>0</v>
      </c>
      <c r="T494" s="6">
        <f t="shared" si="162"/>
        <v>0</v>
      </c>
      <c r="U494" s="6">
        <f t="shared" si="163"/>
        <v>0</v>
      </c>
      <c r="V494" s="6">
        <f t="shared" si="164"/>
        <v>0</v>
      </c>
      <c r="W494" s="6">
        <f t="shared" si="165"/>
        <v>0</v>
      </c>
      <c r="X494" s="6">
        <f t="shared" si="166"/>
        <v>0</v>
      </c>
      <c r="Y494" s="6">
        <f t="shared" si="167"/>
        <v>0</v>
      </c>
      <c r="Z494" s="6">
        <f t="shared" si="168"/>
        <v>0</v>
      </c>
      <c r="AB494" s="36" t="str">
        <f>IF(最佳化斷筋點!C494="","",最佳化斷筋點!C494)</f>
        <v/>
      </c>
      <c r="AC494" s="37" t="str">
        <f>IF(最佳化斷筋點!D494="","",最佳化斷筋點!D494)</f>
        <v/>
      </c>
      <c r="AD494" s="37" t="str">
        <f>IF(最佳化斷筋點!E494="","",最佳化斷筋點!E494)</f>
        <v/>
      </c>
      <c r="AE494" s="37" t="str">
        <f>IF(最佳化斷筋點!F494="","",最佳化斷筋點!F494)</f>
        <v/>
      </c>
      <c r="AF494" s="37" t="str">
        <f>IF(最佳化斷筋點!G494="","",最佳化斷筋點!G494)</f>
        <v/>
      </c>
      <c r="AG494" s="37" t="str">
        <f>IF(最佳化斷筋點!H494="","",最佳化斷筋點!H494)</f>
        <v/>
      </c>
      <c r="AH494" s="37" t="str">
        <f>IF(最佳化斷筋點!I494="","",最佳化斷筋點!I494)</f>
        <v/>
      </c>
      <c r="AI494" s="37" t="str">
        <f>IF(最佳化斷筋點!J494="","",最佳化斷筋點!J494)</f>
        <v/>
      </c>
      <c r="AJ494" s="37" t="str">
        <f>IF(最佳化斷筋點!K494="","",最佳化斷筋點!K494)</f>
        <v/>
      </c>
      <c r="AK494" s="37" t="str">
        <f>IF(最佳化斷筋點!L494="","",最佳化斷筋點!L494)</f>
        <v/>
      </c>
      <c r="AL494" s="37" t="str">
        <f>IF(最佳化斷筋點!M494="","",最佳化斷筋點!M494)</f>
        <v/>
      </c>
      <c r="AM494" s="37" t="str">
        <f>IF(最佳化斷筋點!N494="","",最佳化斷筋點!N494)</f>
        <v/>
      </c>
      <c r="AN494" s="37" t="str">
        <f>IF(最佳化斷筋點!O494="","",最佳化斷筋點!O494)</f>
        <v/>
      </c>
      <c r="AO494" s="37" t="str">
        <f>IF(最佳化斷筋點!P494="","",最佳化斷筋點!P494)</f>
        <v/>
      </c>
      <c r="AP494" s="37" t="str">
        <f>IF(最佳化斷筋點!Q494="","",最佳化斷筋點!Q494)</f>
        <v/>
      </c>
      <c r="AQ494" s="37" t="str">
        <f>IF(最佳化斷筋點!R494="","",最佳化斷筋點!R494)</f>
        <v/>
      </c>
      <c r="AR494" s="37" t="str">
        <f>IF(最佳化斷筋點!S494="","",最佳化斷筋點!S494)</f>
        <v/>
      </c>
      <c r="AS494" s="37" t="str">
        <f>IF(最佳化斷筋點!T494="","",最佳化斷筋點!T494)</f>
        <v/>
      </c>
      <c r="AT494" s="37" t="str">
        <f>IF(最佳化斷筋點!U494="","",最佳化斷筋點!U494)</f>
        <v/>
      </c>
      <c r="AU494" s="37" t="str">
        <f>IF(最佳化斷筋點!V494="","",最佳化斷筋點!V494)</f>
        <v/>
      </c>
      <c r="AV494" s="37" t="str">
        <f>IF(最佳化斷筋點!W494="","",最佳化斷筋點!W494)</f>
        <v/>
      </c>
      <c r="AW494" s="37" t="str">
        <f>IF(最佳化斷筋點!X494="","",最佳化斷筋點!X494)</f>
        <v/>
      </c>
      <c r="AZ494" s="37" t="s">
        <v>197</v>
      </c>
      <c r="BA494" s="37" t="s">
        <v>197</v>
      </c>
      <c r="BB494" s="37" t="s">
        <v>197</v>
      </c>
      <c r="BC494" s="37" t="s">
        <v>197</v>
      </c>
      <c r="BD494" s="37" t="s">
        <v>197</v>
      </c>
      <c r="BE494" s="37" t="s">
        <v>197</v>
      </c>
      <c r="BF494" s="37" t="s">
        <v>197</v>
      </c>
      <c r="BG494" s="37" t="s">
        <v>197</v>
      </c>
      <c r="BH494" s="37" t="s">
        <v>197</v>
      </c>
      <c r="BI494" s="37" t="s">
        <v>197</v>
      </c>
      <c r="BJ494" s="37" t="s">
        <v>197</v>
      </c>
      <c r="BK494" s="37" t="s">
        <v>197</v>
      </c>
      <c r="BL494" s="37" t="s">
        <v>197</v>
      </c>
      <c r="BM494" s="37" t="s">
        <v>197</v>
      </c>
      <c r="BN494" s="37" t="s">
        <v>197</v>
      </c>
      <c r="BO494" s="37" t="s">
        <v>197</v>
      </c>
      <c r="BP494" s="37" t="s">
        <v>197</v>
      </c>
      <c r="BQ494" s="37" t="s">
        <v>197</v>
      </c>
      <c r="BR494" s="37" t="s">
        <v>197</v>
      </c>
      <c r="BS494" s="37" t="s">
        <v>197</v>
      </c>
      <c r="BT494" s="37" t="s">
        <v>197</v>
      </c>
    </row>
    <row r="495" spans="5:72" x14ac:dyDescent="0.25">
      <c r="E495" s="6" t="s">
        <v>20</v>
      </c>
      <c r="F495" s="6">
        <f t="shared" si="148"/>
        <v>0</v>
      </c>
      <c r="G495" s="6">
        <f t="shared" si="149"/>
        <v>0</v>
      </c>
      <c r="H495" s="6">
        <f t="shared" si="150"/>
        <v>0</v>
      </c>
      <c r="I495" s="6">
        <f t="shared" si="151"/>
        <v>0</v>
      </c>
      <c r="J495" s="6">
        <f t="shared" si="152"/>
        <v>0</v>
      </c>
      <c r="K495" s="6">
        <f t="shared" si="153"/>
        <v>0</v>
      </c>
      <c r="L495" s="6">
        <f t="shared" si="154"/>
        <v>0</v>
      </c>
      <c r="M495" s="6">
        <f t="shared" si="155"/>
        <v>0</v>
      </c>
      <c r="N495" s="6">
        <f t="shared" si="156"/>
        <v>0</v>
      </c>
      <c r="O495" s="6">
        <f t="shared" si="157"/>
        <v>0</v>
      </c>
      <c r="P495" s="6">
        <f t="shared" si="158"/>
        <v>0</v>
      </c>
      <c r="Q495" s="6">
        <f t="shared" si="159"/>
        <v>0</v>
      </c>
      <c r="R495" s="6">
        <f t="shared" si="160"/>
        <v>0</v>
      </c>
      <c r="S495" s="6">
        <f t="shared" si="161"/>
        <v>0</v>
      </c>
      <c r="T495" s="6">
        <f t="shared" si="162"/>
        <v>0</v>
      </c>
      <c r="U495" s="6">
        <f t="shared" si="163"/>
        <v>0</v>
      </c>
      <c r="V495" s="6">
        <f t="shared" si="164"/>
        <v>0</v>
      </c>
      <c r="W495" s="6">
        <f t="shared" si="165"/>
        <v>0</v>
      </c>
      <c r="X495" s="6">
        <f t="shared" si="166"/>
        <v>0</v>
      </c>
      <c r="Y495" s="6">
        <f t="shared" si="167"/>
        <v>0</v>
      </c>
      <c r="Z495" s="6">
        <f t="shared" si="168"/>
        <v>0</v>
      </c>
      <c r="AB495" s="36" t="str">
        <f>IF(最佳化斷筋點!C495="","",最佳化斷筋點!C495)</f>
        <v>上層</v>
      </c>
      <c r="AC495" s="37">
        <f>IF(最佳化斷筋點!D495="","",最佳化斷筋點!D495)</f>
        <v>8</v>
      </c>
      <c r="AD495" s="37">
        <f>IF(最佳化斷筋點!E495="","",最佳化斷筋點!E495)</f>
        <v>8</v>
      </c>
      <c r="AE495" s="37">
        <f>IF(最佳化斷筋點!F495="","",最佳化斷筋點!F495)</f>
        <v>8</v>
      </c>
      <c r="AF495" s="37">
        <f>IF(最佳化斷筋點!G495="","",最佳化斷筋點!G495)</f>
        <v>8</v>
      </c>
      <c r="AG495" s="37">
        <f>IF(最佳化斷筋點!H495="","",最佳化斷筋點!H495)</f>
        <v>8</v>
      </c>
      <c r="AH495" s="37">
        <f>IF(最佳化斷筋點!I495="","",最佳化斷筋點!I495)</f>
        <v>8</v>
      </c>
      <c r="AI495" s="37">
        <f>IF(最佳化斷筋點!J495="","",最佳化斷筋點!J495)</f>
        <v>8</v>
      </c>
      <c r="AJ495" s="37">
        <f>IF(最佳化斷筋點!K495="","",最佳化斷筋點!K495)</f>
        <v>7</v>
      </c>
      <c r="AK495" s="37">
        <f>IF(最佳化斷筋點!L495="","",最佳化斷筋點!L495)</f>
        <v>7</v>
      </c>
      <c r="AL495" s="37">
        <f>IF(最佳化斷筋點!M495="","",最佳化斷筋點!M495)</f>
        <v>7</v>
      </c>
      <c r="AM495" s="37">
        <f>IF(最佳化斷筋點!N495="","",最佳化斷筋點!N495)</f>
        <v>6</v>
      </c>
      <c r="AN495" s="37">
        <f>IF(最佳化斷筋點!O495="","",最佳化斷筋點!O495)</f>
        <v>6</v>
      </c>
      <c r="AO495" s="37">
        <f>IF(最佳化斷筋點!P495="","",最佳化斷筋點!P495)</f>
        <v>5</v>
      </c>
      <c r="AP495" s="37">
        <f>IF(最佳化斷筋點!Q495="","",最佳化斷筋點!Q495)</f>
        <v>6</v>
      </c>
      <c r="AQ495" s="37">
        <f>IF(最佳化斷筋點!R495="","",最佳化斷筋點!R495)</f>
        <v>6</v>
      </c>
      <c r="AR495" s="37">
        <f>IF(最佳化斷筋點!S495="","",最佳化斷筋點!S495)</f>
        <v>7</v>
      </c>
      <c r="AS495" s="37">
        <f>IF(最佳化斷筋點!T495="","",最佳化斷筋點!T495)</f>
        <v>7</v>
      </c>
      <c r="AT495" s="37">
        <f>IF(最佳化斷筋點!U495="","",最佳化斷筋點!U495)</f>
        <v>7</v>
      </c>
      <c r="AU495" s="37">
        <f>IF(最佳化斷筋點!V495="","",最佳化斷筋點!V495)</f>
        <v>7</v>
      </c>
      <c r="AV495" s="37">
        <f>IF(最佳化斷筋點!W495="","",最佳化斷筋點!W495)</f>
        <v>7</v>
      </c>
      <c r="AW495" s="37">
        <f>IF(最佳化斷筋點!X495="","",最佳化斷筋點!X495)</f>
        <v>7</v>
      </c>
      <c r="AY495" s="6" t="s">
        <v>20</v>
      </c>
      <c r="AZ495" s="37">
        <v>8</v>
      </c>
      <c r="BA495" s="37">
        <v>8</v>
      </c>
      <c r="BB495" s="37">
        <v>8</v>
      </c>
      <c r="BC495" s="37">
        <v>8</v>
      </c>
      <c r="BD495" s="37">
        <v>8</v>
      </c>
      <c r="BE495" s="37">
        <v>8</v>
      </c>
      <c r="BF495" s="37">
        <v>8</v>
      </c>
      <c r="BG495" s="37">
        <v>7</v>
      </c>
      <c r="BH495" s="37">
        <v>7</v>
      </c>
      <c r="BI495" s="37">
        <v>7</v>
      </c>
      <c r="BJ495" s="37">
        <v>6</v>
      </c>
      <c r="BK495" s="37">
        <v>6</v>
      </c>
      <c r="BL495" s="37">
        <v>5</v>
      </c>
      <c r="BM495" s="37">
        <v>6</v>
      </c>
      <c r="BN495" s="37">
        <v>6</v>
      </c>
      <c r="BO495" s="37">
        <v>7</v>
      </c>
      <c r="BP495" s="37">
        <v>7</v>
      </c>
      <c r="BQ495" s="37">
        <v>7</v>
      </c>
      <c r="BR495" s="37">
        <v>7</v>
      </c>
      <c r="BS495" s="37">
        <v>7</v>
      </c>
      <c r="BT495" s="37">
        <v>7</v>
      </c>
    </row>
    <row r="496" spans="5:72" x14ac:dyDescent="0.25">
      <c r="F496" s="6">
        <f t="shared" si="148"/>
        <v>0</v>
      </c>
      <c r="G496" s="6">
        <f t="shared" si="149"/>
        <v>0</v>
      </c>
      <c r="H496" s="6">
        <f t="shared" si="150"/>
        <v>0</v>
      </c>
      <c r="I496" s="6">
        <f t="shared" si="151"/>
        <v>0</v>
      </c>
      <c r="J496" s="6">
        <f t="shared" si="152"/>
        <v>0</v>
      </c>
      <c r="K496" s="6">
        <f t="shared" si="153"/>
        <v>0</v>
      </c>
      <c r="L496" s="6">
        <f t="shared" si="154"/>
        <v>0</v>
      </c>
      <c r="M496" s="6">
        <f t="shared" si="155"/>
        <v>0</v>
      </c>
      <c r="N496" s="6">
        <f t="shared" si="156"/>
        <v>0</v>
      </c>
      <c r="O496" s="6">
        <f t="shared" si="157"/>
        <v>0</v>
      </c>
      <c r="P496" s="6">
        <f t="shared" si="158"/>
        <v>0</v>
      </c>
      <c r="Q496" s="6">
        <f t="shared" si="159"/>
        <v>0</v>
      </c>
      <c r="R496" s="6">
        <f t="shared" si="160"/>
        <v>0</v>
      </c>
      <c r="S496" s="6">
        <f t="shared" si="161"/>
        <v>0</v>
      </c>
      <c r="T496" s="6">
        <f t="shared" si="162"/>
        <v>0</v>
      </c>
      <c r="U496" s="6">
        <f t="shared" si="163"/>
        <v>0</v>
      </c>
      <c r="V496" s="6">
        <f t="shared" si="164"/>
        <v>0</v>
      </c>
      <c r="W496" s="6">
        <f t="shared" si="165"/>
        <v>0</v>
      </c>
      <c r="X496" s="6">
        <f t="shared" si="166"/>
        <v>0</v>
      </c>
      <c r="Y496" s="6">
        <f t="shared" si="167"/>
        <v>0</v>
      </c>
      <c r="Z496" s="6">
        <f t="shared" si="168"/>
        <v>0</v>
      </c>
      <c r="AB496" s="36" t="str">
        <f>IF(最佳化斷筋點!C496="","",最佳化斷筋點!C496)</f>
        <v/>
      </c>
      <c r="AC496" s="37" t="str">
        <f>IF(最佳化斷筋點!D496="","",最佳化斷筋點!D496)</f>
        <v/>
      </c>
      <c r="AD496" s="37" t="str">
        <f>IF(最佳化斷筋點!E496="","",最佳化斷筋點!E496)</f>
        <v/>
      </c>
      <c r="AE496" s="37" t="str">
        <f>IF(最佳化斷筋點!F496="","",最佳化斷筋點!F496)</f>
        <v/>
      </c>
      <c r="AF496" s="37" t="str">
        <f>IF(最佳化斷筋點!G496="","",最佳化斷筋點!G496)</f>
        <v/>
      </c>
      <c r="AG496" s="37" t="str">
        <f>IF(最佳化斷筋點!H496="","",最佳化斷筋點!H496)</f>
        <v/>
      </c>
      <c r="AH496" s="37" t="str">
        <f>IF(最佳化斷筋點!I496="","",最佳化斷筋點!I496)</f>
        <v/>
      </c>
      <c r="AI496" s="37" t="str">
        <f>IF(最佳化斷筋點!J496="","",最佳化斷筋點!J496)</f>
        <v/>
      </c>
      <c r="AJ496" s="37" t="str">
        <f>IF(最佳化斷筋點!K496="","",最佳化斷筋點!K496)</f>
        <v/>
      </c>
      <c r="AK496" s="37" t="str">
        <f>IF(最佳化斷筋點!L496="","",最佳化斷筋點!L496)</f>
        <v/>
      </c>
      <c r="AL496" s="37" t="str">
        <f>IF(最佳化斷筋點!M496="","",最佳化斷筋點!M496)</f>
        <v/>
      </c>
      <c r="AM496" s="37" t="str">
        <f>IF(最佳化斷筋點!N496="","",最佳化斷筋點!N496)</f>
        <v/>
      </c>
      <c r="AN496" s="37" t="str">
        <f>IF(最佳化斷筋點!O496="","",最佳化斷筋點!O496)</f>
        <v/>
      </c>
      <c r="AO496" s="37" t="str">
        <f>IF(最佳化斷筋點!P496="","",最佳化斷筋點!P496)</f>
        <v/>
      </c>
      <c r="AP496" s="37" t="str">
        <f>IF(最佳化斷筋點!Q496="","",最佳化斷筋點!Q496)</f>
        <v/>
      </c>
      <c r="AQ496" s="37" t="str">
        <f>IF(最佳化斷筋點!R496="","",最佳化斷筋點!R496)</f>
        <v/>
      </c>
      <c r="AR496" s="37" t="str">
        <f>IF(最佳化斷筋點!S496="","",最佳化斷筋點!S496)</f>
        <v/>
      </c>
      <c r="AS496" s="37" t="str">
        <f>IF(最佳化斷筋點!T496="","",最佳化斷筋點!T496)</f>
        <v/>
      </c>
      <c r="AT496" s="37" t="str">
        <f>IF(最佳化斷筋點!U496="","",最佳化斷筋點!U496)</f>
        <v/>
      </c>
      <c r="AU496" s="37" t="str">
        <f>IF(最佳化斷筋點!V496="","",最佳化斷筋點!V496)</f>
        <v/>
      </c>
      <c r="AV496" s="37" t="str">
        <f>IF(最佳化斷筋點!W496="","",最佳化斷筋點!W496)</f>
        <v/>
      </c>
      <c r="AW496" s="37" t="str">
        <f>IF(最佳化斷筋點!X496="","",最佳化斷筋點!X496)</f>
        <v/>
      </c>
      <c r="AZ496" s="37" t="s">
        <v>197</v>
      </c>
      <c r="BA496" s="37" t="s">
        <v>197</v>
      </c>
      <c r="BB496" s="37" t="s">
        <v>197</v>
      </c>
      <c r="BC496" s="37" t="s">
        <v>197</v>
      </c>
      <c r="BD496" s="37" t="s">
        <v>197</v>
      </c>
      <c r="BE496" s="37" t="s">
        <v>197</v>
      </c>
      <c r="BF496" s="37" t="s">
        <v>197</v>
      </c>
      <c r="BG496" s="37" t="s">
        <v>197</v>
      </c>
      <c r="BH496" s="37" t="s">
        <v>197</v>
      </c>
      <c r="BI496" s="37" t="s">
        <v>197</v>
      </c>
      <c r="BJ496" s="37" t="s">
        <v>197</v>
      </c>
      <c r="BK496" s="37" t="s">
        <v>197</v>
      </c>
      <c r="BL496" s="37" t="s">
        <v>197</v>
      </c>
      <c r="BM496" s="37" t="s">
        <v>197</v>
      </c>
      <c r="BN496" s="37" t="s">
        <v>197</v>
      </c>
      <c r="BO496" s="37" t="s">
        <v>197</v>
      </c>
      <c r="BP496" s="37" t="s">
        <v>197</v>
      </c>
      <c r="BQ496" s="37" t="s">
        <v>197</v>
      </c>
      <c r="BR496" s="37" t="s">
        <v>197</v>
      </c>
      <c r="BS496" s="37" t="s">
        <v>197</v>
      </c>
      <c r="BT496" s="37" t="s">
        <v>197</v>
      </c>
    </row>
    <row r="497" spans="5:72" x14ac:dyDescent="0.25">
      <c r="E497" s="6" t="s">
        <v>21</v>
      </c>
      <c r="F497" s="6">
        <f t="shared" si="148"/>
        <v>0</v>
      </c>
      <c r="G497" s="6">
        <f t="shared" si="149"/>
        <v>0</v>
      </c>
      <c r="H497" s="6">
        <f t="shared" si="150"/>
        <v>0</v>
      </c>
      <c r="I497" s="6">
        <f t="shared" si="151"/>
        <v>0</v>
      </c>
      <c r="J497" s="6">
        <f t="shared" si="152"/>
        <v>0</v>
      </c>
      <c r="K497" s="6">
        <f t="shared" si="153"/>
        <v>0</v>
      </c>
      <c r="L497" s="6">
        <f t="shared" si="154"/>
        <v>0</v>
      </c>
      <c r="M497" s="6">
        <f t="shared" si="155"/>
        <v>0</v>
      </c>
      <c r="N497" s="6">
        <f t="shared" si="156"/>
        <v>0</v>
      </c>
      <c r="O497" s="6">
        <f t="shared" si="157"/>
        <v>0</v>
      </c>
      <c r="P497" s="6">
        <f t="shared" si="158"/>
        <v>0</v>
      </c>
      <c r="Q497" s="6">
        <f t="shared" si="159"/>
        <v>0</v>
      </c>
      <c r="R497" s="6">
        <f t="shared" si="160"/>
        <v>0</v>
      </c>
      <c r="S497" s="6">
        <f t="shared" si="161"/>
        <v>0</v>
      </c>
      <c r="T497" s="6">
        <f t="shared" si="162"/>
        <v>0</v>
      </c>
      <c r="U497" s="6">
        <f t="shared" si="163"/>
        <v>0</v>
      </c>
      <c r="V497" s="6">
        <f t="shared" si="164"/>
        <v>0</v>
      </c>
      <c r="W497" s="6">
        <f t="shared" si="165"/>
        <v>0</v>
      </c>
      <c r="X497" s="6">
        <f t="shared" si="166"/>
        <v>0</v>
      </c>
      <c r="Y497" s="6">
        <f t="shared" si="167"/>
        <v>0</v>
      </c>
      <c r="Z497" s="6">
        <f t="shared" si="168"/>
        <v>0</v>
      </c>
      <c r="AB497" s="36" t="str">
        <f>IF(最佳化斷筋點!C497="","",最佳化斷筋點!C497)</f>
        <v>下層</v>
      </c>
      <c r="AC497" s="37">
        <f>IF(最佳化斷筋點!D497="","",最佳化斷筋點!D497)</f>
        <v>10</v>
      </c>
      <c r="AD497" s="37">
        <f>IF(最佳化斷筋點!E497="","",最佳化斷筋點!E497)</f>
        <v>10</v>
      </c>
      <c r="AE497" s="37">
        <f>IF(最佳化斷筋點!F497="","",最佳化斷筋點!F497)</f>
        <v>10</v>
      </c>
      <c r="AF497" s="37">
        <f>IF(最佳化斷筋點!G497="","",最佳化斷筋點!G497)</f>
        <v>10</v>
      </c>
      <c r="AG497" s="37">
        <f>IF(最佳化斷筋點!H497="","",最佳化斷筋點!H497)</f>
        <v>10</v>
      </c>
      <c r="AH497" s="37">
        <f>IF(最佳化斷筋點!I497="","",最佳化斷筋點!I497)</f>
        <v>10</v>
      </c>
      <c r="AI497" s="37">
        <f>IF(最佳化斷筋點!J497="","",最佳化斷筋點!J497)</f>
        <v>10</v>
      </c>
      <c r="AJ497" s="37">
        <f>IF(最佳化斷筋點!K497="","",最佳化斷筋點!K497)</f>
        <v>10</v>
      </c>
      <c r="AK497" s="37">
        <f>IF(最佳化斷筋點!L497="","",最佳化斷筋點!L497)</f>
        <v>10</v>
      </c>
      <c r="AL497" s="37">
        <f>IF(最佳化斷筋點!M497="","",最佳化斷筋點!M497)</f>
        <v>10</v>
      </c>
      <c r="AM497" s="37">
        <f>IF(最佳化斷筋點!N497="","",最佳化斷筋點!N497)</f>
        <v>10</v>
      </c>
      <c r="AN497" s="37">
        <f>IF(最佳化斷筋點!O497="","",最佳化斷筋點!O497)</f>
        <v>10</v>
      </c>
      <c r="AO497" s="37">
        <f>IF(最佳化斷筋點!P497="","",最佳化斷筋點!P497)</f>
        <v>10</v>
      </c>
      <c r="AP497" s="37">
        <f>IF(最佳化斷筋點!Q497="","",最佳化斷筋點!Q497)</f>
        <v>10</v>
      </c>
      <c r="AQ497" s="37">
        <f>IF(最佳化斷筋點!R497="","",最佳化斷筋點!R497)</f>
        <v>10</v>
      </c>
      <c r="AR497" s="37">
        <f>IF(最佳化斷筋點!S497="","",最佳化斷筋點!S497)</f>
        <v>10</v>
      </c>
      <c r="AS497" s="37">
        <f>IF(最佳化斷筋點!T497="","",最佳化斷筋點!T497)</f>
        <v>11</v>
      </c>
      <c r="AT497" s="37">
        <f>IF(最佳化斷筋點!U497="","",最佳化斷筋點!U497)</f>
        <v>11</v>
      </c>
      <c r="AU497" s="37">
        <f>IF(最佳化斷筋點!V497="","",最佳化斷筋點!V497)</f>
        <v>11</v>
      </c>
      <c r="AV497" s="37">
        <f>IF(最佳化斷筋點!W497="","",最佳化斷筋點!W497)</f>
        <v>11</v>
      </c>
      <c r="AW497" s="37">
        <f>IF(最佳化斷筋點!X497="","",最佳化斷筋點!X497)</f>
        <v>11</v>
      </c>
      <c r="AY497" s="6" t="s">
        <v>21</v>
      </c>
      <c r="AZ497" s="37">
        <v>10</v>
      </c>
      <c r="BA497" s="37">
        <v>10</v>
      </c>
      <c r="BB497" s="37">
        <v>10</v>
      </c>
      <c r="BC497" s="37">
        <v>10</v>
      </c>
      <c r="BD497" s="37">
        <v>10</v>
      </c>
      <c r="BE497" s="37">
        <v>10</v>
      </c>
      <c r="BF497" s="37">
        <v>10</v>
      </c>
      <c r="BG497" s="37">
        <v>10</v>
      </c>
      <c r="BH497" s="37">
        <v>10</v>
      </c>
      <c r="BI497" s="37">
        <v>10</v>
      </c>
      <c r="BJ497" s="37">
        <v>10</v>
      </c>
      <c r="BK497" s="37">
        <v>10</v>
      </c>
      <c r="BL497" s="37">
        <v>10</v>
      </c>
      <c r="BM497" s="37">
        <v>10</v>
      </c>
      <c r="BN497" s="37">
        <v>10</v>
      </c>
      <c r="BO497" s="37">
        <v>10</v>
      </c>
      <c r="BP497" s="37">
        <v>11</v>
      </c>
      <c r="BQ497" s="37">
        <v>11</v>
      </c>
      <c r="BR497" s="37">
        <v>11</v>
      </c>
      <c r="BS497" s="37">
        <v>11</v>
      </c>
      <c r="BT497" s="37">
        <v>11</v>
      </c>
    </row>
    <row r="498" spans="5:72" x14ac:dyDescent="0.25">
      <c r="F498" s="6">
        <f t="shared" si="148"/>
        <v>0</v>
      </c>
      <c r="G498" s="6">
        <f t="shared" si="149"/>
        <v>0</v>
      </c>
      <c r="H498" s="6">
        <f t="shared" si="150"/>
        <v>0</v>
      </c>
      <c r="I498" s="6">
        <f t="shared" si="151"/>
        <v>0</v>
      </c>
      <c r="J498" s="6">
        <f t="shared" si="152"/>
        <v>0</v>
      </c>
      <c r="K498" s="6">
        <f t="shared" si="153"/>
        <v>0</v>
      </c>
      <c r="L498" s="6">
        <f t="shared" si="154"/>
        <v>0</v>
      </c>
      <c r="M498" s="6">
        <f t="shared" si="155"/>
        <v>0</v>
      </c>
      <c r="N498" s="6">
        <f t="shared" si="156"/>
        <v>0</v>
      </c>
      <c r="O498" s="6">
        <f t="shared" si="157"/>
        <v>0</v>
      </c>
      <c r="P498" s="6">
        <f t="shared" si="158"/>
        <v>0</v>
      </c>
      <c r="Q498" s="6">
        <f t="shared" si="159"/>
        <v>0</v>
      </c>
      <c r="R498" s="6">
        <f t="shared" si="160"/>
        <v>0</v>
      </c>
      <c r="S498" s="6">
        <f t="shared" si="161"/>
        <v>0</v>
      </c>
      <c r="T498" s="6">
        <f t="shared" si="162"/>
        <v>0</v>
      </c>
      <c r="U498" s="6">
        <f t="shared" si="163"/>
        <v>0</v>
      </c>
      <c r="V498" s="6">
        <f t="shared" si="164"/>
        <v>0</v>
      </c>
      <c r="W498" s="6">
        <f t="shared" si="165"/>
        <v>0</v>
      </c>
      <c r="X498" s="6">
        <f t="shared" si="166"/>
        <v>0</v>
      </c>
      <c r="Y498" s="6">
        <f t="shared" si="167"/>
        <v>0</v>
      </c>
      <c r="Z498" s="6">
        <f t="shared" si="168"/>
        <v>0</v>
      </c>
      <c r="AB498" s="36" t="str">
        <f>IF(最佳化斷筋點!C498="","",最佳化斷筋點!C498)</f>
        <v/>
      </c>
      <c r="AC498" s="37" t="str">
        <f>IF(最佳化斷筋點!D498="","",最佳化斷筋點!D498)</f>
        <v/>
      </c>
      <c r="AD498" s="37" t="str">
        <f>IF(最佳化斷筋點!E498="","",最佳化斷筋點!E498)</f>
        <v/>
      </c>
      <c r="AE498" s="37" t="str">
        <f>IF(最佳化斷筋點!F498="","",最佳化斷筋點!F498)</f>
        <v/>
      </c>
      <c r="AF498" s="37" t="str">
        <f>IF(最佳化斷筋點!G498="","",最佳化斷筋點!G498)</f>
        <v/>
      </c>
      <c r="AG498" s="37" t="str">
        <f>IF(最佳化斷筋點!H498="","",最佳化斷筋點!H498)</f>
        <v/>
      </c>
      <c r="AH498" s="37" t="str">
        <f>IF(最佳化斷筋點!I498="","",最佳化斷筋點!I498)</f>
        <v/>
      </c>
      <c r="AI498" s="37" t="str">
        <f>IF(最佳化斷筋點!J498="","",最佳化斷筋點!J498)</f>
        <v/>
      </c>
      <c r="AJ498" s="37" t="str">
        <f>IF(最佳化斷筋點!K498="","",最佳化斷筋點!K498)</f>
        <v/>
      </c>
      <c r="AK498" s="37" t="str">
        <f>IF(最佳化斷筋點!L498="","",最佳化斷筋點!L498)</f>
        <v/>
      </c>
      <c r="AL498" s="37" t="str">
        <f>IF(最佳化斷筋點!M498="","",最佳化斷筋點!M498)</f>
        <v/>
      </c>
      <c r="AM498" s="37" t="str">
        <f>IF(最佳化斷筋點!N498="","",最佳化斷筋點!N498)</f>
        <v/>
      </c>
      <c r="AN498" s="37" t="str">
        <f>IF(最佳化斷筋點!O498="","",最佳化斷筋點!O498)</f>
        <v/>
      </c>
      <c r="AO498" s="37" t="str">
        <f>IF(最佳化斷筋點!P498="","",最佳化斷筋點!P498)</f>
        <v/>
      </c>
      <c r="AP498" s="37" t="str">
        <f>IF(最佳化斷筋點!Q498="","",最佳化斷筋點!Q498)</f>
        <v/>
      </c>
      <c r="AQ498" s="37" t="str">
        <f>IF(最佳化斷筋點!R498="","",最佳化斷筋點!R498)</f>
        <v/>
      </c>
      <c r="AR498" s="37" t="str">
        <f>IF(最佳化斷筋點!S498="","",最佳化斷筋點!S498)</f>
        <v/>
      </c>
      <c r="AS498" s="37" t="str">
        <f>IF(最佳化斷筋點!T498="","",最佳化斷筋點!T498)</f>
        <v/>
      </c>
      <c r="AT498" s="37" t="str">
        <f>IF(最佳化斷筋點!U498="","",最佳化斷筋點!U498)</f>
        <v/>
      </c>
      <c r="AU498" s="37" t="str">
        <f>IF(最佳化斷筋點!V498="","",最佳化斷筋點!V498)</f>
        <v/>
      </c>
      <c r="AV498" s="37" t="str">
        <f>IF(最佳化斷筋點!W498="","",最佳化斷筋點!W498)</f>
        <v/>
      </c>
      <c r="AW498" s="37" t="str">
        <f>IF(最佳化斷筋點!X498="","",最佳化斷筋點!X498)</f>
        <v/>
      </c>
      <c r="AZ498" s="37" t="s">
        <v>197</v>
      </c>
      <c r="BA498" s="37" t="s">
        <v>197</v>
      </c>
      <c r="BB498" s="37" t="s">
        <v>197</v>
      </c>
      <c r="BC498" s="37" t="s">
        <v>197</v>
      </c>
      <c r="BD498" s="37" t="s">
        <v>197</v>
      </c>
      <c r="BE498" s="37" t="s">
        <v>197</v>
      </c>
      <c r="BF498" s="37" t="s">
        <v>197</v>
      </c>
      <c r="BG498" s="37" t="s">
        <v>197</v>
      </c>
      <c r="BH498" s="37" t="s">
        <v>197</v>
      </c>
      <c r="BI498" s="37" t="s">
        <v>197</v>
      </c>
      <c r="BJ498" s="37" t="s">
        <v>197</v>
      </c>
      <c r="BK498" s="37" t="s">
        <v>197</v>
      </c>
      <c r="BL498" s="37" t="s">
        <v>197</v>
      </c>
      <c r="BM498" s="37" t="s">
        <v>197</v>
      </c>
      <c r="BN498" s="37" t="s">
        <v>197</v>
      </c>
      <c r="BO498" s="37" t="s">
        <v>197</v>
      </c>
      <c r="BP498" s="37" t="s">
        <v>197</v>
      </c>
      <c r="BQ498" s="37" t="s">
        <v>197</v>
      </c>
      <c r="BR498" s="37" t="s">
        <v>197</v>
      </c>
      <c r="BS498" s="37" t="s">
        <v>197</v>
      </c>
      <c r="BT498" s="37" t="s">
        <v>197</v>
      </c>
    </row>
    <row r="499" spans="5:72" x14ac:dyDescent="0.25">
      <c r="E499" s="6" t="s">
        <v>20</v>
      </c>
      <c r="F499" s="6">
        <f t="shared" si="148"/>
        <v>0</v>
      </c>
      <c r="G499" s="6">
        <f t="shared" si="149"/>
        <v>0</v>
      </c>
      <c r="H499" s="6">
        <f t="shared" si="150"/>
        <v>0</v>
      </c>
      <c r="I499" s="6">
        <f t="shared" si="151"/>
        <v>0</v>
      </c>
      <c r="J499" s="6">
        <f t="shared" si="152"/>
        <v>0</v>
      </c>
      <c r="K499" s="6">
        <f t="shared" si="153"/>
        <v>0</v>
      </c>
      <c r="L499" s="6">
        <f t="shared" si="154"/>
        <v>0</v>
      </c>
      <c r="M499" s="6">
        <f t="shared" si="155"/>
        <v>0</v>
      </c>
      <c r="N499" s="6">
        <f t="shared" si="156"/>
        <v>0</v>
      </c>
      <c r="O499" s="6">
        <f t="shared" si="157"/>
        <v>0</v>
      </c>
      <c r="P499" s="6">
        <f t="shared" si="158"/>
        <v>0</v>
      </c>
      <c r="Q499" s="6">
        <f t="shared" si="159"/>
        <v>0</v>
      </c>
      <c r="R499" s="6">
        <f t="shared" si="160"/>
        <v>0</v>
      </c>
      <c r="S499" s="6">
        <f t="shared" si="161"/>
        <v>0</v>
      </c>
      <c r="T499" s="6">
        <f t="shared" si="162"/>
        <v>0</v>
      </c>
      <c r="U499" s="6">
        <f t="shared" si="163"/>
        <v>0</v>
      </c>
      <c r="V499" s="6">
        <f t="shared" si="164"/>
        <v>0</v>
      </c>
      <c r="W499" s="6">
        <f t="shared" si="165"/>
        <v>0</v>
      </c>
      <c r="X499" s="6">
        <f t="shared" si="166"/>
        <v>0</v>
      </c>
      <c r="Y499" s="6">
        <f t="shared" si="167"/>
        <v>0</v>
      </c>
      <c r="Z499" s="6">
        <f t="shared" si="168"/>
        <v>0</v>
      </c>
      <c r="AB499" s="36" t="str">
        <f>IF(最佳化斷筋點!C499="","",最佳化斷筋點!C499)</f>
        <v>上層</v>
      </c>
      <c r="AC499" s="37">
        <f>IF(最佳化斷筋點!D499="","",最佳化斷筋點!D499)</f>
        <v>7</v>
      </c>
      <c r="AD499" s="37">
        <f>IF(最佳化斷筋點!E499="","",最佳化斷筋點!E499)</f>
        <v>7</v>
      </c>
      <c r="AE499" s="37">
        <f>IF(最佳化斷筋點!F499="","",最佳化斷筋點!F499)</f>
        <v>7</v>
      </c>
      <c r="AF499" s="37">
        <f>IF(最佳化斷筋點!G499="","",最佳化斷筋點!G499)</f>
        <v>7</v>
      </c>
      <c r="AG499" s="37">
        <f>IF(最佳化斷筋點!H499="","",最佳化斷筋點!H499)</f>
        <v>7</v>
      </c>
      <c r="AH499" s="37">
        <f>IF(最佳化斷筋點!I499="","",最佳化斷筋點!I499)</f>
        <v>7</v>
      </c>
      <c r="AI499" s="37">
        <f>IF(最佳化斷筋點!J499="","",最佳化斷筋點!J499)</f>
        <v>7</v>
      </c>
      <c r="AJ499" s="37">
        <f>IF(最佳化斷筋點!K499="","",最佳化斷筋點!K499)</f>
        <v>3</v>
      </c>
      <c r="AK499" s="37">
        <f>IF(最佳化斷筋點!L499="","",最佳化斷筋點!L499)</f>
        <v>3</v>
      </c>
      <c r="AL499" s="37">
        <f>IF(最佳化斷筋點!M499="","",最佳化斷筋點!M499)</f>
        <v>3</v>
      </c>
      <c r="AM499" s="37">
        <f>IF(最佳化斷筋點!N499="","",最佳化斷筋點!N499)</f>
        <v>3</v>
      </c>
      <c r="AN499" s="37">
        <f>IF(最佳化斷筋點!O499="","",最佳化斷筋點!O499)</f>
        <v>3</v>
      </c>
      <c r="AO499" s="37">
        <f>IF(最佳化斷筋點!P499="","",最佳化斷筋點!P499)</f>
        <v>3</v>
      </c>
      <c r="AP499" s="37">
        <f>IF(最佳化斷筋點!Q499="","",最佳化斷筋點!Q499)</f>
        <v>6</v>
      </c>
      <c r="AQ499" s="37">
        <f>IF(最佳化斷筋點!R499="","",最佳化斷筋點!R499)</f>
        <v>7</v>
      </c>
      <c r="AR499" s="37">
        <f>IF(最佳化斷筋點!S499="","",最佳化斷筋點!S499)</f>
        <v>8</v>
      </c>
      <c r="AS499" s="37">
        <f>IF(最佳化斷筋點!T499="","",最佳化斷筋點!T499)</f>
        <v>8</v>
      </c>
      <c r="AT499" s="37">
        <f>IF(最佳化斷筋點!U499="","",最佳化斷筋點!U499)</f>
        <v>8</v>
      </c>
      <c r="AU499" s="37">
        <f>IF(最佳化斷筋點!V499="","",最佳化斷筋點!V499)</f>
        <v>8</v>
      </c>
      <c r="AV499" s="37">
        <f>IF(最佳化斷筋點!W499="","",最佳化斷筋點!W499)</f>
        <v>8</v>
      </c>
      <c r="AW499" s="37">
        <f>IF(最佳化斷筋點!X499="","",最佳化斷筋點!X499)</f>
        <v>8</v>
      </c>
      <c r="AY499" s="6" t="s">
        <v>20</v>
      </c>
      <c r="AZ499" s="37">
        <v>7</v>
      </c>
      <c r="BA499" s="37">
        <v>7</v>
      </c>
      <c r="BB499" s="37">
        <v>7</v>
      </c>
      <c r="BC499" s="37">
        <v>7</v>
      </c>
      <c r="BD499" s="37">
        <v>7</v>
      </c>
      <c r="BE499" s="37">
        <v>7</v>
      </c>
      <c r="BF499" s="37">
        <v>7</v>
      </c>
      <c r="BG499" s="37">
        <v>3</v>
      </c>
      <c r="BH499" s="37">
        <v>3</v>
      </c>
      <c r="BI499" s="37">
        <v>3</v>
      </c>
      <c r="BJ499" s="37">
        <v>3</v>
      </c>
      <c r="BK499" s="37">
        <v>3</v>
      </c>
      <c r="BL499" s="37">
        <v>3</v>
      </c>
      <c r="BM499" s="37">
        <v>6</v>
      </c>
      <c r="BN499" s="37">
        <v>7</v>
      </c>
      <c r="BO499" s="37">
        <v>8</v>
      </c>
      <c r="BP499" s="37">
        <v>8</v>
      </c>
      <c r="BQ499" s="37">
        <v>8</v>
      </c>
      <c r="BR499" s="37">
        <v>8</v>
      </c>
      <c r="BS499" s="37">
        <v>8</v>
      </c>
      <c r="BT499" s="37">
        <v>8</v>
      </c>
    </row>
    <row r="500" spans="5:72" x14ac:dyDescent="0.25">
      <c r="F500" s="6">
        <f t="shared" si="148"/>
        <v>0</v>
      </c>
      <c r="G500" s="6">
        <f t="shared" si="149"/>
        <v>0</v>
      </c>
      <c r="H500" s="6">
        <f t="shared" si="150"/>
        <v>0</v>
      </c>
      <c r="I500" s="6">
        <f t="shared" si="151"/>
        <v>0</v>
      </c>
      <c r="J500" s="6">
        <f t="shared" si="152"/>
        <v>0</v>
      </c>
      <c r="K500" s="6">
        <f t="shared" si="153"/>
        <v>0</v>
      </c>
      <c r="L500" s="6">
        <f t="shared" si="154"/>
        <v>0</v>
      </c>
      <c r="M500" s="6">
        <f t="shared" si="155"/>
        <v>0</v>
      </c>
      <c r="N500" s="6">
        <f t="shared" si="156"/>
        <v>0</v>
      </c>
      <c r="O500" s="6">
        <f t="shared" si="157"/>
        <v>0</v>
      </c>
      <c r="P500" s="6">
        <f t="shared" si="158"/>
        <v>0</v>
      </c>
      <c r="Q500" s="6">
        <f t="shared" si="159"/>
        <v>0</v>
      </c>
      <c r="R500" s="6">
        <f t="shared" si="160"/>
        <v>0</v>
      </c>
      <c r="S500" s="6">
        <f t="shared" si="161"/>
        <v>0</v>
      </c>
      <c r="T500" s="6">
        <f t="shared" si="162"/>
        <v>0</v>
      </c>
      <c r="U500" s="6">
        <f t="shared" si="163"/>
        <v>0</v>
      </c>
      <c r="V500" s="6">
        <f t="shared" si="164"/>
        <v>0</v>
      </c>
      <c r="W500" s="6">
        <f t="shared" si="165"/>
        <v>0</v>
      </c>
      <c r="X500" s="6">
        <f t="shared" si="166"/>
        <v>0</v>
      </c>
      <c r="Y500" s="6">
        <f t="shared" si="167"/>
        <v>0</v>
      </c>
      <c r="Z500" s="6">
        <f t="shared" si="168"/>
        <v>0</v>
      </c>
      <c r="AB500" s="36" t="str">
        <f>IF(最佳化斷筋點!C500="","",最佳化斷筋點!C500)</f>
        <v/>
      </c>
      <c r="AC500" s="37" t="str">
        <f>IF(最佳化斷筋點!D500="","",最佳化斷筋點!D500)</f>
        <v/>
      </c>
      <c r="AD500" s="37" t="str">
        <f>IF(最佳化斷筋點!E500="","",最佳化斷筋點!E500)</f>
        <v/>
      </c>
      <c r="AE500" s="37" t="str">
        <f>IF(最佳化斷筋點!F500="","",最佳化斷筋點!F500)</f>
        <v/>
      </c>
      <c r="AF500" s="37" t="str">
        <f>IF(最佳化斷筋點!G500="","",最佳化斷筋點!G500)</f>
        <v/>
      </c>
      <c r="AG500" s="37" t="str">
        <f>IF(最佳化斷筋點!H500="","",最佳化斷筋點!H500)</f>
        <v/>
      </c>
      <c r="AH500" s="37" t="str">
        <f>IF(最佳化斷筋點!I500="","",最佳化斷筋點!I500)</f>
        <v/>
      </c>
      <c r="AI500" s="37" t="str">
        <f>IF(最佳化斷筋點!J500="","",最佳化斷筋點!J500)</f>
        <v/>
      </c>
      <c r="AJ500" s="37" t="str">
        <f>IF(最佳化斷筋點!K500="","",最佳化斷筋點!K500)</f>
        <v/>
      </c>
      <c r="AK500" s="37" t="str">
        <f>IF(最佳化斷筋點!L500="","",最佳化斷筋點!L500)</f>
        <v/>
      </c>
      <c r="AL500" s="37" t="str">
        <f>IF(最佳化斷筋點!M500="","",最佳化斷筋點!M500)</f>
        <v/>
      </c>
      <c r="AM500" s="37" t="str">
        <f>IF(最佳化斷筋點!N500="","",最佳化斷筋點!N500)</f>
        <v/>
      </c>
      <c r="AN500" s="37" t="str">
        <f>IF(最佳化斷筋點!O500="","",最佳化斷筋點!O500)</f>
        <v/>
      </c>
      <c r="AO500" s="37" t="str">
        <f>IF(最佳化斷筋點!P500="","",最佳化斷筋點!P500)</f>
        <v/>
      </c>
      <c r="AP500" s="37" t="str">
        <f>IF(最佳化斷筋點!Q500="","",最佳化斷筋點!Q500)</f>
        <v/>
      </c>
      <c r="AQ500" s="37" t="str">
        <f>IF(最佳化斷筋點!R500="","",最佳化斷筋點!R500)</f>
        <v/>
      </c>
      <c r="AR500" s="37" t="str">
        <f>IF(最佳化斷筋點!S500="","",最佳化斷筋點!S500)</f>
        <v/>
      </c>
      <c r="AS500" s="37" t="str">
        <f>IF(最佳化斷筋點!T500="","",最佳化斷筋點!T500)</f>
        <v/>
      </c>
      <c r="AT500" s="37" t="str">
        <f>IF(最佳化斷筋點!U500="","",最佳化斷筋點!U500)</f>
        <v/>
      </c>
      <c r="AU500" s="37" t="str">
        <f>IF(最佳化斷筋點!V500="","",最佳化斷筋點!V500)</f>
        <v/>
      </c>
      <c r="AV500" s="37" t="str">
        <f>IF(最佳化斷筋點!W500="","",最佳化斷筋點!W500)</f>
        <v/>
      </c>
      <c r="AW500" s="37" t="str">
        <f>IF(最佳化斷筋點!X500="","",最佳化斷筋點!X500)</f>
        <v/>
      </c>
      <c r="AZ500" s="37" t="s">
        <v>197</v>
      </c>
      <c r="BA500" s="37" t="s">
        <v>197</v>
      </c>
      <c r="BB500" s="37" t="s">
        <v>197</v>
      </c>
      <c r="BC500" s="37" t="s">
        <v>197</v>
      </c>
      <c r="BD500" s="37" t="s">
        <v>197</v>
      </c>
      <c r="BE500" s="37" t="s">
        <v>197</v>
      </c>
      <c r="BF500" s="37" t="s">
        <v>197</v>
      </c>
      <c r="BG500" s="37" t="s">
        <v>197</v>
      </c>
      <c r="BH500" s="37" t="s">
        <v>197</v>
      </c>
      <c r="BI500" s="37" t="s">
        <v>197</v>
      </c>
      <c r="BJ500" s="37" t="s">
        <v>197</v>
      </c>
      <c r="BK500" s="37" t="s">
        <v>197</v>
      </c>
      <c r="BL500" s="37" t="s">
        <v>197</v>
      </c>
      <c r="BM500" s="37" t="s">
        <v>197</v>
      </c>
      <c r="BN500" s="37" t="s">
        <v>197</v>
      </c>
      <c r="BO500" s="37" t="s">
        <v>197</v>
      </c>
      <c r="BP500" s="37" t="s">
        <v>197</v>
      </c>
      <c r="BQ500" s="37" t="s">
        <v>197</v>
      </c>
      <c r="BR500" s="37" t="s">
        <v>197</v>
      </c>
      <c r="BS500" s="37" t="s">
        <v>197</v>
      </c>
      <c r="BT500" s="37" t="s">
        <v>197</v>
      </c>
    </row>
    <row r="501" spans="5:72" x14ac:dyDescent="0.25">
      <c r="E501" s="6" t="s">
        <v>21</v>
      </c>
      <c r="F501" s="6">
        <f t="shared" si="148"/>
        <v>0</v>
      </c>
      <c r="G501" s="6">
        <f t="shared" si="149"/>
        <v>0</v>
      </c>
      <c r="H501" s="6">
        <f t="shared" si="150"/>
        <v>0</v>
      </c>
      <c r="I501" s="6">
        <f t="shared" si="151"/>
        <v>0</v>
      </c>
      <c r="J501" s="6">
        <f t="shared" si="152"/>
        <v>0</v>
      </c>
      <c r="K501" s="6">
        <f t="shared" si="153"/>
        <v>0</v>
      </c>
      <c r="L501" s="6">
        <f t="shared" si="154"/>
        <v>0</v>
      </c>
      <c r="M501" s="6">
        <f t="shared" si="155"/>
        <v>0</v>
      </c>
      <c r="N501" s="6">
        <f t="shared" si="156"/>
        <v>0</v>
      </c>
      <c r="O501" s="6">
        <f t="shared" si="157"/>
        <v>0</v>
      </c>
      <c r="P501" s="6">
        <f t="shared" si="158"/>
        <v>0</v>
      </c>
      <c r="Q501" s="6">
        <f t="shared" si="159"/>
        <v>0</v>
      </c>
      <c r="R501" s="6">
        <f t="shared" si="160"/>
        <v>0</v>
      </c>
      <c r="S501" s="6">
        <f t="shared" si="161"/>
        <v>0</v>
      </c>
      <c r="T501" s="6">
        <f t="shared" si="162"/>
        <v>0</v>
      </c>
      <c r="U501" s="6">
        <f t="shared" si="163"/>
        <v>0</v>
      </c>
      <c r="V501" s="6">
        <f t="shared" si="164"/>
        <v>0</v>
      </c>
      <c r="W501" s="6">
        <f t="shared" si="165"/>
        <v>0</v>
      </c>
      <c r="X501" s="6">
        <f t="shared" si="166"/>
        <v>0</v>
      </c>
      <c r="Y501" s="6">
        <f t="shared" si="167"/>
        <v>0</v>
      </c>
      <c r="Z501" s="6">
        <f t="shared" si="168"/>
        <v>0</v>
      </c>
      <c r="AB501" s="36" t="str">
        <f>IF(最佳化斷筋點!C501="","",最佳化斷筋點!C501)</f>
        <v>下層</v>
      </c>
      <c r="AC501" s="37">
        <f>IF(最佳化斷筋點!D501="","",最佳化斷筋點!D501)</f>
        <v>9</v>
      </c>
      <c r="AD501" s="37">
        <f>IF(最佳化斷筋點!E501="","",最佳化斷筋點!E501)</f>
        <v>9</v>
      </c>
      <c r="AE501" s="37">
        <f>IF(最佳化斷筋點!F501="","",最佳化斷筋點!F501)</f>
        <v>9</v>
      </c>
      <c r="AF501" s="37">
        <f>IF(最佳化斷筋點!G501="","",最佳化斷筋點!G501)</f>
        <v>9</v>
      </c>
      <c r="AG501" s="37">
        <f>IF(最佳化斷筋點!H501="","",最佳化斷筋點!H501)</f>
        <v>9</v>
      </c>
      <c r="AH501" s="37">
        <f>IF(最佳化斷筋點!I501="","",最佳化斷筋點!I501)</f>
        <v>8</v>
      </c>
      <c r="AI501" s="37">
        <f>IF(最佳化斷筋點!J501="","",最佳化斷筋點!J501)</f>
        <v>7</v>
      </c>
      <c r="AJ501" s="37">
        <f>IF(最佳化斷筋點!K501="","",最佳化斷筋點!K501)</f>
        <v>4</v>
      </c>
      <c r="AK501" s="37">
        <f>IF(最佳化斷筋點!L501="","",最佳化斷筋點!L501)</f>
        <v>4</v>
      </c>
      <c r="AL501" s="37">
        <f>IF(最佳化斷筋點!M501="","",最佳化斷筋點!M501)</f>
        <v>4</v>
      </c>
      <c r="AM501" s="37">
        <f>IF(最佳化斷筋點!N501="","",最佳化斷筋點!N501)</f>
        <v>4</v>
      </c>
      <c r="AN501" s="37">
        <f>IF(最佳化斷筋點!O501="","",最佳化斷筋點!O501)</f>
        <v>4</v>
      </c>
      <c r="AO501" s="37">
        <f>IF(最佳化斷筋點!P501="","",最佳化斷筋點!P501)</f>
        <v>4</v>
      </c>
      <c r="AP501" s="37">
        <f>IF(最佳化斷筋點!Q501="","",最佳化斷筋點!Q501)</f>
        <v>4</v>
      </c>
      <c r="AQ501" s="37">
        <f>IF(最佳化斷筋點!R501="","",最佳化斷筋點!R501)</f>
        <v>5</v>
      </c>
      <c r="AR501" s="37">
        <f>IF(最佳化斷筋點!S501="","",最佳化斷筋點!S501)</f>
        <v>6</v>
      </c>
      <c r="AS501" s="37">
        <f>IF(最佳化斷筋點!T501="","",最佳化斷筋點!T501)</f>
        <v>6</v>
      </c>
      <c r="AT501" s="37">
        <f>IF(最佳化斷筋點!U501="","",最佳化斷筋點!U501)</f>
        <v>7</v>
      </c>
      <c r="AU501" s="37">
        <f>IF(最佳化斷筋點!V501="","",最佳化斷筋點!V501)</f>
        <v>7</v>
      </c>
      <c r="AV501" s="37">
        <f>IF(最佳化斷筋點!W501="","",最佳化斷筋點!W501)</f>
        <v>7</v>
      </c>
      <c r="AW501" s="37">
        <f>IF(最佳化斷筋點!X501="","",最佳化斷筋點!X501)</f>
        <v>7</v>
      </c>
      <c r="AY501" s="6" t="s">
        <v>21</v>
      </c>
      <c r="AZ501" s="37">
        <v>9</v>
      </c>
      <c r="BA501" s="37">
        <v>9</v>
      </c>
      <c r="BB501" s="37">
        <v>9</v>
      </c>
      <c r="BC501" s="37">
        <v>9</v>
      </c>
      <c r="BD501" s="37">
        <v>9</v>
      </c>
      <c r="BE501" s="37">
        <v>8</v>
      </c>
      <c r="BF501" s="37">
        <v>7</v>
      </c>
      <c r="BG501" s="37">
        <v>4</v>
      </c>
      <c r="BH501" s="37">
        <v>4</v>
      </c>
      <c r="BI501" s="37">
        <v>4</v>
      </c>
      <c r="BJ501" s="37">
        <v>4</v>
      </c>
      <c r="BK501" s="37">
        <v>4</v>
      </c>
      <c r="BL501" s="37">
        <v>4</v>
      </c>
      <c r="BM501" s="37">
        <v>4</v>
      </c>
      <c r="BN501" s="37">
        <v>5</v>
      </c>
      <c r="BO501" s="37">
        <v>6</v>
      </c>
      <c r="BP501" s="37">
        <v>6</v>
      </c>
      <c r="BQ501" s="37">
        <v>7</v>
      </c>
      <c r="BR501" s="37">
        <v>7</v>
      </c>
      <c r="BS501" s="37">
        <v>7</v>
      </c>
      <c r="BT501" s="37">
        <v>7</v>
      </c>
    </row>
    <row r="502" spans="5:72" x14ac:dyDescent="0.25">
      <c r="F502" s="6">
        <f t="shared" si="148"/>
        <v>0</v>
      </c>
      <c r="G502" s="6">
        <f t="shared" si="149"/>
        <v>0</v>
      </c>
      <c r="H502" s="6">
        <f t="shared" si="150"/>
        <v>0</v>
      </c>
      <c r="I502" s="6">
        <f t="shared" si="151"/>
        <v>0</v>
      </c>
      <c r="J502" s="6">
        <f t="shared" si="152"/>
        <v>0</v>
      </c>
      <c r="K502" s="6">
        <f t="shared" si="153"/>
        <v>0</v>
      </c>
      <c r="L502" s="6">
        <f t="shared" si="154"/>
        <v>0</v>
      </c>
      <c r="M502" s="6">
        <f t="shared" si="155"/>
        <v>0</v>
      </c>
      <c r="N502" s="6">
        <f t="shared" si="156"/>
        <v>0</v>
      </c>
      <c r="O502" s="6">
        <f t="shared" si="157"/>
        <v>0</v>
      </c>
      <c r="P502" s="6">
        <f t="shared" si="158"/>
        <v>0</v>
      </c>
      <c r="Q502" s="6">
        <f t="shared" si="159"/>
        <v>0</v>
      </c>
      <c r="R502" s="6">
        <f t="shared" si="160"/>
        <v>0</v>
      </c>
      <c r="S502" s="6">
        <f t="shared" si="161"/>
        <v>0</v>
      </c>
      <c r="T502" s="6">
        <f t="shared" si="162"/>
        <v>0</v>
      </c>
      <c r="U502" s="6">
        <f t="shared" si="163"/>
        <v>0</v>
      </c>
      <c r="V502" s="6">
        <f t="shared" si="164"/>
        <v>0</v>
      </c>
      <c r="W502" s="6">
        <f t="shared" si="165"/>
        <v>0</v>
      </c>
      <c r="X502" s="6">
        <f t="shared" si="166"/>
        <v>0</v>
      </c>
      <c r="Y502" s="6">
        <f t="shared" si="167"/>
        <v>0</v>
      </c>
      <c r="Z502" s="6">
        <f t="shared" si="168"/>
        <v>0</v>
      </c>
      <c r="AB502" s="36" t="str">
        <f>IF(最佳化斷筋點!C502="","",最佳化斷筋點!C502)</f>
        <v/>
      </c>
      <c r="AC502" s="37" t="str">
        <f>IF(最佳化斷筋點!D502="","",最佳化斷筋點!D502)</f>
        <v/>
      </c>
      <c r="AD502" s="37" t="str">
        <f>IF(最佳化斷筋點!E502="","",最佳化斷筋點!E502)</f>
        <v/>
      </c>
      <c r="AE502" s="37" t="str">
        <f>IF(最佳化斷筋點!F502="","",最佳化斷筋點!F502)</f>
        <v/>
      </c>
      <c r="AF502" s="37" t="str">
        <f>IF(最佳化斷筋點!G502="","",最佳化斷筋點!G502)</f>
        <v/>
      </c>
      <c r="AG502" s="37" t="str">
        <f>IF(最佳化斷筋點!H502="","",最佳化斷筋點!H502)</f>
        <v/>
      </c>
      <c r="AH502" s="37" t="str">
        <f>IF(最佳化斷筋點!I502="","",最佳化斷筋點!I502)</f>
        <v/>
      </c>
      <c r="AI502" s="37" t="str">
        <f>IF(最佳化斷筋點!J502="","",最佳化斷筋點!J502)</f>
        <v/>
      </c>
      <c r="AJ502" s="37" t="str">
        <f>IF(最佳化斷筋點!K502="","",最佳化斷筋點!K502)</f>
        <v/>
      </c>
      <c r="AK502" s="37" t="str">
        <f>IF(最佳化斷筋點!L502="","",最佳化斷筋點!L502)</f>
        <v/>
      </c>
      <c r="AL502" s="37" t="str">
        <f>IF(最佳化斷筋點!M502="","",最佳化斷筋點!M502)</f>
        <v/>
      </c>
      <c r="AM502" s="37" t="str">
        <f>IF(最佳化斷筋點!N502="","",最佳化斷筋點!N502)</f>
        <v/>
      </c>
      <c r="AN502" s="37" t="str">
        <f>IF(最佳化斷筋點!O502="","",最佳化斷筋點!O502)</f>
        <v/>
      </c>
      <c r="AO502" s="37" t="str">
        <f>IF(最佳化斷筋點!P502="","",最佳化斷筋點!P502)</f>
        <v/>
      </c>
      <c r="AP502" s="37" t="str">
        <f>IF(最佳化斷筋點!Q502="","",最佳化斷筋點!Q502)</f>
        <v/>
      </c>
      <c r="AQ502" s="37" t="str">
        <f>IF(最佳化斷筋點!R502="","",最佳化斷筋點!R502)</f>
        <v/>
      </c>
      <c r="AR502" s="37" t="str">
        <f>IF(最佳化斷筋點!S502="","",最佳化斷筋點!S502)</f>
        <v/>
      </c>
      <c r="AS502" s="37" t="str">
        <f>IF(最佳化斷筋點!T502="","",最佳化斷筋點!T502)</f>
        <v/>
      </c>
      <c r="AT502" s="37" t="str">
        <f>IF(最佳化斷筋點!U502="","",最佳化斷筋點!U502)</f>
        <v/>
      </c>
      <c r="AU502" s="37" t="str">
        <f>IF(最佳化斷筋點!V502="","",最佳化斷筋點!V502)</f>
        <v/>
      </c>
      <c r="AV502" s="37" t="str">
        <f>IF(最佳化斷筋點!W502="","",最佳化斷筋點!W502)</f>
        <v/>
      </c>
      <c r="AW502" s="37" t="str">
        <f>IF(最佳化斷筋點!X502="","",最佳化斷筋點!X502)</f>
        <v/>
      </c>
      <c r="AZ502" s="37" t="s">
        <v>197</v>
      </c>
      <c r="BA502" s="37" t="s">
        <v>197</v>
      </c>
      <c r="BB502" s="37" t="s">
        <v>197</v>
      </c>
      <c r="BC502" s="37" t="s">
        <v>197</v>
      </c>
      <c r="BD502" s="37" t="s">
        <v>197</v>
      </c>
      <c r="BE502" s="37" t="s">
        <v>197</v>
      </c>
      <c r="BF502" s="37" t="s">
        <v>197</v>
      </c>
      <c r="BG502" s="37" t="s">
        <v>197</v>
      </c>
      <c r="BH502" s="37" t="s">
        <v>197</v>
      </c>
      <c r="BI502" s="37" t="s">
        <v>197</v>
      </c>
      <c r="BJ502" s="37" t="s">
        <v>197</v>
      </c>
      <c r="BK502" s="37" t="s">
        <v>197</v>
      </c>
      <c r="BL502" s="37" t="s">
        <v>197</v>
      </c>
      <c r="BM502" s="37" t="s">
        <v>197</v>
      </c>
      <c r="BN502" s="37" t="s">
        <v>197</v>
      </c>
      <c r="BO502" s="37" t="s">
        <v>197</v>
      </c>
      <c r="BP502" s="37" t="s">
        <v>197</v>
      </c>
      <c r="BQ502" s="37" t="s">
        <v>197</v>
      </c>
      <c r="BR502" s="37" t="s">
        <v>197</v>
      </c>
      <c r="BS502" s="37" t="s">
        <v>197</v>
      </c>
      <c r="BT502" s="37" t="s">
        <v>197</v>
      </c>
    </row>
    <row r="503" spans="5:72" x14ac:dyDescent="0.25">
      <c r="E503" s="6" t="s">
        <v>20</v>
      </c>
      <c r="F503" s="6">
        <f t="shared" si="148"/>
        <v>0</v>
      </c>
      <c r="G503" s="6">
        <f t="shared" si="149"/>
        <v>0</v>
      </c>
      <c r="H503" s="6">
        <f t="shared" si="150"/>
        <v>0</v>
      </c>
      <c r="I503" s="6">
        <f t="shared" si="151"/>
        <v>0</v>
      </c>
      <c r="J503" s="6">
        <f t="shared" si="152"/>
        <v>0</v>
      </c>
      <c r="K503" s="6">
        <f t="shared" si="153"/>
        <v>0</v>
      </c>
      <c r="L503" s="6">
        <f t="shared" si="154"/>
        <v>0</v>
      </c>
      <c r="M503" s="6">
        <f t="shared" si="155"/>
        <v>0</v>
      </c>
      <c r="N503" s="6">
        <f t="shared" si="156"/>
        <v>0</v>
      </c>
      <c r="O503" s="6">
        <f t="shared" si="157"/>
        <v>0</v>
      </c>
      <c r="P503" s="6">
        <f t="shared" si="158"/>
        <v>0</v>
      </c>
      <c r="Q503" s="6">
        <f t="shared" si="159"/>
        <v>0</v>
      </c>
      <c r="R503" s="6">
        <f t="shared" si="160"/>
        <v>0</v>
      </c>
      <c r="S503" s="6">
        <f t="shared" si="161"/>
        <v>0</v>
      </c>
      <c r="T503" s="6">
        <f t="shared" si="162"/>
        <v>0</v>
      </c>
      <c r="U503" s="6">
        <f t="shared" si="163"/>
        <v>0</v>
      </c>
      <c r="V503" s="6">
        <f t="shared" si="164"/>
        <v>0</v>
      </c>
      <c r="W503" s="6">
        <f t="shared" si="165"/>
        <v>0</v>
      </c>
      <c r="X503" s="6">
        <f t="shared" si="166"/>
        <v>0</v>
      </c>
      <c r="Y503" s="6">
        <f t="shared" si="167"/>
        <v>0</v>
      </c>
      <c r="Z503" s="6">
        <f t="shared" si="168"/>
        <v>0</v>
      </c>
      <c r="AB503" s="36" t="str">
        <f>IF(最佳化斷筋點!C503="","",最佳化斷筋點!C503)</f>
        <v>上層</v>
      </c>
      <c r="AC503" s="37">
        <f>IF(最佳化斷筋點!D503="","",最佳化斷筋點!D503)</f>
        <v>7</v>
      </c>
      <c r="AD503" s="37">
        <f>IF(最佳化斷筋點!E503="","",最佳化斷筋點!E503)</f>
        <v>7</v>
      </c>
      <c r="AE503" s="37">
        <f>IF(最佳化斷筋點!F503="","",最佳化斷筋點!F503)</f>
        <v>7</v>
      </c>
      <c r="AF503" s="37">
        <f>IF(最佳化斷筋點!G503="","",最佳化斷筋點!G503)</f>
        <v>7</v>
      </c>
      <c r="AG503" s="37">
        <f>IF(最佳化斷筋點!H503="","",最佳化斷筋點!H503)</f>
        <v>7</v>
      </c>
      <c r="AH503" s="37">
        <f>IF(最佳化斷筋點!I503="","",最佳化斷筋點!I503)</f>
        <v>6</v>
      </c>
      <c r="AI503" s="37">
        <f>IF(最佳化斷筋點!J503="","",最佳化斷筋點!J503)</f>
        <v>6</v>
      </c>
      <c r="AJ503" s="37">
        <f>IF(最佳化斷筋點!K503="","",最佳化斷筋點!K503)</f>
        <v>3</v>
      </c>
      <c r="AK503" s="37">
        <f>IF(最佳化斷筋點!L503="","",最佳化斷筋點!L503)</f>
        <v>3</v>
      </c>
      <c r="AL503" s="37">
        <f>IF(最佳化斷筋點!M503="","",最佳化斷筋點!M503)</f>
        <v>3</v>
      </c>
      <c r="AM503" s="37">
        <f>IF(最佳化斷筋點!N503="","",最佳化斷筋點!N503)</f>
        <v>3</v>
      </c>
      <c r="AN503" s="37">
        <f>IF(最佳化斷筋點!O503="","",最佳化斷筋點!O503)</f>
        <v>3</v>
      </c>
      <c r="AO503" s="37">
        <f>IF(最佳化斷筋點!P503="","",最佳化斷筋點!P503)</f>
        <v>3</v>
      </c>
      <c r="AP503" s="37">
        <f>IF(最佳化斷筋點!Q503="","",最佳化斷筋點!Q503)</f>
        <v>6</v>
      </c>
      <c r="AQ503" s="37">
        <f>IF(最佳化斷筋點!R503="","",最佳化斷筋點!R503)</f>
        <v>7</v>
      </c>
      <c r="AR503" s="37">
        <f>IF(最佳化斷筋點!S503="","",最佳化斷筋點!S503)</f>
        <v>8</v>
      </c>
      <c r="AS503" s="37">
        <f>IF(最佳化斷筋點!T503="","",最佳化斷筋點!T503)</f>
        <v>9</v>
      </c>
      <c r="AT503" s="37">
        <f>IF(最佳化斷筋點!U503="","",最佳化斷筋點!U503)</f>
        <v>9</v>
      </c>
      <c r="AU503" s="37">
        <f>IF(最佳化斷筋點!V503="","",最佳化斷筋點!V503)</f>
        <v>9</v>
      </c>
      <c r="AV503" s="37">
        <f>IF(最佳化斷筋點!W503="","",最佳化斷筋點!W503)</f>
        <v>9</v>
      </c>
      <c r="AW503" s="37">
        <f>IF(最佳化斷筋點!X503="","",最佳化斷筋點!X503)</f>
        <v>9</v>
      </c>
      <c r="AY503" s="6" t="s">
        <v>20</v>
      </c>
      <c r="AZ503" s="37">
        <v>7</v>
      </c>
      <c r="BA503" s="37">
        <v>7</v>
      </c>
      <c r="BB503" s="37">
        <v>7</v>
      </c>
      <c r="BC503" s="37">
        <v>7</v>
      </c>
      <c r="BD503" s="37">
        <v>7</v>
      </c>
      <c r="BE503" s="37">
        <v>6</v>
      </c>
      <c r="BF503" s="37">
        <v>6</v>
      </c>
      <c r="BG503" s="37">
        <v>3</v>
      </c>
      <c r="BH503" s="37">
        <v>3</v>
      </c>
      <c r="BI503" s="37">
        <v>3</v>
      </c>
      <c r="BJ503" s="37">
        <v>3</v>
      </c>
      <c r="BK503" s="37">
        <v>3</v>
      </c>
      <c r="BL503" s="37">
        <v>3</v>
      </c>
      <c r="BM503" s="37">
        <v>6</v>
      </c>
      <c r="BN503" s="37">
        <v>7</v>
      </c>
      <c r="BO503" s="37">
        <v>8</v>
      </c>
      <c r="BP503" s="37">
        <v>9</v>
      </c>
      <c r="BQ503" s="37">
        <v>9</v>
      </c>
      <c r="BR503" s="37">
        <v>9</v>
      </c>
      <c r="BS503" s="37">
        <v>9</v>
      </c>
      <c r="BT503" s="37">
        <v>9</v>
      </c>
    </row>
    <row r="504" spans="5:72" x14ac:dyDescent="0.25">
      <c r="F504" s="6">
        <f t="shared" si="148"/>
        <v>0</v>
      </c>
      <c r="G504" s="6">
        <f t="shared" si="149"/>
        <v>0</v>
      </c>
      <c r="H504" s="6">
        <f t="shared" si="150"/>
        <v>0</v>
      </c>
      <c r="I504" s="6">
        <f t="shared" si="151"/>
        <v>0</v>
      </c>
      <c r="J504" s="6">
        <f t="shared" si="152"/>
        <v>0</v>
      </c>
      <c r="K504" s="6">
        <f t="shared" si="153"/>
        <v>0</v>
      </c>
      <c r="L504" s="6">
        <f t="shared" si="154"/>
        <v>0</v>
      </c>
      <c r="M504" s="6">
        <f t="shared" si="155"/>
        <v>0</v>
      </c>
      <c r="N504" s="6">
        <f t="shared" si="156"/>
        <v>0</v>
      </c>
      <c r="O504" s="6">
        <f t="shared" si="157"/>
        <v>0</v>
      </c>
      <c r="P504" s="6">
        <f t="shared" si="158"/>
        <v>0</v>
      </c>
      <c r="Q504" s="6">
        <f t="shared" si="159"/>
        <v>0</v>
      </c>
      <c r="R504" s="6">
        <f t="shared" si="160"/>
        <v>0</v>
      </c>
      <c r="S504" s="6">
        <f t="shared" si="161"/>
        <v>0</v>
      </c>
      <c r="T504" s="6">
        <f t="shared" si="162"/>
        <v>0</v>
      </c>
      <c r="U504" s="6">
        <f t="shared" si="163"/>
        <v>0</v>
      </c>
      <c r="V504" s="6">
        <f t="shared" si="164"/>
        <v>0</v>
      </c>
      <c r="W504" s="6">
        <f t="shared" si="165"/>
        <v>0</v>
      </c>
      <c r="X504" s="6">
        <f t="shared" si="166"/>
        <v>0</v>
      </c>
      <c r="Y504" s="6">
        <f t="shared" si="167"/>
        <v>0</v>
      </c>
      <c r="Z504" s="6">
        <f t="shared" si="168"/>
        <v>0</v>
      </c>
      <c r="AB504" s="36" t="str">
        <f>IF(最佳化斷筋點!C504="","",最佳化斷筋點!C504)</f>
        <v/>
      </c>
      <c r="AC504" s="37" t="str">
        <f>IF(最佳化斷筋點!D504="","",最佳化斷筋點!D504)</f>
        <v/>
      </c>
      <c r="AD504" s="37" t="str">
        <f>IF(最佳化斷筋點!E504="","",最佳化斷筋點!E504)</f>
        <v/>
      </c>
      <c r="AE504" s="37" t="str">
        <f>IF(最佳化斷筋點!F504="","",最佳化斷筋點!F504)</f>
        <v/>
      </c>
      <c r="AF504" s="37" t="str">
        <f>IF(最佳化斷筋點!G504="","",最佳化斷筋點!G504)</f>
        <v/>
      </c>
      <c r="AG504" s="37" t="str">
        <f>IF(最佳化斷筋點!H504="","",最佳化斷筋點!H504)</f>
        <v/>
      </c>
      <c r="AH504" s="37" t="str">
        <f>IF(最佳化斷筋點!I504="","",最佳化斷筋點!I504)</f>
        <v/>
      </c>
      <c r="AI504" s="37" t="str">
        <f>IF(最佳化斷筋點!J504="","",最佳化斷筋點!J504)</f>
        <v/>
      </c>
      <c r="AJ504" s="37" t="str">
        <f>IF(最佳化斷筋點!K504="","",最佳化斷筋點!K504)</f>
        <v/>
      </c>
      <c r="AK504" s="37" t="str">
        <f>IF(最佳化斷筋點!L504="","",最佳化斷筋點!L504)</f>
        <v/>
      </c>
      <c r="AL504" s="37" t="str">
        <f>IF(最佳化斷筋點!M504="","",最佳化斷筋點!M504)</f>
        <v/>
      </c>
      <c r="AM504" s="37" t="str">
        <f>IF(最佳化斷筋點!N504="","",最佳化斷筋點!N504)</f>
        <v/>
      </c>
      <c r="AN504" s="37" t="str">
        <f>IF(最佳化斷筋點!O504="","",最佳化斷筋點!O504)</f>
        <v/>
      </c>
      <c r="AO504" s="37" t="str">
        <f>IF(最佳化斷筋點!P504="","",最佳化斷筋點!P504)</f>
        <v/>
      </c>
      <c r="AP504" s="37" t="str">
        <f>IF(最佳化斷筋點!Q504="","",最佳化斷筋點!Q504)</f>
        <v/>
      </c>
      <c r="AQ504" s="37" t="str">
        <f>IF(最佳化斷筋點!R504="","",最佳化斷筋點!R504)</f>
        <v/>
      </c>
      <c r="AR504" s="37" t="str">
        <f>IF(最佳化斷筋點!S504="","",最佳化斷筋點!S504)</f>
        <v/>
      </c>
      <c r="AS504" s="37" t="str">
        <f>IF(最佳化斷筋點!T504="","",最佳化斷筋點!T504)</f>
        <v/>
      </c>
      <c r="AT504" s="37" t="str">
        <f>IF(最佳化斷筋點!U504="","",最佳化斷筋點!U504)</f>
        <v/>
      </c>
      <c r="AU504" s="37" t="str">
        <f>IF(最佳化斷筋點!V504="","",最佳化斷筋點!V504)</f>
        <v/>
      </c>
      <c r="AV504" s="37" t="str">
        <f>IF(最佳化斷筋點!W504="","",最佳化斷筋點!W504)</f>
        <v/>
      </c>
      <c r="AW504" s="37" t="str">
        <f>IF(最佳化斷筋點!X504="","",最佳化斷筋點!X504)</f>
        <v/>
      </c>
      <c r="AZ504" s="37" t="s">
        <v>197</v>
      </c>
      <c r="BA504" s="37" t="s">
        <v>197</v>
      </c>
      <c r="BB504" s="37" t="s">
        <v>197</v>
      </c>
      <c r="BC504" s="37" t="s">
        <v>197</v>
      </c>
      <c r="BD504" s="37" t="s">
        <v>197</v>
      </c>
      <c r="BE504" s="37" t="s">
        <v>197</v>
      </c>
      <c r="BF504" s="37" t="s">
        <v>197</v>
      </c>
      <c r="BG504" s="37" t="s">
        <v>197</v>
      </c>
      <c r="BH504" s="37" t="s">
        <v>197</v>
      </c>
      <c r="BI504" s="37" t="s">
        <v>197</v>
      </c>
      <c r="BJ504" s="37" t="s">
        <v>197</v>
      </c>
      <c r="BK504" s="37" t="s">
        <v>197</v>
      </c>
      <c r="BL504" s="37" t="s">
        <v>197</v>
      </c>
      <c r="BM504" s="37" t="s">
        <v>197</v>
      </c>
      <c r="BN504" s="37" t="s">
        <v>197</v>
      </c>
      <c r="BO504" s="37" t="s">
        <v>197</v>
      </c>
      <c r="BP504" s="37" t="s">
        <v>197</v>
      </c>
      <c r="BQ504" s="37" t="s">
        <v>197</v>
      </c>
      <c r="BR504" s="37" t="s">
        <v>197</v>
      </c>
      <c r="BS504" s="37" t="s">
        <v>197</v>
      </c>
      <c r="BT504" s="37" t="s">
        <v>197</v>
      </c>
    </row>
    <row r="505" spans="5:72" x14ac:dyDescent="0.25">
      <c r="E505" s="6" t="s">
        <v>21</v>
      </c>
      <c r="F505" s="6">
        <f t="shared" si="148"/>
        <v>0</v>
      </c>
      <c r="G505" s="6">
        <f t="shared" si="149"/>
        <v>0</v>
      </c>
      <c r="H505" s="6">
        <f t="shared" si="150"/>
        <v>0</v>
      </c>
      <c r="I505" s="6">
        <f t="shared" si="151"/>
        <v>0</v>
      </c>
      <c r="J505" s="6">
        <f t="shared" si="152"/>
        <v>0</v>
      </c>
      <c r="K505" s="6">
        <f t="shared" si="153"/>
        <v>0</v>
      </c>
      <c r="L505" s="6">
        <f t="shared" si="154"/>
        <v>0</v>
      </c>
      <c r="M505" s="6">
        <f t="shared" si="155"/>
        <v>0</v>
      </c>
      <c r="N505" s="6">
        <f t="shared" si="156"/>
        <v>0</v>
      </c>
      <c r="O505" s="6">
        <f t="shared" si="157"/>
        <v>0</v>
      </c>
      <c r="P505" s="6">
        <f t="shared" si="158"/>
        <v>0</v>
      </c>
      <c r="Q505" s="6">
        <f t="shared" si="159"/>
        <v>0</v>
      </c>
      <c r="R505" s="6">
        <f t="shared" si="160"/>
        <v>0</v>
      </c>
      <c r="S505" s="6">
        <f t="shared" si="161"/>
        <v>0</v>
      </c>
      <c r="T505" s="6">
        <f t="shared" si="162"/>
        <v>0</v>
      </c>
      <c r="U505" s="6">
        <f t="shared" si="163"/>
        <v>0</v>
      </c>
      <c r="V505" s="6">
        <f t="shared" si="164"/>
        <v>0</v>
      </c>
      <c r="W505" s="6">
        <f t="shared" si="165"/>
        <v>0</v>
      </c>
      <c r="X505" s="6">
        <f t="shared" si="166"/>
        <v>0</v>
      </c>
      <c r="Y505" s="6">
        <f t="shared" si="167"/>
        <v>0</v>
      </c>
      <c r="Z505" s="6">
        <f t="shared" si="168"/>
        <v>0</v>
      </c>
      <c r="AB505" s="36" t="str">
        <f>IF(最佳化斷筋點!C505="","",最佳化斷筋點!C505)</f>
        <v>下層</v>
      </c>
      <c r="AC505" s="37">
        <f>IF(最佳化斷筋點!D505="","",最佳化斷筋點!D505)</f>
        <v>8</v>
      </c>
      <c r="AD505" s="37">
        <f>IF(最佳化斷筋點!E505="","",最佳化斷筋點!E505)</f>
        <v>8</v>
      </c>
      <c r="AE505" s="37">
        <f>IF(最佳化斷筋點!F505="","",最佳化斷筋點!F505)</f>
        <v>8</v>
      </c>
      <c r="AF505" s="37">
        <f>IF(最佳化斷筋點!G505="","",最佳化斷筋點!G505)</f>
        <v>8</v>
      </c>
      <c r="AG505" s="37">
        <f>IF(最佳化斷筋點!H505="","",最佳化斷筋點!H505)</f>
        <v>8</v>
      </c>
      <c r="AH505" s="37">
        <f>IF(最佳化斷筋點!I505="","",最佳化斷筋點!I505)</f>
        <v>7</v>
      </c>
      <c r="AI505" s="37">
        <f>IF(最佳化斷筋點!J505="","",最佳化斷筋點!J505)</f>
        <v>6</v>
      </c>
      <c r="AJ505" s="37">
        <f>IF(最佳化斷筋點!K505="","",最佳化斷筋點!K505)</f>
        <v>5</v>
      </c>
      <c r="AK505" s="37">
        <f>IF(最佳化斷筋點!L505="","",最佳化斷筋點!L505)</f>
        <v>5</v>
      </c>
      <c r="AL505" s="37">
        <f>IF(最佳化斷筋點!M505="","",最佳化斷筋點!M505)</f>
        <v>5</v>
      </c>
      <c r="AM505" s="37">
        <f>IF(最佳化斷筋點!N505="","",最佳化斷筋點!N505)</f>
        <v>5</v>
      </c>
      <c r="AN505" s="37">
        <f>IF(最佳化斷筋點!O505="","",最佳化斷筋點!O505)</f>
        <v>5</v>
      </c>
      <c r="AO505" s="37">
        <f>IF(最佳化斷筋點!P505="","",最佳化斷筋點!P505)</f>
        <v>5</v>
      </c>
      <c r="AP505" s="37">
        <f>IF(最佳化斷筋點!Q505="","",最佳化斷筋點!Q505)</f>
        <v>5</v>
      </c>
      <c r="AQ505" s="37">
        <f>IF(最佳化斷筋點!R505="","",最佳化斷筋點!R505)</f>
        <v>5</v>
      </c>
      <c r="AR505" s="37">
        <f>IF(最佳化斷筋點!S505="","",最佳化斷筋點!S505)</f>
        <v>5</v>
      </c>
      <c r="AS505" s="37">
        <f>IF(最佳化斷筋點!T505="","",最佳化斷筋點!T505)</f>
        <v>6</v>
      </c>
      <c r="AT505" s="37">
        <f>IF(最佳化斷筋點!U505="","",最佳化斷筋點!U505)</f>
        <v>6</v>
      </c>
      <c r="AU505" s="37">
        <f>IF(最佳化斷筋點!V505="","",最佳化斷筋點!V505)</f>
        <v>7</v>
      </c>
      <c r="AV505" s="37">
        <f>IF(最佳化斷筋點!W505="","",最佳化斷筋點!W505)</f>
        <v>7</v>
      </c>
      <c r="AW505" s="37">
        <f>IF(最佳化斷筋點!X505="","",最佳化斷筋點!X505)</f>
        <v>7</v>
      </c>
      <c r="AY505" s="6" t="s">
        <v>21</v>
      </c>
      <c r="AZ505" s="37">
        <v>8</v>
      </c>
      <c r="BA505" s="37">
        <v>8</v>
      </c>
      <c r="BB505" s="37">
        <v>8</v>
      </c>
      <c r="BC505" s="37">
        <v>8</v>
      </c>
      <c r="BD505" s="37">
        <v>8</v>
      </c>
      <c r="BE505" s="37">
        <v>7</v>
      </c>
      <c r="BF505" s="37">
        <v>6</v>
      </c>
      <c r="BG505" s="37">
        <v>5</v>
      </c>
      <c r="BH505" s="37">
        <v>5</v>
      </c>
      <c r="BI505" s="37">
        <v>5</v>
      </c>
      <c r="BJ505" s="37">
        <v>5</v>
      </c>
      <c r="BK505" s="37">
        <v>5</v>
      </c>
      <c r="BL505" s="37">
        <v>5</v>
      </c>
      <c r="BM505" s="37">
        <v>5</v>
      </c>
      <c r="BN505" s="37">
        <v>5</v>
      </c>
      <c r="BO505" s="37">
        <v>5</v>
      </c>
      <c r="BP505" s="37">
        <v>6</v>
      </c>
      <c r="BQ505" s="37">
        <v>6</v>
      </c>
      <c r="BR505" s="37">
        <v>7</v>
      </c>
      <c r="BS505" s="37">
        <v>7</v>
      </c>
      <c r="BT505" s="37">
        <v>7</v>
      </c>
    </row>
    <row r="506" spans="5:72" x14ac:dyDescent="0.25">
      <c r="F506" s="6">
        <f t="shared" si="148"/>
        <v>0</v>
      </c>
      <c r="G506" s="6">
        <f t="shared" si="149"/>
        <v>0</v>
      </c>
      <c r="H506" s="6">
        <f t="shared" si="150"/>
        <v>0</v>
      </c>
      <c r="I506" s="6">
        <f t="shared" si="151"/>
        <v>0</v>
      </c>
      <c r="J506" s="6">
        <f t="shared" si="152"/>
        <v>0</v>
      </c>
      <c r="K506" s="6">
        <f t="shared" si="153"/>
        <v>0</v>
      </c>
      <c r="L506" s="6">
        <f t="shared" si="154"/>
        <v>0</v>
      </c>
      <c r="M506" s="6">
        <f t="shared" si="155"/>
        <v>0</v>
      </c>
      <c r="N506" s="6">
        <f t="shared" si="156"/>
        <v>0</v>
      </c>
      <c r="O506" s="6">
        <f t="shared" si="157"/>
        <v>0</v>
      </c>
      <c r="P506" s="6">
        <f t="shared" si="158"/>
        <v>0</v>
      </c>
      <c r="Q506" s="6">
        <f t="shared" si="159"/>
        <v>0</v>
      </c>
      <c r="R506" s="6">
        <f t="shared" si="160"/>
        <v>0</v>
      </c>
      <c r="S506" s="6">
        <f t="shared" si="161"/>
        <v>0</v>
      </c>
      <c r="T506" s="6">
        <f t="shared" si="162"/>
        <v>0</v>
      </c>
      <c r="U506" s="6">
        <f t="shared" si="163"/>
        <v>0</v>
      </c>
      <c r="V506" s="6">
        <f t="shared" si="164"/>
        <v>0</v>
      </c>
      <c r="W506" s="6">
        <f t="shared" si="165"/>
        <v>0</v>
      </c>
      <c r="X506" s="6">
        <f t="shared" si="166"/>
        <v>0</v>
      </c>
      <c r="Y506" s="6">
        <f t="shared" si="167"/>
        <v>0</v>
      </c>
      <c r="Z506" s="6">
        <f t="shared" si="168"/>
        <v>0</v>
      </c>
      <c r="AB506" s="36" t="str">
        <f>IF(最佳化斷筋點!C506="","",最佳化斷筋點!C506)</f>
        <v/>
      </c>
      <c r="AC506" s="37" t="str">
        <f>IF(最佳化斷筋點!D506="","",最佳化斷筋點!D506)</f>
        <v/>
      </c>
      <c r="AD506" s="37" t="str">
        <f>IF(最佳化斷筋點!E506="","",最佳化斷筋點!E506)</f>
        <v/>
      </c>
      <c r="AE506" s="37" t="str">
        <f>IF(最佳化斷筋點!F506="","",最佳化斷筋點!F506)</f>
        <v/>
      </c>
      <c r="AF506" s="37" t="str">
        <f>IF(最佳化斷筋點!G506="","",最佳化斷筋點!G506)</f>
        <v/>
      </c>
      <c r="AG506" s="37" t="str">
        <f>IF(最佳化斷筋點!H506="","",最佳化斷筋點!H506)</f>
        <v/>
      </c>
      <c r="AH506" s="37" t="str">
        <f>IF(最佳化斷筋點!I506="","",最佳化斷筋點!I506)</f>
        <v/>
      </c>
      <c r="AI506" s="37" t="str">
        <f>IF(最佳化斷筋點!J506="","",最佳化斷筋點!J506)</f>
        <v/>
      </c>
      <c r="AJ506" s="37" t="str">
        <f>IF(最佳化斷筋點!K506="","",最佳化斷筋點!K506)</f>
        <v/>
      </c>
      <c r="AK506" s="37" t="str">
        <f>IF(最佳化斷筋點!L506="","",最佳化斷筋點!L506)</f>
        <v/>
      </c>
      <c r="AL506" s="37" t="str">
        <f>IF(最佳化斷筋點!M506="","",最佳化斷筋點!M506)</f>
        <v/>
      </c>
      <c r="AM506" s="37" t="str">
        <f>IF(最佳化斷筋點!N506="","",最佳化斷筋點!N506)</f>
        <v/>
      </c>
      <c r="AN506" s="37" t="str">
        <f>IF(最佳化斷筋點!O506="","",最佳化斷筋點!O506)</f>
        <v/>
      </c>
      <c r="AO506" s="37" t="str">
        <f>IF(最佳化斷筋點!P506="","",最佳化斷筋點!P506)</f>
        <v/>
      </c>
      <c r="AP506" s="37" t="str">
        <f>IF(最佳化斷筋點!Q506="","",最佳化斷筋點!Q506)</f>
        <v/>
      </c>
      <c r="AQ506" s="37" t="str">
        <f>IF(最佳化斷筋點!R506="","",最佳化斷筋點!R506)</f>
        <v/>
      </c>
      <c r="AR506" s="37" t="str">
        <f>IF(最佳化斷筋點!S506="","",最佳化斷筋點!S506)</f>
        <v/>
      </c>
      <c r="AS506" s="37" t="str">
        <f>IF(最佳化斷筋點!T506="","",最佳化斷筋點!T506)</f>
        <v/>
      </c>
      <c r="AT506" s="37" t="str">
        <f>IF(最佳化斷筋點!U506="","",最佳化斷筋點!U506)</f>
        <v/>
      </c>
      <c r="AU506" s="37" t="str">
        <f>IF(最佳化斷筋點!V506="","",最佳化斷筋點!V506)</f>
        <v/>
      </c>
      <c r="AV506" s="37" t="str">
        <f>IF(最佳化斷筋點!W506="","",最佳化斷筋點!W506)</f>
        <v/>
      </c>
      <c r="AW506" s="37" t="str">
        <f>IF(最佳化斷筋點!X506="","",最佳化斷筋點!X506)</f>
        <v/>
      </c>
      <c r="AZ506" s="37" t="s">
        <v>197</v>
      </c>
      <c r="BA506" s="37" t="s">
        <v>197</v>
      </c>
      <c r="BB506" s="37" t="s">
        <v>197</v>
      </c>
      <c r="BC506" s="37" t="s">
        <v>197</v>
      </c>
      <c r="BD506" s="37" t="s">
        <v>197</v>
      </c>
      <c r="BE506" s="37" t="s">
        <v>197</v>
      </c>
      <c r="BF506" s="37" t="s">
        <v>197</v>
      </c>
      <c r="BG506" s="37" t="s">
        <v>197</v>
      </c>
      <c r="BH506" s="37" t="s">
        <v>197</v>
      </c>
      <c r="BI506" s="37" t="s">
        <v>197</v>
      </c>
      <c r="BJ506" s="37" t="s">
        <v>197</v>
      </c>
      <c r="BK506" s="37" t="s">
        <v>197</v>
      </c>
      <c r="BL506" s="37" t="s">
        <v>197</v>
      </c>
      <c r="BM506" s="37" t="s">
        <v>197</v>
      </c>
      <c r="BN506" s="37" t="s">
        <v>197</v>
      </c>
      <c r="BO506" s="37" t="s">
        <v>197</v>
      </c>
      <c r="BP506" s="37" t="s">
        <v>197</v>
      </c>
      <c r="BQ506" s="37" t="s">
        <v>197</v>
      </c>
      <c r="BR506" s="37" t="s">
        <v>197</v>
      </c>
      <c r="BS506" s="37" t="s">
        <v>197</v>
      </c>
      <c r="BT506" s="37" t="s">
        <v>197</v>
      </c>
    </row>
    <row r="507" spans="5:72" x14ac:dyDescent="0.25">
      <c r="E507" s="6" t="s">
        <v>20</v>
      </c>
      <c r="F507" s="6">
        <f t="shared" si="148"/>
        <v>0</v>
      </c>
      <c r="G507" s="6">
        <f t="shared" si="149"/>
        <v>0</v>
      </c>
      <c r="H507" s="6">
        <f t="shared" si="150"/>
        <v>0</v>
      </c>
      <c r="I507" s="6">
        <f t="shared" si="151"/>
        <v>0</v>
      </c>
      <c r="J507" s="6">
        <f t="shared" si="152"/>
        <v>0</v>
      </c>
      <c r="K507" s="6">
        <f t="shared" si="153"/>
        <v>0</v>
      </c>
      <c r="L507" s="6">
        <f t="shared" si="154"/>
        <v>0</v>
      </c>
      <c r="M507" s="6">
        <f t="shared" si="155"/>
        <v>0</v>
      </c>
      <c r="N507" s="6">
        <f t="shared" si="156"/>
        <v>0</v>
      </c>
      <c r="O507" s="6">
        <f t="shared" si="157"/>
        <v>0</v>
      </c>
      <c r="P507" s="6">
        <f t="shared" si="158"/>
        <v>0</v>
      </c>
      <c r="Q507" s="6">
        <f t="shared" si="159"/>
        <v>0</v>
      </c>
      <c r="R507" s="6">
        <f t="shared" si="160"/>
        <v>0</v>
      </c>
      <c r="S507" s="6">
        <f t="shared" si="161"/>
        <v>0</v>
      </c>
      <c r="T507" s="6">
        <f t="shared" si="162"/>
        <v>0</v>
      </c>
      <c r="U507" s="6">
        <f t="shared" si="163"/>
        <v>0</v>
      </c>
      <c r="V507" s="6">
        <f t="shared" si="164"/>
        <v>0</v>
      </c>
      <c r="W507" s="6">
        <f t="shared" si="165"/>
        <v>0</v>
      </c>
      <c r="X507" s="6">
        <f t="shared" si="166"/>
        <v>0</v>
      </c>
      <c r="Y507" s="6">
        <f t="shared" si="167"/>
        <v>0</v>
      </c>
      <c r="Z507" s="6">
        <f t="shared" si="168"/>
        <v>0</v>
      </c>
      <c r="AB507" s="36" t="str">
        <f>IF(最佳化斷筋點!C507="","",最佳化斷筋點!C507)</f>
        <v>上層</v>
      </c>
      <c r="AC507" s="37">
        <f>IF(最佳化斷筋點!D507="","",最佳化斷筋點!D507)</f>
        <v>8</v>
      </c>
      <c r="AD507" s="37">
        <f>IF(最佳化斷筋點!E507="","",最佳化斷筋點!E507)</f>
        <v>8</v>
      </c>
      <c r="AE507" s="37">
        <f>IF(最佳化斷筋點!F507="","",最佳化斷筋點!F507)</f>
        <v>8</v>
      </c>
      <c r="AF507" s="37">
        <f>IF(最佳化斷筋點!G507="","",最佳化斷筋點!G507)</f>
        <v>8</v>
      </c>
      <c r="AG507" s="37">
        <f>IF(最佳化斷筋點!H507="","",最佳化斷筋點!H507)</f>
        <v>8</v>
      </c>
      <c r="AH507" s="37">
        <f>IF(最佳化斷筋點!I507="","",最佳化斷筋點!I507)</f>
        <v>8</v>
      </c>
      <c r="AI507" s="37">
        <f>IF(最佳化斷筋點!J507="","",最佳化斷筋點!J507)</f>
        <v>7</v>
      </c>
      <c r="AJ507" s="37">
        <f>IF(最佳化斷筋點!K507="","",最佳化斷筋點!K507)</f>
        <v>3</v>
      </c>
      <c r="AK507" s="37">
        <f>IF(最佳化斷筋點!L507="","",最佳化斷筋點!L507)</f>
        <v>3</v>
      </c>
      <c r="AL507" s="37">
        <f>IF(最佳化斷筋點!M507="","",最佳化斷筋點!M507)</f>
        <v>3</v>
      </c>
      <c r="AM507" s="37">
        <f>IF(最佳化斷筋點!N507="","",最佳化斷筋點!N507)</f>
        <v>3</v>
      </c>
      <c r="AN507" s="37">
        <f>IF(最佳化斷筋點!O507="","",最佳化斷筋點!O507)</f>
        <v>3</v>
      </c>
      <c r="AO507" s="37">
        <f>IF(最佳化斷筋點!P507="","",最佳化斷筋點!P507)</f>
        <v>3</v>
      </c>
      <c r="AP507" s="37">
        <f>IF(最佳化斷筋點!Q507="","",最佳化斷筋點!Q507)</f>
        <v>6</v>
      </c>
      <c r="AQ507" s="37">
        <f>IF(最佳化斷筋點!R507="","",最佳化斷筋點!R507)</f>
        <v>7</v>
      </c>
      <c r="AR507" s="37">
        <f>IF(最佳化斷筋點!S507="","",最佳化斷筋點!S507)</f>
        <v>8</v>
      </c>
      <c r="AS507" s="37">
        <f>IF(最佳化斷筋點!T507="","",最佳化斷筋點!T507)</f>
        <v>9</v>
      </c>
      <c r="AT507" s="37">
        <f>IF(最佳化斷筋點!U507="","",最佳化斷筋點!U507)</f>
        <v>9</v>
      </c>
      <c r="AU507" s="37">
        <f>IF(最佳化斷筋點!V507="","",最佳化斷筋點!V507)</f>
        <v>9</v>
      </c>
      <c r="AV507" s="37">
        <f>IF(最佳化斷筋點!W507="","",最佳化斷筋點!W507)</f>
        <v>9</v>
      </c>
      <c r="AW507" s="37">
        <f>IF(最佳化斷筋點!X507="","",最佳化斷筋點!X507)</f>
        <v>9</v>
      </c>
      <c r="AY507" s="6" t="s">
        <v>20</v>
      </c>
      <c r="AZ507" s="37">
        <v>8</v>
      </c>
      <c r="BA507" s="37">
        <v>8</v>
      </c>
      <c r="BB507" s="37">
        <v>8</v>
      </c>
      <c r="BC507" s="37">
        <v>8</v>
      </c>
      <c r="BD507" s="37">
        <v>8</v>
      </c>
      <c r="BE507" s="37">
        <v>8</v>
      </c>
      <c r="BF507" s="37">
        <v>7</v>
      </c>
      <c r="BG507" s="37">
        <v>3</v>
      </c>
      <c r="BH507" s="37">
        <v>3</v>
      </c>
      <c r="BI507" s="37">
        <v>3</v>
      </c>
      <c r="BJ507" s="37">
        <v>3</v>
      </c>
      <c r="BK507" s="37">
        <v>3</v>
      </c>
      <c r="BL507" s="37">
        <v>3</v>
      </c>
      <c r="BM507" s="37">
        <v>6</v>
      </c>
      <c r="BN507" s="37">
        <v>7</v>
      </c>
      <c r="BO507" s="37">
        <v>8</v>
      </c>
      <c r="BP507" s="37">
        <v>9</v>
      </c>
      <c r="BQ507" s="37">
        <v>9</v>
      </c>
      <c r="BR507" s="37">
        <v>9</v>
      </c>
      <c r="BS507" s="37">
        <v>9</v>
      </c>
      <c r="BT507" s="37">
        <v>9</v>
      </c>
    </row>
    <row r="508" spans="5:72" x14ac:dyDescent="0.25">
      <c r="F508" s="6">
        <f t="shared" si="148"/>
        <v>0</v>
      </c>
      <c r="G508" s="6">
        <f t="shared" si="149"/>
        <v>0</v>
      </c>
      <c r="H508" s="6">
        <f t="shared" si="150"/>
        <v>0</v>
      </c>
      <c r="I508" s="6">
        <f t="shared" si="151"/>
        <v>0</v>
      </c>
      <c r="J508" s="6">
        <f t="shared" si="152"/>
        <v>0</v>
      </c>
      <c r="K508" s="6">
        <f t="shared" si="153"/>
        <v>0</v>
      </c>
      <c r="L508" s="6">
        <f t="shared" si="154"/>
        <v>0</v>
      </c>
      <c r="M508" s="6">
        <f t="shared" si="155"/>
        <v>0</v>
      </c>
      <c r="N508" s="6">
        <f t="shared" si="156"/>
        <v>0</v>
      </c>
      <c r="O508" s="6">
        <f t="shared" si="157"/>
        <v>0</v>
      </c>
      <c r="P508" s="6">
        <f t="shared" si="158"/>
        <v>0</v>
      </c>
      <c r="Q508" s="6">
        <f t="shared" si="159"/>
        <v>0</v>
      </c>
      <c r="R508" s="6">
        <f t="shared" si="160"/>
        <v>0</v>
      </c>
      <c r="S508" s="6">
        <f t="shared" si="161"/>
        <v>0</v>
      </c>
      <c r="T508" s="6">
        <f t="shared" si="162"/>
        <v>0</v>
      </c>
      <c r="U508" s="6">
        <f t="shared" si="163"/>
        <v>0</v>
      </c>
      <c r="V508" s="6">
        <f t="shared" si="164"/>
        <v>0</v>
      </c>
      <c r="W508" s="6">
        <f t="shared" si="165"/>
        <v>0</v>
      </c>
      <c r="X508" s="6">
        <f t="shared" si="166"/>
        <v>0</v>
      </c>
      <c r="Y508" s="6">
        <f t="shared" si="167"/>
        <v>0</v>
      </c>
      <c r="Z508" s="6">
        <f t="shared" si="168"/>
        <v>0</v>
      </c>
      <c r="AB508" s="36" t="str">
        <f>IF(最佳化斷筋點!C508="","",最佳化斷筋點!C508)</f>
        <v/>
      </c>
      <c r="AC508" s="37" t="str">
        <f>IF(最佳化斷筋點!D508="","",最佳化斷筋點!D508)</f>
        <v/>
      </c>
      <c r="AD508" s="37" t="str">
        <f>IF(最佳化斷筋點!E508="","",最佳化斷筋點!E508)</f>
        <v/>
      </c>
      <c r="AE508" s="37" t="str">
        <f>IF(最佳化斷筋點!F508="","",最佳化斷筋點!F508)</f>
        <v/>
      </c>
      <c r="AF508" s="37" t="str">
        <f>IF(最佳化斷筋點!G508="","",最佳化斷筋點!G508)</f>
        <v/>
      </c>
      <c r="AG508" s="37" t="str">
        <f>IF(最佳化斷筋點!H508="","",最佳化斷筋點!H508)</f>
        <v/>
      </c>
      <c r="AH508" s="37" t="str">
        <f>IF(最佳化斷筋點!I508="","",最佳化斷筋點!I508)</f>
        <v/>
      </c>
      <c r="AI508" s="37" t="str">
        <f>IF(最佳化斷筋點!J508="","",最佳化斷筋點!J508)</f>
        <v/>
      </c>
      <c r="AJ508" s="37" t="str">
        <f>IF(最佳化斷筋點!K508="","",最佳化斷筋點!K508)</f>
        <v/>
      </c>
      <c r="AK508" s="37" t="str">
        <f>IF(最佳化斷筋點!L508="","",最佳化斷筋點!L508)</f>
        <v/>
      </c>
      <c r="AL508" s="37" t="str">
        <f>IF(最佳化斷筋點!M508="","",最佳化斷筋點!M508)</f>
        <v/>
      </c>
      <c r="AM508" s="37" t="str">
        <f>IF(最佳化斷筋點!N508="","",最佳化斷筋點!N508)</f>
        <v/>
      </c>
      <c r="AN508" s="37" t="str">
        <f>IF(最佳化斷筋點!O508="","",最佳化斷筋點!O508)</f>
        <v/>
      </c>
      <c r="AO508" s="37" t="str">
        <f>IF(最佳化斷筋點!P508="","",最佳化斷筋點!P508)</f>
        <v/>
      </c>
      <c r="AP508" s="37" t="str">
        <f>IF(最佳化斷筋點!Q508="","",最佳化斷筋點!Q508)</f>
        <v/>
      </c>
      <c r="AQ508" s="37" t="str">
        <f>IF(最佳化斷筋點!R508="","",最佳化斷筋點!R508)</f>
        <v/>
      </c>
      <c r="AR508" s="37" t="str">
        <f>IF(最佳化斷筋點!S508="","",最佳化斷筋點!S508)</f>
        <v/>
      </c>
      <c r="AS508" s="37" t="str">
        <f>IF(最佳化斷筋點!T508="","",最佳化斷筋點!T508)</f>
        <v/>
      </c>
      <c r="AT508" s="37" t="str">
        <f>IF(最佳化斷筋點!U508="","",最佳化斷筋點!U508)</f>
        <v/>
      </c>
      <c r="AU508" s="37" t="str">
        <f>IF(最佳化斷筋點!V508="","",最佳化斷筋點!V508)</f>
        <v/>
      </c>
      <c r="AV508" s="37" t="str">
        <f>IF(最佳化斷筋點!W508="","",最佳化斷筋點!W508)</f>
        <v/>
      </c>
      <c r="AW508" s="37" t="str">
        <f>IF(最佳化斷筋點!X508="","",最佳化斷筋點!X508)</f>
        <v/>
      </c>
      <c r="AZ508" s="37" t="s">
        <v>197</v>
      </c>
      <c r="BA508" s="37" t="s">
        <v>197</v>
      </c>
      <c r="BB508" s="37" t="s">
        <v>197</v>
      </c>
      <c r="BC508" s="37" t="s">
        <v>197</v>
      </c>
      <c r="BD508" s="37" t="s">
        <v>197</v>
      </c>
      <c r="BE508" s="37" t="s">
        <v>197</v>
      </c>
      <c r="BF508" s="37" t="s">
        <v>197</v>
      </c>
      <c r="BG508" s="37" t="s">
        <v>197</v>
      </c>
      <c r="BH508" s="37" t="s">
        <v>197</v>
      </c>
      <c r="BI508" s="37" t="s">
        <v>197</v>
      </c>
      <c r="BJ508" s="37" t="s">
        <v>197</v>
      </c>
      <c r="BK508" s="37" t="s">
        <v>197</v>
      </c>
      <c r="BL508" s="37" t="s">
        <v>197</v>
      </c>
      <c r="BM508" s="37" t="s">
        <v>197</v>
      </c>
      <c r="BN508" s="37" t="s">
        <v>197</v>
      </c>
      <c r="BO508" s="37" t="s">
        <v>197</v>
      </c>
      <c r="BP508" s="37" t="s">
        <v>197</v>
      </c>
      <c r="BQ508" s="37" t="s">
        <v>197</v>
      </c>
      <c r="BR508" s="37" t="s">
        <v>197</v>
      </c>
      <c r="BS508" s="37" t="s">
        <v>197</v>
      </c>
      <c r="BT508" s="37" t="s">
        <v>197</v>
      </c>
    </row>
    <row r="509" spans="5:72" x14ac:dyDescent="0.25">
      <c r="E509" s="6" t="s">
        <v>21</v>
      </c>
      <c r="F509" s="6">
        <f t="shared" si="148"/>
        <v>0</v>
      </c>
      <c r="G509" s="6">
        <f t="shared" si="149"/>
        <v>0</v>
      </c>
      <c r="H509" s="6">
        <f t="shared" si="150"/>
        <v>0</v>
      </c>
      <c r="I509" s="6">
        <f t="shared" si="151"/>
        <v>0</v>
      </c>
      <c r="J509" s="6">
        <f t="shared" si="152"/>
        <v>0</v>
      </c>
      <c r="K509" s="6">
        <f t="shared" si="153"/>
        <v>0</v>
      </c>
      <c r="L509" s="6">
        <f t="shared" si="154"/>
        <v>0</v>
      </c>
      <c r="M509" s="6">
        <f t="shared" si="155"/>
        <v>0</v>
      </c>
      <c r="N509" s="6">
        <f t="shared" si="156"/>
        <v>0</v>
      </c>
      <c r="O509" s="6">
        <f t="shared" si="157"/>
        <v>0</v>
      </c>
      <c r="P509" s="6">
        <f t="shared" si="158"/>
        <v>0</v>
      </c>
      <c r="Q509" s="6">
        <f t="shared" si="159"/>
        <v>0</v>
      </c>
      <c r="R509" s="6">
        <f t="shared" si="160"/>
        <v>0</v>
      </c>
      <c r="S509" s="6">
        <f t="shared" si="161"/>
        <v>0</v>
      </c>
      <c r="T509" s="6">
        <f t="shared" si="162"/>
        <v>0</v>
      </c>
      <c r="U509" s="6">
        <f t="shared" si="163"/>
        <v>0</v>
      </c>
      <c r="V509" s="6">
        <f t="shared" si="164"/>
        <v>0</v>
      </c>
      <c r="W509" s="6">
        <f t="shared" si="165"/>
        <v>0</v>
      </c>
      <c r="X509" s="6">
        <f t="shared" si="166"/>
        <v>0</v>
      </c>
      <c r="Y509" s="6">
        <f t="shared" si="167"/>
        <v>0</v>
      </c>
      <c r="Z509" s="6">
        <f t="shared" si="168"/>
        <v>0</v>
      </c>
      <c r="AB509" s="36" t="str">
        <f>IF(最佳化斷筋點!C509="","",最佳化斷筋點!C509)</f>
        <v>下層</v>
      </c>
      <c r="AC509" s="37">
        <f>IF(最佳化斷筋點!D509="","",最佳化斷筋點!D509)</f>
        <v>7</v>
      </c>
      <c r="AD509" s="37">
        <f>IF(最佳化斷筋點!E509="","",最佳化斷筋點!E509)</f>
        <v>7</v>
      </c>
      <c r="AE509" s="37">
        <f>IF(最佳化斷筋點!F509="","",最佳化斷筋點!F509)</f>
        <v>7</v>
      </c>
      <c r="AF509" s="37">
        <f>IF(最佳化斷筋點!G509="","",最佳化斷筋點!G509)</f>
        <v>7</v>
      </c>
      <c r="AG509" s="37">
        <f>IF(最佳化斷筋點!H509="","",最佳化斷筋點!H509)</f>
        <v>6</v>
      </c>
      <c r="AH509" s="37">
        <f>IF(最佳化斷筋點!I509="","",最佳化斷筋點!I509)</f>
        <v>6</v>
      </c>
      <c r="AI509" s="37">
        <f>IF(最佳化斷筋點!J509="","",最佳化斷筋點!J509)</f>
        <v>5</v>
      </c>
      <c r="AJ509" s="37">
        <f>IF(最佳化斷筋點!K509="","",最佳化斷筋點!K509)</f>
        <v>4</v>
      </c>
      <c r="AK509" s="37">
        <f>IF(最佳化斷筋點!L509="","",最佳化斷筋點!L509)</f>
        <v>4</v>
      </c>
      <c r="AL509" s="37">
        <f>IF(最佳化斷筋點!M509="","",最佳化斷筋點!M509)</f>
        <v>4</v>
      </c>
      <c r="AM509" s="37">
        <f>IF(最佳化斷筋點!N509="","",最佳化斷筋點!N509)</f>
        <v>4</v>
      </c>
      <c r="AN509" s="37">
        <f>IF(最佳化斷筋點!O509="","",最佳化斷筋點!O509)</f>
        <v>4</v>
      </c>
      <c r="AO509" s="37">
        <f>IF(最佳化斷筋點!P509="","",最佳化斷筋點!P509)</f>
        <v>4</v>
      </c>
      <c r="AP509" s="37">
        <f>IF(最佳化斷筋點!Q509="","",最佳化斷筋點!Q509)</f>
        <v>4</v>
      </c>
      <c r="AQ509" s="37">
        <f>IF(最佳化斷筋點!R509="","",最佳化斷筋點!R509)</f>
        <v>4</v>
      </c>
      <c r="AR509" s="37">
        <f>IF(最佳化斷筋點!S509="","",最佳化斷筋點!S509)</f>
        <v>5</v>
      </c>
      <c r="AS509" s="37">
        <f>IF(最佳化斷筋點!T509="","",最佳化斷筋點!T509)</f>
        <v>6</v>
      </c>
      <c r="AT509" s="37">
        <f>IF(最佳化斷筋點!U509="","",最佳化斷筋點!U509)</f>
        <v>6</v>
      </c>
      <c r="AU509" s="37">
        <f>IF(最佳化斷筋點!V509="","",最佳化斷筋點!V509)</f>
        <v>7</v>
      </c>
      <c r="AV509" s="37">
        <f>IF(最佳化斷筋點!W509="","",最佳化斷筋點!W509)</f>
        <v>7</v>
      </c>
      <c r="AW509" s="37">
        <f>IF(最佳化斷筋點!X509="","",最佳化斷筋點!X509)</f>
        <v>7</v>
      </c>
      <c r="AY509" s="6" t="s">
        <v>21</v>
      </c>
      <c r="AZ509" s="37">
        <v>7</v>
      </c>
      <c r="BA509" s="37">
        <v>7</v>
      </c>
      <c r="BB509" s="37">
        <v>7</v>
      </c>
      <c r="BC509" s="37">
        <v>7</v>
      </c>
      <c r="BD509" s="37">
        <v>6</v>
      </c>
      <c r="BE509" s="37">
        <v>6</v>
      </c>
      <c r="BF509" s="37">
        <v>5</v>
      </c>
      <c r="BG509" s="37">
        <v>4</v>
      </c>
      <c r="BH509" s="37">
        <v>4</v>
      </c>
      <c r="BI509" s="37">
        <v>4</v>
      </c>
      <c r="BJ509" s="37">
        <v>4</v>
      </c>
      <c r="BK509" s="37">
        <v>4</v>
      </c>
      <c r="BL509" s="37">
        <v>4</v>
      </c>
      <c r="BM509" s="37">
        <v>4</v>
      </c>
      <c r="BN509" s="37">
        <v>4</v>
      </c>
      <c r="BO509" s="37">
        <v>5</v>
      </c>
      <c r="BP509" s="37">
        <v>6</v>
      </c>
      <c r="BQ509" s="37">
        <v>6</v>
      </c>
      <c r="BR509" s="37">
        <v>7</v>
      </c>
      <c r="BS509" s="37">
        <v>7</v>
      </c>
      <c r="BT509" s="37">
        <v>7</v>
      </c>
    </row>
    <row r="510" spans="5:72" x14ac:dyDescent="0.25">
      <c r="F510" s="6">
        <f t="shared" si="148"/>
        <v>0</v>
      </c>
      <c r="G510" s="6">
        <f t="shared" si="149"/>
        <v>0</v>
      </c>
      <c r="H510" s="6">
        <f t="shared" si="150"/>
        <v>0</v>
      </c>
      <c r="I510" s="6">
        <f t="shared" si="151"/>
        <v>0</v>
      </c>
      <c r="J510" s="6">
        <f t="shared" si="152"/>
        <v>0</v>
      </c>
      <c r="K510" s="6">
        <f t="shared" si="153"/>
        <v>0</v>
      </c>
      <c r="L510" s="6">
        <f t="shared" si="154"/>
        <v>0</v>
      </c>
      <c r="M510" s="6">
        <f t="shared" si="155"/>
        <v>0</v>
      </c>
      <c r="N510" s="6">
        <f t="shared" si="156"/>
        <v>0</v>
      </c>
      <c r="O510" s="6">
        <f t="shared" si="157"/>
        <v>0</v>
      </c>
      <c r="P510" s="6">
        <f t="shared" si="158"/>
        <v>0</v>
      </c>
      <c r="Q510" s="6">
        <f t="shared" si="159"/>
        <v>0</v>
      </c>
      <c r="R510" s="6">
        <f t="shared" si="160"/>
        <v>0</v>
      </c>
      <c r="S510" s="6">
        <f t="shared" si="161"/>
        <v>0</v>
      </c>
      <c r="T510" s="6">
        <f t="shared" si="162"/>
        <v>0</v>
      </c>
      <c r="U510" s="6">
        <f t="shared" si="163"/>
        <v>0</v>
      </c>
      <c r="V510" s="6">
        <f t="shared" si="164"/>
        <v>0</v>
      </c>
      <c r="W510" s="6">
        <f t="shared" si="165"/>
        <v>0</v>
      </c>
      <c r="X510" s="6">
        <f t="shared" si="166"/>
        <v>0</v>
      </c>
      <c r="Y510" s="6">
        <f t="shared" si="167"/>
        <v>0</v>
      </c>
      <c r="Z510" s="6">
        <f t="shared" si="168"/>
        <v>0</v>
      </c>
      <c r="AB510" s="36" t="str">
        <f>IF(最佳化斷筋點!C510="","",最佳化斷筋點!C510)</f>
        <v/>
      </c>
      <c r="AC510" s="37" t="str">
        <f>IF(最佳化斷筋點!D510="","",最佳化斷筋點!D510)</f>
        <v/>
      </c>
      <c r="AD510" s="37" t="str">
        <f>IF(最佳化斷筋點!E510="","",最佳化斷筋點!E510)</f>
        <v/>
      </c>
      <c r="AE510" s="37" t="str">
        <f>IF(最佳化斷筋點!F510="","",最佳化斷筋點!F510)</f>
        <v/>
      </c>
      <c r="AF510" s="37" t="str">
        <f>IF(最佳化斷筋點!G510="","",最佳化斷筋點!G510)</f>
        <v/>
      </c>
      <c r="AG510" s="37" t="str">
        <f>IF(最佳化斷筋點!H510="","",最佳化斷筋點!H510)</f>
        <v/>
      </c>
      <c r="AH510" s="37" t="str">
        <f>IF(最佳化斷筋點!I510="","",最佳化斷筋點!I510)</f>
        <v/>
      </c>
      <c r="AI510" s="37" t="str">
        <f>IF(最佳化斷筋點!J510="","",最佳化斷筋點!J510)</f>
        <v/>
      </c>
      <c r="AJ510" s="37" t="str">
        <f>IF(最佳化斷筋點!K510="","",最佳化斷筋點!K510)</f>
        <v/>
      </c>
      <c r="AK510" s="37" t="str">
        <f>IF(最佳化斷筋點!L510="","",最佳化斷筋點!L510)</f>
        <v/>
      </c>
      <c r="AL510" s="37" t="str">
        <f>IF(最佳化斷筋點!M510="","",最佳化斷筋點!M510)</f>
        <v/>
      </c>
      <c r="AM510" s="37" t="str">
        <f>IF(最佳化斷筋點!N510="","",最佳化斷筋點!N510)</f>
        <v/>
      </c>
      <c r="AN510" s="37" t="str">
        <f>IF(最佳化斷筋點!O510="","",最佳化斷筋點!O510)</f>
        <v/>
      </c>
      <c r="AO510" s="37" t="str">
        <f>IF(最佳化斷筋點!P510="","",最佳化斷筋點!P510)</f>
        <v/>
      </c>
      <c r="AP510" s="37" t="str">
        <f>IF(最佳化斷筋點!Q510="","",最佳化斷筋點!Q510)</f>
        <v/>
      </c>
      <c r="AQ510" s="37" t="str">
        <f>IF(最佳化斷筋點!R510="","",最佳化斷筋點!R510)</f>
        <v/>
      </c>
      <c r="AR510" s="37" t="str">
        <f>IF(最佳化斷筋點!S510="","",最佳化斷筋點!S510)</f>
        <v/>
      </c>
      <c r="AS510" s="37" t="str">
        <f>IF(最佳化斷筋點!T510="","",最佳化斷筋點!T510)</f>
        <v/>
      </c>
      <c r="AT510" s="37" t="str">
        <f>IF(最佳化斷筋點!U510="","",最佳化斷筋點!U510)</f>
        <v/>
      </c>
      <c r="AU510" s="37" t="str">
        <f>IF(最佳化斷筋點!V510="","",最佳化斷筋點!V510)</f>
        <v/>
      </c>
      <c r="AV510" s="37" t="str">
        <f>IF(最佳化斷筋點!W510="","",最佳化斷筋點!W510)</f>
        <v/>
      </c>
      <c r="AW510" s="37" t="str">
        <f>IF(最佳化斷筋點!X510="","",最佳化斷筋點!X510)</f>
        <v/>
      </c>
      <c r="AZ510" s="37" t="s">
        <v>197</v>
      </c>
      <c r="BA510" s="37" t="s">
        <v>197</v>
      </c>
      <c r="BB510" s="37" t="s">
        <v>197</v>
      </c>
      <c r="BC510" s="37" t="s">
        <v>197</v>
      </c>
      <c r="BD510" s="37" t="s">
        <v>197</v>
      </c>
      <c r="BE510" s="37" t="s">
        <v>197</v>
      </c>
      <c r="BF510" s="37" t="s">
        <v>197</v>
      </c>
      <c r="BG510" s="37" t="s">
        <v>197</v>
      </c>
      <c r="BH510" s="37" t="s">
        <v>197</v>
      </c>
      <c r="BI510" s="37" t="s">
        <v>197</v>
      </c>
      <c r="BJ510" s="37" t="s">
        <v>197</v>
      </c>
      <c r="BK510" s="37" t="s">
        <v>197</v>
      </c>
      <c r="BL510" s="37" t="s">
        <v>197</v>
      </c>
      <c r="BM510" s="37" t="s">
        <v>197</v>
      </c>
      <c r="BN510" s="37" t="s">
        <v>197</v>
      </c>
      <c r="BO510" s="37" t="s">
        <v>197</v>
      </c>
      <c r="BP510" s="37" t="s">
        <v>197</v>
      </c>
      <c r="BQ510" s="37" t="s">
        <v>197</v>
      </c>
      <c r="BR510" s="37" t="s">
        <v>197</v>
      </c>
      <c r="BS510" s="37" t="s">
        <v>197</v>
      </c>
      <c r="BT510" s="37" t="s">
        <v>197</v>
      </c>
    </row>
    <row r="511" spans="5:72" x14ac:dyDescent="0.25">
      <c r="E511" s="6" t="s">
        <v>20</v>
      </c>
      <c r="F511" s="6">
        <f t="shared" si="148"/>
        <v>0</v>
      </c>
      <c r="G511" s="6">
        <f t="shared" si="149"/>
        <v>0</v>
      </c>
      <c r="H511" s="6">
        <f t="shared" si="150"/>
        <v>0</v>
      </c>
      <c r="I511" s="6">
        <f t="shared" si="151"/>
        <v>0</v>
      </c>
      <c r="J511" s="6">
        <f t="shared" si="152"/>
        <v>0</v>
      </c>
      <c r="K511" s="6">
        <f t="shared" si="153"/>
        <v>0</v>
      </c>
      <c r="L511" s="6">
        <f t="shared" si="154"/>
        <v>0</v>
      </c>
      <c r="M511" s="6">
        <f t="shared" si="155"/>
        <v>0</v>
      </c>
      <c r="N511" s="6">
        <f t="shared" si="156"/>
        <v>0</v>
      </c>
      <c r="O511" s="6">
        <f t="shared" si="157"/>
        <v>0</v>
      </c>
      <c r="P511" s="6">
        <f t="shared" si="158"/>
        <v>0</v>
      </c>
      <c r="Q511" s="6">
        <f t="shared" si="159"/>
        <v>0</v>
      </c>
      <c r="R511" s="6">
        <f t="shared" si="160"/>
        <v>0</v>
      </c>
      <c r="S511" s="6">
        <f t="shared" si="161"/>
        <v>0</v>
      </c>
      <c r="T511" s="6">
        <f t="shared" si="162"/>
        <v>0</v>
      </c>
      <c r="U511" s="6">
        <f t="shared" si="163"/>
        <v>0</v>
      </c>
      <c r="V511" s="6">
        <f t="shared" si="164"/>
        <v>0</v>
      </c>
      <c r="W511" s="6">
        <f t="shared" si="165"/>
        <v>0</v>
      </c>
      <c r="X511" s="6">
        <f t="shared" si="166"/>
        <v>0</v>
      </c>
      <c r="Y511" s="6">
        <f t="shared" si="167"/>
        <v>0</v>
      </c>
      <c r="Z511" s="6">
        <f t="shared" si="168"/>
        <v>0</v>
      </c>
      <c r="AB511" s="36" t="str">
        <f>IF(最佳化斷筋點!C511="","",最佳化斷筋點!C511)</f>
        <v>上層</v>
      </c>
      <c r="AC511" s="37">
        <f>IF(最佳化斷筋點!D511="","",最佳化斷筋點!D511)</f>
        <v>8</v>
      </c>
      <c r="AD511" s="37">
        <f>IF(最佳化斷筋點!E511="","",最佳化斷筋點!E511)</f>
        <v>8</v>
      </c>
      <c r="AE511" s="37">
        <f>IF(最佳化斷筋點!F511="","",最佳化斷筋點!F511)</f>
        <v>8</v>
      </c>
      <c r="AF511" s="37">
        <f>IF(最佳化斷筋點!G511="","",最佳化斷筋點!G511)</f>
        <v>8</v>
      </c>
      <c r="AG511" s="37">
        <f>IF(最佳化斷筋點!H511="","",最佳化斷筋點!H511)</f>
        <v>8</v>
      </c>
      <c r="AH511" s="37">
        <f>IF(最佳化斷筋點!I511="","",最佳化斷筋點!I511)</f>
        <v>8</v>
      </c>
      <c r="AI511" s="37">
        <f>IF(最佳化斷筋點!J511="","",最佳化斷筋點!J511)</f>
        <v>8</v>
      </c>
      <c r="AJ511" s="37">
        <f>IF(最佳化斷筋點!K511="","",最佳化斷筋點!K511)</f>
        <v>3</v>
      </c>
      <c r="AK511" s="37">
        <f>IF(最佳化斷筋點!L511="","",最佳化斷筋點!L511)</f>
        <v>3</v>
      </c>
      <c r="AL511" s="37">
        <f>IF(最佳化斷筋點!M511="","",最佳化斷筋點!M511)</f>
        <v>3</v>
      </c>
      <c r="AM511" s="37">
        <f>IF(最佳化斷筋點!N511="","",最佳化斷筋點!N511)</f>
        <v>3</v>
      </c>
      <c r="AN511" s="37">
        <f>IF(最佳化斷筋點!O511="","",最佳化斷筋點!O511)</f>
        <v>3</v>
      </c>
      <c r="AO511" s="37">
        <f>IF(最佳化斷筋點!P511="","",最佳化斷筋點!P511)</f>
        <v>3</v>
      </c>
      <c r="AP511" s="37">
        <f>IF(最佳化斷筋點!Q511="","",最佳化斷筋點!Q511)</f>
        <v>7</v>
      </c>
      <c r="AQ511" s="37">
        <f>IF(最佳化斷筋點!R511="","",最佳化斷筋點!R511)</f>
        <v>8</v>
      </c>
      <c r="AR511" s="37">
        <f>IF(最佳化斷筋點!S511="","",最佳化斷筋點!S511)</f>
        <v>9</v>
      </c>
      <c r="AS511" s="37">
        <f>IF(最佳化斷筋點!T511="","",最佳化斷筋點!T511)</f>
        <v>9</v>
      </c>
      <c r="AT511" s="37">
        <f>IF(最佳化斷筋點!U511="","",最佳化斷筋點!U511)</f>
        <v>9</v>
      </c>
      <c r="AU511" s="37">
        <f>IF(最佳化斷筋點!V511="","",最佳化斷筋點!V511)</f>
        <v>9</v>
      </c>
      <c r="AV511" s="37">
        <f>IF(最佳化斷筋點!W511="","",最佳化斷筋點!W511)</f>
        <v>9</v>
      </c>
      <c r="AW511" s="37">
        <f>IF(最佳化斷筋點!X511="","",最佳化斷筋點!X511)</f>
        <v>9</v>
      </c>
      <c r="AY511" s="6" t="s">
        <v>20</v>
      </c>
      <c r="AZ511" s="37">
        <v>8</v>
      </c>
      <c r="BA511" s="37">
        <v>8</v>
      </c>
      <c r="BB511" s="37">
        <v>8</v>
      </c>
      <c r="BC511" s="37">
        <v>8</v>
      </c>
      <c r="BD511" s="37">
        <v>8</v>
      </c>
      <c r="BE511" s="37">
        <v>8</v>
      </c>
      <c r="BF511" s="37">
        <v>8</v>
      </c>
      <c r="BG511" s="37">
        <v>3</v>
      </c>
      <c r="BH511" s="37">
        <v>3</v>
      </c>
      <c r="BI511" s="37">
        <v>3</v>
      </c>
      <c r="BJ511" s="37">
        <v>3</v>
      </c>
      <c r="BK511" s="37">
        <v>3</v>
      </c>
      <c r="BL511" s="37">
        <v>3</v>
      </c>
      <c r="BM511" s="37">
        <v>7</v>
      </c>
      <c r="BN511" s="37">
        <v>8</v>
      </c>
      <c r="BO511" s="37">
        <v>9</v>
      </c>
      <c r="BP511" s="37">
        <v>9</v>
      </c>
      <c r="BQ511" s="37">
        <v>9</v>
      </c>
      <c r="BR511" s="37">
        <v>9</v>
      </c>
      <c r="BS511" s="37">
        <v>9</v>
      </c>
      <c r="BT511" s="37">
        <v>9</v>
      </c>
    </row>
    <row r="512" spans="5:72" x14ac:dyDescent="0.25">
      <c r="F512" s="6">
        <f t="shared" si="148"/>
        <v>0</v>
      </c>
      <c r="G512" s="6">
        <f t="shared" si="149"/>
        <v>0</v>
      </c>
      <c r="H512" s="6">
        <f t="shared" si="150"/>
        <v>0</v>
      </c>
      <c r="I512" s="6">
        <f t="shared" si="151"/>
        <v>0</v>
      </c>
      <c r="J512" s="6">
        <f t="shared" si="152"/>
        <v>0</v>
      </c>
      <c r="K512" s="6">
        <f t="shared" si="153"/>
        <v>0</v>
      </c>
      <c r="L512" s="6">
        <f t="shared" si="154"/>
        <v>0</v>
      </c>
      <c r="M512" s="6">
        <f t="shared" si="155"/>
        <v>0</v>
      </c>
      <c r="N512" s="6">
        <f t="shared" si="156"/>
        <v>0</v>
      </c>
      <c r="O512" s="6">
        <f t="shared" si="157"/>
        <v>0</v>
      </c>
      <c r="P512" s="6">
        <f t="shared" si="158"/>
        <v>0</v>
      </c>
      <c r="Q512" s="6">
        <f t="shared" si="159"/>
        <v>0</v>
      </c>
      <c r="R512" s="6">
        <f t="shared" si="160"/>
        <v>0</v>
      </c>
      <c r="S512" s="6">
        <f t="shared" si="161"/>
        <v>0</v>
      </c>
      <c r="T512" s="6">
        <f t="shared" si="162"/>
        <v>0</v>
      </c>
      <c r="U512" s="6">
        <f t="shared" si="163"/>
        <v>0</v>
      </c>
      <c r="V512" s="6">
        <f t="shared" si="164"/>
        <v>0</v>
      </c>
      <c r="W512" s="6">
        <f t="shared" si="165"/>
        <v>0</v>
      </c>
      <c r="X512" s="6">
        <f t="shared" si="166"/>
        <v>0</v>
      </c>
      <c r="Y512" s="6">
        <f t="shared" si="167"/>
        <v>0</v>
      </c>
      <c r="Z512" s="6">
        <f t="shared" si="168"/>
        <v>0</v>
      </c>
      <c r="AB512" s="36" t="str">
        <f>IF(最佳化斷筋點!C512="","",最佳化斷筋點!C512)</f>
        <v/>
      </c>
      <c r="AC512" s="37" t="str">
        <f>IF(最佳化斷筋點!D512="","",最佳化斷筋點!D512)</f>
        <v/>
      </c>
      <c r="AD512" s="37" t="str">
        <f>IF(最佳化斷筋點!E512="","",最佳化斷筋點!E512)</f>
        <v/>
      </c>
      <c r="AE512" s="37" t="str">
        <f>IF(最佳化斷筋點!F512="","",最佳化斷筋點!F512)</f>
        <v/>
      </c>
      <c r="AF512" s="37" t="str">
        <f>IF(最佳化斷筋點!G512="","",最佳化斷筋點!G512)</f>
        <v/>
      </c>
      <c r="AG512" s="37" t="str">
        <f>IF(最佳化斷筋點!H512="","",最佳化斷筋點!H512)</f>
        <v/>
      </c>
      <c r="AH512" s="37" t="str">
        <f>IF(最佳化斷筋點!I512="","",最佳化斷筋點!I512)</f>
        <v/>
      </c>
      <c r="AI512" s="37" t="str">
        <f>IF(最佳化斷筋點!J512="","",最佳化斷筋點!J512)</f>
        <v/>
      </c>
      <c r="AJ512" s="37" t="str">
        <f>IF(最佳化斷筋點!K512="","",最佳化斷筋點!K512)</f>
        <v/>
      </c>
      <c r="AK512" s="37" t="str">
        <f>IF(最佳化斷筋點!L512="","",最佳化斷筋點!L512)</f>
        <v/>
      </c>
      <c r="AL512" s="37" t="str">
        <f>IF(最佳化斷筋點!M512="","",最佳化斷筋點!M512)</f>
        <v/>
      </c>
      <c r="AM512" s="37" t="str">
        <f>IF(最佳化斷筋點!N512="","",最佳化斷筋點!N512)</f>
        <v/>
      </c>
      <c r="AN512" s="37" t="str">
        <f>IF(最佳化斷筋點!O512="","",最佳化斷筋點!O512)</f>
        <v/>
      </c>
      <c r="AO512" s="37" t="str">
        <f>IF(最佳化斷筋點!P512="","",最佳化斷筋點!P512)</f>
        <v/>
      </c>
      <c r="AP512" s="37" t="str">
        <f>IF(最佳化斷筋點!Q512="","",最佳化斷筋點!Q512)</f>
        <v/>
      </c>
      <c r="AQ512" s="37" t="str">
        <f>IF(最佳化斷筋點!R512="","",最佳化斷筋點!R512)</f>
        <v/>
      </c>
      <c r="AR512" s="37" t="str">
        <f>IF(最佳化斷筋點!S512="","",最佳化斷筋點!S512)</f>
        <v/>
      </c>
      <c r="AS512" s="37" t="str">
        <f>IF(最佳化斷筋點!T512="","",最佳化斷筋點!T512)</f>
        <v/>
      </c>
      <c r="AT512" s="37" t="str">
        <f>IF(最佳化斷筋點!U512="","",最佳化斷筋點!U512)</f>
        <v/>
      </c>
      <c r="AU512" s="37" t="str">
        <f>IF(最佳化斷筋點!V512="","",最佳化斷筋點!V512)</f>
        <v/>
      </c>
      <c r="AV512" s="37" t="str">
        <f>IF(最佳化斷筋點!W512="","",最佳化斷筋點!W512)</f>
        <v/>
      </c>
      <c r="AW512" s="37" t="str">
        <f>IF(最佳化斷筋點!X512="","",最佳化斷筋點!X512)</f>
        <v/>
      </c>
      <c r="AZ512" s="37" t="s">
        <v>197</v>
      </c>
      <c r="BA512" s="37" t="s">
        <v>197</v>
      </c>
      <c r="BB512" s="37" t="s">
        <v>197</v>
      </c>
      <c r="BC512" s="37" t="s">
        <v>197</v>
      </c>
      <c r="BD512" s="37" t="s">
        <v>197</v>
      </c>
      <c r="BE512" s="37" t="s">
        <v>197</v>
      </c>
      <c r="BF512" s="37" t="s">
        <v>197</v>
      </c>
      <c r="BG512" s="37" t="s">
        <v>197</v>
      </c>
      <c r="BH512" s="37" t="s">
        <v>197</v>
      </c>
      <c r="BI512" s="37" t="s">
        <v>197</v>
      </c>
      <c r="BJ512" s="37" t="s">
        <v>197</v>
      </c>
      <c r="BK512" s="37" t="s">
        <v>197</v>
      </c>
      <c r="BL512" s="37" t="s">
        <v>197</v>
      </c>
      <c r="BM512" s="37" t="s">
        <v>197</v>
      </c>
      <c r="BN512" s="37" t="s">
        <v>197</v>
      </c>
      <c r="BO512" s="37" t="s">
        <v>197</v>
      </c>
      <c r="BP512" s="37" t="s">
        <v>197</v>
      </c>
      <c r="BQ512" s="37" t="s">
        <v>197</v>
      </c>
      <c r="BR512" s="37" t="s">
        <v>197</v>
      </c>
      <c r="BS512" s="37" t="s">
        <v>197</v>
      </c>
      <c r="BT512" s="37" t="s">
        <v>197</v>
      </c>
    </row>
    <row r="513" spans="5:72" x14ac:dyDescent="0.25">
      <c r="E513" s="6" t="s">
        <v>21</v>
      </c>
      <c r="F513" s="6">
        <f t="shared" si="148"/>
        <v>0</v>
      </c>
      <c r="G513" s="6">
        <f t="shared" si="149"/>
        <v>0</v>
      </c>
      <c r="H513" s="6">
        <f t="shared" si="150"/>
        <v>0</v>
      </c>
      <c r="I513" s="6">
        <f t="shared" si="151"/>
        <v>0</v>
      </c>
      <c r="J513" s="6">
        <f t="shared" si="152"/>
        <v>0</v>
      </c>
      <c r="K513" s="6">
        <f t="shared" si="153"/>
        <v>0</v>
      </c>
      <c r="L513" s="6">
        <f t="shared" si="154"/>
        <v>0</v>
      </c>
      <c r="M513" s="6">
        <f t="shared" si="155"/>
        <v>0</v>
      </c>
      <c r="N513" s="6">
        <f t="shared" si="156"/>
        <v>0</v>
      </c>
      <c r="O513" s="6">
        <f t="shared" si="157"/>
        <v>0</v>
      </c>
      <c r="P513" s="6">
        <f t="shared" si="158"/>
        <v>0</v>
      </c>
      <c r="Q513" s="6">
        <f t="shared" si="159"/>
        <v>0</v>
      </c>
      <c r="R513" s="6">
        <f t="shared" si="160"/>
        <v>0</v>
      </c>
      <c r="S513" s="6">
        <f t="shared" si="161"/>
        <v>0</v>
      </c>
      <c r="T513" s="6">
        <f t="shared" si="162"/>
        <v>0</v>
      </c>
      <c r="U513" s="6">
        <f t="shared" si="163"/>
        <v>0</v>
      </c>
      <c r="V513" s="6">
        <f t="shared" si="164"/>
        <v>0</v>
      </c>
      <c r="W513" s="6">
        <f t="shared" si="165"/>
        <v>0</v>
      </c>
      <c r="X513" s="6">
        <f t="shared" si="166"/>
        <v>0</v>
      </c>
      <c r="Y513" s="6">
        <f t="shared" si="167"/>
        <v>0</v>
      </c>
      <c r="Z513" s="6">
        <f t="shared" si="168"/>
        <v>0</v>
      </c>
      <c r="AB513" s="36" t="str">
        <f>IF(最佳化斷筋點!C513="","",最佳化斷筋點!C513)</f>
        <v>下層</v>
      </c>
      <c r="AC513" s="37">
        <f>IF(最佳化斷筋點!D513="","",最佳化斷筋點!D513)</f>
        <v>9</v>
      </c>
      <c r="AD513" s="37">
        <f>IF(最佳化斷筋點!E513="","",最佳化斷筋點!E513)</f>
        <v>9</v>
      </c>
      <c r="AE513" s="37">
        <f>IF(最佳化斷筋點!F513="","",最佳化斷筋點!F513)</f>
        <v>9</v>
      </c>
      <c r="AF513" s="37">
        <f>IF(最佳化斷筋點!G513="","",最佳化斷筋點!G513)</f>
        <v>9</v>
      </c>
      <c r="AG513" s="37">
        <f>IF(最佳化斷筋點!H513="","",最佳化斷筋點!H513)</f>
        <v>9</v>
      </c>
      <c r="AH513" s="37">
        <f>IF(最佳化斷筋點!I513="","",最佳化斷筋點!I513)</f>
        <v>8</v>
      </c>
      <c r="AI513" s="37">
        <f>IF(最佳化斷筋點!J513="","",最佳化斷筋點!J513)</f>
        <v>7</v>
      </c>
      <c r="AJ513" s="37">
        <f>IF(最佳化斷筋點!K513="","",最佳化斷筋點!K513)</f>
        <v>4</v>
      </c>
      <c r="AK513" s="37">
        <f>IF(最佳化斷筋點!L513="","",最佳化斷筋點!L513)</f>
        <v>4</v>
      </c>
      <c r="AL513" s="37">
        <f>IF(最佳化斷筋點!M513="","",最佳化斷筋點!M513)</f>
        <v>4</v>
      </c>
      <c r="AM513" s="37">
        <f>IF(最佳化斷筋點!N513="","",最佳化斷筋點!N513)</f>
        <v>4</v>
      </c>
      <c r="AN513" s="37">
        <f>IF(最佳化斷筋點!O513="","",最佳化斷筋點!O513)</f>
        <v>4</v>
      </c>
      <c r="AO513" s="37">
        <f>IF(最佳化斷筋點!P513="","",最佳化斷筋點!P513)</f>
        <v>4</v>
      </c>
      <c r="AP513" s="37">
        <f>IF(最佳化斷筋點!Q513="","",最佳化斷筋點!Q513)</f>
        <v>5</v>
      </c>
      <c r="AQ513" s="37">
        <f>IF(最佳化斷筋點!R513="","",最佳化斷筋點!R513)</f>
        <v>6</v>
      </c>
      <c r="AR513" s="37">
        <f>IF(最佳化斷筋點!S513="","",最佳化斷筋點!S513)</f>
        <v>7</v>
      </c>
      <c r="AS513" s="37">
        <f>IF(最佳化斷筋點!T513="","",最佳化斷筋點!T513)</f>
        <v>8</v>
      </c>
      <c r="AT513" s="37">
        <f>IF(最佳化斷筋點!U513="","",最佳化斷筋點!U513)</f>
        <v>9</v>
      </c>
      <c r="AU513" s="37">
        <f>IF(最佳化斷筋點!V513="","",最佳化斷筋點!V513)</f>
        <v>9</v>
      </c>
      <c r="AV513" s="37">
        <f>IF(最佳化斷筋點!W513="","",最佳化斷筋點!W513)</f>
        <v>9</v>
      </c>
      <c r="AW513" s="37">
        <f>IF(最佳化斷筋點!X513="","",最佳化斷筋點!X513)</f>
        <v>9</v>
      </c>
      <c r="AY513" s="6" t="s">
        <v>21</v>
      </c>
      <c r="AZ513" s="37">
        <v>9</v>
      </c>
      <c r="BA513" s="37">
        <v>9</v>
      </c>
      <c r="BB513" s="37">
        <v>9</v>
      </c>
      <c r="BC513" s="37">
        <v>9</v>
      </c>
      <c r="BD513" s="37">
        <v>9</v>
      </c>
      <c r="BE513" s="37">
        <v>8</v>
      </c>
      <c r="BF513" s="37">
        <v>7</v>
      </c>
      <c r="BG513" s="37">
        <v>4</v>
      </c>
      <c r="BH513" s="37">
        <v>4</v>
      </c>
      <c r="BI513" s="37">
        <v>4</v>
      </c>
      <c r="BJ513" s="37">
        <v>4</v>
      </c>
      <c r="BK513" s="37">
        <v>4</v>
      </c>
      <c r="BL513" s="37">
        <v>4</v>
      </c>
      <c r="BM513" s="37">
        <v>5</v>
      </c>
      <c r="BN513" s="37">
        <v>6</v>
      </c>
      <c r="BO513" s="37">
        <v>7</v>
      </c>
      <c r="BP513" s="37">
        <v>8</v>
      </c>
      <c r="BQ513" s="37">
        <v>9</v>
      </c>
      <c r="BR513" s="37">
        <v>9</v>
      </c>
      <c r="BS513" s="37">
        <v>9</v>
      </c>
      <c r="BT513" s="37">
        <v>9</v>
      </c>
    </row>
    <row r="514" spans="5:72" x14ac:dyDescent="0.25">
      <c r="F514" s="6">
        <f t="shared" si="148"/>
        <v>0</v>
      </c>
      <c r="G514" s="6">
        <f t="shared" si="149"/>
        <v>0</v>
      </c>
      <c r="H514" s="6">
        <f t="shared" si="150"/>
        <v>0</v>
      </c>
      <c r="I514" s="6">
        <f t="shared" si="151"/>
        <v>0</v>
      </c>
      <c r="J514" s="6">
        <f t="shared" si="152"/>
        <v>0</v>
      </c>
      <c r="K514" s="6">
        <f t="shared" si="153"/>
        <v>0</v>
      </c>
      <c r="L514" s="6">
        <f t="shared" si="154"/>
        <v>0</v>
      </c>
      <c r="M514" s="6">
        <f t="shared" si="155"/>
        <v>0</v>
      </c>
      <c r="N514" s="6">
        <f t="shared" si="156"/>
        <v>0</v>
      </c>
      <c r="O514" s="6">
        <f t="shared" si="157"/>
        <v>0</v>
      </c>
      <c r="P514" s="6">
        <f t="shared" si="158"/>
        <v>0</v>
      </c>
      <c r="Q514" s="6">
        <f t="shared" si="159"/>
        <v>0</v>
      </c>
      <c r="R514" s="6">
        <f t="shared" si="160"/>
        <v>0</v>
      </c>
      <c r="S514" s="6">
        <f t="shared" si="161"/>
        <v>0</v>
      </c>
      <c r="T514" s="6">
        <f t="shared" si="162"/>
        <v>0</v>
      </c>
      <c r="U514" s="6">
        <f t="shared" si="163"/>
        <v>0</v>
      </c>
      <c r="V514" s="6">
        <f t="shared" si="164"/>
        <v>0</v>
      </c>
      <c r="W514" s="6">
        <f t="shared" si="165"/>
        <v>0</v>
      </c>
      <c r="X514" s="6">
        <f t="shared" si="166"/>
        <v>0</v>
      </c>
      <c r="Y514" s="6">
        <f t="shared" si="167"/>
        <v>0</v>
      </c>
      <c r="Z514" s="6">
        <f t="shared" si="168"/>
        <v>0</v>
      </c>
      <c r="AB514" s="36" t="str">
        <f>IF(最佳化斷筋點!C514="","",最佳化斷筋點!C514)</f>
        <v/>
      </c>
      <c r="AC514" s="37" t="str">
        <f>IF(最佳化斷筋點!D514="","",最佳化斷筋點!D514)</f>
        <v/>
      </c>
      <c r="AD514" s="37" t="str">
        <f>IF(最佳化斷筋點!E514="","",最佳化斷筋點!E514)</f>
        <v/>
      </c>
      <c r="AE514" s="37" t="str">
        <f>IF(最佳化斷筋點!F514="","",最佳化斷筋點!F514)</f>
        <v/>
      </c>
      <c r="AF514" s="37" t="str">
        <f>IF(最佳化斷筋點!G514="","",最佳化斷筋點!G514)</f>
        <v/>
      </c>
      <c r="AG514" s="37" t="str">
        <f>IF(最佳化斷筋點!H514="","",最佳化斷筋點!H514)</f>
        <v/>
      </c>
      <c r="AH514" s="37" t="str">
        <f>IF(最佳化斷筋點!I514="","",最佳化斷筋點!I514)</f>
        <v/>
      </c>
      <c r="AI514" s="37" t="str">
        <f>IF(最佳化斷筋點!J514="","",最佳化斷筋點!J514)</f>
        <v/>
      </c>
      <c r="AJ514" s="37" t="str">
        <f>IF(最佳化斷筋點!K514="","",最佳化斷筋點!K514)</f>
        <v/>
      </c>
      <c r="AK514" s="37" t="str">
        <f>IF(最佳化斷筋點!L514="","",最佳化斷筋點!L514)</f>
        <v/>
      </c>
      <c r="AL514" s="37" t="str">
        <f>IF(最佳化斷筋點!M514="","",最佳化斷筋點!M514)</f>
        <v/>
      </c>
      <c r="AM514" s="37" t="str">
        <f>IF(最佳化斷筋點!N514="","",最佳化斷筋點!N514)</f>
        <v/>
      </c>
      <c r="AN514" s="37" t="str">
        <f>IF(最佳化斷筋點!O514="","",最佳化斷筋點!O514)</f>
        <v/>
      </c>
      <c r="AO514" s="37" t="str">
        <f>IF(最佳化斷筋點!P514="","",最佳化斷筋點!P514)</f>
        <v/>
      </c>
      <c r="AP514" s="37" t="str">
        <f>IF(最佳化斷筋點!Q514="","",最佳化斷筋點!Q514)</f>
        <v/>
      </c>
      <c r="AQ514" s="37" t="str">
        <f>IF(最佳化斷筋點!R514="","",最佳化斷筋點!R514)</f>
        <v/>
      </c>
      <c r="AR514" s="37" t="str">
        <f>IF(最佳化斷筋點!S514="","",最佳化斷筋點!S514)</f>
        <v/>
      </c>
      <c r="AS514" s="37" t="str">
        <f>IF(最佳化斷筋點!T514="","",最佳化斷筋點!T514)</f>
        <v/>
      </c>
      <c r="AT514" s="37" t="str">
        <f>IF(最佳化斷筋點!U514="","",最佳化斷筋點!U514)</f>
        <v/>
      </c>
      <c r="AU514" s="37" t="str">
        <f>IF(最佳化斷筋點!V514="","",最佳化斷筋點!V514)</f>
        <v/>
      </c>
      <c r="AV514" s="37" t="str">
        <f>IF(最佳化斷筋點!W514="","",最佳化斷筋點!W514)</f>
        <v/>
      </c>
      <c r="AW514" s="37" t="str">
        <f>IF(最佳化斷筋點!X514="","",最佳化斷筋點!X514)</f>
        <v/>
      </c>
      <c r="AZ514" s="37" t="s">
        <v>197</v>
      </c>
      <c r="BA514" s="37" t="s">
        <v>197</v>
      </c>
      <c r="BB514" s="37" t="s">
        <v>197</v>
      </c>
      <c r="BC514" s="37" t="s">
        <v>197</v>
      </c>
      <c r="BD514" s="37" t="s">
        <v>197</v>
      </c>
      <c r="BE514" s="37" t="s">
        <v>197</v>
      </c>
      <c r="BF514" s="37" t="s">
        <v>197</v>
      </c>
      <c r="BG514" s="37" t="s">
        <v>197</v>
      </c>
      <c r="BH514" s="37" t="s">
        <v>197</v>
      </c>
      <c r="BI514" s="37" t="s">
        <v>197</v>
      </c>
      <c r="BJ514" s="37" t="s">
        <v>197</v>
      </c>
      <c r="BK514" s="37" t="s">
        <v>197</v>
      </c>
      <c r="BL514" s="37" t="s">
        <v>197</v>
      </c>
      <c r="BM514" s="37" t="s">
        <v>197</v>
      </c>
      <c r="BN514" s="37" t="s">
        <v>197</v>
      </c>
      <c r="BO514" s="37" t="s">
        <v>197</v>
      </c>
      <c r="BP514" s="37" t="s">
        <v>197</v>
      </c>
      <c r="BQ514" s="37" t="s">
        <v>197</v>
      </c>
      <c r="BR514" s="37" t="s">
        <v>197</v>
      </c>
      <c r="BS514" s="37" t="s">
        <v>197</v>
      </c>
      <c r="BT514" s="37" t="s">
        <v>197</v>
      </c>
    </row>
    <row r="515" spans="5:72" x14ac:dyDescent="0.25">
      <c r="E515" s="6" t="s">
        <v>20</v>
      </c>
      <c r="F515" s="6">
        <f t="shared" si="148"/>
        <v>0</v>
      </c>
      <c r="G515" s="6">
        <f t="shared" si="149"/>
        <v>0</v>
      </c>
      <c r="H515" s="6">
        <f t="shared" si="150"/>
        <v>0</v>
      </c>
      <c r="I515" s="6">
        <f t="shared" si="151"/>
        <v>0</v>
      </c>
      <c r="J515" s="6">
        <f t="shared" si="152"/>
        <v>0</v>
      </c>
      <c r="K515" s="6">
        <f t="shared" si="153"/>
        <v>0</v>
      </c>
      <c r="L515" s="6">
        <f t="shared" si="154"/>
        <v>0</v>
      </c>
      <c r="M515" s="6">
        <f t="shared" si="155"/>
        <v>0</v>
      </c>
      <c r="N515" s="6">
        <f t="shared" si="156"/>
        <v>0</v>
      </c>
      <c r="O515" s="6">
        <f t="shared" si="157"/>
        <v>0</v>
      </c>
      <c r="P515" s="6">
        <f t="shared" si="158"/>
        <v>0</v>
      </c>
      <c r="Q515" s="6">
        <f t="shared" si="159"/>
        <v>0</v>
      </c>
      <c r="R515" s="6">
        <f t="shared" si="160"/>
        <v>0</v>
      </c>
      <c r="S515" s="6">
        <f t="shared" si="161"/>
        <v>0</v>
      </c>
      <c r="T515" s="6">
        <f t="shared" si="162"/>
        <v>0</v>
      </c>
      <c r="U515" s="6">
        <f t="shared" si="163"/>
        <v>0</v>
      </c>
      <c r="V515" s="6">
        <f t="shared" si="164"/>
        <v>0</v>
      </c>
      <c r="W515" s="6">
        <f t="shared" si="165"/>
        <v>0</v>
      </c>
      <c r="X515" s="6">
        <f t="shared" si="166"/>
        <v>0</v>
      </c>
      <c r="Y515" s="6">
        <f t="shared" si="167"/>
        <v>0</v>
      </c>
      <c r="Z515" s="6">
        <f t="shared" si="168"/>
        <v>0</v>
      </c>
      <c r="AB515" s="36" t="str">
        <f>IF(最佳化斷筋點!C515="","",最佳化斷筋點!C515)</f>
        <v>上層</v>
      </c>
      <c r="AC515" s="37">
        <f>IF(最佳化斷筋點!D515="","",最佳化斷筋點!D515)</f>
        <v>8</v>
      </c>
      <c r="AD515" s="37">
        <f>IF(最佳化斷筋點!E515="","",最佳化斷筋點!E515)</f>
        <v>8</v>
      </c>
      <c r="AE515" s="37">
        <f>IF(最佳化斷筋點!F515="","",最佳化斷筋點!F515)</f>
        <v>8</v>
      </c>
      <c r="AF515" s="37">
        <f>IF(最佳化斷筋點!G515="","",最佳化斷筋點!G515)</f>
        <v>8</v>
      </c>
      <c r="AG515" s="37">
        <f>IF(最佳化斷筋點!H515="","",最佳化斷筋點!H515)</f>
        <v>8</v>
      </c>
      <c r="AH515" s="37">
        <f>IF(最佳化斷筋點!I515="","",最佳化斷筋點!I515)</f>
        <v>8</v>
      </c>
      <c r="AI515" s="37">
        <f>IF(最佳化斷筋點!J515="","",最佳化斷筋點!J515)</f>
        <v>8</v>
      </c>
      <c r="AJ515" s="37">
        <f>IF(最佳化斷筋點!K515="","",最佳化斷筋點!K515)</f>
        <v>3</v>
      </c>
      <c r="AK515" s="37">
        <f>IF(最佳化斷筋點!L515="","",最佳化斷筋點!L515)</f>
        <v>3</v>
      </c>
      <c r="AL515" s="37">
        <f>IF(最佳化斷筋點!M515="","",最佳化斷筋點!M515)</f>
        <v>3</v>
      </c>
      <c r="AM515" s="37">
        <f>IF(最佳化斷筋點!N515="","",最佳化斷筋點!N515)</f>
        <v>3</v>
      </c>
      <c r="AN515" s="37">
        <f>IF(最佳化斷筋點!O515="","",最佳化斷筋點!O515)</f>
        <v>3</v>
      </c>
      <c r="AO515" s="37">
        <f>IF(最佳化斷筋點!P515="","",最佳化斷筋點!P515)</f>
        <v>3</v>
      </c>
      <c r="AP515" s="37">
        <f>IF(最佳化斷筋點!Q515="","",最佳化斷筋點!Q515)</f>
        <v>7</v>
      </c>
      <c r="AQ515" s="37">
        <f>IF(最佳化斷筋點!R515="","",最佳化斷筋點!R515)</f>
        <v>8</v>
      </c>
      <c r="AR515" s="37">
        <f>IF(最佳化斷筋點!S515="","",最佳化斷筋點!S515)</f>
        <v>8</v>
      </c>
      <c r="AS515" s="37">
        <f>IF(最佳化斷筋點!T515="","",最佳化斷筋點!T515)</f>
        <v>8</v>
      </c>
      <c r="AT515" s="37">
        <f>IF(最佳化斷筋點!U515="","",最佳化斷筋點!U515)</f>
        <v>8</v>
      </c>
      <c r="AU515" s="37">
        <f>IF(最佳化斷筋點!V515="","",最佳化斷筋點!V515)</f>
        <v>8</v>
      </c>
      <c r="AV515" s="37">
        <f>IF(最佳化斷筋點!W515="","",最佳化斷筋點!W515)</f>
        <v>8</v>
      </c>
      <c r="AW515" s="37">
        <f>IF(最佳化斷筋點!X515="","",最佳化斷筋點!X515)</f>
        <v>8</v>
      </c>
      <c r="AY515" s="6" t="s">
        <v>20</v>
      </c>
      <c r="AZ515" s="37">
        <v>8</v>
      </c>
      <c r="BA515" s="37">
        <v>8</v>
      </c>
      <c r="BB515" s="37">
        <v>8</v>
      </c>
      <c r="BC515" s="37">
        <v>8</v>
      </c>
      <c r="BD515" s="37">
        <v>8</v>
      </c>
      <c r="BE515" s="37">
        <v>8</v>
      </c>
      <c r="BF515" s="37">
        <v>8</v>
      </c>
      <c r="BG515" s="37">
        <v>3</v>
      </c>
      <c r="BH515" s="37">
        <v>3</v>
      </c>
      <c r="BI515" s="37">
        <v>3</v>
      </c>
      <c r="BJ515" s="37">
        <v>3</v>
      </c>
      <c r="BK515" s="37">
        <v>3</v>
      </c>
      <c r="BL515" s="37">
        <v>3</v>
      </c>
      <c r="BM515" s="37">
        <v>7</v>
      </c>
      <c r="BN515" s="37">
        <v>8</v>
      </c>
      <c r="BO515" s="37">
        <v>8</v>
      </c>
      <c r="BP515" s="37">
        <v>8</v>
      </c>
      <c r="BQ515" s="37">
        <v>8</v>
      </c>
      <c r="BR515" s="37">
        <v>8</v>
      </c>
      <c r="BS515" s="37">
        <v>8</v>
      </c>
      <c r="BT515" s="37">
        <v>8</v>
      </c>
    </row>
    <row r="516" spans="5:72" x14ac:dyDescent="0.25">
      <c r="F516" s="6">
        <f t="shared" ref="F516:F579" si="169">IF(AC516=AZ516,0,1)</f>
        <v>0</v>
      </c>
      <c r="G516" s="6">
        <f t="shared" ref="G516:G579" si="170">IF(AD516=BA516,0,1)</f>
        <v>0</v>
      </c>
      <c r="H516" s="6">
        <f t="shared" ref="H516:H579" si="171">IF(AE516=BB516,0,1)</f>
        <v>0</v>
      </c>
      <c r="I516" s="6">
        <f t="shared" ref="I516:I579" si="172">IF(AF516=BC516,0,1)</f>
        <v>0</v>
      </c>
      <c r="J516" s="6">
        <f t="shared" ref="J516:J579" si="173">IF(AG516=BD516,0,1)</f>
        <v>0</v>
      </c>
      <c r="K516" s="6">
        <f t="shared" ref="K516:K579" si="174">IF(AH516=BE516,0,1)</f>
        <v>0</v>
      </c>
      <c r="L516" s="6">
        <f t="shared" ref="L516:L579" si="175">IF(AI516=BF516,0,1)</f>
        <v>0</v>
      </c>
      <c r="M516" s="6">
        <f t="shared" ref="M516:M579" si="176">IF(AJ516=BG516,0,1)</f>
        <v>0</v>
      </c>
      <c r="N516" s="6">
        <f t="shared" ref="N516:N579" si="177">IF(AK516=BH516,0,1)</f>
        <v>0</v>
      </c>
      <c r="O516" s="6">
        <f t="shared" ref="O516:O579" si="178">IF(AL516=BI516,0,1)</f>
        <v>0</v>
      </c>
      <c r="P516" s="6">
        <f t="shared" ref="P516:P579" si="179">IF(AM516=BJ516,0,1)</f>
        <v>0</v>
      </c>
      <c r="Q516" s="6">
        <f t="shared" ref="Q516:Q579" si="180">IF(AN516=BK516,0,1)</f>
        <v>0</v>
      </c>
      <c r="R516" s="6">
        <f t="shared" ref="R516:R579" si="181">IF(AO516=BL516,0,1)</f>
        <v>0</v>
      </c>
      <c r="S516" s="6">
        <f t="shared" ref="S516:S579" si="182">IF(AP516=BM516,0,1)</f>
        <v>0</v>
      </c>
      <c r="T516" s="6">
        <f t="shared" ref="T516:T579" si="183">IF(AQ516=BN516,0,1)</f>
        <v>0</v>
      </c>
      <c r="U516" s="6">
        <f t="shared" ref="U516:U579" si="184">IF(AR516=BO516,0,1)</f>
        <v>0</v>
      </c>
      <c r="V516" s="6">
        <f t="shared" ref="V516:V579" si="185">IF(AS516=BP516,0,1)</f>
        <v>0</v>
      </c>
      <c r="W516" s="6">
        <f t="shared" ref="W516:W579" si="186">IF(AT516=BQ516,0,1)</f>
        <v>0</v>
      </c>
      <c r="X516" s="6">
        <f t="shared" ref="X516:X579" si="187">IF(AU516=BR516,0,1)</f>
        <v>0</v>
      </c>
      <c r="Y516" s="6">
        <f t="shared" ref="Y516:Y579" si="188">IF(AV516=BS516,0,1)</f>
        <v>0</v>
      </c>
      <c r="Z516" s="6">
        <f t="shared" ref="Z516:Z579" si="189">IF(AW516=BT516,0,1)</f>
        <v>0</v>
      </c>
      <c r="AB516" s="36" t="str">
        <f>IF(最佳化斷筋點!C516="","",最佳化斷筋點!C516)</f>
        <v/>
      </c>
      <c r="AC516" s="37" t="str">
        <f>IF(最佳化斷筋點!D516="","",最佳化斷筋點!D516)</f>
        <v/>
      </c>
      <c r="AD516" s="37" t="str">
        <f>IF(最佳化斷筋點!E516="","",最佳化斷筋點!E516)</f>
        <v/>
      </c>
      <c r="AE516" s="37" t="str">
        <f>IF(最佳化斷筋點!F516="","",最佳化斷筋點!F516)</f>
        <v/>
      </c>
      <c r="AF516" s="37" t="str">
        <f>IF(最佳化斷筋點!G516="","",最佳化斷筋點!G516)</f>
        <v/>
      </c>
      <c r="AG516" s="37" t="str">
        <f>IF(最佳化斷筋點!H516="","",最佳化斷筋點!H516)</f>
        <v/>
      </c>
      <c r="AH516" s="37" t="str">
        <f>IF(最佳化斷筋點!I516="","",最佳化斷筋點!I516)</f>
        <v/>
      </c>
      <c r="AI516" s="37" t="str">
        <f>IF(最佳化斷筋點!J516="","",最佳化斷筋點!J516)</f>
        <v/>
      </c>
      <c r="AJ516" s="37" t="str">
        <f>IF(最佳化斷筋點!K516="","",最佳化斷筋點!K516)</f>
        <v/>
      </c>
      <c r="AK516" s="37" t="str">
        <f>IF(最佳化斷筋點!L516="","",最佳化斷筋點!L516)</f>
        <v/>
      </c>
      <c r="AL516" s="37" t="str">
        <f>IF(最佳化斷筋點!M516="","",最佳化斷筋點!M516)</f>
        <v/>
      </c>
      <c r="AM516" s="37" t="str">
        <f>IF(最佳化斷筋點!N516="","",最佳化斷筋點!N516)</f>
        <v/>
      </c>
      <c r="AN516" s="37" t="str">
        <f>IF(最佳化斷筋點!O516="","",最佳化斷筋點!O516)</f>
        <v/>
      </c>
      <c r="AO516" s="37" t="str">
        <f>IF(最佳化斷筋點!P516="","",最佳化斷筋點!P516)</f>
        <v/>
      </c>
      <c r="AP516" s="37" t="str">
        <f>IF(最佳化斷筋點!Q516="","",最佳化斷筋點!Q516)</f>
        <v/>
      </c>
      <c r="AQ516" s="37" t="str">
        <f>IF(最佳化斷筋點!R516="","",最佳化斷筋點!R516)</f>
        <v/>
      </c>
      <c r="AR516" s="37" t="str">
        <f>IF(最佳化斷筋點!S516="","",最佳化斷筋點!S516)</f>
        <v/>
      </c>
      <c r="AS516" s="37" t="str">
        <f>IF(最佳化斷筋點!T516="","",最佳化斷筋點!T516)</f>
        <v/>
      </c>
      <c r="AT516" s="37" t="str">
        <f>IF(最佳化斷筋點!U516="","",最佳化斷筋點!U516)</f>
        <v/>
      </c>
      <c r="AU516" s="37" t="str">
        <f>IF(最佳化斷筋點!V516="","",最佳化斷筋點!V516)</f>
        <v/>
      </c>
      <c r="AV516" s="37" t="str">
        <f>IF(最佳化斷筋點!W516="","",最佳化斷筋點!W516)</f>
        <v/>
      </c>
      <c r="AW516" s="37" t="str">
        <f>IF(最佳化斷筋點!X516="","",最佳化斷筋點!X516)</f>
        <v/>
      </c>
      <c r="AZ516" s="37" t="s">
        <v>197</v>
      </c>
      <c r="BA516" s="37" t="s">
        <v>197</v>
      </c>
      <c r="BB516" s="37" t="s">
        <v>197</v>
      </c>
      <c r="BC516" s="37" t="s">
        <v>197</v>
      </c>
      <c r="BD516" s="37" t="s">
        <v>197</v>
      </c>
      <c r="BE516" s="37" t="s">
        <v>197</v>
      </c>
      <c r="BF516" s="37" t="s">
        <v>197</v>
      </c>
      <c r="BG516" s="37" t="s">
        <v>197</v>
      </c>
      <c r="BH516" s="37" t="s">
        <v>197</v>
      </c>
      <c r="BI516" s="37" t="s">
        <v>197</v>
      </c>
      <c r="BJ516" s="37" t="s">
        <v>197</v>
      </c>
      <c r="BK516" s="37" t="s">
        <v>197</v>
      </c>
      <c r="BL516" s="37" t="s">
        <v>197</v>
      </c>
      <c r="BM516" s="37" t="s">
        <v>197</v>
      </c>
      <c r="BN516" s="37" t="s">
        <v>197</v>
      </c>
      <c r="BO516" s="37" t="s">
        <v>197</v>
      </c>
      <c r="BP516" s="37" t="s">
        <v>197</v>
      </c>
      <c r="BQ516" s="37" t="s">
        <v>197</v>
      </c>
      <c r="BR516" s="37" t="s">
        <v>197</v>
      </c>
      <c r="BS516" s="37" t="s">
        <v>197</v>
      </c>
      <c r="BT516" s="37" t="s">
        <v>197</v>
      </c>
    </row>
    <row r="517" spans="5:72" x14ac:dyDescent="0.25">
      <c r="E517" s="6" t="s">
        <v>21</v>
      </c>
      <c r="F517" s="6">
        <f t="shared" si="169"/>
        <v>0</v>
      </c>
      <c r="G517" s="6">
        <f t="shared" si="170"/>
        <v>0</v>
      </c>
      <c r="H517" s="6">
        <f t="shared" si="171"/>
        <v>0</v>
      </c>
      <c r="I517" s="6">
        <f t="shared" si="172"/>
        <v>0</v>
      </c>
      <c r="J517" s="6">
        <f t="shared" si="173"/>
        <v>0</v>
      </c>
      <c r="K517" s="6">
        <f t="shared" si="174"/>
        <v>0</v>
      </c>
      <c r="L517" s="6">
        <f t="shared" si="175"/>
        <v>0</v>
      </c>
      <c r="M517" s="6">
        <f t="shared" si="176"/>
        <v>0</v>
      </c>
      <c r="N517" s="6">
        <f t="shared" si="177"/>
        <v>0</v>
      </c>
      <c r="O517" s="6">
        <f t="shared" si="178"/>
        <v>0</v>
      </c>
      <c r="P517" s="6">
        <f t="shared" si="179"/>
        <v>0</v>
      </c>
      <c r="Q517" s="6">
        <f t="shared" si="180"/>
        <v>0</v>
      </c>
      <c r="R517" s="6">
        <f t="shared" si="181"/>
        <v>0</v>
      </c>
      <c r="S517" s="6">
        <f t="shared" si="182"/>
        <v>0</v>
      </c>
      <c r="T517" s="6">
        <f t="shared" si="183"/>
        <v>0</v>
      </c>
      <c r="U517" s="6">
        <f t="shared" si="184"/>
        <v>0</v>
      </c>
      <c r="V517" s="6">
        <f t="shared" si="185"/>
        <v>0</v>
      </c>
      <c r="W517" s="6">
        <f t="shared" si="186"/>
        <v>0</v>
      </c>
      <c r="X517" s="6">
        <f t="shared" si="187"/>
        <v>0</v>
      </c>
      <c r="Y517" s="6">
        <f t="shared" si="188"/>
        <v>0</v>
      </c>
      <c r="Z517" s="6">
        <f t="shared" si="189"/>
        <v>0</v>
      </c>
      <c r="AB517" s="36" t="str">
        <f>IF(最佳化斷筋點!C517="","",最佳化斷筋點!C517)</f>
        <v>下層</v>
      </c>
      <c r="AC517" s="37">
        <f>IF(最佳化斷筋點!D517="","",最佳化斷筋點!D517)</f>
        <v>10</v>
      </c>
      <c r="AD517" s="37">
        <f>IF(最佳化斷筋點!E517="","",最佳化斷筋點!E517)</f>
        <v>10</v>
      </c>
      <c r="AE517" s="37">
        <f>IF(最佳化斷筋點!F517="","",最佳化斷筋點!F517)</f>
        <v>10</v>
      </c>
      <c r="AF517" s="37">
        <f>IF(最佳化斷筋點!G517="","",最佳化斷筋點!G517)</f>
        <v>10</v>
      </c>
      <c r="AG517" s="37">
        <f>IF(最佳化斷筋點!H517="","",最佳化斷筋點!H517)</f>
        <v>10</v>
      </c>
      <c r="AH517" s="37">
        <f>IF(最佳化斷筋點!I517="","",最佳化斷筋點!I517)</f>
        <v>10</v>
      </c>
      <c r="AI517" s="37">
        <f>IF(最佳化斷筋點!J517="","",最佳化斷筋點!J517)</f>
        <v>9</v>
      </c>
      <c r="AJ517" s="37">
        <f>IF(最佳化斷筋點!K517="","",最佳化斷筋點!K517)</f>
        <v>4</v>
      </c>
      <c r="AK517" s="37">
        <f>IF(最佳化斷筋點!L517="","",最佳化斷筋點!L517)</f>
        <v>4</v>
      </c>
      <c r="AL517" s="37">
        <f>IF(最佳化斷筋點!M517="","",最佳化斷筋點!M517)</f>
        <v>4</v>
      </c>
      <c r="AM517" s="37">
        <f>IF(最佳化斷筋點!N517="","",最佳化斷筋點!N517)</f>
        <v>4</v>
      </c>
      <c r="AN517" s="37">
        <f>IF(最佳化斷筋點!O517="","",最佳化斷筋點!O517)</f>
        <v>4</v>
      </c>
      <c r="AO517" s="37">
        <f>IF(最佳化斷筋點!P517="","",最佳化斷筋點!P517)</f>
        <v>4</v>
      </c>
      <c r="AP517" s="37">
        <f>IF(最佳化斷筋點!Q517="","",最佳化斷筋點!Q517)</f>
        <v>7</v>
      </c>
      <c r="AQ517" s="37">
        <f>IF(最佳化斷筋點!R517="","",最佳化斷筋點!R517)</f>
        <v>8</v>
      </c>
      <c r="AR517" s="37">
        <f>IF(最佳化斷筋點!S517="","",最佳化斷筋點!S517)</f>
        <v>9</v>
      </c>
      <c r="AS517" s="37">
        <f>IF(最佳化斷筋點!T517="","",最佳化斷筋點!T517)</f>
        <v>10</v>
      </c>
      <c r="AT517" s="37">
        <f>IF(最佳化斷筋點!U517="","",最佳化斷筋點!U517)</f>
        <v>10</v>
      </c>
      <c r="AU517" s="37">
        <f>IF(最佳化斷筋點!V517="","",最佳化斷筋點!V517)</f>
        <v>10</v>
      </c>
      <c r="AV517" s="37">
        <f>IF(最佳化斷筋點!W517="","",最佳化斷筋點!W517)</f>
        <v>10</v>
      </c>
      <c r="AW517" s="37">
        <f>IF(最佳化斷筋點!X517="","",最佳化斷筋點!X517)</f>
        <v>10</v>
      </c>
      <c r="AY517" s="6" t="s">
        <v>21</v>
      </c>
      <c r="AZ517" s="37">
        <v>10</v>
      </c>
      <c r="BA517" s="37">
        <v>10</v>
      </c>
      <c r="BB517" s="37">
        <v>10</v>
      </c>
      <c r="BC517" s="37">
        <v>10</v>
      </c>
      <c r="BD517" s="37">
        <v>10</v>
      </c>
      <c r="BE517" s="37">
        <v>10</v>
      </c>
      <c r="BF517" s="37">
        <v>9</v>
      </c>
      <c r="BG517" s="37">
        <v>4</v>
      </c>
      <c r="BH517" s="37">
        <v>4</v>
      </c>
      <c r="BI517" s="37">
        <v>4</v>
      </c>
      <c r="BJ517" s="37">
        <v>4</v>
      </c>
      <c r="BK517" s="37">
        <v>4</v>
      </c>
      <c r="BL517" s="37">
        <v>4</v>
      </c>
      <c r="BM517" s="37">
        <v>7</v>
      </c>
      <c r="BN517" s="37">
        <v>8</v>
      </c>
      <c r="BO517" s="37">
        <v>9</v>
      </c>
      <c r="BP517" s="37">
        <v>10</v>
      </c>
      <c r="BQ517" s="37">
        <v>10</v>
      </c>
      <c r="BR517" s="37">
        <v>10</v>
      </c>
      <c r="BS517" s="37">
        <v>10</v>
      </c>
      <c r="BT517" s="37">
        <v>10</v>
      </c>
    </row>
    <row r="518" spans="5:72" x14ac:dyDescent="0.25">
      <c r="F518" s="6">
        <f t="shared" si="169"/>
        <v>0</v>
      </c>
      <c r="G518" s="6">
        <f t="shared" si="170"/>
        <v>0</v>
      </c>
      <c r="H518" s="6">
        <f t="shared" si="171"/>
        <v>0</v>
      </c>
      <c r="I518" s="6">
        <f t="shared" si="172"/>
        <v>0</v>
      </c>
      <c r="J518" s="6">
        <f t="shared" si="173"/>
        <v>0</v>
      </c>
      <c r="K518" s="6">
        <f t="shared" si="174"/>
        <v>0</v>
      </c>
      <c r="L518" s="6">
        <f t="shared" si="175"/>
        <v>0</v>
      </c>
      <c r="M518" s="6">
        <f t="shared" si="176"/>
        <v>0</v>
      </c>
      <c r="N518" s="6">
        <f t="shared" si="177"/>
        <v>0</v>
      </c>
      <c r="O518" s="6">
        <f t="shared" si="178"/>
        <v>0</v>
      </c>
      <c r="P518" s="6">
        <f t="shared" si="179"/>
        <v>0</v>
      </c>
      <c r="Q518" s="6">
        <f t="shared" si="180"/>
        <v>0</v>
      </c>
      <c r="R518" s="6">
        <f t="shared" si="181"/>
        <v>0</v>
      </c>
      <c r="S518" s="6">
        <f t="shared" si="182"/>
        <v>0</v>
      </c>
      <c r="T518" s="6">
        <f t="shared" si="183"/>
        <v>0</v>
      </c>
      <c r="U518" s="6">
        <f t="shared" si="184"/>
        <v>0</v>
      </c>
      <c r="V518" s="6">
        <f t="shared" si="185"/>
        <v>0</v>
      </c>
      <c r="W518" s="6">
        <f t="shared" si="186"/>
        <v>0</v>
      </c>
      <c r="X518" s="6">
        <f t="shared" si="187"/>
        <v>0</v>
      </c>
      <c r="Y518" s="6">
        <f t="shared" si="188"/>
        <v>0</v>
      </c>
      <c r="Z518" s="6">
        <f t="shared" si="189"/>
        <v>0</v>
      </c>
      <c r="AB518" s="36" t="str">
        <f>IF(最佳化斷筋點!C518="","",最佳化斷筋點!C518)</f>
        <v/>
      </c>
      <c r="AC518" s="37" t="str">
        <f>IF(最佳化斷筋點!D518="","",最佳化斷筋點!D518)</f>
        <v/>
      </c>
      <c r="AD518" s="37" t="str">
        <f>IF(最佳化斷筋點!E518="","",最佳化斷筋點!E518)</f>
        <v/>
      </c>
      <c r="AE518" s="37" t="str">
        <f>IF(最佳化斷筋點!F518="","",最佳化斷筋點!F518)</f>
        <v/>
      </c>
      <c r="AF518" s="37" t="str">
        <f>IF(最佳化斷筋點!G518="","",最佳化斷筋點!G518)</f>
        <v/>
      </c>
      <c r="AG518" s="37" t="str">
        <f>IF(最佳化斷筋點!H518="","",最佳化斷筋點!H518)</f>
        <v/>
      </c>
      <c r="AH518" s="37" t="str">
        <f>IF(最佳化斷筋點!I518="","",最佳化斷筋點!I518)</f>
        <v/>
      </c>
      <c r="AI518" s="37" t="str">
        <f>IF(最佳化斷筋點!J518="","",最佳化斷筋點!J518)</f>
        <v/>
      </c>
      <c r="AJ518" s="37" t="str">
        <f>IF(最佳化斷筋點!K518="","",最佳化斷筋點!K518)</f>
        <v/>
      </c>
      <c r="AK518" s="37" t="str">
        <f>IF(最佳化斷筋點!L518="","",最佳化斷筋點!L518)</f>
        <v/>
      </c>
      <c r="AL518" s="37" t="str">
        <f>IF(最佳化斷筋點!M518="","",最佳化斷筋點!M518)</f>
        <v/>
      </c>
      <c r="AM518" s="37" t="str">
        <f>IF(最佳化斷筋點!N518="","",最佳化斷筋點!N518)</f>
        <v/>
      </c>
      <c r="AN518" s="37" t="str">
        <f>IF(最佳化斷筋點!O518="","",最佳化斷筋點!O518)</f>
        <v/>
      </c>
      <c r="AO518" s="37" t="str">
        <f>IF(最佳化斷筋點!P518="","",最佳化斷筋點!P518)</f>
        <v/>
      </c>
      <c r="AP518" s="37" t="str">
        <f>IF(最佳化斷筋點!Q518="","",最佳化斷筋點!Q518)</f>
        <v/>
      </c>
      <c r="AQ518" s="37" t="str">
        <f>IF(最佳化斷筋點!R518="","",最佳化斷筋點!R518)</f>
        <v/>
      </c>
      <c r="AR518" s="37" t="str">
        <f>IF(最佳化斷筋點!S518="","",最佳化斷筋點!S518)</f>
        <v/>
      </c>
      <c r="AS518" s="37" t="str">
        <f>IF(最佳化斷筋點!T518="","",最佳化斷筋點!T518)</f>
        <v/>
      </c>
      <c r="AT518" s="37" t="str">
        <f>IF(最佳化斷筋點!U518="","",最佳化斷筋點!U518)</f>
        <v/>
      </c>
      <c r="AU518" s="37" t="str">
        <f>IF(最佳化斷筋點!V518="","",最佳化斷筋點!V518)</f>
        <v/>
      </c>
      <c r="AV518" s="37" t="str">
        <f>IF(最佳化斷筋點!W518="","",最佳化斷筋點!W518)</f>
        <v/>
      </c>
      <c r="AW518" s="37" t="str">
        <f>IF(最佳化斷筋點!X518="","",最佳化斷筋點!X518)</f>
        <v/>
      </c>
      <c r="AZ518" s="37" t="s">
        <v>197</v>
      </c>
      <c r="BA518" s="37" t="s">
        <v>197</v>
      </c>
      <c r="BB518" s="37" t="s">
        <v>197</v>
      </c>
      <c r="BC518" s="37" t="s">
        <v>197</v>
      </c>
      <c r="BD518" s="37" t="s">
        <v>197</v>
      </c>
      <c r="BE518" s="37" t="s">
        <v>197</v>
      </c>
      <c r="BF518" s="37" t="s">
        <v>197</v>
      </c>
      <c r="BG518" s="37" t="s">
        <v>197</v>
      </c>
      <c r="BH518" s="37" t="s">
        <v>197</v>
      </c>
      <c r="BI518" s="37" t="s">
        <v>197</v>
      </c>
      <c r="BJ518" s="37" t="s">
        <v>197</v>
      </c>
      <c r="BK518" s="37" t="s">
        <v>197</v>
      </c>
      <c r="BL518" s="37" t="s">
        <v>197</v>
      </c>
      <c r="BM518" s="37" t="s">
        <v>197</v>
      </c>
      <c r="BN518" s="37" t="s">
        <v>197</v>
      </c>
      <c r="BO518" s="37" t="s">
        <v>197</v>
      </c>
      <c r="BP518" s="37" t="s">
        <v>197</v>
      </c>
      <c r="BQ518" s="37" t="s">
        <v>197</v>
      </c>
      <c r="BR518" s="37" t="s">
        <v>197</v>
      </c>
      <c r="BS518" s="37" t="s">
        <v>197</v>
      </c>
      <c r="BT518" s="37" t="s">
        <v>197</v>
      </c>
    </row>
    <row r="519" spans="5:72" x14ac:dyDescent="0.25">
      <c r="E519" s="6" t="s">
        <v>20</v>
      </c>
      <c r="F519" s="6">
        <f t="shared" si="169"/>
        <v>0</v>
      </c>
      <c r="G519" s="6">
        <f t="shared" si="170"/>
        <v>0</v>
      </c>
      <c r="H519" s="6">
        <f t="shared" si="171"/>
        <v>0</v>
      </c>
      <c r="I519" s="6">
        <f t="shared" si="172"/>
        <v>0</v>
      </c>
      <c r="J519" s="6">
        <f t="shared" si="173"/>
        <v>0</v>
      </c>
      <c r="K519" s="6">
        <f t="shared" si="174"/>
        <v>0</v>
      </c>
      <c r="L519" s="6">
        <f t="shared" si="175"/>
        <v>0</v>
      </c>
      <c r="M519" s="6">
        <f t="shared" si="176"/>
        <v>0</v>
      </c>
      <c r="N519" s="6">
        <f t="shared" si="177"/>
        <v>0</v>
      </c>
      <c r="O519" s="6">
        <f t="shared" si="178"/>
        <v>0</v>
      </c>
      <c r="P519" s="6">
        <f t="shared" si="179"/>
        <v>0</v>
      </c>
      <c r="Q519" s="6">
        <f t="shared" si="180"/>
        <v>0</v>
      </c>
      <c r="R519" s="6">
        <f t="shared" si="181"/>
        <v>0</v>
      </c>
      <c r="S519" s="6">
        <f t="shared" si="182"/>
        <v>0</v>
      </c>
      <c r="T519" s="6">
        <f t="shared" si="183"/>
        <v>0</v>
      </c>
      <c r="U519" s="6">
        <f t="shared" si="184"/>
        <v>0</v>
      </c>
      <c r="V519" s="6">
        <f t="shared" si="185"/>
        <v>0</v>
      </c>
      <c r="W519" s="6">
        <f t="shared" si="186"/>
        <v>0</v>
      </c>
      <c r="X519" s="6">
        <f t="shared" si="187"/>
        <v>0</v>
      </c>
      <c r="Y519" s="6">
        <f t="shared" si="188"/>
        <v>0</v>
      </c>
      <c r="Z519" s="6">
        <f t="shared" si="189"/>
        <v>0</v>
      </c>
      <c r="AB519" s="36" t="str">
        <f>IF(最佳化斷筋點!C519="","",最佳化斷筋點!C519)</f>
        <v>上層</v>
      </c>
      <c r="AC519" s="37">
        <f>IF(最佳化斷筋點!D519="","",最佳化斷筋點!D519)</f>
        <v>8</v>
      </c>
      <c r="AD519" s="37">
        <f>IF(最佳化斷筋點!E519="","",最佳化斷筋點!E519)</f>
        <v>8</v>
      </c>
      <c r="AE519" s="37">
        <f>IF(最佳化斷筋點!F519="","",最佳化斷筋點!F519)</f>
        <v>8</v>
      </c>
      <c r="AF519" s="37">
        <f>IF(最佳化斷筋點!G519="","",最佳化斷筋點!G519)</f>
        <v>8</v>
      </c>
      <c r="AG519" s="37">
        <f>IF(最佳化斷筋點!H519="","",最佳化斷筋點!H519)</f>
        <v>8</v>
      </c>
      <c r="AH519" s="37">
        <f>IF(最佳化斷筋點!I519="","",最佳化斷筋點!I519)</f>
        <v>8</v>
      </c>
      <c r="AI519" s="37">
        <f>IF(最佳化斷筋點!J519="","",最佳化斷筋點!J519)</f>
        <v>8</v>
      </c>
      <c r="AJ519" s="37">
        <f>IF(最佳化斷筋點!K519="","",最佳化斷筋點!K519)</f>
        <v>8</v>
      </c>
      <c r="AK519" s="37">
        <f>IF(最佳化斷筋點!L519="","",最佳化斷筋點!L519)</f>
        <v>8</v>
      </c>
      <c r="AL519" s="37">
        <f>IF(最佳化斷筋點!M519="","",最佳化斷筋點!M519)</f>
        <v>7</v>
      </c>
      <c r="AM519" s="37">
        <f>IF(最佳化斷筋點!N519="","",最佳化斷筋點!N519)</f>
        <v>6</v>
      </c>
      <c r="AN519" s="37">
        <f>IF(最佳化斷筋點!O519="","",最佳化斷筋點!O519)</f>
        <v>7</v>
      </c>
      <c r="AO519" s="37">
        <f>IF(最佳化斷筋點!P519="","",最佳化斷筋點!P519)</f>
        <v>8</v>
      </c>
      <c r="AP519" s="37">
        <f>IF(最佳化斷筋點!Q519="","",最佳化斷筋點!Q519)</f>
        <v>9</v>
      </c>
      <c r="AQ519" s="37">
        <f>IF(最佳化斷筋點!R519="","",最佳化斷筋點!R519)</f>
        <v>9</v>
      </c>
      <c r="AR519" s="37">
        <f>IF(最佳化斷筋點!S519="","",最佳化斷筋點!S519)</f>
        <v>9</v>
      </c>
      <c r="AS519" s="37">
        <f>IF(最佳化斷筋點!T519="","",最佳化斷筋點!T519)</f>
        <v>9</v>
      </c>
      <c r="AT519" s="37">
        <f>IF(最佳化斷筋點!U519="","",最佳化斷筋點!U519)</f>
        <v>9</v>
      </c>
      <c r="AU519" s="37">
        <f>IF(最佳化斷筋點!V519="","",最佳化斷筋點!V519)</f>
        <v>9</v>
      </c>
      <c r="AV519" s="37">
        <f>IF(最佳化斷筋點!W519="","",最佳化斷筋點!W519)</f>
        <v>9</v>
      </c>
      <c r="AW519" s="37">
        <f>IF(最佳化斷筋點!X519="","",最佳化斷筋點!X519)</f>
        <v>9</v>
      </c>
      <c r="AY519" s="6" t="s">
        <v>20</v>
      </c>
      <c r="AZ519" s="37">
        <v>8</v>
      </c>
      <c r="BA519" s="37">
        <v>8</v>
      </c>
      <c r="BB519" s="37">
        <v>8</v>
      </c>
      <c r="BC519" s="37">
        <v>8</v>
      </c>
      <c r="BD519" s="37">
        <v>8</v>
      </c>
      <c r="BE519" s="37">
        <v>8</v>
      </c>
      <c r="BF519" s="37">
        <v>8</v>
      </c>
      <c r="BG519" s="37">
        <v>8</v>
      </c>
      <c r="BH519" s="37">
        <v>8</v>
      </c>
      <c r="BI519" s="37">
        <v>7</v>
      </c>
      <c r="BJ519" s="37">
        <v>6</v>
      </c>
      <c r="BK519" s="37">
        <v>7</v>
      </c>
      <c r="BL519" s="37">
        <v>8</v>
      </c>
      <c r="BM519" s="37">
        <v>9</v>
      </c>
      <c r="BN519" s="37">
        <v>9</v>
      </c>
      <c r="BO519" s="37">
        <v>9</v>
      </c>
      <c r="BP519" s="37">
        <v>9</v>
      </c>
      <c r="BQ519" s="37">
        <v>9</v>
      </c>
      <c r="BR519" s="37">
        <v>9</v>
      </c>
      <c r="BS519" s="37">
        <v>9</v>
      </c>
      <c r="BT519" s="37">
        <v>9</v>
      </c>
    </row>
    <row r="520" spans="5:72" x14ac:dyDescent="0.25">
      <c r="F520" s="6">
        <f t="shared" si="169"/>
        <v>0</v>
      </c>
      <c r="G520" s="6">
        <f t="shared" si="170"/>
        <v>0</v>
      </c>
      <c r="H520" s="6">
        <f t="shared" si="171"/>
        <v>0</v>
      </c>
      <c r="I520" s="6">
        <f t="shared" si="172"/>
        <v>0</v>
      </c>
      <c r="J520" s="6">
        <f t="shared" si="173"/>
        <v>0</v>
      </c>
      <c r="K520" s="6">
        <f t="shared" si="174"/>
        <v>0</v>
      </c>
      <c r="L520" s="6">
        <f t="shared" si="175"/>
        <v>0</v>
      </c>
      <c r="M520" s="6">
        <f t="shared" si="176"/>
        <v>0</v>
      </c>
      <c r="N520" s="6">
        <f t="shared" si="177"/>
        <v>0</v>
      </c>
      <c r="O520" s="6">
        <f t="shared" si="178"/>
        <v>0</v>
      </c>
      <c r="P520" s="6">
        <f t="shared" si="179"/>
        <v>0</v>
      </c>
      <c r="Q520" s="6">
        <f t="shared" si="180"/>
        <v>0</v>
      </c>
      <c r="R520" s="6">
        <f t="shared" si="181"/>
        <v>0</v>
      </c>
      <c r="S520" s="6">
        <f t="shared" si="182"/>
        <v>0</v>
      </c>
      <c r="T520" s="6">
        <f t="shared" si="183"/>
        <v>0</v>
      </c>
      <c r="U520" s="6">
        <f t="shared" si="184"/>
        <v>0</v>
      </c>
      <c r="V520" s="6">
        <f t="shared" si="185"/>
        <v>0</v>
      </c>
      <c r="W520" s="6">
        <f t="shared" si="186"/>
        <v>0</v>
      </c>
      <c r="X520" s="6">
        <f t="shared" si="187"/>
        <v>0</v>
      </c>
      <c r="Y520" s="6">
        <f t="shared" si="188"/>
        <v>0</v>
      </c>
      <c r="Z520" s="6">
        <f t="shared" si="189"/>
        <v>0</v>
      </c>
      <c r="AB520" s="36" t="str">
        <f>IF(最佳化斷筋點!C520="","",最佳化斷筋點!C520)</f>
        <v/>
      </c>
      <c r="AC520" s="37" t="str">
        <f>IF(最佳化斷筋點!D520="","",最佳化斷筋點!D520)</f>
        <v/>
      </c>
      <c r="AD520" s="37" t="str">
        <f>IF(最佳化斷筋點!E520="","",最佳化斷筋點!E520)</f>
        <v/>
      </c>
      <c r="AE520" s="37" t="str">
        <f>IF(最佳化斷筋點!F520="","",最佳化斷筋點!F520)</f>
        <v/>
      </c>
      <c r="AF520" s="37" t="str">
        <f>IF(最佳化斷筋點!G520="","",最佳化斷筋點!G520)</f>
        <v/>
      </c>
      <c r="AG520" s="37" t="str">
        <f>IF(最佳化斷筋點!H520="","",最佳化斷筋點!H520)</f>
        <v/>
      </c>
      <c r="AH520" s="37" t="str">
        <f>IF(最佳化斷筋點!I520="","",最佳化斷筋點!I520)</f>
        <v/>
      </c>
      <c r="AI520" s="37" t="str">
        <f>IF(最佳化斷筋點!J520="","",最佳化斷筋點!J520)</f>
        <v/>
      </c>
      <c r="AJ520" s="37" t="str">
        <f>IF(最佳化斷筋點!K520="","",最佳化斷筋點!K520)</f>
        <v/>
      </c>
      <c r="AK520" s="37" t="str">
        <f>IF(最佳化斷筋點!L520="","",最佳化斷筋點!L520)</f>
        <v/>
      </c>
      <c r="AL520" s="37" t="str">
        <f>IF(最佳化斷筋點!M520="","",最佳化斷筋點!M520)</f>
        <v/>
      </c>
      <c r="AM520" s="37" t="str">
        <f>IF(最佳化斷筋點!N520="","",最佳化斷筋點!N520)</f>
        <v/>
      </c>
      <c r="AN520" s="37" t="str">
        <f>IF(最佳化斷筋點!O520="","",最佳化斷筋點!O520)</f>
        <v/>
      </c>
      <c r="AO520" s="37" t="str">
        <f>IF(最佳化斷筋點!P520="","",最佳化斷筋點!P520)</f>
        <v/>
      </c>
      <c r="AP520" s="37" t="str">
        <f>IF(最佳化斷筋點!Q520="","",最佳化斷筋點!Q520)</f>
        <v/>
      </c>
      <c r="AQ520" s="37" t="str">
        <f>IF(最佳化斷筋點!R520="","",最佳化斷筋點!R520)</f>
        <v/>
      </c>
      <c r="AR520" s="37" t="str">
        <f>IF(最佳化斷筋點!S520="","",最佳化斷筋點!S520)</f>
        <v/>
      </c>
      <c r="AS520" s="37" t="str">
        <f>IF(最佳化斷筋點!T520="","",最佳化斷筋點!T520)</f>
        <v/>
      </c>
      <c r="AT520" s="37" t="str">
        <f>IF(最佳化斷筋點!U520="","",最佳化斷筋點!U520)</f>
        <v/>
      </c>
      <c r="AU520" s="37" t="str">
        <f>IF(最佳化斷筋點!V520="","",最佳化斷筋點!V520)</f>
        <v/>
      </c>
      <c r="AV520" s="37" t="str">
        <f>IF(最佳化斷筋點!W520="","",最佳化斷筋點!W520)</f>
        <v/>
      </c>
      <c r="AW520" s="37" t="str">
        <f>IF(最佳化斷筋點!X520="","",最佳化斷筋點!X520)</f>
        <v/>
      </c>
      <c r="AZ520" s="37" t="s">
        <v>197</v>
      </c>
      <c r="BA520" s="37" t="s">
        <v>197</v>
      </c>
      <c r="BB520" s="37" t="s">
        <v>197</v>
      </c>
      <c r="BC520" s="37" t="s">
        <v>197</v>
      </c>
      <c r="BD520" s="37" t="s">
        <v>197</v>
      </c>
      <c r="BE520" s="37" t="s">
        <v>197</v>
      </c>
      <c r="BF520" s="37" t="s">
        <v>197</v>
      </c>
      <c r="BG520" s="37" t="s">
        <v>197</v>
      </c>
      <c r="BH520" s="37" t="s">
        <v>197</v>
      </c>
      <c r="BI520" s="37" t="s">
        <v>197</v>
      </c>
      <c r="BJ520" s="37" t="s">
        <v>197</v>
      </c>
      <c r="BK520" s="37" t="s">
        <v>197</v>
      </c>
      <c r="BL520" s="37" t="s">
        <v>197</v>
      </c>
      <c r="BM520" s="37" t="s">
        <v>197</v>
      </c>
      <c r="BN520" s="37" t="s">
        <v>197</v>
      </c>
      <c r="BO520" s="37" t="s">
        <v>197</v>
      </c>
      <c r="BP520" s="37" t="s">
        <v>197</v>
      </c>
      <c r="BQ520" s="37" t="s">
        <v>197</v>
      </c>
      <c r="BR520" s="37" t="s">
        <v>197</v>
      </c>
      <c r="BS520" s="37" t="s">
        <v>197</v>
      </c>
      <c r="BT520" s="37" t="s">
        <v>197</v>
      </c>
    </row>
    <row r="521" spans="5:72" x14ac:dyDescent="0.25">
      <c r="E521" s="6" t="s">
        <v>21</v>
      </c>
      <c r="F521" s="6">
        <f t="shared" si="169"/>
        <v>0</v>
      </c>
      <c r="G521" s="6">
        <f t="shared" si="170"/>
        <v>0</v>
      </c>
      <c r="H521" s="6">
        <f t="shared" si="171"/>
        <v>0</v>
      </c>
      <c r="I521" s="6">
        <f t="shared" si="172"/>
        <v>0</v>
      </c>
      <c r="J521" s="6">
        <f t="shared" si="173"/>
        <v>0</v>
      </c>
      <c r="K521" s="6">
        <f t="shared" si="174"/>
        <v>0</v>
      </c>
      <c r="L521" s="6">
        <f t="shared" si="175"/>
        <v>0</v>
      </c>
      <c r="M521" s="6">
        <f t="shared" si="176"/>
        <v>0</v>
      </c>
      <c r="N521" s="6">
        <f t="shared" si="177"/>
        <v>0</v>
      </c>
      <c r="O521" s="6">
        <f t="shared" si="178"/>
        <v>0</v>
      </c>
      <c r="P521" s="6">
        <f t="shared" si="179"/>
        <v>0</v>
      </c>
      <c r="Q521" s="6">
        <f t="shared" si="180"/>
        <v>0</v>
      </c>
      <c r="R521" s="6">
        <f t="shared" si="181"/>
        <v>0</v>
      </c>
      <c r="S521" s="6">
        <f t="shared" si="182"/>
        <v>0</v>
      </c>
      <c r="T521" s="6">
        <f t="shared" si="183"/>
        <v>0</v>
      </c>
      <c r="U521" s="6">
        <f t="shared" si="184"/>
        <v>0</v>
      </c>
      <c r="V521" s="6">
        <f t="shared" si="185"/>
        <v>0</v>
      </c>
      <c r="W521" s="6">
        <f t="shared" si="186"/>
        <v>0</v>
      </c>
      <c r="X521" s="6">
        <f t="shared" si="187"/>
        <v>0</v>
      </c>
      <c r="Y521" s="6">
        <f t="shared" si="188"/>
        <v>0</v>
      </c>
      <c r="Z521" s="6">
        <f t="shared" si="189"/>
        <v>0</v>
      </c>
      <c r="AB521" s="36" t="str">
        <f>IF(最佳化斷筋點!C521="","",最佳化斷筋點!C521)</f>
        <v>下層</v>
      </c>
      <c r="AC521" s="37">
        <f>IF(最佳化斷筋點!D521="","",最佳化斷筋點!D521)</f>
        <v>12</v>
      </c>
      <c r="AD521" s="37">
        <f>IF(最佳化斷筋點!E521="","",最佳化斷筋點!E521)</f>
        <v>12</v>
      </c>
      <c r="AE521" s="37">
        <f>IF(最佳化斷筋點!F521="","",最佳化斷筋點!F521)</f>
        <v>12</v>
      </c>
      <c r="AF521" s="37">
        <f>IF(最佳化斷筋點!G521="","",最佳化斷筋點!G521)</f>
        <v>12</v>
      </c>
      <c r="AG521" s="37">
        <f>IF(最佳化斷筋點!H521="","",最佳化斷筋點!H521)</f>
        <v>12</v>
      </c>
      <c r="AH521" s="37">
        <f>IF(最佳化斷筋點!I521="","",最佳化斷筋點!I521)</f>
        <v>11</v>
      </c>
      <c r="AI521" s="37">
        <f>IF(最佳化斷筋點!J521="","",最佳化斷筋點!J521)</f>
        <v>11</v>
      </c>
      <c r="AJ521" s="37">
        <f>IF(最佳化斷筋點!K521="","",最佳化斷筋點!K521)</f>
        <v>11</v>
      </c>
      <c r="AK521" s="37">
        <f>IF(最佳化斷筋點!L521="","",最佳化斷筋點!L521)</f>
        <v>11</v>
      </c>
      <c r="AL521" s="37">
        <f>IF(最佳化斷筋點!M521="","",最佳化斷筋點!M521)</f>
        <v>11</v>
      </c>
      <c r="AM521" s="37">
        <f>IF(最佳化斷筋點!N521="","",最佳化斷筋點!N521)</f>
        <v>11</v>
      </c>
      <c r="AN521" s="37">
        <f>IF(最佳化斷筋點!O521="","",最佳化斷筋點!O521)</f>
        <v>11</v>
      </c>
      <c r="AO521" s="37">
        <f>IF(最佳化斷筋點!P521="","",最佳化斷筋點!P521)</f>
        <v>11</v>
      </c>
      <c r="AP521" s="37">
        <f>IF(最佳化斷筋點!Q521="","",最佳化斷筋點!Q521)</f>
        <v>11</v>
      </c>
      <c r="AQ521" s="37">
        <f>IF(最佳化斷筋點!R521="","",最佳化斷筋點!R521)</f>
        <v>11</v>
      </c>
      <c r="AR521" s="37">
        <f>IF(最佳化斷筋點!S521="","",最佳化斷筋點!S521)</f>
        <v>11</v>
      </c>
      <c r="AS521" s="37">
        <f>IF(最佳化斷筋點!T521="","",最佳化斷筋點!T521)</f>
        <v>11</v>
      </c>
      <c r="AT521" s="37">
        <f>IF(最佳化斷筋點!U521="","",最佳化斷筋點!U521)</f>
        <v>11</v>
      </c>
      <c r="AU521" s="37">
        <f>IF(最佳化斷筋點!V521="","",最佳化斷筋點!V521)</f>
        <v>10</v>
      </c>
      <c r="AV521" s="37">
        <f>IF(最佳化斷筋點!W521="","",最佳化斷筋點!W521)</f>
        <v>10</v>
      </c>
      <c r="AW521" s="37">
        <f>IF(最佳化斷筋點!X521="","",最佳化斷筋點!X521)</f>
        <v>10</v>
      </c>
      <c r="AY521" s="6" t="s">
        <v>21</v>
      </c>
      <c r="AZ521" s="37">
        <v>12</v>
      </c>
      <c r="BA521" s="37">
        <v>12</v>
      </c>
      <c r="BB521" s="37">
        <v>12</v>
      </c>
      <c r="BC521" s="37">
        <v>12</v>
      </c>
      <c r="BD521" s="37">
        <v>12</v>
      </c>
      <c r="BE521" s="37">
        <v>11</v>
      </c>
      <c r="BF521" s="37">
        <v>11</v>
      </c>
      <c r="BG521" s="37">
        <v>11</v>
      </c>
      <c r="BH521" s="37">
        <v>11</v>
      </c>
      <c r="BI521" s="37">
        <v>11</v>
      </c>
      <c r="BJ521" s="37">
        <v>11</v>
      </c>
      <c r="BK521" s="37">
        <v>11</v>
      </c>
      <c r="BL521" s="37">
        <v>11</v>
      </c>
      <c r="BM521" s="37">
        <v>11</v>
      </c>
      <c r="BN521" s="37">
        <v>11</v>
      </c>
      <c r="BO521" s="37">
        <v>11</v>
      </c>
      <c r="BP521" s="37">
        <v>11</v>
      </c>
      <c r="BQ521" s="37">
        <v>11</v>
      </c>
      <c r="BR521" s="37">
        <v>10</v>
      </c>
      <c r="BS521" s="37">
        <v>10</v>
      </c>
      <c r="BT521" s="37">
        <v>10</v>
      </c>
    </row>
    <row r="522" spans="5:72" x14ac:dyDescent="0.25">
      <c r="F522" s="6">
        <f t="shared" si="169"/>
        <v>0</v>
      </c>
      <c r="G522" s="6">
        <f t="shared" si="170"/>
        <v>0</v>
      </c>
      <c r="H522" s="6">
        <f t="shared" si="171"/>
        <v>0</v>
      </c>
      <c r="I522" s="6">
        <f t="shared" si="172"/>
        <v>0</v>
      </c>
      <c r="J522" s="6">
        <f t="shared" si="173"/>
        <v>0</v>
      </c>
      <c r="K522" s="6">
        <f t="shared" si="174"/>
        <v>0</v>
      </c>
      <c r="L522" s="6">
        <f t="shared" si="175"/>
        <v>0</v>
      </c>
      <c r="M522" s="6">
        <f t="shared" si="176"/>
        <v>0</v>
      </c>
      <c r="N522" s="6">
        <f t="shared" si="177"/>
        <v>0</v>
      </c>
      <c r="O522" s="6">
        <f t="shared" si="178"/>
        <v>0</v>
      </c>
      <c r="P522" s="6">
        <f t="shared" si="179"/>
        <v>0</v>
      </c>
      <c r="Q522" s="6">
        <f t="shared" si="180"/>
        <v>0</v>
      </c>
      <c r="R522" s="6">
        <f t="shared" si="181"/>
        <v>0</v>
      </c>
      <c r="S522" s="6">
        <f t="shared" si="182"/>
        <v>0</v>
      </c>
      <c r="T522" s="6">
        <f t="shared" si="183"/>
        <v>0</v>
      </c>
      <c r="U522" s="6">
        <f t="shared" si="184"/>
        <v>0</v>
      </c>
      <c r="V522" s="6">
        <f t="shared" si="185"/>
        <v>0</v>
      </c>
      <c r="W522" s="6">
        <f t="shared" si="186"/>
        <v>0</v>
      </c>
      <c r="X522" s="6">
        <f t="shared" si="187"/>
        <v>0</v>
      </c>
      <c r="Y522" s="6">
        <f t="shared" si="188"/>
        <v>0</v>
      </c>
      <c r="Z522" s="6">
        <f t="shared" si="189"/>
        <v>0</v>
      </c>
      <c r="AB522" s="36" t="str">
        <f>IF(最佳化斷筋點!C522="","",最佳化斷筋點!C522)</f>
        <v/>
      </c>
      <c r="AC522" s="37" t="str">
        <f>IF(最佳化斷筋點!D522="","",最佳化斷筋點!D522)</f>
        <v/>
      </c>
      <c r="AD522" s="37" t="str">
        <f>IF(最佳化斷筋點!E522="","",最佳化斷筋點!E522)</f>
        <v/>
      </c>
      <c r="AE522" s="37" t="str">
        <f>IF(最佳化斷筋點!F522="","",最佳化斷筋點!F522)</f>
        <v/>
      </c>
      <c r="AF522" s="37" t="str">
        <f>IF(最佳化斷筋點!G522="","",最佳化斷筋點!G522)</f>
        <v/>
      </c>
      <c r="AG522" s="37" t="str">
        <f>IF(最佳化斷筋點!H522="","",最佳化斷筋點!H522)</f>
        <v/>
      </c>
      <c r="AH522" s="37" t="str">
        <f>IF(最佳化斷筋點!I522="","",最佳化斷筋點!I522)</f>
        <v/>
      </c>
      <c r="AI522" s="37" t="str">
        <f>IF(最佳化斷筋點!J522="","",最佳化斷筋點!J522)</f>
        <v/>
      </c>
      <c r="AJ522" s="37" t="str">
        <f>IF(最佳化斷筋點!K522="","",最佳化斷筋點!K522)</f>
        <v/>
      </c>
      <c r="AK522" s="37" t="str">
        <f>IF(最佳化斷筋點!L522="","",最佳化斷筋點!L522)</f>
        <v/>
      </c>
      <c r="AL522" s="37" t="str">
        <f>IF(最佳化斷筋點!M522="","",最佳化斷筋點!M522)</f>
        <v/>
      </c>
      <c r="AM522" s="37" t="str">
        <f>IF(最佳化斷筋點!N522="","",最佳化斷筋點!N522)</f>
        <v/>
      </c>
      <c r="AN522" s="37" t="str">
        <f>IF(最佳化斷筋點!O522="","",最佳化斷筋點!O522)</f>
        <v/>
      </c>
      <c r="AO522" s="37" t="str">
        <f>IF(最佳化斷筋點!P522="","",最佳化斷筋點!P522)</f>
        <v/>
      </c>
      <c r="AP522" s="37" t="str">
        <f>IF(最佳化斷筋點!Q522="","",最佳化斷筋點!Q522)</f>
        <v/>
      </c>
      <c r="AQ522" s="37" t="str">
        <f>IF(最佳化斷筋點!R522="","",最佳化斷筋點!R522)</f>
        <v/>
      </c>
      <c r="AR522" s="37" t="str">
        <f>IF(最佳化斷筋點!S522="","",最佳化斷筋點!S522)</f>
        <v/>
      </c>
      <c r="AS522" s="37" t="str">
        <f>IF(最佳化斷筋點!T522="","",最佳化斷筋點!T522)</f>
        <v/>
      </c>
      <c r="AT522" s="37" t="str">
        <f>IF(最佳化斷筋點!U522="","",最佳化斷筋點!U522)</f>
        <v/>
      </c>
      <c r="AU522" s="37" t="str">
        <f>IF(最佳化斷筋點!V522="","",最佳化斷筋點!V522)</f>
        <v/>
      </c>
      <c r="AV522" s="37" t="str">
        <f>IF(最佳化斷筋點!W522="","",最佳化斷筋點!W522)</f>
        <v/>
      </c>
      <c r="AW522" s="37" t="str">
        <f>IF(最佳化斷筋點!X522="","",最佳化斷筋點!X522)</f>
        <v/>
      </c>
      <c r="AZ522" s="37" t="s">
        <v>197</v>
      </c>
      <c r="BA522" s="37" t="s">
        <v>197</v>
      </c>
      <c r="BB522" s="37" t="s">
        <v>197</v>
      </c>
      <c r="BC522" s="37" t="s">
        <v>197</v>
      </c>
      <c r="BD522" s="37" t="s">
        <v>197</v>
      </c>
      <c r="BE522" s="37" t="s">
        <v>197</v>
      </c>
      <c r="BF522" s="37" t="s">
        <v>197</v>
      </c>
      <c r="BG522" s="37" t="s">
        <v>197</v>
      </c>
      <c r="BH522" s="37" t="s">
        <v>197</v>
      </c>
      <c r="BI522" s="37" t="s">
        <v>197</v>
      </c>
      <c r="BJ522" s="37" t="s">
        <v>197</v>
      </c>
      <c r="BK522" s="37" t="s">
        <v>197</v>
      </c>
      <c r="BL522" s="37" t="s">
        <v>197</v>
      </c>
      <c r="BM522" s="37" t="s">
        <v>197</v>
      </c>
      <c r="BN522" s="37" t="s">
        <v>197</v>
      </c>
      <c r="BO522" s="37" t="s">
        <v>197</v>
      </c>
      <c r="BP522" s="37" t="s">
        <v>197</v>
      </c>
      <c r="BQ522" s="37" t="s">
        <v>197</v>
      </c>
      <c r="BR522" s="37" t="s">
        <v>197</v>
      </c>
      <c r="BS522" s="37" t="s">
        <v>197</v>
      </c>
      <c r="BT522" s="37" t="s">
        <v>197</v>
      </c>
    </row>
    <row r="523" spans="5:72" x14ac:dyDescent="0.25">
      <c r="E523" s="6" t="s">
        <v>20</v>
      </c>
      <c r="F523" s="6">
        <f t="shared" si="169"/>
        <v>0</v>
      </c>
      <c r="G523" s="6">
        <f t="shared" si="170"/>
        <v>0</v>
      </c>
      <c r="H523" s="6">
        <f t="shared" si="171"/>
        <v>0</v>
      </c>
      <c r="I523" s="6">
        <f t="shared" si="172"/>
        <v>0</v>
      </c>
      <c r="J523" s="6">
        <f t="shared" si="173"/>
        <v>0</v>
      </c>
      <c r="K523" s="6">
        <f t="shared" si="174"/>
        <v>0</v>
      </c>
      <c r="L523" s="6">
        <f t="shared" si="175"/>
        <v>0</v>
      </c>
      <c r="M523" s="6">
        <f t="shared" si="176"/>
        <v>0</v>
      </c>
      <c r="N523" s="6">
        <f t="shared" si="177"/>
        <v>0</v>
      </c>
      <c r="O523" s="6">
        <f t="shared" si="178"/>
        <v>0</v>
      </c>
      <c r="P523" s="6">
        <f t="shared" si="179"/>
        <v>0</v>
      </c>
      <c r="Q523" s="6">
        <f t="shared" si="180"/>
        <v>0</v>
      </c>
      <c r="R523" s="6">
        <f t="shared" si="181"/>
        <v>0</v>
      </c>
      <c r="S523" s="6">
        <f t="shared" si="182"/>
        <v>0</v>
      </c>
      <c r="T523" s="6">
        <f t="shared" si="183"/>
        <v>0</v>
      </c>
      <c r="U523" s="6">
        <f t="shared" si="184"/>
        <v>0</v>
      </c>
      <c r="V523" s="6">
        <f t="shared" si="185"/>
        <v>0</v>
      </c>
      <c r="W523" s="6">
        <f t="shared" si="186"/>
        <v>0</v>
      </c>
      <c r="X523" s="6">
        <f t="shared" si="187"/>
        <v>0</v>
      </c>
      <c r="Y523" s="6">
        <f t="shared" si="188"/>
        <v>0</v>
      </c>
      <c r="Z523" s="6">
        <f t="shared" si="189"/>
        <v>0</v>
      </c>
      <c r="AB523" s="36" t="str">
        <f>IF(最佳化斷筋點!C523="","",最佳化斷筋點!C523)</f>
        <v>上層</v>
      </c>
      <c r="AC523" s="37">
        <f>IF(最佳化斷筋點!D523="","",最佳化斷筋點!D523)</f>
        <v>7</v>
      </c>
      <c r="AD523" s="37">
        <f>IF(最佳化斷筋點!E523="","",最佳化斷筋點!E523)</f>
        <v>7</v>
      </c>
      <c r="AE523" s="37">
        <f>IF(最佳化斷筋點!F523="","",最佳化斷筋點!F523)</f>
        <v>7</v>
      </c>
      <c r="AF523" s="37">
        <f>IF(最佳化斷筋點!G523="","",最佳化斷筋點!G523)</f>
        <v>7</v>
      </c>
      <c r="AG523" s="37">
        <f>IF(最佳化斷筋點!H523="","",最佳化斷筋點!H523)</f>
        <v>7</v>
      </c>
      <c r="AH523" s="37">
        <f>IF(最佳化斷筋點!I523="","",最佳化斷筋點!I523)</f>
        <v>7</v>
      </c>
      <c r="AI523" s="37">
        <f>IF(最佳化斷筋點!J523="","",最佳化斷筋點!J523)</f>
        <v>7</v>
      </c>
      <c r="AJ523" s="37">
        <f>IF(最佳化斷筋點!K523="","",最佳化斷筋點!K523)</f>
        <v>3</v>
      </c>
      <c r="AK523" s="37">
        <f>IF(最佳化斷筋點!L523="","",最佳化斷筋點!L523)</f>
        <v>3</v>
      </c>
      <c r="AL523" s="37">
        <f>IF(最佳化斷筋點!M523="","",最佳化斷筋點!M523)</f>
        <v>3</v>
      </c>
      <c r="AM523" s="37">
        <f>IF(最佳化斷筋點!N523="","",最佳化斷筋點!N523)</f>
        <v>3</v>
      </c>
      <c r="AN523" s="37">
        <f>IF(最佳化斷筋點!O523="","",最佳化斷筋點!O523)</f>
        <v>3</v>
      </c>
      <c r="AO523" s="37">
        <f>IF(最佳化斷筋點!P523="","",最佳化斷筋點!P523)</f>
        <v>3</v>
      </c>
      <c r="AP523" s="37">
        <f>IF(最佳化斷筋點!Q523="","",最佳化斷筋點!Q523)</f>
        <v>8</v>
      </c>
      <c r="AQ523" s="37">
        <f>IF(最佳化斷筋點!R523="","",最佳化斷筋點!R523)</f>
        <v>9</v>
      </c>
      <c r="AR523" s="37">
        <f>IF(最佳化斷筋點!S523="","",最佳化斷筋點!S523)</f>
        <v>9</v>
      </c>
      <c r="AS523" s="37">
        <f>IF(最佳化斷筋點!T523="","",最佳化斷筋點!T523)</f>
        <v>9</v>
      </c>
      <c r="AT523" s="37">
        <f>IF(最佳化斷筋點!U523="","",最佳化斷筋點!U523)</f>
        <v>9</v>
      </c>
      <c r="AU523" s="37">
        <f>IF(最佳化斷筋點!V523="","",最佳化斷筋點!V523)</f>
        <v>9</v>
      </c>
      <c r="AV523" s="37">
        <f>IF(最佳化斷筋點!W523="","",最佳化斷筋點!W523)</f>
        <v>9</v>
      </c>
      <c r="AW523" s="37">
        <f>IF(最佳化斷筋點!X523="","",最佳化斷筋點!X523)</f>
        <v>9</v>
      </c>
      <c r="AY523" s="6" t="s">
        <v>20</v>
      </c>
      <c r="AZ523" s="37">
        <v>7</v>
      </c>
      <c r="BA523" s="37">
        <v>7</v>
      </c>
      <c r="BB523" s="37">
        <v>7</v>
      </c>
      <c r="BC523" s="37">
        <v>7</v>
      </c>
      <c r="BD523" s="37">
        <v>7</v>
      </c>
      <c r="BE523" s="37">
        <v>7</v>
      </c>
      <c r="BF523" s="37">
        <v>7</v>
      </c>
      <c r="BG523" s="37">
        <v>3</v>
      </c>
      <c r="BH523" s="37">
        <v>3</v>
      </c>
      <c r="BI523" s="37">
        <v>3</v>
      </c>
      <c r="BJ523" s="37">
        <v>3</v>
      </c>
      <c r="BK523" s="37">
        <v>3</v>
      </c>
      <c r="BL523" s="37">
        <v>3</v>
      </c>
      <c r="BM523" s="37">
        <v>8</v>
      </c>
      <c r="BN523" s="37">
        <v>9</v>
      </c>
      <c r="BO523" s="37">
        <v>9</v>
      </c>
      <c r="BP523" s="37">
        <v>9</v>
      </c>
      <c r="BQ523" s="37">
        <v>9</v>
      </c>
      <c r="BR523" s="37">
        <v>9</v>
      </c>
      <c r="BS523" s="37">
        <v>9</v>
      </c>
      <c r="BT523" s="37">
        <v>9</v>
      </c>
    </row>
    <row r="524" spans="5:72" x14ac:dyDescent="0.25">
      <c r="F524" s="6">
        <f t="shared" si="169"/>
        <v>0</v>
      </c>
      <c r="G524" s="6">
        <f t="shared" si="170"/>
        <v>0</v>
      </c>
      <c r="H524" s="6">
        <f t="shared" si="171"/>
        <v>0</v>
      </c>
      <c r="I524" s="6">
        <f t="shared" si="172"/>
        <v>0</v>
      </c>
      <c r="J524" s="6">
        <f t="shared" si="173"/>
        <v>0</v>
      </c>
      <c r="K524" s="6">
        <f t="shared" si="174"/>
        <v>0</v>
      </c>
      <c r="L524" s="6">
        <f t="shared" si="175"/>
        <v>0</v>
      </c>
      <c r="M524" s="6">
        <f t="shared" si="176"/>
        <v>0</v>
      </c>
      <c r="N524" s="6">
        <f t="shared" si="177"/>
        <v>0</v>
      </c>
      <c r="O524" s="6">
        <f t="shared" si="178"/>
        <v>0</v>
      </c>
      <c r="P524" s="6">
        <f t="shared" si="179"/>
        <v>0</v>
      </c>
      <c r="Q524" s="6">
        <f t="shared" si="180"/>
        <v>0</v>
      </c>
      <c r="R524" s="6">
        <f t="shared" si="181"/>
        <v>0</v>
      </c>
      <c r="S524" s="6">
        <f t="shared" si="182"/>
        <v>0</v>
      </c>
      <c r="T524" s="6">
        <f t="shared" si="183"/>
        <v>0</v>
      </c>
      <c r="U524" s="6">
        <f t="shared" si="184"/>
        <v>0</v>
      </c>
      <c r="V524" s="6">
        <f t="shared" si="185"/>
        <v>0</v>
      </c>
      <c r="W524" s="6">
        <f t="shared" si="186"/>
        <v>0</v>
      </c>
      <c r="X524" s="6">
        <f t="shared" si="187"/>
        <v>0</v>
      </c>
      <c r="Y524" s="6">
        <f t="shared" si="188"/>
        <v>0</v>
      </c>
      <c r="Z524" s="6">
        <f t="shared" si="189"/>
        <v>0</v>
      </c>
      <c r="AB524" s="36" t="str">
        <f>IF(最佳化斷筋點!C524="","",最佳化斷筋點!C524)</f>
        <v/>
      </c>
      <c r="AC524" s="37" t="str">
        <f>IF(最佳化斷筋點!D524="","",最佳化斷筋點!D524)</f>
        <v/>
      </c>
      <c r="AD524" s="37" t="str">
        <f>IF(最佳化斷筋點!E524="","",最佳化斷筋點!E524)</f>
        <v/>
      </c>
      <c r="AE524" s="37" t="str">
        <f>IF(最佳化斷筋點!F524="","",最佳化斷筋點!F524)</f>
        <v/>
      </c>
      <c r="AF524" s="37" t="str">
        <f>IF(最佳化斷筋點!G524="","",最佳化斷筋點!G524)</f>
        <v/>
      </c>
      <c r="AG524" s="37" t="str">
        <f>IF(最佳化斷筋點!H524="","",最佳化斷筋點!H524)</f>
        <v/>
      </c>
      <c r="AH524" s="37" t="str">
        <f>IF(最佳化斷筋點!I524="","",最佳化斷筋點!I524)</f>
        <v/>
      </c>
      <c r="AI524" s="37" t="str">
        <f>IF(最佳化斷筋點!J524="","",最佳化斷筋點!J524)</f>
        <v/>
      </c>
      <c r="AJ524" s="37" t="str">
        <f>IF(最佳化斷筋點!K524="","",最佳化斷筋點!K524)</f>
        <v/>
      </c>
      <c r="AK524" s="37" t="str">
        <f>IF(最佳化斷筋點!L524="","",最佳化斷筋點!L524)</f>
        <v/>
      </c>
      <c r="AL524" s="37" t="str">
        <f>IF(最佳化斷筋點!M524="","",最佳化斷筋點!M524)</f>
        <v/>
      </c>
      <c r="AM524" s="37" t="str">
        <f>IF(最佳化斷筋點!N524="","",最佳化斷筋點!N524)</f>
        <v/>
      </c>
      <c r="AN524" s="37" t="str">
        <f>IF(最佳化斷筋點!O524="","",最佳化斷筋點!O524)</f>
        <v/>
      </c>
      <c r="AO524" s="37" t="str">
        <f>IF(最佳化斷筋點!P524="","",最佳化斷筋點!P524)</f>
        <v/>
      </c>
      <c r="AP524" s="37" t="str">
        <f>IF(最佳化斷筋點!Q524="","",最佳化斷筋點!Q524)</f>
        <v/>
      </c>
      <c r="AQ524" s="37" t="str">
        <f>IF(最佳化斷筋點!R524="","",最佳化斷筋點!R524)</f>
        <v/>
      </c>
      <c r="AR524" s="37" t="str">
        <f>IF(最佳化斷筋點!S524="","",最佳化斷筋點!S524)</f>
        <v/>
      </c>
      <c r="AS524" s="37" t="str">
        <f>IF(最佳化斷筋點!T524="","",最佳化斷筋點!T524)</f>
        <v/>
      </c>
      <c r="AT524" s="37" t="str">
        <f>IF(最佳化斷筋點!U524="","",最佳化斷筋點!U524)</f>
        <v/>
      </c>
      <c r="AU524" s="37" t="str">
        <f>IF(最佳化斷筋點!V524="","",最佳化斷筋點!V524)</f>
        <v/>
      </c>
      <c r="AV524" s="37" t="str">
        <f>IF(最佳化斷筋點!W524="","",最佳化斷筋點!W524)</f>
        <v/>
      </c>
      <c r="AW524" s="37" t="str">
        <f>IF(最佳化斷筋點!X524="","",最佳化斷筋點!X524)</f>
        <v/>
      </c>
      <c r="AZ524" s="37" t="s">
        <v>197</v>
      </c>
      <c r="BA524" s="37" t="s">
        <v>197</v>
      </c>
      <c r="BB524" s="37" t="s">
        <v>197</v>
      </c>
      <c r="BC524" s="37" t="s">
        <v>197</v>
      </c>
      <c r="BD524" s="37" t="s">
        <v>197</v>
      </c>
      <c r="BE524" s="37" t="s">
        <v>197</v>
      </c>
      <c r="BF524" s="37" t="s">
        <v>197</v>
      </c>
      <c r="BG524" s="37" t="s">
        <v>197</v>
      </c>
      <c r="BH524" s="37" t="s">
        <v>197</v>
      </c>
      <c r="BI524" s="37" t="s">
        <v>197</v>
      </c>
      <c r="BJ524" s="37" t="s">
        <v>197</v>
      </c>
      <c r="BK524" s="37" t="s">
        <v>197</v>
      </c>
      <c r="BL524" s="37" t="s">
        <v>197</v>
      </c>
      <c r="BM524" s="37" t="s">
        <v>197</v>
      </c>
      <c r="BN524" s="37" t="s">
        <v>197</v>
      </c>
      <c r="BO524" s="37" t="s">
        <v>197</v>
      </c>
      <c r="BP524" s="37" t="s">
        <v>197</v>
      </c>
      <c r="BQ524" s="37" t="s">
        <v>197</v>
      </c>
      <c r="BR524" s="37" t="s">
        <v>197</v>
      </c>
      <c r="BS524" s="37" t="s">
        <v>197</v>
      </c>
      <c r="BT524" s="37" t="s">
        <v>197</v>
      </c>
    </row>
    <row r="525" spans="5:72" x14ac:dyDescent="0.25">
      <c r="E525" s="6" t="s">
        <v>21</v>
      </c>
      <c r="F525" s="6">
        <f t="shared" si="169"/>
        <v>0</v>
      </c>
      <c r="G525" s="6">
        <f t="shared" si="170"/>
        <v>0</v>
      </c>
      <c r="H525" s="6">
        <f t="shared" si="171"/>
        <v>0</v>
      </c>
      <c r="I525" s="6">
        <f t="shared" si="172"/>
        <v>0</v>
      </c>
      <c r="J525" s="6">
        <f t="shared" si="173"/>
        <v>0</v>
      </c>
      <c r="K525" s="6">
        <f t="shared" si="174"/>
        <v>0</v>
      </c>
      <c r="L525" s="6">
        <f t="shared" si="175"/>
        <v>0</v>
      </c>
      <c r="M525" s="6">
        <f t="shared" si="176"/>
        <v>0</v>
      </c>
      <c r="N525" s="6">
        <f t="shared" si="177"/>
        <v>0</v>
      </c>
      <c r="O525" s="6">
        <f t="shared" si="178"/>
        <v>0</v>
      </c>
      <c r="P525" s="6">
        <f t="shared" si="179"/>
        <v>0</v>
      </c>
      <c r="Q525" s="6">
        <f t="shared" si="180"/>
        <v>0</v>
      </c>
      <c r="R525" s="6">
        <f t="shared" si="181"/>
        <v>0</v>
      </c>
      <c r="S525" s="6">
        <f t="shared" si="182"/>
        <v>0</v>
      </c>
      <c r="T525" s="6">
        <f t="shared" si="183"/>
        <v>0</v>
      </c>
      <c r="U525" s="6">
        <f t="shared" si="184"/>
        <v>0</v>
      </c>
      <c r="V525" s="6">
        <f t="shared" si="185"/>
        <v>0</v>
      </c>
      <c r="W525" s="6">
        <f t="shared" si="186"/>
        <v>0</v>
      </c>
      <c r="X525" s="6">
        <f t="shared" si="187"/>
        <v>0</v>
      </c>
      <c r="Y525" s="6">
        <f t="shared" si="188"/>
        <v>0</v>
      </c>
      <c r="Z525" s="6">
        <f t="shared" si="189"/>
        <v>0</v>
      </c>
      <c r="AB525" s="36" t="str">
        <f>IF(最佳化斷筋點!C525="","",最佳化斷筋點!C525)</f>
        <v>下層</v>
      </c>
      <c r="AC525" s="37">
        <f>IF(最佳化斷筋點!D525="","",最佳化斷筋點!D525)</f>
        <v>11</v>
      </c>
      <c r="AD525" s="37">
        <f>IF(最佳化斷筋點!E525="","",最佳化斷筋點!E525)</f>
        <v>11</v>
      </c>
      <c r="AE525" s="37">
        <f>IF(最佳化斷筋點!F525="","",最佳化斷筋點!F525)</f>
        <v>11</v>
      </c>
      <c r="AF525" s="37">
        <f>IF(最佳化斷筋點!G525="","",最佳化斷筋點!G525)</f>
        <v>11</v>
      </c>
      <c r="AG525" s="37">
        <f>IF(最佳化斷筋點!H525="","",最佳化斷筋點!H525)</f>
        <v>11</v>
      </c>
      <c r="AH525" s="37">
        <f>IF(最佳化斷筋點!I525="","",最佳化斷筋點!I525)</f>
        <v>10</v>
      </c>
      <c r="AI525" s="37">
        <f>IF(最佳化斷筋點!J525="","",最佳化斷筋點!J525)</f>
        <v>9</v>
      </c>
      <c r="AJ525" s="37">
        <f>IF(最佳化斷筋點!K525="","",最佳化斷筋點!K525)</f>
        <v>4</v>
      </c>
      <c r="AK525" s="37">
        <f>IF(最佳化斷筋點!L525="","",最佳化斷筋點!L525)</f>
        <v>4</v>
      </c>
      <c r="AL525" s="37">
        <f>IF(最佳化斷筋點!M525="","",最佳化斷筋點!M525)</f>
        <v>4</v>
      </c>
      <c r="AM525" s="37">
        <f>IF(最佳化斷筋點!N525="","",最佳化斷筋點!N525)</f>
        <v>4</v>
      </c>
      <c r="AN525" s="37">
        <f>IF(最佳化斷筋點!O525="","",最佳化斷筋點!O525)</f>
        <v>4</v>
      </c>
      <c r="AO525" s="37">
        <f>IF(最佳化斷筋點!P525="","",最佳化斷筋點!P525)</f>
        <v>4</v>
      </c>
      <c r="AP525" s="37">
        <f>IF(最佳化斷筋點!Q525="","",最佳化斷筋點!Q525)</f>
        <v>5</v>
      </c>
      <c r="AQ525" s="37">
        <f>IF(最佳化斷筋點!R525="","",最佳化斷筋點!R525)</f>
        <v>6</v>
      </c>
      <c r="AR525" s="37">
        <f>IF(最佳化斷筋點!S525="","",最佳化斷筋點!S525)</f>
        <v>7</v>
      </c>
      <c r="AS525" s="37">
        <f>IF(最佳化斷筋點!T525="","",最佳化斷筋點!T525)</f>
        <v>8</v>
      </c>
      <c r="AT525" s="37">
        <f>IF(最佳化斷筋點!U525="","",最佳化斷筋點!U525)</f>
        <v>9</v>
      </c>
      <c r="AU525" s="37">
        <f>IF(最佳化斷筋點!V525="","",最佳化斷筋點!V525)</f>
        <v>9</v>
      </c>
      <c r="AV525" s="37">
        <f>IF(最佳化斷筋點!W525="","",最佳化斷筋點!W525)</f>
        <v>9</v>
      </c>
      <c r="AW525" s="37">
        <f>IF(最佳化斷筋點!X525="","",最佳化斷筋點!X525)</f>
        <v>9</v>
      </c>
      <c r="AY525" s="6" t="s">
        <v>21</v>
      </c>
      <c r="AZ525" s="37">
        <v>11</v>
      </c>
      <c r="BA525" s="37">
        <v>11</v>
      </c>
      <c r="BB525" s="37">
        <v>11</v>
      </c>
      <c r="BC525" s="37">
        <v>11</v>
      </c>
      <c r="BD525" s="37">
        <v>11</v>
      </c>
      <c r="BE525" s="37">
        <v>10</v>
      </c>
      <c r="BF525" s="37">
        <v>9</v>
      </c>
      <c r="BG525" s="37">
        <v>4</v>
      </c>
      <c r="BH525" s="37">
        <v>4</v>
      </c>
      <c r="BI525" s="37">
        <v>4</v>
      </c>
      <c r="BJ525" s="37">
        <v>4</v>
      </c>
      <c r="BK525" s="37">
        <v>4</v>
      </c>
      <c r="BL525" s="37">
        <v>4</v>
      </c>
      <c r="BM525" s="37">
        <v>5</v>
      </c>
      <c r="BN525" s="37">
        <v>6</v>
      </c>
      <c r="BO525" s="37">
        <v>7</v>
      </c>
      <c r="BP525" s="37">
        <v>8</v>
      </c>
      <c r="BQ525" s="37">
        <v>9</v>
      </c>
      <c r="BR525" s="37">
        <v>9</v>
      </c>
      <c r="BS525" s="37">
        <v>9</v>
      </c>
      <c r="BT525" s="37">
        <v>9</v>
      </c>
    </row>
    <row r="526" spans="5:72" x14ac:dyDescent="0.25">
      <c r="F526" s="6">
        <f t="shared" si="169"/>
        <v>0</v>
      </c>
      <c r="G526" s="6">
        <f t="shared" si="170"/>
        <v>0</v>
      </c>
      <c r="H526" s="6">
        <f t="shared" si="171"/>
        <v>0</v>
      </c>
      <c r="I526" s="6">
        <f t="shared" si="172"/>
        <v>0</v>
      </c>
      <c r="J526" s="6">
        <f t="shared" si="173"/>
        <v>0</v>
      </c>
      <c r="K526" s="6">
        <f t="shared" si="174"/>
        <v>0</v>
      </c>
      <c r="L526" s="6">
        <f t="shared" si="175"/>
        <v>0</v>
      </c>
      <c r="M526" s="6">
        <f t="shared" si="176"/>
        <v>0</v>
      </c>
      <c r="N526" s="6">
        <f t="shared" si="177"/>
        <v>0</v>
      </c>
      <c r="O526" s="6">
        <f t="shared" si="178"/>
        <v>0</v>
      </c>
      <c r="P526" s="6">
        <f t="shared" si="179"/>
        <v>0</v>
      </c>
      <c r="Q526" s="6">
        <f t="shared" si="180"/>
        <v>0</v>
      </c>
      <c r="R526" s="6">
        <f t="shared" si="181"/>
        <v>0</v>
      </c>
      <c r="S526" s="6">
        <f t="shared" si="182"/>
        <v>0</v>
      </c>
      <c r="T526" s="6">
        <f t="shared" si="183"/>
        <v>0</v>
      </c>
      <c r="U526" s="6">
        <f t="shared" si="184"/>
        <v>0</v>
      </c>
      <c r="V526" s="6">
        <f t="shared" si="185"/>
        <v>0</v>
      </c>
      <c r="W526" s="6">
        <f t="shared" si="186"/>
        <v>0</v>
      </c>
      <c r="X526" s="6">
        <f t="shared" si="187"/>
        <v>0</v>
      </c>
      <c r="Y526" s="6">
        <f t="shared" si="188"/>
        <v>0</v>
      </c>
      <c r="Z526" s="6">
        <f t="shared" si="189"/>
        <v>0</v>
      </c>
      <c r="AB526" s="36" t="str">
        <f>IF(最佳化斷筋點!C526="","",最佳化斷筋點!C526)</f>
        <v/>
      </c>
      <c r="AC526" s="37" t="str">
        <f>IF(最佳化斷筋點!D526="","",最佳化斷筋點!D526)</f>
        <v/>
      </c>
      <c r="AD526" s="37" t="str">
        <f>IF(最佳化斷筋點!E526="","",最佳化斷筋點!E526)</f>
        <v/>
      </c>
      <c r="AE526" s="37" t="str">
        <f>IF(最佳化斷筋點!F526="","",最佳化斷筋點!F526)</f>
        <v/>
      </c>
      <c r="AF526" s="37" t="str">
        <f>IF(最佳化斷筋點!G526="","",最佳化斷筋點!G526)</f>
        <v/>
      </c>
      <c r="AG526" s="37" t="str">
        <f>IF(最佳化斷筋點!H526="","",最佳化斷筋點!H526)</f>
        <v/>
      </c>
      <c r="AH526" s="37" t="str">
        <f>IF(最佳化斷筋點!I526="","",最佳化斷筋點!I526)</f>
        <v/>
      </c>
      <c r="AI526" s="37" t="str">
        <f>IF(最佳化斷筋點!J526="","",最佳化斷筋點!J526)</f>
        <v/>
      </c>
      <c r="AJ526" s="37" t="str">
        <f>IF(最佳化斷筋點!K526="","",最佳化斷筋點!K526)</f>
        <v/>
      </c>
      <c r="AK526" s="37" t="str">
        <f>IF(最佳化斷筋點!L526="","",最佳化斷筋點!L526)</f>
        <v/>
      </c>
      <c r="AL526" s="37" t="str">
        <f>IF(最佳化斷筋點!M526="","",最佳化斷筋點!M526)</f>
        <v/>
      </c>
      <c r="AM526" s="37" t="str">
        <f>IF(最佳化斷筋點!N526="","",最佳化斷筋點!N526)</f>
        <v/>
      </c>
      <c r="AN526" s="37" t="str">
        <f>IF(最佳化斷筋點!O526="","",最佳化斷筋點!O526)</f>
        <v/>
      </c>
      <c r="AO526" s="37" t="str">
        <f>IF(最佳化斷筋點!P526="","",最佳化斷筋點!P526)</f>
        <v/>
      </c>
      <c r="AP526" s="37" t="str">
        <f>IF(最佳化斷筋點!Q526="","",最佳化斷筋點!Q526)</f>
        <v/>
      </c>
      <c r="AQ526" s="37" t="str">
        <f>IF(最佳化斷筋點!R526="","",最佳化斷筋點!R526)</f>
        <v/>
      </c>
      <c r="AR526" s="37" t="str">
        <f>IF(最佳化斷筋點!S526="","",最佳化斷筋點!S526)</f>
        <v/>
      </c>
      <c r="AS526" s="37" t="str">
        <f>IF(最佳化斷筋點!T526="","",最佳化斷筋點!T526)</f>
        <v/>
      </c>
      <c r="AT526" s="37" t="str">
        <f>IF(最佳化斷筋點!U526="","",最佳化斷筋點!U526)</f>
        <v/>
      </c>
      <c r="AU526" s="37" t="str">
        <f>IF(最佳化斷筋點!V526="","",最佳化斷筋點!V526)</f>
        <v/>
      </c>
      <c r="AV526" s="37" t="str">
        <f>IF(最佳化斷筋點!W526="","",最佳化斷筋點!W526)</f>
        <v/>
      </c>
      <c r="AW526" s="37" t="str">
        <f>IF(最佳化斷筋點!X526="","",最佳化斷筋點!X526)</f>
        <v/>
      </c>
      <c r="AZ526" s="37" t="s">
        <v>197</v>
      </c>
      <c r="BA526" s="37" t="s">
        <v>197</v>
      </c>
      <c r="BB526" s="37" t="s">
        <v>197</v>
      </c>
      <c r="BC526" s="37" t="s">
        <v>197</v>
      </c>
      <c r="BD526" s="37" t="s">
        <v>197</v>
      </c>
      <c r="BE526" s="37" t="s">
        <v>197</v>
      </c>
      <c r="BF526" s="37" t="s">
        <v>197</v>
      </c>
      <c r="BG526" s="37" t="s">
        <v>197</v>
      </c>
      <c r="BH526" s="37" t="s">
        <v>197</v>
      </c>
      <c r="BI526" s="37" t="s">
        <v>197</v>
      </c>
      <c r="BJ526" s="37" t="s">
        <v>197</v>
      </c>
      <c r="BK526" s="37" t="s">
        <v>197</v>
      </c>
      <c r="BL526" s="37" t="s">
        <v>197</v>
      </c>
      <c r="BM526" s="37" t="s">
        <v>197</v>
      </c>
      <c r="BN526" s="37" t="s">
        <v>197</v>
      </c>
      <c r="BO526" s="37" t="s">
        <v>197</v>
      </c>
      <c r="BP526" s="37" t="s">
        <v>197</v>
      </c>
      <c r="BQ526" s="37" t="s">
        <v>197</v>
      </c>
      <c r="BR526" s="37" t="s">
        <v>197</v>
      </c>
      <c r="BS526" s="37" t="s">
        <v>197</v>
      </c>
      <c r="BT526" s="37" t="s">
        <v>197</v>
      </c>
    </row>
    <row r="527" spans="5:72" x14ac:dyDescent="0.25">
      <c r="E527" s="6" t="s">
        <v>20</v>
      </c>
      <c r="F527" s="6">
        <f t="shared" si="169"/>
        <v>0</v>
      </c>
      <c r="G527" s="6">
        <f t="shared" si="170"/>
        <v>0</v>
      </c>
      <c r="H527" s="6">
        <f t="shared" si="171"/>
        <v>0</v>
      </c>
      <c r="I527" s="6">
        <f t="shared" si="172"/>
        <v>0</v>
      </c>
      <c r="J527" s="6">
        <f t="shared" si="173"/>
        <v>0</v>
      </c>
      <c r="K527" s="6">
        <f t="shared" si="174"/>
        <v>0</v>
      </c>
      <c r="L527" s="6">
        <f t="shared" si="175"/>
        <v>0</v>
      </c>
      <c r="M527" s="6">
        <f t="shared" si="176"/>
        <v>0</v>
      </c>
      <c r="N527" s="6">
        <f t="shared" si="177"/>
        <v>0</v>
      </c>
      <c r="O527" s="6">
        <f t="shared" si="178"/>
        <v>0</v>
      </c>
      <c r="P527" s="6">
        <f t="shared" si="179"/>
        <v>0</v>
      </c>
      <c r="Q527" s="6">
        <f t="shared" si="180"/>
        <v>0</v>
      </c>
      <c r="R527" s="6">
        <f t="shared" si="181"/>
        <v>0</v>
      </c>
      <c r="S527" s="6">
        <f t="shared" si="182"/>
        <v>0</v>
      </c>
      <c r="T527" s="6">
        <f t="shared" si="183"/>
        <v>0</v>
      </c>
      <c r="U527" s="6">
        <f t="shared" si="184"/>
        <v>0</v>
      </c>
      <c r="V527" s="6">
        <f t="shared" si="185"/>
        <v>0</v>
      </c>
      <c r="W527" s="6">
        <f t="shared" si="186"/>
        <v>0</v>
      </c>
      <c r="X527" s="6">
        <f t="shared" si="187"/>
        <v>0</v>
      </c>
      <c r="Y527" s="6">
        <f t="shared" si="188"/>
        <v>0</v>
      </c>
      <c r="Z527" s="6">
        <f t="shared" si="189"/>
        <v>0</v>
      </c>
      <c r="AB527" s="36" t="str">
        <f>IF(最佳化斷筋點!C527="","",最佳化斷筋點!C527)</f>
        <v>上層</v>
      </c>
      <c r="AC527" s="37">
        <f>IF(最佳化斷筋點!D527="","",最佳化斷筋點!D527)</f>
        <v>9</v>
      </c>
      <c r="AD527" s="37">
        <f>IF(最佳化斷筋點!E527="","",最佳化斷筋點!E527)</f>
        <v>9</v>
      </c>
      <c r="AE527" s="37">
        <f>IF(最佳化斷筋點!F527="","",最佳化斷筋點!F527)</f>
        <v>9</v>
      </c>
      <c r="AF527" s="37">
        <f>IF(最佳化斷筋點!G527="","",最佳化斷筋點!G527)</f>
        <v>9</v>
      </c>
      <c r="AG527" s="37">
        <f>IF(最佳化斷筋點!H527="","",最佳化斷筋點!H527)</f>
        <v>9</v>
      </c>
      <c r="AH527" s="37">
        <f>IF(最佳化斷筋點!I527="","",最佳化斷筋點!I527)</f>
        <v>9</v>
      </c>
      <c r="AI527" s="37">
        <f>IF(最佳化斷筋點!J527="","",最佳化斷筋點!J527)</f>
        <v>9</v>
      </c>
      <c r="AJ527" s="37">
        <f>IF(最佳化斷筋點!K527="","",最佳化斷筋點!K527)</f>
        <v>3</v>
      </c>
      <c r="AK527" s="37">
        <f>IF(最佳化斷筋點!L527="","",最佳化斷筋點!L527)</f>
        <v>3</v>
      </c>
      <c r="AL527" s="37">
        <f>IF(最佳化斷筋點!M527="","",最佳化斷筋點!M527)</f>
        <v>3</v>
      </c>
      <c r="AM527" s="37">
        <f>IF(最佳化斷筋點!N527="","",最佳化斷筋點!N527)</f>
        <v>3</v>
      </c>
      <c r="AN527" s="37">
        <f>IF(最佳化斷筋點!O527="","",最佳化斷筋點!O527)</f>
        <v>3</v>
      </c>
      <c r="AO527" s="37">
        <f>IF(最佳化斷筋點!P527="","",最佳化斷筋點!P527)</f>
        <v>3</v>
      </c>
      <c r="AP527" s="37">
        <f>IF(最佳化斷筋點!Q527="","",最佳化斷筋點!Q527)</f>
        <v>7</v>
      </c>
      <c r="AQ527" s="37">
        <f>IF(最佳化斷筋點!R527="","",最佳化斷筋點!R527)</f>
        <v>8</v>
      </c>
      <c r="AR527" s="37">
        <f>IF(最佳化斷筋點!S527="","",最佳化斷筋點!S527)</f>
        <v>8</v>
      </c>
      <c r="AS527" s="37">
        <f>IF(最佳化斷筋點!T527="","",最佳化斷筋點!T527)</f>
        <v>8</v>
      </c>
      <c r="AT527" s="37">
        <f>IF(最佳化斷筋點!U527="","",最佳化斷筋點!U527)</f>
        <v>8</v>
      </c>
      <c r="AU527" s="37">
        <f>IF(最佳化斷筋點!V527="","",最佳化斷筋點!V527)</f>
        <v>8</v>
      </c>
      <c r="AV527" s="37">
        <f>IF(最佳化斷筋點!W527="","",最佳化斷筋點!W527)</f>
        <v>8</v>
      </c>
      <c r="AW527" s="37">
        <f>IF(最佳化斷筋點!X527="","",最佳化斷筋點!X527)</f>
        <v>8</v>
      </c>
      <c r="AY527" s="6" t="s">
        <v>20</v>
      </c>
      <c r="AZ527" s="37">
        <v>9</v>
      </c>
      <c r="BA527" s="37">
        <v>9</v>
      </c>
      <c r="BB527" s="37">
        <v>9</v>
      </c>
      <c r="BC527" s="37">
        <v>9</v>
      </c>
      <c r="BD527" s="37">
        <v>9</v>
      </c>
      <c r="BE527" s="37">
        <v>9</v>
      </c>
      <c r="BF527" s="37">
        <v>9</v>
      </c>
      <c r="BG527" s="37">
        <v>3</v>
      </c>
      <c r="BH527" s="37">
        <v>3</v>
      </c>
      <c r="BI527" s="37">
        <v>3</v>
      </c>
      <c r="BJ527" s="37">
        <v>3</v>
      </c>
      <c r="BK527" s="37">
        <v>3</v>
      </c>
      <c r="BL527" s="37">
        <v>3</v>
      </c>
      <c r="BM527" s="37">
        <v>7</v>
      </c>
      <c r="BN527" s="37">
        <v>8</v>
      </c>
      <c r="BO527" s="37">
        <v>8</v>
      </c>
      <c r="BP527" s="37">
        <v>8</v>
      </c>
      <c r="BQ527" s="37">
        <v>8</v>
      </c>
      <c r="BR527" s="37">
        <v>8</v>
      </c>
      <c r="BS527" s="37">
        <v>8</v>
      </c>
      <c r="BT527" s="37">
        <v>8</v>
      </c>
    </row>
    <row r="528" spans="5:72" x14ac:dyDescent="0.25">
      <c r="F528" s="6">
        <f t="shared" si="169"/>
        <v>0</v>
      </c>
      <c r="G528" s="6">
        <f t="shared" si="170"/>
        <v>0</v>
      </c>
      <c r="H528" s="6">
        <f t="shared" si="171"/>
        <v>0</v>
      </c>
      <c r="I528" s="6">
        <f t="shared" si="172"/>
        <v>0</v>
      </c>
      <c r="J528" s="6">
        <f t="shared" si="173"/>
        <v>0</v>
      </c>
      <c r="K528" s="6">
        <f t="shared" si="174"/>
        <v>0</v>
      </c>
      <c r="L528" s="6">
        <f t="shared" si="175"/>
        <v>0</v>
      </c>
      <c r="M528" s="6">
        <f t="shared" si="176"/>
        <v>0</v>
      </c>
      <c r="N528" s="6">
        <f t="shared" si="177"/>
        <v>0</v>
      </c>
      <c r="O528" s="6">
        <f t="shared" si="178"/>
        <v>0</v>
      </c>
      <c r="P528" s="6">
        <f t="shared" si="179"/>
        <v>0</v>
      </c>
      <c r="Q528" s="6">
        <f t="shared" si="180"/>
        <v>0</v>
      </c>
      <c r="R528" s="6">
        <f t="shared" si="181"/>
        <v>0</v>
      </c>
      <c r="S528" s="6">
        <f t="shared" si="182"/>
        <v>0</v>
      </c>
      <c r="T528" s="6">
        <f t="shared" si="183"/>
        <v>0</v>
      </c>
      <c r="U528" s="6">
        <f t="shared" si="184"/>
        <v>0</v>
      </c>
      <c r="V528" s="6">
        <f t="shared" si="185"/>
        <v>0</v>
      </c>
      <c r="W528" s="6">
        <f t="shared" si="186"/>
        <v>0</v>
      </c>
      <c r="X528" s="6">
        <f t="shared" si="187"/>
        <v>0</v>
      </c>
      <c r="Y528" s="6">
        <f t="shared" si="188"/>
        <v>0</v>
      </c>
      <c r="Z528" s="6">
        <f t="shared" si="189"/>
        <v>0</v>
      </c>
      <c r="AB528" s="36" t="str">
        <f>IF(最佳化斷筋點!C528="","",最佳化斷筋點!C528)</f>
        <v/>
      </c>
      <c r="AC528" s="37" t="str">
        <f>IF(最佳化斷筋點!D528="","",最佳化斷筋點!D528)</f>
        <v/>
      </c>
      <c r="AD528" s="37" t="str">
        <f>IF(最佳化斷筋點!E528="","",最佳化斷筋點!E528)</f>
        <v/>
      </c>
      <c r="AE528" s="37" t="str">
        <f>IF(最佳化斷筋點!F528="","",最佳化斷筋點!F528)</f>
        <v/>
      </c>
      <c r="AF528" s="37" t="str">
        <f>IF(最佳化斷筋點!G528="","",最佳化斷筋點!G528)</f>
        <v/>
      </c>
      <c r="AG528" s="37" t="str">
        <f>IF(最佳化斷筋點!H528="","",最佳化斷筋點!H528)</f>
        <v/>
      </c>
      <c r="AH528" s="37" t="str">
        <f>IF(最佳化斷筋點!I528="","",最佳化斷筋點!I528)</f>
        <v/>
      </c>
      <c r="AI528" s="37" t="str">
        <f>IF(最佳化斷筋點!J528="","",最佳化斷筋點!J528)</f>
        <v/>
      </c>
      <c r="AJ528" s="37" t="str">
        <f>IF(最佳化斷筋點!K528="","",最佳化斷筋點!K528)</f>
        <v/>
      </c>
      <c r="AK528" s="37" t="str">
        <f>IF(最佳化斷筋點!L528="","",最佳化斷筋點!L528)</f>
        <v/>
      </c>
      <c r="AL528" s="37" t="str">
        <f>IF(最佳化斷筋點!M528="","",最佳化斷筋點!M528)</f>
        <v/>
      </c>
      <c r="AM528" s="37" t="str">
        <f>IF(最佳化斷筋點!N528="","",最佳化斷筋點!N528)</f>
        <v/>
      </c>
      <c r="AN528" s="37" t="str">
        <f>IF(最佳化斷筋點!O528="","",最佳化斷筋點!O528)</f>
        <v/>
      </c>
      <c r="AO528" s="37" t="str">
        <f>IF(最佳化斷筋點!P528="","",最佳化斷筋點!P528)</f>
        <v/>
      </c>
      <c r="AP528" s="37" t="str">
        <f>IF(最佳化斷筋點!Q528="","",最佳化斷筋點!Q528)</f>
        <v/>
      </c>
      <c r="AQ528" s="37" t="str">
        <f>IF(最佳化斷筋點!R528="","",最佳化斷筋點!R528)</f>
        <v/>
      </c>
      <c r="AR528" s="37" t="str">
        <f>IF(最佳化斷筋點!S528="","",最佳化斷筋點!S528)</f>
        <v/>
      </c>
      <c r="AS528" s="37" t="str">
        <f>IF(最佳化斷筋點!T528="","",最佳化斷筋點!T528)</f>
        <v/>
      </c>
      <c r="AT528" s="37" t="str">
        <f>IF(最佳化斷筋點!U528="","",最佳化斷筋點!U528)</f>
        <v/>
      </c>
      <c r="AU528" s="37" t="str">
        <f>IF(最佳化斷筋點!V528="","",最佳化斷筋點!V528)</f>
        <v/>
      </c>
      <c r="AV528" s="37" t="str">
        <f>IF(最佳化斷筋點!W528="","",最佳化斷筋點!W528)</f>
        <v/>
      </c>
      <c r="AW528" s="37" t="str">
        <f>IF(最佳化斷筋點!X528="","",最佳化斷筋點!X528)</f>
        <v/>
      </c>
      <c r="AZ528" s="37" t="s">
        <v>197</v>
      </c>
      <c r="BA528" s="37" t="s">
        <v>197</v>
      </c>
      <c r="BB528" s="37" t="s">
        <v>197</v>
      </c>
      <c r="BC528" s="37" t="s">
        <v>197</v>
      </c>
      <c r="BD528" s="37" t="s">
        <v>197</v>
      </c>
      <c r="BE528" s="37" t="s">
        <v>197</v>
      </c>
      <c r="BF528" s="37" t="s">
        <v>197</v>
      </c>
      <c r="BG528" s="37" t="s">
        <v>197</v>
      </c>
      <c r="BH528" s="37" t="s">
        <v>197</v>
      </c>
      <c r="BI528" s="37" t="s">
        <v>197</v>
      </c>
      <c r="BJ528" s="37" t="s">
        <v>197</v>
      </c>
      <c r="BK528" s="37" t="s">
        <v>197</v>
      </c>
      <c r="BL528" s="37" t="s">
        <v>197</v>
      </c>
      <c r="BM528" s="37" t="s">
        <v>197</v>
      </c>
      <c r="BN528" s="37" t="s">
        <v>197</v>
      </c>
      <c r="BO528" s="37" t="s">
        <v>197</v>
      </c>
      <c r="BP528" s="37" t="s">
        <v>197</v>
      </c>
      <c r="BQ528" s="37" t="s">
        <v>197</v>
      </c>
      <c r="BR528" s="37" t="s">
        <v>197</v>
      </c>
      <c r="BS528" s="37" t="s">
        <v>197</v>
      </c>
      <c r="BT528" s="37" t="s">
        <v>197</v>
      </c>
    </row>
    <row r="529" spans="5:72" x14ac:dyDescent="0.25">
      <c r="E529" s="6" t="s">
        <v>21</v>
      </c>
      <c r="F529" s="6">
        <f t="shared" si="169"/>
        <v>0</v>
      </c>
      <c r="G529" s="6">
        <f t="shared" si="170"/>
        <v>0</v>
      </c>
      <c r="H529" s="6">
        <f t="shared" si="171"/>
        <v>0</v>
      </c>
      <c r="I529" s="6">
        <f t="shared" si="172"/>
        <v>0</v>
      </c>
      <c r="J529" s="6">
        <f t="shared" si="173"/>
        <v>0</v>
      </c>
      <c r="K529" s="6">
        <f t="shared" si="174"/>
        <v>0</v>
      </c>
      <c r="L529" s="6">
        <f t="shared" si="175"/>
        <v>0</v>
      </c>
      <c r="M529" s="6">
        <f t="shared" si="176"/>
        <v>0</v>
      </c>
      <c r="N529" s="6">
        <f t="shared" si="177"/>
        <v>0</v>
      </c>
      <c r="O529" s="6">
        <f t="shared" si="178"/>
        <v>0</v>
      </c>
      <c r="P529" s="6">
        <f t="shared" si="179"/>
        <v>0</v>
      </c>
      <c r="Q529" s="6">
        <f t="shared" si="180"/>
        <v>0</v>
      </c>
      <c r="R529" s="6">
        <f t="shared" si="181"/>
        <v>0</v>
      </c>
      <c r="S529" s="6">
        <f t="shared" si="182"/>
        <v>0</v>
      </c>
      <c r="T529" s="6">
        <f t="shared" si="183"/>
        <v>0</v>
      </c>
      <c r="U529" s="6">
        <f t="shared" si="184"/>
        <v>0</v>
      </c>
      <c r="V529" s="6">
        <f t="shared" si="185"/>
        <v>0</v>
      </c>
      <c r="W529" s="6">
        <f t="shared" si="186"/>
        <v>0</v>
      </c>
      <c r="X529" s="6">
        <f t="shared" si="187"/>
        <v>0</v>
      </c>
      <c r="Y529" s="6">
        <f t="shared" si="188"/>
        <v>0</v>
      </c>
      <c r="Z529" s="6">
        <f t="shared" si="189"/>
        <v>0</v>
      </c>
      <c r="AB529" s="36" t="str">
        <f>IF(最佳化斷筋點!C529="","",最佳化斷筋點!C529)</f>
        <v>下層</v>
      </c>
      <c r="AC529" s="37">
        <f>IF(最佳化斷筋點!D529="","",最佳化斷筋點!D529)</f>
        <v>11</v>
      </c>
      <c r="AD529" s="37">
        <f>IF(最佳化斷筋點!E529="","",最佳化斷筋點!E529)</f>
        <v>11</v>
      </c>
      <c r="AE529" s="37">
        <f>IF(最佳化斷筋點!F529="","",最佳化斷筋點!F529)</f>
        <v>11</v>
      </c>
      <c r="AF529" s="37">
        <f>IF(最佳化斷筋點!G529="","",最佳化斷筋點!G529)</f>
        <v>11</v>
      </c>
      <c r="AG529" s="37">
        <f>IF(最佳化斷筋點!H529="","",最佳化斷筋點!H529)</f>
        <v>11</v>
      </c>
      <c r="AH529" s="37">
        <f>IF(最佳化斷筋點!I529="","",最佳化斷筋點!I529)</f>
        <v>10</v>
      </c>
      <c r="AI529" s="37">
        <f>IF(最佳化斷筋點!J529="","",最佳化斷筋點!J529)</f>
        <v>9</v>
      </c>
      <c r="AJ529" s="37">
        <f>IF(最佳化斷筋點!K529="","",最佳化斷筋點!K529)</f>
        <v>5</v>
      </c>
      <c r="AK529" s="37">
        <f>IF(最佳化斷筋點!L529="","",最佳化斷筋點!L529)</f>
        <v>5</v>
      </c>
      <c r="AL529" s="37">
        <f>IF(最佳化斷筋點!M529="","",最佳化斷筋點!M529)</f>
        <v>5</v>
      </c>
      <c r="AM529" s="37">
        <f>IF(最佳化斷筋點!N529="","",最佳化斷筋點!N529)</f>
        <v>5</v>
      </c>
      <c r="AN529" s="37">
        <f>IF(最佳化斷筋點!O529="","",最佳化斷筋點!O529)</f>
        <v>5</v>
      </c>
      <c r="AO529" s="37">
        <f>IF(最佳化斷筋點!P529="","",最佳化斷筋點!P529)</f>
        <v>5</v>
      </c>
      <c r="AP529" s="37">
        <f>IF(最佳化斷筋點!Q529="","",最佳化斷筋點!Q529)</f>
        <v>7</v>
      </c>
      <c r="AQ529" s="37">
        <f>IF(最佳化斷筋點!R529="","",最佳化斷筋點!R529)</f>
        <v>8</v>
      </c>
      <c r="AR529" s="37">
        <f>IF(最佳化斷筋點!S529="","",最佳化斷筋點!S529)</f>
        <v>9</v>
      </c>
      <c r="AS529" s="37">
        <f>IF(最佳化斷筋點!T529="","",最佳化斷筋點!T529)</f>
        <v>10</v>
      </c>
      <c r="AT529" s="37">
        <f>IF(最佳化斷筋點!U529="","",最佳化斷筋點!U529)</f>
        <v>10</v>
      </c>
      <c r="AU529" s="37">
        <f>IF(最佳化斷筋點!V529="","",最佳化斷筋點!V529)</f>
        <v>10</v>
      </c>
      <c r="AV529" s="37">
        <f>IF(最佳化斷筋點!W529="","",最佳化斷筋點!W529)</f>
        <v>10</v>
      </c>
      <c r="AW529" s="37">
        <f>IF(最佳化斷筋點!X529="","",最佳化斷筋點!X529)</f>
        <v>10</v>
      </c>
      <c r="AY529" s="6" t="s">
        <v>21</v>
      </c>
      <c r="AZ529" s="37">
        <v>11</v>
      </c>
      <c r="BA529" s="37">
        <v>11</v>
      </c>
      <c r="BB529" s="37">
        <v>11</v>
      </c>
      <c r="BC529" s="37">
        <v>11</v>
      </c>
      <c r="BD529" s="37">
        <v>11</v>
      </c>
      <c r="BE529" s="37">
        <v>10</v>
      </c>
      <c r="BF529" s="37">
        <v>9</v>
      </c>
      <c r="BG529" s="37">
        <v>5</v>
      </c>
      <c r="BH529" s="37">
        <v>5</v>
      </c>
      <c r="BI529" s="37">
        <v>5</v>
      </c>
      <c r="BJ529" s="37">
        <v>5</v>
      </c>
      <c r="BK529" s="37">
        <v>5</v>
      </c>
      <c r="BL529" s="37">
        <v>5</v>
      </c>
      <c r="BM529" s="37">
        <v>7</v>
      </c>
      <c r="BN529" s="37">
        <v>8</v>
      </c>
      <c r="BO529" s="37">
        <v>9</v>
      </c>
      <c r="BP529" s="37">
        <v>10</v>
      </c>
      <c r="BQ529" s="37">
        <v>10</v>
      </c>
      <c r="BR529" s="37">
        <v>10</v>
      </c>
      <c r="BS529" s="37">
        <v>10</v>
      </c>
      <c r="BT529" s="37">
        <v>10</v>
      </c>
    </row>
    <row r="530" spans="5:72" x14ac:dyDescent="0.25">
      <c r="F530" s="6">
        <f t="shared" si="169"/>
        <v>0</v>
      </c>
      <c r="G530" s="6">
        <f t="shared" si="170"/>
        <v>0</v>
      </c>
      <c r="H530" s="6">
        <f t="shared" si="171"/>
        <v>0</v>
      </c>
      <c r="I530" s="6">
        <f t="shared" si="172"/>
        <v>0</v>
      </c>
      <c r="J530" s="6">
        <f t="shared" si="173"/>
        <v>0</v>
      </c>
      <c r="K530" s="6">
        <f t="shared" si="174"/>
        <v>0</v>
      </c>
      <c r="L530" s="6">
        <f t="shared" si="175"/>
        <v>0</v>
      </c>
      <c r="M530" s="6">
        <f t="shared" si="176"/>
        <v>0</v>
      </c>
      <c r="N530" s="6">
        <f t="shared" si="177"/>
        <v>0</v>
      </c>
      <c r="O530" s="6">
        <f t="shared" si="178"/>
        <v>0</v>
      </c>
      <c r="P530" s="6">
        <f t="shared" si="179"/>
        <v>0</v>
      </c>
      <c r="Q530" s="6">
        <f t="shared" si="180"/>
        <v>0</v>
      </c>
      <c r="R530" s="6">
        <f t="shared" si="181"/>
        <v>0</v>
      </c>
      <c r="S530" s="6">
        <f t="shared" si="182"/>
        <v>0</v>
      </c>
      <c r="T530" s="6">
        <f t="shared" si="183"/>
        <v>0</v>
      </c>
      <c r="U530" s="6">
        <f t="shared" si="184"/>
        <v>0</v>
      </c>
      <c r="V530" s="6">
        <f t="shared" si="185"/>
        <v>0</v>
      </c>
      <c r="W530" s="6">
        <f t="shared" si="186"/>
        <v>0</v>
      </c>
      <c r="X530" s="6">
        <f t="shared" si="187"/>
        <v>0</v>
      </c>
      <c r="Y530" s="6">
        <f t="shared" si="188"/>
        <v>0</v>
      </c>
      <c r="Z530" s="6">
        <f t="shared" si="189"/>
        <v>0</v>
      </c>
      <c r="AB530" s="36" t="str">
        <f>IF(最佳化斷筋點!C530="","",最佳化斷筋點!C530)</f>
        <v/>
      </c>
      <c r="AC530" s="37" t="str">
        <f>IF(最佳化斷筋點!D530="","",最佳化斷筋點!D530)</f>
        <v/>
      </c>
      <c r="AD530" s="37" t="str">
        <f>IF(最佳化斷筋點!E530="","",最佳化斷筋點!E530)</f>
        <v/>
      </c>
      <c r="AE530" s="37" t="str">
        <f>IF(最佳化斷筋點!F530="","",最佳化斷筋點!F530)</f>
        <v/>
      </c>
      <c r="AF530" s="37" t="str">
        <f>IF(最佳化斷筋點!G530="","",最佳化斷筋點!G530)</f>
        <v/>
      </c>
      <c r="AG530" s="37" t="str">
        <f>IF(最佳化斷筋點!H530="","",最佳化斷筋點!H530)</f>
        <v/>
      </c>
      <c r="AH530" s="37" t="str">
        <f>IF(最佳化斷筋點!I530="","",最佳化斷筋點!I530)</f>
        <v/>
      </c>
      <c r="AI530" s="37" t="str">
        <f>IF(最佳化斷筋點!J530="","",最佳化斷筋點!J530)</f>
        <v/>
      </c>
      <c r="AJ530" s="37" t="str">
        <f>IF(最佳化斷筋點!K530="","",最佳化斷筋點!K530)</f>
        <v/>
      </c>
      <c r="AK530" s="37" t="str">
        <f>IF(最佳化斷筋點!L530="","",最佳化斷筋點!L530)</f>
        <v/>
      </c>
      <c r="AL530" s="37" t="str">
        <f>IF(最佳化斷筋點!M530="","",最佳化斷筋點!M530)</f>
        <v/>
      </c>
      <c r="AM530" s="37" t="str">
        <f>IF(最佳化斷筋點!N530="","",最佳化斷筋點!N530)</f>
        <v/>
      </c>
      <c r="AN530" s="37" t="str">
        <f>IF(最佳化斷筋點!O530="","",最佳化斷筋點!O530)</f>
        <v/>
      </c>
      <c r="AO530" s="37" t="str">
        <f>IF(最佳化斷筋點!P530="","",最佳化斷筋點!P530)</f>
        <v/>
      </c>
      <c r="AP530" s="37" t="str">
        <f>IF(最佳化斷筋點!Q530="","",最佳化斷筋點!Q530)</f>
        <v/>
      </c>
      <c r="AQ530" s="37" t="str">
        <f>IF(最佳化斷筋點!R530="","",最佳化斷筋點!R530)</f>
        <v/>
      </c>
      <c r="AR530" s="37" t="str">
        <f>IF(最佳化斷筋點!S530="","",最佳化斷筋點!S530)</f>
        <v/>
      </c>
      <c r="AS530" s="37" t="str">
        <f>IF(最佳化斷筋點!T530="","",最佳化斷筋點!T530)</f>
        <v/>
      </c>
      <c r="AT530" s="37" t="str">
        <f>IF(最佳化斷筋點!U530="","",最佳化斷筋點!U530)</f>
        <v/>
      </c>
      <c r="AU530" s="37" t="str">
        <f>IF(最佳化斷筋點!V530="","",最佳化斷筋點!V530)</f>
        <v/>
      </c>
      <c r="AV530" s="37" t="str">
        <f>IF(最佳化斷筋點!W530="","",最佳化斷筋點!W530)</f>
        <v/>
      </c>
      <c r="AW530" s="37" t="str">
        <f>IF(最佳化斷筋點!X530="","",最佳化斷筋點!X530)</f>
        <v/>
      </c>
      <c r="AZ530" s="37" t="s">
        <v>197</v>
      </c>
      <c r="BA530" s="37" t="s">
        <v>197</v>
      </c>
      <c r="BB530" s="37" t="s">
        <v>197</v>
      </c>
      <c r="BC530" s="37" t="s">
        <v>197</v>
      </c>
      <c r="BD530" s="37" t="s">
        <v>197</v>
      </c>
      <c r="BE530" s="37" t="s">
        <v>197</v>
      </c>
      <c r="BF530" s="37" t="s">
        <v>197</v>
      </c>
      <c r="BG530" s="37" t="s">
        <v>197</v>
      </c>
      <c r="BH530" s="37" t="s">
        <v>197</v>
      </c>
      <c r="BI530" s="37" t="s">
        <v>197</v>
      </c>
      <c r="BJ530" s="37" t="s">
        <v>197</v>
      </c>
      <c r="BK530" s="37" t="s">
        <v>197</v>
      </c>
      <c r="BL530" s="37" t="s">
        <v>197</v>
      </c>
      <c r="BM530" s="37" t="s">
        <v>197</v>
      </c>
      <c r="BN530" s="37" t="s">
        <v>197</v>
      </c>
      <c r="BO530" s="37" t="s">
        <v>197</v>
      </c>
      <c r="BP530" s="37" t="s">
        <v>197</v>
      </c>
      <c r="BQ530" s="37" t="s">
        <v>197</v>
      </c>
      <c r="BR530" s="37" t="s">
        <v>197</v>
      </c>
      <c r="BS530" s="37" t="s">
        <v>197</v>
      </c>
      <c r="BT530" s="37" t="s">
        <v>197</v>
      </c>
    </row>
    <row r="531" spans="5:72" x14ac:dyDescent="0.25">
      <c r="E531" s="6" t="s">
        <v>20</v>
      </c>
      <c r="F531" s="6">
        <f t="shared" si="169"/>
        <v>0</v>
      </c>
      <c r="G531" s="6">
        <f t="shared" si="170"/>
        <v>0</v>
      </c>
      <c r="H531" s="6">
        <f t="shared" si="171"/>
        <v>0</v>
      </c>
      <c r="I531" s="6">
        <f t="shared" si="172"/>
        <v>0</v>
      </c>
      <c r="J531" s="6">
        <f t="shared" si="173"/>
        <v>0</v>
      </c>
      <c r="K531" s="6">
        <f t="shared" si="174"/>
        <v>0</v>
      </c>
      <c r="L531" s="6">
        <f t="shared" si="175"/>
        <v>0</v>
      </c>
      <c r="M531" s="6">
        <f t="shared" si="176"/>
        <v>0</v>
      </c>
      <c r="N531" s="6">
        <f t="shared" si="177"/>
        <v>0</v>
      </c>
      <c r="O531" s="6">
        <f t="shared" si="178"/>
        <v>0</v>
      </c>
      <c r="P531" s="6">
        <f t="shared" si="179"/>
        <v>0</v>
      </c>
      <c r="Q531" s="6">
        <f t="shared" si="180"/>
        <v>0</v>
      </c>
      <c r="R531" s="6">
        <f t="shared" si="181"/>
        <v>0</v>
      </c>
      <c r="S531" s="6">
        <f t="shared" si="182"/>
        <v>0</v>
      </c>
      <c r="T531" s="6">
        <f t="shared" si="183"/>
        <v>0</v>
      </c>
      <c r="U531" s="6">
        <f t="shared" si="184"/>
        <v>0</v>
      </c>
      <c r="V531" s="6">
        <f t="shared" si="185"/>
        <v>0</v>
      </c>
      <c r="W531" s="6">
        <f t="shared" si="186"/>
        <v>0</v>
      </c>
      <c r="X531" s="6">
        <f t="shared" si="187"/>
        <v>0</v>
      </c>
      <c r="Y531" s="6">
        <f t="shared" si="188"/>
        <v>0</v>
      </c>
      <c r="Z531" s="6">
        <f t="shared" si="189"/>
        <v>0</v>
      </c>
      <c r="AB531" s="36" t="str">
        <f>IF(最佳化斷筋點!C531="","",最佳化斷筋點!C531)</f>
        <v>上層</v>
      </c>
      <c r="AC531" s="37">
        <f>IF(最佳化斷筋點!D531="","",最佳化斷筋點!D531)</f>
        <v>8</v>
      </c>
      <c r="AD531" s="37">
        <f>IF(最佳化斷筋點!E531="","",最佳化斷筋點!E531)</f>
        <v>8</v>
      </c>
      <c r="AE531" s="37">
        <f>IF(最佳化斷筋點!F531="","",最佳化斷筋點!F531)</f>
        <v>8</v>
      </c>
      <c r="AF531" s="37">
        <f>IF(最佳化斷筋點!G531="","",最佳化斷筋點!G531)</f>
        <v>8</v>
      </c>
      <c r="AG531" s="37">
        <f>IF(最佳化斷筋點!H531="","",最佳化斷筋點!H531)</f>
        <v>8</v>
      </c>
      <c r="AH531" s="37">
        <f>IF(最佳化斷筋點!I531="","",最佳化斷筋點!I531)</f>
        <v>8</v>
      </c>
      <c r="AI531" s="37">
        <f>IF(最佳化斷筋點!J531="","",最佳化斷筋點!J531)</f>
        <v>8</v>
      </c>
      <c r="AJ531" s="37">
        <f>IF(最佳化斷筋點!K531="","",最佳化斷筋點!K531)</f>
        <v>3</v>
      </c>
      <c r="AK531" s="37">
        <f>IF(最佳化斷筋點!L531="","",最佳化斷筋點!L531)</f>
        <v>3</v>
      </c>
      <c r="AL531" s="37">
        <f>IF(最佳化斷筋點!M531="","",最佳化斷筋點!M531)</f>
        <v>3</v>
      </c>
      <c r="AM531" s="37">
        <f>IF(最佳化斷筋點!N531="","",最佳化斷筋點!N531)</f>
        <v>3</v>
      </c>
      <c r="AN531" s="37">
        <f>IF(最佳化斷筋點!O531="","",最佳化斷筋點!O531)</f>
        <v>3</v>
      </c>
      <c r="AO531" s="37">
        <f>IF(最佳化斷筋點!P531="","",最佳化斷筋點!P531)</f>
        <v>3</v>
      </c>
      <c r="AP531" s="37">
        <f>IF(最佳化斷筋點!Q531="","",最佳化斷筋點!Q531)</f>
        <v>4</v>
      </c>
      <c r="AQ531" s="37">
        <f>IF(最佳化斷筋點!R531="","",最佳化斷筋點!R531)</f>
        <v>5</v>
      </c>
      <c r="AR531" s="37">
        <f>IF(最佳化斷筋點!S531="","",最佳化斷筋點!S531)</f>
        <v>5</v>
      </c>
      <c r="AS531" s="37">
        <f>IF(最佳化斷筋點!T531="","",最佳化斷筋點!T531)</f>
        <v>6</v>
      </c>
      <c r="AT531" s="37">
        <f>IF(最佳化斷筋點!U531="","",最佳化斷筋點!U531)</f>
        <v>6</v>
      </c>
      <c r="AU531" s="37">
        <f>IF(最佳化斷筋點!V531="","",最佳化斷筋點!V531)</f>
        <v>6</v>
      </c>
      <c r="AV531" s="37">
        <f>IF(最佳化斷筋點!W531="","",最佳化斷筋點!W531)</f>
        <v>6</v>
      </c>
      <c r="AW531" s="37">
        <f>IF(最佳化斷筋點!X531="","",最佳化斷筋點!X531)</f>
        <v>6</v>
      </c>
      <c r="AY531" s="6" t="s">
        <v>20</v>
      </c>
      <c r="AZ531" s="37">
        <v>8</v>
      </c>
      <c r="BA531" s="37">
        <v>8</v>
      </c>
      <c r="BB531" s="37">
        <v>8</v>
      </c>
      <c r="BC531" s="37">
        <v>8</v>
      </c>
      <c r="BD531" s="37">
        <v>8</v>
      </c>
      <c r="BE531" s="37">
        <v>8</v>
      </c>
      <c r="BF531" s="37">
        <v>8</v>
      </c>
      <c r="BG531" s="37">
        <v>3</v>
      </c>
      <c r="BH531" s="37">
        <v>3</v>
      </c>
      <c r="BI531" s="37">
        <v>3</v>
      </c>
      <c r="BJ531" s="37">
        <v>3</v>
      </c>
      <c r="BK531" s="37">
        <v>3</v>
      </c>
      <c r="BL531" s="37">
        <v>3</v>
      </c>
      <c r="BM531" s="37">
        <v>4</v>
      </c>
      <c r="BN531" s="37">
        <v>5</v>
      </c>
      <c r="BO531" s="37">
        <v>5</v>
      </c>
      <c r="BP531" s="37">
        <v>6</v>
      </c>
      <c r="BQ531" s="37">
        <v>6</v>
      </c>
      <c r="BR531" s="37">
        <v>6</v>
      </c>
      <c r="BS531" s="37">
        <v>6</v>
      </c>
      <c r="BT531" s="37">
        <v>6</v>
      </c>
    </row>
    <row r="532" spans="5:72" x14ac:dyDescent="0.25">
      <c r="F532" s="6">
        <f t="shared" si="169"/>
        <v>0</v>
      </c>
      <c r="G532" s="6">
        <f t="shared" si="170"/>
        <v>0</v>
      </c>
      <c r="H532" s="6">
        <f t="shared" si="171"/>
        <v>0</v>
      </c>
      <c r="I532" s="6">
        <f t="shared" si="172"/>
        <v>0</v>
      </c>
      <c r="J532" s="6">
        <f t="shared" si="173"/>
        <v>0</v>
      </c>
      <c r="K532" s="6">
        <f t="shared" si="174"/>
        <v>0</v>
      </c>
      <c r="L532" s="6">
        <f t="shared" si="175"/>
        <v>0</v>
      </c>
      <c r="M532" s="6">
        <f t="shared" si="176"/>
        <v>0</v>
      </c>
      <c r="N532" s="6">
        <f t="shared" si="177"/>
        <v>0</v>
      </c>
      <c r="O532" s="6">
        <f t="shared" si="178"/>
        <v>0</v>
      </c>
      <c r="P532" s="6">
        <f t="shared" si="179"/>
        <v>0</v>
      </c>
      <c r="Q532" s="6">
        <f t="shared" si="180"/>
        <v>0</v>
      </c>
      <c r="R532" s="6">
        <f t="shared" si="181"/>
        <v>0</v>
      </c>
      <c r="S532" s="6">
        <f t="shared" si="182"/>
        <v>0</v>
      </c>
      <c r="T532" s="6">
        <f t="shared" si="183"/>
        <v>0</v>
      </c>
      <c r="U532" s="6">
        <f t="shared" si="184"/>
        <v>0</v>
      </c>
      <c r="V532" s="6">
        <f t="shared" si="185"/>
        <v>0</v>
      </c>
      <c r="W532" s="6">
        <f t="shared" si="186"/>
        <v>0</v>
      </c>
      <c r="X532" s="6">
        <f t="shared" si="187"/>
        <v>0</v>
      </c>
      <c r="Y532" s="6">
        <f t="shared" si="188"/>
        <v>0</v>
      </c>
      <c r="Z532" s="6">
        <f t="shared" si="189"/>
        <v>0</v>
      </c>
      <c r="AB532" s="36" t="str">
        <f>IF(最佳化斷筋點!C532="","",最佳化斷筋點!C532)</f>
        <v/>
      </c>
      <c r="AC532" s="37" t="str">
        <f>IF(最佳化斷筋點!D532="","",最佳化斷筋點!D532)</f>
        <v/>
      </c>
      <c r="AD532" s="37" t="str">
        <f>IF(最佳化斷筋點!E532="","",最佳化斷筋點!E532)</f>
        <v/>
      </c>
      <c r="AE532" s="37" t="str">
        <f>IF(最佳化斷筋點!F532="","",最佳化斷筋點!F532)</f>
        <v/>
      </c>
      <c r="AF532" s="37" t="str">
        <f>IF(最佳化斷筋點!G532="","",最佳化斷筋點!G532)</f>
        <v/>
      </c>
      <c r="AG532" s="37" t="str">
        <f>IF(最佳化斷筋點!H532="","",最佳化斷筋點!H532)</f>
        <v/>
      </c>
      <c r="AH532" s="37" t="str">
        <f>IF(最佳化斷筋點!I532="","",最佳化斷筋點!I532)</f>
        <v/>
      </c>
      <c r="AI532" s="37" t="str">
        <f>IF(最佳化斷筋點!J532="","",最佳化斷筋點!J532)</f>
        <v/>
      </c>
      <c r="AJ532" s="37" t="str">
        <f>IF(最佳化斷筋點!K532="","",最佳化斷筋點!K532)</f>
        <v/>
      </c>
      <c r="AK532" s="37" t="str">
        <f>IF(最佳化斷筋點!L532="","",最佳化斷筋點!L532)</f>
        <v/>
      </c>
      <c r="AL532" s="37" t="str">
        <f>IF(最佳化斷筋點!M532="","",最佳化斷筋點!M532)</f>
        <v/>
      </c>
      <c r="AM532" s="37" t="str">
        <f>IF(最佳化斷筋點!N532="","",最佳化斷筋點!N532)</f>
        <v/>
      </c>
      <c r="AN532" s="37" t="str">
        <f>IF(最佳化斷筋點!O532="","",最佳化斷筋點!O532)</f>
        <v/>
      </c>
      <c r="AO532" s="37" t="str">
        <f>IF(最佳化斷筋點!P532="","",最佳化斷筋點!P532)</f>
        <v/>
      </c>
      <c r="AP532" s="37" t="str">
        <f>IF(最佳化斷筋點!Q532="","",最佳化斷筋點!Q532)</f>
        <v/>
      </c>
      <c r="AQ532" s="37" t="str">
        <f>IF(最佳化斷筋點!R532="","",最佳化斷筋點!R532)</f>
        <v/>
      </c>
      <c r="AR532" s="37" t="str">
        <f>IF(最佳化斷筋點!S532="","",最佳化斷筋點!S532)</f>
        <v/>
      </c>
      <c r="AS532" s="37" t="str">
        <f>IF(最佳化斷筋點!T532="","",最佳化斷筋點!T532)</f>
        <v/>
      </c>
      <c r="AT532" s="37" t="str">
        <f>IF(最佳化斷筋點!U532="","",最佳化斷筋點!U532)</f>
        <v/>
      </c>
      <c r="AU532" s="37" t="str">
        <f>IF(最佳化斷筋點!V532="","",最佳化斷筋點!V532)</f>
        <v/>
      </c>
      <c r="AV532" s="37" t="str">
        <f>IF(最佳化斷筋點!W532="","",最佳化斷筋點!W532)</f>
        <v/>
      </c>
      <c r="AW532" s="37" t="str">
        <f>IF(最佳化斷筋點!X532="","",最佳化斷筋點!X532)</f>
        <v/>
      </c>
      <c r="AZ532" s="37" t="s">
        <v>197</v>
      </c>
      <c r="BA532" s="37" t="s">
        <v>197</v>
      </c>
      <c r="BB532" s="37" t="s">
        <v>197</v>
      </c>
      <c r="BC532" s="37" t="s">
        <v>197</v>
      </c>
      <c r="BD532" s="37" t="s">
        <v>197</v>
      </c>
      <c r="BE532" s="37" t="s">
        <v>197</v>
      </c>
      <c r="BF532" s="37" t="s">
        <v>197</v>
      </c>
      <c r="BG532" s="37" t="s">
        <v>197</v>
      </c>
      <c r="BH532" s="37" t="s">
        <v>197</v>
      </c>
      <c r="BI532" s="37" t="s">
        <v>197</v>
      </c>
      <c r="BJ532" s="37" t="s">
        <v>197</v>
      </c>
      <c r="BK532" s="37" t="s">
        <v>197</v>
      </c>
      <c r="BL532" s="37" t="s">
        <v>197</v>
      </c>
      <c r="BM532" s="37" t="s">
        <v>197</v>
      </c>
      <c r="BN532" s="37" t="s">
        <v>197</v>
      </c>
      <c r="BO532" s="37" t="s">
        <v>197</v>
      </c>
      <c r="BP532" s="37" t="s">
        <v>197</v>
      </c>
      <c r="BQ532" s="37" t="s">
        <v>197</v>
      </c>
      <c r="BR532" s="37" t="s">
        <v>197</v>
      </c>
      <c r="BS532" s="37" t="s">
        <v>197</v>
      </c>
      <c r="BT532" s="37" t="s">
        <v>197</v>
      </c>
    </row>
    <row r="533" spans="5:72" x14ac:dyDescent="0.25">
      <c r="E533" s="6" t="s">
        <v>21</v>
      </c>
      <c r="F533" s="6">
        <f t="shared" si="169"/>
        <v>0</v>
      </c>
      <c r="G533" s="6">
        <f t="shared" si="170"/>
        <v>0</v>
      </c>
      <c r="H533" s="6">
        <f t="shared" si="171"/>
        <v>0</v>
      </c>
      <c r="I533" s="6">
        <f t="shared" si="172"/>
        <v>0</v>
      </c>
      <c r="J533" s="6">
        <f t="shared" si="173"/>
        <v>0</v>
      </c>
      <c r="K533" s="6">
        <f t="shared" si="174"/>
        <v>0</v>
      </c>
      <c r="L533" s="6">
        <f t="shared" si="175"/>
        <v>0</v>
      </c>
      <c r="M533" s="6">
        <f t="shared" si="176"/>
        <v>0</v>
      </c>
      <c r="N533" s="6">
        <f t="shared" si="177"/>
        <v>0</v>
      </c>
      <c r="O533" s="6">
        <f t="shared" si="178"/>
        <v>0</v>
      </c>
      <c r="P533" s="6">
        <f t="shared" si="179"/>
        <v>0</v>
      </c>
      <c r="Q533" s="6">
        <f t="shared" si="180"/>
        <v>0</v>
      </c>
      <c r="R533" s="6">
        <f t="shared" si="181"/>
        <v>0</v>
      </c>
      <c r="S533" s="6">
        <f t="shared" si="182"/>
        <v>0</v>
      </c>
      <c r="T533" s="6">
        <f t="shared" si="183"/>
        <v>0</v>
      </c>
      <c r="U533" s="6">
        <f t="shared" si="184"/>
        <v>0</v>
      </c>
      <c r="V533" s="6">
        <f t="shared" si="185"/>
        <v>0</v>
      </c>
      <c r="W533" s="6">
        <f t="shared" si="186"/>
        <v>0</v>
      </c>
      <c r="X533" s="6">
        <f t="shared" si="187"/>
        <v>0</v>
      </c>
      <c r="Y533" s="6">
        <f t="shared" si="188"/>
        <v>0</v>
      </c>
      <c r="Z533" s="6">
        <f t="shared" si="189"/>
        <v>0</v>
      </c>
      <c r="AB533" s="36" t="str">
        <f>IF(最佳化斷筋點!C533="","",最佳化斷筋點!C533)</f>
        <v>下層</v>
      </c>
      <c r="AC533" s="37">
        <f>IF(最佳化斷筋點!D533="","",最佳化斷筋點!D533)</f>
        <v>8</v>
      </c>
      <c r="AD533" s="37">
        <f>IF(最佳化斷筋點!E533="","",最佳化斷筋點!E533)</f>
        <v>8</v>
      </c>
      <c r="AE533" s="37">
        <f>IF(最佳化斷筋點!F533="","",最佳化斷筋點!F533)</f>
        <v>8</v>
      </c>
      <c r="AF533" s="37">
        <f>IF(最佳化斷筋點!G533="","",最佳化斷筋點!G533)</f>
        <v>8</v>
      </c>
      <c r="AG533" s="37">
        <f>IF(最佳化斷筋點!H533="","",最佳化斷筋點!H533)</f>
        <v>8</v>
      </c>
      <c r="AH533" s="37">
        <f>IF(最佳化斷筋點!I533="","",最佳化斷筋點!I533)</f>
        <v>8</v>
      </c>
      <c r="AI533" s="37">
        <f>IF(最佳化斷筋點!J533="","",最佳化斷筋點!J533)</f>
        <v>7</v>
      </c>
      <c r="AJ533" s="37">
        <f>IF(最佳化斷筋點!K533="","",最佳化斷筋點!K533)</f>
        <v>4</v>
      </c>
      <c r="AK533" s="37">
        <f>IF(最佳化斷筋點!L533="","",最佳化斷筋點!L533)</f>
        <v>4</v>
      </c>
      <c r="AL533" s="37">
        <f>IF(最佳化斷筋點!M533="","",最佳化斷筋點!M533)</f>
        <v>4</v>
      </c>
      <c r="AM533" s="37">
        <f>IF(最佳化斷筋點!N533="","",最佳化斷筋點!N533)</f>
        <v>4</v>
      </c>
      <c r="AN533" s="37">
        <f>IF(最佳化斷筋點!O533="","",最佳化斷筋點!O533)</f>
        <v>4</v>
      </c>
      <c r="AO533" s="37">
        <f>IF(最佳化斷筋點!P533="","",最佳化斷筋點!P533)</f>
        <v>4</v>
      </c>
      <c r="AP533" s="37">
        <f>IF(最佳化斷筋點!Q533="","",最佳化斷筋點!Q533)</f>
        <v>7</v>
      </c>
      <c r="AQ533" s="37">
        <f>IF(最佳化斷筋點!R533="","",最佳化斷筋點!R533)</f>
        <v>8</v>
      </c>
      <c r="AR533" s="37">
        <f>IF(最佳化斷筋點!S533="","",最佳化斷筋點!S533)</f>
        <v>9</v>
      </c>
      <c r="AS533" s="37">
        <f>IF(最佳化斷筋點!T533="","",最佳化斷筋點!T533)</f>
        <v>10</v>
      </c>
      <c r="AT533" s="37">
        <f>IF(最佳化斷筋點!U533="","",最佳化斷筋點!U533)</f>
        <v>10</v>
      </c>
      <c r="AU533" s="37">
        <f>IF(最佳化斷筋點!V533="","",最佳化斷筋點!V533)</f>
        <v>10</v>
      </c>
      <c r="AV533" s="37">
        <f>IF(最佳化斷筋點!W533="","",最佳化斷筋點!W533)</f>
        <v>10</v>
      </c>
      <c r="AW533" s="37">
        <f>IF(最佳化斷筋點!X533="","",最佳化斷筋點!X533)</f>
        <v>10</v>
      </c>
      <c r="AY533" s="6" t="s">
        <v>21</v>
      </c>
      <c r="AZ533" s="37">
        <v>8</v>
      </c>
      <c r="BA533" s="37">
        <v>8</v>
      </c>
      <c r="BB533" s="37">
        <v>8</v>
      </c>
      <c r="BC533" s="37">
        <v>8</v>
      </c>
      <c r="BD533" s="37">
        <v>8</v>
      </c>
      <c r="BE533" s="37">
        <v>8</v>
      </c>
      <c r="BF533" s="37">
        <v>7</v>
      </c>
      <c r="BG533" s="37">
        <v>4</v>
      </c>
      <c r="BH533" s="37">
        <v>4</v>
      </c>
      <c r="BI533" s="37">
        <v>4</v>
      </c>
      <c r="BJ533" s="37">
        <v>4</v>
      </c>
      <c r="BK533" s="37">
        <v>4</v>
      </c>
      <c r="BL533" s="37">
        <v>4</v>
      </c>
      <c r="BM533" s="37">
        <v>7</v>
      </c>
      <c r="BN533" s="37">
        <v>8</v>
      </c>
      <c r="BO533" s="37">
        <v>9</v>
      </c>
      <c r="BP533" s="37">
        <v>10</v>
      </c>
      <c r="BQ533" s="37">
        <v>10</v>
      </c>
      <c r="BR533" s="37">
        <v>10</v>
      </c>
      <c r="BS533" s="37">
        <v>10</v>
      </c>
      <c r="BT533" s="37">
        <v>10</v>
      </c>
    </row>
    <row r="534" spans="5:72" x14ac:dyDescent="0.25">
      <c r="F534" s="6">
        <f t="shared" si="169"/>
        <v>0</v>
      </c>
      <c r="G534" s="6">
        <f t="shared" si="170"/>
        <v>0</v>
      </c>
      <c r="H534" s="6">
        <f t="shared" si="171"/>
        <v>0</v>
      </c>
      <c r="I534" s="6">
        <f t="shared" si="172"/>
        <v>0</v>
      </c>
      <c r="J534" s="6">
        <f t="shared" si="173"/>
        <v>0</v>
      </c>
      <c r="K534" s="6">
        <f t="shared" si="174"/>
        <v>0</v>
      </c>
      <c r="L534" s="6">
        <f t="shared" si="175"/>
        <v>0</v>
      </c>
      <c r="M534" s="6">
        <f t="shared" si="176"/>
        <v>0</v>
      </c>
      <c r="N534" s="6">
        <f t="shared" si="177"/>
        <v>0</v>
      </c>
      <c r="O534" s="6">
        <f t="shared" si="178"/>
        <v>0</v>
      </c>
      <c r="P534" s="6">
        <f t="shared" si="179"/>
        <v>0</v>
      </c>
      <c r="Q534" s="6">
        <f t="shared" si="180"/>
        <v>0</v>
      </c>
      <c r="R534" s="6">
        <f t="shared" si="181"/>
        <v>0</v>
      </c>
      <c r="S534" s="6">
        <f t="shared" si="182"/>
        <v>0</v>
      </c>
      <c r="T534" s="6">
        <f t="shared" si="183"/>
        <v>0</v>
      </c>
      <c r="U534" s="6">
        <f t="shared" si="184"/>
        <v>0</v>
      </c>
      <c r="V534" s="6">
        <f t="shared" si="185"/>
        <v>0</v>
      </c>
      <c r="W534" s="6">
        <f t="shared" si="186"/>
        <v>0</v>
      </c>
      <c r="X534" s="6">
        <f t="shared" si="187"/>
        <v>0</v>
      </c>
      <c r="Y534" s="6">
        <f t="shared" si="188"/>
        <v>0</v>
      </c>
      <c r="Z534" s="6">
        <f t="shared" si="189"/>
        <v>0</v>
      </c>
      <c r="AB534" s="36" t="str">
        <f>IF(最佳化斷筋點!C534="","",最佳化斷筋點!C534)</f>
        <v/>
      </c>
      <c r="AC534" s="37" t="str">
        <f>IF(最佳化斷筋點!D534="","",最佳化斷筋點!D534)</f>
        <v/>
      </c>
      <c r="AD534" s="37" t="str">
        <f>IF(最佳化斷筋點!E534="","",最佳化斷筋點!E534)</f>
        <v/>
      </c>
      <c r="AE534" s="37" t="str">
        <f>IF(最佳化斷筋點!F534="","",最佳化斷筋點!F534)</f>
        <v/>
      </c>
      <c r="AF534" s="37" t="str">
        <f>IF(最佳化斷筋點!G534="","",最佳化斷筋點!G534)</f>
        <v/>
      </c>
      <c r="AG534" s="37" t="str">
        <f>IF(最佳化斷筋點!H534="","",最佳化斷筋點!H534)</f>
        <v/>
      </c>
      <c r="AH534" s="37" t="str">
        <f>IF(最佳化斷筋點!I534="","",最佳化斷筋點!I534)</f>
        <v/>
      </c>
      <c r="AI534" s="37" t="str">
        <f>IF(最佳化斷筋點!J534="","",最佳化斷筋點!J534)</f>
        <v/>
      </c>
      <c r="AJ534" s="37" t="str">
        <f>IF(最佳化斷筋點!K534="","",最佳化斷筋點!K534)</f>
        <v/>
      </c>
      <c r="AK534" s="37" t="str">
        <f>IF(最佳化斷筋點!L534="","",最佳化斷筋點!L534)</f>
        <v/>
      </c>
      <c r="AL534" s="37" t="str">
        <f>IF(最佳化斷筋點!M534="","",最佳化斷筋點!M534)</f>
        <v/>
      </c>
      <c r="AM534" s="37" t="str">
        <f>IF(最佳化斷筋點!N534="","",最佳化斷筋點!N534)</f>
        <v/>
      </c>
      <c r="AN534" s="37" t="str">
        <f>IF(最佳化斷筋點!O534="","",最佳化斷筋點!O534)</f>
        <v/>
      </c>
      <c r="AO534" s="37" t="str">
        <f>IF(最佳化斷筋點!P534="","",最佳化斷筋點!P534)</f>
        <v/>
      </c>
      <c r="AP534" s="37" t="str">
        <f>IF(最佳化斷筋點!Q534="","",最佳化斷筋點!Q534)</f>
        <v/>
      </c>
      <c r="AQ534" s="37" t="str">
        <f>IF(最佳化斷筋點!R534="","",最佳化斷筋點!R534)</f>
        <v/>
      </c>
      <c r="AR534" s="37" t="str">
        <f>IF(最佳化斷筋點!S534="","",最佳化斷筋點!S534)</f>
        <v/>
      </c>
      <c r="AS534" s="37" t="str">
        <f>IF(最佳化斷筋點!T534="","",最佳化斷筋點!T534)</f>
        <v/>
      </c>
      <c r="AT534" s="37" t="str">
        <f>IF(最佳化斷筋點!U534="","",最佳化斷筋點!U534)</f>
        <v/>
      </c>
      <c r="AU534" s="37" t="str">
        <f>IF(最佳化斷筋點!V534="","",最佳化斷筋點!V534)</f>
        <v/>
      </c>
      <c r="AV534" s="37" t="str">
        <f>IF(最佳化斷筋點!W534="","",最佳化斷筋點!W534)</f>
        <v/>
      </c>
      <c r="AW534" s="37" t="str">
        <f>IF(最佳化斷筋點!X534="","",最佳化斷筋點!X534)</f>
        <v/>
      </c>
      <c r="AZ534" s="37" t="s">
        <v>197</v>
      </c>
      <c r="BA534" s="37" t="s">
        <v>197</v>
      </c>
      <c r="BB534" s="37" t="s">
        <v>197</v>
      </c>
      <c r="BC534" s="37" t="s">
        <v>197</v>
      </c>
      <c r="BD534" s="37" t="s">
        <v>197</v>
      </c>
      <c r="BE534" s="37" t="s">
        <v>197</v>
      </c>
      <c r="BF534" s="37" t="s">
        <v>197</v>
      </c>
      <c r="BG534" s="37" t="s">
        <v>197</v>
      </c>
      <c r="BH534" s="37" t="s">
        <v>197</v>
      </c>
      <c r="BI534" s="37" t="s">
        <v>197</v>
      </c>
      <c r="BJ534" s="37" t="s">
        <v>197</v>
      </c>
      <c r="BK534" s="37" t="s">
        <v>197</v>
      </c>
      <c r="BL534" s="37" t="s">
        <v>197</v>
      </c>
      <c r="BM534" s="37" t="s">
        <v>197</v>
      </c>
      <c r="BN534" s="37" t="s">
        <v>197</v>
      </c>
      <c r="BO534" s="37" t="s">
        <v>197</v>
      </c>
      <c r="BP534" s="37" t="s">
        <v>197</v>
      </c>
      <c r="BQ534" s="37" t="s">
        <v>197</v>
      </c>
      <c r="BR534" s="37" t="s">
        <v>197</v>
      </c>
      <c r="BS534" s="37" t="s">
        <v>197</v>
      </c>
      <c r="BT534" s="37" t="s">
        <v>197</v>
      </c>
    </row>
    <row r="535" spans="5:72" x14ac:dyDescent="0.25">
      <c r="E535" s="6" t="s">
        <v>20</v>
      </c>
      <c r="F535" s="6">
        <f t="shared" si="169"/>
        <v>0</v>
      </c>
      <c r="G535" s="6">
        <f t="shared" si="170"/>
        <v>0</v>
      </c>
      <c r="H535" s="6">
        <f t="shared" si="171"/>
        <v>0</v>
      </c>
      <c r="I535" s="6">
        <f t="shared" si="172"/>
        <v>0</v>
      </c>
      <c r="J535" s="6">
        <f t="shared" si="173"/>
        <v>0</v>
      </c>
      <c r="K535" s="6">
        <f t="shared" si="174"/>
        <v>0</v>
      </c>
      <c r="L535" s="6">
        <f t="shared" si="175"/>
        <v>0</v>
      </c>
      <c r="M535" s="6">
        <f t="shared" si="176"/>
        <v>0</v>
      </c>
      <c r="N535" s="6">
        <f t="shared" si="177"/>
        <v>0</v>
      </c>
      <c r="O535" s="6">
        <f t="shared" si="178"/>
        <v>0</v>
      </c>
      <c r="P535" s="6">
        <f t="shared" si="179"/>
        <v>0</v>
      </c>
      <c r="Q535" s="6">
        <f t="shared" si="180"/>
        <v>0</v>
      </c>
      <c r="R535" s="6">
        <f t="shared" si="181"/>
        <v>0</v>
      </c>
      <c r="S535" s="6">
        <f t="shared" si="182"/>
        <v>0</v>
      </c>
      <c r="T535" s="6">
        <f t="shared" si="183"/>
        <v>0</v>
      </c>
      <c r="U535" s="6">
        <f t="shared" si="184"/>
        <v>0</v>
      </c>
      <c r="V535" s="6">
        <f t="shared" si="185"/>
        <v>0</v>
      </c>
      <c r="W535" s="6">
        <f t="shared" si="186"/>
        <v>0</v>
      </c>
      <c r="X535" s="6">
        <f t="shared" si="187"/>
        <v>0</v>
      </c>
      <c r="Y535" s="6">
        <f t="shared" si="188"/>
        <v>0</v>
      </c>
      <c r="Z535" s="6">
        <f t="shared" si="189"/>
        <v>0</v>
      </c>
      <c r="AB535" s="36" t="str">
        <f>IF(最佳化斷筋點!C535="","",最佳化斷筋點!C535)</f>
        <v>上層</v>
      </c>
      <c r="AC535" s="37">
        <f>IF(最佳化斷筋點!D535="","",最佳化斷筋點!D535)</f>
        <v>9</v>
      </c>
      <c r="AD535" s="37">
        <f>IF(最佳化斷筋點!E535="","",最佳化斷筋點!E535)</f>
        <v>9</v>
      </c>
      <c r="AE535" s="37">
        <f>IF(最佳化斷筋點!F535="","",最佳化斷筋點!F535)</f>
        <v>9</v>
      </c>
      <c r="AF535" s="37">
        <f>IF(最佳化斷筋點!G535="","",最佳化斷筋點!G535)</f>
        <v>9</v>
      </c>
      <c r="AG535" s="37">
        <f>IF(最佳化斷筋點!H535="","",最佳化斷筋點!H535)</f>
        <v>9</v>
      </c>
      <c r="AH535" s="37">
        <f>IF(最佳化斷筋點!I535="","",最佳化斷筋點!I535)</f>
        <v>9</v>
      </c>
      <c r="AI535" s="37">
        <f>IF(最佳化斷筋點!J535="","",最佳化斷筋點!J535)</f>
        <v>9</v>
      </c>
      <c r="AJ535" s="37">
        <f>IF(最佳化斷筋點!K535="","",最佳化斷筋點!K535)</f>
        <v>3</v>
      </c>
      <c r="AK535" s="37">
        <f>IF(最佳化斷筋點!L535="","",最佳化斷筋點!L535)</f>
        <v>3</v>
      </c>
      <c r="AL535" s="37">
        <f>IF(最佳化斷筋點!M535="","",最佳化斷筋點!M535)</f>
        <v>3</v>
      </c>
      <c r="AM535" s="37">
        <f>IF(最佳化斷筋點!N535="","",最佳化斷筋點!N535)</f>
        <v>3</v>
      </c>
      <c r="AN535" s="37">
        <f>IF(最佳化斷筋點!O535="","",最佳化斷筋點!O535)</f>
        <v>3</v>
      </c>
      <c r="AO535" s="37">
        <f>IF(最佳化斷筋點!P535="","",最佳化斷筋點!P535)</f>
        <v>3</v>
      </c>
      <c r="AP535" s="37">
        <f>IF(最佳化斷筋點!Q535="","",最佳化斷筋點!Q535)</f>
        <v>8</v>
      </c>
      <c r="AQ535" s="37">
        <f>IF(最佳化斷筋點!R535="","",最佳化斷筋點!R535)</f>
        <v>9</v>
      </c>
      <c r="AR535" s="37">
        <f>IF(最佳化斷筋點!S535="","",最佳化斷筋點!S535)</f>
        <v>9</v>
      </c>
      <c r="AS535" s="37">
        <f>IF(最佳化斷筋點!T535="","",最佳化斷筋點!T535)</f>
        <v>9</v>
      </c>
      <c r="AT535" s="37">
        <f>IF(最佳化斷筋點!U535="","",最佳化斷筋點!U535)</f>
        <v>9</v>
      </c>
      <c r="AU535" s="37">
        <f>IF(最佳化斷筋點!V535="","",最佳化斷筋點!V535)</f>
        <v>9</v>
      </c>
      <c r="AV535" s="37">
        <f>IF(最佳化斷筋點!W535="","",最佳化斷筋點!W535)</f>
        <v>9</v>
      </c>
      <c r="AW535" s="37">
        <f>IF(最佳化斷筋點!X535="","",最佳化斷筋點!X535)</f>
        <v>9</v>
      </c>
      <c r="AY535" s="6" t="s">
        <v>20</v>
      </c>
      <c r="AZ535" s="37">
        <v>9</v>
      </c>
      <c r="BA535" s="37">
        <v>9</v>
      </c>
      <c r="BB535" s="37">
        <v>9</v>
      </c>
      <c r="BC535" s="37">
        <v>9</v>
      </c>
      <c r="BD535" s="37">
        <v>9</v>
      </c>
      <c r="BE535" s="37">
        <v>9</v>
      </c>
      <c r="BF535" s="37">
        <v>9</v>
      </c>
      <c r="BG535" s="37">
        <v>3</v>
      </c>
      <c r="BH535" s="37">
        <v>3</v>
      </c>
      <c r="BI535" s="37">
        <v>3</v>
      </c>
      <c r="BJ535" s="37">
        <v>3</v>
      </c>
      <c r="BK535" s="37">
        <v>3</v>
      </c>
      <c r="BL535" s="37">
        <v>3</v>
      </c>
      <c r="BM535" s="37">
        <v>8</v>
      </c>
      <c r="BN535" s="37">
        <v>9</v>
      </c>
      <c r="BO535" s="37">
        <v>9</v>
      </c>
      <c r="BP535" s="37">
        <v>9</v>
      </c>
      <c r="BQ535" s="37">
        <v>9</v>
      </c>
      <c r="BR535" s="37">
        <v>9</v>
      </c>
      <c r="BS535" s="37">
        <v>9</v>
      </c>
      <c r="BT535" s="37">
        <v>9</v>
      </c>
    </row>
    <row r="536" spans="5:72" x14ac:dyDescent="0.25">
      <c r="F536" s="6">
        <f t="shared" si="169"/>
        <v>0</v>
      </c>
      <c r="G536" s="6">
        <f t="shared" si="170"/>
        <v>0</v>
      </c>
      <c r="H536" s="6">
        <f t="shared" si="171"/>
        <v>0</v>
      </c>
      <c r="I536" s="6">
        <f t="shared" si="172"/>
        <v>0</v>
      </c>
      <c r="J536" s="6">
        <f t="shared" si="173"/>
        <v>0</v>
      </c>
      <c r="K536" s="6">
        <f t="shared" si="174"/>
        <v>0</v>
      </c>
      <c r="L536" s="6">
        <f t="shared" si="175"/>
        <v>0</v>
      </c>
      <c r="M536" s="6">
        <f t="shared" si="176"/>
        <v>0</v>
      </c>
      <c r="N536" s="6">
        <f t="shared" si="177"/>
        <v>0</v>
      </c>
      <c r="O536" s="6">
        <f t="shared" si="178"/>
        <v>0</v>
      </c>
      <c r="P536" s="6">
        <f t="shared" si="179"/>
        <v>0</v>
      </c>
      <c r="Q536" s="6">
        <f t="shared" si="180"/>
        <v>0</v>
      </c>
      <c r="R536" s="6">
        <f t="shared" si="181"/>
        <v>0</v>
      </c>
      <c r="S536" s="6">
        <f t="shared" si="182"/>
        <v>0</v>
      </c>
      <c r="T536" s="6">
        <f t="shared" si="183"/>
        <v>0</v>
      </c>
      <c r="U536" s="6">
        <f t="shared" si="184"/>
        <v>0</v>
      </c>
      <c r="V536" s="6">
        <f t="shared" si="185"/>
        <v>0</v>
      </c>
      <c r="W536" s="6">
        <f t="shared" si="186"/>
        <v>0</v>
      </c>
      <c r="X536" s="6">
        <f t="shared" si="187"/>
        <v>0</v>
      </c>
      <c r="Y536" s="6">
        <f t="shared" si="188"/>
        <v>0</v>
      </c>
      <c r="Z536" s="6">
        <f t="shared" si="189"/>
        <v>0</v>
      </c>
      <c r="AB536" s="36" t="str">
        <f>IF(最佳化斷筋點!C536="","",最佳化斷筋點!C536)</f>
        <v/>
      </c>
      <c r="AC536" s="37" t="str">
        <f>IF(最佳化斷筋點!D536="","",最佳化斷筋點!D536)</f>
        <v/>
      </c>
      <c r="AD536" s="37" t="str">
        <f>IF(最佳化斷筋點!E536="","",最佳化斷筋點!E536)</f>
        <v/>
      </c>
      <c r="AE536" s="37" t="str">
        <f>IF(最佳化斷筋點!F536="","",最佳化斷筋點!F536)</f>
        <v/>
      </c>
      <c r="AF536" s="37" t="str">
        <f>IF(最佳化斷筋點!G536="","",最佳化斷筋點!G536)</f>
        <v/>
      </c>
      <c r="AG536" s="37" t="str">
        <f>IF(最佳化斷筋點!H536="","",最佳化斷筋點!H536)</f>
        <v/>
      </c>
      <c r="AH536" s="37" t="str">
        <f>IF(最佳化斷筋點!I536="","",最佳化斷筋點!I536)</f>
        <v/>
      </c>
      <c r="AI536" s="37" t="str">
        <f>IF(最佳化斷筋點!J536="","",最佳化斷筋點!J536)</f>
        <v/>
      </c>
      <c r="AJ536" s="37" t="str">
        <f>IF(最佳化斷筋點!K536="","",最佳化斷筋點!K536)</f>
        <v/>
      </c>
      <c r="AK536" s="37" t="str">
        <f>IF(最佳化斷筋點!L536="","",最佳化斷筋點!L536)</f>
        <v/>
      </c>
      <c r="AL536" s="37" t="str">
        <f>IF(最佳化斷筋點!M536="","",最佳化斷筋點!M536)</f>
        <v/>
      </c>
      <c r="AM536" s="37" t="str">
        <f>IF(最佳化斷筋點!N536="","",最佳化斷筋點!N536)</f>
        <v/>
      </c>
      <c r="AN536" s="37" t="str">
        <f>IF(最佳化斷筋點!O536="","",最佳化斷筋點!O536)</f>
        <v/>
      </c>
      <c r="AO536" s="37" t="str">
        <f>IF(最佳化斷筋點!P536="","",最佳化斷筋點!P536)</f>
        <v/>
      </c>
      <c r="AP536" s="37" t="str">
        <f>IF(最佳化斷筋點!Q536="","",最佳化斷筋點!Q536)</f>
        <v/>
      </c>
      <c r="AQ536" s="37" t="str">
        <f>IF(最佳化斷筋點!R536="","",最佳化斷筋點!R536)</f>
        <v/>
      </c>
      <c r="AR536" s="37" t="str">
        <f>IF(最佳化斷筋點!S536="","",最佳化斷筋點!S536)</f>
        <v/>
      </c>
      <c r="AS536" s="37" t="str">
        <f>IF(最佳化斷筋點!T536="","",最佳化斷筋點!T536)</f>
        <v/>
      </c>
      <c r="AT536" s="37" t="str">
        <f>IF(最佳化斷筋點!U536="","",最佳化斷筋點!U536)</f>
        <v/>
      </c>
      <c r="AU536" s="37" t="str">
        <f>IF(最佳化斷筋點!V536="","",最佳化斷筋點!V536)</f>
        <v/>
      </c>
      <c r="AV536" s="37" t="str">
        <f>IF(最佳化斷筋點!W536="","",最佳化斷筋點!W536)</f>
        <v/>
      </c>
      <c r="AW536" s="37" t="str">
        <f>IF(最佳化斷筋點!X536="","",最佳化斷筋點!X536)</f>
        <v/>
      </c>
      <c r="AZ536" s="37" t="s">
        <v>197</v>
      </c>
      <c r="BA536" s="37" t="s">
        <v>197</v>
      </c>
      <c r="BB536" s="37" t="s">
        <v>197</v>
      </c>
      <c r="BC536" s="37" t="s">
        <v>197</v>
      </c>
      <c r="BD536" s="37" t="s">
        <v>197</v>
      </c>
      <c r="BE536" s="37" t="s">
        <v>197</v>
      </c>
      <c r="BF536" s="37" t="s">
        <v>197</v>
      </c>
      <c r="BG536" s="37" t="s">
        <v>197</v>
      </c>
      <c r="BH536" s="37" t="s">
        <v>197</v>
      </c>
      <c r="BI536" s="37" t="s">
        <v>197</v>
      </c>
      <c r="BJ536" s="37" t="s">
        <v>197</v>
      </c>
      <c r="BK536" s="37" t="s">
        <v>197</v>
      </c>
      <c r="BL536" s="37" t="s">
        <v>197</v>
      </c>
      <c r="BM536" s="37" t="s">
        <v>197</v>
      </c>
      <c r="BN536" s="37" t="s">
        <v>197</v>
      </c>
      <c r="BO536" s="37" t="s">
        <v>197</v>
      </c>
      <c r="BP536" s="37" t="s">
        <v>197</v>
      </c>
      <c r="BQ536" s="37" t="s">
        <v>197</v>
      </c>
      <c r="BR536" s="37" t="s">
        <v>197</v>
      </c>
      <c r="BS536" s="37" t="s">
        <v>197</v>
      </c>
      <c r="BT536" s="37" t="s">
        <v>197</v>
      </c>
    </row>
    <row r="537" spans="5:72" x14ac:dyDescent="0.25">
      <c r="E537" s="6" t="s">
        <v>21</v>
      </c>
      <c r="F537" s="6">
        <f t="shared" si="169"/>
        <v>0</v>
      </c>
      <c r="G537" s="6">
        <f t="shared" si="170"/>
        <v>0</v>
      </c>
      <c r="H537" s="6">
        <f t="shared" si="171"/>
        <v>0</v>
      </c>
      <c r="I537" s="6">
        <f t="shared" si="172"/>
        <v>0</v>
      </c>
      <c r="J537" s="6">
        <f t="shared" si="173"/>
        <v>0</v>
      </c>
      <c r="K537" s="6">
        <f t="shared" si="174"/>
        <v>0</v>
      </c>
      <c r="L537" s="6">
        <f t="shared" si="175"/>
        <v>0</v>
      </c>
      <c r="M537" s="6">
        <f t="shared" si="176"/>
        <v>0</v>
      </c>
      <c r="N537" s="6">
        <f t="shared" si="177"/>
        <v>0</v>
      </c>
      <c r="O537" s="6">
        <f t="shared" si="178"/>
        <v>0</v>
      </c>
      <c r="P537" s="6">
        <f t="shared" si="179"/>
        <v>0</v>
      </c>
      <c r="Q537" s="6">
        <f t="shared" si="180"/>
        <v>0</v>
      </c>
      <c r="R537" s="6">
        <f t="shared" si="181"/>
        <v>0</v>
      </c>
      <c r="S537" s="6">
        <f t="shared" si="182"/>
        <v>0</v>
      </c>
      <c r="T537" s="6">
        <f t="shared" si="183"/>
        <v>0</v>
      </c>
      <c r="U537" s="6">
        <f t="shared" si="184"/>
        <v>0</v>
      </c>
      <c r="V537" s="6">
        <f t="shared" si="185"/>
        <v>0</v>
      </c>
      <c r="W537" s="6">
        <f t="shared" si="186"/>
        <v>0</v>
      </c>
      <c r="X537" s="6">
        <f t="shared" si="187"/>
        <v>0</v>
      </c>
      <c r="Y537" s="6">
        <f t="shared" si="188"/>
        <v>0</v>
      </c>
      <c r="Z537" s="6">
        <f t="shared" si="189"/>
        <v>0</v>
      </c>
      <c r="AB537" s="36" t="str">
        <f>IF(最佳化斷筋點!C537="","",最佳化斷筋點!C537)</f>
        <v>下層</v>
      </c>
      <c r="AC537" s="37">
        <f>IF(最佳化斷筋點!D537="","",最佳化斷筋點!D537)</f>
        <v>12</v>
      </c>
      <c r="AD537" s="37">
        <f>IF(最佳化斷筋點!E537="","",最佳化斷筋點!E537)</f>
        <v>12</v>
      </c>
      <c r="AE537" s="37">
        <f>IF(最佳化斷筋點!F537="","",最佳化斷筋點!F537)</f>
        <v>12</v>
      </c>
      <c r="AF537" s="37">
        <f>IF(最佳化斷筋點!G537="","",最佳化斷筋點!G537)</f>
        <v>12</v>
      </c>
      <c r="AG537" s="37">
        <f>IF(最佳化斷筋點!H537="","",最佳化斷筋點!H537)</f>
        <v>12</v>
      </c>
      <c r="AH537" s="37">
        <f>IF(最佳化斷筋點!I537="","",最佳化斷筋點!I537)</f>
        <v>11</v>
      </c>
      <c r="AI537" s="37">
        <f>IF(最佳化斷筋點!J537="","",最佳化斷筋點!J537)</f>
        <v>10</v>
      </c>
      <c r="AJ537" s="37">
        <f>IF(最佳化斷筋點!K537="","",最佳化斷筋點!K537)</f>
        <v>4</v>
      </c>
      <c r="AK537" s="37">
        <f>IF(最佳化斷筋點!L537="","",最佳化斷筋點!L537)</f>
        <v>4</v>
      </c>
      <c r="AL537" s="37">
        <f>IF(最佳化斷筋點!M537="","",最佳化斷筋點!M537)</f>
        <v>4</v>
      </c>
      <c r="AM537" s="37">
        <f>IF(最佳化斷筋點!N537="","",最佳化斷筋點!N537)</f>
        <v>4</v>
      </c>
      <c r="AN537" s="37">
        <f>IF(最佳化斷筋點!O537="","",最佳化斷筋點!O537)</f>
        <v>4</v>
      </c>
      <c r="AO537" s="37">
        <f>IF(最佳化斷筋點!P537="","",最佳化斷筋點!P537)</f>
        <v>4</v>
      </c>
      <c r="AP537" s="37">
        <f>IF(最佳化斷筋點!Q537="","",最佳化斷筋點!Q537)</f>
        <v>8</v>
      </c>
      <c r="AQ537" s="37">
        <f>IF(最佳化斷筋點!R537="","",最佳化斷筋點!R537)</f>
        <v>9</v>
      </c>
      <c r="AR537" s="37">
        <f>IF(最佳化斷筋點!S537="","",最佳化斷筋點!S537)</f>
        <v>10</v>
      </c>
      <c r="AS537" s="37">
        <f>IF(最佳化斷筋點!T537="","",最佳化斷筋點!T537)</f>
        <v>11</v>
      </c>
      <c r="AT537" s="37">
        <f>IF(最佳化斷筋點!U537="","",最佳化斷筋點!U537)</f>
        <v>11</v>
      </c>
      <c r="AU537" s="37">
        <f>IF(最佳化斷筋點!V537="","",最佳化斷筋點!V537)</f>
        <v>11</v>
      </c>
      <c r="AV537" s="37">
        <f>IF(最佳化斷筋點!W537="","",最佳化斷筋點!W537)</f>
        <v>11</v>
      </c>
      <c r="AW537" s="37">
        <f>IF(最佳化斷筋點!X537="","",最佳化斷筋點!X537)</f>
        <v>11</v>
      </c>
      <c r="AY537" s="6" t="s">
        <v>21</v>
      </c>
      <c r="AZ537" s="37">
        <v>12</v>
      </c>
      <c r="BA537" s="37">
        <v>12</v>
      </c>
      <c r="BB537" s="37">
        <v>12</v>
      </c>
      <c r="BC537" s="37">
        <v>12</v>
      </c>
      <c r="BD537" s="37">
        <v>12</v>
      </c>
      <c r="BE537" s="37">
        <v>11</v>
      </c>
      <c r="BF537" s="37">
        <v>10</v>
      </c>
      <c r="BG537" s="37">
        <v>4</v>
      </c>
      <c r="BH537" s="37">
        <v>4</v>
      </c>
      <c r="BI537" s="37">
        <v>4</v>
      </c>
      <c r="BJ537" s="37">
        <v>4</v>
      </c>
      <c r="BK537" s="37">
        <v>4</v>
      </c>
      <c r="BL537" s="37">
        <v>4</v>
      </c>
      <c r="BM537" s="37">
        <v>8</v>
      </c>
      <c r="BN537" s="37">
        <v>9</v>
      </c>
      <c r="BO537" s="37">
        <v>10</v>
      </c>
      <c r="BP537" s="37">
        <v>11</v>
      </c>
      <c r="BQ537" s="37">
        <v>11</v>
      </c>
      <c r="BR537" s="37">
        <v>11</v>
      </c>
      <c r="BS537" s="37">
        <v>11</v>
      </c>
      <c r="BT537" s="37">
        <v>11</v>
      </c>
    </row>
    <row r="538" spans="5:72" x14ac:dyDescent="0.25">
      <c r="F538" s="6">
        <f t="shared" si="169"/>
        <v>0</v>
      </c>
      <c r="G538" s="6">
        <f t="shared" si="170"/>
        <v>0</v>
      </c>
      <c r="H538" s="6">
        <f t="shared" si="171"/>
        <v>0</v>
      </c>
      <c r="I538" s="6">
        <f t="shared" si="172"/>
        <v>0</v>
      </c>
      <c r="J538" s="6">
        <f t="shared" si="173"/>
        <v>0</v>
      </c>
      <c r="K538" s="6">
        <f t="shared" si="174"/>
        <v>0</v>
      </c>
      <c r="L538" s="6">
        <f t="shared" si="175"/>
        <v>0</v>
      </c>
      <c r="M538" s="6">
        <f t="shared" si="176"/>
        <v>0</v>
      </c>
      <c r="N538" s="6">
        <f t="shared" si="177"/>
        <v>0</v>
      </c>
      <c r="O538" s="6">
        <f t="shared" si="178"/>
        <v>0</v>
      </c>
      <c r="P538" s="6">
        <f t="shared" si="179"/>
        <v>0</v>
      </c>
      <c r="Q538" s="6">
        <f t="shared" si="180"/>
        <v>0</v>
      </c>
      <c r="R538" s="6">
        <f t="shared" si="181"/>
        <v>0</v>
      </c>
      <c r="S538" s="6">
        <f t="shared" si="182"/>
        <v>0</v>
      </c>
      <c r="T538" s="6">
        <f t="shared" si="183"/>
        <v>0</v>
      </c>
      <c r="U538" s="6">
        <f t="shared" si="184"/>
        <v>0</v>
      </c>
      <c r="V538" s="6">
        <f t="shared" si="185"/>
        <v>0</v>
      </c>
      <c r="W538" s="6">
        <f t="shared" si="186"/>
        <v>0</v>
      </c>
      <c r="X538" s="6">
        <f t="shared" si="187"/>
        <v>0</v>
      </c>
      <c r="Y538" s="6">
        <f t="shared" si="188"/>
        <v>0</v>
      </c>
      <c r="Z538" s="6">
        <f t="shared" si="189"/>
        <v>0</v>
      </c>
      <c r="AB538" s="36" t="str">
        <f>IF(最佳化斷筋點!C538="","",最佳化斷筋點!C538)</f>
        <v/>
      </c>
      <c r="AC538" s="37" t="str">
        <f>IF(最佳化斷筋點!D538="","",最佳化斷筋點!D538)</f>
        <v/>
      </c>
      <c r="AD538" s="37" t="str">
        <f>IF(最佳化斷筋點!E538="","",最佳化斷筋點!E538)</f>
        <v/>
      </c>
      <c r="AE538" s="37" t="str">
        <f>IF(最佳化斷筋點!F538="","",最佳化斷筋點!F538)</f>
        <v/>
      </c>
      <c r="AF538" s="37" t="str">
        <f>IF(最佳化斷筋點!G538="","",最佳化斷筋點!G538)</f>
        <v/>
      </c>
      <c r="AG538" s="37" t="str">
        <f>IF(最佳化斷筋點!H538="","",最佳化斷筋點!H538)</f>
        <v/>
      </c>
      <c r="AH538" s="37" t="str">
        <f>IF(最佳化斷筋點!I538="","",最佳化斷筋點!I538)</f>
        <v/>
      </c>
      <c r="AI538" s="37" t="str">
        <f>IF(最佳化斷筋點!J538="","",最佳化斷筋點!J538)</f>
        <v/>
      </c>
      <c r="AJ538" s="37" t="str">
        <f>IF(最佳化斷筋點!K538="","",最佳化斷筋點!K538)</f>
        <v/>
      </c>
      <c r="AK538" s="37" t="str">
        <f>IF(最佳化斷筋點!L538="","",最佳化斷筋點!L538)</f>
        <v/>
      </c>
      <c r="AL538" s="37" t="str">
        <f>IF(最佳化斷筋點!M538="","",最佳化斷筋點!M538)</f>
        <v/>
      </c>
      <c r="AM538" s="37" t="str">
        <f>IF(最佳化斷筋點!N538="","",最佳化斷筋點!N538)</f>
        <v/>
      </c>
      <c r="AN538" s="37" t="str">
        <f>IF(最佳化斷筋點!O538="","",最佳化斷筋點!O538)</f>
        <v/>
      </c>
      <c r="AO538" s="37" t="str">
        <f>IF(最佳化斷筋點!P538="","",最佳化斷筋點!P538)</f>
        <v/>
      </c>
      <c r="AP538" s="37" t="str">
        <f>IF(最佳化斷筋點!Q538="","",最佳化斷筋點!Q538)</f>
        <v/>
      </c>
      <c r="AQ538" s="37" t="str">
        <f>IF(最佳化斷筋點!R538="","",最佳化斷筋點!R538)</f>
        <v/>
      </c>
      <c r="AR538" s="37" t="str">
        <f>IF(最佳化斷筋點!S538="","",最佳化斷筋點!S538)</f>
        <v/>
      </c>
      <c r="AS538" s="37" t="str">
        <f>IF(最佳化斷筋點!T538="","",最佳化斷筋點!T538)</f>
        <v/>
      </c>
      <c r="AT538" s="37" t="str">
        <f>IF(最佳化斷筋點!U538="","",最佳化斷筋點!U538)</f>
        <v/>
      </c>
      <c r="AU538" s="37" t="str">
        <f>IF(最佳化斷筋點!V538="","",最佳化斷筋點!V538)</f>
        <v/>
      </c>
      <c r="AV538" s="37" t="str">
        <f>IF(最佳化斷筋點!W538="","",最佳化斷筋點!W538)</f>
        <v/>
      </c>
      <c r="AW538" s="37" t="str">
        <f>IF(最佳化斷筋點!X538="","",最佳化斷筋點!X538)</f>
        <v/>
      </c>
      <c r="AZ538" s="37" t="s">
        <v>197</v>
      </c>
      <c r="BA538" s="37" t="s">
        <v>197</v>
      </c>
      <c r="BB538" s="37" t="s">
        <v>197</v>
      </c>
      <c r="BC538" s="37" t="s">
        <v>197</v>
      </c>
      <c r="BD538" s="37" t="s">
        <v>197</v>
      </c>
      <c r="BE538" s="37" t="s">
        <v>197</v>
      </c>
      <c r="BF538" s="37" t="s">
        <v>197</v>
      </c>
      <c r="BG538" s="37" t="s">
        <v>197</v>
      </c>
      <c r="BH538" s="37" t="s">
        <v>197</v>
      </c>
      <c r="BI538" s="37" t="s">
        <v>197</v>
      </c>
      <c r="BJ538" s="37" t="s">
        <v>197</v>
      </c>
      <c r="BK538" s="37" t="s">
        <v>197</v>
      </c>
      <c r="BL538" s="37" t="s">
        <v>197</v>
      </c>
      <c r="BM538" s="37" t="s">
        <v>197</v>
      </c>
      <c r="BN538" s="37" t="s">
        <v>197</v>
      </c>
      <c r="BO538" s="37" t="s">
        <v>197</v>
      </c>
      <c r="BP538" s="37" t="s">
        <v>197</v>
      </c>
      <c r="BQ538" s="37" t="s">
        <v>197</v>
      </c>
      <c r="BR538" s="37" t="s">
        <v>197</v>
      </c>
      <c r="BS538" s="37" t="s">
        <v>197</v>
      </c>
      <c r="BT538" s="37" t="s">
        <v>197</v>
      </c>
    </row>
    <row r="539" spans="5:72" x14ac:dyDescent="0.25">
      <c r="E539" s="6" t="s">
        <v>20</v>
      </c>
      <c r="F539" s="6">
        <f t="shared" si="169"/>
        <v>0</v>
      </c>
      <c r="G539" s="6">
        <f t="shared" si="170"/>
        <v>0</v>
      </c>
      <c r="H539" s="6">
        <f t="shared" si="171"/>
        <v>0</v>
      </c>
      <c r="I539" s="6">
        <f t="shared" si="172"/>
        <v>0</v>
      </c>
      <c r="J539" s="6">
        <f t="shared" si="173"/>
        <v>0</v>
      </c>
      <c r="K539" s="6">
        <f t="shared" si="174"/>
        <v>0</v>
      </c>
      <c r="L539" s="6">
        <f t="shared" si="175"/>
        <v>0</v>
      </c>
      <c r="M539" s="6">
        <f t="shared" si="176"/>
        <v>0</v>
      </c>
      <c r="N539" s="6">
        <f t="shared" si="177"/>
        <v>0</v>
      </c>
      <c r="O539" s="6">
        <f t="shared" si="178"/>
        <v>0</v>
      </c>
      <c r="P539" s="6">
        <f t="shared" si="179"/>
        <v>0</v>
      </c>
      <c r="Q539" s="6">
        <f t="shared" si="180"/>
        <v>0</v>
      </c>
      <c r="R539" s="6">
        <f t="shared" si="181"/>
        <v>0</v>
      </c>
      <c r="S539" s="6">
        <f t="shared" si="182"/>
        <v>0</v>
      </c>
      <c r="T539" s="6">
        <f t="shared" si="183"/>
        <v>0</v>
      </c>
      <c r="U539" s="6">
        <f t="shared" si="184"/>
        <v>0</v>
      </c>
      <c r="V539" s="6">
        <f t="shared" si="185"/>
        <v>0</v>
      </c>
      <c r="W539" s="6">
        <f t="shared" si="186"/>
        <v>0</v>
      </c>
      <c r="X539" s="6">
        <f t="shared" si="187"/>
        <v>0</v>
      </c>
      <c r="Y539" s="6">
        <f t="shared" si="188"/>
        <v>0</v>
      </c>
      <c r="Z539" s="6">
        <f t="shared" si="189"/>
        <v>0</v>
      </c>
      <c r="AB539" s="36" t="str">
        <f>IF(最佳化斷筋點!C539="","",最佳化斷筋點!C539)</f>
        <v>上層</v>
      </c>
      <c r="AC539" s="37">
        <f>IF(最佳化斷筋點!D539="","",最佳化斷筋點!D539)</f>
        <v>7</v>
      </c>
      <c r="AD539" s="37">
        <f>IF(最佳化斷筋點!E539="","",最佳化斷筋點!E539)</f>
        <v>7</v>
      </c>
      <c r="AE539" s="37">
        <f>IF(最佳化斷筋點!F539="","",最佳化斷筋點!F539)</f>
        <v>7</v>
      </c>
      <c r="AF539" s="37">
        <f>IF(最佳化斷筋點!G539="","",最佳化斷筋點!G539)</f>
        <v>7</v>
      </c>
      <c r="AG539" s="37">
        <f>IF(最佳化斷筋點!H539="","",最佳化斷筋點!H539)</f>
        <v>7</v>
      </c>
      <c r="AH539" s="37">
        <f>IF(最佳化斷筋點!I539="","",最佳化斷筋點!I539)</f>
        <v>7</v>
      </c>
      <c r="AI539" s="37">
        <f>IF(最佳化斷筋點!J539="","",最佳化斷筋點!J539)</f>
        <v>7</v>
      </c>
      <c r="AJ539" s="37">
        <f>IF(最佳化斷筋點!K539="","",最佳化斷筋點!K539)</f>
        <v>3</v>
      </c>
      <c r="AK539" s="37">
        <f>IF(最佳化斷筋點!L539="","",最佳化斷筋點!L539)</f>
        <v>3</v>
      </c>
      <c r="AL539" s="37">
        <f>IF(最佳化斷筋點!M539="","",最佳化斷筋點!M539)</f>
        <v>3</v>
      </c>
      <c r="AM539" s="37">
        <f>IF(最佳化斷筋點!N539="","",最佳化斷筋點!N539)</f>
        <v>3</v>
      </c>
      <c r="AN539" s="37">
        <f>IF(最佳化斷筋點!O539="","",最佳化斷筋點!O539)</f>
        <v>3</v>
      </c>
      <c r="AO539" s="37">
        <f>IF(最佳化斷筋點!P539="","",最佳化斷筋點!P539)</f>
        <v>3</v>
      </c>
      <c r="AP539" s="37">
        <f>IF(最佳化斷筋點!Q539="","",最佳化斷筋點!Q539)</f>
        <v>4</v>
      </c>
      <c r="AQ539" s="37">
        <f>IF(最佳化斷筋點!R539="","",最佳化斷筋點!R539)</f>
        <v>5</v>
      </c>
      <c r="AR539" s="37">
        <f>IF(最佳化斷筋點!S539="","",最佳化斷筋點!S539)</f>
        <v>5</v>
      </c>
      <c r="AS539" s="37">
        <f>IF(最佳化斷筋點!T539="","",最佳化斷筋點!T539)</f>
        <v>5</v>
      </c>
      <c r="AT539" s="37">
        <f>IF(最佳化斷筋點!U539="","",最佳化斷筋點!U539)</f>
        <v>5</v>
      </c>
      <c r="AU539" s="37">
        <f>IF(最佳化斷筋點!V539="","",最佳化斷筋點!V539)</f>
        <v>5</v>
      </c>
      <c r="AV539" s="37">
        <f>IF(最佳化斷筋點!W539="","",最佳化斷筋點!W539)</f>
        <v>5</v>
      </c>
      <c r="AW539" s="37">
        <f>IF(最佳化斷筋點!X539="","",最佳化斷筋點!X539)</f>
        <v>5</v>
      </c>
      <c r="AY539" s="6" t="s">
        <v>20</v>
      </c>
      <c r="AZ539" s="37">
        <v>7</v>
      </c>
      <c r="BA539" s="37">
        <v>7</v>
      </c>
      <c r="BB539" s="37">
        <v>7</v>
      </c>
      <c r="BC539" s="37">
        <v>7</v>
      </c>
      <c r="BD539" s="37">
        <v>7</v>
      </c>
      <c r="BE539" s="37">
        <v>7</v>
      </c>
      <c r="BF539" s="37">
        <v>7</v>
      </c>
      <c r="BG539" s="37">
        <v>3</v>
      </c>
      <c r="BH539" s="37">
        <v>3</v>
      </c>
      <c r="BI539" s="37">
        <v>3</v>
      </c>
      <c r="BJ539" s="37">
        <v>3</v>
      </c>
      <c r="BK539" s="37">
        <v>3</v>
      </c>
      <c r="BL539" s="37">
        <v>3</v>
      </c>
      <c r="BM539" s="37">
        <v>4</v>
      </c>
      <c r="BN539" s="37">
        <v>5</v>
      </c>
      <c r="BO539" s="37">
        <v>5</v>
      </c>
      <c r="BP539" s="37">
        <v>5</v>
      </c>
      <c r="BQ539" s="37">
        <v>5</v>
      </c>
      <c r="BR539" s="37">
        <v>5</v>
      </c>
      <c r="BS539" s="37">
        <v>5</v>
      </c>
      <c r="BT539" s="37">
        <v>5</v>
      </c>
    </row>
    <row r="540" spans="5:72" x14ac:dyDescent="0.25">
      <c r="F540" s="6">
        <f t="shared" si="169"/>
        <v>0</v>
      </c>
      <c r="G540" s="6">
        <f t="shared" si="170"/>
        <v>0</v>
      </c>
      <c r="H540" s="6">
        <f t="shared" si="171"/>
        <v>0</v>
      </c>
      <c r="I540" s="6">
        <f t="shared" si="172"/>
        <v>0</v>
      </c>
      <c r="J540" s="6">
        <f t="shared" si="173"/>
        <v>0</v>
      </c>
      <c r="K540" s="6">
        <f t="shared" si="174"/>
        <v>0</v>
      </c>
      <c r="L540" s="6">
        <f t="shared" si="175"/>
        <v>0</v>
      </c>
      <c r="M540" s="6">
        <f t="shared" si="176"/>
        <v>0</v>
      </c>
      <c r="N540" s="6">
        <f t="shared" si="177"/>
        <v>0</v>
      </c>
      <c r="O540" s="6">
        <f t="shared" si="178"/>
        <v>0</v>
      </c>
      <c r="P540" s="6">
        <f t="shared" si="179"/>
        <v>0</v>
      </c>
      <c r="Q540" s="6">
        <f t="shared" si="180"/>
        <v>0</v>
      </c>
      <c r="R540" s="6">
        <f t="shared" si="181"/>
        <v>0</v>
      </c>
      <c r="S540" s="6">
        <f t="shared" si="182"/>
        <v>0</v>
      </c>
      <c r="T540" s="6">
        <f t="shared" si="183"/>
        <v>0</v>
      </c>
      <c r="U540" s="6">
        <f t="shared" si="184"/>
        <v>0</v>
      </c>
      <c r="V540" s="6">
        <f t="shared" si="185"/>
        <v>0</v>
      </c>
      <c r="W540" s="6">
        <f t="shared" si="186"/>
        <v>0</v>
      </c>
      <c r="X540" s="6">
        <f t="shared" si="187"/>
        <v>0</v>
      </c>
      <c r="Y540" s="6">
        <f t="shared" si="188"/>
        <v>0</v>
      </c>
      <c r="Z540" s="6">
        <f t="shared" si="189"/>
        <v>0</v>
      </c>
      <c r="AB540" s="36" t="str">
        <f>IF(最佳化斷筋點!C540="","",最佳化斷筋點!C540)</f>
        <v/>
      </c>
      <c r="AC540" s="37" t="str">
        <f>IF(最佳化斷筋點!D540="","",最佳化斷筋點!D540)</f>
        <v/>
      </c>
      <c r="AD540" s="37" t="str">
        <f>IF(最佳化斷筋點!E540="","",最佳化斷筋點!E540)</f>
        <v/>
      </c>
      <c r="AE540" s="37" t="str">
        <f>IF(最佳化斷筋點!F540="","",最佳化斷筋點!F540)</f>
        <v/>
      </c>
      <c r="AF540" s="37" t="str">
        <f>IF(最佳化斷筋點!G540="","",最佳化斷筋點!G540)</f>
        <v/>
      </c>
      <c r="AG540" s="37" t="str">
        <f>IF(最佳化斷筋點!H540="","",最佳化斷筋點!H540)</f>
        <v/>
      </c>
      <c r="AH540" s="37" t="str">
        <f>IF(最佳化斷筋點!I540="","",最佳化斷筋點!I540)</f>
        <v/>
      </c>
      <c r="AI540" s="37" t="str">
        <f>IF(最佳化斷筋點!J540="","",最佳化斷筋點!J540)</f>
        <v/>
      </c>
      <c r="AJ540" s="37" t="str">
        <f>IF(最佳化斷筋點!K540="","",最佳化斷筋點!K540)</f>
        <v/>
      </c>
      <c r="AK540" s="37" t="str">
        <f>IF(最佳化斷筋點!L540="","",最佳化斷筋點!L540)</f>
        <v/>
      </c>
      <c r="AL540" s="37" t="str">
        <f>IF(最佳化斷筋點!M540="","",最佳化斷筋點!M540)</f>
        <v/>
      </c>
      <c r="AM540" s="37" t="str">
        <f>IF(最佳化斷筋點!N540="","",最佳化斷筋點!N540)</f>
        <v/>
      </c>
      <c r="AN540" s="37" t="str">
        <f>IF(最佳化斷筋點!O540="","",最佳化斷筋點!O540)</f>
        <v/>
      </c>
      <c r="AO540" s="37" t="str">
        <f>IF(最佳化斷筋點!P540="","",最佳化斷筋點!P540)</f>
        <v/>
      </c>
      <c r="AP540" s="37" t="str">
        <f>IF(最佳化斷筋點!Q540="","",最佳化斷筋點!Q540)</f>
        <v/>
      </c>
      <c r="AQ540" s="37" t="str">
        <f>IF(最佳化斷筋點!R540="","",最佳化斷筋點!R540)</f>
        <v/>
      </c>
      <c r="AR540" s="37" t="str">
        <f>IF(最佳化斷筋點!S540="","",最佳化斷筋點!S540)</f>
        <v/>
      </c>
      <c r="AS540" s="37" t="str">
        <f>IF(最佳化斷筋點!T540="","",最佳化斷筋點!T540)</f>
        <v/>
      </c>
      <c r="AT540" s="37" t="str">
        <f>IF(最佳化斷筋點!U540="","",最佳化斷筋點!U540)</f>
        <v/>
      </c>
      <c r="AU540" s="37" t="str">
        <f>IF(最佳化斷筋點!V540="","",最佳化斷筋點!V540)</f>
        <v/>
      </c>
      <c r="AV540" s="37" t="str">
        <f>IF(最佳化斷筋點!W540="","",最佳化斷筋點!W540)</f>
        <v/>
      </c>
      <c r="AW540" s="37" t="str">
        <f>IF(最佳化斷筋點!X540="","",最佳化斷筋點!X540)</f>
        <v/>
      </c>
      <c r="AZ540" s="37" t="s">
        <v>197</v>
      </c>
      <c r="BA540" s="37" t="s">
        <v>197</v>
      </c>
      <c r="BB540" s="37" t="s">
        <v>197</v>
      </c>
      <c r="BC540" s="37" t="s">
        <v>197</v>
      </c>
      <c r="BD540" s="37" t="s">
        <v>197</v>
      </c>
      <c r="BE540" s="37" t="s">
        <v>197</v>
      </c>
      <c r="BF540" s="37" t="s">
        <v>197</v>
      </c>
      <c r="BG540" s="37" t="s">
        <v>197</v>
      </c>
      <c r="BH540" s="37" t="s">
        <v>197</v>
      </c>
      <c r="BI540" s="37" t="s">
        <v>197</v>
      </c>
      <c r="BJ540" s="37" t="s">
        <v>197</v>
      </c>
      <c r="BK540" s="37" t="s">
        <v>197</v>
      </c>
      <c r="BL540" s="37" t="s">
        <v>197</v>
      </c>
      <c r="BM540" s="37" t="s">
        <v>197</v>
      </c>
      <c r="BN540" s="37" t="s">
        <v>197</v>
      </c>
      <c r="BO540" s="37" t="s">
        <v>197</v>
      </c>
      <c r="BP540" s="37" t="s">
        <v>197</v>
      </c>
      <c r="BQ540" s="37" t="s">
        <v>197</v>
      </c>
      <c r="BR540" s="37" t="s">
        <v>197</v>
      </c>
      <c r="BS540" s="37" t="s">
        <v>197</v>
      </c>
      <c r="BT540" s="37" t="s">
        <v>197</v>
      </c>
    </row>
    <row r="541" spans="5:72" x14ac:dyDescent="0.25">
      <c r="E541" s="6" t="s">
        <v>21</v>
      </c>
      <c r="F541" s="6">
        <f t="shared" si="169"/>
        <v>0</v>
      </c>
      <c r="G541" s="6">
        <f t="shared" si="170"/>
        <v>0</v>
      </c>
      <c r="H541" s="6">
        <f t="shared" si="171"/>
        <v>0</v>
      </c>
      <c r="I541" s="6">
        <f t="shared" si="172"/>
        <v>0</v>
      </c>
      <c r="J541" s="6">
        <f t="shared" si="173"/>
        <v>0</v>
      </c>
      <c r="K541" s="6">
        <f t="shared" si="174"/>
        <v>0</v>
      </c>
      <c r="L541" s="6">
        <f t="shared" si="175"/>
        <v>0</v>
      </c>
      <c r="M541" s="6">
        <f t="shared" si="176"/>
        <v>0</v>
      </c>
      <c r="N541" s="6">
        <f t="shared" si="177"/>
        <v>0</v>
      </c>
      <c r="O541" s="6">
        <f t="shared" si="178"/>
        <v>0</v>
      </c>
      <c r="P541" s="6">
        <f t="shared" si="179"/>
        <v>0</v>
      </c>
      <c r="Q541" s="6">
        <f t="shared" si="180"/>
        <v>0</v>
      </c>
      <c r="R541" s="6">
        <f t="shared" si="181"/>
        <v>0</v>
      </c>
      <c r="S541" s="6">
        <f t="shared" si="182"/>
        <v>0</v>
      </c>
      <c r="T541" s="6">
        <f t="shared" si="183"/>
        <v>0</v>
      </c>
      <c r="U541" s="6">
        <f t="shared" si="184"/>
        <v>0</v>
      </c>
      <c r="V541" s="6">
        <f t="shared" si="185"/>
        <v>0</v>
      </c>
      <c r="W541" s="6">
        <f t="shared" si="186"/>
        <v>0</v>
      </c>
      <c r="X541" s="6">
        <f t="shared" si="187"/>
        <v>0</v>
      </c>
      <c r="Y541" s="6">
        <f t="shared" si="188"/>
        <v>0</v>
      </c>
      <c r="Z541" s="6">
        <f t="shared" si="189"/>
        <v>0</v>
      </c>
      <c r="AB541" s="36" t="str">
        <f>IF(最佳化斷筋點!C541="","",最佳化斷筋點!C541)</f>
        <v>下層</v>
      </c>
      <c r="AC541" s="37">
        <f>IF(最佳化斷筋點!D541="","",最佳化斷筋點!D541)</f>
        <v>6</v>
      </c>
      <c r="AD541" s="37">
        <f>IF(最佳化斷筋點!E541="","",最佳化斷筋點!E541)</f>
        <v>6</v>
      </c>
      <c r="AE541" s="37">
        <f>IF(最佳化斷筋點!F541="","",最佳化斷筋點!F541)</f>
        <v>6</v>
      </c>
      <c r="AF541" s="37">
        <f>IF(最佳化斷筋點!G541="","",最佳化斷筋點!G541)</f>
        <v>6</v>
      </c>
      <c r="AG541" s="37">
        <f>IF(最佳化斷筋點!H541="","",最佳化斷筋點!H541)</f>
        <v>6</v>
      </c>
      <c r="AH541" s="37">
        <f>IF(最佳化斷筋點!I541="","",最佳化斷筋點!I541)</f>
        <v>5</v>
      </c>
      <c r="AI541" s="37">
        <f>IF(最佳化斷筋點!J541="","",最佳化斷筋點!J541)</f>
        <v>5</v>
      </c>
      <c r="AJ541" s="37">
        <f>IF(最佳化斷筋點!K541="","",最佳化斷筋點!K541)</f>
        <v>3</v>
      </c>
      <c r="AK541" s="37">
        <f>IF(最佳化斷筋點!L541="","",最佳化斷筋點!L541)</f>
        <v>3</v>
      </c>
      <c r="AL541" s="37">
        <f>IF(最佳化斷筋點!M541="","",最佳化斷筋點!M541)</f>
        <v>3</v>
      </c>
      <c r="AM541" s="37">
        <f>IF(最佳化斷筋點!N541="","",最佳化斷筋點!N541)</f>
        <v>3</v>
      </c>
      <c r="AN541" s="37">
        <f>IF(最佳化斷筋點!O541="","",最佳化斷筋點!O541)</f>
        <v>3</v>
      </c>
      <c r="AO541" s="37">
        <f>IF(最佳化斷筋點!P541="","",最佳化斷筋點!P541)</f>
        <v>3</v>
      </c>
      <c r="AP541" s="37">
        <f>IF(最佳化斷筋點!Q541="","",最佳化斷筋點!Q541)</f>
        <v>4</v>
      </c>
      <c r="AQ541" s="37">
        <f>IF(最佳化斷筋點!R541="","",最佳化斷筋點!R541)</f>
        <v>5</v>
      </c>
      <c r="AR541" s="37">
        <f>IF(最佳化斷筋點!S541="","",最佳化斷筋點!S541)</f>
        <v>6</v>
      </c>
      <c r="AS541" s="37">
        <f>IF(最佳化斷筋點!T541="","",最佳化斷筋點!T541)</f>
        <v>6</v>
      </c>
      <c r="AT541" s="37">
        <f>IF(最佳化斷筋點!U541="","",最佳化斷筋點!U541)</f>
        <v>7</v>
      </c>
      <c r="AU541" s="37">
        <f>IF(最佳化斷筋點!V541="","",最佳化斷筋點!V541)</f>
        <v>7</v>
      </c>
      <c r="AV541" s="37">
        <f>IF(最佳化斷筋點!W541="","",最佳化斷筋點!W541)</f>
        <v>7</v>
      </c>
      <c r="AW541" s="37">
        <f>IF(最佳化斷筋點!X541="","",最佳化斷筋點!X541)</f>
        <v>7</v>
      </c>
      <c r="AY541" s="6" t="s">
        <v>21</v>
      </c>
      <c r="AZ541" s="37">
        <v>6</v>
      </c>
      <c r="BA541" s="37">
        <v>6</v>
      </c>
      <c r="BB541" s="37">
        <v>6</v>
      </c>
      <c r="BC541" s="37">
        <v>6</v>
      </c>
      <c r="BD541" s="37">
        <v>6</v>
      </c>
      <c r="BE541" s="37">
        <v>5</v>
      </c>
      <c r="BF541" s="37">
        <v>5</v>
      </c>
      <c r="BG541" s="37">
        <v>3</v>
      </c>
      <c r="BH541" s="37">
        <v>3</v>
      </c>
      <c r="BI541" s="37">
        <v>3</v>
      </c>
      <c r="BJ541" s="37">
        <v>3</v>
      </c>
      <c r="BK541" s="37">
        <v>3</v>
      </c>
      <c r="BL541" s="37">
        <v>3</v>
      </c>
      <c r="BM541" s="37">
        <v>4</v>
      </c>
      <c r="BN541" s="37">
        <v>5</v>
      </c>
      <c r="BO541" s="37">
        <v>6</v>
      </c>
      <c r="BP541" s="37">
        <v>6</v>
      </c>
      <c r="BQ541" s="37">
        <v>7</v>
      </c>
      <c r="BR541" s="37">
        <v>7</v>
      </c>
      <c r="BS541" s="37">
        <v>7</v>
      </c>
      <c r="BT541" s="37">
        <v>7</v>
      </c>
    </row>
    <row r="542" spans="5:72" x14ac:dyDescent="0.25">
      <c r="F542" s="6">
        <f t="shared" si="169"/>
        <v>0</v>
      </c>
      <c r="G542" s="6">
        <f t="shared" si="170"/>
        <v>0</v>
      </c>
      <c r="H542" s="6">
        <f t="shared" si="171"/>
        <v>0</v>
      </c>
      <c r="I542" s="6">
        <f t="shared" si="172"/>
        <v>0</v>
      </c>
      <c r="J542" s="6">
        <f t="shared" si="173"/>
        <v>0</v>
      </c>
      <c r="K542" s="6">
        <f t="shared" si="174"/>
        <v>0</v>
      </c>
      <c r="L542" s="6">
        <f t="shared" si="175"/>
        <v>0</v>
      </c>
      <c r="M542" s="6">
        <f t="shared" si="176"/>
        <v>0</v>
      </c>
      <c r="N542" s="6">
        <f t="shared" si="177"/>
        <v>0</v>
      </c>
      <c r="O542" s="6">
        <f t="shared" si="178"/>
        <v>0</v>
      </c>
      <c r="P542" s="6">
        <f t="shared" si="179"/>
        <v>0</v>
      </c>
      <c r="Q542" s="6">
        <f t="shared" si="180"/>
        <v>0</v>
      </c>
      <c r="R542" s="6">
        <f t="shared" si="181"/>
        <v>0</v>
      </c>
      <c r="S542" s="6">
        <f t="shared" si="182"/>
        <v>0</v>
      </c>
      <c r="T542" s="6">
        <f t="shared" si="183"/>
        <v>0</v>
      </c>
      <c r="U542" s="6">
        <f t="shared" si="184"/>
        <v>0</v>
      </c>
      <c r="V542" s="6">
        <f t="shared" si="185"/>
        <v>0</v>
      </c>
      <c r="W542" s="6">
        <f t="shared" si="186"/>
        <v>0</v>
      </c>
      <c r="X542" s="6">
        <f t="shared" si="187"/>
        <v>0</v>
      </c>
      <c r="Y542" s="6">
        <f t="shared" si="188"/>
        <v>0</v>
      </c>
      <c r="Z542" s="6">
        <f t="shared" si="189"/>
        <v>0</v>
      </c>
      <c r="AB542" s="36" t="str">
        <f>IF(最佳化斷筋點!C542="","",最佳化斷筋點!C542)</f>
        <v/>
      </c>
      <c r="AC542" s="37" t="str">
        <f>IF(最佳化斷筋點!D542="","",最佳化斷筋點!D542)</f>
        <v/>
      </c>
      <c r="AD542" s="37" t="str">
        <f>IF(最佳化斷筋點!E542="","",最佳化斷筋點!E542)</f>
        <v/>
      </c>
      <c r="AE542" s="37" t="str">
        <f>IF(最佳化斷筋點!F542="","",最佳化斷筋點!F542)</f>
        <v/>
      </c>
      <c r="AF542" s="37" t="str">
        <f>IF(最佳化斷筋點!G542="","",最佳化斷筋點!G542)</f>
        <v/>
      </c>
      <c r="AG542" s="37" t="str">
        <f>IF(最佳化斷筋點!H542="","",最佳化斷筋點!H542)</f>
        <v/>
      </c>
      <c r="AH542" s="37" t="str">
        <f>IF(最佳化斷筋點!I542="","",最佳化斷筋點!I542)</f>
        <v/>
      </c>
      <c r="AI542" s="37" t="str">
        <f>IF(最佳化斷筋點!J542="","",最佳化斷筋點!J542)</f>
        <v/>
      </c>
      <c r="AJ542" s="37" t="str">
        <f>IF(最佳化斷筋點!K542="","",最佳化斷筋點!K542)</f>
        <v/>
      </c>
      <c r="AK542" s="37" t="str">
        <f>IF(最佳化斷筋點!L542="","",最佳化斷筋點!L542)</f>
        <v/>
      </c>
      <c r="AL542" s="37" t="str">
        <f>IF(最佳化斷筋點!M542="","",最佳化斷筋點!M542)</f>
        <v/>
      </c>
      <c r="AM542" s="37" t="str">
        <f>IF(最佳化斷筋點!N542="","",最佳化斷筋點!N542)</f>
        <v/>
      </c>
      <c r="AN542" s="37" t="str">
        <f>IF(最佳化斷筋點!O542="","",最佳化斷筋點!O542)</f>
        <v/>
      </c>
      <c r="AO542" s="37" t="str">
        <f>IF(最佳化斷筋點!P542="","",最佳化斷筋點!P542)</f>
        <v/>
      </c>
      <c r="AP542" s="37" t="str">
        <f>IF(最佳化斷筋點!Q542="","",最佳化斷筋點!Q542)</f>
        <v/>
      </c>
      <c r="AQ542" s="37" t="str">
        <f>IF(最佳化斷筋點!R542="","",最佳化斷筋點!R542)</f>
        <v/>
      </c>
      <c r="AR542" s="37" t="str">
        <f>IF(最佳化斷筋點!S542="","",最佳化斷筋點!S542)</f>
        <v/>
      </c>
      <c r="AS542" s="37" t="str">
        <f>IF(最佳化斷筋點!T542="","",最佳化斷筋點!T542)</f>
        <v/>
      </c>
      <c r="AT542" s="37" t="str">
        <f>IF(最佳化斷筋點!U542="","",最佳化斷筋點!U542)</f>
        <v/>
      </c>
      <c r="AU542" s="37" t="str">
        <f>IF(最佳化斷筋點!V542="","",最佳化斷筋點!V542)</f>
        <v/>
      </c>
      <c r="AV542" s="37" t="str">
        <f>IF(最佳化斷筋點!W542="","",最佳化斷筋點!W542)</f>
        <v/>
      </c>
      <c r="AW542" s="37" t="str">
        <f>IF(最佳化斷筋點!X542="","",最佳化斷筋點!X542)</f>
        <v/>
      </c>
      <c r="AZ542" s="37" t="s">
        <v>197</v>
      </c>
      <c r="BA542" s="37" t="s">
        <v>197</v>
      </c>
      <c r="BB542" s="37" t="s">
        <v>197</v>
      </c>
      <c r="BC542" s="37" t="s">
        <v>197</v>
      </c>
      <c r="BD542" s="37" t="s">
        <v>197</v>
      </c>
      <c r="BE542" s="37" t="s">
        <v>197</v>
      </c>
      <c r="BF542" s="37" t="s">
        <v>197</v>
      </c>
      <c r="BG542" s="37" t="s">
        <v>197</v>
      </c>
      <c r="BH542" s="37" t="s">
        <v>197</v>
      </c>
      <c r="BI542" s="37" t="s">
        <v>197</v>
      </c>
      <c r="BJ542" s="37" t="s">
        <v>197</v>
      </c>
      <c r="BK542" s="37" t="s">
        <v>197</v>
      </c>
      <c r="BL542" s="37" t="s">
        <v>197</v>
      </c>
      <c r="BM542" s="37" t="s">
        <v>197</v>
      </c>
      <c r="BN542" s="37" t="s">
        <v>197</v>
      </c>
      <c r="BO542" s="37" t="s">
        <v>197</v>
      </c>
      <c r="BP542" s="37" t="s">
        <v>197</v>
      </c>
      <c r="BQ542" s="37" t="s">
        <v>197</v>
      </c>
      <c r="BR542" s="37" t="s">
        <v>197</v>
      </c>
      <c r="BS542" s="37" t="s">
        <v>197</v>
      </c>
      <c r="BT542" s="37" t="s">
        <v>197</v>
      </c>
    </row>
    <row r="543" spans="5:72" x14ac:dyDescent="0.25">
      <c r="E543" s="6" t="s">
        <v>20</v>
      </c>
      <c r="F543" s="6">
        <f t="shared" si="169"/>
        <v>0</v>
      </c>
      <c r="G543" s="6">
        <f t="shared" si="170"/>
        <v>0</v>
      </c>
      <c r="H543" s="6">
        <f t="shared" si="171"/>
        <v>0</v>
      </c>
      <c r="I543" s="6">
        <f t="shared" si="172"/>
        <v>0</v>
      </c>
      <c r="J543" s="6">
        <f t="shared" si="173"/>
        <v>0</v>
      </c>
      <c r="K543" s="6">
        <f t="shared" si="174"/>
        <v>0</v>
      </c>
      <c r="L543" s="6">
        <f t="shared" si="175"/>
        <v>0</v>
      </c>
      <c r="M543" s="6">
        <f t="shared" si="176"/>
        <v>0</v>
      </c>
      <c r="N543" s="6">
        <f t="shared" si="177"/>
        <v>0</v>
      </c>
      <c r="O543" s="6">
        <f t="shared" si="178"/>
        <v>0</v>
      </c>
      <c r="P543" s="6">
        <f t="shared" si="179"/>
        <v>0</v>
      </c>
      <c r="Q543" s="6">
        <f t="shared" si="180"/>
        <v>0</v>
      </c>
      <c r="R543" s="6">
        <f t="shared" si="181"/>
        <v>0</v>
      </c>
      <c r="S543" s="6">
        <f t="shared" si="182"/>
        <v>0</v>
      </c>
      <c r="T543" s="6">
        <f t="shared" si="183"/>
        <v>0</v>
      </c>
      <c r="U543" s="6">
        <f t="shared" si="184"/>
        <v>0</v>
      </c>
      <c r="V543" s="6">
        <f t="shared" si="185"/>
        <v>0</v>
      </c>
      <c r="W543" s="6">
        <f t="shared" si="186"/>
        <v>0</v>
      </c>
      <c r="X543" s="6">
        <f t="shared" si="187"/>
        <v>0</v>
      </c>
      <c r="Y543" s="6">
        <f t="shared" si="188"/>
        <v>0</v>
      </c>
      <c r="Z543" s="6">
        <f t="shared" si="189"/>
        <v>0</v>
      </c>
      <c r="AB543" s="36" t="str">
        <f>IF(最佳化斷筋點!C543="","",最佳化斷筋點!C543)</f>
        <v>上層</v>
      </c>
      <c r="AC543" s="37">
        <f>IF(最佳化斷筋點!D543="","",最佳化斷筋點!D543)</f>
        <v>7</v>
      </c>
      <c r="AD543" s="37">
        <f>IF(最佳化斷筋點!E543="","",最佳化斷筋點!E543)</f>
        <v>7</v>
      </c>
      <c r="AE543" s="37">
        <f>IF(最佳化斷筋點!F543="","",最佳化斷筋點!F543)</f>
        <v>7</v>
      </c>
      <c r="AF543" s="37">
        <f>IF(最佳化斷筋點!G543="","",最佳化斷筋點!G543)</f>
        <v>7</v>
      </c>
      <c r="AG543" s="37">
        <f>IF(最佳化斷筋點!H543="","",最佳化斷筋點!H543)</f>
        <v>7</v>
      </c>
      <c r="AH543" s="37">
        <f>IF(最佳化斷筋點!I543="","",最佳化斷筋點!I543)</f>
        <v>6</v>
      </c>
      <c r="AI543" s="37">
        <f>IF(最佳化斷筋點!J543="","",最佳化斷筋點!J543)</f>
        <v>6</v>
      </c>
      <c r="AJ543" s="37">
        <f>IF(最佳化斷筋點!K543="","",最佳化斷筋點!K543)</f>
        <v>3</v>
      </c>
      <c r="AK543" s="37">
        <f>IF(最佳化斷筋點!L543="","",最佳化斷筋點!L543)</f>
        <v>3</v>
      </c>
      <c r="AL543" s="37">
        <f>IF(最佳化斷筋點!M543="","",最佳化斷筋點!M543)</f>
        <v>3</v>
      </c>
      <c r="AM543" s="37">
        <f>IF(最佳化斷筋點!N543="","",最佳化斷筋點!N543)</f>
        <v>3</v>
      </c>
      <c r="AN543" s="37">
        <f>IF(最佳化斷筋點!O543="","",最佳化斷筋點!O543)</f>
        <v>3</v>
      </c>
      <c r="AO543" s="37">
        <f>IF(最佳化斷筋點!P543="","",最佳化斷筋點!P543)</f>
        <v>3</v>
      </c>
      <c r="AP543" s="37">
        <f>IF(最佳化斷筋點!Q543="","",最佳化斷筋點!Q543)</f>
        <v>5</v>
      </c>
      <c r="AQ543" s="37">
        <f>IF(最佳化斷筋點!R543="","",最佳化斷筋點!R543)</f>
        <v>6</v>
      </c>
      <c r="AR543" s="37">
        <f>IF(最佳化斷筋點!S543="","",最佳化斷筋點!S543)</f>
        <v>6</v>
      </c>
      <c r="AS543" s="37">
        <f>IF(最佳化斷筋點!T543="","",最佳化斷筋點!T543)</f>
        <v>7</v>
      </c>
      <c r="AT543" s="37">
        <f>IF(最佳化斷筋點!U543="","",最佳化斷筋點!U543)</f>
        <v>8</v>
      </c>
      <c r="AU543" s="37">
        <f>IF(最佳化斷筋點!V543="","",最佳化斷筋點!V543)</f>
        <v>8</v>
      </c>
      <c r="AV543" s="37">
        <f>IF(最佳化斷筋點!W543="","",最佳化斷筋點!W543)</f>
        <v>8</v>
      </c>
      <c r="AW543" s="37">
        <f>IF(最佳化斷筋點!X543="","",最佳化斷筋點!X543)</f>
        <v>8</v>
      </c>
      <c r="AY543" s="6" t="s">
        <v>20</v>
      </c>
      <c r="AZ543" s="37">
        <v>7</v>
      </c>
      <c r="BA543" s="37">
        <v>7</v>
      </c>
      <c r="BB543" s="37">
        <v>7</v>
      </c>
      <c r="BC543" s="37">
        <v>7</v>
      </c>
      <c r="BD543" s="37">
        <v>7</v>
      </c>
      <c r="BE543" s="37">
        <v>6</v>
      </c>
      <c r="BF543" s="37">
        <v>6</v>
      </c>
      <c r="BG543" s="37">
        <v>3</v>
      </c>
      <c r="BH543" s="37">
        <v>3</v>
      </c>
      <c r="BI543" s="37">
        <v>3</v>
      </c>
      <c r="BJ543" s="37">
        <v>3</v>
      </c>
      <c r="BK543" s="37">
        <v>3</v>
      </c>
      <c r="BL543" s="37">
        <v>3</v>
      </c>
      <c r="BM543" s="37">
        <v>5</v>
      </c>
      <c r="BN543" s="37">
        <v>6</v>
      </c>
      <c r="BO543" s="37">
        <v>6</v>
      </c>
      <c r="BP543" s="37">
        <v>7</v>
      </c>
      <c r="BQ543" s="37">
        <v>8</v>
      </c>
      <c r="BR543" s="37">
        <v>8</v>
      </c>
      <c r="BS543" s="37">
        <v>8</v>
      </c>
      <c r="BT543" s="37">
        <v>8</v>
      </c>
    </row>
    <row r="544" spans="5:72" x14ac:dyDescent="0.25">
      <c r="F544" s="6">
        <f t="shared" si="169"/>
        <v>0</v>
      </c>
      <c r="G544" s="6">
        <f t="shared" si="170"/>
        <v>0</v>
      </c>
      <c r="H544" s="6">
        <f t="shared" si="171"/>
        <v>0</v>
      </c>
      <c r="I544" s="6">
        <f t="shared" si="172"/>
        <v>0</v>
      </c>
      <c r="J544" s="6">
        <f t="shared" si="173"/>
        <v>0</v>
      </c>
      <c r="K544" s="6">
        <f t="shared" si="174"/>
        <v>0</v>
      </c>
      <c r="L544" s="6">
        <f t="shared" si="175"/>
        <v>0</v>
      </c>
      <c r="M544" s="6">
        <f t="shared" si="176"/>
        <v>0</v>
      </c>
      <c r="N544" s="6">
        <f t="shared" si="177"/>
        <v>0</v>
      </c>
      <c r="O544" s="6">
        <f t="shared" si="178"/>
        <v>0</v>
      </c>
      <c r="P544" s="6">
        <f t="shared" si="179"/>
        <v>0</v>
      </c>
      <c r="Q544" s="6">
        <f t="shared" si="180"/>
        <v>0</v>
      </c>
      <c r="R544" s="6">
        <f t="shared" si="181"/>
        <v>0</v>
      </c>
      <c r="S544" s="6">
        <f t="shared" si="182"/>
        <v>0</v>
      </c>
      <c r="T544" s="6">
        <f t="shared" si="183"/>
        <v>0</v>
      </c>
      <c r="U544" s="6">
        <f t="shared" si="184"/>
        <v>0</v>
      </c>
      <c r="V544" s="6">
        <f t="shared" si="185"/>
        <v>0</v>
      </c>
      <c r="W544" s="6">
        <f t="shared" si="186"/>
        <v>0</v>
      </c>
      <c r="X544" s="6">
        <f t="shared" si="187"/>
        <v>0</v>
      </c>
      <c r="Y544" s="6">
        <f t="shared" si="188"/>
        <v>0</v>
      </c>
      <c r="Z544" s="6">
        <f t="shared" si="189"/>
        <v>0</v>
      </c>
      <c r="AB544" s="36" t="str">
        <f>IF(最佳化斷筋點!C544="","",最佳化斷筋點!C544)</f>
        <v/>
      </c>
      <c r="AC544" s="37" t="str">
        <f>IF(最佳化斷筋點!D544="","",最佳化斷筋點!D544)</f>
        <v/>
      </c>
      <c r="AD544" s="37" t="str">
        <f>IF(最佳化斷筋點!E544="","",最佳化斷筋點!E544)</f>
        <v/>
      </c>
      <c r="AE544" s="37" t="str">
        <f>IF(最佳化斷筋點!F544="","",最佳化斷筋點!F544)</f>
        <v/>
      </c>
      <c r="AF544" s="37" t="str">
        <f>IF(最佳化斷筋點!G544="","",最佳化斷筋點!G544)</f>
        <v/>
      </c>
      <c r="AG544" s="37" t="str">
        <f>IF(最佳化斷筋點!H544="","",最佳化斷筋點!H544)</f>
        <v/>
      </c>
      <c r="AH544" s="37" t="str">
        <f>IF(最佳化斷筋點!I544="","",最佳化斷筋點!I544)</f>
        <v/>
      </c>
      <c r="AI544" s="37" t="str">
        <f>IF(最佳化斷筋點!J544="","",最佳化斷筋點!J544)</f>
        <v/>
      </c>
      <c r="AJ544" s="37" t="str">
        <f>IF(最佳化斷筋點!K544="","",最佳化斷筋點!K544)</f>
        <v/>
      </c>
      <c r="AK544" s="37" t="str">
        <f>IF(最佳化斷筋點!L544="","",最佳化斷筋點!L544)</f>
        <v/>
      </c>
      <c r="AL544" s="37" t="str">
        <f>IF(最佳化斷筋點!M544="","",最佳化斷筋點!M544)</f>
        <v/>
      </c>
      <c r="AM544" s="37" t="str">
        <f>IF(最佳化斷筋點!N544="","",最佳化斷筋點!N544)</f>
        <v/>
      </c>
      <c r="AN544" s="37" t="str">
        <f>IF(最佳化斷筋點!O544="","",最佳化斷筋點!O544)</f>
        <v/>
      </c>
      <c r="AO544" s="37" t="str">
        <f>IF(最佳化斷筋點!P544="","",最佳化斷筋點!P544)</f>
        <v/>
      </c>
      <c r="AP544" s="37" t="str">
        <f>IF(最佳化斷筋點!Q544="","",最佳化斷筋點!Q544)</f>
        <v/>
      </c>
      <c r="AQ544" s="37" t="str">
        <f>IF(最佳化斷筋點!R544="","",最佳化斷筋點!R544)</f>
        <v/>
      </c>
      <c r="AR544" s="37" t="str">
        <f>IF(最佳化斷筋點!S544="","",最佳化斷筋點!S544)</f>
        <v/>
      </c>
      <c r="AS544" s="37" t="str">
        <f>IF(最佳化斷筋點!T544="","",最佳化斷筋點!T544)</f>
        <v/>
      </c>
      <c r="AT544" s="37" t="str">
        <f>IF(最佳化斷筋點!U544="","",最佳化斷筋點!U544)</f>
        <v/>
      </c>
      <c r="AU544" s="37" t="str">
        <f>IF(最佳化斷筋點!V544="","",最佳化斷筋點!V544)</f>
        <v/>
      </c>
      <c r="AV544" s="37" t="str">
        <f>IF(最佳化斷筋點!W544="","",最佳化斷筋點!W544)</f>
        <v/>
      </c>
      <c r="AW544" s="37" t="str">
        <f>IF(最佳化斷筋點!X544="","",最佳化斷筋點!X544)</f>
        <v/>
      </c>
      <c r="AZ544" s="37" t="s">
        <v>197</v>
      </c>
      <c r="BA544" s="37" t="s">
        <v>197</v>
      </c>
      <c r="BB544" s="37" t="s">
        <v>197</v>
      </c>
      <c r="BC544" s="37" t="s">
        <v>197</v>
      </c>
      <c r="BD544" s="37" t="s">
        <v>197</v>
      </c>
      <c r="BE544" s="37" t="s">
        <v>197</v>
      </c>
      <c r="BF544" s="37" t="s">
        <v>197</v>
      </c>
      <c r="BG544" s="37" t="s">
        <v>197</v>
      </c>
      <c r="BH544" s="37" t="s">
        <v>197</v>
      </c>
      <c r="BI544" s="37" t="s">
        <v>197</v>
      </c>
      <c r="BJ544" s="37" t="s">
        <v>197</v>
      </c>
      <c r="BK544" s="37" t="s">
        <v>197</v>
      </c>
      <c r="BL544" s="37" t="s">
        <v>197</v>
      </c>
      <c r="BM544" s="37" t="s">
        <v>197</v>
      </c>
      <c r="BN544" s="37" t="s">
        <v>197</v>
      </c>
      <c r="BO544" s="37" t="s">
        <v>197</v>
      </c>
      <c r="BP544" s="37" t="s">
        <v>197</v>
      </c>
      <c r="BQ544" s="37" t="s">
        <v>197</v>
      </c>
      <c r="BR544" s="37" t="s">
        <v>197</v>
      </c>
      <c r="BS544" s="37" t="s">
        <v>197</v>
      </c>
      <c r="BT544" s="37" t="s">
        <v>197</v>
      </c>
    </row>
    <row r="545" spans="5:72" x14ac:dyDescent="0.25">
      <c r="E545" s="6" t="s">
        <v>21</v>
      </c>
      <c r="F545" s="6">
        <f t="shared" si="169"/>
        <v>0</v>
      </c>
      <c r="G545" s="6">
        <f t="shared" si="170"/>
        <v>0</v>
      </c>
      <c r="H545" s="6">
        <f t="shared" si="171"/>
        <v>0</v>
      </c>
      <c r="I545" s="6">
        <f t="shared" si="172"/>
        <v>0</v>
      </c>
      <c r="J545" s="6">
        <f t="shared" si="173"/>
        <v>0</v>
      </c>
      <c r="K545" s="6">
        <f t="shared" si="174"/>
        <v>0</v>
      </c>
      <c r="L545" s="6">
        <f t="shared" si="175"/>
        <v>0</v>
      </c>
      <c r="M545" s="6">
        <f t="shared" si="176"/>
        <v>0</v>
      </c>
      <c r="N545" s="6">
        <f t="shared" si="177"/>
        <v>0</v>
      </c>
      <c r="O545" s="6">
        <f t="shared" si="178"/>
        <v>0</v>
      </c>
      <c r="P545" s="6">
        <f t="shared" si="179"/>
        <v>0</v>
      </c>
      <c r="Q545" s="6">
        <f t="shared" si="180"/>
        <v>0</v>
      </c>
      <c r="R545" s="6">
        <f t="shared" si="181"/>
        <v>0</v>
      </c>
      <c r="S545" s="6">
        <f t="shared" si="182"/>
        <v>0</v>
      </c>
      <c r="T545" s="6">
        <f t="shared" si="183"/>
        <v>0</v>
      </c>
      <c r="U545" s="6">
        <f t="shared" si="184"/>
        <v>0</v>
      </c>
      <c r="V545" s="6">
        <f t="shared" si="185"/>
        <v>0</v>
      </c>
      <c r="W545" s="6">
        <f t="shared" si="186"/>
        <v>0</v>
      </c>
      <c r="X545" s="6">
        <f t="shared" si="187"/>
        <v>0</v>
      </c>
      <c r="Y545" s="6">
        <f t="shared" si="188"/>
        <v>0</v>
      </c>
      <c r="Z545" s="6">
        <f t="shared" si="189"/>
        <v>0</v>
      </c>
      <c r="AB545" s="36" t="str">
        <f>IF(最佳化斷筋點!C545="","",最佳化斷筋點!C545)</f>
        <v>下層</v>
      </c>
      <c r="AC545" s="37">
        <f>IF(最佳化斷筋點!D545="","",最佳化斷筋點!D545)</f>
        <v>5</v>
      </c>
      <c r="AD545" s="37">
        <f>IF(最佳化斷筋點!E545="","",最佳化斷筋點!E545)</f>
        <v>5</v>
      </c>
      <c r="AE545" s="37">
        <f>IF(最佳化斷筋點!F545="","",最佳化斷筋點!F545)</f>
        <v>5</v>
      </c>
      <c r="AF545" s="37">
        <f>IF(最佳化斷筋點!G545="","",最佳化斷筋點!G545)</f>
        <v>5</v>
      </c>
      <c r="AG545" s="37">
        <f>IF(最佳化斷筋點!H545="","",最佳化斷筋點!H545)</f>
        <v>5</v>
      </c>
      <c r="AH545" s="37">
        <f>IF(最佳化斷筋點!I545="","",最佳化斷筋點!I545)</f>
        <v>4</v>
      </c>
      <c r="AI545" s="37">
        <f>IF(最佳化斷筋點!J545="","",最佳化斷筋點!J545)</f>
        <v>4</v>
      </c>
      <c r="AJ545" s="37">
        <f>IF(最佳化斷筋點!K545="","",最佳化斷筋點!K545)</f>
        <v>4</v>
      </c>
      <c r="AK545" s="37">
        <f>IF(最佳化斷筋點!L545="","",最佳化斷筋點!L545)</f>
        <v>4</v>
      </c>
      <c r="AL545" s="37">
        <f>IF(最佳化斷筋點!M545="","",最佳化斷筋點!M545)</f>
        <v>4</v>
      </c>
      <c r="AM545" s="37">
        <f>IF(最佳化斷筋點!N545="","",最佳化斷筋點!N545)</f>
        <v>4</v>
      </c>
      <c r="AN545" s="37">
        <f>IF(最佳化斷筋點!O545="","",最佳化斷筋點!O545)</f>
        <v>4</v>
      </c>
      <c r="AO545" s="37">
        <f>IF(最佳化斷筋點!P545="","",最佳化斷筋點!P545)</f>
        <v>4</v>
      </c>
      <c r="AP545" s="37">
        <f>IF(最佳化斷筋點!Q545="","",最佳化斷筋點!Q545)</f>
        <v>4</v>
      </c>
      <c r="AQ545" s="37">
        <f>IF(最佳化斷筋點!R545="","",最佳化斷筋點!R545)</f>
        <v>4</v>
      </c>
      <c r="AR545" s="37">
        <f>IF(最佳化斷筋點!S545="","",最佳化斷筋點!S545)</f>
        <v>4</v>
      </c>
      <c r="AS545" s="37">
        <f>IF(最佳化斷筋點!T545="","",最佳化斷筋點!T545)</f>
        <v>5</v>
      </c>
      <c r="AT545" s="37">
        <f>IF(最佳化斷筋點!U545="","",最佳化斷筋點!U545)</f>
        <v>5</v>
      </c>
      <c r="AU545" s="37">
        <f>IF(最佳化斷筋點!V545="","",最佳化斷筋點!V545)</f>
        <v>6</v>
      </c>
      <c r="AV545" s="37">
        <f>IF(最佳化斷筋點!W545="","",最佳化斷筋點!W545)</f>
        <v>6</v>
      </c>
      <c r="AW545" s="37">
        <f>IF(最佳化斷筋點!X545="","",最佳化斷筋點!X545)</f>
        <v>6</v>
      </c>
      <c r="AY545" s="6" t="s">
        <v>21</v>
      </c>
      <c r="AZ545" s="37">
        <v>5</v>
      </c>
      <c r="BA545" s="37">
        <v>5</v>
      </c>
      <c r="BB545" s="37">
        <v>5</v>
      </c>
      <c r="BC545" s="37">
        <v>5</v>
      </c>
      <c r="BD545" s="37">
        <v>5</v>
      </c>
      <c r="BE545" s="37">
        <v>4</v>
      </c>
      <c r="BF545" s="37">
        <v>4</v>
      </c>
      <c r="BG545" s="37">
        <v>4</v>
      </c>
      <c r="BH545" s="37">
        <v>4</v>
      </c>
      <c r="BI545" s="37">
        <v>4</v>
      </c>
      <c r="BJ545" s="37">
        <v>4</v>
      </c>
      <c r="BK545" s="37">
        <v>4</v>
      </c>
      <c r="BL545" s="37">
        <v>4</v>
      </c>
      <c r="BM545" s="37">
        <v>4</v>
      </c>
      <c r="BN545" s="37">
        <v>4</v>
      </c>
      <c r="BO545" s="37">
        <v>4</v>
      </c>
      <c r="BP545" s="37">
        <v>5</v>
      </c>
      <c r="BQ545" s="37">
        <v>5</v>
      </c>
      <c r="BR545" s="37">
        <v>6</v>
      </c>
      <c r="BS545" s="37">
        <v>6</v>
      </c>
      <c r="BT545" s="37">
        <v>6</v>
      </c>
    </row>
    <row r="546" spans="5:72" x14ac:dyDescent="0.25">
      <c r="F546" s="6">
        <f t="shared" si="169"/>
        <v>0</v>
      </c>
      <c r="G546" s="6">
        <f t="shared" si="170"/>
        <v>0</v>
      </c>
      <c r="H546" s="6">
        <f t="shared" si="171"/>
        <v>0</v>
      </c>
      <c r="I546" s="6">
        <f t="shared" si="172"/>
        <v>0</v>
      </c>
      <c r="J546" s="6">
        <f t="shared" si="173"/>
        <v>0</v>
      </c>
      <c r="K546" s="6">
        <f t="shared" si="174"/>
        <v>0</v>
      </c>
      <c r="L546" s="6">
        <f t="shared" si="175"/>
        <v>0</v>
      </c>
      <c r="M546" s="6">
        <f t="shared" si="176"/>
        <v>0</v>
      </c>
      <c r="N546" s="6">
        <f t="shared" si="177"/>
        <v>0</v>
      </c>
      <c r="O546" s="6">
        <f t="shared" si="178"/>
        <v>0</v>
      </c>
      <c r="P546" s="6">
        <f t="shared" si="179"/>
        <v>0</v>
      </c>
      <c r="Q546" s="6">
        <f t="shared" si="180"/>
        <v>0</v>
      </c>
      <c r="R546" s="6">
        <f t="shared" si="181"/>
        <v>0</v>
      </c>
      <c r="S546" s="6">
        <f t="shared" si="182"/>
        <v>0</v>
      </c>
      <c r="T546" s="6">
        <f t="shared" si="183"/>
        <v>0</v>
      </c>
      <c r="U546" s="6">
        <f t="shared" si="184"/>
        <v>0</v>
      </c>
      <c r="V546" s="6">
        <f t="shared" si="185"/>
        <v>0</v>
      </c>
      <c r="W546" s="6">
        <f t="shared" si="186"/>
        <v>0</v>
      </c>
      <c r="X546" s="6">
        <f t="shared" si="187"/>
        <v>0</v>
      </c>
      <c r="Y546" s="6">
        <f t="shared" si="188"/>
        <v>0</v>
      </c>
      <c r="Z546" s="6">
        <f t="shared" si="189"/>
        <v>0</v>
      </c>
      <c r="AB546" s="36" t="str">
        <f>IF(最佳化斷筋點!C546="","",最佳化斷筋點!C546)</f>
        <v/>
      </c>
      <c r="AC546" s="37" t="str">
        <f>IF(最佳化斷筋點!D546="","",最佳化斷筋點!D546)</f>
        <v/>
      </c>
      <c r="AD546" s="37" t="str">
        <f>IF(最佳化斷筋點!E546="","",最佳化斷筋點!E546)</f>
        <v/>
      </c>
      <c r="AE546" s="37" t="str">
        <f>IF(最佳化斷筋點!F546="","",最佳化斷筋點!F546)</f>
        <v/>
      </c>
      <c r="AF546" s="37" t="str">
        <f>IF(最佳化斷筋點!G546="","",最佳化斷筋點!G546)</f>
        <v/>
      </c>
      <c r="AG546" s="37" t="str">
        <f>IF(最佳化斷筋點!H546="","",最佳化斷筋點!H546)</f>
        <v/>
      </c>
      <c r="AH546" s="37" t="str">
        <f>IF(最佳化斷筋點!I546="","",最佳化斷筋點!I546)</f>
        <v/>
      </c>
      <c r="AI546" s="37" t="str">
        <f>IF(最佳化斷筋點!J546="","",最佳化斷筋點!J546)</f>
        <v/>
      </c>
      <c r="AJ546" s="37" t="str">
        <f>IF(最佳化斷筋點!K546="","",最佳化斷筋點!K546)</f>
        <v/>
      </c>
      <c r="AK546" s="37" t="str">
        <f>IF(最佳化斷筋點!L546="","",最佳化斷筋點!L546)</f>
        <v/>
      </c>
      <c r="AL546" s="37" t="str">
        <f>IF(最佳化斷筋點!M546="","",最佳化斷筋點!M546)</f>
        <v/>
      </c>
      <c r="AM546" s="37" t="str">
        <f>IF(最佳化斷筋點!N546="","",最佳化斷筋點!N546)</f>
        <v/>
      </c>
      <c r="AN546" s="37" t="str">
        <f>IF(最佳化斷筋點!O546="","",最佳化斷筋點!O546)</f>
        <v/>
      </c>
      <c r="AO546" s="37" t="str">
        <f>IF(最佳化斷筋點!P546="","",最佳化斷筋點!P546)</f>
        <v/>
      </c>
      <c r="AP546" s="37" t="str">
        <f>IF(最佳化斷筋點!Q546="","",最佳化斷筋點!Q546)</f>
        <v/>
      </c>
      <c r="AQ546" s="37" t="str">
        <f>IF(最佳化斷筋點!R546="","",最佳化斷筋點!R546)</f>
        <v/>
      </c>
      <c r="AR546" s="37" t="str">
        <f>IF(最佳化斷筋點!S546="","",最佳化斷筋點!S546)</f>
        <v/>
      </c>
      <c r="AS546" s="37" t="str">
        <f>IF(最佳化斷筋點!T546="","",最佳化斷筋點!T546)</f>
        <v/>
      </c>
      <c r="AT546" s="37" t="str">
        <f>IF(最佳化斷筋點!U546="","",最佳化斷筋點!U546)</f>
        <v/>
      </c>
      <c r="AU546" s="37" t="str">
        <f>IF(最佳化斷筋點!V546="","",最佳化斷筋點!V546)</f>
        <v/>
      </c>
      <c r="AV546" s="37" t="str">
        <f>IF(最佳化斷筋點!W546="","",最佳化斷筋點!W546)</f>
        <v/>
      </c>
      <c r="AW546" s="37" t="str">
        <f>IF(最佳化斷筋點!X546="","",最佳化斷筋點!X546)</f>
        <v/>
      </c>
      <c r="AZ546" s="37" t="s">
        <v>197</v>
      </c>
      <c r="BA546" s="37" t="s">
        <v>197</v>
      </c>
      <c r="BB546" s="37" t="s">
        <v>197</v>
      </c>
      <c r="BC546" s="37" t="s">
        <v>197</v>
      </c>
      <c r="BD546" s="37" t="s">
        <v>197</v>
      </c>
      <c r="BE546" s="37" t="s">
        <v>197</v>
      </c>
      <c r="BF546" s="37" t="s">
        <v>197</v>
      </c>
      <c r="BG546" s="37" t="s">
        <v>197</v>
      </c>
      <c r="BH546" s="37" t="s">
        <v>197</v>
      </c>
      <c r="BI546" s="37" t="s">
        <v>197</v>
      </c>
      <c r="BJ546" s="37" t="s">
        <v>197</v>
      </c>
      <c r="BK546" s="37" t="s">
        <v>197</v>
      </c>
      <c r="BL546" s="37" t="s">
        <v>197</v>
      </c>
      <c r="BM546" s="37" t="s">
        <v>197</v>
      </c>
      <c r="BN546" s="37" t="s">
        <v>197</v>
      </c>
      <c r="BO546" s="37" t="s">
        <v>197</v>
      </c>
      <c r="BP546" s="37" t="s">
        <v>197</v>
      </c>
      <c r="BQ546" s="37" t="s">
        <v>197</v>
      </c>
      <c r="BR546" s="37" t="s">
        <v>197</v>
      </c>
      <c r="BS546" s="37" t="s">
        <v>197</v>
      </c>
      <c r="BT546" s="37" t="s">
        <v>197</v>
      </c>
    </row>
    <row r="547" spans="5:72" x14ac:dyDescent="0.25">
      <c r="E547" s="6" t="s">
        <v>20</v>
      </c>
      <c r="F547" s="6">
        <f t="shared" si="169"/>
        <v>0</v>
      </c>
      <c r="G547" s="6">
        <f t="shared" si="170"/>
        <v>0</v>
      </c>
      <c r="H547" s="6">
        <f t="shared" si="171"/>
        <v>0</v>
      </c>
      <c r="I547" s="6">
        <f t="shared" si="172"/>
        <v>0</v>
      </c>
      <c r="J547" s="6">
        <f t="shared" si="173"/>
        <v>0</v>
      </c>
      <c r="K547" s="6">
        <f t="shared" si="174"/>
        <v>0</v>
      </c>
      <c r="L547" s="6">
        <f t="shared" si="175"/>
        <v>0</v>
      </c>
      <c r="M547" s="6">
        <f t="shared" si="176"/>
        <v>0</v>
      </c>
      <c r="N547" s="6">
        <f t="shared" si="177"/>
        <v>0</v>
      </c>
      <c r="O547" s="6">
        <f t="shared" si="178"/>
        <v>0</v>
      </c>
      <c r="P547" s="6">
        <f t="shared" si="179"/>
        <v>0</v>
      </c>
      <c r="Q547" s="6">
        <f t="shared" si="180"/>
        <v>0</v>
      </c>
      <c r="R547" s="6">
        <f t="shared" si="181"/>
        <v>0</v>
      </c>
      <c r="S547" s="6">
        <f t="shared" si="182"/>
        <v>0</v>
      </c>
      <c r="T547" s="6">
        <f t="shared" si="183"/>
        <v>0</v>
      </c>
      <c r="U547" s="6">
        <f t="shared" si="184"/>
        <v>0</v>
      </c>
      <c r="V547" s="6">
        <f t="shared" si="185"/>
        <v>0</v>
      </c>
      <c r="W547" s="6">
        <f t="shared" si="186"/>
        <v>0</v>
      </c>
      <c r="X547" s="6">
        <f t="shared" si="187"/>
        <v>0</v>
      </c>
      <c r="Y547" s="6">
        <f t="shared" si="188"/>
        <v>0</v>
      </c>
      <c r="Z547" s="6">
        <f t="shared" si="189"/>
        <v>0</v>
      </c>
      <c r="AB547" s="36" t="str">
        <f>IF(最佳化斷筋點!C547="","",最佳化斷筋點!C547)</f>
        <v>上層</v>
      </c>
      <c r="AC547" s="37">
        <f>IF(最佳化斷筋點!D547="","",最佳化斷筋點!D547)</f>
        <v>8</v>
      </c>
      <c r="AD547" s="37">
        <f>IF(最佳化斷筋點!E547="","",最佳化斷筋點!E547)</f>
        <v>8</v>
      </c>
      <c r="AE547" s="37">
        <f>IF(最佳化斷筋點!F547="","",最佳化斷筋點!F547)</f>
        <v>8</v>
      </c>
      <c r="AF547" s="37">
        <f>IF(最佳化斷筋點!G547="","",最佳化斷筋點!G547)</f>
        <v>8</v>
      </c>
      <c r="AG547" s="37">
        <f>IF(最佳化斷筋點!H547="","",最佳化斷筋點!H547)</f>
        <v>8</v>
      </c>
      <c r="AH547" s="37">
        <f>IF(最佳化斷筋點!I547="","",最佳化斷筋點!I547)</f>
        <v>8</v>
      </c>
      <c r="AI547" s="37">
        <f>IF(最佳化斷筋點!J547="","",最佳化斷筋點!J547)</f>
        <v>8</v>
      </c>
      <c r="AJ547" s="37">
        <f>IF(最佳化斷筋點!K547="","",最佳化斷筋點!K547)</f>
        <v>8</v>
      </c>
      <c r="AK547" s="37">
        <f>IF(最佳化斷筋點!L547="","",最佳化斷筋點!L547)</f>
        <v>7</v>
      </c>
      <c r="AL547" s="37">
        <f>IF(最佳化斷筋點!M547="","",最佳化斷筋點!M547)</f>
        <v>6</v>
      </c>
      <c r="AM547" s="37">
        <f>IF(最佳化斷筋點!N547="","",最佳化斷筋點!N547)</f>
        <v>6</v>
      </c>
      <c r="AN547" s="37">
        <f>IF(最佳化斷筋點!O547="","",最佳化斷筋點!O547)</f>
        <v>6</v>
      </c>
      <c r="AO547" s="37">
        <f>IF(最佳化斷筋點!P547="","",最佳化斷筋點!P547)</f>
        <v>6</v>
      </c>
      <c r="AP547" s="37">
        <f>IF(最佳化斷筋點!Q547="","",最佳化斷筋點!Q547)</f>
        <v>7</v>
      </c>
      <c r="AQ547" s="37">
        <f>IF(最佳化斷筋點!R547="","",最佳化斷筋點!R547)</f>
        <v>8</v>
      </c>
      <c r="AR547" s="37">
        <f>IF(最佳化斷筋點!S547="","",最佳化斷筋點!S547)</f>
        <v>8</v>
      </c>
      <c r="AS547" s="37">
        <f>IF(最佳化斷筋點!T547="","",最佳化斷筋點!T547)</f>
        <v>8</v>
      </c>
      <c r="AT547" s="37">
        <f>IF(最佳化斷筋點!U547="","",最佳化斷筋點!U547)</f>
        <v>8</v>
      </c>
      <c r="AU547" s="37">
        <f>IF(最佳化斷筋點!V547="","",最佳化斷筋點!V547)</f>
        <v>8</v>
      </c>
      <c r="AV547" s="37">
        <f>IF(最佳化斷筋點!W547="","",最佳化斷筋點!W547)</f>
        <v>8</v>
      </c>
      <c r="AW547" s="37">
        <f>IF(最佳化斷筋點!X547="","",最佳化斷筋點!X547)</f>
        <v>8</v>
      </c>
      <c r="AY547" s="6" t="s">
        <v>20</v>
      </c>
      <c r="AZ547" s="37">
        <v>8</v>
      </c>
      <c r="BA547" s="37">
        <v>8</v>
      </c>
      <c r="BB547" s="37">
        <v>8</v>
      </c>
      <c r="BC547" s="37">
        <v>8</v>
      </c>
      <c r="BD547" s="37">
        <v>8</v>
      </c>
      <c r="BE547" s="37">
        <v>8</v>
      </c>
      <c r="BF547" s="37">
        <v>8</v>
      </c>
      <c r="BG547" s="37">
        <v>8</v>
      </c>
      <c r="BH547" s="37">
        <v>7</v>
      </c>
      <c r="BI547" s="37">
        <v>6</v>
      </c>
      <c r="BJ547" s="37">
        <v>6</v>
      </c>
      <c r="BK547" s="37">
        <v>6</v>
      </c>
      <c r="BL547" s="37">
        <v>6</v>
      </c>
      <c r="BM547" s="37">
        <v>7</v>
      </c>
      <c r="BN547" s="37">
        <v>8</v>
      </c>
      <c r="BO547" s="37">
        <v>8</v>
      </c>
      <c r="BP547" s="37">
        <v>8</v>
      </c>
      <c r="BQ547" s="37">
        <v>8</v>
      </c>
      <c r="BR547" s="37">
        <v>8</v>
      </c>
      <c r="BS547" s="37">
        <v>8</v>
      </c>
      <c r="BT547" s="37">
        <v>8</v>
      </c>
    </row>
    <row r="548" spans="5:72" x14ac:dyDescent="0.25">
      <c r="F548" s="6">
        <f t="shared" si="169"/>
        <v>0</v>
      </c>
      <c r="G548" s="6">
        <f t="shared" si="170"/>
        <v>0</v>
      </c>
      <c r="H548" s="6">
        <f t="shared" si="171"/>
        <v>0</v>
      </c>
      <c r="I548" s="6">
        <f t="shared" si="172"/>
        <v>0</v>
      </c>
      <c r="J548" s="6">
        <f t="shared" si="173"/>
        <v>0</v>
      </c>
      <c r="K548" s="6">
        <f t="shared" si="174"/>
        <v>0</v>
      </c>
      <c r="L548" s="6">
        <f t="shared" si="175"/>
        <v>0</v>
      </c>
      <c r="M548" s="6">
        <f t="shared" si="176"/>
        <v>0</v>
      </c>
      <c r="N548" s="6">
        <f t="shared" si="177"/>
        <v>0</v>
      </c>
      <c r="O548" s="6">
        <f t="shared" si="178"/>
        <v>0</v>
      </c>
      <c r="P548" s="6">
        <f t="shared" si="179"/>
        <v>0</v>
      </c>
      <c r="Q548" s="6">
        <f t="shared" si="180"/>
        <v>0</v>
      </c>
      <c r="R548" s="6">
        <f t="shared" si="181"/>
        <v>0</v>
      </c>
      <c r="S548" s="6">
        <f t="shared" si="182"/>
        <v>0</v>
      </c>
      <c r="T548" s="6">
        <f t="shared" si="183"/>
        <v>0</v>
      </c>
      <c r="U548" s="6">
        <f t="shared" si="184"/>
        <v>0</v>
      </c>
      <c r="V548" s="6">
        <f t="shared" si="185"/>
        <v>0</v>
      </c>
      <c r="W548" s="6">
        <f t="shared" si="186"/>
        <v>0</v>
      </c>
      <c r="X548" s="6">
        <f t="shared" si="187"/>
        <v>0</v>
      </c>
      <c r="Y548" s="6">
        <f t="shared" si="188"/>
        <v>0</v>
      </c>
      <c r="Z548" s="6">
        <f t="shared" si="189"/>
        <v>0</v>
      </c>
      <c r="AB548" s="36" t="str">
        <f>IF(最佳化斷筋點!C548="","",最佳化斷筋點!C548)</f>
        <v/>
      </c>
      <c r="AC548" s="37" t="str">
        <f>IF(最佳化斷筋點!D548="","",最佳化斷筋點!D548)</f>
        <v/>
      </c>
      <c r="AD548" s="37" t="str">
        <f>IF(最佳化斷筋點!E548="","",最佳化斷筋點!E548)</f>
        <v/>
      </c>
      <c r="AE548" s="37" t="str">
        <f>IF(最佳化斷筋點!F548="","",最佳化斷筋點!F548)</f>
        <v/>
      </c>
      <c r="AF548" s="37" t="str">
        <f>IF(最佳化斷筋點!G548="","",最佳化斷筋點!G548)</f>
        <v/>
      </c>
      <c r="AG548" s="37" t="str">
        <f>IF(最佳化斷筋點!H548="","",最佳化斷筋點!H548)</f>
        <v/>
      </c>
      <c r="AH548" s="37" t="str">
        <f>IF(最佳化斷筋點!I548="","",最佳化斷筋點!I548)</f>
        <v/>
      </c>
      <c r="AI548" s="37" t="str">
        <f>IF(最佳化斷筋點!J548="","",最佳化斷筋點!J548)</f>
        <v/>
      </c>
      <c r="AJ548" s="37" t="str">
        <f>IF(最佳化斷筋點!K548="","",最佳化斷筋點!K548)</f>
        <v/>
      </c>
      <c r="AK548" s="37" t="str">
        <f>IF(最佳化斷筋點!L548="","",最佳化斷筋點!L548)</f>
        <v/>
      </c>
      <c r="AL548" s="37" t="str">
        <f>IF(最佳化斷筋點!M548="","",最佳化斷筋點!M548)</f>
        <v/>
      </c>
      <c r="AM548" s="37" t="str">
        <f>IF(最佳化斷筋點!N548="","",最佳化斷筋點!N548)</f>
        <v/>
      </c>
      <c r="AN548" s="37" t="str">
        <f>IF(最佳化斷筋點!O548="","",最佳化斷筋點!O548)</f>
        <v/>
      </c>
      <c r="AO548" s="37" t="str">
        <f>IF(最佳化斷筋點!P548="","",最佳化斷筋點!P548)</f>
        <v/>
      </c>
      <c r="AP548" s="37" t="str">
        <f>IF(最佳化斷筋點!Q548="","",最佳化斷筋點!Q548)</f>
        <v/>
      </c>
      <c r="AQ548" s="37" t="str">
        <f>IF(最佳化斷筋點!R548="","",最佳化斷筋點!R548)</f>
        <v/>
      </c>
      <c r="AR548" s="37" t="str">
        <f>IF(最佳化斷筋點!S548="","",最佳化斷筋點!S548)</f>
        <v/>
      </c>
      <c r="AS548" s="37" t="str">
        <f>IF(最佳化斷筋點!T548="","",最佳化斷筋點!T548)</f>
        <v/>
      </c>
      <c r="AT548" s="37" t="str">
        <f>IF(最佳化斷筋點!U548="","",最佳化斷筋點!U548)</f>
        <v/>
      </c>
      <c r="AU548" s="37" t="str">
        <f>IF(最佳化斷筋點!V548="","",最佳化斷筋點!V548)</f>
        <v/>
      </c>
      <c r="AV548" s="37" t="str">
        <f>IF(最佳化斷筋點!W548="","",最佳化斷筋點!W548)</f>
        <v/>
      </c>
      <c r="AW548" s="37" t="str">
        <f>IF(最佳化斷筋點!X548="","",最佳化斷筋點!X548)</f>
        <v/>
      </c>
      <c r="AZ548" s="37" t="s">
        <v>197</v>
      </c>
      <c r="BA548" s="37" t="s">
        <v>197</v>
      </c>
      <c r="BB548" s="37" t="s">
        <v>197</v>
      </c>
      <c r="BC548" s="37" t="s">
        <v>197</v>
      </c>
      <c r="BD548" s="37" t="s">
        <v>197</v>
      </c>
      <c r="BE548" s="37" t="s">
        <v>197</v>
      </c>
      <c r="BF548" s="37" t="s">
        <v>197</v>
      </c>
      <c r="BG548" s="37" t="s">
        <v>197</v>
      </c>
      <c r="BH548" s="37" t="s">
        <v>197</v>
      </c>
      <c r="BI548" s="37" t="s">
        <v>197</v>
      </c>
      <c r="BJ548" s="37" t="s">
        <v>197</v>
      </c>
      <c r="BK548" s="37" t="s">
        <v>197</v>
      </c>
      <c r="BL548" s="37" t="s">
        <v>197</v>
      </c>
      <c r="BM548" s="37" t="s">
        <v>197</v>
      </c>
      <c r="BN548" s="37" t="s">
        <v>197</v>
      </c>
      <c r="BO548" s="37" t="s">
        <v>197</v>
      </c>
      <c r="BP548" s="37" t="s">
        <v>197</v>
      </c>
      <c r="BQ548" s="37" t="s">
        <v>197</v>
      </c>
      <c r="BR548" s="37" t="s">
        <v>197</v>
      </c>
      <c r="BS548" s="37" t="s">
        <v>197</v>
      </c>
      <c r="BT548" s="37" t="s">
        <v>197</v>
      </c>
    </row>
    <row r="549" spans="5:72" x14ac:dyDescent="0.25">
      <c r="E549" s="6" t="s">
        <v>21</v>
      </c>
      <c r="F549" s="6">
        <f t="shared" si="169"/>
        <v>0</v>
      </c>
      <c r="G549" s="6">
        <f t="shared" si="170"/>
        <v>0</v>
      </c>
      <c r="H549" s="6">
        <f t="shared" si="171"/>
        <v>0</v>
      </c>
      <c r="I549" s="6">
        <f t="shared" si="172"/>
        <v>0</v>
      </c>
      <c r="J549" s="6">
        <f t="shared" si="173"/>
        <v>0</v>
      </c>
      <c r="K549" s="6">
        <f t="shared" si="174"/>
        <v>0</v>
      </c>
      <c r="L549" s="6">
        <f t="shared" si="175"/>
        <v>0</v>
      </c>
      <c r="M549" s="6">
        <f t="shared" si="176"/>
        <v>0</v>
      </c>
      <c r="N549" s="6">
        <f t="shared" si="177"/>
        <v>0</v>
      </c>
      <c r="O549" s="6">
        <f t="shared" si="178"/>
        <v>0</v>
      </c>
      <c r="P549" s="6">
        <f t="shared" si="179"/>
        <v>0</v>
      </c>
      <c r="Q549" s="6">
        <f t="shared" si="180"/>
        <v>0</v>
      </c>
      <c r="R549" s="6">
        <f t="shared" si="181"/>
        <v>0</v>
      </c>
      <c r="S549" s="6">
        <f t="shared" si="182"/>
        <v>0</v>
      </c>
      <c r="T549" s="6">
        <f t="shared" si="183"/>
        <v>0</v>
      </c>
      <c r="U549" s="6">
        <f t="shared" si="184"/>
        <v>0</v>
      </c>
      <c r="V549" s="6">
        <f t="shared" si="185"/>
        <v>0</v>
      </c>
      <c r="W549" s="6">
        <f t="shared" si="186"/>
        <v>0</v>
      </c>
      <c r="X549" s="6">
        <f t="shared" si="187"/>
        <v>0</v>
      </c>
      <c r="Y549" s="6">
        <f t="shared" si="188"/>
        <v>0</v>
      </c>
      <c r="Z549" s="6">
        <f t="shared" si="189"/>
        <v>0</v>
      </c>
      <c r="AB549" s="36" t="str">
        <f>IF(最佳化斷筋點!C549="","",最佳化斷筋點!C549)</f>
        <v>下層</v>
      </c>
      <c r="AC549" s="37">
        <f>IF(最佳化斷筋點!D549="","",最佳化斷筋點!D549)</f>
        <v>11</v>
      </c>
      <c r="AD549" s="37">
        <f>IF(最佳化斷筋點!E549="","",最佳化斷筋點!E549)</f>
        <v>11</v>
      </c>
      <c r="AE549" s="37">
        <f>IF(最佳化斷筋點!F549="","",最佳化斷筋點!F549)</f>
        <v>11</v>
      </c>
      <c r="AF549" s="37">
        <f>IF(最佳化斷筋點!G549="","",最佳化斷筋點!G549)</f>
        <v>11</v>
      </c>
      <c r="AG549" s="37">
        <f>IF(最佳化斷筋點!H549="","",最佳化斷筋點!H549)</f>
        <v>11</v>
      </c>
      <c r="AH549" s="37">
        <f>IF(最佳化斷筋點!I549="","",最佳化斷筋點!I549)</f>
        <v>10</v>
      </c>
      <c r="AI549" s="37">
        <f>IF(最佳化斷筋點!J549="","",最佳化斷筋點!J549)</f>
        <v>10</v>
      </c>
      <c r="AJ549" s="37">
        <f>IF(最佳化斷筋點!K549="","",最佳化斷筋點!K549)</f>
        <v>10</v>
      </c>
      <c r="AK549" s="37">
        <f>IF(最佳化斷筋點!L549="","",最佳化斷筋點!L549)</f>
        <v>10</v>
      </c>
      <c r="AL549" s="37">
        <f>IF(最佳化斷筋點!M549="","",最佳化斷筋點!M549)</f>
        <v>10</v>
      </c>
      <c r="AM549" s="37">
        <f>IF(最佳化斷筋點!N549="","",最佳化斷筋點!N549)</f>
        <v>10</v>
      </c>
      <c r="AN549" s="37">
        <f>IF(最佳化斷筋點!O549="","",最佳化斷筋點!O549)</f>
        <v>10</v>
      </c>
      <c r="AO549" s="37">
        <f>IF(最佳化斷筋點!P549="","",最佳化斷筋點!P549)</f>
        <v>10</v>
      </c>
      <c r="AP549" s="37">
        <f>IF(最佳化斷筋點!Q549="","",最佳化斷筋點!Q549)</f>
        <v>10</v>
      </c>
      <c r="AQ549" s="37">
        <f>IF(最佳化斷筋點!R549="","",最佳化斷筋點!R549)</f>
        <v>10</v>
      </c>
      <c r="AR549" s="37">
        <f>IF(最佳化斷筋點!S549="","",最佳化斷筋點!S549)</f>
        <v>10</v>
      </c>
      <c r="AS549" s="37">
        <f>IF(最佳化斷筋點!T549="","",最佳化斷筋點!T549)</f>
        <v>10</v>
      </c>
      <c r="AT549" s="37">
        <f>IF(最佳化斷筋點!U549="","",最佳化斷筋點!U549)</f>
        <v>10</v>
      </c>
      <c r="AU549" s="37">
        <f>IF(最佳化斷筋點!V549="","",最佳化斷筋點!V549)</f>
        <v>10</v>
      </c>
      <c r="AV549" s="37">
        <f>IF(最佳化斷筋點!W549="","",最佳化斷筋點!W549)</f>
        <v>10</v>
      </c>
      <c r="AW549" s="37">
        <f>IF(最佳化斷筋點!X549="","",最佳化斷筋點!X549)</f>
        <v>10</v>
      </c>
      <c r="AY549" s="6" t="s">
        <v>21</v>
      </c>
      <c r="AZ549" s="37">
        <v>11</v>
      </c>
      <c r="BA549" s="37">
        <v>11</v>
      </c>
      <c r="BB549" s="37">
        <v>11</v>
      </c>
      <c r="BC549" s="37">
        <v>11</v>
      </c>
      <c r="BD549" s="37">
        <v>11</v>
      </c>
      <c r="BE549" s="37">
        <v>10</v>
      </c>
      <c r="BF549" s="37">
        <v>10</v>
      </c>
      <c r="BG549" s="37">
        <v>10</v>
      </c>
      <c r="BH549" s="37">
        <v>10</v>
      </c>
      <c r="BI549" s="37">
        <v>10</v>
      </c>
      <c r="BJ549" s="37">
        <v>10</v>
      </c>
      <c r="BK549" s="37">
        <v>10</v>
      </c>
      <c r="BL549" s="37">
        <v>10</v>
      </c>
      <c r="BM549" s="37">
        <v>10</v>
      </c>
      <c r="BN549" s="37">
        <v>10</v>
      </c>
      <c r="BO549" s="37">
        <v>10</v>
      </c>
      <c r="BP549" s="37">
        <v>10</v>
      </c>
      <c r="BQ549" s="37">
        <v>10</v>
      </c>
      <c r="BR549" s="37">
        <v>10</v>
      </c>
      <c r="BS549" s="37">
        <v>10</v>
      </c>
      <c r="BT549" s="37">
        <v>10</v>
      </c>
    </row>
    <row r="550" spans="5:72" x14ac:dyDescent="0.25">
      <c r="F550" s="6">
        <f t="shared" si="169"/>
        <v>0</v>
      </c>
      <c r="G550" s="6">
        <f t="shared" si="170"/>
        <v>0</v>
      </c>
      <c r="H550" s="6">
        <f t="shared" si="171"/>
        <v>0</v>
      </c>
      <c r="I550" s="6">
        <f t="shared" si="172"/>
        <v>0</v>
      </c>
      <c r="J550" s="6">
        <f t="shared" si="173"/>
        <v>0</v>
      </c>
      <c r="K550" s="6">
        <f t="shared" si="174"/>
        <v>0</v>
      </c>
      <c r="L550" s="6">
        <f t="shared" si="175"/>
        <v>0</v>
      </c>
      <c r="M550" s="6">
        <f t="shared" si="176"/>
        <v>0</v>
      </c>
      <c r="N550" s="6">
        <f t="shared" si="177"/>
        <v>0</v>
      </c>
      <c r="O550" s="6">
        <f t="shared" si="178"/>
        <v>0</v>
      </c>
      <c r="P550" s="6">
        <f t="shared" si="179"/>
        <v>0</v>
      </c>
      <c r="Q550" s="6">
        <f t="shared" si="180"/>
        <v>0</v>
      </c>
      <c r="R550" s="6">
        <f t="shared" si="181"/>
        <v>0</v>
      </c>
      <c r="S550" s="6">
        <f t="shared" si="182"/>
        <v>0</v>
      </c>
      <c r="T550" s="6">
        <f t="shared" si="183"/>
        <v>0</v>
      </c>
      <c r="U550" s="6">
        <f t="shared" si="184"/>
        <v>0</v>
      </c>
      <c r="V550" s="6">
        <f t="shared" si="185"/>
        <v>0</v>
      </c>
      <c r="W550" s="6">
        <f t="shared" si="186"/>
        <v>0</v>
      </c>
      <c r="X550" s="6">
        <f t="shared" si="187"/>
        <v>0</v>
      </c>
      <c r="Y550" s="6">
        <f t="shared" si="188"/>
        <v>0</v>
      </c>
      <c r="Z550" s="6">
        <f t="shared" si="189"/>
        <v>0</v>
      </c>
      <c r="AB550" s="36" t="str">
        <f>IF(最佳化斷筋點!C550="","",最佳化斷筋點!C550)</f>
        <v/>
      </c>
      <c r="AC550" s="37" t="str">
        <f>IF(最佳化斷筋點!D550="","",最佳化斷筋點!D550)</f>
        <v/>
      </c>
      <c r="AD550" s="37" t="str">
        <f>IF(最佳化斷筋點!E550="","",最佳化斷筋點!E550)</f>
        <v/>
      </c>
      <c r="AE550" s="37" t="str">
        <f>IF(最佳化斷筋點!F550="","",最佳化斷筋點!F550)</f>
        <v/>
      </c>
      <c r="AF550" s="37" t="str">
        <f>IF(最佳化斷筋點!G550="","",最佳化斷筋點!G550)</f>
        <v/>
      </c>
      <c r="AG550" s="37" t="str">
        <f>IF(最佳化斷筋點!H550="","",最佳化斷筋點!H550)</f>
        <v/>
      </c>
      <c r="AH550" s="37" t="str">
        <f>IF(最佳化斷筋點!I550="","",最佳化斷筋點!I550)</f>
        <v/>
      </c>
      <c r="AI550" s="37" t="str">
        <f>IF(最佳化斷筋點!J550="","",最佳化斷筋點!J550)</f>
        <v/>
      </c>
      <c r="AJ550" s="37" t="str">
        <f>IF(最佳化斷筋點!K550="","",最佳化斷筋點!K550)</f>
        <v/>
      </c>
      <c r="AK550" s="37" t="str">
        <f>IF(最佳化斷筋點!L550="","",最佳化斷筋點!L550)</f>
        <v/>
      </c>
      <c r="AL550" s="37" t="str">
        <f>IF(最佳化斷筋點!M550="","",最佳化斷筋點!M550)</f>
        <v/>
      </c>
      <c r="AM550" s="37" t="str">
        <f>IF(最佳化斷筋點!N550="","",最佳化斷筋點!N550)</f>
        <v/>
      </c>
      <c r="AN550" s="37" t="str">
        <f>IF(最佳化斷筋點!O550="","",最佳化斷筋點!O550)</f>
        <v/>
      </c>
      <c r="AO550" s="37" t="str">
        <f>IF(最佳化斷筋點!P550="","",最佳化斷筋點!P550)</f>
        <v/>
      </c>
      <c r="AP550" s="37" t="str">
        <f>IF(最佳化斷筋點!Q550="","",最佳化斷筋點!Q550)</f>
        <v/>
      </c>
      <c r="AQ550" s="37" t="str">
        <f>IF(最佳化斷筋點!R550="","",最佳化斷筋點!R550)</f>
        <v/>
      </c>
      <c r="AR550" s="37" t="str">
        <f>IF(最佳化斷筋點!S550="","",最佳化斷筋點!S550)</f>
        <v/>
      </c>
      <c r="AS550" s="37" t="str">
        <f>IF(最佳化斷筋點!T550="","",最佳化斷筋點!T550)</f>
        <v/>
      </c>
      <c r="AT550" s="37" t="str">
        <f>IF(最佳化斷筋點!U550="","",最佳化斷筋點!U550)</f>
        <v/>
      </c>
      <c r="AU550" s="37" t="str">
        <f>IF(最佳化斷筋點!V550="","",最佳化斷筋點!V550)</f>
        <v/>
      </c>
      <c r="AV550" s="37" t="str">
        <f>IF(最佳化斷筋點!W550="","",最佳化斷筋點!W550)</f>
        <v/>
      </c>
      <c r="AW550" s="37" t="str">
        <f>IF(最佳化斷筋點!X550="","",最佳化斷筋點!X550)</f>
        <v/>
      </c>
      <c r="AZ550" s="37" t="s">
        <v>197</v>
      </c>
      <c r="BA550" s="37" t="s">
        <v>197</v>
      </c>
      <c r="BB550" s="37" t="s">
        <v>197</v>
      </c>
      <c r="BC550" s="37" t="s">
        <v>197</v>
      </c>
      <c r="BD550" s="37" t="s">
        <v>197</v>
      </c>
      <c r="BE550" s="37" t="s">
        <v>197</v>
      </c>
      <c r="BF550" s="37" t="s">
        <v>197</v>
      </c>
      <c r="BG550" s="37" t="s">
        <v>197</v>
      </c>
      <c r="BH550" s="37" t="s">
        <v>197</v>
      </c>
      <c r="BI550" s="37" t="s">
        <v>197</v>
      </c>
      <c r="BJ550" s="37" t="s">
        <v>197</v>
      </c>
      <c r="BK550" s="37" t="s">
        <v>197</v>
      </c>
      <c r="BL550" s="37" t="s">
        <v>197</v>
      </c>
      <c r="BM550" s="37" t="s">
        <v>197</v>
      </c>
      <c r="BN550" s="37" t="s">
        <v>197</v>
      </c>
      <c r="BO550" s="37" t="s">
        <v>197</v>
      </c>
      <c r="BP550" s="37" t="s">
        <v>197</v>
      </c>
      <c r="BQ550" s="37" t="s">
        <v>197</v>
      </c>
      <c r="BR550" s="37" t="s">
        <v>197</v>
      </c>
      <c r="BS550" s="37" t="s">
        <v>197</v>
      </c>
      <c r="BT550" s="37" t="s">
        <v>197</v>
      </c>
    </row>
    <row r="551" spans="5:72" x14ac:dyDescent="0.25">
      <c r="E551" s="6" t="s">
        <v>20</v>
      </c>
      <c r="F551" s="6">
        <f t="shared" si="169"/>
        <v>0</v>
      </c>
      <c r="G551" s="6">
        <f t="shared" si="170"/>
        <v>0</v>
      </c>
      <c r="H551" s="6">
        <f t="shared" si="171"/>
        <v>0</v>
      </c>
      <c r="I551" s="6">
        <f t="shared" si="172"/>
        <v>0</v>
      </c>
      <c r="J551" s="6">
        <f t="shared" si="173"/>
        <v>0</v>
      </c>
      <c r="K551" s="6">
        <f t="shared" si="174"/>
        <v>0</v>
      </c>
      <c r="L551" s="6">
        <f t="shared" si="175"/>
        <v>0</v>
      </c>
      <c r="M551" s="6">
        <f t="shared" si="176"/>
        <v>0</v>
      </c>
      <c r="N551" s="6">
        <f t="shared" si="177"/>
        <v>0</v>
      </c>
      <c r="O551" s="6">
        <f t="shared" si="178"/>
        <v>0</v>
      </c>
      <c r="P551" s="6">
        <f t="shared" si="179"/>
        <v>0</v>
      </c>
      <c r="Q551" s="6">
        <f t="shared" si="180"/>
        <v>0</v>
      </c>
      <c r="R551" s="6">
        <f t="shared" si="181"/>
        <v>0</v>
      </c>
      <c r="S551" s="6">
        <f t="shared" si="182"/>
        <v>0</v>
      </c>
      <c r="T551" s="6">
        <f t="shared" si="183"/>
        <v>0</v>
      </c>
      <c r="U551" s="6">
        <f t="shared" si="184"/>
        <v>0</v>
      </c>
      <c r="V551" s="6">
        <f t="shared" si="185"/>
        <v>0</v>
      </c>
      <c r="W551" s="6">
        <f t="shared" si="186"/>
        <v>0</v>
      </c>
      <c r="X551" s="6">
        <f t="shared" si="187"/>
        <v>0</v>
      </c>
      <c r="Y551" s="6">
        <f t="shared" si="188"/>
        <v>0</v>
      </c>
      <c r="Z551" s="6">
        <f t="shared" si="189"/>
        <v>0</v>
      </c>
      <c r="AB551" s="36" t="str">
        <f>IF(最佳化斷筋點!C551="","",最佳化斷筋點!C551)</f>
        <v>上層</v>
      </c>
      <c r="AC551" s="37">
        <f>IF(最佳化斷筋點!D551="","",最佳化斷筋點!D551)</f>
        <v>6</v>
      </c>
      <c r="AD551" s="37">
        <f>IF(最佳化斷筋點!E551="","",最佳化斷筋點!E551)</f>
        <v>6</v>
      </c>
      <c r="AE551" s="37">
        <f>IF(最佳化斷筋點!F551="","",最佳化斷筋點!F551)</f>
        <v>6</v>
      </c>
      <c r="AF551" s="37">
        <f>IF(最佳化斷筋點!G551="","",最佳化斷筋點!G551)</f>
        <v>6</v>
      </c>
      <c r="AG551" s="37">
        <f>IF(最佳化斷筋點!H551="","",最佳化斷筋點!H551)</f>
        <v>6</v>
      </c>
      <c r="AH551" s="37">
        <f>IF(最佳化斷筋點!I551="","",最佳化斷筋點!I551)</f>
        <v>6</v>
      </c>
      <c r="AI551" s="37">
        <f>IF(最佳化斷筋點!J551="","",最佳化斷筋點!J551)</f>
        <v>6</v>
      </c>
      <c r="AJ551" s="37">
        <f>IF(最佳化斷筋點!K551="","",最佳化斷筋點!K551)</f>
        <v>5</v>
      </c>
      <c r="AK551" s="37">
        <f>IF(最佳化斷筋點!L551="","",最佳化斷筋點!L551)</f>
        <v>5</v>
      </c>
      <c r="AL551" s="37">
        <f>IF(最佳化斷筋點!M551="","",最佳化斷筋點!M551)</f>
        <v>4</v>
      </c>
      <c r="AM551" s="37">
        <f>IF(最佳化斷筋點!N551="","",最佳化斷筋點!N551)</f>
        <v>5</v>
      </c>
      <c r="AN551" s="37">
        <f>IF(最佳化斷筋點!O551="","",最佳化斷筋點!O551)</f>
        <v>6</v>
      </c>
      <c r="AO551" s="37">
        <f>IF(最佳化斷筋點!P551="","",最佳化斷筋點!P551)</f>
        <v>6</v>
      </c>
      <c r="AP551" s="37">
        <f>IF(最佳化斷筋點!Q551="","",最佳化斷筋點!Q551)</f>
        <v>7</v>
      </c>
      <c r="AQ551" s="37">
        <f>IF(最佳化斷筋點!R551="","",最佳化斷筋點!R551)</f>
        <v>8</v>
      </c>
      <c r="AR551" s="37">
        <f>IF(最佳化斷筋點!S551="","",最佳化斷筋點!S551)</f>
        <v>8</v>
      </c>
      <c r="AS551" s="37">
        <f>IF(最佳化斷筋點!T551="","",最佳化斷筋點!T551)</f>
        <v>8</v>
      </c>
      <c r="AT551" s="37">
        <f>IF(最佳化斷筋點!U551="","",最佳化斷筋點!U551)</f>
        <v>8</v>
      </c>
      <c r="AU551" s="37">
        <f>IF(最佳化斷筋點!V551="","",最佳化斷筋點!V551)</f>
        <v>8</v>
      </c>
      <c r="AV551" s="37">
        <f>IF(最佳化斷筋點!W551="","",最佳化斷筋點!W551)</f>
        <v>8</v>
      </c>
      <c r="AW551" s="37">
        <f>IF(最佳化斷筋點!X551="","",最佳化斷筋點!X551)</f>
        <v>8</v>
      </c>
      <c r="AY551" s="6" t="s">
        <v>20</v>
      </c>
      <c r="AZ551" s="37">
        <v>6</v>
      </c>
      <c r="BA551" s="37">
        <v>6</v>
      </c>
      <c r="BB551" s="37">
        <v>6</v>
      </c>
      <c r="BC551" s="37">
        <v>6</v>
      </c>
      <c r="BD551" s="37">
        <v>6</v>
      </c>
      <c r="BE551" s="37">
        <v>6</v>
      </c>
      <c r="BF551" s="37">
        <v>6</v>
      </c>
      <c r="BG551" s="37">
        <v>5</v>
      </c>
      <c r="BH551" s="37">
        <v>5</v>
      </c>
      <c r="BI551" s="37">
        <v>4</v>
      </c>
      <c r="BJ551" s="37">
        <v>5</v>
      </c>
      <c r="BK551" s="37">
        <v>6</v>
      </c>
      <c r="BL551" s="37">
        <v>6</v>
      </c>
      <c r="BM551" s="37">
        <v>7</v>
      </c>
      <c r="BN551" s="37">
        <v>8</v>
      </c>
      <c r="BO551" s="37">
        <v>8</v>
      </c>
      <c r="BP551" s="37">
        <v>8</v>
      </c>
      <c r="BQ551" s="37">
        <v>8</v>
      </c>
      <c r="BR551" s="37">
        <v>8</v>
      </c>
      <c r="BS551" s="37">
        <v>8</v>
      </c>
      <c r="BT551" s="37">
        <v>8</v>
      </c>
    </row>
    <row r="552" spans="5:72" x14ac:dyDescent="0.25">
      <c r="F552" s="6">
        <f t="shared" si="169"/>
        <v>0</v>
      </c>
      <c r="G552" s="6">
        <f t="shared" si="170"/>
        <v>0</v>
      </c>
      <c r="H552" s="6">
        <f t="shared" si="171"/>
        <v>0</v>
      </c>
      <c r="I552" s="6">
        <f t="shared" si="172"/>
        <v>0</v>
      </c>
      <c r="J552" s="6">
        <f t="shared" si="173"/>
        <v>0</v>
      </c>
      <c r="K552" s="6">
        <f t="shared" si="174"/>
        <v>0</v>
      </c>
      <c r="L552" s="6">
        <f t="shared" si="175"/>
        <v>0</v>
      </c>
      <c r="M552" s="6">
        <f t="shared" si="176"/>
        <v>0</v>
      </c>
      <c r="N552" s="6">
        <f t="shared" si="177"/>
        <v>0</v>
      </c>
      <c r="O552" s="6">
        <f t="shared" si="178"/>
        <v>0</v>
      </c>
      <c r="P552" s="6">
        <f t="shared" si="179"/>
        <v>0</v>
      </c>
      <c r="Q552" s="6">
        <f t="shared" si="180"/>
        <v>0</v>
      </c>
      <c r="R552" s="6">
        <f t="shared" si="181"/>
        <v>0</v>
      </c>
      <c r="S552" s="6">
        <f t="shared" si="182"/>
        <v>0</v>
      </c>
      <c r="T552" s="6">
        <f t="shared" si="183"/>
        <v>0</v>
      </c>
      <c r="U552" s="6">
        <f t="shared" si="184"/>
        <v>0</v>
      </c>
      <c r="V552" s="6">
        <f t="shared" si="185"/>
        <v>0</v>
      </c>
      <c r="W552" s="6">
        <f t="shared" si="186"/>
        <v>0</v>
      </c>
      <c r="X552" s="6">
        <f t="shared" si="187"/>
        <v>0</v>
      </c>
      <c r="Y552" s="6">
        <f t="shared" si="188"/>
        <v>0</v>
      </c>
      <c r="Z552" s="6">
        <f t="shared" si="189"/>
        <v>0</v>
      </c>
      <c r="AB552" s="36" t="str">
        <f>IF(最佳化斷筋點!C552="","",最佳化斷筋點!C552)</f>
        <v/>
      </c>
      <c r="AC552" s="37" t="str">
        <f>IF(最佳化斷筋點!D552="","",最佳化斷筋點!D552)</f>
        <v/>
      </c>
      <c r="AD552" s="37" t="str">
        <f>IF(最佳化斷筋點!E552="","",最佳化斷筋點!E552)</f>
        <v/>
      </c>
      <c r="AE552" s="37" t="str">
        <f>IF(最佳化斷筋點!F552="","",最佳化斷筋點!F552)</f>
        <v/>
      </c>
      <c r="AF552" s="37" t="str">
        <f>IF(最佳化斷筋點!G552="","",最佳化斷筋點!G552)</f>
        <v/>
      </c>
      <c r="AG552" s="37" t="str">
        <f>IF(最佳化斷筋點!H552="","",最佳化斷筋點!H552)</f>
        <v/>
      </c>
      <c r="AH552" s="37" t="str">
        <f>IF(最佳化斷筋點!I552="","",最佳化斷筋點!I552)</f>
        <v/>
      </c>
      <c r="AI552" s="37" t="str">
        <f>IF(最佳化斷筋點!J552="","",最佳化斷筋點!J552)</f>
        <v/>
      </c>
      <c r="AJ552" s="37" t="str">
        <f>IF(最佳化斷筋點!K552="","",最佳化斷筋點!K552)</f>
        <v/>
      </c>
      <c r="AK552" s="37" t="str">
        <f>IF(最佳化斷筋點!L552="","",最佳化斷筋點!L552)</f>
        <v/>
      </c>
      <c r="AL552" s="37" t="str">
        <f>IF(最佳化斷筋點!M552="","",最佳化斷筋點!M552)</f>
        <v/>
      </c>
      <c r="AM552" s="37" t="str">
        <f>IF(最佳化斷筋點!N552="","",最佳化斷筋點!N552)</f>
        <v/>
      </c>
      <c r="AN552" s="37" t="str">
        <f>IF(最佳化斷筋點!O552="","",最佳化斷筋點!O552)</f>
        <v/>
      </c>
      <c r="AO552" s="37" t="str">
        <f>IF(最佳化斷筋點!P552="","",最佳化斷筋點!P552)</f>
        <v/>
      </c>
      <c r="AP552" s="37" t="str">
        <f>IF(最佳化斷筋點!Q552="","",最佳化斷筋點!Q552)</f>
        <v/>
      </c>
      <c r="AQ552" s="37" t="str">
        <f>IF(最佳化斷筋點!R552="","",最佳化斷筋點!R552)</f>
        <v/>
      </c>
      <c r="AR552" s="37" t="str">
        <f>IF(最佳化斷筋點!S552="","",最佳化斷筋點!S552)</f>
        <v/>
      </c>
      <c r="AS552" s="37" t="str">
        <f>IF(最佳化斷筋點!T552="","",最佳化斷筋點!T552)</f>
        <v/>
      </c>
      <c r="AT552" s="37" t="str">
        <f>IF(最佳化斷筋點!U552="","",最佳化斷筋點!U552)</f>
        <v/>
      </c>
      <c r="AU552" s="37" t="str">
        <f>IF(最佳化斷筋點!V552="","",最佳化斷筋點!V552)</f>
        <v/>
      </c>
      <c r="AV552" s="37" t="str">
        <f>IF(最佳化斷筋點!W552="","",最佳化斷筋點!W552)</f>
        <v/>
      </c>
      <c r="AW552" s="37" t="str">
        <f>IF(最佳化斷筋點!X552="","",最佳化斷筋點!X552)</f>
        <v/>
      </c>
      <c r="AZ552" s="37" t="s">
        <v>197</v>
      </c>
      <c r="BA552" s="37" t="s">
        <v>197</v>
      </c>
      <c r="BB552" s="37" t="s">
        <v>197</v>
      </c>
      <c r="BC552" s="37" t="s">
        <v>197</v>
      </c>
      <c r="BD552" s="37" t="s">
        <v>197</v>
      </c>
      <c r="BE552" s="37" t="s">
        <v>197</v>
      </c>
      <c r="BF552" s="37" t="s">
        <v>197</v>
      </c>
      <c r="BG552" s="37" t="s">
        <v>197</v>
      </c>
      <c r="BH552" s="37" t="s">
        <v>197</v>
      </c>
      <c r="BI552" s="37" t="s">
        <v>197</v>
      </c>
      <c r="BJ552" s="37" t="s">
        <v>197</v>
      </c>
      <c r="BK552" s="37" t="s">
        <v>197</v>
      </c>
      <c r="BL552" s="37" t="s">
        <v>197</v>
      </c>
      <c r="BM552" s="37" t="s">
        <v>197</v>
      </c>
      <c r="BN552" s="37" t="s">
        <v>197</v>
      </c>
      <c r="BO552" s="37" t="s">
        <v>197</v>
      </c>
      <c r="BP552" s="37" t="s">
        <v>197</v>
      </c>
      <c r="BQ552" s="37" t="s">
        <v>197</v>
      </c>
      <c r="BR552" s="37" t="s">
        <v>197</v>
      </c>
      <c r="BS552" s="37" t="s">
        <v>197</v>
      </c>
      <c r="BT552" s="37" t="s">
        <v>197</v>
      </c>
    </row>
    <row r="553" spans="5:72" x14ac:dyDescent="0.25">
      <c r="E553" s="6" t="s">
        <v>21</v>
      </c>
      <c r="F553" s="6">
        <f t="shared" si="169"/>
        <v>0</v>
      </c>
      <c r="G553" s="6">
        <f t="shared" si="170"/>
        <v>0</v>
      </c>
      <c r="H553" s="6">
        <f t="shared" si="171"/>
        <v>0</v>
      </c>
      <c r="I553" s="6">
        <f t="shared" si="172"/>
        <v>0</v>
      </c>
      <c r="J553" s="6">
        <f t="shared" si="173"/>
        <v>0</v>
      </c>
      <c r="K553" s="6">
        <f t="shared" si="174"/>
        <v>0</v>
      </c>
      <c r="L553" s="6">
        <f t="shared" si="175"/>
        <v>0</v>
      </c>
      <c r="M553" s="6">
        <f t="shared" si="176"/>
        <v>0</v>
      </c>
      <c r="N553" s="6">
        <f t="shared" si="177"/>
        <v>0</v>
      </c>
      <c r="O553" s="6">
        <f t="shared" si="178"/>
        <v>0</v>
      </c>
      <c r="P553" s="6">
        <f t="shared" si="179"/>
        <v>0</v>
      </c>
      <c r="Q553" s="6">
        <f t="shared" si="180"/>
        <v>0</v>
      </c>
      <c r="R553" s="6">
        <f t="shared" si="181"/>
        <v>0</v>
      </c>
      <c r="S553" s="6">
        <f t="shared" si="182"/>
        <v>0</v>
      </c>
      <c r="T553" s="6">
        <f t="shared" si="183"/>
        <v>0</v>
      </c>
      <c r="U553" s="6">
        <f t="shared" si="184"/>
        <v>0</v>
      </c>
      <c r="V553" s="6">
        <f t="shared" si="185"/>
        <v>0</v>
      </c>
      <c r="W553" s="6">
        <f t="shared" si="186"/>
        <v>0</v>
      </c>
      <c r="X553" s="6">
        <f t="shared" si="187"/>
        <v>0</v>
      </c>
      <c r="Y553" s="6">
        <f t="shared" si="188"/>
        <v>0</v>
      </c>
      <c r="Z553" s="6">
        <f t="shared" si="189"/>
        <v>0</v>
      </c>
      <c r="AB553" s="36" t="str">
        <f>IF(最佳化斷筋點!C553="","",最佳化斷筋點!C553)</f>
        <v>下層</v>
      </c>
      <c r="AC553" s="37">
        <f>IF(最佳化斷筋點!D553="","",最佳化斷筋點!D553)</f>
        <v>10</v>
      </c>
      <c r="AD553" s="37">
        <f>IF(最佳化斷筋點!E553="","",最佳化斷筋點!E553)</f>
        <v>10</v>
      </c>
      <c r="AE553" s="37">
        <f>IF(最佳化斷筋點!F553="","",最佳化斷筋點!F553)</f>
        <v>10</v>
      </c>
      <c r="AF553" s="37">
        <f>IF(最佳化斷筋點!G553="","",最佳化斷筋點!G553)</f>
        <v>10</v>
      </c>
      <c r="AG553" s="37">
        <f>IF(最佳化斷筋點!H553="","",最佳化斷筋點!H553)</f>
        <v>10</v>
      </c>
      <c r="AH553" s="37">
        <f>IF(最佳化斷筋點!I553="","",最佳化斷筋點!I553)</f>
        <v>10</v>
      </c>
      <c r="AI553" s="37">
        <f>IF(最佳化斷筋點!J553="","",最佳化斷筋點!J553)</f>
        <v>9</v>
      </c>
      <c r="AJ553" s="37">
        <f>IF(最佳化斷筋點!K553="","",最佳化斷筋點!K553)</f>
        <v>8</v>
      </c>
      <c r="AK553" s="37">
        <f>IF(最佳化斷筋點!L553="","",最佳化斷筋點!L553)</f>
        <v>8</v>
      </c>
      <c r="AL553" s="37">
        <f>IF(最佳化斷筋點!M553="","",最佳化斷筋點!M553)</f>
        <v>8</v>
      </c>
      <c r="AM553" s="37">
        <f>IF(最佳化斷筋點!N553="","",最佳化斷筋點!N553)</f>
        <v>8</v>
      </c>
      <c r="AN553" s="37">
        <f>IF(最佳化斷筋點!O553="","",最佳化斷筋點!O553)</f>
        <v>8</v>
      </c>
      <c r="AO553" s="37">
        <f>IF(最佳化斷筋點!P553="","",最佳化斷筋點!P553)</f>
        <v>8</v>
      </c>
      <c r="AP553" s="37">
        <f>IF(最佳化斷筋點!Q553="","",最佳化斷筋點!Q553)</f>
        <v>8</v>
      </c>
      <c r="AQ553" s="37">
        <f>IF(最佳化斷筋點!R553="","",最佳化斷筋點!R553)</f>
        <v>8</v>
      </c>
      <c r="AR553" s="37">
        <f>IF(最佳化斷筋點!S553="","",最佳化斷筋點!S553)</f>
        <v>8</v>
      </c>
      <c r="AS553" s="37">
        <f>IF(最佳化斷筋點!T553="","",最佳化斷筋點!T553)</f>
        <v>8</v>
      </c>
      <c r="AT553" s="37">
        <f>IF(最佳化斷筋點!U553="","",最佳化斷筋點!U553)</f>
        <v>8</v>
      </c>
      <c r="AU553" s="37">
        <f>IF(最佳化斷筋點!V553="","",最佳化斷筋點!V553)</f>
        <v>8</v>
      </c>
      <c r="AV553" s="37">
        <f>IF(最佳化斷筋點!W553="","",最佳化斷筋點!W553)</f>
        <v>8</v>
      </c>
      <c r="AW553" s="37">
        <f>IF(最佳化斷筋點!X553="","",最佳化斷筋點!X553)</f>
        <v>8</v>
      </c>
      <c r="AY553" s="6" t="s">
        <v>21</v>
      </c>
      <c r="AZ553" s="37">
        <v>10</v>
      </c>
      <c r="BA553" s="37">
        <v>10</v>
      </c>
      <c r="BB553" s="37">
        <v>10</v>
      </c>
      <c r="BC553" s="37">
        <v>10</v>
      </c>
      <c r="BD553" s="37">
        <v>10</v>
      </c>
      <c r="BE553" s="37">
        <v>10</v>
      </c>
      <c r="BF553" s="37">
        <v>9</v>
      </c>
      <c r="BG553" s="37">
        <v>8</v>
      </c>
      <c r="BH553" s="37">
        <v>8</v>
      </c>
      <c r="BI553" s="37">
        <v>8</v>
      </c>
      <c r="BJ553" s="37">
        <v>8</v>
      </c>
      <c r="BK553" s="37">
        <v>8</v>
      </c>
      <c r="BL553" s="37">
        <v>8</v>
      </c>
      <c r="BM553" s="37">
        <v>8</v>
      </c>
      <c r="BN553" s="37">
        <v>8</v>
      </c>
      <c r="BO553" s="37">
        <v>8</v>
      </c>
      <c r="BP553" s="37">
        <v>8</v>
      </c>
      <c r="BQ553" s="37">
        <v>8</v>
      </c>
      <c r="BR553" s="37">
        <v>8</v>
      </c>
      <c r="BS553" s="37">
        <v>8</v>
      </c>
      <c r="BT553" s="37">
        <v>8</v>
      </c>
    </row>
    <row r="554" spans="5:72" x14ac:dyDescent="0.25">
      <c r="F554" s="6">
        <f t="shared" si="169"/>
        <v>0</v>
      </c>
      <c r="G554" s="6">
        <f t="shared" si="170"/>
        <v>0</v>
      </c>
      <c r="H554" s="6">
        <f t="shared" si="171"/>
        <v>0</v>
      </c>
      <c r="I554" s="6">
        <f t="shared" si="172"/>
        <v>0</v>
      </c>
      <c r="J554" s="6">
        <f t="shared" si="173"/>
        <v>0</v>
      </c>
      <c r="K554" s="6">
        <f t="shared" si="174"/>
        <v>0</v>
      </c>
      <c r="L554" s="6">
        <f t="shared" si="175"/>
        <v>0</v>
      </c>
      <c r="M554" s="6">
        <f t="shared" si="176"/>
        <v>0</v>
      </c>
      <c r="N554" s="6">
        <f t="shared" si="177"/>
        <v>0</v>
      </c>
      <c r="O554" s="6">
        <f t="shared" si="178"/>
        <v>0</v>
      </c>
      <c r="P554" s="6">
        <f t="shared" si="179"/>
        <v>0</v>
      </c>
      <c r="Q554" s="6">
        <f t="shared" si="180"/>
        <v>0</v>
      </c>
      <c r="R554" s="6">
        <f t="shared" si="181"/>
        <v>0</v>
      </c>
      <c r="S554" s="6">
        <f t="shared" si="182"/>
        <v>0</v>
      </c>
      <c r="T554" s="6">
        <f t="shared" si="183"/>
        <v>0</v>
      </c>
      <c r="U554" s="6">
        <f t="shared" si="184"/>
        <v>0</v>
      </c>
      <c r="V554" s="6">
        <f t="shared" si="185"/>
        <v>0</v>
      </c>
      <c r="W554" s="6">
        <f t="shared" si="186"/>
        <v>0</v>
      </c>
      <c r="X554" s="6">
        <f t="shared" si="187"/>
        <v>0</v>
      </c>
      <c r="Y554" s="6">
        <f t="shared" si="188"/>
        <v>0</v>
      </c>
      <c r="Z554" s="6">
        <f t="shared" si="189"/>
        <v>0</v>
      </c>
      <c r="AB554" s="36" t="str">
        <f>IF(最佳化斷筋點!C554="","",最佳化斷筋點!C554)</f>
        <v/>
      </c>
      <c r="AC554" s="37" t="str">
        <f>IF(最佳化斷筋點!D554="","",最佳化斷筋點!D554)</f>
        <v/>
      </c>
      <c r="AD554" s="37" t="str">
        <f>IF(最佳化斷筋點!E554="","",最佳化斷筋點!E554)</f>
        <v/>
      </c>
      <c r="AE554" s="37" t="str">
        <f>IF(最佳化斷筋點!F554="","",最佳化斷筋點!F554)</f>
        <v/>
      </c>
      <c r="AF554" s="37" t="str">
        <f>IF(最佳化斷筋點!G554="","",最佳化斷筋點!G554)</f>
        <v/>
      </c>
      <c r="AG554" s="37" t="str">
        <f>IF(最佳化斷筋點!H554="","",最佳化斷筋點!H554)</f>
        <v/>
      </c>
      <c r="AH554" s="37" t="str">
        <f>IF(最佳化斷筋點!I554="","",最佳化斷筋點!I554)</f>
        <v/>
      </c>
      <c r="AI554" s="37" t="str">
        <f>IF(最佳化斷筋點!J554="","",最佳化斷筋點!J554)</f>
        <v/>
      </c>
      <c r="AJ554" s="37" t="str">
        <f>IF(最佳化斷筋點!K554="","",最佳化斷筋點!K554)</f>
        <v/>
      </c>
      <c r="AK554" s="37" t="str">
        <f>IF(最佳化斷筋點!L554="","",最佳化斷筋點!L554)</f>
        <v/>
      </c>
      <c r="AL554" s="37" t="str">
        <f>IF(最佳化斷筋點!M554="","",最佳化斷筋點!M554)</f>
        <v/>
      </c>
      <c r="AM554" s="37" t="str">
        <f>IF(最佳化斷筋點!N554="","",最佳化斷筋點!N554)</f>
        <v/>
      </c>
      <c r="AN554" s="37" t="str">
        <f>IF(最佳化斷筋點!O554="","",最佳化斷筋點!O554)</f>
        <v/>
      </c>
      <c r="AO554" s="37" t="str">
        <f>IF(最佳化斷筋點!P554="","",最佳化斷筋點!P554)</f>
        <v/>
      </c>
      <c r="AP554" s="37" t="str">
        <f>IF(最佳化斷筋點!Q554="","",最佳化斷筋點!Q554)</f>
        <v/>
      </c>
      <c r="AQ554" s="37" t="str">
        <f>IF(最佳化斷筋點!R554="","",最佳化斷筋點!R554)</f>
        <v/>
      </c>
      <c r="AR554" s="37" t="str">
        <f>IF(最佳化斷筋點!S554="","",最佳化斷筋點!S554)</f>
        <v/>
      </c>
      <c r="AS554" s="37" t="str">
        <f>IF(最佳化斷筋點!T554="","",最佳化斷筋點!T554)</f>
        <v/>
      </c>
      <c r="AT554" s="37" t="str">
        <f>IF(最佳化斷筋點!U554="","",最佳化斷筋點!U554)</f>
        <v/>
      </c>
      <c r="AU554" s="37" t="str">
        <f>IF(最佳化斷筋點!V554="","",最佳化斷筋點!V554)</f>
        <v/>
      </c>
      <c r="AV554" s="37" t="str">
        <f>IF(最佳化斷筋點!W554="","",最佳化斷筋點!W554)</f>
        <v/>
      </c>
      <c r="AW554" s="37" t="str">
        <f>IF(最佳化斷筋點!X554="","",最佳化斷筋點!X554)</f>
        <v/>
      </c>
      <c r="AZ554" s="37" t="s">
        <v>197</v>
      </c>
      <c r="BA554" s="37" t="s">
        <v>197</v>
      </c>
      <c r="BB554" s="37" t="s">
        <v>197</v>
      </c>
      <c r="BC554" s="37" t="s">
        <v>197</v>
      </c>
      <c r="BD554" s="37" t="s">
        <v>197</v>
      </c>
      <c r="BE554" s="37" t="s">
        <v>197</v>
      </c>
      <c r="BF554" s="37" t="s">
        <v>197</v>
      </c>
      <c r="BG554" s="37" t="s">
        <v>197</v>
      </c>
      <c r="BH554" s="37" t="s">
        <v>197</v>
      </c>
      <c r="BI554" s="37" t="s">
        <v>197</v>
      </c>
      <c r="BJ554" s="37" t="s">
        <v>197</v>
      </c>
      <c r="BK554" s="37" t="s">
        <v>197</v>
      </c>
      <c r="BL554" s="37" t="s">
        <v>197</v>
      </c>
      <c r="BM554" s="37" t="s">
        <v>197</v>
      </c>
      <c r="BN554" s="37" t="s">
        <v>197</v>
      </c>
      <c r="BO554" s="37" t="s">
        <v>197</v>
      </c>
      <c r="BP554" s="37" t="s">
        <v>197</v>
      </c>
      <c r="BQ554" s="37" t="s">
        <v>197</v>
      </c>
      <c r="BR554" s="37" t="s">
        <v>197</v>
      </c>
      <c r="BS554" s="37" t="s">
        <v>197</v>
      </c>
      <c r="BT554" s="37" t="s">
        <v>197</v>
      </c>
    </row>
    <row r="555" spans="5:72" x14ac:dyDescent="0.25">
      <c r="E555" s="6" t="s">
        <v>20</v>
      </c>
      <c r="F555" s="6">
        <f t="shared" si="169"/>
        <v>0</v>
      </c>
      <c r="G555" s="6">
        <f t="shared" si="170"/>
        <v>0</v>
      </c>
      <c r="H555" s="6">
        <f t="shared" si="171"/>
        <v>0</v>
      </c>
      <c r="I555" s="6">
        <f t="shared" si="172"/>
        <v>0</v>
      </c>
      <c r="J555" s="6">
        <f t="shared" si="173"/>
        <v>0</v>
      </c>
      <c r="K555" s="6">
        <f t="shared" si="174"/>
        <v>0</v>
      </c>
      <c r="L555" s="6">
        <f t="shared" si="175"/>
        <v>0</v>
      </c>
      <c r="M555" s="6">
        <f t="shared" si="176"/>
        <v>0</v>
      </c>
      <c r="N555" s="6">
        <f t="shared" si="177"/>
        <v>0</v>
      </c>
      <c r="O555" s="6">
        <f t="shared" si="178"/>
        <v>0</v>
      </c>
      <c r="P555" s="6">
        <f t="shared" si="179"/>
        <v>0</v>
      </c>
      <c r="Q555" s="6">
        <f t="shared" si="180"/>
        <v>0</v>
      </c>
      <c r="R555" s="6">
        <f t="shared" si="181"/>
        <v>0</v>
      </c>
      <c r="S555" s="6">
        <f t="shared" si="182"/>
        <v>0</v>
      </c>
      <c r="T555" s="6">
        <f t="shared" si="183"/>
        <v>0</v>
      </c>
      <c r="U555" s="6">
        <f t="shared" si="184"/>
        <v>0</v>
      </c>
      <c r="V555" s="6">
        <f t="shared" si="185"/>
        <v>0</v>
      </c>
      <c r="W555" s="6">
        <f t="shared" si="186"/>
        <v>0</v>
      </c>
      <c r="X555" s="6">
        <f t="shared" si="187"/>
        <v>0</v>
      </c>
      <c r="Y555" s="6">
        <f t="shared" si="188"/>
        <v>0</v>
      </c>
      <c r="Z555" s="6">
        <f t="shared" si="189"/>
        <v>0</v>
      </c>
      <c r="AB555" s="36" t="str">
        <f>IF(最佳化斷筋點!C555="","",最佳化斷筋點!C555)</f>
        <v>上層</v>
      </c>
      <c r="AC555" s="37">
        <f>IF(最佳化斷筋點!D555="","",最佳化斷筋點!D555)</f>
        <v>7</v>
      </c>
      <c r="AD555" s="37">
        <f>IF(最佳化斷筋點!E555="","",最佳化斷筋點!E555)</f>
        <v>7</v>
      </c>
      <c r="AE555" s="37">
        <f>IF(最佳化斷筋點!F555="","",最佳化斷筋點!F555)</f>
        <v>7</v>
      </c>
      <c r="AF555" s="37">
        <f>IF(最佳化斷筋點!G555="","",最佳化斷筋點!G555)</f>
        <v>7</v>
      </c>
      <c r="AG555" s="37">
        <f>IF(最佳化斷筋點!H555="","",最佳化斷筋點!H555)</f>
        <v>7</v>
      </c>
      <c r="AH555" s="37">
        <f>IF(最佳化斷筋點!I555="","",最佳化斷筋點!I555)</f>
        <v>6</v>
      </c>
      <c r="AI555" s="37">
        <f>IF(最佳化斷筋點!J555="","",最佳化斷筋點!J555)</f>
        <v>6</v>
      </c>
      <c r="AJ555" s="37">
        <f>IF(最佳化斷筋點!K555="","",最佳化斷筋點!K555)</f>
        <v>3</v>
      </c>
      <c r="AK555" s="37">
        <f>IF(最佳化斷筋點!L555="","",最佳化斷筋點!L555)</f>
        <v>3</v>
      </c>
      <c r="AL555" s="37">
        <f>IF(最佳化斷筋點!M555="","",最佳化斷筋點!M555)</f>
        <v>3</v>
      </c>
      <c r="AM555" s="37">
        <f>IF(最佳化斷筋點!N555="","",最佳化斷筋點!N555)</f>
        <v>3</v>
      </c>
      <c r="AN555" s="37">
        <f>IF(最佳化斷筋點!O555="","",最佳化斷筋點!O555)</f>
        <v>3</v>
      </c>
      <c r="AO555" s="37">
        <f>IF(最佳化斷筋點!P555="","",最佳化斷筋點!P555)</f>
        <v>3</v>
      </c>
      <c r="AP555" s="37">
        <f>IF(最佳化斷筋點!Q555="","",最佳化斷筋點!Q555)</f>
        <v>5</v>
      </c>
      <c r="AQ555" s="37">
        <f>IF(最佳化斷筋點!R555="","",最佳化斷筋點!R555)</f>
        <v>6</v>
      </c>
      <c r="AR555" s="37">
        <f>IF(最佳化斷筋點!S555="","",最佳化斷筋點!S555)</f>
        <v>6</v>
      </c>
      <c r="AS555" s="37">
        <f>IF(最佳化斷筋點!T555="","",最佳化斷筋點!T555)</f>
        <v>7</v>
      </c>
      <c r="AT555" s="37">
        <f>IF(最佳化斷筋點!U555="","",最佳化斷筋點!U555)</f>
        <v>8</v>
      </c>
      <c r="AU555" s="37">
        <f>IF(最佳化斷筋點!V555="","",最佳化斷筋點!V555)</f>
        <v>8</v>
      </c>
      <c r="AV555" s="37">
        <f>IF(最佳化斷筋點!W555="","",最佳化斷筋點!W555)</f>
        <v>8</v>
      </c>
      <c r="AW555" s="37">
        <f>IF(最佳化斷筋點!X555="","",最佳化斷筋點!X555)</f>
        <v>8</v>
      </c>
      <c r="AY555" s="6" t="s">
        <v>20</v>
      </c>
      <c r="AZ555" s="37">
        <v>7</v>
      </c>
      <c r="BA555" s="37">
        <v>7</v>
      </c>
      <c r="BB555" s="37">
        <v>7</v>
      </c>
      <c r="BC555" s="37">
        <v>7</v>
      </c>
      <c r="BD555" s="37">
        <v>7</v>
      </c>
      <c r="BE555" s="37">
        <v>6</v>
      </c>
      <c r="BF555" s="37">
        <v>6</v>
      </c>
      <c r="BG555" s="37">
        <v>3</v>
      </c>
      <c r="BH555" s="37">
        <v>3</v>
      </c>
      <c r="BI555" s="37">
        <v>3</v>
      </c>
      <c r="BJ555" s="37">
        <v>3</v>
      </c>
      <c r="BK555" s="37">
        <v>3</v>
      </c>
      <c r="BL555" s="37">
        <v>3</v>
      </c>
      <c r="BM555" s="37">
        <v>5</v>
      </c>
      <c r="BN555" s="37">
        <v>6</v>
      </c>
      <c r="BO555" s="37">
        <v>6</v>
      </c>
      <c r="BP555" s="37">
        <v>7</v>
      </c>
      <c r="BQ555" s="37">
        <v>8</v>
      </c>
      <c r="BR555" s="37">
        <v>8</v>
      </c>
      <c r="BS555" s="37">
        <v>8</v>
      </c>
      <c r="BT555" s="37">
        <v>8</v>
      </c>
    </row>
    <row r="556" spans="5:72" x14ac:dyDescent="0.25">
      <c r="F556" s="6">
        <f t="shared" si="169"/>
        <v>0</v>
      </c>
      <c r="G556" s="6">
        <f t="shared" si="170"/>
        <v>0</v>
      </c>
      <c r="H556" s="6">
        <f t="shared" si="171"/>
        <v>0</v>
      </c>
      <c r="I556" s="6">
        <f t="shared" si="172"/>
        <v>0</v>
      </c>
      <c r="J556" s="6">
        <f t="shared" si="173"/>
        <v>0</v>
      </c>
      <c r="K556" s="6">
        <f t="shared" si="174"/>
        <v>0</v>
      </c>
      <c r="L556" s="6">
        <f t="shared" si="175"/>
        <v>0</v>
      </c>
      <c r="M556" s="6">
        <f t="shared" si="176"/>
        <v>0</v>
      </c>
      <c r="N556" s="6">
        <f t="shared" si="177"/>
        <v>0</v>
      </c>
      <c r="O556" s="6">
        <f t="shared" si="178"/>
        <v>0</v>
      </c>
      <c r="P556" s="6">
        <f t="shared" si="179"/>
        <v>0</v>
      </c>
      <c r="Q556" s="6">
        <f t="shared" si="180"/>
        <v>0</v>
      </c>
      <c r="R556" s="6">
        <f t="shared" si="181"/>
        <v>0</v>
      </c>
      <c r="S556" s="6">
        <f t="shared" si="182"/>
        <v>0</v>
      </c>
      <c r="T556" s="6">
        <f t="shared" si="183"/>
        <v>0</v>
      </c>
      <c r="U556" s="6">
        <f t="shared" si="184"/>
        <v>0</v>
      </c>
      <c r="V556" s="6">
        <f t="shared" si="185"/>
        <v>0</v>
      </c>
      <c r="W556" s="6">
        <f t="shared" si="186"/>
        <v>0</v>
      </c>
      <c r="X556" s="6">
        <f t="shared" si="187"/>
        <v>0</v>
      </c>
      <c r="Y556" s="6">
        <f t="shared" si="188"/>
        <v>0</v>
      </c>
      <c r="Z556" s="6">
        <f t="shared" si="189"/>
        <v>0</v>
      </c>
      <c r="AB556" s="36" t="str">
        <f>IF(最佳化斷筋點!C556="","",最佳化斷筋點!C556)</f>
        <v/>
      </c>
      <c r="AC556" s="37" t="str">
        <f>IF(最佳化斷筋點!D556="","",最佳化斷筋點!D556)</f>
        <v/>
      </c>
      <c r="AD556" s="37" t="str">
        <f>IF(最佳化斷筋點!E556="","",最佳化斷筋點!E556)</f>
        <v/>
      </c>
      <c r="AE556" s="37" t="str">
        <f>IF(最佳化斷筋點!F556="","",最佳化斷筋點!F556)</f>
        <v/>
      </c>
      <c r="AF556" s="37" t="str">
        <f>IF(最佳化斷筋點!G556="","",最佳化斷筋點!G556)</f>
        <v/>
      </c>
      <c r="AG556" s="37" t="str">
        <f>IF(最佳化斷筋點!H556="","",最佳化斷筋點!H556)</f>
        <v/>
      </c>
      <c r="AH556" s="37" t="str">
        <f>IF(最佳化斷筋點!I556="","",最佳化斷筋點!I556)</f>
        <v/>
      </c>
      <c r="AI556" s="37" t="str">
        <f>IF(最佳化斷筋點!J556="","",最佳化斷筋點!J556)</f>
        <v/>
      </c>
      <c r="AJ556" s="37" t="str">
        <f>IF(最佳化斷筋點!K556="","",最佳化斷筋點!K556)</f>
        <v/>
      </c>
      <c r="AK556" s="37" t="str">
        <f>IF(最佳化斷筋點!L556="","",最佳化斷筋點!L556)</f>
        <v/>
      </c>
      <c r="AL556" s="37" t="str">
        <f>IF(最佳化斷筋點!M556="","",最佳化斷筋點!M556)</f>
        <v/>
      </c>
      <c r="AM556" s="37" t="str">
        <f>IF(最佳化斷筋點!N556="","",最佳化斷筋點!N556)</f>
        <v/>
      </c>
      <c r="AN556" s="37" t="str">
        <f>IF(最佳化斷筋點!O556="","",最佳化斷筋點!O556)</f>
        <v/>
      </c>
      <c r="AO556" s="37" t="str">
        <f>IF(最佳化斷筋點!P556="","",最佳化斷筋點!P556)</f>
        <v/>
      </c>
      <c r="AP556" s="37" t="str">
        <f>IF(最佳化斷筋點!Q556="","",最佳化斷筋點!Q556)</f>
        <v/>
      </c>
      <c r="AQ556" s="37" t="str">
        <f>IF(最佳化斷筋點!R556="","",最佳化斷筋點!R556)</f>
        <v/>
      </c>
      <c r="AR556" s="37" t="str">
        <f>IF(最佳化斷筋點!S556="","",最佳化斷筋點!S556)</f>
        <v/>
      </c>
      <c r="AS556" s="37" t="str">
        <f>IF(最佳化斷筋點!T556="","",最佳化斷筋點!T556)</f>
        <v/>
      </c>
      <c r="AT556" s="37" t="str">
        <f>IF(最佳化斷筋點!U556="","",最佳化斷筋點!U556)</f>
        <v/>
      </c>
      <c r="AU556" s="37" t="str">
        <f>IF(最佳化斷筋點!V556="","",最佳化斷筋點!V556)</f>
        <v/>
      </c>
      <c r="AV556" s="37" t="str">
        <f>IF(最佳化斷筋點!W556="","",最佳化斷筋點!W556)</f>
        <v/>
      </c>
      <c r="AW556" s="37" t="str">
        <f>IF(最佳化斷筋點!X556="","",最佳化斷筋點!X556)</f>
        <v/>
      </c>
      <c r="AZ556" s="37" t="s">
        <v>197</v>
      </c>
      <c r="BA556" s="37" t="s">
        <v>197</v>
      </c>
      <c r="BB556" s="37" t="s">
        <v>197</v>
      </c>
      <c r="BC556" s="37" t="s">
        <v>197</v>
      </c>
      <c r="BD556" s="37" t="s">
        <v>197</v>
      </c>
      <c r="BE556" s="37" t="s">
        <v>197</v>
      </c>
      <c r="BF556" s="37" t="s">
        <v>197</v>
      </c>
      <c r="BG556" s="37" t="s">
        <v>197</v>
      </c>
      <c r="BH556" s="37" t="s">
        <v>197</v>
      </c>
      <c r="BI556" s="37" t="s">
        <v>197</v>
      </c>
      <c r="BJ556" s="37" t="s">
        <v>197</v>
      </c>
      <c r="BK556" s="37" t="s">
        <v>197</v>
      </c>
      <c r="BL556" s="37" t="s">
        <v>197</v>
      </c>
      <c r="BM556" s="37" t="s">
        <v>197</v>
      </c>
      <c r="BN556" s="37" t="s">
        <v>197</v>
      </c>
      <c r="BO556" s="37" t="s">
        <v>197</v>
      </c>
      <c r="BP556" s="37" t="s">
        <v>197</v>
      </c>
      <c r="BQ556" s="37" t="s">
        <v>197</v>
      </c>
      <c r="BR556" s="37" t="s">
        <v>197</v>
      </c>
      <c r="BS556" s="37" t="s">
        <v>197</v>
      </c>
      <c r="BT556" s="37" t="s">
        <v>197</v>
      </c>
    </row>
    <row r="557" spans="5:72" x14ac:dyDescent="0.25">
      <c r="E557" s="6" t="s">
        <v>21</v>
      </c>
      <c r="F557" s="6">
        <f t="shared" si="169"/>
        <v>0</v>
      </c>
      <c r="G557" s="6">
        <f t="shared" si="170"/>
        <v>0</v>
      </c>
      <c r="H557" s="6">
        <f t="shared" si="171"/>
        <v>0</v>
      </c>
      <c r="I557" s="6">
        <f t="shared" si="172"/>
        <v>0</v>
      </c>
      <c r="J557" s="6">
        <f t="shared" si="173"/>
        <v>0</v>
      </c>
      <c r="K557" s="6">
        <f t="shared" si="174"/>
        <v>0</v>
      </c>
      <c r="L557" s="6">
        <f t="shared" si="175"/>
        <v>0</v>
      </c>
      <c r="M557" s="6">
        <f t="shared" si="176"/>
        <v>0</v>
      </c>
      <c r="N557" s="6">
        <f t="shared" si="177"/>
        <v>0</v>
      </c>
      <c r="O557" s="6">
        <f t="shared" si="178"/>
        <v>0</v>
      </c>
      <c r="P557" s="6">
        <f t="shared" si="179"/>
        <v>0</v>
      </c>
      <c r="Q557" s="6">
        <f t="shared" si="180"/>
        <v>0</v>
      </c>
      <c r="R557" s="6">
        <f t="shared" si="181"/>
        <v>0</v>
      </c>
      <c r="S557" s="6">
        <f t="shared" si="182"/>
        <v>0</v>
      </c>
      <c r="T557" s="6">
        <f t="shared" si="183"/>
        <v>0</v>
      </c>
      <c r="U557" s="6">
        <f t="shared" si="184"/>
        <v>0</v>
      </c>
      <c r="V557" s="6">
        <f t="shared" si="185"/>
        <v>0</v>
      </c>
      <c r="W557" s="6">
        <f t="shared" si="186"/>
        <v>0</v>
      </c>
      <c r="X557" s="6">
        <f t="shared" si="187"/>
        <v>0</v>
      </c>
      <c r="Y557" s="6">
        <f t="shared" si="188"/>
        <v>0</v>
      </c>
      <c r="Z557" s="6">
        <f t="shared" si="189"/>
        <v>0</v>
      </c>
      <c r="AB557" s="36" t="str">
        <f>IF(最佳化斷筋點!C557="","",最佳化斷筋點!C557)</f>
        <v>下層</v>
      </c>
      <c r="AC557" s="37">
        <f>IF(最佳化斷筋點!D557="","",最佳化斷筋點!D557)</f>
        <v>6</v>
      </c>
      <c r="AD557" s="37">
        <f>IF(最佳化斷筋點!E557="","",最佳化斷筋點!E557)</f>
        <v>6</v>
      </c>
      <c r="AE557" s="37">
        <f>IF(最佳化斷筋點!F557="","",最佳化斷筋點!F557)</f>
        <v>6</v>
      </c>
      <c r="AF557" s="37">
        <f>IF(最佳化斷筋點!G557="","",最佳化斷筋點!G557)</f>
        <v>6</v>
      </c>
      <c r="AG557" s="37">
        <f>IF(最佳化斷筋點!H557="","",最佳化斷筋點!H557)</f>
        <v>5</v>
      </c>
      <c r="AH557" s="37">
        <f>IF(最佳化斷筋點!I557="","",最佳化斷筋點!I557)</f>
        <v>5</v>
      </c>
      <c r="AI557" s="37">
        <f>IF(最佳化斷筋點!J557="","",最佳化斷筋點!J557)</f>
        <v>4</v>
      </c>
      <c r="AJ557" s="37">
        <f>IF(最佳化斷筋點!K557="","",最佳化斷筋點!K557)</f>
        <v>4</v>
      </c>
      <c r="AK557" s="37">
        <f>IF(最佳化斷筋點!L557="","",最佳化斷筋點!L557)</f>
        <v>4</v>
      </c>
      <c r="AL557" s="37">
        <f>IF(最佳化斷筋點!M557="","",最佳化斷筋點!M557)</f>
        <v>4</v>
      </c>
      <c r="AM557" s="37">
        <f>IF(最佳化斷筋點!N557="","",最佳化斷筋點!N557)</f>
        <v>4</v>
      </c>
      <c r="AN557" s="37">
        <f>IF(最佳化斷筋點!O557="","",最佳化斷筋點!O557)</f>
        <v>4</v>
      </c>
      <c r="AO557" s="37">
        <f>IF(最佳化斷筋點!P557="","",最佳化斷筋點!P557)</f>
        <v>4</v>
      </c>
      <c r="AP557" s="37">
        <f>IF(最佳化斷筋點!Q557="","",最佳化斷筋點!Q557)</f>
        <v>4</v>
      </c>
      <c r="AQ557" s="37">
        <f>IF(最佳化斷筋點!R557="","",最佳化斷筋點!R557)</f>
        <v>4</v>
      </c>
      <c r="AR557" s="37">
        <f>IF(最佳化斷筋點!S557="","",最佳化斷筋點!S557)</f>
        <v>4</v>
      </c>
      <c r="AS557" s="37">
        <f>IF(最佳化斷筋點!T557="","",最佳化斷筋點!T557)</f>
        <v>5</v>
      </c>
      <c r="AT557" s="37">
        <f>IF(最佳化斷筋點!U557="","",最佳化斷筋點!U557)</f>
        <v>5</v>
      </c>
      <c r="AU557" s="37">
        <f>IF(最佳化斷筋點!V557="","",最佳化斷筋點!V557)</f>
        <v>6</v>
      </c>
      <c r="AV557" s="37">
        <f>IF(最佳化斷筋點!W557="","",最佳化斷筋點!W557)</f>
        <v>6</v>
      </c>
      <c r="AW557" s="37">
        <f>IF(最佳化斷筋點!X557="","",最佳化斷筋點!X557)</f>
        <v>6</v>
      </c>
      <c r="AY557" s="6" t="s">
        <v>21</v>
      </c>
      <c r="AZ557" s="37">
        <v>6</v>
      </c>
      <c r="BA557" s="37">
        <v>6</v>
      </c>
      <c r="BB557" s="37">
        <v>6</v>
      </c>
      <c r="BC557" s="37">
        <v>6</v>
      </c>
      <c r="BD557" s="37">
        <v>5</v>
      </c>
      <c r="BE557" s="37">
        <v>5</v>
      </c>
      <c r="BF557" s="37">
        <v>4</v>
      </c>
      <c r="BG557" s="37">
        <v>4</v>
      </c>
      <c r="BH557" s="37">
        <v>4</v>
      </c>
      <c r="BI557" s="37">
        <v>4</v>
      </c>
      <c r="BJ557" s="37">
        <v>4</v>
      </c>
      <c r="BK557" s="37">
        <v>4</v>
      </c>
      <c r="BL557" s="37">
        <v>4</v>
      </c>
      <c r="BM557" s="37">
        <v>4</v>
      </c>
      <c r="BN557" s="37">
        <v>4</v>
      </c>
      <c r="BO557" s="37">
        <v>4</v>
      </c>
      <c r="BP557" s="37">
        <v>5</v>
      </c>
      <c r="BQ557" s="37">
        <v>5</v>
      </c>
      <c r="BR557" s="37">
        <v>6</v>
      </c>
      <c r="BS557" s="37">
        <v>6</v>
      </c>
      <c r="BT557" s="37">
        <v>6</v>
      </c>
    </row>
    <row r="558" spans="5:72" x14ac:dyDescent="0.25">
      <c r="F558" s="6">
        <f t="shared" si="169"/>
        <v>0</v>
      </c>
      <c r="G558" s="6">
        <f t="shared" si="170"/>
        <v>0</v>
      </c>
      <c r="H558" s="6">
        <f t="shared" si="171"/>
        <v>0</v>
      </c>
      <c r="I558" s="6">
        <f t="shared" si="172"/>
        <v>0</v>
      </c>
      <c r="J558" s="6">
        <f t="shared" si="173"/>
        <v>0</v>
      </c>
      <c r="K558" s="6">
        <f t="shared" si="174"/>
        <v>0</v>
      </c>
      <c r="L558" s="6">
        <f t="shared" si="175"/>
        <v>0</v>
      </c>
      <c r="M558" s="6">
        <f t="shared" si="176"/>
        <v>0</v>
      </c>
      <c r="N558" s="6">
        <f t="shared" si="177"/>
        <v>0</v>
      </c>
      <c r="O558" s="6">
        <f t="shared" si="178"/>
        <v>0</v>
      </c>
      <c r="P558" s="6">
        <f t="shared" si="179"/>
        <v>0</v>
      </c>
      <c r="Q558" s="6">
        <f t="shared" si="180"/>
        <v>0</v>
      </c>
      <c r="R558" s="6">
        <f t="shared" si="181"/>
        <v>0</v>
      </c>
      <c r="S558" s="6">
        <f t="shared" si="182"/>
        <v>0</v>
      </c>
      <c r="T558" s="6">
        <f t="shared" si="183"/>
        <v>0</v>
      </c>
      <c r="U558" s="6">
        <f t="shared" si="184"/>
        <v>0</v>
      </c>
      <c r="V558" s="6">
        <f t="shared" si="185"/>
        <v>0</v>
      </c>
      <c r="W558" s="6">
        <f t="shared" si="186"/>
        <v>0</v>
      </c>
      <c r="X558" s="6">
        <f t="shared" si="187"/>
        <v>0</v>
      </c>
      <c r="Y558" s="6">
        <f t="shared" si="188"/>
        <v>0</v>
      </c>
      <c r="Z558" s="6">
        <f t="shared" si="189"/>
        <v>0</v>
      </c>
      <c r="AB558" s="36" t="str">
        <f>IF(最佳化斷筋點!C558="","",最佳化斷筋點!C558)</f>
        <v/>
      </c>
      <c r="AC558" s="37" t="str">
        <f>IF(最佳化斷筋點!D558="","",最佳化斷筋點!D558)</f>
        <v/>
      </c>
      <c r="AD558" s="37" t="str">
        <f>IF(最佳化斷筋點!E558="","",最佳化斷筋點!E558)</f>
        <v/>
      </c>
      <c r="AE558" s="37" t="str">
        <f>IF(最佳化斷筋點!F558="","",最佳化斷筋點!F558)</f>
        <v/>
      </c>
      <c r="AF558" s="37" t="str">
        <f>IF(最佳化斷筋點!G558="","",最佳化斷筋點!G558)</f>
        <v/>
      </c>
      <c r="AG558" s="37" t="str">
        <f>IF(最佳化斷筋點!H558="","",最佳化斷筋點!H558)</f>
        <v/>
      </c>
      <c r="AH558" s="37" t="str">
        <f>IF(最佳化斷筋點!I558="","",最佳化斷筋點!I558)</f>
        <v/>
      </c>
      <c r="AI558" s="37" t="str">
        <f>IF(最佳化斷筋點!J558="","",最佳化斷筋點!J558)</f>
        <v/>
      </c>
      <c r="AJ558" s="37" t="str">
        <f>IF(最佳化斷筋點!K558="","",最佳化斷筋點!K558)</f>
        <v/>
      </c>
      <c r="AK558" s="37" t="str">
        <f>IF(最佳化斷筋點!L558="","",最佳化斷筋點!L558)</f>
        <v/>
      </c>
      <c r="AL558" s="37" t="str">
        <f>IF(最佳化斷筋點!M558="","",最佳化斷筋點!M558)</f>
        <v/>
      </c>
      <c r="AM558" s="37" t="str">
        <f>IF(最佳化斷筋點!N558="","",最佳化斷筋點!N558)</f>
        <v/>
      </c>
      <c r="AN558" s="37" t="str">
        <f>IF(最佳化斷筋點!O558="","",最佳化斷筋點!O558)</f>
        <v/>
      </c>
      <c r="AO558" s="37" t="str">
        <f>IF(最佳化斷筋點!P558="","",最佳化斷筋點!P558)</f>
        <v/>
      </c>
      <c r="AP558" s="37" t="str">
        <f>IF(最佳化斷筋點!Q558="","",最佳化斷筋點!Q558)</f>
        <v/>
      </c>
      <c r="AQ558" s="37" t="str">
        <f>IF(最佳化斷筋點!R558="","",最佳化斷筋點!R558)</f>
        <v/>
      </c>
      <c r="AR558" s="37" t="str">
        <f>IF(最佳化斷筋點!S558="","",最佳化斷筋點!S558)</f>
        <v/>
      </c>
      <c r="AS558" s="37" t="str">
        <f>IF(最佳化斷筋點!T558="","",最佳化斷筋點!T558)</f>
        <v/>
      </c>
      <c r="AT558" s="37" t="str">
        <f>IF(最佳化斷筋點!U558="","",最佳化斷筋點!U558)</f>
        <v/>
      </c>
      <c r="AU558" s="37" t="str">
        <f>IF(最佳化斷筋點!V558="","",最佳化斷筋點!V558)</f>
        <v/>
      </c>
      <c r="AV558" s="37" t="str">
        <f>IF(最佳化斷筋點!W558="","",最佳化斷筋點!W558)</f>
        <v/>
      </c>
      <c r="AW558" s="37" t="str">
        <f>IF(最佳化斷筋點!X558="","",最佳化斷筋點!X558)</f>
        <v/>
      </c>
      <c r="AZ558" s="37" t="s">
        <v>197</v>
      </c>
      <c r="BA558" s="37" t="s">
        <v>197</v>
      </c>
      <c r="BB558" s="37" t="s">
        <v>197</v>
      </c>
      <c r="BC558" s="37" t="s">
        <v>197</v>
      </c>
      <c r="BD558" s="37" t="s">
        <v>197</v>
      </c>
      <c r="BE558" s="37" t="s">
        <v>197</v>
      </c>
      <c r="BF558" s="37" t="s">
        <v>197</v>
      </c>
      <c r="BG558" s="37" t="s">
        <v>197</v>
      </c>
      <c r="BH558" s="37" t="s">
        <v>197</v>
      </c>
      <c r="BI558" s="37" t="s">
        <v>197</v>
      </c>
      <c r="BJ558" s="37" t="s">
        <v>197</v>
      </c>
      <c r="BK558" s="37" t="s">
        <v>197</v>
      </c>
      <c r="BL558" s="37" t="s">
        <v>197</v>
      </c>
      <c r="BM558" s="37" t="s">
        <v>197</v>
      </c>
      <c r="BN558" s="37" t="s">
        <v>197</v>
      </c>
      <c r="BO558" s="37" t="s">
        <v>197</v>
      </c>
      <c r="BP558" s="37" t="s">
        <v>197</v>
      </c>
      <c r="BQ558" s="37" t="s">
        <v>197</v>
      </c>
      <c r="BR558" s="37" t="s">
        <v>197</v>
      </c>
      <c r="BS558" s="37" t="s">
        <v>197</v>
      </c>
      <c r="BT558" s="37" t="s">
        <v>197</v>
      </c>
    </row>
    <row r="559" spans="5:72" x14ac:dyDescent="0.25">
      <c r="E559" s="6" t="s">
        <v>20</v>
      </c>
      <c r="F559" s="6">
        <f t="shared" si="169"/>
        <v>0</v>
      </c>
      <c r="G559" s="6">
        <f t="shared" si="170"/>
        <v>0</v>
      </c>
      <c r="H559" s="6">
        <f t="shared" si="171"/>
        <v>0</v>
      </c>
      <c r="I559" s="6">
        <f t="shared" si="172"/>
        <v>0</v>
      </c>
      <c r="J559" s="6">
        <f t="shared" si="173"/>
        <v>0</v>
      </c>
      <c r="K559" s="6">
        <f t="shared" si="174"/>
        <v>0</v>
      </c>
      <c r="L559" s="6">
        <f t="shared" si="175"/>
        <v>0</v>
      </c>
      <c r="M559" s="6">
        <f t="shared" si="176"/>
        <v>0</v>
      </c>
      <c r="N559" s="6">
        <f t="shared" si="177"/>
        <v>0</v>
      </c>
      <c r="O559" s="6">
        <f t="shared" si="178"/>
        <v>0</v>
      </c>
      <c r="P559" s="6">
        <f t="shared" si="179"/>
        <v>0</v>
      </c>
      <c r="Q559" s="6">
        <f t="shared" si="180"/>
        <v>0</v>
      </c>
      <c r="R559" s="6">
        <f t="shared" si="181"/>
        <v>0</v>
      </c>
      <c r="S559" s="6">
        <f t="shared" si="182"/>
        <v>0</v>
      </c>
      <c r="T559" s="6">
        <f t="shared" si="183"/>
        <v>0</v>
      </c>
      <c r="U559" s="6">
        <f t="shared" si="184"/>
        <v>0</v>
      </c>
      <c r="V559" s="6">
        <f t="shared" si="185"/>
        <v>0</v>
      </c>
      <c r="W559" s="6">
        <f t="shared" si="186"/>
        <v>0</v>
      </c>
      <c r="X559" s="6">
        <f t="shared" si="187"/>
        <v>0</v>
      </c>
      <c r="Y559" s="6">
        <f t="shared" si="188"/>
        <v>0</v>
      </c>
      <c r="Z559" s="6">
        <f t="shared" si="189"/>
        <v>0</v>
      </c>
      <c r="AB559" s="36" t="str">
        <f>IF(最佳化斷筋點!C559="","",最佳化斷筋點!C559)</f>
        <v>上層</v>
      </c>
      <c r="AC559" s="37">
        <f>IF(最佳化斷筋點!D559="","",最佳化斷筋點!D559)</f>
        <v>9</v>
      </c>
      <c r="AD559" s="37">
        <f>IF(最佳化斷筋點!E559="","",最佳化斷筋點!E559)</f>
        <v>9</v>
      </c>
      <c r="AE559" s="37">
        <f>IF(最佳化斷筋點!F559="","",最佳化斷筋點!F559)</f>
        <v>9</v>
      </c>
      <c r="AF559" s="37">
        <f>IF(最佳化斷筋點!G559="","",最佳化斷筋點!G559)</f>
        <v>9</v>
      </c>
      <c r="AG559" s="37">
        <f>IF(最佳化斷筋點!H559="","",最佳化斷筋點!H559)</f>
        <v>9</v>
      </c>
      <c r="AH559" s="37">
        <f>IF(最佳化斷筋點!I559="","",最佳化斷筋點!I559)</f>
        <v>9</v>
      </c>
      <c r="AI559" s="37">
        <f>IF(最佳化斷筋點!J559="","",最佳化斷筋點!J559)</f>
        <v>9</v>
      </c>
      <c r="AJ559" s="37">
        <f>IF(最佳化斷筋點!K559="","",最佳化斷筋點!K559)</f>
        <v>8</v>
      </c>
      <c r="AK559" s="37">
        <f>IF(最佳化斷筋點!L559="","",最佳化斷筋點!L559)</f>
        <v>8</v>
      </c>
      <c r="AL559" s="37">
        <f>IF(最佳化斷筋點!M559="","",最佳化斷筋點!M559)</f>
        <v>7</v>
      </c>
      <c r="AM559" s="37">
        <f>IF(最佳化斷筋點!N559="","",最佳化斷筋點!N559)</f>
        <v>6</v>
      </c>
      <c r="AN559" s="37">
        <f>IF(最佳化斷筋點!O559="","",最佳化斷筋點!O559)</f>
        <v>6</v>
      </c>
      <c r="AO559" s="37">
        <f>IF(最佳化斷筋點!P559="","",最佳化斷筋點!P559)</f>
        <v>6</v>
      </c>
      <c r="AP559" s="37">
        <f>IF(最佳化斷筋點!Q559="","",最佳化斷筋點!Q559)</f>
        <v>7</v>
      </c>
      <c r="AQ559" s="37">
        <f>IF(最佳化斷筋點!R559="","",最佳化斷筋點!R559)</f>
        <v>8</v>
      </c>
      <c r="AR559" s="37">
        <f>IF(最佳化斷筋點!S559="","",最佳化斷筋點!S559)</f>
        <v>8</v>
      </c>
      <c r="AS559" s="37">
        <f>IF(最佳化斷筋點!T559="","",最佳化斷筋點!T559)</f>
        <v>8</v>
      </c>
      <c r="AT559" s="37">
        <f>IF(最佳化斷筋點!U559="","",最佳化斷筋點!U559)</f>
        <v>8</v>
      </c>
      <c r="AU559" s="37">
        <f>IF(最佳化斷筋點!V559="","",最佳化斷筋點!V559)</f>
        <v>8</v>
      </c>
      <c r="AV559" s="37">
        <f>IF(最佳化斷筋點!W559="","",最佳化斷筋點!W559)</f>
        <v>8</v>
      </c>
      <c r="AW559" s="37">
        <f>IF(最佳化斷筋點!X559="","",最佳化斷筋點!X559)</f>
        <v>8</v>
      </c>
      <c r="AY559" s="6" t="s">
        <v>20</v>
      </c>
      <c r="AZ559" s="37">
        <v>9</v>
      </c>
      <c r="BA559" s="37">
        <v>9</v>
      </c>
      <c r="BB559" s="37">
        <v>9</v>
      </c>
      <c r="BC559" s="37">
        <v>9</v>
      </c>
      <c r="BD559" s="37">
        <v>9</v>
      </c>
      <c r="BE559" s="37">
        <v>9</v>
      </c>
      <c r="BF559" s="37">
        <v>9</v>
      </c>
      <c r="BG559" s="37">
        <v>8</v>
      </c>
      <c r="BH559" s="37">
        <v>8</v>
      </c>
      <c r="BI559" s="37">
        <v>7</v>
      </c>
      <c r="BJ559" s="37">
        <v>6</v>
      </c>
      <c r="BK559" s="37">
        <v>6</v>
      </c>
      <c r="BL559" s="37">
        <v>6</v>
      </c>
      <c r="BM559" s="37">
        <v>7</v>
      </c>
      <c r="BN559" s="37">
        <v>8</v>
      </c>
      <c r="BO559" s="37">
        <v>8</v>
      </c>
      <c r="BP559" s="37">
        <v>8</v>
      </c>
      <c r="BQ559" s="37">
        <v>8</v>
      </c>
      <c r="BR559" s="37">
        <v>8</v>
      </c>
      <c r="BS559" s="37">
        <v>8</v>
      </c>
      <c r="BT559" s="37">
        <v>8</v>
      </c>
    </row>
    <row r="560" spans="5:72" x14ac:dyDescent="0.25">
      <c r="F560" s="6">
        <f t="shared" si="169"/>
        <v>0</v>
      </c>
      <c r="G560" s="6">
        <f t="shared" si="170"/>
        <v>0</v>
      </c>
      <c r="H560" s="6">
        <f t="shared" si="171"/>
        <v>0</v>
      </c>
      <c r="I560" s="6">
        <f t="shared" si="172"/>
        <v>0</v>
      </c>
      <c r="J560" s="6">
        <f t="shared" si="173"/>
        <v>0</v>
      </c>
      <c r="K560" s="6">
        <f t="shared" si="174"/>
        <v>0</v>
      </c>
      <c r="L560" s="6">
        <f t="shared" si="175"/>
        <v>0</v>
      </c>
      <c r="M560" s="6">
        <f t="shared" si="176"/>
        <v>0</v>
      </c>
      <c r="N560" s="6">
        <f t="shared" si="177"/>
        <v>0</v>
      </c>
      <c r="O560" s="6">
        <f t="shared" si="178"/>
        <v>0</v>
      </c>
      <c r="P560" s="6">
        <f t="shared" si="179"/>
        <v>0</v>
      </c>
      <c r="Q560" s="6">
        <f t="shared" si="180"/>
        <v>0</v>
      </c>
      <c r="R560" s="6">
        <f t="shared" si="181"/>
        <v>0</v>
      </c>
      <c r="S560" s="6">
        <f t="shared" si="182"/>
        <v>0</v>
      </c>
      <c r="T560" s="6">
        <f t="shared" si="183"/>
        <v>0</v>
      </c>
      <c r="U560" s="6">
        <f t="shared" si="184"/>
        <v>0</v>
      </c>
      <c r="V560" s="6">
        <f t="shared" si="185"/>
        <v>0</v>
      </c>
      <c r="W560" s="6">
        <f t="shared" si="186"/>
        <v>0</v>
      </c>
      <c r="X560" s="6">
        <f t="shared" si="187"/>
        <v>0</v>
      </c>
      <c r="Y560" s="6">
        <f t="shared" si="188"/>
        <v>0</v>
      </c>
      <c r="Z560" s="6">
        <f t="shared" si="189"/>
        <v>0</v>
      </c>
      <c r="AB560" s="36" t="str">
        <f>IF(最佳化斷筋點!C560="","",最佳化斷筋點!C560)</f>
        <v/>
      </c>
      <c r="AC560" s="37" t="str">
        <f>IF(最佳化斷筋點!D560="","",最佳化斷筋點!D560)</f>
        <v/>
      </c>
      <c r="AD560" s="37" t="str">
        <f>IF(最佳化斷筋點!E560="","",最佳化斷筋點!E560)</f>
        <v/>
      </c>
      <c r="AE560" s="37" t="str">
        <f>IF(最佳化斷筋點!F560="","",最佳化斷筋點!F560)</f>
        <v/>
      </c>
      <c r="AF560" s="37" t="str">
        <f>IF(最佳化斷筋點!G560="","",最佳化斷筋點!G560)</f>
        <v/>
      </c>
      <c r="AG560" s="37" t="str">
        <f>IF(最佳化斷筋點!H560="","",最佳化斷筋點!H560)</f>
        <v/>
      </c>
      <c r="AH560" s="37" t="str">
        <f>IF(最佳化斷筋點!I560="","",最佳化斷筋點!I560)</f>
        <v/>
      </c>
      <c r="AI560" s="37" t="str">
        <f>IF(最佳化斷筋點!J560="","",最佳化斷筋點!J560)</f>
        <v/>
      </c>
      <c r="AJ560" s="37" t="str">
        <f>IF(最佳化斷筋點!K560="","",最佳化斷筋點!K560)</f>
        <v/>
      </c>
      <c r="AK560" s="37" t="str">
        <f>IF(最佳化斷筋點!L560="","",最佳化斷筋點!L560)</f>
        <v/>
      </c>
      <c r="AL560" s="37" t="str">
        <f>IF(最佳化斷筋點!M560="","",最佳化斷筋點!M560)</f>
        <v/>
      </c>
      <c r="AM560" s="37" t="str">
        <f>IF(最佳化斷筋點!N560="","",最佳化斷筋點!N560)</f>
        <v/>
      </c>
      <c r="AN560" s="37" t="str">
        <f>IF(最佳化斷筋點!O560="","",最佳化斷筋點!O560)</f>
        <v/>
      </c>
      <c r="AO560" s="37" t="str">
        <f>IF(最佳化斷筋點!P560="","",最佳化斷筋點!P560)</f>
        <v/>
      </c>
      <c r="AP560" s="37" t="str">
        <f>IF(最佳化斷筋點!Q560="","",最佳化斷筋點!Q560)</f>
        <v/>
      </c>
      <c r="AQ560" s="37" t="str">
        <f>IF(最佳化斷筋點!R560="","",最佳化斷筋點!R560)</f>
        <v/>
      </c>
      <c r="AR560" s="37" t="str">
        <f>IF(最佳化斷筋點!S560="","",最佳化斷筋點!S560)</f>
        <v/>
      </c>
      <c r="AS560" s="37" t="str">
        <f>IF(最佳化斷筋點!T560="","",最佳化斷筋點!T560)</f>
        <v/>
      </c>
      <c r="AT560" s="37" t="str">
        <f>IF(最佳化斷筋點!U560="","",最佳化斷筋點!U560)</f>
        <v/>
      </c>
      <c r="AU560" s="37" t="str">
        <f>IF(最佳化斷筋點!V560="","",最佳化斷筋點!V560)</f>
        <v/>
      </c>
      <c r="AV560" s="37" t="str">
        <f>IF(最佳化斷筋點!W560="","",最佳化斷筋點!W560)</f>
        <v/>
      </c>
      <c r="AW560" s="37" t="str">
        <f>IF(最佳化斷筋點!X560="","",最佳化斷筋點!X560)</f>
        <v/>
      </c>
      <c r="AZ560" s="37" t="s">
        <v>197</v>
      </c>
      <c r="BA560" s="37" t="s">
        <v>197</v>
      </c>
      <c r="BB560" s="37" t="s">
        <v>197</v>
      </c>
      <c r="BC560" s="37" t="s">
        <v>197</v>
      </c>
      <c r="BD560" s="37" t="s">
        <v>197</v>
      </c>
      <c r="BE560" s="37" t="s">
        <v>197</v>
      </c>
      <c r="BF560" s="37" t="s">
        <v>197</v>
      </c>
      <c r="BG560" s="37" t="s">
        <v>197</v>
      </c>
      <c r="BH560" s="37" t="s">
        <v>197</v>
      </c>
      <c r="BI560" s="37" t="s">
        <v>197</v>
      </c>
      <c r="BJ560" s="37" t="s">
        <v>197</v>
      </c>
      <c r="BK560" s="37" t="s">
        <v>197</v>
      </c>
      <c r="BL560" s="37" t="s">
        <v>197</v>
      </c>
      <c r="BM560" s="37" t="s">
        <v>197</v>
      </c>
      <c r="BN560" s="37" t="s">
        <v>197</v>
      </c>
      <c r="BO560" s="37" t="s">
        <v>197</v>
      </c>
      <c r="BP560" s="37" t="s">
        <v>197</v>
      </c>
      <c r="BQ560" s="37" t="s">
        <v>197</v>
      </c>
      <c r="BR560" s="37" t="s">
        <v>197</v>
      </c>
      <c r="BS560" s="37" t="s">
        <v>197</v>
      </c>
      <c r="BT560" s="37" t="s">
        <v>197</v>
      </c>
    </row>
    <row r="561" spans="5:72" x14ac:dyDescent="0.25">
      <c r="E561" s="6" t="s">
        <v>21</v>
      </c>
      <c r="F561" s="6">
        <f t="shared" si="169"/>
        <v>0</v>
      </c>
      <c r="G561" s="6">
        <f t="shared" si="170"/>
        <v>0</v>
      </c>
      <c r="H561" s="6">
        <f t="shared" si="171"/>
        <v>0</v>
      </c>
      <c r="I561" s="6">
        <f t="shared" si="172"/>
        <v>0</v>
      </c>
      <c r="J561" s="6">
        <f t="shared" si="173"/>
        <v>0</v>
      </c>
      <c r="K561" s="6">
        <f t="shared" si="174"/>
        <v>0</v>
      </c>
      <c r="L561" s="6">
        <f t="shared" si="175"/>
        <v>0</v>
      </c>
      <c r="M561" s="6">
        <f t="shared" si="176"/>
        <v>0</v>
      </c>
      <c r="N561" s="6">
        <f t="shared" si="177"/>
        <v>0</v>
      </c>
      <c r="O561" s="6">
        <f t="shared" si="178"/>
        <v>0</v>
      </c>
      <c r="P561" s="6">
        <f t="shared" si="179"/>
        <v>0</v>
      </c>
      <c r="Q561" s="6">
        <f t="shared" si="180"/>
        <v>0</v>
      </c>
      <c r="R561" s="6">
        <f t="shared" si="181"/>
        <v>0</v>
      </c>
      <c r="S561" s="6">
        <f t="shared" si="182"/>
        <v>0</v>
      </c>
      <c r="T561" s="6">
        <f t="shared" si="183"/>
        <v>0</v>
      </c>
      <c r="U561" s="6">
        <f t="shared" si="184"/>
        <v>0</v>
      </c>
      <c r="V561" s="6">
        <f t="shared" si="185"/>
        <v>0</v>
      </c>
      <c r="W561" s="6">
        <f t="shared" si="186"/>
        <v>0</v>
      </c>
      <c r="X561" s="6">
        <f t="shared" si="187"/>
        <v>0</v>
      </c>
      <c r="Y561" s="6">
        <f t="shared" si="188"/>
        <v>0</v>
      </c>
      <c r="Z561" s="6">
        <f t="shared" si="189"/>
        <v>0</v>
      </c>
      <c r="AB561" s="36" t="str">
        <f>IF(最佳化斷筋點!C561="","",最佳化斷筋點!C561)</f>
        <v>下層</v>
      </c>
      <c r="AC561" s="37">
        <f>IF(最佳化斷筋點!D561="","",最佳化斷筋點!D561)</f>
        <v>12</v>
      </c>
      <c r="AD561" s="37">
        <f>IF(最佳化斷筋點!E561="","",最佳化斷筋點!E561)</f>
        <v>12</v>
      </c>
      <c r="AE561" s="37">
        <f>IF(最佳化斷筋點!F561="","",最佳化斷筋點!F561)</f>
        <v>12</v>
      </c>
      <c r="AF561" s="37">
        <f>IF(最佳化斷筋點!G561="","",最佳化斷筋點!G561)</f>
        <v>12</v>
      </c>
      <c r="AG561" s="37">
        <f>IF(最佳化斷筋點!H561="","",最佳化斷筋點!H561)</f>
        <v>12</v>
      </c>
      <c r="AH561" s="37">
        <f>IF(最佳化斷筋點!I561="","",最佳化斷筋點!I561)</f>
        <v>12</v>
      </c>
      <c r="AI561" s="37">
        <f>IF(最佳化斷筋點!J561="","",最佳化斷筋點!J561)</f>
        <v>12</v>
      </c>
      <c r="AJ561" s="37">
        <f>IF(最佳化斷筋點!K561="","",最佳化斷筋點!K561)</f>
        <v>12</v>
      </c>
      <c r="AK561" s="37">
        <f>IF(最佳化斷筋點!L561="","",最佳化斷筋點!L561)</f>
        <v>12</v>
      </c>
      <c r="AL561" s="37">
        <f>IF(最佳化斷筋點!M561="","",最佳化斷筋點!M561)</f>
        <v>12</v>
      </c>
      <c r="AM561" s="37">
        <f>IF(最佳化斷筋點!N561="","",最佳化斷筋點!N561)</f>
        <v>12</v>
      </c>
      <c r="AN561" s="37">
        <f>IF(最佳化斷筋點!O561="","",最佳化斷筋點!O561)</f>
        <v>12</v>
      </c>
      <c r="AO561" s="37">
        <f>IF(最佳化斷筋點!P561="","",最佳化斷筋點!P561)</f>
        <v>12</v>
      </c>
      <c r="AP561" s="37">
        <f>IF(最佳化斷筋點!Q561="","",最佳化斷筋點!Q561)</f>
        <v>12</v>
      </c>
      <c r="AQ561" s="37">
        <f>IF(最佳化斷筋點!R561="","",最佳化斷筋點!R561)</f>
        <v>12</v>
      </c>
      <c r="AR561" s="37">
        <f>IF(最佳化斷筋點!S561="","",最佳化斷筋點!S561)</f>
        <v>12</v>
      </c>
      <c r="AS561" s="37">
        <f>IF(最佳化斷筋點!T561="","",最佳化斷筋點!T561)</f>
        <v>12</v>
      </c>
      <c r="AT561" s="37">
        <f>IF(最佳化斷筋點!U561="","",最佳化斷筋點!U561)</f>
        <v>12</v>
      </c>
      <c r="AU561" s="37">
        <f>IF(最佳化斷筋點!V561="","",最佳化斷筋點!V561)</f>
        <v>12</v>
      </c>
      <c r="AV561" s="37">
        <f>IF(最佳化斷筋點!W561="","",最佳化斷筋點!W561)</f>
        <v>12</v>
      </c>
      <c r="AW561" s="37">
        <f>IF(最佳化斷筋點!X561="","",最佳化斷筋點!X561)</f>
        <v>12</v>
      </c>
      <c r="AY561" s="6" t="s">
        <v>21</v>
      </c>
      <c r="AZ561" s="37">
        <v>12</v>
      </c>
      <c r="BA561" s="37">
        <v>12</v>
      </c>
      <c r="BB561" s="37">
        <v>12</v>
      </c>
      <c r="BC561" s="37">
        <v>12</v>
      </c>
      <c r="BD561" s="37">
        <v>12</v>
      </c>
      <c r="BE561" s="37">
        <v>12</v>
      </c>
      <c r="BF561" s="37">
        <v>12</v>
      </c>
      <c r="BG561" s="37">
        <v>12</v>
      </c>
      <c r="BH561" s="37">
        <v>12</v>
      </c>
      <c r="BI561" s="37">
        <v>12</v>
      </c>
      <c r="BJ561" s="37">
        <v>12</v>
      </c>
      <c r="BK561" s="37">
        <v>12</v>
      </c>
      <c r="BL561" s="37">
        <v>12</v>
      </c>
      <c r="BM561" s="37">
        <v>12</v>
      </c>
      <c r="BN561" s="37">
        <v>12</v>
      </c>
      <c r="BO561" s="37">
        <v>12</v>
      </c>
      <c r="BP561" s="37">
        <v>12</v>
      </c>
      <c r="BQ561" s="37">
        <v>12</v>
      </c>
      <c r="BR561" s="37">
        <v>12</v>
      </c>
      <c r="BS561" s="37">
        <v>12</v>
      </c>
      <c r="BT561" s="37">
        <v>12</v>
      </c>
    </row>
    <row r="562" spans="5:72" x14ac:dyDescent="0.25">
      <c r="F562" s="6">
        <f t="shared" si="169"/>
        <v>0</v>
      </c>
      <c r="G562" s="6">
        <f t="shared" si="170"/>
        <v>0</v>
      </c>
      <c r="H562" s="6">
        <f t="shared" si="171"/>
        <v>0</v>
      </c>
      <c r="I562" s="6">
        <f t="shared" si="172"/>
        <v>0</v>
      </c>
      <c r="J562" s="6">
        <f t="shared" si="173"/>
        <v>0</v>
      </c>
      <c r="K562" s="6">
        <f t="shared" si="174"/>
        <v>0</v>
      </c>
      <c r="L562" s="6">
        <f t="shared" si="175"/>
        <v>0</v>
      </c>
      <c r="M562" s="6">
        <f t="shared" si="176"/>
        <v>0</v>
      </c>
      <c r="N562" s="6">
        <f t="shared" si="177"/>
        <v>0</v>
      </c>
      <c r="O562" s="6">
        <f t="shared" si="178"/>
        <v>0</v>
      </c>
      <c r="P562" s="6">
        <f t="shared" si="179"/>
        <v>0</v>
      </c>
      <c r="Q562" s="6">
        <f t="shared" si="180"/>
        <v>0</v>
      </c>
      <c r="R562" s="6">
        <f t="shared" si="181"/>
        <v>0</v>
      </c>
      <c r="S562" s="6">
        <f t="shared" si="182"/>
        <v>0</v>
      </c>
      <c r="T562" s="6">
        <f t="shared" si="183"/>
        <v>0</v>
      </c>
      <c r="U562" s="6">
        <f t="shared" si="184"/>
        <v>0</v>
      </c>
      <c r="V562" s="6">
        <f t="shared" si="185"/>
        <v>0</v>
      </c>
      <c r="W562" s="6">
        <f t="shared" si="186"/>
        <v>0</v>
      </c>
      <c r="X562" s="6">
        <f t="shared" si="187"/>
        <v>0</v>
      </c>
      <c r="Y562" s="6">
        <f t="shared" si="188"/>
        <v>0</v>
      </c>
      <c r="Z562" s="6">
        <f t="shared" si="189"/>
        <v>0</v>
      </c>
      <c r="AB562" s="36" t="str">
        <f>IF(最佳化斷筋點!C562="","",最佳化斷筋點!C562)</f>
        <v/>
      </c>
      <c r="AC562" s="37" t="str">
        <f>IF(最佳化斷筋點!D562="","",最佳化斷筋點!D562)</f>
        <v/>
      </c>
      <c r="AD562" s="37" t="str">
        <f>IF(最佳化斷筋點!E562="","",最佳化斷筋點!E562)</f>
        <v/>
      </c>
      <c r="AE562" s="37" t="str">
        <f>IF(最佳化斷筋點!F562="","",最佳化斷筋點!F562)</f>
        <v/>
      </c>
      <c r="AF562" s="37" t="str">
        <f>IF(最佳化斷筋點!G562="","",最佳化斷筋點!G562)</f>
        <v/>
      </c>
      <c r="AG562" s="37" t="str">
        <f>IF(最佳化斷筋點!H562="","",最佳化斷筋點!H562)</f>
        <v/>
      </c>
      <c r="AH562" s="37" t="str">
        <f>IF(最佳化斷筋點!I562="","",最佳化斷筋點!I562)</f>
        <v/>
      </c>
      <c r="AI562" s="37" t="str">
        <f>IF(最佳化斷筋點!J562="","",最佳化斷筋點!J562)</f>
        <v/>
      </c>
      <c r="AJ562" s="37" t="str">
        <f>IF(最佳化斷筋點!K562="","",最佳化斷筋點!K562)</f>
        <v/>
      </c>
      <c r="AK562" s="37" t="str">
        <f>IF(最佳化斷筋點!L562="","",最佳化斷筋點!L562)</f>
        <v/>
      </c>
      <c r="AL562" s="37" t="str">
        <f>IF(最佳化斷筋點!M562="","",最佳化斷筋點!M562)</f>
        <v/>
      </c>
      <c r="AM562" s="37" t="str">
        <f>IF(最佳化斷筋點!N562="","",最佳化斷筋點!N562)</f>
        <v/>
      </c>
      <c r="AN562" s="37" t="str">
        <f>IF(最佳化斷筋點!O562="","",最佳化斷筋點!O562)</f>
        <v/>
      </c>
      <c r="AO562" s="37" t="str">
        <f>IF(最佳化斷筋點!P562="","",最佳化斷筋點!P562)</f>
        <v/>
      </c>
      <c r="AP562" s="37" t="str">
        <f>IF(最佳化斷筋點!Q562="","",最佳化斷筋點!Q562)</f>
        <v/>
      </c>
      <c r="AQ562" s="37" t="str">
        <f>IF(最佳化斷筋點!R562="","",最佳化斷筋點!R562)</f>
        <v/>
      </c>
      <c r="AR562" s="37" t="str">
        <f>IF(最佳化斷筋點!S562="","",最佳化斷筋點!S562)</f>
        <v/>
      </c>
      <c r="AS562" s="37" t="str">
        <f>IF(最佳化斷筋點!T562="","",最佳化斷筋點!T562)</f>
        <v/>
      </c>
      <c r="AT562" s="37" t="str">
        <f>IF(最佳化斷筋點!U562="","",最佳化斷筋點!U562)</f>
        <v/>
      </c>
      <c r="AU562" s="37" t="str">
        <f>IF(最佳化斷筋點!V562="","",最佳化斷筋點!V562)</f>
        <v/>
      </c>
      <c r="AV562" s="37" t="str">
        <f>IF(最佳化斷筋點!W562="","",最佳化斷筋點!W562)</f>
        <v/>
      </c>
      <c r="AW562" s="37" t="str">
        <f>IF(最佳化斷筋點!X562="","",最佳化斷筋點!X562)</f>
        <v/>
      </c>
      <c r="AZ562" s="37" t="s">
        <v>197</v>
      </c>
      <c r="BA562" s="37" t="s">
        <v>197</v>
      </c>
      <c r="BB562" s="37" t="s">
        <v>197</v>
      </c>
      <c r="BC562" s="37" t="s">
        <v>197</v>
      </c>
      <c r="BD562" s="37" t="s">
        <v>197</v>
      </c>
      <c r="BE562" s="37" t="s">
        <v>197</v>
      </c>
      <c r="BF562" s="37" t="s">
        <v>197</v>
      </c>
      <c r="BG562" s="37" t="s">
        <v>197</v>
      </c>
      <c r="BH562" s="37" t="s">
        <v>197</v>
      </c>
      <c r="BI562" s="37" t="s">
        <v>197</v>
      </c>
      <c r="BJ562" s="37" t="s">
        <v>197</v>
      </c>
      <c r="BK562" s="37" t="s">
        <v>197</v>
      </c>
      <c r="BL562" s="37" t="s">
        <v>197</v>
      </c>
      <c r="BM562" s="37" t="s">
        <v>197</v>
      </c>
      <c r="BN562" s="37" t="s">
        <v>197</v>
      </c>
      <c r="BO562" s="37" t="s">
        <v>197</v>
      </c>
      <c r="BP562" s="37" t="s">
        <v>197</v>
      </c>
      <c r="BQ562" s="37" t="s">
        <v>197</v>
      </c>
      <c r="BR562" s="37" t="s">
        <v>197</v>
      </c>
      <c r="BS562" s="37" t="s">
        <v>197</v>
      </c>
      <c r="BT562" s="37" t="s">
        <v>197</v>
      </c>
    </row>
    <row r="563" spans="5:72" x14ac:dyDescent="0.25">
      <c r="E563" s="6" t="s">
        <v>20</v>
      </c>
      <c r="F563" s="6">
        <f t="shared" si="169"/>
        <v>0</v>
      </c>
      <c r="G563" s="6">
        <f t="shared" si="170"/>
        <v>0</v>
      </c>
      <c r="H563" s="6">
        <f t="shared" si="171"/>
        <v>0</v>
      </c>
      <c r="I563" s="6">
        <f t="shared" si="172"/>
        <v>0</v>
      </c>
      <c r="J563" s="6">
        <f t="shared" si="173"/>
        <v>0</v>
      </c>
      <c r="K563" s="6">
        <f t="shared" si="174"/>
        <v>0</v>
      </c>
      <c r="L563" s="6">
        <f t="shared" si="175"/>
        <v>0</v>
      </c>
      <c r="M563" s="6">
        <f t="shared" si="176"/>
        <v>0</v>
      </c>
      <c r="N563" s="6">
        <f t="shared" si="177"/>
        <v>0</v>
      </c>
      <c r="O563" s="6">
        <f t="shared" si="178"/>
        <v>0</v>
      </c>
      <c r="P563" s="6">
        <f t="shared" si="179"/>
        <v>0</v>
      </c>
      <c r="Q563" s="6">
        <f t="shared" si="180"/>
        <v>0</v>
      </c>
      <c r="R563" s="6">
        <f t="shared" si="181"/>
        <v>0</v>
      </c>
      <c r="S563" s="6">
        <f t="shared" si="182"/>
        <v>0</v>
      </c>
      <c r="T563" s="6">
        <f t="shared" si="183"/>
        <v>0</v>
      </c>
      <c r="U563" s="6">
        <f t="shared" si="184"/>
        <v>0</v>
      </c>
      <c r="V563" s="6">
        <f t="shared" si="185"/>
        <v>0</v>
      </c>
      <c r="W563" s="6">
        <f t="shared" si="186"/>
        <v>0</v>
      </c>
      <c r="X563" s="6">
        <f t="shared" si="187"/>
        <v>0</v>
      </c>
      <c r="Y563" s="6">
        <f t="shared" si="188"/>
        <v>0</v>
      </c>
      <c r="Z563" s="6">
        <f t="shared" si="189"/>
        <v>0</v>
      </c>
      <c r="AB563" s="36" t="str">
        <f>IF(最佳化斷筋點!C563="","",最佳化斷筋點!C563)</f>
        <v>上層</v>
      </c>
      <c r="AC563" s="37">
        <f>IF(最佳化斷筋點!D563="","",最佳化斷筋點!D563)</f>
        <v>10</v>
      </c>
      <c r="AD563" s="37">
        <f>IF(最佳化斷筋點!E563="","",最佳化斷筋點!E563)</f>
        <v>10</v>
      </c>
      <c r="AE563" s="37">
        <f>IF(最佳化斷筋點!F563="","",最佳化斷筋點!F563)</f>
        <v>10</v>
      </c>
      <c r="AF563" s="37">
        <f>IF(最佳化斷筋點!G563="","",最佳化斷筋點!G563)</f>
        <v>10</v>
      </c>
      <c r="AG563" s="37">
        <f>IF(最佳化斷筋點!H563="","",最佳化斷筋點!H563)</f>
        <v>10</v>
      </c>
      <c r="AH563" s="37">
        <f>IF(最佳化斷筋點!I563="","",最佳化斷筋點!I563)</f>
        <v>10</v>
      </c>
      <c r="AI563" s="37">
        <f>IF(最佳化斷筋點!J563="","",最佳化斷筋點!J563)</f>
        <v>10</v>
      </c>
      <c r="AJ563" s="37">
        <f>IF(最佳化斷筋點!K563="","",最佳化斷筋點!K563)</f>
        <v>4</v>
      </c>
      <c r="AK563" s="37">
        <f>IF(最佳化斷筋點!L563="","",最佳化斷筋點!L563)</f>
        <v>4</v>
      </c>
      <c r="AL563" s="37">
        <f>IF(最佳化斷筋點!M563="","",最佳化斷筋點!M563)</f>
        <v>4</v>
      </c>
      <c r="AM563" s="37">
        <f>IF(最佳化斷筋點!N563="","",最佳化斷筋點!N563)</f>
        <v>4</v>
      </c>
      <c r="AN563" s="37">
        <f>IF(最佳化斷筋點!O563="","",最佳化斷筋點!O563)</f>
        <v>4</v>
      </c>
      <c r="AO563" s="37">
        <f>IF(最佳化斷筋點!P563="","",最佳化斷筋點!P563)</f>
        <v>4</v>
      </c>
      <c r="AP563" s="37">
        <f>IF(最佳化斷筋點!Q563="","",最佳化斷筋點!Q563)</f>
        <v>6</v>
      </c>
      <c r="AQ563" s="37">
        <f>IF(最佳化斷筋點!R563="","",最佳化斷筋點!R563)</f>
        <v>7</v>
      </c>
      <c r="AR563" s="37">
        <f>IF(最佳化斷筋點!S563="","",最佳化斷筋點!S563)</f>
        <v>8</v>
      </c>
      <c r="AS563" s="37">
        <f>IF(最佳化斷筋點!T563="","",最佳化斷筋點!T563)</f>
        <v>8</v>
      </c>
      <c r="AT563" s="37">
        <f>IF(最佳化斷筋點!U563="","",最佳化斷筋點!U563)</f>
        <v>8</v>
      </c>
      <c r="AU563" s="37">
        <f>IF(最佳化斷筋點!V563="","",最佳化斷筋點!V563)</f>
        <v>8</v>
      </c>
      <c r="AV563" s="37">
        <f>IF(最佳化斷筋點!W563="","",最佳化斷筋點!W563)</f>
        <v>8</v>
      </c>
      <c r="AW563" s="37">
        <f>IF(最佳化斷筋點!X563="","",最佳化斷筋點!X563)</f>
        <v>8</v>
      </c>
      <c r="AY563" s="6" t="s">
        <v>20</v>
      </c>
      <c r="AZ563" s="37">
        <v>10</v>
      </c>
      <c r="BA563" s="37">
        <v>10</v>
      </c>
      <c r="BB563" s="37">
        <v>10</v>
      </c>
      <c r="BC563" s="37">
        <v>10</v>
      </c>
      <c r="BD563" s="37">
        <v>10</v>
      </c>
      <c r="BE563" s="37">
        <v>10</v>
      </c>
      <c r="BF563" s="37">
        <v>10</v>
      </c>
      <c r="BG563" s="37">
        <v>4</v>
      </c>
      <c r="BH563" s="37">
        <v>4</v>
      </c>
      <c r="BI563" s="37">
        <v>4</v>
      </c>
      <c r="BJ563" s="37">
        <v>4</v>
      </c>
      <c r="BK563" s="37">
        <v>4</v>
      </c>
      <c r="BL563" s="37">
        <v>4</v>
      </c>
      <c r="BM563" s="37">
        <v>6</v>
      </c>
      <c r="BN563" s="37">
        <v>7</v>
      </c>
      <c r="BO563" s="37">
        <v>8</v>
      </c>
      <c r="BP563" s="37">
        <v>8</v>
      </c>
      <c r="BQ563" s="37">
        <v>8</v>
      </c>
      <c r="BR563" s="37">
        <v>8</v>
      </c>
      <c r="BS563" s="37">
        <v>8</v>
      </c>
      <c r="BT563" s="37">
        <v>8</v>
      </c>
    </row>
    <row r="564" spans="5:72" x14ac:dyDescent="0.25">
      <c r="F564" s="6">
        <f t="shared" si="169"/>
        <v>0</v>
      </c>
      <c r="G564" s="6">
        <f t="shared" si="170"/>
        <v>0</v>
      </c>
      <c r="H564" s="6">
        <f t="shared" si="171"/>
        <v>0</v>
      </c>
      <c r="I564" s="6">
        <f t="shared" si="172"/>
        <v>0</v>
      </c>
      <c r="J564" s="6">
        <f t="shared" si="173"/>
        <v>0</v>
      </c>
      <c r="K564" s="6">
        <f t="shared" si="174"/>
        <v>0</v>
      </c>
      <c r="L564" s="6">
        <f t="shared" si="175"/>
        <v>0</v>
      </c>
      <c r="M564" s="6">
        <f t="shared" si="176"/>
        <v>0</v>
      </c>
      <c r="N564" s="6">
        <f t="shared" si="177"/>
        <v>0</v>
      </c>
      <c r="O564" s="6">
        <f t="shared" si="178"/>
        <v>0</v>
      </c>
      <c r="P564" s="6">
        <f t="shared" si="179"/>
        <v>0</v>
      </c>
      <c r="Q564" s="6">
        <f t="shared" si="180"/>
        <v>0</v>
      </c>
      <c r="R564" s="6">
        <f t="shared" si="181"/>
        <v>0</v>
      </c>
      <c r="S564" s="6">
        <f t="shared" si="182"/>
        <v>0</v>
      </c>
      <c r="T564" s="6">
        <f t="shared" si="183"/>
        <v>0</v>
      </c>
      <c r="U564" s="6">
        <f t="shared" si="184"/>
        <v>0</v>
      </c>
      <c r="V564" s="6">
        <f t="shared" si="185"/>
        <v>0</v>
      </c>
      <c r="W564" s="6">
        <f t="shared" si="186"/>
        <v>0</v>
      </c>
      <c r="X564" s="6">
        <f t="shared" si="187"/>
        <v>0</v>
      </c>
      <c r="Y564" s="6">
        <f t="shared" si="188"/>
        <v>0</v>
      </c>
      <c r="Z564" s="6">
        <f t="shared" si="189"/>
        <v>0</v>
      </c>
      <c r="AB564" s="36" t="str">
        <f>IF(最佳化斷筋點!C564="","",最佳化斷筋點!C564)</f>
        <v/>
      </c>
      <c r="AC564" s="37" t="str">
        <f>IF(最佳化斷筋點!D564="","",最佳化斷筋點!D564)</f>
        <v/>
      </c>
      <c r="AD564" s="37" t="str">
        <f>IF(最佳化斷筋點!E564="","",最佳化斷筋點!E564)</f>
        <v/>
      </c>
      <c r="AE564" s="37" t="str">
        <f>IF(最佳化斷筋點!F564="","",最佳化斷筋點!F564)</f>
        <v/>
      </c>
      <c r="AF564" s="37" t="str">
        <f>IF(最佳化斷筋點!G564="","",最佳化斷筋點!G564)</f>
        <v/>
      </c>
      <c r="AG564" s="37" t="str">
        <f>IF(最佳化斷筋點!H564="","",最佳化斷筋點!H564)</f>
        <v/>
      </c>
      <c r="AH564" s="37" t="str">
        <f>IF(最佳化斷筋點!I564="","",最佳化斷筋點!I564)</f>
        <v/>
      </c>
      <c r="AI564" s="37" t="str">
        <f>IF(最佳化斷筋點!J564="","",最佳化斷筋點!J564)</f>
        <v/>
      </c>
      <c r="AJ564" s="37" t="str">
        <f>IF(最佳化斷筋點!K564="","",最佳化斷筋點!K564)</f>
        <v/>
      </c>
      <c r="AK564" s="37" t="str">
        <f>IF(最佳化斷筋點!L564="","",最佳化斷筋點!L564)</f>
        <v/>
      </c>
      <c r="AL564" s="37" t="str">
        <f>IF(最佳化斷筋點!M564="","",最佳化斷筋點!M564)</f>
        <v/>
      </c>
      <c r="AM564" s="37" t="str">
        <f>IF(最佳化斷筋點!N564="","",最佳化斷筋點!N564)</f>
        <v/>
      </c>
      <c r="AN564" s="37" t="str">
        <f>IF(最佳化斷筋點!O564="","",最佳化斷筋點!O564)</f>
        <v/>
      </c>
      <c r="AO564" s="37" t="str">
        <f>IF(最佳化斷筋點!P564="","",最佳化斷筋點!P564)</f>
        <v/>
      </c>
      <c r="AP564" s="37" t="str">
        <f>IF(最佳化斷筋點!Q564="","",最佳化斷筋點!Q564)</f>
        <v/>
      </c>
      <c r="AQ564" s="37" t="str">
        <f>IF(最佳化斷筋點!R564="","",最佳化斷筋點!R564)</f>
        <v/>
      </c>
      <c r="AR564" s="37" t="str">
        <f>IF(最佳化斷筋點!S564="","",最佳化斷筋點!S564)</f>
        <v/>
      </c>
      <c r="AS564" s="37" t="str">
        <f>IF(最佳化斷筋點!T564="","",最佳化斷筋點!T564)</f>
        <v/>
      </c>
      <c r="AT564" s="37" t="str">
        <f>IF(最佳化斷筋點!U564="","",最佳化斷筋點!U564)</f>
        <v/>
      </c>
      <c r="AU564" s="37" t="str">
        <f>IF(最佳化斷筋點!V564="","",最佳化斷筋點!V564)</f>
        <v/>
      </c>
      <c r="AV564" s="37" t="str">
        <f>IF(最佳化斷筋點!W564="","",最佳化斷筋點!W564)</f>
        <v/>
      </c>
      <c r="AW564" s="37" t="str">
        <f>IF(最佳化斷筋點!X564="","",最佳化斷筋點!X564)</f>
        <v/>
      </c>
      <c r="AZ564" s="37" t="s">
        <v>197</v>
      </c>
      <c r="BA564" s="37" t="s">
        <v>197</v>
      </c>
      <c r="BB564" s="37" t="s">
        <v>197</v>
      </c>
      <c r="BC564" s="37" t="s">
        <v>197</v>
      </c>
      <c r="BD564" s="37" t="s">
        <v>197</v>
      </c>
      <c r="BE564" s="37" t="s">
        <v>197</v>
      </c>
      <c r="BF564" s="37" t="s">
        <v>197</v>
      </c>
      <c r="BG564" s="37" t="s">
        <v>197</v>
      </c>
      <c r="BH564" s="37" t="s">
        <v>197</v>
      </c>
      <c r="BI564" s="37" t="s">
        <v>197</v>
      </c>
      <c r="BJ564" s="37" t="s">
        <v>197</v>
      </c>
      <c r="BK564" s="37" t="s">
        <v>197</v>
      </c>
      <c r="BL564" s="37" t="s">
        <v>197</v>
      </c>
      <c r="BM564" s="37" t="s">
        <v>197</v>
      </c>
      <c r="BN564" s="37" t="s">
        <v>197</v>
      </c>
      <c r="BO564" s="37" t="s">
        <v>197</v>
      </c>
      <c r="BP564" s="37" t="s">
        <v>197</v>
      </c>
      <c r="BQ564" s="37" t="s">
        <v>197</v>
      </c>
      <c r="BR564" s="37" t="s">
        <v>197</v>
      </c>
      <c r="BS564" s="37" t="s">
        <v>197</v>
      </c>
      <c r="BT564" s="37" t="s">
        <v>197</v>
      </c>
    </row>
    <row r="565" spans="5:72" x14ac:dyDescent="0.25">
      <c r="E565" s="6" t="s">
        <v>21</v>
      </c>
      <c r="F565" s="6">
        <f t="shared" si="169"/>
        <v>0</v>
      </c>
      <c r="G565" s="6">
        <f t="shared" si="170"/>
        <v>0</v>
      </c>
      <c r="H565" s="6">
        <f t="shared" si="171"/>
        <v>0</v>
      </c>
      <c r="I565" s="6">
        <f t="shared" si="172"/>
        <v>0</v>
      </c>
      <c r="J565" s="6">
        <f t="shared" si="173"/>
        <v>0</v>
      </c>
      <c r="K565" s="6">
        <f t="shared" si="174"/>
        <v>0</v>
      </c>
      <c r="L565" s="6">
        <f t="shared" si="175"/>
        <v>0</v>
      </c>
      <c r="M565" s="6">
        <f t="shared" si="176"/>
        <v>0</v>
      </c>
      <c r="N565" s="6">
        <f t="shared" si="177"/>
        <v>0</v>
      </c>
      <c r="O565" s="6">
        <f t="shared" si="178"/>
        <v>0</v>
      </c>
      <c r="P565" s="6">
        <f t="shared" si="179"/>
        <v>0</v>
      </c>
      <c r="Q565" s="6">
        <f t="shared" si="180"/>
        <v>0</v>
      </c>
      <c r="R565" s="6">
        <f t="shared" si="181"/>
        <v>0</v>
      </c>
      <c r="S565" s="6">
        <f t="shared" si="182"/>
        <v>0</v>
      </c>
      <c r="T565" s="6">
        <f t="shared" si="183"/>
        <v>0</v>
      </c>
      <c r="U565" s="6">
        <f t="shared" si="184"/>
        <v>0</v>
      </c>
      <c r="V565" s="6">
        <f t="shared" si="185"/>
        <v>0</v>
      </c>
      <c r="W565" s="6">
        <f t="shared" si="186"/>
        <v>0</v>
      </c>
      <c r="X565" s="6">
        <f t="shared" si="187"/>
        <v>0</v>
      </c>
      <c r="Y565" s="6">
        <f t="shared" si="188"/>
        <v>0</v>
      </c>
      <c r="Z565" s="6">
        <f t="shared" si="189"/>
        <v>0</v>
      </c>
      <c r="AB565" s="36" t="str">
        <f>IF(最佳化斷筋點!C565="","",最佳化斷筋點!C565)</f>
        <v>下層</v>
      </c>
      <c r="AC565" s="37">
        <f>IF(最佳化斷筋點!D565="","",最佳化斷筋點!D565)</f>
        <v>12</v>
      </c>
      <c r="AD565" s="37">
        <f>IF(最佳化斷筋點!E565="","",最佳化斷筋點!E565)</f>
        <v>12</v>
      </c>
      <c r="AE565" s="37">
        <f>IF(最佳化斷筋點!F565="","",最佳化斷筋點!F565)</f>
        <v>12</v>
      </c>
      <c r="AF565" s="37">
        <f>IF(最佳化斷筋點!G565="","",最佳化斷筋點!G565)</f>
        <v>12</v>
      </c>
      <c r="AG565" s="37">
        <f>IF(最佳化斷筋點!H565="","",最佳化斷筋點!H565)</f>
        <v>12</v>
      </c>
      <c r="AH565" s="37">
        <f>IF(最佳化斷筋點!I565="","",最佳化斷筋點!I565)</f>
        <v>11</v>
      </c>
      <c r="AI565" s="37">
        <f>IF(最佳化斷筋點!J565="","",最佳化斷筋點!J565)</f>
        <v>10</v>
      </c>
      <c r="AJ565" s="37">
        <f>IF(最佳化斷筋點!K565="","",最佳化斷筋點!K565)</f>
        <v>5</v>
      </c>
      <c r="AK565" s="37">
        <f>IF(最佳化斷筋點!L565="","",最佳化斷筋點!L565)</f>
        <v>5</v>
      </c>
      <c r="AL565" s="37">
        <f>IF(最佳化斷筋點!M565="","",最佳化斷筋點!M565)</f>
        <v>5</v>
      </c>
      <c r="AM565" s="37">
        <f>IF(最佳化斷筋點!N565="","",最佳化斷筋點!N565)</f>
        <v>5</v>
      </c>
      <c r="AN565" s="37">
        <f>IF(最佳化斷筋點!O565="","",最佳化斷筋點!O565)</f>
        <v>5</v>
      </c>
      <c r="AO565" s="37">
        <f>IF(最佳化斷筋點!P565="","",最佳化斷筋點!P565)</f>
        <v>5</v>
      </c>
      <c r="AP565" s="37">
        <f>IF(最佳化斷筋點!Q565="","",最佳化斷筋點!Q565)</f>
        <v>9</v>
      </c>
      <c r="AQ565" s="37">
        <f>IF(最佳化斷筋點!R565="","",最佳化斷筋點!R565)</f>
        <v>10</v>
      </c>
      <c r="AR565" s="37">
        <f>IF(最佳化斷筋點!S565="","",最佳化斷筋點!S565)</f>
        <v>11</v>
      </c>
      <c r="AS565" s="37">
        <f>IF(最佳化斷筋點!T565="","",最佳化斷筋點!T565)</f>
        <v>12</v>
      </c>
      <c r="AT565" s="37">
        <f>IF(最佳化斷筋點!U565="","",最佳化斷筋點!U565)</f>
        <v>12</v>
      </c>
      <c r="AU565" s="37">
        <f>IF(最佳化斷筋點!V565="","",最佳化斷筋點!V565)</f>
        <v>12</v>
      </c>
      <c r="AV565" s="37">
        <f>IF(最佳化斷筋點!W565="","",最佳化斷筋點!W565)</f>
        <v>12</v>
      </c>
      <c r="AW565" s="37">
        <f>IF(最佳化斷筋點!X565="","",最佳化斷筋點!X565)</f>
        <v>12</v>
      </c>
      <c r="AY565" s="6" t="s">
        <v>21</v>
      </c>
      <c r="AZ565" s="37">
        <v>12</v>
      </c>
      <c r="BA565" s="37">
        <v>12</v>
      </c>
      <c r="BB565" s="37">
        <v>12</v>
      </c>
      <c r="BC565" s="37">
        <v>12</v>
      </c>
      <c r="BD565" s="37">
        <v>12</v>
      </c>
      <c r="BE565" s="37">
        <v>11</v>
      </c>
      <c r="BF565" s="37">
        <v>10</v>
      </c>
      <c r="BG565" s="37">
        <v>5</v>
      </c>
      <c r="BH565" s="37">
        <v>5</v>
      </c>
      <c r="BI565" s="37">
        <v>5</v>
      </c>
      <c r="BJ565" s="37">
        <v>5</v>
      </c>
      <c r="BK565" s="37">
        <v>5</v>
      </c>
      <c r="BL565" s="37">
        <v>5</v>
      </c>
      <c r="BM565" s="37">
        <v>9</v>
      </c>
      <c r="BN565" s="37">
        <v>10</v>
      </c>
      <c r="BO565" s="37">
        <v>11</v>
      </c>
      <c r="BP565" s="37">
        <v>12</v>
      </c>
      <c r="BQ565" s="37">
        <v>12</v>
      </c>
      <c r="BR565" s="37">
        <v>12</v>
      </c>
      <c r="BS565" s="37">
        <v>12</v>
      </c>
      <c r="BT565" s="37">
        <v>12</v>
      </c>
    </row>
    <row r="566" spans="5:72" x14ac:dyDescent="0.25">
      <c r="F566" s="6">
        <f t="shared" si="169"/>
        <v>0</v>
      </c>
      <c r="G566" s="6">
        <f t="shared" si="170"/>
        <v>0</v>
      </c>
      <c r="H566" s="6">
        <f t="shared" si="171"/>
        <v>0</v>
      </c>
      <c r="I566" s="6">
        <f t="shared" si="172"/>
        <v>0</v>
      </c>
      <c r="J566" s="6">
        <f t="shared" si="173"/>
        <v>0</v>
      </c>
      <c r="K566" s="6">
        <f t="shared" si="174"/>
        <v>0</v>
      </c>
      <c r="L566" s="6">
        <f t="shared" si="175"/>
        <v>0</v>
      </c>
      <c r="M566" s="6">
        <f t="shared" si="176"/>
        <v>0</v>
      </c>
      <c r="N566" s="6">
        <f t="shared" si="177"/>
        <v>0</v>
      </c>
      <c r="O566" s="6">
        <f t="shared" si="178"/>
        <v>0</v>
      </c>
      <c r="P566" s="6">
        <f t="shared" si="179"/>
        <v>0</v>
      </c>
      <c r="Q566" s="6">
        <f t="shared" si="180"/>
        <v>0</v>
      </c>
      <c r="R566" s="6">
        <f t="shared" si="181"/>
        <v>0</v>
      </c>
      <c r="S566" s="6">
        <f t="shared" si="182"/>
        <v>0</v>
      </c>
      <c r="T566" s="6">
        <f t="shared" si="183"/>
        <v>0</v>
      </c>
      <c r="U566" s="6">
        <f t="shared" si="184"/>
        <v>0</v>
      </c>
      <c r="V566" s="6">
        <f t="shared" si="185"/>
        <v>0</v>
      </c>
      <c r="W566" s="6">
        <f t="shared" si="186"/>
        <v>0</v>
      </c>
      <c r="X566" s="6">
        <f t="shared" si="187"/>
        <v>0</v>
      </c>
      <c r="Y566" s="6">
        <f t="shared" si="188"/>
        <v>0</v>
      </c>
      <c r="Z566" s="6">
        <f t="shared" si="189"/>
        <v>0</v>
      </c>
      <c r="AB566" s="36" t="str">
        <f>IF(最佳化斷筋點!C566="","",最佳化斷筋點!C566)</f>
        <v/>
      </c>
      <c r="AC566" s="37" t="str">
        <f>IF(最佳化斷筋點!D566="","",最佳化斷筋點!D566)</f>
        <v/>
      </c>
      <c r="AD566" s="37" t="str">
        <f>IF(最佳化斷筋點!E566="","",最佳化斷筋點!E566)</f>
        <v/>
      </c>
      <c r="AE566" s="37" t="str">
        <f>IF(最佳化斷筋點!F566="","",最佳化斷筋點!F566)</f>
        <v/>
      </c>
      <c r="AF566" s="37" t="str">
        <f>IF(最佳化斷筋點!G566="","",最佳化斷筋點!G566)</f>
        <v/>
      </c>
      <c r="AG566" s="37" t="str">
        <f>IF(最佳化斷筋點!H566="","",最佳化斷筋點!H566)</f>
        <v/>
      </c>
      <c r="AH566" s="37" t="str">
        <f>IF(最佳化斷筋點!I566="","",最佳化斷筋點!I566)</f>
        <v/>
      </c>
      <c r="AI566" s="37" t="str">
        <f>IF(最佳化斷筋點!J566="","",最佳化斷筋點!J566)</f>
        <v/>
      </c>
      <c r="AJ566" s="37" t="str">
        <f>IF(最佳化斷筋點!K566="","",最佳化斷筋點!K566)</f>
        <v/>
      </c>
      <c r="AK566" s="37" t="str">
        <f>IF(最佳化斷筋點!L566="","",最佳化斷筋點!L566)</f>
        <v/>
      </c>
      <c r="AL566" s="37" t="str">
        <f>IF(最佳化斷筋點!M566="","",最佳化斷筋點!M566)</f>
        <v/>
      </c>
      <c r="AM566" s="37" t="str">
        <f>IF(最佳化斷筋點!N566="","",最佳化斷筋點!N566)</f>
        <v/>
      </c>
      <c r="AN566" s="37" t="str">
        <f>IF(最佳化斷筋點!O566="","",最佳化斷筋點!O566)</f>
        <v/>
      </c>
      <c r="AO566" s="37" t="str">
        <f>IF(最佳化斷筋點!P566="","",最佳化斷筋點!P566)</f>
        <v/>
      </c>
      <c r="AP566" s="37" t="str">
        <f>IF(最佳化斷筋點!Q566="","",最佳化斷筋點!Q566)</f>
        <v/>
      </c>
      <c r="AQ566" s="37" t="str">
        <f>IF(最佳化斷筋點!R566="","",最佳化斷筋點!R566)</f>
        <v/>
      </c>
      <c r="AR566" s="37" t="str">
        <f>IF(最佳化斷筋點!S566="","",最佳化斷筋點!S566)</f>
        <v/>
      </c>
      <c r="AS566" s="37" t="str">
        <f>IF(最佳化斷筋點!T566="","",最佳化斷筋點!T566)</f>
        <v/>
      </c>
      <c r="AT566" s="37" t="str">
        <f>IF(最佳化斷筋點!U566="","",最佳化斷筋點!U566)</f>
        <v/>
      </c>
      <c r="AU566" s="37" t="str">
        <f>IF(最佳化斷筋點!V566="","",最佳化斷筋點!V566)</f>
        <v/>
      </c>
      <c r="AV566" s="37" t="str">
        <f>IF(最佳化斷筋點!W566="","",最佳化斷筋點!W566)</f>
        <v/>
      </c>
      <c r="AW566" s="37" t="str">
        <f>IF(最佳化斷筋點!X566="","",最佳化斷筋點!X566)</f>
        <v/>
      </c>
      <c r="AZ566" s="37" t="s">
        <v>197</v>
      </c>
      <c r="BA566" s="37" t="s">
        <v>197</v>
      </c>
      <c r="BB566" s="37" t="s">
        <v>197</v>
      </c>
      <c r="BC566" s="37" t="s">
        <v>197</v>
      </c>
      <c r="BD566" s="37" t="s">
        <v>197</v>
      </c>
      <c r="BE566" s="37" t="s">
        <v>197</v>
      </c>
      <c r="BF566" s="37" t="s">
        <v>197</v>
      </c>
      <c r="BG566" s="37" t="s">
        <v>197</v>
      </c>
      <c r="BH566" s="37" t="s">
        <v>197</v>
      </c>
      <c r="BI566" s="37" t="s">
        <v>197</v>
      </c>
      <c r="BJ566" s="37" t="s">
        <v>197</v>
      </c>
      <c r="BK566" s="37" t="s">
        <v>197</v>
      </c>
      <c r="BL566" s="37" t="s">
        <v>197</v>
      </c>
      <c r="BM566" s="37" t="s">
        <v>197</v>
      </c>
      <c r="BN566" s="37" t="s">
        <v>197</v>
      </c>
      <c r="BO566" s="37" t="s">
        <v>197</v>
      </c>
      <c r="BP566" s="37" t="s">
        <v>197</v>
      </c>
      <c r="BQ566" s="37" t="s">
        <v>197</v>
      </c>
      <c r="BR566" s="37" t="s">
        <v>197</v>
      </c>
      <c r="BS566" s="37" t="s">
        <v>197</v>
      </c>
      <c r="BT566" s="37" t="s">
        <v>197</v>
      </c>
    </row>
    <row r="567" spans="5:72" x14ac:dyDescent="0.25">
      <c r="E567" s="6" t="s">
        <v>20</v>
      </c>
      <c r="F567" s="6">
        <f t="shared" si="169"/>
        <v>0</v>
      </c>
      <c r="G567" s="6">
        <f t="shared" si="170"/>
        <v>0</v>
      </c>
      <c r="H567" s="6">
        <f t="shared" si="171"/>
        <v>0</v>
      </c>
      <c r="I567" s="6">
        <f t="shared" si="172"/>
        <v>0</v>
      </c>
      <c r="J567" s="6">
        <f t="shared" si="173"/>
        <v>0</v>
      </c>
      <c r="K567" s="6">
        <f t="shared" si="174"/>
        <v>0</v>
      </c>
      <c r="L567" s="6">
        <f t="shared" si="175"/>
        <v>0</v>
      </c>
      <c r="M567" s="6">
        <f t="shared" si="176"/>
        <v>0</v>
      </c>
      <c r="N567" s="6">
        <f t="shared" si="177"/>
        <v>0</v>
      </c>
      <c r="O567" s="6">
        <f t="shared" si="178"/>
        <v>0</v>
      </c>
      <c r="P567" s="6">
        <f t="shared" si="179"/>
        <v>0</v>
      </c>
      <c r="Q567" s="6">
        <f t="shared" si="180"/>
        <v>0</v>
      </c>
      <c r="R567" s="6">
        <f t="shared" si="181"/>
        <v>0</v>
      </c>
      <c r="S567" s="6">
        <f t="shared" si="182"/>
        <v>0</v>
      </c>
      <c r="T567" s="6">
        <f t="shared" si="183"/>
        <v>0</v>
      </c>
      <c r="U567" s="6">
        <f t="shared" si="184"/>
        <v>0</v>
      </c>
      <c r="V567" s="6">
        <f t="shared" si="185"/>
        <v>0</v>
      </c>
      <c r="W567" s="6">
        <f t="shared" si="186"/>
        <v>0</v>
      </c>
      <c r="X567" s="6">
        <f t="shared" si="187"/>
        <v>0</v>
      </c>
      <c r="Y567" s="6">
        <f t="shared" si="188"/>
        <v>0</v>
      </c>
      <c r="Z567" s="6">
        <f t="shared" si="189"/>
        <v>0</v>
      </c>
      <c r="AB567" s="36" t="str">
        <f>IF(最佳化斷筋點!C567="","",最佳化斷筋點!C567)</f>
        <v>上層</v>
      </c>
      <c r="AC567" s="37">
        <f>IF(最佳化斷筋點!D567="","",最佳化斷筋點!D567)</f>
        <v>8</v>
      </c>
      <c r="AD567" s="37">
        <f>IF(最佳化斷筋點!E567="","",最佳化斷筋點!E567)</f>
        <v>8</v>
      </c>
      <c r="AE567" s="37">
        <f>IF(最佳化斷筋點!F567="","",最佳化斷筋點!F567)</f>
        <v>8</v>
      </c>
      <c r="AF567" s="37">
        <f>IF(最佳化斷筋點!G567="","",最佳化斷筋點!G567)</f>
        <v>8</v>
      </c>
      <c r="AG567" s="37">
        <f>IF(最佳化斷筋點!H567="","",最佳化斷筋點!H567)</f>
        <v>8</v>
      </c>
      <c r="AH567" s="37">
        <f>IF(最佳化斷筋點!I567="","",最佳化斷筋點!I567)</f>
        <v>8</v>
      </c>
      <c r="AI567" s="37">
        <f>IF(最佳化斷筋點!J567="","",最佳化斷筋點!J567)</f>
        <v>8</v>
      </c>
      <c r="AJ567" s="37">
        <f>IF(最佳化斷筋點!K567="","",最佳化斷筋點!K567)</f>
        <v>7</v>
      </c>
      <c r="AK567" s="37">
        <f>IF(最佳化斷筋點!L567="","",最佳化斷筋點!L567)</f>
        <v>7</v>
      </c>
      <c r="AL567" s="37">
        <f>IF(最佳化斷筋點!M567="","",最佳化斷筋點!M567)</f>
        <v>7</v>
      </c>
      <c r="AM567" s="37">
        <f>IF(最佳化斷筋點!N567="","",最佳化斷筋點!N567)</f>
        <v>6</v>
      </c>
      <c r="AN567" s="37">
        <f>IF(最佳化斷筋點!O567="","",最佳化斷筋點!O567)</f>
        <v>6</v>
      </c>
      <c r="AO567" s="37">
        <f>IF(最佳化斷筋點!P567="","",最佳化斷筋點!P567)</f>
        <v>5</v>
      </c>
      <c r="AP567" s="37">
        <f>IF(最佳化斷筋點!Q567="","",最佳化斷筋點!Q567)</f>
        <v>6</v>
      </c>
      <c r="AQ567" s="37">
        <f>IF(最佳化斷筋點!R567="","",最佳化斷筋點!R567)</f>
        <v>6</v>
      </c>
      <c r="AR567" s="37">
        <f>IF(最佳化斷筋點!S567="","",最佳化斷筋點!S567)</f>
        <v>7</v>
      </c>
      <c r="AS567" s="37">
        <f>IF(最佳化斷筋點!T567="","",最佳化斷筋點!T567)</f>
        <v>7</v>
      </c>
      <c r="AT567" s="37">
        <f>IF(最佳化斷筋點!U567="","",最佳化斷筋點!U567)</f>
        <v>7</v>
      </c>
      <c r="AU567" s="37">
        <f>IF(最佳化斷筋點!V567="","",最佳化斷筋點!V567)</f>
        <v>7</v>
      </c>
      <c r="AV567" s="37">
        <f>IF(最佳化斷筋點!W567="","",最佳化斷筋點!W567)</f>
        <v>7</v>
      </c>
      <c r="AW567" s="37">
        <f>IF(最佳化斷筋點!X567="","",最佳化斷筋點!X567)</f>
        <v>7</v>
      </c>
      <c r="AY567" s="6" t="s">
        <v>20</v>
      </c>
      <c r="AZ567" s="37">
        <v>8</v>
      </c>
      <c r="BA567" s="37">
        <v>8</v>
      </c>
      <c r="BB567" s="37">
        <v>8</v>
      </c>
      <c r="BC567" s="37">
        <v>8</v>
      </c>
      <c r="BD567" s="37">
        <v>8</v>
      </c>
      <c r="BE567" s="37">
        <v>8</v>
      </c>
      <c r="BF567" s="37">
        <v>8</v>
      </c>
      <c r="BG567" s="37">
        <v>7</v>
      </c>
      <c r="BH567" s="37">
        <v>7</v>
      </c>
      <c r="BI567" s="37">
        <v>7</v>
      </c>
      <c r="BJ567" s="37">
        <v>6</v>
      </c>
      <c r="BK567" s="37">
        <v>6</v>
      </c>
      <c r="BL567" s="37">
        <v>5</v>
      </c>
      <c r="BM567" s="37">
        <v>6</v>
      </c>
      <c r="BN567" s="37">
        <v>6</v>
      </c>
      <c r="BO567" s="37">
        <v>7</v>
      </c>
      <c r="BP567" s="37">
        <v>7</v>
      </c>
      <c r="BQ567" s="37">
        <v>7</v>
      </c>
      <c r="BR567" s="37">
        <v>7</v>
      </c>
      <c r="BS567" s="37">
        <v>7</v>
      </c>
      <c r="BT567" s="37">
        <v>7</v>
      </c>
    </row>
    <row r="568" spans="5:72" x14ac:dyDescent="0.25">
      <c r="F568" s="6">
        <f t="shared" si="169"/>
        <v>0</v>
      </c>
      <c r="G568" s="6">
        <f t="shared" si="170"/>
        <v>0</v>
      </c>
      <c r="H568" s="6">
        <f t="shared" si="171"/>
        <v>0</v>
      </c>
      <c r="I568" s="6">
        <f t="shared" si="172"/>
        <v>0</v>
      </c>
      <c r="J568" s="6">
        <f t="shared" si="173"/>
        <v>0</v>
      </c>
      <c r="K568" s="6">
        <f t="shared" si="174"/>
        <v>0</v>
      </c>
      <c r="L568" s="6">
        <f t="shared" si="175"/>
        <v>0</v>
      </c>
      <c r="M568" s="6">
        <f t="shared" si="176"/>
        <v>0</v>
      </c>
      <c r="N568" s="6">
        <f t="shared" si="177"/>
        <v>0</v>
      </c>
      <c r="O568" s="6">
        <f t="shared" si="178"/>
        <v>0</v>
      </c>
      <c r="P568" s="6">
        <f t="shared" si="179"/>
        <v>0</v>
      </c>
      <c r="Q568" s="6">
        <f t="shared" si="180"/>
        <v>0</v>
      </c>
      <c r="R568" s="6">
        <f t="shared" si="181"/>
        <v>0</v>
      </c>
      <c r="S568" s="6">
        <f t="shared" si="182"/>
        <v>0</v>
      </c>
      <c r="T568" s="6">
        <f t="shared" si="183"/>
        <v>0</v>
      </c>
      <c r="U568" s="6">
        <f t="shared" si="184"/>
        <v>0</v>
      </c>
      <c r="V568" s="6">
        <f t="shared" si="185"/>
        <v>0</v>
      </c>
      <c r="W568" s="6">
        <f t="shared" si="186"/>
        <v>0</v>
      </c>
      <c r="X568" s="6">
        <f t="shared" si="187"/>
        <v>0</v>
      </c>
      <c r="Y568" s="6">
        <f t="shared" si="188"/>
        <v>0</v>
      </c>
      <c r="Z568" s="6">
        <f t="shared" si="189"/>
        <v>0</v>
      </c>
      <c r="AB568" s="36" t="str">
        <f>IF(最佳化斷筋點!C568="","",最佳化斷筋點!C568)</f>
        <v/>
      </c>
      <c r="AC568" s="37" t="str">
        <f>IF(最佳化斷筋點!D568="","",最佳化斷筋點!D568)</f>
        <v/>
      </c>
      <c r="AD568" s="37" t="str">
        <f>IF(最佳化斷筋點!E568="","",最佳化斷筋點!E568)</f>
        <v/>
      </c>
      <c r="AE568" s="37" t="str">
        <f>IF(最佳化斷筋點!F568="","",最佳化斷筋點!F568)</f>
        <v/>
      </c>
      <c r="AF568" s="37" t="str">
        <f>IF(最佳化斷筋點!G568="","",最佳化斷筋點!G568)</f>
        <v/>
      </c>
      <c r="AG568" s="37" t="str">
        <f>IF(最佳化斷筋點!H568="","",最佳化斷筋點!H568)</f>
        <v/>
      </c>
      <c r="AH568" s="37" t="str">
        <f>IF(最佳化斷筋點!I568="","",最佳化斷筋點!I568)</f>
        <v/>
      </c>
      <c r="AI568" s="37" t="str">
        <f>IF(最佳化斷筋點!J568="","",最佳化斷筋點!J568)</f>
        <v/>
      </c>
      <c r="AJ568" s="37" t="str">
        <f>IF(最佳化斷筋點!K568="","",最佳化斷筋點!K568)</f>
        <v/>
      </c>
      <c r="AK568" s="37" t="str">
        <f>IF(最佳化斷筋點!L568="","",最佳化斷筋點!L568)</f>
        <v/>
      </c>
      <c r="AL568" s="37" t="str">
        <f>IF(最佳化斷筋點!M568="","",最佳化斷筋點!M568)</f>
        <v/>
      </c>
      <c r="AM568" s="37" t="str">
        <f>IF(最佳化斷筋點!N568="","",最佳化斷筋點!N568)</f>
        <v/>
      </c>
      <c r="AN568" s="37" t="str">
        <f>IF(最佳化斷筋點!O568="","",最佳化斷筋點!O568)</f>
        <v/>
      </c>
      <c r="AO568" s="37" t="str">
        <f>IF(最佳化斷筋點!P568="","",最佳化斷筋點!P568)</f>
        <v/>
      </c>
      <c r="AP568" s="37" t="str">
        <f>IF(最佳化斷筋點!Q568="","",最佳化斷筋點!Q568)</f>
        <v/>
      </c>
      <c r="AQ568" s="37" t="str">
        <f>IF(最佳化斷筋點!R568="","",最佳化斷筋點!R568)</f>
        <v/>
      </c>
      <c r="AR568" s="37" t="str">
        <f>IF(最佳化斷筋點!S568="","",最佳化斷筋點!S568)</f>
        <v/>
      </c>
      <c r="AS568" s="37" t="str">
        <f>IF(最佳化斷筋點!T568="","",最佳化斷筋點!T568)</f>
        <v/>
      </c>
      <c r="AT568" s="37" t="str">
        <f>IF(最佳化斷筋點!U568="","",最佳化斷筋點!U568)</f>
        <v/>
      </c>
      <c r="AU568" s="37" t="str">
        <f>IF(最佳化斷筋點!V568="","",最佳化斷筋點!V568)</f>
        <v/>
      </c>
      <c r="AV568" s="37" t="str">
        <f>IF(最佳化斷筋點!W568="","",最佳化斷筋點!W568)</f>
        <v/>
      </c>
      <c r="AW568" s="37" t="str">
        <f>IF(最佳化斷筋點!X568="","",最佳化斷筋點!X568)</f>
        <v/>
      </c>
      <c r="AZ568" s="37" t="s">
        <v>197</v>
      </c>
      <c r="BA568" s="37" t="s">
        <v>197</v>
      </c>
      <c r="BB568" s="37" t="s">
        <v>197</v>
      </c>
      <c r="BC568" s="37" t="s">
        <v>197</v>
      </c>
      <c r="BD568" s="37" t="s">
        <v>197</v>
      </c>
      <c r="BE568" s="37" t="s">
        <v>197</v>
      </c>
      <c r="BF568" s="37" t="s">
        <v>197</v>
      </c>
      <c r="BG568" s="37" t="s">
        <v>197</v>
      </c>
      <c r="BH568" s="37" t="s">
        <v>197</v>
      </c>
      <c r="BI568" s="37" t="s">
        <v>197</v>
      </c>
      <c r="BJ568" s="37" t="s">
        <v>197</v>
      </c>
      <c r="BK568" s="37" t="s">
        <v>197</v>
      </c>
      <c r="BL568" s="37" t="s">
        <v>197</v>
      </c>
      <c r="BM568" s="37" t="s">
        <v>197</v>
      </c>
      <c r="BN568" s="37" t="s">
        <v>197</v>
      </c>
      <c r="BO568" s="37" t="s">
        <v>197</v>
      </c>
      <c r="BP568" s="37" t="s">
        <v>197</v>
      </c>
      <c r="BQ568" s="37" t="s">
        <v>197</v>
      </c>
      <c r="BR568" s="37" t="s">
        <v>197</v>
      </c>
      <c r="BS568" s="37" t="s">
        <v>197</v>
      </c>
      <c r="BT568" s="37" t="s">
        <v>197</v>
      </c>
    </row>
    <row r="569" spans="5:72" x14ac:dyDescent="0.25">
      <c r="E569" s="6" t="s">
        <v>21</v>
      </c>
      <c r="F569" s="6">
        <f t="shared" si="169"/>
        <v>0</v>
      </c>
      <c r="G569" s="6">
        <f t="shared" si="170"/>
        <v>0</v>
      </c>
      <c r="H569" s="6">
        <f t="shared" si="171"/>
        <v>0</v>
      </c>
      <c r="I569" s="6">
        <f t="shared" si="172"/>
        <v>0</v>
      </c>
      <c r="J569" s="6">
        <f t="shared" si="173"/>
        <v>0</v>
      </c>
      <c r="K569" s="6">
        <f t="shared" si="174"/>
        <v>0</v>
      </c>
      <c r="L569" s="6">
        <f t="shared" si="175"/>
        <v>0</v>
      </c>
      <c r="M569" s="6">
        <f t="shared" si="176"/>
        <v>0</v>
      </c>
      <c r="N569" s="6">
        <f t="shared" si="177"/>
        <v>0</v>
      </c>
      <c r="O569" s="6">
        <f t="shared" si="178"/>
        <v>0</v>
      </c>
      <c r="P569" s="6">
        <f t="shared" si="179"/>
        <v>0</v>
      </c>
      <c r="Q569" s="6">
        <f t="shared" si="180"/>
        <v>0</v>
      </c>
      <c r="R569" s="6">
        <f t="shared" si="181"/>
        <v>0</v>
      </c>
      <c r="S569" s="6">
        <f t="shared" si="182"/>
        <v>0</v>
      </c>
      <c r="T569" s="6">
        <f t="shared" si="183"/>
        <v>0</v>
      </c>
      <c r="U569" s="6">
        <f t="shared" si="184"/>
        <v>0</v>
      </c>
      <c r="V569" s="6">
        <f t="shared" si="185"/>
        <v>0</v>
      </c>
      <c r="W569" s="6">
        <f t="shared" si="186"/>
        <v>0</v>
      </c>
      <c r="X569" s="6">
        <f t="shared" si="187"/>
        <v>0</v>
      </c>
      <c r="Y569" s="6">
        <f t="shared" si="188"/>
        <v>0</v>
      </c>
      <c r="Z569" s="6">
        <f t="shared" si="189"/>
        <v>0</v>
      </c>
      <c r="AB569" s="36" t="str">
        <f>IF(最佳化斷筋點!C569="","",最佳化斷筋點!C569)</f>
        <v>下層</v>
      </c>
      <c r="AC569" s="37">
        <f>IF(最佳化斷筋點!D569="","",最佳化斷筋點!D569)</f>
        <v>10</v>
      </c>
      <c r="AD569" s="37">
        <f>IF(最佳化斷筋點!E569="","",最佳化斷筋點!E569)</f>
        <v>10</v>
      </c>
      <c r="AE569" s="37">
        <f>IF(最佳化斷筋點!F569="","",最佳化斷筋點!F569)</f>
        <v>10</v>
      </c>
      <c r="AF569" s="37">
        <f>IF(最佳化斷筋點!G569="","",最佳化斷筋點!G569)</f>
        <v>10</v>
      </c>
      <c r="AG569" s="37">
        <f>IF(最佳化斷筋點!H569="","",最佳化斷筋點!H569)</f>
        <v>10</v>
      </c>
      <c r="AH569" s="37">
        <f>IF(最佳化斷筋點!I569="","",最佳化斷筋點!I569)</f>
        <v>10</v>
      </c>
      <c r="AI569" s="37">
        <f>IF(最佳化斷筋點!J569="","",最佳化斷筋點!J569)</f>
        <v>10</v>
      </c>
      <c r="AJ569" s="37">
        <f>IF(最佳化斷筋點!K569="","",最佳化斷筋點!K569)</f>
        <v>10</v>
      </c>
      <c r="AK569" s="37">
        <f>IF(最佳化斷筋點!L569="","",最佳化斷筋點!L569)</f>
        <v>10</v>
      </c>
      <c r="AL569" s="37">
        <f>IF(最佳化斷筋點!M569="","",最佳化斷筋點!M569)</f>
        <v>10</v>
      </c>
      <c r="AM569" s="37">
        <f>IF(最佳化斷筋點!N569="","",最佳化斷筋點!N569)</f>
        <v>10</v>
      </c>
      <c r="AN569" s="37">
        <f>IF(最佳化斷筋點!O569="","",最佳化斷筋點!O569)</f>
        <v>10</v>
      </c>
      <c r="AO569" s="37">
        <f>IF(最佳化斷筋點!P569="","",最佳化斷筋點!P569)</f>
        <v>10</v>
      </c>
      <c r="AP569" s="37">
        <f>IF(最佳化斷筋點!Q569="","",最佳化斷筋點!Q569)</f>
        <v>10</v>
      </c>
      <c r="AQ569" s="37">
        <f>IF(最佳化斷筋點!R569="","",最佳化斷筋點!R569)</f>
        <v>10</v>
      </c>
      <c r="AR569" s="37">
        <f>IF(最佳化斷筋點!S569="","",最佳化斷筋點!S569)</f>
        <v>10</v>
      </c>
      <c r="AS569" s="37">
        <f>IF(最佳化斷筋點!T569="","",最佳化斷筋點!T569)</f>
        <v>10</v>
      </c>
      <c r="AT569" s="37">
        <f>IF(最佳化斷筋點!U569="","",最佳化斷筋點!U569)</f>
        <v>10</v>
      </c>
      <c r="AU569" s="37">
        <f>IF(最佳化斷筋點!V569="","",最佳化斷筋點!V569)</f>
        <v>10</v>
      </c>
      <c r="AV569" s="37">
        <f>IF(最佳化斷筋點!W569="","",最佳化斷筋點!W569)</f>
        <v>10</v>
      </c>
      <c r="AW569" s="37">
        <f>IF(最佳化斷筋點!X569="","",最佳化斷筋點!X569)</f>
        <v>10</v>
      </c>
      <c r="AY569" s="6" t="s">
        <v>21</v>
      </c>
      <c r="AZ569" s="37">
        <v>10</v>
      </c>
      <c r="BA569" s="37">
        <v>10</v>
      </c>
      <c r="BB569" s="37">
        <v>10</v>
      </c>
      <c r="BC569" s="37">
        <v>10</v>
      </c>
      <c r="BD569" s="37">
        <v>10</v>
      </c>
      <c r="BE569" s="37">
        <v>10</v>
      </c>
      <c r="BF569" s="37">
        <v>10</v>
      </c>
      <c r="BG569" s="37">
        <v>10</v>
      </c>
      <c r="BH569" s="37">
        <v>10</v>
      </c>
      <c r="BI569" s="37">
        <v>10</v>
      </c>
      <c r="BJ569" s="37">
        <v>10</v>
      </c>
      <c r="BK569" s="37">
        <v>10</v>
      </c>
      <c r="BL569" s="37">
        <v>10</v>
      </c>
      <c r="BM569" s="37">
        <v>10</v>
      </c>
      <c r="BN569" s="37">
        <v>10</v>
      </c>
      <c r="BO569" s="37">
        <v>10</v>
      </c>
      <c r="BP569" s="37">
        <v>10</v>
      </c>
      <c r="BQ569" s="37">
        <v>10</v>
      </c>
      <c r="BR569" s="37">
        <v>10</v>
      </c>
      <c r="BS569" s="37">
        <v>10</v>
      </c>
      <c r="BT569" s="37">
        <v>10</v>
      </c>
    </row>
    <row r="570" spans="5:72" x14ac:dyDescent="0.25">
      <c r="F570" s="6">
        <f t="shared" si="169"/>
        <v>0</v>
      </c>
      <c r="G570" s="6">
        <f t="shared" si="170"/>
        <v>0</v>
      </c>
      <c r="H570" s="6">
        <f t="shared" si="171"/>
        <v>0</v>
      </c>
      <c r="I570" s="6">
        <f t="shared" si="172"/>
        <v>0</v>
      </c>
      <c r="J570" s="6">
        <f t="shared" si="173"/>
        <v>0</v>
      </c>
      <c r="K570" s="6">
        <f t="shared" si="174"/>
        <v>0</v>
      </c>
      <c r="L570" s="6">
        <f t="shared" si="175"/>
        <v>0</v>
      </c>
      <c r="M570" s="6">
        <f t="shared" si="176"/>
        <v>0</v>
      </c>
      <c r="N570" s="6">
        <f t="shared" si="177"/>
        <v>0</v>
      </c>
      <c r="O570" s="6">
        <f t="shared" si="178"/>
        <v>0</v>
      </c>
      <c r="P570" s="6">
        <f t="shared" si="179"/>
        <v>0</v>
      </c>
      <c r="Q570" s="6">
        <f t="shared" si="180"/>
        <v>0</v>
      </c>
      <c r="R570" s="6">
        <f t="shared" si="181"/>
        <v>0</v>
      </c>
      <c r="S570" s="6">
        <f t="shared" si="182"/>
        <v>0</v>
      </c>
      <c r="T570" s="6">
        <f t="shared" si="183"/>
        <v>0</v>
      </c>
      <c r="U570" s="6">
        <f t="shared" si="184"/>
        <v>0</v>
      </c>
      <c r="V570" s="6">
        <f t="shared" si="185"/>
        <v>0</v>
      </c>
      <c r="W570" s="6">
        <f t="shared" si="186"/>
        <v>0</v>
      </c>
      <c r="X570" s="6">
        <f t="shared" si="187"/>
        <v>0</v>
      </c>
      <c r="Y570" s="6">
        <f t="shared" si="188"/>
        <v>0</v>
      </c>
      <c r="Z570" s="6">
        <f t="shared" si="189"/>
        <v>0</v>
      </c>
      <c r="AB570" s="36" t="str">
        <f>IF(最佳化斷筋點!C570="","",最佳化斷筋點!C570)</f>
        <v/>
      </c>
      <c r="AC570" s="37" t="str">
        <f>IF(最佳化斷筋點!D570="","",最佳化斷筋點!D570)</f>
        <v/>
      </c>
      <c r="AD570" s="37" t="str">
        <f>IF(最佳化斷筋點!E570="","",最佳化斷筋點!E570)</f>
        <v/>
      </c>
      <c r="AE570" s="37" t="str">
        <f>IF(最佳化斷筋點!F570="","",最佳化斷筋點!F570)</f>
        <v/>
      </c>
      <c r="AF570" s="37" t="str">
        <f>IF(最佳化斷筋點!G570="","",最佳化斷筋點!G570)</f>
        <v/>
      </c>
      <c r="AG570" s="37" t="str">
        <f>IF(最佳化斷筋點!H570="","",最佳化斷筋點!H570)</f>
        <v/>
      </c>
      <c r="AH570" s="37" t="str">
        <f>IF(最佳化斷筋點!I570="","",最佳化斷筋點!I570)</f>
        <v/>
      </c>
      <c r="AI570" s="37" t="str">
        <f>IF(最佳化斷筋點!J570="","",最佳化斷筋點!J570)</f>
        <v/>
      </c>
      <c r="AJ570" s="37" t="str">
        <f>IF(最佳化斷筋點!K570="","",最佳化斷筋點!K570)</f>
        <v/>
      </c>
      <c r="AK570" s="37" t="str">
        <f>IF(最佳化斷筋點!L570="","",最佳化斷筋點!L570)</f>
        <v/>
      </c>
      <c r="AL570" s="37" t="str">
        <f>IF(最佳化斷筋點!M570="","",最佳化斷筋點!M570)</f>
        <v/>
      </c>
      <c r="AM570" s="37" t="str">
        <f>IF(最佳化斷筋點!N570="","",最佳化斷筋點!N570)</f>
        <v/>
      </c>
      <c r="AN570" s="37" t="str">
        <f>IF(最佳化斷筋點!O570="","",最佳化斷筋點!O570)</f>
        <v/>
      </c>
      <c r="AO570" s="37" t="str">
        <f>IF(最佳化斷筋點!P570="","",最佳化斷筋點!P570)</f>
        <v/>
      </c>
      <c r="AP570" s="37" t="str">
        <f>IF(最佳化斷筋點!Q570="","",最佳化斷筋點!Q570)</f>
        <v/>
      </c>
      <c r="AQ570" s="37" t="str">
        <f>IF(最佳化斷筋點!R570="","",最佳化斷筋點!R570)</f>
        <v/>
      </c>
      <c r="AR570" s="37" t="str">
        <f>IF(最佳化斷筋點!S570="","",最佳化斷筋點!S570)</f>
        <v/>
      </c>
      <c r="AS570" s="37" t="str">
        <f>IF(最佳化斷筋點!T570="","",最佳化斷筋點!T570)</f>
        <v/>
      </c>
      <c r="AT570" s="37" t="str">
        <f>IF(最佳化斷筋點!U570="","",最佳化斷筋點!U570)</f>
        <v/>
      </c>
      <c r="AU570" s="37" t="str">
        <f>IF(最佳化斷筋點!V570="","",最佳化斷筋點!V570)</f>
        <v/>
      </c>
      <c r="AV570" s="37" t="str">
        <f>IF(最佳化斷筋點!W570="","",最佳化斷筋點!W570)</f>
        <v/>
      </c>
      <c r="AW570" s="37" t="str">
        <f>IF(最佳化斷筋點!X570="","",最佳化斷筋點!X570)</f>
        <v/>
      </c>
      <c r="AZ570" s="37" t="s">
        <v>197</v>
      </c>
      <c r="BA570" s="37" t="s">
        <v>197</v>
      </c>
      <c r="BB570" s="37" t="s">
        <v>197</v>
      </c>
      <c r="BC570" s="37" t="s">
        <v>197</v>
      </c>
      <c r="BD570" s="37" t="s">
        <v>197</v>
      </c>
      <c r="BE570" s="37" t="s">
        <v>197</v>
      </c>
      <c r="BF570" s="37" t="s">
        <v>197</v>
      </c>
      <c r="BG570" s="37" t="s">
        <v>197</v>
      </c>
      <c r="BH570" s="37" t="s">
        <v>197</v>
      </c>
      <c r="BI570" s="37" t="s">
        <v>197</v>
      </c>
      <c r="BJ570" s="37" t="s">
        <v>197</v>
      </c>
      <c r="BK570" s="37" t="s">
        <v>197</v>
      </c>
      <c r="BL570" s="37" t="s">
        <v>197</v>
      </c>
      <c r="BM570" s="37" t="s">
        <v>197</v>
      </c>
      <c r="BN570" s="37" t="s">
        <v>197</v>
      </c>
      <c r="BO570" s="37" t="s">
        <v>197</v>
      </c>
      <c r="BP570" s="37" t="s">
        <v>197</v>
      </c>
      <c r="BQ570" s="37" t="s">
        <v>197</v>
      </c>
      <c r="BR570" s="37" t="s">
        <v>197</v>
      </c>
      <c r="BS570" s="37" t="s">
        <v>197</v>
      </c>
      <c r="BT570" s="37" t="s">
        <v>197</v>
      </c>
    </row>
    <row r="571" spans="5:72" x14ac:dyDescent="0.25">
      <c r="E571" s="6" t="s">
        <v>20</v>
      </c>
      <c r="F571" s="6">
        <f t="shared" si="169"/>
        <v>0</v>
      </c>
      <c r="G571" s="6">
        <f t="shared" si="170"/>
        <v>0</v>
      </c>
      <c r="H571" s="6">
        <f t="shared" si="171"/>
        <v>0</v>
      </c>
      <c r="I571" s="6">
        <f t="shared" si="172"/>
        <v>0</v>
      </c>
      <c r="J571" s="6">
        <f t="shared" si="173"/>
        <v>0</v>
      </c>
      <c r="K571" s="6">
        <f t="shared" si="174"/>
        <v>0</v>
      </c>
      <c r="L571" s="6">
        <f t="shared" si="175"/>
        <v>0</v>
      </c>
      <c r="M571" s="6">
        <f t="shared" si="176"/>
        <v>0</v>
      </c>
      <c r="N571" s="6">
        <f t="shared" si="177"/>
        <v>0</v>
      </c>
      <c r="O571" s="6">
        <f t="shared" si="178"/>
        <v>0</v>
      </c>
      <c r="P571" s="6">
        <f t="shared" si="179"/>
        <v>0</v>
      </c>
      <c r="Q571" s="6">
        <f t="shared" si="180"/>
        <v>0</v>
      </c>
      <c r="R571" s="6">
        <f t="shared" si="181"/>
        <v>0</v>
      </c>
      <c r="S571" s="6">
        <f t="shared" si="182"/>
        <v>0</v>
      </c>
      <c r="T571" s="6">
        <f t="shared" si="183"/>
        <v>0</v>
      </c>
      <c r="U571" s="6">
        <f t="shared" si="184"/>
        <v>0</v>
      </c>
      <c r="V571" s="6">
        <f t="shared" si="185"/>
        <v>0</v>
      </c>
      <c r="W571" s="6">
        <f t="shared" si="186"/>
        <v>0</v>
      </c>
      <c r="X571" s="6">
        <f t="shared" si="187"/>
        <v>0</v>
      </c>
      <c r="Y571" s="6">
        <f t="shared" si="188"/>
        <v>0</v>
      </c>
      <c r="Z571" s="6">
        <f t="shared" si="189"/>
        <v>0</v>
      </c>
      <c r="AB571" s="36" t="str">
        <f>IF(最佳化斷筋點!C571="","",最佳化斷筋點!C571)</f>
        <v>上層</v>
      </c>
      <c r="AC571" s="37">
        <f>IF(最佳化斷筋點!D571="","",最佳化斷筋點!D571)</f>
        <v>8</v>
      </c>
      <c r="AD571" s="37">
        <f>IF(最佳化斷筋點!E571="","",最佳化斷筋點!E571)</f>
        <v>8</v>
      </c>
      <c r="AE571" s="37">
        <f>IF(最佳化斷筋點!F571="","",最佳化斷筋點!F571)</f>
        <v>8</v>
      </c>
      <c r="AF571" s="37">
        <f>IF(最佳化斷筋點!G571="","",最佳化斷筋點!G571)</f>
        <v>8</v>
      </c>
      <c r="AG571" s="37">
        <f>IF(最佳化斷筋點!H571="","",最佳化斷筋點!H571)</f>
        <v>8</v>
      </c>
      <c r="AH571" s="37">
        <f>IF(最佳化斷筋點!I571="","",最佳化斷筋點!I571)</f>
        <v>8</v>
      </c>
      <c r="AI571" s="37">
        <f>IF(最佳化斷筋點!J571="","",最佳化斷筋點!J571)</f>
        <v>8</v>
      </c>
      <c r="AJ571" s="37">
        <f>IF(最佳化斷筋點!K571="","",最佳化斷筋點!K571)</f>
        <v>3</v>
      </c>
      <c r="AK571" s="37">
        <f>IF(最佳化斷筋點!L571="","",最佳化斷筋點!L571)</f>
        <v>3</v>
      </c>
      <c r="AL571" s="37">
        <f>IF(最佳化斷筋點!M571="","",最佳化斷筋點!M571)</f>
        <v>3</v>
      </c>
      <c r="AM571" s="37">
        <f>IF(最佳化斷筋點!N571="","",最佳化斷筋點!N571)</f>
        <v>3</v>
      </c>
      <c r="AN571" s="37">
        <f>IF(最佳化斷筋點!O571="","",最佳化斷筋點!O571)</f>
        <v>3</v>
      </c>
      <c r="AO571" s="37">
        <f>IF(最佳化斷筋點!P571="","",最佳化斷筋點!P571)</f>
        <v>3</v>
      </c>
      <c r="AP571" s="37">
        <f>IF(最佳化斷筋點!Q571="","",最佳化斷筋點!Q571)</f>
        <v>7</v>
      </c>
      <c r="AQ571" s="37">
        <f>IF(最佳化斷筋點!R571="","",最佳化斷筋點!R571)</f>
        <v>8</v>
      </c>
      <c r="AR571" s="37">
        <f>IF(最佳化斷筋點!S571="","",最佳化斷筋點!S571)</f>
        <v>9</v>
      </c>
      <c r="AS571" s="37">
        <f>IF(最佳化斷筋點!T571="","",最佳化斷筋點!T571)</f>
        <v>9</v>
      </c>
      <c r="AT571" s="37">
        <f>IF(最佳化斷筋點!U571="","",最佳化斷筋點!U571)</f>
        <v>9</v>
      </c>
      <c r="AU571" s="37">
        <f>IF(最佳化斷筋點!V571="","",最佳化斷筋點!V571)</f>
        <v>9</v>
      </c>
      <c r="AV571" s="37">
        <f>IF(最佳化斷筋點!W571="","",最佳化斷筋點!W571)</f>
        <v>9</v>
      </c>
      <c r="AW571" s="37">
        <f>IF(最佳化斷筋點!X571="","",最佳化斷筋點!X571)</f>
        <v>9</v>
      </c>
      <c r="AY571" s="6" t="s">
        <v>20</v>
      </c>
      <c r="AZ571" s="37">
        <v>8</v>
      </c>
      <c r="BA571" s="37">
        <v>8</v>
      </c>
      <c r="BB571" s="37">
        <v>8</v>
      </c>
      <c r="BC571" s="37">
        <v>8</v>
      </c>
      <c r="BD571" s="37">
        <v>8</v>
      </c>
      <c r="BE571" s="37">
        <v>8</v>
      </c>
      <c r="BF571" s="37">
        <v>8</v>
      </c>
      <c r="BG571" s="37">
        <v>3</v>
      </c>
      <c r="BH571" s="37">
        <v>3</v>
      </c>
      <c r="BI571" s="37">
        <v>3</v>
      </c>
      <c r="BJ571" s="37">
        <v>3</v>
      </c>
      <c r="BK571" s="37">
        <v>3</v>
      </c>
      <c r="BL571" s="37">
        <v>3</v>
      </c>
      <c r="BM571" s="37">
        <v>7</v>
      </c>
      <c r="BN571" s="37">
        <v>8</v>
      </c>
      <c r="BO571" s="37">
        <v>9</v>
      </c>
      <c r="BP571" s="37">
        <v>9</v>
      </c>
      <c r="BQ571" s="37">
        <v>9</v>
      </c>
      <c r="BR571" s="37">
        <v>9</v>
      </c>
      <c r="BS571" s="37">
        <v>9</v>
      </c>
      <c r="BT571" s="37">
        <v>9</v>
      </c>
    </row>
    <row r="572" spans="5:72" x14ac:dyDescent="0.25">
      <c r="F572" s="6">
        <f t="shared" si="169"/>
        <v>0</v>
      </c>
      <c r="G572" s="6">
        <f t="shared" si="170"/>
        <v>0</v>
      </c>
      <c r="H572" s="6">
        <f t="shared" si="171"/>
        <v>0</v>
      </c>
      <c r="I572" s="6">
        <f t="shared" si="172"/>
        <v>0</v>
      </c>
      <c r="J572" s="6">
        <f t="shared" si="173"/>
        <v>0</v>
      </c>
      <c r="K572" s="6">
        <f t="shared" si="174"/>
        <v>0</v>
      </c>
      <c r="L572" s="6">
        <f t="shared" si="175"/>
        <v>0</v>
      </c>
      <c r="M572" s="6">
        <f t="shared" si="176"/>
        <v>0</v>
      </c>
      <c r="N572" s="6">
        <f t="shared" si="177"/>
        <v>0</v>
      </c>
      <c r="O572" s="6">
        <f t="shared" si="178"/>
        <v>0</v>
      </c>
      <c r="P572" s="6">
        <f t="shared" si="179"/>
        <v>0</v>
      </c>
      <c r="Q572" s="6">
        <f t="shared" si="180"/>
        <v>0</v>
      </c>
      <c r="R572" s="6">
        <f t="shared" si="181"/>
        <v>0</v>
      </c>
      <c r="S572" s="6">
        <f t="shared" si="182"/>
        <v>0</v>
      </c>
      <c r="T572" s="6">
        <f t="shared" si="183"/>
        <v>0</v>
      </c>
      <c r="U572" s="6">
        <f t="shared" si="184"/>
        <v>0</v>
      </c>
      <c r="V572" s="6">
        <f t="shared" si="185"/>
        <v>0</v>
      </c>
      <c r="W572" s="6">
        <f t="shared" si="186"/>
        <v>0</v>
      </c>
      <c r="X572" s="6">
        <f t="shared" si="187"/>
        <v>0</v>
      </c>
      <c r="Y572" s="6">
        <f t="shared" si="188"/>
        <v>0</v>
      </c>
      <c r="Z572" s="6">
        <f t="shared" si="189"/>
        <v>0</v>
      </c>
      <c r="AB572" s="36" t="str">
        <f>IF(最佳化斷筋點!C572="","",最佳化斷筋點!C572)</f>
        <v/>
      </c>
      <c r="AC572" s="37" t="str">
        <f>IF(最佳化斷筋點!D572="","",最佳化斷筋點!D572)</f>
        <v/>
      </c>
      <c r="AD572" s="37" t="str">
        <f>IF(最佳化斷筋點!E572="","",最佳化斷筋點!E572)</f>
        <v/>
      </c>
      <c r="AE572" s="37" t="str">
        <f>IF(最佳化斷筋點!F572="","",最佳化斷筋點!F572)</f>
        <v/>
      </c>
      <c r="AF572" s="37" t="str">
        <f>IF(最佳化斷筋點!G572="","",最佳化斷筋點!G572)</f>
        <v/>
      </c>
      <c r="AG572" s="37" t="str">
        <f>IF(最佳化斷筋點!H572="","",最佳化斷筋點!H572)</f>
        <v/>
      </c>
      <c r="AH572" s="37" t="str">
        <f>IF(最佳化斷筋點!I572="","",最佳化斷筋點!I572)</f>
        <v/>
      </c>
      <c r="AI572" s="37" t="str">
        <f>IF(最佳化斷筋點!J572="","",最佳化斷筋點!J572)</f>
        <v/>
      </c>
      <c r="AJ572" s="37" t="str">
        <f>IF(最佳化斷筋點!K572="","",最佳化斷筋點!K572)</f>
        <v/>
      </c>
      <c r="AK572" s="37" t="str">
        <f>IF(最佳化斷筋點!L572="","",最佳化斷筋點!L572)</f>
        <v/>
      </c>
      <c r="AL572" s="37" t="str">
        <f>IF(最佳化斷筋點!M572="","",最佳化斷筋點!M572)</f>
        <v/>
      </c>
      <c r="AM572" s="37" t="str">
        <f>IF(最佳化斷筋點!N572="","",最佳化斷筋點!N572)</f>
        <v/>
      </c>
      <c r="AN572" s="37" t="str">
        <f>IF(最佳化斷筋點!O572="","",最佳化斷筋點!O572)</f>
        <v/>
      </c>
      <c r="AO572" s="37" t="str">
        <f>IF(最佳化斷筋點!P572="","",最佳化斷筋點!P572)</f>
        <v/>
      </c>
      <c r="AP572" s="37" t="str">
        <f>IF(最佳化斷筋點!Q572="","",最佳化斷筋點!Q572)</f>
        <v/>
      </c>
      <c r="AQ572" s="37" t="str">
        <f>IF(最佳化斷筋點!R572="","",最佳化斷筋點!R572)</f>
        <v/>
      </c>
      <c r="AR572" s="37" t="str">
        <f>IF(最佳化斷筋點!S572="","",最佳化斷筋點!S572)</f>
        <v/>
      </c>
      <c r="AS572" s="37" t="str">
        <f>IF(最佳化斷筋點!T572="","",最佳化斷筋點!T572)</f>
        <v/>
      </c>
      <c r="AT572" s="37" t="str">
        <f>IF(最佳化斷筋點!U572="","",最佳化斷筋點!U572)</f>
        <v/>
      </c>
      <c r="AU572" s="37" t="str">
        <f>IF(最佳化斷筋點!V572="","",最佳化斷筋點!V572)</f>
        <v/>
      </c>
      <c r="AV572" s="37" t="str">
        <f>IF(最佳化斷筋點!W572="","",最佳化斷筋點!W572)</f>
        <v/>
      </c>
      <c r="AW572" s="37" t="str">
        <f>IF(最佳化斷筋點!X572="","",最佳化斷筋點!X572)</f>
        <v/>
      </c>
      <c r="AZ572" s="37" t="s">
        <v>197</v>
      </c>
      <c r="BA572" s="37" t="s">
        <v>197</v>
      </c>
      <c r="BB572" s="37" t="s">
        <v>197</v>
      </c>
      <c r="BC572" s="37" t="s">
        <v>197</v>
      </c>
      <c r="BD572" s="37" t="s">
        <v>197</v>
      </c>
      <c r="BE572" s="37" t="s">
        <v>197</v>
      </c>
      <c r="BF572" s="37" t="s">
        <v>197</v>
      </c>
      <c r="BG572" s="37" t="s">
        <v>197</v>
      </c>
      <c r="BH572" s="37" t="s">
        <v>197</v>
      </c>
      <c r="BI572" s="37" t="s">
        <v>197</v>
      </c>
      <c r="BJ572" s="37" t="s">
        <v>197</v>
      </c>
      <c r="BK572" s="37" t="s">
        <v>197</v>
      </c>
      <c r="BL572" s="37" t="s">
        <v>197</v>
      </c>
      <c r="BM572" s="37" t="s">
        <v>197</v>
      </c>
      <c r="BN572" s="37" t="s">
        <v>197</v>
      </c>
      <c r="BO572" s="37" t="s">
        <v>197</v>
      </c>
      <c r="BP572" s="37" t="s">
        <v>197</v>
      </c>
      <c r="BQ572" s="37" t="s">
        <v>197</v>
      </c>
      <c r="BR572" s="37" t="s">
        <v>197</v>
      </c>
      <c r="BS572" s="37" t="s">
        <v>197</v>
      </c>
      <c r="BT572" s="37" t="s">
        <v>197</v>
      </c>
    </row>
    <row r="573" spans="5:72" x14ac:dyDescent="0.25">
      <c r="E573" s="6" t="s">
        <v>21</v>
      </c>
      <c r="F573" s="6">
        <f t="shared" si="169"/>
        <v>0</v>
      </c>
      <c r="G573" s="6">
        <f t="shared" si="170"/>
        <v>0</v>
      </c>
      <c r="H573" s="6">
        <f t="shared" si="171"/>
        <v>0</v>
      </c>
      <c r="I573" s="6">
        <f t="shared" si="172"/>
        <v>0</v>
      </c>
      <c r="J573" s="6">
        <f t="shared" si="173"/>
        <v>0</v>
      </c>
      <c r="K573" s="6">
        <f t="shared" si="174"/>
        <v>0</v>
      </c>
      <c r="L573" s="6">
        <f t="shared" si="175"/>
        <v>0</v>
      </c>
      <c r="M573" s="6">
        <f t="shared" si="176"/>
        <v>0</v>
      </c>
      <c r="N573" s="6">
        <f t="shared" si="177"/>
        <v>0</v>
      </c>
      <c r="O573" s="6">
        <f t="shared" si="178"/>
        <v>0</v>
      </c>
      <c r="P573" s="6">
        <f t="shared" si="179"/>
        <v>0</v>
      </c>
      <c r="Q573" s="6">
        <f t="shared" si="180"/>
        <v>0</v>
      </c>
      <c r="R573" s="6">
        <f t="shared" si="181"/>
        <v>0</v>
      </c>
      <c r="S573" s="6">
        <f t="shared" si="182"/>
        <v>0</v>
      </c>
      <c r="T573" s="6">
        <f t="shared" si="183"/>
        <v>0</v>
      </c>
      <c r="U573" s="6">
        <f t="shared" si="184"/>
        <v>0</v>
      </c>
      <c r="V573" s="6">
        <f t="shared" si="185"/>
        <v>0</v>
      </c>
      <c r="W573" s="6">
        <f t="shared" si="186"/>
        <v>0</v>
      </c>
      <c r="X573" s="6">
        <f t="shared" si="187"/>
        <v>0</v>
      </c>
      <c r="Y573" s="6">
        <f t="shared" si="188"/>
        <v>0</v>
      </c>
      <c r="Z573" s="6">
        <f t="shared" si="189"/>
        <v>0</v>
      </c>
      <c r="AB573" s="36" t="str">
        <f>IF(最佳化斷筋點!C573="","",最佳化斷筋點!C573)</f>
        <v>下層</v>
      </c>
      <c r="AC573" s="37">
        <f>IF(最佳化斷筋點!D573="","",最佳化斷筋點!D573)</f>
        <v>10</v>
      </c>
      <c r="AD573" s="37">
        <f>IF(最佳化斷筋點!E573="","",最佳化斷筋點!E573)</f>
        <v>10</v>
      </c>
      <c r="AE573" s="37">
        <f>IF(最佳化斷筋點!F573="","",最佳化斷筋點!F573)</f>
        <v>10</v>
      </c>
      <c r="AF573" s="37">
        <f>IF(最佳化斷筋點!G573="","",最佳化斷筋點!G573)</f>
        <v>10</v>
      </c>
      <c r="AG573" s="37">
        <f>IF(最佳化斷筋點!H573="","",最佳化斷筋點!H573)</f>
        <v>10</v>
      </c>
      <c r="AH573" s="37">
        <f>IF(最佳化斷筋點!I573="","",最佳化斷筋點!I573)</f>
        <v>9</v>
      </c>
      <c r="AI573" s="37">
        <f>IF(最佳化斷筋點!J573="","",最佳化斷筋點!J573)</f>
        <v>8</v>
      </c>
      <c r="AJ573" s="37">
        <f>IF(最佳化斷筋點!K573="","",最佳化斷筋點!K573)</f>
        <v>4</v>
      </c>
      <c r="AK573" s="37">
        <f>IF(最佳化斷筋點!L573="","",最佳化斷筋點!L573)</f>
        <v>4</v>
      </c>
      <c r="AL573" s="37">
        <f>IF(最佳化斷筋點!M573="","",最佳化斷筋點!M573)</f>
        <v>4</v>
      </c>
      <c r="AM573" s="37">
        <f>IF(最佳化斷筋點!N573="","",最佳化斷筋點!N573)</f>
        <v>4</v>
      </c>
      <c r="AN573" s="37">
        <f>IF(最佳化斷筋點!O573="","",最佳化斷筋點!O573)</f>
        <v>4</v>
      </c>
      <c r="AO573" s="37">
        <f>IF(最佳化斷筋點!P573="","",最佳化斷筋點!P573)</f>
        <v>4</v>
      </c>
      <c r="AP573" s="37">
        <f>IF(最佳化斷筋點!Q573="","",最佳化斷筋點!Q573)</f>
        <v>5</v>
      </c>
      <c r="AQ573" s="37">
        <f>IF(最佳化斷筋點!R573="","",最佳化斷筋點!R573)</f>
        <v>6</v>
      </c>
      <c r="AR573" s="37">
        <f>IF(最佳化斷筋點!S573="","",最佳化斷筋點!S573)</f>
        <v>6</v>
      </c>
      <c r="AS573" s="37">
        <f>IF(最佳化斷筋點!T573="","",最佳化斷筋點!T573)</f>
        <v>7</v>
      </c>
      <c r="AT573" s="37">
        <f>IF(最佳化斷筋點!U573="","",最佳化斷筋點!U573)</f>
        <v>8</v>
      </c>
      <c r="AU573" s="37">
        <f>IF(最佳化斷筋點!V573="","",最佳化斷筋點!V573)</f>
        <v>8</v>
      </c>
      <c r="AV573" s="37">
        <f>IF(最佳化斷筋點!W573="","",最佳化斷筋點!W573)</f>
        <v>8</v>
      </c>
      <c r="AW573" s="37">
        <f>IF(最佳化斷筋點!X573="","",最佳化斷筋點!X573)</f>
        <v>8</v>
      </c>
      <c r="AY573" s="6" t="s">
        <v>21</v>
      </c>
      <c r="AZ573" s="37">
        <v>10</v>
      </c>
      <c r="BA573" s="37">
        <v>10</v>
      </c>
      <c r="BB573" s="37">
        <v>10</v>
      </c>
      <c r="BC573" s="37">
        <v>10</v>
      </c>
      <c r="BD573" s="37">
        <v>10</v>
      </c>
      <c r="BE573" s="37">
        <v>9</v>
      </c>
      <c r="BF573" s="37">
        <v>8</v>
      </c>
      <c r="BG573" s="37">
        <v>4</v>
      </c>
      <c r="BH573" s="37">
        <v>4</v>
      </c>
      <c r="BI573" s="37">
        <v>4</v>
      </c>
      <c r="BJ573" s="37">
        <v>4</v>
      </c>
      <c r="BK573" s="37">
        <v>4</v>
      </c>
      <c r="BL573" s="37">
        <v>4</v>
      </c>
      <c r="BM573" s="37">
        <v>5</v>
      </c>
      <c r="BN573" s="37">
        <v>6</v>
      </c>
      <c r="BO573" s="37">
        <v>6</v>
      </c>
      <c r="BP573" s="37">
        <v>7</v>
      </c>
      <c r="BQ573" s="37">
        <v>8</v>
      </c>
      <c r="BR573" s="37">
        <v>8</v>
      </c>
      <c r="BS573" s="37">
        <v>8</v>
      </c>
      <c r="BT573" s="37">
        <v>8</v>
      </c>
    </row>
    <row r="574" spans="5:72" x14ac:dyDescent="0.25">
      <c r="F574" s="6">
        <f t="shared" si="169"/>
        <v>0</v>
      </c>
      <c r="G574" s="6">
        <f t="shared" si="170"/>
        <v>0</v>
      </c>
      <c r="H574" s="6">
        <f t="shared" si="171"/>
        <v>0</v>
      </c>
      <c r="I574" s="6">
        <f t="shared" si="172"/>
        <v>0</v>
      </c>
      <c r="J574" s="6">
        <f t="shared" si="173"/>
        <v>0</v>
      </c>
      <c r="K574" s="6">
        <f t="shared" si="174"/>
        <v>0</v>
      </c>
      <c r="L574" s="6">
        <f t="shared" si="175"/>
        <v>0</v>
      </c>
      <c r="M574" s="6">
        <f t="shared" si="176"/>
        <v>0</v>
      </c>
      <c r="N574" s="6">
        <f t="shared" si="177"/>
        <v>0</v>
      </c>
      <c r="O574" s="6">
        <f t="shared" si="178"/>
        <v>0</v>
      </c>
      <c r="P574" s="6">
        <f t="shared" si="179"/>
        <v>0</v>
      </c>
      <c r="Q574" s="6">
        <f t="shared" si="180"/>
        <v>0</v>
      </c>
      <c r="R574" s="6">
        <f t="shared" si="181"/>
        <v>0</v>
      </c>
      <c r="S574" s="6">
        <f t="shared" si="182"/>
        <v>0</v>
      </c>
      <c r="T574" s="6">
        <f t="shared" si="183"/>
        <v>0</v>
      </c>
      <c r="U574" s="6">
        <f t="shared" si="184"/>
        <v>0</v>
      </c>
      <c r="V574" s="6">
        <f t="shared" si="185"/>
        <v>0</v>
      </c>
      <c r="W574" s="6">
        <f t="shared" si="186"/>
        <v>0</v>
      </c>
      <c r="X574" s="6">
        <f t="shared" si="187"/>
        <v>0</v>
      </c>
      <c r="Y574" s="6">
        <f t="shared" si="188"/>
        <v>0</v>
      </c>
      <c r="Z574" s="6">
        <f t="shared" si="189"/>
        <v>0</v>
      </c>
      <c r="AB574" s="36" t="str">
        <f>IF(最佳化斷筋點!C574="","",最佳化斷筋點!C574)</f>
        <v/>
      </c>
      <c r="AC574" s="37" t="str">
        <f>IF(最佳化斷筋點!D574="","",最佳化斷筋點!D574)</f>
        <v/>
      </c>
      <c r="AD574" s="37" t="str">
        <f>IF(最佳化斷筋點!E574="","",最佳化斷筋點!E574)</f>
        <v/>
      </c>
      <c r="AE574" s="37" t="str">
        <f>IF(最佳化斷筋點!F574="","",最佳化斷筋點!F574)</f>
        <v/>
      </c>
      <c r="AF574" s="37" t="str">
        <f>IF(最佳化斷筋點!G574="","",最佳化斷筋點!G574)</f>
        <v/>
      </c>
      <c r="AG574" s="37" t="str">
        <f>IF(最佳化斷筋點!H574="","",最佳化斷筋點!H574)</f>
        <v/>
      </c>
      <c r="AH574" s="37" t="str">
        <f>IF(最佳化斷筋點!I574="","",最佳化斷筋點!I574)</f>
        <v/>
      </c>
      <c r="AI574" s="37" t="str">
        <f>IF(最佳化斷筋點!J574="","",最佳化斷筋點!J574)</f>
        <v/>
      </c>
      <c r="AJ574" s="37" t="str">
        <f>IF(最佳化斷筋點!K574="","",最佳化斷筋點!K574)</f>
        <v/>
      </c>
      <c r="AK574" s="37" t="str">
        <f>IF(最佳化斷筋點!L574="","",最佳化斷筋點!L574)</f>
        <v/>
      </c>
      <c r="AL574" s="37" t="str">
        <f>IF(最佳化斷筋點!M574="","",最佳化斷筋點!M574)</f>
        <v/>
      </c>
      <c r="AM574" s="37" t="str">
        <f>IF(最佳化斷筋點!N574="","",最佳化斷筋點!N574)</f>
        <v/>
      </c>
      <c r="AN574" s="37" t="str">
        <f>IF(最佳化斷筋點!O574="","",最佳化斷筋點!O574)</f>
        <v/>
      </c>
      <c r="AO574" s="37" t="str">
        <f>IF(最佳化斷筋點!P574="","",最佳化斷筋點!P574)</f>
        <v/>
      </c>
      <c r="AP574" s="37" t="str">
        <f>IF(最佳化斷筋點!Q574="","",最佳化斷筋點!Q574)</f>
        <v/>
      </c>
      <c r="AQ574" s="37" t="str">
        <f>IF(最佳化斷筋點!R574="","",最佳化斷筋點!R574)</f>
        <v/>
      </c>
      <c r="AR574" s="37" t="str">
        <f>IF(最佳化斷筋點!S574="","",最佳化斷筋點!S574)</f>
        <v/>
      </c>
      <c r="AS574" s="37" t="str">
        <f>IF(最佳化斷筋點!T574="","",最佳化斷筋點!T574)</f>
        <v/>
      </c>
      <c r="AT574" s="37" t="str">
        <f>IF(最佳化斷筋點!U574="","",最佳化斷筋點!U574)</f>
        <v/>
      </c>
      <c r="AU574" s="37" t="str">
        <f>IF(最佳化斷筋點!V574="","",最佳化斷筋點!V574)</f>
        <v/>
      </c>
      <c r="AV574" s="37" t="str">
        <f>IF(最佳化斷筋點!W574="","",最佳化斷筋點!W574)</f>
        <v/>
      </c>
      <c r="AW574" s="37" t="str">
        <f>IF(最佳化斷筋點!X574="","",最佳化斷筋點!X574)</f>
        <v/>
      </c>
      <c r="AZ574" s="37" t="s">
        <v>197</v>
      </c>
      <c r="BA574" s="37" t="s">
        <v>197</v>
      </c>
      <c r="BB574" s="37" t="s">
        <v>197</v>
      </c>
      <c r="BC574" s="37" t="s">
        <v>197</v>
      </c>
      <c r="BD574" s="37" t="s">
        <v>197</v>
      </c>
      <c r="BE574" s="37" t="s">
        <v>197</v>
      </c>
      <c r="BF574" s="37" t="s">
        <v>197</v>
      </c>
      <c r="BG574" s="37" t="s">
        <v>197</v>
      </c>
      <c r="BH574" s="37" t="s">
        <v>197</v>
      </c>
      <c r="BI574" s="37" t="s">
        <v>197</v>
      </c>
      <c r="BJ574" s="37" t="s">
        <v>197</v>
      </c>
      <c r="BK574" s="37" t="s">
        <v>197</v>
      </c>
      <c r="BL574" s="37" t="s">
        <v>197</v>
      </c>
      <c r="BM574" s="37" t="s">
        <v>197</v>
      </c>
      <c r="BN574" s="37" t="s">
        <v>197</v>
      </c>
      <c r="BO574" s="37" t="s">
        <v>197</v>
      </c>
      <c r="BP574" s="37" t="s">
        <v>197</v>
      </c>
      <c r="BQ574" s="37" t="s">
        <v>197</v>
      </c>
      <c r="BR574" s="37" t="s">
        <v>197</v>
      </c>
      <c r="BS574" s="37" t="s">
        <v>197</v>
      </c>
      <c r="BT574" s="37" t="s">
        <v>197</v>
      </c>
    </row>
    <row r="575" spans="5:72" x14ac:dyDescent="0.25">
      <c r="E575" s="6" t="s">
        <v>20</v>
      </c>
      <c r="F575" s="6">
        <f t="shared" si="169"/>
        <v>0</v>
      </c>
      <c r="G575" s="6">
        <f t="shared" si="170"/>
        <v>0</v>
      </c>
      <c r="H575" s="6">
        <f t="shared" si="171"/>
        <v>0</v>
      </c>
      <c r="I575" s="6">
        <f t="shared" si="172"/>
        <v>0</v>
      </c>
      <c r="J575" s="6">
        <f t="shared" si="173"/>
        <v>0</v>
      </c>
      <c r="K575" s="6">
        <f t="shared" si="174"/>
        <v>0</v>
      </c>
      <c r="L575" s="6">
        <f t="shared" si="175"/>
        <v>0</v>
      </c>
      <c r="M575" s="6">
        <f t="shared" si="176"/>
        <v>0</v>
      </c>
      <c r="N575" s="6">
        <f t="shared" si="177"/>
        <v>0</v>
      </c>
      <c r="O575" s="6">
        <f t="shared" si="178"/>
        <v>0</v>
      </c>
      <c r="P575" s="6">
        <f t="shared" si="179"/>
        <v>0</v>
      </c>
      <c r="Q575" s="6">
        <f t="shared" si="180"/>
        <v>0</v>
      </c>
      <c r="R575" s="6">
        <f t="shared" si="181"/>
        <v>0</v>
      </c>
      <c r="S575" s="6">
        <f t="shared" si="182"/>
        <v>0</v>
      </c>
      <c r="T575" s="6">
        <f t="shared" si="183"/>
        <v>0</v>
      </c>
      <c r="U575" s="6">
        <f t="shared" si="184"/>
        <v>0</v>
      </c>
      <c r="V575" s="6">
        <f t="shared" si="185"/>
        <v>0</v>
      </c>
      <c r="W575" s="6">
        <f t="shared" si="186"/>
        <v>0</v>
      </c>
      <c r="X575" s="6">
        <f t="shared" si="187"/>
        <v>0</v>
      </c>
      <c r="Y575" s="6">
        <f t="shared" si="188"/>
        <v>0</v>
      </c>
      <c r="Z575" s="6">
        <f t="shared" si="189"/>
        <v>0</v>
      </c>
      <c r="AB575" s="36" t="str">
        <f>IF(最佳化斷筋點!C575="","",最佳化斷筋點!C575)</f>
        <v>上層</v>
      </c>
      <c r="AC575" s="37">
        <f>IF(最佳化斷筋點!D575="","",最佳化斷筋點!D575)</f>
        <v>8</v>
      </c>
      <c r="AD575" s="37">
        <f>IF(最佳化斷筋點!E575="","",最佳化斷筋點!E575)</f>
        <v>8</v>
      </c>
      <c r="AE575" s="37">
        <f>IF(最佳化斷筋點!F575="","",最佳化斷筋點!F575)</f>
        <v>8</v>
      </c>
      <c r="AF575" s="37">
        <f>IF(最佳化斷筋點!G575="","",最佳化斷筋點!G575)</f>
        <v>8</v>
      </c>
      <c r="AG575" s="37">
        <f>IF(最佳化斷筋點!H575="","",最佳化斷筋點!H575)</f>
        <v>8</v>
      </c>
      <c r="AH575" s="37">
        <f>IF(最佳化斷筋點!I575="","",最佳化斷筋點!I575)</f>
        <v>8</v>
      </c>
      <c r="AI575" s="37">
        <f>IF(最佳化斷筋點!J575="","",最佳化斷筋點!J575)</f>
        <v>7</v>
      </c>
      <c r="AJ575" s="37">
        <f>IF(最佳化斷筋點!K575="","",最佳化斷筋點!K575)</f>
        <v>4</v>
      </c>
      <c r="AK575" s="37">
        <f>IF(最佳化斷筋點!L575="","",最佳化斷筋點!L575)</f>
        <v>4</v>
      </c>
      <c r="AL575" s="37">
        <f>IF(最佳化斷筋點!M575="","",最佳化斷筋點!M575)</f>
        <v>4</v>
      </c>
      <c r="AM575" s="37">
        <f>IF(最佳化斷筋點!N575="","",最佳化斷筋點!N575)</f>
        <v>4</v>
      </c>
      <c r="AN575" s="37">
        <f>IF(最佳化斷筋點!O575="","",最佳化斷筋點!O575)</f>
        <v>4</v>
      </c>
      <c r="AO575" s="37">
        <f>IF(最佳化斷筋點!P575="","",最佳化斷筋點!P575)</f>
        <v>4</v>
      </c>
      <c r="AP575" s="37">
        <f>IF(最佳化斷筋點!Q575="","",最佳化斷筋點!Q575)</f>
        <v>7</v>
      </c>
      <c r="AQ575" s="37">
        <f>IF(最佳化斷筋點!R575="","",最佳化斷筋點!R575)</f>
        <v>8</v>
      </c>
      <c r="AR575" s="37">
        <f>IF(最佳化斷筋點!S575="","",最佳化斷筋點!S575)</f>
        <v>9</v>
      </c>
      <c r="AS575" s="37">
        <f>IF(最佳化斷筋點!T575="","",最佳化斷筋點!T575)</f>
        <v>10</v>
      </c>
      <c r="AT575" s="37">
        <f>IF(最佳化斷筋點!U575="","",最佳化斷筋點!U575)</f>
        <v>10</v>
      </c>
      <c r="AU575" s="37">
        <f>IF(最佳化斷筋點!V575="","",最佳化斷筋點!V575)</f>
        <v>10</v>
      </c>
      <c r="AV575" s="37">
        <f>IF(最佳化斷筋點!W575="","",最佳化斷筋點!W575)</f>
        <v>10</v>
      </c>
      <c r="AW575" s="37">
        <f>IF(最佳化斷筋點!X575="","",最佳化斷筋點!X575)</f>
        <v>10</v>
      </c>
      <c r="AY575" s="6" t="s">
        <v>20</v>
      </c>
      <c r="AZ575" s="37">
        <v>8</v>
      </c>
      <c r="BA575" s="37">
        <v>8</v>
      </c>
      <c r="BB575" s="37">
        <v>8</v>
      </c>
      <c r="BC575" s="37">
        <v>8</v>
      </c>
      <c r="BD575" s="37">
        <v>8</v>
      </c>
      <c r="BE575" s="37">
        <v>8</v>
      </c>
      <c r="BF575" s="37">
        <v>7</v>
      </c>
      <c r="BG575" s="37">
        <v>4</v>
      </c>
      <c r="BH575" s="37">
        <v>4</v>
      </c>
      <c r="BI575" s="37">
        <v>4</v>
      </c>
      <c r="BJ575" s="37">
        <v>4</v>
      </c>
      <c r="BK575" s="37">
        <v>4</v>
      </c>
      <c r="BL575" s="37">
        <v>4</v>
      </c>
      <c r="BM575" s="37">
        <v>7</v>
      </c>
      <c r="BN575" s="37">
        <v>8</v>
      </c>
      <c r="BO575" s="37">
        <v>9</v>
      </c>
      <c r="BP575" s="37">
        <v>10</v>
      </c>
      <c r="BQ575" s="37">
        <v>10</v>
      </c>
      <c r="BR575" s="37">
        <v>10</v>
      </c>
      <c r="BS575" s="37">
        <v>10</v>
      </c>
      <c r="BT575" s="37">
        <v>10</v>
      </c>
    </row>
    <row r="576" spans="5:72" x14ac:dyDescent="0.25">
      <c r="F576" s="6">
        <f t="shared" si="169"/>
        <v>0</v>
      </c>
      <c r="G576" s="6">
        <f t="shared" si="170"/>
        <v>0</v>
      </c>
      <c r="H576" s="6">
        <f t="shared" si="171"/>
        <v>0</v>
      </c>
      <c r="I576" s="6">
        <f t="shared" si="172"/>
        <v>0</v>
      </c>
      <c r="J576" s="6">
        <f t="shared" si="173"/>
        <v>0</v>
      </c>
      <c r="K576" s="6">
        <f t="shared" si="174"/>
        <v>0</v>
      </c>
      <c r="L576" s="6">
        <f t="shared" si="175"/>
        <v>0</v>
      </c>
      <c r="M576" s="6">
        <f t="shared" si="176"/>
        <v>0</v>
      </c>
      <c r="N576" s="6">
        <f t="shared" si="177"/>
        <v>0</v>
      </c>
      <c r="O576" s="6">
        <f t="shared" si="178"/>
        <v>0</v>
      </c>
      <c r="P576" s="6">
        <f t="shared" si="179"/>
        <v>0</v>
      </c>
      <c r="Q576" s="6">
        <f t="shared" si="180"/>
        <v>0</v>
      </c>
      <c r="R576" s="6">
        <f t="shared" si="181"/>
        <v>0</v>
      </c>
      <c r="S576" s="6">
        <f t="shared" si="182"/>
        <v>0</v>
      </c>
      <c r="T576" s="6">
        <f t="shared" si="183"/>
        <v>0</v>
      </c>
      <c r="U576" s="6">
        <f t="shared" si="184"/>
        <v>0</v>
      </c>
      <c r="V576" s="6">
        <f t="shared" si="185"/>
        <v>0</v>
      </c>
      <c r="W576" s="6">
        <f t="shared" si="186"/>
        <v>0</v>
      </c>
      <c r="X576" s="6">
        <f t="shared" si="187"/>
        <v>0</v>
      </c>
      <c r="Y576" s="6">
        <f t="shared" si="188"/>
        <v>0</v>
      </c>
      <c r="Z576" s="6">
        <f t="shared" si="189"/>
        <v>0</v>
      </c>
      <c r="AB576" s="36" t="str">
        <f>IF(最佳化斷筋點!C576="","",最佳化斷筋點!C576)</f>
        <v/>
      </c>
      <c r="AC576" s="37" t="str">
        <f>IF(最佳化斷筋點!D576="","",最佳化斷筋點!D576)</f>
        <v/>
      </c>
      <c r="AD576" s="37" t="str">
        <f>IF(最佳化斷筋點!E576="","",最佳化斷筋點!E576)</f>
        <v/>
      </c>
      <c r="AE576" s="37" t="str">
        <f>IF(最佳化斷筋點!F576="","",最佳化斷筋點!F576)</f>
        <v/>
      </c>
      <c r="AF576" s="37" t="str">
        <f>IF(最佳化斷筋點!G576="","",最佳化斷筋點!G576)</f>
        <v/>
      </c>
      <c r="AG576" s="37" t="str">
        <f>IF(最佳化斷筋點!H576="","",最佳化斷筋點!H576)</f>
        <v/>
      </c>
      <c r="AH576" s="37" t="str">
        <f>IF(最佳化斷筋點!I576="","",最佳化斷筋點!I576)</f>
        <v/>
      </c>
      <c r="AI576" s="37" t="str">
        <f>IF(最佳化斷筋點!J576="","",最佳化斷筋點!J576)</f>
        <v/>
      </c>
      <c r="AJ576" s="37" t="str">
        <f>IF(最佳化斷筋點!K576="","",最佳化斷筋點!K576)</f>
        <v/>
      </c>
      <c r="AK576" s="37" t="str">
        <f>IF(最佳化斷筋點!L576="","",最佳化斷筋點!L576)</f>
        <v/>
      </c>
      <c r="AL576" s="37" t="str">
        <f>IF(最佳化斷筋點!M576="","",最佳化斷筋點!M576)</f>
        <v/>
      </c>
      <c r="AM576" s="37" t="str">
        <f>IF(最佳化斷筋點!N576="","",最佳化斷筋點!N576)</f>
        <v/>
      </c>
      <c r="AN576" s="37" t="str">
        <f>IF(最佳化斷筋點!O576="","",最佳化斷筋點!O576)</f>
        <v/>
      </c>
      <c r="AO576" s="37" t="str">
        <f>IF(最佳化斷筋點!P576="","",最佳化斷筋點!P576)</f>
        <v/>
      </c>
      <c r="AP576" s="37" t="str">
        <f>IF(最佳化斷筋點!Q576="","",最佳化斷筋點!Q576)</f>
        <v/>
      </c>
      <c r="AQ576" s="37" t="str">
        <f>IF(最佳化斷筋點!R576="","",最佳化斷筋點!R576)</f>
        <v/>
      </c>
      <c r="AR576" s="37" t="str">
        <f>IF(最佳化斷筋點!S576="","",最佳化斷筋點!S576)</f>
        <v/>
      </c>
      <c r="AS576" s="37" t="str">
        <f>IF(最佳化斷筋點!T576="","",最佳化斷筋點!T576)</f>
        <v/>
      </c>
      <c r="AT576" s="37" t="str">
        <f>IF(最佳化斷筋點!U576="","",最佳化斷筋點!U576)</f>
        <v/>
      </c>
      <c r="AU576" s="37" t="str">
        <f>IF(最佳化斷筋點!V576="","",最佳化斷筋點!V576)</f>
        <v/>
      </c>
      <c r="AV576" s="37" t="str">
        <f>IF(最佳化斷筋點!W576="","",最佳化斷筋點!W576)</f>
        <v/>
      </c>
      <c r="AW576" s="37" t="str">
        <f>IF(最佳化斷筋點!X576="","",最佳化斷筋點!X576)</f>
        <v/>
      </c>
      <c r="AZ576" s="37" t="s">
        <v>197</v>
      </c>
      <c r="BA576" s="37" t="s">
        <v>197</v>
      </c>
      <c r="BB576" s="37" t="s">
        <v>197</v>
      </c>
      <c r="BC576" s="37" t="s">
        <v>197</v>
      </c>
      <c r="BD576" s="37" t="s">
        <v>197</v>
      </c>
      <c r="BE576" s="37" t="s">
        <v>197</v>
      </c>
      <c r="BF576" s="37" t="s">
        <v>197</v>
      </c>
      <c r="BG576" s="37" t="s">
        <v>197</v>
      </c>
      <c r="BH576" s="37" t="s">
        <v>197</v>
      </c>
      <c r="BI576" s="37" t="s">
        <v>197</v>
      </c>
      <c r="BJ576" s="37" t="s">
        <v>197</v>
      </c>
      <c r="BK576" s="37" t="s">
        <v>197</v>
      </c>
      <c r="BL576" s="37" t="s">
        <v>197</v>
      </c>
      <c r="BM576" s="37" t="s">
        <v>197</v>
      </c>
      <c r="BN576" s="37" t="s">
        <v>197</v>
      </c>
      <c r="BO576" s="37" t="s">
        <v>197</v>
      </c>
      <c r="BP576" s="37" t="s">
        <v>197</v>
      </c>
      <c r="BQ576" s="37" t="s">
        <v>197</v>
      </c>
      <c r="BR576" s="37" t="s">
        <v>197</v>
      </c>
      <c r="BS576" s="37" t="s">
        <v>197</v>
      </c>
      <c r="BT576" s="37" t="s">
        <v>197</v>
      </c>
    </row>
    <row r="577" spans="5:72" x14ac:dyDescent="0.25">
      <c r="E577" s="6" t="s">
        <v>21</v>
      </c>
      <c r="F577" s="6">
        <f t="shared" si="169"/>
        <v>0</v>
      </c>
      <c r="G577" s="6">
        <f t="shared" si="170"/>
        <v>0</v>
      </c>
      <c r="H577" s="6">
        <f t="shared" si="171"/>
        <v>0</v>
      </c>
      <c r="I577" s="6">
        <f t="shared" si="172"/>
        <v>0</v>
      </c>
      <c r="J577" s="6">
        <f t="shared" si="173"/>
        <v>0</v>
      </c>
      <c r="K577" s="6">
        <f t="shared" si="174"/>
        <v>0</v>
      </c>
      <c r="L577" s="6">
        <f t="shared" si="175"/>
        <v>0</v>
      </c>
      <c r="M577" s="6">
        <f t="shared" si="176"/>
        <v>0</v>
      </c>
      <c r="N577" s="6">
        <f t="shared" si="177"/>
        <v>0</v>
      </c>
      <c r="O577" s="6">
        <f t="shared" si="178"/>
        <v>0</v>
      </c>
      <c r="P577" s="6">
        <f t="shared" si="179"/>
        <v>0</v>
      </c>
      <c r="Q577" s="6">
        <f t="shared" si="180"/>
        <v>0</v>
      </c>
      <c r="R577" s="6">
        <f t="shared" si="181"/>
        <v>0</v>
      </c>
      <c r="S577" s="6">
        <f t="shared" si="182"/>
        <v>0</v>
      </c>
      <c r="T577" s="6">
        <f t="shared" si="183"/>
        <v>0</v>
      </c>
      <c r="U577" s="6">
        <f t="shared" si="184"/>
        <v>0</v>
      </c>
      <c r="V577" s="6">
        <f t="shared" si="185"/>
        <v>0</v>
      </c>
      <c r="W577" s="6">
        <f t="shared" si="186"/>
        <v>0</v>
      </c>
      <c r="X577" s="6">
        <f t="shared" si="187"/>
        <v>0</v>
      </c>
      <c r="Y577" s="6">
        <f t="shared" si="188"/>
        <v>0</v>
      </c>
      <c r="Z577" s="6">
        <f t="shared" si="189"/>
        <v>0</v>
      </c>
      <c r="AB577" s="36" t="str">
        <f>IF(最佳化斷筋點!C577="","",最佳化斷筋點!C577)</f>
        <v>下層</v>
      </c>
      <c r="AC577" s="37">
        <f>IF(最佳化斷筋點!D577="","",最佳化斷筋點!D577)</f>
        <v>8</v>
      </c>
      <c r="AD577" s="37">
        <f>IF(最佳化斷筋點!E577="","",最佳化斷筋點!E577)</f>
        <v>8</v>
      </c>
      <c r="AE577" s="37">
        <f>IF(最佳化斷筋點!F577="","",最佳化斷筋點!F577)</f>
        <v>8</v>
      </c>
      <c r="AF577" s="37">
        <f>IF(最佳化斷筋點!G577="","",最佳化斷筋點!G577)</f>
        <v>8</v>
      </c>
      <c r="AG577" s="37">
        <f>IF(最佳化斷筋點!H577="","",最佳化斷筋點!H577)</f>
        <v>8</v>
      </c>
      <c r="AH577" s="37">
        <f>IF(最佳化斷筋點!I577="","",最佳化斷筋點!I577)</f>
        <v>7</v>
      </c>
      <c r="AI577" s="37">
        <f>IF(最佳化斷筋點!J577="","",最佳化斷筋點!J577)</f>
        <v>6</v>
      </c>
      <c r="AJ577" s="37">
        <f>IF(最佳化斷筋點!K577="","",最佳化斷筋點!K577)</f>
        <v>5</v>
      </c>
      <c r="AK577" s="37">
        <f>IF(最佳化斷筋點!L577="","",最佳化斷筋點!L577)</f>
        <v>5</v>
      </c>
      <c r="AL577" s="37">
        <f>IF(最佳化斷筋點!M577="","",最佳化斷筋點!M577)</f>
        <v>5</v>
      </c>
      <c r="AM577" s="37">
        <f>IF(最佳化斷筋點!N577="","",最佳化斷筋點!N577)</f>
        <v>5</v>
      </c>
      <c r="AN577" s="37">
        <f>IF(最佳化斷筋點!O577="","",最佳化斷筋點!O577)</f>
        <v>5</v>
      </c>
      <c r="AO577" s="37">
        <f>IF(最佳化斷筋點!P577="","",最佳化斷筋點!P577)</f>
        <v>5</v>
      </c>
      <c r="AP577" s="37">
        <f>IF(最佳化斷筋點!Q577="","",最佳化斷筋點!Q577)</f>
        <v>5</v>
      </c>
      <c r="AQ577" s="37">
        <f>IF(最佳化斷筋點!R577="","",最佳化斷筋點!R577)</f>
        <v>5</v>
      </c>
      <c r="AR577" s="37">
        <f>IF(最佳化斷筋點!S577="","",最佳化斷筋點!S577)</f>
        <v>5</v>
      </c>
      <c r="AS577" s="37">
        <f>IF(最佳化斷筋點!T577="","",最佳化斷筋點!T577)</f>
        <v>6</v>
      </c>
      <c r="AT577" s="37">
        <f>IF(最佳化斷筋點!U577="","",最佳化斷筋點!U577)</f>
        <v>6</v>
      </c>
      <c r="AU577" s="37">
        <f>IF(最佳化斷筋點!V577="","",最佳化斷筋點!V577)</f>
        <v>7</v>
      </c>
      <c r="AV577" s="37">
        <f>IF(最佳化斷筋點!W577="","",最佳化斷筋點!W577)</f>
        <v>7</v>
      </c>
      <c r="AW577" s="37">
        <f>IF(最佳化斷筋點!X577="","",最佳化斷筋點!X577)</f>
        <v>7</v>
      </c>
      <c r="AY577" s="6" t="s">
        <v>21</v>
      </c>
      <c r="AZ577" s="37">
        <v>8</v>
      </c>
      <c r="BA577" s="37">
        <v>8</v>
      </c>
      <c r="BB577" s="37">
        <v>8</v>
      </c>
      <c r="BC577" s="37">
        <v>8</v>
      </c>
      <c r="BD577" s="37">
        <v>8</v>
      </c>
      <c r="BE577" s="37">
        <v>7</v>
      </c>
      <c r="BF577" s="37">
        <v>6</v>
      </c>
      <c r="BG577" s="37">
        <v>5</v>
      </c>
      <c r="BH577" s="37">
        <v>5</v>
      </c>
      <c r="BI577" s="37">
        <v>5</v>
      </c>
      <c r="BJ577" s="37">
        <v>5</v>
      </c>
      <c r="BK577" s="37">
        <v>5</v>
      </c>
      <c r="BL577" s="37">
        <v>5</v>
      </c>
      <c r="BM577" s="37">
        <v>5</v>
      </c>
      <c r="BN577" s="37">
        <v>5</v>
      </c>
      <c r="BO577" s="37">
        <v>5</v>
      </c>
      <c r="BP577" s="37">
        <v>6</v>
      </c>
      <c r="BQ577" s="37">
        <v>6</v>
      </c>
      <c r="BR577" s="37">
        <v>7</v>
      </c>
      <c r="BS577" s="37">
        <v>7</v>
      </c>
      <c r="BT577" s="37">
        <v>7</v>
      </c>
    </row>
    <row r="578" spans="5:72" x14ac:dyDescent="0.25">
      <c r="F578" s="6">
        <f t="shared" si="169"/>
        <v>0</v>
      </c>
      <c r="G578" s="6">
        <f t="shared" si="170"/>
        <v>0</v>
      </c>
      <c r="H578" s="6">
        <f t="shared" si="171"/>
        <v>0</v>
      </c>
      <c r="I578" s="6">
        <f t="shared" si="172"/>
        <v>0</v>
      </c>
      <c r="J578" s="6">
        <f t="shared" si="173"/>
        <v>0</v>
      </c>
      <c r="K578" s="6">
        <f t="shared" si="174"/>
        <v>0</v>
      </c>
      <c r="L578" s="6">
        <f t="shared" si="175"/>
        <v>0</v>
      </c>
      <c r="M578" s="6">
        <f t="shared" si="176"/>
        <v>0</v>
      </c>
      <c r="N578" s="6">
        <f t="shared" si="177"/>
        <v>0</v>
      </c>
      <c r="O578" s="6">
        <f t="shared" si="178"/>
        <v>0</v>
      </c>
      <c r="P578" s="6">
        <f t="shared" si="179"/>
        <v>0</v>
      </c>
      <c r="Q578" s="6">
        <f t="shared" si="180"/>
        <v>0</v>
      </c>
      <c r="R578" s="6">
        <f t="shared" si="181"/>
        <v>0</v>
      </c>
      <c r="S578" s="6">
        <f t="shared" si="182"/>
        <v>0</v>
      </c>
      <c r="T578" s="6">
        <f t="shared" si="183"/>
        <v>0</v>
      </c>
      <c r="U578" s="6">
        <f t="shared" si="184"/>
        <v>0</v>
      </c>
      <c r="V578" s="6">
        <f t="shared" si="185"/>
        <v>0</v>
      </c>
      <c r="W578" s="6">
        <f t="shared" si="186"/>
        <v>0</v>
      </c>
      <c r="X578" s="6">
        <f t="shared" si="187"/>
        <v>0</v>
      </c>
      <c r="Y578" s="6">
        <f t="shared" si="188"/>
        <v>0</v>
      </c>
      <c r="Z578" s="6">
        <f t="shared" si="189"/>
        <v>0</v>
      </c>
      <c r="AB578" s="36" t="str">
        <f>IF(最佳化斷筋點!C578="","",最佳化斷筋點!C578)</f>
        <v/>
      </c>
      <c r="AC578" s="37" t="str">
        <f>IF(最佳化斷筋點!D578="","",最佳化斷筋點!D578)</f>
        <v/>
      </c>
      <c r="AD578" s="37" t="str">
        <f>IF(最佳化斷筋點!E578="","",最佳化斷筋點!E578)</f>
        <v/>
      </c>
      <c r="AE578" s="37" t="str">
        <f>IF(最佳化斷筋點!F578="","",最佳化斷筋點!F578)</f>
        <v/>
      </c>
      <c r="AF578" s="37" t="str">
        <f>IF(最佳化斷筋點!G578="","",最佳化斷筋點!G578)</f>
        <v/>
      </c>
      <c r="AG578" s="37" t="str">
        <f>IF(最佳化斷筋點!H578="","",最佳化斷筋點!H578)</f>
        <v/>
      </c>
      <c r="AH578" s="37" t="str">
        <f>IF(最佳化斷筋點!I578="","",最佳化斷筋點!I578)</f>
        <v/>
      </c>
      <c r="AI578" s="37" t="str">
        <f>IF(最佳化斷筋點!J578="","",最佳化斷筋點!J578)</f>
        <v/>
      </c>
      <c r="AJ578" s="37" t="str">
        <f>IF(最佳化斷筋點!K578="","",最佳化斷筋點!K578)</f>
        <v/>
      </c>
      <c r="AK578" s="37" t="str">
        <f>IF(最佳化斷筋點!L578="","",最佳化斷筋點!L578)</f>
        <v/>
      </c>
      <c r="AL578" s="37" t="str">
        <f>IF(最佳化斷筋點!M578="","",最佳化斷筋點!M578)</f>
        <v/>
      </c>
      <c r="AM578" s="37" t="str">
        <f>IF(最佳化斷筋點!N578="","",最佳化斷筋點!N578)</f>
        <v/>
      </c>
      <c r="AN578" s="37" t="str">
        <f>IF(最佳化斷筋點!O578="","",最佳化斷筋點!O578)</f>
        <v/>
      </c>
      <c r="AO578" s="37" t="str">
        <f>IF(最佳化斷筋點!P578="","",最佳化斷筋點!P578)</f>
        <v/>
      </c>
      <c r="AP578" s="37" t="str">
        <f>IF(最佳化斷筋點!Q578="","",最佳化斷筋點!Q578)</f>
        <v/>
      </c>
      <c r="AQ578" s="37" t="str">
        <f>IF(最佳化斷筋點!R578="","",最佳化斷筋點!R578)</f>
        <v/>
      </c>
      <c r="AR578" s="37" t="str">
        <f>IF(最佳化斷筋點!S578="","",最佳化斷筋點!S578)</f>
        <v/>
      </c>
      <c r="AS578" s="37" t="str">
        <f>IF(最佳化斷筋點!T578="","",最佳化斷筋點!T578)</f>
        <v/>
      </c>
      <c r="AT578" s="37" t="str">
        <f>IF(最佳化斷筋點!U578="","",最佳化斷筋點!U578)</f>
        <v/>
      </c>
      <c r="AU578" s="37" t="str">
        <f>IF(最佳化斷筋點!V578="","",最佳化斷筋點!V578)</f>
        <v/>
      </c>
      <c r="AV578" s="37" t="str">
        <f>IF(最佳化斷筋點!W578="","",最佳化斷筋點!W578)</f>
        <v/>
      </c>
      <c r="AW578" s="37" t="str">
        <f>IF(最佳化斷筋點!X578="","",最佳化斷筋點!X578)</f>
        <v/>
      </c>
      <c r="AZ578" s="37" t="s">
        <v>197</v>
      </c>
      <c r="BA578" s="37" t="s">
        <v>197</v>
      </c>
      <c r="BB578" s="37" t="s">
        <v>197</v>
      </c>
      <c r="BC578" s="37" t="s">
        <v>197</v>
      </c>
      <c r="BD578" s="37" t="s">
        <v>197</v>
      </c>
      <c r="BE578" s="37" t="s">
        <v>197</v>
      </c>
      <c r="BF578" s="37" t="s">
        <v>197</v>
      </c>
      <c r="BG578" s="37" t="s">
        <v>197</v>
      </c>
      <c r="BH578" s="37" t="s">
        <v>197</v>
      </c>
      <c r="BI578" s="37" t="s">
        <v>197</v>
      </c>
      <c r="BJ578" s="37" t="s">
        <v>197</v>
      </c>
      <c r="BK578" s="37" t="s">
        <v>197</v>
      </c>
      <c r="BL578" s="37" t="s">
        <v>197</v>
      </c>
      <c r="BM578" s="37" t="s">
        <v>197</v>
      </c>
      <c r="BN578" s="37" t="s">
        <v>197</v>
      </c>
      <c r="BO578" s="37" t="s">
        <v>197</v>
      </c>
      <c r="BP578" s="37" t="s">
        <v>197</v>
      </c>
      <c r="BQ578" s="37" t="s">
        <v>197</v>
      </c>
      <c r="BR578" s="37" t="s">
        <v>197</v>
      </c>
      <c r="BS578" s="37" t="s">
        <v>197</v>
      </c>
      <c r="BT578" s="37" t="s">
        <v>197</v>
      </c>
    </row>
    <row r="579" spans="5:72" x14ac:dyDescent="0.25">
      <c r="E579" s="6" t="s">
        <v>20</v>
      </c>
      <c r="F579" s="6">
        <f t="shared" si="169"/>
        <v>0</v>
      </c>
      <c r="G579" s="6">
        <f t="shared" si="170"/>
        <v>0</v>
      </c>
      <c r="H579" s="6">
        <f t="shared" si="171"/>
        <v>0</v>
      </c>
      <c r="I579" s="6">
        <f t="shared" si="172"/>
        <v>0</v>
      </c>
      <c r="J579" s="6">
        <f t="shared" si="173"/>
        <v>0</v>
      </c>
      <c r="K579" s="6">
        <f t="shared" si="174"/>
        <v>0</v>
      </c>
      <c r="L579" s="6">
        <f t="shared" si="175"/>
        <v>0</v>
      </c>
      <c r="M579" s="6">
        <f t="shared" si="176"/>
        <v>0</v>
      </c>
      <c r="N579" s="6">
        <f t="shared" si="177"/>
        <v>0</v>
      </c>
      <c r="O579" s="6">
        <f t="shared" si="178"/>
        <v>0</v>
      </c>
      <c r="P579" s="6">
        <f t="shared" si="179"/>
        <v>0</v>
      </c>
      <c r="Q579" s="6">
        <f t="shared" si="180"/>
        <v>0</v>
      </c>
      <c r="R579" s="6">
        <f t="shared" si="181"/>
        <v>0</v>
      </c>
      <c r="S579" s="6">
        <f t="shared" si="182"/>
        <v>0</v>
      </c>
      <c r="T579" s="6">
        <f t="shared" si="183"/>
        <v>0</v>
      </c>
      <c r="U579" s="6">
        <f t="shared" si="184"/>
        <v>0</v>
      </c>
      <c r="V579" s="6">
        <f t="shared" si="185"/>
        <v>0</v>
      </c>
      <c r="W579" s="6">
        <f t="shared" si="186"/>
        <v>0</v>
      </c>
      <c r="X579" s="6">
        <f t="shared" si="187"/>
        <v>0</v>
      </c>
      <c r="Y579" s="6">
        <f t="shared" si="188"/>
        <v>0</v>
      </c>
      <c r="Z579" s="6">
        <f t="shared" si="189"/>
        <v>0</v>
      </c>
      <c r="AB579" s="36" t="str">
        <f>IF(最佳化斷筋點!C579="","",最佳化斷筋點!C579)</f>
        <v>上層</v>
      </c>
      <c r="AC579" s="37">
        <f>IF(最佳化斷筋點!D579="","",最佳化斷筋點!D579)</f>
        <v>8</v>
      </c>
      <c r="AD579" s="37">
        <f>IF(最佳化斷筋點!E579="","",最佳化斷筋點!E579)</f>
        <v>8</v>
      </c>
      <c r="AE579" s="37">
        <f>IF(最佳化斷筋點!F579="","",最佳化斷筋點!F579)</f>
        <v>8</v>
      </c>
      <c r="AF579" s="37">
        <f>IF(最佳化斷筋點!G579="","",最佳化斷筋點!G579)</f>
        <v>8</v>
      </c>
      <c r="AG579" s="37">
        <f>IF(最佳化斷筋點!H579="","",最佳化斷筋點!H579)</f>
        <v>8</v>
      </c>
      <c r="AH579" s="37">
        <f>IF(最佳化斷筋點!I579="","",最佳化斷筋點!I579)</f>
        <v>8</v>
      </c>
      <c r="AI579" s="37">
        <f>IF(最佳化斷筋點!J579="","",最佳化斷筋點!J579)</f>
        <v>7</v>
      </c>
      <c r="AJ579" s="37">
        <f>IF(最佳化斷筋點!K579="","",最佳化斷筋點!K579)</f>
        <v>3</v>
      </c>
      <c r="AK579" s="37">
        <f>IF(最佳化斷筋點!L579="","",最佳化斷筋點!L579)</f>
        <v>3</v>
      </c>
      <c r="AL579" s="37">
        <f>IF(最佳化斷筋點!M579="","",最佳化斷筋點!M579)</f>
        <v>3</v>
      </c>
      <c r="AM579" s="37">
        <f>IF(最佳化斷筋點!N579="","",最佳化斷筋點!N579)</f>
        <v>3</v>
      </c>
      <c r="AN579" s="37">
        <f>IF(最佳化斷筋點!O579="","",最佳化斷筋點!O579)</f>
        <v>3</v>
      </c>
      <c r="AO579" s="37">
        <f>IF(最佳化斷筋點!P579="","",最佳化斷筋點!P579)</f>
        <v>3</v>
      </c>
      <c r="AP579" s="37">
        <f>IF(最佳化斷筋點!Q579="","",最佳化斷筋點!Q579)</f>
        <v>6</v>
      </c>
      <c r="AQ579" s="37">
        <f>IF(最佳化斷筋點!R579="","",最佳化斷筋點!R579)</f>
        <v>7</v>
      </c>
      <c r="AR579" s="37">
        <f>IF(最佳化斷筋點!S579="","",最佳化斷筋點!S579)</f>
        <v>8</v>
      </c>
      <c r="AS579" s="37">
        <f>IF(最佳化斷筋點!T579="","",最佳化斷筋點!T579)</f>
        <v>9</v>
      </c>
      <c r="AT579" s="37">
        <f>IF(最佳化斷筋點!U579="","",最佳化斷筋點!U579)</f>
        <v>9</v>
      </c>
      <c r="AU579" s="37">
        <f>IF(最佳化斷筋點!V579="","",最佳化斷筋點!V579)</f>
        <v>9</v>
      </c>
      <c r="AV579" s="37">
        <f>IF(最佳化斷筋點!W579="","",最佳化斷筋點!W579)</f>
        <v>9</v>
      </c>
      <c r="AW579" s="37">
        <f>IF(最佳化斷筋點!X579="","",最佳化斷筋點!X579)</f>
        <v>9</v>
      </c>
      <c r="AY579" s="6" t="s">
        <v>20</v>
      </c>
      <c r="AZ579" s="37">
        <v>8</v>
      </c>
      <c r="BA579" s="37">
        <v>8</v>
      </c>
      <c r="BB579" s="37">
        <v>8</v>
      </c>
      <c r="BC579" s="37">
        <v>8</v>
      </c>
      <c r="BD579" s="37">
        <v>8</v>
      </c>
      <c r="BE579" s="37">
        <v>8</v>
      </c>
      <c r="BF579" s="37">
        <v>7</v>
      </c>
      <c r="BG579" s="37">
        <v>3</v>
      </c>
      <c r="BH579" s="37">
        <v>3</v>
      </c>
      <c r="BI579" s="37">
        <v>3</v>
      </c>
      <c r="BJ579" s="37">
        <v>3</v>
      </c>
      <c r="BK579" s="37">
        <v>3</v>
      </c>
      <c r="BL579" s="37">
        <v>3</v>
      </c>
      <c r="BM579" s="37">
        <v>6</v>
      </c>
      <c r="BN579" s="37">
        <v>7</v>
      </c>
      <c r="BO579" s="37">
        <v>8</v>
      </c>
      <c r="BP579" s="37">
        <v>9</v>
      </c>
      <c r="BQ579" s="37">
        <v>9</v>
      </c>
      <c r="BR579" s="37">
        <v>9</v>
      </c>
      <c r="BS579" s="37">
        <v>9</v>
      </c>
      <c r="BT579" s="37">
        <v>9</v>
      </c>
    </row>
    <row r="580" spans="5:72" x14ac:dyDescent="0.25">
      <c r="F580" s="6">
        <f t="shared" ref="F580:F630" si="190">IF(AC580=AZ580,0,1)</f>
        <v>0</v>
      </c>
      <c r="G580" s="6">
        <f t="shared" ref="G580:G630" si="191">IF(AD580=BA580,0,1)</f>
        <v>0</v>
      </c>
      <c r="H580" s="6">
        <f t="shared" ref="H580:H630" si="192">IF(AE580=BB580,0,1)</f>
        <v>0</v>
      </c>
      <c r="I580" s="6">
        <f t="shared" ref="I580:I630" si="193">IF(AF580=BC580,0,1)</f>
        <v>0</v>
      </c>
      <c r="J580" s="6">
        <f t="shared" ref="J580:J630" si="194">IF(AG580=BD580,0,1)</f>
        <v>0</v>
      </c>
      <c r="K580" s="6">
        <f t="shared" ref="K580:K630" si="195">IF(AH580=BE580,0,1)</f>
        <v>0</v>
      </c>
      <c r="L580" s="6">
        <f t="shared" ref="L580:L630" si="196">IF(AI580=BF580,0,1)</f>
        <v>0</v>
      </c>
      <c r="M580" s="6">
        <f t="shared" ref="M580:M630" si="197">IF(AJ580=BG580,0,1)</f>
        <v>0</v>
      </c>
      <c r="N580" s="6">
        <f t="shared" ref="N580:N630" si="198">IF(AK580=BH580,0,1)</f>
        <v>0</v>
      </c>
      <c r="O580" s="6">
        <f t="shared" ref="O580:O630" si="199">IF(AL580=BI580,0,1)</f>
        <v>0</v>
      </c>
      <c r="P580" s="6">
        <f t="shared" ref="P580:P630" si="200">IF(AM580=BJ580,0,1)</f>
        <v>0</v>
      </c>
      <c r="Q580" s="6">
        <f t="shared" ref="Q580:Q630" si="201">IF(AN580=BK580,0,1)</f>
        <v>0</v>
      </c>
      <c r="R580" s="6">
        <f t="shared" ref="R580:R630" si="202">IF(AO580=BL580,0,1)</f>
        <v>0</v>
      </c>
      <c r="S580" s="6">
        <f t="shared" ref="S580:S630" si="203">IF(AP580=BM580,0,1)</f>
        <v>0</v>
      </c>
      <c r="T580" s="6">
        <f t="shared" ref="T580:T630" si="204">IF(AQ580=BN580,0,1)</f>
        <v>0</v>
      </c>
      <c r="U580" s="6">
        <f t="shared" ref="U580:U630" si="205">IF(AR580=BO580,0,1)</f>
        <v>0</v>
      </c>
      <c r="V580" s="6">
        <f t="shared" ref="V580:V630" si="206">IF(AS580=BP580,0,1)</f>
        <v>0</v>
      </c>
      <c r="W580" s="6">
        <f t="shared" ref="W580:W630" si="207">IF(AT580=BQ580,0,1)</f>
        <v>0</v>
      </c>
      <c r="X580" s="6">
        <f t="shared" ref="X580:X630" si="208">IF(AU580=BR580,0,1)</f>
        <v>0</v>
      </c>
      <c r="Y580" s="6">
        <f t="shared" ref="Y580:Y630" si="209">IF(AV580=BS580,0,1)</f>
        <v>0</v>
      </c>
      <c r="Z580" s="6">
        <f t="shared" ref="Z580:Z630" si="210">IF(AW580=BT580,0,1)</f>
        <v>0</v>
      </c>
      <c r="AB580" s="36" t="str">
        <f>IF(最佳化斷筋點!C580="","",最佳化斷筋點!C580)</f>
        <v/>
      </c>
      <c r="AC580" s="37" t="str">
        <f>IF(最佳化斷筋點!D580="","",最佳化斷筋點!D580)</f>
        <v/>
      </c>
      <c r="AD580" s="37" t="str">
        <f>IF(最佳化斷筋點!E580="","",最佳化斷筋點!E580)</f>
        <v/>
      </c>
      <c r="AE580" s="37" t="str">
        <f>IF(最佳化斷筋點!F580="","",最佳化斷筋點!F580)</f>
        <v/>
      </c>
      <c r="AF580" s="37" t="str">
        <f>IF(最佳化斷筋點!G580="","",最佳化斷筋點!G580)</f>
        <v/>
      </c>
      <c r="AG580" s="37" t="str">
        <f>IF(最佳化斷筋點!H580="","",最佳化斷筋點!H580)</f>
        <v/>
      </c>
      <c r="AH580" s="37" t="str">
        <f>IF(最佳化斷筋點!I580="","",最佳化斷筋點!I580)</f>
        <v/>
      </c>
      <c r="AI580" s="37" t="str">
        <f>IF(最佳化斷筋點!J580="","",最佳化斷筋點!J580)</f>
        <v/>
      </c>
      <c r="AJ580" s="37" t="str">
        <f>IF(最佳化斷筋點!K580="","",最佳化斷筋點!K580)</f>
        <v/>
      </c>
      <c r="AK580" s="37" t="str">
        <f>IF(最佳化斷筋點!L580="","",最佳化斷筋點!L580)</f>
        <v/>
      </c>
      <c r="AL580" s="37" t="str">
        <f>IF(最佳化斷筋點!M580="","",最佳化斷筋點!M580)</f>
        <v/>
      </c>
      <c r="AM580" s="37" t="str">
        <f>IF(最佳化斷筋點!N580="","",最佳化斷筋點!N580)</f>
        <v/>
      </c>
      <c r="AN580" s="37" t="str">
        <f>IF(最佳化斷筋點!O580="","",最佳化斷筋點!O580)</f>
        <v/>
      </c>
      <c r="AO580" s="37" t="str">
        <f>IF(最佳化斷筋點!P580="","",最佳化斷筋點!P580)</f>
        <v/>
      </c>
      <c r="AP580" s="37" t="str">
        <f>IF(最佳化斷筋點!Q580="","",最佳化斷筋點!Q580)</f>
        <v/>
      </c>
      <c r="AQ580" s="37" t="str">
        <f>IF(最佳化斷筋點!R580="","",最佳化斷筋點!R580)</f>
        <v/>
      </c>
      <c r="AR580" s="37" t="str">
        <f>IF(最佳化斷筋點!S580="","",最佳化斷筋點!S580)</f>
        <v/>
      </c>
      <c r="AS580" s="37" t="str">
        <f>IF(最佳化斷筋點!T580="","",最佳化斷筋點!T580)</f>
        <v/>
      </c>
      <c r="AT580" s="37" t="str">
        <f>IF(最佳化斷筋點!U580="","",最佳化斷筋點!U580)</f>
        <v/>
      </c>
      <c r="AU580" s="37" t="str">
        <f>IF(最佳化斷筋點!V580="","",最佳化斷筋點!V580)</f>
        <v/>
      </c>
      <c r="AV580" s="37" t="str">
        <f>IF(最佳化斷筋點!W580="","",最佳化斷筋點!W580)</f>
        <v/>
      </c>
      <c r="AW580" s="37" t="str">
        <f>IF(最佳化斷筋點!X580="","",最佳化斷筋點!X580)</f>
        <v/>
      </c>
      <c r="AZ580" s="37" t="s">
        <v>197</v>
      </c>
      <c r="BA580" s="37" t="s">
        <v>197</v>
      </c>
      <c r="BB580" s="37" t="s">
        <v>197</v>
      </c>
      <c r="BC580" s="37" t="s">
        <v>197</v>
      </c>
      <c r="BD580" s="37" t="s">
        <v>197</v>
      </c>
      <c r="BE580" s="37" t="s">
        <v>197</v>
      </c>
      <c r="BF580" s="37" t="s">
        <v>197</v>
      </c>
      <c r="BG580" s="37" t="s">
        <v>197</v>
      </c>
      <c r="BH580" s="37" t="s">
        <v>197</v>
      </c>
      <c r="BI580" s="37" t="s">
        <v>197</v>
      </c>
      <c r="BJ580" s="37" t="s">
        <v>197</v>
      </c>
      <c r="BK580" s="37" t="s">
        <v>197</v>
      </c>
      <c r="BL580" s="37" t="s">
        <v>197</v>
      </c>
      <c r="BM580" s="37" t="s">
        <v>197</v>
      </c>
      <c r="BN580" s="37" t="s">
        <v>197</v>
      </c>
      <c r="BO580" s="37" t="s">
        <v>197</v>
      </c>
      <c r="BP580" s="37" t="s">
        <v>197</v>
      </c>
      <c r="BQ580" s="37" t="s">
        <v>197</v>
      </c>
      <c r="BR580" s="37" t="s">
        <v>197</v>
      </c>
      <c r="BS580" s="37" t="s">
        <v>197</v>
      </c>
      <c r="BT580" s="37" t="s">
        <v>197</v>
      </c>
    </row>
    <row r="581" spans="5:72" x14ac:dyDescent="0.25">
      <c r="E581" s="6" t="s">
        <v>21</v>
      </c>
      <c r="F581" s="6">
        <f t="shared" si="190"/>
        <v>0</v>
      </c>
      <c r="G581" s="6">
        <f t="shared" si="191"/>
        <v>0</v>
      </c>
      <c r="H581" s="6">
        <f t="shared" si="192"/>
        <v>0</v>
      </c>
      <c r="I581" s="6">
        <f t="shared" si="193"/>
        <v>0</v>
      </c>
      <c r="J581" s="6">
        <f t="shared" si="194"/>
        <v>0</v>
      </c>
      <c r="K581" s="6">
        <f t="shared" si="195"/>
        <v>0</v>
      </c>
      <c r="L581" s="6">
        <f t="shared" si="196"/>
        <v>0</v>
      </c>
      <c r="M581" s="6">
        <f t="shared" si="197"/>
        <v>0</v>
      </c>
      <c r="N581" s="6">
        <f t="shared" si="198"/>
        <v>0</v>
      </c>
      <c r="O581" s="6">
        <f t="shared" si="199"/>
        <v>0</v>
      </c>
      <c r="P581" s="6">
        <f t="shared" si="200"/>
        <v>0</v>
      </c>
      <c r="Q581" s="6">
        <f t="shared" si="201"/>
        <v>0</v>
      </c>
      <c r="R581" s="6">
        <f t="shared" si="202"/>
        <v>0</v>
      </c>
      <c r="S581" s="6">
        <f t="shared" si="203"/>
        <v>0</v>
      </c>
      <c r="T581" s="6">
        <f t="shared" si="204"/>
        <v>0</v>
      </c>
      <c r="U581" s="6">
        <f t="shared" si="205"/>
        <v>0</v>
      </c>
      <c r="V581" s="6">
        <f t="shared" si="206"/>
        <v>0</v>
      </c>
      <c r="W581" s="6">
        <f t="shared" si="207"/>
        <v>0</v>
      </c>
      <c r="X581" s="6">
        <f t="shared" si="208"/>
        <v>0</v>
      </c>
      <c r="Y581" s="6">
        <f t="shared" si="209"/>
        <v>0</v>
      </c>
      <c r="Z581" s="6">
        <f t="shared" si="210"/>
        <v>0</v>
      </c>
      <c r="AB581" s="36" t="str">
        <f>IF(最佳化斷筋點!C581="","",最佳化斷筋點!C581)</f>
        <v>下層</v>
      </c>
      <c r="AC581" s="37">
        <f>IF(最佳化斷筋點!D581="","",最佳化斷筋點!D581)</f>
        <v>8</v>
      </c>
      <c r="AD581" s="37">
        <f>IF(最佳化斷筋點!E581="","",最佳化斷筋點!E581)</f>
        <v>8</v>
      </c>
      <c r="AE581" s="37">
        <f>IF(最佳化斷筋點!F581="","",最佳化斷筋點!F581)</f>
        <v>8</v>
      </c>
      <c r="AF581" s="37">
        <f>IF(最佳化斷筋點!G581="","",最佳化斷筋點!G581)</f>
        <v>8</v>
      </c>
      <c r="AG581" s="37">
        <f>IF(最佳化斷筋點!H581="","",最佳化斷筋點!H581)</f>
        <v>8</v>
      </c>
      <c r="AH581" s="37">
        <f>IF(最佳化斷筋點!I581="","",最佳化斷筋點!I581)</f>
        <v>7</v>
      </c>
      <c r="AI581" s="37">
        <f>IF(最佳化斷筋點!J581="","",最佳化斷筋點!J581)</f>
        <v>6</v>
      </c>
      <c r="AJ581" s="37">
        <f>IF(最佳化斷筋點!K581="","",最佳化斷筋點!K581)</f>
        <v>5</v>
      </c>
      <c r="AK581" s="37">
        <f>IF(最佳化斷筋點!L581="","",最佳化斷筋點!L581)</f>
        <v>5</v>
      </c>
      <c r="AL581" s="37">
        <f>IF(最佳化斷筋點!M581="","",最佳化斷筋點!M581)</f>
        <v>5</v>
      </c>
      <c r="AM581" s="37">
        <f>IF(最佳化斷筋點!N581="","",最佳化斷筋點!N581)</f>
        <v>5</v>
      </c>
      <c r="AN581" s="37">
        <f>IF(最佳化斷筋點!O581="","",最佳化斷筋點!O581)</f>
        <v>5</v>
      </c>
      <c r="AO581" s="37">
        <f>IF(最佳化斷筋點!P581="","",最佳化斷筋點!P581)</f>
        <v>5</v>
      </c>
      <c r="AP581" s="37">
        <f>IF(最佳化斷筋點!Q581="","",最佳化斷筋點!Q581)</f>
        <v>5</v>
      </c>
      <c r="AQ581" s="37">
        <f>IF(最佳化斷筋點!R581="","",最佳化斷筋點!R581)</f>
        <v>6</v>
      </c>
      <c r="AR581" s="37">
        <f>IF(最佳化斷筋點!S581="","",最佳化斷筋點!S581)</f>
        <v>6</v>
      </c>
      <c r="AS581" s="37">
        <f>IF(最佳化斷筋點!T581="","",最佳化斷筋點!T581)</f>
        <v>7</v>
      </c>
      <c r="AT581" s="37">
        <f>IF(最佳化斷筋點!U581="","",最佳化斷筋點!U581)</f>
        <v>8</v>
      </c>
      <c r="AU581" s="37">
        <f>IF(最佳化斷筋點!V581="","",最佳化斷筋點!V581)</f>
        <v>8</v>
      </c>
      <c r="AV581" s="37">
        <f>IF(最佳化斷筋點!W581="","",最佳化斷筋點!W581)</f>
        <v>8</v>
      </c>
      <c r="AW581" s="37">
        <f>IF(最佳化斷筋點!X581="","",最佳化斷筋點!X581)</f>
        <v>8</v>
      </c>
      <c r="AY581" s="6" t="s">
        <v>21</v>
      </c>
      <c r="AZ581" s="37">
        <v>8</v>
      </c>
      <c r="BA581" s="37">
        <v>8</v>
      </c>
      <c r="BB581" s="37">
        <v>8</v>
      </c>
      <c r="BC581" s="37">
        <v>8</v>
      </c>
      <c r="BD581" s="37">
        <v>8</v>
      </c>
      <c r="BE581" s="37">
        <v>7</v>
      </c>
      <c r="BF581" s="37">
        <v>6</v>
      </c>
      <c r="BG581" s="37">
        <v>5</v>
      </c>
      <c r="BH581" s="37">
        <v>5</v>
      </c>
      <c r="BI581" s="37">
        <v>5</v>
      </c>
      <c r="BJ581" s="37">
        <v>5</v>
      </c>
      <c r="BK581" s="37">
        <v>5</v>
      </c>
      <c r="BL581" s="37">
        <v>5</v>
      </c>
      <c r="BM581" s="37">
        <v>5</v>
      </c>
      <c r="BN581" s="37">
        <v>6</v>
      </c>
      <c r="BO581" s="37">
        <v>6</v>
      </c>
      <c r="BP581" s="37">
        <v>7</v>
      </c>
      <c r="BQ581" s="37">
        <v>8</v>
      </c>
      <c r="BR581" s="37">
        <v>8</v>
      </c>
      <c r="BS581" s="37">
        <v>8</v>
      </c>
      <c r="BT581" s="37">
        <v>8</v>
      </c>
    </row>
    <row r="582" spans="5:72" x14ac:dyDescent="0.25">
      <c r="F582" s="6">
        <f t="shared" si="190"/>
        <v>0</v>
      </c>
      <c r="G582" s="6">
        <f t="shared" si="191"/>
        <v>0</v>
      </c>
      <c r="H582" s="6">
        <f t="shared" si="192"/>
        <v>0</v>
      </c>
      <c r="I582" s="6">
        <f t="shared" si="193"/>
        <v>0</v>
      </c>
      <c r="J582" s="6">
        <f t="shared" si="194"/>
        <v>0</v>
      </c>
      <c r="K582" s="6">
        <f t="shared" si="195"/>
        <v>0</v>
      </c>
      <c r="L582" s="6">
        <f t="shared" si="196"/>
        <v>0</v>
      </c>
      <c r="M582" s="6">
        <f t="shared" si="197"/>
        <v>0</v>
      </c>
      <c r="N582" s="6">
        <f t="shared" si="198"/>
        <v>0</v>
      </c>
      <c r="O582" s="6">
        <f t="shared" si="199"/>
        <v>0</v>
      </c>
      <c r="P582" s="6">
        <f t="shared" si="200"/>
        <v>0</v>
      </c>
      <c r="Q582" s="6">
        <f t="shared" si="201"/>
        <v>0</v>
      </c>
      <c r="R582" s="6">
        <f t="shared" si="202"/>
        <v>0</v>
      </c>
      <c r="S582" s="6">
        <f t="shared" si="203"/>
        <v>0</v>
      </c>
      <c r="T582" s="6">
        <f t="shared" si="204"/>
        <v>0</v>
      </c>
      <c r="U582" s="6">
        <f t="shared" si="205"/>
        <v>0</v>
      </c>
      <c r="V582" s="6">
        <f t="shared" si="206"/>
        <v>0</v>
      </c>
      <c r="W582" s="6">
        <f t="shared" si="207"/>
        <v>0</v>
      </c>
      <c r="X582" s="6">
        <f t="shared" si="208"/>
        <v>0</v>
      </c>
      <c r="Y582" s="6">
        <f t="shared" si="209"/>
        <v>0</v>
      </c>
      <c r="Z582" s="6">
        <f t="shared" si="210"/>
        <v>0</v>
      </c>
      <c r="AB582" s="36" t="str">
        <f>IF(最佳化斷筋點!C582="","",最佳化斷筋點!C582)</f>
        <v/>
      </c>
      <c r="AC582" s="37" t="str">
        <f>IF(最佳化斷筋點!D582="","",最佳化斷筋點!D582)</f>
        <v/>
      </c>
      <c r="AD582" s="37" t="str">
        <f>IF(最佳化斷筋點!E582="","",最佳化斷筋點!E582)</f>
        <v/>
      </c>
      <c r="AE582" s="37" t="str">
        <f>IF(最佳化斷筋點!F582="","",最佳化斷筋點!F582)</f>
        <v/>
      </c>
      <c r="AF582" s="37" t="str">
        <f>IF(最佳化斷筋點!G582="","",最佳化斷筋點!G582)</f>
        <v/>
      </c>
      <c r="AG582" s="37" t="str">
        <f>IF(最佳化斷筋點!H582="","",最佳化斷筋點!H582)</f>
        <v/>
      </c>
      <c r="AH582" s="37" t="str">
        <f>IF(最佳化斷筋點!I582="","",最佳化斷筋點!I582)</f>
        <v/>
      </c>
      <c r="AI582" s="37" t="str">
        <f>IF(最佳化斷筋點!J582="","",最佳化斷筋點!J582)</f>
        <v/>
      </c>
      <c r="AJ582" s="37" t="str">
        <f>IF(最佳化斷筋點!K582="","",最佳化斷筋點!K582)</f>
        <v/>
      </c>
      <c r="AK582" s="37" t="str">
        <f>IF(最佳化斷筋點!L582="","",最佳化斷筋點!L582)</f>
        <v/>
      </c>
      <c r="AL582" s="37" t="str">
        <f>IF(最佳化斷筋點!M582="","",最佳化斷筋點!M582)</f>
        <v/>
      </c>
      <c r="AM582" s="37" t="str">
        <f>IF(最佳化斷筋點!N582="","",最佳化斷筋點!N582)</f>
        <v/>
      </c>
      <c r="AN582" s="37" t="str">
        <f>IF(最佳化斷筋點!O582="","",最佳化斷筋點!O582)</f>
        <v/>
      </c>
      <c r="AO582" s="37" t="str">
        <f>IF(最佳化斷筋點!P582="","",最佳化斷筋點!P582)</f>
        <v/>
      </c>
      <c r="AP582" s="37" t="str">
        <f>IF(最佳化斷筋點!Q582="","",最佳化斷筋點!Q582)</f>
        <v/>
      </c>
      <c r="AQ582" s="37" t="str">
        <f>IF(最佳化斷筋點!R582="","",最佳化斷筋點!R582)</f>
        <v/>
      </c>
      <c r="AR582" s="37" t="str">
        <f>IF(最佳化斷筋點!S582="","",最佳化斷筋點!S582)</f>
        <v/>
      </c>
      <c r="AS582" s="37" t="str">
        <f>IF(最佳化斷筋點!T582="","",最佳化斷筋點!T582)</f>
        <v/>
      </c>
      <c r="AT582" s="37" t="str">
        <f>IF(最佳化斷筋點!U582="","",最佳化斷筋點!U582)</f>
        <v/>
      </c>
      <c r="AU582" s="37" t="str">
        <f>IF(最佳化斷筋點!V582="","",最佳化斷筋點!V582)</f>
        <v/>
      </c>
      <c r="AV582" s="37" t="str">
        <f>IF(最佳化斷筋點!W582="","",最佳化斷筋點!W582)</f>
        <v/>
      </c>
      <c r="AW582" s="37" t="str">
        <f>IF(最佳化斷筋點!X582="","",最佳化斷筋點!X582)</f>
        <v/>
      </c>
      <c r="AZ582" s="37" t="s">
        <v>197</v>
      </c>
      <c r="BA582" s="37" t="s">
        <v>197</v>
      </c>
      <c r="BB582" s="37" t="s">
        <v>197</v>
      </c>
      <c r="BC582" s="37" t="s">
        <v>197</v>
      </c>
      <c r="BD582" s="37" t="s">
        <v>197</v>
      </c>
      <c r="BE582" s="37" t="s">
        <v>197</v>
      </c>
      <c r="BF582" s="37" t="s">
        <v>197</v>
      </c>
      <c r="BG582" s="37" t="s">
        <v>197</v>
      </c>
      <c r="BH582" s="37" t="s">
        <v>197</v>
      </c>
      <c r="BI582" s="37" t="s">
        <v>197</v>
      </c>
      <c r="BJ582" s="37" t="s">
        <v>197</v>
      </c>
      <c r="BK582" s="37" t="s">
        <v>197</v>
      </c>
      <c r="BL582" s="37" t="s">
        <v>197</v>
      </c>
      <c r="BM582" s="37" t="s">
        <v>197</v>
      </c>
      <c r="BN582" s="37" t="s">
        <v>197</v>
      </c>
      <c r="BO582" s="37" t="s">
        <v>197</v>
      </c>
      <c r="BP582" s="37" t="s">
        <v>197</v>
      </c>
      <c r="BQ582" s="37" t="s">
        <v>197</v>
      </c>
      <c r="BR582" s="37" t="s">
        <v>197</v>
      </c>
      <c r="BS582" s="37" t="s">
        <v>197</v>
      </c>
      <c r="BT582" s="37" t="s">
        <v>197</v>
      </c>
    </row>
    <row r="583" spans="5:72" x14ac:dyDescent="0.25">
      <c r="E583" s="6" t="s">
        <v>20</v>
      </c>
      <c r="F583" s="6">
        <f t="shared" si="190"/>
        <v>0</v>
      </c>
      <c r="G583" s="6">
        <f t="shared" si="191"/>
        <v>0</v>
      </c>
      <c r="H583" s="6">
        <f t="shared" si="192"/>
        <v>0</v>
      </c>
      <c r="I583" s="6">
        <f t="shared" si="193"/>
        <v>0</v>
      </c>
      <c r="J583" s="6">
        <f t="shared" si="194"/>
        <v>0</v>
      </c>
      <c r="K583" s="6">
        <f t="shared" si="195"/>
        <v>0</v>
      </c>
      <c r="L583" s="6">
        <f t="shared" si="196"/>
        <v>0</v>
      </c>
      <c r="M583" s="6">
        <f t="shared" si="197"/>
        <v>0</v>
      </c>
      <c r="N583" s="6">
        <f t="shared" si="198"/>
        <v>0</v>
      </c>
      <c r="O583" s="6">
        <f t="shared" si="199"/>
        <v>0</v>
      </c>
      <c r="P583" s="6">
        <f t="shared" si="200"/>
        <v>0</v>
      </c>
      <c r="Q583" s="6">
        <f t="shared" si="201"/>
        <v>0</v>
      </c>
      <c r="R583" s="6">
        <f t="shared" si="202"/>
        <v>0</v>
      </c>
      <c r="S583" s="6">
        <f t="shared" si="203"/>
        <v>0</v>
      </c>
      <c r="T583" s="6">
        <f t="shared" si="204"/>
        <v>0</v>
      </c>
      <c r="U583" s="6">
        <f t="shared" si="205"/>
        <v>0</v>
      </c>
      <c r="V583" s="6">
        <f t="shared" si="206"/>
        <v>0</v>
      </c>
      <c r="W583" s="6">
        <f t="shared" si="207"/>
        <v>0</v>
      </c>
      <c r="X583" s="6">
        <f t="shared" si="208"/>
        <v>0</v>
      </c>
      <c r="Y583" s="6">
        <f t="shared" si="209"/>
        <v>0</v>
      </c>
      <c r="Z583" s="6">
        <f t="shared" si="210"/>
        <v>0</v>
      </c>
      <c r="AB583" s="36" t="str">
        <f>IF(最佳化斷筋點!C583="","",最佳化斷筋點!C583)</f>
        <v>上層</v>
      </c>
      <c r="AC583" s="37">
        <f>IF(最佳化斷筋點!D583="","",最佳化斷筋點!D583)</f>
        <v>9</v>
      </c>
      <c r="AD583" s="37">
        <f>IF(最佳化斷筋點!E583="","",最佳化斷筋點!E583)</f>
        <v>9</v>
      </c>
      <c r="AE583" s="37">
        <f>IF(最佳化斷筋點!F583="","",最佳化斷筋點!F583)</f>
        <v>9</v>
      </c>
      <c r="AF583" s="37">
        <f>IF(最佳化斷筋點!G583="","",最佳化斷筋點!G583)</f>
        <v>9</v>
      </c>
      <c r="AG583" s="37">
        <f>IF(最佳化斷筋點!H583="","",最佳化斷筋點!H583)</f>
        <v>9</v>
      </c>
      <c r="AH583" s="37">
        <f>IF(最佳化斷筋點!I583="","",最佳化斷筋點!I583)</f>
        <v>9</v>
      </c>
      <c r="AI583" s="37">
        <f>IF(最佳化斷筋點!J583="","",最佳化斷筋點!J583)</f>
        <v>9</v>
      </c>
      <c r="AJ583" s="37">
        <f>IF(最佳化斷筋點!K583="","",最佳化斷筋點!K583)</f>
        <v>4</v>
      </c>
      <c r="AK583" s="37">
        <f>IF(最佳化斷筋點!L583="","",最佳化斷筋點!L583)</f>
        <v>4</v>
      </c>
      <c r="AL583" s="37">
        <f>IF(最佳化斷筋點!M583="","",最佳化斷筋點!M583)</f>
        <v>4</v>
      </c>
      <c r="AM583" s="37">
        <f>IF(最佳化斷筋點!N583="","",最佳化斷筋點!N583)</f>
        <v>4</v>
      </c>
      <c r="AN583" s="37">
        <f>IF(最佳化斷筋點!O583="","",最佳化斷筋點!O583)</f>
        <v>4</v>
      </c>
      <c r="AO583" s="37">
        <f>IF(最佳化斷筋點!P583="","",最佳化斷筋點!P583)</f>
        <v>4</v>
      </c>
      <c r="AP583" s="37">
        <f>IF(最佳化斷筋點!Q583="","",最佳化斷筋點!Q583)</f>
        <v>8</v>
      </c>
      <c r="AQ583" s="37">
        <f>IF(最佳化斷筋點!R583="","",最佳化斷筋點!R583)</f>
        <v>9</v>
      </c>
      <c r="AR583" s="37">
        <f>IF(最佳化斷筋點!S583="","",最佳化斷筋點!S583)</f>
        <v>10</v>
      </c>
      <c r="AS583" s="37">
        <f>IF(最佳化斷筋點!T583="","",最佳化斷筋點!T583)</f>
        <v>10</v>
      </c>
      <c r="AT583" s="37">
        <f>IF(最佳化斷筋點!U583="","",最佳化斷筋點!U583)</f>
        <v>10</v>
      </c>
      <c r="AU583" s="37">
        <f>IF(最佳化斷筋點!V583="","",最佳化斷筋點!V583)</f>
        <v>10</v>
      </c>
      <c r="AV583" s="37">
        <f>IF(最佳化斷筋點!W583="","",最佳化斷筋點!W583)</f>
        <v>10</v>
      </c>
      <c r="AW583" s="37">
        <f>IF(最佳化斷筋點!X583="","",最佳化斷筋點!X583)</f>
        <v>10</v>
      </c>
      <c r="AY583" s="6" t="s">
        <v>20</v>
      </c>
      <c r="AZ583" s="37">
        <v>9</v>
      </c>
      <c r="BA583" s="37">
        <v>9</v>
      </c>
      <c r="BB583" s="37">
        <v>9</v>
      </c>
      <c r="BC583" s="37">
        <v>9</v>
      </c>
      <c r="BD583" s="37">
        <v>9</v>
      </c>
      <c r="BE583" s="37">
        <v>9</v>
      </c>
      <c r="BF583" s="37">
        <v>9</v>
      </c>
      <c r="BG583" s="37">
        <v>4</v>
      </c>
      <c r="BH583" s="37">
        <v>4</v>
      </c>
      <c r="BI583" s="37">
        <v>4</v>
      </c>
      <c r="BJ583" s="37">
        <v>4</v>
      </c>
      <c r="BK583" s="37">
        <v>4</v>
      </c>
      <c r="BL583" s="37">
        <v>4</v>
      </c>
      <c r="BM583" s="37">
        <v>8</v>
      </c>
      <c r="BN583" s="37">
        <v>9</v>
      </c>
      <c r="BO583" s="37">
        <v>10</v>
      </c>
      <c r="BP583" s="37">
        <v>10</v>
      </c>
      <c r="BQ583" s="37">
        <v>10</v>
      </c>
      <c r="BR583" s="37">
        <v>10</v>
      </c>
      <c r="BS583" s="37">
        <v>10</v>
      </c>
      <c r="BT583" s="37">
        <v>10</v>
      </c>
    </row>
    <row r="584" spans="5:72" x14ac:dyDescent="0.25">
      <c r="F584" s="6">
        <f t="shared" si="190"/>
        <v>0</v>
      </c>
      <c r="G584" s="6">
        <f t="shared" si="191"/>
        <v>0</v>
      </c>
      <c r="H584" s="6">
        <f t="shared" si="192"/>
        <v>0</v>
      </c>
      <c r="I584" s="6">
        <f t="shared" si="193"/>
        <v>0</v>
      </c>
      <c r="J584" s="6">
        <f t="shared" si="194"/>
        <v>0</v>
      </c>
      <c r="K584" s="6">
        <f t="shared" si="195"/>
        <v>0</v>
      </c>
      <c r="L584" s="6">
        <f t="shared" si="196"/>
        <v>0</v>
      </c>
      <c r="M584" s="6">
        <f t="shared" si="197"/>
        <v>0</v>
      </c>
      <c r="N584" s="6">
        <f t="shared" si="198"/>
        <v>0</v>
      </c>
      <c r="O584" s="6">
        <f t="shared" si="199"/>
        <v>0</v>
      </c>
      <c r="P584" s="6">
        <f t="shared" si="200"/>
        <v>0</v>
      </c>
      <c r="Q584" s="6">
        <f t="shared" si="201"/>
        <v>0</v>
      </c>
      <c r="R584" s="6">
        <f t="shared" si="202"/>
        <v>0</v>
      </c>
      <c r="S584" s="6">
        <f t="shared" si="203"/>
        <v>0</v>
      </c>
      <c r="T584" s="6">
        <f t="shared" si="204"/>
        <v>0</v>
      </c>
      <c r="U584" s="6">
        <f t="shared" si="205"/>
        <v>0</v>
      </c>
      <c r="V584" s="6">
        <f t="shared" si="206"/>
        <v>0</v>
      </c>
      <c r="W584" s="6">
        <f t="shared" si="207"/>
        <v>0</v>
      </c>
      <c r="X584" s="6">
        <f t="shared" si="208"/>
        <v>0</v>
      </c>
      <c r="Y584" s="6">
        <f t="shared" si="209"/>
        <v>0</v>
      </c>
      <c r="Z584" s="6">
        <f t="shared" si="210"/>
        <v>0</v>
      </c>
      <c r="AB584" s="36" t="str">
        <f>IF(最佳化斷筋點!C584="","",最佳化斷筋點!C584)</f>
        <v/>
      </c>
      <c r="AC584" s="37" t="str">
        <f>IF(最佳化斷筋點!D584="","",最佳化斷筋點!D584)</f>
        <v/>
      </c>
      <c r="AD584" s="37" t="str">
        <f>IF(最佳化斷筋點!E584="","",最佳化斷筋點!E584)</f>
        <v/>
      </c>
      <c r="AE584" s="37" t="str">
        <f>IF(最佳化斷筋點!F584="","",最佳化斷筋點!F584)</f>
        <v/>
      </c>
      <c r="AF584" s="37" t="str">
        <f>IF(最佳化斷筋點!G584="","",最佳化斷筋點!G584)</f>
        <v/>
      </c>
      <c r="AG584" s="37" t="str">
        <f>IF(最佳化斷筋點!H584="","",最佳化斷筋點!H584)</f>
        <v/>
      </c>
      <c r="AH584" s="37" t="str">
        <f>IF(最佳化斷筋點!I584="","",最佳化斷筋點!I584)</f>
        <v/>
      </c>
      <c r="AI584" s="37" t="str">
        <f>IF(最佳化斷筋點!J584="","",最佳化斷筋點!J584)</f>
        <v/>
      </c>
      <c r="AJ584" s="37" t="str">
        <f>IF(最佳化斷筋點!K584="","",最佳化斷筋點!K584)</f>
        <v/>
      </c>
      <c r="AK584" s="37" t="str">
        <f>IF(最佳化斷筋點!L584="","",最佳化斷筋點!L584)</f>
        <v/>
      </c>
      <c r="AL584" s="37" t="str">
        <f>IF(最佳化斷筋點!M584="","",最佳化斷筋點!M584)</f>
        <v/>
      </c>
      <c r="AM584" s="37" t="str">
        <f>IF(最佳化斷筋點!N584="","",最佳化斷筋點!N584)</f>
        <v/>
      </c>
      <c r="AN584" s="37" t="str">
        <f>IF(最佳化斷筋點!O584="","",最佳化斷筋點!O584)</f>
        <v/>
      </c>
      <c r="AO584" s="37" t="str">
        <f>IF(最佳化斷筋點!P584="","",最佳化斷筋點!P584)</f>
        <v/>
      </c>
      <c r="AP584" s="37" t="str">
        <f>IF(最佳化斷筋點!Q584="","",最佳化斷筋點!Q584)</f>
        <v/>
      </c>
      <c r="AQ584" s="37" t="str">
        <f>IF(最佳化斷筋點!R584="","",最佳化斷筋點!R584)</f>
        <v/>
      </c>
      <c r="AR584" s="37" t="str">
        <f>IF(最佳化斷筋點!S584="","",最佳化斷筋點!S584)</f>
        <v/>
      </c>
      <c r="AS584" s="37" t="str">
        <f>IF(最佳化斷筋點!T584="","",最佳化斷筋點!T584)</f>
        <v/>
      </c>
      <c r="AT584" s="37" t="str">
        <f>IF(最佳化斷筋點!U584="","",最佳化斷筋點!U584)</f>
        <v/>
      </c>
      <c r="AU584" s="37" t="str">
        <f>IF(最佳化斷筋點!V584="","",最佳化斷筋點!V584)</f>
        <v/>
      </c>
      <c r="AV584" s="37" t="str">
        <f>IF(最佳化斷筋點!W584="","",最佳化斷筋點!W584)</f>
        <v/>
      </c>
      <c r="AW584" s="37" t="str">
        <f>IF(最佳化斷筋點!X584="","",最佳化斷筋點!X584)</f>
        <v/>
      </c>
      <c r="AZ584" s="37" t="s">
        <v>197</v>
      </c>
      <c r="BA584" s="37" t="s">
        <v>197</v>
      </c>
      <c r="BB584" s="37" t="s">
        <v>197</v>
      </c>
      <c r="BC584" s="37" t="s">
        <v>197</v>
      </c>
      <c r="BD584" s="37" t="s">
        <v>197</v>
      </c>
      <c r="BE584" s="37" t="s">
        <v>197</v>
      </c>
      <c r="BF584" s="37" t="s">
        <v>197</v>
      </c>
      <c r="BG584" s="37" t="s">
        <v>197</v>
      </c>
      <c r="BH584" s="37" t="s">
        <v>197</v>
      </c>
      <c r="BI584" s="37" t="s">
        <v>197</v>
      </c>
      <c r="BJ584" s="37" t="s">
        <v>197</v>
      </c>
      <c r="BK584" s="37" t="s">
        <v>197</v>
      </c>
      <c r="BL584" s="37" t="s">
        <v>197</v>
      </c>
      <c r="BM584" s="37" t="s">
        <v>197</v>
      </c>
      <c r="BN584" s="37" t="s">
        <v>197</v>
      </c>
      <c r="BO584" s="37" t="s">
        <v>197</v>
      </c>
      <c r="BP584" s="37" t="s">
        <v>197</v>
      </c>
      <c r="BQ584" s="37" t="s">
        <v>197</v>
      </c>
      <c r="BR584" s="37" t="s">
        <v>197</v>
      </c>
      <c r="BS584" s="37" t="s">
        <v>197</v>
      </c>
      <c r="BT584" s="37" t="s">
        <v>197</v>
      </c>
    </row>
    <row r="585" spans="5:72" x14ac:dyDescent="0.25">
      <c r="E585" s="6" t="s">
        <v>21</v>
      </c>
      <c r="F585" s="6">
        <f t="shared" si="190"/>
        <v>0</v>
      </c>
      <c r="G585" s="6">
        <f t="shared" si="191"/>
        <v>0</v>
      </c>
      <c r="H585" s="6">
        <f t="shared" si="192"/>
        <v>0</v>
      </c>
      <c r="I585" s="6">
        <f t="shared" si="193"/>
        <v>0</v>
      </c>
      <c r="J585" s="6">
        <f t="shared" si="194"/>
        <v>0</v>
      </c>
      <c r="K585" s="6">
        <f t="shared" si="195"/>
        <v>0</v>
      </c>
      <c r="L585" s="6">
        <f t="shared" si="196"/>
        <v>0</v>
      </c>
      <c r="M585" s="6">
        <f t="shared" si="197"/>
        <v>0</v>
      </c>
      <c r="N585" s="6">
        <f t="shared" si="198"/>
        <v>0</v>
      </c>
      <c r="O585" s="6">
        <f t="shared" si="199"/>
        <v>0</v>
      </c>
      <c r="P585" s="6">
        <f t="shared" si="200"/>
        <v>0</v>
      </c>
      <c r="Q585" s="6">
        <f t="shared" si="201"/>
        <v>0</v>
      </c>
      <c r="R585" s="6">
        <f t="shared" si="202"/>
        <v>0</v>
      </c>
      <c r="S585" s="6">
        <f t="shared" si="203"/>
        <v>0</v>
      </c>
      <c r="T585" s="6">
        <f t="shared" si="204"/>
        <v>0</v>
      </c>
      <c r="U585" s="6">
        <f t="shared" si="205"/>
        <v>0</v>
      </c>
      <c r="V585" s="6">
        <f t="shared" si="206"/>
        <v>0</v>
      </c>
      <c r="W585" s="6">
        <f t="shared" si="207"/>
        <v>0</v>
      </c>
      <c r="X585" s="6">
        <f t="shared" si="208"/>
        <v>0</v>
      </c>
      <c r="Y585" s="6">
        <f t="shared" si="209"/>
        <v>0</v>
      </c>
      <c r="Z585" s="6">
        <f t="shared" si="210"/>
        <v>0</v>
      </c>
      <c r="AB585" s="36" t="str">
        <f>IF(最佳化斷筋點!C585="","",最佳化斷筋點!C585)</f>
        <v>下層</v>
      </c>
      <c r="AC585" s="37">
        <f>IF(最佳化斷筋點!D585="","",最佳化斷筋點!D585)</f>
        <v>11</v>
      </c>
      <c r="AD585" s="37">
        <f>IF(最佳化斷筋點!E585="","",最佳化斷筋點!E585)</f>
        <v>11</v>
      </c>
      <c r="AE585" s="37">
        <f>IF(最佳化斷筋點!F585="","",最佳化斷筋點!F585)</f>
        <v>11</v>
      </c>
      <c r="AF585" s="37">
        <f>IF(最佳化斷筋點!G585="","",最佳化斷筋點!G585)</f>
        <v>11</v>
      </c>
      <c r="AG585" s="37">
        <f>IF(最佳化斷筋點!H585="","",最佳化斷筋點!H585)</f>
        <v>11</v>
      </c>
      <c r="AH585" s="37">
        <f>IF(最佳化斷筋點!I585="","",最佳化斷筋點!I585)</f>
        <v>10</v>
      </c>
      <c r="AI585" s="37">
        <f>IF(最佳化斷筋點!J585="","",最佳化斷筋點!J585)</f>
        <v>9</v>
      </c>
      <c r="AJ585" s="37">
        <f>IF(最佳化斷筋點!K585="","",最佳化斷筋點!K585)</f>
        <v>5</v>
      </c>
      <c r="AK585" s="37">
        <f>IF(最佳化斷筋點!L585="","",最佳化斷筋點!L585)</f>
        <v>5</v>
      </c>
      <c r="AL585" s="37">
        <f>IF(最佳化斷筋點!M585="","",最佳化斷筋點!M585)</f>
        <v>5</v>
      </c>
      <c r="AM585" s="37">
        <f>IF(最佳化斷筋點!N585="","",最佳化斷筋點!N585)</f>
        <v>5</v>
      </c>
      <c r="AN585" s="37">
        <f>IF(最佳化斷筋點!O585="","",最佳化斷筋點!O585)</f>
        <v>5</v>
      </c>
      <c r="AO585" s="37">
        <f>IF(最佳化斷筋點!P585="","",最佳化斷筋點!P585)</f>
        <v>5</v>
      </c>
      <c r="AP585" s="37">
        <f>IF(最佳化斷筋點!Q585="","",最佳化斷筋點!Q585)</f>
        <v>7</v>
      </c>
      <c r="AQ585" s="37">
        <f>IF(最佳化斷筋點!R585="","",最佳化斷筋點!R585)</f>
        <v>8</v>
      </c>
      <c r="AR585" s="37">
        <f>IF(最佳化斷筋點!S585="","",最佳化斷筋點!S585)</f>
        <v>9</v>
      </c>
      <c r="AS585" s="37">
        <f>IF(最佳化斷筋點!T585="","",最佳化斷筋點!T585)</f>
        <v>10</v>
      </c>
      <c r="AT585" s="37">
        <f>IF(最佳化斷筋點!U585="","",最佳化斷筋點!U585)</f>
        <v>10</v>
      </c>
      <c r="AU585" s="37">
        <f>IF(最佳化斷筋點!V585="","",最佳化斷筋點!V585)</f>
        <v>10</v>
      </c>
      <c r="AV585" s="37">
        <f>IF(最佳化斷筋點!W585="","",最佳化斷筋點!W585)</f>
        <v>10</v>
      </c>
      <c r="AW585" s="37">
        <f>IF(最佳化斷筋點!X585="","",最佳化斷筋點!X585)</f>
        <v>10</v>
      </c>
      <c r="AY585" s="6" t="s">
        <v>21</v>
      </c>
      <c r="AZ585" s="37">
        <v>11</v>
      </c>
      <c r="BA585" s="37">
        <v>11</v>
      </c>
      <c r="BB585" s="37">
        <v>11</v>
      </c>
      <c r="BC585" s="37">
        <v>11</v>
      </c>
      <c r="BD585" s="37">
        <v>11</v>
      </c>
      <c r="BE585" s="37">
        <v>10</v>
      </c>
      <c r="BF585" s="37">
        <v>9</v>
      </c>
      <c r="BG585" s="37">
        <v>5</v>
      </c>
      <c r="BH585" s="37">
        <v>5</v>
      </c>
      <c r="BI585" s="37">
        <v>5</v>
      </c>
      <c r="BJ585" s="37">
        <v>5</v>
      </c>
      <c r="BK585" s="37">
        <v>5</v>
      </c>
      <c r="BL585" s="37">
        <v>5</v>
      </c>
      <c r="BM585" s="37">
        <v>7</v>
      </c>
      <c r="BN585" s="37">
        <v>8</v>
      </c>
      <c r="BO585" s="37">
        <v>9</v>
      </c>
      <c r="BP585" s="37">
        <v>10</v>
      </c>
      <c r="BQ585" s="37">
        <v>10</v>
      </c>
      <c r="BR585" s="37">
        <v>10</v>
      </c>
      <c r="BS585" s="37">
        <v>10</v>
      </c>
      <c r="BT585" s="37">
        <v>10</v>
      </c>
    </row>
    <row r="586" spans="5:72" x14ac:dyDescent="0.25">
      <c r="F586" s="6">
        <f t="shared" si="190"/>
        <v>0</v>
      </c>
      <c r="G586" s="6">
        <f t="shared" si="191"/>
        <v>0</v>
      </c>
      <c r="H586" s="6">
        <f t="shared" si="192"/>
        <v>0</v>
      </c>
      <c r="I586" s="6">
        <f t="shared" si="193"/>
        <v>0</v>
      </c>
      <c r="J586" s="6">
        <f t="shared" si="194"/>
        <v>0</v>
      </c>
      <c r="K586" s="6">
        <f t="shared" si="195"/>
        <v>0</v>
      </c>
      <c r="L586" s="6">
        <f t="shared" si="196"/>
        <v>0</v>
      </c>
      <c r="M586" s="6">
        <f t="shared" si="197"/>
        <v>0</v>
      </c>
      <c r="N586" s="6">
        <f t="shared" si="198"/>
        <v>0</v>
      </c>
      <c r="O586" s="6">
        <f t="shared" si="199"/>
        <v>0</v>
      </c>
      <c r="P586" s="6">
        <f t="shared" si="200"/>
        <v>0</v>
      </c>
      <c r="Q586" s="6">
        <f t="shared" si="201"/>
        <v>0</v>
      </c>
      <c r="R586" s="6">
        <f t="shared" si="202"/>
        <v>0</v>
      </c>
      <c r="S586" s="6">
        <f t="shared" si="203"/>
        <v>0</v>
      </c>
      <c r="T586" s="6">
        <f t="shared" si="204"/>
        <v>0</v>
      </c>
      <c r="U586" s="6">
        <f t="shared" si="205"/>
        <v>0</v>
      </c>
      <c r="V586" s="6">
        <f t="shared" si="206"/>
        <v>0</v>
      </c>
      <c r="W586" s="6">
        <f t="shared" si="207"/>
        <v>0</v>
      </c>
      <c r="X586" s="6">
        <f t="shared" si="208"/>
        <v>0</v>
      </c>
      <c r="Y586" s="6">
        <f t="shared" si="209"/>
        <v>0</v>
      </c>
      <c r="Z586" s="6">
        <f t="shared" si="210"/>
        <v>0</v>
      </c>
      <c r="AB586" s="36" t="str">
        <f>IF(最佳化斷筋點!C586="","",最佳化斷筋點!C586)</f>
        <v/>
      </c>
      <c r="AC586" s="37" t="str">
        <f>IF(最佳化斷筋點!D586="","",最佳化斷筋點!D586)</f>
        <v/>
      </c>
      <c r="AD586" s="37" t="str">
        <f>IF(最佳化斷筋點!E586="","",最佳化斷筋點!E586)</f>
        <v/>
      </c>
      <c r="AE586" s="37" t="str">
        <f>IF(最佳化斷筋點!F586="","",最佳化斷筋點!F586)</f>
        <v/>
      </c>
      <c r="AF586" s="37" t="str">
        <f>IF(最佳化斷筋點!G586="","",最佳化斷筋點!G586)</f>
        <v/>
      </c>
      <c r="AG586" s="37" t="str">
        <f>IF(最佳化斷筋點!H586="","",最佳化斷筋點!H586)</f>
        <v/>
      </c>
      <c r="AH586" s="37" t="str">
        <f>IF(最佳化斷筋點!I586="","",最佳化斷筋點!I586)</f>
        <v/>
      </c>
      <c r="AI586" s="37" t="str">
        <f>IF(最佳化斷筋點!J586="","",最佳化斷筋點!J586)</f>
        <v/>
      </c>
      <c r="AJ586" s="37" t="str">
        <f>IF(最佳化斷筋點!K586="","",最佳化斷筋點!K586)</f>
        <v/>
      </c>
      <c r="AK586" s="37" t="str">
        <f>IF(最佳化斷筋點!L586="","",最佳化斷筋點!L586)</f>
        <v/>
      </c>
      <c r="AL586" s="37" t="str">
        <f>IF(最佳化斷筋點!M586="","",最佳化斷筋點!M586)</f>
        <v/>
      </c>
      <c r="AM586" s="37" t="str">
        <f>IF(最佳化斷筋點!N586="","",最佳化斷筋點!N586)</f>
        <v/>
      </c>
      <c r="AN586" s="37" t="str">
        <f>IF(最佳化斷筋點!O586="","",最佳化斷筋點!O586)</f>
        <v/>
      </c>
      <c r="AO586" s="37" t="str">
        <f>IF(最佳化斷筋點!P586="","",最佳化斷筋點!P586)</f>
        <v/>
      </c>
      <c r="AP586" s="37" t="str">
        <f>IF(最佳化斷筋點!Q586="","",最佳化斷筋點!Q586)</f>
        <v/>
      </c>
      <c r="AQ586" s="37" t="str">
        <f>IF(最佳化斷筋點!R586="","",最佳化斷筋點!R586)</f>
        <v/>
      </c>
      <c r="AR586" s="37" t="str">
        <f>IF(最佳化斷筋點!S586="","",最佳化斷筋點!S586)</f>
        <v/>
      </c>
      <c r="AS586" s="37" t="str">
        <f>IF(最佳化斷筋點!T586="","",最佳化斷筋點!T586)</f>
        <v/>
      </c>
      <c r="AT586" s="37" t="str">
        <f>IF(最佳化斷筋點!U586="","",最佳化斷筋點!U586)</f>
        <v/>
      </c>
      <c r="AU586" s="37" t="str">
        <f>IF(最佳化斷筋點!V586="","",最佳化斷筋點!V586)</f>
        <v/>
      </c>
      <c r="AV586" s="37" t="str">
        <f>IF(最佳化斷筋點!W586="","",最佳化斷筋點!W586)</f>
        <v/>
      </c>
      <c r="AW586" s="37" t="str">
        <f>IF(最佳化斷筋點!X586="","",最佳化斷筋點!X586)</f>
        <v/>
      </c>
      <c r="AZ586" s="37" t="s">
        <v>197</v>
      </c>
      <c r="BA586" s="37" t="s">
        <v>197</v>
      </c>
      <c r="BB586" s="37" t="s">
        <v>197</v>
      </c>
      <c r="BC586" s="37" t="s">
        <v>197</v>
      </c>
      <c r="BD586" s="37" t="s">
        <v>197</v>
      </c>
      <c r="BE586" s="37" t="s">
        <v>197</v>
      </c>
      <c r="BF586" s="37" t="s">
        <v>197</v>
      </c>
      <c r="BG586" s="37" t="s">
        <v>197</v>
      </c>
      <c r="BH586" s="37" t="s">
        <v>197</v>
      </c>
      <c r="BI586" s="37" t="s">
        <v>197</v>
      </c>
      <c r="BJ586" s="37" t="s">
        <v>197</v>
      </c>
      <c r="BK586" s="37" t="s">
        <v>197</v>
      </c>
      <c r="BL586" s="37" t="s">
        <v>197</v>
      </c>
      <c r="BM586" s="37" t="s">
        <v>197</v>
      </c>
      <c r="BN586" s="37" t="s">
        <v>197</v>
      </c>
      <c r="BO586" s="37" t="s">
        <v>197</v>
      </c>
      <c r="BP586" s="37" t="s">
        <v>197</v>
      </c>
      <c r="BQ586" s="37" t="s">
        <v>197</v>
      </c>
      <c r="BR586" s="37" t="s">
        <v>197</v>
      </c>
      <c r="BS586" s="37" t="s">
        <v>197</v>
      </c>
      <c r="BT586" s="37" t="s">
        <v>197</v>
      </c>
    </row>
    <row r="587" spans="5:72" x14ac:dyDescent="0.25">
      <c r="E587" s="6" t="s">
        <v>20</v>
      </c>
      <c r="F587" s="6">
        <f t="shared" si="190"/>
        <v>0</v>
      </c>
      <c r="G587" s="6">
        <f t="shared" si="191"/>
        <v>0</v>
      </c>
      <c r="H587" s="6">
        <f t="shared" si="192"/>
        <v>0</v>
      </c>
      <c r="I587" s="6">
        <f t="shared" si="193"/>
        <v>0</v>
      </c>
      <c r="J587" s="6">
        <f t="shared" si="194"/>
        <v>0</v>
      </c>
      <c r="K587" s="6">
        <f t="shared" si="195"/>
        <v>0</v>
      </c>
      <c r="L587" s="6">
        <f t="shared" si="196"/>
        <v>0</v>
      </c>
      <c r="M587" s="6">
        <f t="shared" si="197"/>
        <v>0</v>
      </c>
      <c r="N587" s="6">
        <f t="shared" si="198"/>
        <v>0</v>
      </c>
      <c r="O587" s="6">
        <f t="shared" si="199"/>
        <v>0</v>
      </c>
      <c r="P587" s="6">
        <f t="shared" si="200"/>
        <v>0</v>
      </c>
      <c r="Q587" s="6">
        <f t="shared" si="201"/>
        <v>0</v>
      </c>
      <c r="R587" s="6">
        <f t="shared" si="202"/>
        <v>0</v>
      </c>
      <c r="S587" s="6">
        <f t="shared" si="203"/>
        <v>0</v>
      </c>
      <c r="T587" s="6">
        <f t="shared" si="204"/>
        <v>0</v>
      </c>
      <c r="U587" s="6">
        <f t="shared" si="205"/>
        <v>0</v>
      </c>
      <c r="V587" s="6">
        <f t="shared" si="206"/>
        <v>0</v>
      </c>
      <c r="W587" s="6">
        <f t="shared" si="207"/>
        <v>0</v>
      </c>
      <c r="X587" s="6">
        <f t="shared" si="208"/>
        <v>0</v>
      </c>
      <c r="Y587" s="6">
        <f t="shared" si="209"/>
        <v>0</v>
      </c>
      <c r="Z587" s="6">
        <f t="shared" si="210"/>
        <v>0</v>
      </c>
      <c r="AB587" s="36" t="str">
        <f>IF(最佳化斷筋點!C587="","",最佳化斷筋點!C587)</f>
        <v>上層</v>
      </c>
      <c r="AC587" s="37">
        <f>IF(最佳化斷筋點!D587="","",最佳化斷筋點!D587)</f>
        <v>9</v>
      </c>
      <c r="AD587" s="37">
        <f>IF(最佳化斷筋點!E587="","",最佳化斷筋點!E587)</f>
        <v>9</v>
      </c>
      <c r="AE587" s="37">
        <f>IF(最佳化斷筋點!F587="","",最佳化斷筋點!F587)</f>
        <v>9</v>
      </c>
      <c r="AF587" s="37">
        <f>IF(最佳化斷筋點!G587="","",最佳化斷筋點!G587)</f>
        <v>9</v>
      </c>
      <c r="AG587" s="37">
        <f>IF(最佳化斷筋點!H587="","",最佳化斷筋點!H587)</f>
        <v>9</v>
      </c>
      <c r="AH587" s="37">
        <f>IF(最佳化斷筋點!I587="","",最佳化斷筋點!I587)</f>
        <v>9</v>
      </c>
      <c r="AI587" s="37">
        <f>IF(最佳化斷筋點!J587="","",最佳化斷筋點!J587)</f>
        <v>9</v>
      </c>
      <c r="AJ587" s="37">
        <f>IF(最佳化斷筋點!K587="","",最佳化斷筋點!K587)</f>
        <v>3</v>
      </c>
      <c r="AK587" s="37">
        <f>IF(最佳化斷筋點!L587="","",最佳化斷筋點!L587)</f>
        <v>3</v>
      </c>
      <c r="AL587" s="37">
        <f>IF(最佳化斷筋點!M587="","",最佳化斷筋點!M587)</f>
        <v>3</v>
      </c>
      <c r="AM587" s="37">
        <f>IF(最佳化斷筋點!N587="","",最佳化斷筋點!N587)</f>
        <v>3</v>
      </c>
      <c r="AN587" s="37">
        <f>IF(最佳化斷筋點!O587="","",最佳化斷筋點!O587)</f>
        <v>3</v>
      </c>
      <c r="AO587" s="37">
        <f>IF(最佳化斷筋點!P587="","",最佳化斷筋點!P587)</f>
        <v>3</v>
      </c>
      <c r="AP587" s="37">
        <f>IF(最佳化斷筋點!Q587="","",最佳化斷筋點!Q587)</f>
        <v>5</v>
      </c>
      <c r="AQ587" s="37">
        <f>IF(最佳化斷筋點!R587="","",最佳化斷筋點!R587)</f>
        <v>6</v>
      </c>
      <c r="AR587" s="37">
        <f>IF(最佳化斷筋點!S587="","",最佳化斷筋點!S587)</f>
        <v>6</v>
      </c>
      <c r="AS587" s="37">
        <f>IF(最佳化斷筋點!T587="","",最佳化斷筋點!T587)</f>
        <v>7</v>
      </c>
      <c r="AT587" s="37">
        <f>IF(最佳化斷筋點!U587="","",最佳化斷筋點!U587)</f>
        <v>7</v>
      </c>
      <c r="AU587" s="37">
        <f>IF(最佳化斷筋點!V587="","",最佳化斷筋點!V587)</f>
        <v>7</v>
      </c>
      <c r="AV587" s="37">
        <f>IF(最佳化斷筋點!W587="","",最佳化斷筋點!W587)</f>
        <v>7</v>
      </c>
      <c r="AW587" s="37">
        <f>IF(最佳化斷筋點!X587="","",最佳化斷筋點!X587)</f>
        <v>7</v>
      </c>
      <c r="AY587" s="6" t="s">
        <v>20</v>
      </c>
      <c r="AZ587" s="37">
        <v>9</v>
      </c>
      <c r="BA587" s="37">
        <v>9</v>
      </c>
      <c r="BB587" s="37">
        <v>9</v>
      </c>
      <c r="BC587" s="37">
        <v>9</v>
      </c>
      <c r="BD587" s="37">
        <v>9</v>
      </c>
      <c r="BE587" s="37">
        <v>9</v>
      </c>
      <c r="BF587" s="37">
        <v>9</v>
      </c>
      <c r="BG587" s="37">
        <v>3</v>
      </c>
      <c r="BH587" s="37">
        <v>3</v>
      </c>
      <c r="BI587" s="37">
        <v>3</v>
      </c>
      <c r="BJ587" s="37">
        <v>3</v>
      </c>
      <c r="BK587" s="37">
        <v>3</v>
      </c>
      <c r="BL587" s="37">
        <v>3</v>
      </c>
      <c r="BM587" s="37">
        <v>5</v>
      </c>
      <c r="BN587" s="37">
        <v>6</v>
      </c>
      <c r="BO587" s="37">
        <v>6</v>
      </c>
      <c r="BP587" s="37">
        <v>7</v>
      </c>
      <c r="BQ587" s="37">
        <v>7</v>
      </c>
      <c r="BR587" s="37">
        <v>7</v>
      </c>
      <c r="BS587" s="37">
        <v>7</v>
      </c>
      <c r="BT587" s="37">
        <v>7</v>
      </c>
    </row>
    <row r="588" spans="5:72" x14ac:dyDescent="0.25">
      <c r="F588" s="6">
        <f t="shared" si="190"/>
        <v>0</v>
      </c>
      <c r="G588" s="6">
        <f t="shared" si="191"/>
        <v>0</v>
      </c>
      <c r="H588" s="6">
        <f t="shared" si="192"/>
        <v>0</v>
      </c>
      <c r="I588" s="6">
        <f t="shared" si="193"/>
        <v>0</v>
      </c>
      <c r="J588" s="6">
        <f t="shared" si="194"/>
        <v>0</v>
      </c>
      <c r="K588" s="6">
        <f t="shared" si="195"/>
        <v>0</v>
      </c>
      <c r="L588" s="6">
        <f t="shared" si="196"/>
        <v>0</v>
      </c>
      <c r="M588" s="6">
        <f t="shared" si="197"/>
        <v>0</v>
      </c>
      <c r="N588" s="6">
        <f t="shared" si="198"/>
        <v>0</v>
      </c>
      <c r="O588" s="6">
        <f t="shared" si="199"/>
        <v>0</v>
      </c>
      <c r="P588" s="6">
        <f t="shared" si="200"/>
        <v>0</v>
      </c>
      <c r="Q588" s="6">
        <f t="shared" si="201"/>
        <v>0</v>
      </c>
      <c r="R588" s="6">
        <f t="shared" si="202"/>
        <v>0</v>
      </c>
      <c r="S588" s="6">
        <f t="shared" si="203"/>
        <v>0</v>
      </c>
      <c r="T588" s="6">
        <f t="shared" si="204"/>
        <v>0</v>
      </c>
      <c r="U588" s="6">
        <f t="shared" si="205"/>
        <v>0</v>
      </c>
      <c r="V588" s="6">
        <f t="shared" si="206"/>
        <v>0</v>
      </c>
      <c r="W588" s="6">
        <f t="shared" si="207"/>
        <v>0</v>
      </c>
      <c r="X588" s="6">
        <f t="shared" si="208"/>
        <v>0</v>
      </c>
      <c r="Y588" s="6">
        <f t="shared" si="209"/>
        <v>0</v>
      </c>
      <c r="Z588" s="6">
        <f t="shared" si="210"/>
        <v>0</v>
      </c>
      <c r="AB588" s="36" t="str">
        <f>IF(最佳化斷筋點!C588="","",最佳化斷筋點!C588)</f>
        <v/>
      </c>
      <c r="AC588" s="37" t="str">
        <f>IF(最佳化斷筋點!D588="","",最佳化斷筋點!D588)</f>
        <v/>
      </c>
      <c r="AD588" s="37" t="str">
        <f>IF(最佳化斷筋點!E588="","",最佳化斷筋點!E588)</f>
        <v/>
      </c>
      <c r="AE588" s="37" t="str">
        <f>IF(最佳化斷筋點!F588="","",最佳化斷筋點!F588)</f>
        <v/>
      </c>
      <c r="AF588" s="37" t="str">
        <f>IF(最佳化斷筋點!G588="","",最佳化斷筋點!G588)</f>
        <v/>
      </c>
      <c r="AG588" s="37" t="str">
        <f>IF(最佳化斷筋點!H588="","",最佳化斷筋點!H588)</f>
        <v/>
      </c>
      <c r="AH588" s="37" t="str">
        <f>IF(最佳化斷筋點!I588="","",最佳化斷筋點!I588)</f>
        <v/>
      </c>
      <c r="AI588" s="37" t="str">
        <f>IF(最佳化斷筋點!J588="","",最佳化斷筋點!J588)</f>
        <v/>
      </c>
      <c r="AJ588" s="37" t="str">
        <f>IF(最佳化斷筋點!K588="","",最佳化斷筋點!K588)</f>
        <v/>
      </c>
      <c r="AK588" s="37" t="str">
        <f>IF(最佳化斷筋點!L588="","",最佳化斷筋點!L588)</f>
        <v/>
      </c>
      <c r="AL588" s="37" t="str">
        <f>IF(最佳化斷筋點!M588="","",最佳化斷筋點!M588)</f>
        <v/>
      </c>
      <c r="AM588" s="37" t="str">
        <f>IF(最佳化斷筋點!N588="","",最佳化斷筋點!N588)</f>
        <v/>
      </c>
      <c r="AN588" s="37" t="str">
        <f>IF(最佳化斷筋點!O588="","",最佳化斷筋點!O588)</f>
        <v/>
      </c>
      <c r="AO588" s="37" t="str">
        <f>IF(最佳化斷筋點!P588="","",最佳化斷筋點!P588)</f>
        <v/>
      </c>
      <c r="AP588" s="37" t="str">
        <f>IF(最佳化斷筋點!Q588="","",最佳化斷筋點!Q588)</f>
        <v/>
      </c>
      <c r="AQ588" s="37" t="str">
        <f>IF(最佳化斷筋點!R588="","",最佳化斷筋點!R588)</f>
        <v/>
      </c>
      <c r="AR588" s="37" t="str">
        <f>IF(最佳化斷筋點!S588="","",最佳化斷筋點!S588)</f>
        <v/>
      </c>
      <c r="AS588" s="37" t="str">
        <f>IF(最佳化斷筋點!T588="","",最佳化斷筋點!T588)</f>
        <v/>
      </c>
      <c r="AT588" s="37" t="str">
        <f>IF(最佳化斷筋點!U588="","",最佳化斷筋點!U588)</f>
        <v/>
      </c>
      <c r="AU588" s="37" t="str">
        <f>IF(最佳化斷筋點!V588="","",最佳化斷筋點!V588)</f>
        <v/>
      </c>
      <c r="AV588" s="37" t="str">
        <f>IF(最佳化斷筋點!W588="","",最佳化斷筋點!W588)</f>
        <v/>
      </c>
      <c r="AW588" s="37" t="str">
        <f>IF(最佳化斷筋點!X588="","",最佳化斷筋點!X588)</f>
        <v/>
      </c>
      <c r="AZ588" s="37" t="s">
        <v>197</v>
      </c>
      <c r="BA588" s="37" t="s">
        <v>197</v>
      </c>
      <c r="BB588" s="37" t="s">
        <v>197</v>
      </c>
      <c r="BC588" s="37" t="s">
        <v>197</v>
      </c>
      <c r="BD588" s="37" t="s">
        <v>197</v>
      </c>
      <c r="BE588" s="37" t="s">
        <v>197</v>
      </c>
      <c r="BF588" s="37" t="s">
        <v>197</v>
      </c>
      <c r="BG588" s="37" t="s">
        <v>197</v>
      </c>
      <c r="BH588" s="37" t="s">
        <v>197</v>
      </c>
      <c r="BI588" s="37" t="s">
        <v>197</v>
      </c>
      <c r="BJ588" s="37" t="s">
        <v>197</v>
      </c>
      <c r="BK588" s="37" t="s">
        <v>197</v>
      </c>
      <c r="BL588" s="37" t="s">
        <v>197</v>
      </c>
      <c r="BM588" s="37" t="s">
        <v>197</v>
      </c>
      <c r="BN588" s="37" t="s">
        <v>197</v>
      </c>
      <c r="BO588" s="37" t="s">
        <v>197</v>
      </c>
      <c r="BP588" s="37" t="s">
        <v>197</v>
      </c>
      <c r="BQ588" s="37" t="s">
        <v>197</v>
      </c>
      <c r="BR588" s="37" t="s">
        <v>197</v>
      </c>
      <c r="BS588" s="37" t="s">
        <v>197</v>
      </c>
      <c r="BT588" s="37" t="s">
        <v>197</v>
      </c>
    </row>
    <row r="589" spans="5:72" x14ac:dyDescent="0.25">
      <c r="E589" s="6" t="s">
        <v>21</v>
      </c>
      <c r="F589" s="6">
        <f t="shared" si="190"/>
        <v>0</v>
      </c>
      <c r="G589" s="6">
        <f t="shared" si="191"/>
        <v>0</v>
      </c>
      <c r="H589" s="6">
        <f t="shared" si="192"/>
        <v>0</v>
      </c>
      <c r="I589" s="6">
        <f t="shared" si="193"/>
        <v>0</v>
      </c>
      <c r="J589" s="6">
        <f t="shared" si="194"/>
        <v>0</v>
      </c>
      <c r="K589" s="6">
        <f t="shared" si="195"/>
        <v>0</v>
      </c>
      <c r="L589" s="6">
        <f t="shared" si="196"/>
        <v>0</v>
      </c>
      <c r="M589" s="6">
        <f t="shared" si="197"/>
        <v>0</v>
      </c>
      <c r="N589" s="6">
        <f t="shared" si="198"/>
        <v>0</v>
      </c>
      <c r="O589" s="6">
        <f t="shared" si="199"/>
        <v>0</v>
      </c>
      <c r="P589" s="6">
        <f t="shared" si="200"/>
        <v>0</v>
      </c>
      <c r="Q589" s="6">
        <f t="shared" si="201"/>
        <v>0</v>
      </c>
      <c r="R589" s="6">
        <f t="shared" si="202"/>
        <v>0</v>
      </c>
      <c r="S589" s="6">
        <f t="shared" si="203"/>
        <v>0</v>
      </c>
      <c r="T589" s="6">
        <f t="shared" si="204"/>
        <v>0</v>
      </c>
      <c r="U589" s="6">
        <f t="shared" si="205"/>
        <v>0</v>
      </c>
      <c r="V589" s="6">
        <f t="shared" si="206"/>
        <v>0</v>
      </c>
      <c r="W589" s="6">
        <f t="shared" si="207"/>
        <v>0</v>
      </c>
      <c r="X589" s="6">
        <f t="shared" si="208"/>
        <v>0</v>
      </c>
      <c r="Y589" s="6">
        <f t="shared" si="209"/>
        <v>0</v>
      </c>
      <c r="Z589" s="6">
        <f t="shared" si="210"/>
        <v>0</v>
      </c>
      <c r="AB589" s="36" t="str">
        <f>IF(最佳化斷筋點!C589="","",最佳化斷筋點!C589)</f>
        <v>下層</v>
      </c>
      <c r="AC589" s="37">
        <f>IF(最佳化斷筋點!D589="","",最佳化斷筋點!D589)</f>
        <v>10</v>
      </c>
      <c r="AD589" s="37">
        <f>IF(最佳化斷筋點!E589="","",最佳化斷筋點!E589)</f>
        <v>10</v>
      </c>
      <c r="AE589" s="37">
        <f>IF(最佳化斷筋點!F589="","",最佳化斷筋點!F589)</f>
        <v>10</v>
      </c>
      <c r="AF589" s="37">
        <f>IF(最佳化斷筋點!G589="","",最佳化斷筋點!G589)</f>
        <v>10</v>
      </c>
      <c r="AG589" s="37">
        <f>IF(最佳化斷筋點!H589="","",最佳化斷筋點!H589)</f>
        <v>10</v>
      </c>
      <c r="AH589" s="37">
        <f>IF(最佳化斷筋點!I589="","",最佳化斷筋點!I589)</f>
        <v>10</v>
      </c>
      <c r="AI589" s="37">
        <f>IF(最佳化斷筋點!J589="","",最佳化斷筋點!J589)</f>
        <v>9</v>
      </c>
      <c r="AJ589" s="37">
        <f>IF(最佳化斷筋點!K589="","",最佳化斷筋點!K589)</f>
        <v>5</v>
      </c>
      <c r="AK589" s="37">
        <f>IF(最佳化斷筋點!L589="","",最佳化斷筋點!L589)</f>
        <v>5</v>
      </c>
      <c r="AL589" s="37">
        <f>IF(最佳化斷筋點!M589="","",最佳化斷筋點!M589)</f>
        <v>5</v>
      </c>
      <c r="AM589" s="37">
        <f>IF(最佳化斷筋點!N589="","",最佳化斷筋點!N589)</f>
        <v>5</v>
      </c>
      <c r="AN589" s="37">
        <f>IF(最佳化斷筋點!O589="","",最佳化斷筋點!O589)</f>
        <v>5</v>
      </c>
      <c r="AO589" s="37">
        <f>IF(最佳化斷筋點!P589="","",最佳化斷筋點!P589)</f>
        <v>5</v>
      </c>
      <c r="AP589" s="37">
        <f>IF(最佳化斷筋點!Q589="","",最佳化斷筋點!Q589)</f>
        <v>7</v>
      </c>
      <c r="AQ589" s="37">
        <f>IF(最佳化斷筋點!R589="","",最佳化斷筋點!R589)</f>
        <v>8</v>
      </c>
      <c r="AR589" s="37">
        <f>IF(最佳化斷筋點!S589="","",最佳化斷筋點!S589)</f>
        <v>9</v>
      </c>
      <c r="AS589" s="37">
        <f>IF(最佳化斷筋點!T589="","",最佳化斷筋點!T589)</f>
        <v>10</v>
      </c>
      <c r="AT589" s="37">
        <f>IF(最佳化斷筋點!U589="","",最佳化斷筋點!U589)</f>
        <v>10</v>
      </c>
      <c r="AU589" s="37">
        <f>IF(最佳化斷筋點!V589="","",最佳化斷筋點!V589)</f>
        <v>10</v>
      </c>
      <c r="AV589" s="37">
        <f>IF(最佳化斷筋點!W589="","",最佳化斷筋點!W589)</f>
        <v>10</v>
      </c>
      <c r="AW589" s="37">
        <f>IF(最佳化斷筋點!X589="","",最佳化斷筋點!X589)</f>
        <v>10</v>
      </c>
      <c r="AY589" s="6" t="s">
        <v>21</v>
      </c>
      <c r="AZ589" s="37">
        <v>10</v>
      </c>
      <c r="BA589" s="37">
        <v>10</v>
      </c>
      <c r="BB589" s="37">
        <v>10</v>
      </c>
      <c r="BC589" s="37">
        <v>10</v>
      </c>
      <c r="BD589" s="37">
        <v>10</v>
      </c>
      <c r="BE589" s="37">
        <v>10</v>
      </c>
      <c r="BF589" s="37">
        <v>9</v>
      </c>
      <c r="BG589" s="37">
        <v>5</v>
      </c>
      <c r="BH589" s="37">
        <v>5</v>
      </c>
      <c r="BI589" s="37">
        <v>5</v>
      </c>
      <c r="BJ589" s="37">
        <v>5</v>
      </c>
      <c r="BK589" s="37">
        <v>5</v>
      </c>
      <c r="BL589" s="37">
        <v>5</v>
      </c>
      <c r="BM589" s="37">
        <v>7</v>
      </c>
      <c r="BN589" s="37">
        <v>8</v>
      </c>
      <c r="BO589" s="37">
        <v>9</v>
      </c>
      <c r="BP589" s="37">
        <v>10</v>
      </c>
      <c r="BQ589" s="37">
        <v>10</v>
      </c>
      <c r="BR589" s="37">
        <v>10</v>
      </c>
      <c r="BS589" s="37">
        <v>10</v>
      </c>
      <c r="BT589" s="37">
        <v>10</v>
      </c>
    </row>
    <row r="590" spans="5:72" x14ac:dyDescent="0.25">
      <c r="F590" s="6">
        <f t="shared" si="190"/>
        <v>0</v>
      </c>
      <c r="G590" s="6">
        <f t="shared" si="191"/>
        <v>0</v>
      </c>
      <c r="H590" s="6">
        <f t="shared" si="192"/>
        <v>0</v>
      </c>
      <c r="I590" s="6">
        <f t="shared" si="193"/>
        <v>0</v>
      </c>
      <c r="J590" s="6">
        <f t="shared" si="194"/>
        <v>0</v>
      </c>
      <c r="K590" s="6">
        <f t="shared" si="195"/>
        <v>0</v>
      </c>
      <c r="L590" s="6">
        <f t="shared" si="196"/>
        <v>0</v>
      </c>
      <c r="M590" s="6">
        <f t="shared" si="197"/>
        <v>0</v>
      </c>
      <c r="N590" s="6">
        <f t="shared" si="198"/>
        <v>0</v>
      </c>
      <c r="O590" s="6">
        <f t="shared" si="199"/>
        <v>0</v>
      </c>
      <c r="P590" s="6">
        <f t="shared" si="200"/>
        <v>0</v>
      </c>
      <c r="Q590" s="6">
        <f t="shared" si="201"/>
        <v>0</v>
      </c>
      <c r="R590" s="6">
        <f t="shared" si="202"/>
        <v>0</v>
      </c>
      <c r="S590" s="6">
        <f t="shared" si="203"/>
        <v>0</v>
      </c>
      <c r="T590" s="6">
        <f t="shared" si="204"/>
        <v>0</v>
      </c>
      <c r="U590" s="6">
        <f t="shared" si="205"/>
        <v>0</v>
      </c>
      <c r="V590" s="6">
        <f t="shared" si="206"/>
        <v>0</v>
      </c>
      <c r="W590" s="6">
        <f t="shared" si="207"/>
        <v>0</v>
      </c>
      <c r="X590" s="6">
        <f t="shared" si="208"/>
        <v>0</v>
      </c>
      <c r="Y590" s="6">
        <f t="shared" si="209"/>
        <v>0</v>
      </c>
      <c r="Z590" s="6">
        <f t="shared" si="210"/>
        <v>0</v>
      </c>
      <c r="AB590" s="36" t="str">
        <f>IF(最佳化斷筋點!C590="","",最佳化斷筋點!C590)</f>
        <v/>
      </c>
      <c r="AC590" s="37" t="str">
        <f>IF(最佳化斷筋點!D590="","",最佳化斷筋點!D590)</f>
        <v/>
      </c>
      <c r="AD590" s="37" t="str">
        <f>IF(最佳化斷筋點!E590="","",最佳化斷筋點!E590)</f>
        <v/>
      </c>
      <c r="AE590" s="37" t="str">
        <f>IF(最佳化斷筋點!F590="","",最佳化斷筋點!F590)</f>
        <v/>
      </c>
      <c r="AF590" s="37" t="str">
        <f>IF(最佳化斷筋點!G590="","",最佳化斷筋點!G590)</f>
        <v/>
      </c>
      <c r="AG590" s="37" t="str">
        <f>IF(最佳化斷筋點!H590="","",最佳化斷筋點!H590)</f>
        <v/>
      </c>
      <c r="AH590" s="37" t="str">
        <f>IF(最佳化斷筋點!I590="","",最佳化斷筋點!I590)</f>
        <v/>
      </c>
      <c r="AI590" s="37" t="str">
        <f>IF(最佳化斷筋點!J590="","",最佳化斷筋點!J590)</f>
        <v/>
      </c>
      <c r="AJ590" s="37" t="str">
        <f>IF(最佳化斷筋點!K590="","",最佳化斷筋點!K590)</f>
        <v/>
      </c>
      <c r="AK590" s="37" t="str">
        <f>IF(最佳化斷筋點!L590="","",最佳化斷筋點!L590)</f>
        <v/>
      </c>
      <c r="AL590" s="37" t="str">
        <f>IF(最佳化斷筋點!M590="","",最佳化斷筋點!M590)</f>
        <v/>
      </c>
      <c r="AM590" s="37" t="str">
        <f>IF(最佳化斷筋點!N590="","",最佳化斷筋點!N590)</f>
        <v/>
      </c>
      <c r="AN590" s="37" t="str">
        <f>IF(最佳化斷筋點!O590="","",最佳化斷筋點!O590)</f>
        <v/>
      </c>
      <c r="AO590" s="37" t="str">
        <f>IF(最佳化斷筋點!P590="","",最佳化斷筋點!P590)</f>
        <v/>
      </c>
      <c r="AP590" s="37" t="str">
        <f>IF(最佳化斷筋點!Q590="","",最佳化斷筋點!Q590)</f>
        <v/>
      </c>
      <c r="AQ590" s="37" t="str">
        <f>IF(最佳化斷筋點!R590="","",最佳化斷筋點!R590)</f>
        <v/>
      </c>
      <c r="AR590" s="37" t="str">
        <f>IF(最佳化斷筋點!S590="","",最佳化斷筋點!S590)</f>
        <v/>
      </c>
      <c r="AS590" s="37" t="str">
        <f>IF(最佳化斷筋點!T590="","",最佳化斷筋點!T590)</f>
        <v/>
      </c>
      <c r="AT590" s="37" t="str">
        <f>IF(最佳化斷筋點!U590="","",最佳化斷筋點!U590)</f>
        <v/>
      </c>
      <c r="AU590" s="37" t="str">
        <f>IF(最佳化斷筋點!V590="","",最佳化斷筋點!V590)</f>
        <v/>
      </c>
      <c r="AV590" s="37" t="str">
        <f>IF(最佳化斷筋點!W590="","",最佳化斷筋點!W590)</f>
        <v/>
      </c>
      <c r="AW590" s="37" t="str">
        <f>IF(最佳化斷筋點!X590="","",最佳化斷筋點!X590)</f>
        <v/>
      </c>
      <c r="AZ590" s="37" t="s">
        <v>197</v>
      </c>
      <c r="BA590" s="37" t="s">
        <v>197</v>
      </c>
      <c r="BB590" s="37" t="s">
        <v>197</v>
      </c>
      <c r="BC590" s="37" t="s">
        <v>197</v>
      </c>
      <c r="BD590" s="37" t="s">
        <v>197</v>
      </c>
      <c r="BE590" s="37" t="s">
        <v>197</v>
      </c>
      <c r="BF590" s="37" t="s">
        <v>197</v>
      </c>
      <c r="BG590" s="37" t="s">
        <v>197</v>
      </c>
      <c r="BH590" s="37" t="s">
        <v>197</v>
      </c>
      <c r="BI590" s="37" t="s">
        <v>197</v>
      </c>
      <c r="BJ590" s="37" t="s">
        <v>197</v>
      </c>
      <c r="BK590" s="37" t="s">
        <v>197</v>
      </c>
      <c r="BL590" s="37" t="s">
        <v>197</v>
      </c>
      <c r="BM590" s="37" t="s">
        <v>197</v>
      </c>
      <c r="BN590" s="37" t="s">
        <v>197</v>
      </c>
      <c r="BO590" s="37" t="s">
        <v>197</v>
      </c>
      <c r="BP590" s="37" t="s">
        <v>197</v>
      </c>
      <c r="BQ590" s="37" t="s">
        <v>197</v>
      </c>
      <c r="BR590" s="37" t="s">
        <v>197</v>
      </c>
      <c r="BS590" s="37" t="s">
        <v>197</v>
      </c>
      <c r="BT590" s="37" t="s">
        <v>197</v>
      </c>
    </row>
    <row r="591" spans="5:72" x14ac:dyDescent="0.25">
      <c r="E591" s="6" t="s">
        <v>20</v>
      </c>
      <c r="F591" s="6">
        <f t="shared" si="190"/>
        <v>0</v>
      </c>
      <c r="G591" s="6">
        <f t="shared" si="191"/>
        <v>0</v>
      </c>
      <c r="H591" s="6">
        <f t="shared" si="192"/>
        <v>0</v>
      </c>
      <c r="I591" s="6">
        <f t="shared" si="193"/>
        <v>0</v>
      </c>
      <c r="J591" s="6">
        <f t="shared" si="194"/>
        <v>0</v>
      </c>
      <c r="K591" s="6">
        <f t="shared" si="195"/>
        <v>0</v>
      </c>
      <c r="L591" s="6">
        <f t="shared" si="196"/>
        <v>0</v>
      </c>
      <c r="M591" s="6">
        <f t="shared" si="197"/>
        <v>0</v>
      </c>
      <c r="N591" s="6">
        <f t="shared" si="198"/>
        <v>0</v>
      </c>
      <c r="O591" s="6">
        <f t="shared" si="199"/>
        <v>0</v>
      </c>
      <c r="P591" s="6">
        <f t="shared" si="200"/>
        <v>0</v>
      </c>
      <c r="Q591" s="6">
        <f t="shared" si="201"/>
        <v>0</v>
      </c>
      <c r="R591" s="6">
        <f t="shared" si="202"/>
        <v>0</v>
      </c>
      <c r="S591" s="6">
        <f t="shared" si="203"/>
        <v>0</v>
      </c>
      <c r="T591" s="6">
        <f t="shared" si="204"/>
        <v>0</v>
      </c>
      <c r="U591" s="6">
        <f t="shared" si="205"/>
        <v>0</v>
      </c>
      <c r="V591" s="6">
        <f t="shared" si="206"/>
        <v>0</v>
      </c>
      <c r="W591" s="6">
        <f t="shared" si="207"/>
        <v>0</v>
      </c>
      <c r="X591" s="6">
        <f t="shared" si="208"/>
        <v>0</v>
      </c>
      <c r="Y591" s="6">
        <f t="shared" si="209"/>
        <v>0</v>
      </c>
      <c r="Z591" s="6">
        <f t="shared" si="210"/>
        <v>0</v>
      </c>
      <c r="AB591" s="36" t="str">
        <f>IF(最佳化斷筋點!C591="","",最佳化斷筋點!C591)</f>
        <v>上層</v>
      </c>
      <c r="AC591" s="37">
        <f>IF(最佳化斷筋點!D591="","",最佳化斷筋點!D591)</f>
        <v>9</v>
      </c>
      <c r="AD591" s="37">
        <f>IF(最佳化斷筋點!E591="","",最佳化斷筋點!E591)</f>
        <v>9</v>
      </c>
      <c r="AE591" s="37">
        <f>IF(最佳化斷筋點!F591="","",最佳化斷筋點!F591)</f>
        <v>9</v>
      </c>
      <c r="AF591" s="37">
        <f>IF(最佳化斷筋點!G591="","",最佳化斷筋點!G591)</f>
        <v>9</v>
      </c>
      <c r="AG591" s="37">
        <f>IF(最佳化斷筋點!H591="","",最佳化斷筋點!H591)</f>
        <v>9</v>
      </c>
      <c r="AH591" s="37">
        <f>IF(最佳化斷筋點!I591="","",最佳化斷筋點!I591)</f>
        <v>9</v>
      </c>
      <c r="AI591" s="37">
        <f>IF(最佳化斷筋點!J591="","",最佳化斷筋點!J591)</f>
        <v>9</v>
      </c>
      <c r="AJ591" s="37">
        <f>IF(最佳化斷筋點!K591="","",最佳化斷筋點!K591)</f>
        <v>9</v>
      </c>
      <c r="AK591" s="37">
        <f>IF(最佳化斷筋點!L591="","",最佳化斷筋點!L591)</f>
        <v>9</v>
      </c>
      <c r="AL591" s="37">
        <f>IF(最佳化斷筋點!M591="","",最佳化斷筋點!M591)</f>
        <v>8</v>
      </c>
      <c r="AM591" s="37">
        <f>IF(最佳化斷筋點!N591="","",最佳化斷筋點!N591)</f>
        <v>7</v>
      </c>
      <c r="AN591" s="37">
        <f>IF(最佳化斷筋點!O591="","",最佳化斷筋點!O591)</f>
        <v>7</v>
      </c>
      <c r="AO591" s="37">
        <f>IF(最佳化斷筋點!P591="","",最佳化斷筋點!P591)</f>
        <v>8</v>
      </c>
      <c r="AP591" s="37">
        <f>IF(最佳化斷筋點!Q591="","",最佳化斷筋點!Q591)</f>
        <v>9</v>
      </c>
      <c r="AQ591" s="37">
        <f>IF(最佳化斷筋點!R591="","",最佳化斷筋點!R591)</f>
        <v>9</v>
      </c>
      <c r="AR591" s="37">
        <f>IF(最佳化斷筋點!S591="","",最佳化斷筋點!S591)</f>
        <v>9</v>
      </c>
      <c r="AS591" s="37">
        <f>IF(最佳化斷筋點!T591="","",最佳化斷筋點!T591)</f>
        <v>9</v>
      </c>
      <c r="AT591" s="37">
        <f>IF(最佳化斷筋點!U591="","",最佳化斷筋點!U591)</f>
        <v>9</v>
      </c>
      <c r="AU591" s="37">
        <f>IF(最佳化斷筋點!V591="","",最佳化斷筋點!V591)</f>
        <v>9</v>
      </c>
      <c r="AV591" s="37">
        <f>IF(最佳化斷筋點!W591="","",最佳化斷筋點!W591)</f>
        <v>9</v>
      </c>
      <c r="AW591" s="37">
        <f>IF(最佳化斷筋點!X591="","",最佳化斷筋點!X591)</f>
        <v>9</v>
      </c>
      <c r="AY591" s="6" t="s">
        <v>20</v>
      </c>
      <c r="AZ591" s="37">
        <v>9</v>
      </c>
      <c r="BA591" s="37">
        <v>9</v>
      </c>
      <c r="BB591" s="37">
        <v>9</v>
      </c>
      <c r="BC591" s="37">
        <v>9</v>
      </c>
      <c r="BD591" s="37">
        <v>9</v>
      </c>
      <c r="BE591" s="37">
        <v>9</v>
      </c>
      <c r="BF591" s="37">
        <v>9</v>
      </c>
      <c r="BG591" s="37">
        <v>9</v>
      </c>
      <c r="BH591" s="37">
        <v>9</v>
      </c>
      <c r="BI591" s="37">
        <v>8</v>
      </c>
      <c r="BJ591" s="37">
        <v>7</v>
      </c>
      <c r="BK591" s="37">
        <v>7</v>
      </c>
      <c r="BL591" s="37">
        <v>8</v>
      </c>
      <c r="BM591" s="37">
        <v>9</v>
      </c>
      <c r="BN591" s="37">
        <v>9</v>
      </c>
      <c r="BO591" s="37">
        <v>9</v>
      </c>
      <c r="BP591" s="37">
        <v>9</v>
      </c>
      <c r="BQ591" s="37">
        <v>9</v>
      </c>
      <c r="BR591" s="37">
        <v>9</v>
      </c>
      <c r="BS591" s="37">
        <v>9</v>
      </c>
      <c r="BT591" s="37">
        <v>9</v>
      </c>
    </row>
    <row r="592" spans="5:72" x14ac:dyDescent="0.25">
      <c r="F592" s="6">
        <f t="shared" si="190"/>
        <v>0</v>
      </c>
      <c r="G592" s="6">
        <f t="shared" si="191"/>
        <v>0</v>
      </c>
      <c r="H592" s="6">
        <f t="shared" si="192"/>
        <v>0</v>
      </c>
      <c r="I592" s="6">
        <f t="shared" si="193"/>
        <v>0</v>
      </c>
      <c r="J592" s="6">
        <f t="shared" si="194"/>
        <v>0</v>
      </c>
      <c r="K592" s="6">
        <f t="shared" si="195"/>
        <v>0</v>
      </c>
      <c r="L592" s="6">
        <f t="shared" si="196"/>
        <v>0</v>
      </c>
      <c r="M592" s="6">
        <f t="shared" si="197"/>
        <v>0</v>
      </c>
      <c r="N592" s="6">
        <f t="shared" si="198"/>
        <v>0</v>
      </c>
      <c r="O592" s="6">
        <f t="shared" si="199"/>
        <v>0</v>
      </c>
      <c r="P592" s="6">
        <f t="shared" si="200"/>
        <v>0</v>
      </c>
      <c r="Q592" s="6">
        <f t="shared" si="201"/>
        <v>0</v>
      </c>
      <c r="R592" s="6">
        <f t="shared" si="202"/>
        <v>0</v>
      </c>
      <c r="S592" s="6">
        <f t="shared" si="203"/>
        <v>0</v>
      </c>
      <c r="T592" s="6">
        <f t="shared" si="204"/>
        <v>0</v>
      </c>
      <c r="U592" s="6">
        <f t="shared" si="205"/>
        <v>0</v>
      </c>
      <c r="V592" s="6">
        <f t="shared" si="206"/>
        <v>0</v>
      </c>
      <c r="W592" s="6">
        <f t="shared" si="207"/>
        <v>0</v>
      </c>
      <c r="X592" s="6">
        <f t="shared" si="208"/>
        <v>0</v>
      </c>
      <c r="Y592" s="6">
        <f t="shared" si="209"/>
        <v>0</v>
      </c>
      <c r="Z592" s="6">
        <f t="shared" si="210"/>
        <v>0</v>
      </c>
      <c r="AB592" s="36" t="str">
        <f>IF(最佳化斷筋點!C592="","",最佳化斷筋點!C592)</f>
        <v/>
      </c>
      <c r="AC592" s="37" t="str">
        <f>IF(最佳化斷筋點!D592="","",最佳化斷筋點!D592)</f>
        <v/>
      </c>
      <c r="AD592" s="37" t="str">
        <f>IF(最佳化斷筋點!E592="","",最佳化斷筋點!E592)</f>
        <v/>
      </c>
      <c r="AE592" s="37" t="str">
        <f>IF(最佳化斷筋點!F592="","",最佳化斷筋點!F592)</f>
        <v/>
      </c>
      <c r="AF592" s="37" t="str">
        <f>IF(最佳化斷筋點!G592="","",最佳化斷筋點!G592)</f>
        <v/>
      </c>
      <c r="AG592" s="37" t="str">
        <f>IF(最佳化斷筋點!H592="","",最佳化斷筋點!H592)</f>
        <v/>
      </c>
      <c r="AH592" s="37" t="str">
        <f>IF(最佳化斷筋點!I592="","",最佳化斷筋點!I592)</f>
        <v/>
      </c>
      <c r="AI592" s="37" t="str">
        <f>IF(最佳化斷筋點!J592="","",最佳化斷筋點!J592)</f>
        <v/>
      </c>
      <c r="AJ592" s="37" t="str">
        <f>IF(最佳化斷筋點!K592="","",最佳化斷筋點!K592)</f>
        <v/>
      </c>
      <c r="AK592" s="37" t="str">
        <f>IF(最佳化斷筋點!L592="","",最佳化斷筋點!L592)</f>
        <v/>
      </c>
      <c r="AL592" s="37" t="str">
        <f>IF(最佳化斷筋點!M592="","",最佳化斷筋點!M592)</f>
        <v/>
      </c>
      <c r="AM592" s="37" t="str">
        <f>IF(最佳化斷筋點!N592="","",最佳化斷筋點!N592)</f>
        <v/>
      </c>
      <c r="AN592" s="37" t="str">
        <f>IF(最佳化斷筋點!O592="","",最佳化斷筋點!O592)</f>
        <v/>
      </c>
      <c r="AO592" s="37" t="str">
        <f>IF(最佳化斷筋點!P592="","",最佳化斷筋點!P592)</f>
        <v/>
      </c>
      <c r="AP592" s="37" t="str">
        <f>IF(最佳化斷筋點!Q592="","",最佳化斷筋點!Q592)</f>
        <v/>
      </c>
      <c r="AQ592" s="37" t="str">
        <f>IF(最佳化斷筋點!R592="","",最佳化斷筋點!R592)</f>
        <v/>
      </c>
      <c r="AR592" s="37" t="str">
        <f>IF(最佳化斷筋點!S592="","",最佳化斷筋點!S592)</f>
        <v/>
      </c>
      <c r="AS592" s="37" t="str">
        <f>IF(最佳化斷筋點!T592="","",最佳化斷筋點!T592)</f>
        <v/>
      </c>
      <c r="AT592" s="37" t="str">
        <f>IF(最佳化斷筋點!U592="","",最佳化斷筋點!U592)</f>
        <v/>
      </c>
      <c r="AU592" s="37" t="str">
        <f>IF(最佳化斷筋點!V592="","",最佳化斷筋點!V592)</f>
        <v/>
      </c>
      <c r="AV592" s="37" t="str">
        <f>IF(最佳化斷筋點!W592="","",最佳化斷筋點!W592)</f>
        <v/>
      </c>
      <c r="AW592" s="37" t="str">
        <f>IF(最佳化斷筋點!X592="","",最佳化斷筋點!X592)</f>
        <v/>
      </c>
      <c r="AZ592" s="37" t="s">
        <v>197</v>
      </c>
      <c r="BA592" s="37" t="s">
        <v>197</v>
      </c>
      <c r="BB592" s="37" t="s">
        <v>197</v>
      </c>
      <c r="BC592" s="37" t="s">
        <v>197</v>
      </c>
      <c r="BD592" s="37" t="s">
        <v>197</v>
      </c>
      <c r="BE592" s="37" t="s">
        <v>197</v>
      </c>
      <c r="BF592" s="37" t="s">
        <v>197</v>
      </c>
      <c r="BG592" s="37" t="s">
        <v>197</v>
      </c>
      <c r="BH592" s="37" t="s">
        <v>197</v>
      </c>
      <c r="BI592" s="37" t="s">
        <v>197</v>
      </c>
      <c r="BJ592" s="37" t="s">
        <v>197</v>
      </c>
      <c r="BK592" s="37" t="s">
        <v>197</v>
      </c>
      <c r="BL592" s="37" t="s">
        <v>197</v>
      </c>
      <c r="BM592" s="37" t="s">
        <v>197</v>
      </c>
      <c r="BN592" s="37" t="s">
        <v>197</v>
      </c>
      <c r="BO592" s="37" t="s">
        <v>197</v>
      </c>
      <c r="BP592" s="37" t="s">
        <v>197</v>
      </c>
      <c r="BQ592" s="37" t="s">
        <v>197</v>
      </c>
      <c r="BR592" s="37" t="s">
        <v>197</v>
      </c>
      <c r="BS592" s="37" t="s">
        <v>197</v>
      </c>
      <c r="BT592" s="37" t="s">
        <v>197</v>
      </c>
    </row>
    <row r="593" spans="5:72" x14ac:dyDescent="0.25">
      <c r="E593" s="6" t="s">
        <v>21</v>
      </c>
      <c r="F593" s="6">
        <f t="shared" si="190"/>
        <v>0</v>
      </c>
      <c r="G593" s="6">
        <f t="shared" si="191"/>
        <v>0</v>
      </c>
      <c r="H593" s="6">
        <f t="shared" si="192"/>
        <v>0</v>
      </c>
      <c r="I593" s="6">
        <f t="shared" si="193"/>
        <v>0</v>
      </c>
      <c r="J593" s="6">
        <f t="shared" si="194"/>
        <v>0</v>
      </c>
      <c r="K593" s="6">
        <f t="shared" si="195"/>
        <v>0</v>
      </c>
      <c r="L593" s="6">
        <f t="shared" si="196"/>
        <v>0</v>
      </c>
      <c r="M593" s="6">
        <f t="shared" si="197"/>
        <v>0</v>
      </c>
      <c r="N593" s="6">
        <f t="shared" si="198"/>
        <v>0</v>
      </c>
      <c r="O593" s="6">
        <f t="shared" si="199"/>
        <v>0</v>
      </c>
      <c r="P593" s="6">
        <f t="shared" si="200"/>
        <v>0</v>
      </c>
      <c r="Q593" s="6">
        <f t="shared" si="201"/>
        <v>0</v>
      </c>
      <c r="R593" s="6">
        <f t="shared" si="202"/>
        <v>0</v>
      </c>
      <c r="S593" s="6">
        <f t="shared" si="203"/>
        <v>0</v>
      </c>
      <c r="T593" s="6">
        <f t="shared" si="204"/>
        <v>0</v>
      </c>
      <c r="U593" s="6">
        <f t="shared" si="205"/>
        <v>0</v>
      </c>
      <c r="V593" s="6">
        <f t="shared" si="206"/>
        <v>0</v>
      </c>
      <c r="W593" s="6">
        <f t="shared" si="207"/>
        <v>0</v>
      </c>
      <c r="X593" s="6">
        <f t="shared" si="208"/>
        <v>0</v>
      </c>
      <c r="Y593" s="6">
        <f t="shared" si="209"/>
        <v>0</v>
      </c>
      <c r="Z593" s="6">
        <f t="shared" si="210"/>
        <v>0</v>
      </c>
      <c r="AB593" s="36" t="str">
        <f>IF(最佳化斷筋點!C593="","",最佳化斷筋點!C593)</f>
        <v>下層</v>
      </c>
      <c r="AC593" s="37">
        <f>IF(最佳化斷筋點!D593="","",最佳化斷筋點!D593)</f>
        <v>13</v>
      </c>
      <c r="AD593" s="37">
        <f>IF(最佳化斷筋點!E593="","",最佳化斷筋點!E593)</f>
        <v>13</v>
      </c>
      <c r="AE593" s="37">
        <f>IF(最佳化斷筋點!F593="","",最佳化斷筋點!F593)</f>
        <v>13</v>
      </c>
      <c r="AF593" s="37">
        <f>IF(最佳化斷筋點!G593="","",最佳化斷筋點!G593)</f>
        <v>13</v>
      </c>
      <c r="AG593" s="37">
        <f>IF(最佳化斷筋點!H593="","",最佳化斷筋點!H593)</f>
        <v>13</v>
      </c>
      <c r="AH593" s="37">
        <f>IF(最佳化斷筋點!I593="","",最佳化斷筋點!I593)</f>
        <v>12</v>
      </c>
      <c r="AI593" s="37">
        <f>IF(最佳化斷筋點!J593="","",最佳化斷筋點!J593)</f>
        <v>12</v>
      </c>
      <c r="AJ593" s="37">
        <f>IF(最佳化斷筋點!K593="","",最佳化斷筋點!K593)</f>
        <v>12</v>
      </c>
      <c r="AK593" s="37">
        <f>IF(最佳化斷筋點!L593="","",最佳化斷筋點!L593)</f>
        <v>12</v>
      </c>
      <c r="AL593" s="37">
        <f>IF(最佳化斷筋點!M593="","",最佳化斷筋點!M593)</f>
        <v>12</v>
      </c>
      <c r="AM593" s="37">
        <f>IF(最佳化斷筋點!N593="","",最佳化斷筋點!N593)</f>
        <v>12</v>
      </c>
      <c r="AN593" s="37">
        <f>IF(最佳化斷筋點!O593="","",最佳化斷筋點!O593)</f>
        <v>12</v>
      </c>
      <c r="AO593" s="37">
        <f>IF(最佳化斷筋點!P593="","",最佳化斷筋點!P593)</f>
        <v>12</v>
      </c>
      <c r="AP593" s="37">
        <f>IF(最佳化斷筋點!Q593="","",最佳化斷筋點!Q593)</f>
        <v>12</v>
      </c>
      <c r="AQ593" s="37">
        <f>IF(最佳化斷筋點!R593="","",最佳化斷筋點!R593)</f>
        <v>12</v>
      </c>
      <c r="AR593" s="37">
        <f>IF(最佳化斷筋點!S593="","",最佳化斷筋點!S593)</f>
        <v>12</v>
      </c>
      <c r="AS593" s="37">
        <f>IF(最佳化斷筋點!T593="","",最佳化斷筋點!T593)</f>
        <v>12</v>
      </c>
      <c r="AT593" s="37">
        <f>IF(最佳化斷筋點!U593="","",最佳化斷筋點!U593)</f>
        <v>12</v>
      </c>
      <c r="AU593" s="37">
        <f>IF(最佳化斷筋點!V593="","",最佳化斷筋點!V593)</f>
        <v>11</v>
      </c>
      <c r="AV593" s="37">
        <f>IF(最佳化斷筋點!W593="","",最佳化斷筋點!W593)</f>
        <v>11</v>
      </c>
      <c r="AW593" s="37">
        <f>IF(最佳化斷筋點!X593="","",最佳化斷筋點!X593)</f>
        <v>11</v>
      </c>
      <c r="AY593" s="6" t="s">
        <v>21</v>
      </c>
      <c r="AZ593" s="37">
        <v>13</v>
      </c>
      <c r="BA593" s="37">
        <v>13</v>
      </c>
      <c r="BB593" s="37">
        <v>13</v>
      </c>
      <c r="BC593" s="37">
        <v>13</v>
      </c>
      <c r="BD593" s="37">
        <v>13</v>
      </c>
      <c r="BE593" s="37">
        <v>12</v>
      </c>
      <c r="BF593" s="37">
        <v>12</v>
      </c>
      <c r="BG593" s="37">
        <v>12</v>
      </c>
      <c r="BH593" s="37">
        <v>12</v>
      </c>
      <c r="BI593" s="37">
        <v>12</v>
      </c>
      <c r="BJ593" s="37">
        <v>12</v>
      </c>
      <c r="BK593" s="37">
        <v>12</v>
      </c>
      <c r="BL593" s="37">
        <v>12</v>
      </c>
      <c r="BM593" s="37">
        <v>12</v>
      </c>
      <c r="BN593" s="37">
        <v>12</v>
      </c>
      <c r="BO593" s="37">
        <v>12</v>
      </c>
      <c r="BP593" s="37">
        <v>12</v>
      </c>
      <c r="BQ593" s="37">
        <v>12</v>
      </c>
      <c r="BR593" s="37">
        <v>11</v>
      </c>
      <c r="BS593" s="37">
        <v>11</v>
      </c>
      <c r="BT593" s="37">
        <v>11</v>
      </c>
    </row>
    <row r="594" spans="5:72" x14ac:dyDescent="0.25">
      <c r="F594" s="6">
        <f t="shared" si="190"/>
        <v>0</v>
      </c>
      <c r="G594" s="6">
        <f t="shared" si="191"/>
        <v>0</v>
      </c>
      <c r="H594" s="6">
        <f t="shared" si="192"/>
        <v>0</v>
      </c>
      <c r="I594" s="6">
        <f t="shared" si="193"/>
        <v>0</v>
      </c>
      <c r="J594" s="6">
        <f t="shared" si="194"/>
        <v>0</v>
      </c>
      <c r="K594" s="6">
        <f t="shared" si="195"/>
        <v>0</v>
      </c>
      <c r="L594" s="6">
        <f t="shared" si="196"/>
        <v>0</v>
      </c>
      <c r="M594" s="6">
        <f t="shared" si="197"/>
        <v>0</v>
      </c>
      <c r="N594" s="6">
        <f t="shared" si="198"/>
        <v>0</v>
      </c>
      <c r="O594" s="6">
        <f t="shared" si="199"/>
        <v>0</v>
      </c>
      <c r="P594" s="6">
        <f t="shared" si="200"/>
        <v>0</v>
      </c>
      <c r="Q594" s="6">
        <f t="shared" si="201"/>
        <v>0</v>
      </c>
      <c r="R594" s="6">
        <f t="shared" si="202"/>
        <v>0</v>
      </c>
      <c r="S594" s="6">
        <f t="shared" si="203"/>
        <v>0</v>
      </c>
      <c r="T594" s="6">
        <f t="shared" si="204"/>
        <v>0</v>
      </c>
      <c r="U594" s="6">
        <f t="shared" si="205"/>
        <v>0</v>
      </c>
      <c r="V594" s="6">
        <f t="shared" si="206"/>
        <v>0</v>
      </c>
      <c r="W594" s="6">
        <f t="shared" si="207"/>
        <v>0</v>
      </c>
      <c r="X594" s="6">
        <f t="shared" si="208"/>
        <v>0</v>
      </c>
      <c r="Y594" s="6">
        <f t="shared" si="209"/>
        <v>0</v>
      </c>
      <c r="Z594" s="6">
        <f t="shared" si="210"/>
        <v>0</v>
      </c>
      <c r="AB594" s="36" t="str">
        <f>IF(最佳化斷筋點!C594="","",最佳化斷筋點!C594)</f>
        <v/>
      </c>
      <c r="AC594" s="37" t="str">
        <f>IF(最佳化斷筋點!D594="","",最佳化斷筋點!D594)</f>
        <v/>
      </c>
      <c r="AD594" s="37" t="str">
        <f>IF(最佳化斷筋點!E594="","",最佳化斷筋點!E594)</f>
        <v/>
      </c>
      <c r="AE594" s="37" t="str">
        <f>IF(最佳化斷筋點!F594="","",最佳化斷筋點!F594)</f>
        <v/>
      </c>
      <c r="AF594" s="37" t="str">
        <f>IF(最佳化斷筋點!G594="","",最佳化斷筋點!G594)</f>
        <v/>
      </c>
      <c r="AG594" s="37" t="str">
        <f>IF(最佳化斷筋點!H594="","",最佳化斷筋點!H594)</f>
        <v/>
      </c>
      <c r="AH594" s="37" t="str">
        <f>IF(最佳化斷筋點!I594="","",最佳化斷筋點!I594)</f>
        <v/>
      </c>
      <c r="AI594" s="37" t="str">
        <f>IF(最佳化斷筋點!J594="","",最佳化斷筋點!J594)</f>
        <v/>
      </c>
      <c r="AJ594" s="37" t="str">
        <f>IF(最佳化斷筋點!K594="","",最佳化斷筋點!K594)</f>
        <v/>
      </c>
      <c r="AK594" s="37" t="str">
        <f>IF(最佳化斷筋點!L594="","",最佳化斷筋點!L594)</f>
        <v/>
      </c>
      <c r="AL594" s="37" t="str">
        <f>IF(最佳化斷筋點!M594="","",最佳化斷筋點!M594)</f>
        <v/>
      </c>
      <c r="AM594" s="37" t="str">
        <f>IF(最佳化斷筋點!N594="","",最佳化斷筋點!N594)</f>
        <v/>
      </c>
      <c r="AN594" s="37" t="str">
        <f>IF(最佳化斷筋點!O594="","",最佳化斷筋點!O594)</f>
        <v/>
      </c>
      <c r="AO594" s="37" t="str">
        <f>IF(最佳化斷筋點!P594="","",最佳化斷筋點!P594)</f>
        <v/>
      </c>
      <c r="AP594" s="37" t="str">
        <f>IF(最佳化斷筋點!Q594="","",最佳化斷筋點!Q594)</f>
        <v/>
      </c>
      <c r="AQ594" s="37" t="str">
        <f>IF(最佳化斷筋點!R594="","",最佳化斷筋點!R594)</f>
        <v/>
      </c>
      <c r="AR594" s="37" t="str">
        <f>IF(最佳化斷筋點!S594="","",最佳化斷筋點!S594)</f>
        <v/>
      </c>
      <c r="AS594" s="37" t="str">
        <f>IF(最佳化斷筋點!T594="","",最佳化斷筋點!T594)</f>
        <v/>
      </c>
      <c r="AT594" s="37" t="str">
        <f>IF(最佳化斷筋點!U594="","",最佳化斷筋點!U594)</f>
        <v/>
      </c>
      <c r="AU594" s="37" t="str">
        <f>IF(最佳化斷筋點!V594="","",最佳化斷筋點!V594)</f>
        <v/>
      </c>
      <c r="AV594" s="37" t="str">
        <f>IF(最佳化斷筋點!W594="","",最佳化斷筋點!W594)</f>
        <v/>
      </c>
      <c r="AW594" s="37" t="str">
        <f>IF(最佳化斷筋點!X594="","",最佳化斷筋點!X594)</f>
        <v/>
      </c>
      <c r="AZ594" s="37" t="s">
        <v>197</v>
      </c>
      <c r="BA594" s="37" t="s">
        <v>197</v>
      </c>
      <c r="BB594" s="37" t="s">
        <v>197</v>
      </c>
      <c r="BC594" s="37" t="s">
        <v>197</v>
      </c>
      <c r="BD594" s="37" t="s">
        <v>197</v>
      </c>
      <c r="BE594" s="37" t="s">
        <v>197</v>
      </c>
      <c r="BF594" s="37" t="s">
        <v>197</v>
      </c>
      <c r="BG594" s="37" t="s">
        <v>197</v>
      </c>
      <c r="BH594" s="37" t="s">
        <v>197</v>
      </c>
      <c r="BI594" s="37" t="s">
        <v>197</v>
      </c>
      <c r="BJ594" s="37" t="s">
        <v>197</v>
      </c>
      <c r="BK594" s="37" t="s">
        <v>197</v>
      </c>
      <c r="BL594" s="37" t="s">
        <v>197</v>
      </c>
      <c r="BM594" s="37" t="s">
        <v>197</v>
      </c>
      <c r="BN594" s="37" t="s">
        <v>197</v>
      </c>
      <c r="BO594" s="37" t="s">
        <v>197</v>
      </c>
      <c r="BP594" s="37" t="s">
        <v>197</v>
      </c>
      <c r="BQ594" s="37" t="s">
        <v>197</v>
      </c>
      <c r="BR594" s="37" t="s">
        <v>197</v>
      </c>
      <c r="BS594" s="37" t="s">
        <v>197</v>
      </c>
      <c r="BT594" s="37" t="s">
        <v>197</v>
      </c>
    </row>
    <row r="595" spans="5:72" x14ac:dyDescent="0.25">
      <c r="E595" s="6" t="s">
        <v>20</v>
      </c>
      <c r="F595" s="6">
        <f t="shared" si="190"/>
        <v>0</v>
      </c>
      <c r="G595" s="6">
        <f t="shared" si="191"/>
        <v>0</v>
      </c>
      <c r="H595" s="6">
        <f t="shared" si="192"/>
        <v>0</v>
      </c>
      <c r="I595" s="6">
        <f t="shared" si="193"/>
        <v>0</v>
      </c>
      <c r="J595" s="6">
        <f t="shared" si="194"/>
        <v>0</v>
      </c>
      <c r="K595" s="6">
        <f t="shared" si="195"/>
        <v>0</v>
      </c>
      <c r="L595" s="6">
        <f t="shared" si="196"/>
        <v>0</v>
      </c>
      <c r="M595" s="6">
        <f t="shared" si="197"/>
        <v>0</v>
      </c>
      <c r="N595" s="6">
        <f t="shared" si="198"/>
        <v>0</v>
      </c>
      <c r="O595" s="6">
        <f t="shared" si="199"/>
        <v>0</v>
      </c>
      <c r="P595" s="6">
        <f t="shared" si="200"/>
        <v>0</v>
      </c>
      <c r="Q595" s="6">
        <f t="shared" si="201"/>
        <v>0</v>
      </c>
      <c r="R595" s="6">
        <f t="shared" si="202"/>
        <v>0</v>
      </c>
      <c r="S595" s="6">
        <f t="shared" si="203"/>
        <v>0</v>
      </c>
      <c r="T595" s="6">
        <f t="shared" si="204"/>
        <v>0</v>
      </c>
      <c r="U595" s="6">
        <f t="shared" si="205"/>
        <v>0</v>
      </c>
      <c r="V595" s="6">
        <f t="shared" si="206"/>
        <v>0</v>
      </c>
      <c r="W595" s="6">
        <f t="shared" si="207"/>
        <v>0</v>
      </c>
      <c r="X595" s="6">
        <f t="shared" si="208"/>
        <v>0</v>
      </c>
      <c r="Y595" s="6">
        <f t="shared" si="209"/>
        <v>0</v>
      </c>
      <c r="Z595" s="6">
        <f t="shared" si="210"/>
        <v>0</v>
      </c>
      <c r="AB595" s="36" t="str">
        <f>IF(最佳化斷筋點!C595="","",最佳化斷筋點!C595)</f>
        <v>上層</v>
      </c>
      <c r="AC595" s="37">
        <f>IF(最佳化斷筋點!D595="","",最佳化斷筋點!D595)</f>
        <v>7</v>
      </c>
      <c r="AD595" s="37">
        <f>IF(最佳化斷筋點!E595="","",最佳化斷筋點!E595)</f>
        <v>7</v>
      </c>
      <c r="AE595" s="37">
        <f>IF(最佳化斷筋點!F595="","",最佳化斷筋點!F595)</f>
        <v>7</v>
      </c>
      <c r="AF595" s="37">
        <f>IF(最佳化斷筋點!G595="","",最佳化斷筋點!G595)</f>
        <v>7</v>
      </c>
      <c r="AG595" s="37">
        <f>IF(最佳化斷筋點!H595="","",最佳化斷筋點!H595)</f>
        <v>7</v>
      </c>
      <c r="AH595" s="37">
        <f>IF(最佳化斷筋點!I595="","",最佳化斷筋點!I595)</f>
        <v>7</v>
      </c>
      <c r="AI595" s="37">
        <f>IF(最佳化斷筋點!J595="","",最佳化斷筋點!J595)</f>
        <v>6</v>
      </c>
      <c r="AJ595" s="37">
        <f>IF(最佳化斷筋點!K595="","",最佳化斷筋點!K595)</f>
        <v>4</v>
      </c>
      <c r="AK595" s="37">
        <f>IF(最佳化斷筋點!L595="","",最佳化斷筋點!L595)</f>
        <v>4</v>
      </c>
      <c r="AL595" s="37">
        <f>IF(最佳化斷筋點!M595="","",最佳化斷筋點!M595)</f>
        <v>4</v>
      </c>
      <c r="AM595" s="37">
        <f>IF(最佳化斷筋點!N595="","",最佳化斷筋點!N595)</f>
        <v>4</v>
      </c>
      <c r="AN595" s="37">
        <f>IF(最佳化斷筋點!O595="","",最佳化斷筋點!O595)</f>
        <v>4</v>
      </c>
      <c r="AO595" s="37">
        <f>IF(最佳化斷筋點!P595="","",最佳化斷筋點!P595)</f>
        <v>4</v>
      </c>
      <c r="AP595" s="37">
        <f>IF(最佳化斷筋點!Q595="","",最佳化斷筋點!Q595)</f>
        <v>8</v>
      </c>
      <c r="AQ595" s="37">
        <f>IF(最佳化斷筋點!R595="","",最佳化斷筋點!R595)</f>
        <v>9</v>
      </c>
      <c r="AR595" s="37">
        <f>IF(最佳化斷筋點!S595="","",最佳化斷筋點!S595)</f>
        <v>10</v>
      </c>
      <c r="AS595" s="37">
        <f>IF(最佳化斷筋點!T595="","",最佳化斷筋點!T595)</f>
        <v>10</v>
      </c>
      <c r="AT595" s="37">
        <f>IF(最佳化斷筋點!U595="","",最佳化斷筋點!U595)</f>
        <v>10</v>
      </c>
      <c r="AU595" s="37">
        <f>IF(最佳化斷筋點!V595="","",最佳化斷筋點!V595)</f>
        <v>10</v>
      </c>
      <c r="AV595" s="37">
        <f>IF(最佳化斷筋點!W595="","",最佳化斷筋點!W595)</f>
        <v>10</v>
      </c>
      <c r="AW595" s="37">
        <f>IF(最佳化斷筋點!X595="","",最佳化斷筋點!X595)</f>
        <v>10</v>
      </c>
      <c r="AY595" s="6" t="s">
        <v>20</v>
      </c>
      <c r="AZ595" s="37">
        <v>7</v>
      </c>
      <c r="BA595" s="37">
        <v>7</v>
      </c>
      <c r="BB595" s="37">
        <v>7</v>
      </c>
      <c r="BC595" s="37">
        <v>7</v>
      </c>
      <c r="BD595" s="37">
        <v>7</v>
      </c>
      <c r="BE595" s="37">
        <v>7</v>
      </c>
      <c r="BF595" s="37">
        <v>6</v>
      </c>
      <c r="BG595" s="37">
        <v>4</v>
      </c>
      <c r="BH595" s="37">
        <v>4</v>
      </c>
      <c r="BI595" s="37">
        <v>4</v>
      </c>
      <c r="BJ595" s="37">
        <v>4</v>
      </c>
      <c r="BK595" s="37">
        <v>4</v>
      </c>
      <c r="BL595" s="37">
        <v>4</v>
      </c>
      <c r="BM595" s="37">
        <v>8</v>
      </c>
      <c r="BN595" s="37">
        <v>9</v>
      </c>
      <c r="BO595" s="37">
        <v>10</v>
      </c>
      <c r="BP595" s="37">
        <v>10</v>
      </c>
      <c r="BQ595" s="37">
        <v>10</v>
      </c>
      <c r="BR595" s="37">
        <v>10</v>
      </c>
      <c r="BS595" s="37">
        <v>10</v>
      </c>
      <c r="BT595" s="37">
        <v>10</v>
      </c>
    </row>
    <row r="596" spans="5:72" x14ac:dyDescent="0.25">
      <c r="F596" s="6">
        <f t="shared" si="190"/>
        <v>0</v>
      </c>
      <c r="G596" s="6">
        <f t="shared" si="191"/>
        <v>0</v>
      </c>
      <c r="H596" s="6">
        <f t="shared" si="192"/>
        <v>0</v>
      </c>
      <c r="I596" s="6">
        <f t="shared" si="193"/>
        <v>0</v>
      </c>
      <c r="J596" s="6">
        <f t="shared" si="194"/>
        <v>0</v>
      </c>
      <c r="K596" s="6">
        <f t="shared" si="195"/>
        <v>0</v>
      </c>
      <c r="L596" s="6">
        <f t="shared" si="196"/>
        <v>0</v>
      </c>
      <c r="M596" s="6">
        <f t="shared" si="197"/>
        <v>0</v>
      </c>
      <c r="N596" s="6">
        <f t="shared" si="198"/>
        <v>0</v>
      </c>
      <c r="O596" s="6">
        <f t="shared" si="199"/>
        <v>0</v>
      </c>
      <c r="P596" s="6">
        <f t="shared" si="200"/>
        <v>0</v>
      </c>
      <c r="Q596" s="6">
        <f t="shared" si="201"/>
        <v>0</v>
      </c>
      <c r="R596" s="6">
        <f t="shared" si="202"/>
        <v>0</v>
      </c>
      <c r="S596" s="6">
        <f t="shared" si="203"/>
        <v>0</v>
      </c>
      <c r="T596" s="6">
        <f t="shared" si="204"/>
        <v>0</v>
      </c>
      <c r="U596" s="6">
        <f t="shared" si="205"/>
        <v>0</v>
      </c>
      <c r="V596" s="6">
        <f t="shared" si="206"/>
        <v>0</v>
      </c>
      <c r="W596" s="6">
        <f t="shared" si="207"/>
        <v>0</v>
      </c>
      <c r="X596" s="6">
        <f t="shared" si="208"/>
        <v>0</v>
      </c>
      <c r="Y596" s="6">
        <f t="shared" si="209"/>
        <v>0</v>
      </c>
      <c r="Z596" s="6">
        <f t="shared" si="210"/>
        <v>0</v>
      </c>
      <c r="AB596" s="36" t="str">
        <f>IF(最佳化斷筋點!C596="","",最佳化斷筋點!C596)</f>
        <v/>
      </c>
      <c r="AC596" s="37" t="str">
        <f>IF(最佳化斷筋點!D596="","",最佳化斷筋點!D596)</f>
        <v/>
      </c>
      <c r="AD596" s="37" t="str">
        <f>IF(最佳化斷筋點!E596="","",最佳化斷筋點!E596)</f>
        <v/>
      </c>
      <c r="AE596" s="37" t="str">
        <f>IF(最佳化斷筋點!F596="","",最佳化斷筋點!F596)</f>
        <v/>
      </c>
      <c r="AF596" s="37" t="str">
        <f>IF(最佳化斷筋點!G596="","",最佳化斷筋點!G596)</f>
        <v/>
      </c>
      <c r="AG596" s="37" t="str">
        <f>IF(最佳化斷筋點!H596="","",最佳化斷筋點!H596)</f>
        <v/>
      </c>
      <c r="AH596" s="37" t="str">
        <f>IF(最佳化斷筋點!I596="","",最佳化斷筋點!I596)</f>
        <v/>
      </c>
      <c r="AI596" s="37" t="str">
        <f>IF(最佳化斷筋點!J596="","",最佳化斷筋點!J596)</f>
        <v/>
      </c>
      <c r="AJ596" s="37" t="str">
        <f>IF(最佳化斷筋點!K596="","",最佳化斷筋點!K596)</f>
        <v/>
      </c>
      <c r="AK596" s="37" t="str">
        <f>IF(最佳化斷筋點!L596="","",最佳化斷筋點!L596)</f>
        <v/>
      </c>
      <c r="AL596" s="37" t="str">
        <f>IF(最佳化斷筋點!M596="","",最佳化斷筋點!M596)</f>
        <v/>
      </c>
      <c r="AM596" s="37" t="str">
        <f>IF(最佳化斷筋點!N596="","",最佳化斷筋點!N596)</f>
        <v/>
      </c>
      <c r="AN596" s="37" t="str">
        <f>IF(最佳化斷筋點!O596="","",最佳化斷筋點!O596)</f>
        <v/>
      </c>
      <c r="AO596" s="37" t="str">
        <f>IF(最佳化斷筋點!P596="","",最佳化斷筋點!P596)</f>
        <v/>
      </c>
      <c r="AP596" s="37" t="str">
        <f>IF(最佳化斷筋點!Q596="","",最佳化斷筋點!Q596)</f>
        <v/>
      </c>
      <c r="AQ596" s="37" t="str">
        <f>IF(最佳化斷筋點!R596="","",最佳化斷筋點!R596)</f>
        <v/>
      </c>
      <c r="AR596" s="37" t="str">
        <f>IF(最佳化斷筋點!S596="","",最佳化斷筋點!S596)</f>
        <v/>
      </c>
      <c r="AS596" s="37" t="str">
        <f>IF(最佳化斷筋點!T596="","",最佳化斷筋點!T596)</f>
        <v/>
      </c>
      <c r="AT596" s="37" t="str">
        <f>IF(最佳化斷筋點!U596="","",最佳化斷筋點!U596)</f>
        <v/>
      </c>
      <c r="AU596" s="37" t="str">
        <f>IF(最佳化斷筋點!V596="","",最佳化斷筋點!V596)</f>
        <v/>
      </c>
      <c r="AV596" s="37" t="str">
        <f>IF(最佳化斷筋點!W596="","",最佳化斷筋點!W596)</f>
        <v/>
      </c>
      <c r="AW596" s="37" t="str">
        <f>IF(最佳化斷筋點!X596="","",最佳化斷筋點!X596)</f>
        <v/>
      </c>
      <c r="AZ596" s="37" t="s">
        <v>197</v>
      </c>
      <c r="BA596" s="37" t="s">
        <v>197</v>
      </c>
      <c r="BB596" s="37" t="s">
        <v>197</v>
      </c>
      <c r="BC596" s="37" t="s">
        <v>197</v>
      </c>
      <c r="BD596" s="37" t="s">
        <v>197</v>
      </c>
      <c r="BE596" s="37" t="s">
        <v>197</v>
      </c>
      <c r="BF596" s="37" t="s">
        <v>197</v>
      </c>
      <c r="BG596" s="37" t="s">
        <v>197</v>
      </c>
      <c r="BH596" s="37" t="s">
        <v>197</v>
      </c>
      <c r="BI596" s="37" t="s">
        <v>197</v>
      </c>
      <c r="BJ596" s="37" t="s">
        <v>197</v>
      </c>
      <c r="BK596" s="37" t="s">
        <v>197</v>
      </c>
      <c r="BL596" s="37" t="s">
        <v>197</v>
      </c>
      <c r="BM596" s="37" t="s">
        <v>197</v>
      </c>
      <c r="BN596" s="37" t="s">
        <v>197</v>
      </c>
      <c r="BO596" s="37" t="s">
        <v>197</v>
      </c>
      <c r="BP596" s="37" t="s">
        <v>197</v>
      </c>
      <c r="BQ596" s="37" t="s">
        <v>197</v>
      </c>
      <c r="BR596" s="37" t="s">
        <v>197</v>
      </c>
      <c r="BS596" s="37" t="s">
        <v>197</v>
      </c>
      <c r="BT596" s="37" t="s">
        <v>197</v>
      </c>
    </row>
    <row r="597" spans="5:72" x14ac:dyDescent="0.25">
      <c r="E597" s="6" t="s">
        <v>21</v>
      </c>
      <c r="F597" s="6">
        <f t="shared" si="190"/>
        <v>0</v>
      </c>
      <c r="G597" s="6">
        <f t="shared" si="191"/>
        <v>0</v>
      </c>
      <c r="H597" s="6">
        <f t="shared" si="192"/>
        <v>0</v>
      </c>
      <c r="I597" s="6">
        <f t="shared" si="193"/>
        <v>0</v>
      </c>
      <c r="J597" s="6">
        <f t="shared" si="194"/>
        <v>0</v>
      </c>
      <c r="K597" s="6">
        <f t="shared" si="195"/>
        <v>0</v>
      </c>
      <c r="L597" s="6">
        <f t="shared" si="196"/>
        <v>0</v>
      </c>
      <c r="M597" s="6">
        <f t="shared" si="197"/>
        <v>0</v>
      </c>
      <c r="N597" s="6">
        <f t="shared" si="198"/>
        <v>0</v>
      </c>
      <c r="O597" s="6">
        <f t="shared" si="199"/>
        <v>0</v>
      </c>
      <c r="P597" s="6">
        <f t="shared" si="200"/>
        <v>0</v>
      </c>
      <c r="Q597" s="6">
        <f t="shared" si="201"/>
        <v>0</v>
      </c>
      <c r="R597" s="6">
        <f t="shared" si="202"/>
        <v>0</v>
      </c>
      <c r="S597" s="6">
        <f t="shared" si="203"/>
        <v>0</v>
      </c>
      <c r="T597" s="6">
        <f t="shared" si="204"/>
        <v>0</v>
      </c>
      <c r="U597" s="6">
        <f t="shared" si="205"/>
        <v>0</v>
      </c>
      <c r="V597" s="6">
        <f t="shared" si="206"/>
        <v>0</v>
      </c>
      <c r="W597" s="6">
        <f t="shared" si="207"/>
        <v>0</v>
      </c>
      <c r="X597" s="6">
        <f t="shared" si="208"/>
        <v>0</v>
      </c>
      <c r="Y597" s="6">
        <f t="shared" si="209"/>
        <v>0</v>
      </c>
      <c r="Z597" s="6">
        <f t="shared" si="210"/>
        <v>0</v>
      </c>
      <c r="AB597" s="36" t="str">
        <f>IF(最佳化斷筋點!C597="","",最佳化斷筋點!C597)</f>
        <v>下層</v>
      </c>
      <c r="AC597" s="37">
        <f>IF(最佳化斷筋點!D597="","",最佳化斷筋點!D597)</f>
        <v>12</v>
      </c>
      <c r="AD597" s="37">
        <f>IF(最佳化斷筋點!E597="","",最佳化斷筋點!E597)</f>
        <v>12</v>
      </c>
      <c r="AE597" s="37">
        <f>IF(最佳化斷筋點!F597="","",最佳化斷筋點!F597)</f>
        <v>12</v>
      </c>
      <c r="AF597" s="37">
        <f>IF(最佳化斷筋點!G597="","",最佳化斷筋點!G597)</f>
        <v>12</v>
      </c>
      <c r="AG597" s="37">
        <f>IF(最佳化斷筋點!H597="","",最佳化斷筋點!H597)</f>
        <v>12</v>
      </c>
      <c r="AH597" s="37">
        <f>IF(最佳化斷筋點!I597="","",最佳化斷筋點!I597)</f>
        <v>11</v>
      </c>
      <c r="AI597" s="37">
        <f>IF(最佳化斷筋點!J597="","",最佳化斷筋點!J597)</f>
        <v>10</v>
      </c>
      <c r="AJ597" s="37">
        <f>IF(最佳化斷筋點!K597="","",最佳化斷筋點!K597)</f>
        <v>5</v>
      </c>
      <c r="AK597" s="37">
        <f>IF(最佳化斷筋點!L597="","",最佳化斷筋點!L597)</f>
        <v>5</v>
      </c>
      <c r="AL597" s="37">
        <f>IF(最佳化斷筋點!M597="","",最佳化斷筋點!M597)</f>
        <v>5</v>
      </c>
      <c r="AM597" s="37">
        <f>IF(最佳化斷筋點!N597="","",最佳化斷筋點!N597)</f>
        <v>5</v>
      </c>
      <c r="AN597" s="37">
        <f>IF(最佳化斷筋點!O597="","",最佳化斷筋點!O597)</f>
        <v>5</v>
      </c>
      <c r="AO597" s="37">
        <f>IF(最佳化斷筋點!P597="","",最佳化斷筋點!P597)</f>
        <v>5</v>
      </c>
      <c r="AP597" s="37">
        <f>IF(最佳化斷筋點!Q597="","",最佳化斷筋點!Q597)</f>
        <v>7</v>
      </c>
      <c r="AQ597" s="37">
        <f>IF(最佳化斷筋點!R597="","",最佳化斷筋點!R597)</f>
        <v>8</v>
      </c>
      <c r="AR597" s="37">
        <f>IF(最佳化斷筋點!S597="","",最佳化斷筋點!S597)</f>
        <v>9</v>
      </c>
      <c r="AS597" s="37">
        <f>IF(最佳化斷筋點!T597="","",最佳化斷筋點!T597)</f>
        <v>10</v>
      </c>
      <c r="AT597" s="37">
        <f>IF(最佳化斷筋點!U597="","",最佳化斷筋點!U597)</f>
        <v>10</v>
      </c>
      <c r="AU597" s="37">
        <f>IF(最佳化斷筋點!V597="","",最佳化斷筋點!V597)</f>
        <v>10</v>
      </c>
      <c r="AV597" s="37">
        <f>IF(最佳化斷筋點!W597="","",最佳化斷筋點!W597)</f>
        <v>10</v>
      </c>
      <c r="AW597" s="37">
        <f>IF(最佳化斷筋點!X597="","",最佳化斷筋點!X597)</f>
        <v>10</v>
      </c>
      <c r="AY597" s="6" t="s">
        <v>21</v>
      </c>
      <c r="AZ597" s="37">
        <v>12</v>
      </c>
      <c r="BA597" s="37">
        <v>12</v>
      </c>
      <c r="BB597" s="37">
        <v>12</v>
      </c>
      <c r="BC597" s="37">
        <v>12</v>
      </c>
      <c r="BD597" s="37">
        <v>12</v>
      </c>
      <c r="BE597" s="37">
        <v>11</v>
      </c>
      <c r="BF597" s="37">
        <v>10</v>
      </c>
      <c r="BG597" s="37">
        <v>5</v>
      </c>
      <c r="BH597" s="37">
        <v>5</v>
      </c>
      <c r="BI597" s="37">
        <v>5</v>
      </c>
      <c r="BJ597" s="37">
        <v>5</v>
      </c>
      <c r="BK597" s="37">
        <v>5</v>
      </c>
      <c r="BL597" s="37">
        <v>5</v>
      </c>
      <c r="BM597" s="37">
        <v>7</v>
      </c>
      <c r="BN597" s="37">
        <v>8</v>
      </c>
      <c r="BO597" s="37">
        <v>9</v>
      </c>
      <c r="BP597" s="37">
        <v>10</v>
      </c>
      <c r="BQ597" s="37">
        <v>10</v>
      </c>
      <c r="BR597" s="37">
        <v>10</v>
      </c>
      <c r="BS597" s="37">
        <v>10</v>
      </c>
      <c r="BT597" s="37">
        <v>10</v>
      </c>
    </row>
    <row r="598" spans="5:72" x14ac:dyDescent="0.25">
      <c r="F598" s="6">
        <f t="shared" si="190"/>
        <v>0</v>
      </c>
      <c r="G598" s="6">
        <f t="shared" si="191"/>
        <v>0</v>
      </c>
      <c r="H598" s="6">
        <f t="shared" si="192"/>
        <v>0</v>
      </c>
      <c r="I598" s="6">
        <f t="shared" si="193"/>
        <v>0</v>
      </c>
      <c r="J598" s="6">
        <f t="shared" si="194"/>
        <v>0</v>
      </c>
      <c r="K598" s="6">
        <f t="shared" si="195"/>
        <v>0</v>
      </c>
      <c r="L598" s="6">
        <f t="shared" si="196"/>
        <v>0</v>
      </c>
      <c r="M598" s="6">
        <f t="shared" si="197"/>
        <v>0</v>
      </c>
      <c r="N598" s="6">
        <f t="shared" si="198"/>
        <v>0</v>
      </c>
      <c r="O598" s="6">
        <f t="shared" si="199"/>
        <v>0</v>
      </c>
      <c r="P598" s="6">
        <f t="shared" si="200"/>
        <v>0</v>
      </c>
      <c r="Q598" s="6">
        <f t="shared" si="201"/>
        <v>0</v>
      </c>
      <c r="R598" s="6">
        <f t="shared" si="202"/>
        <v>0</v>
      </c>
      <c r="S598" s="6">
        <f t="shared" si="203"/>
        <v>0</v>
      </c>
      <c r="T598" s="6">
        <f t="shared" si="204"/>
        <v>0</v>
      </c>
      <c r="U598" s="6">
        <f t="shared" si="205"/>
        <v>0</v>
      </c>
      <c r="V598" s="6">
        <f t="shared" si="206"/>
        <v>0</v>
      </c>
      <c r="W598" s="6">
        <f t="shared" si="207"/>
        <v>0</v>
      </c>
      <c r="X598" s="6">
        <f t="shared" si="208"/>
        <v>0</v>
      </c>
      <c r="Y598" s="6">
        <f t="shared" si="209"/>
        <v>0</v>
      </c>
      <c r="Z598" s="6">
        <f t="shared" si="210"/>
        <v>0</v>
      </c>
      <c r="AB598" s="36" t="str">
        <f>IF(最佳化斷筋點!C598="","",最佳化斷筋點!C598)</f>
        <v/>
      </c>
      <c r="AC598" s="37" t="str">
        <f>IF(最佳化斷筋點!D598="","",最佳化斷筋點!D598)</f>
        <v/>
      </c>
      <c r="AD598" s="37" t="str">
        <f>IF(最佳化斷筋點!E598="","",最佳化斷筋點!E598)</f>
        <v/>
      </c>
      <c r="AE598" s="37" t="str">
        <f>IF(最佳化斷筋點!F598="","",最佳化斷筋點!F598)</f>
        <v/>
      </c>
      <c r="AF598" s="37" t="str">
        <f>IF(最佳化斷筋點!G598="","",最佳化斷筋點!G598)</f>
        <v/>
      </c>
      <c r="AG598" s="37" t="str">
        <f>IF(最佳化斷筋點!H598="","",最佳化斷筋點!H598)</f>
        <v/>
      </c>
      <c r="AH598" s="37" t="str">
        <f>IF(最佳化斷筋點!I598="","",最佳化斷筋點!I598)</f>
        <v/>
      </c>
      <c r="AI598" s="37" t="str">
        <f>IF(最佳化斷筋點!J598="","",最佳化斷筋點!J598)</f>
        <v/>
      </c>
      <c r="AJ598" s="37" t="str">
        <f>IF(最佳化斷筋點!K598="","",最佳化斷筋點!K598)</f>
        <v/>
      </c>
      <c r="AK598" s="37" t="str">
        <f>IF(最佳化斷筋點!L598="","",最佳化斷筋點!L598)</f>
        <v/>
      </c>
      <c r="AL598" s="37" t="str">
        <f>IF(最佳化斷筋點!M598="","",最佳化斷筋點!M598)</f>
        <v/>
      </c>
      <c r="AM598" s="37" t="str">
        <f>IF(最佳化斷筋點!N598="","",最佳化斷筋點!N598)</f>
        <v/>
      </c>
      <c r="AN598" s="37" t="str">
        <f>IF(最佳化斷筋點!O598="","",最佳化斷筋點!O598)</f>
        <v/>
      </c>
      <c r="AO598" s="37" t="str">
        <f>IF(最佳化斷筋點!P598="","",最佳化斷筋點!P598)</f>
        <v/>
      </c>
      <c r="AP598" s="37" t="str">
        <f>IF(最佳化斷筋點!Q598="","",最佳化斷筋點!Q598)</f>
        <v/>
      </c>
      <c r="AQ598" s="37" t="str">
        <f>IF(最佳化斷筋點!R598="","",最佳化斷筋點!R598)</f>
        <v/>
      </c>
      <c r="AR598" s="37" t="str">
        <f>IF(最佳化斷筋點!S598="","",最佳化斷筋點!S598)</f>
        <v/>
      </c>
      <c r="AS598" s="37" t="str">
        <f>IF(最佳化斷筋點!T598="","",最佳化斷筋點!T598)</f>
        <v/>
      </c>
      <c r="AT598" s="37" t="str">
        <f>IF(最佳化斷筋點!U598="","",最佳化斷筋點!U598)</f>
        <v/>
      </c>
      <c r="AU598" s="37" t="str">
        <f>IF(最佳化斷筋點!V598="","",最佳化斷筋點!V598)</f>
        <v/>
      </c>
      <c r="AV598" s="37" t="str">
        <f>IF(最佳化斷筋點!W598="","",最佳化斷筋點!W598)</f>
        <v/>
      </c>
      <c r="AW598" s="37" t="str">
        <f>IF(最佳化斷筋點!X598="","",最佳化斷筋點!X598)</f>
        <v/>
      </c>
      <c r="AZ598" s="37" t="s">
        <v>197</v>
      </c>
      <c r="BA598" s="37" t="s">
        <v>197</v>
      </c>
      <c r="BB598" s="37" t="s">
        <v>197</v>
      </c>
      <c r="BC598" s="37" t="s">
        <v>197</v>
      </c>
      <c r="BD598" s="37" t="s">
        <v>197</v>
      </c>
      <c r="BE598" s="37" t="s">
        <v>197</v>
      </c>
      <c r="BF598" s="37" t="s">
        <v>197</v>
      </c>
      <c r="BG598" s="37" t="s">
        <v>197</v>
      </c>
      <c r="BH598" s="37" t="s">
        <v>197</v>
      </c>
      <c r="BI598" s="37" t="s">
        <v>197</v>
      </c>
      <c r="BJ598" s="37" t="s">
        <v>197</v>
      </c>
      <c r="BK598" s="37" t="s">
        <v>197</v>
      </c>
      <c r="BL598" s="37" t="s">
        <v>197</v>
      </c>
      <c r="BM598" s="37" t="s">
        <v>197</v>
      </c>
      <c r="BN598" s="37" t="s">
        <v>197</v>
      </c>
      <c r="BO598" s="37" t="s">
        <v>197</v>
      </c>
      <c r="BP598" s="37" t="s">
        <v>197</v>
      </c>
      <c r="BQ598" s="37" t="s">
        <v>197</v>
      </c>
      <c r="BR598" s="37" t="s">
        <v>197</v>
      </c>
      <c r="BS598" s="37" t="s">
        <v>197</v>
      </c>
      <c r="BT598" s="37" t="s">
        <v>197</v>
      </c>
    </row>
    <row r="599" spans="5:72" x14ac:dyDescent="0.25">
      <c r="E599" s="6" t="s">
        <v>20</v>
      </c>
      <c r="F599" s="6">
        <f t="shared" si="190"/>
        <v>0</v>
      </c>
      <c r="G599" s="6">
        <f t="shared" si="191"/>
        <v>0</v>
      </c>
      <c r="H599" s="6">
        <f t="shared" si="192"/>
        <v>0</v>
      </c>
      <c r="I599" s="6">
        <f t="shared" si="193"/>
        <v>0</v>
      </c>
      <c r="J599" s="6">
        <f t="shared" si="194"/>
        <v>0</v>
      </c>
      <c r="K599" s="6">
        <f t="shared" si="195"/>
        <v>0</v>
      </c>
      <c r="L599" s="6">
        <f t="shared" si="196"/>
        <v>0</v>
      </c>
      <c r="M599" s="6">
        <f t="shared" si="197"/>
        <v>0</v>
      </c>
      <c r="N599" s="6">
        <f t="shared" si="198"/>
        <v>0</v>
      </c>
      <c r="O599" s="6">
        <f t="shared" si="199"/>
        <v>0</v>
      </c>
      <c r="P599" s="6">
        <f t="shared" si="200"/>
        <v>0</v>
      </c>
      <c r="Q599" s="6">
        <f t="shared" si="201"/>
        <v>0</v>
      </c>
      <c r="R599" s="6">
        <f t="shared" si="202"/>
        <v>0</v>
      </c>
      <c r="S599" s="6">
        <f t="shared" si="203"/>
        <v>0</v>
      </c>
      <c r="T599" s="6">
        <f t="shared" si="204"/>
        <v>0</v>
      </c>
      <c r="U599" s="6">
        <f t="shared" si="205"/>
        <v>0</v>
      </c>
      <c r="V599" s="6">
        <f t="shared" si="206"/>
        <v>0</v>
      </c>
      <c r="W599" s="6">
        <f t="shared" si="207"/>
        <v>0</v>
      </c>
      <c r="X599" s="6">
        <f t="shared" si="208"/>
        <v>0</v>
      </c>
      <c r="Y599" s="6">
        <f t="shared" si="209"/>
        <v>0</v>
      </c>
      <c r="Z599" s="6">
        <f t="shared" si="210"/>
        <v>0</v>
      </c>
      <c r="AB599" s="36" t="str">
        <f>IF(最佳化斷筋點!C599="","",最佳化斷筋點!C599)</f>
        <v>上層</v>
      </c>
      <c r="AC599" s="37">
        <f>IF(最佳化斷筋點!D599="","",最佳化斷筋點!D599)</f>
        <v>9</v>
      </c>
      <c r="AD599" s="37">
        <f>IF(最佳化斷筋點!E599="","",最佳化斷筋點!E599)</f>
        <v>9</v>
      </c>
      <c r="AE599" s="37">
        <f>IF(最佳化斷筋點!F599="","",最佳化斷筋點!F599)</f>
        <v>9</v>
      </c>
      <c r="AF599" s="37">
        <f>IF(最佳化斷筋點!G599="","",最佳化斷筋點!G599)</f>
        <v>9</v>
      </c>
      <c r="AG599" s="37">
        <f>IF(最佳化斷筋點!H599="","",最佳化斷筋點!H599)</f>
        <v>9</v>
      </c>
      <c r="AH599" s="37">
        <f>IF(最佳化斷筋點!I599="","",最佳化斷筋點!I599)</f>
        <v>9</v>
      </c>
      <c r="AI599" s="37">
        <f>IF(最佳化斷筋點!J599="","",最佳化斷筋點!J599)</f>
        <v>9</v>
      </c>
      <c r="AJ599" s="37">
        <f>IF(最佳化斷筋點!K599="","",最佳化斷筋點!K599)</f>
        <v>3</v>
      </c>
      <c r="AK599" s="37">
        <f>IF(最佳化斷筋點!L599="","",最佳化斷筋點!L599)</f>
        <v>3</v>
      </c>
      <c r="AL599" s="37">
        <f>IF(最佳化斷筋點!M599="","",最佳化斷筋點!M599)</f>
        <v>3</v>
      </c>
      <c r="AM599" s="37">
        <f>IF(最佳化斷筋點!N599="","",最佳化斷筋點!N599)</f>
        <v>3</v>
      </c>
      <c r="AN599" s="37">
        <f>IF(最佳化斷筋點!O599="","",最佳化斷筋點!O599)</f>
        <v>3</v>
      </c>
      <c r="AO599" s="37">
        <f>IF(最佳化斷筋點!P599="","",最佳化斷筋點!P599)</f>
        <v>3</v>
      </c>
      <c r="AP599" s="37">
        <f>IF(最佳化斷筋點!Q599="","",最佳化斷筋點!Q599)</f>
        <v>7</v>
      </c>
      <c r="AQ599" s="37">
        <f>IF(最佳化斷筋點!R599="","",最佳化斷筋點!R599)</f>
        <v>8</v>
      </c>
      <c r="AR599" s="37">
        <f>IF(最佳化斷筋點!S599="","",最佳化斷筋點!S599)</f>
        <v>8</v>
      </c>
      <c r="AS599" s="37">
        <f>IF(最佳化斷筋點!T599="","",最佳化斷筋點!T599)</f>
        <v>8</v>
      </c>
      <c r="AT599" s="37">
        <f>IF(最佳化斷筋點!U599="","",最佳化斷筋點!U599)</f>
        <v>8</v>
      </c>
      <c r="AU599" s="37">
        <f>IF(最佳化斷筋點!V599="","",最佳化斷筋點!V599)</f>
        <v>8</v>
      </c>
      <c r="AV599" s="37">
        <f>IF(最佳化斷筋點!W599="","",最佳化斷筋點!W599)</f>
        <v>8</v>
      </c>
      <c r="AW599" s="37">
        <f>IF(最佳化斷筋點!X599="","",最佳化斷筋點!X599)</f>
        <v>8</v>
      </c>
      <c r="AY599" s="6" t="s">
        <v>20</v>
      </c>
      <c r="AZ599" s="37">
        <v>9</v>
      </c>
      <c r="BA599" s="37">
        <v>9</v>
      </c>
      <c r="BB599" s="37">
        <v>9</v>
      </c>
      <c r="BC599" s="37">
        <v>9</v>
      </c>
      <c r="BD599" s="37">
        <v>9</v>
      </c>
      <c r="BE599" s="37">
        <v>9</v>
      </c>
      <c r="BF599" s="37">
        <v>9</v>
      </c>
      <c r="BG599" s="37">
        <v>3</v>
      </c>
      <c r="BH599" s="37">
        <v>3</v>
      </c>
      <c r="BI599" s="37">
        <v>3</v>
      </c>
      <c r="BJ599" s="37">
        <v>3</v>
      </c>
      <c r="BK599" s="37">
        <v>3</v>
      </c>
      <c r="BL599" s="37">
        <v>3</v>
      </c>
      <c r="BM599" s="37">
        <v>7</v>
      </c>
      <c r="BN599" s="37">
        <v>8</v>
      </c>
      <c r="BO599" s="37">
        <v>8</v>
      </c>
      <c r="BP599" s="37">
        <v>8</v>
      </c>
      <c r="BQ599" s="37">
        <v>8</v>
      </c>
      <c r="BR599" s="37">
        <v>8</v>
      </c>
      <c r="BS599" s="37">
        <v>8</v>
      </c>
      <c r="BT599" s="37">
        <v>8</v>
      </c>
    </row>
    <row r="600" spans="5:72" x14ac:dyDescent="0.25">
      <c r="F600" s="6">
        <f t="shared" si="190"/>
        <v>0</v>
      </c>
      <c r="G600" s="6">
        <f t="shared" si="191"/>
        <v>0</v>
      </c>
      <c r="H600" s="6">
        <f t="shared" si="192"/>
        <v>0</v>
      </c>
      <c r="I600" s="6">
        <f t="shared" si="193"/>
        <v>0</v>
      </c>
      <c r="J600" s="6">
        <f t="shared" si="194"/>
        <v>0</v>
      </c>
      <c r="K600" s="6">
        <f t="shared" si="195"/>
        <v>0</v>
      </c>
      <c r="L600" s="6">
        <f t="shared" si="196"/>
        <v>0</v>
      </c>
      <c r="M600" s="6">
        <f t="shared" si="197"/>
        <v>0</v>
      </c>
      <c r="N600" s="6">
        <f t="shared" si="198"/>
        <v>0</v>
      </c>
      <c r="O600" s="6">
        <f t="shared" si="199"/>
        <v>0</v>
      </c>
      <c r="P600" s="6">
        <f t="shared" si="200"/>
        <v>0</v>
      </c>
      <c r="Q600" s="6">
        <f t="shared" si="201"/>
        <v>0</v>
      </c>
      <c r="R600" s="6">
        <f t="shared" si="202"/>
        <v>0</v>
      </c>
      <c r="S600" s="6">
        <f t="shared" si="203"/>
        <v>0</v>
      </c>
      <c r="T600" s="6">
        <f t="shared" si="204"/>
        <v>0</v>
      </c>
      <c r="U600" s="6">
        <f t="shared" si="205"/>
        <v>0</v>
      </c>
      <c r="V600" s="6">
        <f t="shared" si="206"/>
        <v>0</v>
      </c>
      <c r="W600" s="6">
        <f t="shared" si="207"/>
        <v>0</v>
      </c>
      <c r="X600" s="6">
        <f t="shared" si="208"/>
        <v>0</v>
      </c>
      <c r="Y600" s="6">
        <f t="shared" si="209"/>
        <v>0</v>
      </c>
      <c r="Z600" s="6">
        <f t="shared" si="210"/>
        <v>0</v>
      </c>
      <c r="AB600" s="36" t="str">
        <f>IF(最佳化斷筋點!C600="","",最佳化斷筋點!C600)</f>
        <v/>
      </c>
      <c r="AC600" s="37" t="str">
        <f>IF(最佳化斷筋點!D600="","",最佳化斷筋點!D600)</f>
        <v/>
      </c>
      <c r="AD600" s="37" t="str">
        <f>IF(最佳化斷筋點!E600="","",最佳化斷筋點!E600)</f>
        <v/>
      </c>
      <c r="AE600" s="37" t="str">
        <f>IF(最佳化斷筋點!F600="","",最佳化斷筋點!F600)</f>
        <v/>
      </c>
      <c r="AF600" s="37" t="str">
        <f>IF(最佳化斷筋點!G600="","",最佳化斷筋點!G600)</f>
        <v/>
      </c>
      <c r="AG600" s="37" t="str">
        <f>IF(最佳化斷筋點!H600="","",最佳化斷筋點!H600)</f>
        <v/>
      </c>
      <c r="AH600" s="37" t="str">
        <f>IF(最佳化斷筋點!I600="","",最佳化斷筋點!I600)</f>
        <v/>
      </c>
      <c r="AI600" s="37" t="str">
        <f>IF(最佳化斷筋點!J600="","",最佳化斷筋點!J600)</f>
        <v/>
      </c>
      <c r="AJ600" s="37" t="str">
        <f>IF(最佳化斷筋點!K600="","",最佳化斷筋點!K600)</f>
        <v/>
      </c>
      <c r="AK600" s="37" t="str">
        <f>IF(最佳化斷筋點!L600="","",最佳化斷筋點!L600)</f>
        <v/>
      </c>
      <c r="AL600" s="37" t="str">
        <f>IF(最佳化斷筋點!M600="","",最佳化斷筋點!M600)</f>
        <v/>
      </c>
      <c r="AM600" s="37" t="str">
        <f>IF(最佳化斷筋點!N600="","",最佳化斷筋點!N600)</f>
        <v/>
      </c>
      <c r="AN600" s="37" t="str">
        <f>IF(最佳化斷筋點!O600="","",最佳化斷筋點!O600)</f>
        <v/>
      </c>
      <c r="AO600" s="37" t="str">
        <f>IF(最佳化斷筋點!P600="","",最佳化斷筋點!P600)</f>
        <v/>
      </c>
      <c r="AP600" s="37" t="str">
        <f>IF(最佳化斷筋點!Q600="","",最佳化斷筋點!Q600)</f>
        <v/>
      </c>
      <c r="AQ600" s="37" t="str">
        <f>IF(最佳化斷筋點!R600="","",最佳化斷筋點!R600)</f>
        <v/>
      </c>
      <c r="AR600" s="37" t="str">
        <f>IF(最佳化斷筋點!S600="","",最佳化斷筋點!S600)</f>
        <v/>
      </c>
      <c r="AS600" s="37" t="str">
        <f>IF(最佳化斷筋點!T600="","",最佳化斷筋點!T600)</f>
        <v/>
      </c>
      <c r="AT600" s="37" t="str">
        <f>IF(最佳化斷筋點!U600="","",最佳化斷筋點!U600)</f>
        <v/>
      </c>
      <c r="AU600" s="37" t="str">
        <f>IF(最佳化斷筋點!V600="","",最佳化斷筋點!V600)</f>
        <v/>
      </c>
      <c r="AV600" s="37" t="str">
        <f>IF(最佳化斷筋點!W600="","",最佳化斷筋點!W600)</f>
        <v/>
      </c>
      <c r="AW600" s="37" t="str">
        <f>IF(最佳化斷筋點!X600="","",最佳化斷筋點!X600)</f>
        <v/>
      </c>
      <c r="AZ600" s="37" t="s">
        <v>197</v>
      </c>
      <c r="BA600" s="37" t="s">
        <v>197</v>
      </c>
      <c r="BB600" s="37" t="s">
        <v>197</v>
      </c>
      <c r="BC600" s="37" t="s">
        <v>197</v>
      </c>
      <c r="BD600" s="37" t="s">
        <v>197</v>
      </c>
      <c r="BE600" s="37" t="s">
        <v>197</v>
      </c>
      <c r="BF600" s="37" t="s">
        <v>197</v>
      </c>
      <c r="BG600" s="37" t="s">
        <v>197</v>
      </c>
      <c r="BH600" s="37" t="s">
        <v>197</v>
      </c>
      <c r="BI600" s="37" t="s">
        <v>197</v>
      </c>
      <c r="BJ600" s="37" t="s">
        <v>197</v>
      </c>
      <c r="BK600" s="37" t="s">
        <v>197</v>
      </c>
      <c r="BL600" s="37" t="s">
        <v>197</v>
      </c>
      <c r="BM600" s="37" t="s">
        <v>197</v>
      </c>
      <c r="BN600" s="37" t="s">
        <v>197</v>
      </c>
      <c r="BO600" s="37" t="s">
        <v>197</v>
      </c>
      <c r="BP600" s="37" t="s">
        <v>197</v>
      </c>
      <c r="BQ600" s="37" t="s">
        <v>197</v>
      </c>
      <c r="BR600" s="37" t="s">
        <v>197</v>
      </c>
      <c r="BS600" s="37" t="s">
        <v>197</v>
      </c>
      <c r="BT600" s="37" t="s">
        <v>197</v>
      </c>
    </row>
    <row r="601" spans="5:72" x14ac:dyDescent="0.25">
      <c r="E601" s="6" t="s">
        <v>21</v>
      </c>
      <c r="F601" s="6">
        <f t="shared" si="190"/>
        <v>0</v>
      </c>
      <c r="G601" s="6">
        <f t="shared" si="191"/>
        <v>0</v>
      </c>
      <c r="H601" s="6">
        <f t="shared" si="192"/>
        <v>0</v>
      </c>
      <c r="I601" s="6">
        <f t="shared" si="193"/>
        <v>0</v>
      </c>
      <c r="J601" s="6">
        <f t="shared" si="194"/>
        <v>0</v>
      </c>
      <c r="K601" s="6">
        <f t="shared" si="195"/>
        <v>0</v>
      </c>
      <c r="L601" s="6">
        <f t="shared" si="196"/>
        <v>0</v>
      </c>
      <c r="M601" s="6">
        <f t="shared" si="197"/>
        <v>0</v>
      </c>
      <c r="N601" s="6">
        <f t="shared" si="198"/>
        <v>0</v>
      </c>
      <c r="O601" s="6">
        <f t="shared" si="199"/>
        <v>0</v>
      </c>
      <c r="P601" s="6">
        <f t="shared" si="200"/>
        <v>0</v>
      </c>
      <c r="Q601" s="6">
        <f t="shared" si="201"/>
        <v>0</v>
      </c>
      <c r="R601" s="6">
        <f t="shared" si="202"/>
        <v>0</v>
      </c>
      <c r="S601" s="6">
        <f t="shared" si="203"/>
        <v>0</v>
      </c>
      <c r="T601" s="6">
        <f t="shared" si="204"/>
        <v>0</v>
      </c>
      <c r="U601" s="6">
        <f t="shared" si="205"/>
        <v>0</v>
      </c>
      <c r="V601" s="6">
        <f t="shared" si="206"/>
        <v>0</v>
      </c>
      <c r="W601" s="6">
        <f t="shared" si="207"/>
        <v>0</v>
      </c>
      <c r="X601" s="6">
        <f t="shared" si="208"/>
        <v>0</v>
      </c>
      <c r="Y601" s="6">
        <f t="shared" si="209"/>
        <v>0</v>
      </c>
      <c r="Z601" s="6">
        <f t="shared" si="210"/>
        <v>0</v>
      </c>
      <c r="AB601" s="36" t="str">
        <f>IF(最佳化斷筋點!C601="","",最佳化斷筋點!C601)</f>
        <v>下層</v>
      </c>
      <c r="AC601" s="37">
        <f>IF(最佳化斷筋點!D601="","",最佳化斷筋點!D601)</f>
        <v>11</v>
      </c>
      <c r="AD601" s="37">
        <f>IF(最佳化斷筋點!E601="","",最佳化斷筋點!E601)</f>
        <v>11</v>
      </c>
      <c r="AE601" s="37">
        <f>IF(最佳化斷筋點!F601="","",最佳化斷筋點!F601)</f>
        <v>11</v>
      </c>
      <c r="AF601" s="37">
        <f>IF(最佳化斷筋點!G601="","",最佳化斷筋點!G601)</f>
        <v>11</v>
      </c>
      <c r="AG601" s="37">
        <f>IF(最佳化斷筋點!H601="","",最佳化斷筋點!H601)</f>
        <v>11</v>
      </c>
      <c r="AH601" s="37">
        <f>IF(最佳化斷筋點!I601="","",最佳化斷筋點!I601)</f>
        <v>10</v>
      </c>
      <c r="AI601" s="37">
        <f>IF(最佳化斷筋點!J601="","",最佳化斷筋點!J601)</f>
        <v>9</v>
      </c>
      <c r="AJ601" s="37">
        <f>IF(最佳化斷筋點!K601="","",最佳化斷筋點!K601)</f>
        <v>5</v>
      </c>
      <c r="AK601" s="37">
        <f>IF(最佳化斷筋點!L601="","",最佳化斷筋點!L601)</f>
        <v>5</v>
      </c>
      <c r="AL601" s="37">
        <f>IF(最佳化斷筋點!M601="","",最佳化斷筋點!M601)</f>
        <v>5</v>
      </c>
      <c r="AM601" s="37">
        <f>IF(最佳化斷筋點!N601="","",最佳化斷筋點!N601)</f>
        <v>5</v>
      </c>
      <c r="AN601" s="37">
        <f>IF(最佳化斷筋點!O601="","",最佳化斷筋點!O601)</f>
        <v>5</v>
      </c>
      <c r="AO601" s="37">
        <f>IF(最佳化斷筋點!P601="","",最佳化斷筋點!P601)</f>
        <v>5</v>
      </c>
      <c r="AP601" s="37">
        <f>IF(最佳化斷筋點!Q601="","",最佳化斷筋點!Q601)</f>
        <v>8</v>
      </c>
      <c r="AQ601" s="37">
        <f>IF(最佳化斷筋點!R601="","",最佳化斷筋點!R601)</f>
        <v>9</v>
      </c>
      <c r="AR601" s="37">
        <f>IF(最佳化斷筋點!S601="","",最佳化斷筋點!S601)</f>
        <v>10</v>
      </c>
      <c r="AS601" s="37">
        <f>IF(最佳化斷筋點!T601="","",最佳化斷筋點!T601)</f>
        <v>11</v>
      </c>
      <c r="AT601" s="37">
        <f>IF(最佳化斷筋點!U601="","",最佳化斷筋點!U601)</f>
        <v>11</v>
      </c>
      <c r="AU601" s="37">
        <f>IF(最佳化斷筋點!V601="","",最佳化斷筋點!V601)</f>
        <v>11</v>
      </c>
      <c r="AV601" s="37">
        <f>IF(最佳化斷筋點!W601="","",最佳化斷筋點!W601)</f>
        <v>11</v>
      </c>
      <c r="AW601" s="37">
        <f>IF(最佳化斷筋點!X601="","",最佳化斷筋點!X601)</f>
        <v>11</v>
      </c>
      <c r="AY601" s="6" t="s">
        <v>21</v>
      </c>
      <c r="AZ601" s="37">
        <v>11</v>
      </c>
      <c r="BA601" s="37">
        <v>11</v>
      </c>
      <c r="BB601" s="37">
        <v>11</v>
      </c>
      <c r="BC601" s="37">
        <v>11</v>
      </c>
      <c r="BD601" s="37">
        <v>11</v>
      </c>
      <c r="BE601" s="37">
        <v>10</v>
      </c>
      <c r="BF601" s="37">
        <v>9</v>
      </c>
      <c r="BG601" s="37">
        <v>5</v>
      </c>
      <c r="BH601" s="37">
        <v>5</v>
      </c>
      <c r="BI601" s="37">
        <v>5</v>
      </c>
      <c r="BJ601" s="37">
        <v>5</v>
      </c>
      <c r="BK601" s="37">
        <v>5</v>
      </c>
      <c r="BL601" s="37">
        <v>5</v>
      </c>
      <c r="BM601" s="37">
        <v>8</v>
      </c>
      <c r="BN601" s="37">
        <v>9</v>
      </c>
      <c r="BO601" s="37">
        <v>10</v>
      </c>
      <c r="BP601" s="37">
        <v>11</v>
      </c>
      <c r="BQ601" s="37">
        <v>11</v>
      </c>
      <c r="BR601" s="37">
        <v>11</v>
      </c>
      <c r="BS601" s="37">
        <v>11</v>
      </c>
      <c r="BT601" s="37">
        <v>11</v>
      </c>
    </row>
    <row r="602" spans="5:72" x14ac:dyDescent="0.25">
      <c r="F602" s="6">
        <f t="shared" si="190"/>
        <v>0</v>
      </c>
      <c r="G602" s="6">
        <f t="shared" si="191"/>
        <v>0</v>
      </c>
      <c r="H602" s="6">
        <f t="shared" si="192"/>
        <v>0</v>
      </c>
      <c r="I602" s="6">
        <f t="shared" si="193"/>
        <v>0</v>
      </c>
      <c r="J602" s="6">
        <f t="shared" si="194"/>
        <v>0</v>
      </c>
      <c r="K602" s="6">
        <f t="shared" si="195"/>
        <v>0</v>
      </c>
      <c r="L602" s="6">
        <f t="shared" si="196"/>
        <v>0</v>
      </c>
      <c r="M602" s="6">
        <f t="shared" si="197"/>
        <v>0</v>
      </c>
      <c r="N602" s="6">
        <f t="shared" si="198"/>
        <v>0</v>
      </c>
      <c r="O602" s="6">
        <f t="shared" si="199"/>
        <v>0</v>
      </c>
      <c r="P602" s="6">
        <f t="shared" si="200"/>
        <v>0</v>
      </c>
      <c r="Q602" s="6">
        <f t="shared" si="201"/>
        <v>0</v>
      </c>
      <c r="R602" s="6">
        <f t="shared" si="202"/>
        <v>0</v>
      </c>
      <c r="S602" s="6">
        <f t="shared" si="203"/>
        <v>0</v>
      </c>
      <c r="T602" s="6">
        <f t="shared" si="204"/>
        <v>0</v>
      </c>
      <c r="U602" s="6">
        <f t="shared" si="205"/>
        <v>0</v>
      </c>
      <c r="V602" s="6">
        <f t="shared" si="206"/>
        <v>0</v>
      </c>
      <c r="W602" s="6">
        <f t="shared" si="207"/>
        <v>0</v>
      </c>
      <c r="X602" s="6">
        <f t="shared" si="208"/>
        <v>0</v>
      </c>
      <c r="Y602" s="6">
        <f t="shared" si="209"/>
        <v>0</v>
      </c>
      <c r="Z602" s="6">
        <f t="shared" si="210"/>
        <v>0</v>
      </c>
      <c r="AB602" s="36" t="str">
        <f>IF(最佳化斷筋點!C602="","",最佳化斷筋點!C602)</f>
        <v/>
      </c>
      <c r="AC602" s="37" t="str">
        <f>IF(最佳化斷筋點!D602="","",最佳化斷筋點!D602)</f>
        <v/>
      </c>
      <c r="AD602" s="37" t="str">
        <f>IF(最佳化斷筋點!E602="","",最佳化斷筋點!E602)</f>
        <v/>
      </c>
      <c r="AE602" s="37" t="str">
        <f>IF(最佳化斷筋點!F602="","",最佳化斷筋點!F602)</f>
        <v/>
      </c>
      <c r="AF602" s="37" t="str">
        <f>IF(最佳化斷筋點!G602="","",最佳化斷筋點!G602)</f>
        <v/>
      </c>
      <c r="AG602" s="37" t="str">
        <f>IF(最佳化斷筋點!H602="","",最佳化斷筋點!H602)</f>
        <v/>
      </c>
      <c r="AH602" s="37" t="str">
        <f>IF(最佳化斷筋點!I602="","",最佳化斷筋點!I602)</f>
        <v/>
      </c>
      <c r="AI602" s="37" t="str">
        <f>IF(最佳化斷筋點!J602="","",最佳化斷筋點!J602)</f>
        <v/>
      </c>
      <c r="AJ602" s="37" t="str">
        <f>IF(最佳化斷筋點!K602="","",最佳化斷筋點!K602)</f>
        <v/>
      </c>
      <c r="AK602" s="37" t="str">
        <f>IF(最佳化斷筋點!L602="","",最佳化斷筋點!L602)</f>
        <v/>
      </c>
      <c r="AL602" s="37" t="str">
        <f>IF(最佳化斷筋點!M602="","",最佳化斷筋點!M602)</f>
        <v/>
      </c>
      <c r="AM602" s="37" t="str">
        <f>IF(最佳化斷筋點!N602="","",最佳化斷筋點!N602)</f>
        <v/>
      </c>
      <c r="AN602" s="37" t="str">
        <f>IF(最佳化斷筋點!O602="","",最佳化斷筋點!O602)</f>
        <v/>
      </c>
      <c r="AO602" s="37" t="str">
        <f>IF(最佳化斷筋點!P602="","",最佳化斷筋點!P602)</f>
        <v/>
      </c>
      <c r="AP602" s="37" t="str">
        <f>IF(最佳化斷筋點!Q602="","",最佳化斷筋點!Q602)</f>
        <v/>
      </c>
      <c r="AQ602" s="37" t="str">
        <f>IF(最佳化斷筋點!R602="","",最佳化斷筋點!R602)</f>
        <v/>
      </c>
      <c r="AR602" s="37" t="str">
        <f>IF(最佳化斷筋點!S602="","",最佳化斷筋點!S602)</f>
        <v/>
      </c>
      <c r="AS602" s="37" t="str">
        <f>IF(最佳化斷筋點!T602="","",最佳化斷筋點!T602)</f>
        <v/>
      </c>
      <c r="AT602" s="37" t="str">
        <f>IF(最佳化斷筋點!U602="","",最佳化斷筋點!U602)</f>
        <v/>
      </c>
      <c r="AU602" s="37" t="str">
        <f>IF(最佳化斷筋點!V602="","",最佳化斷筋點!V602)</f>
        <v/>
      </c>
      <c r="AV602" s="37" t="str">
        <f>IF(最佳化斷筋點!W602="","",最佳化斷筋點!W602)</f>
        <v/>
      </c>
      <c r="AW602" s="37" t="str">
        <f>IF(最佳化斷筋點!X602="","",最佳化斷筋點!X602)</f>
        <v/>
      </c>
      <c r="AZ602" s="37" t="s">
        <v>197</v>
      </c>
      <c r="BA602" s="37" t="s">
        <v>197</v>
      </c>
      <c r="BB602" s="37" t="s">
        <v>197</v>
      </c>
      <c r="BC602" s="37" t="s">
        <v>197</v>
      </c>
      <c r="BD602" s="37" t="s">
        <v>197</v>
      </c>
      <c r="BE602" s="37" t="s">
        <v>197</v>
      </c>
      <c r="BF602" s="37" t="s">
        <v>197</v>
      </c>
      <c r="BG602" s="37" t="s">
        <v>197</v>
      </c>
      <c r="BH602" s="37" t="s">
        <v>197</v>
      </c>
      <c r="BI602" s="37" t="s">
        <v>197</v>
      </c>
      <c r="BJ602" s="37" t="s">
        <v>197</v>
      </c>
      <c r="BK602" s="37" t="s">
        <v>197</v>
      </c>
      <c r="BL602" s="37" t="s">
        <v>197</v>
      </c>
      <c r="BM602" s="37" t="s">
        <v>197</v>
      </c>
      <c r="BN602" s="37" t="s">
        <v>197</v>
      </c>
      <c r="BO602" s="37" t="s">
        <v>197</v>
      </c>
      <c r="BP602" s="37" t="s">
        <v>197</v>
      </c>
      <c r="BQ602" s="37" t="s">
        <v>197</v>
      </c>
      <c r="BR602" s="37" t="s">
        <v>197</v>
      </c>
      <c r="BS602" s="37" t="s">
        <v>197</v>
      </c>
      <c r="BT602" s="37" t="s">
        <v>197</v>
      </c>
    </row>
    <row r="603" spans="5:72" x14ac:dyDescent="0.25">
      <c r="E603" s="6" t="s">
        <v>20</v>
      </c>
      <c r="F603" s="6">
        <f t="shared" si="190"/>
        <v>0</v>
      </c>
      <c r="G603" s="6">
        <f t="shared" si="191"/>
        <v>0</v>
      </c>
      <c r="H603" s="6">
        <f t="shared" si="192"/>
        <v>0</v>
      </c>
      <c r="I603" s="6">
        <f t="shared" si="193"/>
        <v>0</v>
      </c>
      <c r="J603" s="6">
        <f t="shared" si="194"/>
        <v>0</v>
      </c>
      <c r="K603" s="6">
        <f t="shared" si="195"/>
        <v>0</v>
      </c>
      <c r="L603" s="6">
        <f t="shared" si="196"/>
        <v>0</v>
      </c>
      <c r="M603" s="6">
        <f t="shared" si="197"/>
        <v>0</v>
      </c>
      <c r="N603" s="6">
        <f t="shared" si="198"/>
        <v>0</v>
      </c>
      <c r="O603" s="6">
        <f t="shared" si="199"/>
        <v>0</v>
      </c>
      <c r="P603" s="6">
        <f t="shared" si="200"/>
        <v>0</v>
      </c>
      <c r="Q603" s="6">
        <f t="shared" si="201"/>
        <v>0</v>
      </c>
      <c r="R603" s="6">
        <f t="shared" si="202"/>
        <v>0</v>
      </c>
      <c r="S603" s="6">
        <f t="shared" si="203"/>
        <v>0</v>
      </c>
      <c r="T603" s="6">
        <f t="shared" si="204"/>
        <v>0</v>
      </c>
      <c r="U603" s="6">
        <f t="shared" si="205"/>
        <v>0</v>
      </c>
      <c r="V603" s="6">
        <f t="shared" si="206"/>
        <v>0</v>
      </c>
      <c r="W603" s="6">
        <f t="shared" si="207"/>
        <v>0</v>
      </c>
      <c r="X603" s="6">
        <f t="shared" si="208"/>
        <v>0</v>
      </c>
      <c r="Y603" s="6">
        <f t="shared" si="209"/>
        <v>0</v>
      </c>
      <c r="Z603" s="6">
        <f t="shared" si="210"/>
        <v>0</v>
      </c>
      <c r="AB603" s="36" t="str">
        <f>IF(最佳化斷筋點!C603="","",最佳化斷筋點!C603)</f>
        <v>上層</v>
      </c>
      <c r="AC603" s="37">
        <f>IF(最佳化斷筋點!D603="","",最佳化斷筋點!D603)</f>
        <v>9</v>
      </c>
      <c r="AD603" s="37">
        <f>IF(最佳化斷筋點!E603="","",最佳化斷筋點!E603)</f>
        <v>9</v>
      </c>
      <c r="AE603" s="37">
        <f>IF(最佳化斷筋點!F603="","",最佳化斷筋點!F603)</f>
        <v>9</v>
      </c>
      <c r="AF603" s="37">
        <f>IF(最佳化斷筋點!G603="","",最佳化斷筋點!G603)</f>
        <v>9</v>
      </c>
      <c r="AG603" s="37">
        <f>IF(最佳化斷筋點!H603="","",最佳化斷筋點!H603)</f>
        <v>9</v>
      </c>
      <c r="AH603" s="37">
        <f>IF(最佳化斷筋點!I603="","",最佳化斷筋點!I603)</f>
        <v>9</v>
      </c>
      <c r="AI603" s="37">
        <f>IF(最佳化斷筋點!J603="","",最佳化斷筋點!J603)</f>
        <v>9</v>
      </c>
      <c r="AJ603" s="37">
        <f>IF(最佳化斷筋點!K603="","",最佳化斷筋點!K603)</f>
        <v>3</v>
      </c>
      <c r="AK603" s="37">
        <f>IF(最佳化斷筋點!L603="","",最佳化斷筋點!L603)</f>
        <v>3</v>
      </c>
      <c r="AL603" s="37">
        <f>IF(最佳化斷筋點!M603="","",最佳化斷筋點!M603)</f>
        <v>3</v>
      </c>
      <c r="AM603" s="37">
        <f>IF(最佳化斷筋點!N603="","",最佳化斷筋點!N603)</f>
        <v>3</v>
      </c>
      <c r="AN603" s="37">
        <f>IF(最佳化斷筋點!O603="","",最佳化斷筋點!O603)</f>
        <v>3</v>
      </c>
      <c r="AO603" s="37">
        <f>IF(最佳化斷筋點!P603="","",最佳化斷筋點!P603)</f>
        <v>3</v>
      </c>
      <c r="AP603" s="37">
        <f>IF(最佳化斷筋點!Q603="","",最佳化斷筋點!Q603)</f>
        <v>6</v>
      </c>
      <c r="AQ603" s="37">
        <f>IF(最佳化斷筋點!R603="","",最佳化斷筋點!R603)</f>
        <v>6</v>
      </c>
      <c r="AR603" s="37">
        <f>IF(最佳化斷筋點!S603="","",最佳化斷筋點!S603)</f>
        <v>7</v>
      </c>
      <c r="AS603" s="37">
        <f>IF(最佳化斷筋點!T603="","",最佳化斷筋點!T603)</f>
        <v>7</v>
      </c>
      <c r="AT603" s="37">
        <f>IF(最佳化斷筋點!U603="","",最佳化斷筋點!U603)</f>
        <v>7</v>
      </c>
      <c r="AU603" s="37">
        <f>IF(最佳化斷筋點!V603="","",最佳化斷筋點!V603)</f>
        <v>7</v>
      </c>
      <c r="AV603" s="37">
        <f>IF(最佳化斷筋點!W603="","",最佳化斷筋點!W603)</f>
        <v>7</v>
      </c>
      <c r="AW603" s="37">
        <f>IF(最佳化斷筋點!X603="","",最佳化斷筋點!X603)</f>
        <v>7</v>
      </c>
      <c r="AY603" s="6" t="s">
        <v>20</v>
      </c>
      <c r="AZ603" s="37">
        <v>9</v>
      </c>
      <c r="BA603" s="37">
        <v>9</v>
      </c>
      <c r="BB603" s="37">
        <v>9</v>
      </c>
      <c r="BC603" s="37">
        <v>9</v>
      </c>
      <c r="BD603" s="37">
        <v>9</v>
      </c>
      <c r="BE603" s="37">
        <v>9</v>
      </c>
      <c r="BF603" s="37">
        <v>9</v>
      </c>
      <c r="BG603" s="37">
        <v>3</v>
      </c>
      <c r="BH603" s="37">
        <v>3</v>
      </c>
      <c r="BI603" s="37">
        <v>3</v>
      </c>
      <c r="BJ603" s="37">
        <v>3</v>
      </c>
      <c r="BK603" s="37">
        <v>3</v>
      </c>
      <c r="BL603" s="37">
        <v>3</v>
      </c>
      <c r="BM603" s="37">
        <v>6</v>
      </c>
      <c r="BN603" s="37">
        <v>6</v>
      </c>
      <c r="BO603" s="37">
        <v>7</v>
      </c>
      <c r="BP603" s="37">
        <v>7</v>
      </c>
      <c r="BQ603" s="37">
        <v>7</v>
      </c>
      <c r="BR603" s="37">
        <v>7</v>
      </c>
      <c r="BS603" s="37">
        <v>7</v>
      </c>
      <c r="BT603" s="37">
        <v>7</v>
      </c>
    </row>
    <row r="604" spans="5:72" x14ac:dyDescent="0.25">
      <c r="F604" s="6">
        <f t="shared" si="190"/>
        <v>0</v>
      </c>
      <c r="G604" s="6">
        <f t="shared" si="191"/>
        <v>0</v>
      </c>
      <c r="H604" s="6">
        <f t="shared" si="192"/>
        <v>0</v>
      </c>
      <c r="I604" s="6">
        <f t="shared" si="193"/>
        <v>0</v>
      </c>
      <c r="J604" s="6">
        <f t="shared" si="194"/>
        <v>0</v>
      </c>
      <c r="K604" s="6">
        <f t="shared" si="195"/>
        <v>0</v>
      </c>
      <c r="L604" s="6">
        <f t="shared" si="196"/>
        <v>0</v>
      </c>
      <c r="M604" s="6">
        <f t="shared" si="197"/>
        <v>0</v>
      </c>
      <c r="N604" s="6">
        <f t="shared" si="198"/>
        <v>0</v>
      </c>
      <c r="O604" s="6">
        <f t="shared" si="199"/>
        <v>0</v>
      </c>
      <c r="P604" s="6">
        <f t="shared" si="200"/>
        <v>0</v>
      </c>
      <c r="Q604" s="6">
        <f t="shared" si="201"/>
        <v>0</v>
      </c>
      <c r="R604" s="6">
        <f t="shared" si="202"/>
        <v>0</v>
      </c>
      <c r="S604" s="6">
        <f t="shared" si="203"/>
        <v>0</v>
      </c>
      <c r="T604" s="6">
        <f t="shared" si="204"/>
        <v>0</v>
      </c>
      <c r="U604" s="6">
        <f t="shared" si="205"/>
        <v>0</v>
      </c>
      <c r="V604" s="6">
        <f t="shared" si="206"/>
        <v>0</v>
      </c>
      <c r="W604" s="6">
        <f t="shared" si="207"/>
        <v>0</v>
      </c>
      <c r="X604" s="6">
        <f t="shared" si="208"/>
        <v>0</v>
      </c>
      <c r="Y604" s="6">
        <f t="shared" si="209"/>
        <v>0</v>
      </c>
      <c r="Z604" s="6">
        <f t="shared" si="210"/>
        <v>0</v>
      </c>
      <c r="AB604" s="36" t="str">
        <f>IF(最佳化斷筋點!C604="","",最佳化斷筋點!C604)</f>
        <v/>
      </c>
      <c r="AC604" s="37" t="str">
        <f>IF(最佳化斷筋點!D604="","",最佳化斷筋點!D604)</f>
        <v/>
      </c>
      <c r="AD604" s="37" t="str">
        <f>IF(最佳化斷筋點!E604="","",最佳化斷筋點!E604)</f>
        <v/>
      </c>
      <c r="AE604" s="37" t="str">
        <f>IF(最佳化斷筋點!F604="","",最佳化斷筋點!F604)</f>
        <v/>
      </c>
      <c r="AF604" s="37" t="str">
        <f>IF(最佳化斷筋點!G604="","",最佳化斷筋點!G604)</f>
        <v/>
      </c>
      <c r="AG604" s="37" t="str">
        <f>IF(最佳化斷筋點!H604="","",最佳化斷筋點!H604)</f>
        <v/>
      </c>
      <c r="AH604" s="37" t="str">
        <f>IF(最佳化斷筋點!I604="","",最佳化斷筋點!I604)</f>
        <v/>
      </c>
      <c r="AI604" s="37" t="str">
        <f>IF(最佳化斷筋點!J604="","",最佳化斷筋點!J604)</f>
        <v/>
      </c>
      <c r="AJ604" s="37" t="str">
        <f>IF(最佳化斷筋點!K604="","",最佳化斷筋點!K604)</f>
        <v/>
      </c>
      <c r="AK604" s="37" t="str">
        <f>IF(最佳化斷筋點!L604="","",最佳化斷筋點!L604)</f>
        <v/>
      </c>
      <c r="AL604" s="37" t="str">
        <f>IF(最佳化斷筋點!M604="","",最佳化斷筋點!M604)</f>
        <v/>
      </c>
      <c r="AM604" s="37" t="str">
        <f>IF(最佳化斷筋點!N604="","",最佳化斷筋點!N604)</f>
        <v/>
      </c>
      <c r="AN604" s="37" t="str">
        <f>IF(最佳化斷筋點!O604="","",最佳化斷筋點!O604)</f>
        <v/>
      </c>
      <c r="AO604" s="37" t="str">
        <f>IF(最佳化斷筋點!P604="","",最佳化斷筋點!P604)</f>
        <v/>
      </c>
      <c r="AP604" s="37" t="str">
        <f>IF(最佳化斷筋點!Q604="","",最佳化斷筋點!Q604)</f>
        <v/>
      </c>
      <c r="AQ604" s="37" t="str">
        <f>IF(最佳化斷筋點!R604="","",最佳化斷筋點!R604)</f>
        <v/>
      </c>
      <c r="AR604" s="37" t="str">
        <f>IF(最佳化斷筋點!S604="","",最佳化斷筋點!S604)</f>
        <v/>
      </c>
      <c r="AS604" s="37" t="str">
        <f>IF(最佳化斷筋點!T604="","",最佳化斷筋點!T604)</f>
        <v/>
      </c>
      <c r="AT604" s="37" t="str">
        <f>IF(最佳化斷筋點!U604="","",最佳化斷筋點!U604)</f>
        <v/>
      </c>
      <c r="AU604" s="37" t="str">
        <f>IF(最佳化斷筋點!V604="","",最佳化斷筋點!V604)</f>
        <v/>
      </c>
      <c r="AV604" s="37" t="str">
        <f>IF(最佳化斷筋點!W604="","",最佳化斷筋點!W604)</f>
        <v/>
      </c>
      <c r="AW604" s="37" t="str">
        <f>IF(最佳化斷筋點!X604="","",最佳化斷筋點!X604)</f>
        <v/>
      </c>
      <c r="AZ604" s="37" t="s">
        <v>197</v>
      </c>
      <c r="BA604" s="37" t="s">
        <v>197</v>
      </c>
      <c r="BB604" s="37" t="s">
        <v>197</v>
      </c>
      <c r="BC604" s="37" t="s">
        <v>197</v>
      </c>
      <c r="BD604" s="37" t="s">
        <v>197</v>
      </c>
      <c r="BE604" s="37" t="s">
        <v>197</v>
      </c>
      <c r="BF604" s="37" t="s">
        <v>197</v>
      </c>
      <c r="BG604" s="37" t="s">
        <v>197</v>
      </c>
      <c r="BH604" s="37" t="s">
        <v>197</v>
      </c>
      <c r="BI604" s="37" t="s">
        <v>197</v>
      </c>
      <c r="BJ604" s="37" t="s">
        <v>197</v>
      </c>
      <c r="BK604" s="37" t="s">
        <v>197</v>
      </c>
      <c r="BL604" s="37" t="s">
        <v>197</v>
      </c>
      <c r="BM604" s="37" t="s">
        <v>197</v>
      </c>
      <c r="BN604" s="37" t="s">
        <v>197</v>
      </c>
      <c r="BO604" s="37" t="s">
        <v>197</v>
      </c>
      <c r="BP604" s="37" t="s">
        <v>197</v>
      </c>
      <c r="BQ604" s="37" t="s">
        <v>197</v>
      </c>
      <c r="BR604" s="37" t="s">
        <v>197</v>
      </c>
      <c r="BS604" s="37" t="s">
        <v>197</v>
      </c>
      <c r="BT604" s="37" t="s">
        <v>197</v>
      </c>
    </row>
    <row r="605" spans="5:72" x14ac:dyDescent="0.25">
      <c r="E605" s="6" t="s">
        <v>21</v>
      </c>
      <c r="F605" s="6">
        <f t="shared" si="190"/>
        <v>0</v>
      </c>
      <c r="G605" s="6">
        <f t="shared" si="191"/>
        <v>0</v>
      </c>
      <c r="H605" s="6">
        <f t="shared" si="192"/>
        <v>0</v>
      </c>
      <c r="I605" s="6">
        <f t="shared" si="193"/>
        <v>0</v>
      </c>
      <c r="J605" s="6">
        <f t="shared" si="194"/>
        <v>0</v>
      </c>
      <c r="K605" s="6">
        <f t="shared" si="195"/>
        <v>0</v>
      </c>
      <c r="L605" s="6">
        <f t="shared" si="196"/>
        <v>0</v>
      </c>
      <c r="M605" s="6">
        <f t="shared" si="197"/>
        <v>0</v>
      </c>
      <c r="N605" s="6">
        <f t="shared" si="198"/>
        <v>0</v>
      </c>
      <c r="O605" s="6">
        <f t="shared" si="199"/>
        <v>0</v>
      </c>
      <c r="P605" s="6">
        <f t="shared" si="200"/>
        <v>0</v>
      </c>
      <c r="Q605" s="6">
        <f t="shared" si="201"/>
        <v>0</v>
      </c>
      <c r="R605" s="6">
        <f t="shared" si="202"/>
        <v>0</v>
      </c>
      <c r="S605" s="6">
        <f t="shared" si="203"/>
        <v>0</v>
      </c>
      <c r="T605" s="6">
        <f t="shared" si="204"/>
        <v>0</v>
      </c>
      <c r="U605" s="6">
        <f t="shared" si="205"/>
        <v>0</v>
      </c>
      <c r="V605" s="6">
        <f t="shared" si="206"/>
        <v>0</v>
      </c>
      <c r="W605" s="6">
        <f t="shared" si="207"/>
        <v>0</v>
      </c>
      <c r="X605" s="6">
        <f t="shared" si="208"/>
        <v>0</v>
      </c>
      <c r="Y605" s="6">
        <f t="shared" si="209"/>
        <v>0</v>
      </c>
      <c r="Z605" s="6">
        <f t="shared" si="210"/>
        <v>0</v>
      </c>
      <c r="AB605" s="36" t="str">
        <f>IF(最佳化斷筋點!C605="","",最佳化斷筋點!C605)</f>
        <v>下層</v>
      </c>
      <c r="AC605" s="37">
        <f>IF(最佳化斷筋點!D605="","",最佳化斷筋點!D605)</f>
        <v>10</v>
      </c>
      <c r="AD605" s="37">
        <f>IF(最佳化斷筋點!E605="","",最佳化斷筋點!E605)</f>
        <v>10</v>
      </c>
      <c r="AE605" s="37">
        <f>IF(最佳化斷筋點!F605="","",最佳化斷筋點!F605)</f>
        <v>10</v>
      </c>
      <c r="AF605" s="37">
        <f>IF(最佳化斷筋點!G605="","",最佳化斷筋點!G605)</f>
        <v>10</v>
      </c>
      <c r="AG605" s="37">
        <f>IF(最佳化斷筋點!H605="","",最佳化斷筋點!H605)</f>
        <v>10</v>
      </c>
      <c r="AH605" s="37">
        <f>IF(最佳化斷筋點!I605="","",最佳化斷筋點!I605)</f>
        <v>10</v>
      </c>
      <c r="AI605" s="37">
        <f>IF(最佳化斷筋點!J605="","",最佳化斷筋點!J605)</f>
        <v>9</v>
      </c>
      <c r="AJ605" s="37">
        <f>IF(最佳化斷筋點!K605="","",最佳化斷筋點!K605)</f>
        <v>4</v>
      </c>
      <c r="AK605" s="37">
        <f>IF(最佳化斷筋點!L605="","",最佳化斷筋點!L605)</f>
        <v>4</v>
      </c>
      <c r="AL605" s="37">
        <f>IF(最佳化斷筋點!M605="","",最佳化斷筋點!M605)</f>
        <v>4</v>
      </c>
      <c r="AM605" s="37">
        <f>IF(最佳化斷筋點!N605="","",最佳化斷筋點!N605)</f>
        <v>4</v>
      </c>
      <c r="AN605" s="37">
        <f>IF(最佳化斷筋點!O605="","",最佳化斷筋點!O605)</f>
        <v>4</v>
      </c>
      <c r="AO605" s="37">
        <f>IF(最佳化斷筋點!P605="","",最佳化斷筋點!P605)</f>
        <v>4</v>
      </c>
      <c r="AP605" s="37">
        <f>IF(最佳化斷筋點!Q605="","",最佳化斷筋點!Q605)</f>
        <v>8</v>
      </c>
      <c r="AQ605" s="37">
        <f>IF(最佳化斷筋點!R605="","",最佳化斷筋點!R605)</f>
        <v>9</v>
      </c>
      <c r="AR605" s="37">
        <f>IF(最佳化斷筋點!S605="","",最佳化斷筋點!S605)</f>
        <v>10</v>
      </c>
      <c r="AS605" s="37">
        <f>IF(最佳化斷筋點!T605="","",最佳化斷筋點!T605)</f>
        <v>11</v>
      </c>
      <c r="AT605" s="37">
        <f>IF(最佳化斷筋點!U605="","",最佳化斷筋點!U605)</f>
        <v>11</v>
      </c>
      <c r="AU605" s="37">
        <f>IF(最佳化斷筋點!V605="","",最佳化斷筋點!V605)</f>
        <v>11</v>
      </c>
      <c r="AV605" s="37">
        <f>IF(最佳化斷筋點!W605="","",最佳化斷筋點!W605)</f>
        <v>11</v>
      </c>
      <c r="AW605" s="37">
        <f>IF(最佳化斷筋點!X605="","",最佳化斷筋點!X605)</f>
        <v>11</v>
      </c>
      <c r="AY605" s="6" t="s">
        <v>21</v>
      </c>
      <c r="AZ605" s="37">
        <v>10</v>
      </c>
      <c r="BA605" s="37">
        <v>10</v>
      </c>
      <c r="BB605" s="37">
        <v>10</v>
      </c>
      <c r="BC605" s="37">
        <v>10</v>
      </c>
      <c r="BD605" s="37">
        <v>10</v>
      </c>
      <c r="BE605" s="37">
        <v>10</v>
      </c>
      <c r="BF605" s="37">
        <v>9</v>
      </c>
      <c r="BG605" s="37">
        <v>4</v>
      </c>
      <c r="BH605" s="37">
        <v>4</v>
      </c>
      <c r="BI605" s="37">
        <v>4</v>
      </c>
      <c r="BJ605" s="37">
        <v>4</v>
      </c>
      <c r="BK605" s="37">
        <v>4</v>
      </c>
      <c r="BL605" s="37">
        <v>4</v>
      </c>
      <c r="BM605" s="37">
        <v>8</v>
      </c>
      <c r="BN605" s="37">
        <v>9</v>
      </c>
      <c r="BO605" s="37">
        <v>10</v>
      </c>
      <c r="BP605" s="37">
        <v>11</v>
      </c>
      <c r="BQ605" s="37">
        <v>11</v>
      </c>
      <c r="BR605" s="37">
        <v>11</v>
      </c>
      <c r="BS605" s="37">
        <v>11</v>
      </c>
      <c r="BT605" s="37">
        <v>11</v>
      </c>
    </row>
    <row r="606" spans="5:72" x14ac:dyDescent="0.25">
      <c r="F606" s="6">
        <f t="shared" si="190"/>
        <v>0</v>
      </c>
      <c r="G606" s="6">
        <f t="shared" si="191"/>
        <v>0</v>
      </c>
      <c r="H606" s="6">
        <f t="shared" si="192"/>
        <v>0</v>
      </c>
      <c r="I606" s="6">
        <f t="shared" si="193"/>
        <v>0</v>
      </c>
      <c r="J606" s="6">
        <f t="shared" si="194"/>
        <v>0</v>
      </c>
      <c r="K606" s="6">
        <f t="shared" si="195"/>
        <v>0</v>
      </c>
      <c r="L606" s="6">
        <f t="shared" si="196"/>
        <v>0</v>
      </c>
      <c r="M606" s="6">
        <f t="shared" si="197"/>
        <v>0</v>
      </c>
      <c r="N606" s="6">
        <f t="shared" si="198"/>
        <v>0</v>
      </c>
      <c r="O606" s="6">
        <f t="shared" si="199"/>
        <v>0</v>
      </c>
      <c r="P606" s="6">
        <f t="shared" si="200"/>
        <v>0</v>
      </c>
      <c r="Q606" s="6">
        <f t="shared" si="201"/>
        <v>0</v>
      </c>
      <c r="R606" s="6">
        <f t="shared" si="202"/>
        <v>0</v>
      </c>
      <c r="S606" s="6">
        <f t="shared" si="203"/>
        <v>0</v>
      </c>
      <c r="T606" s="6">
        <f t="shared" si="204"/>
        <v>0</v>
      </c>
      <c r="U606" s="6">
        <f t="shared" si="205"/>
        <v>0</v>
      </c>
      <c r="V606" s="6">
        <f t="shared" si="206"/>
        <v>0</v>
      </c>
      <c r="W606" s="6">
        <f t="shared" si="207"/>
        <v>0</v>
      </c>
      <c r="X606" s="6">
        <f t="shared" si="208"/>
        <v>0</v>
      </c>
      <c r="Y606" s="6">
        <f t="shared" si="209"/>
        <v>0</v>
      </c>
      <c r="Z606" s="6">
        <f t="shared" si="210"/>
        <v>0</v>
      </c>
      <c r="AB606" s="36" t="str">
        <f>IF(最佳化斷筋點!C606="","",最佳化斷筋點!C606)</f>
        <v/>
      </c>
      <c r="AC606" s="37" t="str">
        <f>IF(最佳化斷筋點!D606="","",最佳化斷筋點!D606)</f>
        <v/>
      </c>
      <c r="AD606" s="37" t="str">
        <f>IF(最佳化斷筋點!E606="","",最佳化斷筋點!E606)</f>
        <v/>
      </c>
      <c r="AE606" s="37" t="str">
        <f>IF(最佳化斷筋點!F606="","",最佳化斷筋點!F606)</f>
        <v/>
      </c>
      <c r="AF606" s="37" t="str">
        <f>IF(最佳化斷筋點!G606="","",最佳化斷筋點!G606)</f>
        <v/>
      </c>
      <c r="AG606" s="37" t="str">
        <f>IF(最佳化斷筋點!H606="","",最佳化斷筋點!H606)</f>
        <v/>
      </c>
      <c r="AH606" s="37" t="str">
        <f>IF(最佳化斷筋點!I606="","",最佳化斷筋點!I606)</f>
        <v/>
      </c>
      <c r="AI606" s="37" t="str">
        <f>IF(最佳化斷筋點!J606="","",最佳化斷筋點!J606)</f>
        <v/>
      </c>
      <c r="AJ606" s="37" t="str">
        <f>IF(最佳化斷筋點!K606="","",最佳化斷筋點!K606)</f>
        <v/>
      </c>
      <c r="AK606" s="37" t="str">
        <f>IF(最佳化斷筋點!L606="","",最佳化斷筋點!L606)</f>
        <v/>
      </c>
      <c r="AL606" s="37" t="str">
        <f>IF(最佳化斷筋點!M606="","",最佳化斷筋點!M606)</f>
        <v/>
      </c>
      <c r="AM606" s="37" t="str">
        <f>IF(最佳化斷筋點!N606="","",最佳化斷筋點!N606)</f>
        <v/>
      </c>
      <c r="AN606" s="37" t="str">
        <f>IF(最佳化斷筋點!O606="","",最佳化斷筋點!O606)</f>
        <v/>
      </c>
      <c r="AO606" s="37" t="str">
        <f>IF(最佳化斷筋點!P606="","",最佳化斷筋點!P606)</f>
        <v/>
      </c>
      <c r="AP606" s="37" t="str">
        <f>IF(最佳化斷筋點!Q606="","",最佳化斷筋點!Q606)</f>
        <v/>
      </c>
      <c r="AQ606" s="37" t="str">
        <f>IF(最佳化斷筋點!R606="","",最佳化斷筋點!R606)</f>
        <v/>
      </c>
      <c r="AR606" s="37" t="str">
        <f>IF(最佳化斷筋點!S606="","",最佳化斷筋點!S606)</f>
        <v/>
      </c>
      <c r="AS606" s="37" t="str">
        <f>IF(最佳化斷筋點!T606="","",最佳化斷筋點!T606)</f>
        <v/>
      </c>
      <c r="AT606" s="37" t="str">
        <f>IF(最佳化斷筋點!U606="","",最佳化斷筋點!U606)</f>
        <v/>
      </c>
      <c r="AU606" s="37" t="str">
        <f>IF(最佳化斷筋點!V606="","",最佳化斷筋點!V606)</f>
        <v/>
      </c>
      <c r="AV606" s="37" t="str">
        <f>IF(最佳化斷筋點!W606="","",最佳化斷筋點!W606)</f>
        <v/>
      </c>
      <c r="AW606" s="37" t="str">
        <f>IF(最佳化斷筋點!X606="","",最佳化斷筋點!X606)</f>
        <v/>
      </c>
      <c r="AZ606" s="37" t="s">
        <v>197</v>
      </c>
      <c r="BA606" s="37" t="s">
        <v>197</v>
      </c>
      <c r="BB606" s="37" t="s">
        <v>197</v>
      </c>
      <c r="BC606" s="37" t="s">
        <v>197</v>
      </c>
      <c r="BD606" s="37" t="s">
        <v>197</v>
      </c>
      <c r="BE606" s="37" t="s">
        <v>197</v>
      </c>
      <c r="BF606" s="37" t="s">
        <v>197</v>
      </c>
      <c r="BG606" s="37" t="s">
        <v>197</v>
      </c>
      <c r="BH606" s="37" t="s">
        <v>197</v>
      </c>
      <c r="BI606" s="37" t="s">
        <v>197</v>
      </c>
      <c r="BJ606" s="37" t="s">
        <v>197</v>
      </c>
      <c r="BK606" s="37" t="s">
        <v>197</v>
      </c>
      <c r="BL606" s="37" t="s">
        <v>197</v>
      </c>
      <c r="BM606" s="37" t="s">
        <v>197</v>
      </c>
      <c r="BN606" s="37" t="s">
        <v>197</v>
      </c>
      <c r="BO606" s="37" t="s">
        <v>197</v>
      </c>
      <c r="BP606" s="37" t="s">
        <v>197</v>
      </c>
      <c r="BQ606" s="37" t="s">
        <v>197</v>
      </c>
      <c r="BR606" s="37" t="s">
        <v>197</v>
      </c>
      <c r="BS606" s="37" t="s">
        <v>197</v>
      </c>
      <c r="BT606" s="37" t="s">
        <v>197</v>
      </c>
    </row>
    <row r="607" spans="5:72" x14ac:dyDescent="0.25">
      <c r="E607" s="6" t="s">
        <v>20</v>
      </c>
      <c r="F607" s="6">
        <f t="shared" si="190"/>
        <v>0</v>
      </c>
      <c r="G607" s="6">
        <f t="shared" si="191"/>
        <v>0</v>
      </c>
      <c r="H607" s="6">
        <f t="shared" si="192"/>
        <v>0</v>
      </c>
      <c r="I607" s="6">
        <f t="shared" si="193"/>
        <v>0</v>
      </c>
      <c r="J607" s="6">
        <f t="shared" si="194"/>
        <v>0</v>
      </c>
      <c r="K607" s="6">
        <f t="shared" si="195"/>
        <v>0</v>
      </c>
      <c r="L607" s="6">
        <f t="shared" si="196"/>
        <v>0</v>
      </c>
      <c r="M607" s="6">
        <f t="shared" si="197"/>
        <v>0</v>
      </c>
      <c r="N607" s="6">
        <f t="shared" si="198"/>
        <v>0</v>
      </c>
      <c r="O607" s="6">
        <f t="shared" si="199"/>
        <v>0</v>
      </c>
      <c r="P607" s="6">
        <f t="shared" si="200"/>
        <v>0</v>
      </c>
      <c r="Q607" s="6">
        <f t="shared" si="201"/>
        <v>0</v>
      </c>
      <c r="R607" s="6">
        <f t="shared" si="202"/>
        <v>0</v>
      </c>
      <c r="S607" s="6">
        <f t="shared" si="203"/>
        <v>0</v>
      </c>
      <c r="T607" s="6">
        <f t="shared" si="204"/>
        <v>0</v>
      </c>
      <c r="U607" s="6">
        <f t="shared" si="205"/>
        <v>0</v>
      </c>
      <c r="V607" s="6">
        <f t="shared" si="206"/>
        <v>0</v>
      </c>
      <c r="W607" s="6">
        <f t="shared" si="207"/>
        <v>0</v>
      </c>
      <c r="X607" s="6">
        <f t="shared" si="208"/>
        <v>0</v>
      </c>
      <c r="Y607" s="6">
        <f t="shared" si="209"/>
        <v>0</v>
      </c>
      <c r="Z607" s="6">
        <f t="shared" si="210"/>
        <v>0</v>
      </c>
      <c r="AB607" s="36" t="str">
        <f>IF(最佳化斷筋點!C607="","",最佳化斷筋點!C607)</f>
        <v>上層</v>
      </c>
      <c r="AC607" s="37">
        <f>IF(最佳化斷筋點!D607="","",最佳化斷筋點!D607)</f>
        <v>10</v>
      </c>
      <c r="AD607" s="37">
        <f>IF(最佳化斷筋點!E607="","",最佳化斷筋點!E607)</f>
        <v>10</v>
      </c>
      <c r="AE607" s="37">
        <f>IF(最佳化斷筋點!F607="","",最佳化斷筋點!F607)</f>
        <v>10</v>
      </c>
      <c r="AF607" s="37">
        <f>IF(最佳化斷筋點!G607="","",最佳化斷筋點!G607)</f>
        <v>10</v>
      </c>
      <c r="AG607" s="37">
        <f>IF(最佳化斷筋點!H607="","",最佳化斷筋點!H607)</f>
        <v>10</v>
      </c>
      <c r="AH607" s="37">
        <f>IF(最佳化斷筋點!I607="","",最佳化斷筋點!I607)</f>
        <v>10</v>
      </c>
      <c r="AI607" s="37">
        <f>IF(最佳化斷筋點!J607="","",最佳化斷筋點!J607)</f>
        <v>10</v>
      </c>
      <c r="AJ607" s="37">
        <f>IF(最佳化斷筋點!K607="","",最佳化斷筋點!K607)</f>
        <v>4</v>
      </c>
      <c r="AK607" s="37">
        <f>IF(最佳化斷筋點!L607="","",最佳化斷筋點!L607)</f>
        <v>4</v>
      </c>
      <c r="AL607" s="37">
        <f>IF(最佳化斷筋點!M607="","",最佳化斷筋點!M607)</f>
        <v>4</v>
      </c>
      <c r="AM607" s="37">
        <f>IF(最佳化斷筋點!N607="","",最佳化斷筋點!N607)</f>
        <v>4</v>
      </c>
      <c r="AN607" s="37">
        <f>IF(最佳化斷筋點!O607="","",最佳化斷筋點!O607)</f>
        <v>4</v>
      </c>
      <c r="AO607" s="37">
        <f>IF(最佳化斷筋點!P607="","",最佳化斷筋點!P607)</f>
        <v>4</v>
      </c>
      <c r="AP607" s="37">
        <f>IF(最佳化斷筋點!Q607="","",最佳化斷筋點!Q607)</f>
        <v>8</v>
      </c>
      <c r="AQ607" s="37">
        <f>IF(最佳化斷筋點!R607="","",最佳化斷筋點!R607)</f>
        <v>9</v>
      </c>
      <c r="AR607" s="37">
        <f>IF(最佳化斷筋點!S607="","",最佳化斷筋點!S607)</f>
        <v>9</v>
      </c>
      <c r="AS607" s="37">
        <f>IF(最佳化斷筋點!T607="","",最佳化斷筋點!T607)</f>
        <v>9</v>
      </c>
      <c r="AT607" s="37">
        <f>IF(最佳化斷筋點!U607="","",最佳化斷筋點!U607)</f>
        <v>9</v>
      </c>
      <c r="AU607" s="37">
        <f>IF(最佳化斷筋點!V607="","",最佳化斷筋點!V607)</f>
        <v>9</v>
      </c>
      <c r="AV607" s="37">
        <f>IF(最佳化斷筋點!W607="","",最佳化斷筋點!W607)</f>
        <v>9</v>
      </c>
      <c r="AW607" s="37">
        <f>IF(最佳化斷筋點!X607="","",最佳化斷筋點!X607)</f>
        <v>9</v>
      </c>
      <c r="AY607" s="6" t="s">
        <v>20</v>
      </c>
      <c r="AZ607" s="37">
        <v>10</v>
      </c>
      <c r="BA607" s="37">
        <v>10</v>
      </c>
      <c r="BB607" s="37">
        <v>10</v>
      </c>
      <c r="BC607" s="37">
        <v>10</v>
      </c>
      <c r="BD607" s="37">
        <v>10</v>
      </c>
      <c r="BE607" s="37">
        <v>10</v>
      </c>
      <c r="BF607" s="37">
        <v>10</v>
      </c>
      <c r="BG607" s="37">
        <v>4</v>
      </c>
      <c r="BH607" s="37">
        <v>4</v>
      </c>
      <c r="BI607" s="37">
        <v>4</v>
      </c>
      <c r="BJ607" s="37">
        <v>4</v>
      </c>
      <c r="BK607" s="37">
        <v>4</v>
      </c>
      <c r="BL607" s="37">
        <v>4</v>
      </c>
      <c r="BM607" s="37">
        <v>8</v>
      </c>
      <c r="BN607" s="37">
        <v>9</v>
      </c>
      <c r="BO607" s="37">
        <v>9</v>
      </c>
      <c r="BP607" s="37">
        <v>9</v>
      </c>
      <c r="BQ607" s="37">
        <v>9</v>
      </c>
      <c r="BR607" s="37">
        <v>9</v>
      </c>
      <c r="BS607" s="37">
        <v>9</v>
      </c>
      <c r="BT607" s="37">
        <v>9</v>
      </c>
    </row>
    <row r="608" spans="5:72" x14ac:dyDescent="0.25">
      <c r="F608" s="6">
        <f t="shared" si="190"/>
        <v>0</v>
      </c>
      <c r="G608" s="6">
        <f t="shared" si="191"/>
        <v>0</v>
      </c>
      <c r="H608" s="6">
        <f t="shared" si="192"/>
        <v>0</v>
      </c>
      <c r="I608" s="6">
        <f t="shared" si="193"/>
        <v>0</v>
      </c>
      <c r="J608" s="6">
        <f t="shared" si="194"/>
        <v>0</v>
      </c>
      <c r="K608" s="6">
        <f t="shared" si="195"/>
        <v>0</v>
      </c>
      <c r="L608" s="6">
        <f t="shared" si="196"/>
        <v>0</v>
      </c>
      <c r="M608" s="6">
        <f t="shared" si="197"/>
        <v>0</v>
      </c>
      <c r="N608" s="6">
        <f t="shared" si="198"/>
        <v>0</v>
      </c>
      <c r="O608" s="6">
        <f t="shared" si="199"/>
        <v>0</v>
      </c>
      <c r="P608" s="6">
        <f t="shared" si="200"/>
        <v>0</v>
      </c>
      <c r="Q608" s="6">
        <f t="shared" si="201"/>
        <v>0</v>
      </c>
      <c r="R608" s="6">
        <f t="shared" si="202"/>
        <v>0</v>
      </c>
      <c r="S608" s="6">
        <f t="shared" si="203"/>
        <v>0</v>
      </c>
      <c r="T608" s="6">
        <f t="shared" si="204"/>
        <v>0</v>
      </c>
      <c r="U608" s="6">
        <f t="shared" si="205"/>
        <v>0</v>
      </c>
      <c r="V608" s="6">
        <f t="shared" si="206"/>
        <v>0</v>
      </c>
      <c r="W608" s="6">
        <f t="shared" si="207"/>
        <v>0</v>
      </c>
      <c r="X608" s="6">
        <f t="shared" si="208"/>
        <v>0</v>
      </c>
      <c r="Y608" s="6">
        <f t="shared" si="209"/>
        <v>0</v>
      </c>
      <c r="Z608" s="6">
        <f t="shared" si="210"/>
        <v>0</v>
      </c>
      <c r="AB608" s="36" t="str">
        <f>IF(最佳化斷筋點!C608="","",最佳化斷筋點!C608)</f>
        <v/>
      </c>
      <c r="AC608" s="37" t="str">
        <f>IF(最佳化斷筋點!D608="","",最佳化斷筋點!D608)</f>
        <v/>
      </c>
      <c r="AD608" s="37" t="str">
        <f>IF(最佳化斷筋點!E608="","",最佳化斷筋點!E608)</f>
        <v/>
      </c>
      <c r="AE608" s="37" t="str">
        <f>IF(最佳化斷筋點!F608="","",最佳化斷筋點!F608)</f>
        <v/>
      </c>
      <c r="AF608" s="37" t="str">
        <f>IF(最佳化斷筋點!G608="","",最佳化斷筋點!G608)</f>
        <v/>
      </c>
      <c r="AG608" s="37" t="str">
        <f>IF(最佳化斷筋點!H608="","",最佳化斷筋點!H608)</f>
        <v/>
      </c>
      <c r="AH608" s="37" t="str">
        <f>IF(最佳化斷筋點!I608="","",最佳化斷筋點!I608)</f>
        <v/>
      </c>
      <c r="AI608" s="37" t="str">
        <f>IF(最佳化斷筋點!J608="","",最佳化斷筋點!J608)</f>
        <v/>
      </c>
      <c r="AJ608" s="37" t="str">
        <f>IF(最佳化斷筋點!K608="","",最佳化斷筋點!K608)</f>
        <v/>
      </c>
      <c r="AK608" s="37" t="str">
        <f>IF(最佳化斷筋點!L608="","",最佳化斷筋點!L608)</f>
        <v/>
      </c>
      <c r="AL608" s="37" t="str">
        <f>IF(最佳化斷筋點!M608="","",最佳化斷筋點!M608)</f>
        <v/>
      </c>
      <c r="AM608" s="37" t="str">
        <f>IF(最佳化斷筋點!N608="","",最佳化斷筋點!N608)</f>
        <v/>
      </c>
      <c r="AN608" s="37" t="str">
        <f>IF(最佳化斷筋點!O608="","",最佳化斷筋點!O608)</f>
        <v/>
      </c>
      <c r="AO608" s="37" t="str">
        <f>IF(最佳化斷筋點!P608="","",最佳化斷筋點!P608)</f>
        <v/>
      </c>
      <c r="AP608" s="37" t="str">
        <f>IF(最佳化斷筋點!Q608="","",最佳化斷筋點!Q608)</f>
        <v/>
      </c>
      <c r="AQ608" s="37" t="str">
        <f>IF(最佳化斷筋點!R608="","",最佳化斷筋點!R608)</f>
        <v/>
      </c>
      <c r="AR608" s="37" t="str">
        <f>IF(最佳化斷筋點!S608="","",最佳化斷筋點!S608)</f>
        <v/>
      </c>
      <c r="AS608" s="37" t="str">
        <f>IF(最佳化斷筋點!T608="","",最佳化斷筋點!T608)</f>
        <v/>
      </c>
      <c r="AT608" s="37" t="str">
        <f>IF(最佳化斷筋點!U608="","",最佳化斷筋點!U608)</f>
        <v/>
      </c>
      <c r="AU608" s="37" t="str">
        <f>IF(最佳化斷筋點!V608="","",最佳化斷筋點!V608)</f>
        <v/>
      </c>
      <c r="AV608" s="37" t="str">
        <f>IF(最佳化斷筋點!W608="","",最佳化斷筋點!W608)</f>
        <v/>
      </c>
      <c r="AW608" s="37" t="str">
        <f>IF(最佳化斷筋點!X608="","",最佳化斷筋點!X608)</f>
        <v/>
      </c>
      <c r="AZ608" s="37" t="s">
        <v>197</v>
      </c>
      <c r="BA608" s="37" t="s">
        <v>197</v>
      </c>
      <c r="BB608" s="37" t="s">
        <v>197</v>
      </c>
      <c r="BC608" s="37" t="s">
        <v>197</v>
      </c>
      <c r="BD608" s="37" t="s">
        <v>197</v>
      </c>
      <c r="BE608" s="37" t="s">
        <v>197</v>
      </c>
      <c r="BF608" s="37" t="s">
        <v>197</v>
      </c>
      <c r="BG608" s="37" t="s">
        <v>197</v>
      </c>
      <c r="BH608" s="37" t="s">
        <v>197</v>
      </c>
      <c r="BI608" s="37" t="s">
        <v>197</v>
      </c>
      <c r="BJ608" s="37" t="s">
        <v>197</v>
      </c>
      <c r="BK608" s="37" t="s">
        <v>197</v>
      </c>
      <c r="BL608" s="37" t="s">
        <v>197</v>
      </c>
      <c r="BM608" s="37" t="s">
        <v>197</v>
      </c>
      <c r="BN608" s="37" t="s">
        <v>197</v>
      </c>
      <c r="BO608" s="37" t="s">
        <v>197</v>
      </c>
      <c r="BP608" s="37" t="s">
        <v>197</v>
      </c>
      <c r="BQ608" s="37" t="s">
        <v>197</v>
      </c>
      <c r="BR608" s="37" t="s">
        <v>197</v>
      </c>
      <c r="BS608" s="37" t="s">
        <v>197</v>
      </c>
      <c r="BT608" s="37" t="s">
        <v>197</v>
      </c>
    </row>
    <row r="609" spans="5:72" x14ac:dyDescent="0.25">
      <c r="E609" s="6" t="s">
        <v>21</v>
      </c>
      <c r="F609" s="6">
        <f t="shared" si="190"/>
        <v>0</v>
      </c>
      <c r="G609" s="6">
        <f t="shared" si="191"/>
        <v>0</v>
      </c>
      <c r="H609" s="6">
        <f t="shared" si="192"/>
        <v>0</v>
      </c>
      <c r="I609" s="6">
        <f t="shared" si="193"/>
        <v>0</v>
      </c>
      <c r="J609" s="6">
        <f t="shared" si="194"/>
        <v>0</v>
      </c>
      <c r="K609" s="6">
        <f t="shared" si="195"/>
        <v>0</v>
      </c>
      <c r="L609" s="6">
        <f t="shared" si="196"/>
        <v>0</v>
      </c>
      <c r="M609" s="6">
        <f t="shared" si="197"/>
        <v>0</v>
      </c>
      <c r="N609" s="6">
        <f t="shared" si="198"/>
        <v>0</v>
      </c>
      <c r="O609" s="6">
        <f t="shared" si="199"/>
        <v>0</v>
      </c>
      <c r="P609" s="6">
        <f t="shared" si="200"/>
        <v>0</v>
      </c>
      <c r="Q609" s="6">
        <f t="shared" si="201"/>
        <v>0</v>
      </c>
      <c r="R609" s="6">
        <f t="shared" si="202"/>
        <v>0</v>
      </c>
      <c r="S609" s="6">
        <f t="shared" si="203"/>
        <v>0</v>
      </c>
      <c r="T609" s="6">
        <f t="shared" si="204"/>
        <v>0</v>
      </c>
      <c r="U609" s="6">
        <f t="shared" si="205"/>
        <v>0</v>
      </c>
      <c r="V609" s="6">
        <f t="shared" si="206"/>
        <v>0</v>
      </c>
      <c r="W609" s="6">
        <f t="shared" si="207"/>
        <v>0</v>
      </c>
      <c r="X609" s="6">
        <f t="shared" si="208"/>
        <v>0</v>
      </c>
      <c r="Y609" s="6">
        <f t="shared" si="209"/>
        <v>0</v>
      </c>
      <c r="Z609" s="6">
        <f t="shared" si="210"/>
        <v>0</v>
      </c>
      <c r="AB609" s="36" t="str">
        <f>IF(最佳化斷筋點!C609="","",最佳化斷筋點!C609)</f>
        <v>下層</v>
      </c>
      <c r="AC609" s="37">
        <f>IF(最佳化斷筋點!D609="","",最佳化斷筋點!D609)</f>
        <v>13</v>
      </c>
      <c r="AD609" s="37">
        <f>IF(最佳化斷筋點!E609="","",最佳化斷筋點!E609)</f>
        <v>13</v>
      </c>
      <c r="AE609" s="37">
        <f>IF(最佳化斷筋點!F609="","",最佳化斷筋點!F609)</f>
        <v>13</v>
      </c>
      <c r="AF609" s="37">
        <f>IF(最佳化斷筋點!G609="","",最佳化斷筋點!G609)</f>
        <v>13</v>
      </c>
      <c r="AG609" s="37">
        <f>IF(最佳化斷筋點!H609="","",最佳化斷筋點!H609)</f>
        <v>13</v>
      </c>
      <c r="AH609" s="37">
        <f>IF(最佳化斷筋點!I609="","",最佳化斷筋點!I609)</f>
        <v>12</v>
      </c>
      <c r="AI609" s="37">
        <f>IF(最佳化斷筋點!J609="","",最佳化斷筋點!J609)</f>
        <v>11</v>
      </c>
      <c r="AJ609" s="37">
        <f>IF(最佳化斷筋點!K609="","",最佳化斷筋點!K609)</f>
        <v>4</v>
      </c>
      <c r="AK609" s="37">
        <f>IF(最佳化斷筋點!L609="","",最佳化斷筋點!L609)</f>
        <v>4</v>
      </c>
      <c r="AL609" s="37">
        <f>IF(最佳化斷筋點!M609="","",最佳化斷筋點!M609)</f>
        <v>4</v>
      </c>
      <c r="AM609" s="37">
        <f>IF(最佳化斷筋點!N609="","",最佳化斷筋點!N609)</f>
        <v>4</v>
      </c>
      <c r="AN609" s="37">
        <f>IF(最佳化斷筋點!O609="","",最佳化斷筋點!O609)</f>
        <v>4</v>
      </c>
      <c r="AO609" s="37">
        <f>IF(最佳化斷筋點!P609="","",最佳化斷筋點!P609)</f>
        <v>4</v>
      </c>
      <c r="AP609" s="37">
        <f>IF(最佳化斷筋點!Q609="","",最佳化斷筋點!Q609)</f>
        <v>9</v>
      </c>
      <c r="AQ609" s="37">
        <f>IF(最佳化斷筋點!R609="","",最佳化斷筋點!R609)</f>
        <v>10</v>
      </c>
      <c r="AR609" s="37">
        <f>IF(最佳化斷筋點!S609="","",最佳化斷筋點!S609)</f>
        <v>11</v>
      </c>
      <c r="AS609" s="37">
        <f>IF(最佳化斷筋點!T609="","",最佳化斷筋點!T609)</f>
        <v>12</v>
      </c>
      <c r="AT609" s="37">
        <f>IF(最佳化斷筋點!U609="","",最佳化斷筋點!U609)</f>
        <v>12</v>
      </c>
      <c r="AU609" s="37">
        <f>IF(最佳化斷筋點!V609="","",最佳化斷筋點!V609)</f>
        <v>12</v>
      </c>
      <c r="AV609" s="37">
        <f>IF(最佳化斷筋點!W609="","",最佳化斷筋點!W609)</f>
        <v>12</v>
      </c>
      <c r="AW609" s="37">
        <f>IF(最佳化斷筋點!X609="","",最佳化斷筋點!X609)</f>
        <v>12</v>
      </c>
      <c r="AY609" s="6" t="s">
        <v>21</v>
      </c>
      <c r="AZ609" s="37">
        <v>13</v>
      </c>
      <c r="BA609" s="37">
        <v>13</v>
      </c>
      <c r="BB609" s="37">
        <v>13</v>
      </c>
      <c r="BC609" s="37">
        <v>13</v>
      </c>
      <c r="BD609" s="37">
        <v>13</v>
      </c>
      <c r="BE609" s="37">
        <v>12</v>
      </c>
      <c r="BF609" s="37">
        <v>11</v>
      </c>
      <c r="BG609" s="37">
        <v>4</v>
      </c>
      <c r="BH609" s="37">
        <v>4</v>
      </c>
      <c r="BI609" s="37">
        <v>4</v>
      </c>
      <c r="BJ609" s="37">
        <v>4</v>
      </c>
      <c r="BK609" s="37">
        <v>4</v>
      </c>
      <c r="BL609" s="37">
        <v>4</v>
      </c>
      <c r="BM609" s="37">
        <v>9</v>
      </c>
      <c r="BN609" s="37">
        <v>10</v>
      </c>
      <c r="BO609" s="37">
        <v>11</v>
      </c>
      <c r="BP609" s="37">
        <v>12</v>
      </c>
      <c r="BQ609" s="37">
        <v>12</v>
      </c>
      <c r="BR609" s="37">
        <v>12</v>
      </c>
      <c r="BS609" s="37">
        <v>12</v>
      </c>
      <c r="BT609" s="37">
        <v>12</v>
      </c>
    </row>
    <row r="610" spans="5:72" x14ac:dyDescent="0.25">
      <c r="F610" s="6">
        <f t="shared" si="190"/>
        <v>0</v>
      </c>
      <c r="G610" s="6">
        <f t="shared" si="191"/>
        <v>0</v>
      </c>
      <c r="H610" s="6">
        <f t="shared" si="192"/>
        <v>0</v>
      </c>
      <c r="I610" s="6">
        <f t="shared" si="193"/>
        <v>0</v>
      </c>
      <c r="J610" s="6">
        <f t="shared" si="194"/>
        <v>0</v>
      </c>
      <c r="K610" s="6">
        <f t="shared" si="195"/>
        <v>0</v>
      </c>
      <c r="L610" s="6">
        <f t="shared" si="196"/>
        <v>0</v>
      </c>
      <c r="M610" s="6">
        <f t="shared" si="197"/>
        <v>0</v>
      </c>
      <c r="N610" s="6">
        <f t="shared" si="198"/>
        <v>0</v>
      </c>
      <c r="O610" s="6">
        <f t="shared" si="199"/>
        <v>0</v>
      </c>
      <c r="P610" s="6">
        <f t="shared" si="200"/>
        <v>0</v>
      </c>
      <c r="Q610" s="6">
        <f t="shared" si="201"/>
        <v>0</v>
      </c>
      <c r="R610" s="6">
        <f t="shared" si="202"/>
        <v>0</v>
      </c>
      <c r="S610" s="6">
        <f t="shared" si="203"/>
        <v>0</v>
      </c>
      <c r="T610" s="6">
        <f t="shared" si="204"/>
        <v>0</v>
      </c>
      <c r="U610" s="6">
        <f t="shared" si="205"/>
        <v>0</v>
      </c>
      <c r="V610" s="6">
        <f t="shared" si="206"/>
        <v>0</v>
      </c>
      <c r="W610" s="6">
        <f t="shared" si="207"/>
        <v>0</v>
      </c>
      <c r="X610" s="6">
        <f t="shared" si="208"/>
        <v>0</v>
      </c>
      <c r="Y610" s="6">
        <f t="shared" si="209"/>
        <v>0</v>
      </c>
      <c r="Z610" s="6">
        <f t="shared" si="210"/>
        <v>0</v>
      </c>
      <c r="AB610" s="36" t="str">
        <f>IF(最佳化斷筋點!C610="","",最佳化斷筋點!C610)</f>
        <v/>
      </c>
      <c r="AC610" s="37" t="str">
        <f>IF(最佳化斷筋點!D610="","",最佳化斷筋點!D610)</f>
        <v/>
      </c>
      <c r="AD610" s="37" t="str">
        <f>IF(最佳化斷筋點!E610="","",最佳化斷筋點!E610)</f>
        <v/>
      </c>
      <c r="AE610" s="37" t="str">
        <f>IF(最佳化斷筋點!F610="","",最佳化斷筋點!F610)</f>
        <v/>
      </c>
      <c r="AF610" s="37" t="str">
        <f>IF(最佳化斷筋點!G610="","",最佳化斷筋點!G610)</f>
        <v/>
      </c>
      <c r="AG610" s="37" t="str">
        <f>IF(最佳化斷筋點!H610="","",最佳化斷筋點!H610)</f>
        <v/>
      </c>
      <c r="AH610" s="37" t="str">
        <f>IF(最佳化斷筋點!I610="","",最佳化斷筋點!I610)</f>
        <v/>
      </c>
      <c r="AI610" s="37" t="str">
        <f>IF(最佳化斷筋點!J610="","",最佳化斷筋點!J610)</f>
        <v/>
      </c>
      <c r="AJ610" s="37" t="str">
        <f>IF(最佳化斷筋點!K610="","",最佳化斷筋點!K610)</f>
        <v/>
      </c>
      <c r="AK610" s="37" t="str">
        <f>IF(最佳化斷筋點!L610="","",最佳化斷筋點!L610)</f>
        <v/>
      </c>
      <c r="AL610" s="37" t="str">
        <f>IF(最佳化斷筋點!M610="","",最佳化斷筋點!M610)</f>
        <v/>
      </c>
      <c r="AM610" s="37" t="str">
        <f>IF(最佳化斷筋點!N610="","",最佳化斷筋點!N610)</f>
        <v/>
      </c>
      <c r="AN610" s="37" t="str">
        <f>IF(最佳化斷筋點!O610="","",最佳化斷筋點!O610)</f>
        <v/>
      </c>
      <c r="AO610" s="37" t="str">
        <f>IF(最佳化斷筋點!P610="","",最佳化斷筋點!P610)</f>
        <v/>
      </c>
      <c r="AP610" s="37" t="str">
        <f>IF(最佳化斷筋點!Q610="","",最佳化斷筋點!Q610)</f>
        <v/>
      </c>
      <c r="AQ610" s="37" t="str">
        <f>IF(最佳化斷筋點!R610="","",最佳化斷筋點!R610)</f>
        <v/>
      </c>
      <c r="AR610" s="37" t="str">
        <f>IF(最佳化斷筋點!S610="","",最佳化斷筋點!S610)</f>
        <v/>
      </c>
      <c r="AS610" s="37" t="str">
        <f>IF(最佳化斷筋點!T610="","",最佳化斷筋點!T610)</f>
        <v/>
      </c>
      <c r="AT610" s="37" t="str">
        <f>IF(最佳化斷筋點!U610="","",最佳化斷筋點!U610)</f>
        <v/>
      </c>
      <c r="AU610" s="37" t="str">
        <f>IF(最佳化斷筋點!V610="","",最佳化斷筋點!V610)</f>
        <v/>
      </c>
      <c r="AV610" s="37" t="str">
        <f>IF(最佳化斷筋點!W610="","",最佳化斷筋點!W610)</f>
        <v/>
      </c>
      <c r="AW610" s="37" t="str">
        <f>IF(最佳化斷筋點!X610="","",最佳化斷筋點!X610)</f>
        <v/>
      </c>
      <c r="AZ610" s="37" t="s">
        <v>197</v>
      </c>
      <c r="BA610" s="37" t="s">
        <v>197</v>
      </c>
      <c r="BB610" s="37" t="s">
        <v>197</v>
      </c>
      <c r="BC610" s="37" t="s">
        <v>197</v>
      </c>
      <c r="BD610" s="37" t="s">
        <v>197</v>
      </c>
      <c r="BE610" s="37" t="s">
        <v>197</v>
      </c>
      <c r="BF610" s="37" t="s">
        <v>197</v>
      </c>
      <c r="BG610" s="37" t="s">
        <v>197</v>
      </c>
      <c r="BH610" s="37" t="s">
        <v>197</v>
      </c>
      <c r="BI610" s="37" t="s">
        <v>197</v>
      </c>
      <c r="BJ610" s="37" t="s">
        <v>197</v>
      </c>
      <c r="BK610" s="37" t="s">
        <v>197</v>
      </c>
      <c r="BL610" s="37" t="s">
        <v>197</v>
      </c>
      <c r="BM610" s="37" t="s">
        <v>197</v>
      </c>
      <c r="BN610" s="37" t="s">
        <v>197</v>
      </c>
      <c r="BO610" s="37" t="s">
        <v>197</v>
      </c>
      <c r="BP610" s="37" t="s">
        <v>197</v>
      </c>
      <c r="BQ610" s="37" t="s">
        <v>197</v>
      </c>
      <c r="BR610" s="37" t="s">
        <v>197</v>
      </c>
      <c r="BS610" s="37" t="s">
        <v>197</v>
      </c>
      <c r="BT610" s="37" t="s">
        <v>197</v>
      </c>
    </row>
    <row r="611" spans="5:72" x14ac:dyDescent="0.25">
      <c r="E611" s="6" t="s">
        <v>20</v>
      </c>
      <c r="F611" s="6">
        <f t="shared" si="190"/>
        <v>0</v>
      </c>
      <c r="G611" s="6">
        <f t="shared" si="191"/>
        <v>0</v>
      </c>
      <c r="H611" s="6">
        <f t="shared" si="192"/>
        <v>0</v>
      </c>
      <c r="I611" s="6">
        <f t="shared" si="193"/>
        <v>0</v>
      </c>
      <c r="J611" s="6">
        <f t="shared" si="194"/>
        <v>0</v>
      </c>
      <c r="K611" s="6">
        <f t="shared" si="195"/>
        <v>0</v>
      </c>
      <c r="L611" s="6">
        <f t="shared" si="196"/>
        <v>0</v>
      </c>
      <c r="M611" s="6">
        <f t="shared" si="197"/>
        <v>0</v>
      </c>
      <c r="N611" s="6">
        <f t="shared" si="198"/>
        <v>0</v>
      </c>
      <c r="O611" s="6">
        <f t="shared" si="199"/>
        <v>0</v>
      </c>
      <c r="P611" s="6">
        <f t="shared" si="200"/>
        <v>0</v>
      </c>
      <c r="Q611" s="6">
        <f t="shared" si="201"/>
        <v>0</v>
      </c>
      <c r="R611" s="6">
        <f t="shared" si="202"/>
        <v>0</v>
      </c>
      <c r="S611" s="6">
        <f t="shared" si="203"/>
        <v>0</v>
      </c>
      <c r="T611" s="6">
        <f t="shared" si="204"/>
        <v>0</v>
      </c>
      <c r="U611" s="6">
        <f t="shared" si="205"/>
        <v>0</v>
      </c>
      <c r="V611" s="6">
        <f t="shared" si="206"/>
        <v>0</v>
      </c>
      <c r="W611" s="6">
        <f t="shared" si="207"/>
        <v>0</v>
      </c>
      <c r="X611" s="6">
        <f t="shared" si="208"/>
        <v>0</v>
      </c>
      <c r="Y611" s="6">
        <f t="shared" si="209"/>
        <v>0</v>
      </c>
      <c r="Z611" s="6">
        <f t="shared" si="210"/>
        <v>0</v>
      </c>
      <c r="AB611" s="36" t="str">
        <f>IF(最佳化斷筋點!C611="","",最佳化斷筋點!C611)</f>
        <v>上層</v>
      </c>
      <c r="AC611" s="37">
        <f>IF(最佳化斷筋點!D611="","",最佳化斷筋點!D611)</f>
        <v>8</v>
      </c>
      <c r="AD611" s="37">
        <f>IF(最佳化斷筋點!E611="","",最佳化斷筋點!E611)</f>
        <v>8</v>
      </c>
      <c r="AE611" s="37">
        <f>IF(最佳化斷筋點!F611="","",最佳化斷筋點!F611)</f>
        <v>8</v>
      </c>
      <c r="AF611" s="37">
        <f>IF(最佳化斷筋點!G611="","",最佳化斷筋點!G611)</f>
        <v>8</v>
      </c>
      <c r="AG611" s="37">
        <f>IF(最佳化斷筋點!H611="","",最佳化斷筋點!H611)</f>
        <v>8</v>
      </c>
      <c r="AH611" s="37">
        <f>IF(最佳化斷筋點!I611="","",最佳化斷筋點!I611)</f>
        <v>8</v>
      </c>
      <c r="AI611" s="37">
        <f>IF(最佳化斷筋點!J611="","",最佳化斷筋點!J611)</f>
        <v>8</v>
      </c>
      <c r="AJ611" s="37">
        <f>IF(最佳化斷筋點!K611="","",最佳化斷筋點!K611)</f>
        <v>3</v>
      </c>
      <c r="AK611" s="37">
        <f>IF(最佳化斷筋點!L611="","",最佳化斷筋點!L611)</f>
        <v>3</v>
      </c>
      <c r="AL611" s="37">
        <f>IF(最佳化斷筋點!M611="","",最佳化斷筋點!M611)</f>
        <v>3</v>
      </c>
      <c r="AM611" s="37">
        <f>IF(最佳化斷筋點!N611="","",最佳化斷筋點!N611)</f>
        <v>3</v>
      </c>
      <c r="AN611" s="37">
        <f>IF(最佳化斷筋點!O611="","",最佳化斷筋點!O611)</f>
        <v>3</v>
      </c>
      <c r="AO611" s="37">
        <f>IF(最佳化斷筋點!P611="","",最佳化斷筋點!P611)</f>
        <v>3</v>
      </c>
      <c r="AP611" s="37">
        <f>IF(最佳化斷筋點!Q611="","",最佳化斷筋點!Q611)</f>
        <v>4</v>
      </c>
      <c r="AQ611" s="37">
        <f>IF(最佳化斷筋點!R611="","",最佳化斷筋點!R611)</f>
        <v>5</v>
      </c>
      <c r="AR611" s="37">
        <f>IF(最佳化斷筋點!S611="","",最佳化斷筋點!S611)</f>
        <v>5</v>
      </c>
      <c r="AS611" s="37">
        <f>IF(最佳化斷筋點!T611="","",最佳化斷筋點!T611)</f>
        <v>6</v>
      </c>
      <c r="AT611" s="37">
        <f>IF(最佳化斷筋點!U611="","",最佳化斷筋點!U611)</f>
        <v>6</v>
      </c>
      <c r="AU611" s="37">
        <f>IF(最佳化斷筋點!V611="","",最佳化斷筋點!V611)</f>
        <v>6</v>
      </c>
      <c r="AV611" s="37">
        <f>IF(最佳化斷筋點!W611="","",最佳化斷筋點!W611)</f>
        <v>6</v>
      </c>
      <c r="AW611" s="37">
        <f>IF(最佳化斷筋點!X611="","",最佳化斷筋點!X611)</f>
        <v>6</v>
      </c>
      <c r="AY611" s="6" t="s">
        <v>20</v>
      </c>
      <c r="AZ611" s="37">
        <v>8</v>
      </c>
      <c r="BA611" s="37">
        <v>8</v>
      </c>
      <c r="BB611" s="37">
        <v>8</v>
      </c>
      <c r="BC611" s="37">
        <v>8</v>
      </c>
      <c r="BD611" s="37">
        <v>8</v>
      </c>
      <c r="BE611" s="37">
        <v>8</v>
      </c>
      <c r="BF611" s="37">
        <v>8</v>
      </c>
      <c r="BG611" s="37">
        <v>3</v>
      </c>
      <c r="BH611" s="37">
        <v>3</v>
      </c>
      <c r="BI611" s="37">
        <v>3</v>
      </c>
      <c r="BJ611" s="37">
        <v>3</v>
      </c>
      <c r="BK611" s="37">
        <v>3</v>
      </c>
      <c r="BL611" s="37">
        <v>3</v>
      </c>
      <c r="BM611" s="37">
        <v>4</v>
      </c>
      <c r="BN611" s="37">
        <v>5</v>
      </c>
      <c r="BO611" s="37">
        <v>5</v>
      </c>
      <c r="BP611" s="37">
        <v>6</v>
      </c>
      <c r="BQ611" s="37">
        <v>6</v>
      </c>
      <c r="BR611" s="37">
        <v>6</v>
      </c>
      <c r="BS611" s="37">
        <v>6</v>
      </c>
      <c r="BT611" s="37">
        <v>6</v>
      </c>
    </row>
    <row r="612" spans="5:72" x14ac:dyDescent="0.25">
      <c r="F612" s="6">
        <f t="shared" si="190"/>
        <v>0</v>
      </c>
      <c r="G612" s="6">
        <f t="shared" si="191"/>
        <v>0</v>
      </c>
      <c r="H612" s="6">
        <f t="shared" si="192"/>
        <v>0</v>
      </c>
      <c r="I612" s="6">
        <f t="shared" si="193"/>
        <v>0</v>
      </c>
      <c r="J612" s="6">
        <f t="shared" si="194"/>
        <v>0</v>
      </c>
      <c r="K612" s="6">
        <f t="shared" si="195"/>
        <v>0</v>
      </c>
      <c r="L612" s="6">
        <f t="shared" si="196"/>
        <v>0</v>
      </c>
      <c r="M612" s="6">
        <f t="shared" si="197"/>
        <v>0</v>
      </c>
      <c r="N612" s="6">
        <f t="shared" si="198"/>
        <v>0</v>
      </c>
      <c r="O612" s="6">
        <f t="shared" si="199"/>
        <v>0</v>
      </c>
      <c r="P612" s="6">
        <f t="shared" si="200"/>
        <v>0</v>
      </c>
      <c r="Q612" s="6">
        <f t="shared" si="201"/>
        <v>0</v>
      </c>
      <c r="R612" s="6">
        <f t="shared" si="202"/>
        <v>0</v>
      </c>
      <c r="S612" s="6">
        <f t="shared" si="203"/>
        <v>0</v>
      </c>
      <c r="T612" s="6">
        <f t="shared" si="204"/>
        <v>0</v>
      </c>
      <c r="U612" s="6">
        <f t="shared" si="205"/>
        <v>0</v>
      </c>
      <c r="V612" s="6">
        <f t="shared" si="206"/>
        <v>0</v>
      </c>
      <c r="W612" s="6">
        <f t="shared" si="207"/>
        <v>0</v>
      </c>
      <c r="X612" s="6">
        <f t="shared" si="208"/>
        <v>0</v>
      </c>
      <c r="Y612" s="6">
        <f t="shared" si="209"/>
        <v>0</v>
      </c>
      <c r="Z612" s="6">
        <f t="shared" si="210"/>
        <v>0</v>
      </c>
      <c r="AB612" s="36" t="str">
        <f>IF(最佳化斷筋點!C612="","",最佳化斷筋點!C612)</f>
        <v/>
      </c>
      <c r="AC612" s="37" t="str">
        <f>IF(最佳化斷筋點!D612="","",最佳化斷筋點!D612)</f>
        <v/>
      </c>
      <c r="AD612" s="37" t="str">
        <f>IF(最佳化斷筋點!E612="","",最佳化斷筋點!E612)</f>
        <v/>
      </c>
      <c r="AE612" s="37" t="str">
        <f>IF(最佳化斷筋點!F612="","",最佳化斷筋點!F612)</f>
        <v/>
      </c>
      <c r="AF612" s="37" t="str">
        <f>IF(最佳化斷筋點!G612="","",最佳化斷筋點!G612)</f>
        <v/>
      </c>
      <c r="AG612" s="37" t="str">
        <f>IF(最佳化斷筋點!H612="","",最佳化斷筋點!H612)</f>
        <v/>
      </c>
      <c r="AH612" s="37" t="str">
        <f>IF(最佳化斷筋點!I612="","",最佳化斷筋點!I612)</f>
        <v/>
      </c>
      <c r="AI612" s="37" t="str">
        <f>IF(最佳化斷筋點!J612="","",最佳化斷筋點!J612)</f>
        <v/>
      </c>
      <c r="AJ612" s="37" t="str">
        <f>IF(最佳化斷筋點!K612="","",最佳化斷筋點!K612)</f>
        <v/>
      </c>
      <c r="AK612" s="37" t="str">
        <f>IF(最佳化斷筋點!L612="","",最佳化斷筋點!L612)</f>
        <v/>
      </c>
      <c r="AL612" s="37" t="str">
        <f>IF(最佳化斷筋點!M612="","",最佳化斷筋點!M612)</f>
        <v/>
      </c>
      <c r="AM612" s="37" t="str">
        <f>IF(最佳化斷筋點!N612="","",最佳化斷筋點!N612)</f>
        <v/>
      </c>
      <c r="AN612" s="37" t="str">
        <f>IF(最佳化斷筋點!O612="","",最佳化斷筋點!O612)</f>
        <v/>
      </c>
      <c r="AO612" s="37" t="str">
        <f>IF(最佳化斷筋點!P612="","",最佳化斷筋點!P612)</f>
        <v/>
      </c>
      <c r="AP612" s="37" t="str">
        <f>IF(最佳化斷筋點!Q612="","",最佳化斷筋點!Q612)</f>
        <v/>
      </c>
      <c r="AQ612" s="37" t="str">
        <f>IF(最佳化斷筋點!R612="","",最佳化斷筋點!R612)</f>
        <v/>
      </c>
      <c r="AR612" s="37" t="str">
        <f>IF(最佳化斷筋點!S612="","",最佳化斷筋點!S612)</f>
        <v/>
      </c>
      <c r="AS612" s="37" t="str">
        <f>IF(最佳化斷筋點!T612="","",最佳化斷筋點!T612)</f>
        <v/>
      </c>
      <c r="AT612" s="37" t="str">
        <f>IF(最佳化斷筋點!U612="","",最佳化斷筋點!U612)</f>
        <v/>
      </c>
      <c r="AU612" s="37" t="str">
        <f>IF(最佳化斷筋點!V612="","",最佳化斷筋點!V612)</f>
        <v/>
      </c>
      <c r="AV612" s="37" t="str">
        <f>IF(最佳化斷筋點!W612="","",最佳化斷筋點!W612)</f>
        <v/>
      </c>
      <c r="AW612" s="37" t="str">
        <f>IF(最佳化斷筋點!X612="","",最佳化斷筋點!X612)</f>
        <v/>
      </c>
      <c r="AZ612" s="37" t="s">
        <v>197</v>
      </c>
      <c r="BA612" s="37" t="s">
        <v>197</v>
      </c>
      <c r="BB612" s="37" t="s">
        <v>197</v>
      </c>
      <c r="BC612" s="37" t="s">
        <v>197</v>
      </c>
      <c r="BD612" s="37" t="s">
        <v>197</v>
      </c>
      <c r="BE612" s="37" t="s">
        <v>197</v>
      </c>
      <c r="BF612" s="37" t="s">
        <v>197</v>
      </c>
      <c r="BG612" s="37" t="s">
        <v>197</v>
      </c>
      <c r="BH612" s="37" t="s">
        <v>197</v>
      </c>
      <c r="BI612" s="37" t="s">
        <v>197</v>
      </c>
      <c r="BJ612" s="37" t="s">
        <v>197</v>
      </c>
      <c r="BK612" s="37" t="s">
        <v>197</v>
      </c>
      <c r="BL612" s="37" t="s">
        <v>197</v>
      </c>
      <c r="BM612" s="37" t="s">
        <v>197</v>
      </c>
      <c r="BN612" s="37" t="s">
        <v>197</v>
      </c>
      <c r="BO612" s="37" t="s">
        <v>197</v>
      </c>
      <c r="BP612" s="37" t="s">
        <v>197</v>
      </c>
      <c r="BQ612" s="37" t="s">
        <v>197</v>
      </c>
      <c r="BR612" s="37" t="s">
        <v>197</v>
      </c>
      <c r="BS612" s="37" t="s">
        <v>197</v>
      </c>
      <c r="BT612" s="37" t="s">
        <v>197</v>
      </c>
    </row>
    <row r="613" spans="5:72" x14ac:dyDescent="0.25">
      <c r="E613" s="6" t="s">
        <v>21</v>
      </c>
      <c r="F613" s="6">
        <f t="shared" si="190"/>
        <v>0</v>
      </c>
      <c r="G613" s="6">
        <f t="shared" si="191"/>
        <v>0</v>
      </c>
      <c r="H613" s="6">
        <f t="shared" si="192"/>
        <v>0</v>
      </c>
      <c r="I613" s="6">
        <f t="shared" si="193"/>
        <v>0</v>
      </c>
      <c r="J613" s="6">
        <f t="shared" si="194"/>
        <v>0</v>
      </c>
      <c r="K613" s="6">
        <f t="shared" si="195"/>
        <v>0</v>
      </c>
      <c r="L613" s="6">
        <f t="shared" si="196"/>
        <v>0</v>
      </c>
      <c r="M613" s="6">
        <f t="shared" si="197"/>
        <v>0</v>
      </c>
      <c r="N613" s="6">
        <f t="shared" si="198"/>
        <v>0</v>
      </c>
      <c r="O613" s="6">
        <f t="shared" si="199"/>
        <v>0</v>
      </c>
      <c r="P613" s="6">
        <f t="shared" si="200"/>
        <v>0</v>
      </c>
      <c r="Q613" s="6">
        <f t="shared" si="201"/>
        <v>0</v>
      </c>
      <c r="R613" s="6">
        <f t="shared" si="202"/>
        <v>0</v>
      </c>
      <c r="S613" s="6">
        <f t="shared" si="203"/>
        <v>0</v>
      </c>
      <c r="T613" s="6">
        <f t="shared" si="204"/>
        <v>0</v>
      </c>
      <c r="U613" s="6">
        <f t="shared" si="205"/>
        <v>0</v>
      </c>
      <c r="V613" s="6">
        <f t="shared" si="206"/>
        <v>0</v>
      </c>
      <c r="W613" s="6">
        <f t="shared" si="207"/>
        <v>0</v>
      </c>
      <c r="X613" s="6">
        <f t="shared" si="208"/>
        <v>0</v>
      </c>
      <c r="Y613" s="6">
        <f t="shared" si="209"/>
        <v>0</v>
      </c>
      <c r="Z613" s="6">
        <f t="shared" si="210"/>
        <v>0</v>
      </c>
      <c r="AB613" s="36" t="str">
        <f>IF(最佳化斷筋點!C613="","",最佳化斷筋點!C613)</f>
        <v>下層</v>
      </c>
      <c r="AC613" s="37">
        <f>IF(最佳化斷筋點!D613="","",最佳化斷筋點!D613)</f>
        <v>8</v>
      </c>
      <c r="AD613" s="37">
        <f>IF(最佳化斷筋點!E613="","",最佳化斷筋點!E613)</f>
        <v>8</v>
      </c>
      <c r="AE613" s="37">
        <f>IF(最佳化斷筋點!F613="","",最佳化斷筋點!F613)</f>
        <v>8</v>
      </c>
      <c r="AF613" s="37">
        <f>IF(最佳化斷筋點!G613="","",最佳化斷筋點!G613)</f>
        <v>8</v>
      </c>
      <c r="AG613" s="37">
        <f>IF(最佳化斷筋點!H613="","",最佳化斷筋點!H613)</f>
        <v>8</v>
      </c>
      <c r="AH613" s="37">
        <f>IF(最佳化斷筋點!I613="","",最佳化斷筋點!I613)</f>
        <v>7</v>
      </c>
      <c r="AI613" s="37">
        <f>IF(最佳化斷筋點!J613="","",最佳化斷筋點!J613)</f>
        <v>6</v>
      </c>
      <c r="AJ613" s="37">
        <f>IF(最佳化斷筋點!K613="","",最佳化斷筋點!K613)</f>
        <v>4</v>
      </c>
      <c r="AK613" s="37">
        <f>IF(最佳化斷筋點!L613="","",最佳化斷筋點!L613)</f>
        <v>4</v>
      </c>
      <c r="AL613" s="37">
        <f>IF(最佳化斷筋點!M613="","",最佳化斷筋點!M613)</f>
        <v>4</v>
      </c>
      <c r="AM613" s="37">
        <f>IF(最佳化斷筋點!N613="","",最佳化斷筋點!N613)</f>
        <v>4</v>
      </c>
      <c r="AN613" s="37">
        <f>IF(最佳化斷筋點!O613="","",最佳化斷筋點!O613)</f>
        <v>4</v>
      </c>
      <c r="AO613" s="37">
        <f>IF(最佳化斷筋點!P613="","",最佳化斷筋點!P613)</f>
        <v>4</v>
      </c>
      <c r="AP613" s="37">
        <f>IF(最佳化斷筋點!Q613="","",最佳化斷筋點!Q613)</f>
        <v>6</v>
      </c>
      <c r="AQ613" s="37">
        <f>IF(最佳化斷筋點!R613="","",最佳化斷筋點!R613)</f>
        <v>7</v>
      </c>
      <c r="AR613" s="37">
        <f>IF(最佳化斷筋點!S613="","",最佳化斷筋點!S613)</f>
        <v>8</v>
      </c>
      <c r="AS613" s="37">
        <f>IF(最佳化斷筋點!T613="","",最佳化斷筋點!T613)</f>
        <v>9</v>
      </c>
      <c r="AT613" s="37">
        <f>IF(最佳化斷筋點!U613="","",最佳化斷筋點!U613)</f>
        <v>10</v>
      </c>
      <c r="AU613" s="37">
        <f>IF(最佳化斷筋點!V613="","",最佳化斷筋點!V613)</f>
        <v>10</v>
      </c>
      <c r="AV613" s="37">
        <f>IF(最佳化斷筋點!W613="","",最佳化斷筋點!W613)</f>
        <v>10</v>
      </c>
      <c r="AW613" s="37">
        <f>IF(最佳化斷筋點!X613="","",最佳化斷筋點!X613)</f>
        <v>10</v>
      </c>
      <c r="AY613" s="6" t="s">
        <v>21</v>
      </c>
      <c r="AZ613" s="37">
        <v>8</v>
      </c>
      <c r="BA613" s="37">
        <v>8</v>
      </c>
      <c r="BB613" s="37">
        <v>8</v>
      </c>
      <c r="BC613" s="37">
        <v>8</v>
      </c>
      <c r="BD613" s="37">
        <v>8</v>
      </c>
      <c r="BE613" s="37">
        <v>7</v>
      </c>
      <c r="BF613" s="37">
        <v>6</v>
      </c>
      <c r="BG613" s="37">
        <v>4</v>
      </c>
      <c r="BH613" s="37">
        <v>4</v>
      </c>
      <c r="BI613" s="37">
        <v>4</v>
      </c>
      <c r="BJ613" s="37">
        <v>4</v>
      </c>
      <c r="BK613" s="37">
        <v>4</v>
      </c>
      <c r="BL613" s="37">
        <v>4</v>
      </c>
      <c r="BM613" s="37">
        <v>6</v>
      </c>
      <c r="BN613" s="37">
        <v>7</v>
      </c>
      <c r="BO613" s="37">
        <v>8</v>
      </c>
      <c r="BP613" s="37">
        <v>9</v>
      </c>
      <c r="BQ613" s="37">
        <v>10</v>
      </c>
      <c r="BR613" s="37">
        <v>10</v>
      </c>
      <c r="BS613" s="37">
        <v>10</v>
      </c>
      <c r="BT613" s="37">
        <v>10</v>
      </c>
    </row>
    <row r="614" spans="5:72" x14ac:dyDescent="0.25">
      <c r="F614" s="6">
        <f t="shared" si="190"/>
        <v>0</v>
      </c>
      <c r="G614" s="6">
        <f t="shared" si="191"/>
        <v>0</v>
      </c>
      <c r="H614" s="6">
        <f t="shared" si="192"/>
        <v>0</v>
      </c>
      <c r="I614" s="6">
        <f t="shared" si="193"/>
        <v>0</v>
      </c>
      <c r="J614" s="6">
        <f t="shared" si="194"/>
        <v>0</v>
      </c>
      <c r="K614" s="6">
        <f t="shared" si="195"/>
        <v>0</v>
      </c>
      <c r="L614" s="6">
        <f t="shared" si="196"/>
        <v>0</v>
      </c>
      <c r="M614" s="6">
        <f t="shared" si="197"/>
        <v>0</v>
      </c>
      <c r="N614" s="6">
        <f t="shared" si="198"/>
        <v>0</v>
      </c>
      <c r="O614" s="6">
        <f t="shared" si="199"/>
        <v>0</v>
      </c>
      <c r="P614" s="6">
        <f t="shared" si="200"/>
        <v>0</v>
      </c>
      <c r="Q614" s="6">
        <f t="shared" si="201"/>
        <v>0</v>
      </c>
      <c r="R614" s="6">
        <f t="shared" si="202"/>
        <v>0</v>
      </c>
      <c r="S614" s="6">
        <f t="shared" si="203"/>
        <v>0</v>
      </c>
      <c r="T614" s="6">
        <f t="shared" si="204"/>
        <v>0</v>
      </c>
      <c r="U614" s="6">
        <f t="shared" si="205"/>
        <v>0</v>
      </c>
      <c r="V614" s="6">
        <f t="shared" si="206"/>
        <v>0</v>
      </c>
      <c r="W614" s="6">
        <f t="shared" si="207"/>
        <v>0</v>
      </c>
      <c r="X614" s="6">
        <f t="shared" si="208"/>
        <v>0</v>
      </c>
      <c r="Y614" s="6">
        <f t="shared" si="209"/>
        <v>0</v>
      </c>
      <c r="Z614" s="6">
        <f t="shared" si="210"/>
        <v>0</v>
      </c>
      <c r="AB614" s="36" t="str">
        <f>IF(最佳化斷筋點!C614="","",最佳化斷筋點!C614)</f>
        <v/>
      </c>
      <c r="AC614" s="37" t="str">
        <f>IF(最佳化斷筋點!D614="","",最佳化斷筋點!D614)</f>
        <v/>
      </c>
      <c r="AD614" s="37" t="str">
        <f>IF(最佳化斷筋點!E614="","",最佳化斷筋點!E614)</f>
        <v/>
      </c>
      <c r="AE614" s="37" t="str">
        <f>IF(最佳化斷筋點!F614="","",最佳化斷筋點!F614)</f>
        <v/>
      </c>
      <c r="AF614" s="37" t="str">
        <f>IF(最佳化斷筋點!G614="","",最佳化斷筋點!G614)</f>
        <v/>
      </c>
      <c r="AG614" s="37" t="str">
        <f>IF(最佳化斷筋點!H614="","",最佳化斷筋點!H614)</f>
        <v/>
      </c>
      <c r="AH614" s="37" t="str">
        <f>IF(最佳化斷筋點!I614="","",最佳化斷筋點!I614)</f>
        <v/>
      </c>
      <c r="AI614" s="37" t="str">
        <f>IF(最佳化斷筋點!J614="","",最佳化斷筋點!J614)</f>
        <v/>
      </c>
      <c r="AJ614" s="37" t="str">
        <f>IF(最佳化斷筋點!K614="","",最佳化斷筋點!K614)</f>
        <v/>
      </c>
      <c r="AK614" s="37" t="str">
        <f>IF(最佳化斷筋點!L614="","",最佳化斷筋點!L614)</f>
        <v/>
      </c>
      <c r="AL614" s="37" t="str">
        <f>IF(最佳化斷筋點!M614="","",最佳化斷筋點!M614)</f>
        <v/>
      </c>
      <c r="AM614" s="37" t="str">
        <f>IF(最佳化斷筋點!N614="","",最佳化斷筋點!N614)</f>
        <v/>
      </c>
      <c r="AN614" s="37" t="str">
        <f>IF(最佳化斷筋點!O614="","",最佳化斷筋點!O614)</f>
        <v/>
      </c>
      <c r="AO614" s="37" t="str">
        <f>IF(最佳化斷筋點!P614="","",最佳化斷筋點!P614)</f>
        <v/>
      </c>
      <c r="AP614" s="37" t="str">
        <f>IF(最佳化斷筋點!Q614="","",最佳化斷筋點!Q614)</f>
        <v/>
      </c>
      <c r="AQ614" s="37" t="str">
        <f>IF(最佳化斷筋點!R614="","",最佳化斷筋點!R614)</f>
        <v/>
      </c>
      <c r="AR614" s="37" t="str">
        <f>IF(最佳化斷筋點!S614="","",最佳化斷筋點!S614)</f>
        <v/>
      </c>
      <c r="AS614" s="37" t="str">
        <f>IF(最佳化斷筋點!T614="","",最佳化斷筋點!T614)</f>
        <v/>
      </c>
      <c r="AT614" s="37" t="str">
        <f>IF(最佳化斷筋點!U614="","",最佳化斷筋點!U614)</f>
        <v/>
      </c>
      <c r="AU614" s="37" t="str">
        <f>IF(最佳化斷筋點!V614="","",最佳化斷筋點!V614)</f>
        <v/>
      </c>
      <c r="AV614" s="37" t="str">
        <f>IF(最佳化斷筋點!W614="","",最佳化斷筋點!W614)</f>
        <v/>
      </c>
      <c r="AW614" s="37" t="str">
        <f>IF(最佳化斷筋點!X614="","",最佳化斷筋點!X614)</f>
        <v/>
      </c>
      <c r="AZ614" s="37" t="s">
        <v>197</v>
      </c>
      <c r="BA614" s="37" t="s">
        <v>197</v>
      </c>
      <c r="BB614" s="37" t="s">
        <v>197</v>
      </c>
      <c r="BC614" s="37" t="s">
        <v>197</v>
      </c>
      <c r="BD614" s="37" t="s">
        <v>197</v>
      </c>
      <c r="BE614" s="37" t="s">
        <v>197</v>
      </c>
      <c r="BF614" s="37" t="s">
        <v>197</v>
      </c>
      <c r="BG614" s="37" t="s">
        <v>197</v>
      </c>
      <c r="BH614" s="37" t="s">
        <v>197</v>
      </c>
      <c r="BI614" s="37" t="s">
        <v>197</v>
      </c>
      <c r="BJ614" s="37" t="s">
        <v>197</v>
      </c>
      <c r="BK614" s="37" t="s">
        <v>197</v>
      </c>
      <c r="BL614" s="37" t="s">
        <v>197</v>
      </c>
      <c r="BM614" s="37" t="s">
        <v>197</v>
      </c>
      <c r="BN614" s="37" t="s">
        <v>197</v>
      </c>
      <c r="BO614" s="37" t="s">
        <v>197</v>
      </c>
      <c r="BP614" s="37" t="s">
        <v>197</v>
      </c>
      <c r="BQ614" s="37" t="s">
        <v>197</v>
      </c>
      <c r="BR614" s="37" t="s">
        <v>197</v>
      </c>
      <c r="BS614" s="37" t="s">
        <v>197</v>
      </c>
      <c r="BT614" s="37" t="s">
        <v>197</v>
      </c>
    </row>
    <row r="615" spans="5:72" x14ac:dyDescent="0.25">
      <c r="E615" s="6" t="s">
        <v>20</v>
      </c>
      <c r="F615" s="6">
        <f t="shared" si="190"/>
        <v>0</v>
      </c>
      <c r="G615" s="6">
        <f t="shared" si="191"/>
        <v>0</v>
      </c>
      <c r="H615" s="6">
        <f t="shared" si="192"/>
        <v>0</v>
      </c>
      <c r="I615" s="6">
        <f t="shared" si="193"/>
        <v>0</v>
      </c>
      <c r="J615" s="6">
        <f t="shared" si="194"/>
        <v>0</v>
      </c>
      <c r="K615" s="6">
        <f t="shared" si="195"/>
        <v>0</v>
      </c>
      <c r="L615" s="6">
        <f t="shared" si="196"/>
        <v>0</v>
      </c>
      <c r="M615" s="6">
        <f t="shared" si="197"/>
        <v>0</v>
      </c>
      <c r="N615" s="6">
        <f t="shared" si="198"/>
        <v>0</v>
      </c>
      <c r="O615" s="6">
        <f t="shared" si="199"/>
        <v>0</v>
      </c>
      <c r="P615" s="6">
        <f t="shared" si="200"/>
        <v>0</v>
      </c>
      <c r="Q615" s="6">
        <f t="shared" si="201"/>
        <v>0</v>
      </c>
      <c r="R615" s="6">
        <f t="shared" si="202"/>
        <v>0</v>
      </c>
      <c r="S615" s="6">
        <f t="shared" si="203"/>
        <v>0</v>
      </c>
      <c r="T615" s="6">
        <f t="shared" si="204"/>
        <v>0</v>
      </c>
      <c r="U615" s="6">
        <f t="shared" si="205"/>
        <v>0</v>
      </c>
      <c r="V615" s="6">
        <f t="shared" si="206"/>
        <v>0</v>
      </c>
      <c r="W615" s="6">
        <f t="shared" si="207"/>
        <v>0</v>
      </c>
      <c r="X615" s="6">
        <f t="shared" si="208"/>
        <v>0</v>
      </c>
      <c r="Y615" s="6">
        <f t="shared" si="209"/>
        <v>0</v>
      </c>
      <c r="Z615" s="6">
        <f t="shared" si="210"/>
        <v>0</v>
      </c>
      <c r="AB615" s="36" t="str">
        <f>IF(最佳化斷筋點!C615="","",最佳化斷筋點!C615)</f>
        <v>上層</v>
      </c>
      <c r="AC615" s="37">
        <f>IF(最佳化斷筋點!D615="","",最佳化斷筋點!D615)</f>
        <v>7</v>
      </c>
      <c r="AD615" s="37">
        <f>IF(最佳化斷筋點!E615="","",最佳化斷筋點!E615)</f>
        <v>7</v>
      </c>
      <c r="AE615" s="37">
        <f>IF(最佳化斷筋點!F615="","",最佳化斷筋點!F615)</f>
        <v>7</v>
      </c>
      <c r="AF615" s="37">
        <f>IF(最佳化斷筋點!G615="","",最佳化斷筋點!G615)</f>
        <v>7</v>
      </c>
      <c r="AG615" s="37">
        <f>IF(最佳化斷筋點!H615="","",最佳化斷筋點!H615)</f>
        <v>7</v>
      </c>
      <c r="AH615" s="37">
        <f>IF(最佳化斷筋點!I615="","",最佳化斷筋點!I615)</f>
        <v>6</v>
      </c>
      <c r="AI615" s="37">
        <f>IF(最佳化斷筋點!J615="","",最佳化斷筋點!J615)</f>
        <v>6</v>
      </c>
      <c r="AJ615" s="37">
        <f>IF(最佳化斷筋點!K615="","",最佳化斷筋點!K615)</f>
        <v>3</v>
      </c>
      <c r="AK615" s="37">
        <f>IF(最佳化斷筋點!L615="","",最佳化斷筋點!L615)</f>
        <v>3</v>
      </c>
      <c r="AL615" s="37">
        <f>IF(最佳化斷筋點!M615="","",最佳化斷筋點!M615)</f>
        <v>3</v>
      </c>
      <c r="AM615" s="37">
        <f>IF(最佳化斷筋點!N615="","",最佳化斷筋點!N615)</f>
        <v>3</v>
      </c>
      <c r="AN615" s="37">
        <f>IF(最佳化斷筋點!O615="","",最佳化斷筋點!O615)</f>
        <v>3</v>
      </c>
      <c r="AO615" s="37">
        <f>IF(最佳化斷筋點!P615="","",最佳化斷筋點!P615)</f>
        <v>3</v>
      </c>
      <c r="AP615" s="37">
        <f>IF(最佳化斷筋點!Q615="","",最佳化斷筋點!Q615)</f>
        <v>5</v>
      </c>
      <c r="AQ615" s="37">
        <f>IF(最佳化斷筋點!R615="","",最佳化斷筋點!R615)</f>
        <v>6</v>
      </c>
      <c r="AR615" s="37">
        <f>IF(最佳化斷筋點!S615="","",最佳化斷筋點!S615)</f>
        <v>6</v>
      </c>
      <c r="AS615" s="37">
        <f>IF(最佳化斷筋點!T615="","",最佳化斷筋點!T615)</f>
        <v>7</v>
      </c>
      <c r="AT615" s="37">
        <f>IF(最佳化斷筋點!U615="","",最佳化斷筋點!U615)</f>
        <v>8</v>
      </c>
      <c r="AU615" s="37">
        <f>IF(最佳化斷筋點!V615="","",最佳化斷筋點!V615)</f>
        <v>8</v>
      </c>
      <c r="AV615" s="37">
        <f>IF(最佳化斷筋點!W615="","",最佳化斷筋點!W615)</f>
        <v>8</v>
      </c>
      <c r="AW615" s="37">
        <f>IF(最佳化斷筋點!X615="","",最佳化斷筋點!X615)</f>
        <v>8</v>
      </c>
      <c r="AY615" s="6" t="s">
        <v>20</v>
      </c>
      <c r="AZ615" s="37">
        <v>7</v>
      </c>
      <c r="BA615" s="37">
        <v>7</v>
      </c>
      <c r="BB615" s="37">
        <v>7</v>
      </c>
      <c r="BC615" s="37">
        <v>7</v>
      </c>
      <c r="BD615" s="37">
        <v>7</v>
      </c>
      <c r="BE615" s="37">
        <v>6</v>
      </c>
      <c r="BF615" s="37">
        <v>6</v>
      </c>
      <c r="BG615" s="37">
        <v>3</v>
      </c>
      <c r="BH615" s="37">
        <v>3</v>
      </c>
      <c r="BI615" s="37">
        <v>3</v>
      </c>
      <c r="BJ615" s="37">
        <v>3</v>
      </c>
      <c r="BK615" s="37">
        <v>3</v>
      </c>
      <c r="BL615" s="37">
        <v>3</v>
      </c>
      <c r="BM615" s="37">
        <v>5</v>
      </c>
      <c r="BN615" s="37">
        <v>6</v>
      </c>
      <c r="BO615" s="37">
        <v>6</v>
      </c>
      <c r="BP615" s="37">
        <v>7</v>
      </c>
      <c r="BQ615" s="37">
        <v>8</v>
      </c>
      <c r="BR615" s="37">
        <v>8</v>
      </c>
      <c r="BS615" s="37">
        <v>8</v>
      </c>
      <c r="BT615" s="37">
        <v>8</v>
      </c>
    </row>
    <row r="616" spans="5:72" x14ac:dyDescent="0.25">
      <c r="F616" s="6">
        <f t="shared" si="190"/>
        <v>0</v>
      </c>
      <c r="G616" s="6">
        <f t="shared" si="191"/>
        <v>0</v>
      </c>
      <c r="H616" s="6">
        <f t="shared" si="192"/>
        <v>0</v>
      </c>
      <c r="I616" s="6">
        <f t="shared" si="193"/>
        <v>0</v>
      </c>
      <c r="J616" s="6">
        <f t="shared" si="194"/>
        <v>0</v>
      </c>
      <c r="K616" s="6">
        <f t="shared" si="195"/>
        <v>0</v>
      </c>
      <c r="L616" s="6">
        <f t="shared" si="196"/>
        <v>0</v>
      </c>
      <c r="M616" s="6">
        <f t="shared" si="197"/>
        <v>0</v>
      </c>
      <c r="N616" s="6">
        <f t="shared" si="198"/>
        <v>0</v>
      </c>
      <c r="O616" s="6">
        <f t="shared" si="199"/>
        <v>0</v>
      </c>
      <c r="P616" s="6">
        <f t="shared" si="200"/>
        <v>0</v>
      </c>
      <c r="Q616" s="6">
        <f t="shared" si="201"/>
        <v>0</v>
      </c>
      <c r="R616" s="6">
        <f t="shared" si="202"/>
        <v>0</v>
      </c>
      <c r="S616" s="6">
        <f t="shared" si="203"/>
        <v>0</v>
      </c>
      <c r="T616" s="6">
        <f t="shared" si="204"/>
        <v>0</v>
      </c>
      <c r="U616" s="6">
        <f t="shared" si="205"/>
        <v>0</v>
      </c>
      <c r="V616" s="6">
        <f t="shared" si="206"/>
        <v>0</v>
      </c>
      <c r="W616" s="6">
        <f t="shared" si="207"/>
        <v>0</v>
      </c>
      <c r="X616" s="6">
        <f t="shared" si="208"/>
        <v>0</v>
      </c>
      <c r="Y616" s="6">
        <f t="shared" si="209"/>
        <v>0</v>
      </c>
      <c r="Z616" s="6">
        <f t="shared" si="210"/>
        <v>0</v>
      </c>
      <c r="AB616" s="36" t="str">
        <f>IF(最佳化斷筋點!C616="","",最佳化斷筋點!C616)</f>
        <v/>
      </c>
      <c r="AC616" s="37" t="str">
        <f>IF(最佳化斷筋點!D616="","",最佳化斷筋點!D616)</f>
        <v/>
      </c>
      <c r="AD616" s="37" t="str">
        <f>IF(最佳化斷筋點!E616="","",最佳化斷筋點!E616)</f>
        <v/>
      </c>
      <c r="AE616" s="37" t="str">
        <f>IF(最佳化斷筋點!F616="","",最佳化斷筋點!F616)</f>
        <v/>
      </c>
      <c r="AF616" s="37" t="str">
        <f>IF(最佳化斷筋點!G616="","",最佳化斷筋點!G616)</f>
        <v/>
      </c>
      <c r="AG616" s="37" t="str">
        <f>IF(最佳化斷筋點!H616="","",最佳化斷筋點!H616)</f>
        <v/>
      </c>
      <c r="AH616" s="37" t="str">
        <f>IF(最佳化斷筋點!I616="","",最佳化斷筋點!I616)</f>
        <v/>
      </c>
      <c r="AI616" s="37" t="str">
        <f>IF(最佳化斷筋點!J616="","",最佳化斷筋點!J616)</f>
        <v/>
      </c>
      <c r="AJ616" s="37" t="str">
        <f>IF(最佳化斷筋點!K616="","",最佳化斷筋點!K616)</f>
        <v/>
      </c>
      <c r="AK616" s="37" t="str">
        <f>IF(最佳化斷筋點!L616="","",最佳化斷筋點!L616)</f>
        <v/>
      </c>
      <c r="AL616" s="37" t="str">
        <f>IF(最佳化斷筋點!M616="","",最佳化斷筋點!M616)</f>
        <v/>
      </c>
      <c r="AM616" s="37" t="str">
        <f>IF(最佳化斷筋點!N616="","",最佳化斷筋點!N616)</f>
        <v/>
      </c>
      <c r="AN616" s="37" t="str">
        <f>IF(最佳化斷筋點!O616="","",最佳化斷筋點!O616)</f>
        <v/>
      </c>
      <c r="AO616" s="37" t="str">
        <f>IF(最佳化斷筋點!P616="","",最佳化斷筋點!P616)</f>
        <v/>
      </c>
      <c r="AP616" s="37" t="str">
        <f>IF(最佳化斷筋點!Q616="","",最佳化斷筋點!Q616)</f>
        <v/>
      </c>
      <c r="AQ616" s="37" t="str">
        <f>IF(最佳化斷筋點!R616="","",最佳化斷筋點!R616)</f>
        <v/>
      </c>
      <c r="AR616" s="37" t="str">
        <f>IF(最佳化斷筋點!S616="","",最佳化斷筋點!S616)</f>
        <v/>
      </c>
      <c r="AS616" s="37" t="str">
        <f>IF(最佳化斷筋點!T616="","",最佳化斷筋點!T616)</f>
        <v/>
      </c>
      <c r="AT616" s="37" t="str">
        <f>IF(最佳化斷筋點!U616="","",最佳化斷筋點!U616)</f>
        <v/>
      </c>
      <c r="AU616" s="37" t="str">
        <f>IF(最佳化斷筋點!V616="","",最佳化斷筋點!V616)</f>
        <v/>
      </c>
      <c r="AV616" s="37" t="str">
        <f>IF(最佳化斷筋點!W616="","",最佳化斷筋點!W616)</f>
        <v/>
      </c>
      <c r="AW616" s="37" t="str">
        <f>IF(最佳化斷筋點!X616="","",最佳化斷筋點!X616)</f>
        <v/>
      </c>
      <c r="AZ616" s="37" t="s">
        <v>197</v>
      </c>
      <c r="BA616" s="37" t="s">
        <v>197</v>
      </c>
      <c r="BB616" s="37" t="s">
        <v>197</v>
      </c>
      <c r="BC616" s="37" t="s">
        <v>197</v>
      </c>
      <c r="BD616" s="37" t="s">
        <v>197</v>
      </c>
      <c r="BE616" s="37" t="s">
        <v>197</v>
      </c>
      <c r="BF616" s="37" t="s">
        <v>197</v>
      </c>
      <c r="BG616" s="37" t="s">
        <v>197</v>
      </c>
      <c r="BH616" s="37" t="s">
        <v>197</v>
      </c>
      <c r="BI616" s="37" t="s">
        <v>197</v>
      </c>
      <c r="BJ616" s="37" t="s">
        <v>197</v>
      </c>
      <c r="BK616" s="37" t="s">
        <v>197</v>
      </c>
      <c r="BL616" s="37" t="s">
        <v>197</v>
      </c>
      <c r="BM616" s="37" t="s">
        <v>197</v>
      </c>
      <c r="BN616" s="37" t="s">
        <v>197</v>
      </c>
      <c r="BO616" s="37" t="s">
        <v>197</v>
      </c>
      <c r="BP616" s="37" t="s">
        <v>197</v>
      </c>
      <c r="BQ616" s="37" t="s">
        <v>197</v>
      </c>
      <c r="BR616" s="37" t="s">
        <v>197</v>
      </c>
      <c r="BS616" s="37" t="s">
        <v>197</v>
      </c>
      <c r="BT616" s="37" t="s">
        <v>197</v>
      </c>
    </row>
    <row r="617" spans="5:72" x14ac:dyDescent="0.25">
      <c r="E617" s="6" t="s">
        <v>21</v>
      </c>
      <c r="F617" s="6">
        <f t="shared" si="190"/>
        <v>0</v>
      </c>
      <c r="G617" s="6">
        <f t="shared" si="191"/>
        <v>0</v>
      </c>
      <c r="H617" s="6">
        <f t="shared" si="192"/>
        <v>0</v>
      </c>
      <c r="I617" s="6">
        <f t="shared" si="193"/>
        <v>0</v>
      </c>
      <c r="J617" s="6">
        <f t="shared" si="194"/>
        <v>0</v>
      </c>
      <c r="K617" s="6">
        <f t="shared" si="195"/>
        <v>0</v>
      </c>
      <c r="L617" s="6">
        <f t="shared" si="196"/>
        <v>0</v>
      </c>
      <c r="M617" s="6">
        <f t="shared" si="197"/>
        <v>0</v>
      </c>
      <c r="N617" s="6">
        <f t="shared" si="198"/>
        <v>0</v>
      </c>
      <c r="O617" s="6">
        <f t="shared" si="199"/>
        <v>0</v>
      </c>
      <c r="P617" s="6">
        <f t="shared" si="200"/>
        <v>0</v>
      </c>
      <c r="Q617" s="6">
        <f t="shared" si="201"/>
        <v>0</v>
      </c>
      <c r="R617" s="6">
        <f t="shared" si="202"/>
        <v>0</v>
      </c>
      <c r="S617" s="6">
        <f t="shared" si="203"/>
        <v>0</v>
      </c>
      <c r="T617" s="6">
        <f t="shared" si="204"/>
        <v>0</v>
      </c>
      <c r="U617" s="6">
        <f t="shared" si="205"/>
        <v>0</v>
      </c>
      <c r="V617" s="6">
        <f t="shared" si="206"/>
        <v>0</v>
      </c>
      <c r="W617" s="6">
        <f t="shared" si="207"/>
        <v>0</v>
      </c>
      <c r="X617" s="6">
        <f t="shared" si="208"/>
        <v>0</v>
      </c>
      <c r="Y617" s="6">
        <f t="shared" si="209"/>
        <v>0</v>
      </c>
      <c r="Z617" s="6">
        <f t="shared" si="210"/>
        <v>0</v>
      </c>
      <c r="AB617" s="36" t="str">
        <f>IF(最佳化斷筋點!C617="","",最佳化斷筋點!C617)</f>
        <v>下層</v>
      </c>
      <c r="AC617" s="37">
        <f>IF(最佳化斷筋點!D617="","",最佳化斷筋點!D617)</f>
        <v>5</v>
      </c>
      <c r="AD617" s="37">
        <f>IF(最佳化斷筋點!E617="","",最佳化斷筋點!E617)</f>
        <v>5</v>
      </c>
      <c r="AE617" s="37">
        <f>IF(最佳化斷筋點!F617="","",最佳化斷筋點!F617)</f>
        <v>5</v>
      </c>
      <c r="AF617" s="37">
        <f>IF(最佳化斷筋點!G617="","",最佳化斷筋點!G617)</f>
        <v>5</v>
      </c>
      <c r="AG617" s="37">
        <f>IF(最佳化斷筋點!H617="","",最佳化斷筋點!H617)</f>
        <v>5</v>
      </c>
      <c r="AH617" s="37">
        <f>IF(最佳化斷筋點!I617="","",最佳化斷筋點!I617)</f>
        <v>4</v>
      </c>
      <c r="AI617" s="37">
        <f>IF(最佳化斷筋點!J617="","",最佳化斷筋點!J617)</f>
        <v>4</v>
      </c>
      <c r="AJ617" s="37">
        <f>IF(最佳化斷筋點!K617="","",最佳化斷筋點!K617)</f>
        <v>4</v>
      </c>
      <c r="AK617" s="37">
        <f>IF(最佳化斷筋點!L617="","",最佳化斷筋點!L617)</f>
        <v>4</v>
      </c>
      <c r="AL617" s="37">
        <f>IF(最佳化斷筋點!M617="","",最佳化斷筋點!M617)</f>
        <v>4</v>
      </c>
      <c r="AM617" s="37">
        <f>IF(最佳化斷筋點!N617="","",最佳化斷筋點!N617)</f>
        <v>4</v>
      </c>
      <c r="AN617" s="37">
        <f>IF(最佳化斷筋點!O617="","",最佳化斷筋點!O617)</f>
        <v>4</v>
      </c>
      <c r="AO617" s="37">
        <f>IF(最佳化斷筋點!P617="","",最佳化斷筋點!P617)</f>
        <v>4</v>
      </c>
      <c r="AP617" s="37">
        <f>IF(最佳化斷筋點!Q617="","",最佳化斷筋點!Q617)</f>
        <v>4</v>
      </c>
      <c r="AQ617" s="37">
        <f>IF(最佳化斷筋點!R617="","",最佳化斷筋點!R617)</f>
        <v>4</v>
      </c>
      <c r="AR617" s="37">
        <f>IF(最佳化斷筋點!S617="","",最佳化斷筋點!S617)</f>
        <v>4</v>
      </c>
      <c r="AS617" s="37">
        <f>IF(最佳化斷筋點!T617="","",最佳化斷筋點!T617)</f>
        <v>5</v>
      </c>
      <c r="AT617" s="37">
        <f>IF(最佳化斷筋點!U617="","",最佳化斷筋點!U617)</f>
        <v>5</v>
      </c>
      <c r="AU617" s="37">
        <f>IF(最佳化斷筋點!V617="","",最佳化斷筋點!V617)</f>
        <v>6</v>
      </c>
      <c r="AV617" s="37">
        <f>IF(最佳化斷筋點!W617="","",最佳化斷筋點!W617)</f>
        <v>6</v>
      </c>
      <c r="AW617" s="37">
        <f>IF(最佳化斷筋點!X617="","",最佳化斷筋點!X617)</f>
        <v>6</v>
      </c>
      <c r="AY617" s="6" t="s">
        <v>21</v>
      </c>
      <c r="AZ617" s="37">
        <v>5</v>
      </c>
      <c r="BA617" s="37">
        <v>5</v>
      </c>
      <c r="BB617" s="37">
        <v>5</v>
      </c>
      <c r="BC617" s="37">
        <v>5</v>
      </c>
      <c r="BD617" s="37">
        <v>5</v>
      </c>
      <c r="BE617" s="37">
        <v>4</v>
      </c>
      <c r="BF617" s="37">
        <v>4</v>
      </c>
      <c r="BG617" s="37">
        <v>4</v>
      </c>
      <c r="BH617" s="37">
        <v>4</v>
      </c>
      <c r="BI617" s="37">
        <v>4</v>
      </c>
      <c r="BJ617" s="37">
        <v>4</v>
      </c>
      <c r="BK617" s="37">
        <v>4</v>
      </c>
      <c r="BL617" s="37">
        <v>4</v>
      </c>
      <c r="BM617" s="37">
        <v>4</v>
      </c>
      <c r="BN617" s="37">
        <v>4</v>
      </c>
      <c r="BO617" s="37">
        <v>4</v>
      </c>
      <c r="BP617" s="37">
        <v>5</v>
      </c>
      <c r="BQ617" s="37">
        <v>5</v>
      </c>
      <c r="BR617" s="37">
        <v>6</v>
      </c>
      <c r="BS617" s="37">
        <v>6</v>
      </c>
      <c r="BT617" s="37">
        <v>6</v>
      </c>
    </row>
    <row r="618" spans="5:72" x14ac:dyDescent="0.25">
      <c r="F618" s="6">
        <f t="shared" si="190"/>
        <v>0</v>
      </c>
      <c r="G618" s="6">
        <f t="shared" si="191"/>
        <v>0</v>
      </c>
      <c r="H618" s="6">
        <f t="shared" si="192"/>
        <v>0</v>
      </c>
      <c r="I618" s="6">
        <f t="shared" si="193"/>
        <v>0</v>
      </c>
      <c r="J618" s="6">
        <f t="shared" si="194"/>
        <v>0</v>
      </c>
      <c r="K618" s="6">
        <f t="shared" si="195"/>
        <v>0</v>
      </c>
      <c r="L618" s="6">
        <f t="shared" si="196"/>
        <v>0</v>
      </c>
      <c r="M618" s="6">
        <f t="shared" si="197"/>
        <v>0</v>
      </c>
      <c r="N618" s="6">
        <f t="shared" si="198"/>
        <v>0</v>
      </c>
      <c r="O618" s="6">
        <f t="shared" si="199"/>
        <v>0</v>
      </c>
      <c r="P618" s="6">
        <f t="shared" si="200"/>
        <v>0</v>
      </c>
      <c r="Q618" s="6">
        <f t="shared" si="201"/>
        <v>0</v>
      </c>
      <c r="R618" s="6">
        <f t="shared" si="202"/>
        <v>0</v>
      </c>
      <c r="S618" s="6">
        <f t="shared" si="203"/>
        <v>0</v>
      </c>
      <c r="T618" s="6">
        <f t="shared" si="204"/>
        <v>0</v>
      </c>
      <c r="U618" s="6">
        <f t="shared" si="205"/>
        <v>0</v>
      </c>
      <c r="V618" s="6">
        <f t="shared" si="206"/>
        <v>0</v>
      </c>
      <c r="W618" s="6">
        <f t="shared" si="207"/>
        <v>0</v>
      </c>
      <c r="X618" s="6">
        <f t="shared" si="208"/>
        <v>0</v>
      </c>
      <c r="Y618" s="6">
        <f t="shared" si="209"/>
        <v>0</v>
      </c>
      <c r="Z618" s="6">
        <f t="shared" si="210"/>
        <v>0</v>
      </c>
      <c r="AB618" s="36" t="str">
        <f>IF(最佳化斷筋點!C618="","",最佳化斷筋點!C618)</f>
        <v/>
      </c>
      <c r="AC618" s="37" t="str">
        <f>IF(最佳化斷筋點!D618="","",最佳化斷筋點!D618)</f>
        <v/>
      </c>
      <c r="AD618" s="37" t="str">
        <f>IF(最佳化斷筋點!E618="","",最佳化斷筋點!E618)</f>
        <v/>
      </c>
      <c r="AE618" s="37" t="str">
        <f>IF(最佳化斷筋點!F618="","",最佳化斷筋點!F618)</f>
        <v/>
      </c>
      <c r="AF618" s="37" t="str">
        <f>IF(最佳化斷筋點!G618="","",最佳化斷筋點!G618)</f>
        <v/>
      </c>
      <c r="AG618" s="37" t="str">
        <f>IF(最佳化斷筋點!H618="","",最佳化斷筋點!H618)</f>
        <v/>
      </c>
      <c r="AH618" s="37" t="str">
        <f>IF(最佳化斷筋點!I618="","",最佳化斷筋點!I618)</f>
        <v/>
      </c>
      <c r="AI618" s="37" t="str">
        <f>IF(最佳化斷筋點!J618="","",最佳化斷筋點!J618)</f>
        <v/>
      </c>
      <c r="AJ618" s="37" t="str">
        <f>IF(最佳化斷筋點!K618="","",最佳化斷筋點!K618)</f>
        <v/>
      </c>
      <c r="AK618" s="37" t="str">
        <f>IF(最佳化斷筋點!L618="","",最佳化斷筋點!L618)</f>
        <v/>
      </c>
      <c r="AL618" s="37" t="str">
        <f>IF(最佳化斷筋點!M618="","",最佳化斷筋點!M618)</f>
        <v/>
      </c>
      <c r="AM618" s="37" t="str">
        <f>IF(最佳化斷筋點!N618="","",最佳化斷筋點!N618)</f>
        <v/>
      </c>
      <c r="AN618" s="37" t="str">
        <f>IF(最佳化斷筋點!O618="","",最佳化斷筋點!O618)</f>
        <v/>
      </c>
      <c r="AO618" s="37" t="str">
        <f>IF(最佳化斷筋點!P618="","",最佳化斷筋點!P618)</f>
        <v/>
      </c>
      <c r="AP618" s="37" t="str">
        <f>IF(最佳化斷筋點!Q618="","",最佳化斷筋點!Q618)</f>
        <v/>
      </c>
      <c r="AQ618" s="37" t="str">
        <f>IF(最佳化斷筋點!R618="","",最佳化斷筋點!R618)</f>
        <v/>
      </c>
      <c r="AR618" s="37" t="str">
        <f>IF(最佳化斷筋點!S618="","",最佳化斷筋點!S618)</f>
        <v/>
      </c>
      <c r="AS618" s="37" t="str">
        <f>IF(最佳化斷筋點!T618="","",最佳化斷筋點!T618)</f>
        <v/>
      </c>
      <c r="AT618" s="37" t="str">
        <f>IF(最佳化斷筋點!U618="","",最佳化斷筋點!U618)</f>
        <v/>
      </c>
      <c r="AU618" s="37" t="str">
        <f>IF(最佳化斷筋點!V618="","",最佳化斷筋點!V618)</f>
        <v/>
      </c>
      <c r="AV618" s="37" t="str">
        <f>IF(最佳化斷筋點!W618="","",最佳化斷筋點!W618)</f>
        <v/>
      </c>
      <c r="AW618" s="37" t="str">
        <f>IF(最佳化斷筋點!X618="","",最佳化斷筋點!X618)</f>
        <v/>
      </c>
      <c r="AZ618" s="37" t="s">
        <v>197</v>
      </c>
      <c r="BA618" s="37" t="s">
        <v>197</v>
      </c>
      <c r="BB618" s="37" t="s">
        <v>197</v>
      </c>
      <c r="BC618" s="37" t="s">
        <v>197</v>
      </c>
      <c r="BD618" s="37" t="s">
        <v>197</v>
      </c>
      <c r="BE618" s="37" t="s">
        <v>197</v>
      </c>
      <c r="BF618" s="37" t="s">
        <v>197</v>
      </c>
      <c r="BG618" s="37" t="s">
        <v>197</v>
      </c>
      <c r="BH618" s="37" t="s">
        <v>197</v>
      </c>
      <c r="BI618" s="37" t="s">
        <v>197</v>
      </c>
      <c r="BJ618" s="37" t="s">
        <v>197</v>
      </c>
      <c r="BK618" s="37" t="s">
        <v>197</v>
      </c>
      <c r="BL618" s="37" t="s">
        <v>197</v>
      </c>
      <c r="BM618" s="37" t="s">
        <v>197</v>
      </c>
      <c r="BN618" s="37" t="s">
        <v>197</v>
      </c>
      <c r="BO618" s="37" t="s">
        <v>197</v>
      </c>
      <c r="BP618" s="37" t="s">
        <v>197</v>
      </c>
      <c r="BQ618" s="37" t="s">
        <v>197</v>
      </c>
      <c r="BR618" s="37" t="s">
        <v>197</v>
      </c>
      <c r="BS618" s="37" t="s">
        <v>197</v>
      </c>
      <c r="BT618" s="37" t="s">
        <v>197</v>
      </c>
    </row>
    <row r="619" spans="5:72" x14ac:dyDescent="0.25">
      <c r="E619" s="6" t="s">
        <v>20</v>
      </c>
      <c r="F619" s="6">
        <f t="shared" si="190"/>
        <v>0</v>
      </c>
      <c r="G619" s="6">
        <f t="shared" si="191"/>
        <v>0</v>
      </c>
      <c r="H619" s="6">
        <f t="shared" si="192"/>
        <v>0</v>
      </c>
      <c r="I619" s="6">
        <f t="shared" si="193"/>
        <v>0</v>
      </c>
      <c r="J619" s="6">
        <f t="shared" si="194"/>
        <v>0</v>
      </c>
      <c r="K619" s="6">
        <f t="shared" si="195"/>
        <v>0</v>
      </c>
      <c r="L619" s="6">
        <f t="shared" si="196"/>
        <v>0</v>
      </c>
      <c r="M619" s="6">
        <f t="shared" si="197"/>
        <v>0</v>
      </c>
      <c r="N619" s="6">
        <f t="shared" si="198"/>
        <v>0</v>
      </c>
      <c r="O619" s="6">
        <f t="shared" si="199"/>
        <v>0</v>
      </c>
      <c r="P619" s="6">
        <f t="shared" si="200"/>
        <v>0</v>
      </c>
      <c r="Q619" s="6">
        <f t="shared" si="201"/>
        <v>0</v>
      </c>
      <c r="R619" s="6">
        <f t="shared" si="202"/>
        <v>0</v>
      </c>
      <c r="S619" s="6">
        <f t="shared" si="203"/>
        <v>0</v>
      </c>
      <c r="T619" s="6">
        <f t="shared" si="204"/>
        <v>0</v>
      </c>
      <c r="U619" s="6">
        <f t="shared" si="205"/>
        <v>0</v>
      </c>
      <c r="V619" s="6">
        <f t="shared" si="206"/>
        <v>0</v>
      </c>
      <c r="W619" s="6">
        <f t="shared" si="207"/>
        <v>0</v>
      </c>
      <c r="X619" s="6">
        <f t="shared" si="208"/>
        <v>0</v>
      </c>
      <c r="Y619" s="6">
        <f t="shared" si="209"/>
        <v>0</v>
      </c>
      <c r="Z619" s="6">
        <f t="shared" si="210"/>
        <v>0</v>
      </c>
      <c r="AB619" s="36" t="str">
        <f>IF(最佳化斷筋點!C619="","",最佳化斷筋點!C619)</f>
        <v>上層</v>
      </c>
      <c r="AC619" s="37">
        <f>IF(最佳化斷筋點!D619="","",最佳化斷筋點!D619)</f>
        <v>8</v>
      </c>
      <c r="AD619" s="37">
        <f>IF(最佳化斷筋點!E619="","",最佳化斷筋點!E619)</f>
        <v>8</v>
      </c>
      <c r="AE619" s="37">
        <f>IF(最佳化斷筋點!F619="","",最佳化斷筋點!F619)</f>
        <v>8</v>
      </c>
      <c r="AF619" s="37">
        <f>IF(最佳化斷筋點!G619="","",最佳化斷筋點!G619)</f>
        <v>8</v>
      </c>
      <c r="AG619" s="37">
        <f>IF(最佳化斷筋點!H619="","",最佳化斷筋點!H619)</f>
        <v>8</v>
      </c>
      <c r="AH619" s="37">
        <f>IF(最佳化斷筋點!I619="","",最佳化斷筋點!I619)</f>
        <v>8</v>
      </c>
      <c r="AI619" s="37">
        <f>IF(最佳化斷筋點!J619="","",最佳化斷筋點!J619)</f>
        <v>8</v>
      </c>
      <c r="AJ619" s="37">
        <f>IF(最佳化斷筋點!K619="","",最佳化斷筋點!K619)</f>
        <v>8</v>
      </c>
      <c r="AK619" s="37">
        <f>IF(最佳化斷筋點!L619="","",最佳化斷筋點!L619)</f>
        <v>7</v>
      </c>
      <c r="AL619" s="37">
        <f>IF(最佳化斷筋點!M619="","",最佳化斷筋點!M619)</f>
        <v>6</v>
      </c>
      <c r="AM619" s="37">
        <f>IF(最佳化斷筋點!N619="","",最佳化斷筋點!N619)</f>
        <v>6</v>
      </c>
      <c r="AN619" s="37">
        <f>IF(最佳化斷筋點!O619="","",最佳化斷筋點!O619)</f>
        <v>6</v>
      </c>
      <c r="AO619" s="37">
        <f>IF(最佳化斷筋點!P619="","",最佳化斷筋點!P619)</f>
        <v>7</v>
      </c>
      <c r="AP619" s="37">
        <f>IF(最佳化斷筋點!Q619="","",最佳化斷筋點!Q619)</f>
        <v>8</v>
      </c>
      <c r="AQ619" s="37">
        <f>IF(最佳化斷筋點!R619="","",最佳化斷筋點!R619)</f>
        <v>9</v>
      </c>
      <c r="AR619" s="37">
        <f>IF(最佳化斷筋點!S619="","",最佳化斷筋點!S619)</f>
        <v>9</v>
      </c>
      <c r="AS619" s="37">
        <f>IF(最佳化斷筋點!T619="","",最佳化斷筋點!T619)</f>
        <v>9</v>
      </c>
      <c r="AT619" s="37">
        <f>IF(最佳化斷筋點!U619="","",最佳化斷筋點!U619)</f>
        <v>9</v>
      </c>
      <c r="AU619" s="37">
        <f>IF(最佳化斷筋點!V619="","",最佳化斷筋點!V619)</f>
        <v>9</v>
      </c>
      <c r="AV619" s="37">
        <f>IF(最佳化斷筋點!W619="","",最佳化斷筋點!W619)</f>
        <v>9</v>
      </c>
      <c r="AW619" s="37">
        <f>IF(最佳化斷筋點!X619="","",最佳化斷筋點!X619)</f>
        <v>9</v>
      </c>
      <c r="AY619" s="6" t="s">
        <v>20</v>
      </c>
      <c r="AZ619" s="37">
        <v>8</v>
      </c>
      <c r="BA619" s="37">
        <v>8</v>
      </c>
      <c r="BB619" s="37">
        <v>8</v>
      </c>
      <c r="BC619" s="37">
        <v>8</v>
      </c>
      <c r="BD619" s="37">
        <v>8</v>
      </c>
      <c r="BE619" s="37">
        <v>8</v>
      </c>
      <c r="BF619" s="37">
        <v>8</v>
      </c>
      <c r="BG619" s="37">
        <v>8</v>
      </c>
      <c r="BH619" s="37">
        <v>7</v>
      </c>
      <c r="BI619" s="37">
        <v>6</v>
      </c>
      <c r="BJ619" s="37">
        <v>6</v>
      </c>
      <c r="BK619" s="37">
        <v>6</v>
      </c>
      <c r="BL619" s="37">
        <v>7</v>
      </c>
      <c r="BM619" s="37">
        <v>8</v>
      </c>
      <c r="BN619" s="37">
        <v>9</v>
      </c>
      <c r="BO619" s="37">
        <v>9</v>
      </c>
      <c r="BP619" s="37">
        <v>9</v>
      </c>
      <c r="BQ619" s="37">
        <v>9</v>
      </c>
      <c r="BR619" s="37">
        <v>9</v>
      </c>
      <c r="BS619" s="37">
        <v>9</v>
      </c>
      <c r="BT619" s="37">
        <v>9</v>
      </c>
    </row>
    <row r="620" spans="5:72" x14ac:dyDescent="0.25">
      <c r="F620" s="6">
        <f t="shared" si="190"/>
        <v>0</v>
      </c>
      <c r="G620" s="6">
        <f t="shared" si="191"/>
        <v>0</v>
      </c>
      <c r="H620" s="6">
        <f t="shared" si="192"/>
        <v>0</v>
      </c>
      <c r="I620" s="6">
        <f t="shared" si="193"/>
        <v>0</v>
      </c>
      <c r="J620" s="6">
        <f t="shared" si="194"/>
        <v>0</v>
      </c>
      <c r="K620" s="6">
        <f t="shared" si="195"/>
        <v>0</v>
      </c>
      <c r="L620" s="6">
        <f t="shared" si="196"/>
        <v>0</v>
      </c>
      <c r="M620" s="6">
        <f t="shared" si="197"/>
        <v>0</v>
      </c>
      <c r="N620" s="6">
        <f t="shared" si="198"/>
        <v>0</v>
      </c>
      <c r="O620" s="6">
        <f t="shared" si="199"/>
        <v>0</v>
      </c>
      <c r="P620" s="6">
        <f t="shared" si="200"/>
        <v>0</v>
      </c>
      <c r="Q620" s="6">
        <f t="shared" si="201"/>
        <v>0</v>
      </c>
      <c r="R620" s="6">
        <f t="shared" si="202"/>
        <v>0</v>
      </c>
      <c r="S620" s="6">
        <f t="shared" si="203"/>
        <v>0</v>
      </c>
      <c r="T620" s="6">
        <f t="shared" si="204"/>
        <v>0</v>
      </c>
      <c r="U620" s="6">
        <f t="shared" si="205"/>
        <v>0</v>
      </c>
      <c r="V620" s="6">
        <f t="shared" si="206"/>
        <v>0</v>
      </c>
      <c r="W620" s="6">
        <f t="shared" si="207"/>
        <v>0</v>
      </c>
      <c r="X620" s="6">
        <f t="shared" si="208"/>
        <v>0</v>
      </c>
      <c r="Y620" s="6">
        <f t="shared" si="209"/>
        <v>0</v>
      </c>
      <c r="Z620" s="6">
        <f t="shared" si="210"/>
        <v>0</v>
      </c>
      <c r="AB620" s="36" t="str">
        <f>IF(最佳化斷筋點!C620="","",最佳化斷筋點!C620)</f>
        <v/>
      </c>
      <c r="AC620" s="37" t="str">
        <f>IF(最佳化斷筋點!D620="","",最佳化斷筋點!D620)</f>
        <v/>
      </c>
      <c r="AD620" s="37" t="str">
        <f>IF(最佳化斷筋點!E620="","",最佳化斷筋點!E620)</f>
        <v/>
      </c>
      <c r="AE620" s="37" t="str">
        <f>IF(最佳化斷筋點!F620="","",最佳化斷筋點!F620)</f>
        <v/>
      </c>
      <c r="AF620" s="37" t="str">
        <f>IF(最佳化斷筋點!G620="","",最佳化斷筋點!G620)</f>
        <v/>
      </c>
      <c r="AG620" s="37" t="str">
        <f>IF(最佳化斷筋點!H620="","",最佳化斷筋點!H620)</f>
        <v/>
      </c>
      <c r="AH620" s="37" t="str">
        <f>IF(最佳化斷筋點!I620="","",最佳化斷筋點!I620)</f>
        <v/>
      </c>
      <c r="AI620" s="37" t="str">
        <f>IF(最佳化斷筋點!J620="","",最佳化斷筋點!J620)</f>
        <v/>
      </c>
      <c r="AJ620" s="37" t="str">
        <f>IF(最佳化斷筋點!K620="","",最佳化斷筋點!K620)</f>
        <v/>
      </c>
      <c r="AK620" s="37" t="str">
        <f>IF(最佳化斷筋點!L620="","",最佳化斷筋點!L620)</f>
        <v/>
      </c>
      <c r="AL620" s="37" t="str">
        <f>IF(最佳化斷筋點!M620="","",最佳化斷筋點!M620)</f>
        <v/>
      </c>
      <c r="AM620" s="37" t="str">
        <f>IF(最佳化斷筋點!N620="","",最佳化斷筋點!N620)</f>
        <v/>
      </c>
      <c r="AN620" s="37" t="str">
        <f>IF(最佳化斷筋點!O620="","",最佳化斷筋點!O620)</f>
        <v/>
      </c>
      <c r="AO620" s="37" t="str">
        <f>IF(最佳化斷筋點!P620="","",最佳化斷筋點!P620)</f>
        <v/>
      </c>
      <c r="AP620" s="37" t="str">
        <f>IF(最佳化斷筋點!Q620="","",最佳化斷筋點!Q620)</f>
        <v/>
      </c>
      <c r="AQ620" s="37" t="str">
        <f>IF(最佳化斷筋點!R620="","",最佳化斷筋點!R620)</f>
        <v/>
      </c>
      <c r="AR620" s="37" t="str">
        <f>IF(最佳化斷筋點!S620="","",最佳化斷筋點!S620)</f>
        <v/>
      </c>
      <c r="AS620" s="37" t="str">
        <f>IF(最佳化斷筋點!T620="","",最佳化斷筋點!T620)</f>
        <v/>
      </c>
      <c r="AT620" s="37" t="str">
        <f>IF(最佳化斷筋點!U620="","",最佳化斷筋點!U620)</f>
        <v/>
      </c>
      <c r="AU620" s="37" t="str">
        <f>IF(最佳化斷筋點!V620="","",最佳化斷筋點!V620)</f>
        <v/>
      </c>
      <c r="AV620" s="37" t="str">
        <f>IF(最佳化斷筋點!W620="","",最佳化斷筋點!W620)</f>
        <v/>
      </c>
      <c r="AW620" s="37" t="str">
        <f>IF(最佳化斷筋點!X620="","",最佳化斷筋點!X620)</f>
        <v/>
      </c>
      <c r="AZ620" s="37" t="s">
        <v>197</v>
      </c>
      <c r="BA620" s="37" t="s">
        <v>197</v>
      </c>
      <c r="BB620" s="37" t="s">
        <v>197</v>
      </c>
      <c r="BC620" s="37" t="s">
        <v>197</v>
      </c>
      <c r="BD620" s="37" t="s">
        <v>197</v>
      </c>
      <c r="BE620" s="37" t="s">
        <v>197</v>
      </c>
      <c r="BF620" s="37" t="s">
        <v>197</v>
      </c>
      <c r="BG620" s="37" t="s">
        <v>197</v>
      </c>
      <c r="BH620" s="37" t="s">
        <v>197</v>
      </c>
      <c r="BI620" s="37" t="s">
        <v>197</v>
      </c>
      <c r="BJ620" s="37" t="s">
        <v>197</v>
      </c>
      <c r="BK620" s="37" t="s">
        <v>197</v>
      </c>
      <c r="BL620" s="37" t="s">
        <v>197</v>
      </c>
      <c r="BM620" s="37" t="s">
        <v>197</v>
      </c>
      <c r="BN620" s="37" t="s">
        <v>197</v>
      </c>
      <c r="BO620" s="37" t="s">
        <v>197</v>
      </c>
      <c r="BP620" s="37" t="s">
        <v>197</v>
      </c>
      <c r="BQ620" s="37" t="s">
        <v>197</v>
      </c>
      <c r="BR620" s="37" t="s">
        <v>197</v>
      </c>
      <c r="BS620" s="37" t="s">
        <v>197</v>
      </c>
      <c r="BT620" s="37" t="s">
        <v>197</v>
      </c>
    </row>
    <row r="621" spans="5:72" x14ac:dyDescent="0.25">
      <c r="E621" s="6" t="s">
        <v>21</v>
      </c>
      <c r="F621" s="6">
        <f t="shared" si="190"/>
        <v>0</v>
      </c>
      <c r="G621" s="6">
        <f t="shared" si="191"/>
        <v>0</v>
      </c>
      <c r="H621" s="6">
        <f t="shared" si="192"/>
        <v>0</v>
      </c>
      <c r="I621" s="6">
        <f t="shared" si="193"/>
        <v>0</v>
      </c>
      <c r="J621" s="6">
        <f t="shared" si="194"/>
        <v>0</v>
      </c>
      <c r="K621" s="6">
        <f t="shared" si="195"/>
        <v>0</v>
      </c>
      <c r="L621" s="6">
        <f t="shared" si="196"/>
        <v>0</v>
      </c>
      <c r="M621" s="6">
        <f t="shared" si="197"/>
        <v>0</v>
      </c>
      <c r="N621" s="6">
        <f t="shared" si="198"/>
        <v>0</v>
      </c>
      <c r="O621" s="6">
        <f t="shared" si="199"/>
        <v>0</v>
      </c>
      <c r="P621" s="6">
        <f t="shared" si="200"/>
        <v>0</v>
      </c>
      <c r="Q621" s="6">
        <f t="shared" si="201"/>
        <v>0</v>
      </c>
      <c r="R621" s="6">
        <f t="shared" si="202"/>
        <v>0</v>
      </c>
      <c r="S621" s="6">
        <f t="shared" si="203"/>
        <v>0</v>
      </c>
      <c r="T621" s="6">
        <f t="shared" si="204"/>
        <v>0</v>
      </c>
      <c r="U621" s="6">
        <f t="shared" si="205"/>
        <v>0</v>
      </c>
      <c r="V621" s="6">
        <f t="shared" si="206"/>
        <v>0</v>
      </c>
      <c r="W621" s="6">
        <f t="shared" si="207"/>
        <v>0</v>
      </c>
      <c r="X621" s="6">
        <f t="shared" si="208"/>
        <v>0</v>
      </c>
      <c r="Y621" s="6">
        <f t="shared" si="209"/>
        <v>0</v>
      </c>
      <c r="Z621" s="6">
        <f t="shared" si="210"/>
        <v>0</v>
      </c>
      <c r="AB621" s="36" t="str">
        <f>IF(最佳化斷筋點!C621="","",最佳化斷筋點!C621)</f>
        <v>下層</v>
      </c>
      <c r="AC621" s="37">
        <f>IF(最佳化斷筋點!D621="","",最佳化斷筋點!D621)</f>
        <v>12</v>
      </c>
      <c r="AD621" s="37">
        <f>IF(最佳化斷筋點!E621="","",最佳化斷筋點!E621)</f>
        <v>12</v>
      </c>
      <c r="AE621" s="37">
        <f>IF(最佳化斷筋點!F621="","",最佳化斷筋點!F621)</f>
        <v>12</v>
      </c>
      <c r="AF621" s="37">
        <f>IF(最佳化斷筋點!G621="","",最佳化斷筋點!G621)</f>
        <v>12</v>
      </c>
      <c r="AG621" s="37">
        <f>IF(最佳化斷筋點!H621="","",最佳化斷筋點!H621)</f>
        <v>12</v>
      </c>
      <c r="AH621" s="37">
        <f>IF(最佳化斷筋點!I621="","",最佳化斷筋點!I621)</f>
        <v>11</v>
      </c>
      <c r="AI621" s="37">
        <f>IF(最佳化斷筋點!J621="","",最佳化斷筋點!J621)</f>
        <v>11</v>
      </c>
      <c r="AJ621" s="37">
        <f>IF(最佳化斷筋點!K621="","",最佳化斷筋點!K621)</f>
        <v>11</v>
      </c>
      <c r="AK621" s="37">
        <f>IF(最佳化斷筋點!L621="","",最佳化斷筋點!L621)</f>
        <v>11</v>
      </c>
      <c r="AL621" s="37">
        <f>IF(最佳化斷筋點!M621="","",最佳化斷筋點!M621)</f>
        <v>11</v>
      </c>
      <c r="AM621" s="37">
        <f>IF(最佳化斷筋點!N621="","",最佳化斷筋點!N621)</f>
        <v>11</v>
      </c>
      <c r="AN621" s="37">
        <f>IF(最佳化斷筋點!O621="","",最佳化斷筋點!O621)</f>
        <v>11</v>
      </c>
      <c r="AO621" s="37">
        <f>IF(最佳化斷筋點!P621="","",最佳化斷筋點!P621)</f>
        <v>11</v>
      </c>
      <c r="AP621" s="37">
        <f>IF(最佳化斷筋點!Q621="","",最佳化斷筋點!Q621)</f>
        <v>11</v>
      </c>
      <c r="AQ621" s="37">
        <f>IF(最佳化斷筋點!R621="","",最佳化斷筋點!R621)</f>
        <v>11</v>
      </c>
      <c r="AR621" s="37">
        <f>IF(最佳化斷筋點!S621="","",最佳化斷筋點!S621)</f>
        <v>11</v>
      </c>
      <c r="AS621" s="37">
        <f>IF(最佳化斷筋點!T621="","",最佳化斷筋點!T621)</f>
        <v>11</v>
      </c>
      <c r="AT621" s="37">
        <f>IF(最佳化斷筋點!U621="","",最佳化斷筋點!U621)</f>
        <v>11</v>
      </c>
      <c r="AU621" s="37">
        <f>IF(最佳化斷筋點!V621="","",最佳化斷筋點!V621)</f>
        <v>10</v>
      </c>
      <c r="AV621" s="37">
        <f>IF(最佳化斷筋點!W621="","",最佳化斷筋點!W621)</f>
        <v>10</v>
      </c>
      <c r="AW621" s="37">
        <f>IF(最佳化斷筋點!X621="","",最佳化斷筋點!X621)</f>
        <v>10</v>
      </c>
      <c r="AY621" s="6" t="s">
        <v>21</v>
      </c>
      <c r="AZ621" s="37">
        <v>12</v>
      </c>
      <c r="BA621" s="37">
        <v>12</v>
      </c>
      <c r="BB621" s="37">
        <v>12</v>
      </c>
      <c r="BC621" s="37">
        <v>12</v>
      </c>
      <c r="BD621" s="37">
        <v>12</v>
      </c>
      <c r="BE621" s="37">
        <v>11</v>
      </c>
      <c r="BF621" s="37">
        <v>11</v>
      </c>
      <c r="BG621" s="37">
        <v>11</v>
      </c>
      <c r="BH621" s="37">
        <v>11</v>
      </c>
      <c r="BI621" s="37">
        <v>11</v>
      </c>
      <c r="BJ621" s="37">
        <v>11</v>
      </c>
      <c r="BK621" s="37">
        <v>11</v>
      </c>
      <c r="BL621" s="37">
        <v>11</v>
      </c>
      <c r="BM621" s="37">
        <v>11</v>
      </c>
      <c r="BN621" s="37">
        <v>11</v>
      </c>
      <c r="BO621" s="37">
        <v>11</v>
      </c>
      <c r="BP621" s="37">
        <v>11</v>
      </c>
      <c r="BQ621" s="37">
        <v>11</v>
      </c>
      <c r="BR621" s="37">
        <v>10</v>
      </c>
      <c r="BS621" s="37">
        <v>10</v>
      </c>
      <c r="BT621" s="37">
        <v>10</v>
      </c>
    </row>
    <row r="622" spans="5:72" x14ac:dyDescent="0.25">
      <c r="F622" s="6">
        <f t="shared" si="190"/>
        <v>0</v>
      </c>
      <c r="G622" s="6">
        <f t="shared" si="191"/>
        <v>0</v>
      </c>
      <c r="H622" s="6">
        <f t="shared" si="192"/>
        <v>0</v>
      </c>
      <c r="I622" s="6">
        <f t="shared" si="193"/>
        <v>0</v>
      </c>
      <c r="J622" s="6">
        <f t="shared" si="194"/>
        <v>0</v>
      </c>
      <c r="K622" s="6">
        <f t="shared" si="195"/>
        <v>0</v>
      </c>
      <c r="L622" s="6">
        <f t="shared" si="196"/>
        <v>0</v>
      </c>
      <c r="M622" s="6">
        <f t="shared" si="197"/>
        <v>0</v>
      </c>
      <c r="N622" s="6">
        <f t="shared" si="198"/>
        <v>0</v>
      </c>
      <c r="O622" s="6">
        <f t="shared" si="199"/>
        <v>0</v>
      </c>
      <c r="P622" s="6">
        <f t="shared" si="200"/>
        <v>0</v>
      </c>
      <c r="Q622" s="6">
        <f t="shared" si="201"/>
        <v>0</v>
      </c>
      <c r="R622" s="6">
        <f t="shared" si="202"/>
        <v>0</v>
      </c>
      <c r="S622" s="6">
        <f t="shared" si="203"/>
        <v>0</v>
      </c>
      <c r="T622" s="6">
        <f t="shared" si="204"/>
        <v>0</v>
      </c>
      <c r="U622" s="6">
        <f t="shared" si="205"/>
        <v>0</v>
      </c>
      <c r="V622" s="6">
        <f t="shared" si="206"/>
        <v>0</v>
      </c>
      <c r="W622" s="6">
        <f t="shared" si="207"/>
        <v>0</v>
      </c>
      <c r="X622" s="6">
        <f t="shared" si="208"/>
        <v>0</v>
      </c>
      <c r="Y622" s="6">
        <f t="shared" si="209"/>
        <v>0</v>
      </c>
      <c r="Z622" s="6">
        <f t="shared" si="210"/>
        <v>0</v>
      </c>
      <c r="AB622" s="36" t="str">
        <f>IF(最佳化斷筋點!C622="","",最佳化斷筋點!C622)</f>
        <v/>
      </c>
      <c r="AC622" s="37" t="str">
        <f>IF(最佳化斷筋點!D622="","",最佳化斷筋點!D622)</f>
        <v/>
      </c>
      <c r="AD622" s="37" t="str">
        <f>IF(最佳化斷筋點!E622="","",最佳化斷筋點!E622)</f>
        <v/>
      </c>
      <c r="AE622" s="37" t="str">
        <f>IF(最佳化斷筋點!F622="","",最佳化斷筋點!F622)</f>
        <v/>
      </c>
      <c r="AF622" s="37" t="str">
        <f>IF(最佳化斷筋點!G622="","",最佳化斷筋點!G622)</f>
        <v/>
      </c>
      <c r="AG622" s="37" t="str">
        <f>IF(最佳化斷筋點!H622="","",最佳化斷筋點!H622)</f>
        <v/>
      </c>
      <c r="AH622" s="37" t="str">
        <f>IF(最佳化斷筋點!I622="","",最佳化斷筋點!I622)</f>
        <v/>
      </c>
      <c r="AI622" s="37" t="str">
        <f>IF(最佳化斷筋點!J622="","",最佳化斷筋點!J622)</f>
        <v/>
      </c>
      <c r="AJ622" s="37" t="str">
        <f>IF(最佳化斷筋點!K622="","",最佳化斷筋點!K622)</f>
        <v/>
      </c>
      <c r="AK622" s="37" t="str">
        <f>IF(最佳化斷筋點!L622="","",最佳化斷筋點!L622)</f>
        <v/>
      </c>
      <c r="AL622" s="37" t="str">
        <f>IF(最佳化斷筋點!M622="","",最佳化斷筋點!M622)</f>
        <v/>
      </c>
      <c r="AM622" s="37" t="str">
        <f>IF(最佳化斷筋點!N622="","",最佳化斷筋點!N622)</f>
        <v/>
      </c>
      <c r="AN622" s="37" t="str">
        <f>IF(最佳化斷筋點!O622="","",最佳化斷筋點!O622)</f>
        <v/>
      </c>
      <c r="AO622" s="37" t="str">
        <f>IF(最佳化斷筋點!P622="","",最佳化斷筋點!P622)</f>
        <v/>
      </c>
      <c r="AP622" s="37" t="str">
        <f>IF(最佳化斷筋點!Q622="","",最佳化斷筋點!Q622)</f>
        <v/>
      </c>
      <c r="AQ622" s="37" t="str">
        <f>IF(最佳化斷筋點!R622="","",最佳化斷筋點!R622)</f>
        <v/>
      </c>
      <c r="AR622" s="37" t="str">
        <f>IF(最佳化斷筋點!S622="","",最佳化斷筋點!S622)</f>
        <v/>
      </c>
      <c r="AS622" s="37" t="str">
        <f>IF(最佳化斷筋點!T622="","",最佳化斷筋點!T622)</f>
        <v/>
      </c>
      <c r="AT622" s="37" t="str">
        <f>IF(最佳化斷筋點!U622="","",最佳化斷筋點!U622)</f>
        <v/>
      </c>
      <c r="AU622" s="37" t="str">
        <f>IF(最佳化斷筋點!V622="","",最佳化斷筋點!V622)</f>
        <v/>
      </c>
      <c r="AV622" s="37" t="str">
        <f>IF(最佳化斷筋點!W622="","",最佳化斷筋點!W622)</f>
        <v/>
      </c>
      <c r="AW622" s="37" t="str">
        <f>IF(最佳化斷筋點!X622="","",最佳化斷筋點!X622)</f>
        <v/>
      </c>
      <c r="AZ622" s="37" t="s">
        <v>197</v>
      </c>
      <c r="BA622" s="37" t="s">
        <v>197</v>
      </c>
      <c r="BB622" s="37" t="s">
        <v>197</v>
      </c>
      <c r="BC622" s="37" t="s">
        <v>197</v>
      </c>
      <c r="BD622" s="37" t="s">
        <v>197</v>
      </c>
      <c r="BE622" s="37" t="s">
        <v>197</v>
      </c>
      <c r="BF622" s="37" t="s">
        <v>197</v>
      </c>
      <c r="BG622" s="37" t="s">
        <v>197</v>
      </c>
      <c r="BH622" s="37" t="s">
        <v>197</v>
      </c>
      <c r="BI622" s="37" t="s">
        <v>197</v>
      </c>
      <c r="BJ622" s="37" t="s">
        <v>197</v>
      </c>
      <c r="BK622" s="37" t="s">
        <v>197</v>
      </c>
      <c r="BL622" s="37" t="s">
        <v>197</v>
      </c>
      <c r="BM622" s="37" t="s">
        <v>197</v>
      </c>
      <c r="BN622" s="37" t="s">
        <v>197</v>
      </c>
      <c r="BO622" s="37" t="s">
        <v>197</v>
      </c>
      <c r="BP622" s="37" t="s">
        <v>197</v>
      </c>
      <c r="BQ622" s="37" t="s">
        <v>197</v>
      </c>
      <c r="BR622" s="37" t="s">
        <v>197</v>
      </c>
      <c r="BS622" s="37" t="s">
        <v>197</v>
      </c>
      <c r="BT622" s="37" t="s">
        <v>197</v>
      </c>
    </row>
    <row r="623" spans="5:72" x14ac:dyDescent="0.25">
      <c r="E623" s="6" t="s">
        <v>20</v>
      </c>
      <c r="F623" s="6">
        <f t="shared" si="190"/>
        <v>0</v>
      </c>
      <c r="G623" s="6">
        <f t="shared" si="191"/>
        <v>0</v>
      </c>
      <c r="H623" s="6">
        <f t="shared" si="192"/>
        <v>0</v>
      </c>
      <c r="I623" s="6">
        <f t="shared" si="193"/>
        <v>0</v>
      </c>
      <c r="J623" s="6">
        <f t="shared" si="194"/>
        <v>0</v>
      </c>
      <c r="K623" s="6">
        <f t="shared" si="195"/>
        <v>0</v>
      </c>
      <c r="L623" s="6">
        <f t="shared" si="196"/>
        <v>0</v>
      </c>
      <c r="M623" s="6">
        <f t="shared" si="197"/>
        <v>0</v>
      </c>
      <c r="N623" s="6">
        <f t="shared" si="198"/>
        <v>0</v>
      </c>
      <c r="O623" s="6">
        <f t="shared" si="199"/>
        <v>0</v>
      </c>
      <c r="P623" s="6">
        <f t="shared" si="200"/>
        <v>0</v>
      </c>
      <c r="Q623" s="6">
        <f t="shared" si="201"/>
        <v>0</v>
      </c>
      <c r="R623" s="6">
        <f t="shared" si="202"/>
        <v>0</v>
      </c>
      <c r="S623" s="6">
        <f t="shared" si="203"/>
        <v>0</v>
      </c>
      <c r="T623" s="6">
        <f t="shared" si="204"/>
        <v>0</v>
      </c>
      <c r="U623" s="6">
        <f t="shared" si="205"/>
        <v>0</v>
      </c>
      <c r="V623" s="6">
        <f t="shared" si="206"/>
        <v>0</v>
      </c>
      <c r="W623" s="6">
        <f t="shared" si="207"/>
        <v>0</v>
      </c>
      <c r="X623" s="6">
        <f t="shared" si="208"/>
        <v>0</v>
      </c>
      <c r="Y623" s="6">
        <f t="shared" si="209"/>
        <v>0</v>
      </c>
      <c r="Z623" s="6">
        <f t="shared" si="210"/>
        <v>0</v>
      </c>
      <c r="AB623" s="36" t="str">
        <f>IF(最佳化斷筋點!C623="","",最佳化斷筋點!C623)</f>
        <v>上層</v>
      </c>
      <c r="AC623" s="37">
        <f>IF(最佳化斷筋點!D623="","",最佳化斷筋點!D623)</f>
        <v>7</v>
      </c>
      <c r="AD623" s="37">
        <f>IF(最佳化斷筋點!E623="","",最佳化斷筋點!E623)</f>
        <v>7</v>
      </c>
      <c r="AE623" s="37">
        <f>IF(最佳化斷筋點!F623="","",最佳化斷筋點!F623)</f>
        <v>7</v>
      </c>
      <c r="AF623" s="37">
        <f>IF(最佳化斷筋點!G623="","",最佳化斷筋點!G623)</f>
        <v>7</v>
      </c>
      <c r="AG623" s="37">
        <f>IF(最佳化斷筋點!H623="","",最佳化斷筋點!H623)</f>
        <v>7</v>
      </c>
      <c r="AH623" s="37">
        <f>IF(最佳化斷筋點!I623="","",最佳化斷筋點!I623)</f>
        <v>7</v>
      </c>
      <c r="AI623" s="37">
        <f>IF(最佳化斷筋點!J623="","",最佳化斷筋點!J623)</f>
        <v>7</v>
      </c>
      <c r="AJ623" s="37">
        <f>IF(最佳化斷筋點!K623="","",最佳化斷筋點!K623)</f>
        <v>6</v>
      </c>
      <c r="AK623" s="37">
        <f>IF(最佳化斷筋點!L623="","",最佳化斷筋點!L623)</f>
        <v>6</v>
      </c>
      <c r="AL623" s="37">
        <f>IF(最佳化斷筋點!M623="","",最佳化斷筋點!M623)</f>
        <v>5</v>
      </c>
      <c r="AM623" s="37">
        <f>IF(最佳化斷筋點!N623="","",最佳化斷筋點!N623)</f>
        <v>5</v>
      </c>
      <c r="AN623" s="37">
        <f>IF(最佳化斷筋點!O623="","",最佳化斷筋點!O623)</f>
        <v>6</v>
      </c>
      <c r="AO623" s="37">
        <f>IF(最佳化斷筋點!P623="","",最佳化斷筋點!P623)</f>
        <v>7</v>
      </c>
      <c r="AP623" s="37">
        <f>IF(最佳化斷筋點!Q623="","",最佳化斷筋點!Q623)</f>
        <v>8</v>
      </c>
      <c r="AQ623" s="37">
        <f>IF(最佳化斷筋點!R623="","",最佳化斷筋點!R623)</f>
        <v>9</v>
      </c>
      <c r="AR623" s="37">
        <f>IF(最佳化斷筋點!S623="","",最佳化斷筋點!S623)</f>
        <v>9</v>
      </c>
      <c r="AS623" s="37">
        <f>IF(最佳化斷筋點!T623="","",最佳化斷筋點!T623)</f>
        <v>9</v>
      </c>
      <c r="AT623" s="37">
        <f>IF(最佳化斷筋點!U623="","",最佳化斷筋點!U623)</f>
        <v>9</v>
      </c>
      <c r="AU623" s="37">
        <f>IF(最佳化斷筋點!V623="","",最佳化斷筋點!V623)</f>
        <v>9</v>
      </c>
      <c r="AV623" s="37">
        <f>IF(最佳化斷筋點!W623="","",最佳化斷筋點!W623)</f>
        <v>9</v>
      </c>
      <c r="AW623" s="37">
        <f>IF(最佳化斷筋點!X623="","",最佳化斷筋點!X623)</f>
        <v>9</v>
      </c>
      <c r="AY623" s="6" t="s">
        <v>20</v>
      </c>
      <c r="AZ623" s="37">
        <v>7</v>
      </c>
      <c r="BA623" s="37">
        <v>7</v>
      </c>
      <c r="BB623" s="37">
        <v>7</v>
      </c>
      <c r="BC623" s="37">
        <v>7</v>
      </c>
      <c r="BD623" s="37">
        <v>7</v>
      </c>
      <c r="BE623" s="37">
        <v>7</v>
      </c>
      <c r="BF623" s="37">
        <v>7</v>
      </c>
      <c r="BG623" s="37">
        <v>6</v>
      </c>
      <c r="BH623" s="37">
        <v>6</v>
      </c>
      <c r="BI623" s="37">
        <v>5</v>
      </c>
      <c r="BJ623" s="37">
        <v>5</v>
      </c>
      <c r="BK623" s="37">
        <v>6</v>
      </c>
      <c r="BL623" s="37">
        <v>7</v>
      </c>
      <c r="BM623" s="37">
        <v>8</v>
      </c>
      <c r="BN623" s="37">
        <v>9</v>
      </c>
      <c r="BO623" s="37">
        <v>9</v>
      </c>
      <c r="BP623" s="37">
        <v>9</v>
      </c>
      <c r="BQ623" s="37">
        <v>9</v>
      </c>
      <c r="BR623" s="37">
        <v>9</v>
      </c>
      <c r="BS623" s="37">
        <v>9</v>
      </c>
      <c r="BT623" s="37">
        <v>9</v>
      </c>
    </row>
    <row r="624" spans="5:72" x14ac:dyDescent="0.25">
      <c r="F624" s="6">
        <f t="shared" si="190"/>
        <v>0</v>
      </c>
      <c r="G624" s="6">
        <f t="shared" si="191"/>
        <v>0</v>
      </c>
      <c r="H624" s="6">
        <f t="shared" si="192"/>
        <v>0</v>
      </c>
      <c r="I624" s="6">
        <f t="shared" si="193"/>
        <v>0</v>
      </c>
      <c r="J624" s="6">
        <f t="shared" si="194"/>
        <v>0</v>
      </c>
      <c r="K624" s="6">
        <f t="shared" si="195"/>
        <v>0</v>
      </c>
      <c r="L624" s="6">
        <f t="shared" si="196"/>
        <v>0</v>
      </c>
      <c r="M624" s="6">
        <f t="shared" si="197"/>
        <v>0</v>
      </c>
      <c r="N624" s="6">
        <f t="shared" si="198"/>
        <v>0</v>
      </c>
      <c r="O624" s="6">
        <f t="shared" si="199"/>
        <v>0</v>
      </c>
      <c r="P624" s="6">
        <f t="shared" si="200"/>
        <v>0</v>
      </c>
      <c r="Q624" s="6">
        <f t="shared" si="201"/>
        <v>0</v>
      </c>
      <c r="R624" s="6">
        <f t="shared" si="202"/>
        <v>0</v>
      </c>
      <c r="S624" s="6">
        <f t="shared" si="203"/>
        <v>0</v>
      </c>
      <c r="T624" s="6">
        <f t="shared" si="204"/>
        <v>0</v>
      </c>
      <c r="U624" s="6">
        <f t="shared" si="205"/>
        <v>0</v>
      </c>
      <c r="V624" s="6">
        <f t="shared" si="206"/>
        <v>0</v>
      </c>
      <c r="W624" s="6">
        <f t="shared" si="207"/>
        <v>0</v>
      </c>
      <c r="X624" s="6">
        <f t="shared" si="208"/>
        <v>0</v>
      </c>
      <c r="Y624" s="6">
        <f t="shared" si="209"/>
        <v>0</v>
      </c>
      <c r="Z624" s="6">
        <f t="shared" si="210"/>
        <v>0</v>
      </c>
      <c r="AB624" s="36" t="str">
        <f>IF(最佳化斷筋點!C624="","",最佳化斷筋點!C624)</f>
        <v/>
      </c>
      <c r="AC624" s="37" t="str">
        <f>IF(最佳化斷筋點!D624="","",最佳化斷筋點!D624)</f>
        <v/>
      </c>
      <c r="AD624" s="37" t="str">
        <f>IF(最佳化斷筋點!E624="","",最佳化斷筋點!E624)</f>
        <v/>
      </c>
      <c r="AE624" s="37" t="str">
        <f>IF(最佳化斷筋點!F624="","",最佳化斷筋點!F624)</f>
        <v/>
      </c>
      <c r="AF624" s="37" t="str">
        <f>IF(最佳化斷筋點!G624="","",最佳化斷筋點!G624)</f>
        <v/>
      </c>
      <c r="AG624" s="37" t="str">
        <f>IF(最佳化斷筋點!H624="","",最佳化斷筋點!H624)</f>
        <v/>
      </c>
      <c r="AH624" s="37" t="str">
        <f>IF(最佳化斷筋點!I624="","",最佳化斷筋點!I624)</f>
        <v/>
      </c>
      <c r="AI624" s="37" t="str">
        <f>IF(最佳化斷筋點!J624="","",最佳化斷筋點!J624)</f>
        <v/>
      </c>
      <c r="AJ624" s="37" t="str">
        <f>IF(最佳化斷筋點!K624="","",最佳化斷筋點!K624)</f>
        <v/>
      </c>
      <c r="AK624" s="37" t="str">
        <f>IF(最佳化斷筋點!L624="","",最佳化斷筋點!L624)</f>
        <v/>
      </c>
      <c r="AL624" s="37" t="str">
        <f>IF(最佳化斷筋點!M624="","",最佳化斷筋點!M624)</f>
        <v/>
      </c>
      <c r="AM624" s="37" t="str">
        <f>IF(最佳化斷筋點!N624="","",最佳化斷筋點!N624)</f>
        <v/>
      </c>
      <c r="AN624" s="37" t="str">
        <f>IF(最佳化斷筋點!O624="","",最佳化斷筋點!O624)</f>
        <v/>
      </c>
      <c r="AO624" s="37" t="str">
        <f>IF(最佳化斷筋點!P624="","",最佳化斷筋點!P624)</f>
        <v/>
      </c>
      <c r="AP624" s="37" t="str">
        <f>IF(最佳化斷筋點!Q624="","",最佳化斷筋點!Q624)</f>
        <v/>
      </c>
      <c r="AQ624" s="37" t="str">
        <f>IF(最佳化斷筋點!R624="","",最佳化斷筋點!R624)</f>
        <v/>
      </c>
      <c r="AR624" s="37" t="str">
        <f>IF(最佳化斷筋點!S624="","",最佳化斷筋點!S624)</f>
        <v/>
      </c>
      <c r="AS624" s="37" t="str">
        <f>IF(最佳化斷筋點!T624="","",最佳化斷筋點!T624)</f>
        <v/>
      </c>
      <c r="AT624" s="37" t="str">
        <f>IF(最佳化斷筋點!U624="","",最佳化斷筋點!U624)</f>
        <v/>
      </c>
      <c r="AU624" s="37" t="str">
        <f>IF(最佳化斷筋點!V624="","",最佳化斷筋點!V624)</f>
        <v/>
      </c>
      <c r="AV624" s="37" t="str">
        <f>IF(最佳化斷筋點!W624="","",最佳化斷筋點!W624)</f>
        <v/>
      </c>
      <c r="AW624" s="37" t="str">
        <f>IF(最佳化斷筋點!X624="","",最佳化斷筋點!X624)</f>
        <v/>
      </c>
      <c r="AZ624" s="37" t="s">
        <v>197</v>
      </c>
      <c r="BA624" s="37" t="s">
        <v>197</v>
      </c>
      <c r="BB624" s="37" t="s">
        <v>197</v>
      </c>
      <c r="BC624" s="37" t="s">
        <v>197</v>
      </c>
      <c r="BD624" s="37" t="s">
        <v>197</v>
      </c>
      <c r="BE624" s="37" t="s">
        <v>197</v>
      </c>
      <c r="BF624" s="37" t="s">
        <v>197</v>
      </c>
      <c r="BG624" s="37" t="s">
        <v>197</v>
      </c>
      <c r="BH624" s="37" t="s">
        <v>197</v>
      </c>
      <c r="BI624" s="37" t="s">
        <v>197</v>
      </c>
      <c r="BJ624" s="37" t="s">
        <v>197</v>
      </c>
      <c r="BK624" s="37" t="s">
        <v>197</v>
      </c>
      <c r="BL624" s="37" t="s">
        <v>197</v>
      </c>
      <c r="BM624" s="37" t="s">
        <v>197</v>
      </c>
      <c r="BN624" s="37" t="s">
        <v>197</v>
      </c>
      <c r="BO624" s="37" t="s">
        <v>197</v>
      </c>
      <c r="BP624" s="37" t="s">
        <v>197</v>
      </c>
      <c r="BQ624" s="37" t="s">
        <v>197</v>
      </c>
      <c r="BR624" s="37" t="s">
        <v>197</v>
      </c>
      <c r="BS624" s="37" t="s">
        <v>197</v>
      </c>
      <c r="BT624" s="37" t="s">
        <v>197</v>
      </c>
    </row>
    <row r="625" spans="5:72" x14ac:dyDescent="0.25">
      <c r="E625" s="6" t="s">
        <v>21</v>
      </c>
      <c r="F625" s="6">
        <f t="shared" si="190"/>
        <v>0</v>
      </c>
      <c r="G625" s="6">
        <f t="shared" si="191"/>
        <v>0</v>
      </c>
      <c r="H625" s="6">
        <f t="shared" si="192"/>
        <v>0</v>
      </c>
      <c r="I625" s="6">
        <f t="shared" si="193"/>
        <v>0</v>
      </c>
      <c r="J625" s="6">
        <f t="shared" si="194"/>
        <v>0</v>
      </c>
      <c r="K625" s="6">
        <f t="shared" si="195"/>
        <v>0</v>
      </c>
      <c r="L625" s="6">
        <f t="shared" si="196"/>
        <v>0</v>
      </c>
      <c r="M625" s="6">
        <f t="shared" si="197"/>
        <v>0</v>
      </c>
      <c r="N625" s="6">
        <f t="shared" si="198"/>
        <v>0</v>
      </c>
      <c r="O625" s="6">
        <f t="shared" si="199"/>
        <v>0</v>
      </c>
      <c r="P625" s="6">
        <f t="shared" si="200"/>
        <v>0</v>
      </c>
      <c r="Q625" s="6">
        <f t="shared" si="201"/>
        <v>0</v>
      </c>
      <c r="R625" s="6">
        <f t="shared" si="202"/>
        <v>0</v>
      </c>
      <c r="S625" s="6">
        <f t="shared" si="203"/>
        <v>0</v>
      </c>
      <c r="T625" s="6">
        <f t="shared" si="204"/>
        <v>0</v>
      </c>
      <c r="U625" s="6">
        <f t="shared" si="205"/>
        <v>0</v>
      </c>
      <c r="V625" s="6">
        <f t="shared" si="206"/>
        <v>0</v>
      </c>
      <c r="W625" s="6">
        <f t="shared" si="207"/>
        <v>0</v>
      </c>
      <c r="X625" s="6">
        <f t="shared" si="208"/>
        <v>0</v>
      </c>
      <c r="Y625" s="6">
        <f t="shared" si="209"/>
        <v>0</v>
      </c>
      <c r="Z625" s="6">
        <f t="shared" si="210"/>
        <v>0</v>
      </c>
      <c r="AB625" s="36" t="str">
        <f>IF(最佳化斷筋點!C625="","",最佳化斷筋點!C625)</f>
        <v>下層</v>
      </c>
      <c r="AC625" s="37">
        <f>IF(最佳化斷筋點!D625="","",最佳化斷筋點!D625)</f>
        <v>12</v>
      </c>
      <c r="AD625" s="37">
        <f>IF(最佳化斷筋點!E625="","",最佳化斷筋點!E625)</f>
        <v>12</v>
      </c>
      <c r="AE625" s="37">
        <f>IF(最佳化斷筋點!F625="","",最佳化斷筋點!F625)</f>
        <v>12</v>
      </c>
      <c r="AF625" s="37">
        <f>IF(最佳化斷筋點!G625="","",最佳化斷筋點!G625)</f>
        <v>12</v>
      </c>
      <c r="AG625" s="37">
        <f>IF(最佳化斷筋點!H625="","",最佳化斷筋點!H625)</f>
        <v>12</v>
      </c>
      <c r="AH625" s="37">
        <f>IF(最佳化斷筋點!I625="","",最佳化斷筋點!I625)</f>
        <v>11</v>
      </c>
      <c r="AI625" s="37">
        <f>IF(最佳化斷筋點!J625="","",最佳化斷筋點!J625)</f>
        <v>10</v>
      </c>
      <c r="AJ625" s="37">
        <f>IF(最佳化斷筋點!K625="","",最佳化斷筋點!K625)</f>
        <v>9</v>
      </c>
      <c r="AK625" s="37">
        <f>IF(最佳化斷筋點!L625="","",最佳化斷筋點!L625)</f>
        <v>9</v>
      </c>
      <c r="AL625" s="37">
        <f>IF(最佳化斷筋點!M625="","",最佳化斷筋點!M625)</f>
        <v>9</v>
      </c>
      <c r="AM625" s="37">
        <f>IF(最佳化斷筋點!N625="","",最佳化斷筋點!N625)</f>
        <v>9</v>
      </c>
      <c r="AN625" s="37">
        <f>IF(最佳化斷筋點!O625="","",最佳化斷筋點!O625)</f>
        <v>9</v>
      </c>
      <c r="AO625" s="37">
        <f>IF(最佳化斷筋點!P625="","",最佳化斷筋點!P625)</f>
        <v>9</v>
      </c>
      <c r="AP625" s="37">
        <f>IF(最佳化斷筋點!Q625="","",最佳化斷筋點!Q625)</f>
        <v>9</v>
      </c>
      <c r="AQ625" s="37">
        <f>IF(最佳化斷筋點!R625="","",最佳化斷筋點!R625)</f>
        <v>9</v>
      </c>
      <c r="AR625" s="37">
        <f>IF(最佳化斷筋點!S625="","",最佳化斷筋點!S625)</f>
        <v>9</v>
      </c>
      <c r="AS625" s="37">
        <f>IF(最佳化斷筋點!T625="","",最佳化斷筋點!T625)</f>
        <v>9</v>
      </c>
      <c r="AT625" s="37">
        <f>IF(最佳化斷筋點!U625="","",最佳化斷筋點!U625)</f>
        <v>9</v>
      </c>
      <c r="AU625" s="37">
        <f>IF(最佳化斷筋點!V625="","",最佳化斷筋點!V625)</f>
        <v>9</v>
      </c>
      <c r="AV625" s="37">
        <f>IF(最佳化斷筋點!W625="","",最佳化斷筋點!W625)</f>
        <v>9</v>
      </c>
      <c r="AW625" s="37">
        <f>IF(最佳化斷筋點!X625="","",最佳化斷筋點!X625)</f>
        <v>9</v>
      </c>
      <c r="AY625" s="6" t="s">
        <v>21</v>
      </c>
      <c r="AZ625" s="37">
        <v>12</v>
      </c>
      <c r="BA625" s="37">
        <v>12</v>
      </c>
      <c r="BB625" s="37">
        <v>12</v>
      </c>
      <c r="BC625" s="37">
        <v>12</v>
      </c>
      <c r="BD625" s="37">
        <v>12</v>
      </c>
      <c r="BE625" s="37">
        <v>11</v>
      </c>
      <c r="BF625" s="37">
        <v>10</v>
      </c>
      <c r="BG625" s="37">
        <v>9</v>
      </c>
      <c r="BH625" s="37">
        <v>9</v>
      </c>
      <c r="BI625" s="37">
        <v>9</v>
      </c>
      <c r="BJ625" s="37">
        <v>9</v>
      </c>
      <c r="BK625" s="37">
        <v>9</v>
      </c>
      <c r="BL625" s="37">
        <v>9</v>
      </c>
      <c r="BM625" s="37">
        <v>9</v>
      </c>
      <c r="BN625" s="37">
        <v>9</v>
      </c>
      <c r="BO625" s="37">
        <v>9</v>
      </c>
      <c r="BP625" s="37">
        <v>9</v>
      </c>
      <c r="BQ625" s="37">
        <v>9</v>
      </c>
      <c r="BR625" s="37">
        <v>9</v>
      </c>
      <c r="BS625" s="37">
        <v>9</v>
      </c>
      <c r="BT625" s="37">
        <v>9</v>
      </c>
    </row>
    <row r="626" spans="5:72" x14ac:dyDescent="0.25">
      <c r="F626" s="6">
        <f t="shared" si="190"/>
        <v>0</v>
      </c>
      <c r="G626" s="6">
        <f t="shared" si="191"/>
        <v>0</v>
      </c>
      <c r="H626" s="6">
        <f t="shared" si="192"/>
        <v>0</v>
      </c>
      <c r="I626" s="6">
        <f t="shared" si="193"/>
        <v>0</v>
      </c>
      <c r="J626" s="6">
        <f t="shared" si="194"/>
        <v>0</v>
      </c>
      <c r="K626" s="6">
        <f t="shared" si="195"/>
        <v>0</v>
      </c>
      <c r="L626" s="6">
        <f t="shared" si="196"/>
        <v>0</v>
      </c>
      <c r="M626" s="6">
        <f t="shared" si="197"/>
        <v>0</v>
      </c>
      <c r="N626" s="6">
        <f t="shared" si="198"/>
        <v>0</v>
      </c>
      <c r="O626" s="6">
        <f t="shared" si="199"/>
        <v>0</v>
      </c>
      <c r="P626" s="6">
        <f t="shared" si="200"/>
        <v>0</v>
      </c>
      <c r="Q626" s="6">
        <f t="shared" si="201"/>
        <v>0</v>
      </c>
      <c r="R626" s="6">
        <f t="shared" si="202"/>
        <v>0</v>
      </c>
      <c r="S626" s="6">
        <f t="shared" si="203"/>
        <v>0</v>
      </c>
      <c r="T626" s="6">
        <f t="shared" si="204"/>
        <v>0</v>
      </c>
      <c r="U626" s="6">
        <f t="shared" si="205"/>
        <v>0</v>
      </c>
      <c r="V626" s="6">
        <f t="shared" si="206"/>
        <v>0</v>
      </c>
      <c r="W626" s="6">
        <f t="shared" si="207"/>
        <v>0</v>
      </c>
      <c r="X626" s="6">
        <f t="shared" si="208"/>
        <v>0</v>
      </c>
      <c r="Y626" s="6">
        <f t="shared" si="209"/>
        <v>0</v>
      </c>
      <c r="Z626" s="6">
        <f t="shared" si="210"/>
        <v>0</v>
      </c>
      <c r="AB626" s="36" t="str">
        <f>IF(最佳化斷筋點!C626="","",最佳化斷筋點!C626)</f>
        <v/>
      </c>
      <c r="AC626" s="37" t="str">
        <f>IF(最佳化斷筋點!D626="","",最佳化斷筋點!D626)</f>
        <v/>
      </c>
      <c r="AD626" s="37" t="str">
        <f>IF(最佳化斷筋點!E626="","",最佳化斷筋點!E626)</f>
        <v/>
      </c>
      <c r="AE626" s="37" t="str">
        <f>IF(最佳化斷筋點!F626="","",最佳化斷筋點!F626)</f>
        <v/>
      </c>
      <c r="AF626" s="37" t="str">
        <f>IF(最佳化斷筋點!G626="","",最佳化斷筋點!G626)</f>
        <v/>
      </c>
      <c r="AG626" s="37" t="str">
        <f>IF(最佳化斷筋點!H626="","",最佳化斷筋點!H626)</f>
        <v/>
      </c>
      <c r="AH626" s="37" t="str">
        <f>IF(最佳化斷筋點!I626="","",最佳化斷筋點!I626)</f>
        <v/>
      </c>
      <c r="AI626" s="37" t="str">
        <f>IF(最佳化斷筋點!J626="","",最佳化斷筋點!J626)</f>
        <v/>
      </c>
      <c r="AJ626" s="37" t="str">
        <f>IF(最佳化斷筋點!K626="","",最佳化斷筋點!K626)</f>
        <v/>
      </c>
      <c r="AK626" s="37" t="str">
        <f>IF(最佳化斷筋點!L626="","",最佳化斷筋點!L626)</f>
        <v/>
      </c>
      <c r="AL626" s="37" t="str">
        <f>IF(最佳化斷筋點!M626="","",最佳化斷筋點!M626)</f>
        <v/>
      </c>
      <c r="AM626" s="37" t="str">
        <f>IF(最佳化斷筋點!N626="","",最佳化斷筋點!N626)</f>
        <v/>
      </c>
      <c r="AN626" s="37" t="str">
        <f>IF(最佳化斷筋點!O626="","",最佳化斷筋點!O626)</f>
        <v/>
      </c>
      <c r="AO626" s="37" t="str">
        <f>IF(最佳化斷筋點!P626="","",最佳化斷筋點!P626)</f>
        <v/>
      </c>
      <c r="AP626" s="37" t="str">
        <f>IF(最佳化斷筋點!Q626="","",最佳化斷筋點!Q626)</f>
        <v/>
      </c>
      <c r="AQ626" s="37" t="str">
        <f>IF(最佳化斷筋點!R626="","",最佳化斷筋點!R626)</f>
        <v/>
      </c>
      <c r="AR626" s="37" t="str">
        <f>IF(最佳化斷筋點!S626="","",最佳化斷筋點!S626)</f>
        <v/>
      </c>
      <c r="AS626" s="37" t="str">
        <f>IF(最佳化斷筋點!T626="","",最佳化斷筋點!T626)</f>
        <v/>
      </c>
      <c r="AT626" s="37" t="str">
        <f>IF(最佳化斷筋點!U626="","",最佳化斷筋點!U626)</f>
        <v/>
      </c>
      <c r="AU626" s="37" t="str">
        <f>IF(最佳化斷筋點!V626="","",最佳化斷筋點!V626)</f>
        <v/>
      </c>
      <c r="AV626" s="37" t="str">
        <f>IF(最佳化斷筋點!W626="","",最佳化斷筋點!W626)</f>
        <v/>
      </c>
      <c r="AW626" s="37" t="str">
        <f>IF(最佳化斷筋點!X626="","",最佳化斷筋點!X626)</f>
        <v/>
      </c>
      <c r="AZ626" s="37" t="s">
        <v>197</v>
      </c>
      <c r="BA626" s="37" t="s">
        <v>197</v>
      </c>
      <c r="BB626" s="37" t="s">
        <v>197</v>
      </c>
      <c r="BC626" s="37" t="s">
        <v>197</v>
      </c>
      <c r="BD626" s="37" t="s">
        <v>197</v>
      </c>
      <c r="BE626" s="37" t="s">
        <v>197</v>
      </c>
      <c r="BF626" s="37" t="s">
        <v>197</v>
      </c>
      <c r="BG626" s="37" t="s">
        <v>197</v>
      </c>
      <c r="BH626" s="37" t="s">
        <v>197</v>
      </c>
      <c r="BI626" s="37" t="s">
        <v>197</v>
      </c>
      <c r="BJ626" s="37" t="s">
        <v>197</v>
      </c>
      <c r="BK626" s="37" t="s">
        <v>197</v>
      </c>
      <c r="BL626" s="37" t="s">
        <v>197</v>
      </c>
      <c r="BM626" s="37" t="s">
        <v>197</v>
      </c>
      <c r="BN626" s="37" t="s">
        <v>197</v>
      </c>
      <c r="BO626" s="37" t="s">
        <v>197</v>
      </c>
      <c r="BP626" s="37" t="s">
        <v>197</v>
      </c>
      <c r="BQ626" s="37" t="s">
        <v>197</v>
      </c>
      <c r="BR626" s="37" t="s">
        <v>197</v>
      </c>
      <c r="BS626" s="37" t="s">
        <v>197</v>
      </c>
      <c r="BT626" s="37" t="s">
        <v>197</v>
      </c>
    </row>
    <row r="627" spans="5:72" x14ac:dyDescent="0.25">
      <c r="E627" s="6" t="s">
        <v>20</v>
      </c>
      <c r="F627" s="6">
        <f t="shared" si="190"/>
        <v>0</v>
      </c>
      <c r="G627" s="6">
        <f t="shared" si="191"/>
        <v>0</v>
      </c>
      <c r="H627" s="6">
        <f t="shared" si="192"/>
        <v>0</v>
      </c>
      <c r="I627" s="6">
        <f t="shared" si="193"/>
        <v>0</v>
      </c>
      <c r="J627" s="6">
        <f t="shared" si="194"/>
        <v>0</v>
      </c>
      <c r="K627" s="6">
        <f t="shared" si="195"/>
        <v>0</v>
      </c>
      <c r="L627" s="6">
        <f t="shared" si="196"/>
        <v>0</v>
      </c>
      <c r="M627" s="6">
        <f t="shared" si="197"/>
        <v>0</v>
      </c>
      <c r="N627" s="6">
        <f t="shared" si="198"/>
        <v>0</v>
      </c>
      <c r="O627" s="6">
        <f t="shared" si="199"/>
        <v>0</v>
      </c>
      <c r="P627" s="6">
        <f t="shared" si="200"/>
        <v>0</v>
      </c>
      <c r="Q627" s="6">
        <f t="shared" si="201"/>
        <v>0</v>
      </c>
      <c r="R627" s="6">
        <f t="shared" si="202"/>
        <v>0</v>
      </c>
      <c r="S627" s="6">
        <f t="shared" si="203"/>
        <v>0</v>
      </c>
      <c r="T627" s="6">
        <f t="shared" si="204"/>
        <v>0</v>
      </c>
      <c r="U627" s="6">
        <f t="shared" si="205"/>
        <v>0</v>
      </c>
      <c r="V627" s="6">
        <f t="shared" si="206"/>
        <v>0</v>
      </c>
      <c r="W627" s="6">
        <f t="shared" si="207"/>
        <v>0</v>
      </c>
      <c r="X627" s="6">
        <f t="shared" si="208"/>
        <v>0</v>
      </c>
      <c r="Y627" s="6">
        <f t="shared" si="209"/>
        <v>0</v>
      </c>
      <c r="Z627" s="6">
        <f t="shared" si="210"/>
        <v>0</v>
      </c>
      <c r="AB627" s="36" t="str">
        <f>IF(最佳化斷筋點!C627="","",最佳化斷筋點!C627)</f>
        <v>上層</v>
      </c>
      <c r="AC627" s="37">
        <f>IF(最佳化斷筋點!D627="","",最佳化斷筋點!D627)</f>
        <v>7</v>
      </c>
      <c r="AD627" s="37">
        <f>IF(最佳化斷筋點!E627="","",最佳化斷筋點!E627)</f>
        <v>7</v>
      </c>
      <c r="AE627" s="37">
        <f>IF(最佳化斷筋點!F627="","",最佳化斷筋點!F627)</f>
        <v>7</v>
      </c>
      <c r="AF627" s="37">
        <f>IF(最佳化斷筋點!G627="","",最佳化斷筋點!G627)</f>
        <v>7</v>
      </c>
      <c r="AG627" s="37">
        <f>IF(最佳化斷筋點!H627="","",最佳化斷筋點!H627)</f>
        <v>7</v>
      </c>
      <c r="AH627" s="37">
        <f>IF(最佳化斷筋點!I627="","",最佳化斷筋點!I627)</f>
        <v>6</v>
      </c>
      <c r="AI627" s="37">
        <f>IF(最佳化斷筋點!J627="","",最佳化斷筋點!J627)</f>
        <v>6</v>
      </c>
      <c r="AJ627" s="37">
        <f>IF(最佳化斷筋點!K627="","",最佳化斷筋點!K627)</f>
        <v>3</v>
      </c>
      <c r="AK627" s="37">
        <f>IF(最佳化斷筋點!L627="","",最佳化斷筋點!L627)</f>
        <v>3</v>
      </c>
      <c r="AL627" s="37">
        <f>IF(最佳化斷筋點!M627="","",最佳化斷筋點!M627)</f>
        <v>3</v>
      </c>
      <c r="AM627" s="37">
        <f>IF(最佳化斷筋點!N627="","",最佳化斷筋點!N627)</f>
        <v>3</v>
      </c>
      <c r="AN627" s="37">
        <f>IF(最佳化斷筋點!O627="","",最佳化斷筋點!O627)</f>
        <v>3</v>
      </c>
      <c r="AO627" s="37">
        <f>IF(最佳化斷筋點!P627="","",最佳化斷筋點!P627)</f>
        <v>3</v>
      </c>
      <c r="AP627" s="37">
        <f>IF(最佳化斷筋點!Q627="","",最佳化斷筋點!Q627)</f>
        <v>5</v>
      </c>
      <c r="AQ627" s="37">
        <f>IF(最佳化斷筋點!R627="","",最佳化斷筋點!R627)</f>
        <v>6</v>
      </c>
      <c r="AR627" s="37">
        <f>IF(最佳化斷筋點!S627="","",最佳化斷筋點!S627)</f>
        <v>6</v>
      </c>
      <c r="AS627" s="37">
        <f>IF(最佳化斷筋點!T627="","",最佳化斷筋點!T627)</f>
        <v>7</v>
      </c>
      <c r="AT627" s="37">
        <f>IF(最佳化斷筋點!U627="","",最佳化斷筋點!U627)</f>
        <v>8</v>
      </c>
      <c r="AU627" s="37">
        <f>IF(最佳化斷筋點!V627="","",最佳化斷筋點!V627)</f>
        <v>8</v>
      </c>
      <c r="AV627" s="37">
        <f>IF(最佳化斷筋點!W627="","",最佳化斷筋點!W627)</f>
        <v>8</v>
      </c>
      <c r="AW627" s="37">
        <f>IF(最佳化斷筋點!X627="","",最佳化斷筋點!X627)</f>
        <v>8</v>
      </c>
      <c r="AY627" s="6" t="s">
        <v>20</v>
      </c>
      <c r="AZ627" s="37">
        <v>7</v>
      </c>
      <c r="BA627" s="37">
        <v>7</v>
      </c>
      <c r="BB627" s="37">
        <v>7</v>
      </c>
      <c r="BC627" s="37">
        <v>7</v>
      </c>
      <c r="BD627" s="37">
        <v>7</v>
      </c>
      <c r="BE627" s="37">
        <v>6</v>
      </c>
      <c r="BF627" s="37">
        <v>6</v>
      </c>
      <c r="BG627" s="37">
        <v>3</v>
      </c>
      <c r="BH627" s="37">
        <v>3</v>
      </c>
      <c r="BI627" s="37">
        <v>3</v>
      </c>
      <c r="BJ627" s="37">
        <v>3</v>
      </c>
      <c r="BK627" s="37">
        <v>3</v>
      </c>
      <c r="BL627" s="37">
        <v>3</v>
      </c>
      <c r="BM627" s="37">
        <v>5</v>
      </c>
      <c r="BN627" s="37">
        <v>6</v>
      </c>
      <c r="BO627" s="37">
        <v>6</v>
      </c>
      <c r="BP627" s="37">
        <v>7</v>
      </c>
      <c r="BQ627" s="37">
        <v>8</v>
      </c>
      <c r="BR627" s="37">
        <v>8</v>
      </c>
      <c r="BS627" s="37">
        <v>8</v>
      </c>
      <c r="BT627" s="37">
        <v>8</v>
      </c>
    </row>
    <row r="628" spans="5:72" x14ac:dyDescent="0.25">
      <c r="F628" s="6">
        <f t="shared" si="190"/>
        <v>0</v>
      </c>
      <c r="G628" s="6">
        <f t="shared" si="191"/>
        <v>0</v>
      </c>
      <c r="H628" s="6">
        <f t="shared" si="192"/>
        <v>0</v>
      </c>
      <c r="I628" s="6">
        <f t="shared" si="193"/>
        <v>0</v>
      </c>
      <c r="J628" s="6">
        <f t="shared" si="194"/>
        <v>0</v>
      </c>
      <c r="K628" s="6">
        <f t="shared" si="195"/>
        <v>0</v>
      </c>
      <c r="L628" s="6">
        <f t="shared" si="196"/>
        <v>0</v>
      </c>
      <c r="M628" s="6">
        <f t="shared" si="197"/>
        <v>0</v>
      </c>
      <c r="N628" s="6">
        <f t="shared" si="198"/>
        <v>0</v>
      </c>
      <c r="O628" s="6">
        <f t="shared" si="199"/>
        <v>0</v>
      </c>
      <c r="P628" s="6">
        <f t="shared" si="200"/>
        <v>0</v>
      </c>
      <c r="Q628" s="6">
        <f t="shared" si="201"/>
        <v>0</v>
      </c>
      <c r="R628" s="6">
        <f t="shared" si="202"/>
        <v>0</v>
      </c>
      <c r="S628" s="6">
        <f t="shared" si="203"/>
        <v>0</v>
      </c>
      <c r="T628" s="6">
        <f t="shared" si="204"/>
        <v>0</v>
      </c>
      <c r="U628" s="6">
        <f t="shared" si="205"/>
        <v>0</v>
      </c>
      <c r="V628" s="6">
        <f t="shared" si="206"/>
        <v>0</v>
      </c>
      <c r="W628" s="6">
        <f t="shared" si="207"/>
        <v>0</v>
      </c>
      <c r="X628" s="6">
        <f t="shared" si="208"/>
        <v>0</v>
      </c>
      <c r="Y628" s="6">
        <f t="shared" si="209"/>
        <v>0</v>
      </c>
      <c r="Z628" s="6">
        <f t="shared" si="210"/>
        <v>0</v>
      </c>
      <c r="AB628" s="36" t="str">
        <f>IF(最佳化斷筋點!C628="","",最佳化斷筋點!C628)</f>
        <v/>
      </c>
      <c r="AC628" s="37" t="str">
        <f>IF(最佳化斷筋點!D628="","",最佳化斷筋點!D628)</f>
        <v/>
      </c>
      <c r="AD628" s="37" t="str">
        <f>IF(最佳化斷筋點!E628="","",最佳化斷筋點!E628)</f>
        <v/>
      </c>
      <c r="AE628" s="37" t="str">
        <f>IF(最佳化斷筋點!F628="","",最佳化斷筋點!F628)</f>
        <v/>
      </c>
      <c r="AF628" s="37" t="str">
        <f>IF(最佳化斷筋點!G628="","",最佳化斷筋點!G628)</f>
        <v/>
      </c>
      <c r="AG628" s="37" t="str">
        <f>IF(最佳化斷筋點!H628="","",最佳化斷筋點!H628)</f>
        <v/>
      </c>
      <c r="AH628" s="37" t="str">
        <f>IF(最佳化斷筋點!I628="","",最佳化斷筋點!I628)</f>
        <v/>
      </c>
      <c r="AI628" s="37" t="str">
        <f>IF(最佳化斷筋點!J628="","",最佳化斷筋點!J628)</f>
        <v/>
      </c>
      <c r="AJ628" s="37" t="str">
        <f>IF(最佳化斷筋點!K628="","",最佳化斷筋點!K628)</f>
        <v/>
      </c>
      <c r="AK628" s="37" t="str">
        <f>IF(最佳化斷筋點!L628="","",最佳化斷筋點!L628)</f>
        <v/>
      </c>
      <c r="AL628" s="37" t="str">
        <f>IF(最佳化斷筋點!M628="","",最佳化斷筋點!M628)</f>
        <v/>
      </c>
      <c r="AM628" s="37" t="str">
        <f>IF(最佳化斷筋點!N628="","",最佳化斷筋點!N628)</f>
        <v/>
      </c>
      <c r="AN628" s="37" t="str">
        <f>IF(最佳化斷筋點!O628="","",最佳化斷筋點!O628)</f>
        <v/>
      </c>
      <c r="AO628" s="37" t="str">
        <f>IF(最佳化斷筋點!P628="","",最佳化斷筋點!P628)</f>
        <v/>
      </c>
      <c r="AP628" s="37" t="str">
        <f>IF(最佳化斷筋點!Q628="","",最佳化斷筋點!Q628)</f>
        <v/>
      </c>
      <c r="AQ628" s="37" t="str">
        <f>IF(最佳化斷筋點!R628="","",最佳化斷筋點!R628)</f>
        <v/>
      </c>
      <c r="AR628" s="37" t="str">
        <f>IF(最佳化斷筋點!S628="","",最佳化斷筋點!S628)</f>
        <v/>
      </c>
      <c r="AS628" s="37" t="str">
        <f>IF(最佳化斷筋點!T628="","",最佳化斷筋點!T628)</f>
        <v/>
      </c>
      <c r="AT628" s="37" t="str">
        <f>IF(最佳化斷筋點!U628="","",最佳化斷筋點!U628)</f>
        <v/>
      </c>
      <c r="AU628" s="37" t="str">
        <f>IF(最佳化斷筋點!V628="","",最佳化斷筋點!V628)</f>
        <v/>
      </c>
      <c r="AV628" s="37" t="str">
        <f>IF(最佳化斷筋點!W628="","",最佳化斷筋點!W628)</f>
        <v/>
      </c>
      <c r="AW628" s="37" t="str">
        <f>IF(最佳化斷筋點!X628="","",最佳化斷筋點!X628)</f>
        <v/>
      </c>
      <c r="AZ628" s="37" t="s">
        <v>197</v>
      </c>
      <c r="BA628" s="37" t="s">
        <v>197</v>
      </c>
      <c r="BB628" s="37" t="s">
        <v>197</v>
      </c>
      <c r="BC628" s="37" t="s">
        <v>197</v>
      </c>
      <c r="BD628" s="37" t="s">
        <v>197</v>
      </c>
      <c r="BE628" s="37" t="s">
        <v>197</v>
      </c>
      <c r="BF628" s="37" t="s">
        <v>197</v>
      </c>
      <c r="BG628" s="37" t="s">
        <v>197</v>
      </c>
      <c r="BH628" s="37" t="s">
        <v>197</v>
      </c>
      <c r="BI628" s="37" t="s">
        <v>197</v>
      </c>
      <c r="BJ628" s="37" t="s">
        <v>197</v>
      </c>
      <c r="BK628" s="37" t="s">
        <v>197</v>
      </c>
      <c r="BL628" s="37" t="s">
        <v>197</v>
      </c>
      <c r="BM628" s="37" t="s">
        <v>197</v>
      </c>
      <c r="BN628" s="37" t="s">
        <v>197</v>
      </c>
      <c r="BO628" s="37" t="s">
        <v>197</v>
      </c>
      <c r="BP628" s="37" t="s">
        <v>197</v>
      </c>
      <c r="BQ628" s="37" t="s">
        <v>197</v>
      </c>
      <c r="BR628" s="37" t="s">
        <v>197</v>
      </c>
      <c r="BS628" s="37" t="s">
        <v>197</v>
      </c>
      <c r="BT628" s="37" t="s">
        <v>197</v>
      </c>
    </row>
    <row r="629" spans="5:72" x14ac:dyDescent="0.25">
      <c r="E629" s="6" t="s">
        <v>21</v>
      </c>
      <c r="F629" s="6">
        <f t="shared" si="190"/>
        <v>0</v>
      </c>
      <c r="G629" s="6">
        <f t="shared" si="191"/>
        <v>0</v>
      </c>
      <c r="H629" s="6">
        <f t="shared" si="192"/>
        <v>0</v>
      </c>
      <c r="I629" s="6">
        <f t="shared" si="193"/>
        <v>0</v>
      </c>
      <c r="J629" s="6">
        <f t="shared" si="194"/>
        <v>0</v>
      </c>
      <c r="K629" s="6">
        <f t="shared" si="195"/>
        <v>0</v>
      </c>
      <c r="L629" s="6">
        <f t="shared" si="196"/>
        <v>0</v>
      </c>
      <c r="M629" s="6">
        <f t="shared" si="197"/>
        <v>0</v>
      </c>
      <c r="N629" s="6">
        <f t="shared" si="198"/>
        <v>0</v>
      </c>
      <c r="O629" s="6">
        <f t="shared" si="199"/>
        <v>0</v>
      </c>
      <c r="P629" s="6">
        <f t="shared" si="200"/>
        <v>0</v>
      </c>
      <c r="Q629" s="6">
        <f t="shared" si="201"/>
        <v>0</v>
      </c>
      <c r="R629" s="6">
        <f t="shared" si="202"/>
        <v>0</v>
      </c>
      <c r="S629" s="6">
        <f t="shared" si="203"/>
        <v>0</v>
      </c>
      <c r="T629" s="6">
        <f t="shared" si="204"/>
        <v>0</v>
      </c>
      <c r="U629" s="6">
        <f t="shared" si="205"/>
        <v>0</v>
      </c>
      <c r="V629" s="6">
        <f t="shared" si="206"/>
        <v>0</v>
      </c>
      <c r="W629" s="6">
        <f t="shared" si="207"/>
        <v>0</v>
      </c>
      <c r="X629" s="6">
        <f t="shared" si="208"/>
        <v>0</v>
      </c>
      <c r="Y629" s="6">
        <f t="shared" si="209"/>
        <v>0</v>
      </c>
      <c r="Z629" s="6">
        <f t="shared" si="210"/>
        <v>0</v>
      </c>
      <c r="AB629" s="36" t="str">
        <f>IF(最佳化斷筋點!C629="","",最佳化斷筋點!C629)</f>
        <v>下層</v>
      </c>
      <c r="AC629" s="37">
        <f>IF(最佳化斷筋點!D629="","",最佳化斷筋點!D629)</f>
        <v>6</v>
      </c>
      <c r="AD629" s="37">
        <f>IF(最佳化斷筋點!E629="","",最佳化斷筋點!E629)</f>
        <v>6</v>
      </c>
      <c r="AE629" s="37">
        <f>IF(最佳化斷筋點!F629="","",最佳化斷筋點!F629)</f>
        <v>6</v>
      </c>
      <c r="AF629" s="37">
        <f>IF(最佳化斷筋點!G629="","",最佳化斷筋點!G629)</f>
        <v>6</v>
      </c>
      <c r="AG629" s="37">
        <f>IF(最佳化斷筋點!H629="","",最佳化斷筋點!H629)</f>
        <v>5</v>
      </c>
      <c r="AH629" s="37">
        <f>IF(最佳化斷筋點!I629="","",最佳化斷筋點!I629)</f>
        <v>5</v>
      </c>
      <c r="AI629" s="37">
        <f>IF(最佳化斷筋點!J629="","",最佳化斷筋點!J629)</f>
        <v>4</v>
      </c>
      <c r="AJ629" s="37">
        <f>IF(最佳化斷筋點!K629="","",最佳化斷筋點!K629)</f>
        <v>4</v>
      </c>
      <c r="AK629" s="37">
        <f>IF(最佳化斷筋點!L629="","",最佳化斷筋點!L629)</f>
        <v>4</v>
      </c>
      <c r="AL629" s="37">
        <f>IF(最佳化斷筋點!M629="","",最佳化斷筋點!M629)</f>
        <v>4</v>
      </c>
      <c r="AM629" s="37">
        <f>IF(最佳化斷筋點!N629="","",最佳化斷筋點!N629)</f>
        <v>4</v>
      </c>
      <c r="AN629" s="37">
        <f>IF(最佳化斷筋點!O629="","",最佳化斷筋點!O629)</f>
        <v>4</v>
      </c>
      <c r="AO629" s="37">
        <f>IF(最佳化斷筋點!P629="","",最佳化斷筋點!P629)</f>
        <v>4</v>
      </c>
      <c r="AP629" s="37">
        <f>IF(最佳化斷筋點!Q629="","",最佳化斷筋點!Q629)</f>
        <v>4</v>
      </c>
      <c r="AQ629" s="37">
        <f>IF(最佳化斷筋點!R629="","",最佳化斷筋點!R629)</f>
        <v>4</v>
      </c>
      <c r="AR629" s="37">
        <f>IF(最佳化斷筋點!S629="","",最佳化斷筋點!S629)</f>
        <v>4</v>
      </c>
      <c r="AS629" s="37">
        <f>IF(最佳化斷筋點!T629="","",最佳化斷筋點!T629)</f>
        <v>5</v>
      </c>
      <c r="AT629" s="37">
        <f>IF(最佳化斷筋點!U629="","",最佳化斷筋點!U629)</f>
        <v>5</v>
      </c>
      <c r="AU629" s="37">
        <f>IF(最佳化斷筋點!V629="","",最佳化斷筋點!V629)</f>
        <v>6</v>
      </c>
      <c r="AV629" s="37">
        <f>IF(最佳化斷筋點!W629="","",最佳化斷筋點!W629)</f>
        <v>6</v>
      </c>
      <c r="AW629" s="37">
        <f>IF(最佳化斷筋點!X629="","",最佳化斷筋點!X629)</f>
        <v>6</v>
      </c>
      <c r="AY629" s="6" t="s">
        <v>21</v>
      </c>
      <c r="AZ629" s="37">
        <v>6</v>
      </c>
      <c r="BA629" s="37">
        <v>6</v>
      </c>
      <c r="BB629" s="37">
        <v>6</v>
      </c>
      <c r="BC629" s="37">
        <v>6</v>
      </c>
      <c r="BD629" s="37">
        <v>5</v>
      </c>
      <c r="BE629" s="37">
        <v>5</v>
      </c>
      <c r="BF629" s="37">
        <v>4</v>
      </c>
      <c r="BG629" s="37">
        <v>4</v>
      </c>
      <c r="BH629" s="37">
        <v>4</v>
      </c>
      <c r="BI629" s="37">
        <v>4</v>
      </c>
      <c r="BJ629" s="37">
        <v>4</v>
      </c>
      <c r="BK629" s="37">
        <v>4</v>
      </c>
      <c r="BL629" s="37">
        <v>4</v>
      </c>
      <c r="BM629" s="37">
        <v>4</v>
      </c>
      <c r="BN629" s="37">
        <v>4</v>
      </c>
      <c r="BO629" s="37">
        <v>4</v>
      </c>
      <c r="BP629" s="37">
        <v>5</v>
      </c>
      <c r="BQ629" s="37">
        <v>5</v>
      </c>
      <c r="BR629" s="37">
        <v>6</v>
      </c>
      <c r="BS629" s="37">
        <v>6</v>
      </c>
      <c r="BT629" s="37">
        <v>6</v>
      </c>
    </row>
    <row r="630" spans="5:72" x14ac:dyDescent="0.25">
      <c r="F630" s="6">
        <f t="shared" si="190"/>
        <v>0</v>
      </c>
      <c r="G630" s="6">
        <f t="shared" si="191"/>
        <v>0</v>
      </c>
      <c r="H630" s="6">
        <f t="shared" si="192"/>
        <v>0</v>
      </c>
      <c r="I630" s="6">
        <f t="shared" si="193"/>
        <v>0</v>
      </c>
      <c r="J630" s="6">
        <f t="shared" si="194"/>
        <v>0</v>
      </c>
      <c r="K630" s="6">
        <f t="shared" si="195"/>
        <v>0</v>
      </c>
      <c r="L630" s="6">
        <f t="shared" si="196"/>
        <v>0</v>
      </c>
      <c r="M630" s="6">
        <f t="shared" si="197"/>
        <v>0</v>
      </c>
      <c r="N630" s="6">
        <f t="shared" si="198"/>
        <v>0</v>
      </c>
      <c r="O630" s="6">
        <f t="shared" si="199"/>
        <v>0</v>
      </c>
      <c r="P630" s="6">
        <f t="shared" si="200"/>
        <v>0</v>
      </c>
      <c r="Q630" s="6">
        <f t="shared" si="201"/>
        <v>0</v>
      </c>
      <c r="R630" s="6">
        <f t="shared" si="202"/>
        <v>0</v>
      </c>
      <c r="S630" s="6">
        <f t="shared" si="203"/>
        <v>0</v>
      </c>
      <c r="T630" s="6">
        <f t="shared" si="204"/>
        <v>0</v>
      </c>
      <c r="U630" s="6">
        <f t="shared" si="205"/>
        <v>0</v>
      </c>
      <c r="V630" s="6">
        <f t="shared" si="206"/>
        <v>0</v>
      </c>
      <c r="W630" s="6">
        <f t="shared" si="207"/>
        <v>0</v>
      </c>
      <c r="X630" s="6">
        <f t="shared" si="208"/>
        <v>0</v>
      </c>
      <c r="Y630" s="6">
        <f t="shared" si="209"/>
        <v>0</v>
      </c>
      <c r="Z630" s="6">
        <f t="shared" si="210"/>
        <v>0</v>
      </c>
      <c r="AB630" s="36" t="str">
        <f>IF(最佳化斷筋點!C630="","",最佳化斷筋點!C630)</f>
        <v/>
      </c>
      <c r="AC630" s="37" t="str">
        <f>IF(最佳化斷筋點!D630="","",最佳化斷筋點!D630)</f>
        <v/>
      </c>
      <c r="AD630" s="37" t="str">
        <f>IF(最佳化斷筋點!E630="","",最佳化斷筋點!E630)</f>
        <v/>
      </c>
      <c r="AE630" s="37" t="str">
        <f>IF(最佳化斷筋點!F630="","",最佳化斷筋點!F630)</f>
        <v/>
      </c>
      <c r="AF630" s="37" t="str">
        <f>IF(最佳化斷筋點!G630="","",最佳化斷筋點!G630)</f>
        <v/>
      </c>
      <c r="AG630" s="37" t="str">
        <f>IF(最佳化斷筋點!H630="","",最佳化斷筋點!H630)</f>
        <v/>
      </c>
      <c r="AH630" s="37" t="str">
        <f>IF(最佳化斷筋點!I630="","",最佳化斷筋點!I630)</f>
        <v/>
      </c>
      <c r="AI630" s="37" t="str">
        <f>IF(最佳化斷筋點!J630="","",最佳化斷筋點!J630)</f>
        <v/>
      </c>
      <c r="AJ630" s="37" t="str">
        <f>IF(最佳化斷筋點!K630="","",最佳化斷筋點!K630)</f>
        <v/>
      </c>
      <c r="AK630" s="37" t="str">
        <f>IF(最佳化斷筋點!L630="","",最佳化斷筋點!L630)</f>
        <v/>
      </c>
      <c r="AL630" s="37" t="str">
        <f>IF(最佳化斷筋點!M630="","",最佳化斷筋點!M630)</f>
        <v/>
      </c>
      <c r="AM630" s="37" t="str">
        <f>IF(最佳化斷筋點!N630="","",最佳化斷筋點!N630)</f>
        <v/>
      </c>
      <c r="AN630" s="37" t="str">
        <f>IF(最佳化斷筋點!O630="","",最佳化斷筋點!O630)</f>
        <v/>
      </c>
      <c r="AO630" s="37" t="str">
        <f>IF(最佳化斷筋點!P630="","",最佳化斷筋點!P630)</f>
        <v/>
      </c>
      <c r="AP630" s="37" t="str">
        <f>IF(最佳化斷筋點!Q630="","",最佳化斷筋點!Q630)</f>
        <v/>
      </c>
      <c r="AQ630" s="37" t="str">
        <f>IF(最佳化斷筋點!R630="","",最佳化斷筋點!R630)</f>
        <v/>
      </c>
      <c r="AR630" s="37" t="str">
        <f>IF(最佳化斷筋點!S630="","",最佳化斷筋點!S630)</f>
        <v/>
      </c>
      <c r="AS630" s="37" t="str">
        <f>IF(最佳化斷筋點!T630="","",最佳化斷筋點!T630)</f>
        <v/>
      </c>
      <c r="AT630" s="37" t="str">
        <f>IF(最佳化斷筋點!U630="","",最佳化斷筋點!U630)</f>
        <v/>
      </c>
      <c r="AU630" s="37" t="str">
        <f>IF(最佳化斷筋點!V630="","",最佳化斷筋點!V630)</f>
        <v/>
      </c>
      <c r="AV630" s="37" t="str">
        <f>IF(最佳化斷筋點!W630="","",最佳化斷筋點!W630)</f>
        <v/>
      </c>
      <c r="AW630" s="37" t="str">
        <f>IF(最佳化斷筋點!X630="","",最佳化斷筋點!X630)</f>
        <v/>
      </c>
      <c r="AZ630" s="37" t="s">
        <v>197</v>
      </c>
      <c r="BA630" s="37" t="s">
        <v>197</v>
      </c>
      <c r="BB630" s="37" t="s">
        <v>197</v>
      </c>
      <c r="BC630" s="37" t="s">
        <v>197</v>
      </c>
      <c r="BD630" s="37" t="s">
        <v>197</v>
      </c>
      <c r="BE630" s="37" t="s">
        <v>197</v>
      </c>
      <c r="BF630" s="37" t="s">
        <v>197</v>
      </c>
      <c r="BG630" s="37" t="s">
        <v>197</v>
      </c>
      <c r="BH630" s="37" t="s">
        <v>197</v>
      </c>
      <c r="BI630" s="37" t="s">
        <v>197</v>
      </c>
      <c r="BJ630" s="37" t="s">
        <v>197</v>
      </c>
      <c r="BK630" s="37" t="s">
        <v>197</v>
      </c>
      <c r="BL630" s="37" t="s">
        <v>197</v>
      </c>
      <c r="BM630" s="37" t="s">
        <v>197</v>
      </c>
      <c r="BN630" s="37" t="s">
        <v>197</v>
      </c>
      <c r="BO630" s="37" t="s">
        <v>197</v>
      </c>
      <c r="BP630" s="37" t="s">
        <v>197</v>
      </c>
      <c r="BQ630" s="37" t="s">
        <v>197</v>
      </c>
      <c r="BR630" s="37" t="s">
        <v>197</v>
      </c>
      <c r="BS630" s="37" t="s">
        <v>197</v>
      </c>
      <c r="BT630" s="37" t="s">
        <v>197</v>
      </c>
    </row>
    <row r="631" spans="5:72" x14ac:dyDescent="0.25">
      <c r="E631" s="36" t="s">
        <v>20</v>
      </c>
      <c r="F631" s="36">
        <f t="shared" ref="F631:F694" si="211">IF(AC631=AZ631,0,1)</f>
        <v>0</v>
      </c>
      <c r="G631" s="36">
        <f t="shared" ref="G631:G694" si="212">IF(AD631=BA631,0,1)</f>
        <v>0</v>
      </c>
      <c r="H631" s="36">
        <f t="shared" ref="H631:H694" si="213">IF(AE631=BB631,0,1)</f>
        <v>0</v>
      </c>
      <c r="I631" s="36">
        <f t="shared" ref="I631:I694" si="214">IF(AF631=BC631,0,1)</f>
        <v>0</v>
      </c>
      <c r="J631" s="36">
        <f t="shared" ref="J631:J694" si="215">IF(AG631=BD631,0,1)</f>
        <v>0</v>
      </c>
      <c r="K631" s="36">
        <f t="shared" ref="K631:K694" si="216">IF(AH631=BE631,0,1)</f>
        <v>0</v>
      </c>
      <c r="L631" s="36">
        <f t="shared" ref="L631:L694" si="217">IF(AI631=BF631,0,1)</f>
        <v>0</v>
      </c>
      <c r="M631" s="36">
        <f t="shared" ref="M631:M694" si="218">IF(AJ631=BG631,0,1)</f>
        <v>0</v>
      </c>
      <c r="N631" s="36">
        <f t="shared" ref="N631:N694" si="219">IF(AK631=BH631,0,1)</f>
        <v>0</v>
      </c>
      <c r="O631" s="36">
        <f t="shared" ref="O631:O694" si="220">IF(AL631=BI631,0,1)</f>
        <v>0</v>
      </c>
      <c r="P631" s="36">
        <f t="shared" ref="P631:P694" si="221">IF(AM631=BJ631,0,1)</f>
        <v>0</v>
      </c>
      <c r="Q631" s="36">
        <f t="shared" ref="Q631:Q694" si="222">IF(AN631=BK631,0,1)</f>
        <v>0</v>
      </c>
      <c r="R631" s="36">
        <f t="shared" ref="R631:R694" si="223">IF(AO631=BL631,0,1)</f>
        <v>0</v>
      </c>
      <c r="S631" s="36">
        <f t="shared" ref="S631:S694" si="224">IF(AP631=BM631,0,1)</f>
        <v>0</v>
      </c>
      <c r="T631" s="36">
        <f t="shared" ref="T631:T694" si="225">IF(AQ631=BN631,0,1)</f>
        <v>0</v>
      </c>
      <c r="U631" s="36">
        <f t="shared" ref="U631:U694" si="226">IF(AR631=BO631,0,1)</f>
        <v>0</v>
      </c>
      <c r="V631" s="36">
        <f t="shared" ref="V631:V694" si="227">IF(AS631=BP631,0,1)</f>
        <v>0</v>
      </c>
      <c r="W631" s="36">
        <f t="shared" ref="W631:W694" si="228">IF(AT631=BQ631,0,1)</f>
        <v>0</v>
      </c>
      <c r="X631" s="36">
        <f t="shared" ref="X631:X694" si="229">IF(AU631=BR631,0,1)</f>
        <v>0</v>
      </c>
      <c r="Y631" s="36">
        <f t="shared" ref="Y631:Y694" si="230">IF(AV631=BS631,0,1)</f>
        <v>0</v>
      </c>
      <c r="Z631" s="36">
        <f t="shared" ref="Z631:Z694" si="231">IF(AW631=BT631,0,1)</f>
        <v>0</v>
      </c>
      <c r="AB631" s="36" t="str">
        <f>IF(最佳化斷筋點!C631="","",最佳化斷筋點!C631)</f>
        <v>上層</v>
      </c>
      <c r="AC631" s="37">
        <f>IF(最佳化斷筋點!D631="","",最佳化斷筋點!D631)</f>
        <v>9</v>
      </c>
      <c r="AD631" s="37">
        <f>IF(最佳化斷筋點!E631="","",最佳化斷筋點!E631)</f>
        <v>9</v>
      </c>
      <c r="AE631" s="37">
        <f>IF(最佳化斷筋點!F631="","",最佳化斷筋點!F631)</f>
        <v>9</v>
      </c>
      <c r="AF631" s="37">
        <f>IF(最佳化斷筋點!G631="","",最佳化斷筋點!G631)</f>
        <v>9</v>
      </c>
      <c r="AG631" s="37">
        <f>IF(最佳化斷筋點!H631="","",最佳化斷筋點!H631)</f>
        <v>9</v>
      </c>
      <c r="AH631" s="37">
        <f>IF(最佳化斷筋點!I631="","",最佳化斷筋點!I631)</f>
        <v>9</v>
      </c>
      <c r="AI631" s="37">
        <f>IF(最佳化斷筋點!J631="","",最佳化斷筋點!J631)</f>
        <v>9</v>
      </c>
      <c r="AJ631" s="37">
        <f>IF(最佳化斷筋點!K631="","",最佳化斷筋點!K631)</f>
        <v>9</v>
      </c>
      <c r="AK631" s="37">
        <f>IF(最佳化斷筋點!L631="","",最佳化斷筋點!L631)</f>
        <v>8</v>
      </c>
      <c r="AL631" s="37">
        <f>IF(最佳化斷筋點!M631="","",最佳化斷筋點!M631)</f>
        <v>7</v>
      </c>
      <c r="AM631" s="37">
        <f>IF(最佳化斷筋點!N631="","",最佳化斷筋點!N631)</f>
        <v>6</v>
      </c>
      <c r="AN631" s="37">
        <f>IF(最佳化斷筋點!O631="","",最佳化斷筋點!O631)</f>
        <v>6</v>
      </c>
      <c r="AO631" s="37">
        <f>IF(最佳化斷筋點!P631="","",最佳化斷筋點!P631)</f>
        <v>7</v>
      </c>
      <c r="AP631" s="37">
        <f>IF(最佳化斷筋點!Q631="","",最佳化斷筋點!Q631)</f>
        <v>8</v>
      </c>
      <c r="AQ631" s="37">
        <f>IF(最佳化斷筋點!R631="","",最佳化斷筋點!R631)</f>
        <v>9</v>
      </c>
      <c r="AR631" s="37">
        <f>IF(最佳化斷筋點!S631="","",最佳化斷筋點!S631)</f>
        <v>9</v>
      </c>
      <c r="AS631" s="37">
        <f>IF(最佳化斷筋點!T631="","",最佳化斷筋點!T631)</f>
        <v>9</v>
      </c>
      <c r="AT631" s="37">
        <f>IF(最佳化斷筋點!U631="","",最佳化斷筋點!U631)</f>
        <v>9</v>
      </c>
      <c r="AU631" s="37">
        <f>IF(最佳化斷筋點!V631="","",最佳化斷筋點!V631)</f>
        <v>9</v>
      </c>
      <c r="AV631" s="37">
        <f>IF(最佳化斷筋點!W631="","",最佳化斷筋點!W631)</f>
        <v>9</v>
      </c>
      <c r="AW631" s="37">
        <f>IF(最佳化斷筋點!X631="","",最佳化斷筋點!X631)</f>
        <v>9</v>
      </c>
      <c r="AY631" s="6" t="s">
        <v>20</v>
      </c>
      <c r="AZ631" s="37">
        <v>9</v>
      </c>
      <c r="BA631" s="37">
        <v>9</v>
      </c>
      <c r="BB631" s="37">
        <v>9</v>
      </c>
      <c r="BC631" s="37">
        <v>9</v>
      </c>
      <c r="BD631" s="37">
        <v>9</v>
      </c>
      <c r="BE631" s="37">
        <v>9</v>
      </c>
      <c r="BF631" s="37">
        <v>9</v>
      </c>
      <c r="BG631" s="37">
        <v>9</v>
      </c>
      <c r="BH631" s="37">
        <v>8</v>
      </c>
      <c r="BI631" s="37">
        <v>7</v>
      </c>
      <c r="BJ631" s="37">
        <v>6</v>
      </c>
      <c r="BK631" s="37">
        <v>6</v>
      </c>
      <c r="BL631" s="37">
        <v>7</v>
      </c>
      <c r="BM631" s="37">
        <v>8</v>
      </c>
      <c r="BN631" s="37">
        <v>9</v>
      </c>
      <c r="BO631" s="37">
        <v>9</v>
      </c>
      <c r="BP631" s="37">
        <v>9</v>
      </c>
      <c r="BQ631" s="37">
        <v>9</v>
      </c>
      <c r="BR631" s="37">
        <v>9</v>
      </c>
      <c r="BS631" s="37">
        <v>9</v>
      </c>
      <c r="BT631" s="37">
        <v>9</v>
      </c>
    </row>
    <row r="632" spans="5:72" x14ac:dyDescent="0.25">
      <c r="E632" s="36"/>
      <c r="F632" s="36">
        <f t="shared" si="211"/>
        <v>0</v>
      </c>
      <c r="G632" s="36">
        <f t="shared" si="212"/>
        <v>0</v>
      </c>
      <c r="H632" s="36">
        <f t="shared" si="213"/>
        <v>0</v>
      </c>
      <c r="I632" s="36">
        <f t="shared" si="214"/>
        <v>0</v>
      </c>
      <c r="J632" s="36">
        <f t="shared" si="215"/>
        <v>0</v>
      </c>
      <c r="K632" s="36">
        <f t="shared" si="216"/>
        <v>0</v>
      </c>
      <c r="L632" s="36">
        <f t="shared" si="217"/>
        <v>0</v>
      </c>
      <c r="M632" s="36">
        <f t="shared" si="218"/>
        <v>0</v>
      </c>
      <c r="N632" s="36">
        <f t="shared" si="219"/>
        <v>0</v>
      </c>
      <c r="O632" s="36">
        <f t="shared" si="220"/>
        <v>0</v>
      </c>
      <c r="P632" s="36">
        <f t="shared" si="221"/>
        <v>0</v>
      </c>
      <c r="Q632" s="36">
        <f t="shared" si="222"/>
        <v>0</v>
      </c>
      <c r="R632" s="36">
        <f t="shared" si="223"/>
        <v>0</v>
      </c>
      <c r="S632" s="36">
        <f t="shared" si="224"/>
        <v>0</v>
      </c>
      <c r="T632" s="36">
        <f t="shared" si="225"/>
        <v>0</v>
      </c>
      <c r="U632" s="36">
        <f t="shared" si="226"/>
        <v>0</v>
      </c>
      <c r="V632" s="36">
        <f t="shared" si="227"/>
        <v>0</v>
      </c>
      <c r="W632" s="36">
        <f t="shared" si="228"/>
        <v>0</v>
      </c>
      <c r="X632" s="36">
        <f t="shared" si="229"/>
        <v>0</v>
      </c>
      <c r="Y632" s="36">
        <f t="shared" si="230"/>
        <v>0</v>
      </c>
      <c r="Z632" s="36">
        <f t="shared" si="231"/>
        <v>0</v>
      </c>
      <c r="AB632" s="36" t="str">
        <f>IF(最佳化斷筋點!C632="","",最佳化斷筋點!C632)</f>
        <v/>
      </c>
      <c r="AC632" s="37" t="str">
        <f>IF(最佳化斷筋點!D632="","",最佳化斷筋點!D632)</f>
        <v/>
      </c>
      <c r="AD632" s="37" t="str">
        <f>IF(最佳化斷筋點!E632="","",最佳化斷筋點!E632)</f>
        <v/>
      </c>
      <c r="AE632" s="37" t="str">
        <f>IF(最佳化斷筋點!F632="","",最佳化斷筋點!F632)</f>
        <v/>
      </c>
      <c r="AF632" s="37" t="str">
        <f>IF(最佳化斷筋點!G632="","",最佳化斷筋點!G632)</f>
        <v/>
      </c>
      <c r="AG632" s="37" t="str">
        <f>IF(最佳化斷筋點!H632="","",最佳化斷筋點!H632)</f>
        <v/>
      </c>
      <c r="AH632" s="37" t="str">
        <f>IF(最佳化斷筋點!I632="","",最佳化斷筋點!I632)</f>
        <v/>
      </c>
      <c r="AI632" s="37" t="str">
        <f>IF(最佳化斷筋點!J632="","",最佳化斷筋點!J632)</f>
        <v/>
      </c>
      <c r="AJ632" s="37" t="str">
        <f>IF(最佳化斷筋點!K632="","",最佳化斷筋點!K632)</f>
        <v/>
      </c>
      <c r="AK632" s="37" t="str">
        <f>IF(最佳化斷筋點!L632="","",最佳化斷筋點!L632)</f>
        <v/>
      </c>
      <c r="AL632" s="37" t="str">
        <f>IF(最佳化斷筋點!M632="","",最佳化斷筋點!M632)</f>
        <v/>
      </c>
      <c r="AM632" s="37" t="str">
        <f>IF(最佳化斷筋點!N632="","",最佳化斷筋點!N632)</f>
        <v/>
      </c>
      <c r="AN632" s="37" t="str">
        <f>IF(最佳化斷筋點!O632="","",最佳化斷筋點!O632)</f>
        <v/>
      </c>
      <c r="AO632" s="37" t="str">
        <f>IF(最佳化斷筋點!P632="","",最佳化斷筋點!P632)</f>
        <v/>
      </c>
      <c r="AP632" s="37" t="str">
        <f>IF(最佳化斷筋點!Q632="","",最佳化斷筋點!Q632)</f>
        <v/>
      </c>
      <c r="AQ632" s="37" t="str">
        <f>IF(最佳化斷筋點!R632="","",最佳化斷筋點!R632)</f>
        <v/>
      </c>
      <c r="AR632" s="37" t="str">
        <f>IF(最佳化斷筋點!S632="","",最佳化斷筋點!S632)</f>
        <v/>
      </c>
      <c r="AS632" s="37" t="str">
        <f>IF(最佳化斷筋點!T632="","",最佳化斷筋點!T632)</f>
        <v/>
      </c>
      <c r="AT632" s="37" t="str">
        <f>IF(最佳化斷筋點!U632="","",最佳化斷筋點!U632)</f>
        <v/>
      </c>
      <c r="AU632" s="37" t="str">
        <f>IF(最佳化斷筋點!V632="","",最佳化斷筋點!V632)</f>
        <v/>
      </c>
      <c r="AV632" s="37" t="str">
        <f>IF(最佳化斷筋點!W632="","",最佳化斷筋點!W632)</f>
        <v/>
      </c>
      <c r="AW632" s="37" t="str">
        <f>IF(最佳化斷筋點!X632="","",最佳化斷筋點!X632)</f>
        <v/>
      </c>
      <c r="AZ632" s="37" t="s">
        <v>197</v>
      </c>
      <c r="BA632" s="37" t="s">
        <v>197</v>
      </c>
      <c r="BB632" s="37" t="s">
        <v>197</v>
      </c>
      <c r="BC632" s="37" t="s">
        <v>197</v>
      </c>
      <c r="BD632" s="37" t="s">
        <v>197</v>
      </c>
      <c r="BE632" s="37" t="s">
        <v>197</v>
      </c>
      <c r="BF632" s="37" t="s">
        <v>197</v>
      </c>
      <c r="BG632" s="37" t="s">
        <v>197</v>
      </c>
      <c r="BH632" s="37" t="s">
        <v>197</v>
      </c>
      <c r="BI632" s="37" t="s">
        <v>197</v>
      </c>
      <c r="BJ632" s="37" t="s">
        <v>197</v>
      </c>
      <c r="BK632" s="37" t="s">
        <v>197</v>
      </c>
      <c r="BL632" s="37" t="s">
        <v>197</v>
      </c>
      <c r="BM632" s="37" t="s">
        <v>197</v>
      </c>
      <c r="BN632" s="37" t="s">
        <v>197</v>
      </c>
      <c r="BO632" s="37" t="s">
        <v>197</v>
      </c>
      <c r="BP632" s="37" t="s">
        <v>197</v>
      </c>
      <c r="BQ632" s="37" t="s">
        <v>197</v>
      </c>
      <c r="BR632" s="37" t="s">
        <v>197</v>
      </c>
      <c r="BS632" s="37" t="s">
        <v>197</v>
      </c>
      <c r="BT632" s="37" t="s">
        <v>197</v>
      </c>
    </row>
    <row r="633" spans="5:72" x14ac:dyDescent="0.25">
      <c r="E633" s="36" t="s">
        <v>21</v>
      </c>
      <c r="F633" s="36">
        <f t="shared" si="211"/>
        <v>0</v>
      </c>
      <c r="G633" s="36">
        <f t="shared" si="212"/>
        <v>0</v>
      </c>
      <c r="H633" s="36">
        <f t="shared" si="213"/>
        <v>0</v>
      </c>
      <c r="I633" s="36">
        <f t="shared" si="214"/>
        <v>0</v>
      </c>
      <c r="J633" s="36">
        <f t="shared" si="215"/>
        <v>0</v>
      </c>
      <c r="K633" s="36">
        <f t="shared" si="216"/>
        <v>0</v>
      </c>
      <c r="L633" s="36">
        <f t="shared" si="217"/>
        <v>0</v>
      </c>
      <c r="M633" s="36">
        <f t="shared" si="218"/>
        <v>0</v>
      </c>
      <c r="N633" s="36">
        <f t="shared" si="219"/>
        <v>0</v>
      </c>
      <c r="O633" s="36">
        <f t="shared" si="220"/>
        <v>0</v>
      </c>
      <c r="P633" s="36">
        <f t="shared" si="221"/>
        <v>0</v>
      </c>
      <c r="Q633" s="36">
        <f t="shared" si="222"/>
        <v>0</v>
      </c>
      <c r="R633" s="36">
        <f t="shared" si="223"/>
        <v>0</v>
      </c>
      <c r="S633" s="36">
        <f t="shared" si="224"/>
        <v>0</v>
      </c>
      <c r="T633" s="36">
        <f t="shared" si="225"/>
        <v>0</v>
      </c>
      <c r="U633" s="36">
        <f t="shared" si="226"/>
        <v>0</v>
      </c>
      <c r="V633" s="36">
        <f t="shared" si="227"/>
        <v>0</v>
      </c>
      <c r="W633" s="36">
        <f t="shared" si="228"/>
        <v>0</v>
      </c>
      <c r="X633" s="36">
        <f t="shared" si="229"/>
        <v>0</v>
      </c>
      <c r="Y633" s="36">
        <f t="shared" si="230"/>
        <v>0</v>
      </c>
      <c r="Z633" s="36">
        <f t="shared" si="231"/>
        <v>0</v>
      </c>
      <c r="AB633" s="36" t="str">
        <f>IF(最佳化斷筋點!C633="","",最佳化斷筋點!C633)</f>
        <v>下層</v>
      </c>
      <c r="AC633" s="37">
        <f>IF(最佳化斷筋點!D633="","",最佳化斷筋點!D633)</f>
        <v>13</v>
      </c>
      <c r="AD633" s="37">
        <f>IF(最佳化斷筋點!E633="","",最佳化斷筋點!E633)</f>
        <v>13</v>
      </c>
      <c r="AE633" s="37">
        <f>IF(最佳化斷筋點!F633="","",最佳化斷筋點!F633)</f>
        <v>13</v>
      </c>
      <c r="AF633" s="37">
        <f>IF(最佳化斷筋點!G633="","",最佳化斷筋點!G633)</f>
        <v>13</v>
      </c>
      <c r="AG633" s="37">
        <f>IF(最佳化斷筋點!H633="","",最佳化斷筋點!H633)</f>
        <v>13</v>
      </c>
      <c r="AH633" s="37">
        <f>IF(最佳化斷筋點!I633="","",最佳化斷筋點!I633)</f>
        <v>13</v>
      </c>
      <c r="AI633" s="37">
        <f>IF(最佳化斷筋點!J633="","",最佳化斷筋點!J633)</f>
        <v>13</v>
      </c>
      <c r="AJ633" s="37">
        <f>IF(最佳化斷筋點!K633="","",最佳化斷筋點!K633)</f>
        <v>13</v>
      </c>
      <c r="AK633" s="37">
        <f>IF(最佳化斷筋點!L633="","",最佳化斷筋點!L633)</f>
        <v>13</v>
      </c>
      <c r="AL633" s="37">
        <f>IF(最佳化斷筋點!M633="","",最佳化斷筋點!M633)</f>
        <v>13</v>
      </c>
      <c r="AM633" s="37">
        <f>IF(最佳化斷筋點!N633="","",最佳化斷筋點!N633)</f>
        <v>13</v>
      </c>
      <c r="AN633" s="37">
        <f>IF(最佳化斷筋點!O633="","",最佳化斷筋點!O633)</f>
        <v>13</v>
      </c>
      <c r="AO633" s="37">
        <f>IF(最佳化斷筋點!P633="","",最佳化斷筋點!P633)</f>
        <v>13</v>
      </c>
      <c r="AP633" s="37">
        <f>IF(最佳化斷筋點!Q633="","",最佳化斷筋點!Q633)</f>
        <v>13</v>
      </c>
      <c r="AQ633" s="37">
        <f>IF(最佳化斷筋點!R633="","",最佳化斷筋點!R633)</f>
        <v>13</v>
      </c>
      <c r="AR633" s="37">
        <f>IF(最佳化斷筋點!S633="","",最佳化斷筋點!S633)</f>
        <v>13</v>
      </c>
      <c r="AS633" s="37">
        <f>IF(最佳化斷筋點!T633="","",最佳化斷筋點!T633)</f>
        <v>13</v>
      </c>
      <c r="AT633" s="37">
        <f>IF(最佳化斷筋點!U633="","",最佳化斷筋點!U633)</f>
        <v>13</v>
      </c>
      <c r="AU633" s="37">
        <f>IF(最佳化斷筋點!V633="","",最佳化斷筋點!V633)</f>
        <v>13</v>
      </c>
      <c r="AV633" s="37">
        <f>IF(最佳化斷筋點!W633="","",最佳化斷筋點!W633)</f>
        <v>13</v>
      </c>
      <c r="AW633" s="37">
        <f>IF(最佳化斷筋點!X633="","",最佳化斷筋點!X633)</f>
        <v>13</v>
      </c>
      <c r="AY633" s="6" t="s">
        <v>21</v>
      </c>
      <c r="AZ633" s="37">
        <v>13</v>
      </c>
      <c r="BA633" s="37">
        <v>13</v>
      </c>
      <c r="BB633" s="37">
        <v>13</v>
      </c>
      <c r="BC633" s="37">
        <v>13</v>
      </c>
      <c r="BD633" s="37">
        <v>13</v>
      </c>
      <c r="BE633" s="37">
        <v>13</v>
      </c>
      <c r="BF633" s="37">
        <v>13</v>
      </c>
      <c r="BG633" s="37">
        <v>13</v>
      </c>
      <c r="BH633" s="37">
        <v>13</v>
      </c>
      <c r="BI633" s="37">
        <v>13</v>
      </c>
      <c r="BJ633" s="37">
        <v>13</v>
      </c>
      <c r="BK633" s="37">
        <v>13</v>
      </c>
      <c r="BL633" s="37">
        <v>13</v>
      </c>
      <c r="BM633" s="37">
        <v>13</v>
      </c>
      <c r="BN633" s="37">
        <v>13</v>
      </c>
      <c r="BO633" s="37">
        <v>13</v>
      </c>
      <c r="BP633" s="37">
        <v>13</v>
      </c>
      <c r="BQ633" s="37">
        <v>13</v>
      </c>
      <c r="BR633" s="37">
        <v>13</v>
      </c>
      <c r="BS633" s="37">
        <v>13</v>
      </c>
      <c r="BT633" s="37">
        <v>13</v>
      </c>
    </row>
    <row r="634" spans="5:72" x14ac:dyDescent="0.25">
      <c r="E634" s="36"/>
      <c r="F634" s="36">
        <f t="shared" si="211"/>
        <v>0</v>
      </c>
      <c r="G634" s="36">
        <f t="shared" si="212"/>
        <v>0</v>
      </c>
      <c r="H634" s="36">
        <f t="shared" si="213"/>
        <v>0</v>
      </c>
      <c r="I634" s="36">
        <f t="shared" si="214"/>
        <v>0</v>
      </c>
      <c r="J634" s="36">
        <f t="shared" si="215"/>
        <v>0</v>
      </c>
      <c r="K634" s="36">
        <f t="shared" si="216"/>
        <v>0</v>
      </c>
      <c r="L634" s="36">
        <f t="shared" si="217"/>
        <v>0</v>
      </c>
      <c r="M634" s="36">
        <f t="shared" si="218"/>
        <v>0</v>
      </c>
      <c r="N634" s="36">
        <f t="shared" si="219"/>
        <v>0</v>
      </c>
      <c r="O634" s="36">
        <f t="shared" si="220"/>
        <v>0</v>
      </c>
      <c r="P634" s="36">
        <f t="shared" si="221"/>
        <v>0</v>
      </c>
      <c r="Q634" s="36">
        <f t="shared" si="222"/>
        <v>0</v>
      </c>
      <c r="R634" s="36">
        <f t="shared" si="223"/>
        <v>0</v>
      </c>
      <c r="S634" s="36">
        <f t="shared" si="224"/>
        <v>0</v>
      </c>
      <c r="T634" s="36">
        <f t="shared" si="225"/>
        <v>0</v>
      </c>
      <c r="U634" s="36">
        <f t="shared" si="226"/>
        <v>0</v>
      </c>
      <c r="V634" s="36">
        <f t="shared" si="227"/>
        <v>0</v>
      </c>
      <c r="W634" s="36">
        <f t="shared" si="228"/>
        <v>0</v>
      </c>
      <c r="X634" s="36">
        <f t="shared" si="229"/>
        <v>0</v>
      </c>
      <c r="Y634" s="36">
        <f t="shared" si="230"/>
        <v>0</v>
      </c>
      <c r="Z634" s="36">
        <f t="shared" si="231"/>
        <v>0</v>
      </c>
      <c r="AB634" s="36" t="str">
        <f>IF(最佳化斷筋點!C634="","",最佳化斷筋點!C634)</f>
        <v/>
      </c>
      <c r="AC634" s="37" t="str">
        <f>IF(最佳化斷筋點!D634="","",最佳化斷筋點!D634)</f>
        <v/>
      </c>
      <c r="AD634" s="37" t="str">
        <f>IF(最佳化斷筋點!E634="","",最佳化斷筋點!E634)</f>
        <v/>
      </c>
      <c r="AE634" s="37" t="str">
        <f>IF(最佳化斷筋點!F634="","",最佳化斷筋點!F634)</f>
        <v/>
      </c>
      <c r="AF634" s="37" t="str">
        <f>IF(最佳化斷筋點!G634="","",最佳化斷筋點!G634)</f>
        <v/>
      </c>
      <c r="AG634" s="37" t="str">
        <f>IF(最佳化斷筋點!H634="","",最佳化斷筋點!H634)</f>
        <v/>
      </c>
      <c r="AH634" s="37" t="str">
        <f>IF(最佳化斷筋點!I634="","",最佳化斷筋點!I634)</f>
        <v/>
      </c>
      <c r="AI634" s="37" t="str">
        <f>IF(最佳化斷筋點!J634="","",最佳化斷筋點!J634)</f>
        <v/>
      </c>
      <c r="AJ634" s="37" t="str">
        <f>IF(最佳化斷筋點!K634="","",最佳化斷筋點!K634)</f>
        <v/>
      </c>
      <c r="AK634" s="37" t="str">
        <f>IF(最佳化斷筋點!L634="","",最佳化斷筋點!L634)</f>
        <v/>
      </c>
      <c r="AL634" s="37" t="str">
        <f>IF(最佳化斷筋點!M634="","",最佳化斷筋點!M634)</f>
        <v/>
      </c>
      <c r="AM634" s="37" t="str">
        <f>IF(最佳化斷筋點!N634="","",最佳化斷筋點!N634)</f>
        <v/>
      </c>
      <c r="AN634" s="37" t="str">
        <f>IF(最佳化斷筋點!O634="","",最佳化斷筋點!O634)</f>
        <v/>
      </c>
      <c r="AO634" s="37" t="str">
        <f>IF(最佳化斷筋點!P634="","",最佳化斷筋點!P634)</f>
        <v/>
      </c>
      <c r="AP634" s="37" t="str">
        <f>IF(最佳化斷筋點!Q634="","",最佳化斷筋點!Q634)</f>
        <v/>
      </c>
      <c r="AQ634" s="37" t="str">
        <f>IF(最佳化斷筋點!R634="","",最佳化斷筋點!R634)</f>
        <v/>
      </c>
      <c r="AR634" s="37" t="str">
        <f>IF(最佳化斷筋點!S634="","",最佳化斷筋點!S634)</f>
        <v/>
      </c>
      <c r="AS634" s="37" t="str">
        <f>IF(最佳化斷筋點!T634="","",最佳化斷筋點!T634)</f>
        <v/>
      </c>
      <c r="AT634" s="37" t="str">
        <f>IF(最佳化斷筋點!U634="","",最佳化斷筋點!U634)</f>
        <v/>
      </c>
      <c r="AU634" s="37" t="str">
        <f>IF(最佳化斷筋點!V634="","",最佳化斷筋點!V634)</f>
        <v/>
      </c>
      <c r="AV634" s="37" t="str">
        <f>IF(最佳化斷筋點!W634="","",最佳化斷筋點!W634)</f>
        <v/>
      </c>
      <c r="AW634" s="37" t="str">
        <f>IF(最佳化斷筋點!X634="","",最佳化斷筋點!X634)</f>
        <v/>
      </c>
      <c r="AZ634" s="37" t="s">
        <v>197</v>
      </c>
      <c r="BA634" s="37" t="s">
        <v>197</v>
      </c>
      <c r="BB634" s="37" t="s">
        <v>197</v>
      </c>
      <c r="BC634" s="37" t="s">
        <v>197</v>
      </c>
      <c r="BD634" s="37" t="s">
        <v>197</v>
      </c>
      <c r="BE634" s="37" t="s">
        <v>197</v>
      </c>
      <c r="BF634" s="37" t="s">
        <v>197</v>
      </c>
      <c r="BG634" s="37" t="s">
        <v>197</v>
      </c>
      <c r="BH634" s="37" t="s">
        <v>197</v>
      </c>
      <c r="BI634" s="37" t="s">
        <v>197</v>
      </c>
      <c r="BJ634" s="37" t="s">
        <v>197</v>
      </c>
      <c r="BK634" s="37" t="s">
        <v>197</v>
      </c>
      <c r="BL634" s="37" t="s">
        <v>197</v>
      </c>
      <c r="BM634" s="37" t="s">
        <v>197</v>
      </c>
      <c r="BN634" s="37" t="s">
        <v>197</v>
      </c>
      <c r="BO634" s="37" t="s">
        <v>197</v>
      </c>
      <c r="BP634" s="37" t="s">
        <v>197</v>
      </c>
      <c r="BQ634" s="37" t="s">
        <v>197</v>
      </c>
      <c r="BR634" s="37" t="s">
        <v>197</v>
      </c>
      <c r="BS634" s="37" t="s">
        <v>197</v>
      </c>
      <c r="BT634" s="37" t="s">
        <v>197</v>
      </c>
    </row>
    <row r="635" spans="5:72" x14ac:dyDescent="0.25">
      <c r="E635" s="36" t="s">
        <v>20</v>
      </c>
      <c r="F635" s="36">
        <f t="shared" si="211"/>
        <v>0</v>
      </c>
      <c r="G635" s="36">
        <f t="shared" si="212"/>
        <v>0</v>
      </c>
      <c r="H635" s="36">
        <f t="shared" si="213"/>
        <v>0</v>
      </c>
      <c r="I635" s="36">
        <f t="shared" si="214"/>
        <v>0</v>
      </c>
      <c r="J635" s="36">
        <f t="shared" si="215"/>
        <v>0</v>
      </c>
      <c r="K635" s="36">
        <f t="shared" si="216"/>
        <v>0</v>
      </c>
      <c r="L635" s="36">
        <f t="shared" si="217"/>
        <v>0</v>
      </c>
      <c r="M635" s="36">
        <f t="shared" si="218"/>
        <v>0</v>
      </c>
      <c r="N635" s="36">
        <f t="shared" si="219"/>
        <v>0</v>
      </c>
      <c r="O635" s="36">
        <f t="shared" si="220"/>
        <v>0</v>
      </c>
      <c r="P635" s="36">
        <f t="shared" si="221"/>
        <v>0</v>
      </c>
      <c r="Q635" s="36">
        <f t="shared" si="222"/>
        <v>0</v>
      </c>
      <c r="R635" s="36">
        <f t="shared" si="223"/>
        <v>0</v>
      </c>
      <c r="S635" s="36">
        <f t="shared" si="224"/>
        <v>0</v>
      </c>
      <c r="T635" s="36">
        <f t="shared" si="225"/>
        <v>0</v>
      </c>
      <c r="U635" s="36">
        <f t="shared" si="226"/>
        <v>0</v>
      </c>
      <c r="V635" s="36">
        <f t="shared" si="227"/>
        <v>0</v>
      </c>
      <c r="W635" s="36">
        <f t="shared" si="228"/>
        <v>0</v>
      </c>
      <c r="X635" s="36">
        <f t="shared" si="229"/>
        <v>0</v>
      </c>
      <c r="Y635" s="36">
        <f t="shared" si="230"/>
        <v>0</v>
      </c>
      <c r="Z635" s="36">
        <f t="shared" si="231"/>
        <v>0</v>
      </c>
      <c r="AB635" s="36" t="str">
        <f>IF(最佳化斷筋點!C635="","",最佳化斷筋點!C635)</f>
        <v>上層</v>
      </c>
      <c r="AC635" s="37">
        <f>IF(最佳化斷筋點!D635="","",最佳化斷筋點!D635)</f>
        <v>10</v>
      </c>
      <c r="AD635" s="37">
        <f>IF(最佳化斷筋點!E635="","",最佳化斷筋點!E635)</f>
        <v>10</v>
      </c>
      <c r="AE635" s="37">
        <f>IF(最佳化斷筋點!F635="","",最佳化斷筋點!F635)</f>
        <v>10</v>
      </c>
      <c r="AF635" s="37">
        <f>IF(最佳化斷筋點!G635="","",最佳化斷筋點!G635)</f>
        <v>10</v>
      </c>
      <c r="AG635" s="37">
        <f>IF(最佳化斷筋點!H635="","",最佳化斷筋點!H635)</f>
        <v>10</v>
      </c>
      <c r="AH635" s="37">
        <f>IF(最佳化斷筋點!I635="","",最佳化斷筋點!I635)</f>
        <v>10</v>
      </c>
      <c r="AI635" s="37">
        <f>IF(最佳化斷筋點!J635="","",最佳化斷筋點!J635)</f>
        <v>10</v>
      </c>
      <c r="AJ635" s="37">
        <f>IF(最佳化斷筋點!K635="","",最佳化斷筋點!K635)</f>
        <v>4</v>
      </c>
      <c r="AK635" s="37">
        <f>IF(最佳化斷筋點!L635="","",最佳化斷筋點!L635)</f>
        <v>4</v>
      </c>
      <c r="AL635" s="37">
        <f>IF(最佳化斷筋點!M635="","",最佳化斷筋點!M635)</f>
        <v>4</v>
      </c>
      <c r="AM635" s="37">
        <f>IF(最佳化斷筋點!N635="","",最佳化斷筋點!N635)</f>
        <v>4</v>
      </c>
      <c r="AN635" s="37">
        <f>IF(最佳化斷筋點!O635="","",最佳化斷筋點!O635)</f>
        <v>4</v>
      </c>
      <c r="AO635" s="37">
        <f>IF(最佳化斷筋點!P635="","",最佳化斷筋點!P635)</f>
        <v>4</v>
      </c>
      <c r="AP635" s="37">
        <f>IF(最佳化斷筋點!Q635="","",最佳化斷筋點!Q635)</f>
        <v>6</v>
      </c>
      <c r="AQ635" s="37">
        <f>IF(最佳化斷筋點!R635="","",最佳化斷筋點!R635)</f>
        <v>7</v>
      </c>
      <c r="AR635" s="37">
        <f>IF(最佳化斷筋點!S635="","",最佳化斷筋點!S635)</f>
        <v>8</v>
      </c>
      <c r="AS635" s="37">
        <f>IF(最佳化斷筋點!T635="","",最佳化斷筋點!T635)</f>
        <v>8</v>
      </c>
      <c r="AT635" s="37">
        <f>IF(最佳化斷筋點!U635="","",最佳化斷筋點!U635)</f>
        <v>8</v>
      </c>
      <c r="AU635" s="37">
        <f>IF(最佳化斷筋點!V635="","",最佳化斷筋點!V635)</f>
        <v>8</v>
      </c>
      <c r="AV635" s="37">
        <f>IF(最佳化斷筋點!W635="","",最佳化斷筋點!W635)</f>
        <v>8</v>
      </c>
      <c r="AW635" s="37">
        <f>IF(最佳化斷筋點!X635="","",最佳化斷筋點!X635)</f>
        <v>8</v>
      </c>
      <c r="AZ635" s="37">
        <v>10</v>
      </c>
      <c r="BA635" s="37">
        <v>10</v>
      </c>
      <c r="BB635" s="37">
        <v>10</v>
      </c>
      <c r="BC635" s="37">
        <v>10</v>
      </c>
      <c r="BD635" s="37">
        <v>10</v>
      </c>
      <c r="BE635" s="37">
        <v>10</v>
      </c>
      <c r="BF635" s="37">
        <v>10</v>
      </c>
      <c r="BG635" s="37">
        <v>4</v>
      </c>
      <c r="BH635" s="37">
        <v>4</v>
      </c>
      <c r="BI635" s="37">
        <v>4</v>
      </c>
      <c r="BJ635" s="37">
        <v>4</v>
      </c>
      <c r="BK635" s="37">
        <v>4</v>
      </c>
      <c r="BL635" s="37">
        <v>4</v>
      </c>
      <c r="BM635" s="37">
        <v>6</v>
      </c>
      <c r="BN635" s="37">
        <v>7</v>
      </c>
      <c r="BO635" s="37">
        <v>8</v>
      </c>
      <c r="BP635" s="37">
        <v>8</v>
      </c>
      <c r="BQ635" s="37">
        <v>8</v>
      </c>
      <c r="BR635" s="37">
        <v>8</v>
      </c>
      <c r="BS635" s="37">
        <v>8</v>
      </c>
      <c r="BT635" s="37">
        <v>8</v>
      </c>
    </row>
    <row r="636" spans="5:72" x14ac:dyDescent="0.25">
      <c r="E636" s="36"/>
      <c r="F636" s="36">
        <f t="shared" si="211"/>
        <v>0</v>
      </c>
      <c r="G636" s="36">
        <f t="shared" si="212"/>
        <v>0</v>
      </c>
      <c r="H636" s="36">
        <f t="shared" si="213"/>
        <v>0</v>
      </c>
      <c r="I636" s="36">
        <f t="shared" si="214"/>
        <v>0</v>
      </c>
      <c r="J636" s="36">
        <f t="shared" si="215"/>
        <v>0</v>
      </c>
      <c r="K636" s="36">
        <f t="shared" si="216"/>
        <v>0</v>
      </c>
      <c r="L636" s="36">
        <f t="shared" si="217"/>
        <v>0</v>
      </c>
      <c r="M636" s="36">
        <f t="shared" si="218"/>
        <v>0</v>
      </c>
      <c r="N636" s="36">
        <f t="shared" si="219"/>
        <v>0</v>
      </c>
      <c r="O636" s="36">
        <f t="shared" si="220"/>
        <v>0</v>
      </c>
      <c r="P636" s="36">
        <f t="shared" si="221"/>
        <v>0</v>
      </c>
      <c r="Q636" s="36">
        <f t="shared" si="222"/>
        <v>0</v>
      </c>
      <c r="R636" s="36">
        <f t="shared" si="223"/>
        <v>0</v>
      </c>
      <c r="S636" s="36">
        <f t="shared" si="224"/>
        <v>0</v>
      </c>
      <c r="T636" s="36">
        <f t="shared" si="225"/>
        <v>0</v>
      </c>
      <c r="U636" s="36">
        <f t="shared" si="226"/>
        <v>0</v>
      </c>
      <c r="V636" s="36">
        <f t="shared" si="227"/>
        <v>0</v>
      </c>
      <c r="W636" s="36">
        <f t="shared" si="228"/>
        <v>0</v>
      </c>
      <c r="X636" s="36">
        <f t="shared" si="229"/>
        <v>0</v>
      </c>
      <c r="Y636" s="36">
        <f t="shared" si="230"/>
        <v>0</v>
      </c>
      <c r="Z636" s="36">
        <f t="shared" si="231"/>
        <v>0</v>
      </c>
      <c r="AB636" s="36" t="str">
        <f>IF(最佳化斷筋點!C636="","",最佳化斷筋點!C636)</f>
        <v/>
      </c>
      <c r="AC636" s="37" t="str">
        <f>IF(最佳化斷筋點!D636="","",最佳化斷筋點!D636)</f>
        <v/>
      </c>
      <c r="AD636" s="37" t="str">
        <f>IF(最佳化斷筋點!E636="","",最佳化斷筋點!E636)</f>
        <v/>
      </c>
      <c r="AE636" s="37" t="str">
        <f>IF(最佳化斷筋點!F636="","",最佳化斷筋點!F636)</f>
        <v/>
      </c>
      <c r="AF636" s="37" t="str">
        <f>IF(最佳化斷筋點!G636="","",最佳化斷筋點!G636)</f>
        <v/>
      </c>
      <c r="AG636" s="37" t="str">
        <f>IF(最佳化斷筋點!H636="","",最佳化斷筋點!H636)</f>
        <v/>
      </c>
      <c r="AH636" s="37" t="str">
        <f>IF(最佳化斷筋點!I636="","",最佳化斷筋點!I636)</f>
        <v/>
      </c>
      <c r="AI636" s="37" t="str">
        <f>IF(最佳化斷筋點!J636="","",最佳化斷筋點!J636)</f>
        <v/>
      </c>
      <c r="AJ636" s="37" t="str">
        <f>IF(最佳化斷筋點!K636="","",最佳化斷筋點!K636)</f>
        <v/>
      </c>
      <c r="AK636" s="37" t="str">
        <f>IF(最佳化斷筋點!L636="","",最佳化斷筋點!L636)</f>
        <v/>
      </c>
      <c r="AL636" s="37" t="str">
        <f>IF(最佳化斷筋點!M636="","",最佳化斷筋點!M636)</f>
        <v/>
      </c>
      <c r="AM636" s="37" t="str">
        <f>IF(最佳化斷筋點!N636="","",最佳化斷筋點!N636)</f>
        <v/>
      </c>
      <c r="AN636" s="37" t="str">
        <f>IF(最佳化斷筋點!O636="","",最佳化斷筋點!O636)</f>
        <v/>
      </c>
      <c r="AO636" s="37" t="str">
        <f>IF(最佳化斷筋點!P636="","",最佳化斷筋點!P636)</f>
        <v/>
      </c>
      <c r="AP636" s="37" t="str">
        <f>IF(最佳化斷筋點!Q636="","",最佳化斷筋點!Q636)</f>
        <v/>
      </c>
      <c r="AQ636" s="37" t="str">
        <f>IF(最佳化斷筋點!R636="","",最佳化斷筋點!R636)</f>
        <v/>
      </c>
      <c r="AR636" s="37" t="str">
        <f>IF(最佳化斷筋點!S636="","",最佳化斷筋點!S636)</f>
        <v/>
      </c>
      <c r="AS636" s="37" t="str">
        <f>IF(最佳化斷筋點!T636="","",最佳化斷筋點!T636)</f>
        <v/>
      </c>
      <c r="AT636" s="37" t="str">
        <f>IF(最佳化斷筋點!U636="","",最佳化斷筋點!U636)</f>
        <v/>
      </c>
      <c r="AU636" s="37" t="str">
        <f>IF(最佳化斷筋點!V636="","",最佳化斷筋點!V636)</f>
        <v/>
      </c>
      <c r="AV636" s="37" t="str">
        <f>IF(最佳化斷筋點!W636="","",最佳化斷筋點!W636)</f>
        <v/>
      </c>
      <c r="AW636" s="37" t="str">
        <f>IF(最佳化斷筋點!X636="","",最佳化斷筋點!X636)</f>
        <v/>
      </c>
      <c r="AZ636" s="37" t="s">
        <v>197</v>
      </c>
      <c r="BA636" s="37" t="s">
        <v>197</v>
      </c>
      <c r="BB636" s="37" t="s">
        <v>197</v>
      </c>
      <c r="BC636" s="37" t="s">
        <v>197</v>
      </c>
      <c r="BD636" s="37" t="s">
        <v>197</v>
      </c>
      <c r="BE636" s="37" t="s">
        <v>197</v>
      </c>
      <c r="BF636" s="37" t="s">
        <v>197</v>
      </c>
      <c r="BG636" s="37" t="s">
        <v>197</v>
      </c>
      <c r="BH636" s="37" t="s">
        <v>197</v>
      </c>
      <c r="BI636" s="37" t="s">
        <v>197</v>
      </c>
      <c r="BJ636" s="37" t="s">
        <v>197</v>
      </c>
      <c r="BK636" s="37" t="s">
        <v>197</v>
      </c>
      <c r="BL636" s="37" t="s">
        <v>197</v>
      </c>
      <c r="BM636" s="37" t="s">
        <v>197</v>
      </c>
      <c r="BN636" s="37" t="s">
        <v>197</v>
      </c>
      <c r="BO636" s="37" t="s">
        <v>197</v>
      </c>
      <c r="BP636" s="37" t="s">
        <v>197</v>
      </c>
      <c r="BQ636" s="37" t="s">
        <v>197</v>
      </c>
      <c r="BR636" s="37" t="s">
        <v>197</v>
      </c>
      <c r="BS636" s="37" t="s">
        <v>197</v>
      </c>
      <c r="BT636" s="37" t="s">
        <v>197</v>
      </c>
    </row>
    <row r="637" spans="5:72" x14ac:dyDescent="0.25">
      <c r="E637" s="36" t="s">
        <v>21</v>
      </c>
      <c r="F637" s="36">
        <f t="shared" si="211"/>
        <v>0</v>
      </c>
      <c r="G637" s="36">
        <f t="shared" si="212"/>
        <v>0</v>
      </c>
      <c r="H637" s="36">
        <f t="shared" si="213"/>
        <v>0</v>
      </c>
      <c r="I637" s="36">
        <f t="shared" si="214"/>
        <v>0</v>
      </c>
      <c r="J637" s="36">
        <f t="shared" si="215"/>
        <v>0</v>
      </c>
      <c r="K637" s="36">
        <f t="shared" si="216"/>
        <v>0</v>
      </c>
      <c r="L637" s="36">
        <f t="shared" si="217"/>
        <v>0</v>
      </c>
      <c r="M637" s="36">
        <f t="shared" si="218"/>
        <v>0</v>
      </c>
      <c r="N637" s="36">
        <f t="shared" si="219"/>
        <v>0</v>
      </c>
      <c r="O637" s="36">
        <f t="shared" si="220"/>
        <v>0</v>
      </c>
      <c r="P637" s="36">
        <f t="shared" si="221"/>
        <v>0</v>
      </c>
      <c r="Q637" s="36">
        <f t="shared" si="222"/>
        <v>0</v>
      </c>
      <c r="R637" s="36">
        <f t="shared" si="223"/>
        <v>0</v>
      </c>
      <c r="S637" s="36">
        <f t="shared" si="224"/>
        <v>0</v>
      </c>
      <c r="T637" s="36">
        <f t="shared" si="225"/>
        <v>0</v>
      </c>
      <c r="U637" s="36">
        <f t="shared" si="226"/>
        <v>0</v>
      </c>
      <c r="V637" s="36">
        <f t="shared" si="227"/>
        <v>0</v>
      </c>
      <c r="W637" s="36">
        <f t="shared" si="228"/>
        <v>0</v>
      </c>
      <c r="X637" s="36">
        <f t="shared" si="229"/>
        <v>0</v>
      </c>
      <c r="Y637" s="36">
        <f t="shared" si="230"/>
        <v>0</v>
      </c>
      <c r="Z637" s="36">
        <f t="shared" si="231"/>
        <v>0</v>
      </c>
      <c r="AB637" s="36" t="str">
        <f>IF(最佳化斷筋點!C637="","",最佳化斷筋點!C637)</f>
        <v>下層</v>
      </c>
      <c r="AC637" s="37">
        <f>IF(最佳化斷筋點!D637="","",最佳化斷筋點!D637)</f>
        <v>12</v>
      </c>
      <c r="AD637" s="37">
        <f>IF(最佳化斷筋點!E637="","",最佳化斷筋點!E637)</f>
        <v>12</v>
      </c>
      <c r="AE637" s="37">
        <f>IF(最佳化斷筋點!F637="","",最佳化斷筋點!F637)</f>
        <v>12</v>
      </c>
      <c r="AF637" s="37">
        <f>IF(最佳化斷筋點!G637="","",最佳化斷筋點!G637)</f>
        <v>12</v>
      </c>
      <c r="AG637" s="37">
        <f>IF(最佳化斷筋點!H637="","",最佳化斷筋點!H637)</f>
        <v>12</v>
      </c>
      <c r="AH637" s="37">
        <f>IF(最佳化斷筋點!I637="","",最佳化斷筋點!I637)</f>
        <v>11</v>
      </c>
      <c r="AI637" s="37">
        <f>IF(最佳化斷筋點!J637="","",最佳化斷筋點!J637)</f>
        <v>10</v>
      </c>
      <c r="AJ637" s="37">
        <f>IF(最佳化斷筋點!K637="","",最佳化斷筋點!K637)</f>
        <v>5</v>
      </c>
      <c r="AK637" s="37">
        <f>IF(最佳化斷筋點!L637="","",最佳化斷筋點!L637)</f>
        <v>5</v>
      </c>
      <c r="AL637" s="37">
        <f>IF(最佳化斷筋點!M637="","",最佳化斷筋點!M637)</f>
        <v>5</v>
      </c>
      <c r="AM637" s="37">
        <f>IF(最佳化斷筋點!N637="","",最佳化斷筋點!N637)</f>
        <v>5</v>
      </c>
      <c r="AN637" s="37">
        <f>IF(最佳化斷筋點!O637="","",最佳化斷筋點!O637)</f>
        <v>5</v>
      </c>
      <c r="AO637" s="37">
        <f>IF(最佳化斷筋點!P637="","",最佳化斷筋點!P637)</f>
        <v>5</v>
      </c>
      <c r="AP637" s="37">
        <f>IF(最佳化斷筋點!Q637="","",最佳化斷筋點!Q637)</f>
        <v>9</v>
      </c>
      <c r="AQ637" s="37">
        <f>IF(最佳化斷筋點!R637="","",最佳化斷筋點!R637)</f>
        <v>11</v>
      </c>
      <c r="AR637" s="37">
        <f>IF(最佳化斷筋點!S637="","",最佳化斷筋點!S637)</f>
        <v>12</v>
      </c>
      <c r="AS637" s="37">
        <f>IF(最佳化斷筋點!T637="","",最佳化斷筋點!T637)</f>
        <v>13</v>
      </c>
      <c r="AT637" s="37">
        <f>IF(最佳化斷筋點!U637="","",最佳化斷筋點!U637)</f>
        <v>13</v>
      </c>
      <c r="AU637" s="37">
        <f>IF(最佳化斷筋點!V637="","",最佳化斷筋點!V637)</f>
        <v>13</v>
      </c>
      <c r="AV637" s="37">
        <f>IF(最佳化斷筋點!W637="","",最佳化斷筋點!W637)</f>
        <v>13</v>
      </c>
      <c r="AW637" s="37">
        <f>IF(最佳化斷筋點!X637="","",最佳化斷筋點!X637)</f>
        <v>13</v>
      </c>
      <c r="AZ637" s="37">
        <v>12</v>
      </c>
      <c r="BA637" s="37">
        <v>12</v>
      </c>
      <c r="BB637" s="37">
        <v>12</v>
      </c>
      <c r="BC637" s="37">
        <v>12</v>
      </c>
      <c r="BD637" s="37">
        <v>12</v>
      </c>
      <c r="BE637" s="37">
        <v>11</v>
      </c>
      <c r="BF637" s="37">
        <v>10</v>
      </c>
      <c r="BG637" s="37">
        <v>5</v>
      </c>
      <c r="BH637" s="37">
        <v>5</v>
      </c>
      <c r="BI637" s="37">
        <v>5</v>
      </c>
      <c r="BJ637" s="37">
        <v>5</v>
      </c>
      <c r="BK637" s="37">
        <v>5</v>
      </c>
      <c r="BL637" s="37">
        <v>5</v>
      </c>
      <c r="BM637" s="37">
        <v>9</v>
      </c>
      <c r="BN637" s="37">
        <v>11</v>
      </c>
      <c r="BO637" s="37">
        <v>12</v>
      </c>
      <c r="BP637" s="37">
        <v>13</v>
      </c>
      <c r="BQ637" s="37">
        <v>13</v>
      </c>
      <c r="BR637" s="37">
        <v>13</v>
      </c>
      <c r="BS637" s="37">
        <v>13</v>
      </c>
      <c r="BT637" s="37">
        <v>13</v>
      </c>
    </row>
    <row r="638" spans="5:72" x14ac:dyDescent="0.25">
      <c r="E638" s="36"/>
      <c r="F638" s="36">
        <f t="shared" si="211"/>
        <v>0</v>
      </c>
      <c r="G638" s="36">
        <f t="shared" si="212"/>
        <v>0</v>
      </c>
      <c r="H638" s="36">
        <f t="shared" si="213"/>
        <v>0</v>
      </c>
      <c r="I638" s="36">
        <f t="shared" si="214"/>
        <v>0</v>
      </c>
      <c r="J638" s="36">
        <f t="shared" si="215"/>
        <v>0</v>
      </c>
      <c r="K638" s="36">
        <f t="shared" si="216"/>
        <v>0</v>
      </c>
      <c r="L638" s="36">
        <f t="shared" si="217"/>
        <v>0</v>
      </c>
      <c r="M638" s="36">
        <f t="shared" si="218"/>
        <v>0</v>
      </c>
      <c r="N638" s="36">
        <f t="shared" si="219"/>
        <v>0</v>
      </c>
      <c r="O638" s="36">
        <f t="shared" si="220"/>
        <v>0</v>
      </c>
      <c r="P638" s="36">
        <f t="shared" si="221"/>
        <v>0</v>
      </c>
      <c r="Q638" s="36">
        <f t="shared" si="222"/>
        <v>0</v>
      </c>
      <c r="R638" s="36">
        <f t="shared" si="223"/>
        <v>0</v>
      </c>
      <c r="S638" s="36">
        <f t="shared" si="224"/>
        <v>0</v>
      </c>
      <c r="T638" s="36">
        <f t="shared" si="225"/>
        <v>0</v>
      </c>
      <c r="U638" s="36">
        <f t="shared" si="226"/>
        <v>0</v>
      </c>
      <c r="V638" s="36">
        <f t="shared" si="227"/>
        <v>0</v>
      </c>
      <c r="W638" s="36">
        <f t="shared" si="228"/>
        <v>0</v>
      </c>
      <c r="X638" s="36">
        <f t="shared" si="229"/>
        <v>0</v>
      </c>
      <c r="Y638" s="36">
        <f t="shared" si="230"/>
        <v>0</v>
      </c>
      <c r="Z638" s="36">
        <f t="shared" si="231"/>
        <v>0</v>
      </c>
      <c r="AB638" s="36" t="str">
        <f>IF(最佳化斷筋點!C638="","",最佳化斷筋點!C638)</f>
        <v/>
      </c>
      <c r="AC638" s="37" t="str">
        <f>IF(最佳化斷筋點!D638="","",最佳化斷筋點!D638)</f>
        <v/>
      </c>
      <c r="AD638" s="37" t="str">
        <f>IF(最佳化斷筋點!E638="","",最佳化斷筋點!E638)</f>
        <v/>
      </c>
      <c r="AE638" s="37" t="str">
        <f>IF(最佳化斷筋點!F638="","",最佳化斷筋點!F638)</f>
        <v/>
      </c>
      <c r="AF638" s="37" t="str">
        <f>IF(最佳化斷筋點!G638="","",最佳化斷筋點!G638)</f>
        <v/>
      </c>
      <c r="AG638" s="37" t="str">
        <f>IF(最佳化斷筋點!H638="","",最佳化斷筋點!H638)</f>
        <v/>
      </c>
      <c r="AH638" s="37" t="str">
        <f>IF(最佳化斷筋點!I638="","",最佳化斷筋點!I638)</f>
        <v/>
      </c>
      <c r="AI638" s="37" t="str">
        <f>IF(最佳化斷筋點!J638="","",最佳化斷筋點!J638)</f>
        <v/>
      </c>
      <c r="AJ638" s="37" t="str">
        <f>IF(最佳化斷筋點!K638="","",最佳化斷筋點!K638)</f>
        <v/>
      </c>
      <c r="AK638" s="37" t="str">
        <f>IF(最佳化斷筋點!L638="","",最佳化斷筋點!L638)</f>
        <v/>
      </c>
      <c r="AL638" s="37" t="str">
        <f>IF(最佳化斷筋點!M638="","",最佳化斷筋點!M638)</f>
        <v/>
      </c>
      <c r="AM638" s="37" t="str">
        <f>IF(最佳化斷筋點!N638="","",最佳化斷筋點!N638)</f>
        <v/>
      </c>
      <c r="AN638" s="37" t="str">
        <f>IF(最佳化斷筋點!O638="","",最佳化斷筋點!O638)</f>
        <v/>
      </c>
      <c r="AO638" s="37" t="str">
        <f>IF(最佳化斷筋點!P638="","",最佳化斷筋點!P638)</f>
        <v/>
      </c>
      <c r="AP638" s="37" t="str">
        <f>IF(最佳化斷筋點!Q638="","",最佳化斷筋點!Q638)</f>
        <v/>
      </c>
      <c r="AQ638" s="37" t="str">
        <f>IF(最佳化斷筋點!R638="","",最佳化斷筋點!R638)</f>
        <v/>
      </c>
      <c r="AR638" s="37" t="str">
        <f>IF(最佳化斷筋點!S638="","",最佳化斷筋點!S638)</f>
        <v/>
      </c>
      <c r="AS638" s="37" t="str">
        <f>IF(最佳化斷筋點!T638="","",最佳化斷筋點!T638)</f>
        <v/>
      </c>
      <c r="AT638" s="37" t="str">
        <f>IF(最佳化斷筋點!U638="","",最佳化斷筋點!U638)</f>
        <v/>
      </c>
      <c r="AU638" s="37" t="str">
        <f>IF(最佳化斷筋點!V638="","",最佳化斷筋點!V638)</f>
        <v/>
      </c>
      <c r="AV638" s="37" t="str">
        <f>IF(最佳化斷筋點!W638="","",最佳化斷筋點!W638)</f>
        <v/>
      </c>
      <c r="AW638" s="37" t="str">
        <f>IF(最佳化斷筋點!X638="","",最佳化斷筋點!X638)</f>
        <v/>
      </c>
      <c r="AZ638" s="37" t="s">
        <v>197</v>
      </c>
      <c r="BA638" s="37" t="s">
        <v>197</v>
      </c>
      <c r="BB638" s="37" t="s">
        <v>197</v>
      </c>
      <c r="BC638" s="37" t="s">
        <v>197</v>
      </c>
      <c r="BD638" s="37" t="s">
        <v>197</v>
      </c>
      <c r="BE638" s="37" t="s">
        <v>197</v>
      </c>
      <c r="BF638" s="37" t="s">
        <v>197</v>
      </c>
      <c r="BG638" s="37" t="s">
        <v>197</v>
      </c>
      <c r="BH638" s="37" t="s">
        <v>197</v>
      </c>
      <c r="BI638" s="37" t="s">
        <v>197</v>
      </c>
      <c r="BJ638" s="37" t="s">
        <v>197</v>
      </c>
      <c r="BK638" s="37" t="s">
        <v>197</v>
      </c>
      <c r="BL638" s="37" t="s">
        <v>197</v>
      </c>
      <c r="BM638" s="37" t="s">
        <v>197</v>
      </c>
      <c r="BN638" s="37" t="s">
        <v>197</v>
      </c>
      <c r="BO638" s="37" t="s">
        <v>197</v>
      </c>
      <c r="BP638" s="37" t="s">
        <v>197</v>
      </c>
      <c r="BQ638" s="37" t="s">
        <v>197</v>
      </c>
      <c r="BR638" s="37" t="s">
        <v>197</v>
      </c>
      <c r="BS638" s="37" t="s">
        <v>197</v>
      </c>
      <c r="BT638" s="37" t="s">
        <v>197</v>
      </c>
    </row>
    <row r="639" spans="5:72" x14ac:dyDescent="0.25">
      <c r="E639" s="36" t="s">
        <v>20</v>
      </c>
      <c r="F639" s="36">
        <f t="shared" si="211"/>
        <v>0</v>
      </c>
      <c r="G639" s="36">
        <f t="shared" si="212"/>
        <v>0</v>
      </c>
      <c r="H639" s="36">
        <f t="shared" si="213"/>
        <v>0</v>
      </c>
      <c r="I639" s="36">
        <f t="shared" si="214"/>
        <v>0</v>
      </c>
      <c r="J639" s="36">
        <f t="shared" si="215"/>
        <v>0</v>
      </c>
      <c r="K639" s="36">
        <f t="shared" si="216"/>
        <v>0</v>
      </c>
      <c r="L639" s="36">
        <f t="shared" si="217"/>
        <v>0</v>
      </c>
      <c r="M639" s="36">
        <f t="shared" si="218"/>
        <v>0</v>
      </c>
      <c r="N639" s="36">
        <f t="shared" si="219"/>
        <v>0</v>
      </c>
      <c r="O639" s="36">
        <f t="shared" si="220"/>
        <v>0</v>
      </c>
      <c r="P639" s="36">
        <f t="shared" si="221"/>
        <v>0</v>
      </c>
      <c r="Q639" s="36">
        <f t="shared" si="222"/>
        <v>0</v>
      </c>
      <c r="R639" s="36">
        <f t="shared" si="223"/>
        <v>0</v>
      </c>
      <c r="S639" s="36">
        <f t="shared" si="224"/>
        <v>0</v>
      </c>
      <c r="T639" s="36">
        <f t="shared" si="225"/>
        <v>0</v>
      </c>
      <c r="U639" s="36">
        <f t="shared" si="226"/>
        <v>0</v>
      </c>
      <c r="V639" s="36">
        <f t="shared" si="227"/>
        <v>0</v>
      </c>
      <c r="W639" s="36">
        <f t="shared" si="228"/>
        <v>0</v>
      </c>
      <c r="X639" s="36">
        <f t="shared" si="229"/>
        <v>0</v>
      </c>
      <c r="Y639" s="36">
        <f t="shared" si="230"/>
        <v>0</v>
      </c>
      <c r="Z639" s="36">
        <f t="shared" si="231"/>
        <v>0</v>
      </c>
      <c r="AB639" s="36" t="str">
        <f>IF(最佳化斷筋點!C639="","",最佳化斷筋點!C639)</f>
        <v>上層</v>
      </c>
      <c r="AC639" s="37">
        <f>IF(最佳化斷筋點!D639="","",最佳化斷筋點!D639)</f>
        <v>8</v>
      </c>
      <c r="AD639" s="37">
        <f>IF(最佳化斷筋點!E639="","",最佳化斷筋點!E639)</f>
        <v>8</v>
      </c>
      <c r="AE639" s="37">
        <f>IF(最佳化斷筋點!F639="","",最佳化斷筋點!F639)</f>
        <v>8</v>
      </c>
      <c r="AF639" s="37">
        <f>IF(最佳化斷筋點!G639="","",最佳化斷筋點!G639)</f>
        <v>8</v>
      </c>
      <c r="AG639" s="37">
        <f>IF(最佳化斷筋點!H639="","",最佳化斷筋點!H639)</f>
        <v>8</v>
      </c>
      <c r="AH639" s="37">
        <f>IF(最佳化斷筋點!I639="","",最佳化斷筋點!I639)</f>
        <v>8</v>
      </c>
      <c r="AI639" s="37">
        <f>IF(最佳化斷筋點!J639="","",最佳化斷筋點!J639)</f>
        <v>8</v>
      </c>
      <c r="AJ639" s="37">
        <f>IF(最佳化斷筋點!K639="","",最佳化斷筋點!K639)</f>
        <v>7</v>
      </c>
      <c r="AK639" s="37">
        <f>IF(最佳化斷筋點!L639="","",最佳化斷筋點!L639)</f>
        <v>7</v>
      </c>
      <c r="AL639" s="37">
        <f>IF(最佳化斷筋點!M639="","",最佳化斷筋點!M639)</f>
        <v>7</v>
      </c>
      <c r="AM639" s="37">
        <f>IF(最佳化斷筋點!N639="","",最佳化斷筋點!N639)</f>
        <v>6</v>
      </c>
      <c r="AN639" s="37">
        <f>IF(最佳化斷筋點!O639="","",最佳化斷筋點!O639)</f>
        <v>6</v>
      </c>
      <c r="AO639" s="37">
        <f>IF(最佳化斷筋點!P639="","",最佳化斷筋點!P639)</f>
        <v>5</v>
      </c>
      <c r="AP639" s="37">
        <f>IF(最佳化斷筋點!Q639="","",最佳化斷筋點!Q639)</f>
        <v>6</v>
      </c>
      <c r="AQ639" s="37">
        <f>IF(最佳化斷筋點!R639="","",最佳化斷筋點!R639)</f>
        <v>6</v>
      </c>
      <c r="AR639" s="37">
        <f>IF(最佳化斷筋點!S639="","",最佳化斷筋點!S639)</f>
        <v>7</v>
      </c>
      <c r="AS639" s="37">
        <f>IF(最佳化斷筋點!T639="","",最佳化斷筋點!T639)</f>
        <v>7</v>
      </c>
      <c r="AT639" s="37">
        <f>IF(最佳化斷筋點!U639="","",最佳化斷筋點!U639)</f>
        <v>7</v>
      </c>
      <c r="AU639" s="37">
        <f>IF(最佳化斷筋點!V639="","",最佳化斷筋點!V639)</f>
        <v>7</v>
      </c>
      <c r="AV639" s="37">
        <f>IF(最佳化斷筋點!W639="","",最佳化斷筋點!W639)</f>
        <v>7</v>
      </c>
      <c r="AW639" s="37">
        <f>IF(最佳化斷筋點!X639="","",最佳化斷筋點!X639)</f>
        <v>7</v>
      </c>
      <c r="AZ639" s="37">
        <v>8</v>
      </c>
      <c r="BA639" s="37">
        <v>8</v>
      </c>
      <c r="BB639" s="37">
        <v>8</v>
      </c>
      <c r="BC639" s="37">
        <v>8</v>
      </c>
      <c r="BD639" s="37">
        <v>8</v>
      </c>
      <c r="BE639" s="37">
        <v>8</v>
      </c>
      <c r="BF639" s="37">
        <v>8</v>
      </c>
      <c r="BG639" s="37">
        <v>7</v>
      </c>
      <c r="BH639" s="37">
        <v>7</v>
      </c>
      <c r="BI639" s="37">
        <v>7</v>
      </c>
      <c r="BJ639" s="37">
        <v>6</v>
      </c>
      <c r="BK639" s="37">
        <v>6</v>
      </c>
      <c r="BL639" s="37">
        <v>5</v>
      </c>
      <c r="BM639" s="37">
        <v>6</v>
      </c>
      <c r="BN639" s="37">
        <v>6</v>
      </c>
      <c r="BO639" s="37">
        <v>7</v>
      </c>
      <c r="BP639" s="37">
        <v>7</v>
      </c>
      <c r="BQ639" s="37">
        <v>7</v>
      </c>
      <c r="BR639" s="37">
        <v>7</v>
      </c>
      <c r="BS639" s="37">
        <v>7</v>
      </c>
      <c r="BT639" s="37">
        <v>7</v>
      </c>
    </row>
    <row r="640" spans="5:72" x14ac:dyDescent="0.25">
      <c r="E640" s="36"/>
      <c r="F640" s="36">
        <f t="shared" si="211"/>
        <v>0</v>
      </c>
      <c r="G640" s="36">
        <f t="shared" si="212"/>
        <v>0</v>
      </c>
      <c r="H640" s="36">
        <f t="shared" si="213"/>
        <v>0</v>
      </c>
      <c r="I640" s="36">
        <f t="shared" si="214"/>
        <v>0</v>
      </c>
      <c r="J640" s="36">
        <f t="shared" si="215"/>
        <v>0</v>
      </c>
      <c r="K640" s="36">
        <f t="shared" si="216"/>
        <v>0</v>
      </c>
      <c r="L640" s="36">
        <f t="shared" si="217"/>
        <v>0</v>
      </c>
      <c r="M640" s="36">
        <f t="shared" si="218"/>
        <v>0</v>
      </c>
      <c r="N640" s="36">
        <f t="shared" si="219"/>
        <v>0</v>
      </c>
      <c r="O640" s="36">
        <f t="shared" si="220"/>
        <v>0</v>
      </c>
      <c r="P640" s="36">
        <f t="shared" si="221"/>
        <v>0</v>
      </c>
      <c r="Q640" s="36">
        <f t="shared" si="222"/>
        <v>0</v>
      </c>
      <c r="R640" s="36">
        <f t="shared" si="223"/>
        <v>0</v>
      </c>
      <c r="S640" s="36">
        <f t="shared" si="224"/>
        <v>0</v>
      </c>
      <c r="T640" s="36">
        <f t="shared" si="225"/>
        <v>0</v>
      </c>
      <c r="U640" s="36">
        <f t="shared" si="226"/>
        <v>0</v>
      </c>
      <c r="V640" s="36">
        <f t="shared" si="227"/>
        <v>0</v>
      </c>
      <c r="W640" s="36">
        <f t="shared" si="228"/>
        <v>0</v>
      </c>
      <c r="X640" s="36">
        <f t="shared" si="229"/>
        <v>0</v>
      </c>
      <c r="Y640" s="36">
        <f t="shared" si="230"/>
        <v>0</v>
      </c>
      <c r="Z640" s="36">
        <f t="shared" si="231"/>
        <v>0</v>
      </c>
      <c r="AB640" s="36" t="str">
        <f>IF(最佳化斷筋點!C640="","",最佳化斷筋點!C640)</f>
        <v/>
      </c>
      <c r="AC640" s="37" t="str">
        <f>IF(最佳化斷筋點!D640="","",最佳化斷筋點!D640)</f>
        <v/>
      </c>
      <c r="AD640" s="37" t="str">
        <f>IF(最佳化斷筋點!E640="","",最佳化斷筋點!E640)</f>
        <v/>
      </c>
      <c r="AE640" s="37" t="str">
        <f>IF(最佳化斷筋點!F640="","",最佳化斷筋點!F640)</f>
        <v/>
      </c>
      <c r="AF640" s="37" t="str">
        <f>IF(最佳化斷筋點!G640="","",最佳化斷筋點!G640)</f>
        <v/>
      </c>
      <c r="AG640" s="37" t="str">
        <f>IF(最佳化斷筋點!H640="","",最佳化斷筋點!H640)</f>
        <v/>
      </c>
      <c r="AH640" s="37" t="str">
        <f>IF(最佳化斷筋點!I640="","",最佳化斷筋點!I640)</f>
        <v/>
      </c>
      <c r="AI640" s="37" t="str">
        <f>IF(最佳化斷筋點!J640="","",最佳化斷筋點!J640)</f>
        <v/>
      </c>
      <c r="AJ640" s="37" t="str">
        <f>IF(最佳化斷筋點!K640="","",最佳化斷筋點!K640)</f>
        <v/>
      </c>
      <c r="AK640" s="37" t="str">
        <f>IF(最佳化斷筋點!L640="","",最佳化斷筋點!L640)</f>
        <v/>
      </c>
      <c r="AL640" s="37" t="str">
        <f>IF(最佳化斷筋點!M640="","",最佳化斷筋點!M640)</f>
        <v/>
      </c>
      <c r="AM640" s="37" t="str">
        <f>IF(最佳化斷筋點!N640="","",最佳化斷筋點!N640)</f>
        <v/>
      </c>
      <c r="AN640" s="37" t="str">
        <f>IF(最佳化斷筋點!O640="","",最佳化斷筋點!O640)</f>
        <v/>
      </c>
      <c r="AO640" s="37" t="str">
        <f>IF(最佳化斷筋點!P640="","",最佳化斷筋點!P640)</f>
        <v/>
      </c>
      <c r="AP640" s="37" t="str">
        <f>IF(最佳化斷筋點!Q640="","",最佳化斷筋點!Q640)</f>
        <v/>
      </c>
      <c r="AQ640" s="37" t="str">
        <f>IF(最佳化斷筋點!R640="","",最佳化斷筋點!R640)</f>
        <v/>
      </c>
      <c r="AR640" s="37" t="str">
        <f>IF(最佳化斷筋點!S640="","",最佳化斷筋點!S640)</f>
        <v/>
      </c>
      <c r="AS640" s="37" t="str">
        <f>IF(最佳化斷筋點!T640="","",最佳化斷筋點!T640)</f>
        <v/>
      </c>
      <c r="AT640" s="37" t="str">
        <f>IF(最佳化斷筋點!U640="","",最佳化斷筋點!U640)</f>
        <v/>
      </c>
      <c r="AU640" s="37" t="str">
        <f>IF(最佳化斷筋點!V640="","",最佳化斷筋點!V640)</f>
        <v/>
      </c>
      <c r="AV640" s="37" t="str">
        <f>IF(最佳化斷筋點!W640="","",最佳化斷筋點!W640)</f>
        <v/>
      </c>
      <c r="AW640" s="37" t="str">
        <f>IF(最佳化斷筋點!X640="","",最佳化斷筋點!X640)</f>
        <v/>
      </c>
      <c r="AZ640" s="37" t="s">
        <v>197</v>
      </c>
      <c r="BA640" s="37" t="s">
        <v>197</v>
      </c>
      <c r="BB640" s="37" t="s">
        <v>197</v>
      </c>
      <c r="BC640" s="37" t="s">
        <v>197</v>
      </c>
      <c r="BD640" s="37" t="s">
        <v>197</v>
      </c>
      <c r="BE640" s="37" t="s">
        <v>197</v>
      </c>
      <c r="BF640" s="37" t="s">
        <v>197</v>
      </c>
      <c r="BG640" s="37" t="s">
        <v>197</v>
      </c>
      <c r="BH640" s="37" t="s">
        <v>197</v>
      </c>
      <c r="BI640" s="37" t="s">
        <v>197</v>
      </c>
      <c r="BJ640" s="37" t="s">
        <v>197</v>
      </c>
      <c r="BK640" s="37" t="s">
        <v>197</v>
      </c>
      <c r="BL640" s="37" t="s">
        <v>197</v>
      </c>
      <c r="BM640" s="37" t="s">
        <v>197</v>
      </c>
      <c r="BN640" s="37" t="s">
        <v>197</v>
      </c>
      <c r="BO640" s="37" t="s">
        <v>197</v>
      </c>
      <c r="BP640" s="37" t="s">
        <v>197</v>
      </c>
      <c r="BQ640" s="37" t="s">
        <v>197</v>
      </c>
      <c r="BR640" s="37" t="s">
        <v>197</v>
      </c>
      <c r="BS640" s="37" t="s">
        <v>197</v>
      </c>
      <c r="BT640" s="37" t="s">
        <v>197</v>
      </c>
    </row>
    <row r="641" spans="5:72" x14ac:dyDescent="0.25">
      <c r="E641" s="36" t="s">
        <v>21</v>
      </c>
      <c r="F641" s="36">
        <f t="shared" si="211"/>
        <v>0</v>
      </c>
      <c r="G641" s="36">
        <f t="shared" si="212"/>
        <v>0</v>
      </c>
      <c r="H641" s="36">
        <f t="shared" si="213"/>
        <v>0</v>
      </c>
      <c r="I641" s="36">
        <f t="shared" si="214"/>
        <v>0</v>
      </c>
      <c r="J641" s="36">
        <f t="shared" si="215"/>
        <v>0</v>
      </c>
      <c r="K641" s="36">
        <f t="shared" si="216"/>
        <v>0</v>
      </c>
      <c r="L641" s="36">
        <f t="shared" si="217"/>
        <v>0</v>
      </c>
      <c r="M641" s="36">
        <f t="shared" si="218"/>
        <v>0</v>
      </c>
      <c r="N641" s="36">
        <f t="shared" si="219"/>
        <v>0</v>
      </c>
      <c r="O641" s="36">
        <f t="shared" si="220"/>
        <v>0</v>
      </c>
      <c r="P641" s="36">
        <f t="shared" si="221"/>
        <v>0</v>
      </c>
      <c r="Q641" s="36">
        <f t="shared" si="222"/>
        <v>0</v>
      </c>
      <c r="R641" s="36">
        <f t="shared" si="223"/>
        <v>0</v>
      </c>
      <c r="S641" s="36">
        <f t="shared" si="224"/>
        <v>0</v>
      </c>
      <c r="T641" s="36">
        <f t="shared" si="225"/>
        <v>0</v>
      </c>
      <c r="U641" s="36">
        <f t="shared" si="226"/>
        <v>0</v>
      </c>
      <c r="V641" s="36">
        <f t="shared" si="227"/>
        <v>0</v>
      </c>
      <c r="W641" s="36">
        <f t="shared" si="228"/>
        <v>0</v>
      </c>
      <c r="X641" s="36">
        <f t="shared" si="229"/>
        <v>0</v>
      </c>
      <c r="Y641" s="36">
        <f t="shared" si="230"/>
        <v>0</v>
      </c>
      <c r="Z641" s="36">
        <f t="shared" si="231"/>
        <v>0</v>
      </c>
      <c r="AB641" s="36" t="str">
        <f>IF(最佳化斷筋點!C641="","",最佳化斷筋點!C641)</f>
        <v>下層</v>
      </c>
      <c r="AC641" s="37">
        <f>IF(最佳化斷筋點!D641="","",最佳化斷筋點!D641)</f>
        <v>10</v>
      </c>
      <c r="AD641" s="37">
        <f>IF(最佳化斷筋點!E641="","",最佳化斷筋點!E641)</f>
        <v>10</v>
      </c>
      <c r="AE641" s="37">
        <f>IF(最佳化斷筋點!F641="","",最佳化斷筋點!F641)</f>
        <v>10</v>
      </c>
      <c r="AF641" s="37">
        <f>IF(最佳化斷筋點!G641="","",最佳化斷筋點!G641)</f>
        <v>10</v>
      </c>
      <c r="AG641" s="37">
        <f>IF(最佳化斷筋點!H641="","",最佳化斷筋點!H641)</f>
        <v>10</v>
      </c>
      <c r="AH641" s="37">
        <f>IF(最佳化斷筋點!I641="","",最佳化斷筋點!I641)</f>
        <v>10</v>
      </c>
      <c r="AI641" s="37">
        <f>IF(最佳化斷筋點!J641="","",最佳化斷筋點!J641)</f>
        <v>10</v>
      </c>
      <c r="AJ641" s="37">
        <f>IF(最佳化斷筋點!K641="","",最佳化斷筋點!K641)</f>
        <v>10</v>
      </c>
      <c r="AK641" s="37">
        <f>IF(最佳化斷筋點!L641="","",最佳化斷筋點!L641)</f>
        <v>10</v>
      </c>
      <c r="AL641" s="37">
        <f>IF(最佳化斷筋點!M641="","",最佳化斷筋點!M641)</f>
        <v>10</v>
      </c>
      <c r="AM641" s="37">
        <f>IF(最佳化斷筋點!N641="","",最佳化斷筋點!N641)</f>
        <v>10</v>
      </c>
      <c r="AN641" s="37">
        <f>IF(最佳化斷筋點!O641="","",最佳化斷筋點!O641)</f>
        <v>10</v>
      </c>
      <c r="AO641" s="37">
        <f>IF(最佳化斷筋點!P641="","",最佳化斷筋點!P641)</f>
        <v>10</v>
      </c>
      <c r="AP641" s="37">
        <f>IF(最佳化斷筋點!Q641="","",最佳化斷筋點!Q641)</f>
        <v>10</v>
      </c>
      <c r="AQ641" s="37">
        <f>IF(最佳化斷筋點!R641="","",最佳化斷筋點!R641)</f>
        <v>10</v>
      </c>
      <c r="AR641" s="37">
        <f>IF(最佳化斷筋點!S641="","",最佳化斷筋點!S641)</f>
        <v>10</v>
      </c>
      <c r="AS641" s="37">
        <f>IF(最佳化斷筋點!T641="","",最佳化斷筋點!T641)</f>
        <v>11</v>
      </c>
      <c r="AT641" s="37">
        <f>IF(最佳化斷筋點!U641="","",最佳化斷筋點!U641)</f>
        <v>11</v>
      </c>
      <c r="AU641" s="37">
        <f>IF(最佳化斷筋點!V641="","",最佳化斷筋點!V641)</f>
        <v>11</v>
      </c>
      <c r="AV641" s="37">
        <f>IF(最佳化斷筋點!W641="","",最佳化斷筋點!W641)</f>
        <v>11</v>
      </c>
      <c r="AW641" s="37">
        <f>IF(最佳化斷筋點!X641="","",最佳化斷筋點!X641)</f>
        <v>11</v>
      </c>
      <c r="AZ641" s="37">
        <v>10</v>
      </c>
      <c r="BA641" s="37">
        <v>10</v>
      </c>
      <c r="BB641" s="37">
        <v>10</v>
      </c>
      <c r="BC641" s="37">
        <v>10</v>
      </c>
      <c r="BD641" s="37">
        <v>10</v>
      </c>
      <c r="BE641" s="37">
        <v>10</v>
      </c>
      <c r="BF641" s="37">
        <v>10</v>
      </c>
      <c r="BG641" s="37">
        <v>10</v>
      </c>
      <c r="BH641" s="37">
        <v>10</v>
      </c>
      <c r="BI641" s="37">
        <v>10</v>
      </c>
      <c r="BJ641" s="37">
        <v>10</v>
      </c>
      <c r="BK641" s="37">
        <v>10</v>
      </c>
      <c r="BL641" s="37">
        <v>10</v>
      </c>
      <c r="BM641" s="37">
        <v>10</v>
      </c>
      <c r="BN641" s="37">
        <v>10</v>
      </c>
      <c r="BO641" s="37">
        <v>10</v>
      </c>
      <c r="BP641" s="37">
        <v>11</v>
      </c>
      <c r="BQ641" s="37">
        <v>11</v>
      </c>
      <c r="BR641" s="37">
        <v>11</v>
      </c>
      <c r="BS641" s="37">
        <v>11</v>
      </c>
      <c r="BT641" s="37">
        <v>11</v>
      </c>
    </row>
    <row r="642" spans="5:72" x14ac:dyDescent="0.25">
      <c r="E642" s="36"/>
      <c r="F642" s="36">
        <f t="shared" si="211"/>
        <v>0</v>
      </c>
      <c r="G642" s="36">
        <f t="shared" si="212"/>
        <v>0</v>
      </c>
      <c r="H642" s="36">
        <f t="shared" si="213"/>
        <v>0</v>
      </c>
      <c r="I642" s="36">
        <f t="shared" si="214"/>
        <v>0</v>
      </c>
      <c r="J642" s="36">
        <f t="shared" si="215"/>
        <v>0</v>
      </c>
      <c r="K642" s="36">
        <f t="shared" si="216"/>
        <v>0</v>
      </c>
      <c r="L642" s="36">
        <f t="shared" si="217"/>
        <v>0</v>
      </c>
      <c r="M642" s="36">
        <f t="shared" si="218"/>
        <v>0</v>
      </c>
      <c r="N642" s="36">
        <f t="shared" si="219"/>
        <v>0</v>
      </c>
      <c r="O642" s="36">
        <f t="shared" si="220"/>
        <v>0</v>
      </c>
      <c r="P642" s="36">
        <f t="shared" si="221"/>
        <v>0</v>
      </c>
      <c r="Q642" s="36">
        <f t="shared" si="222"/>
        <v>0</v>
      </c>
      <c r="R642" s="36">
        <f t="shared" si="223"/>
        <v>0</v>
      </c>
      <c r="S642" s="36">
        <f t="shared" si="224"/>
        <v>0</v>
      </c>
      <c r="T642" s="36">
        <f t="shared" si="225"/>
        <v>0</v>
      </c>
      <c r="U642" s="36">
        <f t="shared" si="226"/>
        <v>0</v>
      </c>
      <c r="V642" s="36">
        <f t="shared" si="227"/>
        <v>0</v>
      </c>
      <c r="W642" s="36">
        <f t="shared" si="228"/>
        <v>0</v>
      </c>
      <c r="X642" s="36">
        <f t="shared" si="229"/>
        <v>0</v>
      </c>
      <c r="Y642" s="36">
        <f t="shared" si="230"/>
        <v>0</v>
      </c>
      <c r="Z642" s="36">
        <f t="shared" si="231"/>
        <v>0</v>
      </c>
      <c r="AB642" s="36" t="str">
        <f>IF(最佳化斷筋點!C642="","",最佳化斷筋點!C642)</f>
        <v/>
      </c>
      <c r="AC642" s="37" t="str">
        <f>IF(最佳化斷筋點!D642="","",最佳化斷筋點!D642)</f>
        <v/>
      </c>
      <c r="AD642" s="37" t="str">
        <f>IF(最佳化斷筋點!E642="","",最佳化斷筋點!E642)</f>
        <v/>
      </c>
      <c r="AE642" s="37" t="str">
        <f>IF(最佳化斷筋點!F642="","",最佳化斷筋點!F642)</f>
        <v/>
      </c>
      <c r="AF642" s="37" t="str">
        <f>IF(最佳化斷筋點!G642="","",最佳化斷筋點!G642)</f>
        <v/>
      </c>
      <c r="AG642" s="37" t="str">
        <f>IF(最佳化斷筋點!H642="","",最佳化斷筋點!H642)</f>
        <v/>
      </c>
      <c r="AH642" s="37" t="str">
        <f>IF(最佳化斷筋點!I642="","",最佳化斷筋點!I642)</f>
        <v/>
      </c>
      <c r="AI642" s="37" t="str">
        <f>IF(最佳化斷筋點!J642="","",最佳化斷筋點!J642)</f>
        <v/>
      </c>
      <c r="AJ642" s="37" t="str">
        <f>IF(最佳化斷筋點!K642="","",最佳化斷筋點!K642)</f>
        <v/>
      </c>
      <c r="AK642" s="37" t="str">
        <f>IF(最佳化斷筋點!L642="","",最佳化斷筋點!L642)</f>
        <v/>
      </c>
      <c r="AL642" s="37" t="str">
        <f>IF(最佳化斷筋點!M642="","",最佳化斷筋點!M642)</f>
        <v/>
      </c>
      <c r="AM642" s="37" t="str">
        <f>IF(最佳化斷筋點!N642="","",最佳化斷筋點!N642)</f>
        <v/>
      </c>
      <c r="AN642" s="37" t="str">
        <f>IF(最佳化斷筋點!O642="","",最佳化斷筋點!O642)</f>
        <v/>
      </c>
      <c r="AO642" s="37" t="str">
        <f>IF(最佳化斷筋點!P642="","",最佳化斷筋點!P642)</f>
        <v/>
      </c>
      <c r="AP642" s="37" t="str">
        <f>IF(最佳化斷筋點!Q642="","",最佳化斷筋點!Q642)</f>
        <v/>
      </c>
      <c r="AQ642" s="37" t="str">
        <f>IF(最佳化斷筋點!R642="","",最佳化斷筋點!R642)</f>
        <v/>
      </c>
      <c r="AR642" s="37" t="str">
        <f>IF(最佳化斷筋點!S642="","",最佳化斷筋點!S642)</f>
        <v/>
      </c>
      <c r="AS642" s="37" t="str">
        <f>IF(最佳化斷筋點!T642="","",最佳化斷筋點!T642)</f>
        <v/>
      </c>
      <c r="AT642" s="37" t="str">
        <f>IF(最佳化斷筋點!U642="","",最佳化斷筋點!U642)</f>
        <v/>
      </c>
      <c r="AU642" s="37" t="str">
        <f>IF(最佳化斷筋點!V642="","",最佳化斷筋點!V642)</f>
        <v/>
      </c>
      <c r="AV642" s="37" t="str">
        <f>IF(最佳化斷筋點!W642="","",最佳化斷筋點!W642)</f>
        <v/>
      </c>
      <c r="AW642" s="37" t="str">
        <f>IF(最佳化斷筋點!X642="","",最佳化斷筋點!X642)</f>
        <v/>
      </c>
      <c r="AZ642" s="37" t="s">
        <v>197</v>
      </c>
      <c r="BA642" s="37" t="s">
        <v>197</v>
      </c>
      <c r="BB642" s="37" t="s">
        <v>197</v>
      </c>
      <c r="BC642" s="37" t="s">
        <v>197</v>
      </c>
      <c r="BD642" s="37" t="s">
        <v>197</v>
      </c>
      <c r="BE642" s="37" t="s">
        <v>197</v>
      </c>
      <c r="BF642" s="37" t="s">
        <v>197</v>
      </c>
      <c r="BG642" s="37" t="s">
        <v>197</v>
      </c>
      <c r="BH642" s="37" t="s">
        <v>197</v>
      </c>
      <c r="BI642" s="37" t="s">
        <v>197</v>
      </c>
      <c r="BJ642" s="37" t="s">
        <v>197</v>
      </c>
      <c r="BK642" s="37" t="s">
        <v>197</v>
      </c>
      <c r="BL642" s="37" t="s">
        <v>197</v>
      </c>
      <c r="BM642" s="37" t="s">
        <v>197</v>
      </c>
      <c r="BN642" s="37" t="s">
        <v>197</v>
      </c>
      <c r="BO642" s="37" t="s">
        <v>197</v>
      </c>
      <c r="BP642" s="37" t="s">
        <v>197</v>
      </c>
      <c r="BQ642" s="37" t="s">
        <v>197</v>
      </c>
      <c r="BR642" s="37" t="s">
        <v>197</v>
      </c>
      <c r="BS642" s="37" t="s">
        <v>197</v>
      </c>
      <c r="BT642" s="37" t="s">
        <v>197</v>
      </c>
    </row>
    <row r="643" spans="5:72" x14ac:dyDescent="0.25">
      <c r="E643" s="36" t="s">
        <v>20</v>
      </c>
      <c r="F643" s="36">
        <f t="shared" si="211"/>
        <v>0</v>
      </c>
      <c r="G643" s="36">
        <f t="shared" si="212"/>
        <v>0</v>
      </c>
      <c r="H643" s="36">
        <f t="shared" si="213"/>
        <v>0</v>
      </c>
      <c r="I643" s="36">
        <f t="shared" si="214"/>
        <v>0</v>
      </c>
      <c r="J643" s="36">
        <f t="shared" si="215"/>
        <v>0</v>
      </c>
      <c r="K643" s="36">
        <f t="shared" si="216"/>
        <v>0</v>
      </c>
      <c r="L643" s="36">
        <f t="shared" si="217"/>
        <v>0</v>
      </c>
      <c r="M643" s="36">
        <f t="shared" si="218"/>
        <v>0</v>
      </c>
      <c r="N643" s="36">
        <f t="shared" si="219"/>
        <v>0</v>
      </c>
      <c r="O643" s="36">
        <f t="shared" si="220"/>
        <v>0</v>
      </c>
      <c r="P643" s="36">
        <f t="shared" si="221"/>
        <v>0</v>
      </c>
      <c r="Q643" s="36">
        <f t="shared" si="222"/>
        <v>0</v>
      </c>
      <c r="R643" s="36">
        <f t="shared" si="223"/>
        <v>0</v>
      </c>
      <c r="S643" s="36">
        <f t="shared" si="224"/>
        <v>0</v>
      </c>
      <c r="T643" s="36">
        <f t="shared" si="225"/>
        <v>0</v>
      </c>
      <c r="U643" s="36">
        <f t="shared" si="226"/>
        <v>0</v>
      </c>
      <c r="V643" s="36">
        <f t="shared" si="227"/>
        <v>0</v>
      </c>
      <c r="W643" s="36">
        <f t="shared" si="228"/>
        <v>0</v>
      </c>
      <c r="X643" s="36">
        <f t="shared" si="229"/>
        <v>0</v>
      </c>
      <c r="Y643" s="36">
        <f t="shared" si="230"/>
        <v>0</v>
      </c>
      <c r="Z643" s="36">
        <f t="shared" si="231"/>
        <v>0</v>
      </c>
      <c r="AB643" s="36" t="str">
        <f>IF(最佳化斷筋點!C643="","",最佳化斷筋點!C643)</f>
        <v>上層</v>
      </c>
      <c r="AC643" s="37">
        <f>IF(最佳化斷筋點!D643="","",最佳化斷筋點!D643)</f>
        <v>10</v>
      </c>
      <c r="AD643" s="37">
        <f>IF(最佳化斷筋點!E643="","",最佳化斷筋點!E643)</f>
        <v>10</v>
      </c>
      <c r="AE643" s="37">
        <f>IF(最佳化斷筋點!F643="","",最佳化斷筋點!F643)</f>
        <v>10</v>
      </c>
      <c r="AF643" s="37">
        <f>IF(最佳化斷筋點!G643="","",最佳化斷筋點!G643)</f>
        <v>10</v>
      </c>
      <c r="AG643" s="37">
        <f>IF(最佳化斷筋點!H643="","",最佳化斷筋點!H643)</f>
        <v>10</v>
      </c>
      <c r="AH643" s="37">
        <f>IF(最佳化斷筋點!I643="","",最佳化斷筋點!I643)</f>
        <v>10</v>
      </c>
      <c r="AI643" s="37">
        <f>IF(最佳化斷筋點!J643="","",最佳化斷筋點!J643)</f>
        <v>10</v>
      </c>
      <c r="AJ643" s="37">
        <f>IF(最佳化斷筋點!K643="","",最佳化斷筋點!K643)</f>
        <v>4</v>
      </c>
      <c r="AK643" s="37">
        <f>IF(最佳化斷筋點!L643="","",最佳化斷筋點!L643)</f>
        <v>4</v>
      </c>
      <c r="AL643" s="37">
        <f>IF(最佳化斷筋點!M643="","",最佳化斷筋點!M643)</f>
        <v>4</v>
      </c>
      <c r="AM643" s="37">
        <f>IF(最佳化斷筋點!N643="","",最佳化斷筋點!N643)</f>
        <v>4</v>
      </c>
      <c r="AN643" s="37">
        <f>IF(最佳化斷筋點!O643="","",最佳化斷筋點!O643)</f>
        <v>4</v>
      </c>
      <c r="AO643" s="37">
        <f>IF(最佳化斷筋點!P643="","",最佳化斷筋點!P643)</f>
        <v>4</v>
      </c>
      <c r="AP643" s="37">
        <f>IF(最佳化斷筋點!Q643="","",最佳化斷筋點!Q643)</f>
        <v>9</v>
      </c>
      <c r="AQ643" s="37">
        <f>IF(最佳化斷筋點!R643="","",最佳化斷筋點!R643)</f>
        <v>10</v>
      </c>
      <c r="AR643" s="37">
        <f>IF(最佳化斷筋點!S643="","",最佳化斷筋點!S643)</f>
        <v>11</v>
      </c>
      <c r="AS643" s="37">
        <f>IF(最佳化斷筋點!T643="","",最佳化斷筋點!T643)</f>
        <v>11</v>
      </c>
      <c r="AT643" s="37">
        <f>IF(最佳化斷筋點!U643="","",最佳化斷筋點!U643)</f>
        <v>11</v>
      </c>
      <c r="AU643" s="37">
        <f>IF(最佳化斷筋點!V643="","",最佳化斷筋點!V643)</f>
        <v>11</v>
      </c>
      <c r="AV643" s="37">
        <f>IF(最佳化斷筋點!W643="","",最佳化斷筋點!W643)</f>
        <v>11</v>
      </c>
      <c r="AW643" s="37">
        <f>IF(最佳化斷筋點!X643="","",最佳化斷筋點!X643)</f>
        <v>11</v>
      </c>
      <c r="AZ643" s="37">
        <v>10</v>
      </c>
      <c r="BA643" s="37">
        <v>10</v>
      </c>
      <c r="BB643" s="37">
        <v>10</v>
      </c>
      <c r="BC643" s="37">
        <v>10</v>
      </c>
      <c r="BD643" s="37">
        <v>10</v>
      </c>
      <c r="BE643" s="37">
        <v>10</v>
      </c>
      <c r="BF643" s="37">
        <v>10</v>
      </c>
      <c r="BG643" s="37">
        <v>4</v>
      </c>
      <c r="BH643" s="37">
        <v>4</v>
      </c>
      <c r="BI643" s="37">
        <v>4</v>
      </c>
      <c r="BJ643" s="37">
        <v>4</v>
      </c>
      <c r="BK643" s="37">
        <v>4</v>
      </c>
      <c r="BL643" s="37">
        <v>4</v>
      </c>
      <c r="BM643" s="37">
        <v>9</v>
      </c>
      <c r="BN643" s="37">
        <v>10</v>
      </c>
      <c r="BO643" s="37">
        <v>11</v>
      </c>
      <c r="BP643" s="37">
        <v>11</v>
      </c>
      <c r="BQ643" s="37">
        <v>11</v>
      </c>
      <c r="BR643" s="37">
        <v>11</v>
      </c>
      <c r="BS643" s="37">
        <v>11</v>
      </c>
      <c r="BT643" s="37">
        <v>11</v>
      </c>
    </row>
    <row r="644" spans="5:72" x14ac:dyDescent="0.25">
      <c r="E644" s="36"/>
      <c r="F644" s="36">
        <f t="shared" si="211"/>
        <v>0</v>
      </c>
      <c r="G644" s="36">
        <f t="shared" si="212"/>
        <v>0</v>
      </c>
      <c r="H644" s="36">
        <f t="shared" si="213"/>
        <v>0</v>
      </c>
      <c r="I644" s="36">
        <f t="shared" si="214"/>
        <v>0</v>
      </c>
      <c r="J644" s="36">
        <f t="shared" si="215"/>
        <v>0</v>
      </c>
      <c r="K644" s="36">
        <f t="shared" si="216"/>
        <v>0</v>
      </c>
      <c r="L644" s="36">
        <f t="shared" si="217"/>
        <v>0</v>
      </c>
      <c r="M644" s="36">
        <f t="shared" si="218"/>
        <v>0</v>
      </c>
      <c r="N644" s="36">
        <f t="shared" si="219"/>
        <v>0</v>
      </c>
      <c r="O644" s="36">
        <f t="shared" si="220"/>
        <v>0</v>
      </c>
      <c r="P644" s="36">
        <f t="shared" si="221"/>
        <v>0</v>
      </c>
      <c r="Q644" s="36">
        <f t="shared" si="222"/>
        <v>0</v>
      </c>
      <c r="R644" s="36">
        <f t="shared" si="223"/>
        <v>0</v>
      </c>
      <c r="S644" s="36">
        <f t="shared" si="224"/>
        <v>0</v>
      </c>
      <c r="T644" s="36">
        <f t="shared" si="225"/>
        <v>0</v>
      </c>
      <c r="U644" s="36">
        <f t="shared" si="226"/>
        <v>0</v>
      </c>
      <c r="V644" s="36">
        <f t="shared" si="227"/>
        <v>0</v>
      </c>
      <c r="W644" s="36">
        <f t="shared" si="228"/>
        <v>0</v>
      </c>
      <c r="X644" s="36">
        <f t="shared" si="229"/>
        <v>0</v>
      </c>
      <c r="Y644" s="36">
        <f t="shared" si="230"/>
        <v>0</v>
      </c>
      <c r="Z644" s="36">
        <f t="shared" si="231"/>
        <v>0</v>
      </c>
      <c r="AB644" s="36" t="str">
        <f>IF(最佳化斷筋點!C644="","",最佳化斷筋點!C644)</f>
        <v/>
      </c>
      <c r="AC644" s="37" t="str">
        <f>IF(最佳化斷筋點!D644="","",最佳化斷筋點!D644)</f>
        <v/>
      </c>
      <c r="AD644" s="37" t="str">
        <f>IF(最佳化斷筋點!E644="","",最佳化斷筋點!E644)</f>
        <v/>
      </c>
      <c r="AE644" s="37" t="str">
        <f>IF(最佳化斷筋點!F644="","",最佳化斷筋點!F644)</f>
        <v/>
      </c>
      <c r="AF644" s="37" t="str">
        <f>IF(最佳化斷筋點!G644="","",最佳化斷筋點!G644)</f>
        <v/>
      </c>
      <c r="AG644" s="37" t="str">
        <f>IF(最佳化斷筋點!H644="","",最佳化斷筋點!H644)</f>
        <v/>
      </c>
      <c r="AH644" s="37" t="str">
        <f>IF(最佳化斷筋點!I644="","",最佳化斷筋點!I644)</f>
        <v/>
      </c>
      <c r="AI644" s="37" t="str">
        <f>IF(最佳化斷筋點!J644="","",最佳化斷筋點!J644)</f>
        <v/>
      </c>
      <c r="AJ644" s="37" t="str">
        <f>IF(最佳化斷筋點!K644="","",最佳化斷筋點!K644)</f>
        <v/>
      </c>
      <c r="AK644" s="37" t="str">
        <f>IF(最佳化斷筋點!L644="","",最佳化斷筋點!L644)</f>
        <v/>
      </c>
      <c r="AL644" s="37" t="str">
        <f>IF(最佳化斷筋點!M644="","",最佳化斷筋點!M644)</f>
        <v/>
      </c>
      <c r="AM644" s="37" t="str">
        <f>IF(最佳化斷筋點!N644="","",最佳化斷筋點!N644)</f>
        <v/>
      </c>
      <c r="AN644" s="37" t="str">
        <f>IF(最佳化斷筋點!O644="","",最佳化斷筋點!O644)</f>
        <v/>
      </c>
      <c r="AO644" s="37" t="str">
        <f>IF(最佳化斷筋點!P644="","",最佳化斷筋點!P644)</f>
        <v/>
      </c>
      <c r="AP644" s="37" t="str">
        <f>IF(最佳化斷筋點!Q644="","",最佳化斷筋點!Q644)</f>
        <v/>
      </c>
      <c r="AQ644" s="37" t="str">
        <f>IF(最佳化斷筋點!R644="","",最佳化斷筋點!R644)</f>
        <v/>
      </c>
      <c r="AR644" s="37" t="str">
        <f>IF(最佳化斷筋點!S644="","",最佳化斷筋點!S644)</f>
        <v/>
      </c>
      <c r="AS644" s="37" t="str">
        <f>IF(最佳化斷筋點!T644="","",最佳化斷筋點!T644)</f>
        <v/>
      </c>
      <c r="AT644" s="37" t="str">
        <f>IF(最佳化斷筋點!U644="","",最佳化斷筋點!U644)</f>
        <v/>
      </c>
      <c r="AU644" s="37" t="str">
        <f>IF(最佳化斷筋點!V644="","",最佳化斷筋點!V644)</f>
        <v/>
      </c>
      <c r="AV644" s="37" t="str">
        <f>IF(最佳化斷筋點!W644="","",最佳化斷筋點!W644)</f>
        <v/>
      </c>
      <c r="AW644" s="37" t="str">
        <f>IF(最佳化斷筋點!X644="","",最佳化斷筋點!X644)</f>
        <v/>
      </c>
      <c r="AZ644" s="37" t="s">
        <v>197</v>
      </c>
      <c r="BA644" s="37" t="s">
        <v>197</v>
      </c>
      <c r="BB644" s="37" t="s">
        <v>197</v>
      </c>
      <c r="BC644" s="37" t="s">
        <v>197</v>
      </c>
      <c r="BD644" s="37" t="s">
        <v>197</v>
      </c>
      <c r="BE644" s="37" t="s">
        <v>197</v>
      </c>
      <c r="BF644" s="37" t="s">
        <v>197</v>
      </c>
      <c r="BG644" s="37" t="s">
        <v>197</v>
      </c>
      <c r="BH644" s="37" t="s">
        <v>197</v>
      </c>
      <c r="BI644" s="37" t="s">
        <v>197</v>
      </c>
      <c r="BJ644" s="37" t="s">
        <v>197</v>
      </c>
      <c r="BK644" s="37" t="s">
        <v>197</v>
      </c>
      <c r="BL644" s="37" t="s">
        <v>197</v>
      </c>
      <c r="BM644" s="37" t="s">
        <v>197</v>
      </c>
      <c r="BN644" s="37" t="s">
        <v>197</v>
      </c>
      <c r="BO644" s="37" t="s">
        <v>197</v>
      </c>
      <c r="BP644" s="37" t="s">
        <v>197</v>
      </c>
      <c r="BQ644" s="37" t="s">
        <v>197</v>
      </c>
      <c r="BR644" s="37" t="s">
        <v>197</v>
      </c>
      <c r="BS644" s="37" t="s">
        <v>197</v>
      </c>
      <c r="BT644" s="37" t="s">
        <v>197</v>
      </c>
    </row>
    <row r="645" spans="5:72" x14ac:dyDescent="0.25">
      <c r="E645" s="36" t="s">
        <v>21</v>
      </c>
      <c r="F645" s="36">
        <f t="shared" si="211"/>
        <v>0</v>
      </c>
      <c r="G645" s="36">
        <f t="shared" si="212"/>
        <v>0</v>
      </c>
      <c r="H645" s="36">
        <f t="shared" si="213"/>
        <v>0</v>
      </c>
      <c r="I645" s="36">
        <f t="shared" si="214"/>
        <v>0</v>
      </c>
      <c r="J645" s="36">
        <f t="shared" si="215"/>
        <v>0</v>
      </c>
      <c r="K645" s="36">
        <f t="shared" si="216"/>
        <v>0</v>
      </c>
      <c r="L645" s="36">
        <f t="shared" si="217"/>
        <v>0</v>
      </c>
      <c r="M645" s="36">
        <f t="shared" si="218"/>
        <v>0</v>
      </c>
      <c r="N645" s="36">
        <f t="shared" si="219"/>
        <v>0</v>
      </c>
      <c r="O645" s="36">
        <f t="shared" si="220"/>
        <v>0</v>
      </c>
      <c r="P645" s="36">
        <f t="shared" si="221"/>
        <v>0</v>
      </c>
      <c r="Q645" s="36">
        <f t="shared" si="222"/>
        <v>0</v>
      </c>
      <c r="R645" s="36">
        <f t="shared" si="223"/>
        <v>0</v>
      </c>
      <c r="S645" s="36">
        <f t="shared" si="224"/>
        <v>0</v>
      </c>
      <c r="T645" s="36">
        <f t="shared" si="225"/>
        <v>0</v>
      </c>
      <c r="U645" s="36">
        <f t="shared" si="226"/>
        <v>0</v>
      </c>
      <c r="V645" s="36">
        <f t="shared" si="227"/>
        <v>0</v>
      </c>
      <c r="W645" s="36">
        <f t="shared" si="228"/>
        <v>0</v>
      </c>
      <c r="X645" s="36">
        <f t="shared" si="229"/>
        <v>0</v>
      </c>
      <c r="Y645" s="36">
        <f t="shared" si="230"/>
        <v>0</v>
      </c>
      <c r="Z645" s="36">
        <f t="shared" si="231"/>
        <v>0</v>
      </c>
      <c r="AB645" s="36" t="str">
        <f>IF(最佳化斷筋點!C645="","",最佳化斷筋點!C645)</f>
        <v>下層</v>
      </c>
      <c r="AC645" s="37">
        <f>IF(最佳化斷筋點!D645="","",最佳化斷筋點!D645)</f>
        <v>16</v>
      </c>
      <c r="AD645" s="37">
        <f>IF(最佳化斷筋點!E645="","",最佳化斷筋點!E645)</f>
        <v>16</v>
      </c>
      <c r="AE645" s="37">
        <f>IF(最佳化斷筋點!F645="","",最佳化斷筋點!F645)</f>
        <v>16</v>
      </c>
      <c r="AF645" s="37">
        <f>IF(最佳化斷筋點!G645="","",最佳化斷筋點!G645)</f>
        <v>16</v>
      </c>
      <c r="AG645" s="37">
        <f>IF(最佳化斷筋點!H645="","",最佳化斷筋點!H645)</f>
        <v>15</v>
      </c>
      <c r="AH645" s="37">
        <f>IF(最佳化斷筋點!I645="","",最佳化斷筋點!I645)</f>
        <v>14</v>
      </c>
      <c r="AI645" s="37">
        <f>IF(最佳化斷筋點!J645="","",最佳化斷筋點!J645)</f>
        <v>12</v>
      </c>
      <c r="AJ645" s="37">
        <f>IF(最佳化斷筋點!K645="","",最佳化斷筋點!K645)</f>
        <v>6</v>
      </c>
      <c r="AK645" s="37">
        <f>IF(最佳化斷筋點!L645="","",最佳化斷筋點!L645)</f>
        <v>6</v>
      </c>
      <c r="AL645" s="37">
        <f>IF(最佳化斷筋點!M645="","",最佳化斷筋點!M645)</f>
        <v>6</v>
      </c>
      <c r="AM645" s="37">
        <f>IF(最佳化斷筋點!N645="","",最佳化斷筋點!N645)</f>
        <v>6</v>
      </c>
      <c r="AN645" s="37">
        <f>IF(最佳化斷筋點!O645="","",最佳化斷筋點!O645)</f>
        <v>6</v>
      </c>
      <c r="AO645" s="37">
        <f>IF(最佳化斷筋點!P645="","",最佳化斷筋點!P645)</f>
        <v>6</v>
      </c>
      <c r="AP645" s="37">
        <f>IF(最佳化斷筋點!Q645="","",最佳化斷筋點!Q645)</f>
        <v>8</v>
      </c>
      <c r="AQ645" s="37">
        <f>IF(最佳化斷筋點!R645="","",最佳化斷筋點!R645)</f>
        <v>9</v>
      </c>
      <c r="AR645" s="37">
        <f>IF(最佳化斷筋點!S645="","",最佳化斷筋點!S645)</f>
        <v>10</v>
      </c>
      <c r="AS645" s="37">
        <f>IF(最佳化斷筋點!T645="","",最佳化斷筋點!T645)</f>
        <v>11</v>
      </c>
      <c r="AT645" s="37">
        <f>IF(最佳化斷筋點!U645="","",最佳化斷筋點!U645)</f>
        <v>12</v>
      </c>
      <c r="AU645" s="37">
        <f>IF(最佳化斷筋點!V645="","",最佳化斷筋點!V645)</f>
        <v>12</v>
      </c>
      <c r="AV645" s="37">
        <f>IF(最佳化斷筋點!W645="","",最佳化斷筋點!W645)</f>
        <v>12</v>
      </c>
      <c r="AW645" s="37">
        <f>IF(最佳化斷筋點!X645="","",最佳化斷筋點!X645)</f>
        <v>12</v>
      </c>
      <c r="AZ645" s="37">
        <v>16</v>
      </c>
      <c r="BA645" s="37">
        <v>16</v>
      </c>
      <c r="BB645" s="37">
        <v>16</v>
      </c>
      <c r="BC645" s="37">
        <v>16</v>
      </c>
      <c r="BD645" s="37">
        <v>15</v>
      </c>
      <c r="BE645" s="37">
        <v>14</v>
      </c>
      <c r="BF645" s="37">
        <v>12</v>
      </c>
      <c r="BG645" s="37">
        <v>6</v>
      </c>
      <c r="BH645" s="37">
        <v>6</v>
      </c>
      <c r="BI645" s="37">
        <v>6</v>
      </c>
      <c r="BJ645" s="37">
        <v>6</v>
      </c>
      <c r="BK645" s="37">
        <v>6</v>
      </c>
      <c r="BL645" s="37">
        <v>6</v>
      </c>
      <c r="BM645" s="37">
        <v>8</v>
      </c>
      <c r="BN645" s="37">
        <v>9</v>
      </c>
      <c r="BO645" s="37">
        <v>10</v>
      </c>
      <c r="BP645" s="37">
        <v>11</v>
      </c>
      <c r="BQ645" s="37">
        <v>12</v>
      </c>
      <c r="BR645" s="37">
        <v>12</v>
      </c>
      <c r="BS645" s="37">
        <v>12</v>
      </c>
      <c r="BT645" s="37">
        <v>12</v>
      </c>
    </row>
    <row r="646" spans="5:72" x14ac:dyDescent="0.25">
      <c r="E646" s="36"/>
      <c r="F646" s="36">
        <f t="shared" si="211"/>
        <v>0</v>
      </c>
      <c r="G646" s="36">
        <f t="shared" si="212"/>
        <v>0</v>
      </c>
      <c r="H646" s="36">
        <f t="shared" si="213"/>
        <v>0</v>
      </c>
      <c r="I646" s="36">
        <f t="shared" si="214"/>
        <v>0</v>
      </c>
      <c r="J646" s="36">
        <f t="shared" si="215"/>
        <v>0</v>
      </c>
      <c r="K646" s="36">
        <f t="shared" si="216"/>
        <v>0</v>
      </c>
      <c r="L646" s="36">
        <f t="shared" si="217"/>
        <v>0</v>
      </c>
      <c r="M646" s="36">
        <f t="shared" si="218"/>
        <v>0</v>
      </c>
      <c r="N646" s="36">
        <f t="shared" si="219"/>
        <v>0</v>
      </c>
      <c r="O646" s="36">
        <f t="shared" si="220"/>
        <v>0</v>
      </c>
      <c r="P646" s="36">
        <f t="shared" si="221"/>
        <v>0</v>
      </c>
      <c r="Q646" s="36">
        <f t="shared" si="222"/>
        <v>0</v>
      </c>
      <c r="R646" s="36">
        <f t="shared" si="223"/>
        <v>0</v>
      </c>
      <c r="S646" s="36">
        <f t="shared" si="224"/>
        <v>0</v>
      </c>
      <c r="T646" s="36">
        <f t="shared" si="225"/>
        <v>0</v>
      </c>
      <c r="U646" s="36">
        <f t="shared" si="226"/>
        <v>0</v>
      </c>
      <c r="V646" s="36">
        <f t="shared" si="227"/>
        <v>0</v>
      </c>
      <c r="W646" s="36">
        <f t="shared" si="228"/>
        <v>0</v>
      </c>
      <c r="X646" s="36">
        <f t="shared" si="229"/>
        <v>0</v>
      </c>
      <c r="Y646" s="36">
        <f t="shared" si="230"/>
        <v>0</v>
      </c>
      <c r="Z646" s="36">
        <f t="shared" si="231"/>
        <v>0</v>
      </c>
      <c r="AB646" s="36" t="str">
        <f>IF(最佳化斷筋點!C646="","",最佳化斷筋點!C646)</f>
        <v/>
      </c>
      <c r="AC646" s="37" t="str">
        <f>IF(最佳化斷筋點!D646="","",最佳化斷筋點!D646)</f>
        <v/>
      </c>
      <c r="AD646" s="37" t="str">
        <f>IF(最佳化斷筋點!E646="","",最佳化斷筋點!E646)</f>
        <v/>
      </c>
      <c r="AE646" s="37" t="str">
        <f>IF(最佳化斷筋點!F646="","",最佳化斷筋點!F646)</f>
        <v/>
      </c>
      <c r="AF646" s="37" t="str">
        <f>IF(最佳化斷筋點!G646="","",最佳化斷筋點!G646)</f>
        <v/>
      </c>
      <c r="AG646" s="37" t="str">
        <f>IF(最佳化斷筋點!H646="","",最佳化斷筋點!H646)</f>
        <v/>
      </c>
      <c r="AH646" s="37" t="str">
        <f>IF(最佳化斷筋點!I646="","",最佳化斷筋點!I646)</f>
        <v/>
      </c>
      <c r="AI646" s="37" t="str">
        <f>IF(最佳化斷筋點!J646="","",最佳化斷筋點!J646)</f>
        <v/>
      </c>
      <c r="AJ646" s="37" t="str">
        <f>IF(最佳化斷筋點!K646="","",最佳化斷筋點!K646)</f>
        <v/>
      </c>
      <c r="AK646" s="37" t="str">
        <f>IF(最佳化斷筋點!L646="","",最佳化斷筋點!L646)</f>
        <v/>
      </c>
      <c r="AL646" s="37" t="str">
        <f>IF(最佳化斷筋點!M646="","",最佳化斷筋點!M646)</f>
        <v/>
      </c>
      <c r="AM646" s="37" t="str">
        <f>IF(最佳化斷筋點!N646="","",最佳化斷筋點!N646)</f>
        <v/>
      </c>
      <c r="AN646" s="37" t="str">
        <f>IF(最佳化斷筋點!O646="","",最佳化斷筋點!O646)</f>
        <v/>
      </c>
      <c r="AO646" s="37" t="str">
        <f>IF(最佳化斷筋點!P646="","",最佳化斷筋點!P646)</f>
        <v/>
      </c>
      <c r="AP646" s="37" t="str">
        <f>IF(最佳化斷筋點!Q646="","",最佳化斷筋點!Q646)</f>
        <v/>
      </c>
      <c r="AQ646" s="37" t="str">
        <f>IF(最佳化斷筋點!R646="","",最佳化斷筋點!R646)</f>
        <v/>
      </c>
      <c r="AR646" s="37" t="str">
        <f>IF(最佳化斷筋點!S646="","",最佳化斷筋點!S646)</f>
        <v/>
      </c>
      <c r="AS646" s="37" t="str">
        <f>IF(最佳化斷筋點!T646="","",最佳化斷筋點!T646)</f>
        <v/>
      </c>
      <c r="AT646" s="37" t="str">
        <f>IF(最佳化斷筋點!U646="","",最佳化斷筋點!U646)</f>
        <v/>
      </c>
      <c r="AU646" s="37" t="str">
        <f>IF(最佳化斷筋點!V646="","",最佳化斷筋點!V646)</f>
        <v/>
      </c>
      <c r="AV646" s="37" t="str">
        <f>IF(最佳化斷筋點!W646="","",最佳化斷筋點!W646)</f>
        <v/>
      </c>
      <c r="AW646" s="37" t="str">
        <f>IF(最佳化斷筋點!X646="","",最佳化斷筋點!X646)</f>
        <v/>
      </c>
      <c r="AZ646" s="37" t="s">
        <v>197</v>
      </c>
      <c r="BA646" s="37" t="s">
        <v>197</v>
      </c>
      <c r="BB646" s="37" t="s">
        <v>197</v>
      </c>
      <c r="BC646" s="37" t="s">
        <v>197</v>
      </c>
      <c r="BD646" s="37" t="s">
        <v>197</v>
      </c>
      <c r="BE646" s="37" t="s">
        <v>197</v>
      </c>
      <c r="BF646" s="37" t="s">
        <v>197</v>
      </c>
      <c r="BG646" s="37" t="s">
        <v>197</v>
      </c>
      <c r="BH646" s="37" t="s">
        <v>197</v>
      </c>
      <c r="BI646" s="37" t="s">
        <v>197</v>
      </c>
      <c r="BJ646" s="37" t="s">
        <v>197</v>
      </c>
      <c r="BK646" s="37" t="s">
        <v>197</v>
      </c>
      <c r="BL646" s="37" t="s">
        <v>197</v>
      </c>
      <c r="BM646" s="37" t="s">
        <v>197</v>
      </c>
      <c r="BN646" s="37" t="s">
        <v>197</v>
      </c>
      <c r="BO646" s="37" t="s">
        <v>197</v>
      </c>
      <c r="BP646" s="37" t="s">
        <v>197</v>
      </c>
      <c r="BQ646" s="37" t="s">
        <v>197</v>
      </c>
      <c r="BR646" s="37" t="s">
        <v>197</v>
      </c>
      <c r="BS646" s="37" t="s">
        <v>197</v>
      </c>
      <c r="BT646" s="37" t="s">
        <v>197</v>
      </c>
    </row>
    <row r="647" spans="5:72" x14ac:dyDescent="0.25">
      <c r="E647" s="36" t="s">
        <v>20</v>
      </c>
      <c r="F647" s="36">
        <f t="shared" si="211"/>
        <v>0</v>
      </c>
      <c r="G647" s="36">
        <f t="shared" si="212"/>
        <v>0</v>
      </c>
      <c r="H647" s="36">
        <f t="shared" si="213"/>
        <v>0</v>
      </c>
      <c r="I647" s="36">
        <f t="shared" si="214"/>
        <v>0</v>
      </c>
      <c r="J647" s="36">
        <f t="shared" si="215"/>
        <v>0</v>
      </c>
      <c r="K647" s="36">
        <f t="shared" si="216"/>
        <v>0</v>
      </c>
      <c r="L647" s="36">
        <f t="shared" si="217"/>
        <v>0</v>
      </c>
      <c r="M647" s="36">
        <f t="shared" si="218"/>
        <v>0</v>
      </c>
      <c r="N647" s="36">
        <f t="shared" si="219"/>
        <v>0</v>
      </c>
      <c r="O647" s="36">
        <f t="shared" si="220"/>
        <v>0</v>
      </c>
      <c r="P647" s="36">
        <f t="shared" si="221"/>
        <v>0</v>
      </c>
      <c r="Q647" s="36">
        <f t="shared" si="222"/>
        <v>0</v>
      </c>
      <c r="R647" s="36">
        <f t="shared" si="223"/>
        <v>0</v>
      </c>
      <c r="S647" s="36">
        <f t="shared" si="224"/>
        <v>0</v>
      </c>
      <c r="T647" s="36">
        <f t="shared" si="225"/>
        <v>0</v>
      </c>
      <c r="U647" s="36">
        <f t="shared" si="226"/>
        <v>0</v>
      </c>
      <c r="V647" s="36">
        <f t="shared" si="227"/>
        <v>0</v>
      </c>
      <c r="W647" s="36">
        <f t="shared" si="228"/>
        <v>0</v>
      </c>
      <c r="X647" s="36">
        <f t="shared" si="229"/>
        <v>0</v>
      </c>
      <c r="Y647" s="36">
        <f t="shared" si="230"/>
        <v>0</v>
      </c>
      <c r="Z647" s="36">
        <f t="shared" si="231"/>
        <v>0</v>
      </c>
      <c r="AB647" s="36" t="str">
        <f>IF(最佳化斷筋點!C647="","",最佳化斷筋點!C647)</f>
        <v>上層</v>
      </c>
      <c r="AC647" s="37">
        <f>IF(最佳化斷筋點!D647="","",最佳化斷筋點!D647)</f>
        <v>8</v>
      </c>
      <c r="AD647" s="37">
        <f>IF(最佳化斷筋點!E647="","",最佳化斷筋點!E647)</f>
        <v>8</v>
      </c>
      <c r="AE647" s="37">
        <f>IF(最佳化斷筋點!F647="","",最佳化斷筋點!F647)</f>
        <v>8</v>
      </c>
      <c r="AF647" s="37">
        <f>IF(最佳化斷筋點!G647="","",最佳化斷筋點!G647)</f>
        <v>8</v>
      </c>
      <c r="AG647" s="37">
        <f>IF(最佳化斷筋點!H647="","",最佳化斷筋點!H647)</f>
        <v>8</v>
      </c>
      <c r="AH647" s="37">
        <f>IF(最佳化斷筋點!I647="","",最佳化斷筋點!I647)</f>
        <v>8</v>
      </c>
      <c r="AI647" s="37">
        <f>IF(最佳化斷筋點!J647="","",最佳化斷筋點!J647)</f>
        <v>7</v>
      </c>
      <c r="AJ647" s="37">
        <f>IF(最佳化斷筋點!K647="","",最佳化斷筋點!K647)</f>
        <v>4</v>
      </c>
      <c r="AK647" s="37">
        <f>IF(最佳化斷筋點!L647="","",最佳化斷筋點!L647)</f>
        <v>4</v>
      </c>
      <c r="AL647" s="37">
        <f>IF(最佳化斷筋點!M647="","",最佳化斷筋點!M647)</f>
        <v>4</v>
      </c>
      <c r="AM647" s="37">
        <f>IF(最佳化斷筋點!N647="","",最佳化斷筋點!N647)</f>
        <v>4</v>
      </c>
      <c r="AN647" s="37">
        <f>IF(最佳化斷筋點!O647="","",最佳化斷筋點!O647)</f>
        <v>4</v>
      </c>
      <c r="AO647" s="37">
        <f>IF(最佳化斷筋點!P647="","",最佳化斷筋點!P647)</f>
        <v>4</v>
      </c>
      <c r="AP647" s="37">
        <f>IF(最佳化斷筋點!Q647="","",最佳化斷筋點!Q647)</f>
        <v>7</v>
      </c>
      <c r="AQ647" s="37">
        <f>IF(最佳化斷筋點!R647="","",最佳化斷筋點!R647)</f>
        <v>8</v>
      </c>
      <c r="AR647" s="37">
        <f>IF(最佳化斷筋點!S647="","",最佳化斷筋點!S647)</f>
        <v>9</v>
      </c>
      <c r="AS647" s="37">
        <f>IF(最佳化斷筋點!T647="","",最佳化斷筋點!T647)</f>
        <v>10</v>
      </c>
      <c r="AT647" s="37">
        <f>IF(最佳化斷筋點!U647="","",最佳化斷筋點!U647)</f>
        <v>10</v>
      </c>
      <c r="AU647" s="37">
        <f>IF(最佳化斷筋點!V647="","",最佳化斷筋點!V647)</f>
        <v>10</v>
      </c>
      <c r="AV647" s="37">
        <f>IF(最佳化斷筋點!W647="","",最佳化斷筋點!W647)</f>
        <v>10</v>
      </c>
      <c r="AW647" s="37">
        <f>IF(最佳化斷筋點!X647="","",最佳化斷筋點!X647)</f>
        <v>10</v>
      </c>
      <c r="AZ647" s="37">
        <v>8</v>
      </c>
      <c r="BA647" s="37">
        <v>8</v>
      </c>
      <c r="BB647" s="37">
        <v>8</v>
      </c>
      <c r="BC647" s="37">
        <v>8</v>
      </c>
      <c r="BD647" s="37">
        <v>8</v>
      </c>
      <c r="BE647" s="37">
        <v>8</v>
      </c>
      <c r="BF647" s="37">
        <v>7</v>
      </c>
      <c r="BG647" s="37">
        <v>4</v>
      </c>
      <c r="BH647" s="37">
        <v>4</v>
      </c>
      <c r="BI647" s="37">
        <v>4</v>
      </c>
      <c r="BJ647" s="37">
        <v>4</v>
      </c>
      <c r="BK647" s="37">
        <v>4</v>
      </c>
      <c r="BL647" s="37">
        <v>4</v>
      </c>
      <c r="BM647" s="37">
        <v>7</v>
      </c>
      <c r="BN647" s="37">
        <v>8</v>
      </c>
      <c r="BO647" s="37">
        <v>9</v>
      </c>
      <c r="BP647" s="37">
        <v>10</v>
      </c>
      <c r="BQ647" s="37">
        <v>10</v>
      </c>
      <c r="BR647" s="37">
        <v>10</v>
      </c>
      <c r="BS647" s="37">
        <v>10</v>
      </c>
      <c r="BT647" s="37">
        <v>10</v>
      </c>
    </row>
    <row r="648" spans="5:72" x14ac:dyDescent="0.25">
      <c r="E648" s="36"/>
      <c r="F648" s="36">
        <f t="shared" si="211"/>
        <v>0</v>
      </c>
      <c r="G648" s="36">
        <f t="shared" si="212"/>
        <v>0</v>
      </c>
      <c r="H648" s="36">
        <f t="shared" si="213"/>
        <v>0</v>
      </c>
      <c r="I648" s="36">
        <f t="shared" si="214"/>
        <v>0</v>
      </c>
      <c r="J648" s="36">
        <f t="shared" si="215"/>
        <v>0</v>
      </c>
      <c r="K648" s="36">
        <f t="shared" si="216"/>
        <v>0</v>
      </c>
      <c r="L648" s="36">
        <f t="shared" si="217"/>
        <v>0</v>
      </c>
      <c r="M648" s="36">
        <f t="shared" si="218"/>
        <v>0</v>
      </c>
      <c r="N648" s="36">
        <f t="shared" si="219"/>
        <v>0</v>
      </c>
      <c r="O648" s="36">
        <f t="shared" si="220"/>
        <v>0</v>
      </c>
      <c r="P648" s="36">
        <f t="shared" si="221"/>
        <v>0</v>
      </c>
      <c r="Q648" s="36">
        <f t="shared" si="222"/>
        <v>0</v>
      </c>
      <c r="R648" s="36">
        <f t="shared" si="223"/>
        <v>0</v>
      </c>
      <c r="S648" s="36">
        <f t="shared" si="224"/>
        <v>0</v>
      </c>
      <c r="T648" s="36">
        <f t="shared" si="225"/>
        <v>0</v>
      </c>
      <c r="U648" s="36">
        <f t="shared" si="226"/>
        <v>0</v>
      </c>
      <c r="V648" s="36">
        <f t="shared" si="227"/>
        <v>0</v>
      </c>
      <c r="W648" s="36">
        <f t="shared" si="228"/>
        <v>0</v>
      </c>
      <c r="X648" s="36">
        <f t="shared" si="229"/>
        <v>0</v>
      </c>
      <c r="Y648" s="36">
        <f t="shared" si="230"/>
        <v>0</v>
      </c>
      <c r="Z648" s="36">
        <f t="shared" si="231"/>
        <v>0</v>
      </c>
      <c r="AB648" s="36" t="str">
        <f>IF(最佳化斷筋點!C648="","",最佳化斷筋點!C648)</f>
        <v/>
      </c>
      <c r="AC648" s="37" t="str">
        <f>IF(最佳化斷筋點!D648="","",最佳化斷筋點!D648)</f>
        <v/>
      </c>
      <c r="AD648" s="37" t="str">
        <f>IF(最佳化斷筋點!E648="","",最佳化斷筋點!E648)</f>
        <v/>
      </c>
      <c r="AE648" s="37" t="str">
        <f>IF(最佳化斷筋點!F648="","",最佳化斷筋點!F648)</f>
        <v/>
      </c>
      <c r="AF648" s="37" t="str">
        <f>IF(最佳化斷筋點!G648="","",最佳化斷筋點!G648)</f>
        <v/>
      </c>
      <c r="AG648" s="37" t="str">
        <f>IF(最佳化斷筋點!H648="","",最佳化斷筋點!H648)</f>
        <v/>
      </c>
      <c r="AH648" s="37" t="str">
        <f>IF(最佳化斷筋點!I648="","",最佳化斷筋點!I648)</f>
        <v/>
      </c>
      <c r="AI648" s="37" t="str">
        <f>IF(最佳化斷筋點!J648="","",最佳化斷筋點!J648)</f>
        <v/>
      </c>
      <c r="AJ648" s="37" t="str">
        <f>IF(最佳化斷筋點!K648="","",最佳化斷筋點!K648)</f>
        <v/>
      </c>
      <c r="AK648" s="37" t="str">
        <f>IF(最佳化斷筋點!L648="","",最佳化斷筋點!L648)</f>
        <v/>
      </c>
      <c r="AL648" s="37" t="str">
        <f>IF(最佳化斷筋點!M648="","",最佳化斷筋點!M648)</f>
        <v/>
      </c>
      <c r="AM648" s="37" t="str">
        <f>IF(最佳化斷筋點!N648="","",最佳化斷筋點!N648)</f>
        <v/>
      </c>
      <c r="AN648" s="37" t="str">
        <f>IF(最佳化斷筋點!O648="","",最佳化斷筋點!O648)</f>
        <v/>
      </c>
      <c r="AO648" s="37" t="str">
        <f>IF(最佳化斷筋點!P648="","",最佳化斷筋點!P648)</f>
        <v/>
      </c>
      <c r="AP648" s="37" t="str">
        <f>IF(最佳化斷筋點!Q648="","",最佳化斷筋點!Q648)</f>
        <v/>
      </c>
      <c r="AQ648" s="37" t="str">
        <f>IF(最佳化斷筋點!R648="","",最佳化斷筋點!R648)</f>
        <v/>
      </c>
      <c r="AR648" s="37" t="str">
        <f>IF(最佳化斷筋點!S648="","",最佳化斷筋點!S648)</f>
        <v/>
      </c>
      <c r="AS648" s="37" t="str">
        <f>IF(最佳化斷筋點!T648="","",最佳化斷筋點!T648)</f>
        <v/>
      </c>
      <c r="AT648" s="37" t="str">
        <f>IF(最佳化斷筋點!U648="","",最佳化斷筋點!U648)</f>
        <v/>
      </c>
      <c r="AU648" s="37" t="str">
        <f>IF(最佳化斷筋點!V648="","",最佳化斷筋點!V648)</f>
        <v/>
      </c>
      <c r="AV648" s="37" t="str">
        <f>IF(最佳化斷筋點!W648="","",最佳化斷筋點!W648)</f>
        <v/>
      </c>
      <c r="AW648" s="37" t="str">
        <f>IF(最佳化斷筋點!X648="","",最佳化斷筋點!X648)</f>
        <v/>
      </c>
      <c r="AZ648" s="37" t="s">
        <v>197</v>
      </c>
      <c r="BA648" s="37" t="s">
        <v>197</v>
      </c>
      <c r="BB648" s="37" t="s">
        <v>197</v>
      </c>
      <c r="BC648" s="37" t="s">
        <v>197</v>
      </c>
      <c r="BD648" s="37" t="s">
        <v>197</v>
      </c>
      <c r="BE648" s="37" t="s">
        <v>197</v>
      </c>
      <c r="BF648" s="37" t="s">
        <v>197</v>
      </c>
      <c r="BG648" s="37" t="s">
        <v>197</v>
      </c>
      <c r="BH648" s="37" t="s">
        <v>197</v>
      </c>
      <c r="BI648" s="37" t="s">
        <v>197</v>
      </c>
      <c r="BJ648" s="37" t="s">
        <v>197</v>
      </c>
      <c r="BK648" s="37" t="s">
        <v>197</v>
      </c>
      <c r="BL648" s="37" t="s">
        <v>197</v>
      </c>
      <c r="BM648" s="37" t="s">
        <v>197</v>
      </c>
      <c r="BN648" s="37" t="s">
        <v>197</v>
      </c>
      <c r="BO648" s="37" t="s">
        <v>197</v>
      </c>
      <c r="BP648" s="37" t="s">
        <v>197</v>
      </c>
      <c r="BQ648" s="37" t="s">
        <v>197</v>
      </c>
      <c r="BR648" s="37" t="s">
        <v>197</v>
      </c>
      <c r="BS648" s="37" t="s">
        <v>197</v>
      </c>
      <c r="BT648" s="37" t="s">
        <v>197</v>
      </c>
    </row>
    <row r="649" spans="5:72" x14ac:dyDescent="0.25">
      <c r="E649" s="36" t="s">
        <v>21</v>
      </c>
      <c r="F649" s="36">
        <f t="shared" si="211"/>
        <v>0</v>
      </c>
      <c r="G649" s="36">
        <f t="shared" si="212"/>
        <v>0</v>
      </c>
      <c r="H649" s="36">
        <f t="shared" si="213"/>
        <v>0</v>
      </c>
      <c r="I649" s="36">
        <f t="shared" si="214"/>
        <v>0</v>
      </c>
      <c r="J649" s="36">
        <f t="shared" si="215"/>
        <v>0</v>
      </c>
      <c r="K649" s="36">
        <f t="shared" si="216"/>
        <v>0</v>
      </c>
      <c r="L649" s="36">
        <f t="shared" si="217"/>
        <v>0</v>
      </c>
      <c r="M649" s="36">
        <f t="shared" si="218"/>
        <v>0</v>
      </c>
      <c r="N649" s="36">
        <f t="shared" si="219"/>
        <v>0</v>
      </c>
      <c r="O649" s="36">
        <f t="shared" si="220"/>
        <v>0</v>
      </c>
      <c r="P649" s="36">
        <f t="shared" si="221"/>
        <v>0</v>
      </c>
      <c r="Q649" s="36">
        <f t="shared" si="222"/>
        <v>0</v>
      </c>
      <c r="R649" s="36">
        <f t="shared" si="223"/>
        <v>0</v>
      </c>
      <c r="S649" s="36">
        <f t="shared" si="224"/>
        <v>0</v>
      </c>
      <c r="T649" s="36">
        <f t="shared" si="225"/>
        <v>0</v>
      </c>
      <c r="U649" s="36">
        <f t="shared" si="226"/>
        <v>0</v>
      </c>
      <c r="V649" s="36">
        <f t="shared" si="227"/>
        <v>0</v>
      </c>
      <c r="W649" s="36">
        <f t="shared" si="228"/>
        <v>0</v>
      </c>
      <c r="X649" s="36">
        <f t="shared" si="229"/>
        <v>0</v>
      </c>
      <c r="Y649" s="36">
        <f t="shared" si="230"/>
        <v>0</v>
      </c>
      <c r="Z649" s="36">
        <f t="shared" si="231"/>
        <v>0</v>
      </c>
      <c r="AB649" s="36" t="str">
        <f>IF(最佳化斷筋點!C649="","",最佳化斷筋點!C649)</f>
        <v>下層</v>
      </c>
      <c r="AC649" s="37">
        <f>IF(最佳化斷筋點!D649="","",最佳化斷筋點!D649)</f>
        <v>9</v>
      </c>
      <c r="AD649" s="37">
        <f>IF(最佳化斷筋點!E649="","",最佳化斷筋點!E649)</f>
        <v>9</v>
      </c>
      <c r="AE649" s="37">
        <f>IF(最佳化斷筋點!F649="","",最佳化斷筋點!F649)</f>
        <v>9</v>
      </c>
      <c r="AF649" s="37">
        <f>IF(最佳化斷筋點!G649="","",最佳化斷筋點!G649)</f>
        <v>9</v>
      </c>
      <c r="AG649" s="37">
        <f>IF(最佳化斷筋點!H649="","",最佳化斷筋點!H649)</f>
        <v>8</v>
      </c>
      <c r="AH649" s="37">
        <f>IF(最佳化斷筋點!I649="","",最佳化斷筋點!I649)</f>
        <v>7</v>
      </c>
      <c r="AI649" s="37">
        <f>IF(最佳化斷筋點!J649="","",最佳化斷筋點!J649)</f>
        <v>6</v>
      </c>
      <c r="AJ649" s="37">
        <f>IF(最佳化斷筋點!K649="","",最佳化斷筋點!K649)</f>
        <v>5</v>
      </c>
      <c r="AK649" s="37">
        <f>IF(最佳化斷筋點!L649="","",最佳化斷筋點!L649)</f>
        <v>5</v>
      </c>
      <c r="AL649" s="37">
        <f>IF(最佳化斷筋點!M649="","",最佳化斷筋點!M649)</f>
        <v>5</v>
      </c>
      <c r="AM649" s="37">
        <f>IF(最佳化斷筋點!N649="","",最佳化斷筋點!N649)</f>
        <v>5</v>
      </c>
      <c r="AN649" s="37">
        <f>IF(最佳化斷筋點!O649="","",最佳化斷筋點!O649)</f>
        <v>5</v>
      </c>
      <c r="AO649" s="37">
        <f>IF(最佳化斷筋點!P649="","",最佳化斷筋點!P649)</f>
        <v>5</v>
      </c>
      <c r="AP649" s="37">
        <f>IF(最佳化斷筋點!Q649="","",最佳化斷筋點!Q649)</f>
        <v>5</v>
      </c>
      <c r="AQ649" s="37">
        <f>IF(最佳化斷筋點!R649="","",最佳化斷筋點!R649)</f>
        <v>5</v>
      </c>
      <c r="AR649" s="37">
        <f>IF(最佳化斷筋點!S649="","",最佳化斷筋點!S649)</f>
        <v>5</v>
      </c>
      <c r="AS649" s="37">
        <f>IF(最佳化斷筋點!T649="","",最佳化斷筋點!T649)</f>
        <v>6</v>
      </c>
      <c r="AT649" s="37">
        <f>IF(最佳化斷筋點!U649="","",最佳化斷筋點!U649)</f>
        <v>6</v>
      </c>
      <c r="AU649" s="37">
        <f>IF(最佳化斷筋點!V649="","",最佳化斷筋點!V649)</f>
        <v>7</v>
      </c>
      <c r="AV649" s="37">
        <f>IF(最佳化斷筋點!W649="","",最佳化斷筋點!W649)</f>
        <v>7</v>
      </c>
      <c r="AW649" s="37">
        <f>IF(最佳化斷筋點!X649="","",最佳化斷筋點!X649)</f>
        <v>7</v>
      </c>
      <c r="AZ649" s="37">
        <v>9</v>
      </c>
      <c r="BA649" s="37">
        <v>9</v>
      </c>
      <c r="BB649" s="37">
        <v>9</v>
      </c>
      <c r="BC649" s="37">
        <v>9</v>
      </c>
      <c r="BD649" s="37">
        <v>8</v>
      </c>
      <c r="BE649" s="37">
        <v>7</v>
      </c>
      <c r="BF649" s="37">
        <v>6</v>
      </c>
      <c r="BG649" s="37">
        <v>5</v>
      </c>
      <c r="BH649" s="37">
        <v>5</v>
      </c>
      <c r="BI649" s="37">
        <v>5</v>
      </c>
      <c r="BJ649" s="37">
        <v>5</v>
      </c>
      <c r="BK649" s="37">
        <v>5</v>
      </c>
      <c r="BL649" s="37">
        <v>5</v>
      </c>
      <c r="BM649" s="37">
        <v>5</v>
      </c>
      <c r="BN649" s="37">
        <v>5</v>
      </c>
      <c r="BO649" s="37">
        <v>5</v>
      </c>
      <c r="BP649" s="37">
        <v>6</v>
      </c>
      <c r="BQ649" s="37">
        <v>6</v>
      </c>
      <c r="BR649" s="37">
        <v>7</v>
      </c>
      <c r="BS649" s="37">
        <v>7</v>
      </c>
      <c r="BT649" s="37">
        <v>7</v>
      </c>
    </row>
    <row r="650" spans="5:72" x14ac:dyDescent="0.25">
      <c r="E650" s="36"/>
      <c r="F650" s="36">
        <f t="shared" si="211"/>
        <v>0</v>
      </c>
      <c r="G650" s="36">
        <f t="shared" si="212"/>
        <v>0</v>
      </c>
      <c r="H650" s="36">
        <f t="shared" si="213"/>
        <v>0</v>
      </c>
      <c r="I650" s="36">
        <f t="shared" si="214"/>
        <v>0</v>
      </c>
      <c r="J650" s="36">
        <f t="shared" si="215"/>
        <v>0</v>
      </c>
      <c r="K650" s="36">
        <f t="shared" si="216"/>
        <v>0</v>
      </c>
      <c r="L650" s="36">
        <f t="shared" si="217"/>
        <v>0</v>
      </c>
      <c r="M650" s="36">
        <f t="shared" si="218"/>
        <v>0</v>
      </c>
      <c r="N650" s="36">
        <f t="shared" si="219"/>
        <v>0</v>
      </c>
      <c r="O650" s="36">
        <f t="shared" si="220"/>
        <v>0</v>
      </c>
      <c r="P650" s="36">
        <f t="shared" si="221"/>
        <v>0</v>
      </c>
      <c r="Q650" s="36">
        <f t="shared" si="222"/>
        <v>0</v>
      </c>
      <c r="R650" s="36">
        <f t="shared" si="223"/>
        <v>0</v>
      </c>
      <c r="S650" s="36">
        <f t="shared" si="224"/>
        <v>0</v>
      </c>
      <c r="T650" s="36">
        <f t="shared" si="225"/>
        <v>0</v>
      </c>
      <c r="U650" s="36">
        <f t="shared" si="226"/>
        <v>0</v>
      </c>
      <c r="V650" s="36">
        <f t="shared" si="227"/>
        <v>0</v>
      </c>
      <c r="W650" s="36">
        <f t="shared" si="228"/>
        <v>0</v>
      </c>
      <c r="X650" s="36">
        <f t="shared" si="229"/>
        <v>0</v>
      </c>
      <c r="Y650" s="36">
        <f t="shared" si="230"/>
        <v>0</v>
      </c>
      <c r="Z650" s="36">
        <f t="shared" si="231"/>
        <v>0</v>
      </c>
      <c r="AB650" s="36" t="str">
        <f>IF(最佳化斷筋點!C650="","",最佳化斷筋點!C650)</f>
        <v/>
      </c>
      <c r="AC650" s="37" t="str">
        <f>IF(最佳化斷筋點!D650="","",最佳化斷筋點!D650)</f>
        <v/>
      </c>
      <c r="AD650" s="37" t="str">
        <f>IF(最佳化斷筋點!E650="","",最佳化斷筋點!E650)</f>
        <v/>
      </c>
      <c r="AE650" s="37" t="str">
        <f>IF(最佳化斷筋點!F650="","",最佳化斷筋點!F650)</f>
        <v/>
      </c>
      <c r="AF650" s="37" t="str">
        <f>IF(最佳化斷筋點!G650="","",最佳化斷筋點!G650)</f>
        <v/>
      </c>
      <c r="AG650" s="37" t="str">
        <f>IF(最佳化斷筋點!H650="","",最佳化斷筋點!H650)</f>
        <v/>
      </c>
      <c r="AH650" s="37" t="str">
        <f>IF(最佳化斷筋點!I650="","",最佳化斷筋點!I650)</f>
        <v/>
      </c>
      <c r="AI650" s="37" t="str">
        <f>IF(最佳化斷筋點!J650="","",最佳化斷筋點!J650)</f>
        <v/>
      </c>
      <c r="AJ650" s="37" t="str">
        <f>IF(最佳化斷筋點!K650="","",最佳化斷筋點!K650)</f>
        <v/>
      </c>
      <c r="AK650" s="37" t="str">
        <f>IF(最佳化斷筋點!L650="","",最佳化斷筋點!L650)</f>
        <v/>
      </c>
      <c r="AL650" s="37" t="str">
        <f>IF(最佳化斷筋點!M650="","",最佳化斷筋點!M650)</f>
        <v/>
      </c>
      <c r="AM650" s="37" t="str">
        <f>IF(最佳化斷筋點!N650="","",最佳化斷筋點!N650)</f>
        <v/>
      </c>
      <c r="AN650" s="37" t="str">
        <f>IF(最佳化斷筋點!O650="","",最佳化斷筋點!O650)</f>
        <v/>
      </c>
      <c r="AO650" s="37" t="str">
        <f>IF(最佳化斷筋點!P650="","",最佳化斷筋點!P650)</f>
        <v/>
      </c>
      <c r="AP650" s="37" t="str">
        <f>IF(最佳化斷筋點!Q650="","",最佳化斷筋點!Q650)</f>
        <v/>
      </c>
      <c r="AQ650" s="37" t="str">
        <f>IF(最佳化斷筋點!R650="","",最佳化斷筋點!R650)</f>
        <v/>
      </c>
      <c r="AR650" s="37" t="str">
        <f>IF(最佳化斷筋點!S650="","",最佳化斷筋點!S650)</f>
        <v/>
      </c>
      <c r="AS650" s="37" t="str">
        <f>IF(最佳化斷筋點!T650="","",最佳化斷筋點!T650)</f>
        <v/>
      </c>
      <c r="AT650" s="37" t="str">
        <f>IF(最佳化斷筋點!U650="","",最佳化斷筋點!U650)</f>
        <v/>
      </c>
      <c r="AU650" s="37" t="str">
        <f>IF(最佳化斷筋點!V650="","",最佳化斷筋點!V650)</f>
        <v/>
      </c>
      <c r="AV650" s="37" t="str">
        <f>IF(最佳化斷筋點!W650="","",最佳化斷筋點!W650)</f>
        <v/>
      </c>
      <c r="AW650" s="37" t="str">
        <f>IF(最佳化斷筋點!X650="","",最佳化斷筋點!X650)</f>
        <v/>
      </c>
      <c r="AZ650" s="37" t="s">
        <v>197</v>
      </c>
      <c r="BA650" s="37" t="s">
        <v>197</v>
      </c>
      <c r="BB650" s="37" t="s">
        <v>197</v>
      </c>
      <c r="BC650" s="37" t="s">
        <v>197</v>
      </c>
      <c r="BD650" s="37" t="s">
        <v>197</v>
      </c>
      <c r="BE650" s="37" t="s">
        <v>197</v>
      </c>
      <c r="BF650" s="37" t="s">
        <v>197</v>
      </c>
      <c r="BG650" s="37" t="s">
        <v>197</v>
      </c>
      <c r="BH650" s="37" t="s">
        <v>197</v>
      </c>
      <c r="BI650" s="37" t="s">
        <v>197</v>
      </c>
      <c r="BJ650" s="37" t="s">
        <v>197</v>
      </c>
      <c r="BK650" s="37" t="s">
        <v>197</v>
      </c>
      <c r="BL650" s="37" t="s">
        <v>197</v>
      </c>
      <c r="BM650" s="37" t="s">
        <v>197</v>
      </c>
      <c r="BN650" s="37" t="s">
        <v>197</v>
      </c>
      <c r="BO650" s="37" t="s">
        <v>197</v>
      </c>
      <c r="BP650" s="37" t="s">
        <v>197</v>
      </c>
      <c r="BQ650" s="37" t="s">
        <v>197</v>
      </c>
      <c r="BR650" s="37" t="s">
        <v>197</v>
      </c>
      <c r="BS650" s="37" t="s">
        <v>197</v>
      </c>
      <c r="BT650" s="37" t="s">
        <v>197</v>
      </c>
    </row>
    <row r="651" spans="5:72" x14ac:dyDescent="0.25">
      <c r="E651" s="36" t="s">
        <v>20</v>
      </c>
      <c r="F651" s="36">
        <f t="shared" si="211"/>
        <v>0</v>
      </c>
      <c r="G651" s="36">
        <f t="shared" si="212"/>
        <v>0</v>
      </c>
      <c r="H651" s="36">
        <f t="shared" si="213"/>
        <v>0</v>
      </c>
      <c r="I651" s="36">
        <f t="shared" si="214"/>
        <v>0</v>
      </c>
      <c r="J651" s="36">
        <f t="shared" si="215"/>
        <v>0</v>
      </c>
      <c r="K651" s="36">
        <f t="shared" si="216"/>
        <v>0</v>
      </c>
      <c r="L651" s="36">
        <f t="shared" si="217"/>
        <v>0</v>
      </c>
      <c r="M651" s="36">
        <f t="shared" si="218"/>
        <v>0</v>
      </c>
      <c r="N651" s="36">
        <f t="shared" si="219"/>
        <v>0</v>
      </c>
      <c r="O651" s="36">
        <f t="shared" si="220"/>
        <v>0</v>
      </c>
      <c r="P651" s="36">
        <f t="shared" si="221"/>
        <v>0</v>
      </c>
      <c r="Q651" s="36">
        <f t="shared" si="222"/>
        <v>0</v>
      </c>
      <c r="R651" s="36">
        <f t="shared" si="223"/>
        <v>0</v>
      </c>
      <c r="S651" s="36">
        <f t="shared" si="224"/>
        <v>0</v>
      </c>
      <c r="T651" s="36">
        <f t="shared" si="225"/>
        <v>0</v>
      </c>
      <c r="U651" s="36">
        <f t="shared" si="226"/>
        <v>0</v>
      </c>
      <c r="V651" s="36">
        <f t="shared" si="227"/>
        <v>0</v>
      </c>
      <c r="W651" s="36">
        <f t="shared" si="228"/>
        <v>0</v>
      </c>
      <c r="X651" s="36">
        <f t="shared" si="229"/>
        <v>0</v>
      </c>
      <c r="Y651" s="36">
        <f t="shared" si="230"/>
        <v>0</v>
      </c>
      <c r="Z651" s="36">
        <f t="shared" si="231"/>
        <v>0</v>
      </c>
      <c r="AB651" s="36" t="str">
        <f>IF(最佳化斷筋點!C651="","",最佳化斷筋點!C651)</f>
        <v>上層</v>
      </c>
      <c r="AC651" s="37">
        <f>IF(最佳化斷筋點!D651="","",最佳化斷筋點!D651)</f>
        <v>9</v>
      </c>
      <c r="AD651" s="37">
        <f>IF(最佳化斷筋點!E651="","",最佳化斷筋點!E651)</f>
        <v>9</v>
      </c>
      <c r="AE651" s="37">
        <f>IF(最佳化斷筋點!F651="","",最佳化斷筋點!F651)</f>
        <v>9</v>
      </c>
      <c r="AF651" s="37">
        <f>IF(最佳化斷筋點!G651="","",最佳化斷筋點!G651)</f>
        <v>9</v>
      </c>
      <c r="AG651" s="37">
        <f>IF(最佳化斷筋點!H651="","",最佳化斷筋點!H651)</f>
        <v>9</v>
      </c>
      <c r="AH651" s="37">
        <f>IF(最佳化斷筋點!I651="","",最佳化斷筋點!I651)</f>
        <v>9</v>
      </c>
      <c r="AI651" s="37">
        <f>IF(最佳化斷筋點!J651="","",最佳化斷筋點!J651)</f>
        <v>8</v>
      </c>
      <c r="AJ651" s="37">
        <f>IF(最佳化斷筋點!K651="","",最佳化斷筋點!K651)</f>
        <v>4</v>
      </c>
      <c r="AK651" s="37">
        <f>IF(最佳化斷筋點!L651="","",最佳化斷筋點!L651)</f>
        <v>4</v>
      </c>
      <c r="AL651" s="37">
        <f>IF(最佳化斷筋點!M651="","",最佳化斷筋點!M651)</f>
        <v>4</v>
      </c>
      <c r="AM651" s="37">
        <f>IF(最佳化斷筋點!N651="","",最佳化斷筋點!N651)</f>
        <v>4</v>
      </c>
      <c r="AN651" s="37">
        <f>IF(最佳化斷筋點!O651="","",最佳化斷筋點!O651)</f>
        <v>4</v>
      </c>
      <c r="AO651" s="37">
        <f>IF(最佳化斷筋點!P651="","",最佳化斷筋點!P651)</f>
        <v>4</v>
      </c>
      <c r="AP651" s="37">
        <f>IF(最佳化斷筋點!Q651="","",最佳化斷筋點!Q651)</f>
        <v>7</v>
      </c>
      <c r="AQ651" s="37">
        <f>IF(最佳化斷筋點!R651="","",最佳化斷筋點!R651)</f>
        <v>8</v>
      </c>
      <c r="AR651" s="37">
        <f>IF(最佳化斷筋點!S651="","",最佳化斷筋點!S651)</f>
        <v>9</v>
      </c>
      <c r="AS651" s="37">
        <f>IF(最佳化斷筋點!T651="","",最佳化斷筋點!T651)</f>
        <v>10</v>
      </c>
      <c r="AT651" s="37">
        <f>IF(最佳化斷筋點!U651="","",最佳化斷筋點!U651)</f>
        <v>10</v>
      </c>
      <c r="AU651" s="37">
        <f>IF(最佳化斷筋點!V651="","",最佳化斷筋點!V651)</f>
        <v>10</v>
      </c>
      <c r="AV651" s="37">
        <f>IF(最佳化斷筋點!W651="","",最佳化斷筋點!W651)</f>
        <v>10</v>
      </c>
      <c r="AW651" s="37">
        <f>IF(最佳化斷筋點!X651="","",最佳化斷筋點!X651)</f>
        <v>10</v>
      </c>
      <c r="AZ651" s="37">
        <v>9</v>
      </c>
      <c r="BA651" s="37">
        <v>9</v>
      </c>
      <c r="BB651" s="37">
        <v>9</v>
      </c>
      <c r="BC651" s="37">
        <v>9</v>
      </c>
      <c r="BD651" s="37">
        <v>9</v>
      </c>
      <c r="BE651" s="37">
        <v>9</v>
      </c>
      <c r="BF651" s="37">
        <v>8</v>
      </c>
      <c r="BG651" s="37">
        <v>4</v>
      </c>
      <c r="BH651" s="37">
        <v>4</v>
      </c>
      <c r="BI651" s="37">
        <v>4</v>
      </c>
      <c r="BJ651" s="37">
        <v>4</v>
      </c>
      <c r="BK651" s="37">
        <v>4</v>
      </c>
      <c r="BL651" s="37">
        <v>4</v>
      </c>
      <c r="BM651" s="37">
        <v>7</v>
      </c>
      <c r="BN651" s="37">
        <v>8</v>
      </c>
      <c r="BO651" s="37">
        <v>9</v>
      </c>
      <c r="BP651" s="37">
        <v>10</v>
      </c>
      <c r="BQ651" s="37">
        <v>10</v>
      </c>
      <c r="BR651" s="37">
        <v>10</v>
      </c>
      <c r="BS651" s="37">
        <v>10</v>
      </c>
      <c r="BT651" s="37">
        <v>10</v>
      </c>
    </row>
    <row r="652" spans="5:72" x14ac:dyDescent="0.25">
      <c r="E652" s="36"/>
      <c r="F652" s="36">
        <f t="shared" si="211"/>
        <v>0</v>
      </c>
      <c r="G652" s="36">
        <f t="shared" si="212"/>
        <v>0</v>
      </c>
      <c r="H652" s="36">
        <f t="shared" si="213"/>
        <v>0</v>
      </c>
      <c r="I652" s="36">
        <f t="shared" si="214"/>
        <v>0</v>
      </c>
      <c r="J652" s="36">
        <f t="shared" si="215"/>
        <v>0</v>
      </c>
      <c r="K652" s="36">
        <f t="shared" si="216"/>
        <v>0</v>
      </c>
      <c r="L652" s="36">
        <f t="shared" si="217"/>
        <v>0</v>
      </c>
      <c r="M652" s="36">
        <f t="shared" si="218"/>
        <v>0</v>
      </c>
      <c r="N652" s="36">
        <f t="shared" si="219"/>
        <v>0</v>
      </c>
      <c r="O652" s="36">
        <f t="shared" si="220"/>
        <v>0</v>
      </c>
      <c r="P652" s="36">
        <f t="shared" si="221"/>
        <v>0</v>
      </c>
      <c r="Q652" s="36">
        <f t="shared" si="222"/>
        <v>0</v>
      </c>
      <c r="R652" s="36">
        <f t="shared" si="223"/>
        <v>0</v>
      </c>
      <c r="S652" s="36">
        <f t="shared" si="224"/>
        <v>0</v>
      </c>
      <c r="T652" s="36">
        <f t="shared" si="225"/>
        <v>0</v>
      </c>
      <c r="U652" s="36">
        <f t="shared" si="226"/>
        <v>0</v>
      </c>
      <c r="V652" s="36">
        <f t="shared" si="227"/>
        <v>0</v>
      </c>
      <c r="W652" s="36">
        <f t="shared" si="228"/>
        <v>0</v>
      </c>
      <c r="X652" s="36">
        <f t="shared" si="229"/>
        <v>0</v>
      </c>
      <c r="Y652" s="36">
        <f t="shared" si="230"/>
        <v>0</v>
      </c>
      <c r="Z652" s="36">
        <f t="shared" si="231"/>
        <v>0</v>
      </c>
      <c r="AB652" s="36" t="str">
        <f>IF(最佳化斷筋點!C652="","",最佳化斷筋點!C652)</f>
        <v/>
      </c>
      <c r="AC652" s="37" t="str">
        <f>IF(最佳化斷筋點!D652="","",最佳化斷筋點!D652)</f>
        <v/>
      </c>
      <c r="AD652" s="37" t="str">
        <f>IF(最佳化斷筋點!E652="","",最佳化斷筋點!E652)</f>
        <v/>
      </c>
      <c r="AE652" s="37" t="str">
        <f>IF(最佳化斷筋點!F652="","",最佳化斷筋點!F652)</f>
        <v/>
      </c>
      <c r="AF652" s="37" t="str">
        <f>IF(最佳化斷筋點!G652="","",最佳化斷筋點!G652)</f>
        <v/>
      </c>
      <c r="AG652" s="37" t="str">
        <f>IF(最佳化斷筋點!H652="","",最佳化斷筋點!H652)</f>
        <v/>
      </c>
      <c r="AH652" s="37" t="str">
        <f>IF(最佳化斷筋點!I652="","",最佳化斷筋點!I652)</f>
        <v/>
      </c>
      <c r="AI652" s="37" t="str">
        <f>IF(最佳化斷筋點!J652="","",最佳化斷筋點!J652)</f>
        <v/>
      </c>
      <c r="AJ652" s="37" t="str">
        <f>IF(最佳化斷筋點!K652="","",最佳化斷筋點!K652)</f>
        <v/>
      </c>
      <c r="AK652" s="37" t="str">
        <f>IF(最佳化斷筋點!L652="","",最佳化斷筋點!L652)</f>
        <v/>
      </c>
      <c r="AL652" s="37" t="str">
        <f>IF(最佳化斷筋點!M652="","",最佳化斷筋點!M652)</f>
        <v/>
      </c>
      <c r="AM652" s="37" t="str">
        <f>IF(最佳化斷筋點!N652="","",最佳化斷筋點!N652)</f>
        <v/>
      </c>
      <c r="AN652" s="37" t="str">
        <f>IF(最佳化斷筋點!O652="","",最佳化斷筋點!O652)</f>
        <v/>
      </c>
      <c r="AO652" s="37" t="str">
        <f>IF(最佳化斷筋點!P652="","",最佳化斷筋點!P652)</f>
        <v/>
      </c>
      <c r="AP652" s="37" t="str">
        <f>IF(最佳化斷筋點!Q652="","",最佳化斷筋點!Q652)</f>
        <v/>
      </c>
      <c r="AQ652" s="37" t="str">
        <f>IF(最佳化斷筋點!R652="","",最佳化斷筋點!R652)</f>
        <v/>
      </c>
      <c r="AR652" s="37" t="str">
        <f>IF(最佳化斷筋點!S652="","",最佳化斷筋點!S652)</f>
        <v/>
      </c>
      <c r="AS652" s="37" t="str">
        <f>IF(最佳化斷筋點!T652="","",最佳化斷筋點!T652)</f>
        <v/>
      </c>
      <c r="AT652" s="37" t="str">
        <f>IF(最佳化斷筋點!U652="","",最佳化斷筋點!U652)</f>
        <v/>
      </c>
      <c r="AU652" s="37" t="str">
        <f>IF(最佳化斷筋點!V652="","",最佳化斷筋點!V652)</f>
        <v/>
      </c>
      <c r="AV652" s="37" t="str">
        <f>IF(最佳化斷筋點!W652="","",最佳化斷筋點!W652)</f>
        <v/>
      </c>
      <c r="AW652" s="37" t="str">
        <f>IF(最佳化斷筋點!X652="","",最佳化斷筋點!X652)</f>
        <v/>
      </c>
      <c r="AZ652" s="37" t="s">
        <v>197</v>
      </c>
      <c r="BA652" s="37" t="s">
        <v>197</v>
      </c>
      <c r="BB652" s="37" t="s">
        <v>197</v>
      </c>
      <c r="BC652" s="37" t="s">
        <v>197</v>
      </c>
      <c r="BD652" s="37" t="s">
        <v>197</v>
      </c>
      <c r="BE652" s="37" t="s">
        <v>197</v>
      </c>
      <c r="BF652" s="37" t="s">
        <v>197</v>
      </c>
      <c r="BG652" s="37" t="s">
        <v>197</v>
      </c>
      <c r="BH652" s="37" t="s">
        <v>197</v>
      </c>
      <c r="BI652" s="37" t="s">
        <v>197</v>
      </c>
      <c r="BJ652" s="37" t="s">
        <v>197</v>
      </c>
      <c r="BK652" s="37" t="s">
        <v>197</v>
      </c>
      <c r="BL652" s="37" t="s">
        <v>197</v>
      </c>
      <c r="BM652" s="37" t="s">
        <v>197</v>
      </c>
      <c r="BN652" s="37" t="s">
        <v>197</v>
      </c>
      <c r="BO652" s="37" t="s">
        <v>197</v>
      </c>
      <c r="BP652" s="37" t="s">
        <v>197</v>
      </c>
      <c r="BQ652" s="37" t="s">
        <v>197</v>
      </c>
      <c r="BR652" s="37" t="s">
        <v>197</v>
      </c>
      <c r="BS652" s="37" t="s">
        <v>197</v>
      </c>
      <c r="BT652" s="37" t="s">
        <v>197</v>
      </c>
    </row>
    <row r="653" spans="5:72" x14ac:dyDescent="0.25">
      <c r="E653" s="36" t="s">
        <v>21</v>
      </c>
      <c r="F653" s="36">
        <f t="shared" si="211"/>
        <v>0</v>
      </c>
      <c r="G653" s="36">
        <f t="shared" si="212"/>
        <v>0</v>
      </c>
      <c r="H653" s="36">
        <f t="shared" si="213"/>
        <v>0</v>
      </c>
      <c r="I653" s="36">
        <f t="shared" si="214"/>
        <v>0</v>
      </c>
      <c r="J653" s="36">
        <f t="shared" si="215"/>
        <v>0</v>
      </c>
      <c r="K653" s="36">
        <f t="shared" si="216"/>
        <v>0</v>
      </c>
      <c r="L653" s="36">
        <f t="shared" si="217"/>
        <v>0</v>
      </c>
      <c r="M653" s="36">
        <f t="shared" si="218"/>
        <v>0</v>
      </c>
      <c r="N653" s="36">
        <f t="shared" si="219"/>
        <v>0</v>
      </c>
      <c r="O653" s="36">
        <f t="shared" si="220"/>
        <v>0</v>
      </c>
      <c r="P653" s="36">
        <f t="shared" si="221"/>
        <v>0</v>
      </c>
      <c r="Q653" s="36">
        <f t="shared" si="222"/>
        <v>0</v>
      </c>
      <c r="R653" s="36">
        <f t="shared" si="223"/>
        <v>0</v>
      </c>
      <c r="S653" s="36">
        <f t="shared" si="224"/>
        <v>0</v>
      </c>
      <c r="T653" s="36">
        <f t="shared" si="225"/>
        <v>0</v>
      </c>
      <c r="U653" s="36">
        <f t="shared" si="226"/>
        <v>0</v>
      </c>
      <c r="V653" s="36">
        <f t="shared" si="227"/>
        <v>0</v>
      </c>
      <c r="W653" s="36">
        <f t="shared" si="228"/>
        <v>0</v>
      </c>
      <c r="X653" s="36">
        <f t="shared" si="229"/>
        <v>0</v>
      </c>
      <c r="Y653" s="36">
        <f t="shared" si="230"/>
        <v>0</v>
      </c>
      <c r="Z653" s="36">
        <f t="shared" si="231"/>
        <v>0</v>
      </c>
      <c r="AB653" s="36" t="str">
        <f>IF(最佳化斷筋點!C653="","",最佳化斷筋點!C653)</f>
        <v>下層</v>
      </c>
      <c r="AC653" s="37">
        <f>IF(最佳化斷筋點!D653="","",最佳化斷筋點!D653)</f>
        <v>8</v>
      </c>
      <c r="AD653" s="37">
        <f>IF(最佳化斷筋點!E653="","",最佳化斷筋點!E653)</f>
        <v>8</v>
      </c>
      <c r="AE653" s="37">
        <f>IF(最佳化斷筋點!F653="","",最佳化斷筋點!F653)</f>
        <v>8</v>
      </c>
      <c r="AF653" s="37">
        <f>IF(最佳化斷筋點!G653="","",最佳化斷筋點!G653)</f>
        <v>8</v>
      </c>
      <c r="AG653" s="37">
        <f>IF(最佳化斷筋點!H653="","",最佳化斷筋點!H653)</f>
        <v>8</v>
      </c>
      <c r="AH653" s="37">
        <f>IF(最佳化斷筋點!I653="","",最佳化斷筋點!I653)</f>
        <v>7</v>
      </c>
      <c r="AI653" s="37">
        <f>IF(最佳化斷筋點!J653="","",最佳化斷筋點!J653)</f>
        <v>6</v>
      </c>
      <c r="AJ653" s="37">
        <f>IF(最佳化斷筋點!K653="","",最佳化斷筋點!K653)</f>
        <v>5</v>
      </c>
      <c r="AK653" s="37">
        <f>IF(最佳化斷筋點!L653="","",最佳化斷筋點!L653)</f>
        <v>5</v>
      </c>
      <c r="AL653" s="37">
        <f>IF(最佳化斷筋點!M653="","",最佳化斷筋點!M653)</f>
        <v>5</v>
      </c>
      <c r="AM653" s="37">
        <f>IF(最佳化斷筋點!N653="","",最佳化斷筋點!N653)</f>
        <v>5</v>
      </c>
      <c r="AN653" s="37">
        <f>IF(最佳化斷筋點!O653="","",最佳化斷筋點!O653)</f>
        <v>5</v>
      </c>
      <c r="AO653" s="37">
        <f>IF(最佳化斷筋點!P653="","",最佳化斷筋點!P653)</f>
        <v>5</v>
      </c>
      <c r="AP653" s="37">
        <f>IF(最佳化斷筋點!Q653="","",最佳化斷筋點!Q653)</f>
        <v>5</v>
      </c>
      <c r="AQ653" s="37">
        <f>IF(最佳化斷筋點!R653="","",最佳化斷筋點!R653)</f>
        <v>6</v>
      </c>
      <c r="AR653" s="37">
        <f>IF(最佳化斷筋點!S653="","",最佳化斷筋點!S653)</f>
        <v>6</v>
      </c>
      <c r="AS653" s="37">
        <f>IF(最佳化斷筋點!T653="","",最佳化斷筋點!T653)</f>
        <v>7</v>
      </c>
      <c r="AT653" s="37">
        <f>IF(最佳化斷筋點!U653="","",最佳化斷筋點!U653)</f>
        <v>8</v>
      </c>
      <c r="AU653" s="37">
        <f>IF(最佳化斷筋點!V653="","",最佳化斷筋點!V653)</f>
        <v>8</v>
      </c>
      <c r="AV653" s="37">
        <f>IF(最佳化斷筋點!W653="","",最佳化斷筋點!W653)</f>
        <v>8</v>
      </c>
      <c r="AW653" s="37">
        <f>IF(最佳化斷筋點!X653="","",最佳化斷筋點!X653)</f>
        <v>8</v>
      </c>
      <c r="AZ653" s="37">
        <v>8</v>
      </c>
      <c r="BA653" s="37">
        <v>8</v>
      </c>
      <c r="BB653" s="37">
        <v>8</v>
      </c>
      <c r="BC653" s="37">
        <v>8</v>
      </c>
      <c r="BD653" s="37">
        <v>8</v>
      </c>
      <c r="BE653" s="37">
        <v>7</v>
      </c>
      <c r="BF653" s="37">
        <v>6</v>
      </c>
      <c r="BG653" s="37">
        <v>5</v>
      </c>
      <c r="BH653" s="37">
        <v>5</v>
      </c>
      <c r="BI653" s="37">
        <v>5</v>
      </c>
      <c r="BJ653" s="37">
        <v>5</v>
      </c>
      <c r="BK653" s="37">
        <v>5</v>
      </c>
      <c r="BL653" s="37">
        <v>5</v>
      </c>
      <c r="BM653" s="37">
        <v>5</v>
      </c>
      <c r="BN653" s="37">
        <v>6</v>
      </c>
      <c r="BO653" s="37">
        <v>6</v>
      </c>
      <c r="BP653" s="37">
        <v>7</v>
      </c>
      <c r="BQ653" s="37">
        <v>8</v>
      </c>
      <c r="BR653" s="37">
        <v>8</v>
      </c>
      <c r="BS653" s="37">
        <v>8</v>
      </c>
      <c r="BT653" s="37">
        <v>8</v>
      </c>
    </row>
    <row r="654" spans="5:72" x14ac:dyDescent="0.25">
      <c r="E654" s="36"/>
      <c r="F654" s="36">
        <f t="shared" si="211"/>
        <v>0</v>
      </c>
      <c r="G654" s="36">
        <f t="shared" si="212"/>
        <v>0</v>
      </c>
      <c r="H654" s="36">
        <f t="shared" si="213"/>
        <v>0</v>
      </c>
      <c r="I654" s="36">
        <f t="shared" si="214"/>
        <v>0</v>
      </c>
      <c r="J654" s="36">
        <f t="shared" si="215"/>
        <v>0</v>
      </c>
      <c r="K654" s="36">
        <f t="shared" si="216"/>
        <v>0</v>
      </c>
      <c r="L654" s="36">
        <f t="shared" si="217"/>
        <v>0</v>
      </c>
      <c r="M654" s="36">
        <f t="shared" si="218"/>
        <v>0</v>
      </c>
      <c r="N654" s="36">
        <f t="shared" si="219"/>
        <v>0</v>
      </c>
      <c r="O654" s="36">
        <f t="shared" si="220"/>
        <v>0</v>
      </c>
      <c r="P654" s="36">
        <f t="shared" si="221"/>
        <v>0</v>
      </c>
      <c r="Q654" s="36">
        <f t="shared" si="222"/>
        <v>0</v>
      </c>
      <c r="R654" s="36">
        <f t="shared" si="223"/>
        <v>0</v>
      </c>
      <c r="S654" s="36">
        <f t="shared" si="224"/>
        <v>0</v>
      </c>
      <c r="T654" s="36">
        <f t="shared" si="225"/>
        <v>0</v>
      </c>
      <c r="U654" s="36">
        <f t="shared" si="226"/>
        <v>0</v>
      </c>
      <c r="V654" s="36">
        <f t="shared" si="227"/>
        <v>0</v>
      </c>
      <c r="W654" s="36">
        <f t="shared" si="228"/>
        <v>0</v>
      </c>
      <c r="X654" s="36">
        <f t="shared" si="229"/>
        <v>0</v>
      </c>
      <c r="Y654" s="36">
        <f t="shared" si="230"/>
        <v>0</v>
      </c>
      <c r="Z654" s="36">
        <f t="shared" si="231"/>
        <v>0</v>
      </c>
      <c r="AB654" s="36" t="str">
        <f>IF(最佳化斷筋點!C654="","",最佳化斷筋點!C654)</f>
        <v/>
      </c>
      <c r="AC654" s="37" t="str">
        <f>IF(最佳化斷筋點!D654="","",最佳化斷筋點!D654)</f>
        <v/>
      </c>
      <c r="AD654" s="37" t="str">
        <f>IF(最佳化斷筋點!E654="","",最佳化斷筋點!E654)</f>
        <v/>
      </c>
      <c r="AE654" s="37" t="str">
        <f>IF(最佳化斷筋點!F654="","",最佳化斷筋點!F654)</f>
        <v/>
      </c>
      <c r="AF654" s="37" t="str">
        <f>IF(最佳化斷筋點!G654="","",最佳化斷筋點!G654)</f>
        <v/>
      </c>
      <c r="AG654" s="37" t="str">
        <f>IF(最佳化斷筋點!H654="","",最佳化斷筋點!H654)</f>
        <v/>
      </c>
      <c r="AH654" s="37" t="str">
        <f>IF(最佳化斷筋點!I654="","",最佳化斷筋點!I654)</f>
        <v/>
      </c>
      <c r="AI654" s="37" t="str">
        <f>IF(最佳化斷筋點!J654="","",最佳化斷筋點!J654)</f>
        <v/>
      </c>
      <c r="AJ654" s="37" t="str">
        <f>IF(最佳化斷筋點!K654="","",最佳化斷筋點!K654)</f>
        <v/>
      </c>
      <c r="AK654" s="37" t="str">
        <f>IF(最佳化斷筋點!L654="","",最佳化斷筋點!L654)</f>
        <v/>
      </c>
      <c r="AL654" s="37" t="str">
        <f>IF(最佳化斷筋點!M654="","",最佳化斷筋點!M654)</f>
        <v/>
      </c>
      <c r="AM654" s="37" t="str">
        <f>IF(最佳化斷筋點!N654="","",最佳化斷筋點!N654)</f>
        <v/>
      </c>
      <c r="AN654" s="37" t="str">
        <f>IF(最佳化斷筋點!O654="","",最佳化斷筋點!O654)</f>
        <v/>
      </c>
      <c r="AO654" s="37" t="str">
        <f>IF(最佳化斷筋點!P654="","",最佳化斷筋點!P654)</f>
        <v/>
      </c>
      <c r="AP654" s="37" t="str">
        <f>IF(最佳化斷筋點!Q654="","",最佳化斷筋點!Q654)</f>
        <v/>
      </c>
      <c r="AQ654" s="37" t="str">
        <f>IF(最佳化斷筋點!R654="","",最佳化斷筋點!R654)</f>
        <v/>
      </c>
      <c r="AR654" s="37" t="str">
        <f>IF(最佳化斷筋點!S654="","",最佳化斷筋點!S654)</f>
        <v/>
      </c>
      <c r="AS654" s="37" t="str">
        <f>IF(最佳化斷筋點!T654="","",最佳化斷筋點!T654)</f>
        <v/>
      </c>
      <c r="AT654" s="37" t="str">
        <f>IF(最佳化斷筋點!U654="","",最佳化斷筋點!U654)</f>
        <v/>
      </c>
      <c r="AU654" s="37" t="str">
        <f>IF(最佳化斷筋點!V654="","",最佳化斷筋點!V654)</f>
        <v/>
      </c>
      <c r="AV654" s="37" t="str">
        <f>IF(最佳化斷筋點!W654="","",最佳化斷筋點!W654)</f>
        <v/>
      </c>
      <c r="AW654" s="37" t="str">
        <f>IF(最佳化斷筋點!X654="","",最佳化斷筋點!X654)</f>
        <v/>
      </c>
      <c r="AZ654" s="37" t="s">
        <v>197</v>
      </c>
      <c r="BA654" s="37" t="s">
        <v>197</v>
      </c>
      <c r="BB654" s="37" t="s">
        <v>197</v>
      </c>
      <c r="BC654" s="37" t="s">
        <v>197</v>
      </c>
      <c r="BD654" s="37" t="s">
        <v>197</v>
      </c>
      <c r="BE654" s="37" t="s">
        <v>197</v>
      </c>
      <c r="BF654" s="37" t="s">
        <v>197</v>
      </c>
      <c r="BG654" s="37" t="s">
        <v>197</v>
      </c>
      <c r="BH654" s="37" t="s">
        <v>197</v>
      </c>
      <c r="BI654" s="37" t="s">
        <v>197</v>
      </c>
      <c r="BJ654" s="37" t="s">
        <v>197</v>
      </c>
      <c r="BK654" s="37" t="s">
        <v>197</v>
      </c>
      <c r="BL654" s="37" t="s">
        <v>197</v>
      </c>
      <c r="BM654" s="37" t="s">
        <v>197</v>
      </c>
      <c r="BN654" s="37" t="s">
        <v>197</v>
      </c>
      <c r="BO654" s="37" t="s">
        <v>197</v>
      </c>
      <c r="BP654" s="37" t="s">
        <v>197</v>
      </c>
      <c r="BQ654" s="37" t="s">
        <v>197</v>
      </c>
      <c r="BR654" s="37" t="s">
        <v>197</v>
      </c>
      <c r="BS654" s="37" t="s">
        <v>197</v>
      </c>
      <c r="BT654" s="37" t="s">
        <v>197</v>
      </c>
    </row>
    <row r="655" spans="5:72" x14ac:dyDescent="0.25">
      <c r="E655" s="36" t="s">
        <v>20</v>
      </c>
      <c r="F655" s="36">
        <f t="shared" si="211"/>
        <v>0</v>
      </c>
      <c r="G655" s="36">
        <f t="shared" si="212"/>
        <v>0</v>
      </c>
      <c r="H655" s="36">
        <f t="shared" si="213"/>
        <v>0</v>
      </c>
      <c r="I655" s="36">
        <f t="shared" si="214"/>
        <v>0</v>
      </c>
      <c r="J655" s="36">
        <f t="shared" si="215"/>
        <v>0</v>
      </c>
      <c r="K655" s="36">
        <f t="shared" si="216"/>
        <v>0</v>
      </c>
      <c r="L655" s="36">
        <f t="shared" si="217"/>
        <v>0</v>
      </c>
      <c r="M655" s="36">
        <f t="shared" si="218"/>
        <v>0</v>
      </c>
      <c r="N655" s="36">
        <f t="shared" si="219"/>
        <v>0</v>
      </c>
      <c r="O655" s="36">
        <f t="shared" si="220"/>
        <v>0</v>
      </c>
      <c r="P655" s="36">
        <f t="shared" si="221"/>
        <v>0</v>
      </c>
      <c r="Q655" s="36">
        <f t="shared" si="222"/>
        <v>0</v>
      </c>
      <c r="R655" s="36">
        <f t="shared" si="223"/>
        <v>0</v>
      </c>
      <c r="S655" s="36">
        <f t="shared" si="224"/>
        <v>0</v>
      </c>
      <c r="T655" s="36">
        <f t="shared" si="225"/>
        <v>0</v>
      </c>
      <c r="U655" s="36">
        <f t="shared" si="226"/>
        <v>0</v>
      </c>
      <c r="V655" s="36">
        <f t="shared" si="227"/>
        <v>0</v>
      </c>
      <c r="W655" s="36">
        <f t="shared" si="228"/>
        <v>0</v>
      </c>
      <c r="X655" s="36">
        <f t="shared" si="229"/>
        <v>0</v>
      </c>
      <c r="Y655" s="36">
        <f t="shared" si="230"/>
        <v>0</v>
      </c>
      <c r="Z655" s="36">
        <f t="shared" si="231"/>
        <v>0</v>
      </c>
      <c r="AB655" s="36" t="str">
        <f>IF(最佳化斷筋點!C655="","",最佳化斷筋點!C655)</f>
        <v>上層</v>
      </c>
      <c r="AC655" s="37">
        <f>IF(最佳化斷筋點!D655="","",最佳化斷筋點!D655)</f>
        <v>9</v>
      </c>
      <c r="AD655" s="37">
        <f>IF(最佳化斷筋點!E655="","",最佳化斷筋點!E655)</f>
        <v>9</v>
      </c>
      <c r="AE655" s="37">
        <f>IF(最佳化斷筋點!F655="","",最佳化斷筋點!F655)</f>
        <v>9</v>
      </c>
      <c r="AF655" s="37">
        <f>IF(最佳化斷筋點!G655="","",最佳化斷筋點!G655)</f>
        <v>9</v>
      </c>
      <c r="AG655" s="37">
        <f>IF(最佳化斷筋點!H655="","",最佳化斷筋點!H655)</f>
        <v>9</v>
      </c>
      <c r="AH655" s="37">
        <f>IF(最佳化斷筋點!I655="","",最佳化斷筋點!I655)</f>
        <v>9</v>
      </c>
      <c r="AI655" s="37">
        <f>IF(最佳化斷筋點!J655="","",最佳化斷筋點!J655)</f>
        <v>9</v>
      </c>
      <c r="AJ655" s="37">
        <f>IF(最佳化斷筋點!K655="","",最佳化斷筋點!K655)</f>
        <v>4</v>
      </c>
      <c r="AK655" s="37">
        <f>IF(最佳化斷筋點!L655="","",最佳化斷筋點!L655)</f>
        <v>4</v>
      </c>
      <c r="AL655" s="37">
        <f>IF(最佳化斷筋點!M655="","",最佳化斷筋點!M655)</f>
        <v>4</v>
      </c>
      <c r="AM655" s="37">
        <f>IF(最佳化斷筋點!N655="","",最佳化斷筋點!N655)</f>
        <v>4</v>
      </c>
      <c r="AN655" s="37">
        <f>IF(最佳化斷筋點!O655="","",最佳化斷筋點!O655)</f>
        <v>4</v>
      </c>
      <c r="AO655" s="37">
        <f>IF(最佳化斷筋點!P655="","",最佳化斷筋點!P655)</f>
        <v>4</v>
      </c>
      <c r="AP655" s="37">
        <f>IF(最佳化斷筋點!Q655="","",最佳化斷筋點!Q655)</f>
        <v>8</v>
      </c>
      <c r="AQ655" s="37">
        <f>IF(最佳化斷筋點!R655="","",最佳化斷筋點!R655)</f>
        <v>9</v>
      </c>
      <c r="AR655" s="37">
        <f>IF(最佳化斷筋點!S655="","",最佳化斷筋點!S655)</f>
        <v>10</v>
      </c>
      <c r="AS655" s="37">
        <f>IF(最佳化斷筋點!T655="","",最佳化斷筋點!T655)</f>
        <v>10</v>
      </c>
      <c r="AT655" s="37">
        <f>IF(最佳化斷筋點!U655="","",最佳化斷筋點!U655)</f>
        <v>10</v>
      </c>
      <c r="AU655" s="37">
        <f>IF(最佳化斷筋點!V655="","",最佳化斷筋點!V655)</f>
        <v>10</v>
      </c>
      <c r="AV655" s="37">
        <f>IF(最佳化斷筋點!W655="","",最佳化斷筋點!W655)</f>
        <v>10</v>
      </c>
      <c r="AW655" s="37">
        <f>IF(最佳化斷筋點!X655="","",最佳化斷筋點!X655)</f>
        <v>10</v>
      </c>
      <c r="AZ655" s="37">
        <v>9</v>
      </c>
      <c r="BA655" s="37">
        <v>9</v>
      </c>
      <c r="BB655" s="37">
        <v>9</v>
      </c>
      <c r="BC655" s="37">
        <v>9</v>
      </c>
      <c r="BD655" s="37">
        <v>9</v>
      </c>
      <c r="BE655" s="37">
        <v>9</v>
      </c>
      <c r="BF655" s="37">
        <v>9</v>
      </c>
      <c r="BG655" s="37">
        <v>4</v>
      </c>
      <c r="BH655" s="37">
        <v>4</v>
      </c>
      <c r="BI655" s="37">
        <v>4</v>
      </c>
      <c r="BJ655" s="37">
        <v>4</v>
      </c>
      <c r="BK655" s="37">
        <v>4</v>
      </c>
      <c r="BL655" s="37">
        <v>4</v>
      </c>
      <c r="BM655" s="37">
        <v>8</v>
      </c>
      <c r="BN655" s="37">
        <v>9</v>
      </c>
      <c r="BO655" s="37">
        <v>10</v>
      </c>
      <c r="BP655" s="37">
        <v>10</v>
      </c>
      <c r="BQ655" s="37">
        <v>10</v>
      </c>
      <c r="BR655" s="37">
        <v>10</v>
      </c>
      <c r="BS655" s="37">
        <v>10</v>
      </c>
      <c r="BT655" s="37">
        <v>10</v>
      </c>
    </row>
    <row r="656" spans="5:72" x14ac:dyDescent="0.25">
      <c r="E656" s="36"/>
      <c r="F656" s="36">
        <f t="shared" si="211"/>
        <v>0</v>
      </c>
      <c r="G656" s="36">
        <f t="shared" si="212"/>
        <v>0</v>
      </c>
      <c r="H656" s="36">
        <f t="shared" si="213"/>
        <v>0</v>
      </c>
      <c r="I656" s="36">
        <f t="shared" si="214"/>
        <v>0</v>
      </c>
      <c r="J656" s="36">
        <f t="shared" si="215"/>
        <v>0</v>
      </c>
      <c r="K656" s="36">
        <f t="shared" si="216"/>
        <v>0</v>
      </c>
      <c r="L656" s="36">
        <f t="shared" si="217"/>
        <v>0</v>
      </c>
      <c r="M656" s="36">
        <f t="shared" si="218"/>
        <v>0</v>
      </c>
      <c r="N656" s="36">
        <f t="shared" si="219"/>
        <v>0</v>
      </c>
      <c r="O656" s="36">
        <f t="shared" si="220"/>
        <v>0</v>
      </c>
      <c r="P656" s="36">
        <f t="shared" si="221"/>
        <v>0</v>
      </c>
      <c r="Q656" s="36">
        <f t="shared" si="222"/>
        <v>0</v>
      </c>
      <c r="R656" s="36">
        <f t="shared" si="223"/>
        <v>0</v>
      </c>
      <c r="S656" s="36">
        <f t="shared" si="224"/>
        <v>0</v>
      </c>
      <c r="T656" s="36">
        <f t="shared" si="225"/>
        <v>0</v>
      </c>
      <c r="U656" s="36">
        <f t="shared" si="226"/>
        <v>0</v>
      </c>
      <c r="V656" s="36">
        <f t="shared" si="227"/>
        <v>0</v>
      </c>
      <c r="W656" s="36">
        <f t="shared" si="228"/>
        <v>0</v>
      </c>
      <c r="X656" s="36">
        <f t="shared" si="229"/>
        <v>0</v>
      </c>
      <c r="Y656" s="36">
        <f t="shared" si="230"/>
        <v>0</v>
      </c>
      <c r="Z656" s="36">
        <f t="shared" si="231"/>
        <v>0</v>
      </c>
      <c r="AB656" s="36" t="str">
        <f>IF(最佳化斷筋點!C656="","",最佳化斷筋點!C656)</f>
        <v/>
      </c>
      <c r="AC656" s="37" t="str">
        <f>IF(最佳化斷筋點!D656="","",最佳化斷筋點!D656)</f>
        <v/>
      </c>
      <c r="AD656" s="37" t="str">
        <f>IF(最佳化斷筋點!E656="","",最佳化斷筋點!E656)</f>
        <v/>
      </c>
      <c r="AE656" s="37" t="str">
        <f>IF(最佳化斷筋點!F656="","",最佳化斷筋點!F656)</f>
        <v/>
      </c>
      <c r="AF656" s="37" t="str">
        <f>IF(最佳化斷筋點!G656="","",最佳化斷筋點!G656)</f>
        <v/>
      </c>
      <c r="AG656" s="37" t="str">
        <f>IF(最佳化斷筋點!H656="","",最佳化斷筋點!H656)</f>
        <v/>
      </c>
      <c r="AH656" s="37" t="str">
        <f>IF(最佳化斷筋點!I656="","",最佳化斷筋點!I656)</f>
        <v/>
      </c>
      <c r="AI656" s="37" t="str">
        <f>IF(最佳化斷筋點!J656="","",最佳化斷筋點!J656)</f>
        <v/>
      </c>
      <c r="AJ656" s="37" t="str">
        <f>IF(最佳化斷筋點!K656="","",最佳化斷筋點!K656)</f>
        <v/>
      </c>
      <c r="AK656" s="37" t="str">
        <f>IF(最佳化斷筋點!L656="","",最佳化斷筋點!L656)</f>
        <v/>
      </c>
      <c r="AL656" s="37" t="str">
        <f>IF(最佳化斷筋點!M656="","",最佳化斷筋點!M656)</f>
        <v/>
      </c>
      <c r="AM656" s="37" t="str">
        <f>IF(最佳化斷筋點!N656="","",最佳化斷筋點!N656)</f>
        <v/>
      </c>
      <c r="AN656" s="37" t="str">
        <f>IF(最佳化斷筋點!O656="","",最佳化斷筋點!O656)</f>
        <v/>
      </c>
      <c r="AO656" s="37" t="str">
        <f>IF(最佳化斷筋點!P656="","",最佳化斷筋點!P656)</f>
        <v/>
      </c>
      <c r="AP656" s="37" t="str">
        <f>IF(最佳化斷筋點!Q656="","",最佳化斷筋點!Q656)</f>
        <v/>
      </c>
      <c r="AQ656" s="37" t="str">
        <f>IF(最佳化斷筋點!R656="","",最佳化斷筋點!R656)</f>
        <v/>
      </c>
      <c r="AR656" s="37" t="str">
        <f>IF(最佳化斷筋點!S656="","",最佳化斷筋點!S656)</f>
        <v/>
      </c>
      <c r="AS656" s="37" t="str">
        <f>IF(最佳化斷筋點!T656="","",最佳化斷筋點!T656)</f>
        <v/>
      </c>
      <c r="AT656" s="37" t="str">
        <f>IF(最佳化斷筋點!U656="","",最佳化斷筋點!U656)</f>
        <v/>
      </c>
      <c r="AU656" s="37" t="str">
        <f>IF(最佳化斷筋點!V656="","",最佳化斷筋點!V656)</f>
        <v/>
      </c>
      <c r="AV656" s="37" t="str">
        <f>IF(最佳化斷筋點!W656="","",最佳化斷筋點!W656)</f>
        <v/>
      </c>
      <c r="AW656" s="37" t="str">
        <f>IF(最佳化斷筋點!X656="","",最佳化斷筋點!X656)</f>
        <v/>
      </c>
      <c r="AZ656" s="37" t="s">
        <v>197</v>
      </c>
      <c r="BA656" s="37" t="s">
        <v>197</v>
      </c>
      <c r="BB656" s="37" t="s">
        <v>197</v>
      </c>
      <c r="BC656" s="37" t="s">
        <v>197</v>
      </c>
      <c r="BD656" s="37" t="s">
        <v>197</v>
      </c>
      <c r="BE656" s="37" t="s">
        <v>197</v>
      </c>
      <c r="BF656" s="37" t="s">
        <v>197</v>
      </c>
      <c r="BG656" s="37" t="s">
        <v>197</v>
      </c>
      <c r="BH656" s="37" t="s">
        <v>197</v>
      </c>
      <c r="BI656" s="37" t="s">
        <v>197</v>
      </c>
      <c r="BJ656" s="37" t="s">
        <v>197</v>
      </c>
      <c r="BK656" s="37" t="s">
        <v>197</v>
      </c>
      <c r="BL656" s="37" t="s">
        <v>197</v>
      </c>
      <c r="BM656" s="37" t="s">
        <v>197</v>
      </c>
      <c r="BN656" s="37" t="s">
        <v>197</v>
      </c>
      <c r="BO656" s="37" t="s">
        <v>197</v>
      </c>
      <c r="BP656" s="37" t="s">
        <v>197</v>
      </c>
      <c r="BQ656" s="37" t="s">
        <v>197</v>
      </c>
      <c r="BR656" s="37" t="s">
        <v>197</v>
      </c>
      <c r="BS656" s="37" t="s">
        <v>197</v>
      </c>
      <c r="BT656" s="37" t="s">
        <v>197</v>
      </c>
    </row>
    <row r="657" spans="5:72" x14ac:dyDescent="0.25">
      <c r="E657" s="36" t="s">
        <v>21</v>
      </c>
      <c r="F657" s="36">
        <f t="shared" si="211"/>
        <v>0</v>
      </c>
      <c r="G657" s="36">
        <f t="shared" si="212"/>
        <v>0</v>
      </c>
      <c r="H657" s="36">
        <f t="shared" si="213"/>
        <v>0</v>
      </c>
      <c r="I657" s="36">
        <f t="shared" si="214"/>
        <v>0</v>
      </c>
      <c r="J657" s="36">
        <f t="shared" si="215"/>
        <v>0</v>
      </c>
      <c r="K657" s="36">
        <f t="shared" si="216"/>
        <v>0</v>
      </c>
      <c r="L657" s="36">
        <f t="shared" si="217"/>
        <v>0</v>
      </c>
      <c r="M657" s="36">
        <f t="shared" si="218"/>
        <v>0</v>
      </c>
      <c r="N657" s="36">
        <f t="shared" si="219"/>
        <v>0</v>
      </c>
      <c r="O657" s="36">
        <f t="shared" si="220"/>
        <v>0</v>
      </c>
      <c r="P657" s="36">
        <f t="shared" si="221"/>
        <v>0</v>
      </c>
      <c r="Q657" s="36">
        <f t="shared" si="222"/>
        <v>0</v>
      </c>
      <c r="R657" s="36">
        <f t="shared" si="223"/>
        <v>0</v>
      </c>
      <c r="S657" s="36">
        <f t="shared" si="224"/>
        <v>0</v>
      </c>
      <c r="T657" s="36">
        <f t="shared" si="225"/>
        <v>0</v>
      </c>
      <c r="U657" s="36">
        <f t="shared" si="226"/>
        <v>0</v>
      </c>
      <c r="V657" s="36">
        <f t="shared" si="227"/>
        <v>0</v>
      </c>
      <c r="W657" s="36">
        <f t="shared" si="228"/>
        <v>0</v>
      </c>
      <c r="X657" s="36">
        <f t="shared" si="229"/>
        <v>0</v>
      </c>
      <c r="Y657" s="36">
        <f t="shared" si="230"/>
        <v>0</v>
      </c>
      <c r="Z657" s="36">
        <f t="shared" si="231"/>
        <v>0</v>
      </c>
      <c r="AB657" s="36" t="str">
        <f>IF(最佳化斷筋點!C657="","",最佳化斷筋點!C657)</f>
        <v>下層</v>
      </c>
      <c r="AC657" s="37">
        <f>IF(最佳化斷筋點!D657="","",最佳化斷筋點!D657)</f>
        <v>12</v>
      </c>
      <c r="AD657" s="37">
        <f>IF(最佳化斷筋點!E657="","",最佳化斷筋點!E657)</f>
        <v>12</v>
      </c>
      <c r="AE657" s="37">
        <f>IF(最佳化斷筋點!F657="","",最佳化斷筋點!F657)</f>
        <v>12</v>
      </c>
      <c r="AF657" s="37">
        <f>IF(最佳化斷筋點!G657="","",最佳化斷筋點!G657)</f>
        <v>12</v>
      </c>
      <c r="AG657" s="37">
        <f>IF(最佳化斷筋點!H657="","",最佳化斷筋點!H657)</f>
        <v>12</v>
      </c>
      <c r="AH657" s="37">
        <f>IF(最佳化斷筋點!I657="","",最佳化斷筋點!I657)</f>
        <v>11</v>
      </c>
      <c r="AI657" s="37">
        <f>IF(最佳化斷筋點!J657="","",最佳化斷筋點!J657)</f>
        <v>10</v>
      </c>
      <c r="AJ657" s="37">
        <f>IF(最佳化斷筋點!K657="","",最佳化斷筋點!K657)</f>
        <v>5</v>
      </c>
      <c r="AK657" s="37">
        <f>IF(最佳化斷筋點!L657="","",最佳化斷筋點!L657)</f>
        <v>5</v>
      </c>
      <c r="AL657" s="37">
        <f>IF(最佳化斷筋點!M657="","",最佳化斷筋點!M657)</f>
        <v>5</v>
      </c>
      <c r="AM657" s="37">
        <f>IF(最佳化斷筋點!N657="","",最佳化斷筋點!N657)</f>
        <v>5</v>
      </c>
      <c r="AN657" s="37">
        <f>IF(最佳化斷筋點!O657="","",最佳化斷筋點!O657)</f>
        <v>5</v>
      </c>
      <c r="AO657" s="37">
        <f>IF(最佳化斷筋點!P657="","",最佳化斷筋點!P657)</f>
        <v>5</v>
      </c>
      <c r="AP657" s="37">
        <f>IF(最佳化斷筋點!Q657="","",最佳化斷筋點!Q657)</f>
        <v>8</v>
      </c>
      <c r="AQ657" s="37">
        <f>IF(最佳化斷筋點!R657="","",最佳化斷筋點!R657)</f>
        <v>9</v>
      </c>
      <c r="AR657" s="37">
        <f>IF(最佳化斷筋點!S657="","",最佳化斷筋點!S657)</f>
        <v>10</v>
      </c>
      <c r="AS657" s="37">
        <f>IF(最佳化斷筋點!T657="","",最佳化斷筋點!T657)</f>
        <v>11</v>
      </c>
      <c r="AT657" s="37">
        <f>IF(最佳化斷筋點!U657="","",最佳化斷筋點!U657)</f>
        <v>11</v>
      </c>
      <c r="AU657" s="37">
        <f>IF(最佳化斷筋點!V657="","",最佳化斷筋點!V657)</f>
        <v>11</v>
      </c>
      <c r="AV657" s="37">
        <f>IF(最佳化斷筋點!W657="","",最佳化斷筋點!W657)</f>
        <v>11</v>
      </c>
      <c r="AW657" s="37">
        <f>IF(最佳化斷筋點!X657="","",最佳化斷筋點!X657)</f>
        <v>11</v>
      </c>
      <c r="AZ657" s="37">
        <v>12</v>
      </c>
      <c r="BA657" s="37">
        <v>12</v>
      </c>
      <c r="BB657" s="37">
        <v>12</v>
      </c>
      <c r="BC657" s="37">
        <v>12</v>
      </c>
      <c r="BD657" s="37">
        <v>12</v>
      </c>
      <c r="BE657" s="37">
        <v>11</v>
      </c>
      <c r="BF657" s="37">
        <v>10</v>
      </c>
      <c r="BG657" s="37">
        <v>5</v>
      </c>
      <c r="BH657" s="37">
        <v>5</v>
      </c>
      <c r="BI657" s="37">
        <v>5</v>
      </c>
      <c r="BJ657" s="37">
        <v>5</v>
      </c>
      <c r="BK657" s="37">
        <v>5</v>
      </c>
      <c r="BL657" s="37">
        <v>5</v>
      </c>
      <c r="BM657" s="37">
        <v>8</v>
      </c>
      <c r="BN657" s="37">
        <v>9</v>
      </c>
      <c r="BO657" s="37">
        <v>10</v>
      </c>
      <c r="BP657" s="37">
        <v>11</v>
      </c>
      <c r="BQ657" s="37">
        <v>11</v>
      </c>
      <c r="BR657" s="37">
        <v>11</v>
      </c>
      <c r="BS657" s="37">
        <v>11</v>
      </c>
      <c r="BT657" s="37">
        <v>11</v>
      </c>
    </row>
    <row r="658" spans="5:72" x14ac:dyDescent="0.25">
      <c r="E658" s="36"/>
      <c r="F658" s="36">
        <f t="shared" si="211"/>
        <v>0</v>
      </c>
      <c r="G658" s="36">
        <f t="shared" si="212"/>
        <v>0</v>
      </c>
      <c r="H658" s="36">
        <f t="shared" si="213"/>
        <v>0</v>
      </c>
      <c r="I658" s="36">
        <f t="shared" si="214"/>
        <v>0</v>
      </c>
      <c r="J658" s="36">
        <f t="shared" si="215"/>
        <v>0</v>
      </c>
      <c r="K658" s="36">
        <f t="shared" si="216"/>
        <v>0</v>
      </c>
      <c r="L658" s="36">
        <f t="shared" si="217"/>
        <v>0</v>
      </c>
      <c r="M658" s="36">
        <f t="shared" si="218"/>
        <v>0</v>
      </c>
      <c r="N658" s="36">
        <f t="shared" si="219"/>
        <v>0</v>
      </c>
      <c r="O658" s="36">
        <f t="shared" si="220"/>
        <v>0</v>
      </c>
      <c r="P658" s="36">
        <f t="shared" si="221"/>
        <v>0</v>
      </c>
      <c r="Q658" s="36">
        <f t="shared" si="222"/>
        <v>0</v>
      </c>
      <c r="R658" s="36">
        <f t="shared" si="223"/>
        <v>0</v>
      </c>
      <c r="S658" s="36">
        <f t="shared" si="224"/>
        <v>0</v>
      </c>
      <c r="T658" s="36">
        <f t="shared" si="225"/>
        <v>0</v>
      </c>
      <c r="U658" s="36">
        <f t="shared" si="226"/>
        <v>0</v>
      </c>
      <c r="V658" s="36">
        <f t="shared" si="227"/>
        <v>0</v>
      </c>
      <c r="W658" s="36">
        <f t="shared" si="228"/>
        <v>0</v>
      </c>
      <c r="X658" s="36">
        <f t="shared" si="229"/>
        <v>0</v>
      </c>
      <c r="Y658" s="36">
        <f t="shared" si="230"/>
        <v>0</v>
      </c>
      <c r="Z658" s="36">
        <f t="shared" si="231"/>
        <v>0</v>
      </c>
      <c r="AB658" s="36" t="str">
        <f>IF(最佳化斷筋點!C658="","",最佳化斷筋點!C658)</f>
        <v/>
      </c>
      <c r="AC658" s="37" t="str">
        <f>IF(最佳化斷筋點!D658="","",最佳化斷筋點!D658)</f>
        <v/>
      </c>
      <c r="AD658" s="37" t="str">
        <f>IF(最佳化斷筋點!E658="","",最佳化斷筋點!E658)</f>
        <v/>
      </c>
      <c r="AE658" s="37" t="str">
        <f>IF(最佳化斷筋點!F658="","",最佳化斷筋點!F658)</f>
        <v/>
      </c>
      <c r="AF658" s="37" t="str">
        <f>IF(最佳化斷筋點!G658="","",最佳化斷筋點!G658)</f>
        <v/>
      </c>
      <c r="AG658" s="37" t="str">
        <f>IF(最佳化斷筋點!H658="","",最佳化斷筋點!H658)</f>
        <v/>
      </c>
      <c r="AH658" s="37" t="str">
        <f>IF(最佳化斷筋點!I658="","",最佳化斷筋點!I658)</f>
        <v/>
      </c>
      <c r="AI658" s="37" t="str">
        <f>IF(最佳化斷筋點!J658="","",最佳化斷筋點!J658)</f>
        <v/>
      </c>
      <c r="AJ658" s="37" t="str">
        <f>IF(最佳化斷筋點!K658="","",最佳化斷筋點!K658)</f>
        <v/>
      </c>
      <c r="AK658" s="37" t="str">
        <f>IF(最佳化斷筋點!L658="","",最佳化斷筋點!L658)</f>
        <v/>
      </c>
      <c r="AL658" s="37" t="str">
        <f>IF(最佳化斷筋點!M658="","",最佳化斷筋點!M658)</f>
        <v/>
      </c>
      <c r="AM658" s="37" t="str">
        <f>IF(最佳化斷筋點!N658="","",最佳化斷筋點!N658)</f>
        <v/>
      </c>
      <c r="AN658" s="37" t="str">
        <f>IF(最佳化斷筋點!O658="","",最佳化斷筋點!O658)</f>
        <v/>
      </c>
      <c r="AO658" s="37" t="str">
        <f>IF(最佳化斷筋點!P658="","",最佳化斷筋點!P658)</f>
        <v/>
      </c>
      <c r="AP658" s="37" t="str">
        <f>IF(最佳化斷筋點!Q658="","",最佳化斷筋點!Q658)</f>
        <v/>
      </c>
      <c r="AQ658" s="37" t="str">
        <f>IF(最佳化斷筋點!R658="","",最佳化斷筋點!R658)</f>
        <v/>
      </c>
      <c r="AR658" s="37" t="str">
        <f>IF(最佳化斷筋點!S658="","",最佳化斷筋點!S658)</f>
        <v/>
      </c>
      <c r="AS658" s="37" t="str">
        <f>IF(最佳化斷筋點!T658="","",最佳化斷筋點!T658)</f>
        <v/>
      </c>
      <c r="AT658" s="37" t="str">
        <f>IF(最佳化斷筋點!U658="","",最佳化斷筋點!U658)</f>
        <v/>
      </c>
      <c r="AU658" s="37" t="str">
        <f>IF(最佳化斷筋點!V658="","",最佳化斷筋點!V658)</f>
        <v/>
      </c>
      <c r="AV658" s="37" t="str">
        <f>IF(最佳化斷筋點!W658="","",最佳化斷筋點!W658)</f>
        <v/>
      </c>
      <c r="AW658" s="37" t="str">
        <f>IF(最佳化斷筋點!X658="","",最佳化斷筋點!X658)</f>
        <v/>
      </c>
      <c r="AZ658" s="37" t="s">
        <v>197</v>
      </c>
      <c r="BA658" s="37" t="s">
        <v>197</v>
      </c>
      <c r="BB658" s="37" t="s">
        <v>197</v>
      </c>
      <c r="BC658" s="37" t="s">
        <v>197</v>
      </c>
      <c r="BD658" s="37" t="s">
        <v>197</v>
      </c>
      <c r="BE658" s="37" t="s">
        <v>197</v>
      </c>
      <c r="BF658" s="37" t="s">
        <v>197</v>
      </c>
      <c r="BG658" s="37" t="s">
        <v>197</v>
      </c>
      <c r="BH658" s="37" t="s">
        <v>197</v>
      </c>
      <c r="BI658" s="37" t="s">
        <v>197</v>
      </c>
      <c r="BJ658" s="37" t="s">
        <v>197</v>
      </c>
      <c r="BK658" s="37" t="s">
        <v>197</v>
      </c>
      <c r="BL658" s="37" t="s">
        <v>197</v>
      </c>
      <c r="BM658" s="37" t="s">
        <v>197</v>
      </c>
      <c r="BN658" s="37" t="s">
        <v>197</v>
      </c>
      <c r="BO658" s="37" t="s">
        <v>197</v>
      </c>
      <c r="BP658" s="37" t="s">
        <v>197</v>
      </c>
      <c r="BQ658" s="37" t="s">
        <v>197</v>
      </c>
      <c r="BR658" s="37" t="s">
        <v>197</v>
      </c>
      <c r="BS658" s="37" t="s">
        <v>197</v>
      </c>
      <c r="BT658" s="37" t="s">
        <v>197</v>
      </c>
    </row>
    <row r="659" spans="5:72" x14ac:dyDescent="0.25">
      <c r="E659" s="36" t="s">
        <v>20</v>
      </c>
      <c r="F659" s="36">
        <f t="shared" si="211"/>
        <v>0</v>
      </c>
      <c r="G659" s="36">
        <f t="shared" si="212"/>
        <v>0</v>
      </c>
      <c r="H659" s="36">
        <f t="shared" si="213"/>
        <v>0</v>
      </c>
      <c r="I659" s="36">
        <f t="shared" si="214"/>
        <v>0</v>
      </c>
      <c r="J659" s="36">
        <f t="shared" si="215"/>
        <v>0</v>
      </c>
      <c r="K659" s="36">
        <f t="shared" si="216"/>
        <v>0</v>
      </c>
      <c r="L659" s="36">
        <f t="shared" si="217"/>
        <v>0</v>
      </c>
      <c r="M659" s="36">
        <f t="shared" si="218"/>
        <v>0</v>
      </c>
      <c r="N659" s="36">
        <f t="shared" si="219"/>
        <v>0</v>
      </c>
      <c r="O659" s="36">
        <f t="shared" si="220"/>
        <v>0</v>
      </c>
      <c r="P659" s="36">
        <f t="shared" si="221"/>
        <v>0</v>
      </c>
      <c r="Q659" s="36">
        <f t="shared" si="222"/>
        <v>0</v>
      </c>
      <c r="R659" s="36">
        <f t="shared" si="223"/>
        <v>0</v>
      </c>
      <c r="S659" s="36">
        <f t="shared" si="224"/>
        <v>0</v>
      </c>
      <c r="T659" s="36">
        <f t="shared" si="225"/>
        <v>0</v>
      </c>
      <c r="U659" s="36">
        <f t="shared" si="226"/>
        <v>0</v>
      </c>
      <c r="V659" s="36">
        <f t="shared" si="227"/>
        <v>0</v>
      </c>
      <c r="W659" s="36">
        <f t="shared" si="228"/>
        <v>0</v>
      </c>
      <c r="X659" s="36">
        <f t="shared" si="229"/>
        <v>0</v>
      </c>
      <c r="Y659" s="36">
        <f t="shared" si="230"/>
        <v>0</v>
      </c>
      <c r="Z659" s="36">
        <f t="shared" si="231"/>
        <v>0</v>
      </c>
      <c r="AB659" s="36" t="str">
        <f>IF(最佳化斷筋點!C659="","",最佳化斷筋點!C659)</f>
        <v>上層</v>
      </c>
      <c r="AC659" s="37">
        <f>IF(最佳化斷筋點!D659="","",最佳化斷筋點!D659)</f>
        <v>9</v>
      </c>
      <c r="AD659" s="37">
        <f>IF(最佳化斷筋點!E659="","",最佳化斷筋點!E659)</f>
        <v>9</v>
      </c>
      <c r="AE659" s="37">
        <f>IF(最佳化斷筋點!F659="","",最佳化斷筋點!F659)</f>
        <v>9</v>
      </c>
      <c r="AF659" s="37">
        <f>IF(最佳化斷筋點!G659="","",最佳化斷筋點!G659)</f>
        <v>9</v>
      </c>
      <c r="AG659" s="37">
        <f>IF(最佳化斷筋點!H659="","",最佳化斷筋點!H659)</f>
        <v>9</v>
      </c>
      <c r="AH659" s="37">
        <f>IF(最佳化斷筋點!I659="","",最佳化斷筋點!I659)</f>
        <v>9</v>
      </c>
      <c r="AI659" s="37">
        <f>IF(最佳化斷筋點!J659="","",最佳化斷筋點!J659)</f>
        <v>9</v>
      </c>
      <c r="AJ659" s="37">
        <f>IF(最佳化斷筋點!K659="","",最佳化斷筋點!K659)</f>
        <v>3</v>
      </c>
      <c r="AK659" s="37">
        <f>IF(最佳化斷筋點!L659="","",最佳化斷筋點!L659)</f>
        <v>3</v>
      </c>
      <c r="AL659" s="37">
        <f>IF(最佳化斷筋點!M659="","",最佳化斷筋點!M659)</f>
        <v>3</v>
      </c>
      <c r="AM659" s="37">
        <f>IF(最佳化斷筋點!N659="","",最佳化斷筋點!N659)</f>
        <v>3</v>
      </c>
      <c r="AN659" s="37">
        <f>IF(最佳化斷筋點!O659="","",最佳化斷筋點!O659)</f>
        <v>3</v>
      </c>
      <c r="AO659" s="37">
        <f>IF(最佳化斷筋點!P659="","",最佳化斷筋點!P659)</f>
        <v>3</v>
      </c>
      <c r="AP659" s="37">
        <f>IF(最佳化斷筋點!Q659="","",最佳化斷筋點!Q659)</f>
        <v>6</v>
      </c>
      <c r="AQ659" s="37">
        <f>IF(最佳化斷筋點!R659="","",最佳化斷筋點!R659)</f>
        <v>7</v>
      </c>
      <c r="AR659" s="37">
        <f>IF(最佳化斷筋點!S659="","",最佳化斷筋點!S659)</f>
        <v>8</v>
      </c>
      <c r="AS659" s="37">
        <f>IF(最佳化斷筋點!T659="","",最佳化斷筋點!T659)</f>
        <v>8</v>
      </c>
      <c r="AT659" s="37">
        <f>IF(最佳化斷筋點!U659="","",最佳化斷筋點!U659)</f>
        <v>8</v>
      </c>
      <c r="AU659" s="37">
        <f>IF(最佳化斷筋點!V659="","",最佳化斷筋點!V659)</f>
        <v>8</v>
      </c>
      <c r="AV659" s="37">
        <f>IF(最佳化斷筋點!W659="","",最佳化斷筋點!W659)</f>
        <v>8</v>
      </c>
      <c r="AW659" s="37">
        <f>IF(最佳化斷筋點!X659="","",最佳化斷筋點!X659)</f>
        <v>8</v>
      </c>
      <c r="AZ659" s="37">
        <v>9</v>
      </c>
      <c r="BA659" s="37">
        <v>9</v>
      </c>
      <c r="BB659" s="37">
        <v>9</v>
      </c>
      <c r="BC659" s="37">
        <v>9</v>
      </c>
      <c r="BD659" s="37">
        <v>9</v>
      </c>
      <c r="BE659" s="37">
        <v>9</v>
      </c>
      <c r="BF659" s="37">
        <v>9</v>
      </c>
      <c r="BG659" s="37">
        <v>3</v>
      </c>
      <c r="BH659" s="37">
        <v>3</v>
      </c>
      <c r="BI659" s="37">
        <v>3</v>
      </c>
      <c r="BJ659" s="37">
        <v>3</v>
      </c>
      <c r="BK659" s="37">
        <v>3</v>
      </c>
      <c r="BL659" s="37">
        <v>3</v>
      </c>
      <c r="BM659" s="37">
        <v>6</v>
      </c>
      <c r="BN659" s="37">
        <v>7</v>
      </c>
      <c r="BO659" s="37">
        <v>8</v>
      </c>
      <c r="BP659" s="37">
        <v>8</v>
      </c>
      <c r="BQ659" s="37">
        <v>8</v>
      </c>
      <c r="BR659" s="37">
        <v>8</v>
      </c>
      <c r="BS659" s="37">
        <v>8</v>
      </c>
      <c r="BT659" s="37">
        <v>8</v>
      </c>
    </row>
    <row r="660" spans="5:72" x14ac:dyDescent="0.25">
      <c r="E660" s="36"/>
      <c r="F660" s="36">
        <f t="shared" si="211"/>
        <v>0</v>
      </c>
      <c r="G660" s="36">
        <f t="shared" si="212"/>
        <v>0</v>
      </c>
      <c r="H660" s="36">
        <f t="shared" si="213"/>
        <v>0</v>
      </c>
      <c r="I660" s="36">
        <f t="shared" si="214"/>
        <v>0</v>
      </c>
      <c r="J660" s="36">
        <f t="shared" si="215"/>
        <v>0</v>
      </c>
      <c r="K660" s="36">
        <f t="shared" si="216"/>
        <v>0</v>
      </c>
      <c r="L660" s="36">
        <f t="shared" si="217"/>
        <v>0</v>
      </c>
      <c r="M660" s="36">
        <f t="shared" si="218"/>
        <v>0</v>
      </c>
      <c r="N660" s="36">
        <f t="shared" si="219"/>
        <v>0</v>
      </c>
      <c r="O660" s="36">
        <f t="shared" si="220"/>
        <v>0</v>
      </c>
      <c r="P660" s="36">
        <f t="shared" si="221"/>
        <v>0</v>
      </c>
      <c r="Q660" s="36">
        <f t="shared" si="222"/>
        <v>0</v>
      </c>
      <c r="R660" s="36">
        <f t="shared" si="223"/>
        <v>0</v>
      </c>
      <c r="S660" s="36">
        <f t="shared" si="224"/>
        <v>0</v>
      </c>
      <c r="T660" s="36">
        <f t="shared" si="225"/>
        <v>0</v>
      </c>
      <c r="U660" s="36">
        <f t="shared" si="226"/>
        <v>0</v>
      </c>
      <c r="V660" s="36">
        <f t="shared" si="227"/>
        <v>0</v>
      </c>
      <c r="W660" s="36">
        <f t="shared" si="228"/>
        <v>0</v>
      </c>
      <c r="X660" s="36">
        <f t="shared" si="229"/>
        <v>0</v>
      </c>
      <c r="Y660" s="36">
        <f t="shared" si="230"/>
        <v>0</v>
      </c>
      <c r="Z660" s="36">
        <f t="shared" si="231"/>
        <v>0</v>
      </c>
      <c r="AB660" s="36" t="str">
        <f>IF(最佳化斷筋點!C660="","",最佳化斷筋點!C660)</f>
        <v/>
      </c>
      <c r="AC660" s="37" t="str">
        <f>IF(最佳化斷筋點!D660="","",最佳化斷筋點!D660)</f>
        <v/>
      </c>
      <c r="AD660" s="37" t="str">
        <f>IF(最佳化斷筋點!E660="","",最佳化斷筋點!E660)</f>
        <v/>
      </c>
      <c r="AE660" s="37" t="str">
        <f>IF(最佳化斷筋點!F660="","",最佳化斷筋點!F660)</f>
        <v/>
      </c>
      <c r="AF660" s="37" t="str">
        <f>IF(最佳化斷筋點!G660="","",最佳化斷筋點!G660)</f>
        <v/>
      </c>
      <c r="AG660" s="37" t="str">
        <f>IF(最佳化斷筋點!H660="","",最佳化斷筋點!H660)</f>
        <v/>
      </c>
      <c r="AH660" s="37" t="str">
        <f>IF(最佳化斷筋點!I660="","",最佳化斷筋點!I660)</f>
        <v/>
      </c>
      <c r="AI660" s="37" t="str">
        <f>IF(最佳化斷筋點!J660="","",最佳化斷筋點!J660)</f>
        <v/>
      </c>
      <c r="AJ660" s="37" t="str">
        <f>IF(最佳化斷筋點!K660="","",最佳化斷筋點!K660)</f>
        <v/>
      </c>
      <c r="AK660" s="37" t="str">
        <f>IF(最佳化斷筋點!L660="","",最佳化斷筋點!L660)</f>
        <v/>
      </c>
      <c r="AL660" s="37" t="str">
        <f>IF(最佳化斷筋點!M660="","",最佳化斷筋點!M660)</f>
        <v/>
      </c>
      <c r="AM660" s="37" t="str">
        <f>IF(最佳化斷筋點!N660="","",最佳化斷筋點!N660)</f>
        <v/>
      </c>
      <c r="AN660" s="37" t="str">
        <f>IF(最佳化斷筋點!O660="","",最佳化斷筋點!O660)</f>
        <v/>
      </c>
      <c r="AO660" s="37" t="str">
        <f>IF(最佳化斷筋點!P660="","",最佳化斷筋點!P660)</f>
        <v/>
      </c>
      <c r="AP660" s="37" t="str">
        <f>IF(最佳化斷筋點!Q660="","",最佳化斷筋點!Q660)</f>
        <v/>
      </c>
      <c r="AQ660" s="37" t="str">
        <f>IF(最佳化斷筋點!R660="","",最佳化斷筋點!R660)</f>
        <v/>
      </c>
      <c r="AR660" s="37" t="str">
        <f>IF(最佳化斷筋點!S660="","",最佳化斷筋點!S660)</f>
        <v/>
      </c>
      <c r="AS660" s="37" t="str">
        <f>IF(最佳化斷筋點!T660="","",最佳化斷筋點!T660)</f>
        <v/>
      </c>
      <c r="AT660" s="37" t="str">
        <f>IF(最佳化斷筋點!U660="","",最佳化斷筋點!U660)</f>
        <v/>
      </c>
      <c r="AU660" s="37" t="str">
        <f>IF(最佳化斷筋點!V660="","",最佳化斷筋點!V660)</f>
        <v/>
      </c>
      <c r="AV660" s="37" t="str">
        <f>IF(最佳化斷筋點!W660="","",最佳化斷筋點!W660)</f>
        <v/>
      </c>
      <c r="AW660" s="37" t="str">
        <f>IF(最佳化斷筋點!X660="","",最佳化斷筋點!X660)</f>
        <v/>
      </c>
      <c r="AZ660" s="37" t="s">
        <v>197</v>
      </c>
      <c r="BA660" s="37" t="s">
        <v>197</v>
      </c>
      <c r="BB660" s="37" t="s">
        <v>197</v>
      </c>
      <c r="BC660" s="37" t="s">
        <v>197</v>
      </c>
      <c r="BD660" s="37" t="s">
        <v>197</v>
      </c>
      <c r="BE660" s="37" t="s">
        <v>197</v>
      </c>
      <c r="BF660" s="37" t="s">
        <v>197</v>
      </c>
      <c r="BG660" s="37" t="s">
        <v>197</v>
      </c>
      <c r="BH660" s="37" t="s">
        <v>197</v>
      </c>
      <c r="BI660" s="37" t="s">
        <v>197</v>
      </c>
      <c r="BJ660" s="37" t="s">
        <v>197</v>
      </c>
      <c r="BK660" s="37" t="s">
        <v>197</v>
      </c>
      <c r="BL660" s="37" t="s">
        <v>197</v>
      </c>
      <c r="BM660" s="37" t="s">
        <v>197</v>
      </c>
      <c r="BN660" s="37" t="s">
        <v>197</v>
      </c>
      <c r="BO660" s="37" t="s">
        <v>197</v>
      </c>
      <c r="BP660" s="37" t="s">
        <v>197</v>
      </c>
      <c r="BQ660" s="37" t="s">
        <v>197</v>
      </c>
      <c r="BR660" s="37" t="s">
        <v>197</v>
      </c>
      <c r="BS660" s="37" t="s">
        <v>197</v>
      </c>
      <c r="BT660" s="37" t="s">
        <v>197</v>
      </c>
    </row>
    <row r="661" spans="5:72" x14ac:dyDescent="0.25">
      <c r="E661" s="36" t="s">
        <v>21</v>
      </c>
      <c r="F661" s="36">
        <f t="shared" si="211"/>
        <v>0</v>
      </c>
      <c r="G661" s="36">
        <f t="shared" si="212"/>
        <v>0</v>
      </c>
      <c r="H661" s="36">
        <f t="shared" si="213"/>
        <v>0</v>
      </c>
      <c r="I661" s="36">
        <f t="shared" si="214"/>
        <v>0</v>
      </c>
      <c r="J661" s="36">
        <f t="shared" si="215"/>
        <v>0</v>
      </c>
      <c r="K661" s="36">
        <f t="shared" si="216"/>
        <v>0</v>
      </c>
      <c r="L661" s="36">
        <f t="shared" si="217"/>
        <v>0</v>
      </c>
      <c r="M661" s="36">
        <f t="shared" si="218"/>
        <v>0</v>
      </c>
      <c r="N661" s="36">
        <f t="shared" si="219"/>
        <v>0</v>
      </c>
      <c r="O661" s="36">
        <f t="shared" si="220"/>
        <v>0</v>
      </c>
      <c r="P661" s="36">
        <f t="shared" si="221"/>
        <v>0</v>
      </c>
      <c r="Q661" s="36">
        <f t="shared" si="222"/>
        <v>0</v>
      </c>
      <c r="R661" s="36">
        <f t="shared" si="223"/>
        <v>0</v>
      </c>
      <c r="S661" s="36">
        <f t="shared" si="224"/>
        <v>0</v>
      </c>
      <c r="T661" s="36">
        <f t="shared" si="225"/>
        <v>0</v>
      </c>
      <c r="U661" s="36">
        <f t="shared" si="226"/>
        <v>0</v>
      </c>
      <c r="V661" s="36">
        <f t="shared" si="227"/>
        <v>0</v>
      </c>
      <c r="W661" s="36">
        <f t="shared" si="228"/>
        <v>0</v>
      </c>
      <c r="X661" s="36">
        <f t="shared" si="229"/>
        <v>0</v>
      </c>
      <c r="Y661" s="36">
        <f t="shared" si="230"/>
        <v>0</v>
      </c>
      <c r="Z661" s="36">
        <f t="shared" si="231"/>
        <v>0</v>
      </c>
      <c r="AB661" s="36" t="str">
        <f>IF(最佳化斷筋點!C661="","",最佳化斷筋點!C661)</f>
        <v>下層</v>
      </c>
      <c r="AC661" s="37">
        <f>IF(最佳化斷筋點!D661="","",最佳化斷筋點!D661)</f>
        <v>11</v>
      </c>
      <c r="AD661" s="37">
        <f>IF(最佳化斷筋點!E661="","",最佳化斷筋點!E661)</f>
        <v>11</v>
      </c>
      <c r="AE661" s="37">
        <f>IF(最佳化斷筋點!F661="","",最佳化斷筋點!F661)</f>
        <v>11</v>
      </c>
      <c r="AF661" s="37">
        <f>IF(最佳化斷筋點!G661="","",最佳化斷筋點!G661)</f>
        <v>11</v>
      </c>
      <c r="AG661" s="37">
        <f>IF(最佳化斷筋點!H661="","",最佳化斷筋點!H661)</f>
        <v>11</v>
      </c>
      <c r="AH661" s="37">
        <f>IF(最佳化斷筋點!I661="","",最佳化斷筋點!I661)</f>
        <v>10</v>
      </c>
      <c r="AI661" s="37">
        <f>IF(最佳化斷筋點!J661="","",最佳化斷筋點!J661)</f>
        <v>9</v>
      </c>
      <c r="AJ661" s="37">
        <f>IF(最佳化斷筋點!K661="","",最佳化斷筋點!K661)</f>
        <v>5</v>
      </c>
      <c r="AK661" s="37">
        <f>IF(最佳化斷筋點!L661="","",最佳化斷筋點!L661)</f>
        <v>5</v>
      </c>
      <c r="AL661" s="37">
        <f>IF(最佳化斷筋點!M661="","",最佳化斷筋點!M661)</f>
        <v>5</v>
      </c>
      <c r="AM661" s="37">
        <f>IF(最佳化斷筋點!N661="","",最佳化斷筋點!N661)</f>
        <v>5</v>
      </c>
      <c r="AN661" s="37">
        <f>IF(最佳化斷筋點!O661="","",最佳化斷筋點!O661)</f>
        <v>5</v>
      </c>
      <c r="AO661" s="37">
        <f>IF(最佳化斷筋點!P661="","",最佳化斷筋點!P661)</f>
        <v>5</v>
      </c>
      <c r="AP661" s="37">
        <f>IF(最佳化斷筋點!Q661="","",最佳化斷筋點!Q661)</f>
        <v>8</v>
      </c>
      <c r="AQ661" s="37">
        <f>IF(最佳化斷筋點!R661="","",最佳化斷筋點!R661)</f>
        <v>9</v>
      </c>
      <c r="AR661" s="37">
        <f>IF(最佳化斷筋點!S661="","",最佳化斷筋點!S661)</f>
        <v>10</v>
      </c>
      <c r="AS661" s="37">
        <f>IF(最佳化斷筋點!T661="","",最佳化斷筋點!T661)</f>
        <v>11</v>
      </c>
      <c r="AT661" s="37">
        <f>IF(最佳化斷筋點!U661="","",最佳化斷筋點!U661)</f>
        <v>11</v>
      </c>
      <c r="AU661" s="37">
        <f>IF(最佳化斷筋點!V661="","",最佳化斷筋點!V661)</f>
        <v>11</v>
      </c>
      <c r="AV661" s="37">
        <f>IF(最佳化斷筋點!W661="","",最佳化斷筋點!W661)</f>
        <v>11</v>
      </c>
      <c r="AW661" s="37">
        <f>IF(最佳化斷筋點!X661="","",最佳化斷筋點!X661)</f>
        <v>11</v>
      </c>
      <c r="AZ661" s="37">
        <v>11</v>
      </c>
      <c r="BA661" s="37">
        <v>11</v>
      </c>
      <c r="BB661" s="37">
        <v>11</v>
      </c>
      <c r="BC661" s="37">
        <v>11</v>
      </c>
      <c r="BD661" s="37">
        <v>11</v>
      </c>
      <c r="BE661" s="37">
        <v>10</v>
      </c>
      <c r="BF661" s="37">
        <v>9</v>
      </c>
      <c r="BG661" s="37">
        <v>5</v>
      </c>
      <c r="BH661" s="37">
        <v>5</v>
      </c>
      <c r="BI661" s="37">
        <v>5</v>
      </c>
      <c r="BJ661" s="37">
        <v>5</v>
      </c>
      <c r="BK661" s="37">
        <v>5</v>
      </c>
      <c r="BL661" s="37">
        <v>5</v>
      </c>
      <c r="BM661" s="37">
        <v>8</v>
      </c>
      <c r="BN661" s="37">
        <v>9</v>
      </c>
      <c r="BO661" s="37">
        <v>10</v>
      </c>
      <c r="BP661" s="37">
        <v>11</v>
      </c>
      <c r="BQ661" s="37">
        <v>11</v>
      </c>
      <c r="BR661" s="37">
        <v>11</v>
      </c>
      <c r="BS661" s="37">
        <v>11</v>
      </c>
      <c r="BT661" s="37">
        <v>11</v>
      </c>
    </row>
    <row r="662" spans="5:72" x14ac:dyDescent="0.25">
      <c r="E662" s="36"/>
      <c r="F662" s="36">
        <f t="shared" si="211"/>
        <v>0</v>
      </c>
      <c r="G662" s="36">
        <f t="shared" si="212"/>
        <v>0</v>
      </c>
      <c r="H662" s="36">
        <f t="shared" si="213"/>
        <v>0</v>
      </c>
      <c r="I662" s="36">
        <f t="shared" si="214"/>
        <v>0</v>
      </c>
      <c r="J662" s="36">
        <f t="shared" si="215"/>
        <v>0</v>
      </c>
      <c r="K662" s="36">
        <f t="shared" si="216"/>
        <v>0</v>
      </c>
      <c r="L662" s="36">
        <f t="shared" si="217"/>
        <v>0</v>
      </c>
      <c r="M662" s="36">
        <f t="shared" si="218"/>
        <v>0</v>
      </c>
      <c r="N662" s="36">
        <f t="shared" si="219"/>
        <v>0</v>
      </c>
      <c r="O662" s="36">
        <f t="shared" si="220"/>
        <v>0</v>
      </c>
      <c r="P662" s="36">
        <f t="shared" si="221"/>
        <v>0</v>
      </c>
      <c r="Q662" s="36">
        <f t="shared" si="222"/>
        <v>0</v>
      </c>
      <c r="R662" s="36">
        <f t="shared" si="223"/>
        <v>0</v>
      </c>
      <c r="S662" s="36">
        <f t="shared" si="224"/>
        <v>0</v>
      </c>
      <c r="T662" s="36">
        <f t="shared" si="225"/>
        <v>0</v>
      </c>
      <c r="U662" s="36">
        <f t="shared" si="226"/>
        <v>0</v>
      </c>
      <c r="V662" s="36">
        <f t="shared" si="227"/>
        <v>0</v>
      </c>
      <c r="W662" s="36">
        <f t="shared" si="228"/>
        <v>0</v>
      </c>
      <c r="X662" s="36">
        <f t="shared" si="229"/>
        <v>0</v>
      </c>
      <c r="Y662" s="36">
        <f t="shared" si="230"/>
        <v>0</v>
      </c>
      <c r="Z662" s="36">
        <f t="shared" si="231"/>
        <v>0</v>
      </c>
      <c r="AB662" s="36" t="str">
        <f>IF(最佳化斷筋點!C662="","",最佳化斷筋點!C662)</f>
        <v/>
      </c>
      <c r="AC662" s="37" t="str">
        <f>IF(最佳化斷筋點!D662="","",最佳化斷筋點!D662)</f>
        <v/>
      </c>
      <c r="AD662" s="37" t="str">
        <f>IF(最佳化斷筋點!E662="","",最佳化斷筋點!E662)</f>
        <v/>
      </c>
      <c r="AE662" s="37" t="str">
        <f>IF(最佳化斷筋點!F662="","",最佳化斷筋點!F662)</f>
        <v/>
      </c>
      <c r="AF662" s="37" t="str">
        <f>IF(最佳化斷筋點!G662="","",最佳化斷筋點!G662)</f>
        <v/>
      </c>
      <c r="AG662" s="37" t="str">
        <f>IF(最佳化斷筋點!H662="","",最佳化斷筋點!H662)</f>
        <v/>
      </c>
      <c r="AH662" s="37" t="str">
        <f>IF(最佳化斷筋點!I662="","",最佳化斷筋點!I662)</f>
        <v/>
      </c>
      <c r="AI662" s="37" t="str">
        <f>IF(最佳化斷筋點!J662="","",最佳化斷筋點!J662)</f>
        <v/>
      </c>
      <c r="AJ662" s="37" t="str">
        <f>IF(最佳化斷筋點!K662="","",最佳化斷筋點!K662)</f>
        <v/>
      </c>
      <c r="AK662" s="37" t="str">
        <f>IF(最佳化斷筋點!L662="","",最佳化斷筋點!L662)</f>
        <v/>
      </c>
      <c r="AL662" s="37" t="str">
        <f>IF(最佳化斷筋點!M662="","",最佳化斷筋點!M662)</f>
        <v/>
      </c>
      <c r="AM662" s="37" t="str">
        <f>IF(最佳化斷筋點!N662="","",最佳化斷筋點!N662)</f>
        <v/>
      </c>
      <c r="AN662" s="37" t="str">
        <f>IF(最佳化斷筋點!O662="","",最佳化斷筋點!O662)</f>
        <v/>
      </c>
      <c r="AO662" s="37" t="str">
        <f>IF(最佳化斷筋點!P662="","",最佳化斷筋點!P662)</f>
        <v/>
      </c>
      <c r="AP662" s="37" t="str">
        <f>IF(最佳化斷筋點!Q662="","",最佳化斷筋點!Q662)</f>
        <v/>
      </c>
      <c r="AQ662" s="37" t="str">
        <f>IF(最佳化斷筋點!R662="","",最佳化斷筋點!R662)</f>
        <v/>
      </c>
      <c r="AR662" s="37" t="str">
        <f>IF(最佳化斷筋點!S662="","",最佳化斷筋點!S662)</f>
        <v/>
      </c>
      <c r="AS662" s="37" t="str">
        <f>IF(最佳化斷筋點!T662="","",最佳化斷筋點!T662)</f>
        <v/>
      </c>
      <c r="AT662" s="37" t="str">
        <f>IF(最佳化斷筋點!U662="","",最佳化斷筋點!U662)</f>
        <v/>
      </c>
      <c r="AU662" s="37" t="str">
        <f>IF(最佳化斷筋點!V662="","",最佳化斷筋點!V662)</f>
        <v/>
      </c>
      <c r="AV662" s="37" t="str">
        <f>IF(最佳化斷筋點!W662="","",最佳化斷筋點!W662)</f>
        <v/>
      </c>
      <c r="AW662" s="37" t="str">
        <f>IF(最佳化斷筋點!X662="","",最佳化斷筋點!X662)</f>
        <v/>
      </c>
      <c r="AZ662" s="37" t="s">
        <v>197</v>
      </c>
      <c r="BA662" s="37" t="s">
        <v>197</v>
      </c>
      <c r="BB662" s="37" t="s">
        <v>197</v>
      </c>
      <c r="BC662" s="37" t="s">
        <v>197</v>
      </c>
      <c r="BD662" s="37" t="s">
        <v>197</v>
      </c>
      <c r="BE662" s="37" t="s">
        <v>197</v>
      </c>
      <c r="BF662" s="37" t="s">
        <v>197</v>
      </c>
      <c r="BG662" s="37" t="s">
        <v>197</v>
      </c>
      <c r="BH662" s="37" t="s">
        <v>197</v>
      </c>
      <c r="BI662" s="37" t="s">
        <v>197</v>
      </c>
      <c r="BJ662" s="37" t="s">
        <v>197</v>
      </c>
      <c r="BK662" s="37" t="s">
        <v>197</v>
      </c>
      <c r="BL662" s="37" t="s">
        <v>197</v>
      </c>
      <c r="BM662" s="37" t="s">
        <v>197</v>
      </c>
      <c r="BN662" s="37" t="s">
        <v>197</v>
      </c>
      <c r="BO662" s="37" t="s">
        <v>197</v>
      </c>
      <c r="BP662" s="37" t="s">
        <v>197</v>
      </c>
      <c r="BQ662" s="37" t="s">
        <v>197</v>
      </c>
      <c r="BR662" s="37" t="s">
        <v>197</v>
      </c>
      <c r="BS662" s="37" t="s">
        <v>197</v>
      </c>
      <c r="BT662" s="37" t="s">
        <v>197</v>
      </c>
    </row>
    <row r="663" spans="5:72" x14ac:dyDescent="0.25">
      <c r="E663" s="36" t="s">
        <v>20</v>
      </c>
      <c r="F663" s="36">
        <f t="shared" si="211"/>
        <v>0</v>
      </c>
      <c r="G663" s="36">
        <f t="shared" si="212"/>
        <v>0</v>
      </c>
      <c r="H663" s="36">
        <f t="shared" si="213"/>
        <v>0</v>
      </c>
      <c r="I663" s="36">
        <f t="shared" si="214"/>
        <v>0</v>
      </c>
      <c r="J663" s="36">
        <f t="shared" si="215"/>
        <v>0</v>
      </c>
      <c r="K663" s="36">
        <f t="shared" si="216"/>
        <v>0</v>
      </c>
      <c r="L663" s="36">
        <f t="shared" si="217"/>
        <v>0</v>
      </c>
      <c r="M663" s="36">
        <f t="shared" si="218"/>
        <v>0</v>
      </c>
      <c r="N663" s="36">
        <f t="shared" si="219"/>
        <v>0</v>
      </c>
      <c r="O663" s="36">
        <f t="shared" si="220"/>
        <v>0</v>
      </c>
      <c r="P663" s="36">
        <f t="shared" si="221"/>
        <v>0</v>
      </c>
      <c r="Q663" s="36">
        <f t="shared" si="222"/>
        <v>0</v>
      </c>
      <c r="R663" s="36">
        <f t="shared" si="223"/>
        <v>0</v>
      </c>
      <c r="S663" s="36">
        <f t="shared" si="224"/>
        <v>0</v>
      </c>
      <c r="T663" s="36">
        <f t="shared" si="225"/>
        <v>0</v>
      </c>
      <c r="U663" s="36">
        <f t="shared" si="226"/>
        <v>0</v>
      </c>
      <c r="V663" s="36">
        <f t="shared" si="227"/>
        <v>0</v>
      </c>
      <c r="W663" s="36">
        <f t="shared" si="228"/>
        <v>0</v>
      </c>
      <c r="X663" s="36">
        <f t="shared" si="229"/>
        <v>0</v>
      </c>
      <c r="Y663" s="36">
        <f t="shared" si="230"/>
        <v>0</v>
      </c>
      <c r="Z663" s="36">
        <f t="shared" si="231"/>
        <v>0</v>
      </c>
      <c r="AB663" s="36" t="str">
        <f>IF(最佳化斷筋點!C663="","",最佳化斷筋點!C663)</f>
        <v>上層</v>
      </c>
      <c r="AC663" s="37">
        <f>IF(最佳化斷筋點!D663="","",最佳化斷筋點!D663)</f>
        <v>8</v>
      </c>
      <c r="AD663" s="37">
        <f>IF(最佳化斷筋點!E663="","",最佳化斷筋點!E663)</f>
        <v>8</v>
      </c>
      <c r="AE663" s="37">
        <f>IF(最佳化斷筋點!F663="","",最佳化斷筋點!F663)</f>
        <v>8</v>
      </c>
      <c r="AF663" s="37">
        <f>IF(最佳化斷筋點!G663="","",最佳化斷筋點!G663)</f>
        <v>8</v>
      </c>
      <c r="AG663" s="37">
        <f>IF(最佳化斷筋點!H663="","",最佳化斷筋點!H663)</f>
        <v>8</v>
      </c>
      <c r="AH663" s="37">
        <f>IF(最佳化斷筋點!I663="","",最佳化斷筋點!I663)</f>
        <v>8</v>
      </c>
      <c r="AI663" s="37">
        <f>IF(最佳化斷筋點!J663="","",最佳化斷筋點!J663)</f>
        <v>8</v>
      </c>
      <c r="AJ663" s="37">
        <f>IF(最佳化斷筋點!K663="","",最佳化斷筋點!K663)</f>
        <v>8</v>
      </c>
      <c r="AK663" s="37">
        <f>IF(最佳化斷筋點!L663="","",最佳化斷筋點!L663)</f>
        <v>8</v>
      </c>
      <c r="AL663" s="37">
        <f>IF(最佳化斷筋點!M663="","",最佳化斷筋點!M663)</f>
        <v>7</v>
      </c>
      <c r="AM663" s="37">
        <f>IF(最佳化斷筋點!N663="","",最佳化斷筋點!N663)</f>
        <v>6</v>
      </c>
      <c r="AN663" s="37">
        <f>IF(最佳化斷筋點!O663="","",最佳化斷筋點!O663)</f>
        <v>6</v>
      </c>
      <c r="AO663" s="37">
        <f>IF(最佳化斷筋點!P663="","",最佳化斷筋點!P663)</f>
        <v>7</v>
      </c>
      <c r="AP663" s="37">
        <f>IF(最佳化斷筋點!Q663="","",最佳化斷筋點!Q663)</f>
        <v>8</v>
      </c>
      <c r="AQ663" s="37">
        <f>IF(最佳化斷筋點!R663="","",最佳化斷筋點!R663)</f>
        <v>8</v>
      </c>
      <c r="AR663" s="37">
        <f>IF(最佳化斷筋點!S663="","",最佳化斷筋點!S663)</f>
        <v>8</v>
      </c>
      <c r="AS663" s="37">
        <f>IF(最佳化斷筋點!T663="","",最佳化斷筋點!T663)</f>
        <v>8</v>
      </c>
      <c r="AT663" s="37">
        <f>IF(最佳化斷筋點!U663="","",最佳化斷筋點!U663)</f>
        <v>8</v>
      </c>
      <c r="AU663" s="37">
        <f>IF(最佳化斷筋點!V663="","",最佳化斷筋點!V663)</f>
        <v>8</v>
      </c>
      <c r="AV663" s="37">
        <f>IF(最佳化斷筋點!W663="","",最佳化斷筋點!W663)</f>
        <v>8</v>
      </c>
      <c r="AW663" s="37">
        <f>IF(最佳化斷筋點!X663="","",最佳化斷筋點!X663)</f>
        <v>8</v>
      </c>
      <c r="AZ663" s="37">
        <v>8</v>
      </c>
      <c r="BA663" s="37">
        <v>8</v>
      </c>
      <c r="BB663" s="37">
        <v>8</v>
      </c>
      <c r="BC663" s="37">
        <v>8</v>
      </c>
      <c r="BD663" s="37">
        <v>8</v>
      </c>
      <c r="BE663" s="37">
        <v>8</v>
      </c>
      <c r="BF663" s="37">
        <v>8</v>
      </c>
      <c r="BG663" s="37">
        <v>8</v>
      </c>
      <c r="BH663" s="37">
        <v>8</v>
      </c>
      <c r="BI663" s="37">
        <v>7</v>
      </c>
      <c r="BJ663" s="37">
        <v>6</v>
      </c>
      <c r="BK663" s="37">
        <v>6</v>
      </c>
      <c r="BL663" s="37">
        <v>7</v>
      </c>
      <c r="BM663" s="37">
        <v>8</v>
      </c>
      <c r="BN663" s="37">
        <v>8</v>
      </c>
      <c r="BO663" s="37">
        <v>8</v>
      </c>
      <c r="BP663" s="37">
        <v>8</v>
      </c>
      <c r="BQ663" s="37">
        <v>8</v>
      </c>
      <c r="BR663" s="37">
        <v>8</v>
      </c>
      <c r="BS663" s="37">
        <v>8</v>
      </c>
      <c r="BT663" s="37">
        <v>8</v>
      </c>
    </row>
    <row r="664" spans="5:72" x14ac:dyDescent="0.25">
      <c r="E664" s="36"/>
      <c r="F664" s="36">
        <f t="shared" si="211"/>
        <v>0</v>
      </c>
      <c r="G664" s="36">
        <f t="shared" si="212"/>
        <v>0</v>
      </c>
      <c r="H664" s="36">
        <f t="shared" si="213"/>
        <v>0</v>
      </c>
      <c r="I664" s="36">
        <f t="shared" si="214"/>
        <v>0</v>
      </c>
      <c r="J664" s="36">
        <f t="shared" si="215"/>
        <v>0</v>
      </c>
      <c r="K664" s="36">
        <f t="shared" si="216"/>
        <v>0</v>
      </c>
      <c r="L664" s="36">
        <f t="shared" si="217"/>
        <v>0</v>
      </c>
      <c r="M664" s="36">
        <f t="shared" si="218"/>
        <v>0</v>
      </c>
      <c r="N664" s="36">
        <f t="shared" si="219"/>
        <v>0</v>
      </c>
      <c r="O664" s="36">
        <f t="shared" si="220"/>
        <v>0</v>
      </c>
      <c r="P664" s="36">
        <f t="shared" si="221"/>
        <v>0</v>
      </c>
      <c r="Q664" s="36">
        <f t="shared" si="222"/>
        <v>0</v>
      </c>
      <c r="R664" s="36">
        <f t="shared" si="223"/>
        <v>0</v>
      </c>
      <c r="S664" s="36">
        <f t="shared" si="224"/>
        <v>0</v>
      </c>
      <c r="T664" s="36">
        <f t="shared" si="225"/>
        <v>0</v>
      </c>
      <c r="U664" s="36">
        <f t="shared" si="226"/>
        <v>0</v>
      </c>
      <c r="V664" s="36">
        <f t="shared" si="227"/>
        <v>0</v>
      </c>
      <c r="W664" s="36">
        <f t="shared" si="228"/>
        <v>0</v>
      </c>
      <c r="X664" s="36">
        <f t="shared" si="229"/>
        <v>0</v>
      </c>
      <c r="Y664" s="36">
        <f t="shared" si="230"/>
        <v>0</v>
      </c>
      <c r="Z664" s="36">
        <f t="shared" si="231"/>
        <v>0</v>
      </c>
      <c r="AB664" s="36" t="str">
        <f>IF(最佳化斷筋點!C664="","",最佳化斷筋點!C664)</f>
        <v/>
      </c>
      <c r="AC664" s="37" t="str">
        <f>IF(最佳化斷筋點!D664="","",最佳化斷筋點!D664)</f>
        <v/>
      </c>
      <c r="AD664" s="37" t="str">
        <f>IF(最佳化斷筋點!E664="","",最佳化斷筋點!E664)</f>
        <v/>
      </c>
      <c r="AE664" s="37" t="str">
        <f>IF(最佳化斷筋點!F664="","",最佳化斷筋點!F664)</f>
        <v/>
      </c>
      <c r="AF664" s="37" t="str">
        <f>IF(最佳化斷筋點!G664="","",最佳化斷筋點!G664)</f>
        <v/>
      </c>
      <c r="AG664" s="37" t="str">
        <f>IF(最佳化斷筋點!H664="","",最佳化斷筋點!H664)</f>
        <v/>
      </c>
      <c r="AH664" s="37" t="str">
        <f>IF(最佳化斷筋點!I664="","",最佳化斷筋點!I664)</f>
        <v/>
      </c>
      <c r="AI664" s="37" t="str">
        <f>IF(最佳化斷筋點!J664="","",最佳化斷筋點!J664)</f>
        <v/>
      </c>
      <c r="AJ664" s="37" t="str">
        <f>IF(最佳化斷筋點!K664="","",最佳化斷筋點!K664)</f>
        <v/>
      </c>
      <c r="AK664" s="37" t="str">
        <f>IF(最佳化斷筋點!L664="","",最佳化斷筋點!L664)</f>
        <v/>
      </c>
      <c r="AL664" s="37" t="str">
        <f>IF(最佳化斷筋點!M664="","",最佳化斷筋點!M664)</f>
        <v/>
      </c>
      <c r="AM664" s="37" t="str">
        <f>IF(最佳化斷筋點!N664="","",最佳化斷筋點!N664)</f>
        <v/>
      </c>
      <c r="AN664" s="37" t="str">
        <f>IF(最佳化斷筋點!O664="","",最佳化斷筋點!O664)</f>
        <v/>
      </c>
      <c r="AO664" s="37" t="str">
        <f>IF(最佳化斷筋點!P664="","",最佳化斷筋點!P664)</f>
        <v/>
      </c>
      <c r="AP664" s="37" t="str">
        <f>IF(最佳化斷筋點!Q664="","",最佳化斷筋點!Q664)</f>
        <v/>
      </c>
      <c r="AQ664" s="37" t="str">
        <f>IF(最佳化斷筋點!R664="","",最佳化斷筋點!R664)</f>
        <v/>
      </c>
      <c r="AR664" s="37" t="str">
        <f>IF(最佳化斷筋點!S664="","",最佳化斷筋點!S664)</f>
        <v/>
      </c>
      <c r="AS664" s="37" t="str">
        <f>IF(最佳化斷筋點!T664="","",最佳化斷筋點!T664)</f>
        <v/>
      </c>
      <c r="AT664" s="37" t="str">
        <f>IF(最佳化斷筋點!U664="","",最佳化斷筋點!U664)</f>
        <v/>
      </c>
      <c r="AU664" s="37" t="str">
        <f>IF(最佳化斷筋點!V664="","",最佳化斷筋點!V664)</f>
        <v/>
      </c>
      <c r="AV664" s="37" t="str">
        <f>IF(最佳化斷筋點!W664="","",最佳化斷筋點!W664)</f>
        <v/>
      </c>
      <c r="AW664" s="37" t="str">
        <f>IF(最佳化斷筋點!X664="","",最佳化斷筋點!X664)</f>
        <v/>
      </c>
      <c r="AZ664" s="37" t="s">
        <v>197</v>
      </c>
      <c r="BA664" s="37" t="s">
        <v>197</v>
      </c>
      <c r="BB664" s="37" t="s">
        <v>197</v>
      </c>
      <c r="BC664" s="37" t="s">
        <v>197</v>
      </c>
      <c r="BD664" s="37" t="s">
        <v>197</v>
      </c>
      <c r="BE664" s="37" t="s">
        <v>197</v>
      </c>
      <c r="BF664" s="37" t="s">
        <v>197</v>
      </c>
      <c r="BG664" s="37" t="s">
        <v>197</v>
      </c>
      <c r="BH664" s="37" t="s">
        <v>197</v>
      </c>
      <c r="BI664" s="37" t="s">
        <v>197</v>
      </c>
      <c r="BJ664" s="37" t="s">
        <v>197</v>
      </c>
      <c r="BK664" s="37" t="s">
        <v>197</v>
      </c>
      <c r="BL664" s="37" t="s">
        <v>197</v>
      </c>
      <c r="BM664" s="37" t="s">
        <v>197</v>
      </c>
      <c r="BN664" s="37" t="s">
        <v>197</v>
      </c>
      <c r="BO664" s="37" t="s">
        <v>197</v>
      </c>
      <c r="BP664" s="37" t="s">
        <v>197</v>
      </c>
      <c r="BQ664" s="37" t="s">
        <v>197</v>
      </c>
      <c r="BR664" s="37" t="s">
        <v>197</v>
      </c>
      <c r="BS664" s="37" t="s">
        <v>197</v>
      </c>
      <c r="BT664" s="37" t="s">
        <v>197</v>
      </c>
    </row>
    <row r="665" spans="5:72" x14ac:dyDescent="0.25">
      <c r="E665" s="36" t="s">
        <v>21</v>
      </c>
      <c r="F665" s="36">
        <f t="shared" si="211"/>
        <v>0</v>
      </c>
      <c r="G665" s="36">
        <f t="shared" si="212"/>
        <v>0</v>
      </c>
      <c r="H665" s="36">
        <f t="shared" si="213"/>
        <v>0</v>
      </c>
      <c r="I665" s="36">
        <f t="shared" si="214"/>
        <v>0</v>
      </c>
      <c r="J665" s="36">
        <f t="shared" si="215"/>
        <v>0</v>
      </c>
      <c r="K665" s="36">
        <f t="shared" si="216"/>
        <v>0</v>
      </c>
      <c r="L665" s="36">
        <f t="shared" si="217"/>
        <v>0</v>
      </c>
      <c r="M665" s="36">
        <f t="shared" si="218"/>
        <v>0</v>
      </c>
      <c r="N665" s="36">
        <f t="shared" si="219"/>
        <v>0</v>
      </c>
      <c r="O665" s="36">
        <f t="shared" si="220"/>
        <v>0</v>
      </c>
      <c r="P665" s="36">
        <f t="shared" si="221"/>
        <v>0</v>
      </c>
      <c r="Q665" s="36">
        <f t="shared" si="222"/>
        <v>0</v>
      </c>
      <c r="R665" s="36">
        <f t="shared" si="223"/>
        <v>0</v>
      </c>
      <c r="S665" s="36">
        <f t="shared" si="224"/>
        <v>0</v>
      </c>
      <c r="T665" s="36">
        <f t="shared" si="225"/>
        <v>0</v>
      </c>
      <c r="U665" s="36">
        <f t="shared" si="226"/>
        <v>0</v>
      </c>
      <c r="V665" s="36">
        <f t="shared" si="227"/>
        <v>0</v>
      </c>
      <c r="W665" s="36">
        <f t="shared" si="228"/>
        <v>0</v>
      </c>
      <c r="X665" s="36">
        <f t="shared" si="229"/>
        <v>0</v>
      </c>
      <c r="Y665" s="36">
        <f t="shared" si="230"/>
        <v>0</v>
      </c>
      <c r="Z665" s="36">
        <f t="shared" si="231"/>
        <v>0</v>
      </c>
      <c r="AB665" s="36" t="str">
        <f>IF(最佳化斷筋點!C665="","",最佳化斷筋點!C665)</f>
        <v>下層</v>
      </c>
      <c r="AC665" s="37">
        <f>IF(最佳化斷筋點!D665="","",最佳化斷筋點!D665)</f>
        <v>12</v>
      </c>
      <c r="AD665" s="37">
        <f>IF(最佳化斷筋點!E665="","",最佳化斷筋點!E665)</f>
        <v>12</v>
      </c>
      <c r="AE665" s="37">
        <f>IF(最佳化斷筋點!F665="","",最佳化斷筋點!F665)</f>
        <v>12</v>
      </c>
      <c r="AF665" s="37">
        <f>IF(最佳化斷筋點!G665="","",最佳化斷筋點!G665)</f>
        <v>12</v>
      </c>
      <c r="AG665" s="37">
        <f>IF(最佳化斷筋點!H665="","",最佳化斷筋點!H665)</f>
        <v>12</v>
      </c>
      <c r="AH665" s="37">
        <f>IF(最佳化斷筋點!I665="","",最佳化斷筋點!I665)</f>
        <v>12</v>
      </c>
      <c r="AI665" s="37">
        <f>IF(最佳化斷筋點!J665="","",最佳化斷筋點!J665)</f>
        <v>12</v>
      </c>
      <c r="AJ665" s="37">
        <f>IF(最佳化斷筋點!K665="","",最佳化斷筋點!K665)</f>
        <v>12</v>
      </c>
      <c r="AK665" s="37">
        <f>IF(最佳化斷筋點!L665="","",最佳化斷筋點!L665)</f>
        <v>12</v>
      </c>
      <c r="AL665" s="37">
        <f>IF(最佳化斷筋點!M665="","",最佳化斷筋點!M665)</f>
        <v>12</v>
      </c>
      <c r="AM665" s="37">
        <f>IF(最佳化斷筋點!N665="","",最佳化斷筋點!N665)</f>
        <v>12</v>
      </c>
      <c r="AN665" s="37">
        <f>IF(最佳化斷筋點!O665="","",最佳化斷筋點!O665)</f>
        <v>12</v>
      </c>
      <c r="AO665" s="37">
        <f>IF(最佳化斷筋點!P665="","",最佳化斷筋點!P665)</f>
        <v>12</v>
      </c>
      <c r="AP665" s="37">
        <f>IF(最佳化斷筋點!Q665="","",最佳化斷筋點!Q665)</f>
        <v>12</v>
      </c>
      <c r="AQ665" s="37">
        <f>IF(最佳化斷筋點!R665="","",最佳化斷筋點!R665)</f>
        <v>12</v>
      </c>
      <c r="AR665" s="37">
        <f>IF(最佳化斷筋點!S665="","",最佳化斷筋點!S665)</f>
        <v>12</v>
      </c>
      <c r="AS665" s="37">
        <f>IF(最佳化斷筋點!T665="","",最佳化斷筋點!T665)</f>
        <v>12</v>
      </c>
      <c r="AT665" s="37">
        <f>IF(最佳化斷筋點!U665="","",最佳化斷筋點!U665)</f>
        <v>12</v>
      </c>
      <c r="AU665" s="37">
        <f>IF(最佳化斷筋點!V665="","",最佳化斷筋點!V665)</f>
        <v>11</v>
      </c>
      <c r="AV665" s="37">
        <f>IF(最佳化斷筋點!W665="","",最佳化斷筋點!W665)</f>
        <v>11</v>
      </c>
      <c r="AW665" s="37">
        <f>IF(最佳化斷筋點!X665="","",最佳化斷筋點!X665)</f>
        <v>11</v>
      </c>
      <c r="AZ665" s="37">
        <v>12</v>
      </c>
      <c r="BA665" s="37">
        <v>12</v>
      </c>
      <c r="BB665" s="37">
        <v>12</v>
      </c>
      <c r="BC665" s="37">
        <v>12</v>
      </c>
      <c r="BD665" s="37">
        <v>12</v>
      </c>
      <c r="BE665" s="37">
        <v>12</v>
      </c>
      <c r="BF665" s="37">
        <v>12</v>
      </c>
      <c r="BG665" s="37">
        <v>12</v>
      </c>
      <c r="BH665" s="37">
        <v>12</v>
      </c>
      <c r="BI665" s="37">
        <v>12</v>
      </c>
      <c r="BJ665" s="37">
        <v>12</v>
      </c>
      <c r="BK665" s="37">
        <v>12</v>
      </c>
      <c r="BL665" s="37">
        <v>12</v>
      </c>
      <c r="BM665" s="37">
        <v>12</v>
      </c>
      <c r="BN665" s="37">
        <v>12</v>
      </c>
      <c r="BO665" s="37">
        <v>12</v>
      </c>
      <c r="BP665" s="37">
        <v>12</v>
      </c>
      <c r="BQ665" s="37">
        <v>12</v>
      </c>
      <c r="BR665" s="37">
        <v>11</v>
      </c>
      <c r="BS665" s="37">
        <v>11</v>
      </c>
      <c r="BT665" s="37">
        <v>11</v>
      </c>
    </row>
    <row r="666" spans="5:72" x14ac:dyDescent="0.25">
      <c r="E666" s="36"/>
      <c r="F666" s="36">
        <f t="shared" si="211"/>
        <v>0</v>
      </c>
      <c r="G666" s="36">
        <f t="shared" si="212"/>
        <v>0</v>
      </c>
      <c r="H666" s="36">
        <f t="shared" si="213"/>
        <v>0</v>
      </c>
      <c r="I666" s="36">
        <f t="shared" si="214"/>
        <v>0</v>
      </c>
      <c r="J666" s="36">
        <f t="shared" si="215"/>
        <v>0</v>
      </c>
      <c r="K666" s="36">
        <f t="shared" si="216"/>
        <v>0</v>
      </c>
      <c r="L666" s="36">
        <f t="shared" si="217"/>
        <v>0</v>
      </c>
      <c r="M666" s="36">
        <f t="shared" si="218"/>
        <v>0</v>
      </c>
      <c r="N666" s="36">
        <f t="shared" si="219"/>
        <v>0</v>
      </c>
      <c r="O666" s="36">
        <f t="shared" si="220"/>
        <v>0</v>
      </c>
      <c r="P666" s="36">
        <f t="shared" si="221"/>
        <v>0</v>
      </c>
      <c r="Q666" s="36">
        <f t="shared" si="222"/>
        <v>0</v>
      </c>
      <c r="R666" s="36">
        <f t="shared" si="223"/>
        <v>0</v>
      </c>
      <c r="S666" s="36">
        <f t="shared" si="224"/>
        <v>0</v>
      </c>
      <c r="T666" s="36">
        <f t="shared" si="225"/>
        <v>0</v>
      </c>
      <c r="U666" s="36">
        <f t="shared" si="226"/>
        <v>0</v>
      </c>
      <c r="V666" s="36">
        <f t="shared" si="227"/>
        <v>0</v>
      </c>
      <c r="W666" s="36">
        <f t="shared" si="228"/>
        <v>0</v>
      </c>
      <c r="X666" s="36">
        <f t="shared" si="229"/>
        <v>0</v>
      </c>
      <c r="Y666" s="36">
        <f t="shared" si="230"/>
        <v>0</v>
      </c>
      <c r="Z666" s="36">
        <f t="shared" si="231"/>
        <v>0</v>
      </c>
      <c r="AB666" s="36" t="str">
        <f>IF(最佳化斷筋點!C666="","",最佳化斷筋點!C666)</f>
        <v/>
      </c>
      <c r="AC666" s="37" t="str">
        <f>IF(最佳化斷筋點!D666="","",最佳化斷筋點!D666)</f>
        <v/>
      </c>
      <c r="AD666" s="37" t="str">
        <f>IF(最佳化斷筋點!E666="","",最佳化斷筋點!E666)</f>
        <v/>
      </c>
      <c r="AE666" s="37" t="str">
        <f>IF(最佳化斷筋點!F666="","",最佳化斷筋點!F666)</f>
        <v/>
      </c>
      <c r="AF666" s="37" t="str">
        <f>IF(最佳化斷筋點!G666="","",最佳化斷筋點!G666)</f>
        <v/>
      </c>
      <c r="AG666" s="37" t="str">
        <f>IF(最佳化斷筋點!H666="","",最佳化斷筋點!H666)</f>
        <v/>
      </c>
      <c r="AH666" s="37" t="str">
        <f>IF(最佳化斷筋點!I666="","",最佳化斷筋點!I666)</f>
        <v/>
      </c>
      <c r="AI666" s="37" t="str">
        <f>IF(最佳化斷筋點!J666="","",最佳化斷筋點!J666)</f>
        <v/>
      </c>
      <c r="AJ666" s="37" t="str">
        <f>IF(最佳化斷筋點!K666="","",最佳化斷筋點!K666)</f>
        <v/>
      </c>
      <c r="AK666" s="37" t="str">
        <f>IF(最佳化斷筋點!L666="","",最佳化斷筋點!L666)</f>
        <v/>
      </c>
      <c r="AL666" s="37" t="str">
        <f>IF(最佳化斷筋點!M666="","",最佳化斷筋點!M666)</f>
        <v/>
      </c>
      <c r="AM666" s="37" t="str">
        <f>IF(最佳化斷筋點!N666="","",最佳化斷筋點!N666)</f>
        <v/>
      </c>
      <c r="AN666" s="37" t="str">
        <f>IF(最佳化斷筋點!O666="","",最佳化斷筋點!O666)</f>
        <v/>
      </c>
      <c r="AO666" s="37" t="str">
        <f>IF(最佳化斷筋點!P666="","",最佳化斷筋點!P666)</f>
        <v/>
      </c>
      <c r="AP666" s="37" t="str">
        <f>IF(最佳化斷筋點!Q666="","",最佳化斷筋點!Q666)</f>
        <v/>
      </c>
      <c r="AQ666" s="37" t="str">
        <f>IF(最佳化斷筋點!R666="","",最佳化斷筋點!R666)</f>
        <v/>
      </c>
      <c r="AR666" s="37" t="str">
        <f>IF(最佳化斷筋點!S666="","",最佳化斷筋點!S666)</f>
        <v/>
      </c>
      <c r="AS666" s="37" t="str">
        <f>IF(最佳化斷筋點!T666="","",最佳化斷筋點!T666)</f>
        <v/>
      </c>
      <c r="AT666" s="37" t="str">
        <f>IF(最佳化斷筋點!U666="","",最佳化斷筋點!U666)</f>
        <v/>
      </c>
      <c r="AU666" s="37" t="str">
        <f>IF(最佳化斷筋點!V666="","",最佳化斷筋點!V666)</f>
        <v/>
      </c>
      <c r="AV666" s="37" t="str">
        <f>IF(最佳化斷筋點!W666="","",最佳化斷筋點!W666)</f>
        <v/>
      </c>
      <c r="AW666" s="37" t="str">
        <f>IF(最佳化斷筋點!X666="","",最佳化斷筋點!X666)</f>
        <v/>
      </c>
      <c r="AZ666" s="37" t="s">
        <v>197</v>
      </c>
      <c r="BA666" s="37" t="s">
        <v>197</v>
      </c>
      <c r="BB666" s="37" t="s">
        <v>197</v>
      </c>
      <c r="BC666" s="37" t="s">
        <v>197</v>
      </c>
      <c r="BD666" s="37" t="s">
        <v>197</v>
      </c>
      <c r="BE666" s="37" t="s">
        <v>197</v>
      </c>
      <c r="BF666" s="37" t="s">
        <v>197</v>
      </c>
      <c r="BG666" s="37" t="s">
        <v>197</v>
      </c>
      <c r="BH666" s="37" t="s">
        <v>197</v>
      </c>
      <c r="BI666" s="37" t="s">
        <v>197</v>
      </c>
      <c r="BJ666" s="37" t="s">
        <v>197</v>
      </c>
      <c r="BK666" s="37" t="s">
        <v>197</v>
      </c>
      <c r="BL666" s="37" t="s">
        <v>197</v>
      </c>
      <c r="BM666" s="37" t="s">
        <v>197</v>
      </c>
      <c r="BN666" s="37" t="s">
        <v>197</v>
      </c>
      <c r="BO666" s="37" t="s">
        <v>197</v>
      </c>
      <c r="BP666" s="37" t="s">
        <v>197</v>
      </c>
      <c r="BQ666" s="37" t="s">
        <v>197</v>
      </c>
      <c r="BR666" s="37" t="s">
        <v>197</v>
      </c>
      <c r="BS666" s="37" t="s">
        <v>197</v>
      </c>
      <c r="BT666" s="37" t="s">
        <v>197</v>
      </c>
    </row>
    <row r="667" spans="5:72" x14ac:dyDescent="0.25">
      <c r="E667" s="36" t="s">
        <v>20</v>
      </c>
      <c r="F667" s="36">
        <f t="shared" si="211"/>
        <v>0</v>
      </c>
      <c r="G667" s="36">
        <f t="shared" si="212"/>
        <v>0</v>
      </c>
      <c r="H667" s="36">
        <f t="shared" si="213"/>
        <v>0</v>
      </c>
      <c r="I667" s="36">
        <f t="shared" si="214"/>
        <v>0</v>
      </c>
      <c r="J667" s="36">
        <f t="shared" si="215"/>
        <v>0</v>
      </c>
      <c r="K667" s="36">
        <f t="shared" si="216"/>
        <v>0</v>
      </c>
      <c r="L667" s="36">
        <f t="shared" si="217"/>
        <v>0</v>
      </c>
      <c r="M667" s="36">
        <f t="shared" si="218"/>
        <v>0</v>
      </c>
      <c r="N667" s="36">
        <f t="shared" si="219"/>
        <v>0</v>
      </c>
      <c r="O667" s="36">
        <f t="shared" si="220"/>
        <v>0</v>
      </c>
      <c r="P667" s="36">
        <f t="shared" si="221"/>
        <v>0</v>
      </c>
      <c r="Q667" s="36">
        <f t="shared" si="222"/>
        <v>0</v>
      </c>
      <c r="R667" s="36">
        <f t="shared" si="223"/>
        <v>0</v>
      </c>
      <c r="S667" s="36">
        <f t="shared" si="224"/>
        <v>0</v>
      </c>
      <c r="T667" s="36">
        <f t="shared" si="225"/>
        <v>0</v>
      </c>
      <c r="U667" s="36">
        <f t="shared" si="226"/>
        <v>0</v>
      </c>
      <c r="V667" s="36">
        <f t="shared" si="227"/>
        <v>0</v>
      </c>
      <c r="W667" s="36">
        <f t="shared" si="228"/>
        <v>0</v>
      </c>
      <c r="X667" s="36">
        <f t="shared" si="229"/>
        <v>0</v>
      </c>
      <c r="Y667" s="36">
        <f t="shared" si="230"/>
        <v>0</v>
      </c>
      <c r="Z667" s="36">
        <f t="shared" si="231"/>
        <v>0</v>
      </c>
      <c r="AB667" s="36" t="str">
        <f>IF(最佳化斷筋點!C667="","",最佳化斷筋點!C667)</f>
        <v>上層</v>
      </c>
      <c r="AC667" s="37">
        <f>IF(最佳化斷筋點!D667="","",最佳化斷筋點!D667)</f>
        <v>8</v>
      </c>
      <c r="AD667" s="37">
        <f>IF(最佳化斷筋點!E667="","",最佳化斷筋點!E667)</f>
        <v>8</v>
      </c>
      <c r="AE667" s="37">
        <f>IF(最佳化斷筋點!F667="","",最佳化斷筋點!F667)</f>
        <v>8</v>
      </c>
      <c r="AF667" s="37">
        <f>IF(最佳化斷筋點!G667="","",最佳化斷筋點!G667)</f>
        <v>8</v>
      </c>
      <c r="AG667" s="37">
        <f>IF(最佳化斷筋點!H667="","",最佳化斷筋點!H667)</f>
        <v>8</v>
      </c>
      <c r="AH667" s="37">
        <f>IF(最佳化斷筋點!I667="","",最佳化斷筋點!I667)</f>
        <v>8</v>
      </c>
      <c r="AI667" s="37">
        <f>IF(最佳化斷筋點!J667="","",最佳化斷筋點!J667)</f>
        <v>8</v>
      </c>
      <c r="AJ667" s="37">
        <f>IF(最佳化斷筋點!K667="","",最佳化斷筋點!K667)</f>
        <v>4</v>
      </c>
      <c r="AK667" s="37">
        <f>IF(最佳化斷筋點!L667="","",最佳化斷筋點!L667)</f>
        <v>4</v>
      </c>
      <c r="AL667" s="37">
        <f>IF(最佳化斷筋點!M667="","",最佳化斷筋點!M667)</f>
        <v>4</v>
      </c>
      <c r="AM667" s="37">
        <f>IF(最佳化斷筋點!N667="","",最佳化斷筋點!N667)</f>
        <v>4</v>
      </c>
      <c r="AN667" s="37">
        <f>IF(最佳化斷筋點!O667="","",最佳化斷筋點!O667)</f>
        <v>4</v>
      </c>
      <c r="AO667" s="37">
        <f>IF(最佳化斷筋點!P667="","",最佳化斷筋點!P667)</f>
        <v>4</v>
      </c>
      <c r="AP667" s="37">
        <f>IF(最佳化斷筋點!Q667="","",最佳化斷筋點!Q667)</f>
        <v>8</v>
      </c>
      <c r="AQ667" s="37">
        <f>IF(最佳化斷筋點!R667="","",最佳化斷筋點!R667)</f>
        <v>9</v>
      </c>
      <c r="AR667" s="37">
        <f>IF(最佳化斷筋點!S667="","",最佳化斷筋點!S667)</f>
        <v>10</v>
      </c>
      <c r="AS667" s="37">
        <f>IF(最佳化斷筋點!T667="","",最佳化斷筋點!T667)</f>
        <v>10</v>
      </c>
      <c r="AT667" s="37">
        <f>IF(最佳化斷筋點!U667="","",最佳化斷筋點!U667)</f>
        <v>10</v>
      </c>
      <c r="AU667" s="37">
        <f>IF(最佳化斷筋點!V667="","",最佳化斷筋點!V667)</f>
        <v>10</v>
      </c>
      <c r="AV667" s="37">
        <f>IF(最佳化斷筋點!W667="","",最佳化斷筋點!W667)</f>
        <v>10</v>
      </c>
      <c r="AW667" s="37">
        <f>IF(最佳化斷筋點!X667="","",最佳化斷筋點!X667)</f>
        <v>10</v>
      </c>
      <c r="AZ667" s="37">
        <v>8</v>
      </c>
      <c r="BA667" s="37">
        <v>8</v>
      </c>
      <c r="BB667" s="37">
        <v>8</v>
      </c>
      <c r="BC667" s="37">
        <v>8</v>
      </c>
      <c r="BD667" s="37">
        <v>8</v>
      </c>
      <c r="BE667" s="37">
        <v>8</v>
      </c>
      <c r="BF667" s="37">
        <v>8</v>
      </c>
      <c r="BG667" s="37">
        <v>4</v>
      </c>
      <c r="BH667" s="37">
        <v>4</v>
      </c>
      <c r="BI667" s="37">
        <v>4</v>
      </c>
      <c r="BJ667" s="37">
        <v>4</v>
      </c>
      <c r="BK667" s="37">
        <v>4</v>
      </c>
      <c r="BL667" s="37">
        <v>4</v>
      </c>
      <c r="BM667" s="37">
        <v>8</v>
      </c>
      <c r="BN667" s="37">
        <v>9</v>
      </c>
      <c r="BO667" s="37">
        <v>10</v>
      </c>
      <c r="BP667" s="37">
        <v>10</v>
      </c>
      <c r="BQ667" s="37">
        <v>10</v>
      </c>
      <c r="BR667" s="37">
        <v>10</v>
      </c>
      <c r="BS667" s="37">
        <v>10</v>
      </c>
      <c r="BT667" s="37">
        <v>10</v>
      </c>
    </row>
    <row r="668" spans="5:72" x14ac:dyDescent="0.25">
      <c r="E668" s="36"/>
      <c r="F668" s="36">
        <f t="shared" si="211"/>
        <v>0</v>
      </c>
      <c r="G668" s="36">
        <f t="shared" si="212"/>
        <v>0</v>
      </c>
      <c r="H668" s="36">
        <f t="shared" si="213"/>
        <v>0</v>
      </c>
      <c r="I668" s="36">
        <f t="shared" si="214"/>
        <v>0</v>
      </c>
      <c r="J668" s="36">
        <f t="shared" si="215"/>
        <v>0</v>
      </c>
      <c r="K668" s="36">
        <f t="shared" si="216"/>
        <v>0</v>
      </c>
      <c r="L668" s="36">
        <f t="shared" si="217"/>
        <v>0</v>
      </c>
      <c r="M668" s="36">
        <f t="shared" si="218"/>
        <v>0</v>
      </c>
      <c r="N668" s="36">
        <f t="shared" si="219"/>
        <v>0</v>
      </c>
      <c r="O668" s="36">
        <f t="shared" si="220"/>
        <v>0</v>
      </c>
      <c r="P668" s="36">
        <f t="shared" si="221"/>
        <v>0</v>
      </c>
      <c r="Q668" s="36">
        <f t="shared" si="222"/>
        <v>0</v>
      </c>
      <c r="R668" s="36">
        <f t="shared" si="223"/>
        <v>0</v>
      </c>
      <c r="S668" s="36">
        <f t="shared" si="224"/>
        <v>0</v>
      </c>
      <c r="T668" s="36">
        <f t="shared" si="225"/>
        <v>0</v>
      </c>
      <c r="U668" s="36">
        <f t="shared" si="226"/>
        <v>0</v>
      </c>
      <c r="V668" s="36">
        <f t="shared" si="227"/>
        <v>0</v>
      </c>
      <c r="W668" s="36">
        <f t="shared" si="228"/>
        <v>0</v>
      </c>
      <c r="X668" s="36">
        <f t="shared" si="229"/>
        <v>0</v>
      </c>
      <c r="Y668" s="36">
        <f t="shared" si="230"/>
        <v>0</v>
      </c>
      <c r="Z668" s="36">
        <f t="shared" si="231"/>
        <v>0</v>
      </c>
      <c r="AB668" s="36" t="str">
        <f>IF(最佳化斷筋點!C668="","",最佳化斷筋點!C668)</f>
        <v/>
      </c>
      <c r="AC668" s="37" t="str">
        <f>IF(最佳化斷筋點!D668="","",最佳化斷筋點!D668)</f>
        <v/>
      </c>
      <c r="AD668" s="37" t="str">
        <f>IF(最佳化斷筋點!E668="","",最佳化斷筋點!E668)</f>
        <v/>
      </c>
      <c r="AE668" s="37" t="str">
        <f>IF(最佳化斷筋點!F668="","",最佳化斷筋點!F668)</f>
        <v/>
      </c>
      <c r="AF668" s="37" t="str">
        <f>IF(最佳化斷筋點!G668="","",最佳化斷筋點!G668)</f>
        <v/>
      </c>
      <c r="AG668" s="37" t="str">
        <f>IF(最佳化斷筋點!H668="","",最佳化斷筋點!H668)</f>
        <v/>
      </c>
      <c r="AH668" s="37" t="str">
        <f>IF(最佳化斷筋點!I668="","",最佳化斷筋點!I668)</f>
        <v/>
      </c>
      <c r="AI668" s="37" t="str">
        <f>IF(最佳化斷筋點!J668="","",最佳化斷筋點!J668)</f>
        <v/>
      </c>
      <c r="AJ668" s="37" t="str">
        <f>IF(最佳化斷筋點!K668="","",最佳化斷筋點!K668)</f>
        <v/>
      </c>
      <c r="AK668" s="37" t="str">
        <f>IF(最佳化斷筋點!L668="","",最佳化斷筋點!L668)</f>
        <v/>
      </c>
      <c r="AL668" s="37" t="str">
        <f>IF(最佳化斷筋點!M668="","",最佳化斷筋點!M668)</f>
        <v/>
      </c>
      <c r="AM668" s="37" t="str">
        <f>IF(最佳化斷筋點!N668="","",最佳化斷筋點!N668)</f>
        <v/>
      </c>
      <c r="AN668" s="37" t="str">
        <f>IF(最佳化斷筋點!O668="","",最佳化斷筋點!O668)</f>
        <v/>
      </c>
      <c r="AO668" s="37" t="str">
        <f>IF(最佳化斷筋點!P668="","",最佳化斷筋點!P668)</f>
        <v/>
      </c>
      <c r="AP668" s="37" t="str">
        <f>IF(最佳化斷筋點!Q668="","",最佳化斷筋點!Q668)</f>
        <v/>
      </c>
      <c r="AQ668" s="37" t="str">
        <f>IF(最佳化斷筋點!R668="","",最佳化斷筋點!R668)</f>
        <v/>
      </c>
      <c r="AR668" s="37" t="str">
        <f>IF(最佳化斷筋點!S668="","",最佳化斷筋點!S668)</f>
        <v/>
      </c>
      <c r="AS668" s="37" t="str">
        <f>IF(最佳化斷筋點!T668="","",最佳化斷筋點!T668)</f>
        <v/>
      </c>
      <c r="AT668" s="37" t="str">
        <f>IF(最佳化斷筋點!U668="","",最佳化斷筋點!U668)</f>
        <v/>
      </c>
      <c r="AU668" s="37" t="str">
        <f>IF(最佳化斷筋點!V668="","",最佳化斷筋點!V668)</f>
        <v/>
      </c>
      <c r="AV668" s="37" t="str">
        <f>IF(最佳化斷筋點!W668="","",最佳化斷筋點!W668)</f>
        <v/>
      </c>
      <c r="AW668" s="37" t="str">
        <f>IF(最佳化斷筋點!X668="","",最佳化斷筋點!X668)</f>
        <v/>
      </c>
      <c r="AZ668" s="37" t="s">
        <v>197</v>
      </c>
      <c r="BA668" s="37" t="s">
        <v>197</v>
      </c>
      <c r="BB668" s="37" t="s">
        <v>197</v>
      </c>
      <c r="BC668" s="37" t="s">
        <v>197</v>
      </c>
      <c r="BD668" s="37" t="s">
        <v>197</v>
      </c>
      <c r="BE668" s="37" t="s">
        <v>197</v>
      </c>
      <c r="BF668" s="37" t="s">
        <v>197</v>
      </c>
      <c r="BG668" s="37" t="s">
        <v>197</v>
      </c>
      <c r="BH668" s="37" t="s">
        <v>197</v>
      </c>
      <c r="BI668" s="37" t="s">
        <v>197</v>
      </c>
      <c r="BJ668" s="37" t="s">
        <v>197</v>
      </c>
      <c r="BK668" s="37" t="s">
        <v>197</v>
      </c>
      <c r="BL668" s="37" t="s">
        <v>197</v>
      </c>
      <c r="BM668" s="37" t="s">
        <v>197</v>
      </c>
      <c r="BN668" s="37" t="s">
        <v>197</v>
      </c>
      <c r="BO668" s="37" t="s">
        <v>197</v>
      </c>
      <c r="BP668" s="37" t="s">
        <v>197</v>
      </c>
      <c r="BQ668" s="37" t="s">
        <v>197</v>
      </c>
      <c r="BR668" s="37" t="s">
        <v>197</v>
      </c>
      <c r="BS668" s="37" t="s">
        <v>197</v>
      </c>
      <c r="BT668" s="37" t="s">
        <v>197</v>
      </c>
    </row>
    <row r="669" spans="5:72" x14ac:dyDescent="0.25">
      <c r="E669" s="36" t="s">
        <v>21</v>
      </c>
      <c r="F669" s="36">
        <f t="shared" si="211"/>
        <v>0</v>
      </c>
      <c r="G669" s="36">
        <f t="shared" si="212"/>
        <v>0</v>
      </c>
      <c r="H669" s="36">
        <f t="shared" si="213"/>
        <v>0</v>
      </c>
      <c r="I669" s="36">
        <f t="shared" si="214"/>
        <v>0</v>
      </c>
      <c r="J669" s="36">
        <f t="shared" si="215"/>
        <v>0</v>
      </c>
      <c r="K669" s="36">
        <f t="shared" si="216"/>
        <v>0</v>
      </c>
      <c r="L669" s="36">
        <f t="shared" si="217"/>
        <v>0</v>
      </c>
      <c r="M669" s="36">
        <f t="shared" si="218"/>
        <v>0</v>
      </c>
      <c r="N669" s="36">
        <f t="shared" si="219"/>
        <v>0</v>
      </c>
      <c r="O669" s="36">
        <f t="shared" si="220"/>
        <v>0</v>
      </c>
      <c r="P669" s="36">
        <f t="shared" si="221"/>
        <v>0</v>
      </c>
      <c r="Q669" s="36">
        <f t="shared" si="222"/>
        <v>0</v>
      </c>
      <c r="R669" s="36">
        <f t="shared" si="223"/>
        <v>0</v>
      </c>
      <c r="S669" s="36">
        <f t="shared" si="224"/>
        <v>0</v>
      </c>
      <c r="T669" s="36">
        <f t="shared" si="225"/>
        <v>0</v>
      </c>
      <c r="U669" s="36">
        <f t="shared" si="226"/>
        <v>0</v>
      </c>
      <c r="V669" s="36">
        <f t="shared" si="227"/>
        <v>0</v>
      </c>
      <c r="W669" s="36">
        <f t="shared" si="228"/>
        <v>0</v>
      </c>
      <c r="X669" s="36">
        <f t="shared" si="229"/>
        <v>0</v>
      </c>
      <c r="Y669" s="36">
        <f t="shared" si="230"/>
        <v>0</v>
      </c>
      <c r="Z669" s="36">
        <f t="shared" si="231"/>
        <v>0</v>
      </c>
      <c r="AB669" s="36" t="str">
        <f>IF(最佳化斷筋點!C669="","",最佳化斷筋點!C669)</f>
        <v>下層</v>
      </c>
      <c r="AC669" s="37">
        <f>IF(最佳化斷筋點!D669="","",最佳化斷筋點!D669)</f>
        <v>12</v>
      </c>
      <c r="AD669" s="37">
        <f>IF(最佳化斷筋點!E669="","",最佳化斷筋點!E669)</f>
        <v>12</v>
      </c>
      <c r="AE669" s="37">
        <f>IF(最佳化斷筋點!F669="","",最佳化斷筋點!F669)</f>
        <v>12</v>
      </c>
      <c r="AF669" s="37">
        <f>IF(最佳化斷筋點!G669="","",最佳化斷筋點!G669)</f>
        <v>12</v>
      </c>
      <c r="AG669" s="37">
        <f>IF(最佳化斷筋點!H669="","",最佳化斷筋點!H669)</f>
        <v>12</v>
      </c>
      <c r="AH669" s="37">
        <f>IF(最佳化斷筋點!I669="","",最佳化斷筋點!I669)</f>
        <v>11</v>
      </c>
      <c r="AI669" s="37">
        <f>IF(最佳化斷筋點!J669="","",最佳化斷筋點!J669)</f>
        <v>10</v>
      </c>
      <c r="AJ669" s="37">
        <f>IF(最佳化斷筋點!K669="","",最佳化斷筋點!K669)</f>
        <v>5</v>
      </c>
      <c r="AK669" s="37">
        <f>IF(最佳化斷筋點!L669="","",最佳化斷筋點!L669)</f>
        <v>5</v>
      </c>
      <c r="AL669" s="37">
        <f>IF(最佳化斷筋點!M669="","",最佳化斷筋點!M669)</f>
        <v>5</v>
      </c>
      <c r="AM669" s="37">
        <f>IF(最佳化斷筋點!N669="","",最佳化斷筋點!N669)</f>
        <v>5</v>
      </c>
      <c r="AN669" s="37">
        <f>IF(最佳化斷筋點!O669="","",最佳化斷筋點!O669)</f>
        <v>5</v>
      </c>
      <c r="AO669" s="37">
        <f>IF(最佳化斷筋點!P669="","",最佳化斷筋點!P669)</f>
        <v>5</v>
      </c>
      <c r="AP669" s="37">
        <f>IF(最佳化斷筋點!Q669="","",最佳化斷筋點!Q669)</f>
        <v>7</v>
      </c>
      <c r="AQ669" s="37">
        <f>IF(最佳化斷筋點!R669="","",最佳化斷筋點!R669)</f>
        <v>8</v>
      </c>
      <c r="AR669" s="37">
        <f>IF(最佳化斷筋點!S669="","",最佳化斷筋點!S669)</f>
        <v>9</v>
      </c>
      <c r="AS669" s="37">
        <f>IF(最佳化斷筋點!T669="","",最佳化斷筋點!T669)</f>
        <v>10</v>
      </c>
      <c r="AT669" s="37">
        <f>IF(最佳化斷筋點!U669="","",最佳化斷筋點!U669)</f>
        <v>10</v>
      </c>
      <c r="AU669" s="37">
        <f>IF(最佳化斷筋點!V669="","",最佳化斷筋點!V669)</f>
        <v>10</v>
      </c>
      <c r="AV669" s="37">
        <f>IF(最佳化斷筋點!W669="","",最佳化斷筋點!W669)</f>
        <v>10</v>
      </c>
      <c r="AW669" s="37">
        <f>IF(最佳化斷筋點!X669="","",最佳化斷筋點!X669)</f>
        <v>10</v>
      </c>
      <c r="AZ669" s="37">
        <v>12</v>
      </c>
      <c r="BA669" s="37">
        <v>12</v>
      </c>
      <c r="BB669" s="37">
        <v>12</v>
      </c>
      <c r="BC669" s="37">
        <v>12</v>
      </c>
      <c r="BD669" s="37">
        <v>12</v>
      </c>
      <c r="BE669" s="37">
        <v>11</v>
      </c>
      <c r="BF669" s="37">
        <v>10</v>
      </c>
      <c r="BG669" s="37">
        <v>5</v>
      </c>
      <c r="BH669" s="37">
        <v>5</v>
      </c>
      <c r="BI669" s="37">
        <v>5</v>
      </c>
      <c r="BJ669" s="37">
        <v>5</v>
      </c>
      <c r="BK669" s="37">
        <v>5</v>
      </c>
      <c r="BL669" s="37">
        <v>5</v>
      </c>
      <c r="BM669" s="37">
        <v>7</v>
      </c>
      <c r="BN669" s="37">
        <v>8</v>
      </c>
      <c r="BO669" s="37">
        <v>9</v>
      </c>
      <c r="BP669" s="37">
        <v>10</v>
      </c>
      <c r="BQ669" s="37">
        <v>10</v>
      </c>
      <c r="BR669" s="37">
        <v>10</v>
      </c>
      <c r="BS669" s="37">
        <v>10</v>
      </c>
      <c r="BT669" s="37">
        <v>10</v>
      </c>
    </row>
    <row r="670" spans="5:72" x14ac:dyDescent="0.25">
      <c r="E670" s="36"/>
      <c r="F670" s="36">
        <f t="shared" si="211"/>
        <v>0</v>
      </c>
      <c r="G670" s="36">
        <f t="shared" si="212"/>
        <v>0</v>
      </c>
      <c r="H670" s="36">
        <f t="shared" si="213"/>
        <v>0</v>
      </c>
      <c r="I670" s="36">
        <f t="shared" si="214"/>
        <v>0</v>
      </c>
      <c r="J670" s="36">
        <f t="shared" si="215"/>
        <v>0</v>
      </c>
      <c r="K670" s="36">
        <f t="shared" si="216"/>
        <v>0</v>
      </c>
      <c r="L670" s="36">
        <f t="shared" si="217"/>
        <v>0</v>
      </c>
      <c r="M670" s="36">
        <f t="shared" si="218"/>
        <v>0</v>
      </c>
      <c r="N670" s="36">
        <f t="shared" si="219"/>
        <v>0</v>
      </c>
      <c r="O670" s="36">
        <f t="shared" si="220"/>
        <v>0</v>
      </c>
      <c r="P670" s="36">
        <f t="shared" si="221"/>
        <v>0</v>
      </c>
      <c r="Q670" s="36">
        <f t="shared" si="222"/>
        <v>0</v>
      </c>
      <c r="R670" s="36">
        <f t="shared" si="223"/>
        <v>0</v>
      </c>
      <c r="S670" s="36">
        <f t="shared" si="224"/>
        <v>0</v>
      </c>
      <c r="T670" s="36">
        <f t="shared" si="225"/>
        <v>0</v>
      </c>
      <c r="U670" s="36">
        <f t="shared" si="226"/>
        <v>0</v>
      </c>
      <c r="V670" s="36">
        <f t="shared" si="227"/>
        <v>0</v>
      </c>
      <c r="W670" s="36">
        <f t="shared" si="228"/>
        <v>0</v>
      </c>
      <c r="X670" s="36">
        <f t="shared" si="229"/>
        <v>0</v>
      </c>
      <c r="Y670" s="36">
        <f t="shared" si="230"/>
        <v>0</v>
      </c>
      <c r="Z670" s="36">
        <f t="shared" si="231"/>
        <v>0</v>
      </c>
      <c r="AB670" s="36" t="str">
        <f>IF(最佳化斷筋點!C670="","",最佳化斷筋點!C670)</f>
        <v/>
      </c>
      <c r="AC670" s="37" t="str">
        <f>IF(最佳化斷筋點!D670="","",最佳化斷筋點!D670)</f>
        <v/>
      </c>
      <c r="AD670" s="37" t="str">
        <f>IF(最佳化斷筋點!E670="","",最佳化斷筋點!E670)</f>
        <v/>
      </c>
      <c r="AE670" s="37" t="str">
        <f>IF(最佳化斷筋點!F670="","",最佳化斷筋點!F670)</f>
        <v/>
      </c>
      <c r="AF670" s="37" t="str">
        <f>IF(最佳化斷筋點!G670="","",最佳化斷筋點!G670)</f>
        <v/>
      </c>
      <c r="AG670" s="37" t="str">
        <f>IF(最佳化斷筋點!H670="","",最佳化斷筋點!H670)</f>
        <v/>
      </c>
      <c r="AH670" s="37" t="str">
        <f>IF(最佳化斷筋點!I670="","",最佳化斷筋點!I670)</f>
        <v/>
      </c>
      <c r="AI670" s="37" t="str">
        <f>IF(最佳化斷筋點!J670="","",最佳化斷筋點!J670)</f>
        <v/>
      </c>
      <c r="AJ670" s="37" t="str">
        <f>IF(最佳化斷筋點!K670="","",最佳化斷筋點!K670)</f>
        <v/>
      </c>
      <c r="AK670" s="37" t="str">
        <f>IF(最佳化斷筋點!L670="","",最佳化斷筋點!L670)</f>
        <v/>
      </c>
      <c r="AL670" s="37" t="str">
        <f>IF(最佳化斷筋點!M670="","",最佳化斷筋點!M670)</f>
        <v/>
      </c>
      <c r="AM670" s="37" t="str">
        <f>IF(最佳化斷筋點!N670="","",最佳化斷筋點!N670)</f>
        <v/>
      </c>
      <c r="AN670" s="37" t="str">
        <f>IF(最佳化斷筋點!O670="","",最佳化斷筋點!O670)</f>
        <v/>
      </c>
      <c r="AO670" s="37" t="str">
        <f>IF(最佳化斷筋點!P670="","",最佳化斷筋點!P670)</f>
        <v/>
      </c>
      <c r="AP670" s="37" t="str">
        <f>IF(最佳化斷筋點!Q670="","",最佳化斷筋點!Q670)</f>
        <v/>
      </c>
      <c r="AQ670" s="37" t="str">
        <f>IF(最佳化斷筋點!R670="","",最佳化斷筋點!R670)</f>
        <v/>
      </c>
      <c r="AR670" s="37" t="str">
        <f>IF(最佳化斷筋點!S670="","",最佳化斷筋點!S670)</f>
        <v/>
      </c>
      <c r="AS670" s="37" t="str">
        <f>IF(最佳化斷筋點!T670="","",最佳化斷筋點!T670)</f>
        <v/>
      </c>
      <c r="AT670" s="37" t="str">
        <f>IF(最佳化斷筋點!U670="","",最佳化斷筋點!U670)</f>
        <v/>
      </c>
      <c r="AU670" s="37" t="str">
        <f>IF(最佳化斷筋點!V670="","",最佳化斷筋點!V670)</f>
        <v/>
      </c>
      <c r="AV670" s="37" t="str">
        <f>IF(最佳化斷筋點!W670="","",最佳化斷筋點!W670)</f>
        <v/>
      </c>
      <c r="AW670" s="37" t="str">
        <f>IF(最佳化斷筋點!X670="","",最佳化斷筋點!X670)</f>
        <v/>
      </c>
      <c r="AZ670" s="37" t="s">
        <v>197</v>
      </c>
      <c r="BA670" s="37" t="s">
        <v>197</v>
      </c>
      <c r="BB670" s="37" t="s">
        <v>197</v>
      </c>
      <c r="BC670" s="37" t="s">
        <v>197</v>
      </c>
      <c r="BD670" s="37" t="s">
        <v>197</v>
      </c>
      <c r="BE670" s="37" t="s">
        <v>197</v>
      </c>
      <c r="BF670" s="37" t="s">
        <v>197</v>
      </c>
      <c r="BG670" s="37" t="s">
        <v>197</v>
      </c>
      <c r="BH670" s="37" t="s">
        <v>197</v>
      </c>
      <c r="BI670" s="37" t="s">
        <v>197</v>
      </c>
      <c r="BJ670" s="37" t="s">
        <v>197</v>
      </c>
      <c r="BK670" s="37" t="s">
        <v>197</v>
      </c>
      <c r="BL670" s="37" t="s">
        <v>197</v>
      </c>
      <c r="BM670" s="37" t="s">
        <v>197</v>
      </c>
      <c r="BN670" s="37" t="s">
        <v>197</v>
      </c>
      <c r="BO670" s="37" t="s">
        <v>197</v>
      </c>
      <c r="BP670" s="37" t="s">
        <v>197</v>
      </c>
      <c r="BQ670" s="37" t="s">
        <v>197</v>
      </c>
      <c r="BR670" s="37" t="s">
        <v>197</v>
      </c>
      <c r="BS670" s="37" t="s">
        <v>197</v>
      </c>
      <c r="BT670" s="37" t="s">
        <v>197</v>
      </c>
    </row>
    <row r="671" spans="5:72" x14ac:dyDescent="0.25">
      <c r="E671" s="36" t="s">
        <v>20</v>
      </c>
      <c r="F671" s="36">
        <f t="shared" si="211"/>
        <v>0</v>
      </c>
      <c r="G671" s="36">
        <f t="shared" si="212"/>
        <v>0</v>
      </c>
      <c r="H671" s="36">
        <f t="shared" si="213"/>
        <v>0</v>
      </c>
      <c r="I671" s="36">
        <f t="shared" si="214"/>
        <v>0</v>
      </c>
      <c r="J671" s="36">
        <f t="shared" si="215"/>
        <v>0</v>
      </c>
      <c r="K671" s="36">
        <f t="shared" si="216"/>
        <v>0</v>
      </c>
      <c r="L671" s="36">
        <f t="shared" si="217"/>
        <v>0</v>
      </c>
      <c r="M671" s="36">
        <f t="shared" si="218"/>
        <v>0</v>
      </c>
      <c r="N671" s="36">
        <f t="shared" si="219"/>
        <v>0</v>
      </c>
      <c r="O671" s="36">
        <f t="shared" si="220"/>
        <v>0</v>
      </c>
      <c r="P671" s="36">
        <f t="shared" si="221"/>
        <v>0</v>
      </c>
      <c r="Q671" s="36">
        <f t="shared" si="222"/>
        <v>0</v>
      </c>
      <c r="R671" s="36">
        <f t="shared" si="223"/>
        <v>0</v>
      </c>
      <c r="S671" s="36">
        <f t="shared" si="224"/>
        <v>0</v>
      </c>
      <c r="T671" s="36">
        <f t="shared" si="225"/>
        <v>0</v>
      </c>
      <c r="U671" s="36">
        <f t="shared" si="226"/>
        <v>0</v>
      </c>
      <c r="V671" s="36">
        <f t="shared" si="227"/>
        <v>0</v>
      </c>
      <c r="W671" s="36">
        <f t="shared" si="228"/>
        <v>0</v>
      </c>
      <c r="X671" s="36">
        <f t="shared" si="229"/>
        <v>0</v>
      </c>
      <c r="Y671" s="36">
        <f t="shared" si="230"/>
        <v>0</v>
      </c>
      <c r="Z671" s="36">
        <f t="shared" si="231"/>
        <v>0</v>
      </c>
      <c r="AB671" s="36" t="str">
        <f>IF(最佳化斷筋點!C671="","",最佳化斷筋點!C671)</f>
        <v>上層</v>
      </c>
      <c r="AC671" s="37">
        <f>IF(最佳化斷筋點!D671="","",最佳化斷筋點!D671)</f>
        <v>10</v>
      </c>
      <c r="AD671" s="37">
        <f>IF(最佳化斷筋點!E671="","",最佳化斷筋點!E671)</f>
        <v>10</v>
      </c>
      <c r="AE671" s="37">
        <f>IF(最佳化斷筋點!F671="","",最佳化斷筋點!F671)</f>
        <v>10</v>
      </c>
      <c r="AF671" s="37">
        <f>IF(最佳化斷筋點!G671="","",最佳化斷筋點!G671)</f>
        <v>10</v>
      </c>
      <c r="AG671" s="37">
        <f>IF(最佳化斷筋點!H671="","",最佳化斷筋點!H671)</f>
        <v>10</v>
      </c>
      <c r="AH671" s="37">
        <f>IF(最佳化斷筋點!I671="","",最佳化斷筋點!I671)</f>
        <v>10</v>
      </c>
      <c r="AI671" s="37">
        <f>IF(最佳化斷筋點!J671="","",最佳化斷筋點!J671)</f>
        <v>10</v>
      </c>
      <c r="AJ671" s="37">
        <f>IF(最佳化斷筋點!K671="","",最佳化斷筋點!K671)</f>
        <v>4</v>
      </c>
      <c r="AK671" s="37">
        <f>IF(最佳化斷筋點!L671="","",最佳化斷筋點!L671)</f>
        <v>4</v>
      </c>
      <c r="AL671" s="37">
        <f>IF(最佳化斷筋點!M671="","",最佳化斷筋點!M671)</f>
        <v>4</v>
      </c>
      <c r="AM671" s="37">
        <f>IF(最佳化斷筋點!N671="","",最佳化斷筋點!N671)</f>
        <v>4</v>
      </c>
      <c r="AN671" s="37">
        <f>IF(最佳化斷筋點!O671="","",最佳化斷筋點!O671)</f>
        <v>4</v>
      </c>
      <c r="AO671" s="37">
        <f>IF(最佳化斷筋點!P671="","",最佳化斷筋點!P671)</f>
        <v>4</v>
      </c>
      <c r="AP671" s="37">
        <f>IF(最佳化斷筋點!Q671="","",最佳化斷筋點!Q671)</f>
        <v>7</v>
      </c>
      <c r="AQ671" s="37">
        <f>IF(最佳化斷筋點!R671="","",最佳化斷筋點!R671)</f>
        <v>8</v>
      </c>
      <c r="AR671" s="37">
        <f>IF(最佳化斷筋點!S671="","",最佳化斷筋點!S671)</f>
        <v>8</v>
      </c>
      <c r="AS671" s="37">
        <f>IF(最佳化斷筋點!T671="","",最佳化斷筋點!T671)</f>
        <v>8</v>
      </c>
      <c r="AT671" s="37">
        <f>IF(最佳化斷筋點!U671="","",最佳化斷筋點!U671)</f>
        <v>8</v>
      </c>
      <c r="AU671" s="37">
        <f>IF(最佳化斷筋點!V671="","",最佳化斷筋點!V671)</f>
        <v>8</v>
      </c>
      <c r="AV671" s="37">
        <f>IF(最佳化斷筋點!W671="","",最佳化斷筋點!W671)</f>
        <v>8</v>
      </c>
      <c r="AW671" s="37">
        <f>IF(最佳化斷筋點!X671="","",最佳化斷筋點!X671)</f>
        <v>8</v>
      </c>
      <c r="AZ671" s="37">
        <v>10</v>
      </c>
      <c r="BA671" s="37">
        <v>10</v>
      </c>
      <c r="BB671" s="37">
        <v>10</v>
      </c>
      <c r="BC671" s="37">
        <v>10</v>
      </c>
      <c r="BD671" s="37">
        <v>10</v>
      </c>
      <c r="BE671" s="37">
        <v>10</v>
      </c>
      <c r="BF671" s="37">
        <v>10</v>
      </c>
      <c r="BG671" s="37">
        <v>4</v>
      </c>
      <c r="BH671" s="37">
        <v>4</v>
      </c>
      <c r="BI671" s="37">
        <v>4</v>
      </c>
      <c r="BJ671" s="37">
        <v>4</v>
      </c>
      <c r="BK671" s="37">
        <v>4</v>
      </c>
      <c r="BL671" s="37">
        <v>4</v>
      </c>
      <c r="BM671" s="37">
        <v>7</v>
      </c>
      <c r="BN671" s="37">
        <v>8</v>
      </c>
      <c r="BO671" s="37">
        <v>8</v>
      </c>
      <c r="BP671" s="37">
        <v>8</v>
      </c>
      <c r="BQ671" s="37">
        <v>8</v>
      </c>
      <c r="BR671" s="37">
        <v>8</v>
      </c>
      <c r="BS671" s="37">
        <v>8</v>
      </c>
      <c r="BT671" s="37">
        <v>8</v>
      </c>
    </row>
    <row r="672" spans="5:72" x14ac:dyDescent="0.25">
      <c r="E672" s="36"/>
      <c r="F672" s="36">
        <f t="shared" si="211"/>
        <v>0</v>
      </c>
      <c r="G672" s="36">
        <f t="shared" si="212"/>
        <v>0</v>
      </c>
      <c r="H672" s="36">
        <f t="shared" si="213"/>
        <v>0</v>
      </c>
      <c r="I672" s="36">
        <f t="shared" si="214"/>
        <v>0</v>
      </c>
      <c r="J672" s="36">
        <f t="shared" si="215"/>
        <v>0</v>
      </c>
      <c r="K672" s="36">
        <f t="shared" si="216"/>
        <v>0</v>
      </c>
      <c r="L672" s="36">
        <f t="shared" si="217"/>
        <v>0</v>
      </c>
      <c r="M672" s="36">
        <f t="shared" si="218"/>
        <v>0</v>
      </c>
      <c r="N672" s="36">
        <f t="shared" si="219"/>
        <v>0</v>
      </c>
      <c r="O672" s="36">
        <f t="shared" si="220"/>
        <v>0</v>
      </c>
      <c r="P672" s="36">
        <f t="shared" si="221"/>
        <v>0</v>
      </c>
      <c r="Q672" s="36">
        <f t="shared" si="222"/>
        <v>0</v>
      </c>
      <c r="R672" s="36">
        <f t="shared" si="223"/>
        <v>0</v>
      </c>
      <c r="S672" s="36">
        <f t="shared" si="224"/>
        <v>0</v>
      </c>
      <c r="T672" s="36">
        <f t="shared" si="225"/>
        <v>0</v>
      </c>
      <c r="U672" s="36">
        <f t="shared" si="226"/>
        <v>0</v>
      </c>
      <c r="V672" s="36">
        <f t="shared" si="227"/>
        <v>0</v>
      </c>
      <c r="W672" s="36">
        <f t="shared" si="228"/>
        <v>0</v>
      </c>
      <c r="X672" s="36">
        <f t="shared" si="229"/>
        <v>0</v>
      </c>
      <c r="Y672" s="36">
        <f t="shared" si="230"/>
        <v>0</v>
      </c>
      <c r="Z672" s="36">
        <f t="shared" si="231"/>
        <v>0</v>
      </c>
      <c r="AB672" s="36" t="str">
        <f>IF(最佳化斷筋點!C672="","",最佳化斷筋點!C672)</f>
        <v/>
      </c>
      <c r="AC672" s="37" t="str">
        <f>IF(最佳化斷筋點!D672="","",最佳化斷筋點!D672)</f>
        <v/>
      </c>
      <c r="AD672" s="37" t="str">
        <f>IF(最佳化斷筋點!E672="","",最佳化斷筋點!E672)</f>
        <v/>
      </c>
      <c r="AE672" s="37" t="str">
        <f>IF(最佳化斷筋點!F672="","",最佳化斷筋點!F672)</f>
        <v/>
      </c>
      <c r="AF672" s="37" t="str">
        <f>IF(最佳化斷筋點!G672="","",最佳化斷筋點!G672)</f>
        <v/>
      </c>
      <c r="AG672" s="37" t="str">
        <f>IF(最佳化斷筋點!H672="","",最佳化斷筋點!H672)</f>
        <v/>
      </c>
      <c r="AH672" s="37" t="str">
        <f>IF(最佳化斷筋點!I672="","",最佳化斷筋點!I672)</f>
        <v/>
      </c>
      <c r="AI672" s="37" t="str">
        <f>IF(最佳化斷筋點!J672="","",最佳化斷筋點!J672)</f>
        <v/>
      </c>
      <c r="AJ672" s="37" t="str">
        <f>IF(最佳化斷筋點!K672="","",最佳化斷筋點!K672)</f>
        <v/>
      </c>
      <c r="AK672" s="37" t="str">
        <f>IF(最佳化斷筋點!L672="","",最佳化斷筋點!L672)</f>
        <v/>
      </c>
      <c r="AL672" s="37" t="str">
        <f>IF(最佳化斷筋點!M672="","",最佳化斷筋點!M672)</f>
        <v/>
      </c>
      <c r="AM672" s="37" t="str">
        <f>IF(最佳化斷筋點!N672="","",最佳化斷筋點!N672)</f>
        <v/>
      </c>
      <c r="AN672" s="37" t="str">
        <f>IF(最佳化斷筋點!O672="","",最佳化斷筋點!O672)</f>
        <v/>
      </c>
      <c r="AO672" s="37" t="str">
        <f>IF(最佳化斷筋點!P672="","",最佳化斷筋點!P672)</f>
        <v/>
      </c>
      <c r="AP672" s="37" t="str">
        <f>IF(最佳化斷筋點!Q672="","",最佳化斷筋點!Q672)</f>
        <v/>
      </c>
      <c r="AQ672" s="37" t="str">
        <f>IF(最佳化斷筋點!R672="","",最佳化斷筋點!R672)</f>
        <v/>
      </c>
      <c r="AR672" s="37" t="str">
        <f>IF(最佳化斷筋點!S672="","",最佳化斷筋點!S672)</f>
        <v/>
      </c>
      <c r="AS672" s="37" t="str">
        <f>IF(最佳化斷筋點!T672="","",最佳化斷筋點!T672)</f>
        <v/>
      </c>
      <c r="AT672" s="37" t="str">
        <f>IF(最佳化斷筋點!U672="","",最佳化斷筋點!U672)</f>
        <v/>
      </c>
      <c r="AU672" s="37" t="str">
        <f>IF(最佳化斷筋點!V672="","",最佳化斷筋點!V672)</f>
        <v/>
      </c>
      <c r="AV672" s="37" t="str">
        <f>IF(最佳化斷筋點!W672="","",最佳化斷筋點!W672)</f>
        <v/>
      </c>
      <c r="AW672" s="37" t="str">
        <f>IF(最佳化斷筋點!X672="","",最佳化斷筋點!X672)</f>
        <v/>
      </c>
      <c r="AZ672" s="37" t="s">
        <v>197</v>
      </c>
      <c r="BA672" s="37" t="s">
        <v>197</v>
      </c>
      <c r="BB672" s="37" t="s">
        <v>197</v>
      </c>
      <c r="BC672" s="37" t="s">
        <v>197</v>
      </c>
      <c r="BD672" s="37" t="s">
        <v>197</v>
      </c>
      <c r="BE672" s="37" t="s">
        <v>197</v>
      </c>
      <c r="BF672" s="37" t="s">
        <v>197</v>
      </c>
      <c r="BG672" s="37" t="s">
        <v>197</v>
      </c>
      <c r="BH672" s="37" t="s">
        <v>197</v>
      </c>
      <c r="BI672" s="37" t="s">
        <v>197</v>
      </c>
      <c r="BJ672" s="37" t="s">
        <v>197</v>
      </c>
      <c r="BK672" s="37" t="s">
        <v>197</v>
      </c>
      <c r="BL672" s="37" t="s">
        <v>197</v>
      </c>
      <c r="BM672" s="37" t="s">
        <v>197</v>
      </c>
      <c r="BN672" s="37" t="s">
        <v>197</v>
      </c>
      <c r="BO672" s="37" t="s">
        <v>197</v>
      </c>
      <c r="BP672" s="37" t="s">
        <v>197</v>
      </c>
      <c r="BQ672" s="37" t="s">
        <v>197</v>
      </c>
      <c r="BR672" s="37" t="s">
        <v>197</v>
      </c>
      <c r="BS672" s="37" t="s">
        <v>197</v>
      </c>
      <c r="BT672" s="37" t="s">
        <v>197</v>
      </c>
    </row>
    <row r="673" spans="5:72" x14ac:dyDescent="0.25">
      <c r="E673" s="36" t="s">
        <v>21</v>
      </c>
      <c r="F673" s="36">
        <f t="shared" si="211"/>
        <v>0</v>
      </c>
      <c r="G673" s="36">
        <f t="shared" si="212"/>
        <v>0</v>
      </c>
      <c r="H673" s="36">
        <f t="shared" si="213"/>
        <v>0</v>
      </c>
      <c r="I673" s="36">
        <f t="shared" si="214"/>
        <v>0</v>
      </c>
      <c r="J673" s="36">
        <f t="shared" si="215"/>
        <v>0</v>
      </c>
      <c r="K673" s="36">
        <f t="shared" si="216"/>
        <v>0</v>
      </c>
      <c r="L673" s="36">
        <f t="shared" si="217"/>
        <v>0</v>
      </c>
      <c r="M673" s="36">
        <f t="shared" si="218"/>
        <v>0</v>
      </c>
      <c r="N673" s="36">
        <f t="shared" si="219"/>
        <v>0</v>
      </c>
      <c r="O673" s="36">
        <f t="shared" si="220"/>
        <v>0</v>
      </c>
      <c r="P673" s="36">
        <f t="shared" si="221"/>
        <v>0</v>
      </c>
      <c r="Q673" s="36">
        <f t="shared" si="222"/>
        <v>0</v>
      </c>
      <c r="R673" s="36">
        <f t="shared" si="223"/>
        <v>0</v>
      </c>
      <c r="S673" s="36">
        <f t="shared" si="224"/>
        <v>0</v>
      </c>
      <c r="T673" s="36">
        <f t="shared" si="225"/>
        <v>0</v>
      </c>
      <c r="U673" s="36">
        <f t="shared" si="226"/>
        <v>0</v>
      </c>
      <c r="V673" s="36">
        <f t="shared" si="227"/>
        <v>0</v>
      </c>
      <c r="W673" s="36">
        <f t="shared" si="228"/>
        <v>0</v>
      </c>
      <c r="X673" s="36">
        <f t="shared" si="229"/>
        <v>0</v>
      </c>
      <c r="Y673" s="36">
        <f t="shared" si="230"/>
        <v>0</v>
      </c>
      <c r="Z673" s="36">
        <f t="shared" si="231"/>
        <v>0</v>
      </c>
      <c r="AB673" s="36" t="str">
        <f>IF(最佳化斷筋點!C673="","",最佳化斷筋點!C673)</f>
        <v>下層</v>
      </c>
      <c r="AC673" s="37">
        <f>IF(最佳化斷筋點!D673="","",最佳化斷筋點!D673)</f>
        <v>12</v>
      </c>
      <c r="AD673" s="37">
        <f>IF(最佳化斷筋點!E673="","",最佳化斷筋點!E673)</f>
        <v>12</v>
      </c>
      <c r="AE673" s="37">
        <f>IF(最佳化斷筋點!F673="","",最佳化斷筋點!F673)</f>
        <v>12</v>
      </c>
      <c r="AF673" s="37">
        <f>IF(最佳化斷筋點!G673="","",最佳化斷筋點!G673)</f>
        <v>12</v>
      </c>
      <c r="AG673" s="37">
        <f>IF(最佳化斷筋點!H673="","",最佳化斷筋點!H673)</f>
        <v>12</v>
      </c>
      <c r="AH673" s="37">
        <f>IF(最佳化斷筋點!I673="","",最佳化斷筋點!I673)</f>
        <v>11</v>
      </c>
      <c r="AI673" s="37">
        <f>IF(最佳化斷筋點!J673="","",最佳化斷筋點!J673)</f>
        <v>10</v>
      </c>
      <c r="AJ673" s="37">
        <f>IF(最佳化斷筋點!K673="","",最佳化斷筋點!K673)</f>
        <v>5</v>
      </c>
      <c r="AK673" s="37">
        <f>IF(最佳化斷筋點!L673="","",最佳化斷筋點!L673)</f>
        <v>5</v>
      </c>
      <c r="AL673" s="37">
        <f>IF(最佳化斷筋點!M673="","",最佳化斷筋點!M673)</f>
        <v>5</v>
      </c>
      <c r="AM673" s="37">
        <f>IF(最佳化斷筋點!N673="","",最佳化斷筋點!N673)</f>
        <v>5</v>
      </c>
      <c r="AN673" s="37">
        <f>IF(最佳化斷筋點!O673="","",最佳化斷筋點!O673)</f>
        <v>5</v>
      </c>
      <c r="AO673" s="37">
        <f>IF(最佳化斷筋點!P673="","",最佳化斷筋點!P673)</f>
        <v>5</v>
      </c>
      <c r="AP673" s="37">
        <f>IF(最佳化斷筋點!Q673="","",最佳化斷筋點!Q673)</f>
        <v>8</v>
      </c>
      <c r="AQ673" s="37">
        <f>IF(最佳化斷筋點!R673="","",最佳化斷筋點!R673)</f>
        <v>9</v>
      </c>
      <c r="AR673" s="37">
        <f>IF(最佳化斷筋點!S673="","",最佳化斷筋點!S673)</f>
        <v>10</v>
      </c>
      <c r="AS673" s="37">
        <f>IF(最佳化斷筋點!T673="","",最佳化斷筋點!T673)</f>
        <v>11</v>
      </c>
      <c r="AT673" s="37">
        <f>IF(最佳化斷筋點!U673="","",最佳化斷筋點!U673)</f>
        <v>11</v>
      </c>
      <c r="AU673" s="37">
        <f>IF(最佳化斷筋點!V673="","",最佳化斷筋點!V673)</f>
        <v>11</v>
      </c>
      <c r="AV673" s="37">
        <f>IF(最佳化斷筋點!W673="","",最佳化斷筋點!W673)</f>
        <v>11</v>
      </c>
      <c r="AW673" s="37">
        <f>IF(最佳化斷筋點!X673="","",最佳化斷筋點!X673)</f>
        <v>11</v>
      </c>
      <c r="AZ673" s="37">
        <v>12</v>
      </c>
      <c r="BA673" s="37">
        <v>12</v>
      </c>
      <c r="BB673" s="37">
        <v>12</v>
      </c>
      <c r="BC673" s="37">
        <v>12</v>
      </c>
      <c r="BD673" s="37">
        <v>12</v>
      </c>
      <c r="BE673" s="37">
        <v>11</v>
      </c>
      <c r="BF673" s="37">
        <v>10</v>
      </c>
      <c r="BG673" s="37">
        <v>5</v>
      </c>
      <c r="BH673" s="37">
        <v>5</v>
      </c>
      <c r="BI673" s="37">
        <v>5</v>
      </c>
      <c r="BJ673" s="37">
        <v>5</v>
      </c>
      <c r="BK673" s="37">
        <v>5</v>
      </c>
      <c r="BL673" s="37">
        <v>5</v>
      </c>
      <c r="BM673" s="37">
        <v>8</v>
      </c>
      <c r="BN673" s="37">
        <v>9</v>
      </c>
      <c r="BO673" s="37">
        <v>10</v>
      </c>
      <c r="BP673" s="37">
        <v>11</v>
      </c>
      <c r="BQ673" s="37">
        <v>11</v>
      </c>
      <c r="BR673" s="37">
        <v>11</v>
      </c>
      <c r="BS673" s="37">
        <v>11</v>
      </c>
      <c r="BT673" s="37">
        <v>11</v>
      </c>
    </row>
    <row r="674" spans="5:72" x14ac:dyDescent="0.25">
      <c r="E674" s="36"/>
      <c r="F674" s="36">
        <f t="shared" si="211"/>
        <v>0</v>
      </c>
      <c r="G674" s="36">
        <f t="shared" si="212"/>
        <v>0</v>
      </c>
      <c r="H674" s="36">
        <f t="shared" si="213"/>
        <v>0</v>
      </c>
      <c r="I674" s="36">
        <f t="shared" si="214"/>
        <v>0</v>
      </c>
      <c r="J674" s="36">
        <f t="shared" si="215"/>
        <v>0</v>
      </c>
      <c r="K674" s="36">
        <f t="shared" si="216"/>
        <v>0</v>
      </c>
      <c r="L674" s="36">
        <f t="shared" si="217"/>
        <v>0</v>
      </c>
      <c r="M674" s="36">
        <f t="shared" si="218"/>
        <v>0</v>
      </c>
      <c r="N674" s="36">
        <f t="shared" si="219"/>
        <v>0</v>
      </c>
      <c r="O674" s="36">
        <f t="shared" si="220"/>
        <v>0</v>
      </c>
      <c r="P674" s="36">
        <f t="shared" si="221"/>
        <v>0</v>
      </c>
      <c r="Q674" s="36">
        <f t="shared" si="222"/>
        <v>0</v>
      </c>
      <c r="R674" s="36">
        <f t="shared" si="223"/>
        <v>0</v>
      </c>
      <c r="S674" s="36">
        <f t="shared" si="224"/>
        <v>0</v>
      </c>
      <c r="T674" s="36">
        <f t="shared" si="225"/>
        <v>0</v>
      </c>
      <c r="U674" s="36">
        <f t="shared" si="226"/>
        <v>0</v>
      </c>
      <c r="V674" s="36">
        <f t="shared" si="227"/>
        <v>0</v>
      </c>
      <c r="W674" s="36">
        <f t="shared" si="228"/>
        <v>0</v>
      </c>
      <c r="X674" s="36">
        <f t="shared" si="229"/>
        <v>0</v>
      </c>
      <c r="Y674" s="36">
        <f t="shared" si="230"/>
        <v>0</v>
      </c>
      <c r="Z674" s="36">
        <f t="shared" si="231"/>
        <v>0</v>
      </c>
      <c r="AB674" s="36" t="str">
        <f>IF(最佳化斷筋點!C674="","",最佳化斷筋點!C674)</f>
        <v/>
      </c>
      <c r="AC674" s="37" t="str">
        <f>IF(最佳化斷筋點!D674="","",最佳化斷筋點!D674)</f>
        <v/>
      </c>
      <c r="AD674" s="37" t="str">
        <f>IF(最佳化斷筋點!E674="","",最佳化斷筋點!E674)</f>
        <v/>
      </c>
      <c r="AE674" s="37" t="str">
        <f>IF(最佳化斷筋點!F674="","",最佳化斷筋點!F674)</f>
        <v/>
      </c>
      <c r="AF674" s="37" t="str">
        <f>IF(最佳化斷筋點!G674="","",最佳化斷筋點!G674)</f>
        <v/>
      </c>
      <c r="AG674" s="37" t="str">
        <f>IF(最佳化斷筋點!H674="","",最佳化斷筋點!H674)</f>
        <v/>
      </c>
      <c r="AH674" s="37" t="str">
        <f>IF(最佳化斷筋點!I674="","",最佳化斷筋點!I674)</f>
        <v/>
      </c>
      <c r="AI674" s="37" t="str">
        <f>IF(最佳化斷筋點!J674="","",最佳化斷筋點!J674)</f>
        <v/>
      </c>
      <c r="AJ674" s="37" t="str">
        <f>IF(最佳化斷筋點!K674="","",最佳化斷筋點!K674)</f>
        <v/>
      </c>
      <c r="AK674" s="37" t="str">
        <f>IF(最佳化斷筋點!L674="","",最佳化斷筋點!L674)</f>
        <v/>
      </c>
      <c r="AL674" s="37" t="str">
        <f>IF(最佳化斷筋點!M674="","",最佳化斷筋點!M674)</f>
        <v/>
      </c>
      <c r="AM674" s="37" t="str">
        <f>IF(最佳化斷筋點!N674="","",最佳化斷筋點!N674)</f>
        <v/>
      </c>
      <c r="AN674" s="37" t="str">
        <f>IF(最佳化斷筋點!O674="","",最佳化斷筋點!O674)</f>
        <v/>
      </c>
      <c r="AO674" s="37" t="str">
        <f>IF(最佳化斷筋點!P674="","",最佳化斷筋點!P674)</f>
        <v/>
      </c>
      <c r="AP674" s="37" t="str">
        <f>IF(最佳化斷筋點!Q674="","",最佳化斷筋點!Q674)</f>
        <v/>
      </c>
      <c r="AQ674" s="37" t="str">
        <f>IF(最佳化斷筋點!R674="","",最佳化斷筋點!R674)</f>
        <v/>
      </c>
      <c r="AR674" s="37" t="str">
        <f>IF(最佳化斷筋點!S674="","",最佳化斷筋點!S674)</f>
        <v/>
      </c>
      <c r="AS674" s="37" t="str">
        <f>IF(最佳化斷筋點!T674="","",最佳化斷筋點!T674)</f>
        <v/>
      </c>
      <c r="AT674" s="37" t="str">
        <f>IF(最佳化斷筋點!U674="","",最佳化斷筋點!U674)</f>
        <v/>
      </c>
      <c r="AU674" s="37" t="str">
        <f>IF(最佳化斷筋點!V674="","",最佳化斷筋點!V674)</f>
        <v/>
      </c>
      <c r="AV674" s="37" t="str">
        <f>IF(最佳化斷筋點!W674="","",最佳化斷筋點!W674)</f>
        <v/>
      </c>
      <c r="AW674" s="37" t="str">
        <f>IF(最佳化斷筋點!X674="","",最佳化斷筋點!X674)</f>
        <v/>
      </c>
      <c r="AZ674" s="37" t="s">
        <v>197</v>
      </c>
      <c r="BA674" s="37" t="s">
        <v>197</v>
      </c>
      <c r="BB674" s="37" t="s">
        <v>197</v>
      </c>
      <c r="BC674" s="37" t="s">
        <v>197</v>
      </c>
      <c r="BD674" s="37" t="s">
        <v>197</v>
      </c>
      <c r="BE674" s="37" t="s">
        <v>197</v>
      </c>
      <c r="BF674" s="37" t="s">
        <v>197</v>
      </c>
      <c r="BG674" s="37" t="s">
        <v>197</v>
      </c>
      <c r="BH674" s="37" t="s">
        <v>197</v>
      </c>
      <c r="BI674" s="37" t="s">
        <v>197</v>
      </c>
      <c r="BJ674" s="37" t="s">
        <v>197</v>
      </c>
      <c r="BK674" s="37" t="s">
        <v>197</v>
      </c>
      <c r="BL674" s="37" t="s">
        <v>197</v>
      </c>
      <c r="BM674" s="37" t="s">
        <v>197</v>
      </c>
      <c r="BN674" s="37" t="s">
        <v>197</v>
      </c>
      <c r="BO674" s="37" t="s">
        <v>197</v>
      </c>
      <c r="BP674" s="37" t="s">
        <v>197</v>
      </c>
      <c r="BQ674" s="37" t="s">
        <v>197</v>
      </c>
      <c r="BR674" s="37" t="s">
        <v>197</v>
      </c>
      <c r="BS674" s="37" t="s">
        <v>197</v>
      </c>
      <c r="BT674" s="37" t="s">
        <v>197</v>
      </c>
    </row>
    <row r="675" spans="5:72" x14ac:dyDescent="0.25">
      <c r="E675" s="36" t="s">
        <v>20</v>
      </c>
      <c r="F675" s="36">
        <f t="shared" si="211"/>
        <v>0</v>
      </c>
      <c r="G675" s="36">
        <f t="shared" si="212"/>
        <v>0</v>
      </c>
      <c r="H675" s="36">
        <f t="shared" si="213"/>
        <v>0</v>
      </c>
      <c r="I675" s="36">
        <f t="shared" si="214"/>
        <v>0</v>
      </c>
      <c r="J675" s="36">
        <f t="shared" si="215"/>
        <v>0</v>
      </c>
      <c r="K675" s="36">
        <f t="shared" si="216"/>
        <v>0</v>
      </c>
      <c r="L675" s="36">
        <f t="shared" si="217"/>
        <v>0</v>
      </c>
      <c r="M675" s="36">
        <f t="shared" si="218"/>
        <v>0</v>
      </c>
      <c r="N675" s="36">
        <f t="shared" si="219"/>
        <v>0</v>
      </c>
      <c r="O675" s="36">
        <f t="shared" si="220"/>
        <v>0</v>
      </c>
      <c r="P675" s="36">
        <f t="shared" si="221"/>
        <v>0</v>
      </c>
      <c r="Q675" s="36">
        <f t="shared" si="222"/>
        <v>0</v>
      </c>
      <c r="R675" s="36">
        <f t="shared" si="223"/>
        <v>0</v>
      </c>
      <c r="S675" s="36">
        <f t="shared" si="224"/>
        <v>0</v>
      </c>
      <c r="T675" s="36">
        <f t="shared" si="225"/>
        <v>0</v>
      </c>
      <c r="U675" s="36">
        <f t="shared" si="226"/>
        <v>0</v>
      </c>
      <c r="V675" s="36">
        <f t="shared" si="227"/>
        <v>0</v>
      </c>
      <c r="W675" s="36">
        <f t="shared" si="228"/>
        <v>0</v>
      </c>
      <c r="X675" s="36">
        <f t="shared" si="229"/>
        <v>0</v>
      </c>
      <c r="Y675" s="36">
        <f t="shared" si="230"/>
        <v>0</v>
      </c>
      <c r="Z675" s="36">
        <f t="shared" si="231"/>
        <v>0</v>
      </c>
      <c r="AB675" s="36" t="str">
        <f>IF(最佳化斷筋點!C675="","",最佳化斷筋點!C675)</f>
        <v>上層</v>
      </c>
      <c r="AC675" s="37">
        <f>IF(最佳化斷筋點!D675="","",最佳化斷筋點!D675)</f>
        <v>10</v>
      </c>
      <c r="AD675" s="37">
        <f>IF(最佳化斷筋點!E675="","",最佳化斷筋點!E675)</f>
        <v>10</v>
      </c>
      <c r="AE675" s="37">
        <f>IF(最佳化斷筋點!F675="","",最佳化斷筋點!F675)</f>
        <v>10</v>
      </c>
      <c r="AF675" s="37">
        <f>IF(最佳化斷筋點!G675="","",最佳化斷筋點!G675)</f>
        <v>10</v>
      </c>
      <c r="AG675" s="37">
        <f>IF(最佳化斷筋點!H675="","",最佳化斷筋點!H675)</f>
        <v>10</v>
      </c>
      <c r="AH675" s="37">
        <f>IF(最佳化斷筋點!I675="","",最佳化斷筋點!I675)</f>
        <v>10</v>
      </c>
      <c r="AI675" s="37">
        <f>IF(最佳化斷筋點!J675="","",最佳化斷筋點!J675)</f>
        <v>10</v>
      </c>
      <c r="AJ675" s="37">
        <f>IF(最佳化斷筋點!K675="","",最佳化斷筋點!K675)</f>
        <v>4</v>
      </c>
      <c r="AK675" s="37">
        <f>IF(最佳化斷筋點!L675="","",最佳化斷筋點!L675)</f>
        <v>4</v>
      </c>
      <c r="AL675" s="37">
        <f>IF(最佳化斷筋點!M675="","",最佳化斷筋點!M675)</f>
        <v>4</v>
      </c>
      <c r="AM675" s="37">
        <f>IF(最佳化斷筋點!N675="","",最佳化斷筋點!N675)</f>
        <v>4</v>
      </c>
      <c r="AN675" s="37">
        <f>IF(最佳化斷筋點!O675="","",最佳化斷筋點!O675)</f>
        <v>4</v>
      </c>
      <c r="AO675" s="37">
        <f>IF(最佳化斷筋點!P675="","",最佳化斷筋點!P675)</f>
        <v>4</v>
      </c>
      <c r="AP675" s="37">
        <f>IF(最佳化斷筋點!Q675="","",最佳化斷筋點!Q675)</f>
        <v>6</v>
      </c>
      <c r="AQ675" s="37">
        <f>IF(最佳化斷筋點!R675="","",最佳化斷筋點!R675)</f>
        <v>6</v>
      </c>
      <c r="AR675" s="37">
        <f>IF(最佳化斷筋點!S675="","",最佳化斷筋點!S675)</f>
        <v>7</v>
      </c>
      <c r="AS675" s="37">
        <f>IF(最佳化斷筋點!T675="","",最佳化斷筋點!T675)</f>
        <v>7</v>
      </c>
      <c r="AT675" s="37">
        <f>IF(最佳化斷筋點!U675="","",最佳化斷筋點!U675)</f>
        <v>7</v>
      </c>
      <c r="AU675" s="37">
        <f>IF(最佳化斷筋點!V675="","",最佳化斷筋點!V675)</f>
        <v>7</v>
      </c>
      <c r="AV675" s="37">
        <f>IF(最佳化斷筋點!W675="","",最佳化斷筋點!W675)</f>
        <v>7</v>
      </c>
      <c r="AW675" s="37">
        <f>IF(最佳化斷筋點!X675="","",最佳化斷筋點!X675)</f>
        <v>7</v>
      </c>
      <c r="AZ675" s="37">
        <v>10</v>
      </c>
      <c r="BA675" s="37">
        <v>10</v>
      </c>
      <c r="BB675" s="37">
        <v>10</v>
      </c>
      <c r="BC675" s="37">
        <v>10</v>
      </c>
      <c r="BD675" s="37">
        <v>10</v>
      </c>
      <c r="BE675" s="37">
        <v>10</v>
      </c>
      <c r="BF675" s="37">
        <v>10</v>
      </c>
      <c r="BG675" s="37">
        <v>4</v>
      </c>
      <c r="BH675" s="37">
        <v>4</v>
      </c>
      <c r="BI675" s="37">
        <v>4</v>
      </c>
      <c r="BJ675" s="37">
        <v>4</v>
      </c>
      <c r="BK675" s="37">
        <v>4</v>
      </c>
      <c r="BL675" s="37">
        <v>4</v>
      </c>
      <c r="BM675" s="37">
        <v>6</v>
      </c>
      <c r="BN675" s="37">
        <v>6</v>
      </c>
      <c r="BO675" s="37">
        <v>7</v>
      </c>
      <c r="BP675" s="37">
        <v>7</v>
      </c>
      <c r="BQ675" s="37">
        <v>7</v>
      </c>
      <c r="BR675" s="37">
        <v>7</v>
      </c>
      <c r="BS675" s="37">
        <v>7</v>
      </c>
      <c r="BT675" s="37">
        <v>7</v>
      </c>
    </row>
    <row r="676" spans="5:72" x14ac:dyDescent="0.25">
      <c r="E676" s="36"/>
      <c r="F676" s="36">
        <f t="shared" si="211"/>
        <v>0</v>
      </c>
      <c r="G676" s="36">
        <f t="shared" si="212"/>
        <v>0</v>
      </c>
      <c r="H676" s="36">
        <f t="shared" si="213"/>
        <v>0</v>
      </c>
      <c r="I676" s="36">
        <f t="shared" si="214"/>
        <v>0</v>
      </c>
      <c r="J676" s="36">
        <f t="shared" si="215"/>
        <v>0</v>
      </c>
      <c r="K676" s="36">
        <f t="shared" si="216"/>
        <v>0</v>
      </c>
      <c r="L676" s="36">
        <f t="shared" si="217"/>
        <v>0</v>
      </c>
      <c r="M676" s="36">
        <f t="shared" si="218"/>
        <v>0</v>
      </c>
      <c r="N676" s="36">
        <f t="shared" si="219"/>
        <v>0</v>
      </c>
      <c r="O676" s="36">
        <f t="shared" si="220"/>
        <v>0</v>
      </c>
      <c r="P676" s="36">
        <f t="shared" si="221"/>
        <v>0</v>
      </c>
      <c r="Q676" s="36">
        <f t="shared" si="222"/>
        <v>0</v>
      </c>
      <c r="R676" s="36">
        <f t="shared" si="223"/>
        <v>0</v>
      </c>
      <c r="S676" s="36">
        <f t="shared" si="224"/>
        <v>0</v>
      </c>
      <c r="T676" s="36">
        <f t="shared" si="225"/>
        <v>0</v>
      </c>
      <c r="U676" s="36">
        <f t="shared" si="226"/>
        <v>0</v>
      </c>
      <c r="V676" s="36">
        <f t="shared" si="227"/>
        <v>0</v>
      </c>
      <c r="W676" s="36">
        <f t="shared" si="228"/>
        <v>0</v>
      </c>
      <c r="X676" s="36">
        <f t="shared" si="229"/>
        <v>0</v>
      </c>
      <c r="Y676" s="36">
        <f t="shared" si="230"/>
        <v>0</v>
      </c>
      <c r="Z676" s="36">
        <f t="shared" si="231"/>
        <v>0</v>
      </c>
      <c r="AB676" s="36" t="str">
        <f>IF(最佳化斷筋點!C676="","",最佳化斷筋點!C676)</f>
        <v/>
      </c>
      <c r="AC676" s="37" t="str">
        <f>IF(最佳化斷筋點!D676="","",最佳化斷筋點!D676)</f>
        <v/>
      </c>
      <c r="AD676" s="37" t="str">
        <f>IF(最佳化斷筋點!E676="","",最佳化斷筋點!E676)</f>
        <v/>
      </c>
      <c r="AE676" s="37" t="str">
        <f>IF(最佳化斷筋點!F676="","",最佳化斷筋點!F676)</f>
        <v/>
      </c>
      <c r="AF676" s="37" t="str">
        <f>IF(最佳化斷筋點!G676="","",最佳化斷筋點!G676)</f>
        <v/>
      </c>
      <c r="AG676" s="37" t="str">
        <f>IF(最佳化斷筋點!H676="","",最佳化斷筋點!H676)</f>
        <v/>
      </c>
      <c r="AH676" s="37" t="str">
        <f>IF(最佳化斷筋點!I676="","",最佳化斷筋點!I676)</f>
        <v/>
      </c>
      <c r="AI676" s="37" t="str">
        <f>IF(最佳化斷筋點!J676="","",最佳化斷筋點!J676)</f>
        <v/>
      </c>
      <c r="AJ676" s="37" t="str">
        <f>IF(最佳化斷筋點!K676="","",最佳化斷筋點!K676)</f>
        <v/>
      </c>
      <c r="AK676" s="37" t="str">
        <f>IF(最佳化斷筋點!L676="","",最佳化斷筋點!L676)</f>
        <v/>
      </c>
      <c r="AL676" s="37" t="str">
        <f>IF(最佳化斷筋點!M676="","",最佳化斷筋點!M676)</f>
        <v/>
      </c>
      <c r="AM676" s="37" t="str">
        <f>IF(最佳化斷筋點!N676="","",最佳化斷筋點!N676)</f>
        <v/>
      </c>
      <c r="AN676" s="37" t="str">
        <f>IF(最佳化斷筋點!O676="","",最佳化斷筋點!O676)</f>
        <v/>
      </c>
      <c r="AO676" s="37" t="str">
        <f>IF(最佳化斷筋點!P676="","",最佳化斷筋點!P676)</f>
        <v/>
      </c>
      <c r="AP676" s="37" t="str">
        <f>IF(最佳化斷筋點!Q676="","",最佳化斷筋點!Q676)</f>
        <v/>
      </c>
      <c r="AQ676" s="37" t="str">
        <f>IF(最佳化斷筋點!R676="","",最佳化斷筋點!R676)</f>
        <v/>
      </c>
      <c r="AR676" s="37" t="str">
        <f>IF(最佳化斷筋點!S676="","",最佳化斷筋點!S676)</f>
        <v/>
      </c>
      <c r="AS676" s="37" t="str">
        <f>IF(最佳化斷筋點!T676="","",最佳化斷筋點!T676)</f>
        <v/>
      </c>
      <c r="AT676" s="37" t="str">
        <f>IF(最佳化斷筋點!U676="","",最佳化斷筋點!U676)</f>
        <v/>
      </c>
      <c r="AU676" s="37" t="str">
        <f>IF(最佳化斷筋點!V676="","",最佳化斷筋點!V676)</f>
        <v/>
      </c>
      <c r="AV676" s="37" t="str">
        <f>IF(最佳化斷筋點!W676="","",最佳化斷筋點!W676)</f>
        <v/>
      </c>
      <c r="AW676" s="37" t="str">
        <f>IF(最佳化斷筋點!X676="","",最佳化斷筋點!X676)</f>
        <v/>
      </c>
      <c r="AZ676" s="37" t="s">
        <v>197</v>
      </c>
      <c r="BA676" s="37" t="s">
        <v>197</v>
      </c>
      <c r="BB676" s="37" t="s">
        <v>197</v>
      </c>
      <c r="BC676" s="37" t="s">
        <v>197</v>
      </c>
      <c r="BD676" s="37" t="s">
        <v>197</v>
      </c>
      <c r="BE676" s="37" t="s">
        <v>197</v>
      </c>
      <c r="BF676" s="37" t="s">
        <v>197</v>
      </c>
      <c r="BG676" s="37" t="s">
        <v>197</v>
      </c>
      <c r="BH676" s="37" t="s">
        <v>197</v>
      </c>
      <c r="BI676" s="37" t="s">
        <v>197</v>
      </c>
      <c r="BJ676" s="37" t="s">
        <v>197</v>
      </c>
      <c r="BK676" s="37" t="s">
        <v>197</v>
      </c>
      <c r="BL676" s="37" t="s">
        <v>197</v>
      </c>
      <c r="BM676" s="37" t="s">
        <v>197</v>
      </c>
      <c r="BN676" s="37" t="s">
        <v>197</v>
      </c>
      <c r="BO676" s="37" t="s">
        <v>197</v>
      </c>
      <c r="BP676" s="37" t="s">
        <v>197</v>
      </c>
      <c r="BQ676" s="37" t="s">
        <v>197</v>
      </c>
      <c r="BR676" s="37" t="s">
        <v>197</v>
      </c>
      <c r="BS676" s="37" t="s">
        <v>197</v>
      </c>
      <c r="BT676" s="37" t="s">
        <v>197</v>
      </c>
    </row>
    <row r="677" spans="5:72" x14ac:dyDescent="0.25">
      <c r="E677" s="36" t="s">
        <v>21</v>
      </c>
      <c r="F677" s="36">
        <f t="shared" si="211"/>
        <v>0</v>
      </c>
      <c r="G677" s="36">
        <f t="shared" si="212"/>
        <v>0</v>
      </c>
      <c r="H677" s="36">
        <f t="shared" si="213"/>
        <v>0</v>
      </c>
      <c r="I677" s="36">
        <f t="shared" si="214"/>
        <v>0</v>
      </c>
      <c r="J677" s="36">
        <f t="shared" si="215"/>
        <v>0</v>
      </c>
      <c r="K677" s="36">
        <f t="shared" si="216"/>
        <v>0</v>
      </c>
      <c r="L677" s="36">
        <f t="shared" si="217"/>
        <v>0</v>
      </c>
      <c r="M677" s="36">
        <f t="shared" si="218"/>
        <v>0</v>
      </c>
      <c r="N677" s="36">
        <f t="shared" si="219"/>
        <v>0</v>
      </c>
      <c r="O677" s="36">
        <f t="shared" si="220"/>
        <v>0</v>
      </c>
      <c r="P677" s="36">
        <f t="shared" si="221"/>
        <v>0</v>
      </c>
      <c r="Q677" s="36">
        <f t="shared" si="222"/>
        <v>0</v>
      </c>
      <c r="R677" s="36">
        <f t="shared" si="223"/>
        <v>0</v>
      </c>
      <c r="S677" s="36">
        <f t="shared" si="224"/>
        <v>0</v>
      </c>
      <c r="T677" s="36">
        <f t="shared" si="225"/>
        <v>0</v>
      </c>
      <c r="U677" s="36">
        <f t="shared" si="226"/>
        <v>0</v>
      </c>
      <c r="V677" s="36">
        <f t="shared" si="227"/>
        <v>0</v>
      </c>
      <c r="W677" s="36">
        <f t="shared" si="228"/>
        <v>0</v>
      </c>
      <c r="X677" s="36">
        <f t="shared" si="229"/>
        <v>0</v>
      </c>
      <c r="Y677" s="36">
        <f t="shared" si="230"/>
        <v>0</v>
      </c>
      <c r="Z677" s="36">
        <f t="shared" si="231"/>
        <v>0</v>
      </c>
      <c r="AB677" s="36" t="str">
        <f>IF(最佳化斷筋點!C677="","",最佳化斷筋點!C677)</f>
        <v>下層</v>
      </c>
      <c r="AC677" s="37">
        <f>IF(最佳化斷筋點!D677="","",最佳化斷筋點!D677)</f>
        <v>11</v>
      </c>
      <c r="AD677" s="37">
        <f>IF(最佳化斷筋點!E677="","",最佳化斷筋點!E677)</f>
        <v>11</v>
      </c>
      <c r="AE677" s="37">
        <f>IF(最佳化斷筋點!F677="","",最佳化斷筋點!F677)</f>
        <v>11</v>
      </c>
      <c r="AF677" s="37">
        <f>IF(最佳化斷筋點!G677="","",最佳化斷筋點!G677)</f>
        <v>11</v>
      </c>
      <c r="AG677" s="37">
        <f>IF(最佳化斷筋點!H677="","",最佳化斷筋點!H677)</f>
        <v>11</v>
      </c>
      <c r="AH677" s="37">
        <f>IF(最佳化斷筋點!I677="","",最佳化斷筋點!I677)</f>
        <v>10</v>
      </c>
      <c r="AI677" s="37">
        <f>IF(最佳化斷筋點!J677="","",最佳化斷筋點!J677)</f>
        <v>9</v>
      </c>
      <c r="AJ677" s="37">
        <f>IF(最佳化斷筋點!K677="","",最佳化斷筋點!K677)</f>
        <v>4</v>
      </c>
      <c r="AK677" s="37">
        <f>IF(最佳化斷筋點!L677="","",最佳化斷筋點!L677)</f>
        <v>4</v>
      </c>
      <c r="AL677" s="37">
        <f>IF(最佳化斷筋點!M677="","",最佳化斷筋點!M677)</f>
        <v>4</v>
      </c>
      <c r="AM677" s="37">
        <f>IF(最佳化斷筋點!N677="","",最佳化斷筋點!N677)</f>
        <v>4</v>
      </c>
      <c r="AN677" s="37">
        <f>IF(最佳化斷筋點!O677="","",最佳化斷筋點!O677)</f>
        <v>4</v>
      </c>
      <c r="AO677" s="37">
        <f>IF(最佳化斷筋點!P677="","",最佳化斷筋點!P677)</f>
        <v>4</v>
      </c>
      <c r="AP677" s="37">
        <f>IF(最佳化斷筋點!Q677="","",最佳化斷筋點!Q677)</f>
        <v>9</v>
      </c>
      <c r="AQ677" s="37">
        <f>IF(最佳化斷筋點!R677="","",最佳化斷筋點!R677)</f>
        <v>10</v>
      </c>
      <c r="AR677" s="37">
        <f>IF(最佳化斷筋點!S677="","",最佳化斷筋點!S677)</f>
        <v>11</v>
      </c>
      <c r="AS677" s="37">
        <f>IF(最佳化斷筋點!T677="","",最佳化斷筋點!T677)</f>
        <v>12</v>
      </c>
      <c r="AT677" s="37">
        <f>IF(最佳化斷筋點!U677="","",最佳化斷筋點!U677)</f>
        <v>12</v>
      </c>
      <c r="AU677" s="37">
        <f>IF(最佳化斷筋點!V677="","",最佳化斷筋點!V677)</f>
        <v>12</v>
      </c>
      <c r="AV677" s="37">
        <f>IF(最佳化斷筋點!W677="","",最佳化斷筋點!W677)</f>
        <v>12</v>
      </c>
      <c r="AW677" s="37">
        <f>IF(最佳化斷筋點!X677="","",最佳化斷筋點!X677)</f>
        <v>12</v>
      </c>
      <c r="AZ677" s="37">
        <v>11</v>
      </c>
      <c r="BA677" s="37">
        <v>11</v>
      </c>
      <c r="BB677" s="37">
        <v>11</v>
      </c>
      <c r="BC677" s="37">
        <v>11</v>
      </c>
      <c r="BD677" s="37">
        <v>11</v>
      </c>
      <c r="BE677" s="37">
        <v>10</v>
      </c>
      <c r="BF677" s="37">
        <v>9</v>
      </c>
      <c r="BG677" s="37">
        <v>4</v>
      </c>
      <c r="BH677" s="37">
        <v>4</v>
      </c>
      <c r="BI677" s="37">
        <v>4</v>
      </c>
      <c r="BJ677" s="37">
        <v>4</v>
      </c>
      <c r="BK677" s="37">
        <v>4</v>
      </c>
      <c r="BL677" s="37">
        <v>4</v>
      </c>
      <c r="BM677" s="37">
        <v>9</v>
      </c>
      <c r="BN677" s="37">
        <v>10</v>
      </c>
      <c r="BO677" s="37">
        <v>11</v>
      </c>
      <c r="BP677" s="37">
        <v>12</v>
      </c>
      <c r="BQ677" s="37">
        <v>12</v>
      </c>
      <c r="BR677" s="37">
        <v>12</v>
      </c>
      <c r="BS677" s="37">
        <v>12</v>
      </c>
      <c r="BT677" s="37">
        <v>12</v>
      </c>
    </row>
    <row r="678" spans="5:72" x14ac:dyDescent="0.25">
      <c r="E678" s="36"/>
      <c r="F678" s="36">
        <f t="shared" si="211"/>
        <v>0</v>
      </c>
      <c r="G678" s="36">
        <f t="shared" si="212"/>
        <v>0</v>
      </c>
      <c r="H678" s="36">
        <f t="shared" si="213"/>
        <v>0</v>
      </c>
      <c r="I678" s="36">
        <f t="shared" si="214"/>
        <v>0</v>
      </c>
      <c r="J678" s="36">
        <f t="shared" si="215"/>
        <v>0</v>
      </c>
      <c r="K678" s="36">
        <f t="shared" si="216"/>
        <v>0</v>
      </c>
      <c r="L678" s="36">
        <f t="shared" si="217"/>
        <v>0</v>
      </c>
      <c r="M678" s="36">
        <f t="shared" si="218"/>
        <v>0</v>
      </c>
      <c r="N678" s="36">
        <f t="shared" si="219"/>
        <v>0</v>
      </c>
      <c r="O678" s="36">
        <f t="shared" si="220"/>
        <v>0</v>
      </c>
      <c r="P678" s="36">
        <f t="shared" si="221"/>
        <v>0</v>
      </c>
      <c r="Q678" s="36">
        <f t="shared" si="222"/>
        <v>0</v>
      </c>
      <c r="R678" s="36">
        <f t="shared" si="223"/>
        <v>0</v>
      </c>
      <c r="S678" s="36">
        <f t="shared" si="224"/>
        <v>0</v>
      </c>
      <c r="T678" s="36">
        <f t="shared" si="225"/>
        <v>0</v>
      </c>
      <c r="U678" s="36">
        <f t="shared" si="226"/>
        <v>0</v>
      </c>
      <c r="V678" s="36">
        <f t="shared" si="227"/>
        <v>0</v>
      </c>
      <c r="W678" s="36">
        <f t="shared" si="228"/>
        <v>0</v>
      </c>
      <c r="X678" s="36">
        <f t="shared" si="229"/>
        <v>0</v>
      </c>
      <c r="Y678" s="36">
        <f t="shared" si="230"/>
        <v>0</v>
      </c>
      <c r="Z678" s="36">
        <f t="shared" si="231"/>
        <v>0</v>
      </c>
      <c r="AB678" s="36" t="str">
        <f>IF(最佳化斷筋點!C678="","",最佳化斷筋點!C678)</f>
        <v/>
      </c>
      <c r="AC678" s="37" t="str">
        <f>IF(最佳化斷筋點!D678="","",最佳化斷筋點!D678)</f>
        <v/>
      </c>
      <c r="AD678" s="37" t="str">
        <f>IF(最佳化斷筋點!E678="","",最佳化斷筋點!E678)</f>
        <v/>
      </c>
      <c r="AE678" s="37" t="str">
        <f>IF(最佳化斷筋點!F678="","",最佳化斷筋點!F678)</f>
        <v/>
      </c>
      <c r="AF678" s="37" t="str">
        <f>IF(最佳化斷筋點!G678="","",最佳化斷筋點!G678)</f>
        <v/>
      </c>
      <c r="AG678" s="37" t="str">
        <f>IF(最佳化斷筋點!H678="","",最佳化斷筋點!H678)</f>
        <v/>
      </c>
      <c r="AH678" s="37" t="str">
        <f>IF(最佳化斷筋點!I678="","",最佳化斷筋點!I678)</f>
        <v/>
      </c>
      <c r="AI678" s="37" t="str">
        <f>IF(最佳化斷筋點!J678="","",最佳化斷筋點!J678)</f>
        <v/>
      </c>
      <c r="AJ678" s="37" t="str">
        <f>IF(最佳化斷筋點!K678="","",最佳化斷筋點!K678)</f>
        <v/>
      </c>
      <c r="AK678" s="37" t="str">
        <f>IF(最佳化斷筋點!L678="","",最佳化斷筋點!L678)</f>
        <v/>
      </c>
      <c r="AL678" s="37" t="str">
        <f>IF(最佳化斷筋點!M678="","",最佳化斷筋點!M678)</f>
        <v/>
      </c>
      <c r="AM678" s="37" t="str">
        <f>IF(最佳化斷筋點!N678="","",最佳化斷筋點!N678)</f>
        <v/>
      </c>
      <c r="AN678" s="37" t="str">
        <f>IF(最佳化斷筋點!O678="","",最佳化斷筋點!O678)</f>
        <v/>
      </c>
      <c r="AO678" s="37" t="str">
        <f>IF(最佳化斷筋點!P678="","",最佳化斷筋點!P678)</f>
        <v/>
      </c>
      <c r="AP678" s="37" t="str">
        <f>IF(最佳化斷筋點!Q678="","",最佳化斷筋點!Q678)</f>
        <v/>
      </c>
      <c r="AQ678" s="37" t="str">
        <f>IF(最佳化斷筋點!R678="","",最佳化斷筋點!R678)</f>
        <v/>
      </c>
      <c r="AR678" s="37" t="str">
        <f>IF(最佳化斷筋點!S678="","",最佳化斷筋點!S678)</f>
        <v/>
      </c>
      <c r="AS678" s="37" t="str">
        <f>IF(最佳化斷筋點!T678="","",最佳化斷筋點!T678)</f>
        <v/>
      </c>
      <c r="AT678" s="37" t="str">
        <f>IF(最佳化斷筋點!U678="","",最佳化斷筋點!U678)</f>
        <v/>
      </c>
      <c r="AU678" s="37" t="str">
        <f>IF(最佳化斷筋點!V678="","",最佳化斷筋點!V678)</f>
        <v/>
      </c>
      <c r="AV678" s="37" t="str">
        <f>IF(最佳化斷筋點!W678="","",最佳化斷筋點!W678)</f>
        <v/>
      </c>
      <c r="AW678" s="37" t="str">
        <f>IF(最佳化斷筋點!X678="","",最佳化斷筋點!X678)</f>
        <v/>
      </c>
      <c r="AZ678" s="37" t="s">
        <v>197</v>
      </c>
      <c r="BA678" s="37" t="s">
        <v>197</v>
      </c>
      <c r="BB678" s="37" t="s">
        <v>197</v>
      </c>
      <c r="BC678" s="37" t="s">
        <v>197</v>
      </c>
      <c r="BD678" s="37" t="s">
        <v>197</v>
      </c>
      <c r="BE678" s="37" t="s">
        <v>197</v>
      </c>
      <c r="BF678" s="37" t="s">
        <v>197</v>
      </c>
      <c r="BG678" s="37" t="s">
        <v>197</v>
      </c>
      <c r="BH678" s="37" t="s">
        <v>197</v>
      </c>
      <c r="BI678" s="37" t="s">
        <v>197</v>
      </c>
      <c r="BJ678" s="37" t="s">
        <v>197</v>
      </c>
      <c r="BK678" s="37" t="s">
        <v>197</v>
      </c>
      <c r="BL678" s="37" t="s">
        <v>197</v>
      </c>
      <c r="BM678" s="37" t="s">
        <v>197</v>
      </c>
      <c r="BN678" s="37" t="s">
        <v>197</v>
      </c>
      <c r="BO678" s="37" t="s">
        <v>197</v>
      </c>
      <c r="BP678" s="37" t="s">
        <v>197</v>
      </c>
      <c r="BQ678" s="37" t="s">
        <v>197</v>
      </c>
      <c r="BR678" s="37" t="s">
        <v>197</v>
      </c>
      <c r="BS678" s="37" t="s">
        <v>197</v>
      </c>
      <c r="BT678" s="37" t="s">
        <v>197</v>
      </c>
    </row>
    <row r="679" spans="5:72" x14ac:dyDescent="0.25">
      <c r="E679" s="36" t="s">
        <v>20</v>
      </c>
      <c r="F679" s="36">
        <f t="shared" si="211"/>
        <v>0</v>
      </c>
      <c r="G679" s="36">
        <f t="shared" si="212"/>
        <v>0</v>
      </c>
      <c r="H679" s="36">
        <f t="shared" si="213"/>
        <v>0</v>
      </c>
      <c r="I679" s="36">
        <f t="shared" si="214"/>
        <v>0</v>
      </c>
      <c r="J679" s="36">
        <f t="shared" si="215"/>
        <v>0</v>
      </c>
      <c r="K679" s="36">
        <f t="shared" si="216"/>
        <v>0</v>
      </c>
      <c r="L679" s="36">
        <f t="shared" si="217"/>
        <v>0</v>
      </c>
      <c r="M679" s="36">
        <f t="shared" si="218"/>
        <v>0</v>
      </c>
      <c r="N679" s="36">
        <f t="shared" si="219"/>
        <v>0</v>
      </c>
      <c r="O679" s="36">
        <f t="shared" si="220"/>
        <v>0</v>
      </c>
      <c r="P679" s="36">
        <f t="shared" si="221"/>
        <v>0</v>
      </c>
      <c r="Q679" s="36">
        <f t="shared" si="222"/>
        <v>0</v>
      </c>
      <c r="R679" s="36">
        <f t="shared" si="223"/>
        <v>0</v>
      </c>
      <c r="S679" s="36">
        <f t="shared" si="224"/>
        <v>0</v>
      </c>
      <c r="T679" s="36">
        <f t="shared" si="225"/>
        <v>0</v>
      </c>
      <c r="U679" s="36">
        <f t="shared" si="226"/>
        <v>0</v>
      </c>
      <c r="V679" s="36">
        <f t="shared" si="227"/>
        <v>0</v>
      </c>
      <c r="W679" s="36">
        <f t="shared" si="228"/>
        <v>0</v>
      </c>
      <c r="X679" s="36">
        <f t="shared" si="229"/>
        <v>0</v>
      </c>
      <c r="Y679" s="36">
        <f t="shared" si="230"/>
        <v>0</v>
      </c>
      <c r="Z679" s="36">
        <f t="shared" si="231"/>
        <v>0</v>
      </c>
      <c r="AB679" s="36" t="str">
        <f>IF(最佳化斷筋點!C679="","",最佳化斷筋點!C679)</f>
        <v>上層</v>
      </c>
      <c r="AC679" s="37">
        <f>IF(最佳化斷筋點!D679="","",最佳化斷筋點!D679)</f>
        <v>11</v>
      </c>
      <c r="AD679" s="37">
        <f>IF(最佳化斷筋點!E679="","",最佳化斷筋點!E679)</f>
        <v>11</v>
      </c>
      <c r="AE679" s="37">
        <f>IF(最佳化斷筋點!F679="","",最佳化斷筋點!F679)</f>
        <v>11</v>
      </c>
      <c r="AF679" s="37">
        <f>IF(最佳化斷筋點!G679="","",最佳化斷筋點!G679)</f>
        <v>11</v>
      </c>
      <c r="AG679" s="37">
        <f>IF(最佳化斷筋點!H679="","",最佳化斷筋點!H679)</f>
        <v>11</v>
      </c>
      <c r="AH679" s="37">
        <f>IF(最佳化斷筋點!I679="","",最佳化斷筋點!I679)</f>
        <v>11</v>
      </c>
      <c r="AI679" s="37">
        <f>IF(最佳化斷筋點!J679="","",最佳化斷筋點!J679)</f>
        <v>11</v>
      </c>
      <c r="AJ679" s="37">
        <f>IF(最佳化斷筋點!K679="","",最佳化斷筋點!K679)</f>
        <v>4</v>
      </c>
      <c r="AK679" s="37">
        <f>IF(最佳化斷筋點!L679="","",最佳化斷筋點!L679)</f>
        <v>4</v>
      </c>
      <c r="AL679" s="37">
        <f>IF(最佳化斷筋點!M679="","",最佳化斷筋點!M679)</f>
        <v>4</v>
      </c>
      <c r="AM679" s="37">
        <f>IF(最佳化斷筋點!N679="","",最佳化斷筋點!N679)</f>
        <v>4</v>
      </c>
      <c r="AN679" s="37">
        <f>IF(最佳化斷筋點!O679="","",最佳化斷筋點!O679)</f>
        <v>4</v>
      </c>
      <c r="AO679" s="37">
        <f>IF(最佳化斷筋點!P679="","",最佳化斷筋點!P679)</f>
        <v>4</v>
      </c>
      <c r="AP679" s="37">
        <f>IF(最佳化斷筋點!Q679="","",最佳化斷筋點!Q679)</f>
        <v>9</v>
      </c>
      <c r="AQ679" s="37">
        <f>IF(最佳化斷筋點!R679="","",最佳化斷筋點!R679)</f>
        <v>10</v>
      </c>
      <c r="AR679" s="37">
        <f>IF(最佳化斷筋點!S679="","",最佳化斷筋點!S679)</f>
        <v>10</v>
      </c>
      <c r="AS679" s="37">
        <f>IF(最佳化斷筋點!T679="","",最佳化斷筋點!T679)</f>
        <v>10</v>
      </c>
      <c r="AT679" s="37">
        <f>IF(最佳化斷筋點!U679="","",最佳化斷筋點!U679)</f>
        <v>10</v>
      </c>
      <c r="AU679" s="37">
        <f>IF(最佳化斷筋點!V679="","",最佳化斷筋點!V679)</f>
        <v>10</v>
      </c>
      <c r="AV679" s="37">
        <f>IF(最佳化斷筋點!W679="","",最佳化斷筋點!W679)</f>
        <v>10</v>
      </c>
      <c r="AW679" s="37">
        <f>IF(最佳化斷筋點!X679="","",最佳化斷筋點!X679)</f>
        <v>10</v>
      </c>
      <c r="AZ679" s="37">
        <v>11</v>
      </c>
      <c r="BA679" s="37">
        <v>11</v>
      </c>
      <c r="BB679" s="37">
        <v>11</v>
      </c>
      <c r="BC679" s="37">
        <v>11</v>
      </c>
      <c r="BD679" s="37">
        <v>11</v>
      </c>
      <c r="BE679" s="37">
        <v>11</v>
      </c>
      <c r="BF679" s="37">
        <v>11</v>
      </c>
      <c r="BG679" s="37">
        <v>4</v>
      </c>
      <c r="BH679" s="37">
        <v>4</v>
      </c>
      <c r="BI679" s="37">
        <v>4</v>
      </c>
      <c r="BJ679" s="37">
        <v>4</v>
      </c>
      <c r="BK679" s="37">
        <v>4</v>
      </c>
      <c r="BL679" s="37">
        <v>4</v>
      </c>
      <c r="BM679" s="37">
        <v>9</v>
      </c>
      <c r="BN679" s="37">
        <v>10</v>
      </c>
      <c r="BO679" s="37">
        <v>10</v>
      </c>
      <c r="BP679" s="37">
        <v>10</v>
      </c>
      <c r="BQ679" s="37">
        <v>10</v>
      </c>
      <c r="BR679" s="37">
        <v>10</v>
      </c>
      <c r="BS679" s="37">
        <v>10</v>
      </c>
      <c r="BT679" s="37">
        <v>10</v>
      </c>
    </row>
    <row r="680" spans="5:72" x14ac:dyDescent="0.25">
      <c r="E680" s="36"/>
      <c r="F680" s="36">
        <f t="shared" si="211"/>
        <v>0</v>
      </c>
      <c r="G680" s="36">
        <f t="shared" si="212"/>
        <v>0</v>
      </c>
      <c r="H680" s="36">
        <f t="shared" si="213"/>
        <v>0</v>
      </c>
      <c r="I680" s="36">
        <f t="shared" si="214"/>
        <v>0</v>
      </c>
      <c r="J680" s="36">
        <f t="shared" si="215"/>
        <v>0</v>
      </c>
      <c r="K680" s="36">
        <f t="shared" si="216"/>
        <v>0</v>
      </c>
      <c r="L680" s="36">
        <f t="shared" si="217"/>
        <v>0</v>
      </c>
      <c r="M680" s="36">
        <f t="shared" si="218"/>
        <v>0</v>
      </c>
      <c r="N680" s="36">
        <f t="shared" si="219"/>
        <v>0</v>
      </c>
      <c r="O680" s="36">
        <f t="shared" si="220"/>
        <v>0</v>
      </c>
      <c r="P680" s="36">
        <f t="shared" si="221"/>
        <v>0</v>
      </c>
      <c r="Q680" s="36">
        <f t="shared" si="222"/>
        <v>0</v>
      </c>
      <c r="R680" s="36">
        <f t="shared" si="223"/>
        <v>0</v>
      </c>
      <c r="S680" s="36">
        <f t="shared" si="224"/>
        <v>0</v>
      </c>
      <c r="T680" s="36">
        <f t="shared" si="225"/>
        <v>0</v>
      </c>
      <c r="U680" s="36">
        <f t="shared" si="226"/>
        <v>0</v>
      </c>
      <c r="V680" s="36">
        <f t="shared" si="227"/>
        <v>0</v>
      </c>
      <c r="W680" s="36">
        <f t="shared" si="228"/>
        <v>0</v>
      </c>
      <c r="X680" s="36">
        <f t="shared" si="229"/>
        <v>0</v>
      </c>
      <c r="Y680" s="36">
        <f t="shared" si="230"/>
        <v>0</v>
      </c>
      <c r="Z680" s="36">
        <f t="shared" si="231"/>
        <v>0</v>
      </c>
      <c r="AB680" s="36" t="str">
        <f>IF(最佳化斷筋點!C680="","",最佳化斷筋點!C680)</f>
        <v/>
      </c>
      <c r="AC680" s="37" t="str">
        <f>IF(最佳化斷筋點!D680="","",最佳化斷筋點!D680)</f>
        <v/>
      </c>
      <c r="AD680" s="37" t="str">
        <f>IF(最佳化斷筋點!E680="","",最佳化斷筋點!E680)</f>
        <v/>
      </c>
      <c r="AE680" s="37" t="str">
        <f>IF(最佳化斷筋點!F680="","",最佳化斷筋點!F680)</f>
        <v/>
      </c>
      <c r="AF680" s="37" t="str">
        <f>IF(最佳化斷筋點!G680="","",最佳化斷筋點!G680)</f>
        <v/>
      </c>
      <c r="AG680" s="37" t="str">
        <f>IF(最佳化斷筋點!H680="","",最佳化斷筋點!H680)</f>
        <v/>
      </c>
      <c r="AH680" s="37" t="str">
        <f>IF(最佳化斷筋點!I680="","",最佳化斷筋點!I680)</f>
        <v/>
      </c>
      <c r="AI680" s="37" t="str">
        <f>IF(最佳化斷筋點!J680="","",最佳化斷筋點!J680)</f>
        <v/>
      </c>
      <c r="AJ680" s="37" t="str">
        <f>IF(最佳化斷筋點!K680="","",最佳化斷筋點!K680)</f>
        <v/>
      </c>
      <c r="AK680" s="37" t="str">
        <f>IF(最佳化斷筋點!L680="","",最佳化斷筋點!L680)</f>
        <v/>
      </c>
      <c r="AL680" s="37" t="str">
        <f>IF(最佳化斷筋點!M680="","",最佳化斷筋點!M680)</f>
        <v/>
      </c>
      <c r="AM680" s="37" t="str">
        <f>IF(最佳化斷筋點!N680="","",最佳化斷筋點!N680)</f>
        <v/>
      </c>
      <c r="AN680" s="37" t="str">
        <f>IF(最佳化斷筋點!O680="","",最佳化斷筋點!O680)</f>
        <v/>
      </c>
      <c r="AO680" s="37" t="str">
        <f>IF(最佳化斷筋點!P680="","",最佳化斷筋點!P680)</f>
        <v/>
      </c>
      <c r="AP680" s="37" t="str">
        <f>IF(最佳化斷筋點!Q680="","",最佳化斷筋點!Q680)</f>
        <v/>
      </c>
      <c r="AQ680" s="37" t="str">
        <f>IF(最佳化斷筋點!R680="","",最佳化斷筋點!R680)</f>
        <v/>
      </c>
      <c r="AR680" s="37" t="str">
        <f>IF(最佳化斷筋點!S680="","",最佳化斷筋點!S680)</f>
        <v/>
      </c>
      <c r="AS680" s="37" t="str">
        <f>IF(最佳化斷筋點!T680="","",最佳化斷筋點!T680)</f>
        <v/>
      </c>
      <c r="AT680" s="37" t="str">
        <f>IF(最佳化斷筋點!U680="","",最佳化斷筋點!U680)</f>
        <v/>
      </c>
      <c r="AU680" s="37" t="str">
        <f>IF(最佳化斷筋點!V680="","",最佳化斷筋點!V680)</f>
        <v/>
      </c>
      <c r="AV680" s="37" t="str">
        <f>IF(最佳化斷筋點!W680="","",最佳化斷筋點!W680)</f>
        <v/>
      </c>
      <c r="AW680" s="37" t="str">
        <f>IF(最佳化斷筋點!X680="","",最佳化斷筋點!X680)</f>
        <v/>
      </c>
      <c r="AZ680" s="37" t="s">
        <v>197</v>
      </c>
      <c r="BA680" s="37" t="s">
        <v>197</v>
      </c>
      <c r="BB680" s="37" t="s">
        <v>197</v>
      </c>
      <c r="BC680" s="37" t="s">
        <v>197</v>
      </c>
      <c r="BD680" s="37" t="s">
        <v>197</v>
      </c>
      <c r="BE680" s="37" t="s">
        <v>197</v>
      </c>
      <c r="BF680" s="37" t="s">
        <v>197</v>
      </c>
      <c r="BG680" s="37" t="s">
        <v>197</v>
      </c>
      <c r="BH680" s="37" t="s">
        <v>197</v>
      </c>
      <c r="BI680" s="37" t="s">
        <v>197</v>
      </c>
      <c r="BJ680" s="37" t="s">
        <v>197</v>
      </c>
      <c r="BK680" s="37" t="s">
        <v>197</v>
      </c>
      <c r="BL680" s="37" t="s">
        <v>197</v>
      </c>
      <c r="BM680" s="37" t="s">
        <v>197</v>
      </c>
      <c r="BN680" s="37" t="s">
        <v>197</v>
      </c>
      <c r="BO680" s="37" t="s">
        <v>197</v>
      </c>
      <c r="BP680" s="37" t="s">
        <v>197</v>
      </c>
      <c r="BQ680" s="37" t="s">
        <v>197</v>
      </c>
      <c r="BR680" s="37" t="s">
        <v>197</v>
      </c>
      <c r="BS680" s="37" t="s">
        <v>197</v>
      </c>
      <c r="BT680" s="37" t="s">
        <v>197</v>
      </c>
    </row>
    <row r="681" spans="5:72" x14ac:dyDescent="0.25">
      <c r="E681" s="36" t="s">
        <v>21</v>
      </c>
      <c r="F681" s="36">
        <f t="shared" si="211"/>
        <v>0</v>
      </c>
      <c r="G681" s="36">
        <f t="shared" si="212"/>
        <v>0</v>
      </c>
      <c r="H681" s="36">
        <f t="shared" si="213"/>
        <v>0</v>
      </c>
      <c r="I681" s="36">
        <f t="shared" si="214"/>
        <v>0</v>
      </c>
      <c r="J681" s="36">
        <f t="shared" si="215"/>
        <v>0</v>
      </c>
      <c r="K681" s="36">
        <f t="shared" si="216"/>
        <v>0</v>
      </c>
      <c r="L681" s="36">
        <f t="shared" si="217"/>
        <v>0</v>
      </c>
      <c r="M681" s="36">
        <f t="shared" si="218"/>
        <v>0</v>
      </c>
      <c r="N681" s="36">
        <f t="shared" si="219"/>
        <v>0</v>
      </c>
      <c r="O681" s="36">
        <f t="shared" si="220"/>
        <v>0</v>
      </c>
      <c r="P681" s="36">
        <f t="shared" si="221"/>
        <v>0</v>
      </c>
      <c r="Q681" s="36">
        <f t="shared" si="222"/>
        <v>0</v>
      </c>
      <c r="R681" s="36">
        <f t="shared" si="223"/>
        <v>0</v>
      </c>
      <c r="S681" s="36">
        <f t="shared" si="224"/>
        <v>0</v>
      </c>
      <c r="T681" s="36">
        <f t="shared" si="225"/>
        <v>0</v>
      </c>
      <c r="U681" s="36">
        <f t="shared" si="226"/>
        <v>0</v>
      </c>
      <c r="V681" s="36">
        <f t="shared" si="227"/>
        <v>0</v>
      </c>
      <c r="W681" s="36">
        <f t="shared" si="228"/>
        <v>0</v>
      </c>
      <c r="X681" s="36">
        <f t="shared" si="229"/>
        <v>0</v>
      </c>
      <c r="Y681" s="36">
        <f t="shared" si="230"/>
        <v>0</v>
      </c>
      <c r="Z681" s="36">
        <f t="shared" si="231"/>
        <v>0</v>
      </c>
      <c r="AB681" s="36" t="str">
        <f>IF(最佳化斷筋點!C681="","",最佳化斷筋點!C681)</f>
        <v>下層</v>
      </c>
      <c r="AC681" s="37">
        <f>IF(最佳化斷筋點!D681="","",最佳化斷筋點!D681)</f>
        <v>14</v>
      </c>
      <c r="AD681" s="37">
        <f>IF(最佳化斷筋點!E681="","",最佳化斷筋點!E681)</f>
        <v>14</v>
      </c>
      <c r="AE681" s="37">
        <f>IF(最佳化斷筋點!F681="","",最佳化斷筋點!F681)</f>
        <v>14</v>
      </c>
      <c r="AF681" s="37">
        <f>IF(最佳化斷筋點!G681="","",最佳化斷筋點!G681)</f>
        <v>14</v>
      </c>
      <c r="AG681" s="37">
        <f>IF(最佳化斷筋點!H681="","",最佳化斷筋點!H681)</f>
        <v>14</v>
      </c>
      <c r="AH681" s="37">
        <f>IF(最佳化斷筋點!I681="","",最佳化斷筋點!I681)</f>
        <v>13</v>
      </c>
      <c r="AI681" s="37">
        <f>IF(最佳化斷筋點!J681="","",最佳化斷筋點!J681)</f>
        <v>12</v>
      </c>
      <c r="AJ681" s="37">
        <f>IF(最佳化斷筋點!K681="","",最佳化斷筋點!K681)</f>
        <v>4</v>
      </c>
      <c r="AK681" s="37">
        <f>IF(最佳化斷筋點!L681="","",最佳化斷筋點!L681)</f>
        <v>4</v>
      </c>
      <c r="AL681" s="37">
        <f>IF(最佳化斷筋點!M681="","",最佳化斷筋點!M681)</f>
        <v>4</v>
      </c>
      <c r="AM681" s="37">
        <f>IF(最佳化斷筋點!N681="","",最佳化斷筋點!N681)</f>
        <v>4</v>
      </c>
      <c r="AN681" s="37">
        <f>IF(最佳化斷筋點!O681="","",最佳化斷筋點!O681)</f>
        <v>4</v>
      </c>
      <c r="AO681" s="37">
        <f>IF(最佳化斷筋點!P681="","",最佳化斷筋點!P681)</f>
        <v>4</v>
      </c>
      <c r="AP681" s="37">
        <f>IF(最佳化斷筋點!Q681="","",最佳化斷筋點!Q681)</f>
        <v>9</v>
      </c>
      <c r="AQ681" s="37">
        <f>IF(最佳化斷筋點!R681="","",最佳化斷筋點!R681)</f>
        <v>11</v>
      </c>
      <c r="AR681" s="37">
        <f>IF(最佳化斷筋點!S681="","",最佳化斷筋點!S681)</f>
        <v>12</v>
      </c>
      <c r="AS681" s="37">
        <f>IF(最佳化斷筋點!T681="","",最佳化斷筋點!T681)</f>
        <v>13</v>
      </c>
      <c r="AT681" s="37">
        <f>IF(最佳化斷筋點!U681="","",最佳化斷筋點!U681)</f>
        <v>13</v>
      </c>
      <c r="AU681" s="37">
        <f>IF(最佳化斷筋點!V681="","",最佳化斷筋點!V681)</f>
        <v>13</v>
      </c>
      <c r="AV681" s="37">
        <f>IF(最佳化斷筋點!W681="","",最佳化斷筋點!W681)</f>
        <v>13</v>
      </c>
      <c r="AW681" s="37">
        <f>IF(最佳化斷筋點!X681="","",最佳化斷筋點!X681)</f>
        <v>13</v>
      </c>
      <c r="AZ681" s="37">
        <v>14</v>
      </c>
      <c r="BA681" s="37">
        <v>14</v>
      </c>
      <c r="BB681" s="37">
        <v>14</v>
      </c>
      <c r="BC681" s="37">
        <v>14</v>
      </c>
      <c r="BD681" s="37">
        <v>14</v>
      </c>
      <c r="BE681" s="37">
        <v>13</v>
      </c>
      <c r="BF681" s="37">
        <v>12</v>
      </c>
      <c r="BG681" s="37">
        <v>4</v>
      </c>
      <c r="BH681" s="37">
        <v>4</v>
      </c>
      <c r="BI681" s="37">
        <v>4</v>
      </c>
      <c r="BJ681" s="37">
        <v>4</v>
      </c>
      <c r="BK681" s="37">
        <v>4</v>
      </c>
      <c r="BL681" s="37">
        <v>4</v>
      </c>
      <c r="BM681" s="37">
        <v>9</v>
      </c>
      <c r="BN681" s="37">
        <v>11</v>
      </c>
      <c r="BO681" s="37">
        <v>12</v>
      </c>
      <c r="BP681" s="37">
        <v>13</v>
      </c>
      <c r="BQ681" s="37">
        <v>13</v>
      </c>
      <c r="BR681" s="37">
        <v>13</v>
      </c>
      <c r="BS681" s="37">
        <v>13</v>
      </c>
      <c r="BT681" s="37">
        <v>13</v>
      </c>
    </row>
    <row r="682" spans="5:72" x14ac:dyDescent="0.25">
      <c r="E682" s="36"/>
      <c r="F682" s="36">
        <f t="shared" si="211"/>
        <v>0</v>
      </c>
      <c r="G682" s="36">
        <f t="shared" si="212"/>
        <v>0</v>
      </c>
      <c r="H682" s="36">
        <f t="shared" si="213"/>
        <v>0</v>
      </c>
      <c r="I682" s="36">
        <f t="shared" si="214"/>
        <v>0</v>
      </c>
      <c r="J682" s="36">
        <f t="shared" si="215"/>
        <v>0</v>
      </c>
      <c r="K682" s="36">
        <f t="shared" si="216"/>
        <v>0</v>
      </c>
      <c r="L682" s="36">
        <f t="shared" si="217"/>
        <v>0</v>
      </c>
      <c r="M682" s="36">
        <f t="shared" si="218"/>
        <v>0</v>
      </c>
      <c r="N682" s="36">
        <f t="shared" si="219"/>
        <v>0</v>
      </c>
      <c r="O682" s="36">
        <f t="shared" si="220"/>
        <v>0</v>
      </c>
      <c r="P682" s="36">
        <f t="shared" si="221"/>
        <v>0</v>
      </c>
      <c r="Q682" s="36">
        <f t="shared" si="222"/>
        <v>0</v>
      </c>
      <c r="R682" s="36">
        <f t="shared" si="223"/>
        <v>0</v>
      </c>
      <c r="S682" s="36">
        <f t="shared" si="224"/>
        <v>0</v>
      </c>
      <c r="T682" s="36">
        <f t="shared" si="225"/>
        <v>0</v>
      </c>
      <c r="U682" s="36">
        <f t="shared" si="226"/>
        <v>0</v>
      </c>
      <c r="V682" s="36">
        <f t="shared" si="227"/>
        <v>0</v>
      </c>
      <c r="W682" s="36">
        <f t="shared" si="228"/>
        <v>0</v>
      </c>
      <c r="X682" s="36">
        <f t="shared" si="229"/>
        <v>0</v>
      </c>
      <c r="Y682" s="36">
        <f t="shared" si="230"/>
        <v>0</v>
      </c>
      <c r="Z682" s="36">
        <f t="shared" si="231"/>
        <v>0</v>
      </c>
      <c r="AB682" s="36" t="str">
        <f>IF(最佳化斷筋點!C682="","",最佳化斷筋點!C682)</f>
        <v/>
      </c>
      <c r="AC682" s="37" t="str">
        <f>IF(最佳化斷筋點!D682="","",最佳化斷筋點!D682)</f>
        <v/>
      </c>
      <c r="AD682" s="37" t="str">
        <f>IF(最佳化斷筋點!E682="","",最佳化斷筋點!E682)</f>
        <v/>
      </c>
      <c r="AE682" s="37" t="str">
        <f>IF(最佳化斷筋點!F682="","",最佳化斷筋點!F682)</f>
        <v/>
      </c>
      <c r="AF682" s="37" t="str">
        <f>IF(最佳化斷筋點!G682="","",最佳化斷筋點!G682)</f>
        <v/>
      </c>
      <c r="AG682" s="37" t="str">
        <f>IF(最佳化斷筋點!H682="","",最佳化斷筋點!H682)</f>
        <v/>
      </c>
      <c r="AH682" s="37" t="str">
        <f>IF(最佳化斷筋點!I682="","",最佳化斷筋點!I682)</f>
        <v/>
      </c>
      <c r="AI682" s="37" t="str">
        <f>IF(最佳化斷筋點!J682="","",最佳化斷筋點!J682)</f>
        <v/>
      </c>
      <c r="AJ682" s="37" t="str">
        <f>IF(最佳化斷筋點!K682="","",最佳化斷筋點!K682)</f>
        <v/>
      </c>
      <c r="AK682" s="37" t="str">
        <f>IF(最佳化斷筋點!L682="","",最佳化斷筋點!L682)</f>
        <v/>
      </c>
      <c r="AL682" s="37" t="str">
        <f>IF(最佳化斷筋點!M682="","",最佳化斷筋點!M682)</f>
        <v/>
      </c>
      <c r="AM682" s="37" t="str">
        <f>IF(最佳化斷筋點!N682="","",最佳化斷筋點!N682)</f>
        <v/>
      </c>
      <c r="AN682" s="37" t="str">
        <f>IF(最佳化斷筋點!O682="","",最佳化斷筋點!O682)</f>
        <v/>
      </c>
      <c r="AO682" s="37" t="str">
        <f>IF(最佳化斷筋點!P682="","",最佳化斷筋點!P682)</f>
        <v/>
      </c>
      <c r="AP682" s="37" t="str">
        <f>IF(最佳化斷筋點!Q682="","",最佳化斷筋點!Q682)</f>
        <v/>
      </c>
      <c r="AQ682" s="37" t="str">
        <f>IF(最佳化斷筋點!R682="","",最佳化斷筋點!R682)</f>
        <v/>
      </c>
      <c r="AR682" s="37" t="str">
        <f>IF(最佳化斷筋點!S682="","",最佳化斷筋點!S682)</f>
        <v/>
      </c>
      <c r="AS682" s="37" t="str">
        <f>IF(最佳化斷筋點!T682="","",最佳化斷筋點!T682)</f>
        <v/>
      </c>
      <c r="AT682" s="37" t="str">
        <f>IF(最佳化斷筋點!U682="","",最佳化斷筋點!U682)</f>
        <v/>
      </c>
      <c r="AU682" s="37" t="str">
        <f>IF(最佳化斷筋點!V682="","",最佳化斷筋點!V682)</f>
        <v/>
      </c>
      <c r="AV682" s="37" t="str">
        <f>IF(最佳化斷筋點!W682="","",最佳化斷筋點!W682)</f>
        <v/>
      </c>
      <c r="AW682" s="37" t="str">
        <f>IF(最佳化斷筋點!X682="","",最佳化斷筋點!X682)</f>
        <v/>
      </c>
      <c r="AZ682" s="37" t="s">
        <v>197</v>
      </c>
      <c r="BA682" s="37" t="s">
        <v>197</v>
      </c>
      <c r="BB682" s="37" t="s">
        <v>197</v>
      </c>
      <c r="BC682" s="37" t="s">
        <v>197</v>
      </c>
      <c r="BD682" s="37" t="s">
        <v>197</v>
      </c>
      <c r="BE682" s="37" t="s">
        <v>197</v>
      </c>
      <c r="BF682" s="37" t="s">
        <v>197</v>
      </c>
      <c r="BG682" s="37" t="s">
        <v>197</v>
      </c>
      <c r="BH682" s="37" t="s">
        <v>197</v>
      </c>
      <c r="BI682" s="37" t="s">
        <v>197</v>
      </c>
      <c r="BJ682" s="37" t="s">
        <v>197</v>
      </c>
      <c r="BK682" s="37" t="s">
        <v>197</v>
      </c>
      <c r="BL682" s="37" t="s">
        <v>197</v>
      </c>
      <c r="BM682" s="37" t="s">
        <v>197</v>
      </c>
      <c r="BN682" s="37" t="s">
        <v>197</v>
      </c>
      <c r="BO682" s="37" t="s">
        <v>197</v>
      </c>
      <c r="BP682" s="37" t="s">
        <v>197</v>
      </c>
      <c r="BQ682" s="37" t="s">
        <v>197</v>
      </c>
      <c r="BR682" s="37" t="s">
        <v>197</v>
      </c>
      <c r="BS682" s="37" t="s">
        <v>197</v>
      </c>
      <c r="BT682" s="37" t="s">
        <v>197</v>
      </c>
    </row>
    <row r="683" spans="5:72" x14ac:dyDescent="0.25">
      <c r="E683" s="36" t="s">
        <v>20</v>
      </c>
      <c r="F683" s="36">
        <f t="shared" si="211"/>
        <v>0</v>
      </c>
      <c r="G683" s="36">
        <f t="shared" si="212"/>
        <v>0</v>
      </c>
      <c r="H683" s="36">
        <f t="shared" si="213"/>
        <v>0</v>
      </c>
      <c r="I683" s="36">
        <f t="shared" si="214"/>
        <v>0</v>
      </c>
      <c r="J683" s="36">
        <f t="shared" si="215"/>
        <v>0</v>
      </c>
      <c r="K683" s="36">
        <f t="shared" si="216"/>
        <v>0</v>
      </c>
      <c r="L683" s="36">
        <f t="shared" si="217"/>
        <v>0</v>
      </c>
      <c r="M683" s="36">
        <f t="shared" si="218"/>
        <v>0</v>
      </c>
      <c r="N683" s="36">
        <f t="shared" si="219"/>
        <v>0</v>
      </c>
      <c r="O683" s="36">
        <f t="shared" si="220"/>
        <v>0</v>
      </c>
      <c r="P683" s="36">
        <f t="shared" si="221"/>
        <v>0</v>
      </c>
      <c r="Q683" s="36">
        <f t="shared" si="222"/>
        <v>0</v>
      </c>
      <c r="R683" s="36">
        <f t="shared" si="223"/>
        <v>0</v>
      </c>
      <c r="S683" s="36">
        <f t="shared" si="224"/>
        <v>0</v>
      </c>
      <c r="T683" s="36">
        <f t="shared" si="225"/>
        <v>0</v>
      </c>
      <c r="U683" s="36">
        <f t="shared" si="226"/>
        <v>0</v>
      </c>
      <c r="V683" s="36">
        <f t="shared" si="227"/>
        <v>0</v>
      </c>
      <c r="W683" s="36">
        <f t="shared" si="228"/>
        <v>0</v>
      </c>
      <c r="X683" s="36">
        <f t="shared" si="229"/>
        <v>0</v>
      </c>
      <c r="Y683" s="36">
        <f t="shared" si="230"/>
        <v>0</v>
      </c>
      <c r="Z683" s="36">
        <f t="shared" si="231"/>
        <v>0</v>
      </c>
      <c r="AB683" s="36" t="str">
        <f>IF(最佳化斷筋點!C683="","",最佳化斷筋點!C683)</f>
        <v>上層</v>
      </c>
      <c r="AC683" s="37">
        <f>IF(最佳化斷筋點!D683="","",最佳化斷筋點!D683)</f>
        <v>8</v>
      </c>
      <c r="AD683" s="37">
        <f>IF(最佳化斷筋點!E683="","",最佳化斷筋點!E683)</f>
        <v>8</v>
      </c>
      <c r="AE683" s="37">
        <f>IF(最佳化斷筋點!F683="","",最佳化斷筋點!F683)</f>
        <v>8</v>
      </c>
      <c r="AF683" s="37">
        <f>IF(最佳化斷筋點!G683="","",最佳化斷筋點!G683)</f>
        <v>8</v>
      </c>
      <c r="AG683" s="37">
        <f>IF(最佳化斷筋點!H683="","",最佳化斷筋點!H683)</f>
        <v>8</v>
      </c>
      <c r="AH683" s="37">
        <f>IF(最佳化斷筋點!I683="","",最佳化斷筋點!I683)</f>
        <v>8</v>
      </c>
      <c r="AI683" s="37">
        <f>IF(最佳化斷筋點!J683="","",最佳化斷筋點!J683)</f>
        <v>8</v>
      </c>
      <c r="AJ683" s="37">
        <f>IF(最佳化斷筋點!K683="","",最佳化斷筋點!K683)</f>
        <v>3</v>
      </c>
      <c r="AK683" s="37">
        <f>IF(最佳化斷筋點!L683="","",最佳化斷筋點!L683)</f>
        <v>3</v>
      </c>
      <c r="AL683" s="37">
        <f>IF(最佳化斷筋點!M683="","",最佳化斷筋點!M683)</f>
        <v>3</v>
      </c>
      <c r="AM683" s="37">
        <f>IF(最佳化斷筋點!N683="","",最佳化斷筋點!N683)</f>
        <v>3</v>
      </c>
      <c r="AN683" s="37">
        <f>IF(最佳化斷筋點!O683="","",最佳化斷筋點!O683)</f>
        <v>3</v>
      </c>
      <c r="AO683" s="37">
        <f>IF(最佳化斷筋點!P683="","",最佳化斷筋點!P683)</f>
        <v>3</v>
      </c>
      <c r="AP683" s="37">
        <f>IF(最佳化斷筋點!Q683="","",最佳化斷筋點!Q683)</f>
        <v>4</v>
      </c>
      <c r="AQ683" s="37">
        <f>IF(最佳化斷筋點!R683="","",最佳化斷筋點!R683)</f>
        <v>5</v>
      </c>
      <c r="AR683" s="37">
        <f>IF(最佳化斷筋點!S683="","",最佳化斷筋點!S683)</f>
        <v>5</v>
      </c>
      <c r="AS683" s="37">
        <f>IF(最佳化斷筋點!T683="","",最佳化斷筋點!T683)</f>
        <v>6</v>
      </c>
      <c r="AT683" s="37">
        <f>IF(最佳化斷筋點!U683="","",最佳化斷筋點!U683)</f>
        <v>6</v>
      </c>
      <c r="AU683" s="37">
        <f>IF(最佳化斷筋點!V683="","",最佳化斷筋點!V683)</f>
        <v>6</v>
      </c>
      <c r="AV683" s="37">
        <f>IF(最佳化斷筋點!W683="","",最佳化斷筋點!W683)</f>
        <v>6</v>
      </c>
      <c r="AW683" s="37">
        <f>IF(最佳化斷筋點!X683="","",最佳化斷筋點!X683)</f>
        <v>6</v>
      </c>
      <c r="AZ683" s="37">
        <v>8</v>
      </c>
      <c r="BA683" s="37">
        <v>8</v>
      </c>
      <c r="BB683" s="37">
        <v>8</v>
      </c>
      <c r="BC683" s="37">
        <v>8</v>
      </c>
      <c r="BD683" s="37">
        <v>8</v>
      </c>
      <c r="BE683" s="37">
        <v>8</v>
      </c>
      <c r="BF683" s="37">
        <v>8</v>
      </c>
      <c r="BG683" s="37">
        <v>3</v>
      </c>
      <c r="BH683" s="37">
        <v>3</v>
      </c>
      <c r="BI683" s="37">
        <v>3</v>
      </c>
      <c r="BJ683" s="37">
        <v>3</v>
      </c>
      <c r="BK683" s="37">
        <v>3</v>
      </c>
      <c r="BL683" s="37">
        <v>3</v>
      </c>
      <c r="BM683" s="37">
        <v>4</v>
      </c>
      <c r="BN683" s="37">
        <v>5</v>
      </c>
      <c r="BO683" s="37">
        <v>5</v>
      </c>
      <c r="BP683" s="37">
        <v>6</v>
      </c>
      <c r="BQ683" s="37">
        <v>6</v>
      </c>
      <c r="BR683" s="37">
        <v>6</v>
      </c>
      <c r="BS683" s="37">
        <v>6</v>
      </c>
      <c r="BT683" s="37">
        <v>6</v>
      </c>
    </row>
    <row r="684" spans="5:72" x14ac:dyDescent="0.25">
      <c r="E684" s="36"/>
      <c r="F684" s="36">
        <f t="shared" si="211"/>
        <v>0</v>
      </c>
      <c r="G684" s="36">
        <f t="shared" si="212"/>
        <v>0</v>
      </c>
      <c r="H684" s="36">
        <f t="shared" si="213"/>
        <v>0</v>
      </c>
      <c r="I684" s="36">
        <f t="shared" si="214"/>
        <v>0</v>
      </c>
      <c r="J684" s="36">
        <f t="shared" si="215"/>
        <v>0</v>
      </c>
      <c r="K684" s="36">
        <f t="shared" si="216"/>
        <v>0</v>
      </c>
      <c r="L684" s="36">
        <f t="shared" si="217"/>
        <v>0</v>
      </c>
      <c r="M684" s="36">
        <f t="shared" si="218"/>
        <v>0</v>
      </c>
      <c r="N684" s="36">
        <f t="shared" si="219"/>
        <v>0</v>
      </c>
      <c r="O684" s="36">
        <f t="shared" si="220"/>
        <v>0</v>
      </c>
      <c r="P684" s="36">
        <f t="shared" si="221"/>
        <v>0</v>
      </c>
      <c r="Q684" s="36">
        <f t="shared" si="222"/>
        <v>0</v>
      </c>
      <c r="R684" s="36">
        <f t="shared" si="223"/>
        <v>0</v>
      </c>
      <c r="S684" s="36">
        <f t="shared" si="224"/>
        <v>0</v>
      </c>
      <c r="T684" s="36">
        <f t="shared" si="225"/>
        <v>0</v>
      </c>
      <c r="U684" s="36">
        <f t="shared" si="226"/>
        <v>0</v>
      </c>
      <c r="V684" s="36">
        <f t="shared" si="227"/>
        <v>0</v>
      </c>
      <c r="W684" s="36">
        <f t="shared" si="228"/>
        <v>0</v>
      </c>
      <c r="X684" s="36">
        <f t="shared" si="229"/>
        <v>0</v>
      </c>
      <c r="Y684" s="36">
        <f t="shared" si="230"/>
        <v>0</v>
      </c>
      <c r="Z684" s="36">
        <f t="shared" si="231"/>
        <v>0</v>
      </c>
      <c r="AB684" s="36" t="str">
        <f>IF(最佳化斷筋點!C684="","",最佳化斷筋點!C684)</f>
        <v/>
      </c>
      <c r="AC684" s="37" t="str">
        <f>IF(最佳化斷筋點!D684="","",最佳化斷筋點!D684)</f>
        <v/>
      </c>
      <c r="AD684" s="37" t="str">
        <f>IF(最佳化斷筋點!E684="","",最佳化斷筋點!E684)</f>
        <v/>
      </c>
      <c r="AE684" s="37" t="str">
        <f>IF(最佳化斷筋點!F684="","",最佳化斷筋點!F684)</f>
        <v/>
      </c>
      <c r="AF684" s="37" t="str">
        <f>IF(最佳化斷筋點!G684="","",最佳化斷筋點!G684)</f>
        <v/>
      </c>
      <c r="AG684" s="37" t="str">
        <f>IF(最佳化斷筋點!H684="","",最佳化斷筋點!H684)</f>
        <v/>
      </c>
      <c r="AH684" s="37" t="str">
        <f>IF(最佳化斷筋點!I684="","",最佳化斷筋點!I684)</f>
        <v/>
      </c>
      <c r="AI684" s="37" t="str">
        <f>IF(最佳化斷筋點!J684="","",最佳化斷筋點!J684)</f>
        <v/>
      </c>
      <c r="AJ684" s="37" t="str">
        <f>IF(最佳化斷筋點!K684="","",最佳化斷筋點!K684)</f>
        <v/>
      </c>
      <c r="AK684" s="37" t="str">
        <f>IF(最佳化斷筋點!L684="","",最佳化斷筋點!L684)</f>
        <v/>
      </c>
      <c r="AL684" s="37" t="str">
        <f>IF(最佳化斷筋點!M684="","",最佳化斷筋點!M684)</f>
        <v/>
      </c>
      <c r="AM684" s="37" t="str">
        <f>IF(最佳化斷筋點!N684="","",最佳化斷筋點!N684)</f>
        <v/>
      </c>
      <c r="AN684" s="37" t="str">
        <f>IF(最佳化斷筋點!O684="","",最佳化斷筋點!O684)</f>
        <v/>
      </c>
      <c r="AO684" s="37" t="str">
        <f>IF(最佳化斷筋點!P684="","",最佳化斷筋點!P684)</f>
        <v/>
      </c>
      <c r="AP684" s="37" t="str">
        <f>IF(最佳化斷筋點!Q684="","",最佳化斷筋點!Q684)</f>
        <v/>
      </c>
      <c r="AQ684" s="37" t="str">
        <f>IF(最佳化斷筋點!R684="","",最佳化斷筋點!R684)</f>
        <v/>
      </c>
      <c r="AR684" s="37" t="str">
        <f>IF(最佳化斷筋點!S684="","",最佳化斷筋點!S684)</f>
        <v/>
      </c>
      <c r="AS684" s="37" t="str">
        <f>IF(最佳化斷筋點!T684="","",最佳化斷筋點!T684)</f>
        <v/>
      </c>
      <c r="AT684" s="37" t="str">
        <f>IF(最佳化斷筋點!U684="","",最佳化斷筋點!U684)</f>
        <v/>
      </c>
      <c r="AU684" s="37" t="str">
        <f>IF(最佳化斷筋點!V684="","",最佳化斷筋點!V684)</f>
        <v/>
      </c>
      <c r="AV684" s="37" t="str">
        <f>IF(最佳化斷筋點!W684="","",最佳化斷筋點!W684)</f>
        <v/>
      </c>
      <c r="AW684" s="37" t="str">
        <f>IF(最佳化斷筋點!X684="","",最佳化斷筋點!X684)</f>
        <v/>
      </c>
      <c r="AZ684" s="37" t="s">
        <v>197</v>
      </c>
      <c r="BA684" s="37" t="s">
        <v>197</v>
      </c>
      <c r="BB684" s="37" t="s">
        <v>197</v>
      </c>
      <c r="BC684" s="37" t="s">
        <v>197</v>
      </c>
      <c r="BD684" s="37" t="s">
        <v>197</v>
      </c>
      <c r="BE684" s="37" t="s">
        <v>197</v>
      </c>
      <c r="BF684" s="37" t="s">
        <v>197</v>
      </c>
      <c r="BG684" s="37" t="s">
        <v>197</v>
      </c>
      <c r="BH684" s="37" t="s">
        <v>197</v>
      </c>
      <c r="BI684" s="37" t="s">
        <v>197</v>
      </c>
      <c r="BJ684" s="37" t="s">
        <v>197</v>
      </c>
      <c r="BK684" s="37" t="s">
        <v>197</v>
      </c>
      <c r="BL684" s="37" t="s">
        <v>197</v>
      </c>
      <c r="BM684" s="37" t="s">
        <v>197</v>
      </c>
      <c r="BN684" s="37" t="s">
        <v>197</v>
      </c>
      <c r="BO684" s="37" t="s">
        <v>197</v>
      </c>
      <c r="BP684" s="37" t="s">
        <v>197</v>
      </c>
      <c r="BQ684" s="37" t="s">
        <v>197</v>
      </c>
      <c r="BR684" s="37" t="s">
        <v>197</v>
      </c>
      <c r="BS684" s="37" t="s">
        <v>197</v>
      </c>
      <c r="BT684" s="37" t="s">
        <v>197</v>
      </c>
    </row>
    <row r="685" spans="5:72" x14ac:dyDescent="0.25">
      <c r="E685" s="36" t="s">
        <v>21</v>
      </c>
      <c r="F685" s="36">
        <f t="shared" si="211"/>
        <v>0</v>
      </c>
      <c r="G685" s="36">
        <f t="shared" si="212"/>
        <v>0</v>
      </c>
      <c r="H685" s="36">
        <f t="shared" si="213"/>
        <v>0</v>
      </c>
      <c r="I685" s="36">
        <f t="shared" si="214"/>
        <v>0</v>
      </c>
      <c r="J685" s="36">
        <f t="shared" si="215"/>
        <v>0</v>
      </c>
      <c r="K685" s="36">
        <f t="shared" si="216"/>
        <v>0</v>
      </c>
      <c r="L685" s="36">
        <f t="shared" si="217"/>
        <v>0</v>
      </c>
      <c r="M685" s="36">
        <f t="shared" si="218"/>
        <v>0</v>
      </c>
      <c r="N685" s="36">
        <f t="shared" si="219"/>
        <v>0</v>
      </c>
      <c r="O685" s="36">
        <f t="shared" si="220"/>
        <v>0</v>
      </c>
      <c r="P685" s="36">
        <f t="shared" si="221"/>
        <v>0</v>
      </c>
      <c r="Q685" s="36">
        <f t="shared" si="222"/>
        <v>0</v>
      </c>
      <c r="R685" s="36">
        <f t="shared" si="223"/>
        <v>0</v>
      </c>
      <c r="S685" s="36">
        <f t="shared" si="224"/>
        <v>0</v>
      </c>
      <c r="T685" s="36">
        <f t="shared" si="225"/>
        <v>0</v>
      </c>
      <c r="U685" s="36">
        <f t="shared" si="226"/>
        <v>0</v>
      </c>
      <c r="V685" s="36">
        <f t="shared" si="227"/>
        <v>0</v>
      </c>
      <c r="W685" s="36">
        <f t="shared" si="228"/>
        <v>0</v>
      </c>
      <c r="X685" s="36">
        <f t="shared" si="229"/>
        <v>0</v>
      </c>
      <c r="Y685" s="36">
        <f t="shared" si="230"/>
        <v>0</v>
      </c>
      <c r="Z685" s="36">
        <f t="shared" si="231"/>
        <v>0</v>
      </c>
      <c r="AB685" s="36" t="str">
        <f>IF(最佳化斷筋點!C685="","",最佳化斷筋點!C685)</f>
        <v>下層</v>
      </c>
      <c r="AC685" s="37">
        <f>IF(最佳化斷筋點!D685="","",最佳化斷筋點!D685)</f>
        <v>9</v>
      </c>
      <c r="AD685" s="37">
        <f>IF(最佳化斷筋點!E685="","",最佳化斷筋點!E685)</f>
        <v>9</v>
      </c>
      <c r="AE685" s="37">
        <f>IF(最佳化斷筋點!F685="","",最佳化斷筋點!F685)</f>
        <v>9</v>
      </c>
      <c r="AF685" s="37">
        <f>IF(最佳化斷筋點!G685="","",最佳化斷筋點!G685)</f>
        <v>9</v>
      </c>
      <c r="AG685" s="37">
        <f>IF(最佳化斷筋點!H685="","",最佳化斷筋點!H685)</f>
        <v>9</v>
      </c>
      <c r="AH685" s="37">
        <f>IF(最佳化斷筋點!I685="","",最佳化斷筋點!I685)</f>
        <v>8</v>
      </c>
      <c r="AI685" s="37">
        <f>IF(最佳化斷筋點!J685="","",最佳化斷筋點!J685)</f>
        <v>7</v>
      </c>
      <c r="AJ685" s="37">
        <f>IF(最佳化斷筋點!K685="","",最佳化斷筋點!K685)</f>
        <v>4</v>
      </c>
      <c r="AK685" s="37">
        <f>IF(最佳化斷筋點!L685="","",最佳化斷筋點!L685)</f>
        <v>4</v>
      </c>
      <c r="AL685" s="37">
        <f>IF(最佳化斷筋點!M685="","",最佳化斷筋點!M685)</f>
        <v>4</v>
      </c>
      <c r="AM685" s="37">
        <f>IF(最佳化斷筋點!N685="","",最佳化斷筋點!N685)</f>
        <v>4</v>
      </c>
      <c r="AN685" s="37">
        <f>IF(最佳化斷筋點!O685="","",最佳化斷筋點!O685)</f>
        <v>4</v>
      </c>
      <c r="AO685" s="37">
        <f>IF(最佳化斷筋點!P685="","",最佳化斷筋點!P685)</f>
        <v>4</v>
      </c>
      <c r="AP685" s="37">
        <f>IF(最佳化斷筋點!Q685="","",最佳化斷筋點!Q685)</f>
        <v>6</v>
      </c>
      <c r="AQ685" s="37">
        <f>IF(最佳化斷筋點!R685="","",最佳化斷筋點!R685)</f>
        <v>7</v>
      </c>
      <c r="AR685" s="37">
        <f>IF(最佳化斷筋點!S685="","",最佳化斷筋點!S685)</f>
        <v>8</v>
      </c>
      <c r="AS685" s="37">
        <f>IF(最佳化斷筋點!T685="","",最佳化斷筋點!T685)</f>
        <v>9</v>
      </c>
      <c r="AT685" s="37">
        <f>IF(最佳化斷筋點!U685="","",最佳化斷筋點!U685)</f>
        <v>10</v>
      </c>
      <c r="AU685" s="37">
        <f>IF(最佳化斷筋點!V685="","",最佳化斷筋點!V685)</f>
        <v>10</v>
      </c>
      <c r="AV685" s="37">
        <f>IF(最佳化斷筋點!W685="","",最佳化斷筋點!W685)</f>
        <v>10</v>
      </c>
      <c r="AW685" s="37">
        <f>IF(最佳化斷筋點!X685="","",最佳化斷筋點!X685)</f>
        <v>10</v>
      </c>
      <c r="AZ685" s="37">
        <v>9</v>
      </c>
      <c r="BA685" s="37">
        <v>9</v>
      </c>
      <c r="BB685" s="37">
        <v>9</v>
      </c>
      <c r="BC685" s="37">
        <v>9</v>
      </c>
      <c r="BD685" s="37">
        <v>9</v>
      </c>
      <c r="BE685" s="37">
        <v>8</v>
      </c>
      <c r="BF685" s="37">
        <v>7</v>
      </c>
      <c r="BG685" s="37">
        <v>4</v>
      </c>
      <c r="BH685" s="37">
        <v>4</v>
      </c>
      <c r="BI685" s="37">
        <v>4</v>
      </c>
      <c r="BJ685" s="37">
        <v>4</v>
      </c>
      <c r="BK685" s="37">
        <v>4</v>
      </c>
      <c r="BL685" s="37">
        <v>4</v>
      </c>
      <c r="BM685" s="37">
        <v>6</v>
      </c>
      <c r="BN685" s="37">
        <v>7</v>
      </c>
      <c r="BO685" s="37">
        <v>8</v>
      </c>
      <c r="BP685" s="37">
        <v>9</v>
      </c>
      <c r="BQ685" s="37">
        <v>10</v>
      </c>
      <c r="BR685" s="37">
        <v>10</v>
      </c>
      <c r="BS685" s="37">
        <v>10</v>
      </c>
      <c r="BT685" s="37">
        <v>10</v>
      </c>
    </row>
    <row r="686" spans="5:72" x14ac:dyDescent="0.25">
      <c r="E686" s="36"/>
      <c r="F686" s="36">
        <f t="shared" si="211"/>
        <v>0</v>
      </c>
      <c r="G686" s="36">
        <f t="shared" si="212"/>
        <v>0</v>
      </c>
      <c r="H686" s="36">
        <f t="shared" si="213"/>
        <v>0</v>
      </c>
      <c r="I686" s="36">
        <f t="shared" si="214"/>
        <v>0</v>
      </c>
      <c r="J686" s="36">
        <f t="shared" si="215"/>
        <v>0</v>
      </c>
      <c r="K686" s="36">
        <f t="shared" si="216"/>
        <v>0</v>
      </c>
      <c r="L686" s="36">
        <f t="shared" si="217"/>
        <v>0</v>
      </c>
      <c r="M686" s="36">
        <f t="shared" si="218"/>
        <v>0</v>
      </c>
      <c r="N686" s="36">
        <f t="shared" si="219"/>
        <v>0</v>
      </c>
      <c r="O686" s="36">
        <f t="shared" si="220"/>
        <v>0</v>
      </c>
      <c r="P686" s="36">
        <f t="shared" si="221"/>
        <v>0</v>
      </c>
      <c r="Q686" s="36">
        <f t="shared" si="222"/>
        <v>0</v>
      </c>
      <c r="R686" s="36">
        <f t="shared" si="223"/>
        <v>0</v>
      </c>
      <c r="S686" s="36">
        <f t="shared" si="224"/>
        <v>0</v>
      </c>
      <c r="T686" s="36">
        <f t="shared" si="225"/>
        <v>0</v>
      </c>
      <c r="U686" s="36">
        <f t="shared" si="226"/>
        <v>0</v>
      </c>
      <c r="V686" s="36">
        <f t="shared" si="227"/>
        <v>0</v>
      </c>
      <c r="W686" s="36">
        <f t="shared" si="228"/>
        <v>0</v>
      </c>
      <c r="X686" s="36">
        <f t="shared" si="229"/>
        <v>0</v>
      </c>
      <c r="Y686" s="36">
        <f t="shared" si="230"/>
        <v>0</v>
      </c>
      <c r="Z686" s="36">
        <f t="shared" si="231"/>
        <v>0</v>
      </c>
      <c r="AB686" s="36" t="str">
        <f>IF(最佳化斷筋點!C686="","",最佳化斷筋點!C686)</f>
        <v/>
      </c>
      <c r="AC686" s="37" t="str">
        <f>IF(最佳化斷筋點!D686="","",最佳化斷筋點!D686)</f>
        <v/>
      </c>
      <c r="AD686" s="37" t="str">
        <f>IF(最佳化斷筋點!E686="","",最佳化斷筋點!E686)</f>
        <v/>
      </c>
      <c r="AE686" s="37" t="str">
        <f>IF(最佳化斷筋點!F686="","",最佳化斷筋點!F686)</f>
        <v/>
      </c>
      <c r="AF686" s="37" t="str">
        <f>IF(最佳化斷筋點!G686="","",最佳化斷筋點!G686)</f>
        <v/>
      </c>
      <c r="AG686" s="37" t="str">
        <f>IF(最佳化斷筋點!H686="","",最佳化斷筋點!H686)</f>
        <v/>
      </c>
      <c r="AH686" s="37" t="str">
        <f>IF(最佳化斷筋點!I686="","",最佳化斷筋點!I686)</f>
        <v/>
      </c>
      <c r="AI686" s="37" t="str">
        <f>IF(最佳化斷筋點!J686="","",最佳化斷筋點!J686)</f>
        <v/>
      </c>
      <c r="AJ686" s="37" t="str">
        <f>IF(最佳化斷筋點!K686="","",最佳化斷筋點!K686)</f>
        <v/>
      </c>
      <c r="AK686" s="37" t="str">
        <f>IF(最佳化斷筋點!L686="","",最佳化斷筋點!L686)</f>
        <v/>
      </c>
      <c r="AL686" s="37" t="str">
        <f>IF(最佳化斷筋點!M686="","",最佳化斷筋點!M686)</f>
        <v/>
      </c>
      <c r="AM686" s="37" t="str">
        <f>IF(最佳化斷筋點!N686="","",最佳化斷筋點!N686)</f>
        <v/>
      </c>
      <c r="AN686" s="37" t="str">
        <f>IF(最佳化斷筋點!O686="","",最佳化斷筋點!O686)</f>
        <v/>
      </c>
      <c r="AO686" s="37" t="str">
        <f>IF(最佳化斷筋點!P686="","",最佳化斷筋點!P686)</f>
        <v/>
      </c>
      <c r="AP686" s="37" t="str">
        <f>IF(最佳化斷筋點!Q686="","",最佳化斷筋點!Q686)</f>
        <v/>
      </c>
      <c r="AQ686" s="37" t="str">
        <f>IF(最佳化斷筋點!R686="","",最佳化斷筋點!R686)</f>
        <v/>
      </c>
      <c r="AR686" s="37" t="str">
        <f>IF(最佳化斷筋點!S686="","",最佳化斷筋點!S686)</f>
        <v/>
      </c>
      <c r="AS686" s="37" t="str">
        <f>IF(最佳化斷筋點!T686="","",最佳化斷筋點!T686)</f>
        <v/>
      </c>
      <c r="AT686" s="37" t="str">
        <f>IF(最佳化斷筋點!U686="","",最佳化斷筋點!U686)</f>
        <v/>
      </c>
      <c r="AU686" s="37" t="str">
        <f>IF(最佳化斷筋點!V686="","",最佳化斷筋點!V686)</f>
        <v/>
      </c>
      <c r="AV686" s="37" t="str">
        <f>IF(最佳化斷筋點!W686="","",最佳化斷筋點!W686)</f>
        <v/>
      </c>
      <c r="AW686" s="37" t="str">
        <f>IF(最佳化斷筋點!X686="","",最佳化斷筋點!X686)</f>
        <v/>
      </c>
      <c r="AZ686" s="37" t="s">
        <v>197</v>
      </c>
      <c r="BA686" s="37" t="s">
        <v>197</v>
      </c>
      <c r="BB686" s="37" t="s">
        <v>197</v>
      </c>
      <c r="BC686" s="37" t="s">
        <v>197</v>
      </c>
      <c r="BD686" s="37" t="s">
        <v>197</v>
      </c>
      <c r="BE686" s="37" t="s">
        <v>197</v>
      </c>
      <c r="BF686" s="37" t="s">
        <v>197</v>
      </c>
      <c r="BG686" s="37" t="s">
        <v>197</v>
      </c>
      <c r="BH686" s="37" t="s">
        <v>197</v>
      </c>
      <c r="BI686" s="37" t="s">
        <v>197</v>
      </c>
      <c r="BJ686" s="37" t="s">
        <v>197</v>
      </c>
      <c r="BK686" s="37" t="s">
        <v>197</v>
      </c>
      <c r="BL686" s="37" t="s">
        <v>197</v>
      </c>
      <c r="BM686" s="37" t="s">
        <v>197</v>
      </c>
      <c r="BN686" s="37" t="s">
        <v>197</v>
      </c>
      <c r="BO686" s="37" t="s">
        <v>197</v>
      </c>
      <c r="BP686" s="37" t="s">
        <v>197</v>
      </c>
      <c r="BQ686" s="37" t="s">
        <v>197</v>
      </c>
      <c r="BR686" s="37" t="s">
        <v>197</v>
      </c>
      <c r="BS686" s="37" t="s">
        <v>197</v>
      </c>
      <c r="BT686" s="37" t="s">
        <v>197</v>
      </c>
    </row>
    <row r="687" spans="5:72" x14ac:dyDescent="0.25">
      <c r="E687" s="36" t="s">
        <v>20</v>
      </c>
      <c r="F687" s="36">
        <f t="shared" si="211"/>
        <v>0</v>
      </c>
      <c r="G687" s="36">
        <f t="shared" si="212"/>
        <v>0</v>
      </c>
      <c r="H687" s="36">
        <f t="shared" si="213"/>
        <v>0</v>
      </c>
      <c r="I687" s="36">
        <f t="shared" si="214"/>
        <v>0</v>
      </c>
      <c r="J687" s="36">
        <f t="shared" si="215"/>
        <v>0</v>
      </c>
      <c r="K687" s="36">
        <f t="shared" si="216"/>
        <v>0</v>
      </c>
      <c r="L687" s="36">
        <f t="shared" si="217"/>
        <v>0</v>
      </c>
      <c r="M687" s="36">
        <f t="shared" si="218"/>
        <v>0</v>
      </c>
      <c r="N687" s="36">
        <f t="shared" si="219"/>
        <v>0</v>
      </c>
      <c r="O687" s="36">
        <f t="shared" si="220"/>
        <v>0</v>
      </c>
      <c r="P687" s="36">
        <f t="shared" si="221"/>
        <v>0</v>
      </c>
      <c r="Q687" s="36">
        <f t="shared" si="222"/>
        <v>0</v>
      </c>
      <c r="R687" s="36">
        <f t="shared" si="223"/>
        <v>0</v>
      </c>
      <c r="S687" s="36">
        <f t="shared" si="224"/>
        <v>0</v>
      </c>
      <c r="T687" s="36">
        <f t="shared" si="225"/>
        <v>0</v>
      </c>
      <c r="U687" s="36">
        <f t="shared" si="226"/>
        <v>0</v>
      </c>
      <c r="V687" s="36">
        <f t="shared" si="227"/>
        <v>0</v>
      </c>
      <c r="W687" s="36">
        <f t="shared" si="228"/>
        <v>0</v>
      </c>
      <c r="X687" s="36">
        <f t="shared" si="229"/>
        <v>0</v>
      </c>
      <c r="Y687" s="36">
        <f t="shared" si="230"/>
        <v>0</v>
      </c>
      <c r="Z687" s="36">
        <f t="shared" si="231"/>
        <v>0</v>
      </c>
      <c r="AB687" s="36" t="str">
        <f>IF(最佳化斷筋點!C687="","",最佳化斷筋點!C687)</f>
        <v>上層</v>
      </c>
      <c r="AC687" s="37">
        <f>IF(最佳化斷筋點!D687="","",最佳化斷筋點!D687)</f>
        <v>7</v>
      </c>
      <c r="AD687" s="37">
        <f>IF(最佳化斷筋點!E687="","",最佳化斷筋點!E687)</f>
        <v>7</v>
      </c>
      <c r="AE687" s="37">
        <f>IF(最佳化斷筋點!F687="","",最佳化斷筋點!F687)</f>
        <v>7</v>
      </c>
      <c r="AF687" s="37">
        <f>IF(最佳化斷筋點!G687="","",最佳化斷筋點!G687)</f>
        <v>7</v>
      </c>
      <c r="AG687" s="37">
        <f>IF(最佳化斷筋點!H687="","",最佳化斷筋點!H687)</f>
        <v>7</v>
      </c>
      <c r="AH687" s="37">
        <f>IF(最佳化斷筋點!I687="","",最佳化斷筋點!I687)</f>
        <v>6</v>
      </c>
      <c r="AI687" s="37">
        <f>IF(最佳化斷筋點!J687="","",最佳化斷筋點!J687)</f>
        <v>6</v>
      </c>
      <c r="AJ687" s="37">
        <f>IF(最佳化斷筋點!K687="","",最佳化斷筋點!K687)</f>
        <v>3</v>
      </c>
      <c r="AK687" s="37">
        <f>IF(最佳化斷筋點!L687="","",最佳化斷筋點!L687)</f>
        <v>3</v>
      </c>
      <c r="AL687" s="37">
        <f>IF(最佳化斷筋點!M687="","",最佳化斷筋點!M687)</f>
        <v>3</v>
      </c>
      <c r="AM687" s="37">
        <f>IF(最佳化斷筋點!N687="","",最佳化斷筋點!N687)</f>
        <v>3</v>
      </c>
      <c r="AN687" s="37">
        <f>IF(最佳化斷筋點!O687="","",最佳化斷筋點!O687)</f>
        <v>3</v>
      </c>
      <c r="AO687" s="37">
        <f>IF(最佳化斷筋點!P687="","",最佳化斷筋點!P687)</f>
        <v>3</v>
      </c>
      <c r="AP687" s="37">
        <f>IF(最佳化斷筋點!Q687="","",最佳化斷筋點!Q687)</f>
        <v>5</v>
      </c>
      <c r="AQ687" s="37">
        <f>IF(最佳化斷筋點!R687="","",最佳化斷筋點!R687)</f>
        <v>6</v>
      </c>
      <c r="AR687" s="37">
        <f>IF(最佳化斷筋點!S687="","",最佳化斷筋點!S687)</f>
        <v>6</v>
      </c>
      <c r="AS687" s="37">
        <f>IF(最佳化斷筋點!T687="","",最佳化斷筋點!T687)</f>
        <v>7</v>
      </c>
      <c r="AT687" s="37">
        <f>IF(最佳化斷筋點!U687="","",最佳化斷筋點!U687)</f>
        <v>8</v>
      </c>
      <c r="AU687" s="37">
        <f>IF(最佳化斷筋點!V687="","",最佳化斷筋點!V687)</f>
        <v>8</v>
      </c>
      <c r="AV687" s="37">
        <f>IF(最佳化斷筋點!W687="","",最佳化斷筋點!W687)</f>
        <v>8</v>
      </c>
      <c r="AW687" s="37">
        <f>IF(最佳化斷筋點!X687="","",最佳化斷筋點!X687)</f>
        <v>8</v>
      </c>
      <c r="AZ687" s="37">
        <v>7</v>
      </c>
      <c r="BA687" s="37">
        <v>7</v>
      </c>
      <c r="BB687" s="37">
        <v>7</v>
      </c>
      <c r="BC687" s="37">
        <v>7</v>
      </c>
      <c r="BD687" s="37">
        <v>7</v>
      </c>
      <c r="BE687" s="37">
        <v>6</v>
      </c>
      <c r="BF687" s="37">
        <v>6</v>
      </c>
      <c r="BG687" s="37">
        <v>3</v>
      </c>
      <c r="BH687" s="37">
        <v>3</v>
      </c>
      <c r="BI687" s="37">
        <v>3</v>
      </c>
      <c r="BJ687" s="37">
        <v>3</v>
      </c>
      <c r="BK687" s="37">
        <v>3</v>
      </c>
      <c r="BL687" s="37">
        <v>3</v>
      </c>
      <c r="BM687" s="37">
        <v>5</v>
      </c>
      <c r="BN687" s="37">
        <v>6</v>
      </c>
      <c r="BO687" s="37">
        <v>6</v>
      </c>
      <c r="BP687" s="37">
        <v>7</v>
      </c>
      <c r="BQ687" s="37">
        <v>8</v>
      </c>
      <c r="BR687" s="37">
        <v>8</v>
      </c>
      <c r="BS687" s="37">
        <v>8</v>
      </c>
      <c r="BT687" s="37">
        <v>8</v>
      </c>
    </row>
    <row r="688" spans="5:72" x14ac:dyDescent="0.25">
      <c r="E688" s="36"/>
      <c r="F688" s="36">
        <f t="shared" si="211"/>
        <v>0</v>
      </c>
      <c r="G688" s="36">
        <f t="shared" si="212"/>
        <v>0</v>
      </c>
      <c r="H688" s="36">
        <f t="shared" si="213"/>
        <v>0</v>
      </c>
      <c r="I688" s="36">
        <f t="shared" si="214"/>
        <v>0</v>
      </c>
      <c r="J688" s="36">
        <f t="shared" si="215"/>
        <v>0</v>
      </c>
      <c r="K688" s="36">
        <f t="shared" si="216"/>
        <v>0</v>
      </c>
      <c r="L688" s="36">
        <f t="shared" si="217"/>
        <v>0</v>
      </c>
      <c r="M688" s="36">
        <f t="shared" si="218"/>
        <v>0</v>
      </c>
      <c r="N688" s="36">
        <f t="shared" si="219"/>
        <v>0</v>
      </c>
      <c r="O688" s="36">
        <f t="shared" si="220"/>
        <v>0</v>
      </c>
      <c r="P688" s="36">
        <f t="shared" si="221"/>
        <v>0</v>
      </c>
      <c r="Q688" s="36">
        <f t="shared" si="222"/>
        <v>0</v>
      </c>
      <c r="R688" s="36">
        <f t="shared" si="223"/>
        <v>0</v>
      </c>
      <c r="S688" s="36">
        <f t="shared" si="224"/>
        <v>0</v>
      </c>
      <c r="T688" s="36">
        <f t="shared" si="225"/>
        <v>0</v>
      </c>
      <c r="U688" s="36">
        <f t="shared" si="226"/>
        <v>0</v>
      </c>
      <c r="V688" s="36">
        <f t="shared" si="227"/>
        <v>0</v>
      </c>
      <c r="W688" s="36">
        <f t="shared" si="228"/>
        <v>0</v>
      </c>
      <c r="X688" s="36">
        <f t="shared" si="229"/>
        <v>0</v>
      </c>
      <c r="Y688" s="36">
        <f t="shared" si="230"/>
        <v>0</v>
      </c>
      <c r="Z688" s="36">
        <f t="shared" si="231"/>
        <v>0</v>
      </c>
      <c r="AB688" s="36" t="str">
        <f>IF(最佳化斷筋點!C688="","",最佳化斷筋點!C688)</f>
        <v/>
      </c>
      <c r="AC688" s="37" t="str">
        <f>IF(最佳化斷筋點!D688="","",最佳化斷筋點!D688)</f>
        <v/>
      </c>
      <c r="AD688" s="37" t="str">
        <f>IF(最佳化斷筋點!E688="","",最佳化斷筋點!E688)</f>
        <v/>
      </c>
      <c r="AE688" s="37" t="str">
        <f>IF(最佳化斷筋點!F688="","",最佳化斷筋點!F688)</f>
        <v/>
      </c>
      <c r="AF688" s="37" t="str">
        <f>IF(最佳化斷筋點!G688="","",最佳化斷筋點!G688)</f>
        <v/>
      </c>
      <c r="AG688" s="37" t="str">
        <f>IF(最佳化斷筋點!H688="","",最佳化斷筋點!H688)</f>
        <v/>
      </c>
      <c r="AH688" s="37" t="str">
        <f>IF(最佳化斷筋點!I688="","",最佳化斷筋點!I688)</f>
        <v/>
      </c>
      <c r="AI688" s="37" t="str">
        <f>IF(最佳化斷筋點!J688="","",最佳化斷筋點!J688)</f>
        <v/>
      </c>
      <c r="AJ688" s="37" t="str">
        <f>IF(最佳化斷筋點!K688="","",最佳化斷筋點!K688)</f>
        <v/>
      </c>
      <c r="AK688" s="37" t="str">
        <f>IF(最佳化斷筋點!L688="","",最佳化斷筋點!L688)</f>
        <v/>
      </c>
      <c r="AL688" s="37" t="str">
        <f>IF(最佳化斷筋點!M688="","",最佳化斷筋點!M688)</f>
        <v/>
      </c>
      <c r="AM688" s="37" t="str">
        <f>IF(最佳化斷筋點!N688="","",最佳化斷筋點!N688)</f>
        <v/>
      </c>
      <c r="AN688" s="37" t="str">
        <f>IF(最佳化斷筋點!O688="","",最佳化斷筋點!O688)</f>
        <v/>
      </c>
      <c r="AO688" s="37" t="str">
        <f>IF(最佳化斷筋點!P688="","",最佳化斷筋點!P688)</f>
        <v/>
      </c>
      <c r="AP688" s="37" t="str">
        <f>IF(最佳化斷筋點!Q688="","",最佳化斷筋點!Q688)</f>
        <v/>
      </c>
      <c r="AQ688" s="37" t="str">
        <f>IF(最佳化斷筋點!R688="","",最佳化斷筋點!R688)</f>
        <v/>
      </c>
      <c r="AR688" s="37" t="str">
        <f>IF(最佳化斷筋點!S688="","",最佳化斷筋點!S688)</f>
        <v/>
      </c>
      <c r="AS688" s="37" t="str">
        <f>IF(最佳化斷筋點!T688="","",最佳化斷筋點!T688)</f>
        <v/>
      </c>
      <c r="AT688" s="37" t="str">
        <f>IF(最佳化斷筋點!U688="","",最佳化斷筋點!U688)</f>
        <v/>
      </c>
      <c r="AU688" s="37" t="str">
        <f>IF(最佳化斷筋點!V688="","",最佳化斷筋點!V688)</f>
        <v/>
      </c>
      <c r="AV688" s="37" t="str">
        <f>IF(最佳化斷筋點!W688="","",最佳化斷筋點!W688)</f>
        <v/>
      </c>
      <c r="AW688" s="37" t="str">
        <f>IF(最佳化斷筋點!X688="","",最佳化斷筋點!X688)</f>
        <v/>
      </c>
      <c r="AZ688" s="37" t="s">
        <v>197</v>
      </c>
      <c r="BA688" s="37" t="s">
        <v>197</v>
      </c>
      <c r="BB688" s="37" t="s">
        <v>197</v>
      </c>
      <c r="BC688" s="37" t="s">
        <v>197</v>
      </c>
      <c r="BD688" s="37" t="s">
        <v>197</v>
      </c>
      <c r="BE688" s="37" t="s">
        <v>197</v>
      </c>
      <c r="BF688" s="37" t="s">
        <v>197</v>
      </c>
      <c r="BG688" s="37" t="s">
        <v>197</v>
      </c>
      <c r="BH688" s="37" t="s">
        <v>197</v>
      </c>
      <c r="BI688" s="37" t="s">
        <v>197</v>
      </c>
      <c r="BJ688" s="37" t="s">
        <v>197</v>
      </c>
      <c r="BK688" s="37" t="s">
        <v>197</v>
      </c>
      <c r="BL688" s="37" t="s">
        <v>197</v>
      </c>
      <c r="BM688" s="37" t="s">
        <v>197</v>
      </c>
      <c r="BN688" s="37" t="s">
        <v>197</v>
      </c>
      <c r="BO688" s="37" t="s">
        <v>197</v>
      </c>
      <c r="BP688" s="37" t="s">
        <v>197</v>
      </c>
      <c r="BQ688" s="37" t="s">
        <v>197</v>
      </c>
      <c r="BR688" s="37" t="s">
        <v>197</v>
      </c>
      <c r="BS688" s="37" t="s">
        <v>197</v>
      </c>
      <c r="BT688" s="37" t="s">
        <v>197</v>
      </c>
    </row>
    <row r="689" spans="5:72" x14ac:dyDescent="0.25">
      <c r="E689" s="36" t="s">
        <v>21</v>
      </c>
      <c r="F689" s="36">
        <f t="shared" si="211"/>
        <v>0</v>
      </c>
      <c r="G689" s="36">
        <f t="shared" si="212"/>
        <v>0</v>
      </c>
      <c r="H689" s="36">
        <f t="shared" si="213"/>
        <v>0</v>
      </c>
      <c r="I689" s="36">
        <f t="shared" si="214"/>
        <v>0</v>
      </c>
      <c r="J689" s="36">
        <f t="shared" si="215"/>
        <v>0</v>
      </c>
      <c r="K689" s="36">
        <f t="shared" si="216"/>
        <v>0</v>
      </c>
      <c r="L689" s="36">
        <f t="shared" si="217"/>
        <v>0</v>
      </c>
      <c r="M689" s="36">
        <f t="shared" si="218"/>
        <v>0</v>
      </c>
      <c r="N689" s="36">
        <f t="shared" si="219"/>
        <v>0</v>
      </c>
      <c r="O689" s="36">
        <f t="shared" si="220"/>
        <v>0</v>
      </c>
      <c r="P689" s="36">
        <f t="shared" si="221"/>
        <v>0</v>
      </c>
      <c r="Q689" s="36">
        <f t="shared" si="222"/>
        <v>0</v>
      </c>
      <c r="R689" s="36">
        <f t="shared" si="223"/>
        <v>0</v>
      </c>
      <c r="S689" s="36">
        <f t="shared" si="224"/>
        <v>0</v>
      </c>
      <c r="T689" s="36">
        <f t="shared" si="225"/>
        <v>0</v>
      </c>
      <c r="U689" s="36">
        <f t="shared" si="226"/>
        <v>0</v>
      </c>
      <c r="V689" s="36">
        <f t="shared" si="227"/>
        <v>0</v>
      </c>
      <c r="W689" s="36">
        <f t="shared" si="228"/>
        <v>0</v>
      </c>
      <c r="X689" s="36">
        <f t="shared" si="229"/>
        <v>0</v>
      </c>
      <c r="Y689" s="36">
        <f t="shared" si="230"/>
        <v>0</v>
      </c>
      <c r="Z689" s="36">
        <f t="shared" si="231"/>
        <v>0</v>
      </c>
      <c r="AB689" s="36" t="str">
        <f>IF(最佳化斷筋點!C689="","",最佳化斷筋點!C689)</f>
        <v>下層</v>
      </c>
      <c r="AC689" s="37">
        <f>IF(最佳化斷筋點!D689="","",最佳化斷筋點!D689)</f>
        <v>6</v>
      </c>
      <c r="AD689" s="37">
        <f>IF(最佳化斷筋點!E689="","",最佳化斷筋點!E689)</f>
        <v>6</v>
      </c>
      <c r="AE689" s="37">
        <f>IF(最佳化斷筋點!F689="","",最佳化斷筋點!F689)</f>
        <v>6</v>
      </c>
      <c r="AF689" s="37">
        <f>IF(最佳化斷筋點!G689="","",最佳化斷筋點!G689)</f>
        <v>6</v>
      </c>
      <c r="AG689" s="37">
        <f>IF(最佳化斷筋點!H689="","",最佳化斷筋點!H689)</f>
        <v>5</v>
      </c>
      <c r="AH689" s="37">
        <f>IF(最佳化斷筋點!I689="","",最佳化斷筋點!I689)</f>
        <v>5</v>
      </c>
      <c r="AI689" s="37">
        <f>IF(最佳化斷筋點!J689="","",最佳化斷筋點!J689)</f>
        <v>4</v>
      </c>
      <c r="AJ689" s="37">
        <f>IF(最佳化斷筋點!K689="","",最佳化斷筋點!K689)</f>
        <v>4</v>
      </c>
      <c r="AK689" s="37">
        <f>IF(最佳化斷筋點!L689="","",最佳化斷筋點!L689)</f>
        <v>4</v>
      </c>
      <c r="AL689" s="37">
        <f>IF(最佳化斷筋點!M689="","",最佳化斷筋點!M689)</f>
        <v>4</v>
      </c>
      <c r="AM689" s="37">
        <f>IF(最佳化斷筋點!N689="","",最佳化斷筋點!N689)</f>
        <v>4</v>
      </c>
      <c r="AN689" s="37">
        <f>IF(最佳化斷筋點!O689="","",最佳化斷筋點!O689)</f>
        <v>4</v>
      </c>
      <c r="AO689" s="37">
        <f>IF(最佳化斷筋點!P689="","",最佳化斷筋點!P689)</f>
        <v>4</v>
      </c>
      <c r="AP689" s="37">
        <f>IF(最佳化斷筋點!Q689="","",最佳化斷筋點!Q689)</f>
        <v>4</v>
      </c>
      <c r="AQ689" s="37">
        <f>IF(最佳化斷筋點!R689="","",最佳化斷筋點!R689)</f>
        <v>4</v>
      </c>
      <c r="AR689" s="37">
        <f>IF(最佳化斷筋點!S689="","",最佳化斷筋點!S689)</f>
        <v>4</v>
      </c>
      <c r="AS689" s="37">
        <f>IF(最佳化斷筋點!T689="","",最佳化斷筋點!T689)</f>
        <v>5</v>
      </c>
      <c r="AT689" s="37">
        <f>IF(最佳化斷筋點!U689="","",最佳化斷筋點!U689)</f>
        <v>5</v>
      </c>
      <c r="AU689" s="37">
        <f>IF(最佳化斷筋點!V689="","",最佳化斷筋點!V689)</f>
        <v>6</v>
      </c>
      <c r="AV689" s="37">
        <f>IF(最佳化斷筋點!W689="","",最佳化斷筋點!W689)</f>
        <v>6</v>
      </c>
      <c r="AW689" s="37">
        <f>IF(最佳化斷筋點!X689="","",最佳化斷筋點!X689)</f>
        <v>6</v>
      </c>
      <c r="AZ689" s="37">
        <v>6</v>
      </c>
      <c r="BA689" s="37">
        <v>6</v>
      </c>
      <c r="BB689" s="37">
        <v>6</v>
      </c>
      <c r="BC689" s="37">
        <v>6</v>
      </c>
      <c r="BD689" s="37">
        <v>5</v>
      </c>
      <c r="BE689" s="37">
        <v>5</v>
      </c>
      <c r="BF689" s="37">
        <v>4</v>
      </c>
      <c r="BG689" s="37">
        <v>4</v>
      </c>
      <c r="BH689" s="37">
        <v>4</v>
      </c>
      <c r="BI689" s="37">
        <v>4</v>
      </c>
      <c r="BJ689" s="37">
        <v>4</v>
      </c>
      <c r="BK689" s="37">
        <v>4</v>
      </c>
      <c r="BL689" s="37">
        <v>4</v>
      </c>
      <c r="BM689" s="37">
        <v>4</v>
      </c>
      <c r="BN689" s="37">
        <v>4</v>
      </c>
      <c r="BO689" s="37">
        <v>4</v>
      </c>
      <c r="BP689" s="37">
        <v>5</v>
      </c>
      <c r="BQ689" s="37">
        <v>5</v>
      </c>
      <c r="BR689" s="37">
        <v>6</v>
      </c>
      <c r="BS689" s="37">
        <v>6</v>
      </c>
      <c r="BT689" s="37">
        <v>6</v>
      </c>
    </row>
    <row r="690" spans="5:72" x14ac:dyDescent="0.25">
      <c r="E690" s="36"/>
      <c r="F690" s="36">
        <f t="shared" si="211"/>
        <v>0</v>
      </c>
      <c r="G690" s="36">
        <f t="shared" si="212"/>
        <v>0</v>
      </c>
      <c r="H690" s="36">
        <f t="shared" si="213"/>
        <v>0</v>
      </c>
      <c r="I690" s="36">
        <f t="shared" si="214"/>
        <v>0</v>
      </c>
      <c r="J690" s="36">
        <f t="shared" si="215"/>
        <v>0</v>
      </c>
      <c r="K690" s="36">
        <f t="shared" si="216"/>
        <v>0</v>
      </c>
      <c r="L690" s="36">
        <f t="shared" si="217"/>
        <v>0</v>
      </c>
      <c r="M690" s="36">
        <f t="shared" si="218"/>
        <v>0</v>
      </c>
      <c r="N690" s="36">
        <f t="shared" si="219"/>
        <v>0</v>
      </c>
      <c r="O690" s="36">
        <f t="shared" si="220"/>
        <v>0</v>
      </c>
      <c r="P690" s="36">
        <f t="shared" si="221"/>
        <v>0</v>
      </c>
      <c r="Q690" s="36">
        <f t="shared" si="222"/>
        <v>0</v>
      </c>
      <c r="R690" s="36">
        <f t="shared" si="223"/>
        <v>0</v>
      </c>
      <c r="S690" s="36">
        <f t="shared" si="224"/>
        <v>0</v>
      </c>
      <c r="T690" s="36">
        <f t="shared" si="225"/>
        <v>0</v>
      </c>
      <c r="U690" s="36">
        <f t="shared" si="226"/>
        <v>0</v>
      </c>
      <c r="V690" s="36">
        <f t="shared" si="227"/>
        <v>0</v>
      </c>
      <c r="W690" s="36">
        <f t="shared" si="228"/>
        <v>0</v>
      </c>
      <c r="X690" s="36">
        <f t="shared" si="229"/>
        <v>0</v>
      </c>
      <c r="Y690" s="36">
        <f t="shared" si="230"/>
        <v>0</v>
      </c>
      <c r="Z690" s="36">
        <f t="shared" si="231"/>
        <v>0</v>
      </c>
      <c r="AB690" s="36" t="str">
        <f>IF(最佳化斷筋點!C690="","",最佳化斷筋點!C690)</f>
        <v/>
      </c>
      <c r="AC690" s="37" t="str">
        <f>IF(最佳化斷筋點!D690="","",最佳化斷筋點!D690)</f>
        <v/>
      </c>
      <c r="AD690" s="37" t="str">
        <f>IF(最佳化斷筋點!E690="","",最佳化斷筋點!E690)</f>
        <v/>
      </c>
      <c r="AE690" s="37" t="str">
        <f>IF(最佳化斷筋點!F690="","",最佳化斷筋點!F690)</f>
        <v/>
      </c>
      <c r="AF690" s="37" t="str">
        <f>IF(最佳化斷筋點!G690="","",最佳化斷筋點!G690)</f>
        <v/>
      </c>
      <c r="AG690" s="37" t="str">
        <f>IF(最佳化斷筋點!H690="","",最佳化斷筋點!H690)</f>
        <v/>
      </c>
      <c r="AH690" s="37" t="str">
        <f>IF(最佳化斷筋點!I690="","",最佳化斷筋點!I690)</f>
        <v/>
      </c>
      <c r="AI690" s="37" t="str">
        <f>IF(最佳化斷筋點!J690="","",最佳化斷筋點!J690)</f>
        <v/>
      </c>
      <c r="AJ690" s="37" t="str">
        <f>IF(最佳化斷筋點!K690="","",最佳化斷筋點!K690)</f>
        <v/>
      </c>
      <c r="AK690" s="37" t="str">
        <f>IF(最佳化斷筋點!L690="","",最佳化斷筋點!L690)</f>
        <v/>
      </c>
      <c r="AL690" s="37" t="str">
        <f>IF(最佳化斷筋點!M690="","",最佳化斷筋點!M690)</f>
        <v/>
      </c>
      <c r="AM690" s="37" t="str">
        <f>IF(最佳化斷筋點!N690="","",最佳化斷筋點!N690)</f>
        <v/>
      </c>
      <c r="AN690" s="37" t="str">
        <f>IF(最佳化斷筋點!O690="","",最佳化斷筋點!O690)</f>
        <v/>
      </c>
      <c r="AO690" s="37" t="str">
        <f>IF(最佳化斷筋點!P690="","",最佳化斷筋點!P690)</f>
        <v/>
      </c>
      <c r="AP690" s="37" t="str">
        <f>IF(最佳化斷筋點!Q690="","",最佳化斷筋點!Q690)</f>
        <v/>
      </c>
      <c r="AQ690" s="37" t="str">
        <f>IF(最佳化斷筋點!R690="","",最佳化斷筋點!R690)</f>
        <v/>
      </c>
      <c r="AR690" s="37" t="str">
        <f>IF(最佳化斷筋點!S690="","",最佳化斷筋點!S690)</f>
        <v/>
      </c>
      <c r="AS690" s="37" t="str">
        <f>IF(最佳化斷筋點!T690="","",最佳化斷筋點!T690)</f>
        <v/>
      </c>
      <c r="AT690" s="37" t="str">
        <f>IF(最佳化斷筋點!U690="","",最佳化斷筋點!U690)</f>
        <v/>
      </c>
      <c r="AU690" s="37" t="str">
        <f>IF(最佳化斷筋點!V690="","",最佳化斷筋點!V690)</f>
        <v/>
      </c>
      <c r="AV690" s="37" t="str">
        <f>IF(最佳化斷筋點!W690="","",最佳化斷筋點!W690)</f>
        <v/>
      </c>
      <c r="AW690" s="37" t="str">
        <f>IF(最佳化斷筋點!X690="","",最佳化斷筋點!X690)</f>
        <v/>
      </c>
      <c r="AZ690" s="37" t="s">
        <v>197</v>
      </c>
      <c r="BA690" s="37" t="s">
        <v>197</v>
      </c>
      <c r="BB690" s="37" t="s">
        <v>197</v>
      </c>
      <c r="BC690" s="37" t="s">
        <v>197</v>
      </c>
      <c r="BD690" s="37" t="s">
        <v>197</v>
      </c>
      <c r="BE690" s="37" t="s">
        <v>197</v>
      </c>
      <c r="BF690" s="37" t="s">
        <v>197</v>
      </c>
      <c r="BG690" s="37" t="s">
        <v>197</v>
      </c>
      <c r="BH690" s="37" t="s">
        <v>197</v>
      </c>
      <c r="BI690" s="37" t="s">
        <v>197</v>
      </c>
      <c r="BJ690" s="37" t="s">
        <v>197</v>
      </c>
      <c r="BK690" s="37" t="s">
        <v>197</v>
      </c>
      <c r="BL690" s="37" t="s">
        <v>197</v>
      </c>
      <c r="BM690" s="37" t="s">
        <v>197</v>
      </c>
      <c r="BN690" s="37" t="s">
        <v>197</v>
      </c>
      <c r="BO690" s="37" t="s">
        <v>197</v>
      </c>
      <c r="BP690" s="37" t="s">
        <v>197</v>
      </c>
      <c r="BQ690" s="37" t="s">
        <v>197</v>
      </c>
      <c r="BR690" s="37" t="s">
        <v>197</v>
      </c>
      <c r="BS690" s="37" t="s">
        <v>197</v>
      </c>
      <c r="BT690" s="37" t="s">
        <v>197</v>
      </c>
    </row>
    <row r="691" spans="5:72" x14ac:dyDescent="0.25">
      <c r="E691" s="36" t="s">
        <v>20</v>
      </c>
      <c r="F691" s="36">
        <f t="shared" si="211"/>
        <v>0</v>
      </c>
      <c r="G691" s="36">
        <f t="shared" si="212"/>
        <v>0</v>
      </c>
      <c r="H691" s="36">
        <f t="shared" si="213"/>
        <v>0</v>
      </c>
      <c r="I691" s="36">
        <f t="shared" si="214"/>
        <v>0</v>
      </c>
      <c r="J691" s="36">
        <f t="shared" si="215"/>
        <v>0</v>
      </c>
      <c r="K691" s="36">
        <f t="shared" si="216"/>
        <v>0</v>
      </c>
      <c r="L691" s="36">
        <f t="shared" si="217"/>
        <v>0</v>
      </c>
      <c r="M691" s="36">
        <f t="shared" si="218"/>
        <v>0</v>
      </c>
      <c r="N691" s="36">
        <f t="shared" si="219"/>
        <v>0</v>
      </c>
      <c r="O691" s="36">
        <f t="shared" si="220"/>
        <v>0</v>
      </c>
      <c r="P691" s="36">
        <f t="shared" si="221"/>
        <v>0</v>
      </c>
      <c r="Q691" s="36">
        <f t="shared" si="222"/>
        <v>0</v>
      </c>
      <c r="R691" s="36">
        <f t="shared" si="223"/>
        <v>0</v>
      </c>
      <c r="S691" s="36">
        <f t="shared" si="224"/>
        <v>0</v>
      </c>
      <c r="T691" s="36">
        <f t="shared" si="225"/>
        <v>0</v>
      </c>
      <c r="U691" s="36">
        <f t="shared" si="226"/>
        <v>0</v>
      </c>
      <c r="V691" s="36">
        <f t="shared" si="227"/>
        <v>0</v>
      </c>
      <c r="W691" s="36">
        <f t="shared" si="228"/>
        <v>0</v>
      </c>
      <c r="X691" s="36">
        <f t="shared" si="229"/>
        <v>0</v>
      </c>
      <c r="Y691" s="36">
        <f t="shared" si="230"/>
        <v>0</v>
      </c>
      <c r="Z691" s="36">
        <f t="shared" si="231"/>
        <v>0</v>
      </c>
      <c r="AB691" s="36" t="str">
        <f>IF(最佳化斷筋點!C691="","",最佳化斷筋點!C691)</f>
        <v>上層</v>
      </c>
      <c r="AC691" s="37">
        <f>IF(最佳化斷筋點!D691="","",最佳化斷筋點!D691)</f>
        <v>8</v>
      </c>
      <c r="AD691" s="37">
        <f>IF(最佳化斷筋點!E691="","",最佳化斷筋點!E691)</f>
        <v>8</v>
      </c>
      <c r="AE691" s="37">
        <f>IF(最佳化斷筋點!F691="","",最佳化斷筋點!F691)</f>
        <v>8</v>
      </c>
      <c r="AF691" s="37">
        <f>IF(最佳化斷筋點!G691="","",最佳化斷筋點!G691)</f>
        <v>8</v>
      </c>
      <c r="AG691" s="37">
        <f>IF(最佳化斷筋點!H691="","",最佳化斷筋點!H691)</f>
        <v>8</v>
      </c>
      <c r="AH691" s="37">
        <f>IF(最佳化斷筋點!I691="","",最佳化斷筋點!I691)</f>
        <v>8</v>
      </c>
      <c r="AI691" s="37">
        <f>IF(最佳化斷筋點!J691="","",最佳化斷筋點!J691)</f>
        <v>8</v>
      </c>
      <c r="AJ691" s="37">
        <f>IF(最佳化斷筋點!K691="","",最佳化斷筋點!K691)</f>
        <v>8</v>
      </c>
      <c r="AK691" s="37">
        <f>IF(最佳化斷筋點!L691="","",最佳化斷筋點!L691)</f>
        <v>7</v>
      </c>
      <c r="AL691" s="37">
        <f>IF(最佳化斷筋點!M691="","",最佳化斷筋點!M691)</f>
        <v>6</v>
      </c>
      <c r="AM691" s="37">
        <f>IF(最佳化斷筋點!N691="","",最佳化斷筋點!N691)</f>
        <v>6</v>
      </c>
      <c r="AN691" s="37">
        <f>IF(最佳化斷筋點!O691="","",最佳化斷筋點!O691)</f>
        <v>6</v>
      </c>
      <c r="AO691" s="37">
        <f>IF(最佳化斷筋點!P691="","",最佳化斷筋點!P691)</f>
        <v>7</v>
      </c>
      <c r="AP691" s="37">
        <f>IF(最佳化斷筋點!Q691="","",最佳化斷筋點!Q691)</f>
        <v>8</v>
      </c>
      <c r="AQ691" s="37">
        <f>IF(最佳化斷筋點!R691="","",最佳化斷筋點!R691)</f>
        <v>9</v>
      </c>
      <c r="AR691" s="37">
        <f>IF(最佳化斷筋點!S691="","",最佳化斷筋點!S691)</f>
        <v>9</v>
      </c>
      <c r="AS691" s="37">
        <f>IF(最佳化斷筋點!T691="","",最佳化斷筋點!T691)</f>
        <v>9</v>
      </c>
      <c r="AT691" s="37">
        <f>IF(最佳化斷筋點!U691="","",最佳化斷筋點!U691)</f>
        <v>9</v>
      </c>
      <c r="AU691" s="37">
        <f>IF(最佳化斷筋點!V691="","",最佳化斷筋點!V691)</f>
        <v>9</v>
      </c>
      <c r="AV691" s="37">
        <f>IF(最佳化斷筋點!W691="","",最佳化斷筋點!W691)</f>
        <v>9</v>
      </c>
      <c r="AW691" s="37">
        <f>IF(最佳化斷筋點!X691="","",最佳化斷筋點!X691)</f>
        <v>9</v>
      </c>
      <c r="AZ691" s="37">
        <v>8</v>
      </c>
      <c r="BA691" s="37">
        <v>8</v>
      </c>
      <c r="BB691" s="37">
        <v>8</v>
      </c>
      <c r="BC691" s="37">
        <v>8</v>
      </c>
      <c r="BD691" s="37">
        <v>8</v>
      </c>
      <c r="BE691" s="37">
        <v>8</v>
      </c>
      <c r="BF691" s="37">
        <v>8</v>
      </c>
      <c r="BG691" s="37">
        <v>8</v>
      </c>
      <c r="BH691" s="37">
        <v>7</v>
      </c>
      <c r="BI691" s="37">
        <v>6</v>
      </c>
      <c r="BJ691" s="37">
        <v>6</v>
      </c>
      <c r="BK691" s="37">
        <v>6</v>
      </c>
      <c r="BL691" s="37">
        <v>7</v>
      </c>
      <c r="BM691" s="37">
        <v>8</v>
      </c>
      <c r="BN691" s="37">
        <v>9</v>
      </c>
      <c r="BO691" s="37">
        <v>9</v>
      </c>
      <c r="BP691" s="37">
        <v>9</v>
      </c>
      <c r="BQ691" s="37">
        <v>9</v>
      </c>
      <c r="BR691" s="37">
        <v>9</v>
      </c>
      <c r="BS691" s="37">
        <v>9</v>
      </c>
      <c r="BT691" s="37">
        <v>9</v>
      </c>
    </row>
    <row r="692" spans="5:72" x14ac:dyDescent="0.25">
      <c r="E692" s="36"/>
      <c r="F692" s="36">
        <f t="shared" si="211"/>
        <v>0</v>
      </c>
      <c r="G692" s="36">
        <f t="shared" si="212"/>
        <v>0</v>
      </c>
      <c r="H692" s="36">
        <f t="shared" si="213"/>
        <v>0</v>
      </c>
      <c r="I692" s="36">
        <f t="shared" si="214"/>
        <v>0</v>
      </c>
      <c r="J692" s="36">
        <f t="shared" si="215"/>
        <v>0</v>
      </c>
      <c r="K692" s="36">
        <f t="shared" si="216"/>
        <v>0</v>
      </c>
      <c r="L692" s="36">
        <f t="shared" si="217"/>
        <v>0</v>
      </c>
      <c r="M692" s="36">
        <f t="shared" si="218"/>
        <v>0</v>
      </c>
      <c r="N692" s="36">
        <f t="shared" si="219"/>
        <v>0</v>
      </c>
      <c r="O692" s="36">
        <f t="shared" si="220"/>
        <v>0</v>
      </c>
      <c r="P692" s="36">
        <f t="shared" si="221"/>
        <v>0</v>
      </c>
      <c r="Q692" s="36">
        <f t="shared" si="222"/>
        <v>0</v>
      </c>
      <c r="R692" s="36">
        <f t="shared" si="223"/>
        <v>0</v>
      </c>
      <c r="S692" s="36">
        <f t="shared" si="224"/>
        <v>0</v>
      </c>
      <c r="T692" s="36">
        <f t="shared" si="225"/>
        <v>0</v>
      </c>
      <c r="U692" s="36">
        <f t="shared" si="226"/>
        <v>0</v>
      </c>
      <c r="V692" s="36">
        <f t="shared" si="227"/>
        <v>0</v>
      </c>
      <c r="W692" s="36">
        <f t="shared" si="228"/>
        <v>0</v>
      </c>
      <c r="X692" s="36">
        <f t="shared" si="229"/>
        <v>0</v>
      </c>
      <c r="Y692" s="36">
        <f t="shared" si="230"/>
        <v>0</v>
      </c>
      <c r="Z692" s="36">
        <f t="shared" si="231"/>
        <v>0</v>
      </c>
      <c r="AB692" s="36" t="str">
        <f>IF(最佳化斷筋點!C692="","",最佳化斷筋點!C692)</f>
        <v/>
      </c>
      <c r="AC692" s="37" t="str">
        <f>IF(最佳化斷筋點!D692="","",最佳化斷筋點!D692)</f>
        <v/>
      </c>
      <c r="AD692" s="37" t="str">
        <f>IF(最佳化斷筋點!E692="","",最佳化斷筋點!E692)</f>
        <v/>
      </c>
      <c r="AE692" s="37" t="str">
        <f>IF(最佳化斷筋點!F692="","",最佳化斷筋點!F692)</f>
        <v/>
      </c>
      <c r="AF692" s="37" t="str">
        <f>IF(最佳化斷筋點!G692="","",最佳化斷筋點!G692)</f>
        <v/>
      </c>
      <c r="AG692" s="37" t="str">
        <f>IF(最佳化斷筋點!H692="","",最佳化斷筋點!H692)</f>
        <v/>
      </c>
      <c r="AH692" s="37" t="str">
        <f>IF(最佳化斷筋點!I692="","",最佳化斷筋點!I692)</f>
        <v/>
      </c>
      <c r="AI692" s="37" t="str">
        <f>IF(最佳化斷筋點!J692="","",最佳化斷筋點!J692)</f>
        <v/>
      </c>
      <c r="AJ692" s="37" t="str">
        <f>IF(最佳化斷筋點!K692="","",最佳化斷筋點!K692)</f>
        <v/>
      </c>
      <c r="AK692" s="37" t="str">
        <f>IF(最佳化斷筋點!L692="","",最佳化斷筋點!L692)</f>
        <v/>
      </c>
      <c r="AL692" s="37" t="str">
        <f>IF(最佳化斷筋點!M692="","",最佳化斷筋點!M692)</f>
        <v/>
      </c>
      <c r="AM692" s="37" t="str">
        <f>IF(最佳化斷筋點!N692="","",最佳化斷筋點!N692)</f>
        <v/>
      </c>
      <c r="AN692" s="37" t="str">
        <f>IF(最佳化斷筋點!O692="","",最佳化斷筋點!O692)</f>
        <v/>
      </c>
      <c r="AO692" s="37" t="str">
        <f>IF(最佳化斷筋點!P692="","",最佳化斷筋點!P692)</f>
        <v/>
      </c>
      <c r="AP692" s="37" t="str">
        <f>IF(最佳化斷筋點!Q692="","",最佳化斷筋點!Q692)</f>
        <v/>
      </c>
      <c r="AQ692" s="37" t="str">
        <f>IF(最佳化斷筋點!R692="","",最佳化斷筋點!R692)</f>
        <v/>
      </c>
      <c r="AR692" s="37" t="str">
        <f>IF(最佳化斷筋點!S692="","",最佳化斷筋點!S692)</f>
        <v/>
      </c>
      <c r="AS692" s="37" t="str">
        <f>IF(最佳化斷筋點!T692="","",最佳化斷筋點!T692)</f>
        <v/>
      </c>
      <c r="AT692" s="37" t="str">
        <f>IF(最佳化斷筋點!U692="","",最佳化斷筋點!U692)</f>
        <v/>
      </c>
      <c r="AU692" s="37" t="str">
        <f>IF(最佳化斷筋點!V692="","",最佳化斷筋點!V692)</f>
        <v/>
      </c>
      <c r="AV692" s="37" t="str">
        <f>IF(最佳化斷筋點!W692="","",最佳化斷筋點!W692)</f>
        <v/>
      </c>
      <c r="AW692" s="37" t="str">
        <f>IF(最佳化斷筋點!X692="","",最佳化斷筋點!X692)</f>
        <v/>
      </c>
      <c r="AZ692" s="37" t="s">
        <v>197</v>
      </c>
      <c r="BA692" s="37" t="s">
        <v>197</v>
      </c>
      <c r="BB692" s="37" t="s">
        <v>197</v>
      </c>
      <c r="BC692" s="37" t="s">
        <v>197</v>
      </c>
      <c r="BD692" s="37" t="s">
        <v>197</v>
      </c>
      <c r="BE692" s="37" t="s">
        <v>197</v>
      </c>
      <c r="BF692" s="37" t="s">
        <v>197</v>
      </c>
      <c r="BG692" s="37" t="s">
        <v>197</v>
      </c>
      <c r="BH692" s="37" t="s">
        <v>197</v>
      </c>
      <c r="BI692" s="37" t="s">
        <v>197</v>
      </c>
      <c r="BJ692" s="37" t="s">
        <v>197</v>
      </c>
      <c r="BK692" s="37" t="s">
        <v>197</v>
      </c>
      <c r="BL692" s="37" t="s">
        <v>197</v>
      </c>
      <c r="BM692" s="37" t="s">
        <v>197</v>
      </c>
      <c r="BN692" s="37" t="s">
        <v>197</v>
      </c>
      <c r="BO692" s="37" t="s">
        <v>197</v>
      </c>
      <c r="BP692" s="37" t="s">
        <v>197</v>
      </c>
      <c r="BQ692" s="37" t="s">
        <v>197</v>
      </c>
      <c r="BR692" s="37" t="s">
        <v>197</v>
      </c>
      <c r="BS692" s="37" t="s">
        <v>197</v>
      </c>
      <c r="BT692" s="37" t="s">
        <v>197</v>
      </c>
    </row>
    <row r="693" spans="5:72" x14ac:dyDescent="0.25">
      <c r="E693" s="36" t="s">
        <v>21</v>
      </c>
      <c r="F693" s="36">
        <f t="shared" si="211"/>
        <v>0</v>
      </c>
      <c r="G693" s="36">
        <f t="shared" si="212"/>
        <v>0</v>
      </c>
      <c r="H693" s="36">
        <f t="shared" si="213"/>
        <v>0</v>
      </c>
      <c r="I693" s="36">
        <f t="shared" si="214"/>
        <v>0</v>
      </c>
      <c r="J693" s="36">
        <f t="shared" si="215"/>
        <v>0</v>
      </c>
      <c r="K693" s="36">
        <f t="shared" si="216"/>
        <v>0</v>
      </c>
      <c r="L693" s="36">
        <f t="shared" si="217"/>
        <v>0</v>
      </c>
      <c r="M693" s="36">
        <f t="shared" si="218"/>
        <v>0</v>
      </c>
      <c r="N693" s="36">
        <f t="shared" si="219"/>
        <v>0</v>
      </c>
      <c r="O693" s="36">
        <f t="shared" si="220"/>
        <v>0</v>
      </c>
      <c r="P693" s="36">
        <f t="shared" si="221"/>
        <v>0</v>
      </c>
      <c r="Q693" s="36">
        <f t="shared" si="222"/>
        <v>0</v>
      </c>
      <c r="R693" s="36">
        <f t="shared" si="223"/>
        <v>0</v>
      </c>
      <c r="S693" s="36">
        <f t="shared" si="224"/>
        <v>0</v>
      </c>
      <c r="T693" s="36">
        <f t="shared" si="225"/>
        <v>0</v>
      </c>
      <c r="U693" s="36">
        <f t="shared" si="226"/>
        <v>0</v>
      </c>
      <c r="V693" s="36">
        <f t="shared" si="227"/>
        <v>0</v>
      </c>
      <c r="W693" s="36">
        <f t="shared" si="228"/>
        <v>0</v>
      </c>
      <c r="X693" s="36">
        <f t="shared" si="229"/>
        <v>0</v>
      </c>
      <c r="Y693" s="36">
        <f t="shared" si="230"/>
        <v>0</v>
      </c>
      <c r="Z693" s="36">
        <f t="shared" si="231"/>
        <v>0</v>
      </c>
      <c r="AB693" s="36" t="str">
        <f>IF(最佳化斷筋點!C693="","",最佳化斷筋點!C693)</f>
        <v>下層</v>
      </c>
      <c r="AC693" s="37">
        <f>IF(最佳化斷筋點!D693="","",最佳化斷筋點!D693)</f>
        <v>12</v>
      </c>
      <c r="AD693" s="37">
        <f>IF(最佳化斷筋點!E693="","",最佳化斷筋點!E693)</f>
        <v>12</v>
      </c>
      <c r="AE693" s="37">
        <f>IF(最佳化斷筋點!F693="","",最佳化斷筋點!F693)</f>
        <v>12</v>
      </c>
      <c r="AF693" s="37">
        <f>IF(最佳化斷筋點!G693="","",最佳化斷筋點!G693)</f>
        <v>12</v>
      </c>
      <c r="AG693" s="37">
        <f>IF(最佳化斷筋點!H693="","",最佳化斷筋點!H693)</f>
        <v>12</v>
      </c>
      <c r="AH693" s="37">
        <f>IF(最佳化斷筋點!I693="","",最佳化斷筋點!I693)</f>
        <v>12</v>
      </c>
      <c r="AI693" s="37">
        <f>IF(最佳化斷筋點!J693="","",最佳化斷筋點!J693)</f>
        <v>12</v>
      </c>
      <c r="AJ693" s="37">
        <f>IF(最佳化斷筋點!K693="","",最佳化斷筋點!K693)</f>
        <v>12</v>
      </c>
      <c r="AK693" s="37">
        <f>IF(最佳化斷筋點!L693="","",最佳化斷筋點!L693)</f>
        <v>12</v>
      </c>
      <c r="AL693" s="37">
        <f>IF(最佳化斷筋點!M693="","",最佳化斷筋點!M693)</f>
        <v>12</v>
      </c>
      <c r="AM693" s="37">
        <f>IF(最佳化斷筋點!N693="","",最佳化斷筋點!N693)</f>
        <v>12</v>
      </c>
      <c r="AN693" s="37">
        <f>IF(最佳化斷筋點!O693="","",最佳化斷筋點!O693)</f>
        <v>12</v>
      </c>
      <c r="AO693" s="37">
        <f>IF(最佳化斷筋點!P693="","",最佳化斷筋點!P693)</f>
        <v>12</v>
      </c>
      <c r="AP693" s="37">
        <f>IF(最佳化斷筋點!Q693="","",最佳化斷筋點!Q693)</f>
        <v>12</v>
      </c>
      <c r="AQ693" s="37">
        <f>IF(最佳化斷筋點!R693="","",最佳化斷筋點!R693)</f>
        <v>12</v>
      </c>
      <c r="AR693" s="37">
        <f>IF(最佳化斷筋點!S693="","",最佳化斷筋點!S693)</f>
        <v>12</v>
      </c>
      <c r="AS693" s="37">
        <f>IF(最佳化斷筋點!T693="","",最佳化斷筋點!T693)</f>
        <v>12</v>
      </c>
      <c r="AT693" s="37">
        <f>IF(最佳化斷筋點!U693="","",最佳化斷筋點!U693)</f>
        <v>12</v>
      </c>
      <c r="AU693" s="37">
        <f>IF(最佳化斷筋點!V693="","",最佳化斷筋點!V693)</f>
        <v>11</v>
      </c>
      <c r="AV693" s="37">
        <f>IF(最佳化斷筋點!W693="","",最佳化斷筋點!W693)</f>
        <v>11</v>
      </c>
      <c r="AW693" s="37">
        <f>IF(最佳化斷筋點!X693="","",最佳化斷筋點!X693)</f>
        <v>11</v>
      </c>
      <c r="AZ693" s="37">
        <v>12</v>
      </c>
      <c r="BA693" s="37">
        <v>12</v>
      </c>
      <c r="BB693" s="37">
        <v>12</v>
      </c>
      <c r="BC693" s="37">
        <v>12</v>
      </c>
      <c r="BD693" s="37">
        <v>12</v>
      </c>
      <c r="BE693" s="37">
        <v>12</v>
      </c>
      <c r="BF693" s="37">
        <v>12</v>
      </c>
      <c r="BG693" s="37">
        <v>12</v>
      </c>
      <c r="BH693" s="37">
        <v>12</v>
      </c>
      <c r="BI693" s="37">
        <v>12</v>
      </c>
      <c r="BJ693" s="37">
        <v>12</v>
      </c>
      <c r="BK693" s="37">
        <v>12</v>
      </c>
      <c r="BL693" s="37">
        <v>12</v>
      </c>
      <c r="BM693" s="37">
        <v>12</v>
      </c>
      <c r="BN693" s="37">
        <v>12</v>
      </c>
      <c r="BO693" s="37">
        <v>12</v>
      </c>
      <c r="BP693" s="37">
        <v>12</v>
      </c>
      <c r="BQ693" s="37">
        <v>12</v>
      </c>
      <c r="BR693" s="37">
        <v>11</v>
      </c>
      <c r="BS693" s="37">
        <v>11</v>
      </c>
      <c r="BT693" s="37">
        <v>11</v>
      </c>
    </row>
    <row r="694" spans="5:72" x14ac:dyDescent="0.25">
      <c r="E694" s="36"/>
      <c r="F694" s="36">
        <f t="shared" si="211"/>
        <v>0</v>
      </c>
      <c r="G694" s="36">
        <f t="shared" si="212"/>
        <v>0</v>
      </c>
      <c r="H694" s="36">
        <f t="shared" si="213"/>
        <v>0</v>
      </c>
      <c r="I694" s="36">
        <f t="shared" si="214"/>
        <v>0</v>
      </c>
      <c r="J694" s="36">
        <f t="shared" si="215"/>
        <v>0</v>
      </c>
      <c r="K694" s="36">
        <f t="shared" si="216"/>
        <v>0</v>
      </c>
      <c r="L694" s="36">
        <f t="shared" si="217"/>
        <v>0</v>
      </c>
      <c r="M694" s="36">
        <f t="shared" si="218"/>
        <v>0</v>
      </c>
      <c r="N694" s="36">
        <f t="shared" si="219"/>
        <v>0</v>
      </c>
      <c r="O694" s="36">
        <f t="shared" si="220"/>
        <v>0</v>
      </c>
      <c r="P694" s="36">
        <f t="shared" si="221"/>
        <v>0</v>
      </c>
      <c r="Q694" s="36">
        <f t="shared" si="222"/>
        <v>0</v>
      </c>
      <c r="R694" s="36">
        <f t="shared" si="223"/>
        <v>0</v>
      </c>
      <c r="S694" s="36">
        <f t="shared" si="224"/>
        <v>0</v>
      </c>
      <c r="T694" s="36">
        <f t="shared" si="225"/>
        <v>0</v>
      </c>
      <c r="U694" s="36">
        <f t="shared" si="226"/>
        <v>0</v>
      </c>
      <c r="V694" s="36">
        <f t="shared" si="227"/>
        <v>0</v>
      </c>
      <c r="W694" s="36">
        <f t="shared" si="228"/>
        <v>0</v>
      </c>
      <c r="X694" s="36">
        <f t="shared" si="229"/>
        <v>0</v>
      </c>
      <c r="Y694" s="36">
        <f t="shared" si="230"/>
        <v>0</v>
      </c>
      <c r="Z694" s="36">
        <f t="shared" si="231"/>
        <v>0</v>
      </c>
      <c r="AB694" s="36" t="str">
        <f>IF(最佳化斷筋點!C694="","",最佳化斷筋點!C694)</f>
        <v/>
      </c>
      <c r="AC694" s="37" t="str">
        <f>IF(最佳化斷筋點!D694="","",最佳化斷筋點!D694)</f>
        <v/>
      </c>
      <c r="AD694" s="37" t="str">
        <f>IF(最佳化斷筋點!E694="","",最佳化斷筋點!E694)</f>
        <v/>
      </c>
      <c r="AE694" s="37" t="str">
        <f>IF(最佳化斷筋點!F694="","",最佳化斷筋點!F694)</f>
        <v/>
      </c>
      <c r="AF694" s="37" t="str">
        <f>IF(最佳化斷筋點!G694="","",最佳化斷筋點!G694)</f>
        <v/>
      </c>
      <c r="AG694" s="37" t="str">
        <f>IF(最佳化斷筋點!H694="","",最佳化斷筋點!H694)</f>
        <v/>
      </c>
      <c r="AH694" s="37" t="str">
        <f>IF(最佳化斷筋點!I694="","",最佳化斷筋點!I694)</f>
        <v/>
      </c>
      <c r="AI694" s="37" t="str">
        <f>IF(最佳化斷筋點!J694="","",最佳化斷筋點!J694)</f>
        <v/>
      </c>
      <c r="AJ694" s="37" t="str">
        <f>IF(最佳化斷筋點!K694="","",最佳化斷筋點!K694)</f>
        <v/>
      </c>
      <c r="AK694" s="37" t="str">
        <f>IF(最佳化斷筋點!L694="","",最佳化斷筋點!L694)</f>
        <v/>
      </c>
      <c r="AL694" s="37" t="str">
        <f>IF(最佳化斷筋點!M694="","",最佳化斷筋點!M694)</f>
        <v/>
      </c>
      <c r="AM694" s="37" t="str">
        <f>IF(最佳化斷筋點!N694="","",最佳化斷筋點!N694)</f>
        <v/>
      </c>
      <c r="AN694" s="37" t="str">
        <f>IF(最佳化斷筋點!O694="","",最佳化斷筋點!O694)</f>
        <v/>
      </c>
      <c r="AO694" s="37" t="str">
        <f>IF(最佳化斷筋點!P694="","",最佳化斷筋點!P694)</f>
        <v/>
      </c>
      <c r="AP694" s="37" t="str">
        <f>IF(最佳化斷筋點!Q694="","",最佳化斷筋點!Q694)</f>
        <v/>
      </c>
      <c r="AQ694" s="37" t="str">
        <f>IF(最佳化斷筋點!R694="","",最佳化斷筋點!R694)</f>
        <v/>
      </c>
      <c r="AR694" s="37" t="str">
        <f>IF(最佳化斷筋點!S694="","",最佳化斷筋點!S694)</f>
        <v/>
      </c>
      <c r="AS694" s="37" t="str">
        <f>IF(最佳化斷筋點!T694="","",最佳化斷筋點!T694)</f>
        <v/>
      </c>
      <c r="AT694" s="37" t="str">
        <f>IF(最佳化斷筋點!U694="","",最佳化斷筋點!U694)</f>
        <v/>
      </c>
      <c r="AU694" s="37" t="str">
        <f>IF(最佳化斷筋點!V694="","",最佳化斷筋點!V694)</f>
        <v/>
      </c>
      <c r="AV694" s="37" t="str">
        <f>IF(最佳化斷筋點!W694="","",最佳化斷筋點!W694)</f>
        <v/>
      </c>
      <c r="AW694" s="37" t="str">
        <f>IF(最佳化斷筋點!X694="","",最佳化斷筋點!X694)</f>
        <v/>
      </c>
      <c r="AZ694" s="37" t="s">
        <v>197</v>
      </c>
      <c r="BA694" s="37" t="s">
        <v>197</v>
      </c>
      <c r="BB694" s="37" t="s">
        <v>197</v>
      </c>
      <c r="BC694" s="37" t="s">
        <v>197</v>
      </c>
      <c r="BD694" s="37" t="s">
        <v>197</v>
      </c>
      <c r="BE694" s="37" t="s">
        <v>197</v>
      </c>
      <c r="BF694" s="37" t="s">
        <v>197</v>
      </c>
      <c r="BG694" s="37" t="s">
        <v>197</v>
      </c>
      <c r="BH694" s="37" t="s">
        <v>197</v>
      </c>
      <c r="BI694" s="37" t="s">
        <v>197</v>
      </c>
      <c r="BJ694" s="37" t="s">
        <v>197</v>
      </c>
      <c r="BK694" s="37" t="s">
        <v>197</v>
      </c>
      <c r="BL694" s="37" t="s">
        <v>197</v>
      </c>
      <c r="BM694" s="37" t="s">
        <v>197</v>
      </c>
      <c r="BN694" s="37" t="s">
        <v>197</v>
      </c>
      <c r="BO694" s="37" t="s">
        <v>197</v>
      </c>
      <c r="BP694" s="37" t="s">
        <v>197</v>
      </c>
      <c r="BQ694" s="37" t="s">
        <v>197</v>
      </c>
      <c r="BR694" s="37" t="s">
        <v>197</v>
      </c>
      <c r="BS694" s="37" t="s">
        <v>197</v>
      </c>
      <c r="BT694" s="37" t="s">
        <v>197</v>
      </c>
    </row>
    <row r="695" spans="5:72" x14ac:dyDescent="0.25">
      <c r="E695" s="36" t="s">
        <v>20</v>
      </c>
      <c r="F695" s="36">
        <f t="shared" ref="F695:F758" si="232">IF(AC695=AZ695,0,1)</f>
        <v>0</v>
      </c>
      <c r="G695" s="36">
        <f t="shared" ref="G695:G758" si="233">IF(AD695=BA695,0,1)</f>
        <v>0</v>
      </c>
      <c r="H695" s="36">
        <f t="shared" ref="H695:H758" si="234">IF(AE695=BB695,0,1)</f>
        <v>0</v>
      </c>
      <c r="I695" s="36">
        <f t="shared" ref="I695:I758" si="235">IF(AF695=BC695,0,1)</f>
        <v>0</v>
      </c>
      <c r="J695" s="36">
        <f t="shared" ref="J695:J758" si="236">IF(AG695=BD695,0,1)</f>
        <v>0</v>
      </c>
      <c r="K695" s="36">
        <f t="shared" ref="K695:K758" si="237">IF(AH695=BE695,0,1)</f>
        <v>0</v>
      </c>
      <c r="L695" s="36">
        <f t="shared" ref="L695:L758" si="238">IF(AI695=BF695,0,1)</f>
        <v>0</v>
      </c>
      <c r="M695" s="36">
        <f t="shared" ref="M695:M758" si="239">IF(AJ695=BG695,0,1)</f>
        <v>0</v>
      </c>
      <c r="N695" s="36">
        <f t="shared" ref="N695:N758" si="240">IF(AK695=BH695,0,1)</f>
        <v>0</v>
      </c>
      <c r="O695" s="36">
        <f t="shared" ref="O695:O758" si="241">IF(AL695=BI695,0,1)</f>
        <v>0</v>
      </c>
      <c r="P695" s="36">
        <f t="shared" ref="P695:P758" si="242">IF(AM695=BJ695,0,1)</f>
        <v>0</v>
      </c>
      <c r="Q695" s="36">
        <f t="shared" ref="Q695:Q758" si="243">IF(AN695=BK695,0,1)</f>
        <v>0</v>
      </c>
      <c r="R695" s="36">
        <f t="shared" ref="R695:R758" si="244">IF(AO695=BL695,0,1)</f>
        <v>0</v>
      </c>
      <c r="S695" s="36">
        <f t="shared" ref="S695:S758" si="245">IF(AP695=BM695,0,1)</f>
        <v>0</v>
      </c>
      <c r="T695" s="36">
        <f t="shared" ref="T695:T758" si="246">IF(AQ695=BN695,0,1)</f>
        <v>0</v>
      </c>
      <c r="U695" s="36">
        <f t="shared" ref="U695:U758" si="247">IF(AR695=BO695,0,1)</f>
        <v>0</v>
      </c>
      <c r="V695" s="36">
        <f t="shared" ref="V695:V758" si="248">IF(AS695=BP695,0,1)</f>
        <v>0</v>
      </c>
      <c r="W695" s="36">
        <f t="shared" ref="W695:W758" si="249">IF(AT695=BQ695,0,1)</f>
        <v>0</v>
      </c>
      <c r="X695" s="36">
        <f t="shared" ref="X695:X758" si="250">IF(AU695=BR695,0,1)</f>
        <v>0</v>
      </c>
      <c r="Y695" s="36">
        <f t="shared" ref="Y695:Y758" si="251">IF(AV695=BS695,0,1)</f>
        <v>0</v>
      </c>
      <c r="Z695" s="36">
        <f t="shared" ref="Z695:Z758" si="252">IF(AW695=BT695,0,1)</f>
        <v>0</v>
      </c>
      <c r="AB695" s="36" t="str">
        <f>IF(最佳化斷筋點!C695="","",最佳化斷筋點!C695)</f>
        <v>上層</v>
      </c>
      <c r="AC695" s="37">
        <f>IF(最佳化斷筋點!D695="","",最佳化斷筋點!D695)</f>
        <v>7</v>
      </c>
      <c r="AD695" s="37">
        <f>IF(最佳化斷筋點!E695="","",最佳化斷筋點!E695)</f>
        <v>7</v>
      </c>
      <c r="AE695" s="37">
        <f>IF(最佳化斷筋點!F695="","",最佳化斷筋點!F695)</f>
        <v>7</v>
      </c>
      <c r="AF695" s="37">
        <f>IF(最佳化斷筋點!G695="","",最佳化斷筋點!G695)</f>
        <v>7</v>
      </c>
      <c r="AG695" s="37">
        <f>IF(最佳化斷筋點!H695="","",最佳化斷筋點!H695)</f>
        <v>7</v>
      </c>
      <c r="AH695" s="37">
        <f>IF(最佳化斷筋點!I695="","",最佳化斷筋點!I695)</f>
        <v>7</v>
      </c>
      <c r="AI695" s="37">
        <f>IF(最佳化斷筋點!J695="","",最佳化斷筋點!J695)</f>
        <v>7</v>
      </c>
      <c r="AJ695" s="37">
        <f>IF(最佳化斷筋點!K695="","",最佳化斷筋點!K695)</f>
        <v>6</v>
      </c>
      <c r="AK695" s="37">
        <f>IF(最佳化斷筋點!L695="","",最佳化斷筋點!L695)</f>
        <v>6</v>
      </c>
      <c r="AL695" s="37">
        <f>IF(最佳化斷筋點!M695="","",最佳化斷筋點!M695)</f>
        <v>5</v>
      </c>
      <c r="AM695" s="37">
        <f>IF(最佳化斷筋點!N695="","",最佳化斷筋點!N695)</f>
        <v>5</v>
      </c>
      <c r="AN695" s="37">
        <f>IF(最佳化斷筋點!O695="","",最佳化斷筋點!O695)</f>
        <v>6</v>
      </c>
      <c r="AO695" s="37">
        <f>IF(最佳化斷筋點!P695="","",最佳化斷筋點!P695)</f>
        <v>7</v>
      </c>
      <c r="AP695" s="37">
        <f>IF(最佳化斷筋點!Q695="","",最佳化斷筋點!Q695)</f>
        <v>8</v>
      </c>
      <c r="AQ695" s="37">
        <f>IF(最佳化斷筋點!R695="","",最佳化斷筋點!R695)</f>
        <v>9</v>
      </c>
      <c r="AR695" s="37">
        <f>IF(最佳化斷筋點!S695="","",最佳化斷筋點!S695)</f>
        <v>9</v>
      </c>
      <c r="AS695" s="37">
        <f>IF(最佳化斷筋點!T695="","",最佳化斷筋點!T695)</f>
        <v>9</v>
      </c>
      <c r="AT695" s="37">
        <f>IF(最佳化斷筋點!U695="","",最佳化斷筋點!U695)</f>
        <v>9</v>
      </c>
      <c r="AU695" s="37">
        <f>IF(最佳化斷筋點!V695="","",最佳化斷筋點!V695)</f>
        <v>9</v>
      </c>
      <c r="AV695" s="37">
        <f>IF(最佳化斷筋點!W695="","",最佳化斷筋點!W695)</f>
        <v>9</v>
      </c>
      <c r="AW695" s="37">
        <f>IF(最佳化斷筋點!X695="","",最佳化斷筋點!X695)</f>
        <v>9</v>
      </c>
      <c r="AZ695" s="37">
        <v>7</v>
      </c>
      <c r="BA695" s="37">
        <v>7</v>
      </c>
      <c r="BB695" s="37">
        <v>7</v>
      </c>
      <c r="BC695" s="37">
        <v>7</v>
      </c>
      <c r="BD695" s="37">
        <v>7</v>
      </c>
      <c r="BE695" s="37">
        <v>7</v>
      </c>
      <c r="BF695" s="37">
        <v>7</v>
      </c>
      <c r="BG695" s="37">
        <v>6</v>
      </c>
      <c r="BH695" s="37">
        <v>6</v>
      </c>
      <c r="BI695" s="37">
        <v>5</v>
      </c>
      <c r="BJ695" s="37">
        <v>5</v>
      </c>
      <c r="BK695" s="37">
        <v>6</v>
      </c>
      <c r="BL695" s="37">
        <v>7</v>
      </c>
      <c r="BM695" s="37">
        <v>8</v>
      </c>
      <c r="BN695" s="37">
        <v>9</v>
      </c>
      <c r="BO695" s="37">
        <v>9</v>
      </c>
      <c r="BP695" s="37">
        <v>9</v>
      </c>
      <c r="BQ695" s="37">
        <v>9</v>
      </c>
      <c r="BR695" s="37">
        <v>9</v>
      </c>
      <c r="BS695" s="37">
        <v>9</v>
      </c>
      <c r="BT695" s="37">
        <v>9</v>
      </c>
    </row>
    <row r="696" spans="5:72" x14ac:dyDescent="0.25">
      <c r="E696" s="36"/>
      <c r="F696" s="36">
        <f t="shared" si="232"/>
        <v>0</v>
      </c>
      <c r="G696" s="36">
        <f t="shared" si="233"/>
        <v>0</v>
      </c>
      <c r="H696" s="36">
        <f t="shared" si="234"/>
        <v>0</v>
      </c>
      <c r="I696" s="36">
        <f t="shared" si="235"/>
        <v>0</v>
      </c>
      <c r="J696" s="36">
        <f t="shared" si="236"/>
        <v>0</v>
      </c>
      <c r="K696" s="36">
        <f t="shared" si="237"/>
        <v>0</v>
      </c>
      <c r="L696" s="36">
        <f t="shared" si="238"/>
        <v>0</v>
      </c>
      <c r="M696" s="36">
        <f t="shared" si="239"/>
        <v>0</v>
      </c>
      <c r="N696" s="36">
        <f t="shared" si="240"/>
        <v>0</v>
      </c>
      <c r="O696" s="36">
        <f t="shared" si="241"/>
        <v>0</v>
      </c>
      <c r="P696" s="36">
        <f t="shared" si="242"/>
        <v>0</v>
      </c>
      <c r="Q696" s="36">
        <f t="shared" si="243"/>
        <v>0</v>
      </c>
      <c r="R696" s="36">
        <f t="shared" si="244"/>
        <v>0</v>
      </c>
      <c r="S696" s="36">
        <f t="shared" si="245"/>
        <v>0</v>
      </c>
      <c r="T696" s="36">
        <f t="shared" si="246"/>
        <v>0</v>
      </c>
      <c r="U696" s="36">
        <f t="shared" si="247"/>
        <v>0</v>
      </c>
      <c r="V696" s="36">
        <f t="shared" si="248"/>
        <v>0</v>
      </c>
      <c r="W696" s="36">
        <f t="shared" si="249"/>
        <v>0</v>
      </c>
      <c r="X696" s="36">
        <f t="shared" si="250"/>
        <v>0</v>
      </c>
      <c r="Y696" s="36">
        <f t="shared" si="251"/>
        <v>0</v>
      </c>
      <c r="Z696" s="36">
        <f t="shared" si="252"/>
        <v>0</v>
      </c>
      <c r="AB696" s="36" t="str">
        <f>IF(最佳化斷筋點!C696="","",最佳化斷筋點!C696)</f>
        <v/>
      </c>
      <c r="AC696" s="37" t="str">
        <f>IF(最佳化斷筋點!D696="","",最佳化斷筋點!D696)</f>
        <v/>
      </c>
      <c r="AD696" s="37" t="str">
        <f>IF(最佳化斷筋點!E696="","",最佳化斷筋點!E696)</f>
        <v/>
      </c>
      <c r="AE696" s="37" t="str">
        <f>IF(最佳化斷筋點!F696="","",最佳化斷筋點!F696)</f>
        <v/>
      </c>
      <c r="AF696" s="37" t="str">
        <f>IF(最佳化斷筋點!G696="","",最佳化斷筋點!G696)</f>
        <v/>
      </c>
      <c r="AG696" s="37" t="str">
        <f>IF(最佳化斷筋點!H696="","",最佳化斷筋點!H696)</f>
        <v/>
      </c>
      <c r="AH696" s="37" t="str">
        <f>IF(最佳化斷筋點!I696="","",最佳化斷筋點!I696)</f>
        <v/>
      </c>
      <c r="AI696" s="37" t="str">
        <f>IF(最佳化斷筋點!J696="","",最佳化斷筋點!J696)</f>
        <v/>
      </c>
      <c r="AJ696" s="37" t="str">
        <f>IF(最佳化斷筋點!K696="","",最佳化斷筋點!K696)</f>
        <v/>
      </c>
      <c r="AK696" s="37" t="str">
        <f>IF(最佳化斷筋點!L696="","",最佳化斷筋點!L696)</f>
        <v/>
      </c>
      <c r="AL696" s="37" t="str">
        <f>IF(最佳化斷筋點!M696="","",最佳化斷筋點!M696)</f>
        <v/>
      </c>
      <c r="AM696" s="37" t="str">
        <f>IF(最佳化斷筋點!N696="","",最佳化斷筋點!N696)</f>
        <v/>
      </c>
      <c r="AN696" s="37" t="str">
        <f>IF(最佳化斷筋點!O696="","",最佳化斷筋點!O696)</f>
        <v/>
      </c>
      <c r="AO696" s="37" t="str">
        <f>IF(最佳化斷筋點!P696="","",最佳化斷筋點!P696)</f>
        <v/>
      </c>
      <c r="AP696" s="37" t="str">
        <f>IF(最佳化斷筋點!Q696="","",最佳化斷筋點!Q696)</f>
        <v/>
      </c>
      <c r="AQ696" s="37" t="str">
        <f>IF(最佳化斷筋點!R696="","",最佳化斷筋點!R696)</f>
        <v/>
      </c>
      <c r="AR696" s="37" t="str">
        <f>IF(最佳化斷筋點!S696="","",最佳化斷筋點!S696)</f>
        <v/>
      </c>
      <c r="AS696" s="37" t="str">
        <f>IF(最佳化斷筋點!T696="","",最佳化斷筋點!T696)</f>
        <v/>
      </c>
      <c r="AT696" s="37" t="str">
        <f>IF(最佳化斷筋點!U696="","",最佳化斷筋點!U696)</f>
        <v/>
      </c>
      <c r="AU696" s="37" t="str">
        <f>IF(最佳化斷筋點!V696="","",最佳化斷筋點!V696)</f>
        <v/>
      </c>
      <c r="AV696" s="37" t="str">
        <f>IF(最佳化斷筋點!W696="","",最佳化斷筋點!W696)</f>
        <v/>
      </c>
      <c r="AW696" s="37" t="str">
        <f>IF(最佳化斷筋點!X696="","",最佳化斷筋點!X696)</f>
        <v/>
      </c>
      <c r="AZ696" s="37" t="s">
        <v>197</v>
      </c>
      <c r="BA696" s="37" t="s">
        <v>197</v>
      </c>
      <c r="BB696" s="37" t="s">
        <v>197</v>
      </c>
      <c r="BC696" s="37" t="s">
        <v>197</v>
      </c>
      <c r="BD696" s="37" t="s">
        <v>197</v>
      </c>
      <c r="BE696" s="37" t="s">
        <v>197</v>
      </c>
      <c r="BF696" s="37" t="s">
        <v>197</v>
      </c>
      <c r="BG696" s="37" t="s">
        <v>197</v>
      </c>
      <c r="BH696" s="37" t="s">
        <v>197</v>
      </c>
      <c r="BI696" s="37" t="s">
        <v>197</v>
      </c>
      <c r="BJ696" s="37" t="s">
        <v>197</v>
      </c>
      <c r="BK696" s="37" t="s">
        <v>197</v>
      </c>
      <c r="BL696" s="37" t="s">
        <v>197</v>
      </c>
      <c r="BM696" s="37" t="s">
        <v>197</v>
      </c>
      <c r="BN696" s="37" t="s">
        <v>197</v>
      </c>
      <c r="BO696" s="37" t="s">
        <v>197</v>
      </c>
      <c r="BP696" s="37" t="s">
        <v>197</v>
      </c>
      <c r="BQ696" s="37" t="s">
        <v>197</v>
      </c>
      <c r="BR696" s="37" t="s">
        <v>197</v>
      </c>
      <c r="BS696" s="37" t="s">
        <v>197</v>
      </c>
      <c r="BT696" s="37" t="s">
        <v>197</v>
      </c>
    </row>
    <row r="697" spans="5:72" x14ac:dyDescent="0.25">
      <c r="E697" s="36" t="s">
        <v>21</v>
      </c>
      <c r="F697" s="36">
        <f t="shared" si="232"/>
        <v>0</v>
      </c>
      <c r="G697" s="36">
        <f t="shared" si="233"/>
        <v>0</v>
      </c>
      <c r="H697" s="36">
        <f t="shared" si="234"/>
        <v>0</v>
      </c>
      <c r="I697" s="36">
        <f t="shared" si="235"/>
        <v>0</v>
      </c>
      <c r="J697" s="36">
        <f t="shared" si="236"/>
        <v>0</v>
      </c>
      <c r="K697" s="36">
        <f t="shared" si="237"/>
        <v>0</v>
      </c>
      <c r="L697" s="36">
        <f t="shared" si="238"/>
        <v>0</v>
      </c>
      <c r="M697" s="36">
        <f t="shared" si="239"/>
        <v>0</v>
      </c>
      <c r="N697" s="36">
        <f t="shared" si="240"/>
        <v>0</v>
      </c>
      <c r="O697" s="36">
        <f t="shared" si="241"/>
        <v>0</v>
      </c>
      <c r="P697" s="36">
        <f t="shared" si="242"/>
        <v>0</v>
      </c>
      <c r="Q697" s="36">
        <f t="shared" si="243"/>
        <v>0</v>
      </c>
      <c r="R697" s="36">
        <f t="shared" si="244"/>
        <v>0</v>
      </c>
      <c r="S697" s="36">
        <f t="shared" si="245"/>
        <v>0</v>
      </c>
      <c r="T697" s="36">
        <f t="shared" si="246"/>
        <v>0</v>
      </c>
      <c r="U697" s="36">
        <f t="shared" si="247"/>
        <v>0</v>
      </c>
      <c r="V697" s="36">
        <f t="shared" si="248"/>
        <v>0</v>
      </c>
      <c r="W697" s="36">
        <f t="shared" si="249"/>
        <v>0</v>
      </c>
      <c r="X697" s="36">
        <f t="shared" si="250"/>
        <v>0</v>
      </c>
      <c r="Y697" s="36">
        <f t="shared" si="251"/>
        <v>0</v>
      </c>
      <c r="Z697" s="36">
        <f t="shared" si="252"/>
        <v>0</v>
      </c>
      <c r="AB697" s="36" t="str">
        <f>IF(最佳化斷筋點!C697="","",最佳化斷筋點!C697)</f>
        <v>下層</v>
      </c>
      <c r="AC697" s="37">
        <f>IF(最佳化斷筋點!D697="","",最佳化斷筋點!D697)</f>
        <v>13</v>
      </c>
      <c r="AD697" s="37">
        <f>IF(最佳化斷筋點!E697="","",最佳化斷筋點!E697)</f>
        <v>13</v>
      </c>
      <c r="AE697" s="37">
        <f>IF(最佳化斷筋點!F697="","",最佳化斷筋點!F697)</f>
        <v>13</v>
      </c>
      <c r="AF697" s="37">
        <f>IF(最佳化斷筋點!G697="","",最佳化斷筋點!G697)</f>
        <v>13</v>
      </c>
      <c r="AG697" s="37">
        <f>IF(最佳化斷筋點!H697="","",最佳化斷筋點!H697)</f>
        <v>13</v>
      </c>
      <c r="AH697" s="37">
        <f>IF(最佳化斷筋點!I697="","",最佳化斷筋點!I697)</f>
        <v>12</v>
      </c>
      <c r="AI697" s="37">
        <f>IF(最佳化斷筋點!J697="","",最佳化斷筋點!J697)</f>
        <v>11</v>
      </c>
      <c r="AJ697" s="37">
        <f>IF(最佳化斷筋點!K697="","",最佳化斷筋點!K697)</f>
        <v>10</v>
      </c>
      <c r="AK697" s="37">
        <f>IF(最佳化斷筋點!L697="","",最佳化斷筋點!L697)</f>
        <v>10</v>
      </c>
      <c r="AL697" s="37">
        <f>IF(最佳化斷筋點!M697="","",最佳化斷筋點!M697)</f>
        <v>10</v>
      </c>
      <c r="AM697" s="37">
        <f>IF(最佳化斷筋點!N697="","",最佳化斷筋點!N697)</f>
        <v>10</v>
      </c>
      <c r="AN697" s="37">
        <f>IF(最佳化斷筋點!O697="","",最佳化斷筋點!O697)</f>
        <v>10</v>
      </c>
      <c r="AO697" s="37">
        <f>IF(最佳化斷筋點!P697="","",最佳化斷筋點!P697)</f>
        <v>10</v>
      </c>
      <c r="AP697" s="37">
        <f>IF(最佳化斷筋點!Q697="","",最佳化斷筋點!Q697)</f>
        <v>10</v>
      </c>
      <c r="AQ697" s="37">
        <f>IF(最佳化斷筋點!R697="","",最佳化斷筋點!R697)</f>
        <v>10</v>
      </c>
      <c r="AR697" s="37">
        <f>IF(最佳化斷筋點!S697="","",最佳化斷筋點!S697)</f>
        <v>10</v>
      </c>
      <c r="AS697" s="37">
        <f>IF(最佳化斷筋點!T697="","",最佳化斷筋點!T697)</f>
        <v>10</v>
      </c>
      <c r="AT697" s="37">
        <f>IF(最佳化斷筋點!U697="","",最佳化斷筋點!U697)</f>
        <v>10</v>
      </c>
      <c r="AU697" s="37">
        <f>IF(最佳化斷筋點!V697="","",最佳化斷筋點!V697)</f>
        <v>10</v>
      </c>
      <c r="AV697" s="37">
        <f>IF(最佳化斷筋點!W697="","",最佳化斷筋點!W697)</f>
        <v>10</v>
      </c>
      <c r="AW697" s="37">
        <f>IF(最佳化斷筋點!X697="","",最佳化斷筋點!X697)</f>
        <v>10</v>
      </c>
      <c r="AZ697" s="37">
        <v>13</v>
      </c>
      <c r="BA697" s="37">
        <v>13</v>
      </c>
      <c r="BB697" s="37">
        <v>13</v>
      </c>
      <c r="BC697" s="37">
        <v>13</v>
      </c>
      <c r="BD697" s="37">
        <v>13</v>
      </c>
      <c r="BE697" s="37">
        <v>12</v>
      </c>
      <c r="BF697" s="37">
        <v>11</v>
      </c>
      <c r="BG697" s="37">
        <v>10</v>
      </c>
      <c r="BH697" s="37">
        <v>10</v>
      </c>
      <c r="BI697" s="37">
        <v>10</v>
      </c>
      <c r="BJ697" s="37">
        <v>10</v>
      </c>
      <c r="BK697" s="37">
        <v>10</v>
      </c>
      <c r="BL697" s="37">
        <v>10</v>
      </c>
      <c r="BM697" s="37">
        <v>10</v>
      </c>
      <c r="BN697" s="37">
        <v>10</v>
      </c>
      <c r="BO697" s="37">
        <v>10</v>
      </c>
      <c r="BP697" s="37">
        <v>10</v>
      </c>
      <c r="BQ697" s="37">
        <v>10</v>
      </c>
      <c r="BR697" s="37">
        <v>10</v>
      </c>
      <c r="BS697" s="37">
        <v>10</v>
      </c>
      <c r="BT697" s="37">
        <v>10</v>
      </c>
    </row>
    <row r="698" spans="5:72" x14ac:dyDescent="0.25">
      <c r="E698" s="36"/>
      <c r="F698" s="36">
        <f t="shared" si="232"/>
        <v>0</v>
      </c>
      <c r="G698" s="36">
        <f t="shared" si="233"/>
        <v>0</v>
      </c>
      <c r="H698" s="36">
        <f t="shared" si="234"/>
        <v>0</v>
      </c>
      <c r="I698" s="36">
        <f t="shared" si="235"/>
        <v>0</v>
      </c>
      <c r="J698" s="36">
        <f t="shared" si="236"/>
        <v>0</v>
      </c>
      <c r="K698" s="36">
        <f t="shared" si="237"/>
        <v>0</v>
      </c>
      <c r="L698" s="36">
        <f t="shared" si="238"/>
        <v>0</v>
      </c>
      <c r="M698" s="36">
        <f t="shared" si="239"/>
        <v>0</v>
      </c>
      <c r="N698" s="36">
        <f t="shared" si="240"/>
        <v>0</v>
      </c>
      <c r="O698" s="36">
        <f t="shared" si="241"/>
        <v>0</v>
      </c>
      <c r="P698" s="36">
        <f t="shared" si="242"/>
        <v>0</v>
      </c>
      <c r="Q698" s="36">
        <f t="shared" si="243"/>
        <v>0</v>
      </c>
      <c r="R698" s="36">
        <f t="shared" si="244"/>
        <v>0</v>
      </c>
      <c r="S698" s="36">
        <f t="shared" si="245"/>
        <v>0</v>
      </c>
      <c r="T698" s="36">
        <f t="shared" si="246"/>
        <v>0</v>
      </c>
      <c r="U698" s="36">
        <f t="shared" si="247"/>
        <v>0</v>
      </c>
      <c r="V698" s="36">
        <f t="shared" si="248"/>
        <v>0</v>
      </c>
      <c r="W698" s="36">
        <f t="shared" si="249"/>
        <v>0</v>
      </c>
      <c r="X698" s="36">
        <f t="shared" si="250"/>
        <v>0</v>
      </c>
      <c r="Y698" s="36">
        <f t="shared" si="251"/>
        <v>0</v>
      </c>
      <c r="Z698" s="36">
        <f t="shared" si="252"/>
        <v>0</v>
      </c>
      <c r="AB698" s="36" t="str">
        <f>IF(最佳化斷筋點!C698="","",最佳化斷筋點!C698)</f>
        <v/>
      </c>
      <c r="AC698" s="37" t="str">
        <f>IF(最佳化斷筋點!D698="","",最佳化斷筋點!D698)</f>
        <v/>
      </c>
      <c r="AD698" s="37" t="str">
        <f>IF(最佳化斷筋點!E698="","",最佳化斷筋點!E698)</f>
        <v/>
      </c>
      <c r="AE698" s="37" t="str">
        <f>IF(最佳化斷筋點!F698="","",最佳化斷筋點!F698)</f>
        <v/>
      </c>
      <c r="AF698" s="37" t="str">
        <f>IF(最佳化斷筋點!G698="","",最佳化斷筋點!G698)</f>
        <v/>
      </c>
      <c r="AG698" s="37" t="str">
        <f>IF(最佳化斷筋點!H698="","",最佳化斷筋點!H698)</f>
        <v/>
      </c>
      <c r="AH698" s="37" t="str">
        <f>IF(最佳化斷筋點!I698="","",最佳化斷筋點!I698)</f>
        <v/>
      </c>
      <c r="AI698" s="37" t="str">
        <f>IF(最佳化斷筋點!J698="","",最佳化斷筋點!J698)</f>
        <v/>
      </c>
      <c r="AJ698" s="37" t="str">
        <f>IF(最佳化斷筋點!K698="","",最佳化斷筋點!K698)</f>
        <v/>
      </c>
      <c r="AK698" s="37" t="str">
        <f>IF(最佳化斷筋點!L698="","",最佳化斷筋點!L698)</f>
        <v/>
      </c>
      <c r="AL698" s="37" t="str">
        <f>IF(最佳化斷筋點!M698="","",最佳化斷筋點!M698)</f>
        <v/>
      </c>
      <c r="AM698" s="37" t="str">
        <f>IF(最佳化斷筋點!N698="","",最佳化斷筋點!N698)</f>
        <v/>
      </c>
      <c r="AN698" s="37" t="str">
        <f>IF(最佳化斷筋點!O698="","",最佳化斷筋點!O698)</f>
        <v/>
      </c>
      <c r="AO698" s="37" t="str">
        <f>IF(最佳化斷筋點!P698="","",最佳化斷筋點!P698)</f>
        <v/>
      </c>
      <c r="AP698" s="37" t="str">
        <f>IF(最佳化斷筋點!Q698="","",最佳化斷筋點!Q698)</f>
        <v/>
      </c>
      <c r="AQ698" s="37" t="str">
        <f>IF(最佳化斷筋點!R698="","",最佳化斷筋點!R698)</f>
        <v/>
      </c>
      <c r="AR698" s="37" t="str">
        <f>IF(最佳化斷筋點!S698="","",最佳化斷筋點!S698)</f>
        <v/>
      </c>
      <c r="AS698" s="37" t="str">
        <f>IF(最佳化斷筋點!T698="","",最佳化斷筋點!T698)</f>
        <v/>
      </c>
      <c r="AT698" s="37" t="str">
        <f>IF(最佳化斷筋點!U698="","",最佳化斷筋點!U698)</f>
        <v/>
      </c>
      <c r="AU698" s="37" t="str">
        <f>IF(最佳化斷筋點!V698="","",最佳化斷筋點!V698)</f>
        <v/>
      </c>
      <c r="AV698" s="37" t="str">
        <f>IF(最佳化斷筋點!W698="","",最佳化斷筋點!W698)</f>
        <v/>
      </c>
      <c r="AW698" s="37" t="str">
        <f>IF(最佳化斷筋點!X698="","",最佳化斷筋點!X698)</f>
        <v/>
      </c>
      <c r="AZ698" s="37" t="s">
        <v>197</v>
      </c>
      <c r="BA698" s="37" t="s">
        <v>197</v>
      </c>
      <c r="BB698" s="37" t="s">
        <v>197</v>
      </c>
      <c r="BC698" s="37" t="s">
        <v>197</v>
      </c>
      <c r="BD698" s="37" t="s">
        <v>197</v>
      </c>
      <c r="BE698" s="37" t="s">
        <v>197</v>
      </c>
      <c r="BF698" s="37" t="s">
        <v>197</v>
      </c>
      <c r="BG698" s="37" t="s">
        <v>197</v>
      </c>
      <c r="BH698" s="37" t="s">
        <v>197</v>
      </c>
      <c r="BI698" s="37" t="s">
        <v>197</v>
      </c>
      <c r="BJ698" s="37" t="s">
        <v>197</v>
      </c>
      <c r="BK698" s="37" t="s">
        <v>197</v>
      </c>
      <c r="BL698" s="37" t="s">
        <v>197</v>
      </c>
      <c r="BM698" s="37" t="s">
        <v>197</v>
      </c>
      <c r="BN698" s="37" t="s">
        <v>197</v>
      </c>
      <c r="BO698" s="37" t="s">
        <v>197</v>
      </c>
      <c r="BP698" s="37" t="s">
        <v>197</v>
      </c>
      <c r="BQ698" s="37" t="s">
        <v>197</v>
      </c>
      <c r="BR698" s="37" t="s">
        <v>197</v>
      </c>
      <c r="BS698" s="37" t="s">
        <v>197</v>
      </c>
      <c r="BT698" s="37" t="s">
        <v>197</v>
      </c>
    </row>
    <row r="699" spans="5:72" x14ac:dyDescent="0.25">
      <c r="E699" s="36" t="s">
        <v>20</v>
      </c>
      <c r="F699" s="36">
        <f t="shared" si="232"/>
        <v>0</v>
      </c>
      <c r="G699" s="36">
        <f t="shared" si="233"/>
        <v>0</v>
      </c>
      <c r="H699" s="36">
        <f t="shared" si="234"/>
        <v>0</v>
      </c>
      <c r="I699" s="36">
        <f t="shared" si="235"/>
        <v>0</v>
      </c>
      <c r="J699" s="36">
        <f t="shared" si="236"/>
        <v>0</v>
      </c>
      <c r="K699" s="36">
        <f t="shared" si="237"/>
        <v>0</v>
      </c>
      <c r="L699" s="36">
        <f t="shared" si="238"/>
        <v>0</v>
      </c>
      <c r="M699" s="36">
        <f t="shared" si="239"/>
        <v>0</v>
      </c>
      <c r="N699" s="36">
        <f t="shared" si="240"/>
        <v>0</v>
      </c>
      <c r="O699" s="36">
        <f t="shared" si="241"/>
        <v>0</v>
      </c>
      <c r="P699" s="36">
        <f t="shared" si="242"/>
        <v>0</v>
      </c>
      <c r="Q699" s="36">
        <f t="shared" si="243"/>
        <v>0</v>
      </c>
      <c r="R699" s="36">
        <f t="shared" si="244"/>
        <v>0</v>
      </c>
      <c r="S699" s="36">
        <f t="shared" si="245"/>
        <v>0</v>
      </c>
      <c r="T699" s="36">
        <f t="shared" si="246"/>
        <v>0</v>
      </c>
      <c r="U699" s="36">
        <f t="shared" si="247"/>
        <v>0</v>
      </c>
      <c r="V699" s="36">
        <f t="shared" si="248"/>
        <v>0</v>
      </c>
      <c r="W699" s="36">
        <f t="shared" si="249"/>
        <v>0</v>
      </c>
      <c r="X699" s="36">
        <f t="shared" si="250"/>
        <v>0</v>
      </c>
      <c r="Y699" s="36">
        <f t="shared" si="251"/>
        <v>0</v>
      </c>
      <c r="Z699" s="36">
        <f t="shared" si="252"/>
        <v>0</v>
      </c>
      <c r="AB699" s="36" t="str">
        <f>IF(最佳化斷筋點!C699="","",最佳化斷筋點!C699)</f>
        <v>上層</v>
      </c>
      <c r="AC699" s="37">
        <f>IF(最佳化斷筋點!D699="","",最佳化斷筋點!D699)</f>
        <v>8</v>
      </c>
      <c r="AD699" s="37">
        <f>IF(最佳化斷筋點!E699="","",最佳化斷筋點!E699)</f>
        <v>8</v>
      </c>
      <c r="AE699" s="37">
        <f>IF(最佳化斷筋點!F699="","",最佳化斷筋點!F699)</f>
        <v>8</v>
      </c>
      <c r="AF699" s="37">
        <f>IF(最佳化斷筋點!G699="","",最佳化斷筋點!G699)</f>
        <v>8</v>
      </c>
      <c r="AG699" s="37">
        <f>IF(最佳化斷筋點!H699="","",最佳化斷筋點!H699)</f>
        <v>8</v>
      </c>
      <c r="AH699" s="37">
        <f>IF(最佳化斷筋點!I699="","",最佳化斷筋點!I699)</f>
        <v>7</v>
      </c>
      <c r="AI699" s="37">
        <f>IF(最佳化斷筋點!J699="","",最佳化斷筋點!J699)</f>
        <v>6</v>
      </c>
      <c r="AJ699" s="37">
        <f>IF(最佳化斷筋點!K699="","",最佳化斷筋點!K699)</f>
        <v>3</v>
      </c>
      <c r="AK699" s="37">
        <f>IF(最佳化斷筋點!L699="","",最佳化斷筋點!L699)</f>
        <v>3</v>
      </c>
      <c r="AL699" s="37">
        <f>IF(最佳化斷筋點!M699="","",最佳化斷筋點!M699)</f>
        <v>3</v>
      </c>
      <c r="AM699" s="37">
        <f>IF(最佳化斷筋點!N699="","",最佳化斷筋點!N699)</f>
        <v>3</v>
      </c>
      <c r="AN699" s="37">
        <f>IF(最佳化斷筋點!O699="","",最佳化斷筋點!O699)</f>
        <v>3</v>
      </c>
      <c r="AO699" s="37">
        <f>IF(最佳化斷筋點!P699="","",最佳化斷筋點!P699)</f>
        <v>3</v>
      </c>
      <c r="AP699" s="37">
        <f>IF(最佳化斷筋點!Q699="","",最佳化斷筋點!Q699)</f>
        <v>5</v>
      </c>
      <c r="AQ699" s="37">
        <f>IF(最佳化斷筋點!R699="","",最佳化斷筋點!R699)</f>
        <v>6</v>
      </c>
      <c r="AR699" s="37">
        <f>IF(最佳化斷筋點!S699="","",最佳化斷筋點!S699)</f>
        <v>6</v>
      </c>
      <c r="AS699" s="37">
        <f>IF(最佳化斷筋點!T699="","",最佳化斷筋點!T699)</f>
        <v>7</v>
      </c>
      <c r="AT699" s="37">
        <f>IF(最佳化斷筋點!U699="","",最佳化斷筋點!U699)</f>
        <v>8</v>
      </c>
      <c r="AU699" s="37">
        <f>IF(最佳化斷筋點!V699="","",最佳化斷筋點!V699)</f>
        <v>8</v>
      </c>
      <c r="AV699" s="37">
        <f>IF(最佳化斷筋點!W699="","",最佳化斷筋點!W699)</f>
        <v>8</v>
      </c>
      <c r="AW699" s="37">
        <f>IF(最佳化斷筋點!X699="","",最佳化斷筋點!X699)</f>
        <v>8</v>
      </c>
      <c r="AZ699" s="37">
        <v>8</v>
      </c>
      <c r="BA699" s="37">
        <v>8</v>
      </c>
      <c r="BB699" s="37">
        <v>8</v>
      </c>
      <c r="BC699" s="37">
        <v>8</v>
      </c>
      <c r="BD699" s="37">
        <v>8</v>
      </c>
      <c r="BE699" s="37">
        <v>7</v>
      </c>
      <c r="BF699" s="37">
        <v>6</v>
      </c>
      <c r="BG699" s="37">
        <v>3</v>
      </c>
      <c r="BH699" s="37">
        <v>3</v>
      </c>
      <c r="BI699" s="37">
        <v>3</v>
      </c>
      <c r="BJ699" s="37">
        <v>3</v>
      </c>
      <c r="BK699" s="37">
        <v>3</v>
      </c>
      <c r="BL699" s="37">
        <v>3</v>
      </c>
      <c r="BM699" s="37">
        <v>5</v>
      </c>
      <c r="BN699" s="37">
        <v>6</v>
      </c>
      <c r="BO699" s="37">
        <v>6</v>
      </c>
      <c r="BP699" s="37">
        <v>7</v>
      </c>
      <c r="BQ699" s="37">
        <v>8</v>
      </c>
      <c r="BR699" s="37">
        <v>8</v>
      </c>
      <c r="BS699" s="37">
        <v>8</v>
      </c>
      <c r="BT699" s="37">
        <v>8</v>
      </c>
    </row>
    <row r="700" spans="5:72" x14ac:dyDescent="0.25">
      <c r="E700" s="36"/>
      <c r="F700" s="36">
        <f t="shared" si="232"/>
        <v>0</v>
      </c>
      <c r="G700" s="36">
        <f t="shared" si="233"/>
        <v>0</v>
      </c>
      <c r="H700" s="36">
        <f t="shared" si="234"/>
        <v>0</v>
      </c>
      <c r="I700" s="36">
        <f t="shared" si="235"/>
        <v>0</v>
      </c>
      <c r="J700" s="36">
        <f t="shared" si="236"/>
        <v>0</v>
      </c>
      <c r="K700" s="36">
        <f t="shared" si="237"/>
        <v>0</v>
      </c>
      <c r="L700" s="36">
        <f t="shared" si="238"/>
        <v>0</v>
      </c>
      <c r="M700" s="36">
        <f t="shared" si="239"/>
        <v>0</v>
      </c>
      <c r="N700" s="36">
        <f t="shared" si="240"/>
        <v>0</v>
      </c>
      <c r="O700" s="36">
        <f t="shared" si="241"/>
        <v>0</v>
      </c>
      <c r="P700" s="36">
        <f t="shared" si="242"/>
        <v>0</v>
      </c>
      <c r="Q700" s="36">
        <f t="shared" si="243"/>
        <v>0</v>
      </c>
      <c r="R700" s="36">
        <f t="shared" si="244"/>
        <v>0</v>
      </c>
      <c r="S700" s="36">
        <f t="shared" si="245"/>
        <v>0</v>
      </c>
      <c r="T700" s="36">
        <f t="shared" si="246"/>
        <v>0</v>
      </c>
      <c r="U700" s="36">
        <f t="shared" si="247"/>
        <v>0</v>
      </c>
      <c r="V700" s="36">
        <f t="shared" si="248"/>
        <v>0</v>
      </c>
      <c r="W700" s="36">
        <f t="shared" si="249"/>
        <v>0</v>
      </c>
      <c r="X700" s="36">
        <f t="shared" si="250"/>
        <v>0</v>
      </c>
      <c r="Y700" s="36">
        <f t="shared" si="251"/>
        <v>0</v>
      </c>
      <c r="Z700" s="36">
        <f t="shared" si="252"/>
        <v>0</v>
      </c>
      <c r="AB700" s="36" t="str">
        <f>IF(最佳化斷筋點!C700="","",最佳化斷筋點!C700)</f>
        <v/>
      </c>
      <c r="AC700" s="37" t="str">
        <f>IF(最佳化斷筋點!D700="","",最佳化斷筋點!D700)</f>
        <v/>
      </c>
      <c r="AD700" s="37" t="str">
        <f>IF(最佳化斷筋點!E700="","",最佳化斷筋點!E700)</f>
        <v/>
      </c>
      <c r="AE700" s="37" t="str">
        <f>IF(最佳化斷筋點!F700="","",最佳化斷筋點!F700)</f>
        <v/>
      </c>
      <c r="AF700" s="37" t="str">
        <f>IF(最佳化斷筋點!G700="","",最佳化斷筋點!G700)</f>
        <v/>
      </c>
      <c r="AG700" s="37" t="str">
        <f>IF(最佳化斷筋點!H700="","",最佳化斷筋點!H700)</f>
        <v/>
      </c>
      <c r="AH700" s="37" t="str">
        <f>IF(最佳化斷筋點!I700="","",最佳化斷筋點!I700)</f>
        <v/>
      </c>
      <c r="AI700" s="37" t="str">
        <f>IF(最佳化斷筋點!J700="","",最佳化斷筋點!J700)</f>
        <v/>
      </c>
      <c r="AJ700" s="37" t="str">
        <f>IF(最佳化斷筋點!K700="","",最佳化斷筋點!K700)</f>
        <v/>
      </c>
      <c r="AK700" s="37" t="str">
        <f>IF(最佳化斷筋點!L700="","",最佳化斷筋點!L700)</f>
        <v/>
      </c>
      <c r="AL700" s="37" t="str">
        <f>IF(最佳化斷筋點!M700="","",最佳化斷筋點!M700)</f>
        <v/>
      </c>
      <c r="AM700" s="37" t="str">
        <f>IF(最佳化斷筋點!N700="","",最佳化斷筋點!N700)</f>
        <v/>
      </c>
      <c r="AN700" s="37" t="str">
        <f>IF(最佳化斷筋點!O700="","",最佳化斷筋點!O700)</f>
        <v/>
      </c>
      <c r="AO700" s="37" t="str">
        <f>IF(最佳化斷筋點!P700="","",最佳化斷筋點!P700)</f>
        <v/>
      </c>
      <c r="AP700" s="37" t="str">
        <f>IF(最佳化斷筋點!Q700="","",最佳化斷筋點!Q700)</f>
        <v/>
      </c>
      <c r="AQ700" s="37" t="str">
        <f>IF(最佳化斷筋點!R700="","",最佳化斷筋點!R700)</f>
        <v/>
      </c>
      <c r="AR700" s="37" t="str">
        <f>IF(最佳化斷筋點!S700="","",最佳化斷筋點!S700)</f>
        <v/>
      </c>
      <c r="AS700" s="37" t="str">
        <f>IF(最佳化斷筋點!T700="","",最佳化斷筋點!T700)</f>
        <v/>
      </c>
      <c r="AT700" s="37" t="str">
        <f>IF(最佳化斷筋點!U700="","",最佳化斷筋點!U700)</f>
        <v/>
      </c>
      <c r="AU700" s="37" t="str">
        <f>IF(最佳化斷筋點!V700="","",最佳化斷筋點!V700)</f>
        <v/>
      </c>
      <c r="AV700" s="37" t="str">
        <f>IF(最佳化斷筋點!W700="","",最佳化斷筋點!W700)</f>
        <v/>
      </c>
      <c r="AW700" s="37" t="str">
        <f>IF(最佳化斷筋點!X700="","",最佳化斷筋點!X700)</f>
        <v/>
      </c>
      <c r="AZ700" s="37" t="s">
        <v>197</v>
      </c>
      <c r="BA700" s="37" t="s">
        <v>197</v>
      </c>
      <c r="BB700" s="37" t="s">
        <v>197</v>
      </c>
      <c r="BC700" s="37" t="s">
        <v>197</v>
      </c>
      <c r="BD700" s="37" t="s">
        <v>197</v>
      </c>
      <c r="BE700" s="37" t="s">
        <v>197</v>
      </c>
      <c r="BF700" s="37" t="s">
        <v>197</v>
      </c>
      <c r="BG700" s="37" t="s">
        <v>197</v>
      </c>
      <c r="BH700" s="37" t="s">
        <v>197</v>
      </c>
      <c r="BI700" s="37" t="s">
        <v>197</v>
      </c>
      <c r="BJ700" s="37" t="s">
        <v>197</v>
      </c>
      <c r="BK700" s="37" t="s">
        <v>197</v>
      </c>
      <c r="BL700" s="37" t="s">
        <v>197</v>
      </c>
      <c r="BM700" s="37" t="s">
        <v>197</v>
      </c>
      <c r="BN700" s="37" t="s">
        <v>197</v>
      </c>
      <c r="BO700" s="37" t="s">
        <v>197</v>
      </c>
      <c r="BP700" s="37" t="s">
        <v>197</v>
      </c>
      <c r="BQ700" s="37" t="s">
        <v>197</v>
      </c>
      <c r="BR700" s="37" t="s">
        <v>197</v>
      </c>
      <c r="BS700" s="37" t="s">
        <v>197</v>
      </c>
      <c r="BT700" s="37" t="s">
        <v>197</v>
      </c>
    </row>
    <row r="701" spans="5:72" x14ac:dyDescent="0.25">
      <c r="E701" s="36" t="s">
        <v>21</v>
      </c>
      <c r="F701" s="36">
        <f t="shared" si="232"/>
        <v>0</v>
      </c>
      <c r="G701" s="36">
        <f t="shared" si="233"/>
        <v>0</v>
      </c>
      <c r="H701" s="36">
        <f t="shared" si="234"/>
        <v>0</v>
      </c>
      <c r="I701" s="36">
        <f t="shared" si="235"/>
        <v>0</v>
      </c>
      <c r="J701" s="36">
        <f t="shared" si="236"/>
        <v>0</v>
      </c>
      <c r="K701" s="36">
        <f t="shared" si="237"/>
        <v>0</v>
      </c>
      <c r="L701" s="36">
        <f t="shared" si="238"/>
        <v>0</v>
      </c>
      <c r="M701" s="36">
        <f t="shared" si="239"/>
        <v>0</v>
      </c>
      <c r="N701" s="36">
        <f t="shared" si="240"/>
        <v>0</v>
      </c>
      <c r="O701" s="36">
        <f t="shared" si="241"/>
        <v>0</v>
      </c>
      <c r="P701" s="36">
        <f t="shared" si="242"/>
        <v>0</v>
      </c>
      <c r="Q701" s="36">
        <f t="shared" si="243"/>
        <v>0</v>
      </c>
      <c r="R701" s="36">
        <f t="shared" si="244"/>
        <v>0</v>
      </c>
      <c r="S701" s="36">
        <f t="shared" si="245"/>
        <v>0</v>
      </c>
      <c r="T701" s="36">
        <f t="shared" si="246"/>
        <v>0</v>
      </c>
      <c r="U701" s="36">
        <f t="shared" si="247"/>
        <v>0</v>
      </c>
      <c r="V701" s="36">
        <f t="shared" si="248"/>
        <v>0</v>
      </c>
      <c r="W701" s="36">
        <f t="shared" si="249"/>
        <v>0</v>
      </c>
      <c r="X701" s="36">
        <f t="shared" si="250"/>
        <v>0</v>
      </c>
      <c r="Y701" s="36">
        <f t="shared" si="251"/>
        <v>0</v>
      </c>
      <c r="Z701" s="36">
        <f t="shared" si="252"/>
        <v>0</v>
      </c>
      <c r="AB701" s="36" t="str">
        <f>IF(最佳化斷筋點!C701="","",最佳化斷筋點!C701)</f>
        <v>下層</v>
      </c>
      <c r="AC701" s="37">
        <f>IF(最佳化斷筋點!D701="","",最佳化斷筋點!D701)</f>
        <v>6</v>
      </c>
      <c r="AD701" s="37">
        <f>IF(最佳化斷筋點!E701="","",最佳化斷筋點!E701)</f>
        <v>6</v>
      </c>
      <c r="AE701" s="37">
        <f>IF(最佳化斷筋點!F701="","",最佳化斷筋點!F701)</f>
        <v>6</v>
      </c>
      <c r="AF701" s="37">
        <f>IF(最佳化斷筋點!G701="","",最佳化斷筋點!G701)</f>
        <v>6</v>
      </c>
      <c r="AG701" s="37">
        <f>IF(最佳化斷筋點!H701="","",最佳化斷筋點!H701)</f>
        <v>5</v>
      </c>
      <c r="AH701" s="37">
        <f>IF(最佳化斷筋點!I701="","",最佳化斷筋點!I701)</f>
        <v>5</v>
      </c>
      <c r="AI701" s="37">
        <f>IF(最佳化斷筋點!J701="","",最佳化斷筋點!J701)</f>
        <v>4</v>
      </c>
      <c r="AJ701" s="37">
        <f>IF(最佳化斷筋點!K701="","",最佳化斷筋點!K701)</f>
        <v>4</v>
      </c>
      <c r="AK701" s="37">
        <f>IF(最佳化斷筋點!L701="","",最佳化斷筋點!L701)</f>
        <v>4</v>
      </c>
      <c r="AL701" s="37">
        <f>IF(最佳化斷筋點!M701="","",最佳化斷筋點!M701)</f>
        <v>4</v>
      </c>
      <c r="AM701" s="37">
        <f>IF(最佳化斷筋點!N701="","",最佳化斷筋點!N701)</f>
        <v>4</v>
      </c>
      <c r="AN701" s="37">
        <f>IF(最佳化斷筋點!O701="","",最佳化斷筋點!O701)</f>
        <v>4</v>
      </c>
      <c r="AO701" s="37">
        <f>IF(最佳化斷筋點!P701="","",最佳化斷筋點!P701)</f>
        <v>4</v>
      </c>
      <c r="AP701" s="37">
        <f>IF(最佳化斷筋點!Q701="","",最佳化斷筋點!Q701)</f>
        <v>4</v>
      </c>
      <c r="AQ701" s="37">
        <f>IF(最佳化斷筋點!R701="","",最佳化斷筋點!R701)</f>
        <v>4</v>
      </c>
      <c r="AR701" s="37">
        <f>IF(最佳化斷筋點!S701="","",最佳化斷筋點!S701)</f>
        <v>5</v>
      </c>
      <c r="AS701" s="37">
        <f>IF(最佳化斷筋點!T701="","",最佳化斷筋點!T701)</f>
        <v>6</v>
      </c>
      <c r="AT701" s="37">
        <f>IF(最佳化斷筋點!U701="","",最佳化斷筋點!U701)</f>
        <v>6</v>
      </c>
      <c r="AU701" s="37">
        <f>IF(最佳化斷筋點!V701="","",最佳化斷筋點!V701)</f>
        <v>7</v>
      </c>
      <c r="AV701" s="37">
        <f>IF(最佳化斷筋點!W701="","",最佳化斷筋點!W701)</f>
        <v>7</v>
      </c>
      <c r="AW701" s="37">
        <f>IF(最佳化斷筋點!X701="","",最佳化斷筋點!X701)</f>
        <v>7</v>
      </c>
      <c r="AZ701" s="37">
        <v>6</v>
      </c>
      <c r="BA701" s="37">
        <v>6</v>
      </c>
      <c r="BB701" s="37">
        <v>6</v>
      </c>
      <c r="BC701" s="37">
        <v>6</v>
      </c>
      <c r="BD701" s="37">
        <v>5</v>
      </c>
      <c r="BE701" s="37">
        <v>5</v>
      </c>
      <c r="BF701" s="37">
        <v>4</v>
      </c>
      <c r="BG701" s="37">
        <v>4</v>
      </c>
      <c r="BH701" s="37">
        <v>4</v>
      </c>
      <c r="BI701" s="37">
        <v>4</v>
      </c>
      <c r="BJ701" s="37">
        <v>4</v>
      </c>
      <c r="BK701" s="37">
        <v>4</v>
      </c>
      <c r="BL701" s="37">
        <v>4</v>
      </c>
      <c r="BM701" s="37">
        <v>4</v>
      </c>
      <c r="BN701" s="37">
        <v>4</v>
      </c>
      <c r="BO701" s="37">
        <v>5</v>
      </c>
      <c r="BP701" s="37">
        <v>6</v>
      </c>
      <c r="BQ701" s="37">
        <v>6</v>
      </c>
      <c r="BR701" s="37">
        <v>7</v>
      </c>
      <c r="BS701" s="37">
        <v>7</v>
      </c>
      <c r="BT701" s="37">
        <v>7</v>
      </c>
    </row>
    <row r="702" spans="5:72" x14ac:dyDescent="0.25">
      <c r="E702" s="36"/>
      <c r="F702" s="36">
        <f t="shared" si="232"/>
        <v>0</v>
      </c>
      <c r="G702" s="36">
        <f t="shared" si="233"/>
        <v>0</v>
      </c>
      <c r="H702" s="36">
        <f t="shared" si="234"/>
        <v>0</v>
      </c>
      <c r="I702" s="36">
        <f t="shared" si="235"/>
        <v>0</v>
      </c>
      <c r="J702" s="36">
        <f t="shared" si="236"/>
        <v>0</v>
      </c>
      <c r="K702" s="36">
        <f t="shared" si="237"/>
        <v>0</v>
      </c>
      <c r="L702" s="36">
        <f t="shared" si="238"/>
        <v>0</v>
      </c>
      <c r="M702" s="36">
        <f t="shared" si="239"/>
        <v>0</v>
      </c>
      <c r="N702" s="36">
        <f t="shared" si="240"/>
        <v>0</v>
      </c>
      <c r="O702" s="36">
        <f t="shared" si="241"/>
        <v>0</v>
      </c>
      <c r="P702" s="36">
        <f t="shared" si="242"/>
        <v>0</v>
      </c>
      <c r="Q702" s="36">
        <f t="shared" si="243"/>
        <v>0</v>
      </c>
      <c r="R702" s="36">
        <f t="shared" si="244"/>
        <v>0</v>
      </c>
      <c r="S702" s="36">
        <f t="shared" si="245"/>
        <v>0</v>
      </c>
      <c r="T702" s="36">
        <f t="shared" si="246"/>
        <v>0</v>
      </c>
      <c r="U702" s="36">
        <f t="shared" si="247"/>
        <v>0</v>
      </c>
      <c r="V702" s="36">
        <f t="shared" si="248"/>
        <v>0</v>
      </c>
      <c r="W702" s="36">
        <f t="shared" si="249"/>
        <v>0</v>
      </c>
      <c r="X702" s="36">
        <f t="shared" si="250"/>
        <v>0</v>
      </c>
      <c r="Y702" s="36">
        <f t="shared" si="251"/>
        <v>0</v>
      </c>
      <c r="Z702" s="36">
        <f t="shared" si="252"/>
        <v>0</v>
      </c>
      <c r="AB702" s="36" t="str">
        <f>IF(最佳化斷筋點!C702="","",最佳化斷筋點!C702)</f>
        <v/>
      </c>
      <c r="AC702" s="37" t="str">
        <f>IF(最佳化斷筋點!D702="","",最佳化斷筋點!D702)</f>
        <v/>
      </c>
      <c r="AD702" s="37" t="str">
        <f>IF(最佳化斷筋點!E702="","",最佳化斷筋點!E702)</f>
        <v/>
      </c>
      <c r="AE702" s="37" t="str">
        <f>IF(最佳化斷筋點!F702="","",最佳化斷筋點!F702)</f>
        <v/>
      </c>
      <c r="AF702" s="37" t="str">
        <f>IF(最佳化斷筋點!G702="","",最佳化斷筋點!G702)</f>
        <v/>
      </c>
      <c r="AG702" s="37" t="str">
        <f>IF(最佳化斷筋點!H702="","",最佳化斷筋點!H702)</f>
        <v/>
      </c>
      <c r="AH702" s="37" t="str">
        <f>IF(最佳化斷筋點!I702="","",最佳化斷筋點!I702)</f>
        <v/>
      </c>
      <c r="AI702" s="37" t="str">
        <f>IF(最佳化斷筋點!J702="","",最佳化斷筋點!J702)</f>
        <v/>
      </c>
      <c r="AJ702" s="37" t="str">
        <f>IF(最佳化斷筋點!K702="","",最佳化斷筋點!K702)</f>
        <v/>
      </c>
      <c r="AK702" s="37" t="str">
        <f>IF(最佳化斷筋點!L702="","",最佳化斷筋點!L702)</f>
        <v/>
      </c>
      <c r="AL702" s="37" t="str">
        <f>IF(最佳化斷筋點!M702="","",最佳化斷筋點!M702)</f>
        <v/>
      </c>
      <c r="AM702" s="37" t="str">
        <f>IF(最佳化斷筋點!N702="","",最佳化斷筋點!N702)</f>
        <v/>
      </c>
      <c r="AN702" s="37" t="str">
        <f>IF(最佳化斷筋點!O702="","",最佳化斷筋點!O702)</f>
        <v/>
      </c>
      <c r="AO702" s="37" t="str">
        <f>IF(最佳化斷筋點!P702="","",最佳化斷筋點!P702)</f>
        <v/>
      </c>
      <c r="AP702" s="37" t="str">
        <f>IF(最佳化斷筋點!Q702="","",最佳化斷筋點!Q702)</f>
        <v/>
      </c>
      <c r="AQ702" s="37" t="str">
        <f>IF(最佳化斷筋點!R702="","",最佳化斷筋點!R702)</f>
        <v/>
      </c>
      <c r="AR702" s="37" t="str">
        <f>IF(最佳化斷筋點!S702="","",最佳化斷筋點!S702)</f>
        <v/>
      </c>
      <c r="AS702" s="37" t="str">
        <f>IF(最佳化斷筋點!T702="","",最佳化斷筋點!T702)</f>
        <v/>
      </c>
      <c r="AT702" s="37" t="str">
        <f>IF(最佳化斷筋點!U702="","",最佳化斷筋點!U702)</f>
        <v/>
      </c>
      <c r="AU702" s="37" t="str">
        <f>IF(最佳化斷筋點!V702="","",最佳化斷筋點!V702)</f>
        <v/>
      </c>
      <c r="AV702" s="37" t="str">
        <f>IF(最佳化斷筋點!W702="","",最佳化斷筋點!W702)</f>
        <v/>
      </c>
      <c r="AW702" s="37" t="str">
        <f>IF(最佳化斷筋點!X702="","",最佳化斷筋點!X702)</f>
        <v/>
      </c>
      <c r="AZ702" s="37" t="s">
        <v>197</v>
      </c>
      <c r="BA702" s="37" t="s">
        <v>197</v>
      </c>
      <c r="BB702" s="37" t="s">
        <v>197</v>
      </c>
      <c r="BC702" s="37" t="s">
        <v>197</v>
      </c>
      <c r="BD702" s="37" t="s">
        <v>197</v>
      </c>
      <c r="BE702" s="37" t="s">
        <v>197</v>
      </c>
      <c r="BF702" s="37" t="s">
        <v>197</v>
      </c>
      <c r="BG702" s="37" t="s">
        <v>197</v>
      </c>
      <c r="BH702" s="37" t="s">
        <v>197</v>
      </c>
      <c r="BI702" s="37" t="s">
        <v>197</v>
      </c>
      <c r="BJ702" s="37" t="s">
        <v>197</v>
      </c>
      <c r="BK702" s="37" t="s">
        <v>197</v>
      </c>
      <c r="BL702" s="37" t="s">
        <v>197</v>
      </c>
      <c r="BM702" s="37" t="s">
        <v>197</v>
      </c>
      <c r="BN702" s="37" t="s">
        <v>197</v>
      </c>
      <c r="BO702" s="37" t="s">
        <v>197</v>
      </c>
      <c r="BP702" s="37" t="s">
        <v>197</v>
      </c>
      <c r="BQ702" s="37" t="s">
        <v>197</v>
      </c>
      <c r="BR702" s="37" t="s">
        <v>197</v>
      </c>
      <c r="BS702" s="37" t="s">
        <v>197</v>
      </c>
      <c r="BT702" s="37" t="s">
        <v>197</v>
      </c>
    </row>
    <row r="703" spans="5:72" x14ac:dyDescent="0.25">
      <c r="E703" s="36" t="s">
        <v>20</v>
      </c>
      <c r="F703" s="36">
        <f t="shared" si="232"/>
        <v>0</v>
      </c>
      <c r="G703" s="36">
        <f t="shared" si="233"/>
        <v>0</v>
      </c>
      <c r="H703" s="36">
        <f t="shared" si="234"/>
        <v>0</v>
      </c>
      <c r="I703" s="36">
        <f t="shared" si="235"/>
        <v>0</v>
      </c>
      <c r="J703" s="36">
        <f t="shared" si="236"/>
        <v>0</v>
      </c>
      <c r="K703" s="36">
        <f t="shared" si="237"/>
        <v>0</v>
      </c>
      <c r="L703" s="36">
        <f t="shared" si="238"/>
        <v>0</v>
      </c>
      <c r="M703" s="36">
        <f t="shared" si="239"/>
        <v>0</v>
      </c>
      <c r="N703" s="36">
        <f t="shared" si="240"/>
        <v>0</v>
      </c>
      <c r="O703" s="36">
        <f t="shared" si="241"/>
        <v>0</v>
      </c>
      <c r="P703" s="36">
        <f t="shared" si="242"/>
        <v>0</v>
      </c>
      <c r="Q703" s="36">
        <f t="shared" si="243"/>
        <v>0</v>
      </c>
      <c r="R703" s="36">
        <f t="shared" si="244"/>
        <v>0</v>
      </c>
      <c r="S703" s="36">
        <f t="shared" si="245"/>
        <v>0</v>
      </c>
      <c r="T703" s="36">
        <f t="shared" si="246"/>
        <v>0</v>
      </c>
      <c r="U703" s="36">
        <f t="shared" si="247"/>
        <v>0</v>
      </c>
      <c r="V703" s="36">
        <f t="shared" si="248"/>
        <v>0</v>
      </c>
      <c r="W703" s="36">
        <f t="shared" si="249"/>
        <v>0</v>
      </c>
      <c r="X703" s="36">
        <f t="shared" si="250"/>
        <v>0</v>
      </c>
      <c r="Y703" s="36">
        <f t="shared" si="251"/>
        <v>0</v>
      </c>
      <c r="Z703" s="36">
        <f t="shared" si="252"/>
        <v>0</v>
      </c>
      <c r="AB703" s="36" t="str">
        <f>IF(最佳化斷筋點!C703="","",最佳化斷筋點!C703)</f>
        <v>上層</v>
      </c>
      <c r="AC703" s="37">
        <f>IF(最佳化斷筋點!D703="","",最佳化斷筋點!D703)</f>
        <v>10</v>
      </c>
      <c r="AD703" s="37">
        <f>IF(最佳化斷筋點!E703="","",最佳化斷筋點!E703)</f>
        <v>10</v>
      </c>
      <c r="AE703" s="37">
        <f>IF(最佳化斷筋點!F703="","",最佳化斷筋點!F703)</f>
        <v>10</v>
      </c>
      <c r="AF703" s="37">
        <f>IF(最佳化斷筋點!G703="","",最佳化斷筋點!G703)</f>
        <v>10</v>
      </c>
      <c r="AG703" s="37">
        <f>IF(最佳化斷筋點!H703="","",最佳化斷筋點!H703)</f>
        <v>10</v>
      </c>
      <c r="AH703" s="37">
        <f>IF(最佳化斷筋點!I703="","",最佳化斷筋點!I703)</f>
        <v>10</v>
      </c>
      <c r="AI703" s="37">
        <f>IF(最佳化斷筋點!J703="","",最佳化斷筋點!J703)</f>
        <v>10</v>
      </c>
      <c r="AJ703" s="37">
        <f>IF(最佳化斷筋點!K703="","",最佳化斷筋點!K703)</f>
        <v>10</v>
      </c>
      <c r="AK703" s="37">
        <f>IF(最佳化斷筋點!L703="","",最佳化斷筋點!L703)</f>
        <v>9</v>
      </c>
      <c r="AL703" s="37">
        <f>IF(最佳化斷筋點!M703="","",最佳化斷筋點!M703)</f>
        <v>8</v>
      </c>
      <c r="AM703" s="37">
        <f>IF(最佳化斷筋點!N703="","",最佳化斷筋點!N703)</f>
        <v>7</v>
      </c>
      <c r="AN703" s="37">
        <f>IF(最佳化斷筋點!O703="","",最佳化斷筋點!O703)</f>
        <v>7</v>
      </c>
      <c r="AO703" s="37">
        <f>IF(最佳化斷筋點!P703="","",最佳化斷筋點!P703)</f>
        <v>8</v>
      </c>
      <c r="AP703" s="37">
        <f>IF(最佳化斷筋點!Q703="","",最佳化斷筋點!Q703)</f>
        <v>9</v>
      </c>
      <c r="AQ703" s="37">
        <f>IF(最佳化斷筋點!R703="","",最佳化斷筋點!R703)</f>
        <v>10</v>
      </c>
      <c r="AR703" s="37">
        <f>IF(最佳化斷筋點!S703="","",最佳化斷筋點!S703)</f>
        <v>10</v>
      </c>
      <c r="AS703" s="37">
        <f>IF(最佳化斷筋點!T703="","",最佳化斷筋點!T703)</f>
        <v>10</v>
      </c>
      <c r="AT703" s="37">
        <f>IF(最佳化斷筋點!U703="","",最佳化斷筋點!U703)</f>
        <v>10</v>
      </c>
      <c r="AU703" s="37">
        <f>IF(最佳化斷筋點!V703="","",最佳化斷筋點!V703)</f>
        <v>10</v>
      </c>
      <c r="AV703" s="37">
        <f>IF(最佳化斷筋點!W703="","",最佳化斷筋點!W703)</f>
        <v>10</v>
      </c>
      <c r="AW703" s="37">
        <f>IF(最佳化斷筋點!X703="","",最佳化斷筋點!X703)</f>
        <v>10</v>
      </c>
      <c r="AZ703" s="37">
        <v>10</v>
      </c>
      <c r="BA703" s="37">
        <v>10</v>
      </c>
      <c r="BB703" s="37">
        <v>10</v>
      </c>
      <c r="BC703" s="37">
        <v>10</v>
      </c>
      <c r="BD703" s="37">
        <v>10</v>
      </c>
      <c r="BE703" s="37">
        <v>10</v>
      </c>
      <c r="BF703" s="37">
        <v>10</v>
      </c>
      <c r="BG703" s="37">
        <v>10</v>
      </c>
      <c r="BH703" s="37">
        <v>9</v>
      </c>
      <c r="BI703" s="37">
        <v>8</v>
      </c>
      <c r="BJ703" s="37">
        <v>7</v>
      </c>
      <c r="BK703" s="37">
        <v>7</v>
      </c>
      <c r="BL703" s="37">
        <v>8</v>
      </c>
      <c r="BM703" s="37">
        <v>9</v>
      </c>
      <c r="BN703" s="37">
        <v>10</v>
      </c>
      <c r="BO703" s="37">
        <v>10</v>
      </c>
      <c r="BP703" s="37">
        <v>10</v>
      </c>
      <c r="BQ703" s="37">
        <v>10</v>
      </c>
      <c r="BR703" s="37">
        <v>10</v>
      </c>
      <c r="BS703" s="37">
        <v>10</v>
      </c>
      <c r="BT703" s="37">
        <v>10</v>
      </c>
    </row>
    <row r="704" spans="5:72" x14ac:dyDescent="0.25">
      <c r="E704" s="36"/>
      <c r="F704" s="36">
        <f t="shared" si="232"/>
        <v>0</v>
      </c>
      <c r="G704" s="36">
        <f t="shared" si="233"/>
        <v>0</v>
      </c>
      <c r="H704" s="36">
        <f t="shared" si="234"/>
        <v>0</v>
      </c>
      <c r="I704" s="36">
        <f t="shared" si="235"/>
        <v>0</v>
      </c>
      <c r="J704" s="36">
        <f t="shared" si="236"/>
        <v>0</v>
      </c>
      <c r="K704" s="36">
        <f t="shared" si="237"/>
        <v>0</v>
      </c>
      <c r="L704" s="36">
        <f t="shared" si="238"/>
        <v>0</v>
      </c>
      <c r="M704" s="36">
        <f t="shared" si="239"/>
        <v>0</v>
      </c>
      <c r="N704" s="36">
        <f t="shared" si="240"/>
        <v>0</v>
      </c>
      <c r="O704" s="36">
        <f t="shared" si="241"/>
        <v>0</v>
      </c>
      <c r="P704" s="36">
        <f t="shared" si="242"/>
        <v>0</v>
      </c>
      <c r="Q704" s="36">
        <f t="shared" si="243"/>
        <v>0</v>
      </c>
      <c r="R704" s="36">
        <f t="shared" si="244"/>
        <v>0</v>
      </c>
      <c r="S704" s="36">
        <f t="shared" si="245"/>
        <v>0</v>
      </c>
      <c r="T704" s="36">
        <f t="shared" si="246"/>
        <v>0</v>
      </c>
      <c r="U704" s="36">
        <f t="shared" si="247"/>
        <v>0</v>
      </c>
      <c r="V704" s="36">
        <f t="shared" si="248"/>
        <v>0</v>
      </c>
      <c r="W704" s="36">
        <f t="shared" si="249"/>
        <v>0</v>
      </c>
      <c r="X704" s="36">
        <f t="shared" si="250"/>
        <v>0</v>
      </c>
      <c r="Y704" s="36">
        <f t="shared" si="251"/>
        <v>0</v>
      </c>
      <c r="Z704" s="36">
        <f t="shared" si="252"/>
        <v>0</v>
      </c>
      <c r="AB704" s="36" t="str">
        <f>IF(最佳化斷筋點!C704="","",最佳化斷筋點!C704)</f>
        <v/>
      </c>
      <c r="AC704" s="37" t="str">
        <f>IF(最佳化斷筋點!D704="","",最佳化斷筋點!D704)</f>
        <v/>
      </c>
      <c r="AD704" s="37" t="str">
        <f>IF(最佳化斷筋點!E704="","",最佳化斷筋點!E704)</f>
        <v/>
      </c>
      <c r="AE704" s="37" t="str">
        <f>IF(最佳化斷筋點!F704="","",最佳化斷筋點!F704)</f>
        <v/>
      </c>
      <c r="AF704" s="37" t="str">
        <f>IF(最佳化斷筋點!G704="","",最佳化斷筋點!G704)</f>
        <v/>
      </c>
      <c r="AG704" s="37" t="str">
        <f>IF(最佳化斷筋點!H704="","",最佳化斷筋點!H704)</f>
        <v/>
      </c>
      <c r="AH704" s="37" t="str">
        <f>IF(最佳化斷筋點!I704="","",最佳化斷筋點!I704)</f>
        <v/>
      </c>
      <c r="AI704" s="37" t="str">
        <f>IF(最佳化斷筋點!J704="","",最佳化斷筋點!J704)</f>
        <v/>
      </c>
      <c r="AJ704" s="37" t="str">
        <f>IF(最佳化斷筋點!K704="","",最佳化斷筋點!K704)</f>
        <v/>
      </c>
      <c r="AK704" s="37" t="str">
        <f>IF(最佳化斷筋點!L704="","",最佳化斷筋點!L704)</f>
        <v/>
      </c>
      <c r="AL704" s="37" t="str">
        <f>IF(最佳化斷筋點!M704="","",最佳化斷筋點!M704)</f>
        <v/>
      </c>
      <c r="AM704" s="37" t="str">
        <f>IF(最佳化斷筋點!N704="","",最佳化斷筋點!N704)</f>
        <v/>
      </c>
      <c r="AN704" s="37" t="str">
        <f>IF(最佳化斷筋點!O704="","",最佳化斷筋點!O704)</f>
        <v/>
      </c>
      <c r="AO704" s="37" t="str">
        <f>IF(最佳化斷筋點!P704="","",最佳化斷筋點!P704)</f>
        <v/>
      </c>
      <c r="AP704" s="37" t="str">
        <f>IF(最佳化斷筋點!Q704="","",最佳化斷筋點!Q704)</f>
        <v/>
      </c>
      <c r="AQ704" s="37" t="str">
        <f>IF(最佳化斷筋點!R704="","",最佳化斷筋點!R704)</f>
        <v/>
      </c>
      <c r="AR704" s="37" t="str">
        <f>IF(最佳化斷筋點!S704="","",最佳化斷筋點!S704)</f>
        <v/>
      </c>
      <c r="AS704" s="37" t="str">
        <f>IF(最佳化斷筋點!T704="","",最佳化斷筋點!T704)</f>
        <v/>
      </c>
      <c r="AT704" s="37" t="str">
        <f>IF(最佳化斷筋點!U704="","",最佳化斷筋點!U704)</f>
        <v/>
      </c>
      <c r="AU704" s="37" t="str">
        <f>IF(最佳化斷筋點!V704="","",最佳化斷筋點!V704)</f>
        <v/>
      </c>
      <c r="AV704" s="37" t="str">
        <f>IF(最佳化斷筋點!W704="","",最佳化斷筋點!W704)</f>
        <v/>
      </c>
      <c r="AW704" s="37" t="str">
        <f>IF(最佳化斷筋點!X704="","",最佳化斷筋點!X704)</f>
        <v/>
      </c>
      <c r="AZ704" s="37" t="s">
        <v>197</v>
      </c>
      <c r="BA704" s="37" t="s">
        <v>197</v>
      </c>
      <c r="BB704" s="37" t="s">
        <v>197</v>
      </c>
      <c r="BC704" s="37" t="s">
        <v>197</v>
      </c>
      <c r="BD704" s="37" t="s">
        <v>197</v>
      </c>
      <c r="BE704" s="37" t="s">
        <v>197</v>
      </c>
      <c r="BF704" s="37" t="s">
        <v>197</v>
      </c>
      <c r="BG704" s="37" t="s">
        <v>197</v>
      </c>
      <c r="BH704" s="37" t="s">
        <v>197</v>
      </c>
      <c r="BI704" s="37" t="s">
        <v>197</v>
      </c>
      <c r="BJ704" s="37" t="s">
        <v>197</v>
      </c>
      <c r="BK704" s="37" t="s">
        <v>197</v>
      </c>
      <c r="BL704" s="37" t="s">
        <v>197</v>
      </c>
      <c r="BM704" s="37" t="s">
        <v>197</v>
      </c>
      <c r="BN704" s="37" t="s">
        <v>197</v>
      </c>
      <c r="BO704" s="37" t="s">
        <v>197</v>
      </c>
      <c r="BP704" s="37" t="s">
        <v>197</v>
      </c>
      <c r="BQ704" s="37" t="s">
        <v>197</v>
      </c>
      <c r="BR704" s="37" t="s">
        <v>197</v>
      </c>
      <c r="BS704" s="37" t="s">
        <v>197</v>
      </c>
      <c r="BT704" s="37" t="s">
        <v>197</v>
      </c>
    </row>
    <row r="705" spans="5:72" x14ac:dyDescent="0.25">
      <c r="E705" s="36" t="s">
        <v>21</v>
      </c>
      <c r="F705" s="36">
        <f t="shared" si="232"/>
        <v>0</v>
      </c>
      <c r="G705" s="36">
        <f t="shared" si="233"/>
        <v>0</v>
      </c>
      <c r="H705" s="36">
        <f t="shared" si="234"/>
        <v>0</v>
      </c>
      <c r="I705" s="36">
        <f t="shared" si="235"/>
        <v>0</v>
      </c>
      <c r="J705" s="36">
        <f t="shared" si="236"/>
        <v>0</v>
      </c>
      <c r="K705" s="36">
        <f t="shared" si="237"/>
        <v>0</v>
      </c>
      <c r="L705" s="36">
        <f t="shared" si="238"/>
        <v>0</v>
      </c>
      <c r="M705" s="36">
        <f t="shared" si="239"/>
        <v>0</v>
      </c>
      <c r="N705" s="36">
        <f t="shared" si="240"/>
        <v>0</v>
      </c>
      <c r="O705" s="36">
        <f t="shared" si="241"/>
        <v>0</v>
      </c>
      <c r="P705" s="36">
        <f t="shared" si="242"/>
        <v>0</v>
      </c>
      <c r="Q705" s="36">
        <f t="shared" si="243"/>
        <v>0</v>
      </c>
      <c r="R705" s="36">
        <f t="shared" si="244"/>
        <v>0</v>
      </c>
      <c r="S705" s="36">
        <f t="shared" si="245"/>
        <v>0</v>
      </c>
      <c r="T705" s="36">
        <f t="shared" si="246"/>
        <v>0</v>
      </c>
      <c r="U705" s="36">
        <f t="shared" si="247"/>
        <v>0</v>
      </c>
      <c r="V705" s="36">
        <f t="shared" si="248"/>
        <v>0</v>
      </c>
      <c r="W705" s="36">
        <f t="shared" si="249"/>
        <v>0</v>
      </c>
      <c r="X705" s="36">
        <f t="shared" si="250"/>
        <v>0</v>
      </c>
      <c r="Y705" s="36">
        <f t="shared" si="251"/>
        <v>0</v>
      </c>
      <c r="Z705" s="36">
        <f t="shared" si="252"/>
        <v>0</v>
      </c>
      <c r="AB705" s="36" t="str">
        <f>IF(最佳化斷筋點!C705="","",最佳化斷筋點!C705)</f>
        <v>下層</v>
      </c>
      <c r="AC705" s="37">
        <f>IF(最佳化斷筋點!D705="","",最佳化斷筋點!D705)</f>
        <v>14</v>
      </c>
      <c r="AD705" s="37">
        <f>IF(最佳化斷筋點!E705="","",最佳化斷筋點!E705)</f>
        <v>14</v>
      </c>
      <c r="AE705" s="37">
        <f>IF(最佳化斷筋點!F705="","",最佳化斷筋點!F705)</f>
        <v>14</v>
      </c>
      <c r="AF705" s="37">
        <f>IF(最佳化斷筋點!G705="","",最佳化斷筋點!G705)</f>
        <v>14</v>
      </c>
      <c r="AG705" s="37">
        <f>IF(最佳化斷筋點!H705="","",最佳化斷筋點!H705)</f>
        <v>14</v>
      </c>
      <c r="AH705" s="37">
        <f>IF(最佳化斷筋點!I705="","",最佳化斷筋點!I705)</f>
        <v>14</v>
      </c>
      <c r="AI705" s="37">
        <f>IF(最佳化斷筋點!J705="","",最佳化斷筋點!J705)</f>
        <v>14</v>
      </c>
      <c r="AJ705" s="37">
        <f>IF(最佳化斷筋點!K705="","",最佳化斷筋點!K705)</f>
        <v>14</v>
      </c>
      <c r="AK705" s="37">
        <f>IF(最佳化斷筋點!L705="","",最佳化斷筋點!L705)</f>
        <v>14</v>
      </c>
      <c r="AL705" s="37">
        <f>IF(最佳化斷筋點!M705="","",最佳化斷筋點!M705)</f>
        <v>14</v>
      </c>
      <c r="AM705" s="37">
        <f>IF(最佳化斷筋點!N705="","",最佳化斷筋點!N705)</f>
        <v>14</v>
      </c>
      <c r="AN705" s="37">
        <f>IF(最佳化斷筋點!O705="","",最佳化斷筋點!O705)</f>
        <v>14</v>
      </c>
      <c r="AO705" s="37">
        <f>IF(最佳化斷筋點!P705="","",最佳化斷筋點!P705)</f>
        <v>14</v>
      </c>
      <c r="AP705" s="37">
        <f>IF(最佳化斷筋點!Q705="","",最佳化斷筋點!Q705)</f>
        <v>14</v>
      </c>
      <c r="AQ705" s="37">
        <f>IF(最佳化斷筋點!R705="","",最佳化斷筋點!R705)</f>
        <v>14</v>
      </c>
      <c r="AR705" s="37">
        <f>IF(最佳化斷筋點!S705="","",最佳化斷筋點!S705)</f>
        <v>14</v>
      </c>
      <c r="AS705" s="37">
        <f>IF(最佳化斷筋點!T705="","",最佳化斷筋點!T705)</f>
        <v>14</v>
      </c>
      <c r="AT705" s="37">
        <f>IF(最佳化斷筋點!U705="","",最佳化斷筋點!U705)</f>
        <v>14</v>
      </c>
      <c r="AU705" s="37">
        <f>IF(最佳化斷筋點!V705="","",最佳化斷筋點!V705)</f>
        <v>14</v>
      </c>
      <c r="AV705" s="37">
        <f>IF(最佳化斷筋點!W705="","",最佳化斷筋點!W705)</f>
        <v>14</v>
      </c>
      <c r="AW705" s="37">
        <f>IF(最佳化斷筋點!X705="","",最佳化斷筋點!X705)</f>
        <v>14</v>
      </c>
      <c r="AZ705" s="37">
        <v>14</v>
      </c>
      <c r="BA705" s="37">
        <v>14</v>
      </c>
      <c r="BB705" s="37">
        <v>14</v>
      </c>
      <c r="BC705" s="37">
        <v>14</v>
      </c>
      <c r="BD705" s="37">
        <v>14</v>
      </c>
      <c r="BE705" s="37">
        <v>14</v>
      </c>
      <c r="BF705" s="37">
        <v>14</v>
      </c>
      <c r="BG705" s="37">
        <v>14</v>
      </c>
      <c r="BH705" s="37">
        <v>14</v>
      </c>
      <c r="BI705" s="37">
        <v>14</v>
      </c>
      <c r="BJ705" s="37">
        <v>14</v>
      </c>
      <c r="BK705" s="37">
        <v>14</v>
      </c>
      <c r="BL705" s="37">
        <v>14</v>
      </c>
      <c r="BM705" s="37">
        <v>14</v>
      </c>
      <c r="BN705" s="37">
        <v>14</v>
      </c>
      <c r="BO705" s="37">
        <v>14</v>
      </c>
      <c r="BP705" s="37">
        <v>14</v>
      </c>
      <c r="BQ705" s="37">
        <v>14</v>
      </c>
      <c r="BR705" s="37">
        <v>14</v>
      </c>
      <c r="BS705" s="37">
        <v>14</v>
      </c>
      <c r="BT705" s="37">
        <v>14</v>
      </c>
    </row>
    <row r="706" spans="5:72" x14ac:dyDescent="0.25">
      <c r="E706" s="36"/>
      <c r="F706" s="36">
        <f t="shared" si="232"/>
        <v>0</v>
      </c>
      <c r="G706" s="36">
        <f t="shared" si="233"/>
        <v>0</v>
      </c>
      <c r="H706" s="36">
        <f t="shared" si="234"/>
        <v>0</v>
      </c>
      <c r="I706" s="36">
        <f t="shared" si="235"/>
        <v>0</v>
      </c>
      <c r="J706" s="36">
        <f t="shared" si="236"/>
        <v>0</v>
      </c>
      <c r="K706" s="36">
        <f t="shared" si="237"/>
        <v>0</v>
      </c>
      <c r="L706" s="36">
        <f t="shared" si="238"/>
        <v>0</v>
      </c>
      <c r="M706" s="36">
        <f t="shared" si="239"/>
        <v>0</v>
      </c>
      <c r="N706" s="36">
        <f t="shared" si="240"/>
        <v>0</v>
      </c>
      <c r="O706" s="36">
        <f t="shared" si="241"/>
        <v>0</v>
      </c>
      <c r="P706" s="36">
        <f t="shared" si="242"/>
        <v>0</v>
      </c>
      <c r="Q706" s="36">
        <f t="shared" si="243"/>
        <v>0</v>
      </c>
      <c r="R706" s="36">
        <f t="shared" si="244"/>
        <v>0</v>
      </c>
      <c r="S706" s="36">
        <f t="shared" si="245"/>
        <v>0</v>
      </c>
      <c r="T706" s="36">
        <f t="shared" si="246"/>
        <v>0</v>
      </c>
      <c r="U706" s="36">
        <f t="shared" si="247"/>
        <v>0</v>
      </c>
      <c r="V706" s="36">
        <f t="shared" si="248"/>
        <v>0</v>
      </c>
      <c r="W706" s="36">
        <f t="shared" si="249"/>
        <v>0</v>
      </c>
      <c r="X706" s="36">
        <f t="shared" si="250"/>
        <v>0</v>
      </c>
      <c r="Y706" s="36">
        <f t="shared" si="251"/>
        <v>0</v>
      </c>
      <c r="Z706" s="36">
        <f t="shared" si="252"/>
        <v>0</v>
      </c>
      <c r="AB706" s="36" t="str">
        <f>IF(最佳化斷筋點!C706="","",最佳化斷筋點!C706)</f>
        <v/>
      </c>
      <c r="AC706" s="37" t="str">
        <f>IF(最佳化斷筋點!D706="","",最佳化斷筋點!D706)</f>
        <v/>
      </c>
      <c r="AD706" s="37" t="str">
        <f>IF(最佳化斷筋點!E706="","",最佳化斷筋點!E706)</f>
        <v/>
      </c>
      <c r="AE706" s="37" t="str">
        <f>IF(最佳化斷筋點!F706="","",最佳化斷筋點!F706)</f>
        <v/>
      </c>
      <c r="AF706" s="37" t="str">
        <f>IF(最佳化斷筋點!G706="","",最佳化斷筋點!G706)</f>
        <v/>
      </c>
      <c r="AG706" s="37" t="str">
        <f>IF(最佳化斷筋點!H706="","",最佳化斷筋點!H706)</f>
        <v/>
      </c>
      <c r="AH706" s="37" t="str">
        <f>IF(最佳化斷筋點!I706="","",最佳化斷筋點!I706)</f>
        <v/>
      </c>
      <c r="AI706" s="37" t="str">
        <f>IF(最佳化斷筋點!J706="","",最佳化斷筋點!J706)</f>
        <v/>
      </c>
      <c r="AJ706" s="37" t="str">
        <f>IF(最佳化斷筋點!K706="","",最佳化斷筋點!K706)</f>
        <v/>
      </c>
      <c r="AK706" s="37" t="str">
        <f>IF(最佳化斷筋點!L706="","",最佳化斷筋點!L706)</f>
        <v/>
      </c>
      <c r="AL706" s="37" t="str">
        <f>IF(最佳化斷筋點!M706="","",最佳化斷筋點!M706)</f>
        <v/>
      </c>
      <c r="AM706" s="37" t="str">
        <f>IF(最佳化斷筋點!N706="","",最佳化斷筋點!N706)</f>
        <v/>
      </c>
      <c r="AN706" s="37" t="str">
        <f>IF(最佳化斷筋點!O706="","",最佳化斷筋點!O706)</f>
        <v/>
      </c>
      <c r="AO706" s="37" t="str">
        <f>IF(最佳化斷筋點!P706="","",最佳化斷筋點!P706)</f>
        <v/>
      </c>
      <c r="AP706" s="37" t="str">
        <f>IF(最佳化斷筋點!Q706="","",最佳化斷筋點!Q706)</f>
        <v/>
      </c>
      <c r="AQ706" s="37" t="str">
        <f>IF(最佳化斷筋點!R706="","",最佳化斷筋點!R706)</f>
        <v/>
      </c>
      <c r="AR706" s="37" t="str">
        <f>IF(最佳化斷筋點!S706="","",最佳化斷筋點!S706)</f>
        <v/>
      </c>
      <c r="AS706" s="37" t="str">
        <f>IF(最佳化斷筋點!T706="","",最佳化斷筋點!T706)</f>
        <v/>
      </c>
      <c r="AT706" s="37" t="str">
        <f>IF(最佳化斷筋點!U706="","",最佳化斷筋點!U706)</f>
        <v/>
      </c>
      <c r="AU706" s="37" t="str">
        <f>IF(最佳化斷筋點!V706="","",最佳化斷筋點!V706)</f>
        <v/>
      </c>
      <c r="AV706" s="37" t="str">
        <f>IF(最佳化斷筋點!W706="","",最佳化斷筋點!W706)</f>
        <v/>
      </c>
      <c r="AW706" s="37" t="str">
        <f>IF(最佳化斷筋點!X706="","",最佳化斷筋點!X706)</f>
        <v/>
      </c>
      <c r="AZ706" s="37" t="s">
        <v>197</v>
      </c>
      <c r="BA706" s="37" t="s">
        <v>197</v>
      </c>
      <c r="BB706" s="37" t="s">
        <v>197</v>
      </c>
      <c r="BC706" s="37" t="s">
        <v>197</v>
      </c>
      <c r="BD706" s="37" t="s">
        <v>197</v>
      </c>
      <c r="BE706" s="37" t="s">
        <v>197</v>
      </c>
      <c r="BF706" s="37" t="s">
        <v>197</v>
      </c>
      <c r="BG706" s="37" t="s">
        <v>197</v>
      </c>
      <c r="BH706" s="37" t="s">
        <v>197</v>
      </c>
      <c r="BI706" s="37" t="s">
        <v>197</v>
      </c>
      <c r="BJ706" s="37" t="s">
        <v>197</v>
      </c>
      <c r="BK706" s="37" t="s">
        <v>197</v>
      </c>
      <c r="BL706" s="37" t="s">
        <v>197</v>
      </c>
      <c r="BM706" s="37" t="s">
        <v>197</v>
      </c>
      <c r="BN706" s="37" t="s">
        <v>197</v>
      </c>
      <c r="BO706" s="37" t="s">
        <v>197</v>
      </c>
      <c r="BP706" s="37" t="s">
        <v>197</v>
      </c>
      <c r="BQ706" s="37" t="s">
        <v>197</v>
      </c>
      <c r="BR706" s="37" t="s">
        <v>197</v>
      </c>
      <c r="BS706" s="37" t="s">
        <v>197</v>
      </c>
      <c r="BT706" s="37" t="s">
        <v>197</v>
      </c>
    </row>
    <row r="707" spans="5:72" x14ac:dyDescent="0.25">
      <c r="E707" s="36" t="s">
        <v>20</v>
      </c>
      <c r="F707" s="36">
        <f t="shared" si="232"/>
        <v>0</v>
      </c>
      <c r="G707" s="36">
        <f t="shared" si="233"/>
        <v>0</v>
      </c>
      <c r="H707" s="36">
        <f t="shared" si="234"/>
        <v>0</v>
      </c>
      <c r="I707" s="36">
        <f t="shared" si="235"/>
        <v>0</v>
      </c>
      <c r="J707" s="36">
        <f t="shared" si="236"/>
        <v>0</v>
      </c>
      <c r="K707" s="36">
        <f t="shared" si="237"/>
        <v>0</v>
      </c>
      <c r="L707" s="36">
        <f t="shared" si="238"/>
        <v>0</v>
      </c>
      <c r="M707" s="36">
        <f t="shared" si="239"/>
        <v>0</v>
      </c>
      <c r="N707" s="36">
        <f t="shared" si="240"/>
        <v>0</v>
      </c>
      <c r="O707" s="36">
        <f t="shared" si="241"/>
        <v>0</v>
      </c>
      <c r="P707" s="36">
        <f t="shared" si="242"/>
        <v>0</v>
      </c>
      <c r="Q707" s="36">
        <f t="shared" si="243"/>
        <v>0</v>
      </c>
      <c r="R707" s="36">
        <f t="shared" si="244"/>
        <v>0</v>
      </c>
      <c r="S707" s="36">
        <f t="shared" si="245"/>
        <v>0</v>
      </c>
      <c r="T707" s="36">
        <f t="shared" si="246"/>
        <v>0</v>
      </c>
      <c r="U707" s="36">
        <f t="shared" si="247"/>
        <v>0</v>
      </c>
      <c r="V707" s="36">
        <f t="shared" si="248"/>
        <v>0</v>
      </c>
      <c r="W707" s="36">
        <f t="shared" si="249"/>
        <v>0</v>
      </c>
      <c r="X707" s="36">
        <f t="shared" si="250"/>
        <v>0</v>
      </c>
      <c r="Y707" s="36">
        <f t="shared" si="251"/>
        <v>0</v>
      </c>
      <c r="Z707" s="36">
        <f t="shared" si="252"/>
        <v>0</v>
      </c>
      <c r="AB707" s="36" t="str">
        <f>IF(最佳化斷筋點!C707="","",最佳化斷筋點!C707)</f>
        <v>上層</v>
      </c>
      <c r="AC707" s="37">
        <f>IF(最佳化斷筋點!D707="","",最佳化斷筋點!D707)</f>
        <v>11</v>
      </c>
      <c r="AD707" s="37">
        <f>IF(最佳化斷筋點!E707="","",最佳化斷筋點!E707)</f>
        <v>11</v>
      </c>
      <c r="AE707" s="37">
        <f>IF(最佳化斷筋點!F707="","",最佳化斷筋點!F707)</f>
        <v>11</v>
      </c>
      <c r="AF707" s="37">
        <f>IF(最佳化斷筋點!G707="","",最佳化斷筋點!G707)</f>
        <v>11</v>
      </c>
      <c r="AG707" s="37">
        <f>IF(最佳化斷筋點!H707="","",最佳化斷筋點!H707)</f>
        <v>11</v>
      </c>
      <c r="AH707" s="37">
        <f>IF(最佳化斷筋點!I707="","",最佳化斷筋點!I707)</f>
        <v>11</v>
      </c>
      <c r="AI707" s="37">
        <f>IF(最佳化斷筋點!J707="","",最佳化斷筋點!J707)</f>
        <v>10</v>
      </c>
      <c r="AJ707" s="37">
        <f>IF(最佳化斷筋點!K707="","",最佳化斷筋點!K707)</f>
        <v>4</v>
      </c>
      <c r="AK707" s="37">
        <f>IF(最佳化斷筋點!L707="","",最佳化斷筋點!L707)</f>
        <v>4</v>
      </c>
      <c r="AL707" s="37">
        <f>IF(最佳化斷筋點!M707="","",最佳化斷筋點!M707)</f>
        <v>4</v>
      </c>
      <c r="AM707" s="37">
        <f>IF(最佳化斷筋點!N707="","",最佳化斷筋點!N707)</f>
        <v>4</v>
      </c>
      <c r="AN707" s="37">
        <f>IF(最佳化斷筋點!O707="","",最佳化斷筋點!O707)</f>
        <v>4</v>
      </c>
      <c r="AO707" s="37">
        <f>IF(最佳化斷筋點!P707="","",最佳化斷筋點!P707)</f>
        <v>4</v>
      </c>
      <c r="AP707" s="37">
        <f>IF(最佳化斷筋點!Q707="","",最佳化斷筋點!Q707)</f>
        <v>7</v>
      </c>
      <c r="AQ707" s="37">
        <f>IF(最佳化斷筋點!R707="","",最佳化斷筋點!R707)</f>
        <v>8</v>
      </c>
      <c r="AR707" s="37">
        <f>IF(最佳化斷筋點!S707="","",最佳化斷筋點!S707)</f>
        <v>9</v>
      </c>
      <c r="AS707" s="37">
        <f>IF(最佳化斷筋點!T707="","",最佳化斷筋點!T707)</f>
        <v>9</v>
      </c>
      <c r="AT707" s="37">
        <f>IF(最佳化斷筋點!U707="","",最佳化斷筋點!U707)</f>
        <v>9</v>
      </c>
      <c r="AU707" s="37">
        <f>IF(最佳化斷筋點!V707="","",最佳化斷筋點!V707)</f>
        <v>9</v>
      </c>
      <c r="AV707" s="37">
        <f>IF(最佳化斷筋點!W707="","",最佳化斷筋點!W707)</f>
        <v>9</v>
      </c>
      <c r="AW707" s="37">
        <f>IF(最佳化斷筋點!X707="","",最佳化斷筋點!X707)</f>
        <v>9</v>
      </c>
      <c r="AZ707" s="37">
        <v>11</v>
      </c>
      <c r="BA707" s="37">
        <v>11</v>
      </c>
      <c r="BB707" s="37">
        <v>11</v>
      </c>
      <c r="BC707" s="37">
        <v>11</v>
      </c>
      <c r="BD707" s="37">
        <v>11</v>
      </c>
      <c r="BE707" s="37">
        <v>11</v>
      </c>
      <c r="BF707" s="37">
        <v>10</v>
      </c>
      <c r="BG707" s="37">
        <v>4</v>
      </c>
      <c r="BH707" s="37">
        <v>4</v>
      </c>
      <c r="BI707" s="37">
        <v>4</v>
      </c>
      <c r="BJ707" s="37">
        <v>4</v>
      </c>
      <c r="BK707" s="37">
        <v>4</v>
      </c>
      <c r="BL707" s="37">
        <v>4</v>
      </c>
      <c r="BM707" s="37">
        <v>7</v>
      </c>
      <c r="BN707" s="37">
        <v>8</v>
      </c>
      <c r="BO707" s="37">
        <v>9</v>
      </c>
      <c r="BP707" s="37">
        <v>9</v>
      </c>
      <c r="BQ707" s="37">
        <v>9</v>
      </c>
      <c r="BR707" s="37">
        <v>9</v>
      </c>
      <c r="BS707" s="37">
        <v>9</v>
      </c>
      <c r="BT707" s="37">
        <v>9</v>
      </c>
    </row>
    <row r="708" spans="5:72" x14ac:dyDescent="0.25">
      <c r="E708" s="36"/>
      <c r="F708" s="36">
        <f t="shared" si="232"/>
        <v>0</v>
      </c>
      <c r="G708" s="36">
        <f t="shared" si="233"/>
        <v>0</v>
      </c>
      <c r="H708" s="36">
        <f t="shared" si="234"/>
        <v>0</v>
      </c>
      <c r="I708" s="36">
        <f t="shared" si="235"/>
        <v>0</v>
      </c>
      <c r="J708" s="36">
        <f t="shared" si="236"/>
        <v>0</v>
      </c>
      <c r="K708" s="36">
        <f t="shared" si="237"/>
        <v>0</v>
      </c>
      <c r="L708" s="36">
        <f t="shared" si="238"/>
        <v>0</v>
      </c>
      <c r="M708" s="36">
        <f t="shared" si="239"/>
        <v>0</v>
      </c>
      <c r="N708" s="36">
        <f t="shared" si="240"/>
        <v>0</v>
      </c>
      <c r="O708" s="36">
        <f t="shared" si="241"/>
        <v>0</v>
      </c>
      <c r="P708" s="36">
        <f t="shared" si="242"/>
        <v>0</v>
      </c>
      <c r="Q708" s="36">
        <f t="shared" si="243"/>
        <v>0</v>
      </c>
      <c r="R708" s="36">
        <f t="shared" si="244"/>
        <v>0</v>
      </c>
      <c r="S708" s="36">
        <f t="shared" si="245"/>
        <v>0</v>
      </c>
      <c r="T708" s="36">
        <f t="shared" si="246"/>
        <v>0</v>
      </c>
      <c r="U708" s="36">
        <f t="shared" si="247"/>
        <v>0</v>
      </c>
      <c r="V708" s="36">
        <f t="shared" si="248"/>
        <v>0</v>
      </c>
      <c r="W708" s="36">
        <f t="shared" si="249"/>
        <v>0</v>
      </c>
      <c r="X708" s="36">
        <f t="shared" si="250"/>
        <v>0</v>
      </c>
      <c r="Y708" s="36">
        <f t="shared" si="251"/>
        <v>0</v>
      </c>
      <c r="Z708" s="36">
        <f t="shared" si="252"/>
        <v>0</v>
      </c>
      <c r="AB708" s="36" t="str">
        <f>IF(最佳化斷筋點!C708="","",最佳化斷筋點!C708)</f>
        <v/>
      </c>
      <c r="AC708" s="37" t="str">
        <f>IF(最佳化斷筋點!D708="","",最佳化斷筋點!D708)</f>
        <v/>
      </c>
      <c r="AD708" s="37" t="str">
        <f>IF(最佳化斷筋點!E708="","",最佳化斷筋點!E708)</f>
        <v/>
      </c>
      <c r="AE708" s="37" t="str">
        <f>IF(最佳化斷筋點!F708="","",最佳化斷筋點!F708)</f>
        <v/>
      </c>
      <c r="AF708" s="37" t="str">
        <f>IF(最佳化斷筋點!G708="","",最佳化斷筋點!G708)</f>
        <v/>
      </c>
      <c r="AG708" s="37" t="str">
        <f>IF(最佳化斷筋點!H708="","",最佳化斷筋點!H708)</f>
        <v/>
      </c>
      <c r="AH708" s="37" t="str">
        <f>IF(最佳化斷筋點!I708="","",最佳化斷筋點!I708)</f>
        <v/>
      </c>
      <c r="AI708" s="37" t="str">
        <f>IF(最佳化斷筋點!J708="","",最佳化斷筋點!J708)</f>
        <v/>
      </c>
      <c r="AJ708" s="37" t="str">
        <f>IF(最佳化斷筋點!K708="","",最佳化斷筋點!K708)</f>
        <v/>
      </c>
      <c r="AK708" s="37" t="str">
        <f>IF(最佳化斷筋點!L708="","",最佳化斷筋點!L708)</f>
        <v/>
      </c>
      <c r="AL708" s="37" t="str">
        <f>IF(最佳化斷筋點!M708="","",最佳化斷筋點!M708)</f>
        <v/>
      </c>
      <c r="AM708" s="37" t="str">
        <f>IF(最佳化斷筋點!N708="","",最佳化斷筋點!N708)</f>
        <v/>
      </c>
      <c r="AN708" s="37" t="str">
        <f>IF(最佳化斷筋點!O708="","",最佳化斷筋點!O708)</f>
        <v/>
      </c>
      <c r="AO708" s="37" t="str">
        <f>IF(最佳化斷筋點!P708="","",最佳化斷筋點!P708)</f>
        <v/>
      </c>
      <c r="AP708" s="37" t="str">
        <f>IF(最佳化斷筋點!Q708="","",最佳化斷筋點!Q708)</f>
        <v/>
      </c>
      <c r="AQ708" s="37" t="str">
        <f>IF(最佳化斷筋點!R708="","",最佳化斷筋點!R708)</f>
        <v/>
      </c>
      <c r="AR708" s="37" t="str">
        <f>IF(最佳化斷筋點!S708="","",最佳化斷筋點!S708)</f>
        <v/>
      </c>
      <c r="AS708" s="37" t="str">
        <f>IF(最佳化斷筋點!T708="","",最佳化斷筋點!T708)</f>
        <v/>
      </c>
      <c r="AT708" s="37" t="str">
        <f>IF(最佳化斷筋點!U708="","",最佳化斷筋點!U708)</f>
        <v/>
      </c>
      <c r="AU708" s="37" t="str">
        <f>IF(最佳化斷筋點!V708="","",最佳化斷筋點!V708)</f>
        <v/>
      </c>
      <c r="AV708" s="37" t="str">
        <f>IF(最佳化斷筋點!W708="","",最佳化斷筋點!W708)</f>
        <v/>
      </c>
      <c r="AW708" s="37" t="str">
        <f>IF(最佳化斷筋點!X708="","",最佳化斷筋點!X708)</f>
        <v/>
      </c>
      <c r="AZ708" s="37" t="s">
        <v>197</v>
      </c>
      <c r="BA708" s="37" t="s">
        <v>197</v>
      </c>
      <c r="BB708" s="37" t="s">
        <v>197</v>
      </c>
      <c r="BC708" s="37" t="s">
        <v>197</v>
      </c>
      <c r="BD708" s="37" t="s">
        <v>197</v>
      </c>
      <c r="BE708" s="37" t="s">
        <v>197</v>
      </c>
      <c r="BF708" s="37" t="s">
        <v>197</v>
      </c>
      <c r="BG708" s="37" t="s">
        <v>197</v>
      </c>
      <c r="BH708" s="37" t="s">
        <v>197</v>
      </c>
      <c r="BI708" s="37" t="s">
        <v>197</v>
      </c>
      <c r="BJ708" s="37" t="s">
        <v>197</v>
      </c>
      <c r="BK708" s="37" t="s">
        <v>197</v>
      </c>
      <c r="BL708" s="37" t="s">
        <v>197</v>
      </c>
      <c r="BM708" s="37" t="s">
        <v>197</v>
      </c>
      <c r="BN708" s="37" t="s">
        <v>197</v>
      </c>
      <c r="BO708" s="37" t="s">
        <v>197</v>
      </c>
      <c r="BP708" s="37" t="s">
        <v>197</v>
      </c>
      <c r="BQ708" s="37" t="s">
        <v>197</v>
      </c>
      <c r="BR708" s="37" t="s">
        <v>197</v>
      </c>
      <c r="BS708" s="37" t="s">
        <v>197</v>
      </c>
      <c r="BT708" s="37" t="s">
        <v>197</v>
      </c>
    </row>
    <row r="709" spans="5:72" x14ac:dyDescent="0.25">
      <c r="E709" s="36" t="s">
        <v>21</v>
      </c>
      <c r="F709" s="36">
        <f t="shared" si="232"/>
        <v>0</v>
      </c>
      <c r="G709" s="36">
        <f t="shared" si="233"/>
        <v>0</v>
      </c>
      <c r="H709" s="36">
        <f t="shared" si="234"/>
        <v>0</v>
      </c>
      <c r="I709" s="36">
        <f t="shared" si="235"/>
        <v>0</v>
      </c>
      <c r="J709" s="36">
        <f t="shared" si="236"/>
        <v>0</v>
      </c>
      <c r="K709" s="36">
        <f t="shared" si="237"/>
        <v>0</v>
      </c>
      <c r="L709" s="36">
        <f t="shared" si="238"/>
        <v>0</v>
      </c>
      <c r="M709" s="36">
        <f t="shared" si="239"/>
        <v>0</v>
      </c>
      <c r="N709" s="36">
        <f t="shared" si="240"/>
        <v>0</v>
      </c>
      <c r="O709" s="36">
        <f t="shared" si="241"/>
        <v>0</v>
      </c>
      <c r="P709" s="36">
        <f t="shared" si="242"/>
        <v>0</v>
      </c>
      <c r="Q709" s="36">
        <f t="shared" si="243"/>
        <v>0</v>
      </c>
      <c r="R709" s="36">
        <f t="shared" si="244"/>
        <v>0</v>
      </c>
      <c r="S709" s="36">
        <f t="shared" si="245"/>
        <v>0</v>
      </c>
      <c r="T709" s="36">
        <f t="shared" si="246"/>
        <v>0</v>
      </c>
      <c r="U709" s="36">
        <f t="shared" si="247"/>
        <v>0</v>
      </c>
      <c r="V709" s="36">
        <f t="shared" si="248"/>
        <v>0</v>
      </c>
      <c r="W709" s="36">
        <f t="shared" si="249"/>
        <v>0</v>
      </c>
      <c r="X709" s="36">
        <f t="shared" si="250"/>
        <v>0</v>
      </c>
      <c r="Y709" s="36">
        <f t="shared" si="251"/>
        <v>0</v>
      </c>
      <c r="Z709" s="36">
        <f t="shared" si="252"/>
        <v>0</v>
      </c>
      <c r="AB709" s="36" t="str">
        <f>IF(最佳化斷筋點!C709="","",最佳化斷筋點!C709)</f>
        <v>下層</v>
      </c>
      <c r="AC709" s="37">
        <f>IF(最佳化斷筋點!D709="","",最佳化斷筋點!D709)</f>
        <v>13</v>
      </c>
      <c r="AD709" s="37">
        <f>IF(最佳化斷筋點!E709="","",最佳化斷筋點!E709)</f>
        <v>13</v>
      </c>
      <c r="AE709" s="37">
        <f>IF(最佳化斷筋點!F709="","",最佳化斷筋點!F709)</f>
        <v>13</v>
      </c>
      <c r="AF709" s="37">
        <f>IF(最佳化斷筋點!G709="","",最佳化斷筋點!G709)</f>
        <v>13</v>
      </c>
      <c r="AG709" s="37">
        <f>IF(最佳化斷筋點!H709="","",最佳化斷筋點!H709)</f>
        <v>13</v>
      </c>
      <c r="AH709" s="37">
        <f>IF(最佳化斷筋點!I709="","",最佳化斷筋點!I709)</f>
        <v>12</v>
      </c>
      <c r="AI709" s="37">
        <f>IF(最佳化斷筋點!J709="","",最佳化斷筋點!J709)</f>
        <v>11</v>
      </c>
      <c r="AJ709" s="37">
        <f>IF(最佳化斷筋點!K709="","",最佳化斷筋點!K709)</f>
        <v>5</v>
      </c>
      <c r="AK709" s="37">
        <f>IF(最佳化斷筋點!L709="","",最佳化斷筋點!L709)</f>
        <v>5</v>
      </c>
      <c r="AL709" s="37">
        <f>IF(最佳化斷筋點!M709="","",最佳化斷筋點!M709)</f>
        <v>5</v>
      </c>
      <c r="AM709" s="37">
        <f>IF(最佳化斷筋點!N709="","",最佳化斷筋點!N709)</f>
        <v>5</v>
      </c>
      <c r="AN709" s="37">
        <f>IF(最佳化斷筋點!O709="","",最佳化斷筋點!O709)</f>
        <v>5</v>
      </c>
      <c r="AO709" s="37">
        <f>IF(最佳化斷筋點!P709="","",最佳化斷筋點!P709)</f>
        <v>5</v>
      </c>
      <c r="AP709" s="37">
        <f>IF(最佳化斷筋點!Q709="","",最佳化斷筋點!Q709)</f>
        <v>10</v>
      </c>
      <c r="AQ709" s="37">
        <f>IF(最佳化斷筋點!R709="","",最佳化斷筋點!R709)</f>
        <v>11</v>
      </c>
      <c r="AR709" s="37">
        <f>IF(最佳化斷筋點!S709="","",最佳化斷筋點!S709)</f>
        <v>13</v>
      </c>
      <c r="AS709" s="37">
        <f>IF(最佳化斷筋點!T709="","",最佳化斷筋點!T709)</f>
        <v>14</v>
      </c>
      <c r="AT709" s="37">
        <f>IF(最佳化斷筋點!U709="","",最佳化斷筋點!U709)</f>
        <v>14</v>
      </c>
      <c r="AU709" s="37">
        <f>IF(最佳化斷筋點!V709="","",最佳化斷筋點!V709)</f>
        <v>14</v>
      </c>
      <c r="AV709" s="37">
        <f>IF(最佳化斷筋點!W709="","",最佳化斷筋點!W709)</f>
        <v>14</v>
      </c>
      <c r="AW709" s="37">
        <f>IF(最佳化斷筋點!X709="","",最佳化斷筋點!X709)</f>
        <v>14</v>
      </c>
      <c r="AZ709" s="37">
        <v>13</v>
      </c>
      <c r="BA709" s="37">
        <v>13</v>
      </c>
      <c r="BB709" s="37">
        <v>13</v>
      </c>
      <c r="BC709" s="37">
        <v>13</v>
      </c>
      <c r="BD709" s="37">
        <v>13</v>
      </c>
      <c r="BE709" s="37">
        <v>12</v>
      </c>
      <c r="BF709" s="37">
        <v>11</v>
      </c>
      <c r="BG709" s="37">
        <v>5</v>
      </c>
      <c r="BH709" s="37">
        <v>5</v>
      </c>
      <c r="BI709" s="37">
        <v>5</v>
      </c>
      <c r="BJ709" s="37">
        <v>5</v>
      </c>
      <c r="BK709" s="37">
        <v>5</v>
      </c>
      <c r="BL709" s="37">
        <v>5</v>
      </c>
      <c r="BM709" s="37">
        <v>10</v>
      </c>
      <c r="BN709" s="37">
        <v>11</v>
      </c>
      <c r="BO709" s="37">
        <v>13</v>
      </c>
      <c r="BP709" s="37">
        <v>14</v>
      </c>
      <c r="BQ709" s="37">
        <v>14</v>
      </c>
      <c r="BR709" s="37">
        <v>14</v>
      </c>
      <c r="BS709" s="37">
        <v>14</v>
      </c>
      <c r="BT709" s="37">
        <v>14</v>
      </c>
    </row>
    <row r="710" spans="5:72" x14ac:dyDescent="0.25">
      <c r="E710" s="36"/>
      <c r="F710" s="36">
        <f t="shared" si="232"/>
        <v>0</v>
      </c>
      <c r="G710" s="36">
        <f t="shared" si="233"/>
        <v>0</v>
      </c>
      <c r="H710" s="36">
        <f t="shared" si="234"/>
        <v>0</v>
      </c>
      <c r="I710" s="36">
        <f t="shared" si="235"/>
        <v>0</v>
      </c>
      <c r="J710" s="36">
        <f t="shared" si="236"/>
        <v>0</v>
      </c>
      <c r="K710" s="36">
        <f t="shared" si="237"/>
        <v>0</v>
      </c>
      <c r="L710" s="36">
        <f t="shared" si="238"/>
        <v>0</v>
      </c>
      <c r="M710" s="36">
        <f t="shared" si="239"/>
        <v>0</v>
      </c>
      <c r="N710" s="36">
        <f t="shared" si="240"/>
        <v>0</v>
      </c>
      <c r="O710" s="36">
        <f t="shared" si="241"/>
        <v>0</v>
      </c>
      <c r="P710" s="36">
        <f t="shared" si="242"/>
        <v>0</v>
      </c>
      <c r="Q710" s="36">
        <f t="shared" si="243"/>
        <v>0</v>
      </c>
      <c r="R710" s="36">
        <f t="shared" si="244"/>
        <v>0</v>
      </c>
      <c r="S710" s="36">
        <f t="shared" si="245"/>
        <v>0</v>
      </c>
      <c r="T710" s="36">
        <f t="shared" si="246"/>
        <v>0</v>
      </c>
      <c r="U710" s="36">
        <f t="shared" si="247"/>
        <v>0</v>
      </c>
      <c r="V710" s="36">
        <f t="shared" si="248"/>
        <v>0</v>
      </c>
      <c r="W710" s="36">
        <f t="shared" si="249"/>
        <v>0</v>
      </c>
      <c r="X710" s="36">
        <f t="shared" si="250"/>
        <v>0</v>
      </c>
      <c r="Y710" s="36">
        <f t="shared" si="251"/>
        <v>0</v>
      </c>
      <c r="Z710" s="36">
        <f t="shared" si="252"/>
        <v>0</v>
      </c>
      <c r="AB710" s="36" t="str">
        <f>IF(最佳化斷筋點!C710="","",最佳化斷筋點!C710)</f>
        <v/>
      </c>
      <c r="AC710" s="37" t="str">
        <f>IF(最佳化斷筋點!D710="","",最佳化斷筋點!D710)</f>
        <v/>
      </c>
      <c r="AD710" s="37" t="str">
        <f>IF(最佳化斷筋點!E710="","",最佳化斷筋點!E710)</f>
        <v/>
      </c>
      <c r="AE710" s="37" t="str">
        <f>IF(最佳化斷筋點!F710="","",最佳化斷筋點!F710)</f>
        <v/>
      </c>
      <c r="AF710" s="37" t="str">
        <f>IF(最佳化斷筋點!G710="","",最佳化斷筋點!G710)</f>
        <v/>
      </c>
      <c r="AG710" s="37" t="str">
        <f>IF(最佳化斷筋點!H710="","",最佳化斷筋點!H710)</f>
        <v/>
      </c>
      <c r="AH710" s="37" t="str">
        <f>IF(最佳化斷筋點!I710="","",最佳化斷筋點!I710)</f>
        <v/>
      </c>
      <c r="AI710" s="37" t="str">
        <f>IF(最佳化斷筋點!J710="","",最佳化斷筋點!J710)</f>
        <v/>
      </c>
      <c r="AJ710" s="37" t="str">
        <f>IF(最佳化斷筋點!K710="","",最佳化斷筋點!K710)</f>
        <v/>
      </c>
      <c r="AK710" s="37" t="str">
        <f>IF(最佳化斷筋點!L710="","",最佳化斷筋點!L710)</f>
        <v/>
      </c>
      <c r="AL710" s="37" t="str">
        <f>IF(最佳化斷筋點!M710="","",最佳化斷筋點!M710)</f>
        <v/>
      </c>
      <c r="AM710" s="37" t="str">
        <f>IF(最佳化斷筋點!N710="","",最佳化斷筋點!N710)</f>
        <v/>
      </c>
      <c r="AN710" s="37" t="str">
        <f>IF(最佳化斷筋點!O710="","",最佳化斷筋點!O710)</f>
        <v/>
      </c>
      <c r="AO710" s="37" t="str">
        <f>IF(最佳化斷筋點!P710="","",最佳化斷筋點!P710)</f>
        <v/>
      </c>
      <c r="AP710" s="37" t="str">
        <f>IF(最佳化斷筋點!Q710="","",最佳化斷筋點!Q710)</f>
        <v/>
      </c>
      <c r="AQ710" s="37" t="str">
        <f>IF(最佳化斷筋點!R710="","",最佳化斷筋點!R710)</f>
        <v/>
      </c>
      <c r="AR710" s="37" t="str">
        <f>IF(最佳化斷筋點!S710="","",最佳化斷筋點!S710)</f>
        <v/>
      </c>
      <c r="AS710" s="37" t="str">
        <f>IF(最佳化斷筋點!T710="","",最佳化斷筋點!T710)</f>
        <v/>
      </c>
      <c r="AT710" s="37" t="str">
        <f>IF(最佳化斷筋點!U710="","",最佳化斷筋點!U710)</f>
        <v/>
      </c>
      <c r="AU710" s="37" t="str">
        <f>IF(最佳化斷筋點!V710="","",最佳化斷筋點!V710)</f>
        <v/>
      </c>
      <c r="AV710" s="37" t="str">
        <f>IF(最佳化斷筋點!W710="","",最佳化斷筋點!W710)</f>
        <v/>
      </c>
      <c r="AW710" s="37" t="str">
        <f>IF(最佳化斷筋點!X710="","",最佳化斷筋點!X710)</f>
        <v/>
      </c>
      <c r="AZ710" s="37" t="s">
        <v>197</v>
      </c>
      <c r="BA710" s="37" t="s">
        <v>197</v>
      </c>
      <c r="BB710" s="37" t="s">
        <v>197</v>
      </c>
      <c r="BC710" s="37" t="s">
        <v>197</v>
      </c>
      <c r="BD710" s="37" t="s">
        <v>197</v>
      </c>
      <c r="BE710" s="37" t="s">
        <v>197</v>
      </c>
      <c r="BF710" s="37" t="s">
        <v>197</v>
      </c>
      <c r="BG710" s="37" t="s">
        <v>197</v>
      </c>
      <c r="BH710" s="37" t="s">
        <v>197</v>
      </c>
      <c r="BI710" s="37" t="s">
        <v>197</v>
      </c>
      <c r="BJ710" s="37" t="s">
        <v>197</v>
      </c>
      <c r="BK710" s="37" t="s">
        <v>197</v>
      </c>
      <c r="BL710" s="37" t="s">
        <v>197</v>
      </c>
      <c r="BM710" s="37" t="s">
        <v>197</v>
      </c>
      <c r="BN710" s="37" t="s">
        <v>197</v>
      </c>
      <c r="BO710" s="37" t="s">
        <v>197</v>
      </c>
      <c r="BP710" s="37" t="s">
        <v>197</v>
      </c>
      <c r="BQ710" s="37" t="s">
        <v>197</v>
      </c>
      <c r="BR710" s="37" t="s">
        <v>197</v>
      </c>
      <c r="BS710" s="37" t="s">
        <v>197</v>
      </c>
      <c r="BT710" s="37" t="s">
        <v>197</v>
      </c>
    </row>
    <row r="711" spans="5:72" x14ac:dyDescent="0.25">
      <c r="E711" s="36" t="s">
        <v>20</v>
      </c>
      <c r="F711" s="36">
        <f t="shared" si="232"/>
        <v>0</v>
      </c>
      <c r="G711" s="36">
        <f t="shared" si="233"/>
        <v>0</v>
      </c>
      <c r="H711" s="36">
        <f t="shared" si="234"/>
        <v>0</v>
      </c>
      <c r="I711" s="36">
        <f t="shared" si="235"/>
        <v>0</v>
      </c>
      <c r="J711" s="36">
        <f t="shared" si="236"/>
        <v>0</v>
      </c>
      <c r="K711" s="36">
        <f t="shared" si="237"/>
        <v>0</v>
      </c>
      <c r="L711" s="36">
        <f t="shared" si="238"/>
        <v>0</v>
      </c>
      <c r="M711" s="36">
        <f t="shared" si="239"/>
        <v>0</v>
      </c>
      <c r="N711" s="36">
        <f t="shared" si="240"/>
        <v>0</v>
      </c>
      <c r="O711" s="36">
        <f t="shared" si="241"/>
        <v>0</v>
      </c>
      <c r="P711" s="36">
        <f t="shared" si="242"/>
        <v>0</v>
      </c>
      <c r="Q711" s="36">
        <f t="shared" si="243"/>
        <v>0</v>
      </c>
      <c r="R711" s="36">
        <f t="shared" si="244"/>
        <v>0</v>
      </c>
      <c r="S711" s="36">
        <f t="shared" si="245"/>
        <v>0</v>
      </c>
      <c r="T711" s="36">
        <f t="shared" si="246"/>
        <v>0</v>
      </c>
      <c r="U711" s="36">
        <f t="shared" si="247"/>
        <v>0</v>
      </c>
      <c r="V711" s="36">
        <f t="shared" si="248"/>
        <v>0</v>
      </c>
      <c r="W711" s="36">
        <f t="shared" si="249"/>
        <v>0</v>
      </c>
      <c r="X711" s="36">
        <f t="shared" si="250"/>
        <v>0</v>
      </c>
      <c r="Y711" s="36">
        <f t="shared" si="251"/>
        <v>0</v>
      </c>
      <c r="Z711" s="36">
        <f t="shared" si="252"/>
        <v>0</v>
      </c>
      <c r="AB711" s="36" t="str">
        <f>IF(最佳化斷筋點!C711="","",最佳化斷筋點!C711)</f>
        <v>上層</v>
      </c>
      <c r="AC711" s="37">
        <f>IF(最佳化斷筋點!D711="","",最佳化斷筋點!D711)</f>
        <v>9</v>
      </c>
      <c r="AD711" s="37">
        <f>IF(最佳化斷筋點!E711="","",最佳化斷筋點!E711)</f>
        <v>9</v>
      </c>
      <c r="AE711" s="37">
        <f>IF(最佳化斷筋點!F711="","",最佳化斷筋點!F711)</f>
        <v>9</v>
      </c>
      <c r="AF711" s="37">
        <f>IF(最佳化斷筋點!G711="","",最佳化斷筋點!G711)</f>
        <v>9</v>
      </c>
      <c r="AG711" s="37">
        <f>IF(最佳化斷筋點!H711="","",最佳化斷筋點!H711)</f>
        <v>9</v>
      </c>
      <c r="AH711" s="37">
        <f>IF(最佳化斷筋點!I711="","",最佳化斷筋點!I711)</f>
        <v>9</v>
      </c>
      <c r="AI711" s="37">
        <f>IF(最佳化斷筋點!J711="","",最佳化斷筋點!J711)</f>
        <v>9</v>
      </c>
      <c r="AJ711" s="37">
        <f>IF(最佳化斷筋點!K711="","",最佳化斷筋點!K711)</f>
        <v>9</v>
      </c>
      <c r="AK711" s="37">
        <f>IF(最佳化斷筋點!L711="","",最佳化斷筋點!L711)</f>
        <v>9</v>
      </c>
      <c r="AL711" s="37">
        <f>IF(最佳化斷筋點!M711="","",最佳化斷筋點!M711)</f>
        <v>8</v>
      </c>
      <c r="AM711" s="37">
        <f>IF(最佳化斷筋點!N711="","",最佳化斷筋點!N711)</f>
        <v>7</v>
      </c>
      <c r="AN711" s="37">
        <f>IF(最佳化斷筋點!O711="","",最佳化斷筋點!O711)</f>
        <v>7</v>
      </c>
      <c r="AO711" s="37">
        <f>IF(最佳化斷筋點!P711="","",最佳化斷筋點!P711)</f>
        <v>8</v>
      </c>
      <c r="AP711" s="37">
        <f>IF(最佳化斷筋點!Q711="","",最佳化斷筋點!Q711)</f>
        <v>9</v>
      </c>
      <c r="AQ711" s="37">
        <f>IF(最佳化斷筋點!R711="","",最佳化斷筋點!R711)</f>
        <v>9</v>
      </c>
      <c r="AR711" s="37">
        <f>IF(最佳化斷筋點!S711="","",最佳化斷筋點!S711)</f>
        <v>9</v>
      </c>
      <c r="AS711" s="37">
        <f>IF(最佳化斷筋點!T711="","",最佳化斷筋點!T711)</f>
        <v>9</v>
      </c>
      <c r="AT711" s="37">
        <f>IF(最佳化斷筋點!U711="","",最佳化斷筋點!U711)</f>
        <v>9</v>
      </c>
      <c r="AU711" s="37">
        <f>IF(最佳化斷筋點!V711="","",最佳化斷筋點!V711)</f>
        <v>9</v>
      </c>
      <c r="AV711" s="37">
        <f>IF(最佳化斷筋點!W711="","",最佳化斷筋點!W711)</f>
        <v>9</v>
      </c>
      <c r="AW711" s="37">
        <f>IF(最佳化斷筋點!X711="","",最佳化斷筋點!X711)</f>
        <v>9</v>
      </c>
      <c r="AZ711" s="37">
        <v>9</v>
      </c>
      <c r="BA711" s="37">
        <v>9</v>
      </c>
      <c r="BB711" s="37">
        <v>9</v>
      </c>
      <c r="BC711" s="37">
        <v>9</v>
      </c>
      <c r="BD711" s="37">
        <v>9</v>
      </c>
      <c r="BE711" s="37">
        <v>9</v>
      </c>
      <c r="BF711" s="37">
        <v>9</v>
      </c>
      <c r="BG711" s="37">
        <v>9</v>
      </c>
      <c r="BH711" s="37">
        <v>9</v>
      </c>
      <c r="BI711" s="37">
        <v>8</v>
      </c>
      <c r="BJ711" s="37">
        <v>7</v>
      </c>
      <c r="BK711" s="37">
        <v>7</v>
      </c>
      <c r="BL711" s="37">
        <v>8</v>
      </c>
      <c r="BM711" s="37">
        <v>9</v>
      </c>
      <c r="BN711" s="37">
        <v>9</v>
      </c>
      <c r="BO711" s="37">
        <v>9</v>
      </c>
      <c r="BP711" s="37">
        <v>9</v>
      </c>
      <c r="BQ711" s="37">
        <v>9</v>
      </c>
      <c r="BR711" s="37">
        <v>9</v>
      </c>
      <c r="BS711" s="37">
        <v>9</v>
      </c>
      <c r="BT711" s="37">
        <v>9</v>
      </c>
    </row>
    <row r="712" spans="5:72" x14ac:dyDescent="0.25">
      <c r="E712" s="36"/>
      <c r="F712" s="36">
        <f t="shared" si="232"/>
        <v>0</v>
      </c>
      <c r="G712" s="36">
        <f t="shared" si="233"/>
        <v>0</v>
      </c>
      <c r="H712" s="36">
        <f t="shared" si="234"/>
        <v>0</v>
      </c>
      <c r="I712" s="36">
        <f t="shared" si="235"/>
        <v>0</v>
      </c>
      <c r="J712" s="36">
        <f t="shared" si="236"/>
        <v>0</v>
      </c>
      <c r="K712" s="36">
        <f t="shared" si="237"/>
        <v>0</v>
      </c>
      <c r="L712" s="36">
        <f t="shared" si="238"/>
        <v>0</v>
      </c>
      <c r="M712" s="36">
        <f t="shared" si="239"/>
        <v>0</v>
      </c>
      <c r="N712" s="36">
        <f t="shared" si="240"/>
        <v>0</v>
      </c>
      <c r="O712" s="36">
        <f t="shared" si="241"/>
        <v>0</v>
      </c>
      <c r="P712" s="36">
        <f t="shared" si="242"/>
        <v>0</v>
      </c>
      <c r="Q712" s="36">
        <f t="shared" si="243"/>
        <v>0</v>
      </c>
      <c r="R712" s="36">
        <f t="shared" si="244"/>
        <v>0</v>
      </c>
      <c r="S712" s="36">
        <f t="shared" si="245"/>
        <v>0</v>
      </c>
      <c r="T712" s="36">
        <f t="shared" si="246"/>
        <v>0</v>
      </c>
      <c r="U712" s="36">
        <f t="shared" si="247"/>
        <v>0</v>
      </c>
      <c r="V712" s="36">
        <f t="shared" si="248"/>
        <v>0</v>
      </c>
      <c r="W712" s="36">
        <f t="shared" si="249"/>
        <v>0</v>
      </c>
      <c r="X712" s="36">
        <f t="shared" si="250"/>
        <v>0</v>
      </c>
      <c r="Y712" s="36">
        <f t="shared" si="251"/>
        <v>0</v>
      </c>
      <c r="Z712" s="36">
        <f t="shared" si="252"/>
        <v>0</v>
      </c>
      <c r="AB712" s="36" t="str">
        <f>IF(最佳化斷筋點!C712="","",最佳化斷筋點!C712)</f>
        <v/>
      </c>
      <c r="AC712" s="37" t="str">
        <f>IF(最佳化斷筋點!D712="","",最佳化斷筋點!D712)</f>
        <v/>
      </c>
      <c r="AD712" s="37" t="str">
        <f>IF(最佳化斷筋點!E712="","",最佳化斷筋點!E712)</f>
        <v/>
      </c>
      <c r="AE712" s="37" t="str">
        <f>IF(最佳化斷筋點!F712="","",最佳化斷筋點!F712)</f>
        <v/>
      </c>
      <c r="AF712" s="37" t="str">
        <f>IF(最佳化斷筋點!G712="","",最佳化斷筋點!G712)</f>
        <v/>
      </c>
      <c r="AG712" s="37" t="str">
        <f>IF(最佳化斷筋點!H712="","",最佳化斷筋點!H712)</f>
        <v/>
      </c>
      <c r="AH712" s="37" t="str">
        <f>IF(最佳化斷筋點!I712="","",最佳化斷筋點!I712)</f>
        <v/>
      </c>
      <c r="AI712" s="37" t="str">
        <f>IF(最佳化斷筋點!J712="","",最佳化斷筋點!J712)</f>
        <v/>
      </c>
      <c r="AJ712" s="37" t="str">
        <f>IF(最佳化斷筋點!K712="","",最佳化斷筋點!K712)</f>
        <v/>
      </c>
      <c r="AK712" s="37" t="str">
        <f>IF(最佳化斷筋點!L712="","",最佳化斷筋點!L712)</f>
        <v/>
      </c>
      <c r="AL712" s="37" t="str">
        <f>IF(最佳化斷筋點!M712="","",最佳化斷筋點!M712)</f>
        <v/>
      </c>
      <c r="AM712" s="37" t="str">
        <f>IF(最佳化斷筋點!N712="","",最佳化斷筋點!N712)</f>
        <v/>
      </c>
      <c r="AN712" s="37" t="str">
        <f>IF(最佳化斷筋點!O712="","",最佳化斷筋點!O712)</f>
        <v/>
      </c>
      <c r="AO712" s="37" t="str">
        <f>IF(最佳化斷筋點!P712="","",最佳化斷筋點!P712)</f>
        <v/>
      </c>
      <c r="AP712" s="37" t="str">
        <f>IF(最佳化斷筋點!Q712="","",最佳化斷筋點!Q712)</f>
        <v/>
      </c>
      <c r="AQ712" s="37" t="str">
        <f>IF(最佳化斷筋點!R712="","",最佳化斷筋點!R712)</f>
        <v/>
      </c>
      <c r="AR712" s="37" t="str">
        <f>IF(最佳化斷筋點!S712="","",最佳化斷筋點!S712)</f>
        <v/>
      </c>
      <c r="AS712" s="37" t="str">
        <f>IF(最佳化斷筋點!T712="","",最佳化斷筋點!T712)</f>
        <v/>
      </c>
      <c r="AT712" s="37" t="str">
        <f>IF(最佳化斷筋點!U712="","",最佳化斷筋點!U712)</f>
        <v/>
      </c>
      <c r="AU712" s="37" t="str">
        <f>IF(最佳化斷筋點!V712="","",最佳化斷筋點!V712)</f>
        <v/>
      </c>
      <c r="AV712" s="37" t="str">
        <f>IF(最佳化斷筋點!W712="","",最佳化斷筋點!W712)</f>
        <v/>
      </c>
      <c r="AW712" s="37" t="str">
        <f>IF(最佳化斷筋點!X712="","",最佳化斷筋點!X712)</f>
        <v/>
      </c>
      <c r="AZ712" s="37" t="s">
        <v>197</v>
      </c>
      <c r="BA712" s="37" t="s">
        <v>197</v>
      </c>
      <c r="BB712" s="37" t="s">
        <v>197</v>
      </c>
      <c r="BC712" s="37" t="s">
        <v>197</v>
      </c>
      <c r="BD712" s="37" t="s">
        <v>197</v>
      </c>
      <c r="BE712" s="37" t="s">
        <v>197</v>
      </c>
      <c r="BF712" s="37" t="s">
        <v>197</v>
      </c>
      <c r="BG712" s="37" t="s">
        <v>197</v>
      </c>
      <c r="BH712" s="37" t="s">
        <v>197</v>
      </c>
      <c r="BI712" s="37" t="s">
        <v>197</v>
      </c>
      <c r="BJ712" s="37" t="s">
        <v>197</v>
      </c>
      <c r="BK712" s="37" t="s">
        <v>197</v>
      </c>
      <c r="BL712" s="37" t="s">
        <v>197</v>
      </c>
      <c r="BM712" s="37" t="s">
        <v>197</v>
      </c>
      <c r="BN712" s="37" t="s">
        <v>197</v>
      </c>
      <c r="BO712" s="37" t="s">
        <v>197</v>
      </c>
      <c r="BP712" s="37" t="s">
        <v>197</v>
      </c>
      <c r="BQ712" s="37" t="s">
        <v>197</v>
      </c>
      <c r="BR712" s="37" t="s">
        <v>197</v>
      </c>
      <c r="BS712" s="37" t="s">
        <v>197</v>
      </c>
      <c r="BT712" s="37" t="s">
        <v>197</v>
      </c>
    </row>
    <row r="713" spans="5:72" x14ac:dyDescent="0.25">
      <c r="E713" s="36" t="s">
        <v>21</v>
      </c>
      <c r="F713" s="36">
        <f t="shared" si="232"/>
        <v>0</v>
      </c>
      <c r="G713" s="36">
        <f t="shared" si="233"/>
        <v>0</v>
      </c>
      <c r="H713" s="36">
        <f t="shared" si="234"/>
        <v>0</v>
      </c>
      <c r="I713" s="36">
        <f t="shared" si="235"/>
        <v>0</v>
      </c>
      <c r="J713" s="36">
        <f t="shared" si="236"/>
        <v>0</v>
      </c>
      <c r="K713" s="36">
        <f t="shared" si="237"/>
        <v>0</v>
      </c>
      <c r="L713" s="36">
        <f t="shared" si="238"/>
        <v>0</v>
      </c>
      <c r="M713" s="36">
        <f t="shared" si="239"/>
        <v>0</v>
      </c>
      <c r="N713" s="36">
        <f t="shared" si="240"/>
        <v>0</v>
      </c>
      <c r="O713" s="36">
        <f t="shared" si="241"/>
        <v>0</v>
      </c>
      <c r="P713" s="36">
        <f t="shared" si="242"/>
        <v>0</v>
      </c>
      <c r="Q713" s="36">
        <f t="shared" si="243"/>
        <v>0</v>
      </c>
      <c r="R713" s="36">
        <f t="shared" si="244"/>
        <v>0</v>
      </c>
      <c r="S713" s="36">
        <f t="shared" si="245"/>
        <v>0</v>
      </c>
      <c r="T713" s="36">
        <f t="shared" si="246"/>
        <v>0</v>
      </c>
      <c r="U713" s="36">
        <f t="shared" si="247"/>
        <v>0</v>
      </c>
      <c r="V713" s="36">
        <f t="shared" si="248"/>
        <v>0</v>
      </c>
      <c r="W713" s="36">
        <f t="shared" si="249"/>
        <v>0</v>
      </c>
      <c r="X713" s="36">
        <f t="shared" si="250"/>
        <v>0</v>
      </c>
      <c r="Y713" s="36">
        <f t="shared" si="251"/>
        <v>0</v>
      </c>
      <c r="Z713" s="36">
        <f t="shared" si="252"/>
        <v>0</v>
      </c>
      <c r="AB713" s="36" t="str">
        <f>IF(最佳化斷筋點!C713="","",最佳化斷筋點!C713)</f>
        <v>下層</v>
      </c>
      <c r="AC713" s="37">
        <f>IF(最佳化斷筋點!D713="","",最佳化斷筋點!D713)</f>
        <v>11</v>
      </c>
      <c r="AD713" s="37">
        <f>IF(最佳化斷筋點!E713="","",最佳化斷筋點!E713)</f>
        <v>11</v>
      </c>
      <c r="AE713" s="37">
        <f>IF(最佳化斷筋點!F713="","",最佳化斷筋點!F713)</f>
        <v>11</v>
      </c>
      <c r="AF713" s="37">
        <f>IF(最佳化斷筋點!G713="","",最佳化斷筋點!G713)</f>
        <v>11</v>
      </c>
      <c r="AG713" s="37">
        <f>IF(最佳化斷筋點!H713="","",最佳化斷筋點!H713)</f>
        <v>11</v>
      </c>
      <c r="AH713" s="37">
        <f>IF(最佳化斷筋點!I713="","",最佳化斷筋點!I713)</f>
        <v>11</v>
      </c>
      <c r="AI713" s="37">
        <f>IF(最佳化斷筋點!J713="","",最佳化斷筋點!J713)</f>
        <v>11</v>
      </c>
      <c r="AJ713" s="37">
        <f>IF(最佳化斷筋點!K713="","",最佳化斷筋點!K713)</f>
        <v>11</v>
      </c>
      <c r="AK713" s="37">
        <f>IF(最佳化斷筋點!L713="","",最佳化斷筋點!L713)</f>
        <v>11</v>
      </c>
      <c r="AL713" s="37">
        <f>IF(最佳化斷筋點!M713="","",最佳化斷筋點!M713)</f>
        <v>11</v>
      </c>
      <c r="AM713" s="37">
        <f>IF(最佳化斷筋點!N713="","",最佳化斷筋點!N713)</f>
        <v>11</v>
      </c>
      <c r="AN713" s="37">
        <f>IF(最佳化斷筋點!O713="","",最佳化斷筋點!O713)</f>
        <v>11</v>
      </c>
      <c r="AO713" s="37">
        <f>IF(最佳化斷筋點!P713="","",最佳化斷筋點!P713)</f>
        <v>11</v>
      </c>
      <c r="AP713" s="37">
        <f>IF(最佳化斷筋點!Q713="","",最佳化斷筋點!Q713)</f>
        <v>11</v>
      </c>
      <c r="AQ713" s="37">
        <f>IF(最佳化斷筋點!R713="","",最佳化斷筋點!R713)</f>
        <v>11</v>
      </c>
      <c r="AR713" s="37">
        <f>IF(最佳化斷筋點!S713="","",最佳化斷筋點!S713)</f>
        <v>11</v>
      </c>
      <c r="AS713" s="37">
        <f>IF(最佳化斷筋點!T713="","",最佳化斷筋點!T713)</f>
        <v>12</v>
      </c>
      <c r="AT713" s="37">
        <f>IF(最佳化斷筋點!U713="","",最佳化斷筋點!U713)</f>
        <v>12</v>
      </c>
      <c r="AU713" s="37">
        <f>IF(最佳化斷筋點!V713="","",最佳化斷筋點!V713)</f>
        <v>12</v>
      </c>
      <c r="AV713" s="37">
        <f>IF(最佳化斷筋點!W713="","",最佳化斷筋點!W713)</f>
        <v>12</v>
      </c>
      <c r="AW713" s="37">
        <f>IF(最佳化斷筋點!X713="","",最佳化斷筋點!X713)</f>
        <v>12</v>
      </c>
      <c r="AZ713" s="37">
        <v>11</v>
      </c>
      <c r="BA713" s="37">
        <v>11</v>
      </c>
      <c r="BB713" s="37">
        <v>11</v>
      </c>
      <c r="BC713" s="37">
        <v>11</v>
      </c>
      <c r="BD713" s="37">
        <v>11</v>
      </c>
      <c r="BE713" s="37">
        <v>11</v>
      </c>
      <c r="BF713" s="37">
        <v>11</v>
      </c>
      <c r="BG713" s="37">
        <v>11</v>
      </c>
      <c r="BH713" s="37">
        <v>11</v>
      </c>
      <c r="BI713" s="37">
        <v>11</v>
      </c>
      <c r="BJ713" s="37">
        <v>11</v>
      </c>
      <c r="BK713" s="37">
        <v>11</v>
      </c>
      <c r="BL713" s="37">
        <v>11</v>
      </c>
      <c r="BM713" s="37">
        <v>11</v>
      </c>
      <c r="BN713" s="37">
        <v>11</v>
      </c>
      <c r="BO713" s="37">
        <v>11</v>
      </c>
      <c r="BP713" s="37">
        <v>12</v>
      </c>
      <c r="BQ713" s="37">
        <v>12</v>
      </c>
      <c r="BR713" s="37">
        <v>12</v>
      </c>
      <c r="BS713" s="37">
        <v>12</v>
      </c>
      <c r="BT713" s="37">
        <v>12</v>
      </c>
    </row>
    <row r="714" spans="5:72" x14ac:dyDescent="0.25">
      <c r="E714" s="36"/>
      <c r="F714" s="36">
        <f t="shared" si="232"/>
        <v>0</v>
      </c>
      <c r="G714" s="36">
        <f t="shared" si="233"/>
        <v>0</v>
      </c>
      <c r="H714" s="36">
        <f t="shared" si="234"/>
        <v>0</v>
      </c>
      <c r="I714" s="36">
        <f t="shared" si="235"/>
        <v>0</v>
      </c>
      <c r="J714" s="36">
        <f t="shared" si="236"/>
        <v>0</v>
      </c>
      <c r="K714" s="36">
        <f t="shared" si="237"/>
        <v>0</v>
      </c>
      <c r="L714" s="36">
        <f t="shared" si="238"/>
        <v>0</v>
      </c>
      <c r="M714" s="36">
        <f t="shared" si="239"/>
        <v>0</v>
      </c>
      <c r="N714" s="36">
        <f t="shared" si="240"/>
        <v>0</v>
      </c>
      <c r="O714" s="36">
        <f t="shared" si="241"/>
        <v>0</v>
      </c>
      <c r="P714" s="36">
        <f t="shared" si="242"/>
        <v>0</v>
      </c>
      <c r="Q714" s="36">
        <f t="shared" si="243"/>
        <v>0</v>
      </c>
      <c r="R714" s="36">
        <f t="shared" si="244"/>
        <v>0</v>
      </c>
      <c r="S714" s="36">
        <f t="shared" si="245"/>
        <v>0</v>
      </c>
      <c r="T714" s="36">
        <f t="shared" si="246"/>
        <v>0</v>
      </c>
      <c r="U714" s="36">
        <f t="shared" si="247"/>
        <v>0</v>
      </c>
      <c r="V714" s="36">
        <f t="shared" si="248"/>
        <v>0</v>
      </c>
      <c r="W714" s="36">
        <f t="shared" si="249"/>
        <v>0</v>
      </c>
      <c r="X714" s="36">
        <f t="shared" si="250"/>
        <v>0</v>
      </c>
      <c r="Y714" s="36">
        <f t="shared" si="251"/>
        <v>0</v>
      </c>
      <c r="Z714" s="36">
        <f t="shared" si="252"/>
        <v>0</v>
      </c>
      <c r="AB714" s="36" t="str">
        <f>IF(最佳化斷筋點!C714="","",最佳化斷筋點!C714)</f>
        <v/>
      </c>
      <c r="AC714" s="37" t="str">
        <f>IF(最佳化斷筋點!D714="","",最佳化斷筋點!D714)</f>
        <v/>
      </c>
      <c r="AD714" s="37" t="str">
        <f>IF(最佳化斷筋點!E714="","",最佳化斷筋點!E714)</f>
        <v/>
      </c>
      <c r="AE714" s="37" t="str">
        <f>IF(最佳化斷筋點!F714="","",最佳化斷筋點!F714)</f>
        <v/>
      </c>
      <c r="AF714" s="37" t="str">
        <f>IF(最佳化斷筋點!G714="","",最佳化斷筋點!G714)</f>
        <v/>
      </c>
      <c r="AG714" s="37" t="str">
        <f>IF(最佳化斷筋點!H714="","",最佳化斷筋點!H714)</f>
        <v/>
      </c>
      <c r="AH714" s="37" t="str">
        <f>IF(最佳化斷筋點!I714="","",最佳化斷筋點!I714)</f>
        <v/>
      </c>
      <c r="AI714" s="37" t="str">
        <f>IF(最佳化斷筋點!J714="","",最佳化斷筋點!J714)</f>
        <v/>
      </c>
      <c r="AJ714" s="37" t="str">
        <f>IF(最佳化斷筋點!K714="","",最佳化斷筋點!K714)</f>
        <v/>
      </c>
      <c r="AK714" s="37" t="str">
        <f>IF(最佳化斷筋點!L714="","",最佳化斷筋點!L714)</f>
        <v/>
      </c>
      <c r="AL714" s="37" t="str">
        <f>IF(最佳化斷筋點!M714="","",最佳化斷筋點!M714)</f>
        <v/>
      </c>
      <c r="AM714" s="37" t="str">
        <f>IF(最佳化斷筋點!N714="","",最佳化斷筋點!N714)</f>
        <v/>
      </c>
      <c r="AN714" s="37" t="str">
        <f>IF(最佳化斷筋點!O714="","",最佳化斷筋點!O714)</f>
        <v/>
      </c>
      <c r="AO714" s="37" t="str">
        <f>IF(最佳化斷筋點!P714="","",最佳化斷筋點!P714)</f>
        <v/>
      </c>
      <c r="AP714" s="37" t="str">
        <f>IF(最佳化斷筋點!Q714="","",最佳化斷筋點!Q714)</f>
        <v/>
      </c>
      <c r="AQ714" s="37" t="str">
        <f>IF(最佳化斷筋點!R714="","",最佳化斷筋點!R714)</f>
        <v/>
      </c>
      <c r="AR714" s="37" t="str">
        <f>IF(最佳化斷筋點!S714="","",最佳化斷筋點!S714)</f>
        <v/>
      </c>
      <c r="AS714" s="37" t="str">
        <f>IF(最佳化斷筋點!T714="","",最佳化斷筋點!T714)</f>
        <v/>
      </c>
      <c r="AT714" s="37" t="str">
        <f>IF(最佳化斷筋點!U714="","",最佳化斷筋點!U714)</f>
        <v/>
      </c>
      <c r="AU714" s="37" t="str">
        <f>IF(最佳化斷筋點!V714="","",最佳化斷筋點!V714)</f>
        <v/>
      </c>
      <c r="AV714" s="37" t="str">
        <f>IF(最佳化斷筋點!W714="","",最佳化斷筋點!W714)</f>
        <v/>
      </c>
      <c r="AW714" s="37" t="str">
        <f>IF(最佳化斷筋點!X714="","",最佳化斷筋點!X714)</f>
        <v/>
      </c>
      <c r="AZ714" s="37" t="s">
        <v>197</v>
      </c>
      <c r="BA714" s="37" t="s">
        <v>197</v>
      </c>
      <c r="BB714" s="37" t="s">
        <v>197</v>
      </c>
      <c r="BC714" s="37" t="s">
        <v>197</v>
      </c>
      <c r="BD714" s="37" t="s">
        <v>197</v>
      </c>
      <c r="BE714" s="37" t="s">
        <v>197</v>
      </c>
      <c r="BF714" s="37" t="s">
        <v>197</v>
      </c>
      <c r="BG714" s="37" t="s">
        <v>197</v>
      </c>
      <c r="BH714" s="37" t="s">
        <v>197</v>
      </c>
      <c r="BI714" s="37" t="s">
        <v>197</v>
      </c>
      <c r="BJ714" s="37" t="s">
        <v>197</v>
      </c>
      <c r="BK714" s="37" t="s">
        <v>197</v>
      </c>
      <c r="BL714" s="37" t="s">
        <v>197</v>
      </c>
      <c r="BM714" s="37" t="s">
        <v>197</v>
      </c>
      <c r="BN714" s="37" t="s">
        <v>197</v>
      </c>
      <c r="BO714" s="37" t="s">
        <v>197</v>
      </c>
      <c r="BP714" s="37" t="s">
        <v>197</v>
      </c>
      <c r="BQ714" s="37" t="s">
        <v>197</v>
      </c>
      <c r="BR714" s="37" t="s">
        <v>197</v>
      </c>
      <c r="BS714" s="37" t="s">
        <v>197</v>
      </c>
      <c r="BT714" s="37" t="s">
        <v>197</v>
      </c>
    </row>
    <row r="715" spans="5:72" x14ac:dyDescent="0.25">
      <c r="E715" s="36" t="s">
        <v>20</v>
      </c>
      <c r="F715" s="36">
        <f t="shared" si="232"/>
        <v>0</v>
      </c>
      <c r="G715" s="36">
        <f t="shared" si="233"/>
        <v>0</v>
      </c>
      <c r="H715" s="36">
        <f t="shared" si="234"/>
        <v>0</v>
      </c>
      <c r="I715" s="36">
        <f t="shared" si="235"/>
        <v>0</v>
      </c>
      <c r="J715" s="36">
        <f t="shared" si="236"/>
        <v>0</v>
      </c>
      <c r="K715" s="36">
        <f t="shared" si="237"/>
        <v>0</v>
      </c>
      <c r="L715" s="36">
        <f t="shared" si="238"/>
        <v>0</v>
      </c>
      <c r="M715" s="36">
        <f t="shared" si="239"/>
        <v>0</v>
      </c>
      <c r="N715" s="36">
        <f t="shared" si="240"/>
        <v>0</v>
      </c>
      <c r="O715" s="36">
        <f t="shared" si="241"/>
        <v>0</v>
      </c>
      <c r="P715" s="36">
        <f t="shared" si="242"/>
        <v>0</v>
      </c>
      <c r="Q715" s="36">
        <f t="shared" si="243"/>
        <v>0</v>
      </c>
      <c r="R715" s="36">
        <f t="shared" si="244"/>
        <v>0</v>
      </c>
      <c r="S715" s="36">
        <f t="shared" si="245"/>
        <v>0</v>
      </c>
      <c r="T715" s="36">
        <f t="shared" si="246"/>
        <v>0</v>
      </c>
      <c r="U715" s="36">
        <f t="shared" si="247"/>
        <v>0</v>
      </c>
      <c r="V715" s="36">
        <f t="shared" si="248"/>
        <v>0</v>
      </c>
      <c r="W715" s="36">
        <f t="shared" si="249"/>
        <v>0</v>
      </c>
      <c r="X715" s="36">
        <f t="shared" si="250"/>
        <v>0</v>
      </c>
      <c r="Y715" s="36">
        <f t="shared" si="251"/>
        <v>0</v>
      </c>
      <c r="Z715" s="36">
        <f t="shared" si="252"/>
        <v>0</v>
      </c>
      <c r="AB715" s="36" t="str">
        <f>IF(最佳化斷筋點!C715="","",最佳化斷筋點!C715)</f>
        <v>上層</v>
      </c>
      <c r="AC715" s="37">
        <f>IF(最佳化斷筋點!D715="","",最佳化斷筋點!D715)</f>
        <v>9</v>
      </c>
      <c r="AD715" s="37">
        <f>IF(最佳化斷筋點!E715="","",最佳化斷筋點!E715)</f>
        <v>9</v>
      </c>
      <c r="AE715" s="37">
        <f>IF(最佳化斷筋點!F715="","",最佳化斷筋點!F715)</f>
        <v>9</v>
      </c>
      <c r="AF715" s="37">
        <f>IF(最佳化斷筋點!G715="","",最佳化斷筋點!G715)</f>
        <v>9</v>
      </c>
      <c r="AG715" s="37">
        <f>IF(最佳化斷筋點!H715="","",最佳化斷筋點!H715)</f>
        <v>9</v>
      </c>
      <c r="AH715" s="37">
        <f>IF(最佳化斷筋點!I715="","",最佳化斷筋點!I715)</f>
        <v>9</v>
      </c>
      <c r="AI715" s="37">
        <f>IF(最佳化斷筋點!J715="","",最佳化斷筋點!J715)</f>
        <v>9</v>
      </c>
      <c r="AJ715" s="37">
        <f>IF(最佳化斷筋點!K715="","",最佳化斷筋點!K715)</f>
        <v>4</v>
      </c>
      <c r="AK715" s="37">
        <f>IF(最佳化斷筋點!L715="","",最佳化斷筋點!L715)</f>
        <v>4</v>
      </c>
      <c r="AL715" s="37">
        <f>IF(最佳化斷筋點!M715="","",最佳化斷筋點!M715)</f>
        <v>4</v>
      </c>
      <c r="AM715" s="37">
        <f>IF(最佳化斷筋點!N715="","",最佳化斷筋點!N715)</f>
        <v>4</v>
      </c>
      <c r="AN715" s="37">
        <f>IF(最佳化斷筋點!O715="","",最佳化斷筋點!O715)</f>
        <v>4</v>
      </c>
      <c r="AO715" s="37">
        <f>IF(最佳化斷筋點!P715="","",最佳化斷筋點!P715)</f>
        <v>4</v>
      </c>
      <c r="AP715" s="37">
        <f>IF(最佳化斷筋點!Q715="","",最佳化斷筋點!Q715)</f>
        <v>8</v>
      </c>
      <c r="AQ715" s="37">
        <f>IF(最佳化斷筋點!R715="","",最佳化斷筋點!R715)</f>
        <v>9</v>
      </c>
      <c r="AR715" s="37">
        <f>IF(最佳化斷筋點!S715="","",最佳化斷筋點!S715)</f>
        <v>10</v>
      </c>
      <c r="AS715" s="37">
        <f>IF(最佳化斷筋點!T715="","",最佳化斷筋點!T715)</f>
        <v>10</v>
      </c>
      <c r="AT715" s="37">
        <f>IF(最佳化斷筋點!U715="","",最佳化斷筋點!U715)</f>
        <v>10</v>
      </c>
      <c r="AU715" s="37">
        <f>IF(最佳化斷筋點!V715="","",最佳化斷筋點!V715)</f>
        <v>10</v>
      </c>
      <c r="AV715" s="37">
        <f>IF(最佳化斷筋點!W715="","",最佳化斷筋點!W715)</f>
        <v>10</v>
      </c>
      <c r="AW715" s="37">
        <f>IF(最佳化斷筋點!X715="","",最佳化斷筋點!X715)</f>
        <v>10</v>
      </c>
      <c r="AZ715" s="37">
        <v>9</v>
      </c>
      <c r="BA715" s="37">
        <v>9</v>
      </c>
      <c r="BB715" s="37">
        <v>9</v>
      </c>
      <c r="BC715" s="37">
        <v>9</v>
      </c>
      <c r="BD715" s="37">
        <v>9</v>
      </c>
      <c r="BE715" s="37">
        <v>9</v>
      </c>
      <c r="BF715" s="37">
        <v>9</v>
      </c>
      <c r="BG715" s="37">
        <v>4</v>
      </c>
      <c r="BH715" s="37">
        <v>4</v>
      </c>
      <c r="BI715" s="37">
        <v>4</v>
      </c>
      <c r="BJ715" s="37">
        <v>4</v>
      </c>
      <c r="BK715" s="37">
        <v>4</v>
      </c>
      <c r="BL715" s="37">
        <v>4</v>
      </c>
      <c r="BM715" s="37">
        <v>8</v>
      </c>
      <c r="BN715" s="37">
        <v>9</v>
      </c>
      <c r="BO715" s="37">
        <v>10</v>
      </c>
      <c r="BP715" s="37">
        <v>10</v>
      </c>
      <c r="BQ715" s="37">
        <v>10</v>
      </c>
      <c r="BR715" s="37">
        <v>10</v>
      </c>
      <c r="BS715" s="37">
        <v>10</v>
      </c>
      <c r="BT715" s="37">
        <v>10</v>
      </c>
    </row>
    <row r="716" spans="5:72" x14ac:dyDescent="0.25">
      <c r="E716" s="36"/>
      <c r="F716" s="36">
        <f t="shared" si="232"/>
        <v>0</v>
      </c>
      <c r="G716" s="36">
        <f t="shared" si="233"/>
        <v>0</v>
      </c>
      <c r="H716" s="36">
        <f t="shared" si="234"/>
        <v>0</v>
      </c>
      <c r="I716" s="36">
        <f t="shared" si="235"/>
        <v>0</v>
      </c>
      <c r="J716" s="36">
        <f t="shared" si="236"/>
        <v>0</v>
      </c>
      <c r="K716" s="36">
        <f t="shared" si="237"/>
        <v>0</v>
      </c>
      <c r="L716" s="36">
        <f t="shared" si="238"/>
        <v>0</v>
      </c>
      <c r="M716" s="36">
        <f t="shared" si="239"/>
        <v>0</v>
      </c>
      <c r="N716" s="36">
        <f t="shared" si="240"/>
        <v>0</v>
      </c>
      <c r="O716" s="36">
        <f t="shared" si="241"/>
        <v>0</v>
      </c>
      <c r="P716" s="36">
        <f t="shared" si="242"/>
        <v>0</v>
      </c>
      <c r="Q716" s="36">
        <f t="shared" si="243"/>
        <v>0</v>
      </c>
      <c r="R716" s="36">
        <f t="shared" si="244"/>
        <v>0</v>
      </c>
      <c r="S716" s="36">
        <f t="shared" si="245"/>
        <v>0</v>
      </c>
      <c r="T716" s="36">
        <f t="shared" si="246"/>
        <v>0</v>
      </c>
      <c r="U716" s="36">
        <f t="shared" si="247"/>
        <v>0</v>
      </c>
      <c r="V716" s="36">
        <f t="shared" si="248"/>
        <v>0</v>
      </c>
      <c r="W716" s="36">
        <f t="shared" si="249"/>
        <v>0</v>
      </c>
      <c r="X716" s="36">
        <f t="shared" si="250"/>
        <v>0</v>
      </c>
      <c r="Y716" s="36">
        <f t="shared" si="251"/>
        <v>0</v>
      </c>
      <c r="Z716" s="36">
        <f t="shared" si="252"/>
        <v>0</v>
      </c>
      <c r="AB716" s="36" t="str">
        <f>IF(最佳化斷筋點!C716="","",最佳化斷筋點!C716)</f>
        <v/>
      </c>
      <c r="AC716" s="37" t="str">
        <f>IF(最佳化斷筋點!D716="","",最佳化斷筋點!D716)</f>
        <v/>
      </c>
      <c r="AD716" s="37" t="str">
        <f>IF(最佳化斷筋點!E716="","",最佳化斷筋點!E716)</f>
        <v/>
      </c>
      <c r="AE716" s="37" t="str">
        <f>IF(最佳化斷筋點!F716="","",最佳化斷筋點!F716)</f>
        <v/>
      </c>
      <c r="AF716" s="37" t="str">
        <f>IF(最佳化斷筋點!G716="","",最佳化斷筋點!G716)</f>
        <v/>
      </c>
      <c r="AG716" s="37" t="str">
        <f>IF(最佳化斷筋點!H716="","",最佳化斷筋點!H716)</f>
        <v/>
      </c>
      <c r="AH716" s="37" t="str">
        <f>IF(最佳化斷筋點!I716="","",最佳化斷筋點!I716)</f>
        <v/>
      </c>
      <c r="AI716" s="37" t="str">
        <f>IF(最佳化斷筋點!J716="","",最佳化斷筋點!J716)</f>
        <v/>
      </c>
      <c r="AJ716" s="37" t="str">
        <f>IF(最佳化斷筋點!K716="","",最佳化斷筋點!K716)</f>
        <v/>
      </c>
      <c r="AK716" s="37" t="str">
        <f>IF(最佳化斷筋點!L716="","",最佳化斷筋點!L716)</f>
        <v/>
      </c>
      <c r="AL716" s="37" t="str">
        <f>IF(最佳化斷筋點!M716="","",最佳化斷筋點!M716)</f>
        <v/>
      </c>
      <c r="AM716" s="37" t="str">
        <f>IF(最佳化斷筋點!N716="","",最佳化斷筋點!N716)</f>
        <v/>
      </c>
      <c r="AN716" s="37" t="str">
        <f>IF(最佳化斷筋點!O716="","",最佳化斷筋點!O716)</f>
        <v/>
      </c>
      <c r="AO716" s="37" t="str">
        <f>IF(最佳化斷筋點!P716="","",最佳化斷筋點!P716)</f>
        <v/>
      </c>
      <c r="AP716" s="37" t="str">
        <f>IF(最佳化斷筋點!Q716="","",最佳化斷筋點!Q716)</f>
        <v/>
      </c>
      <c r="AQ716" s="37" t="str">
        <f>IF(最佳化斷筋點!R716="","",最佳化斷筋點!R716)</f>
        <v/>
      </c>
      <c r="AR716" s="37" t="str">
        <f>IF(最佳化斷筋點!S716="","",最佳化斷筋點!S716)</f>
        <v/>
      </c>
      <c r="AS716" s="37" t="str">
        <f>IF(最佳化斷筋點!T716="","",最佳化斷筋點!T716)</f>
        <v/>
      </c>
      <c r="AT716" s="37" t="str">
        <f>IF(最佳化斷筋點!U716="","",最佳化斷筋點!U716)</f>
        <v/>
      </c>
      <c r="AU716" s="37" t="str">
        <f>IF(最佳化斷筋點!V716="","",最佳化斷筋點!V716)</f>
        <v/>
      </c>
      <c r="AV716" s="37" t="str">
        <f>IF(最佳化斷筋點!W716="","",最佳化斷筋點!W716)</f>
        <v/>
      </c>
      <c r="AW716" s="37" t="str">
        <f>IF(最佳化斷筋點!X716="","",最佳化斷筋點!X716)</f>
        <v/>
      </c>
      <c r="AZ716" s="37" t="s">
        <v>197</v>
      </c>
      <c r="BA716" s="37" t="s">
        <v>197</v>
      </c>
      <c r="BB716" s="37" t="s">
        <v>197</v>
      </c>
      <c r="BC716" s="37" t="s">
        <v>197</v>
      </c>
      <c r="BD716" s="37" t="s">
        <v>197</v>
      </c>
      <c r="BE716" s="37" t="s">
        <v>197</v>
      </c>
      <c r="BF716" s="37" t="s">
        <v>197</v>
      </c>
      <c r="BG716" s="37" t="s">
        <v>197</v>
      </c>
      <c r="BH716" s="37" t="s">
        <v>197</v>
      </c>
      <c r="BI716" s="37" t="s">
        <v>197</v>
      </c>
      <c r="BJ716" s="37" t="s">
        <v>197</v>
      </c>
      <c r="BK716" s="37" t="s">
        <v>197</v>
      </c>
      <c r="BL716" s="37" t="s">
        <v>197</v>
      </c>
      <c r="BM716" s="37" t="s">
        <v>197</v>
      </c>
      <c r="BN716" s="37" t="s">
        <v>197</v>
      </c>
      <c r="BO716" s="37" t="s">
        <v>197</v>
      </c>
      <c r="BP716" s="37" t="s">
        <v>197</v>
      </c>
      <c r="BQ716" s="37" t="s">
        <v>197</v>
      </c>
      <c r="BR716" s="37" t="s">
        <v>197</v>
      </c>
      <c r="BS716" s="37" t="s">
        <v>197</v>
      </c>
      <c r="BT716" s="37" t="s">
        <v>197</v>
      </c>
    </row>
    <row r="717" spans="5:72" x14ac:dyDescent="0.25">
      <c r="E717" s="36" t="s">
        <v>21</v>
      </c>
      <c r="F717" s="36">
        <f t="shared" si="232"/>
        <v>0</v>
      </c>
      <c r="G717" s="36">
        <f t="shared" si="233"/>
        <v>0</v>
      </c>
      <c r="H717" s="36">
        <f t="shared" si="234"/>
        <v>0</v>
      </c>
      <c r="I717" s="36">
        <f t="shared" si="235"/>
        <v>0</v>
      </c>
      <c r="J717" s="36">
        <f t="shared" si="236"/>
        <v>0</v>
      </c>
      <c r="K717" s="36">
        <f t="shared" si="237"/>
        <v>0</v>
      </c>
      <c r="L717" s="36">
        <f t="shared" si="238"/>
        <v>0</v>
      </c>
      <c r="M717" s="36">
        <f t="shared" si="239"/>
        <v>0</v>
      </c>
      <c r="N717" s="36">
        <f t="shared" si="240"/>
        <v>0</v>
      </c>
      <c r="O717" s="36">
        <f t="shared" si="241"/>
        <v>0</v>
      </c>
      <c r="P717" s="36">
        <f t="shared" si="242"/>
        <v>0</v>
      </c>
      <c r="Q717" s="36">
        <f t="shared" si="243"/>
        <v>0</v>
      </c>
      <c r="R717" s="36">
        <f t="shared" si="244"/>
        <v>0</v>
      </c>
      <c r="S717" s="36">
        <f t="shared" si="245"/>
        <v>0</v>
      </c>
      <c r="T717" s="36">
        <f t="shared" si="246"/>
        <v>0</v>
      </c>
      <c r="U717" s="36">
        <f t="shared" si="247"/>
        <v>0</v>
      </c>
      <c r="V717" s="36">
        <f t="shared" si="248"/>
        <v>0</v>
      </c>
      <c r="W717" s="36">
        <f t="shared" si="249"/>
        <v>0</v>
      </c>
      <c r="X717" s="36">
        <f t="shared" si="250"/>
        <v>0</v>
      </c>
      <c r="Y717" s="36">
        <f t="shared" si="251"/>
        <v>0</v>
      </c>
      <c r="Z717" s="36">
        <f t="shared" si="252"/>
        <v>0</v>
      </c>
      <c r="AB717" s="36" t="str">
        <f>IF(最佳化斷筋點!C717="","",最佳化斷筋點!C717)</f>
        <v>下層</v>
      </c>
      <c r="AC717" s="37">
        <f>IF(最佳化斷筋點!D717="","",最佳化斷筋點!D717)</f>
        <v>13</v>
      </c>
      <c r="AD717" s="37">
        <f>IF(最佳化斷筋點!E717="","",最佳化斷筋點!E717)</f>
        <v>13</v>
      </c>
      <c r="AE717" s="37">
        <f>IF(最佳化斷筋點!F717="","",最佳化斷筋點!F717)</f>
        <v>13</v>
      </c>
      <c r="AF717" s="37">
        <f>IF(最佳化斷筋點!G717="","",最佳化斷筋點!G717)</f>
        <v>13</v>
      </c>
      <c r="AG717" s="37">
        <f>IF(最佳化斷筋點!H717="","",最佳化斷筋點!H717)</f>
        <v>12</v>
      </c>
      <c r="AH717" s="37">
        <f>IF(最佳化斷筋點!I717="","",最佳化斷筋點!I717)</f>
        <v>11</v>
      </c>
      <c r="AI717" s="37">
        <f>IF(最佳化斷筋點!J717="","",最佳化斷筋點!J717)</f>
        <v>10</v>
      </c>
      <c r="AJ717" s="37">
        <f>IF(最佳化斷筋點!K717="","",最佳化斷筋點!K717)</f>
        <v>5</v>
      </c>
      <c r="AK717" s="37">
        <f>IF(最佳化斷筋點!L717="","",最佳化斷筋點!L717)</f>
        <v>5</v>
      </c>
      <c r="AL717" s="37">
        <f>IF(最佳化斷筋點!M717="","",最佳化斷筋點!M717)</f>
        <v>5</v>
      </c>
      <c r="AM717" s="37">
        <f>IF(最佳化斷筋點!N717="","",最佳化斷筋點!N717)</f>
        <v>5</v>
      </c>
      <c r="AN717" s="37">
        <f>IF(最佳化斷筋點!O717="","",最佳化斷筋點!O717)</f>
        <v>5</v>
      </c>
      <c r="AO717" s="37">
        <f>IF(最佳化斷筋點!P717="","",最佳化斷筋點!P717)</f>
        <v>5</v>
      </c>
      <c r="AP717" s="37">
        <f>IF(最佳化斷筋點!Q717="","",最佳化斷筋點!Q717)</f>
        <v>7</v>
      </c>
      <c r="AQ717" s="37">
        <f>IF(最佳化斷筋點!R717="","",最佳化斷筋點!R717)</f>
        <v>8</v>
      </c>
      <c r="AR717" s="37">
        <f>IF(最佳化斷筋點!S717="","",最佳化斷筋點!S717)</f>
        <v>9</v>
      </c>
      <c r="AS717" s="37">
        <f>IF(最佳化斷筋點!T717="","",最佳化斷筋點!T717)</f>
        <v>10</v>
      </c>
      <c r="AT717" s="37">
        <f>IF(最佳化斷筋點!U717="","",最佳化斷筋點!U717)</f>
        <v>11</v>
      </c>
      <c r="AU717" s="37">
        <f>IF(最佳化斷筋點!V717="","",最佳化斷筋點!V717)</f>
        <v>11</v>
      </c>
      <c r="AV717" s="37">
        <f>IF(最佳化斷筋點!W717="","",最佳化斷筋點!W717)</f>
        <v>11</v>
      </c>
      <c r="AW717" s="37">
        <f>IF(最佳化斷筋點!X717="","",最佳化斷筋點!X717)</f>
        <v>11</v>
      </c>
      <c r="AZ717" s="37">
        <v>13</v>
      </c>
      <c r="BA717" s="37">
        <v>13</v>
      </c>
      <c r="BB717" s="37">
        <v>13</v>
      </c>
      <c r="BC717" s="37">
        <v>13</v>
      </c>
      <c r="BD717" s="37">
        <v>12</v>
      </c>
      <c r="BE717" s="37">
        <v>11</v>
      </c>
      <c r="BF717" s="37">
        <v>10</v>
      </c>
      <c r="BG717" s="37">
        <v>5</v>
      </c>
      <c r="BH717" s="37">
        <v>5</v>
      </c>
      <c r="BI717" s="37">
        <v>5</v>
      </c>
      <c r="BJ717" s="37">
        <v>5</v>
      </c>
      <c r="BK717" s="37">
        <v>5</v>
      </c>
      <c r="BL717" s="37">
        <v>5</v>
      </c>
      <c r="BM717" s="37">
        <v>7</v>
      </c>
      <c r="BN717" s="37">
        <v>8</v>
      </c>
      <c r="BO717" s="37">
        <v>9</v>
      </c>
      <c r="BP717" s="37">
        <v>10</v>
      </c>
      <c r="BQ717" s="37">
        <v>11</v>
      </c>
      <c r="BR717" s="37">
        <v>11</v>
      </c>
      <c r="BS717" s="37">
        <v>11</v>
      </c>
      <c r="BT717" s="37">
        <v>11</v>
      </c>
    </row>
    <row r="718" spans="5:72" x14ac:dyDescent="0.25">
      <c r="E718" s="36"/>
      <c r="F718" s="36">
        <f t="shared" si="232"/>
        <v>0</v>
      </c>
      <c r="G718" s="36">
        <f t="shared" si="233"/>
        <v>0</v>
      </c>
      <c r="H718" s="36">
        <f t="shared" si="234"/>
        <v>0</v>
      </c>
      <c r="I718" s="36">
        <f t="shared" si="235"/>
        <v>0</v>
      </c>
      <c r="J718" s="36">
        <f t="shared" si="236"/>
        <v>0</v>
      </c>
      <c r="K718" s="36">
        <f t="shared" si="237"/>
        <v>0</v>
      </c>
      <c r="L718" s="36">
        <f t="shared" si="238"/>
        <v>0</v>
      </c>
      <c r="M718" s="36">
        <f t="shared" si="239"/>
        <v>0</v>
      </c>
      <c r="N718" s="36">
        <f t="shared" si="240"/>
        <v>0</v>
      </c>
      <c r="O718" s="36">
        <f t="shared" si="241"/>
        <v>0</v>
      </c>
      <c r="P718" s="36">
        <f t="shared" si="242"/>
        <v>0</v>
      </c>
      <c r="Q718" s="36">
        <f t="shared" si="243"/>
        <v>0</v>
      </c>
      <c r="R718" s="36">
        <f t="shared" si="244"/>
        <v>0</v>
      </c>
      <c r="S718" s="36">
        <f t="shared" si="245"/>
        <v>0</v>
      </c>
      <c r="T718" s="36">
        <f t="shared" si="246"/>
        <v>0</v>
      </c>
      <c r="U718" s="36">
        <f t="shared" si="247"/>
        <v>0</v>
      </c>
      <c r="V718" s="36">
        <f t="shared" si="248"/>
        <v>0</v>
      </c>
      <c r="W718" s="36">
        <f t="shared" si="249"/>
        <v>0</v>
      </c>
      <c r="X718" s="36">
        <f t="shared" si="250"/>
        <v>0</v>
      </c>
      <c r="Y718" s="36">
        <f t="shared" si="251"/>
        <v>0</v>
      </c>
      <c r="Z718" s="36">
        <f t="shared" si="252"/>
        <v>0</v>
      </c>
      <c r="AB718" s="36" t="str">
        <f>IF(最佳化斷筋點!C718="","",最佳化斷筋點!C718)</f>
        <v/>
      </c>
      <c r="AC718" s="37" t="str">
        <f>IF(最佳化斷筋點!D718="","",最佳化斷筋點!D718)</f>
        <v/>
      </c>
      <c r="AD718" s="37" t="str">
        <f>IF(最佳化斷筋點!E718="","",最佳化斷筋點!E718)</f>
        <v/>
      </c>
      <c r="AE718" s="37" t="str">
        <f>IF(最佳化斷筋點!F718="","",最佳化斷筋點!F718)</f>
        <v/>
      </c>
      <c r="AF718" s="37" t="str">
        <f>IF(最佳化斷筋點!G718="","",最佳化斷筋點!G718)</f>
        <v/>
      </c>
      <c r="AG718" s="37" t="str">
        <f>IF(最佳化斷筋點!H718="","",最佳化斷筋點!H718)</f>
        <v/>
      </c>
      <c r="AH718" s="37" t="str">
        <f>IF(最佳化斷筋點!I718="","",最佳化斷筋點!I718)</f>
        <v/>
      </c>
      <c r="AI718" s="37" t="str">
        <f>IF(最佳化斷筋點!J718="","",最佳化斷筋點!J718)</f>
        <v/>
      </c>
      <c r="AJ718" s="37" t="str">
        <f>IF(最佳化斷筋點!K718="","",最佳化斷筋點!K718)</f>
        <v/>
      </c>
      <c r="AK718" s="37" t="str">
        <f>IF(最佳化斷筋點!L718="","",最佳化斷筋點!L718)</f>
        <v/>
      </c>
      <c r="AL718" s="37" t="str">
        <f>IF(最佳化斷筋點!M718="","",最佳化斷筋點!M718)</f>
        <v/>
      </c>
      <c r="AM718" s="37" t="str">
        <f>IF(最佳化斷筋點!N718="","",最佳化斷筋點!N718)</f>
        <v/>
      </c>
      <c r="AN718" s="37" t="str">
        <f>IF(最佳化斷筋點!O718="","",最佳化斷筋點!O718)</f>
        <v/>
      </c>
      <c r="AO718" s="37" t="str">
        <f>IF(最佳化斷筋點!P718="","",最佳化斷筋點!P718)</f>
        <v/>
      </c>
      <c r="AP718" s="37" t="str">
        <f>IF(最佳化斷筋點!Q718="","",最佳化斷筋點!Q718)</f>
        <v/>
      </c>
      <c r="AQ718" s="37" t="str">
        <f>IF(最佳化斷筋點!R718="","",最佳化斷筋點!R718)</f>
        <v/>
      </c>
      <c r="AR718" s="37" t="str">
        <f>IF(最佳化斷筋點!S718="","",最佳化斷筋點!S718)</f>
        <v/>
      </c>
      <c r="AS718" s="37" t="str">
        <f>IF(最佳化斷筋點!T718="","",最佳化斷筋點!T718)</f>
        <v/>
      </c>
      <c r="AT718" s="37" t="str">
        <f>IF(最佳化斷筋點!U718="","",最佳化斷筋點!U718)</f>
        <v/>
      </c>
      <c r="AU718" s="37" t="str">
        <f>IF(最佳化斷筋點!V718="","",最佳化斷筋點!V718)</f>
        <v/>
      </c>
      <c r="AV718" s="37" t="str">
        <f>IF(最佳化斷筋點!W718="","",最佳化斷筋點!W718)</f>
        <v/>
      </c>
      <c r="AW718" s="37" t="str">
        <f>IF(最佳化斷筋點!X718="","",最佳化斷筋點!X718)</f>
        <v/>
      </c>
      <c r="AZ718" s="37" t="s">
        <v>197</v>
      </c>
      <c r="BA718" s="37" t="s">
        <v>197</v>
      </c>
      <c r="BB718" s="37" t="s">
        <v>197</v>
      </c>
      <c r="BC718" s="37" t="s">
        <v>197</v>
      </c>
      <c r="BD718" s="37" t="s">
        <v>197</v>
      </c>
      <c r="BE718" s="37" t="s">
        <v>197</v>
      </c>
      <c r="BF718" s="37" t="s">
        <v>197</v>
      </c>
      <c r="BG718" s="37" t="s">
        <v>197</v>
      </c>
      <c r="BH718" s="37" t="s">
        <v>197</v>
      </c>
      <c r="BI718" s="37" t="s">
        <v>197</v>
      </c>
      <c r="BJ718" s="37" t="s">
        <v>197</v>
      </c>
      <c r="BK718" s="37" t="s">
        <v>197</v>
      </c>
      <c r="BL718" s="37" t="s">
        <v>197</v>
      </c>
      <c r="BM718" s="37" t="s">
        <v>197</v>
      </c>
      <c r="BN718" s="37" t="s">
        <v>197</v>
      </c>
      <c r="BO718" s="37" t="s">
        <v>197</v>
      </c>
      <c r="BP718" s="37" t="s">
        <v>197</v>
      </c>
      <c r="BQ718" s="37" t="s">
        <v>197</v>
      </c>
      <c r="BR718" s="37" t="s">
        <v>197</v>
      </c>
      <c r="BS718" s="37" t="s">
        <v>197</v>
      </c>
      <c r="BT718" s="37" t="s">
        <v>197</v>
      </c>
    </row>
    <row r="719" spans="5:72" x14ac:dyDescent="0.25">
      <c r="E719" s="36" t="s">
        <v>20</v>
      </c>
      <c r="F719" s="36">
        <f t="shared" si="232"/>
        <v>0</v>
      </c>
      <c r="G719" s="36">
        <f t="shared" si="233"/>
        <v>0</v>
      </c>
      <c r="H719" s="36">
        <f t="shared" si="234"/>
        <v>0</v>
      </c>
      <c r="I719" s="36">
        <f t="shared" si="235"/>
        <v>0</v>
      </c>
      <c r="J719" s="36">
        <f t="shared" si="236"/>
        <v>0</v>
      </c>
      <c r="K719" s="36">
        <f t="shared" si="237"/>
        <v>0</v>
      </c>
      <c r="L719" s="36">
        <f t="shared" si="238"/>
        <v>0</v>
      </c>
      <c r="M719" s="36">
        <f t="shared" si="239"/>
        <v>0</v>
      </c>
      <c r="N719" s="36">
        <f t="shared" si="240"/>
        <v>0</v>
      </c>
      <c r="O719" s="36">
        <f t="shared" si="241"/>
        <v>0</v>
      </c>
      <c r="P719" s="36">
        <f t="shared" si="242"/>
        <v>0</v>
      </c>
      <c r="Q719" s="36">
        <f t="shared" si="243"/>
        <v>0</v>
      </c>
      <c r="R719" s="36">
        <f t="shared" si="244"/>
        <v>0</v>
      </c>
      <c r="S719" s="36">
        <f t="shared" si="245"/>
        <v>0</v>
      </c>
      <c r="T719" s="36">
        <f t="shared" si="246"/>
        <v>0</v>
      </c>
      <c r="U719" s="36">
        <f t="shared" si="247"/>
        <v>0</v>
      </c>
      <c r="V719" s="36">
        <f t="shared" si="248"/>
        <v>0</v>
      </c>
      <c r="W719" s="36">
        <f t="shared" si="249"/>
        <v>0</v>
      </c>
      <c r="X719" s="36">
        <f t="shared" si="250"/>
        <v>0</v>
      </c>
      <c r="Y719" s="36">
        <f t="shared" si="251"/>
        <v>0</v>
      </c>
      <c r="Z719" s="36">
        <f t="shared" si="252"/>
        <v>0</v>
      </c>
      <c r="AB719" s="36" t="str">
        <f>IF(最佳化斷筋點!C719="","",最佳化斷筋點!C719)</f>
        <v>上層</v>
      </c>
      <c r="AC719" s="37">
        <f>IF(最佳化斷筋點!D719="","",最佳化斷筋點!D719)</f>
        <v>8</v>
      </c>
      <c r="AD719" s="37">
        <f>IF(最佳化斷筋點!E719="","",最佳化斷筋點!E719)</f>
        <v>8</v>
      </c>
      <c r="AE719" s="37">
        <f>IF(最佳化斷筋點!F719="","",最佳化斷筋點!F719)</f>
        <v>8</v>
      </c>
      <c r="AF719" s="37">
        <f>IF(最佳化斷筋點!G719="","",最佳化斷筋點!G719)</f>
        <v>8</v>
      </c>
      <c r="AG719" s="37">
        <f>IF(最佳化斷筋點!H719="","",最佳化斷筋點!H719)</f>
        <v>8</v>
      </c>
      <c r="AH719" s="37">
        <f>IF(最佳化斷筋點!I719="","",最佳化斷筋點!I719)</f>
        <v>8</v>
      </c>
      <c r="AI719" s="37">
        <f>IF(最佳化斷筋點!J719="","",最佳化斷筋點!J719)</f>
        <v>7</v>
      </c>
      <c r="AJ719" s="37">
        <f>IF(最佳化斷筋點!K719="","",最佳化斷筋點!K719)</f>
        <v>4</v>
      </c>
      <c r="AK719" s="37">
        <f>IF(最佳化斷筋點!L719="","",最佳化斷筋點!L719)</f>
        <v>4</v>
      </c>
      <c r="AL719" s="37">
        <f>IF(最佳化斷筋點!M719="","",最佳化斷筋點!M719)</f>
        <v>4</v>
      </c>
      <c r="AM719" s="37">
        <f>IF(最佳化斷筋點!N719="","",最佳化斷筋點!N719)</f>
        <v>4</v>
      </c>
      <c r="AN719" s="37">
        <f>IF(最佳化斷筋點!O719="","",最佳化斷筋點!O719)</f>
        <v>4</v>
      </c>
      <c r="AO719" s="37">
        <f>IF(最佳化斷筋點!P719="","",最佳化斷筋點!P719)</f>
        <v>4</v>
      </c>
      <c r="AP719" s="37">
        <f>IF(最佳化斷筋點!Q719="","",最佳化斷筋點!Q719)</f>
        <v>7</v>
      </c>
      <c r="AQ719" s="37">
        <f>IF(最佳化斷筋點!R719="","",最佳化斷筋點!R719)</f>
        <v>8</v>
      </c>
      <c r="AR719" s="37">
        <f>IF(最佳化斷筋點!S719="","",最佳化斷筋點!S719)</f>
        <v>9</v>
      </c>
      <c r="AS719" s="37">
        <f>IF(最佳化斷筋點!T719="","",最佳化斷筋點!T719)</f>
        <v>10</v>
      </c>
      <c r="AT719" s="37">
        <f>IF(最佳化斷筋點!U719="","",最佳化斷筋點!U719)</f>
        <v>10</v>
      </c>
      <c r="AU719" s="37">
        <f>IF(最佳化斷筋點!V719="","",最佳化斷筋點!V719)</f>
        <v>10</v>
      </c>
      <c r="AV719" s="37">
        <f>IF(最佳化斷筋點!W719="","",最佳化斷筋點!W719)</f>
        <v>10</v>
      </c>
      <c r="AW719" s="37">
        <f>IF(最佳化斷筋點!X719="","",最佳化斷筋點!X719)</f>
        <v>10</v>
      </c>
      <c r="AZ719" s="37">
        <v>8</v>
      </c>
      <c r="BA719" s="37">
        <v>8</v>
      </c>
      <c r="BB719" s="37">
        <v>8</v>
      </c>
      <c r="BC719" s="37">
        <v>8</v>
      </c>
      <c r="BD719" s="37">
        <v>8</v>
      </c>
      <c r="BE719" s="37">
        <v>8</v>
      </c>
      <c r="BF719" s="37">
        <v>7</v>
      </c>
      <c r="BG719" s="37">
        <v>4</v>
      </c>
      <c r="BH719" s="37">
        <v>4</v>
      </c>
      <c r="BI719" s="37">
        <v>4</v>
      </c>
      <c r="BJ719" s="37">
        <v>4</v>
      </c>
      <c r="BK719" s="37">
        <v>4</v>
      </c>
      <c r="BL719" s="37">
        <v>4</v>
      </c>
      <c r="BM719" s="37">
        <v>7</v>
      </c>
      <c r="BN719" s="37">
        <v>8</v>
      </c>
      <c r="BO719" s="37">
        <v>9</v>
      </c>
      <c r="BP719" s="37">
        <v>10</v>
      </c>
      <c r="BQ719" s="37">
        <v>10</v>
      </c>
      <c r="BR719" s="37">
        <v>10</v>
      </c>
      <c r="BS719" s="37">
        <v>10</v>
      </c>
      <c r="BT719" s="37">
        <v>10</v>
      </c>
    </row>
    <row r="720" spans="5:72" x14ac:dyDescent="0.25">
      <c r="E720" s="36"/>
      <c r="F720" s="36">
        <f t="shared" si="232"/>
        <v>0</v>
      </c>
      <c r="G720" s="36">
        <f t="shared" si="233"/>
        <v>0</v>
      </c>
      <c r="H720" s="36">
        <f t="shared" si="234"/>
        <v>0</v>
      </c>
      <c r="I720" s="36">
        <f t="shared" si="235"/>
        <v>0</v>
      </c>
      <c r="J720" s="36">
        <f t="shared" si="236"/>
        <v>0</v>
      </c>
      <c r="K720" s="36">
        <f t="shared" si="237"/>
        <v>0</v>
      </c>
      <c r="L720" s="36">
        <f t="shared" si="238"/>
        <v>0</v>
      </c>
      <c r="M720" s="36">
        <f t="shared" si="239"/>
        <v>0</v>
      </c>
      <c r="N720" s="36">
        <f t="shared" si="240"/>
        <v>0</v>
      </c>
      <c r="O720" s="36">
        <f t="shared" si="241"/>
        <v>0</v>
      </c>
      <c r="P720" s="36">
        <f t="shared" si="242"/>
        <v>0</v>
      </c>
      <c r="Q720" s="36">
        <f t="shared" si="243"/>
        <v>0</v>
      </c>
      <c r="R720" s="36">
        <f t="shared" si="244"/>
        <v>0</v>
      </c>
      <c r="S720" s="36">
        <f t="shared" si="245"/>
        <v>0</v>
      </c>
      <c r="T720" s="36">
        <f t="shared" si="246"/>
        <v>0</v>
      </c>
      <c r="U720" s="36">
        <f t="shared" si="247"/>
        <v>0</v>
      </c>
      <c r="V720" s="36">
        <f t="shared" si="248"/>
        <v>0</v>
      </c>
      <c r="W720" s="36">
        <f t="shared" si="249"/>
        <v>0</v>
      </c>
      <c r="X720" s="36">
        <f t="shared" si="250"/>
        <v>0</v>
      </c>
      <c r="Y720" s="36">
        <f t="shared" si="251"/>
        <v>0</v>
      </c>
      <c r="Z720" s="36">
        <f t="shared" si="252"/>
        <v>0</v>
      </c>
      <c r="AB720" s="36" t="str">
        <f>IF(最佳化斷筋點!C720="","",最佳化斷筋點!C720)</f>
        <v/>
      </c>
      <c r="AC720" s="37" t="str">
        <f>IF(最佳化斷筋點!D720="","",最佳化斷筋點!D720)</f>
        <v/>
      </c>
      <c r="AD720" s="37" t="str">
        <f>IF(最佳化斷筋點!E720="","",最佳化斷筋點!E720)</f>
        <v/>
      </c>
      <c r="AE720" s="37" t="str">
        <f>IF(最佳化斷筋點!F720="","",最佳化斷筋點!F720)</f>
        <v/>
      </c>
      <c r="AF720" s="37" t="str">
        <f>IF(最佳化斷筋點!G720="","",最佳化斷筋點!G720)</f>
        <v/>
      </c>
      <c r="AG720" s="37" t="str">
        <f>IF(最佳化斷筋點!H720="","",最佳化斷筋點!H720)</f>
        <v/>
      </c>
      <c r="AH720" s="37" t="str">
        <f>IF(最佳化斷筋點!I720="","",最佳化斷筋點!I720)</f>
        <v/>
      </c>
      <c r="AI720" s="37" t="str">
        <f>IF(最佳化斷筋點!J720="","",最佳化斷筋點!J720)</f>
        <v/>
      </c>
      <c r="AJ720" s="37" t="str">
        <f>IF(最佳化斷筋點!K720="","",最佳化斷筋點!K720)</f>
        <v/>
      </c>
      <c r="AK720" s="37" t="str">
        <f>IF(最佳化斷筋點!L720="","",最佳化斷筋點!L720)</f>
        <v/>
      </c>
      <c r="AL720" s="37" t="str">
        <f>IF(最佳化斷筋點!M720="","",最佳化斷筋點!M720)</f>
        <v/>
      </c>
      <c r="AM720" s="37" t="str">
        <f>IF(最佳化斷筋點!N720="","",最佳化斷筋點!N720)</f>
        <v/>
      </c>
      <c r="AN720" s="37" t="str">
        <f>IF(最佳化斷筋點!O720="","",最佳化斷筋點!O720)</f>
        <v/>
      </c>
      <c r="AO720" s="37" t="str">
        <f>IF(最佳化斷筋點!P720="","",最佳化斷筋點!P720)</f>
        <v/>
      </c>
      <c r="AP720" s="37" t="str">
        <f>IF(最佳化斷筋點!Q720="","",最佳化斷筋點!Q720)</f>
        <v/>
      </c>
      <c r="AQ720" s="37" t="str">
        <f>IF(最佳化斷筋點!R720="","",最佳化斷筋點!R720)</f>
        <v/>
      </c>
      <c r="AR720" s="37" t="str">
        <f>IF(最佳化斷筋點!S720="","",最佳化斷筋點!S720)</f>
        <v/>
      </c>
      <c r="AS720" s="37" t="str">
        <f>IF(最佳化斷筋點!T720="","",最佳化斷筋點!T720)</f>
        <v/>
      </c>
      <c r="AT720" s="37" t="str">
        <f>IF(最佳化斷筋點!U720="","",最佳化斷筋點!U720)</f>
        <v/>
      </c>
      <c r="AU720" s="37" t="str">
        <f>IF(最佳化斷筋點!V720="","",最佳化斷筋點!V720)</f>
        <v/>
      </c>
      <c r="AV720" s="37" t="str">
        <f>IF(最佳化斷筋點!W720="","",最佳化斷筋點!W720)</f>
        <v/>
      </c>
      <c r="AW720" s="37" t="str">
        <f>IF(最佳化斷筋點!X720="","",最佳化斷筋點!X720)</f>
        <v/>
      </c>
      <c r="AZ720" s="37" t="s">
        <v>197</v>
      </c>
      <c r="BA720" s="37" t="s">
        <v>197</v>
      </c>
      <c r="BB720" s="37" t="s">
        <v>197</v>
      </c>
      <c r="BC720" s="37" t="s">
        <v>197</v>
      </c>
      <c r="BD720" s="37" t="s">
        <v>197</v>
      </c>
      <c r="BE720" s="37" t="s">
        <v>197</v>
      </c>
      <c r="BF720" s="37" t="s">
        <v>197</v>
      </c>
      <c r="BG720" s="37" t="s">
        <v>197</v>
      </c>
      <c r="BH720" s="37" t="s">
        <v>197</v>
      </c>
      <c r="BI720" s="37" t="s">
        <v>197</v>
      </c>
      <c r="BJ720" s="37" t="s">
        <v>197</v>
      </c>
      <c r="BK720" s="37" t="s">
        <v>197</v>
      </c>
      <c r="BL720" s="37" t="s">
        <v>197</v>
      </c>
      <c r="BM720" s="37" t="s">
        <v>197</v>
      </c>
      <c r="BN720" s="37" t="s">
        <v>197</v>
      </c>
      <c r="BO720" s="37" t="s">
        <v>197</v>
      </c>
      <c r="BP720" s="37" t="s">
        <v>197</v>
      </c>
      <c r="BQ720" s="37" t="s">
        <v>197</v>
      </c>
      <c r="BR720" s="37" t="s">
        <v>197</v>
      </c>
      <c r="BS720" s="37" t="s">
        <v>197</v>
      </c>
      <c r="BT720" s="37" t="s">
        <v>197</v>
      </c>
    </row>
    <row r="721" spans="5:72" x14ac:dyDescent="0.25">
      <c r="E721" s="36" t="s">
        <v>21</v>
      </c>
      <c r="F721" s="36">
        <f t="shared" si="232"/>
        <v>0</v>
      </c>
      <c r="G721" s="36">
        <f t="shared" si="233"/>
        <v>0</v>
      </c>
      <c r="H721" s="36">
        <f t="shared" si="234"/>
        <v>0</v>
      </c>
      <c r="I721" s="36">
        <f t="shared" si="235"/>
        <v>0</v>
      </c>
      <c r="J721" s="36">
        <f t="shared" si="236"/>
        <v>0</v>
      </c>
      <c r="K721" s="36">
        <f t="shared" si="237"/>
        <v>0</v>
      </c>
      <c r="L721" s="36">
        <f t="shared" si="238"/>
        <v>0</v>
      </c>
      <c r="M721" s="36">
        <f t="shared" si="239"/>
        <v>0</v>
      </c>
      <c r="N721" s="36">
        <f t="shared" si="240"/>
        <v>0</v>
      </c>
      <c r="O721" s="36">
        <f t="shared" si="241"/>
        <v>0</v>
      </c>
      <c r="P721" s="36">
        <f t="shared" si="242"/>
        <v>0</v>
      </c>
      <c r="Q721" s="36">
        <f t="shared" si="243"/>
        <v>0</v>
      </c>
      <c r="R721" s="36">
        <f t="shared" si="244"/>
        <v>0</v>
      </c>
      <c r="S721" s="36">
        <f t="shared" si="245"/>
        <v>0</v>
      </c>
      <c r="T721" s="36">
        <f t="shared" si="246"/>
        <v>0</v>
      </c>
      <c r="U721" s="36">
        <f t="shared" si="247"/>
        <v>0</v>
      </c>
      <c r="V721" s="36">
        <f t="shared" si="248"/>
        <v>0</v>
      </c>
      <c r="W721" s="36">
        <f t="shared" si="249"/>
        <v>0</v>
      </c>
      <c r="X721" s="36">
        <f t="shared" si="250"/>
        <v>0</v>
      </c>
      <c r="Y721" s="36">
        <f t="shared" si="251"/>
        <v>0</v>
      </c>
      <c r="Z721" s="36">
        <f t="shared" si="252"/>
        <v>0</v>
      </c>
      <c r="AB721" s="36" t="str">
        <f>IF(最佳化斷筋點!C721="","",最佳化斷筋點!C721)</f>
        <v>下層</v>
      </c>
      <c r="AC721" s="37">
        <f>IF(最佳化斷筋點!D721="","",最佳化斷筋點!D721)</f>
        <v>9</v>
      </c>
      <c r="AD721" s="37">
        <f>IF(最佳化斷筋點!E721="","",最佳化斷筋點!E721)</f>
        <v>9</v>
      </c>
      <c r="AE721" s="37">
        <f>IF(最佳化斷筋點!F721="","",最佳化斷筋點!F721)</f>
        <v>9</v>
      </c>
      <c r="AF721" s="37">
        <f>IF(最佳化斷筋點!G721="","",最佳化斷筋點!G721)</f>
        <v>9</v>
      </c>
      <c r="AG721" s="37">
        <f>IF(最佳化斷筋點!H721="","",最佳化斷筋點!H721)</f>
        <v>8</v>
      </c>
      <c r="AH721" s="37">
        <f>IF(最佳化斷筋點!I721="","",最佳化斷筋點!I721)</f>
        <v>7</v>
      </c>
      <c r="AI721" s="37">
        <f>IF(最佳化斷筋點!J721="","",最佳化斷筋點!J721)</f>
        <v>6</v>
      </c>
      <c r="AJ721" s="37">
        <f>IF(最佳化斷筋點!K721="","",最佳化斷筋點!K721)</f>
        <v>5</v>
      </c>
      <c r="AK721" s="37">
        <f>IF(最佳化斷筋點!L721="","",最佳化斷筋點!L721)</f>
        <v>5</v>
      </c>
      <c r="AL721" s="37">
        <f>IF(最佳化斷筋點!M721="","",最佳化斷筋點!M721)</f>
        <v>5</v>
      </c>
      <c r="AM721" s="37">
        <f>IF(最佳化斷筋點!N721="","",最佳化斷筋點!N721)</f>
        <v>5</v>
      </c>
      <c r="AN721" s="37">
        <f>IF(最佳化斷筋點!O721="","",最佳化斷筋點!O721)</f>
        <v>5</v>
      </c>
      <c r="AO721" s="37">
        <f>IF(最佳化斷筋點!P721="","",最佳化斷筋點!P721)</f>
        <v>5</v>
      </c>
      <c r="AP721" s="37">
        <f>IF(最佳化斷筋點!Q721="","",最佳化斷筋點!Q721)</f>
        <v>5</v>
      </c>
      <c r="AQ721" s="37">
        <f>IF(最佳化斷筋點!R721="","",最佳化斷筋點!R721)</f>
        <v>6</v>
      </c>
      <c r="AR721" s="37">
        <f>IF(最佳化斷筋點!S721="","",最佳化斷筋點!S721)</f>
        <v>6</v>
      </c>
      <c r="AS721" s="37">
        <f>IF(最佳化斷筋點!T721="","",最佳化斷筋點!T721)</f>
        <v>7</v>
      </c>
      <c r="AT721" s="37">
        <f>IF(最佳化斷筋點!U721="","",最佳化斷筋點!U721)</f>
        <v>8</v>
      </c>
      <c r="AU721" s="37">
        <f>IF(最佳化斷筋點!V721="","",最佳化斷筋點!V721)</f>
        <v>8</v>
      </c>
      <c r="AV721" s="37">
        <f>IF(最佳化斷筋點!W721="","",最佳化斷筋點!W721)</f>
        <v>8</v>
      </c>
      <c r="AW721" s="37">
        <f>IF(最佳化斷筋點!X721="","",最佳化斷筋點!X721)</f>
        <v>8</v>
      </c>
      <c r="AZ721" s="37">
        <v>9</v>
      </c>
      <c r="BA721" s="37">
        <v>9</v>
      </c>
      <c r="BB721" s="37">
        <v>9</v>
      </c>
      <c r="BC721" s="37">
        <v>9</v>
      </c>
      <c r="BD721" s="37">
        <v>8</v>
      </c>
      <c r="BE721" s="37">
        <v>7</v>
      </c>
      <c r="BF721" s="37">
        <v>6</v>
      </c>
      <c r="BG721" s="37">
        <v>5</v>
      </c>
      <c r="BH721" s="37">
        <v>5</v>
      </c>
      <c r="BI721" s="37">
        <v>5</v>
      </c>
      <c r="BJ721" s="37">
        <v>5</v>
      </c>
      <c r="BK721" s="37">
        <v>5</v>
      </c>
      <c r="BL721" s="37">
        <v>5</v>
      </c>
      <c r="BM721" s="37">
        <v>5</v>
      </c>
      <c r="BN721" s="37">
        <v>6</v>
      </c>
      <c r="BO721" s="37">
        <v>6</v>
      </c>
      <c r="BP721" s="37">
        <v>7</v>
      </c>
      <c r="BQ721" s="37">
        <v>8</v>
      </c>
      <c r="BR721" s="37">
        <v>8</v>
      </c>
      <c r="BS721" s="37">
        <v>8</v>
      </c>
      <c r="BT721" s="37">
        <v>8</v>
      </c>
    </row>
    <row r="722" spans="5:72" x14ac:dyDescent="0.25">
      <c r="E722" s="36"/>
      <c r="F722" s="36">
        <f t="shared" si="232"/>
        <v>0</v>
      </c>
      <c r="G722" s="36">
        <f t="shared" si="233"/>
        <v>0</v>
      </c>
      <c r="H722" s="36">
        <f t="shared" si="234"/>
        <v>0</v>
      </c>
      <c r="I722" s="36">
        <f t="shared" si="235"/>
        <v>0</v>
      </c>
      <c r="J722" s="36">
        <f t="shared" si="236"/>
        <v>0</v>
      </c>
      <c r="K722" s="36">
        <f t="shared" si="237"/>
        <v>0</v>
      </c>
      <c r="L722" s="36">
        <f t="shared" si="238"/>
        <v>0</v>
      </c>
      <c r="M722" s="36">
        <f t="shared" si="239"/>
        <v>0</v>
      </c>
      <c r="N722" s="36">
        <f t="shared" si="240"/>
        <v>0</v>
      </c>
      <c r="O722" s="36">
        <f t="shared" si="241"/>
        <v>0</v>
      </c>
      <c r="P722" s="36">
        <f t="shared" si="242"/>
        <v>0</v>
      </c>
      <c r="Q722" s="36">
        <f t="shared" si="243"/>
        <v>0</v>
      </c>
      <c r="R722" s="36">
        <f t="shared" si="244"/>
        <v>0</v>
      </c>
      <c r="S722" s="36">
        <f t="shared" si="245"/>
        <v>0</v>
      </c>
      <c r="T722" s="36">
        <f t="shared" si="246"/>
        <v>0</v>
      </c>
      <c r="U722" s="36">
        <f t="shared" si="247"/>
        <v>0</v>
      </c>
      <c r="V722" s="36">
        <f t="shared" si="248"/>
        <v>0</v>
      </c>
      <c r="W722" s="36">
        <f t="shared" si="249"/>
        <v>0</v>
      </c>
      <c r="X722" s="36">
        <f t="shared" si="250"/>
        <v>0</v>
      </c>
      <c r="Y722" s="36">
        <f t="shared" si="251"/>
        <v>0</v>
      </c>
      <c r="Z722" s="36">
        <f t="shared" si="252"/>
        <v>0</v>
      </c>
      <c r="AB722" s="36" t="str">
        <f>IF(最佳化斷筋點!C722="","",最佳化斷筋點!C722)</f>
        <v/>
      </c>
      <c r="AC722" s="37" t="str">
        <f>IF(最佳化斷筋點!D722="","",最佳化斷筋點!D722)</f>
        <v/>
      </c>
      <c r="AD722" s="37" t="str">
        <f>IF(最佳化斷筋點!E722="","",最佳化斷筋點!E722)</f>
        <v/>
      </c>
      <c r="AE722" s="37" t="str">
        <f>IF(最佳化斷筋點!F722="","",最佳化斷筋點!F722)</f>
        <v/>
      </c>
      <c r="AF722" s="37" t="str">
        <f>IF(最佳化斷筋點!G722="","",最佳化斷筋點!G722)</f>
        <v/>
      </c>
      <c r="AG722" s="37" t="str">
        <f>IF(最佳化斷筋點!H722="","",最佳化斷筋點!H722)</f>
        <v/>
      </c>
      <c r="AH722" s="37" t="str">
        <f>IF(最佳化斷筋點!I722="","",最佳化斷筋點!I722)</f>
        <v/>
      </c>
      <c r="AI722" s="37" t="str">
        <f>IF(最佳化斷筋點!J722="","",最佳化斷筋點!J722)</f>
        <v/>
      </c>
      <c r="AJ722" s="37" t="str">
        <f>IF(最佳化斷筋點!K722="","",最佳化斷筋點!K722)</f>
        <v/>
      </c>
      <c r="AK722" s="37" t="str">
        <f>IF(最佳化斷筋點!L722="","",最佳化斷筋點!L722)</f>
        <v/>
      </c>
      <c r="AL722" s="37" t="str">
        <f>IF(最佳化斷筋點!M722="","",最佳化斷筋點!M722)</f>
        <v/>
      </c>
      <c r="AM722" s="37" t="str">
        <f>IF(最佳化斷筋點!N722="","",最佳化斷筋點!N722)</f>
        <v/>
      </c>
      <c r="AN722" s="37" t="str">
        <f>IF(最佳化斷筋點!O722="","",最佳化斷筋點!O722)</f>
        <v/>
      </c>
      <c r="AO722" s="37" t="str">
        <f>IF(最佳化斷筋點!P722="","",最佳化斷筋點!P722)</f>
        <v/>
      </c>
      <c r="AP722" s="37" t="str">
        <f>IF(最佳化斷筋點!Q722="","",最佳化斷筋點!Q722)</f>
        <v/>
      </c>
      <c r="AQ722" s="37" t="str">
        <f>IF(最佳化斷筋點!R722="","",最佳化斷筋點!R722)</f>
        <v/>
      </c>
      <c r="AR722" s="37" t="str">
        <f>IF(最佳化斷筋點!S722="","",最佳化斷筋點!S722)</f>
        <v/>
      </c>
      <c r="AS722" s="37" t="str">
        <f>IF(最佳化斷筋點!T722="","",最佳化斷筋點!T722)</f>
        <v/>
      </c>
      <c r="AT722" s="37" t="str">
        <f>IF(最佳化斷筋點!U722="","",最佳化斷筋點!U722)</f>
        <v/>
      </c>
      <c r="AU722" s="37" t="str">
        <f>IF(最佳化斷筋點!V722="","",最佳化斷筋點!V722)</f>
        <v/>
      </c>
      <c r="AV722" s="37" t="str">
        <f>IF(最佳化斷筋點!W722="","",最佳化斷筋點!W722)</f>
        <v/>
      </c>
      <c r="AW722" s="37" t="str">
        <f>IF(最佳化斷筋點!X722="","",最佳化斷筋點!X722)</f>
        <v/>
      </c>
      <c r="AZ722" s="37" t="s">
        <v>197</v>
      </c>
      <c r="BA722" s="37" t="s">
        <v>197</v>
      </c>
      <c r="BB722" s="37" t="s">
        <v>197</v>
      </c>
      <c r="BC722" s="37" t="s">
        <v>197</v>
      </c>
      <c r="BD722" s="37" t="s">
        <v>197</v>
      </c>
      <c r="BE722" s="37" t="s">
        <v>197</v>
      </c>
      <c r="BF722" s="37" t="s">
        <v>197</v>
      </c>
      <c r="BG722" s="37" t="s">
        <v>197</v>
      </c>
      <c r="BH722" s="37" t="s">
        <v>197</v>
      </c>
      <c r="BI722" s="37" t="s">
        <v>197</v>
      </c>
      <c r="BJ722" s="37" t="s">
        <v>197</v>
      </c>
      <c r="BK722" s="37" t="s">
        <v>197</v>
      </c>
      <c r="BL722" s="37" t="s">
        <v>197</v>
      </c>
      <c r="BM722" s="37" t="s">
        <v>197</v>
      </c>
      <c r="BN722" s="37" t="s">
        <v>197</v>
      </c>
      <c r="BO722" s="37" t="s">
        <v>197</v>
      </c>
      <c r="BP722" s="37" t="s">
        <v>197</v>
      </c>
      <c r="BQ722" s="37" t="s">
        <v>197</v>
      </c>
      <c r="BR722" s="37" t="s">
        <v>197</v>
      </c>
      <c r="BS722" s="37" t="s">
        <v>197</v>
      </c>
      <c r="BT722" s="37" t="s">
        <v>197</v>
      </c>
    </row>
    <row r="723" spans="5:72" x14ac:dyDescent="0.25">
      <c r="E723" s="36" t="s">
        <v>20</v>
      </c>
      <c r="F723" s="36">
        <f t="shared" si="232"/>
        <v>0</v>
      </c>
      <c r="G723" s="36">
        <f t="shared" si="233"/>
        <v>0</v>
      </c>
      <c r="H723" s="36">
        <f t="shared" si="234"/>
        <v>0</v>
      </c>
      <c r="I723" s="36">
        <f t="shared" si="235"/>
        <v>0</v>
      </c>
      <c r="J723" s="36">
        <f t="shared" si="236"/>
        <v>0</v>
      </c>
      <c r="K723" s="36">
        <f t="shared" si="237"/>
        <v>0</v>
      </c>
      <c r="L723" s="36">
        <f t="shared" si="238"/>
        <v>0</v>
      </c>
      <c r="M723" s="36">
        <f t="shared" si="239"/>
        <v>0</v>
      </c>
      <c r="N723" s="36">
        <f t="shared" si="240"/>
        <v>0</v>
      </c>
      <c r="O723" s="36">
        <f t="shared" si="241"/>
        <v>0</v>
      </c>
      <c r="P723" s="36">
        <f t="shared" si="242"/>
        <v>0</v>
      </c>
      <c r="Q723" s="36">
        <f t="shared" si="243"/>
        <v>0</v>
      </c>
      <c r="R723" s="36">
        <f t="shared" si="244"/>
        <v>0</v>
      </c>
      <c r="S723" s="36">
        <f t="shared" si="245"/>
        <v>0</v>
      </c>
      <c r="T723" s="36">
        <f t="shared" si="246"/>
        <v>0</v>
      </c>
      <c r="U723" s="36">
        <f t="shared" si="247"/>
        <v>0</v>
      </c>
      <c r="V723" s="36">
        <f t="shared" si="248"/>
        <v>0</v>
      </c>
      <c r="W723" s="36">
        <f t="shared" si="249"/>
        <v>0</v>
      </c>
      <c r="X723" s="36">
        <f t="shared" si="250"/>
        <v>0</v>
      </c>
      <c r="Y723" s="36">
        <f t="shared" si="251"/>
        <v>0</v>
      </c>
      <c r="Z723" s="36">
        <f t="shared" si="252"/>
        <v>0</v>
      </c>
      <c r="AB723" s="36" t="str">
        <f>IF(最佳化斷筋點!C723="","",最佳化斷筋點!C723)</f>
        <v>上層</v>
      </c>
      <c r="AC723" s="37">
        <f>IF(最佳化斷筋點!D723="","",最佳化斷筋點!D723)</f>
        <v>10</v>
      </c>
      <c r="AD723" s="37">
        <f>IF(最佳化斷筋點!E723="","",最佳化斷筋點!E723)</f>
        <v>10</v>
      </c>
      <c r="AE723" s="37">
        <f>IF(最佳化斷筋點!F723="","",最佳化斷筋點!F723)</f>
        <v>10</v>
      </c>
      <c r="AF723" s="37">
        <f>IF(最佳化斷筋點!G723="","",最佳化斷筋點!G723)</f>
        <v>10</v>
      </c>
      <c r="AG723" s="37">
        <f>IF(最佳化斷筋點!H723="","",最佳化斷筋點!H723)</f>
        <v>10</v>
      </c>
      <c r="AH723" s="37">
        <f>IF(最佳化斷筋點!I723="","",最佳化斷筋點!I723)</f>
        <v>10</v>
      </c>
      <c r="AI723" s="37">
        <f>IF(最佳化斷筋點!J723="","",最佳化斷筋點!J723)</f>
        <v>9</v>
      </c>
      <c r="AJ723" s="37">
        <f>IF(最佳化斷筋點!K723="","",最佳化斷筋點!K723)</f>
        <v>4</v>
      </c>
      <c r="AK723" s="37">
        <f>IF(最佳化斷筋點!L723="","",最佳化斷筋點!L723)</f>
        <v>4</v>
      </c>
      <c r="AL723" s="37">
        <f>IF(最佳化斷筋點!M723="","",最佳化斷筋點!M723)</f>
        <v>4</v>
      </c>
      <c r="AM723" s="37">
        <f>IF(最佳化斷筋點!N723="","",最佳化斷筋點!N723)</f>
        <v>4</v>
      </c>
      <c r="AN723" s="37">
        <f>IF(最佳化斷筋點!O723="","",最佳化斷筋點!O723)</f>
        <v>4</v>
      </c>
      <c r="AO723" s="37">
        <f>IF(最佳化斷筋點!P723="","",最佳化斷筋點!P723)</f>
        <v>4</v>
      </c>
      <c r="AP723" s="37">
        <f>IF(最佳化斷筋點!Q723="","",最佳化斷筋點!Q723)</f>
        <v>7</v>
      </c>
      <c r="AQ723" s="37">
        <f>IF(最佳化斷筋點!R723="","",最佳化斷筋點!R723)</f>
        <v>8</v>
      </c>
      <c r="AR723" s="37">
        <f>IF(最佳化斷筋點!S723="","",最佳化斷筋點!S723)</f>
        <v>9</v>
      </c>
      <c r="AS723" s="37">
        <f>IF(最佳化斷筋點!T723="","",最佳化斷筋點!T723)</f>
        <v>10</v>
      </c>
      <c r="AT723" s="37">
        <f>IF(最佳化斷筋點!U723="","",最佳化斷筋點!U723)</f>
        <v>10</v>
      </c>
      <c r="AU723" s="37">
        <f>IF(最佳化斷筋點!V723="","",最佳化斷筋點!V723)</f>
        <v>10</v>
      </c>
      <c r="AV723" s="37">
        <f>IF(最佳化斷筋點!W723="","",最佳化斷筋點!W723)</f>
        <v>10</v>
      </c>
      <c r="AW723" s="37">
        <f>IF(最佳化斷筋點!X723="","",最佳化斷筋點!X723)</f>
        <v>10</v>
      </c>
      <c r="AZ723" s="37">
        <v>10</v>
      </c>
      <c r="BA723" s="37">
        <v>10</v>
      </c>
      <c r="BB723" s="37">
        <v>10</v>
      </c>
      <c r="BC723" s="37">
        <v>10</v>
      </c>
      <c r="BD723" s="37">
        <v>10</v>
      </c>
      <c r="BE723" s="37">
        <v>10</v>
      </c>
      <c r="BF723" s="37">
        <v>9</v>
      </c>
      <c r="BG723" s="37">
        <v>4</v>
      </c>
      <c r="BH723" s="37">
        <v>4</v>
      </c>
      <c r="BI723" s="37">
        <v>4</v>
      </c>
      <c r="BJ723" s="37">
        <v>4</v>
      </c>
      <c r="BK723" s="37">
        <v>4</v>
      </c>
      <c r="BL723" s="37">
        <v>4</v>
      </c>
      <c r="BM723" s="37">
        <v>7</v>
      </c>
      <c r="BN723" s="37">
        <v>8</v>
      </c>
      <c r="BO723" s="37">
        <v>9</v>
      </c>
      <c r="BP723" s="37">
        <v>10</v>
      </c>
      <c r="BQ723" s="37">
        <v>10</v>
      </c>
      <c r="BR723" s="37">
        <v>10</v>
      </c>
      <c r="BS723" s="37">
        <v>10</v>
      </c>
      <c r="BT723" s="37">
        <v>10</v>
      </c>
    </row>
    <row r="724" spans="5:72" x14ac:dyDescent="0.25">
      <c r="E724" s="36"/>
      <c r="F724" s="36">
        <f t="shared" si="232"/>
        <v>0</v>
      </c>
      <c r="G724" s="36">
        <f t="shared" si="233"/>
        <v>0</v>
      </c>
      <c r="H724" s="36">
        <f t="shared" si="234"/>
        <v>0</v>
      </c>
      <c r="I724" s="36">
        <f t="shared" si="235"/>
        <v>0</v>
      </c>
      <c r="J724" s="36">
        <f t="shared" si="236"/>
        <v>0</v>
      </c>
      <c r="K724" s="36">
        <f t="shared" si="237"/>
        <v>0</v>
      </c>
      <c r="L724" s="36">
        <f t="shared" si="238"/>
        <v>0</v>
      </c>
      <c r="M724" s="36">
        <f t="shared" si="239"/>
        <v>0</v>
      </c>
      <c r="N724" s="36">
        <f t="shared" si="240"/>
        <v>0</v>
      </c>
      <c r="O724" s="36">
        <f t="shared" si="241"/>
        <v>0</v>
      </c>
      <c r="P724" s="36">
        <f t="shared" si="242"/>
        <v>0</v>
      </c>
      <c r="Q724" s="36">
        <f t="shared" si="243"/>
        <v>0</v>
      </c>
      <c r="R724" s="36">
        <f t="shared" si="244"/>
        <v>0</v>
      </c>
      <c r="S724" s="36">
        <f t="shared" si="245"/>
        <v>0</v>
      </c>
      <c r="T724" s="36">
        <f t="shared" si="246"/>
        <v>0</v>
      </c>
      <c r="U724" s="36">
        <f t="shared" si="247"/>
        <v>0</v>
      </c>
      <c r="V724" s="36">
        <f t="shared" si="248"/>
        <v>0</v>
      </c>
      <c r="W724" s="36">
        <f t="shared" si="249"/>
        <v>0</v>
      </c>
      <c r="X724" s="36">
        <f t="shared" si="250"/>
        <v>0</v>
      </c>
      <c r="Y724" s="36">
        <f t="shared" si="251"/>
        <v>0</v>
      </c>
      <c r="Z724" s="36">
        <f t="shared" si="252"/>
        <v>0</v>
      </c>
      <c r="AB724" s="36" t="str">
        <f>IF(最佳化斷筋點!C724="","",最佳化斷筋點!C724)</f>
        <v/>
      </c>
      <c r="AC724" s="37" t="str">
        <f>IF(最佳化斷筋點!D724="","",最佳化斷筋點!D724)</f>
        <v/>
      </c>
      <c r="AD724" s="37" t="str">
        <f>IF(最佳化斷筋點!E724="","",最佳化斷筋點!E724)</f>
        <v/>
      </c>
      <c r="AE724" s="37" t="str">
        <f>IF(最佳化斷筋點!F724="","",最佳化斷筋點!F724)</f>
        <v/>
      </c>
      <c r="AF724" s="37" t="str">
        <f>IF(最佳化斷筋點!G724="","",最佳化斷筋點!G724)</f>
        <v/>
      </c>
      <c r="AG724" s="37" t="str">
        <f>IF(最佳化斷筋點!H724="","",最佳化斷筋點!H724)</f>
        <v/>
      </c>
      <c r="AH724" s="37" t="str">
        <f>IF(最佳化斷筋點!I724="","",最佳化斷筋點!I724)</f>
        <v/>
      </c>
      <c r="AI724" s="37" t="str">
        <f>IF(最佳化斷筋點!J724="","",最佳化斷筋點!J724)</f>
        <v/>
      </c>
      <c r="AJ724" s="37" t="str">
        <f>IF(最佳化斷筋點!K724="","",最佳化斷筋點!K724)</f>
        <v/>
      </c>
      <c r="AK724" s="37" t="str">
        <f>IF(最佳化斷筋點!L724="","",最佳化斷筋點!L724)</f>
        <v/>
      </c>
      <c r="AL724" s="37" t="str">
        <f>IF(最佳化斷筋點!M724="","",最佳化斷筋點!M724)</f>
        <v/>
      </c>
      <c r="AM724" s="37" t="str">
        <f>IF(最佳化斷筋點!N724="","",最佳化斷筋點!N724)</f>
        <v/>
      </c>
      <c r="AN724" s="37" t="str">
        <f>IF(最佳化斷筋點!O724="","",最佳化斷筋點!O724)</f>
        <v/>
      </c>
      <c r="AO724" s="37" t="str">
        <f>IF(最佳化斷筋點!P724="","",最佳化斷筋點!P724)</f>
        <v/>
      </c>
      <c r="AP724" s="37" t="str">
        <f>IF(最佳化斷筋點!Q724="","",最佳化斷筋點!Q724)</f>
        <v/>
      </c>
      <c r="AQ724" s="37" t="str">
        <f>IF(最佳化斷筋點!R724="","",最佳化斷筋點!R724)</f>
        <v/>
      </c>
      <c r="AR724" s="37" t="str">
        <f>IF(最佳化斷筋點!S724="","",最佳化斷筋點!S724)</f>
        <v/>
      </c>
      <c r="AS724" s="37" t="str">
        <f>IF(最佳化斷筋點!T724="","",最佳化斷筋點!T724)</f>
        <v/>
      </c>
      <c r="AT724" s="37" t="str">
        <f>IF(最佳化斷筋點!U724="","",最佳化斷筋點!U724)</f>
        <v/>
      </c>
      <c r="AU724" s="37" t="str">
        <f>IF(最佳化斷筋點!V724="","",最佳化斷筋點!V724)</f>
        <v/>
      </c>
      <c r="AV724" s="37" t="str">
        <f>IF(最佳化斷筋點!W724="","",最佳化斷筋點!W724)</f>
        <v/>
      </c>
      <c r="AW724" s="37" t="str">
        <f>IF(最佳化斷筋點!X724="","",最佳化斷筋點!X724)</f>
        <v/>
      </c>
      <c r="AZ724" s="37" t="s">
        <v>197</v>
      </c>
      <c r="BA724" s="37" t="s">
        <v>197</v>
      </c>
      <c r="BB724" s="37" t="s">
        <v>197</v>
      </c>
      <c r="BC724" s="37" t="s">
        <v>197</v>
      </c>
      <c r="BD724" s="37" t="s">
        <v>197</v>
      </c>
      <c r="BE724" s="37" t="s">
        <v>197</v>
      </c>
      <c r="BF724" s="37" t="s">
        <v>197</v>
      </c>
      <c r="BG724" s="37" t="s">
        <v>197</v>
      </c>
      <c r="BH724" s="37" t="s">
        <v>197</v>
      </c>
      <c r="BI724" s="37" t="s">
        <v>197</v>
      </c>
      <c r="BJ724" s="37" t="s">
        <v>197</v>
      </c>
      <c r="BK724" s="37" t="s">
        <v>197</v>
      </c>
      <c r="BL724" s="37" t="s">
        <v>197</v>
      </c>
      <c r="BM724" s="37" t="s">
        <v>197</v>
      </c>
      <c r="BN724" s="37" t="s">
        <v>197</v>
      </c>
      <c r="BO724" s="37" t="s">
        <v>197</v>
      </c>
      <c r="BP724" s="37" t="s">
        <v>197</v>
      </c>
      <c r="BQ724" s="37" t="s">
        <v>197</v>
      </c>
      <c r="BR724" s="37" t="s">
        <v>197</v>
      </c>
      <c r="BS724" s="37" t="s">
        <v>197</v>
      </c>
      <c r="BT724" s="37" t="s">
        <v>197</v>
      </c>
    </row>
    <row r="725" spans="5:72" x14ac:dyDescent="0.25">
      <c r="E725" s="36" t="s">
        <v>21</v>
      </c>
      <c r="F725" s="36">
        <f t="shared" si="232"/>
        <v>0</v>
      </c>
      <c r="G725" s="36">
        <f t="shared" si="233"/>
        <v>0</v>
      </c>
      <c r="H725" s="36">
        <f t="shared" si="234"/>
        <v>0</v>
      </c>
      <c r="I725" s="36">
        <f t="shared" si="235"/>
        <v>0</v>
      </c>
      <c r="J725" s="36">
        <f t="shared" si="236"/>
        <v>0</v>
      </c>
      <c r="K725" s="36">
        <f t="shared" si="237"/>
        <v>0</v>
      </c>
      <c r="L725" s="36">
        <f t="shared" si="238"/>
        <v>0</v>
      </c>
      <c r="M725" s="36">
        <f t="shared" si="239"/>
        <v>0</v>
      </c>
      <c r="N725" s="36">
        <f t="shared" si="240"/>
        <v>0</v>
      </c>
      <c r="O725" s="36">
        <f t="shared" si="241"/>
        <v>0</v>
      </c>
      <c r="P725" s="36">
        <f t="shared" si="242"/>
        <v>0</v>
      </c>
      <c r="Q725" s="36">
        <f t="shared" si="243"/>
        <v>0</v>
      </c>
      <c r="R725" s="36">
        <f t="shared" si="244"/>
        <v>0</v>
      </c>
      <c r="S725" s="36">
        <f t="shared" si="245"/>
        <v>0</v>
      </c>
      <c r="T725" s="36">
        <f t="shared" si="246"/>
        <v>0</v>
      </c>
      <c r="U725" s="36">
        <f t="shared" si="247"/>
        <v>0</v>
      </c>
      <c r="V725" s="36">
        <f t="shared" si="248"/>
        <v>0</v>
      </c>
      <c r="W725" s="36">
        <f t="shared" si="249"/>
        <v>0</v>
      </c>
      <c r="X725" s="36">
        <f t="shared" si="250"/>
        <v>0</v>
      </c>
      <c r="Y725" s="36">
        <f t="shared" si="251"/>
        <v>0</v>
      </c>
      <c r="Z725" s="36">
        <f t="shared" si="252"/>
        <v>0</v>
      </c>
      <c r="AB725" s="36" t="str">
        <f>IF(最佳化斷筋點!C725="","",最佳化斷筋點!C725)</f>
        <v>下層</v>
      </c>
      <c r="AC725" s="37">
        <f>IF(最佳化斷筋點!D725="","",最佳化斷筋點!D725)</f>
        <v>9</v>
      </c>
      <c r="AD725" s="37">
        <f>IF(最佳化斷筋點!E725="","",最佳化斷筋點!E725)</f>
        <v>9</v>
      </c>
      <c r="AE725" s="37">
        <f>IF(最佳化斷筋點!F725="","",最佳化斷筋點!F725)</f>
        <v>9</v>
      </c>
      <c r="AF725" s="37">
        <f>IF(最佳化斷筋點!G725="","",最佳化斷筋點!G725)</f>
        <v>9</v>
      </c>
      <c r="AG725" s="37">
        <f>IF(最佳化斷筋點!H725="","",最佳化斷筋點!H725)</f>
        <v>8</v>
      </c>
      <c r="AH725" s="37">
        <f>IF(最佳化斷筋點!I725="","",最佳化斷筋點!I725)</f>
        <v>7</v>
      </c>
      <c r="AI725" s="37">
        <f>IF(最佳化斷筋點!J725="","",最佳化斷筋點!J725)</f>
        <v>6</v>
      </c>
      <c r="AJ725" s="37">
        <f>IF(最佳化斷筋點!K725="","",最佳化斷筋點!K725)</f>
        <v>5</v>
      </c>
      <c r="AK725" s="37">
        <f>IF(最佳化斷筋點!L725="","",最佳化斷筋點!L725)</f>
        <v>5</v>
      </c>
      <c r="AL725" s="37">
        <f>IF(最佳化斷筋點!M725="","",最佳化斷筋點!M725)</f>
        <v>5</v>
      </c>
      <c r="AM725" s="37">
        <f>IF(最佳化斷筋點!N725="","",最佳化斷筋點!N725)</f>
        <v>5</v>
      </c>
      <c r="AN725" s="37">
        <f>IF(最佳化斷筋點!O725="","",最佳化斷筋點!O725)</f>
        <v>5</v>
      </c>
      <c r="AO725" s="37">
        <f>IF(最佳化斷筋點!P725="","",最佳化斷筋點!P725)</f>
        <v>5</v>
      </c>
      <c r="AP725" s="37">
        <f>IF(最佳化斷筋點!Q725="","",最佳化斷筋點!Q725)</f>
        <v>5</v>
      </c>
      <c r="AQ725" s="37">
        <f>IF(最佳化斷筋點!R725="","",最佳化斷筋點!R725)</f>
        <v>5</v>
      </c>
      <c r="AR725" s="37">
        <f>IF(最佳化斷筋點!S725="","",最佳化斷筋點!S725)</f>
        <v>6</v>
      </c>
      <c r="AS725" s="37">
        <f>IF(最佳化斷筋點!T725="","",最佳化斷筋點!T725)</f>
        <v>7</v>
      </c>
      <c r="AT725" s="37">
        <f>IF(最佳化斷筋點!U725="","",最佳化斷筋點!U725)</f>
        <v>8</v>
      </c>
      <c r="AU725" s="37">
        <f>IF(最佳化斷筋點!V725="","",最佳化斷筋點!V725)</f>
        <v>9</v>
      </c>
      <c r="AV725" s="37">
        <f>IF(最佳化斷筋點!W725="","",最佳化斷筋點!W725)</f>
        <v>9</v>
      </c>
      <c r="AW725" s="37">
        <f>IF(最佳化斷筋點!X725="","",最佳化斷筋點!X725)</f>
        <v>9</v>
      </c>
      <c r="AZ725" s="37">
        <v>9</v>
      </c>
      <c r="BA725" s="37">
        <v>9</v>
      </c>
      <c r="BB725" s="37">
        <v>9</v>
      </c>
      <c r="BC725" s="37">
        <v>9</v>
      </c>
      <c r="BD725" s="37">
        <v>8</v>
      </c>
      <c r="BE725" s="37">
        <v>7</v>
      </c>
      <c r="BF725" s="37">
        <v>6</v>
      </c>
      <c r="BG725" s="37">
        <v>5</v>
      </c>
      <c r="BH725" s="37">
        <v>5</v>
      </c>
      <c r="BI725" s="37">
        <v>5</v>
      </c>
      <c r="BJ725" s="37">
        <v>5</v>
      </c>
      <c r="BK725" s="37">
        <v>5</v>
      </c>
      <c r="BL725" s="37">
        <v>5</v>
      </c>
      <c r="BM725" s="37">
        <v>5</v>
      </c>
      <c r="BN725" s="37">
        <v>5</v>
      </c>
      <c r="BO725" s="37">
        <v>6</v>
      </c>
      <c r="BP725" s="37">
        <v>7</v>
      </c>
      <c r="BQ725" s="37">
        <v>8</v>
      </c>
      <c r="BR725" s="37">
        <v>9</v>
      </c>
      <c r="BS725" s="37">
        <v>9</v>
      </c>
      <c r="BT725" s="37">
        <v>9</v>
      </c>
    </row>
    <row r="726" spans="5:72" x14ac:dyDescent="0.25">
      <c r="E726" s="36"/>
      <c r="F726" s="36">
        <f t="shared" si="232"/>
        <v>0</v>
      </c>
      <c r="G726" s="36">
        <f t="shared" si="233"/>
        <v>0</v>
      </c>
      <c r="H726" s="36">
        <f t="shared" si="234"/>
        <v>0</v>
      </c>
      <c r="I726" s="36">
        <f t="shared" si="235"/>
        <v>0</v>
      </c>
      <c r="J726" s="36">
        <f t="shared" si="236"/>
        <v>0</v>
      </c>
      <c r="K726" s="36">
        <f t="shared" si="237"/>
        <v>0</v>
      </c>
      <c r="L726" s="36">
        <f t="shared" si="238"/>
        <v>0</v>
      </c>
      <c r="M726" s="36">
        <f t="shared" si="239"/>
        <v>0</v>
      </c>
      <c r="N726" s="36">
        <f t="shared" si="240"/>
        <v>0</v>
      </c>
      <c r="O726" s="36">
        <f t="shared" si="241"/>
        <v>0</v>
      </c>
      <c r="P726" s="36">
        <f t="shared" si="242"/>
        <v>0</v>
      </c>
      <c r="Q726" s="36">
        <f t="shared" si="243"/>
        <v>0</v>
      </c>
      <c r="R726" s="36">
        <f t="shared" si="244"/>
        <v>0</v>
      </c>
      <c r="S726" s="36">
        <f t="shared" si="245"/>
        <v>0</v>
      </c>
      <c r="T726" s="36">
        <f t="shared" si="246"/>
        <v>0</v>
      </c>
      <c r="U726" s="36">
        <f t="shared" si="247"/>
        <v>0</v>
      </c>
      <c r="V726" s="36">
        <f t="shared" si="248"/>
        <v>0</v>
      </c>
      <c r="W726" s="36">
        <f t="shared" si="249"/>
        <v>0</v>
      </c>
      <c r="X726" s="36">
        <f t="shared" si="250"/>
        <v>0</v>
      </c>
      <c r="Y726" s="36">
        <f t="shared" si="251"/>
        <v>0</v>
      </c>
      <c r="Z726" s="36">
        <f t="shared" si="252"/>
        <v>0</v>
      </c>
      <c r="AB726" s="36" t="str">
        <f>IF(最佳化斷筋點!C726="","",最佳化斷筋點!C726)</f>
        <v/>
      </c>
      <c r="AC726" s="37" t="str">
        <f>IF(最佳化斷筋點!D726="","",最佳化斷筋點!D726)</f>
        <v/>
      </c>
      <c r="AD726" s="37" t="str">
        <f>IF(最佳化斷筋點!E726="","",最佳化斷筋點!E726)</f>
        <v/>
      </c>
      <c r="AE726" s="37" t="str">
        <f>IF(最佳化斷筋點!F726="","",最佳化斷筋點!F726)</f>
        <v/>
      </c>
      <c r="AF726" s="37" t="str">
        <f>IF(最佳化斷筋點!G726="","",最佳化斷筋點!G726)</f>
        <v/>
      </c>
      <c r="AG726" s="37" t="str">
        <f>IF(最佳化斷筋點!H726="","",最佳化斷筋點!H726)</f>
        <v/>
      </c>
      <c r="AH726" s="37" t="str">
        <f>IF(最佳化斷筋點!I726="","",最佳化斷筋點!I726)</f>
        <v/>
      </c>
      <c r="AI726" s="37" t="str">
        <f>IF(最佳化斷筋點!J726="","",最佳化斷筋點!J726)</f>
        <v/>
      </c>
      <c r="AJ726" s="37" t="str">
        <f>IF(最佳化斷筋點!K726="","",最佳化斷筋點!K726)</f>
        <v/>
      </c>
      <c r="AK726" s="37" t="str">
        <f>IF(最佳化斷筋點!L726="","",最佳化斷筋點!L726)</f>
        <v/>
      </c>
      <c r="AL726" s="37" t="str">
        <f>IF(最佳化斷筋點!M726="","",最佳化斷筋點!M726)</f>
        <v/>
      </c>
      <c r="AM726" s="37" t="str">
        <f>IF(最佳化斷筋點!N726="","",最佳化斷筋點!N726)</f>
        <v/>
      </c>
      <c r="AN726" s="37" t="str">
        <f>IF(最佳化斷筋點!O726="","",最佳化斷筋點!O726)</f>
        <v/>
      </c>
      <c r="AO726" s="37" t="str">
        <f>IF(最佳化斷筋點!P726="","",最佳化斷筋點!P726)</f>
        <v/>
      </c>
      <c r="AP726" s="37" t="str">
        <f>IF(最佳化斷筋點!Q726="","",最佳化斷筋點!Q726)</f>
        <v/>
      </c>
      <c r="AQ726" s="37" t="str">
        <f>IF(最佳化斷筋點!R726="","",最佳化斷筋點!R726)</f>
        <v/>
      </c>
      <c r="AR726" s="37" t="str">
        <f>IF(最佳化斷筋點!S726="","",最佳化斷筋點!S726)</f>
        <v/>
      </c>
      <c r="AS726" s="37" t="str">
        <f>IF(最佳化斷筋點!T726="","",最佳化斷筋點!T726)</f>
        <v/>
      </c>
      <c r="AT726" s="37" t="str">
        <f>IF(最佳化斷筋點!U726="","",最佳化斷筋點!U726)</f>
        <v/>
      </c>
      <c r="AU726" s="37" t="str">
        <f>IF(最佳化斷筋點!V726="","",最佳化斷筋點!V726)</f>
        <v/>
      </c>
      <c r="AV726" s="37" t="str">
        <f>IF(最佳化斷筋點!W726="","",最佳化斷筋點!W726)</f>
        <v/>
      </c>
      <c r="AW726" s="37" t="str">
        <f>IF(最佳化斷筋點!X726="","",最佳化斷筋點!X726)</f>
        <v/>
      </c>
      <c r="AZ726" s="37" t="s">
        <v>197</v>
      </c>
      <c r="BA726" s="37" t="s">
        <v>197</v>
      </c>
      <c r="BB726" s="37" t="s">
        <v>197</v>
      </c>
      <c r="BC726" s="37" t="s">
        <v>197</v>
      </c>
      <c r="BD726" s="37" t="s">
        <v>197</v>
      </c>
      <c r="BE726" s="37" t="s">
        <v>197</v>
      </c>
      <c r="BF726" s="37" t="s">
        <v>197</v>
      </c>
      <c r="BG726" s="37" t="s">
        <v>197</v>
      </c>
      <c r="BH726" s="37" t="s">
        <v>197</v>
      </c>
      <c r="BI726" s="37" t="s">
        <v>197</v>
      </c>
      <c r="BJ726" s="37" t="s">
        <v>197</v>
      </c>
      <c r="BK726" s="37" t="s">
        <v>197</v>
      </c>
      <c r="BL726" s="37" t="s">
        <v>197</v>
      </c>
      <c r="BM726" s="37" t="s">
        <v>197</v>
      </c>
      <c r="BN726" s="37" t="s">
        <v>197</v>
      </c>
      <c r="BO726" s="37" t="s">
        <v>197</v>
      </c>
      <c r="BP726" s="37" t="s">
        <v>197</v>
      </c>
      <c r="BQ726" s="37" t="s">
        <v>197</v>
      </c>
      <c r="BR726" s="37" t="s">
        <v>197</v>
      </c>
      <c r="BS726" s="37" t="s">
        <v>197</v>
      </c>
      <c r="BT726" s="37" t="s">
        <v>197</v>
      </c>
    </row>
    <row r="727" spans="5:72" x14ac:dyDescent="0.25">
      <c r="E727" s="36" t="s">
        <v>20</v>
      </c>
      <c r="F727" s="36">
        <f t="shared" si="232"/>
        <v>0</v>
      </c>
      <c r="G727" s="36">
        <f t="shared" si="233"/>
        <v>0</v>
      </c>
      <c r="H727" s="36">
        <f t="shared" si="234"/>
        <v>0</v>
      </c>
      <c r="I727" s="36">
        <f t="shared" si="235"/>
        <v>0</v>
      </c>
      <c r="J727" s="36">
        <f t="shared" si="236"/>
        <v>0</v>
      </c>
      <c r="K727" s="36">
        <f t="shared" si="237"/>
        <v>0</v>
      </c>
      <c r="L727" s="36">
        <f t="shared" si="238"/>
        <v>0</v>
      </c>
      <c r="M727" s="36">
        <f t="shared" si="239"/>
        <v>0</v>
      </c>
      <c r="N727" s="36">
        <f t="shared" si="240"/>
        <v>0</v>
      </c>
      <c r="O727" s="36">
        <f t="shared" si="241"/>
        <v>0</v>
      </c>
      <c r="P727" s="36">
        <f t="shared" si="242"/>
        <v>0</v>
      </c>
      <c r="Q727" s="36">
        <f t="shared" si="243"/>
        <v>0</v>
      </c>
      <c r="R727" s="36">
        <f t="shared" si="244"/>
        <v>0</v>
      </c>
      <c r="S727" s="36">
        <f t="shared" si="245"/>
        <v>0</v>
      </c>
      <c r="T727" s="36">
        <f t="shared" si="246"/>
        <v>0</v>
      </c>
      <c r="U727" s="36">
        <f t="shared" si="247"/>
        <v>0</v>
      </c>
      <c r="V727" s="36">
        <f t="shared" si="248"/>
        <v>0</v>
      </c>
      <c r="W727" s="36">
        <f t="shared" si="249"/>
        <v>0</v>
      </c>
      <c r="X727" s="36">
        <f t="shared" si="250"/>
        <v>0</v>
      </c>
      <c r="Y727" s="36">
        <f t="shared" si="251"/>
        <v>0</v>
      </c>
      <c r="Z727" s="36">
        <f t="shared" si="252"/>
        <v>0</v>
      </c>
      <c r="AB727" s="36" t="str">
        <f>IF(最佳化斷筋點!C727="","",最佳化斷筋點!C727)</f>
        <v>上層</v>
      </c>
      <c r="AC727" s="37">
        <f>IF(最佳化斷筋點!D727="","",最佳化斷筋點!D727)</f>
        <v>10</v>
      </c>
      <c r="AD727" s="37">
        <f>IF(最佳化斷筋點!E727="","",最佳化斷筋點!E727)</f>
        <v>10</v>
      </c>
      <c r="AE727" s="37">
        <f>IF(最佳化斷筋點!F727="","",最佳化斷筋點!F727)</f>
        <v>10</v>
      </c>
      <c r="AF727" s="37">
        <f>IF(最佳化斷筋點!G727="","",最佳化斷筋點!G727)</f>
        <v>10</v>
      </c>
      <c r="AG727" s="37">
        <f>IF(最佳化斷筋點!H727="","",最佳化斷筋點!H727)</f>
        <v>10</v>
      </c>
      <c r="AH727" s="37">
        <f>IF(最佳化斷筋點!I727="","",最佳化斷筋點!I727)</f>
        <v>10</v>
      </c>
      <c r="AI727" s="37">
        <f>IF(最佳化斷筋點!J727="","",最佳化斷筋點!J727)</f>
        <v>10</v>
      </c>
      <c r="AJ727" s="37">
        <f>IF(最佳化斷筋點!K727="","",最佳化斷筋點!K727)</f>
        <v>4</v>
      </c>
      <c r="AK727" s="37">
        <f>IF(最佳化斷筋點!L727="","",最佳化斷筋點!L727)</f>
        <v>4</v>
      </c>
      <c r="AL727" s="37">
        <f>IF(最佳化斷筋點!M727="","",最佳化斷筋點!M727)</f>
        <v>4</v>
      </c>
      <c r="AM727" s="37">
        <f>IF(最佳化斷筋點!N727="","",最佳化斷筋點!N727)</f>
        <v>4</v>
      </c>
      <c r="AN727" s="37">
        <f>IF(最佳化斷筋點!O727="","",最佳化斷筋點!O727)</f>
        <v>4</v>
      </c>
      <c r="AO727" s="37">
        <f>IF(最佳化斷筋點!P727="","",最佳化斷筋點!P727)</f>
        <v>4</v>
      </c>
      <c r="AP727" s="37">
        <f>IF(最佳化斷筋點!Q727="","",最佳化斷筋點!Q727)</f>
        <v>8</v>
      </c>
      <c r="AQ727" s="37">
        <f>IF(最佳化斷筋點!R727="","",最佳化斷筋點!R727)</f>
        <v>9</v>
      </c>
      <c r="AR727" s="37">
        <f>IF(最佳化斷筋點!S727="","",最佳化斷筋點!S727)</f>
        <v>10</v>
      </c>
      <c r="AS727" s="37">
        <f>IF(最佳化斷筋點!T727="","",最佳化斷筋點!T727)</f>
        <v>10</v>
      </c>
      <c r="AT727" s="37">
        <f>IF(最佳化斷筋點!U727="","",最佳化斷筋點!U727)</f>
        <v>10</v>
      </c>
      <c r="AU727" s="37">
        <f>IF(最佳化斷筋點!V727="","",最佳化斷筋點!V727)</f>
        <v>10</v>
      </c>
      <c r="AV727" s="37">
        <f>IF(最佳化斷筋點!W727="","",最佳化斷筋點!W727)</f>
        <v>10</v>
      </c>
      <c r="AW727" s="37">
        <f>IF(最佳化斷筋點!X727="","",最佳化斷筋點!X727)</f>
        <v>10</v>
      </c>
      <c r="AZ727" s="37">
        <v>10</v>
      </c>
      <c r="BA727" s="37">
        <v>10</v>
      </c>
      <c r="BB727" s="37">
        <v>10</v>
      </c>
      <c r="BC727" s="37">
        <v>10</v>
      </c>
      <c r="BD727" s="37">
        <v>10</v>
      </c>
      <c r="BE727" s="37">
        <v>10</v>
      </c>
      <c r="BF727" s="37">
        <v>10</v>
      </c>
      <c r="BG727" s="37">
        <v>4</v>
      </c>
      <c r="BH727" s="37">
        <v>4</v>
      </c>
      <c r="BI727" s="37">
        <v>4</v>
      </c>
      <c r="BJ727" s="37">
        <v>4</v>
      </c>
      <c r="BK727" s="37">
        <v>4</v>
      </c>
      <c r="BL727" s="37">
        <v>4</v>
      </c>
      <c r="BM727" s="37">
        <v>8</v>
      </c>
      <c r="BN727" s="37">
        <v>9</v>
      </c>
      <c r="BO727" s="37">
        <v>10</v>
      </c>
      <c r="BP727" s="37">
        <v>10</v>
      </c>
      <c r="BQ727" s="37">
        <v>10</v>
      </c>
      <c r="BR727" s="37">
        <v>10</v>
      </c>
      <c r="BS727" s="37">
        <v>10</v>
      </c>
      <c r="BT727" s="37">
        <v>10</v>
      </c>
    </row>
    <row r="728" spans="5:72" x14ac:dyDescent="0.25">
      <c r="E728" s="36"/>
      <c r="F728" s="36">
        <f t="shared" si="232"/>
        <v>0</v>
      </c>
      <c r="G728" s="36">
        <f t="shared" si="233"/>
        <v>0</v>
      </c>
      <c r="H728" s="36">
        <f t="shared" si="234"/>
        <v>0</v>
      </c>
      <c r="I728" s="36">
        <f t="shared" si="235"/>
        <v>0</v>
      </c>
      <c r="J728" s="36">
        <f t="shared" si="236"/>
        <v>0</v>
      </c>
      <c r="K728" s="36">
        <f t="shared" si="237"/>
        <v>0</v>
      </c>
      <c r="L728" s="36">
        <f t="shared" si="238"/>
        <v>0</v>
      </c>
      <c r="M728" s="36">
        <f t="shared" si="239"/>
        <v>0</v>
      </c>
      <c r="N728" s="36">
        <f t="shared" si="240"/>
        <v>0</v>
      </c>
      <c r="O728" s="36">
        <f t="shared" si="241"/>
        <v>0</v>
      </c>
      <c r="P728" s="36">
        <f t="shared" si="242"/>
        <v>0</v>
      </c>
      <c r="Q728" s="36">
        <f t="shared" si="243"/>
        <v>0</v>
      </c>
      <c r="R728" s="36">
        <f t="shared" si="244"/>
        <v>0</v>
      </c>
      <c r="S728" s="36">
        <f t="shared" si="245"/>
        <v>0</v>
      </c>
      <c r="T728" s="36">
        <f t="shared" si="246"/>
        <v>0</v>
      </c>
      <c r="U728" s="36">
        <f t="shared" si="247"/>
        <v>0</v>
      </c>
      <c r="V728" s="36">
        <f t="shared" si="248"/>
        <v>0</v>
      </c>
      <c r="W728" s="36">
        <f t="shared" si="249"/>
        <v>0</v>
      </c>
      <c r="X728" s="36">
        <f t="shared" si="250"/>
        <v>0</v>
      </c>
      <c r="Y728" s="36">
        <f t="shared" si="251"/>
        <v>0</v>
      </c>
      <c r="Z728" s="36">
        <f t="shared" si="252"/>
        <v>0</v>
      </c>
      <c r="AB728" s="36" t="str">
        <f>IF(最佳化斷筋點!C728="","",最佳化斷筋點!C728)</f>
        <v/>
      </c>
      <c r="AC728" s="37" t="str">
        <f>IF(最佳化斷筋點!D728="","",最佳化斷筋點!D728)</f>
        <v/>
      </c>
      <c r="AD728" s="37" t="str">
        <f>IF(最佳化斷筋點!E728="","",最佳化斷筋點!E728)</f>
        <v/>
      </c>
      <c r="AE728" s="37" t="str">
        <f>IF(最佳化斷筋點!F728="","",最佳化斷筋點!F728)</f>
        <v/>
      </c>
      <c r="AF728" s="37" t="str">
        <f>IF(最佳化斷筋點!G728="","",最佳化斷筋點!G728)</f>
        <v/>
      </c>
      <c r="AG728" s="37" t="str">
        <f>IF(最佳化斷筋點!H728="","",最佳化斷筋點!H728)</f>
        <v/>
      </c>
      <c r="AH728" s="37" t="str">
        <f>IF(最佳化斷筋點!I728="","",最佳化斷筋點!I728)</f>
        <v/>
      </c>
      <c r="AI728" s="37" t="str">
        <f>IF(最佳化斷筋點!J728="","",最佳化斷筋點!J728)</f>
        <v/>
      </c>
      <c r="AJ728" s="37" t="str">
        <f>IF(最佳化斷筋點!K728="","",最佳化斷筋點!K728)</f>
        <v/>
      </c>
      <c r="AK728" s="37" t="str">
        <f>IF(最佳化斷筋點!L728="","",最佳化斷筋點!L728)</f>
        <v/>
      </c>
      <c r="AL728" s="37" t="str">
        <f>IF(最佳化斷筋點!M728="","",最佳化斷筋點!M728)</f>
        <v/>
      </c>
      <c r="AM728" s="37" t="str">
        <f>IF(最佳化斷筋點!N728="","",最佳化斷筋點!N728)</f>
        <v/>
      </c>
      <c r="AN728" s="37" t="str">
        <f>IF(最佳化斷筋點!O728="","",最佳化斷筋點!O728)</f>
        <v/>
      </c>
      <c r="AO728" s="37" t="str">
        <f>IF(最佳化斷筋點!P728="","",最佳化斷筋點!P728)</f>
        <v/>
      </c>
      <c r="AP728" s="37" t="str">
        <f>IF(最佳化斷筋點!Q728="","",最佳化斷筋點!Q728)</f>
        <v/>
      </c>
      <c r="AQ728" s="37" t="str">
        <f>IF(最佳化斷筋點!R728="","",最佳化斷筋點!R728)</f>
        <v/>
      </c>
      <c r="AR728" s="37" t="str">
        <f>IF(最佳化斷筋點!S728="","",最佳化斷筋點!S728)</f>
        <v/>
      </c>
      <c r="AS728" s="37" t="str">
        <f>IF(最佳化斷筋點!T728="","",最佳化斷筋點!T728)</f>
        <v/>
      </c>
      <c r="AT728" s="37" t="str">
        <f>IF(最佳化斷筋點!U728="","",最佳化斷筋點!U728)</f>
        <v/>
      </c>
      <c r="AU728" s="37" t="str">
        <f>IF(最佳化斷筋點!V728="","",最佳化斷筋點!V728)</f>
        <v/>
      </c>
      <c r="AV728" s="37" t="str">
        <f>IF(最佳化斷筋點!W728="","",最佳化斷筋點!W728)</f>
        <v/>
      </c>
      <c r="AW728" s="37" t="str">
        <f>IF(最佳化斷筋點!X728="","",最佳化斷筋點!X728)</f>
        <v/>
      </c>
      <c r="AZ728" s="37" t="s">
        <v>197</v>
      </c>
      <c r="BA728" s="37" t="s">
        <v>197</v>
      </c>
      <c r="BB728" s="37" t="s">
        <v>197</v>
      </c>
      <c r="BC728" s="37" t="s">
        <v>197</v>
      </c>
      <c r="BD728" s="37" t="s">
        <v>197</v>
      </c>
      <c r="BE728" s="37" t="s">
        <v>197</v>
      </c>
      <c r="BF728" s="37" t="s">
        <v>197</v>
      </c>
      <c r="BG728" s="37" t="s">
        <v>197</v>
      </c>
      <c r="BH728" s="37" t="s">
        <v>197</v>
      </c>
      <c r="BI728" s="37" t="s">
        <v>197</v>
      </c>
      <c r="BJ728" s="37" t="s">
        <v>197</v>
      </c>
      <c r="BK728" s="37" t="s">
        <v>197</v>
      </c>
      <c r="BL728" s="37" t="s">
        <v>197</v>
      </c>
      <c r="BM728" s="37" t="s">
        <v>197</v>
      </c>
      <c r="BN728" s="37" t="s">
        <v>197</v>
      </c>
      <c r="BO728" s="37" t="s">
        <v>197</v>
      </c>
      <c r="BP728" s="37" t="s">
        <v>197</v>
      </c>
      <c r="BQ728" s="37" t="s">
        <v>197</v>
      </c>
      <c r="BR728" s="37" t="s">
        <v>197</v>
      </c>
      <c r="BS728" s="37" t="s">
        <v>197</v>
      </c>
      <c r="BT728" s="37" t="s">
        <v>197</v>
      </c>
    </row>
    <row r="729" spans="5:72" x14ac:dyDescent="0.25">
      <c r="E729" s="36" t="s">
        <v>21</v>
      </c>
      <c r="F729" s="36">
        <f t="shared" si="232"/>
        <v>0</v>
      </c>
      <c r="G729" s="36">
        <f t="shared" si="233"/>
        <v>0</v>
      </c>
      <c r="H729" s="36">
        <f t="shared" si="234"/>
        <v>0</v>
      </c>
      <c r="I729" s="36">
        <f t="shared" si="235"/>
        <v>0</v>
      </c>
      <c r="J729" s="36">
        <f t="shared" si="236"/>
        <v>0</v>
      </c>
      <c r="K729" s="36">
        <f t="shared" si="237"/>
        <v>0</v>
      </c>
      <c r="L729" s="36">
        <f t="shared" si="238"/>
        <v>0</v>
      </c>
      <c r="M729" s="36">
        <f t="shared" si="239"/>
        <v>0</v>
      </c>
      <c r="N729" s="36">
        <f t="shared" si="240"/>
        <v>0</v>
      </c>
      <c r="O729" s="36">
        <f t="shared" si="241"/>
        <v>0</v>
      </c>
      <c r="P729" s="36">
        <f t="shared" si="242"/>
        <v>0</v>
      </c>
      <c r="Q729" s="36">
        <f t="shared" si="243"/>
        <v>0</v>
      </c>
      <c r="R729" s="36">
        <f t="shared" si="244"/>
        <v>0</v>
      </c>
      <c r="S729" s="36">
        <f t="shared" si="245"/>
        <v>0</v>
      </c>
      <c r="T729" s="36">
        <f t="shared" si="246"/>
        <v>0</v>
      </c>
      <c r="U729" s="36">
        <f t="shared" si="247"/>
        <v>0</v>
      </c>
      <c r="V729" s="36">
        <f t="shared" si="248"/>
        <v>0</v>
      </c>
      <c r="W729" s="36">
        <f t="shared" si="249"/>
        <v>0</v>
      </c>
      <c r="X729" s="36">
        <f t="shared" si="250"/>
        <v>0</v>
      </c>
      <c r="Y729" s="36">
        <f t="shared" si="251"/>
        <v>0</v>
      </c>
      <c r="Z729" s="36">
        <f t="shared" si="252"/>
        <v>0</v>
      </c>
      <c r="AB729" s="36" t="str">
        <f>IF(最佳化斷筋點!C729="","",最佳化斷筋點!C729)</f>
        <v>下層</v>
      </c>
      <c r="AC729" s="37">
        <f>IF(最佳化斷筋點!D729="","",最佳化斷筋點!D729)</f>
        <v>13</v>
      </c>
      <c r="AD729" s="37">
        <f>IF(最佳化斷筋點!E729="","",最佳化斷筋點!E729)</f>
        <v>13</v>
      </c>
      <c r="AE729" s="37">
        <f>IF(最佳化斷筋點!F729="","",最佳化斷筋點!F729)</f>
        <v>13</v>
      </c>
      <c r="AF729" s="37">
        <f>IF(最佳化斷筋點!G729="","",最佳化斷筋點!G729)</f>
        <v>13</v>
      </c>
      <c r="AG729" s="37">
        <f>IF(最佳化斷筋點!H729="","",最佳化斷筋點!H729)</f>
        <v>12</v>
      </c>
      <c r="AH729" s="37">
        <f>IF(最佳化斷筋點!I729="","",最佳化斷筋點!I729)</f>
        <v>11</v>
      </c>
      <c r="AI729" s="37">
        <f>IF(最佳化斷筋點!J729="","",最佳化斷筋點!J729)</f>
        <v>10</v>
      </c>
      <c r="AJ729" s="37">
        <f>IF(最佳化斷筋點!K729="","",最佳化斷筋點!K729)</f>
        <v>6</v>
      </c>
      <c r="AK729" s="37">
        <f>IF(最佳化斷筋點!L729="","",最佳化斷筋點!L729)</f>
        <v>6</v>
      </c>
      <c r="AL729" s="37">
        <f>IF(最佳化斷筋點!M729="","",最佳化斷筋點!M729)</f>
        <v>6</v>
      </c>
      <c r="AM729" s="37">
        <f>IF(最佳化斷筋點!N729="","",最佳化斷筋點!N729)</f>
        <v>6</v>
      </c>
      <c r="AN729" s="37">
        <f>IF(最佳化斷筋點!O729="","",最佳化斷筋點!O729)</f>
        <v>6</v>
      </c>
      <c r="AO729" s="37">
        <f>IF(最佳化斷筋點!P729="","",最佳化斷筋點!P729)</f>
        <v>6</v>
      </c>
      <c r="AP729" s="37">
        <f>IF(最佳化斷筋點!Q729="","",最佳化斷筋點!Q729)</f>
        <v>8</v>
      </c>
      <c r="AQ729" s="37">
        <f>IF(最佳化斷筋點!R729="","",最佳化斷筋點!R729)</f>
        <v>9</v>
      </c>
      <c r="AR729" s="37">
        <f>IF(最佳化斷筋點!S729="","",最佳化斷筋點!S729)</f>
        <v>10</v>
      </c>
      <c r="AS729" s="37">
        <f>IF(最佳化斷筋點!T729="","",最佳化斷筋點!T729)</f>
        <v>11</v>
      </c>
      <c r="AT729" s="37">
        <f>IF(最佳化斷筋點!U729="","",最佳化斷筋點!U729)</f>
        <v>12</v>
      </c>
      <c r="AU729" s="37">
        <f>IF(最佳化斷筋點!V729="","",最佳化斷筋點!V729)</f>
        <v>12</v>
      </c>
      <c r="AV729" s="37">
        <f>IF(最佳化斷筋點!W729="","",最佳化斷筋點!W729)</f>
        <v>12</v>
      </c>
      <c r="AW729" s="37">
        <f>IF(最佳化斷筋點!X729="","",最佳化斷筋點!X729)</f>
        <v>12</v>
      </c>
      <c r="AZ729" s="37">
        <v>13</v>
      </c>
      <c r="BA729" s="37">
        <v>13</v>
      </c>
      <c r="BB729" s="37">
        <v>13</v>
      </c>
      <c r="BC729" s="37">
        <v>13</v>
      </c>
      <c r="BD729" s="37">
        <v>12</v>
      </c>
      <c r="BE729" s="37">
        <v>11</v>
      </c>
      <c r="BF729" s="37">
        <v>10</v>
      </c>
      <c r="BG729" s="37">
        <v>6</v>
      </c>
      <c r="BH729" s="37">
        <v>6</v>
      </c>
      <c r="BI729" s="37">
        <v>6</v>
      </c>
      <c r="BJ729" s="37">
        <v>6</v>
      </c>
      <c r="BK729" s="37">
        <v>6</v>
      </c>
      <c r="BL729" s="37">
        <v>6</v>
      </c>
      <c r="BM729" s="37">
        <v>8</v>
      </c>
      <c r="BN729" s="37">
        <v>9</v>
      </c>
      <c r="BO729" s="37">
        <v>10</v>
      </c>
      <c r="BP729" s="37">
        <v>11</v>
      </c>
      <c r="BQ729" s="37">
        <v>12</v>
      </c>
      <c r="BR729" s="37">
        <v>12</v>
      </c>
      <c r="BS729" s="37">
        <v>12</v>
      </c>
      <c r="BT729" s="37">
        <v>12</v>
      </c>
    </row>
    <row r="730" spans="5:72" x14ac:dyDescent="0.25">
      <c r="E730" s="36"/>
      <c r="F730" s="36">
        <f t="shared" si="232"/>
        <v>0</v>
      </c>
      <c r="G730" s="36">
        <f t="shared" si="233"/>
        <v>0</v>
      </c>
      <c r="H730" s="36">
        <f t="shared" si="234"/>
        <v>0</v>
      </c>
      <c r="I730" s="36">
        <f t="shared" si="235"/>
        <v>0</v>
      </c>
      <c r="J730" s="36">
        <f t="shared" si="236"/>
        <v>0</v>
      </c>
      <c r="K730" s="36">
        <f t="shared" si="237"/>
        <v>0</v>
      </c>
      <c r="L730" s="36">
        <f t="shared" si="238"/>
        <v>0</v>
      </c>
      <c r="M730" s="36">
        <f t="shared" si="239"/>
        <v>0</v>
      </c>
      <c r="N730" s="36">
        <f t="shared" si="240"/>
        <v>0</v>
      </c>
      <c r="O730" s="36">
        <f t="shared" si="241"/>
        <v>0</v>
      </c>
      <c r="P730" s="36">
        <f t="shared" si="242"/>
        <v>0</v>
      </c>
      <c r="Q730" s="36">
        <f t="shared" si="243"/>
        <v>0</v>
      </c>
      <c r="R730" s="36">
        <f t="shared" si="244"/>
        <v>0</v>
      </c>
      <c r="S730" s="36">
        <f t="shared" si="245"/>
        <v>0</v>
      </c>
      <c r="T730" s="36">
        <f t="shared" si="246"/>
        <v>0</v>
      </c>
      <c r="U730" s="36">
        <f t="shared" si="247"/>
        <v>0</v>
      </c>
      <c r="V730" s="36">
        <f t="shared" si="248"/>
        <v>0</v>
      </c>
      <c r="W730" s="36">
        <f t="shared" si="249"/>
        <v>0</v>
      </c>
      <c r="X730" s="36">
        <f t="shared" si="250"/>
        <v>0</v>
      </c>
      <c r="Y730" s="36">
        <f t="shared" si="251"/>
        <v>0</v>
      </c>
      <c r="Z730" s="36">
        <f t="shared" si="252"/>
        <v>0</v>
      </c>
      <c r="AB730" s="36" t="str">
        <f>IF(最佳化斷筋點!C730="","",最佳化斷筋點!C730)</f>
        <v/>
      </c>
      <c r="AC730" s="37" t="str">
        <f>IF(最佳化斷筋點!D730="","",最佳化斷筋點!D730)</f>
        <v/>
      </c>
      <c r="AD730" s="37" t="str">
        <f>IF(最佳化斷筋點!E730="","",最佳化斷筋點!E730)</f>
        <v/>
      </c>
      <c r="AE730" s="37" t="str">
        <f>IF(最佳化斷筋點!F730="","",最佳化斷筋點!F730)</f>
        <v/>
      </c>
      <c r="AF730" s="37" t="str">
        <f>IF(最佳化斷筋點!G730="","",最佳化斷筋點!G730)</f>
        <v/>
      </c>
      <c r="AG730" s="37" t="str">
        <f>IF(最佳化斷筋點!H730="","",最佳化斷筋點!H730)</f>
        <v/>
      </c>
      <c r="AH730" s="37" t="str">
        <f>IF(最佳化斷筋點!I730="","",最佳化斷筋點!I730)</f>
        <v/>
      </c>
      <c r="AI730" s="37" t="str">
        <f>IF(最佳化斷筋點!J730="","",最佳化斷筋點!J730)</f>
        <v/>
      </c>
      <c r="AJ730" s="37" t="str">
        <f>IF(最佳化斷筋點!K730="","",最佳化斷筋點!K730)</f>
        <v/>
      </c>
      <c r="AK730" s="37" t="str">
        <f>IF(最佳化斷筋點!L730="","",最佳化斷筋點!L730)</f>
        <v/>
      </c>
      <c r="AL730" s="37" t="str">
        <f>IF(最佳化斷筋點!M730="","",最佳化斷筋點!M730)</f>
        <v/>
      </c>
      <c r="AM730" s="37" t="str">
        <f>IF(最佳化斷筋點!N730="","",最佳化斷筋點!N730)</f>
        <v/>
      </c>
      <c r="AN730" s="37" t="str">
        <f>IF(最佳化斷筋點!O730="","",最佳化斷筋點!O730)</f>
        <v/>
      </c>
      <c r="AO730" s="37" t="str">
        <f>IF(最佳化斷筋點!P730="","",最佳化斷筋點!P730)</f>
        <v/>
      </c>
      <c r="AP730" s="37" t="str">
        <f>IF(最佳化斷筋點!Q730="","",最佳化斷筋點!Q730)</f>
        <v/>
      </c>
      <c r="AQ730" s="37" t="str">
        <f>IF(最佳化斷筋點!R730="","",最佳化斷筋點!R730)</f>
        <v/>
      </c>
      <c r="AR730" s="37" t="str">
        <f>IF(最佳化斷筋點!S730="","",最佳化斷筋點!S730)</f>
        <v/>
      </c>
      <c r="AS730" s="37" t="str">
        <f>IF(最佳化斷筋點!T730="","",最佳化斷筋點!T730)</f>
        <v/>
      </c>
      <c r="AT730" s="37" t="str">
        <f>IF(最佳化斷筋點!U730="","",最佳化斷筋點!U730)</f>
        <v/>
      </c>
      <c r="AU730" s="37" t="str">
        <f>IF(最佳化斷筋點!V730="","",最佳化斷筋點!V730)</f>
        <v/>
      </c>
      <c r="AV730" s="37" t="str">
        <f>IF(最佳化斷筋點!W730="","",最佳化斷筋點!W730)</f>
        <v/>
      </c>
      <c r="AW730" s="37" t="str">
        <f>IF(最佳化斷筋點!X730="","",最佳化斷筋點!X730)</f>
        <v/>
      </c>
      <c r="AZ730" s="37" t="s">
        <v>197</v>
      </c>
      <c r="BA730" s="37" t="s">
        <v>197</v>
      </c>
      <c r="BB730" s="37" t="s">
        <v>197</v>
      </c>
      <c r="BC730" s="37" t="s">
        <v>197</v>
      </c>
      <c r="BD730" s="37" t="s">
        <v>197</v>
      </c>
      <c r="BE730" s="37" t="s">
        <v>197</v>
      </c>
      <c r="BF730" s="37" t="s">
        <v>197</v>
      </c>
      <c r="BG730" s="37" t="s">
        <v>197</v>
      </c>
      <c r="BH730" s="37" t="s">
        <v>197</v>
      </c>
      <c r="BI730" s="37" t="s">
        <v>197</v>
      </c>
      <c r="BJ730" s="37" t="s">
        <v>197</v>
      </c>
      <c r="BK730" s="37" t="s">
        <v>197</v>
      </c>
      <c r="BL730" s="37" t="s">
        <v>197</v>
      </c>
      <c r="BM730" s="37" t="s">
        <v>197</v>
      </c>
      <c r="BN730" s="37" t="s">
        <v>197</v>
      </c>
      <c r="BO730" s="37" t="s">
        <v>197</v>
      </c>
      <c r="BP730" s="37" t="s">
        <v>197</v>
      </c>
      <c r="BQ730" s="37" t="s">
        <v>197</v>
      </c>
      <c r="BR730" s="37" t="s">
        <v>197</v>
      </c>
      <c r="BS730" s="37" t="s">
        <v>197</v>
      </c>
      <c r="BT730" s="37" t="s">
        <v>197</v>
      </c>
    </row>
    <row r="731" spans="5:72" x14ac:dyDescent="0.25">
      <c r="E731" s="36" t="s">
        <v>20</v>
      </c>
      <c r="F731" s="36">
        <f t="shared" si="232"/>
        <v>0</v>
      </c>
      <c r="G731" s="36">
        <f t="shared" si="233"/>
        <v>0</v>
      </c>
      <c r="H731" s="36">
        <f t="shared" si="234"/>
        <v>0</v>
      </c>
      <c r="I731" s="36">
        <f t="shared" si="235"/>
        <v>0</v>
      </c>
      <c r="J731" s="36">
        <f t="shared" si="236"/>
        <v>0</v>
      </c>
      <c r="K731" s="36">
        <f t="shared" si="237"/>
        <v>0</v>
      </c>
      <c r="L731" s="36">
        <f t="shared" si="238"/>
        <v>0</v>
      </c>
      <c r="M731" s="36">
        <f t="shared" si="239"/>
        <v>0</v>
      </c>
      <c r="N731" s="36">
        <f t="shared" si="240"/>
        <v>0</v>
      </c>
      <c r="O731" s="36">
        <f t="shared" si="241"/>
        <v>0</v>
      </c>
      <c r="P731" s="36">
        <f t="shared" si="242"/>
        <v>0</v>
      </c>
      <c r="Q731" s="36">
        <f t="shared" si="243"/>
        <v>0</v>
      </c>
      <c r="R731" s="36">
        <f t="shared" si="244"/>
        <v>0</v>
      </c>
      <c r="S731" s="36">
        <f t="shared" si="245"/>
        <v>0</v>
      </c>
      <c r="T731" s="36">
        <f t="shared" si="246"/>
        <v>0</v>
      </c>
      <c r="U731" s="36">
        <f t="shared" si="247"/>
        <v>0</v>
      </c>
      <c r="V731" s="36">
        <f t="shared" si="248"/>
        <v>0</v>
      </c>
      <c r="W731" s="36">
        <f t="shared" si="249"/>
        <v>0</v>
      </c>
      <c r="X731" s="36">
        <f t="shared" si="250"/>
        <v>0</v>
      </c>
      <c r="Y731" s="36">
        <f t="shared" si="251"/>
        <v>0</v>
      </c>
      <c r="Z731" s="36">
        <f t="shared" si="252"/>
        <v>0</v>
      </c>
      <c r="AB731" s="36" t="str">
        <f>IF(最佳化斷筋點!C731="","",最佳化斷筋點!C731)</f>
        <v>上層</v>
      </c>
      <c r="AC731" s="37">
        <f>IF(最佳化斷筋點!D731="","",最佳化斷筋點!D731)</f>
        <v>10</v>
      </c>
      <c r="AD731" s="37">
        <f>IF(最佳化斷筋點!E731="","",最佳化斷筋點!E731)</f>
        <v>10</v>
      </c>
      <c r="AE731" s="37">
        <f>IF(最佳化斷筋點!F731="","",最佳化斷筋點!F731)</f>
        <v>10</v>
      </c>
      <c r="AF731" s="37">
        <f>IF(最佳化斷筋點!G731="","",最佳化斷筋點!G731)</f>
        <v>10</v>
      </c>
      <c r="AG731" s="37">
        <f>IF(最佳化斷筋點!H731="","",最佳化斷筋點!H731)</f>
        <v>10</v>
      </c>
      <c r="AH731" s="37">
        <f>IF(最佳化斷筋點!I731="","",最佳化斷筋點!I731)</f>
        <v>10</v>
      </c>
      <c r="AI731" s="37">
        <f>IF(最佳化斷筋點!J731="","",最佳化斷筋點!J731)</f>
        <v>10</v>
      </c>
      <c r="AJ731" s="37">
        <f>IF(最佳化斷筋點!K731="","",最佳化斷筋點!K731)</f>
        <v>4</v>
      </c>
      <c r="AK731" s="37">
        <f>IF(最佳化斷筋點!L731="","",最佳化斷筋點!L731)</f>
        <v>4</v>
      </c>
      <c r="AL731" s="37">
        <f>IF(最佳化斷筋點!M731="","",最佳化斷筋點!M731)</f>
        <v>4</v>
      </c>
      <c r="AM731" s="37">
        <f>IF(最佳化斷筋點!N731="","",最佳化斷筋點!N731)</f>
        <v>4</v>
      </c>
      <c r="AN731" s="37">
        <f>IF(最佳化斷筋點!O731="","",最佳化斷筋點!O731)</f>
        <v>4</v>
      </c>
      <c r="AO731" s="37">
        <f>IF(最佳化斷筋點!P731="","",最佳化斷筋點!P731)</f>
        <v>4</v>
      </c>
      <c r="AP731" s="37">
        <f>IF(最佳化斷筋點!Q731="","",最佳化斷筋點!Q731)</f>
        <v>6</v>
      </c>
      <c r="AQ731" s="37">
        <f>IF(最佳化斷筋點!R731="","",最佳化斷筋點!R731)</f>
        <v>7</v>
      </c>
      <c r="AR731" s="37">
        <f>IF(最佳化斷筋點!S731="","",最佳化斷筋點!S731)</f>
        <v>8</v>
      </c>
      <c r="AS731" s="37">
        <f>IF(最佳化斷筋點!T731="","",最佳化斷筋點!T731)</f>
        <v>8</v>
      </c>
      <c r="AT731" s="37">
        <f>IF(最佳化斷筋點!U731="","",最佳化斷筋點!U731)</f>
        <v>8</v>
      </c>
      <c r="AU731" s="37">
        <f>IF(最佳化斷筋點!V731="","",最佳化斷筋點!V731)</f>
        <v>8</v>
      </c>
      <c r="AV731" s="37">
        <f>IF(最佳化斷筋點!W731="","",最佳化斷筋點!W731)</f>
        <v>8</v>
      </c>
      <c r="AW731" s="37">
        <f>IF(最佳化斷筋點!X731="","",最佳化斷筋點!X731)</f>
        <v>8</v>
      </c>
      <c r="AZ731" s="37">
        <v>10</v>
      </c>
      <c r="BA731" s="37">
        <v>10</v>
      </c>
      <c r="BB731" s="37">
        <v>10</v>
      </c>
      <c r="BC731" s="37">
        <v>10</v>
      </c>
      <c r="BD731" s="37">
        <v>10</v>
      </c>
      <c r="BE731" s="37">
        <v>10</v>
      </c>
      <c r="BF731" s="37">
        <v>10</v>
      </c>
      <c r="BG731" s="37">
        <v>4</v>
      </c>
      <c r="BH731" s="37">
        <v>4</v>
      </c>
      <c r="BI731" s="37">
        <v>4</v>
      </c>
      <c r="BJ731" s="37">
        <v>4</v>
      </c>
      <c r="BK731" s="37">
        <v>4</v>
      </c>
      <c r="BL731" s="37">
        <v>4</v>
      </c>
      <c r="BM731" s="37">
        <v>6</v>
      </c>
      <c r="BN731" s="37">
        <v>7</v>
      </c>
      <c r="BO731" s="37">
        <v>8</v>
      </c>
      <c r="BP731" s="37">
        <v>8</v>
      </c>
      <c r="BQ731" s="37">
        <v>8</v>
      </c>
      <c r="BR731" s="37">
        <v>8</v>
      </c>
      <c r="BS731" s="37">
        <v>8</v>
      </c>
      <c r="BT731" s="37">
        <v>8</v>
      </c>
    </row>
    <row r="732" spans="5:72" x14ac:dyDescent="0.25">
      <c r="E732" s="36"/>
      <c r="F732" s="36">
        <f t="shared" si="232"/>
        <v>0</v>
      </c>
      <c r="G732" s="36">
        <f t="shared" si="233"/>
        <v>0</v>
      </c>
      <c r="H732" s="36">
        <f t="shared" si="234"/>
        <v>0</v>
      </c>
      <c r="I732" s="36">
        <f t="shared" si="235"/>
        <v>0</v>
      </c>
      <c r="J732" s="36">
        <f t="shared" si="236"/>
        <v>0</v>
      </c>
      <c r="K732" s="36">
        <f t="shared" si="237"/>
        <v>0</v>
      </c>
      <c r="L732" s="36">
        <f t="shared" si="238"/>
        <v>0</v>
      </c>
      <c r="M732" s="36">
        <f t="shared" si="239"/>
        <v>0</v>
      </c>
      <c r="N732" s="36">
        <f t="shared" si="240"/>
        <v>0</v>
      </c>
      <c r="O732" s="36">
        <f t="shared" si="241"/>
        <v>0</v>
      </c>
      <c r="P732" s="36">
        <f t="shared" si="242"/>
        <v>0</v>
      </c>
      <c r="Q732" s="36">
        <f t="shared" si="243"/>
        <v>0</v>
      </c>
      <c r="R732" s="36">
        <f t="shared" si="244"/>
        <v>0</v>
      </c>
      <c r="S732" s="36">
        <f t="shared" si="245"/>
        <v>0</v>
      </c>
      <c r="T732" s="36">
        <f t="shared" si="246"/>
        <v>0</v>
      </c>
      <c r="U732" s="36">
        <f t="shared" si="247"/>
        <v>0</v>
      </c>
      <c r="V732" s="36">
        <f t="shared" si="248"/>
        <v>0</v>
      </c>
      <c r="W732" s="36">
        <f t="shared" si="249"/>
        <v>0</v>
      </c>
      <c r="X732" s="36">
        <f t="shared" si="250"/>
        <v>0</v>
      </c>
      <c r="Y732" s="36">
        <f t="shared" si="251"/>
        <v>0</v>
      </c>
      <c r="Z732" s="36">
        <f t="shared" si="252"/>
        <v>0</v>
      </c>
      <c r="AB732" s="36" t="str">
        <f>IF(最佳化斷筋點!C732="","",最佳化斷筋點!C732)</f>
        <v/>
      </c>
      <c r="AC732" s="37" t="str">
        <f>IF(最佳化斷筋點!D732="","",最佳化斷筋點!D732)</f>
        <v/>
      </c>
      <c r="AD732" s="37" t="str">
        <f>IF(最佳化斷筋點!E732="","",最佳化斷筋點!E732)</f>
        <v/>
      </c>
      <c r="AE732" s="37" t="str">
        <f>IF(最佳化斷筋點!F732="","",最佳化斷筋點!F732)</f>
        <v/>
      </c>
      <c r="AF732" s="37" t="str">
        <f>IF(最佳化斷筋點!G732="","",最佳化斷筋點!G732)</f>
        <v/>
      </c>
      <c r="AG732" s="37" t="str">
        <f>IF(最佳化斷筋點!H732="","",最佳化斷筋點!H732)</f>
        <v/>
      </c>
      <c r="AH732" s="37" t="str">
        <f>IF(最佳化斷筋點!I732="","",最佳化斷筋點!I732)</f>
        <v/>
      </c>
      <c r="AI732" s="37" t="str">
        <f>IF(最佳化斷筋點!J732="","",最佳化斷筋點!J732)</f>
        <v/>
      </c>
      <c r="AJ732" s="37" t="str">
        <f>IF(最佳化斷筋點!K732="","",最佳化斷筋點!K732)</f>
        <v/>
      </c>
      <c r="AK732" s="37" t="str">
        <f>IF(最佳化斷筋點!L732="","",最佳化斷筋點!L732)</f>
        <v/>
      </c>
      <c r="AL732" s="37" t="str">
        <f>IF(最佳化斷筋點!M732="","",最佳化斷筋點!M732)</f>
        <v/>
      </c>
      <c r="AM732" s="37" t="str">
        <f>IF(最佳化斷筋點!N732="","",最佳化斷筋點!N732)</f>
        <v/>
      </c>
      <c r="AN732" s="37" t="str">
        <f>IF(最佳化斷筋點!O732="","",最佳化斷筋點!O732)</f>
        <v/>
      </c>
      <c r="AO732" s="37" t="str">
        <f>IF(最佳化斷筋點!P732="","",最佳化斷筋點!P732)</f>
        <v/>
      </c>
      <c r="AP732" s="37" t="str">
        <f>IF(最佳化斷筋點!Q732="","",最佳化斷筋點!Q732)</f>
        <v/>
      </c>
      <c r="AQ732" s="37" t="str">
        <f>IF(最佳化斷筋點!R732="","",最佳化斷筋點!R732)</f>
        <v/>
      </c>
      <c r="AR732" s="37" t="str">
        <f>IF(最佳化斷筋點!S732="","",最佳化斷筋點!S732)</f>
        <v/>
      </c>
      <c r="AS732" s="37" t="str">
        <f>IF(最佳化斷筋點!T732="","",最佳化斷筋點!T732)</f>
        <v/>
      </c>
      <c r="AT732" s="37" t="str">
        <f>IF(最佳化斷筋點!U732="","",最佳化斷筋點!U732)</f>
        <v/>
      </c>
      <c r="AU732" s="37" t="str">
        <f>IF(最佳化斷筋點!V732="","",最佳化斷筋點!V732)</f>
        <v/>
      </c>
      <c r="AV732" s="37" t="str">
        <f>IF(最佳化斷筋點!W732="","",最佳化斷筋點!W732)</f>
        <v/>
      </c>
      <c r="AW732" s="37" t="str">
        <f>IF(最佳化斷筋點!X732="","",最佳化斷筋點!X732)</f>
        <v/>
      </c>
      <c r="AZ732" s="37" t="s">
        <v>197</v>
      </c>
      <c r="BA732" s="37" t="s">
        <v>197</v>
      </c>
      <c r="BB732" s="37" t="s">
        <v>197</v>
      </c>
      <c r="BC732" s="37" t="s">
        <v>197</v>
      </c>
      <c r="BD732" s="37" t="s">
        <v>197</v>
      </c>
      <c r="BE732" s="37" t="s">
        <v>197</v>
      </c>
      <c r="BF732" s="37" t="s">
        <v>197</v>
      </c>
      <c r="BG732" s="37" t="s">
        <v>197</v>
      </c>
      <c r="BH732" s="37" t="s">
        <v>197</v>
      </c>
      <c r="BI732" s="37" t="s">
        <v>197</v>
      </c>
      <c r="BJ732" s="37" t="s">
        <v>197</v>
      </c>
      <c r="BK732" s="37" t="s">
        <v>197</v>
      </c>
      <c r="BL732" s="37" t="s">
        <v>197</v>
      </c>
      <c r="BM732" s="37" t="s">
        <v>197</v>
      </c>
      <c r="BN732" s="37" t="s">
        <v>197</v>
      </c>
      <c r="BO732" s="37" t="s">
        <v>197</v>
      </c>
      <c r="BP732" s="37" t="s">
        <v>197</v>
      </c>
      <c r="BQ732" s="37" t="s">
        <v>197</v>
      </c>
      <c r="BR732" s="37" t="s">
        <v>197</v>
      </c>
      <c r="BS732" s="37" t="s">
        <v>197</v>
      </c>
      <c r="BT732" s="37" t="s">
        <v>197</v>
      </c>
    </row>
    <row r="733" spans="5:72" x14ac:dyDescent="0.25">
      <c r="E733" s="36" t="s">
        <v>21</v>
      </c>
      <c r="F733" s="36">
        <f t="shared" si="232"/>
        <v>0</v>
      </c>
      <c r="G733" s="36">
        <f t="shared" si="233"/>
        <v>0</v>
      </c>
      <c r="H733" s="36">
        <f t="shared" si="234"/>
        <v>0</v>
      </c>
      <c r="I733" s="36">
        <f t="shared" si="235"/>
        <v>0</v>
      </c>
      <c r="J733" s="36">
        <f t="shared" si="236"/>
        <v>0</v>
      </c>
      <c r="K733" s="36">
        <f t="shared" si="237"/>
        <v>0</v>
      </c>
      <c r="L733" s="36">
        <f t="shared" si="238"/>
        <v>0</v>
      </c>
      <c r="M733" s="36">
        <f t="shared" si="239"/>
        <v>0</v>
      </c>
      <c r="N733" s="36">
        <f t="shared" si="240"/>
        <v>0</v>
      </c>
      <c r="O733" s="36">
        <f t="shared" si="241"/>
        <v>0</v>
      </c>
      <c r="P733" s="36">
        <f t="shared" si="242"/>
        <v>0</v>
      </c>
      <c r="Q733" s="36">
        <f t="shared" si="243"/>
        <v>0</v>
      </c>
      <c r="R733" s="36">
        <f t="shared" si="244"/>
        <v>0</v>
      </c>
      <c r="S733" s="36">
        <f t="shared" si="245"/>
        <v>0</v>
      </c>
      <c r="T733" s="36">
        <f t="shared" si="246"/>
        <v>0</v>
      </c>
      <c r="U733" s="36">
        <f t="shared" si="247"/>
        <v>0</v>
      </c>
      <c r="V733" s="36">
        <f t="shared" si="248"/>
        <v>0</v>
      </c>
      <c r="W733" s="36">
        <f t="shared" si="249"/>
        <v>0</v>
      </c>
      <c r="X733" s="36">
        <f t="shared" si="250"/>
        <v>0</v>
      </c>
      <c r="Y733" s="36">
        <f t="shared" si="251"/>
        <v>0</v>
      </c>
      <c r="Z733" s="36">
        <f t="shared" si="252"/>
        <v>0</v>
      </c>
      <c r="AB733" s="36" t="str">
        <f>IF(最佳化斷筋點!C733="","",最佳化斷筋點!C733)</f>
        <v>下層</v>
      </c>
      <c r="AC733" s="37">
        <f>IF(最佳化斷筋點!D733="","",最佳化斷筋點!D733)</f>
        <v>12</v>
      </c>
      <c r="AD733" s="37">
        <f>IF(最佳化斷筋點!E733="","",最佳化斷筋點!E733)</f>
        <v>12</v>
      </c>
      <c r="AE733" s="37">
        <f>IF(最佳化斷筋點!F733="","",最佳化斷筋點!F733)</f>
        <v>12</v>
      </c>
      <c r="AF733" s="37">
        <f>IF(最佳化斷筋點!G733="","",最佳化斷筋點!G733)</f>
        <v>12</v>
      </c>
      <c r="AG733" s="37">
        <f>IF(最佳化斷筋點!H733="","",最佳化斷筋點!H733)</f>
        <v>12</v>
      </c>
      <c r="AH733" s="37">
        <f>IF(最佳化斷筋點!I733="","",最佳化斷筋點!I733)</f>
        <v>11</v>
      </c>
      <c r="AI733" s="37">
        <f>IF(最佳化斷筋點!J733="","",最佳化斷筋點!J733)</f>
        <v>10</v>
      </c>
      <c r="AJ733" s="37">
        <f>IF(最佳化斷筋點!K733="","",最佳化斷筋點!K733)</f>
        <v>5</v>
      </c>
      <c r="AK733" s="37">
        <f>IF(最佳化斷筋點!L733="","",最佳化斷筋點!L733)</f>
        <v>5</v>
      </c>
      <c r="AL733" s="37">
        <f>IF(最佳化斷筋點!M733="","",最佳化斷筋點!M733)</f>
        <v>5</v>
      </c>
      <c r="AM733" s="37">
        <f>IF(最佳化斷筋點!N733="","",最佳化斷筋點!N733)</f>
        <v>5</v>
      </c>
      <c r="AN733" s="37">
        <f>IF(最佳化斷筋點!O733="","",最佳化斷筋點!O733)</f>
        <v>5</v>
      </c>
      <c r="AO733" s="37">
        <f>IF(最佳化斷筋點!P733="","",最佳化斷筋點!P733)</f>
        <v>5</v>
      </c>
      <c r="AP733" s="37">
        <f>IF(最佳化斷筋點!Q733="","",最佳化斷筋點!Q733)</f>
        <v>9</v>
      </c>
      <c r="AQ733" s="37">
        <f>IF(最佳化斷筋點!R733="","",最佳化斷筋點!R733)</f>
        <v>10</v>
      </c>
      <c r="AR733" s="37">
        <f>IF(最佳化斷筋點!S733="","",最佳化斷筋點!S733)</f>
        <v>11</v>
      </c>
      <c r="AS733" s="37">
        <f>IF(最佳化斷筋點!T733="","",最佳化斷筋點!T733)</f>
        <v>12</v>
      </c>
      <c r="AT733" s="37">
        <f>IF(最佳化斷筋點!U733="","",最佳化斷筋點!U733)</f>
        <v>12</v>
      </c>
      <c r="AU733" s="37">
        <f>IF(最佳化斷筋點!V733="","",最佳化斷筋點!V733)</f>
        <v>12</v>
      </c>
      <c r="AV733" s="37">
        <f>IF(最佳化斷筋點!W733="","",最佳化斷筋點!W733)</f>
        <v>12</v>
      </c>
      <c r="AW733" s="37">
        <f>IF(最佳化斷筋點!X733="","",最佳化斷筋點!X733)</f>
        <v>12</v>
      </c>
      <c r="AZ733" s="37">
        <v>12</v>
      </c>
      <c r="BA733" s="37">
        <v>12</v>
      </c>
      <c r="BB733" s="37">
        <v>12</v>
      </c>
      <c r="BC733" s="37">
        <v>12</v>
      </c>
      <c r="BD733" s="37">
        <v>12</v>
      </c>
      <c r="BE733" s="37">
        <v>11</v>
      </c>
      <c r="BF733" s="37">
        <v>10</v>
      </c>
      <c r="BG733" s="37">
        <v>5</v>
      </c>
      <c r="BH733" s="37">
        <v>5</v>
      </c>
      <c r="BI733" s="37">
        <v>5</v>
      </c>
      <c r="BJ733" s="37">
        <v>5</v>
      </c>
      <c r="BK733" s="37">
        <v>5</v>
      </c>
      <c r="BL733" s="37">
        <v>5</v>
      </c>
      <c r="BM733" s="37">
        <v>9</v>
      </c>
      <c r="BN733" s="37">
        <v>10</v>
      </c>
      <c r="BO733" s="37">
        <v>11</v>
      </c>
      <c r="BP733" s="37">
        <v>12</v>
      </c>
      <c r="BQ733" s="37">
        <v>12</v>
      </c>
      <c r="BR733" s="37">
        <v>12</v>
      </c>
      <c r="BS733" s="37">
        <v>12</v>
      </c>
      <c r="BT733" s="37">
        <v>12</v>
      </c>
    </row>
    <row r="734" spans="5:72" x14ac:dyDescent="0.25">
      <c r="E734" s="36"/>
      <c r="F734" s="36">
        <f t="shared" si="232"/>
        <v>0</v>
      </c>
      <c r="G734" s="36">
        <f t="shared" si="233"/>
        <v>0</v>
      </c>
      <c r="H734" s="36">
        <f t="shared" si="234"/>
        <v>0</v>
      </c>
      <c r="I734" s="36">
        <f t="shared" si="235"/>
        <v>0</v>
      </c>
      <c r="J734" s="36">
        <f t="shared" si="236"/>
        <v>0</v>
      </c>
      <c r="K734" s="36">
        <f t="shared" si="237"/>
        <v>0</v>
      </c>
      <c r="L734" s="36">
        <f t="shared" si="238"/>
        <v>0</v>
      </c>
      <c r="M734" s="36">
        <f t="shared" si="239"/>
        <v>0</v>
      </c>
      <c r="N734" s="36">
        <f t="shared" si="240"/>
        <v>0</v>
      </c>
      <c r="O734" s="36">
        <f t="shared" si="241"/>
        <v>0</v>
      </c>
      <c r="P734" s="36">
        <f t="shared" si="242"/>
        <v>0</v>
      </c>
      <c r="Q734" s="36">
        <f t="shared" si="243"/>
        <v>0</v>
      </c>
      <c r="R734" s="36">
        <f t="shared" si="244"/>
        <v>0</v>
      </c>
      <c r="S734" s="36">
        <f t="shared" si="245"/>
        <v>0</v>
      </c>
      <c r="T734" s="36">
        <f t="shared" si="246"/>
        <v>0</v>
      </c>
      <c r="U734" s="36">
        <f t="shared" si="247"/>
        <v>0</v>
      </c>
      <c r="V734" s="36">
        <f t="shared" si="248"/>
        <v>0</v>
      </c>
      <c r="W734" s="36">
        <f t="shared" si="249"/>
        <v>0</v>
      </c>
      <c r="X734" s="36">
        <f t="shared" si="250"/>
        <v>0</v>
      </c>
      <c r="Y734" s="36">
        <f t="shared" si="251"/>
        <v>0</v>
      </c>
      <c r="Z734" s="36">
        <f t="shared" si="252"/>
        <v>0</v>
      </c>
      <c r="AB734" s="36" t="str">
        <f>IF(最佳化斷筋點!C734="","",最佳化斷筋點!C734)</f>
        <v/>
      </c>
      <c r="AC734" s="37" t="str">
        <f>IF(最佳化斷筋點!D734="","",最佳化斷筋點!D734)</f>
        <v/>
      </c>
      <c r="AD734" s="37" t="str">
        <f>IF(最佳化斷筋點!E734="","",最佳化斷筋點!E734)</f>
        <v/>
      </c>
      <c r="AE734" s="37" t="str">
        <f>IF(最佳化斷筋點!F734="","",最佳化斷筋點!F734)</f>
        <v/>
      </c>
      <c r="AF734" s="37" t="str">
        <f>IF(最佳化斷筋點!G734="","",最佳化斷筋點!G734)</f>
        <v/>
      </c>
      <c r="AG734" s="37" t="str">
        <f>IF(最佳化斷筋點!H734="","",最佳化斷筋點!H734)</f>
        <v/>
      </c>
      <c r="AH734" s="37" t="str">
        <f>IF(最佳化斷筋點!I734="","",最佳化斷筋點!I734)</f>
        <v/>
      </c>
      <c r="AI734" s="37" t="str">
        <f>IF(最佳化斷筋點!J734="","",最佳化斷筋點!J734)</f>
        <v/>
      </c>
      <c r="AJ734" s="37" t="str">
        <f>IF(最佳化斷筋點!K734="","",最佳化斷筋點!K734)</f>
        <v/>
      </c>
      <c r="AK734" s="37" t="str">
        <f>IF(最佳化斷筋點!L734="","",最佳化斷筋點!L734)</f>
        <v/>
      </c>
      <c r="AL734" s="37" t="str">
        <f>IF(最佳化斷筋點!M734="","",最佳化斷筋點!M734)</f>
        <v/>
      </c>
      <c r="AM734" s="37" t="str">
        <f>IF(最佳化斷筋點!N734="","",最佳化斷筋點!N734)</f>
        <v/>
      </c>
      <c r="AN734" s="37" t="str">
        <f>IF(最佳化斷筋點!O734="","",最佳化斷筋點!O734)</f>
        <v/>
      </c>
      <c r="AO734" s="37" t="str">
        <f>IF(最佳化斷筋點!P734="","",最佳化斷筋點!P734)</f>
        <v/>
      </c>
      <c r="AP734" s="37" t="str">
        <f>IF(最佳化斷筋點!Q734="","",最佳化斷筋點!Q734)</f>
        <v/>
      </c>
      <c r="AQ734" s="37" t="str">
        <f>IF(最佳化斷筋點!R734="","",最佳化斷筋點!R734)</f>
        <v/>
      </c>
      <c r="AR734" s="37" t="str">
        <f>IF(最佳化斷筋點!S734="","",最佳化斷筋點!S734)</f>
        <v/>
      </c>
      <c r="AS734" s="37" t="str">
        <f>IF(最佳化斷筋點!T734="","",最佳化斷筋點!T734)</f>
        <v/>
      </c>
      <c r="AT734" s="37" t="str">
        <f>IF(最佳化斷筋點!U734="","",最佳化斷筋點!U734)</f>
        <v/>
      </c>
      <c r="AU734" s="37" t="str">
        <f>IF(最佳化斷筋點!V734="","",最佳化斷筋點!V734)</f>
        <v/>
      </c>
      <c r="AV734" s="37" t="str">
        <f>IF(最佳化斷筋點!W734="","",最佳化斷筋點!W734)</f>
        <v/>
      </c>
      <c r="AW734" s="37" t="str">
        <f>IF(最佳化斷筋點!X734="","",最佳化斷筋點!X734)</f>
        <v/>
      </c>
      <c r="AZ734" s="37" t="s">
        <v>197</v>
      </c>
      <c r="BA734" s="37" t="s">
        <v>197</v>
      </c>
      <c r="BB734" s="37" t="s">
        <v>197</v>
      </c>
      <c r="BC734" s="37" t="s">
        <v>197</v>
      </c>
      <c r="BD734" s="37" t="s">
        <v>197</v>
      </c>
      <c r="BE734" s="37" t="s">
        <v>197</v>
      </c>
      <c r="BF734" s="37" t="s">
        <v>197</v>
      </c>
      <c r="BG734" s="37" t="s">
        <v>197</v>
      </c>
      <c r="BH734" s="37" t="s">
        <v>197</v>
      </c>
      <c r="BI734" s="37" t="s">
        <v>197</v>
      </c>
      <c r="BJ734" s="37" t="s">
        <v>197</v>
      </c>
      <c r="BK734" s="37" t="s">
        <v>197</v>
      </c>
      <c r="BL734" s="37" t="s">
        <v>197</v>
      </c>
      <c r="BM734" s="37" t="s">
        <v>197</v>
      </c>
      <c r="BN734" s="37" t="s">
        <v>197</v>
      </c>
      <c r="BO734" s="37" t="s">
        <v>197</v>
      </c>
      <c r="BP734" s="37" t="s">
        <v>197</v>
      </c>
      <c r="BQ734" s="37" t="s">
        <v>197</v>
      </c>
      <c r="BR734" s="37" t="s">
        <v>197</v>
      </c>
      <c r="BS734" s="37" t="s">
        <v>197</v>
      </c>
      <c r="BT734" s="37" t="s">
        <v>197</v>
      </c>
    </row>
    <row r="735" spans="5:72" x14ac:dyDescent="0.25">
      <c r="E735" s="36" t="s">
        <v>20</v>
      </c>
      <c r="F735" s="36">
        <f t="shared" si="232"/>
        <v>0</v>
      </c>
      <c r="G735" s="36">
        <f t="shared" si="233"/>
        <v>0</v>
      </c>
      <c r="H735" s="36">
        <f t="shared" si="234"/>
        <v>0</v>
      </c>
      <c r="I735" s="36">
        <f t="shared" si="235"/>
        <v>0</v>
      </c>
      <c r="J735" s="36">
        <f t="shared" si="236"/>
        <v>0</v>
      </c>
      <c r="K735" s="36">
        <f t="shared" si="237"/>
        <v>0</v>
      </c>
      <c r="L735" s="36">
        <f t="shared" si="238"/>
        <v>0</v>
      </c>
      <c r="M735" s="36">
        <f t="shared" si="239"/>
        <v>0</v>
      </c>
      <c r="N735" s="36">
        <f t="shared" si="240"/>
        <v>0</v>
      </c>
      <c r="O735" s="36">
        <f t="shared" si="241"/>
        <v>0</v>
      </c>
      <c r="P735" s="36">
        <f t="shared" si="242"/>
        <v>0</v>
      </c>
      <c r="Q735" s="36">
        <f t="shared" si="243"/>
        <v>0</v>
      </c>
      <c r="R735" s="36">
        <f t="shared" si="244"/>
        <v>0</v>
      </c>
      <c r="S735" s="36">
        <f t="shared" si="245"/>
        <v>0</v>
      </c>
      <c r="T735" s="36">
        <f t="shared" si="246"/>
        <v>0</v>
      </c>
      <c r="U735" s="36">
        <f t="shared" si="247"/>
        <v>0</v>
      </c>
      <c r="V735" s="36">
        <f t="shared" si="248"/>
        <v>0</v>
      </c>
      <c r="W735" s="36">
        <f t="shared" si="249"/>
        <v>0</v>
      </c>
      <c r="X735" s="36">
        <f t="shared" si="250"/>
        <v>0</v>
      </c>
      <c r="Y735" s="36">
        <f t="shared" si="251"/>
        <v>0</v>
      </c>
      <c r="Z735" s="36">
        <f t="shared" si="252"/>
        <v>0</v>
      </c>
      <c r="AB735" s="36" t="str">
        <f>IF(最佳化斷筋點!C735="","",最佳化斷筋點!C735)</f>
        <v>上層</v>
      </c>
      <c r="AC735" s="37">
        <f>IF(最佳化斷筋點!D735="","",最佳化斷筋點!D735)</f>
        <v>8</v>
      </c>
      <c r="AD735" s="37">
        <f>IF(最佳化斷筋點!E735="","",最佳化斷筋點!E735)</f>
        <v>8</v>
      </c>
      <c r="AE735" s="37">
        <f>IF(最佳化斷筋點!F735="","",最佳化斷筋點!F735)</f>
        <v>8</v>
      </c>
      <c r="AF735" s="37">
        <f>IF(最佳化斷筋點!G735="","",最佳化斷筋點!G735)</f>
        <v>8</v>
      </c>
      <c r="AG735" s="37">
        <f>IF(最佳化斷筋點!H735="","",最佳化斷筋點!H735)</f>
        <v>8</v>
      </c>
      <c r="AH735" s="37">
        <f>IF(最佳化斷筋點!I735="","",最佳化斷筋點!I735)</f>
        <v>8</v>
      </c>
      <c r="AI735" s="37">
        <f>IF(最佳化斷筋點!J735="","",最佳化斷筋點!J735)</f>
        <v>8</v>
      </c>
      <c r="AJ735" s="37">
        <f>IF(最佳化斷筋點!K735="","",最佳化斷筋點!K735)</f>
        <v>8</v>
      </c>
      <c r="AK735" s="37">
        <f>IF(最佳化斷筋點!L735="","",最佳化斷筋點!L735)</f>
        <v>8</v>
      </c>
      <c r="AL735" s="37">
        <f>IF(最佳化斷筋點!M735="","",最佳化斷筋點!M735)</f>
        <v>7</v>
      </c>
      <c r="AM735" s="37">
        <f>IF(最佳化斷筋點!N735="","",最佳化斷筋點!N735)</f>
        <v>6</v>
      </c>
      <c r="AN735" s="37">
        <f>IF(最佳化斷筋點!O735="","",最佳化斷筋點!O735)</f>
        <v>7</v>
      </c>
      <c r="AO735" s="37">
        <f>IF(最佳化斷筋點!P735="","",最佳化斷筋點!P735)</f>
        <v>8</v>
      </c>
      <c r="AP735" s="37">
        <f>IF(最佳化斷筋點!Q735="","",最佳化斷筋點!Q735)</f>
        <v>9</v>
      </c>
      <c r="AQ735" s="37">
        <f>IF(最佳化斷筋點!R735="","",最佳化斷筋點!R735)</f>
        <v>9</v>
      </c>
      <c r="AR735" s="37">
        <f>IF(最佳化斷筋點!S735="","",最佳化斷筋點!S735)</f>
        <v>9</v>
      </c>
      <c r="AS735" s="37">
        <f>IF(最佳化斷筋點!T735="","",最佳化斷筋點!T735)</f>
        <v>9</v>
      </c>
      <c r="AT735" s="37">
        <f>IF(最佳化斷筋點!U735="","",最佳化斷筋點!U735)</f>
        <v>9</v>
      </c>
      <c r="AU735" s="37">
        <f>IF(最佳化斷筋點!V735="","",最佳化斷筋點!V735)</f>
        <v>9</v>
      </c>
      <c r="AV735" s="37">
        <f>IF(最佳化斷筋點!W735="","",最佳化斷筋點!W735)</f>
        <v>9</v>
      </c>
      <c r="AW735" s="37">
        <f>IF(最佳化斷筋點!X735="","",最佳化斷筋點!X735)</f>
        <v>9</v>
      </c>
      <c r="AZ735" s="37">
        <v>8</v>
      </c>
      <c r="BA735" s="37">
        <v>8</v>
      </c>
      <c r="BB735" s="37">
        <v>8</v>
      </c>
      <c r="BC735" s="37">
        <v>8</v>
      </c>
      <c r="BD735" s="37">
        <v>8</v>
      </c>
      <c r="BE735" s="37">
        <v>8</v>
      </c>
      <c r="BF735" s="37">
        <v>8</v>
      </c>
      <c r="BG735" s="37">
        <v>8</v>
      </c>
      <c r="BH735" s="37">
        <v>8</v>
      </c>
      <c r="BI735" s="37">
        <v>7</v>
      </c>
      <c r="BJ735" s="37">
        <v>6</v>
      </c>
      <c r="BK735" s="37">
        <v>7</v>
      </c>
      <c r="BL735" s="37">
        <v>8</v>
      </c>
      <c r="BM735" s="37">
        <v>9</v>
      </c>
      <c r="BN735" s="37">
        <v>9</v>
      </c>
      <c r="BO735" s="37">
        <v>9</v>
      </c>
      <c r="BP735" s="37">
        <v>9</v>
      </c>
      <c r="BQ735" s="37">
        <v>9</v>
      </c>
      <c r="BR735" s="37">
        <v>9</v>
      </c>
      <c r="BS735" s="37">
        <v>9</v>
      </c>
      <c r="BT735" s="37">
        <v>9</v>
      </c>
    </row>
    <row r="736" spans="5:72" x14ac:dyDescent="0.25">
      <c r="E736" s="36"/>
      <c r="F736" s="36">
        <f t="shared" si="232"/>
        <v>0</v>
      </c>
      <c r="G736" s="36">
        <f t="shared" si="233"/>
        <v>0</v>
      </c>
      <c r="H736" s="36">
        <f t="shared" si="234"/>
        <v>0</v>
      </c>
      <c r="I736" s="36">
        <f t="shared" si="235"/>
        <v>0</v>
      </c>
      <c r="J736" s="36">
        <f t="shared" si="236"/>
        <v>0</v>
      </c>
      <c r="K736" s="36">
        <f t="shared" si="237"/>
        <v>0</v>
      </c>
      <c r="L736" s="36">
        <f t="shared" si="238"/>
        <v>0</v>
      </c>
      <c r="M736" s="36">
        <f t="shared" si="239"/>
        <v>0</v>
      </c>
      <c r="N736" s="36">
        <f t="shared" si="240"/>
        <v>0</v>
      </c>
      <c r="O736" s="36">
        <f t="shared" si="241"/>
        <v>0</v>
      </c>
      <c r="P736" s="36">
        <f t="shared" si="242"/>
        <v>0</v>
      </c>
      <c r="Q736" s="36">
        <f t="shared" si="243"/>
        <v>0</v>
      </c>
      <c r="R736" s="36">
        <f t="shared" si="244"/>
        <v>0</v>
      </c>
      <c r="S736" s="36">
        <f t="shared" si="245"/>
        <v>0</v>
      </c>
      <c r="T736" s="36">
        <f t="shared" si="246"/>
        <v>0</v>
      </c>
      <c r="U736" s="36">
        <f t="shared" si="247"/>
        <v>0</v>
      </c>
      <c r="V736" s="36">
        <f t="shared" si="248"/>
        <v>0</v>
      </c>
      <c r="W736" s="36">
        <f t="shared" si="249"/>
        <v>0</v>
      </c>
      <c r="X736" s="36">
        <f t="shared" si="250"/>
        <v>0</v>
      </c>
      <c r="Y736" s="36">
        <f t="shared" si="251"/>
        <v>0</v>
      </c>
      <c r="Z736" s="36">
        <f t="shared" si="252"/>
        <v>0</v>
      </c>
      <c r="AB736" s="36" t="str">
        <f>IF(最佳化斷筋點!C736="","",最佳化斷筋點!C736)</f>
        <v/>
      </c>
      <c r="AC736" s="37" t="str">
        <f>IF(最佳化斷筋點!D736="","",最佳化斷筋點!D736)</f>
        <v/>
      </c>
      <c r="AD736" s="37" t="str">
        <f>IF(最佳化斷筋點!E736="","",最佳化斷筋點!E736)</f>
        <v/>
      </c>
      <c r="AE736" s="37" t="str">
        <f>IF(最佳化斷筋點!F736="","",最佳化斷筋點!F736)</f>
        <v/>
      </c>
      <c r="AF736" s="37" t="str">
        <f>IF(最佳化斷筋點!G736="","",最佳化斷筋點!G736)</f>
        <v/>
      </c>
      <c r="AG736" s="37" t="str">
        <f>IF(最佳化斷筋點!H736="","",最佳化斷筋點!H736)</f>
        <v/>
      </c>
      <c r="AH736" s="37" t="str">
        <f>IF(最佳化斷筋點!I736="","",最佳化斷筋點!I736)</f>
        <v/>
      </c>
      <c r="AI736" s="37" t="str">
        <f>IF(最佳化斷筋點!J736="","",最佳化斷筋點!J736)</f>
        <v/>
      </c>
      <c r="AJ736" s="37" t="str">
        <f>IF(最佳化斷筋點!K736="","",最佳化斷筋點!K736)</f>
        <v/>
      </c>
      <c r="AK736" s="37" t="str">
        <f>IF(最佳化斷筋點!L736="","",最佳化斷筋點!L736)</f>
        <v/>
      </c>
      <c r="AL736" s="37" t="str">
        <f>IF(最佳化斷筋點!M736="","",最佳化斷筋點!M736)</f>
        <v/>
      </c>
      <c r="AM736" s="37" t="str">
        <f>IF(最佳化斷筋點!N736="","",最佳化斷筋點!N736)</f>
        <v/>
      </c>
      <c r="AN736" s="37" t="str">
        <f>IF(最佳化斷筋點!O736="","",最佳化斷筋點!O736)</f>
        <v/>
      </c>
      <c r="AO736" s="37" t="str">
        <f>IF(最佳化斷筋點!P736="","",最佳化斷筋點!P736)</f>
        <v/>
      </c>
      <c r="AP736" s="37" t="str">
        <f>IF(最佳化斷筋點!Q736="","",最佳化斷筋點!Q736)</f>
        <v/>
      </c>
      <c r="AQ736" s="37" t="str">
        <f>IF(最佳化斷筋點!R736="","",最佳化斷筋點!R736)</f>
        <v/>
      </c>
      <c r="AR736" s="37" t="str">
        <f>IF(最佳化斷筋點!S736="","",最佳化斷筋點!S736)</f>
        <v/>
      </c>
      <c r="AS736" s="37" t="str">
        <f>IF(最佳化斷筋點!T736="","",最佳化斷筋點!T736)</f>
        <v/>
      </c>
      <c r="AT736" s="37" t="str">
        <f>IF(最佳化斷筋點!U736="","",最佳化斷筋點!U736)</f>
        <v/>
      </c>
      <c r="AU736" s="37" t="str">
        <f>IF(最佳化斷筋點!V736="","",最佳化斷筋點!V736)</f>
        <v/>
      </c>
      <c r="AV736" s="37" t="str">
        <f>IF(最佳化斷筋點!W736="","",最佳化斷筋點!W736)</f>
        <v/>
      </c>
      <c r="AW736" s="37" t="str">
        <f>IF(最佳化斷筋點!X736="","",最佳化斷筋點!X736)</f>
        <v/>
      </c>
      <c r="AZ736" s="37" t="s">
        <v>197</v>
      </c>
      <c r="BA736" s="37" t="s">
        <v>197</v>
      </c>
      <c r="BB736" s="37" t="s">
        <v>197</v>
      </c>
      <c r="BC736" s="37" t="s">
        <v>197</v>
      </c>
      <c r="BD736" s="37" t="s">
        <v>197</v>
      </c>
      <c r="BE736" s="37" t="s">
        <v>197</v>
      </c>
      <c r="BF736" s="37" t="s">
        <v>197</v>
      </c>
      <c r="BG736" s="37" t="s">
        <v>197</v>
      </c>
      <c r="BH736" s="37" t="s">
        <v>197</v>
      </c>
      <c r="BI736" s="37" t="s">
        <v>197</v>
      </c>
      <c r="BJ736" s="37" t="s">
        <v>197</v>
      </c>
      <c r="BK736" s="37" t="s">
        <v>197</v>
      </c>
      <c r="BL736" s="37" t="s">
        <v>197</v>
      </c>
      <c r="BM736" s="37" t="s">
        <v>197</v>
      </c>
      <c r="BN736" s="37" t="s">
        <v>197</v>
      </c>
      <c r="BO736" s="37" t="s">
        <v>197</v>
      </c>
      <c r="BP736" s="37" t="s">
        <v>197</v>
      </c>
      <c r="BQ736" s="37" t="s">
        <v>197</v>
      </c>
      <c r="BR736" s="37" t="s">
        <v>197</v>
      </c>
      <c r="BS736" s="37" t="s">
        <v>197</v>
      </c>
      <c r="BT736" s="37" t="s">
        <v>197</v>
      </c>
    </row>
    <row r="737" spans="5:72" x14ac:dyDescent="0.25">
      <c r="E737" s="36" t="s">
        <v>21</v>
      </c>
      <c r="F737" s="36">
        <f t="shared" si="232"/>
        <v>0</v>
      </c>
      <c r="G737" s="36">
        <f t="shared" si="233"/>
        <v>0</v>
      </c>
      <c r="H737" s="36">
        <f t="shared" si="234"/>
        <v>0</v>
      </c>
      <c r="I737" s="36">
        <f t="shared" si="235"/>
        <v>0</v>
      </c>
      <c r="J737" s="36">
        <f t="shared" si="236"/>
        <v>0</v>
      </c>
      <c r="K737" s="36">
        <f t="shared" si="237"/>
        <v>0</v>
      </c>
      <c r="L737" s="36">
        <f t="shared" si="238"/>
        <v>0</v>
      </c>
      <c r="M737" s="36">
        <f t="shared" si="239"/>
        <v>0</v>
      </c>
      <c r="N737" s="36">
        <f t="shared" si="240"/>
        <v>0</v>
      </c>
      <c r="O737" s="36">
        <f t="shared" si="241"/>
        <v>0</v>
      </c>
      <c r="P737" s="36">
        <f t="shared" si="242"/>
        <v>0</v>
      </c>
      <c r="Q737" s="36">
        <f t="shared" si="243"/>
        <v>0</v>
      </c>
      <c r="R737" s="36">
        <f t="shared" si="244"/>
        <v>0</v>
      </c>
      <c r="S737" s="36">
        <f t="shared" si="245"/>
        <v>0</v>
      </c>
      <c r="T737" s="36">
        <f t="shared" si="246"/>
        <v>0</v>
      </c>
      <c r="U737" s="36">
        <f t="shared" si="247"/>
        <v>0</v>
      </c>
      <c r="V737" s="36">
        <f t="shared" si="248"/>
        <v>0</v>
      </c>
      <c r="W737" s="36">
        <f t="shared" si="249"/>
        <v>0</v>
      </c>
      <c r="X737" s="36">
        <f t="shared" si="250"/>
        <v>0</v>
      </c>
      <c r="Y737" s="36">
        <f t="shared" si="251"/>
        <v>0</v>
      </c>
      <c r="Z737" s="36">
        <f t="shared" si="252"/>
        <v>0</v>
      </c>
      <c r="AB737" s="36" t="str">
        <f>IF(最佳化斷筋點!C737="","",最佳化斷筋點!C737)</f>
        <v>下層</v>
      </c>
      <c r="AC737" s="37">
        <f>IF(最佳化斷筋點!D737="","",最佳化斷筋點!D737)</f>
        <v>13</v>
      </c>
      <c r="AD737" s="37">
        <f>IF(最佳化斷筋點!E737="","",最佳化斷筋點!E737)</f>
        <v>13</v>
      </c>
      <c r="AE737" s="37">
        <f>IF(最佳化斷筋點!F737="","",最佳化斷筋點!F737)</f>
        <v>13</v>
      </c>
      <c r="AF737" s="37">
        <f>IF(最佳化斷筋點!G737="","",最佳化斷筋點!G737)</f>
        <v>13</v>
      </c>
      <c r="AG737" s="37">
        <f>IF(最佳化斷筋點!H737="","",最佳化斷筋點!H737)</f>
        <v>13</v>
      </c>
      <c r="AH737" s="37">
        <f>IF(最佳化斷筋點!I737="","",最佳化斷筋點!I737)</f>
        <v>12</v>
      </c>
      <c r="AI737" s="37">
        <f>IF(最佳化斷筋點!J737="","",最佳化斷筋點!J737)</f>
        <v>12</v>
      </c>
      <c r="AJ737" s="37">
        <f>IF(最佳化斷筋點!K737="","",最佳化斷筋點!K737)</f>
        <v>12</v>
      </c>
      <c r="AK737" s="37">
        <f>IF(最佳化斷筋點!L737="","",最佳化斷筋點!L737)</f>
        <v>12</v>
      </c>
      <c r="AL737" s="37">
        <f>IF(最佳化斷筋點!M737="","",最佳化斷筋點!M737)</f>
        <v>12</v>
      </c>
      <c r="AM737" s="37">
        <f>IF(最佳化斷筋點!N737="","",最佳化斷筋點!N737)</f>
        <v>12</v>
      </c>
      <c r="AN737" s="37">
        <f>IF(最佳化斷筋點!O737="","",最佳化斷筋點!O737)</f>
        <v>12</v>
      </c>
      <c r="AO737" s="37">
        <f>IF(最佳化斷筋點!P737="","",最佳化斷筋點!P737)</f>
        <v>12</v>
      </c>
      <c r="AP737" s="37">
        <f>IF(最佳化斷筋點!Q737="","",最佳化斷筋點!Q737)</f>
        <v>12</v>
      </c>
      <c r="AQ737" s="37">
        <f>IF(最佳化斷筋點!R737="","",最佳化斷筋點!R737)</f>
        <v>12</v>
      </c>
      <c r="AR737" s="37">
        <f>IF(最佳化斷筋點!S737="","",最佳化斷筋點!S737)</f>
        <v>12</v>
      </c>
      <c r="AS737" s="37">
        <f>IF(最佳化斷筋點!T737="","",最佳化斷筋點!T737)</f>
        <v>12</v>
      </c>
      <c r="AT737" s="37">
        <f>IF(最佳化斷筋點!U737="","",最佳化斷筋點!U737)</f>
        <v>12</v>
      </c>
      <c r="AU737" s="37">
        <f>IF(最佳化斷筋點!V737="","",最佳化斷筋點!V737)</f>
        <v>11</v>
      </c>
      <c r="AV737" s="37">
        <f>IF(最佳化斷筋點!W737="","",最佳化斷筋點!W737)</f>
        <v>11</v>
      </c>
      <c r="AW737" s="37">
        <f>IF(最佳化斷筋點!X737="","",最佳化斷筋點!X737)</f>
        <v>11</v>
      </c>
      <c r="AZ737" s="37">
        <v>13</v>
      </c>
      <c r="BA737" s="37">
        <v>13</v>
      </c>
      <c r="BB737" s="37">
        <v>13</v>
      </c>
      <c r="BC737" s="37">
        <v>13</v>
      </c>
      <c r="BD737" s="37">
        <v>13</v>
      </c>
      <c r="BE737" s="37">
        <v>12</v>
      </c>
      <c r="BF737" s="37">
        <v>12</v>
      </c>
      <c r="BG737" s="37">
        <v>12</v>
      </c>
      <c r="BH737" s="37">
        <v>12</v>
      </c>
      <c r="BI737" s="37">
        <v>12</v>
      </c>
      <c r="BJ737" s="37">
        <v>12</v>
      </c>
      <c r="BK737" s="37">
        <v>12</v>
      </c>
      <c r="BL737" s="37">
        <v>12</v>
      </c>
      <c r="BM737" s="37">
        <v>12</v>
      </c>
      <c r="BN737" s="37">
        <v>12</v>
      </c>
      <c r="BO737" s="37">
        <v>12</v>
      </c>
      <c r="BP737" s="37">
        <v>12</v>
      </c>
      <c r="BQ737" s="37">
        <v>12</v>
      </c>
      <c r="BR737" s="37">
        <v>11</v>
      </c>
      <c r="BS737" s="37">
        <v>11</v>
      </c>
      <c r="BT737" s="37">
        <v>11</v>
      </c>
    </row>
    <row r="738" spans="5:72" x14ac:dyDescent="0.25">
      <c r="E738" s="36"/>
      <c r="F738" s="36">
        <f t="shared" si="232"/>
        <v>0</v>
      </c>
      <c r="G738" s="36">
        <f t="shared" si="233"/>
        <v>0</v>
      </c>
      <c r="H738" s="36">
        <f t="shared" si="234"/>
        <v>0</v>
      </c>
      <c r="I738" s="36">
        <f t="shared" si="235"/>
        <v>0</v>
      </c>
      <c r="J738" s="36">
        <f t="shared" si="236"/>
        <v>0</v>
      </c>
      <c r="K738" s="36">
        <f t="shared" si="237"/>
        <v>0</v>
      </c>
      <c r="L738" s="36">
        <f t="shared" si="238"/>
        <v>0</v>
      </c>
      <c r="M738" s="36">
        <f t="shared" si="239"/>
        <v>0</v>
      </c>
      <c r="N738" s="36">
        <f t="shared" si="240"/>
        <v>0</v>
      </c>
      <c r="O738" s="36">
        <f t="shared" si="241"/>
        <v>0</v>
      </c>
      <c r="P738" s="36">
        <f t="shared" si="242"/>
        <v>0</v>
      </c>
      <c r="Q738" s="36">
        <f t="shared" si="243"/>
        <v>0</v>
      </c>
      <c r="R738" s="36">
        <f t="shared" si="244"/>
        <v>0</v>
      </c>
      <c r="S738" s="36">
        <f t="shared" si="245"/>
        <v>0</v>
      </c>
      <c r="T738" s="36">
        <f t="shared" si="246"/>
        <v>0</v>
      </c>
      <c r="U738" s="36">
        <f t="shared" si="247"/>
        <v>0</v>
      </c>
      <c r="V738" s="36">
        <f t="shared" si="248"/>
        <v>0</v>
      </c>
      <c r="W738" s="36">
        <f t="shared" si="249"/>
        <v>0</v>
      </c>
      <c r="X738" s="36">
        <f t="shared" si="250"/>
        <v>0</v>
      </c>
      <c r="Y738" s="36">
        <f t="shared" si="251"/>
        <v>0</v>
      </c>
      <c r="Z738" s="36">
        <f t="shared" si="252"/>
        <v>0</v>
      </c>
      <c r="AB738" s="36" t="str">
        <f>IF(最佳化斷筋點!C738="","",最佳化斷筋點!C738)</f>
        <v/>
      </c>
      <c r="AC738" s="37" t="str">
        <f>IF(最佳化斷筋點!D738="","",最佳化斷筋點!D738)</f>
        <v/>
      </c>
      <c r="AD738" s="37" t="str">
        <f>IF(最佳化斷筋點!E738="","",最佳化斷筋點!E738)</f>
        <v/>
      </c>
      <c r="AE738" s="37" t="str">
        <f>IF(最佳化斷筋點!F738="","",最佳化斷筋點!F738)</f>
        <v/>
      </c>
      <c r="AF738" s="37" t="str">
        <f>IF(最佳化斷筋點!G738="","",最佳化斷筋點!G738)</f>
        <v/>
      </c>
      <c r="AG738" s="37" t="str">
        <f>IF(最佳化斷筋點!H738="","",最佳化斷筋點!H738)</f>
        <v/>
      </c>
      <c r="AH738" s="37" t="str">
        <f>IF(最佳化斷筋點!I738="","",最佳化斷筋點!I738)</f>
        <v/>
      </c>
      <c r="AI738" s="37" t="str">
        <f>IF(最佳化斷筋點!J738="","",最佳化斷筋點!J738)</f>
        <v/>
      </c>
      <c r="AJ738" s="37" t="str">
        <f>IF(最佳化斷筋點!K738="","",最佳化斷筋點!K738)</f>
        <v/>
      </c>
      <c r="AK738" s="37" t="str">
        <f>IF(最佳化斷筋點!L738="","",最佳化斷筋點!L738)</f>
        <v/>
      </c>
      <c r="AL738" s="37" t="str">
        <f>IF(最佳化斷筋點!M738="","",最佳化斷筋點!M738)</f>
        <v/>
      </c>
      <c r="AM738" s="37" t="str">
        <f>IF(最佳化斷筋點!N738="","",最佳化斷筋點!N738)</f>
        <v/>
      </c>
      <c r="AN738" s="37" t="str">
        <f>IF(最佳化斷筋點!O738="","",最佳化斷筋點!O738)</f>
        <v/>
      </c>
      <c r="AO738" s="37" t="str">
        <f>IF(最佳化斷筋點!P738="","",最佳化斷筋點!P738)</f>
        <v/>
      </c>
      <c r="AP738" s="37" t="str">
        <f>IF(最佳化斷筋點!Q738="","",最佳化斷筋點!Q738)</f>
        <v/>
      </c>
      <c r="AQ738" s="37" t="str">
        <f>IF(最佳化斷筋點!R738="","",最佳化斷筋點!R738)</f>
        <v/>
      </c>
      <c r="AR738" s="37" t="str">
        <f>IF(最佳化斷筋點!S738="","",最佳化斷筋點!S738)</f>
        <v/>
      </c>
      <c r="AS738" s="37" t="str">
        <f>IF(最佳化斷筋點!T738="","",最佳化斷筋點!T738)</f>
        <v/>
      </c>
      <c r="AT738" s="37" t="str">
        <f>IF(最佳化斷筋點!U738="","",最佳化斷筋點!U738)</f>
        <v/>
      </c>
      <c r="AU738" s="37" t="str">
        <f>IF(最佳化斷筋點!V738="","",最佳化斷筋點!V738)</f>
        <v/>
      </c>
      <c r="AV738" s="37" t="str">
        <f>IF(最佳化斷筋點!W738="","",最佳化斷筋點!W738)</f>
        <v/>
      </c>
      <c r="AW738" s="37" t="str">
        <f>IF(最佳化斷筋點!X738="","",最佳化斷筋點!X738)</f>
        <v/>
      </c>
      <c r="AZ738" s="37" t="s">
        <v>197</v>
      </c>
      <c r="BA738" s="37" t="s">
        <v>197</v>
      </c>
      <c r="BB738" s="37" t="s">
        <v>197</v>
      </c>
      <c r="BC738" s="37" t="s">
        <v>197</v>
      </c>
      <c r="BD738" s="37" t="s">
        <v>197</v>
      </c>
      <c r="BE738" s="37" t="s">
        <v>197</v>
      </c>
      <c r="BF738" s="37" t="s">
        <v>197</v>
      </c>
      <c r="BG738" s="37" t="s">
        <v>197</v>
      </c>
      <c r="BH738" s="37" t="s">
        <v>197</v>
      </c>
      <c r="BI738" s="37" t="s">
        <v>197</v>
      </c>
      <c r="BJ738" s="37" t="s">
        <v>197</v>
      </c>
      <c r="BK738" s="37" t="s">
        <v>197</v>
      </c>
      <c r="BL738" s="37" t="s">
        <v>197</v>
      </c>
      <c r="BM738" s="37" t="s">
        <v>197</v>
      </c>
      <c r="BN738" s="37" t="s">
        <v>197</v>
      </c>
      <c r="BO738" s="37" t="s">
        <v>197</v>
      </c>
      <c r="BP738" s="37" t="s">
        <v>197</v>
      </c>
      <c r="BQ738" s="37" t="s">
        <v>197</v>
      </c>
      <c r="BR738" s="37" t="s">
        <v>197</v>
      </c>
      <c r="BS738" s="37" t="s">
        <v>197</v>
      </c>
      <c r="BT738" s="37" t="s">
        <v>197</v>
      </c>
    </row>
    <row r="739" spans="5:72" x14ac:dyDescent="0.25">
      <c r="E739" s="36" t="s">
        <v>20</v>
      </c>
      <c r="F739" s="36">
        <f t="shared" si="232"/>
        <v>0</v>
      </c>
      <c r="G739" s="36">
        <f t="shared" si="233"/>
        <v>0</v>
      </c>
      <c r="H739" s="36">
        <f t="shared" si="234"/>
        <v>0</v>
      </c>
      <c r="I739" s="36">
        <f t="shared" si="235"/>
        <v>0</v>
      </c>
      <c r="J739" s="36">
        <f t="shared" si="236"/>
        <v>0</v>
      </c>
      <c r="K739" s="36">
        <f t="shared" si="237"/>
        <v>0</v>
      </c>
      <c r="L739" s="36">
        <f t="shared" si="238"/>
        <v>0</v>
      </c>
      <c r="M739" s="36">
        <f t="shared" si="239"/>
        <v>0</v>
      </c>
      <c r="N739" s="36">
        <f t="shared" si="240"/>
        <v>0</v>
      </c>
      <c r="O739" s="36">
        <f t="shared" si="241"/>
        <v>0</v>
      </c>
      <c r="P739" s="36">
        <f t="shared" si="242"/>
        <v>0</v>
      </c>
      <c r="Q739" s="36">
        <f t="shared" si="243"/>
        <v>0</v>
      </c>
      <c r="R739" s="36">
        <f t="shared" si="244"/>
        <v>0</v>
      </c>
      <c r="S739" s="36">
        <f t="shared" si="245"/>
        <v>0</v>
      </c>
      <c r="T739" s="36">
        <f t="shared" si="246"/>
        <v>0</v>
      </c>
      <c r="U739" s="36">
        <f t="shared" si="247"/>
        <v>0</v>
      </c>
      <c r="V739" s="36">
        <f t="shared" si="248"/>
        <v>0</v>
      </c>
      <c r="W739" s="36">
        <f t="shared" si="249"/>
        <v>0</v>
      </c>
      <c r="X739" s="36">
        <f t="shared" si="250"/>
        <v>0</v>
      </c>
      <c r="Y739" s="36">
        <f t="shared" si="251"/>
        <v>0</v>
      </c>
      <c r="Z739" s="36">
        <f t="shared" si="252"/>
        <v>0</v>
      </c>
      <c r="AB739" s="36" t="str">
        <f>IF(最佳化斷筋點!C739="","",最佳化斷筋點!C739)</f>
        <v>上層</v>
      </c>
      <c r="AC739" s="37">
        <f>IF(最佳化斷筋點!D739="","",最佳化斷筋點!D739)</f>
        <v>9</v>
      </c>
      <c r="AD739" s="37">
        <f>IF(最佳化斷筋點!E739="","",最佳化斷筋點!E739)</f>
        <v>9</v>
      </c>
      <c r="AE739" s="37">
        <f>IF(最佳化斷筋點!F739="","",最佳化斷筋點!F739)</f>
        <v>9</v>
      </c>
      <c r="AF739" s="37">
        <f>IF(最佳化斷筋點!G739="","",最佳化斷筋點!G739)</f>
        <v>9</v>
      </c>
      <c r="AG739" s="37">
        <f>IF(最佳化斷筋點!H739="","",最佳化斷筋點!H739)</f>
        <v>9</v>
      </c>
      <c r="AH739" s="37">
        <f>IF(最佳化斷筋點!I739="","",最佳化斷筋點!I739)</f>
        <v>9</v>
      </c>
      <c r="AI739" s="37">
        <f>IF(最佳化斷筋點!J739="","",最佳化斷筋點!J739)</f>
        <v>9</v>
      </c>
      <c r="AJ739" s="37">
        <f>IF(最佳化斷筋點!K739="","",最佳化斷筋點!K739)</f>
        <v>4</v>
      </c>
      <c r="AK739" s="37">
        <f>IF(最佳化斷筋點!L739="","",最佳化斷筋點!L739)</f>
        <v>4</v>
      </c>
      <c r="AL739" s="37">
        <f>IF(最佳化斷筋點!M739="","",最佳化斷筋點!M739)</f>
        <v>4</v>
      </c>
      <c r="AM739" s="37">
        <f>IF(最佳化斷筋點!N739="","",最佳化斷筋點!N739)</f>
        <v>4</v>
      </c>
      <c r="AN739" s="37">
        <f>IF(最佳化斷筋點!O739="","",最佳化斷筋點!O739)</f>
        <v>4</v>
      </c>
      <c r="AO739" s="37">
        <f>IF(最佳化斷筋點!P739="","",最佳化斷筋點!P739)</f>
        <v>4</v>
      </c>
      <c r="AP739" s="37">
        <f>IF(最佳化斷筋點!Q739="","",最佳化斷筋點!Q739)</f>
        <v>8</v>
      </c>
      <c r="AQ739" s="37">
        <f>IF(最佳化斷筋點!R739="","",最佳化斷筋點!R739)</f>
        <v>9</v>
      </c>
      <c r="AR739" s="37">
        <f>IF(最佳化斷筋點!S739="","",最佳化斷筋點!S739)</f>
        <v>10</v>
      </c>
      <c r="AS739" s="37">
        <f>IF(最佳化斷筋點!T739="","",最佳化斷筋點!T739)</f>
        <v>10</v>
      </c>
      <c r="AT739" s="37">
        <f>IF(最佳化斷筋點!U739="","",最佳化斷筋點!U739)</f>
        <v>10</v>
      </c>
      <c r="AU739" s="37">
        <f>IF(最佳化斷筋點!V739="","",最佳化斷筋點!V739)</f>
        <v>10</v>
      </c>
      <c r="AV739" s="37">
        <f>IF(最佳化斷筋點!W739="","",最佳化斷筋點!W739)</f>
        <v>10</v>
      </c>
      <c r="AW739" s="37">
        <f>IF(最佳化斷筋點!X739="","",最佳化斷筋點!X739)</f>
        <v>10</v>
      </c>
      <c r="AZ739" s="37">
        <v>9</v>
      </c>
      <c r="BA739" s="37">
        <v>9</v>
      </c>
      <c r="BB739" s="37">
        <v>9</v>
      </c>
      <c r="BC739" s="37">
        <v>9</v>
      </c>
      <c r="BD739" s="37">
        <v>9</v>
      </c>
      <c r="BE739" s="37">
        <v>9</v>
      </c>
      <c r="BF739" s="37">
        <v>9</v>
      </c>
      <c r="BG739" s="37">
        <v>4</v>
      </c>
      <c r="BH739" s="37">
        <v>4</v>
      </c>
      <c r="BI739" s="37">
        <v>4</v>
      </c>
      <c r="BJ739" s="37">
        <v>4</v>
      </c>
      <c r="BK739" s="37">
        <v>4</v>
      </c>
      <c r="BL739" s="37">
        <v>4</v>
      </c>
      <c r="BM739" s="37">
        <v>8</v>
      </c>
      <c r="BN739" s="37">
        <v>9</v>
      </c>
      <c r="BO739" s="37">
        <v>10</v>
      </c>
      <c r="BP739" s="37">
        <v>10</v>
      </c>
      <c r="BQ739" s="37">
        <v>10</v>
      </c>
      <c r="BR739" s="37">
        <v>10</v>
      </c>
      <c r="BS739" s="37">
        <v>10</v>
      </c>
      <c r="BT739" s="37">
        <v>10</v>
      </c>
    </row>
    <row r="740" spans="5:72" x14ac:dyDescent="0.25">
      <c r="E740" s="36"/>
      <c r="F740" s="36">
        <f t="shared" si="232"/>
        <v>0</v>
      </c>
      <c r="G740" s="36">
        <f t="shared" si="233"/>
        <v>0</v>
      </c>
      <c r="H740" s="36">
        <f t="shared" si="234"/>
        <v>0</v>
      </c>
      <c r="I740" s="36">
        <f t="shared" si="235"/>
        <v>0</v>
      </c>
      <c r="J740" s="36">
        <f t="shared" si="236"/>
        <v>0</v>
      </c>
      <c r="K740" s="36">
        <f t="shared" si="237"/>
        <v>0</v>
      </c>
      <c r="L740" s="36">
        <f t="shared" si="238"/>
        <v>0</v>
      </c>
      <c r="M740" s="36">
        <f t="shared" si="239"/>
        <v>0</v>
      </c>
      <c r="N740" s="36">
        <f t="shared" si="240"/>
        <v>0</v>
      </c>
      <c r="O740" s="36">
        <f t="shared" si="241"/>
        <v>0</v>
      </c>
      <c r="P740" s="36">
        <f t="shared" si="242"/>
        <v>0</v>
      </c>
      <c r="Q740" s="36">
        <f t="shared" si="243"/>
        <v>0</v>
      </c>
      <c r="R740" s="36">
        <f t="shared" si="244"/>
        <v>0</v>
      </c>
      <c r="S740" s="36">
        <f t="shared" si="245"/>
        <v>0</v>
      </c>
      <c r="T740" s="36">
        <f t="shared" si="246"/>
        <v>0</v>
      </c>
      <c r="U740" s="36">
        <f t="shared" si="247"/>
        <v>0</v>
      </c>
      <c r="V740" s="36">
        <f t="shared" si="248"/>
        <v>0</v>
      </c>
      <c r="W740" s="36">
        <f t="shared" si="249"/>
        <v>0</v>
      </c>
      <c r="X740" s="36">
        <f t="shared" si="250"/>
        <v>0</v>
      </c>
      <c r="Y740" s="36">
        <f t="shared" si="251"/>
        <v>0</v>
      </c>
      <c r="Z740" s="36">
        <f t="shared" si="252"/>
        <v>0</v>
      </c>
      <c r="AB740" s="36" t="str">
        <f>IF(最佳化斷筋點!C740="","",最佳化斷筋點!C740)</f>
        <v/>
      </c>
      <c r="AC740" s="37" t="str">
        <f>IF(最佳化斷筋點!D740="","",最佳化斷筋點!D740)</f>
        <v/>
      </c>
      <c r="AD740" s="37" t="str">
        <f>IF(最佳化斷筋點!E740="","",最佳化斷筋點!E740)</f>
        <v/>
      </c>
      <c r="AE740" s="37" t="str">
        <f>IF(最佳化斷筋點!F740="","",最佳化斷筋點!F740)</f>
        <v/>
      </c>
      <c r="AF740" s="37" t="str">
        <f>IF(最佳化斷筋點!G740="","",最佳化斷筋點!G740)</f>
        <v/>
      </c>
      <c r="AG740" s="37" t="str">
        <f>IF(最佳化斷筋點!H740="","",最佳化斷筋點!H740)</f>
        <v/>
      </c>
      <c r="AH740" s="37" t="str">
        <f>IF(最佳化斷筋點!I740="","",最佳化斷筋點!I740)</f>
        <v/>
      </c>
      <c r="AI740" s="37" t="str">
        <f>IF(最佳化斷筋點!J740="","",最佳化斷筋點!J740)</f>
        <v/>
      </c>
      <c r="AJ740" s="37" t="str">
        <f>IF(最佳化斷筋點!K740="","",最佳化斷筋點!K740)</f>
        <v/>
      </c>
      <c r="AK740" s="37" t="str">
        <f>IF(最佳化斷筋點!L740="","",最佳化斷筋點!L740)</f>
        <v/>
      </c>
      <c r="AL740" s="37" t="str">
        <f>IF(最佳化斷筋點!M740="","",最佳化斷筋點!M740)</f>
        <v/>
      </c>
      <c r="AM740" s="37" t="str">
        <f>IF(最佳化斷筋點!N740="","",最佳化斷筋點!N740)</f>
        <v/>
      </c>
      <c r="AN740" s="37" t="str">
        <f>IF(最佳化斷筋點!O740="","",最佳化斷筋點!O740)</f>
        <v/>
      </c>
      <c r="AO740" s="37" t="str">
        <f>IF(最佳化斷筋點!P740="","",最佳化斷筋點!P740)</f>
        <v/>
      </c>
      <c r="AP740" s="37" t="str">
        <f>IF(最佳化斷筋點!Q740="","",最佳化斷筋點!Q740)</f>
        <v/>
      </c>
      <c r="AQ740" s="37" t="str">
        <f>IF(最佳化斷筋點!R740="","",最佳化斷筋點!R740)</f>
        <v/>
      </c>
      <c r="AR740" s="37" t="str">
        <f>IF(最佳化斷筋點!S740="","",最佳化斷筋點!S740)</f>
        <v/>
      </c>
      <c r="AS740" s="37" t="str">
        <f>IF(最佳化斷筋點!T740="","",最佳化斷筋點!T740)</f>
        <v/>
      </c>
      <c r="AT740" s="37" t="str">
        <f>IF(最佳化斷筋點!U740="","",最佳化斷筋點!U740)</f>
        <v/>
      </c>
      <c r="AU740" s="37" t="str">
        <f>IF(最佳化斷筋點!V740="","",最佳化斷筋點!V740)</f>
        <v/>
      </c>
      <c r="AV740" s="37" t="str">
        <f>IF(最佳化斷筋點!W740="","",最佳化斷筋點!W740)</f>
        <v/>
      </c>
      <c r="AW740" s="37" t="str">
        <f>IF(最佳化斷筋點!X740="","",最佳化斷筋點!X740)</f>
        <v/>
      </c>
      <c r="AZ740" s="37" t="s">
        <v>197</v>
      </c>
      <c r="BA740" s="37" t="s">
        <v>197</v>
      </c>
      <c r="BB740" s="37" t="s">
        <v>197</v>
      </c>
      <c r="BC740" s="37" t="s">
        <v>197</v>
      </c>
      <c r="BD740" s="37" t="s">
        <v>197</v>
      </c>
      <c r="BE740" s="37" t="s">
        <v>197</v>
      </c>
      <c r="BF740" s="37" t="s">
        <v>197</v>
      </c>
      <c r="BG740" s="37" t="s">
        <v>197</v>
      </c>
      <c r="BH740" s="37" t="s">
        <v>197</v>
      </c>
      <c r="BI740" s="37" t="s">
        <v>197</v>
      </c>
      <c r="BJ740" s="37" t="s">
        <v>197</v>
      </c>
      <c r="BK740" s="37" t="s">
        <v>197</v>
      </c>
      <c r="BL740" s="37" t="s">
        <v>197</v>
      </c>
      <c r="BM740" s="37" t="s">
        <v>197</v>
      </c>
      <c r="BN740" s="37" t="s">
        <v>197</v>
      </c>
      <c r="BO740" s="37" t="s">
        <v>197</v>
      </c>
      <c r="BP740" s="37" t="s">
        <v>197</v>
      </c>
      <c r="BQ740" s="37" t="s">
        <v>197</v>
      </c>
      <c r="BR740" s="37" t="s">
        <v>197</v>
      </c>
      <c r="BS740" s="37" t="s">
        <v>197</v>
      </c>
      <c r="BT740" s="37" t="s">
        <v>197</v>
      </c>
    </row>
    <row r="741" spans="5:72" x14ac:dyDescent="0.25">
      <c r="E741" s="36" t="s">
        <v>21</v>
      </c>
      <c r="F741" s="36">
        <f t="shared" si="232"/>
        <v>0</v>
      </c>
      <c r="G741" s="36">
        <f t="shared" si="233"/>
        <v>0</v>
      </c>
      <c r="H741" s="36">
        <f t="shared" si="234"/>
        <v>0</v>
      </c>
      <c r="I741" s="36">
        <f t="shared" si="235"/>
        <v>0</v>
      </c>
      <c r="J741" s="36">
        <f t="shared" si="236"/>
        <v>0</v>
      </c>
      <c r="K741" s="36">
        <f t="shared" si="237"/>
        <v>0</v>
      </c>
      <c r="L741" s="36">
        <f t="shared" si="238"/>
        <v>0</v>
      </c>
      <c r="M741" s="36">
        <f t="shared" si="239"/>
        <v>0</v>
      </c>
      <c r="N741" s="36">
        <f t="shared" si="240"/>
        <v>0</v>
      </c>
      <c r="O741" s="36">
        <f t="shared" si="241"/>
        <v>0</v>
      </c>
      <c r="P741" s="36">
        <f t="shared" si="242"/>
        <v>0</v>
      </c>
      <c r="Q741" s="36">
        <f t="shared" si="243"/>
        <v>0</v>
      </c>
      <c r="R741" s="36">
        <f t="shared" si="244"/>
        <v>0</v>
      </c>
      <c r="S741" s="36">
        <f t="shared" si="245"/>
        <v>0</v>
      </c>
      <c r="T741" s="36">
        <f t="shared" si="246"/>
        <v>0</v>
      </c>
      <c r="U741" s="36">
        <f t="shared" si="247"/>
        <v>0</v>
      </c>
      <c r="V741" s="36">
        <f t="shared" si="248"/>
        <v>0</v>
      </c>
      <c r="W741" s="36">
        <f t="shared" si="249"/>
        <v>0</v>
      </c>
      <c r="X741" s="36">
        <f t="shared" si="250"/>
        <v>0</v>
      </c>
      <c r="Y741" s="36">
        <f t="shared" si="251"/>
        <v>0</v>
      </c>
      <c r="Z741" s="36">
        <f t="shared" si="252"/>
        <v>0</v>
      </c>
      <c r="AB741" s="36" t="str">
        <f>IF(最佳化斷筋點!C741="","",最佳化斷筋點!C741)</f>
        <v>下層</v>
      </c>
      <c r="AC741" s="37">
        <f>IF(最佳化斷筋點!D741="","",最佳化斷筋點!D741)</f>
        <v>12</v>
      </c>
      <c r="AD741" s="37">
        <f>IF(最佳化斷筋點!E741="","",最佳化斷筋點!E741)</f>
        <v>12</v>
      </c>
      <c r="AE741" s="37">
        <f>IF(最佳化斷筋點!F741="","",最佳化斷筋點!F741)</f>
        <v>12</v>
      </c>
      <c r="AF741" s="37">
        <f>IF(最佳化斷筋點!G741="","",最佳化斷筋點!G741)</f>
        <v>12</v>
      </c>
      <c r="AG741" s="37">
        <f>IF(最佳化斷筋點!H741="","",最佳化斷筋點!H741)</f>
        <v>12</v>
      </c>
      <c r="AH741" s="37">
        <f>IF(最佳化斷筋點!I741="","",最佳化斷筋點!I741)</f>
        <v>11</v>
      </c>
      <c r="AI741" s="37">
        <f>IF(最佳化斷筋點!J741="","",最佳化斷筋點!J741)</f>
        <v>10</v>
      </c>
      <c r="AJ741" s="37">
        <f>IF(最佳化斷筋點!K741="","",最佳化斷筋點!K741)</f>
        <v>5</v>
      </c>
      <c r="AK741" s="37">
        <f>IF(最佳化斷筋點!L741="","",最佳化斷筋點!L741)</f>
        <v>5</v>
      </c>
      <c r="AL741" s="37">
        <f>IF(最佳化斷筋點!M741="","",最佳化斷筋點!M741)</f>
        <v>5</v>
      </c>
      <c r="AM741" s="37">
        <f>IF(最佳化斷筋點!N741="","",最佳化斷筋點!N741)</f>
        <v>5</v>
      </c>
      <c r="AN741" s="37">
        <f>IF(最佳化斷筋點!O741="","",最佳化斷筋點!O741)</f>
        <v>5</v>
      </c>
      <c r="AO741" s="37">
        <f>IF(最佳化斷筋點!P741="","",最佳化斷筋點!P741)</f>
        <v>5</v>
      </c>
      <c r="AP741" s="37">
        <f>IF(最佳化斷筋點!Q741="","",最佳化斷筋點!Q741)</f>
        <v>8</v>
      </c>
      <c r="AQ741" s="37">
        <f>IF(最佳化斷筋點!R741="","",最佳化斷筋點!R741)</f>
        <v>9</v>
      </c>
      <c r="AR741" s="37">
        <f>IF(最佳化斷筋點!S741="","",最佳化斷筋點!S741)</f>
        <v>10</v>
      </c>
      <c r="AS741" s="37">
        <f>IF(最佳化斷筋點!T741="","",最佳化斷筋點!T741)</f>
        <v>11</v>
      </c>
      <c r="AT741" s="37">
        <f>IF(最佳化斷筋點!U741="","",最佳化斷筋點!U741)</f>
        <v>11</v>
      </c>
      <c r="AU741" s="37">
        <f>IF(最佳化斷筋點!V741="","",最佳化斷筋點!V741)</f>
        <v>11</v>
      </c>
      <c r="AV741" s="37">
        <f>IF(最佳化斷筋點!W741="","",最佳化斷筋點!W741)</f>
        <v>11</v>
      </c>
      <c r="AW741" s="37">
        <f>IF(最佳化斷筋點!X741="","",最佳化斷筋點!X741)</f>
        <v>11</v>
      </c>
      <c r="AZ741" s="37">
        <v>12</v>
      </c>
      <c r="BA741" s="37">
        <v>12</v>
      </c>
      <c r="BB741" s="37">
        <v>12</v>
      </c>
      <c r="BC741" s="37">
        <v>12</v>
      </c>
      <c r="BD741" s="37">
        <v>12</v>
      </c>
      <c r="BE741" s="37">
        <v>11</v>
      </c>
      <c r="BF741" s="37">
        <v>10</v>
      </c>
      <c r="BG741" s="37">
        <v>5</v>
      </c>
      <c r="BH741" s="37">
        <v>5</v>
      </c>
      <c r="BI741" s="37">
        <v>5</v>
      </c>
      <c r="BJ741" s="37">
        <v>5</v>
      </c>
      <c r="BK741" s="37">
        <v>5</v>
      </c>
      <c r="BL741" s="37">
        <v>5</v>
      </c>
      <c r="BM741" s="37">
        <v>8</v>
      </c>
      <c r="BN741" s="37">
        <v>9</v>
      </c>
      <c r="BO741" s="37">
        <v>10</v>
      </c>
      <c r="BP741" s="37">
        <v>11</v>
      </c>
      <c r="BQ741" s="37">
        <v>11</v>
      </c>
      <c r="BR741" s="37">
        <v>11</v>
      </c>
      <c r="BS741" s="37">
        <v>11</v>
      </c>
      <c r="BT741" s="37">
        <v>11</v>
      </c>
    </row>
    <row r="742" spans="5:72" x14ac:dyDescent="0.25">
      <c r="E742" s="36"/>
      <c r="F742" s="36">
        <f t="shared" si="232"/>
        <v>0</v>
      </c>
      <c r="G742" s="36">
        <f t="shared" si="233"/>
        <v>0</v>
      </c>
      <c r="H742" s="36">
        <f t="shared" si="234"/>
        <v>0</v>
      </c>
      <c r="I742" s="36">
        <f t="shared" si="235"/>
        <v>0</v>
      </c>
      <c r="J742" s="36">
        <f t="shared" si="236"/>
        <v>0</v>
      </c>
      <c r="K742" s="36">
        <f t="shared" si="237"/>
        <v>0</v>
      </c>
      <c r="L742" s="36">
        <f t="shared" si="238"/>
        <v>0</v>
      </c>
      <c r="M742" s="36">
        <f t="shared" si="239"/>
        <v>0</v>
      </c>
      <c r="N742" s="36">
        <f t="shared" si="240"/>
        <v>0</v>
      </c>
      <c r="O742" s="36">
        <f t="shared" si="241"/>
        <v>0</v>
      </c>
      <c r="P742" s="36">
        <f t="shared" si="242"/>
        <v>0</v>
      </c>
      <c r="Q742" s="36">
        <f t="shared" si="243"/>
        <v>0</v>
      </c>
      <c r="R742" s="36">
        <f t="shared" si="244"/>
        <v>0</v>
      </c>
      <c r="S742" s="36">
        <f t="shared" si="245"/>
        <v>0</v>
      </c>
      <c r="T742" s="36">
        <f t="shared" si="246"/>
        <v>0</v>
      </c>
      <c r="U742" s="36">
        <f t="shared" si="247"/>
        <v>0</v>
      </c>
      <c r="V742" s="36">
        <f t="shared" si="248"/>
        <v>0</v>
      </c>
      <c r="W742" s="36">
        <f t="shared" si="249"/>
        <v>0</v>
      </c>
      <c r="X742" s="36">
        <f t="shared" si="250"/>
        <v>0</v>
      </c>
      <c r="Y742" s="36">
        <f t="shared" si="251"/>
        <v>0</v>
      </c>
      <c r="Z742" s="36">
        <f t="shared" si="252"/>
        <v>0</v>
      </c>
      <c r="AB742" s="36" t="str">
        <f>IF(最佳化斷筋點!C742="","",最佳化斷筋點!C742)</f>
        <v/>
      </c>
      <c r="AC742" s="37" t="str">
        <f>IF(最佳化斷筋點!D742="","",最佳化斷筋點!D742)</f>
        <v/>
      </c>
      <c r="AD742" s="37" t="str">
        <f>IF(最佳化斷筋點!E742="","",最佳化斷筋點!E742)</f>
        <v/>
      </c>
      <c r="AE742" s="37" t="str">
        <f>IF(最佳化斷筋點!F742="","",最佳化斷筋點!F742)</f>
        <v/>
      </c>
      <c r="AF742" s="37" t="str">
        <f>IF(最佳化斷筋點!G742="","",最佳化斷筋點!G742)</f>
        <v/>
      </c>
      <c r="AG742" s="37" t="str">
        <f>IF(最佳化斷筋點!H742="","",最佳化斷筋點!H742)</f>
        <v/>
      </c>
      <c r="AH742" s="37" t="str">
        <f>IF(最佳化斷筋點!I742="","",最佳化斷筋點!I742)</f>
        <v/>
      </c>
      <c r="AI742" s="37" t="str">
        <f>IF(最佳化斷筋點!J742="","",最佳化斷筋點!J742)</f>
        <v/>
      </c>
      <c r="AJ742" s="37" t="str">
        <f>IF(最佳化斷筋點!K742="","",最佳化斷筋點!K742)</f>
        <v/>
      </c>
      <c r="AK742" s="37" t="str">
        <f>IF(最佳化斷筋點!L742="","",最佳化斷筋點!L742)</f>
        <v/>
      </c>
      <c r="AL742" s="37" t="str">
        <f>IF(最佳化斷筋點!M742="","",最佳化斷筋點!M742)</f>
        <v/>
      </c>
      <c r="AM742" s="37" t="str">
        <f>IF(最佳化斷筋點!N742="","",最佳化斷筋點!N742)</f>
        <v/>
      </c>
      <c r="AN742" s="37" t="str">
        <f>IF(最佳化斷筋點!O742="","",最佳化斷筋點!O742)</f>
        <v/>
      </c>
      <c r="AO742" s="37" t="str">
        <f>IF(最佳化斷筋點!P742="","",最佳化斷筋點!P742)</f>
        <v/>
      </c>
      <c r="AP742" s="37" t="str">
        <f>IF(最佳化斷筋點!Q742="","",最佳化斷筋點!Q742)</f>
        <v/>
      </c>
      <c r="AQ742" s="37" t="str">
        <f>IF(最佳化斷筋點!R742="","",最佳化斷筋點!R742)</f>
        <v/>
      </c>
      <c r="AR742" s="37" t="str">
        <f>IF(最佳化斷筋點!S742="","",最佳化斷筋點!S742)</f>
        <v/>
      </c>
      <c r="AS742" s="37" t="str">
        <f>IF(最佳化斷筋點!T742="","",最佳化斷筋點!T742)</f>
        <v/>
      </c>
      <c r="AT742" s="37" t="str">
        <f>IF(最佳化斷筋點!U742="","",最佳化斷筋點!U742)</f>
        <v/>
      </c>
      <c r="AU742" s="37" t="str">
        <f>IF(最佳化斷筋點!V742="","",最佳化斷筋點!V742)</f>
        <v/>
      </c>
      <c r="AV742" s="37" t="str">
        <f>IF(最佳化斷筋點!W742="","",最佳化斷筋點!W742)</f>
        <v/>
      </c>
      <c r="AW742" s="37" t="str">
        <f>IF(最佳化斷筋點!X742="","",最佳化斷筋點!X742)</f>
        <v/>
      </c>
      <c r="AZ742" s="37" t="s">
        <v>197</v>
      </c>
      <c r="BA742" s="37" t="s">
        <v>197</v>
      </c>
      <c r="BB742" s="37" t="s">
        <v>197</v>
      </c>
      <c r="BC742" s="37" t="s">
        <v>197</v>
      </c>
      <c r="BD742" s="37" t="s">
        <v>197</v>
      </c>
      <c r="BE742" s="37" t="s">
        <v>197</v>
      </c>
      <c r="BF742" s="37" t="s">
        <v>197</v>
      </c>
      <c r="BG742" s="37" t="s">
        <v>197</v>
      </c>
      <c r="BH742" s="37" t="s">
        <v>197</v>
      </c>
      <c r="BI742" s="37" t="s">
        <v>197</v>
      </c>
      <c r="BJ742" s="37" t="s">
        <v>197</v>
      </c>
      <c r="BK742" s="37" t="s">
        <v>197</v>
      </c>
      <c r="BL742" s="37" t="s">
        <v>197</v>
      </c>
      <c r="BM742" s="37" t="s">
        <v>197</v>
      </c>
      <c r="BN742" s="37" t="s">
        <v>197</v>
      </c>
      <c r="BO742" s="37" t="s">
        <v>197</v>
      </c>
      <c r="BP742" s="37" t="s">
        <v>197</v>
      </c>
      <c r="BQ742" s="37" t="s">
        <v>197</v>
      </c>
      <c r="BR742" s="37" t="s">
        <v>197</v>
      </c>
      <c r="BS742" s="37" t="s">
        <v>197</v>
      </c>
      <c r="BT742" s="37" t="s">
        <v>197</v>
      </c>
    </row>
    <row r="743" spans="5:72" x14ac:dyDescent="0.25">
      <c r="E743" s="36" t="s">
        <v>20</v>
      </c>
      <c r="F743" s="36">
        <f t="shared" si="232"/>
        <v>0</v>
      </c>
      <c r="G743" s="36">
        <f t="shared" si="233"/>
        <v>0</v>
      </c>
      <c r="H743" s="36">
        <f t="shared" si="234"/>
        <v>0</v>
      </c>
      <c r="I743" s="36">
        <f t="shared" si="235"/>
        <v>0</v>
      </c>
      <c r="J743" s="36">
        <f t="shared" si="236"/>
        <v>0</v>
      </c>
      <c r="K743" s="36">
        <f t="shared" si="237"/>
        <v>0</v>
      </c>
      <c r="L743" s="36">
        <f t="shared" si="238"/>
        <v>0</v>
      </c>
      <c r="M743" s="36">
        <f t="shared" si="239"/>
        <v>0</v>
      </c>
      <c r="N743" s="36">
        <f t="shared" si="240"/>
        <v>0</v>
      </c>
      <c r="O743" s="36">
        <f t="shared" si="241"/>
        <v>0</v>
      </c>
      <c r="P743" s="36">
        <f t="shared" si="242"/>
        <v>0</v>
      </c>
      <c r="Q743" s="36">
        <f t="shared" si="243"/>
        <v>0</v>
      </c>
      <c r="R743" s="36">
        <f t="shared" si="244"/>
        <v>0</v>
      </c>
      <c r="S743" s="36">
        <f t="shared" si="245"/>
        <v>0</v>
      </c>
      <c r="T743" s="36">
        <f t="shared" si="246"/>
        <v>0</v>
      </c>
      <c r="U743" s="36">
        <f t="shared" si="247"/>
        <v>0</v>
      </c>
      <c r="V743" s="36">
        <f t="shared" si="248"/>
        <v>0</v>
      </c>
      <c r="W743" s="36">
        <f t="shared" si="249"/>
        <v>0</v>
      </c>
      <c r="X743" s="36">
        <f t="shared" si="250"/>
        <v>0</v>
      </c>
      <c r="Y743" s="36">
        <f t="shared" si="251"/>
        <v>0</v>
      </c>
      <c r="Z743" s="36">
        <f t="shared" si="252"/>
        <v>0</v>
      </c>
      <c r="AB743" s="36" t="str">
        <f>IF(最佳化斷筋點!C743="","",最佳化斷筋點!C743)</f>
        <v>上層</v>
      </c>
      <c r="AC743" s="37">
        <f>IF(最佳化斷筋點!D743="","",最佳化斷筋點!D743)</f>
        <v>10</v>
      </c>
      <c r="AD743" s="37">
        <f>IF(最佳化斷筋點!E743="","",最佳化斷筋點!E743)</f>
        <v>10</v>
      </c>
      <c r="AE743" s="37">
        <f>IF(最佳化斷筋點!F743="","",最佳化斷筋點!F743)</f>
        <v>10</v>
      </c>
      <c r="AF743" s="37">
        <f>IF(最佳化斷筋點!G743="","",最佳化斷筋點!G743)</f>
        <v>10</v>
      </c>
      <c r="AG743" s="37">
        <f>IF(最佳化斷筋點!H743="","",最佳化斷筋點!H743)</f>
        <v>10</v>
      </c>
      <c r="AH743" s="37">
        <f>IF(最佳化斷筋點!I743="","",最佳化斷筋點!I743)</f>
        <v>10</v>
      </c>
      <c r="AI743" s="37">
        <f>IF(最佳化斷筋點!J743="","",最佳化斷筋點!J743)</f>
        <v>10</v>
      </c>
      <c r="AJ743" s="37">
        <f>IF(最佳化斷筋點!K743="","",最佳化斷筋點!K743)</f>
        <v>4</v>
      </c>
      <c r="AK743" s="37">
        <f>IF(最佳化斷筋點!L743="","",最佳化斷筋點!L743)</f>
        <v>4</v>
      </c>
      <c r="AL743" s="37">
        <f>IF(最佳化斷筋點!M743="","",最佳化斷筋點!M743)</f>
        <v>4</v>
      </c>
      <c r="AM743" s="37">
        <f>IF(最佳化斷筋點!N743="","",最佳化斷筋點!N743)</f>
        <v>4</v>
      </c>
      <c r="AN743" s="37">
        <f>IF(最佳化斷筋點!O743="","",最佳化斷筋點!O743)</f>
        <v>4</v>
      </c>
      <c r="AO743" s="37">
        <f>IF(最佳化斷筋點!P743="","",最佳化斷筋點!P743)</f>
        <v>4</v>
      </c>
      <c r="AP743" s="37">
        <f>IF(最佳化斷筋點!Q743="","",最佳化斷筋點!Q743)</f>
        <v>8</v>
      </c>
      <c r="AQ743" s="37">
        <f>IF(最佳化斷筋點!R743="","",最佳化斷筋點!R743)</f>
        <v>9</v>
      </c>
      <c r="AR743" s="37">
        <f>IF(最佳化斷筋點!S743="","",最佳化斷筋點!S743)</f>
        <v>9</v>
      </c>
      <c r="AS743" s="37">
        <f>IF(最佳化斷筋點!T743="","",最佳化斷筋點!T743)</f>
        <v>9</v>
      </c>
      <c r="AT743" s="37">
        <f>IF(最佳化斷筋點!U743="","",最佳化斷筋點!U743)</f>
        <v>9</v>
      </c>
      <c r="AU743" s="37">
        <f>IF(最佳化斷筋點!V743="","",最佳化斷筋點!V743)</f>
        <v>9</v>
      </c>
      <c r="AV743" s="37">
        <f>IF(最佳化斷筋點!W743="","",最佳化斷筋點!W743)</f>
        <v>9</v>
      </c>
      <c r="AW743" s="37">
        <f>IF(最佳化斷筋點!X743="","",最佳化斷筋點!X743)</f>
        <v>9</v>
      </c>
      <c r="AZ743" s="37">
        <v>10</v>
      </c>
      <c r="BA743" s="37">
        <v>10</v>
      </c>
      <c r="BB743" s="37">
        <v>10</v>
      </c>
      <c r="BC743" s="37">
        <v>10</v>
      </c>
      <c r="BD743" s="37">
        <v>10</v>
      </c>
      <c r="BE743" s="37">
        <v>10</v>
      </c>
      <c r="BF743" s="37">
        <v>10</v>
      </c>
      <c r="BG743" s="37">
        <v>4</v>
      </c>
      <c r="BH743" s="37">
        <v>4</v>
      </c>
      <c r="BI743" s="37">
        <v>4</v>
      </c>
      <c r="BJ743" s="37">
        <v>4</v>
      </c>
      <c r="BK743" s="37">
        <v>4</v>
      </c>
      <c r="BL743" s="37">
        <v>4</v>
      </c>
      <c r="BM743" s="37">
        <v>8</v>
      </c>
      <c r="BN743" s="37">
        <v>9</v>
      </c>
      <c r="BO743" s="37">
        <v>9</v>
      </c>
      <c r="BP743" s="37">
        <v>9</v>
      </c>
      <c r="BQ743" s="37">
        <v>9</v>
      </c>
      <c r="BR743" s="37">
        <v>9</v>
      </c>
      <c r="BS743" s="37">
        <v>9</v>
      </c>
      <c r="BT743" s="37">
        <v>9</v>
      </c>
    </row>
    <row r="744" spans="5:72" x14ac:dyDescent="0.25">
      <c r="E744" s="36"/>
      <c r="F744" s="36">
        <f t="shared" si="232"/>
        <v>0</v>
      </c>
      <c r="G744" s="36">
        <f t="shared" si="233"/>
        <v>0</v>
      </c>
      <c r="H744" s="36">
        <f t="shared" si="234"/>
        <v>0</v>
      </c>
      <c r="I744" s="36">
        <f t="shared" si="235"/>
        <v>0</v>
      </c>
      <c r="J744" s="36">
        <f t="shared" si="236"/>
        <v>0</v>
      </c>
      <c r="K744" s="36">
        <f t="shared" si="237"/>
        <v>0</v>
      </c>
      <c r="L744" s="36">
        <f t="shared" si="238"/>
        <v>0</v>
      </c>
      <c r="M744" s="36">
        <f t="shared" si="239"/>
        <v>0</v>
      </c>
      <c r="N744" s="36">
        <f t="shared" si="240"/>
        <v>0</v>
      </c>
      <c r="O744" s="36">
        <f t="shared" si="241"/>
        <v>0</v>
      </c>
      <c r="P744" s="36">
        <f t="shared" si="242"/>
        <v>0</v>
      </c>
      <c r="Q744" s="36">
        <f t="shared" si="243"/>
        <v>0</v>
      </c>
      <c r="R744" s="36">
        <f t="shared" si="244"/>
        <v>0</v>
      </c>
      <c r="S744" s="36">
        <f t="shared" si="245"/>
        <v>0</v>
      </c>
      <c r="T744" s="36">
        <f t="shared" si="246"/>
        <v>0</v>
      </c>
      <c r="U744" s="36">
        <f t="shared" si="247"/>
        <v>0</v>
      </c>
      <c r="V744" s="36">
        <f t="shared" si="248"/>
        <v>0</v>
      </c>
      <c r="W744" s="36">
        <f t="shared" si="249"/>
        <v>0</v>
      </c>
      <c r="X744" s="36">
        <f t="shared" si="250"/>
        <v>0</v>
      </c>
      <c r="Y744" s="36">
        <f t="shared" si="251"/>
        <v>0</v>
      </c>
      <c r="Z744" s="36">
        <f t="shared" si="252"/>
        <v>0</v>
      </c>
      <c r="AB744" s="36" t="str">
        <f>IF(最佳化斷筋點!C744="","",最佳化斷筋點!C744)</f>
        <v/>
      </c>
      <c r="AC744" s="37" t="str">
        <f>IF(最佳化斷筋點!D744="","",最佳化斷筋點!D744)</f>
        <v/>
      </c>
      <c r="AD744" s="37" t="str">
        <f>IF(最佳化斷筋點!E744="","",最佳化斷筋點!E744)</f>
        <v/>
      </c>
      <c r="AE744" s="37" t="str">
        <f>IF(最佳化斷筋點!F744="","",最佳化斷筋點!F744)</f>
        <v/>
      </c>
      <c r="AF744" s="37" t="str">
        <f>IF(最佳化斷筋點!G744="","",最佳化斷筋點!G744)</f>
        <v/>
      </c>
      <c r="AG744" s="37" t="str">
        <f>IF(最佳化斷筋點!H744="","",最佳化斷筋點!H744)</f>
        <v/>
      </c>
      <c r="AH744" s="37" t="str">
        <f>IF(最佳化斷筋點!I744="","",最佳化斷筋點!I744)</f>
        <v/>
      </c>
      <c r="AI744" s="37" t="str">
        <f>IF(最佳化斷筋點!J744="","",最佳化斷筋點!J744)</f>
        <v/>
      </c>
      <c r="AJ744" s="37" t="str">
        <f>IF(最佳化斷筋點!K744="","",最佳化斷筋點!K744)</f>
        <v/>
      </c>
      <c r="AK744" s="37" t="str">
        <f>IF(最佳化斷筋點!L744="","",最佳化斷筋點!L744)</f>
        <v/>
      </c>
      <c r="AL744" s="37" t="str">
        <f>IF(最佳化斷筋點!M744="","",最佳化斷筋點!M744)</f>
        <v/>
      </c>
      <c r="AM744" s="37" t="str">
        <f>IF(最佳化斷筋點!N744="","",最佳化斷筋點!N744)</f>
        <v/>
      </c>
      <c r="AN744" s="37" t="str">
        <f>IF(最佳化斷筋點!O744="","",最佳化斷筋點!O744)</f>
        <v/>
      </c>
      <c r="AO744" s="37" t="str">
        <f>IF(最佳化斷筋點!P744="","",最佳化斷筋點!P744)</f>
        <v/>
      </c>
      <c r="AP744" s="37" t="str">
        <f>IF(最佳化斷筋點!Q744="","",最佳化斷筋點!Q744)</f>
        <v/>
      </c>
      <c r="AQ744" s="37" t="str">
        <f>IF(最佳化斷筋點!R744="","",最佳化斷筋點!R744)</f>
        <v/>
      </c>
      <c r="AR744" s="37" t="str">
        <f>IF(最佳化斷筋點!S744="","",最佳化斷筋點!S744)</f>
        <v/>
      </c>
      <c r="AS744" s="37" t="str">
        <f>IF(最佳化斷筋點!T744="","",最佳化斷筋點!T744)</f>
        <v/>
      </c>
      <c r="AT744" s="37" t="str">
        <f>IF(最佳化斷筋點!U744="","",最佳化斷筋點!U744)</f>
        <v/>
      </c>
      <c r="AU744" s="37" t="str">
        <f>IF(最佳化斷筋點!V744="","",最佳化斷筋點!V744)</f>
        <v/>
      </c>
      <c r="AV744" s="37" t="str">
        <f>IF(最佳化斷筋點!W744="","",最佳化斷筋點!W744)</f>
        <v/>
      </c>
      <c r="AW744" s="37" t="str">
        <f>IF(最佳化斷筋點!X744="","",最佳化斷筋點!X744)</f>
        <v/>
      </c>
      <c r="AZ744" s="37" t="s">
        <v>197</v>
      </c>
      <c r="BA744" s="37" t="s">
        <v>197</v>
      </c>
      <c r="BB744" s="37" t="s">
        <v>197</v>
      </c>
      <c r="BC744" s="37" t="s">
        <v>197</v>
      </c>
      <c r="BD744" s="37" t="s">
        <v>197</v>
      </c>
      <c r="BE744" s="37" t="s">
        <v>197</v>
      </c>
      <c r="BF744" s="37" t="s">
        <v>197</v>
      </c>
      <c r="BG744" s="37" t="s">
        <v>197</v>
      </c>
      <c r="BH744" s="37" t="s">
        <v>197</v>
      </c>
      <c r="BI744" s="37" t="s">
        <v>197</v>
      </c>
      <c r="BJ744" s="37" t="s">
        <v>197</v>
      </c>
      <c r="BK744" s="37" t="s">
        <v>197</v>
      </c>
      <c r="BL744" s="37" t="s">
        <v>197</v>
      </c>
      <c r="BM744" s="37" t="s">
        <v>197</v>
      </c>
      <c r="BN744" s="37" t="s">
        <v>197</v>
      </c>
      <c r="BO744" s="37" t="s">
        <v>197</v>
      </c>
      <c r="BP744" s="37" t="s">
        <v>197</v>
      </c>
      <c r="BQ744" s="37" t="s">
        <v>197</v>
      </c>
      <c r="BR744" s="37" t="s">
        <v>197</v>
      </c>
      <c r="BS744" s="37" t="s">
        <v>197</v>
      </c>
      <c r="BT744" s="37" t="s">
        <v>197</v>
      </c>
    </row>
    <row r="745" spans="5:72" x14ac:dyDescent="0.25">
      <c r="E745" s="36" t="s">
        <v>21</v>
      </c>
      <c r="F745" s="36">
        <f t="shared" si="232"/>
        <v>0</v>
      </c>
      <c r="G745" s="36">
        <f t="shared" si="233"/>
        <v>0</v>
      </c>
      <c r="H745" s="36">
        <f t="shared" si="234"/>
        <v>0</v>
      </c>
      <c r="I745" s="36">
        <f t="shared" si="235"/>
        <v>0</v>
      </c>
      <c r="J745" s="36">
        <f t="shared" si="236"/>
        <v>0</v>
      </c>
      <c r="K745" s="36">
        <f t="shared" si="237"/>
        <v>0</v>
      </c>
      <c r="L745" s="36">
        <f t="shared" si="238"/>
        <v>0</v>
      </c>
      <c r="M745" s="36">
        <f t="shared" si="239"/>
        <v>0</v>
      </c>
      <c r="N745" s="36">
        <f t="shared" si="240"/>
        <v>0</v>
      </c>
      <c r="O745" s="36">
        <f t="shared" si="241"/>
        <v>0</v>
      </c>
      <c r="P745" s="36">
        <f t="shared" si="242"/>
        <v>0</v>
      </c>
      <c r="Q745" s="36">
        <f t="shared" si="243"/>
        <v>0</v>
      </c>
      <c r="R745" s="36">
        <f t="shared" si="244"/>
        <v>0</v>
      </c>
      <c r="S745" s="36">
        <f t="shared" si="245"/>
        <v>0</v>
      </c>
      <c r="T745" s="36">
        <f t="shared" si="246"/>
        <v>0</v>
      </c>
      <c r="U745" s="36">
        <f t="shared" si="247"/>
        <v>0</v>
      </c>
      <c r="V745" s="36">
        <f t="shared" si="248"/>
        <v>0</v>
      </c>
      <c r="W745" s="36">
        <f t="shared" si="249"/>
        <v>0</v>
      </c>
      <c r="X745" s="36">
        <f t="shared" si="250"/>
        <v>0</v>
      </c>
      <c r="Y745" s="36">
        <f t="shared" si="251"/>
        <v>0</v>
      </c>
      <c r="Z745" s="36">
        <f t="shared" si="252"/>
        <v>0</v>
      </c>
      <c r="AB745" s="36" t="str">
        <f>IF(最佳化斷筋點!C745="","",最佳化斷筋點!C745)</f>
        <v>下層</v>
      </c>
      <c r="AC745" s="37">
        <f>IF(最佳化斷筋點!D745="","",最佳化斷筋點!D745)</f>
        <v>12</v>
      </c>
      <c r="AD745" s="37">
        <f>IF(最佳化斷筋點!E745="","",最佳化斷筋點!E745)</f>
        <v>12</v>
      </c>
      <c r="AE745" s="37">
        <f>IF(最佳化斷筋點!F745="","",最佳化斷筋點!F745)</f>
        <v>12</v>
      </c>
      <c r="AF745" s="37">
        <f>IF(最佳化斷筋點!G745="","",最佳化斷筋點!G745)</f>
        <v>12</v>
      </c>
      <c r="AG745" s="37">
        <f>IF(最佳化斷筋點!H745="","",最佳化斷筋點!H745)</f>
        <v>12</v>
      </c>
      <c r="AH745" s="37">
        <f>IF(最佳化斷筋點!I745="","",最佳化斷筋點!I745)</f>
        <v>11</v>
      </c>
      <c r="AI745" s="37">
        <f>IF(最佳化斷筋點!J745="","",最佳化斷筋點!J745)</f>
        <v>10</v>
      </c>
      <c r="AJ745" s="37">
        <f>IF(最佳化斷筋點!K745="","",最佳化斷筋點!K745)</f>
        <v>5</v>
      </c>
      <c r="AK745" s="37">
        <f>IF(最佳化斷筋點!L745="","",最佳化斷筋點!L745)</f>
        <v>5</v>
      </c>
      <c r="AL745" s="37">
        <f>IF(最佳化斷筋點!M745="","",最佳化斷筋點!M745)</f>
        <v>5</v>
      </c>
      <c r="AM745" s="37">
        <f>IF(最佳化斷筋點!N745="","",最佳化斷筋點!N745)</f>
        <v>5</v>
      </c>
      <c r="AN745" s="37">
        <f>IF(最佳化斷筋點!O745="","",最佳化斷筋點!O745)</f>
        <v>5</v>
      </c>
      <c r="AO745" s="37">
        <f>IF(最佳化斷筋點!P745="","",最佳化斷筋點!P745)</f>
        <v>5</v>
      </c>
      <c r="AP745" s="37">
        <f>IF(最佳化斷筋點!Q745="","",最佳化斷筋點!Q745)</f>
        <v>9</v>
      </c>
      <c r="AQ745" s="37">
        <f>IF(最佳化斷筋點!R745="","",最佳化斷筋點!R745)</f>
        <v>10</v>
      </c>
      <c r="AR745" s="37">
        <f>IF(最佳化斷筋點!S745="","",最佳化斷筋點!S745)</f>
        <v>11</v>
      </c>
      <c r="AS745" s="37">
        <f>IF(最佳化斷筋點!T745="","",最佳化斷筋點!T745)</f>
        <v>12</v>
      </c>
      <c r="AT745" s="37">
        <f>IF(最佳化斷筋點!U745="","",最佳化斷筋點!U745)</f>
        <v>12</v>
      </c>
      <c r="AU745" s="37">
        <f>IF(最佳化斷筋點!V745="","",最佳化斷筋點!V745)</f>
        <v>12</v>
      </c>
      <c r="AV745" s="37">
        <f>IF(最佳化斷筋點!W745="","",最佳化斷筋點!W745)</f>
        <v>12</v>
      </c>
      <c r="AW745" s="37">
        <f>IF(最佳化斷筋點!X745="","",最佳化斷筋點!X745)</f>
        <v>12</v>
      </c>
      <c r="AZ745" s="37">
        <v>12</v>
      </c>
      <c r="BA745" s="37">
        <v>12</v>
      </c>
      <c r="BB745" s="37">
        <v>12</v>
      </c>
      <c r="BC745" s="37">
        <v>12</v>
      </c>
      <c r="BD745" s="37">
        <v>12</v>
      </c>
      <c r="BE745" s="37">
        <v>11</v>
      </c>
      <c r="BF745" s="37">
        <v>10</v>
      </c>
      <c r="BG745" s="37">
        <v>5</v>
      </c>
      <c r="BH745" s="37">
        <v>5</v>
      </c>
      <c r="BI745" s="37">
        <v>5</v>
      </c>
      <c r="BJ745" s="37">
        <v>5</v>
      </c>
      <c r="BK745" s="37">
        <v>5</v>
      </c>
      <c r="BL745" s="37">
        <v>5</v>
      </c>
      <c r="BM745" s="37">
        <v>9</v>
      </c>
      <c r="BN745" s="37">
        <v>10</v>
      </c>
      <c r="BO745" s="37">
        <v>11</v>
      </c>
      <c r="BP745" s="37">
        <v>12</v>
      </c>
      <c r="BQ745" s="37">
        <v>12</v>
      </c>
      <c r="BR745" s="37">
        <v>12</v>
      </c>
      <c r="BS745" s="37">
        <v>12</v>
      </c>
      <c r="BT745" s="37">
        <v>12</v>
      </c>
    </row>
    <row r="746" spans="5:72" x14ac:dyDescent="0.25">
      <c r="E746" s="36"/>
      <c r="F746" s="36">
        <f t="shared" si="232"/>
        <v>0</v>
      </c>
      <c r="G746" s="36">
        <f t="shared" si="233"/>
        <v>0</v>
      </c>
      <c r="H746" s="36">
        <f t="shared" si="234"/>
        <v>0</v>
      </c>
      <c r="I746" s="36">
        <f t="shared" si="235"/>
        <v>0</v>
      </c>
      <c r="J746" s="36">
        <f t="shared" si="236"/>
        <v>0</v>
      </c>
      <c r="K746" s="36">
        <f t="shared" si="237"/>
        <v>0</v>
      </c>
      <c r="L746" s="36">
        <f t="shared" si="238"/>
        <v>0</v>
      </c>
      <c r="M746" s="36">
        <f t="shared" si="239"/>
        <v>0</v>
      </c>
      <c r="N746" s="36">
        <f t="shared" si="240"/>
        <v>0</v>
      </c>
      <c r="O746" s="36">
        <f t="shared" si="241"/>
        <v>0</v>
      </c>
      <c r="P746" s="36">
        <f t="shared" si="242"/>
        <v>0</v>
      </c>
      <c r="Q746" s="36">
        <f t="shared" si="243"/>
        <v>0</v>
      </c>
      <c r="R746" s="36">
        <f t="shared" si="244"/>
        <v>0</v>
      </c>
      <c r="S746" s="36">
        <f t="shared" si="245"/>
        <v>0</v>
      </c>
      <c r="T746" s="36">
        <f t="shared" si="246"/>
        <v>0</v>
      </c>
      <c r="U746" s="36">
        <f t="shared" si="247"/>
        <v>0</v>
      </c>
      <c r="V746" s="36">
        <f t="shared" si="248"/>
        <v>0</v>
      </c>
      <c r="W746" s="36">
        <f t="shared" si="249"/>
        <v>0</v>
      </c>
      <c r="X746" s="36">
        <f t="shared" si="250"/>
        <v>0</v>
      </c>
      <c r="Y746" s="36">
        <f t="shared" si="251"/>
        <v>0</v>
      </c>
      <c r="Z746" s="36">
        <f t="shared" si="252"/>
        <v>0</v>
      </c>
      <c r="AB746" s="36" t="str">
        <f>IF(最佳化斷筋點!C746="","",最佳化斷筋點!C746)</f>
        <v/>
      </c>
      <c r="AC746" s="37" t="str">
        <f>IF(最佳化斷筋點!D746="","",最佳化斷筋點!D746)</f>
        <v/>
      </c>
      <c r="AD746" s="37" t="str">
        <f>IF(最佳化斷筋點!E746="","",最佳化斷筋點!E746)</f>
        <v/>
      </c>
      <c r="AE746" s="37" t="str">
        <f>IF(最佳化斷筋點!F746="","",最佳化斷筋點!F746)</f>
        <v/>
      </c>
      <c r="AF746" s="37" t="str">
        <f>IF(最佳化斷筋點!G746="","",最佳化斷筋點!G746)</f>
        <v/>
      </c>
      <c r="AG746" s="37" t="str">
        <f>IF(最佳化斷筋點!H746="","",最佳化斷筋點!H746)</f>
        <v/>
      </c>
      <c r="AH746" s="37" t="str">
        <f>IF(最佳化斷筋點!I746="","",最佳化斷筋點!I746)</f>
        <v/>
      </c>
      <c r="AI746" s="37" t="str">
        <f>IF(最佳化斷筋點!J746="","",最佳化斷筋點!J746)</f>
        <v/>
      </c>
      <c r="AJ746" s="37" t="str">
        <f>IF(最佳化斷筋點!K746="","",最佳化斷筋點!K746)</f>
        <v/>
      </c>
      <c r="AK746" s="37" t="str">
        <f>IF(最佳化斷筋點!L746="","",最佳化斷筋點!L746)</f>
        <v/>
      </c>
      <c r="AL746" s="37" t="str">
        <f>IF(最佳化斷筋點!M746="","",最佳化斷筋點!M746)</f>
        <v/>
      </c>
      <c r="AM746" s="37" t="str">
        <f>IF(最佳化斷筋點!N746="","",最佳化斷筋點!N746)</f>
        <v/>
      </c>
      <c r="AN746" s="37" t="str">
        <f>IF(最佳化斷筋點!O746="","",最佳化斷筋點!O746)</f>
        <v/>
      </c>
      <c r="AO746" s="37" t="str">
        <f>IF(最佳化斷筋點!P746="","",最佳化斷筋點!P746)</f>
        <v/>
      </c>
      <c r="AP746" s="37" t="str">
        <f>IF(最佳化斷筋點!Q746="","",最佳化斷筋點!Q746)</f>
        <v/>
      </c>
      <c r="AQ746" s="37" t="str">
        <f>IF(最佳化斷筋點!R746="","",最佳化斷筋點!R746)</f>
        <v/>
      </c>
      <c r="AR746" s="37" t="str">
        <f>IF(最佳化斷筋點!S746="","",最佳化斷筋點!S746)</f>
        <v/>
      </c>
      <c r="AS746" s="37" t="str">
        <f>IF(最佳化斷筋點!T746="","",最佳化斷筋點!T746)</f>
        <v/>
      </c>
      <c r="AT746" s="37" t="str">
        <f>IF(最佳化斷筋點!U746="","",最佳化斷筋點!U746)</f>
        <v/>
      </c>
      <c r="AU746" s="37" t="str">
        <f>IF(最佳化斷筋點!V746="","",最佳化斷筋點!V746)</f>
        <v/>
      </c>
      <c r="AV746" s="37" t="str">
        <f>IF(最佳化斷筋點!W746="","",最佳化斷筋點!W746)</f>
        <v/>
      </c>
      <c r="AW746" s="37" t="str">
        <f>IF(最佳化斷筋點!X746="","",最佳化斷筋點!X746)</f>
        <v/>
      </c>
      <c r="AZ746" s="37" t="s">
        <v>197</v>
      </c>
      <c r="BA746" s="37" t="s">
        <v>197</v>
      </c>
      <c r="BB746" s="37" t="s">
        <v>197</v>
      </c>
      <c r="BC746" s="37" t="s">
        <v>197</v>
      </c>
      <c r="BD746" s="37" t="s">
        <v>197</v>
      </c>
      <c r="BE746" s="37" t="s">
        <v>197</v>
      </c>
      <c r="BF746" s="37" t="s">
        <v>197</v>
      </c>
      <c r="BG746" s="37" t="s">
        <v>197</v>
      </c>
      <c r="BH746" s="37" t="s">
        <v>197</v>
      </c>
      <c r="BI746" s="37" t="s">
        <v>197</v>
      </c>
      <c r="BJ746" s="37" t="s">
        <v>197</v>
      </c>
      <c r="BK746" s="37" t="s">
        <v>197</v>
      </c>
      <c r="BL746" s="37" t="s">
        <v>197</v>
      </c>
      <c r="BM746" s="37" t="s">
        <v>197</v>
      </c>
      <c r="BN746" s="37" t="s">
        <v>197</v>
      </c>
      <c r="BO746" s="37" t="s">
        <v>197</v>
      </c>
      <c r="BP746" s="37" t="s">
        <v>197</v>
      </c>
      <c r="BQ746" s="37" t="s">
        <v>197</v>
      </c>
      <c r="BR746" s="37" t="s">
        <v>197</v>
      </c>
      <c r="BS746" s="37" t="s">
        <v>197</v>
      </c>
      <c r="BT746" s="37" t="s">
        <v>197</v>
      </c>
    </row>
    <row r="747" spans="5:72" x14ac:dyDescent="0.25">
      <c r="E747" s="36" t="s">
        <v>20</v>
      </c>
      <c r="F747" s="36">
        <f t="shared" si="232"/>
        <v>0</v>
      </c>
      <c r="G747" s="36">
        <f t="shared" si="233"/>
        <v>0</v>
      </c>
      <c r="H747" s="36">
        <f t="shared" si="234"/>
        <v>0</v>
      </c>
      <c r="I747" s="36">
        <f t="shared" si="235"/>
        <v>0</v>
      </c>
      <c r="J747" s="36">
        <f t="shared" si="236"/>
        <v>0</v>
      </c>
      <c r="K747" s="36">
        <f t="shared" si="237"/>
        <v>0</v>
      </c>
      <c r="L747" s="36">
        <f t="shared" si="238"/>
        <v>0</v>
      </c>
      <c r="M747" s="36">
        <f t="shared" si="239"/>
        <v>0</v>
      </c>
      <c r="N747" s="36">
        <f t="shared" si="240"/>
        <v>0</v>
      </c>
      <c r="O747" s="36">
        <f t="shared" si="241"/>
        <v>0</v>
      </c>
      <c r="P747" s="36">
        <f t="shared" si="242"/>
        <v>0</v>
      </c>
      <c r="Q747" s="36">
        <f t="shared" si="243"/>
        <v>0</v>
      </c>
      <c r="R747" s="36">
        <f t="shared" si="244"/>
        <v>0</v>
      </c>
      <c r="S747" s="36">
        <f t="shared" si="245"/>
        <v>0</v>
      </c>
      <c r="T747" s="36">
        <f t="shared" si="246"/>
        <v>0</v>
      </c>
      <c r="U747" s="36">
        <f t="shared" si="247"/>
        <v>0</v>
      </c>
      <c r="V747" s="36">
        <f t="shared" si="248"/>
        <v>0</v>
      </c>
      <c r="W747" s="36">
        <f t="shared" si="249"/>
        <v>0</v>
      </c>
      <c r="X747" s="36">
        <f t="shared" si="250"/>
        <v>0</v>
      </c>
      <c r="Y747" s="36">
        <f t="shared" si="251"/>
        <v>0</v>
      </c>
      <c r="Z747" s="36">
        <f t="shared" si="252"/>
        <v>0</v>
      </c>
      <c r="AB747" s="36" t="str">
        <f>IF(最佳化斷筋點!C747="","",最佳化斷筋點!C747)</f>
        <v>上層</v>
      </c>
      <c r="AC747" s="37">
        <f>IF(最佳化斷筋點!D747="","",最佳化斷筋點!D747)</f>
        <v>10</v>
      </c>
      <c r="AD747" s="37">
        <f>IF(最佳化斷筋點!E747="","",最佳化斷筋點!E747)</f>
        <v>10</v>
      </c>
      <c r="AE747" s="37">
        <f>IF(最佳化斷筋點!F747="","",最佳化斷筋點!F747)</f>
        <v>10</v>
      </c>
      <c r="AF747" s="37">
        <f>IF(最佳化斷筋點!G747="","",最佳化斷筋點!G747)</f>
        <v>10</v>
      </c>
      <c r="AG747" s="37">
        <f>IF(最佳化斷筋點!H747="","",最佳化斷筋點!H747)</f>
        <v>10</v>
      </c>
      <c r="AH747" s="37">
        <f>IF(最佳化斷筋點!I747="","",最佳化斷筋點!I747)</f>
        <v>10</v>
      </c>
      <c r="AI747" s="37">
        <f>IF(最佳化斷筋點!J747="","",最佳化斷筋點!J747)</f>
        <v>10</v>
      </c>
      <c r="AJ747" s="37">
        <f>IF(最佳化斷筋點!K747="","",最佳化斷筋點!K747)</f>
        <v>4</v>
      </c>
      <c r="AK747" s="37">
        <f>IF(最佳化斷筋點!L747="","",最佳化斷筋點!L747)</f>
        <v>4</v>
      </c>
      <c r="AL747" s="37">
        <f>IF(最佳化斷筋點!M747="","",最佳化斷筋點!M747)</f>
        <v>4</v>
      </c>
      <c r="AM747" s="37">
        <f>IF(最佳化斷筋點!N747="","",最佳化斷筋點!N747)</f>
        <v>4</v>
      </c>
      <c r="AN747" s="37">
        <f>IF(最佳化斷筋點!O747="","",最佳化斷筋點!O747)</f>
        <v>4</v>
      </c>
      <c r="AO747" s="37">
        <f>IF(最佳化斷筋點!P747="","",最佳化斷筋點!P747)</f>
        <v>4</v>
      </c>
      <c r="AP747" s="37">
        <f>IF(最佳化斷筋點!Q747="","",最佳化斷筋點!Q747)</f>
        <v>7</v>
      </c>
      <c r="AQ747" s="37">
        <f>IF(最佳化斷筋點!R747="","",最佳化斷筋點!R747)</f>
        <v>8</v>
      </c>
      <c r="AR747" s="37">
        <f>IF(最佳化斷筋點!S747="","",最佳化斷筋點!S747)</f>
        <v>8</v>
      </c>
      <c r="AS747" s="37">
        <f>IF(最佳化斷筋點!T747="","",最佳化斷筋點!T747)</f>
        <v>8</v>
      </c>
      <c r="AT747" s="37">
        <f>IF(最佳化斷筋點!U747="","",最佳化斷筋點!U747)</f>
        <v>8</v>
      </c>
      <c r="AU747" s="37">
        <f>IF(最佳化斷筋點!V747="","",最佳化斷筋點!V747)</f>
        <v>8</v>
      </c>
      <c r="AV747" s="37">
        <f>IF(最佳化斷筋點!W747="","",最佳化斷筋點!W747)</f>
        <v>8</v>
      </c>
      <c r="AW747" s="37">
        <f>IF(最佳化斷筋點!X747="","",最佳化斷筋點!X747)</f>
        <v>8</v>
      </c>
      <c r="AZ747" s="37">
        <v>10</v>
      </c>
      <c r="BA747" s="37">
        <v>10</v>
      </c>
      <c r="BB747" s="37">
        <v>10</v>
      </c>
      <c r="BC747" s="37">
        <v>10</v>
      </c>
      <c r="BD747" s="37">
        <v>10</v>
      </c>
      <c r="BE747" s="37">
        <v>10</v>
      </c>
      <c r="BF747" s="37">
        <v>10</v>
      </c>
      <c r="BG747" s="37">
        <v>4</v>
      </c>
      <c r="BH747" s="37">
        <v>4</v>
      </c>
      <c r="BI747" s="37">
        <v>4</v>
      </c>
      <c r="BJ747" s="37">
        <v>4</v>
      </c>
      <c r="BK747" s="37">
        <v>4</v>
      </c>
      <c r="BL747" s="37">
        <v>4</v>
      </c>
      <c r="BM747" s="37">
        <v>7</v>
      </c>
      <c r="BN747" s="37">
        <v>8</v>
      </c>
      <c r="BO747" s="37">
        <v>8</v>
      </c>
      <c r="BP747" s="37">
        <v>8</v>
      </c>
      <c r="BQ747" s="37">
        <v>8</v>
      </c>
      <c r="BR747" s="37">
        <v>8</v>
      </c>
      <c r="BS747" s="37">
        <v>8</v>
      </c>
      <c r="BT747" s="37">
        <v>8</v>
      </c>
    </row>
    <row r="748" spans="5:72" x14ac:dyDescent="0.25">
      <c r="E748" s="36"/>
      <c r="F748" s="36">
        <f t="shared" si="232"/>
        <v>0</v>
      </c>
      <c r="G748" s="36">
        <f t="shared" si="233"/>
        <v>0</v>
      </c>
      <c r="H748" s="36">
        <f t="shared" si="234"/>
        <v>0</v>
      </c>
      <c r="I748" s="36">
        <f t="shared" si="235"/>
        <v>0</v>
      </c>
      <c r="J748" s="36">
        <f t="shared" si="236"/>
        <v>0</v>
      </c>
      <c r="K748" s="36">
        <f t="shared" si="237"/>
        <v>0</v>
      </c>
      <c r="L748" s="36">
        <f t="shared" si="238"/>
        <v>0</v>
      </c>
      <c r="M748" s="36">
        <f t="shared" si="239"/>
        <v>0</v>
      </c>
      <c r="N748" s="36">
        <f t="shared" si="240"/>
        <v>0</v>
      </c>
      <c r="O748" s="36">
        <f t="shared" si="241"/>
        <v>0</v>
      </c>
      <c r="P748" s="36">
        <f t="shared" si="242"/>
        <v>0</v>
      </c>
      <c r="Q748" s="36">
        <f t="shared" si="243"/>
        <v>0</v>
      </c>
      <c r="R748" s="36">
        <f t="shared" si="244"/>
        <v>0</v>
      </c>
      <c r="S748" s="36">
        <f t="shared" si="245"/>
        <v>0</v>
      </c>
      <c r="T748" s="36">
        <f t="shared" si="246"/>
        <v>0</v>
      </c>
      <c r="U748" s="36">
        <f t="shared" si="247"/>
        <v>0</v>
      </c>
      <c r="V748" s="36">
        <f t="shared" si="248"/>
        <v>0</v>
      </c>
      <c r="W748" s="36">
        <f t="shared" si="249"/>
        <v>0</v>
      </c>
      <c r="X748" s="36">
        <f t="shared" si="250"/>
        <v>0</v>
      </c>
      <c r="Y748" s="36">
        <f t="shared" si="251"/>
        <v>0</v>
      </c>
      <c r="Z748" s="36">
        <f t="shared" si="252"/>
        <v>0</v>
      </c>
      <c r="AB748" s="36" t="str">
        <f>IF(最佳化斷筋點!C748="","",最佳化斷筋點!C748)</f>
        <v/>
      </c>
      <c r="AC748" s="37" t="str">
        <f>IF(最佳化斷筋點!D748="","",最佳化斷筋點!D748)</f>
        <v/>
      </c>
      <c r="AD748" s="37" t="str">
        <f>IF(最佳化斷筋點!E748="","",最佳化斷筋點!E748)</f>
        <v/>
      </c>
      <c r="AE748" s="37" t="str">
        <f>IF(最佳化斷筋點!F748="","",最佳化斷筋點!F748)</f>
        <v/>
      </c>
      <c r="AF748" s="37" t="str">
        <f>IF(最佳化斷筋點!G748="","",最佳化斷筋點!G748)</f>
        <v/>
      </c>
      <c r="AG748" s="37" t="str">
        <f>IF(最佳化斷筋點!H748="","",最佳化斷筋點!H748)</f>
        <v/>
      </c>
      <c r="AH748" s="37" t="str">
        <f>IF(最佳化斷筋點!I748="","",最佳化斷筋點!I748)</f>
        <v/>
      </c>
      <c r="AI748" s="37" t="str">
        <f>IF(最佳化斷筋點!J748="","",最佳化斷筋點!J748)</f>
        <v/>
      </c>
      <c r="AJ748" s="37" t="str">
        <f>IF(最佳化斷筋點!K748="","",最佳化斷筋點!K748)</f>
        <v/>
      </c>
      <c r="AK748" s="37" t="str">
        <f>IF(最佳化斷筋點!L748="","",最佳化斷筋點!L748)</f>
        <v/>
      </c>
      <c r="AL748" s="37" t="str">
        <f>IF(最佳化斷筋點!M748="","",最佳化斷筋點!M748)</f>
        <v/>
      </c>
      <c r="AM748" s="37" t="str">
        <f>IF(最佳化斷筋點!N748="","",最佳化斷筋點!N748)</f>
        <v/>
      </c>
      <c r="AN748" s="37" t="str">
        <f>IF(最佳化斷筋點!O748="","",最佳化斷筋點!O748)</f>
        <v/>
      </c>
      <c r="AO748" s="37" t="str">
        <f>IF(最佳化斷筋點!P748="","",最佳化斷筋點!P748)</f>
        <v/>
      </c>
      <c r="AP748" s="37" t="str">
        <f>IF(最佳化斷筋點!Q748="","",最佳化斷筋點!Q748)</f>
        <v/>
      </c>
      <c r="AQ748" s="37" t="str">
        <f>IF(最佳化斷筋點!R748="","",最佳化斷筋點!R748)</f>
        <v/>
      </c>
      <c r="AR748" s="37" t="str">
        <f>IF(最佳化斷筋點!S748="","",最佳化斷筋點!S748)</f>
        <v/>
      </c>
      <c r="AS748" s="37" t="str">
        <f>IF(最佳化斷筋點!T748="","",最佳化斷筋點!T748)</f>
        <v/>
      </c>
      <c r="AT748" s="37" t="str">
        <f>IF(最佳化斷筋點!U748="","",最佳化斷筋點!U748)</f>
        <v/>
      </c>
      <c r="AU748" s="37" t="str">
        <f>IF(最佳化斷筋點!V748="","",最佳化斷筋點!V748)</f>
        <v/>
      </c>
      <c r="AV748" s="37" t="str">
        <f>IF(最佳化斷筋點!W748="","",最佳化斷筋點!W748)</f>
        <v/>
      </c>
      <c r="AW748" s="37" t="str">
        <f>IF(最佳化斷筋點!X748="","",最佳化斷筋點!X748)</f>
        <v/>
      </c>
      <c r="AZ748" s="37" t="s">
        <v>197</v>
      </c>
      <c r="BA748" s="37" t="s">
        <v>197</v>
      </c>
      <c r="BB748" s="37" t="s">
        <v>197</v>
      </c>
      <c r="BC748" s="37" t="s">
        <v>197</v>
      </c>
      <c r="BD748" s="37" t="s">
        <v>197</v>
      </c>
      <c r="BE748" s="37" t="s">
        <v>197</v>
      </c>
      <c r="BF748" s="37" t="s">
        <v>197</v>
      </c>
      <c r="BG748" s="37" t="s">
        <v>197</v>
      </c>
      <c r="BH748" s="37" t="s">
        <v>197</v>
      </c>
      <c r="BI748" s="37" t="s">
        <v>197</v>
      </c>
      <c r="BJ748" s="37" t="s">
        <v>197</v>
      </c>
      <c r="BK748" s="37" t="s">
        <v>197</v>
      </c>
      <c r="BL748" s="37" t="s">
        <v>197</v>
      </c>
      <c r="BM748" s="37" t="s">
        <v>197</v>
      </c>
      <c r="BN748" s="37" t="s">
        <v>197</v>
      </c>
      <c r="BO748" s="37" t="s">
        <v>197</v>
      </c>
      <c r="BP748" s="37" t="s">
        <v>197</v>
      </c>
      <c r="BQ748" s="37" t="s">
        <v>197</v>
      </c>
      <c r="BR748" s="37" t="s">
        <v>197</v>
      </c>
      <c r="BS748" s="37" t="s">
        <v>197</v>
      </c>
      <c r="BT748" s="37" t="s">
        <v>197</v>
      </c>
    </row>
    <row r="749" spans="5:72" x14ac:dyDescent="0.25">
      <c r="E749" s="36" t="s">
        <v>21</v>
      </c>
      <c r="F749" s="36">
        <f t="shared" si="232"/>
        <v>0</v>
      </c>
      <c r="G749" s="36">
        <f t="shared" si="233"/>
        <v>0</v>
      </c>
      <c r="H749" s="36">
        <f t="shared" si="234"/>
        <v>0</v>
      </c>
      <c r="I749" s="36">
        <f t="shared" si="235"/>
        <v>0</v>
      </c>
      <c r="J749" s="36">
        <f t="shared" si="236"/>
        <v>0</v>
      </c>
      <c r="K749" s="36">
        <f t="shared" si="237"/>
        <v>0</v>
      </c>
      <c r="L749" s="36">
        <f t="shared" si="238"/>
        <v>0</v>
      </c>
      <c r="M749" s="36">
        <f t="shared" si="239"/>
        <v>0</v>
      </c>
      <c r="N749" s="36">
        <f t="shared" si="240"/>
        <v>0</v>
      </c>
      <c r="O749" s="36">
        <f t="shared" si="241"/>
        <v>0</v>
      </c>
      <c r="P749" s="36">
        <f t="shared" si="242"/>
        <v>0</v>
      </c>
      <c r="Q749" s="36">
        <f t="shared" si="243"/>
        <v>0</v>
      </c>
      <c r="R749" s="36">
        <f t="shared" si="244"/>
        <v>0</v>
      </c>
      <c r="S749" s="36">
        <f t="shared" si="245"/>
        <v>0</v>
      </c>
      <c r="T749" s="36">
        <f t="shared" si="246"/>
        <v>0</v>
      </c>
      <c r="U749" s="36">
        <f t="shared" si="247"/>
        <v>0</v>
      </c>
      <c r="V749" s="36">
        <f t="shared" si="248"/>
        <v>0</v>
      </c>
      <c r="W749" s="36">
        <f t="shared" si="249"/>
        <v>0</v>
      </c>
      <c r="X749" s="36">
        <f t="shared" si="250"/>
        <v>0</v>
      </c>
      <c r="Y749" s="36">
        <f t="shared" si="251"/>
        <v>0</v>
      </c>
      <c r="Z749" s="36">
        <f t="shared" si="252"/>
        <v>0</v>
      </c>
      <c r="AB749" s="36" t="str">
        <f>IF(最佳化斷筋點!C749="","",最佳化斷筋點!C749)</f>
        <v>下層</v>
      </c>
      <c r="AC749" s="37">
        <f>IF(最佳化斷筋點!D749="","",最佳化斷筋點!D749)</f>
        <v>11</v>
      </c>
      <c r="AD749" s="37">
        <f>IF(最佳化斷筋點!E749="","",最佳化斷筋點!E749)</f>
        <v>11</v>
      </c>
      <c r="AE749" s="37">
        <f>IF(最佳化斷筋點!F749="","",最佳化斷筋點!F749)</f>
        <v>11</v>
      </c>
      <c r="AF749" s="37">
        <f>IF(最佳化斷筋點!G749="","",最佳化斷筋點!G749)</f>
        <v>11</v>
      </c>
      <c r="AG749" s="37">
        <f>IF(最佳化斷筋點!H749="","",最佳化斷筋點!H749)</f>
        <v>11</v>
      </c>
      <c r="AH749" s="37">
        <f>IF(最佳化斷筋點!I749="","",最佳化斷筋點!I749)</f>
        <v>10</v>
      </c>
      <c r="AI749" s="37">
        <f>IF(最佳化斷筋點!J749="","",最佳化斷筋點!J749)</f>
        <v>9</v>
      </c>
      <c r="AJ749" s="37">
        <f>IF(最佳化斷筋點!K749="","",最佳化斷筋點!K749)</f>
        <v>4</v>
      </c>
      <c r="AK749" s="37">
        <f>IF(最佳化斷筋點!L749="","",最佳化斷筋點!L749)</f>
        <v>4</v>
      </c>
      <c r="AL749" s="37">
        <f>IF(最佳化斷筋點!M749="","",最佳化斷筋點!M749)</f>
        <v>4</v>
      </c>
      <c r="AM749" s="37">
        <f>IF(最佳化斷筋點!N749="","",最佳化斷筋點!N749)</f>
        <v>4</v>
      </c>
      <c r="AN749" s="37">
        <f>IF(最佳化斷筋點!O749="","",最佳化斷筋點!O749)</f>
        <v>4</v>
      </c>
      <c r="AO749" s="37">
        <f>IF(最佳化斷筋點!P749="","",最佳化斷筋點!P749)</f>
        <v>4</v>
      </c>
      <c r="AP749" s="37">
        <f>IF(最佳化斷筋點!Q749="","",最佳化斷筋點!Q749)</f>
        <v>9</v>
      </c>
      <c r="AQ749" s="37">
        <f>IF(最佳化斷筋點!R749="","",最佳化斷筋點!R749)</f>
        <v>10</v>
      </c>
      <c r="AR749" s="37">
        <f>IF(最佳化斷筋點!S749="","",最佳化斷筋點!S749)</f>
        <v>11</v>
      </c>
      <c r="AS749" s="37">
        <f>IF(最佳化斷筋點!T749="","",最佳化斷筋點!T749)</f>
        <v>12</v>
      </c>
      <c r="AT749" s="37">
        <f>IF(最佳化斷筋點!U749="","",最佳化斷筋點!U749)</f>
        <v>12</v>
      </c>
      <c r="AU749" s="37">
        <f>IF(最佳化斷筋點!V749="","",最佳化斷筋點!V749)</f>
        <v>12</v>
      </c>
      <c r="AV749" s="37">
        <f>IF(最佳化斷筋點!W749="","",最佳化斷筋點!W749)</f>
        <v>12</v>
      </c>
      <c r="AW749" s="37">
        <f>IF(最佳化斷筋點!X749="","",最佳化斷筋點!X749)</f>
        <v>12</v>
      </c>
      <c r="AZ749" s="37">
        <v>11</v>
      </c>
      <c r="BA749" s="37">
        <v>11</v>
      </c>
      <c r="BB749" s="37">
        <v>11</v>
      </c>
      <c r="BC749" s="37">
        <v>11</v>
      </c>
      <c r="BD749" s="37">
        <v>11</v>
      </c>
      <c r="BE749" s="37">
        <v>10</v>
      </c>
      <c r="BF749" s="37">
        <v>9</v>
      </c>
      <c r="BG749" s="37">
        <v>4</v>
      </c>
      <c r="BH749" s="37">
        <v>4</v>
      </c>
      <c r="BI749" s="37">
        <v>4</v>
      </c>
      <c r="BJ749" s="37">
        <v>4</v>
      </c>
      <c r="BK749" s="37">
        <v>4</v>
      </c>
      <c r="BL749" s="37">
        <v>4</v>
      </c>
      <c r="BM749" s="37">
        <v>9</v>
      </c>
      <c r="BN749" s="37">
        <v>10</v>
      </c>
      <c r="BO749" s="37">
        <v>11</v>
      </c>
      <c r="BP749" s="37">
        <v>12</v>
      </c>
      <c r="BQ749" s="37">
        <v>12</v>
      </c>
      <c r="BR749" s="37">
        <v>12</v>
      </c>
      <c r="BS749" s="37">
        <v>12</v>
      </c>
      <c r="BT749" s="37">
        <v>12</v>
      </c>
    </row>
    <row r="750" spans="5:72" x14ac:dyDescent="0.25">
      <c r="E750" s="36"/>
      <c r="F750" s="36">
        <f t="shared" si="232"/>
        <v>0</v>
      </c>
      <c r="G750" s="36">
        <f t="shared" si="233"/>
        <v>0</v>
      </c>
      <c r="H750" s="36">
        <f t="shared" si="234"/>
        <v>0</v>
      </c>
      <c r="I750" s="36">
        <f t="shared" si="235"/>
        <v>0</v>
      </c>
      <c r="J750" s="36">
        <f t="shared" si="236"/>
        <v>0</v>
      </c>
      <c r="K750" s="36">
        <f t="shared" si="237"/>
        <v>0</v>
      </c>
      <c r="L750" s="36">
        <f t="shared" si="238"/>
        <v>0</v>
      </c>
      <c r="M750" s="36">
        <f t="shared" si="239"/>
        <v>0</v>
      </c>
      <c r="N750" s="36">
        <f t="shared" si="240"/>
        <v>0</v>
      </c>
      <c r="O750" s="36">
        <f t="shared" si="241"/>
        <v>0</v>
      </c>
      <c r="P750" s="36">
        <f t="shared" si="242"/>
        <v>0</v>
      </c>
      <c r="Q750" s="36">
        <f t="shared" si="243"/>
        <v>0</v>
      </c>
      <c r="R750" s="36">
        <f t="shared" si="244"/>
        <v>0</v>
      </c>
      <c r="S750" s="36">
        <f t="shared" si="245"/>
        <v>0</v>
      </c>
      <c r="T750" s="36">
        <f t="shared" si="246"/>
        <v>0</v>
      </c>
      <c r="U750" s="36">
        <f t="shared" si="247"/>
        <v>0</v>
      </c>
      <c r="V750" s="36">
        <f t="shared" si="248"/>
        <v>0</v>
      </c>
      <c r="W750" s="36">
        <f t="shared" si="249"/>
        <v>0</v>
      </c>
      <c r="X750" s="36">
        <f t="shared" si="250"/>
        <v>0</v>
      </c>
      <c r="Y750" s="36">
        <f t="shared" si="251"/>
        <v>0</v>
      </c>
      <c r="Z750" s="36">
        <f t="shared" si="252"/>
        <v>0</v>
      </c>
      <c r="AB750" s="36" t="str">
        <f>IF(最佳化斷筋點!C750="","",最佳化斷筋點!C750)</f>
        <v/>
      </c>
      <c r="AC750" s="37" t="str">
        <f>IF(最佳化斷筋點!D750="","",最佳化斷筋點!D750)</f>
        <v/>
      </c>
      <c r="AD750" s="37" t="str">
        <f>IF(最佳化斷筋點!E750="","",最佳化斷筋點!E750)</f>
        <v/>
      </c>
      <c r="AE750" s="37" t="str">
        <f>IF(最佳化斷筋點!F750="","",最佳化斷筋點!F750)</f>
        <v/>
      </c>
      <c r="AF750" s="37" t="str">
        <f>IF(最佳化斷筋點!G750="","",最佳化斷筋點!G750)</f>
        <v/>
      </c>
      <c r="AG750" s="37" t="str">
        <f>IF(最佳化斷筋點!H750="","",最佳化斷筋點!H750)</f>
        <v/>
      </c>
      <c r="AH750" s="37" t="str">
        <f>IF(最佳化斷筋點!I750="","",最佳化斷筋點!I750)</f>
        <v/>
      </c>
      <c r="AI750" s="37" t="str">
        <f>IF(最佳化斷筋點!J750="","",最佳化斷筋點!J750)</f>
        <v/>
      </c>
      <c r="AJ750" s="37" t="str">
        <f>IF(最佳化斷筋點!K750="","",最佳化斷筋點!K750)</f>
        <v/>
      </c>
      <c r="AK750" s="37" t="str">
        <f>IF(最佳化斷筋點!L750="","",最佳化斷筋點!L750)</f>
        <v/>
      </c>
      <c r="AL750" s="37" t="str">
        <f>IF(最佳化斷筋點!M750="","",最佳化斷筋點!M750)</f>
        <v/>
      </c>
      <c r="AM750" s="37" t="str">
        <f>IF(最佳化斷筋點!N750="","",最佳化斷筋點!N750)</f>
        <v/>
      </c>
      <c r="AN750" s="37" t="str">
        <f>IF(最佳化斷筋點!O750="","",最佳化斷筋點!O750)</f>
        <v/>
      </c>
      <c r="AO750" s="37" t="str">
        <f>IF(最佳化斷筋點!P750="","",最佳化斷筋點!P750)</f>
        <v/>
      </c>
      <c r="AP750" s="37" t="str">
        <f>IF(最佳化斷筋點!Q750="","",最佳化斷筋點!Q750)</f>
        <v/>
      </c>
      <c r="AQ750" s="37" t="str">
        <f>IF(最佳化斷筋點!R750="","",最佳化斷筋點!R750)</f>
        <v/>
      </c>
      <c r="AR750" s="37" t="str">
        <f>IF(最佳化斷筋點!S750="","",最佳化斷筋點!S750)</f>
        <v/>
      </c>
      <c r="AS750" s="37" t="str">
        <f>IF(最佳化斷筋點!T750="","",最佳化斷筋點!T750)</f>
        <v/>
      </c>
      <c r="AT750" s="37" t="str">
        <f>IF(最佳化斷筋點!U750="","",最佳化斷筋點!U750)</f>
        <v/>
      </c>
      <c r="AU750" s="37" t="str">
        <f>IF(最佳化斷筋點!V750="","",最佳化斷筋點!V750)</f>
        <v/>
      </c>
      <c r="AV750" s="37" t="str">
        <f>IF(最佳化斷筋點!W750="","",最佳化斷筋點!W750)</f>
        <v/>
      </c>
      <c r="AW750" s="37" t="str">
        <f>IF(最佳化斷筋點!X750="","",最佳化斷筋點!X750)</f>
        <v/>
      </c>
      <c r="AZ750" s="37" t="s">
        <v>197</v>
      </c>
      <c r="BA750" s="37" t="s">
        <v>197</v>
      </c>
      <c r="BB750" s="37" t="s">
        <v>197</v>
      </c>
      <c r="BC750" s="37" t="s">
        <v>197</v>
      </c>
      <c r="BD750" s="37" t="s">
        <v>197</v>
      </c>
      <c r="BE750" s="37" t="s">
        <v>197</v>
      </c>
      <c r="BF750" s="37" t="s">
        <v>197</v>
      </c>
      <c r="BG750" s="37" t="s">
        <v>197</v>
      </c>
      <c r="BH750" s="37" t="s">
        <v>197</v>
      </c>
      <c r="BI750" s="37" t="s">
        <v>197</v>
      </c>
      <c r="BJ750" s="37" t="s">
        <v>197</v>
      </c>
      <c r="BK750" s="37" t="s">
        <v>197</v>
      </c>
      <c r="BL750" s="37" t="s">
        <v>197</v>
      </c>
      <c r="BM750" s="37" t="s">
        <v>197</v>
      </c>
      <c r="BN750" s="37" t="s">
        <v>197</v>
      </c>
      <c r="BO750" s="37" t="s">
        <v>197</v>
      </c>
      <c r="BP750" s="37" t="s">
        <v>197</v>
      </c>
      <c r="BQ750" s="37" t="s">
        <v>197</v>
      </c>
      <c r="BR750" s="37" t="s">
        <v>197</v>
      </c>
      <c r="BS750" s="37" t="s">
        <v>197</v>
      </c>
      <c r="BT750" s="37" t="s">
        <v>197</v>
      </c>
    </row>
    <row r="751" spans="5:72" x14ac:dyDescent="0.25">
      <c r="E751" s="36" t="s">
        <v>20</v>
      </c>
      <c r="F751" s="36">
        <f t="shared" si="232"/>
        <v>0</v>
      </c>
      <c r="G751" s="36">
        <f t="shared" si="233"/>
        <v>0</v>
      </c>
      <c r="H751" s="36">
        <f t="shared" si="234"/>
        <v>0</v>
      </c>
      <c r="I751" s="36">
        <f t="shared" si="235"/>
        <v>0</v>
      </c>
      <c r="J751" s="36">
        <f t="shared" si="236"/>
        <v>0</v>
      </c>
      <c r="K751" s="36">
        <f t="shared" si="237"/>
        <v>0</v>
      </c>
      <c r="L751" s="36">
        <f t="shared" si="238"/>
        <v>0</v>
      </c>
      <c r="M751" s="36">
        <f t="shared" si="239"/>
        <v>0</v>
      </c>
      <c r="N751" s="36">
        <f t="shared" si="240"/>
        <v>0</v>
      </c>
      <c r="O751" s="36">
        <f t="shared" si="241"/>
        <v>0</v>
      </c>
      <c r="P751" s="36">
        <f t="shared" si="242"/>
        <v>0</v>
      </c>
      <c r="Q751" s="36">
        <f t="shared" si="243"/>
        <v>0</v>
      </c>
      <c r="R751" s="36">
        <f t="shared" si="244"/>
        <v>0</v>
      </c>
      <c r="S751" s="36">
        <f t="shared" si="245"/>
        <v>0</v>
      </c>
      <c r="T751" s="36">
        <f t="shared" si="246"/>
        <v>0</v>
      </c>
      <c r="U751" s="36">
        <f t="shared" si="247"/>
        <v>0</v>
      </c>
      <c r="V751" s="36">
        <f t="shared" si="248"/>
        <v>0</v>
      </c>
      <c r="W751" s="36">
        <f t="shared" si="249"/>
        <v>0</v>
      </c>
      <c r="X751" s="36">
        <f t="shared" si="250"/>
        <v>0</v>
      </c>
      <c r="Y751" s="36">
        <f t="shared" si="251"/>
        <v>0</v>
      </c>
      <c r="Z751" s="36">
        <f t="shared" si="252"/>
        <v>0</v>
      </c>
      <c r="AB751" s="36" t="str">
        <f>IF(最佳化斷筋點!C751="","",最佳化斷筋點!C751)</f>
        <v>上層</v>
      </c>
      <c r="AC751" s="37">
        <f>IF(最佳化斷筋點!D751="","",最佳化斷筋點!D751)</f>
        <v>11</v>
      </c>
      <c r="AD751" s="37">
        <f>IF(最佳化斷筋點!E751="","",最佳化斷筋點!E751)</f>
        <v>11</v>
      </c>
      <c r="AE751" s="37">
        <f>IF(最佳化斷筋點!F751="","",最佳化斷筋點!F751)</f>
        <v>11</v>
      </c>
      <c r="AF751" s="37">
        <f>IF(最佳化斷筋點!G751="","",最佳化斷筋點!G751)</f>
        <v>11</v>
      </c>
      <c r="AG751" s="37">
        <f>IF(最佳化斷筋點!H751="","",最佳化斷筋點!H751)</f>
        <v>11</v>
      </c>
      <c r="AH751" s="37">
        <f>IF(最佳化斷筋點!I751="","",最佳化斷筋點!I751)</f>
        <v>11</v>
      </c>
      <c r="AI751" s="37">
        <f>IF(最佳化斷筋點!J751="","",最佳化斷筋點!J751)</f>
        <v>11</v>
      </c>
      <c r="AJ751" s="37">
        <f>IF(最佳化斷筋點!K751="","",最佳化斷筋點!K751)</f>
        <v>4</v>
      </c>
      <c r="AK751" s="37">
        <f>IF(最佳化斷筋點!L751="","",最佳化斷筋點!L751)</f>
        <v>4</v>
      </c>
      <c r="AL751" s="37">
        <f>IF(最佳化斷筋點!M751="","",最佳化斷筋點!M751)</f>
        <v>4</v>
      </c>
      <c r="AM751" s="37">
        <f>IF(最佳化斷筋點!N751="","",最佳化斷筋點!N751)</f>
        <v>4</v>
      </c>
      <c r="AN751" s="37">
        <f>IF(最佳化斷筋點!O751="","",最佳化斷筋點!O751)</f>
        <v>4</v>
      </c>
      <c r="AO751" s="37">
        <f>IF(最佳化斷筋點!P751="","",最佳化斷筋點!P751)</f>
        <v>4</v>
      </c>
      <c r="AP751" s="37">
        <f>IF(最佳化斷筋點!Q751="","",最佳化斷筋點!Q751)</f>
        <v>9</v>
      </c>
      <c r="AQ751" s="37">
        <f>IF(最佳化斷筋點!R751="","",最佳化斷筋點!R751)</f>
        <v>10</v>
      </c>
      <c r="AR751" s="37">
        <f>IF(最佳化斷筋點!S751="","",最佳化斷筋點!S751)</f>
        <v>10</v>
      </c>
      <c r="AS751" s="37">
        <f>IF(最佳化斷筋點!T751="","",最佳化斷筋點!T751)</f>
        <v>10</v>
      </c>
      <c r="AT751" s="37">
        <f>IF(最佳化斷筋點!U751="","",最佳化斷筋點!U751)</f>
        <v>10</v>
      </c>
      <c r="AU751" s="37">
        <f>IF(最佳化斷筋點!V751="","",最佳化斷筋點!V751)</f>
        <v>10</v>
      </c>
      <c r="AV751" s="37">
        <f>IF(最佳化斷筋點!W751="","",最佳化斷筋點!W751)</f>
        <v>10</v>
      </c>
      <c r="AW751" s="37">
        <f>IF(最佳化斷筋點!X751="","",最佳化斷筋點!X751)</f>
        <v>10</v>
      </c>
      <c r="AZ751" s="37">
        <v>11</v>
      </c>
      <c r="BA751" s="37">
        <v>11</v>
      </c>
      <c r="BB751" s="37">
        <v>11</v>
      </c>
      <c r="BC751" s="37">
        <v>11</v>
      </c>
      <c r="BD751" s="37">
        <v>11</v>
      </c>
      <c r="BE751" s="37">
        <v>11</v>
      </c>
      <c r="BF751" s="37">
        <v>11</v>
      </c>
      <c r="BG751" s="37">
        <v>4</v>
      </c>
      <c r="BH751" s="37">
        <v>4</v>
      </c>
      <c r="BI751" s="37">
        <v>4</v>
      </c>
      <c r="BJ751" s="37">
        <v>4</v>
      </c>
      <c r="BK751" s="37">
        <v>4</v>
      </c>
      <c r="BL751" s="37">
        <v>4</v>
      </c>
      <c r="BM751" s="37">
        <v>9</v>
      </c>
      <c r="BN751" s="37">
        <v>10</v>
      </c>
      <c r="BO751" s="37">
        <v>10</v>
      </c>
      <c r="BP751" s="37">
        <v>10</v>
      </c>
      <c r="BQ751" s="37">
        <v>10</v>
      </c>
      <c r="BR751" s="37">
        <v>10</v>
      </c>
      <c r="BS751" s="37">
        <v>10</v>
      </c>
      <c r="BT751" s="37">
        <v>10</v>
      </c>
    </row>
    <row r="752" spans="5:72" x14ac:dyDescent="0.25">
      <c r="E752" s="36"/>
      <c r="F752" s="36">
        <f t="shared" si="232"/>
        <v>0</v>
      </c>
      <c r="G752" s="36">
        <f t="shared" si="233"/>
        <v>0</v>
      </c>
      <c r="H752" s="36">
        <f t="shared" si="234"/>
        <v>0</v>
      </c>
      <c r="I752" s="36">
        <f t="shared" si="235"/>
        <v>0</v>
      </c>
      <c r="J752" s="36">
        <f t="shared" si="236"/>
        <v>0</v>
      </c>
      <c r="K752" s="36">
        <f t="shared" si="237"/>
        <v>0</v>
      </c>
      <c r="L752" s="36">
        <f t="shared" si="238"/>
        <v>0</v>
      </c>
      <c r="M752" s="36">
        <f t="shared" si="239"/>
        <v>0</v>
      </c>
      <c r="N752" s="36">
        <f t="shared" si="240"/>
        <v>0</v>
      </c>
      <c r="O752" s="36">
        <f t="shared" si="241"/>
        <v>0</v>
      </c>
      <c r="P752" s="36">
        <f t="shared" si="242"/>
        <v>0</v>
      </c>
      <c r="Q752" s="36">
        <f t="shared" si="243"/>
        <v>0</v>
      </c>
      <c r="R752" s="36">
        <f t="shared" si="244"/>
        <v>0</v>
      </c>
      <c r="S752" s="36">
        <f t="shared" si="245"/>
        <v>0</v>
      </c>
      <c r="T752" s="36">
        <f t="shared" si="246"/>
        <v>0</v>
      </c>
      <c r="U752" s="36">
        <f t="shared" si="247"/>
        <v>0</v>
      </c>
      <c r="V752" s="36">
        <f t="shared" si="248"/>
        <v>0</v>
      </c>
      <c r="W752" s="36">
        <f t="shared" si="249"/>
        <v>0</v>
      </c>
      <c r="X752" s="36">
        <f t="shared" si="250"/>
        <v>0</v>
      </c>
      <c r="Y752" s="36">
        <f t="shared" si="251"/>
        <v>0</v>
      </c>
      <c r="Z752" s="36">
        <f t="shared" si="252"/>
        <v>0</v>
      </c>
      <c r="AB752" s="36" t="str">
        <f>IF(最佳化斷筋點!C752="","",最佳化斷筋點!C752)</f>
        <v/>
      </c>
      <c r="AC752" s="37" t="str">
        <f>IF(最佳化斷筋點!D752="","",最佳化斷筋點!D752)</f>
        <v/>
      </c>
      <c r="AD752" s="37" t="str">
        <f>IF(最佳化斷筋點!E752="","",最佳化斷筋點!E752)</f>
        <v/>
      </c>
      <c r="AE752" s="37" t="str">
        <f>IF(最佳化斷筋點!F752="","",最佳化斷筋點!F752)</f>
        <v/>
      </c>
      <c r="AF752" s="37" t="str">
        <f>IF(最佳化斷筋點!G752="","",最佳化斷筋點!G752)</f>
        <v/>
      </c>
      <c r="AG752" s="37" t="str">
        <f>IF(最佳化斷筋點!H752="","",最佳化斷筋點!H752)</f>
        <v/>
      </c>
      <c r="AH752" s="37" t="str">
        <f>IF(最佳化斷筋點!I752="","",最佳化斷筋點!I752)</f>
        <v/>
      </c>
      <c r="AI752" s="37" t="str">
        <f>IF(最佳化斷筋點!J752="","",最佳化斷筋點!J752)</f>
        <v/>
      </c>
      <c r="AJ752" s="37" t="str">
        <f>IF(最佳化斷筋點!K752="","",最佳化斷筋點!K752)</f>
        <v/>
      </c>
      <c r="AK752" s="37" t="str">
        <f>IF(最佳化斷筋點!L752="","",最佳化斷筋點!L752)</f>
        <v/>
      </c>
      <c r="AL752" s="37" t="str">
        <f>IF(最佳化斷筋點!M752="","",最佳化斷筋點!M752)</f>
        <v/>
      </c>
      <c r="AM752" s="37" t="str">
        <f>IF(最佳化斷筋點!N752="","",最佳化斷筋點!N752)</f>
        <v/>
      </c>
      <c r="AN752" s="37" t="str">
        <f>IF(最佳化斷筋點!O752="","",最佳化斷筋點!O752)</f>
        <v/>
      </c>
      <c r="AO752" s="37" t="str">
        <f>IF(最佳化斷筋點!P752="","",最佳化斷筋點!P752)</f>
        <v/>
      </c>
      <c r="AP752" s="37" t="str">
        <f>IF(最佳化斷筋點!Q752="","",最佳化斷筋點!Q752)</f>
        <v/>
      </c>
      <c r="AQ752" s="37" t="str">
        <f>IF(最佳化斷筋點!R752="","",最佳化斷筋點!R752)</f>
        <v/>
      </c>
      <c r="AR752" s="37" t="str">
        <f>IF(最佳化斷筋點!S752="","",最佳化斷筋點!S752)</f>
        <v/>
      </c>
      <c r="AS752" s="37" t="str">
        <f>IF(最佳化斷筋點!T752="","",最佳化斷筋點!T752)</f>
        <v/>
      </c>
      <c r="AT752" s="37" t="str">
        <f>IF(最佳化斷筋點!U752="","",最佳化斷筋點!U752)</f>
        <v/>
      </c>
      <c r="AU752" s="37" t="str">
        <f>IF(最佳化斷筋點!V752="","",最佳化斷筋點!V752)</f>
        <v/>
      </c>
      <c r="AV752" s="37" t="str">
        <f>IF(最佳化斷筋點!W752="","",最佳化斷筋點!W752)</f>
        <v/>
      </c>
      <c r="AW752" s="37" t="str">
        <f>IF(最佳化斷筋點!X752="","",最佳化斷筋點!X752)</f>
        <v/>
      </c>
      <c r="AZ752" s="37" t="s">
        <v>197</v>
      </c>
      <c r="BA752" s="37" t="s">
        <v>197</v>
      </c>
      <c r="BB752" s="37" t="s">
        <v>197</v>
      </c>
      <c r="BC752" s="37" t="s">
        <v>197</v>
      </c>
      <c r="BD752" s="37" t="s">
        <v>197</v>
      </c>
      <c r="BE752" s="37" t="s">
        <v>197</v>
      </c>
      <c r="BF752" s="37" t="s">
        <v>197</v>
      </c>
      <c r="BG752" s="37" t="s">
        <v>197</v>
      </c>
      <c r="BH752" s="37" t="s">
        <v>197</v>
      </c>
      <c r="BI752" s="37" t="s">
        <v>197</v>
      </c>
      <c r="BJ752" s="37" t="s">
        <v>197</v>
      </c>
      <c r="BK752" s="37" t="s">
        <v>197</v>
      </c>
      <c r="BL752" s="37" t="s">
        <v>197</v>
      </c>
      <c r="BM752" s="37" t="s">
        <v>197</v>
      </c>
      <c r="BN752" s="37" t="s">
        <v>197</v>
      </c>
      <c r="BO752" s="37" t="s">
        <v>197</v>
      </c>
      <c r="BP752" s="37" t="s">
        <v>197</v>
      </c>
      <c r="BQ752" s="37" t="s">
        <v>197</v>
      </c>
      <c r="BR752" s="37" t="s">
        <v>197</v>
      </c>
      <c r="BS752" s="37" t="s">
        <v>197</v>
      </c>
      <c r="BT752" s="37" t="s">
        <v>197</v>
      </c>
    </row>
    <row r="753" spans="5:72" x14ac:dyDescent="0.25">
      <c r="E753" s="36" t="s">
        <v>21</v>
      </c>
      <c r="F753" s="36">
        <f t="shared" si="232"/>
        <v>0</v>
      </c>
      <c r="G753" s="36">
        <f t="shared" si="233"/>
        <v>0</v>
      </c>
      <c r="H753" s="36">
        <f t="shared" si="234"/>
        <v>0</v>
      </c>
      <c r="I753" s="36">
        <f t="shared" si="235"/>
        <v>0</v>
      </c>
      <c r="J753" s="36">
        <f t="shared" si="236"/>
        <v>0</v>
      </c>
      <c r="K753" s="36">
        <f t="shared" si="237"/>
        <v>0</v>
      </c>
      <c r="L753" s="36">
        <f t="shared" si="238"/>
        <v>0</v>
      </c>
      <c r="M753" s="36">
        <f t="shared" si="239"/>
        <v>0</v>
      </c>
      <c r="N753" s="36">
        <f t="shared" si="240"/>
        <v>0</v>
      </c>
      <c r="O753" s="36">
        <f t="shared" si="241"/>
        <v>0</v>
      </c>
      <c r="P753" s="36">
        <f t="shared" si="242"/>
        <v>0</v>
      </c>
      <c r="Q753" s="36">
        <f t="shared" si="243"/>
        <v>0</v>
      </c>
      <c r="R753" s="36">
        <f t="shared" si="244"/>
        <v>0</v>
      </c>
      <c r="S753" s="36">
        <f t="shared" si="245"/>
        <v>0</v>
      </c>
      <c r="T753" s="36">
        <f t="shared" si="246"/>
        <v>0</v>
      </c>
      <c r="U753" s="36">
        <f t="shared" si="247"/>
        <v>0</v>
      </c>
      <c r="V753" s="36">
        <f t="shared" si="248"/>
        <v>0</v>
      </c>
      <c r="W753" s="36">
        <f t="shared" si="249"/>
        <v>0</v>
      </c>
      <c r="X753" s="36">
        <f t="shared" si="250"/>
        <v>0</v>
      </c>
      <c r="Y753" s="36">
        <f t="shared" si="251"/>
        <v>0</v>
      </c>
      <c r="Z753" s="36">
        <f t="shared" si="252"/>
        <v>0</v>
      </c>
      <c r="AB753" s="36" t="str">
        <f>IF(最佳化斷筋點!C753="","",最佳化斷筋點!C753)</f>
        <v>下層</v>
      </c>
      <c r="AC753" s="37">
        <f>IF(最佳化斷筋點!D753="","",最佳化斷筋點!D753)</f>
        <v>15</v>
      </c>
      <c r="AD753" s="37">
        <f>IF(最佳化斷筋點!E753="","",最佳化斷筋點!E753)</f>
        <v>15</v>
      </c>
      <c r="AE753" s="37">
        <f>IF(最佳化斷筋點!F753="","",最佳化斷筋點!F753)</f>
        <v>15</v>
      </c>
      <c r="AF753" s="37">
        <f>IF(最佳化斷筋點!G753="","",最佳化斷筋點!G753)</f>
        <v>15</v>
      </c>
      <c r="AG753" s="37">
        <f>IF(最佳化斷筋點!H753="","",最佳化斷筋點!H753)</f>
        <v>15</v>
      </c>
      <c r="AH753" s="37">
        <f>IF(最佳化斷筋點!I753="","",最佳化斷筋點!I753)</f>
        <v>14</v>
      </c>
      <c r="AI753" s="37">
        <f>IF(最佳化斷筋點!J753="","",最佳化斷筋點!J753)</f>
        <v>13</v>
      </c>
      <c r="AJ753" s="37">
        <f>IF(最佳化斷筋點!K753="","",最佳化斷筋點!K753)</f>
        <v>5</v>
      </c>
      <c r="AK753" s="37">
        <f>IF(最佳化斷筋點!L753="","",最佳化斷筋點!L753)</f>
        <v>5</v>
      </c>
      <c r="AL753" s="37">
        <f>IF(最佳化斷筋點!M753="","",最佳化斷筋點!M753)</f>
        <v>5</v>
      </c>
      <c r="AM753" s="37">
        <f>IF(最佳化斷筋點!N753="","",最佳化斷筋點!N753)</f>
        <v>5</v>
      </c>
      <c r="AN753" s="37">
        <f>IF(最佳化斷筋點!O753="","",最佳化斷筋點!O753)</f>
        <v>5</v>
      </c>
      <c r="AO753" s="37">
        <f>IF(最佳化斷筋點!P753="","",最佳化斷筋點!P753)</f>
        <v>5</v>
      </c>
      <c r="AP753" s="37">
        <f>IF(最佳化斷筋點!Q753="","",最佳化斷筋點!Q753)</f>
        <v>10</v>
      </c>
      <c r="AQ753" s="37">
        <f>IF(最佳化斷筋點!R753="","",最佳化斷筋點!R753)</f>
        <v>11</v>
      </c>
      <c r="AR753" s="37">
        <f>IF(最佳化斷筋點!S753="","",最佳化斷筋點!S753)</f>
        <v>13</v>
      </c>
      <c r="AS753" s="37">
        <f>IF(最佳化斷筋點!T753="","",最佳化斷筋點!T753)</f>
        <v>14</v>
      </c>
      <c r="AT753" s="37">
        <f>IF(最佳化斷筋點!U753="","",最佳化斷筋點!U753)</f>
        <v>14</v>
      </c>
      <c r="AU753" s="37">
        <f>IF(最佳化斷筋點!V753="","",最佳化斷筋點!V753)</f>
        <v>14</v>
      </c>
      <c r="AV753" s="37">
        <f>IF(最佳化斷筋點!W753="","",最佳化斷筋點!W753)</f>
        <v>14</v>
      </c>
      <c r="AW753" s="37">
        <f>IF(最佳化斷筋點!X753="","",最佳化斷筋點!X753)</f>
        <v>14</v>
      </c>
      <c r="AZ753" s="37">
        <v>15</v>
      </c>
      <c r="BA753" s="37">
        <v>15</v>
      </c>
      <c r="BB753" s="37">
        <v>15</v>
      </c>
      <c r="BC753" s="37">
        <v>15</v>
      </c>
      <c r="BD753" s="37">
        <v>15</v>
      </c>
      <c r="BE753" s="37">
        <v>14</v>
      </c>
      <c r="BF753" s="37">
        <v>13</v>
      </c>
      <c r="BG753" s="37">
        <v>5</v>
      </c>
      <c r="BH753" s="37">
        <v>5</v>
      </c>
      <c r="BI753" s="37">
        <v>5</v>
      </c>
      <c r="BJ753" s="37">
        <v>5</v>
      </c>
      <c r="BK753" s="37">
        <v>5</v>
      </c>
      <c r="BL753" s="37">
        <v>5</v>
      </c>
      <c r="BM753" s="37">
        <v>10</v>
      </c>
      <c r="BN753" s="37">
        <v>11</v>
      </c>
      <c r="BO753" s="37">
        <v>13</v>
      </c>
      <c r="BP753" s="37">
        <v>14</v>
      </c>
      <c r="BQ753" s="37">
        <v>14</v>
      </c>
      <c r="BR753" s="37">
        <v>14</v>
      </c>
      <c r="BS753" s="37">
        <v>14</v>
      </c>
      <c r="BT753" s="37">
        <v>14</v>
      </c>
    </row>
    <row r="754" spans="5:72" x14ac:dyDescent="0.25">
      <c r="E754" s="36"/>
      <c r="F754" s="36">
        <f t="shared" si="232"/>
        <v>0</v>
      </c>
      <c r="G754" s="36">
        <f t="shared" si="233"/>
        <v>0</v>
      </c>
      <c r="H754" s="36">
        <f t="shared" si="234"/>
        <v>0</v>
      </c>
      <c r="I754" s="36">
        <f t="shared" si="235"/>
        <v>0</v>
      </c>
      <c r="J754" s="36">
        <f t="shared" si="236"/>
        <v>0</v>
      </c>
      <c r="K754" s="36">
        <f t="shared" si="237"/>
        <v>0</v>
      </c>
      <c r="L754" s="36">
        <f t="shared" si="238"/>
        <v>0</v>
      </c>
      <c r="M754" s="36">
        <f t="shared" si="239"/>
        <v>0</v>
      </c>
      <c r="N754" s="36">
        <f t="shared" si="240"/>
        <v>0</v>
      </c>
      <c r="O754" s="36">
        <f t="shared" si="241"/>
        <v>0</v>
      </c>
      <c r="P754" s="36">
        <f t="shared" si="242"/>
        <v>0</v>
      </c>
      <c r="Q754" s="36">
        <f t="shared" si="243"/>
        <v>0</v>
      </c>
      <c r="R754" s="36">
        <f t="shared" si="244"/>
        <v>0</v>
      </c>
      <c r="S754" s="36">
        <f t="shared" si="245"/>
        <v>0</v>
      </c>
      <c r="T754" s="36">
        <f t="shared" si="246"/>
        <v>0</v>
      </c>
      <c r="U754" s="36">
        <f t="shared" si="247"/>
        <v>0</v>
      </c>
      <c r="V754" s="36">
        <f t="shared" si="248"/>
        <v>0</v>
      </c>
      <c r="W754" s="36">
        <f t="shared" si="249"/>
        <v>0</v>
      </c>
      <c r="X754" s="36">
        <f t="shared" si="250"/>
        <v>0</v>
      </c>
      <c r="Y754" s="36">
        <f t="shared" si="251"/>
        <v>0</v>
      </c>
      <c r="Z754" s="36">
        <f t="shared" si="252"/>
        <v>0</v>
      </c>
      <c r="AB754" s="36" t="str">
        <f>IF(最佳化斷筋點!C754="","",最佳化斷筋點!C754)</f>
        <v/>
      </c>
      <c r="AC754" s="37" t="str">
        <f>IF(最佳化斷筋點!D754="","",最佳化斷筋點!D754)</f>
        <v/>
      </c>
      <c r="AD754" s="37" t="str">
        <f>IF(最佳化斷筋點!E754="","",最佳化斷筋點!E754)</f>
        <v/>
      </c>
      <c r="AE754" s="37" t="str">
        <f>IF(最佳化斷筋點!F754="","",最佳化斷筋點!F754)</f>
        <v/>
      </c>
      <c r="AF754" s="37" t="str">
        <f>IF(最佳化斷筋點!G754="","",最佳化斷筋點!G754)</f>
        <v/>
      </c>
      <c r="AG754" s="37" t="str">
        <f>IF(最佳化斷筋點!H754="","",最佳化斷筋點!H754)</f>
        <v/>
      </c>
      <c r="AH754" s="37" t="str">
        <f>IF(最佳化斷筋點!I754="","",最佳化斷筋點!I754)</f>
        <v/>
      </c>
      <c r="AI754" s="37" t="str">
        <f>IF(最佳化斷筋點!J754="","",最佳化斷筋點!J754)</f>
        <v/>
      </c>
      <c r="AJ754" s="37" t="str">
        <f>IF(最佳化斷筋點!K754="","",最佳化斷筋點!K754)</f>
        <v/>
      </c>
      <c r="AK754" s="37" t="str">
        <f>IF(最佳化斷筋點!L754="","",最佳化斷筋點!L754)</f>
        <v/>
      </c>
      <c r="AL754" s="37" t="str">
        <f>IF(最佳化斷筋點!M754="","",最佳化斷筋點!M754)</f>
        <v/>
      </c>
      <c r="AM754" s="37" t="str">
        <f>IF(最佳化斷筋點!N754="","",最佳化斷筋點!N754)</f>
        <v/>
      </c>
      <c r="AN754" s="37" t="str">
        <f>IF(最佳化斷筋點!O754="","",最佳化斷筋點!O754)</f>
        <v/>
      </c>
      <c r="AO754" s="37" t="str">
        <f>IF(最佳化斷筋點!P754="","",最佳化斷筋點!P754)</f>
        <v/>
      </c>
      <c r="AP754" s="37" t="str">
        <f>IF(最佳化斷筋點!Q754="","",最佳化斷筋點!Q754)</f>
        <v/>
      </c>
      <c r="AQ754" s="37" t="str">
        <f>IF(最佳化斷筋點!R754="","",最佳化斷筋點!R754)</f>
        <v/>
      </c>
      <c r="AR754" s="37" t="str">
        <f>IF(最佳化斷筋點!S754="","",最佳化斷筋點!S754)</f>
        <v/>
      </c>
      <c r="AS754" s="37" t="str">
        <f>IF(最佳化斷筋點!T754="","",最佳化斷筋點!T754)</f>
        <v/>
      </c>
      <c r="AT754" s="37" t="str">
        <f>IF(最佳化斷筋點!U754="","",最佳化斷筋點!U754)</f>
        <v/>
      </c>
      <c r="AU754" s="37" t="str">
        <f>IF(最佳化斷筋點!V754="","",最佳化斷筋點!V754)</f>
        <v/>
      </c>
      <c r="AV754" s="37" t="str">
        <f>IF(最佳化斷筋點!W754="","",最佳化斷筋點!W754)</f>
        <v/>
      </c>
      <c r="AW754" s="37" t="str">
        <f>IF(最佳化斷筋點!X754="","",最佳化斷筋點!X754)</f>
        <v/>
      </c>
      <c r="AZ754" s="37" t="s">
        <v>197</v>
      </c>
      <c r="BA754" s="37" t="s">
        <v>197</v>
      </c>
      <c r="BB754" s="37" t="s">
        <v>197</v>
      </c>
      <c r="BC754" s="37" t="s">
        <v>197</v>
      </c>
      <c r="BD754" s="37" t="s">
        <v>197</v>
      </c>
      <c r="BE754" s="37" t="s">
        <v>197</v>
      </c>
      <c r="BF754" s="37" t="s">
        <v>197</v>
      </c>
      <c r="BG754" s="37" t="s">
        <v>197</v>
      </c>
      <c r="BH754" s="37" t="s">
        <v>197</v>
      </c>
      <c r="BI754" s="37" t="s">
        <v>197</v>
      </c>
      <c r="BJ754" s="37" t="s">
        <v>197</v>
      </c>
      <c r="BK754" s="37" t="s">
        <v>197</v>
      </c>
      <c r="BL754" s="37" t="s">
        <v>197</v>
      </c>
      <c r="BM754" s="37" t="s">
        <v>197</v>
      </c>
      <c r="BN754" s="37" t="s">
        <v>197</v>
      </c>
      <c r="BO754" s="37" t="s">
        <v>197</v>
      </c>
      <c r="BP754" s="37" t="s">
        <v>197</v>
      </c>
      <c r="BQ754" s="37" t="s">
        <v>197</v>
      </c>
      <c r="BR754" s="37" t="s">
        <v>197</v>
      </c>
      <c r="BS754" s="37" t="s">
        <v>197</v>
      </c>
      <c r="BT754" s="37" t="s">
        <v>197</v>
      </c>
    </row>
    <row r="755" spans="5:72" x14ac:dyDescent="0.25">
      <c r="E755" s="36" t="s">
        <v>20</v>
      </c>
      <c r="F755" s="36">
        <f t="shared" si="232"/>
        <v>0</v>
      </c>
      <c r="G755" s="36">
        <f t="shared" si="233"/>
        <v>0</v>
      </c>
      <c r="H755" s="36">
        <f t="shared" si="234"/>
        <v>0</v>
      </c>
      <c r="I755" s="36">
        <f t="shared" si="235"/>
        <v>0</v>
      </c>
      <c r="J755" s="36">
        <f t="shared" si="236"/>
        <v>0</v>
      </c>
      <c r="K755" s="36">
        <f t="shared" si="237"/>
        <v>0</v>
      </c>
      <c r="L755" s="36">
        <f t="shared" si="238"/>
        <v>0</v>
      </c>
      <c r="M755" s="36">
        <f t="shared" si="239"/>
        <v>0</v>
      </c>
      <c r="N755" s="36">
        <f t="shared" si="240"/>
        <v>0</v>
      </c>
      <c r="O755" s="36">
        <f t="shared" si="241"/>
        <v>0</v>
      </c>
      <c r="P755" s="36">
        <f t="shared" si="242"/>
        <v>0</v>
      </c>
      <c r="Q755" s="36">
        <f t="shared" si="243"/>
        <v>0</v>
      </c>
      <c r="R755" s="36">
        <f t="shared" si="244"/>
        <v>0</v>
      </c>
      <c r="S755" s="36">
        <f t="shared" si="245"/>
        <v>0</v>
      </c>
      <c r="T755" s="36">
        <f t="shared" si="246"/>
        <v>0</v>
      </c>
      <c r="U755" s="36">
        <f t="shared" si="247"/>
        <v>0</v>
      </c>
      <c r="V755" s="36">
        <f t="shared" si="248"/>
        <v>0</v>
      </c>
      <c r="W755" s="36">
        <f t="shared" si="249"/>
        <v>0</v>
      </c>
      <c r="X755" s="36">
        <f t="shared" si="250"/>
        <v>0</v>
      </c>
      <c r="Y755" s="36">
        <f t="shared" si="251"/>
        <v>0</v>
      </c>
      <c r="Z755" s="36">
        <f t="shared" si="252"/>
        <v>0</v>
      </c>
      <c r="AB755" s="36" t="str">
        <f>IF(最佳化斷筋點!C755="","",最佳化斷筋點!C755)</f>
        <v>上層</v>
      </c>
      <c r="AC755" s="37">
        <f>IF(最佳化斷筋點!D755="","",最佳化斷筋點!D755)</f>
        <v>9</v>
      </c>
      <c r="AD755" s="37">
        <f>IF(最佳化斷筋點!E755="","",最佳化斷筋點!E755)</f>
        <v>9</v>
      </c>
      <c r="AE755" s="37">
        <f>IF(最佳化斷筋點!F755="","",最佳化斷筋點!F755)</f>
        <v>9</v>
      </c>
      <c r="AF755" s="37">
        <f>IF(最佳化斷筋點!G755="","",最佳化斷筋點!G755)</f>
        <v>9</v>
      </c>
      <c r="AG755" s="37">
        <f>IF(最佳化斷筋點!H755="","",最佳化斷筋點!H755)</f>
        <v>9</v>
      </c>
      <c r="AH755" s="37">
        <f>IF(最佳化斷筋點!I755="","",最佳化斷筋點!I755)</f>
        <v>9</v>
      </c>
      <c r="AI755" s="37">
        <f>IF(最佳化斷筋點!J755="","",最佳化斷筋點!J755)</f>
        <v>9</v>
      </c>
      <c r="AJ755" s="37">
        <f>IF(最佳化斷筋點!K755="","",最佳化斷筋點!K755)</f>
        <v>3</v>
      </c>
      <c r="AK755" s="37">
        <f>IF(最佳化斷筋點!L755="","",最佳化斷筋點!L755)</f>
        <v>3</v>
      </c>
      <c r="AL755" s="37">
        <f>IF(最佳化斷筋點!M755="","",最佳化斷筋點!M755)</f>
        <v>3</v>
      </c>
      <c r="AM755" s="37">
        <f>IF(最佳化斷筋點!N755="","",最佳化斷筋點!N755)</f>
        <v>3</v>
      </c>
      <c r="AN755" s="37">
        <f>IF(最佳化斷筋點!O755="","",最佳化斷筋點!O755)</f>
        <v>3</v>
      </c>
      <c r="AO755" s="37">
        <f>IF(最佳化斷筋點!P755="","",最佳化斷筋點!P755)</f>
        <v>3</v>
      </c>
      <c r="AP755" s="37">
        <f>IF(最佳化斷筋點!Q755="","",最佳化斷筋點!Q755)</f>
        <v>6</v>
      </c>
      <c r="AQ755" s="37">
        <f>IF(最佳化斷筋點!R755="","",最佳化斷筋點!R755)</f>
        <v>6</v>
      </c>
      <c r="AR755" s="37">
        <f>IF(最佳化斷筋點!S755="","",最佳化斷筋點!S755)</f>
        <v>7</v>
      </c>
      <c r="AS755" s="37">
        <f>IF(最佳化斷筋點!T755="","",最佳化斷筋點!T755)</f>
        <v>7</v>
      </c>
      <c r="AT755" s="37">
        <f>IF(最佳化斷筋點!U755="","",最佳化斷筋點!U755)</f>
        <v>7</v>
      </c>
      <c r="AU755" s="37">
        <f>IF(最佳化斷筋點!V755="","",最佳化斷筋點!V755)</f>
        <v>7</v>
      </c>
      <c r="AV755" s="37">
        <f>IF(最佳化斷筋點!W755="","",最佳化斷筋點!W755)</f>
        <v>7</v>
      </c>
      <c r="AW755" s="37">
        <f>IF(最佳化斷筋點!X755="","",最佳化斷筋點!X755)</f>
        <v>7</v>
      </c>
      <c r="AZ755" s="37">
        <v>9</v>
      </c>
      <c r="BA755" s="37">
        <v>9</v>
      </c>
      <c r="BB755" s="37">
        <v>9</v>
      </c>
      <c r="BC755" s="37">
        <v>9</v>
      </c>
      <c r="BD755" s="37">
        <v>9</v>
      </c>
      <c r="BE755" s="37">
        <v>9</v>
      </c>
      <c r="BF755" s="37">
        <v>9</v>
      </c>
      <c r="BG755" s="37">
        <v>3</v>
      </c>
      <c r="BH755" s="37">
        <v>3</v>
      </c>
      <c r="BI755" s="37">
        <v>3</v>
      </c>
      <c r="BJ755" s="37">
        <v>3</v>
      </c>
      <c r="BK755" s="37">
        <v>3</v>
      </c>
      <c r="BL755" s="37">
        <v>3</v>
      </c>
      <c r="BM755" s="37">
        <v>6</v>
      </c>
      <c r="BN755" s="37">
        <v>6</v>
      </c>
      <c r="BO755" s="37">
        <v>7</v>
      </c>
      <c r="BP755" s="37">
        <v>7</v>
      </c>
      <c r="BQ755" s="37">
        <v>7</v>
      </c>
      <c r="BR755" s="37">
        <v>7</v>
      </c>
      <c r="BS755" s="37">
        <v>7</v>
      </c>
      <c r="BT755" s="37">
        <v>7</v>
      </c>
    </row>
    <row r="756" spans="5:72" x14ac:dyDescent="0.25">
      <c r="E756" s="36"/>
      <c r="F756" s="36">
        <f t="shared" si="232"/>
        <v>0</v>
      </c>
      <c r="G756" s="36">
        <f t="shared" si="233"/>
        <v>0</v>
      </c>
      <c r="H756" s="36">
        <f t="shared" si="234"/>
        <v>0</v>
      </c>
      <c r="I756" s="36">
        <f t="shared" si="235"/>
        <v>0</v>
      </c>
      <c r="J756" s="36">
        <f t="shared" si="236"/>
        <v>0</v>
      </c>
      <c r="K756" s="36">
        <f t="shared" si="237"/>
        <v>0</v>
      </c>
      <c r="L756" s="36">
        <f t="shared" si="238"/>
        <v>0</v>
      </c>
      <c r="M756" s="36">
        <f t="shared" si="239"/>
        <v>0</v>
      </c>
      <c r="N756" s="36">
        <f t="shared" si="240"/>
        <v>0</v>
      </c>
      <c r="O756" s="36">
        <f t="shared" si="241"/>
        <v>0</v>
      </c>
      <c r="P756" s="36">
        <f t="shared" si="242"/>
        <v>0</v>
      </c>
      <c r="Q756" s="36">
        <f t="shared" si="243"/>
        <v>0</v>
      </c>
      <c r="R756" s="36">
        <f t="shared" si="244"/>
        <v>0</v>
      </c>
      <c r="S756" s="36">
        <f t="shared" si="245"/>
        <v>0</v>
      </c>
      <c r="T756" s="36">
        <f t="shared" si="246"/>
        <v>0</v>
      </c>
      <c r="U756" s="36">
        <f t="shared" si="247"/>
        <v>0</v>
      </c>
      <c r="V756" s="36">
        <f t="shared" si="248"/>
        <v>0</v>
      </c>
      <c r="W756" s="36">
        <f t="shared" si="249"/>
        <v>0</v>
      </c>
      <c r="X756" s="36">
        <f t="shared" si="250"/>
        <v>0</v>
      </c>
      <c r="Y756" s="36">
        <f t="shared" si="251"/>
        <v>0</v>
      </c>
      <c r="Z756" s="36">
        <f t="shared" si="252"/>
        <v>0</v>
      </c>
      <c r="AB756" s="36" t="str">
        <f>IF(最佳化斷筋點!C756="","",最佳化斷筋點!C756)</f>
        <v/>
      </c>
      <c r="AC756" s="37" t="str">
        <f>IF(最佳化斷筋點!D756="","",最佳化斷筋點!D756)</f>
        <v/>
      </c>
      <c r="AD756" s="37" t="str">
        <f>IF(最佳化斷筋點!E756="","",最佳化斷筋點!E756)</f>
        <v/>
      </c>
      <c r="AE756" s="37" t="str">
        <f>IF(最佳化斷筋點!F756="","",最佳化斷筋點!F756)</f>
        <v/>
      </c>
      <c r="AF756" s="37" t="str">
        <f>IF(最佳化斷筋點!G756="","",最佳化斷筋點!G756)</f>
        <v/>
      </c>
      <c r="AG756" s="37" t="str">
        <f>IF(最佳化斷筋點!H756="","",最佳化斷筋點!H756)</f>
        <v/>
      </c>
      <c r="AH756" s="37" t="str">
        <f>IF(最佳化斷筋點!I756="","",最佳化斷筋點!I756)</f>
        <v/>
      </c>
      <c r="AI756" s="37" t="str">
        <f>IF(最佳化斷筋點!J756="","",最佳化斷筋點!J756)</f>
        <v/>
      </c>
      <c r="AJ756" s="37" t="str">
        <f>IF(最佳化斷筋點!K756="","",最佳化斷筋點!K756)</f>
        <v/>
      </c>
      <c r="AK756" s="37" t="str">
        <f>IF(最佳化斷筋點!L756="","",最佳化斷筋點!L756)</f>
        <v/>
      </c>
      <c r="AL756" s="37" t="str">
        <f>IF(最佳化斷筋點!M756="","",最佳化斷筋點!M756)</f>
        <v/>
      </c>
      <c r="AM756" s="37" t="str">
        <f>IF(最佳化斷筋點!N756="","",最佳化斷筋點!N756)</f>
        <v/>
      </c>
      <c r="AN756" s="37" t="str">
        <f>IF(最佳化斷筋點!O756="","",最佳化斷筋點!O756)</f>
        <v/>
      </c>
      <c r="AO756" s="37" t="str">
        <f>IF(最佳化斷筋點!P756="","",最佳化斷筋點!P756)</f>
        <v/>
      </c>
      <c r="AP756" s="37" t="str">
        <f>IF(最佳化斷筋點!Q756="","",最佳化斷筋點!Q756)</f>
        <v/>
      </c>
      <c r="AQ756" s="37" t="str">
        <f>IF(最佳化斷筋點!R756="","",最佳化斷筋點!R756)</f>
        <v/>
      </c>
      <c r="AR756" s="37" t="str">
        <f>IF(最佳化斷筋點!S756="","",最佳化斷筋點!S756)</f>
        <v/>
      </c>
      <c r="AS756" s="37" t="str">
        <f>IF(最佳化斷筋點!T756="","",最佳化斷筋點!T756)</f>
        <v/>
      </c>
      <c r="AT756" s="37" t="str">
        <f>IF(最佳化斷筋點!U756="","",最佳化斷筋點!U756)</f>
        <v/>
      </c>
      <c r="AU756" s="37" t="str">
        <f>IF(最佳化斷筋點!V756="","",最佳化斷筋點!V756)</f>
        <v/>
      </c>
      <c r="AV756" s="37" t="str">
        <f>IF(最佳化斷筋點!W756="","",最佳化斷筋點!W756)</f>
        <v/>
      </c>
      <c r="AW756" s="37" t="str">
        <f>IF(最佳化斷筋點!X756="","",最佳化斷筋點!X756)</f>
        <v/>
      </c>
      <c r="AZ756" s="37" t="s">
        <v>197</v>
      </c>
      <c r="BA756" s="37" t="s">
        <v>197</v>
      </c>
      <c r="BB756" s="37" t="s">
        <v>197</v>
      </c>
      <c r="BC756" s="37" t="s">
        <v>197</v>
      </c>
      <c r="BD756" s="37" t="s">
        <v>197</v>
      </c>
      <c r="BE756" s="37" t="s">
        <v>197</v>
      </c>
      <c r="BF756" s="37" t="s">
        <v>197</v>
      </c>
      <c r="BG756" s="37" t="s">
        <v>197</v>
      </c>
      <c r="BH756" s="37" t="s">
        <v>197</v>
      </c>
      <c r="BI756" s="37" t="s">
        <v>197</v>
      </c>
      <c r="BJ756" s="37" t="s">
        <v>197</v>
      </c>
      <c r="BK756" s="37" t="s">
        <v>197</v>
      </c>
      <c r="BL756" s="37" t="s">
        <v>197</v>
      </c>
      <c r="BM756" s="37" t="s">
        <v>197</v>
      </c>
      <c r="BN756" s="37" t="s">
        <v>197</v>
      </c>
      <c r="BO756" s="37" t="s">
        <v>197</v>
      </c>
      <c r="BP756" s="37" t="s">
        <v>197</v>
      </c>
      <c r="BQ756" s="37" t="s">
        <v>197</v>
      </c>
      <c r="BR756" s="37" t="s">
        <v>197</v>
      </c>
      <c r="BS756" s="37" t="s">
        <v>197</v>
      </c>
      <c r="BT756" s="37" t="s">
        <v>197</v>
      </c>
    </row>
    <row r="757" spans="5:72" x14ac:dyDescent="0.25">
      <c r="E757" s="36" t="s">
        <v>21</v>
      </c>
      <c r="F757" s="36">
        <f t="shared" si="232"/>
        <v>0</v>
      </c>
      <c r="G757" s="36">
        <f t="shared" si="233"/>
        <v>0</v>
      </c>
      <c r="H757" s="36">
        <f t="shared" si="234"/>
        <v>0</v>
      </c>
      <c r="I757" s="36">
        <f t="shared" si="235"/>
        <v>0</v>
      </c>
      <c r="J757" s="36">
        <f t="shared" si="236"/>
        <v>0</v>
      </c>
      <c r="K757" s="36">
        <f t="shared" si="237"/>
        <v>0</v>
      </c>
      <c r="L757" s="36">
        <f t="shared" si="238"/>
        <v>0</v>
      </c>
      <c r="M757" s="36">
        <f t="shared" si="239"/>
        <v>0</v>
      </c>
      <c r="N757" s="36">
        <f t="shared" si="240"/>
        <v>0</v>
      </c>
      <c r="O757" s="36">
        <f t="shared" si="241"/>
        <v>0</v>
      </c>
      <c r="P757" s="36">
        <f t="shared" si="242"/>
        <v>0</v>
      </c>
      <c r="Q757" s="36">
        <f t="shared" si="243"/>
        <v>0</v>
      </c>
      <c r="R757" s="36">
        <f t="shared" si="244"/>
        <v>0</v>
      </c>
      <c r="S757" s="36">
        <f t="shared" si="245"/>
        <v>0</v>
      </c>
      <c r="T757" s="36">
        <f t="shared" si="246"/>
        <v>0</v>
      </c>
      <c r="U757" s="36">
        <f t="shared" si="247"/>
        <v>0</v>
      </c>
      <c r="V757" s="36">
        <f t="shared" si="248"/>
        <v>0</v>
      </c>
      <c r="W757" s="36">
        <f t="shared" si="249"/>
        <v>0</v>
      </c>
      <c r="X757" s="36">
        <f t="shared" si="250"/>
        <v>0</v>
      </c>
      <c r="Y757" s="36">
        <f t="shared" si="251"/>
        <v>0</v>
      </c>
      <c r="Z757" s="36">
        <f t="shared" si="252"/>
        <v>0</v>
      </c>
      <c r="AB757" s="36" t="str">
        <f>IF(最佳化斷筋點!C757="","",最佳化斷筋點!C757)</f>
        <v>下層</v>
      </c>
      <c r="AC757" s="37">
        <f>IF(最佳化斷筋點!D757="","",最佳化斷筋點!D757)</f>
        <v>9</v>
      </c>
      <c r="AD757" s="37">
        <f>IF(最佳化斷筋點!E757="","",最佳化斷筋點!E757)</f>
        <v>9</v>
      </c>
      <c r="AE757" s="37">
        <f>IF(最佳化斷筋點!F757="","",最佳化斷筋點!F757)</f>
        <v>9</v>
      </c>
      <c r="AF757" s="37">
        <f>IF(最佳化斷筋點!G757="","",最佳化斷筋點!G757)</f>
        <v>9</v>
      </c>
      <c r="AG757" s="37">
        <f>IF(最佳化斷筋點!H757="","",最佳化斷筋點!H757)</f>
        <v>9</v>
      </c>
      <c r="AH757" s="37">
        <f>IF(最佳化斷筋點!I757="","",最佳化斷筋點!I757)</f>
        <v>8</v>
      </c>
      <c r="AI757" s="37">
        <f>IF(最佳化斷筋點!J757="","",最佳化斷筋點!J757)</f>
        <v>7</v>
      </c>
      <c r="AJ757" s="37">
        <f>IF(最佳化斷筋點!K757="","",最佳化斷筋點!K757)</f>
        <v>4</v>
      </c>
      <c r="AK757" s="37">
        <f>IF(最佳化斷筋點!L757="","",最佳化斷筋點!L757)</f>
        <v>4</v>
      </c>
      <c r="AL757" s="37">
        <f>IF(最佳化斷筋點!M757="","",最佳化斷筋點!M757)</f>
        <v>4</v>
      </c>
      <c r="AM757" s="37">
        <f>IF(最佳化斷筋點!N757="","",最佳化斷筋點!N757)</f>
        <v>4</v>
      </c>
      <c r="AN757" s="37">
        <f>IF(最佳化斷筋點!O757="","",最佳化斷筋點!O757)</f>
        <v>4</v>
      </c>
      <c r="AO757" s="37">
        <f>IF(最佳化斷筋點!P757="","",最佳化斷筋點!P757)</f>
        <v>4</v>
      </c>
      <c r="AP757" s="37">
        <f>IF(最佳化斷筋點!Q757="","",最佳化斷筋點!Q757)</f>
        <v>6</v>
      </c>
      <c r="AQ757" s="37">
        <f>IF(最佳化斷筋點!R757="","",最佳化斷筋點!R757)</f>
        <v>7</v>
      </c>
      <c r="AR757" s="37">
        <f>IF(最佳化斷筋點!S757="","",最佳化斷筋點!S757)</f>
        <v>8</v>
      </c>
      <c r="AS757" s="37">
        <f>IF(最佳化斷筋點!T757="","",最佳化斷筋點!T757)</f>
        <v>9</v>
      </c>
      <c r="AT757" s="37">
        <f>IF(最佳化斷筋點!U757="","",最佳化斷筋點!U757)</f>
        <v>10</v>
      </c>
      <c r="AU757" s="37">
        <f>IF(最佳化斷筋點!V757="","",最佳化斷筋點!V757)</f>
        <v>10</v>
      </c>
      <c r="AV757" s="37">
        <f>IF(最佳化斷筋點!W757="","",最佳化斷筋點!W757)</f>
        <v>10</v>
      </c>
      <c r="AW757" s="37">
        <f>IF(最佳化斷筋點!X757="","",最佳化斷筋點!X757)</f>
        <v>10</v>
      </c>
      <c r="AZ757" s="37">
        <v>9</v>
      </c>
      <c r="BA757" s="37">
        <v>9</v>
      </c>
      <c r="BB757" s="37">
        <v>9</v>
      </c>
      <c r="BC757" s="37">
        <v>9</v>
      </c>
      <c r="BD757" s="37">
        <v>9</v>
      </c>
      <c r="BE757" s="37">
        <v>8</v>
      </c>
      <c r="BF757" s="37">
        <v>7</v>
      </c>
      <c r="BG757" s="37">
        <v>4</v>
      </c>
      <c r="BH757" s="37">
        <v>4</v>
      </c>
      <c r="BI757" s="37">
        <v>4</v>
      </c>
      <c r="BJ757" s="37">
        <v>4</v>
      </c>
      <c r="BK757" s="37">
        <v>4</v>
      </c>
      <c r="BL757" s="37">
        <v>4</v>
      </c>
      <c r="BM757" s="37">
        <v>6</v>
      </c>
      <c r="BN757" s="37">
        <v>7</v>
      </c>
      <c r="BO757" s="37">
        <v>8</v>
      </c>
      <c r="BP757" s="37">
        <v>9</v>
      </c>
      <c r="BQ757" s="37">
        <v>10</v>
      </c>
      <c r="BR757" s="37">
        <v>10</v>
      </c>
      <c r="BS757" s="37">
        <v>10</v>
      </c>
      <c r="BT757" s="37">
        <v>10</v>
      </c>
    </row>
    <row r="758" spans="5:72" x14ac:dyDescent="0.25">
      <c r="E758" s="36"/>
      <c r="F758" s="36">
        <f t="shared" si="232"/>
        <v>0</v>
      </c>
      <c r="G758" s="36">
        <f t="shared" si="233"/>
        <v>0</v>
      </c>
      <c r="H758" s="36">
        <f t="shared" si="234"/>
        <v>0</v>
      </c>
      <c r="I758" s="36">
        <f t="shared" si="235"/>
        <v>0</v>
      </c>
      <c r="J758" s="36">
        <f t="shared" si="236"/>
        <v>0</v>
      </c>
      <c r="K758" s="36">
        <f t="shared" si="237"/>
        <v>0</v>
      </c>
      <c r="L758" s="36">
        <f t="shared" si="238"/>
        <v>0</v>
      </c>
      <c r="M758" s="36">
        <f t="shared" si="239"/>
        <v>0</v>
      </c>
      <c r="N758" s="36">
        <f t="shared" si="240"/>
        <v>0</v>
      </c>
      <c r="O758" s="36">
        <f t="shared" si="241"/>
        <v>0</v>
      </c>
      <c r="P758" s="36">
        <f t="shared" si="242"/>
        <v>0</v>
      </c>
      <c r="Q758" s="36">
        <f t="shared" si="243"/>
        <v>0</v>
      </c>
      <c r="R758" s="36">
        <f t="shared" si="244"/>
        <v>0</v>
      </c>
      <c r="S758" s="36">
        <f t="shared" si="245"/>
        <v>0</v>
      </c>
      <c r="T758" s="36">
        <f t="shared" si="246"/>
        <v>0</v>
      </c>
      <c r="U758" s="36">
        <f t="shared" si="247"/>
        <v>0</v>
      </c>
      <c r="V758" s="36">
        <f t="shared" si="248"/>
        <v>0</v>
      </c>
      <c r="W758" s="36">
        <f t="shared" si="249"/>
        <v>0</v>
      </c>
      <c r="X758" s="36">
        <f t="shared" si="250"/>
        <v>0</v>
      </c>
      <c r="Y758" s="36">
        <f t="shared" si="251"/>
        <v>0</v>
      </c>
      <c r="Z758" s="36">
        <f t="shared" si="252"/>
        <v>0</v>
      </c>
      <c r="AB758" s="36" t="str">
        <f>IF(最佳化斷筋點!C758="","",最佳化斷筋點!C758)</f>
        <v/>
      </c>
      <c r="AC758" s="37" t="str">
        <f>IF(最佳化斷筋點!D758="","",最佳化斷筋點!D758)</f>
        <v/>
      </c>
      <c r="AD758" s="37" t="str">
        <f>IF(最佳化斷筋點!E758="","",最佳化斷筋點!E758)</f>
        <v/>
      </c>
      <c r="AE758" s="37" t="str">
        <f>IF(最佳化斷筋點!F758="","",最佳化斷筋點!F758)</f>
        <v/>
      </c>
      <c r="AF758" s="37" t="str">
        <f>IF(最佳化斷筋點!G758="","",最佳化斷筋點!G758)</f>
        <v/>
      </c>
      <c r="AG758" s="37" t="str">
        <f>IF(最佳化斷筋點!H758="","",最佳化斷筋點!H758)</f>
        <v/>
      </c>
      <c r="AH758" s="37" t="str">
        <f>IF(最佳化斷筋點!I758="","",最佳化斷筋點!I758)</f>
        <v/>
      </c>
      <c r="AI758" s="37" t="str">
        <f>IF(最佳化斷筋點!J758="","",最佳化斷筋點!J758)</f>
        <v/>
      </c>
      <c r="AJ758" s="37" t="str">
        <f>IF(最佳化斷筋點!K758="","",最佳化斷筋點!K758)</f>
        <v/>
      </c>
      <c r="AK758" s="37" t="str">
        <f>IF(最佳化斷筋點!L758="","",最佳化斷筋點!L758)</f>
        <v/>
      </c>
      <c r="AL758" s="37" t="str">
        <f>IF(最佳化斷筋點!M758="","",最佳化斷筋點!M758)</f>
        <v/>
      </c>
      <c r="AM758" s="37" t="str">
        <f>IF(最佳化斷筋點!N758="","",最佳化斷筋點!N758)</f>
        <v/>
      </c>
      <c r="AN758" s="37" t="str">
        <f>IF(最佳化斷筋點!O758="","",最佳化斷筋點!O758)</f>
        <v/>
      </c>
      <c r="AO758" s="37" t="str">
        <f>IF(最佳化斷筋點!P758="","",最佳化斷筋點!P758)</f>
        <v/>
      </c>
      <c r="AP758" s="37" t="str">
        <f>IF(最佳化斷筋點!Q758="","",最佳化斷筋點!Q758)</f>
        <v/>
      </c>
      <c r="AQ758" s="37" t="str">
        <f>IF(最佳化斷筋點!R758="","",最佳化斷筋點!R758)</f>
        <v/>
      </c>
      <c r="AR758" s="37" t="str">
        <f>IF(最佳化斷筋點!S758="","",最佳化斷筋點!S758)</f>
        <v/>
      </c>
      <c r="AS758" s="37" t="str">
        <f>IF(最佳化斷筋點!T758="","",最佳化斷筋點!T758)</f>
        <v/>
      </c>
      <c r="AT758" s="37" t="str">
        <f>IF(最佳化斷筋點!U758="","",最佳化斷筋點!U758)</f>
        <v/>
      </c>
      <c r="AU758" s="37" t="str">
        <f>IF(最佳化斷筋點!V758="","",最佳化斷筋點!V758)</f>
        <v/>
      </c>
      <c r="AV758" s="37" t="str">
        <f>IF(最佳化斷筋點!W758="","",最佳化斷筋點!W758)</f>
        <v/>
      </c>
      <c r="AW758" s="37" t="str">
        <f>IF(最佳化斷筋點!X758="","",最佳化斷筋點!X758)</f>
        <v/>
      </c>
      <c r="AZ758" s="37" t="s">
        <v>197</v>
      </c>
      <c r="BA758" s="37" t="s">
        <v>197</v>
      </c>
      <c r="BB758" s="37" t="s">
        <v>197</v>
      </c>
      <c r="BC758" s="37" t="s">
        <v>197</v>
      </c>
      <c r="BD758" s="37" t="s">
        <v>197</v>
      </c>
      <c r="BE758" s="37" t="s">
        <v>197</v>
      </c>
      <c r="BF758" s="37" t="s">
        <v>197</v>
      </c>
      <c r="BG758" s="37" t="s">
        <v>197</v>
      </c>
      <c r="BH758" s="37" t="s">
        <v>197</v>
      </c>
      <c r="BI758" s="37" t="s">
        <v>197</v>
      </c>
      <c r="BJ758" s="37" t="s">
        <v>197</v>
      </c>
      <c r="BK758" s="37" t="s">
        <v>197</v>
      </c>
      <c r="BL758" s="37" t="s">
        <v>197</v>
      </c>
      <c r="BM758" s="37" t="s">
        <v>197</v>
      </c>
      <c r="BN758" s="37" t="s">
        <v>197</v>
      </c>
      <c r="BO758" s="37" t="s">
        <v>197</v>
      </c>
      <c r="BP758" s="37" t="s">
        <v>197</v>
      </c>
      <c r="BQ758" s="37" t="s">
        <v>197</v>
      </c>
      <c r="BR758" s="37" t="s">
        <v>197</v>
      </c>
      <c r="BS758" s="37" t="s">
        <v>197</v>
      </c>
      <c r="BT758" s="37" t="s">
        <v>197</v>
      </c>
    </row>
    <row r="759" spans="5:72" x14ac:dyDescent="0.25">
      <c r="E759" s="36" t="s">
        <v>20</v>
      </c>
      <c r="F759" s="36">
        <f t="shared" ref="F759:F822" si="253">IF(AC759=AZ759,0,1)</f>
        <v>0</v>
      </c>
      <c r="G759" s="36">
        <f t="shared" ref="G759:G822" si="254">IF(AD759=BA759,0,1)</f>
        <v>0</v>
      </c>
      <c r="H759" s="36">
        <f t="shared" ref="H759:H822" si="255">IF(AE759=BB759,0,1)</f>
        <v>0</v>
      </c>
      <c r="I759" s="36">
        <f t="shared" ref="I759:I822" si="256">IF(AF759=BC759,0,1)</f>
        <v>0</v>
      </c>
      <c r="J759" s="36">
        <f t="shared" ref="J759:J822" si="257">IF(AG759=BD759,0,1)</f>
        <v>0</v>
      </c>
      <c r="K759" s="36">
        <f t="shared" ref="K759:K822" si="258">IF(AH759=BE759,0,1)</f>
        <v>0</v>
      </c>
      <c r="L759" s="36">
        <f t="shared" ref="L759:L822" si="259">IF(AI759=BF759,0,1)</f>
        <v>0</v>
      </c>
      <c r="M759" s="36">
        <f t="shared" ref="M759:M822" si="260">IF(AJ759=BG759,0,1)</f>
        <v>0</v>
      </c>
      <c r="N759" s="36">
        <f t="shared" ref="N759:N822" si="261">IF(AK759=BH759,0,1)</f>
        <v>0</v>
      </c>
      <c r="O759" s="36">
        <f t="shared" ref="O759:O822" si="262">IF(AL759=BI759,0,1)</f>
        <v>0</v>
      </c>
      <c r="P759" s="36">
        <f t="shared" ref="P759:P822" si="263">IF(AM759=BJ759,0,1)</f>
        <v>0</v>
      </c>
      <c r="Q759" s="36">
        <f t="shared" ref="Q759:Q822" si="264">IF(AN759=BK759,0,1)</f>
        <v>0</v>
      </c>
      <c r="R759" s="36">
        <f t="shared" ref="R759:R822" si="265">IF(AO759=BL759,0,1)</f>
        <v>0</v>
      </c>
      <c r="S759" s="36">
        <f t="shared" ref="S759:S822" si="266">IF(AP759=BM759,0,1)</f>
        <v>0</v>
      </c>
      <c r="T759" s="36">
        <f t="shared" ref="T759:T822" si="267">IF(AQ759=BN759,0,1)</f>
        <v>0</v>
      </c>
      <c r="U759" s="36">
        <f t="shared" ref="U759:U822" si="268">IF(AR759=BO759,0,1)</f>
        <v>0</v>
      </c>
      <c r="V759" s="36">
        <f t="shared" ref="V759:V822" si="269">IF(AS759=BP759,0,1)</f>
        <v>0</v>
      </c>
      <c r="W759" s="36">
        <f t="shared" ref="W759:W822" si="270">IF(AT759=BQ759,0,1)</f>
        <v>0</v>
      </c>
      <c r="X759" s="36">
        <f t="shared" ref="X759:X822" si="271">IF(AU759=BR759,0,1)</f>
        <v>0</v>
      </c>
      <c r="Y759" s="36">
        <f t="shared" ref="Y759:Y822" si="272">IF(AV759=BS759,0,1)</f>
        <v>0</v>
      </c>
      <c r="Z759" s="36">
        <f t="shared" ref="Z759:Z822" si="273">IF(AW759=BT759,0,1)</f>
        <v>0</v>
      </c>
      <c r="AB759" s="36" t="str">
        <f>IF(最佳化斷筋點!C759="","",最佳化斷筋點!C759)</f>
        <v>上層</v>
      </c>
      <c r="AC759" s="37">
        <f>IF(最佳化斷筋點!D759="","",最佳化斷筋點!D759)</f>
        <v>7</v>
      </c>
      <c r="AD759" s="37">
        <f>IF(最佳化斷筋點!E759="","",最佳化斷筋點!E759)</f>
        <v>7</v>
      </c>
      <c r="AE759" s="37">
        <f>IF(最佳化斷筋點!F759="","",最佳化斷筋點!F759)</f>
        <v>7</v>
      </c>
      <c r="AF759" s="37">
        <f>IF(最佳化斷筋點!G759="","",最佳化斷筋點!G759)</f>
        <v>7</v>
      </c>
      <c r="AG759" s="37">
        <f>IF(最佳化斷筋點!H759="","",最佳化斷筋點!H759)</f>
        <v>7</v>
      </c>
      <c r="AH759" s="37">
        <f>IF(最佳化斷筋點!I759="","",最佳化斷筋點!I759)</f>
        <v>6</v>
      </c>
      <c r="AI759" s="37">
        <f>IF(最佳化斷筋點!J759="","",最佳化斷筋點!J759)</f>
        <v>6</v>
      </c>
      <c r="AJ759" s="37">
        <f>IF(最佳化斷筋點!K759="","",最佳化斷筋點!K759)</f>
        <v>3</v>
      </c>
      <c r="AK759" s="37">
        <f>IF(最佳化斷筋點!L759="","",最佳化斷筋點!L759)</f>
        <v>3</v>
      </c>
      <c r="AL759" s="37">
        <f>IF(最佳化斷筋點!M759="","",最佳化斷筋點!M759)</f>
        <v>3</v>
      </c>
      <c r="AM759" s="37">
        <f>IF(最佳化斷筋點!N759="","",最佳化斷筋點!N759)</f>
        <v>3</v>
      </c>
      <c r="AN759" s="37">
        <f>IF(最佳化斷筋點!O759="","",最佳化斷筋點!O759)</f>
        <v>3</v>
      </c>
      <c r="AO759" s="37">
        <f>IF(最佳化斷筋點!P759="","",最佳化斷筋點!P759)</f>
        <v>3</v>
      </c>
      <c r="AP759" s="37">
        <f>IF(最佳化斷筋點!Q759="","",最佳化斷筋點!Q759)</f>
        <v>5</v>
      </c>
      <c r="AQ759" s="37">
        <f>IF(最佳化斷筋點!R759="","",最佳化斷筋點!R759)</f>
        <v>6</v>
      </c>
      <c r="AR759" s="37">
        <f>IF(最佳化斷筋點!S759="","",最佳化斷筋點!S759)</f>
        <v>6</v>
      </c>
      <c r="AS759" s="37">
        <f>IF(最佳化斷筋點!T759="","",最佳化斷筋點!T759)</f>
        <v>7</v>
      </c>
      <c r="AT759" s="37">
        <f>IF(最佳化斷筋點!U759="","",最佳化斷筋點!U759)</f>
        <v>8</v>
      </c>
      <c r="AU759" s="37">
        <f>IF(最佳化斷筋點!V759="","",最佳化斷筋點!V759)</f>
        <v>8</v>
      </c>
      <c r="AV759" s="37">
        <f>IF(最佳化斷筋點!W759="","",最佳化斷筋點!W759)</f>
        <v>8</v>
      </c>
      <c r="AW759" s="37">
        <f>IF(最佳化斷筋點!X759="","",最佳化斷筋點!X759)</f>
        <v>8</v>
      </c>
      <c r="AZ759" s="37">
        <v>7</v>
      </c>
      <c r="BA759" s="37">
        <v>7</v>
      </c>
      <c r="BB759" s="37">
        <v>7</v>
      </c>
      <c r="BC759" s="37">
        <v>7</v>
      </c>
      <c r="BD759" s="37">
        <v>7</v>
      </c>
      <c r="BE759" s="37">
        <v>6</v>
      </c>
      <c r="BF759" s="37">
        <v>6</v>
      </c>
      <c r="BG759" s="37">
        <v>3</v>
      </c>
      <c r="BH759" s="37">
        <v>3</v>
      </c>
      <c r="BI759" s="37">
        <v>3</v>
      </c>
      <c r="BJ759" s="37">
        <v>3</v>
      </c>
      <c r="BK759" s="37">
        <v>3</v>
      </c>
      <c r="BL759" s="37">
        <v>3</v>
      </c>
      <c r="BM759" s="37">
        <v>5</v>
      </c>
      <c r="BN759" s="37">
        <v>6</v>
      </c>
      <c r="BO759" s="37">
        <v>6</v>
      </c>
      <c r="BP759" s="37">
        <v>7</v>
      </c>
      <c r="BQ759" s="37">
        <v>8</v>
      </c>
      <c r="BR759" s="37">
        <v>8</v>
      </c>
      <c r="BS759" s="37">
        <v>8</v>
      </c>
      <c r="BT759" s="37">
        <v>8</v>
      </c>
    </row>
    <row r="760" spans="5:72" x14ac:dyDescent="0.25">
      <c r="E760" s="36"/>
      <c r="F760" s="36">
        <f t="shared" si="253"/>
        <v>0</v>
      </c>
      <c r="G760" s="36">
        <f t="shared" si="254"/>
        <v>0</v>
      </c>
      <c r="H760" s="36">
        <f t="shared" si="255"/>
        <v>0</v>
      </c>
      <c r="I760" s="36">
        <f t="shared" si="256"/>
        <v>0</v>
      </c>
      <c r="J760" s="36">
        <f t="shared" si="257"/>
        <v>0</v>
      </c>
      <c r="K760" s="36">
        <f t="shared" si="258"/>
        <v>0</v>
      </c>
      <c r="L760" s="36">
        <f t="shared" si="259"/>
        <v>0</v>
      </c>
      <c r="M760" s="36">
        <f t="shared" si="260"/>
        <v>0</v>
      </c>
      <c r="N760" s="36">
        <f t="shared" si="261"/>
        <v>0</v>
      </c>
      <c r="O760" s="36">
        <f t="shared" si="262"/>
        <v>0</v>
      </c>
      <c r="P760" s="36">
        <f t="shared" si="263"/>
        <v>0</v>
      </c>
      <c r="Q760" s="36">
        <f t="shared" si="264"/>
        <v>0</v>
      </c>
      <c r="R760" s="36">
        <f t="shared" si="265"/>
        <v>0</v>
      </c>
      <c r="S760" s="36">
        <f t="shared" si="266"/>
        <v>0</v>
      </c>
      <c r="T760" s="36">
        <f t="shared" si="267"/>
        <v>0</v>
      </c>
      <c r="U760" s="36">
        <f t="shared" si="268"/>
        <v>0</v>
      </c>
      <c r="V760" s="36">
        <f t="shared" si="269"/>
        <v>0</v>
      </c>
      <c r="W760" s="36">
        <f t="shared" si="270"/>
        <v>0</v>
      </c>
      <c r="X760" s="36">
        <f t="shared" si="271"/>
        <v>0</v>
      </c>
      <c r="Y760" s="36">
        <f t="shared" si="272"/>
        <v>0</v>
      </c>
      <c r="Z760" s="36">
        <f t="shared" si="273"/>
        <v>0</v>
      </c>
      <c r="AB760" s="36" t="str">
        <f>IF(最佳化斷筋點!C760="","",最佳化斷筋點!C760)</f>
        <v/>
      </c>
      <c r="AC760" s="37" t="str">
        <f>IF(最佳化斷筋點!D760="","",最佳化斷筋點!D760)</f>
        <v/>
      </c>
      <c r="AD760" s="37" t="str">
        <f>IF(最佳化斷筋點!E760="","",最佳化斷筋點!E760)</f>
        <v/>
      </c>
      <c r="AE760" s="37" t="str">
        <f>IF(最佳化斷筋點!F760="","",最佳化斷筋點!F760)</f>
        <v/>
      </c>
      <c r="AF760" s="37" t="str">
        <f>IF(最佳化斷筋點!G760="","",最佳化斷筋點!G760)</f>
        <v/>
      </c>
      <c r="AG760" s="37" t="str">
        <f>IF(最佳化斷筋點!H760="","",最佳化斷筋點!H760)</f>
        <v/>
      </c>
      <c r="AH760" s="37" t="str">
        <f>IF(最佳化斷筋點!I760="","",最佳化斷筋點!I760)</f>
        <v/>
      </c>
      <c r="AI760" s="37" t="str">
        <f>IF(最佳化斷筋點!J760="","",最佳化斷筋點!J760)</f>
        <v/>
      </c>
      <c r="AJ760" s="37" t="str">
        <f>IF(最佳化斷筋點!K760="","",最佳化斷筋點!K760)</f>
        <v/>
      </c>
      <c r="AK760" s="37" t="str">
        <f>IF(最佳化斷筋點!L760="","",最佳化斷筋點!L760)</f>
        <v/>
      </c>
      <c r="AL760" s="37" t="str">
        <f>IF(最佳化斷筋點!M760="","",最佳化斷筋點!M760)</f>
        <v/>
      </c>
      <c r="AM760" s="37" t="str">
        <f>IF(最佳化斷筋點!N760="","",最佳化斷筋點!N760)</f>
        <v/>
      </c>
      <c r="AN760" s="37" t="str">
        <f>IF(最佳化斷筋點!O760="","",最佳化斷筋點!O760)</f>
        <v/>
      </c>
      <c r="AO760" s="37" t="str">
        <f>IF(最佳化斷筋點!P760="","",最佳化斷筋點!P760)</f>
        <v/>
      </c>
      <c r="AP760" s="37" t="str">
        <f>IF(最佳化斷筋點!Q760="","",最佳化斷筋點!Q760)</f>
        <v/>
      </c>
      <c r="AQ760" s="37" t="str">
        <f>IF(最佳化斷筋點!R760="","",最佳化斷筋點!R760)</f>
        <v/>
      </c>
      <c r="AR760" s="37" t="str">
        <f>IF(最佳化斷筋點!S760="","",最佳化斷筋點!S760)</f>
        <v/>
      </c>
      <c r="AS760" s="37" t="str">
        <f>IF(最佳化斷筋點!T760="","",最佳化斷筋點!T760)</f>
        <v/>
      </c>
      <c r="AT760" s="37" t="str">
        <f>IF(最佳化斷筋點!U760="","",最佳化斷筋點!U760)</f>
        <v/>
      </c>
      <c r="AU760" s="37" t="str">
        <f>IF(最佳化斷筋點!V760="","",最佳化斷筋點!V760)</f>
        <v/>
      </c>
      <c r="AV760" s="37" t="str">
        <f>IF(最佳化斷筋點!W760="","",最佳化斷筋點!W760)</f>
        <v/>
      </c>
      <c r="AW760" s="37" t="str">
        <f>IF(最佳化斷筋點!X760="","",最佳化斷筋點!X760)</f>
        <v/>
      </c>
      <c r="AZ760" s="37" t="s">
        <v>197</v>
      </c>
      <c r="BA760" s="37" t="s">
        <v>197</v>
      </c>
      <c r="BB760" s="37" t="s">
        <v>197</v>
      </c>
      <c r="BC760" s="37" t="s">
        <v>197</v>
      </c>
      <c r="BD760" s="37" t="s">
        <v>197</v>
      </c>
      <c r="BE760" s="37" t="s">
        <v>197</v>
      </c>
      <c r="BF760" s="37" t="s">
        <v>197</v>
      </c>
      <c r="BG760" s="37" t="s">
        <v>197</v>
      </c>
      <c r="BH760" s="37" t="s">
        <v>197</v>
      </c>
      <c r="BI760" s="37" t="s">
        <v>197</v>
      </c>
      <c r="BJ760" s="37" t="s">
        <v>197</v>
      </c>
      <c r="BK760" s="37" t="s">
        <v>197</v>
      </c>
      <c r="BL760" s="37" t="s">
        <v>197</v>
      </c>
      <c r="BM760" s="37" t="s">
        <v>197</v>
      </c>
      <c r="BN760" s="37" t="s">
        <v>197</v>
      </c>
      <c r="BO760" s="37" t="s">
        <v>197</v>
      </c>
      <c r="BP760" s="37" t="s">
        <v>197</v>
      </c>
      <c r="BQ760" s="37" t="s">
        <v>197</v>
      </c>
      <c r="BR760" s="37" t="s">
        <v>197</v>
      </c>
      <c r="BS760" s="37" t="s">
        <v>197</v>
      </c>
      <c r="BT760" s="37" t="s">
        <v>197</v>
      </c>
    </row>
    <row r="761" spans="5:72" x14ac:dyDescent="0.25">
      <c r="E761" s="36" t="s">
        <v>21</v>
      </c>
      <c r="F761" s="36">
        <f t="shared" si="253"/>
        <v>0</v>
      </c>
      <c r="G761" s="36">
        <f t="shared" si="254"/>
        <v>0</v>
      </c>
      <c r="H761" s="36">
        <f t="shared" si="255"/>
        <v>0</v>
      </c>
      <c r="I761" s="36">
        <f t="shared" si="256"/>
        <v>0</v>
      </c>
      <c r="J761" s="36">
        <f t="shared" si="257"/>
        <v>0</v>
      </c>
      <c r="K761" s="36">
        <f t="shared" si="258"/>
        <v>0</v>
      </c>
      <c r="L761" s="36">
        <f t="shared" si="259"/>
        <v>0</v>
      </c>
      <c r="M761" s="36">
        <f t="shared" si="260"/>
        <v>0</v>
      </c>
      <c r="N761" s="36">
        <f t="shared" si="261"/>
        <v>0</v>
      </c>
      <c r="O761" s="36">
        <f t="shared" si="262"/>
        <v>0</v>
      </c>
      <c r="P761" s="36">
        <f t="shared" si="263"/>
        <v>0</v>
      </c>
      <c r="Q761" s="36">
        <f t="shared" si="264"/>
        <v>0</v>
      </c>
      <c r="R761" s="36">
        <f t="shared" si="265"/>
        <v>0</v>
      </c>
      <c r="S761" s="36">
        <f t="shared" si="266"/>
        <v>0</v>
      </c>
      <c r="T761" s="36">
        <f t="shared" si="267"/>
        <v>0</v>
      </c>
      <c r="U761" s="36">
        <f t="shared" si="268"/>
        <v>0</v>
      </c>
      <c r="V761" s="36">
        <f t="shared" si="269"/>
        <v>0</v>
      </c>
      <c r="W761" s="36">
        <f t="shared" si="270"/>
        <v>0</v>
      </c>
      <c r="X761" s="36">
        <f t="shared" si="271"/>
        <v>0</v>
      </c>
      <c r="Y761" s="36">
        <f t="shared" si="272"/>
        <v>0</v>
      </c>
      <c r="Z761" s="36">
        <f t="shared" si="273"/>
        <v>0</v>
      </c>
      <c r="AB761" s="36" t="str">
        <f>IF(最佳化斷筋點!C761="","",最佳化斷筋點!C761)</f>
        <v>下層</v>
      </c>
      <c r="AC761" s="37">
        <f>IF(最佳化斷筋點!D761="","",最佳化斷筋點!D761)</f>
        <v>6</v>
      </c>
      <c r="AD761" s="37">
        <f>IF(最佳化斷筋點!E761="","",最佳化斷筋點!E761)</f>
        <v>6</v>
      </c>
      <c r="AE761" s="37">
        <f>IF(最佳化斷筋點!F761="","",最佳化斷筋點!F761)</f>
        <v>6</v>
      </c>
      <c r="AF761" s="37">
        <f>IF(最佳化斷筋點!G761="","",最佳化斷筋點!G761)</f>
        <v>6</v>
      </c>
      <c r="AG761" s="37">
        <f>IF(最佳化斷筋點!H761="","",最佳化斷筋點!H761)</f>
        <v>5</v>
      </c>
      <c r="AH761" s="37">
        <f>IF(最佳化斷筋點!I761="","",最佳化斷筋點!I761)</f>
        <v>5</v>
      </c>
      <c r="AI761" s="37">
        <f>IF(最佳化斷筋點!J761="","",最佳化斷筋點!J761)</f>
        <v>4</v>
      </c>
      <c r="AJ761" s="37">
        <f>IF(最佳化斷筋點!K761="","",最佳化斷筋點!K761)</f>
        <v>4</v>
      </c>
      <c r="AK761" s="37">
        <f>IF(最佳化斷筋點!L761="","",最佳化斷筋點!L761)</f>
        <v>4</v>
      </c>
      <c r="AL761" s="37">
        <f>IF(最佳化斷筋點!M761="","",最佳化斷筋點!M761)</f>
        <v>4</v>
      </c>
      <c r="AM761" s="37">
        <f>IF(最佳化斷筋點!N761="","",最佳化斷筋點!N761)</f>
        <v>4</v>
      </c>
      <c r="AN761" s="37">
        <f>IF(最佳化斷筋點!O761="","",最佳化斷筋點!O761)</f>
        <v>4</v>
      </c>
      <c r="AO761" s="37">
        <f>IF(最佳化斷筋點!P761="","",最佳化斷筋點!P761)</f>
        <v>4</v>
      </c>
      <c r="AP761" s="37">
        <f>IF(最佳化斷筋點!Q761="","",最佳化斷筋點!Q761)</f>
        <v>4</v>
      </c>
      <c r="AQ761" s="37">
        <f>IF(最佳化斷筋點!R761="","",最佳化斷筋點!R761)</f>
        <v>4</v>
      </c>
      <c r="AR761" s="37">
        <f>IF(最佳化斷筋點!S761="","",最佳化斷筋點!S761)</f>
        <v>4</v>
      </c>
      <c r="AS761" s="37">
        <f>IF(最佳化斷筋點!T761="","",最佳化斷筋點!T761)</f>
        <v>5</v>
      </c>
      <c r="AT761" s="37">
        <f>IF(最佳化斷筋點!U761="","",最佳化斷筋點!U761)</f>
        <v>5</v>
      </c>
      <c r="AU761" s="37">
        <f>IF(最佳化斷筋點!V761="","",最佳化斷筋點!V761)</f>
        <v>6</v>
      </c>
      <c r="AV761" s="37">
        <f>IF(最佳化斷筋點!W761="","",最佳化斷筋點!W761)</f>
        <v>6</v>
      </c>
      <c r="AW761" s="37">
        <f>IF(最佳化斷筋點!X761="","",最佳化斷筋點!X761)</f>
        <v>6</v>
      </c>
      <c r="AZ761" s="37">
        <v>6</v>
      </c>
      <c r="BA761" s="37">
        <v>6</v>
      </c>
      <c r="BB761" s="37">
        <v>6</v>
      </c>
      <c r="BC761" s="37">
        <v>6</v>
      </c>
      <c r="BD761" s="37">
        <v>5</v>
      </c>
      <c r="BE761" s="37">
        <v>5</v>
      </c>
      <c r="BF761" s="37">
        <v>4</v>
      </c>
      <c r="BG761" s="37">
        <v>4</v>
      </c>
      <c r="BH761" s="37">
        <v>4</v>
      </c>
      <c r="BI761" s="37">
        <v>4</v>
      </c>
      <c r="BJ761" s="37">
        <v>4</v>
      </c>
      <c r="BK761" s="37">
        <v>4</v>
      </c>
      <c r="BL761" s="37">
        <v>4</v>
      </c>
      <c r="BM761" s="37">
        <v>4</v>
      </c>
      <c r="BN761" s="37">
        <v>4</v>
      </c>
      <c r="BO761" s="37">
        <v>4</v>
      </c>
      <c r="BP761" s="37">
        <v>5</v>
      </c>
      <c r="BQ761" s="37">
        <v>5</v>
      </c>
      <c r="BR761" s="37">
        <v>6</v>
      </c>
      <c r="BS761" s="37">
        <v>6</v>
      </c>
      <c r="BT761" s="37">
        <v>6</v>
      </c>
    </row>
    <row r="762" spans="5:72" x14ac:dyDescent="0.25">
      <c r="E762" s="36"/>
      <c r="F762" s="36">
        <f t="shared" si="253"/>
        <v>0</v>
      </c>
      <c r="G762" s="36">
        <f t="shared" si="254"/>
        <v>0</v>
      </c>
      <c r="H762" s="36">
        <f t="shared" si="255"/>
        <v>0</v>
      </c>
      <c r="I762" s="36">
        <f t="shared" si="256"/>
        <v>0</v>
      </c>
      <c r="J762" s="36">
        <f t="shared" si="257"/>
        <v>0</v>
      </c>
      <c r="K762" s="36">
        <f t="shared" si="258"/>
        <v>0</v>
      </c>
      <c r="L762" s="36">
        <f t="shared" si="259"/>
        <v>0</v>
      </c>
      <c r="M762" s="36">
        <f t="shared" si="260"/>
        <v>0</v>
      </c>
      <c r="N762" s="36">
        <f t="shared" si="261"/>
        <v>0</v>
      </c>
      <c r="O762" s="36">
        <f t="shared" si="262"/>
        <v>0</v>
      </c>
      <c r="P762" s="36">
        <f t="shared" si="263"/>
        <v>0</v>
      </c>
      <c r="Q762" s="36">
        <f t="shared" si="264"/>
        <v>0</v>
      </c>
      <c r="R762" s="36">
        <f t="shared" si="265"/>
        <v>0</v>
      </c>
      <c r="S762" s="36">
        <f t="shared" si="266"/>
        <v>0</v>
      </c>
      <c r="T762" s="36">
        <f t="shared" si="267"/>
        <v>0</v>
      </c>
      <c r="U762" s="36">
        <f t="shared" si="268"/>
        <v>0</v>
      </c>
      <c r="V762" s="36">
        <f t="shared" si="269"/>
        <v>0</v>
      </c>
      <c r="W762" s="36">
        <f t="shared" si="270"/>
        <v>0</v>
      </c>
      <c r="X762" s="36">
        <f t="shared" si="271"/>
        <v>0</v>
      </c>
      <c r="Y762" s="36">
        <f t="shared" si="272"/>
        <v>0</v>
      </c>
      <c r="Z762" s="36">
        <f t="shared" si="273"/>
        <v>0</v>
      </c>
      <c r="AB762" s="36" t="str">
        <f>IF(最佳化斷筋點!C762="","",最佳化斷筋點!C762)</f>
        <v/>
      </c>
      <c r="AC762" s="37" t="str">
        <f>IF(最佳化斷筋點!D762="","",最佳化斷筋點!D762)</f>
        <v/>
      </c>
      <c r="AD762" s="37" t="str">
        <f>IF(最佳化斷筋點!E762="","",最佳化斷筋點!E762)</f>
        <v/>
      </c>
      <c r="AE762" s="37" t="str">
        <f>IF(最佳化斷筋點!F762="","",最佳化斷筋點!F762)</f>
        <v/>
      </c>
      <c r="AF762" s="37" t="str">
        <f>IF(最佳化斷筋點!G762="","",最佳化斷筋點!G762)</f>
        <v/>
      </c>
      <c r="AG762" s="37" t="str">
        <f>IF(最佳化斷筋點!H762="","",最佳化斷筋點!H762)</f>
        <v/>
      </c>
      <c r="AH762" s="37" t="str">
        <f>IF(最佳化斷筋點!I762="","",最佳化斷筋點!I762)</f>
        <v/>
      </c>
      <c r="AI762" s="37" t="str">
        <f>IF(最佳化斷筋點!J762="","",最佳化斷筋點!J762)</f>
        <v/>
      </c>
      <c r="AJ762" s="37" t="str">
        <f>IF(最佳化斷筋點!K762="","",最佳化斷筋點!K762)</f>
        <v/>
      </c>
      <c r="AK762" s="37" t="str">
        <f>IF(最佳化斷筋點!L762="","",最佳化斷筋點!L762)</f>
        <v/>
      </c>
      <c r="AL762" s="37" t="str">
        <f>IF(最佳化斷筋點!M762="","",最佳化斷筋點!M762)</f>
        <v/>
      </c>
      <c r="AM762" s="37" t="str">
        <f>IF(最佳化斷筋點!N762="","",最佳化斷筋點!N762)</f>
        <v/>
      </c>
      <c r="AN762" s="37" t="str">
        <f>IF(最佳化斷筋點!O762="","",最佳化斷筋點!O762)</f>
        <v/>
      </c>
      <c r="AO762" s="37" t="str">
        <f>IF(最佳化斷筋點!P762="","",最佳化斷筋點!P762)</f>
        <v/>
      </c>
      <c r="AP762" s="37" t="str">
        <f>IF(最佳化斷筋點!Q762="","",最佳化斷筋點!Q762)</f>
        <v/>
      </c>
      <c r="AQ762" s="37" t="str">
        <f>IF(最佳化斷筋點!R762="","",最佳化斷筋點!R762)</f>
        <v/>
      </c>
      <c r="AR762" s="37" t="str">
        <f>IF(最佳化斷筋點!S762="","",最佳化斷筋點!S762)</f>
        <v/>
      </c>
      <c r="AS762" s="37" t="str">
        <f>IF(最佳化斷筋點!T762="","",最佳化斷筋點!T762)</f>
        <v/>
      </c>
      <c r="AT762" s="37" t="str">
        <f>IF(最佳化斷筋點!U762="","",最佳化斷筋點!U762)</f>
        <v/>
      </c>
      <c r="AU762" s="37" t="str">
        <f>IF(最佳化斷筋點!V762="","",最佳化斷筋點!V762)</f>
        <v/>
      </c>
      <c r="AV762" s="37" t="str">
        <f>IF(最佳化斷筋點!W762="","",最佳化斷筋點!W762)</f>
        <v/>
      </c>
      <c r="AW762" s="37" t="str">
        <f>IF(最佳化斷筋點!X762="","",最佳化斷筋點!X762)</f>
        <v/>
      </c>
      <c r="AZ762" s="37" t="s">
        <v>197</v>
      </c>
      <c r="BA762" s="37" t="s">
        <v>197</v>
      </c>
      <c r="BB762" s="37" t="s">
        <v>197</v>
      </c>
      <c r="BC762" s="37" t="s">
        <v>197</v>
      </c>
      <c r="BD762" s="37" t="s">
        <v>197</v>
      </c>
      <c r="BE762" s="37" t="s">
        <v>197</v>
      </c>
      <c r="BF762" s="37" t="s">
        <v>197</v>
      </c>
      <c r="BG762" s="37" t="s">
        <v>197</v>
      </c>
      <c r="BH762" s="37" t="s">
        <v>197</v>
      </c>
      <c r="BI762" s="37" t="s">
        <v>197</v>
      </c>
      <c r="BJ762" s="37" t="s">
        <v>197</v>
      </c>
      <c r="BK762" s="37" t="s">
        <v>197</v>
      </c>
      <c r="BL762" s="37" t="s">
        <v>197</v>
      </c>
      <c r="BM762" s="37" t="s">
        <v>197</v>
      </c>
      <c r="BN762" s="37" t="s">
        <v>197</v>
      </c>
      <c r="BO762" s="37" t="s">
        <v>197</v>
      </c>
      <c r="BP762" s="37" t="s">
        <v>197</v>
      </c>
      <c r="BQ762" s="37" t="s">
        <v>197</v>
      </c>
      <c r="BR762" s="37" t="s">
        <v>197</v>
      </c>
      <c r="BS762" s="37" t="s">
        <v>197</v>
      </c>
      <c r="BT762" s="37" t="s">
        <v>197</v>
      </c>
    </row>
    <row r="763" spans="5:72" x14ac:dyDescent="0.25">
      <c r="E763" s="36" t="s">
        <v>20</v>
      </c>
      <c r="F763" s="36">
        <f t="shared" si="253"/>
        <v>0</v>
      </c>
      <c r="G763" s="36">
        <f t="shared" si="254"/>
        <v>0</v>
      </c>
      <c r="H763" s="36">
        <f t="shared" si="255"/>
        <v>0</v>
      </c>
      <c r="I763" s="36">
        <f t="shared" si="256"/>
        <v>0</v>
      </c>
      <c r="J763" s="36">
        <f t="shared" si="257"/>
        <v>0</v>
      </c>
      <c r="K763" s="36">
        <f t="shared" si="258"/>
        <v>0</v>
      </c>
      <c r="L763" s="36">
        <f t="shared" si="259"/>
        <v>0</v>
      </c>
      <c r="M763" s="36">
        <f t="shared" si="260"/>
        <v>0</v>
      </c>
      <c r="N763" s="36">
        <f t="shared" si="261"/>
        <v>0</v>
      </c>
      <c r="O763" s="36">
        <f t="shared" si="262"/>
        <v>0</v>
      </c>
      <c r="P763" s="36">
        <f t="shared" si="263"/>
        <v>0</v>
      </c>
      <c r="Q763" s="36">
        <f t="shared" si="264"/>
        <v>0</v>
      </c>
      <c r="R763" s="36">
        <f t="shared" si="265"/>
        <v>0</v>
      </c>
      <c r="S763" s="36">
        <f t="shared" si="266"/>
        <v>0</v>
      </c>
      <c r="T763" s="36">
        <f t="shared" si="267"/>
        <v>0</v>
      </c>
      <c r="U763" s="36">
        <f t="shared" si="268"/>
        <v>0</v>
      </c>
      <c r="V763" s="36">
        <f t="shared" si="269"/>
        <v>0</v>
      </c>
      <c r="W763" s="36">
        <f t="shared" si="270"/>
        <v>0</v>
      </c>
      <c r="X763" s="36">
        <f t="shared" si="271"/>
        <v>0</v>
      </c>
      <c r="Y763" s="36">
        <f t="shared" si="272"/>
        <v>0</v>
      </c>
      <c r="Z763" s="36">
        <f t="shared" si="273"/>
        <v>0</v>
      </c>
      <c r="AB763" s="36" t="str">
        <f>IF(最佳化斷筋點!C763="","",最佳化斷筋點!C763)</f>
        <v>上層</v>
      </c>
      <c r="AC763" s="37">
        <f>IF(最佳化斷筋點!D763="","",最佳化斷筋點!D763)</f>
        <v>9</v>
      </c>
      <c r="AD763" s="37">
        <f>IF(最佳化斷筋點!E763="","",最佳化斷筋點!E763)</f>
        <v>9</v>
      </c>
      <c r="AE763" s="37">
        <f>IF(最佳化斷筋點!F763="","",最佳化斷筋點!F763)</f>
        <v>9</v>
      </c>
      <c r="AF763" s="37">
        <f>IF(最佳化斷筋點!G763="","",最佳化斷筋點!G763)</f>
        <v>9</v>
      </c>
      <c r="AG763" s="37">
        <f>IF(最佳化斷筋點!H763="","",最佳化斷筋點!H763)</f>
        <v>9</v>
      </c>
      <c r="AH763" s="37">
        <f>IF(最佳化斷筋點!I763="","",最佳化斷筋點!I763)</f>
        <v>9</v>
      </c>
      <c r="AI763" s="37">
        <f>IF(最佳化斷筋點!J763="","",最佳化斷筋點!J763)</f>
        <v>9</v>
      </c>
      <c r="AJ763" s="37">
        <f>IF(最佳化斷筋點!K763="","",最佳化斷筋點!K763)</f>
        <v>9</v>
      </c>
      <c r="AK763" s="37">
        <f>IF(最佳化斷筋點!L763="","",最佳化斷筋點!L763)</f>
        <v>8</v>
      </c>
      <c r="AL763" s="37">
        <f>IF(最佳化斷筋點!M763="","",最佳化斷筋點!M763)</f>
        <v>7</v>
      </c>
      <c r="AM763" s="37">
        <f>IF(最佳化斷筋點!N763="","",最佳化斷筋點!N763)</f>
        <v>6</v>
      </c>
      <c r="AN763" s="37">
        <f>IF(最佳化斷筋點!O763="","",最佳化斷筋點!O763)</f>
        <v>7</v>
      </c>
      <c r="AO763" s="37">
        <f>IF(最佳化斷筋點!P763="","",最佳化斷筋點!P763)</f>
        <v>8</v>
      </c>
      <c r="AP763" s="37">
        <f>IF(最佳化斷筋點!Q763="","",最佳化斷筋點!Q763)</f>
        <v>9</v>
      </c>
      <c r="AQ763" s="37">
        <f>IF(最佳化斷筋點!R763="","",最佳化斷筋點!R763)</f>
        <v>10</v>
      </c>
      <c r="AR763" s="37">
        <f>IF(最佳化斷筋點!S763="","",最佳化斷筋點!S763)</f>
        <v>10</v>
      </c>
      <c r="AS763" s="37">
        <f>IF(最佳化斷筋點!T763="","",最佳化斷筋點!T763)</f>
        <v>10</v>
      </c>
      <c r="AT763" s="37">
        <f>IF(最佳化斷筋點!U763="","",最佳化斷筋點!U763)</f>
        <v>10</v>
      </c>
      <c r="AU763" s="37">
        <f>IF(最佳化斷筋點!V763="","",最佳化斷筋點!V763)</f>
        <v>10</v>
      </c>
      <c r="AV763" s="37">
        <f>IF(最佳化斷筋點!W763="","",最佳化斷筋點!W763)</f>
        <v>10</v>
      </c>
      <c r="AW763" s="37">
        <f>IF(最佳化斷筋點!X763="","",最佳化斷筋點!X763)</f>
        <v>10</v>
      </c>
      <c r="AZ763" s="37">
        <v>9</v>
      </c>
      <c r="BA763" s="37">
        <v>9</v>
      </c>
      <c r="BB763" s="37">
        <v>9</v>
      </c>
      <c r="BC763" s="37">
        <v>9</v>
      </c>
      <c r="BD763" s="37">
        <v>9</v>
      </c>
      <c r="BE763" s="37">
        <v>9</v>
      </c>
      <c r="BF763" s="37">
        <v>9</v>
      </c>
      <c r="BG763" s="37">
        <v>9</v>
      </c>
      <c r="BH763" s="37">
        <v>8</v>
      </c>
      <c r="BI763" s="37">
        <v>7</v>
      </c>
      <c r="BJ763" s="37">
        <v>6</v>
      </c>
      <c r="BK763" s="37">
        <v>7</v>
      </c>
      <c r="BL763" s="37">
        <v>8</v>
      </c>
      <c r="BM763" s="37">
        <v>9</v>
      </c>
      <c r="BN763" s="37">
        <v>10</v>
      </c>
      <c r="BO763" s="37">
        <v>10</v>
      </c>
      <c r="BP763" s="37">
        <v>10</v>
      </c>
      <c r="BQ763" s="37">
        <v>10</v>
      </c>
      <c r="BR763" s="37">
        <v>10</v>
      </c>
      <c r="BS763" s="37">
        <v>10</v>
      </c>
      <c r="BT763" s="37">
        <v>10</v>
      </c>
    </row>
    <row r="764" spans="5:72" x14ac:dyDescent="0.25">
      <c r="E764" s="36"/>
      <c r="F764" s="36">
        <f t="shared" si="253"/>
        <v>0</v>
      </c>
      <c r="G764" s="36">
        <f t="shared" si="254"/>
        <v>0</v>
      </c>
      <c r="H764" s="36">
        <f t="shared" si="255"/>
        <v>0</v>
      </c>
      <c r="I764" s="36">
        <f t="shared" si="256"/>
        <v>0</v>
      </c>
      <c r="J764" s="36">
        <f t="shared" si="257"/>
        <v>0</v>
      </c>
      <c r="K764" s="36">
        <f t="shared" si="258"/>
        <v>0</v>
      </c>
      <c r="L764" s="36">
        <f t="shared" si="259"/>
        <v>0</v>
      </c>
      <c r="M764" s="36">
        <f t="shared" si="260"/>
        <v>0</v>
      </c>
      <c r="N764" s="36">
        <f t="shared" si="261"/>
        <v>0</v>
      </c>
      <c r="O764" s="36">
        <f t="shared" si="262"/>
        <v>0</v>
      </c>
      <c r="P764" s="36">
        <f t="shared" si="263"/>
        <v>0</v>
      </c>
      <c r="Q764" s="36">
        <f t="shared" si="264"/>
        <v>0</v>
      </c>
      <c r="R764" s="36">
        <f t="shared" si="265"/>
        <v>0</v>
      </c>
      <c r="S764" s="36">
        <f t="shared" si="266"/>
        <v>0</v>
      </c>
      <c r="T764" s="36">
        <f t="shared" si="267"/>
        <v>0</v>
      </c>
      <c r="U764" s="36">
        <f t="shared" si="268"/>
        <v>0</v>
      </c>
      <c r="V764" s="36">
        <f t="shared" si="269"/>
        <v>0</v>
      </c>
      <c r="W764" s="36">
        <f t="shared" si="270"/>
        <v>0</v>
      </c>
      <c r="X764" s="36">
        <f t="shared" si="271"/>
        <v>0</v>
      </c>
      <c r="Y764" s="36">
        <f t="shared" si="272"/>
        <v>0</v>
      </c>
      <c r="Z764" s="36">
        <f t="shared" si="273"/>
        <v>0</v>
      </c>
      <c r="AB764" s="36" t="str">
        <f>IF(最佳化斷筋點!C764="","",最佳化斷筋點!C764)</f>
        <v/>
      </c>
      <c r="AC764" s="37" t="str">
        <f>IF(最佳化斷筋點!D764="","",最佳化斷筋點!D764)</f>
        <v/>
      </c>
      <c r="AD764" s="37" t="str">
        <f>IF(最佳化斷筋點!E764="","",最佳化斷筋點!E764)</f>
        <v/>
      </c>
      <c r="AE764" s="37" t="str">
        <f>IF(最佳化斷筋點!F764="","",最佳化斷筋點!F764)</f>
        <v/>
      </c>
      <c r="AF764" s="37" t="str">
        <f>IF(最佳化斷筋點!G764="","",最佳化斷筋點!G764)</f>
        <v/>
      </c>
      <c r="AG764" s="37" t="str">
        <f>IF(最佳化斷筋點!H764="","",最佳化斷筋點!H764)</f>
        <v/>
      </c>
      <c r="AH764" s="37" t="str">
        <f>IF(最佳化斷筋點!I764="","",最佳化斷筋點!I764)</f>
        <v/>
      </c>
      <c r="AI764" s="37" t="str">
        <f>IF(最佳化斷筋點!J764="","",最佳化斷筋點!J764)</f>
        <v/>
      </c>
      <c r="AJ764" s="37" t="str">
        <f>IF(最佳化斷筋點!K764="","",最佳化斷筋點!K764)</f>
        <v/>
      </c>
      <c r="AK764" s="37" t="str">
        <f>IF(最佳化斷筋點!L764="","",最佳化斷筋點!L764)</f>
        <v/>
      </c>
      <c r="AL764" s="37" t="str">
        <f>IF(最佳化斷筋點!M764="","",最佳化斷筋點!M764)</f>
        <v/>
      </c>
      <c r="AM764" s="37" t="str">
        <f>IF(最佳化斷筋點!N764="","",最佳化斷筋點!N764)</f>
        <v/>
      </c>
      <c r="AN764" s="37" t="str">
        <f>IF(最佳化斷筋點!O764="","",最佳化斷筋點!O764)</f>
        <v/>
      </c>
      <c r="AO764" s="37" t="str">
        <f>IF(最佳化斷筋點!P764="","",最佳化斷筋點!P764)</f>
        <v/>
      </c>
      <c r="AP764" s="37" t="str">
        <f>IF(最佳化斷筋點!Q764="","",最佳化斷筋點!Q764)</f>
        <v/>
      </c>
      <c r="AQ764" s="37" t="str">
        <f>IF(最佳化斷筋點!R764="","",最佳化斷筋點!R764)</f>
        <v/>
      </c>
      <c r="AR764" s="37" t="str">
        <f>IF(最佳化斷筋點!S764="","",最佳化斷筋點!S764)</f>
        <v/>
      </c>
      <c r="AS764" s="37" t="str">
        <f>IF(最佳化斷筋點!T764="","",最佳化斷筋點!T764)</f>
        <v/>
      </c>
      <c r="AT764" s="37" t="str">
        <f>IF(最佳化斷筋點!U764="","",最佳化斷筋點!U764)</f>
        <v/>
      </c>
      <c r="AU764" s="37" t="str">
        <f>IF(最佳化斷筋點!V764="","",最佳化斷筋點!V764)</f>
        <v/>
      </c>
      <c r="AV764" s="37" t="str">
        <f>IF(最佳化斷筋點!W764="","",最佳化斷筋點!W764)</f>
        <v/>
      </c>
      <c r="AW764" s="37" t="str">
        <f>IF(最佳化斷筋點!X764="","",最佳化斷筋點!X764)</f>
        <v/>
      </c>
      <c r="AZ764" s="37" t="s">
        <v>197</v>
      </c>
      <c r="BA764" s="37" t="s">
        <v>197</v>
      </c>
      <c r="BB764" s="37" t="s">
        <v>197</v>
      </c>
      <c r="BC764" s="37" t="s">
        <v>197</v>
      </c>
      <c r="BD764" s="37" t="s">
        <v>197</v>
      </c>
      <c r="BE764" s="37" t="s">
        <v>197</v>
      </c>
      <c r="BF764" s="37" t="s">
        <v>197</v>
      </c>
      <c r="BG764" s="37" t="s">
        <v>197</v>
      </c>
      <c r="BH764" s="37" t="s">
        <v>197</v>
      </c>
      <c r="BI764" s="37" t="s">
        <v>197</v>
      </c>
      <c r="BJ764" s="37" t="s">
        <v>197</v>
      </c>
      <c r="BK764" s="37" t="s">
        <v>197</v>
      </c>
      <c r="BL764" s="37" t="s">
        <v>197</v>
      </c>
      <c r="BM764" s="37" t="s">
        <v>197</v>
      </c>
      <c r="BN764" s="37" t="s">
        <v>197</v>
      </c>
      <c r="BO764" s="37" t="s">
        <v>197</v>
      </c>
      <c r="BP764" s="37" t="s">
        <v>197</v>
      </c>
      <c r="BQ764" s="37" t="s">
        <v>197</v>
      </c>
      <c r="BR764" s="37" t="s">
        <v>197</v>
      </c>
      <c r="BS764" s="37" t="s">
        <v>197</v>
      </c>
      <c r="BT764" s="37" t="s">
        <v>197</v>
      </c>
    </row>
    <row r="765" spans="5:72" x14ac:dyDescent="0.25">
      <c r="E765" s="36" t="s">
        <v>21</v>
      </c>
      <c r="F765" s="36">
        <f t="shared" si="253"/>
        <v>0</v>
      </c>
      <c r="G765" s="36">
        <f t="shared" si="254"/>
        <v>0</v>
      </c>
      <c r="H765" s="36">
        <f t="shared" si="255"/>
        <v>0</v>
      </c>
      <c r="I765" s="36">
        <f t="shared" si="256"/>
        <v>0</v>
      </c>
      <c r="J765" s="36">
        <f t="shared" si="257"/>
        <v>0</v>
      </c>
      <c r="K765" s="36">
        <f t="shared" si="258"/>
        <v>0</v>
      </c>
      <c r="L765" s="36">
        <f t="shared" si="259"/>
        <v>0</v>
      </c>
      <c r="M765" s="36">
        <f t="shared" si="260"/>
        <v>0</v>
      </c>
      <c r="N765" s="36">
        <f t="shared" si="261"/>
        <v>0</v>
      </c>
      <c r="O765" s="36">
        <f t="shared" si="262"/>
        <v>0</v>
      </c>
      <c r="P765" s="36">
        <f t="shared" si="263"/>
        <v>0</v>
      </c>
      <c r="Q765" s="36">
        <f t="shared" si="264"/>
        <v>0</v>
      </c>
      <c r="R765" s="36">
        <f t="shared" si="265"/>
        <v>0</v>
      </c>
      <c r="S765" s="36">
        <f t="shared" si="266"/>
        <v>0</v>
      </c>
      <c r="T765" s="36">
        <f t="shared" si="267"/>
        <v>0</v>
      </c>
      <c r="U765" s="36">
        <f t="shared" si="268"/>
        <v>0</v>
      </c>
      <c r="V765" s="36">
        <f t="shared" si="269"/>
        <v>0</v>
      </c>
      <c r="W765" s="36">
        <f t="shared" si="270"/>
        <v>0</v>
      </c>
      <c r="X765" s="36">
        <f t="shared" si="271"/>
        <v>0</v>
      </c>
      <c r="Y765" s="36">
        <f t="shared" si="272"/>
        <v>0</v>
      </c>
      <c r="Z765" s="36">
        <f t="shared" si="273"/>
        <v>0</v>
      </c>
      <c r="AB765" s="36" t="str">
        <f>IF(最佳化斷筋點!C765="","",最佳化斷筋點!C765)</f>
        <v>下層</v>
      </c>
      <c r="AC765" s="37">
        <f>IF(最佳化斷筋點!D765="","",最佳化斷筋點!D765)</f>
        <v>13</v>
      </c>
      <c r="AD765" s="37">
        <f>IF(最佳化斷筋點!E765="","",最佳化斷筋點!E765)</f>
        <v>13</v>
      </c>
      <c r="AE765" s="37">
        <f>IF(最佳化斷筋點!F765="","",最佳化斷筋點!F765)</f>
        <v>13</v>
      </c>
      <c r="AF765" s="37">
        <f>IF(最佳化斷筋點!G765="","",最佳化斷筋點!G765)</f>
        <v>13</v>
      </c>
      <c r="AG765" s="37">
        <f>IF(最佳化斷筋點!H765="","",最佳化斷筋點!H765)</f>
        <v>13</v>
      </c>
      <c r="AH765" s="37">
        <f>IF(最佳化斷筋點!I765="","",最佳化斷筋點!I765)</f>
        <v>13</v>
      </c>
      <c r="AI765" s="37">
        <f>IF(最佳化斷筋點!J765="","",最佳化斷筋點!J765)</f>
        <v>13</v>
      </c>
      <c r="AJ765" s="37">
        <f>IF(最佳化斷筋點!K765="","",最佳化斷筋點!K765)</f>
        <v>13</v>
      </c>
      <c r="AK765" s="37">
        <f>IF(最佳化斷筋點!L765="","",最佳化斷筋點!L765)</f>
        <v>13</v>
      </c>
      <c r="AL765" s="37">
        <f>IF(最佳化斷筋點!M765="","",最佳化斷筋點!M765)</f>
        <v>13</v>
      </c>
      <c r="AM765" s="37">
        <f>IF(最佳化斷筋點!N765="","",最佳化斷筋點!N765)</f>
        <v>13</v>
      </c>
      <c r="AN765" s="37">
        <f>IF(最佳化斷筋點!O765="","",最佳化斷筋點!O765)</f>
        <v>13</v>
      </c>
      <c r="AO765" s="37">
        <f>IF(最佳化斷筋點!P765="","",最佳化斷筋點!P765)</f>
        <v>13</v>
      </c>
      <c r="AP765" s="37">
        <f>IF(最佳化斷筋點!Q765="","",最佳化斷筋點!Q765)</f>
        <v>13</v>
      </c>
      <c r="AQ765" s="37">
        <f>IF(最佳化斷筋點!R765="","",最佳化斷筋點!R765)</f>
        <v>13</v>
      </c>
      <c r="AR765" s="37">
        <f>IF(最佳化斷筋點!S765="","",最佳化斷筋點!S765)</f>
        <v>13</v>
      </c>
      <c r="AS765" s="37">
        <f>IF(最佳化斷筋點!T765="","",最佳化斷筋點!T765)</f>
        <v>13</v>
      </c>
      <c r="AT765" s="37">
        <f>IF(最佳化斷筋點!U765="","",最佳化斷筋點!U765)</f>
        <v>13</v>
      </c>
      <c r="AU765" s="37">
        <f>IF(最佳化斷筋點!V765="","",最佳化斷筋點!V765)</f>
        <v>12</v>
      </c>
      <c r="AV765" s="37">
        <f>IF(最佳化斷筋點!W765="","",最佳化斷筋點!W765)</f>
        <v>12</v>
      </c>
      <c r="AW765" s="37">
        <f>IF(最佳化斷筋點!X765="","",最佳化斷筋點!X765)</f>
        <v>12</v>
      </c>
      <c r="AZ765" s="37">
        <v>13</v>
      </c>
      <c r="BA765" s="37">
        <v>13</v>
      </c>
      <c r="BB765" s="37">
        <v>13</v>
      </c>
      <c r="BC765" s="37">
        <v>13</v>
      </c>
      <c r="BD765" s="37">
        <v>13</v>
      </c>
      <c r="BE765" s="37">
        <v>13</v>
      </c>
      <c r="BF765" s="37">
        <v>13</v>
      </c>
      <c r="BG765" s="37">
        <v>13</v>
      </c>
      <c r="BH765" s="37">
        <v>13</v>
      </c>
      <c r="BI765" s="37">
        <v>13</v>
      </c>
      <c r="BJ765" s="37">
        <v>13</v>
      </c>
      <c r="BK765" s="37">
        <v>13</v>
      </c>
      <c r="BL765" s="37">
        <v>13</v>
      </c>
      <c r="BM765" s="37">
        <v>13</v>
      </c>
      <c r="BN765" s="37">
        <v>13</v>
      </c>
      <c r="BO765" s="37">
        <v>13</v>
      </c>
      <c r="BP765" s="37">
        <v>13</v>
      </c>
      <c r="BQ765" s="37">
        <v>13</v>
      </c>
      <c r="BR765" s="37">
        <v>12</v>
      </c>
      <c r="BS765" s="37">
        <v>12</v>
      </c>
      <c r="BT765" s="37">
        <v>12</v>
      </c>
    </row>
    <row r="766" spans="5:72" x14ac:dyDescent="0.25">
      <c r="E766" s="36"/>
      <c r="F766" s="36">
        <f t="shared" si="253"/>
        <v>0</v>
      </c>
      <c r="G766" s="36">
        <f t="shared" si="254"/>
        <v>0</v>
      </c>
      <c r="H766" s="36">
        <f t="shared" si="255"/>
        <v>0</v>
      </c>
      <c r="I766" s="36">
        <f t="shared" si="256"/>
        <v>0</v>
      </c>
      <c r="J766" s="36">
        <f t="shared" si="257"/>
        <v>0</v>
      </c>
      <c r="K766" s="36">
        <f t="shared" si="258"/>
        <v>0</v>
      </c>
      <c r="L766" s="36">
        <f t="shared" si="259"/>
        <v>0</v>
      </c>
      <c r="M766" s="36">
        <f t="shared" si="260"/>
        <v>0</v>
      </c>
      <c r="N766" s="36">
        <f t="shared" si="261"/>
        <v>0</v>
      </c>
      <c r="O766" s="36">
        <f t="shared" si="262"/>
        <v>0</v>
      </c>
      <c r="P766" s="36">
        <f t="shared" si="263"/>
        <v>0</v>
      </c>
      <c r="Q766" s="36">
        <f t="shared" si="264"/>
        <v>0</v>
      </c>
      <c r="R766" s="36">
        <f t="shared" si="265"/>
        <v>0</v>
      </c>
      <c r="S766" s="36">
        <f t="shared" si="266"/>
        <v>0</v>
      </c>
      <c r="T766" s="36">
        <f t="shared" si="267"/>
        <v>0</v>
      </c>
      <c r="U766" s="36">
        <f t="shared" si="268"/>
        <v>0</v>
      </c>
      <c r="V766" s="36">
        <f t="shared" si="269"/>
        <v>0</v>
      </c>
      <c r="W766" s="36">
        <f t="shared" si="270"/>
        <v>0</v>
      </c>
      <c r="X766" s="36">
        <f t="shared" si="271"/>
        <v>0</v>
      </c>
      <c r="Y766" s="36">
        <f t="shared" si="272"/>
        <v>0</v>
      </c>
      <c r="Z766" s="36">
        <f t="shared" si="273"/>
        <v>0</v>
      </c>
      <c r="AB766" s="36" t="str">
        <f>IF(最佳化斷筋點!C766="","",最佳化斷筋點!C766)</f>
        <v/>
      </c>
      <c r="AC766" s="37" t="str">
        <f>IF(最佳化斷筋點!D766="","",最佳化斷筋點!D766)</f>
        <v/>
      </c>
      <c r="AD766" s="37" t="str">
        <f>IF(最佳化斷筋點!E766="","",最佳化斷筋點!E766)</f>
        <v/>
      </c>
      <c r="AE766" s="37" t="str">
        <f>IF(最佳化斷筋點!F766="","",最佳化斷筋點!F766)</f>
        <v/>
      </c>
      <c r="AF766" s="37" t="str">
        <f>IF(最佳化斷筋點!G766="","",最佳化斷筋點!G766)</f>
        <v/>
      </c>
      <c r="AG766" s="37" t="str">
        <f>IF(最佳化斷筋點!H766="","",最佳化斷筋點!H766)</f>
        <v/>
      </c>
      <c r="AH766" s="37" t="str">
        <f>IF(最佳化斷筋點!I766="","",最佳化斷筋點!I766)</f>
        <v/>
      </c>
      <c r="AI766" s="37" t="str">
        <f>IF(最佳化斷筋點!J766="","",最佳化斷筋點!J766)</f>
        <v/>
      </c>
      <c r="AJ766" s="37" t="str">
        <f>IF(最佳化斷筋點!K766="","",最佳化斷筋點!K766)</f>
        <v/>
      </c>
      <c r="AK766" s="37" t="str">
        <f>IF(最佳化斷筋點!L766="","",最佳化斷筋點!L766)</f>
        <v/>
      </c>
      <c r="AL766" s="37" t="str">
        <f>IF(最佳化斷筋點!M766="","",最佳化斷筋點!M766)</f>
        <v/>
      </c>
      <c r="AM766" s="37" t="str">
        <f>IF(最佳化斷筋點!N766="","",最佳化斷筋點!N766)</f>
        <v/>
      </c>
      <c r="AN766" s="37" t="str">
        <f>IF(最佳化斷筋點!O766="","",最佳化斷筋點!O766)</f>
        <v/>
      </c>
      <c r="AO766" s="37" t="str">
        <f>IF(最佳化斷筋點!P766="","",最佳化斷筋點!P766)</f>
        <v/>
      </c>
      <c r="AP766" s="37" t="str">
        <f>IF(最佳化斷筋點!Q766="","",最佳化斷筋點!Q766)</f>
        <v/>
      </c>
      <c r="AQ766" s="37" t="str">
        <f>IF(最佳化斷筋點!R766="","",最佳化斷筋點!R766)</f>
        <v/>
      </c>
      <c r="AR766" s="37" t="str">
        <f>IF(最佳化斷筋點!S766="","",最佳化斷筋點!S766)</f>
        <v/>
      </c>
      <c r="AS766" s="37" t="str">
        <f>IF(最佳化斷筋點!T766="","",最佳化斷筋點!T766)</f>
        <v/>
      </c>
      <c r="AT766" s="37" t="str">
        <f>IF(最佳化斷筋點!U766="","",最佳化斷筋點!U766)</f>
        <v/>
      </c>
      <c r="AU766" s="37" t="str">
        <f>IF(最佳化斷筋點!V766="","",最佳化斷筋點!V766)</f>
        <v/>
      </c>
      <c r="AV766" s="37" t="str">
        <f>IF(最佳化斷筋點!W766="","",最佳化斷筋點!W766)</f>
        <v/>
      </c>
      <c r="AW766" s="37" t="str">
        <f>IF(最佳化斷筋點!X766="","",最佳化斷筋點!X766)</f>
        <v/>
      </c>
      <c r="AZ766" s="37" t="s">
        <v>197</v>
      </c>
      <c r="BA766" s="37" t="s">
        <v>197</v>
      </c>
      <c r="BB766" s="37" t="s">
        <v>197</v>
      </c>
      <c r="BC766" s="37" t="s">
        <v>197</v>
      </c>
      <c r="BD766" s="37" t="s">
        <v>197</v>
      </c>
      <c r="BE766" s="37" t="s">
        <v>197</v>
      </c>
      <c r="BF766" s="37" t="s">
        <v>197</v>
      </c>
      <c r="BG766" s="37" t="s">
        <v>197</v>
      </c>
      <c r="BH766" s="37" t="s">
        <v>197</v>
      </c>
      <c r="BI766" s="37" t="s">
        <v>197</v>
      </c>
      <c r="BJ766" s="37" t="s">
        <v>197</v>
      </c>
      <c r="BK766" s="37" t="s">
        <v>197</v>
      </c>
      <c r="BL766" s="37" t="s">
        <v>197</v>
      </c>
      <c r="BM766" s="37" t="s">
        <v>197</v>
      </c>
      <c r="BN766" s="37" t="s">
        <v>197</v>
      </c>
      <c r="BO766" s="37" t="s">
        <v>197</v>
      </c>
      <c r="BP766" s="37" t="s">
        <v>197</v>
      </c>
      <c r="BQ766" s="37" t="s">
        <v>197</v>
      </c>
      <c r="BR766" s="37" t="s">
        <v>197</v>
      </c>
      <c r="BS766" s="37" t="s">
        <v>197</v>
      </c>
      <c r="BT766" s="37" t="s">
        <v>197</v>
      </c>
    </row>
    <row r="767" spans="5:72" x14ac:dyDescent="0.25">
      <c r="E767" s="36" t="s">
        <v>20</v>
      </c>
      <c r="F767" s="36">
        <f t="shared" si="253"/>
        <v>0</v>
      </c>
      <c r="G767" s="36">
        <f t="shared" si="254"/>
        <v>0</v>
      </c>
      <c r="H767" s="36">
        <f t="shared" si="255"/>
        <v>0</v>
      </c>
      <c r="I767" s="36">
        <f t="shared" si="256"/>
        <v>0</v>
      </c>
      <c r="J767" s="36">
        <f t="shared" si="257"/>
        <v>0</v>
      </c>
      <c r="K767" s="36">
        <f t="shared" si="258"/>
        <v>0</v>
      </c>
      <c r="L767" s="36">
        <f t="shared" si="259"/>
        <v>0</v>
      </c>
      <c r="M767" s="36">
        <f t="shared" si="260"/>
        <v>0</v>
      </c>
      <c r="N767" s="36">
        <f t="shared" si="261"/>
        <v>0</v>
      </c>
      <c r="O767" s="36">
        <f t="shared" si="262"/>
        <v>0</v>
      </c>
      <c r="P767" s="36">
        <f t="shared" si="263"/>
        <v>0</v>
      </c>
      <c r="Q767" s="36">
        <f t="shared" si="264"/>
        <v>0</v>
      </c>
      <c r="R767" s="36">
        <f t="shared" si="265"/>
        <v>0</v>
      </c>
      <c r="S767" s="36">
        <f t="shared" si="266"/>
        <v>0</v>
      </c>
      <c r="T767" s="36">
        <f t="shared" si="267"/>
        <v>0</v>
      </c>
      <c r="U767" s="36">
        <f t="shared" si="268"/>
        <v>0</v>
      </c>
      <c r="V767" s="36">
        <f t="shared" si="269"/>
        <v>0</v>
      </c>
      <c r="W767" s="36">
        <f t="shared" si="270"/>
        <v>0</v>
      </c>
      <c r="X767" s="36">
        <f t="shared" si="271"/>
        <v>0</v>
      </c>
      <c r="Y767" s="36">
        <f t="shared" si="272"/>
        <v>0</v>
      </c>
      <c r="Z767" s="36">
        <f t="shared" si="273"/>
        <v>0</v>
      </c>
      <c r="AB767" s="36" t="str">
        <f>IF(最佳化斷筋點!C767="","",最佳化斷筋點!C767)</f>
        <v>上層</v>
      </c>
      <c r="AC767" s="37">
        <f>IF(最佳化斷筋點!D767="","",最佳化斷筋點!D767)</f>
        <v>8</v>
      </c>
      <c r="AD767" s="37">
        <f>IF(最佳化斷筋點!E767="","",最佳化斷筋點!E767)</f>
        <v>8</v>
      </c>
      <c r="AE767" s="37">
        <f>IF(最佳化斷筋點!F767="","",最佳化斷筋點!F767)</f>
        <v>8</v>
      </c>
      <c r="AF767" s="37">
        <f>IF(最佳化斷筋點!G767="","",最佳化斷筋點!G767)</f>
        <v>8</v>
      </c>
      <c r="AG767" s="37">
        <f>IF(最佳化斷筋點!H767="","",最佳化斷筋點!H767)</f>
        <v>8</v>
      </c>
      <c r="AH767" s="37">
        <f>IF(最佳化斷筋點!I767="","",最佳化斷筋點!I767)</f>
        <v>8</v>
      </c>
      <c r="AI767" s="37">
        <f>IF(最佳化斷筋點!J767="","",最佳化斷筋點!J767)</f>
        <v>8</v>
      </c>
      <c r="AJ767" s="37">
        <f>IF(最佳化斷筋點!K767="","",最佳化斷筋點!K767)</f>
        <v>8</v>
      </c>
      <c r="AK767" s="37">
        <f>IF(最佳化斷筋點!L767="","",最佳化斷筋點!L767)</f>
        <v>7</v>
      </c>
      <c r="AL767" s="37">
        <f>IF(最佳化斷筋點!M767="","",最佳化斷筋點!M767)</f>
        <v>6</v>
      </c>
      <c r="AM767" s="37">
        <f>IF(最佳化斷筋點!N767="","",最佳化斷筋點!N767)</f>
        <v>6</v>
      </c>
      <c r="AN767" s="37">
        <f>IF(最佳化斷筋點!O767="","",最佳化斷筋點!O767)</f>
        <v>6</v>
      </c>
      <c r="AO767" s="37">
        <f>IF(最佳化斷筋點!P767="","",最佳化斷筋點!P767)</f>
        <v>7</v>
      </c>
      <c r="AP767" s="37">
        <f>IF(最佳化斷筋點!Q767="","",最佳化斷筋點!Q767)</f>
        <v>8</v>
      </c>
      <c r="AQ767" s="37">
        <f>IF(最佳化斷筋點!R767="","",最佳化斷筋點!R767)</f>
        <v>9</v>
      </c>
      <c r="AR767" s="37">
        <f>IF(最佳化斷筋點!S767="","",最佳化斷筋點!S767)</f>
        <v>9</v>
      </c>
      <c r="AS767" s="37">
        <f>IF(最佳化斷筋點!T767="","",最佳化斷筋點!T767)</f>
        <v>9</v>
      </c>
      <c r="AT767" s="37">
        <f>IF(最佳化斷筋點!U767="","",最佳化斷筋點!U767)</f>
        <v>9</v>
      </c>
      <c r="AU767" s="37">
        <f>IF(最佳化斷筋點!V767="","",最佳化斷筋點!V767)</f>
        <v>9</v>
      </c>
      <c r="AV767" s="37">
        <f>IF(最佳化斷筋點!W767="","",最佳化斷筋點!W767)</f>
        <v>9</v>
      </c>
      <c r="AW767" s="37">
        <f>IF(最佳化斷筋點!X767="","",最佳化斷筋點!X767)</f>
        <v>9</v>
      </c>
      <c r="AZ767" s="37">
        <v>8</v>
      </c>
      <c r="BA767" s="37">
        <v>8</v>
      </c>
      <c r="BB767" s="37">
        <v>8</v>
      </c>
      <c r="BC767" s="37">
        <v>8</v>
      </c>
      <c r="BD767" s="37">
        <v>8</v>
      </c>
      <c r="BE767" s="37">
        <v>8</v>
      </c>
      <c r="BF767" s="37">
        <v>8</v>
      </c>
      <c r="BG767" s="37">
        <v>8</v>
      </c>
      <c r="BH767" s="37">
        <v>7</v>
      </c>
      <c r="BI767" s="37">
        <v>6</v>
      </c>
      <c r="BJ767" s="37">
        <v>6</v>
      </c>
      <c r="BK767" s="37">
        <v>6</v>
      </c>
      <c r="BL767" s="37">
        <v>7</v>
      </c>
      <c r="BM767" s="37">
        <v>8</v>
      </c>
      <c r="BN767" s="37">
        <v>9</v>
      </c>
      <c r="BO767" s="37">
        <v>9</v>
      </c>
      <c r="BP767" s="37">
        <v>9</v>
      </c>
      <c r="BQ767" s="37">
        <v>9</v>
      </c>
      <c r="BR767" s="37">
        <v>9</v>
      </c>
      <c r="BS767" s="37">
        <v>9</v>
      </c>
      <c r="BT767" s="37">
        <v>9</v>
      </c>
    </row>
    <row r="768" spans="5:72" x14ac:dyDescent="0.25">
      <c r="E768" s="36"/>
      <c r="F768" s="36">
        <f t="shared" si="253"/>
        <v>0</v>
      </c>
      <c r="G768" s="36">
        <f t="shared" si="254"/>
        <v>0</v>
      </c>
      <c r="H768" s="36">
        <f t="shared" si="255"/>
        <v>0</v>
      </c>
      <c r="I768" s="36">
        <f t="shared" si="256"/>
        <v>0</v>
      </c>
      <c r="J768" s="36">
        <f t="shared" si="257"/>
        <v>0</v>
      </c>
      <c r="K768" s="36">
        <f t="shared" si="258"/>
        <v>0</v>
      </c>
      <c r="L768" s="36">
        <f t="shared" si="259"/>
        <v>0</v>
      </c>
      <c r="M768" s="36">
        <f t="shared" si="260"/>
        <v>0</v>
      </c>
      <c r="N768" s="36">
        <f t="shared" si="261"/>
        <v>0</v>
      </c>
      <c r="O768" s="36">
        <f t="shared" si="262"/>
        <v>0</v>
      </c>
      <c r="P768" s="36">
        <f t="shared" si="263"/>
        <v>0</v>
      </c>
      <c r="Q768" s="36">
        <f t="shared" si="264"/>
        <v>0</v>
      </c>
      <c r="R768" s="36">
        <f t="shared" si="265"/>
        <v>0</v>
      </c>
      <c r="S768" s="36">
        <f t="shared" si="266"/>
        <v>0</v>
      </c>
      <c r="T768" s="36">
        <f t="shared" si="267"/>
        <v>0</v>
      </c>
      <c r="U768" s="36">
        <f t="shared" si="268"/>
        <v>0</v>
      </c>
      <c r="V768" s="36">
        <f t="shared" si="269"/>
        <v>0</v>
      </c>
      <c r="W768" s="36">
        <f t="shared" si="270"/>
        <v>0</v>
      </c>
      <c r="X768" s="36">
        <f t="shared" si="271"/>
        <v>0</v>
      </c>
      <c r="Y768" s="36">
        <f t="shared" si="272"/>
        <v>0</v>
      </c>
      <c r="Z768" s="36">
        <f t="shared" si="273"/>
        <v>0</v>
      </c>
      <c r="AB768" s="36" t="str">
        <f>IF(最佳化斷筋點!C768="","",最佳化斷筋點!C768)</f>
        <v/>
      </c>
      <c r="AC768" s="37" t="str">
        <f>IF(最佳化斷筋點!D768="","",最佳化斷筋點!D768)</f>
        <v/>
      </c>
      <c r="AD768" s="37" t="str">
        <f>IF(最佳化斷筋點!E768="","",最佳化斷筋點!E768)</f>
        <v/>
      </c>
      <c r="AE768" s="37" t="str">
        <f>IF(最佳化斷筋點!F768="","",最佳化斷筋點!F768)</f>
        <v/>
      </c>
      <c r="AF768" s="37" t="str">
        <f>IF(最佳化斷筋點!G768="","",最佳化斷筋點!G768)</f>
        <v/>
      </c>
      <c r="AG768" s="37" t="str">
        <f>IF(最佳化斷筋點!H768="","",最佳化斷筋點!H768)</f>
        <v/>
      </c>
      <c r="AH768" s="37" t="str">
        <f>IF(最佳化斷筋點!I768="","",最佳化斷筋點!I768)</f>
        <v/>
      </c>
      <c r="AI768" s="37" t="str">
        <f>IF(最佳化斷筋點!J768="","",最佳化斷筋點!J768)</f>
        <v/>
      </c>
      <c r="AJ768" s="37" t="str">
        <f>IF(最佳化斷筋點!K768="","",最佳化斷筋點!K768)</f>
        <v/>
      </c>
      <c r="AK768" s="37" t="str">
        <f>IF(最佳化斷筋點!L768="","",最佳化斷筋點!L768)</f>
        <v/>
      </c>
      <c r="AL768" s="37" t="str">
        <f>IF(最佳化斷筋點!M768="","",最佳化斷筋點!M768)</f>
        <v/>
      </c>
      <c r="AM768" s="37" t="str">
        <f>IF(最佳化斷筋點!N768="","",最佳化斷筋點!N768)</f>
        <v/>
      </c>
      <c r="AN768" s="37" t="str">
        <f>IF(最佳化斷筋點!O768="","",最佳化斷筋點!O768)</f>
        <v/>
      </c>
      <c r="AO768" s="37" t="str">
        <f>IF(最佳化斷筋點!P768="","",最佳化斷筋點!P768)</f>
        <v/>
      </c>
      <c r="AP768" s="37" t="str">
        <f>IF(最佳化斷筋點!Q768="","",最佳化斷筋點!Q768)</f>
        <v/>
      </c>
      <c r="AQ768" s="37" t="str">
        <f>IF(最佳化斷筋點!R768="","",最佳化斷筋點!R768)</f>
        <v/>
      </c>
      <c r="AR768" s="37" t="str">
        <f>IF(最佳化斷筋點!S768="","",最佳化斷筋點!S768)</f>
        <v/>
      </c>
      <c r="AS768" s="37" t="str">
        <f>IF(最佳化斷筋點!T768="","",最佳化斷筋點!T768)</f>
        <v/>
      </c>
      <c r="AT768" s="37" t="str">
        <f>IF(最佳化斷筋點!U768="","",最佳化斷筋點!U768)</f>
        <v/>
      </c>
      <c r="AU768" s="37" t="str">
        <f>IF(最佳化斷筋點!V768="","",最佳化斷筋點!V768)</f>
        <v/>
      </c>
      <c r="AV768" s="37" t="str">
        <f>IF(最佳化斷筋點!W768="","",最佳化斷筋點!W768)</f>
        <v/>
      </c>
      <c r="AW768" s="37" t="str">
        <f>IF(最佳化斷筋點!X768="","",最佳化斷筋點!X768)</f>
        <v/>
      </c>
      <c r="AZ768" s="37" t="s">
        <v>197</v>
      </c>
      <c r="BA768" s="37" t="s">
        <v>197</v>
      </c>
      <c r="BB768" s="37" t="s">
        <v>197</v>
      </c>
      <c r="BC768" s="37" t="s">
        <v>197</v>
      </c>
      <c r="BD768" s="37" t="s">
        <v>197</v>
      </c>
      <c r="BE768" s="37" t="s">
        <v>197</v>
      </c>
      <c r="BF768" s="37" t="s">
        <v>197</v>
      </c>
      <c r="BG768" s="37" t="s">
        <v>197</v>
      </c>
      <c r="BH768" s="37" t="s">
        <v>197</v>
      </c>
      <c r="BI768" s="37" t="s">
        <v>197</v>
      </c>
      <c r="BJ768" s="37" t="s">
        <v>197</v>
      </c>
      <c r="BK768" s="37" t="s">
        <v>197</v>
      </c>
      <c r="BL768" s="37" t="s">
        <v>197</v>
      </c>
      <c r="BM768" s="37" t="s">
        <v>197</v>
      </c>
      <c r="BN768" s="37" t="s">
        <v>197</v>
      </c>
      <c r="BO768" s="37" t="s">
        <v>197</v>
      </c>
      <c r="BP768" s="37" t="s">
        <v>197</v>
      </c>
      <c r="BQ768" s="37" t="s">
        <v>197</v>
      </c>
      <c r="BR768" s="37" t="s">
        <v>197</v>
      </c>
      <c r="BS768" s="37" t="s">
        <v>197</v>
      </c>
      <c r="BT768" s="37" t="s">
        <v>197</v>
      </c>
    </row>
    <row r="769" spans="5:72" x14ac:dyDescent="0.25">
      <c r="E769" s="36" t="s">
        <v>21</v>
      </c>
      <c r="F769" s="36">
        <f t="shared" si="253"/>
        <v>0</v>
      </c>
      <c r="G769" s="36">
        <f t="shared" si="254"/>
        <v>0</v>
      </c>
      <c r="H769" s="36">
        <f t="shared" si="255"/>
        <v>0</v>
      </c>
      <c r="I769" s="36">
        <f t="shared" si="256"/>
        <v>0</v>
      </c>
      <c r="J769" s="36">
        <f t="shared" si="257"/>
        <v>0</v>
      </c>
      <c r="K769" s="36">
        <f t="shared" si="258"/>
        <v>0</v>
      </c>
      <c r="L769" s="36">
        <f t="shared" si="259"/>
        <v>0</v>
      </c>
      <c r="M769" s="36">
        <f t="shared" si="260"/>
        <v>0</v>
      </c>
      <c r="N769" s="36">
        <f t="shared" si="261"/>
        <v>0</v>
      </c>
      <c r="O769" s="36">
        <f t="shared" si="262"/>
        <v>0</v>
      </c>
      <c r="P769" s="36">
        <f t="shared" si="263"/>
        <v>0</v>
      </c>
      <c r="Q769" s="36">
        <f t="shared" si="264"/>
        <v>0</v>
      </c>
      <c r="R769" s="36">
        <f t="shared" si="265"/>
        <v>0</v>
      </c>
      <c r="S769" s="36">
        <f t="shared" si="266"/>
        <v>0</v>
      </c>
      <c r="T769" s="36">
        <f t="shared" si="267"/>
        <v>0</v>
      </c>
      <c r="U769" s="36">
        <f t="shared" si="268"/>
        <v>0</v>
      </c>
      <c r="V769" s="36">
        <f t="shared" si="269"/>
        <v>0</v>
      </c>
      <c r="W769" s="36">
        <f t="shared" si="270"/>
        <v>0</v>
      </c>
      <c r="X769" s="36">
        <f t="shared" si="271"/>
        <v>0</v>
      </c>
      <c r="Y769" s="36">
        <f t="shared" si="272"/>
        <v>0</v>
      </c>
      <c r="Z769" s="36">
        <f t="shared" si="273"/>
        <v>0</v>
      </c>
      <c r="AB769" s="36" t="str">
        <f>IF(最佳化斷筋點!C769="","",最佳化斷筋點!C769)</f>
        <v>下層</v>
      </c>
      <c r="AC769" s="37">
        <f>IF(最佳化斷筋點!D769="","",最佳化斷筋點!D769)</f>
        <v>13</v>
      </c>
      <c r="AD769" s="37">
        <f>IF(最佳化斷筋點!E769="","",最佳化斷筋點!E769)</f>
        <v>13</v>
      </c>
      <c r="AE769" s="37">
        <f>IF(最佳化斷筋點!F769="","",最佳化斷筋點!F769)</f>
        <v>13</v>
      </c>
      <c r="AF769" s="37">
        <f>IF(最佳化斷筋點!G769="","",最佳化斷筋點!G769)</f>
        <v>13</v>
      </c>
      <c r="AG769" s="37">
        <f>IF(最佳化斷筋點!H769="","",最佳化斷筋點!H769)</f>
        <v>13</v>
      </c>
      <c r="AH769" s="37">
        <f>IF(最佳化斷筋點!I769="","",最佳化斷筋點!I769)</f>
        <v>12</v>
      </c>
      <c r="AI769" s="37">
        <f>IF(最佳化斷筋點!J769="","",最佳化斷筋點!J769)</f>
        <v>11</v>
      </c>
      <c r="AJ769" s="37">
        <f>IF(最佳化斷筋點!K769="","",最佳化斷筋點!K769)</f>
        <v>11</v>
      </c>
      <c r="AK769" s="37">
        <f>IF(最佳化斷筋點!L769="","",最佳化斷筋點!L769)</f>
        <v>11</v>
      </c>
      <c r="AL769" s="37">
        <f>IF(最佳化斷筋點!M769="","",最佳化斷筋點!M769)</f>
        <v>11</v>
      </c>
      <c r="AM769" s="37">
        <f>IF(最佳化斷筋點!N769="","",最佳化斷筋點!N769)</f>
        <v>11</v>
      </c>
      <c r="AN769" s="37">
        <f>IF(最佳化斷筋點!O769="","",最佳化斷筋點!O769)</f>
        <v>11</v>
      </c>
      <c r="AO769" s="37">
        <f>IF(最佳化斷筋點!P769="","",最佳化斷筋點!P769)</f>
        <v>11</v>
      </c>
      <c r="AP769" s="37">
        <f>IF(最佳化斷筋點!Q769="","",最佳化斷筋點!Q769)</f>
        <v>11</v>
      </c>
      <c r="AQ769" s="37">
        <f>IF(最佳化斷筋點!R769="","",最佳化斷筋點!R769)</f>
        <v>11</v>
      </c>
      <c r="AR769" s="37">
        <f>IF(最佳化斷筋點!S769="","",最佳化斷筋點!S769)</f>
        <v>11</v>
      </c>
      <c r="AS769" s="37">
        <f>IF(最佳化斷筋點!T769="","",最佳化斷筋點!T769)</f>
        <v>11</v>
      </c>
      <c r="AT769" s="37">
        <f>IF(最佳化斷筋點!U769="","",最佳化斷筋點!U769)</f>
        <v>11</v>
      </c>
      <c r="AU769" s="37">
        <f>IF(最佳化斷筋點!V769="","",最佳化斷筋點!V769)</f>
        <v>10</v>
      </c>
      <c r="AV769" s="37">
        <f>IF(最佳化斷筋點!W769="","",最佳化斷筋點!W769)</f>
        <v>10</v>
      </c>
      <c r="AW769" s="37">
        <f>IF(最佳化斷筋點!X769="","",最佳化斷筋點!X769)</f>
        <v>10</v>
      </c>
      <c r="AZ769" s="37">
        <v>13</v>
      </c>
      <c r="BA769" s="37">
        <v>13</v>
      </c>
      <c r="BB769" s="37">
        <v>13</v>
      </c>
      <c r="BC769" s="37">
        <v>13</v>
      </c>
      <c r="BD769" s="37">
        <v>13</v>
      </c>
      <c r="BE769" s="37">
        <v>12</v>
      </c>
      <c r="BF769" s="37">
        <v>11</v>
      </c>
      <c r="BG769" s="37">
        <v>11</v>
      </c>
      <c r="BH769" s="37">
        <v>11</v>
      </c>
      <c r="BI769" s="37">
        <v>11</v>
      </c>
      <c r="BJ769" s="37">
        <v>11</v>
      </c>
      <c r="BK769" s="37">
        <v>11</v>
      </c>
      <c r="BL769" s="37">
        <v>11</v>
      </c>
      <c r="BM769" s="37">
        <v>11</v>
      </c>
      <c r="BN769" s="37">
        <v>11</v>
      </c>
      <c r="BO769" s="37">
        <v>11</v>
      </c>
      <c r="BP769" s="37">
        <v>11</v>
      </c>
      <c r="BQ769" s="37">
        <v>11</v>
      </c>
      <c r="BR769" s="37">
        <v>10</v>
      </c>
      <c r="BS769" s="37">
        <v>10</v>
      </c>
      <c r="BT769" s="37">
        <v>10</v>
      </c>
    </row>
    <row r="770" spans="5:72" x14ac:dyDescent="0.25">
      <c r="E770" s="36"/>
      <c r="F770" s="36">
        <f t="shared" si="253"/>
        <v>0</v>
      </c>
      <c r="G770" s="36">
        <f t="shared" si="254"/>
        <v>0</v>
      </c>
      <c r="H770" s="36">
        <f t="shared" si="255"/>
        <v>0</v>
      </c>
      <c r="I770" s="36">
        <f t="shared" si="256"/>
        <v>0</v>
      </c>
      <c r="J770" s="36">
        <f t="shared" si="257"/>
        <v>0</v>
      </c>
      <c r="K770" s="36">
        <f t="shared" si="258"/>
        <v>0</v>
      </c>
      <c r="L770" s="36">
        <f t="shared" si="259"/>
        <v>0</v>
      </c>
      <c r="M770" s="36">
        <f t="shared" si="260"/>
        <v>0</v>
      </c>
      <c r="N770" s="36">
        <f t="shared" si="261"/>
        <v>0</v>
      </c>
      <c r="O770" s="36">
        <f t="shared" si="262"/>
        <v>0</v>
      </c>
      <c r="P770" s="36">
        <f t="shared" si="263"/>
        <v>0</v>
      </c>
      <c r="Q770" s="36">
        <f t="shared" si="264"/>
        <v>0</v>
      </c>
      <c r="R770" s="36">
        <f t="shared" si="265"/>
        <v>0</v>
      </c>
      <c r="S770" s="36">
        <f t="shared" si="266"/>
        <v>0</v>
      </c>
      <c r="T770" s="36">
        <f t="shared" si="267"/>
        <v>0</v>
      </c>
      <c r="U770" s="36">
        <f t="shared" si="268"/>
        <v>0</v>
      </c>
      <c r="V770" s="36">
        <f t="shared" si="269"/>
        <v>0</v>
      </c>
      <c r="W770" s="36">
        <f t="shared" si="270"/>
        <v>0</v>
      </c>
      <c r="X770" s="36">
        <f t="shared" si="271"/>
        <v>0</v>
      </c>
      <c r="Y770" s="36">
        <f t="shared" si="272"/>
        <v>0</v>
      </c>
      <c r="Z770" s="36">
        <f t="shared" si="273"/>
        <v>0</v>
      </c>
      <c r="AB770" s="36" t="str">
        <f>IF(最佳化斷筋點!C770="","",最佳化斷筋點!C770)</f>
        <v/>
      </c>
      <c r="AC770" s="37" t="str">
        <f>IF(最佳化斷筋點!D770="","",最佳化斷筋點!D770)</f>
        <v/>
      </c>
      <c r="AD770" s="37" t="str">
        <f>IF(最佳化斷筋點!E770="","",最佳化斷筋點!E770)</f>
        <v/>
      </c>
      <c r="AE770" s="37" t="str">
        <f>IF(最佳化斷筋點!F770="","",最佳化斷筋點!F770)</f>
        <v/>
      </c>
      <c r="AF770" s="37" t="str">
        <f>IF(最佳化斷筋點!G770="","",最佳化斷筋點!G770)</f>
        <v/>
      </c>
      <c r="AG770" s="37" t="str">
        <f>IF(最佳化斷筋點!H770="","",最佳化斷筋點!H770)</f>
        <v/>
      </c>
      <c r="AH770" s="37" t="str">
        <f>IF(最佳化斷筋點!I770="","",最佳化斷筋點!I770)</f>
        <v/>
      </c>
      <c r="AI770" s="37" t="str">
        <f>IF(最佳化斷筋點!J770="","",最佳化斷筋點!J770)</f>
        <v/>
      </c>
      <c r="AJ770" s="37" t="str">
        <f>IF(最佳化斷筋點!K770="","",最佳化斷筋點!K770)</f>
        <v/>
      </c>
      <c r="AK770" s="37" t="str">
        <f>IF(最佳化斷筋點!L770="","",最佳化斷筋點!L770)</f>
        <v/>
      </c>
      <c r="AL770" s="37" t="str">
        <f>IF(最佳化斷筋點!M770="","",最佳化斷筋點!M770)</f>
        <v/>
      </c>
      <c r="AM770" s="37" t="str">
        <f>IF(最佳化斷筋點!N770="","",最佳化斷筋點!N770)</f>
        <v/>
      </c>
      <c r="AN770" s="37" t="str">
        <f>IF(最佳化斷筋點!O770="","",最佳化斷筋點!O770)</f>
        <v/>
      </c>
      <c r="AO770" s="37" t="str">
        <f>IF(最佳化斷筋點!P770="","",最佳化斷筋點!P770)</f>
        <v/>
      </c>
      <c r="AP770" s="37" t="str">
        <f>IF(最佳化斷筋點!Q770="","",最佳化斷筋點!Q770)</f>
        <v/>
      </c>
      <c r="AQ770" s="37" t="str">
        <f>IF(最佳化斷筋點!R770="","",最佳化斷筋點!R770)</f>
        <v/>
      </c>
      <c r="AR770" s="37" t="str">
        <f>IF(最佳化斷筋點!S770="","",最佳化斷筋點!S770)</f>
        <v/>
      </c>
      <c r="AS770" s="37" t="str">
        <f>IF(最佳化斷筋點!T770="","",最佳化斷筋點!T770)</f>
        <v/>
      </c>
      <c r="AT770" s="37" t="str">
        <f>IF(最佳化斷筋點!U770="","",最佳化斷筋點!U770)</f>
        <v/>
      </c>
      <c r="AU770" s="37" t="str">
        <f>IF(最佳化斷筋點!V770="","",最佳化斷筋點!V770)</f>
        <v/>
      </c>
      <c r="AV770" s="37" t="str">
        <f>IF(最佳化斷筋點!W770="","",最佳化斷筋點!W770)</f>
        <v/>
      </c>
      <c r="AW770" s="37" t="str">
        <f>IF(最佳化斷筋點!X770="","",最佳化斷筋點!X770)</f>
        <v/>
      </c>
      <c r="AZ770" s="37" t="s">
        <v>197</v>
      </c>
      <c r="BA770" s="37" t="s">
        <v>197</v>
      </c>
      <c r="BB770" s="37" t="s">
        <v>197</v>
      </c>
      <c r="BC770" s="37" t="s">
        <v>197</v>
      </c>
      <c r="BD770" s="37" t="s">
        <v>197</v>
      </c>
      <c r="BE770" s="37" t="s">
        <v>197</v>
      </c>
      <c r="BF770" s="37" t="s">
        <v>197</v>
      </c>
      <c r="BG770" s="37" t="s">
        <v>197</v>
      </c>
      <c r="BH770" s="37" t="s">
        <v>197</v>
      </c>
      <c r="BI770" s="37" t="s">
        <v>197</v>
      </c>
      <c r="BJ770" s="37" t="s">
        <v>197</v>
      </c>
      <c r="BK770" s="37" t="s">
        <v>197</v>
      </c>
      <c r="BL770" s="37" t="s">
        <v>197</v>
      </c>
      <c r="BM770" s="37" t="s">
        <v>197</v>
      </c>
      <c r="BN770" s="37" t="s">
        <v>197</v>
      </c>
      <c r="BO770" s="37" t="s">
        <v>197</v>
      </c>
      <c r="BP770" s="37" t="s">
        <v>197</v>
      </c>
      <c r="BQ770" s="37" t="s">
        <v>197</v>
      </c>
      <c r="BR770" s="37" t="s">
        <v>197</v>
      </c>
      <c r="BS770" s="37" t="s">
        <v>197</v>
      </c>
      <c r="BT770" s="37" t="s">
        <v>197</v>
      </c>
    </row>
    <row r="771" spans="5:72" x14ac:dyDescent="0.25">
      <c r="E771" s="36" t="s">
        <v>20</v>
      </c>
      <c r="F771" s="36">
        <f t="shared" si="253"/>
        <v>0</v>
      </c>
      <c r="G771" s="36">
        <f t="shared" si="254"/>
        <v>0</v>
      </c>
      <c r="H771" s="36">
        <f t="shared" si="255"/>
        <v>0</v>
      </c>
      <c r="I771" s="36">
        <f t="shared" si="256"/>
        <v>0</v>
      </c>
      <c r="J771" s="36">
        <f t="shared" si="257"/>
        <v>0</v>
      </c>
      <c r="K771" s="36">
        <f t="shared" si="258"/>
        <v>0</v>
      </c>
      <c r="L771" s="36">
        <f t="shared" si="259"/>
        <v>0</v>
      </c>
      <c r="M771" s="36">
        <f t="shared" si="260"/>
        <v>0</v>
      </c>
      <c r="N771" s="36">
        <f t="shared" si="261"/>
        <v>0</v>
      </c>
      <c r="O771" s="36">
        <f t="shared" si="262"/>
        <v>0</v>
      </c>
      <c r="P771" s="36">
        <f t="shared" si="263"/>
        <v>0</v>
      </c>
      <c r="Q771" s="36">
        <f t="shared" si="264"/>
        <v>0</v>
      </c>
      <c r="R771" s="36">
        <f t="shared" si="265"/>
        <v>0</v>
      </c>
      <c r="S771" s="36">
        <f t="shared" si="266"/>
        <v>0</v>
      </c>
      <c r="T771" s="36">
        <f t="shared" si="267"/>
        <v>0</v>
      </c>
      <c r="U771" s="36">
        <f t="shared" si="268"/>
        <v>0</v>
      </c>
      <c r="V771" s="36">
        <f t="shared" si="269"/>
        <v>0</v>
      </c>
      <c r="W771" s="36">
        <f t="shared" si="270"/>
        <v>0</v>
      </c>
      <c r="X771" s="36">
        <f t="shared" si="271"/>
        <v>0</v>
      </c>
      <c r="Y771" s="36">
        <f t="shared" si="272"/>
        <v>0</v>
      </c>
      <c r="Z771" s="36">
        <f t="shared" si="273"/>
        <v>0</v>
      </c>
      <c r="AB771" s="36" t="str">
        <f>IF(最佳化斷筋點!C771="","",最佳化斷筋點!C771)</f>
        <v>上層</v>
      </c>
      <c r="AC771" s="37">
        <f>IF(最佳化斷筋點!D771="","",最佳化斷筋點!D771)</f>
        <v>8</v>
      </c>
      <c r="AD771" s="37">
        <f>IF(最佳化斷筋點!E771="","",最佳化斷筋點!E771)</f>
        <v>8</v>
      </c>
      <c r="AE771" s="37">
        <f>IF(最佳化斷筋點!F771="","",最佳化斷筋點!F771)</f>
        <v>8</v>
      </c>
      <c r="AF771" s="37">
        <f>IF(最佳化斷筋點!G771="","",最佳化斷筋點!G771)</f>
        <v>8</v>
      </c>
      <c r="AG771" s="37">
        <f>IF(最佳化斷筋點!H771="","",最佳化斷筋點!H771)</f>
        <v>8</v>
      </c>
      <c r="AH771" s="37">
        <f>IF(最佳化斷筋點!I771="","",最佳化斷筋點!I771)</f>
        <v>7</v>
      </c>
      <c r="AI771" s="37">
        <f>IF(最佳化斷筋點!J771="","",最佳化斷筋點!J771)</f>
        <v>6</v>
      </c>
      <c r="AJ771" s="37">
        <f>IF(最佳化斷筋點!K771="","",最佳化斷筋點!K771)</f>
        <v>3</v>
      </c>
      <c r="AK771" s="37">
        <f>IF(最佳化斷筋點!L771="","",最佳化斷筋點!L771)</f>
        <v>3</v>
      </c>
      <c r="AL771" s="37">
        <f>IF(最佳化斷筋點!M771="","",最佳化斷筋點!M771)</f>
        <v>3</v>
      </c>
      <c r="AM771" s="37">
        <f>IF(最佳化斷筋點!N771="","",最佳化斷筋點!N771)</f>
        <v>3</v>
      </c>
      <c r="AN771" s="37">
        <f>IF(最佳化斷筋點!O771="","",最佳化斷筋點!O771)</f>
        <v>3</v>
      </c>
      <c r="AO771" s="37">
        <f>IF(最佳化斷筋點!P771="","",最佳化斷筋點!P771)</f>
        <v>3</v>
      </c>
      <c r="AP771" s="37">
        <f>IF(最佳化斷筋點!Q771="","",最佳化斷筋點!Q771)</f>
        <v>5</v>
      </c>
      <c r="AQ771" s="37">
        <f>IF(最佳化斷筋點!R771="","",最佳化斷筋點!R771)</f>
        <v>6</v>
      </c>
      <c r="AR771" s="37">
        <f>IF(最佳化斷筋點!S771="","",最佳化斷筋點!S771)</f>
        <v>7</v>
      </c>
      <c r="AS771" s="37">
        <f>IF(最佳化斷筋點!T771="","",最佳化斷筋點!T771)</f>
        <v>8</v>
      </c>
      <c r="AT771" s="37">
        <f>IF(最佳化斷筋點!U771="","",最佳化斷筋點!U771)</f>
        <v>9</v>
      </c>
      <c r="AU771" s="37">
        <f>IF(最佳化斷筋點!V771="","",最佳化斷筋點!V771)</f>
        <v>9</v>
      </c>
      <c r="AV771" s="37">
        <f>IF(最佳化斷筋點!W771="","",最佳化斷筋點!W771)</f>
        <v>9</v>
      </c>
      <c r="AW771" s="37">
        <f>IF(最佳化斷筋點!X771="","",最佳化斷筋點!X771)</f>
        <v>9</v>
      </c>
      <c r="AZ771" s="37">
        <v>8</v>
      </c>
      <c r="BA771" s="37">
        <v>8</v>
      </c>
      <c r="BB771" s="37">
        <v>8</v>
      </c>
      <c r="BC771" s="37">
        <v>8</v>
      </c>
      <c r="BD771" s="37">
        <v>8</v>
      </c>
      <c r="BE771" s="37">
        <v>7</v>
      </c>
      <c r="BF771" s="37">
        <v>6</v>
      </c>
      <c r="BG771" s="37">
        <v>3</v>
      </c>
      <c r="BH771" s="37">
        <v>3</v>
      </c>
      <c r="BI771" s="37">
        <v>3</v>
      </c>
      <c r="BJ771" s="37">
        <v>3</v>
      </c>
      <c r="BK771" s="37">
        <v>3</v>
      </c>
      <c r="BL771" s="37">
        <v>3</v>
      </c>
      <c r="BM771" s="37">
        <v>5</v>
      </c>
      <c r="BN771" s="37">
        <v>6</v>
      </c>
      <c r="BO771" s="37">
        <v>7</v>
      </c>
      <c r="BP771" s="37">
        <v>8</v>
      </c>
      <c r="BQ771" s="37">
        <v>9</v>
      </c>
      <c r="BR771" s="37">
        <v>9</v>
      </c>
      <c r="BS771" s="37">
        <v>9</v>
      </c>
      <c r="BT771" s="37">
        <v>9</v>
      </c>
    </row>
    <row r="772" spans="5:72" x14ac:dyDescent="0.25">
      <c r="E772" s="36"/>
      <c r="F772" s="36">
        <f t="shared" si="253"/>
        <v>0</v>
      </c>
      <c r="G772" s="36">
        <f t="shared" si="254"/>
        <v>0</v>
      </c>
      <c r="H772" s="36">
        <f t="shared" si="255"/>
        <v>0</v>
      </c>
      <c r="I772" s="36">
        <f t="shared" si="256"/>
        <v>0</v>
      </c>
      <c r="J772" s="36">
        <f t="shared" si="257"/>
        <v>0</v>
      </c>
      <c r="K772" s="36">
        <f t="shared" si="258"/>
        <v>0</v>
      </c>
      <c r="L772" s="36">
        <f t="shared" si="259"/>
        <v>0</v>
      </c>
      <c r="M772" s="36">
        <f t="shared" si="260"/>
        <v>0</v>
      </c>
      <c r="N772" s="36">
        <f t="shared" si="261"/>
        <v>0</v>
      </c>
      <c r="O772" s="36">
        <f t="shared" si="262"/>
        <v>0</v>
      </c>
      <c r="P772" s="36">
        <f t="shared" si="263"/>
        <v>0</v>
      </c>
      <c r="Q772" s="36">
        <f t="shared" si="264"/>
        <v>0</v>
      </c>
      <c r="R772" s="36">
        <f t="shared" si="265"/>
        <v>0</v>
      </c>
      <c r="S772" s="36">
        <f t="shared" si="266"/>
        <v>0</v>
      </c>
      <c r="T772" s="36">
        <f t="shared" si="267"/>
        <v>0</v>
      </c>
      <c r="U772" s="36">
        <f t="shared" si="268"/>
        <v>0</v>
      </c>
      <c r="V772" s="36">
        <f t="shared" si="269"/>
        <v>0</v>
      </c>
      <c r="W772" s="36">
        <f t="shared" si="270"/>
        <v>0</v>
      </c>
      <c r="X772" s="36">
        <f t="shared" si="271"/>
        <v>0</v>
      </c>
      <c r="Y772" s="36">
        <f t="shared" si="272"/>
        <v>0</v>
      </c>
      <c r="Z772" s="36">
        <f t="shared" si="273"/>
        <v>0</v>
      </c>
      <c r="AB772" s="36" t="str">
        <f>IF(最佳化斷筋點!C772="","",最佳化斷筋點!C772)</f>
        <v/>
      </c>
      <c r="AC772" s="37" t="str">
        <f>IF(最佳化斷筋點!D772="","",最佳化斷筋點!D772)</f>
        <v/>
      </c>
      <c r="AD772" s="37" t="str">
        <f>IF(最佳化斷筋點!E772="","",最佳化斷筋點!E772)</f>
        <v/>
      </c>
      <c r="AE772" s="37" t="str">
        <f>IF(最佳化斷筋點!F772="","",最佳化斷筋點!F772)</f>
        <v/>
      </c>
      <c r="AF772" s="37" t="str">
        <f>IF(最佳化斷筋點!G772="","",最佳化斷筋點!G772)</f>
        <v/>
      </c>
      <c r="AG772" s="37" t="str">
        <f>IF(最佳化斷筋點!H772="","",最佳化斷筋點!H772)</f>
        <v/>
      </c>
      <c r="AH772" s="37" t="str">
        <f>IF(最佳化斷筋點!I772="","",最佳化斷筋點!I772)</f>
        <v/>
      </c>
      <c r="AI772" s="37" t="str">
        <f>IF(最佳化斷筋點!J772="","",最佳化斷筋點!J772)</f>
        <v/>
      </c>
      <c r="AJ772" s="37" t="str">
        <f>IF(最佳化斷筋點!K772="","",最佳化斷筋點!K772)</f>
        <v/>
      </c>
      <c r="AK772" s="37" t="str">
        <f>IF(最佳化斷筋點!L772="","",最佳化斷筋點!L772)</f>
        <v/>
      </c>
      <c r="AL772" s="37" t="str">
        <f>IF(最佳化斷筋點!M772="","",最佳化斷筋點!M772)</f>
        <v/>
      </c>
      <c r="AM772" s="37" t="str">
        <f>IF(最佳化斷筋點!N772="","",最佳化斷筋點!N772)</f>
        <v/>
      </c>
      <c r="AN772" s="37" t="str">
        <f>IF(最佳化斷筋點!O772="","",最佳化斷筋點!O772)</f>
        <v/>
      </c>
      <c r="AO772" s="37" t="str">
        <f>IF(最佳化斷筋點!P772="","",最佳化斷筋點!P772)</f>
        <v/>
      </c>
      <c r="AP772" s="37" t="str">
        <f>IF(最佳化斷筋點!Q772="","",最佳化斷筋點!Q772)</f>
        <v/>
      </c>
      <c r="AQ772" s="37" t="str">
        <f>IF(最佳化斷筋點!R772="","",最佳化斷筋點!R772)</f>
        <v/>
      </c>
      <c r="AR772" s="37" t="str">
        <f>IF(最佳化斷筋點!S772="","",最佳化斷筋點!S772)</f>
        <v/>
      </c>
      <c r="AS772" s="37" t="str">
        <f>IF(最佳化斷筋點!T772="","",最佳化斷筋點!T772)</f>
        <v/>
      </c>
      <c r="AT772" s="37" t="str">
        <f>IF(最佳化斷筋點!U772="","",最佳化斷筋點!U772)</f>
        <v/>
      </c>
      <c r="AU772" s="37" t="str">
        <f>IF(最佳化斷筋點!V772="","",最佳化斷筋點!V772)</f>
        <v/>
      </c>
      <c r="AV772" s="37" t="str">
        <f>IF(最佳化斷筋點!W772="","",最佳化斷筋點!W772)</f>
        <v/>
      </c>
      <c r="AW772" s="37" t="str">
        <f>IF(最佳化斷筋點!X772="","",最佳化斷筋點!X772)</f>
        <v/>
      </c>
      <c r="AZ772" s="37" t="s">
        <v>197</v>
      </c>
      <c r="BA772" s="37" t="s">
        <v>197</v>
      </c>
      <c r="BB772" s="37" t="s">
        <v>197</v>
      </c>
      <c r="BC772" s="37" t="s">
        <v>197</v>
      </c>
      <c r="BD772" s="37" t="s">
        <v>197</v>
      </c>
      <c r="BE772" s="37" t="s">
        <v>197</v>
      </c>
      <c r="BF772" s="37" t="s">
        <v>197</v>
      </c>
      <c r="BG772" s="37" t="s">
        <v>197</v>
      </c>
      <c r="BH772" s="37" t="s">
        <v>197</v>
      </c>
      <c r="BI772" s="37" t="s">
        <v>197</v>
      </c>
      <c r="BJ772" s="37" t="s">
        <v>197</v>
      </c>
      <c r="BK772" s="37" t="s">
        <v>197</v>
      </c>
      <c r="BL772" s="37" t="s">
        <v>197</v>
      </c>
      <c r="BM772" s="37" t="s">
        <v>197</v>
      </c>
      <c r="BN772" s="37" t="s">
        <v>197</v>
      </c>
      <c r="BO772" s="37" t="s">
        <v>197</v>
      </c>
      <c r="BP772" s="37" t="s">
        <v>197</v>
      </c>
      <c r="BQ772" s="37" t="s">
        <v>197</v>
      </c>
      <c r="BR772" s="37" t="s">
        <v>197</v>
      </c>
      <c r="BS772" s="37" t="s">
        <v>197</v>
      </c>
      <c r="BT772" s="37" t="s">
        <v>197</v>
      </c>
    </row>
    <row r="773" spans="5:72" x14ac:dyDescent="0.25">
      <c r="E773" s="36" t="s">
        <v>21</v>
      </c>
      <c r="F773" s="36">
        <f t="shared" si="253"/>
        <v>0</v>
      </c>
      <c r="G773" s="36">
        <f t="shared" si="254"/>
        <v>0</v>
      </c>
      <c r="H773" s="36">
        <f t="shared" si="255"/>
        <v>0</v>
      </c>
      <c r="I773" s="36">
        <f t="shared" si="256"/>
        <v>0</v>
      </c>
      <c r="J773" s="36">
        <f t="shared" si="257"/>
        <v>0</v>
      </c>
      <c r="K773" s="36">
        <f t="shared" si="258"/>
        <v>0</v>
      </c>
      <c r="L773" s="36">
        <f t="shared" si="259"/>
        <v>0</v>
      </c>
      <c r="M773" s="36">
        <f t="shared" si="260"/>
        <v>0</v>
      </c>
      <c r="N773" s="36">
        <f t="shared" si="261"/>
        <v>0</v>
      </c>
      <c r="O773" s="36">
        <f t="shared" si="262"/>
        <v>0</v>
      </c>
      <c r="P773" s="36">
        <f t="shared" si="263"/>
        <v>0</v>
      </c>
      <c r="Q773" s="36">
        <f t="shared" si="264"/>
        <v>0</v>
      </c>
      <c r="R773" s="36">
        <f t="shared" si="265"/>
        <v>0</v>
      </c>
      <c r="S773" s="36">
        <f t="shared" si="266"/>
        <v>0</v>
      </c>
      <c r="T773" s="36">
        <f t="shared" si="267"/>
        <v>0</v>
      </c>
      <c r="U773" s="36">
        <f t="shared" si="268"/>
        <v>0</v>
      </c>
      <c r="V773" s="36">
        <f t="shared" si="269"/>
        <v>0</v>
      </c>
      <c r="W773" s="36">
        <f t="shared" si="270"/>
        <v>0</v>
      </c>
      <c r="X773" s="36">
        <f t="shared" si="271"/>
        <v>0</v>
      </c>
      <c r="Y773" s="36">
        <f t="shared" si="272"/>
        <v>0</v>
      </c>
      <c r="Z773" s="36">
        <f t="shared" si="273"/>
        <v>0</v>
      </c>
      <c r="AB773" s="36" t="str">
        <f>IF(最佳化斷筋點!C773="","",最佳化斷筋點!C773)</f>
        <v>下層</v>
      </c>
      <c r="AC773" s="37">
        <f>IF(最佳化斷筋點!D773="","",最佳化斷筋點!D773)</f>
        <v>6</v>
      </c>
      <c r="AD773" s="37">
        <f>IF(最佳化斷筋點!E773="","",最佳化斷筋點!E773)</f>
        <v>6</v>
      </c>
      <c r="AE773" s="37">
        <f>IF(最佳化斷筋點!F773="","",最佳化斷筋點!F773)</f>
        <v>6</v>
      </c>
      <c r="AF773" s="37">
        <f>IF(最佳化斷筋點!G773="","",最佳化斷筋點!G773)</f>
        <v>6</v>
      </c>
      <c r="AG773" s="37">
        <f>IF(最佳化斷筋點!H773="","",最佳化斷筋點!H773)</f>
        <v>5</v>
      </c>
      <c r="AH773" s="37">
        <f>IF(最佳化斷筋點!I773="","",最佳化斷筋點!I773)</f>
        <v>5</v>
      </c>
      <c r="AI773" s="37">
        <f>IF(最佳化斷筋點!J773="","",最佳化斷筋點!J773)</f>
        <v>4</v>
      </c>
      <c r="AJ773" s="37">
        <f>IF(最佳化斷筋點!K773="","",最佳化斷筋點!K773)</f>
        <v>4</v>
      </c>
      <c r="AK773" s="37">
        <f>IF(最佳化斷筋點!L773="","",最佳化斷筋點!L773)</f>
        <v>4</v>
      </c>
      <c r="AL773" s="37">
        <f>IF(最佳化斷筋點!M773="","",最佳化斷筋點!M773)</f>
        <v>4</v>
      </c>
      <c r="AM773" s="37">
        <f>IF(最佳化斷筋點!N773="","",最佳化斷筋點!N773)</f>
        <v>4</v>
      </c>
      <c r="AN773" s="37">
        <f>IF(最佳化斷筋點!O773="","",最佳化斷筋點!O773)</f>
        <v>4</v>
      </c>
      <c r="AO773" s="37">
        <f>IF(最佳化斷筋點!P773="","",最佳化斷筋點!P773)</f>
        <v>4</v>
      </c>
      <c r="AP773" s="37">
        <f>IF(最佳化斷筋點!Q773="","",最佳化斷筋點!Q773)</f>
        <v>4</v>
      </c>
      <c r="AQ773" s="37">
        <f>IF(最佳化斷筋點!R773="","",最佳化斷筋點!R773)</f>
        <v>4</v>
      </c>
      <c r="AR773" s="37">
        <f>IF(最佳化斷筋點!S773="","",最佳化斷筋點!S773)</f>
        <v>5</v>
      </c>
      <c r="AS773" s="37">
        <f>IF(最佳化斷筋點!T773="","",最佳化斷筋點!T773)</f>
        <v>6</v>
      </c>
      <c r="AT773" s="37">
        <f>IF(最佳化斷筋點!U773="","",最佳化斷筋點!U773)</f>
        <v>6</v>
      </c>
      <c r="AU773" s="37">
        <f>IF(最佳化斷筋點!V773="","",最佳化斷筋點!V773)</f>
        <v>7</v>
      </c>
      <c r="AV773" s="37">
        <f>IF(最佳化斷筋點!W773="","",最佳化斷筋點!W773)</f>
        <v>7</v>
      </c>
      <c r="AW773" s="37">
        <f>IF(最佳化斷筋點!X773="","",最佳化斷筋點!X773)</f>
        <v>7</v>
      </c>
      <c r="AZ773" s="37">
        <v>6</v>
      </c>
      <c r="BA773" s="37">
        <v>6</v>
      </c>
      <c r="BB773" s="37">
        <v>6</v>
      </c>
      <c r="BC773" s="37">
        <v>6</v>
      </c>
      <c r="BD773" s="37">
        <v>5</v>
      </c>
      <c r="BE773" s="37">
        <v>5</v>
      </c>
      <c r="BF773" s="37">
        <v>4</v>
      </c>
      <c r="BG773" s="37">
        <v>4</v>
      </c>
      <c r="BH773" s="37">
        <v>4</v>
      </c>
      <c r="BI773" s="37">
        <v>4</v>
      </c>
      <c r="BJ773" s="37">
        <v>4</v>
      </c>
      <c r="BK773" s="37">
        <v>4</v>
      </c>
      <c r="BL773" s="37">
        <v>4</v>
      </c>
      <c r="BM773" s="37">
        <v>4</v>
      </c>
      <c r="BN773" s="37">
        <v>4</v>
      </c>
      <c r="BO773" s="37">
        <v>5</v>
      </c>
      <c r="BP773" s="37">
        <v>6</v>
      </c>
      <c r="BQ773" s="37">
        <v>6</v>
      </c>
      <c r="BR773" s="37">
        <v>7</v>
      </c>
      <c r="BS773" s="37">
        <v>7</v>
      </c>
      <c r="BT773" s="37">
        <v>7</v>
      </c>
    </row>
    <row r="774" spans="5:72" x14ac:dyDescent="0.25">
      <c r="E774" s="36"/>
      <c r="F774" s="36">
        <f t="shared" si="253"/>
        <v>0</v>
      </c>
      <c r="G774" s="36">
        <f t="shared" si="254"/>
        <v>0</v>
      </c>
      <c r="H774" s="36">
        <f t="shared" si="255"/>
        <v>0</v>
      </c>
      <c r="I774" s="36">
        <f t="shared" si="256"/>
        <v>0</v>
      </c>
      <c r="J774" s="36">
        <f t="shared" si="257"/>
        <v>0</v>
      </c>
      <c r="K774" s="36">
        <f t="shared" si="258"/>
        <v>0</v>
      </c>
      <c r="L774" s="36">
        <f t="shared" si="259"/>
        <v>0</v>
      </c>
      <c r="M774" s="36">
        <f t="shared" si="260"/>
        <v>0</v>
      </c>
      <c r="N774" s="36">
        <f t="shared" si="261"/>
        <v>0</v>
      </c>
      <c r="O774" s="36">
        <f t="shared" si="262"/>
        <v>0</v>
      </c>
      <c r="P774" s="36">
        <f t="shared" si="263"/>
        <v>0</v>
      </c>
      <c r="Q774" s="36">
        <f t="shared" si="264"/>
        <v>0</v>
      </c>
      <c r="R774" s="36">
        <f t="shared" si="265"/>
        <v>0</v>
      </c>
      <c r="S774" s="36">
        <f t="shared" si="266"/>
        <v>0</v>
      </c>
      <c r="T774" s="36">
        <f t="shared" si="267"/>
        <v>0</v>
      </c>
      <c r="U774" s="36">
        <f t="shared" si="268"/>
        <v>0</v>
      </c>
      <c r="V774" s="36">
        <f t="shared" si="269"/>
        <v>0</v>
      </c>
      <c r="W774" s="36">
        <f t="shared" si="270"/>
        <v>0</v>
      </c>
      <c r="X774" s="36">
        <f t="shared" si="271"/>
        <v>0</v>
      </c>
      <c r="Y774" s="36">
        <f t="shared" si="272"/>
        <v>0</v>
      </c>
      <c r="Z774" s="36">
        <f t="shared" si="273"/>
        <v>0</v>
      </c>
      <c r="AB774" s="36" t="str">
        <f>IF(最佳化斷筋點!C774="","",最佳化斷筋點!C774)</f>
        <v/>
      </c>
      <c r="AC774" s="37" t="str">
        <f>IF(最佳化斷筋點!D774="","",最佳化斷筋點!D774)</f>
        <v/>
      </c>
      <c r="AD774" s="37" t="str">
        <f>IF(最佳化斷筋點!E774="","",最佳化斷筋點!E774)</f>
        <v/>
      </c>
      <c r="AE774" s="37" t="str">
        <f>IF(最佳化斷筋點!F774="","",最佳化斷筋點!F774)</f>
        <v/>
      </c>
      <c r="AF774" s="37" t="str">
        <f>IF(最佳化斷筋點!G774="","",最佳化斷筋點!G774)</f>
        <v/>
      </c>
      <c r="AG774" s="37" t="str">
        <f>IF(最佳化斷筋點!H774="","",最佳化斷筋點!H774)</f>
        <v/>
      </c>
      <c r="AH774" s="37" t="str">
        <f>IF(最佳化斷筋點!I774="","",最佳化斷筋點!I774)</f>
        <v/>
      </c>
      <c r="AI774" s="37" t="str">
        <f>IF(最佳化斷筋點!J774="","",最佳化斷筋點!J774)</f>
        <v/>
      </c>
      <c r="AJ774" s="37" t="str">
        <f>IF(最佳化斷筋點!K774="","",最佳化斷筋點!K774)</f>
        <v/>
      </c>
      <c r="AK774" s="37" t="str">
        <f>IF(最佳化斷筋點!L774="","",最佳化斷筋點!L774)</f>
        <v/>
      </c>
      <c r="AL774" s="37" t="str">
        <f>IF(最佳化斷筋點!M774="","",最佳化斷筋點!M774)</f>
        <v/>
      </c>
      <c r="AM774" s="37" t="str">
        <f>IF(最佳化斷筋點!N774="","",最佳化斷筋點!N774)</f>
        <v/>
      </c>
      <c r="AN774" s="37" t="str">
        <f>IF(最佳化斷筋點!O774="","",最佳化斷筋點!O774)</f>
        <v/>
      </c>
      <c r="AO774" s="37" t="str">
        <f>IF(最佳化斷筋點!P774="","",最佳化斷筋點!P774)</f>
        <v/>
      </c>
      <c r="AP774" s="37" t="str">
        <f>IF(最佳化斷筋點!Q774="","",最佳化斷筋點!Q774)</f>
        <v/>
      </c>
      <c r="AQ774" s="37" t="str">
        <f>IF(最佳化斷筋點!R774="","",最佳化斷筋點!R774)</f>
        <v/>
      </c>
      <c r="AR774" s="37" t="str">
        <f>IF(最佳化斷筋點!S774="","",最佳化斷筋點!S774)</f>
        <v/>
      </c>
      <c r="AS774" s="37" t="str">
        <f>IF(最佳化斷筋點!T774="","",最佳化斷筋點!T774)</f>
        <v/>
      </c>
      <c r="AT774" s="37" t="str">
        <f>IF(最佳化斷筋點!U774="","",最佳化斷筋點!U774)</f>
        <v/>
      </c>
      <c r="AU774" s="37" t="str">
        <f>IF(最佳化斷筋點!V774="","",最佳化斷筋點!V774)</f>
        <v/>
      </c>
      <c r="AV774" s="37" t="str">
        <f>IF(最佳化斷筋點!W774="","",最佳化斷筋點!W774)</f>
        <v/>
      </c>
      <c r="AW774" s="37" t="str">
        <f>IF(最佳化斷筋點!X774="","",最佳化斷筋點!X774)</f>
        <v/>
      </c>
      <c r="AZ774" s="37" t="s">
        <v>197</v>
      </c>
      <c r="BA774" s="37" t="s">
        <v>197</v>
      </c>
      <c r="BB774" s="37" t="s">
        <v>197</v>
      </c>
      <c r="BC774" s="37" t="s">
        <v>197</v>
      </c>
      <c r="BD774" s="37" t="s">
        <v>197</v>
      </c>
      <c r="BE774" s="37" t="s">
        <v>197</v>
      </c>
      <c r="BF774" s="37" t="s">
        <v>197</v>
      </c>
      <c r="BG774" s="37" t="s">
        <v>197</v>
      </c>
      <c r="BH774" s="37" t="s">
        <v>197</v>
      </c>
      <c r="BI774" s="37" t="s">
        <v>197</v>
      </c>
      <c r="BJ774" s="37" t="s">
        <v>197</v>
      </c>
      <c r="BK774" s="37" t="s">
        <v>197</v>
      </c>
      <c r="BL774" s="37" t="s">
        <v>197</v>
      </c>
      <c r="BM774" s="37" t="s">
        <v>197</v>
      </c>
      <c r="BN774" s="37" t="s">
        <v>197</v>
      </c>
      <c r="BO774" s="37" t="s">
        <v>197</v>
      </c>
      <c r="BP774" s="37" t="s">
        <v>197</v>
      </c>
      <c r="BQ774" s="37" t="s">
        <v>197</v>
      </c>
      <c r="BR774" s="37" t="s">
        <v>197</v>
      </c>
      <c r="BS774" s="37" t="s">
        <v>197</v>
      </c>
      <c r="BT774" s="37" t="s">
        <v>197</v>
      </c>
    </row>
    <row r="775" spans="5:72" x14ac:dyDescent="0.25">
      <c r="E775" s="36" t="s">
        <v>20</v>
      </c>
      <c r="F775" s="36">
        <f t="shared" si="253"/>
        <v>0</v>
      </c>
      <c r="G775" s="36">
        <f t="shared" si="254"/>
        <v>0</v>
      </c>
      <c r="H775" s="36">
        <f t="shared" si="255"/>
        <v>0</v>
      </c>
      <c r="I775" s="36">
        <f t="shared" si="256"/>
        <v>0</v>
      </c>
      <c r="J775" s="36">
        <f t="shared" si="257"/>
        <v>0</v>
      </c>
      <c r="K775" s="36">
        <f t="shared" si="258"/>
        <v>0</v>
      </c>
      <c r="L775" s="36">
        <f t="shared" si="259"/>
        <v>0</v>
      </c>
      <c r="M775" s="36">
        <f t="shared" si="260"/>
        <v>0</v>
      </c>
      <c r="N775" s="36">
        <f t="shared" si="261"/>
        <v>0</v>
      </c>
      <c r="O775" s="36">
        <f t="shared" si="262"/>
        <v>0</v>
      </c>
      <c r="P775" s="36">
        <f t="shared" si="263"/>
        <v>0</v>
      </c>
      <c r="Q775" s="36">
        <f t="shared" si="264"/>
        <v>0</v>
      </c>
      <c r="R775" s="36">
        <f t="shared" si="265"/>
        <v>0</v>
      </c>
      <c r="S775" s="36">
        <f t="shared" si="266"/>
        <v>0</v>
      </c>
      <c r="T775" s="36">
        <f t="shared" si="267"/>
        <v>0</v>
      </c>
      <c r="U775" s="36">
        <f t="shared" si="268"/>
        <v>0</v>
      </c>
      <c r="V775" s="36">
        <f t="shared" si="269"/>
        <v>0</v>
      </c>
      <c r="W775" s="36">
        <f t="shared" si="270"/>
        <v>0</v>
      </c>
      <c r="X775" s="36">
        <f t="shared" si="271"/>
        <v>0</v>
      </c>
      <c r="Y775" s="36">
        <f t="shared" si="272"/>
        <v>0</v>
      </c>
      <c r="Z775" s="36">
        <f t="shared" si="273"/>
        <v>0</v>
      </c>
      <c r="AB775" s="36" t="str">
        <f>IF(最佳化斷筋點!C775="","",最佳化斷筋點!C775)</f>
        <v>上層</v>
      </c>
      <c r="AC775" s="37">
        <f>IF(最佳化斷筋點!D775="","",最佳化斷筋點!D775)</f>
        <v>10</v>
      </c>
      <c r="AD775" s="37">
        <f>IF(最佳化斷筋點!E775="","",最佳化斷筋點!E775)</f>
        <v>10</v>
      </c>
      <c r="AE775" s="37">
        <f>IF(最佳化斷筋點!F775="","",最佳化斷筋點!F775)</f>
        <v>10</v>
      </c>
      <c r="AF775" s="37">
        <f>IF(最佳化斷筋點!G775="","",最佳化斷筋點!G775)</f>
        <v>10</v>
      </c>
      <c r="AG775" s="37">
        <f>IF(最佳化斷筋點!H775="","",最佳化斷筋點!H775)</f>
        <v>10</v>
      </c>
      <c r="AH775" s="37">
        <f>IF(最佳化斷筋點!I775="","",最佳化斷筋點!I775)</f>
        <v>10</v>
      </c>
      <c r="AI775" s="37">
        <f>IF(最佳化斷筋點!J775="","",最佳化斷筋點!J775)</f>
        <v>10</v>
      </c>
      <c r="AJ775" s="37">
        <f>IF(最佳化斷筋點!K775="","",最佳化斷筋點!K775)</f>
        <v>9</v>
      </c>
      <c r="AK775" s="37">
        <f>IF(最佳化斷筋點!L775="","",最佳化斷筋點!L775)</f>
        <v>9</v>
      </c>
      <c r="AL775" s="37">
        <f>IF(最佳化斷筋點!M775="","",最佳化斷筋點!M775)</f>
        <v>8</v>
      </c>
      <c r="AM775" s="37">
        <f>IF(最佳化斷筋點!N775="","",最佳化斷筋點!N775)</f>
        <v>7</v>
      </c>
      <c r="AN775" s="37">
        <f>IF(最佳化斷筋點!O775="","",最佳化斷筋點!O775)</f>
        <v>6</v>
      </c>
      <c r="AO775" s="37">
        <f>IF(最佳化斷筋點!P775="","",最佳化斷筋點!P775)</f>
        <v>7</v>
      </c>
      <c r="AP775" s="37">
        <f>IF(最佳化斷筋點!Q775="","",最佳化斷筋點!Q775)</f>
        <v>8</v>
      </c>
      <c r="AQ775" s="37">
        <f>IF(最佳化斷筋點!R775="","",最佳化斷筋點!R775)</f>
        <v>9</v>
      </c>
      <c r="AR775" s="37">
        <f>IF(最佳化斷筋點!S775="","",最佳化斷筋點!S775)</f>
        <v>9</v>
      </c>
      <c r="AS775" s="37">
        <f>IF(最佳化斷筋點!T775="","",最佳化斷筋點!T775)</f>
        <v>9</v>
      </c>
      <c r="AT775" s="37">
        <f>IF(最佳化斷筋點!U775="","",最佳化斷筋點!U775)</f>
        <v>9</v>
      </c>
      <c r="AU775" s="37">
        <f>IF(最佳化斷筋點!V775="","",最佳化斷筋點!V775)</f>
        <v>9</v>
      </c>
      <c r="AV775" s="37">
        <f>IF(最佳化斷筋點!W775="","",最佳化斷筋點!W775)</f>
        <v>9</v>
      </c>
      <c r="AW775" s="37">
        <f>IF(最佳化斷筋點!X775="","",最佳化斷筋點!X775)</f>
        <v>9</v>
      </c>
      <c r="AZ775" s="37">
        <v>10</v>
      </c>
      <c r="BA775" s="37">
        <v>10</v>
      </c>
      <c r="BB775" s="37">
        <v>10</v>
      </c>
      <c r="BC775" s="37">
        <v>10</v>
      </c>
      <c r="BD775" s="37">
        <v>10</v>
      </c>
      <c r="BE775" s="37">
        <v>10</v>
      </c>
      <c r="BF775" s="37">
        <v>10</v>
      </c>
      <c r="BG775" s="37">
        <v>9</v>
      </c>
      <c r="BH775" s="37">
        <v>9</v>
      </c>
      <c r="BI775" s="37">
        <v>8</v>
      </c>
      <c r="BJ775" s="37">
        <v>7</v>
      </c>
      <c r="BK775" s="37">
        <v>6</v>
      </c>
      <c r="BL775" s="37">
        <v>7</v>
      </c>
      <c r="BM775" s="37">
        <v>8</v>
      </c>
      <c r="BN775" s="37">
        <v>9</v>
      </c>
      <c r="BO775" s="37">
        <v>9</v>
      </c>
      <c r="BP775" s="37">
        <v>9</v>
      </c>
      <c r="BQ775" s="37">
        <v>9</v>
      </c>
      <c r="BR775" s="37">
        <v>9</v>
      </c>
      <c r="BS775" s="37">
        <v>9</v>
      </c>
      <c r="BT775" s="37">
        <v>9</v>
      </c>
    </row>
    <row r="776" spans="5:72" x14ac:dyDescent="0.25">
      <c r="E776" s="36"/>
      <c r="F776" s="36">
        <f t="shared" si="253"/>
        <v>0</v>
      </c>
      <c r="G776" s="36">
        <f t="shared" si="254"/>
        <v>0</v>
      </c>
      <c r="H776" s="36">
        <f t="shared" si="255"/>
        <v>0</v>
      </c>
      <c r="I776" s="36">
        <f t="shared" si="256"/>
        <v>0</v>
      </c>
      <c r="J776" s="36">
        <f t="shared" si="257"/>
        <v>0</v>
      </c>
      <c r="K776" s="36">
        <f t="shared" si="258"/>
        <v>0</v>
      </c>
      <c r="L776" s="36">
        <f t="shared" si="259"/>
        <v>0</v>
      </c>
      <c r="M776" s="36">
        <f t="shared" si="260"/>
        <v>0</v>
      </c>
      <c r="N776" s="36">
        <f t="shared" si="261"/>
        <v>0</v>
      </c>
      <c r="O776" s="36">
        <f t="shared" si="262"/>
        <v>0</v>
      </c>
      <c r="P776" s="36">
        <f t="shared" si="263"/>
        <v>0</v>
      </c>
      <c r="Q776" s="36">
        <f t="shared" si="264"/>
        <v>0</v>
      </c>
      <c r="R776" s="36">
        <f t="shared" si="265"/>
        <v>0</v>
      </c>
      <c r="S776" s="36">
        <f t="shared" si="266"/>
        <v>0</v>
      </c>
      <c r="T776" s="36">
        <f t="shared" si="267"/>
        <v>0</v>
      </c>
      <c r="U776" s="36">
        <f t="shared" si="268"/>
        <v>0</v>
      </c>
      <c r="V776" s="36">
        <f t="shared" si="269"/>
        <v>0</v>
      </c>
      <c r="W776" s="36">
        <f t="shared" si="270"/>
        <v>0</v>
      </c>
      <c r="X776" s="36">
        <f t="shared" si="271"/>
        <v>0</v>
      </c>
      <c r="Y776" s="36">
        <f t="shared" si="272"/>
        <v>0</v>
      </c>
      <c r="Z776" s="36">
        <f t="shared" si="273"/>
        <v>0</v>
      </c>
      <c r="AB776" s="36" t="str">
        <f>IF(最佳化斷筋點!C776="","",最佳化斷筋點!C776)</f>
        <v/>
      </c>
      <c r="AC776" s="37" t="str">
        <f>IF(最佳化斷筋點!D776="","",最佳化斷筋點!D776)</f>
        <v/>
      </c>
      <c r="AD776" s="37" t="str">
        <f>IF(最佳化斷筋點!E776="","",最佳化斷筋點!E776)</f>
        <v/>
      </c>
      <c r="AE776" s="37" t="str">
        <f>IF(最佳化斷筋點!F776="","",最佳化斷筋點!F776)</f>
        <v/>
      </c>
      <c r="AF776" s="37" t="str">
        <f>IF(最佳化斷筋點!G776="","",最佳化斷筋點!G776)</f>
        <v/>
      </c>
      <c r="AG776" s="37" t="str">
        <f>IF(最佳化斷筋點!H776="","",最佳化斷筋點!H776)</f>
        <v/>
      </c>
      <c r="AH776" s="37" t="str">
        <f>IF(最佳化斷筋點!I776="","",最佳化斷筋點!I776)</f>
        <v/>
      </c>
      <c r="AI776" s="37" t="str">
        <f>IF(最佳化斷筋點!J776="","",最佳化斷筋點!J776)</f>
        <v/>
      </c>
      <c r="AJ776" s="37" t="str">
        <f>IF(最佳化斷筋點!K776="","",最佳化斷筋點!K776)</f>
        <v/>
      </c>
      <c r="AK776" s="37" t="str">
        <f>IF(最佳化斷筋點!L776="","",最佳化斷筋點!L776)</f>
        <v/>
      </c>
      <c r="AL776" s="37" t="str">
        <f>IF(最佳化斷筋點!M776="","",最佳化斷筋點!M776)</f>
        <v/>
      </c>
      <c r="AM776" s="37" t="str">
        <f>IF(最佳化斷筋點!N776="","",最佳化斷筋點!N776)</f>
        <v/>
      </c>
      <c r="AN776" s="37" t="str">
        <f>IF(最佳化斷筋點!O776="","",最佳化斷筋點!O776)</f>
        <v/>
      </c>
      <c r="AO776" s="37" t="str">
        <f>IF(最佳化斷筋點!P776="","",最佳化斷筋點!P776)</f>
        <v/>
      </c>
      <c r="AP776" s="37" t="str">
        <f>IF(最佳化斷筋點!Q776="","",最佳化斷筋點!Q776)</f>
        <v/>
      </c>
      <c r="AQ776" s="37" t="str">
        <f>IF(最佳化斷筋點!R776="","",最佳化斷筋點!R776)</f>
        <v/>
      </c>
      <c r="AR776" s="37" t="str">
        <f>IF(最佳化斷筋點!S776="","",最佳化斷筋點!S776)</f>
        <v/>
      </c>
      <c r="AS776" s="37" t="str">
        <f>IF(最佳化斷筋點!T776="","",最佳化斷筋點!T776)</f>
        <v/>
      </c>
      <c r="AT776" s="37" t="str">
        <f>IF(最佳化斷筋點!U776="","",最佳化斷筋點!U776)</f>
        <v/>
      </c>
      <c r="AU776" s="37" t="str">
        <f>IF(最佳化斷筋點!V776="","",最佳化斷筋點!V776)</f>
        <v/>
      </c>
      <c r="AV776" s="37" t="str">
        <f>IF(最佳化斷筋點!W776="","",最佳化斷筋點!W776)</f>
        <v/>
      </c>
      <c r="AW776" s="37" t="str">
        <f>IF(最佳化斷筋點!X776="","",最佳化斷筋點!X776)</f>
        <v/>
      </c>
      <c r="AZ776" s="37" t="s">
        <v>197</v>
      </c>
      <c r="BA776" s="37" t="s">
        <v>197</v>
      </c>
      <c r="BB776" s="37" t="s">
        <v>197</v>
      </c>
      <c r="BC776" s="37" t="s">
        <v>197</v>
      </c>
      <c r="BD776" s="37" t="s">
        <v>197</v>
      </c>
      <c r="BE776" s="37" t="s">
        <v>197</v>
      </c>
      <c r="BF776" s="37" t="s">
        <v>197</v>
      </c>
      <c r="BG776" s="37" t="s">
        <v>197</v>
      </c>
      <c r="BH776" s="37" t="s">
        <v>197</v>
      </c>
      <c r="BI776" s="37" t="s">
        <v>197</v>
      </c>
      <c r="BJ776" s="37" t="s">
        <v>197</v>
      </c>
      <c r="BK776" s="37" t="s">
        <v>197</v>
      </c>
      <c r="BL776" s="37" t="s">
        <v>197</v>
      </c>
      <c r="BM776" s="37" t="s">
        <v>197</v>
      </c>
      <c r="BN776" s="37" t="s">
        <v>197</v>
      </c>
      <c r="BO776" s="37" t="s">
        <v>197</v>
      </c>
      <c r="BP776" s="37" t="s">
        <v>197</v>
      </c>
      <c r="BQ776" s="37" t="s">
        <v>197</v>
      </c>
      <c r="BR776" s="37" t="s">
        <v>197</v>
      </c>
      <c r="BS776" s="37" t="s">
        <v>197</v>
      </c>
      <c r="BT776" s="37" t="s">
        <v>197</v>
      </c>
    </row>
    <row r="777" spans="5:72" x14ac:dyDescent="0.25">
      <c r="E777" s="36" t="s">
        <v>21</v>
      </c>
      <c r="F777" s="36">
        <f t="shared" si="253"/>
        <v>0</v>
      </c>
      <c r="G777" s="36">
        <f t="shared" si="254"/>
        <v>0</v>
      </c>
      <c r="H777" s="36">
        <f t="shared" si="255"/>
        <v>0</v>
      </c>
      <c r="I777" s="36">
        <f t="shared" si="256"/>
        <v>0</v>
      </c>
      <c r="J777" s="36">
        <f t="shared" si="257"/>
        <v>0</v>
      </c>
      <c r="K777" s="36">
        <f t="shared" si="258"/>
        <v>0</v>
      </c>
      <c r="L777" s="36">
        <f t="shared" si="259"/>
        <v>0</v>
      </c>
      <c r="M777" s="36">
        <f t="shared" si="260"/>
        <v>0</v>
      </c>
      <c r="N777" s="36">
        <f t="shared" si="261"/>
        <v>0</v>
      </c>
      <c r="O777" s="36">
        <f t="shared" si="262"/>
        <v>0</v>
      </c>
      <c r="P777" s="36">
        <f t="shared" si="263"/>
        <v>0</v>
      </c>
      <c r="Q777" s="36">
        <f t="shared" si="264"/>
        <v>0</v>
      </c>
      <c r="R777" s="36">
        <f t="shared" si="265"/>
        <v>0</v>
      </c>
      <c r="S777" s="36">
        <f t="shared" si="266"/>
        <v>0</v>
      </c>
      <c r="T777" s="36">
        <f t="shared" si="267"/>
        <v>0</v>
      </c>
      <c r="U777" s="36">
        <f t="shared" si="268"/>
        <v>0</v>
      </c>
      <c r="V777" s="36">
        <f t="shared" si="269"/>
        <v>0</v>
      </c>
      <c r="W777" s="36">
        <f t="shared" si="270"/>
        <v>0</v>
      </c>
      <c r="X777" s="36">
        <f t="shared" si="271"/>
        <v>0</v>
      </c>
      <c r="Y777" s="36">
        <f t="shared" si="272"/>
        <v>0</v>
      </c>
      <c r="Z777" s="36">
        <f t="shared" si="273"/>
        <v>0</v>
      </c>
      <c r="AB777" s="36" t="str">
        <f>IF(最佳化斷筋點!C777="","",最佳化斷筋點!C777)</f>
        <v>下層</v>
      </c>
      <c r="AC777" s="37">
        <f>IF(最佳化斷筋點!D777="","",最佳化斷筋點!D777)</f>
        <v>13</v>
      </c>
      <c r="AD777" s="37">
        <f>IF(最佳化斷筋點!E777="","",最佳化斷筋點!E777)</f>
        <v>13</v>
      </c>
      <c r="AE777" s="37">
        <f>IF(最佳化斷筋點!F777="","",最佳化斷筋點!F777)</f>
        <v>13</v>
      </c>
      <c r="AF777" s="37">
        <f>IF(最佳化斷筋點!G777="","",最佳化斷筋點!G777)</f>
        <v>13</v>
      </c>
      <c r="AG777" s="37">
        <f>IF(最佳化斷筋點!H777="","",最佳化斷筋點!H777)</f>
        <v>13</v>
      </c>
      <c r="AH777" s="37">
        <f>IF(最佳化斷筋點!I777="","",最佳化斷筋點!I777)</f>
        <v>13</v>
      </c>
      <c r="AI777" s="37">
        <f>IF(最佳化斷筋點!J777="","",最佳化斷筋點!J777)</f>
        <v>13</v>
      </c>
      <c r="AJ777" s="37">
        <f>IF(最佳化斷筋點!K777="","",最佳化斷筋點!K777)</f>
        <v>13</v>
      </c>
      <c r="AK777" s="37">
        <f>IF(最佳化斷筋點!L777="","",最佳化斷筋點!L777)</f>
        <v>13</v>
      </c>
      <c r="AL777" s="37">
        <f>IF(最佳化斷筋點!M777="","",最佳化斷筋點!M777)</f>
        <v>13</v>
      </c>
      <c r="AM777" s="37">
        <f>IF(最佳化斷筋點!N777="","",最佳化斷筋點!N777)</f>
        <v>13</v>
      </c>
      <c r="AN777" s="37">
        <f>IF(最佳化斷筋點!O777="","",最佳化斷筋點!O777)</f>
        <v>13</v>
      </c>
      <c r="AO777" s="37">
        <f>IF(最佳化斷筋點!P777="","",最佳化斷筋點!P777)</f>
        <v>13</v>
      </c>
      <c r="AP777" s="37">
        <f>IF(最佳化斷筋點!Q777="","",最佳化斷筋點!Q777)</f>
        <v>13</v>
      </c>
      <c r="AQ777" s="37">
        <f>IF(最佳化斷筋點!R777="","",最佳化斷筋點!R777)</f>
        <v>13</v>
      </c>
      <c r="AR777" s="37">
        <f>IF(最佳化斷筋點!S777="","",最佳化斷筋點!S777)</f>
        <v>13</v>
      </c>
      <c r="AS777" s="37">
        <f>IF(最佳化斷筋點!T777="","",最佳化斷筋點!T777)</f>
        <v>13</v>
      </c>
      <c r="AT777" s="37">
        <f>IF(最佳化斷筋點!U777="","",最佳化斷筋點!U777)</f>
        <v>13</v>
      </c>
      <c r="AU777" s="37">
        <f>IF(最佳化斷筋點!V777="","",最佳化斷筋點!V777)</f>
        <v>12</v>
      </c>
      <c r="AV777" s="37">
        <f>IF(最佳化斷筋點!W777="","",最佳化斷筋點!W777)</f>
        <v>12</v>
      </c>
      <c r="AW777" s="37">
        <f>IF(最佳化斷筋點!X777="","",最佳化斷筋點!X777)</f>
        <v>12</v>
      </c>
      <c r="AZ777" s="37">
        <v>13</v>
      </c>
      <c r="BA777" s="37">
        <v>13</v>
      </c>
      <c r="BB777" s="37">
        <v>13</v>
      </c>
      <c r="BC777" s="37">
        <v>13</v>
      </c>
      <c r="BD777" s="37">
        <v>13</v>
      </c>
      <c r="BE777" s="37">
        <v>13</v>
      </c>
      <c r="BF777" s="37">
        <v>13</v>
      </c>
      <c r="BG777" s="37">
        <v>13</v>
      </c>
      <c r="BH777" s="37">
        <v>13</v>
      </c>
      <c r="BI777" s="37">
        <v>13</v>
      </c>
      <c r="BJ777" s="37">
        <v>13</v>
      </c>
      <c r="BK777" s="37">
        <v>13</v>
      </c>
      <c r="BL777" s="37">
        <v>13</v>
      </c>
      <c r="BM777" s="37">
        <v>13</v>
      </c>
      <c r="BN777" s="37">
        <v>13</v>
      </c>
      <c r="BO777" s="37">
        <v>13</v>
      </c>
      <c r="BP777" s="37">
        <v>13</v>
      </c>
      <c r="BQ777" s="37">
        <v>13</v>
      </c>
      <c r="BR777" s="37">
        <v>12</v>
      </c>
      <c r="BS777" s="37">
        <v>12</v>
      </c>
      <c r="BT777" s="37">
        <v>12</v>
      </c>
    </row>
    <row r="778" spans="5:72" x14ac:dyDescent="0.25">
      <c r="E778" s="36"/>
      <c r="F778" s="36">
        <f t="shared" si="253"/>
        <v>0</v>
      </c>
      <c r="G778" s="36">
        <f t="shared" si="254"/>
        <v>0</v>
      </c>
      <c r="H778" s="36">
        <f t="shared" si="255"/>
        <v>0</v>
      </c>
      <c r="I778" s="36">
        <f t="shared" si="256"/>
        <v>0</v>
      </c>
      <c r="J778" s="36">
        <f t="shared" si="257"/>
        <v>0</v>
      </c>
      <c r="K778" s="36">
        <f t="shared" si="258"/>
        <v>0</v>
      </c>
      <c r="L778" s="36">
        <f t="shared" si="259"/>
        <v>0</v>
      </c>
      <c r="M778" s="36">
        <f t="shared" si="260"/>
        <v>0</v>
      </c>
      <c r="N778" s="36">
        <f t="shared" si="261"/>
        <v>0</v>
      </c>
      <c r="O778" s="36">
        <f t="shared" si="262"/>
        <v>0</v>
      </c>
      <c r="P778" s="36">
        <f t="shared" si="263"/>
        <v>0</v>
      </c>
      <c r="Q778" s="36">
        <f t="shared" si="264"/>
        <v>0</v>
      </c>
      <c r="R778" s="36">
        <f t="shared" si="265"/>
        <v>0</v>
      </c>
      <c r="S778" s="36">
        <f t="shared" si="266"/>
        <v>0</v>
      </c>
      <c r="T778" s="36">
        <f t="shared" si="267"/>
        <v>0</v>
      </c>
      <c r="U778" s="36">
        <f t="shared" si="268"/>
        <v>0</v>
      </c>
      <c r="V778" s="36">
        <f t="shared" si="269"/>
        <v>0</v>
      </c>
      <c r="W778" s="36">
        <f t="shared" si="270"/>
        <v>0</v>
      </c>
      <c r="X778" s="36">
        <f t="shared" si="271"/>
        <v>0</v>
      </c>
      <c r="Y778" s="36">
        <f t="shared" si="272"/>
        <v>0</v>
      </c>
      <c r="Z778" s="36">
        <f t="shared" si="273"/>
        <v>0</v>
      </c>
      <c r="AB778" s="36" t="str">
        <f>IF(最佳化斷筋點!C778="","",最佳化斷筋點!C778)</f>
        <v/>
      </c>
      <c r="AC778" s="37" t="str">
        <f>IF(最佳化斷筋點!D778="","",最佳化斷筋點!D778)</f>
        <v/>
      </c>
      <c r="AD778" s="37" t="str">
        <f>IF(最佳化斷筋點!E778="","",最佳化斷筋點!E778)</f>
        <v/>
      </c>
      <c r="AE778" s="37" t="str">
        <f>IF(最佳化斷筋點!F778="","",最佳化斷筋點!F778)</f>
        <v/>
      </c>
      <c r="AF778" s="37" t="str">
        <f>IF(最佳化斷筋點!G778="","",最佳化斷筋點!G778)</f>
        <v/>
      </c>
      <c r="AG778" s="37" t="str">
        <f>IF(最佳化斷筋點!H778="","",最佳化斷筋點!H778)</f>
        <v/>
      </c>
      <c r="AH778" s="37" t="str">
        <f>IF(最佳化斷筋點!I778="","",最佳化斷筋點!I778)</f>
        <v/>
      </c>
      <c r="AI778" s="37" t="str">
        <f>IF(最佳化斷筋點!J778="","",最佳化斷筋點!J778)</f>
        <v/>
      </c>
      <c r="AJ778" s="37" t="str">
        <f>IF(最佳化斷筋點!K778="","",最佳化斷筋點!K778)</f>
        <v/>
      </c>
      <c r="AK778" s="37" t="str">
        <f>IF(最佳化斷筋點!L778="","",最佳化斷筋點!L778)</f>
        <v/>
      </c>
      <c r="AL778" s="37" t="str">
        <f>IF(最佳化斷筋點!M778="","",最佳化斷筋點!M778)</f>
        <v/>
      </c>
      <c r="AM778" s="37" t="str">
        <f>IF(最佳化斷筋點!N778="","",最佳化斷筋點!N778)</f>
        <v/>
      </c>
      <c r="AN778" s="37" t="str">
        <f>IF(最佳化斷筋點!O778="","",最佳化斷筋點!O778)</f>
        <v/>
      </c>
      <c r="AO778" s="37" t="str">
        <f>IF(最佳化斷筋點!P778="","",最佳化斷筋點!P778)</f>
        <v/>
      </c>
      <c r="AP778" s="37" t="str">
        <f>IF(最佳化斷筋點!Q778="","",最佳化斷筋點!Q778)</f>
        <v/>
      </c>
      <c r="AQ778" s="37" t="str">
        <f>IF(最佳化斷筋點!R778="","",最佳化斷筋點!R778)</f>
        <v/>
      </c>
      <c r="AR778" s="37" t="str">
        <f>IF(最佳化斷筋點!S778="","",最佳化斷筋點!S778)</f>
        <v/>
      </c>
      <c r="AS778" s="37" t="str">
        <f>IF(最佳化斷筋點!T778="","",最佳化斷筋點!T778)</f>
        <v/>
      </c>
      <c r="AT778" s="37" t="str">
        <f>IF(最佳化斷筋點!U778="","",最佳化斷筋點!U778)</f>
        <v/>
      </c>
      <c r="AU778" s="37" t="str">
        <f>IF(最佳化斷筋點!V778="","",最佳化斷筋點!V778)</f>
        <v/>
      </c>
      <c r="AV778" s="37" t="str">
        <f>IF(最佳化斷筋點!W778="","",最佳化斷筋點!W778)</f>
        <v/>
      </c>
      <c r="AW778" s="37" t="str">
        <f>IF(最佳化斷筋點!X778="","",最佳化斷筋點!X778)</f>
        <v/>
      </c>
      <c r="AZ778" s="37" t="s">
        <v>197</v>
      </c>
      <c r="BA778" s="37" t="s">
        <v>197</v>
      </c>
      <c r="BB778" s="37" t="s">
        <v>197</v>
      </c>
      <c r="BC778" s="37" t="s">
        <v>197</v>
      </c>
      <c r="BD778" s="37" t="s">
        <v>197</v>
      </c>
      <c r="BE778" s="37" t="s">
        <v>197</v>
      </c>
      <c r="BF778" s="37" t="s">
        <v>197</v>
      </c>
      <c r="BG778" s="37" t="s">
        <v>197</v>
      </c>
      <c r="BH778" s="37" t="s">
        <v>197</v>
      </c>
      <c r="BI778" s="37" t="s">
        <v>197</v>
      </c>
      <c r="BJ778" s="37" t="s">
        <v>197</v>
      </c>
      <c r="BK778" s="37" t="s">
        <v>197</v>
      </c>
      <c r="BL778" s="37" t="s">
        <v>197</v>
      </c>
      <c r="BM778" s="37" t="s">
        <v>197</v>
      </c>
      <c r="BN778" s="37" t="s">
        <v>197</v>
      </c>
      <c r="BO778" s="37" t="s">
        <v>197</v>
      </c>
      <c r="BP778" s="37" t="s">
        <v>197</v>
      </c>
      <c r="BQ778" s="37" t="s">
        <v>197</v>
      </c>
      <c r="BR778" s="37" t="s">
        <v>197</v>
      </c>
      <c r="BS778" s="37" t="s">
        <v>197</v>
      </c>
      <c r="BT778" s="37" t="s">
        <v>197</v>
      </c>
    </row>
    <row r="779" spans="5:72" x14ac:dyDescent="0.25">
      <c r="E779" s="36" t="s">
        <v>20</v>
      </c>
      <c r="F779" s="36">
        <f t="shared" si="253"/>
        <v>0</v>
      </c>
      <c r="G779" s="36">
        <f t="shared" si="254"/>
        <v>0</v>
      </c>
      <c r="H779" s="36">
        <f t="shared" si="255"/>
        <v>0</v>
      </c>
      <c r="I779" s="36">
        <f t="shared" si="256"/>
        <v>0</v>
      </c>
      <c r="J779" s="36">
        <f t="shared" si="257"/>
        <v>0</v>
      </c>
      <c r="K779" s="36">
        <f t="shared" si="258"/>
        <v>0</v>
      </c>
      <c r="L779" s="36">
        <f t="shared" si="259"/>
        <v>0</v>
      </c>
      <c r="M779" s="36">
        <f t="shared" si="260"/>
        <v>0</v>
      </c>
      <c r="N779" s="36">
        <f t="shared" si="261"/>
        <v>0</v>
      </c>
      <c r="O779" s="36">
        <f t="shared" si="262"/>
        <v>0</v>
      </c>
      <c r="P779" s="36">
        <f t="shared" si="263"/>
        <v>0</v>
      </c>
      <c r="Q779" s="36">
        <f t="shared" si="264"/>
        <v>0</v>
      </c>
      <c r="R779" s="36">
        <f t="shared" si="265"/>
        <v>0</v>
      </c>
      <c r="S779" s="36">
        <f t="shared" si="266"/>
        <v>0</v>
      </c>
      <c r="T779" s="36">
        <f t="shared" si="267"/>
        <v>0</v>
      </c>
      <c r="U779" s="36">
        <f t="shared" si="268"/>
        <v>0</v>
      </c>
      <c r="V779" s="36">
        <f t="shared" si="269"/>
        <v>0</v>
      </c>
      <c r="W779" s="36">
        <f t="shared" si="270"/>
        <v>0</v>
      </c>
      <c r="X779" s="36">
        <f t="shared" si="271"/>
        <v>0</v>
      </c>
      <c r="Y779" s="36">
        <f t="shared" si="272"/>
        <v>0</v>
      </c>
      <c r="Z779" s="36">
        <f t="shared" si="273"/>
        <v>0</v>
      </c>
      <c r="AB779" s="36" t="str">
        <f>IF(最佳化斷筋點!C779="","",最佳化斷筋點!C779)</f>
        <v>上層</v>
      </c>
      <c r="AC779" s="37">
        <f>IF(最佳化斷筋點!D779="","",最佳化斷筋點!D779)</f>
        <v>11</v>
      </c>
      <c r="AD779" s="37">
        <f>IF(最佳化斷筋點!E779="","",最佳化斷筋點!E779)</f>
        <v>11</v>
      </c>
      <c r="AE779" s="37">
        <f>IF(最佳化斷筋點!F779="","",最佳化斷筋點!F779)</f>
        <v>11</v>
      </c>
      <c r="AF779" s="37">
        <f>IF(最佳化斷筋點!G779="","",最佳化斷筋點!G779)</f>
        <v>11</v>
      </c>
      <c r="AG779" s="37">
        <f>IF(最佳化斷筋點!H779="","",最佳化斷筋點!H779)</f>
        <v>11</v>
      </c>
      <c r="AH779" s="37">
        <f>IF(最佳化斷筋點!I779="","",最佳化斷筋點!I779)</f>
        <v>11</v>
      </c>
      <c r="AI779" s="37">
        <f>IF(最佳化斷筋點!J779="","",最佳化斷筋點!J779)</f>
        <v>10</v>
      </c>
      <c r="AJ779" s="37">
        <f>IF(最佳化斷筋點!K779="","",最佳化斷筋點!K779)</f>
        <v>4</v>
      </c>
      <c r="AK779" s="37">
        <f>IF(最佳化斷筋點!L779="","",最佳化斷筋點!L779)</f>
        <v>4</v>
      </c>
      <c r="AL779" s="37">
        <f>IF(最佳化斷筋點!M779="","",最佳化斷筋點!M779)</f>
        <v>4</v>
      </c>
      <c r="AM779" s="37">
        <f>IF(最佳化斷筋點!N779="","",最佳化斷筋點!N779)</f>
        <v>4</v>
      </c>
      <c r="AN779" s="37">
        <f>IF(最佳化斷筋點!O779="","",最佳化斷筋點!O779)</f>
        <v>4</v>
      </c>
      <c r="AO779" s="37">
        <f>IF(最佳化斷筋點!P779="","",最佳化斷筋點!P779)</f>
        <v>4</v>
      </c>
      <c r="AP779" s="37">
        <f>IF(最佳化斷筋點!Q779="","",最佳化斷筋點!Q779)</f>
        <v>7</v>
      </c>
      <c r="AQ779" s="37">
        <f>IF(最佳化斷筋點!R779="","",最佳化斷筋點!R779)</f>
        <v>8</v>
      </c>
      <c r="AR779" s="37">
        <f>IF(最佳化斷筋點!S779="","",最佳化斷筋點!S779)</f>
        <v>9</v>
      </c>
      <c r="AS779" s="37">
        <f>IF(最佳化斷筋點!T779="","",最佳化斷筋點!T779)</f>
        <v>9</v>
      </c>
      <c r="AT779" s="37">
        <f>IF(最佳化斷筋點!U779="","",最佳化斷筋點!U779)</f>
        <v>9</v>
      </c>
      <c r="AU779" s="37">
        <f>IF(最佳化斷筋點!V779="","",最佳化斷筋點!V779)</f>
        <v>9</v>
      </c>
      <c r="AV779" s="37">
        <f>IF(最佳化斷筋點!W779="","",最佳化斷筋點!W779)</f>
        <v>9</v>
      </c>
      <c r="AW779" s="37">
        <f>IF(最佳化斷筋點!X779="","",最佳化斷筋點!X779)</f>
        <v>9</v>
      </c>
      <c r="AZ779" s="37">
        <v>11</v>
      </c>
      <c r="BA779" s="37">
        <v>11</v>
      </c>
      <c r="BB779" s="37">
        <v>11</v>
      </c>
      <c r="BC779" s="37">
        <v>11</v>
      </c>
      <c r="BD779" s="37">
        <v>11</v>
      </c>
      <c r="BE779" s="37">
        <v>11</v>
      </c>
      <c r="BF779" s="37">
        <v>10</v>
      </c>
      <c r="BG779" s="37">
        <v>4</v>
      </c>
      <c r="BH779" s="37">
        <v>4</v>
      </c>
      <c r="BI779" s="37">
        <v>4</v>
      </c>
      <c r="BJ779" s="37">
        <v>4</v>
      </c>
      <c r="BK779" s="37">
        <v>4</v>
      </c>
      <c r="BL779" s="37">
        <v>4</v>
      </c>
      <c r="BM779" s="37">
        <v>7</v>
      </c>
      <c r="BN779" s="37">
        <v>8</v>
      </c>
      <c r="BO779" s="37">
        <v>9</v>
      </c>
      <c r="BP779" s="37">
        <v>9</v>
      </c>
      <c r="BQ779" s="37">
        <v>9</v>
      </c>
      <c r="BR779" s="37">
        <v>9</v>
      </c>
      <c r="BS779" s="37">
        <v>9</v>
      </c>
      <c r="BT779" s="37">
        <v>9</v>
      </c>
    </row>
    <row r="780" spans="5:72" x14ac:dyDescent="0.25">
      <c r="E780" s="36"/>
      <c r="F780" s="36">
        <f t="shared" si="253"/>
        <v>0</v>
      </c>
      <c r="G780" s="36">
        <f t="shared" si="254"/>
        <v>0</v>
      </c>
      <c r="H780" s="36">
        <f t="shared" si="255"/>
        <v>0</v>
      </c>
      <c r="I780" s="36">
        <f t="shared" si="256"/>
        <v>0</v>
      </c>
      <c r="J780" s="36">
        <f t="shared" si="257"/>
        <v>0</v>
      </c>
      <c r="K780" s="36">
        <f t="shared" si="258"/>
        <v>0</v>
      </c>
      <c r="L780" s="36">
        <f t="shared" si="259"/>
        <v>0</v>
      </c>
      <c r="M780" s="36">
        <f t="shared" si="260"/>
        <v>0</v>
      </c>
      <c r="N780" s="36">
        <f t="shared" si="261"/>
        <v>0</v>
      </c>
      <c r="O780" s="36">
        <f t="shared" si="262"/>
        <v>0</v>
      </c>
      <c r="P780" s="36">
        <f t="shared" si="263"/>
        <v>0</v>
      </c>
      <c r="Q780" s="36">
        <f t="shared" si="264"/>
        <v>0</v>
      </c>
      <c r="R780" s="36">
        <f t="shared" si="265"/>
        <v>0</v>
      </c>
      <c r="S780" s="36">
        <f t="shared" si="266"/>
        <v>0</v>
      </c>
      <c r="T780" s="36">
        <f t="shared" si="267"/>
        <v>0</v>
      </c>
      <c r="U780" s="36">
        <f t="shared" si="268"/>
        <v>0</v>
      </c>
      <c r="V780" s="36">
        <f t="shared" si="269"/>
        <v>0</v>
      </c>
      <c r="W780" s="36">
        <f t="shared" si="270"/>
        <v>0</v>
      </c>
      <c r="X780" s="36">
        <f t="shared" si="271"/>
        <v>0</v>
      </c>
      <c r="Y780" s="36">
        <f t="shared" si="272"/>
        <v>0</v>
      </c>
      <c r="Z780" s="36">
        <f t="shared" si="273"/>
        <v>0</v>
      </c>
      <c r="AB780" s="36" t="str">
        <f>IF(最佳化斷筋點!C780="","",最佳化斷筋點!C780)</f>
        <v/>
      </c>
      <c r="AC780" s="37" t="str">
        <f>IF(最佳化斷筋點!D780="","",最佳化斷筋點!D780)</f>
        <v/>
      </c>
      <c r="AD780" s="37" t="str">
        <f>IF(最佳化斷筋點!E780="","",最佳化斷筋點!E780)</f>
        <v/>
      </c>
      <c r="AE780" s="37" t="str">
        <f>IF(最佳化斷筋點!F780="","",最佳化斷筋點!F780)</f>
        <v/>
      </c>
      <c r="AF780" s="37" t="str">
        <f>IF(最佳化斷筋點!G780="","",最佳化斷筋點!G780)</f>
        <v/>
      </c>
      <c r="AG780" s="37" t="str">
        <f>IF(最佳化斷筋點!H780="","",最佳化斷筋點!H780)</f>
        <v/>
      </c>
      <c r="AH780" s="37" t="str">
        <f>IF(最佳化斷筋點!I780="","",最佳化斷筋點!I780)</f>
        <v/>
      </c>
      <c r="AI780" s="37" t="str">
        <f>IF(最佳化斷筋點!J780="","",最佳化斷筋點!J780)</f>
        <v/>
      </c>
      <c r="AJ780" s="37" t="str">
        <f>IF(最佳化斷筋點!K780="","",最佳化斷筋點!K780)</f>
        <v/>
      </c>
      <c r="AK780" s="37" t="str">
        <f>IF(最佳化斷筋點!L780="","",最佳化斷筋點!L780)</f>
        <v/>
      </c>
      <c r="AL780" s="37" t="str">
        <f>IF(最佳化斷筋點!M780="","",最佳化斷筋點!M780)</f>
        <v/>
      </c>
      <c r="AM780" s="37" t="str">
        <f>IF(最佳化斷筋點!N780="","",最佳化斷筋點!N780)</f>
        <v/>
      </c>
      <c r="AN780" s="37" t="str">
        <f>IF(最佳化斷筋點!O780="","",最佳化斷筋點!O780)</f>
        <v/>
      </c>
      <c r="AO780" s="37" t="str">
        <f>IF(最佳化斷筋點!P780="","",最佳化斷筋點!P780)</f>
        <v/>
      </c>
      <c r="AP780" s="37" t="str">
        <f>IF(最佳化斷筋點!Q780="","",最佳化斷筋點!Q780)</f>
        <v/>
      </c>
      <c r="AQ780" s="37" t="str">
        <f>IF(最佳化斷筋點!R780="","",最佳化斷筋點!R780)</f>
        <v/>
      </c>
      <c r="AR780" s="37" t="str">
        <f>IF(最佳化斷筋點!S780="","",最佳化斷筋點!S780)</f>
        <v/>
      </c>
      <c r="AS780" s="37" t="str">
        <f>IF(最佳化斷筋點!T780="","",最佳化斷筋點!T780)</f>
        <v/>
      </c>
      <c r="AT780" s="37" t="str">
        <f>IF(最佳化斷筋點!U780="","",最佳化斷筋點!U780)</f>
        <v/>
      </c>
      <c r="AU780" s="37" t="str">
        <f>IF(最佳化斷筋點!V780="","",最佳化斷筋點!V780)</f>
        <v/>
      </c>
      <c r="AV780" s="37" t="str">
        <f>IF(最佳化斷筋點!W780="","",最佳化斷筋點!W780)</f>
        <v/>
      </c>
      <c r="AW780" s="37" t="str">
        <f>IF(最佳化斷筋點!X780="","",最佳化斷筋點!X780)</f>
        <v/>
      </c>
      <c r="AZ780" s="37" t="s">
        <v>197</v>
      </c>
      <c r="BA780" s="37" t="s">
        <v>197</v>
      </c>
      <c r="BB780" s="37" t="s">
        <v>197</v>
      </c>
      <c r="BC780" s="37" t="s">
        <v>197</v>
      </c>
      <c r="BD780" s="37" t="s">
        <v>197</v>
      </c>
      <c r="BE780" s="37" t="s">
        <v>197</v>
      </c>
      <c r="BF780" s="37" t="s">
        <v>197</v>
      </c>
      <c r="BG780" s="37" t="s">
        <v>197</v>
      </c>
      <c r="BH780" s="37" t="s">
        <v>197</v>
      </c>
      <c r="BI780" s="37" t="s">
        <v>197</v>
      </c>
      <c r="BJ780" s="37" t="s">
        <v>197</v>
      </c>
      <c r="BK780" s="37" t="s">
        <v>197</v>
      </c>
      <c r="BL780" s="37" t="s">
        <v>197</v>
      </c>
      <c r="BM780" s="37" t="s">
        <v>197</v>
      </c>
      <c r="BN780" s="37" t="s">
        <v>197</v>
      </c>
      <c r="BO780" s="37" t="s">
        <v>197</v>
      </c>
      <c r="BP780" s="37" t="s">
        <v>197</v>
      </c>
      <c r="BQ780" s="37" t="s">
        <v>197</v>
      </c>
      <c r="BR780" s="37" t="s">
        <v>197</v>
      </c>
      <c r="BS780" s="37" t="s">
        <v>197</v>
      </c>
      <c r="BT780" s="37" t="s">
        <v>197</v>
      </c>
    </row>
    <row r="781" spans="5:72" x14ac:dyDescent="0.25">
      <c r="E781" s="36" t="s">
        <v>21</v>
      </c>
      <c r="F781" s="36">
        <f t="shared" si="253"/>
        <v>0</v>
      </c>
      <c r="G781" s="36">
        <f t="shared" si="254"/>
        <v>0</v>
      </c>
      <c r="H781" s="36">
        <f t="shared" si="255"/>
        <v>0</v>
      </c>
      <c r="I781" s="36">
        <f t="shared" si="256"/>
        <v>0</v>
      </c>
      <c r="J781" s="36">
        <f t="shared" si="257"/>
        <v>0</v>
      </c>
      <c r="K781" s="36">
        <f t="shared" si="258"/>
        <v>0</v>
      </c>
      <c r="L781" s="36">
        <f t="shared" si="259"/>
        <v>0</v>
      </c>
      <c r="M781" s="36">
        <f t="shared" si="260"/>
        <v>0</v>
      </c>
      <c r="N781" s="36">
        <f t="shared" si="261"/>
        <v>0</v>
      </c>
      <c r="O781" s="36">
        <f t="shared" si="262"/>
        <v>0</v>
      </c>
      <c r="P781" s="36">
        <f t="shared" si="263"/>
        <v>0</v>
      </c>
      <c r="Q781" s="36">
        <f t="shared" si="264"/>
        <v>0</v>
      </c>
      <c r="R781" s="36">
        <f t="shared" si="265"/>
        <v>0</v>
      </c>
      <c r="S781" s="36">
        <f t="shared" si="266"/>
        <v>0</v>
      </c>
      <c r="T781" s="36">
        <f t="shared" si="267"/>
        <v>0</v>
      </c>
      <c r="U781" s="36">
        <f t="shared" si="268"/>
        <v>0</v>
      </c>
      <c r="V781" s="36">
        <f t="shared" si="269"/>
        <v>0</v>
      </c>
      <c r="W781" s="36">
        <f t="shared" si="270"/>
        <v>0</v>
      </c>
      <c r="X781" s="36">
        <f t="shared" si="271"/>
        <v>0</v>
      </c>
      <c r="Y781" s="36">
        <f t="shared" si="272"/>
        <v>0</v>
      </c>
      <c r="Z781" s="36">
        <f t="shared" si="273"/>
        <v>0</v>
      </c>
      <c r="AB781" s="36" t="str">
        <f>IF(最佳化斷筋點!C781="","",最佳化斷筋點!C781)</f>
        <v>下層</v>
      </c>
      <c r="AC781" s="37">
        <f>IF(最佳化斷筋點!D781="","",最佳化斷筋點!D781)</f>
        <v>14</v>
      </c>
      <c r="AD781" s="37">
        <f>IF(最佳化斷筋點!E781="","",最佳化斷筋點!E781)</f>
        <v>14</v>
      </c>
      <c r="AE781" s="37">
        <f>IF(最佳化斷筋點!F781="","",最佳化斷筋點!F781)</f>
        <v>14</v>
      </c>
      <c r="AF781" s="37">
        <f>IF(最佳化斷筋點!G781="","",最佳化斷筋點!G781)</f>
        <v>14</v>
      </c>
      <c r="AG781" s="37">
        <f>IF(最佳化斷筋點!H781="","",最佳化斷筋點!H781)</f>
        <v>14</v>
      </c>
      <c r="AH781" s="37">
        <f>IF(最佳化斷筋點!I781="","",最佳化斷筋點!I781)</f>
        <v>13</v>
      </c>
      <c r="AI781" s="37">
        <f>IF(最佳化斷筋點!J781="","",最佳化斷筋點!J781)</f>
        <v>12</v>
      </c>
      <c r="AJ781" s="37">
        <f>IF(最佳化斷筋點!K781="","",最佳化斷筋點!K781)</f>
        <v>5</v>
      </c>
      <c r="AK781" s="37">
        <f>IF(最佳化斷筋點!L781="","",最佳化斷筋點!L781)</f>
        <v>5</v>
      </c>
      <c r="AL781" s="37">
        <f>IF(最佳化斷筋點!M781="","",最佳化斷筋點!M781)</f>
        <v>5</v>
      </c>
      <c r="AM781" s="37">
        <f>IF(最佳化斷筋點!N781="","",最佳化斷筋點!N781)</f>
        <v>5</v>
      </c>
      <c r="AN781" s="37">
        <f>IF(最佳化斷筋點!O781="","",最佳化斷筋點!O781)</f>
        <v>5</v>
      </c>
      <c r="AO781" s="37">
        <f>IF(最佳化斷筋點!P781="","",最佳化斷筋點!P781)</f>
        <v>5</v>
      </c>
      <c r="AP781" s="37">
        <f>IF(最佳化斷筋點!Q781="","",最佳化斷筋點!Q781)</f>
        <v>10</v>
      </c>
      <c r="AQ781" s="37">
        <f>IF(最佳化斷筋點!R781="","",最佳化斷筋點!R781)</f>
        <v>11</v>
      </c>
      <c r="AR781" s="37">
        <f>IF(最佳化斷筋點!S781="","",最佳化斷筋點!S781)</f>
        <v>13</v>
      </c>
      <c r="AS781" s="37">
        <f>IF(最佳化斷筋點!T781="","",最佳化斷筋點!T781)</f>
        <v>14</v>
      </c>
      <c r="AT781" s="37">
        <f>IF(最佳化斷筋點!U781="","",最佳化斷筋點!U781)</f>
        <v>14</v>
      </c>
      <c r="AU781" s="37">
        <f>IF(最佳化斷筋點!V781="","",最佳化斷筋點!V781)</f>
        <v>14</v>
      </c>
      <c r="AV781" s="37">
        <f>IF(最佳化斷筋點!W781="","",最佳化斷筋點!W781)</f>
        <v>14</v>
      </c>
      <c r="AW781" s="37">
        <f>IF(最佳化斷筋點!X781="","",最佳化斷筋點!X781)</f>
        <v>14</v>
      </c>
      <c r="AZ781" s="37">
        <v>14</v>
      </c>
      <c r="BA781" s="37">
        <v>14</v>
      </c>
      <c r="BB781" s="37">
        <v>14</v>
      </c>
      <c r="BC781" s="37">
        <v>14</v>
      </c>
      <c r="BD781" s="37">
        <v>14</v>
      </c>
      <c r="BE781" s="37">
        <v>13</v>
      </c>
      <c r="BF781" s="37">
        <v>12</v>
      </c>
      <c r="BG781" s="37">
        <v>5</v>
      </c>
      <c r="BH781" s="37">
        <v>5</v>
      </c>
      <c r="BI781" s="37">
        <v>5</v>
      </c>
      <c r="BJ781" s="37">
        <v>5</v>
      </c>
      <c r="BK781" s="37">
        <v>5</v>
      </c>
      <c r="BL781" s="37">
        <v>5</v>
      </c>
      <c r="BM781" s="37">
        <v>10</v>
      </c>
      <c r="BN781" s="37">
        <v>11</v>
      </c>
      <c r="BO781" s="37">
        <v>13</v>
      </c>
      <c r="BP781" s="37">
        <v>14</v>
      </c>
      <c r="BQ781" s="37">
        <v>14</v>
      </c>
      <c r="BR781" s="37">
        <v>14</v>
      </c>
      <c r="BS781" s="37">
        <v>14</v>
      </c>
      <c r="BT781" s="37">
        <v>14</v>
      </c>
    </row>
    <row r="782" spans="5:72" x14ac:dyDescent="0.25">
      <c r="E782" s="36"/>
      <c r="F782" s="36">
        <f t="shared" si="253"/>
        <v>0</v>
      </c>
      <c r="G782" s="36">
        <f t="shared" si="254"/>
        <v>0</v>
      </c>
      <c r="H782" s="36">
        <f t="shared" si="255"/>
        <v>0</v>
      </c>
      <c r="I782" s="36">
        <f t="shared" si="256"/>
        <v>0</v>
      </c>
      <c r="J782" s="36">
        <f t="shared" si="257"/>
        <v>0</v>
      </c>
      <c r="K782" s="36">
        <f t="shared" si="258"/>
        <v>0</v>
      </c>
      <c r="L782" s="36">
        <f t="shared" si="259"/>
        <v>0</v>
      </c>
      <c r="M782" s="36">
        <f t="shared" si="260"/>
        <v>0</v>
      </c>
      <c r="N782" s="36">
        <f t="shared" si="261"/>
        <v>0</v>
      </c>
      <c r="O782" s="36">
        <f t="shared" si="262"/>
        <v>0</v>
      </c>
      <c r="P782" s="36">
        <f t="shared" si="263"/>
        <v>0</v>
      </c>
      <c r="Q782" s="36">
        <f t="shared" si="264"/>
        <v>0</v>
      </c>
      <c r="R782" s="36">
        <f t="shared" si="265"/>
        <v>0</v>
      </c>
      <c r="S782" s="36">
        <f t="shared" si="266"/>
        <v>0</v>
      </c>
      <c r="T782" s="36">
        <f t="shared" si="267"/>
        <v>0</v>
      </c>
      <c r="U782" s="36">
        <f t="shared" si="268"/>
        <v>0</v>
      </c>
      <c r="V782" s="36">
        <f t="shared" si="269"/>
        <v>0</v>
      </c>
      <c r="W782" s="36">
        <f t="shared" si="270"/>
        <v>0</v>
      </c>
      <c r="X782" s="36">
        <f t="shared" si="271"/>
        <v>0</v>
      </c>
      <c r="Y782" s="36">
        <f t="shared" si="272"/>
        <v>0</v>
      </c>
      <c r="Z782" s="36">
        <f t="shared" si="273"/>
        <v>0</v>
      </c>
      <c r="AB782" s="36" t="str">
        <f>IF(最佳化斷筋點!C782="","",最佳化斷筋點!C782)</f>
        <v/>
      </c>
      <c r="AC782" s="37" t="str">
        <f>IF(最佳化斷筋點!D782="","",最佳化斷筋點!D782)</f>
        <v/>
      </c>
      <c r="AD782" s="37" t="str">
        <f>IF(最佳化斷筋點!E782="","",最佳化斷筋點!E782)</f>
        <v/>
      </c>
      <c r="AE782" s="37" t="str">
        <f>IF(最佳化斷筋點!F782="","",最佳化斷筋點!F782)</f>
        <v/>
      </c>
      <c r="AF782" s="37" t="str">
        <f>IF(最佳化斷筋點!G782="","",最佳化斷筋點!G782)</f>
        <v/>
      </c>
      <c r="AG782" s="37" t="str">
        <f>IF(最佳化斷筋點!H782="","",最佳化斷筋點!H782)</f>
        <v/>
      </c>
      <c r="AH782" s="37" t="str">
        <f>IF(最佳化斷筋點!I782="","",最佳化斷筋點!I782)</f>
        <v/>
      </c>
      <c r="AI782" s="37" t="str">
        <f>IF(最佳化斷筋點!J782="","",最佳化斷筋點!J782)</f>
        <v/>
      </c>
      <c r="AJ782" s="37" t="str">
        <f>IF(最佳化斷筋點!K782="","",最佳化斷筋點!K782)</f>
        <v/>
      </c>
      <c r="AK782" s="37" t="str">
        <f>IF(最佳化斷筋點!L782="","",最佳化斷筋點!L782)</f>
        <v/>
      </c>
      <c r="AL782" s="37" t="str">
        <f>IF(最佳化斷筋點!M782="","",最佳化斷筋點!M782)</f>
        <v/>
      </c>
      <c r="AM782" s="37" t="str">
        <f>IF(最佳化斷筋點!N782="","",最佳化斷筋點!N782)</f>
        <v/>
      </c>
      <c r="AN782" s="37" t="str">
        <f>IF(最佳化斷筋點!O782="","",最佳化斷筋點!O782)</f>
        <v/>
      </c>
      <c r="AO782" s="37" t="str">
        <f>IF(最佳化斷筋點!P782="","",最佳化斷筋點!P782)</f>
        <v/>
      </c>
      <c r="AP782" s="37" t="str">
        <f>IF(最佳化斷筋點!Q782="","",最佳化斷筋點!Q782)</f>
        <v/>
      </c>
      <c r="AQ782" s="37" t="str">
        <f>IF(最佳化斷筋點!R782="","",最佳化斷筋點!R782)</f>
        <v/>
      </c>
      <c r="AR782" s="37" t="str">
        <f>IF(最佳化斷筋點!S782="","",最佳化斷筋點!S782)</f>
        <v/>
      </c>
      <c r="AS782" s="37" t="str">
        <f>IF(最佳化斷筋點!T782="","",最佳化斷筋點!T782)</f>
        <v/>
      </c>
      <c r="AT782" s="37" t="str">
        <f>IF(最佳化斷筋點!U782="","",最佳化斷筋點!U782)</f>
        <v/>
      </c>
      <c r="AU782" s="37" t="str">
        <f>IF(最佳化斷筋點!V782="","",最佳化斷筋點!V782)</f>
        <v/>
      </c>
      <c r="AV782" s="37" t="str">
        <f>IF(最佳化斷筋點!W782="","",最佳化斷筋點!W782)</f>
        <v/>
      </c>
      <c r="AW782" s="37" t="str">
        <f>IF(最佳化斷筋點!X782="","",最佳化斷筋點!X782)</f>
        <v/>
      </c>
      <c r="AZ782" s="37" t="s">
        <v>197</v>
      </c>
      <c r="BA782" s="37" t="s">
        <v>197</v>
      </c>
      <c r="BB782" s="37" t="s">
        <v>197</v>
      </c>
      <c r="BC782" s="37" t="s">
        <v>197</v>
      </c>
      <c r="BD782" s="37" t="s">
        <v>197</v>
      </c>
      <c r="BE782" s="37" t="s">
        <v>197</v>
      </c>
      <c r="BF782" s="37" t="s">
        <v>197</v>
      </c>
      <c r="BG782" s="37" t="s">
        <v>197</v>
      </c>
      <c r="BH782" s="37" t="s">
        <v>197</v>
      </c>
      <c r="BI782" s="37" t="s">
        <v>197</v>
      </c>
      <c r="BJ782" s="37" t="s">
        <v>197</v>
      </c>
      <c r="BK782" s="37" t="s">
        <v>197</v>
      </c>
      <c r="BL782" s="37" t="s">
        <v>197</v>
      </c>
      <c r="BM782" s="37" t="s">
        <v>197</v>
      </c>
      <c r="BN782" s="37" t="s">
        <v>197</v>
      </c>
      <c r="BO782" s="37" t="s">
        <v>197</v>
      </c>
      <c r="BP782" s="37" t="s">
        <v>197</v>
      </c>
      <c r="BQ782" s="37" t="s">
        <v>197</v>
      </c>
      <c r="BR782" s="37" t="s">
        <v>197</v>
      </c>
      <c r="BS782" s="37" t="s">
        <v>197</v>
      </c>
      <c r="BT782" s="37" t="s">
        <v>197</v>
      </c>
    </row>
    <row r="783" spans="5:72" x14ac:dyDescent="0.25">
      <c r="E783" s="36" t="s">
        <v>20</v>
      </c>
      <c r="F783" s="36">
        <f t="shared" si="253"/>
        <v>0</v>
      </c>
      <c r="G783" s="36">
        <f t="shared" si="254"/>
        <v>0</v>
      </c>
      <c r="H783" s="36">
        <f t="shared" si="255"/>
        <v>0</v>
      </c>
      <c r="I783" s="36">
        <f t="shared" si="256"/>
        <v>0</v>
      </c>
      <c r="J783" s="36">
        <f t="shared" si="257"/>
        <v>0</v>
      </c>
      <c r="K783" s="36">
        <f t="shared" si="258"/>
        <v>0</v>
      </c>
      <c r="L783" s="36">
        <f t="shared" si="259"/>
        <v>0</v>
      </c>
      <c r="M783" s="36">
        <f t="shared" si="260"/>
        <v>0</v>
      </c>
      <c r="N783" s="36">
        <f t="shared" si="261"/>
        <v>0</v>
      </c>
      <c r="O783" s="36">
        <f t="shared" si="262"/>
        <v>0</v>
      </c>
      <c r="P783" s="36">
        <f t="shared" si="263"/>
        <v>0</v>
      </c>
      <c r="Q783" s="36">
        <f t="shared" si="264"/>
        <v>0</v>
      </c>
      <c r="R783" s="36">
        <f t="shared" si="265"/>
        <v>0</v>
      </c>
      <c r="S783" s="36">
        <f t="shared" si="266"/>
        <v>0</v>
      </c>
      <c r="T783" s="36">
        <f t="shared" si="267"/>
        <v>0</v>
      </c>
      <c r="U783" s="36">
        <f t="shared" si="268"/>
        <v>0</v>
      </c>
      <c r="V783" s="36">
        <f t="shared" si="269"/>
        <v>0</v>
      </c>
      <c r="W783" s="36">
        <f t="shared" si="270"/>
        <v>0</v>
      </c>
      <c r="X783" s="36">
        <f t="shared" si="271"/>
        <v>0</v>
      </c>
      <c r="Y783" s="36">
        <f t="shared" si="272"/>
        <v>0</v>
      </c>
      <c r="Z783" s="36">
        <f t="shared" si="273"/>
        <v>0</v>
      </c>
      <c r="AB783" s="36" t="str">
        <f>IF(最佳化斷筋點!C783="","",最佳化斷筋點!C783)</f>
        <v>上層</v>
      </c>
      <c r="AC783" s="37">
        <f>IF(最佳化斷筋點!D783="","",最佳化斷筋點!D783)</f>
        <v>9</v>
      </c>
      <c r="AD783" s="37">
        <f>IF(最佳化斷筋點!E783="","",最佳化斷筋點!E783)</f>
        <v>9</v>
      </c>
      <c r="AE783" s="37">
        <f>IF(最佳化斷筋點!F783="","",最佳化斷筋點!F783)</f>
        <v>9</v>
      </c>
      <c r="AF783" s="37">
        <f>IF(最佳化斷筋點!G783="","",最佳化斷筋點!G783)</f>
        <v>9</v>
      </c>
      <c r="AG783" s="37">
        <f>IF(最佳化斷筋點!H783="","",最佳化斷筋點!H783)</f>
        <v>9</v>
      </c>
      <c r="AH783" s="37">
        <f>IF(最佳化斷筋點!I783="","",最佳化斷筋點!I783)</f>
        <v>9</v>
      </c>
      <c r="AI783" s="37">
        <f>IF(最佳化斷筋點!J783="","",最佳化斷筋點!J783)</f>
        <v>9</v>
      </c>
      <c r="AJ783" s="37">
        <f>IF(最佳化斷筋點!K783="","",最佳化斷筋點!K783)</f>
        <v>8</v>
      </c>
      <c r="AK783" s="37">
        <f>IF(最佳化斷筋點!L783="","",最佳化斷筋點!L783)</f>
        <v>8</v>
      </c>
      <c r="AL783" s="37">
        <f>IF(最佳化斷筋點!M783="","",最佳化斷筋點!M783)</f>
        <v>8</v>
      </c>
      <c r="AM783" s="37">
        <f>IF(最佳化斷筋點!N783="","",最佳化斷筋點!N783)</f>
        <v>7</v>
      </c>
      <c r="AN783" s="37">
        <f>IF(最佳化斷筋點!O783="","",最佳化斷筋點!O783)</f>
        <v>6</v>
      </c>
      <c r="AO783" s="37">
        <f>IF(最佳化斷筋點!P783="","",最佳化斷筋點!P783)</f>
        <v>7</v>
      </c>
      <c r="AP783" s="37">
        <f>IF(最佳化斷筋點!Q783="","",最佳化斷筋點!Q783)</f>
        <v>8</v>
      </c>
      <c r="AQ783" s="37">
        <f>IF(最佳化斷筋點!R783="","",最佳化斷筋點!R783)</f>
        <v>8</v>
      </c>
      <c r="AR783" s="37">
        <f>IF(最佳化斷筋點!S783="","",最佳化斷筋點!S783)</f>
        <v>8</v>
      </c>
      <c r="AS783" s="37">
        <f>IF(最佳化斷筋點!T783="","",最佳化斷筋點!T783)</f>
        <v>8</v>
      </c>
      <c r="AT783" s="37">
        <f>IF(最佳化斷筋點!U783="","",最佳化斷筋點!U783)</f>
        <v>8</v>
      </c>
      <c r="AU783" s="37">
        <f>IF(最佳化斷筋點!V783="","",最佳化斷筋點!V783)</f>
        <v>8</v>
      </c>
      <c r="AV783" s="37">
        <f>IF(最佳化斷筋點!W783="","",最佳化斷筋點!W783)</f>
        <v>8</v>
      </c>
      <c r="AW783" s="37">
        <f>IF(最佳化斷筋點!X783="","",最佳化斷筋點!X783)</f>
        <v>8</v>
      </c>
      <c r="AZ783" s="37">
        <v>9</v>
      </c>
      <c r="BA783" s="37">
        <v>9</v>
      </c>
      <c r="BB783" s="37">
        <v>9</v>
      </c>
      <c r="BC783" s="37">
        <v>9</v>
      </c>
      <c r="BD783" s="37">
        <v>9</v>
      </c>
      <c r="BE783" s="37">
        <v>9</v>
      </c>
      <c r="BF783" s="37">
        <v>9</v>
      </c>
      <c r="BG783" s="37">
        <v>8</v>
      </c>
      <c r="BH783" s="37">
        <v>8</v>
      </c>
      <c r="BI783" s="37">
        <v>8</v>
      </c>
      <c r="BJ783" s="37">
        <v>7</v>
      </c>
      <c r="BK783" s="37">
        <v>6</v>
      </c>
      <c r="BL783" s="37">
        <v>7</v>
      </c>
      <c r="BM783" s="37">
        <v>8</v>
      </c>
      <c r="BN783" s="37">
        <v>8</v>
      </c>
      <c r="BO783" s="37">
        <v>8</v>
      </c>
      <c r="BP783" s="37">
        <v>8</v>
      </c>
      <c r="BQ783" s="37">
        <v>8</v>
      </c>
      <c r="BR783" s="37">
        <v>8</v>
      </c>
      <c r="BS783" s="37">
        <v>8</v>
      </c>
      <c r="BT783" s="37">
        <v>8</v>
      </c>
    </row>
    <row r="784" spans="5:72" x14ac:dyDescent="0.25">
      <c r="E784" s="36"/>
      <c r="F784" s="36">
        <f t="shared" si="253"/>
        <v>0</v>
      </c>
      <c r="G784" s="36">
        <f t="shared" si="254"/>
        <v>0</v>
      </c>
      <c r="H784" s="36">
        <f t="shared" si="255"/>
        <v>0</v>
      </c>
      <c r="I784" s="36">
        <f t="shared" si="256"/>
        <v>0</v>
      </c>
      <c r="J784" s="36">
        <f t="shared" si="257"/>
        <v>0</v>
      </c>
      <c r="K784" s="36">
        <f t="shared" si="258"/>
        <v>0</v>
      </c>
      <c r="L784" s="36">
        <f t="shared" si="259"/>
        <v>0</v>
      </c>
      <c r="M784" s="36">
        <f t="shared" si="260"/>
        <v>0</v>
      </c>
      <c r="N784" s="36">
        <f t="shared" si="261"/>
        <v>0</v>
      </c>
      <c r="O784" s="36">
        <f t="shared" si="262"/>
        <v>0</v>
      </c>
      <c r="P784" s="36">
        <f t="shared" si="263"/>
        <v>0</v>
      </c>
      <c r="Q784" s="36">
        <f t="shared" si="264"/>
        <v>0</v>
      </c>
      <c r="R784" s="36">
        <f t="shared" si="265"/>
        <v>0</v>
      </c>
      <c r="S784" s="36">
        <f t="shared" si="266"/>
        <v>0</v>
      </c>
      <c r="T784" s="36">
        <f t="shared" si="267"/>
        <v>0</v>
      </c>
      <c r="U784" s="36">
        <f t="shared" si="268"/>
        <v>0</v>
      </c>
      <c r="V784" s="36">
        <f t="shared" si="269"/>
        <v>0</v>
      </c>
      <c r="W784" s="36">
        <f t="shared" si="270"/>
        <v>0</v>
      </c>
      <c r="X784" s="36">
        <f t="shared" si="271"/>
        <v>0</v>
      </c>
      <c r="Y784" s="36">
        <f t="shared" si="272"/>
        <v>0</v>
      </c>
      <c r="Z784" s="36">
        <f t="shared" si="273"/>
        <v>0</v>
      </c>
      <c r="AB784" s="36" t="str">
        <f>IF(最佳化斷筋點!C784="","",最佳化斷筋點!C784)</f>
        <v/>
      </c>
      <c r="AC784" s="37" t="str">
        <f>IF(最佳化斷筋點!D784="","",最佳化斷筋點!D784)</f>
        <v/>
      </c>
      <c r="AD784" s="37" t="str">
        <f>IF(最佳化斷筋點!E784="","",最佳化斷筋點!E784)</f>
        <v/>
      </c>
      <c r="AE784" s="37" t="str">
        <f>IF(最佳化斷筋點!F784="","",最佳化斷筋點!F784)</f>
        <v/>
      </c>
      <c r="AF784" s="37" t="str">
        <f>IF(最佳化斷筋點!G784="","",最佳化斷筋點!G784)</f>
        <v/>
      </c>
      <c r="AG784" s="37" t="str">
        <f>IF(最佳化斷筋點!H784="","",最佳化斷筋點!H784)</f>
        <v/>
      </c>
      <c r="AH784" s="37" t="str">
        <f>IF(最佳化斷筋點!I784="","",最佳化斷筋點!I784)</f>
        <v/>
      </c>
      <c r="AI784" s="37" t="str">
        <f>IF(最佳化斷筋點!J784="","",最佳化斷筋點!J784)</f>
        <v/>
      </c>
      <c r="AJ784" s="37" t="str">
        <f>IF(最佳化斷筋點!K784="","",最佳化斷筋點!K784)</f>
        <v/>
      </c>
      <c r="AK784" s="37" t="str">
        <f>IF(最佳化斷筋點!L784="","",最佳化斷筋點!L784)</f>
        <v/>
      </c>
      <c r="AL784" s="37" t="str">
        <f>IF(最佳化斷筋點!M784="","",最佳化斷筋點!M784)</f>
        <v/>
      </c>
      <c r="AM784" s="37" t="str">
        <f>IF(最佳化斷筋點!N784="","",最佳化斷筋點!N784)</f>
        <v/>
      </c>
      <c r="AN784" s="37" t="str">
        <f>IF(最佳化斷筋點!O784="","",最佳化斷筋點!O784)</f>
        <v/>
      </c>
      <c r="AO784" s="37" t="str">
        <f>IF(最佳化斷筋點!P784="","",最佳化斷筋點!P784)</f>
        <v/>
      </c>
      <c r="AP784" s="37" t="str">
        <f>IF(最佳化斷筋點!Q784="","",最佳化斷筋點!Q784)</f>
        <v/>
      </c>
      <c r="AQ784" s="37" t="str">
        <f>IF(最佳化斷筋點!R784="","",最佳化斷筋點!R784)</f>
        <v/>
      </c>
      <c r="AR784" s="37" t="str">
        <f>IF(最佳化斷筋點!S784="","",最佳化斷筋點!S784)</f>
        <v/>
      </c>
      <c r="AS784" s="37" t="str">
        <f>IF(最佳化斷筋點!T784="","",最佳化斷筋點!T784)</f>
        <v/>
      </c>
      <c r="AT784" s="37" t="str">
        <f>IF(最佳化斷筋點!U784="","",最佳化斷筋點!U784)</f>
        <v/>
      </c>
      <c r="AU784" s="37" t="str">
        <f>IF(最佳化斷筋點!V784="","",最佳化斷筋點!V784)</f>
        <v/>
      </c>
      <c r="AV784" s="37" t="str">
        <f>IF(最佳化斷筋點!W784="","",最佳化斷筋點!W784)</f>
        <v/>
      </c>
      <c r="AW784" s="37" t="str">
        <f>IF(最佳化斷筋點!X784="","",最佳化斷筋點!X784)</f>
        <v/>
      </c>
      <c r="AZ784" s="37" t="s">
        <v>197</v>
      </c>
      <c r="BA784" s="37" t="s">
        <v>197</v>
      </c>
      <c r="BB784" s="37" t="s">
        <v>197</v>
      </c>
      <c r="BC784" s="37" t="s">
        <v>197</v>
      </c>
      <c r="BD784" s="37" t="s">
        <v>197</v>
      </c>
      <c r="BE784" s="37" t="s">
        <v>197</v>
      </c>
      <c r="BF784" s="37" t="s">
        <v>197</v>
      </c>
      <c r="BG784" s="37" t="s">
        <v>197</v>
      </c>
      <c r="BH784" s="37" t="s">
        <v>197</v>
      </c>
      <c r="BI784" s="37" t="s">
        <v>197</v>
      </c>
      <c r="BJ784" s="37" t="s">
        <v>197</v>
      </c>
      <c r="BK784" s="37" t="s">
        <v>197</v>
      </c>
      <c r="BL784" s="37" t="s">
        <v>197</v>
      </c>
      <c r="BM784" s="37" t="s">
        <v>197</v>
      </c>
      <c r="BN784" s="37" t="s">
        <v>197</v>
      </c>
      <c r="BO784" s="37" t="s">
        <v>197</v>
      </c>
      <c r="BP784" s="37" t="s">
        <v>197</v>
      </c>
      <c r="BQ784" s="37" t="s">
        <v>197</v>
      </c>
      <c r="BR784" s="37" t="s">
        <v>197</v>
      </c>
      <c r="BS784" s="37" t="s">
        <v>197</v>
      </c>
      <c r="BT784" s="37" t="s">
        <v>197</v>
      </c>
    </row>
    <row r="785" spans="5:72" x14ac:dyDescent="0.25">
      <c r="E785" s="36" t="s">
        <v>21</v>
      </c>
      <c r="F785" s="36">
        <f t="shared" si="253"/>
        <v>0</v>
      </c>
      <c r="G785" s="36">
        <f t="shared" si="254"/>
        <v>0</v>
      </c>
      <c r="H785" s="36">
        <f t="shared" si="255"/>
        <v>0</v>
      </c>
      <c r="I785" s="36">
        <f t="shared" si="256"/>
        <v>0</v>
      </c>
      <c r="J785" s="36">
        <f t="shared" si="257"/>
        <v>0</v>
      </c>
      <c r="K785" s="36">
        <f t="shared" si="258"/>
        <v>0</v>
      </c>
      <c r="L785" s="36">
        <f t="shared" si="259"/>
        <v>0</v>
      </c>
      <c r="M785" s="36">
        <f t="shared" si="260"/>
        <v>0</v>
      </c>
      <c r="N785" s="36">
        <f t="shared" si="261"/>
        <v>0</v>
      </c>
      <c r="O785" s="36">
        <f t="shared" si="262"/>
        <v>0</v>
      </c>
      <c r="P785" s="36">
        <f t="shared" si="263"/>
        <v>0</v>
      </c>
      <c r="Q785" s="36">
        <f t="shared" si="264"/>
        <v>0</v>
      </c>
      <c r="R785" s="36">
        <f t="shared" si="265"/>
        <v>0</v>
      </c>
      <c r="S785" s="36">
        <f t="shared" si="266"/>
        <v>0</v>
      </c>
      <c r="T785" s="36">
        <f t="shared" si="267"/>
        <v>0</v>
      </c>
      <c r="U785" s="36">
        <f t="shared" si="268"/>
        <v>0</v>
      </c>
      <c r="V785" s="36">
        <f t="shared" si="269"/>
        <v>0</v>
      </c>
      <c r="W785" s="36">
        <f t="shared" si="270"/>
        <v>0</v>
      </c>
      <c r="X785" s="36">
        <f t="shared" si="271"/>
        <v>0</v>
      </c>
      <c r="Y785" s="36">
        <f t="shared" si="272"/>
        <v>0</v>
      </c>
      <c r="Z785" s="36">
        <f t="shared" si="273"/>
        <v>0</v>
      </c>
      <c r="AB785" s="36" t="str">
        <f>IF(最佳化斷筋點!C785="","",最佳化斷筋點!C785)</f>
        <v>下層</v>
      </c>
      <c r="AC785" s="37">
        <f>IF(最佳化斷筋點!D785="","",最佳化斷筋點!D785)</f>
        <v>12</v>
      </c>
      <c r="AD785" s="37">
        <f>IF(最佳化斷筋點!E785="","",最佳化斷筋點!E785)</f>
        <v>12</v>
      </c>
      <c r="AE785" s="37">
        <f>IF(最佳化斷筋點!F785="","",最佳化斷筋點!F785)</f>
        <v>12</v>
      </c>
      <c r="AF785" s="37">
        <f>IF(最佳化斷筋點!G785="","",最佳化斷筋點!G785)</f>
        <v>12</v>
      </c>
      <c r="AG785" s="37">
        <f>IF(最佳化斷筋點!H785="","",最佳化斷筋點!H785)</f>
        <v>12</v>
      </c>
      <c r="AH785" s="37">
        <f>IF(最佳化斷筋點!I785="","",最佳化斷筋點!I785)</f>
        <v>12</v>
      </c>
      <c r="AI785" s="37">
        <f>IF(最佳化斷筋點!J785="","",最佳化斷筋點!J785)</f>
        <v>12</v>
      </c>
      <c r="AJ785" s="37">
        <f>IF(最佳化斷筋點!K785="","",最佳化斷筋點!K785)</f>
        <v>12</v>
      </c>
      <c r="AK785" s="37">
        <f>IF(最佳化斷筋點!L785="","",最佳化斷筋點!L785)</f>
        <v>12</v>
      </c>
      <c r="AL785" s="37">
        <f>IF(最佳化斷筋點!M785="","",最佳化斷筋點!M785)</f>
        <v>12</v>
      </c>
      <c r="AM785" s="37">
        <f>IF(最佳化斷筋點!N785="","",最佳化斷筋點!N785)</f>
        <v>12</v>
      </c>
      <c r="AN785" s="37">
        <f>IF(最佳化斷筋點!O785="","",最佳化斷筋點!O785)</f>
        <v>12</v>
      </c>
      <c r="AO785" s="37">
        <f>IF(最佳化斷筋點!P785="","",最佳化斷筋點!P785)</f>
        <v>12</v>
      </c>
      <c r="AP785" s="37">
        <f>IF(最佳化斷筋點!Q785="","",最佳化斷筋點!Q785)</f>
        <v>12</v>
      </c>
      <c r="AQ785" s="37">
        <f>IF(最佳化斷筋點!R785="","",最佳化斷筋點!R785)</f>
        <v>12</v>
      </c>
      <c r="AR785" s="37">
        <f>IF(最佳化斷筋點!S785="","",最佳化斷筋點!S785)</f>
        <v>12</v>
      </c>
      <c r="AS785" s="37">
        <f>IF(最佳化斷筋點!T785="","",最佳化斷筋點!T785)</f>
        <v>13</v>
      </c>
      <c r="AT785" s="37">
        <f>IF(最佳化斷筋點!U785="","",最佳化斷筋點!U785)</f>
        <v>13</v>
      </c>
      <c r="AU785" s="37">
        <f>IF(最佳化斷筋點!V785="","",最佳化斷筋點!V785)</f>
        <v>13</v>
      </c>
      <c r="AV785" s="37">
        <f>IF(最佳化斷筋點!W785="","",最佳化斷筋點!W785)</f>
        <v>13</v>
      </c>
      <c r="AW785" s="37">
        <f>IF(最佳化斷筋點!X785="","",最佳化斷筋點!X785)</f>
        <v>13</v>
      </c>
      <c r="AZ785" s="37">
        <v>12</v>
      </c>
      <c r="BA785" s="37">
        <v>12</v>
      </c>
      <c r="BB785" s="37">
        <v>12</v>
      </c>
      <c r="BC785" s="37">
        <v>12</v>
      </c>
      <c r="BD785" s="37">
        <v>12</v>
      </c>
      <c r="BE785" s="37">
        <v>12</v>
      </c>
      <c r="BF785" s="37">
        <v>12</v>
      </c>
      <c r="BG785" s="37">
        <v>12</v>
      </c>
      <c r="BH785" s="37">
        <v>12</v>
      </c>
      <c r="BI785" s="37">
        <v>12</v>
      </c>
      <c r="BJ785" s="37">
        <v>12</v>
      </c>
      <c r="BK785" s="37">
        <v>12</v>
      </c>
      <c r="BL785" s="37">
        <v>12</v>
      </c>
      <c r="BM785" s="37">
        <v>12</v>
      </c>
      <c r="BN785" s="37">
        <v>12</v>
      </c>
      <c r="BO785" s="37">
        <v>12</v>
      </c>
      <c r="BP785" s="37">
        <v>13</v>
      </c>
      <c r="BQ785" s="37">
        <v>13</v>
      </c>
      <c r="BR785" s="37">
        <v>13</v>
      </c>
      <c r="BS785" s="37">
        <v>13</v>
      </c>
      <c r="BT785" s="37">
        <v>13</v>
      </c>
    </row>
    <row r="786" spans="5:72" x14ac:dyDescent="0.25">
      <c r="E786" s="36"/>
      <c r="F786" s="36">
        <f t="shared" si="253"/>
        <v>0</v>
      </c>
      <c r="G786" s="36">
        <f t="shared" si="254"/>
        <v>0</v>
      </c>
      <c r="H786" s="36">
        <f t="shared" si="255"/>
        <v>0</v>
      </c>
      <c r="I786" s="36">
        <f t="shared" si="256"/>
        <v>0</v>
      </c>
      <c r="J786" s="36">
        <f t="shared" si="257"/>
        <v>0</v>
      </c>
      <c r="K786" s="36">
        <f t="shared" si="258"/>
        <v>0</v>
      </c>
      <c r="L786" s="36">
        <f t="shared" si="259"/>
        <v>0</v>
      </c>
      <c r="M786" s="36">
        <f t="shared" si="260"/>
        <v>0</v>
      </c>
      <c r="N786" s="36">
        <f t="shared" si="261"/>
        <v>0</v>
      </c>
      <c r="O786" s="36">
        <f t="shared" si="262"/>
        <v>0</v>
      </c>
      <c r="P786" s="36">
        <f t="shared" si="263"/>
        <v>0</v>
      </c>
      <c r="Q786" s="36">
        <f t="shared" si="264"/>
        <v>0</v>
      </c>
      <c r="R786" s="36">
        <f t="shared" si="265"/>
        <v>0</v>
      </c>
      <c r="S786" s="36">
        <f t="shared" si="266"/>
        <v>0</v>
      </c>
      <c r="T786" s="36">
        <f t="shared" si="267"/>
        <v>0</v>
      </c>
      <c r="U786" s="36">
        <f t="shared" si="268"/>
        <v>0</v>
      </c>
      <c r="V786" s="36">
        <f t="shared" si="269"/>
        <v>0</v>
      </c>
      <c r="W786" s="36">
        <f t="shared" si="270"/>
        <v>0</v>
      </c>
      <c r="X786" s="36">
        <f t="shared" si="271"/>
        <v>0</v>
      </c>
      <c r="Y786" s="36">
        <f t="shared" si="272"/>
        <v>0</v>
      </c>
      <c r="Z786" s="36">
        <f t="shared" si="273"/>
        <v>0</v>
      </c>
      <c r="AB786" s="36" t="str">
        <f>IF(最佳化斷筋點!C786="","",最佳化斷筋點!C786)</f>
        <v/>
      </c>
      <c r="AC786" s="37" t="str">
        <f>IF(最佳化斷筋點!D786="","",最佳化斷筋點!D786)</f>
        <v/>
      </c>
      <c r="AD786" s="37" t="str">
        <f>IF(最佳化斷筋點!E786="","",最佳化斷筋點!E786)</f>
        <v/>
      </c>
      <c r="AE786" s="37" t="str">
        <f>IF(最佳化斷筋點!F786="","",最佳化斷筋點!F786)</f>
        <v/>
      </c>
      <c r="AF786" s="37" t="str">
        <f>IF(最佳化斷筋點!G786="","",最佳化斷筋點!G786)</f>
        <v/>
      </c>
      <c r="AG786" s="37" t="str">
        <f>IF(最佳化斷筋點!H786="","",最佳化斷筋點!H786)</f>
        <v/>
      </c>
      <c r="AH786" s="37" t="str">
        <f>IF(最佳化斷筋點!I786="","",最佳化斷筋點!I786)</f>
        <v/>
      </c>
      <c r="AI786" s="37" t="str">
        <f>IF(最佳化斷筋點!J786="","",最佳化斷筋點!J786)</f>
        <v/>
      </c>
      <c r="AJ786" s="37" t="str">
        <f>IF(最佳化斷筋點!K786="","",最佳化斷筋點!K786)</f>
        <v/>
      </c>
      <c r="AK786" s="37" t="str">
        <f>IF(最佳化斷筋點!L786="","",最佳化斷筋點!L786)</f>
        <v/>
      </c>
      <c r="AL786" s="37" t="str">
        <f>IF(最佳化斷筋點!M786="","",最佳化斷筋點!M786)</f>
        <v/>
      </c>
      <c r="AM786" s="37" t="str">
        <f>IF(最佳化斷筋點!N786="","",最佳化斷筋點!N786)</f>
        <v/>
      </c>
      <c r="AN786" s="37" t="str">
        <f>IF(最佳化斷筋點!O786="","",最佳化斷筋點!O786)</f>
        <v/>
      </c>
      <c r="AO786" s="37" t="str">
        <f>IF(最佳化斷筋點!P786="","",最佳化斷筋點!P786)</f>
        <v/>
      </c>
      <c r="AP786" s="37" t="str">
        <f>IF(最佳化斷筋點!Q786="","",最佳化斷筋點!Q786)</f>
        <v/>
      </c>
      <c r="AQ786" s="37" t="str">
        <f>IF(最佳化斷筋點!R786="","",最佳化斷筋點!R786)</f>
        <v/>
      </c>
      <c r="AR786" s="37" t="str">
        <f>IF(最佳化斷筋點!S786="","",最佳化斷筋點!S786)</f>
        <v/>
      </c>
      <c r="AS786" s="37" t="str">
        <f>IF(最佳化斷筋點!T786="","",最佳化斷筋點!T786)</f>
        <v/>
      </c>
      <c r="AT786" s="37" t="str">
        <f>IF(最佳化斷筋點!U786="","",最佳化斷筋點!U786)</f>
        <v/>
      </c>
      <c r="AU786" s="37" t="str">
        <f>IF(最佳化斷筋點!V786="","",最佳化斷筋點!V786)</f>
        <v/>
      </c>
      <c r="AV786" s="37" t="str">
        <f>IF(最佳化斷筋點!W786="","",最佳化斷筋點!W786)</f>
        <v/>
      </c>
      <c r="AW786" s="37" t="str">
        <f>IF(最佳化斷筋點!X786="","",最佳化斷筋點!X786)</f>
        <v/>
      </c>
      <c r="AZ786" s="37" t="s">
        <v>197</v>
      </c>
      <c r="BA786" s="37" t="s">
        <v>197</v>
      </c>
      <c r="BB786" s="37" t="s">
        <v>197</v>
      </c>
      <c r="BC786" s="37" t="s">
        <v>197</v>
      </c>
      <c r="BD786" s="37" t="s">
        <v>197</v>
      </c>
      <c r="BE786" s="37" t="s">
        <v>197</v>
      </c>
      <c r="BF786" s="37" t="s">
        <v>197</v>
      </c>
      <c r="BG786" s="37" t="s">
        <v>197</v>
      </c>
      <c r="BH786" s="37" t="s">
        <v>197</v>
      </c>
      <c r="BI786" s="37" t="s">
        <v>197</v>
      </c>
      <c r="BJ786" s="37" t="s">
        <v>197</v>
      </c>
      <c r="BK786" s="37" t="s">
        <v>197</v>
      </c>
      <c r="BL786" s="37" t="s">
        <v>197</v>
      </c>
      <c r="BM786" s="37" t="s">
        <v>197</v>
      </c>
      <c r="BN786" s="37" t="s">
        <v>197</v>
      </c>
      <c r="BO786" s="37" t="s">
        <v>197</v>
      </c>
      <c r="BP786" s="37" t="s">
        <v>197</v>
      </c>
      <c r="BQ786" s="37" t="s">
        <v>197</v>
      </c>
      <c r="BR786" s="37" t="s">
        <v>197</v>
      </c>
      <c r="BS786" s="37" t="s">
        <v>197</v>
      </c>
      <c r="BT786" s="37" t="s">
        <v>197</v>
      </c>
    </row>
    <row r="787" spans="5:72" x14ac:dyDescent="0.25">
      <c r="E787" s="36" t="s">
        <v>20</v>
      </c>
      <c r="F787" s="36">
        <f t="shared" si="253"/>
        <v>0</v>
      </c>
      <c r="G787" s="36">
        <f t="shared" si="254"/>
        <v>0</v>
      </c>
      <c r="H787" s="36">
        <f t="shared" si="255"/>
        <v>0</v>
      </c>
      <c r="I787" s="36">
        <f t="shared" si="256"/>
        <v>0</v>
      </c>
      <c r="J787" s="36">
        <f t="shared" si="257"/>
        <v>0</v>
      </c>
      <c r="K787" s="36">
        <f t="shared" si="258"/>
        <v>0</v>
      </c>
      <c r="L787" s="36">
        <f t="shared" si="259"/>
        <v>0</v>
      </c>
      <c r="M787" s="36">
        <f t="shared" si="260"/>
        <v>0</v>
      </c>
      <c r="N787" s="36">
        <f t="shared" si="261"/>
        <v>0</v>
      </c>
      <c r="O787" s="36">
        <f t="shared" si="262"/>
        <v>0</v>
      </c>
      <c r="P787" s="36">
        <f t="shared" si="263"/>
        <v>0</v>
      </c>
      <c r="Q787" s="36">
        <f t="shared" si="264"/>
        <v>0</v>
      </c>
      <c r="R787" s="36">
        <f t="shared" si="265"/>
        <v>0</v>
      </c>
      <c r="S787" s="36">
        <f t="shared" si="266"/>
        <v>0</v>
      </c>
      <c r="T787" s="36">
        <f t="shared" si="267"/>
        <v>0</v>
      </c>
      <c r="U787" s="36">
        <f t="shared" si="268"/>
        <v>0</v>
      </c>
      <c r="V787" s="36">
        <f t="shared" si="269"/>
        <v>0</v>
      </c>
      <c r="W787" s="36">
        <f t="shared" si="270"/>
        <v>0</v>
      </c>
      <c r="X787" s="36">
        <f t="shared" si="271"/>
        <v>0</v>
      </c>
      <c r="Y787" s="36">
        <f t="shared" si="272"/>
        <v>0</v>
      </c>
      <c r="Z787" s="36">
        <f t="shared" si="273"/>
        <v>0</v>
      </c>
      <c r="AB787" s="36" t="str">
        <f>IF(最佳化斷筋點!C787="","",最佳化斷筋點!C787)</f>
        <v>上層</v>
      </c>
      <c r="AC787" s="37">
        <f>IF(最佳化斷筋點!D787="","",最佳化斷筋點!D787)</f>
        <v>10</v>
      </c>
      <c r="AD787" s="37">
        <f>IF(最佳化斷筋點!E787="","",最佳化斷筋點!E787)</f>
        <v>10</v>
      </c>
      <c r="AE787" s="37">
        <f>IF(最佳化斷筋點!F787="","",最佳化斷筋點!F787)</f>
        <v>10</v>
      </c>
      <c r="AF787" s="37">
        <f>IF(最佳化斷筋點!G787="","",最佳化斷筋點!G787)</f>
        <v>10</v>
      </c>
      <c r="AG787" s="37">
        <f>IF(最佳化斷筋點!H787="","",最佳化斷筋點!H787)</f>
        <v>10</v>
      </c>
      <c r="AH787" s="37">
        <f>IF(最佳化斷筋點!I787="","",最佳化斷筋點!I787)</f>
        <v>10</v>
      </c>
      <c r="AI787" s="37">
        <f>IF(最佳化斷筋點!J787="","",最佳化斷筋點!J787)</f>
        <v>10</v>
      </c>
      <c r="AJ787" s="37">
        <f>IF(最佳化斷筋點!K787="","",最佳化斷筋點!K787)</f>
        <v>4</v>
      </c>
      <c r="AK787" s="37">
        <f>IF(最佳化斷筋點!L787="","",最佳化斷筋點!L787)</f>
        <v>4</v>
      </c>
      <c r="AL787" s="37">
        <f>IF(最佳化斷筋點!M787="","",最佳化斷筋點!M787)</f>
        <v>4</v>
      </c>
      <c r="AM787" s="37">
        <f>IF(最佳化斷筋點!N787="","",最佳化斷筋點!N787)</f>
        <v>4</v>
      </c>
      <c r="AN787" s="37">
        <f>IF(最佳化斷筋點!O787="","",最佳化斷筋點!O787)</f>
        <v>4</v>
      </c>
      <c r="AO787" s="37">
        <f>IF(最佳化斷筋點!P787="","",最佳化斷筋點!P787)</f>
        <v>4</v>
      </c>
      <c r="AP787" s="37">
        <f>IF(最佳化斷筋點!Q787="","",最佳化斷筋點!Q787)</f>
        <v>8</v>
      </c>
      <c r="AQ787" s="37">
        <f>IF(最佳化斷筋點!R787="","",最佳化斷筋點!R787)</f>
        <v>9</v>
      </c>
      <c r="AR787" s="37">
        <f>IF(最佳化斷筋點!S787="","",最佳化斷筋點!S787)</f>
        <v>10</v>
      </c>
      <c r="AS787" s="37">
        <f>IF(最佳化斷筋點!T787="","",最佳化斷筋點!T787)</f>
        <v>10</v>
      </c>
      <c r="AT787" s="37">
        <f>IF(最佳化斷筋點!U787="","",最佳化斷筋點!U787)</f>
        <v>10</v>
      </c>
      <c r="AU787" s="37">
        <f>IF(最佳化斷筋點!V787="","",最佳化斷筋點!V787)</f>
        <v>10</v>
      </c>
      <c r="AV787" s="37">
        <f>IF(最佳化斷筋點!W787="","",最佳化斷筋點!W787)</f>
        <v>10</v>
      </c>
      <c r="AW787" s="37">
        <f>IF(最佳化斷筋點!X787="","",最佳化斷筋點!X787)</f>
        <v>10</v>
      </c>
      <c r="AZ787" s="37">
        <v>10</v>
      </c>
      <c r="BA787" s="37">
        <v>10</v>
      </c>
      <c r="BB787" s="37">
        <v>10</v>
      </c>
      <c r="BC787" s="37">
        <v>10</v>
      </c>
      <c r="BD787" s="37">
        <v>10</v>
      </c>
      <c r="BE787" s="37">
        <v>10</v>
      </c>
      <c r="BF787" s="37">
        <v>10</v>
      </c>
      <c r="BG787" s="37">
        <v>4</v>
      </c>
      <c r="BH787" s="37">
        <v>4</v>
      </c>
      <c r="BI787" s="37">
        <v>4</v>
      </c>
      <c r="BJ787" s="37">
        <v>4</v>
      </c>
      <c r="BK787" s="37">
        <v>4</v>
      </c>
      <c r="BL787" s="37">
        <v>4</v>
      </c>
      <c r="BM787" s="37">
        <v>8</v>
      </c>
      <c r="BN787" s="37">
        <v>9</v>
      </c>
      <c r="BO787" s="37">
        <v>10</v>
      </c>
      <c r="BP787" s="37">
        <v>10</v>
      </c>
      <c r="BQ787" s="37">
        <v>10</v>
      </c>
      <c r="BR787" s="37">
        <v>10</v>
      </c>
      <c r="BS787" s="37">
        <v>10</v>
      </c>
      <c r="BT787" s="37">
        <v>10</v>
      </c>
    </row>
    <row r="788" spans="5:72" x14ac:dyDescent="0.25">
      <c r="E788" s="36"/>
      <c r="F788" s="36">
        <f t="shared" si="253"/>
        <v>0</v>
      </c>
      <c r="G788" s="36">
        <f t="shared" si="254"/>
        <v>0</v>
      </c>
      <c r="H788" s="36">
        <f t="shared" si="255"/>
        <v>0</v>
      </c>
      <c r="I788" s="36">
        <f t="shared" si="256"/>
        <v>0</v>
      </c>
      <c r="J788" s="36">
        <f t="shared" si="257"/>
        <v>0</v>
      </c>
      <c r="K788" s="36">
        <f t="shared" si="258"/>
        <v>0</v>
      </c>
      <c r="L788" s="36">
        <f t="shared" si="259"/>
        <v>0</v>
      </c>
      <c r="M788" s="36">
        <f t="shared" si="260"/>
        <v>0</v>
      </c>
      <c r="N788" s="36">
        <f t="shared" si="261"/>
        <v>0</v>
      </c>
      <c r="O788" s="36">
        <f t="shared" si="262"/>
        <v>0</v>
      </c>
      <c r="P788" s="36">
        <f t="shared" si="263"/>
        <v>0</v>
      </c>
      <c r="Q788" s="36">
        <f t="shared" si="264"/>
        <v>0</v>
      </c>
      <c r="R788" s="36">
        <f t="shared" si="265"/>
        <v>0</v>
      </c>
      <c r="S788" s="36">
        <f t="shared" si="266"/>
        <v>0</v>
      </c>
      <c r="T788" s="36">
        <f t="shared" si="267"/>
        <v>0</v>
      </c>
      <c r="U788" s="36">
        <f t="shared" si="268"/>
        <v>0</v>
      </c>
      <c r="V788" s="36">
        <f t="shared" si="269"/>
        <v>0</v>
      </c>
      <c r="W788" s="36">
        <f t="shared" si="270"/>
        <v>0</v>
      </c>
      <c r="X788" s="36">
        <f t="shared" si="271"/>
        <v>0</v>
      </c>
      <c r="Y788" s="36">
        <f t="shared" si="272"/>
        <v>0</v>
      </c>
      <c r="Z788" s="36">
        <f t="shared" si="273"/>
        <v>0</v>
      </c>
      <c r="AB788" s="36" t="str">
        <f>IF(最佳化斷筋點!C788="","",最佳化斷筋點!C788)</f>
        <v/>
      </c>
      <c r="AC788" s="37" t="str">
        <f>IF(最佳化斷筋點!D788="","",最佳化斷筋點!D788)</f>
        <v/>
      </c>
      <c r="AD788" s="37" t="str">
        <f>IF(最佳化斷筋點!E788="","",最佳化斷筋點!E788)</f>
        <v/>
      </c>
      <c r="AE788" s="37" t="str">
        <f>IF(最佳化斷筋點!F788="","",最佳化斷筋點!F788)</f>
        <v/>
      </c>
      <c r="AF788" s="37" t="str">
        <f>IF(最佳化斷筋點!G788="","",最佳化斷筋點!G788)</f>
        <v/>
      </c>
      <c r="AG788" s="37" t="str">
        <f>IF(最佳化斷筋點!H788="","",最佳化斷筋點!H788)</f>
        <v/>
      </c>
      <c r="AH788" s="37" t="str">
        <f>IF(最佳化斷筋點!I788="","",最佳化斷筋點!I788)</f>
        <v/>
      </c>
      <c r="AI788" s="37" t="str">
        <f>IF(最佳化斷筋點!J788="","",最佳化斷筋點!J788)</f>
        <v/>
      </c>
      <c r="AJ788" s="37" t="str">
        <f>IF(最佳化斷筋點!K788="","",最佳化斷筋點!K788)</f>
        <v/>
      </c>
      <c r="AK788" s="37" t="str">
        <f>IF(最佳化斷筋點!L788="","",最佳化斷筋點!L788)</f>
        <v/>
      </c>
      <c r="AL788" s="37" t="str">
        <f>IF(最佳化斷筋點!M788="","",最佳化斷筋點!M788)</f>
        <v/>
      </c>
      <c r="AM788" s="37" t="str">
        <f>IF(最佳化斷筋點!N788="","",最佳化斷筋點!N788)</f>
        <v/>
      </c>
      <c r="AN788" s="37" t="str">
        <f>IF(最佳化斷筋點!O788="","",最佳化斷筋點!O788)</f>
        <v/>
      </c>
      <c r="AO788" s="37" t="str">
        <f>IF(最佳化斷筋點!P788="","",最佳化斷筋點!P788)</f>
        <v/>
      </c>
      <c r="AP788" s="37" t="str">
        <f>IF(最佳化斷筋點!Q788="","",最佳化斷筋點!Q788)</f>
        <v/>
      </c>
      <c r="AQ788" s="37" t="str">
        <f>IF(最佳化斷筋點!R788="","",最佳化斷筋點!R788)</f>
        <v/>
      </c>
      <c r="AR788" s="37" t="str">
        <f>IF(最佳化斷筋點!S788="","",最佳化斷筋點!S788)</f>
        <v/>
      </c>
      <c r="AS788" s="37" t="str">
        <f>IF(最佳化斷筋點!T788="","",最佳化斷筋點!T788)</f>
        <v/>
      </c>
      <c r="AT788" s="37" t="str">
        <f>IF(最佳化斷筋點!U788="","",最佳化斷筋點!U788)</f>
        <v/>
      </c>
      <c r="AU788" s="37" t="str">
        <f>IF(最佳化斷筋點!V788="","",最佳化斷筋點!V788)</f>
        <v/>
      </c>
      <c r="AV788" s="37" t="str">
        <f>IF(最佳化斷筋點!W788="","",最佳化斷筋點!W788)</f>
        <v/>
      </c>
      <c r="AW788" s="37" t="str">
        <f>IF(最佳化斷筋點!X788="","",最佳化斷筋點!X788)</f>
        <v/>
      </c>
      <c r="AZ788" s="37" t="s">
        <v>197</v>
      </c>
      <c r="BA788" s="37" t="s">
        <v>197</v>
      </c>
      <c r="BB788" s="37" t="s">
        <v>197</v>
      </c>
      <c r="BC788" s="37" t="s">
        <v>197</v>
      </c>
      <c r="BD788" s="37" t="s">
        <v>197</v>
      </c>
      <c r="BE788" s="37" t="s">
        <v>197</v>
      </c>
      <c r="BF788" s="37" t="s">
        <v>197</v>
      </c>
      <c r="BG788" s="37" t="s">
        <v>197</v>
      </c>
      <c r="BH788" s="37" t="s">
        <v>197</v>
      </c>
      <c r="BI788" s="37" t="s">
        <v>197</v>
      </c>
      <c r="BJ788" s="37" t="s">
        <v>197</v>
      </c>
      <c r="BK788" s="37" t="s">
        <v>197</v>
      </c>
      <c r="BL788" s="37" t="s">
        <v>197</v>
      </c>
      <c r="BM788" s="37" t="s">
        <v>197</v>
      </c>
      <c r="BN788" s="37" t="s">
        <v>197</v>
      </c>
      <c r="BO788" s="37" t="s">
        <v>197</v>
      </c>
      <c r="BP788" s="37" t="s">
        <v>197</v>
      </c>
      <c r="BQ788" s="37" t="s">
        <v>197</v>
      </c>
      <c r="BR788" s="37" t="s">
        <v>197</v>
      </c>
      <c r="BS788" s="37" t="s">
        <v>197</v>
      </c>
      <c r="BT788" s="37" t="s">
        <v>197</v>
      </c>
    </row>
    <row r="789" spans="5:72" x14ac:dyDescent="0.25">
      <c r="E789" s="36" t="s">
        <v>21</v>
      </c>
      <c r="F789" s="36">
        <f t="shared" si="253"/>
        <v>0</v>
      </c>
      <c r="G789" s="36">
        <f t="shared" si="254"/>
        <v>0</v>
      </c>
      <c r="H789" s="36">
        <f t="shared" si="255"/>
        <v>0</v>
      </c>
      <c r="I789" s="36">
        <f t="shared" si="256"/>
        <v>0</v>
      </c>
      <c r="J789" s="36">
        <f t="shared" si="257"/>
        <v>0</v>
      </c>
      <c r="K789" s="36">
        <f t="shared" si="258"/>
        <v>0</v>
      </c>
      <c r="L789" s="36">
        <f t="shared" si="259"/>
        <v>0</v>
      </c>
      <c r="M789" s="36">
        <f t="shared" si="260"/>
        <v>0</v>
      </c>
      <c r="N789" s="36">
        <f t="shared" si="261"/>
        <v>0</v>
      </c>
      <c r="O789" s="36">
        <f t="shared" si="262"/>
        <v>0</v>
      </c>
      <c r="P789" s="36">
        <f t="shared" si="263"/>
        <v>0</v>
      </c>
      <c r="Q789" s="36">
        <f t="shared" si="264"/>
        <v>0</v>
      </c>
      <c r="R789" s="36">
        <f t="shared" si="265"/>
        <v>0</v>
      </c>
      <c r="S789" s="36">
        <f t="shared" si="266"/>
        <v>0</v>
      </c>
      <c r="T789" s="36">
        <f t="shared" si="267"/>
        <v>0</v>
      </c>
      <c r="U789" s="36">
        <f t="shared" si="268"/>
        <v>0</v>
      </c>
      <c r="V789" s="36">
        <f t="shared" si="269"/>
        <v>0</v>
      </c>
      <c r="W789" s="36">
        <f t="shared" si="270"/>
        <v>0</v>
      </c>
      <c r="X789" s="36">
        <f t="shared" si="271"/>
        <v>0</v>
      </c>
      <c r="Y789" s="36">
        <f t="shared" si="272"/>
        <v>0</v>
      </c>
      <c r="Z789" s="36">
        <f t="shared" si="273"/>
        <v>0</v>
      </c>
      <c r="AB789" s="36" t="str">
        <f>IF(最佳化斷筋點!C789="","",最佳化斷筋點!C789)</f>
        <v>下層</v>
      </c>
      <c r="AC789" s="37">
        <f>IF(最佳化斷筋點!D789="","",最佳化斷筋點!D789)</f>
        <v>14</v>
      </c>
      <c r="AD789" s="37">
        <f>IF(最佳化斷筋點!E789="","",最佳化斷筋點!E789)</f>
        <v>14</v>
      </c>
      <c r="AE789" s="37">
        <f>IF(最佳化斷筋點!F789="","",最佳化斷筋點!F789)</f>
        <v>14</v>
      </c>
      <c r="AF789" s="37">
        <f>IF(最佳化斷筋點!G789="","",最佳化斷筋點!G789)</f>
        <v>14</v>
      </c>
      <c r="AG789" s="37">
        <f>IF(最佳化斷筋點!H789="","",最佳化斷筋點!H789)</f>
        <v>13</v>
      </c>
      <c r="AH789" s="37">
        <f>IF(最佳化斷筋點!I789="","",最佳化斷筋點!I789)</f>
        <v>12</v>
      </c>
      <c r="AI789" s="37">
        <f>IF(最佳化斷筋點!J789="","",最佳化斷筋點!J789)</f>
        <v>11</v>
      </c>
      <c r="AJ789" s="37">
        <f>IF(最佳化斷筋點!K789="","",最佳化斷筋點!K789)</f>
        <v>5</v>
      </c>
      <c r="AK789" s="37">
        <f>IF(最佳化斷筋點!L789="","",最佳化斷筋點!L789)</f>
        <v>5</v>
      </c>
      <c r="AL789" s="37">
        <f>IF(最佳化斷筋點!M789="","",最佳化斷筋點!M789)</f>
        <v>5</v>
      </c>
      <c r="AM789" s="37">
        <f>IF(最佳化斷筋點!N789="","",最佳化斷筋點!N789)</f>
        <v>5</v>
      </c>
      <c r="AN789" s="37">
        <f>IF(最佳化斷筋點!O789="","",最佳化斷筋點!O789)</f>
        <v>5</v>
      </c>
      <c r="AO789" s="37">
        <f>IF(最佳化斷筋點!P789="","",最佳化斷筋點!P789)</f>
        <v>5</v>
      </c>
      <c r="AP789" s="37">
        <f>IF(最佳化斷筋點!Q789="","",最佳化斷筋點!Q789)</f>
        <v>7</v>
      </c>
      <c r="AQ789" s="37">
        <f>IF(最佳化斷筋點!R789="","",最佳化斷筋點!R789)</f>
        <v>8</v>
      </c>
      <c r="AR789" s="37">
        <f>IF(最佳化斷筋點!S789="","",最佳化斷筋點!S789)</f>
        <v>9</v>
      </c>
      <c r="AS789" s="37">
        <f>IF(最佳化斷筋點!T789="","",最佳化斷筋點!T789)</f>
        <v>10</v>
      </c>
      <c r="AT789" s="37">
        <f>IF(最佳化斷筋點!U789="","",最佳化斷筋點!U789)</f>
        <v>11</v>
      </c>
      <c r="AU789" s="37">
        <f>IF(最佳化斷筋點!V789="","",最佳化斷筋點!V789)</f>
        <v>11</v>
      </c>
      <c r="AV789" s="37">
        <f>IF(最佳化斷筋點!W789="","",最佳化斷筋點!W789)</f>
        <v>11</v>
      </c>
      <c r="AW789" s="37">
        <f>IF(最佳化斷筋點!X789="","",最佳化斷筋點!X789)</f>
        <v>11</v>
      </c>
      <c r="AZ789" s="37">
        <v>14</v>
      </c>
      <c r="BA789" s="37">
        <v>14</v>
      </c>
      <c r="BB789" s="37">
        <v>14</v>
      </c>
      <c r="BC789" s="37">
        <v>14</v>
      </c>
      <c r="BD789" s="37">
        <v>13</v>
      </c>
      <c r="BE789" s="37">
        <v>12</v>
      </c>
      <c r="BF789" s="37">
        <v>11</v>
      </c>
      <c r="BG789" s="37">
        <v>5</v>
      </c>
      <c r="BH789" s="37">
        <v>5</v>
      </c>
      <c r="BI789" s="37">
        <v>5</v>
      </c>
      <c r="BJ789" s="37">
        <v>5</v>
      </c>
      <c r="BK789" s="37">
        <v>5</v>
      </c>
      <c r="BL789" s="37">
        <v>5</v>
      </c>
      <c r="BM789" s="37">
        <v>7</v>
      </c>
      <c r="BN789" s="37">
        <v>8</v>
      </c>
      <c r="BO789" s="37">
        <v>9</v>
      </c>
      <c r="BP789" s="37">
        <v>10</v>
      </c>
      <c r="BQ789" s="37">
        <v>11</v>
      </c>
      <c r="BR789" s="37">
        <v>11</v>
      </c>
      <c r="BS789" s="37">
        <v>11</v>
      </c>
      <c r="BT789" s="37">
        <v>11</v>
      </c>
    </row>
    <row r="790" spans="5:72" x14ac:dyDescent="0.25">
      <c r="E790" s="36"/>
      <c r="F790" s="36">
        <f t="shared" si="253"/>
        <v>0</v>
      </c>
      <c r="G790" s="36">
        <f t="shared" si="254"/>
        <v>0</v>
      </c>
      <c r="H790" s="36">
        <f t="shared" si="255"/>
        <v>0</v>
      </c>
      <c r="I790" s="36">
        <f t="shared" si="256"/>
        <v>0</v>
      </c>
      <c r="J790" s="36">
        <f t="shared" si="257"/>
        <v>0</v>
      </c>
      <c r="K790" s="36">
        <f t="shared" si="258"/>
        <v>0</v>
      </c>
      <c r="L790" s="36">
        <f t="shared" si="259"/>
        <v>0</v>
      </c>
      <c r="M790" s="36">
        <f t="shared" si="260"/>
        <v>0</v>
      </c>
      <c r="N790" s="36">
        <f t="shared" si="261"/>
        <v>0</v>
      </c>
      <c r="O790" s="36">
        <f t="shared" si="262"/>
        <v>0</v>
      </c>
      <c r="P790" s="36">
        <f t="shared" si="263"/>
        <v>0</v>
      </c>
      <c r="Q790" s="36">
        <f t="shared" si="264"/>
        <v>0</v>
      </c>
      <c r="R790" s="36">
        <f t="shared" si="265"/>
        <v>0</v>
      </c>
      <c r="S790" s="36">
        <f t="shared" si="266"/>
        <v>0</v>
      </c>
      <c r="T790" s="36">
        <f t="shared" si="267"/>
        <v>0</v>
      </c>
      <c r="U790" s="36">
        <f t="shared" si="268"/>
        <v>0</v>
      </c>
      <c r="V790" s="36">
        <f t="shared" si="269"/>
        <v>0</v>
      </c>
      <c r="W790" s="36">
        <f t="shared" si="270"/>
        <v>0</v>
      </c>
      <c r="X790" s="36">
        <f t="shared" si="271"/>
        <v>0</v>
      </c>
      <c r="Y790" s="36">
        <f t="shared" si="272"/>
        <v>0</v>
      </c>
      <c r="Z790" s="36">
        <f t="shared" si="273"/>
        <v>0</v>
      </c>
      <c r="AB790" s="36" t="str">
        <f>IF(最佳化斷筋點!C790="","",最佳化斷筋點!C790)</f>
        <v/>
      </c>
      <c r="AC790" s="37" t="str">
        <f>IF(最佳化斷筋點!D790="","",最佳化斷筋點!D790)</f>
        <v/>
      </c>
      <c r="AD790" s="37" t="str">
        <f>IF(最佳化斷筋點!E790="","",最佳化斷筋點!E790)</f>
        <v/>
      </c>
      <c r="AE790" s="37" t="str">
        <f>IF(最佳化斷筋點!F790="","",最佳化斷筋點!F790)</f>
        <v/>
      </c>
      <c r="AF790" s="37" t="str">
        <f>IF(最佳化斷筋點!G790="","",最佳化斷筋點!G790)</f>
        <v/>
      </c>
      <c r="AG790" s="37" t="str">
        <f>IF(最佳化斷筋點!H790="","",最佳化斷筋點!H790)</f>
        <v/>
      </c>
      <c r="AH790" s="37" t="str">
        <f>IF(最佳化斷筋點!I790="","",最佳化斷筋點!I790)</f>
        <v/>
      </c>
      <c r="AI790" s="37" t="str">
        <f>IF(最佳化斷筋點!J790="","",最佳化斷筋點!J790)</f>
        <v/>
      </c>
      <c r="AJ790" s="37" t="str">
        <f>IF(最佳化斷筋點!K790="","",最佳化斷筋點!K790)</f>
        <v/>
      </c>
      <c r="AK790" s="37" t="str">
        <f>IF(最佳化斷筋點!L790="","",最佳化斷筋點!L790)</f>
        <v/>
      </c>
      <c r="AL790" s="37" t="str">
        <f>IF(最佳化斷筋點!M790="","",最佳化斷筋點!M790)</f>
        <v/>
      </c>
      <c r="AM790" s="37" t="str">
        <f>IF(最佳化斷筋點!N790="","",最佳化斷筋點!N790)</f>
        <v/>
      </c>
      <c r="AN790" s="37" t="str">
        <f>IF(最佳化斷筋點!O790="","",最佳化斷筋點!O790)</f>
        <v/>
      </c>
      <c r="AO790" s="37" t="str">
        <f>IF(最佳化斷筋點!P790="","",最佳化斷筋點!P790)</f>
        <v/>
      </c>
      <c r="AP790" s="37" t="str">
        <f>IF(最佳化斷筋點!Q790="","",最佳化斷筋點!Q790)</f>
        <v/>
      </c>
      <c r="AQ790" s="37" t="str">
        <f>IF(最佳化斷筋點!R790="","",最佳化斷筋點!R790)</f>
        <v/>
      </c>
      <c r="AR790" s="37" t="str">
        <f>IF(最佳化斷筋點!S790="","",最佳化斷筋點!S790)</f>
        <v/>
      </c>
      <c r="AS790" s="37" t="str">
        <f>IF(最佳化斷筋點!T790="","",最佳化斷筋點!T790)</f>
        <v/>
      </c>
      <c r="AT790" s="37" t="str">
        <f>IF(最佳化斷筋點!U790="","",最佳化斷筋點!U790)</f>
        <v/>
      </c>
      <c r="AU790" s="37" t="str">
        <f>IF(最佳化斷筋點!V790="","",最佳化斷筋點!V790)</f>
        <v/>
      </c>
      <c r="AV790" s="37" t="str">
        <f>IF(最佳化斷筋點!W790="","",最佳化斷筋點!W790)</f>
        <v/>
      </c>
      <c r="AW790" s="37" t="str">
        <f>IF(最佳化斷筋點!X790="","",最佳化斷筋點!X790)</f>
        <v/>
      </c>
      <c r="AZ790" s="37" t="s">
        <v>197</v>
      </c>
      <c r="BA790" s="37" t="s">
        <v>197</v>
      </c>
      <c r="BB790" s="37" t="s">
        <v>197</v>
      </c>
      <c r="BC790" s="37" t="s">
        <v>197</v>
      </c>
      <c r="BD790" s="37" t="s">
        <v>197</v>
      </c>
      <c r="BE790" s="37" t="s">
        <v>197</v>
      </c>
      <c r="BF790" s="37" t="s">
        <v>197</v>
      </c>
      <c r="BG790" s="37" t="s">
        <v>197</v>
      </c>
      <c r="BH790" s="37" t="s">
        <v>197</v>
      </c>
      <c r="BI790" s="37" t="s">
        <v>197</v>
      </c>
      <c r="BJ790" s="37" t="s">
        <v>197</v>
      </c>
      <c r="BK790" s="37" t="s">
        <v>197</v>
      </c>
      <c r="BL790" s="37" t="s">
        <v>197</v>
      </c>
      <c r="BM790" s="37" t="s">
        <v>197</v>
      </c>
      <c r="BN790" s="37" t="s">
        <v>197</v>
      </c>
      <c r="BO790" s="37" t="s">
        <v>197</v>
      </c>
      <c r="BP790" s="37" t="s">
        <v>197</v>
      </c>
      <c r="BQ790" s="37" t="s">
        <v>197</v>
      </c>
      <c r="BR790" s="37" t="s">
        <v>197</v>
      </c>
      <c r="BS790" s="37" t="s">
        <v>197</v>
      </c>
      <c r="BT790" s="37" t="s">
        <v>197</v>
      </c>
    </row>
    <row r="791" spans="5:72" x14ac:dyDescent="0.25">
      <c r="E791" s="36" t="s">
        <v>20</v>
      </c>
      <c r="F791" s="36">
        <f t="shared" si="253"/>
        <v>0</v>
      </c>
      <c r="G791" s="36">
        <f t="shared" si="254"/>
        <v>0</v>
      </c>
      <c r="H791" s="36">
        <f t="shared" si="255"/>
        <v>0</v>
      </c>
      <c r="I791" s="36">
        <f t="shared" si="256"/>
        <v>0</v>
      </c>
      <c r="J791" s="36">
        <f t="shared" si="257"/>
        <v>0</v>
      </c>
      <c r="K791" s="36">
        <f t="shared" si="258"/>
        <v>0</v>
      </c>
      <c r="L791" s="36">
        <f t="shared" si="259"/>
        <v>0</v>
      </c>
      <c r="M791" s="36">
        <f t="shared" si="260"/>
        <v>0</v>
      </c>
      <c r="N791" s="36">
        <f t="shared" si="261"/>
        <v>0</v>
      </c>
      <c r="O791" s="36">
        <f t="shared" si="262"/>
        <v>0</v>
      </c>
      <c r="P791" s="36">
        <f t="shared" si="263"/>
        <v>0</v>
      </c>
      <c r="Q791" s="36">
        <f t="shared" si="264"/>
        <v>0</v>
      </c>
      <c r="R791" s="36">
        <f t="shared" si="265"/>
        <v>0</v>
      </c>
      <c r="S791" s="36">
        <f t="shared" si="266"/>
        <v>0</v>
      </c>
      <c r="T791" s="36">
        <f t="shared" si="267"/>
        <v>0</v>
      </c>
      <c r="U791" s="36">
        <f t="shared" si="268"/>
        <v>0</v>
      </c>
      <c r="V791" s="36">
        <f t="shared" si="269"/>
        <v>0</v>
      </c>
      <c r="W791" s="36">
        <f t="shared" si="270"/>
        <v>0</v>
      </c>
      <c r="X791" s="36">
        <f t="shared" si="271"/>
        <v>0</v>
      </c>
      <c r="Y791" s="36">
        <f t="shared" si="272"/>
        <v>0</v>
      </c>
      <c r="Z791" s="36">
        <f t="shared" si="273"/>
        <v>0</v>
      </c>
      <c r="AB791" s="36" t="str">
        <f>IF(最佳化斷筋點!C791="","",最佳化斷筋點!C791)</f>
        <v>上層</v>
      </c>
      <c r="AC791" s="37">
        <f>IF(最佳化斷筋點!D791="","",最佳化斷筋點!D791)</f>
        <v>9</v>
      </c>
      <c r="AD791" s="37">
        <f>IF(最佳化斷筋點!E791="","",最佳化斷筋點!E791)</f>
        <v>9</v>
      </c>
      <c r="AE791" s="37">
        <f>IF(最佳化斷筋點!F791="","",最佳化斷筋點!F791)</f>
        <v>9</v>
      </c>
      <c r="AF791" s="37">
        <f>IF(最佳化斷筋點!G791="","",最佳化斷筋點!G791)</f>
        <v>9</v>
      </c>
      <c r="AG791" s="37">
        <f>IF(最佳化斷筋點!H791="","",最佳化斷筋點!H791)</f>
        <v>9</v>
      </c>
      <c r="AH791" s="37">
        <f>IF(最佳化斷筋點!I791="","",最佳化斷筋點!I791)</f>
        <v>9</v>
      </c>
      <c r="AI791" s="37">
        <f>IF(最佳化斷筋點!J791="","",最佳化斷筋點!J791)</f>
        <v>8</v>
      </c>
      <c r="AJ791" s="37">
        <f>IF(最佳化斷筋點!K791="","",最佳化斷筋點!K791)</f>
        <v>4</v>
      </c>
      <c r="AK791" s="37">
        <f>IF(最佳化斷筋點!L791="","",最佳化斷筋點!L791)</f>
        <v>4</v>
      </c>
      <c r="AL791" s="37">
        <f>IF(最佳化斷筋點!M791="","",最佳化斷筋點!M791)</f>
        <v>4</v>
      </c>
      <c r="AM791" s="37">
        <f>IF(最佳化斷筋點!N791="","",最佳化斷筋點!N791)</f>
        <v>4</v>
      </c>
      <c r="AN791" s="37">
        <f>IF(最佳化斷筋點!O791="","",最佳化斷筋點!O791)</f>
        <v>4</v>
      </c>
      <c r="AO791" s="37">
        <f>IF(最佳化斷筋點!P791="","",最佳化斷筋點!P791)</f>
        <v>4</v>
      </c>
      <c r="AP791" s="37">
        <f>IF(最佳化斷筋點!Q791="","",最佳化斷筋點!Q791)</f>
        <v>7</v>
      </c>
      <c r="AQ791" s="37">
        <f>IF(最佳化斷筋點!R791="","",最佳化斷筋點!R791)</f>
        <v>8</v>
      </c>
      <c r="AR791" s="37">
        <f>IF(最佳化斷筋點!S791="","",最佳化斷筋點!S791)</f>
        <v>9</v>
      </c>
      <c r="AS791" s="37">
        <f>IF(最佳化斷筋點!T791="","",最佳化斷筋點!T791)</f>
        <v>10</v>
      </c>
      <c r="AT791" s="37">
        <f>IF(最佳化斷筋點!U791="","",最佳化斷筋點!U791)</f>
        <v>10</v>
      </c>
      <c r="AU791" s="37">
        <f>IF(最佳化斷筋點!V791="","",最佳化斷筋點!V791)</f>
        <v>10</v>
      </c>
      <c r="AV791" s="37">
        <f>IF(最佳化斷筋點!W791="","",最佳化斷筋點!W791)</f>
        <v>10</v>
      </c>
      <c r="AW791" s="37">
        <f>IF(最佳化斷筋點!X791="","",最佳化斷筋點!X791)</f>
        <v>10</v>
      </c>
      <c r="AZ791" s="37">
        <v>9</v>
      </c>
      <c r="BA791" s="37">
        <v>9</v>
      </c>
      <c r="BB791" s="37">
        <v>9</v>
      </c>
      <c r="BC791" s="37">
        <v>9</v>
      </c>
      <c r="BD791" s="37">
        <v>9</v>
      </c>
      <c r="BE791" s="37">
        <v>9</v>
      </c>
      <c r="BF791" s="37">
        <v>8</v>
      </c>
      <c r="BG791" s="37">
        <v>4</v>
      </c>
      <c r="BH791" s="37">
        <v>4</v>
      </c>
      <c r="BI791" s="37">
        <v>4</v>
      </c>
      <c r="BJ791" s="37">
        <v>4</v>
      </c>
      <c r="BK791" s="37">
        <v>4</v>
      </c>
      <c r="BL791" s="37">
        <v>4</v>
      </c>
      <c r="BM791" s="37">
        <v>7</v>
      </c>
      <c r="BN791" s="37">
        <v>8</v>
      </c>
      <c r="BO791" s="37">
        <v>9</v>
      </c>
      <c r="BP791" s="37">
        <v>10</v>
      </c>
      <c r="BQ791" s="37">
        <v>10</v>
      </c>
      <c r="BR791" s="37">
        <v>10</v>
      </c>
      <c r="BS791" s="37">
        <v>10</v>
      </c>
      <c r="BT791" s="37">
        <v>10</v>
      </c>
    </row>
    <row r="792" spans="5:72" x14ac:dyDescent="0.25">
      <c r="E792" s="36"/>
      <c r="F792" s="36">
        <f t="shared" si="253"/>
        <v>0</v>
      </c>
      <c r="G792" s="36">
        <f t="shared" si="254"/>
        <v>0</v>
      </c>
      <c r="H792" s="36">
        <f t="shared" si="255"/>
        <v>0</v>
      </c>
      <c r="I792" s="36">
        <f t="shared" si="256"/>
        <v>0</v>
      </c>
      <c r="J792" s="36">
        <f t="shared" si="257"/>
        <v>0</v>
      </c>
      <c r="K792" s="36">
        <f t="shared" si="258"/>
        <v>0</v>
      </c>
      <c r="L792" s="36">
        <f t="shared" si="259"/>
        <v>0</v>
      </c>
      <c r="M792" s="36">
        <f t="shared" si="260"/>
        <v>0</v>
      </c>
      <c r="N792" s="36">
        <f t="shared" si="261"/>
        <v>0</v>
      </c>
      <c r="O792" s="36">
        <f t="shared" si="262"/>
        <v>0</v>
      </c>
      <c r="P792" s="36">
        <f t="shared" si="263"/>
        <v>0</v>
      </c>
      <c r="Q792" s="36">
        <f t="shared" si="264"/>
        <v>0</v>
      </c>
      <c r="R792" s="36">
        <f t="shared" si="265"/>
        <v>0</v>
      </c>
      <c r="S792" s="36">
        <f t="shared" si="266"/>
        <v>0</v>
      </c>
      <c r="T792" s="36">
        <f t="shared" si="267"/>
        <v>0</v>
      </c>
      <c r="U792" s="36">
        <f t="shared" si="268"/>
        <v>0</v>
      </c>
      <c r="V792" s="36">
        <f t="shared" si="269"/>
        <v>0</v>
      </c>
      <c r="W792" s="36">
        <f t="shared" si="270"/>
        <v>0</v>
      </c>
      <c r="X792" s="36">
        <f t="shared" si="271"/>
        <v>0</v>
      </c>
      <c r="Y792" s="36">
        <f t="shared" si="272"/>
        <v>0</v>
      </c>
      <c r="Z792" s="36">
        <f t="shared" si="273"/>
        <v>0</v>
      </c>
      <c r="AB792" s="36" t="str">
        <f>IF(最佳化斷筋點!C792="","",最佳化斷筋點!C792)</f>
        <v/>
      </c>
      <c r="AC792" s="37" t="str">
        <f>IF(最佳化斷筋點!D792="","",最佳化斷筋點!D792)</f>
        <v/>
      </c>
      <c r="AD792" s="37" t="str">
        <f>IF(最佳化斷筋點!E792="","",最佳化斷筋點!E792)</f>
        <v/>
      </c>
      <c r="AE792" s="37" t="str">
        <f>IF(最佳化斷筋點!F792="","",最佳化斷筋點!F792)</f>
        <v/>
      </c>
      <c r="AF792" s="37" t="str">
        <f>IF(最佳化斷筋點!G792="","",最佳化斷筋點!G792)</f>
        <v/>
      </c>
      <c r="AG792" s="37" t="str">
        <f>IF(最佳化斷筋點!H792="","",最佳化斷筋點!H792)</f>
        <v/>
      </c>
      <c r="AH792" s="37" t="str">
        <f>IF(最佳化斷筋點!I792="","",最佳化斷筋點!I792)</f>
        <v/>
      </c>
      <c r="AI792" s="37" t="str">
        <f>IF(最佳化斷筋點!J792="","",最佳化斷筋點!J792)</f>
        <v/>
      </c>
      <c r="AJ792" s="37" t="str">
        <f>IF(最佳化斷筋點!K792="","",最佳化斷筋點!K792)</f>
        <v/>
      </c>
      <c r="AK792" s="37" t="str">
        <f>IF(最佳化斷筋點!L792="","",最佳化斷筋點!L792)</f>
        <v/>
      </c>
      <c r="AL792" s="37" t="str">
        <f>IF(最佳化斷筋點!M792="","",最佳化斷筋點!M792)</f>
        <v/>
      </c>
      <c r="AM792" s="37" t="str">
        <f>IF(最佳化斷筋點!N792="","",最佳化斷筋點!N792)</f>
        <v/>
      </c>
      <c r="AN792" s="37" t="str">
        <f>IF(最佳化斷筋點!O792="","",最佳化斷筋點!O792)</f>
        <v/>
      </c>
      <c r="AO792" s="37" t="str">
        <f>IF(最佳化斷筋點!P792="","",最佳化斷筋點!P792)</f>
        <v/>
      </c>
      <c r="AP792" s="37" t="str">
        <f>IF(最佳化斷筋點!Q792="","",最佳化斷筋點!Q792)</f>
        <v/>
      </c>
      <c r="AQ792" s="37" t="str">
        <f>IF(最佳化斷筋點!R792="","",最佳化斷筋點!R792)</f>
        <v/>
      </c>
      <c r="AR792" s="37" t="str">
        <f>IF(最佳化斷筋點!S792="","",最佳化斷筋點!S792)</f>
        <v/>
      </c>
      <c r="AS792" s="37" t="str">
        <f>IF(最佳化斷筋點!T792="","",最佳化斷筋點!T792)</f>
        <v/>
      </c>
      <c r="AT792" s="37" t="str">
        <f>IF(最佳化斷筋點!U792="","",最佳化斷筋點!U792)</f>
        <v/>
      </c>
      <c r="AU792" s="37" t="str">
        <f>IF(最佳化斷筋點!V792="","",最佳化斷筋點!V792)</f>
        <v/>
      </c>
      <c r="AV792" s="37" t="str">
        <f>IF(最佳化斷筋點!W792="","",最佳化斷筋點!W792)</f>
        <v/>
      </c>
      <c r="AW792" s="37" t="str">
        <f>IF(最佳化斷筋點!X792="","",最佳化斷筋點!X792)</f>
        <v/>
      </c>
      <c r="AZ792" s="37" t="s">
        <v>197</v>
      </c>
      <c r="BA792" s="37" t="s">
        <v>197</v>
      </c>
      <c r="BB792" s="37" t="s">
        <v>197</v>
      </c>
      <c r="BC792" s="37" t="s">
        <v>197</v>
      </c>
      <c r="BD792" s="37" t="s">
        <v>197</v>
      </c>
      <c r="BE792" s="37" t="s">
        <v>197</v>
      </c>
      <c r="BF792" s="37" t="s">
        <v>197</v>
      </c>
      <c r="BG792" s="37" t="s">
        <v>197</v>
      </c>
      <c r="BH792" s="37" t="s">
        <v>197</v>
      </c>
      <c r="BI792" s="37" t="s">
        <v>197</v>
      </c>
      <c r="BJ792" s="37" t="s">
        <v>197</v>
      </c>
      <c r="BK792" s="37" t="s">
        <v>197</v>
      </c>
      <c r="BL792" s="37" t="s">
        <v>197</v>
      </c>
      <c r="BM792" s="37" t="s">
        <v>197</v>
      </c>
      <c r="BN792" s="37" t="s">
        <v>197</v>
      </c>
      <c r="BO792" s="37" t="s">
        <v>197</v>
      </c>
      <c r="BP792" s="37" t="s">
        <v>197</v>
      </c>
      <c r="BQ792" s="37" t="s">
        <v>197</v>
      </c>
      <c r="BR792" s="37" t="s">
        <v>197</v>
      </c>
      <c r="BS792" s="37" t="s">
        <v>197</v>
      </c>
      <c r="BT792" s="37" t="s">
        <v>197</v>
      </c>
    </row>
    <row r="793" spans="5:72" x14ac:dyDescent="0.25">
      <c r="E793" s="36" t="s">
        <v>21</v>
      </c>
      <c r="F793" s="36">
        <f t="shared" si="253"/>
        <v>0</v>
      </c>
      <c r="G793" s="36">
        <f t="shared" si="254"/>
        <v>0</v>
      </c>
      <c r="H793" s="36">
        <f t="shared" si="255"/>
        <v>0</v>
      </c>
      <c r="I793" s="36">
        <f t="shared" si="256"/>
        <v>0</v>
      </c>
      <c r="J793" s="36">
        <f t="shared" si="257"/>
        <v>0</v>
      </c>
      <c r="K793" s="36">
        <f t="shared" si="258"/>
        <v>0</v>
      </c>
      <c r="L793" s="36">
        <f t="shared" si="259"/>
        <v>0</v>
      </c>
      <c r="M793" s="36">
        <f t="shared" si="260"/>
        <v>0</v>
      </c>
      <c r="N793" s="36">
        <f t="shared" si="261"/>
        <v>0</v>
      </c>
      <c r="O793" s="36">
        <f t="shared" si="262"/>
        <v>0</v>
      </c>
      <c r="P793" s="36">
        <f t="shared" si="263"/>
        <v>0</v>
      </c>
      <c r="Q793" s="36">
        <f t="shared" si="264"/>
        <v>0</v>
      </c>
      <c r="R793" s="36">
        <f t="shared" si="265"/>
        <v>0</v>
      </c>
      <c r="S793" s="36">
        <f t="shared" si="266"/>
        <v>0</v>
      </c>
      <c r="T793" s="36">
        <f t="shared" si="267"/>
        <v>0</v>
      </c>
      <c r="U793" s="36">
        <f t="shared" si="268"/>
        <v>0</v>
      </c>
      <c r="V793" s="36">
        <f t="shared" si="269"/>
        <v>0</v>
      </c>
      <c r="W793" s="36">
        <f t="shared" si="270"/>
        <v>0</v>
      </c>
      <c r="X793" s="36">
        <f t="shared" si="271"/>
        <v>0</v>
      </c>
      <c r="Y793" s="36">
        <f t="shared" si="272"/>
        <v>0</v>
      </c>
      <c r="Z793" s="36">
        <f t="shared" si="273"/>
        <v>0</v>
      </c>
      <c r="AB793" s="36" t="str">
        <f>IF(最佳化斷筋點!C793="","",最佳化斷筋點!C793)</f>
        <v>下層</v>
      </c>
      <c r="AC793" s="37">
        <f>IF(最佳化斷筋點!D793="","",最佳化斷筋點!D793)</f>
        <v>9</v>
      </c>
      <c r="AD793" s="37">
        <f>IF(最佳化斷筋點!E793="","",最佳化斷筋點!E793)</f>
        <v>9</v>
      </c>
      <c r="AE793" s="37">
        <f>IF(最佳化斷筋點!F793="","",最佳化斷筋點!F793)</f>
        <v>9</v>
      </c>
      <c r="AF793" s="37">
        <f>IF(最佳化斷筋點!G793="","",最佳化斷筋點!G793)</f>
        <v>9</v>
      </c>
      <c r="AG793" s="37">
        <f>IF(最佳化斷筋點!H793="","",最佳化斷筋點!H793)</f>
        <v>8</v>
      </c>
      <c r="AH793" s="37">
        <f>IF(最佳化斷筋點!I793="","",最佳化斷筋點!I793)</f>
        <v>7</v>
      </c>
      <c r="AI793" s="37">
        <f>IF(最佳化斷筋點!J793="","",最佳化斷筋點!J793)</f>
        <v>6</v>
      </c>
      <c r="AJ793" s="37">
        <f>IF(最佳化斷筋點!K793="","",最佳化斷筋點!K793)</f>
        <v>5</v>
      </c>
      <c r="AK793" s="37">
        <f>IF(最佳化斷筋點!L793="","",最佳化斷筋點!L793)</f>
        <v>5</v>
      </c>
      <c r="AL793" s="37">
        <f>IF(最佳化斷筋點!M793="","",最佳化斷筋點!M793)</f>
        <v>5</v>
      </c>
      <c r="AM793" s="37">
        <f>IF(最佳化斷筋點!N793="","",最佳化斷筋點!N793)</f>
        <v>5</v>
      </c>
      <c r="AN793" s="37">
        <f>IF(最佳化斷筋點!O793="","",最佳化斷筋點!O793)</f>
        <v>5</v>
      </c>
      <c r="AO793" s="37">
        <f>IF(最佳化斷筋點!P793="","",最佳化斷筋點!P793)</f>
        <v>5</v>
      </c>
      <c r="AP793" s="37">
        <f>IF(最佳化斷筋點!Q793="","",最佳化斷筋點!Q793)</f>
        <v>5</v>
      </c>
      <c r="AQ793" s="37">
        <f>IF(最佳化斷筋點!R793="","",最佳化斷筋點!R793)</f>
        <v>6</v>
      </c>
      <c r="AR793" s="37">
        <f>IF(最佳化斷筋點!S793="","",最佳化斷筋點!S793)</f>
        <v>6</v>
      </c>
      <c r="AS793" s="37">
        <f>IF(最佳化斷筋點!T793="","",最佳化斷筋點!T793)</f>
        <v>7</v>
      </c>
      <c r="AT793" s="37">
        <f>IF(最佳化斷筋點!U793="","",最佳化斷筋點!U793)</f>
        <v>8</v>
      </c>
      <c r="AU793" s="37">
        <f>IF(最佳化斷筋點!V793="","",最佳化斷筋點!V793)</f>
        <v>8</v>
      </c>
      <c r="AV793" s="37">
        <f>IF(最佳化斷筋點!W793="","",最佳化斷筋點!W793)</f>
        <v>8</v>
      </c>
      <c r="AW793" s="37">
        <f>IF(最佳化斷筋點!X793="","",最佳化斷筋點!X793)</f>
        <v>8</v>
      </c>
      <c r="AZ793" s="37">
        <v>9</v>
      </c>
      <c r="BA793" s="37">
        <v>9</v>
      </c>
      <c r="BB793" s="37">
        <v>9</v>
      </c>
      <c r="BC793" s="37">
        <v>9</v>
      </c>
      <c r="BD793" s="37">
        <v>8</v>
      </c>
      <c r="BE793" s="37">
        <v>7</v>
      </c>
      <c r="BF793" s="37">
        <v>6</v>
      </c>
      <c r="BG793" s="37">
        <v>5</v>
      </c>
      <c r="BH793" s="37">
        <v>5</v>
      </c>
      <c r="BI793" s="37">
        <v>5</v>
      </c>
      <c r="BJ793" s="37">
        <v>5</v>
      </c>
      <c r="BK793" s="37">
        <v>5</v>
      </c>
      <c r="BL793" s="37">
        <v>5</v>
      </c>
      <c r="BM793" s="37">
        <v>5</v>
      </c>
      <c r="BN793" s="37">
        <v>6</v>
      </c>
      <c r="BO793" s="37">
        <v>6</v>
      </c>
      <c r="BP793" s="37">
        <v>7</v>
      </c>
      <c r="BQ793" s="37">
        <v>8</v>
      </c>
      <c r="BR793" s="37">
        <v>8</v>
      </c>
      <c r="BS793" s="37">
        <v>8</v>
      </c>
      <c r="BT793" s="37">
        <v>8</v>
      </c>
    </row>
    <row r="794" spans="5:72" x14ac:dyDescent="0.25">
      <c r="E794" s="36"/>
      <c r="F794" s="36">
        <f t="shared" si="253"/>
        <v>0</v>
      </c>
      <c r="G794" s="36">
        <f t="shared" si="254"/>
        <v>0</v>
      </c>
      <c r="H794" s="36">
        <f t="shared" si="255"/>
        <v>0</v>
      </c>
      <c r="I794" s="36">
        <f t="shared" si="256"/>
        <v>0</v>
      </c>
      <c r="J794" s="36">
        <f t="shared" si="257"/>
        <v>0</v>
      </c>
      <c r="K794" s="36">
        <f t="shared" si="258"/>
        <v>0</v>
      </c>
      <c r="L794" s="36">
        <f t="shared" si="259"/>
        <v>0</v>
      </c>
      <c r="M794" s="36">
        <f t="shared" si="260"/>
        <v>0</v>
      </c>
      <c r="N794" s="36">
        <f t="shared" si="261"/>
        <v>0</v>
      </c>
      <c r="O794" s="36">
        <f t="shared" si="262"/>
        <v>0</v>
      </c>
      <c r="P794" s="36">
        <f t="shared" si="263"/>
        <v>0</v>
      </c>
      <c r="Q794" s="36">
        <f t="shared" si="264"/>
        <v>0</v>
      </c>
      <c r="R794" s="36">
        <f t="shared" si="265"/>
        <v>0</v>
      </c>
      <c r="S794" s="36">
        <f t="shared" si="266"/>
        <v>0</v>
      </c>
      <c r="T794" s="36">
        <f t="shared" si="267"/>
        <v>0</v>
      </c>
      <c r="U794" s="36">
        <f t="shared" si="268"/>
        <v>0</v>
      </c>
      <c r="V794" s="36">
        <f t="shared" si="269"/>
        <v>0</v>
      </c>
      <c r="W794" s="36">
        <f t="shared" si="270"/>
        <v>0</v>
      </c>
      <c r="X794" s="36">
        <f t="shared" si="271"/>
        <v>0</v>
      </c>
      <c r="Y794" s="36">
        <f t="shared" si="272"/>
        <v>0</v>
      </c>
      <c r="Z794" s="36">
        <f t="shared" si="273"/>
        <v>0</v>
      </c>
      <c r="AB794" s="36" t="str">
        <f>IF(最佳化斷筋點!C794="","",最佳化斷筋點!C794)</f>
        <v/>
      </c>
      <c r="AC794" s="36" t="str">
        <f>IF(最佳化斷筋點!D794="","",最佳化斷筋點!D794)</f>
        <v/>
      </c>
      <c r="AD794" s="36" t="str">
        <f>IF(最佳化斷筋點!E794="","",最佳化斷筋點!E794)</f>
        <v/>
      </c>
      <c r="AE794" s="36" t="str">
        <f>IF(最佳化斷筋點!F794="","",最佳化斷筋點!F794)</f>
        <v/>
      </c>
      <c r="AF794" s="36" t="str">
        <f>IF(最佳化斷筋點!G794="","",最佳化斷筋點!G794)</f>
        <v/>
      </c>
      <c r="AG794" s="36" t="str">
        <f>IF(最佳化斷筋點!H794="","",最佳化斷筋點!H794)</f>
        <v/>
      </c>
      <c r="AH794" s="36" t="str">
        <f>IF(最佳化斷筋點!I794="","",最佳化斷筋點!I794)</f>
        <v/>
      </c>
      <c r="AI794" s="36" t="str">
        <f>IF(最佳化斷筋點!J794="","",最佳化斷筋點!J794)</f>
        <v/>
      </c>
      <c r="AJ794" s="36" t="str">
        <f>IF(最佳化斷筋點!K794="","",最佳化斷筋點!K794)</f>
        <v/>
      </c>
      <c r="AK794" s="36" t="str">
        <f>IF(最佳化斷筋點!L794="","",最佳化斷筋點!L794)</f>
        <v/>
      </c>
      <c r="AL794" s="36" t="str">
        <f>IF(最佳化斷筋點!M794="","",最佳化斷筋點!M794)</f>
        <v/>
      </c>
      <c r="AM794" s="36" t="str">
        <f>IF(最佳化斷筋點!N794="","",最佳化斷筋點!N794)</f>
        <v/>
      </c>
      <c r="AN794" s="36" t="str">
        <f>IF(最佳化斷筋點!O794="","",最佳化斷筋點!O794)</f>
        <v/>
      </c>
      <c r="AO794" s="36" t="str">
        <f>IF(最佳化斷筋點!P794="","",最佳化斷筋點!P794)</f>
        <v/>
      </c>
      <c r="AP794" s="36" t="str">
        <f>IF(最佳化斷筋點!Q794="","",最佳化斷筋點!Q794)</f>
        <v/>
      </c>
      <c r="AQ794" s="36" t="str">
        <f>IF(最佳化斷筋點!R794="","",最佳化斷筋點!R794)</f>
        <v/>
      </c>
      <c r="AR794" s="36" t="str">
        <f>IF(最佳化斷筋點!S794="","",最佳化斷筋點!S794)</f>
        <v/>
      </c>
      <c r="AS794" s="36" t="str">
        <f>IF(最佳化斷筋點!T794="","",最佳化斷筋點!T794)</f>
        <v/>
      </c>
      <c r="AT794" s="36" t="str">
        <f>IF(最佳化斷筋點!U794="","",最佳化斷筋點!U794)</f>
        <v/>
      </c>
      <c r="AU794" s="36" t="str">
        <f>IF(最佳化斷筋點!V794="","",最佳化斷筋點!V794)</f>
        <v/>
      </c>
      <c r="AV794" s="36" t="str">
        <f>IF(最佳化斷筋點!W794="","",最佳化斷筋點!W794)</f>
        <v/>
      </c>
      <c r="AW794" s="36" t="str">
        <f>IF(最佳化斷筋點!X794="","",最佳化斷筋點!X794)</f>
        <v/>
      </c>
      <c r="AZ794" s="37" t="s">
        <v>197</v>
      </c>
      <c r="BA794" s="37" t="s">
        <v>197</v>
      </c>
      <c r="BB794" s="37" t="s">
        <v>197</v>
      </c>
      <c r="BC794" s="37" t="s">
        <v>197</v>
      </c>
      <c r="BD794" s="37" t="s">
        <v>197</v>
      </c>
      <c r="BE794" s="37" t="s">
        <v>197</v>
      </c>
      <c r="BF794" s="37" t="s">
        <v>197</v>
      </c>
      <c r="BG794" s="37" t="s">
        <v>197</v>
      </c>
      <c r="BH794" s="37" t="s">
        <v>197</v>
      </c>
      <c r="BI794" s="37" t="s">
        <v>197</v>
      </c>
      <c r="BJ794" s="37" t="s">
        <v>197</v>
      </c>
      <c r="BK794" s="37" t="s">
        <v>197</v>
      </c>
      <c r="BL794" s="37" t="s">
        <v>197</v>
      </c>
      <c r="BM794" s="37" t="s">
        <v>197</v>
      </c>
      <c r="BN794" s="37" t="s">
        <v>197</v>
      </c>
      <c r="BO794" s="37" t="s">
        <v>197</v>
      </c>
      <c r="BP794" s="37" t="s">
        <v>197</v>
      </c>
      <c r="BQ794" s="37" t="s">
        <v>197</v>
      </c>
      <c r="BR794" s="37" t="s">
        <v>197</v>
      </c>
      <c r="BS794" s="37" t="s">
        <v>197</v>
      </c>
      <c r="BT794" s="37" t="s">
        <v>197</v>
      </c>
    </row>
    <row r="795" spans="5:72" x14ac:dyDescent="0.25">
      <c r="E795" s="36" t="s">
        <v>20</v>
      </c>
      <c r="F795" s="36">
        <f t="shared" si="253"/>
        <v>0</v>
      </c>
      <c r="G795" s="36">
        <f t="shared" si="254"/>
        <v>0</v>
      </c>
      <c r="H795" s="36">
        <f t="shared" si="255"/>
        <v>0</v>
      </c>
      <c r="I795" s="36">
        <f t="shared" si="256"/>
        <v>0</v>
      </c>
      <c r="J795" s="36">
        <f t="shared" si="257"/>
        <v>0</v>
      </c>
      <c r="K795" s="36">
        <f t="shared" si="258"/>
        <v>0</v>
      </c>
      <c r="L795" s="36">
        <f t="shared" si="259"/>
        <v>0</v>
      </c>
      <c r="M795" s="36">
        <f t="shared" si="260"/>
        <v>0</v>
      </c>
      <c r="N795" s="36">
        <f t="shared" si="261"/>
        <v>0</v>
      </c>
      <c r="O795" s="36">
        <f t="shared" si="262"/>
        <v>0</v>
      </c>
      <c r="P795" s="36">
        <f t="shared" si="263"/>
        <v>0</v>
      </c>
      <c r="Q795" s="36">
        <f t="shared" si="264"/>
        <v>0</v>
      </c>
      <c r="R795" s="36">
        <f t="shared" si="265"/>
        <v>0</v>
      </c>
      <c r="S795" s="36">
        <f t="shared" si="266"/>
        <v>0</v>
      </c>
      <c r="T795" s="36">
        <f t="shared" si="267"/>
        <v>0</v>
      </c>
      <c r="U795" s="36">
        <f t="shared" si="268"/>
        <v>0</v>
      </c>
      <c r="V795" s="36">
        <f t="shared" si="269"/>
        <v>0</v>
      </c>
      <c r="W795" s="36">
        <f t="shared" si="270"/>
        <v>0</v>
      </c>
      <c r="X795" s="36">
        <f t="shared" si="271"/>
        <v>0</v>
      </c>
      <c r="Y795" s="36">
        <f t="shared" si="272"/>
        <v>0</v>
      </c>
      <c r="Z795" s="36">
        <f t="shared" si="273"/>
        <v>0</v>
      </c>
      <c r="AB795" s="36" t="str">
        <f>IF(最佳化斷筋點!C795="","",最佳化斷筋點!C795)</f>
        <v>上層</v>
      </c>
      <c r="AC795" s="37">
        <f>IF(最佳化斷筋點!D795="","",最佳化斷筋點!D795)</f>
        <v>9</v>
      </c>
      <c r="AD795" s="37">
        <f>IF(最佳化斷筋點!E795="","",最佳化斷筋點!E795)</f>
        <v>9</v>
      </c>
      <c r="AE795" s="37">
        <f>IF(最佳化斷筋點!F795="","",最佳化斷筋點!F795)</f>
        <v>9</v>
      </c>
      <c r="AF795" s="37">
        <f>IF(最佳化斷筋點!G795="","",最佳化斷筋點!G795)</f>
        <v>9</v>
      </c>
      <c r="AG795" s="37">
        <f>IF(最佳化斷筋點!H795="","",最佳化斷筋點!H795)</f>
        <v>9</v>
      </c>
      <c r="AH795" s="37">
        <f>IF(最佳化斷筋點!I795="","",最佳化斷筋點!I795)</f>
        <v>9</v>
      </c>
      <c r="AI795" s="37">
        <f>IF(最佳化斷筋點!J795="","",最佳化斷筋點!J795)</f>
        <v>8</v>
      </c>
      <c r="AJ795" s="37">
        <f>IF(最佳化斷筋點!K795="","",最佳化斷筋點!K795)</f>
        <v>4</v>
      </c>
      <c r="AK795" s="37">
        <f>IF(最佳化斷筋點!L795="","",最佳化斷筋點!L795)</f>
        <v>4</v>
      </c>
      <c r="AL795" s="37">
        <f>IF(最佳化斷筋點!M795="","",最佳化斷筋點!M795)</f>
        <v>4</v>
      </c>
      <c r="AM795" s="37">
        <f>IF(最佳化斷筋點!N795="","",最佳化斷筋點!N795)</f>
        <v>4</v>
      </c>
      <c r="AN795" s="37">
        <f>IF(最佳化斷筋點!O795="","",最佳化斷筋點!O795)</f>
        <v>4</v>
      </c>
      <c r="AO795" s="37">
        <f>IF(最佳化斷筋點!P795="","",最佳化斷筋點!P795)</f>
        <v>4</v>
      </c>
      <c r="AP795" s="37">
        <f>IF(最佳化斷筋點!Q795="","",最佳化斷筋點!Q795)</f>
        <v>7</v>
      </c>
      <c r="AQ795" s="37">
        <f>IF(最佳化斷筋點!R795="","",最佳化斷筋點!R795)</f>
        <v>8</v>
      </c>
      <c r="AR795" s="37">
        <f>IF(最佳化斷筋點!S795="","",最佳化斷筋點!S795)</f>
        <v>9</v>
      </c>
      <c r="AS795" s="37">
        <f>IF(最佳化斷筋點!T795="","",最佳化斷筋點!T795)</f>
        <v>10</v>
      </c>
      <c r="AT795" s="37">
        <f>IF(最佳化斷筋點!U795="","",最佳化斷筋點!U795)</f>
        <v>10</v>
      </c>
      <c r="AU795" s="37">
        <f>IF(最佳化斷筋點!V795="","",最佳化斷筋點!V795)</f>
        <v>10</v>
      </c>
      <c r="AV795" s="37">
        <f>IF(最佳化斷筋點!W795="","",最佳化斷筋點!W795)</f>
        <v>10</v>
      </c>
      <c r="AW795" s="37">
        <f>IF(最佳化斷筋點!X795="","",最佳化斷筋點!X795)</f>
        <v>10</v>
      </c>
      <c r="AZ795" s="37">
        <v>9</v>
      </c>
      <c r="BA795" s="37">
        <v>9</v>
      </c>
      <c r="BB795" s="37">
        <v>9</v>
      </c>
      <c r="BC795" s="37">
        <v>9</v>
      </c>
      <c r="BD795" s="37">
        <v>9</v>
      </c>
      <c r="BE795" s="37">
        <v>9</v>
      </c>
      <c r="BF795" s="37">
        <v>8</v>
      </c>
      <c r="BG795" s="37">
        <v>4</v>
      </c>
      <c r="BH795" s="37">
        <v>4</v>
      </c>
      <c r="BI795" s="37">
        <v>4</v>
      </c>
      <c r="BJ795" s="37">
        <v>4</v>
      </c>
      <c r="BK795" s="37">
        <v>4</v>
      </c>
      <c r="BL795" s="37">
        <v>4</v>
      </c>
      <c r="BM795" s="37">
        <v>7</v>
      </c>
      <c r="BN795" s="37">
        <v>8</v>
      </c>
      <c r="BO795" s="37">
        <v>9</v>
      </c>
      <c r="BP795" s="37">
        <v>10</v>
      </c>
      <c r="BQ795" s="37">
        <v>10</v>
      </c>
      <c r="BR795" s="37">
        <v>10</v>
      </c>
      <c r="BS795" s="37">
        <v>10</v>
      </c>
      <c r="BT795" s="37">
        <v>10</v>
      </c>
    </row>
    <row r="796" spans="5:72" x14ac:dyDescent="0.25">
      <c r="E796" s="36"/>
      <c r="F796" s="36">
        <f t="shared" si="253"/>
        <v>0</v>
      </c>
      <c r="G796" s="36">
        <f t="shared" si="254"/>
        <v>0</v>
      </c>
      <c r="H796" s="36">
        <f t="shared" si="255"/>
        <v>0</v>
      </c>
      <c r="I796" s="36">
        <f t="shared" si="256"/>
        <v>0</v>
      </c>
      <c r="J796" s="36">
        <f t="shared" si="257"/>
        <v>0</v>
      </c>
      <c r="K796" s="36">
        <f t="shared" si="258"/>
        <v>0</v>
      </c>
      <c r="L796" s="36">
        <f t="shared" si="259"/>
        <v>0</v>
      </c>
      <c r="M796" s="36">
        <f t="shared" si="260"/>
        <v>0</v>
      </c>
      <c r="N796" s="36">
        <f t="shared" si="261"/>
        <v>0</v>
      </c>
      <c r="O796" s="36">
        <f t="shared" si="262"/>
        <v>0</v>
      </c>
      <c r="P796" s="36">
        <f t="shared" si="263"/>
        <v>0</v>
      </c>
      <c r="Q796" s="36">
        <f t="shared" si="264"/>
        <v>0</v>
      </c>
      <c r="R796" s="36">
        <f t="shared" si="265"/>
        <v>0</v>
      </c>
      <c r="S796" s="36">
        <f t="shared" si="266"/>
        <v>0</v>
      </c>
      <c r="T796" s="36">
        <f t="shared" si="267"/>
        <v>0</v>
      </c>
      <c r="U796" s="36">
        <f t="shared" si="268"/>
        <v>0</v>
      </c>
      <c r="V796" s="36">
        <f t="shared" si="269"/>
        <v>0</v>
      </c>
      <c r="W796" s="36">
        <f t="shared" si="270"/>
        <v>0</v>
      </c>
      <c r="X796" s="36">
        <f t="shared" si="271"/>
        <v>0</v>
      </c>
      <c r="Y796" s="36">
        <f t="shared" si="272"/>
        <v>0</v>
      </c>
      <c r="Z796" s="36">
        <f t="shared" si="273"/>
        <v>0</v>
      </c>
      <c r="AB796" s="36" t="str">
        <f>IF(最佳化斷筋點!C796="","",最佳化斷筋點!C796)</f>
        <v/>
      </c>
      <c r="AC796" s="37" t="str">
        <f>IF(最佳化斷筋點!D796="","",最佳化斷筋點!D796)</f>
        <v/>
      </c>
      <c r="AD796" s="37" t="str">
        <f>IF(最佳化斷筋點!E796="","",最佳化斷筋點!E796)</f>
        <v/>
      </c>
      <c r="AE796" s="37" t="str">
        <f>IF(最佳化斷筋點!F796="","",最佳化斷筋點!F796)</f>
        <v/>
      </c>
      <c r="AF796" s="37" t="str">
        <f>IF(最佳化斷筋點!G796="","",最佳化斷筋點!G796)</f>
        <v/>
      </c>
      <c r="AG796" s="37" t="str">
        <f>IF(最佳化斷筋點!H796="","",最佳化斷筋點!H796)</f>
        <v/>
      </c>
      <c r="AH796" s="37" t="str">
        <f>IF(最佳化斷筋點!I796="","",最佳化斷筋點!I796)</f>
        <v/>
      </c>
      <c r="AI796" s="37" t="str">
        <f>IF(最佳化斷筋點!J796="","",最佳化斷筋點!J796)</f>
        <v/>
      </c>
      <c r="AJ796" s="37" t="str">
        <f>IF(最佳化斷筋點!K796="","",最佳化斷筋點!K796)</f>
        <v/>
      </c>
      <c r="AK796" s="37" t="str">
        <f>IF(最佳化斷筋點!L796="","",最佳化斷筋點!L796)</f>
        <v/>
      </c>
      <c r="AL796" s="37" t="str">
        <f>IF(最佳化斷筋點!M796="","",最佳化斷筋點!M796)</f>
        <v/>
      </c>
      <c r="AM796" s="37" t="str">
        <f>IF(最佳化斷筋點!N796="","",最佳化斷筋點!N796)</f>
        <v/>
      </c>
      <c r="AN796" s="37" t="str">
        <f>IF(最佳化斷筋點!O796="","",最佳化斷筋點!O796)</f>
        <v/>
      </c>
      <c r="AO796" s="37" t="str">
        <f>IF(最佳化斷筋點!P796="","",最佳化斷筋點!P796)</f>
        <v/>
      </c>
      <c r="AP796" s="37" t="str">
        <f>IF(最佳化斷筋點!Q796="","",最佳化斷筋點!Q796)</f>
        <v/>
      </c>
      <c r="AQ796" s="37" t="str">
        <f>IF(最佳化斷筋點!R796="","",最佳化斷筋點!R796)</f>
        <v/>
      </c>
      <c r="AR796" s="37" t="str">
        <f>IF(最佳化斷筋點!S796="","",最佳化斷筋點!S796)</f>
        <v/>
      </c>
      <c r="AS796" s="37" t="str">
        <f>IF(最佳化斷筋點!T796="","",最佳化斷筋點!T796)</f>
        <v/>
      </c>
      <c r="AT796" s="37" t="str">
        <f>IF(最佳化斷筋點!U796="","",最佳化斷筋點!U796)</f>
        <v/>
      </c>
      <c r="AU796" s="37" t="str">
        <f>IF(最佳化斷筋點!V796="","",最佳化斷筋點!V796)</f>
        <v/>
      </c>
      <c r="AV796" s="37" t="str">
        <f>IF(最佳化斷筋點!W796="","",最佳化斷筋點!W796)</f>
        <v/>
      </c>
      <c r="AW796" s="37" t="str">
        <f>IF(最佳化斷筋點!X796="","",最佳化斷筋點!X796)</f>
        <v/>
      </c>
      <c r="AZ796" s="37" t="s">
        <v>197</v>
      </c>
      <c r="BA796" s="37" t="s">
        <v>197</v>
      </c>
      <c r="BB796" s="37" t="s">
        <v>197</v>
      </c>
      <c r="BC796" s="37" t="s">
        <v>197</v>
      </c>
      <c r="BD796" s="37" t="s">
        <v>197</v>
      </c>
      <c r="BE796" s="37" t="s">
        <v>197</v>
      </c>
      <c r="BF796" s="37" t="s">
        <v>197</v>
      </c>
      <c r="BG796" s="37" t="s">
        <v>197</v>
      </c>
      <c r="BH796" s="37" t="s">
        <v>197</v>
      </c>
      <c r="BI796" s="37" t="s">
        <v>197</v>
      </c>
      <c r="BJ796" s="37" t="s">
        <v>197</v>
      </c>
      <c r="BK796" s="37" t="s">
        <v>197</v>
      </c>
      <c r="BL796" s="37" t="s">
        <v>197</v>
      </c>
      <c r="BM796" s="37" t="s">
        <v>197</v>
      </c>
      <c r="BN796" s="37" t="s">
        <v>197</v>
      </c>
      <c r="BO796" s="37" t="s">
        <v>197</v>
      </c>
      <c r="BP796" s="37" t="s">
        <v>197</v>
      </c>
      <c r="BQ796" s="37" t="s">
        <v>197</v>
      </c>
      <c r="BR796" s="37" t="s">
        <v>197</v>
      </c>
      <c r="BS796" s="37" t="s">
        <v>197</v>
      </c>
      <c r="BT796" s="37" t="s">
        <v>197</v>
      </c>
    </row>
    <row r="797" spans="5:72" x14ac:dyDescent="0.25">
      <c r="E797" s="36" t="s">
        <v>21</v>
      </c>
      <c r="F797" s="36">
        <f t="shared" si="253"/>
        <v>0</v>
      </c>
      <c r="G797" s="36">
        <f t="shared" si="254"/>
        <v>0</v>
      </c>
      <c r="H797" s="36">
        <f t="shared" si="255"/>
        <v>0</v>
      </c>
      <c r="I797" s="36">
        <f t="shared" si="256"/>
        <v>0</v>
      </c>
      <c r="J797" s="36">
        <f t="shared" si="257"/>
        <v>0</v>
      </c>
      <c r="K797" s="36">
        <f t="shared" si="258"/>
        <v>0</v>
      </c>
      <c r="L797" s="36">
        <f t="shared" si="259"/>
        <v>0</v>
      </c>
      <c r="M797" s="36">
        <f t="shared" si="260"/>
        <v>0</v>
      </c>
      <c r="N797" s="36">
        <f t="shared" si="261"/>
        <v>0</v>
      </c>
      <c r="O797" s="36">
        <f t="shared" si="262"/>
        <v>0</v>
      </c>
      <c r="P797" s="36">
        <f t="shared" si="263"/>
        <v>0</v>
      </c>
      <c r="Q797" s="36">
        <f t="shared" si="264"/>
        <v>0</v>
      </c>
      <c r="R797" s="36">
        <f t="shared" si="265"/>
        <v>0</v>
      </c>
      <c r="S797" s="36">
        <f t="shared" si="266"/>
        <v>0</v>
      </c>
      <c r="T797" s="36">
        <f t="shared" si="267"/>
        <v>0</v>
      </c>
      <c r="U797" s="36">
        <f t="shared" si="268"/>
        <v>0</v>
      </c>
      <c r="V797" s="36">
        <f t="shared" si="269"/>
        <v>0</v>
      </c>
      <c r="W797" s="36">
        <f t="shared" si="270"/>
        <v>0</v>
      </c>
      <c r="X797" s="36">
        <f t="shared" si="271"/>
        <v>0</v>
      </c>
      <c r="Y797" s="36">
        <f t="shared" si="272"/>
        <v>0</v>
      </c>
      <c r="Z797" s="36">
        <f t="shared" si="273"/>
        <v>0</v>
      </c>
      <c r="AB797" s="36" t="str">
        <f>IF(最佳化斷筋點!C797="","",最佳化斷筋點!C797)</f>
        <v>下層</v>
      </c>
      <c r="AC797" s="37">
        <f>IF(最佳化斷筋點!D797="","",最佳化斷筋點!D797)</f>
        <v>9</v>
      </c>
      <c r="AD797" s="37">
        <f>IF(最佳化斷筋點!E797="","",最佳化斷筋點!E797)</f>
        <v>9</v>
      </c>
      <c r="AE797" s="37">
        <f>IF(最佳化斷筋點!F797="","",最佳化斷筋點!F797)</f>
        <v>9</v>
      </c>
      <c r="AF797" s="37">
        <f>IF(最佳化斷筋點!G797="","",最佳化斷筋點!G797)</f>
        <v>9</v>
      </c>
      <c r="AG797" s="37">
        <f>IF(最佳化斷筋點!H797="","",最佳化斷筋點!H797)</f>
        <v>8</v>
      </c>
      <c r="AH797" s="37">
        <f>IF(最佳化斷筋點!I797="","",最佳化斷筋點!I797)</f>
        <v>7</v>
      </c>
      <c r="AI797" s="37">
        <f>IF(最佳化斷筋點!J797="","",最佳化斷筋點!J797)</f>
        <v>6</v>
      </c>
      <c r="AJ797" s="37">
        <f>IF(最佳化斷筋點!K797="","",最佳化斷筋點!K797)</f>
        <v>5</v>
      </c>
      <c r="AK797" s="37">
        <f>IF(最佳化斷筋點!L797="","",最佳化斷筋點!L797)</f>
        <v>5</v>
      </c>
      <c r="AL797" s="37">
        <f>IF(最佳化斷筋點!M797="","",最佳化斷筋點!M797)</f>
        <v>5</v>
      </c>
      <c r="AM797" s="37">
        <f>IF(最佳化斷筋點!N797="","",最佳化斷筋點!N797)</f>
        <v>5</v>
      </c>
      <c r="AN797" s="37">
        <f>IF(最佳化斷筋點!O797="","",最佳化斷筋點!O797)</f>
        <v>5</v>
      </c>
      <c r="AO797" s="37">
        <f>IF(最佳化斷筋點!P797="","",最佳化斷筋點!P797)</f>
        <v>5</v>
      </c>
      <c r="AP797" s="37">
        <f>IF(最佳化斷筋點!Q797="","",最佳化斷筋點!Q797)</f>
        <v>5</v>
      </c>
      <c r="AQ797" s="37">
        <f>IF(最佳化斷筋點!R797="","",最佳化斷筋點!R797)</f>
        <v>5</v>
      </c>
      <c r="AR797" s="37">
        <f>IF(最佳化斷筋點!S797="","",最佳化斷筋點!S797)</f>
        <v>6</v>
      </c>
      <c r="AS797" s="37">
        <f>IF(最佳化斷筋點!T797="","",最佳化斷筋點!T797)</f>
        <v>7</v>
      </c>
      <c r="AT797" s="37">
        <f>IF(最佳化斷筋點!U797="","",最佳化斷筋點!U797)</f>
        <v>8</v>
      </c>
      <c r="AU797" s="37">
        <f>IF(最佳化斷筋點!V797="","",最佳化斷筋點!V797)</f>
        <v>9</v>
      </c>
      <c r="AV797" s="37">
        <f>IF(最佳化斷筋點!W797="","",最佳化斷筋點!W797)</f>
        <v>9</v>
      </c>
      <c r="AW797" s="37">
        <f>IF(最佳化斷筋點!X797="","",最佳化斷筋點!X797)</f>
        <v>9</v>
      </c>
      <c r="AZ797" s="37">
        <v>9</v>
      </c>
      <c r="BA797" s="37">
        <v>9</v>
      </c>
      <c r="BB797" s="37">
        <v>9</v>
      </c>
      <c r="BC797" s="37">
        <v>9</v>
      </c>
      <c r="BD797" s="37">
        <v>8</v>
      </c>
      <c r="BE797" s="37">
        <v>7</v>
      </c>
      <c r="BF797" s="37">
        <v>6</v>
      </c>
      <c r="BG797" s="37">
        <v>5</v>
      </c>
      <c r="BH797" s="37">
        <v>5</v>
      </c>
      <c r="BI797" s="37">
        <v>5</v>
      </c>
      <c r="BJ797" s="37">
        <v>5</v>
      </c>
      <c r="BK797" s="37">
        <v>5</v>
      </c>
      <c r="BL797" s="37">
        <v>5</v>
      </c>
      <c r="BM797" s="37">
        <v>5</v>
      </c>
      <c r="BN797" s="37">
        <v>5</v>
      </c>
      <c r="BO797" s="37">
        <v>6</v>
      </c>
      <c r="BP797" s="37">
        <v>7</v>
      </c>
      <c r="BQ797" s="37">
        <v>8</v>
      </c>
      <c r="BR797" s="37">
        <v>9</v>
      </c>
      <c r="BS797" s="37">
        <v>9</v>
      </c>
      <c r="BT797" s="37">
        <v>9</v>
      </c>
    </row>
    <row r="798" spans="5:72" x14ac:dyDescent="0.25">
      <c r="E798" s="36"/>
      <c r="F798" s="36">
        <f t="shared" si="253"/>
        <v>0</v>
      </c>
      <c r="G798" s="36">
        <f t="shared" si="254"/>
        <v>0</v>
      </c>
      <c r="H798" s="36">
        <f t="shared" si="255"/>
        <v>0</v>
      </c>
      <c r="I798" s="36">
        <f t="shared" si="256"/>
        <v>0</v>
      </c>
      <c r="J798" s="36">
        <f t="shared" si="257"/>
        <v>0</v>
      </c>
      <c r="K798" s="36">
        <f t="shared" si="258"/>
        <v>0</v>
      </c>
      <c r="L798" s="36">
        <f t="shared" si="259"/>
        <v>0</v>
      </c>
      <c r="M798" s="36">
        <f t="shared" si="260"/>
        <v>0</v>
      </c>
      <c r="N798" s="36">
        <f t="shared" si="261"/>
        <v>0</v>
      </c>
      <c r="O798" s="36">
        <f t="shared" si="262"/>
        <v>0</v>
      </c>
      <c r="P798" s="36">
        <f t="shared" si="263"/>
        <v>0</v>
      </c>
      <c r="Q798" s="36">
        <f t="shared" si="264"/>
        <v>0</v>
      </c>
      <c r="R798" s="36">
        <f t="shared" si="265"/>
        <v>0</v>
      </c>
      <c r="S798" s="36">
        <f t="shared" si="266"/>
        <v>0</v>
      </c>
      <c r="T798" s="36">
        <f t="shared" si="267"/>
        <v>0</v>
      </c>
      <c r="U798" s="36">
        <f t="shared" si="268"/>
        <v>0</v>
      </c>
      <c r="V798" s="36">
        <f t="shared" si="269"/>
        <v>0</v>
      </c>
      <c r="W798" s="36">
        <f t="shared" si="270"/>
        <v>0</v>
      </c>
      <c r="X798" s="36">
        <f t="shared" si="271"/>
        <v>0</v>
      </c>
      <c r="Y798" s="36">
        <f t="shared" si="272"/>
        <v>0</v>
      </c>
      <c r="Z798" s="36">
        <f t="shared" si="273"/>
        <v>0</v>
      </c>
      <c r="AB798" s="36" t="str">
        <f>IF(最佳化斷筋點!C798="","",最佳化斷筋點!C798)</f>
        <v/>
      </c>
      <c r="AC798" s="37" t="str">
        <f>IF(最佳化斷筋點!D798="","",最佳化斷筋點!D798)</f>
        <v/>
      </c>
      <c r="AD798" s="37" t="str">
        <f>IF(最佳化斷筋點!E798="","",最佳化斷筋點!E798)</f>
        <v/>
      </c>
      <c r="AE798" s="37" t="str">
        <f>IF(最佳化斷筋點!F798="","",最佳化斷筋點!F798)</f>
        <v/>
      </c>
      <c r="AF798" s="37" t="str">
        <f>IF(最佳化斷筋點!G798="","",最佳化斷筋點!G798)</f>
        <v/>
      </c>
      <c r="AG798" s="37" t="str">
        <f>IF(最佳化斷筋點!H798="","",最佳化斷筋點!H798)</f>
        <v/>
      </c>
      <c r="AH798" s="37" t="str">
        <f>IF(最佳化斷筋點!I798="","",最佳化斷筋點!I798)</f>
        <v/>
      </c>
      <c r="AI798" s="37" t="str">
        <f>IF(最佳化斷筋點!J798="","",最佳化斷筋點!J798)</f>
        <v/>
      </c>
      <c r="AJ798" s="37" t="str">
        <f>IF(最佳化斷筋點!K798="","",最佳化斷筋點!K798)</f>
        <v/>
      </c>
      <c r="AK798" s="37" t="str">
        <f>IF(最佳化斷筋點!L798="","",最佳化斷筋點!L798)</f>
        <v/>
      </c>
      <c r="AL798" s="37" t="str">
        <f>IF(最佳化斷筋點!M798="","",最佳化斷筋點!M798)</f>
        <v/>
      </c>
      <c r="AM798" s="37" t="str">
        <f>IF(最佳化斷筋點!N798="","",最佳化斷筋點!N798)</f>
        <v/>
      </c>
      <c r="AN798" s="37" t="str">
        <f>IF(最佳化斷筋點!O798="","",最佳化斷筋點!O798)</f>
        <v/>
      </c>
      <c r="AO798" s="37" t="str">
        <f>IF(最佳化斷筋點!P798="","",最佳化斷筋點!P798)</f>
        <v/>
      </c>
      <c r="AP798" s="37" t="str">
        <f>IF(最佳化斷筋點!Q798="","",最佳化斷筋點!Q798)</f>
        <v/>
      </c>
      <c r="AQ798" s="37" t="str">
        <f>IF(最佳化斷筋點!R798="","",最佳化斷筋點!R798)</f>
        <v/>
      </c>
      <c r="AR798" s="37" t="str">
        <f>IF(最佳化斷筋點!S798="","",最佳化斷筋點!S798)</f>
        <v/>
      </c>
      <c r="AS798" s="37" t="str">
        <f>IF(最佳化斷筋點!T798="","",最佳化斷筋點!T798)</f>
        <v/>
      </c>
      <c r="AT798" s="37" t="str">
        <f>IF(最佳化斷筋點!U798="","",最佳化斷筋點!U798)</f>
        <v/>
      </c>
      <c r="AU798" s="37" t="str">
        <f>IF(最佳化斷筋點!V798="","",最佳化斷筋點!V798)</f>
        <v/>
      </c>
      <c r="AV798" s="37" t="str">
        <f>IF(最佳化斷筋點!W798="","",最佳化斷筋點!W798)</f>
        <v/>
      </c>
      <c r="AW798" s="37" t="str">
        <f>IF(最佳化斷筋點!X798="","",最佳化斷筋點!X798)</f>
        <v/>
      </c>
      <c r="AZ798" s="37" t="s">
        <v>197</v>
      </c>
      <c r="BA798" s="37" t="s">
        <v>197</v>
      </c>
      <c r="BB798" s="37" t="s">
        <v>197</v>
      </c>
      <c r="BC798" s="37" t="s">
        <v>197</v>
      </c>
      <c r="BD798" s="37" t="s">
        <v>197</v>
      </c>
      <c r="BE798" s="37" t="s">
        <v>197</v>
      </c>
      <c r="BF798" s="37" t="s">
        <v>197</v>
      </c>
      <c r="BG798" s="37" t="s">
        <v>197</v>
      </c>
      <c r="BH798" s="37" t="s">
        <v>197</v>
      </c>
      <c r="BI798" s="37" t="s">
        <v>197</v>
      </c>
      <c r="BJ798" s="37" t="s">
        <v>197</v>
      </c>
      <c r="BK798" s="37" t="s">
        <v>197</v>
      </c>
      <c r="BL798" s="37" t="s">
        <v>197</v>
      </c>
      <c r="BM798" s="37" t="s">
        <v>197</v>
      </c>
      <c r="BN798" s="37" t="s">
        <v>197</v>
      </c>
      <c r="BO798" s="37" t="s">
        <v>197</v>
      </c>
      <c r="BP798" s="37" t="s">
        <v>197</v>
      </c>
      <c r="BQ798" s="37" t="s">
        <v>197</v>
      </c>
      <c r="BR798" s="37" t="s">
        <v>197</v>
      </c>
      <c r="BS798" s="37" t="s">
        <v>197</v>
      </c>
      <c r="BT798" s="37" t="s">
        <v>197</v>
      </c>
    </row>
    <row r="799" spans="5:72" x14ac:dyDescent="0.25">
      <c r="E799" s="36" t="s">
        <v>20</v>
      </c>
      <c r="F799" s="36">
        <f t="shared" si="253"/>
        <v>0</v>
      </c>
      <c r="G799" s="36">
        <f t="shared" si="254"/>
        <v>0</v>
      </c>
      <c r="H799" s="36">
        <f t="shared" si="255"/>
        <v>0</v>
      </c>
      <c r="I799" s="36">
        <f t="shared" si="256"/>
        <v>0</v>
      </c>
      <c r="J799" s="36">
        <f t="shared" si="257"/>
        <v>0</v>
      </c>
      <c r="K799" s="36">
        <f t="shared" si="258"/>
        <v>0</v>
      </c>
      <c r="L799" s="36">
        <f t="shared" si="259"/>
        <v>0</v>
      </c>
      <c r="M799" s="36">
        <f t="shared" si="260"/>
        <v>0</v>
      </c>
      <c r="N799" s="36">
        <f t="shared" si="261"/>
        <v>0</v>
      </c>
      <c r="O799" s="36">
        <f t="shared" si="262"/>
        <v>0</v>
      </c>
      <c r="P799" s="36">
        <f t="shared" si="263"/>
        <v>0</v>
      </c>
      <c r="Q799" s="36">
        <f t="shared" si="264"/>
        <v>0</v>
      </c>
      <c r="R799" s="36">
        <f t="shared" si="265"/>
        <v>0</v>
      </c>
      <c r="S799" s="36">
        <f t="shared" si="266"/>
        <v>0</v>
      </c>
      <c r="T799" s="36">
        <f t="shared" si="267"/>
        <v>0</v>
      </c>
      <c r="U799" s="36">
        <f t="shared" si="268"/>
        <v>0</v>
      </c>
      <c r="V799" s="36">
        <f t="shared" si="269"/>
        <v>0</v>
      </c>
      <c r="W799" s="36">
        <f t="shared" si="270"/>
        <v>0</v>
      </c>
      <c r="X799" s="36">
        <f t="shared" si="271"/>
        <v>0</v>
      </c>
      <c r="Y799" s="36">
        <f t="shared" si="272"/>
        <v>0</v>
      </c>
      <c r="Z799" s="36">
        <f t="shared" si="273"/>
        <v>0</v>
      </c>
      <c r="AB799" s="36" t="str">
        <f>IF(最佳化斷筋點!C799="","",最佳化斷筋點!C799)</f>
        <v>上層</v>
      </c>
      <c r="AC799" s="37">
        <f>IF(最佳化斷筋點!D799="","",最佳化斷筋點!D799)</f>
        <v>11</v>
      </c>
      <c r="AD799" s="37">
        <f>IF(最佳化斷筋點!E799="","",最佳化斷筋點!E799)</f>
        <v>11</v>
      </c>
      <c r="AE799" s="37">
        <f>IF(最佳化斷筋點!F799="","",最佳化斷筋點!F799)</f>
        <v>11</v>
      </c>
      <c r="AF799" s="37">
        <f>IF(最佳化斷筋點!G799="","",最佳化斷筋點!G799)</f>
        <v>11</v>
      </c>
      <c r="AG799" s="37">
        <f>IF(最佳化斷筋點!H799="","",最佳化斷筋點!H799)</f>
        <v>11</v>
      </c>
      <c r="AH799" s="37">
        <f>IF(最佳化斷筋點!I799="","",最佳化斷筋點!I799)</f>
        <v>11</v>
      </c>
      <c r="AI799" s="37">
        <f>IF(最佳化斷筋點!J799="","",最佳化斷筋點!J799)</f>
        <v>10</v>
      </c>
      <c r="AJ799" s="37">
        <f>IF(最佳化斷筋點!K799="","",最佳化斷筋點!K799)</f>
        <v>4</v>
      </c>
      <c r="AK799" s="37">
        <f>IF(最佳化斷筋點!L799="","",最佳化斷筋點!L799)</f>
        <v>4</v>
      </c>
      <c r="AL799" s="37">
        <f>IF(最佳化斷筋點!M799="","",最佳化斷筋點!M799)</f>
        <v>4</v>
      </c>
      <c r="AM799" s="37">
        <f>IF(最佳化斷筋點!N799="","",最佳化斷筋點!N799)</f>
        <v>4</v>
      </c>
      <c r="AN799" s="37">
        <f>IF(最佳化斷筋點!O799="","",最佳化斷筋點!O799)</f>
        <v>4</v>
      </c>
      <c r="AO799" s="37">
        <f>IF(最佳化斷筋點!P799="","",最佳化斷筋點!P799)</f>
        <v>4</v>
      </c>
      <c r="AP799" s="37">
        <f>IF(最佳化斷筋點!Q799="","",最佳化斷筋點!Q799)</f>
        <v>8</v>
      </c>
      <c r="AQ799" s="37">
        <f>IF(最佳化斷筋點!R799="","",最佳化斷筋點!R799)</f>
        <v>9</v>
      </c>
      <c r="AR799" s="37">
        <f>IF(最佳化斷筋點!S799="","",最佳化斷筋點!S799)</f>
        <v>10</v>
      </c>
      <c r="AS799" s="37">
        <f>IF(最佳化斷筋點!T799="","",最佳化斷筋點!T799)</f>
        <v>10</v>
      </c>
      <c r="AT799" s="37">
        <f>IF(最佳化斷筋點!U799="","",最佳化斷筋點!U799)</f>
        <v>10</v>
      </c>
      <c r="AU799" s="37">
        <f>IF(最佳化斷筋點!V799="","",最佳化斷筋點!V799)</f>
        <v>10</v>
      </c>
      <c r="AV799" s="37">
        <f>IF(最佳化斷筋點!W799="","",最佳化斷筋點!W799)</f>
        <v>10</v>
      </c>
      <c r="AW799" s="37">
        <f>IF(最佳化斷筋點!X799="","",最佳化斷筋點!X799)</f>
        <v>10</v>
      </c>
      <c r="AZ799" s="37">
        <v>11</v>
      </c>
      <c r="BA799" s="37">
        <v>11</v>
      </c>
      <c r="BB799" s="37">
        <v>11</v>
      </c>
      <c r="BC799" s="37">
        <v>11</v>
      </c>
      <c r="BD799" s="37">
        <v>11</v>
      </c>
      <c r="BE799" s="37">
        <v>11</v>
      </c>
      <c r="BF799" s="37">
        <v>10</v>
      </c>
      <c r="BG799" s="37">
        <v>4</v>
      </c>
      <c r="BH799" s="37">
        <v>4</v>
      </c>
      <c r="BI799" s="37">
        <v>4</v>
      </c>
      <c r="BJ799" s="37">
        <v>4</v>
      </c>
      <c r="BK799" s="37">
        <v>4</v>
      </c>
      <c r="BL799" s="37">
        <v>4</v>
      </c>
      <c r="BM799" s="37">
        <v>8</v>
      </c>
      <c r="BN799" s="37">
        <v>9</v>
      </c>
      <c r="BO799" s="37">
        <v>10</v>
      </c>
      <c r="BP799" s="37">
        <v>10</v>
      </c>
      <c r="BQ799" s="37">
        <v>10</v>
      </c>
      <c r="BR799" s="37">
        <v>10</v>
      </c>
      <c r="BS799" s="37">
        <v>10</v>
      </c>
      <c r="BT799" s="37">
        <v>10</v>
      </c>
    </row>
    <row r="800" spans="5:72" x14ac:dyDescent="0.25">
      <c r="E800" s="36"/>
      <c r="F800" s="36">
        <f t="shared" si="253"/>
        <v>0</v>
      </c>
      <c r="G800" s="36">
        <f t="shared" si="254"/>
        <v>0</v>
      </c>
      <c r="H800" s="36">
        <f t="shared" si="255"/>
        <v>0</v>
      </c>
      <c r="I800" s="36">
        <f t="shared" si="256"/>
        <v>0</v>
      </c>
      <c r="J800" s="36">
        <f t="shared" si="257"/>
        <v>0</v>
      </c>
      <c r="K800" s="36">
        <f t="shared" si="258"/>
        <v>0</v>
      </c>
      <c r="L800" s="36">
        <f t="shared" si="259"/>
        <v>0</v>
      </c>
      <c r="M800" s="36">
        <f t="shared" si="260"/>
        <v>0</v>
      </c>
      <c r="N800" s="36">
        <f t="shared" si="261"/>
        <v>0</v>
      </c>
      <c r="O800" s="36">
        <f t="shared" si="262"/>
        <v>0</v>
      </c>
      <c r="P800" s="36">
        <f t="shared" si="263"/>
        <v>0</v>
      </c>
      <c r="Q800" s="36">
        <f t="shared" si="264"/>
        <v>0</v>
      </c>
      <c r="R800" s="36">
        <f t="shared" si="265"/>
        <v>0</v>
      </c>
      <c r="S800" s="36">
        <f t="shared" si="266"/>
        <v>0</v>
      </c>
      <c r="T800" s="36">
        <f t="shared" si="267"/>
        <v>0</v>
      </c>
      <c r="U800" s="36">
        <f t="shared" si="268"/>
        <v>0</v>
      </c>
      <c r="V800" s="36">
        <f t="shared" si="269"/>
        <v>0</v>
      </c>
      <c r="W800" s="36">
        <f t="shared" si="270"/>
        <v>0</v>
      </c>
      <c r="X800" s="36">
        <f t="shared" si="271"/>
        <v>0</v>
      </c>
      <c r="Y800" s="36">
        <f t="shared" si="272"/>
        <v>0</v>
      </c>
      <c r="Z800" s="36">
        <f t="shared" si="273"/>
        <v>0</v>
      </c>
      <c r="AB800" s="36" t="str">
        <f>IF(最佳化斷筋點!C800="","",最佳化斷筋點!C800)</f>
        <v/>
      </c>
      <c r="AC800" s="37" t="str">
        <f>IF(最佳化斷筋點!D800="","",最佳化斷筋點!D800)</f>
        <v/>
      </c>
      <c r="AD800" s="37" t="str">
        <f>IF(最佳化斷筋點!E800="","",最佳化斷筋點!E800)</f>
        <v/>
      </c>
      <c r="AE800" s="37" t="str">
        <f>IF(最佳化斷筋點!F800="","",最佳化斷筋點!F800)</f>
        <v/>
      </c>
      <c r="AF800" s="37" t="str">
        <f>IF(最佳化斷筋點!G800="","",最佳化斷筋點!G800)</f>
        <v/>
      </c>
      <c r="AG800" s="37" t="str">
        <f>IF(最佳化斷筋點!H800="","",最佳化斷筋點!H800)</f>
        <v/>
      </c>
      <c r="AH800" s="37" t="str">
        <f>IF(最佳化斷筋點!I800="","",最佳化斷筋點!I800)</f>
        <v/>
      </c>
      <c r="AI800" s="37" t="str">
        <f>IF(最佳化斷筋點!J800="","",最佳化斷筋點!J800)</f>
        <v/>
      </c>
      <c r="AJ800" s="37" t="str">
        <f>IF(最佳化斷筋點!K800="","",最佳化斷筋點!K800)</f>
        <v/>
      </c>
      <c r="AK800" s="37" t="str">
        <f>IF(最佳化斷筋點!L800="","",最佳化斷筋點!L800)</f>
        <v/>
      </c>
      <c r="AL800" s="37" t="str">
        <f>IF(最佳化斷筋點!M800="","",最佳化斷筋點!M800)</f>
        <v/>
      </c>
      <c r="AM800" s="37" t="str">
        <f>IF(最佳化斷筋點!N800="","",最佳化斷筋點!N800)</f>
        <v/>
      </c>
      <c r="AN800" s="37" t="str">
        <f>IF(最佳化斷筋點!O800="","",最佳化斷筋點!O800)</f>
        <v/>
      </c>
      <c r="AO800" s="37" t="str">
        <f>IF(最佳化斷筋點!P800="","",最佳化斷筋點!P800)</f>
        <v/>
      </c>
      <c r="AP800" s="37" t="str">
        <f>IF(最佳化斷筋點!Q800="","",最佳化斷筋點!Q800)</f>
        <v/>
      </c>
      <c r="AQ800" s="37" t="str">
        <f>IF(最佳化斷筋點!R800="","",最佳化斷筋點!R800)</f>
        <v/>
      </c>
      <c r="AR800" s="37" t="str">
        <f>IF(最佳化斷筋點!S800="","",最佳化斷筋點!S800)</f>
        <v/>
      </c>
      <c r="AS800" s="37" t="str">
        <f>IF(最佳化斷筋點!T800="","",最佳化斷筋點!T800)</f>
        <v/>
      </c>
      <c r="AT800" s="37" t="str">
        <f>IF(最佳化斷筋點!U800="","",最佳化斷筋點!U800)</f>
        <v/>
      </c>
      <c r="AU800" s="37" t="str">
        <f>IF(最佳化斷筋點!V800="","",最佳化斷筋點!V800)</f>
        <v/>
      </c>
      <c r="AV800" s="37" t="str">
        <f>IF(最佳化斷筋點!W800="","",最佳化斷筋點!W800)</f>
        <v/>
      </c>
      <c r="AW800" s="37" t="str">
        <f>IF(最佳化斷筋點!X800="","",最佳化斷筋點!X800)</f>
        <v/>
      </c>
      <c r="AZ800" s="37" t="s">
        <v>197</v>
      </c>
      <c r="BA800" s="37" t="s">
        <v>197</v>
      </c>
      <c r="BB800" s="37" t="s">
        <v>197</v>
      </c>
      <c r="BC800" s="37" t="s">
        <v>197</v>
      </c>
      <c r="BD800" s="37" t="s">
        <v>197</v>
      </c>
      <c r="BE800" s="37" t="s">
        <v>197</v>
      </c>
      <c r="BF800" s="37" t="s">
        <v>197</v>
      </c>
      <c r="BG800" s="37" t="s">
        <v>197</v>
      </c>
      <c r="BH800" s="37" t="s">
        <v>197</v>
      </c>
      <c r="BI800" s="37" t="s">
        <v>197</v>
      </c>
      <c r="BJ800" s="37" t="s">
        <v>197</v>
      </c>
      <c r="BK800" s="37" t="s">
        <v>197</v>
      </c>
      <c r="BL800" s="37" t="s">
        <v>197</v>
      </c>
      <c r="BM800" s="37" t="s">
        <v>197</v>
      </c>
      <c r="BN800" s="37" t="s">
        <v>197</v>
      </c>
      <c r="BO800" s="37" t="s">
        <v>197</v>
      </c>
      <c r="BP800" s="37" t="s">
        <v>197</v>
      </c>
      <c r="BQ800" s="37" t="s">
        <v>197</v>
      </c>
      <c r="BR800" s="37" t="s">
        <v>197</v>
      </c>
      <c r="BS800" s="37" t="s">
        <v>197</v>
      </c>
      <c r="BT800" s="37" t="s">
        <v>197</v>
      </c>
    </row>
    <row r="801" spans="5:72" x14ac:dyDescent="0.25">
      <c r="E801" s="36" t="s">
        <v>21</v>
      </c>
      <c r="F801" s="36">
        <f t="shared" si="253"/>
        <v>0</v>
      </c>
      <c r="G801" s="36">
        <f t="shared" si="254"/>
        <v>0</v>
      </c>
      <c r="H801" s="36">
        <f t="shared" si="255"/>
        <v>0</v>
      </c>
      <c r="I801" s="36">
        <f t="shared" si="256"/>
        <v>0</v>
      </c>
      <c r="J801" s="36">
        <f t="shared" si="257"/>
        <v>0</v>
      </c>
      <c r="K801" s="36">
        <f t="shared" si="258"/>
        <v>0</v>
      </c>
      <c r="L801" s="36">
        <f t="shared" si="259"/>
        <v>0</v>
      </c>
      <c r="M801" s="36">
        <f t="shared" si="260"/>
        <v>0</v>
      </c>
      <c r="N801" s="36">
        <f t="shared" si="261"/>
        <v>0</v>
      </c>
      <c r="O801" s="36">
        <f t="shared" si="262"/>
        <v>0</v>
      </c>
      <c r="P801" s="36">
        <f t="shared" si="263"/>
        <v>0</v>
      </c>
      <c r="Q801" s="36">
        <f t="shared" si="264"/>
        <v>0</v>
      </c>
      <c r="R801" s="36">
        <f t="shared" si="265"/>
        <v>0</v>
      </c>
      <c r="S801" s="36">
        <f t="shared" si="266"/>
        <v>0</v>
      </c>
      <c r="T801" s="36">
        <f t="shared" si="267"/>
        <v>0</v>
      </c>
      <c r="U801" s="36">
        <f t="shared" si="268"/>
        <v>0</v>
      </c>
      <c r="V801" s="36">
        <f t="shared" si="269"/>
        <v>0</v>
      </c>
      <c r="W801" s="36">
        <f t="shared" si="270"/>
        <v>0</v>
      </c>
      <c r="X801" s="36">
        <f t="shared" si="271"/>
        <v>0</v>
      </c>
      <c r="Y801" s="36">
        <f t="shared" si="272"/>
        <v>0</v>
      </c>
      <c r="Z801" s="36">
        <f t="shared" si="273"/>
        <v>0</v>
      </c>
      <c r="AB801" s="36" t="str">
        <f>IF(最佳化斷筋點!C801="","",最佳化斷筋點!C801)</f>
        <v>下層</v>
      </c>
      <c r="AC801" s="37">
        <f>IF(最佳化斷筋點!D801="","",最佳化斷筋點!D801)</f>
        <v>14</v>
      </c>
      <c r="AD801" s="37">
        <f>IF(最佳化斷筋點!E801="","",最佳化斷筋點!E801)</f>
        <v>14</v>
      </c>
      <c r="AE801" s="37">
        <f>IF(最佳化斷筋點!F801="","",最佳化斷筋點!F801)</f>
        <v>14</v>
      </c>
      <c r="AF801" s="37">
        <f>IF(最佳化斷筋點!G801="","",最佳化斷筋點!G801)</f>
        <v>14</v>
      </c>
      <c r="AG801" s="37">
        <f>IF(最佳化斷筋點!H801="","",最佳化斷筋點!H801)</f>
        <v>13</v>
      </c>
      <c r="AH801" s="37">
        <f>IF(最佳化斷筋點!I801="","",最佳化斷筋點!I801)</f>
        <v>12</v>
      </c>
      <c r="AI801" s="37">
        <f>IF(最佳化斷筋點!J801="","",最佳化斷筋點!J801)</f>
        <v>11</v>
      </c>
      <c r="AJ801" s="37">
        <f>IF(最佳化斷筋點!K801="","",最佳化斷筋點!K801)</f>
        <v>6</v>
      </c>
      <c r="AK801" s="37">
        <f>IF(最佳化斷筋點!L801="","",最佳化斷筋點!L801)</f>
        <v>6</v>
      </c>
      <c r="AL801" s="37">
        <f>IF(最佳化斷筋點!M801="","",最佳化斷筋點!M801)</f>
        <v>6</v>
      </c>
      <c r="AM801" s="37">
        <f>IF(最佳化斷筋點!N801="","",最佳化斷筋點!N801)</f>
        <v>6</v>
      </c>
      <c r="AN801" s="37">
        <f>IF(最佳化斷筋點!O801="","",最佳化斷筋點!O801)</f>
        <v>6</v>
      </c>
      <c r="AO801" s="37">
        <f>IF(最佳化斷筋點!P801="","",最佳化斷筋點!P801)</f>
        <v>6</v>
      </c>
      <c r="AP801" s="37">
        <f>IF(最佳化斷筋點!Q801="","",最佳化斷筋點!Q801)</f>
        <v>8</v>
      </c>
      <c r="AQ801" s="37">
        <f>IF(最佳化斷筋點!R801="","",最佳化斷筋點!R801)</f>
        <v>9</v>
      </c>
      <c r="AR801" s="37">
        <f>IF(最佳化斷筋點!S801="","",最佳化斷筋點!S801)</f>
        <v>11</v>
      </c>
      <c r="AS801" s="37">
        <f>IF(最佳化斷筋點!T801="","",最佳化斷筋點!T801)</f>
        <v>12</v>
      </c>
      <c r="AT801" s="37">
        <f>IF(最佳化斷筋點!U801="","",最佳化斷筋點!U801)</f>
        <v>13</v>
      </c>
      <c r="AU801" s="37">
        <f>IF(最佳化斷筋點!V801="","",最佳化斷筋點!V801)</f>
        <v>13</v>
      </c>
      <c r="AV801" s="37">
        <f>IF(最佳化斷筋點!W801="","",最佳化斷筋點!W801)</f>
        <v>13</v>
      </c>
      <c r="AW801" s="37">
        <f>IF(最佳化斷筋點!X801="","",最佳化斷筋點!X801)</f>
        <v>13</v>
      </c>
      <c r="AZ801" s="37">
        <v>14</v>
      </c>
      <c r="BA801" s="37">
        <v>14</v>
      </c>
      <c r="BB801" s="37">
        <v>14</v>
      </c>
      <c r="BC801" s="37">
        <v>14</v>
      </c>
      <c r="BD801" s="37">
        <v>13</v>
      </c>
      <c r="BE801" s="37">
        <v>12</v>
      </c>
      <c r="BF801" s="37">
        <v>11</v>
      </c>
      <c r="BG801" s="37">
        <v>6</v>
      </c>
      <c r="BH801" s="37">
        <v>6</v>
      </c>
      <c r="BI801" s="37">
        <v>6</v>
      </c>
      <c r="BJ801" s="37">
        <v>6</v>
      </c>
      <c r="BK801" s="37">
        <v>6</v>
      </c>
      <c r="BL801" s="37">
        <v>6</v>
      </c>
      <c r="BM801" s="37">
        <v>8</v>
      </c>
      <c r="BN801" s="37">
        <v>9</v>
      </c>
      <c r="BO801" s="37">
        <v>11</v>
      </c>
      <c r="BP801" s="37">
        <v>12</v>
      </c>
      <c r="BQ801" s="37">
        <v>13</v>
      </c>
      <c r="BR801" s="37">
        <v>13</v>
      </c>
      <c r="BS801" s="37">
        <v>13</v>
      </c>
      <c r="BT801" s="37">
        <v>13</v>
      </c>
    </row>
    <row r="802" spans="5:72" x14ac:dyDescent="0.25">
      <c r="E802" s="36"/>
      <c r="F802" s="36">
        <f t="shared" si="253"/>
        <v>0</v>
      </c>
      <c r="G802" s="36">
        <f t="shared" si="254"/>
        <v>0</v>
      </c>
      <c r="H802" s="36">
        <f t="shared" si="255"/>
        <v>0</v>
      </c>
      <c r="I802" s="36">
        <f t="shared" si="256"/>
        <v>0</v>
      </c>
      <c r="J802" s="36">
        <f t="shared" si="257"/>
        <v>0</v>
      </c>
      <c r="K802" s="36">
        <f t="shared" si="258"/>
        <v>0</v>
      </c>
      <c r="L802" s="36">
        <f t="shared" si="259"/>
        <v>0</v>
      </c>
      <c r="M802" s="36">
        <f t="shared" si="260"/>
        <v>0</v>
      </c>
      <c r="N802" s="36">
        <f t="shared" si="261"/>
        <v>0</v>
      </c>
      <c r="O802" s="36">
        <f t="shared" si="262"/>
        <v>0</v>
      </c>
      <c r="P802" s="36">
        <f t="shared" si="263"/>
        <v>0</v>
      </c>
      <c r="Q802" s="36">
        <f t="shared" si="264"/>
        <v>0</v>
      </c>
      <c r="R802" s="36">
        <f t="shared" si="265"/>
        <v>0</v>
      </c>
      <c r="S802" s="36">
        <f t="shared" si="266"/>
        <v>0</v>
      </c>
      <c r="T802" s="36">
        <f t="shared" si="267"/>
        <v>0</v>
      </c>
      <c r="U802" s="36">
        <f t="shared" si="268"/>
        <v>0</v>
      </c>
      <c r="V802" s="36">
        <f t="shared" si="269"/>
        <v>0</v>
      </c>
      <c r="W802" s="36">
        <f t="shared" si="270"/>
        <v>0</v>
      </c>
      <c r="X802" s="36">
        <f t="shared" si="271"/>
        <v>0</v>
      </c>
      <c r="Y802" s="36">
        <f t="shared" si="272"/>
        <v>0</v>
      </c>
      <c r="Z802" s="36">
        <f t="shared" si="273"/>
        <v>0</v>
      </c>
      <c r="AB802" s="36" t="str">
        <f>IF(最佳化斷筋點!C802="","",最佳化斷筋點!C802)</f>
        <v/>
      </c>
      <c r="AC802" s="37" t="str">
        <f>IF(最佳化斷筋點!D802="","",最佳化斷筋點!D802)</f>
        <v/>
      </c>
      <c r="AD802" s="37" t="str">
        <f>IF(最佳化斷筋點!E802="","",最佳化斷筋點!E802)</f>
        <v/>
      </c>
      <c r="AE802" s="37" t="str">
        <f>IF(最佳化斷筋點!F802="","",最佳化斷筋點!F802)</f>
        <v/>
      </c>
      <c r="AF802" s="37" t="str">
        <f>IF(最佳化斷筋點!G802="","",最佳化斷筋點!G802)</f>
        <v/>
      </c>
      <c r="AG802" s="37" t="str">
        <f>IF(最佳化斷筋點!H802="","",最佳化斷筋點!H802)</f>
        <v/>
      </c>
      <c r="AH802" s="37" t="str">
        <f>IF(最佳化斷筋點!I802="","",最佳化斷筋點!I802)</f>
        <v/>
      </c>
      <c r="AI802" s="37" t="str">
        <f>IF(最佳化斷筋點!J802="","",最佳化斷筋點!J802)</f>
        <v/>
      </c>
      <c r="AJ802" s="37" t="str">
        <f>IF(最佳化斷筋點!K802="","",最佳化斷筋點!K802)</f>
        <v/>
      </c>
      <c r="AK802" s="37" t="str">
        <f>IF(最佳化斷筋點!L802="","",最佳化斷筋點!L802)</f>
        <v/>
      </c>
      <c r="AL802" s="37" t="str">
        <f>IF(最佳化斷筋點!M802="","",最佳化斷筋點!M802)</f>
        <v/>
      </c>
      <c r="AM802" s="37" t="str">
        <f>IF(最佳化斷筋點!N802="","",最佳化斷筋點!N802)</f>
        <v/>
      </c>
      <c r="AN802" s="37" t="str">
        <f>IF(最佳化斷筋點!O802="","",最佳化斷筋點!O802)</f>
        <v/>
      </c>
      <c r="AO802" s="37" t="str">
        <f>IF(最佳化斷筋點!P802="","",最佳化斷筋點!P802)</f>
        <v/>
      </c>
      <c r="AP802" s="37" t="str">
        <f>IF(最佳化斷筋點!Q802="","",最佳化斷筋點!Q802)</f>
        <v/>
      </c>
      <c r="AQ802" s="37" t="str">
        <f>IF(最佳化斷筋點!R802="","",最佳化斷筋點!R802)</f>
        <v/>
      </c>
      <c r="AR802" s="37" t="str">
        <f>IF(最佳化斷筋點!S802="","",最佳化斷筋點!S802)</f>
        <v/>
      </c>
      <c r="AS802" s="37" t="str">
        <f>IF(最佳化斷筋點!T802="","",最佳化斷筋點!T802)</f>
        <v/>
      </c>
      <c r="AT802" s="37" t="str">
        <f>IF(最佳化斷筋點!U802="","",最佳化斷筋點!U802)</f>
        <v/>
      </c>
      <c r="AU802" s="37" t="str">
        <f>IF(最佳化斷筋點!V802="","",最佳化斷筋點!V802)</f>
        <v/>
      </c>
      <c r="AV802" s="37" t="str">
        <f>IF(最佳化斷筋點!W802="","",最佳化斷筋點!W802)</f>
        <v/>
      </c>
      <c r="AW802" s="37" t="str">
        <f>IF(最佳化斷筋點!X802="","",最佳化斷筋點!X802)</f>
        <v/>
      </c>
      <c r="AZ802" s="37" t="s">
        <v>197</v>
      </c>
      <c r="BA802" s="37" t="s">
        <v>197</v>
      </c>
      <c r="BB802" s="37" t="s">
        <v>197</v>
      </c>
      <c r="BC802" s="37" t="s">
        <v>197</v>
      </c>
      <c r="BD802" s="37" t="s">
        <v>197</v>
      </c>
      <c r="BE802" s="37" t="s">
        <v>197</v>
      </c>
      <c r="BF802" s="37" t="s">
        <v>197</v>
      </c>
      <c r="BG802" s="37" t="s">
        <v>197</v>
      </c>
      <c r="BH802" s="37" t="s">
        <v>197</v>
      </c>
      <c r="BI802" s="37" t="s">
        <v>197</v>
      </c>
      <c r="BJ802" s="37" t="s">
        <v>197</v>
      </c>
      <c r="BK802" s="37" t="s">
        <v>197</v>
      </c>
      <c r="BL802" s="37" t="s">
        <v>197</v>
      </c>
      <c r="BM802" s="37" t="s">
        <v>197</v>
      </c>
      <c r="BN802" s="37" t="s">
        <v>197</v>
      </c>
      <c r="BO802" s="37" t="s">
        <v>197</v>
      </c>
      <c r="BP802" s="37" t="s">
        <v>197</v>
      </c>
      <c r="BQ802" s="37" t="s">
        <v>197</v>
      </c>
      <c r="BR802" s="37" t="s">
        <v>197</v>
      </c>
      <c r="BS802" s="37" t="s">
        <v>197</v>
      </c>
      <c r="BT802" s="37" t="s">
        <v>197</v>
      </c>
    </row>
    <row r="803" spans="5:72" x14ac:dyDescent="0.25">
      <c r="E803" s="36" t="s">
        <v>20</v>
      </c>
      <c r="F803" s="36">
        <f t="shared" si="253"/>
        <v>0</v>
      </c>
      <c r="G803" s="36">
        <f t="shared" si="254"/>
        <v>0</v>
      </c>
      <c r="H803" s="36">
        <f t="shared" si="255"/>
        <v>0</v>
      </c>
      <c r="I803" s="36">
        <f t="shared" si="256"/>
        <v>0</v>
      </c>
      <c r="J803" s="36">
        <f t="shared" si="257"/>
        <v>0</v>
      </c>
      <c r="K803" s="36">
        <f t="shared" si="258"/>
        <v>0</v>
      </c>
      <c r="L803" s="36">
        <f t="shared" si="259"/>
        <v>0</v>
      </c>
      <c r="M803" s="36">
        <f t="shared" si="260"/>
        <v>0</v>
      </c>
      <c r="N803" s="36">
        <f t="shared" si="261"/>
        <v>0</v>
      </c>
      <c r="O803" s="36">
        <f t="shared" si="262"/>
        <v>0</v>
      </c>
      <c r="P803" s="36">
        <f t="shared" si="263"/>
        <v>0</v>
      </c>
      <c r="Q803" s="36">
        <f t="shared" si="264"/>
        <v>0</v>
      </c>
      <c r="R803" s="36">
        <f t="shared" si="265"/>
        <v>0</v>
      </c>
      <c r="S803" s="36">
        <f t="shared" si="266"/>
        <v>0</v>
      </c>
      <c r="T803" s="36">
        <f t="shared" si="267"/>
        <v>0</v>
      </c>
      <c r="U803" s="36">
        <f t="shared" si="268"/>
        <v>0</v>
      </c>
      <c r="V803" s="36">
        <f t="shared" si="269"/>
        <v>0</v>
      </c>
      <c r="W803" s="36">
        <f t="shared" si="270"/>
        <v>0</v>
      </c>
      <c r="X803" s="36">
        <f t="shared" si="271"/>
        <v>0</v>
      </c>
      <c r="Y803" s="36">
        <f t="shared" si="272"/>
        <v>0</v>
      </c>
      <c r="Z803" s="36">
        <f t="shared" si="273"/>
        <v>0</v>
      </c>
      <c r="AB803" s="36" t="str">
        <f>IF(最佳化斷筋點!C803="","",最佳化斷筋點!C803)</f>
        <v>上層</v>
      </c>
      <c r="AC803" s="37">
        <f>IF(最佳化斷筋點!D803="","",最佳化斷筋點!D803)</f>
        <v>10</v>
      </c>
      <c r="AD803" s="37">
        <f>IF(最佳化斷筋點!E803="","",最佳化斷筋點!E803)</f>
        <v>10</v>
      </c>
      <c r="AE803" s="37">
        <f>IF(最佳化斷筋點!F803="","",最佳化斷筋點!F803)</f>
        <v>10</v>
      </c>
      <c r="AF803" s="37">
        <f>IF(最佳化斷筋點!G803="","",最佳化斷筋點!G803)</f>
        <v>10</v>
      </c>
      <c r="AG803" s="37">
        <f>IF(最佳化斷筋點!H803="","",最佳化斷筋點!H803)</f>
        <v>10</v>
      </c>
      <c r="AH803" s="37">
        <f>IF(最佳化斷筋點!I803="","",最佳化斷筋點!I803)</f>
        <v>10</v>
      </c>
      <c r="AI803" s="37">
        <f>IF(最佳化斷筋點!J803="","",最佳化斷筋點!J803)</f>
        <v>10</v>
      </c>
      <c r="AJ803" s="37">
        <f>IF(最佳化斷筋點!K803="","",最佳化斷筋點!K803)</f>
        <v>4</v>
      </c>
      <c r="AK803" s="37">
        <f>IF(最佳化斷筋點!L803="","",最佳化斷筋點!L803)</f>
        <v>4</v>
      </c>
      <c r="AL803" s="37">
        <f>IF(最佳化斷筋點!M803="","",最佳化斷筋點!M803)</f>
        <v>4</v>
      </c>
      <c r="AM803" s="37">
        <f>IF(最佳化斷筋點!N803="","",最佳化斷筋點!N803)</f>
        <v>4</v>
      </c>
      <c r="AN803" s="37">
        <f>IF(最佳化斷筋點!O803="","",最佳化斷筋點!O803)</f>
        <v>4</v>
      </c>
      <c r="AO803" s="37">
        <f>IF(最佳化斷筋點!P803="","",最佳化斷筋點!P803)</f>
        <v>4</v>
      </c>
      <c r="AP803" s="37">
        <f>IF(最佳化斷筋點!Q803="","",最佳化斷筋點!Q803)</f>
        <v>7</v>
      </c>
      <c r="AQ803" s="37">
        <f>IF(最佳化斷筋點!R803="","",最佳化斷筋點!R803)</f>
        <v>8</v>
      </c>
      <c r="AR803" s="37">
        <f>IF(最佳化斷筋點!S803="","",最佳化斷筋點!S803)</f>
        <v>9</v>
      </c>
      <c r="AS803" s="37">
        <f>IF(最佳化斷筋點!T803="","",最佳化斷筋點!T803)</f>
        <v>9</v>
      </c>
      <c r="AT803" s="37">
        <f>IF(最佳化斷筋點!U803="","",最佳化斷筋點!U803)</f>
        <v>9</v>
      </c>
      <c r="AU803" s="37">
        <f>IF(最佳化斷筋點!V803="","",最佳化斷筋點!V803)</f>
        <v>9</v>
      </c>
      <c r="AV803" s="37">
        <f>IF(最佳化斷筋點!W803="","",最佳化斷筋點!W803)</f>
        <v>9</v>
      </c>
      <c r="AW803" s="37">
        <f>IF(最佳化斷筋點!X803="","",最佳化斷筋點!X803)</f>
        <v>9</v>
      </c>
      <c r="AZ803" s="37">
        <v>10</v>
      </c>
      <c r="BA803" s="37">
        <v>10</v>
      </c>
      <c r="BB803" s="37">
        <v>10</v>
      </c>
      <c r="BC803" s="37">
        <v>10</v>
      </c>
      <c r="BD803" s="37">
        <v>10</v>
      </c>
      <c r="BE803" s="37">
        <v>10</v>
      </c>
      <c r="BF803" s="37">
        <v>10</v>
      </c>
      <c r="BG803" s="37">
        <v>4</v>
      </c>
      <c r="BH803" s="37">
        <v>4</v>
      </c>
      <c r="BI803" s="37">
        <v>4</v>
      </c>
      <c r="BJ803" s="37">
        <v>4</v>
      </c>
      <c r="BK803" s="37">
        <v>4</v>
      </c>
      <c r="BL803" s="37">
        <v>4</v>
      </c>
      <c r="BM803" s="37">
        <v>7</v>
      </c>
      <c r="BN803" s="37">
        <v>8</v>
      </c>
      <c r="BO803" s="37">
        <v>9</v>
      </c>
      <c r="BP803" s="37">
        <v>9</v>
      </c>
      <c r="BQ803" s="37">
        <v>9</v>
      </c>
      <c r="BR803" s="37">
        <v>9</v>
      </c>
      <c r="BS803" s="37">
        <v>9</v>
      </c>
      <c r="BT803" s="37">
        <v>9</v>
      </c>
    </row>
    <row r="804" spans="5:72" x14ac:dyDescent="0.25">
      <c r="E804" s="36"/>
      <c r="F804" s="36">
        <f t="shared" si="253"/>
        <v>0</v>
      </c>
      <c r="G804" s="36">
        <f t="shared" si="254"/>
        <v>0</v>
      </c>
      <c r="H804" s="36">
        <f t="shared" si="255"/>
        <v>0</v>
      </c>
      <c r="I804" s="36">
        <f t="shared" si="256"/>
        <v>0</v>
      </c>
      <c r="J804" s="36">
        <f t="shared" si="257"/>
        <v>0</v>
      </c>
      <c r="K804" s="36">
        <f t="shared" si="258"/>
        <v>0</v>
      </c>
      <c r="L804" s="36">
        <f t="shared" si="259"/>
        <v>0</v>
      </c>
      <c r="M804" s="36">
        <f t="shared" si="260"/>
        <v>0</v>
      </c>
      <c r="N804" s="36">
        <f t="shared" si="261"/>
        <v>0</v>
      </c>
      <c r="O804" s="36">
        <f t="shared" si="262"/>
        <v>0</v>
      </c>
      <c r="P804" s="36">
        <f t="shared" si="263"/>
        <v>0</v>
      </c>
      <c r="Q804" s="36">
        <f t="shared" si="264"/>
        <v>0</v>
      </c>
      <c r="R804" s="36">
        <f t="shared" si="265"/>
        <v>0</v>
      </c>
      <c r="S804" s="36">
        <f t="shared" si="266"/>
        <v>0</v>
      </c>
      <c r="T804" s="36">
        <f t="shared" si="267"/>
        <v>0</v>
      </c>
      <c r="U804" s="36">
        <f t="shared" si="268"/>
        <v>0</v>
      </c>
      <c r="V804" s="36">
        <f t="shared" si="269"/>
        <v>0</v>
      </c>
      <c r="W804" s="36">
        <f t="shared" si="270"/>
        <v>0</v>
      </c>
      <c r="X804" s="36">
        <f t="shared" si="271"/>
        <v>0</v>
      </c>
      <c r="Y804" s="36">
        <f t="shared" si="272"/>
        <v>0</v>
      </c>
      <c r="Z804" s="36">
        <f t="shared" si="273"/>
        <v>0</v>
      </c>
      <c r="AB804" s="36" t="str">
        <f>IF(最佳化斷筋點!C804="","",最佳化斷筋點!C804)</f>
        <v/>
      </c>
      <c r="AC804" s="37" t="str">
        <f>IF(最佳化斷筋點!D804="","",最佳化斷筋點!D804)</f>
        <v/>
      </c>
      <c r="AD804" s="37" t="str">
        <f>IF(最佳化斷筋點!E804="","",最佳化斷筋點!E804)</f>
        <v/>
      </c>
      <c r="AE804" s="37" t="str">
        <f>IF(最佳化斷筋點!F804="","",最佳化斷筋點!F804)</f>
        <v/>
      </c>
      <c r="AF804" s="37" t="str">
        <f>IF(最佳化斷筋點!G804="","",最佳化斷筋點!G804)</f>
        <v/>
      </c>
      <c r="AG804" s="37" t="str">
        <f>IF(最佳化斷筋點!H804="","",最佳化斷筋點!H804)</f>
        <v/>
      </c>
      <c r="AH804" s="37" t="str">
        <f>IF(最佳化斷筋點!I804="","",最佳化斷筋點!I804)</f>
        <v/>
      </c>
      <c r="AI804" s="37" t="str">
        <f>IF(最佳化斷筋點!J804="","",最佳化斷筋點!J804)</f>
        <v/>
      </c>
      <c r="AJ804" s="37" t="str">
        <f>IF(最佳化斷筋點!K804="","",最佳化斷筋點!K804)</f>
        <v/>
      </c>
      <c r="AK804" s="37" t="str">
        <f>IF(最佳化斷筋點!L804="","",最佳化斷筋點!L804)</f>
        <v/>
      </c>
      <c r="AL804" s="37" t="str">
        <f>IF(最佳化斷筋點!M804="","",最佳化斷筋點!M804)</f>
        <v/>
      </c>
      <c r="AM804" s="37" t="str">
        <f>IF(最佳化斷筋點!N804="","",最佳化斷筋點!N804)</f>
        <v/>
      </c>
      <c r="AN804" s="37" t="str">
        <f>IF(最佳化斷筋點!O804="","",最佳化斷筋點!O804)</f>
        <v/>
      </c>
      <c r="AO804" s="37" t="str">
        <f>IF(最佳化斷筋點!P804="","",最佳化斷筋點!P804)</f>
        <v/>
      </c>
      <c r="AP804" s="37" t="str">
        <f>IF(最佳化斷筋點!Q804="","",最佳化斷筋點!Q804)</f>
        <v/>
      </c>
      <c r="AQ804" s="37" t="str">
        <f>IF(最佳化斷筋點!R804="","",最佳化斷筋點!R804)</f>
        <v/>
      </c>
      <c r="AR804" s="37" t="str">
        <f>IF(最佳化斷筋點!S804="","",最佳化斷筋點!S804)</f>
        <v/>
      </c>
      <c r="AS804" s="37" t="str">
        <f>IF(最佳化斷筋點!T804="","",最佳化斷筋點!T804)</f>
        <v/>
      </c>
      <c r="AT804" s="37" t="str">
        <f>IF(最佳化斷筋點!U804="","",最佳化斷筋點!U804)</f>
        <v/>
      </c>
      <c r="AU804" s="37" t="str">
        <f>IF(最佳化斷筋點!V804="","",最佳化斷筋點!V804)</f>
        <v/>
      </c>
      <c r="AV804" s="37" t="str">
        <f>IF(最佳化斷筋點!W804="","",最佳化斷筋點!W804)</f>
        <v/>
      </c>
      <c r="AW804" s="37" t="str">
        <f>IF(最佳化斷筋點!X804="","",最佳化斷筋點!X804)</f>
        <v/>
      </c>
      <c r="AZ804" s="37" t="s">
        <v>197</v>
      </c>
      <c r="BA804" s="37" t="s">
        <v>197</v>
      </c>
      <c r="BB804" s="37" t="s">
        <v>197</v>
      </c>
      <c r="BC804" s="37" t="s">
        <v>197</v>
      </c>
      <c r="BD804" s="37" t="s">
        <v>197</v>
      </c>
      <c r="BE804" s="37" t="s">
        <v>197</v>
      </c>
      <c r="BF804" s="37" t="s">
        <v>197</v>
      </c>
      <c r="BG804" s="37" t="s">
        <v>197</v>
      </c>
      <c r="BH804" s="37" t="s">
        <v>197</v>
      </c>
      <c r="BI804" s="37" t="s">
        <v>197</v>
      </c>
      <c r="BJ804" s="37" t="s">
        <v>197</v>
      </c>
      <c r="BK804" s="37" t="s">
        <v>197</v>
      </c>
      <c r="BL804" s="37" t="s">
        <v>197</v>
      </c>
      <c r="BM804" s="37" t="s">
        <v>197</v>
      </c>
      <c r="BN804" s="37" t="s">
        <v>197</v>
      </c>
      <c r="BO804" s="37" t="s">
        <v>197</v>
      </c>
      <c r="BP804" s="37" t="s">
        <v>197</v>
      </c>
      <c r="BQ804" s="37" t="s">
        <v>197</v>
      </c>
      <c r="BR804" s="37" t="s">
        <v>197</v>
      </c>
      <c r="BS804" s="37" t="s">
        <v>197</v>
      </c>
      <c r="BT804" s="37" t="s">
        <v>197</v>
      </c>
    </row>
    <row r="805" spans="5:72" x14ac:dyDescent="0.25">
      <c r="E805" s="36" t="s">
        <v>21</v>
      </c>
      <c r="F805" s="36">
        <f t="shared" si="253"/>
        <v>0</v>
      </c>
      <c r="G805" s="36">
        <f t="shared" si="254"/>
        <v>0</v>
      </c>
      <c r="H805" s="36">
        <f t="shared" si="255"/>
        <v>0</v>
      </c>
      <c r="I805" s="36">
        <f t="shared" si="256"/>
        <v>0</v>
      </c>
      <c r="J805" s="36">
        <f t="shared" si="257"/>
        <v>0</v>
      </c>
      <c r="K805" s="36">
        <f t="shared" si="258"/>
        <v>0</v>
      </c>
      <c r="L805" s="36">
        <f t="shared" si="259"/>
        <v>0</v>
      </c>
      <c r="M805" s="36">
        <f t="shared" si="260"/>
        <v>0</v>
      </c>
      <c r="N805" s="36">
        <f t="shared" si="261"/>
        <v>0</v>
      </c>
      <c r="O805" s="36">
        <f t="shared" si="262"/>
        <v>0</v>
      </c>
      <c r="P805" s="36">
        <f t="shared" si="263"/>
        <v>0</v>
      </c>
      <c r="Q805" s="36">
        <f t="shared" si="264"/>
        <v>0</v>
      </c>
      <c r="R805" s="36">
        <f t="shared" si="265"/>
        <v>0</v>
      </c>
      <c r="S805" s="36">
        <f t="shared" si="266"/>
        <v>0</v>
      </c>
      <c r="T805" s="36">
        <f t="shared" si="267"/>
        <v>0</v>
      </c>
      <c r="U805" s="36">
        <f t="shared" si="268"/>
        <v>0</v>
      </c>
      <c r="V805" s="36">
        <f t="shared" si="269"/>
        <v>0</v>
      </c>
      <c r="W805" s="36">
        <f t="shared" si="270"/>
        <v>0</v>
      </c>
      <c r="X805" s="36">
        <f t="shared" si="271"/>
        <v>0</v>
      </c>
      <c r="Y805" s="36">
        <f t="shared" si="272"/>
        <v>0</v>
      </c>
      <c r="Z805" s="36">
        <f t="shared" si="273"/>
        <v>0</v>
      </c>
      <c r="AB805" s="36" t="str">
        <f>IF(最佳化斷筋點!C805="","",最佳化斷筋點!C805)</f>
        <v>下層</v>
      </c>
      <c r="AC805" s="37">
        <f>IF(最佳化斷筋點!D805="","",最佳化斷筋點!D805)</f>
        <v>13</v>
      </c>
      <c r="AD805" s="37">
        <f>IF(最佳化斷筋點!E805="","",最佳化斷筋點!E805)</f>
        <v>13</v>
      </c>
      <c r="AE805" s="37">
        <f>IF(最佳化斷筋點!F805="","",最佳化斷筋點!F805)</f>
        <v>13</v>
      </c>
      <c r="AF805" s="37">
        <f>IF(最佳化斷筋點!G805="","",最佳化斷筋點!G805)</f>
        <v>13</v>
      </c>
      <c r="AG805" s="37">
        <f>IF(最佳化斷筋點!H805="","",最佳化斷筋點!H805)</f>
        <v>12</v>
      </c>
      <c r="AH805" s="37">
        <f>IF(最佳化斷筋點!I805="","",最佳化斷筋點!I805)</f>
        <v>11</v>
      </c>
      <c r="AI805" s="37">
        <f>IF(最佳化斷筋點!J805="","",最佳化斷筋點!J805)</f>
        <v>10</v>
      </c>
      <c r="AJ805" s="37">
        <f>IF(最佳化斷筋點!K805="","",最佳化斷筋點!K805)</f>
        <v>5</v>
      </c>
      <c r="AK805" s="37">
        <f>IF(最佳化斷筋點!L805="","",最佳化斷筋點!L805)</f>
        <v>5</v>
      </c>
      <c r="AL805" s="37">
        <f>IF(最佳化斷筋點!M805="","",最佳化斷筋點!M805)</f>
        <v>5</v>
      </c>
      <c r="AM805" s="37">
        <f>IF(最佳化斷筋點!N805="","",最佳化斷筋點!N805)</f>
        <v>5</v>
      </c>
      <c r="AN805" s="37">
        <f>IF(最佳化斷筋點!O805="","",最佳化斷筋點!O805)</f>
        <v>5</v>
      </c>
      <c r="AO805" s="37">
        <f>IF(最佳化斷筋點!P805="","",最佳化斷筋點!P805)</f>
        <v>5</v>
      </c>
      <c r="AP805" s="37">
        <f>IF(最佳化斷筋點!Q805="","",最佳化斷筋點!Q805)</f>
        <v>8</v>
      </c>
      <c r="AQ805" s="37">
        <f>IF(最佳化斷筋點!R805="","",最佳化斷筋點!R805)</f>
        <v>9</v>
      </c>
      <c r="AR805" s="37">
        <f>IF(最佳化斷筋點!S805="","",最佳化斷筋點!S805)</f>
        <v>11</v>
      </c>
      <c r="AS805" s="37">
        <f>IF(最佳化斷筋點!T805="","",最佳化斷筋點!T805)</f>
        <v>12</v>
      </c>
      <c r="AT805" s="37">
        <f>IF(最佳化斷筋點!U805="","",最佳化斷筋點!U805)</f>
        <v>13</v>
      </c>
      <c r="AU805" s="37">
        <f>IF(最佳化斷筋點!V805="","",最佳化斷筋點!V805)</f>
        <v>13</v>
      </c>
      <c r="AV805" s="37">
        <f>IF(最佳化斷筋點!W805="","",最佳化斷筋點!W805)</f>
        <v>13</v>
      </c>
      <c r="AW805" s="37">
        <f>IF(最佳化斷筋點!X805="","",最佳化斷筋點!X805)</f>
        <v>13</v>
      </c>
      <c r="AZ805" s="37">
        <v>13</v>
      </c>
      <c r="BA805" s="37">
        <v>13</v>
      </c>
      <c r="BB805" s="37">
        <v>13</v>
      </c>
      <c r="BC805" s="37">
        <v>13</v>
      </c>
      <c r="BD805" s="37">
        <v>12</v>
      </c>
      <c r="BE805" s="37">
        <v>11</v>
      </c>
      <c r="BF805" s="37">
        <v>10</v>
      </c>
      <c r="BG805" s="37">
        <v>5</v>
      </c>
      <c r="BH805" s="37">
        <v>5</v>
      </c>
      <c r="BI805" s="37">
        <v>5</v>
      </c>
      <c r="BJ805" s="37">
        <v>5</v>
      </c>
      <c r="BK805" s="37">
        <v>5</v>
      </c>
      <c r="BL805" s="37">
        <v>5</v>
      </c>
      <c r="BM805" s="37">
        <v>8</v>
      </c>
      <c r="BN805" s="37">
        <v>9</v>
      </c>
      <c r="BO805" s="37">
        <v>11</v>
      </c>
      <c r="BP805" s="37">
        <v>12</v>
      </c>
      <c r="BQ805" s="37">
        <v>13</v>
      </c>
      <c r="BR805" s="37">
        <v>13</v>
      </c>
      <c r="BS805" s="37">
        <v>13</v>
      </c>
      <c r="BT805" s="37">
        <v>13</v>
      </c>
    </row>
    <row r="806" spans="5:72" x14ac:dyDescent="0.25">
      <c r="E806" s="36"/>
      <c r="F806" s="36">
        <f t="shared" si="253"/>
        <v>0</v>
      </c>
      <c r="G806" s="36">
        <f t="shared" si="254"/>
        <v>0</v>
      </c>
      <c r="H806" s="36">
        <f t="shared" si="255"/>
        <v>0</v>
      </c>
      <c r="I806" s="36">
        <f t="shared" si="256"/>
        <v>0</v>
      </c>
      <c r="J806" s="36">
        <f t="shared" si="257"/>
        <v>0</v>
      </c>
      <c r="K806" s="36">
        <f t="shared" si="258"/>
        <v>0</v>
      </c>
      <c r="L806" s="36">
        <f t="shared" si="259"/>
        <v>0</v>
      </c>
      <c r="M806" s="36">
        <f t="shared" si="260"/>
        <v>0</v>
      </c>
      <c r="N806" s="36">
        <f t="shared" si="261"/>
        <v>0</v>
      </c>
      <c r="O806" s="36">
        <f t="shared" si="262"/>
        <v>0</v>
      </c>
      <c r="P806" s="36">
        <f t="shared" si="263"/>
        <v>0</v>
      </c>
      <c r="Q806" s="36">
        <f t="shared" si="264"/>
        <v>0</v>
      </c>
      <c r="R806" s="36">
        <f t="shared" si="265"/>
        <v>0</v>
      </c>
      <c r="S806" s="36">
        <f t="shared" si="266"/>
        <v>0</v>
      </c>
      <c r="T806" s="36">
        <f t="shared" si="267"/>
        <v>0</v>
      </c>
      <c r="U806" s="36">
        <f t="shared" si="268"/>
        <v>0</v>
      </c>
      <c r="V806" s="36">
        <f t="shared" si="269"/>
        <v>0</v>
      </c>
      <c r="W806" s="36">
        <f t="shared" si="270"/>
        <v>0</v>
      </c>
      <c r="X806" s="36">
        <f t="shared" si="271"/>
        <v>0</v>
      </c>
      <c r="Y806" s="36">
        <f t="shared" si="272"/>
        <v>0</v>
      </c>
      <c r="Z806" s="36">
        <f t="shared" si="273"/>
        <v>0</v>
      </c>
      <c r="AB806" s="36" t="str">
        <f>IF(最佳化斷筋點!C806="","",最佳化斷筋點!C806)</f>
        <v/>
      </c>
      <c r="AC806" s="37" t="str">
        <f>IF(最佳化斷筋點!D806="","",最佳化斷筋點!D806)</f>
        <v/>
      </c>
      <c r="AD806" s="37" t="str">
        <f>IF(最佳化斷筋點!E806="","",最佳化斷筋點!E806)</f>
        <v/>
      </c>
      <c r="AE806" s="37" t="str">
        <f>IF(最佳化斷筋點!F806="","",最佳化斷筋點!F806)</f>
        <v/>
      </c>
      <c r="AF806" s="37" t="str">
        <f>IF(最佳化斷筋點!G806="","",最佳化斷筋點!G806)</f>
        <v/>
      </c>
      <c r="AG806" s="37" t="str">
        <f>IF(最佳化斷筋點!H806="","",最佳化斷筋點!H806)</f>
        <v/>
      </c>
      <c r="AH806" s="37" t="str">
        <f>IF(最佳化斷筋點!I806="","",最佳化斷筋點!I806)</f>
        <v/>
      </c>
      <c r="AI806" s="37" t="str">
        <f>IF(最佳化斷筋點!J806="","",最佳化斷筋點!J806)</f>
        <v/>
      </c>
      <c r="AJ806" s="37" t="str">
        <f>IF(最佳化斷筋點!K806="","",最佳化斷筋點!K806)</f>
        <v/>
      </c>
      <c r="AK806" s="37" t="str">
        <f>IF(最佳化斷筋點!L806="","",最佳化斷筋點!L806)</f>
        <v/>
      </c>
      <c r="AL806" s="37" t="str">
        <f>IF(最佳化斷筋點!M806="","",最佳化斷筋點!M806)</f>
        <v/>
      </c>
      <c r="AM806" s="37" t="str">
        <f>IF(最佳化斷筋點!N806="","",最佳化斷筋點!N806)</f>
        <v/>
      </c>
      <c r="AN806" s="37" t="str">
        <f>IF(最佳化斷筋點!O806="","",最佳化斷筋點!O806)</f>
        <v/>
      </c>
      <c r="AO806" s="37" t="str">
        <f>IF(最佳化斷筋點!P806="","",最佳化斷筋點!P806)</f>
        <v/>
      </c>
      <c r="AP806" s="37" t="str">
        <f>IF(最佳化斷筋點!Q806="","",最佳化斷筋點!Q806)</f>
        <v/>
      </c>
      <c r="AQ806" s="37" t="str">
        <f>IF(最佳化斷筋點!R806="","",最佳化斷筋點!R806)</f>
        <v/>
      </c>
      <c r="AR806" s="37" t="str">
        <f>IF(最佳化斷筋點!S806="","",最佳化斷筋點!S806)</f>
        <v/>
      </c>
      <c r="AS806" s="37" t="str">
        <f>IF(最佳化斷筋點!T806="","",最佳化斷筋點!T806)</f>
        <v/>
      </c>
      <c r="AT806" s="37" t="str">
        <f>IF(最佳化斷筋點!U806="","",最佳化斷筋點!U806)</f>
        <v/>
      </c>
      <c r="AU806" s="37" t="str">
        <f>IF(最佳化斷筋點!V806="","",最佳化斷筋點!V806)</f>
        <v/>
      </c>
      <c r="AV806" s="37" t="str">
        <f>IF(最佳化斷筋點!W806="","",最佳化斷筋點!W806)</f>
        <v/>
      </c>
      <c r="AW806" s="37" t="str">
        <f>IF(最佳化斷筋點!X806="","",最佳化斷筋點!X806)</f>
        <v/>
      </c>
      <c r="AZ806" s="37" t="s">
        <v>197</v>
      </c>
      <c r="BA806" s="37" t="s">
        <v>197</v>
      </c>
      <c r="BB806" s="37" t="s">
        <v>197</v>
      </c>
      <c r="BC806" s="37" t="s">
        <v>197</v>
      </c>
      <c r="BD806" s="37" t="s">
        <v>197</v>
      </c>
      <c r="BE806" s="37" t="s">
        <v>197</v>
      </c>
      <c r="BF806" s="37" t="s">
        <v>197</v>
      </c>
      <c r="BG806" s="37" t="s">
        <v>197</v>
      </c>
      <c r="BH806" s="37" t="s">
        <v>197</v>
      </c>
      <c r="BI806" s="37" t="s">
        <v>197</v>
      </c>
      <c r="BJ806" s="37" t="s">
        <v>197</v>
      </c>
      <c r="BK806" s="37" t="s">
        <v>197</v>
      </c>
      <c r="BL806" s="37" t="s">
        <v>197</v>
      </c>
      <c r="BM806" s="37" t="s">
        <v>197</v>
      </c>
      <c r="BN806" s="37" t="s">
        <v>197</v>
      </c>
      <c r="BO806" s="37" t="s">
        <v>197</v>
      </c>
      <c r="BP806" s="37" t="s">
        <v>197</v>
      </c>
      <c r="BQ806" s="37" t="s">
        <v>197</v>
      </c>
      <c r="BR806" s="37" t="s">
        <v>197</v>
      </c>
      <c r="BS806" s="37" t="s">
        <v>197</v>
      </c>
      <c r="BT806" s="37" t="s">
        <v>197</v>
      </c>
    </row>
    <row r="807" spans="5:72" x14ac:dyDescent="0.25">
      <c r="E807" s="36" t="s">
        <v>20</v>
      </c>
      <c r="F807" s="36">
        <f t="shared" si="253"/>
        <v>0</v>
      </c>
      <c r="G807" s="36">
        <f t="shared" si="254"/>
        <v>0</v>
      </c>
      <c r="H807" s="36">
        <f t="shared" si="255"/>
        <v>0</v>
      </c>
      <c r="I807" s="36">
        <f t="shared" si="256"/>
        <v>0</v>
      </c>
      <c r="J807" s="36">
        <f t="shared" si="257"/>
        <v>0</v>
      </c>
      <c r="K807" s="36">
        <f t="shared" si="258"/>
        <v>0</v>
      </c>
      <c r="L807" s="36">
        <f t="shared" si="259"/>
        <v>0</v>
      </c>
      <c r="M807" s="36">
        <f t="shared" si="260"/>
        <v>0</v>
      </c>
      <c r="N807" s="36">
        <f t="shared" si="261"/>
        <v>0</v>
      </c>
      <c r="O807" s="36">
        <f t="shared" si="262"/>
        <v>0</v>
      </c>
      <c r="P807" s="36">
        <f t="shared" si="263"/>
        <v>0</v>
      </c>
      <c r="Q807" s="36">
        <f t="shared" si="264"/>
        <v>0</v>
      </c>
      <c r="R807" s="36">
        <f t="shared" si="265"/>
        <v>0</v>
      </c>
      <c r="S807" s="36">
        <f t="shared" si="266"/>
        <v>0</v>
      </c>
      <c r="T807" s="36">
        <f t="shared" si="267"/>
        <v>0</v>
      </c>
      <c r="U807" s="36">
        <f t="shared" si="268"/>
        <v>0</v>
      </c>
      <c r="V807" s="36">
        <f t="shared" si="269"/>
        <v>0</v>
      </c>
      <c r="W807" s="36">
        <f t="shared" si="270"/>
        <v>0</v>
      </c>
      <c r="X807" s="36">
        <f t="shared" si="271"/>
        <v>0</v>
      </c>
      <c r="Y807" s="36">
        <f t="shared" si="272"/>
        <v>0</v>
      </c>
      <c r="Z807" s="36">
        <f t="shared" si="273"/>
        <v>0</v>
      </c>
      <c r="AB807" s="36" t="str">
        <f>IF(最佳化斷筋點!C807="","",最佳化斷筋點!C807)</f>
        <v>上層</v>
      </c>
      <c r="AC807" s="37">
        <f>IF(最佳化斷筋點!D807="","",最佳化斷筋點!D807)</f>
        <v>9</v>
      </c>
      <c r="AD807" s="37">
        <f>IF(最佳化斷筋點!E807="","",最佳化斷筋點!E807)</f>
        <v>9</v>
      </c>
      <c r="AE807" s="37">
        <f>IF(最佳化斷筋點!F807="","",最佳化斷筋點!F807)</f>
        <v>9</v>
      </c>
      <c r="AF807" s="37">
        <f>IF(最佳化斷筋點!G807="","",最佳化斷筋點!G807)</f>
        <v>9</v>
      </c>
      <c r="AG807" s="37">
        <f>IF(最佳化斷筋點!H807="","",最佳化斷筋點!H807)</f>
        <v>9</v>
      </c>
      <c r="AH807" s="37">
        <f>IF(最佳化斷筋點!I807="","",最佳化斷筋點!I807)</f>
        <v>9</v>
      </c>
      <c r="AI807" s="37">
        <f>IF(最佳化斷筋點!J807="","",最佳化斷筋點!J807)</f>
        <v>9</v>
      </c>
      <c r="AJ807" s="37">
        <f>IF(最佳化斷筋點!K807="","",最佳化斷筋點!K807)</f>
        <v>4</v>
      </c>
      <c r="AK807" s="37">
        <f>IF(最佳化斷筋點!L807="","",最佳化斷筋點!L807)</f>
        <v>4</v>
      </c>
      <c r="AL807" s="37">
        <f>IF(最佳化斷筋點!M807="","",最佳化斷筋點!M807)</f>
        <v>4</v>
      </c>
      <c r="AM807" s="37">
        <f>IF(最佳化斷筋點!N807="","",最佳化斷筋點!N807)</f>
        <v>4</v>
      </c>
      <c r="AN807" s="37">
        <f>IF(最佳化斷筋點!O807="","",最佳化斷筋點!O807)</f>
        <v>4</v>
      </c>
      <c r="AO807" s="37">
        <f>IF(最佳化斷筋點!P807="","",最佳化斷筋點!P807)</f>
        <v>4</v>
      </c>
      <c r="AP807" s="37">
        <f>IF(最佳化斷筋點!Q807="","",最佳化斷筋點!Q807)</f>
        <v>9</v>
      </c>
      <c r="AQ807" s="37">
        <f>IF(最佳化斷筋點!R807="","",最佳化斷筋點!R807)</f>
        <v>10</v>
      </c>
      <c r="AR807" s="37">
        <f>IF(最佳化斷筋點!S807="","",最佳化斷筋點!S807)</f>
        <v>10</v>
      </c>
      <c r="AS807" s="37">
        <f>IF(最佳化斷筋點!T807="","",最佳化斷筋點!T807)</f>
        <v>10</v>
      </c>
      <c r="AT807" s="37">
        <f>IF(最佳化斷筋點!U807="","",最佳化斷筋點!U807)</f>
        <v>10</v>
      </c>
      <c r="AU807" s="37">
        <f>IF(最佳化斷筋點!V807="","",最佳化斷筋點!V807)</f>
        <v>10</v>
      </c>
      <c r="AV807" s="37">
        <f>IF(最佳化斷筋點!W807="","",最佳化斷筋點!W807)</f>
        <v>10</v>
      </c>
      <c r="AW807" s="37">
        <f>IF(最佳化斷筋點!X807="","",最佳化斷筋點!X807)</f>
        <v>10</v>
      </c>
      <c r="AZ807" s="37">
        <v>9</v>
      </c>
      <c r="BA807" s="37">
        <v>9</v>
      </c>
      <c r="BB807" s="37">
        <v>9</v>
      </c>
      <c r="BC807" s="37">
        <v>9</v>
      </c>
      <c r="BD807" s="37">
        <v>9</v>
      </c>
      <c r="BE807" s="37">
        <v>9</v>
      </c>
      <c r="BF807" s="37">
        <v>9</v>
      </c>
      <c r="BG807" s="37">
        <v>4</v>
      </c>
      <c r="BH807" s="37">
        <v>4</v>
      </c>
      <c r="BI807" s="37">
        <v>4</v>
      </c>
      <c r="BJ807" s="37">
        <v>4</v>
      </c>
      <c r="BK807" s="37">
        <v>4</v>
      </c>
      <c r="BL807" s="37">
        <v>4</v>
      </c>
      <c r="BM807" s="37">
        <v>9</v>
      </c>
      <c r="BN807" s="37">
        <v>10</v>
      </c>
      <c r="BO807" s="37">
        <v>10</v>
      </c>
      <c r="BP807" s="37">
        <v>10</v>
      </c>
      <c r="BQ807" s="37">
        <v>10</v>
      </c>
      <c r="BR807" s="37">
        <v>10</v>
      </c>
      <c r="BS807" s="37">
        <v>10</v>
      </c>
      <c r="BT807" s="37">
        <v>10</v>
      </c>
    </row>
    <row r="808" spans="5:72" x14ac:dyDescent="0.25">
      <c r="E808" s="36"/>
      <c r="F808" s="36">
        <f t="shared" si="253"/>
        <v>0</v>
      </c>
      <c r="G808" s="36">
        <f t="shared" si="254"/>
        <v>0</v>
      </c>
      <c r="H808" s="36">
        <f t="shared" si="255"/>
        <v>0</v>
      </c>
      <c r="I808" s="36">
        <f t="shared" si="256"/>
        <v>0</v>
      </c>
      <c r="J808" s="36">
        <f t="shared" si="257"/>
        <v>0</v>
      </c>
      <c r="K808" s="36">
        <f t="shared" si="258"/>
        <v>0</v>
      </c>
      <c r="L808" s="36">
        <f t="shared" si="259"/>
        <v>0</v>
      </c>
      <c r="M808" s="36">
        <f t="shared" si="260"/>
        <v>0</v>
      </c>
      <c r="N808" s="36">
        <f t="shared" si="261"/>
        <v>0</v>
      </c>
      <c r="O808" s="36">
        <f t="shared" si="262"/>
        <v>0</v>
      </c>
      <c r="P808" s="36">
        <f t="shared" si="263"/>
        <v>0</v>
      </c>
      <c r="Q808" s="36">
        <f t="shared" si="264"/>
        <v>0</v>
      </c>
      <c r="R808" s="36">
        <f t="shared" si="265"/>
        <v>0</v>
      </c>
      <c r="S808" s="36">
        <f t="shared" si="266"/>
        <v>0</v>
      </c>
      <c r="T808" s="36">
        <f t="shared" si="267"/>
        <v>0</v>
      </c>
      <c r="U808" s="36">
        <f t="shared" si="268"/>
        <v>0</v>
      </c>
      <c r="V808" s="36">
        <f t="shared" si="269"/>
        <v>0</v>
      </c>
      <c r="W808" s="36">
        <f t="shared" si="270"/>
        <v>0</v>
      </c>
      <c r="X808" s="36">
        <f t="shared" si="271"/>
        <v>0</v>
      </c>
      <c r="Y808" s="36">
        <f t="shared" si="272"/>
        <v>0</v>
      </c>
      <c r="Z808" s="36">
        <f t="shared" si="273"/>
        <v>0</v>
      </c>
      <c r="AB808" s="36" t="str">
        <f>IF(最佳化斷筋點!C808="","",最佳化斷筋點!C808)</f>
        <v/>
      </c>
      <c r="AC808" s="37" t="str">
        <f>IF(最佳化斷筋點!D808="","",最佳化斷筋點!D808)</f>
        <v/>
      </c>
      <c r="AD808" s="37" t="str">
        <f>IF(最佳化斷筋點!E808="","",最佳化斷筋點!E808)</f>
        <v/>
      </c>
      <c r="AE808" s="37" t="str">
        <f>IF(最佳化斷筋點!F808="","",最佳化斷筋點!F808)</f>
        <v/>
      </c>
      <c r="AF808" s="37" t="str">
        <f>IF(最佳化斷筋點!G808="","",最佳化斷筋點!G808)</f>
        <v/>
      </c>
      <c r="AG808" s="37" t="str">
        <f>IF(最佳化斷筋點!H808="","",最佳化斷筋點!H808)</f>
        <v/>
      </c>
      <c r="AH808" s="37" t="str">
        <f>IF(最佳化斷筋點!I808="","",最佳化斷筋點!I808)</f>
        <v/>
      </c>
      <c r="AI808" s="37" t="str">
        <f>IF(最佳化斷筋點!J808="","",最佳化斷筋點!J808)</f>
        <v/>
      </c>
      <c r="AJ808" s="37" t="str">
        <f>IF(最佳化斷筋點!K808="","",最佳化斷筋點!K808)</f>
        <v/>
      </c>
      <c r="AK808" s="37" t="str">
        <f>IF(最佳化斷筋點!L808="","",最佳化斷筋點!L808)</f>
        <v/>
      </c>
      <c r="AL808" s="37" t="str">
        <f>IF(最佳化斷筋點!M808="","",最佳化斷筋點!M808)</f>
        <v/>
      </c>
      <c r="AM808" s="37" t="str">
        <f>IF(最佳化斷筋點!N808="","",最佳化斷筋點!N808)</f>
        <v/>
      </c>
      <c r="AN808" s="37" t="str">
        <f>IF(最佳化斷筋點!O808="","",最佳化斷筋點!O808)</f>
        <v/>
      </c>
      <c r="AO808" s="37" t="str">
        <f>IF(最佳化斷筋點!P808="","",最佳化斷筋點!P808)</f>
        <v/>
      </c>
      <c r="AP808" s="37" t="str">
        <f>IF(最佳化斷筋點!Q808="","",最佳化斷筋點!Q808)</f>
        <v/>
      </c>
      <c r="AQ808" s="37" t="str">
        <f>IF(最佳化斷筋點!R808="","",最佳化斷筋點!R808)</f>
        <v/>
      </c>
      <c r="AR808" s="37" t="str">
        <f>IF(最佳化斷筋點!S808="","",最佳化斷筋點!S808)</f>
        <v/>
      </c>
      <c r="AS808" s="37" t="str">
        <f>IF(最佳化斷筋點!T808="","",最佳化斷筋點!T808)</f>
        <v/>
      </c>
      <c r="AT808" s="37" t="str">
        <f>IF(最佳化斷筋點!U808="","",最佳化斷筋點!U808)</f>
        <v/>
      </c>
      <c r="AU808" s="37" t="str">
        <f>IF(最佳化斷筋點!V808="","",最佳化斷筋點!V808)</f>
        <v/>
      </c>
      <c r="AV808" s="37" t="str">
        <f>IF(最佳化斷筋點!W808="","",最佳化斷筋點!W808)</f>
        <v/>
      </c>
      <c r="AW808" s="37" t="str">
        <f>IF(最佳化斷筋點!X808="","",最佳化斷筋點!X808)</f>
        <v/>
      </c>
      <c r="AZ808" s="37" t="s">
        <v>197</v>
      </c>
      <c r="BA808" s="37" t="s">
        <v>197</v>
      </c>
      <c r="BB808" s="37" t="s">
        <v>197</v>
      </c>
      <c r="BC808" s="37" t="s">
        <v>197</v>
      </c>
      <c r="BD808" s="37" t="s">
        <v>197</v>
      </c>
      <c r="BE808" s="37" t="s">
        <v>197</v>
      </c>
      <c r="BF808" s="37" t="s">
        <v>197</v>
      </c>
      <c r="BG808" s="37" t="s">
        <v>197</v>
      </c>
      <c r="BH808" s="37" t="s">
        <v>197</v>
      </c>
      <c r="BI808" s="37" t="s">
        <v>197</v>
      </c>
      <c r="BJ808" s="37" t="s">
        <v>197</v>
      </c>
      <c r="BK808" s="37" t="s">
        <v>197</v>
      </c>
      <c r="BL808" s="37" t="s">
        <v>197</v>
      </c>
      <c r="BM808" s="37" t="s">
        <v>197</v>
      </c>
      <c r="BN808" s="37" t="s">
        <v>197</v>
      </c>
      <c r="BO808" s="37" t="s">
        <v>197</v>
      </c>
      <c r="BP808" s="37" t="s">
        <v>197</v>
      </c>
      <c r="BQ808" s="37" t="s">
        <v>197</v>
      </c>
      <c r="BR808" s="37" t="s">
        <v>197</v>
      </c>
      <c r="BS808" s="37" t="s">
        <v>197</v>
      </c>
      <c r="BT808" s="37" t="s">
        <v>197</v>
      </c>
    </row>
    <row r="809" spans="5:72" x14ac:dyDescent="0.25">
      <c r="E809" s="36" t="s">
        <v>21</v>
      </c>
      <c r="F809" s="36">
        <f t="shared" si="253"/>
        <v>0</v>
      </c>
      <c r="G809" s="36">
        <f t="shared" si="254"/>
        <v>0</v>
      </c>
      <c r="H809" s="36">
        <f t="shared" si="255"/>
        <v>0</v>
      </c>
      <c r="I809" s="36">
        <f t="shared" si="256"/>
        <v>0</v>
      </c>
      <c r="J809" s="36">
        <f t="shared" si="257"/>
        <v>0</v>
      </c>
      <c r="K809" s="36">
        <f t="shared" si="258"/>
        <v>0</v>
      </c>
      <c r="L809" s="36">
        <f t="shared" si="259"/>
        <v>0</v>
      </c>
      <c r="M809" s="36">
        <f t="shared" si="260"/>
        <v>0</v>
      </c>
      <c r="N809" s="36">
        <f t="shared" si="261"/>
        <v>0</v>
      </c>
      <c r="O809" s="36">
        <f t="shared" si="262"/>
        <v>0</v>
      </c>
      <c r="P809" s="36">
        <f t="shared" si="263"/>
        <v>0</v>
      </c>
      <c r="Q809" s="36">
        <f t="shared" si="264"/>
        <v>0</v>
      </c>
      <c r="R809" s="36">
        <f t="shared" si="265"/>
        <v>0</v>
      </c>
      <c r="S809" s="36">
        <f t="shared" si="266"/>
        <v>0</v>
      </c>
      <c r="T809" s="36">
        <f t="shared" si="267"/>
        <v>0</v>
      </c>
      <c r="U809" s="36">
        <f t="shared" si="268"/>
        <v>0</v>
      </c>
      <c r="V809" s="36">
        <f t="shared" si="269"/>
        <v>0</v>
      </c>
      <c r="W809" s="36">
        <f t="shared" si="270"/>
        <v>0</v>
      </c>
      <c r="X809" s="36">
        <f t="shared" si="271"/>
        <v>0</v>
      </c>
      <c r="Y809" s="36">
        <f t="shared" si="272"/>
        <v>0</v>
      </c>
      <c r="Z809" s="36">
        <f t="shared" si="273"/>
        <v>0</v>
      </c>
      <c r="AB809" s="36" t="str">
        <f>IF(最佳化斷筋點!C809="","",最佳化斷筋點!C809)</f>
        <v>下層</v>
      </c>
      <c r="AC809" s="37">
        <f>IF(最佳化斷筋點!D809="","",最佳化斷筋點!D809)</f>
        <v>14</v>
      </c>
      <c r="AD809" s="37">
        <f>IF(最佳化斷筋點!E809="","",最佳化斷筋點!E809)</f>
        <v>14</v>
      </c>
      <c r="AE809" s="37">
        <f>IF(最佳化斷筋點!F809="","",最佳化斷筋點!F809)</f>
        <v>14</v>
      </c>
      <c r="AF809" s="37">
        <f>IF(最佳化斷筋點!G809="","",最佳化斷筋點!G809)</f>
        <v>14</v>
      </c>
      <c r="AG809" s="37">
        <f>IF(最佳化斷筋點!H809="","",最佳化斷筋點!H809)</f>
        <v>14</v>
      </c>
      <c r="AH809" s="37">
        <f>IF(最佳化斷筋點!I809="","",最佳化斷筋點!I809)</f>
        <v>13</v>
      </c>
      <c r="AI809" s="37">
        <f>IF(最佳化斷筋點!J809="","",最佳化斷筋點!J809)</f>
        <v>12</v>
      </c>
      <c r="AJ809" s="37">
        <f>IF(最佳化斷筋點!K809="","",最佳化斷筋點!K809)</f>
        <v>5</v>
      </c>
      <c r="AK809" s="37">
        <f>IF(最佳化斷筋點!L809="","",最佳化斷筋點!L809)</f>
        <v>5</v>
      </c>
      <c r="AL809" s="37">
        <f>IF(最佳化斷筋點!M809="","",最佳化斷筋點!M809)</f>
        <v>5</v>
      </c>
      <c r="AM809" s="37">
        <f>IF(最佳化斷筋點!N809="","",最佳化斷筋點!N809)</f>
        <v>5</v>
      </c>
      <c r="AN809" s="37">
        <f>IF(最佳化斷筋點!O809="","",最佳化斷筋點!O809)</f>
        <v>5</v>
      </c>
      <c r="AO809" s="37">
        <f>IF(最佳化斷筋點!P809="","",最佳化斷筋點!P809)</f>
        <v>5</v>
      </c>
      <c r="AP809" s="37">
        <f>IF(最佳化斷筋點!Q809="","",最佳化斷筋點!Q809)</f>
        <v>9</v>
      </c>
      <c r="AQ809" s="37">
        <f>IF(最佳化斷筋點!R809="","",最佳化斷筋點!R809)</f>
        <v>10</v>
      </c>
      <c r="AR809" s="37">
        <f>IF(最佳化斷筋點!S809="","",最佳化斷筋點!S809)</f>
        <v>11</v>
      </c>
      <c r="AS809" s="37">
        <f>IF(最佳化斷筋點!T809="","",最佳化斷筋點!T809)</f>
        <v>12</v>
      </c>
      <c r="AT809" s="37">
        <f>IF(最佳化斷筋點!U809="","",最佳化斷筋點!U809)</f>
        <v>12</v>
      </c>
      <c r="AU809" s="37">
        <f>IF(最佳化斷筋點!V809="","",最佳化斷筋點!V809)</f>
        <v>12</v>
      </c>
      <c r="AV809" s="37">
        <f>IF(最佳化斷筋點!W809="","",最佳化斷筋點!W809)</f>
        <v>12</v>
      </c>
      <c r="AW809" s="37">
        <f>IF(最佳化斷筋點!X809="","",最佳化斷筋點!X809)</f>
        <v>12</v>
      </c>
      <c r="AZ809" s="37">
        <v>14</v>
      </c>
      <c r="BA809" s="37">
        <v>14</v>
      </c>
      <c r="BB809" s="37">
        <v>14</v>
      </c>
      <c r="BC809" s="37">
        <v>14</v>
      </c>
      <c r="BD809" s="37">
        <v>14</v>
      </c>
      <c r="BE809" s="37">
        <v>13</v>
      </c>
      <c r="BF809" s="37">
        <v>12</v>
      </c>
      <c r="BG809" s="37">
        <v>5</v>
      </c>
      <c r="BH809" s="37">
        <v>5</v>
      </c>
      <c r="BI809" s="37">
        <v>5</v>
      </c>
      <c r="BJ809" s="37">
        <v>5</v>
      </c>
      <c r="BK809" s="37">
        <v>5</v>
      </c>
      <c r="BL809" s="37">
        <v>5</v>
      </c>
      <c r="BM809" s="37">
        <v>9</v>
      </c>
      <c r="BN809" s="37">
        <v>10</v>
      </c>
      <c r="BO809" s="37">
        <v>11</v>
      </c>
      <c r="BP809" s="37">
        <v>12</v>
      </c>
      <c r="BQ809" s="37">
        <v>12</v>
      </c>
      <c r="BR809" s="37">
        <v>12</v>
      </c>
      <c r="BS809" s="37">
        <v>12</v>
      </c>
      <c r="BT809" s="37">
        <v>12</v>
      </c>
    </row>
    <row r="810" spans="5:72" x14ac:dyDescent="0.25">
      <c r="E810" s="36"/>
      <c r="F810" s="36">
        <f t="shared" si="253"/>
        <v>0</v>
      </c>
      <c r="G810" s="36">
        <f t="shared" si="254"/>
        <v>0</v>
      </c>
      <c r="H810" s="36">
        <f t="shared" si="255"/>
        <v>0</v>
      </c>
      <c r="I810" s="36">
        <f t="shared" si="256"/>
        <v>0</v>
      </c>
      <c r="J810" s="36">
        <f t="shared" si="257"/>
        <v>0</v>
      </c>
      <c r="K810" s="36">
        <f t="shared" si="258"/>
        <v>0</v>
      </c>
      <c r="L810" s="36">
        <f t="shared" si="259"/>
        <v>0</v>
      </c>
      <c r="M810" s="36">
        <f t="shared" si="260"/>
        <v>0</v>
      </c>
      <c r="N810" s="36">
        <f t="shared" si="261"/>
        <v>0</v>
      </c>
      <c r="O810" s="36">
        <f t="shared" si="262"/>
        <v>0</v>
      </c>
      <c r="P810" s="36">
        <f t="shared" si="263"/>
        <v>0</v>
      </c>
      <c r="Q810" s="36">
        <f t="shared" si="264"/>
        <v>0</v>
      </c>
      <c r="R810" s="36">
        <f t="shared" si="265"/>
        <v>0</v>
      </c>
      <c r="S810" s="36">
        <f t="shared" si="266"/>
        <v>0</v>
      </c>
      <c r="T810" s="36">
        <f t="shared" si="267"/>
        <v>0</v>
      </c>
      <c r="U810" s="36">
        <f t="shared" si="268"/>
        <v>0</v>
      </c>
      <c r="V810" s="36">
        <f t="shared" si="269"/>
        <v>0</v>
      </c>
      <c r="W810" s="36">
        <f t="shared" si="270"/>
        <v>0</v>
      </c>
      <c r="X810" s="36">
        <f t="shared" si="271"/>
        <v>0</v>
      </c>
      <c r="Y810" s="36">
        <f t="shared" si="272"/>
        <v>0</v>
      </c>
      <c r="Z810" s="36">
        <f t="shared" si="273"/>
        <v>0</v>
      </c>
      <c r="AB810" s="36" t="str">
        <f>IF(最佳化斷筋點!C810="","",最佳化斷筋點!C810)</f>
        <v/>
      </c>
      <c r="AC810" s="37" t="str">
        <f>IF(最佳化斷筋點!D810="","",最佳化斷筋點!D810)</f>
        <v/>
      </c>
      <c r="AD810" s="37" t="str">
        <f>IF(最佳化斷筋點!E810="","",最佳化斷筋點!E810)</f>
        <v/>
      </c>
      <c r="AE810" s="37" t="str">
        <f>IF(最佳化斷筋點!F810="","",最佳化斷筋點!F810)</f>
        <v/>
      </c>
      <c r="AF810" s="37" t="str">
        <f>IF(最佳化斷筋點!G810="","",最佳化斷筋點!G810)</f>
        <v/>
      </c>
      <c r="AG810" s="37" t="str">
        <f>IF(最佳化斷筋點!H810="","",最佳化斷筋點!H810)</f>
        <v/>
      </c>
      <c r="AH810" s="37" t="str">
        <f>IF(最佳化斷筋點!I810="","",最佳化斷筋點!I810)</f>
        <v/>
      </c>
      <c r="AI810" s="37" t="str">
        <f>IF(最佳化斷筋點!J810="","",最佳化斷筋點!J810)</f>
        <v/>
      </c>
      <c r="AJ810" s="37" t="str">
        <f>IF(最佳化斷筋點!K810="","",最佳化斷筋點!K810)</f>
        <v/>
      </c>
      <c r="AK810" s="37" t="str">
        <f>IF(最佳化斷筋點!L810="","",最佳化斷筋點!L810)</f>
        <v/>
      </c>
      <c r="AL810" s="37" t="str">
        <f>IF(最佳化斷筋點!M810="","",最佳化斷筋點!M810)</f>
        <v/>
      </c>
      <c r="AM810" s="37" t="str">
        <f>IF(最佳化斷筋點!N810="","",最佳化斷筋點!N810)</f>
        <v/>
      </c>
      <c r="AN810" s="37" t="str">
        <f>IF(最佳化斷筋點!O810="","",最佳化斷筋點!O810)</f>
        <v/>
      </c>
      <c r="AO810" s="37" t="str">
        <f>IF(最佳化斷筋點!P810="","",最佳化斷筋點!P810)</f>
        <v/>
      </c>
      <c r="AP810" s="37" t="str">
        <f>IF(最佳化斷筋點!Q810="","",最佳化斷筋點!Q810)</f>
        <v/>
      </c>
      <c r="AQ810" s="37" t="str">
        <f>IF(最佳化斷筋點!R810="","",最佳化斷筋點!R810)</f>
        <v/>
      </c>
      <c r="AR810" s="37" t="str">
        <f>IF(最佳化斷筋點!S810="","",最佳化斷筋點!S810)</f>
        <v/>
      </c>
      <c r="AS810" s="37" t="str">
        <f>IF(最佳化斷筋點!T810="","",最佳化斷筋點!T810)</f>
        <v/>
      </c>
      <c r="AT810" s="37" t="str">
        <f>IF(最佳化斷筋點!U810="","",最佳化斷筋點!U810)</f>
        <v/>
      </c>
      <c r="AU810" s="37" t="str">
        <f>IF(最佳化斷筋點!V810="","",最佳化斷筋點!V810)</f>
        <v/>
      </c>
      <c r="AV810" s="37" t="str">
        <f>IF(最佳化斷筋點!W810="","",最佳化斷筋點!W810)</f>
        <v/>
      </c>
      <c r="AW810" s="37" t="str">
        <f>IF(最佳化斷筋點!X810="","",最佳化斷筋點!X810)</f>
        <v/>
      </c>
      <c r="AZ810" s="37" t="s">
        <v>197</v>
      </c>
      <c r="BA810" s="37" t="s">
        <v>197</v>
      </c>
      <c r="BB810" s="37" t="s">
        <v>197</v>
      </c>
      <c r="BC810" s="37" t="s">
        <v>197</v>
      </c>
      <c r="BD810" s="37" t="s">
        <v>197</v>
      </c>
      <c r="BE810" s="37" t="s">
        <v>197</v>
      </c>
      <c r="BF810" s="37" t="s">
        <v>197</v>
      </c>
      <c r="BG810" s="37" t="s">
        <v>197</v>
      </c>
      <c r="BH810" s="37" t="s">
        <v>197</v>
      </c>
      <c r="BI810" s="37" t="s">
        <v>197</v>
      </c>
      <c r="BJ810" s="37" t="s">
        <v>197</v>
      </c>
      <c r="BK810" s="37" t="s">
        <v>197</v>
      </c>
      <c r="BL810" s="37" t="s">
        <v>197</v>
      </c>
      <c r="BM810" s="37" t="s">
        <v>197</v>
      </c>
      <c r="BN810" s="37" t="s">
        <v>197</v>
      </c>
      <c r="BO810" s="37" t="s">
        <v>197</v>
      </c>
      <c r="BP810" s="37" t="s">
        <v>197</v>
      </c>
      <c r="BQ810" s="37" t="s">
        <v>197</v>
      </c>
      <c r="BR810" s="37" t="s">
        <v>197</v>
      </c>
      <c r="BS810" s="37" t="s">
        <v>197</v>
      </c>
      <c r="BT810" s="37" t="s">
        <v>197</v>
      </c>
    </row>
    <row r="811" spans="5:72" x14ac:dyDescent="0.25">
      <c r="E811" s="36" t="s">
        <v>20</v>
      </c>
      <c r="F811" s="36">
        <f t="shared" si="253"/>
        <v>0</v>
      </c>
      <c r="G811" s="36">
        <f t="shared" si="254"/>
        <v>0</v>
      </c>
      <c r="H811" s="36">
        <f t="shared" si="255"/>
        <v>0</v>
      </c>
      <c r="I811" s="36">
        <f t="shared" si="256"/>
        <v>0</v>
      </c>
      <c r="J811" s="36">
        <f t="shared" si="257"/>
        <v>0</v>
      </c>
      <c r="K811" s="36">
        <f t="shared" si="258"/>
        <v>0</v>
      </c>
      <c r="L811" s="36">
        <f t="shared" si="259"/>
        <v>0</v>
      </c>
      <c r="M811" s="36">
        <f t="shared" si="260"/>
        <v>0</v>
      </c>
      <c r="N811" s="36">
        <f t="shared" si="261"/>
        <v>0</v>
      </c>
      <c r="O811" s="36">
        <f t="shared" si="262"/>
        <v>0</v>
      </c>
      <c r="P811" s="36">
        <f t="shared" si="263"/>
        <v>0</v>
      </c>
      <c r="Q811" s="36">
        <f t="shared" si="264"/>
        <v>0</v>
      </c>
      <c r="R811" s="36">
        <f t="shared" si="265"/>
        <v>0</v>
      </c>
      <c r="S811" s="36">
        <f t="shared" si="266"/>
        <v>0</v>
      </c>
      <c r="T811" s="36">
        <f t="shared" si="267"/>
        <v>0</v>
      </c>
      <c r="U811" s="36">
        <f t="shared" si="268"/>
        <v>0</v>
      </c>
      <c r="V811" s="36">
        <f t="shared" si="269"/>
        <v>0</v>
      </c>
      <c r="W811" s="36">
        <f t="shared" si="270"/>
        <v>0</v>
      </c>
      <c r="X811" s="36">
        <f t="shared" si="271"/>
        <v>0</v>
      </c>
      <c r="Y811" s="36">
        <f t="shared" si="272"/>
        <v>0</v>
      </c>
      <c r="Z811" s="36">
        <f t="shared" si="273"/>
        <v>0</v>
      </c>
      <c r="AB811" s="36" t="str">
        <f>IF(最佳化斷筋點!C811="","",最佳化斷筋點!C811)</f>
        <v>上層</v>
      </c>
      <c r="AC811" s="37">
        <f>IF(最佳化斷筋點!D811="","",最佳化斷筋點!D811)</f>
        <v>10</v>
      </c>
      <c r="AD811" s="37">
        <f>IF(最佳化斷筋點!E811="","",最佳化斷筋點!E811)</f>
        <v>10</v>
      </c>
      <c r="AE811" s="37">
        <f>IF(最佳化斷筋點!F811="","",最佳化斷筋點!F811)</f>
        <v>10</v>
      </c>
      <c r="AF811" s="37">
        <f>IF(最佳化斷筋點!G811="","",最佳化斷筋點!G811)</f>
        <v>10</v>
      </c>
      <c r="AG811" s="37">
        <f>IF(最佳化斷筋點!H811="","",最佳化斷筋點!H811)</f>
        <v>10</v>
      </c>
      <c r="AH811" s="37">
        <f>IF(最佳化斷筋點!I811="","",最佳化斷筋點!I811)</f>
        <v>10</v>
      </c>
      <c r="AI811" s="37">
        <f>IF(最佳化斷筋點!J811="","",最佳化斷筋點!J811)</f>
        <v>10</v>
      </c>
      <c r="AJ811" s="37">
        <f>IF(最佳化斷筋點!K811="","",最佳化斷筋點!K811)</f>
        <v>4</v>
      </c>
      <c r="AK811" s="37">
        <f>IF(最佳化斷筋點!L811="","",最佳化斷筋點!L811)</f>
        <v>4</v>
      </c>
      <c r="AL811" s="37">
        <f>IF(最佳化斷筋點!M811="","",最佳化斷筋點!M811)</f>
        <v>4</v>
      </c>
      <c r="AM811" s="37">
        <f>IF(最佳化斷筋點!N811="","",最佳化斷筋點!N811)</f>
        <v>4</v>
      </c>
      <c r="AN811" s="37">
        <f>IF(最佳化斷筋點!O811="","",最佳化斷筋點!O811)</f>
        <v>4</v>
      </c>
      <c r="AO811" s="37">
        <f>IF(最佳化斷筋點!P811="","",最佳化斷筋點!P811)</f>
        <v>4</v>
      </c>
      <c r="AP811" s="37">
        <f>IF(最佳化斷筋點!Q811="","",最佳化斷筋點!Q811)</f>
        <v>8</v>
      </c>
      <c r="AQ811" s="37">
        <f>IF(最佳化斷筋點!R811="","",最佳化斷筋點!R811)</f>
        <v>9</v>
      </c>
      <c r="AR811" s="37">
        <f>IF(最佳化斷筋點!S811="","",最佳化斷筋點!S811)</f>
        <v>10</v>
      </c>
      <c r="AS811" s="37">
        <f>IF(最佳化斷筋點!T811="","",最佳化斷筋點!T811)</f>
        <v>10</v>
      </c>
      <c r="AT811" s="37">
        <f>IF(最佳化斷筋點!U811="","",最佳化斷筋點!U811)</f>
        <v>10</v>
      </c>
      <c r="AU811" s="37">
        <f>IF(最佳化斷筋點!V811="","",最佳化斷筋點!V811)</f>
        <v>10</v>
      </c>
      <c r="AV811" s="37">
        <f>IF(最佳化斷筋點!W811="","",最佳化斷筋點!W811)</f>
        <v>10</v>
      </c>
      <c r="AW811" s="37">
        <f>IF(最佳化斷筋點!X811="","",最佳化斷筋點!X811)</f>
        <v>10</v>
      </c>
      <c r="AZ811" s="37">
        <v>10</v>
      </c>
      <c r="BA811" s="37">
        <v>10</v>
      </c>
      <c r="BB811" s="37">
        <v>10</v>
      </c>
      <c r="BC811" s="37">
        <v>10</v>
      </c>
      <c r="BD811" s="37">
        <v>10</v>
      </c>
      <c r="BE811" s="37">
        <v>10</v>
      </c>
      <c r="BF811" s="37">
        <v>10</v>
      </c>
      <c r="BG811" s="37">
        <v>4</v>
      </c>
      <c r="BH811" s="37">
        <v>4</v>
      </c>
      <c r="BI811" s="37">
        <v>4</v>
      </c>
      <c r="BJ811" s="37">
        <v>4</v>
      </c>
      <c r="BK811" s="37">
        <v>4</v>
      </c>
      <c r="BL811" s="37">
        <v>4</v>
      </c>
      <c r="BM811" s="37">
        <v>8</v>
      </c>
      <c r="BN811" s="37">
        <v>9</v>
      </c>
      <c r="BO811" s="37">
        <v>10</v>
      </c>
      <c r="BP811" s="37">
        <v>10</v>
      </c>
      <c r="BQ811" s="37">
        <v>10</v>
      </c>
      <c r="BR811" s="37">
        <v>10</v>
      </c>
      <c r="BS811" s="37">
        <v>10</v>
      </c>
      <c r="BT811" s="37">
        <v>10</v>
      </c>
    </row>
    <row r="812" spans="5:72" x14ac:dyDescent="0.25">
      <c r="E812" s="36"/>
      <c r="F812" s="36">
        <f t="shared" si="253"/>
        <v>0</v>
      </c>
      <c r="G812" s="36">
        <f t="shared" si="254"/>
        <v>0</v>
      </c>
      <c r="H812" s="36">
        <f t="shared" si="255"/>
        <v>0</v>
      </c>
      <c r="I812" s="36">
        <f t="shared" si="256"/>
        <v>0</v>
      </c>
      <c r="J812" s="36">
        <f t="shared" si="257"/>
        <v>0</v>
      </c>
      <c r="K812" s="36">
        <f t="shared" si="258"/>
        <v>0</v>
      </c>
      <c r="L812" s="36">
        <f t="shared" si="259"/>
        <v>0</v>
      </c>
      <c r="M812" s="36">
        <f t="shared" si="260"/>
        <v>0</v>
      </c>
      <c r="N812" s="36">
        <f t="shared" si="261"/>
        <v>0</v>
      </c>
      <c r="O812" s="36">
        <f t="shared" si="262"/>
        <v>0</v>
      </c>
      <c r="P812" s="36">
        <f t="shared" si="263"/>
        <v>0</v>
      </c>
      <c r="Q812" s="36">
        <f t="shared" si="264"/>
        <v>0</v>
      </c>
      <c r="R812" s="36">
        <f t="shared" si="265"/>
        <v>0</v>
      </c>
      <c r="S812" s="36">
        <f t="shared" si="266"/>
        <v>0</v>
      </c>
      <c r="T812" s="36">
        <f t="shared" si="267"/>
        <v>0</v>
      </c>
      <c r="U812" s="36">
        <f t="shared" si="268"/>
        <v>0</v>
      </c>
      <c r="V812" s="36">
        <f t="shared" si="269"/>
        <v>0</v>
      </c>
      <c r="W812" s="36">
        <f t="shared" si="270"/>
        <v>0</v>
      </c>
      <c r="X812" s="36">
        <f t="shared" si="271"/>
        <v>0</v>
      </c>
      <c r="Y812" s="36">
        <f t="shared" si="272"/>
        <v>0</v>
      </c>
      <c r="Z812" s="36">
        <f t="shared" si="273"/>
        <v>0</v>
      </c>
      <c r="AB812" s="36" t="str">
        <f>IF(最佳化斷筋點!C812="","",最佳化斷筋點!C812)</f>
        <v/>
      </c>
      <c r="AC812" s="37" t="str">
        <f>IF(最佳化斷筋點!D812="","",最佳化斷筋點!D812)</f>
        <v/>
      </c>
      <c r="AD812" s="37" t="str">
        <f>IF(最佳化斷筋點!E812="","",最佳化斷筋點!E812)</f>
        <v/>
      </c>
      <c r="AE812" s="37" t="str">
        <f>IF(最佳化斷筋點!F812="","",最佳化斷筋點!F812)</f>
        <v/>
      </c>
      <c r="AF812" s="37" t="str">
        <f>IF(最佳化斷筋點!G812="","",最佳化斷筋點!G812)</f>
        <v/>
      </c>
      <c r="AG812" s="37" t="str">
        <f>IF(最佳化斷筋點!H812="","",最佳化斷筋點!H812)</f>
        <v/>
      </c>
      <c r="AH812" s="37" t="str">
        <f>IF(最佳化斷筋點!I812="","",最佳化斷筋點!I812)</f>
        <v/>
      </c>
      <c r="AI812" s="37" t="str">
        <f>IF(最佳化斷筋點!J812="","",最佳化斷筋點!J812)</f>
        <v/>
      </c>
      <c r="AJ812" s="37" t="str">
        <f>IF(最佳化斷筋點!K812="","",最佳化斷筋點!K812)</f>
        <v/>
      </c>
      <c r="AK812" s="37" t="str">
        <f>IF(最佳化斷筋點!L812="","",最佳化斷筋點!L812)</f>
        <v/>
      </c>
      <c r="AL812" s="37" t="str">
        <f>IF(最佳化斷筋點!M812="","",最佳化斷筋點!M812)</f>
        <v/>
      </c>
      <c r="AM812" s="37" t="str">
        <f>IF(最佳化斷筋點!N812="","",最佳化斷筋點!N812)</f>
        <v/>
      </c>
      <c r="AN812" s="37" t="str">
        <f>IF(最佳化斷筋點!O812="","",最佳化斷筋點!O812)</f>
        <v/>
      </c>
      <c r="AO812" s="37" t="str">
        <f>IF(最佳化斷筋點!P812="","",最佳化斷筋點!P812)</f>
        <v/>
      </c>
      <c r="AP812" s="37" t="str">
        <f>IF(最佳化斷筋點!Q812="","",最佳化斷筋點!Q812)</f>
        <v/>
      </c>
      <c r="AQ812" s="37" t="str">
        <f>IF(最佳化斷筋點!R812="","",最佳化斷筋點!R812)</f>
        <v/>
      </c>
      <c r="AR812" s="37" t="str">
        <f>IF(最佳化斷筋點!S812="","",最佳化斷筋點!S812)</f>
        <v/>
      </c>
      <c r="AS812" s="37" t="str">
        <f>IF(最佳化斷筋點!T812="","",最佳化斷筋點!T812)</f>
        <v/>
      </c>
      <c r="AT812" s="37" t="str">
        <f>IF(最佳化斷筋點!U812="","",最佳化斷筋點!U812)</f>
        <v/>
      </c>
      <c r="AU812" s="37" t="str">
        <f>IF(最佳化斷筋點!V812="","",最佳化斷筋點!V812)</f>
        <v/>
      </c>
      <c r="AV812" s="37" t="str">
        <f>IF(最佳化斷筋點!W812="","",最佳化斷筋點!W812)</f>
        <v/>
      </c>
      <c r="AW812" s="37" t="str">
        <f>IF(最佳化斷筋點!X812="","",最佳化斷筋點!X812)</f>
        <v/>
      </c>
      <c r="AZ812" s="37" t="s">
        <v>197</v>
      </c>
      <c r="BA812" s="37" t="s">
        <v>197</v>
      </c>
      <c r="BB812" s="37" t="s">
        <v>197</v>
      </c>
      <c r="BC812" s="37" t="s">
        <v>197</v>
      </c>
      <c r="BD812" s="37" t="s">
        <v>197</v>
      </c>
      <c r="BE812" s="37" t="s">
        <v>197</v>
      </c>
      <c r="BF812" s="37" t="s">
        <v>197</v>
      </c>
      <c r="BG812" s="37" t="s">
        <v>197</v>
      </c>
      <c r="BH812" s="37" t="s">
        <v>197</v>
      </c>
      <c r="BI812" s="37" t="s">
        <v>197</v>
      </c>
      <c r="BJ812" s="37" t="s">
        <v>197</v>
      </c>
      <c r="BK812" s="37" t="s">
        <v>197</v>
      </c>
      <c r="BL812" s="37" t="s">
        <v>197</v>
      </c>
      <c r="BM812" s="37" t="s">
        <v>197</v>
      </c>
      <c r="BN812" s="37" t="s">
        <v>197</v>
      </c>
      <c r="BO812" s="37" t="s">
        <v>197</v>
      </c>
      <c r="BP812" s="37" t="s">
        <v>197</v>
      </c>
      <c r="BQ812" s="37" t="s">
        <v>197</v>
      </c>
      <c r="BR812" s="37" t="s">
        <v>197</v>
      </c>
      <c r="BS812" s="37" t="s">
        <v>197</v>
      </c>
      <c r="BT812" s="37" t="s">
        <v>197</v>
      </c>
    </row>
    <row r="813" spans="5:72" x14ac:dyDescent="0.25">
      <c r="E813" s="36" t="s">
        <v>21</v>
      </c>
      <c r="F813" s="36">
        <f t="shared" si="253"/>
        <v>0</v>
      </c>
      <c r="G813" s="36">
        <f t="shared" si="254"/>
        <v>0</v>
      </c>
      <c r="H813" s="36">
        <f t="shared" si="255"/>
        <v>0</v>
      </c>
      <c r="I813" s="36">
        <f t="shared" si="256"/>
        <v>0</v>
      </c>
      <c r="J813" s="36">
        <f t="shared" si="257"/>
        <v>0</v>
      </c>
      <c r="K813" s="36">
        <f t="shared" si="258"/>
        <v>0</v>
      </c>
      <c r="L813" s="36">
        <f t="shared" si="259"/>
        <v>0</v>
      </c>
      <c r="M813" s="36">
        <f t="shared" si="260"/>
        <v>0</v>
      </c>
      <c r="N813" s="36">
        <f t="shared" si="261"/>
        <v>0</v>
      </c>
      <c r="O813" s="36">
        <f t="shared" si="262"/>
        <v>0</v>
      </c>
      <c r="P813" s="36">
        <f t="shared" si="263"/>
        <v>0</v>
      </c>
      <c r="Q813" s="36">
        <f t="shared" si="264"/>
        <v>0</v>
      </c>
      <c r="R813" s="36">
        <f t="shared" si="265"/>
        <v>0</v>
      </c>
      <c r="S813" s="36">
        <f t="shared" si="266"/>
        <v>0</v>
      </c>
      <c r="T813" s="36">
        <f t="shared" si="267"/>
        <v>0</v>
      </c>
      <c r="U813" s="36">
        <f t="shared" si="268"/>
        <v>0</v>
      </c>
      <c r="V813" s="36">
        <f t="shared" si="269"/>
        <v>0</v>
      </c>
      <c r="W813" s="36">
        <f t="shared" si="270"/>
        <v>0</v>
      </c>
      <c r="X813" s="36">
        <f t="shared" si="271"/>
        <v>0</v>
      </c>
      <c r="Y813" s="36">
        <f t="shared" si="272"/>
        <v>0</v>
      </c>
      <c r="Z813" s="36">
        <f t="shared" si="273"/>
        <v>0</v>
      </c>
      <c r="AB813" s="36" t="str">
        <f>IF(最佳化斷筋點!C813="","",最佳化斷筋點!C813)</f>
        <v>下層</v>
      </c>
      <c r="AC813" s="37">
        <f>IF(最佳化斷筋點!D813="","",最佳化斷筋點!D813)</f>
        <v>13</v>
      </c>
      <c r="AD813" s="37">
        <f>IF(最佳化斷筋點!E813="","",最佳化斷筋點!E813)</f>
        <v>13</v>
      </c>
      <c r="AE813" s="37">
        <f>IF(最佳化斷筋點!F813="","",最佳化斷筋點!F813)</f>
        <v>13</v>
      </c>
      <c r="AF813" s="37">
        <f>IF(最佳化斷筋點!G813="","",最佳化斷筋點!G813)</f>
        <v>13</v>
      </c>
      <c r="AG813" s="37">
        <f>IF(最佳化斷筋點!H813="","",最佳化斷筋點!H813)</f>
        <v>12</v>
      </c>
      <c r="AH813" s="37">
        <f>IF(最佳化斷筋點!I813="","",最佳化斷筋點!I813)</f>
        <v>11</v>
      </c>
      <c r="AI813" s="37">
        <f>IF(最佳化斷筋點!J813="","",最佳化斷筋點!J813)</f>
        <v>10</v>
      </c>
      <c r="AJ813" s="37">
        <f>IF(最佳化斷筋點!K813="","",最佳化斷筋點!K813)</f>
        <v>5</v>
      </c>
      <c r="AK813" s="37">
        <f>IF(最佳化斷筋點!L813="","",最佳化斷筋點!L813)</f>
        <v>5</v>
      </c>
      <c r="AL813" s="37">
        <f>IF(最佳化斷筋點!M813="","",最佳化斷筋點!M813)</f>
        <v>5</v>
      </c>
      <c r="AM813" s="37">
        <f>IF(最佳化斷筋點!N813="","",最佳化斷筋點!N813)</f>
        <v>5</v>
      </c>
      <c r="AN813" s="37">
        <f>IF(最佳化斷筋點!O813="","",最佳化斷筋點!O813)</f>
        <v>5</v>
      </c>
      <c r="AO813" s="37">
        <f>IF(最佳化斷筋點!P813="","",最佳化斷筋點!P813)</f>
        <v>5</v>
      </c>
      <c r="AP813" s="37">
        <f>IF(最佳化斷筋點!Q813="","",最佳化斷筋點!Q813)</f>
        <v>8</v>
      </c>
      <c r="AQ813" s="37">
        <f>IF(最佳化斷筋點!R813="","",最佳化斷筋點!R813)</f>
        <v>9</v>
      </c>
      <c r="AR813" s="37">
        <f>IF(最佳化斷筋點!S813="","",最佳化斷筋點!S813)</f>
        <v>10</v>
      </c>
      <c r="AS813" s="37">
        <f>IF(最佳化斷筋點!T813="","",最佳化斷筋點!T813)</f>
        <v>11</v>
      </c>
      <c r="AT813" s="37">
        <f>IF(最佳化斷筋點!U813="","",最佳化斷筋點!U813)</f>
        <v>12</v>
      </c>
      <c r="AU813" s="37">
        <f>IF(最佳化斷筋點!V813="","",最佳化斷筋點!V813)</f>
        <v>12</v>
      </c>
      <c r="AV813" s="37">
        <f>IF(最佳化斷筋點!W813="","",最佳化斷筋點!W813)</f>
        <v>12</v>
      </c>
      <c r="AW813" s="37">
        <f>IF(最佳化斷筋點!X813="","",最佳化斷筋點!X813)</f>
        <v>12</v>
      </c>
      <c r="AZ813" s="37">
        <v>13</v>
      </c>
      <c r="BA813" s="37">
        <v>13</v>
      </c>
      <c r="BB813" s="37">
        <v>13</v>
      </c>
      <c r="BC813" s="37">
        <v>13</v>
      </c>
      <c r="BD813" s="37">
        <v>12</v>
      </c>
      <c r="BE813" s="37">
        <v>11</v>
      </c>
      <c r="BF813" s="37">
        <v>10</v>
      </c>
      <c r="BG813" s="37">
        <v>5</v>
      </c>
      <c r="BH813" s="37">
        <v>5</v>
      </c>
      <c r="BI813" s="37">
        <v>5</v>
      </c>
      <c r="BJ813" s="37">
        <v>5</v>
      </c>
      <c r="BK813" s="37">
        <v>5</v>
      </c>
      <c r="BL813" s="37">
        <v>5</v>
      </c>
      <c r="BM813" s="37">
        <v>8</v>
      </c>
      <c r="BN813" s="37">
        <v>9</v>
      </c>
      <c r="BO813" s="37">
        <v>10</v>
      </c>
      <c r="BP813" s="37">
        <v>11</v>
      </c>
      <c r="BQ813" s="37">
        <v>12</v>
      </c>
      <c r="BR813" s="37">
        <v>12</v>
      </c>
      <c r="BS813" s="37">
        <v>12</v>
      </c>
      <c r="BT813" s="37">
        <v>12</v>
      </c>
    </row>
    <row r="814" spans="5:72" x14ac:dyDescent="0.25">
      <c r="E814" s="36"/>
      <c r="F814" s="36">
        <f t="shared" si="253"/>
        <v>0</v>
      </c>
      <c r="G814" s="36">
        <f t="shared" si="254"/>
        <v>0</v>
      </c>
      <c r="H814" s="36">
        <f t="shared" si="255"/>
        <v>0</v>
      </c>
      <c r="I814" s="36">
        <f t="shared" si="256"/>
        <v>0</v>
      </c>
      <c r="J814" s="36">
        <f t="shared" si="257"/>
        <v>0</v>
      </c>
      <c r="K814" s="36">
        <f t="shared" si="258"/>
        <v>0</v>
      </c>
      <c r="L814" s="36">
        <f t="shared" si="259"/>
        <v>0</v>
      </c>
      <c r="M814" s="36">
        <f t="shared" si="260"/>
        <v>0</v>
      </c>
      <c r="N814" s="36">
        <f t="shared" si="261"/>
        <v>0</v>
      </c>
      <c r="O814" s="36">
        <f t="shared" si="262"/>
        <v>0</v>
      </c>
      <c r="P814" s="36">
        <f t="shared" si="263"/>
        <v>0</v>
      </c>
      <c r="Q814" s="36">
        <f t="shared" si="264"/>
        <v>0</v>
      </c>
      <c r="R814" s="36">
        <f t="shared" si="265"/>
        <v>0</v>
      </c>
      <c r="S814" s="36">
        <f t="shared" si="266"/>
        <v>0</v>
      </c>
      <c r="T814" s="36">
        <f t="shared" si="267"/>
        <v>0</v>
      </c>
      <c r="U814" s="36">
        <f t="shared" si="268"/>
        <v>0</v>
      </c>
      <c r="V814" s="36">
        <f t="shared" si="269"/>
        <v>0</v>
      </c>
      <c r="W814" s="36">
        <f t="shared" si="270"/>
        <v>0</v>
      </c>
      <c r="X814" s="36">
        <f t="shared" si="271"/>
        <v>0</v>
      </c>
      <c r="Y814" s="36">
        <f t="shared" si="272"/>
        <v>0</v>
      </c>
      <c r="Z814" s="36">
        <f t="shared" si="273"/>
        <v>0</v>
      </c>
      <c r="AB814" s="36" t="str">
        <f>IF(最佳化斷筋點!C814="","",最佳化斷筋點!C814)</f>
        <v/>
      </c>
      <c r="AC814" s="37" t="str">
        <f>IF(最佳化斷筋點!D814="","",最佳化斷筋點!D814)</f>
        <v/>
      </c>
      <c r="AD814" s="37" t="str">
        <f>IF(最佳化斷筋點!E814="","",最佳化斷筋點!E814)</f>
        <v/>
      </c>
      <c r="AE814" s="37" t="str">
        <f>IF(最佳化斷筋點!F814="","",最佳化斷筋點!F814)</f>
        <v/>
      </c>
      <c r="AF814" s="37" t="str">
        <f>IF(最佳化斷筋點!G814="","",最佳化斷筋點!G814)</f>
        <v/>
      </c>
      <c r="AG814" s="37" t="str">
        <f>IF(最佳化斷筋點!H814="","",最佳化斷筋點!H814)</f>
        <v/>
      </c>
      <c r="AH814" s="37" t="str">
        <f>IF(最佳化斷筋點!I814="","",最佳化斷筋點!I814)</f>
        <v/>
      </c>
      <c r="AI814" s="37" t="str">
        <f>IF(最佳化斷筋點!J814="","",最佳化斷筋點!J814)</f>
        <v/>
      </c>
      <c r="AJ814" s="37" t="str">
        <f>IF(最佳化斷筋點!K814="","",最佳化斷筋點!K814)</f>
        <v/>
      </c>
      <c r="AK814" s="37" t="str">
        <f>IF(最佳化斷筋點!L814="","",最佳化斷筋點!L814)</f>
        <v/>
      </c>
      <c r="AL814" s="37" t="str">
        <f>IF(最佳化斷筋點!M814="","",最佳化斷筋點!M814)</f>
        <v/>
      </c>
      <c r="AM814" s="37" t="str">
        <f>IF(最佳化斷筋點!N814="","",最佳化斷筋點!N814)</f>
        <v/>
      </c>
      <c r="AN814" s="37" t="str">
        <f>IF(最佳化斷筋點!O814="","",最佳化斷筋點!O814)</f>
        <v/>
      </c>
      <c r="AO814" s="37" t="str">
        <f>IF(最佳化斷筋點!P814="","",最佳化斷筋點!P814)</f>
        <v/>
      </c>
      <c r="AP814" s="37" t="str">
        <f>IF(最佳化斷筋點!Q814="","",最佳化斷筋點!Q814)</f>
        <v/>
      </c>
      <c r="AQ814" s="37" t="str">
        <f>IF(最佳化斷筋點!R814="","",最佳化斷筋點!R814)</f>
        <v/>
      </c>
      <c r="AR814" s="37" t="str">
        <f>IF(最佳化斷筋點!S814="","",最佳化斷筋點!S814)</f>
        <v/>
      </c>
      <c r="AS814" s="37" t="str">
        <f>IF(最佳化斷筋點!T814="","",最佳化斷筋點!T814)</f>
        <v/>
      </c>
      <c r="AT814" s="37" t="str">
        <f>IF(最佳化斷筋點!U814="","",最佳化斷筋點!U814)</f>
        <v/>
      </c>
      <c r="AU814" s="37" t="str">
        <f>IF(最佳化斷筋點!V814="","",最佳化斷筋點!V814)</f>
        <v/>
      </c>
      <c r="AV814" s="37" t="str">
        <f>IF(最佳化斷筋點!W814="","",最佳化斷筋點!W814)</f>
        <v/>
      </c>
      <c r="AW814" s="37" t="str">
        <f>IF(最佳化斷筋點!X814="","",最佳化斷筋點!X814)</f>
        <v/>
      </c>
      <c r="AZ814" s="37" t="s">
        <v>197</v>
      </c>
      <c r="BA814" s="37" t="s">
        <v>197</v>
      </c>
      <c r="BB814" s="37" t="s">
        <v>197</v>
      </c>
      <c r="BC814" s="37" t="s">
        <v>197</v>
      </c>
      <c r="BD814" s="37" t="s">
        <v>197</v>
      </c>
      <c r="BE814" s="37" t="s">
        <v>197</v>
      </c>
      <c r="BF814" s="37" t="s">
        <v>197</v>
      </c>
      <c r="BG814" s="37" t="s">
        <v>197</v>
      </c>
      <c r="BH814" s="37" t="s">
        <v>197</v>
      </c>
      <c r="BI814" s="37" t="s">
        <v>197</v>
      </c>
      <c r="BJ814" s="37" t="s">
        <v>197</v>
      </c>
      <c r="BK814" s="37" t="s">
        <v>197</v>
      </c>
      <c r="BL814" s="37" t="s">
        <v>197</v>
      </c>
      <c r="BM814" s="37" t="s">
        <v>197</v>
      </c>
      <c r="BN814" s="37" t="s">
        <v>197</v>
      </c>
      <c r="BO814" s="37" t="s">
        <v>197</v>
      </c>
      <c r="BP814" s="37" t="s">
        <v>197</v>
      </c>
      <c r="BQ814" s="37" t="s">
        <v>197</v>
      </c>
      <c r="BR814" s="37" t="s">
        <v>197</v>
      </c>
      <c r="BS814" s="37" t="s">
        <v>197</v>
      </c>
      <c r="BT814" s="37" t="s">
        <v>197</v>
      </c>
    </row>
    <row r="815" spans="5:72" x14ac:dyDescent="0.25">
      <c r="E815" s="36" t="s">
        <v>20</v>
      </c>
      <c r="F815" s="36">
        <f t="shared" si="253"/>
        <v>0</v>
      </c>
      <c r="G815" s="36">
        <f t="shared" si="254"/>
        <v>0</v>
      </c>
      <c r="H815" s="36">
        <f t="shared" si="255"/>
        <v>0</v>
      </c>
      <c r="I815" s="36">
        <f t="shared" si="256"/>
        <v>0</v>
      </c>
      <c r="J815" s="36">
        <f t="shared" si="257"/>
        <v>0</v>
      </c>
      <c r="K815" s="36">
        <f t="shared" si="258"/>
        <v>0</v>
      </c>
      <c r="L815" s="36">
        <f t="shared" si="259"/>
        <v>0</v>
      </c>
      <c r="M815" s="36">
        <f t="shared" si="260"/>
        <v>0</v>
      </c>
      <c r="N815" s="36">
        <f t="shared" si="261"/>
        <v>0</v>
      </c>
      <c r="O815" s="36">
        <f t="shared" si="262"/>
        <v>0</v>
      </c>
      <c r="P815" s="36">
        <f t="shared" si="263"/>
        <v>0</v>
      </c>
      <c r="Q815" s="36">
        <f t="shared" si="264"/>
        <v>0</v>
      </c>
      <c r="R815" s="36">
        <f t="shared" si="265"/>
        <v>0</v>
      </c>
      <c r="S815" s="36">
        <f t="shared" si="266"/>
        <v>0</v>
      </c>
      <c r="T815" s="36">
        <f t="shared" si="267"/>
        <v>0</v>
      </c>
      <c r="U815" s="36">
        <f t="shared" si="268"/>
        <v>0</v>
      </c>
      <c r="V815" s="36">
        <f t="shared" si="269"/>
        <v>0</v>
      </c>
      <c r="W815" s="36">
        <f t="shared" si="270"/>
        <v>0</v>
      </c>
      <c r="X815" s="36">
        <f t="shared" si="271"/>
        <v>0</v>
      </c>
      <c r="Y815" s="36">
        <f t="shared" si="272"/>
        <v>0</v>
      </c>
      <c r="Z815" s="36">
        <f t="shared" si="273"/>
        <v>0</v>
      </c>
      <c r="AB815" s="36" t="str">
        <f>IF(最佳化斷筋點!C815="","",最佳化斷筋點!C815)</f>
        <v>上層</v>
      </c>
      <c r="AC815" s="37">
        <f>IF(最佳化斷筋點!D815="","",最佳化斷筋點!D815)</f>
        <v>10</v>
      </c>
      <c r="AD815" s="37">
        <f>IF(最佳化斷筋點!E815="","",最佳化斷筋點!E815)</f>
        <v>10</v>
      </c>
      <c r="AE815" s="37">
        <f>IF(最佳化斷筋點!F815="","",最佳化斷筋點!F815)</f>
        <v>10</v>
      </c>
      <c r="AF815" s="37">
        <f>IF(最佳化斷筋點!G815="","",最佳化斷筋點!G815)</f>
        <v>10</v>
      </c>
      <c r="AG815" s="37">
        <f>IF(最佳化斷筋點!H815="","",最佳化斷筋點!H815)</f>
        <v>10</v>
      </c>
      <c r="AH815" s="37">
        <f>IF(最佳化斷筋點!I815="","",最佳化斷筋點!I815)</f>
        <v>10</v>
      </c>
      <c r="AI815" s="37">
        <f>IF(最佳化斷筋點!J815="","",最佳化斷筋點!J815)</f>
        <v>10</v>
      </c>
      <c r="AJ815" s="37">
        <f>IF(最佳化斷筋點!K815="","",最佳化斷筋點!K815)</f>
        <v>4</v>
      </c>
      <c r="AK815" s="37">
        <f>IF(最佳化斷筋點!L815="","",最佳化斷筋點!L815)</f>
        <v>4</v>
      </c>
      <c r="AL815" s="37">
        <f>IF(最佳化斷筋點!M815="","",最佳化斷筋點!M815)</f>
        <v>4</v>
      </c>
      <c r="AM815" s="37">
        <f>IF(最佳化斷筋點!N815="","",最佳化斷筋點!N815)</f>
        <v>4</v>
      </c>
      <c r="AN815" s="37">
        <f>IF(最佳化斷筋點!O815="","",最佳化斷筋點!O815)</f>
        <v>4</v>
      </c>
      <c r="AO815" s="37">
        <f>IF(最佳化斷筋點!P815="","",最佳化斷筋點!P815)</f>
        <v>4</v>
      </c>
      <c r="AP815" s="37">
        <f>IF(最佳化斷筋點!Q815="","",最佳化斷筋點!Q815)</f>
        <v>7</v>
      </c>
      <c r="AQ815" s="37">
        <f>IF(最佳化斷筋點!R815="","",最佳化斷筋點!R815)</f>
        <v>8</v>
      </c>
      <c r="AR815" s="37">
        <f>IF(最佳化斷筋點!S815="","",最佳化斷筋點!S815)</f>
        <v>9</v>
      </c>
      <c r="AS815" s="37">
        <f>IF(最佳化斷筋點!T815="","",最佳化斷筋點!T815)</f>
        <v>9</v>
      </c>
      <c r="AT815" s="37">
        <f>IF(最佳化斷筋點!U815="","",最佳化斷筋點!U815)</f>
        <v>9</v>
      </c>
      <c r="AU815" s="37">
        <f>IF(最佳化斷筋點!V815="","",最佳化斷筋點!V815)</f>
        <v>9</v>
      </c>
      <c r="AV815" s="37">
        <f>IF(最佳化斷筋點!W815="","",最佳化斷筋點!W815)</f>
        <v>9</v>
      </c>
      <c r="AW815" s="37">
        <f>IF(最佳化斷筋點!X815="","",最佳化斷筋點!X815)</f>
        <v>9</v>
      </c>
      <c r="AZ815" s="37">
        <v>10</v>
      </c>
      <c r="BA815" s="37">
        <v>10</v>
      </c>
      <c r="BB815" s="37">
        <v>10</v>
      </c>
      <c r="BC815" s="37">
        <v>10</v>
      </c>
      <c r="BD815" s="37">
        <v>10</v>
      </c>
      <c r="BE815" s="37">
        <v>10</v>
      </c>
      <c r="BF815" s="37">
        <v>10</v>
      </c>
      <c r="BG815" s="37">
        <v>4</v>
      </c>
      <c r="BH815" s="37">
        <v>4</v>
      </c>
      <c r="BI815" s="37">
        <v>4</v>
      </c>
      <c r="BJ815" s="37">
        <v>4</v>
      </c>
      <c r="BK815" s="37">
        <v>4</v>
      </c>
      <c r="BL815" s="37">
        <v>4</v>
      </c>
      <c r="BM815" s="37">
        <v>7</v>
      </c>
      <c r="BN815" s="37">
        <v>8</v>
      </c>
      <c r="BO815" s="37">
        <v>9</v>
      </c>
      <c r="BP815" s="37">
        <v>9</v>
      </c>
      <c r="BQ815" s="37">
        <v>9</v>
      </c>
      <c r="BR815" s="37">
        <v>9</v>
      </c>
      <c r="BS815" s="37">
        <v>9</v>
      </c>
      <c r="BT815" s="37">
        <v>9</v>
      </c>
    </row>
    <row r="816" spans="5:72" x14ac:dyDescent="0.25">
      <c r="E816" s="36"/>
      <c r="F816" s="36">
        <f t="shared" si="253"/>
        <v>0</v>
      </c>
      <c r="G816" s="36">
        <f t="shared" si="254"/>
        <v>0</v>
      </c>
      <c r="H816" s="36">
        <f t="shared" si="255"/>
        <v>0</v>
      </c>
      <c r="I816" s="36">
        <f t="shared" si="256"/>
        <v>0</v>
      </c>
      <c r="J816" s="36">
        <f t="shared" si="257"/>
        <v>0</v>
      </c>
      <c r="K816" s="36">
        <f t="shared" si="258"/>
        <v>0</v>
      </c>
      <c r="L816" s="36">
        <f t="shared" si="259"/>
        <v>0</v>
      </c>
      <c r="M816" s="36">
        <f t="shared" si="260"/>
        <v>0</v>
      </c>
      <c r="N816" s="36">
        <f t="shared" si="261"/>
        <v>0</v>
      </c>
      <c r="O816" s="36">
        <f t="shared" si="262"/>
        <v>0</v>
      </c>
      <c r="P816" s="36">
        <f t="shared" si="263"/>
        <v>0</v>
      </c>
      <c r="Q816" s="36">
        <f t="shared" si="264"/>
        <v>0</v>
      </c>
      <c r="R816" s="36">
        <f t="shared" si="265"/>
        <v>0</v>
      </c>
      <c r="S816" s="36">
        <f t="shared" si="266"/>
        <v>0</v>
      </c>
      <c r="T816" s="36">
        <f t="shared" si="267"/>
        <v>0</v>
      </c>
      <c r="U816" s="36">
        <f t="shared" si="268"/>
        <v>0</v>
      </c>
      <c r="V816" s="36">
        <f t="shared" si="269"/>
        <v>0</v>
      </c>
      <c r="W816" s="36">
        <f t="shared" si="270"/>
        <v>0</v>
      </c>
      <c r="X816" s="36">
        <f t="shared" si="271"/>
        <v>0</v>
      </c>
      <c r="Y816" s="36">
        <f t="shared" si="272"/>
        <v>0</v>
      </c>
      <c r="Z816" s="36">
        <f t="shared" si="273"/>
        <v>0</v>
      </c>
      <c r="AB816" s="36" t="str">
        <f>IF(最佳化斷筋點!C816="","",最佳化斷筋點!C816)</f>
        <v/>
      </c>
      <c r="AC816" s="37" t="str">
        <f>IF(最佳化斷筋點!D816="","",最佳化斷筋點!D816)</f>
        <v/>
      </c>
      <c r="AD816" s="37" t="str">
        <f>IF(最佳化斷筋點!E816="","",最佳化斷筋點!E816)</f>
        <v/>
      </c>
      <c r="AE816" s="37" t="str">
        <f>IF(最佳化斷筋點!F816="","",最佳化斷筋點!F816)</f>
        <v/>
      </c>
      <c r="AF816" s="37" t="str">
        <f>IF(最佳化斷筋點!G816="","",最佳化斷筋點!G816)</f>
        <v/>
      </c>
      <c r="AG816" s="37" t="str">
        <f>IF(最佳化斷筋點!H816="","",最佳化斷筋點!H816)</f>
        <v/>
      </c>
      <c r="AH816" s="37" t="str">
        <f>IF(最佳化斷筋點!I816="","",最佳化斷筋點!I816)</f>
        <v/>
      </c>
      <c r="AI816" s="37" t="str">
        <f>IF(最佳化斷筋點!J816="","",最佳化斷筋點!J816)</f>
        <v/>
      </c>
      <c r="AJ816" s="37" t="str">
        <f>IF(最佳化斷筋點!K816="","",最佳化斷筋點!K816)</f>
        <v/>
      </c>
      <c r="AK816" s="37" t="str">
        <f>IF(最佳化斷筋點!L816="","",最佳化斷筋點!L816)</f>
        <v/>
      </c>
      <c r="AL816" s="37" t="str">
        <f>IF(最佳化斷筋點!M816="","",最佳化斷筋點!M816)</f>
        <v/>
      </c>
      <c r="AM816" s="37" t="str">
        <f>IF(最佳化斷筋點!N816="","",最佳化斷筋點!N816)</f>
        <v/>
      </c>
      <c r="AN816" s="37" t="str">
        <f>IF(最佳化斷筋點!O816="","",最佳化斷筋點!O816)</f>
        <v/>
      </c>
      <c r="AO816" s="37" t="str">
        <f>IF(最佳化斷筋點!P816="","",最佳化斷筋點!P816)</f>
        <v/>
      </c>
      <c r="AP816" s="37" t="str">
        <f>IF(最佳化斷筋點!Q816="","",最佳化斷筋點!Q816)</f>
        <v/>
      </c>
      <c r="AQ816" s="37" t="str">
        <f>IF(最佳化斷筋點!R816="","",最佳化斷筋點!R816)</f>
        <v/>
      </c>
      <c r="AR816" s="37" t="str">
        <f>IF(最佳化斷筋點!S816="","",最佳化斷筋點!S816)</f>
        <v/>
      </c>
      <c r="AS816" s="37" t="str">
        <f>IF(最佳化斷筋點!T816="","",最佳化斷筋點!T816)</f>
        <v/>
      </c>
      <c r="AT816" s="37" t="str">
        <f>IF(最佳化斷筋點!U816="","",最佳化斷筋點!U816)</f>
        <v/>
      </c>
      <c r="AU816" s="37" t="str">
        <f>IF(最佳化斷筋點!V816="","",最佳化斷筋點!V816)</f>
        <v/>
      </c>
      <c r="AV816" s="37" t="str">
        <f>IF(最佳化斷筋點!W816="","",最佳化斷筋點!W816)</f>
        <v/>
      </c>
      <c r="AW816" s="37" t="str">
        <f>IF(最佳化斷筋點!X816="","",最佳化斷筋點!X816)</f>
        <v/>
      </c>
      <c r="AZ816" s="37" t="s">
        <v>197</v>
      </c>
      <c r="BA816" s="37" t="s">
        <v>197</v>
      </c>
      <c r="BB816" s="37" t="s">
        <v>197</v>
      </c>
      <c r="BC816" s="37" t="s">
        <v>197</v>
      </c>
      <c r="BD816" s="37" t="s">
        <v>197</v>
      </c>
      <c r="BE816" s="37" t="s">
        <v>197</v>
      </c>
      <c r="BF816" s="37" t="s">
        <v>197</v>
      </c>
      <c r="BG816" s="37" t="s">
        <v>197</v>
      </c>
      <c r="BH816" s="37" t="s">
        <v>197</v>
      </c>
      <c r="BI816" s="37" t="s">
        <v>197</v>
      </c>
      <c r="BJ816" s="37" t="s">
        <v>197</v>
      </c>
      <c r="BK816" s="37" t="s">
        <v>197</v>
      </c>
      <c r="BL816" s="37" t="s">
        <v>197</v>
      </c>
      <c r="BM816" s="37" t="s">
        <v>197</v>
      </c>
      <c r="BN816" s="37" t="s">
        <v>197</v>
      </c>
      <c r="BO816" s="37" t="s">
        <v>197</v>
      </c>
      <c r="BP816" s="37" t="s">
        <v>197</v>
      </c>
      <c r="BQ816" s="37" t="s">
        <v>197</v>
      </c>
      <c r="BR816" s="37" t="s">
        <v>197</v>
      </c>
      <c r="BS816" s="37" t="s">
        <v>197</v>
      </c>
      <c r="BT816" s="37" t="s">
        <v>197</v>
      </c>
    </row>
    <row r="817" spans="5:72" x14ac:dyDescent="0.25">
      <c r="E817" s="36" t="s">
        <v>21</v>
      </c>
      <c r="F817" s="36">
        <f t="shared" si="253"/>
        <v>0</v>
      </c>
      <c r="G817" s="36">
        <f t="shared" si="254"/>
        <v>0</v>
      </c>
      <c r="H817" s="36">
        <f t="shared" si="255"/>
        <v>0</v>
      </c>
      <c r="I817" s="36">
        <f t="shared" si="256"/>
        <v>0</v>
      </c>
      <c r="J817" s="36">
        <f t="shared" si="257"/>
        <v>0</v>
      </c>
      <c r="K817" s="36">
        <f t="shared" si="258"/>
        <v>0</v>
      </c>
      <c r="L817" s="36">
        <f t="shared" si="259"/>
        <v>0</v>
      </c>
      <c r="M817" s="36">
        <f t="shared" si="260"/>
        <v>0</v>
      </c>
      <c r="N817" s="36">
        <f t="shared" si="261"/>
        <v>0</v>
      </c>
      <c r="O817" s="36">
        <f t="shared" si="262"/>
        <v>0</v>
      </c>
      <c r="P817" s="36">
        <f t="shared" si="263"/>
        <v>0</v>
      </c>
      <c r="Q817" s="36">
        <f t="shared" si="264"/>
        <v>0</v>
      </c>
      <c r="R817" s="36">
        <f t="shared" si="265"/>
        <v>0</v>
      </c>
      <c r="S817" s="36">
        <f t="shared" si="266"/>
        <v>0</v>
      </c>
      <c r="T817" s="36">
        <f t="shared" si="267"/>
        <v>0</v>
      </c>
      <c r="U817" s="36">
        <f t="shared" si="268"/>
        <v>0</v>
      </c>
      <c r="V817" s="36">
        <f t="shared" si="269"/>
        <v>0</v>
      </c>
      <c r="W817" s="36">
        <f t="shared" si="270"/>
        <v>0</v>
      </c>
      <c r="X817" s="36">
        <f t="shared" si="271"/>
        <v>0</v>
      </c>
      <c r="Y817" s="36">
        <f t="shared" si="272"/>
        <v>0</v>
      </c>
      <c r="Z817" s="36">
        <f t="shared" si="273"/>
        <v>0</v>
      </c>
      <c r="AB817" s="36" t="str">
        <f>IF(最佳化斷筋點!C817="","",最佳化斷筋點!C817)</f>
        <v>下層</v>
      </c>
      <c r="AC817" s="37">
        <f>IF(最佳化斷筋點!D817="","",最佳化斷筋點!D817)</f>
        <v>13</v>
      </c>
      <c r="AD817" s="37">
        <f>IF(最佳化斷筋點!E817="","",最佳化斷筋點!E817)</f>
        <v>13</v>
      </c>
      <c r="AE817" s="37">
        <f>IF(最佳化斷筋點!F817="","",最佳化斷筋點!F817)</f>
        <v>13</v>
      </c>
      <c r="AF817" s="37">
        <f>IF(最佳化斷筋點!G817="","",最佳化斷筋點!G817)</f>
        <v>13</v>
      </c>
      <c r="AG817" s="37">
        <f>IF(最佳化斷筋點!H817="","",最佳化斷筋點!H817)</f>
        <v>12</v>
      </c>
      <c r="AH817" s="37">
        <f>IF(最佳化斷筋點!I817="","",最佳化斷筋點!I817)</f>
        <v>11</v>
      </c>
      <c r="AI817" s="37">
        <f>IF(最佳化斷筋點!J817="","",最佳化斷筋點!J817)</f>
        <v>10</v>
      </c>
      <c r="AJ817" s="37">
        <f>IF(最佳化斷筋點!K817="","",最佳化斷筋點!K817)</f>
        <v>6</v>
      </c>
      <c r="AK817" s="37">
        <f>IF(最佳化斷筋點!L817="","",最佳化斷筋點!L817)</f>
        <v>6</v>
      </c>
      <c r="AL817" s="37">
        <f>IF(最佳化斷筋點!M817="","",最佳化斷筋點!M817)</f>
        <v>6</v>
      </c>
      <c r="AM817" s="37">
        <f>IF(最佳化斷筋點!N817="","",最佳化斷筋點!N817)</f>
        <v>6</v>
      </c>
      <c r="AN817" s="37">
        <f>IF(最佳化斷筋點!O817="","",最佳化斷筋點!O817)</f>
        <v>6</v>
      </c>
      <c r="AO817" s="37">
        <f>IF(最佳化斷筋點!P817="","",最佳化斷筋點!P817)</f>
        <v>6</v>
      </c>
      <c r="AP817" s="37">
        <f>IF(最佳化斷筋點!Q817="","",最佳化斷筋點!Q817)</f>
        <v>8</v>
      </c>
      <c r="AQ817" s="37">
        <f>IF(最佳化斷筋點!R817="","",最佳化斷筋點!R817)</f>
        <v>9</v>
      </c>
      <c r="AR817" s="37">
        <f>IF(最佳化斷筋點!S817="","",最佳化斷筋點!S817)</f>
        <v>11</v>
      </c>
      <c r="AS817" s="37">
        <f>IF(最佳化斷筋點!T817="","",最佳化斷筋點!T817)</f>
        <v>12</v>
      </c>
      <c r="AT817" s="37">
        <f>IF(最佳化斷筋點!U817="","",最佳化斷筋點!U817)</f>
        <v>13</v>
      </c>
      <c r="AU817" s="37">
        <f>IF(最佳化斷筋點!V817="","",最佳化斷筋點!V817)</f>
        <v>13</v>
      </c>
      <c r="AV817" s="37">
        <f>IF(最佳化斷筋點!W817="","",最佳化斷筋點!W817)</f>
        <v>13</v>
      </c>
      <c r="AW817" s="37">
        <f>IF(最佳化斷筋點!X817="","",最佳化斷筋點!X817)</f>
        <v>13</v>
      </c>
      <c r="AZ817" s="37">
        <v>13</v>
      </c>
      <c r="BA817" s="37">
        <v>13</v>
      </c>
      <c r="BB817" s="37">
        <v>13</v>
      </c>
      <c r="BC817" s="37">
        <v>13</v>
      </c>
      <c r="BD817" s="37">
        <v>12</v>
      </c>
      <c r="BE817" s="37">
        <v>11</v>
      </c>
      <c r="BF817" s="37">
        <v>10</v>
      </c>
      <c r="BG817" s="37">
        <v>6</v>
      </c>
      <c r="BH817" s="37">
        <v>6</v>
      </c>
      <c r="BI817" s="37">
        <v>6</v>
      </c>
      <c r="BJ817" s="37">
        <v>6</v>
      </c>
      <c r="BK817" s="37">
        <v>6</v>
      </c>
      <c r="BL817" s="37">
        <v>6</v>
      </c>
      <c r="BM817" s="37">
        <v>8</v>
      </c>
      <c r="BN817" s="37">
        <v>9</v>
      </c>
      <c r="BO817" s="37">
        <v>11</v>
      </c>
      <c r="BP817" s="37">
        <v>12</v>
      </c>
      <c r="BQ817" s="37">
        <v>13</v>
      </c>
      <c r="BR817" s="37">
        <v>13</v>
      </c>
      <c r="BS817" s="37">
        <v>13</v>
      </c>
      <c r="BT817" s="37">
        <v>13</v>
      </c>
    </row>
    <row r="818" spans="5:72" x14ac:dyDescent="0.25">
      <c r="E818" s="36"/>
      <c r="F818" s="36">
        <f t="shared" si="253"/>
        <v>0</v>
      </c>
      <c r="G818" s="36">
        <f t="shared" si="254"/>
        <v>0</v>
      </c>
      <c r="H818" s="36">
        <f t="shared" si="255"/>
        <v>0</v>
      </c>
      <c r="I818" s="36">
        <f t="shared" si="256"/>
        <v>0</v>
      </c>
      <c r="J818" s="36">
        <f t="shared" si="257"/>
        <v>0</v>
      </c>
      <c r="K818" s="36">
        <f t="shared" si="258"/>
        <v>0</v>
      </c>
      <c r="L818" s="36">
        <f t="shared" si="259"/>
        <v>0</v>
      </c>
      <c r="M818" s="36">
        <f t="shared" si="260"/>
        <v>0</v>
      </c>
      <c r="N818" s="36">
        <f t="shared" si="261"/>
        <v>0</v>
      </c>
      <c r="O818" s="36">
        <f t="shared" si="262"/>
        <v>0</v>
      </c>
      <c r="P818" s="36">
        <f t="shared" si="263"/>
        <v>0</v>
      </c>
      <c r="Q818" s="36">
        <f t="shared" si="264"/>
        <v>0</v>
      </c>
      <c r="R818" s="36">
        <f t="shared" si="265"/>
        <v>0</v>
      </c>
      <c r="S818" s="36">
        <f t="shared" si="266"/>
        <v>0</v>
      </c>
      <c r="T818" s="36">
        <f t="shared" si="267"/>
        <v>0</v>
      </c>
      <c r="U818" s="36">
        <f t="shared" si="268"/>
        <v>0</v>
      </c>
      <c r="V818" s="36">
        <f t="shared" si="269"/>
        <v>0</v>
      </c>
      <c r="W818" s="36">
        <f t="shared" si="270"/>
        <v>0</v>
      </c>
      <c r="X818" s="36">
        <f t="shared" si="271"/>
        <v>0</v>
      </c>
      <c r="Y818" s="36">
        <f t="shared" si="272"/>
        <v>0</v>
      </c>
      <c r="Z818" s="36">
        <f t="shared" si="273"/>
        <v>0</v>
      </c>
      <c r="AB818" s="36" t="str">
        <f>IF(最佳化斷筋點!C818="","",最佳化斷筋點!C818)</f>
        <v/>
      </c>
      <c r="AC818" s="37" t="str">
        <f>IF(最佳化斷筋點!D818="","",最佳化斷筋點!D818)</f>
        <v/>
      </c>
      <c r="AD818" s="37" t="str">
        <f>IF(最佳化斷筋點!E818="","",最佳化斷筋點!E818)</f>
        <v/>
      </c>
      <c r="AE818" s="37" t="str">
        <f>IF(最佳化斷筋點!F818="","",最佳化斷筋點!F818)</f>
        <v/>
      </c>
      <c r="AF818" s="37" t="str">
        <f>IF(最佳化斷筋點!G818="","",最佳化斷筋點!G818)</f>
        <v/>
      </c>
      <c r="AG818" s="37" t="str">
        <f>IF(最佳化斷筋點!H818="","",最佳化斷筋點!H818)</f>
        <v/>
      </c>
      <c r="AH818" s="37" t="str">
        <f>IF(最佳化斷筋點!I818="","",最佳化斷筋點!I818)</f>
        <v/>
      </c>
      <c r="AI818" s="37" t="str">
        <f>IF(最佳化斷筋點!J818="","",最佳化斷筋點!J818)</f>
        <v/>
      </c>
      <c r="AJ818" s="37" t="str">
        <f>IF(最佳化斷筋點!K818="","",最佳化斷筋點!K818)</f>
        <v/>
      </c>
      <c r="AK818" s="37" t="str">
        <f>IF(最佳化斷筋點!L818="","",最佳化斷筋點!L818)</f>
        <v/>
      </c>
      <c r="AL818" s="37" t="str">
        <f>IF(最佳化斷筋點!M818="","",最佳化斷筋點!M818)</f>
        <v/>
      </c>
      <c r="AM818" s="37" t="str">
        <f>IF(最佳化斷筋點!N818="","",最佳化斷筋點!N818)</f>
        <v/>
      </c>
      <c r="AN818" s="37" t="str">
        <f>IF(最佳化斷筋點!O818="","",最佳化斷筋點!O818)</f>
        <v/>
      </c>
      <c r="AO818" s="37" t="str">
        <f>IF(最佳化斷筋點!P818="","",最佳化斷筋點!P818)</f>
        <v/>
      </c>
      <c r="AP818" s="37" t="str">
        <f>IF(最佳化斷筋點!Q818="","",最佳化斷筋點!Q818)</f>
        <v/>
      </c>
      <c r="AQ818" s="37" t="str">
        <f>IF(最佳化斷筋點!R818="","",最佳化斷筋點!R818)</f>
        <v/>
      </c>
      <c r="AR818" s="37" t="str">
        <f>IF(最佳化斷筋點!S818="","",最佳化斷筋點!S818)</f>
        <v/>
      </c>
      <c r="AS818" s="37" t="str">
        <f>IF(最佳化斷筋點!T818="","",最佳化斷筋點!T818)</f>
        <v/>
      </c>
      <c r="AT818" s="37" t="str">
        <f>IF(最佳化斷筋點!U818="","",最佳化斷筋點!U818)</f>
        <v/>
      </c>
      <c r="AU818" s="37" t="str">
        <f>IF(最佳化斷筋點!V818="","",最佳化斷筋點!V818)</f>
        <v/>
      </c>
      <c r="AV818" s="37" t="str">
        <f>IF(最佳化斷筋點!W818="","",最佳化斷筋點!W818)</f>
        <v/>
      </c>
      <c r="AW818" s="37" t="str">
        <f>IF(最佳化斷筋點!X818="","",最佳化斷筋點!X818)</f>
        <v/>
      </c>
      <c r="AZ818" s="37" t="s">
        <v>197</v>
      </c>
      <c r="BA818" s="37" t="s">
        <v>197</v>
      </c>
      <c r="BB818" s="37" t="s">
        <v>197</v>
      </c>
      <c r="BC818" s="37" t="s">
        <v>197</v>
      </c>
      <c r="BD818" s="37" t="s">
        <v>197</v>
      </c>
      <c r="BE818" s="37" t="s">
        <v>197</v>
      </c>
      <c r="BF818" s="37" t="s">
        <v>197</v>
      </c>
      <c r="BG818" s="37" t="s">
        <v>197</v>
      </c>
      <c r="BH818" s="37" t="s">
        <v>197</v>
      </c>
      <c r="BI818" s="37" t="s">
        <v>197</v>
      </c>
      <c r="BJ818" s="37" t="s">
        <v>197</v>
      </c>
      <c r="BK818" s="37" t="s">
        <v>197</v>
      </c>
      <c r="BL818" s="37" t="s">
        <v>197</v>
      </c>
      <c r="BM818" s="37" t="s">
        <v>197</v>
      </c>
      <c r="BN818" s="37" t="s">
        <v>197</v>
      </c>
      <c r="BO818" s="37" t="s">
        <v>197</v>
      </c>
      <c r="BP818" s="37" t="s">
        <v>197</v>
      </c>
      <c r="BQ818" s="37" t="s">
        <v>197</v>
      </c>
      <c r="BR818" s="37" t="s">
        <v>197</v>
      </c>
      <c r="BS818" s="37" t="s">
        <v>197</v>
      </c>
      <c r="BT818" s="37" t="s">
        <v>197</v>
      </c>
    </row>
    <row r="819" spans="5:72" x14ac:dyDescent="0.25">
      <c r="E819" s="36" t="s">
        <v>20</v>
      </c>
      <c r="F819" s="36">
        <f t="shared" si="253"/>
        <v>0</v>
      </c>
      <c r="G819" s="36">
        <f t="shared" si="254"/>
        <v>0</v>
      </c>
      <c r="H819" s="36">
        <f t="shared" si="255"/>
        <v>0</v>
      </c>
      <c r="I819" s="36">
        <f t="shared" si="256"/>
        <v>0</v>
      </c>
      <c r="J819" s="36">
        <f t="shared" si="257"/>
        <v>0</v>
      </c>
      <c r="K819" s="36">
        <f t="shared" si="258"/>
        <v>0</v>
      </c>
      <c r="L819" s="36">
        <f t="shared" si="259"/>
        <v>0</v>
      </c>
      <c r="M819" s="36">
        <f t="shared" si="260"/>
        <v>0</v>
      </c>
      <c r="N819" s="36">
        <f t="shared" si="261"/>
        <v>0</v>
      </c>
      <c r="O819" s="36">
        <f t="shared" si="262"/>
        <v>0</v>
      </c>
      <c r="P819" s="36">
        <f t="shared" si="263"/>
        <v>0</v>
      </c>
      <c r="Q819" s="36">
        <f t="shared" si="264"/>
        <v>0</v>
      </c>
      <c r="R819" s="36">
        <f t="shared" si="265"/>
        <v>0</v>
      </c>
      <c r="S819" s="36">
        <f t="shared" si="266"/>
        <v>0</v>
      </c>
      <c r="T819" s="36">
        <f t="shared" si="267"/>
        <v>0</v>
      </c>
      <c r="U819" s="36">
        <f t="shared" si="268"/>
        <v>0</v>
      </c>
      <c r="V819" s="36">
        <f t="shared" si="269"/>
        <v>0</v>
      </c>
      <c r="W819" s="36">
        <f t="shared" si="270"/>
        <v>0</v>
      </c>
      <c r="X819" s="36">
        <f t="shared" si="271"/>
        <v>0</v>
      </c>
      <c r="Y819" s="36">
        <f t="shared" si="272"/>
        <v>0</v>
      </c>
      <c r="Z819" s="36">
        <f t="shared" si="273"/>
        <v>0</v>
      </c>
      <c r="AB819" s="36" t="str">
        <f>IF(最佳化斷筋點!C819="","",最佳化斷筋點!C819)</f>
        <v>上層</v>
      </c>
      <c r="AC819" s="37">
        <f>IF(最佳化斷筋點!D819="","",最佳化斷筋點!D819)</f>
        <v>10</v>
      </c>
      <c r="AD819" s="37">
        <f>IF(最佳化斷筋點!E819="","",最佳化斷筋點!E819)</f>
        <v>10</v>
      </c>
      <c r="AE819" s="37">
        <f>IF(最佳化斷筋點!F819="","",最佳化斷筋點!F819)</f>
        <v>10</v>
      </c>
      <c r="AF819" s="37">
        <f>IF(最佳化斷筋點!G819="","",最佳化斷筋點!G819)</f>
        <v>10</v>
      </c>
      <c r="AG819" s="37">
        <f>IF(最佳化斷筋點!H819="","",最佳化斷筋點!H819)</f>
        <v>10</v>
      </c>
      <c r="AH819" s="37">
        <f>IF(最佳化斷筋點!I819="","",最佳化斷筋點!I819)</f>
        <v>10</v>
      </c>
      <c r="AI819" s="37">
        <f>IF(最佳化斷筋點!J819="","",最佳化斷筋點!J819)</f>
        <v>10</v>
      </c>
      <c r="AJ819" s="37">
        <f>IF(最佳化斷筋點!K819="","",最佳化斷筋點!K819)</f>
        <v>4</v>
      </c>
      <c r="AK819" s="37">
        <f>IF(最佳化斷筋點!L819="","",最佳化斷筋點!L819)</f>
        <v>4</v>
      </c>
      <c r="AL819" s="37">
        <f>IF(最佳化斷筋點!M819="","",最佳化斷筋點!M819)</f>
        <v>4</v>
      </c>
      <c r="AM819" s="37">
        <f>IF(最佳化斷筋點!N819="","",最佳化斷筋點!N819)</f>
        <v>4</v>
      </c>
      <c r="AN819" s="37">
        <f>IF(最佳化斷筋點!O819="","",最佳化斷筋點!O819)</f>
        <v>4</v>
      </c>
      <c r="AO819" s="37">
        <f>IF(最佳化斷筋點!P819="","",最佳化斷筋點!P819)</f>
        <v>4</v>
      </c>
      <c r="AP819" s="37">
        <f>IF(最佳化斷筋點!Q819="","",最佳化斷筋點!Q819)</f>
        <v>6</v>
      </c>
      <c r="AQ819" s="37">
        <f>IF(最佳化斷筋點!R819="","",最佳化斷筋點!R819)</f>
        <v>7</v>
      </c>
      <c r="AR819" s="37">
        <f>IF(最佳化斷筋點!S819="","",最佳化斷筋點!S819)</f>
        <v>8</v>
      </c>
      <c r="AS819" s="37">
        <f>IF(最佳化斷筋點!T819="","",最佳化斷筋點!T819)</f>
        <v>8</v>
      </c>
      <c r="AT819" s="37">
        <f>IF(最佳化斷筋點!U819="","",最佳化斷筋點!U819)</f>
        <v>8</v>
      </c>
      <c r="AU819" s="37">
        <f>IF(最佳化斷筋點!V819="","",最佳化斷筋點!V819)</f>
        <v>8</v>
      </c>
      <c r="AV819" s="37">
        <f>IF(最佳化斷筋點!W819="","",最佳化斷筋點!W819)</f>
        <v>8</v>
      </c>
      <c r="AW819" s="37">
        <f>IF(最佳化斷筋點!X819="","",最佳化斷筋點!X819)</f>
        <v>8</v>
      </c>
      <c r="AZ819" s="37">
        <v>10</v>
      </c>
      <c r="BA819" s="37">
        <v>10</v>
      </c>
      <c r="BB819" s="37">
        <v>10</v>
      </c>
      <c r="BC819" s="37">
        <v>10</v>
      </c>
      <c r="BD819" s="37">
        <v>10</v>
      </c>
      <c r="BE819" s="37">
        <v>10</v>
      </c>
      <c r="BF819" s="37">
        <v>10</v>
      </c>
      <c r="BG819" s="37">
        <v>4</v>
      </c>
      <c r="BH819" s="37">
        <v>4</v>
      </c>
      <c r="BI819" s="37">
        <v>4</v>
      </c>
      <c r="BJ819" s="37">
        <v>4</v>
      </c>
      <c r="BK819" s="37">
        <v>4</v>
      </c>
      <c r="BL819" s="37">
        <v>4</v>
      </c>
      <c r="BM819" s="37">
        <v>6</v>
      </c>
      <c r="BN819" s="37">
        <v>7</v>
      </c>
      <c r="BO819" s="37">
        <v>8</v>
      </c>
      <c r="BP819" s="37">
        <v>8</v>
      </c>
      <c r="BQ819" s="37">
        <v>8</v>
      </c>
      <c r="BR819" s="37">
        <v>8</v>
      </c>
      <c r="BS819" s="37">
        <v>8</v>
      </c>
      <c r="BT819" s="37">
        <v>8</v>
      </c>
    </row>
    <row r="820" spans="5:72" x14ac:dyDescent="0.25">
      <c r="E820" s="36"/>
      <c r="F820" s="36">
        <f t="shared" si="253"/>
        <v>0</v>
      </c>
      <c r="G820" s="36">
        <f t="shared" si="254"/>
        <v>0</v>
      </c>
      <c r="H820" s="36">
        <f t="shared" si="255"/>
        <v>0</v>
      </c>
      <c r="I820" s="36">
        <f t="shared" si="256"/>
        <v>0</v>
      </c>
      <c r="J820" s="36">
        <f t="shared" si="257"/>
        <v>0</v>
      </c>
      <c r="K820" s="36">
        <f t="shared" si="258"/>
        <v>0</v>
      </c>
      <c r="L820" s="36">
        <f t="shared" si="259"/>
        <v>0</v>
      </c>
      <c r="M820" s="36">
        <f t="shared" si="260"/>
        <v>0</v>
      </c>
      <c r="N820" s="36">
        <f t="shared" si="261"/>
        <v>0</v>
      </c>
      <c r="O820" s="36">
        <f t="shared" si="262"/>
        <v>0</v>
      </c>
      <c r="P820" s="36">
        <f t="shared" si="263"/>
        <v>0</v>
      </c>
      <c r="Q820" s="36">
        <f t="shared" si="264"/>
        <v>0</v>
      </c>
      <c r="R820" s="36">
        <f t="shared" si="265"/>
        <v>0</v>
      </c>
      <c r="S820" s="36">
        <f t="shared" si="266"/>
        <v>0</v>
      </c>
      <c r="T820" s="36">
        <f t="shared" si="267"/>
        <v>0</v>
      </c>
      <c r="U820" s="36">
        <f t="shared" si="268"/>
        <v>0</v>
      </c>
      <c r="V820" s="36">
        <f t="shared" si="269"/>
        <v>0</v>
      </c>
      <c r="W820" s="36">
        <f t="shared" si="270"/>
        <v>0</v>
      </c>
      <c r="X820" s="36">
        <f t="shared" si="271"/>
        <v>0</v>
      </c>
      <c r="Y820" s="36">
        <f t="shared" si="272"/>
        <v>0</v>
      </c>
      <c r="Z820" s="36">
        <f t="shared" si="273"/>
        <v>0</v>
      </c>
      <c r="AB820" s="36" t="str">
        <f>IF(最佳化斷筋點!C820="","",最佳化斷筋點!C820)</f>
        <v/>
      </c>
      <c r="AC820" s="37" t="str">
        <f>IF(最佳化斷筋點!D820="","",最佳化斷筋點!D820)</f>
        <v/>
      </c>
      <c r="AD820" s="37" t="str">
        <f>IF(最佳化斷筋點!E820="","",最佳化斷筋點!E820)</f>
        <v/>
      </c>
      <c r="AE820" s="37" t="str">
        <f>IF(最佳化斷筋點!F820="","",最佳化斷筋點!F820)</f>
        <v/>
      </c>
      <c r="AF820" s="37" t="str">
        <f>IF(最佳化斷筋點!G820="","",最佳化斷筋點!G820)</f>
        <v/>
      </c>
      <c r="AG820" s="37" t="str">
        <f>IF(最佳化斷筋點!H820="","",最佳化斷筋點!H820)</f>
        <v/>
      </c>
      <c r="AH820" s="37" t="str">
        <f>IF(最佳化斷筋點!I820="","",最佳化斷筋點!I820)</f>
        <v/>
      </c>
      <c r="AI820" s="37" t="str">
        <f>IF(最佳化斷筋點!J820="","",最佳化斷筋點!J820)</f>
        <v/>
      </c>
      <c r="AJ820" s="37" t="str">
        <f>IF(最佳化斷筋點!K820="","",最佳化斷筋點!K820)</f>
        <v/>
      </c>
      <c r="AK820" s="37" t="str">
        <f>IF(最佳化斷筋點!L820="","",最佳化斷筋點!L820)</f>
        <v/>
      </c>
      <c r="AL820" s="37" t="str">
        <f>IF(最佳化斷筋點!M820="","",最佳化斷筋點!M820)</f>
        <v/>
      </c>
      <c r="AM820" s="37" t="str">
        <f>IF(最佳化斷筋點!N820="","",最佳化斷筋點!N820)</f>
        <v/>
      </c>
      <c r="AN820" s="37" t="str">
        <f>IF(最佳化斷筋點!O820="","",最佳化斷筋點!O820)</f>
        <v/>
      </c>
      <c r="AO820" s="37" t="str">
        <f>IF(最佳化斷筋點!P820="","",最佳化斷筋點!P820)</f>
        <v/>
      </c>
      <c r="AP820" s="37" t="str">
        <f>IF(最佳化斷筋點!Q820="","",最佳化斷筋點!Q820)</f>
        <v/>
      </c>
      <c r="AQ820" s="37" t="str">
        <f>IF(最佳化斷筋點!R820="","",最佳化斷筋點!R820)</f>
        <v/>
      </c>
      <c r="AR820" s="37" t="str">
        <f>IF(最佳化斷筋點!S820="","",最佳化斷筋點!S820)</f>
        <v/>
      </c>
      <c r="AS820" s="37" t="str">
        <f>IF(最佳化斷筋點!T820="","",最佳化斷筋點!T820)</f>
        <v/>
      </c>
      <c r="AT820" s="37" t="str">
        <f>IF(最佳化斷筋點!U820="","",最佳化斷筋點!U820)</f>
        <v/>
      </c>
      <c r="AU820" s="37" t="str">
        <f>IF(最佳化斷筋點!V820="","",最佳化斷筋點!V820)</f>
        <v/>
      </c>
      <c r="AV820" s="37" t="str">
        <f>IF(最佳化斷筋點!W820="","",最佳化斷筋點!W820)</f>
        <v/>
      </c>
      <c r="AW820" s="37" t="str">
        <f>IF(最佳化斷筋點!X820="","",最佳化斷筋點!X820)</f>
        <v/>
      </c>
      <c r="AZ820" s="37" t="s">
        <v>197</v>
      </c>
      <c r="BA820" s="37" t="s">
        <v>197</v>
      </c>
      <c r="BB820" s="37" t="s">
        <v>197</v>
      </c>
      <c r="BC820" s="37" t="s">
        <v>197</v>
      </c>
      <c r="BD820" s="37" t="s">
        <v>197</v>
      </c>
      <c r="BE820" s="37" t="s">
        <v>197</v>
      </c>
      <c r="BF820" s="37" t="s">
        <v>197</v>
      </c>
      <c r="BG820" s="37" t="s">
        <v>197</v>
      </c>
      <c r="BH820" s="37" t="s">
        <v>197</v>
      </c>
      <c r="BI820" s="37" t="s">
        <v>197</v>
      </c>
      <c r="BJ820" s="37" t="s">
        <v>197</v>
      </c>
      <c r="BK820" s="37" t="s">
        <v>197</v>
      </c>
      <c r="BL820" s="37" t="s">
        <v>197</v>
      </c>
      <c r="BM820" s="37" t="s">
        <v>197</v>
      </c>
      <c r="BN820" s="37" t="s">
        <v>197</v>
      </c>
      <c r="BO820" s="37" t="s">
        <v>197</v>
      </c>
      <c r="BP820" s="37" t="s">
        <v>197</v>
      </c>
      <c r="BQ820" s="37" t="s">
        <v>197</v>
      </c>
      <c r="BR820" s="37" t="s">
        <v>197</v>
      </c>
      <c r="BS820" s="37" t="s">
        <v>197</v>
      </c>
      <c r="BT820" s="37" t="s">
        <v>197</v>
      </c>
    </row>
    <row r="821" spans="5:72" x14ac:dyDescent="0.25">
      <c r="E821" s="36" t="s">
        <v>21</v>
      </c>
      <c r="F821" s="36">
        <f t="shared" si="253"/>
        <v>0</v>
      </c>
      <c r="G821" s="36">
        <f t="shared" si="254"/>
        <v>0</v>
      </c>
      <c r="H821" s="36">
        <f t="shared" si="255"/>
        <v>0</v>
      </c>
      <c r="I821" s="36">
        <f t="shared" si="256"/>
        <v>0</v>
      </c>
      <c r="J821" s="36">
        <f t="shared" si="257"/>
        <v>0</v>
      </c>
      <c r="K821" s="36">
        <f t="shared" si="258"/>
        <v>0</v>
      </c>
      <c r="L821" s="36">
        <f t="shared" si="259"/>
        <v>0</v>
      </c>
      <c r="M821" s="36">
        <f t="shared" si="260"/>
        <v>0</v>
      </c>
      <c r="N821" s="36">
        <f t="shared" si="261"/>
        <v>0</v>
      </c>
      <c r="O821" s="36">
        <f t="shared" si="262"/>
        <v>0</v>
      </c>
      <c r="P821" s="36">
        <f t="shared" si="263"/>
        <v>0</v>
      </c>
      <c r="Q821" s="36">
        <f t="shared" si="264"/>
        <v>0</v>
      </c>
      <c r="R821" s="36">
        <f t="shared" si="265"/>
        <v>0</v>
      </c>
      <c r="S821" s="36">
        <f t="shared" si="266"/>
        <v>0</v>
      </c>
      <c r="T821" s="36">
        <f t="shared" si="267"/>
        <v>0</v>
      </c>
      <c r="U821" s="36">
        <f t="shared" si="268"/>
        <v>0</v>
      </c>
      <c r="V821" s="36">
        <f t="shared" si="269"/>
        <v>0</v>
      </c>
      <c r="W821" s="36">
        <f t="shared" si="270"/>
        <v>0</v>
      </c>
      <c r="X821" s="36">
        <f t="shared" si="271"/>
        <v>0</v>
      </c>
      <c r="Y821" s="36">
        <f t="shared" si="272"/>
        <v>0</v>
      </c>
      <c r="Z821" s="36">
        <f t="shared" si="273"/>
        <v>0</v>
      </c>
      <c r="AB821" s="36" t="str">
        <f>IF(最佳化斷筋點!C821="","",最佳化斷筋點!C821)</f>
        <v>下層</v>
      </c>
      <c r="AC821" s="37">
        <f>IF(最佳化斷筋點!D821="","",最佳化斷筋點!D821)</f>
        <v>12</v>
      </c>
      <c r="AD821" s="37">
        <f>IF(最佳化斷筋點!E821="","",最佳化斷筋點!E821)</f>
        <v>12</v>
      </c>
      <c r="AE821" s="37">
        <f>IF(最佳化斷筋點!F821="","",最佳化斷筋點!F821)</f>
        <v>12</v>
      </c>
      <c r="AF821" s="37">
        <f>IF(最佳化斷筋點!G821="","",最佳化斷筋點!G821)</f>
        <v>12</v>
      </c>
      <c r="AG821" s="37">
        <f>IF(最佳化斷筋點!H821="","",最佳化斷筋點!H821)</f>
        <v>11</v>
      </c>
      <c r="AH821" s="37">
        <f>IF(最佳化斷筋點!I821="","",最佳化斷筋點!I821)</f>
        <v>10</v>
      </c>
      <c r="AI821" s="37">
        <f>IF(最佳化斷筋點!J821="","",最佳化斷筋點!J821)</f>
        <v>9</v>
      </c>
      <c r="AJ821" s="37">
        <f>IF(最佳化斷筋點!K821="","",最佳化斷筋點!K821)</f>
        <v>4</v>
      </c>
      <c r="AK821" s="37">
        <f>IF(最佳化斷筋點!L821="","",最佳化斷筋點!L821)</f>
        <v>4</v>
      </c>
      <c r="AL821" s="37">
        <f>IF(最佳化斷筋點!M821="","",最佳化斷筋點!M821)</f>
        <v>4</v>
      </c>
      <c r="AM821" s="37">
        <f>IF(最佳化斷筋點!N821="","",最佳化斷筋點!N821)</f>
        <v>4</v>
      </c>
      <c r="AN821" s="37">
        <f>IF(最佳化斷筋點!O821="","",最佳化斷筋點!O821)</f>
        <v>4</v>
      </c>
      <c r="AO821" s="37">
        <f>IF(最佳化斷筋點!P821="","",最佳化斷筋點!P821)</f>
        <v>4</v>
      </c>
      <c r="AP821" s="37">
        <f>IF(最佳化斷筋點!Q821="","",最佳化斷筋點!Q821)</f>
        <v>8</v>
      </c>
      <c r="AQ821" s="37">
        <f>IF(最佳化斷筋點!R821="","",最佳化斷筋點!R821)</f>
        <v>9</v>
      </c>
      <c r="AR821" s="37">
        <f>IF(最佳化斷筋點!S821="","",最佳化斷筋點!S821)</f>
        <v>11</v>
      </c>
      <c r="AS821" s="37">
        <f>IF(最佳化斷筋點!T821="","",最佳化斷筋點!T821)</f>
        <v>12</v>
      </c>
      <c r="AT821" s="37">
        <f>IF(最佳化斷筋點!U821="","",最佳化斷筋點!U821)</f>
        <v>13</v>
      </c>
      <c r="AU821" s="37">
        <f>IF(最佳化斷筋點!V821="","",最佳化斷筋點!V821)</f>
        <v>13</v>
      </c>
      <c r="AV821" s="37">
        <f>IF(最佳化斷筋點!W821="","",最佳化斷筋點!W821)</f>
        <v>13</v>
      </c>
      <c r="AW821" s="37">
        <f>IF(最佳化斷筋點!X821="","",最佳化斷筋點!X821)</f>
        <v>13</v>
      </c>
      <c r="AZ821" s="37">
        <v>12</v>
      </c>
      <c r="BA821" s="37">
        <v>12</v>
      </c>
      <c r="BB821" s="37">
        <v>12</v>
      </c>
      <c r="BC821" s="37">
        <v>12</v>
      </c>
      <c r="BD821" s="37">
        <v>11</v>
      </c>
      <c r="BE821" s="37">
        <v>10</v>
      </c>
      <c r="BF821" s="37">
        <v>9</v>
      </c>
      <c r="BG821" s="37">
        <v>4</v>
      </c>
      <c r="BH821" s="37">
        <v>4</v>
      </c>
      <c r="BI821" s="37">
        <v>4</v>
      </c>
      <c r="BJ821" s="37">
        <v>4</v>
      </c>
      <c r="BK821" s="37">
        <v>4</v>
      </c>
      <c r="BL821" s="37">
        <v>4</v>
      </c>
      <c r="BM821" s="37">
        <v>8</v>
      </c>
      <c r="BN821" s="37">
        <v>9</v>
      </c>
      <c r="BO821" s="37">
        <v>11</v>
      </c>
      <c r="BP821" s="37">
        <v>12</v>
      </c>
      <c r="BQ821" s="37">
        <v>13</v>
      </c>
      <c r="BR821" s="37">
        <v>13</v>
      </c>
      <c r="BS821" s="37">
        <v>13</v>
      </c>
      <c r="BT821" s="37">
        <v>13</v>
      </c>
    </row>
    <row r="822" spans="5:72" x14ac:dyDescent="0.25">
      <c r="E822" s="36"/>
      <c r="F822" s="36">
        <f t="shared" si="253"/>
        <v>0</v>
      </c>
      <c r="G822" s="36">
        <f t="shared" si="254"/>
        <v>0</v>
      </c>
      <c r="H822" s="36">
        <f t="shared" si="255"/>
        <v>0</v>
      </c>
      <c r="I822" s="36">
        <f t="shared" si="256"/>
        <v>0</v>
      </c>
      <c r="J822" s="36">
        <f t="shared" si="257"/>
        <v>0</v>
      </c>
      <c r="K822" s="36">
        <f t="shared" si="258"/>
        <v>0</v>
      </c>
      <c r="L822" s="36">
        <f t="shared" si="259"/>
        <v>0</v>
      </c>
      <c r="M822" s="36">
        <f t="shared" si="260"/>
        <v>0</v>
      </c>
      <c r="N822" s="36">
        <f t="shared" si="261"/>
        <v>0</v>
      </c>
      <c r="O822" s="36">
        <f t="shared" si="262"/>
        <v>0</v>
      </c>
      <c r="P822" s="36">
        <f t="shared" si="263"/>
        <v>0</v>
      </c>
      <c r="Q822" s="36">
        <f t="shared" si="264"/>
        <v>0</v>
      </c>
      <c r="R822" s="36">
        <f t="shared" si="265"/>
        <v>0</v>
      </c>
      <c r="S822" s="36">
        <f t="shared" si="266"/>
        <v>0</v>
      </c>
      <c r="T822" s="36">
        <f t="shared" si="267"/>
        <v>0</v>
      </c>
      <c r="U822" s="36">
        <f t="shared" si="268"/>
        <v>0</v>
      </c>
      <c r="V822" s="36">
        <f t="shared" si="269"/>
        <v>0</v>
      </c>
      <c r="W822" s="36">
        <f t="shared" si="270"/>
        <v>0</v>
      </c>
      <c r="X822" s="36">
        <f t="shared" si="271"/>
        <v>0</v>
      </c>
      <c r="Y822" s="36">
        <f t="shared" si="272"/>
        <v>0</v>
      </c>
      <c r="Z822" s="36">
        <f t="shared" si="273"/>
        <v>0</v>
      </c>
      <c r="AB822" s="36" t="str">
        <f>IF(最佳化斷筋點!C822="","",最佳化斷筋點!C822)</f>
        <v/>
      </c>
      <c r="AC822" s="37" t="str">
        <f>IF(最佳化斷筋點!D822="","",最佳化斷筋點!D822)</f>
        <v/>
      </c>
      <c r="AD822" s="37" t="str">
        <f>IF(最佳化斷筋點!E822="","",最佳化斷筋點!E822)</f>
        <v/>
      </c>
      <c r="AE822" s="37" t="str">
        <f>IF(最佳化斷筋點!F822="","",最佳化斷筋點!F822)</f>
        <v/>
      </c>
      <c r="AF822" s="37" t="str">
        <f>IF(最佳化斷筋點!G822="","",最佳化斷筋點!G822)</f>
        <v/>
      </c>
      <c r="AG822" s="37" t="str">
        <f>IF(最佳化斷筋點!H822="","",最佳化斷筋點!H822)</f>
        <v/>
      </c>
      <c r="AH822" s="37" t="str">
        <f>IF(最佳化斷筋點!I822="","",最佳化斷筋點!I822)</f>
        <v/>
      </c>
      <c r="AI822" s="37" t="str">
        <f>IF(最佳化斷筋點!J822="","",最佳化斷筋點!J822)</f>
        <v/>
      </c>
      <c r="AJ822" s="37" t="str">
        <f>IF(最佳化斷筋點!K822="","",最佳化斷筋點!K822)</f>
        <v/>
      </c>
      <c r="AK822" s="37" t="str">
        <f>IF(最佳化斷筋點!L822="","",最佳化斷筋點!L822)</f>
        <v/>
      </c>
      <c r="AL822" s="37" t="str">
        <f>IF(最佳化斷筋點!M822="","",最佳化斷筋點!M822)</f>
        <v/>
      </c>
      <c r="AM822" s="37" t="str">
        <f>IF(最佳化斷筋點!N822="","",最佳化斷筋點!N822)</f>
        <v/>
      </c>
      <c r="AN822" s="37" t="str">
        <f>IF(最佳化斷筋點!O822="","",最佳化斷筋點!O822)</f>
        <v/>
      </c>
      <c r="AO822" s="37" t="str">
        <f>IF(最佳化斷筋點!P822="","",最佳化斷筋點!P822)</f>
        <v/>
      </c>
      <c r="AP822" s="37" t="str">
        <f>IF(最佳化斷筋點!Q822="","",最佳化斷筋點!Q822)</f>
        <v/>
      </c>
      <c r="AQ822" s="37" t="str">
        <f>IF(最佳化斷筋點!R822="","",最佳化斷筋點!R822)</f>
        <v/>
      </c>
      <c r="AR822" s="37" t="str">
        <f>IF(最佳化斷筋點!S822="","",最佳化斷筋點!S822)</f>
        <v/>
      </c>
      <c r="AS822" s="37" t="str">
        <f>IF(最佳化斷筋點!T822="","",最佳化斷筋點!T822)</f>
        <v/>
      </c>
      <c r="AT822" s="37" t="str">
        <f>IF(最佳化斷筋點!U822="","",最佳化斷筋點!U822)</f>
        <v/>
      </c>
      <c r="AU822" s="37" t="str">
        <f>IF(最佳化斷筋點!V822="","",最佳化斷筋點!V822)</f>
        <v/>
      </c>
      <c r="AV822" s="37" t="str">
        <f>IF(最佳化斷筋點!W822="","",最佳化斷筋點!W822)</f>
        <v/>
      </c>
      <c r="AW822" s="37" t="str">
        <f>IF(最佳化斷筋點!X822="","",最佳化斷筋點!X822)</f>
        <v/>
      </c>
      <c r="AZ822" s="37" t="s">
        <v>197</v>
      </c>
      <c r="BA822" s="37" t="s">
        <v>197</v>
      </c>
      <c r="BB822" s="37" t="s">
        <v>197</v>
      </c>
      <c r="BC822" s="37" t="s">
        <v>197</v>
      </c>
      <c r="BD822" s="37" t="s">
        <v>197</v>
      </c>
      <c r="BE822" s="37" t="s">
        <v>197</v>
      </c>
      <c r="BF822" s="37" t="s">
        <v>197</v>
      </c>
      <c r="BG822" s="37" t="s">
        <v>197</v>
      </c>
      <c r="BH822" s="37" t="s">
        <v>197</v>
      </c>
      <c r="BI822" s="37" t="s">
        <v>197</v>
      </c>
      <c r="BJ822" s="37" t="s">
        <v>197</v>
      </c>
      <c r="BK822" s="37" t="s">
        <v>197</v>
      </c>
      <c r="BL822" s="37" t="s">
        <v>197</v>
      </c>
      <c r="BM822" s="37" t="s">
        <v>197</v>
      </c>
      <c r="BN822" s="37" t="s">
        <v>197</v>
      </c>
      <c r="BO822" s="37" t="s">
        <v>197</v>
      </c>
      <c r="BP822" s="37" t="s">
        <v>197</v>
      </c>
      <c r="BQ822" s="37" t="s">
        <v>197</v>
      </c>
      <c r="BR822" s="37" t="s">
        <v>197</v>
      </c>
      <c r="BS822" s="37" t="s">
        <v>197</v>
      </c>
      <c r="BT822" s="37" t="s">
        <v>197</v>
      </c>
    </row>
    <row r="823" spans="5:72" x14ac:dyDescent="0.25">
      <c r="E823" s="36" t="s">
        <v>20</v>
      </c>
      <c r="F823" s="36">
        <f t="shared" ref="F823:F886" si="274">IF(AC823=AZ823,0,1)</f>
        <v>0</v>
      </c>
      <c r="G823" s="36">
        <f t="shared" ref="G823:G886" si="275">IF(AD823=BA823,0,1)</f>
        <v>0</v>
      </c>
      <c r="H823" s="36">
        <f t="shared" ref="H823:H886" si="276">IF(AE823=BB823,0,1)</f>
        <v>0</v>
      </c>
      <c r="I823" s="36">
        <f t="shared" ref="I823:I886" si="277">IF(AF823=BC823,0,1)</f>
        <v>0</v>
      </c>
      <c r="J823" s="36">
        <f t="shared" ref="J823:J886" si="278">IF(AG823=BD823,0,1)</f>
        <v>0</v>
      </c>
      <c r="K823" s="36">
        <f t="shared" ref="K823:K886" si="279">IF(AH823=BE823,0,1)</f>
        <v>0</v>
      </c>
      <c r="L823" s="36">
        <f t="shared" ref="L823:L886" si="280">IF(AI823=BF823,0,1)</f>
        <v>0</v>
      </c>
      <c r="M823" s="36">
        <f t="shared" ref="M823:M886" si="281">IF(AJ823=BG823,0,1)</f>
        <v>0</v>
      </c>
      <c r="N823" s="36">
        <f t="shared" ref="N823:N886" si="282">IF(AK823=BH823,0,1)</f>
        <v>0</v>
      </c>
      <c r="O823" s="36">
        <f t="shared" ref="O823:O886" si="283">IF(AL823=BI823,0,1)</f>
        <v>0</v>
      </c>
      <c r="P823" s="36">
        <f t="shared" ref="P823:P886" si="284">IF(AM823=BJ823,0,1)</f>
        <v>0</v>
      </c>
      <c r="Q823" s="36">
        <f t="shared" ref="Q823:Q886" si="285">IF(AN823=BK823,0,1)</f>
        <v>0</v>
      </c>
      <c r="R823" s="36">
        <f t="shared" ref="R823:R886" si="286">IF(AO823=BL823,0,1)</f>
        <v>0</v>
      </c>
      <c r="S823" s="36">
        <f t="shared" ref="S823:S886" si="287">IF(AP823=BM823,0,1)</f>
        <v>0</v>
      </c>
      <c r="T823" s="36">
        <f t="shared" ref="T823:T886" si="288">IF(AQ823=BN823,0,1)</f>
        <v>0</v>
      </c>
      <c r="U823" s="36">
        <f t="shared" ref="U823:U886" si="289">IF(AR823=BO823,0,1)</f>
        <v>0</v>
      </c>
      <c r="V823" s="36">
        <f t="shared" ref="V823:V886" si="290">IF(AS823=BP823,0,1)</f>
        <v>0</v>
      </c>
      <c r="W823" s="36">
        <f t="shared" ref="W823:W886" si="291">IF(AT823=BQ823,0,1)</f>
        <v>0</v>
      </c>
      <c r="X823" s="36">
        <f t="shared" ref="X823:X886" si="292">IF(AU823=BR823,0,1)</f>
        <v>0</v>
      </c>
      <c r="Y823" s="36">
        <f t="shared" ref="Y823:Y886" si="293">IF(AV823=BS823,0,1)</f>
        <v>0</v>
      </c>
      <c r="Z823" s="36">
        <f t="shared" ref="Z823:Z886" si="294">IF(AW823=BT823,0,1)</f>
        <v>0</v>
      </c>
      <c r="AB823" s="36" t="str">
        <f>IF(最佳化斷筋點!C823="","",最佳化斷筋點!C823)</f>
        <v>上層</v>
      </c>
      <c r="AC823" s="37">
        <f>IF(最佳化斷筋點!D823="","",最佳化斷筋點!D823)</f>
        <v>12</v>
      </c>
      <c r="AD823" s="37">
        <f>IF(最佳化斷筋點!E823="","",最佳化斷筋點!E823)</f>
        <v>12</v>
      </c>
      <c r="AE823" s="37">
        <f>IF(最佳化斷筋點!F823="","",最佳化斷筋點!F823)</f>
        <v>12</v>
      </c>
      <c r="AF823" s="37">
        <f>IF(最佳化斷筋點!G823="","",最佳化斷筋點!G823)</f>
        <v>12</v>
      </c>
      <c r="AG823" s="37">
        <f>IF(最佳化斷筋點!H823="","",最佳化斷筋點!H823)</f>
        <v>12</v>
      </c>
      <c r="AH823" s="37">
        <f>IF(最佳化斷筋點!I823="","",最佳化斷筋點!I823)</f>
        <v>12</v>
      </c>
      <c r="AI823" s="37">
        <f>IF(最佳化斷筋點!J823="","",最佳化斷筋點!J823)</f>
        <v>11</v>
      </c>
      <c r="AJ823" s="37">
        <f>IF(最佳化斷筋點!K823="","",最佳化斷筋點!K823)</f>
        <v>4</v>
      </c>
      <c r="AK823" s="37">
        <f>IF(最佳化斷筋點!L823="","",最佳化斷筋點!L823)</f>
        <v>4</v>
      </c>
      <c r="AL823" s="37">
        <f>IF(最佳化斷筋點!M823="","",最佳化斷筋點!M823)</f>
        <v>4</v>
      </c>
      <c r="AM823" s="37">
        <f>IF(最佳化斷筋點!N823="","",最佳化斷筋點!N823)</f>
        <v>4</v>
      </c>
      <c r="AN823" s="37">
        <f>IF(最佳化斷筋點!O823="","",最佳化斷筋點!O823)</f>
        <v>4</v>
      </c>
      <c r="AO823" s="37">
        <f>IF(最佳化斷筋點!P823="","",最佳化斷筋點!P823)</f>
        <v>4</v>
      </c>
      <c r="AP823" s="37">
        <f>IF(最佳化斷筋點!Q823="","",最佳化斷筋點!Q823)</f>
        <v>8</v>
      </c>
      <c r="AQ823" s="37">
        <f>IF(最佳化斷筋點!R823="","",最佳化斷筋點!R823)</f>
        <v>9</v>
      </c>
      <c r="AR823" s="37">
        <f>IF(最佳化斷筋點!S823="","",最佳化斷筋點!S823)</f>
        <v>10</v>
      </c>
      <c r="AS823" s="37">
        <f>IF(最佳化斷筋點!T823="","",最佳化斷筋點!T823)</f>
        <v>10</v>
      </c>
      <c r="AT823" s="37">
        <f>IF(最佳化斷筋點!U823="","",最佳化斷筋點!U823)</f>
        <v>10</v>
      </c>
      <c r="AU823" s="37">
        <f>IF(最佳化斷筋點!V823="","",最佳化斷筋點!V823)</f>
        <v>10</v>
      </c>
      <c r="AV823" s="37">
        <f>IF(最佳化斷筋點!W823="","",最佳化斷筋點!W823)</f>
        <v>10</v>
      </c>
      <c r="AW823" s="37">
        <f>IF(最佳化斷筋點!X823="","",最佳化斷筋點!X823)</f>
        <v>10</v>
      </c>
      <c r="AZ823" s="37">
        <v>12</v>
      </c>
      <c r="BA823" s="37">
        <v>12</v>
      </c>
      <c r="BB823" s="37">
        <v>12</v>
      </c>
      <c r="BC823" s="37">
        <v>12</v>
      </c>
      <c r="BD823" s="37">
        <v>12</v>
      </c>
      <c r="BE823" s="37">
        <v>12</v>
      </c>
      <c r="BF823" s="37">
        <v>11</v>
      </c>
      <c r="BG823" s="37">
        <v>4</v>
      </c>
      <c r="BH823" s="37">
        <v>4</v>
      </c>
      <c r="BI823" s="37">
        <v>4</v>
      </c>
      <c r="BJ823" s="37">
        <v>4</v>
      </c>
      <c r="BK823" s="37">
        <v>4</v>
      </c>
      <c r="BL823" s="37">
        <v>4</v>
      </c>
      <c r="BM823" s="37">
        <v>8</v>
      </c>
      <c r="BN823" s="37">
        <v>9</v>
      </c>
      <c r="BO823" s="37">
        <v>10</v>
      </c>
      <c r="BP823" s="37">
        <v>10</v>
      </c>
      <c r="BQ823" s="37">
        <v>10</v>
      </c>
      <c r="BR823" s="37">
        <v>10</v>
      </c>
      <c r="BS823" s="37">
        <v>10</v>
      </c>
      <c r="BT823" s="37">
        <v>10</v>
      </c>
    </row>
    <row r="824" spans="5:72" x14ac:dyDescent="0.25">
      <c r="E824" s="36"/>
      <c r="F824" s="36">
        <f t="shared" si="274"/>
        <v>0</v>
      </c>
      <c r="G824" s="36">
        <f t="shared" si="275"/>
        <v>0</v>
      </c>
      <c r="H824" s="36">
        <f t="shared" si="276"/>
        <v>0</v>
      </c>
      <c r="I824" s="36">
        <f t="shared" si="277"/>
        <v>0</v>
      </c>
      <c r="J824" s="36">
        <f t="shared" si="278"/>
        <v>0</v>
      </c>
      <c r="K824" s="36">
        <f t="shared" si="279"/>
        <v>0</v>
      </c>
      <c r="L824" s="36">
        <f t="shared" si="280"/>
        <v>0</v>
      </c>
      <c r="M824" s="36">
        <f t="shared" si="281"/>
        <v>0</v>
      </c>
      <c r="N824" s="36">
        <f t="shared" si="282"/>
        <v>0</v>
      </c>
      <c r="O824" s="36">
        <f t="shared" si="283"/>
        <v>0</v>
      </c>
      <c r="P824" s="36">
        <f t="shared" si="284"/>
        <v>0</v>
      </c>
      <c r="Q824" s="36">
        <f t="shared" si="285"/>
        <v>0</v>
      </c>
      <c r="R824" s="36">
        <f t="shared" si="286"/>
        <v>0</v>
      </c>
      <c r="S824" s="36">
        <f t="shared" si="287"/>
        <v>0</v>
      </c>
      <c r="T824" s="36">
        <f t="shared" si="288"/>
        <v>0</v>
      </c>
      <c r="U824" s="36">
        <f t="shared" si="289"/>
        <v>0</v>
      </c>
      <c r="V824" s="36">
        <f t="shared" si="290"/>
        <v>0</v>
      </c>
      <c r="W824" s="36">
        <f t="shared" si="291"/>
        <v>0</v>
      </c>
      <c r="X824" s="36">
        <f t="shared" si="292"/>
        <v>0</v>
      </c>
      <c r="Y824" s="36">
        <f t="shared" si="293"/>
        <v>0</v>
      </c>
      <c r="Z824" s="36">
        <f t="shared" si="294"/>
        <v>0</v>
      </c>
      <c r="AB824" s="36" t="str">
        <f>IF(最佳化斷筋點!C824="","",最佳化斷筋點!C824)</f>
        <v/>
      </c>
      <c r="AC824" s="37" t="str">
        <f>IF(最佳化斷筋點!D824="","",最佳化斷筋點!D824)</f>
        <v/>
      </c>
      <c r="AD824" s="37" t="str">
        <f>IF(最佳化斷筋點!E824="","",最佳化斷筋點!E824)</f>
        <v/>
      </c>
      <c r="AE824" s="37" t="str">
        <f>IF(最佳化斷筋點!F824="","",最佳化斷筋點!F824)</f>
        <v/>
      </c>
      <c r="AF824" s="37" t="str">
        <f>IF(最佳化斷筋點!G824="","",最佳化斷筋點!G824)</f>
        <v/>
      </c>
      <c r="AG824" s="37" t="str">
        <f>IF(最佳化斷筋點!H824="","",最佳化斷筋點!H824)</f>
        <v/>
      </c>
      <c r="AH824" s="37" t="str">
        <f>IF(最佳化斷筋點!I824="","",最佳化斷筋點!I824)</f>
        <v/>
      </c>
      <c r="AI824" s="37" t="str">
        <f>IF(最佳化斷筋點!J824="","",最佳化斷筋點!J824)</f>
        <v/>
      </c>
      <c r="AJ824" s="37" t="str">
        <f>IF(最佳化斷筋點!K824="","",最佳化斷筋點!K824)</f>
        <v/>
      </c>
      <c r="AK824" s="37" t="str">
        <f>IF(最佳化斷筋點!L824="","",最佳化斷筋點!L824)</f>
        <v/>
      </c>
      <c r="AL824" s="37" t="str">
        <f>IF(最佳化斷筋點!M824="","",最佳化斷筋點!M824)</f>
        <v/>
      </c>
      <c r="AM824" s="37" t="str">
        <f>IF(最佳化斷筋點!N824="","",最佳化斷筋點!N824)</f>
        <v/>
      </c>
      <c r="AN824" s="37" t="str">
        <f>IF(最佳化斷筋點!O824="","",最佳化斷筋點!O824)</f>
        <v/>
      </c>
      <c r="AO824" s="37" t="str">
        <f>IF(最佳化斷筋點!P824="","",最佳化斷筋點!P824)</f>
        <v/>
      </c>
      <c r="AP824" s="37" t="str">
        <f>IF(最佳化斷筋點!Q824="","",最佳化斷筋點!Q824)</f>
        <v/>
      </c>
      <c r="AQ824" s="37" t="str">
        <f>IF(最佳化斷筋點!R824="","",最佳化斷筋點!R824)</f>
        <v/>
      </c>
      <c r="AR824" s="37" t="str">
        <f>IF(最佳化斷筋點!S824="","",最佳化斷筋點!S824)</f>
        <v/>
      </c>
      <c r="AS824" s="37" t="str">
        <f>IF(最佳化斷筋點!T824="","",最佳化斷筋點!T824)</f>
        <v/>
      </c>
      <c r="AT824" s="37" t="str">
        <f>IF(最佳化斷筋點!U824="","",最佳化斷筋點!U824)</f>
        <v/>
      </c>
      <c r="AU824" s="37" t="str">
        <f>IF(最佳化斷筋點!V824="","",最佳化斷筋點!V824)</f>
        <v/>
      </c>
      <c r="AV824" s="37" t="str">
        <f>IF(最佳化斷筋點!W824="","",最佳化斷筋點!W824)</f>
        <v/>
      </c>
      <c r="AW824" s="37" t="str">
        <f>IF(最佳化斷筋點!X824="","",最佳化斷筋點!X824)</f>
        <v/>
      </c>
      <c r="AZ824" s="37" t="s">
        <v>197</v>
      </c>
      <c r="BA824" s="37" t="s">
        <v>197</v>
      </c>
      <c r="BB824" s="37" t="s">
        <v>197</v>
      </c>
      <c r="BC824" s="37" t="s">
        <v>197</v>
      </c>
      <c r="BD824" s="37" t="s">
        <v>197</v>
      </c>
      <c r="BE824" s="37" t="s">
        <v>197</v>
      </c>
      <c r="BF824" s="37" t="s">
        <v>197</v>
      </c>
      <c r="BG824" s="37" t="s">
        <v>197</v>
      </c>
      <c r="BH824" s="37" t="s">
        <v>197</v>
      </c>
      <c r="BI824" s="37" t="s">
        <v>197</v>
      </c>
      <c r="BJ824" s="37" t="s">
        <v>197</v>
      </c>
      <c r="BK824" s="37" t="s">
        <v>197</v>
      </c>
      <c r="BL824" s="37" t="s">
        <v>197</v>
      </c>
      <c r="BM824" s="37" t="s">
        <v>197</v>
      </c>
      <c r="BN824" s="37" t="s">
        <v>197</v>
      </c>
      <c r="BO824" s="37" t="s">
        <v>197</v>
      </c>
      <c r="BP824" s="37" t="s">
        <v>197</v>
      </c>
      <c r="BQ824" s="37" t="s">
        <v>197</v>
      </c>
      <c r="BR824" s="37" t="s">
        <v>197</v>
      </c>
      <c r="BS824" s="37" t="s">
        <v>197</v>
      </c>
      <c r="BT824" s="37" t="s">
        <v>197</v>
      </c>
    </row>
    <row r="825" spans="5:72" x14ac:dyDescent="0.25">
      <c r="E825" s="36" t="s">
        <v>21</v>
      </c>
      <c r="F825" s="36">
        <f t="shared" si="274"/>
        <v>0</v>
      </c>
      <c r="G825" s="36">
        <f t="shared" si="275"/>
        <v>0</v>
      </c>
      <c r="H825" s="36">
        <f t="shared" si="276"/>
        <v>0</v>
      </c>
      <c r="I825" s="36">
        <f t="shared" si="277"/>
        <v>0</v>
      </c>
      <c r="J825" s="36">
        <f t="shared" si="278"/>
        <v>0</v>
      </c>
      <c r="K825" s="36">
        <f t="shared" si="279"/>
        <v>0</v>
      </c>
      <c r="L825" s="36">
        <f t="shared" si="280"/>
        <v>0</v>
      </c>
      <c r="M825" s="36">
        <f t="shared" si="281"/>
        <v>0</v>
      </c>
      <c r="N825" s="36">
        <f t="shared" si="282"/>
        <v>0</v>
      </c>
      <c r="O825" s="36">
        <f t="shared" si="283"/>
        <v>0</v>
      </c>
      <c r="P825" s="36">
        <f t="shared" si="284"/>
        <v>0</v>
      </c>
      <c r="Q825" s="36">
        <f t="shared" si="285"/>
        <v>0</v>
      </c>
      <c r="R825" s="36">
        <f t="shared" si="286"/>
        <v>0</v>
      </c>
      <c r="S825" s="36">
        <f t="shared" si="287"/>
        <v>0</v>
      </c>
      <c r="T825" s="36">
        <f t="shared" si="288"/>
        <v>0</v>
      </c>
      <c r="U825" s="36">
        <f t="shared" si="289"/>
        <v>0</v>
      </c>
      <c r="V825" s="36">
        <f t="shared" si="290"/>
        <v>0</v>
      </c>
      <c r="W825" s="36">
        <f t="shared" si="291"/>
        <v>0</v>
      </c>
      <c r="X825" s="36">
        <f t="shared" si="292"/>
        <v>0</v>
      </c>
      <c r="Y825" s="36">
        <f t="shared" si="293"/>
        <v>0</v>
      </c>
      <c r="Z825" s="36">
        <f t="shared" si="294"/>
        <v>0</v>
      </c>
      <c r="AB825" s="36" t="str">
        <f>IF(最佳化斷筋點!C825="","",最佳化斷筋點!C825)</f>
        <v>下層</v>
      </c>
      <c r="AC825" s="37">
        <f>IF(最佳化斷筋點!D825="","",最佳化斷筋點!D825)</f>
        <v>16</v>
      </c>
      <c r="AD825" s="37">
        <f>IF(最佳化斷筋點!E825="","",最佳化斷筋點!E825)</f>
        <v>16</v>
      </c>
      <c r="AE825" s="37">
        <f>IF(最佳化斷筋點!F825="","",最佳化斷筋點!F825)</f>
        <v>16</v>
      </c>
      <c r="AF825" s="37">
        <f>IF(最佳化斷筋點!G825="","",最佳化斷筋點!G825)</f>
        <v>16</v>
      </c>
      <c r="AG825" s="37">
        <f>IF(最佳化斷筋點!H825="","",最佳化斷筋點!H825)</f>
        <v>15</v>
      </c>
      <c r="AH825" s="37">
        <f>IF(最佳化斷筋點!I825="","",最佳化斷筋點!I825)</f>
        <v>14</v>
      </c>
      <c r="AI825" s="37">
        <f>IF(最佳化斷筋點!J825="","",最佳化斷筋點!J825)</f>
        <v>12</v>
      </c>
      <c r="AJ825" s="37">
        <f>IF(最佳化斷筋點!K825="","",最佳化斷筋點!K825)</f>
        <v>5</v>
      </c>
      <c r="AK825" s="37">
        <f>IF(最佳化斷筋點!L825="","",最佳化斷筋點!L825)</f>
        <v>5</v>
      </c>
      <c r="AL825" s="37">
        <f>IF(最佳化斷筋點!M825="","",最佳化斷筋點!M825)</f>
        <v>5</v>
      </c>
      <c r="AM825" s="37">
        <f>IF(最佳化斷筋點!N825="","",最佳化斷筋點!N825)</f>
        <v>5</v>
      </c>
      <c r="AN825" s="37">
        <f>IF(最佳化斷筋點!O825="","",最佳化斷筋點!O825)</f>
        <v>5</v>
      </c>
      <c r="AO825" s="37">
        <f>IF(最佳化斷筋點!P825="","",最佳化斷筋點!P825)</f>
        <v>5</v>
      </c>
      <c r="AP825" s="37">
        <f>IF(最佳化斷筋點!Q825="","",最佳化斷筋點!Q825)</f>
        <v>9</v>
      </c>
      <c r="AQ825" s="37">
        <f>IF(最佳化斷筋點!R825="","",最佳化斷筋點!R825)</f>
        <v>11</v>
      </c>
      <c r="AR825" s="37">
        <f>IF(最佳化斷筋點!S825="","",最佳化斷筋點!S825)</f>
        <v>12</v>
      </c>
      <c r="AS825" s="37">
        <f>IF(最佳化斷筋點!T825="","",最佳化斷筋點!T825)</f>
        <v>14</v>
      </c>
      <c r="AT825" s="37">
        <f>IF(最佳化斷筋點!U825="","",最佳化斷筋點!U825)</f>
        <v>15</v>
      </c>
      <c r="AU825" s="37">
        <f>IF(最佳化斷筋點!V825="","",最佳化斷筋點!V825)</f>
        <v>15</v>
      </c>
      <c r="AV825" s="37">
        <f>IF(最佳化斷筋點!W825="","",最佳化斷筋點!W825)</f>
        <v>15</v>
      </c>
      <c r="AW825" s="37">
        <f>IF(最佳化斷筋點!X825="","",最佳化斷筋點!X825)</f>
        <v>15</v>
      </c>
      <c r="AZ825" s="37">
        <v>16</v>
      </c>
      <c r="BA825" s="37">
        <v>16</v>
      </c>
      <c r="BB825" s="37">
        <v>16</v>
      </c>
      <c r="BC825" s="37">
        <v>16</v>
      </c>
      <c r="BD825" s="37">
        <v>15</v>
      </c>
      <c r="BE825" s="37">
        <v>14</v>
      </c>
      <c r="BF825" s="37">
        <v>12</v>
      </c>
      <c r="BG825" s="37">
        <v>5</v>
      </c>
      <c r="BH825" s="37">
        <v>5</v>
      </c>
      <c r="BI825" s="37">
        <v>5</v>
      </c>
      <c r="BJ825" s="37">
        <v>5</v>
      </c>
      <c r="BK825" s="37">
        <v>5</v>
      </c>
      <c r="BL825" s="37">
        <v>5</v>
      </c>
      <c r="BM825" s="37">
        <v>9</v>
      </c>
      <c r="BN825" s="37">
        <v>11</v>
      </c>
      <c r="BO825" s="37">
        <v>12</v>
      </c>
      <c r="BP825" s="37">
        <v>14</v>
      </c>
      <c r="BQ825" s="37">
        <v>15</v>
      </c>
      <c r="BR825" s="37">
        <v>15</v>
      </c>
      <c r="BS825" s="37">
        <v>15</v>
      </c>
      <c r="BT825" s="37">
        <v>15</v>
      </c>
    </row>
    <row r="826" spans="5:72" x14ac:dyDescent="0.25">
      <c r="E826" s="36"/>
      <c r="F826" s="36">
        <f t="shared" si="274"/>
        <v>0</v>
      </c>
      <c r="G826" s="36">
        <f t="shared" si="275"/>
        <v>0</v>
      </c>
      <c r="H826" s="36">
        <f t="shared" si="276"/>
        <v>0</v>
      </c>
      <c r="I826" s="36">
        <f t="shared" si="277"/>
        <v>0</v>
      </c>
      <c r="J826" s="36">
        <f t="shared" si="278"/>
        <v>0</v>
      </c>
      <c r="K826" s="36">
        <f t="shared" si="279"/>
        <v>0</v>
      </c>
      <c r="L826" s="36">
        <f t="shared" si="280"/>
        <v>0</v>
      </c>
      <c r="M826" s="36">
        <f t="shared" si="281"/>
        <v>0</v>
      </c>
      <c r="N826" s="36">
        <f t="shared" si="282"/>
        <v>0</v>
      </c>
      <c r="O826" s="36">
        <f t="shared" si="283"/>
        <v>0</v>
      </c>
      <c r="P826" s="36">
        <f t="shared" si="284"/>
        <v>0</v>
      </c>
      <c r="Q826" s="36">
        <f t="shared" si="285"/>
        <v>0</v>
      </c>
      <c r="R826" s="36">
        <f t="shared" si="286"/>
        <v>0</v>
      </c>
      <c r="S826" s="36">
        <f t="shared" si="287"/>
        <v>0</v>
      </c>
      <c r="T826" s="36">
        <f t="shared" si="288"/>
        <v>0</v>
      </c>
      <c r="U826" s="36">
        <f t="shared" si="289"/>
        <v>0</v>
      </c>
      <c r="V826" s="36">
        <f t="shared" si="290"/>
        <v>0</v>
      </c>
      <c r="W826" s="36">
        <f t="shared" si="291"/>
        <v>0</v>
      </c>
      <c r="X826" s="36">
        <f t="shared" si="292"/>
        <v>0</v>
      </c>
      <c r="Y826" s="36">
        <f t="shared" si="293"/>
        <v>0</v>
      </c>
      <c r="Z826" s="36">
        <f t="shared" si="294"/>
        <v>0</v>
      </c>
      <c r="AB826" s="36" t="str">
        <f>IF(最佳化斷筋點!C826="","",最佳化斷筋點!C826)</f>
        <v/>
      </c>
      <c r="AC826" s="37" t="str">
        <f>IF(最佳化斷筋點!D826="","",最佳化斷筋點!D826)</f>
        <v/>
      </c>
      <c r="AD826" s="37" t="str">
        <f>IF(最佳化斷筋點!E826="","",最佳化斷筋點!E826)</f>
        <v/>
      </c>
      <c r="AE826" s="37" t="str">
        <f>IF(最佳化斷筋點!F826="","",最佳化斷筋點!F826)</f>
        <v/>
      </c>
      <c r="AF826" s="37" t="str">
        <f>IF(最佳化斷筋點!G826="","",最佳化斷筋點!G826)</f>
        <v/>
      </c>
      <c r="AG826" s="37" t="str">
        <f>IF(最佳化斷筋點!H826="","",最佳化斷筋點!H826)</f>
        <v/>
      </c>
      <c r="AH826" s="37" t="str">
        <f>IF(最佳化斷筋點!I826="","",最佳化斷筋點!I826)</f>
        <v/>
      </c>
      <c r="AI826" s="37" t="str">
        <f>IF(最佳化斷筋點!J826="","",最佳化斷筋點!J826)</f>
        <v/>
      </c>
      <c r="AJ826" s="37" t="str">
        <f>IF(最佳化斷筋點!K826="","",最佳化斷筋點!K826)</f>
        <v/>
      </c>
      <c r="AK826" s="37" t="str">
        <f>IF(最佳化斷筋點!L826="","",最佳化斷筋點!L826)</f>
        <v/>
      </c>
      <c r="AL826" s="37" t="str">
        <f>IF(最佳化斷筋點!M826="","",最佳化斷筋點!M826)</f>
        <v/>
      </c>
      <c r="AM826" s="37" t="str">
        <f>IF(最佳化斷筋點!N826="","",最佳化斷筋點!N826)</f>
        <v/>
      </c>
      <c r="AN826" s="37" t="str">
        <f>IF(最佳化斷筋點!O826="","",最佳化斷筋點!O826)</f>
        <v/>
      </c>
      <c r="AO826" s="37" t="str">
        <f>IF(最佳化斷筋點!P826="","",最佳化斷筋點!P826)</f>
        <v/>
      </c>
      <c r="AP826" s="37" t="str">
        <f>IF(最佳化斷筋點!Q826="","",最佳化斷筋點!Q826)</f>
        <v/>
      </c>
      <c r="AQ826" s="37" t="str">
        <f>IF(最佳化斷筋點!R826="","",最佳化斷筋點!R826)</f>
        <v/>
      </c>
      <c r="AR826" s="37" t="str">
        <f>IF(最佳化斷筋點!S826="","",最佳化斷筋點!S826)</f>
        <v/>
      </c>
      <c r="AS826" s="37" t="str">
        <f>IF(最佳化斷筋點!T826="","",最佳化斷筋點!T826)</f>
        <v/>
      </c>
      <c r="AT826" s="37" t="str">
        <f>IF(最佳化斷筋點!U826="","",最佳化斷筋點!U826)</f>
        <v/>
      </c>
      <c r="AU826" s="37" t="str">
        <f>IF(最佳化斷筋點!V826="","",最佳化斷筋點!V826)</f>
        <v/>
      </c>
      <c r="AV826" s="37" t="str">
        <f>IF(最佳化斷筋點!W826="","",最佳化斷筋點!W826)</f>
        <v/>
      </c>
      <c r="AW826" s="37" t="str">
        <f>IF(最佳化斷筋點!X826="","",最佳化斷筋點!X826)</f>
        <v/>
      </c>
      <c r="AZ826" s="37" t="s">
        <v>197</v>
      </c>
      <c r="BA826" s="37" t="s">
        <v>197</v>
      </c>
      <c r="BB826" s="37" t="s">
        <v>197</v>
      </c>
      <c r="BC826" s="37" t="s">
        <v>197</v>
      </c>
      <c r="BD826" s="37" t="s">
        <v>197</v>
      </c>
      <c r="BE826" s="37" t="s">
        <v>197</v>
      </c>
      <c r="BF826" s="37" t="s">
        <v>197</v>
      </c>
      <c r="BG826" s="37" t="s">
        <v>197</v>
      </c>
      <c r="BH826" s="37" t="s">
        <v>197</v>
      </c>
      <c r="BI826" s="37" t="s">
        <v>197</v>
      </c>
      <c r="BJ826" s="37" t="s">
        <v>197</v>
      </c>
      <c r="BK826" s="37" t="s">
        <v>197</v>
      </c>
      <c r="BL826" s="37" t="s">
        <v>197</v>
      </c>
      <c r="BM826" s="37" t="s">
        <v>197</v>
      </c>
      <c r="BN826" s="37" t="s">
        <v>197</v>
      </c>
      <c r="BO826" s="37" t="s">
        <v>197</v>
      </c>
      <c r="BP826" s="37" t="s">
        <v>197</v>
      </c>
      <c r="BQ826" s="37" t="s">
        <v>197</v>
      </c>
      <c r="BR826" s="37" t="s">
        <v>197</v>
      </c>
      <c r="BS826" s="37" t="s">
        <v>197</v>
      </c>
      <c r="BT826" s="37" t="s">
        <v>197</v>
      </c>
    </row>
    <row r="827" spans="5:72" x14ac:dyDescent="0.25">
      <c r="E827" s="36" t="s">
        <v>20</v>
      </c>
      <c r="F827" s="36">
        <f t="shared" si="274"/>
        <v>0</v>
      </c>
      <c r="G827" s="36">
        <f t="shared" si="275"/>
        <v>0</v>
      </c>
      <c r="H827" s="36">
        <f t="shared" si="276"/>
        <v>0</v>
      </c>
      <c r="I827" s="36">
        <f t="shared" si="277"/>
        <v>0</v>
      </c>
      <c r="J827" s="36">
        <f t="shared" si="278"/>
        <v>0</v>
      </c>
      <c r="K827" s="36">
        <f t="shared" si="279"/>
        <v>0</v>
      </c>
      <c r="L827" s="36">
        <f t="shared" si="280"/>
        <v>0</v>
      </c>
      <c r="M827" s="36">
        <f t="shared" si="281"/>
        <v>0</v>
      </c>
      <c r="N827" s="36">
        <f t="shared" si="282"/>
        <v>0</v>
      </c>
      <c r="O827" s="36">
        <f t="shared" si="283"/>
        <v>0</v>
      </c>
      <c r="P827" s="36">
        <f t="shared" si="284"/>
        <v>0</v>
      </c>
      <c r="Q827" s="36">
        <f t="shared" si="285"/>
        <v>0</v>
      </c>
      <c r="R827" s="36">
        <f t="shared" si="286"/>
        <v>0</v>
      </c>
      <c r="S827" s="36">
        <f t="shared" si="287"/>
        <v>0</v>
      </c>
      <c r="T827" s="36">
        <f t="shared" si="288"/>
        <v>0</v>
      </c>
      <c r="U827" s="36">
        <f t="shared" si="289"/>
        <v>0</v>
      </c>
      <c r="V827" s="36">
        <f t="shared" si="290"/>
        <v>0</v>
      </c>
      <c r="W827" s="36">
        <f t="shared" si="291"/>
        <v>0</v>
      </c>
      <c r="X827" s="36">
        <f t="shared" si="292"/>
        <v>0</v>
      </c>
      <c r="Y827" s="36">
        <f t="shared" si="293"/>
        <v>0</v>
      </c>
      <c r="Z827" s="36">
        <f t="shared" si="294"/>
        <v>0</v>
      </c>
      <c r="AB827" s="36" t="str">
        <f>IF(最佳化斷筋點!C827="","",最佳化斷筋點!C827)</f>
        <v>上層</v>
      </c>
      <c r="AC827" s="37">
        <f>IF(最佳化斷筋點!D827="","",最佳化斷筋點!D827)</f>
        <v>9</v>
      </c>
      <c r="AD827" s="37">
        <f>IF(最佳化斷筋點!E827="","",最佳化斷筋點!E827)</f>
        <v>9</v>
      </c>
      <c r="AE827" s="37">
        <f>IF(最佳化斷筋點!F827="","",最佳化斷筋點!F827)</f>
        <v>9</v>
      </c>
      <c r="AF827" s="37">
        <f>IF(最佳化斷筋點!G827="","",最佳化斷筋點!G827)</f>
        <v>9</v>
      </c>
      <c r="AG827" s="37">
        <f>IF(最佳化斷筋點!H827="","",最佳化斷筋點!H827)</f>
        <v>9</v>
      </c>
      <c r="AH827" s="37">
        <f>IF(最佳化斷筋點!I827="","",最佳化斷筋點!I827)</f>
        <v>9</v>
      </c>
      <c r="AI827" s="37">
        <f>IF(最佳化斷筋點!J827="","",最佳化斷筋點!J827)</f>
        <v>9</v>
      </c>
      <c r="AJ827" s="37">
        <f>IF(最佳化斷筋點!K827="","",最佳化斷筋點!K827)</f>
        <v>3</v>
      </c>
      <c r="AK827" s="37">
        <f>IF(最佳化斷筋點!L827="","",最佳化斷筋點!L827)</f>
        <v>3</v>
      </c>
      <c r="AL827" s="37">
        <f>IF(最佳化斷筋點!M827="","",最佳化斷筋點!M827)</f>
        <v>3</v>
      </c>
      <c r="AM827" s="37">
        <f>IF(最佳化斷筋點!N827="","",最佳化斷筋點!N827)</f>
        <v>3</v>
      </c>
      <c r="AN827" s="37">
        <f>IF(最佳化斷筋點!O827="","",最佳化斷筋點!O827)</f>
        <v>3</v>
      </c>
      <c r="AO827" s="37">
        <f>IF(最佳化斷筋點!P827="","",最佳化斷筋點!P827)</f>
        <v>3</v>
      </c>
      <c r="AP827" s="37">
        <f>IF(最佳化斷筋點!Q827="","",最佳化斷筋點!Q827)</f>
        <v>6</v>
      </c>
      <c r="AQ827" s="37">
        <f>IF(最佳化斷筋點!R827="","",最佳化斷筋點!R827)</f>
        <v>6</v>
      </c>
      <c r="AR827" s="37">
        <f>IF(最佳化斷筋點!S827="","",最佳化斷筋點!S827)</f>
        <v>7</v>
      </c>
      <c r="AS827" s="37">
        <f>IF(最佳化斷筋點!T827="","",最佳化斷筋點!T827)</f>
        <v>7</v>
      </c>
      <c r="AT827" s="37">
        <f>IF(最佳化斷筋點!U827="","",最佳化斷筋點!U827)</f>
        <v>7</v>
      </c>
      <c r="AU827" s="37">
        <f>IF(最佳化斷筋點!V827="","",最佳化斷筋點!V827)</f>
        <v>7</v>
      </c>
      <c r="AV827" s="37">
        <f>IF(最佳化斷筋點!W827="","",最佳化斷筋點!W827)</f>
        <v>7</v>
      </c>
      <c r="AW827" s="37">
        <f>IF(最佳化斷筋點!X827="","",最佳化斷筋點!X827)</f>
        <v>7</v>
      </c>
      <c r="AZ827" s="37">
        <v>9</v>
      </c>
      <c r="BA827" s="37">
        <v>9</v>
      </c>
      <c r="BB827" s="37">
        <v>9</v>
      </c>
      <c r="BC827" s="37">
        <v>9</v>
      </c>
      <c r="BD827" s="37">
        <v>9</v>
      </c>
      <c r="BE827" s="37">
        <v>9</v>
      </c>
      <c r="BF827" s="37">
        <v>9</v>
      </c>
      <c r="BG827" s="37">
        <v>3</v>
      </c>
      <c r="BH827" s="37">
        <v>3</v>
      </c>
      <c r="BI827" s="37">
        <v>3</v>
      </c>
      <c r="BJ827" s="37">
        <v>3</v>
      </c>
      <c r="BK827" s="37">
        <v>3</v>
      </c>
      <c r="BL827" s="37">
        <v>3</v>
      </c>
      <c r="BM827" s="37">
        <v>6</v>
      </c>
      <c r="BN827" s="37">
        <v>6</v>
      </c>
      <c r="BO827" s="37">
        <v>7</v>
      </c>
      <c r="BP827" s="37">
        <v>7</v>
      </c>
      <c r="BQ827" s="37">
        <v>7</v>
      </c>
      <c r="BR827" s="37">
        <v>7</v>
      </c>
      <c r="BS827" s="37">
        <v>7</v>
      </c>
      <c r="BT827" s="37">
        <v>7</v>
      </c>
    </row>
    <row r="828" spans="5:72" x14ac:dyDescent="0.25">
      <c r="E828" s="36"/>
      <c r="F828" s="36">
        <f t="shared" si="274"/>
        <v>0</v>
      </c>
      <c r="G828" s="36">
        <f t="shared" si="275"/>
        <v>0</v>
      </c>
      <c r="H828" s="36">
        <f t="shared" si="276"/>
        <v>0</v>
      </c>
      <c r="I828" s="36">
        <f t="shared" si="277"/>
        <v>0</v>
      </c>
      <c r="J828" s="36">
        <f t="shared" si="278"/>
        <v>0</v>
      </c>
      <c r="K828" s="36">
        <f t="shared" si="279"/>
        <v>0</v>
      </c>
      <c r="L828" s="36">
        <f t="shared" si="280"/>
        <v>0</v>
      </c>
      <c r="M828" s="36">
        <f t="shared" si="281"/>
        <v>0</v>
      </c>
      <c r="N828" s="36">
        <f t="shared" si="282"/>
        <v>0</v>
      </c>
      <c r="O828" s="36">
        <f t="shared" si="283"/>
        <v>0</v>
      </c>
      <c r="P828" s="36">
        <f t="shared" si="284"/>
        <v>0</v>
      </c>
      <c r="Q828" s="36">
        <f t="shared" si="285"/>
        <v>0</v>
      </c>
      <c r="R828" s="36">
        <f t="shared" si="286"/>
        <v>0</v>
      </c>
      <c r="S828" s="36">
        <f t="shared" si="287"/>
        <v>0</v>
      </c>
      <c r="T828" s="36">
        <f t="shared" si="288"/>
        <v>0</v>
      </c>
      <c r="U828" s="36">
        <f t="shared" si="289"/>
        <v>0</v>
      </c>
      <c r="V828" s="36">
        <f t="shared" si="290"/>
        <v>0</v>
      </c>
      <c r="W828" s="36">
        <f t="shared" si="291"/>
        <v>0</v>
      </c>
      <c r="X828" s="36">
        <f t="shared" si="292"/>
        <v>0</v>
      </c>
      <c r="Y828" s="36">
        <f t="shared" si="293"/>
        <v>0</v>
      </c>
      <c r="Z828" s="36">
        <f t="shared" si="294"/>
        <v>0</v>
      </c>
      <c r="AB828" s="36" t="str">
        <f>IF(最佳化斷筋點!C828="","",最佳化斷筋點!C828)</f>
        <v/>
      </c>
      <c r="AC828" s="37" t="str">
        <f>IF(最佳化斷筋點!D828="","",最佳化斷筋點!D828)</f>
        <v/>
      </c>
      <c r="AD828" s="37" t="str">
        <f>IF(最佳化斷筋點!E828="","",最佳化斷筋點!E828)</f>
        <v/>
      </c>
      <c r="AE828" s="37" t="str">
        <f>IF(最佳化斷筋點!F828="","",最佳化斷筋點!F828)</f>
        <v/>
      </c>
      <c r="AF828" s="37" t="str">
        <f>IF(最佳化斷筋點!G828="","",最佳化斷筋點!G828)</f>
        <v/>
      </c>
      <c r="AG828" s="37" t="str">
        <f>IF(最佳化斷筋點!H828="","",最佳化斷筋點!H828)</f>
        <v/>
      </c>
      <c r="AH828" s="37" t="str">
        <f>IF(最佳化斷筋點!I828="","",最佳化斷筋點!I828)</f>
        <v/>
      </c>
      <c r="AI828" s="37" t="str">
        <f>IF(最佳化斷筋點!J828="","",最佳化斷筋點!J828)</f>
        <v/>
      </c>
      <c r="AJ828" s="37" t="str">
        <f>IF(最佳化斷筋點!K828="","",最佳化斷筋點!K828)</f>
        <v/>
      </c>
      <c r="AK828" s="37" t="str">
        <f>IF(最佳化斷筋點!L828="","",最佳化斷筋點!L828)</f>
        <v/>
      </c>
      <c r="AL828" s="37" t="str">
        <f>IF(最佳化斷筋點!M828="","",最佳化斷筋點!M828)</f>
        <v/>
      </c>
      <c r="AM828" s="37" t="str">
        <f>IF(最佳化斷筋點!N828="","",最佳化斷筋點!N828)</f>
        <v/>
      </c>
      <c r="AN828" s="37" t="str">
        <f>IF(最佳化斷筋點!O828="","",最佳化斷筋點!O828)</f>
        <v/>
      </c>
      <c r="AO828" s="37" t="str">
        <f>IF(最佳化斷筋點!P828="","",最佳化斷筋點!P828)</f>
        <v/>
      </c>
      <c r="AP828" s="37" t="str">
        <f>IF(最佳化斷筋點!Q828="","",最佳化斷筋點!Q828)</f>
        <v/>
      </c>
      <c r="AQ828" s="37" t="str">
        <f>IF(最佳化斷筋點!R828="","",最佳化斷筋點!R828)</f>
        <v/>
      </c>
      <c r="AR828" s="37" t="str">
        <f>IF(最佳化斷筋點!S828="","",最佳化斷筋點!S828)</f>
        <v/>
      </c>
      <c r="AS828" s="37" t="str">
        <f>IF(最佳化斷筋點!T828="","",最佳化斷筋點!T828)</f>
        <v/>
      </c>
      <c r="AT828" s="37" t="str">
        <f>IF(最佳化斷筋點!U828="","",最佳化斷筋點!U828)</f>
        <v/>
      </c>
      <c r="AU828" s="37" t="str">
        <f>IF(最佳化斷筋點!V828="","",最佳化斷筋點!V828)</f>
        <v/>
      </c>
      <c r="AV828" s="37" t="str">
        <f>IF(最佳化斷筋點!W828="","",最佳化斷筋點!W828)</f>
        <v/>
      </c>
      <c r="AW828" s="37" t="str">
        <f>IF(最佳化斷筋點!X828="","",最佳化斷筋點!X828)</f>
        <v/>
      </c>
      <c r="AZ828" s="37" t="s">
        <v>197</v>
      </c>
      <c r="BA828" s="37" t="s">
        <v>197</v>
      </c>
      <c r="BB828" s="37" t="s">
        <v>197</v>
      </c>
      <c r="BC828" s="37" t="s">
        <v>197</v>
      </c>
      <c r="BD828" s="37" t="s">
        <v>197</v>
      </c>
      <c r="BE828" s="37" t="s">
        <v>197</v>
      </c>
      <c r="BF828" s="37" t="s">
        <v>197</v>
      </c>
      <c r="BG828" s="37" t="s">
        <v>197</v>
      </c>
      <c r="BH828" s="37" t="s">
        <v>197</v>
      </c>
      <c r="BI828" s="37" t="s">
        <v>197</v>
      </c>
      <c r="BJ828" s="37" t="s">
        <v>197</v>
      </c>
      <c r="BK828" s="37" t="s">
        <v>197</v>
      </c>
      <c r="BL828" s="37" t="s">
        <v>197</v>
      </c>
      <c r="BM828" s="37" t="s">
        <v>197</v>
      </c>
      <c r="BN828" s="37" t="s">
        <v>197</v>
      </c>
      <c r="BO828" s="37" t="s">
        <v>197</v>
      </c>
      <c r="BP828" s="37" t="s">
        <v>197</v>
      </c>
      <c r="BQ828" s="37" t="s">
        <v>197</v>
      </c>
      <c r="BR828" s="37" t="s">
        <v>197</v>
      </c>
      <c r="BS828" s="37" t="s">
        <v>197</v>
      </c>
      <c r="BT828" s="37" t="s">
        <v>197</v>
      </c>
    </row>
    <row r="829" spans="5:72" x14ac:dyDescent="0.25">
      <c r="E829" s="36" t="s">
        <v>21</v>
      </c>
      <c r="F829" s="36">
        <f t="shared" si="274"/>
        <v>0</v>
      </c>
      <c r="G829" s="36">
        <f t="shared" si="275"/>
        <v>0</v>
      </c>
      <c r="H829" s="36">
        <f t="shared" si="276"/>
        <v>0</v>
      </c>
      <c r="I829" s="36">
        <f t="shared" si="277"/>
        <v>0</v>
      </c>
      <c r="J829" s="36">
        <f t="shared" si="278"/>
        <v>0</v>
      </c>
      <c r="K829" s="36">
        <f t="shared" si="279"/>
        <v>0</v>
      </c>
      <c r="L829" s="36">
        <f t="shared" si="280"/>
        <v>0</v>
      </c>
      <c r="M829" s="36">
        <f t="shared" si="281"/>
        <v>0</v>
      </c>
      <c r="N829" s="36">
        <f t="shared" si="282"/>
        <v>0</v>
      </c>
      <c r="O829" s="36">
        <f t="shared" si="283"/>
        <v>0</v>
      </c>
      <c r="P829" s="36">
        <f t="shared" si="284"/>
        <v>0</v>
      </c>
      <c r="Q829" s="36">
        <f t="shared" si="285"/>
        <v>0</v>
      </c>
      <c r="R829" s="36">
        <f t="shared" si="286"/>
        <v>0</v>
      </c>
      <c r="S829" s="36">
        <f t="shared" si="287"/>
        <v>0</v>
      </c>
      <c r="T829" s="36">
        <f t="shared" si="288"/>
        <v>0</v>
      </c>
      <c r="U829" s="36">
        <f t="shared" si="289"/>
        <v>0</v>
      </c>
      <c r="V829" s="36">
        <f t="shared" si="290"/>
        <v>0</v>
      </c>
      <c r="W829" s="36">
        <f t="shared" si="291"/>
        <v>0</v>
      </c>
      <c r="X829" s="36">
        <f t="shared" si="292"/>
        <v>0</v>
      </c>
      <c r="Y829" s="36">
        <f t="shared" si="293"/>
        <v>0</v>
      </c>
      <c r="Z829" s="36">
        <f t="shared" si="294"/>
        <v>0</v>
      </c>
      <c r="AB829" s="36" t="str">
        <f>IF(最佳化斷筋點!C829="","",最佳化斷筋點!C829)</f>
        <v>下層</v>
      </c>
      <c r="AC829" s="37">
        <f>IF(最佳化斷筋點!D829="","",最佳化斷筋點!D829)</f>
        <v>10</v>
      </c>
      <c r="AD829" s="37">
        <f>IF(最佳化斷筋點!E829="","",最佳化斷筋點!E829)</f>
        <v>10</v>
      </c>
      <c r="AE829" s="37">
        <f>IF(最佳化斷筋點!F829="","",最佳化斷筋點!F829)</f>
        <v>10</v>
      </c>
      <c r="AF829" s="37">
        <f>IF(最佳化斷筋點!G829="","",最佳化斷筋點!G829)</f>
        <v>10</v>
      </c>
      <c r="AG829" s="37">
        <f>IF(最佳化斷筋點!H829="","",最佳化斷筋點!H829)</f>
        <v>10</v>
      </c>
      <c r="AH829" s="37">
        <f>IF(最佳化斷筋點!I829="","",最佳化斷筋點!I829)</f>
        <v>9</v>
      </c>
      <c r="AI829" s="37">
        <f>IF(最佳化斷筋點!J829="","",最佳化斷筋點!J829)</f>
        <v>8</v>
      </c>
      <c r="AJ829" s="37">
        <f>IF(最佳化斷筋點!K829="","",最佳化斷筋點!K829)</f>
        <v>4</v>
      </c>
      <c r="AK829" s="37">
        <f>IF(最佳化斷筋點!L829="","",最佳化斷筋點!L829)</f>
        <v>4</v>
      </c>
      <c r="AL829" s="37">
        <f>IF(最佳化斷筋點!M829="","",最佳化斷筋點!M829)</f>
        <v>4</v>
      </c>
      <c r="AM829" s="37">
        <f>IF(最佳化斷筋點!N829="","",最佳化斷筋點!N829)</f>
        <v>4</v>
      </c>
      <c r="AN829" s="37">
        <f>IF(最佳化斷筋點!O829="","",最佳化斷筋點!O829)</f>
        <v>4</v>
      </c>
      <c r="AO829" s="37">
        <f>IF(最佳化斷筋點!P829="","",最佳化斷筋點!P829)</f>
        <v>4</v>
      </c>
      <c r="AP829" s="37">
        <f>IF(最佳化斷筋點!Q829="","",最佳化斷筋點!Q829)</f>
        <v>7</v>
      </c>
      <c r="AQ829" s="37">
        <f>IF(最佳化斷筋點!R829="","",最佳化斷筋點!R829)</f>
        <v>8</v>
      </c>
      <c r="AR829" s="37">
        <f>IF(最佳化斷筋點!S829="","",最佳化斷筋點!S829)</f>
        <v>9</v>
      </c>
      <c r="AS829" s="37">
        <f>IF(最佳化斷筋點!T829="","",最佳化斷筋點!T829)</f>
        <v>10</v>
      </c>
      <c r="AT829" s="37">
        <f>IF(最佳化斷筋點!U829="","",最佳化斷筋點!U829)</f>
        <v>11</v>
      </c>
      <c r="AU829" s="37">
        <f>IF(最佳化斷筋點!V829="","",最佳化斷筋點!V829)</f>
        <v>11</v>
      </c>
      <c r="AV829" s="37">
        <f>IF(最佳化斷筋點!W829="","",最佳化斷筋點!W829)</f>
        <v>11</v>
      </c>
      <c r="AW829" s="37">
        <f>IF(最佳化斷筋點!X829="","",最佳化斷筋點!X829)</f>
        <v>11</v>
      </c>
      <c r="AZ829" s="37">
        <v>10</v>
      </c>
      <c r="BA829" s="37">
        <v>10</v>
      </c>
      <c r="BB829" s="37">
        <v>10</v>
      </c>
      <c r="BC829" s="37">
        <v>10</v>
      </c>
      <c r="BD829" s="37">
        <v>10</v>
      </c>
      <c r="BE829" s="37">
        <v>9</v>
      </c>
      <c r="BF829" s="37">
        <v>8</v>
      </c>
      <c r="BG829" s="37">
        <v>4</v>
      </c>
      <c r="BH829" s="37">
        <v>4</v>
      </c>
      <c r="BI829" s="37">
        <v>4</v>
      </c>
      <c r="BJ829" s="37">
        <v>4</v>
      </c>
      <c r="BK829" s="37">
        <v>4</v>
      </c>
      <c r="BL829" s="37">
        <v>4</v>
      </c>
      <c r="BM829" s="37">
        <v>7</v>
      </c>
      <c r="BN829" s="37">
        <v>8</v>
      </c>
      <c r="BO829" s="37">
        <v>9</v>
      </c>
      <c r="BP829" s="37">
        <v>10</v>
      </c>
      <c r="BQ829" s="37">
        <v>11</v>
      </c>
      <c r="BR829" s="37">
        <v>11</v>
      </c>
      <c r="BS829" s="37">
        <v>11</v>
      </c>
      <c r="BT829" s="37">
        <v>11</v>
      </c>
    </row>
    <row r="830" spans="5:72" x14ac:dyDescent="0.25">
      <c r="E830" s="36"/>
      <c r="F830" s="36">
        <f t="shared" si="274"/>
        <v>0</v>
      </c>
      <c r="G830" s="36">
        <f t="shared" si="275"/>
        <v>0</v>
      </c>
      <c r="H830" s="36">
        <f t="shared" si="276"/>
        <v>0</v>
      </c>
      <c r="I830" s="36">
        <f t="shared" si="277"/>
        <v>0</v>
      </c>
      <c r="J830" s="36">
        <f t="shared" si="278"/>
        <v>0</v>
      </c>
      <c r="K830" s="36">
        <f t="shared" si="279"/>
        <v>0</v>
      </c>
      <c r="L830" s="36">
        <f t="shared" si="280"/>
        <v>0</v>
      </c>
      <c r="M830" s="36">
        <f t="shared" si="281"/>
        <v>0</v>
      </c>
      <c r="N830" s="36">
        <f t="shared" si="282"/>
        <v>0</v>
      </c>
      <c r="O830" s="36">
        <f t="shared" si="283"/>
        <v>0</v>
      </c>
      <c r="P830" s="36">
        <f t="shared" si="284"/>
        <v>0</v>
      </c>
      <c r="Q830" s="36">
        <f t="shared" si="285"/>
        <v>0</v>
      </c>
      <c r="R830" s="36">
        <f t="shared" si="286"/>
        <v>0</v>
      </c>
      <c r="S830" s="36">
        <f t="shared" si="287"/>
        <v>0</v>
      </c>
      <c r="T830" s="36">
        <f t="shared" si="288"/>
        <v>0</v>
      </c>
      <c r="U830" s="36">
        <f t="shared" si="289"/>
        <v>0</v>
      </c>
      <c r="V830" s="36">
        <f t="shared" si="290"/>
        <v>0</v>
      </c>
      <c r="W830" s="36">
        <f t="shared" si="291"/>
        <v>0</v>
      </c>
      <c r="X830" s="36">
        <f t="shared" si="292"/>
        <v>0</v>
      </c>
      <c r="Y830" s="36">
        <f t="shared" si="293"/>
        <v>0</v>
      </c>
      <c r="Z830" s="36">
        <f t="shared" si="294"/>
        <v>0</v>
      </c>
      <c r="AB830" s="36" t="str">
        <f>IF(最佳化斷筋點!C830="","",最佳化斷筋點!C830)</f>
        <v/>
      </c>
      <c r="AC830" s="37" t="str">
        <f>IF(最佳化斷筋點!D830="","",最佳化斷筋點!D830)</f>
        <v/>
      </c>
      <c r="AD830" s="37" t="str">
        <f>IF(最佳化斷筋點!E830="","",最佳化斷筋點!E830)</f>
        <v/>
      </c>
      <c r="AE830" s="37" t="str">
        <f>IF(最佳化斷筋點!F830="","",最佳化斷筋點!F830)</f>
        <v/>
      </c>
      <c r="AF830" s="37" t="str">
        <f>IF(最佳化斷筋點!G830="","",最佳化斷筋點!G830)</f>
        <v/>
      </c>
      <c r="AG830" s="37" t="str">
        <f>IF(最佳化斷筋點!H830="","",最佳化斷筋點!H830)</f>
        <v/>
      </c>
      <c r="AH830" s="37" t="str">
        <f>IF(最佳化斷筋點!I830="","",最佳化斷筋點!I830)</f>
        <v/>
      </c>
      <c r="AI830" s="37" t="str">
        <f>IF(最佳化斷筋點!J830="","",最佳化斷筋點!J830)</f>
        <v/>
      </c>
      <c r="AJ830" s="37" t="str">
        <f>IF(最佳化斷筋點!K830="","",最佳化斷筋點!K830)</f>
        <v/>
      </c>
      <c r="AK830" s="37" t="str">
        <f>IF(最佳化斷筋點!L830="","",最佳化斷筋點!L830)</f>
        <v/>
      </c>
      <c r="AL830" s="37" t="str">
        <f>IF(最佳化斷筋點!M830="","",最佳化斷筋點!M830)</f>
        <v/>
      </c>
      <c r="AM830" s="37" t="str">
        <f>IF(最佳化斷筋點!N830="","",最佳化斷筋點!N830)</f>
        <v/>
      </c>
      <c r="AN830" s="37" t="str">
        <f>IF(最佳化斷筋點!O830="","",最佳化斷筋點!O830)</f>
        <v/>
      </c>
      <c r="AO830" s="37" t="str">
        <f>IF(最佳化斷筋點!P830="","",最佳化斷筋點!P830)</f>
        <v/>
      </c>
      <c r="AP830" s="37" t="str">
        <f>IF(最佳化斷筋點!Q830="","",最佳化斷筋點!Q830)</f>
        <v/>
      </c>
      <c r="AQ830" s="37" t="str">
        <f>IF(最佳化斷筋點!R830="","",最佳化斷筋點!R830)</f>
        <v/>
      </c>
      <c r="AR830" s="37" t="str">
        <f>IF(最佳化斷筋點!S830="","",最佳化斷筋點!S830)</f>
        <v/>
      </c>
      <c r="AS830" s="37" t="str">
        <f>IF(最佳化斷筋點!T830="","",最佳化斷筋點!T830)</f>
        <v/>
      </c>
      <c r="AT830" s="37" t="str">
        <f>IF(最佳化斷筋點!U830="","",最佳化斷筋點!U830)</f>
        <v/>
      </c>
      <c r="AU830" s="37" t="str">
        <f>IF(最佳化斷筋點!V830="","",最佳化斷筋點!V830)</f>
        <v/>
      </c>
      <c r="AV830" s="37" t="str">
        <f>IF(最佳化斷筋點!W830="","",最佳化斷筋點!W830)</f>
        <v/>
      </c>
      <c r="AW830" s="37" t="str">
        <f>IF(最佳化斷筋點!X830="","",最佳化斷筋點!X830)</f>
        <v/>
      </c>
      <c r="AZ830" s="37" t="s">
        <v>197</v>
      </c>
      <c r="BA830" s="37" t="s">
        <v>197</v>
      </c>
      <c r="BB830" s="37" t="s">
        <v>197</v>
      </c>
      <c r="BC830" s="37" t="s">
        <v>197</v>
      </c>
      <c r="BD830" s="37" t="s">
        <v>197</v>
      </c>
      <c r="BE830" s="37" t="s">
        <v>197</v>
      </c>
      <c r="BF830" s="37" t="s">
        <v>197</v>
      </c>
      <c r="BG830" s="37" t="s">
        <v>197</v>
      </c>
      <c r="BH830" s="37" t="s">
        <v>197</v>
      </c>
      <c r="BI830" s="37" t="s">
        <v>197</v>
      </c>
      <c r="BJ830" s="37" t="s">
        <v>197</v>
      </c>
      <c r="BK830" s="37" t="s">
        <v>197</v>
      </c>
      <c r="BL830" s="37" t="s">
        <v>197</v>
      </c>
      <c r="BM830" s="37" t="s">
        <v>197</v>
      </c>
      <c r="BN830" s="37" t="s">
        <v>197</v>
      </c>
      <c r="BO830" s="37" t="s">
        <v>197</v>
      </c>
      <c r="BP830" s="37" t="s">
        <v>197</v>
      </c>
      <c r="BQ830" s="37" t="s">
        <v>197</v>
      </c>
      <c r="BR830" s="37" t="s">
        <v>197</v>
      </c>
      <c r="BS830" s="37" t="s">
        <v>197</v>
      </c>
      <c r="BT830" s="37" t="s">
        <v>197</v>
      </c>
    </row>
    <row r="831" spans="5:72" x14ac:dyDescent="0.25">
      <c r="E831" s="36" t="s">
        <v>20</v>
      </c>
      <c r="F831" s="36">
        <f t="shared" si="274"/>
        <v>0</v>
      </c>
      <c r="G831" s="36">
        <f t="shared" si="275"/>
        <v>0</v>
      </c>
      <c r="H831" s="36">
        <f t="shared" si="276"/>
        <v>0</v>
      </c>
      <c r="I831" s="36">
        <f t="shared" si="277"/>
        <v>0</v>
      </c>
      <c r="J831" s="36">
        <f t="shared" si="278"/>
        <v>0</v>
      </c>
      <c r="K831" s="36">
        <f t="shared" si="279"/>
        <v>0</v>
      </c>
      <c r="L831" s="36">
        <f t="shared" si="280"/>
        <v>0</v>
      </c>
      <c r="M831" s="36">
        <f t="shared" si="281"/>
        <v>0</v>
      </c>
      <c r="N831" s="36">
        <f t="shared" si="282"/>
        <v>0</v>
      </c>
      <c r="O831" s="36">
        <f t="shared" si="283"/>
        <v>0</v>
      </c>
      <c r="P831" s="36">
        <f t="shared" si="284"/>
        <v>0</v>
      </c>
      <c r="Q831" s="36">
        <f t="shared" si="285"/>
        <v>0</v>
      </c>
      <c r="R831" s="36">
        <f t="shared" si="286"/>
        <v>0</v>
      </c>
      <c r="S831" s="36">
        <f t="shared" si="287"/>
        <v>0</v>
      </c>
      <c r="T831" s="36">
        <f t="shared" si="288"/>
        <v>0</v>
      </c>
      <c r="U831" s="36">
        <f t="shared" si="289"/>
        <v>0</v>
      </c>
      <c r="V831" s="36">
        <f t="shared" si="290"/>
        <v>0</v>
      </c>
      <c r="W831" s="36">
        <f t="shared" si="291"/>
        <v>0</v>
      </c>
      <c r="X831" s="36">
        <f t="shared" si="292"/>
        <v>0</v>
      </c>
      <c r="Y831" s="36">
        <f t="shared" si="293"/>
        <v>0</v>
      </c>
      <c r="Z831" s="36">
        <f t="shared" si="294"/>
        <v>0</v>
      </c>
      <c r="AB831" s="36" t="str">
        <f>IF(最佳化斷筋點!C831="","",最佳化斷筋點!C831)</f>
        <v>上層</v>
      </c>
      <c r="AC831" s="37">
        <f>IF(最佳化斷筋點!D831="","",最佳化斷筋點!D831)</f>
        <v>7</v>
      </c>
      <c r="AD831" s="37">
        <f>IF(最佳化斷筋點!E831="","",最佳化斷筋點!E831)</f>
        <v>7</v>
      </c>
      <c r="AE831" s="37">
        <f>IF(最佳化斷筋點!F831="","",最佳化斷筋點!F831)</f>
        <v>7</v>
      </c>
      <c r="AF831" s="37">
        <f>IF(最佳化斷筋點!G831="","",最佳化斷筋點!G831)</f>
        <v>7</v>
      </c>
      <c r="AG831" s="37">
        <f>IF(最佳化斷筋點!H831="","",最佳化斷筋點!H831)</f>
        <v>6</v>
      </c>
      <c r="AH831" s="37">
        <f>IF(最佳化斷筋點!I831="","",最佳化斷筋點!I831)</f>
        <v>6</v>
      </c>
      <c r="AI831" s="37">
        <f>IF(最佳化斷筋點!J831="","",最佳化斷筋點!J831)</f>
        <v>5</v>
      </c>
      <c r="AJ831" s="37">
        <f>IF(最佳化斷筋點!K831="","",最佳化斷筋點!K831)</f>
        <v>3</v>
      </c>
      <c r="AK831" s="37">
        <f>IF(最佳化斷筋點!L831="","",最佳化斷筋點!L831)</f>
        <v>3</v>
      </c>
      <c r="AL831" s="37">
        <f>IF(最佳化斷筋點!M831="","",最佳化斷筋點!M831)</f>
        <v>3</v>
      </c>
      <c r="AM831" s="37">
        <f>IF(最佳化斷筋點!N831="","",最佳化斷筋點!N831)</f>
        <v>2</v>
      </c>
      <c r="AN831" s="37">
        <f>IF(最佳化斷筋點!O831="","",最佳化斷筋點!O831)</f>
        <v>3</v>
      </c>
      <c r="AO831" s="37">
        <f>IF(最佳化斷筋點!P831="","",最佳化斷筋點!P831)</f>
        <v>3</v>
      </c>
      <c r="AP831" s="37">
        <f>IF(最佳化斷筋點!Q831="","",最佳化斷筋點!Q831)</f>
        <v>5</v>
      </c>
      <c r="AQ831" s="37">
        <f>IF(最佳化斷筋點!R831="","",最佳化斷筋點!R831)</f>
        <v>6</v>
      </c>
      <c r="AR831" s="37">
        <f>IF(最佳化斷筋點!S831="","",最佳化斷筋點!S831)</f>
        <v>7</v>
      </c>
      <c r="AS831" s="37">
        <f>IF(最佳化斷筋點!T831="","",最佳化斷筋點!T831)</f>
        <v>8</v>
      </c>
      <c r="AT831" s="37">
        <f>IF(最佳化斷筋點!U831="","",最佳化斷筋點!U831)</f>
        <v>9</v>
      </c>
      <c r="AU831" s="37">
        <f>IF(最佳化斷筋點!V831="","",最佳化斷筋點!V831)</f>
        <v>9</v>
      </c>
      <c r="AV831" s="37">
        <f>IF(最佳化斷筋點!W831="","",最佳化斷筋點!W831)</f>
        <v>9</v>
      </c>
      <c r="AW831" s="37">
        <f>IF(最佳化斷筋點!X831="","",最佳化斷筋點!X831)</f>
        <v>9</v>
      </c>
      <c r="AZ831" s="37">
        <v>7</v>
      </c>
      <c r="BA831" s="37">
        <v>7</v>
      </c>
      <c r="BB831" s="37">
        <v>7</v>
      </c>
      <c r="BC831" s="37">
        <v>7</v>
      </c>
      <c r="BD831" s="37">
        <v>6</v>
      </c>
      <c r="BE831" s="37">
        <v>6</v>
      </c>
      <c r="BF831" s="37">
        <v>5</v>
      </c>
      <c r="BG831" s="37">
        <v>3</v>
      </c>
      <c r="BH831" s="37">
        <v>3</v>
      </c>
      <c r="BI831" s="37">
        <v>3</v>
      </c>
      <c r="BJ831" s="37">
        <v>2</v>
      </c>
      <c r="BK831" s="37">
        <v>3</v>
      </c>
      <c r="BL831" s="37">
        <v>3</v>
      </c>
      <c r="BM831" s="37">
        <v>5</v>
      </c>
      <c r="BN831" s="37">
        <v>6</v>
      </c>
      <c r="BO831" s="37">
        <v>7</v>
      </c>
      <c r="BP831" s="37">
        <v>8</v>
      </c>
      <c r="BQ831" s="37">
        <v>9</v>
      </c>
      <c r="BR831" s="37">
        <v>9</v>
      </c>
      <c r="BS831" s="37">
        <v>9</v>
      </c>
      <c r="BT831" s="37">
        <v>9</v>
      </c>
    </row>
    <row r="832" spans="5:72" x14ac:dyDescent="0.25">
      <c r="E832" s="36"/>
      <c r="F832" s="36">
        <f t="shared" si="274"/>
        <v>0</v>
      </c>
      <c r="G832" s="36">
        <f t="shared" si="275"/>
        <v>0</v>
      </c>
      <c r="H832" s="36">
        <f t="shared" si="276"/>
        <v>0</v>
      </c>
      <c r="I832" s="36">
        <f t="shared" si="277"/>
        <v>0</v>
      </c>
      <c r="J832" s="36">
        <f t="shared" si="278"/>
        <v>0</v>
      </c>
      <c r="K832" s="36">
        <f t="shared" si="279"/>
        <v>0</v>
      </c>
      <c r="L832" s="36">
        <f t="shared" si="280"/>
        <v>0</v>
      </c>
      <c r="M832" s="36">
        <f t="shared" si="281"/>
        <v>0</v>
      </c>
      <c r="N832" s="36">
        <f t="shared" si="282"/>
        <v>0</v>
      </c>
      <c r="O832" s="36">
        <f t="shared" si="283"/>
        <v>0</v>
      </c>
      <c r="P832" s="36">
        <f t="shared" si="284"/>
        <v>0</v>
      </c>
      <c r="Q832" s="36">
        <f t="shared" si="285"/>
        <v>0</v>
      </c>
      <c r="R832" s="36">
        <f t="shared" si="286"/>
        <v>0</v>
      </c>
      <c r="S832" s="36">
        <f t="shared" si="287"/>
        <v>0</v>
      </c>
      <c r="T832" s="36">
        <f t="shared" si="288"/>
        <v>0</v>
      </c>
      <c r="U832" s="36">
        <f t="shared" si="289"/>
        <v>0</v>
      </c>
      <c r="V832" s="36">
        <f t="shared" si="290"/>
        <v>0</v>
      </c>
      <c r="W832" s="36">
        <f t="shared" si="291"/>
        <v>0</v>
      </c>
      <c r="X832" s="36">
        <f t="shared" si="292"/>
        <v>0</v>
      </c>
      <c r="Y832" s="36">
        <f t="shared" si="293"/>
        <v>0</v>
      </c>
      <c r="Z832" s="36">
        <f t="shared" si="294"/>
        <v>0</v>
      </c>
      <c r="AB832" s="36" t="str">
        <f>IF(最佳化斷筋點!C832="","",最佳化斷筋點!C832)</f>
        <v/>
      </c>
      <c r="AC832" s="37" t="str">
        <f>IF(最佳化斷筋點!D832="","",最佳化斷筋點!D832)</f>
        <v/>
      </c>
      <c r="AD832" s="37" t="str">
        <f>IF(最佳化斷筋點!E832="","",最佳化斷筋點!E832)</f>
        <v/>
      </c>
      <c r="AE832" s="37" t="str">
        <f>IF(最佳化斷筋點!F832="","",最佳化斷筋點!F832)</f>
        <v/>
      </c>
      <c r="AF832" s="37" t="str">
        <f>IF(最佳化斷筋點!G832="","",最佳化斷筋點!G832)</f>
        <v/>
      </c>
      <c r="AG832" s="37" t="str">
        <f>IF(最佳化斷筋點!H832="","",最佳化斷筋點!H832)</f>
        <v/>
      </c>
      <c r="AH832" s="37" t="str">
        <f>IF(最佳化斷筋點!I832="","",最佳化斷筋點!I832)</f>
        <v/>
      </c>
      <c r="AI832" s="37" t="str">
        <f>IF(最佳化斷筋點!J832="","",最佳化斷筋點!J832)</f>
        <v/>
      </c>
      <c r="AJ832" s="37" t="str">
        <f>IF(最佳化斷筋點!K832="","",最佳化斷筋點!K832)</f>
        <v/>
      </c>
      <c r="AK832" s="37" t="str">
        <f>IF(最佳化斷筋點!L832="","",最佳化斷筋點!L832)</f>
        <v/>
      </c>
      <c r="AL832" s="37" t="str">
        <f>IF(最佳化斷筋點!M832="","",最佳化斷筋點!M832)</f>
        <v/>
      </c>
      <c r="AM832" s="37" t="str">
        <f>IF(最佳化斷筋點!N832="","",最佳化斷筋點!N832)</f>
        <v/>
      </c>
      <c r="AN832" s="37" t="str">
        <f>IF(最佳化斷筋點!O832="","",最佳化斷筋點!O832)</f>
        <v/>
      </c>
      <c r="AO832" s="37" t="str">
        <f>IF(最佳化斷筋點!P832="","",最佳化斷筋點!P832)</f>
        <v/>
      </c>
      <c r="AP832" s="37" t="str">
        <f>IF(最佳化斷筋點!Q832="","",最佳化斷筋點!Q832)</f>
        <v/>
      </c>
      <c r="AQ832" s="37" t="str">
        <f>IF(最佳化斷筋點!R832="","",最佳化斷筋點!R832)</f>
        <v/>
      </c>
      <c r="AR832" s="37" t="str">
        <f>IF(最佳化斷筋點!S832="","",最佳化斷筋點!S832)</f>
        <v/>
      </c>
      <c r="AS832" s="37" t="str">
        <f>IF(最佳化斷筋點!T832="","",最佳化斷筋點!T832)</f>
        <v/>
      </c>
      <c r="AT832" s="37" t="str">
        <f>IF(最佳化斷筋點!U832="","",最佳化斷筋點!U832)</f>
        <v/>
      </c>
      <c r="AU832" s="37" t="str">
        <f>IF(最佳化斷筋點!V832="","",最佳化斷筋點!V832)</f>
        <v/>
      </c>
      <c r="AV832" s="37" t="str">
        <f>IF(最佳化斷筋點!W832="","",最佳化斷筋點!W832)</f>
        <v/>
      </c>
      <c r="AW832" s="37" t="str">
        <f>IF(最佳化斷筋點!X832="","",最佳化斷筋點!X832)</f>
        <v/>
      </c>
      <c r="AZ832" s="37" t="s">
        <v>197</v>
      </c>
      <c r="BA832" s="37" t="s">
        <v>197</v>
      </c>
      <c r="BB832" s="37" t="s">
        <v>197</v>
      </c>
      <c r="BC832" s="37" t="s">
        <v>197</v>
      </c>
      <c r="BD832" s="37" t="s">
        <v>197</v>
      </c>
      <c r="BE832" s="37" t="s">
        <v>197</v>
      </c>
      <c r="BF832" s="37" t="s">
        <v>197</v>
      </c>
      <c r="BG832" s="37" t="s">
        <v>197</v>
      </c>
      <c r="BH832" s="37" t="s">
        <v>197</v>
      </c>
      <c r="BI832" s="37" t="s">
        <v>197</v>
      </c>
      <c r="BJ832" s="37" t="s">
        <v>197</v>
      </c>
      <c r="BK832" s="37" t="s">
        <v>197</v>
      </c>
      <c r="BL832" s="37" t="s">
        <v>197</v>
      </c>
      <c r="BM832" s="37" t="s">
        <v>197</v>
      </c>
      <c r="BN832" s="37" t="s">
        <v>197</v>
      </c>
      <c r="BO832" s="37" t="s">
        <v>197</v>
      </c>
      <c r="BP832" s="37" t="s">
        <v>197</v>
      </c>
      <c r="BQ832" s="37" t="s">
        <v>197</v>
      </c>
      <c r="BR832" s="37" t="s">
        <v>197</v>
      </c>
      <c r="BS832" s="37" t="s">
        <v>197</v>
      </c>
      <c r="BT832" s="37" t="s">
        <v>197</v>
      </c>
    </row>
    <row r="833" spans="5:72" x14ac:dyDescent="0.25">
      <c r="E833" s="36" t="s">
        <v>21</v>
      </c>
      <c r="F833" s="36">
        <f t="shared" si="274"/>
        <v>0</v>
      </c>
      <c r="G833" s="36">
        <f t="shared" si="275"/>
        <v>0</v>
      </c>
      <c r="H833" s="36">
        <f t="shared" si="276"/>
        <v>0</v>
      </c>
      <c r="I833" s="36">
        <f t="shared" si="277"/>
        <v>0</v>
      </c>
      <c r="J833" s="36">
        <f t="shared" si="278"/>
        <v>0</v>
      </c>
      <c r="K833" s="36">
        <f t="shared" si="279"/>
        <v>0</v>
      </c>
      <c r="L833" s="36">
        <f t="shared" si="280"/>
        <v>0</v>
      </c>
      <c r="M833" s="36">
        <f t="shared" si="281"/>
        <v>0</v>
      </c>
      <c r="N833" s="36">
        <f t="shared" si="282"/>
        <v>0</v>
      </c>
      <c r="O833" s="36">
        <f t="shared" si="283"/>
        <v>0</v>
      </c>
      <c r="P833" s="36">
        <f t="shared" si="284"/>
        <v>0</v>
      </c>
      <c r="Q833" s="36">
        <f t="shared" si="285"/>
        <v>0</v>
      </c>
      <c r="R833" s="36">
        <f t="shared" si="286"/>
        <v>0</v>
      </c>
      <c r="S833" s="36">
        <f t="shared" si="287"/>
        <v>0</v>
      </c>
      <c r="T833" s="36">
        <f t="shared" si="288"/>
        <v>0</v>
      </c>
      <c r="U833" s="36">
        <f t="shared" si="289"/>
        <v>0</v>
      </c>
      <c r="V833" s="36">
        <f t="shared" si="290"/>
        <v>0</v>
      </c>
      <c r="W833" s="36">
        <f t="shared" si="291"/>
        <v>0</v>
      </c>
      <c r="X833" s="36">
        <f t="shared" si="292"/>
        <v>0</v>
      </c>
      <c r="Y833" s="36">
        <f t="shared" si="293"/>
        <v>0</v>
      </c>
      <c r="Z833" s="36">
        <f t="shared" si="294"/>
        <v>0</v>
      </c>
      <c r="AB833" s="36" t="str">
        <f>IF(最佳化斷筋點!C833="","",最佳化斷筋點!C833)</f>
        <v>下層</v>
      </c>
      <c r="AC833" s="37">
        <f>IF(最佳化斷筋點!D833="","",最佳化斷筋點!D833)</f>
        <v>7</v>
      </c>
      <c r="AD833" s="37">
        <f>IF(最佳化斷筋點!E833="","",最佳化斷筋點!E833)</f>
        <v>7</v>
      </c>
      <c r="AE833" s="37">
        <f>IF(最佳化斷筋點!F833="","",最佳化斷筋點!F833)</f>
        <v>7</v>
      </c>
      <c r="AF833" s="37">
        <f>IF(最佳化斷筋點!G833="","",最佳化斷筋點!G833)</f>
        <v>7</v>
      </c>
      <c r="AG833" s="37">
        <f>IF(最佳化斷筋點!H833="","",最佳化斷筋點!H833)</f>
        <v>6</v>
      </c>
      <c r="AH833" s="37">
        <f>IF(最佳化斷筋點!I833="","",最佳化斷筋點!I833)</f>
        <v>6</v>
      </c>
      <c r="AI833" s="37">
        <f>IF(最佳化斷筋點!J833="","",最佳化斷筋點!J833)</f>
        <v>5</v>
      </c>
      <c r="AJ833" s="37">
        <f>IF(最佳化斷筋點!K833="","",最佳化斷筋點!K833)</f>
        <v>5</v>
      </c>
      <c r="AK833" s="37">
        <f>IF(最佳化斷筋點!L833="","",最佳化斷筋點!L833)</f>
        <v>5</v>
      </c>
      <c r="AL833" s="37">
        <f>IF(最佳化斷筋點!M833="","",最佳化斷筋點!M833)</f>
        <v>5</v>
      </c>
      <c r="AM833" s="37">
        <f>IF(最佳化斷筋點!N833="","",最佳化斷筋點!N833)</f>
        <v>5</v>
      </c>
      <c r="AN833" s="37">
        <f>IF(最佳化斷筋點!O833="","",最佳化斷筋點!O833)</f>
        <v>5</v>
      </c>
      <c r="AO833" s="37">
        <f>IF(最佳化斷筋點!P833="","",最佳化斷筋點!P833)</f>
        <v>5</v>
      </c>
      <c r="AP833" s="37">
        <f>IF(最佳化斷筋點!Q833="","",最佳化斷筋點!Q833)</f>
        <v>5</v>
      </c>
      <c r="AQ833" s="37">
        <f>IF(最佳化斷筋點!R833="","",最佳化斷筋點!R833)</f>
        <v>5</v>
      </c>
      <c r="AR833" s="37">
        <f>IF(最佳化斷筋點!S833="","",最佳化斷筋點!S833)</f>
        <v>5</v>
      </c>
      <c r="AS833" s="37">
        <f>IF(最佳化斷筋點!T833="","",最佳化斷筋點!T833)</f>
        <v>6</v>
      </c>
      <c r="AT833" s="37">
        <f>IF(最佳化斷筋點!U833="","",最佳化斷筋點!U833)</f>
        <v>6</v>
      </c>
      <c r="AU833" s="37">
        <f>IF(最佳化斷筋點!V833="","",最佳化斷筋點!V833)</f>
        <v>7</v>
      </c>
      <c r="AV833" s="37">
        <f>IF(最佳化斷筋點!W833="","",最佳化斷筋點!W833)</f>
        <v>7</v>
      </c>
      <c r="AW833" s="37">
        <f>IF(最佳化斷筋點!X833="","",最佳化斷筋點!X833)</f>
        <v>7</v>
      </c>
      <c r="AZ833" s="37">
        <v>7</v>
      </c>
      <c r="BA833" s="37">
        <v>7</v>
      </c>
      <c r="BB833" s="37">
        <v>7</v>
      </c>
      <c r="BC833" s="37">
        <v>7</v>
      </c>
      <c r="BD833" s="37">
        <v>6</v>
      </c>
      <c r="BE833" s="37">
        <v>6</v>
      </c>
      <c r="BF833" s="37">
        <v>5</v>
      </c>
      <c r="BG833" s="37">
        <v>5</v>
      </c>
      <c r="BH833" s="37">
        <v>5</v>
      </c>
      <c r="BI833" s="37">
        <v>5</v>
      </c>
      <c r="BJ833" s="37">
        <v>5</v>
      </c>
      <c r="BK833" s="37">
        <v>5</v>
      </c>
      <c r="BL833" s="37">
        <v>5</v>
      </c>
      <c r="BM833" s="37">
        <v>5</v>
      </c>
      <c r="BN833" s="37">
        <v>5</v>
      </c>
      <c r="BO833" s="37">
        <v>5</v>
      </c>
      <c r="BP833" s="37">
        <v>6</v>
      </c>
      <c r="BQ833" s="37">
        <v>6</v>
      </c>
      <c r="BR833" s="37">
        <v>7</v>
      </c>
      <c r="BS833" s="37">
        <v>7</v>
      </c>
      <c r="BT833" s="37">
        <v>7</v>
      </c>
    </row>
    <row r="834" spans="5:72" x14ac:dyDescent="0.25">
      <c r="E834" s="36"/>
      <c r="F834" s="36">
        <f t="shared" si="274"/>
        <v>0</v>
      </c>
      <c r="G834" s="36">
        <f t="shared" si="275"/>
        <v>0</v>
      </c>
      <c r="H834" s="36">
        <f t="shared" si="276"/>
        <v>0</v>
      </c>
      <c r="I834" s="36">
        <f t="shared" si="277"/>
        <v>0</v>
      </c>
      <c r="J834" s="36">
        <f t="shared" si="278"/>
        <v>0</v>
      </c>
      <c r="K834" s="36">
        <f t="shared" si="279"/>
        <v>0</v>
      </c>
      <c r="L834" s="36">
        <f t="shared" si="280"/>
        <v>0</v>
      </c>
      <c r="M834" s="36">
        <f t="shared" si="281"/>
        <v>0</v>
      </c>
      <c r="N834" s="36">
        <f t="shared" si="282"/>
        <v>0</v>
      </c>
      <c r="O834" s="36">
        <f t="shared" si="283"/>
        <v>0</v>
      </c>
      <c r="P834" s="36">
        <f t="shared" si="284"/>
        <v>0</v>
      </c>
      <c r="Q834" s="36">
        <f t="shared" si="285"/>
        <v>0</v>
      </c>
      <c r="R834" s="36">
        <f t="shared" si="286"/>
        <v>0</v>
      </c>
      <c r="S834" s="36">
        <f t="shared" si="287"/>
        <v>0</v>
      </c>
      <c r="T834" s="36">
        <f t="shared" si="288"/>
        <v>0</v>
      </c>
      <c r="U834" s="36">
        <f t="shared" si="289"/>
        <v>0</v>
      </c>
      <c r="V834" s="36">
        <f t="shared" si="290"/>
        <v>0</v>
      </c>
      <c r="W834" s="36">
        <f t="shared" si="291"/>
        <v>0</v>
      </c>
      <c r="X834" s="36">
        <f t="shared" si="292"/>
        <v>0</v>
      </c>
      <c r="Y834" s="36">
        <f t="shared" si="293"/>
        <v>0</v>
      </c>
      <c r="Z834" s="36">
        <f t="shared" si="294"/>
        <v>0</v>
      </c>
      <c r="AB834" s="36" t="str">
        <f>IF(最佳化斷筋點!C834="","",最佳化斷筋點!C834)</f>
        <v/>
      </c>
      <c r="AC834" s="37" t="str">
        <f>IF(最佳化斷筋點!D834="","",最佳化斷筋點!D834)</f>
        <v/>
      </c>
      <c r="AD834" s="37" t="str">
        <f>IF(最佳化斷筋點!E834="","",最佳化斷筋點!E834)</f>
        <v/>
      </c>
      <c r="AE834" s="37" t="str">
        <f>IF(最佳化斷筋點!F834="","",最佳化斷筋點!F834)</f>
        <v/>
      </c>
      <c r="AF834" s="37" t="str">
        <f>IF(最佳化斷筋點!G834="","",最佳化斷筋點!G834)</f>
        <v/>
      </c>
      <c r="AG834" s="37" t="str">
        <f>IF(最佳化斷筋點!H834="","",最佳化斷筋點!H834)</f>
        <v/>
      </c>
      <c r="AH834" s="37" t="str">
        <f>IF(最佳化斷筋點!I834="","",最佳化斷筋點!I834)</f>
        <v/>
      </c>
      <c r="AI834" s="37" t="str">
        <f>IF(最佳化斷筋點!J834="","",最佳化斷筋點!J834)</f>
        <v/>
      </c>
      <c r="AJ834" s="37" t="str">
        <f>IF(最佳化斷筋點!K834="","",最佳化斷筋點!K834)</f>
        <v/>
      </c>
      <c r="AK834" s="37" t="str">
        <f>IF(最佳化斷筋點!L834="","",最佳化斷筋點!L834)</f>
        <v/>
      </c>
      <c r="AL834" s="37" t="str">
        <f>IF(最佳化斷筋點!M834="","",最佳化斷筋點!M834)</f>
        <v/>
      </c>
      <c r="AM834" s="37" t="str">
        <f>IF(最佳化斷筋點!N834="","",最佳化斷筋點!N834)</f>
        <v/>
      </c>
      <c r="AN834" s="37" t="str">
        <f>IF(最佳化斷筋點!O834="","",最佳化斷筋點!O834)</f>
        <v/>
      </c>
      <c r="AO834" s="37" t="str">
        <f>IF(最佳化斷筋點!P834="","",最佳化斷筋點!P834)</f>
        <v/>
      </c>
      <c r="AP834" s="37" t="str">
        <f>IF(最佳化斷筋點!Q834="","",最佳化斷筋點!Q834)</f>
        <v/>
      </c>
      <c r="AQ834" s="37" t="str">
        <f>IF(最佳化斷筋點!R834="","",最佳化斷筋點!R834)</f>
        <v/>
      </c>
      <c r="AR834" s="37" t="str">
        <f>IF(最佳化斷筋點!S834="","",最佳化斷筋點!S834)</f>
        <v/>
      </c>
      <c r="AS834" s="37" t="str">
        <f>IF(最佳化斷筋點!T834="","",最佳化斷筋點!T834)</f>
        <v/>
      </c>
      <c r="AT834" s="37" t="str">
        <f>IF(最佳化斷筋點!U834="","",最佳化斷筋點!U834)</f>
        <v/>
      </c>
      <c r="AU834" s="37" t="str">
        <f>IF(最佳化斷筋點!V834="","",最佳化斷筋點!V834)</f>
        <v/>
      </c>
      <c r="AV834" s="37" t="str">
        <f>IF(最佳化斷筋點!W834="","",最佳化斷筋點!W834)</f>
        <v/>
      </c>
      <c r="AW834" s="37" t="str">
        <f>IF(最佳化斷筋點!X834="","",最佳化斷筋點!X834)</f>
        <v/>
      </c>
      <c r="AZ834" s="37" t="s">
        <v>197</v>
      </c>
      <c r="BA834" s="37" t="s">
        <v>197</v>
      </c>
      <c r="BB834" s="37" t="s">
        <v>197</v>
      </c>
      <c r="BC834" s="37" t="s">
        <v>197</v>
      </c>
      <c r="BD834" s="37" t="s">
        <v>197</v>
      </c>
      <c r="BE834" s="37" t="s">
        <v>197</v>
      </c>
      <c r="BF834" s="37" t="s">
        <v>197</v>
      </c>
      <c r="BG834" s="37" t="s">
        <v>197</v>
      </c>
      <c r="BH834" s="37" t="s">
        <v>197</v>
      </c>
      <c r="BI834" s="37" t="s">
        <v>197</v>
      </c>
      <c r="BJ834" s="37" t="s">
        <v>197</v>
      </c>
      <c r="BK834" s="37" t="s">
        <v>197</v>
      </c>
      <c r="BL834" s="37" t="s">
        <v>197</v>
      </c>
      <c r="BM834" s="37" t="s">
        <v>197</v>
      </c>
      <c r="BN834" s="37" t="s">
        <v>197</v>
      </c>
      <c r="BO834" s="37" t="s">
        <v>197</v>
      </c>
      <c r="BP834" s="37" t="s">
        <v>197</v>
      </c>
      <c r="BQ834" s="37" t="s">
        <v>197</v>
      </c>
      <c r="BR834" s="37" t="s">
        <v>197</v>
      </c>
      <c r="BS834" s="37" t="s">
        <v>197</v>
      </c>
      <c r="BT834" s="37" t="s">
        <v>197</v>
      </c>
    </row>
    <row r="835" spans="5:72" x14ac:dyDescent="0.25">
      <c r="E835" s="36" t="s">
        <v>20</v>
      </c>
      <c r="F835" s="36">
        <f t="shared" si="274"/>
        <v>0</v>
      </c>
      <c r="G835" s="36">
        <f t="shared" si="275"/>
        <v>0</v>
      </c>
      <c r="H835" s="36">
        <f t="shared" si="276"/>
        <v>0</v>
      </c>
      <c r="I835" s="36">
        <f t="shared" si="277"/>
        <v>0</v>
      </c>
      <c r="J835" s="36">
        <f t="shared" si="278"/>
        <v>0</v>
      </c>
      <c r="K835" s="36">
        <f t="shared" si="279"/>
        <v>0</v>
      </c>
      <c r="L835" s="36">
        <f t="shared" si="280"/>
        <v>0</v>
      </c>
      <c r="M835" s="36">
        <f t="shared" si="281"/>
        <v>0</v>
      </c>
      <c r="N835" s="36">
        <f t="shared" si="282"/>
        <v>0</v>
      </c>
      <c r="O835" s="36">
        <f t="shared" si="283"/>
        <v>0</v>
      </c>
      <c r="P835" s="36">
        <f t="shared" si="284"/>
        <v>0</v>
      </c>
      <c r="Q835" s="36">
        <f t="shared" si="285"/>
        <v>0</v>
      </c>
      <c r="R835" s="36">
        <f t="shared" si="286"/>
        <v>0</v>
      </c>
      <c r="S835" s="36">
        <f t="shared" si="287"/>
        <v>0</v>
      </c>
      <c r="T835" s="36">
        <f t="shared" si="288"/>
        <v>0</v>
      </c>
      <c r="U835" s="36">
        <f t="shared" si="289"/>
        <v>0</v>
      </c>
      <c r="V835" s="36">
        <f t="shared" si="290"/>
        <v>0</v>
      </c>
      <c r="W835" s="36">
        <f t="shared" si="291"/>
        <v>0</v>
      </c>
      <c r="X835" s="36">
        <f t="shared" si="292"/>
        <v>0</v>
      </c>
      <c r="Y835" s="36">
        <f t="shared" si="293"/>
        <v>0</v>
      </c>
      <c r="Z835" s="36">
        <f t="shared" si="294"/>
        <v>0</v>
      </c>
      <c r="AB835" s="36" t="str">
        <f>IF(最佳化斷筋點!C835="","",最佳化斷筋點!C835)</f>
        <v>上層</v>
      </c>
      <c r="AC835" s="37">
        <f>IF(最佳化斷筋點!D835="","",最佳化斷筋點!D835)</f>
        <v>9</v>
      </c>
      <c r="AD835" s="37">
        <f>IF(最佳化斷筋點!E835="","",最佳化斷筋點!E835)</f>
        <v>9</v>
      </c>
      <c r="AE835" s="37">
        <f>IF(最佳化斷筋點!F835="","",最佳化斷筋點!F835)</f>
        <v>9</v>
      </c>
      <c r="AF835" s="37">
        <f>IF(最佳化斷筋點!G835="","",最佳化斷筋點!G835)</f>
        <v>9</v>
      </c>
      <c r="AG835" s="37">
        <f>IF(最佳化斷筋點!H835="","",最佳化斷筋點!H835)</f>
        <v>9</v>
      </c>
      <c r="AH835" s="37">
        <f>IF(最佳化斷筋點!I835="","",最佳化斷筋點!I835)</f>
        <v>9</v>
      </c>
      <c r="AI835" s="37">
        <f>IF(最佳化斷筋點!J835="","",最佳化斷筋點!J835)</f>
        <v>9</v>
      </c>
      <c r="AJ835" s="37">
        <f>IF(最佳化斷筋點!K835="","",最佳化斷筋點!K835)</f>
        <v>4</v>
      </c>
      <c r="AK835" s="37">
        <f>IF(最佳化斷筋點!L835="","",最佳化斷筋點!L835)</f>
        <v>4</v>
      </c>
      <c r="AL835" s="37">
        <f>IF(最佳化斷筋點!M835="","",最佳化斷筋點!M835)</f>
        <v>4</v>
      </c>
      <c r="AM835" s="37">
        <f>IF(最佳化斷筋點!N835="","",最佳化斷筋點!N835)</f>
        <v>4</v>
      </c>
      <c r="AN835" s="37">
        <f>IF(最佳化斷筋點!O835="","",最佳化斷筋點!O835)</f>
        <v>4</v>
      </c>
      <c r="AO835" s="37">
        <f>IF(最佳化斷筋點!P835="","",最佳化斷筋點!P835)</f>
        <v>4</v>
      </c>
      <c r="AP835" s="37">
        <f>IF(最佳化斷筋點!Q835="","",最佳化斷筋點!Q835)</f>
        <v>9</v>
      </c>
      <c r="AQ835" s="37">
        <f>IF(最佳化斷筋點!R835="","",最佳化斷筋點!R835)</f>
        <v>10</v>
      </c>
      <c r="AR835" s="37">
        <f>IF(最佳化斷筋點!S835="","",最佳化斷筋點!S835)</f>
        <v>10</v>
      </c>
      <c r="AS835" s="37">
        <f>IF(最佳化斷筋點!T835="","",最佳化斷筋點!T835)</f>
        <v>10</v>
      </c>
      <c r="AT835" s="37">
        <f>IF(最佳化斷筋點!U835="","",最佳化斷筋點!U835)</f>
        <v>10</v>
      </c>
      <c r="AU835" s="37">
        <f>IF(最佳化斷筋點!V835="","",最佳化斷筋點!V835)</f>
        <v>10</v>
      </c>
      <c r="AV835" s="37">
        <f>IF(最佳化斷筋點!W835="","",最佳化斷筋點!W835)</f>
        <v>10</v>
      </c>
      <c r="AW835" s="37">
        <f>IF(最佳化斷筋點!X835="","",最佳化斷筋點!X835)</f>
        <v>10</v>
      </c>
      <c r="AZ835" s="37">
        <v>9</v>
      </c>
      <c r="BA835" s="37">
        <v>9</v>
      </c>
      <c r="BB835" s="37">
        <v>9</v>
      </c>
      <c r="BC835" s="37">
        <v>9</v>
      </c>
      <c r="BD835" s="37">
        <v>9</v>
      </c>
      <c r="BE835" s="37">
        <v>9</v>
      </c>
      <c r="BF835" s="37">
        <v>9</v>
      </c>
      <c r="BG835" s="37">
        <v>4</v>
      </c>
      <c r="BH835" s="37">
        <v>4</v>
      </c>
      <c r="BI835" s="37">
        <v>4</v>
      </c>
      <c r="BJ835" s="37">
        <v>4</v>
      </c>
      <c r="BK835" s="37">
        <v>4</v>
      </c>
      <c r="BL835" s="37">
        <v>4</v>
      </c>
      <c r="BM835" s="37">
        <v>9</v>
      </c>
      <c r="BN835" s="37">
        <v>10</v>
      </c>
      <c r="BO835" s="37">
        <v>10</v>
      </c>
      <c r="BP835" s="37">
        <v>10</v>
      </c>
      <c r="BQ835" s="37">
        <v>10</v>
      </c>
      <c r="BR835" s="37">
        <v>10</v>
      </c>
      <c r="BS835" s="37">
        <v>10</v>
      </c>
      <c r="BT835" s="37">
        <v>10</v>
      </c>
    </row>
    <row r="836" spans="5:72" x14ac:dyDescent="0.25">
      <c r="E836" s="36"/>
      <c r="F836" s="36">
        <f t="shared" si="274"/>
        <v>0</v>
      </c>
      <c r="G836" s="36">
        <f t="shared" si="275"/>
        <v>0</v>
      </c>
      <c r="H836" s="36">
        <f t="shared" si="276"/>
        <v>0</v>
      </c>
      <c r="I836" s="36">
        <f t="shared" si="277"/>
        <v>0</v>
      </c>
      <c r="J836" s="36">
        <f t="shared" si="278"/>
        <v>0</v>
      </c>
      <c r="K836" s="36">
        <f t="shared" si="279"/>
        <v>0</v>
      </c>
      <c r="L836" s="36">
        <f t="shared" si="280"/>
        <v>0</v>
      </c>
      <c r="M836" s="36">
        <f t="shared" si="281"/>
        <v>0</v>
      </c>
      <c r="N836" s="36">
        <f t="shared" si="282"/>
        <v>0</v>
      </c>
      <c r="O836" s="36">
        <f t="shared" si="283"/>
        <v>0</v>
      </c>
      <c r="P836" s="36">
        <f t="shared" si="284"/>
        <v>0</v>
      </c>
      <c r="Q836" s="36">
        <f t="shared" si="285"/>
        <v>0</v>
      </c>
      <c r="R836" s="36">
        <f t="shared" si="286"/>
        <v>0</v>
      </c>
      <c r="S836" s="36">
        <f t="shared" si="287"/>
        <v>0</v>
      </c>
      <c r="T836" s="36">
        <f t="shared" si="288"/>
        <v>0</v>
      </c>
      <c r="U836" s="36">
        <f t="shared" si="289"/>
        <v>0</v>
      </c>
      <c r="V836" s="36">
        <f t="shared" si="290"/>
        <v>0</v>
      </c>
      <c r="W836" s="36">
        <f t="shared" si="291"/>
        <v>0</v>
      </c>
      <c r="X836" s="36">
        <f t="shared" si="292"/>
        <v>0</v>
      </c>
      <c r="Y836" s="36">
        <f t="shared" si="293"/>
        <v>0</v>
      </c>
      <c r="Z836" s="36">
        <f t="shared" si="294"/>
        <v>0</v>
      </c>
      <c r="AB836" s="36" t="str">
        <f>IF(最佳化斷筋點!C836="","",最佳化斷筋點!C836)</f>
        <v/>
      </c>
      <c r="AC836" s="37" t="str">
        <f>IF(最佳化斷筋點!D836="","",最佳化斷筋點!D836)</f>
        <v/>
      </c>
      <c r="AD836" s="37" t="str">
        <f>IF(最佳化斷筋點!E836="","",最佳化斷筋點!E836)</f>
        <v/>
      </c>
      <c r="AE836" s="37" t="str">
        <f>IF(最佳化斷筋點!F836="","",最佳化斷筋點!F836)</f>
        <v/>
      </c>
      <c r="AF836" s="37" t="str">
        <f>IF(最佳化斷筋點!G836="","",最佳化斷筋點!G836)</f>
        <v/>
      </c>
      <c r="AG836" s="37" t="str">
        <f>IF(最佳化斷筋點!H836="","",最佳化斷筋點!H836)</f>
        <v/>
      </c>
      <c r="AH836" s="37" t="str">
        <f>IF(最佳化斷筋點!I836="","",最佳化斷筋點!I836)</f>
        <v/>
      </c>
      <c r="AI836" s="37" t="str">
        <f>IF(最佳化斷筋點!J836="","",最佳化斷筋點!J836)</f>
        <v/>
      </c>
      <c r="AJ836" s="37" t="str">
        <f>IF(最佳化斷筋點!K836="","",最佳化斷筋點!K836)</f>
        <v/>
      </c>
      <c r="AK836" s="37" t="str">
        <f>IF(最佳化斷筋點!L836="","",最佳化斷筋點!L836)</f>
        <v/>
      </c>
      <c r="AL836" s="37" t="str">
        <f>IF(最佳化斷筋點!M836="","",最佳化斷筋點!M836)</f>
        <v/>
      </c>
      <c r="AM836" s="37" t="str">
        <f>IF(最佳化斷筋點!N836="","",最佳化斷筋點!N836)</f>
        <v/>
      </c>
      <c r="AN836" s="37" t="str">
        <f>IF(最佳化斷筋點!O836="","",最佳化斷筋點!O836)</f>
        <v/>
      </c>
      <c r="AO836" s="37" t="str">
        <f>IF(最佳化斷筋點!P836="","",最佳化斷筋點!P836)</f>
        <v/>
      </c>
      <c r="AP836" s="37" t="str">
        <f>IF(最佳化斷筋點!Q836="","",最佳化斷筋點!Q836)</f>
        <v/>
      </c>
      <c r="AQ836" s="37" t="str">
        <f>IF(最佳化斷筋點!R836="","",最佳化斷筋點!R836)</f>
        <v/>
      </c>
      <c r="AR836" s="37" t="str">
        <f>IF(最佳化斷筋點!S836="","",最佳化斷筋點!S836)</f>
        <v/>
      </c>
      <c r="AS836" s="37" t="str">
        <f>IF(最佳化斷筋點!T836="","",最佳化斷筋點!T836)</f>
        <v/>
      </c>
      <c r="AT836" s="37" t="str">
        <f>IF(最佳化斷筋點!U836="","",最佳化斷筋點!U836)</f>
        <v/>
      </c>
      <c r="AU836" s="37" t="str">
        <f>IF(最佳化斷筋點!V836="","",最佳化斷筋點!V836)</f>
        <v/>
      </c>
      <c r="AV836" s="37" t="str">
        <f>IF(最佳化斷筋點!W836="","",最佳化斷筋點!W836)</f>
        <v/>
      </c>
      <c r="AW836" s="37" t="str">
        <f>IF(最佳化斷筋點!X836="","",最佳化斷筋點!X836)</f>
        <v/>
      </c>
      <c r="AZ836" s="37" t="s">
        <v>197</v>
      </c>
      <c r="BA836" s="37" t="s">
        <v>197</v>
      </c>
      <c r="BB836" s="37" t="s">
        <v>197</v>
      </c>
      <c r="BC836" s="37" t="s">
        <v>197</v>
      </c>
      <c r="BD836" s="37" t="s">
        <v>197</v>
      </c>
      <c r="BE836" s="37" t="s">
        <v>197</v>
      </c>
      <c r="BF836" s="37" t="s">
        <v>197</v>
      </c>
      <c r="BG836" s="37" t="s">
        <v>197</v>
      </c>
      <c r="BH836" s="37" t="s">
        <v>197</v>
      </c>
      <c r="BI836" s="37" t="s">
        <v>197</v>
      </c>
      <c r="BJ836" s="37" t="s">
        <v>197</v>
      </c>
      <c r="BK836" s="37" t="s">
        <v>197</v>
      </c>
      <c r="BL836" s="37" t="s">
        <v>197</v>
      </c>
      <c r="BM836" s="37" t="s">
        <v>197</v>
      </c>
      <c r="BN836" s="37" t="s">
        <v>197</v>
      </c>
      <c r="BO836" s="37" t="s">
        <v>197</v>
      </c>
      <c r="BP836" s="37" t="s">
        <v>197</v>
      </c>
      <c r="BQ836" s="37" t="s">
        <v>197</v>
      </c>
      <c r="BR836" s="37" t="s">
        <v>197</v>
      </c>
      <c r="BS836" s="37" t="s">
        <v>197</v>
      </c>
      <c r="BT836" s="37" t="s">
        <v>197</v>
      </c>
    </row>
    <row r="837" spans="5:72" x14ac:dyDescent="0.25">
      <c r="E837" s="36" t="s">
        <v>21</v>
      </c>
      <c r="F837" s="36">
        <f t="shared" si="274"/>
        <v>0</v>
      </c>
      <c r="G837" s="36">
        <f t="shared" si="275"/>
        <v>0</v>
      </c>
      <c r="H837" s="36">
        <f t="shared" si="276"/>
        <v>0</v>
      </c>
      <c r="I837" s="36">
        <f t="shared" si="277"/>
        <v>0</v>
      </c>
      <c r="J837" s="36">
        <f t="shared" si="278"/>
        <v>0</v>
      </c>
      <c r="K837" s="36">
        <f t="shared" si="279"/>
        <v>0</v>
      </c>
      <c r="L837" s="36">
        <f t="shared" si="280"/>
        <v>0</v>
      </c>
      <c r="M837" s="36">
        <f t="shared" si="281"/>
        <v>0</v>
      </c>
      <c r="N837" s="36">
        <f t="shared" si="282"/>
        <v>0</v>
      </c>
      <c r="O837" s="36">
        <f t="shared" si="283"/>
        <v>0</v>
      </c>
      <c r="P837" s="36">
        <f t="shared" si="284"/>
        <v>0</v>
      </c>
      <c r="Q837" s="36">
        <f t="shared" si="285"/>
        <v>0</v>
      </c>
      <c r="R837" s="36">
        <f t="shared" si="286"/>
        <v>0</v>
      </c>
      <c r="S837" s="36">
        <f t="shared" si="287"/>
        <v>0</v>
      </c>
      <c r="T837" s="36">
        <f t="shared" si="288"/>
        <v>0</v>
      </c>
      <c r="U837" s="36">
        <f t="shared" si="289"/>
        <v>0</v>
      </c>
      <c r="V837" s="36">
        <f t="shared" si="290"/>
        <v>0</v>
      </c>
      <c r="W837" s="36">
        <f t="shared" si="291"/>
        <v>0</v>
      </c>
      <c r="X837" s="36">
        <f t="shared" si="292"/>
        <v>0</v>
      </c>
      <c r="Y837" s="36">
        <f t="shared" si="293"/>
        <v>0</v>
      </c>
      <c r="Z837" s="36">
        <f t="shared" si="294"/>
        <v>0</v>
      </c>
      <c r="AB837" s="36" t="str">
        <f>IF(最佳化斷筋點!C837="","",最佳化斷筋點!C837)</f>
        <v>下層</v>
      </c>
      <c r="AC837" s="37">
        <f>IF(最佳化斷筋點!D837="","",最佳化斷筋點!D837)</f>
        <v>14</v>
      </c>
      <c r="AD837" s="37">
        <f>IF(最佳化斷筋點!E837="","",最佳化斷筋點!E837)</f>
        <v>14</v>
      </c>
      <c r="AE837" s="37">
        <f>IF(最佳化斷筋點!F837="","",最佳化斷筋點!F837)</f>
        <v>14</v>
      </c>
      <c r="AF837" s="37">
        <f>IF(最佳化斷筋點!G837="","",最佳化斷筋點!G837)</f>
        <v>14</v>
      </c>
      <c r="AG837" s="37">
        <f>IF(最佳化斷筋點!H837="","",最佳化斷筋點!H837)</f>
        <v>14</v>
      </c>
      <c r="AH837" s="37">
        <f>IF(最佳化斷筋點!I837="","",最佳化斷筋點!I837)</f>
        <v>13</v>
      </c>
      <c r="AI837" s="37">
        <f>IF(最佳化斷筋點!J837="","",最佳化斷筋點!J837)</f>
        <v>12</v>
      </c>
      <c r="AJ837" s="37">
        <f>IF(最佳化斷筋點!K837="","",最佳化斷筋點!K837)</f>
        <v>6</v>
      </c>
      <c r="AK837" s="37">
        <f>IF(最佳化斷筋點!L837="","",最佳化斷筋點!L837)</f>
        <v>6</v>
      </c>
      <c r="AL837" s="37">
        <f>IF(最佳化斷筋點!M837="","",最佳化斷筋點!M837)</f>
        <v>6</v>
      </c>
      <c r="AM837" s="37">
        <f>IF(最佳化斷筋點!N837="","",最佳化斷筋點!N837)</f>
        <v>6</v>
      </c>
      <c r="AN837" s="37">
        <f>IF(最佳化斷筋點!O837="","",最佳化斷筋點!O837)</f>
        <v>6</v>
      </c>
      <c r="AO837" s="37">
        <f>IF(最佳化斷筋點!P837="","",最佳化斷筋點!P837)</f>
        <v>6</v>
      </c>
      <c r="AP837" s="37">
        <f>IF(最佳化斷筋點!Q837="","",最佳化斷筋點!Q837)</f>
        <v>9</v>
      </c>
      <c r="AQ837" s="37">
        <f>IF(最佳化斷筋點!R837="","",最佳化斷筋點!R837)</f>
        <v>11</v>
      </c>
      <c r="AR837" s="37">
        <f>IF(最佳化斷筋點!S837="","",最佳化斷筋點!S837)</f>
        <v>12</v>
      </c>
      <c r="AS837" s="37">
        <f>IF(最佳化斷筋點!T837="","",最佳化斷筋點!T837)</f>
        <v>13</v>
      </c>
      <c r="AT837" s="37">
        <f>IF(最佳化斷筋點!U837="","",最佳化斷筋點!U837)</f>
        <v>13</v>
      </c>
      <c r="AU837" s="37">
        <f>IF(最佳化斷筋點!V837="","",最佳化斷筋點!V837)</f>
        <v>13</v>
      </c>
      <c r="AV837" s="37">
        <f>IF(最佳化斷筋點!W837="","",最佳化斷筋點!W837)</f>
        <v>13</v>
      </c>
      <c r="AW837" s="37">
        <f>IF(最佳化斷筋點!X837="","",最佳化斷筋點!X837)</f>
        <v>13</v>
      </c>
      <c r="AZ837" s="37">
        <v>14</v>
      </c>
      <c r="BA837" s="37">
        <v>14</v>
      </c>
      <c r="BB837" s="37">
        <v>14</v>
      </c>
      <c r="BC837" s="37">
        <v>14</v>
      </c>
      <c r="BD837" s="37">
        <v>14</v>
      </c>
      <c r="BE837" s="37">
        <v>13</v>
      </c>
      <c r="BF837" s="37">
        <v>12</v>
      </c>
      <c r="BG837" s="37">
        <v>6</v>
      </c>
      <c r="BH837" s="37">
        <v>6</v>
      </c>
      <c r="BI837" s="37">
        <v>6</v>
      </c>
      <c r="BJ837" s="37">
        <v>6</v>
      </c>
      <c r="BK837" s="37">
        <v>6</v>
      </c>
      <c r="BL837" s="37">
        <v>6</v>
      </c>
      <c r="BM837" s="37">
        <v>9</v>
      </c>
      <c r="BN837" s="37">
        <v>11</v>
      </c>
      <c r="BO837" s="37">
        <v>12</v>
      </c>
      <c r="BP837" s="37">
        <v>13</v>
      </c>
      <c r="BQ837" s="37">
        <v>13</v>
      </c>
      <c r="BR837" s="37">
        <v>13</v>
      </c>
      <c r="BS837" s="37">
        <v>13</v>
      </c>
      <c r="BT837" s="37">
        <v>13</v>
      </c>
    </row>
    <row r="838" spans="5:72" x14ac:dyDescent="0.25">
      <c r="E838" s="36"/>
      <c r="F838" s="36">
        <f t="shared" si="274"/>
        <v>0</v>
      </c>
      <c r="G838" s="36">
        <f t="shared" si="275"/>
        <v>0</v>
      </c>
      <c r="H838" s="36">
        <f t="shared" si="276"/>
        <v>0</v>
      </c>
      <c r="I838" s="36">
        <f t="shared" si="277"/>
        <v>0</v>
      </c>
      <c r="J838" s="36">
        <f t="shared" si="278"/>
        <v>0</v>
      </c>
      <c r="K838" s="36">
        <f t="shared" si="279"/>
        <v>0</v>
      </c>
      <c r="L838" s="36">
        <f t="shared" si="280"/>
        <v>0</v>
      </c>
      <c r="M838" s="36">
        <f t="shared" si="281"/>
        <v>0</v>
      </c>
      <c r="N838" s="36">
        <f t="shared" si="282"/>
        <v>0</v>
      </c>
      <c r="O838" s="36">
        <f t="shared" si="283"/>
        <v>0</v>
      </c>
      <c r="P838" s="36">
        <f t="shared" si="284"/>
        <v>0</v>
      </c>
      <c r="Q838" s="36">
        <f t="shared" si="285"/>
        <v>0</v>
      </c>
      <c r="R838" s="36">
        <f t="shared" si="286"/>
        <v>0</v>
      </c>
      <c r="S838" s="36">
        <f t="shared" si="287"/>
        <v>0</v>
      </c>
      <c r="T838" s="36">
        <f t="shared" si="288"/>
        <v>0</v>
      </c>
      <c r="U838" s="36">
        <f t="shared" si="289"/>
        <v>0</v>
      </c>
      <c r="V838" s="36">
        <f t="shared" si="290"/>
        <v>0</v>
      </c>
      <c r="W838" s="36">
        <f t="shared" si="291"/>
        <v>0</v>
      </c>
      <c r="X838" s="36">
        <f t="shared" si="292"/>
        <v>0</v>
      </c>
      <c r="Y838" s="36">
        <f t="shared" si="293"/>
        <v>0</v>
      </c>
      <c r="Z838" s="36">
        <f t="shared" si="294"/>
        <v>0</v>
      </c>
      <c r="AB838" s="36" t="str">
        <f>IF(最佳化斷筋點!C838="","",最佳化斷筋點!C838)</f>
        <v/>
      </c>
      <c r="AC838" s="37" t="str">
        <f>IF(最佳化斷筋點!D838="","",最佳化斷筋點!D838)</f>
        <v/>
      </c>
      <c r="AD838" s="37" t="str">
        <f>IF(最佳化斷筋點!E838="","",最佳化斷筋點!E838)</f>
        <v/>
      </c>
      <c r="AE838" s="37" t="str">
        <f>IF(最佳化斷筋點!F838="","",最佳化斷筋點!F838)</f>
        <v/>
      </c>
      <c r="AF838" s="37" t="str">
        <f>IF(最佳化斷筋點!G838="","",最佳化斷筋點!G838)</f>
        <v/>
      </c>
      <c r="AG838" s="37" t="str">
        <f>IF(最佳化斷筋點!H838="","",最佳化斷筋點!H838)</f>
        <v/>
      </c>
      <c r="AH838" s="37" t="str">
        <f>IF(最佳化斷筋點!I838="","",最佳化斷筋點!I838)</f>
        <v/>
      </c>
      <c r="AI838" s="37" t="str">
        <f>IF(最佳化斷筋點!J838="","",最佳化斷筋點!J838)</f>
        <v/>
      </c>
      <c r="AJ838" s="37" t="str">
        <f>IF(最佳化斷筋點!K838="","",最佳化斷筋點!K838)</f>
        <v/>
      </c>
      <c r="AK838" s="37" t="str">
        <f>IF(最佳化斷筋點!L838="","",最佳化斷筋點!L838)</f>
        <v/>
      </c>
      <c r="AL838" s="37" t="str">
        <f>IF(最佳化斷筋點!M838="","",最佳化斷筋點!M838)</f>
        <v/>
      </c>
      <c r="AM838" s="37" t="str">
        <f>IF(最佳化斷筋點!N838="","",最佳化斷筋點!N838)</f>
        <v/>
      </c>
      <c r="AN838" s="37" t="str">
        <f>IF(最佳化斷筋點!O838="","",最佳化斷筋點!O838)</f>
        <v/>
      </c>
      <c r="AO838" s="37" t="str">
        <f>IF(最佳化斷筋點!P838="","",最佳化斷筋點!P838)</f>
        <v/>
      </c>
      <c r="AP838" s="37" t="str">
        <f>IF(最佳化斷筋點!Q838="","",最佳化斷筋點!Q838)</f>
        <v/>
      </c>
      <c r="AQ838" s="37" t="str">
        <f>IF(最佳化斷筋點!R838="","",最佳化斷筋點!R838)</f>
        <v/>
      </c>
      <c r="AR838" s="37" t="str">
        <f>IF(最佳化斷筋點!S838="","",最佳化斷筋點!S838)</f>
        <v/>
      </c>
      <c r="AS838" s="37" t="str">
        <f>IF(最佳化斷筋點!T838="","",最佳化斷筋點!T838)</f>
        <v/>
      </c>
      <c r="AT838" s="37" t="str">
        <f>IF(最佳化斷筋點!U838="","",最佳化斷筋點!U838)</f>
        <v/>
      </c>
      <c r="AU838" s="37" t="str">
        <f>IF(最佳化斷筋點!V838="","",最佳化斷筋點!V838)</f>
        <v/>
      </c>
      <c r="AV838" s="37" t="str">
        <f>IF(最佳化斷筋點!W838="","",最佳化斷筋點!W838)</f>
        <v/>
      </c>
      <c r="AW838" s="37" t="str">
        <f>IF(最佳化斷筋點!X838="","",最佳化斷筋點!X838)</f>
        <v/>
      </c>
      <c r="AZ838" s="37" t="s">
        <v>197</v>
      </c>
      <c r="BA838" s="37" t="s">
        <v>197</v>
      </c>
      <c r="BB838" s="37" t="s">
        <v>197</v>
      </c>
      <c r="BC838" s="37" t="s">
        <v>197</v>
      </c>
      <c r="BD838" s="37" t="s">
        <v>197</v>
      </c>
      <c r="BE838" s="37" t="s">
        <v>197</v>
      </c>
      <c r="BF838" s="37" t="s">
        <v>197</v>
      </c>
      <c r="BG838" s="37" t="s">
        <v>197</v>
      </c>
      <c r="BH838" s="37" t="s">
        <v>197</v>
      </c>
      <c r="BI838" s="37" t="s">
        <v>197</v>
      </c>
      <c r="BJ838" s="37" t="s">
        <v>197</v>
      </c>
      <c r="BK838" s="37" t="s">
        <v>197</v>
      </c>
      <c r="BL838" s="37" t="s">
        <v>197</v>
      </c>
      <c r="BM838" s="37" t="s">
        <v>197</v>
      </c>
      <c r="BN838" s="37" t="s">
        <v>197</v>
      </c>
      <c r="BO838" s="37" t="s">
        <v>197</v>
      </c>
      <c r="BP838" s="37" t="s">
        <v>197</v>
      </c>
      <c r="BQ838" s="37" t="s">
        <v>197</v>
      </c>
      <c r="BR838" s="37" t="s">
        <v>197</v>
      </c>
      <c r="BS838" s="37" t="s">
        <v>197</v>
      </c>
      <c r="BT838" s="37" t="s">
        <v>197</v>
      </c>
    </row>
    <row r="839" spans="5:72" x14ac:dyDescent="0.25">
      <c r="E839" s="36" t="s">
        <v>20</v>
      </c>
      <c r="F839" s="36">
        <f t="shared" si="274"/>
        <v>0</v>
      </c>
      <c r="G839" s="36">
        <f t="shared" si="275"/>
        <v>0</v>
      </c>
      <c r="H839" s="36">
        <f t="shared" si="276"/>
        <v>0</v>
      </c>
      <c r="I839" s="36">
        <f t="shared" si="277"/>
        <v>0</v>
      </c>
      <c r="J839" s="36">
        <f t="shared" si="278"/>
        <v>0</v>
      </c>
      <c r="K839" s="36">
        <f t="shared" si="279"/>
        <v>0</v>
      </c>
      <c r="L839" s="36">
        <f t="shared" si="280"/>
        <v>0</v>
      </c>
      <c r="M839" s="36">
        <f t="shared" si="281"/>
        <v>0</v>
      </c>
      <c r="N839" s="36">
        <f t="shared" si="282"/>
        <v>0</v>
      </c>
      <c r="O839" s="36">
        <f t="shared" si="283"/>
        <v>0</v>
      </c>
      <c r="P839" s="36">
        <f t="shared" si="284"/>
        <v>0</v>
      </c>
      <c r="Q839" s="36">
        <f t="shared" si="285"/>
        <v>0</v>
      </c>
      <c r="R839" s="36">
        <f t="shared" si="286"/>
        <v>0</v>
      </c>
      <c r="S839" s="36">
        <f t="shared" si="287"/>
        <v>0</v>
      </c>
      <c r="T839" s="36">
        <f t="shared" si="288"/>
        <v>0</v>
      </c>
      <c r="U839" s="36">
        <f t="shared" si="289"/>
        <v>0</v>
      </c>
      <c r="V839" s="36">
        <f t="shared" si="290"/>
        <v>0</v>
      </c>
      <c r="W839" s="36">
        <f t="shared" si="291"/>
        <v>0</v>
      </c>
      <c r="X839" s="36">
        <f t="shared" si="292"/>
        <v>0</v>
      </c>
      <c r="Y839" s="36">
        <f t="shared" si="293"/>
        <v>0</v>
      </c>
      <c r="Z839" s="36">
        <f t="shared" si="294"/>
        <v>0</v>
      </c>
      <c r="AB839" s="36" t="str">
        <f>IF(最佳化斷筋點!C839="","",最佳化斷筋點!C839)</f>
        <v>上層</v>
      </c>
      <c r="AC839" s="37">
        <f>IF(最佳化斷筋點!D839="","",最佳化斷筋點!D839)</f>
        <v>8</v>
      </c>
      <c r="AD839" s="37">
        <f>IF(最佳化斷筋點!E839="","",最佳化斷筋點!E839)</f>
        <v>8</v>
      </c>
      <c r="AE839" s="37">
        <f>IF(最佳化斷筋點!F839="","",最佳化斷筋點!F839)</f>
        <v>8</v>
      </c>
      <c r="AF839" s="37">
        <f>IF(最佳化斷筋點!G839="","",最佳化斷筋點!G839)</f>
        <v>8</v>
      </c>
      <c r="AG839" s="37">
        <f>IF(最佳化斷筋點!H839="","",最佳化斷筋點!H839)</f>
        <v>8</v>
      </c>
      <c r="AH839" s="37">
        <f>IF(最佳化斷筋點!I839="","",最佳化斷筋點!I839)</f>
        <v>8</v>
      </c>
      <c r="AI839" s="37">
        <f>IF(最佳化斷筋點!J839="","",最佳化斷筋點!J839)</f>
        <v>8</v>
      </c>
      <c r="AJ839" s="37">
        <f>IF(最佳化斷筋點!K839="","",最佳化斷筋點!K839)</f>
        <v>4</v>
      </c>
      <c r="AK839" s="37">
        <f>IF(最佳化斷筋點!L839="","",最佳化斷筋點!L839)</f>
        <v>4</v>
      </c>
      <c r="AL839" s="37">
        <f>IF(最佳化斷筋點!M839="","",最佳化斷筋點!M839)</f>
        <v>4</v>
      </c>
      <c r="AM839" s="37">
        <f>IF(最佳化斷筋點!N839="","",最佳化斷筋點!N839)</f>
        <v>4</v>
      </c>
      <c r="AN839" s="37">
        <f>IF(最佳化斷筋點!O839="","",最佳化斷筋點!O839)</f>
        <v>4</v>
      </c>
      <c r="AO839" s="37">
        <f>IF(最佳化斷筋點!P839="","",最佳化斷筋點!P839)</f>
        <v>4</v>
      </c>
      <c r="AP839" s="37">
        <f>IF(最佳化斷筋點!Q839="","",最佳化斷筋點!Q839)</f>
        <v>8</v>
      </c>
      <c r="AQ839" s="37">
        <f>IF(最佳化斷筋點!R839="","",最佳化斷筋點!R839)</f>
        <v>9</v>
      </c>
      <c r="AR839" s="37">
        <f>IF(最佳化斷筋點!S839="","",最佳化斷筋點!S839)</f>
        <v>10</v>
      </c>
      <c r="AS839" s="37">
        <f>IF(最佳化斷筋點!T839="","",最佳化斷筋點!T839)</f>
        <v>10</v>
      </c>
      <c r="AT839" s="37">
        <f>IF(最佳化斷筋點!U839="","",最佳化斷筋點!U839)</f>
        <v>10</v>
      </c>
      <c r="AU839" s="37">
        <f>IF(最佳化斷筋點!V839="","",最佳化斷筋點!V839)</f>
        <v>10</v>
      </c>
      <c r="AV839" s="37">
        <f>IF(最佳化斷筋點!W839="","",最佳化斷筋點!W839)</f>
        <v>10</v>
      </c>
      <c r="AW839" s="37">
        <f>IF(最佳化斷筋點!X839="","",最佳化斷筋點!X839)</f>
        <v>10</v>
      </c>
      <c r="AZ839" s="37">
        <v>8</v>
      </c>
      <c r="BA839" s="37">
        <v>8</v>
      </c>
      <c r="BB839" s="37">
        <v>8</v>
      </c>
      <c r="BC839" s="37">
        <v>8</v>
      </c>
      <c r="BD839" s="37">
        <v>8</v>
      </c>
      <c r="BE839" s="37">
        <v>8</v>
      </c>
      <c r="BF839" s="37">
        <v>8</v>
      </c>
      <c r="BG839" s="37">
        <v>4</v>
      </c>
      <c r="BH839" s="37">
        <v>4</v>
      </c>
      <c r="BI839" s="37">
        <v>4</v>
      </c>
      <c r="BJ839" s="37">
        <v>4</v>
      </c>
      <c r="BK839" s="37">
        <v>4</v>
      </c>
      <c r="BL839" s="37">
        <v>4</v>
      </c>
      <c r="BM839" s="37">
        <v>8</v>
      </c>
      <c r="BN839" s="37">
        <v>9</v>
      </c>
      <c r="BO839" s="37">
        <v>10</v>
      </c>
      <c r="BP839" s="37">
        <v>10</v>
      </c>
      <c r="BQ839" s="37">
        <v>10</v>
      </c>
      <c r="BR839" s="37">
        <v>10</v>
      </c>
      <c r="BS839" s="37">
        <v>10</v>
      </c>
      <c r="BT839" s="37">
        <v>10</v>
      </c>
    </row>
    <row r="840" spans="5:72" x14ac:dyDescent="0.25">
      <c r="E840" s="36"/>
      <c r="F840" s="36">
        <f t="shared" si="274"/>
        <v>0</v>
      </c>
      <c r="G840" s="36">
        <f t="shared" si="275"/>
        <v>0</v>
      </c>
      <c r="H840" s="36">
        <f t="shared" si="276"/>
        <v>0</v>
      </c>
      <c r="I840" s="36">
        <f t="shared" si="277"/>
        <v>0</v>
      </c>
      <c r="J840" s="36">
        <f t="shared" si="278"/>
        <v>0</v>
      </c>
      <c r="K840" s="36">
        <f t="shared" si="279"/>
        <v>0</v>
      </c>
      <c r="L840" s="36">
        <f t="shared" si="280"/>
        <v>0</v>
      </c>
      <c r="M840" s="36">
        <f t="shared" si="281"/>
        <v>0</v>
      </c>
      <c r="N840" s="36">
        <f t="shared" si="282"/>
        <v>0</v>
      </c>
      <c r="O840" s="36">
        <f t="shared" si="283"/>
        <v>0</v>
      </c>
      <c r="P840" s="36">
        <f t="shared" si="284"/>
        <v>0</v>
      </c>
      <c r="Q840" s="36">
        <f t="shared" si="285"/>
        <v>0</v>
      </c>
      <c r="R840" s="36">
        <f t="shared" si="286"/>
        <v>0</v>
      </c>
      <c r="S840" s="36">
        <f t="shared" si="287"/>
        <v>0</v>
      </c>
      <c r="T840" s="36">
        <f t="shared" si="288"/>
        <v>0</v>
      </c>
      <c r="U840" s="36">
        <f t="shared" si="289"/>
        <v>0</v>
      </c>
      <c r="V840" s="36">
        <f t="shared" si="290"/>
        <v>0</v>
      </c>
      <c r="W840" s="36">
        <f t="shared" si="291"/>
        <v>0</v>
      </c>
      <c r="X840" s="36">
        <f t="shared" si="292"/>
        <v>0</v>
      </c>
      <c r="Y840" s="36">
        <f t="shared" si="293"/>
        <v>0</v>
      </c>
      <c r="Z840" s="36">
        <f t="shared" si="294"/>
        <v>0</v>
      </c>
      <c r="AB840" s="36" t="str">
        <f>IF(最佳化斷筋點!C840="","",最佳化斷筋點!C840)</f>
        <v/>
      </c>
      <c r="AC840" s="37" t="str">
        <f>IF(最佳化斷筋點!D840="","",最佳化斷筋點!D840)</f>
        <v/>
      </c>
      <c r="AD840" s="37" t="str">
        <f>IF(最佳化斷筋點!E840="","",最佳化斷筋點!E840)</f>
        <v/>
      </c>
      <c r="AE840" s="37" t="str">
        <f>IF(最佳化斷筋點!F840="","",最佳化斷筋點!F840)</f>
        <v/>
      </c>
      <c r="AF840" s="37" t="str">
        <f>IF(最佳化斷筋點!G840="","",最佳化斷筋點!G840)</f>
        <v/>
      </c>
      <c r="AG840" s="37" t="str">
        <f>IF(最佳化斷筋點!H840="","",最佳化斷筋點!H840)</f>
        <v/>
      </c>
      <c r="AH840" s="37" t="str">
        <f>IF(最佳化斷筋點!I840="","",最佳化斷筋點!I840)</f>
        <v/>
      </c>
      <c r="AI840" s="37" t="str">
        <f>IF(最佳化斷筋點!J840="","",最佳化斷筋點!J840)</f>
        <v/>
      </c>
      <c r="AJ840" s="37" t="str">
        <f>IF(最佳化斷筋點!K840="","",最佳化斷筋點!K840)</f>
        <v/>
      </c>
      <c r="AK840" s="37" t="str">
        <f>IF(最佳化斷筋點!L840="","",最佳化斷筋點!L840)</f>
        <v/>
      </c>
      <c r="AL840" s="37" t="str">
        <f>IF(最佳化斷筋點!M840="","",最佳化斷筋點!M840)</f>
        <v/>
      </c>
      <c r="AM840" s="37" t="str">
        <f>IF(最佳化斷筋點!N840="","",最佳化斷筋點!N840)</f>
        <v/>
      </c>
      <c r="AN840" s="37" t="str">
        <f>IF(最佳化斷筋點!O840="","",最佳化斷筋點!O840)</f>
        <v/>
      </c>
      <c r="AO840" s="37" t="str">
        <f>IF(最佳化斷筋點!P840="","",最佳化斷筋點!P840)</f>
        <v/>
      </c>
      <c r="AP840" s="37" t="str">
        <f>IF(最佳化斷筋點!Q840="","",最佳化斷筋點!Q840)</f>
        <v/>
      </c>
      <c r="AQ840" s="37" t="str">
        <f>IF(最佳化斷筋點!R840="","",最佳化斷筋點!R840)</f>
        <v/>
      </c>
      <c r="AR840" s="37" t="str">
        <f>IF(最佳化斷筋點!S840="","",最佳化斷筋點!S840)</f>
        <v/>
      </c>
      <c r="AS840" s="37" t="str">
        <f>IF(最佳化斷筋點!T840="","",最佳化斷筋點!T840)</f>
        <v/>
      </c>
      <c r="AT840" s="37" t="str">
        <f>IF(最佳化斷筋點!U840="","",最佳化斷筋點!U840)</f>
        <v/>
      </c>
      <c r="AU840" s="37" t="str">
        <f>IF(最佳化斷筋點!V840="","",最佳化斷筋點!V840)</f>
        <v/>
      </c>
      <c r="AV840" s="37" t="str">
        <f>IF(最佳化斷筋點!W840="","",最佳化斷筋點!W840)</f>
        <v/>
      </c>
      <c r="AW840" s="37" t="str">
        <f>IF(最佳化斷筋點!X840="","",最佳化斷筋點!X840)</f>
        <v/>
      </c>
      <c r="AZ840" s="37" t="s">
        <v>197</v>
      </c>
      <c r="BA840" s="37" t="s">
        <v>197</v>
      </c>
      <c r="BB840" s="37" t="s">
        <v>197</v>
      </c>
      <c r="BC840" s="37" t="s">
        <v>197</v>
      </c>
      <c r="BD840" s="37" t="s">
        <v>197</v>
      </c>
      <c r="BE840" s="37" t="s">
        <v>197</v>
      </c>
      <c r="BF840" s="37" t="s">
        <v>197</v>
      </c>
      <c r="BG840" s="37" t="s">
        <v>197</v>
      </c>
      <c r="BH840" s="37" t="s">
        <v>197</v>
      </c>
      <c r="BI840" s="37" t="s">
        <v>197</v>
      </c>
      <c r="BJ840" s="37" t="s">
        <v>197</v>
      </c>
      <c r="BK840" s="37" t="s">
        <v>197</v>
      </c>
      <c r="BL840" s="37" t="s">
        <v>197</v>
      </c>
      <c r="BM840" s="37" t="s">
        <v>197</v>
      </c>
      <c r="BN840" s="37" t="s">
        <v>197</v>
      </c>
      <c r="BO840" s="37" t="s">
        <v>197</v>
      </c>
      <c r="BP840" s="37" t="s">
        <v>197</v>
      </c>
      <c r="BQ840" s="37" t="s">
        <v>197</v>
      </c>
      <c r="BR840" s="37" t="s">
        <v>197</v>
      </c>
      <c r="BS840" s="37" t="s">
        <v>197</v>
      </c>
      <c r="BT840" s="37" t="s">
        <v>197</v>
      </c>
    </row>
    <row r="841" spans="5:72" x14ac:dyDescent="0.25">
      <c r="E841" s="36" t="s">
        <v>21</v>
      </c>
      <c r="F841" s="36">
        <f t="shared" si="274"/>
        <v>0</v>
      </c>
      <c r="G841" s="36">
        <f t="shared" si="275"/>
        <v>0</v>
      </c>
      <c r="H841" s="36">
        <f t="shared" si="276"/>
        <v>0</v>
      </c>
      <c r="I841" s="36">
        <f t="shared" si="277"/>
        <v>0</v>
      </c>
      <c r="J841" s="36">
        <f t="shared" si="278"/>
        <v>0</v>
      </c>
      <c r="K841" s="36">
        <f t="shared" si="279"/>
        <v>0</v>
      </c>
      <c r="L841" s="36">
        <f t="shared" si="280"/>
        <v>0</v>
      </c>
      <c r="M841" s="36">
        <f t="shared" si="281"/>
        <v>0</v>
      </c>
      <c r="N841" s="36">
        <f t="shared" si="282"/>
        <v>0</v>
      </c>
      <c r="O841" s="36">
        <f t="shared" si="283"/>
        <v>0</v>
      </c>
      <c r="P841" s="36">
        <f t="shared" si="284"/>
        <v>0</v>
      </c>
      <c r="Q841" s="36">
        <f t="shared" si="285"/>
        <v>0</v>
      </c>
      <c r="R841" s="36">
        <f t="shared" si="286"/>
        <v>0</v>
      </c>
      <c r="S841" s="36">
        <f t="shared" si="287"/>
        <v>0</v>
      </c>
      <c r="T841" s="36">
        <f t="shared" si="288"/>
        <v>0</v>
      </c>
      <c r="U841" s="36">
        <f t="shared" si="289"/>
        <v>0</v>
      </c>
      <c r="V841" s="36">
        <f t="shared" si="290"/>
        <v>0</v>
      </c>
      <c r="W841" s="36">
        <f t="shared" si="291"/>
        <v>0</v>
      </c>
      <c r="X841" s="36">
        <f t="shared" si="292"/>
        <v>0</v>
      </c>
      <c r="Y841" s="36">
        <f t="shared" si="293"/>
        <v>0</v>
      </c>
      <c r="Z841" s="36">
        <f t="shared" si="294"/>
        <v>0</v>
      </c>
      <c r="AB841" s="36" t="str">
        <f>IF(最佳化斷筋點!C841="","",最佳化斷筋點!C841)</f>
        <v>下層</v>
      </c>
      <c r="AC841" s="37">
        <f>IF(最佳化斷筋點!D841="","",最佳化斷筋點!D841)</f>
        <v>14</v>
      </c>
      <c r="AD841" s="37">
        <f>IF(最佳化斷筋點!E841="","",最佳化斷筋點!E841)</f>
        <v>14</v>
      </c>
      <c r="AE841" s="37">
        <f>IF(最佳化斷筋點!F841="","",最佳化斷筋點!F841)</f>
        <v>14</v>
      </c>
      <c r="AF841" s="37">
        <f>IF(最佳化斷筋點!G841="","",最佳化斷筋點!G841)</f>
        <v>14</v>
      </c>
      <c r="AG841" s="37">
        <f>IF(最佳化斷筋點!H841="","",最佳化斷筋點!H841)</f>
        <v>14</v>
      </c>
      <c r="AH841" s="37">
        <f>IF(最佳化斷筋點!I841="","",最佳化斷筋點!I841)</f>
        <v>13</v>
      </c>
      <c r="AI841" s="37">
        <f>IF(最佳化斷筋點!J841="","",最佳化斷筋點!J841)</f>
        <v>12</v>
      </c>
      <c r="AJ841" s="37">
        <f>IF(最佳化斷筋點!K841="","",最佳化斷筋點!K841)</f>
        <v>5</v>
      </c>
      <c r="AK841" s="37">
        <f>IF(最佳化斷筋點!L841="","",最佳化斷筋點!L841)</f>
        <v>5</v>
      </c>
      <c r="AL841" s="37">
        <f>IF(最佳化斷筋點!M841="","",最佳化斷筋點!M841)</f>
        <v>5</v>
      </c>
      <c r="AM841" s="37">
        <f>IF(最佳化斷筋點!N841="","",最佳化斷筋點!N841)</f>
        <v>5</v>
      </c>
      <c r="AN841" s="37">
        <f>IF(最佳化斷筋點!O841="","",最佳化斷筋點!O841)</f>
        <v>5</v>
      </c>
      <c r="AO841" s="37">
        <f>IF(最佳化斷筋點!P841="","",最佳化斷筋點!P841)</f>
        <v>5</v>
      </c>
      <c r="AP841" s="37">
        <f>IF(最佳化斷筋點!Q841="","",最佳化斷筋點!Q841)</f>
        <v>8</v>
      </c>
      <c r="AQ841" s="37">
        <f>IF(最佳化斷筋點!R841="","",最佳化斷筋點!R841)</f>
        <v>9</v>
      </c>
      <c r="AR841" s="37">
        <f>IF(最佳化斷筋點!S841="","",最佳化斷筋點!S841)</f>
        <v>10</v>
      </c>
      <c r="AS841" s="37">
        <f>IF(最佳化斷筋點!T841="","",最佳化斷筋點!T841)</f>
        <v>11</v>
      </c>
      <c r="AT841" s="37">
        <f>IF(最佳化斷筋點!U841="","",最佳化斷筋點!U841)</f>
        <v>11</v>
      </c>
      <c r="AU841" s="37">
        <f>IF(最佳化斷筋點!V841="","",最佳化斷筋點!V841)</f>
        <v>11</v>
      </c>
      <c r="AV841" s="37">
        <f>IF(最佳化斷筋點!W841="","",最佳化斷筋點!W841)</f>
        <v>11</v>
      </c>
      <c r="AW841" s="37">
        <f>IF(最佳化斷筋點!X841="","",最佳化斷筋點!X841)</f>
        <v>11</v>
      </c>
      <c r="AZ841" s="37">
        <v>14</v>
      </c>
      <c r="BA841" s="37">
        <v>14</v>
      </c>
      <c r="BB841" s="37">
        <v>14</v>
      </c>
      <c r="BC841" s="37">
        <v>14</v>
      </c>
      <c r="BD841" s="37">
        <v>14</v>
      </c>
      <c r="BE841" s="37">
        <v>13</v>
      </c>
      <c r="BF841" s="37">
        <v>12</v>
      </c>
      <c r="BG841" s="37">
        <v>5</v>
      </c>
      <c r="BH841" s="37">
        <v>5</v>
      </c>
      <c r="BI841" s="37">
        <v>5</v>
      </c>
      <c r="BJ841" s="37">
        <v>5</v>
      </c>
      <c r="BK841" s="37">
        <v>5</v>
      </c>
      <c r="BL841" s="37">
        <v>5</v>
      </c>
      <c r="BM841" s="37">
        <v>8</v>
      </c>
      <c r="BN841" s="37">
        <v>9</v>
      </c>
      <c r="BO841" s="37">
        <v>10</v>
      </c>
      <c r="BP841" s="37">
        <v>11</v>
      </c>
      <c r="BQ841" s="37">
        <v>11</v>
      </c>
      <c r="BR841" s="37">
        <v>11</v>
      </c>
      <c r="BS841" s="37">
        <v>11</v>
      </c>
      <c r="BT841" s="37">
        <v>11</v>
      </c>
    </row>
    <row r="842" spans="5:72" x14ac:dyDescent="0.25">
      <c r="E842" s="36"/>
      <c r="F842" s="36">
        <f t="shared" si="274"/>
        <v>0</v>
      </c>
      <c r="G842" s="36">
        <f t="shared" si="275"/>
        <v>0</v>
      </c>
      <c r="H842" s="36">
        <f t="shared" si="276"/>
        <v>0</v>
      </c>
      <c r="I842" s="36">
        <f t="shared" si="277"/>
        <v>0</v>
      </c>
      <c r="J842" s="36">
        <f t="shared" si="278"/>
        <v>0</v>
      </c>
      <c r="K842" s="36">
        <f t="shared" si="279"/>
        <v>0</v>
      </c>
      <c r="L842" s="36">
        <f t="shared" si="280"/>
        <v>0</v>
      </c>
      <c r="M842" s="36">
        <f t="shared" si="281"/>
        <v>0</v>
      </c>
      <c r="N842" s="36">
        <f t="shared" si="282"/>
        <v>0</v>
      </c>
      <c r="O842" s="36">
        <f t="shared" si="283"/>
        <v>0</v>
      </c>
      <c r="P842" s="36">
        <f t="shared" si="284"/>
        <v>0</v>
      </c>
      <c r="Q842" s="36">
        <f t="shared" si="285"/>
        <v>0</v>
      </c>
      <c r="R842" s="36">
        <f t="shared" si="286"/>
        <v>0</v>
      </c>
      <c r="S842" s="36">
        <f t="shared" si="287"/>
        <v>0</v>
      </c>
      <c r="T842" s="36">
        <f t="shared" si="288"/>
        <v>0</v>
      </c>
      <c r="U842" s="36">
        <f t="shared" si="289"/>
        <v>0</v>
      </c>
      <c r="V842" s="36">
        <f t="shared" si="290"/>
        <v>0</v>
      </c>
      <c r="W842" s="36">
        <f t="shared" si="291"/>
        <v>0</v>
      </c>
      <c r="X842" s="36">
        <f t="shared" si="292"/>
        <v>0</v>
      </c>
      <c r="Y842" s="36">
        <f t="shared" si="293"/>
        <v>0</v>
      </c>
      <c r="Z842" s="36">
        <f t="shared" si="294"/>
        <v>0</v>
      </c>
      <c r="AB842" s="36" t="str">
        <f>IF(最佳化斷筋點!C842="","",最佳化斷筋點!C842)</f>
        <v/>
      </c>
      <c r="AC842" s="37" t="str">
        <f>IF(最佳化斷筋點!D842="","",最佳化斷筋點!D842)</f>
        <v/>
      </c>
      <c r="AD842" s="37" t="str">
        <f>IF(最佳化斷筋點!E842="","",最佳化斷筋點!E842)</f>
        <v/>
      </c>
      <c r="AE842" s="37" t="str">
        <f>IF(最佳化斷筋點!F842="","",最佳化斷筋點!F842)</f>
        <v/>
      </c>
      <c r="AF842" s="37" t="str">
        <f>IF(最佳化斷筋點!G842="","",最佳化斷筋點!G842)</f>
        <v/>
      </c>
      <c r="AG842" s="37" t="str">
        <f>IF(最佳化斷筋點!H842="","",最佳化斷筋點!H842)</f>
        <v/>
      </c>
      <c r="AH842" s="37" t="str">
        <f>IF(最佳化斷筋點!I842="","",最佳化斷筋點!I842)</f>
        <v/>
      </c>
      <c r="AI842" s="37" t="str">
        <f>IF(最佳化斷筋點!J842="","",最佳化斷筋點!J842)</f>
        <v/>
      </c>
      <c r="AJ842" s="37" t="str">
        <f>IF(最佳化斷筋點!K842="","",最佳化斷筋點!K842)</f>
        <v/>
      </c>
      <c r="AK842" s="37" t="str">
        <f>IF(最佳化斷筋點!L842="","",最佳化斷筋點!L842)</f>
        <v/>
      </c>
      <c r="AL842" s="37" t="str">
        <f>IF(最佳化斷筋點!M842="","",最佳化斷筋點!M842)</f>
        <v/>
      </c>
      <c r="AM842" s="37" t="str">
        <f>IF(最佳化斷筋點!N842="","",最佳化斷筋點!N842)</f>
        <v/>
      </c>
      <c r="AN842" s="37" t="str">
        <f>IF(最佳化斷筋點!O842="","",最佳化斷筋點!O842)</f>
        <v/>
      </c>
      <c r="AO842" s="37" t="str">
        <f>IF(最佳化斷筋點!P842="","",最佳化斷筋點!P842)</f>
        <v/>
      </c>
      <c r="AP842" s="37" t="str">
        <f>IF(最佳化斷筋點!Q842="","",最佳化斷筋點!Q842)</f>
        <v/>
      </c>
      <c r="AQ842" s="37" t="str">
        <f>IF(最佳化斷筋點!R842="","",最佳化斷筋點!R842)</f>
        <v/>
      </c>
      <c r="AR842" s="37" t="str">
        <f>IF(最佳化斷筋點!S842="","",最佳化斷筋點!S842)</f>
        <v/>
      </c>
      <c r="AS842" s="37" t="str">
        <f>IF(最佳化斷筋點!T842="","",最佳化斷筋點!T842)</f>
        <v/>
      </c>
      <c r="AT842" s="37" t="str">
        <f>IF(最佳化斷筋點!U842="","",最佳化斷筋點!U842)</f>
        <v/>
      </c>
      <c r="AU842" s="37" t="str">
        <f>IF(最佳化斷筋點!V842="","",最佳化斷筋點!V842)</f>
        <v/>
      </c>
      <c r="AV842" s="37" t="str">
        <f>IF(最佳化斷筋點!W842="","",最佳化斷筋點!W842)</f>
        <v/>
      </c>
      <c r="AW842" s="37" t="str">
        <f>IF(最佳化斷筋點!X842="","",最佳化斷筋點!X842)</f>
        <v/>
      </c>
      <c r="AZ842" s="37" t="s">
        <v>197</v>
      </c>
      <c r="BA842" s="37" t="s">
        <v>197</v>
      </c>
      <c r="BB842" s="37" t="s">
        <v>197</v>
      </c>
      <c r="BC842" s="37" t="s">
        <v>197</v>
      </c>
      <c r="BD842" s="37" t="s">
        <v>197</v>
      </c>
      <c r="BE842" s="37" t="s">
        <v>197</v>
      </c>
      <c r="BF842" s="37" t="s">
        <v>197</v>
      </c>
      <c r="BG842" s="37" t="s">
        <v>197</v>
      </c>
      <c r="BH842" s="37" t="s">
        <v>197</v>
      </c>
      <c r="BI842" s="37" t="s">
        <v>197</v>
      </c>
      <c r="BJ842" s="37" t="s">
        <v>197</v>
      </c>
      <c r="BK842" s="37" t="s">
        <v>197</v>
      </c>
      <c r="BL842" s="37" t="s">
        <v>197</v>
      </c>
      <c r="BM842" s="37" t="s">
        <v>197</v>
      </c>
      <c r="BN842" s="37" t="s">
        <v>197</v>
      </c>
      <c r="BO842" s="37" t="s">
        <v>197</v>
      </c>
      <c r="BP842" s="37" t="s">
        <v>197</v>
      </c>
      <c r="BQ842" s="37" t="s">
        <v>197</v>
      </c>
      <c r="BR842" s="37" t="s">
        <v>197</v>
      </c>
      <c r="BS842" s="37" t="s">
        <v>197</v>
      </c>
      <c r="BT842" s="37" t="s">
        <v>197</v>
      </c>
    </row>
    <row r="843" spans="5:72" x14ac:dyDescent="0.25">
      <c r="E843" s="36" t="s">
        <v>20</v>
      </c>
      <c r="F843" s="36">
        <f t="shared" si="274"/>
        <v>0</v>
      </c>
      <c r="G843" s="36">
        <f t="shared" si="275"/>
        <v>0</v>
      </c>
      <c r="H843" s="36">
        <f t="shared" si="276"/>
        <v>0</v>
      </c>
      <c r="I843" s="36">
        <f t="shared" si="277"/>
        <v>0</v>
      </c>
      <c r="J843" s="36">
        <f t="shared" si="278"/>
        <v>0</v>
      </c>
      <c r="K843" s="36">
        <f t="shared" si="279"/>
        <v>0</v>
      </c>
      <c r="L843" s="36">
        <f t="shared" si="280"/>
        <v>0</v>
      </c>
      <c r="M843" s="36">
        <f t="shared" si="281"/>
        <v>0</v>
      </c>
      <c r="N843" s="36">
        <f t="shared" si="282"/>
        <v>0</v>
      </c>
      <c r="O843" s="36">
        <f t="shared" si="283"/>
        <v>0</v>
      </c>
      <c r="P843" s="36">
        <f t="shared" si="284"/>
        <v>0</v>
      </c>
      <c r="Q843" s="36">
        <f t="shared" si="285"/>
        <v>0</v>
      </c>
      <c r="R843" s="36">
        <f t="shared" si="286"/>
        <v>0</v>
      </c>
      <c r="S843" s="36">
        <f t="shared" si="287"/>
        <v>0</v>
      </c>
      <c r="T843" s="36">
        <f t="shared" si="288"/>
        <v>0</v>
      </c>
      <c r="U843" s="36">
        <f t="shared" si="289"/>
        <v>0</v>
      </c>
      <c r="V843" s="36">
        <f t="shared" si="290"/>
        <v>0</v>
      </c>
      <c r="W843" s="36">
        <f t="shared" si="291"/>
        <v>0</v>
      </c>
      <c r="X843" s="36">
        <f t="shared" si="292"/>
        <v>0</v>
      </c>
      <c r="Y843" s="36">
        <f t="shared" si="293"/>
        <v>0</v>
      </c>
      <c r="Z843" s="36">
        <f t="shared" si="294"/>
        <v>0</v>
      </c>
      <c r="AB843" s="36" t="str">
        <f>IF(最佳化斷筋點!C843="","",最佳化斷筋點!C843)</f>
        <v>上層</v>
      </c>
      <c r="AC843" s="37">
        <f>IF(最佳化斷筋點!D843="","",最佳化斷筋點!D843)</f>
        <v>8</v>
      </c>
      <c r="AD843" s="37">
        <f>IF(最佳化斷筋點!E843="","",最佳化斷筋點!E843)</f>
        <v>8</v>
      </c>
      <c r="AE843" s="37">
        <f>IF(最佳化斷筋點!F843="","",最佳化斷筋點!F843)</f>
        <v>8</v>
      </c>
      <c r="AF843" s="37">
        <f>IF(最佳化斷筋點!G843="","",最佳化斷筋點!G843)</f>
        <v>8</v>
      </c>
      <c r="AG843" s="37">
        <f>IF(最佳化斷筋點!H843="","",最佳化斷筋點!H843)</f>
        <v>8</v>
      </c>
      <c r="AH843" s="37">
        <f>IF(最佳化斷筋點!I843="","",最佳化斷筋點!I843)</f>
        <v>7</v>
      </c>
      <c r="AI843" s="37">
        <f>IF(最佳化斷筋點!J843="","",最佳化斷筋點!J843)</f>
        <v>6</v>
      </c>
      <c r="AJ843" s="37">
        <f>IF(最佳化斷筋點!K843="","",最佳化斷筋點!K843)</f>
        <v>3</v>
      </c>
      <c r="AK843" s="37">
        <f>IF(最佳化斷筋點!L843="","",最佳化斷筋點!L843)</f>
        <v>3</v>
      </c>
      <c r="AL843" s="37">
        <f>IF(最佳化斷筋點!M843="","",最佳化斷筋點!M843)</f>
        <v>3</v>
      </c>
      <c r="AM843" s="37">
        <f>IF(最佳化斷筋點!N843="","",最佳化斷筋點!N843)</f>
        <v>3</v>
      </c>
      <c r="AN843" s="37">
        <f>IF(最佳化斷筋點!O843="","",最佳化斷筋點!O843)</f>
        <v>3</v>
      </c>
      <c r="AO843" s="37">
        <f>IF(最佳化斷筋點!P843="","",最佳化斷筋點!P843)</f>
        <v>3</v>
      </c>
      <c r="AP843" s="37">
        <f>IF(最佳化斷筋點!Q843="","",最佳化斷筋點!Q843)</f>
        <v>5</v>
      </c>
      <c r="AQ843" s="37">
        <f>IF(最佳化斷筋點!R843="","",最佳化斷筋點!R843)</f>
        <v>6</v>
      </c>
      <c r="AR843" s="37">
        <f>IF(最佳化斷筋點!S843="","",最佳化斷筋點!S843)</f>
        <v>7</v>
      </c>
      <c r="AS843" s="37">
        <f>IF(最佳化斷筋點!T843="","",最佳化斷筋點!T843)</f>
        <v>8</v>
      </c>
      <c r="AT843" s="37">
        <f>IF(最佳化斷筋點!U843="","",最佳化斷筋點!U843)</f>
        <v>9</v>
      </c>
      <c r="AU843" s="37">
        <f>IF(最佳化斷筋點!V843="","",最佳化斷筋點!V843)</f>
        <v>9</v>
      </c>
      <c r="AV843" s="37">
        <f>IF(最佳化斷筋點!W843="","",最佳化斷筋點!W843)</f>
        <v>9</v>
      </c>
      <c r="AW843" s="37">
        <f>IF(最佳化斷筋點!X843="","",最佳化斷筋點!X843)</f>
        <v>9</v>
      </c>
      <c r="AZ843" s="37">
        <v>8</v>
      </c>
      <c r="BA843" s="37">
        <v>8</v>
      </c>
      <c r="BB843" s="37">
        <v>8</v>
      </c>
      <c r="BC843" s="37">
        <v>8</v>
      </c>
      <c r="BD843" s="37">
        <v>8</v>
      </c>
      <c r="BE843" s="37">
        <v>7</v>
      </c>
      <c r="BF843" s="37">
        <v>6</v>
      </c>
      <c r="BG843" s="37">
        <v>3</v>
      </c>
      <c r="BH843" s="37">
        <v>3</v>
      </c>
      <c r="BI843" s="37">
        <v>3</v>
      </c>
      <c r="BJ843" s="37">
        <v>3</v>
      </c>
      <c r="BK843" s="37">
        <v>3</v>
      </c>
      <c r="BL843" s="37">
        <v>3</v>
      </c>
      <c r="BM843" s="37">
        <v>5</v>
      </c>
      <c r="BN843" s="37">
        <v>6</v>
      </c>
      <c r="BO843" s="37">
        <v>7</v>
      </c>
      <c r="BP843" s="37">
        <v>8</v>
      </c>
      <c r="BQ843" s="37">
        <v>9</v>
      </c>
      <c r="BR843" s="37">
        <v>9</v>
      </c>
      <c r="BS843" s="37">
        <v>9</v>
      </c>
      <c r="BT843" s="37">
        <v>9</v>
      </c>
    </row>
    <row r="844" spans="5:72" x14ac:dyDescent="0.25">
      <c r="E844" s="36"/>
      <c r="F844" s="36">
        <f t="shared" si="274"/>
        <v>0</v>
      </c>
      <c r="G844" s="36">
        <f t="shared" si="275"/>
        <v>0</v>
      </c>
      <c r="H844" s="36">
        <f t="shared" si="276"/>
        <v>0</v>
      </c>
      <c r="I844" s="36">
        <f t="shared" si="277"/>
        <v>0</v>
      </c>
      <c r="J844" s="36">
        <f t="shared" si="278"/>
        <v>0</v>
      </c>
      <c r="K844" s="36">
        <f t="shared" si="279"/>
        <v>0</v>
      </c>
      <c r="L844" s="36">
        <f t="shared" si="280"/>
        <v>0</v>
      </c>
      <c r="M844" s="36">
        <f t="shared" si="281"/>
        <v>0</v>
      </c>
      <c r="N844" s="36">
        <f t="shared" si="282"/>
        <v>0</v>
      </c>
      <c r="O844" s="36">
        <f t="shared" si="283"/>
        <v>0</v>
      </c>
      <c r="P844" s="36">
        <f t="shared" si="284"/>
        <v>0</v>
      </c>
      <c r="Q844" s="36">
        <f t="shared" si="285"/>
        <v>0</v>
      </c>
      <c r="R844" s="36">
        <f t="shared" si="286"/>
        <v>0</v>
      </c>
      <c r="S844" s="36">
        <f t="shared" si="287"/>
        <v>0</v>
      </c>
      <c r="T844" s="36">
        <f t="shared" si="288"/>
        <v>0</v>
      </c>
      <c r="U844" s="36">
        <f t="shared" si="289"/>
        <v>0</v>
      </c>
      <c r="V844" s="36">
        <f t="shared" si="290"/>
        <v>0</v>
      </c>
      <c r="W844" s="36">
        <f t="shared" si="291"/>
        <v>0</v>
      </c>
      <c r="X844" s="36">
        <f t="shared" si="292"/>
        <v>0</v>
      </c>
      <c r="Y844" s="36">
        <f t="shared" si="293"/>
        <v>0</v>
      </c>
      <c r="Z844" s="36">
        <f t="shared" si="294"/>
        <v>0</v>
      </c>
      <c r="AB844" s="36" t="str">
        <f>IF(最佳化斷筋點!C844="","",最佳化斷筋點!C844)</f>
        <v/>
      </c>
      <c r="AC844" s="37" t="str">
        <f>IF(最佳化斷筋點!D844="","",最佳化斷筋點!D844)</f>
        <v/>
      </c>
      <c r="AD844" s="37" t="str">
        <f>IF(最佳化斷筋點!E844="","",最佳化斷筋點!E844)</f>
        <v/>
      </c>
      <c r="AE844" s="37" t="str">
        <f>IF(最佳化斷筋點!F844="","",最佳化斷筋點!F844)</f>
        <v/>
      </c>
      <c r="AF844" s="37" t="str">
        <f>IF(最佳化斷筋點!G844="","",最佳化斷筋點!G844)</f>
        <v/>
      </c>
      <c r="AG844" s="37" t="str">
        <f>IF(最佳化斷筋點!H844="","",最佳化斷筋點!H844)</f>
        <v/>
      </c>
      <c r="AH844" s="37" t="str">
        <f>IF(最佳化斷筋點!I844="","",最佳化斷筋點!I844)</f>
        <v/>
      </c>
      <c r="AI844" s="37" t="str">
        <f>IF(最佳化斷筋點!J844="","",最佳化斷筋點!J844)</f>
        <v/>
      </c>
      <c r="AJ844" s="37" t="str">
        <f>IF(最佳化斷筋點!K844="","",最佳化斷筋點!K844)</f>
        <v/>
      </c>
      <c r="AK844" s="37" t="str">
        <f>IF(最佳化斷筋點!L844="","",最佳化斷筋點!L844)</f>
        <v/>
      </c>
      <c r="AL844" s="37" t="str">
        <f>IF(最佳化斷筋點!M844="","",最佳化斷筋點!M844)</f>
        <v/>
      </c>
      <c r="AM844" s="37" t="str">
        <f>IF(最佳化斷筋點!N844="","",最佳化斷筋點!N844)</f>
        <v/>
      </c>
      <c r="AN844" s="37" t="str">
        <f>IF(最佳化斷筋點!O844="","",最佳化斷筋點!O844)</f>
        <v/>
      </c>
      <c r="AO844" s="37" t="str">
        <f>IF(最佳化斷筋點!P844="","",最佳化斷筋點!P844)</f>
        <v/>
      </c>
      <c r="AP844" s="37" t="str">
        <f>IF(最佳化斷筋點!Q844="","",最佳化斷筋點!Q844)</f>
        <v/>
      </c>
      <c r="AQ844" s="37" t="str">
        <f>IF(最佳化斷筋點!R844="","",最佳化斷筋點!R844)</f>
        <v/>
      </c>
      <c r="AR844" s="37" t="str">
        <f>IF(最佳化斷筋點!S844="","",最佳化斷筋點!S844)</f>
        <v/>
      </c>
      <c r="AS844" s="37" t="str">
        <f>IF(最佳化斷筋點!T844="","",最佳化斷筋點!T844)</f>
        <v/>
      </c>
      <c r="AT844" s="37" t="str">
        <f>IF(最佳化斷筋點!U844="","",最佳化斷筋點!U844)</f>
        <v/>
      </c>
      <c r="AU844" s="37" t="str">
        <f>IF(最佳化斷筋點!V844="","",最佳化斷筋點!V844)</f>
        <v/>
      </c>
      <c r="AV844" s="37" t="str">
        <f>IF(最佳化斷筋點!W844="","",最佳化斷筋點!W844)</f>
        <v/>
      </c>
      <c r="AW844" s="37" t="str">
        <f>IF(最佳化斷筋點!X844="","",最佳化斷筋點!X844)</f>
        <v/>
      </c>
      <c r="AZ844" s="37" t="s">
        <v>197</v>
      </c>
      <c r="BA844" s="37" t="s">
        <v>197</v>
      </c>
      <c r="BB844" s="37" t="s">
        <v>197</v>
      </c>
      <c r="BC844" s="37" t="s">
        <v>197</v>
      </c>
      <c r="BD844" s="37" t="s">
        <v>197</v>
      </c>
      <c r="BE844" s="37" t="s">
        <v>197</v>
      </c>
      <c r="BF844" s="37" t="s">
        <v>197</v>
      </c>
      <c r="BG844" s="37" t="s">
        <v>197</v>
      </c>
      <c r="BH844" s="37" t="s">
        <v>197</v>
      </c>
      <c r="BI844" s="37" t="s">
        <v>197</v>
      </c>
      <c r="BJ844" s="37" t="s">
        <v>197</v>
      </c>
      <c r="BK844" s="37" t="s">
        <v>197</v>
      </c>
      <c r="BL844" s="37" t="s">
        <v>197</v>
      </c>
      <c r="BM844" s="37" t="s">
        <v>197</v>
      </c>
      <c r="BN844" s="37" t="s">
        <v>197</v>
      </c>
      <c r="BO844" s="37" t="s">
        <v>197</v>
      </c>
      <c r="BP844" s="37" t="s">
        <v>197</v>
      </c>
      <c r="BQ844" s="37" t="s">
        <v>197</v>
      </c>
      <c r="BR844" s="37" t="s">
        <v>197</v>
      </c>
      <c r="BS844" s="37" t="s">
        <v>197</v>
      </c>
      <c r="BT844" s="37" t="s">
        <v>197</v>
      </c>
    </row>
    <row r="845" spans="5:72" x14ac:dyDescent="0.25">
      <c r="E845" s="36" t="s">
        <v>21</v>
      </c>
      <c r="F845" s="36">
        <f t="shared" si="274"/>
        <v>0</v>
      </c>
      <c r="G845" s="36">
        <f t="shared" si="275"/>
        <v>0</v>
      </c>
      <c r="H845" s="36">
        <f t="shared" si="276"/>
        <v>0</v>
      </c>
      <c r="I845" s="36">
        <f t="shared" si="277"/>
        <v>0</v>
      </c>
      <c r="J845" s="36">
        <f t="shared" si="278"/>
        <v>0</v>
      </c>
      <c r="K845" s="36">
        <f t="shared" si="279"/>
        <v>0</v>
      </c>
      <c r="L845" s="36">
        <f t="shared" si="280"/>
        <v>0</v>
      </c>
      <c r="M845" s="36">
        <f t="shared" si="281"/>
        <v>0</v>
      </c>
      <c r="N845" s="36">
        <f t="shared" si="282"/>
        <v>0</v>
      </c>
      <c r="O845" s="36">
        <f t="shared" si="283"/>
        <v>0</v>
      </c>
      <c r="P845" s="36">
        <f t="shared" si="284"/>
        <v>0</v>
      </c>
      <c r="Q845" s="36">
        <f t="shared" si="285"/>
        <v>0</v>
      </c>
      <c r="R845" s="36">
        <f t="shared" si="286"/>
        <v>0</v>
      </c>
      <c r="S845" s="36">
        <f t="shared" si="287"/>
        <v>0</v>
      </c>
      <c r="T845" s="36">
        <f t="shared" si="288"/>
        <v>0</v>
      </c>
      <c r="U845" s="36">
        <f t="shared" si="289"/>
        <v>0</v>
      </c>
      <c r="V845" s="36">
        <f t="shared" si="290"/>
        <v>0</v>
      </c>
      <c r="W845" s="36">
        <f t="shared" si="291"/>
        <v>0</v>
      </c>
      <c r="X845" s="36">
        <f t="shared" si="292"/>
        <v>0</v>
      </c>
      <c r="Y845" s="36">
        <f t="shared" si="293"/>
        <v>0</v>
      </c>
      <c r="Z845" s="36">
        <f t="shared" si="294"/>
        <v>0</v>
      </c>
      <c r="AB845" s="36" t="str">
        <f>IF(最佳化斷筋點!C845="","",最佳化斷筋點!C845)</f>
        <v>下層</v>
      </c>
      <c r="AC845" s="37">
        <f>IF(最佳化斷筋點!D845="","",最佳化斷筋點!D845)</f>
        <v>6</v>
      </c>
      <c r="AD845" s="37">
        <f>IF(最佳化斷筋點!E845="","",最佳化斷筋點!E845)</f>
        <v>6</v>
      </c>
      <c r="AE845" s="37">
        <f>IF(最佳化斷筋點!F845="","",最佳化斷筋點!F845)</f>
        <v>6</v>
      </c>
      <c r="AF845" s="37">
        <f>IF(最佳化斷筋點!G845="","",最佳化斷筋點!G845)</f>
        <v>6</v>
      </c>
      <c r="AG845" s="37">
        <f>IF(最佳化斷筋點!H845="","",最佳化斷筋點!H845)</f>
        <v>5</v>
      </c>
      <c r="AH845" s="37">
        <f>IF(最佳化斷筋點!I845="","",最佳化斷筋點!I845)</f>
        <v>5</v>
      </c>
      <c r="AI845" s="37">
        <f>IF(最佳化斷筋點!J845="","",最佳化斷筋點!J845)</f>
        <v>5</v>
      </c>
      <c r="AJ845" s="37">
        <f>IF(最佳化斷筋點!K845="","",最佳化斷筋點!K845)</f>
        <v>5</v>
      </c>
      <c r="AK845" s="37">
        <f>IF(最佳化斷筋點!L845="","",最佳化斷筋點!L845)</f>
        <v>5</v>
      </c>
      <c r="AL845" s="37">
        <f>IF(最佳化斷筋點!M845="","",最佳化斷筋點!M845)</f>
        <v>5</v>
      </c>
      <c r="AM845" s="37">
        <f>IF(最佳化斷筋點!N845="","",最佳化斷筋點!N845)</f>
        <v>5</v>
      </c>
      <c r="AN845" s="37">
        <f>IF(最佳化斷筋點!O845="","",最佳化斷筋點!O845)</f>
        <v>5</v>
      </c>
      <c r="AO845" s="37">
        <f>IF(最佳化斷筋點!P845="","",最佳化斷筋點!P845)</f>
        <v>5</v>
      </c>
      <c r="AP845" s="37">
        <f>IF(最佳化斷筋點!Q845="","",最佳化斷筋點!Q845)</f>
        <v>5</v>
      </c>
      <c r="AQ845" s="37">
        <f>IF(最佳化斷筋點!R845="","",最佳化斷筋點!R845)</f>
        <v>5</v>
      </c>
      <c r="AR845" s="37">
        <f>IF(最佳化斷筋點!S845="","",最佳化斷筋點!S845)</f>
        <v>6</v>
      </c>
      <c r="AS845" s="37">
        <f>IF(最佳化斷筋點!T845="","",最佳化斷筋點!T845)</f>
        <v>6</v>
      </c>
      <c r="AT845" s="37">
        <f>IF(最佳化斷筋點!U845="","",最佳化斷筋點!U845)</f>
        <v>7</v>
      </c>
      <c r="AU845" s="37">
        <f>IF(最佳化斷筋點!V845="","",最佳化斷筋點!V845)</f>
        <v>8</v>
      </c>
      <c r="AV845" s="37">
        <f>IF(最佳化斷筋點!W845="","",最佳化斷筋點!W845)</f>
        <v>8</v>
      </c>
      <c r="AW845" s="37">
        <f>IF(最佳化斷筋點!X845="","",最佳化斷筋點!X845)</f>
        <v>8</v>
      </c>
      <c r="AZ845" s="37">
        <v>6</v>
      </c>
      <c r="BA845" s="37">
        <v>6</v>
      </c>
      <c r="BB845" s="37">
        <v>6</v>
      </c>
      <c r="BC845" s="37">
        <v>6</v>
      </c>
      <c r="BD845" s="37">
        <v>5</v>
      </c>
      <c r="BE845" s="37">
        <v>5</v>
      </c>
      <c r="BF845" s="37">
        <v>5</v>
      </c>
      <c r="BG845" s="37">
        <v>5</v>
      </c>
      <c r="BH845" s="37">
        <v>5</v>
      </c>
      <c r="BI845" s="37">
        <v>5</v>
      </c>
      <c r="BJ845" s="37">
        <v>5</v>
      </c>
      <c r="BK845" s="37">
        <v>5</v>
      </c>
      <c r="BL845" s="37">
        <v>5</v>
      </c>
      <c r="BM845" s="37">
        <v>5</v>
      </c>
      <c r="BN845" s="37">
        <v>5</v>
      </c>
      <c r="BO845" s="37">
        <v>6</v>
      </c>
      <c r="BP845" s="37">
        <v>6</v>
      </c>
      <c r="BQ845" s="37">
        <v>7</v>
      </c>
      <c r="BR845" s="37">
        <v>8</v>
      </c>
      <c r="BS845" s="37">
        <v>8</v>
      </c>
      <c r="BT845" s="37">
        <v>8</v>
      </c>
    </row>
    <row r="846" spans="5:72" x14ac:dyDescent="0.25">
      <c r="E846" s="36"/>
      <c r="F846" s="36">
        <f t="shared" si="274"/>
        <v>0</v>
      </c>
      <c r="G846" s="36">
        <f t="shared" si="275"/>
        <v>0</v>
      </c>
      <c r="H846" s="36">
        <f t="shared" si="276"/>
        <v>0</v>
      </c>
      <c r="I846" s="36">
        <f t="shared" si="277"/>
        <v>0</v>
      </c>
      <c r="J846" s="36">
        <f t="shared" si="278"/>
        <v>0</v>
      </c>
      <c r="K846" s="36">
        <f t="shared" si="279"/>
        <v>0</v>
      </c>
      <c r="L846" s="36">
        <f t="shared" si="280"/>
        <v>0</v>
      </c>
      <c r="M846" s="36">
        <f t="shared" si="281"/>
        <v>0</v>
      </c>
      <c r="N846" s="36">
        <f t="shared" si="282"/>
        <v>0</v>
      </c>
      <c r="O846" s="36">
        <f t="shared" si="283"/>
        <v>0</v>
      </c>
      <c r="P846" s="36">
        <f t="shared" si="284"/>
        <v>0</v>
      </c>
      <c r="Q846" s="36">
        <f t="shared" si="285"/>
        <v>0</v>
      </c>
      <c r="R846" s="36">
        <f t="shared" si="286"/>
        <v>0</v>
      </c>
      <c r="S846" s="36">
        <f t="shared" si="287"/>
        <v>0</v>
      </c>
      <c r="T846" s="36">
        <f t="shared" si="288"/>
        <v>0</v>
      </c>
      <c r="U846" s="36">
        <f t="shared" si="289"/>
        <v>0</v>
      </c>
      <c r="V846" s="36">
        <f t="shared" si="290"/>
        <v>0</v>
      </c>
      <c r="W846" s="36">
        <f t="shared" si="291"/>
        <v>0</v>
      </c>
      <c r="X846" s="36">
        <f t="shared" si="292"/>
        <v>0</v>
      </c>
      <c r="Y846" s="36">
        <f t="shared" si="293"/>
        <v>0</v>
      </c>
      <c r="Z846" s="36">
        <f t="shared" si="294"/>
        <v>0</v>
      </c>
      <c r="AB846" s="36" t="str">
        <f>IF(最佳化斷筋點!C846="","",最佳化斷筋點!C846)</f>
        <v/>
      </c>
      <c r="AC846" s="37" t="str">
        <f>IF(最佳化斷筋點!D846="","",最佳化斷筋點!D846)</f>
        <v/>
      </c>
      <c r="AD846" s="37" t="str">
        <f>IF(最佳化斷筋點!E846="","",最佳化斷筋點!E846)</f>
        <v/>
      </c>
      <c r="AE846" s="37" t="str">
        <f>IF(最佳化斷筋點!F846="","",最佳化斷筋點!F846)</f>
        <v/>
      </c>
      <c r="AF846" s="37" t="str">
        <f>IF(最佳化斷筋點!G846="","",最佳化斷筋點!G846)</f>
        <v/>
      </c>
      <c r="AG846" s="37" t="str">
        <f>IF(最佳化斷筋點!H846="","",最佳化斷筋點!H846)</f>
        <v/>
      </c>
      <c r="AH846" s="37" t="str">
        <f>IF(最佳化斷筋點!I846="","",最佳化斷筋點!I846)</f>
        <v/>
      </c>
      <c r="AI846" s="37" t="str">
        <f>IF(最佳化斷筋點!J846="","",最佳化斷筋點!J846)</f>
        <v/>
      </c>
      <c r="AJ846" s="37" t="str">
        <f>IF(最佳化斷筋點!K846="","",最佳化斷筋點!K846)</f>
        <v/>
      </c>
      <c r="AK846" s="37" t="str">
        <f>IF(最佳化斷筋點!L846="","",最佳化斷筋點!L846)</f>
        <v/>
      </c>
      <c r="AL846" s="37" t="str">
        <f>IF(最佳化斷筋點!M846="","",最佳化斷筋點!M846)</f>
        <v/>
      </c>
      <c r="AM846" s="37" t="str">
        <f>IF(最佳化斷筋點!N846="","",最佳化斷筋點!N846)</f>
        <v/>
      </c>
      <c r="AN846" s="37" t="str">
        <f>IF(最佳化斷筋點!O846="","",最佳化斷筋點!O846)</f>
        <v/>
      </c>
      <c r="AO846" s="37" t="str">
        <f>IF(最佳化斷筋點!P846="","",最佳化斷筋點!P846)</f>
        <v/>
      </c>
      <c r="AP846" s="37" t="str">
        <f>IF(最佳化斷筋點!Q846="","",最佳化斷筋點!Q846)</f>
        <v/>
      </c>
      <c r="AQ846" s="37" t="str">
        <f>IF(最佳化斷筋點!R846="","",最佳化斷筋點!R846)</f>
        <v/>
      </c>
      <c r="AR846" s="37" t="str">
        <f>IF(最佳化斷筋點!S846="","",最佳化斷筋點!S846)</f>
        <v/>
      </c>
      <c r="AS846" s="37" t="str">
        <f>IF(最佳化斷筋點!T846="","",最佳化斷筋點!T846)</f>
        <v/>
      </c>
      <c r="AT846" s="37" t="str">
        <f>IF(最佳化斷筋點!U846="","",最佳化斷筋點!U846)</f>
        <v/>
      </c>
      <c r="AU846" s="37" t="str">
        <f>IF(最佳化斷筋點!V846="","",最佳化斷筋點!V846)</f>
        <v/>
      </c>
      <c r="AV846" s="37" t="str">
        <f>IF(最佳化斷筋點!W846="","",最佳化斷筋點!W846)</f>
        <v/>
      </c>
      <c r="AW846" s="37" t="str">
        <f>IF(最佳化斷筋點!X846="","",最佳化斷筋點!X846)</f>
        <v/>
      </c>
      <c r="AZ846" s="37" t="s">
        <v>197</v>
      </c>
      <c r="BA846" s="37" t="s">
        <v>197</v>
      </c>
      <c r="BB846" s="37" t="s">
        <v>197</v>
      </c>
      <c r="BC846" s="37" t="s">
        <v>197</v>
      </c>
      <c r="BD846" s="37" t="s">
        <v>197</v>
      </c>
      <c r="BE846" s="37" t="s">
        <v>197</v>
      </c>
      <c r="BF846" s="37" t="s">
        <v>197</v>
      </c>
      <c r="BG846" s="37" t="s">
        <v>197</v>
      </c>
      <c r="BH846" s="37" t="s">
        <v>197</v>
      </c>
      <c r="BI846" s="37" t="s">
        <v>197</v>
      </c>
      <c r="BJ846" s="37" t="s">
        <v>197</v>
      </c>
      <c r="BK846" s="37" t="s">
        <v>197</v>
      </c>
      <c r="BL846" s="37" t="s">
        <v>197</v>
      </c>
      <c r="BM846" s="37" t="s">
        <v>197</v>
      </c>
      <c r="BN846" s="37" t="s">
        <v>197</v>
      </c>
      <c r="BO846" s="37" t="s">
        <v>197</v>
      </c>
      <c r="BP846" s="37" t="s">
        <v>197</v>
      </c>
      <c r="BQ846" s="37" t="s">
        <v>197</v>
      </c>
      <c r="BR846" s="37" t="s">
        <v>197</v>
      </c>
      <c r="BS846" s="37" t="s">
        <v>197</v>
      </c>
      <c r="BT846" s="37" t="s">
        <v>197</v>
      </c>
    </row>
    <row r="847" spans="5:72" x14ac:dyDescent="0.25">
      <c r="E847" s="36" t="s">
        <v>20</v>
      </c>
      <c r="F847" s="36">
        <f t="shared" si="274"/>
        <v>0</v>
      </c>
      <c r="G847" s="36">
        <f t="shared" si="275"/>
        <v>0</v>
      </c>
      <c r="H847" s="36">
        <f t="shared" si="276"/>
        <v>0</v>
      </c>
      <c r="I847" s="36">
        <f t="shared" si="277"/>
        <v>0</v>
      </c>
      <c r="J847" s="36">
        <f t="shared" si="278"/>
        <v>0</v>
      </c>
      <c r="K847" s="36">
        <f t="shared" si="279"/>
        <v>0</v>
      </c>
      <c r="L847" s="36">
        <f t="shared" si="280"/>
        <v>0</v>
      </c>
      <c r="M847" s="36">
        <f t="shared" si="281"/>
        <v>0</v>
      </c>
      <c r="N847" s="36">
        <f t="shared" si="282"/>
        <v>0</v>
      </c>
      <c r="O847" s="36">
        <f t="shared" si="283"/>
        <v>0</v>
      </c>
      <c r="P847" s="36">
        <f t="shared" si="284"/>
        <v>0</v>
      </c>
      <c r="Q847" s="36">
        <f t="shared" si="285"/>
        <v>0</v>
      </c>
      <c r="R847" s="36">
        <f t="shared" si="286"/>
        <v>0</v>
      </c>
      <c r="S847" s="36">
        <f t="shared" si="287"/>
        <v>0</v>
      </c>
      <c r="T847" s="36">
        <f t="shared" si="288"/>
        <v>0</v>
      </c>
      <c r="U847" s="36">
        <f t="shared" si="289"/>
        <v>0</v>
      </c>
      <c r="V847" s="36">
        <f t="shared" si="290"/>
        <v>0</v>
      </c>
      <c r="W847" s="36">
        <f t="shared" si="291"/>
        <v>0</v>
      </c>
      <c r="X847" s="36">
        <f t="shared" si="292"/>
        <v>0</v>
      </c>
      <c r="Y847" s="36">
        <f t="shared" si="293"/>
        <v>0</v>
      </c>
      <c r="Z847" s="36">
        <f t="shared" si="294"/>
        <v>0</v>
      </c>
      <c r="AB847" s="36" t="str">
        <f>IF(最佳化斷筋點!C847="","",最佳化斷筋點!C847)</f>
        <v>上層</v>
      </c>
      <c r="AC847" s="37">
        <f>IF(最佳化斷筋點!D847="","",最佳化斷筋點!D847)</f>
        <v>11</v>
      </c>
      <c r="AD847" s="37">
        <f>IF(最佳化斷筋點!E847="","",最佳化斷筋點!E847)</f>
        <v>11</v>
      </c>
      <c r="AE847" s="37">
        <f>IF(最佳化斷筋點!F847="","",最佳化斷筋點!F847)</f>
        <v>11</v>
      </c>
      <c r="AF847" s="37">
        <f>IF(最佳化斷筋點!G847="","",最佳化斷筋點!G847)</f>
        <v>11</v>
      </c>
      <c r="AG847" s="37">
        <f>IF(最佳化斷筋點!H847="","",最佳化斷筋點!H847)</f>
        <v>11</v>
      </c>
      <c r="AH847" s="37">
        <f>IF(最佳化斷筋點!I847="","",最佳化斷筋點!I847)</f>
        <v>11</v>
      </c>
      <c r="AI847" s="37">
        <f>IF(最佳化斷筋點!J847="","",最佳化斷筋點!J847)</f>
        <v>10</v>
      </c>
      <c r="AJ847" s="37">
        <f>IF(最佳化斷筋點!K847="","",最佳化斷筋點!K847)</f>
        <v>5</v>
      </c>
      <c r="AK847" s="37">
        <f>IF(最佳化斷筋點!L847="","",最佳化斷筋點!L847)</f>
        <v>5</v>
      </c>
      <c r="AL847" s="37">
        <f>IF(最佳化斷筋點!M847="","",最佳化斷筋點!M847)</f>
        <v>5</v>
      </c>
      <c r="AM847" s="37">
        <f>IF(最佳化斷筋點!N847="","",最佳化斷筋點!N847)</f>
        <v>5</v>
      </c>
      <c r="AN847" s="37">
        <f>IF(最佳化斷筋點!O847="","",最佳化斷筋點!O847)</f>
        <v>5</v>
      </c>
      <c r="AO847" s="37">
        <f>IF(最佳化斷筋點!P847="","",最佳化斷筋點!P847)</f>
        <v>5</v>
      </c>
      <c r="AP847" s="37">
        <f>IF(最佳化斷筋點!Q847="","",最佳化斷筋點!Q847)</f>
        <v>8</v>
      </c>
      <c r="AQ847" s="37">
        <f>IF(最佳化斷筋點!R847="","",最佳化斷筋點!R847)</f>
        <v>9</v>
      </c>
      <c r="AR847" s="37">
        <f>IF(最佳化斷筋點!S847="","",最佳化斷筋點!S847)</f>
        <v>10</v>
      </c>
      <c r="AS847" s="37">
        <f>IF(最佳化斷筋點!T847="","",最佳化斷筋點!T847)</f>
        <v>10</v>
      </c>
      <c r="AT847" s="37">
        <f>IF(最佳化斷筋點!U847="","",最佳化斷筋點!U847)</f>
        <v>10</v>
      </c>
      <c r="AU847" s="37">
        <f>IF(最佳化斷筋點!V847="","",最佳化斷筋點!V847)</f>
        <v>10</v>
      </c>
      <c r="AV847" s="37">
        <f>IF(最佳化斷筋點!W847="","",最佳化斷筋點!W847)</f>
        <v>10</v>
      </c>
      <c r="AW847" s="37">
        <f>IF(最佳化斷筋點!X847="","",最佳化斷筋點!X847)</f>
        <v>10</v>
      </c>
      <c r="AZ847" s="37">
        <v>11</v>
      </c>
      <c r="BA847" s="37">
        <v>11</v>
      </c>
      <c r="BB847" s="37">
        <v>11</v>
      </c>
      <c r="BC847" s="37">
        <v>11</v>
      </c>
      <c r="BD847" s="37">
        <v>11</v>
      </c>
      <c r="BE847" s="37">
        <v>11</v>
      </c>
      <c r="BF847" s="37">
        <v>10</v>
      </c>
      <c r="BG847" s="37">
        <v>5</v>
      </c>
      <c r="BH847" s="37">
        <v>5</v>
      </c>
      <c r="BI847" s="37">
        <v>5</v>
      </c>
      <c r="BJ847" s="37">
        <v>5</v>
      </c>
      <c r="BK847" s="37">
        <v>5</v>
      </c>
      <c r="BL847" s="37">
        <v>5</v>
      </c>
      <c r="BM847" s="37">
        <v>8</v>
      </c>
      <c r="BN847" s="37">
        <v>9</v>
      </c>
      <c r="BO847" s="37">
        <v>10</v>
      </c>
      <c r="BP847" s="37">
        <v>10</v>
      </c>
      <c r="BQ847" s="37">
        <v>10</v>
      </c>
      <c r="BR847" s="37">
        <v>10</v>
      </c>
      <c r="BS847" s="37">
        <v>10</v>
      </c>
      <c r="BT847" s="37">
        <v>10</v>
      </c>
    </row>
    <row r="848" spans="5:72" x14ac:dyDescent="0.25">
      <c r="E848" s="36"/>
      <c r="F848" s="36">
        <f t="shared" si="274"/>
        <v>0</v>
      </c>
      <c r="G848" s="36">
        <f t="shared" si="275"/>
        <v>0</v>
      </c>
      <c r="H848" s="36">
        <f t="shared" si="276"/>
        <v>0</v>
      </c>
      <c r="I848" s="36">
        <f t="shared" si="277"/>
        <v>0</v>
      </c>
      <c r="J848" s="36">
        <f t="shared" si="278"/>
        <v>0</v>
      </c>
      <c r="K848" s="36">
        <f t="shared" si="279"/>
        <v>0</v>
      </c>
      <c r="L848" s="36">
        <f t="shared" si="280"/>
        <v>0</v>
      </c>
      <c r="M848" s="36">
        <f t="shared" si="281"/>
        <v>0</v>
      </c>
      <c r="N848" s="36">
        <f t="shared" si="282"/>
        <v>0</v>
      </c>
      <c r="O848" s="36">
        <f t="shared" si="283"/>
        <v>0</v>
      </c>
      <c r="P848" s="36">
        <f t="shared" si="284"/>
        <v>0</v>
      </c>
      <c r="Q848" s="36">
        <f t="shared" si="285"/>
        <v>0</v>
      </c>
      <c r="R848" s="36">
        <f t="shared" si="286"/>
        <v>0</v>
      </c>
      <c r="S848" s="36">
        <f t="shared" si="287"/>
        <v>0</v>
      </c>
      <c r="T848" s="36">
        <f t="shared" si="288"/>
        <v>0</v>
      </c>
      <c r="U848" s="36">
        <f t="shared" si="289"/>
        <v>0</v>
      </c>
      <c r="V848" s="36">
        <f t="shared" si="290"/>
        <v>0</v>
      </c>
      <c r="W848" s="36">
        <f t="shared" si="291"/>
        <v>0</v>
      </c>
      <c r="X848" s="36">
        <f t="shared" si="292"/>
        <v>0</v>
      </c>
      <c r="Y848" s="36">
        <f t="shared" si="293"/>
        <v>0</v>
      </c>
      <c r="Z848" s="36">
        <f t="shared" si="294"/>
        <v>0</v>
      </c>
      <c r="AB848" s="36" t="str">
        <f>IF(最佳化斷筋點!C848="","",最佳化斷筋點!C848)</f>
        <v/>
      </c>
      <c r="AC848" s="37" t="str">
        <f>IF(最佳化斷筋點!D848="","",最佳化斷筋點!D848)</f>
        <v/>
      </c>
      <c r="AD848" s="37" t="str">
        <f>IF(最佳化斷筋點!E848="","",最佳化斷筋點!E848)</f>
        <v/>
      </c>
      <c r="AE848" s="37" t="str">
        <f>IF(最佳化斷筋點!F848="","",最佳化斷筋點!F848)</f>
        <v/>
      </c>
      <c r="AF848" s="37" t="str">
        <f>IF(最佳化斷筋點!G848="","",最佳化斷筋點!G848)</f>
        <v/>
      </c>
      <c r="AG848" s="37" t="str">
        <f>IF(最佳化斷筋點!H848="","",最佳化斷筋點!H848)</f>
        <v/>
      </c>
      <c r="AH848" s="37" t="str">
        <f>IF(最佳化斷筋點!I848="","",最佳化斷筋點!I848)</f>
        <v/>
      </c>
      <c r="AI848" s="37" t="str">
        <f>IF(最佳化斷筋點!J848="","",最佳化斷筋點!J848)</f>
        <v/>
      </c>
      <c r="AJ848" s="37" t="str">
        <f>IF(最佳化斷筋點!K848="","",最佳化斷筋點!K848)</f>
        <v/>
      </c>
      <c r="AK848" s="37" t="str">
        <f>IF(最佳化斷筋點!L848="","",最佳化斷筋點!L848)</f>
        <v/>
      </c>
      <c r="AL848" s="37" t="str">
        <f>IF(最佳化斷筋點!M848="","",最佳化斷筋點!M848)</f>
        <v/>
      </c>
      <c r="AM848" s="37" t="str">
        <f>IF(最佳化斷筋點!N848="","",最佳化斷筋點!N848)</f>
        <v/>
      </c>
      <c r="AN848" s="37" t="str">
        <f>IF(最佳化斷筋點!O848="","",最佳化斷筋點!O848)</f>
        <v/>
      </c>
      <c r="AO848" s="37" t="str">
        <f>IF(最佳化斷筋點!P848="","",最佳化斷筋點!P848)</f>
        <v/>
      </c>
      <c r="AP848" s="37" t="str">
        <f>IF(最佳化斷筋點!Q848="","",最佳化斷筋點!Q848)</f>
        <v/>
      </c>
      <c r="AQ848" s="37" t="str">
        <f>IF(最佳化斷筋點!R848="","",最佳化斷筋點!R848)</f>
        <v/>
      </c>
      <c r="AR848" s="37" t="str">
        <f>IF(最佳化斷筋點!S848="","",最佳化斷筋點!S848)</f>
        <v/>
      </c>
      <c r="AS848" s="37" t="str">
        <f>IF(最佳化斷筋點!T848="","",最佳化斷筋點!T848)</f>
        <v/>
      </c>
      <c r="AT848" s="37" t="str">
        <f>IF(最佳化斷筋點!U848="","",最佳化斷筋點!U848)</f>
        <v/>
      </c>
      <c r="AU848" s="37" t="str">
        <f>IF(最佳化斷筋點!V848="","",最佳化斷筋點!V848)</f>
        <v/>
      </c>
      <c r="AV848" s="37" t="str">
        <f>IF(最佳化斷筋點!W848="","",最佳化斷筋點!W848)</f>
        <v/>
      </c>
      <c r="AW848" s="37" t="str">
        <f>IF(最佳化斷筋點!X848="","",最佳化斷筋點!X848)</f>
        <v/>
      </c>
      <c r="AZ848" s="37" t="s">
        <v>197</v>
      </c>
      <c r="BA848" s="37" t="s">
        <v>197</v>
      </c>
      <c r="BB848" s="37" t="s">
        <v>197</v>
      </c>
      <c r="BC848" s="37" t="s">
        <v>197</v>
      </c>
      <c r="BD848" s="37" t="s">
        <v>197</v>
      </c>
      <c r="BE848" s="37" t="s">
        <v>197</v>
      </c>
      <c r="BF848" s="37" t="s">
        <v>197</v>
      </c>
      <c r="BG848" s="37" t="s">
        <v>197</v>
      </c>
      <c r="BH848" s="37" t="s">
        <v>197</v>
      </c>
      <c r="BI848" s="37" t="s">
        <v>197</v>
      </c>
      <c r="BJ848" s="37" t="s">
        <v>197</v>
      </c>
      <c r="BK848" s="37" t="s">
        <v>197</v>
      </c>
      <c r="BL848" s="37" t="s">
        <v>197</v>
      </c>
      <c r="BM848" s="37" t="s">
        <v>197</v>
      </c>
      <c r="BN848" s="37" t="s">
        <v>197</v>
      </c>
      <c r="BO848" s="37" t="s">
        <v>197</v>
      </c>
      <c r="BP848" s="37" t="s">
        <v>197</v>
      </c>
      <c r="BQ848" s="37" t="s">
        <v>197</v>
      </c>
      <c r="BR848" s="37" t="s">
        <v>197</v>
      </c>
      <c r="BS848" s="37" t="s">
        <v>197</v>
      </c>
      <c r="BT848" s="37" t="s">
        <v>197</v>
      </c>
    </row>
    <row r="849" spans="5:72" x14ac:dyDescent="0.25">
      <c r="E849" s="36" t="s">
        <v>21</v>
      </c>
      <c r="F849" s="36">
        <f t="shared" si="274"/>
        <v>0</v>
      </c>
      <c r="G849" s="36">
        <f t="shared" si="275"/>
        <v>0</v>
      </c>
      <c r="H849" s="36">
        <f t="shared" si="276"/>
        <v>0</v>
      </c>
      <c r="I849" s="36">
        <f t="shared" si="277"/>
        <v>0</v>
      </c>
      <c r="J849" s="36">
        <f t="shared" si="278"/>
        <v>0</v>
      </c>
      <c r="K849" s="36">
        <f t="shared" si="279"/>
        <v>0</v>
      </c>
      <c r="L849" s="36">
        <f t="shared" si="280"/>
        <v>0</v>
      </c>
      <c r="M849" s="36">
        <f t="shared" si="281"/>
        <v>0</v>
      </c>
      <c r="N849" s="36">
        <f t="shared" si="282"/>
        <v>0</v>
      </c>
      <c r="O849" s="36">
        <f t="shared" si="283"/>
        <v>0</v>
      </c>
      <c r="P849" s="36">
        <f t="shared" si="284"/>
        <v>0</v>
      </c>
      <c r="Q849" s="36">
        <f t="shared" si="285"/>
        <v>0</v>
      </c>
      <c r="R849" s="36">
        <f t="shared" si="286"/>
        <v>0</v>
      </c>
      <c r="S849" s="36">
        <f t="shared" si="287"/>
        <v>0</v>
      </c>
      <c r="T849" s="36">
        <f t="shared" si="288"/>
        <v>0</v>
      </c>
      <c r="U849" s="36">
        <f t="shared" si="289"/>
        <v>0</v>
      </c>
      <c r="V849" s="36">
        <f t="shared" si="290"/>
        <v>0</v>
      </c>
      <c r="W849" s="36">
        <f t="shared" si="291"/>
        <v>0</v>
      </c>
      <c r="X849" s="36">
        <f t="shared" si="292"/>
        <v>0</v>
      </c>
      <c r="Y849" s="36">
        <f t="shared" si="293"/>
        <v>0</v>
      </c>
      <c r="Z849" s="36">
        <f t="shared" si="294"/>
        <v>0</v>
      </c>
      <c r="AB849" s="36" t="str">
        <f>IF(最佳化斷筋點!C849="","",最佳化斷筋點!C849)</f>
        <v>下層</v>
      </c>
      <c r="AC849" s="37">
        <f>IF(最佳化斷筋點!D849="","",最佳化斷筋點!D849)</f>
        <v>16</v>
      </c>
      <c r="AD849" s="37">
        <f>IF(最佳化斷筋點!E849="","",最佳化斷筋點!E849)</f>
        <v>16</v>
      </c>
      <c r="AE849" s="37">
        <f>IF(最佳化斷筋點!F849="","",最佳化斷筋點!F849)</f>
        <v>16</v>
      </c>
      <c r="AF849" s="37">
        <f>IF(最佳化斷筋點!G849="","",最佳化斷筋點!G849)</f>
        <v>16</v>
      </c>
      <c r="AG849" s="37">
        <f>IF(最佳化斷筋點!H849="","",最佳化斷筋點!H849)</f>
        <v>16</v>
      </c>
      <c r="AH849" s="37">
        <f>IF(最佳化斷筋點!I849="","",最佳化斷筋點!I849)</f>
        <v>15</v>
      </c>
      <c r="AI849" s="37">
        <f>IF(最佳化斷筋點!J849="","",最佳化斷筋點!J849)</f>
        <v>14</v>
      </c>
      <c r="AJ849" s="37">
        <f>IF(最佳化斷筋點!K849="","",最佳化斷筋點!K849)</f>
        <v>5</v>
      </c>
      <c r="AK849" s="37">
        <f>IF(最佳化斷筋點!L849="","",最佳化斷筋點!L849)</f>
        <v>5</v>
      </c>
      <c r="AL849" s="37">
        <f>IF(最佳化斷筋點!M849="","",最佳化斷筋點!M849)</f>
        <v>5</v>
      </c>
      <c r="AM849" s="37">
        <f>IF(最佳化斷筋點!N849="","",最佳化斷筋點!N849)</f>
        <v>5</v>
      </c>
      <c r="AN849" s="37">
        <f>IF(最佳化斷筋點!O849="","",最佳化斷筋點!O849)</f>
        <v>5</v>
      </c>
      <c r="AO849" s="37">
        <f>IF(最佳化斷筋點!P849="","",最佳化斷筋點!P849)</f>
        <v>5</v>
      </c>
      <c r="AP849" s="37">
        <f>IF(最佳化斷筋點!Q849="","",最佳化斷筋點!Q849)</f>
        <v>11</v>
      </c>
      <c r="AQ849" s="37">
        <f>IF(最佳化斷筋點!R849="","",最佳化斷筋點!R849)</f>
        <v>13</v>
      </c>
      <c r="AR849" s="37">
        <f>IF(最佳化斷筋點!S849="","",最佳化斷筋點!S849)</f>
        <v>14</v>
      </c>
      <c r="AS849" s="37">
        <f>IF(最佳化斷筋點!T849="","",最佳化斷筋點!T849)</f>
        <v>16</v>
      </c>
      <c r="AT849" s="37">
        <f>IF(最佳化斷筋點!U849="","",最佳化斷筋點!U849)</f>
        <v>16</v>
      </c>
      <c r="AU849" s="37">
        <f>IF(最佳化斷筋點!V849="","",最佳化斷筋點!V849)</f>
        <v>16</v>
      </c>
      <c r="AV849" s="37">
        <f>IF(最佳化斷筋點!W849="","",最佳化斷筋點!W849)</f>
        <v>16</v>
      </c>
      <c r="AW849" s="37">
        <f>IF(最佳化斷筋點!X849="","",最佳化斷筋點!X849)</f>
        <v>16</v>
      </c>
      <c r="AZ849" s="37">
        <v>16</v>
      </c>
      <c r="BA849" s="37">
        <v>16</v>
      </c>
      <c r="BB849" s="37">
        <v>16</v>
      </c>
      <c r="BC849" s="37">
        <v>16</v>
      </c>
      <c r="BD849" s="37">
        <v>16</v>
      </c>
      <c r="BE849" s="37">
        <v>15</v>
      </c>
      <c r="BF849" s="37">
        <v>14</v>
      </c>
      <c r="BG849" s="37">
        <v>5</v>
      </c>
      <c r="BH849" s="37">
        <v>5</v>
      </c>
      <c r="BI849" s="37">
        <v>5</v>
      </c>
      <c r="BJ849" s="37">
        <v>5</v>
      </c>
      <c r="BK849" s="37">
        <v>5</v>
      </c>
      <c r="BL849" s="37">
        <v>5</v>
      </c>
      <c r="BM849" s="37">
        <v>11</v>
      </c>
      <c r="BN849" s="37">
        <v>13</v>
      </c>
      <c r="BO849" s="37">
        <v>14</v>
      </c>
      <c r="BP849" s="37">
        <v>16</v>
      </c>
      <c r="BQ849" s="37">
        <v>16</v>
      </c>
      <c r="BR849" s="37">
        <v>16</v>
      </c>
      <c r="BS849" s="37">
        <v>16</v>
      </c>
      <c r="BT849" s="37">
        <v>16</v>
      </c>
    </row>
    <row r="850" spans="5:72" x14ac:dyDescent="0.25">
      <c r="E850" s="36"/>
      <c r="F850" s="36">
        <f t="shared" si="274"/>
        <v>0</v>
      </c>
      <c r="G850" s="36">
        <f t="shared" si="275"/>
        <v>0</v>
      </c>
      <c r="H850" s="36">
        <f t="shared" si="276"/>
        <v>0</v>
      </c>
      <c r="I850" s="36">
        <f t="shared" si="277"/>
        <v>0</v>
      </c>
      <c r="J850" s="36">
        <f t="shared" si="278"/>
        <v>0</v>
      </c>
      <c r="K850" s="36">
        <f t="shared" si="279"/>
        <v>0</v>
      </c>
      <c r="L850" s="36">
        <f t="shared" si="280"/>
        <v>0</v>
      </c>
      <c r="M850" s="36">
        <f t="shared" si="281"/>
        <v>0</v>
      </c>
      <c r="N850" s="36">
        <f t="shared" si="282"/>
        <v>0</v>
      </c>
      <c r="O850" s="36">
        <f t="shared" si="283"/>
        <v>0</v>
      </c>
      <c r="P850" s="36">
        <f t="shared" si="284"/>
        <v>0</v>
      </c>
      <c r="Q850" s="36">
        <f t="shared" si="285"/>
        <v>0</v>
      </c>
      <c r="R850" s="36">
        <f t="shared" si="286"/>
        <v>0</v>
      </c>
      <c r="S850" s="36">
        <f t="shared" si="287"/>
        <v>0</v>
      </c>
      <c r="T850" s="36">
        <f t="shared" si="288"/>
        <v>0</v>
      </c>
      <c r="U850" s="36">
        <f t="shared" si="289"/>
        <v>0</v>
      </c>
      <c r="V850" s="36">
        <f t="shared" si="290"/>
        <v>0</v>
      </c>
      <c r="W850" s="36">
        <f t="shared" si="291"/>
        <v>0</v>
      </c>
      <c r="X850" s="36">
        <f t="shared" si="292"/>
        <v>0</v>
      </c>
      <c r="Y850" s="36">
        <f t="shared" si="293"/>
        <v>0</v>
      </c>
      <c r="Z850" s="36">
        <f t="shared" si="294"/>
        <v>0</v>
      </c>
      <c r="AB850" s="36" t="str">
        <f>IF(最佳化斷筋點!C850="","",最佳化斷筋點!C850)</f>
        <v/>
      </c>
      <c r="AC850" s="37" t="str">
        <f>IF(最佳化斷筋點!D850="","",最佳化斷筋點!D850)</f>
        <v/>
      </c>
      <c r="AD850" s="37" t="str">
        <f>IF(最佳化斷筋點!E850="","",最佳化斷筋點!E850)</f>
        <v/>
      </c>
      <c r="AE850" s="37" t="str">
        <f>IF(最佳化斷筋點!F850="","",最佳化斷筋點!F850)</f>
        <v/>
      </c>
      <c r="AF850" s="37" t="str">
        <f>IF(最佳化斷筋點!G850="","",最佳化斷筋點!G850)</f>
        <v/>
      </c>
      <c r="AG850" s="37" t="str">
        <f>IF(最佳化斷筋點!H850="","",最佳化斷筋點!H850)</f>
        <v/>
      </c>
      <c r="AH850" s="37" t="str">
        <f>IF(最佳化斷筋點!I850="","",最佳化斷筋點!I850)</f>
        <v/>
      </c>
      <c r="AI850" s="37" t="str">
        <f>IF(最佳化斷筋點!J850="","",最佳化斷筋點!J850)</f>
        <v/>
      </c>
      <c r="AJ850" s="37" t="str">
        <f>IF(最佳化斷筋點!K850="","",最佳化斷筋點!K850)</f>
        <v/>
      </c>
      <c r="AK850" s="37" t="str">
        <f>IF(最佳化斷筋點!L850="","",最佳化斷筋點!L850)</f>
        <v/>
      </c>
      <c r="AL850" s="37" t="str">
        <f>IF(最佳化斷筋點!M850="","",最佳化斷筋點!M850)</f>
        <v/>
      </c>
      <c r="AM850" s="37" t="str">
        <f>IF(最佳化斷筋點!N850="","",最佳化斷筋點!N850)</f>
        <v/>
      </c>
      <c r="AN850" s="37" t="str">
        <f>IF(最佳化斷筋點!O850="","",最佳化斷筋點!O850)</f>
        <v/>
      </c>
      <c r="AO850" s="37" t="str">
        <f>IF(最佳化斷筋點!P850="","",最佳化斷筋點!P850)</f>
        <v/>
      </c>
      <c r="AP850" s="37" t="str">
        <f>IF(最佳化斷筋點!Q850="","",最佳化斷筋點!Q850)</f>
        <v/>
      </c>
      <c r="AQ850" s="37" t="str">
        <f>IF(最佳化斷筋點!R850="","",最佳化斷筋點!R850)</f>
        <v/>
      </c>
      <c r="AR850" s="37" t="str">
        <f>IF(最佳化斷筋點!S850="","",最佳化斷筋點!S850)</f>
        <v/>
      </c>
      <c r="AS850" s="37" t="str">
        <f>IF(最佳化斷筋點!T850="","",最佳化斷筋點!T850)</f>
        <v/>
      </c>
      <c r="AT850" s="37" t="str">
        <f>IF(最佳化斷筋點!U850="","",最佳化斷筋點!U850)</f>
        <v/>
      </c>
      <c r="AU850" s="37" t="str">
        <f>IF(最佳化斷筋點!V850="","",最佳化斷筋點!V850)</f>
        <v/>
      </c>
      <c r="AV850" s="37" t="str">
        <f>IF(最佳化斷筋點!W850="","",最佳化斷筋點!W850)</f>
        <v/>
      </c>
      <c r="AW850" s="37" t="str">
        <f>IF(最佳化斷筋點!X850="","",最佳化斷筋點!X850)</f>
        <v/>
      </c>
      <c r="AZ850" s="37" t="s">
        <v>197</v>
      </c>
      <c r="BA850" s="37" t="s">
        <v>197</v>
      </c>
      <c r="BB850" s="37" t="s">
        <v>197</v>
      </c>
      <c r="BC850" s="37" t="s">
        <v>197</v>
      </c>
      <c r="BD850" s="37" t="s">
        <v>197</v>
      </c>
      <c r="BE850" s="37" t="s">
        <v>197</v>
      </c>
      <c r="BF850" s="37" t="s">
        <v>197</v>
      </c>
      <c r="BG850" s="37" t="s">
        <v>197</v>
      </c>
      <c r="BH850" s="37" t="s">
        <v>197</v>
      </c>
      <c r="BI850" s="37" t="s">
        <v>197</v>
      </c>
      <c r="BJ850" s="37" t="s">
        <v>197</v>
      </c>
      <c r="BK850" s="37" t="s">
        <v>197</v>
      </c>
      <c r="BL850" s="37" t="s">
        <v>197</v>
      </c>
      <c r="BM850" s="37" t="s">
        <v>197</v>
      </c>
      <c r="BN850" s="37" t="s">
        <v>197</v>
      </c>
      <c r="BO850" s="37" t="s">
        <v>197</v>
      </c>
      <c r="BP850" s="37" t="s">
        <v>197</v>
      </c>
      <c r="BQ850" s="37" t="s">
        <v>197</v>
      </c>
      <c r="BR850" s="37" t="s">
        <v>197</v>
      </c>
      <c r="BS850" s="37" t="s">
        <v>197</v>
      </c>
      <c r="BT850" s="37" t="s">
        <v>197</v>
      </c>
    </row>
    <row r="851" spans="5:72" x14ac:dyDescent="0.25">
      <c r="E851" s="36" t="s">
        <v>20</v>
      </c>
      <c r="F851" s="36">
        <f t="shared" si="274"/>
        <v>0</v>
      </c>
      <c r="G851" s="36">
        <f t="shared" si="275"/>
        <v>0</v>
      </c>
      <c r="H851" s="36">
        <f t="shared" si="276"/>
        <v>0</v>
      </c>
      <c r="I851" s="36">
        <f t="shared" si="277"/>
        <v>0</v>
      </c>
      <c r="J851" s="36">
        <f t="shared" si="278"/>
        <v>0</v>
      </c>
      <c r="K851" s="36">
        <f t="shared" si="279"/>
        <v>0</v>
      </c>
      <c r="L851" s="36">
        <f t="shared" si="280"/>
        <v>0</v>
      </c>
      <c r="M851" s="36">
        <f t="shared" si="281"/>
        <v>0</v>
      </c>
      <c r="N851" s="36">
        <f t="shared" si="282"/>
        <v>0</v>
      </c>
      <c r="O851" s="36">
        <f t="shared" si="283"/>
        <v>0</v>
      </c>
      <c r="P851" s="36">
        <f t="shared" si="284"/>
        <v>0</v>
      </c>
      <c r="Q851" s="36">
        <f t="shared" si="285"/>
        <v>0</v>
      </c>
      <c r="R851" s="36">
        <f t="shared" si="286"/>
        <v>0</v>
      </c>
      <c r="S851" s="36">
        <f t="shared" si="287"/>
        <v>0</v>
      </c>
      <c r="T851" s="36">
        <f t="shared" si="288"/>
        <v>0</v>
      </c>
      <c r="U851" s="36">
        <f t="shared" si="289"/>
        <v>0</v>
      </c>
      <c r="V851" s="36">
        <f t="shared" si="290"/>
        <v>0</v>
      </c>
      <c r="W851" s="36">
        <f t="shared" si="291"/>
        <v>0</v>
      </c>
      <c r="X851" s="36">
        <f t="shared" si="292"/>
        <v>0</v>
      </c>
      <c r="Y851" s="36">
        <f t="shared" si="293"/>
        <v>0</v>
      </c>
      <c r="Z851" s="36">
        <f t="shared" si="294"/>
        <v>0</v>
      </c>
      <c r="AB851" s="36" t="str">
        <f>IF(最佳化斷筋點!C851="","",最佳化斷筋點!C851)</f>
        <v>上層</v>
      </c>
      <c r="AC851" s="37">
        <f>IF(最佳化斷筋點!D851="","",最佳化斷筋點!D851)</f>
        <v>12</v>
      </c>
      <c r="AD851" s="37">
        <f>IF(最佳化斷筋點!E851="","",最佳化斷筋點!E851)</f>
        <v>12</v>
      </c>
      <c r="AE851" s="37">
        <f>IF(最佳化斷筋點!F851="","",最佳化斷筋點!F851)</f>
        <v>12</v>
      </c>
      <c r="AF851" s="37">
        <f>IF(最佳化斷筋點!G851="","",最佳化斷筋點!G851)</f>
        <v>12</v>
      </c>
      <c r="AG851" s="37">
        <f>IF(最佳化斷筋點!H851="","",最佳化斷筋點!H851)</f>
        <v>12</v>
      </c>
      <c r="AH851" s="37">
        <f>IF(最佳化斷筋點!I851="","",最佳化斷筋點!I851)</f>
        <v>12</v>
      </c>
      <c r="AI851" s="37">
        <f>IF(最佳化斷筋點!J851="","",最佳化斷筋點!J851)</f>
        <v>11</v>
      </c>
      <c r="AJ851" s="37">
        <f>IF(最佳化斷筋點!K851="","",最佳化斷筋點!K851)</f>
        <v>4</v>
      </c>
      <c r="AK851" s="37">
        <f>IF(最佳化斷筋點!L851="","",最佳化斷筋點!L851)</f>
        <v>4</v>
      </c>
      <c r="AL851" s="37">
        <f>IF(最佳化斷筋點!M851="","",最佳化斷筋點!M851)</f>
        <v>4</v>
      </c>
      <c r="AM851" s="37">
        <f>IF(最佳化斷筋點!N851="","",最佳化斷筋點!N851)</f>
        <v>4</v>
      </c>
      <c r="AN851" s="37">
        <f>IF(最佳化斷筋點!O851="","",最佳化斷筋點!O851)</f>
        <v>4</v>
      </c>
      <c r="AO851" s="37">
        <f>IF(最佳化斷筋點!P851="","",最佳化斷筋點!P851)</f>
        <v>4</v>
      </c>
      <c r="AP851" s="37">
        <f>IF(最佳化斷筋點!Q851="","",最佳化斷筋點!Q851)</f>
        <v>8</v>
      </c>
      <c r="AQ851" s="37">
        <f>IF(最佳化斷筋點!R851="","",最佳化斷筋點!R851)</f>
        <v>9</v>
      </c>
      <c r="AR851" s="37">
        <f>IF(最佳化斷筋點!S851="","",最佳化斷筋點!S851)</f>
        <v>10</v>
      </c>
      <c r="AS851" s="37">
        <f>IF(最佳化斷筋點!T851="","",最佳化斷筋點!T851)</f>
        <v>10</v>
      </c>
      <c r="AT851" s="37">
        <f>IF(最佳化斷筋點!U851="","",最佳化斷筋點!U851)</f>
        <v>10</v>
      </c>
      <c r="AU851" s="37">
        <f>IF(最佳化斷筋點!V851="","",最佳化斷筋點!V851)</f>
        <v>10</v>
      </c>
      <c r="AV851" s="37">
        <f>IF(最佳化斷筋點!W851="","",最佳化斷筋點!W851)</f>
        <v>10</v>
      </c>
      <c r="AW851" s="37">
        <f>IF(最佳化斷筋點!X851="","",最佳化斷筋點!X851)</f>
        <v>10</v>
      </c>
      <c r="AZ851" s="37">
        <v>12</v>
      </c>
      <c r="BA851" s="37">
        <v>12</v>
      </c>
      <c r="BB851" s="37">
        <v>12</v>
      </c>
      <c r="BC851" s="37">
        <v>12</v>
      </c>
      <c r="BD851" s="37">
        <v>12</v>
      </c>
      <c r="BE851" s="37">
        <v>12</v>
      </c>
      <c r="BF851" s="37">
        <v>11</v>
      </c>
      <c r="BG851" s="37">
        <v>4</v>
      </c>
      <c r="BH851" s="37">
        <v>4</v>
      </c>
      <c r="BI851" s="37">
        <v>4</v>
      </c>
      <c r="BJ851" s="37">
        <v>4</v>
      </c>
      <c r="BK851" s="37">
        <v>4</v>
      </c>
      <c r="BL851" s="37">
        <v>4</v>
      </c>
      <c r="BM851" s="37">
        <v>8</v>
      </c>
      <c r="BN851" s="37">
        <v>9</v>
      </c>
      <c r="BO851" s="37">
        <v>10</v>
      </c>
      <c r="BP851" s="37">
        <v>10</v>
      </c>
      <c r="BQ851" s="37">
        <v>10</v>
      </c>
      <c r="BR851" s="37">
        <v>10</v>
      </c>
      <c r="BS851" s="37">
        <v>10</v>
      </c>
      <c r="BT851" s="37">
        <v>10</v>
      </c>
    </row>
    <row r="852" spans="5:72" x14ac:dyDescent="0.25">
      <c r="E852" s="36"/>
      <c r="F852" s="36">
        <f t="shared" si="274"/>
        <v>0</v>
      </c>
      <c r="G852" s="36">
        <f t="shared" si="275"/>
        <v>0</v>
      </c>
      <c r="H852" s="36">
        <f t="shared" si="276"/>
        <v>0</v>
      </c>
      <c r="I852" s="36">
        <f t="shared" si="277"/>
        <v>0</v>
      </c>
      <c r="J852" s="36">
        <f t="shared" si="278"/>
        <v>0</v>
      </c>
      <c r="K852" s="36">
        <f t="shared" si="279"/>
        <v>0</v>
      </c>
      <c r="L852" s="36">
        <f t="shared" si="280"/>
        <v>0</v>
      </c>
      <c r="M852" s="36">
        <f t="shared" si="281"/>
        <v>0</v>
      </c>
      <c r="N852" s="36">
        <f t="shared" si="282"/>
        <v>0</v>
      </c>
      <c r="O852" s="36">
        <f t="shared" si="283"/>
        <v>0</v>
      </c>
      <c r="P852" s="36">
        <f t="shared" si="284"/>
        <v>0</v>
      </c>
      <c r="Q852" s="36">
        <f t="shared" si="285"/>
        <v>0</v>
      </c>
      <c r="R852" s="36">
        <f t="shared" si="286"/>
        <v>0</v>
      </c>
      <c r="S852" s="36">
        <f t="shared" si="287"/>
        <v>0</v>
      </c>
      <c r="T852" s="36">
        <f t="shared" si="288"/>
        <v>0</v>
      </c>
      <c r="U852" s="36">
        <f t="shared" si="289"/>
        <v>0</v>
      </c>
      <c r="V852" s="36">
        <f t="shared" si="290"/>
        <v>0</v>
      </c>
      <c r="W852" s="36">
        <f t="shared" si="291"/>
        <v>0</v>
      </c>
      <c r="X852" s="36">
        <f t="shared" si="292"/>
        <v>0</v>
      </c>
      <c r="Y852" s="36">
        <f t="shared" si="293"/>
        <v>0</v>
      </c>
      <c r="Z852" s="36">
        <f t="shared" si="294"/>
        <v>0</v>
      </c>
      <c r="AB852" s="36" t="str">
        <f>IF(最佳化斷筋點!C852="","",最佳化斷筋點!C852)</f>
        <v/>
      </c>
      <c r="AC852" s="37" t="str">
        <f>IF(最佳化斷筋點!D852="","",最佳化斷筋點!D852)</f>
        <v/>
      </c>
      <c r="AD852" s="37" t="str">
        <f>IF(最佳化斷筋點!E852="","",最佳化斷筋點!E852)</f>
        <v/>
      </c>
      <c r="AE852" s="37" t="str">
        <f>IF(最佳化斷筋點!F852="","",最佳化斷筋點!F852)</f>
        <v/>
      </c>
      <c r="AF852" s="37" t="str">
        <f>IF(最佳化斷筋點!G852="","",最佳化斷筋點!G852)</f>
        <v/>
      </c>
      <c r="AG852" s="37" t="str">
        <f>IF(最佳化斷筋點!H852="","",最佳化斷筋點!H852)</f>
        <v/>
      </c>
      <c r="AH852" s="37" t="str">
        <f>IF(最佳化斷筋點!I852="","",最佳化斷筋點!I852)</f>
        <v/>
      </c>
      <c r="AI852" s="37" t="str">
        <f>IF(最佳化斷筋點!J852="","",最佳化斷筋點!J852)</f>
        <v/>
      </c>
      <c r="AJ852" s="37" t="str">
        <f>IF(最佳化斷筋點!K852="","",最佳化斷筋點!K852)</f>
        <v/>
      </c>
      <c r="AK852" s="37" t="str">
        <f>IF(最佳化斷筋點!L852="","",最佳化斷筋點!L852)</f>
        <v/>
      </c>
      <c r="AL852" s="37" t="str">
        <f>IF(最佳化斷筋點!M852="","",最佳化斷筋點!M852)</f>
        <v/>
      </c>
      <c r="AM852" s="37" t="str">
        <f>IF(最佳化斷筋點!N852="","",最佳化斷筋點!N852)</f>
        <v/>
      </c>
      <c r="AN852" s="37" t="str">
        <f>IF(最佳化斷筋點!O852="","",最佳化斷筋點!O852)</f>
        <v/>
      </c>
      <c r="AO852" s="37" t="str">
        <f>IF(最佳化斷筋點!P852="","",最佳化斷筋點!P852)</f>
        <v/>
      </c>
      <c r="AP852" s="37" t="str">
        <f>IF(最佳化斷筋點!Q852="","",最佳化斷筋點!Q852)</f>
        <v/>
      </c>
      <c r="AQ852" s="37" t="str">
        <f>IF(最佳化斷筋點!R852="","",最佳化斷筋點!R852)</f>
        <v/>
      </c>
      <c r="AR852" s="37" t="str">
        <f>IF(最佳化斷筋點!S852="","",最佳化斷筋點!S852)</f>
        <v/>
      </c>
      <c r="AS852" s="37" t="str">
        <f>IF(最佳化斷筋點!T852="","",最佳化斷筋點!T852)</f>
        <v/>
      </c>
      <c r="AT852" s="37" t="str">
        <f>IF(最佳化斷筋點!U852="","",最佳化斷筋點!U852)</f>
        <v/>
      </c>
      <c r="AU852" s="37" t="str">
        <f>IF(最佳化斷筋點!V852="","",最佳化斷筋點!V852)</f>
        <v/>
      </c>
      <c r="AV852" s="37" t="str">
        <f>IF(最佳化斷筋點!W852="","",最佳化斷筋點!W852)</f>
        <v/>
      </c>
      <c r="AW852" s="37" t="str">
        <f>IF(最佳化斷筋點!X852="","",最佳化斷筋點!X852)</f>
        <v/>
      </c>
      <c r="AZ852" s="37" t="s">
        <v>197</v>
      </c>
      <c r="BA852" s="37" t="s">
        <v>197</v>
      </c>
      <c r="BB852" s="37" t="s">
        <v>197</v>
      </c>
      <c r="BC852" s="37" t="s">
        <v>197</v>
      </c>
      <c r="BD852" s="37" t="s">
        <v>197</v>
      </c>
      <c r="BE852" s="37" t="s">
        <v>197</v>
      </c>
      <c r="BF852" s="37" t="s">
        <v>197</v>
      </c>
      <c r="BG852" s="37" t="s">
        <v>197</v>
      </c>
      <c r="BH852" s="37" t="s">
        <v>197</v>
      </c>
      <c r="BI852" s="37" t="s">
        <v>197</v>
      </c>
      <c r="BJ852" s="37" t="s">
        <v>197</v>
      </c>
      <c r="BK852" s="37" t="s">
        <v>197</v>
      </c>
      <c r="BL852" s="37" t="s">
        <v>197</v>
      </c>
      <c r="BM852" s="37" t="s">
        <v>197</v>
      </c>
      <c r="BN852" s="37" t="s">
        <v>197</v>
      </c>
      <c r="BO852" s="37" t="s">
        <v>197</v>
      </c>
      <c r="BP852" s="37" t="s">
        <v>197</v>
      </c>
      <c r="BQ852" s="37" t="s">
        <v>197</v>
      </c>
      <c r="BR852" s="37" t="s">
        <v>197</v>
      </c>
      <c r="BS852" s="37" t="s">
        <v>197</v>
      </c>
      <c r="BT852" s="37" t="s">
        <v>197</v>
      </c>
    </row>
    <row r="853" spans="5:72" x14ac:dyDescent="0.25">
      <c r="E853" s="36" t="s">
        <v>21</v>
      </c>
      <c r="F853" s="36">
        <f t="shared" si="274"/>
        <v>0</v>
      </c>
      <c r="G853" s="36">
        <f t="shared" si="275"/>
        <v>0</v>
      </c>
      <c r="H853" s="36">
        <f t="shared" si="276"/>
        <v>0</v>
      </c>
      <c r="I853" s="36">
        <f t="shared" si="277"/>
        <v>0</v>
      </c>
      <c r="J853" s="36">
        <f t="shared" si="278"/>
        <v>0</v>
      </c>
      <c r="K853" s="36">
        <f t="shared" si="279"/>
        <v>0</v>
      </c>
      <c r="L853" s="36">
        <f t="shared" si="280"/>
        <v>0</v>
      </c>
      <c r="M853" s="36">
        <f t="shared" si="281"/>
        <v>0</v>
      </c>
      <c r="N853" s="36">
        <f t="shared" si="282"/>
        <v>0</v>
      </c>
      <c r="O853" s="36">
        <f t="shared" si="283"/>
        <v>0</v>
      </c>
      <c r="P853" s="36">
        <f t="shared" si="284"/>
        <v>0</v>
      </c>
      <c r="Q853" s="36">
        <f t="shared" si="285"/>
        <v>0</v>
      </c>
      <c r="R853" s="36">
        <f t="shared" si="286"/>
        <v>0</v>
      </c>
      <c r="S853" s="36">
        <f t="shared" si="287"/>
        <v>0</v>
      </c>
      <c r="T853" s="36">
        <f t="shared" si="288"/>
        <v>0</v>
      </c>
      <c r="U853" s="36">
        <f t="shared" si="289"/>
        <v>0</v>
      </c>
      <c r="V853" s="36">
        <f t="shared" si="290"/>
        <v>0</v>
      </c>
      <c r="W853" s="36">
        <f t="shared" si="291"/>
        <v>0</v>
      </c>
      <c r="X853" s="36">
        <f t="shared" si="292"/>
        <v>0</v>
      </c>
      <c r="Y853" s="36">
        <f t="shared" si="293"/>
        <v>0</v>
      </c>
      <c r="Z853" s="36">
        <f t="shared" si="294"/>
        <v>0</v>
      </c>
      <c r="AB853" s="36" t="str">
        <f>IF(最佳化斷筋點!C853="","",最佳化斷筋點!C853)</f>
        <v>下層</v>
      </c>
      <c r="AC853" s="37">
        <f>IF(最佳化斷筋點!D853="","",最佳化斷筋點!D853)</f>
        <v>15</v>
      </c>
      <c r="AD853" s="37">
        <f>IF(最佳化斷筋點!E853="","",最佳化斷筋點!E853)</f>
        <v>15</v>
      </c>
      <c r="AE853" s="37">
        <f>IF(最佳化斷筋點!F853="","",最佳化斷筋點!F853)</f>
        <v>15</v>
      </c>
      <c r="AF853" s="37">
        <f>IF(最佳化斷筋點!G853="","",最佳化斷筋點!G853)</f>
        <v>15</v>
      </c>
      <c r="AG853" s="37">
        <f>IF(最佳化斷筋點!H853="","",最佳化斷筋點!H853)</f>
        <v>14</v>
      </c>
      <c r="AH853" s="37">
        <f>IF(最佳化斷筋點!I853="","",最佳化斷筋點!I853)</f>
        <v>13</v>
      </c>
      <c r="AI853" s="37">
        <f>IF(最佳化斷筋點!J853="","",最佳化斷筋點!J853)</f>
        <v>11</v>
      </c>
      <c r="AJ853" s="37">
        <f>IF(最佳化斷筋點!K853="","",最佳化斷筋點!K853)</f>
        <v>5</v>
      </c>
      <c r="AK853" s="37">
        <f>IF(最佳化斷筋點!L853="","",最佳化斷筋點!L853)</f>
        <v>5</v>
      </c>
      <c r="AL853" s="37">
        <f>IF(最佳化斷筋點!M853="","",最佳化斷筋點!M853)</f>
        <v>5</v>
      </c>
      <c r="AM853" s="37">
        <f>IF(最佳化斷筋點!N853="","",最佳化斷筋點!N853)</f>
        <v>5</v>
      </c>
      <c r="AN853" s="37">
        <f>IF(最佳化斷筋點!O853="","",最佳化斷筋點!O853)</f>
        <v>5</v>
      </c>
      <c r="AO853" s="37">
        <f>IF(最佳化斷筋點!P853="","",最佳化斷筋點!P853)</f>
        <v>5</v>
      </c>
      <c r="AP853" s="37">
        <f>IF(最佳化斷筋點!Q853="","",最佳化斷筋點!Q853)</f>
        <v>9</v>
      </c>
      <c r="AQ853" s="37">
        <f>IF(最佳化斷筋點!R853="","",最佳化斷筋點!R853)</f>
        <v>11</v>
      </c>
      <c r="AR853" s="37">
        <f>IF(最佳化斷筋點!S853="","",最佳化斷筋點!S853)</f>
        <v>12</v>
      </c>
      <c r="AS853" s="37">
        <f>IF(最佳化斷筋點!T853="","",最佳化斷筋點!T853)</f>
        <v>14</v>
      </c>
      <c r="AT853" s="37">
        <f>IF(最佳化斷筋點!U853="","",最佳化斷筋點!U853)</f>
        <v>15</v>
      </c>
      <c r="AU853" s="37">
        <f>IF(最佳化斷筋點!V853="","",最佳化斷筋點!V853)</f>
        <v>15</v>
      </c>
      <c r="AV853" s="37">
        <f>IF(最佳化斷筋點!W853="","",最佳化斷筋點!W853)</f>
        <v>15</v>
      </c>
      <c r="AW853" s="37">
        <f>IF(最佳化斷筋點!X853="","",最佳化斷筋點!X853)</f>
        <v>15</v>
      </c>
      <c r="AZ853" s="37">
        <v>15</v>
      </c>
      <c r="BA853" s="37">
        <v>15</v>
      </c>
      <c r="BB853" s="37">
        <v>15</v>
      </c>
      <c r="BC853" s="37">
        <v>15</v>
      </c>
      <c r="BD853" s="37">
        <v>14</v>
      </c>
      <c r="BE853" s="37">
        <v>13</v>
      </c>
      <c r="BF853" s="37">
        <v>11</v>
      </c>
      <c r="BG853" s="37">
        <v>5</v>
      </c>
      <c r="BH853" s="37">
        <v>5</v>
      </c>
      <c r="BI853" s="37">
        <v>5</v>
      </c>
      <c r="BJ853" s="37">
        <v>5</v>
      </c>
      <c r="BK853" s="37">
        <v>5</v>
      </c>
      <c r="BL853" s="37">
        <v>5</v>
      </c>
      <c r="BM853" s="37">
        <v>9</v>
      </c>
      <c r="BN853" s="37">
        <v>11</v>
      </c>
      <c r="BO853" s="37">
        <v>12</v>
      </c>
      <c r="BP853" s="37">
        <v>14</v>
      </c>
      <c r="BQ853" s="37">
        <v>15</v>
      </c>
      <c r="BR853" s="37">
        <v>15</v>
      </c>
      <c r="BS853" s="37">
        <v>15</v>
      </c>
      <c r="BT853" s="37">
        <v>15</v>
      </c>
    </row>
    <row r="854" spans="5:72" x14ac:dyDescent="0.25">
      <c r="E854" s="36"/>
      <c r="F854" s="36">
        <f t="shared" si="274"/>
        <v>0</v>
      </c>
      <c r="G854" s="36">
        <f t="shared" si="275"/>
        <v>0</v>
      </c>
      <c r="H854" s="36">
        <f t="shared" si="276"/>
        <v>0</v>
      </c>
      <c r="I854" s="36">
        <f t="shared" si="277"/>
        <v>0</v>
      </c>
      <c r="J854" s="36">
        <f t="shared" si="278"/>
        <v>0</v>
      </c>
      <c r="K854" s="36">
        <f t="shared" si="279"/>
        <v>0</v>
      </c>
      <c r="L854" s="36">
        <f t="shared" si="280"/>
        <v>0</v>
      </c>
      <c r="M854" s="36">
        <f t="shared" si="281"/>
        <v>0</v>
      </c>
      <c r="N854" s="36">
        <f t="shared" si="282"/>
        <v>0</v>
      </c>
      <c r="O854" s="36">
        <f t="shared" si="283"/>
        <v>0</v>
      </c>
      <c r="P854" s="36">
        <f t="shared" si="284"/>
        <v>0</v>
      </c>
      <c r="Q854" s="36">
        <f t="shared" si="285"/>
        <v>0</v>
      </c>
      <c r="R854" s="36">
        <f t="shared" si="286"/>
        <v>0</v>
      </c>
      <c r="S854" s="36">
        <f t="shared" si="287"/>
        <v>0</v>
      </c>
      <c r="T854" s="36">
        <f t="shared" si="288"/>
        <v>0</v>
      </c>
      <c r="U854" s="36">
        <f t="shared" si="289"/>
        <v>0</v>
      </c>
      <c r="V854" s="36">
        <f t="shared" si="290"/>
        <v>0</v>
      </c>
      <c r="W854" s="36">
        <f t="shared" si="291"/>
        <v>0</v>
      </c>
      <c r="X854" s="36">
        <f t="shared" si="292"/>
        <v>0</v>
      </c>
      <c r="Y854" s="36">
        <f t="shared" si="293"/>
        <v>0</v>
      </c>
      <c r="Z854" s="36">
        <f t="shared" si="294"/>
        <v>0</v>
      </c>
      <c r="AB854" s="36" t="str">
        <f>IF(最佳化斷筋點!C854="","",最佳化斷筋點!C854)</f>
        <v/>
      </c>
      <c r="AC854" s="37" t="str">
        <f>IF(最佳化斷筋點!D854="","",最佳化斷筋點!D854)</f>
        <v/>
      </c>
      <c r="AD854" s="37" t="str">
        <f>IF(最佳化斷筋點!E854="","",最佳化斷筋點!E854)</f>
        <v/>
      </c>
      <c r="AE854" s="37" t="str">
        <f>IF(最佳化斷筋點!F854="","",最佳化斷筋點!F854)</f>
        <v/>
      </c>
      <c r="AF854" s="37" t="str">
        <f>IF(最佳化斷筋點!G854="","",最佳化斷筋點!G854)</f>
        <v/>
      </c>
      <c r="AG854" s="37" t="str">
        <f>IF(最佳化斷筋點!H854="","",最佳化斷筋點!H854)</f>
        <v/>
      </c>
      <c r="AH854" s="37" t="str">
        <f>IF(最佳化斷筋點!I854="","",最佳化斷筋點!I854)</f>
        <v/>
      </c>
      <c r="AI854" s="37" t="str">
        <f>IF(最佳化斷筋點!J854="","",最佳化斷筋點!J854)</f>
        <v/>
      </c>
      <c r="AJ854" s="37" t="str">
        <f>IF(最佳化斷筋點!K854="","",最佳化斷筋點!K854)</f>
        <v/>
      </c>
      <c r="AK854" s="37" t="str">
        <f>IF(最佳化斷筋點!L854="","",最佳化斷筋點!L854)</f>
        <v/>
      </c>
      <c r="AL854" s="37" t="str">
        <f>IF(最佳化斷筋點!M854="","",最佳化斷筋點!M854)</f>
        <v/>
      </c>
      <c r="AM854" s="37" t="str">
        <f>IF(最佳化斷筋點!N854="","",最佳化斷筋點!N854)</f>
        <v/>
      </c>
      <c r="AN854" s="37" t="str">
        <f>IF(最佳化斷筋點!O854="","",最佳化斷筋點!O854)</f>
        <v/>
      </c>
      <c r="AO854" s="37" t="str">
        <f>IF(最佳化斷筋點!P854="","",最佳化斷筋點!P854)</f>
        <v/>
      </c>
      <c r="AP854" s="37" t="str">
        <f>IF(最佳化斷筋點!Q854="","",最佳化斷筋點!Q854)</f>
        <v/>
      </c>
      <c r="AQ854" s="37" t="str">
        <f>IF(最佳化斷筋點!R854="","",最佳化斷筋點!R854)</f>
        <v/>
      </c>
      <c r="AR854" s="37" t="str">
        <f>IF(最佳化斷筋點!S854="","",最佳化斷筋點!S854)</f>
        <v/>
      </c>
      <c r="AS854" s="37" t="str">
        <f>IF(最佳化斷筋點!T854="","",最佳化斷筋點!T854)</f>
        <v/>
      </c>
      <c r="AT854" s="37" t="str">
        <f>IF(最佳化斷筋點!U854="","",最佳化斷筋點!U854)</f>
        <v/>
      </c>
      <c r="AU854" s="37" t="str">
        <f>IF(最佳化斷筋點!V854="","",最佳化斷筋點!V854)</f>
        <v/>
      </c>
      <c r="AV854" s="37" t="str">
        <f>IF(最佳化斷筋點!W854="","",最佳化斷筋點!W854)</f>
        <v/>
      </c>
      <c r="AW854" s="37" t="str">
        <f>IF(最佳化斷筋點!X854="","",最佳化斷筋點!X854)</f>
        <v/>
      </c>
      <c r="AZ854" s="37" t="s">
        <v>197</v>
      </c>
      <c r="BA854" s="37" t="s">
        <v>197</v>
      </c>
      <c r="BB854" s="37" t="s">
        <v>197</v>
      </c>
      <c r="BC854" s="37" t="s">
        <v>197</v>
      </c>
      <c r="BD854" s="37" t="s">
        <v>197</v>
      </c>
      <c r="BE854" s="37" t="s">
        <v>197</v>
      </c>
      <c r="BF854" s="37" t="s">
        <v>197</v>
      </c>
      <c r="BG854" s="37" t="s">
        <v>197</v>
      </c>
      <c r="BH854" s="37" t="s">
        <v>197</v>
      </c>
      <c r="BI854" s="37" t="s">
        <v>197</v>
      </c>
      <c r="BJ854" s="37" t="s">
        <v>197</v>
      </c>
      <c r="BK854" s="37" t="s">
        <v>197</v>
      </c>
      <c r="BL854" s="37" t="s">
        <v>197</v>
      </c>
      <c r="BM854" s="37" t="s">
        <v>197</v>
      </c>
      <c r="BN854" s="37" t="s">
        <v>197</v>
      </c>
      <c r="BO854" s="37" t="s">
        <v>197</v>
      </c>
      <c r="BP854" s="37" t="s">
        <v>197</v>
      </c>
      <c r="BQ854" s="37" t="s">
        <v>197</v>
      </c>
      <c r="BR854" s="37" t="s">
        <v>197</v>
      </c>
      <c r="BS854" s="37" t="s">
        <v>197</v>
      </c>
      <c r="BT854" s="37" t="s">
        <v>197</v>
      </c>
    </row>
    <row r="855" spans="5:72" x14ac:dyDescent="0.25">
      <c r="E855" s="36" t="s">
        <v>20</v>
      </c>
      <c r="F855" s="36">
        <f t="shared" si="274"/>
        <v>0</v>
      </c>
      <c r="G855" s="36">
        <f t="shared" si="275"/>
        <v>0</v>
      </c>
      <c r="H855" s="36">
        <f t="shared" si="276"/>
        <v>0</v>
      </c>
      <c r="I855" s="36">
        <f t="shared" si="277"/>
        <v>0</v>
      </c>
      <c r="J855" s="36">
        <f t="shared" si="278"/>
        <v>0</v>
      </c>
      <c r="K855" s="36">
        <f t="shared" si="279"/>
        <v>0</v>
      </c>
      <c r="L855" s="36">
        <f t="shared" si="280"/>
        <v>0</v>
      </c>
      <c r="M855" s="36">
        <f t="shared" si="281"/>
        <v>0</v>
      </c>
      <c r="N855" s="36">
        <f t="shared" si="282"/>
        <v>0</v>
      </c>
      <c r="O855" s="36">
        <f t="shared" si="283"/>
        <v>0</v>
      </c>
      <c r="P855" s="36">
        <f t="shared" si="284"/>
        <v>0</v>
      </c>
      <c r="Q855" s="36">
        <f t="shared" si="285"/>
        <v>0</v>
      </c>
      <c r="R855" s="36">
        <f t="shared" si="286"/>
        <v>0</v>
      </c>
      <c r="S855" s="36">
        <f t="shared" si="287"/>
        <v>0</v>
      </c>
      <c r="T855" s="36">
        <f t="shared" si="288"/>
        <v>0</v>
      </c>
      <c r="U855" s="36">
        <f t="shared" si="289"/>
        <v>0</v>
      </c>
      <c r="V855" s="36">
        <f t="shared" si="290"/>
        <v>0</v>
      </c>
      <c r="W855" s="36">
        <f t="shared" si="291"/>
        <v>0</v>
      </c>
      <c r="X855" s="36">
        <f t="shared" si="292"/>
        <v>0</v>
      </c>
      <c r="Y855" s="36">
        <f t="shared" si="293"/>
        <v>0</v>
      </c>
      <c r="Z855" s="36">
        <f t="shared" si="294"/>
        <v>0</v>
      </c>
      <c r="AB855" s="36" t="str">
        <f>IF(最佳化斷筋點!C855="","",最佳化斷筋點!C855)</f>
        <v>上層</v>
      </c>
      <c r="AC855" s="37">
        <f>IF(最佳化斷筋點!D855="","",最佳化斷筋點!D855)</f>
        <v>10</v>
      </c>
      <c r="AD855" s="37">
        <f>IF(最佳化斷筋點!E855="","",最佳化斷筋點!E855)</f>
        <v>10</v>
      </c>
      <c r="AE855" s="37">
        <f>IF(最佳化斷筋點!F855="","",最佳化斷筋點!F855)</f>
        <v>10</v>
      </c>
      <c r="AF855" s="37">
        <f>IF(最佳化斷筋點!G855="","",最佳化斷筋點!G855)</f>
        <v>10</v>
      </c>
      <c r="AG855" s="37">
        <f>IF(最佳化斷筋點!H855="","",最佳化斷筋點!H855)</f>
        <v>10</v>
      </c>
      <c r="AH855" s="37">
        <f>IF(最佳化斷筋點!I855="","",最佳化斷筋點!I855)</f>
        <v>10</v>
      </c>
      <c r="AI855" s="37">
        <f>IF(最佳化斷筋點!J855="","",最佳化斷筋點!J855)</f>
        <v>10</v>
      </c>
      <c r="AJ855" s="37">
        <f>IF(最佳化斷筋點!K855="","",最佳化斷筋點!K855)</f>
        <v>10</v>
      </c>
      <c r="AK855" s="37">
        <f>IF(最佳化斷筋點!L855="","",最佳化斷筋點!L855)</f>
        <v>9</v>
      </c>
      <c r="AL855" s="37">
        <f>IF(最佳化斷筋點!M855="","",最佳化斷筋點!M855)</f>
        <v>8</v>
      </c>
      <c r="AM855" s="37">
        <f>IF(最佳化斷筋點!N855="","",最佳化斷筋點!N855)</f>
        <v>7</v>
      </c>
      <c r="AN855" s="37">
        <f>IF(最佳化斷筋點!O855="","",最佳化斷筋點!O855)</f>
        <v>7</v>
      </c>
      <c r="AO855" s="37">
        <f>IF(最佳化斷筋點!P855="","",最佳化斷筋點!P855)</f>
        <v>8</v>
      </c>
      <c r="AP855" s="37">
        <f>IF(最佳化斷筋點!Q855="","",最佳化斷筋點!Q855)</f>
        <v>9</v>
      </c>
      <c r="AQ855" s="37">
        <f>IF(最佳化斷筋點!R855="","",最佳化斷筋點!R855)</f>
        <v>10</v>
      </c>
      <c r="AR855" s="37">
        <f>IF(最佳化斷筋點!S855="","",最佳化斷筋點!S855)</f>
        <v>10</v>
      </c>
      <c r="AS855" s="37">
        <f>IF(最佳化斷筋點!T855="","",最佳化斷筋點!T855)</f>
        <v>10</v>
      </c>
      <c r="AT855" s="37">
        <f>IF(最佳化斷筋點!U855="","",最佳化斷筋點!U855)</f>
        <v>10</v>
      </c>
      <c r="AU855" s="37">
        <f>IF(最佳化斷筋點!V855="","",最佳化斷筋點!V855)</f>
        <v>10</v>
      </c>
      <c r="AV855" s="37">
        <f>IF(最佳化斷筋點!W855="","",最佳化斷筋點!W855)</f>
        <v>10</v>
      </c>
      <c r="AW855" s="37">
        <f>IF(最佳化斷筋點!X855="","",最佳化斷筋點!X855)</f>
        <v>10</v>
      </c>
      <c r="AZ855" s="37">
        <v>10</v>
      </c>
      <c r="BA855" s="37">
        <v>10</v>
      </c>
      <c r="BB855" s="37">
        <v>10</v>
      </c>
      <c r="BC855" s="37">
        <v>10</v>
      </c>
      <c r="BD855" s="37">
        <v>10</v>
      </c>
      <c r="BE855" s="37">
        <v>10</v>
      </c>
      <c r="BF855" s="37">
        <v>10</v>
      </c>
      <c r="BG855" s="37">
        <v>10</v>
      </c>
      <c r="BH855" s="37">
        <v>9</v>
      </c>
      <c r="BI855" s="37">
        <v>8</v>
      </c>
      <c r="BJ855" s="37">
        <v>7</v>
      </c>
      <c r="BK855" s="37">
        <v>7</v>
      </c>
      <c r="BL855" s="37">
        <v>8</v>
      </c>
      <c r="BM855" s="37">
        <v>9</v>
      </c>
      <c r="BN855" s="37">
        <v>10</v>
      </c>
      <c r="BO855" s="37">
        <v>10</v>
      </c>
      <c r="BP855" s="37">
        <v>10</v>
      </c>
      <c r="BQ855" s="37">
        <v>10</v>
      </c>
      <c r="BR855" s="37">
        <v>10</v>
      </c>
      <c r="BS855" s="37">
        <v>10</v>
      </c>
      <c r="BT855" s="37">
        <v>10</v>
      </c>
    </row>
    <row r="856" spans="5:72" x14ac:dyDescent="0.25">
      <c r="E856" s="36"/>
      <c r="F856" s="36">
        <f t="shared" si="274"/>
        <v>0</v>
      </c>
      <c r="G856" s="36">
        <f t="shared" si="275"/>
        <v>0</v>
      </c>
      <c r="H856" s="36">
        <f t="shared" si="276"/>
        <v>0</v>
      </c>
      <c r="I856" s="36">
        <f t="shared" si="277"/>
        <v>0</v>
      </c>
      <c r="J856" s="36">
        <f t="shared" si="278"/>
        <v>0</v>
      </c>
      <c r="K856" s="36">
        <f t="shared" si="279"/>
        <v>0</v>
      </c>
      <c r="L856" s="36">
        <f t="shared" si="280"/>
        <v>0</v>
      </c>
      <c r="M856" s="36">
        <f t="shared" si="281"/>
        <v>0</v>
      </c>
      <c r="N856" s="36">
        <f t="shared" si="282"/>
        <v>0</v>
      </c>
      <c r="O856" s="36">
        <f t="shared" si="283"/>
        <v>0</v>
      </c>
      <c r="P856" s="36">
        <f t="shared" si="284"/>
        <v>0</v>
      </c>
      <c r="Q856" s="36">
        <f t="shared" si="285"/>
        <v>0</v>
      </c>
      <c r="R856" s="36">
        <f t="shared" si="286"/>
        <v>0</v>
      </c>
      <c r="S856" s="36">
        <f t="shared" si="287"/>
        <v>0</v>
      </c>
      <c r="T856" s="36">
        <f t="shared" si="288"/>
        <v>0</v>
      </c>
      <c r="U856" s="36">
        <f t="shared" si="289"/>
        <v>0</v>
      </c>
      <c r="V856" s="36">
        <f t="shared" si="290"/>
        <v>0</v>
      </c>
      <c r="W856" s="36">
        <f t="shared" si="291"/>
        <v>0</v>
      </c>
      <c r="X856" s="36">
        <f t="shared" si="292"/>
        <v>0</v>
      </c>
      <c r="Y856" s="36">
        <f t="shared" si="293"/>
        <v>0</v>
      </c>
      <c r="Z856" s="36">
        <f t="shared" si="294"/>
        <v>0</v>
      </c>
      <c r="AB856" s="36" t="str">
        <f>IF(最佳化斷筋點!C856="","",最佳化斷筋點!C856)</f>
        <v/>
      </c>
      <c r="AC856" s="37" t="str">
        <f>IF(最佳化斷筋點!D856="","",最佳化斷筋點!D856)</f>
        <v/>
      </c>
      <c r="AD856" s="37" t="str">
        <f>IF(最佳化斷筋點!E856="","",最佳化斷筋點!E856)</f>
        <v/>
      </c>
      <c r="AE856" s="37" t="str">
        <f>IF(最佳化斷筋點!F856="","",最佳化斷筋點!F856)</f>
        <v/>
      </c>
      <c r="AF856" s="37" t="str">
        <f>IF(最佳化斷筋點!G856="","",最佳化斷筋點!G856)</f>
        <v/>
      </c>
      <c r="AG856" s="37" t="str">
        <f>IF(最佳化斷筋點!H856="","",最佳化斷筋點!H856)</f>
        <v/>
      </c>
      <c r="AH856" s="37" t="str">
        <f>IF(最佳化斷筋點!I856="","",最佳化斷筋點!I856)</f>
        <v/>
      </c>
      <c r="AI856" s="37" t="str">
        <f>IF(最佳化斷筋點!J856="","",最佳化斷筋點!J856)</f>
        <v/>
      </c>
      <c r="AJ856" s="37" t="str">
        <f>IF(最佳化斷筋點!K856="","",最佳化斷筋點!K856)</f>
        <v/>
      </c>
      <c r="AK856" s="37" t="str">
        <f>IF(最佳化斷筋點!L856="","",最佳化斷筋點!L856)</f>
        <v/>
      </c>
      <c r="AL856" s="37" t="str">
        <f>IF(最佳化斷筋點!M856="","",最佳化斷筋點!M856)</f>
        <v/>
      </c>
      <c r="AM856" s="37" t="str">
        <f>IF(最佳化斷筋點!N856="","",最佳化斷筋點!N856)</f>
        <v/>
      </c>
      <c r="AN856" s="37" t="str">
        <f>IF(最佳化斷筋點!O856="","",最佳化斷筋點!O856)</f>
        <v/>
      </c>
      <c r="AO856" s="37" t="str">
        <f>IF(最佳化斷筋點!P856="","",最佳化斷筋點!P856)</f>
        <v/>
      </c>
      <c r="AP856" s="37" t="str">
        <f>IF(最佳化斷筋點!Q856="","",最佳化斷筋點!Q856)</f>
        <v/>
      </c>
      <c r="AQ856" s="37" t="str">
        <f>IF(最佳化斷筋點!R856="","",最佳化斷筋點!R856)</f>
        <v/>
      </c>
      <c r="AR856" s="37" t="str">
        <f>IF(最佳化斷筋點!S856="","",最佳化斷筋點!S856)</f>
        <v/>
      </c>
      <c r="AS856" s="37" t="str">
        <f>IF(最佳化斷筋點!T856="","",最佳化斷筋點!T856)</f>
        <v/>
      </c>
      <c r="AT856" s="37" t="str">
        <f>IF(最佳化斷筋點!U856="","",最佳化斷筋點!U856)</f>
        <v/>
      </c>
      <c r="AU856" s="37" t="str">
        <f>IF(最佳化斷筋點!V856="","",最佳化斷筋點!V856)</f>
        <v/>
      </c>
      <c r="AV856" s="37" t="str">
        <f>IF(最佳化斷筋點!W856="","",最佳化斷筋點!W856)</f>
        <v/>
      </c>
      <c r="AW856" s="37" t="str">
        <f>IF(最佳化斷筋點!X856="","",最佳化斷筋點!X856)</f>
        <v/>
      </c>
      <c r="AZ856" s="37" t="s">
        <v>197</v>
      </c>
      <c r="BA856" s="37" t="s">
        <v>197</v>
      </c>
      <c r="BB856" s="37" t="s">
        <v>197</v>
      </c>
      <c r="BC856" s="37" t="s">
        <v>197</v>
      </c>
      <c r="BD856" s="37" t="s">
        <v>197</v>
      </c>
      <c r="BE856" s="37" t="s">
        <v>197</v>
      </c>
      <c r="BF856" s="37" t="s">
        <v>197</v>
      </c>
      <c r="BG856" s="37" t="s">
        <v>197</v>
      </c>
      <c r="BH856" s="37" t="s">
        <v>197</v>
      </c>
      <c r="BI856" s="37" t="s">
        <v>197</v>
      </c>
      <c r="BJ856" s="37" t="s">
        <v>197</v>
      </c>
      <c r="BK856" s="37" t="s">
        <v>197</v>
      </c>
      <c r="BL856" s="37" t="s">
        <v>197</v>
      </c>
      <c r="BM856" s="37" t="s">
        <v>197</v>
      </c>
      <c r="BN856" s="37" t="s">
        <v>197</v>
      </c>
      <c r="BO856" s="37" t="s">
        <v>197</v>
      </c>
      <c r="BP856" s="37" t="s">
        <v>197</v>
      </c>
      <c r="BQ856" s="37" t="s">
        <v>197</v>
      </c>
      <c r="BR856" s="37" t="s">
        <v>197</v>
      </c>
      <c r="BS856" s="37" t="s">
        <v>197</v>
      </c>
      <c r="BT856" s="37" t="s">
        <v>197</v>
      </c>
    </row>
    <row r="857" spans="5:72" x14ac:dyDescent="0.25">
      <c r="E857" s="36" t="s">
        <v>21</v>
      </c>
      <c r="F857" s="36">
        <f t="shared" si="274"/>
        <v>0</v>
      </c>
      <c r="G857" s="36">
        <f t="shared" si="275"/>
        <v>0</v>
      </c>
      <c r="H857" s="36">
        <f t="shared" si="276"/>
        <v>0</v>
      </c>
      <c r="I857" s="36">
        <f t="shared" si="277"/>
        <v>0</v>
      </c>
      <c r="J857" s="36">
        <f t="shared" si="278"/>
        <v>0</v>
      </c>
      <c r="K857" s="36">
        <f t="shared" si="279"/>
        <v>0</v>
      </c>
      <c r="L857" s="36">
        <f t="shared" si="280"/>
        <v>0</v>
      </c>
      <c r="M857" s="36">
        <f t="shared" si="281"/>
        <v>0</v>
      </c>
      <c r="N857" s="36">
        <f t="shared" si="282"/>
        <v>0</v>
      </c>
      <c r="O857" s="36">
        <f t="shared" si="283"/>
        <v>0</v>
      </c>
      <c r="P857" s="36">
        <f t="shared" si="284"/>
        <v>0</v>
      </c>
      <c r="Q857" s="36">
        <f t="shared" si="285"/>
        <v>0</v>
      </c>
      <c r="R857" s="36">
        <f t="shared" si="286"/>
        <v>0</v>
      </c>
      <c r="S857" s="36">
        <f t="shared" si="287"/>
        <v>0</v>
      </c>
      <c r="T857" s="36">
        <f t="shared" si="288"/>
        <v>0</v>
      </c>
      <c r="U857" s="36">
        <f t="shared" si="289"/>
        <v>0</v>
      </c>
      <c r="V857" s="36">
        <f t="shared" si="290"/>
        <v>0</v>
      </c>
      <c r="W857" s="36">
        <f t="shared" si="291"/>
        <v>0</v>
      </c>
      <c r="X857" s="36">
        <f t="shared" si="292"/>
        <v>0</v>
      </c>
      <c r="Y857" s="36">
        <f t="shared" si="293"/>
        <v>0</v>
      </c>
      <c r="Z857" s="36">
        <f t="shared" si="294"/>
        <v>0</v>
      </c>
      <c r="AB857" s="36" t="str">
        <f>IF(最佳化斷筋點!C857="","",最佳化斷筋點!C857)</f>
        <v>下層</v>
      </c>
      <c r="AC857" s="37">
        <f>IF(最佳化斷筋點!D857="","",最佳化斷筋點!D857)</f>
        <v>13</v>
      </c>
      <c r="AD857" s="37">
        <f>IF(最佳化斷筋點!E857="","",最佳化斷筋點!E857)</f>
        <v>13</v>
      </c>
      <c r="AE857" s="37">
        <f>IF(最佳化斷筋點!F857="","",最佳化斷筋點!F857)</f>
        <v>13</v>
      </c>
      <c r="AF857" s="37">
        <f>IF(最佳化斷筋點!G857="","",最佳化斷筋點!G857)</f>
        <v>13</v>
      </c>
      <c r="AG857" s="37">
        <f>IF(最佳化斷筋點!H857="","",最佳化斷筋點!H857)</f>
        <v>13</v>
      </c>
      <c r="AH857" s="37">
        <f>IF(最佳化斷筋點!I857="","",最佳化斷筋點!I857)</f>
        <v>13</v>
      </c>
      <c r="AI857" s="37">
        <f>IF(最佳化斷筋點!J857="","",最佳化斷筋點!J857)</f>
        <v>13</v>
      </c>
      <c r="AJ857" s="37">
        <f>IF(最佳化斷筋點!K857="","",最佳化斷筋點!K857)</f>
        <v>13</v>
      </c>
      <c r="AK857" s="37">
        <f>IF(最佳化斷筋點!L857="","",最佳化斷筋點!L857)</f>
        <v>13</v>
      </c>
      <c r="AL857" s="37">
        <f>IF(最佳化斷筋點!M857="","",最佳化斷筋點!M857)</f>
        <v>13</v>
      </c>
      <c r="AM857" s="37">
        <f>IF(最佳化斷筋點!N857="","",最佳化斷筋點!N857)</f>
        <v>13</v>
      </c>
      <c r="AN857" s="37">
        <f>IF(最佳化斷筋點!O857="","",最佳化斷筋點!O857)</f>
        <v>13</v>
      </c>
      <c r="AO857" s="37">
        <f>IF(最佳化斷筋點!P857="","",最佳化斷筋點!P857)</f>
        <v>13</v>
      </c>
      <c r="AP857" s="37">
        <f>IF(最佳化斷筋點!Q857="","",最佳化斷筋點!Q857)</f>
        <v>13</v>
      </c>
      <c r="AQ857" s="37">
        <f>IF(最佳化斷筋點!R857="","",最佳化斷筋點!R857)</f>
        <v>13</v>
      </c>
      <c r="AR857" s="37">
        <f>IF(最佳化斷筋點!S857="","",最佳化斷筋點!S857)</f>
        <v>13</v>
      </c>
      <c r="AS857" s="37">
        <f>IF(最佳化斷筋點!T857="","",最佳化斷筋點!T857)</f>
        <v>13</v>
      </c>
      <c r="AT857" s="37">
        <f>IF(最佳化斷筋點!U857="","",最佳化斷筋點!U857)</f>
        <v>13</v>
      </c>
      <c r="AU857" s="37">
        <f>IF(最佳化斷筋點!V857="","",最佳化斷筋點!V857)</f>
        <v>13</v>
      </c>
      <c r="AV857" s="37">
        <f>IF(最佳化斷筋點!W857="","",最佳化斷筋點!W857)</f>
        <v>13</v>
      </c>
      <c r="AW857" s="37">
        <f>IF(最佳化斷筋點!X857="","",最佳化斷筋點!X857)</f>
        <v>13</v>
      </c>
      <c r="AZ857" s="37">
        <v>13</v>
      </c>
      <c r="BA857" s="37">
        <v>13</v>
      </c>
      <c r="BB857" s="37">
        <v>13</v>
      </c>
      <c r="BC857" s="37">
        <v>13</v>
      </c>
      <c r="BD857" s="37">
        <v>13</v>
      </c>
      <c r="BE857" s="37">
        <v>13</v>
      </c>
      <c r="BF857" s="37">
        <v>13</v>
      </c>
      <c r="BG857" s="37">
        <v>13</v>
      </c>
      <c r="BH857" s="37">
        <v>13</v>
      </c>
      <c r="BI857" s="37">
        <v>13</v>
      </c>
      <c r="BJ857" s="37">
        <v>13</v>
      </c>
      <c r="BK857" s="37">
        <v>13</v>
      </c>
      <c r="BL857" s="37">
        <v>13</v>
      </c>
      <c r="BM857" s="37">
        <v>13</v>
      </c>
      <c r="BN857" s="37">
        <v>13</v>
      </c>
      <c r="BO857" s="37">
        <v>13</v>
      </c>
      <c r="BP857" s="37">
        <v>13</v>
      </c>
      <c r="BQ857" s="37">
        <v>13</v>
      </c>
      <c r="BR857" s="37">
        <v>13</v>
      </c>
      <c r="BS857" s="37">
        <v>13</v>
      </c>
      <c r="BT857" s="37">
        <v>13</v>
      </c>
    </row>
    <row r="858" spans="5:72" x14ac:dyDescent="0.25">
      <c r="E858" s="36"/>
      <c r="F858" s="36">
        <f t="shared" si="274"/>
        <v>0</v>
      </c>
      <c r="G858" s="36">
        <f t="shared" si="275"/>
        <v>0</v>
      </c>
      <c r="H858" s="36">
        <f t="shared" si="276"/>
        <v>0</v>
      </c>
      <c r="I858" s="36">
        <f t="shared" si="277"/>
        <v>0</v>
      </c>
      <c r="J858" s="36">
        <f t="shared" si="278"/>
        <v>0</v>
      </c>
      <c r="K858" s="36">
        <f t="shared" si="279"/>
        <v>0</v>
      </c>
      <c r="L858" s="36">
        <f t="shared" si="280"/>
        <v>0</v>
      </c>
      <c r="M858" s="36">
        <f t="shared" si="281"/>
        <v>0</v>
      </c>
      <c r="N858" s="36">
        <f t="shared" si="282"/>
        <v>0</v>
      </c>
      <c r="O858" s="36">
        <f t="shared" si="283"/>
        <v>0</v>
      </c>
      <c r="P858" s="36">
        <f t="shared" si="284"/>
        <v>0</v>
      </c>
      <c r="Q858" s="36">
        <f t="shared" si="285"/>
        <v>0</v>
      </c>
      <c r="R858" s="36">
        <f t="shared" si="286"/>
        <v>0</v>
      </c>
      <c r="S858" s="36">
        <f t="shared" si="287"/>
        <v>0</v>
      </c>
      <c r="T858" s="36">
        <f t="shared" si="288"/>
        <v>0</v>
      </c>
      <c r="U858" s="36">
        <f t="shared" si="289"/>
        <v>0</v>
      </c>
      <c r="V858" s="36">
        <f t="shared" si="290"/>
        <v>0</v>
      </c>
      <c r="W858" s="36">
        <f t="shared" si="291"/>
        <v>0</v>
      </c>
      <c r="X858" s="36">
        <f t="shared" si="292"/>
        <v>0</v>
      </c>
      <c r="Y858" s="36">
        <f t="shared" si="293"/>
        <v>0</v>
      </c>
      <c r="Z858" s="36">
        <f t="shared" si="294"/>
        <v>0</v>
      </c>
      <c r="AB858" s="36" t="str">
        <f>IF(最佳化斷筋點!C858="","",最佳化斷筋點!C858)</f>
        <v/>
      </c>
      <c r="AC858" s="37" t="str">
        <f>IF(最佳化斷筋點!D858="","",最佳化斷筋點!D858)</f>
        <v/>
      </c>
      <c r="AD858" s="37" t="str">
        <f>IF(最佳化斷筋點!E858="","",最佳化斷筋點!E858)</f>
        <v/>
      </c>
      <c r="AE858" s="37" t="str">
        <f>IF(最佳化斷筋點!F858="","",最佳化斷筋點!F858)</f>
        <v/>
      </c>
      <c r="AF858" s="37" t="str">
        <f>IF(最佳化斷筋點!G858="","",最佳化斷筋點!G858)</f>
        <v/>
      </c>
      <c r="AG858" s="37" t="str">
        <f>IF(最佳化斷筋點!H858="","",最佳化斷筋點!H858)</f>
        <v/>
      </c>
      <c r="AH858" s="37" t="str">
        <f>IF(最佳化斷筋點!I858="","",最佳化斷筋點!I858)</f>
        <v/>
      </c>
      <c r="AI858" s="37" t="str">
        <f>IF(最佳化斷筋點!J858="","",最佳化斷筋點!J858)</f>
        <v/>
      </c>
      <c r="AJ858" s="37" t="str">
        <f>IF(最佳化斷筋點!K858="","",最佳化斷筋點!K858)</f>
        <v/>
      </c>
      <c r="AK858" s="37" t="str">
        <f>IF(最佳化斷筋點!L858="","",最佳化斷筋點!L858)</f>
        <v/>
      </c>
      <c r="AL858" s="37" t="str">
        <f>IF(最佳化斷筋點!M858="","",最佳化斷筋點!M858)</f>
        <v/>
      </c>
      <c r="AM858" s="37" t="str">
        <f>IF(最佳化斷筋點!N858="","",最佳化斷筋點!N858)</f>
        <v/>
      </c>
      <c r="AN858" s="37" t="str">
        <f>IF(最佳化斷筋點!O858="","",最佳化斷筋點!O858)</f>
        <v/>
      </c>
      <c r="AO858" s="37" t="str">
        <f>IF(最佳化斷筋點!P858="","",最佳化斷筋點!P858)</f>
        <v/>
      </c>
      <c r="AP858" s="37" t="str">
        <f>IF(最佳化斷筋點!Q858="","",最佳化斷筋點!Q858)</f>
        <v/>
      </c>
      <c r="AQ858" s="37" t="str">
        <f>IF(最佳化斷筋點!R858="","",最佳化斷筋點!R858)</f>
        <v/>
      </c>
      <c r="AR858" s="37" t="str">
        <f>IF(最佳化斷筋點!S858="","",最佳化斷筋點!S858)</f>
        <v/>
      </c>
      <c r="AS858" s="37" t="str">
        <f>IF(最佳化斷筋點!T858="","",最佳化斷筋點!T858)</f>
        <v/>
      </c>
      <c r="AT858" s="37" t="str">
        <f>IF(最佳化斷筋點!U858="","",最佳化斷筋點!U858)</f>
        <v/>
      </c>
      <c r="AU858" s="37" t="str">
        <f>IF(最佳化斷筋點!V858="","",最佳化斷筋點!V858)</f>
        <v/>
      </c>
      <c r="AV858" s="37" t="str">
        <f>IF(最佳化斷筋點!W858="","",最佳化斷筋點!W858)</f>
        <v/>
      </c>
      <c r="AW858" s="37" t="str">
        <f>IF(最佳化斷筋點!X858="","",最佳化斷筋點!X858)</f>
        <v/>
      </c>
      <c r="AZ858" s="37" t="s">
        <v>197</v>
      </c>
      <c r="BA858" s="37" t="s">
        <v>197</v>
      </c>
      <c r="BB858" s="37" t="s">
        <v>197</v>
      </c>
      <c r="BC858" s="37" t="s">
        <v>197</v>
      </c>
      <c r="BD858" s="37" t="s">
        <v>197</v>
      </c>
      <c r="BE858" s="37" t="s">
        <v>197</v>
      </c>
      <c r="BF858" s="37" t="s">
        <v>197</v>
      </c>
      <c r="BG858" s="37" t="s">
        <v>197</v>
      </c>
      <c r="BH858" s="37" t="s">
        <v>197</v>
      </c>
      <c r="BI858" s="37" t="s">
        <v>197</v>
      </c>
      <c r="BJ858" s="37" t="s">
        <v>197</v>
      </c>
      <c r="BK858" s="37" t="s">
        <v>197</v>
      </c>
      <c r="BL858" s="37" t="s">
        <v>197</v>
      </c>
      <c r="BM858" s="37" t="s">
        <v>197</v>
      </c>
      <c r="BN858" s="37" t="s">
        <v>197</v>
      </c>
      <c r="BO858" s="37" t="s">
        <v>197</v>
      </c>
      <c r="BP858" s="37" t="s">
        <v>197</v>
      </c>
      <c r="BQ858" s="37" t="s">
        <v>197</v>
      </c>
      <c r="BR858" s="37" t="s">
        <v>197</v>
      </c>
      <c r="BS858" s="37" t="s">
        <v>197</v>
      </c>
      <c r="BT858" s="37" t="s">
        <v>197</v>
      </c>
    </row>
    <row r="859" spans="5:72" x14ac:dyDescent="0.25">
      <c r="E859" s="36" t="s">
        <v>20</v>
      </c>
      <c r="F859" s="36">
        <f t="shared" si="274"/>
        <v>0</v>
      </c>
      <c r="G859" s="36">
        <f t="shared" si="275"/>
        <v>0</v>
      </c>
      <c r="H859" s="36">
        <f t="shared" si="276"/>
        <v>0</v>
      </c>
      <c r="I859" s="36">
        <f t="shared" si="277"/>
        <v>0</v>
      </c>
      <c r="J859" s="36">
        <f t="shared" si="278"/>
        <v>0</v>
      </c>
      <c r="K859" s="36">
        <f t="shared" si="279"/>
        <v>0</v>
      </c>
      <c r="L859" s="36">
        <f t="shared" si="280"/>
        <v>0</v>
      </c>
      <c r="M859" s="36">
        <f t="shared" si="281"/>
        <v>0</v>
      </c>
      <c r="N859" s="36">
        <f t="shared" si="282"/>
        <v>0</v>
      </c>
      <c r="O859" s="36">
        <f t="shared" si="283"/>
        <v>0</v>
      </c>
      <c r="P859" s="36">
        <f t="shared" si="284"/>
        <v>0</v>
      </c>
      <c r="Q859" s="36">
        <f t="shared" si="285"/>
        <v>0</v>
      </c>
      <c r="R859" s="36">
        <f t="shared" si="286"/>
        <v>0</v>
      </c>
      <c r="S859" s="36">
        <f t="shared" si="287"/>
        <v>0</v>
      </c>
      <c r="T859" s="36">
        <f t="shared" si="288"/>
        <v>0</v>
      </c>
      <c r="U859" s="36">
        <f t="shared" si="289"/>
        <v>0</v>
      </c>
      <c r="V859" s="36">
        <f t="shared" si="290"/>
        <v>0</v>
      </c>
      <c r="W859" s="36">
        <f t="shared" si="291"/>
        <v>0</v>
      </c>
      <c r="X859" s="36">
        <f t="shared" si="292"/>
        <v>0</v>
      </c>
      <c r="Y859" s="36">
        <f t="shared" si="293"/>
        <v>0</v>
      </c>
      <c r="Z859" s="36">
        <f t="shared" si="294"/>
        <v>0</v>
      </c>
      <c r="AB859" s="36" t="str">
        <f>IF(最佳化斷筋點!C859="","",最佳化斷筋點!C859)</f>
        <v>上層</v>
      </c>
      <c r="AC859" s="37">
        <f>IF(最佳化斷筋點!D859="","",最佳化斷筋點!D859)</f>
        <v>10</v>
      </c>
      <c r="AD859" s="37">
        <f>IF(最佳化斷筋點!E859="","",最佳化斷筋點!E859)</f>
        <v>10</v>
      </c>
      <c r="AE859" s="37">
        <f>IF(最佳化斷筋點!F859="","",最佳化斷筋點!F859)</f>
        <v>10</v>
      </c>
      <c r="AF859" s="37">
        <f>IF(最佳化斷筋點!G859="","",最佳化斷筋點!G859)</f>
        <v>10</v>
      </c>
      <c r="AG859" s="37">
        <f>IF(最佳化斷筋點!H859="","",最佳化斷筋點!H859)</f>
        <v>10</v>
      </c>
      <c r="AH859" s="37">
        <f>IF(最佳化斷筋點!I859="","",最佳化斷筋點!I859)</f>
        <v>10</v>
      </c>
      <c r="AI859" s="37">
        <f>IF(最佳化斷筋點!J859="","",最佳化斷筋點!J859)</f>
        <v>10</v>
      </c>
      <c r="AJ859" s="37">
        <f>IF(最佳化斷筋點!K859="","",最佳化斷筋點!K859)</f>
        <v>4</v>
      </c>
      <c r="AK859" s="37">
        <f>IF(最佳化斷筋點!L859="","",最佳化斷筋點!L859)</f>
        <v>4</v>
      </c>
      <c r="AL859" s="37">
        <f>IF(最佳化斷筋點!M859="","",最佳化斷筋點!M859)</f>
        <v>4</v>
      </c>
      <c r="AM859" s="37">
        <f>IF(最佳化斷筋點!N859="","",最佳化斷筋點!N859)</f>
        <v>4</v>
      </c>
      <c r="AN859" s="37">
        <f>IF(最佳化斷筋點!O859="","",最佳化斷筋點!O859)</f>
        <v>4</v>
      </c>
      <c r="AO859" s="37">
        <f>IF(最佳化斷筋點!P859="","",最佳化斷筋點!P859)</f>
        <v>4</v>
      </c>
      <c r="AP859" s="37">
        <f>IF(最佳化斷筋點!Q859="","",最佳化斷筋點!Q859)</f>
        <v>9</v>
      </c>
      <c r="AQ859" s="37">
        <f>IF(最佳化斷筋點!R859="","",最佳化斷筋點!R859)</f>
        <v>10</v>
      </c>
      <c r="AR859" s="37">
        <f>IF(最佳化斷筋點!S859="","",最佳化斷筋點!S859)</f>
        <v>11</v>
      </c>
      <c r="AS859" s="37">
        <f>IF(最佳化斷筋點!T859="","",最佳化斷筋點!T859)</f>
        <v>11</v>
      </c>
      <c r="AT859" s="37">
        <f>IF(最佳化斷筋點!U859="","",最佳化斷筋點!U859)</f>
        <v>11</v>
      </c>
      <c r="AU859" s="37">
        <f>IF(最佳化斷筋點!V859="","",最佳化斷筋點!V859)</f>
        <v>11</v>
      </c>
      <c r="AV859" s="37">
        <f>IF(最佳化斷筋點!W859="","",最佳化斷筋點!W859)</f>
        <v>11</v>
      </c>
      <c r="AW859" s="37">
        <f>IF(最佳化斷筋點!X859="","",最佳化斷筋點!X859)</f>
        <v>11</v>
      </c>
      <c r="AZ859" s="37">
        <v>10</v>
      </c>
      <c r="BA859" s="37">
        <v>10</v>
      </c>
      <c r="BB859" s="37">
        <v>10</v>
      </c>
      <c r="BC859" s="37">
        <v>10</v>
      </c>
      <c r="BD859" s="37">
        <v>10</v>
      </c>
      <c r="BE859" s="37">
        <v>10</v>
      </c>
      <c r="BF859" s="37">
        <v>10</v>
      </c>
      <c r="BG859" s="37">
        <v>4</v>
      </c>
      <c r="BH859" s="37">
        <v>4</v>
      </c>
      <c r="BI859" s="37">
        <v>4</v>
      </c>
      <c r="BJ859" s="37">
        <v>4</v>
      </c>
      <c r="BK859" s="37">
        <v>4</v>
      </c>
      <c r="BL859" s="37">
        <v>4</v>
      </c>
      <c r="BM859" s="37">
        <v>9</v>
      </c>
      <c r="BN859" s="37">
        <v>10</v>
      </c>
      <c r="BO859" s="37">
        <v>11</v>
      </c>
      <c r="BP859" s="37">
        <v>11</v>
      </c>
      <c r="BQ859" s="37">
        <v>11</v>
      </c>
      <c r="BR859" s="37">
        <v>11</v>
      </c>
      <c r="BS859" s="37">
        <v>11</v>
      </c>
      <c r="BT859" s="37">
        <v>11</v>
      </c>
    </row>
    <row r="860" spans="5:72" x14ac:dyDescent="0.25">
      <c r="E860" s="36"/>
      <c r="F860" s="36">
        <f t="shared" si="274"/>
        <v>0</v>
      </c>
      <c r="G860" s="36">
        <f t="shared" si="275"/>
        <v>0</v>
      </c>
      <c r="H860" s="36">
        <f t="shared" si="276"/>
        <v>0</v>
      </c>
      <c r="I860" s="36">
        <f t="shared" si="277"/>
        <v>0</v>
      </c>
      <c r="J860" s="36">
        <f t="shared" si="278"/>
        <v>0</v>
      </c>
      <c r="K860" s="36">
        <f t="shared" si="279"/>
        <v>0</v>
      </c>
      <c r="L860" s="36">
        <f t="shared" si="280"/>
        <v>0</v>
      </c>
      <c r="M860" s="36">
        <f t="shared" si="281"/>
        <v>0</v>
      </c>
      <c r="N860" s="36">
        <f t="shared" si="282"/>
        <v>0</v>
      </c>
      <c r="O860" s="36">
        <f t="shared" si="283"/>
        <v>0</v>
      </c>
      <c r="P860" s="36">
        <f t="shared" si="284"/>
        <v>0</v>
      </c>
      <c r="Q860" s="36">
        <f t="shared" si="285"/>
        <v>0</v>
      </c>
      <c r="R860" s="36">
        <f t="shared" si="286"/>
        <v>0</v>
      </c>
      <c r="S860" s="36">
        <f t="shared" si="287"/>
        <v>0</v>
      </c>
      <c r="T860" s="36">
        <f t="shared" si="288"/>
        <v>0</v>
      </c>
      <c r="U860" s="36">
        <f t="shared" si="289"/>
        <v>0</v>
      </c>
      <c r="V860" s="36">
        <f t="shared" si="290"/>
        <v>0</v>
      </c>
      <c r="W860" s="36">
        <f t="shared" si="291"/>
        <v>0</v>
      </c>
      <c r="X860" s="36">
        <f t="shared" si="292"/>
        <v>0</v>
      </c>
      <c r="Y860" s="36">
        <f t="shared" si="293"/>
        <v>0</v>
      </c>
      <c r="Z860" s="36">
        <f t="shared" si="294"/>
        <v>0</v>
      </c>
      <c r="AB860" s="36" t="str">
        <f>IF(最佳化斷筋點!C860="","",最佳化斷筋點!C860)</f>
        <v/>
      </c>
      <c r="AC860" s="37" t="str">
        <f>IF(最佳化斷筋點!D860="","",最佳化斷筋點!D860)</f>
        <v/>
      </c>
      <c r="AD860" s="37" t="str">
        <f>IF(最佳化斷筋點!E860="","",最佳化斷筋點!E860)</f>
        <v/>
      </c>
      <c r="AE860" s="37" t="str">
        <f>IF(最佳化斷筋點!F860="","",最佳化斷筋點!F860)</f>
        <v/>
      </c>
      <c r="AF860" s="37" t="str">
        <f>IF(最佳化斷筋點!G860="","",最佳化斷筋點!G860)</f>
        <v/>
      </c>
      <c r="AG860" s="37" t="str">
        <f>IF(最佳化斷筋點!H860="","",最佳化斷筋點!H860)</f>
        <v/>
      </c>
      <c r="AH860" s="37" t="str">
        <f>IF(最佳化斷筋點!I860="","",最佳化斷筋點!I860)</f>
        <v/>
      </c>
      <c r="AI860" s="37" t="str">
        <f>IF(最佳化斷筋點!J860="","",最佳化斷筋點!J860)</f>
        <v/>
      </c>
      <c r="AJ860" s="37" t="str">
        <f>IF(最佳化斷筋點!K860="","",最佳化斷筋點!K860)</f>
        <v/>
      </c>
      <c r="AK860" s="37" t="str">
        <f>IF(最佳化斷筋點!L860="","",最佳化斷筋點!L860)</f>
        <v/>
      </c>
      <c r="AL860" s="37" t="str">
        <f>IF(最佳化斷筋點!M860="","",最佳化斷筋點!M860)</f>
        <v/>
      </c>
      <c r="AM860" s="37" t="str">
        <f>IF(最佳化斷筋點!N860="","",最佳化斷筋點!N860)</f>
        <v/>
      </c>
      <c r="AN860" s="37" t="str">
        <f>IF(最佳化斷筋點!O860="","",最佳化斷筋點!O860)</f>
        <v/>
      </c>
      <c r="AO860" s="37" t="str">
        <f>IF(最佳化斷筋點!P860="","",最佳化斷筋點!P860)</f>
        <v/>
      </c>
      <c r="AP860" s="37" t="str">
        <f>IF(最佳化斷筋點!Q860="","",最佳化斷筋點!Q860)</f>
        <v/>
      </c>
      <c r="AQ860" s="37" t="str">
        <f>IF(最佳化斷筋點!R860="","",最佳化斷筋點!R860)</f>
        <v/>
      </c>
      <c r="AR860" s="37" t="str">
        <f>IF(最佳化斷筋點!S860="","",最佳化斷筋點!S860)</f>
        <v/>
      </c>
      <c r="AS860" s="37" t="str">
        <f>IF(最佳化斷筋點!T860="","",最佳化斷筋點!T860)</f>
        <v/>
      </c>
      <c r="AT860" s="37" t="str">
        <f>IF(最佳化斷筋點!U860="","",最佳化斷筋點!U860)</f>
        <v/>
      </c>
      <c r="AU860" s="37" t="str">
        <f>IF(最佳化斷筋點!V860="","",最佳化斷筋點!V860)</f>
        <v/>
      </c>
      <c r="AV860" s="37" t="str">
        <f>IF(最佳化斷筋點!W860="","",最佳化斷筋點!W860)</f>
        <v/>
      </c>
      <c r="AW860" s="37" t="str">
        <f>IF(最佳化斷筋點!X860="","",最佳化斷筋點!X860)</f>
        <v/>
      </c>
      <c r="AZ860" s="37" t="s">
        <v>197</v>
      </c>
      <c r="BA860" s="37" t="s">
        <v>197</v>
      </c>
      <c r="BB860" s="37" t="s">
        <v>197</v>
      </c>
      <c r="BC860" s="37" t="s">
        <v>197</v>
      </c>
      <c r="BD860" s="37" t="s">
        <v>197</v>
      </c>
      <c r="BE860" s="37" t="s">
        <v>197</v>
      </c>
      <c r="BF860" s="37" t="s">
        <v>197</v>
      </c>
      <c r="BG860" s="37" t="s">
        <v>197</v>
      </c>
      <c r="BH860" s="37" t="s">
        <v>197</v>
      </c>
      <c r="BI860" s="37" t="s">
        <v>197</v>
      </c>
      <c r="BJ860" s="37" t="s">
        <v>197</v>
      </c>
      <c r="BK860" s="37" t="s">
        <v>197</v>
      </c>
      <c r="BL860" s="37" t="s">
        <v>197</v>
      </c>
      <c r="BM860" s="37" t="s">
        <v>197</v>
      </c>
      <c r="BN860" s="37" t="s">
        <v>197</v>
      </c>
      <c r="BO860" s="37" t="s">
        <v>197</v>
      </c>
      <c r="BP860" s="37" t="s">
        <v>197</v>
      </c>
      <c r="BQ860" s="37" t="s">
        <v>197</v>
      </c>
      <c r="BR860" s="37" t="s">
        <v>197</v>
      </c>
      <c r="BS860" s="37" t="s">
        <v>197</v>
      </c>
      <c r="BT860" s="37" t="s">
        <v>197</v>
      </c>
    </row>
    <row r="861" spans="5:72" x14ac:dyDescent="0.25">
      <c r="E861" s="36" t="s">
        <v>21</v>
      </c>
      <c r="F861" s="36">
        <f t="shared" si="274"/>
        <v>0</v>
      </c>
      <c r="G861" s="36">
        <f t="shared" si="275"/>
        <v>0</v>
      </c>
      <c r="H861" s="36">
        <f t="shared" si="276"/>
        <v>0</v>
      </c>
      <c r="I861" s="36">
        <f t="shared" si="277"/>
        <v>0</v>
      </c>
      <c r="J861" s="36">
        <f t="shared" si="278"/>
        <v>0</v>
      </c>
      <c r="K861" s="36">
        <f t="shared" si="279"/>
        <v>0</v>
      </c>
      <c r="L861" s="36">
        <f t="shared" si="280"/>
        <v>0</v>
      </c>
      <c r="M861" s="36">
        <f t="shared" si="281"/>
        <v>0</v>
      </c>
      <c r="N861" s="36">
        <f t="shared" si="282"/>
        <v>0</v>
      </c>
      <c r="O861" s="36">
        <f t="shared" si="283"/>
        <v>0</v>
      </c>
      <c r="P861" s="36">
        <f t="shared" si="284"/>
        <v>0</v>
      </c>
      <c r="Q861" s="36">
        <f t="shared" si="285"/>
        <v>0</v>
      </c>
      <c r="R861" s="36">
        <f t="shared" si="286"/>
        <v>0</v>
      </c>
      <c r="S861" s="36">
        <f t="shared" si="287"/>
        <v>0</v>
      </c>
      <c r="T861" s="36">
        <f t="shared" si="288"/>
        <v>0</v>
      </c>
      <c r="U861" s="36">
        <f t="shared" si="289"/>
        <v>0</v>
      </c>
      <c r="V861" s="36">
        <f t="shared" si="290"/>
        <v>0</v>
      </c>
      <c r="W861" s="36">
        <f t="shared" si="291"/>
        <v>0</v>
      </c>
      <c r="X861" s="36">
        <f t="shared" si="292"/>
        <v>0</v>
      </c>
      <c r="Y861" s="36">
        <f t="shared" si="293"/>
        <v>0</v>
      </c>
      <c r="Z861" s="36">
        <f t="shared" si="294"/>
        <v>0</v>
      </c>
      <c r="AB861" s="36" t="str">
        <f>IF(最佳化斷筋點!C861="","",最佳化斷筋點!C861)</f>
        <v>下層</v>
      </c>
      <c r="AC861" s="37">
        <f>IF(最佳化斷筋點!D861="","",最佳化斷筋點!D861)</f>
        <v>14</v>
      </c>
      <c r="AD861" s="37">
        <f>IF(最佳化斷筋點!E861="","",最佳化斷筋點!E861)</f>
        <v>14</v>
      </c>
      <c r="AE861" s="37">
        <f>IF(最佳化斷筋點!F861="","",最佳化斷筋點!F861)</f>
        <v>14</v>
      </c>
      <c r="AF861" s="37">
        <f>IF(最佳化斷筋點!G861="","",最佳化斷筋點!G861)</f>
        <v>14</v>
      </c>
      <c r="AG861" s="37">
        <f>IF(最佳化斷筋點!H861="","",最佳化斷筋點!H861)</f>
        <v>13</v>
      </c>
      <c r="AH861" s="37">
        <f>IF(最佳化斷筋點!I861="","",最佳化斷筋點!I861)</f>
        <v>12</v>
      </c>
      <c r="AI861" s="37">
        <f>IF(最佳化斷筋點!J861="","",最佳化斷筋點!J861)</f>
        <v>11</v>
      </c>
      <c r="AJ861" s="37">
        <f>IF(最佳化斷筋點!K861="","",最佳化斷筋點!K861)</f>
        <v>5</v>
      </c>
      <c r="AK861" s="37">
        <f>IF(最佳化斷筋點!L861="","",最佳化斷筋點!L861)</f>
        <v>5</v>
      </c>
      <c r="AL861" s="37">
        <f>IF(最佳化斷筋點!M861="","",最佳化斷筋點!M861)</f>
        <v>5</v>
      </c>
      <c r="AM861" s="37">
        <f>IF(最佳化斷筋點!N861="","",最佳化斷筋點!N861)</f>
        <v>5</v>
      </c>
      <c r="AN861" s="37">
        <f>IF(最佳化斷筋點!O861="","",最佳化斷筋點!O861)</f>
        <v>5</v>
      </c>
      <c r="AO861" s="37">
        <f>IF(最佳化斷筋點!P861="","",最佳化斷筋點!P861)</f>
        <v>5</v>
      </c>
      <c r="AP861" s="37">
        <f>IF(最佳化斷筋點!Q861="","",最佳化斷筋點!Q861)</f>
        <v>8</v>
      </c>
      <c r="AQ861" s="37">
        <f>IF(最佳化斷筋點!R861="","",最佳化斷筋點!R861)</f>
        <v>9</v>
      </c>
      <c r="AR861" s="37">
        <f>IF(最佳化斷筋點!S861="","",最佳化斷筋點!S861)</f>
        <v>10</v>
      </c>
      <c r="AS861" s="37">
        <f>IF(最佳化斷筋點!T861="","",最佳化斷筋點!T861)</f>
        <v>11</v>
      </c>
      <c r="AT861" s="37">
        <f>IF(最佳化斷筋點!U861="","",最佳化斷筋點!U861)</f>
        <v>12</v>
      </c>
      <c r="AU861" s="37">
        <f>IF(最佳化斷筋點!V861="","",最佳化斷筋點!V861)</f>
        <v>12</v>
      </c>
      <c r="AV861" s="37">
        <f>IF(最佳化斷筋點!W861="","",最佳化斷筋點!W861)</f>
        <v>12</v>
      </c>
      <c r="AW861" s="37">
        <f>IF(最佳化斷筋點!X861="","",最佳化斷筋點!X861)</f>
        <v>12</v>
      </c>
      <c r="AZ861" s="37">
        <v>14</v>
      </c>
      <c r="BA861" s="37">
        <v>14</v>
      </c>
      <c r="BB861" s="37">
        <v>14</v>
      </c>
      <c r="BC861" s="37">
        <v>14</v>
      </c>
      <c r="BD861" s="37">
        <v>13</v>
      </c>
      <c r="BE861" s="37">
        <v>12</v>
      </c>
      <c r="BF861" s="37">
        <v>11</v>
      </c>
      <c r="BG861" s="37">
        <v>5</v>
      </c>
      <c r="BH861" s="37">
        <v>5</v>
      </c>
      <c r="BI861" s="37">
        <v>5</v>
      </c>
      <c r="BJ861" s="37">
        <v>5</v>
      </c>
      <c r="BK861" s="37">
        <v>5</v>
      </c>
      <c r="BL861" s="37">
        <v>5</v>
      </c>
      <c r="BM861" s="37">
        <v>8</v>
      </c>
      <c r="BN861" s="37">
        <v>9</v>
      </c>
      <c r="BO861" s="37">
        <v>10</v>
      </c>
      <c r="BP861" s="37">
        <v>11</v>
      </c>
      <c r="BQ861" s="37">
        <v>12</v>
      </c>
      <c r="BR861" s="37">
        <v>12</v>
      </c>
      <c r="BS861" s="37">
        <v>12</v>
      </c>
      <c r="BT861" s="37">
        <v>12</v>
      </c>
    </row>
    <row r="862" spans="5:72" x14ac:dyDescent="0.25">
      <c r="E862" s="36"/>
      <c r="F862" s="36">
        <f t="shared" si="274"/>
        <v>0</v>
      </c>
      <c r="G862" s="36">
        <f t="shared" si="275"/>
        <v>0</v>
      </c>
      <c r="H862" s="36">
        <f t="shared" si="276"/>
        <v>0</v>
      </c>
      <c r="I862" s="36">
        <f t="shared" si="277"/>
        <v>0</v>
      </c>
      <c r="J862" s="36">
        <f t="shared" si="278"/>
        <v>0</v>
      </c>
      <c r="K862" s="36">
        <f t="shared" si="279"/>
        <v>0</v>
      </c>
      <c r="L862" s="36">
        <f t="shared" si="280"/>
        <v>0</v>
      </c>
      <c r="M862" s="36">
        <f t="shared" si="281"/>
        <v>0</v>
      </c>
      <c r="N862" s="36">
        <f t="shared" si="282"/>
        <v>0</v>
      </c>
      <c r="O862" s="36">
        <f t="shared" si="283"/>
        <v>0</v>
      </c>
      <c r="P862" s="36">
        <f t="shared" si="284"/>
        <v>0</v>
      </c>
      <c r="Q862" s="36">
        <f t="shared" si="285"/>
        <v>0</v>
      </c>
      <c r="R862" s="36">
        <f t="shared" si="286"/>
        <v>0</v>
      </c>
      <c r="S862" s="36">
        <f t="shared" si="287"/>
        <v>0</v>
      </c>
      <c r="T862" s="36">
        <f t="shared" si="288"/>
        <v>0</v>
      </c>
      <c r="U862" s="36">
        <f t="shared" si="289"/>
        <v>0</v>
      </c>
      <c r="V862" s="36">
        <f t="shared" si="290"/>
        <v>0</v>
      </c>
      <c r="W862" s="36">
        <f t="shared" si="291"/>
        <v>0</v>
      </c>
      <c r="X862" s="36">
        <f t="shared" si="292"/>
        <v>0</v>
      </c>
      <c r="Y862" s="36">
        <f t="shared" si="293"/>
        <v>0</v>
      </c>
      <c r="Z862" s="36">
        <f t="shared" si="294"/>
        <v>0</v>
      </c>
      <c r="AB862" s="36" t="str">
        <f>IF(最佳化斷筋點!C862="","",最佳化斷筋點!C862)</f>
        <v/>
      </c>
      <c r="AC862" s="37" t="str">
        <f>IF(最佳化斷筋點!D862="","",最佳化斷筋點!D862)</f>
        <v/>
      </c>
      <c r="AD862" s="37" t="str">
        <f>IF(最佳化斷筋點!E862="","",最佳化斷筋點!E862)</f>
        <v/>
      </c>
      <c r="AE862" s="37" t="str">
        <f>IF(最佳化斷筋點!F862="","",最佳化斷筋點!F862)</f>
        <v/>
      </c>
      <c r="AF862" s="37" t="str">
        <f>IF(最佳化斷筋點!G862="","",最佳化斷筋點!G862)</f>
        <v/>
      </c>
      <c r="AG862" s="37" t="str">
        <f>IF(最佳化斷筋點!H862="","",最佳化斷筋點!H862)</f>
        <v/>
      </c>
      <c r="AH862" s="37" t="str">
        <f>IF(最佳化斷筋點!I862="","",最佳化斷筋點!I862)</f>
        <v/>
      </c>
      <c r="AI862" s="37" t="str">
        <f>IF(最佳化斷筋點!J862="","",最佳化斷筋點!J862)</f>
        <v/>
      </c>
      <c r="AJ862" s="37" t="str">
        <f>IF(最佳化斷筋點!K862="","",最佳化斷筋點!K862)</f>
        <v/>
      </c>
      <c r="AK862" s="37" t="str">
        <f>IF(最佳化斷筋點!L862="","",最佳化斷筋點!L862)</f>
        <v/>
      </c>
      <c r="AL862" s="37" t="str">
        <f>IF(最佳化斷筋點!M862="","",最佳化斷筋點!M862)</f>
        <v/>
      </c>
      <c r="AM862" s="37" t="str">
        <f>IF(最佳化斷筋點!N862="","",最佳化斷筋點!N862)</f>
        <v/>
      </c>
      <c r="AN862" s="37" t="str">
        <f>IF(最佳化斷筋點!O862="","",最佳化斷筋點!O862)</f>
        <v/>
      </c>
      <c r="AO862" s="37" t="str">
        <f>IF(最佳化斷筋點!P862="","",最佳化斷筋點!P862)</f>
        <v/>
      </c>
      <c r="AP862" s="37" t="str">
        <f>IF(最佳化斷筋點!Q862="","",最佳化斷筋點!Q862)</f>
        <v/>
      </c>
      <c r="AQ862" s="37" t="str">
        <f>IF(最佳化斷筋點!R862="","",最佳化斷筋點!R862)</f>
        <v/>
      </c>
      <c r="AR862" s="37" t="str">
        <f>IF(最佳化斷筋點!S862="","",最佳化斷筋點!S862)</f>
        <v/>
      </c>
      <c r="AS862" s="37" t="str">
        <f>IF(最佳化斷筋點!T862="","",最佳化斷筋點!T862)</f>
        <v/>
      </c>
      <c r="AT862" s="37" t="str">
        <f>IF(最佳化斷筋點!U862="","",最佳化斷筋點!U862)</f>
        <v/>
      </c>
      <c r="AU862" s="37" t="str">
        <f>IF(最佳化斷筋點!V862="","",最佳化斷筋點!V862)</f>
        <v/>
      </c>
      <c r="AV862" s="37" t="str">
        <f>IF(最佳化斷筋點!W862="","",最佳化斷筋點!W862)</f>
        <v/>
      </c>
      <c r="AW862" s="37" t="str">
        <f>IF(最佳化斷筋點!X862="","",最佳化斷筋點!X862)</f>
        <v/>
      </c>
      <c r="AZ862" s="37" t="s">
        <v>197</v>
      </c>
      <c r="BA862" s="37" t="s">
        <v>197</v>
      </c>
      <c r="BB862" s="37" t="s">
        <v>197</v>
      </c>
      <c r="BC862" s="37" t="s">
        <v>197</v>
      </c>
      <c r="BD862" s="37" t="s">
        <v>197</v>
      </c>
      <c r="BE862" s="37" t="s">
        <v>197</v>
      </c>
      <c r="BF862" s="37" t="s">
        <v>197</v>
      </c>
      <c r="BG862" s="37" t="s">
        <v>197</v>
      </c>
      <c r="BH862" s="37" t="s">
        <v>197</v>
      </c>
      <c r="BI862" s="37" t="s">
        <v>197</v>
      </c>
      <c r="BJ862" s="37" t="s">
        <v>197</v>
      </c>
      <c r="BK862" s="37" t="s">
        <v>197</v>
      </c>
      <c r="BL862" s="37" t="s">
        <v>197</v>
      </c>
      <c r="BM862" s="37" t="s">
        <v>197</v>
      </c>
      <c r="BN862" s="37" t="s">
        <v>197</v>
      </c>
      <c r="BO862" s="37" t="s">
        <v>197</v>
      </c>
      <c r="BP862" s="37" t="s">
        <v>197</v>
      </c>
      <c r="BQ862" s="37" t="s">
        <v>197</v>
      </c>
      <c r="BR862" s="37" t="s">
        <v>197</v>
      </c>
      <c r="BS862" s="37" t="s">
        <v>197</v>
      </c>
      <c r="BT862" s="37" t="s">
        <v>197</v>
      </c>
    </row>
    <row r="863" spans="5:72" x14ac:dyDescent="0.25">
      <c r="E863" s="36" t="s">
        <v>20</v>
      </c>
      <c r="F863" s="36">
        <f t="shared" si="274"/>
        <v>0</v>
      </c>
      <c r="G863" s="36">
        <f t="shared" si="275"/>
        <v>0</v>
      </c>
      <c r="H863" s="36">
        <f t="shared" si="276"/>
        <v>0</v>
      </c>
      <c r="I863" s="36">
        <f t="shared" si="277"/>
        <v>0</v>
      </c>
      <c r="J863" s="36">
        <f t="shared" si="278"/>
        <v>0</v>
      </c>
      <c r="K863" s="36">
        <f t="shared" si="279"/>
        <v>0</v>
      </c>
      <c r="L863" s="36">
        <f t="shared" si="280"/>
        <v>0</v>
      </c>
      <c r="M863" s="36">
        <f t="shared" si="281"/>
        <v>0</v>
      </c>
      <c r="N863" s="36">
        <f t="shared" si="282"/>
        <v>0</v>
      </c>
      <c r="O863" s="36">
        <f t="shared" si="283"/>
        <v>0</v>
      </c>
      <c r="P863" s="36">
        <f t="shared" si="284"/>
        <v>0</v>
      </c>
      <c r="Q863" s="36">
        <f t="shared" si="285"/>
        <v>0</v>
      </c>
      <c r="R863" s="36">
        <f t="shared" si="286"/>
        <v>0</v>
      </c>
      <c r="S863" s="36">
        <f t="shared" si="287"/>
        <v>0</v>
      </c>
      <c r="T863" s="36">
        <f t="shared" si="288"/>
        <v>0</v>
      </c>
      <c r="U863" s="36">
        <f t="shared" si="289"/>
        <v>0</v>
      </c>
      <c r="V863" s="36">
        <f t="shared" si="290"/>
        <v>0</v>
      </c>
      <c r="W863" s="36">
        <f t="shared" si="291"/>
        <v>0</v>
      </c>
      <c r="X863" s="36">
        <f t="shared" si="292"/>
        <v>0</v>
      </c>
      <c r="Y863" s="36">
        <f t="shared" si="293"/>
        <v>0</v>
      </c>
      <c r="Z863" s="36">
        <f t="shared" si="294"/>
        <v>0</v>
      </c>
      <c r="AB863" s="36" t="str">
        <f>IF(最佳化斷筋點!C863="","",最佳化斷筋點!C863)</f>
        <v>上層</v>
      </c>
      <c r="AC863" s="37">
        <f>IF(最佳化斷筋點!D863="","",最佳化斷筋點!D863)</f>
        <v>9</v>
      </c>
      <c r="AD863" s="37">
        <f>IF(最佳化斷筋點!E863="","",最佳化斷筋點!E863)</f>
        <v>9</v>
      </c>
      <c r="AE863" s="37">
        <f>IF(最佳化斷筋點!F863="","",最佳化斷筋點!F863)</f>
        <v>9</v>
      </c>
      <c r="AF863" s="37">
        <f>IF(最佳化斷筋點!G863="","",最佳化斷筋點!G863)</f>
        <v>9</v>
      </c>
      <c r="AG863" s="37">
        <f>IF(最佳化斷筋點!H863="","",最佳化斷筋點!H863)</f>
        <v>9</v>
      </c>
      <c r="AH863" s="37">
        <f>IF(最佳化斷筋點!I863="","",最佳化斷筋點!I863)</f>
        <v>9</v>
      </c>
      <c r="AI863" s="37">
        <f>IF(最佳化斷筋點!J863="","",最佳化斷筋點!J863)</f>
        <v>8</v>
      </c>
      <c r="AJ863" s="37">
        <f>IF(最佳化斷筋點!K863="","",最佳化斷筋點!K863)</f>
        <v>4</v>
      </c>
      <c r="AK863" s="37">
        <f>IF(最佳化斷筋點!L863="","",最佳化斷筋點!L863)</f>
        <v>4</v>
      </c>
      <c r="AL863" s="37">
        <f>IF(最佳化斷筋點!M863="","",最佳化斷筋點!M863)</f>
        <v>4</v>
      </c>
      <c r="AM863" s="37">
        <f>IF(最佳化斷筋點!N863="","",最佳化斷筋點!N863)</f>
        <v>4</v>
      </c>
      <c r="AN863" s="37">
        <f>IF(最佳化斷筋點!O863="","",最佳化斷筋點!O863)</f>
        <v>4</v>
      </c>
      <c r="AO863" s="37">
        <f>IF(最佳化斷筋點!P863="","",最佳化斷筋點!P863)</f>
        <v>4</v>
      </c>
      <c r="AP863" s="37">
        <f>IF(最佳化斷筋點!Q863="","",最佳化斷筋點!Q863)</f>
        <v>7</v>
      </c>
      <c r="AQ863" s="37">
        <f>IF(最佳化斷筋點!R863="","",最佳化斷筋點!R863)</f>
        <v>8</v>
      </c>
      <c r="AR863" s="37">
        <f>IF(最佳化斷筋點!S863="","",最佳化斷筋點!S863)</f>
        <v>9</v>
      </c>
      <c r="AS863" s="37">
        <f>IF(最佳化斷筋點!T863="","",最佳化斷筋點!T863)</f>
        <v>10</v>
      </c>
      <c r="AT863" s="37">
        <f>IF(最佳化斷筋點!U863="","",最佳化斷筋點!U863)</f>
        <v>10</v>
      </c>
      <c r="AU863" s="37">
        <f>IF(最佳化斷筋點!V863="","",最佳化斷筋點!V863)</f>
        <v>10</v>
      </c>
      <c r="AV863" s="37">
        <f>IF(最佳化斷筋點!W863="","",最佳化斷筋點!W863)</f>
        <v>10</v>
      </c>
      <c r="AW863" s="37">
        <f>IF(最佳化斷筋點!X863="","",最佳化斷筋點!X863)</f>
        <v>10</v>
      </c>
      <c r="AZ863" s="37">
        <v>9</v>
      </c>
      <c r="BA863" s="37">
        <v>9</v>
      </c>
      <c r="BB863" s="37">
        <v>9</v>
      </c>
      <c r="BC863" s="37">
        <v>9</v>
      </c>
      <c r="BD863" s="37">
        <v>9</v>
      </c>
      <c r="BE863" s="37">
        <v>9</v>
      </c>
      <c r="BF863" s="37">
        <v>8</v>
      </c>
      <c r="BG863" s="37">
        <v>4</v>
      </c>
      <c r="BH863" s="37">
        <v>4</v>
      </c>
      <c r="BI863" s="37">
        <v>4</v>
      </c>
      <c r="BJ863" s="37">
        <v>4</v>
      </c>
      <c r="BK863" s="37">
        <v>4</v>
      </c>
      <c r="BL863" s="37">
        <v>4</v>
      </c>
      <c r="BM863" s="37">
        <v>7</v>
      </c>
      <c r="BN863" s="37">
        <v>8</v>
      </c>
      <c r="BO863" s="37">
        <v>9</v>
      </c>
      <c r="BP863" s="37">
        <v>10</v>
      </c>
      <c r="BQ863" s="37">
        <v>10</v>
      </c>
      <c r="BR863" s="37">
        <v>10</v>
      </c>
      <c r="BS863" s="37">
        <v>10</v>
      </c>
      <c r="BT863" s="37">
        <v>10</v>
      </c>
    </row>
    <row r="864" spans="5:72" x14ac:dyDescent="0.25">
      <c r="E864" s="36"/>
      <c r="F864" s="36">
        <f t="shared" si="274"/>
        <v>0</v>
      </c>
      <c r="G864" s="36">
        <f t="shared" si="275"/>
        <v>0</v>
      </c>
      <c r="H864" s="36">
        <f t="shared" si="276"/>
        <v>0</v>
      </c>
      <c r="I864" s="36">
        <f t="shared" si="277"/>
        <v>0</v>
      </c>
      <c r="J864" s="36">
        <f t="shared" si="278"/>
        <v>0</v>
      </c>
      <c r="K864" s="36">
        <f t="shared" si="279"/>
        <v>0</v>
      </c>
      <c r="L864" s="36">
        <f t="shared" si="280"/>
        <v>0</v>
      </c>
      <c r="M864" s="36">
        <f t="shared" si="281"/>
        <v>0</v>
      </c>
      <c r="N864" s="36">
        <f t="shared" si="282"/>
        <v>0</v>
      </c>
      <c r="O864" s="36">
        <f t="shared" si="283"/>
        <v>0</v>
      </c>
      <c r="P864" s="36">
        <f t="shared" si="284"/>
        <v>0</v>
      </c>
      <c r="Q864" s="36">
        <f t="shared" si="285"/>
        <v>0</v>
      </c>
      <c r="R864" s="36">
        <f t="shared" si="286"/>
        <v>0</v>
      </c>
      <c r="S864" s="36">
        <f t="shared" si="287"/>
        <v>0</v>
      </c>
      <c r="T864" s="36">
        <f t="shared" si="288"/>
        <v>0</v>
      </c>
      <c r="U864" s="36">
        <f t="shared" si="289"/>
        <v>0</v>
      </c>
      <c r="V864" s="36">
        <f t="shared" si="290"/>
        <v>0</v>
      </c>
      <c r="W864" s="36">
        <f t="shared" si="291"/>
        <v>0</v>
      </c>
      <c r="X864" s="36">
        <f t="shared" si="292"/>
        <v>0</v>
      </c>
      <c r="Y864" s="36">
        <f t="shared" si="293"/>
        <v>0</v>
      </c>
      <c r="Z864" s="36">
        <f t="shared" si="294"/>
        <v>0</v>
      </c>
      <c r="AB864" s="36" t="str">
        <f>IF(最佳化斷筋點!C864="","",最佳化斷筋點!C864)</f>
        <v/>
      </c>
      <c r="AC864" s="37" t="str">
        <f>IF(最佳化斷筋點!D864="","",最佳化斷筋點!D864)</f>
        <v/>
      </c>
      <c r="AD864" s="37" t="str">
        <f>IF(最佳化斷筋點!E864="","",最佳化斷筋點!E864)</f>
        <v/>
      </c>
      <c r="AE864" s="37" t="str">
        <f>IF(最佳化斷筋點!F864="","",最佳化斷筋點!F864)</f>
        <v/>
      </c>
      <c r="AF864" s="37" t="str">
        <f>IF(最佳化斷筋點!G864="","",最佳化斷筋點!G864)</f>
        <v/>
      </c>
      <c r="AG864" s="37" t="str">
        <f>IF(最佳化斷筋點!H864="","",最佳化斷筋點!H864)</f>
        <v/>
      </c>
      <c r="AH864" s="37" t="str">
        <f>IF(最佳化斷筋點!I864="","",最佳化斷筋點!I864)</f>
        <v/>
      </c>
      <c r="AI864" s="37" t="str">
        <f>IF(最佳化斷筋點!J864="","",最佳化斷筋點!J864)</f>
        <v/>
      </c>
      <c r="AJ864" s="37" t="str">
        <f>IF(最佳化斷筋點!K864="","",最佳化斷筋點!K864)</f>
        <v/>
      </c>
      <c r="AK864" s="37" t="str">
        <f>IF(最佳化斷筋點!L864="","",最佳化斷筋點!L864)</f>
        <v/>
      </c>
      <c r="AL864" s="37" t="str">
        <f>IF(最佳化斷筋點!M864="","",最佳化斷筋點!M864)</f>
        <v/>
      </c>
      <c r="AM864" s="37" t="str">
        <f>IF(最佳化斷筋點!N864="","",最佳化斷筋點!N864)</f>
        <v/>
      </c>
      <c r="AN864" s="37" t="str">
        <f>IF(最佳化斷筋點!O864="","",最佳化斷筋點!O864)</f>
        <v/>
      </c>
      <c r="AO864" s="37" t="str">
        <f>IF(最佳化斷筋點!P864="","",最佳化斷筋點!P864)</f>
        <v/>
      </c>
      <c r="AP864" s="37" t="str">
        <f>IF(最佳化斷筋點!Q864="","",最佳化斷筋點!Q864)</f>
        <v/>
      </c>
      <c r="AQ864" s="37" t="str">
        <f>IF(最佳化斷筋點!R864="","",最佳化斷筋點!R864)</f>
        <v/>
      </c>
      <c r="AR864" s="37" t="str">
        <f>IF(最佳化斷筋點!S864="","",最佳化斷筋點!S864)</f>
        <v/>
      </c>
      <c r="AS864" s="37" t="str">
        <f>IF(最佳化斷筋點!T864="","",最佳化斷筋點!T864)</f>
        <v/>
      </c>
      <c r="AT864" s="37" t="str">
        <f>IF(最佳化斷筋點!U864="","",最佳化斷筋點!U864)</f>
        <v/>
      </c>
      <c r="AU864" s="37" t="str">
        <f>IF(最佳化斷筋點!V864="","",最佳化斷筋點!V864)</f>
        <v/>
      </c>
      <c r="AV864" s="37" t="str">
        <f>IF(最佳化斷筋點!W864="","",最佳化斷筋點!W864)</f>
        <v/>
      </c>
      <c r="AW864" s="37" t="str">
        <f>IF(最佳化斷筋點!X864="","",最佳化斷筋點!X864)</f>
        <v/>
      </c>
      <c r="AZ864" s="37" t="s">
        <v>197</v>
      </c>
      <c r="BA864" s="37" t="s">
        <v>197</v>
      </c>
      <c r="BB864" s="37" t="s">
        <v>197</v>
      </c>
      <c r="BC864" s="37" t="s">
        <v>197</v>
      </c>
      <c r="BD864" s="37" t="s">
        <v>197</v>
      </c>
      <c r="BE864" s="37" t="s">
        <v>197</v>
      </c>
      <c r="BF864" s="37" t="s">
        <v>197</v>
      </c>
      <c r="BG864" s="37" t="s">
        <v>197</v>
      </c>
      <c r="BH864" s="37" t="s">
        <v>197</v>
      </c>
      <c r="BI864" s="37" t="s">
        <v>197</v>
      </c>
      <c r="BJ864" s="37" t="s">
        <v>197</v>
      </c>
      <c r="BK864" s="37" t="s">
        <v>197</v>
      </c>
      <c r="BL864" s="37" t="s">
        <v>197</v>
      </c>
      <c r="BM864" s="37" t="s">
        <v>197</v>
      </c>
      <c r="BN864" s="37" t="s">
        <v>197</v>
      </c>
      <c r="BO864" s="37" t="s">
        <v>197</v>
      </c>
      <c r="BP864" s="37" t="s">
        <v>197</v>
      </c>
      <c r="BQ864" s="37" t="s">
        <v>197</v>
      </c>
      <c r="BR864" s="37" t="s">
        <v>197</v>
      </c>
      <c r="BS864" s="37" t="s">
        <v>197</v>
      </c>
      <c r="BT864" s="37" t="s">
        <v>197</v>
      </c>
    </row>
    <row r="865" spans="5:72" x14ac:dyDescent="0.25">
      <c r="E865" s="36" t="s">
        <v>21</v>
      </c>
      <c r="F865" s="36">
        <f t="shared" si="274"/>
        <v>0</v>
      </c>
      <c r="G865" s="36">
        <f t="shared" si="275"/>
        <v>0</v>
      </c>
      <c r="H865" s="36">
        <f t="shared" si="276"/>
        <v>0</v>
      </c>
      <c r="I865" s="36">
        <f t="shared" si="277"/>
        <v>0</v>
      </c>
      <c r="J865" s="36">
        <f t="shared" si="278"/>
        <v>0</v>
      </c>
      <c r="K865" s="36">
        <f t="shared" si="279"/>
        <v>0</v>
      </c>
      <c r="L865" s="36">
        <f t="shared" si="280"/>
        <v>0</v>
      </c>
      <c r="M865" s="36">
        <f t="shared" si="281"/>
        <v>0</v>
      </c>
      <c r="N865" s="36">
        <f t="shared" si="282"/>
        <v>0</v>
      </c>
      <c r="O865" s="36">
        <f t="shared" si="283"/>
        <v>0</v>
      </c>
      <c r="P865" s="36">
        <f t="shared" si="284"/>
        <v>0</v>
      </c>
      <c r="Q865" s="36">
        <f t="shared" si="285"/>
        <v>0</v>
      </c>
      <c r="R865" s="36">
        <f t="shared" si="286"/>
        <v>0</v>
      </c>
      <c r="S865" s="36">
        <f t="shared" si="287"/>
        <v>0</v>
      </c>
      <c r="T865" s="36">
        <f t="shared" si="288"/>
        <v>0</v>
      </c>
      <c r="U865" s="36">
        <f t="shared" si="289"/>
        <v>0</v>
      </c>
      <c r="V865" s="36">
        <f t="shared" si="290"/>
        <v>0</v>
      </c>
      <c r="W865" s="36">
        <f t="shared" si="291"/>
        <v>0</v>
      </c>
      <c r="X865" s="36">
        <f t="shared" si="292"/>
        <v>0</v>
      </c>
      <c r="Y865" s="36">
        <f t="shared" si="293"/>
        <v>0</v>
      </c>
      <c r="Z865" s="36">
        <f t="shared" si="294"/>
        <v>0</v>
      </c>
      <c r="AB865" s="36" t="str">
        <f>IF(最佳化斷筋點!C865="","",最佳化斷筋點!C865)</f>
        <v>下層</v>
      </c>
      <c r="AC865" s="37">
        <f>IF(最佳化斷筋點!D865="","",最佳化斷筋點!D865)</f>
        <v>10</v>
      </c>
      <c r="AD865" s="37">
        <f>IF(最佳化斷筋點!E865="","",最佳化斷筋點!E865)</f>
        <v>10</v>
      </c>
      <c r="AE865" s="37">
        <f>IF(最佳化斷筋點!F865="","",最佳化斷筋點!F865)</f>
        <v>10</v>
      </c>
      <c r="AF865" s="37">
        <f>IF(最佳化斷筋點!G865="","",最佳化斷筋點!G865)</f>
        <v>10</v>
      </c>
      <c r="AG865" s="37">
        <f>IF(最佳化斷筋點!H865="","",最佳化斷筋點!H865)</f>
        <v>10</v>
      </c>
      <c r="AH865" s="37">
        <f>IF(最佳化斷筋點!I865="","",最佳化斷筋點!I865)</f>
        <v>9</v>
      </c>
      <c r="AI865" s="37">
        <f>IF(最佳化斷筋點!J865="","",最佳化斷筋點!J865)</f>
        <v>8</v>
      </c>
      <c r="AJ865" s="37">
        <f>IF(最佳化斷筋點!K865="","",最佳化斷筋點!K865)</f>
        <v>5</v>
      </c>
      <c r="AK865" s="37">
        <f>IF(最佳化斷筋點!L865="","",最佳化斷筋點!L865)</f>
        <v>5</v>
      </c>
      <c r="AL865" s="37">
        <f>IF(最佳化斷筋點!M865="","",最佳化斷筋點!M865)</f>
        <v>5</v>
      </c>
      <c r="AM865" s="37">
        <f>IF(最佳化斷筋點!N865="","",最佳化斷筋點!N865)</f>
        <v>5</v>
      </c>
      <c r="AN865" s="37">
        <f>IF(最佳化斷筋點!O865="","",最佳化斷筋點!O865)</f>
        <v>5</v>
      </c>
      <c r="AO865" s="37">
        <f>IF(最佳化斷筋點!P865="","",最佳化斷筋點!P865)</f>
        <v>5</v>
      </c>
      <c r="AP865" s="37">
        <f>IF(最佳化斷筋點!Q865="","",最佳化斷筋點!Q865)</f>
        <v>5</v>
      </c>
      <c r="AQ865" s="37">
        <f>IF(最佳化斷筋點!R865="","",最佳化斷筋點!R865)</f>
        <v>5</v>
      </c>
      <c r="AR865" s="37">
        <f>IF(最佳化斷筋點!S865="","",最佳化斷筋點!S865)</f>
        <v>6</v>
      </c>
      <c r="AS865" s="37">
        <f>IF(最佳化斷筋點!T865="","",最佳化斷筋點!T865)</f>
        <v>7</v>
      </c>
      <c r="AT865" s="37">
        <f>IF(最佳化斷筋點!U865="","",最佳化斷筋點!U865)</f>
        <v>8</v>
      </c>
      <c r="AU865" s="37">
        <f>IF(最佳化斷筋點!V865="","",最佳化斷筋點!V865)</f>
        <v>9</v>
      </c>
      <c r="AV865" s="37">
        <f>IF(最佳化斷筋點!W865="","",最佳化斷筋點!W865)</f>
        <v>9</v>
      </c>
      <c r="AW865" s="37">
        <f>IF(最佳化斷筋點!X865="","",最佳化斷筋點!X865)</f>
        <v>9</v>
      </c>
      <c r="AZ865" s="37">
        <v>10</v>
      </c>
      <c r="BA865" s="37">
        <v>10</v>
      </c>
      <c r="BB865" s="37">
        <v>10</v>
      </c>
      <c r="BC865" s="37">
        <v>10</v>
      </c>
      <c r="BD865" s="37">
        <v>10</v>
      </c>
      <c r="BE865" s="37">
        <v>9</v>
      </c>
      <c r="BF865" s="37">
        <v>8</v>
      </c>
      <c r="BG865" s="37">
        <v>5</v>
      </c>
      <c r="BH865" s="37">
        <v>5</v>
      </c>
      <c r="BI865" s="37">
        <v>5</v>
      </c>
      <c r="BJ865" s="37">
        <v>5</v>
      </c>
      <c r="BK865" s="37">
        <v>5</v>
      </c>
      <c r="BL865" s="37">
        <v>5</v>
      </c>
      <c r="BM865" s="37">
        <v>5</v>
      </c>
      <c r="BN865" s="37">
        <v>5</v>
      </c>
      <c r="BO865" s="37">
        <v>6</v>
      </c>
      <c r="BP865" s="37">
        <v>7</v>
      </c>
      <c r="BQ865" s="37">
        <v>8</v>
      </c>
      <c r="BR865" s="37">
        <v>9</v>
      </c>
      <c r="BS865" s="37">
        <v>9</v>
      </c>
      <c r="BT865" s="37">
        <v>9</v>
      </c>
    </row>
    <row r="866" spans="5:72" x14ac:dyDescent="0.25">
      <c r="E866" s="36"/>
      <c r="F866" s="36">
        <f t="shared" si="274"/>
        <v>0</v>
      </c>
      <c r="G866" s="36">
        <f t="shared" si="275"/>
        <v>0</v>
      </c>
      <c r="H866" s="36">
        <f t="shared" si="276"/>
        <v>0</v>
      </c>
      <c r="I866" s="36">
        <f t="shared" si="277"/>
        <v>0</v>
      </c>
      <c r="J866" s="36">
        <f t="shared" si="278"/>
        <v>0</v>
      </c>
      <c r="K866" s="36">
        <f t="shared" si="279"/>
        <v>0</v>
      </c>
      <c r="L866" s="36">
        <f t="shared" si="280"/>
        <v>0</v>
      </c>
      <c r="M866" s="36">
        <f t="shared" si="281"/>
        <v>0</v>
      </c>
      <c r="N866" s="36">
        <f t="shared" si="282"/>
        <v>0</v>
      </c>
      <c r="O866" s="36">
        <f t="shared" si="283"/>
        <v>0</v>
      </c>
      <c r="P866" s="36">
        <f t="shared" si="284"/>
        <v>0</v>
      </c>
      <c r="Q866" s="36">
        <f t="shared" si="285"/>
        <v>0</v>
      </c>
      <c r="R866" s="36">
        <f t="shared" si="286"/>
        <v>0</v>
      </c>
      <c r="S866" s="36">
        <f t="shared" si="287"/>
        <v>0</v>
      </c>
      <c r="T866" s="36">
        <f t="shared" si="288"/>
        <v>0</v>
      </c>
      <c r="U866" s="36">
        <f t="shared" si="289"/>
        <v>0</v>
      </c>
      <c r="V866" s="36">
        <f t="shared" si="290"/>
        <v>0</v>
      </c>
      <c r="W866" s="36">
        <f t="shared" si="291"/>
        <v>0</v>
      </c>
      <c r="X866" s="36">
        <f t="shared" si="292"/>
        <v>0</v>
      </c>
      <c r="Y866" s="36">
        <f t="shared" si="293"/>
        <v>0</v>
      </c>
      <c r="Z866" s="36">
        <f t="shared" si="294"/>
        <v>0</v>
      </c>
      <c r="AB866" s="36" t="str">
        <f>IF(最佳化斷筋點!C866="","",最佳化斷筋點!C866)</f>
        <v/>
      </c>
      <c r="AC866" s="37" t="str">
        <f>IF(最佳化斷筋點!D866="","",最佳化斷筋點!D866)</f>
        <v/>
      </c>
      <c r="AD866" s="37" t="str">
        <f>IF(最佳化斷筋點!E866="","",最佳化斷筋點!E866)</f>
        <v/>
      </c>
      <c r="AE866" s="37" t="str">
        <f>IF(最佳化斷筋點!F866="","",最佳化斷筋點!F866)</f>
        <v/>
      </c>
      <c r="AF866" s="37" t="str">
        <f>IF(最佳化斷筋點!G866="","",最佳化斷筋點!G866)</f>
        <v/>
      </c>
      <c r="AG866" s="37" t="str">
        <f>IF(最佳化斷筋點!H866="","",最佳化斷筋點!H866)</f>
        <v/>
      </c>
      <c r="AH866" s="37" t="str">
        <f>IF(最佳化斷筋點!I866="","",最佳化斷筋點!I866)</f>
        <v/>
      </c>
      <c r="AI866" s="37" t="str">
        <f>IF(最佳化斷筋點!J866="","",最佳化斷筋點!J866)</f>
        <v/>
      </c>
      <c r="AJ866" s="37" t="str">
        <f>IF(最佳化斷筋點!K866="","",最佳化斷筋點!K866)</f>
        <v/>
      </c>
      <c r="AK866" s="37" t="str">
        <f>IF(最佳化斷筋點!L866="","",最佳化斷筋點!L866)</f>
        <v/>
      </c>
      <c r="AL866" s="37" t="str">
        <f>IF(最佳化斷筋點!M866="","",最佳化斷筋點!M866)</f>
        <v/>
      </c>
      <c r="AM866" s="37" t="str">
        <f>IF(最佳化斷筋點!N866="","",最佳化斷筋點!N866)</f>
        <v/>
      </c>
      <c r="AN866" s="37" t="str">
        <f>IF(最佳化斷筋點!O866="","",最佳化斷筋點!O866)</f>
        <v/>
      </c>
      <c r="AO866" s="37" t="str">
        <f>IF(最佳化斷筋點!P866="","",最佳化斷筋點!P866)</f>
        <v/>
      </c>
      <c r="AP866" s="37" t="str">
        <f>IF(最佳化斷筋點!Q866="","",最佳化斷筋點!Q866)</f>
        <v/>
      </c>
      <c r="AQ866" s="37" t="str">
        <f>IF(最佳化斷筋點!R866="","",最佳化斷筋點!R866)</f>
        <v/>
      </c>
      <c r="AR866" s="37" t="str">
        <f>IF(最佳化斷筋點!S866="","",最佳化斷筋點!S866)</f>
        <v/>
      </c>
      <c r="AS866" s="37" t="str">
        <f>IF(最佳化斷筋點!T866="","",最佳化斷筋點!T866)</f>
        <v/>
      </c>
      <c r="AT866" s="37" t="str">
        <f>IF(最佳化斷筋點!U866="","",最佳化斷筋點!U866)</f>
        <v/>
      </c>
      <c r="AU866" s="37" t="str">
        <f>IF(最佳化斷筋點!V866="","",最佳化斷筋點!V866)</f>
        <v/>
      </c>
      <c r="AV866" s="37" t="str">
        <f>IF(最佳化斷筋點!W866="","",最佳化斷筋點!W866)</f>
        <v/>
      </c>
      <c r="AW866" s="37" t="str">
        <f>IF(最佳化斷筋點!X866="","",最佳化斷筋點!X866)</f>
        <v/>
      </c>
      <c r="AZ866" s="37" t="s">
        <v>197</v>
      </c>
      <c r="BA866" s="37" t="s">
        <v>197</v>
      </c>
      <c r="BB866" s="37" t="s">
        <v>197</v>
      </c>
      <c r="BC866" s="37" t="s">
        <v>197</v>
      </c>
      <c r="BD866" s="37" t="s">
        <v>197</v>
      </c>
      <c r="BE866" s="37" t="s">
        <v>197</v>
      </c>
      <c r="BF866" s="37" t="s">
        <v>197</v>
      </c>
      <c r="BG866" s="37" t="s">
        <v>197</v>
      </c>
      <c r="BH866" s="37" t="s">
        <v>197</v>
      </c>
      <c r="BI866" s="37" t="s">
        <v>197</v>
      </c>
      <c r="BJ866" s="37" t="s">
        <v>197</v>
      </c>
      <c r="BK866" s="37" t="s">
        <v>197</v>
      </c>
      <c r="BL866" s="37" t="s">
        <v>197</v>
      </c>
      <c r="BM866" s="37" t="s">
        <v>197</v>
      </c>
      <c r="BN866" s="37" t="s">
        <v>197</v>
      </c>
      <c r="BO866" s="37" t="s">
        <v>197</v>
      </c>
      <c r="BP866" s="37" t="s">
        <v>197</v>
      </c>
      <c r="BQ866" s="37" t="s">
        <v>197</v>
      </c>
      <c r="BR866" s="37" t="s">
        <v>197</v>
      </c>
      <c r="BS866" s="37" t="s">
        <v>197</v>
      </c>
      <c r="BT866" s="37" t="s">
        <v>197</v>
      </c>
    </row>
    <row r="867" spans="5:72" x14ac:dyDescent="0.25">
      <c r="E867" s="36" t="s">
        <v>20</v>
      </c>
      <c r="F867" s="36">
        <f t="shared" si="274"/>
        <v>0</v>
      </c>
      <c r="G867" s="36">
        <f t="shared" si="275"/>
        <v>0</v>
      </c>
      <c r="H867" s="36">
        <f t="shared" si="276"/>
        <v>0</v>
      </c>
      <c r="I867" s="36">
        <f t="shared" si="277"/>
        <v>0</v>
      </c>
      <c r="J867" s="36">
        <f t="shared" si="278"/>
        <v>0</v>
      </c>
      <c r="K867" s="36">
        <f t="shared" si="279"/>
        <v>0</v>
      </c>
      <c r="L867" s="36">
        <f t="shared" si="280"/>
        <v>0</v>
      </c>
      <c r="M867" s="36">
        <f t="shared" si="281"/>
        <v>0</v>
      </c>
      <c r="N867" s="36">
        <f t="shared" si="282"/>
        <v>0</v>
      </c>
      <c r="O867" s="36">
        <f t="shared" si="283"/>
        <v>0</v>
      </c>
      <c r="P867" s="36">
        <f t="shared" si="284"/>
        <v>0</v>
      </c>
      <c r="Q867" s="36">
        <f t="shared" si="285"/>
        <v>0</v>
      </c>
      <c r="R867" s="36">
        <f t="shared" si="286"/>
        <v>0</v>
      </c>
      <c r="S867" s="36">
        <f t="shared" si="287"/>
        <v>0</v>
      </c>
      <c r="T867" s="36">
        <f t="shared" si="288"/>
        <v>0</v>
      </c>
      <c r="U867" s="36">
        <f t="shared" si="289"/>
        <v>0</v>
      </c>
      <c r="V867" s="36">
        <f t="shared" si="290"/>
        <v>0</v>
      </c>
      <c r="W867" s="36">
        <f t="shared" si="291"/>
        <v>0</v>
      </c>
      <c r="X867" s="36">
        <f t="shared" si="292"/>
        <v>0</v>
      </c>
      <c r="Y867" s="36">
        <f t="shared" si="293"/>
        <v>0</v>
      </c>
      <c r="Z867" s="36">
        <f t="shared" si="294"/>
        <v>0</v>
      </c>
      <c r="AB867" s="36" t="str">
        <f>IF(最佳化斷筋點!C867="","",最佳化斷筋點!C867)</f>
        <v>上層</v>
      </c>
      <c r="AC867" s="37">
        <f>IF(最佳化斷筋點!D867="","",最佳化斷筋點!D867)</f>
        <v>9</v>
      </c>
      <c r="AD867" s="37">
        <f>IF(最佳化斷筋點!E867="","",最佳化斷筋點!E867)</f>
        <v>9</v>
      </c>
      <c r="AE867" s="37">
        <f>IF(最佳化斷筋點!F867="","",最佳化斷筋點!F867)</f>
        <v>9</v>
      </c>
      <c r="AF867" s="37">
        <f>IF(最佳化斷筋點!G867="","",最佳化斷筋點!G867)</f>
        <v>9</v>
      </c>
      <c r="AG867" s="37">
        <f>IF(最佳化斷筋點!H867="","",最佳化斷筋點!H867)</f>
        <v>9</v>
      </c>
      <c r="AH867" s="37">
        <f>IF(最佳化斷筋點!I867="","",最佳化斷筋點!I867)</f>
        <v>9</v>
      </c>
      <c r="AI867" s="37">
        <f>IF(最佳化斷筋點!J867="","",最佳化斷筋點!J867)</f>
        <v>8</v>
      </c>
      <c r="AJ867" s="37">
        <f>IF(最佳化斷筋點!K867="","",最佳化斷筋點!K867)</f>
        <v>4</v>
      </c>
      <c r="AK867" s="37">
        <f>IF(最佳化斷筋點!L867="","",最佳化斷筋點!L867)</f>
        <v>4</v>
      </c>
      <c r="AL867" s="37">
        <f>IF(最佳化斷筋點!M867="","",最佳化斷筋點!M867)</f>
        <v>4</v>
      </c>
      <c r="AM867" s="37">
        <f>IF(最佳化斷筋點!N867="","",最佳化斷筋點!N867)</f>
        <v>4</v>
      </c>
      <c r="AN867" s="37">
        <f>IF(最佳化斷筋點!O867="","",最佳化斷筋點!O867)</f>
        <v>4</v>
      </c>
      <c r="AO867" s="37">
        <f>IF(最佳化斷筋點!P867="","",最佳化斷筋點!P867)</f>
        <v>4</v>
      </c>
      <c r="AP867" s="37">
        <f>IF(最佳化斷筋點!Q867="","",最佳化斷筋點!Q867)</f>
        <v>7</v>
      </c>
      <c r="AQ867" s="37">
        <f>IF(最佳化斷筋點!R867="","",最佳化斷筋點!R867)</f>
        <v>8</v>
      </c>
      <c r="AR867" s="37">
        <f>IF(最佳化斷筋點!S867="","",最佳化斷筋點!S867)</f>
        <v>9</v>
      </c>
      <c r="AS867" s="37">
        <f>IF(最佳化斷筋點!T867="","",最佳化斷筋點!T867)</f>
        <v>10</v>
      </c>
      <c r="AT867" s="37">
        <f>IF(最佳化斷筋點!U867="","",最佳化斷筋點!U867)</f>
        <v>10</v>
      </c>
      <c r="AU867" s="37">
        <f>IF(最佳化斷筋點!V867="","",最佳化斷筋點!V867)</f>
        <v>10</v>
      </c>
      <c r="AV867" s="37">
        <f>IF(最佳化斷筋點!W867="","",最佳化斷筋點!W867)</f>
        <v>10</v>
      </c>
      <c r="AW867" s="37">
        <f>IF(最佳化斷筋點!X867="","",最佳化斷筋點!X867)</f>
        <v>10</v>
      </c>
      <c r="AZ867" s="37">
        <v>9</v>
      </c>
      <c r="BA867" s="37">
        <v>9</v>
      </c>
      <c r="BB867" s="37">
        <v>9</v>
      </c>
      <c r="BC867" s="37">
        <v>9</v>
      </c>
      <c r="BD867" s="37">
        <v>9</v>
      </c>
      <c r="BE867" s="37">
        <v>9</v>
      </c>
      <c r="BF867" s="37">
        <v>8</v>
      </c>
      <c r="BG867" s="37">
        <v>4</v>
      </c>
      <c r="BH867" s="37">
        <v>4</v>
      </c>
      <c r="BI867" s="37">
        <v>4</v>
      </c>
      <c r="BJ867" s="37">
        <v>4</v>
      </c>
      <c r="BK867" s="37">
        <v>4</v>
      </c>
      <c r="BL867" s="37">
        <v>4</v>
      </c>
      <c r="BM867" s="37">
        <v>7</v>
      </c>
      <c r="BN867" s="37">
        <v>8</v>
      </c>
      <c r="BO867" s="37">
        <v>9</v>
      </c>
      <c r="BP867" s="37">
        <v>10</v>
      </c>
      <c r="BQ867" s="37">
        <v>10</v>
      </c>
      <c r="BR867" s="37">
        <v>10</v>
      </c>
      <c r="BS867" s="37">
        <v>10</v>
      </c>
      <c r="BT867" s="37">
        <v>10</v>
      </c>
    </row>
    <row r="868" spans="5:72" x14ac:dyDescent="0.25">
      <c r="E868" s="36"/>
      <c r="F868" s="36">
        <f t="shared" si="274"/>
        <v>0</v>
      </c>
      <c r="G868" s="36">
        <f t="shared" si="275"/>
        <v>0</v>
      </c>
      <c r="H868" s="36">
        <f t="shared" si="276"/>
        <v>0</v>
      </c>
      <c r="I868" s="36">
        <f t="shared" si="277"/>
        <v>0</v>
      </c>
      <c r="J868" s="36">
        <f t="shared" si="278"/>
        <v>0</v>
      </c>
      <c r="K868" s="36">
        <f t="shared" si="279"/>
        <v>0</v>
      </c>
      <c r="L868" s="36">
        <f t="shared" si="280"/>
        <v>0</v>
      </c>
      <c r="M868" s="36">
        <f t="shared" si="281"/>
        <v>0</v>
      </c>
      <c r="N868" s="36">
        <f t="shared" si="282"/>
        <v>0</v>
      </c>
      <c r="O868" s="36">
        <f t="shared" si="283"/>
        <v>0</v>
      </c>
      <c r="P868" s="36">
        <f t="shared" si="284"/>
        <v>0</v>
      </c>
      <c r="Q868" s="36">
        <f t="shared" si="285"/>
        <v>0</v>
      </c>
      <c r="R868" s="36">
        <f t="shared" si="286"/>
        <v>0</v>
      </c>
      <c r="S868" s="36">
        <f t="shared" si="287"/>
        <v>0</v>
      </c>
      <c r="T868" s="36">
        <f t="shared" si="288"/>
        <v>0</v>
      </c>
      <c r="U868" s="36">
        <f t="shared" si="289"/>
        <v>0</v>
      </c>
      <c r="V868" s="36">
        <f t="shared" si="290"/>
        <v>0</v>
      </c>
      <c r="W868" s="36">
        <f t="shared" si="291"/>
        <v>0</v>
      </c>
      <c r="X868" s="36">
        <f t="shared" si="292"/>
        <v>0</v>
      </c>
      <c r="Y868" s="36">
        <f t="shared" si="293"/>
        <v>0</v>
      </c>
      <c r="Z868" s="36">
        <f t="shared" si="294"/>
        <v>0</v>
      </c>
      <c r="AB868" s="36" t="str">
        <f>IF(最佳化斷筋點!C868="","",最佳化斷筋點!C868)</f>
        <v/>
      </c>
      <c r="AC868" s="37" t="str">
        <f>IF(最佳化斷筋點!D868="","",最佳化斷筋點!D868)</f>
        <v/>
      </c>
      <c r="AD868" s="37" t="str">
        <f>IF(最佳化斷筋點!E868="","",最佳化斷筋點!E868)</f>
        <v/>
      </c>
      <c r="AE868" s="37" t="str">
        <f>IF(最佳化斷筋點!F868="","",最佳化斷筋點!F868)</f>
        <v/>
      </c>
      <c r="AF868" s="37" t="str">
        <f>IF(最佳化斷筋點!G868="","",最佳化斷筋點!G868)</f>
        <v/>
      </c>
      <c r="AG868" s="37" t="str">
        <f>IF(最佳化斷筋點!H868="","",最佳化斷筋點!H868)</f>
        <v/>
      </c>
      <c r="AH868" s="37" t="str">
        <f>IF(最佳化斷筋點!I868="","",最佳化斷筋點!I868)</f>
        <v/>
      </c>
      <c r="AI868" s="37" t="str">
        <f>IF(最佳化斷筋點!J868="","",最佳化斷筋點!J868)</f>
        <v/>
      </c>
      <c r="AJ868" s="37" t="str">
        <f>IF(最佳化斷筋點!K868="","",最佳化斷筋點!K868)</f>
        <v/>
      </c>
      <c r="AK868" s="37" t="str">
        <f>IF(最佳化斷筋點!L868="","",最佳化斷筋點!L868)</f>
        <v/>
      </c>
      <c r="AL868" s="37" t="str">
        <f>IF(最佳化斷筋點!M868="","",最佳化斷筋點!M868)</f>
        <v/>
      </c>
      <c r="AM868" s="37" t="str">
        <f>IF(最佳化斷筋點!N868="","",最佳化斷筋點!N868)</f>
        <v/>
      </c>
      <c r="AN868" s="37" t="str">
        <f>IF(最佳化斷筋點!O868="","",最佳化斷筋點!O868)</f>
        <v/>
      </c>
      <c r="AO868" s="37" t="str">
        <f>IF(最佳化斷筋點!P868="","",最佳化斷筋點!P868)</f>
        <v/>
      </c>
      <c r="AP868" s="37" t="str">
        <f>IF(最佳化斷筋點!Q868="","",最佳化斷筋點!Q868)</f>
        <v/>
      </c>
      <c r="AQ868" s="37" t="str">
        <f>IF(最佳化斷筋點!R868="","",最佳化斷筋點!R868)</f>
        <v/>
      </c>
      <c r="AR868" s="37" t="str">
        <f>IF(最佳化斷筋點!S868="","",最佳化斷筋點!S868)</f>
        <v/>
      </c>
      <c r="AS868" s="37" t="str">
        <f>IF(最佳化斷筋點!T868="","",最佳化斷筋點!T868)</f>
        <v/>
      </c>
      <c r="AT868" s="37" t="str">
        <f>IF(最佳化斷筋點!U868="","",最佳化斷筋點!U868)</f>
        <v/>
      </c>
      <c r="AU868" s="37" t="str">
        <f>IF(最佳化斷筋點!V868="","",最佳化斷筋點!V868)</f>
        <v/>
      </c>
      <c r="AV868" s="37" t="str">
        <f>IF(最佳化斷筋點!W868="","",最佳化斷筋點!W868)</f>
        <v/>
      </c>
      <c r="AW868" s="37" t="str">
        <f>IF(最佳化斷筋點!X868="","",最佳化斷筋點!X868)</f>
        <v/>
      </c>
      <c r="AZ868" s="37" t="s">
        <v>197</v>
      </c>
      <c r="BA868" s="37" t="s">
        <v>197</v>
      </c>
      <c r="BB868" s="37" t="s">
        <v>197</v>
      </c>
      <c r="BC868" s="37" t="s">
        <v>197</v>
      </c>
      <c r="BD868" s="37" t="s">
        <v>197</v>
      </c>
      <c r="BE868" s="37" t="s">
        <v>197</v>
      </c>
      <c r="BF868" s="37" t="s">
        <v>197</v>
      </c>
      <c r="BG868" s="37" t="s">
        <v>197</v>
      </c>
      <c r="BH868" s="37" t="s">
        <v>197</v>
      </c>
      <c r="BI868" s="37" t="s">
        <v>197</v>
      </c>
      <c r="BJ868" s="37" t="s">
        <v>197</v>
      </c>
      <c r="BK868" s="37" t="s">
        <v>197</v>
      </c>
      <c r="BL868" s="37" t="s">
        <v>197</v>
      </c>
      <c r="BM868" s="37" t="s">
        <v>197</v>
      </c>
      <c r="BN868" s="37" t="s">
        <v>197</v>
      </c>
      <c r="BO868" s="37" t="s">
        <v>197</v>
      </c>
      <c r="BP868" s="37" t="s">
        <v>197</v>
      </c>
      <c r="BQ868" s="37" t="s">
        <v>197</v>
      </c>
      <c r="BR868" s="37" t="s">
        <v>197</v>
      </c>
      <c r="BS868" s="37" t="s">
        <v>197</v>
      </c>
      <c r="BT868" s="37" t="s">
        <v>197</v>
      </c>
    </row>
    <row r="869" spans="5:72" x14ac:dyDescent="0.25">
      <c r="E869" s="36" t="s">
        <v>21</v>
      </c>
      <c r="F869" s="36">
        <f t="shared" si="274"/>
        <v>0</v>
      </c>
      <c r="G869" s="36">
        <f t="shared" si="275"/>
        <v>0</v>
      </c>
      <c r="H869" s="36">
        <f t="shared" si="276"/>
        <v>0</v>
      </c>
      <c r="I869" s="36">
        <f t="shared" si="277"/>
        <v>0</v>
      </c>
      <c r="J869" s="36">
        <f t="shared" si="278"/>
        <v>0</v>
      </c>
      <c r="K869" s="36">
        <f t="shared" si="279"/>
        <v>0</v>
      </c>
      <c r="L869" s="36">
        <f t="shared" si="280"/>
        <v>0</v>
      </c>
      <c r="M869" s="36">
        <f t="shared" si="281"/>
        <v>0</v>
      </c>
      <c r="N869" s="36">
        <f t="shared" si="282"/>
        <v>0</v>
      </c>
      <c r="O869" s="36">
        <f t="shared" si="283"/>
        <v>0</v>
      </c>
      <c r="P869" s="36">
        <f t="shared" si="284"/>
        <v>0</v>
      </c>
      <c r="Q869" s="36">
        <f t="shared" si="285"/>
        <v>0</v>
      </c>
      <c r="R869" s="36">
        <f t="shared" si="286"/>
        <v>0</v>
      </c>
      <c r="S869" s="36">
        <f t="shared" si="287"/>
        <v>0</v>
      </c>
      <c r="T869" s="36">
        <f t="shared" si="288"/>
        <v>0</v>
      </c>
      <c r="U869" s="36">
        <f t="shared" si="289"/>
        <v>0</v>
      </c>
      <c r="V869" s="36">
        <f t="shared" si="290"/>
        <v>0</v>
      </c>
      <c r="W869" s="36">
        <f t="shared" si="291"/>
        <v>0</v>
      </c>
      <c r="X869" s="36">
        <f t="shared" si="292"/>
        <v>0</v>
      </c>
      <c r="Y869" s="36">
        <f t="shared" si="293"/>
        <v>0</v>
      </c>
      <c r="Z869" s="36">
        <f t="shared" si="294"/>
        <v>0</v>
      </c>
      <c r="AB869" s="36" t="str">
        <f>IF(最佳化斷筋點!C869="","",最佳化斷筋點!C869)</f>
        <v>下層</v>
      </c>
      <c r="AC869" s="37">
        <f>IF(最佳化斷筋點!D869="","",最佳化斷筋點!D869)</f>
        <v>10</v>
      </c>
      <c r="AD869" s="37">
        <f>IF(最佳化斷筋點!E869="","",最佳化斷筋點!E869)</f>
        <v>10</v>
      </c>
      <c r="AE869" s="37">
        <f>IF(最佳化斷筋點!F869="","",最佳化斷筋點!F869)</f>
        <v>10</v>
      </c>
      <c r="AF869" s="37">
        <f>IF(最佳化斷筋點!G869="","",最佳化斷筋點!G869)</f>
        <v>10</v>
      </c>
      <c r="AG869" s="37">
        <f>IF(最佳化斷筋點!H869="","",最佳化斷筋點!H869)</f>
        <v>10</v>
      </c>
      <c r="AH869" s="37">
        <f>IF(最佳化斷筋點!I869="","",最佳化斷筋點!I869)</f>
        <v>9</v>
      </c>
      <c r="AI869" s="37">
        <f>IF(最佳化斷筋點!J869="","",最佳化斷筋點!J869)</f>
        <v>8</v>
      </c>
      <c r="AJ869" s="37">
        <f>IF(最佳化斷筋點!K869="","",最佳化斷筋點!K869)</f>
        <v>5</v>
      </c>
      <c r="AK869" s="37">
        <f>IF(最佳化斷筋點!L869="","",最佳化斷筋點!L869)</f>
        <v>5</v>
      </c>
      <c r="AL869" s="37">
        <f>IF(最佳化斷筋點!M869="","",最佳化斷筋點!M869)</f>
        <v>5</v>
      </c>
      <c r="AM869" s="37">
        <f>IF(最佳化斷筋點!N869="","",最佳化斷筋點!N869)</f>
        <v>5</v>
      </c>
      <c r="AN869" s="37">
        <f>IF(最佳化斷筋點!O869="","",最佳化斷筋點!O869)</f>
        <v>5</v>
      </c>
      <c r="AO869" s="37">
        <f>IF(最佳化斷筋點!P869="","",最佳化斷筋點!P869)</f>
        <v>5</v>
      </c>
      <c r="AP869" s="37">
        <f>IF(最佳化斷筋點!Q869="","",最佳化斷筋點!Q869)</f>
        <v>6</v>
      </c>
      <c r="AQ869" s="37">
        <f>IF(最佳化斷筋點!R869="","",最佳化斷筋點!R869)</f>
        <v>7</v>
      </c>
      <c r="AR869" s="37">
        <f>IF(最佳化斷筋點!S869="","",最佳化斷筋點!S869)</f>
        <v>8</v>
      </c>
      <c r="AS869" s="37">
        <f>IF(最佳化斷筋點!T869="","",最佳化斷筋點!T869)</f>
        <v>9</v>
      </c>
      <c r="AT869" s="37">
        <f>IF(最佳化斷筋點!U869="","",最佳化斷筋點!U869)</f>
        <v>10</v>
      </c>
      <c r="AU869" s="37">
        <f>IF(最佳化斷筋點!V869="","",最佳化斷筋點!V869)</f>
        <v>10</v>
      </c>
      <c r="AV869" s="37">
        <f>IF(最佳化斷筋點!W869="","",最佳化斷筋點!W869)</f>
        <v>10</v>
      </c>
      <c r="AW869" s="37">
        <f>IF(最佳化斷筋點!X869="","",最佳化斷筋點!X869)</f>
        <v>10</v>
      </c>
      <c r="AZ869" s="37">
        <v>10</v>
      </c>
      <c r="BA869" s="37">
        <v>10</v>
      </c>
      <c r="BB869" s="37">
        <v>10</v>
      </c>
      <c r="BC869" s="37">
        <v>10</v>
      </c>
      <c r="BD869" s="37">
        <v>10</v>
      </c>
      <c r="BE869" s="37">
        <v>9</v>
      </c>
      <c r="BF869" s="37">
        <v>8</v>
      </c>
      <c r="BG869" s="37">
        <v>5</v>
      </c>
      <c r="BH869" s="37">
        <v>5</v>
      </c>
      <c r="BI869" s="37">
        <v>5</v>
      </c>
      <c r="BJ869" s="37">
        <v>5</v>
      </c>
      <c r="BK869" s="37">
        <v>5</v>
      </c>
      <c r="BL869" s="37">
        <v>5</v>
      </c>
      <c r="BM869" s="37">
        <v>6</v>
      </c>
      <c r="BN869" s="37">
        <v>7</v>
      </c>
      <c r="BO869" s="37">
        <v>8</v>
      </c>
      <c r="BP869" s="37">
        <v>9</v>
      </c>
      <c r="BQ869" s="37">
        <v>10</v>
      </c>
      <c r="BR869" s="37">
        <v>10</v>
      </c>
      <c r="BS869" s="37">
        <v>10</v>
      </c>
      <c r="BT869" s="37">
        <v>10</v>
      </c>
    </row>
    <row r="870" spans="5:72" x14ac:dyDescent="0.25">
      <c r="E870" s="36"/>
      <c r="F870" s="36">
        <f t="shared" si="274"/>
        <v>0</v>
      </c>
      <c r="G870" s="36">
        <f t="shared" si="275"/>
        <v>0</v>
      </c>
      <c r="H870" s="36">
        <f t="shared" si="276"/>
        <v>0</v>
      </c>
      <c r="I870" s="36">
        <f t="shared" si="277"/>
        <v>0</v>
      </c>
      <c r="J870" s="36">
        <f t="shared" si="278"/>
        <v>0</v>
      </c>
      <c r="K870" s="36">
        <f t="shared" si="279"/>
        <v>0</v>
      </c>
      <c r="L870" s="36">
        <f t="shared" si="280"/>
        <v>0</v>
      </c>
      <c r="M870" s="36">
        <f t="shared" si="281"/>
        <v>0</v>
      </c>
      <c r="N870" s="36">
        <f t="shared" si="282"/>
        <v>0</v>
      </c>
      <c r="O870" s="36">
        <f t="shared" si="283"/>
        <v>0</v>
      </c>
      <c r="P870" s="36">
        <f t="shared" si="284"/>
        <v>0</v>
      </c>
      <c r="Q870" s="36">
        <f t="shared" si="285"/>
        <v>0</v>
      </c>
      <c r="R870" s="36">
        <f t="shared" si="286"/>
        <v>0</v>
      </c>
      <c r="S870" s="36">
        <f t="shared" si="287"/>
        <v>0</v>
      </c>
      <c r="T870" s="36">
        <f t="shared" si="288"/>
        <v>0</v>
      </c>
      <c r="U870" s="36">
        <f t="shared" si="289"/>
        <v>0</v>
      </c>
      <c r="V870" s="36">
        <f t="shared" si="290"/>
        <v>0</v>
      </c>
      <c r="W870" s="36">
        <f t="shared" si="291"/>
        <v>0</v>
      </c>
      <c r="X870" s="36">
        <f t="shared" si="292"/>
        <v>0</v>
      </c>
      <c r="Y870" s="36">
        <f t="shared" si="293"/>
        <v>0</v>
      </c>
      <c r="Z870" s="36">
        <f t="shared" si="294"/>
        <v>0</v>
      </c>
      <c r="AB870" s="36" t="str">
        <f>IF(最佳化斷筋點!C870="","",最佳化斷筋點!C870)</f>
        <v/>
      </c>
      <c r="AC870" s="37" t="str">
        <f>IF(最佳化斷筋點!D870="","",最佳化斷筋點!D870)</f>
        <v/>
      </c>
      <c r="AD870" s="37" t="str">
        <f>IF(最佳化斷筋點!E870="","",最佳化斷筋點!E870)</f>
        <v/>
      </c>
      <c r="AE870" s="37" t="str">
        <f>IF(最佳化斷筋點!F870="","",最佳化斷筋點!F870)</f>
        <v/>
      </c>
      <c r="AF870" s="37" t="str">
        <f>IF(最佳化斷筋點!G870="","",最佳化斷筋點!G870)</f>
        <v/>
      </c>
      <c r="AG870" s="37" t="str">
        <f>IF(最佳化斷筋點!H870="","",最佳化斷筋點!H870)</f>
        <v/>
      </c>
      <c r="AH870" s="37" t="str">
        <f>IF(最佳化斷筋點!I870="","",最佳化斷筋點!I870)</f>
        <v/>
      </c>
      <c r="AI870" s="37" t="str">
        <f>IF(最佳化斷筋點!J870="","",最佳化斷筋點!J870)</f>
        <v/>
      </c>
      <c r="AJ870" s="37" t="str">
        <f>IF(最佳化斷筋點!K870="","",最佳化斷筋點!K870)</f>
        <v/>
      </c>
      <c r="AK870" s="37" t="str">
        <f>IF(最佳化斷筋點!L870="","",最佳化斷筋點!L870)</f>
        <v/>
      </c>
      <c r="AL870" s="37" t="str">
        <f>IF(最佳化斷筋點!M870="","",最佳化斷筋點!M870)</f>
        <v/>
      </c>
      <c r="AM870" s="37" t="str">
        <f>IF(最佳化斷筋點!N870="","",最佳化斷筋點!N870)</f>
        <v/>
      </c>
      <c r="AN870" s="37" t="str">
        <f>IF(最佳化斷筋點!O870="","",最佳化斷筋點!O870)</f>
        <v/>
      </c>
      <c r="AO870" s="37" t="str">
        <f>IF(最佳化斷筋點!P870="","",最佳化斷筋點!P870)</f>
        <v/>
      </c>
      <c r="AP870" s="37" t="str">
        <f>IF(最佳化斷筋點!Q870="","",最佳化斷筋點!Q870)</f>
        <v/>
      </c>
      <c r="AQ870" s="37" t="str">
        <f>IF(最佳化斷筋點!R870="","",最佳化斷筋點!R870)</f>
        <v/>
      </c>
      <c r="AR870" s="37" t="str">
        <f>IF(最佳化斷筋點!S870="","",最佳化斷筋點!S870)</f>
        <v/>
      </c>
      <c r="AS870" s="37" t="str">
        <f>IF(最佳化斷筋點!T870="","",最佳化斷筋點!T870)</f>
        <v/>
      </c>
      <c r="AT870" s="37" t="str">
        <f>IF(最佳化斷筋點!U870="","",最佳化斷筋點!U870)</f>
        <v/>
      </c>
      <c r="AU870" s="37" t="str">
        <f>IF(最佳化斷筋點!V870="","",最佳化斷筋點!V870)</f>
        <v/>
      </c>
      <c r="AV870" s="37" t="str">
        <f>IF(最佳化斷筋點!W870="","",最佳化斷筋點!W870)</f>
        <v/>
      </c>
      <c r="AW870" s="37" t="str">
        <f>IF(最佳化斷筋點!X870="","",最佳化斷筋點!X870)</f>
        <v/>
      </c>
      <c r="AZ870" s="37" t="s">
        <v>197</v>
      </c>
      <c r="BA870" s="37" t="s">
        <v>197</v>
      </c>
      <c r="BB870" s="37" t="s">
        <v>197</v>
      </c>
      <c r="BC870" s="37" t="s">
        <v>197</v>
      </c>
      <c r="BD870" s="37" t="s">
        <v>197</v>
      </c>
      <c r="BE870" s="37" t="s">
        <v>197</v>
      </c>
      <c r="BF870" s="37" t="s">
        <v>197</v>
      </c>
      <c r="BG870" s="37" t="s">
        <v>197</v>
      </c>
      <c r="BH870" s="37" t="s">
        <v>197</v>
      </c>
      <c r="BI870" s="37" t="s">
        <v>197</v>
      </c>
      <c r="BJ870" s="37" t="s">
        <v>197</v>
      </c>
      <c r="BK870" s="37" t="s">
        <v>197</v>
      </c>
      <c r="BL870" s="37" t="s">
        <v>197</v>
      </c>
      <c r="BM870" s="37" t="s">
        <v>197</v>
      </c>
      <c r="BN870" s="37" t="s">
        <v>197</v>
      </c>
      <c r="BO870" s="37" t="s">
        <v>197</v>
      </c>
      <c r="BP870" s="37" t="s">
        <v>197</v>
      </c>
      <c r="BQ870" s="37" t="s">
        <v>197</v>
      </c>
      <c r="BR870" s="37" t="s">
        <v>197</v>
      </c>
      <c r="BS870" s="37" t="s">
        <v>197</v>
      </c>
      <c r="BT870" s="37" t="s">
        <v>197</v>
      </c>
    </row>
    <row r="871" spans="5:72" x14ac:dyDescent="0.25">
      <c r="E871" s="36" t="s">
        <v>20</v>
      </c>
      <c r="F871" s="36">
        <f t="shared" si="274"/>
        <v>0</v>
      </c>
      <c r="G871" s="36">
        <f t="shared" si="275"/>
        <v>0</v>
      </c>
      <c r="H871" s="36">
        <f t="shared" si="276"/>
        <v>0</v>
      </c>
      <c r="I871" s="36">
        <f t="shared" si="277"/>
        <v>0</v>
      </c>
      <c r="J871" s="36">
        <f t="shared" si="278"/>
        <v>0</v>
      </c>
      <c r="K871" s="36">
        <f t="shared" si="279"/>
        <v>0</v>
      </c>
      <c r="L871" s="36">
        <f t="shared" si="280"/>
        <v>0</v>
      </c>
      <c r="M871" s="36">
        <f t="shared" si="281"/>
        <v>0</v>
      </c>
      <c r="N871" s="36">
        <f t="shared" si="282"/>
        <v>0</v>
      </c>
      <c r="O871" s="36">
        <f t="shared" si="283"/>
        <v>0</v>
      </c>
      <c r="P871" s="36">
        <f t="shared" si="284"/>
        <v>0</v>
      </c>
      <c r="Q871" s="36">
        <f t="shared" si="285"/>
        <v>0</v>
      </c>
      <c r="R871" s="36">
        <f t="shared" si="286"/>
        <v>0</v>
      </c>
      <c r="S871" s="36">
        <f t="shared" si="287"/>
        <v>0</v>
      </c>
      <c r="T871" s="36">
        <f t="shared" si="288"/>
        <v>0</v>
      </c>
      <c r="U871" s="36">
        <f t="shared" si="289"/>
        <v>0</v>
      </c>
      <c r="V871" s="36">
        <f t="shared" si="290"/>
        <v>0</v>
      </c>
      <c r="W871" s="36">
        <f t="shared" si="291"/>
        <v>0</v>
      </c>
      <c r="X871" s="36">
        <f t="shared" si="292"/>
        <v>0</v>
      </c>
      <c r="Y871" s="36">
        <f t="shared" si="293"/>
        <v>0</v>
      </c>
      <c r="Z871" s="36">
        <f t="shared" si="294"/>
        <v>0</v>
      </c>
      <c r="AB871" s="36" t="str">
        <f>IF(最佳化斷筋點!C871="","",最佳化斷筋點!C871)</f>
        <v>上層</v>
      </c>
      <c r="AC871" s="37">
        <f>IF(最佳化斷筋點!D871="","",最佳化斷筋點!D871)</f>
        <v>12</v>
      </c>
      <c r="AD871" s="37">
        <f>IF(最佳化斷筋點!E871="","",最佳化斷筋點!E871)</f>
        <v>12</v>
      </c>
      <c r="AE871" s="37">
        <f>IF(最佳化斷筋點!F871="","",最佳化斷筋點!F871)</f>
        <v>12</v>
      </c>
      <c r="AF871" s="37">
        <f>IF(最佳化斷筋點!G871="","",最佳化斷筋點!G871)</f>
        <v>12</v>
      </c>
      <c r="AG871" s="37">
        <f>IF(最佳化斷筋點!H871="","",最佳化斷筋點!H871)</f>
        <v>12</v>
      </c>
      <c r="AH871" s="37">
        <f>IF(最佳化斷筋點!I871="","",最佳化斷筋點!I871)</f>
        <v>12</v>
      </c>
      <c r="AI871" s="37">
        <f>IF(最佳化斷筋點!J871="","",最佳化斷筋點!J871)</f>
        <v>11</v>
      </c>
      <c r="AJ871" s="37">
        <f>IF(最佳化斷筋點!K871="","",最佳化斷筋點!K871)</f>
        <v>4</v>
      </c>
      <c r="AK871" s="37">
        <f>IF(最佳化斷筋點!L871="","",最佳化斷筋點!L871)</f>
        <v>4</v>
      </c>
      <c r="AL871" s="37">
        <f>IF(最佳化斷筋點!M871="","",最佳化斷筋點!M871)</f>
        <v>4</v>
      </c>
      <c r="AM871" s="37">
        <f>IF(最佳化斷筋點!N871="","",最佳化斷筋點!N871)</f>
        <v>4</v>
      </c>
      <c r="AN871" s="37">
        <f>IF(最佳化斷筋點!O871="","",最佳化斷筋點!O871)</f>
        <v>4</v>
      </c>
      <c r="AO871" s="37">
        <f>IF(最佳化斷筋點!P871="","",最佳化斷筋點!P871)</f>
        <v>4</v>
      </c>
      <c r="AP871" s="37">
        <f>IF(最佳化斷筋點!Q871="","",最佳化斷筋點!Q871)</f>
        <v>9</v>
      </c>
      <c r="AQ871" s="37">
        <f>IF(最佳化斷筋點!R871="","",最佳化斷筋點!R871)</f>
        <v>10</v>
      </c>
      <c r="AR871" s="37">
        <f>IF(最佳化斷筋點!S871="","",最佳化斷筋點!S871)</f>
        <v>11</v>
      </c>
      <c r="AS871" s="37">
        <f>IF(最佳化斷筋點!T871="","",最佳化斷筋點!T871)</f>
        <v>11</v>
      </c>
      <c r="AT871" s="37">
        <f>IF(最佳化斷筋點!U871="","",最佳化斷筋點!U871)</f>
        <v>11</v>
      </c>
      <c r="AU871" s="37">
        <f>IF(最佳化斷筋點!V871="","",最佳化斷筋點!V871)</f>
        <v>11</v>
      </c>
      <c r="AV871" s="37">
        <f>IF(最佳化斷筋點!W871="","",最佳化斷筋點!W871)</f>
        <v>11</v>
      </c>
      <c r="AW871" s="37">
        <f>IF(最佳化斷筋點!X871="","",最佳化斷筋點!X871)</f>
        <v>11</v>
      </c>
      <c r="AZ871" s="37">
        <v>12</v>
      </c>
      <c r="BA871" s="37">
        <v>12</v>
      </c>
      <c r="BB871" s="37">
        <v>12</v>
      </c>
      <c r="BC871" s="37">
        <v>12</v>
      </c>
      <c r="BD871" s="37">
        <v>12</v>
      </c>
      <c r="BE871" s="37">
        <v>12</v>
      </c>
      <c r="BF871" s="37">
        <v>11</v>
      </c>
      <c r="BG871" s="37">
        <v>4</v>
      </c>
      <c r="BH871" s="37">
        <v>4</v>
      </c>
      <c r="BI871" s="37">
        <v>4</v>
      </c>
      <c r="BJ871" s="37">
        <v>4</v>
      </c>
      <c r="BK871" s="37">
        <v>4</v>
      </c>
      <c r="BL871" s="37">
        <v>4</v>
      </c>
      <c r="BM871" s="37">
        <v>9</v>
      </c>
      <c r="BN871" s="37">
        <v>10</v>
      </c>
      <c r="BO871" s="37">
        <v>11</v>
      </c>
      <c r="BP871" s="37">
        <v>11</v>
      </c>
      <c r="BQ871" s="37">
        <v>11</v>
      </c>
      <c r="BR871" s="37">
        <v>11</v>
      </c>
      <c r="BS871" s="37">
        <v>11</v>
      </c>
      <c r="BT871" s="37">
        <v>11</v>
      </c>
    </row>
    <row r="872" spans="5:72" x14ac:dyDescent="0.25">
      <c r="E872" s="36"/>
      <c r="F872" s="36">
        <f t="shared" si="274"/>
        <v>0</v>
      </c>
      <c r="G872" s="36">
        <f t="shared" si="275"/>
        <v>0</v>
      </c>
      <c r="H872" s="36">
        <f t="shared" si="276"/>
        <v>0</v>
      </c>
      <c r="I872" s="36">
        <f t="shared" si="277"/>
        <v>0</v>
      </c>
      <c r="J872" s="36">
        <f t="shared" si="278"/>
        <v>0</v>
      </c>
      <c r="K872" s="36">
        <f t="shared" si="279"/>
        <v>0</v>
      </c>
      <c r="L872" s="36">
        <f t="shared" si="280"/>
        <v>0</v>
      </c>
      <c r="M872" s="36">
        <f t="shared" si="281"/>
        <v>0</v>
      </c>
      <c r="N872" s="36">
        <f t="shared" si="282"/>
        <v>0</v>
      </c>
      <c r="O872" s="36">
        <f t="shared" si="283"/>
        <v>0</v>
      </c>
      <c r="P872" s="36">
        <f t="shared" si="284"/>
        <v>0</v>
      </c>
      <c r="Q872" s="36">
        <f t="shared" si="285"/>
        <v>0</v>
      </c>
      <c r="R872" s="36">
        <f t="shared" si="286"/>
        <v>0</v>
      </c>
      <c r="S872" s="36">
        <f t="shared" si="287"/>
        <v>0</v>
      </c>
      <c r="T872" s="36">
        <f t="shared" si="288"/>
        <v>0</v>
      </c>
      <c r="U872" s="36">
        <f t="shared" si="289"/>
        <v>0</v>
      </c>
      <c r="V872" s="36">
        <f t="shared" si="290"/>
        <v>0</v>
      </c>
      <c r="W872" s="36">
        <f t="shared" si="291"/>
        <v>0</v>
      </c>
      <c r="X872" s="36">
        <f t="shared" si="292"/>
        <v>0</v>
      </c>
      <c r="Y872" s="36">
        <f t="shared" si="293"/>
        <v>0</v>
      </c>
      <c r="Z872" s="36">
        <f t="shared" si="294"/>
        <v>0</v>
      </c>
      <c r="AB872" s="36" t="str">
        <f>IF(最佳化斷筋點!C872="","",最佳化斷筋點!C872)</f>
        <v/>
      </c>
      <c r="AC872" s="37" t="str">
        <f>IF(最佳化斷筋點!D872="","",最佳化斷筋點!D872)</f>
        <v/>
      </c>
      <c r="AD872" s="37" t="str">
        <f>IF(最佳化斷筋點!E872="","",最佳化斷筋點!E872)</f>
        <v/>
      </c>
      <c r="AE872" s="37" t="str">
        <f>IF(最佳化斷筋點!F872="","",最佳化斷筋點!F872)</f>
        <v/>
      </c>
      <c r="AF872" s="37" t="str">
        <f>IF(最佳化斷筋點!G872="","",最佳化斷筋點!G872)</f>
        <v/>
      </c>
      <c r="AG872" s="37" t="str">
        <f>IF(最佳化斷筋點!H872="","",最佳化斷筋點!H872)</f>
        <v/>
      </c>
      <c r="AH872" s="37" t="str">
        <f>IF(最佳化斷筋點!I872="","",最佳化斷筋點!I872)</f>
        <v/>
      </c>
      <c r="AI872" s="37" t="str">
        <f>IF(最佳化斷筋點!J872="","",最佳化斷筋點!J872)</f>
        <v/>
      </c>
      <c r="AJ872" s="37" t="str">
        <f>IF(最佳化斷筋點!K872="","",最佳化斷筋點!K872)</f>
        <v/>
      </c>
      <c r="AK872" s="37" t="str">
        <f>IF(最佳化斷筋點!L872="","",最佳化斷筋點!L872)</f>
        <v/>
      </c>
      <c r="AL872" s="37" t="str">
        <f>IF(最佳化斷筋點!M872="","",最佳化斷筋點!M872)</f>
        <v/>
      </c>
      <c r="AM872" s="37" t="str">
        <f>IF(最佳化斷筋點!N872="","",最佳化斷筋點!N872)</f>
        <v/>
      </c>
      <c r="AN872" s="37" t="str">
        <f>IF(最佳化斷筋點!O872="","",最佳化斷筋點!O872)</f>
        <v/>
      </c>
      <c r="AO872" s="37" t="str">
        <f>IF(最佳化斷筋點!P872="","",最佳化斷筋點!P872)</f>
        <v/>
      </c>
      <c r="AP872" s="37" t="str">
        <f>IF(最佳化斷筋點!Q872="","",最佳化斷筋點!Q872)</f>
        <v/>
      </c>
      <c r="AQ872" s="37" t="str">
        <f>IF(最佳化斷筋點!R872="","",最佳化斷筋點!R872)</f>
        <v/>
      </c>
      <c r="AR872" s="37" t="str">
        <f>IF(最佳化斷筋點!S872="","",最佳化斷筋點!S872)</f>
        <v/>
      </c>
      <c r="AS872" s="37" t="str">
        <f>IF(最佳化斷筋點!T872="","",最佳化斷筋點!T872)</f>
        <v/>
      </c>
      <c r="AT872" s="37" t="str">
        <f>IF(最佳化斷筋點!U872="","",最佳化斷筋點!U872)</f>
        <v/>
      </c>
      <c r="AU872" s="37" t="str">
        <f>IF(最佳化斷筋點!V872="","",最佳化斷筋點!V872)</f>
        <v/>
      </c>
      <c r="AV872" s="37" t="str">
        <f>IF(最佳化斷筋點!W872="","",最佳化斷筋點!W872)</f>
        <v/>
      </c>
      <c r="AW872" s="37" t="str">
        <f>IF(最佳化斷筋點!X872="","",最佳化斷筋點!X872)</f>
        <v/>
      </c>
      <c r="AZ872" s="37" t="s">
        <v>197</v>
      </c>
      <c r="BA872" s="37" t="s">
        <v>197</v>
      </c>
      <c r="BB872" s="37" t="s">
        <v>197</v>
      </c>
      <c r="BC872" s="37" t="s">
        <v>197</v>
      </c>
      <c r="BD872" s="37" t="s">
        <v>197</v>
      </c>
      <c r="BE872" s="37" t="s">
        <v>197</v>
      </c>
      <c r="BF872" s="37" t="s">
        <v>197</v>
      </c>
      <c r="BG872" s="37" t="s">
        <v>197</v>
      </c>
      <c r="BH872" s="37" t="s">
        <v>197</v>
      </c>
      <c r="BI872" s="37" t="s">
        <v>197</v>
      </c>
      <c r="BJ872" s="37" t="s">
        <v>197</v>
      </c>
      <c r="BK872" s="37" t="s">
        <v>197</v>
      </c>
      <c r="BL872" s="37" t="s">
        <v>197</v>
      </c>
      <c r="BM872" s="37" t="s">
        <v>197</v>
      </c>
      <c r="BN872" s="37" t="s">
        <v>197</v>
      </c>
      <c r="BO872" s="37" t="s">
        <v>197</v>
      </c>
      <c r="BP872" s="37" t="s">
        <v>197</v>
      </c>
      <c r="BQ872" s="37" t="s">
        <v>197</v>
      </c>
      <c r="BR872" s="37" t="s">
        <v>197</v>
      </c>
      <c r="BS872" s="37" t="s">
        <v>197</v>
      </c>
      <c r="BT872" s="37" t="s">
        <v>197</v>
      </c>
    </row>
    <row r="873" spans="5:72" x14ac:dyDescent="0.25">
      <c r="E873" s="36" t="s">
        <v>21</v>
      </c>
      <c r="F873" s="36">
        <f t="shared" si="274"/>
        <v>0</v>
      </c>
      <c r="G873" s="36">
        <f t="shared" si="275"/>
        <v>0</v>
      </c>
      <c r="H873" s="36">
        <f t="shared" si="276"/>
        <v>0</v>
      </c>
      <c r="I873" s="36">
        <f t="shared" si="277"/>
        <v>0</v>
      </c>
      <c r="J873" s="36">
        <f t="shared" si="278"/>
        <v>0</v>
      </c>
      <c r="K873" s="36">
        <f t="shared" si="279"/>
        <v>0</v>
      </c>
      <c r="L873" s="36">
        <f t="shared" si="280"/>
        <v>0</v>
      </c>
      <c r="M873" s="36">
        <f t="shared" si="281"/>
        <v>0</v>
      </c>
      <c r="N873" s="36">
        <f t="shared" si="282"/>
        <v>0</v>
      </c>
      <c r="O873" s="36">
        <f t="shared" si="283"/>
        <v>0</v>
      </c>
      <c r="P873" s="36">
        <f t="shared" si="284"/>
        <v>0</v>
      </c>
      <c r="Q873" s="36">
        <f t="shared" si="285"/>
        <v>0</v>
      </c>
      <c r="R873" s="36">
        <f t="shared" si="286"/>
        <v>0</v>
      </c>
      <c r="S873" s="36">
        <f t="shared" si="287"/>
        <v>0</v>
      </c>
      <c r="T873" s="36">
        <f t="shared" si="288"/>
        <v>0</v>
      </c>
      <c r="U873" s="36">
        <f t="shared" si="289"/>
        <v>0</v>
      </c>
      <c r="V873" s="36">
        <f t="shared" si="290"/>
        <v>0</v>
      </c>
      <c r="W873" s="36">
        <f t="shared" si="291"/>
        <v>0</v>
      </c>
      <c r="X873" s="36">
        <f t="shared" si="292"/>
        <v>0</v>
      </c>
      <c r="Y873" s="36">
        <f t="shared" si="293"/>
        <v>0</v>
      </c>
      <c r="Z873" s="36">
        <f t="shared" si="294"/>
        <v>0</v>
      </c>
      <c r="AB873" s="36" t="str">
        <f>IF(最佳化斷筋點!C873="","",最佳化斷筋點!C873)</f>
        <v>下層</v>
      </c>
      <c r="AC873" s="37">
        <f>IF(最佳化斷筋點!D873="","",最佳化斷筋點!D873)</f>
        <v>15</v>
      </c>
      <c r="AD873" s="37">
        <f>IF(最佳化斷筋點!E873="","",最佳化斷筋點!E873)</f>
        <v>15</v>
      </c>
      <c r="AE873" s="37">
        <f>IF(最佳化斷筋點!F873="","",最佳化斷筋點!F873)</f>
        <v>15</v>
      </c>
      <c r="AF873" s="37">
        <f>IF(最佳化斷筋點!G873="","",最佳化斷筋點!G873)</f>
        <v>15</v>
      </c>
      <c r="AG873" s="37">
        <f>IF(最佳化斷筋點!H873="","",最佳化斷筋點!H873)</f>
        <v>14</v>
      </c>
      <c r="AH873" s="37">
        <f>IF(最佳化斷筋點!I873="","",最佳化斷筋點!I873)</f>
        <v>13</v>
      </c>
      <c r="AI873" s="37">
        <f>IF(最佳化斷筋點!J873="","",最佳化斷筋點!J873)</f>
        <v>11</v>
      </c>
      <c r="AJ873" s="37">
        <f>IF(最佳化斷筋點!K873="","",最佳化斷筋點!K873)</f>
        <v>7</v>
      </c>
      <c r="AK873" s="37">
        <f>IF(最佳化斷筋點!L873="","",最佳化斷筋點!L873)</f>
        <v>7</v>
      </c>
      <c r="AL873" s="37">
        <f>IF(最佳化斷筋點!M873="","",最佳化斷筋點!M873)</f>
        <v>7</v>
      </c>
      <c r="AM873" s="37">
        <f>IF(最佳化斷筋點!N873="","",最佳化斷筋點!N873)</f>
        <v>7</v>
      </c>
      <c r="AN873" s="37">
        <f>IF(最佳化斷筋點!O873="","",最佳化斷筋點!O873)</f>
        <v>7</v>
      </c>
      <c r="AO873" s="37">
        <f>IF(最佳化斷筋點!P873="","",最佳化斷筋點!P873)</f>
        <v>7</v>
      </c>
      <c r="AP873" s="37">
        <f>IF(最佳化斷筋點!Q873="","",最佳化斷筋點!Q873)</f>
        <v>9</v>
      </c>
      <c r="AQ873" s="37">
        <f>IF(最佳化斷筋點!R873="","",最佳化斷筋點!R873)</f>
        <v>10</v>
      </c>
      <c r="AR873" s="37">
        <f>IF(最佳化斷筋點!S873="","",最佳化斷筋點!S873)</f>
        <v>11</v>
      </c>
      <c r="AS873" s="37">
        <f>IF(最佳化斷筋點!T873="","",最佳化斷筋點!T873)</f>
        <v>13</v>
      </c>
      <c r="AT873" s="37">
        <f>IF(最佳化斷筋點!U873="","",最佳化斷筋點!U873)</f>
        <v>14</v>
      </c>
      <c r="AU873" s="37">
        <f>IF(最佳化斷筋點!V873="","",最佳化斷筋點!V873)</f>
        <v>14</v>
      </c>
      <c r="AV873" s="37">
        <f>IF(最佳化斷筋點!W873="","",最佳化斷筋點!W873)</f>
        <v>14</v>
      </c>
      <c r="AW873" s="37">
        <f>IF(最佳化斷筋點!X873="","",最佳化斷筋點!X873)</f>
        <v>14</v>
      </c>
      <c r="AZ873" s="37">
        <v>15</v>
      </c>
      <c r="BA873" s="37">
        <v>15</v>
      </c>
      <c r="BB873" s="37">
        <v>15</v>
      </c>
      <c r="BC873" s="37">
        <v>15</v>
      </c>
      <c r="BD873" s="37">
        <v>14</v>
      </c>
      <c r="BE873" s="37">
        <v>13</v>
      </c>
      <c r="BF873" s="37">
        <v>11</v>
      </c>
      <c r="BG873" s="37">
        <v>7</v>
      </c>
      <c r="BH873" s="37">
        <v>7</v>
      </c>
      <c r="BI873" s="37">
        <v>7</v>
      </c>
      <c r="BJ873" s="37">
        <v>7</v>
      </c>
      <c r="BK873" s="37">
        <v>7</v>
      </c>
      <c r="BL873" s="37">
        <v>7</v>
      </c>
      <c r="BM873" s="37">
        <v>9</v>
      </c>
      <c r="BN873" s="37">
        <v>10</v>
      </c>
      <c r="BO873" s="37">
        <v>11</v>
      </c>
      <c r="BP873" s="37">
        <v>13</v>
      </c>
      <c r="BQ873" s="37">
        <v>14</v>
      </c>
      <c r="BR873" s="37">
        <v>14</v>
      </c>
      <c r="BS873" s="37">
        <v>14</v>
      </c>
      <c r="BT873" s="37">
        <v>14</v>
      </c>
    </row>
    <row r="874" spans="5:72" x14ac:dyDescent="0.25">
      <c r="E874" s="36"/>
      <c r="F874" s="36">
        <f t="shared" si="274"/>
        <v>0</v>
      </c>
      <c r="G874" s="36">
        <f t="shared" si="275"/>
        <v>0</v>
      </c>
      <c r="H874" s="36">
        <f t="shared" si="276"/>
        <v>0</v>
      </c>
      <c r="I874" s="36">
        <f t="shared" si="277"/>
        <v>0</v>
      </c>
      <c r="J874" s="36">
        <f t="shared" si="278"/>
        <v>0</v>
      </c>
      <c r="K874" s="36">
        <f t="shared" si="279"/>
        <v>0</v>
      </c>
      <c r="L874" s="36">
        <f t="shared" si="280"/>
        <v>0</v>
      </c>
      <c r="M874" s="36">
        <f t="shared" si="281"/>
        <v>0</v>
      </c>
      <c r="N874" s="36">
        <f t="shared" si="282"/>
        <v>0</v>
      </c>
      <c r="O874" s="36">
        <f t="shared" si="283"/>
        <v>0</v>
      </c>
      <c r="P874" s="36">
        <f t="shared" si="284"/>
        <v>0</v>
      </c>
      <c r="Q874" s="36">
        <f t="shared" si="285"/>
        <v>0</v>
      </c>
      <c r="R874" s="36">
        <f t="shared" si="286"/>
        <v>0</v>
      </c>
      <c r="S874" s="36">
        <f t="shared" si="287"/>
        <v>0</v>
      </c>
      <c r="T874" s="36">
        <f t="shared" si="288"/>
        <v>0</v>
      </c>
      <c r="U874" s="36">
        <f t="shared" si="289"/>
        <v>0</v>
      </c>
      <c r="V874" s="36">
        <f t="shared" si="290"/>
        <v>0</v>
      </c>
      <c r="W874" s="36">
        <f t="shared" si="291"/>
        <v>0</v>
      </c>
      <c r="X874" s="36">
        <f t="shared" si="292"/>
        <v>0</v>
      </c>
      <c r="Y874" s="36">
        <f t="shared" si="293"/>
        <v>0</v>
      </c>
      <c r="Z874" s="36">
        <f t="shared" si="294"/>
        <v>0</v>
      </c>
      <c r="AB874" s="36" t="str">
        <f>IF(最佳化斷筋點!C874="","",最佳化斷筋點!C874)</f>
        <v/>
      </c>
      <c r="AC874" s="37" t="str">
        <f>IF(最佳化斷筋點!D874="","",最佳化斷筋點!D874)</f>
        <v/>
      </c>
      <c r="AD874" s="37" t="str">
        <f>IF(最佳化斷筋點!E874="","",最佳化斷筋點!E874)</f>
        <v/>
      </c>
      <c r="AE874" s="37" t="str">
        <f>IF(最佳化斷筋點!F874="","",最佳化斷筋點!F874)</f>
        <v/>
      </c>
      <c r="AF874" s="37" t="str">
        <f>IF(最佳化斷筋點!G874="","",最佳化斷筋點!G874)</f>
        <v/>
      </c>
      <c r="AG874" s="37" t="str">
        <f>IF(最佳化斷筋點!H874="","",最佳化斷筋點!H874)</f>
        <v/>
      </c>
      <c r="AH874" s="37" t="str">
        <f>IF(最佳化斷筋點!I874="","",最佳化斷筋點!I874)</f>
        <v/>
      </c>
      <c r="AI874" s="37" t="str">
        <f>IF(最佳化斷筋點!J874="","",最佳化斷筋點!J874)</f>
        <v/>
      </c>
      <c r="AJ874" s="37" t="str">
        <f>IF(最佳化斷筋點!K874="","",最佳化斷筋點!K874)</f>
        <v/>
      </c>
      <c r="AK874" s="37" t="str">
        <f>IF(最佳化斷筋點!L874="","",最佳化斷筋點!L874)</f>
        <v/>
      </c>
      <c r="AL874" s="37" t="str">
        <f>IF(最佳化斷筋點!M874="","",最佳化斷筋點!M874)</f>
        <v/>
      </c>
      <c r="AM874" s="37" t="str">
        <f>IF(最佳化斷筋點!N874="","",最佳化斷筋點!N874)</f>
        <v/>
      </c>
      <c r="AN874" s="37" t="str">
        <f>IF(最佳化斷筋點!O874="","",最佳化斷筋點!O874)</f>
        <v/>
      </c>
      <c r="AO874" s="37" t="str">
        <f>IF(最佳化斷筋點!P874="","",最佳化斷筋點!P874)</f>
        <v/>
      </c>
      <c r="AP874" s="37" t="str">
        <f>IF(最佳化斷筋點!Q874="","",最佳化斷筋點!Q874)</f>
        <v/>
      </c>
      <c r="AQ874" s="37" t="str">
        <f>IF(最佳化斷筋點!R874="","",最佳化斷筋點!R874)</f>
        <v/>
      </c>
      <c r="AR874" s="37" t="str">
        <f>IF(最佳化斷筋點!S874="","",最佳化斷筋點!S874)</f>
        <v/>
      </c>
      <c r="AS874" s="37" t="str">
        <f>IF(最佳化斷筋點!T874="","",最佳化斷筋點!T874)</f>
        <v/>
      </c>
      <c r="AT874" s="37" t="str">
        <f>IF(最佳化斷筋點!U874="","",最佳化斷筋點!U874)</f>
        <v/>
      </c>
      <c r="AU874" s="37" t="str">
        <f>IF(最佳化斷筋點!V874="","",最佳化斷筋點!V874)</f>
        <v/>
      </c>
      <c r="AV874" s="37" t="str">
        <f>IF(最佳化斷筋點!W874="","",最佳化斷筋點!W874)</f>
        <v/>
      </c>
      <c r="AW874" s="37" t="str">
        <f>IF(最佳化斷筋點!X874="","",最佳化斷筋點!X874)</f>
        <v/>
      </c>
      <c r="AZ874" s="37" t="s">
        <v>197</v>
      </c>
      <c r="BA874" s="37" t="s">
        <v>197</v>
      </c>
      <c r="BB874" s="37" t="s">
        <v>197</v>
      </c>
      <c r="BC874" s="37" t="s">
        <v>197</v>
      </c>
      <c r="BD874" s="37" t="s">
        <v>197</v>
      </c>
      <c r="BE874" s="37" t="s">
        <v>197</v>
      </c>
      <c r="BF874" s="37" t="s">
        <v>197</v>
      </c>
      <c r="BG874" s="37" t="s">
        <v>197</v>
      </c>
      <c r="BH874" s="37" t="s">
        <v>197</v>
      </c>
      <c r="BI874" s="37" t="s">
        <v>197</v>
      </c>
      <c r="BJ874" s="37" t="s">
        <v>197</v>
      </c>
      <c r="BK874" s="37" t="s">
        <v>197</v>
      </c>
      <c r="BL874" s="37" t="s">
        <v>197</v>
      </c>
      <c r="BM874" s="37" t="s">
        <v>197</v>
      </c>
      <c r="BN874" s="37" t="s">
        <v>197</v>
      </c>
      <c r="BO874" s="37" t="s">
        <v>197</v>
      </c>
      <c r="BP874" s="37" t="s">
        <v>197</v>
      </c>
      <c r="BQ874" s="37" t="s">
        <v>197</v>
      </c>
      <c r="BR874" s="37" t="s">
        <v>197</v>
      </c>
      <c r="BS874" s="37" t="s">
        <v>197</v>
      </c>
      <c r="BT874" s="37" t="s">
        <v>197</v>
      </c>
    </row>
    <row r="875" spans="5:72" x14ac:dyDescent="0.25">
      <c r="E875" s="36" t="s">
        <v>20</v>
      </c>
      <c r="F875" s="36">
        <f t="shared" si="274"/>
        <v>0</v>
      </c>
      <c r="G875" s="36">
        <f t="shared" si="275"/>
        <v>0</v>
      </c>
      <c r="H875" s="36">
        <f t="shared" si="276"/>
        <v>0</v>
      </c>
      <c r="I875" s="36">
        <f t="shared" si="277"/>
        <v>0</v>
      </c>
      <c r="J875" s="36">
        <f t="shared" si="278"/>
        <v>0</v>
      </c>
      <c r="K875" s="36">
        <f t="shared" si="279"/>
        <v>0</v>
      </c>
      <c r="L875" s="36">
        <f t="shared" si="280"/>
        <v>0</v>
      </c>
      <c r="M875" s="36">
        <f t="shared" si="281"/>
        <v>0</v>
      </c>
      <c r="N875" s="36">
        <f t="shared" si="282"/>
        <v>0</v>
      </c>
      <c r="O875" s="36">
        <f t="shared" si="283"/>
        <v>0</v>
      </c>
      <c r="P875" s="36">
        <f t="shared" si="284"/>
        <v>0</v>
      </c>
      <c r="Q875" s="36">
        <f t="shared" si="285"/>
        <v>0</v>
      </c>
      <c r="R875" s="36">
        <f t="shared" si="286"/>
        <v>0</v>
      </c>
      <c r="S875" s="36">
        <f t="shared" si="287"/>
        <v>0</v>
      </c>
      <c r="T875" s="36">
        <f t="shared" si="288"/>
        <v>0</v>
      </c>
      <c r="U875" s="36">
        <f t="shared" si="289"/>
        <v>0</v>
      </c>
      <c r="V875" s="36">
        <f t="shared" si="290"/>
        <v>0</v>
      </c>
      <c r="W875" s="36">
        <f t="shared" si="291"/>
        <v>0</v>
      </c>
      <c r="X875" s="36">
        <f t="shared" si="292"/>
        <v>0</v>
      </c>
      <c r="Y875" s="36">
        <f t="shared" si="293"/>
        <v>0</v>
      </c>
      <c r="Z875" s="36">
        <f t="shared" si="294"/>
        <v>0</v>
      </c>
      <c r="AB875" s="36" t="str">
        <f>IF(最佳化斷筋點!C875="","",最佳化斷筋點!C875)</f>
        <v>上層</v>
      </c>
      <c r="AC875" s="37">
        <f>IF(最佳化斷筋點!D875="","",最佳化斷筋點!D875)</f>
        <v>10</v>
      </c>
      <c r="AD875" s="37">
        <f>IF(最佳化斷筋點!E875="","",最佳化斷筋點!E875)</f>
        <v>10</v>
      </c>
      <c r="AE875" s="37">
        <f>IF(最佳化斷筋點!F875="","",最佳化斷筋點!F875)</f>
        <v>10</v>
      </c>
      <c r="AF875" s="37">
        <f>IF(最佳化斷筋點!G875="","",最佳化斷筋點!G875)</f>
        <v>10</v>
      </c>
      <c r="AG875" s="37">
        <f>IF(最佳化斷筋點!H875="","",最佳化斷筋點!H875)</f>
        <v>10</v>
      </c>
      <c r="AH875" s="37">
        <f>IF(最佳化斷筋點!I875="","",最佳化斷筋點!I875)</f>
        <v>10</v>
      </c>
      <c r="AI875" s="37">
        <f>IF(最佳化斷筋點!J875="","",最佳化斷筋點!J875)</f>
        <v>10</v>
      </c>
      <c r="AJ875" s="37">
        <f>IF(最佳化斷筋點!K875="","",最佳化斷筋點!K875)</f>
        <v>4</v>
      </c>
      <c r="AK875" s="37">
        <f>IF(最佳化斷筋點!L875="","",最佳化斷筋點!L875)</f>
        <v>4</v>
      </c>
      <c r="AL875" s="37">
        <f>IF(最佳化斷筋點!M875="","",最佳化斷筋點!M875)</f>
        <v>4</v>
      </c>
      <c r="AM875" s="37">
        <f>IF(最佳化斷筋點!N875="","",最佳化斷筋點!N875)</f>
        <v>4</v>
      </c>
      <c r="AN875" s="37">
        <f>IF(最佳化斷筋點!O875="","",最佳化斷筋點!O875)</f>
        <v>4</v>
      </c>
      <c r="AO875" s="37">
        <f>IF(最佳化斷筋點!P875="","",最佳化斷筋點!P875)</f>
        <v>4</v>
      </c>
      <c r="AP875" s="37">
        <f>IF(最佳化斷筋點!Q875="","",最佳化斷筋點!Q875)</f>
        <v>7</v>
      </c>
      <c r="AQ875" s="37">
        <f>IF(最佳化斷筋點!R875="","",最佳化斷筋點!R875)</f>
        <v>8</v>
      </c>
      <c r="AR875" s="37">
        <f>IF(最佳化斷筋點!S875="","",最佳化斷筋點!S875)</f>
        <v>9</v>
      </c>
      <c r="AS875" s="37">
        <f>IF(最佳化斷筋點!T875="","",最佳化斷筋點!T875)</f>
        <v>9</v>
      </c>
      <c r="AT875" s="37">
        <f>IF(最佳化斷筋點!U875="","",最佳化斷筋點!U875)</f>
        <v>9</v>
      </c>
      <c r="AU875" s="37">
        <f>IF(最佳化斷筋點!V875="","",最佳化斷筋點!V875)</f>
        <v>9</v>
      </c>
      <c r="AV875" s="37">
        <f>IF(最佳化斷筋點!W875="","",最佳化斷筋點!W875)</f>
        <v>9</v>
      </c>
      <c r="AW875" s="37">
        <f>IF(最佳化斷筋點!X875="","",最佳化斷筋點!X875)</f>
        <v>9</v>
      </c>
      <c r="AZ875" s="37">
        <v>10</v>
      </c>
      <c r="BA875" s="37">
        <v>10</v>
      </c>
      <c r="BB875" s="37">
        <v>10</v>
      </c>
      <c r="BC875" s="37">
        <v>10</v>
      </c>
      <c r="BD875" s="37">
        <v>10</v>
      </c>
      <c r="BE875" s="37">
        <v>10</v>
      </c>
      <c r="BF875" s="37">
        <v>10</v>
      </c>
      <c r="BG875" s="37">
        <v>4</v>
      </c>
      <c r="BH875" s="37">
        <v>4</v>
      </c>
      <c r="BI875" s="37">
        <v>4</v>
      </c>
      <c r="BJ875" s="37">
        <v>4</v>
      </c>
      <c r="BK875" s="37">
        <v>4</v>
      </c>
      <c r="BL875" s="37">
        <v>4</v>
      </c>
      <c r="BM875" s="37">
        <v>7</v>
      </c>
      <c r="BN875" s="37">
        <v>8</v>
      </c>
      <c r="BO875" s="37">
        <v>9</v>
      </c>
      <c r="BP875" s="37">
        <v>9</v>
      </c>
      <c r="BQ875" s="37">
        <v>9</v>
      </c>
      <c r="BR875" s="37">
        <v>9</v>
      </c>
      <c r="BS875" s="37">
        <v>9</v>
      </c>
      <c r="BT875" s="37">
        <v>9</v>
      </c>
    </row>
    <row r="876" spans="5:72" x14ac:dyDescent="0.25">
      <c r="E876" s="36"/>
      <c r="F876" s="36">
        <f t="shared" si="274"/>
        <v>0</v>
      </c>
      <c r="G876" s="36">
        <f t="shared" si="275"/>
        <v>0</v>
      </c>
      <c r="H876" s="36">
        <f t="shared" si="276"/>
        <v>0</v>
      </c>
      <c r="I876" s="36">
        <f t="shared" si="277"/>
        <v>0</v>
      </c>
      <c r="J876" s="36">
        <f t="shared" si="278"/>
        <v>0</v>
      </c>
      <c r="K876" s="36">
        <f t="shared" si="279"/>
        <v>0</v>
      </c>
      <c r="L876" s="36">
        <f t="shared" si="280"/>
        <v>0</v>
      </c>
      <c r="M876" s="36">
        <f t="shared" si="281"/>
        <v>0</v>
      </c>
      <c r="N876" s="36">
        <f t="shared" si="282"/>
        <v>0</v>
      </c>
      <c r="O876" s="36">
        <f t="shared" si="283"/>
        <v>0</v>
      </c>
      <c r="P876" s="36">
        <f t="shared" si="284"/>
        <v>0</v>
      </c>
      <c r="Q876" s="36">
        <f t="shared" si="285"/>
        <v>0</v>
      </c>
      <c r="R876" s="36">
        <f t="shared" si="286"/>
        <v>0</v>
      </c>
      <c r="S876" s="36">
        <f t="shared" si="287"/>
        <v>0</v>
      </c>
      <c r="T876" s="36">
        <f t="shared" si="288"/>
        <v>0</v>
      </c>
      <c r="U876" s="36">
        <f t="shared" si="289"/>
        <v>0</v>
      </c>
      <c r="V876" s="36">
        <f t="shared" si="290"/>
        <v>0</v>
      </c>
      <c r="W876" s="36">
        <f t="shared" si="291"/>
        <v>0</v>
      </c>
      <c r="X876" s="36">
        <f t="shared" si="292"/>
        <v>0</v>
      </c>
      <c r="Y876" s="36">
        <f t="shared" si="293"/>
        <v>0</v>
      </c>
      <c r="Z876" s="36">
        <f t="shared" si="294"/>
        <v>0</v>
      </c>
      <c r="AB876" s="36" t="str">
        <f>IF(最佳化斷筋點!C876="","",最佳化斷筋點!C876)</f>
        <v/>
      </c>
      <c r="AC876" s="37" t="str">
        <f>IF(最佳化斷筋點!D876="","",最佳化斷筋點!D876)</f>
        <v/>
      </c>
      <c r="AD876" s="37" t="str">
        <f>IF(最佳化斷筋點!E876="","",最佳化斷筋點!E876)</f>
        <v/>
      </c>
      <c r="AE876" s="37" t="str">
        <f>IF(最佳化斷筋點!F876="","",最佳化斷筋點!F876)</f>
        <v/>
      </c>
      <c r="AF876" s="37" t="str">
        <f>IF(最佳化斷筋點!G876="","",最佳化斷筋點!G876)</f>
        <v/>
      </c>
      <c r="AG876" s="37" t="str">
        <f>IF(最佳化斷筋點!H876="","",最佳化斷筋點!H876)</f>
        <v/>
      </c>
      <c r="AH876" s="37" t="str">
        <f>IF(最佳化斷筋點!I876="","",最佳化斷筋點!I876)</f>
        <v/>
      </c>
      <c r="AI876" s="37" t="str">
        <f>IF(最佳化斷筋點!J876="","",最佳化斷筋點!J876)</f>
        <v/>
      </c>
      <c r="AJ876" s="37" t="str">
        <f>IF(最佳化斷筋點!K876="","",最佳化斷筋點!K876)</f>
        <v/>
      </c>
      <c r="AK876" s="37" t="str">
        <f>IF(最佳化斷筋點!L876="","",最佳化斷筋點!L876)</f>
        <v/>
      </c>
      <c r="AL876" s="37" t="str">
        <f>IF(最佳化斷筋點!M876="","",最佳化斷筋點!M876)</f>
        <v/>
      </c>
      <c r="AM876" s="37" t="str">
        <f>IF(最佳化斷筋點!N876="","",最佳化斷筋點!N876)</f>
        <v/>
      </c>
      <c r="AN876" s="37" t="str">
        <f>IF(最佳化斷筋點!O876="","",最佳化斷筋點!O876)</f>
        <v/>
      </c>
      <c r="AO876" s="37" t="str">
        <f>IF(最佳化斷筋點!P876="","",最佳化斷筋點!P876)</f>
        <v/>
      </c>
      <c r="AP876" s="37" t="str">
        <f>IF(最佳化斷筋點!Q876="","",最佳化斷筋點!Q876)</f>
        <v/>
      </c>
      <c r="AQ876" s="37" t="str">
        <f>IF(最佳化斷筋點!R876="","",最佳化斷筋點!R876)</f>
        <v/>
      </c>
      <c r="AR876" s="37" t="str">
        <f>IF(最佳化斷筋點!S876="","",最佳化斷筋點!S876)</f>
        <v/>
      </c>
      <c r="AS876" s="37" t="str">
        <f>IF(最佳化斷筋點!T876="","",最佳化斷筋點!T876)</f>
        <v/>
      </c>
      <c r="AT876" s="37" t="str">
        <f>IF(最佳化斷筋點!U876="","",最佳化斷筋點!U876)</f>
        <v/>
      </c>
      <c r="AU876" s="37" t="str">
        <f>IF(最佳化斷筋點!V876="","",最佳化斷筋點!V876)</f>
        <v/>
      </c>
      <c r="AV876" s="37" t="str">
        <f>IF(最佳化斷筋點!W876="","",最佳化斷筋點!W876)</f>
        <v/>
      </c>
      <c r="AW876" s="37" t="str">
        <f>IF(最佳化斷筋點!X876="","",最佳化斷筋點!X876)</f>
        <v/>
      </c>
      <c r="AZ876" s="37" t="s">
        <v>197</v>
      </c>
      <c r="BA876" s="37" t="s">
        <v>197</v>
      </c>
      <c r="BB876" s="37" t="s">
        <v>197</v>
      </c>
      <c r="BC876" s="37" t="s">
        <v>197</v>
      </c>
      <c r="BD876" s="37" t="s">
        <v>197</v>
      </c>
      <c r="BE876" s="37" t="s">
        <v>197</v>
      </c>
      <c r="BF876" s="37" t="s">
        <v>197</v>
      </c>
      <c r="BG876" s="37" t="s">
        <v>197</v>
      </c>
      <c r="BH876" s="37" t="s">
        <v>197</v>
      </c>
      <c r="BI876" s="37" t="s">
        <v>197</v>
      </c>
      <c r="BJ876" s="37" t="s">
        <v>197</v>
      </c>
      <c r="BK876" s="37" t="s">
        <v>197</v>
      </c>
      <c r="BL876" s="37" t="s">
        <v>197</v>
      </c>
      <c r="BM876" s="37" t="s">
        <v>197</v>
      </c>
      <c r="BN876" s="37" t="s">
        <v>197</v>
      </c>
      <c r="BO876" s="37" t="s">
        <v>197</v>
      </c>
      <c r="BP876" s="37" t="s">
        <v>197</v>
      </c>
      <c r="BQ876" s="37" t="s">
        <v>197</v>
      </c>
      <c r="BR876" s="37" t="s">
        <v>197</v>
      </c>
      <c r="BS876" s="37" t="s">
        <v>197</v>
      </c>
      <c r="BT876" s="37" t="s">
        <v>197</v>
      </c>
    </row>
    <row r="877" spans="5:72" x14ac:dyDescent="0.25">
      <c r="E877" s="36" t="s">
        <v>21</v>
      </c>
      <c r="F877" s="36">
        <f t="shared" si="274"/>
        <v>0</v>
      </c>
      <c r="G877" s="36">
        <f t="shared" si="275"/>
        <v>0</v>
      </c>
      <c r="H877" s="36">
        <f t="shared" si="276"/>
        <v>0</v>
      </c>
      <c r="I877" s="36">
        <f t="shared" si="277"/>
        <v>0</v>
      </c>
      <c r="J877" s="36">
        <f t="shared" si="278"/>
        <v>0</v>
      </c>
      <c r="K877" s="36">
        <f t="shared" si="279"/>
        <v>0</v>
      </c>
      <c r="L877" s="36">
        <f t="shared" si="280"/>
        <v>0</v>
      </c>
      <c r="M877" s="36">
        <f t="shared" si="281"/>
        <v>0</v>
      </c>
      <c r="N877" s="36">
        <f t="shared" si="282"/>
        <v>0</v>
      </c>
      <c r="O877" s="36">
        <f t="shared" si="283"/>
        <v>0</v>
      </c>
      <c r="P877" s="36">
        <f t="shared" si="284"/>
        <v>0</v>
      </c>
      <c r="Q877" s="36">
        <f t="shared" si="285"/>
        <v>0</v>
      </c>
      <c r="R877" s="36">
        <f t="shared" si="286"/>
        <v>0</v>
      </c>
      <c r="S877" s="36">
        <f t="shared" si="287"/>
        <v>0</v>
      </c>
      <c r="T877" s="36">
        <f t="shared" si="288"/>
        <v>0</v>
      </c>
      <c r="U877" s="36">
        <f t="shared" si="289"/>
        <v>0</v>
      </c>
      <c r="V877" s="36">
        <f t="shared" si="290"/>
        <v>0</v>
      </c>
      <c r="W877" s="36">
        <f t="shared" si="291"/>
        <v>0</v>
      </c>
      <c r="X877" s="36">
        <f t="shared" si="292"/>
        <v>0</v>
      </c>
      <c r="Y877" s="36">
        <f t="shared" si="293"/>
        <v>0</v>
      </c>
      <c r="Z877" s="36">
        <f t="shared" si="294"/>
        <v>0</v>
      </c>
      <c r="AB877" s="36" t="str">
        <f>IF(最佳化斷筋點!C877="","",最佳化斷筋點!C877)</f>
        <v>下層</v>
      </c>
      <c r="AC877" s="37">
        <f>IF(最佳化斷筋點!D877="","",最佳化斷筋點!D877)</f>
        <v>13</v>
      </c>
      <c r="AD877" s="37">
        <f>IF(最佳化斷筋點!E877="","",最佳化斷筋點!E877)</f>
        <v>13</v>
      </c>
      <c r="AE877" s="37">
        <f>IF(最佳化斷筋點!F877="","",最佳化斷筋點!F877)</f>
        <v>13</v>
      </c>
      <c r="AF877" s="37">
        <f>IF(最佳化斷筋點!G877="","",最佳化斷筋點!G877)</f>
        <v>13</v>
      </c>
      <c r="AG877" s="37">
        <f>IF(最佳化斷筋點!H877="","",最佳化斷筋點!H877)</f>
        <v>12</v>
      </c>
      <c r="AH877" s="37">
        <f>IF(最佳化斷筋點!I877="","",最佳化斷筋點!I877)</f>
        <v>11</v>
      </c>
      <c r="AI877" s="37">
        <f>IF(最佳化斷筋點!J877="","",最佳化斷筋點!J877)</f>
        <v>10</v>
      </c>
      <c r="AJ877" s="37">
        <f>IF(最佳化斷筋點!K877="","",最佳化斷筋點!K877)</f>
        <v>5</v>
      </c>
      <c r="AK877" s="37">
        <f>IF(最佳化斷筋點!L877="","",最佳化斷筋點!L877)</f>
        <v>5</v>
      </c>
      <c r="AL877" s="37">
        <f>IF(最佳化斷筋點!M877="","",最佳化斷筋點!M877)</f>
        <v>5</v>
      </c>
      <c r="AM877" s="37">
        <f>IF(最佳化斷筋點!N877="","",最佳化斷筋點!N877)</f>
        <v>5</v>
      </c>
      <c r="AN877" s="37">
        <f>IF(最佳化斷筋點!O877="","",最佳化斷筋點!O877)</f>
        <v>5</v>
      </c>
      <c r="AO877" s="37">
        <f>IF(最佳化斷筋點!P877="","",最佳化斷筋點!P877)</f>
        <v>5</v>
      </c>
      <c r="AP877" s="37">
        <f>IF(最佳化斷筋點!Q877="","",最佳化斷筋點!Q877)</f>
        <v>9</v>
      </c>
      <c r="AQ877" s="37">
        <f>IF(最佳化斷筋點!R877="","",最佳化斷筋點!R877)</f>
        <v>10</v>
      </c>
      <c r="AR877" s="37">
        <f>IF(最佳化斷筋點!S877="","",最佳化斷筋點!S877)</f>
        <v>11</v>
      </c>
      <c r="AS877" s="37">
        <f>IF(最佳化斷筋點!T877="","",最佳化斷筋點!T877)</f>
        <v>13</v>
      </c>
      <c r="AT877" s="37">
        <f>IF(最佳化斷筋點!U877="","",最佳化斷筋點!U877)</f>
        <v>14</v>
      </c>
      <c r="AU877" s="37">
        <f>IF(最佳化斷筋點!V877="","",最佳化斷筋點!V877)</f>
        <v>14</v>
      </c>
      <c r="AV877" s="37">
        <f>IF(最佳化斷筋點!W877="","",最佳化斷筋點!W877)</f>
        <v>14</v>
      </c>
      <c r="AW877" s="37">
        <f>IF(最佳化斷筋點!X877="","",最佳化斷筋點!X877)</f>
        <v>14</v>
      </c>
      <c r="AZ877" s="37">
        <v>13</v>
      </c>
      <c r="BA877" s="37">
        <v>13</v>
      </c>
      <c r="BB877" s="37">
        <v>13</v>
      </c>
      <c r="BC877" s="37">
        <v>13</v>
      </c>
      <c r="BD877" s="37">
        <v>12</v>
      </c>
      <c r="BE877" s="37">
        <v>11</v>
      </c>
      <c r="BF877" s="37">
        <v>10</v>
      </c>
      <c r="BG877" s="37">
        <v>5</v>
      </c>
      <c r="BH877" s="37">
        <v>5</v>
      </c>
      <c r="BI877" s="37">
        <v>5</v>
      </c>
      <c r="BJ877" s="37">
        <v>5</v>
      </c>
      <c r="BK877" s="37">
        <v>5</v>
      </c>
      <c r="BL877" s="37">
        <v>5</v>
      </c>
      <c r="BM877" s="37">
        <v>9</v>
      </c>
      <c r="BN877" s="37">
        <v>10</v>
      </c>
      <c r="BO877" s="37">
        <v>11</v>
      </c>
      <c r="BP877" s="37">
        <v>13</v>
      </c>
      <c r="BQ877" s="37">
        <v>14</v>
      </c>
      <c r="BR877" s="37">
        <v>14</v>
      </c>
      <c r="BS877" s="37">
        <v>14</v>
      </c>
      <c r="BT877" s="37">
        <v>14</v>
      </c>
    </row>
    <row r="878" spans="5:72" x14ac:dyDescent="0.25">
      <c r="E878" s="36"/>
      <c r="F878" s="36">
        <f t="shared" si="274"/>
        <v>0</v>
      </c>
      <c r="G878" s="36">
        <f t="shared" si="275"/>
        <v>0</v>
      </c>
      <c r="H878" s="36">
        <f t="shared" si="276"/>
        <v>0</v>
      </c>
      <c r="I878" s="36">
        <f t="shared" si="277"/>
        <v>0</v>
      </c>
      <c r="J878" s="36">
        <f t="shared" si="278"/>
        <v>0</v>
      </c>
      <c r="K878" s="36">
        <f t="shared" si="279"/>
        <v>0</v>
      </c>
      <c r="L878" s="36">
        <f t="shared" si="280"/>
        <v>0</v>
      </c>
      <c r="M878" s="36">
        <f t="shared" si="281"/>
        <v>0</v>
      </c>
      <c r="N878" s="36">
        <f t="shared" si="282"/>
        <v>0</v>
      </c>
      <c r="O878" s="36">
        <f t="shared" si="283"/>
        <v>0</v>
      </c>
      <c r="P878" s="36">
        <f t="shared" si="284"/>
        <v>0</v>
      </c>
      <c r="Q878" s="36">
        <f t="shared" si="285"/>
        <v>0</v>
      </c>
      <c r="R878" s="36">
        <f t="shared" si="286"/>
        <v>0</v>
      </c>
      <c r="S878" s="36">
        <f t="shared" si="287"/>
        <v>0</v>
      </c>
      <c r="T878" s="36">
        <f t="shared" si="288"/>
        <v>0</v>
      </c>
      <c r="U878" s="36">
        <f t="shared" si="289"/>
        <v>0</v>
      </c>
      <c r="V878" s="36">
        <f t="shared" si="290"/>
        <v>0</v>
      </c>
      <c r="W878" s="36">
        <f t="shared" si="291"/>
        <v>0</v>
      </c>
      <c r="X878" s="36">
        <f t="shared" si="292"/>
        <v>0</v>
      </c>
      <c r="Y878" s="36">
        <f t="shared" si="293"/>
        <v>0</v>
      </c>
      <c r="Z878" s="36">
        <f t="shared" si="294"/>
        <v>0</v>
      </c>
      <c r="AB878" s="36" t="str">
        <f>IF(最佳化斷筋點!C878="","",最佳化斷筋點!C878)</f>
        <v/>
      </c>
      <c r="AC878" s="37" t="str">
        <f>IF(最佳化斷筋點!D878="","",最佳化斷筋點!D878)</f>
        <v/>
      </c>
      <c r="AD878" s="37" t="str">
        <f>IF(最佳化斷筋點!E878="","",最佳化斷筋點!E878)</f>
        <v/>
      </c>
      <c r="AE878" s="37" t="str">
        <f>IF(最佳化斷筋點!F878="","",最佳化斷筋點!F878)</f>
        <v/>
      </c>
      <c r="AF878" s="37" t="str">
        <f>IF(最佳化斷筋點!G878="","",最佳化斷筋點!G878)</f>
        <v/>
      </c>
      <c r="AG878" s="37" t="str">
        <f>IF(最佳化斷筋點!H878="","",最佳化斷筋點!H878)</f>
        <v/>
      </c>
      <c r="AH878" s="37" t="str">
        <f>IF(最佳化斷筋點!I878="","",最佳化斷筋點!I878)</f>
        <v/>
      </c>
      <c r="AI878" s="37" t="str">
        <f>IF(最佳化斷筋點!J878="","",最佳化斷筋點!J878)</f>
        <v/>
      </c>
      <c r="AJ878" s="37" t="str">
        <f>IF(最佳化斷筋點!K878="","",最佳化斷筋點!K878)</f>
        <v/>
      </c>
      <c r="AK878" s="37" t="str">
        <f>IF(最佳化斷筋點!L878="","",最佳化斷筋點!L878)</f>
        <v/>
      </c>
      <c r="AL878" s="37" t="str">
        <f>IF(最佳化斷筋點!M878="","",最佳化斷筋點!M878)</f>
        <v/>
      </c>
      <c r="AM878" s="37" t="str">
        <f>IF(最佳化斷筋點!N878="","",最佳化斷筋點!N878)</f>
        <v/>
      </c>
      <c r="AN878" s="37" t="str">
        <f>IF(最佳化斷筋點!O878="","",最佳化斷筋點!O878)</f>
        <v/>
      </c>
      <c r="AO878" s="37" t="str">
        <f>IF(最佳化斷筋點!P878="","",最佳化斷筋點!P878)</f>
        <v/>
      </c>
      <c r="AP878" s="37" t="str">
        <f>IF(最佳化斷筋點!Q878="","",最佳化斷筋點!Q878)</f>
        <v/>
      </c>
      <c r="AQ878" s="37" t="str">
        <f>IF(最佳化斷筋點!R878="","",最佳化斷筋點!R878)</f>
        <v/>
      </c>
      <c r="AR878" s="37" t="str">
        <f>IF(最佳化斷筋點!S878="","",最佳化斷筋點!S878)</f>
        <v/>
      </c>
      <c r="AS878" s="37" t="str">
        <f>IF(最佳化斷筋點!T878="","",最佳化斷筋點!T878)</f>
        <v/>
      </c>
      <c r="AT878" s="37" t="str">
        <f>IF(最佳化斷筋點!U878="","",最佳化斷筋點!U878)</f>
        <v/>
      </c>
      <c r="AU878" s="37" t="str">
        <f>IF(最佳化斷筋點!V878="","",最佳化斷筋點!V878)</f>
        <v/>
      </c>
      <c r="AV878" s="37" t="str">
        <f>IF(最佳化斷筋點!W878="","",最佳化斷筋點!W878)</f>
        <v/>
      </c>
      <c r="AW878" s="37" t="str">
        <f>IF(最佳化斷筋點!X878="","",最佳化斷筋點!X878)</f>
        <v/>
      </c>
      <c r="AZ878" s="37" t="s">
        <v>197</v>
      </c>
      <c r="BA878" s="37" t="s">
        <v>197</v>
      </c>
      <c r="BB878" s="37" t="s">
        <v>197</v>
      </c>
      <c r="BC878" s="37" t="s">
        <v>197</v>
      </c>
      <c r="BD878" s="37" t="s">
        <v>197</v>
      </c>
      <c r="BE878" s="37" t="s">
        <v>197</v>
      </c>
      <c r="BF878" s="37" t="s">
        <v>197</v>
      </c>
      <c r="BG878" s="37" t="s">
        <v>197</v>
      </c>
      <c r="BH878" s="37" t="s">
        <v>197</v>
      </c>
      <c r="BI878" s="37" t="s">
        <v>197</v>
      </c>
      <c r="BJ878" s="37" t="s">
        <v>197</v>
      </c>
      <c r="BK878" s="37" t="s">
        <v>197</v>
      </c>
      <c r="BL878" s="37" t="s">
        <v>197</v>
      </c>
      <c r="BM878" s="37" t="s">
        <v>197</v>
      </c>
      <c r="BN878" s="37" t="s">
        <v>197</v>
      </c>
      <c r="BO878" s="37" t="s">
        <v>197</v>
      </c>
      <c r="BP878" s="37" t="s">
        <v>197</v>
      </c>
      <c r="BQ878" s="37" t="s">
        <v>197</v>
      </c>
      <c r="BR878" s="37" t="s">
        <v>197</v>
      </c>
      <c r="BS878" s="37" t="s">
        <v>197</v>
      </c>
      <c r="BT878" s="37" t="s">
        <v>197</v>
      </c>
    </row>
    <row r="879" spans="5:72" x14ac:dyDescent="0.25">
      <c r="E879" s="36" t="s">
        <v>20</v>
      </c>
      <c r="F879" s="36">
        <f t="shared" si="274"/>
        <v>0</v>
      </c>
      <c r="G879" s="36">
        <f t="shared" si="275"/>
        <v>0</v>
      </c>
      <c r="H879" s="36">
        <f t="shared" si="276"/>
        <v>0</v>
      </c>
      <c r="I879" s="36">
        <f t="shared" si="277"/>
        <v>0</v>
      </c>
      <c r="J879" s="36">
        <f t="shared" si="278"/>
        <v>0</v>
      </c>
      <c r="K879" s="36">
        <f t="shared" si="279"/>
        <v>0</v>
      </c>
      <c r="L879" s="36">
        <f t="shared" si="280"/>
        <v>0</v>
      </c>
      <c r="M879" s="36">
        <f t="shared" si="281"/>
        <v>0</v>
      </c>
      <c r="N879" s="36">
        <f t="shared" si="282"/>
        <v>0</v>
      </c>
      <c r="O879" s="36">
        <f t="shared" si="283"/>
        <v>0</v>
      </c>
      <c r="P879" s="36">
        <f t="shared" si="284"/>
        <v>0</v>
      </c>
      <c r="Q879" s="36">
        <f t="shared" si="285"/>
        <v>0</v>
      </c>
      <c r="R879" s="36">
        <f t="shared" si="286"/>
        <v>0</v>
      </c>
      <c r="S879" s="36">
        <f t="shared" si="287"/>
        <v>0</v>
      </c>
      <c r="T879" s="36">
        <f t="shared" si="288"/>
        <v>0</v>
      </c>
      <c r="U879" s="36">
        <f t="shared" si="289"/>
        <v>0</v>
      </c>
      <c r="V879" s="36">
        <f t="shared" si="290"/>
        <v>0</v>
      </c>
      <c r="W879" s="36">
        <f t="shared" si="291"/>
        <v>0</v>
      </c>
      <c r="X879" s="36">
        <f t="shared" si="292"/>
        <v>0</v>
      </c>
      <c r="Y879" s="36">
        <f t="shared" si="293"/>
        <v>0</v>
      </c>
      <c r="Z879" s="36">
        <f t="shared" si="294"/>
        <v>0</v>
      </c>
      <c r="AB879" s="36" t="str">
        <f>IF(最佳化斷筋點!C879="","",最佳化斷筋點!C879)</f>
        <v>上層</v>
      </c>
      <c r="AC879" s="37">
        <f>IF(最佳化斷筋點!D879="","",最佳化斷筋點!D879)</f>
        <v>9</v>
      </c>
      <c r="AD879" s="37">
        <f>IF(最佳化斷筋點!E879="","",最佳化斷筋點!E879)</f>
        <v>9</v>
      </c>
      <c r="AE879" s="37">
        <f>IF(最佳化斷筋點!F879="","",最佳化斷筋點!F879)</f>
        <v>9</v>
      </c>
      <c r="AF879" s="37">
        <f>IF(最佳化斷筋點!G879="","",最佳化斷筋點!G879)</f>
        <v>9</v>
      </c>
      <c r="AG879" s="37">
        <f>IF(最佳化斷筋點!H879="","",最佳化斷筋點!H879)</f>
        <v>9</v>
      </c>
      <c r="AH879" s="37">
        <f>IF(最佳化斷筋點!I879="","",最佳化斷筋點!I879)</f>
        <v>9</v>
      </c>
      <c r="AI879" s="37">
        <f>IF(最佳化斷筋點!J879="","",最佳化斷筋點!J879)</f>
        <v>9</v>
      </c>
      <c r="AJ879" s="37">
        <f>IF(最佳化斷筋點!K879="","",最佳化斷筋點!K879)</f>
        <v>4</v>
      </c>
      <c r="AK879" s="37">
        <f>IF(最佳化斷筋點!L879="","",最佳化斷筋點!L879)</f>
        <v>4</v>
      </c>
      <c r="AL879" s="37">
        <f>IF(最佳化斷筋點!M879="","",最佳化斷筋點!M879)</f>
        <v>4</v>
      </c>
      <c r="AM879" s="37">
        <f>IF(最佳化斷筋點!N879="","",最佳化斷筋點!N879)</f>
        <v>4</v>
      </c>
      <c r="AN879" s="37">
        <f>IF(最佳化斷筋點!O879="","",最佳化斷筋點!O879)</f>
        <v>4</v>
      </c>
      <c r="AO879" s="37">
        <f>IF(最佳化斷筋點!P879="","",最佳化斷筋點!P879)</f>
        <v>4</v>
      </c>
      <c r="AP879" s="37">
        <f>IF(最佳化斷筋點!Q879="","",最佳化斷筋點!Q879)</f>
        <v>9</v>
      </c>
      <c r="AQ879" s="37">
        <f>IF(最佳化斷筋點!R879="","",最佳化斷筋點!R879)</f>
        <v>10</v>
      </c>
      <c r="AR879" s="37">
        <f>IF(最佳化斷筋點!S879="","",最佳化斷筋點!S879)</f>
        <v>10</v>
      </c>
      <c r="AS879" s="37">
        <f>IF(最佳化斷筋點!T879="","",最佳化斷筋點!T879)</f>
        <v>10</v>
      </c>
      <c r="AT879" s="37">
        <f>IF(最佳化斷筋點!U879="","",最佳化斷筋點!U879)</f>
        <v>10</v>
      </c>
      <c r="AU879" s="37">
        <f>IF(最佳化斷筋點!V879="","",最佳化斷筋點!V879)</f>
        <v>10</v>
      </c>
      <c r="AV879" s="37">
        <f>IF(最佳化斷筋點!W879="","",最佳化斷筋點!W879)</f>
        <v>10</v>
      </c>
      <c r="AW879" s="37">
        <f>IF(最佳化斷筋點!X879="","",最佳化斷筋點!X879)</f>
        <v>10</v>
      </c>
      <c r="AZ879" s="37">
        <v>9</v>
      </c>
      <c r="BA879" s="37">
        <v>9</v>
      </c>
      <c r="BB879" s="37">
        <v>9</v>
      </c>
      <c r="BC879" s="37">
        <v>9</v>
      </c>
      <c r="BD879" s="37">
        <v>9</v>
      </c>
      <c r="BE879" s="37">
        <v>9</v>
      </c>
      <c r="BF879" s="37">
        <v>9</v>
      </c>
      <c r="BG879" s="37">
        <v>4</v>
      </c>
      <c r="BH879" s="37">
        <v>4</v>
      </c>
      <c r="BI879" s="37">
        <v>4</v>
      </c>
      <c r="BJ879" s="37">
        <v>4</v>
      </c>
      <c r="BK879" s="37">
        <v>4</v>
      </c>
      <c r="BL879" s="37">
        <v>4</v>
      </c>
      <c r="BM879" s="37">
        <v>9</v>
      </c>
      <c r="BN879" s="37">
        <v>10</v>
      </c>
      <c r="BO879" s="37">
        <v>10</v>
      </c>
      <c r="BP879" s="37">
        <v>10</v>
      </c>
      <c r="BQ879" s="37">
        <v>10</v>
      </c>
      <c r="BR879" s="37">
        <v>10</v>
      </c>
      <c r="BS879" s="37">
        <v>10</v>
      </c>
      <c r="BT879" s="37">
        <v>10</v>
      </c>
    </row>
    <row r="880" spans="5:72" x14ac:dyDescent="0.25">
      <c r="E880" s="36"/>
      <c r="F880" s="36">
        <f t="shared" si="274"/>
        <v>0</v>
      </c>
      <c r="G880" s="36">
        <f t="shared" si="275"/>
        <v>0</v>
      </c>
      <c r="H880" s="36">
        <f t="shared" si="276"/>
        <v>0</v>
      </c>
      <c r="I880" s="36">
        <f t="shared" si="277"/>
        <v>0</v>
      </c>
      <c r="J880" s="36">
        <f t="shared" si="278"/>
        <v>0</v>
      </c>
      <c r="K880" s="36">
        <f t="shared" si="279"/>
        <v>0</v>
      </c>
      <c r="L880" s="36">
        <f t="shared" si="280"/>
        <v>0</v>
      </c>
      <c r="M880" s="36">
        <f t="shared" si="281"/>
        <v>0</v>
      </c>
      <c r="N880" s="36">
        <f t="shared" si="282"/>
        <v>0</v>
      </c>
      <c r="O880" s="36">
        <f t="shared" si="283"/>
        <v>0</v>
      </c>
      <c r="P880" s="36">
        <f t="shared" si="284"/>
        <v>0</v>
      </c>
      <c r="Q880" s="36">
        <f t="shared" si="285"/>
        <v>0</v>
      </c>
      <c r="R880" s="36">
        <f t="shared" si="286"/>
        <v>0</v>
      </c>
      <c r="S880" s="36">
        <f t="shared" si="287"/>
        <v>0</v>
      </c>
      <c r="T880" s="36">
        <f t="shared" si="288"/>
        <v>0</v>
      </c>
      <c r="U880" s="36">
        <f t="shared" si="289"/>
        <v>0</v>
      </c>
      <c r="V880" s="36">
        <f t="shared" si="290"/>
        <v>0</v>
      </c>
      <c r="W880" s="36">
        <f t="shared" si="291"/>
        <v>0</v>
      </c>
      <c r="X880" s="36">
        <f t="shared" si="292"/>
        <v>0</v>
      </c>
      <c r="Y880" s="36">
        <f t="shared" si="293"/>
        <v>0</v>
      </c>
      <c r="Z880" s="36">
        <f t="shared" si="294"/>
        <v>0</v>
      </c>
      <c r="AB880" s="36" t="str">
        <f>IF(最佳化斷筋點!C880="","",最佳化斷筋點!C880)</f>
        <v/>
      </c>
      <c r="AC880" s="37" t="str">
        <f>IF(最佳化斷筋點!D880="","",最佳化斷筋點!D880)</f>
        <v/>
      </c>
      <c r="AD880" s="37" t="str">
        <f>IF(最佳化斷筋點!E880="","",最佳化斷筋點!E880)</f>
        <v/>
      </c>
      <c r="AE880" s="37" t="str">
        <f>IF(最佳化斷筋點!F880="","",最佳化斷筋點!F880)</f>
        <v/>
      </c>
      <c r="AF880" s="37" t="str">
        <f>IF(最佳化斷筋點!G880="","",最佳化斷筋點!G880)</f>
        <v/>
      </c>
      <c r="AG880" s="37" t="str">
        <f>IF(最佳化斷筋點!H880="","",最佳化斷筋點!H880)</f>
        <v/>
      </c>
      <c r="AH880" s="37" t="str">
        <f>IF(最佳化斷筋點!I880="","",最佳化斷筋點!I880)</f>
        <v/>
      </c>
      <c r="AI880" s="37" t="str">
        <f>IF(最佳化斷筋點!J880="","",最佳化斷筋點!J880)</f>
        <v/>
      </c>
      <c r="AJ880" s="37" t="str">
        <f>IF(最佳化斷筋點!K880="","",最佳化斷筋點!K880)</f>
        <v/>
      </c>
      <c r="AK880" s="37" t="str">
        <f>IF(最佳化斷筋點!L880="","",最佳化斷筋點!L880)</f>
        <v/>
      </c>
      <c r="AL880" s="37" t="str">
        <f>IF(最佳化斷筋點!M880="","",最佳化斷筋點!M880)</f>
        <v/>
      </c>
      <c r="AM880" s="37" t="str">
        <f>IF(最佳化斷筋點!N880="","",最佳化斷筋點!N880)</f>
        <v/>
      </c>
      <c r="AN880" s="37" t="str">
        <f>IF(最佳化斷筋點!O880="","",最佳化斷筋點!O880)</f>
        <v/>
      </c>
      <c r="AO880" s="37" t="str">
        <f>IF(最佳化斷筋點!P880="","",最佳化斷筋點!P880)</f>
        <v/>
      </c>
      <c r="AP880" s="37" t="str">
        <f>IF(最佳化斷筋點!Q880="","",最佳化斷筋點!Q880)</f>
        <v/>
      </c>
      <c r="AQ880" s="37" t="str">
        <f>IF(最佳化斷筋點!R880="","",最佳化斷筋點!R880)</f>
        <v/>
      </c>
      <c r="AR880" s="37" t="str">
        <f>IF(最佳化斷筋點!S880="","",最佳化斷筋點!S880)</f>
        <v/>
      </c>
      <c r="AS880" s="37" t="str">
        <f>IF(最佳化斷筋點!T880="","",最佳化斷筋點!T880)</f>
        <v/>
      </c>
      <c r="AT880" s="37" t="str">
        <f>IF(最佳化斷筋點!U880="","",最佳化斷筋點!U880)</f>
        <v/>
      </c>
      <c r="AU880" s="37" t="str">
        <f>IF(最佳化斷筋點!V880="","",最佳化斷筋點!V880)</f>
        <v/>
      </c>
      <c r="AV880" s="37" t="str">
        <f>IF(最佳化斷筋點!W880="","",最佳化斷筋點!W880)</f>
        <v/>
      </c>
      <c r="AW880" s="37" t="str">
        <f>IF(最佳化斷筋點!X880="","",最佳化斷筋點!X880)</f>
        <v/>
      </c>
      <c r="AZ880" s="37" t="s">
        <v>197</v>
      </c>
      <c r="BA880" s="37" t="s">
        <v>197</v>
      </c>
      <c r="BB880" s="37" t="s">
        <v>197</v>
      </c>
      <c r="BC880" s="37" t="s">
        <v>197</v>
      </c>
      <c r="BD880" s="37" t="s">
        <v>197</v>
      </c>
      <c r="BE880" s="37" t="s">
        <v>197</v>
      </c>
      <c r="BF880" s="37" t="s">
        <v>197</v>
      </c>
      <c r="BG880" s="37" t="s">
        <v>197</v>
      </c>
      <c r="BH880" s="37" t="s">
        <v>197</v>
      </c>
      <c r="BI880" s="37" t="s">
        <v>197</v>
      </c>
      <c r="BJ880" s="37" t="s">
        <v>197</v>
      </c>
      <c r="BK880" s="37" t="s">
        <v>197</v>
      </c>
      <c r="BL880" s="37" t="s">
        <v>197</v>
      </c>
      <c r="BM880" s="37" t="s">
        <v>197</v>
      </c>
      <c r="BN880" s="37" t="s">
        <v>197</v>
      </c>
      <c r="BO880" s="37" t="s">
        <v>197</v>
      </c>
      <c r="BP880" s="37" t="s">
        <v>197</v>
      </c>
      <c r="BQ880" s="37" t="s">
        <v>197</v>
      </c>
      <c r="BR880" s="37" t="s">
        <v>197</v>
      </c>
      <c r="BS880" s="37" t="s">
        <v>197</v>
      </c>
      <c r="BT880" s="37" t="s">
        <v>197</v>
      </c>
    </row>
    <row r="881" spans="5:72" x14ac:dyDescent="0.25">
      <c r="E881" s="36" t="s">
        <v>21</v>
      </c>
      <c r="F881" s="36">
        <f t="shared" si="274"/>
        <v>0</v>
      </c>
      <c r="G881" s="36">
        <f t="shared" si="275"/>
        <v>0</v>
      </c>
      <c r="H881" s="36">
        <f t="shared" si="276"/>
        <v>0</v>
      </c>
      <c r="I881" s="36">
        <f t="shared" si="277"/>
        <v>0</v>
      </c>
      <c r="J881" s="36">
        <f t="shared" si="278"/>
        <v>0</v>
      </c>
      <c r="K881" s="36">
        <f t="shared" si="279"/>
        <v>0</v>
      </c>
      <c r="L881" s="36">
        <f t="shared" si="280"/>
        <v>0</v>
      </c>
      <c r="M881" s="36">
        <f t="shared" si="281"/>
        <v>0</v>
      </c>
      <c r="N881" s="36">
        <f t="shared" si="282"/>
        <v>0</v>
      </c>
      <c r="O881" s="36">
        <f t="shared" si="283"/>
        <v>0</v>
      </c>
      <c r="P881" s="36">
        <f t="shared" si="284"/>
        <v>0</v>
      </c>
      <c r="Q881" s="36">
        <f t="shared" si="285"/>
        <v>0</v>
      </c>
      <c r="R881" s="36">
        <f t="shared" si="286"/>
        <v>0</v>
      </c>
      <c r="S881" s="36">
        <f t="shared" si="287"/>
        <v>0</v>
      </c>
      <c r="T881" s="36">
        <f t="shared" si="288"/>
        <v>0</v>
      </c>
      <c r="U881" s="36">
        <f t="shared" si="289"/>
        <v>0</v>
      </c>
      <c r="V881" s="36">
        <f t="shared" si="290"/>
        <v>0</v>
      </c>
      <c r="W881" s="36">
        <f t="shared" si="291"/>
        <v>0</v>
      </c>
      <c r="X881" s="36">
        <f t="shared" si="292"/>
        <v>0</v>
      </c>
      <c r="Y881" s="36">
        <f t="shared" si="293"/>
        <v>0</v>
      </c>
      <c r="Z881" s="36">
        <f t="shared" si="294"/>
        <v>0</v>
      </c>
      <c r="AB881" s="36" t="str">
        <f>IF(最佳化斷筋點!C881="","",最佳化斷筋點!C881)</f>
        <v>下層</v>
      </c>
      <c r="AC881" s="37">
        <f>IF(最佳化斷筋點!D881="","",最佳化斷筋點!D881)</f>
        <v>15</v>
      </c>
      <c r="AD881" s="37">
        <f>IF(最佳化斷筋點!E881="","",最佳化斷筋點!E881)</f>
        <v>15</v>
      </c>
      <c r="AE881" s="37">
        <f>IF(最佳化斷筋點!F881="","",最佳化斷筋點!F881)</f>
        <v>15</v>
      </c>
      <c r="AF881" s="37">
        <f>IF(最佳化斷筋點!G881="","",最佳化斷筋點!G881)</f>
        <v>15</v>
      </c>
      <c r="AG881" s="37">
        <f>IF(最佳化斷筋點!H881="","",最佳化斷筋點!H881)</f>
        <v>15</v>
      </c>
      <c r="AH881" s="37">
        <f>IF(最佳化斷筋點!I881="","",最佳化斷筋點!I881)</f>
        <v>14</v>
      </c>
      <c r="AI881" s="37">
        <f>IF(最佳化斷筋點!J881="","",最佳化斷筋點!J881)</f>
        <v>13</v>
      </c>
      <c r="AJ881" s="37">
        <f>IF(最佳化斷筋點!K881="","",最佳化斷筋點!K881)</f>
        <v>5</v>
      </c>
      <c r="AK881" s="37">
        <f>IF(最佳化斷筋點!L881="","",最佳化斷筋點!L881)</f>
        <v>5</v>
      </c>
      <c r="AL881" s="37">
        <f>IF(最佳化斷筋點!M881="","",最佳化斷筋點!M881)</f>
        <v>5</v>
      </c>
      <c r="AM881" s="37">
        <f>IF(最佳化斷筋點!N881="","",最佳化斷筋點!N881)</f>
        <v>5</v>
      </c>
      <c r="AN881" s="37">
        <f>IF(最佳化斷筋點!O881="","",最佳化斷筋點!O881)</f>
        <v>5</v>
      </c>
      <c r="AO881" s="37">
        <f>IF(最佳化斷筋點!P881="","",最佳化斷筋點!P881)</f>
        <v>5</v>
      </c>
      <c r="AP881" s="37">
        <f>IF(最佳化斷筋點!Q881="","",最佳化斷筋點!Q881)</f>
        <v>9</v>
      </c>
      <c r="AQ881" s="37">
        <f>IF(最佳化斷筋點!R881="","",最佳化斷筋點!R881)</f>
        <v>10</v>
      </c>
      <c r="AR881" s="37">
        <f>IF(最佳化斷筋點!S881="","",最佳化斷筋點!S881)</f>
        <v>11</v>
      </c>
      <c r="AS881" s="37">
        <f>IF(最佳化斷筋點!T881="","",最佳化斷筋點!T881)</f>
        <v>12</v>
      </c>
      <c r="AT881" s="37">
        <f>IF(最佳化斷筋點!U881="","",最佳化斷筋點!U881)</f>
        <v>12</v>
      </c>
      <c r="AU881" s="37">
        <f>IF(最佳化斷筋點!V881="","",最佳化斷筋點!V881)</f>
        <v>12</v>
      </c>
      <c r="AV881" s="37">
        <f>IF(最佳化斷筋點!W881="","",最佳化斷筋點!W881)</f>
        <v>12</v>
      </c>
      <c r="AW881" s="37">
        <f>IF(最佳化斷筋點!X881="","",最佳化斷筋點!X881)</f>
        <v>12</v>
      </c>
      <c r="AZ881" s="37">
        <v>15</v>
      </c>
      <c r="BA881" s="37">
        <v>15</v>
      </c>
      <c r="BB881" s="37">
        <v>15</v>
      </c>
      <c r="BC881" s="37">
        <v>15</v>
      </c>
      <c r="BD881" s="37">
        <v>15</v>
      </c>
      <c r="BE881" s="37">
        <v>14</v>
      </c>
      <c r="BF881" s="37">
        <v>13</v>
      </c>
      <c r="BG881" s="37">
        <v>5</v>
      </c>
      <c r="BH881" s="37">
        <v>5</v>
      </c>
      <c r="BI881" s="37">
        <v>5</v>
      </c>
      <c r="BJ881" s="37">
        <v>5</v>
      </c>
      <c r="BK881" s="37">
        <v>5</v>
      </c>
      <c r="BL881" s="37">
        <v>5</v>
      </c>
      <c r="BM881" s="37">
        <v>9</v>
      </c>
      <c r="BN881" s="37">
        <v>10</v>
      </c>
      <c r="BO881" s="37">
        <v>11</v>
      </c>
      <c r="BP881" s="37">
        <v>12</v>
      </c>
      <c r="BQ881" s="37">
        <v>12</v>
      </c>
      <c r="BR881" s="37">
        <v>12</v>
      </c>
      <c r="BS881" s="37">
        <v>12</v>
      </c>
      <c r="BT881" s="37">
        <v>12</v>
      </c>
    </row>
    <row r="882" spans="5:72" x14ac:dyDescent="0.25">
      <c r="E882" s="36"/>
      <c r="F882" s="36">
        <f t="shared" si="274"/>
        <v>0</v>
      </c>
      <c r="G882" s="36">
        <f t="shared" si="275"/>
        <v>0</v>
      </c>
      <c r="H882" s="36">
        <f t="shared" si="276"/>
        <v>0</v>
      </c>
      <c r="I882" s="36">
        <f t="shared" si="277"/>
        <v>0</v>
      </c>
      <c r="J882" s="36">
        <f t="shared" si="278"/>
        <v>0</v>
      </c>
      <c r="K882" s="36">
        <f t="shared" si="279"/>
        <v>0</v>
      </c>
      <c r="L882" s="36">
        <f t="shared" si="280"/>
        <v>0</v>
      </c>
      <c r="M882" s="36">
        <f t="shared" si="281"/>
        <v>0</v>
      </c>
      <c r="N882" s="36">
        <f t="shared" si="282"/>
        <v>0</v>
      </c>
      <c r="O882" s="36">
        <f t="shared" si="283"/>
        <v>0</v>
      </c>
      <c r="P882" s="36">
        <f t="shared" si="284"/>
        <v>0</v>
      </c>
      <c r="Q882" s="36">
        <f t="shared" si="285"/>
        <v>0</v>
      </c>
      <c r="R882" s="36">
        <f t="shared" si="286"/>
        <v>0</v>
      </c>
      <c r="S882" s="36">
        <f t="shared" si="287"/>
        <v>0</v>
      </c>
      <c r="T882" s="36">
        <f t="shared" si="288"/>
        <v>0</v>
      </c>
      <c r="U882" s="36">
        <f t="shared" si="289"/>
        <v>0</v>
      </c>
      <c r="V882" s="36">
        <f t="shared" si="290"/>
        <v>0</v>
      </c>
      <c r="W882" s="36">
        <f t="shared" si="291"/>
        <v>0</v>
      </c>
      <c r="X882" s="36">
        <f t="shared" si="292"/>
        <v>0</v>
      </c>
      <c r="Y882" s="36">
        <f t="shared" si="293"/>
        <v>0</v>
      </c>
      <c r="Z882" s="36">
        <f t="shared" si="294"/>
        <v>0</v>
      </c>
      <c r="AB882" s="36" t="str">
        <f>IF(最佳化斷筋點!C882="","",最佳化斷筋點!C882)</f>
        <v/>
      </c>
      <c r="AC882" s="37" t="str">
        <f>IF(最佳化斷筋點!D882="","",最佳化斷筋點!D882)</f>
        <v/>
      </c>
      <c r="AD882" s="37" t="str">
        <f>IF(最佳化斷筋點!E882="","",最佳化斷筋點!E882)</f>
        <v/>
      </c>
      <c r="AE882" s="37" t="str">
        <f>IF(最佳化斷筋點!F882="","",最佳化斷筋點!F882)</f>
        <v/>
      </c>
      <c r="AF882" s="37" t="str">
        <f>IF(最佳化斷筋點!G882="","",最佳化斷筋點!G882)</f>
        <v/>
      </c>
      <c r="AG882" s="37" t="str">
        <f>IF(最佳化斷筋點!H882="","",最佳化斷筋點!H882)</f>
        <v/>
      </c>
      <c r="AH882" s="37" t="str">
        <f>IF(最佳化斷筋點!I882="","",最佳化斷筋點!I882)</f>
        <v/>
      </c>
      <c r="AI882" s="37" t="str">
        <f>IF(最佳化斷筋點!J882="","",最佳化斷筋點!J882)</f>
        <v/>
      </c>
      <c r="AJ882" s="37" t="str">
        <f>IF(最佳化斷筋點!K882="","",最佳化斷筋點!K882)</f>
        <v/>
      </c>
      <c r="AK882" s="37" t="str">
        <f>IF(最佳化斷筋點!L882="","",最佳化斷筋點!L882)</f>
        <v/>
      </c>
      <c r="AL882" s="37" t="str">
        <f>IF(最佳化斷筋點!M882="","",最佳化斷筋點!M882)</f>
        <v/>
      </c>
      <c r="AM882" s="37" t="str">
        <f>IF(最佳化斷筋點!N882="","",最佳化斷筋點!N882)</f>
        <v/>
      </c>
      <c r="AN882" s="37" t="str">
        <f>IF(最佳化斷筋點!O882="","",最佳化斷筋點!O882)</f>
        <v/>
      </c>
      <c r="AO882" s="37" t="str">
        <f>IF(最佳化斷筋點!P882="","",最佳化斷筋點!P882)</f>
        <v/>
      </c>
      <c r="AP882" s="37" t="str">
        <f>IF(最佳化斷筋點!Q882="","",最佳化斷筋點!Q882)</f>
        <v/>
      </c>
      <c r="AQ882" s="37" t="str">
        <f>IF(最佳化斷筋點!R882="","",最佳化斷筋點!R882)</f>
        <v/>
      </c>
      <c r="AR882" s="37" t="str">
        <f>IF(最佳化斷筋點!S882="","",最佳化斷筋點!S882)</f>
        <v/>
      </c>
      <c r="AS882" s="37" t="str">
        <f>IF(最佳化斷筋點!T882="","",最佳化斷筋點!T882)</f>
        <v/>
      </c>
      <c r="AT882" s="37" t="str">
        <f>IF(最佳化斷筋點!U882="","",最佳化斷筋點!U882)</f>
        <v/>
      </c>
      <c r="AU882" s="37" t="str">
        <f>IF(最佳化斷筋點!V882="","",最佳化斷筋點!V882)</f>
        <v/>
      </c>
      <c r="AV882" s="37" t="str">
        <f>IF(最佳化斷筋點!W882="","",最佳化斷筋點!W882)</f>
        <v/>
      </c>
      <c r="AW882" s="37" t="str">
        <f>IF(最佳化斷筋點!X882="","",最佳化斷筋點!X882)</f>
        <v/>
      </c>
      <c r="AZ882" s="37" t="s">
        <v>197</v>
      </c>
      <c r="BA882" s="37" t="s">
        <v>197</v>
      </c>
      <c r="BB882" s="37" t="s">
        <v>197</v>
      </c>
      <c r="BC882" s="37" t="s">
        <v>197</v>
      </c>
      <c r="BD882" s="37" t="s">
        <v>197</v>
      </c>
      <c r="BE882" s="37" t="s">
        <v>197</v>
      </c>
      <c r="BF882" s="37" t="s">
        <v>197</v>
      </c>
      <c r="BG882" s="37" t="s">
        <v>197</v>
      </c>
      <c r="BH882" s="37" t="s">
        <v>197</v>
      </c>
      <c r="BI882" s="37" t="s">
        <v>197</v>
      </c>
      <c r="BJ882" s="37" t="s">
        <v>197</v>
      </c>
      <c r="BK882" s="37" t="s">
        <v>197</v>
      </c>
      <c r="BL882" s="37" t="s">
        <v>197</v>
      </c>
      <c r="BM882" s="37" t="s">
        <v>197</v>
      </c>
      <c r="BN882" s="37" t="s">
        <v>197</v>
      </c>
      <c r="BO882" s="37" t="s">
        <v>197</v>
      </c>
      <c r="BP882" s="37" t="s">
        <v>197</v>
      </c>
      <c r="BQ882" s="37" t="s">
        <v>197</v>
      </c>
      <c r="BR882" s="37" t="s">
        <v>197</v>
      </c>
      <c r="BS882" s="37" t="s">
        <v>197</v>
      </c>
      <c r="BT882" s="37" t="s">
        <v>197</v>
      </c>
    </row>
    <row r="883" spans="5:72" x14ac:dyDescent="0.25">
      <c r="E883" s="36" t="s">
        <v>20</v>
      </c>
      <c r="F883" s="36">
        <f t="shared" si="274"/>
        <v>0</v>
      </c>
      <c r="G883" s="36">
        <f t="shared" si="275"/>
        <v>0</v>
      </c>
      <c r="H883" s="36">
        <f t="shared" si="276"/>
        <v>0</v>
      </c>
      <c r="I883" s="36">
        <f t="shared" si="277"/>
        <v>0</v>
      </c>
      <c r="J883" s="36">
        <f t="shared" si="278"/>
        <v>0</v>
      </c>
      <c r="K883" s="36">
        <f t="shared" si="279"/>
        <v>0</v>
      </c>
      <c r="L883" s="36">
        <f t="shared" si="280"/>
        <v>0</v>
      </c>
      <c r="M883" s="36">
        <f t="shared" si="281"/>
        <v>0</v>
      </c>
      <c r="N883" s="36">
        <f t="shared" si="282"/>
        <v>0</v>
      </c>
      <c r="O883" s="36">
        <f t="shared" si="283"/>
        <v>0</v>
      </c>
      <c r="P883" s="36">
        <f t="shared" si="284"/>
        <v>0</v>
      </c>
      <c r="Q883" s="36">
        <f t="shared" si="285"/>
        <v>0</v>
      </c>
      <c r="R883" s="36">
        <f t="shared" si="286"/>
        <v>0</v>
      </c>
      <c r="S883" s="36">
        <f t="shared" si="287"/>
        <v>0</v>
      </c>
      <c r="T883" s="36">
        <f t="shared" si="288"/>
        <v>0</v>
      </c>
      <c r="U883" s="36">
        <f t="shared" si="289"/>
        <v>0</v>
      </c>
      <c r="V883" s="36">
        <f t="shared" si="290"/>
        <v>0</v>
      </c>
      <c r="W883" s="36">
        <f t="shared" si="291"/>
        <v>0</v>
      </c>
      <c r="X883" s="36">
        <f t="shared" si="292"/>
        <v>0</v>
      </c>
      <c r="Y883" s="36">
        <f t="shared" si="293"/>
        <v>0</v>
      </c>
      <c r="Z883" s="36">
        <f t="shared" si="294"/>
        <v>0</v>
      </c>
      <c r="AB883" s="36" t="str">
        <f>IF(最佳化斷筋點!C883="","",最佳化斷筋點!C883)</f>
        <v>上層</v>
      </c>
      <c r="AC883" s="37">
        <f>IF(最佳化斷筋點!D883="","",最佳化斷筋點!D883)</f>
        <v>10</v>
      </c>
      <c r="AD883" s="37">
        <f>IF(最佳化斷筋點!E883="","",最佳化斷筋點!E883)</f>
        <v>10</v>
      </c>
      <c r="AE883" s="37">
        <f>IF(最佳化斷筋點!F883="","",最佳化斷筋點!F883)</f>
        <v>10</v>
      </c>
      <c r="AF883" s="37">
        <f>IF(最佳化斷筋點!G883="","",最佳化斷筋點!G883)</f>
        <v>10</v>
      </c>
      <c r="AG883" s="37">
        <f>IF(最佳化斷筋點!H883="","",最佳化斷筋點!H883)</f>
        <v>10</v>
      </c>
      <c r="AH883" s="37">
        <f>IF(最佳化斷筋點!I883="","",最佳化斷筋點!I883)</f>
        <v>10</v>
      </c>
      <c r="AI883" s="37">
        <f>IF(最佳化斷筋點!J883="","",最佳化斷筋點!J883)</f>
        <v>10</v>
      </c>
      <c r="AJ883" s="37">
        <f>IF(最佳化斷筋點!K883="","",最佳化斷筋點!K883)</f>
        <v>4</v>
      </c>
      <c r="AK883" s="37">
        <f>IF(最佳化斷筋點!L883="","",最佳化斷筋點!L883)</f>
        <v>4</v>
      </c>
      <c r="AL883" s="37">
        <f>IF(最佳化斷筋點!M883="","",最佳化斷筋點!M883)</f>
        <v>4</v>
      </c>
      <c r="AM883" s="37">
        <f>IF(最佳化斷筋點!N883="","",最佳化斷筋點!N883)</f>
        <v>4</v>
      </c>
      <c r="AN883" s="37">
        <f>IF(最佳化斷筋點!O883="","",最佳化斷筋點!O883)</f>
        <v>4</v>
      </c>
      <c r="AO883" s="37">
        <f>IF(最佳化斷筋點!P883="","",最佳化斷筋點!P883)</f>
        <v>4</v>
      </c>
      <c r="AP883" s="37">
        <f>IF(最佳化斷筋點!Q883="","",最佳化斷筋點!Q883)</f>
        <v>8</v>
      </c>
      <c r="AQ883" s="37">
        <f>IF(最佳化斷筋點!R883="","",最佳化斷筋點!R883)</f>
        <v>9</v>
      </c>
      <c r="AR883" s="37">
        <f>IF(最佳化斷筋點!S883="","",最佳化斷筋點!S883)</f>
        <v>10</v>
      </c>
      <c r="AS883" s="37">
        <f>IF(最佳化斷筋點!T883="","",最佳化斷筋點!T883)</f>
        <v>10</v>
      </c>
      <c r="AT883" s="37">
        <f>IF(最佳化斷筋點!U883="","",最佳化斷筋點!U883)</f>
        <v>10</v>
      </c>
      <c r="AU883" s="37">
        <f>IF(最佳化斷筋點!V883="","",最佳化斷筋點!V883)</f>
        <v>10</v>
      </c>
      <c r="AV883" s="37">
        <f>IF(最佳化斷筋點!W883="","",最佳化斷筋點!W883)</f>
        <v>10</v>
      </c>
      <c r="AW883" s="37">
        <f>IF(最佳化斷筋點!X883="","",最佳化斷筋點!X883)</f>
        <v>10</v>
      </c>
      <c r="AZ883" s="37">
        <v>10</v>
      </c>
      <c r="BA883" s="37">
        <v>10</v>
      </c>
      <c r="BB883" s="37">
        <v>10</v>
      </c>
      <c r="BC883" s="37">
        <v>10</v>
      </c>
      <c r="BD883" s="37">
        <v>10</v>
      </c>
      <c r="BE883" s="37">
        <v>10</v>
      </c>
      <c r="BF883" s="37">
        <v>10</v>
      </c>
      <c r="BG883" s="37">
        <v>4</v>
      </c>
      <c r="BH883" s="37">
        <v>4</v>
      </c>
      <c r="BI883" s="37">
        <v>4</v>
      </c>
      <c r="BJ883" s="37">
        <v>4</v>
      </c>
      <c r="BK883" s="37">
        <v>4</v>
      </c>
      <c r="BL883" s="37">
        <v>4</v>
      </c>
      <c r="BM883" s="37">
        <v>8</v>
      </c>
      <c r="BN883" s="37">
        <v>9</v>
      </c>
      <c r="BO883" s="37">
        <v>10</v>
      </c>
      <c r="BP883" s="37">
        <v>10</v>
      </c>
      <c r="BQ883" s="37">
        <v>10</v>
      </c>
      <c r="BR883" s="37">
        <v>10</v>
      </c>
      <c r="BS883" s="37">
        <v>10</v>
      </c>
      <c r="BT883" s="37">
        <v>10</v>
      </c>
    </row>
    <row r="884" spans="5:72" x14ac:dyDescent="0.25">
      <c r="E884" s="36"/>
      <c r="F884" s="36">
        <f t="shared" si="274"/>
        <v>0</v>
      </c>
      <c r="G884" s="36">
        <f t="shared" si="275"/>
        <v>0</v>
      </c>
      <c r="H884" s="36">
        <f t="shared" si="276"/>
        <v>0</v>
      </c>
      <c r="I884" s="36">
        <f t="shared" si="277"/>
        <v>0</v>
      </c>
      <c r="J884" s="36">
        <f t="shared" si="278"/>
        <v>0</v>
      </c>
      <c r="K884" s="36">
        <f t="shared" si="279"/>
        <v>0</v>
      </c>
      <c r="L884" s="36">
        <f t="shared" si="280"/>
        <v>0</v>
      </c>
      <c r="M884" s="36">
        <f t="shared" si="281"/>
        <v>0</v>
      </c>
      <c r="N884" s="36">
        <f t="shared" si="282"/>
        <v>0</v>
      </c>
      <c r="O884" s="36">
        <f t="shared" si="283"/>
        <v>0</v>
      </c>
      <c r="P884" s="36">
        <f t="shared" si="284"/>
        <v>0</v>
      </c>
      <c r="Q884" s="36">
        <f t="shared" si="285"/>
        <v>0</v>
      </c>
      <c r="R884" s="36">
        <f t="shared" si="286"/>
        <v>0</v>
      </c>
      <c r="S884" s="36">
        <f t="shared" si="287"/>
        <v>0</v>
      </c>
      <c r="T884" s="36">
        <f t="shared" si="288"/>
        <v>0</v>
      </c>
      <c r="U884" s="36">
        <f t="shared" si="289"/>
        <v>0</v>
      </c>
      <c r="V884" s="36">
        <f t="shared" si="290"/>
        <v>0</v>
      </c>
      <c r="W884" s="36">
        <f t="shared" si="291"/>
        <v>0</v>
      </c>
      <c r="X884" s="36">
        <f t="shared" si="292"/>
        <v>0</v>
      </c>
      <c r="Y884" s="36">
        <f t="shared" si="293"/>
        <v>0</v>
      </c>
      <c r="Z884" s="36">
        <f t="shared" si="294"/>
        <v>0</v>
      </c>
      <c r="AB884" s="36" t="str">
        <f>IF(最佳化斷筋點!C884="","",最佳化斷筋點!C884)</f>
        <v/>
      </c>
      <c r="AC884" s="37" t="str">
        <f>IF(最佳化斷筋點!D884="","",最佳化斷筋點!D884)</f>
        <v/>
      </c>
      <c r="AD884" s="37" t="str">
        <f>IF(最佳化斷筋點!E884="","",最佳化斷筋點!E884)</f>
        <v/>
      </c>
      <c r="AE884" s="37" t="str">
        <f>IF(最佳化斷筋點!F884="","",最佳化斷筋點!F884)</f>
        <v/>
      </c>
      <c r="AF884" s="37" t="str">
        <f>IF(最佳化斷筋點!G884="","",最佳化斷筋點!G884)</f>
        <v/>
      </c>
      <c r="AG884" s="37" t="str">
        <f>IF(最佳化斷筋點!H884="","",最佳化斷筋點!H884)</f>
        <v/>
      </c>
      <c r="AH884" s="37" t="str">
        <f>IF(最佳化斷筋點!I884="","",最佳化斷筋點!I884)</f>
        <v/>
      </c>
      <c r="AI884" s="37" t="str">
        <f>IF(最佳化斷筋點!J884="","",最佳化斷筋點!J884)</f>
        <v/>
      </c>
      <c r="AJ884" s="37" t="str">
        <f>IF(最佳化斷筋點!K884="","",最佳化斷筋點!K884)</f>
        <v/>
      </c>
      <c r="AK884" s="37" t="str">
        <f>IF(最佳化斷筋點!L884="","",最佳化斷筋點!L884)</f>
        <v/>
      </c>
      <c r="AL884" s="37" t="str">
        <f>IF(最佳化斷筋點!M884="","",最佳化斷筋點!M884)</f>
        <v/>
      </c>
      <c r="AM884" s="37" t="str">
        <f>IF(最佳化斷筋點!N884="","",最佳化斷筋點!N884)</f>
        <v/>
      </c>
      <c r="AN884" s="37" t="str">
        <f>IF(最佳化斷筋點!O884="","",最佳化斷筋點!O884)</f>
        <v/>
      </c>
      <c r="AO884" s="37" t="str">
        <f>IF(最佳化斷筋點!P884="","",最佳化斷筋點!P884)</f>
        <v/>
      </c>
      <c r="AP884" s="37" t="str">
        <f>IF(最佳化斷筋點!Q884="","",最佳化斷筋點!Q884)</f>
        <v/>
      </c>
      <c r="AQ884" s="37" t="str">
        <f>IF(最佳化斷筋點!R884="","",最佳化斷筋點!R884)</f>
        <v/>
      </c>
      <c r="AR884" s="37" t="str">
        <f>IF(最佳化斷筋點!S884="","",最佳化斷筋點!S884)</f>
        <v/>
      </c>
      <c r="AS884" s="37" t="str">
        <f>IF(最佳化斷筋點!T884="","",最佳化斷筋點!T884)</f>
        <v/>
      </c>
      <c r="AT884" s="37" t="str">
        <f>IF(最佳化斷筋點!U884="","",最佳化斷筋點!U884)</f>
        <v/>
      </c>
      <c r="AU884" s="37" t="str">
        <f>IF(最佳化斷筋點!V884="","",最佳化斷筋點!V884)</f>
        <v/>
      </c>
      <c r="AV884" s="37" t="str">
        <f>IF(最佳化斷筋點!W884="","",最佳化斷筋點!W884)</f>
        <v/>
      </c>
      <c r="AW884" s="37" t="str">
        <f>IF(最佳化斷筋點!X884="","",最佳化斷筋點!X884)</f>
        <v/>
      </c>
      <c r="AZ884" s="37" t="s">
        <v>197</v>
      </c>
      <c r="BA884" s="37" t="s">
        <v>197</v>
      </c>
      <c r="BB884" s="37" t="s">
        <v>197</v>
      </c>
      <c r="BC884" s="37" t="s">
        <v>197</v>
      </c>
      <c r="BD884" s="37" t="s">
        <v>197</v>
      </c>
      <c r="BE884" s="37" t="s">
        <v>197</v>
      </c>
      <c r="BF884" s="37" t="s">
        <v>197</v>
      </c>
      <c r="BG884" s="37" t="s">
        <v>197</v>
      </c>
      <c r="BH884" s="37" t="s">
        <v>197</v>
      </c>
      <c r="BI884" s="37" t="s">
        <v>197</v>
      </c>
      <c r="BJ884" s="37" t="s">
        <v>197</v>
      </c>
      <c r="BK884" s="37" t="s">
        <v>197</v>
      </c>
      <c r="BL884" s="37" t="s">
        <v>197</v>
      </c>
      <c r="BM884" s="37" t="s">
        <v>197</v>
      </c>
      <c r="BN884" s="37" t="s">
        <v>197</v>
      </c>
      <c r="BO884" s="37" t="s">
        <v>197</v>
      </c>
      <c r="BP884" s="37" t="s">
        <v>197</v>
      </c>
      <c r="BQ884" s="37" t="s">
        <v>197</v>
      </c>
      <c r="BR884" s="37" t="s">
        <v>197</v>
      </c>
      <c r="BS884" s="37" t="s">
        <v>197</v>
      </c>
      <c r="BT884" s="37" t="s">
        <v>197</v>
      </c>
    </row>
    <row r="885" spans="5:72" x14ac:dyDescent="0.25">
      <c r="E885" s="36" t="s">
        <v>21</v>
      </c>
      <c r="F885" s="36">
        <f t="shared" si="274"/>
        <v>0</v>
      </c>
      <c r="G885" s="36">
        <f t="shared" si="275"/>
        <v>0</v>
      </c>
      <c r="H885" s="36">
        <f t="shared" si="276"/>
        <v>0</v>
      </c>
      <c r="I885" s="36">
        <f t="shared" si="277"/>
        <v>0</v>
      </c>
      <c r="J885" s="36">
        <f t="shared" si="278"/>
        <v>0</v>
      </c>
      <c r="K885" s="36">
        <f t="shared" si="279"/>
        <v>0</v>
      </c>
      <c r="L885" s="36">
        <f t="shared" si="280"/>
        <v>0</v>
      </c>
      <c r="M885" s="36">
        <f t="shared" si="281"/>
        <v>0</v>
      </c>
      <c r="N885" s="36">
        <f t="shared" si="282"/>
        <v>0</v>
      </c>
      <c r="O885" s="36">
        <f t="shared" si="283"/>
        <v>0</v>
      </c>
      <c r="P885" s="36">
        <f t="shared" si="284"/>
        <v>0</v>
      </c>
      <c r="Q885" s="36">
        <f t="shared" si="285"/>
        <v>0</v>
      </c>
      <c r="R885" s="36">
        <f t="shared" si="286"/>
        <v>0</v>
      </c>
      <c r="S885" s="36">
        <f t="shared" si="287"/>
        <v>0</v>
      </c>
      <c r="T885" s="36">
        <f t="shared" si="288"/>
        <v>0</v>
      </c>
      <c r="U885" s="36">
        <f t="shared" si="289"/>
        <v>0</v>
      </c>
      <c r="V885" s="36">
        <f t="shared" si="290"/>
        <v>0</v>
      </c>
      <c r="W885" s="36">
        <f t="shared" si="291"/>
        <v>0</v>
      </c>
      <c r="X885" s="36">
        <f t="shared" si="292"/>
        <v>0</v>
      </c>
      <c r="Y885" s="36">
        <f t="shared" si="293"/>
        <v>0</v>
      </c>
      <c r="Z885" s="36">
        <f t="shared" si="294"/>
        <v>0</v>
      </c>
      <c r="AB885" s="36" t="str">
        <f>IF(最佳化斷筋點!C885="","",最佳化斷筋點!C885)</f>
        <v>下層</v>
      </c>
      <c r="AC885" s="37">
        <f>IF(最佳化斷筋點!D885="","",最佳化斷筋點!D885)</f>
        <v>13</v>
      </c>
      <c r="AD885" s="37">
        <f>IF(最佳化斷筋點!E885="","",最佳化斷筋點!E885)</f>
        <v>13</v>
      </c>
      <c r="AE885" s="37">
        <f>IF(最佳化斷筋點!F885="","",最佳化斷筋點!F885)</f>
        <v>13</v>
      </c>
      <c r="AF885" s="37">
        <f>IF(最佳化斷筋點!G885="","",最佳化斷筋點!G885)</f>
        <v>13</v>
      </c>
      <c r="AG885" s="37">
        <f>IF(最佳化斷筋點!H885="","",最佳化斷筋點!H885)</f>
        <v>12</v>
      </c>
      <c r="AH885" s="37">
        <f>IF(最佳化斷筋點!I885="","",最佳化斷筋點!I885)</f>
        <v>11</v>
      </c>
      <c r="AI885" s="37">
        <f>IF(最佳化斷筋點!J885="","",最佳化斷筋點!J885)</f>
        <v>10</v>
      </c>
      <c r="AJ885" s="37">
        <f>IF(最佳化斷筋點!K885="","",最佳化斷筋點!K885)</f>
        <v>6</v>
      </c>
      <c r="AK885" s="37">
        <f>IF(最佳化斷筋點!L885="","",最佳化斷筋點!L885)</f>
        <v>6</v>
      </c>
      <c r="AL885" s="37">
        <f>IF(最佳化斷筋點!M885="","",最佳化斷筋點!M885)</f>
        <v>6</v>
      </c>
      <c r="AM885" s="37">
        <f>IF(最佳化斷筋點!N885="","",最佳化斷筋點!N885)</f>
        <v>6</v>
      </c>
      <c r="AN885" s="37">
        <f>IF(最佳化斷筋點!O885="","",最佳化斷筋點!O885)</f>
        <v>6</v>
      </c>
      <c r="AO885" s="37">
        <f>IF(最佳化斷筋點!P885="","",最佳化斷筋點!P885)</f>
        <v>6</v>
      </c>
      <c r="AP885" s="37">
        <f>IF(最佳化斷筋點!Q885="","",最佳化斷筋點!Q885)</f>
        <v>8</v>
      </c>
      <c r="AQ885" s="37">
        <f>IF(最佳化斷筋點!R885="","",最佳化斷筋點!R885)</f>
        <v>9</v>
      </c>
      <c r="AR885" s="37">
        <f>IF(最佳化斷筋點!S885="","",最佳化斷筋點!S885)</f>
        <v>10</v>
      </c>
      <c r="AS885" s="37">
        <f>IF(最佳化斷筋點!T885="","",最佳化斷筋點!T885)</f>
        <v>11</v>
      </c>
      <c r="AT885" s="37">
        <f>IF(最佳化斷筋點!U885="","",最佳化斷筋點!U885)</f>
        <v>12</v>
      </c>
      <c r="AU885" s="37">
        <f>IF(最佳化斷筋點!V885="","",最佳化斷筋點!V885)</f>
        <v>12</v>
      </c>
      <c r="AV885" s="37">
        <f>IF(最佳化斷筋點!W885="","",最佳化斷筋點!W885)</f>
        <v>12</v>
      </c>
      <c r="AW885" s="37">
        <f>IF(最佳化斷筋點!X885="","",最佳化斷筋點!X885)</f>
        <v>12</v>
      </c>
      <c r="AZ885" s="37">
        <v>13</v>
      </c>
      <c r="BA885" s="37">
        <v>13</v>
      </c>
      <c r="BB885" s="37">
        <v>13</v>
      </c>
      <c r="BC885" s="37">
        <v>13</v>
      </c>
      <c r="BD885" s="37">
        <v>12</v>
      </c>
      <c r="BE885" s="37">
        <v>11</v>
      </c>
      <c r="BF885" s="37">
        <v>10</v>
      </c>
      <c r="BG885" s="37">
        <v>6</v>
      </c>
      <c r="BH885" s="37">
        <v>6</v>
      </c>
      <c r="BI885" s="37">
        <v>6</v>
      </c>
      <c r="BJ885" s="37">
        <v>6</v>
      </c>
      <c r="BK885" s="37">
        <v>6</v>
      </c>
      <c r="BL885" s="37">
        <v>6</v>
      </c>
      <c r="BM885" s="37">
        <v>8</v>
      </c>
      <c r="BN885" s="37">
        <v>9</v>
      </c>
      <c r="BO885" s="37">
        <v>10</v>
      </c>
      <c r="BP885" s="37">
        <v>11</v>
      </c>
      <c r="BQ885" s="37">
        <v>12</v>
      </c>
      <c r="BR885" s="37">
        <v>12</v>
      </c>
      <c r="BS885" s="37">
        <v>12</v>
      </c>
      <c r="BT885" s="37">
        <v>12</v>
      </c>
    </row>
    <row r="886" spans="5:72" x14ac:dyDescent="0.25">
      <c r="E886" s="36"/>
      <c r="F886" s="36">
        <f t="shared" si="274"/>
        <v>0</v>
      </c>
      <c r="G886" s="36">
        <f t="shared" si="275"/>
        <v>0</v>
      </c>
      <c r="H886" s="36">
        <f t="shared" si="276"/>
        <v>0</v>
      </c>
      <c r="I886" s="36">
        <f t="shared" si="277"/>
        <v>0</v>
      </c>
      <c r="J886" s="36">
        <f t="shared" si="278"/>
        <v>0</v>
      </c>
      <c r="K886" s="36">
        <f t="shared" si="279"/>
        <v>0</v>
      </c>
      <c r="L886" s="36">
        <f t="shared" si="280"/>
        <v>0</v>
      </c>
      <c r="M886" s="36">
        <f t="shared" si="281"/>
        <v>0</v>
      </c>
      <c r="N886" s="36">
        <f t="shared" si="282"/>
        <v>0</v>
      </c>
      <c r="O886" s="36">
        <f t="shared" si="283"/>
        <v>0</v>
      </c>
      <c r="P886" s="36">
        <f t="shared" si="284"/>
        <v>0</v>
      </c>
      <c r="Q886" s="36">
        <f t="shared" si="285"/>
        <v>0</v>
      </c>
      <c r="R886" s="36">
        <f t="shared" si="286"/>
        <v>0</v>
      </c>
      <c r="S886" s="36">
        <f t="shared" si="287"/>
        <v>0</v>
      </c>
      <c r="T886" s="36">
        <f t="shared" si="288"/>
        <v>0</v>
      </c>
      <c r="U886" s="36">
        <f t="shared" si="289"/>
        <v>0</v>
      </c>
      <c r="V886" s="36">
        <f t="shared" si="290"/>
        <v>0</v>
      </c>
      <c r="W886" s="36">
        <f t="shared" si="291"/>
        <v>0</v>
      </c>
      <c r="X886" s="36">
        <f t="shared" si="292"/>
        <v>0</v>
      </c>
      <c r="Y886" s="36">
        <f t="shared" si="293"/>
        <v>0</v>
      </c>
      <c r="Z886" s="36">
        <f t="shared" si="294"/>
        <v>0</v>
      </c>
      <c r="AB886" s="36" t="str">
        <f>IF(最佳化斷筋點!C886="","",最佳化斷筋點!C886)</f>
        <v/>
      </c>
      <c r="AC886" s="37" t="str">
        <f>IF(最佳化斷筋點!D886="","",最佳化斷筋點!D886)</f>
        <v/>
      </c>
      <c r="AD886" s="37" t="str">
        <f>IF(最佳化斷筋點!E886="","",最佳化斷筋點!E886)</f>
        <v/>
      </c>
      <c r="AE886" s="37" t="str">
        <f>IF(最佳化斷筋點!F886="","",最佳化斷筋點!F886)</f>
        <v/>
      </c>
      <c r="AF886" s="37" t="str">
        <f>IF(最佳化斷筋點!G886="","",最佳化斷筋點!G886)</f>
        <v/>
      </c>
      <c r="AG886" s="37" t="str">
        <f>IF(最佳化斷筋點!H886="","",最佳化斷筋點!H886)</f>
        <v/>
      </c>
      <c r="AH886" s="37" t="str">
        <f>IF(最佳化斷筋點!I886="","",最佳化斷筋點!I886)</f>
        <v/>
      </c>
      <c r="AI886" s="37" t="str">
        <f>IF(最佳化斷筋點!J886="","",最佳化斷筋點!J886)</f>
        <v/>
      </c>
      <c r="AJ886" s="37" t="str">
        <f>IF(最佳化斷筋點!K886="","",最佳化斷筋點!K886)</f>
        <v/>
      </c>
      <c r="AK886" s="37" t="str">
        <f>IF(最佳化斷筋點!L886="","",最佳化斷筋點!L886)</f>
        <v/>
      </c>
      <c r="AL886" s="37" t="str">
        <f>IF(最佳化斷筋點!M886="","",最佳化斷筋點!M886)</f>
        <v/>
      </c>
      <c r="AM886" s="37" t="str">
        <f>IF(最佳化斷筋點!N886="","",最佳化斷筋點!N886)</f>
        <v/>
      </c>
      <c r="AN886" s="37" t="str">
        <f>IF(最佳化斷筋點!O886="","",最佳化斷筋點!O886)</f>
        <v/>
      </c>
      <c r="AO886" s="37" t="str">
        <f>IF(最佳化斷筋點!P886="","",最佳化斷筋點!P886)</f>
        <v/>
      </c>
      <c r="AP886" s="37" t="str">
        <f>IF(最佳化斷筋點!Q886="","",最佳化斷筋點!Q886)</f>
        <v/>
      </c>
      <c r="AQ886" s="37" t="str">
        <f>IF(最佳化斷筋點!R886="","",最佳化斷筋點!R886)</f>
        <v/>
      </c>
      <c r="AR886" s="37" t="str">
        <f>IF(最佳化斷筋點!S886="","",最佳化斷筋點!S886)</f>
        <v/>
      </c>
      <c r="AS886" s="37" t="str">
        <f>IF(最佳化斷筋點!T886="","",最佳化斷筋點!T886)</f>
        <v/>
      </c>
      <c r="AT886" s="37" t="str">
        <f>IF(最佳化斷筋點!U886="","",最佳化斷筋點!U886)</f>
        <v/>
      </c>
      <c r="AU886" s="37" t="str">
        <f>IF(最佳化斷筋點!V886="","",最佳化斷筋點!V886)</f>
        <v/>
      </c>
      <c r="AV886" s="37" t="str">
        <f>IF(最佳化斷筋點!W886="","",最佳化斷筋點!W886)</f>
        <v/>
      </c>
      <c r="AW886" s="37" t="str">
        <f>IF(最佳化斷筋點!X886="","",最佳化斷筋點!X886)</f>
        <v/>
      </c>
      <c r="AZ886" s="37" t="s">
        <v>197</v>
      </c>
      <c r="BA886" s="37" t="s">
        <v>197</v>
      </c>
      <c r="BB886" s="37" t="s">
        <v>197</v>
      </c>
      <c r="BC886" s="37" t="s">
        <v>197</v>
      </c>
      <c r="BD886" s="37" t="s">
        <v>197</v>
      </c>
      <c r="BE886" s="37" t="s">
        <v>197</v>
      </c>
      <c r="BF886" s="37" t="s">
        <v>197</v>
      </c>
      <c r="BG886" s="37" t="s">
        <v>197</v>
      </c>
      <c r="BH886" s="37" t="s">
        <v>197</v>
      </c>
      <c r="BI886" s="37" t="s">
        <v>197</v>
      </c>
      <c r="BJ886" s="37" t="s">
        <v>197</v>
      </c>
      <c r="BK886" s="37" t="s">
        <v>197</v>
      </c>
      <c r="BL886" s="37" t="s">
        <v>197</v>
      </c>
      <c r="BM886" s="37" t="s">
        <v>197</v>
      </c>
      <c r="BN886" s="37" t="s">
        <v>197</v>
      </c>
      <c r="BO886" s="37" t="s">
        <v>197</v>
      </c>
      <c r="BP886" s="37" t="s">
        <v>197</v>
      </c>
      <c r="BQ886" s="37" t="s">
        <v>197</v>
      </c>
      <c r="BR886" s="37" t="s">
        <v>197</v>
      </c>
      <c r="BS886" s="37" t="s">
        <v>197</v>
      </c>
      <c r="BT886" s="37" t="s">
        <v>197</v>
      </c>
    </row>
    <row r="887" spans="5:72" x14ac:dyDescent="0.25">
      <c r="E887" s="36" t="s">
        <v>20</v>
      </c>
      <c r="F887" s="36">
        <f t="shared" ref="F887:F950" si="295">IF(AC887=AZ887,0,1)</f>
        <v>0</v>
      </c>
      <c r="G887" s="36">
        <f t="shared" ref="G887:G950" si="296">IF(AD887=BA887,0,1)</f>
        <v>0</v>
      </c>
      <c r="H887" s="36">
        <f t="shared" ref="H887:H950" si="297">IF(AE887=BB887,0,1)</f>
        <v>0</v>
      </c>
      <c r="I887" s="36">
        <f t="shared" ref="I887:I950" si="298">IF(AF887=BC887,0,1)</f>
        <v>0</v>
      </c>
      <c r="J887" s="36">
        <f t="shared" ref="J887:J950" si="299">IF(AG887=BD887,0,1)</f>
        <v>0</v>
      </c>
      <c r="K887" s="36">
        <f t="shared" ref="K887:K950" si="300">IF(AH887=BE887,0,1)</f>
        <v>0</v>
      </c>
      <c r="L887" s="36">
        <f t="shared" ref="L887:L950" si="301">IF(AI887=BF887,0,1)</f>
        <v>0</v>
      </c>
      <c r="M887" s="36">
        <f t="shared" ref="M887:M950" si="302">IF(AJ887=BG887,0,1)</f>
        <v>0</v>
      </c>
      <c r="N887" s="36">
        <f t="shared" ref="N887:N950" si="303">IF(AK887=BH887,0,1)</f>
        <v>0</v>
      </c>
      <c r="O887" s="36">
        <f t="shared" ref="O887:O950" si="304">IF(AL887=BI887,0,1)</f>
        <v>0</v>
      </c>
      <c r="P887" s="36">
        <f t="shared" ref="P887:P950" si="305">IF(AM887=BJ887,0,1)</f>
        <v>0</v>
      </c>
      <c r="Q887" s="36">
        <f t="shared" ref="Q887:Q950" si="306">IF(AN887=BK887,0,1)</f>
        <v>0</v>
      </c>
      <c r="R887" s="36">
        <f t="shared" ref="R887:R950" si="307">IF(AO887=BL887,0,1)</f>
        <v>0</v>
      </c>
      <c r="S887" s="36">
        <f t="shared" ref="S887:S950" si="308">IF(AP887=BM887,0,1)</f>
        <v>0</v>
      </c>
      <c r="T887" s="36">
        <f t="shared" ref="T887:T950" si="309">IF(AQ887=BN887,0,1)</f>
        <v>0</v>
      </c>
      <c r="U887" s="36">
        <f t="shared" ref="U887:U950" si="310">IF(AR887=BO887,0,1)</f>
        <v>0</v>
      </c>
      <c r="V887" s="36">
        <f t="shared" ref="V887:V950" si="311">IF(AS887=BP887,0,1)</f>
        <v>0</v>
      </c>
      <c r="W887" s="36">
        <f t="shared" ref="W887:W950" si="312">IF(AT887=BQ887,0,1)</f>
        <v>0</v>
      </c>
      <c r="X887" s="36">
        <f t="shared" ref="X887:X950" si="313">IF(AU887=BR887,0,1)</f>
        <v>0</v>
      </c>
      <c r="Y887" s="36">
        <f t="shared" ref="Y887:Y950" si="314">IF(AV887=BS887,0,1)</f>
        <v>0</v>
      </c>
      <c r="Z887" s="36">
        <f t="shared" ref="Z887:Z950" si="315">IF(AW887=BT887,0,1)</f>
        <v>0</v>
      </c>
      <c r="AB887" s="36" t="str">
        <f>IF(最佳化斷筋點!C887="","",最佳化斷筋點!C887)</f>
        <v>上層</v>
      </c>
      <c r="AC887" s="37">
        <f>IF(最佳化斷筋點!D887="","",最佳化斷筋點!D887)</f>
        <v>10</v>
      </c>
      <c r="AD887" s="37">
        <f>IF(最佳化斷筋點!E887="","",最佳化斷筋點!E887)</f>
        <v>10</v>
      </c>
      <c r="AE887" s="37">
        <f>IF(最佳化斷筋點!F887="","",最佳化斷筋點!F887)</f>
        <v>10</v>
      </c>
      <c r="AF887" s="37">
        <f>IF(最佳化斷筋點!G887="","",最佳化斷筋點!G887)</f>
        <v>10</v>
      </c>
      <c r="AG887" s="37">
        <f>IF(最佳化斷筋點!H887="","",最佳化斷筋點!H887)</f>
        <v>10</v>
      </c>
      <c r="AH887" s="37">
        <f>IF(最佳化斷筋點!I887="","",最佳化斷筋點!I887)</f>
        <v>10</v>
      </c>
      <c r="AI887" s="37">
        <f>IF(最佳化斷筋點!J887="","",最佳化斷筋點!J887)</f>
        <v>10</v>
      </c>
      <c r="AJ887" s="37">
        <f>IF(最佳化斷筋點!K887="","",最佳化斷筋點!K887)</f>
        <v>4</v>
      </c>
      <c r="AK887" s="37">
        <f>IF(最佳化斷筋點!L887="","",最佳化斷筋點!L887)</f>
        <v>4</v>
      </c>
      <c r="AL887" s="37">
        <f>IF(最佳化斷筋點!M887="","",最佳化斷筋點!M887)</f>
        <v>4</v>
      </c>
      <c r="AM887" s="37">
        <f>IF(最佳化斷筋點!N887="","",最佳化斷筋點!N887)</f>
        <v>4</v>
      </c>
      <c r="AN887" s="37">
        <f>IF(最佳化斷筋點!O887="","",最佳化斷筋點!O887)</f>
        <v>4</v>
      </c>
      <c r="AO887" s="37">
        <f>IF(最佳化斷筋點!P887="","",最佳化斷筋點!P887)</f>
        <v>4</v>
      </c>
      <c r="AP887" s="37">
        <f>IF(最佳化斷筋點!Q887="","",最佳化斷筋點!Q887)</f>
        <v>7</v>
      </c>
      <c r="AQ887" s="37">
        <f>IF(最佳化斷筋點!R887="","",最佳化斷筋點!R887)</f>
        <v>8</v>
      </c>
      <c r="AR887" s="37">
        <f>IF(最佳化斷筋點!S887="","",最佳化斷筋點!S887)</f>
        <v>9</v>
      </c>
      <c r="AS887" s="37">
        <f>IF(最佳化斷筋點!T887="","",最佳化斷筋點!T887)</f>
        <v>9</v>
      </c>
      <c r="AT887" s="37">
        <f>IF(最佳化斷筋點!U887="","",最佳化斷筋點!U887)</f>
        <v>9</v>
      </c>
      <c r="AU887" s="37">
        <f>IF(最佳化斷筋點!V887="","",最佳化斷筋點!V887)</f>
        <v>9</v>
      </c>
      <c r="AV887" s="37">
        <f>IF(最佳化斷筋點!W887="","",最佳化斷筋點!W887)</f>
        <v>9</v>
      </c>
      <c r="AW887" s="37">
        <f>IF(最佳化斷筋點!X887="","",最佳化斷筋點!X887)</f>
        <v>9</v>
      </c>
      <c r="AZ887" s="37">
        <v>10</v>
      </c>
      <c r="BA887" s="37">
        <v>10</v>
      </c>
      <c r="BB887" s="37">
        <v>10</v>
      </c>
      <c r="BC887" s="37">
        <v>10</v>
      </c>
      <c r="BD887" s="37">
        <v>10</v>
      </c>
      <c r="BE887" s="37">
        <v>10</v>
      </c>
      <c r="BF887" s="37">
        <v>10</v>
      </c>
      <c r="BG887" s="37">
        <v>4</v>
      </c>
      <c r="BH887" s="37">
        <v>4</v>
      </c>
      <c r="BI887" s="37">
        <v>4</v>
      </c>
      <c r="BJ887" s="37">
        <v>4</v>
      </c>
      <c r="BK887" s="37">
        <v>4</v>
      </c>
      <c r="BL887" s="37">
        <v>4</v>
      </c>
      <c r="BM887" s="37">
        <v>7</v>
      </c>
      <c r="BN887" s="37">
        <v>8</v>
      </c>
      <c r="BO887" s="37">
        <v>9</v>
      </c>
      <c r="BP887" s="37">
        <v>9</v>
      </c>
      <c r="BQ887" s="37">
        <v>9</v>
      </c>
      <c r="BR887" s="37">
        <v>9</v>
      </c>
      <c r="BS887" s="37">
        <v>9</v>
      </c>
      <c r="BT887" s="37">
        <v>9</v>
      </c>
    </row>
    <row r="888" spans="5:72" x14ac:dyDescent="0.25">
      <c r="E888" s="36"/>
      <c r="F888" s="36">
        <f t="shared" si="295"/>
        <v>0</v>
      </c>
      <c r="G888" s="36">
        <f t="shared" si="296"/>
        <v>0</v>
      </c>
      <c r="H888" s="36">
        <f t="shared" si="297"/>
        <v>0</v>
      </c>
      <c r="I888" s="36">
        <f t="shared" si="298"/>
        <v>0</v>
      </c>
      <c r="J888" s="36">
        <f t="shared" si="299"/>
        <v>0</v>
      </c>
      <c r="K888" s="36">
        <f t="shared" si="300"/>
        <v>0</v>
      </c>
      <c r="L888" s="36">
        <f t="shared" si="301"/>
        <v>0</v>
      </c>
      <c r="M888" s="36">
        <f t="shared" si="302"/>
        <v>0</v>
      </c>
      <c r="N888" s="36">
        <f t="shared" si="303"/>
        <v>0</v>
      </c>
      <c r="O888" s="36">
        <f t="shared" si="304"/>
        <v>0</v>
      </c>
      <c r="P888" s="36">
        <f t="shared" si="305"/>
        <v>0</v>
      </c>
      <c r="Q888" s="36">
        <f t="shared" si="306"/>
        <v>0</v>
      </c>
      <c r="R888" s="36">
        <f t="shared" si="307"/>
        <v>0</v>
      </c>
      <c r="S888" s="36">
        <f t="shared" si="308"/>
        <v>0</v>
      </c>
      <c r="T888" s="36">
        <f t="shared" si="309"/>
        <v>0</v>
      </c>
      <c r="U888" s="36">
        <f t="shared" si="310"/>
        <v>0</v>
      </c>
      <c r="V888" s="36">
        <f t="shared" si="311"/>
        <v>0</v>
      </c>
      <c r="W888" s="36">
        <f t="shared" si="312"/>
        <v>0</v>
      </c>
      <c r="X888" s="36">
        <f t="shared" si="313"/>
        <v>0</v>
      </c>
      <c r="Y888" s="36">
        <f t="shared" si="314"/>
        <v>0</v>
      </c>
      <c r="Z888" s="36">
        <f t="shared" si="315"/>
        <v>0</v>
      </c>
      <c r="AB888" s="36" t="str">
        <f>IF(最佳化斷筋點!C888="","",最佳化斷筋點!C888)</f>
        <v/>
      </c>
      <c r="AC888" s="37" t="str">
        <f>IF(最佳化斷筋點!D888="","",最佳化斷筋點!D888)</f>
        <v/>
      </c>
      <c r="AD888" s="37" t="str">
        <f>IF(最佳化斷筋點!E888="","",最佳化斷筋點!E888)</f>
        <v/>
      </c>
      <c r="AE888" s="37" t="str">
        <f>IF(最佳化斷筋點!F888="","",最佳化斷筋點!F888)</f>
        <v/>
      </c>
      <c r="AF888" s="37" t="str">
        <f>IF(最佳化斷筋點!G888="","",最佳化斷筋點!G888)</f>
        <v/>
      </c>
      <c r="AG888" s="37" t="str">
        <f>IF(最佳化斷筋點!H888="","",最佳化斷筋點!H888)</f>
        <v/>
      </c>
      <c r="AH888" s="37" t="str">
        <f>IF(最佳化斷筋點!I888="","",最佳化斷筋點!I888)</f>
        <v/>
      </c>
      <c r="AI888" s="37" t="str">
        <f>IF(最佳化斷筋點!J888="","",最佳化斷筋點!J888)</f>
        <v/>
      </c>
      <c r="AJ888" s="37" t="str">
        <f>IF(最佳化斷筋點!K888="","",最佳化斷筋點!K888)</f>
        <v/>
      </c>
      <c r="AK888" s="37" t="str">
        <f>IF(最佳化斷筋點!L888="","",最佳化斷筋點!L888)</f>
        <v/>
      </c>
      <c r="AL888" s="37" t="str">
        <f>IF(最佳化斷筋點!M888="","",最佳化斷筋點!M888)</f>
        <v/>
      </c>
      <c r="AM888" s="37" t="str">
        <f>IF(最佳化斷筋點!N888="","",最佳化斷筋點!N888)</f>
        <v/>
      </c>
      <c r="AN888" s="37" t="str">
        <f>IF(最佳化斷筋點!O888="","",最佳化斷筋點!O888)</f>
        <v/>
      </c>
      <c r="AO888" s="37" t="str">
        <f>IF(最佳化斷筋點!P888="","",最佳化斷筋點!P888)</f>
        <v/>
      </c>
      <c r="AP888" s="37" t="str">
        <f>IF(最佳化斷筋點!Q888="","",最佳化斷筋點!Q888)</f>
        <v/>
      </c>
      <c r="AQ888" s="37" t="str">
        <f>IF(最佳化斷筋點!R888="","",最佳化斷筋點!R888)</f>
        <v/>
      </c>
      <c r="AR888" s="37" t="str">
        <f>IF(最佳化斷筋點!S888="","",最佳化斷筋點!S888)</f>
        <v/>
      </c>
      <c r="AS888" s="37" t="str">
        <f>IF(最佳化斷筋點!T888="","",最佳化斷筋點!T888)</f>
        <v/>
      </c>
      <c r="AT888" s="37" t="str">
        <f>IF(最佳化斷筋點!U888="","",最佳化斷筋點!U888)</f>
        <v/>
      </c>
      <c r="AU888" s="37" t="str">
        <f>IF(最佳化斷筋點!V888="","",最佳化斷筋點!V888)</f>
        <v/>
      </c>
      <c r="AV888" s="37" t="str">
        <f>IF(最佳化斷筋點!W888="","",最佳化斷筋點!W888)</f>
        <v/>
      </c>
      <c r="AW888" s="37" t="str">
        <f>IF(最佳化斷筋點!X888="","",最佳化斷筋點!X888)</f>
        <v/>
      </c>
      <c r="AZ888" s="37" t="s">
        <v>197</v>
      </c>
      <c r="BA888" s="37" t="s">
        <v>197</v>
      </c>
      <c r="BB888" s="37" t="s">
        <v>197</v>
      </c>
      <c r="BC888" s="37" t="s">
        <v>197</v>
      </c>
      <c r="BD888" s="37" t="s">
        <v>197</v>
      </c>
      <c r="BE888" s="37" t="s">
        <v>197</v>
      </c>
      <c r="BF888" s="37" t="s">
        <v>197</v>
      </c>
      <c r="BG888" s="37" t="s">
        <v>197</v>
      </c>
      <c r="BH888" s="37" t="s">
        <v>197</v>
      </c>
      <c r="BI888" s="37" t="s">
        <v>197</v>
      </c>
      <c r="BJ888" s="37" t="s">
        <v>197</v>
      </c>
      <c r="BK888" s="37" t="s">
        <v>197</v>
      </c>
      <c r="BL888" s="37" t="s">
        <v>197</v>
      </c>
      <c r="BM888" s="37" t="s">
        <v>197</v>
      </c>
      <c r="BN888" s="37" t="s">
        <v>197</v>
      </c>
      <c r="BO888" s="37" t="s">
        <v>197</v>
      </c>
      <c r="BP888" s="37" t="s">
        <v>197</v>
      </c>
      <c r="BQ888" s="37" t="s">
        <v>197</v>
      </c>
      <c r="BR888" s="37" t="s">
        <v>197</v>
      </c>
      <c r="BS888" s="37" t="s">
        <v>197</v>
      </c>
      <c r="BT888" s="37" t="s">
        <v>197</v>
      </c>
    </row>
    <row r="889" spans="5:72" x14ac:dyDescent="0.25">
      <c r="E889" s="36" t="s">
        <v>21</v>
      </c>
      <c r="F889" s="36">
        <f t="shared" si="295"/>
        <v>0</v>
      </c>
      <c r="G889" s="36">
        <f t="shared" si="296"/>
        <v>0</v>
      </c>
      <c r="H889" s="36">
        <f t="shared" si="297"/>
        <v>0</v>
      </c>
      <c r="I889" s="36">
        <f t="shared" si="298"/>
        <v>0</v>
      </c>
      <c r="J889" s="36">
        <f t="shared" si="299"/>
        <v>0</v>
      </c>
      <c r="K889" s="36">
        <f t="shared" si="300"/>
        <v>0</v>
      </c>
      <c r="L889" s="36">
        <f t="shared" si="301"/>
        <v>0</v>
      </c>
      <c r="M889" s="36">
        <f t="shared" si="302"/>
        <v>0</v>
      </c>
      <c r="N889" s="36">
        <f t="shared" si="303"/>
        <v>0</v>
      </c>
      <c r="O889" s="36">
        <f t="shared" si="304"/>
        <v>0</v>
      </c>
      <c r="P889" s="36">
        <f t="shared" si="305"/>
        <v>0</v>
      </c>
      <c r="Q889" s="36">
        <f t="shared" si="306"/>
        <v>0</v>
      </c>
      <c r="R889" s="36">
        <f t="shared" si="307"/>
        <v>0</v>
      </c>
      <c r="S889" s="36">
        <f t="shared" si="308"/>
        <v>0</v>
      </c>
      <c r="T889" s="36">
        <f t="shared" si="309"/>
        <v>0</v>
      </c>
      <c r="U889" s="36">
        <f t="shared" si="310"/>
        <v>0</v>
      </c>
      <c r="V889" s="36">
        <f t="shared" si="311"/>
        <v>0</v>
      </c>
      <c r="W889" s="36">
        <f t="shared" si="312"/>
        <v>0</v>
      </c>
      <c r="X889" s="36">
        <f t="shared" si="313"/>
        <v>0</v>
      </c>
      <c r="Y889" s="36">
        <f t="shared" si="314"/>
        <v>0</v>
      </c>
      <c r="Z889" s="36">
        <f t="shared" si="315"/>
        <v>0</v>
      </c>
      <c r="AB889" s="36" t="str">
        <f>IF(最佳化斷筋點!C889="","",最佳化斷筋點!C889)</f>
        <v>下層</v>
      </c>
      <c r="AC889" s="37">
        <f>IF(最佳化斷筋點!D889="","",最佳化斷筋點!D889)</f>
        <v>13</v>
      </c>
      <c r="AD889" s="37">
        <f>IF(最佳化斷筋點!E889="","",最佳化斷筋點!E889)</f>
        <v>13</v>
      </c>
      <c r="AE889" s="37">
        <f>IF(最佳化斷筋點!F889="","",最佳化斷筋點!F889)</f>
        <v>13</v>
      </c>
      <c r="AF889" s="37">
        <f>IF(最佳化斷筋點!G889="","",最佳化斷筋點!G889)</f>
        <v>13</v>
      </c>
      <c r="AG889" s="37">
        <f>IF(最佳化斷筋點!H889="","",最佳化斷筋點!H889)</f>
        <v>12</v>
      </c>
      <c r="AH889" s="37">
        <f>IF(最佳化斷筋點!I889="","",最佳化斷筋點!I889)</f>
        <v>11</v>
      </c>
      <c r="AI889" s="37">
        <f>IF(最佳化斷筋點!J889="","",最佳化斷筋點!J889)</f>
        <v>10</v>
      </c>
      <c r="AJ889" s="37">
        <f>IF(最佳化斷筋點!K889="","",最佳化斷筋點!K889)</f>
        <v>6</v>
      </c>
      <c r="AK889" s="37">
        <f>IF(最佳化斷筋點!L889="","",最佳化斷筋點!L889)</f>
        <v>6</v>
      </c>
      <c r="AL889" s="37">
        <f>IF(最佳化斷筋點!M889="","",最佳化斷筋點!M889)</f>
        <v>6</v>
      </c>
      <c r="AM889" s="37">
        <f>IF(最佳化斷筋點!N889="","",最佳化斷筋點!N889)</f>
        <v>6</v>
      </c>
      <c r="AN889" s="37">
        <f>IF(最佳化斷筋點!O889="","",最佳化斷筋點!O889)</f>
        <v>6</v>
      </c>
      <c r="AO889" s="37">
        <f>IF(最佳化斷筋點!P889="","",最佳化斷筋點!P889)</f>
        <v>6</v>
      </c>
      <c r="AP889" s="37">
        <f>IF(最佳化斷筋點!Q889="","",最佳化斷筋點!Q889)</f>
        <v>8</v>
      </c>
      <c r="AQ889" s="37">
        <f>IF(最佳化斷筋點!R889="","",最佳化斷筋點!R889)</f>
        <v>9</v>
      </c>
      <c r="AR889" s="37">
        <f>IF(最佳化斷筋點!S889="","",最佳化斷筋點!S889)</f>
        <v>11</v>
      </c>
      <c r="AS889" s="37">
        <f>IF(最佳化斷筋點!T889="","",最佳化斷筋點!T889)</f>
        <v>12</v>
      </c>
      <c r="AT889" s="37">
        <f>IF(最佳化斷筋點!U889="","",最佳化斷筋點!U889)</f>
        <v>13</v>
      </c>
      <c r="AU889" s="37">
        <f>IF(最佳化斷筋點!V889="","",最佳化斷筋點!V889)</f>
        <v>13</v>
      </c>
      <c r="AV889" s="37">
        <f>IF(最佳化斷筋點!W889="","",最佳化斷筋點!W889)</f>
        <v>13</v>
      </c>
      <c r="AW889" s="37">
        <f>IF(最佳化斷筋點!X889="","",最佳化斷筋點!X889)</f>
        <v>13</v>
      </c>
      <c r="AZ889" s="37">
        <v>13</v>
      </c>
      <c r="BA889" s="37">
        <v>13</v>
      </c>
      <c r="BB889" s="37">
        <v>13</v>
      </c>
      <c r="BC889" s="37">
        <v>13</v>
      </c>
      <c r="BD889" s="37">
        <v>12</v>
      </c>
      <c r="BE889" s="37">
        <v>11</v>
      </c>
      <c r="BF889" s="37">
        <v>10</v>
      </c>
      <c r="BG889" s="37">
        <v>6</v>
      </c>
      <c r="BH889" s="37">
        <v>6</v>
      </c>
      <c r="BI889" s="37">
        <v>6</v>
      </c>
      <c r="BJ889" s="37">
        <v>6</v>
      </c>
      <c r="BK889" s="37">
        <v>6</v>
      </c>
      <c r="BL889" s="37">
        <v>6</v>
      </c>
      <c r="BM889" s="37">
        <v>8</v>
      </c>
      <c r="BN889" s="37">
        <v>9</v>
      </c>
      <c r="BO889" s="37">
        <v>11</v>
      </c>
      <c r="BP889" s="37">
        <v>12</v>
      </c>
      <c r="BQ889" s="37">
        <v>13</v>
      </c>
      <c r="BR889" s="37">
        <v>13</v>
      </c>
      <c r="BS889" s="37">
        <v>13</v>
      </c>
      <c r="BT889" s="37">
        <v>13</v>
      </c>
    </row>
    <row r="890" spans="5:72" x14ac:dyDescent="0.25">
      <c r="E890" s="36"/>
      <c r="F890" s="36">
        <f t="shared" si="295"/>
        <v>0</v>
      </c>
      <c r="G890" s="36">
        <f t="shared" si="296"/>
        <v>0</v>
      </c>
      <c r="H890" s="36">
        <f t="shared" si="297"/>
        <v>0</v>
      </c>
      <c r="I890" s="36">
        <f t="shared" si="298"/>
        <v>0</v>
      </c>
      <c r="J890" s="36">
        <f t="shared" si="299"/>
        <v>0</v>
      </c>
      <c r="K890" s="36">
        <f t="shared" si="300"/>
        <v>0</v>
      </c>
      <c r="L890" s="36">
        <f t="shared" si="301"/>
        <v>0</v>
      </c>
      <c r="M890" s="36">
        <f t="shared" si="302"/>
        <v>0</v>
      </c>
      <c r="N890" s="36">
        <f t="shared" si="303"/>
        <v>0</v>
      </c>
      <c r="O890" s="36">
        <f t="shared" si="304"/>
        <v>0</v>
      </c>
      <c r="P890" s="36">
        <f t="shared" si="305"/>
        <v>0</v>
      </c>
      <c r="Q890" s="36">
        <f t="shared" si="306"/>
        <v>0</v>
      </c>
      <c r="R890" s="36">
        <f t="shared" si="307"/>
        <v>0</v>
      </c>
      <c r="S890" s="36">
        <f t="shared" si="308"/>
        <v>0</v>
      </c>
      <c r="T890" s="36">
        <f t="shared" si="309"/>
        <v>0</v>
      </c>
      <c r="U890" s="36">
        <f t="shared" si="310"/>
        <v>0</v>
      </c>
      <c r="V890" s="36">
        <f t="shared" si="311"/>
        <v>0</v>
      </c>
      <c r="W890" s="36">
        <f t="shared" si="312"/>
        <v>0</v>
      </c>
      <c r="X890" s="36">
        <f t="shared" si="313"/>
        <v>0</v>
      </c>
      <c r="Y890" s="36">
        <f t="shared" si="314"/>
        <v>0</v>
      </c>
      <c r="Z890" s="36">
        <f t="shared" si="315"/>
        <v>0</v>
      </c>
      <c r="AB890" s="36" t="str">
        <f>IF(最佳化斷筋點!C890="","",最佳化斷筋點!C890)</f>
        <v/>
      </c>
      <c r="AC890" s="37" t="str">
        <f>IF(最佳化斷筋點!D890="","",最佳化斷筋點!D890)</f>
        <v/>
      </c>
      <c r="AD890" s="37" t="str">
        <f>IF(最佳化斷筋點!E890="","",最佳化斷筋點!E890)</f>
        <v/>
      </c>
      <c r="AE890" s="37" t="str">
        <f>IF(最佳化斷筋點!F890="","",最佳化斷筋點!F890)</f>
        <v/>
      </c>
      <c r="AF890" s="37" t="str">
        <f>IF(最佳化斷筋點!G890="","",最佳化斷筋點!G890)</f>
        <v/>
      </c>
      <c r="AG890" s="37" t="str">
        <f>IF(最佳化斷筋點!H890="","",最佳化斷筋點!H890)</f>
        <v/>
      </c>
      <c r="AH890" s="37" t="str">
        <f>IF(最佳化斷筋點!I890="","",最佳化斷筋點!I890)</f>
        <v/>
      </c>
      <c r="AI890" s="37" t="str">
        <f>IF(最佳化斷筋點!J890="","",最佳化斷筋點!J890)</f>
        <v/>
      </c>
      <c r="AJ890" s="37" t="str">
        <f>IF(最佳化斷筋點!K890="","",最佳化斷筋點!K890)</f>
        <v/>
      </c>
      <c r="AK890" s="37" t="str">
        <f>IF(最佳化斷筋點!L890="","",最佳化斷筋點!L890)</f>
        <v/>
      </c>
      <c r="AL890" s="37" t="str">
        <f>IF(最佳化斷筋點!M890="","",最佳化斷筋點!M890)</f>
        <v/>
      </c>
      <c r="AM890" s="37" t="str">
        <f>IF(最佳化斷筋點!N890="","",最佳化斷筋點!N890)</f>
        <v/>
      </c>
      <c r="AN890" s="37" t="str">
        <f>IF(最佳化斷筋點!O890="","",最佳化斷筋點!O890)</f>
        <v/>
      </c>
      <c r="AO890" s="37" t="str">
        <f>IF(最佳化斷筋點!P890="","",最佳化斷筋點!P890)</f>
        <v/>
      </c>
      <c r="AP890" s="37" t="str">
        <f>IF(最佳化斷筋點!Q890="","",最佳化斷筋點!Q890)</f>
        <v/>
      </c>
      <c r="AQ890" s="37" t="str">
        <f>IF(最佳化斷筋點!R890="","",最佳化斷筋點!R890)</f>
        <v/>
      </c>
      <c r="AR890" s="37" t="str">
        <f>IF(最佳化斷筋點!S890="","",最佳化斷筋點!S890)</f>
        <v/>
      </c>
      <c r="AS890" s="37" t="str">
        <f>IF(最佳化斷筋點!T890="","",最佳化斷筋點!T890)</f>
        <v/>
      </c>
      <c r="AT890" s="37" t="str">
        <f>IF(最佳化斷筋點!U890="","",最佳化斷筋點!U890)</f>
        <v/>
      </c>
      <c r="AU890" s="37" t="str">
        <f>IF(最佳化斷筋點!V890="","",最佳化斷筋點!V890)</f>
        <v/>
      </c>
      <c r="AV890" s="37" t="str">
        <f>IF(最佳化斷筋點!W890="","",最佳化斷筋點!W890)</f>
        <v/>
      </c>
      <c r="AW890" s="37" t="str">
        <f>IF(最佳化斷筋點!X890="","",最佳化斷筋點!X890)</f>
        <v/>
      </c>
      <c r="AZ890" s="37" t="s">
        <v>197</v>
      </c>
      <c r="BA890" s="37" t="s">
        <v>197</v>
      </c>
      <c r="BB890" s="37" t="s">
        <v>197</v>
      </c>
      <c r="BC890" s="37" t="s">
        <v>197</v>
      </c>
      <c r="BD890" s="37" t="s">
        <v>197</v>
      </c>
      <c r="BE890" s="37" t="s">
        <v>197</v>
      </c>
      <c r="BF890" s="37" t="s">
        <v>197</v>
      </c>
      <c r="BG890" s="37" t="s">
        <v>197</v>
      </c>
      <c r="BH890" s="37" t="s">
        <v>197</v>
      </c>
      <c r="BI890" s="37" t="s">
        <v>197</v>
      </c>
      <c r="BJ890" s="37" t="s">
        <v>197</v>
      </c>
      <c r="BK890" s="37" t="s">
        <v>197</v>
      </c>
      <c r="BL890" s="37" t="s">
        <v>197</v>
      </c>
      <c r="BM890" s="37" t="s">
        <v>197</v>
      </c>
      <c r="BN890" s="37" t="s">
        <v>197</v>
      </c>
      <c r="BO890" s="37" t="s">
        <v>197</v>
      </c>
      <c r="BP890" s="37" t="s">
        <v>197</v>
      </c>
      <c r="BQ890" s="37" t="s">
        <v>197</v>
      </c>
      <c r="BR890" s="37" t="s">
        <v>197</v>
      </c>
      <c r="BS890" s="37" t="s">
        <v>197</v>
      </c>
      <c r="BT890" s="37" t="s">
        <v>197</v>
      </c>
    </row>
    <row r="891" spans="5:72" x14ac:dyDescent="0.25">
      <c r="E891" s="36" t="s">
        <v>20</v>
      </c>
      <c r="F891" s="36">
        <f t="shared" si="295"/>
        <v>0</v>
      </c>
      <c r="G891" s="36">
        <f t="shared" si="296"/>
        <v>0</v>
      </c>
      <c r="H891" s="36">
        <f t="shared" si="297"/>
        <v>0</v>
      </c>
      <c r="I891" s="36">
        <f t="shared" si="298"/>
        <v>0</v>
      </c>
      <c r="J891" s="36">
        <f t="shared" si="299"/>
        <v>0</v>
      </c>
      <c r="K891" s="36">
        <f t="shared" si="300"/>
        <v>0</v>
      </c>
      <c r="L891" s="36">
        <f t="shared" si="301"/>
        <v>0</v>
      </c>
      <c r="M891" s="36">
        <f t="shared" si="302"/>
        <v>0</v>
      </c>
      <c r="N891" s="36">
        <f t="shared" si="303"/>
        <v>0</v>
      </c>
      <c r="O891" s="36">
        <f t="shared" si="304"/>
        <v>0</v>
      </c>
      <c r="P891" s="36">
        <f t="shared" si="305"/>
        <v>0</v>
      </c>
      <c r="Q891" s="36">
        <f t="shared" si="306"/>
        <v>0</v>
      </c>
      <c r="R891" s="36">
        <f t="shared" si="307"/>
        <v>0</v>
      </c>
      <c r="S891" s="36">
        <f t="shared" si="308"/>
        <v>0</v>
      </c>
      <c r="T891" s="36">
        <f t="shared" si="309"/>
        <v>0</v>
      </c>
      <c r="U891" s="36">
        <f t="shared" si="310"/>
        <v>0</v>
      </c>
      <c r="V891" s="36">
        <f t="shared" si="311"/>
        <v>0</v>
      </c>
      <c r="W891" s="36">
        <f t="shared" si="312"/>
        <v>0</v>
      </c>
      <c r="X891" s="36">
        <f t="shared" si="313"/>
        <v>0</v>
      </c>
      <c r="Y891" s="36">
        <f t="shared" si="314"/>
        <v>0</v>
      </c>
      <c r="Z891" s="36">
        <f t="shared" si="315"/>
        <v>0</v>
      </c>
      <c r="AB891" s="36" t="str">
        <f>IF(最佳化斷筋點!C891="","",最佳化斷筋點!C891)</f>
        <v>上層</v>
      </c>
      <c r="AC891" s="37">
        <f>IF(最佳化斷筋點!D891="","",最佳化斷筋點!D891)</f>
        <v>12</v>
      </c>
      <c r="AD891" s="37">
        <f>IF(最佳化斷筋點!E891="","",最佳化斷筋點!E891)</f>
        <v>12</v>
      </c>
      <c r="AE891" s="37">
        <f>IF(最佳化斷筋點!F891="","",最佳化斷筋點!F891)</f>
        <v>12</v>
      </c>
      <c r="AF891" s="37">
        <f>IF(最佳化斷筋點!G891="","",最佳化斷筋點!G891)</f>
        <v>12</v>
      </c>
      <c r="AG891" s="37">
        <f>IF(最佳化斷筋點!H891="","",最佳化斷筋點!H891)</f>
        <v>12</v>
      </c>
      <c r="AH891" s="37">
        <f>IF(最佳化斷筋點!I891="","",最佳化斷筋點!I891)</f>
        <v>12</v>
      </c>
      <c r="AI891" s="37">
        <f>IF(最佳化斷筋點!J891="","",最佳化斷筋點!J891)</f>
        <v>11</v>
      </c>
      <c r="AJ891" s="37">
        <f>IF(最佳化斷筋點!K891="","",最佳化斷筋點!K891)</f>
        <v>4</v>
      </c>
      <c r="AK891" s="37">
        <f>IF(最佳化斷筋點!L891="","",最佳化斷筋點!L891)</f>
        <v>4</v>
      </c>
      <c r="AL891" s="37">
        <f>IF(最佳化斷筋點!M891="","",最佳化斷筋點!M891)</f>
        <v>4</v>
      </c>
      <c r="AM891" s="37">
        <f>IF(最佳化斷筋點!N891="","",最佳化斷筋點!N891)</f>
        <v>4</v>
      </c>
      <c r="AN891" s="37">
        <f>IF(最佳化斷筋點!O891="","",最佳化斷筋點!O891)</f>
        <v>4</v>
      </c>
      <c r="AO891" s="37">
        <f>IF(最佳化斷筋點!P891="","",最佳化斷筋點!P891)</f>
        <v>4</v>
      </c>
      <c r="AP891" s="37">
        <f>IF(最佳化斷筋點!Q891="","",最佳化斷筋點!Q891)</f>
        <v>8</v>
      </c>
      <c r="AQ891" s="37">
        <f>IF(最佳化斷筋點!R891="","",最佳化斷筋點!R891)</f>
        <v>9</v>
      </c>
      <c r="AR891" s="37">
        <f>IF(最佳化斷筋點!S891="","",最佳化斷筋點!S891)</f>
        <v>10</v>
      </c>
      <c r="AS891" s="37">
        <f>IF(最佳化斷筋點!T891="","",最佳化斷筋點!T891)</f>
        <v>10</v>
      </c>
      <c r="AT891" s="37">
        <f>IF(最佳化斷筋點!U891="","",最佳化斷筋點!U891)</f>
        <v>10</v>
      </c>
      <c r="AU891" s="37">
        <f>IF(最佳化斷筋點!V891="","",最佳化斷筋點!V891)</f>
        <v>10</v>
      </c>
      <c r="AV891" s="37">
        <f>IF(最佳化斷筋點!W891="","",最佳化斷筋點!W891)</f>
        <v>10</v>
      </c>
      <c r="AW891" s="37">
        <f>IF(最佳化斷筋點!X891="","",最佳化斷筋點!X891)</f>
        <v>10</v>
      </c>
      <c r="AZ891" s="37">
        <v>12</v>
      </c>
      <c r="BA891" s="37">
        <v>12</v>
      </c>
      <c r="BB891" s="37">
        <v>12</v>
      </c>
      <c r="BC891" s="37">
        <v>12</v>
      </c>
      <c r="BD891" s="37">
        <v>12</v>
      </c>
      <c r="BE891" s="37">
        <v>12</v>
      </c>
      <c r="BF891" s="37">
        <v>11</v>
      </c>
      <c r="BG891" s="37">
        <v>4</v>
      </c>
      <c r="BH891" s="37">
        <v>4</v>
      </c>
      <c r="BI891" s="37">
        <v>4</v>
      </c>
      <c r="BJ891" s="37">
        <v>4</v>
      </c>
      <c r="BK891" s="37">
        <v>4</v>
      </c>
      <c r="BL891" s="37">
        <v>4</v>
      </c>
      <c r="BM891" s="37">
        <v>8</v>
      </c>
      <c r="BN891" s="37">
        <v>9</v>
      </c>
      <c r="BO891" s="37">
        <v>10</v>
      </c>
      <c r="BP891" s="37">
        <v>10</v>
      </c>
      <c r="BQ891" s="37">
        <v>10</v>
      </c>
      <c r="BR891" s="37">
        <v>10</v>
      </c>
      <c r="BS891" s="37">
        <v>10</v>
      </c>
      <c r="BT891" s="37">
        <v>10</v>
      </c>
    </row>
    <row r="892" spans="5:72" x14ac:dyDescent="0.25">
      <c r="E892" s="36"/>
      <c r="F892" s="36">
        <f t="shared" si="295"/>
        <v>0</v>
      </c>
      <c r="G892" s="36">
        <f t="shared" si="296"/>
        <v>0</v>
      </c>
      <c r="H892" s="36">
        <f t="shared" si="297"/>
        <v>0</v>
      </c>
      <c r="I892" s="36">
        <f t="shared" si="298"/>
        <v>0</v>
      </c>
      <c r="J892" s="36">
        <f t="shared" si="299"/>
        <v>0</v>
      </c>
      <c r="K892" s="36">
        <f t="shared" si="300"/>
        <v>0</v>
      </c>
      <c r="L892" s="36">
        <f t="shared" si="301"/>
        <v>0</v>
      </c>
      <c r="M892" s="36">
        <f t="shared" si="302"/>
        <v>0</v>
      </c>
      <c r="N892" s="36">
        <f t="shared" si="303"/>
        <v>0</v>
      </c>
      <c r="O892" s="36">
        <f t="shared" si="304"/>
        <v>0</v>
      </c>
      <c r="P892" s="36">
        <f t="shared" si="305"/>
        <v>0</v>
      </c>
      <c r="Q892" s="36">
        <f t="shared" si="306"/>
        <v>0</v>
      </c>
      <c r="R892" s="36">
        <f t="shared" si="307"/>
        <v>0</v>
      </c>
      <c r="S892" s="36">
        <f t="shared" si="308"/>
        <v>0</v>
      </c>
      <c r="T892" s="36">
        <f t="shared" si="309"/>
        <v>0</v>
      </c>
      <c r="U892" s="36">
        <f t="shared" si="310"/>
        <v>0</v>
      </c>
      <c r="V892" s="36">
        <f t="shared" si="311"/>
        <v>0</v>
      </c>
      <c r="W892" s="36">
        <f t="shared" si="312"/>
        <v>0</v>
      </c>
      <c r="X892" s="36">
        <f t="shared" si="313"/>
        <v>0</v>
      </c>
      <c r="Y892" s="36">
        <f t="shared" si="314"/>
        <v>0</v>
      </c>
      <c r="Z892" s="36">
        <f t="shared" si="315"/>
        <v>0</v>
      </c>
      <c r="AB892" s="36" t="str">
        <f>IF(最佳化斷筋點!C892="","",最佳化斷筋點!C892)</f>
        <v/>
      </c>
      <c r="AC892" s="37" t="str">
        <f>IF(最佳化斷筋點!D892="","",最佳化斷筋點!D892)</f>
        <v/>
      </c>
      <c r="AD892" s="37" t="str">
        <f>IF(最佳化斷筋點!E892="","",最佳化斷筋點!E892)</f>
        <v/>
      </c>
      <c r="AE892" s="37" t="str">
        <f>IF(最佳化斷筋點!F892="","",最佳化斷筋點!F892)</f>
        <v/>
      </c>
      <c r="AF892" s="37" t="str">
        <f>IF(最佳化斷筋點!G892="","",最佳化斷筋點!G892)</f>
        <v/>
      </c>
      <c r="AG892" s="37" t="str">
        <f>IF(最佳化斷筋點!H892="","",最佳化斷筋點!H892)</f>
        <v/>
      </c>
      <c r="AH892" s="37" t="str">
        <f>IF(最佳化斷筋點!I892="","",最佳化斷筋點!I892)</f>
        <v/>
      </c>
      <c r="AI892" s="37" t="str">
        <f>IF(最佳化斷筋點!J892="","",最佳化斷筋點!J892)</f>
        <v/>
      </c>
      <c r="AJ892" s="37" t="str">
        <f>IF(最佳化斷筋點!K892="","",最佳化斷筋點!K892)</f>
        <v/>
      </c>
      <c r="AK892" s="37" t="str">
        <f>IF(最佳化斷筋點!L892="","",最佳化斷筋點!L892)</f>
        <v/>
      </c>
      <c r="AL892" s="37" t="str">
        <f>IF(最佳化斷筋點!M892="","",最佳化斷筋點!M892)</f>
        <v/>
      </c>
      <c r="AM892" s="37" t="str">
        <f>IF(最佳化斷筋點!N892="","",最佳化斷筋點!N892)</f>
        <v/>
      </c>
      <c r="AN892" s="37" t="str">
        <f>IF(最佳化斷筋點!O892="","",最佳化斷筋點!O892)</f>
        <v/>
      </c>
      <c r="AO892" s="37" t="str">
        <f>IF(最佳化斷筋點!P892="","",最佳化斷筋點!P892)</f>
        <v/>
      </c>
      <c r="AP892" s="37" t="str">
        <f>IF(最佳化斷筋點!Q892="","",最佳化斷筋點!Q892)</f>
        <v/>
      </c>
      <c r="AQ892" s="37" t="str">
        <f>IF(最佳化斷筋點!R892="","",最佳化斷筋點!R892)</f>
        <v/>
      </c>
      <c r="AR892" s="37" t="str">
        <f>IF(最佳化斷筋點!S892="","",最佳化斷筋點!S892)</f>
        <v/>
      </c>
      <c r="AS892" s="37" t="str">
        <f>IF(最佳化斷筋點!T892="","",最佳化斷筋點!T892)</f>
        <v/>
      </c>
      <c r="AT892" s="37" t="str">
        <f>IF(最佳化斷筋點!U892="","",最佳化斷筋點!U892)</f>
        <v/>
      </c>
      <c r="AU892" s="37" t="str">
        <f>IF(最佳化斷筋點!V892="","",最佳化斷筋點!V892)</f>
        <v/>
      </c>
      <c r="AV892" s="37" t="str">
        <f>IF(最佳化斷筋點!W892="","",最佳化斷筋點!W892)</f>
        <v/>
      </c>
      <c r="AW892" s="37" t="str">
        <f>IF(最佳化斷筋點!X892="","",最佳化斷筋點!X892)</f>
        <v/>
      </c>
      <c r="AZ892" s="37" t="s">
        <v>197</v>
      </c>
      <c r="BA892" s="37" t="s">
        <v>197</v>
      </c>
      <c r="BB892" s="37" t="s">
        <v>197</v>
      </c>
      <c r="BC892" s="37" t="s">
        <v>197</v>
      </c>
      <c r="BD892" s="37" t="s">
        <v>197</v>
      </c>
      <c r="BE892" s="37" t="s">
        <v>197</v>
      </c>
      <c r="BF892" s="37" t="s">
        <v>197</v>
      </c>
      <c r="BG892" s="37" t="s">
        <v>197</v>
      </c>
      <c r="BH892" s="37" t="s">
        <v>197</v>
      </c>
      <c r="BI892" s="37" t="s">
        <v>197</v>
      </c>
      <c r="BJ892" s="37" t="s">
        <v>197</v>
      </c>
      <c r="BK892" s="37" t="s">
        <v>197</v>
      </c>
      <c r="BL892" s="37" t="s">
        <v>197</v>
      </c>
      <c r="BM892" s="37" t="s">
        <v>197</v>
      </c>
      <c r="BN892" s="37" t="s">
        <v>197</v>
      </c>
      <c r="BO892" s="37" t="s">
        <v>197</v>
      </c>
      <c r="BP892" s="37" t="s">
        <v>197</v>
      </c>
      <c r="BQ892" s="37" t="s">
        <v>197</v>
      </c>
      <c r="BR892" s="37" t="s">
        <v>197</v>
      </c>
      <c r="BS892" s="37" t="s">
        <v>197</v>
      </c>
      <c r="BT892" s="37" t="s">
        <v>197</v>
      </c>
    </row>
    <row r="893" spans="5:72" x14ac:dyDescent="0.25">
      <c r="E893" s="36" t="s">
        <v>21</v>
      </c>
      <c r="F893" s="36">
        <f t="shared" si="295"/>
        <v>0</v>
      </c>
      <c r="G893" s="36">
        <f t="shared" si="296"/>
        <v>0</v>
      </c>
      <c r="H893" s="36">
        <f t="shared" si="297"/>
        <v>0</v>
      </c>
      <c r="I893" s="36">
        <f t="shared" si="298"/>
        <v>0</v>
      </c>
      <c r="J893" s="36">
        <f t="shared" si="299"/>
        <v>0</v>
      </c>
      <c r="K893" s="36">
        <f t="shared" si="300"/>
        <v>0</v>
      </c>
      <c r="L893" s="36">
        <f t="shared" si="301"/>
        <v>0</v>
      </c>
      <c r="M893" s="36">
        <f t="shared" si="302"/>
        <v>0</v>
      </c>
      <c r="N893" s="36">
        <f t="shared" si="303"/>
        <v>0</v>
      </c>
      <c r="O893" s="36">
        <f t="shared" si="304"/>
        <v>0</v>
      </c>
      <c r="P893" s="36">
        <f t="shared" si="305"/>
        <v>0</v>
      </c>
      <c r="Q893" s="36">
        <f t="shared" si="306"/>
        <v>0</v>
      </c>
      <c r="R893" s="36">
        <f t="shared" si="307"/>
        <v>0</v>
      </c>
      <c r="S893" s="36">
        <f t="shared" si="308"/>
        <v>0</v>
      </c>
      <c r="T893" s="36">
        <f t="shared" si="309"/>
        <v>0</v>
      </c>
      <c r="U893" s="36">
        <f t="shared" si="310"/>
        <v>0</v>
      </c>
      <c r="V893" s="36">
        <f t="shared" si="311"/>
        <v>0</v>
      </c>
      <c r="W893" s="36">
        <f t="shared" si="312"/>
        <v>0</v>
      </c>
      <c r="X893" s="36">
        <f t="shared" si="313"/>
        <v>0</v>
      </c>
      <c r="Y893" s="36">
        <f t="shared" si="314"/>
        <v>0</v>
      </c>
      <c r="Z893" s="36">
        <f t="shared" si="315"/>
        <v>0</v>
      </c>
      <c r="AB893" s="36" t="str">
        <f>IF(最佳化斷筋點!C893="","",最佳化斷筋點!C893)</f>
        <v>下層</v>
      </c>
      <c r="AC893" s="37">
        <f>IF(最佳化斷筋點!D893="","",最佳化斷筋點!D893)</f>
        <v>15</v>
      </c>
      <c r="AD893" s="37">
        <f>IF(最佳化斷筋點!E893="","",最佳化斷筋點!E893)</f>
        <v>15</v>
      </c>
      <c r="AE893" s="37">
        <f>IF(最佳化斷筋點!F893="","",最佳化斷筋點!F893)</f>
        <v>15</v>
      </c>
      <c r="AF893" s="37">
        <f>IF(最佳化斷筋點!G893="","",最佳化斷筋點!G893)</f>
        <v>15</v>
      </c>
      <c r="AG893" s="37">
        <f>IF(最佳化斷筋點!H893="","",最佳化斷筋點!H893)</f>
        <v>14</v>
      </c>
      <c r="AH893" s="37">
        <f>IF(最佳化斷筋點!I893="","",最佳化斷筋點!I893)</f>
        <v>13</v>
      </c>
      <c r="AI893" s="37">
        <f>IF(最佳化斷筋點!J893="","",最佳化斷筋點!J893)</f>
        <v>11</v>
      </c>
      <c r="AJ893" s="37">
        <f>IF(最佳化斷筋點!K893="","",最佳化斷筋點!K893)</f>
        <v>5</v>
      </c>
      <c r="AK893" s="37">
        <f>IF(最佳化斷筋點!L893="","",最佳化斷筋點!L893)</f>
        <v>5</v>
      </c>
      <c r="AL893" s="37">
        <f>IF(最佳化斷筋點!M893="","",最佳化斷筋點!M893)</f>
        <v>5</v>
      </c>
      <c r="AM893" s="37">
        <f>IF(最佳化斷筋點!N893="","",最佳化斷筋點!N893)</f>
        <v>5</v>
      </c>
      <c r="AN893" s="37">
        <f>IF(最佳化斷筋點!O893="","",最佳化斷筋點!O893)</f>
        <v>5</v>
      </c>
      <c r="AO893" s="37">
        <f>IF(最佳化斷筋點!P893="","",最佳化斷筋點!P893)</f>
        <v>5</v>
      </c>
      <c r="AP893" s="37">
        <f>IF(最佳化斷筋點!Q893="","",最佳化斷筋點!Q893)</f>
        <v>9</v>
      </c>
      <c r="AQ893" s="37">
        <f>IF(最佳化斷筋點!R893="","",最佳化斷筋點!R893)</f>
        <v>11</v>
      </c>
      <c r="AR893" s="37">
        <f>IF(最佳化斷筋點!S893="","",最佳化斷筋點!S893)</f>
        <v>12</v>
      </c>
      <c r="AS893" s="37">
        <f>IF(最佳化斷筋點!T893="","",最佳化斷筋點!T893)</f>
        <v>14</v>
      </c>
      <c r="AT893" s="37">
        <f>IF(最佳化斷筋點!U893="","",最佳化斷筋點!U893)</f>
        <v>15</v>
      </c>
      <c r="AU893" s="37">
        <f>IF(最佳化斷筋點!V893="","",最佳化斷筋點!V893)</f>
        <v>15</v>
      </c>
      <c r="AV893" s="37">
        <f>IF(最佳化斷筋點!W893="","",最佳化斷筋點!W893)</f>
        <v>15</v>
      </c>
      <c r="AW893" s="37">
        <f>IF(最佳化斷筋點!X893="","",最佳化斷筋點!X893)</f>
        <v>15</v>
      </c>
      <c r="AZ893" s="37">
        <v>15</v>
      </c>
      <c r="BA893" s="37">
        <v>15</v>
      </c>
      <c r="BB893" s="37">
        <v>15</v>
      </c>
      <c r="BC893" s="37">
        <v>15</v>
      </c>
      <c r="BD893" s="37">
        <v>14</v>
      </c>
      <c r="BE893" s="37">
        <v>13</v>
      </c>
      <c r="BF893" s="37">
        <v>11</v>
      </c>
      <c r="BG893" s="37">
        <v>5</v>
      </c>
      <c r="BH893" s="37">
        <v>5</v>
      </c>
      <c r="BI893" s="37">
        <v>5</v>
      </c>
      <c r="BJ893" s="37">
        <v>5</v>
      </c>
      <c r="BK893" s="37">
        <v>5</v>
      </c>
      <c r="BL893" s="37">
        <v>5</v>
      </c>
      <c r="BM893" s="37">
        <v>9</v>
      </c>
      <c r="BN893" s="37">
        <v>11</v>
      </c>
      <c r="BO893" s="37">
        <v>12</v>
      </c>
      <c r="BP893" s="37">
        <v>14</v>
      </c>
      <c r="BQ893" s="37">
        <v>15</v>
      </c>
      <c r="BR893" s="37">
        <v>15</v>
      </c>
      <c r="BS893" s="37">
        <v>15</v>
      </c>
      <c r="BT893" s="37">
        <v>15</v>
      </c>
    </row>
    <row r="894" spans="5:72" x14ac:dyDescent="0.25">
      <c r="E894" s="36"/>
      <c r="F894" s="36">
        <f t="shared" si="295"/>
        <v>0</v>
      </c>
      <c r="G894" s="36">
        <f t="shared" si="296"/>
        <v>0</v>
      </c>
      <c r="H894" s="36">
        <f t="shared" si="297"/>
        <v>0</v>
      </c>
      <c r="I894" s="36">
        <f t="shared" si="298"/>
        <v>0</v>
      </c>
      <c r="J894" s="36">
        <f t="shared" si="299"/>
        <v>0</v>
      </c>
      <c r="K894" s="36">
        <f t="shared" si="300"/>
        <v>0</v>
      </c>
      <c r="L894" s="36">
        <f t="shared" si="301"/>
        <v>0</v>
      </c>
      <c r="M894" s="36">
        <f t="shared" si="302"/>
        <v>0</v>
      </c>
      <c r="N894" s="36">
        <f t="shared" si="303"/>
        <v>0</v>
      </c>
      <c r="O894" s="36">
        <f t="shared" si="304"/>
        <v>0</v>
      </c>
      <c r="P894" s="36">
        <f t="shared" si="305"/>
        <v>0</v>
      </c>
      <c r="Q894" s="36">
        <f t="shared" si="306"/>
        <v>0</v>
      </c>
      <c r="R894" s="36">
        <f t="shared" si="307"/>
        <v>0</v>
      </c>
      <c r="S894" s="36">
        <f t="shared" si="308"/>
        <v>0</v>
      </c>
      <c r="T894" s="36">
        <f t="shared" si="309"/>
        <v>0</v>
      </c>
      <c r="U894" s="36">
        <f t="shared" si="310"/>
        <v>0</v>
      </c>
      <c r="V894" s="36">
        <f t="shared" si="311"/>
        <v>0</v>
      </c>
      <c r="W894" s="36">
        <f t="shared" si="312"/>
        <v>0</v>
      </c>
      <c r="X894" s="36">
        <f t="shared" si="313"/>
        <v>0</v>
      </c>
      <c r="Y894" s="36">
        <f t="shared" si="314"/>
        <v>0</v>
      </c>
      <c r="Z894" s="36">
        <f t="shared" si="315"/>
        <v>0</v>
      </c>
      <c r="AB894" s="36" t="str">
        <f>IF(最佳化斷筋點!C894="","",最佳化斷筋點!C894)</f>
        <v/>
      </c>
      <c r="AC894" s="37" t="str">
        <f>IF(最佳化斷筋點!D894="","",最佳化斷筋點!D894)</f>
        <v/>
      </c>
      <c r="AD894" s="37" t="str">
        <f>IF(最佳化斷筋點!E894="","",最佳化斷筋點!E894)</f>
        <v/>
      </c>
      <c r="AE894" s="37" t="str">
        <f>IF(最佳化斷筋點!F894="","",最佳化斷筋點!F894)</f>
        <v/>
      </c>
      <c r="AF894" s="37" t="str">
        <f>IF(最佳化斷筋點!G894="","",最佳化斷筋點!G894)</f>
        <v/>
      </c>
      <c r="AG894" s="37" t="str">
        <f>IF(最佳化斷筋點!H894="","",最佳化斷筋點!H894)</f>
        <v/>
      </c>
      <c r="AH894" s="37" t="str">
        <f>IF(最佳化斷筋點!I894="","",最佳化斷筋點!I894)</f>
        <v/>
      </c>
      <c r="AI894" s="37" t="str">
        <f>IF(最佳化斷筋點!J894="","",最佳化斷筋點!J894)</f>
        <v/>
      </c>
      <c r="AJ894" s="37" t="str">
        <f>IF(最佳化斷筋點!K894="","",最佳化斷筋點!K894)</f>
        <v/>
      </c>
      <c r="AK894" s="37" t="str">
        <f>IF(最佳化斷筋點!L894="","",最佳化斷筋點!L894)</f>
        <v/>
      </c>
      <c r="AL894" s="37" t="str">
        <f>IF(最佳化斷筋點!M894="","",最佳化斷筋點!M894)</f>
        <v/>
      </c>
      <c r="AM894" s="37" t="str">
        <f>IF(最佳化斷筋點!N894="","",最佳化斷筋點!N894)</f>
        <v/>
      </c>
      <c r="AN894" s="37" t="str">
        <f>IF(最佳化斷筋點!O894="","",最佳化斷筋點!O894)</f>
        <v/>
      </c>
      <c r="AO894" s="37" t="str">
        <f>IF(最佳化斷筋點!P894="","",最佳化斷筋點!P894)</f>
        <v/>
      </c>
      <c r="AP894" s="37" t="str">
        <f>IF(最佳化斷筋點!Q894="","",最佳化斷筋點!Q894)</f>
        <v/>
      </c>
      <c r="AQ894" s="37" t="str">
        <f>IF(最佳化斷筋點!R894="","",最佳化斷筋點!R894)</f>
        <v/>
      </c>
      <c r="AR894" s="37" t="str">
        <f>IF(最佳化斷筋點!S894="","",最佳化斷筋點!S894)</f>
        <v/>
      </c>
      <c r="AS894" s="37" t="str">
        <f>IF(最佳化斷筋點!T894="","",最佳化斷筋點!T894)</f>
        <v/>
      </c>
      <c r="AT894" s="37" t="str">
        <f>IF(最佳化斷筋點!U894="","",最佳化斷筋點!U894)</f>
        <v/>
      </c>
      <c r="AU894" s="37" t="str">
        <f>IF(最佳化斷筋點!V894="","",最佳化斷筋點!V894)</f>
        <v/>
      </c>
      <c r="AV894" s="37" t="str">
        <f>IF(最佳化斷筋點!W894="","",最佳化斷筋點!W894)</f>
        <v/>
      </c>
      <c r="AW894" s="37" t="str">
        <f>IF(最佳化斷筋點!X894="","",最佳化斷筋點!X894)</f>
        <v/>
      </c>
      <c r="AZ894" s="37" t="s">
        <v>197</v>
      </c>
      <c r="BA894" s="37" t="s">
        <v>197</v>
      </c>
      <c r="BB894" s="37" t="s">
        <v>197</v>
      </c>
      <c r="BC894" s="37" t="s">
        <v>197</v>
      </c>
      <c r="BD894" s="37" t="s">
        <v>197</v>
      </c>
      <c r="BE894" s="37" t="s">
        <v>197</v>
      </c>
      <c r="BF894" s="37" t="s">
        <v>197</v>
      </c>
      <c r="BG894" s="37" t="s">
        <v>197</v>
      </c>
      <c r="BH894" s="37" t="s">
        <v>197</v>
      </c>
      <c r="BI894" s="37" t="s">
        <v>197</v>
      </c>
      <c r="BJ894" s="37" t="s">
        <v>197</v>
      </c>
      <c r="BK894" s="37" t="s">
        <v>197</v>
      </c>
      <c r="BL894" s="37" t="s">
        <v>197</v>
      </c>
      <c r="BM894" s="37" t="s">
        <v>197</v>
      </c>
      <c r="BN894" s="37" t="s">
        <v>197</v>
      </c>
      <c r="BO894" s="37" t="s">
        <v>197</v>
      </c>
      <c r="BP894" s="37" t="s">
        <v>197</v>
      </c>
      <c r="BQ894" s="37" t="s">
        <v>197</v>
      </c>
      <c r="BR894" s="37" t="s">
        <v>197</v>
      </c>
      <c r="BS894" s="37" t="s">
        <v>197</v>
      </c>
      <c r="BT894" s="37" t="s">
        <v>197</v>
      </c>
    </row>
    <row r="895" spans="5:72" x14ac:dyDescent="0.25">
      <c r="E895" s="36" t="s">
        <v>20</v>
      </c>
      <c r="F895" s="36">
        <f t="shared" si="295"/>
        <v>0</v>
      </c>
      <c r="G895" s="36">
        <f t="shared" si="296"/>
        <v>0</v>
      </c>
      <c r="H895" s="36">
        <f t="shared" si="297"/>
        <v>0</v>
      </c>
      <c r="I895" s="36">
        <f t="shared" si="298"/>
        <v>0</v>
      </c>
      <c r="J895" s="36">
        <f t="shared" si="299"/>
        <v>0</v>
      </c>
      <c r="K895" s="36">
        <f t="shared" si="300"/>
        <v>0</v>
      </c>
      <c r="L895" s="36">
        <f t="shared" si="301"/>
        <v>0</v>
      </c>
      <c r="M895" s="36">
        <f t="shared" si="302"/>
        <v>0</v>
      </c>
      <c r="N895" s="36">
        <f t="shared" si="303"/>
        <v>0</v>
      </c>
      <c r="O895" s="36">
        <f t="shared" si="304"/>
        <v>0</v>
      </c>
      <c r="P895" s="36">
        <f t="shared" si="305"/>
        <v>0</v>
      </c>
      <c r="Q895" s="36">
        <f t="shared" si="306"/>
        <v>0</v>
      </c>
      <c r="R895" s="36">
        <f t="shared" si="307"/>
        <v>0</v>
      </c>
      <c r="S895" s="36">
        <f t="shared" si="308"/>
        <v>0</v>
      </c>
      <c r="T895" s="36">
        <f t="shared" si="309"/>
        <v>0</v>
      </c>
      <c r="U895" s="36">
        <f t="shared" si="310"/>
        <v>0</v>
      </c>
      <c r="V895" s="36">
        <f t="shared" si="311"/>
        <v>0</v>
      </c>
      <c r="W895" s="36">
        <f t="shared" si="312"/>
        <v>0</v>
      </c>
      <c r="X895" s="36">
        <f t="shared" si="313"/>
        <v>0</v>
      </c>
      <c r="Y895" s="36">
        <f t="shared" si="314"/>
        <v>0</v>
      </c>
      <c r="Z895" s="36">
        <f t="shared" si="315"/>
        <v>0</v>
      </c>
      <c r="AB895" s="36" t="str">
        <f>IF(最佳化斷筋點!C895="","",最佳化斷筋點!C895)</f>
        <v>上層</v>
      </c>
      <c r="AC895" s="37">
        <f>IF(最佳化斷筋點!D895="","",最佳化斷筋點!D895)</f>
        <v>12</v>
      </c>
      <c r="AD895" s="37">
        <f>IF(最佳化斷筋點!E895="","",最佳化斷筋點!E895)</f>
        <v>12</v>
      </c>
      <c r="AE895" s="37">
        <f>IF(最佳化斷筋點!F895="","",最佳化斷筋點!F895)</f>
        <v>12</v>
      </c>
      <c r="AF895" s="37">
        <f>IF(最佳化斷筋點!G895="","",最佳化斷筋點!G895)</f>
        <v>12</v>
      </c>
      <c r="AG895" s="37">
        <f>IF(最佳化斷筋點!H895="","",最佳化斷筋點!H895)</f>
        <v>12</v>
      </c>
      <c r="AH895" s="37">
        <f>IF(最佳化斷筋點!I895="","",最佳化斷筋點!I895)</f>
        <v>12</v>
      </c>
      <c r="AI895" s="37">
        <f>IF(最佳化斷筋點!J895="","",最佳化斷筋點!J895)</f>
        <v>11</v>
      </c>
      <c r="AJ895" s="37">
        <f>IF(最佳化斷筋點!K895="","",最佳化斷筋點!K895)</f>
        <v>4</v>
      </c>
      <c r="AK895" s="37">
        <f>IF(最佳化斷筋點!L895="","",最佳化斷筋點!L895)</f>
        <v>4</v>
      </c>
      <c r="AL895" s="37">
        <f>IF(最佳化斷筋點!M895="","",最佳化斷筋點!M895)</f>
        <v>4</v>
      </c>
      <c r="AM895" s="37">
        <f>IF(最佳化斷筋點!N895="","",最佳化斷筋點!N895)</f>
        <v>4</v>
      </c>
      <c r="AN895" s="37">
        <f>IF(最佳化斷筋點!O895="","",最佳化斷筋點!O895)</f>
        <v>4</v>
      </c>
      <c r="AO895" s="37">
        <f>IF(最佳化斷筋點!P895="","",最佳化斷筋點!P895)</f>
        <v>4</v>
      </c>
      <c r="AP895" s="37">
        <f>IF(最佳化斷筋點!Q895="","",最佳化斷筋點!Q895)</f>
        <v>8</v>
      </c>
      <c r="AQ895" s="37">
        <f>IF(最佳化斷筋點!R895="","",最佳化斷筋點!R895)</f>
        <v>9</v>
      </c>
      <c r="AR895" s="37">
        <f>IF(最佳化斷筋點!S895="","",最佳化斷筋點!S895)</f>
        <v>10</v>
      </c>
      <c r="AS895" s="37">
        <f>IF(最佳化斷筋點!T895="","",最佳化斷筋點!T895)</f>
        <v>10</v>
      </c>
      <c r="AT895" s="37">
        <f>IF(最佳化斷筋點!U895="","",最佳化斷筋點!U895)</f>
        <v>10</v>
      </c>
      <c r="AU895" s="37">
        <f>IF(最佳化斷筋點!V895="","",最佳化斷筋點!V895)</f>
        <v>10</v>
      </c>
      <c r="AV895" s="37">
        <f>IF(最佳化斷筋點!W895="","",最佳化斷筋點!W895)</f>
        <v>10</v>
      </c>
      <c r="AW895" s="37">
        <f>IF(最佳化斷筋點!X895="","",最佳化斷筋點!X895)</f>
        <v>10</v>
      </c>
      <c r="AZ895" s="37">
        <v>12</v>
      </c>
      <c r="BA895" s="37">
        <v>12</v>
      </c>
      <c r="BB895" s="37">
        <v>12</v>
      </c>
      <c r="BC895" s="37">
        <v>12</v>
      </c>
      <c r="BD895" s="37">
        <v>12</v>
      </c>
      <c r="BE895" s="37">
        <v>12</v>
      </c>
      <c r="BF895" s="37">
        <v>11</v>
      </c>
      <c r="BG895" s="37">
        <v>4</v>
      </c>
      <c r="BH895" s="37">
        <v>4</v>
      </c>
      <c r="BI895" s="37">
        <v>4</v>
      </c>
      <c r="BJ895" s="37">
        <v>4</v>
      </c>
      <c r="BK895" s="37">
        <v>4</v>
      </c>
      <c r="BL895" s="37">
        <v>4</v>
      </c>
      <c r="BM895" s="37">
        <v>8</v>
      </c>
      <c r="BN895" s="37">
        <v>9</v>
      </c>
      <c r="BO895" s="37">
        <v>10</v>
      </c>
      <c r="BP895" s="37">
        <v>10</v>
      </c>
      <c r="BQ895" s="37">
        <v>10</v>
      </c>
      <c r="BR895" s="37">
        <v>10</v>
      </c>
      <c r="BS895" s="37">
        <v>10</v>
      </c>
      <c r="BT895" s="37">
        <v>10</v>
      </c>
    </row>
    <row r="896" spans="5:72" x14ac:dyDescent="0.25">
      <c r="E896" s="36"/>
      <c r="F896" s="36">
        <f t="shared" si="295"/>
        <v>0</v>
      </c>
      <c r="G896" s="36">
        <f t="shared" si="296"/>
        <v>0</v>
      </c>
      <c r="H896" s="36">
        <f t="shared" si="297"/>
        <v>0</v>
      </c>
      <c r="I896" s="36">
        <f t="shared" si="298"/>
        <v>0</v>
      </c>
      <c r="J896" s="36">
        <f t="shared" si="299"/>
        <v>0</v>
      </c>
      <c r="K896" s="36">
        <f t="shared" si="300"/>
        <v>0</v>
      </c>
      <c r="L896" s="36">
        <f t="shared" si="301"/>
        <v>0</v>
      </c>
      <c r="M896" s="36">
        <f t="shared" si="302"/>
        <v>0</v>
      </c>
      <c r="N896" s="36">
        <f t="shared" si="303"/>
        <v>0</v>
      </c>
      <c r="O896" s="36">
        <f t="shared" si="304"/>
        <v>0</v>
      </c>
      <c r="P896" s="36">
        <f t="shared" si="305"/>
        <v>0</v>
      </c>
      <c r="Q896" s="36">
        <f t="shared" si="306"/>
        <v>0</v>
      </c>
      <c r="R896" s="36">
        <f t="shared" si="307"/>
        <v>0</v>
      </c>
      <c r="S896" s="36">
        <f t="shared" si="308"/>
        <v>0</v>
      </c>
      <c r="T896" s="36">
        <f t="shared" si="309"/>
        <v>0</v>
      </c>
      <c r="U896" s="36">
        <f t="shared" si="310"/>
        <v>0</v>
      </c>
      <c r="V896" s="36">
        <f t="shared" si="311"/>
        <v>0</v>
      </c>
      <c r="W896" s="36">
        <f t="shared" si="312"/>
        <v>0</v>
      </c>
      <c r="X896" s="36">
        <f t="shared" si="313"/>
        <v>0</v>
      </c>
      <c r="Y896" s="36">
        <f t="shared" si="314"/>
        <v>0</v>
      </c>
      <c r="Z896" s="36">
        <f t="shared" si="315"/>
        <v>0</v>
      </c>
      <c r="AB896" s="36" t="str">
        <f>IF(最佳化斷筋點!C896="","",最佳化斷筋點!C896)</f>
        <v/>
      </c>
      <c r="AC896" s="37" t="str">
        <f>IF(最佳化斷筋點!D896="","",最佳化斷筋點!D896)</f>
        <v/>
      </c>
      <c r="AD896" s="37" t="str">
        <f>IF(最佳化斷筋點!E896="","",最佳化斷筋點!E896)</f>
        <v/>
      </c>
      <c r="AE896" s="37" t="str">
        <f>IF(最佳化斷筋點!F896="","",最佳化斷筋點!F896)</f>
        <v/>
      </c>
      <c r="AF896" s="37" t="str">
        <f>IF(最佳化斷筋點!G896="","",最佳化斷筋點!G896)</f>
        <v/>
      </c>
      <c r="AG896" s="37" t="str">
        <f>IF(最佳化斷筋點!H896="","",最佳化斷筋點!H896)</f>
        <v/>
      </c>
      <c r="AH896" s="37" t="str">
        <f>IF(最佳化斷筋點!I896="","",最佳化斷筋點!I896)</f>
        <v/>
      </c>
      <c r="AI896" s="37" t="str">
        <f>IF(最佳化斷筋點!J896="","",最佳化斷筋點!J896)</f>
        <v/>
      </c>
      <c r="AJ896" s="37" t="str">
        <f>IF(最佳化斷筋點!K896="","",最佳化斷筋點!K896)</f>
        <v/>
      </c>
      <c r="AK896" s="37" t="str">
        <f>IF(最佳化斷筋點!L896="","",最佳化斷筋點!L896)</f>
        <v/>
      </c>
      <c r="AL896" s="37" t="str">
        <f>IF(最佳化斷筋點!M896="","",最佳化斷筋點!M896)</f>
        <v/>
      </c>
      <c r="AM896" s="37" t="str">
        <f>IF(最佳化斷筋點!N896="","",最佳化斷筋點!N896)</f>
        <v/>
      </c>
      <c r="AN896" s="37" t="str">
        <f>IF(最佳化斷筋點!O896="","",最佳化斷筋點!O896)</f>
        <v/>
      </c>
      <c r="AO896" s="37" t="str">
        <f>IF(最佳化斷筋點!P896="","",最佳化斷筋點!P896)</f>
        <v/>
      </c>
      <c r="AP896" s="37" t="str">
        <f>IF(最佳化斷筋點!Q896="","",最佳化斷筋點!Q896)</f>
        <v/>
      </c>
      <c r="AQ896" s="37" t="str">
        <f>IF(最佳化斷筋點!R896="","",最佳化斷筋點!R896)</f>
        <v/>
      </c>
      <c r="AR896" s="37" t="str">
        <f>IF(最佳化斷筋點!S896="","",最佳化斷筋點!S896)</f>
        <v/>
      </c>
      <c r="AS896" s="37" t="str">
        <f>IF(最佳化斷筋點!T896="","",最佳化斷筋點!T896)</f>
        <v/>
      </c>
      <c r="AT896" s="37" t="str">
        <f>IF(最佳化斷筋點!U896="","",最佳化斷筋點!U896)</f>
        <v/>
      </c>
      <c r="AU896" s="37" t="str">
        <f>IF(最佳化斷筋點!V896="","",最佳化斷筋點!V896)</f>
        <v/>
      </c>
      <c r="AV896" s="37" t="str">
        <f>IF(最佳化斷筋點!W896="","",最佳化斷筋點!W896)</f>
        <v/>
      </c>
      <c r="AW896" s="37" t="str">
        <f>IF(最佳化斷筋點!X896="","",最佳化斷筋點!X896)</f>
        <v/>
      </c>
      <c r="AZ896" s="37" t="s">
        <v>197</v>
      </c>
      <c r="BA896" s="37" t="s">
        <v>197</v>
      </c>
      <c r="BB896" s="37" t="s">
        <v>197</v>
      </c>
      <c r="BC896" s="37" t="s">
        <v>197</v>
      </c>
      <c r="BD896" s="37" t="s">
        <v>197</v>
      </c>
      <c r="BE896" s="37" t="s">
        <v>197</v>
      </c>
      <c r="BF896" s="37" t="s">
        <v>197</v>
      </c>
      <c r="BG896" s="37" t="s">
        <v>197</v>
      </c>
      <c r="BH896" s="37" t="s">
        <v>197</v>
      </c>
      <c r="BI896" s="37" t="s">
        <v>197</v>
      </c>
      <c r="BJ896" s="37" t="s">
        <v>197</v>
      </c>
      <c r="BK896" s="37" t="s">
        <v>197</v>
      </c>
      <c r="BL896" s="37" t="s">
        <v>197</v>
      </c>
      <c r="BM896" s="37" t="s">
        <v>197</v>
      </c>
      <c r="BN896" s="37" t="s">
        <v>197</v>
      </c>
      <c r="BO896" s="37" t="s">
        <v>197</v>
      </c>
      <c r="BP896" s="37" t="s">
        <v>197</v>
      </c>
      <c r="BQ896" s="37" t="s">
        <v>197</v>
      </c>
      <c r="BR896" s="37" t="s">
        <v>197</v>
      </c>
      <c r="BS896" s="37" t="s">
        <v>197</v>
      </c>
      <c r="BT896" s="37" t="s">
        <v>197</v>
      </c>
    </row>
    <row r="897" spans="5:72" x14ac:dyDescent="0.25">
      <c r="E897" s="36" t="s">
        <v>21</v>
      </c>
      <c r="F897" s="36">
        <f t="shared" si="295"/>
        <v>0</v>
      </c>
      <c r="G897" s="36">
        <f t="shared" si="296"/>
        <v>0</v>
      </c>
      <c r="H897" s="36">
        <f t="shared" si="297"/>
        <v>0</v>
      </c>
      <c r="I897" s="36">
        <f t="shared" si="298"/>
        <v>0</v>
      </c>
      <c r="J897" s="36">
        <f t="shared" si="299"/>
        <v>0</v>
      </c>
      <c r="K897" s="36">
        <f t="shared" si="300"/>
        <v>0</v>
      </c>
      <c r="L897" s="36">
        <f t="shared" si="301"/>
        <v>0</v>
      </c>
      <c r="M897" s="36">
        <f t="shared" si="302"/>
        <v>0</v>
      </c>
      <c r="N897" s="36">
        <f t="shared" si="303"/>
        <v>0</v>
      </c>
      <c r="O897" s="36">
        <f t="shared" si="304"/>
        <v>0</v>
      </c>
      <c r="P897" s="36">
        <f t="shared" si="305"/>
        <v>0</v>
      </c>
      <c r="Q897" s="36">
        <f t="shared" si="306"/>
        <v>0</v>
      </c>
      <c r="R897" s="36">
        <f t="shared" si="307"/>
        <v>0</v>
      </c>
      <c r="S897" s="36">
        <f t="shared" si="308"/>
        <v>0</v>
      </c>
      <c r="T897" s="36">
        <f t="shared" si="309"/>
        <v>0</v>
      </c>
      <c r="U897" s="36">
        <f t="shared" si="310"/>
        <v>0</v>
      </c>
      <c r="V897" s="36">
        <f t="shared" si="311"/>
        <v>0</v>
      </c>
      <c r="W897" s="36">
        <f t="shared" si="312"/>
        <v>0</v>
      </c>
      <c r="X897" s="36">
        <f t="shared" si="313"/>
        <v>0</v>
      </c>
      <c r="Y897" s="36">
        <f t="shared" si="314"/>
        <v>0</v>
      </c>
      <c r="Z897" s="36">
        <f t="shared" si="315"/>
        <v>0</v>
      </c>
      <c r="AB897" s="36" t="str">
        <f>IF(最佳化斷筋點!C897="","",最佳化斷筋點!C897)</f>
        <v>下層</v>
      </c>
      <c r="AC897" s="37">
        <f>IF(最佳化斷筋點!D897="","",最佳化斷筋點!D897)</f>
        <v>15</v>
      </c>
      <c r="AD897" s="37">
        <f>IF(最佳化斷筋點!E897="","",最佳化斷筋點!E897)</f>
        <v>15</v>
      </c>
      <c r="AE897" s="37">
        <f>IF(最佳化斷筋點!F897="","",最佳化斷筋點!F897)</f>
        <v>15</v>
      </c>
      <c r="AF897" s="37">
        <f>IF(最佳化斷筋點!G897="","",最佳化斷筋點!G897)</f>
        <v>15</v>
      </c>
      <c r="AG897" s="37">
        <f>IF(最佳化斷筋點!H897="","",最佳化斷筋點!H897)</f>
        <v>14</v>
      </c>
      <c r="AH897" s="37">
        <f>IF(最佳化斷筋點!I897="","",最佳化斷筋點!I897)</f>
        <v>13</v>
      </c>
      <c r="AI897" s="37">
        <f>IF(最佳化斷筋點!J897="","",最佳化斷筋點!J897)</f>
        <v>11</v>
      </c>
      <c r="AJ897" s="37">
        <f>IF(最佳化斷筋點!K897="","",最佳化斷筋點!K897)</f>
        <v>5</v>
      </c>
      <c r="AK897" s="37">
        <f>IF(最佳化斷筋點!L897="","",最佳化斷筋點!L897)</f>
        <v>5</v>
      </c>
      <c r="AL897" s="37">
        <f>IF(最佳化斷筋點!M897="","",最佳化斷筋點!M897)</f>
        <v>5</v>
      </c>
      <c r="AM897" s="37">
        <f>IF(最佳化斷筋點!N897="","",最佳化斷筋點!N897)</f>
        <v>5</v>
      </c>
      <c r="AN897" s="37">
        <f>IF(最佳化斷筋點!O897="","",最佳化斷筋點!O897)</f>
        <v>5</v>
      </c>
      <c r="AO897" s="37">
        <f>IF(最佳化斷筋點!P897="","",最佳化斷筋點!P897)</f>
        <v>5</v>
      </c>
      <c r="AP897" s="37">
        <f>IF(最佳化斷筋點!Q897="","",最佳化斷筋點!Q897)</f>
        <v>9</v>
      </c>
      <c r="AQ897" s="37">
        <f>IF(最佳化斷筋點!R897="","",最佳化斷筋點!R897)</f>
        <v>11</v>
      </c>
      <c r="AR897" s="37">
        <f>IF(最佳化斷筋點!S897="","",最佳化斷筋點!S897)</f>
        <v>12</v>
      </c>
      <c r="AS897" s="37">
        <f>IF(最佳化斷筋點!T897="","",最佳化斷筋點!T897)</f>
        <v>14</v>
      </c>
      <c r="AT897" s="37">
        <f>IF(最佳化斷筋點!U897="","",最佳化斷筋點!U897)</f>
        <v>15</v>
      </c>
      <c r="AU897" s="37">
        <f>IF(最佳化斷筋點!V897="","",最佳化斷筋點!V897)</f>
        <v>15</v>
      </c>
      <c r="AV897" s="37">
        <f>IF(最佳化斷筋點!W897="","",最佳化斷筋點!W897)</f>
        <v>15</v>
      </c>
      <c r="AW897" s="37">
        <f>IF(最佳化斷筋點!X897="","",最佳化斷筋點!X897)</f>
        <v>15</v>
      </c>
      <c r="AZ897" s="37">
        <v>15</v>
      </c>
      <c r="BA897" s="37">
        <v>15</v>
      </c>
      <c r="BB897" s="37">
        <v>15</v>
      </c>
      <c r="BC897" s="37">
        <v>15</v>
      </c>
      <c r="BD897" s="37">
        <v>14</v>
      </c>
      <c r="BE897" s="37">
        <v>13</v>
      </c>
      <c r="BF897" s="37">
        <v>11</v>
      </c>
      <c r="BG897" s="37">
        <v>5</v>
      </c>
      <c r="BH897" s="37">
        <v>5</v>
      </c>
      <c r="BI897" s="37">
        <v>5</v>
      </c>
      <c r="BJ897" s="37">
        <v>5</v>
      </c>
      <c r="BK897" s="37">
        <v>5</v>
      </c>
      <c r="BL897" s="37">
        <v>5</v>
      </c>
      <c r="BM897" s="37">
        <v>9</v>
      </c>
      <c r="BN897" s="37">
        <v>11</v>
      </c>
      <c r="BO897" s="37">
        <v>12</v>
      </c>
      <c r="BP897" s="37">
        <v>14</v>
      </c>
      <c r="BQ897" s="37">
        <v>15</v>
      </c>
      <c r="BR897" s="37">
        <v>15</v>
      </c>
      <c r="BS897" s="37">
        <v>15</v>
      </c>
      <c r="BT897" s="37">
        <v>15</v>
      </c>
    </row>
    <row r="898" spans="5:72" x14ac:dyDescent="0.25">
      <c r="E898" s="36"/>
      <c r="F898" s="36">
        <f t="shared" si="295"/>
        <v>0</v>
      </c>
      <c r="G898" s="36">
        <f t="shared" si="296"/>
        <v>0</v>
      </c>
      <c r="H898" s="36">
        <f t="shared" si="297"/>
        <v>0</v>
      </c>
      <c r="I898" s="36">
        <f t="shared" si="298"/>
        <v>0</v>
      </c>
      <c r="J898" s="36">
        <f t="shared" si="299"/>
        <v>0</v>
      </c>
      <c r="K898" s="36">
        <f t="shared" si="300"/>
        <v>0</v>
      </c>
      <c r="L898" s="36">
        <f t="shared" si="301"/>
        <v>0</v>
      </c>
      <c r="M898" s="36">
        <f t="shared" si="302"/>
        <v>0</v>
      </c>
      <c r="N898" s="36">
        <f t="shared" si="303"/>
        <v>0</v>
      </c>
      <c r="O898" s="36">
        <f t="shared" si="304"/>
        <v>0</v>
      </c>
      <c r="P898" s="36">
        <f t="shared" si="305"/>
        <v>0</v>
      </c>
      <c r="Q898" s="36">
        <f t="shared" si="306"/>
        <v>0</v>
      </c>
      <c r="R898" s="36">
        <f t="shared" si="307"/>
        <v>0</v>
      </c>
      <c r="S898" s="36">
        <f t="shared" si="308"/>
        <v>0</v>
      </c>
      <c r="T898" s="36">
        <f t="shared" si="309"/>
        <v>0</v>
      </c>
      <c r="U898" s="36">
        <f t="shared" si="310"/>
        <v>0</v>
      </c>
      <c r="V898" s="36">
        <f t="shared" si="311"/>
        <v>0</v>
      </c>
      <c r="W898" s="36">
        <f t="shared" si="312"/>
        <v>0</v>
      </c>
      <c r="X898" s="36">
        <f t="shared" si="313"/>
        <v>0</v>
      </c>
      <c r="Y898" s="36">
        <f t="shared" si="314"/>
        <v>0</v>
      </c>
      <c r="Z898" s="36">
        <f t="shared" si="315"/>
        <v>0</v>
      </c>
      <c r="AB898" s="36" t="str">
        <f>IF(最佳化斷筋點!C898="","",最佳化斷筋點!C898)</f>
        <v/>
      </c>
      <c r="AC898" s="37" t="str">
        <f>IF(最佳化斷筋點!D898="","",最佳化斷筋點!D898)</f>
        <v/>
      </c>
      <c r="AD898" s="37" t="str">
        <f>IF(最佳化斷筋點!E898="","",最佳化斷筋點!E898)</f>
        <v/>
      </c>
      <c r="AE898" s="37" t="str">
        <f>IF(最佳化斷筋點!F898="","",最佳化斷筋點!F898)</f>
        <v/>
      </c>
      <c r="AF898" s="37" t="str">
        <f>IF(最佳化斷筋點!G898="","",最佳化斷筋點!G898)</f>
        <v/>
      </c>
      <c r="AG898" s="37" t="str">
        <f>IF(最佳化斷筋點!H898="","",最佳化斷筋點!H898)</f>
        <v/>
      </c>
      <c r="AH898" s="37" t="str">
        <f>IF(最佳化斷筋點!I898="","",最佳化斷筋點!I898)</f>
        <v/>
      </c>
      <c r="AI898" s="37" t="str">
        <f>IF(最佳化斷筋點!J898="","",最佳化斷筋點!J898)</f>
        <v/>
      </c>
      <c r="AJ898" s="37" t="str">
        <f>IF(最佳化斷筋點!K898="","",最佳化斷筋點!K898)</f>
        <v/>
      </c>
      <c r="AK898" s="37" t="str">
        <f>IF(最佳化斷筋點!L898="","",最佳化斷筋點!L898)</f>
        <v/>
      </c>
      <c r="AL898" s="37" t="str">
        <f>IF(最佳化斷筋點!M898="","",最佳化斷筋點!M898)</f>
        <v/>
      </c>
      <c r="AM898" s="37" t="str">
        <f>IF(最佳化斷筋點!N898="","",最佳化斷筋點!N898)</f>
        <v/>
      </c>
      <c r="AN898" s="37" t="str">
        <f>IF(最佳化斷筋點!O898="","",最佳化斷筋點!O898)</f>
        <v/>
      </c>
      <c r="AO898" s="37" t="str">
        <f>IF(最佳化斷筋點!P898="","",最佳化斷筋點!P898)</f>
        <v/>
      </c>
      <c r="AP898" s="37" t="str">
        <f>IF(最佳化斷筋點!Q898="","",最佳化斷筋點!Q898)</f>
        <v/>
      </c>
      <c r="AQ898" s="37" t="str">
        <f>IF(最佳化斷筋點!R898="","",最佳化斷筋點!R898)</f>
        <v/>
      </c>
      <c r="AR898" s="37" t="str">
        <f>IF(最佳化斷筋點!S898="","",最佳化斷筋點!S898)</f>
        <v/>
      </c>
      <c r="AS898" s="37" t="str">
        <f>IF(最佳化斷筋點!T898="","",最佳化斷筋點!T898)</f>
        <v/>
      </c>
      <c r="AT898" s="37" t="str">
        <f>IF(最佳化斷筋點!U898="","",最佳化斷筋點!U898)</f>
        <v/>
      </c>
      <c r="AU898" s="37" t="str">
        <f>IF(最佳化斷筋點!V898="","",最佳化斷筋點!V898)</f>
        <v/>
      </c>
      <c r="AV898" s="37" t="str">
        <f>IF(最佳化斷筋點!W898="","",最佳化斷筋點!W898)</f>
        <v/>
      </c>
      <c r="AW898" s="37" t="str">
        <f>IF(最佳化斷筋點!X898="","",最佳化斷筋點!X898)</f>
        <v/>
      </c>
      <c r="AZ898" s="37" t="s">
        <v>197</v>
      </c>
      <c r="BA898" s="37" t="s">
        <v>197</v>
      </c>
      <c r="BB898" s="37" t="s">
        <v>197</v>
      </c>
      <c r="BC898" s="37" t="s">
        <v>197</v>
      </c>
      <c r="BD898" s="37" t="s">
        <v>197</v>
      </c>
      <c r="BE898" s="37" t="s">
        <v>197</v>
      </c>
      <c r="BF898" s="37" t="s">
        <v>197</v>
      </c>
      <c r="BG898" s="37" t="s">
        <v>197</v>
      </c>
      <c r="BH898" s="37" t="s">
        <v>197</v>
      </c>
      <c r="BI898" s="37" t="s">
        <v>197</v>
      </c>
      <c r="BJ898" s="37" t="s">
        <v>197</v>
      </c>
      <c r="BK898" s="37" t="s">
        <v>197</v>
      </c>
      <c r="BL898" s="37" t="s">
        <v>197</v>
      </c>
      <c r="BM898" s="37" t="s">
        <v>197</v>
      </c>
      <c r="BN898" s="37" t="s">
        <v>197</v>
      </c>
      <c r="BO898" s="37" t="s">
        <v>197</v>
      </c>
      <c r="BP898" s="37" t="s">
        <v>197</v>
      </c>
      <c r="BQ898" s="37" t="s">
        <v>197</v>
      </c>
      <c r="BR898" s="37" t="s">
        <v>197</v>
      </c>
      <c r="BS898" s="37" t="s">
        <v>197</v>
      </c>
      <c r="BT898" s="37" t="s">
        <v>197</v>
      </c>
    </row>
    <row r="899" spans="5:72" x14ac:dyDescent="0.25">
      <c r="E899" s="36" t="s">
        <v>20</v>
      </c>
      <c r="F899" s="36">
        <f t="shared" si="295"/>
        <v>0</v>
      </c>
      <c r="G899" s="36">
        <f t="shared" si="296"/>
        <v>0</v>
      </c>
      <c r="H899" s="36">
        <f t="shared" si="297"/>
        <v>0</v>
      </c>
      <c r="I899" s="36">
        <f t="shared" si="298"/>
        <v>0</v>
      </c>
      <c r="J899" s="36">
        <f t="shared" si="299"/>
        <v>0</v>
      </c>
      <c r="K899" s="36">
        <f t="shared" si="300"/>
        <v>0</v>
      </c>
      <c r="L899" s="36">
        <f t="shared" si="301"/>
        <v>0</v>
      </c>
      <c r="M899" s="36">
        <f t="shared" si="302"/>
        <v>0</v>
      </c>
      <c r="N899" s="36">
        <f t="shared" si="303"/>
        <v>0</v>
      </c>
      <c r="O899" s="36">
        <f t="shared" si="304"/>
        <v>0</v>
      </c>
      <c r="P899" s="36">
        <f t="shared" si="305"/>
        <v>0</v>
      </c>
      <c r="Q899" s="36">
        <f t="shared" si="306"/>
        <v>0</v>
      </c>
      <c r="R899" s="36">
        <f t="shared" si="307"/>
        <v>0</v>
      </c>
      <c r="S899" s="36">
        <f t="shared" si="308"/>
        <v>0</v>
      </c>
      <c r="T899" s="36">
        <f t="shared" si="309"/>
        <v>0</v>
      </c>
      <c r="U899" s="36">
        <f t="shared" si="310"/>
        <v>0</v>
      </c>
      <c r="V899" s="36">
        <f t="shared" si="311"/>
        <v>0</v>
      </c>
      <c r="W899" s="36">
        <f t="shared" si="312"/>
        <v>0</v>
      </c>
      <c r="X899" s="36">
        <f t="shared" si="313"/>
        <v>0</v>
      </c>
      <c r="Y899" s="36">
        <f t="shared" si="314"/>
        <v>0</v>
      </c>
      <c r="Z899" s="36">
        <f t="shared" si="315"/>
        <v>0</v>
      </c>
      <c r="AB899" s="36" t="str">
        <f>IF(最佳化斷筋點!C899="","",最佳化斷筋點!C899)</f>
        <v>上層</v>
      </c>
      <c r="AC899" s="37">
        <f>IF(最佳化斷筋點!D899="","",最佳化斷筋點!D899)</f>
        <v>9</v>
      </c>
      <c r="AD899" s="37">
        <f>IF(最佳化斷筋點!E899="","",最佳化斷筋點!E899)</f>
        <v>9</v>
      </c>
      <c r="AE899" s="37">
        <f>IF(最佳化斷筋點!F899="","",最佳化斷筋點!F899)</f>
        <v>9</v>
      </c>
      <c r="AF899" s="37">
        <f>IF(最佳化斷筋點!G899="","",最佳化斷筋點!G899)</f>
        <v>9</v>
      </c>
      <c r="AG899" s="37">
        <f>IF(最佳化斷筋點!H899="","",最佳化斷筋點!H899)</f>
        <v>9</v>
      </c>
      <c r="AH899" s="37">
        <f>IF(最佳化斷筋點!I899="","",最佳化斷筋點!I899)</f>
        <v>9</v>
      </c>
      <c r="AI899" s="37">
        <f>IF(最佳化斷筋點!J899="","",最佳化斷筋點!J899)</f>
        <v>9</v>
      </c>
      <c r="AJ899" s="37">
        <f>IF(最佳化斷筋點!K899="","",最佳化斷筋點!K899)</f>
        <v>3</v>
      </c>
      <c r="AK899" s="37">
        <f>IF(最佳化斷筋點!L899="","",最佳化斷筋點!L899)</f>
        <v>3</v>
      </c>
      <c r="AL899" s="37">
        <f>IF(最佳化斷筋點!M899="","",最佳化斷筋點!M899)</f>
        <v>3</v>
      </c>
      <c r="AM899" s="37">
        <f>IF(最佳化斷筋點!N899="","",最佳化斷筋點!N899)</f>
        <v>3</v>
      </c>
      <c r="AN899" s="37">
        <f>IF(最佳化斷筋點!O899="","",最佳化斷筋點!O899)</f>
        <v>3</v>
      </c>
      <c r="AO899" s="37">
        <f>IF(最佳化斷筋點!P899="","",最佳化斷筋點!P899)</f>
        <v>3</v>
      </c>
      <c r="AP899" s="37">
        <f>IF(最佳化斷筋點!Q899="","",最佳化斷筋點!Q899)</f>
        <v>6</v>
      </c>
      <c r="AQ899" s="37">
        <f>IF(最佳化斷筋點!R899="","",最佳化斷筋點!R899)</f>
        <v>6</v>
      </c>
      <c r="AR899" s="37">
        <f>IF(最佳化斷筋點!S899="","",最佳化斷筋點!S899)</f>
        <v>7</v>
      </c>
      <c r="AS899" s="37">
        <f>IF(最佳化斷筋點!T899="","",最佳化斷筋點!T899)</f>
        <v>7</v>
      </c>
      <c r="AT899" s="37">
        <f>IF(最佳化斷筋點!U899="","",最佳化斷筋點!U899)</f>
        <v>7</v>
      </c>
      <c r="AU899" s="37">
        <f>IF(最佳化斷筋點!V899="","",最佳化斷筋點!V899)</f>
        <v>7</v>
      </c>
      <c r="AV899" s="37">
        <f>IF(最佳化斷筋點!W899="","",最佳化斷筋點!W899)</f>
        <v>7</v>
      </c>
      <c r="AW899" s="37">
        <f>IF(最佳化斷筋點!X899="","",最佳化斷筋點!X899)</f>
        <v>7</v>
      </c>
      <c r="AZ899" s="37">
        <v>9</v>
      </c>
      <c r="BA899" s="37">
        <v>9</v>
      </c>
      <c r="BB899" s="37">
        <v>9</v>
      </c>
      <c r="BC899" s="37">
        <v>9</v>
      </c>
      <c r="BD899" s="37">
        <v>9</v>
      </c>
      <c r="BE899" s="37">
        <v>9</v>
      </c>
      <c r="BF899" s="37">
        <v>9</v>
      </c>
      <c r="BG899" s="37">
        <v>3</v>
      </c>
      <c r="BH899" s="37">
        <v>3</v>
      </c>
      <c r="BI899" s="37">
        <v>3</v>
      </c>
      <c r="BJ899" s="37">
        <v>3</v>
      </c>
      <c r="BK899" s="37">
        <v>3</v>
      </c>
      <c r="BL899" s="37">
        <v>3</v>
      </c>
      <c r="BM899" s="37">
        <v>6</v>
      </c>
      <c r="BN899" s="37">
        <v>6</v>
      </c>
      <c r="BO899" s="37">
        <v>7</v>
      </c>
      <c r="BP899" s="37">
        <v>7</v>
      </c>
      <c r="BQ899" s="37">
        <v>7</v>
      </c>
      <c r="BR899" s="37">
        <v>7</v>
      </c>
      <c r="BS899" s="37">
        <v>7</v>
      </c>
      <c r="BT899" s="37">
        <v>7</v>
      </c>
    </row>
    <row r="900" spans="5:72" x14ac:dyDescent="0.25">
      <c r="E900" s="36"/>
      <c r="F900" s="36">
        <f t="shared" si="295"/>
        <v>0</v>
      </c>
      <c r="G900" s="36">
        <f t="shared" si="296"/>
        <v>0</v>
      </c>
      <c r="H900" s="36">
        <f t="shared" si="297"/>
        <v>0</v>
      </c>
      <c r="I900" s="36">
        <f t="shared" si="298"/>
        <v>0</v>
      </c>
      <c r="J900" s="36">
        <f t="shared" si="299"/>
        <v>0</v>
      </c>
      <c r="K900" s="36">
        <f t="shared" si="300"/>
        <v>0</v>
      </c>
      <c r="L900" s="36">
        <f t="shared" si="301"/>
        <v>0</v>
      </c>
      <c r="M900" s="36">
        <f t="shared" si="302"/>
        <v>0</v>
      </c>
      <c r="N900" s="36">
        <f t="shared" si="303"/>
        <v>0</v>
      </c>
      <c r="O900" s="36">
        <f t="shared" si="304"/>
        <v>0</v>
      </c>
      <c r="P900" s="36">
        <f t="shared" si="305"/>
        <v>0</v>
      </c>
      <c r="Q900" s="36">
        <f t="shared" si="306"/>
        <v>0</v>
      </c>
      <c r="R900" s="36">
        <f t="shared" si="307"/>
        <v>0</v>
      </c>
      <c r="S900" s="36">
        <f t="shared" si="308"/>
        <v>0</v>
      </c>
      <c r="T900" s="36">
        <f t="shared" si="309"/>
        <v>0</v>
      </c>
      <c r="U900" s="36">
        <f t="shared" si="310"/>
        <v>0</v>
      </c>
      <c r="V900" s="36">
        <f t="shared" si="311"/>
        <v>0</v>
      </c>
      <c r="W900" s="36">
        <f t="shared" si="312"/>
        <v>0</v>
      </c>
      <c r="X900" s="36">
        <f t="shared" si="313"/>
        <v>0</v>
      </c>
      <c r="Y900" s="36">
        <f t="shared" si="314"/>
        <v>0</v>
      </c>
      <c r="Z900" s="36">
        <f t="shared" si="315"/>
        <v>0</v>
      </c>
      <c r="AB900" s="36" t="str">
        <f>IF(最佳化斷筋點!C900="","",最佳化斷筋點!C900)</f>
        <v/>
      </c>
      <c r="AC900" s="37" t="str">
        <f>IF(最佳化斷筋點!D900="","",最佳化斷筋點!D900)</f>
        <v/>
      </c>
      <c r="AD900" s="37" t="str">
        <f>IF(最佳化斷筋點!E900="","",最佳化斷筋點!E900)</f>
        <v/>
      </c>
      <c r="AE900" s="37" t="str">
        <f>IF(最佳化斷筋點!F900="","",最佳化斷筋點!F900)</f>
        <v/>
      </c>
      <c r="AF900" s="37" t="str">
        <f>IF(最佳化斷筋點!G900="","",最佳化斷筋點!G900)</f>
        <v/>
      </c>
      <c r="AG900" s="37" t="str">
        <f>IF(最佳化斷筋點!H900="","",最佳化斷筋點!H900)</f>
        <v/>
      </c>
      <c r="AH900" s="37" t="str">
        <f>IF(最佳化斷筋點!I900="","",最佳化斷筋點!I900)</f>
        <v/>
      </c>
      <c r="AI900" s="37" t="str">
        <f>IF(最佳化斷筋點!J900="","",最佳化斷筋點!J900)</f>
        <v/>
      </c>
      <c r="AJ900" s="37" t="str">
        <f>IF(最佳化斷筋點!K900="","",最佳化斷筋點!K900)</f>
        <v/>
      </c>
      <c r="AK900" s="37" t="str">
        <f>IF(最佳化斷筋點!L900="","",最佳化斷筋點!L900)</f>
        <v/>
      </c>
      <c r="AL900" s="37" t="str">
        <f>IF(最佳化斷筋點!M900="","",最佳化斷筋點!M900)</f>
        <v/>
      </c>
      <c r="AM900" s="37" t="str">
        <f>IF(最佳化斷筋點!N900="","",最佳化斷筋點!N900)</f>
        <v/>
      </c>
      <c r="AN900" s="37" t="str">
        <f>IF(最佳化斷筋點!O900="","",最佳化斷筋點!O900)</f>
        <v/>
      </c>
      <c r="AO900" s="37" t="str">
        <f>IF(最佳化斷筋點!P900="","",最佳化斷筋點!P900)</f>
        <v/>
      </c>
      <c r="AP900" s="37" t="str">
        <f>IF(最佳化斷筋點!Q900="","",最佳化斷筋點!Q900)</f>
        <v/>
      </c>
      <c r="AQ900" s="37" t="str">
        <f>IF(最佳化斷筋點!R900="","",最佳化斷筋點!R900)</f>
        <v/>
      </c>
      <c r="AR900" s="37" t="str">
        <f>IF(最佳化斷筋點!S900="","",最佳化斷筋點!S900)</f>
        <v/>
      </c>
      <c r="AS900" s="37" t="str">
        <f>IF(最佳化斷筋點!T900="","",最佳化斷筋點!T900)</f>
        <v/>
      </c>
      <c r="AT900" s="37" t="str">
        <f>IF(最佳化斷筋點!U900="","",最佳化斷筋點!U900)</f>
        <v/>
      </c>
      <c r="AU900" s="37" t="str">
        <f>IF(最佳化斷筋點!V900="","",最佳化斷筋點!V900)</f>
        <v/>
      </c>
      <c r="AV900" s="37" t="str">
        <f>IF(最佳化斷筋點!W900="","",最佳化斷筋點!W900)</f>
        <v/>
      </c>
      <c r="AW900" s="37" t="str">
        <f>IF(最佳化斷筋點!X900="","",最佳化斷筋點!X900)</f>
        <v/>
      </c>
      <c r="AZ900" s="37" t="s">
        <v>197</v>
      </c>
      <c r="BA900" s="37" t="s">
        <v>197</v>
      </c>
      <c r="BB900" s="37" t="s">
        <v>197</v>
      </c>
      <c r="BC900" s="37" t="s">
        <v>197</v>
      </c>
      <c r="BD900" s="37" t="s">
        <v>197</v>
      </c>
      <c r="BE900" s="37" t="s">
        <v>197</v>
      </c>
      <c r="BF900" s="37" t="s">
        <v>197</v>
      </c>
      <c r="BG900" s="37" t="s">
        <v>197</v>
      </c>
      <c r="BH900" s="37" t="s">
        <v>197</v>
      </c>
      <c r="BI900" s="37" t="s">
        <v>197</v>
      </c>
      <c r="BJ900" s="37" t="s">
        <v>197</v>
      </c>
      <c r="BK900" s="37" t="s">
        <v>197</v>
      </c>
      <c r="BL900" s="37" t="s">
        <v>197</v>
      </c>
      <c r="BM900" s="37" t="s">
        <v>197</v>
      </c>
      <c r="BN900" s="37" t="s">
        <v>197</v>
      </c>
      <c r="BO900" s="37" t="s">
        <v>197</v>
      </c>
      <c r="BP900" s="37" t="s">
        <v>197</v>
      </c>
      <c r="BQ900" s="37" t="s">
        <v>197</v>
      </c>
      <c r="BR900" s="37" t="s">
        <v>197</v>
      </c>
      <c r="BS900" s="37" t="s">
        <v>197</v>
      </c>
      <c r="BT900" s="37" t="s">
        <v>197</v>
      </c>
    </row>
    <row r="901" spans="5:72" x14ac:dyDescent="0.25">
      <c r="E901" s="36" t="s">
        <v>21</v>
      </c>
      <c r="F901" s="36">
        <f t="shared" si="295"/>
        <v>0</v>
      </c>
      <c r="G901" s="36">
        <f t="shared" si="296"/>
        <v>0</v>
      </c>
      <c r="H901" s="36">
        <f t="shared" si="297"/>
        <v>0</v>
      </c>
      <c r="I901" s="36">
        <f t="shared" si="298"/>
        <v>0</v>
      </c>
      <c r="J901" s="36">
        <f t="shared" si="299"/>
        <v>0</v>
      </c>
      <c r="K901" s="36">
        <f t="shared" si="300"/>
        <v>0</v>
      </c>
      <c r="L901" s="36">
        <f t="shared" si="301"/>
        <v>0</v>
      </c>
      <c r="M901" s="36">
        <f t="shared" si="302"/>
        <v>0</v>
      </c>
      <c r="N901" s="36">
        <f t="shared" si="303"/>
        <v>0</v>
      </c>
      <c r="O901" s="36">
        <f t="shared" si="304"/>
        <v>0</v>
      </c>
      <c r="P901" s="36">
        <f t="shared" si="305"/>
        <v>0</v>
      </c>
      <c r="Q901" s="36">
        <f t="shared" si="306"/>
        <v>0</v>
      </c>
      <c r="R901" s="36">
        <f t="shared" si="307"/>
        <v>0</v>
      </c>
      <c r="S901" s="36">
        <f t="shared" si="308"/>
        <v>0</v>
      </c>
      <c r="T901" s="36">
        <f t="shared" si="309"/>
        <v>0</v>
      </c>
      <c r="U901" s="36">
        <f t="shared" si="310"/>
        <v>0</v>
      </c>
      <c r="V901" s="36">
        <f t="shared" si="311"/>
        <v>0</v>
      </c>
      <c r="W901" s="36">
        <f t="shared" si="312"/>
        <v>0</v>
      </c>
      <c r="X901" s="36">
        <f t="shared" si="313"/>
        <v>0</v>
      </c>
      <c r="Y901" s="36">
        <f t="shared" si="314"/>
        <v>0</v>
      </c>
      <c r="Z901" s="36">
        <f t="shared" si="315"/>
        <v>0</v>
      </c>
      <c r="AB901" s="36" t="str">
        <f>IF(最佳化斷筋點!C901="","",最佳化斷筋點!C901)</f>
        <v>下層</v>
      </c>
      <c r="AC901" s="37">
        <f>IF(最佳化斷筋點!D901="","",最佳化斷筋點!D901)</f>
        <v>10</v>
      </c>
      <c r="AD901" s="37">
        <f>IF(最佳化斷筋點!E901="","",最佳化斷筋點!E901)</f>
        <v>10</v>
      </c>
      <c r="AE901" s="37">
        <f>IF(最佳化斷筋點!F901="","",最佳化斷筋點!F901)</f>
        <v>10</v>
      </c>
      <c r="AF901" s="37">
        <f>IF(最佳化斷筋點!G901="","",最佳化斷筋點!G901)</f>
        <v>10</v>
      </c>
      <c r="AG901" s="37">
        <f>IF(最佳化斷筋點!H901="","",最佳化斷筋點!H901)</f>
        <v>10</v>
      </c>
      <c r="AH901" s="37">
        <f>IF(最佳化斷筋點!I901="","",最佳化斷筋點!I901)</f>
        <v>9</v>
      </c>
      <c r="AI901" s="37">
        <f>IF(最佳化斷筋點!J901="","",最佳化斷筋點!J901)</f>
        <v>8</v>
      </c>
      <c r="AJ901" s="37">
        <f>IF(最佳化斷筋點!K901="","",最佳化斷筋點!K901)</f>
        <v>4</v>
      </c>
      <c r="AK901" s="37">
        <f>IF(最佳化斷筋點!L901="","",最佳化斷筋點!L901)</f>
        <v>4</v>
      </c>
      <c r="AL901" s="37">
        <f>IF(最佳化斷筋點!M901="","",最佳化斷筋點!M901)</f>
        <v>4</v>
      </c>
      <c r="AM901" s="37">
        <f>IF(最佳化斷筋點!N901="","",最佳化斷筋點!N901)</f>
        <v>4</v>
      </c>
      <c r="AN901" s="37">
        <f>IF(最佳化斷筋點!O901="","",最佳化斷筋點!O901)</f>
        <v>4</v>
      </c>
      <c r="AO901" s="37">
        <f>IF(最佳化斷筋點!P901="","",最佳化斷筋點!P901)</f>
        <v>4</v>
      </c>
      <c r="AP901" s="37">
        <f>IF(最佳化斷筋點!Q901="","",最佳化斷筋點!Q901)</f>
        <v>7</v>
      </c>
      <c r="AQ901" s="37">
        <f>IF(最佳化斷筋點!R901="","",最佳化斷筋點!R901)</f>
        <v>8</v>
      </c>
      <c r="AR901" s="37">
        <f>IF(最佳化斷筋點!S901="","",最佳化斷筋點!S901)</f>
        <v>9</v>
      </c>
      <c r="AS901" s="37">
        <f>IF(最佳化斷筋點!T901="","",最佳化斷筋點!T901)</f>
        <v>10</v>
      </c>
      <c r="AT901" s="37">
        <f>IF(最佳化斷筋點!U901="","",最佳化斷筋點!U901)</f>
        <v>11</v>
      </c>
      <c r="AU901" s="37">
        <f>IF(最佳化斷筋點!V901="","",最佳化斷筋點!V901)</f>
        <v>11</v>
      </c>
      <c r="AV901" s="37">
        <f>IF(最佳化斷筋點!W901="","",最佳化斷筋點!W901)</f>
        <v>11</v>
      </c>
      <c r="AW901" s="37">
        <f>IF(最佳化斷筋點!X901="","",最佳化斷筋點!X901)</f>
        <v>11</v>
      </c>
      <c r="AZ901" s="37">
        <v>10</v>
      </c>
      <c r="BA901" s="37">
        <v>10</v>
      </c>
      <c r="BB901" s="37">
        <v>10</v>
      </c>
      <c r="BC901" s="37">
        <v>10</v>
      </c>
      <c r="BD901" s="37">
        <v>10</v>
      </c>
      <c r="BE901" s="37">
        <v>9</v>
      </c>
      <c r="BF901" s="37">
        <v>8</v>
      </c>
      <c r="BG901" s="37">
        <v>4</v>
      </c>
      <c r="BH901" s="37">
        <v>4</v>
      </c>
      <c r="BI901" s="37">
        <v>4</v>
      </c>
      <c r="BJ901" s="37">
        <v>4</v>
      </c>
      <c r="BK901" s="37">
        <v>4</v>
      </c>
      <c r="BL901" s="37">
        <v>4</v>
      </c>
      <c r="BM901" s="37">
        <v>7</v>
      </c>
      <c r="BN901" s="37">
        <v>8</v>
      </c>
      <c r="BO901" s="37">
        <v>9</v>
      </c>
      <c r="BP901" s="37">
        <v>10</v>
      </c>
      <c r="BQ901" s="37">
        <v>11</v>
      </c>
      <c r="BR901" s="37">
        <v>11</v>
      </c>
      <c r="BS901" s="37">
        <v>11</v>
      </c>
      <c r="BT901" s="37">
        <v>11</v>
      </c>
    </row>
    <row r="902" spans="5:72" x14ac:dyDescent="0.25">
      <c r="E902" s="36"/>
      <c r="F902" s="36">
        <f t="shared" si="295"/>
        <v>0</v>
      </c>
      <c r="G902" s="36">
        <f t="shared" si="296"/>
        <v>0</v>
      </c>
      <c r="H902" s="36">
        <f t="shared" si="297"/>
        <v>0</v>
      </c>
      <c r="I902" s="36">
        <f t="shared" si="298"/>
        <v>0</v>
      </c>
      <c r="J902" s="36">
        <f t="shared" si="299"/>
        <v>0</v>
      </c>
      <c r="K902" s="36">
        <f t="shared" si="300"/>
        <v>0</v>
      </c>
      <c r="L902" s="36">
        <f t="shared" si="301"/>
        <v>0</v>
      </c>
      <c r="M902" s="36">
        <f t="shared" si="302"/>
        <v>0</v>
      </c>
      <c r="N902" s="36">
        <f t="shared" si="303"/>
        <v>0</v>
      </c>
      <c r="O902" s="36">
        <f t="shared" si="304"/>
        <v>0</v>
      </c>
      <c r="P902" s="36">
        <f t="shared" si="305"/>
        <v>0</v>
      </c>
      <c r="Q902" s="36">
        <f t="shared" si="306"/>
        <v>0</v>
      </c>
      <c r="R902" s="36">
        <f t="shared" si="307"/>
        <v>0</v>
      </c>
      <c r="S902" s="36">
        <f t="shared" si="308"/>
        <v>0</v>
      </c>
      <c r="T902" s="36">
        <f t="shared" si="309"/>
        <v>0</v>
      </c>
      <c r="U902" s="36">
        <f t="shared" si="310"/>
        <v>0</v>
      </c>
      <c r="V902" s="36">
        <f t="shared" si="311"/>
        <v>0</v>
      </c>
      <c r="W902" s="36">
        <f t="shared" si="312"/>
        <v>0</v>
      </c>
      <c r="X902" s="36">
        <f t="shared" si="313"/>
        <v>0</v>
      </c>
      <c r="Y902" s="36">
        <f t="shared" si="314"/>
        <v>0</v>
      </c>
      <c r="Z902" s="36">
        <f t="shared" si="315"/>
        <v>0</v>
      </c>
      <c r="AB902" s="36" t="str">
        <f>IF(最佳化斷筋點!C902="","",最佳化斷筋點!C902)</f>
        <v/>
      </c>
      <c r="AC902" s="37" t="str">
        <f>IF(最佳化斷筋點!D902="","",最佳化斷筋點!D902)</f>
        <v/>
      </c>
      <c r="AD902" s="37" t="str">
        <f>IF(最佳化斷筋點!E902="","",最佳化斷筋點!E902)</f>
        <v/>
      </c>
      <c r="AE902" s="37" t="str">
        <f>IF(最佳化斷筋點!F902="","",最佳化斷筋點!F902)</f>
        <v/>
      </c>
      <c r="AF902" s="37" t="str">
        <f>IF(最佳化斷筋點!G902="","",最佳化斷筋點!G902)</f>
        <v/>
      </c>
      <c r="AG902" s="37" t="str">
        <f>IF(最佳化斷筋點!H902="","",最佳化斷筋點!H902)</f>
        <v/>
      </c>
      <c r="AH902" s="37" t="str">
        <f>IF(最佳化斷筋點!I902="","",最佳化斷筋點!I902)</f>
        <v/>
      </c>
      <c r="AI902" s="37" t="str">
        <f>IF(最佳化斷筋點!J902="","",最佳化斷筋點!J902)</f>
        <v/>
      </c>
      <c r="AJ902" s="37" t="str">
        <f>IF(最佳化斷筋點!K902="","",最佳化斷筋點!K902)</f>
        <v/>
      </c>
      <c r="AK902" s="37" t="str">
        <f>IF(最佳化斷筋點!L902="","",最佳化斷筋點!L902)</f>
        <v/>
      </c>
      <c r="AL902" s="37" t="str">
        <f>IF(最佳化斷筋點!M902="","",最佳化斷筋點!M902)</f>
        <v/>
      </c>
      <c r="AM902" s="37" t="str">
        <f>IF(最佳化斷筋點!N902="","",最佳化斷筋點!N902)</f>
        <v/>
      </c>
      <c r="AN902" s="37" t="str">
        <f>IF(最佳化斷筋點!O902="","",最佳化斷筋點!O902)</f>
        <v/>
      </c>
      <c r="AO902" s="37" t="str">
        <f>IF(最佳化斷筋點!P902="","",最佳化斷筋點!P902)</f>
        <v/>
      </c>
      <c r="AP902" s="37" t="str">
        <f>IF(最佳化斷筋點!Q902="","",最佳化斷筋點!Q902)</f>
        <v/>
      </c>
      <c r="AQ902" s="37" t="str">
        <f>IF(最佳化斷筋點!R902="","",最佳化斷筋點!R902)</f>
        <v/>
      </c>
      <c r="AR902" s="37" t="str">
        <f>IF(最佳化斷筋點!S902="","",最佳化斷筋點!S902)</f>
        <v/>
      </c>
      <c r="AS902" s="37" t="str">
        <f>IF(最佳化斷筋點!T902="","",最佳化斷筋點!T902)</f>
        <v/>
      </c>
      <c r="AT902" s="37" t="str">
        <f>IF(最佳化斷筋點!U902="","",最佳化斷筋點!U902)</f>
        <v/>
      </c>
      <c r="AU902" s="37" t="str">
        <f>IF(最佳化斷筋點!V902="","",最佳化斷筋點!V902)</f>
        <v/>
      </c>
      <c r="AV902" s="37" t="str">
        <f>IF(最佳化斷筋點!W902="","",最佳化斷筋點!W902)</f>
        <v/>
      </c>
      <c r="AW902" s="37" t="str">
        <f>IF(最佳化斷筋點!X902="","",最佳化斷筋點!X902)</f>
        <v/>
      </c>
      <c r="AZ902" s="37" t="s">
        <v>197</v>
      </c>
      <c r="BA902" s="37" t="s">
        <v>197</v>
      </c>
      <c r="BB902" s="37" t="s">
        <v>197</v>
      </c>
      <c r="BC902" s="37" t="s">
        <v>197</v>
      </c>
      <c r="BD902" s="37" t="s">
        <v>197</v>
      </c>
      <c r="BE902" s="37" t="s">
        <v>197</v>
      </c>
      <c r="BF902" s="37" t="s">
        <v>197</v>
      </c>
      <c r="BG902" s="37" t="s">
        <v>197</v>
      </c>
      <c r="BH902" s="37" t="s">
        <v>197</v>
      </c>
      <c r="BI902" s="37" t="s">
        <v>197</v>
      </c>
      <c r="BJ902" s="37" t="s">
        <v>197</v>
      </c>
      <c r="BK902" s="37" t="s">
        <v>197</v>
      </c>
      <c r="BL902" s="37" t="s">
        <v>197</v>
      </c>
      <c r="BM902" s="37" t="s">
        <v>197</v>
      </c>
      <c r="BN902" s="37" t="s">
        <v>197</v>
      </c>
      <c r="BO902" s="37" t="s">
        <v>197</v>
      </c>
      <c r="BP902" s="37" t="s">
        <v>197</v>
      </c>
      <c r="BQ902" s="37" t="s">
        <v>197</v>
      </c>
      <c r="BR902" s="37" t="s">
        <v>197</v>
      </c>
      <c r="BS902" s="37" t="s">
        <v>197</v>
      </c>
      <c r="BT902" s="37" t="s">
        <v>197</v>
      </c>
    </row>
    <row r="903" spans="5:72" x14ac:dyDescent="0.25">
      <c r="E903" s="36" t="s">
        <v>20</v>
      </c>
      <c r="F903" s="36">
        <f t="shared" si="295"/>
        <v>0</v>
      </c>
      <c r="G903" s="36">
        <f t="shared" si="296"/>
        <v>0</v>
      </c>
      <c r="H903" s="36">
        <f t="shared" si="297"/>
        <v>0</v>
      </c>
      <c r="I903" s="36">
        <f t="shared" si="298"/>
        <v>0</v>
      </c>
      <c r="J903" s="36">
        <f t="shared" si="299"/>
        <v>0</v>
      </c>
      <c r="K903" s="36">
        <f t="shared" si="300"/>
        <v>0</v>
      </c>
      <c r="L903" s="36">
        <f t="shared" si="301"/>
        <v>0</v>
      </c>
      <c r="M903" s="36">
        <f t="shared" si="302"/>
        <v>0</v>
      </c>
      <c r="N903" s="36">
        <f t="shared" si="303"/>
        <v>0</v>
      </c>
      <c r="O903" s="36">
        <f t="shared" si="304"/>
        <v>0</v>
      </c>
      <c r="P903" s="36">
        <f t="shared" si="305"/>
        <v>0</v>
      </c>
      <c r="Q903" s="36">
        <f t="shared" si="306"/>
        <v>0</v>
      </c>
      <c r="R903" s="36">
        <f t="shared" si="307"/>
        <v>0</v>
      </c>
      <c r="S903" s="36">
        <f t="shared" si="308"/>
        <v>0</v>
      </c>
      <c r="T903" s="36">
        <f t="shared" si="309"/>
        <v>0</v>
      </c>
      <c r="U903" s="36">
        <f t="shared" si="310"/>
        <v>0</v>
      </c>
      <c r="V903" s="36">
        <f t="shared" si="311"/>
        <v>0</v>
      </c>
      <c r="W903" s="36">
        <f t="shared" si="312"/>
        <v>0</v>
      </c>
      <c r="X903" s="36">
        <f t="shared" si="313"/>
        <v>0</v>
      </c>
      <c r="Y903" s="36">
        <f t="shared" si="314"/>
        <v>0</v>
      </c>
      <c r="Z903" s="36">
        <f t="shared" si="315"/>
        <v>0</v>
      </c>
      <c r="AB903" s="36" t="str">
        <f>IF(最佳化斷筋點!C903="","",最佳化斷筋點!C903)</f>
        <v>上層</v>
      </c>
      <c r="AC903" s="37">
        <f>IF(最佳化斷筋點!D903="","",最佳化斷筋點!D903)</f>
        <v>7</v>
      </c>
      <c r="AD903" s="37">
        <f>IF(最佳化斷筋點!E903="","",最佳化斷筋點!E903)</f>
        <v>7</v>
      </c>
      <c r="AE903" s="37">
        <f>IF(最佳化斷筋點!F903="","",最佳化斷筋點!F903)</f>
        <v>7</v>
      </c>
      <c r="AF903" s="37">
        <f>IF(最佳化斷筋點!G903="","",最佳化斷筋點!G903)</f>
        <v>7</v>
      </c>
      <c r="AG903" s="37">
        <f>IF(最佳化斷筋點!H903="","",最佳化斷筋點!H903)</f>
        <v>6</v>
      </c>
      <c r="AH903" s="37">
        <f>IF(最佳化斷筋點!I903="","",最佳化斷筋點!I903)</f>
        <v>6</v>
      </c>
      <c r="AI903" s="37">
        <f>IF(最佳化斷筋點!J903="","",最佳化斷筋點!J903)</f>
        <v>5</v>
      </c>
      <c r="AJ903" s="37">
        <f>IF(最佳化斷筋點!K903="","",最佳化斷筋點!K903)</f>
        <v>3</v>
      </c>
      <c r="AK903" s="37">
        <f>IF(最佳化斷筋點!L903="","",最佳化斷筋點!L903)</f>
        <v>3</v>
      </c>
      <c r="AL903" s="37">
        <f>IF(最佳化斷筋點!M903="","",最佳化斷筋點!M903)</f>
        <v>3</v>
      </c>
      <c r="AM903" s="37">
        <f>IF(最佳化斷筋點!N903="","",最佳化斷筋點!N903)</f>
        <v>2</v>
      </c>
      <c r="AN903" s="37">
        <f>IF(最佳化斷筋點!O903="","",最佳化斷筋點!O903)</f>
        <v>3</v>
      </c>
      <c r="AO903" s="37">
        <f>IF(最佳化斷筋點!P903="","",最佳化斷筋點!P903)</f>
        <v>3</v>
      </c>
      <c r="AP903" s="37">
        <f>IF(最佳化斷筋點!Q903="","",最佳化斷筋點!Q903)</f>
        <v>5</v>
      </c>
      <c r="AQ903" s="37">
        <f>IF(最佳化斷筋點!R903="","",最佳化斷筋點!R903)</f>
        <v>6</v>
      </c>
      <c r="AR903" s="37">
        <f>IF(最佳化斷筋點!S903="","",最佳化斷筋點!S903)</f>
        <v>7</v>
      </c>
      <c r="AS903" s="37">
        <f>IF(最佳化斷筋點!T903="","",最佳化斷筋點!T903)</f>
        <v>8</v>
      </c>
      <c r="AT903" s="37">
        <f>IF(最佳化斷筋點!U903="","",最佳化斷筋點!U903)</f>
        <v>9</v>
      </c>
      <c r="AU903" s="37">
        <f>IF(最佳化斷筋點!V903="","",最佳化斷筋點!V903)</f>
        <v>9</v>
      </c>
      <c r="AV903" s="37">
        <f>IF(最佳化斷筋點!W903="","",最佳化斷筋點!W903)</f>
        <v>9</v>
      </c>
      <c r="AW903" s="37">
        <f>IF(最佳化斷筋點!X903="","",最佳化斷筋點!X903)</f>
        <v>9</v>
      </c>
      <c r="AZ903" s="37">
        <v>7</v>
      </c>
      <c r="BA903" s="37">
        <v>7</v>
      </c>
      <c r="BB903" s="37">
        <v>7</v>
      </c>
      <c r="BC903" s="37">
        <v>7</v>
      </c>
      <c r="BD903" s="37">
        <v>6</v>
      </c>
      <c r="BE903" s="37">
        <v>6</v>
      </c>
      <c r="BF903" s="37">
        <v>5</v>
      </c>
      <c r="BG903" s="37">
        <v>3</v>
      </c>
      <c r="BH903" s="37">
        <v>3</v>
      </c>
      <c r="BI903" s="37">
        <v>3</v>
      </c>
      <c r="BJ903" s="37">
        <v>2</v>
      </c>
      <c r="BK903" s="37">
        <v>3</v>
      </c>
      <c r="BL903" s="37">
        <v>3</v>
      </c>
      <c r="BM903" s="37">
        <v>5</v>
      </c>
      <c r="BN903" s="37">
        <v>6</v>
      </c>
      <c r="BO903" s="37">
        <v>7</v>
      </c>
      <c r="BP903" s="37">
        <v>8</v>
      </c>
      <c r="BQ903" s="37">
        <v>9</v>
      </c>
      <c r="BR903" s="37">
        <v>9</v>
      </c>
      <c r="BS903" s="37">
        <v>9</v>
      </c>
      <c r="BT903" s="37">
        <v>9</v>
      </c>
    </row>
    <row r="904" spans="5:72" x14ac:dyDescent="0.25">
      <c r="E904" s="36"/>
      <c r="F904" s="36">
        <f t="shared" si="295"/>
        <v>0</v>
      </c>
      <c r="G904" s="36">
        <f t="shared" si="296"/>
        <v>0</v>
      </c>
      <c r="H904" s="36">
        <f t="shared" si="297"/>
        <v>0</v>
      </c>
      <c r="I904" s="36">
        <f t="shared" si="298"/>
        <v>0</v>
      </c>
      <c r="J904" s="36">
        <f t="shared" si="299"/>
        <v>0</v>
      </c>
      <c r="K904" s="36">
        <f t="shared" si="300"/>
        <v>0</v>
      </c>
      <c r="L904" s="36">
        <f t="shared" si="301"/>
        <v>0</v>
      </c>
      <c r="M904" s="36">
        <f t="shared" si="302"/>
        <v>0</v>
      </c>
      <c r="N904" s="36">
        <f t="shared" si="303"/>
        <v>0</v>
      </c>
      <c r="O904" s="36">
        <f t="shared" si="304"/>
        <v>0</v>
      </c>
      <c r="P904" s="36">
        <f t="shared" si="305"/>
        <v>0</v>
      </c>
      <c r="Q904" s="36">
        <f t="shared" si="306"/>
        <v>0</v>
      </c>
      <c r="R904" s="36">
        <f t="shared" si="307"/>
        <v>0</v>
      </c>
      <c r="S904" s="36">
        <f t="shared" si="308"/>
        <v>0</v>
      </c>
      <c r="T904" s="36">
        <f t="shared" si="309"/>
        <v>0</v>
      </c>
      <c r="U904" s="36">
        <f t="shared" si="310"/>
        <v>0</v>
      </c>
      <c r="V904" s="36">
        <f t="shared" si="311"/>
        <v>0</v>
      </c>
      <c r="W904" s="36">
        <f t="shared" si="312"/>
        <v>0</v>
      </c>
      <c r="X904" s="36">
        <f t="shared" si="313"/>
        <v>0</v>
      </c>
      <c r="Y904" s="36">
        <f t="shared" si="314"/>
        <v>0</v>
      </c>
      <c r="Z904" s="36">
        <f t="shared" si="315"/>
        <v>0</v>
      </c>
      <c r="AB904" s="36" t="str">
        <f>IF(最佳化斷筋點!C904="","",最佳化斷筋點!C904)</f>
        <v/>
      </c>
      <c r="AC904" s="37" t="str">
        <f>IF(最佳化斷筋點!D904="","",最佳化斷筋點!D904)</f>
        <v/>
      </c>
      <c r="AD904" s="37" t="str">
        <f>IF(最佳化斷筋點!E904="","",最佳化斷筋點!E904)</f>
        <v/>
      </c>
      <c r="AE904" s="37" t="str">
        <f>IF(最佳化斷筋點!F904="","",最佳化斷筋點!F904)</f>
        <v/>
      </c>
      <c r="AF904" s="37" t="str">
        <f>IF(最佳化斷筋點!G904="","",最佳化斷筋點!G904)</f>
        <v/>
      </c>
      <c r="AG904" s="37" t="str">
        <f>IF(最佳化斷筋點!H904="","",最佳化斷筋點!H904)</f>
        <v/>
      </c>
      <c r="AH904" s="37" t="str">
        <f>IF(最佳化斷筋點!I904="","",最佳化斷筋點!I904)</f>
        <v/>
      </c>
      <c r="AI904" s="37" t="str">
        <f>IF(最佳化斷筋點!J904="","",最佳化斷筋點!J904)</f>
        <v/>
      </c>
      <c r="AJ904" s="37" t="str">
        <f>IF(最佳化斷筋點!K904="","",最佳化斷筋點!K904)</f>
        <v/>
      </c>
      <c r="AK904" s="37" t="str">
        <f>IF(最佳化斷筋點!L904="","",最佳化斷筋點!L904)</f>
        <v/>
      </c>
      <c r="AL904" s="37" t="str">
        <f>IF(最佳化斷筋點!M904="","",最佳化斷筋點!M904)</f>
        <v/>
      </c>
      <c r="AM904" s="37" t="str">
        <f>IF(最佳化斷筋點!N904="","",最佳化斷筋點!N904)</f>
        <v/>
      </c>
      <c r="AN904" s="37" t="str">
        <f>IF(最佳化斷筋點!O904="","",最佳化斷筋點!O904)</f>
        <v/>
      </c>
      <c r="AO904" s="37" t="str">
        <f>IF(最佳化斷筋點!P904="","",最佳化斷筋點!P904)</f>
        <v/>
      </c>
      <c r="AP904" s="37" t="str">
        <f>IF(最佳化斷筋點!Q904="","",最佳化斷筋點!Q904)</f>
        <v/>
      </c>
      <c r="AQ904" s="37" t="str">
        <f>IF(最佳化斷筋點!R904="","",最佳化斷筋點!R904)</f>
        <v/>
      </c>
      <c r="AR904" s="37" t="str">
        <f>IF(最佳化斷筋點!S904="","",最佳化斷筋點!S904)</f>
        <v/>
      </c>
      <c r="AS904" s="37" t="str">
        <f>IF(最佳化斷筋點!T904="","",最佳化斷筋點!T904)</f>
        <v/>
      </c>
      <c r="AT904" s="37" t="str">
        <f>IF(最佳化斷筋點!U904="","",最佳化斷筋點!U904)</f>
        <v/>
      </c>
      <c r="AU904" s="37" t="str">
        <f>IF(最佳化斷筋點!V904="","",最佳化斷筋點!V904)</f>
        <v/>
      </c>
      <c r="AV904" s="37" t="str">
        <f>IF(最佳化斷筋點!W904="","",最佳化斷筋點!W904)</f>
        <v/>
      </c>
      <c r="AW904" s="37" t="str">
        <f>IF(最佳化斷筋點!X904="","",最佳化斷筋點!X904)</f>
        <v/>
      </c>
      <c r="AZ904" s="37" t="s">
        <v>197</v>
      </c>
      <c r="BA904" s="37" t="s">
        <v>197</v>
      </c>
      <c r="BB904" s="37" t="s">
        <v>197</v>
      </c>
      <c r="BC904" s="37" t="s">
        <v>197</v>
      </c>
      <c r="BD904" s="37" t="s">
        <v>197</v>
      </c>
      <c r="BE904" s="37" t="s">
        <v>197</v>
      </c>
      <c r="BF904" s="37" t="s">
        <v>197</v>
      </c>
      <c r="BG904" s="37" t="s">
        <v>197</v>
      </c>
      <c r="BH904" s="37" t="s">
        <v>197</v>
      </c>
      <c r="BI904" s="37" t="s">
        <v>197</v>
      </c>
      <c r="BJ904" s="37" t="s">
        <v>197</v>
      </c>
      <c r="BK904" s="37" t="s">
        <v>197</v>
      </c>
      <c r="BL904" s="37" t="s">
        <v>197</v>
      </c>
      <c r="BM904" s="37" t="s">
        <v>197</v>
      </c>
      <c r="BN904" s="37" t="s">
        <v>197</v>
      </c>
      <c r="BO904" s="37" t="s">
        <v>197</v>
      </c>
      <c r="BP904" s="37" t="s">
        <v>197</v>
      </c>
      <c r="BQ904" s="37" t="s">
        <v>197</v>
      </c>
      <c r="BR904" s="37" t="s">
        <v>197</v>
      </c>
      <c r="BS904" s="37" t="s">
        <v>197</v>
      </c>
      <c r="BT904" s="37" t="s">
        <v>197</v>
      </c>
    </row>
    <row r="905" spans="5:72" x14ac:dyDescent="0.25">
      <c r="E905" s="36" t="s">
        <v>21</v>
      </c>
      <c r="F905" s="36">
        <f t="shared" si="295"/>
        <v>0</v>
      </c>
      <c r="G905" s="36">
        <f t="shared" si="296"/>
        <v>0</v>
      </c>
      <c r="H905" s="36">
        <f t="shared" si="297"/>
        <v>0</v>
      </c>
      <c r="I905" s="36">
        <f t="shared" si="298"/>
        <v>0</v>
      </c>
      <c r="J905" s="36">
        <f t="shared" si="299"/>
        <v>0</v>
      </c>
      <c r="K905" s="36">
        <f t="shared" si="300"/>
        <v>0</v>
      </c>
      <c r="L905" s="36">
        <f t="shared" si="301"/>
        <v>0</v>
      </c>
      <c r="M905" s="36">
        <f t="shared" si="302"/>
        <v>0</v>
      </c>
      <c r="N905" s="36">
        <f t="shared" si="303"/>
        <v>0</v>
      </c>
      <c r="O905" s="36">
        <f t="shared" si="304"/>
        <v>0</v>
      </c>
      <c r="P905" s="36">
        <f t="shared" si="305"/>
        <v>0</v>
      </c>
      <c r="Q905" s="36">
        <f t="shared" si="306"/>
        <v>0</v>
      </c>
      <c r="R905" s="36">
        <f t="shared" si="307"/>
        <v>0</v>
      </c>
      <c r="S905" s="36">
        <f t="shared" si="308"/>
        <v>0</v>
      </c>
      <c r="T905" s="36">
        <f t="shared" si="309"/>
        <v>0</v>
      </c>
      <c r="U905" s="36">
        <f t="shared" si="310"/>
        <v>0</v>
      </c>
      <c r="V905" s="36">
        <f t="shared" si="311"/>
        <v>0</v>
      </c>
      <c r="W905" s="36">
        <f t="shared" si="312"/>
        <v>0</v>
      </c>
      <c r="X905" s="36">
        <f t="shared" si="313"/>
        <v>0</v>
      </c>
      <c r="Y905" s="36">
        <f t="shared" si="314"/>
        <v>0</v>
      </c>
      <c r="Z905" s="36">
        <f t="shared" si="315"/>
        <v>0</v>
      </c>
      <c r="AB905" s="36" t="str">
        <f>IF(最佳化斷筋點!C905="","",最佳化斷筋點!C905)</f>
        <v>下層</v>
      </c>
      <c r="AC905" s="37">
        <f>IF(最佳化斷筋點!D905="","",最佳化斷筋點!D905)</f>
        <v>7</v>
      </c>
      <c r="AD905" s="37">
        <f>IF(最佳化斷筋點!E905="","",最佳化斷筋點!E905)</f>
        <v>7</v>
      </c>
      <c r="AE905" s="37">
        <f>IF(最佳化斷筋點!F905="","",最佳化斷筋點!F905)</f>
        <v>7</v>
      </c>
      <c r="AF905" s="37">
        <f>IF(最佳化斷筋點!G905="","",最佳化斷筋點!G905)</f>
        <v>7</v>
      </c>
      <c r="AG905" s="37">
        <f>IF(最佳化斷筋點!H905="","",最佳化斷筋點!H905)</f>
        <v>6</v>
      </c>
      <c r="AH905" s="37">
        <f>IF(最佳化斷筋點!I905="","",最佳化斷筋點!I905)</f>
        <v>6</v>
      </c>
      <c r="AI905" s="37">
        <f>IF(最佳化斷筋點!J905="","",最佳化斷筋點!J905)</f>
        <v>5</v>
      </c>
      <c r="AJ905" s="37">
        <f>IF(最佳化斷筋點!K905="","",最佳化斷筋點!K905)</f>
        <v>5</v>
      </c>
      <c r="AK905" s="37">
        <f>IF(最佳化斷筋點!L905="","",最佳化斷筋點!L905)</f>
        <v>5</v>
      </c>
      <c r="AL905" s="37">
        <f>IF(最佳化斷筋點!M905="","",最佳化斷筋點!M905)</f>
        <v>5</v>
      </c>
      <c r="AM905" s="37">
        <f>IF(最佳化斷筋點!N905="","",最佳化斷筋點!N905)</f>
        <v>5</v>
      </c>
      <c r="AN905" s="37">
        <f>IF(最佳化斷筋點!O905="","",最佳化斷筋點!O905)</f>
        <v>5</v>
      </c>
      <c r="AO905" s="37">
        <f>IF(最佳化斷筋點!P905="","",最佳化斷筋點!P905)</f>
        <v>5</v>
      </c>
      <c r="AP905" s="37">
        <f>IF(最佳化斷筋點!Q905="","",最佳化斷筋點!Q905)</f>
        <v>5</v>
      </c>
      <c r="AQ905" s="37">
        <f>IF(最佳化斷筋點!R905="","",最佳化斷筋點!R905)</f>
        <v>5</v>
      </c>
      <c r="AR905" s="37">
        <f>IF(最佳化斷筋點!S905="","",最佳化斷筋點!S905)</f>
        <v>5</v>
      </c>
      <c r="AS905" s="37">
        <f>IF(最佳化斷筋點!T905="","",最佳化斷筋點!T905)</f>
        <v>6</v>
      </c>
      <c r="AT905" s="37">
        <f>IF(最佳化斷筋點!U905="","",最佳化斷筋點!U905)</f>
        <v>6</v>
      </c>
      <c r="AU905" s="37">
        <f>IF(最佳化斷筋點!V905="","",最佳化斷筋點!V905)</f>
        <v>7</v>
      </c>
      <c r="AV905" s="37">
        <f>IF(最佳化斷筋點!W905="","",最佳化斷筋點!W905)</f>
        <v>7</v>
      </c>
      <c r="AW905" s="37">
        <f>IF(最佳化斷筋點!X905="","",最佳化斷筋點!X905)</f>
        <v>7</v>
      </c>
      <c r="AZ905" s="37">
        <v>7</v>
      </c>
      <c r="BA905" s="37">
        <v>7</v>
      </c>
      <c r="BB905" s="37">
        <v>7</v>
      </c>
      <c r="BC905" s="37">
        <v>7</v>
      </c>
      <c r="BD905" s="37">
        <v>6</v>
      </c>
      <c r="BE905" s="37">
        <v>6</v>
      </c>
      <c r="BF905" s="37">
        <v>5</v>
      </c>
      <c r="BG905" s="37">
        <v>5</v>
      </c>
      <c r="BH905" s="37">
        <v>5</v>
      </c>
      <c r="BI905" s="37">
        <v>5</v>
      </c>
      <c r="BJ905" s="37">
        <v>5</v>
      </c>
      <c r="BK905" s="37">
        <v>5</v>
      </c>
      <c r="BL905" s="37">
        <v>5</v>
      </c>
      <c r="BM905" s="37">
        <v>5</v>
      </c>
      <c r="BN905" s="37">
        <v>5</v>
      </c>
      <c r="BO905" s="37">
        <v>5</v>
      </c>
      <c r="BP905" s="37">
        <v>6</v>
      </c>
      <c r="BQ905" s="37">
        <v>6</v>
      </c>
      <c r="BR905" s="37">
        <v>7</v>
      </c>
      <c r="BS905" s="37">
        <v>7</v>
      </c>
      <c r="BT905" s="37">
        <v>7</v>
      </c>
    </row>
    <row r="906" spans="5:72" x14ac:dyDescent="0.25">
      <c r="E906" s="36"/>
      <c r="F906" s="36">
        <f t="shared" si="295"/>
        <v>0</v>
      </c>
      <c r="G906" s="36">
        <f t="shared" si="296"/>
        <v>0</v>
      </c>
      <c r="H906" s="36">
        <f t="shared" si="297"/>
        <v>0</v>
      </c>
      <c r="I906" s="36">
        <f t="shared" si="298"/>
        <v>0</v>
      </c>
      <c r="J906" s="36">
        <f t="shared" si="299"/>
        <v>0</v>
      </c>
      <c r="K906" s="36">
        <f t="shared" si="300"/>
        <v>0</v>
      </c>
      <c r="L906" s="36">
        <f t="shared" si="301"/>
        <v>0</v>
      </c>
      <c r="M906" s="36">
        <f t="shared" si="302"/>
        <v>0</v>
      </c>
      <c r="N906" s="36">
        <f t="shared" si="303"/>
        <v>0</v>
      </c>
      <c r="O906" s="36">
        <f t="shared" si="304"/>
        <v>0</v>
      </c>
      <c r="P906" s="36">
        <f t="shared" si="305"/>
        <v>0</v>
      </c>
      <c r="Q906" s="36">
        <f t="shared" si="306"/>
        <v>0</v>
      </c>
      <c r="R906" s="36">
        <f t="shared" si="307"/>
        <v>0</v>
      </c>
      <c r="S906" s="36">
        <f t="shared" si="308"/>
        <v>0</v>
      </c>
      <c r="T906" s="36">
        <f t="shared" si="309"/>
        <v>0</v>
      </c>
      <c r="U906" s="36">
        <f t="shared" si="310"/>
        <v>0</v>
      </c>
      <c r="V906" s="36">
        <f t="shared" si="311"/>
        <v>0</v>
      </c>
      <c r="W906" s="36">
        <f t="shared" si="312"/>
        <v>0</v>
      </c>
      <c r="X906" s="36">
        <f t="shared" si="313"/>
        <v>0</v>
      </c>
      <c r="Y906" s="36">
        <f t="shared" si="314"/>
        <v>0</v>
      </c>
      <c r="Z906" s="36">
        <f t="shared" si="315"/>
        <v>0</v>
      </c>
      <c r="AB906" s="36" t="str">
        <f>IF(最佳化斷筋點!C906="","",最佳化斷筋點!C906)</f>
        <v/>
      </c>
      <c r="AC906" s="37" t="str">
        <f>IF(最佳化斷筋點!D906="","",最佳化斷筋點!D906)</f>
        <v/>
      </c>
      <c r="AD906" s="37" t="str">
        <f>IF(最佳化斷筋點!E906="","",最佳化斷筋點!E906)</f>
        <v/>
      </c>
      <c r="AE906" s="37" t="str">
        <f>IF(最佳化斷筋點!F906="","",最佳化斷筋點!F906)</f>
        <v/>
      </c>
      <c r="AF906" s="37" t="str">
        <f>IF(最佳化斷筋點!G906="","",最佳化斷筋點!G906)</f>
        <v/>
      </c>
      <c r="AG906" s="37" t="str">
        <f>IF(最佳化斷筋點!H906="","",最佳化斷筋點!H906)</f>
        <v/>
      </c>
      <c r="AH906" s="37" t="str">
        <f>IF(最佳化斷筋點!I906="","",最佳化斷筋點!I906)</f>
        <v/>
      </c>
      <c r="AI906" s="37" t="str">
        <f>IF(最佳化斷筋點!J906="","",最佳化斷筋點!J906)</f>
        <v/>
      </c>
      <c r="AJ906" s="37" t="str">
        <f>IF(最佳化斷筋點!K906="","",最佳化斷筋點!K906)</f>
        <v/>
      </c>
      <c r="AK906" s="37" t="str">
        <f>IF(最佳化斷筋點!L906="","",最佳化斷筋點!L906)</f>
        <v/>
      </c>
      <c r="AL906" s="37" t="str">
        <f>IF(最佳化斷筋點!M906="","",最佳化斷筋點!M906)</f>
        <v/>
      </c>
      <c r="AM906" s="37" t="str">
        <f>IF(最佳化斷筋點!N906="","",最佳化斷筋點!N906)</f>
        <v/>
      </c>
      <c r="AN906" s="37" t="str">
        <f>IF(最佳化斷筋點!O906="","",最佳化斷筋點!O906)</f>
        <v/>
      </c>
      <c r="AO906" s="37" t="str">
        <f>IF(最佳化斷筋點!P906="","",最佳化斷筋點!P906)</f>
        <v/>
      </c>
      <c r="AP906" s="37" t="str">
        <f>IF(最佳化斷筋點!Q906="","",最佳化斷筋點!Q906)</f>
        <v/>
      </c>
      <c r="AQ906" s="37" t="str">
        <f>IF(最佳化斷筋點!R906="","",最佳化斷筋點!R906)</f>
        <v/>
      </c>
      <c r="AR906" s="37" t="str">
        <f>IF(最佳化斷筋點!S906="","",最佳化斷筋點!S906)</f>
        <v/>
      </c>
      <c r="AS906" s="37" t="str">
        <f>IF(最佳化斷筋點!T906="","",最佳化斷筋點!T906)</f>
        <v/>
      </c>
      <c r="AT906" s="37" t="str">
        <f>IF(最佳化斷筋點!U906="","",最佳化斷筋點!U906)</f>
        <v/>
      </c>
      <c r="AU906" s="37" t="str">
        <f>IF(最佳化斷筋點!V906="","",最佳化斷筋點!V906)</f>
        <v/>
      </c>
      <c r="AV906" s="37" t="str">
        <f>IF(最佳化斷筋點!W906="","",最佳化斷筋點!W906)</f>
        <v/>
      </c>
      <c r="AW906" s="37" t="str">
        <f>IF(最佳化斷筋點!X906="","",最佳化斷筋點!X906)</f>
        <v/>
      </c>
      <c r="AZ906" s="37" t="s">
        <v>197</v>
      </c>
      <c r="BA906" s="37" t="s">
        <v>197</v>
      </c>
      <c r="BB906" s="37" t="s">
        <v>197</v>
      </c>
      <c r="BC906" s="37" t="s">
        <v>197</v>
      </c>
      <c r="BD906" s="37" t="s">
        <v>197</v>
      </c>
      <c r="BE906" s="37" t="s">
        <v>197</v>
      </c>
      <c r="BF906" s="37" t="s">
        <v>197</v>
      </c>
      <c r="BG906" s="37" t="s">
        <v>197</v>
      </c>
      <c r="BH906" s="37" t="s">
        <v>197</v>
      </c>
      <c r="BI906" s="37" t="s">
        <v>197</v>
      </c>
      <c r="BJ906" s="37" t="s">
        <v>197</v>
      </c>
      <c r="BK906" s="37" t="s">
        <v>197</v>
      </c>
      <c r="BL906" s="37" t="s">
        <v>197</v>
      </c>
      <c r="BM906" s="37" t="s">
        <v>197</v>
      </c>
      <c r="BN906" s="37" t="s">
        <v>197</v>
      </c>
      <c r="BO906" s="37" t="s">
        <v>197</v>
      </c>
      <c r="BP906" s="37" t="s">
        <v>197</v>
      </c>
      <c r="BQ906" s="37" t="s">
        <v>197</v>
      </c>
      <c r="BR906" s="37" t="s">
        <v>197</v>
      </c>
      <c r="BS906" s="37" t="s">
        <v>197</v>
      </c>
      <c r="BT906" s="37" t="s">
        <v>197</v>
      </c>
    </row>
    <row r="907" spans="5:72" x14ac:dyDescent="0.25">
      <c r="E907" s="36" t="s">
        <v>20</v>
      </c>
      <c r="F907" s="36">
        <f t="shared" si="295"/>
        <v>0</v>
      </c>
      <c r="G907" s="36">
        <f t="shared" si="296"/>
        <v>0</v>
      </c>
      <c r="H907" s="36">
        <f t="shared" si="297"/>
        <v>0</v>
      </c>
      <c r="I907" s="36">
        <f t="shared" si="298"/>
        <v>0</v>
      </c>
      <c r="J907" s="36">
        <f t="shared" si="299"/>
        <v>0</v>
      </c>
      <c r="K907" s="36">
        <f t="shared" si="300"/>
        <v>0</v>
      </c>
      <c r="L907" s="36">
        <f t="shared" si="301"/>
        <v>0</v>
      </c>
      <c r="M907" s="36">
        <f t="shared" si="302"/>
        <v>0</v>
      </c>
      <c r="N907" s="36">
        <f t="shared" si="303"/>
        <v>0</v>
      </c>
      <c r="O907" s="36">
        <f t="shared" si="304"/>
        <v>0</v>
      </c>
      <c r="P907" s="36">
        <f t="shared" si="305"/>
        <v>0</v>
      </c>
      <c r="Q907" s="36">
        <f t="shared" si="306"/>
        <v>0</v>
      </c>
      <c r="R907" s="36">
        <f t="shared" si="307"/>
        <v>0</v>
      </c>
      <c r="S907" s="36">
        <f t="shared" si="308"/>
        <v>0</v>
      </c>
      <c r="T907" s="36">
        <f t="shared" si="309"/>
        <v>0</v>
      </c>
      <c r="U907" s="36">
        <f t="shared" si="310"/>
        <v>0</v>
      </c>
      <c r="V907" s="36">
        <f t="shared" si="311"/>
        <v>0</v>
      </c>
      <c r="W907" s="36">
        <f t="shared" si="312"/>
        <v>0</v>
      </c>
      <c r="X907" s="36">
        <f t="shared" si="313"/>
        <v>0</v>
      </c>
      <c r="Y907" s="36">
        <f t="shared" si="314"/>
        <v>0</v>
      </c>
      <c r="Z907" s="36">
        <f t="shared" si="315"/>
        <v>0</v>
      </c>
      <c r="AB907" s="36" t="str">
        <f>IF(最佳化斷筋點!C907="","",最佳化斷筋點!C907)</f>
        <v>上層</v>
      </c>
      <c r="AC907" s="37">
        <f>IF(最佳化斷筋點!D907="","",最佳化斷筋點!D907)</f>
        <v>9</v>
      </c>
      <c r="AD907" s="37">
        <f>IF(最佳化斷筋點!E907="","",最佳化斷筋點!E907)</f>
        <v>9</v>
      </c>
      <c r="AE907" s="37">
        <f>IF(最佳化斷筋點!F907="","",最佳化斷筋點!F907)</f>
        <v>9</v>
      </c>
      <c r="AF907" s="37">
        <f>IF(最佳化斷筋點!G907="","",最佳化斷筋點!G907)</f>
        <v>9</v>
      </c>
      <c r="AG907" s="37">
        <f>IF(最佳化斷筋點!H907="","",最佳化斷筋點!H907)</f>
        <v>9</v>
      </c>
      <c r="AH907" s="37">
        <f>IF(最佳化斷筋點!I907="","",最佳化斷筋點!I907)</f>
        <v>9</v>
      </c>
      <c r="AI907" s="37">
        <f>IF(最佳化斷筋點!J907="","",最佳化斷筋點!J907)</f>
        <v>9</v>
      </c>
      <c r="AJ907" s="37">
        <f>IF(最佳化斷筋點!K907="","",最佳化斷筋點!K907)</f>
        <v>4</v>
      </c>
      <c r="AK907" s="37">
        <f>IF(最佳化斷筋點!L907="","",最佳化斷筋點!L907)</f>
        <v>4</v>
      </c>
      <c r="AL907" s="37">
        <f>IF(最佳化斷筋點!M907="","",最佳化斷筋點!M907)</f>
        <v>4</v>
      </c>
      <c r="AM907" s="37">
        <f>IF(最佳化斷筋點!N907="","",最佳化斷筋點!N907)</f>
        <v>4</v>
      </c>
      <c r="AN907" s="37">
        <f>IF(最佳化斷筋點!O907="","",最佳化斷筋點!O907)</f>
        <v>4</v>
      </c>
      <c r="AO907" s="37">
        <f>IF(最佳化斷筋點!P907="","",最佳化斷筋點!P907)</f>
        <v>4</v>
      </c>
      <c r="AP907" s="37">
        <f>IF(最佳化斷筋點!Q907="","",最佳化斷筋點!Q907)</f>
        <v>9</v>
      </c>
      <c r="AQ907" s="37">
        <f>IF(最佳化斷筋點!R907="","",最佳化斷筋點!R907)</f>
        <v>10</v>
      </c>
      <c r="AR907" s="37">
        <f>IF(最佳化斷筋點!S907="","",最佳化斷筋點!S907)</f>
        <v>10</v>
      </c>
      <c r="AS907" s="37">
        <f>IF(最佳化斷筋點!T907="","",最佳化斷筋點!T907)</f>
        <v>10</v>
      </c>
      <c r="AT907" s="37">
        <f>IF(最佳化斷筋點!U907="","",最佳化斷筋點!U907)</f>
        <v>10</v>
      </c>
      <c r="AU907" s="37">
        <f>IF(最佳化斷筋點!V907="","",最佳化斷筋點!V907)</f>
        <v>10</v>
      </c>
      <c r="AV907" s="37">
        <f>IF(最佳化斷筋點!W907="","",最佳化斷筋點!W907)</f>
        <v>10</v>
      </c>
      <c r="AW907" s="37">
        <f>IF(最佳化斷筋點!X907="","",最佳化斷筋點!X907)</f>
        <v>10</v>
      </c>
      <c r="AZ907" s="37">
        <v>9</v>
      </c>
      <c r="BA907" s="37">
        <v>9</v>
      </c>
      <c r="BB907" s="37">
        <v>9</v>
      </c>
      <c r="BC907" s="37">
        <v>9</v>
      </c>
      <c r="BD907" s="37">
        <v>9</v>
      </c>
      <c r="BE907" s="37">
        <v>9</v>
      </c>
      <c r="BF907" s="37">
        <v>9</v>
      </c>
      <c r="BG907" s="37">
        <v>4</v>
      </c>
      <c r="BH907" s="37">
        <v>4</v>
      </c>
      <c r="BI907" s="37">
        <v>4</v>
      </c>
      <c r="BJ907" s="37">
        <v>4</v>
      </c>
      <c r="BK907" s="37">
        <v>4</v>
      </c>
      <c r="BL907" s="37">
        <v>4</v>
      </c>
      <c r="BM907" s="37">
        <v>9</v>
      </c>
      <c r="BN907" s="37">
        <v>10</v>
      </c>
      <c r="BO907" s="37">
        <v>10</v>
      </c>
      <c r="BP907" s="37">
        <v>10</v>
      </c>
      <c r="BQ907" s="37">
        <v>10</v>
      </c>
      <c r="BR907" s="37">
        <v>10</v>
      </c>
      <c r="BS907" s="37">
        <v>10</v>
      </c>
      <c r="BT907" s="37">
        <v>10</v>
      </c>
    </row>
    <row r="908" spans="5:72" x14ac:dyDescent="0.25">
      <c r="E908" s="36"/>
      <c r="F908" s="36">
        <f t="shared" si="295"/>
        <v>0</v>
      </c>
      <c r="G908" s="36">
        <f t="shared" si="296"/>
        <v>0</v>
      </c>
      <c r="H908" s="36">
        <f t="shared" si="297"/>
        <v>0</v>
      </c>
      <c r="I908" s="36">
        <f t="shared" si="298"/>
        <v>0</v>
      </c>
      <c r="J908" s="36">
        <f t="shared" si="299"/>
        <v>0</v>
      </c>
      <c r="K908" s="36">
        <f t="shared" si="300"/>
        <v>0</v>
      </c>
      <c r="L908" s="36">
        <f t="shared" si="301"/>
        <v>0</v>
      </c>
      <c r="M908" s="36">
        <f t="shared" si="302"/>
        <v>0</v>
      </c>
      <c r="N908" s="36">
        <f t="shared" si="303"/>
        <v>0</v>
      </c>
      <c r="O908" s="36">
        <f t="shared" si="304"/>
        <v>0</v>
      </c>
      <c r="P908" s="36">
        <f t="shared" si="305"/>
        <v>0</v>
      </c>
      <c r="Q908" s="36">
        <f t="shared" si="306"/>
        <v>0</v>
      </c>
      <c r="R908" s="36">
        <f t="shared" si="307"/>
        <v>0</v>
      </c>
      <c r="S908" s="36">
        <f t="shared" si="308"/>
        <v>0</v>
      </c>
      <c r="T908" s="36">
        <f t="shared" si="309"/>
        <v>0</v>
      </c>
      <c r="U908" s="36">
        <f t="shared" si="310"/>
        <v>0</v>
      </c>
      <c r="V908" s="36">
        <f t="shared" si="311"/>
        <v>0</v>
      </c>
      <c r="W908" s="36">
        <f t="shared" si="312"/>
        <v>0</v>
      </c>
      <c r="X908" s="36">
        <f t="shared" si="313"/>
        <v>0</v>
      </c>
      <c r="Y908" s="36">
        <f t="shared" si="314"/>
        <v>0</v>
      </c>
      <c r="Z908" s="36">
        <f t="shared" si="315"/>
        <v>0</v>
      </c>
      <c r="AB908" s="36" t="str">
        <f>IF(最佳化斷筋點!C908="","",最佳化斷筋點!C908)</f>
        <v/>
      </c>
      <c r="AC908" s="37" t="str">
        <f>IF(最佳化斷筋點!D908="","",最佳化斷筋點!D908)</f>
        <v/>
      </c>
      <c r="AD908" s="37" t="str">
        <f>IF(最佳化斷筋點!E908="","",最佳化斷筋點!E908)</f>
        <v/>
      </c>
      <c r="AE908" s="37" t="str">
        <f>IF(最佳化斷筋點!F908="","",最佳化斷筋點!F908)</f>
        <v/>
      </c>
      <c r="AF908" s="37" t="str">
        <f>IF(最佳化斷筋點!G908="","",最佳化斷筋點!G908)</f>
        <v/>
      </c>
      <c r="AG908" s="37" t="str">
        <f>IF(最佳化斷筋點!H908="","",最佳化斷筋點!H908)</f>
        <v/>
      </c>
      <c r="AH908" s="37" t="str">
        <f>IF(最佳化斷筋點!I908="","",最佳化斷筋點!I908)</f>
        <v/>
      </c>
      <c r="AI908" s="37" t="str">
        <f>IF(最佳化斷筋點!J908="","",最佳化斷筋點!J908)</f>
        <v/>
      </c>
      <c r="AJ908" s="37" t="str">
        <f>IF(最佳化斷筋點!K908="","",最佳化斷筋點!K908)</f>
        <v/>
      </c>
      <c r="AK908" s="37" t="str">
        <f>IF(最佳化斷筋點!L908="","",最佳化斷筋點!L908)</f>
        <v/>
      </c>
      <c r="AL908" s="37" t="str">
        <f>IF(最佳化斷筋點!M908="","",最佳化斷筋點!M908)</f>
        <v/>
      </c>
      <c r="AM908" s="37" t="str">
        <f>IF(最佳化斷筋點!N908="","",最佳化斷筋點!N908)</f>
        <v/>
      </c>
      <c r="AN908" s="37" t="str">
        <f>IF(最佳化斷筋點!O908="","",最佳化斷筋點!O908)</f>
        <v/>
      </c>
      <c r="AO908" s="37" t="str">
        <f>IF(最佳化斷筋點!P908="","",最佳化斷筋點!P908)</f>
        <v/>
      </c>
      <c r="AP908" s="37" t="str">
        <f>IF(最佳化斷筋點!Q908="","",最佳化斷筋點!Q908)</f>
        <v/>
      </c>
      <c r="AQ908" s="37" t="str">
        <f>IF(最佳化斷筋點!R908="","",最佳化斷筋點!R908)</f>
        <v/>
      </c>
      <c r="AR908" s="37" t="str">
        <f>IF(最佳化斷筋點!S908="","",最佳化斷筋點!S908)</f>
        <v/>
      </c>
      <c r="AS908" s="37" t="str">
        <f>IF(最佳化斷筋點!T908="","",最佳化斷筋點!T908)</f>
        <v/>
      </c>
      <c r="AT908" s="37" t="str">
        <f>IF(最佳化斷筋點!U908="","",最佳化斷筋點!U908)</f>
        <v/>
      </c>
      <c r="AU908" s="37" t="str">
        <f>IF(最佳化斷筋點!V908="","",最佳化斷筋點!V908)</f>
        <v/>
      </c>
      <c r="AV908" s="37" t="str">
        <f>IF(最佳化斷筋點!W908="","",最佳化斷筋點!W908)</f>
        <v/>
      </c>
      <c r="AW908" s="37" t="str">
        <f>IF(最佳化斷筋點!X908="","",最佳化斷筋點!X908)</f>
        <v/>
      </c>
      <c r="AZ908" s="37" t="s">
        <v>197</v>
      </c>
      <c r="BA908" s="37" t="s">
        <v>197</v>
      </c>
      <c r="BB908" s="37" t="s">
        <v>197</v>
      </c>
      <c r="BC908" s="37" t="s">
        <v>197</v>
      </c>
      <c r="BD908" s="37" t="s">
        <v>197</v>
      </c>
      <c r="BE908" s="37" t="s">
        <v>197</v>
      </c>
      <c r="BF908" s="37" t="s">
        <v>197</v>
      </c>
      <c r="BG908" s="37" t="s">
        <v>197</v>
      </c>
      <c r="BH908" s="37" t="s">
        <v>197</v>
      </c>
      <c r="BI908" s="37" t="s">
        <v>197</v>
      </c>
      <c r="BJ908" s="37" t="s">
        <v>197</v>
      </c>
      <c r="BK908" s="37" t="s">
        <v>197</v>
      </c>
      <c r="BL908" s="37" t="s">
        <v>197</v>
      </c>
      <c r="BM908" s="37" t="s">
        <v>197</v>
      </c>
      <c r="BN908" s="37" t="s">
        <v>197</v>
      </c>
      <c r="BO908" s="37" t="s">
        <v>197</v>
      </c>
      <c r="BP908" s="37" t="s">
        <v>197</v>
      </c>
      <c r="BQ908" s="37" t="s">
        <v>197</v>
      </c>
      <c r="BR908" s="37" t="s">
        <v>197</v>
      </c>
      <c r="BS908" s="37" t="s">
        <v>197</v>
      </c>
      <c r="BT908" s="37" t="s">
        <v>197</v>
      </c>
    </row>
    <row r="909" spans="5:72" x14ac:dyDescent="0.25">
      <c r="E909" s="36" t="s">
        <v>21</v>
      </c>
      <c r="F909" s="36">
        <f t="shared" si="295"/>
        <v>0</v>
      </c>
      <c r="G909" s="36">
        <f t="shared" si="296"/>
        <v>0</v>
      </c>
      <c r="H909" s="36">
        <f t="shared" si="297"/>
        <v>0</v>
      </c>
      <c r="I909" s="36">
        <f t="shared" si="298"/>
        <v>0</v>
      </c>
      <c r="J909" s="36">
        <f t="shared" si="299"/>
        <v>0</v>
      </c>
      <c r="K909" s="36">
        <f t="shared" si="300"/>
        <v>0</v>
      </c>
      <c r="L909" s="36">
        <f t="shared" si="301"/>
        <v>0</v>
      </c>
      <c r="M909" s="36">
        <f t="shared" si="302"/>
        <v>0</v>
      </c>
      <c r="N909" s="36">
        <f t="shared" si="303"/>
        <v>0</v>
      </c>
      <c r="O909" s="36">
        <f t="shared" si="304"/>
        <v>0</v>
      </c>
      <c r="P909" s="36">
        <f t="shared" si="305"/>
        <v>0</v>
      </c>
      <c r="Q909" s="36">
        <f t="shared" si="306"/>
        <v>0</v>
      </c>
      <c r="R909" s="36">
        <f t="shared" si="307"/>
        <v>0</v>
      </c>
      <c r="S909" s="36">
        <f t="shared" si="308"/>
        <v>0</v>
      </c>
      <c r="T909" s="36">
        <f t="shared" si="309"/>
        <v>0</v>
      </c>
      <c r="U909" s="36">
        <f t="shared" si="310"/>
        <v>0</v>
      </c>
      <c r="V909" s="36">
        <f t="shared" si="311"/>
        <v>0</v>
      </c>
      <c r="W909" s="36">
        <f t="shared" si="312"/>
        <v>0</v>
      </c>
      <c r="X909" s="36">
        <f t="shared" si="313"/>
        <v>0</v>
      </c>
      <c r="Y909" s="36">
        <f t="shared" si="314"/>
        <v>0</v>
      </c>
      <c r="Z909" s="36">
        <f t="shared" si="315"/>
        <v>0</v>
      </c>
      <c r="AB909" s="36" t="str">
        <f>IF(最佳化斷筋點!C909="","",最佳化斷筋點!C909)</f>
        <v>下層</v>
      </c>
      <c r="AC909" s="37">
        <f>IF(最佳化斷筋點!D909="","",最佳化斷筋點!D909)</f>
        <v>14</v>
      </c>
      <c r="AD909" s="37">
        <f>IF(最佳化斷筋點!E909="","",最佳化斷筋點!E909)</f>
        <v>14</v>
      </c>
      <c r="AE909" s="37">
        <f>IF(最佳化斷筋點!F909="","",最佳化斷筋點!F909)</f>
        <v>14</v>
      </c>
      <c r="AF909" s="37">
        <f>IF(最佳化斷筋點!G909="","",最佳化斷筋點!G909)</f>
        <v>14</v>
      </c>
      <c r="AG909" s="37">
        <f>IF(最佳化斷筋點!H909="","",最佳化斷筋點!H909)</f>
        <v>14</v>
      </c>
      <c r="AH909" s="37">
        <f>IF(最佳化斷筋點!I909="","",最佳化斷筋點!I909)</f>
        <v>13</v>
      </c>
      <c r="AI909" s="37">
        <f>IF(最佳化斷筋點!J909="","",最佳化斷筋點!J909)</f>
        <v>12</v>
      </c>
      <c r="AJ909" s="37">
        <f>IF(最佳化斷筋點!K909="","",最佳化斷筋點!K909)</f>
        <v>6</v>
      </c>
      <c r="AK909" s="37">
        <f>IF(最佳化斷筋點!L909="","",最佳化斷筋點!L909)</f>
        <v>6</v>
      </c>
      <c r="AL909" s="37">
        <f>IF(最佳化斷筋點!M909="","",最佳化斷筋點!M909)</f>
        <v>6</v>
      </c>
      <c r="AM909" s="37">
        <f>IF(最佳化斷筋點!N909="","",最佳化斷筋點!N909)</f>
        <v>6</v>
      </c>
      <c r="AN909" s="37">
        <f>IF(最佳化斷筋點!O909="","",最佳化斷筋點!O909)</f>
        <v>6</v>
      </c>
      <c r="AO909" s="37">
        <f>IF(最佳化斷筋點!P909="","",最佳化斷筋點!P909)</f>
        <v>6</v>
      </c>
      <c r="AP909" s="37">
        <f>IF(最佳化斷筋點!Q909="","",最佳化斷筋點!Q909)</f>
        <v>9</v>
      </c>
      <c r="AQ909" s="37">
        <f>IF(最佳化斷筋點!R909="","",最佳化斷筋點!R909)</f>
        <v>11</v>
      </c>
      <c r="AR909" s="37">
        <f>IF(最佳化斷筋點!S909="","",最佳化斷筋點!S909)</f>
        <v>12</v>
      </c>
      <c r="AS909" s="37">
        <f>IF(最佳化斷筋點!T909="","",最佳化斷筋點!T909)</f>
        <v>13</v>
      </c>
      <c r="AT909" s="37">
        <f>IF(最佳化斷筋點!U909="","",最佳化斷筋點!U909)</f>
        <v>13</v>
      </c>
      <c r="AU909" s="37">
        <f>IF(最佳化斷筋點!V909="","",最佳化斷筋點!V909)</f>
        <v>13</v>
      </c>
      <c r="AV909" s="37">
        <f>IF(最佳化斷筋點!W909="","",最佳化斷筋點!W909)</f>
        <v>13</v>
      </c>
      <c r="AW909" s="37">
        <f>IF(最佳化斷筋點!X909="","",最佳化斷筋點!X909)</f>
        <v>13</v>
      </c>
      <c r="AZ909" s="37">
        <v>14</v>
      </c>
      <c r="BA909" s="37">
        <v>14</v>
      </c>
      <c r="BB909" s="37">
        <v>14</v>
      </c>
      <c r="BC909" s="37">
        <v>14</v>
      </c>
      <c r="BD909" s="37">
        <v>14</v>
      </c>
      <c r="BE909" s="37">
        <v>13</v>
      </c>
      <c r="BF909" s="37">
        <v>12</v>
      </c>
      <c r="BG909" s="37">
        <v>6</v>
      </c>
      <c r="BH909" s="37">
        <v>6</v>
      </c>
      <c r="BI909" s="37">
        <v>6</v>
      </c>
      <c r="BJ909" s="37">
        <v>6</v>
      </c>
      <c r="BK909" s="37">
        <v>6</v>
      </c>
      <c r="BL909" s="37">
        <v>6</v>
      </c>
      <c r="BM909" s="37">
        <v>9</v>
      </c>
      <c r="BN909" s="37">
        <v>11</v>
      </c>
      <c r="BO909" s="37">
        <v>12</v>
      </c>
      <c r="BP909" s="37">
        <v>13</v>
      </c>
      <c r="BQ909" s="37">
        <v>13</v>
      </c>
      <c r="BR909" s="37">
        <v>13</v>
      </c>
      <c r="BS909" s="37">
        <v>13</v>
      </c>
      <c r="BT909" s="37">
        <v>13</v>
      </c>
    </row>
    <row r="910" spans="5:72" x14ac:dyDescent="0.25">
      <c r="E910" s="36"/>
      <c r="F910" s="36">
        <f t="shared" si="295"/>
        <v>0</v>
      </c>
      <c r="G910" s="36">
        <f t="shared" si="296"/>
        <v>0</v>
      </c>
      <c r="H910" s="36">
        <f t="shared" si="297"/>
        <v>0</v>
      </c>
      <c r="I910" s="36">
        <f t="shared" si="298"/>
        <v>0</v>
      </c>
      <c r="J910" s="36">
        <f t="shared" si="299"/>
        <v>0</v>
      </c>
      <c r="K910" s="36">
        <f t="shared" si="300"/>
        <v>0</v>
      </c>
      <c r="L910" s="36">
        <f t="shared" si="301"/>
        <v>0</v>
      </c>
      <c r="M910" s="36">
        <f t="shared" si="302"/>
        <v>0</v>
      </c>
      <c r="N910" s="36">
        <f t="shared" si="303"/>
        <v>0</v>
      </c>
      <c r="O910" s="36">
        <f t="shared" si="304"/>
        <v>0</v>
      </c>
      <c r="P910" s="36">
        <f t="shared" si="305"/>
        <v>0</v>
      </c>
      <c r="Q910" s="36">
        <f t="shared" si="306"/>
        <v>0</v>
      </c>
      <c r="R910" s="36">
        <f t="shared" si="307"/>
        <v>0</v>
      </c>
      <c r="S910" s="36">
        <f t="shared" si="308"/>
        <v>0</v>
      </c>
      <c r="T910" s="36">
        <f t="shared" si="309"/>
        <v>0</v>
      </c>
      <c r="U910" s="36">
        <f t="shared" si="310"/>
        <v>0</v>
      </c>
      <c r="V910" s="36">
        <f t="shared" si="311"/>
        <v>0</v>
      </c>
      <c r="W910" s="36">
        <f t="shared" si="312"/>
        <v>0</v>
      </c>
      <c r="X910" s="36">
        <f t="shared" si="313"/>
        <v>0</v>
      </c>
      <c r="Y910" s="36">
        <f t="shared" si="314"/>
        <v>0</v>
      </c>
      <c r="Z910" s="36">
        <f t="shared" si="315"/>
        <v>0</v>
      </c>
      <c r="AB910" s="36" t="str">
        <f>IF(最佳化斷筋點!C910="","",最佳化斷筋點!C910)</f>
        <v/>
      </c>
      <c r="AC910" s="37" t="str">
        <f>IF(最佳化斷筋點!D910="","",最佳化斷筋點!D910)</f>
        <v/>
      </c>
      <c r="AD910" s="37" t="str">
        <f>IF(最佳化斷筋點!E910="","",最佳化斷筋點!E910)</f>
        <v/>
      </c>
      <c r="AE910" s="37" t="str">
        <f>IF(最佳化斷筋點!F910="","",最佳化斷筋點!F910)</f>
        <v/>
      </c>
      <c r="AF910" s="37" t="str">
        <f>IF(最佳化斷筋點!G910="","",最佳化斷筋點!G910)</f>
        <v/>
      </c>
      <c r="AG910" s="37" t="str">
        <f>IF(最佳化斷筋點!H910="","",最佳化斷筋點!H910)</f>
        <v/>
      </c>
      <c r="AH910" s="37" t="str">
        <f>IF(最佳化斷筋點!I910="","",最佳化斷筋點!I910)</f>
        <v/>
      </c>
      <c r="AI910" s="37" t="str">
        <f>IF(最佳化斷筋點!J910="","",最佳化斷筋點!J910)</f>
        <v/>
      </c>
      <c r="AJ910" s="37" t="str">
        <f>IF(最佳化斷筋點!K910="","",最佳化斷筋點!K910)</f>
        <v/>
      </c>
      <c r="AK910" s="37" t="str">
        <f>IF(最佳化斷筋點!L910="","",最佳化斷筋點!L910)</f>
        <v/>
      </c>
      <c r="AL910" s="37" t="str">
        <f>IF(最佳化斷筋點!M910="","",最佳化斷筋點!M910)</f>
        <v/>
      </c>
      <c r="AM910" s="37" t="str">
        <f>IF(最佳化斷筋點!N910="","",最佳化斷筋點!N910)</f>
        <v/>
      </c>
      <c r="AN910" s="37" t="str">
        <f>IF(最佳化斷筋點!O910="","",最佳化斷筋點!O910)</f>
        <v/>
      </c>
      <c r="AO910" s="37" t="str">
        <f>IF(最佳化斷筋點!P910="","",最佳化斷筋點!P910)</f>
        <v/>
      </c>
      <c r="AP910" s="37" t="str">
        <f>IF(最佳化斷筋點!Q910="","",最佳化斷筋點!Q910)</f>
        <v/>
      </c>
      <c r="AQ910" s="37" t="str">
        <f>IF(最佳化斷筋點!R910="","",最佳化斷筋點!R910)</f>
        <v/>
      </c>
      <c r="AR910" s="37" t="str">
        <f>IF(最佳化斷筋點!S910="","",最佳化斷筋點!S910)</f>
        <v/>
      </c>
      <c r="AS910" s="37" t="str">
        <f>IF(最佳化斷筋點!T910="","",最佳化斷筋點!T910)</f>
        <v/>
      </c>
      <c r="AT910" s="37" t="str">
        <f>IF(最佳化斷筋點!U910="","",最佳化斷筋點!U910)</f>
        <v/>
      </c>
      <c r="AU910" s="37" t="str">
        <f>IF(最佳化斷筋點!V910="","",最佳化斷筋點!V910)</f>
        <v/>
      </c>
      <c r="AV910" s="37" t="str">
        <f>IF(最佳化斷筋點!W910="","",最佳化斷筋點!W910)</f>
        <v/>
      </c>
      <c r="AW910" s="37" t="str">
        <f>IF(最佳化斷筋點!X910="","",最佳化斷筋點!X910)</f>
        <v/>
      </c>
      <c r="AZ910" s="37" t="s">
        <v>197</v>
      </c>
      <c r="BA910" s="37" t="s">
        <v>197</v>
      </c>
      <c r="BB910" s="37" t="s">
        <v>197</v>
      </c>
      <c r="BC910" s="37" t="s">
        <v>197</v>
      </c>
      <c r="BD910" s="37" t="s">
        <v>197</v>
      </c>
      <c r="BE910" s="37" t="s">
        <v>197</v>
      </c>
      <c r="BF910" s="37" t="s">
        <v>197</v>
      </c>
      <c r="BG910" s="37" t="s">
        <v>197</v>
      </c>
      <c r="BH910" s="37" t="s">
        <v>197</v>
      </c>
      <c r="BI910" s="37" t="s">
        <v>197</v>
      </c>
      <c r="BJ910" s="37" t="s">
        <v>197</v>
      </c>
      <c r="BK910" s="37" t="s">
        <v>197</v>
      </c>
      <c r="BL910" s="37" t="s">
        <v>197</v>
      </c>
      <c r="BM910" s="37" t="s">
        <v>197</v>
      </c>
      <c r="BN910" s="37" t="s">
        <v>197</v>
      </c>
      <c r="BO910" s="37" t="s">
        <v>197</v>
      </c>
      <c r="BP910" s="37" t="s">
        <v>197</v>
      </c>
      <c r="BQ910" s="37" t="s">
        <v>197</v>
      </c>
      <c r="BR910" s="37" t="s">
        <v>197</v>
      </c>
      <c r="BS910" s="37" t="s">
        <v>197</v>
      </c>
      <c r="BT910" s="37" t="s">
        <v>197</v>
      </c>
    </row>
    <row r="911" spans="5:72" x14ac:dyDescent="0.25">
      <c r="E911" s="36" t="s">
        <v>20</v>
      </c>
      <c r="F911" s="36">
        <f t="shared" si="295"/>
        <v>0</v>
      </c>
      <c r="G911" s="36">
        <f t="shared" si="296"/>
        <v>0</v>
      </c>
      <c r="H911" s="36">
        <f t="shared" si="297"/>
        <v>0</v>
      </c>
      <c r="I911" s="36">
        <f t="shared" si="298"/>
        <v>0</v>
      </c>
      <c r="J911" s="36">
        <f t="shared" si="299"/>
        <v>0</v>
      </c>
      <c r="K911" s="36">
        <f t="shared" si="300"/>
        <v>0</v>
      </c>
      <c r="L911" s="36">
        <f t="shared" si="301"/>
        <v>0</v>
      </c>
      <c r="M911" s="36">
        <f t="shared" si="302"/>
        <v>0</v>
      </c>
      <c r="N911" s="36">
        <f t="shared" si="303"/>
        <v>0</v>
      </c>
      <c r="O911" s="36">
        <f t="shared" si="304"/>
        <v>0</v>
      </c>
      <c r="P911" s="36">
        <f t="shared" si="305"/>
        <v>0</v>
      </c>
      <c r="Q911" s="36">
        <f t="shared" si="306"/>
        <v>0</v>
      </c>
      <c r="R911" s="36">
        <f t="shared" si="307"/>
        <v>0</v>
      </c>
      <c r="S911" s="36">
        <f t="shared" si="308"/>
        <v>0</v>
      </c>
      <c r="T911" s="36">
        <f t="shared" si="309"/>
        <v>0</v>
      </c>
      <c r="U911" s="36">
        <f t="shared" si="310"/>
        <v>0</v>
      </c>
      <c r="V911" s="36">
        <f t="shared" si="311"/>
        <v>0</v>
      </c>
      <c r="W911" s="36">
        <f t="shared" si="312"/>
        <v>0</v>
      </c>
      <c r="X911" s="36">
        <f t="shared" si="313"/>
        <v>0</v>
      </c>
      <c r="Y911" s="36">
        <f t="shared" si="314"/>
        <v>0</v>
      </c>
      <c r="Z911" s="36">
        <f t="shared" si="315"/>
        <v>0</v>
      </c>
      <c r="AB911" s="36" t="str">
        <f>IF(最佳化斷筋點!C911="","",最佳化斷筋點!C911)</f>
        <v>上層</v>
      </c>
      <c r="AC911" s="37">
        <f>IF(最佳化斷筋點!D911="","",最佳化斷筋點!D911)</f>
        <v>8</v>
      </c>
      <c r="AD911" s="37">
        <f>IF(最佳化斷筋點!E911="","",最佳化斷筋點!E911)</f>
        <v>8</v>
      </c>
      <c r="AE911" s="37">
        <f>IF(最佳化斷筋點!F911="","",最佳化斷筋點!F911)</f>
        <v>8</v>
      </c>
      <c r="AF911" s="37">
        <f>IF(最佳化斷筋點!G911="","",最佳化斷筋點!G911)</f>
        <v>8</v>
      </c>
      <c r="AG911" s="37">
        <f>IF(最佳化斷筋點!H911="","",最佳化斷筋點!H911)</f>
        <v>8</v>
      </c>
      <c r="AH911" s="37">
        <f>IF(最佳化斷筋點!I911="","",最佳化斷筋點!I911)</f>
        <v>8</v>
      </c>
      <c r="AI911" s="37">
        <f>IF(最佳化斷筋點!J911="","",最佳化斷筋點!J911)</f>
        <v>8</v>
      </c>
      <c r="AJ911" s="37">
        <f>IF(最佳化斷筋點!K911="","",最佳化斷筋點!K911)</f>
        <v>4</v>
      </c>
      <c r="AK911" s="37">
        <f>IF(最佳化斷筋點!L911="","",最佳化斷筋點!L911)</f>
        <v>4</v>
      </c>
      <c r="AL911" s="37">
        <f>IF(最佳化斷筋點!M911="","",最佳化斷筋點!M911)</f>
        <v>4</v>
      </c>
      <c r="AM911" s="37">
        <f>IF(最佳化斷筋點!N911="","",最佳化斷筋點!N911)</f>
        <v>4</v>
      </c>
      <c r="AN911" s="37">
        <f>IF(最佳化斷筋點!O911="","",最佳化斷筋點!O911)</f>
        <v>4</v>
      </c>
      <c r="AO911" s="37">
        <f>IF(最佳化斷筋點!P911="","",最佳化斷筋點!P911)</f>
        <v>4</v>
      </c>
      <c r="AP911" s="37">
        <f>IF(最佳化斷筋點!Q911="","",最佳化斷筋點!Q911)</f>
        <v>8</v>
      </c>
      <c r="AQ911" s="37">
        <f>IF(最佳化斷筋點!R911="","",最佳化斷筋點!R911)</f>
        <v>9</v>
      </c>
      <c r="AR911" s="37">
        <f>IF(最佳化斷筋點!S911="","",最佳化斷筋點!S911)</f>
        <v>10</v>
      </c>
      <c r="AS911" s="37">
        <f>IF(最佳化斷筋點!T911="","",最佳化斷筋點!T911)</f>
        <v>10</v>
      </c>
      <c r="AT911" s="37">
        <f>IF(最佳化斷筋點!U911="","",最佳化斷筋點!U911)</f>
        <v>10</v>
      </c>
      <c r="AU911" s="37">
        <f>IF(最佳化斷筋點!V911="","",最佳化斷筋點!V911)</f>
        <v>10</v>
      </c>
      <c r="AV911" s="37">
        <f>IF(最佳化斷筋點!W911="","",最佳化斷筋點!W911)</f>
        <v>10</v>
      </c>
      <c r="AW911" s="37">
        <f>IF(最佳化斷筋點!X911="","",最佳化斷筋點!X911)</f>
        <v>10</v>
      </c>
      <c r="AZ911" s="37">
        <v>8</v>
      </c>
      <c r="BA911" s="37">
        <v>8</v>
      </c>
      <c r="BB911" s="37">
        <v>8</v>
      </c>
      <c r="BC911" s="37">
        <v>8</v>
      </c>
      <c r="BD911" s="37">
        <v>8</v>
      </c>
      <c r="BE911" s="37">
        <v>8</v>
      </c>
      <c r="BF911" s="37">
        <v>8</v>
      </c>
      <c r="BG911" s="37">
        <v>4</v>
      </c>
      <c r="BH911" s="37">
        <v>4</v>
      </c>
      <c r="BI911" s="37">
        <v>4</v>
      </c>
      <c r="BJ911" s="37">
        <v>4</v>
      </c>
      <c r="BK911" s="37">
        <v>4</v>
      </c>
      <c r="BL911" s="37">
        <v>4</v>
      </c>
      <c r="BM911" s="37">
        <v>8</v>
      </c>
      <c r="BN911" s="37">
        <v>9</v>
      </c>
      <c r="BO911" s="37">
        <v>10</v>
      </c>
      <c r="BP911" s="37">
        <v>10</v>
      </c>
      <c r="BQ911" s="37">
        <v>10</v>
      </c>
      <c r="BR911" s="37">
        <v>10</v>
      </c>
      <c r="BS911" s="37">
        <v>10</v>
      </c>
      <c r="BT911" s="37">
        <v>10</v>
      </c>
    </row>
    <row r="912" spans="5:72" x14ac:dyDescent="0.25">
      <c r="E912" s="36"/>
      <c r="F912" s="36">
        <f t="shared" si="295"/>
        <v>0</v>
      </c>
      <c r="G912" s="36">
        <f t="shared" si="296"/>
        <v>0</v>
      </c>
      <c r="H912" s="36">
        <f t="shared" si="297"/>
        <v>0</v>
      </c>
      <c r="I912" s="36">
        <f t="shared" si="298"/>
        <v>0</v>
      </c>
      <c r="J912" s="36">
        <f t="shared" si="299"/>
        <v>0</v>
      </c>
      <c r="K912" s="36">
        <f t="shared" si="300"/>
        <v>0</v>
      </c>
      <c r="L912" s="36">
        <f t="shared" si="301"/>
        <v>0</v>
      </c>
      <c r="M912" s="36">
        <f t="shared" si="302"/>
        <v>0</v>
      </c>
      <c r="N912" s="36">
        <f t="shared" si="303"/>
        <v>0</v>
      </c>
      <c r="O912" s="36">
        <f t="shared" si="304"/>
        <v>0</v>
      </c>
      <c r="P912" s="36">
        <f t="shared" si="305"/>
        <v>0</v>
      </c>
      <c r="Q912" s="36">
        <f t="shared" si="306"/>
        <v>0</v>
      </c>
      <c r="R912" s="36">
        <f t="shared" si="307"/>
        <v>0</v>
      </c>
      <c r="S912" s="36">
        <f t="shared" si="308"/>
        <v>0</v>
      </c>
      <c r="T912" s="36">
        <f t="shared" si="309"/>
        <v>0</v>
      </c>
      <c r="U912" s="36">
        <f t="shared" si="310"/>
        <v>0</v>
      </c>
      <c r="V912" s="36">
        <f t="shared" si="311"/>
        <v>0</v>
      </c>
      <c r="W912" s="36">
        <f t="shared" si="312"/>
        <v>0</v>
      </c>
      <c r="X912" s="36">
        <f t="shared" si="313"/>
        <v>0</v>
      </c>
      <c r="Y912" s="36">
        <f t="shared" si="314"/>
        <v>0</v>
      </c>
      <c r="Z912" s="36">
        <f t="shared" si="315"/>
        <v>0</v>
      </c>
      <c r="AB912" s="36" t="str">
        <f>IF(最佳化斷筋點!C912="","",最佳化斷筋點!C912)</f>
        <v/>
      </c>
      <c r="AC912" s="37" t="str">
        <f>IF(最佳化斷筋點!D912="","",最佳化斷筋點!D912)</f>
        <v/>
      </c>
      <c r="AD912" s="37" t="str">
        <f>IF(最佳化斷筋點!E912="","",最佳化斷筋點!E912)</f>
        <v/>
      </c>
      <c r="AE912" s="37" t="str">
        <f>IF(最佳化斷筋點!F912="","",最佳化斷筋點!F912)</f>
        <v/>
      </c>
      <c r="AF912" s="37" t="str">
        <f>IF(最佳化斷筋點!G912="","",最佳化斷筋點!G912)</f>
        <v/>
      </c>
      <c r="AG912" s="37" t="str">
        <f>IF(最佳化斷筋點!H912="","",最佳化斷筋點!H912)</f>
        <v/>
      </c>
      <c r="AH912" s="37" t="str">
        <f>IF(最佳化斷筋點!I912="","",最佳化斷筋點!I912)</f>
        <v/>
      </c>
      <c r="AI912" s="37" t="str">
        <f>IF(最佳化斷筋點!J912="","",最佳化斷筋點!J912)</f>
        <v/>
      </c>
      <c r="AJ912" s="37" t="str">
        <f>IF(最佳化斷筋點!K912="","",最佳化斷筋點!K912)</f>
        <v/>
      </c>
      <c r="AK912" s="37" t="str">
        <f>IF(最佳化斷筋點!L912="","",最佳化斷筋點!L912)</f>
        <v/>
      </c>
      <c r="AL912" s="37" t="str">
        <f>IF(最佳化斷筋點!M912="","",最佳化斷筋點!M912)</f>
        <v/>
      </c>
      <c r="AM912" s="37" t="str">
        <f>IF(最佳化斷筋點!N912="","",最佳化斷筋點!N912)</f>
        <v/>
      </c>
      <c r="AN912" s="37" t="str">
        <f>IF(最佳化斷筋點!O912="","",最佳化斷筋點!O912)</f>
        <v/>
      </c>
      <c r="AO912" s="37" t="str">
        <f>IF(最佳化斷筋點!P912="","",最佳化斷筋點!P912)</f>
        <v/>
      </c>
      <c r="AP912" s="37" t="str">
        <f>IF(最佳化斷筋點!Q912="","",最佳化斷筋點!Q912)</f>
        <v/>
      </c>
      <c r="AQ912" s="37" t="str">
        <f>IF(最佳化斷筋點!R912="","",最佳化斷筋點!R912)</f>
        <v/>
      </c>
      <c r="AR912" s="37" t="str">
        <f>IF(最佳化斷筋點!S912="","",最佳化斷筋點!S912)</f>
        <v/>
      </c>
      <c r="AS912" s="37" t="str">
        <f>IF(最佳化斷筋點!T912="","",最佳化斷筋點!T912)</f>
        <v/>
      </c>
      <c r="AT912" s="37" t="str">
        <f>IF(最佳化斷筋點!U912="","",最佳化斷筋點!U912)</f>
        <v/>
      </c>
      <c r="AU912" s="37" t="str">
        <f>IF(最佳化斷筋點!V912="","",最佳化斷筋點!V912)</f>
        <v/>
      </c>
      <c r="AV912" s="37" t="str">
        <f>IF(最佳化斷筋點!W912="","",最佳化斷筋點!W912)</f>
        <v/>
      </c>
      <c r="AW912" s="37" t="str">
        <f>IF(最佳化斷筋點!X912="","",最佳化斷筋點!X912)</f>
        <v/>
      </c>
      <c r="AZ912" s="37" t="s">
        <v>197</v>
      </c>
      <c r="BA912" s="37" t="s">
        <v>197</v>
      </c>
      <c r="BB912" s="37" t="s">
        <v>197</v>
      </c>
      <c r="BC912" s="37" t="s">
        <v>197</v>
      </c>
      <c r="BD912" s="37" t="s">
        <v>197</v>
      </c>
      <c r="BE912" s="37" t="s">
        <v>197</v>
      </c>
      <c r="BF912" s="37" t="s">
        <v>197</v>
      </c>
      <c r="BG912" s="37" t="s">
        <v>197</v>
      </c>
      <c r="BH912" s="37" t="s">
        <v>197</v>
      </c>
      <c r="BI912" s="37" t="s">
        <v>197</v>
      </c>
      <c r="BJ912" s="37" t="s">
        <v>197</v>
      </c>
      <c r="BK912" s="37" t="s">
        <v>197</v>
      </c>
      <c r="BL912" s="37" t="s">
        <v>197</v>
      </c>
      <c r="BM912" s="37" t="s">
        <v>197</v>
      </c>
      <c r="BN912" s="37" t="s">
        <v>197</v>
      </c>
      <c r="BO912" s="37" t="s">
        <v>197</v>
      </c>
      <c r="BP912" s="37" t="s">
        <v>197</v>
      </c>
      <c r="BQ912" s="37" t="s">
        <v>197</v>
      </c>
      <c r="BR912" s="37" t="s">
        <v>197</v>
      </c>
      <c r="BS912" s="37" t="s">
        <v>197</v>
      </c>
      <c r="BT912" s="37" t="s">
        <v>197</v>
      </c>
    </row>
    <row r="913" spans="5:72" x14ac:dyDescent="0.25">
      <c r="E913" s="36" t="s">
        <v>21</v>
      </c>
      <c r="F913" s="36">
        <f t="shared" si="295"/>
        <v>0</v>
      </c>
      <c r="G913" s="36">
        <f t="shared" si="296"/>
        <v>0</v>
      </c>
      <c r="H913" s="36">
        <f t="shared" si="297"/>
        <v>0</v>
      </c>
      <c r="I913" s="36">
        <f t="shared" si="298"/>
        <v>0</v>
      </c>
      <c r="J913" s="36">
        <f t="shared" si="299"/>
        <v>0</v>
      </c>
      <c r="K913" s="36">
        <f t="shared" si="300"/>
        <v>0</v>
      </c>
      <c r="L913" s="36">
        <f t="shared" si="301"/>
        <v>0</v>
      </c>
      <c r="M913" s="36">
        <f t="shared" si="302"/>
        <v>0</v>
      </c>
      <c r="N913" s="36">
        <f t="shared" si="303"/>
        <v>0</v>
      </c>
      <c r="O913" s="36">
        <f t="shared" si="304"/>
        <v>0</v>
      </c>
      <c r="P913" s="36">
        <f t="shared" si="305"/>
        <v>0</v>
      </c>
      <c r="Q913" s="36">
        <f t="shared" si="306"/>
        <v>0</v>
      </c>
      <c r="R913" s="36">
        <f t="shared" si="307"/>
        <v>0</v>
      </c>
      <c r="S913" s="36">
        <f t="shared" si="308"/>
        <v>0</v>
      </c>
      <c r="T913" s="36">
        <f t="shared" si="309"/>
        <v>0</v>
      </c>
      <c r="U913" s="36">
        <f t="shared" si="310"/>
        <v>0</v>
      </c>
      <c r="V913" s="36">
        <f t="shared" si="311"/>
        <v>0</v>
      </c>
      <c r="W913" s="36">
        <f t="shared" si="312"/>
        <v>0</v>
      </c>
      <c r="X913" s="36">
        <f t="shared" si="313"/>
        <v>0</v>
      </c>
      <c r="Y913" s="36">
        <f t="shared" si="314"/>
        <v>0</v>
      </c>
      <c r="Z913" s="36">
        <f t="shared" si="315"/>
        <v>0</v>
      </c>
      <c r="AB913" s="36" t="str">
        <f>IF(最佳化斷筋點!C913="","",最佳化斷筋點!C913)</f>
        <v>下層</v>
      </c>
      <c r="AC913" s="37">
        <f>IF(最佳化斷筋點!D913="","",最佳化斷筋點!D913)</f>
        <v>13</v>
      </c>
      <c r="AD913" s="37">
        <f>IF(最佳化斷筋點!E913="","",最佳化斷筋點!E913)</f>
        <v>13</v>
      </c>
      <c r="AE913" s="37">
        <f>IF(最佳化斷筋點!F913="","",最佳化斷筋點!F913)</f>
        <v>13</v>
      </c>
      <c r="AF913" s="37">
        <f>IF(最佳化斷筋點!G913="","",最佳化斷筋點!G913)</f>
        <v>13</v>
      </c>
      <c r="AG913" s="37">
        <f>IF(最佳化斷筋點!H913="","",最佳化斷筋點!H913)</f>
        <v>13</v>
      </c>
      <c r="AH913" s="37">
        <f>IF(最佳化斷筋點!I913="","",最佳化斷筋點!I913)</f>
        <v>12</v>
      </c>
      <c r="AI913" s="37">
        <f>IF(最佳化斷筋點!J913="","",最佳化斷筋點!J913)</f>
        <v>11</v>
      </c>
      <c r="AJ913" s="37">
        <f>IF(最佳化斷筋點!K913="","",最佳化斷筋點!K913)</f>
        <v>5</v>
      </c>
      <c r="AK913" s="37">
        <f>IF(最佳化斷筋點!L913="","",最佳化斷筋點!L913)</f>
        <v>5</v>
      </c>
      <c r="AL913" s="37">
        <f>IF(最佳化斷筋點!M913="","",最佳化斷筋點!M913)</f>
        <v>5</v>
      </c>
      <c r="AM913" s="37">
        <f>IF(最佳化斷筋點!N913="","",最佳化斷筋點!N913)</f>
        <v>5</v>
      </c>
      <c r="AN913" s="37">
        <f>IF(最佳化斷筋點!O913="","",最佳化斷筋點!O913)</f>
        <v>5</v>
      </c>
      <c r="AO913" s="37">
        <f>IF(最佳化斷筋點!P913="","",最佳化斷筋點!P913)</f>
        <v>5</v>
      </c>
      <c r="AP913" s="37">
        <f>IF(最佳化斷筋點!Q913="","",最佳化斷筋點!Q913)</f>
        <v>8</v>
      </c>
      <c r="AQ913" s="37">
        <f>IF(最佳化斷筋點!R913="","",最佳化斷筋點!R913)</f>
        <v>9</v>
      </c>
      <c r="AR913" s="37">
        <f>IF(最佳化斷筋點!S913="","",最佳化斷筋點!S913)</f>
        <v>10</v>
      </c>
      <c r="AS913" s="37">
        <f>IF(最佳化斷筋點!T913="","",最佳化斷筋點!T913)</f>
        <v>11</v>
      </c>
      <c r="AT913" s="37">
        <f>IF(最佳化斷筋點!U913="","",最佳化斷筋點!U913)</f>
        <v>11</v>
      </c>
      <c r="AU913" s="37">
        <f>IF(最佳化斷筋點!V913="","",最佳化斷筋點!V913)</f>
        <v>11</v>
      </c>
      <c r="AV913" s="37">
        <f>IF(最佳化斷筋點!W913="","",最佳化斷筋點!W913)</f>
        <v>11</v>
      </c>
      <c r="AW913" s="37">
        <f>IF(最佳化斷筋點!X913="","",最佳化斷筋點!X913)</f>
        <v>11</v>
      </c>
      <c r="AZ913" s="37">
        <v>13</v>
      </c>
      <c r="BA913" s="37">
        <v>13</v>
      </c>
      <c r="BB913" s="37">
        <v>13</v>
      </c>
      <c r="BC913" s="37">
        <v>13</v>
      </c>
      <c r="BD913" s="37">
        <v>13</v>
      </c>
      <c r="BE913" s="37">
        <v>12</v>
      </c>
      <c r="BF913" s="37">
        <v>11</v>
      </c>
      <c r="BG913" s="37">
        <v>5</v>
      </c>
      <c r="BH913" s="37">
        <v>5</v>
      </c>
      <c r="BI913" s="37">
        <v>5</v>
      </c>
      <c r="BJ913" s="37">
        <v>5</v>
      </c>
      <c r="BK913" s="37">
        <v>5</v>
      </c>
      <c r="BL913" s="37">
        <v>5</v>
      </c>
      <c r="BM913" s="37">
        <v>8</v>
      </c>
      <c r="BN913" s="37">
        <v>9</v>
      </c>
      <c r="BO913" s="37">
        <v>10</v>
      </c>
      <c r="BP913" s="37">
        <v>11</v>
      </c>
      <c r="BQ913" s="37">
        <v>11</v>
      </c>
      <c r="BR913" s="37">
        <v>11</v>
      </c>
      <c r="BS913" s="37">
        <v>11</v>
      </c>
      <c r="BT913" s="37">
        <v>11</v>
      </c>
    </row>
    <row r="914" spans="5:72" x14ac:dyDescent="0.25">
      <c r="E914" s="36"/>
      <c r="F914" s="36">
        <f t="shared" si="295"/>
        <v>0</v>
      </c>
      <c r="G914" s="36">
        <f t="shared" si="296"/>
        <v>0</v>
      </c>
      <c r="H914" s="36">
        <f t="shared" si="297"/>
        <v>0</v>
      </c>
      <c r="I914" s="36">
        <f t="shared" si="298"/>
        <v>0</v>
      </c>
      <c r="J914" s="36">
        <f t="shared" si="299"/>
        <v>0</v>
      </c>
      <c r="K914" s="36">
        <f t="shared" si="300"/>
        <v>0</v>
      </c>
      <c r="L914" s="36">
        <f t="shared" si="301"/>
        <v>0</v>
      </c>
      <c r="M914" s="36">
        <f t="shared" si="302"/>
        <v>0</v>
      </c>
      <c r="N914" s="36">
        <f t="shared" si="303"/>
        <v>0</v>
      </c>
      <c r="O914" s="36">
        <f t="shared" si="304"/>
        <v>0</v>
      </c>
      <c r="P914" s="36">
        <f t="shared" si="305"/>
        <v>0</v>
      </c>
      <c r="Q914" s="36">
        <f t="shared" si="306"/>
        <v>0</v>
      </c>
      <c r="R914" s="36">
        <f t="shared" si="307"/>
        <v>0</v>
      </c>
      <c r="S914" s="36">
        <f t="shared" si="308"/>
        <v>0</v>
      </c>
      <c r="T914" s="36">
        <f t="shared" si="309"/>
        <v>0</v>
      </c>
      <c r="U914" s="36">
        <f t="shared" si="310"/>
        <v>0</v>
      </c>
      <c r="V914" s="36">
        <f t="shared" si="311"/>
        <v>0</v>
      </c>
      <c r="W914" s="36">
        <f t="shared" si="312"/>
        <v>0</v>
      </c>
      <c r="X914" s="36">
        <f t="shared" si="313"/>
        <v>0</v>
      </c>
      <c r="Y914" s="36">
        <f t="shared" si="314"/>
        <v>0</v>
      </c>
      <c r="Z914" s="36">
        <f t="shared" si="315"/>
        <v>0</v>
      </c>
      <c r="AB914" s="36" t="str">
        <f>IF(最佳化斷筋點!C914="","",最佳化斷筋點!C914)</f>
        <v/>
      </c>
      <c r="AC914" s="37" t="str">
        <f>IF(最佳化斷筋點!D914="","",最佳化斷筋點!D914)</f>
        <v/>
      </c>
      <c r="AD914" s="37" t="str">
        <f>IF(最佳化斷筋點!E914="","",最佳化斷筋點!E914)</f>
        <v/>
      </c>
      <c r="AE914" s="37" t="str">
        <f>IF(最佳化斷筋點!F914="","",最佳化斷筋點!F914)</f>
        <v/>
      </c>
      <c r="AF914" s="37" t="str">
        <f>IF(最佳化斷筋點!G914="","",最佳化斷筋點!G914)</f>
        <v/>
      </c>
      <c r="AG914" s="37" t="str">
        <f>IF(最佳化斷筋點!H914="","",最佳化斷筋點!H914)</f>
        <v/>
      </c>
      <c r="AH914" s="37" t="str">
        <f>IF(最佳化斷筋點!I914="","",最佳化斷筋點!I914)</f>
        <v/>
      </c>
      <c r="AI914" s="37" t="str">
        <f>IF(最佳化斷筋點!J914="","",最佳化斷筋點!J914)</f>
        <v/>
      </c>
      <c r="AJ914" s="37" t="str">
        <f>IF(最佳化斷筋點!K914="","",最佳化斷筋點!K914)</f>
        <v/>
      </c>
      <c r="AK914" s="37" t="str">
        <f>IF(最佳化斷筋點!L914="","",最佳化斷筋點!L914)</f>
        <v/>
      </c>
      <c r="AL914" s="37" t="str">
        <f>IF(最佳化斷筋點!M914="","",最佳化斷筋點!M914)</f>
        <v/>
      </c>
      <c r="AM914" s="37" t="str">
        <f>IF(最佳化斷筋點!N914="","",最佳化斷筋點!N914)</f>
        <v/>
      </c>
      <c r="AN914" s="37" t="str">
        <f>IF(最佳化斷筋點!O914="","",最佳化斷筋點!O914)</f>
        <v/>
      </c>
      <c r="AO914" s="37" t="str">
        <f>IF(最佳化斷筋點!P914="","",最佳化斷筋點!P914)</f>
        <v/>
      </c>
      <c r="AP914" s="37" t="str">
        <f>IF(最佳化斷筋點!Q914="","",最佳化斷筋點!Q914)</f>
        <v/>
      </c>
      <c r="AQ914" s="37" t="str">
        <f>IF(最佳化斷筋點!R914="","",最佳化斷筋點!R914)</f>
        <v/>
      </c>
      <c r="AR914" s="37" t="str">
        <f>IF(最佳化斷筋點!S914="","",最佳化斷筋點!S914)</f>
        <v/>
      </c>
      <c r="AS914" s="37" t="str">
        <f>IF(最佳化斷筋點!T914="","",最佳化斷筋點!T914)</f>
        <v/>
      </c>
      <c r="AT914" s="37" t="str">
        <f>IF(最佳化斷筋點!U914="","",最佳化斷筋點!U914)</f>
        <v/>
      </c>
      <c r="AU914" s="37" t="str">
        <f>IF(最佳化斷筋點!V914="","",最佳化斷筋點!V914)</f>
        <v/>
      </c>
      <c r="AV914" s="37" t="str">
        <f>IF(最佳化斷筋點!W914="","",最佳化斷筋點!W914)</f>
        <v/>
      </c>
      <c r="AW914" s="37" t="str">
        <f>IF(最佳化斷筋點!X914="","",最佳化斷筋點!X914)</f>
        <v/>
      </c>
      <c r="AZ914" s="37" t="s">
        <v>197</v>
      </c>
      <c r="BA914" s="37" t="s">
        <v>197</v>
      </c>
      <c r="BB914" s="37" t="s">
        <v>197</v>
      </c>
      <c r="BC914" s="37" t="s">
        <v>197</v>
      </c>
      <c r="BD914" s="37" t="s">
        <v>197</v>
      </c>
      <c r="BE914" s="37" t="s">
        <v>197</v>
      </c>
      <c r="BF914" s="37" t="s">
        <v>197</v>
      </c>
      <c r="BG914" s="37" t="s">
        <v>197</v>
      </c>
      <c r="BH914" s="37" t="s">
        <v>197</v>
      </c>
      <c r="BI914" s="37" t="s">
        <v>197</v>
      </c>
      <c r="BJ914" s="37" t="s">
        <v>197</v>
      </c>
      <c r="BK914" s="37" t="s">
        <v>197</v>
      </c>
      <c r="BL914" s="37" t="s">
        <v>197</v>
      </c>
      <c r="BM914" s="37" t="s">
        <v>197</v>
      </c>
      <c r="BN914" s="37" t="s">
        <v>197</v>
      </c>
      <c r="BO914" s="37" t="s">
        <v>197</v>
      </c>
      <c r="BP914" s="37" t="s">
        <v>197</v>
      </c>
      <c r="BQ914" s="37" t="s">
        <v>197</v>
      </c>
      <c r="BR914" s="37" t="s">
        <v>197</v>
      </c>
      <c r="BS914" s="37" t="s">
        <v>197</v>
      </c>
      <c r="BT914" s="37" t="s">
        <v>197</v>
      </c>
    </row>
    <row r="915" spans="5:72" x14ac:dyDescent="0.25">
      <c r="E915" s="36" t="s">
        <v>20</v>
      </c>
      <c r="F915" s="36">
        <f t="shared" si="295"/>
        <v>0</v>
      </c>
      <c r="G915" s="36">
        <f t="shared" si="296"/>
        <v>0</v>
      </c>
      <c r="H915" s="36">
        <f t="shared" si="297"/>
        <v>0</v>
      </c>
      <c r="I915" s="36">
        <f t="shared" si="298"/>
        <v>0</v>
      </c>
      <c r="J915" s="36">
        <f t="shared" si="299"/>
        <v>0</v>
      </c>
      <c r="K915" s="36">
        <f t="shared" si="300"/>
        <v>0</v>
      </c>
      <c r="L915" s="36">
        <f t="shared" si="301"/>
        <v>0</v>
      </c>
      <c r="M915" s="36">
        <f t="shared" si="302"/>
        <v>0</v>
      </c>
      <c r="N915" s="36">
        <f t="shared" si="303"/>
        <v>0</v>
      </c>
      <c r="O915" s="36">
        <f t="shared" si="304"/>
        <v>0</v>
      </c>
      <c r="P915" s="36">
        <f t="shared" si="305"/>
        <v>0</v>
      </c>
      <c r="Q915" s="36">
        <f t="shared" si="306"/>
        <v>0</v>
      </c>
      <c r="R915" s="36">
        <f t="shared" si="307"/>
        <v>0</v>
      </c>
      <c r="S915" s="36">
        <f t="shared" si="308"/>
        <v>0</v>
      </c>
      <c r="T915" s="36">
        <f t="shared" si="309"/>
        <v>0</v>
      </c>
      <c r="U915" s="36">
        <f t="shared" si="310"/>
        <v>0</v>
      </c>
      <c r="V915" s="36">
        <f t="shared" si="311"/>
        <v>0</v>
      </c>
      <c r="W915" s="36">
        <f t="shared" si="312"/>
        <v>0</v>
      </c>
      <c r="X915" s="36">
        <f t="shared" si="313"/>
        <v>0</v>
      </c>
      <c r="Y915" s="36">
        <f t="shared" si="314"/>
        <v>0</v>
      </c>
      <c r="Z915" s="36">
        <f t="shared" si="315"/>
        <v>0</v>
      </c>
      <c r="AB915" s="36" t="str">
        <f>IF(最佳化斷筋點!C915="","",最佳化斷筋點!C915)</f>
        <v>上層</v>
      </c>
      <c r="AC915" s="37">
        <f>IF(最佳化斷筋點!D915="","",最佳化斷筋點!D915)</f>
        <v>8</v>
      </c>
      <c r="AD915" s="37">
        <f>IF(最佳化斷筋點!E915="","",最佳化斷筋點!E915)</f>
        <v>8</v>
      </c>
      <c r="AE915" s="37">
        <f>IF(最佳化斷筋點!F915="","",最佳化斷筋點!F915)</f>
        <v>8</v>
      </c>
      <c r="AF915" s="37">
        <f>IF(最佳化斷筋點!G915="","",最佳化斷筋點!G915)</f>
        <v>8</v>
      </c>
      <c r="AG915" s="37">
        <f>IF(最佳化斷筋點!H915="","",最佳化斷筋點!H915)</f>
        <v>8</v>
      </c>
      <c r="AH915" s="37">
        <f>IF(最佳化斷筋點!I915="","",最佳化斷筋點!I915)</f>
        <v>7</v>
      </c>
      <c r="AI915" s="37">
        <f>IF(最佳化斷筋點!J915="","",最佳化斷筋點!J915)</f>
        <v>6</v>
      </c>
      <c r="AJ915" s="37">
        <f>IF(最佳化斷筋點!K915="","",最佳化斷筋點!K915)</f>
        <v>3</v>
      </c>
      <c r="AK915" s="37">
        <f>IF(最佳化斷筋點!L915="","",最佳化斷筋點!L915)</f>
        <v>3</v>
      </c>
      <c r="AL915" s="37">
        <f>IF(最佳化斷筋點!M915="","",最佳化斷筋點!M915)</f>
        <v>3</v>
      </c>
      <c r="AM915" s="37">
        <f>IF(最佳化斷筋點!N915="","",最佳化斷筋點!N915)</f>
        <v>3</v>
      </c>
      <c r="AN915" s="37">
        <f>IF(最佳化斷筋點!O915="","",最佳化斷筋點!O915)</f>
        <v>3</v>
      </c>
      <c r="AO915" s="37">
        <f>IF(最佳化斷筋點!P915="","",最佳化斷筋點!P915)</f>
        <v>3</v>
      </c>
      <c r="AP915" s="37">
        <f>IF(最佳化斷筋點!Q915="","",最佳化斷筋點!Q915)</f>
        <v>5</v>
      </c>
      <c r="AQ915" s="37">
        <f>IF(最佳化斷筋點!R915="","",最佳化斷筋點!R915)</f>
        <v>6</v>
      </c>
      <c r="AR915" s="37">
        <f>IF(最佳化斷筋點!S915="","",最佳化斷筋點!S915)</f>
        <v>7</v>
      </c>
      <c r="AS915" s="37">
        <f>IF(最佳化斷筋點!T915="","",最佳化斷筋點!T915)</f>
        <v>8</v>
      </c>
      <c r="AT915" s="37">
        <f>IF(最佳化斷筋點!U915="","",最佳化斷筋點!U915)</f>
        <v>9</v>
      </c>
      <c r="AU915" s="37">
        <f>IF(最佳化斷筋點!V915="","",最佳化斷筋點!V915)</f>
        <v>9</v>
      </c>
      <c r="AV915" s="37">
        <f>IF(最佳化斷筋點!W915="","",最佳化斷筋點!W915)</f>
        <v>9</v>
      </c>
      <c r="AW915" s="37">
        <f>IF(最佳化斷筋點!X915="","",最佳化斷筋點!X915)</f>
        <v>9</v>
      </c>
      <c r="AZ915" s="37">
        <v>8</v>
      </c>
      <c r="BA915" s="37">
        <v>8</v>
      </c>
      <c r="BB915" s="37">
        <v>8</v>
      </c>
      <c r="BC915" s="37">
        <v>8</v>
      </c>
      <c r="BD915" s="37">
        <v>8</v>
      </c>
      <c r="BE915" s="37">
        <v>7</v>
      </c>
      <c r="BF915" s="37">
        <v>6</v>
      </c>
      <c r="BG915" s="37">
        <v>3</v>
      </c>
      <c r="BH915" s="37">
        <v>3</v>
      </c>
      <c r="BI915" s="37">
        <v>3</v>
      </c>
      <c r="BJ915" s="37">
        <v>3</v>
      </c>
      <c r="BK915" s="37">
        <v>3</v>
      </c>
      <c r="BL915" s="37">
        <v>3</v>
      </c>
      <c r="BM915" s="37">
        <v>5</v>
      </c>
      <c r="BN915" s="37">
        <v>6</v>
      </c>
      <c r="BO915" s="37">
        <v>7</v>
      </c>
      <c r="BP915" s="37">
        <v>8</v>
      </c>
      <c r="BQ915" s="37">
        <v>9</v>
      </c>
      <c r="BR915" s="37">
        <v>9</v>
      </c>
      <c r="BS915" s="37">
        <v>9</v>
      </c>
      <c r="BT915" s="37">
        <v>9</v>
      </c>
    </row>
    <row r="916" spans="5:72" x14ac:dyDescent="0.25">
      <c r="E916" s="36"/>
      <c r="F916" s="36">
        <f t="shared" si="295"/>
        <v>0</v>
      </c>
      <c r="G916" s="36">
        <f t="shared" si="296"/>
        <v>0</v>
      </c>
      <c r="H916" s="36">
        <f t="shared" si="297"/>
        <v>0</v>
      </c>
      <c r="I916" s="36">
        <f t="shared" si="298"/>
        <v>0</v>
      </c>
      <c r="J916" s="36">
        <f t="shared" si="299"/>
        <v>0</v>
      </c>
      <c r="K916" s="36">
        <f t="shared" si="300"/>
        <v>0</v>
      </c>
      <c r="L916" s="36">
        <f t="shared" si="301"/>
        <v>0</v>
      </c>
      <c r="M916" s="36">
        <f t="shared" si="302"/>
        <v>0</v>
      </c>
      <c r="N916" s="36">
        <f t="shared" si="303"/>
        <v>0</v>
      </c>
      <c r="O916" s="36">
        <f t="shared" si="304"/>
        <v>0</v>
      </c>
      <c r="P916" s="36">
        <f t="shared" si="305"/>
        <v>0</v>
      </c>
      <c r="Q916" s="36">
        <f t="shared" si="306"/>
        <v>0</v>
      </c>
      <c r="R916" s="36">
        <f t="shared" si="307"/>
        <v>0</v>
      </c>
      <c r="S916" s="36">
        <f t="shared" si="308"/>
        <v>0</v>
      </c>
      <c r="T916" s="36">
        <f t="shared" si="309"/>
        <v>0</v>
      </c>
      <c r="U916" s="36">
        <f t="shared" si="310"/>
        <v>0</v>
      </c>
      <c r="V916" s="36">
        <f t="shared" si="311"/>
        <v>0</v>
      </c>
      <c r="W916" s="36">
        <f t="shared" si="312"/>
        <v>0</v>
      </c>
      <c r="X916" s="36">
        <f t="shared" si="313"/>
        <v>0</v>
      </c>
      <c r="Y916" s="36">
        <f t="shared" si="314"/>
        <v>0</v>
      </c>
      <c r="Z916" s="36">
        <f t="shared" si="315"/>
        <v>0</v>
      </c>
      <c r="AB916" s="36" t="str">
        <f>IF(最佳化斷筋點!C916="","",最佳化斷筋點!C916)</f>
        <v/>
      </c>
      <c r="AC916" s="37" t="str">
        <f>IF(最佳化斷筋點!D916="","",最佳化斷筋點!D916)</f>
        <v/>
      </c>
      <c r="AD916" s="37" t="str">
        <f>IF(最佳化斷筋點!E916="","",最佳化斷筋點!E916)</f>
        <v/>
      </c>
      <c r="AE916" s="37" t="str">
        <f>IF(最佳化斷筋點!F916="","",最佳化斷筋點!F916)</f>
        <v/>
      </c>
      <c r="AF916" s="37" t="str">
        <f>IF(最佳化斷筋點!G916="","",最佳化斷筋點!G916)</f>
        <v/>
      </c>
      <c r="AG916" s="37" t="str">
        <f>IF(最佳化斷筋點!H916="","",最佳化斷筋點!H916)</f>
        <v/>
      </c>
      <c r="AH916" s="37" t="str">
        <f>IF(最佳化斷筋點!I916="","",最佳化斷筋點!I916)</f>
        <v/>
      </c>
      <c r="AI916" s="37" t="str">
        <f>IF(最佳化斷筋點!J916="","",最佳化斷筋點!J916)</f>
        <v/>
      </c>
      <c r="AJ916" s="37" t="str">
        <f>IF(最佳化斷筋點!K916="","",最佳化斷筋點!K916)</f>
        <v/>
      </c>
      <c r="AK916" s="37" t="str">
        <f>IF(最佳化斷筋點!L916="","",最佳化斷筋點!L916)</f>
        <v/>
      </c>
      <c r="AL916" s="37" t="str">
        <f>IF(最佳化斷筋點!M916="","",最佳化斷筋點!M916)</f>
        <v/>
      </c>
      <c r="AM916" s="37" t="str">
        <f>IF(最佳化斷筋點!N916="","",最佳化斷筋點!N916)</f>
        <v/>
      </c>
      <c r="AN916" s="37" t="str">
        <f>IF(最佳化斷筋點!O916="","",最佳化斷筋點!O916)</f>
        <v/>
      </c>
      <c r="AO916" s="37" t="str">
        <f>IF(最佳化斷筋點!P916="","",最佳化斷筋點!P916)</f>
        <v/>
      </c>
      <c r="AP916" s="37" t="str">
        <f>IF(最佳化斷筋點!Q916="","",最佳化斷筋點!Q916)</f>
        <v/>
      </c>
      <c r="AQ916" s="37" t="str">
        <f>IF(最佳化斷筋點!R916="","",最佳化斷筋點!R916)</f>
        <v/>
      </c>
      <c r="AR916" s="37" t="str">
        <f>IF(最佳化斷筋點!S916="","",最佳化斷筋點!S916)</f>
        <v/>
      </c>
      <c r="AS916" s="37" t="str">
        <f>IF(最佳化斷筋點!T916="","",最佳化斷筋點!T916)</f>
        <v/>
      </c>
      <c r="AT916" s="37" t="str">
        <f>IF(最佳化斷筋點!U916="","",最佳化斷筋點!U916)</f>
        <v/>
      </c>
      <c r="AU916" s="37" t="str">
        <f>IF(最佳化斷筋點!V916="","",最佳化斷筋點!V916)</f>
        <v/>
      </c>
      <c r="AV916" s="37" t="str">
        <f>IF(最佳化斷筋點!W916="","",最佳化斷筋點!W916)</f>
        <v/>
      </c>
      <c r="AW916" s="37" t="str">
        <f>IF(最佳化斷筋點!X916="","",最佳化斷筋點!X916)</f>
        <v/>
      </c>
      <c r="AZ916" s="37" t="s">
        <v>197</v>
      </c>
      <c r="BA916" s="37" t="s">
        <v>197</v>
      </c>
      <c r="BB916" s="37" t="s">
        <v>197</v>
      </c>
      <c r="BC916" s="37" t="s">
        <v>197</v>
      </c>
      <c r="BD916" s="37" t="s">
        <v>197</v>
      </c>
      <c r="BE916" s="37" t="s">
        <v>197</v>
      </c>
      <c r="BF916" s="37" t="s">
        <v>197</v>
      </c>
      <c r="BG916" s="37" t="s">
        <v>197</v>
      </c>
      <c r="BH916" s="37" t="s">
        <v>197</v>
      </c>
      <c r="BI916" s="37" t="s">
        <v>197</v>
      </c>
      <c r="BJ916" s="37" t="s">
        <v>197</v>
      </c>
      <c r="BK916" s="37" t="s">
        <v>197</v>
      </c>
      <c r="BL916" s="37" t="s">
        <v>197</v>
      </c>
      <c r="BM916" s="37" t="s">
        <v>197</v>
      </c>
      <c r="BN916" s="37" t="s">
        <v>197</v>
      </c>
      <c r="BO916" s="37" t="s">
        <v>197</v>
      </c>
      <c r="BP916" s="37" t="s">
        <v>197</v>
      </c>
      <c r="BQ916" s="37" t="s">
        <v>197</v>
      </c>
      <c r="BR916" s="37" t="s">
        <v>197</v>
      </c>
      <c r="BS916" s="37" t="s">
        <v>197</v>
      </c>
      <c r="BT916" s="37" t="s">
        <v>197</v>
      </c>
    </row>
    <row r="917" spans="5:72" x14ac:dyDescent="0.25">
      <c r="E917" s="36" t="s">
        <v>21</v>
      </c>
      <c r="F917" s="36">
        <f t="shared" si="295"/>
        <v>0</v>
      </c>
      <c r="G917" s="36">
        <f t="shared" si="296"/>
        <v>0</v>
      </c>
      <c r="H917" s="36">
        <f t="shared" si="297"/>
        <v>0</v>
      </c>
      <c r="I917" s="36">
        <f t="shared" si="298"/>
        <v>0</v>
      </c>
      <c r="J917" s="36">
        <f t="shared" si="299"/>
        <v>0</v>
      </c>
      <c r="K917" s="36">
        <f t="shared" si="300"/>
        <v>0</v>
      </c>
      <c r="L917" s="36">
        <f t="shared" si="301"/>
        <v>0</v>
      </c>
      <c r="M917" s="36">
        <f t="shared" si="302"/>
        <v>0</v>
      </c>
      <c r="N917" s="36">
        <f t="shared" si="303"/>
        <v>0</v>
      </c>
      <c r="O917" s="36">
        <f t="shared" si="304"/>
        <v>0</v>
      </c>
      <c r="P917" s="36">
        <f t="shared" si="305"/>
        <v>0</v>
      </c>
      <c r="Q917" s="36">
        <f t="shared" si="306"/>
        <v>0</v>
      </c>
      <c r="R917" s="36">
        <f t="shared" si="307"/>
        <v>0</v>
      </c>
      <c r="S917" s="36">
        <f t="shared" si="308"/>
        <v>0</v>
      </c>
      <c r="T917" s="36">
        <f t="shared" si="309"/>
        <v>0</v>
      </c>
      <c r="U917" s="36">
        <f t="shared" si="310"/>
        <v>0</v>
      </c>
      <c r="V917" s="36">
        <f t="shared" si="311"/>
        <v>0</v>
      </c>
      <c r="W917" s="36">
        <f t="shared" si="312"/>
        <v>0</v>
      </c>
      <c r="X917" s="36">
        <f t="shared" si="313"/>
        <v>0</v>
      </c>
      <c r="Y917" s="36">
        <f t="shared" si="314"/>
        <v>0</v>
      </c>
      <c r="Z917" s="36">
        <f t="shared" si="315"/>
        <v>0</v>
      </c>
      <c r="AB917" s="36" t="str">
        <f>IF(最佳化斷筋點!C917="","",最佳化斷筋點!C917)</f>
        <v>下層</v>
      </c>
      <c r="AC917" s="37">
        <f>IF(最佳化斷筋點!D917="","",最佳化斷筋點!D917)</f>
        <v>6</v>
      </c>
      <c r="AD917" s="37">
        <f>IF(最佳化斷筋點!E917="","",最佳化斷筋點!E917)</f>
        <v>6</v>
      </c>
      <c r="AE917" s="37">
        <f>IF(最佳化斷筋點!F917="","",最佳化斷筋點!F917)</f>
        <v>6</v>
      </c>
      <c r="AF917" s="37">
        <f>IF(最佳化斷筋點!G917="","",最佳化斷筋點!G917)</f>
        <v>6</v>
      </c>
      <c r="AG917" s="37">
        <f>IF(最佳化斷筋點!H917="","",最佳化斷筋點!H917)</f>
        <v>5</v>
      </c>
      <c r="AH917" s="37">
        <f>IF(最佳化斷筋點!I917="","",最佳化斷筋點!I917)</f>
        <v>5</v>
      </c>
      <c r="AI917" s="37">
        <f>IF(最佳化斷筋點!J917="","",最佳化斷筋點!J917)</f>
        <v>5</v>
      </c>
      <c r="AJ917" s="37">
        <f>IF(最佳化斷筋點!K917="","",最佳化斷筋點!K917)</f>
        <v>5</v>
      </c>
      <c r="AK917" s="37">
        <f>IF(最佳化斷筋點!L917="","",最佳化斷筋點!L917)</f>
        <v>5</v>
      </c>
      <c r="AL917" s="37">
        <f>IF(最佳化斷筋點!M917="","",最佳化斷筋點!M917)</f>
        <v>5</v>
      </c>
      <c r="AM917" s="37">
        <f>IF(最佳化斷筋點!N917="","",最佳化斷筋點!N917)</f>
        <v>5</v>
      </c>
      <c r="AN917" s="37">
        <f>IF(最佳化斷筋點!O917="","",最佳化斷筋點!O917)</f>
        <v>5</v>
      </c>
      <c r="AO917" s="37">
        <f>IF(最佳化斷筋點!P917="","",最佳化斷筋點!P917)</f>
        <v>5</v>
      </c>
      <c r="AP917" s="37">
        <f>IF(最佳化斷筋點!Q917="","",最佳化斷筋點!Q917)</f>
        <v>5</v>
      </c>
      <c r="AQ917" s="37">
        <f>IF(最佳化斷筋點!R917="","",最佳化斷筋點!R917)</f>
        <v>5</v>
      </c>
      <c r="AR917" s="37">
        <f>IF(最佳化斷筋點!S917="","",最佳化斷筋點!S917)</f>
        <v>5</v>
      </c>
      <c r="AS917" s="37">
        <f>IF(最佳化斷筋點!T917="","",最佳化斷筋點!T917)</f>
        <v>6</v>
      </c>
      <c r="AT917" s="37">
        <f>IF(最佳化斷筋點!U917="","",最佳化斷筋點!U917)</f>
        <v>6</v>
      </c>
      <c r="AU917" s="37">
        <f>IF(最佳化斷筋點!V917="","",最佳化斷筋點!V917)</f>
        <v>7</v>
      </c>
      <c r="AV917" s="37">
        <f>IF(最佳化斷筋點!W917="","",最佳化斷筋點!W917)</f>
        <v>7</v>
      </c>
      <c r="AW917" s="37">
        <f>IF(最佳化斷筋點!X917="","",最佳化斷筋點!X917)</f>
        <v>7</v>
      </c>
      <c r="AZ917" s="37">
        <v>6</v>
      </c>
      <c r="BA917" s="37">
        <v>6</v>
      </c>
      <c r="BB917" s="37">
        <v>6</v>
      </c>
      <c r="BC917" s="37">
        <v>6</v>
      </c>
      <c r="BD917" s="37">
        <v>5</v>
      </c>
      <c r="BE917" s="37">
        <v>5</v>
      </c>
      <c r="BF917" s="37">
        <v>5</v>
      </c>
      <c r="BG917" s="37">
        <v>5</v>
      </c>
      <c r="BH917" s="37">
        <v>5</v>
      </c>
      <c r="BI917" s="37">
        <v>5</v>
      </c>
      <c r="BJ917" s="37">
        <v>5</v>
      </c>
      <c r="BK917" s="37">
        <v>5</v>
      </c>
      <c r="BL917" s="37">
        <v>5</v>
      </c>
      <c r="BM917" s="37">
        <v>5</v>
      </c>
      <c r="BN917" s="37">
        <v>5</v>
      </c>
      <c r="BO917" s="37">
        <v>5</v>
      </c>
      <c r="BP917" s="37">
        <v>6</v>
      </c>
      <c r="BQ917" s="37">
        <v>6</v>
      </c>
      <c r="BR917" s="37">
        <v>7</v>
      </c>
      <c r="BS917" s="37">
        <v>7</v>
      </c>
      <c r="BT917" s="37">
        <v>7</v>
      </c>
    </row>
    <row r="918" spans="5:72" x14ac:dyDescent="0.25">
      <c r="E918" s="36"/>
      <c r="F918" s="36">
        <f t="shared" si="295"/>
        <v>0</v>
      </c>
      <c r="G918" s="36">
        <f t="shared" si="296"/>
        <v>0</v>
      </c>
      <c r="H918" s="36">
        <f t="shared" si="297"/>
        <v>0</v>
      </c>
      <c r="I918" s="36">
        <f t="shared" si="298"/>
        <v>0</v>
      </c>
      <c r="J918" s="36">
        <f t="shared" si="299"/>
        <v>0</v>
      </c>
      <c r="K918" s="36">
        <f t="shared" si="300"/>
        <v>0</v>
      </c>
      <c r="L918" s="36">
        <f t="shared" si="301"/>
        <v>0</v>
      </c>
      <c r="M918" s="36">
        <f t="shared" si="302"/>
        <v>0</v>
      </c>
      <c r="N918" s="36">
        <f t="shared" si="303"/>
        <v>0</v>
      </c>
      <c r="O918" s="36">
        <f t="shared" si="304"/>
        <v>0</v>
      </c>
      <c r="P918" s="36">
        <f t="shared" si="305"/>
        <v>0</v>
      </c>
      <c r="Q918" s="36">
        <f t="shared" si="306"/>
        <v>0</v>
      </c>
      <c r="R918" s="36">
        <f t="shared" si="307"/>
        <v>0</v>
      </c>
      <c r="S918" s="36">
        <f t="shared" si="308"/>
        <v>0</v>
      </c>
      <c r="T918" s="36">
        <f t="shared" si="309"/>
        <v>0</v>
      </c>
      <c r="U918" s="36">
        <f t="shared" si="310"/>
        <v>0</v>
      </c>
      <c r="V918" s="36">
        <f t="shared" si="311"/>
        <v>0</v>
      </c>
      <c r="W918" s="36">
        <f t="shared" si="312"/>
        <v>0</v>
      </c>
      <c r="X918" s="36">
        <f t="shared" si="313"/>
        <v>0</v>
      </c>
      <c r="Y918" s="36">
        <f t="shared" si="314"/>
        <v>0</v>
      </c>
      <c r="Z918" s="36">
        <f t="shared" si="315"/>
        <v>0</v>
      </c>
      <c r="AB918" s="36" t="str">
        <f>IF(最佳化斷筋點!C918="","",最佳化斷筋點!C918)</f>
        <v/>
      </c>
      <c r="AC918" s="37" t="str">
        <f>IF(最佳化斷筋點!D918="","",最佳化斷筋點!D918)</f>
        <v/>
      </c>
      <c r="AD918" s="37" t="str">
        <f>IF(最佳化斷筋點!E918="","",最佳化斷筋點!E918)</f>
        <v/>
      </c>
      <c r="AE918" s="37" t="str">
        <f>IF(最佳化斷筋點!F918="","",最佳化斷筋點!F918)</f>
        <v/>
      </c>
      <c r="AF918" s="37" t="str">
        <f>IF(最佳化斷筋點!G918="","",最佳化斷筋點!G918)</f>
        <v/>
      </c>
      <c r="AG918" s="37" t="str">
        <f>IF(最佳化斷筋點!H918="","",最佳化斷筋點!H918)</f>
        <v/>
      </c>
      <c r="AH918" s="37" t="str">
        <f>IF(最佳化斷筋點!I918="","",最佳化斷筋點!I918)</f>
        <v/>
      </c>
      <c r="AI918" s="37" t="str">
        <f>IF(最佳化斷筋點!J918="","",最佳化斷筋點!J918)</f>
        <v/>
      </c>
      <c r="AJ918" s="37" t="str">
        <f>IF(最佳化斷筋點!K918="","",最佳化斷筋點!K918)</f>
        <v/>
      </c>
      <c r="AK918" s="37" t="str">
        <f>IF(最佳化斷筋點!L918="","",最佳化斷筋點!L918)</f>
        <v/>
      </c>
      <c r="AL918" s="37" t="str">
        <f>IF(最佳化斷筋點!M918="","",最佳化斷筋點!M918)</f>
        <v/>
      </c>
      <c r="AM918" s="37" t="str">
        <f>IF(最佳化斷筋點!N918="","",最佳化斷筋點!N918)</f>
        <v/>
      </c>
      <c r="AN918" s="37" t="str">
        <f>IF(最佳化斷筋點!O918="","",最佳化斷筋點!O918)</f>
        <v/>
      </c>
      <c r="AO918" s="37" t="str">
        <f>IF(最佳化斷筋點!P918="","",最佳化斷筋點!P918)</f>
        <v/>
      </c>
      <c r="AP918" s="37" t="str">
        <f>IF(最佳化斷筋點!Q918="","",最佳化斷筋點!Q918)</f>
        <v/>
      </c>
      <c r="AQ918" s="37" t="str">
        <f>IF(最佳化斷筋點!R918="","",最佳化斷筋點!R918)</f>
        <v/>
      </c>
      <c r="AR918" s="37" t="str">
        <f>IF(最佳化斷筋點!S918="","",最佳化斷筋點!S918)</f>
        <v/>
      </c>
      <c r="AS918" s="37" t="str">
        <f>IF(最佳化斷筋點!T918="","",最佳化斷筋點!T918)</f>
        <v/>
      </c>
      <c r="AT918" s="37" t="str">
        <f>IF(最佳化斷筋點!U918="","",最佳化斷筋點!U918)</f>
        <v/>
      </c>
      <c r="AU918" s="37" t="str">
        <f>IF(最佳化斷筋點!V918="","",最佳化斷筋點!V918)</f>
        <v/>
      </c>
      <c r="AV918" s="37" t="str">
        <f>IF(最佳化斷筋點!W918="","",最佳化斷筋點!W918)</f>
        <v/>
      </c>
      <c r="AW918" s="37" t="str">
        <f>IF(最佳化斷筋點!X918="","",最佳化斷筋點!X918)</f>
        <v/>
      </c>
      <c r="AZ918" s="37" t="s">
        <v>197</v>
      </c>
      <c r="BA918" s="37" t="s">
        <v>197</v>
      </c>
      <c r="BB918" s="37" t="s">
        <v>197</v>
      </c>
      <c r="BC918" s="37" t="s">
        <v>197</v>
      </c>
      <c r="BD918" s="37" t="s">
        <v>197</v>
      </c>
      <c r="BE918" s="37" t="s">
        <v>197</v>
      </c>
      <c r="BF918" s="37" t="s">
        <v>197</v>
      </c>
      <c r="BG918" s="37" t="s">
        <v>197</v>
      </c>
      <c r="BH918" s="37" t="s">
        <v>197</v>
      </c>
      <c r="BI918" s="37" t="s">
        <v>197</v>
      </c>
      <c r="BJ918" s="37" t="s">
        <v>197</v>
      </c>
      <c r="BK918" s="37" t="s">
        <v>197</v>
      </c>
      <c r="BL918" s="37" t="s">
        <v>197</v>
      </c>
      <c r="BM918" s="37" t="s">
        <v>197</v>
      </c>
      <c r="BN918" s="37" t="s">
        <v>197</v>
      </c>
      <c r="BO918" s="37" t="s">
        <v>197</v>
      </c>
      <c r="BP918" s="37" t="s">
        <v>197</v>
      </c>
      <c r="BQ918" s="37" t="s">
        <v>197</v>
      </c>
      <c r="BR918" s="37" t="s">
        <v>197</v>
      </c>
      <c r="BS918" s="37" t="s">
        <v>197</v>
      </c>
      <c r="BT918" s="37" t="s">
        <v>197</v>
      </c>
    </row>
    <row r="919" spans="5:72" x14ac:dyDescent="0.25">
      <c r="E919" s="36" t="s">
        <v>20</v>
      </c>
      <c r="F919" s="36">
        <f t="shared" si="295"/>
        <v>0</v>
      </c>
      <c r="G919" s="36">
        <f t="shared" si="296"/>
        <v>0</v>
      </c>
      <c r="H919" s="36">
        <f t="shared" si="297"/>
        <v>0</v>
      </c>
      <c r="I919" s="36">
        <f t="shared" si="298"/>
        <v>0</v>
      </c>
      <c r="J919" s="36">
        <f t="shared" si="299"/>
        <v>0</v>
      </c>
      <c r="K919" s="36">
        <f t="shared" si="300"/>
        <v>0</v>
      </c>
      <c r="L919" s="36">
        <f t="shared" si="301"/>
        <v>0</v>
      </c>
      <c r="M919" s="36">
        <f t="shared" si="302"/>
        <v>0</v>
      </c>
      <c r="N919" s="36">
        <f t="shared" si="303"/>
        <v>0</v>
      </c>
      <c r="O919" s="36">
        <f t="shared" si="304"/>
        <v>0</v>
      </c>
      <c r="P919" s="36">
        <f t="shared" si="305"/>
        <v>0</v>
      </c>
      <c r="Q919" s="36">
        <f t="shared" si="306"/>
        <v>0</v>
      </c>
      <c r="R919" s="36">
        <f t="shared" si="307"/>
        <v>0</v>
      </c>
      <c r="S919" s="36">
        <f t="shared" si="308"/>
        <v>0</v>
      </c>
      <c r="T919" s="36">
        <f t="shared" si="309"/>
        <v>0</v>
      </c>
      <c r="U919" s="36">
        <f t="shared" si="310"/>
        <v>0</v>
      </c>
      <c r="V919" s="36">
        <f t="shared" si="311"/>
        <v>0</v>
      </c>
      <c r="W919" s="36">
        <f t="shared" si="312"/>
        <v>0</v>
      </c>
      <c r="X919" s="36">
        <f t="shared" si="313"/>
        <v>0</v>
      </c>
      <c r="Y919" s="36">
        <f t="shared" si="314"/>
        <v>0</v>
      </c>
      <c r="Z919" s="36">
        <f t="shared" si="315"/>
        <v>0</v>
      </c>
      <c r="AB919" s="36" t="str">
        <f>IF(最佳化斷筋點!C919="","",最佳化斷筋點!C919)</f>
        <v>上層</v>
      </c>
      <c r="AC919" s="37">
        <f>IF(最佳化斷筋點!D919="","",最佳化斷筋點!D919)</f>
        <v>11</v>
      </c>
      <c r="AD919" s="37">
        <f>IF(最佳化斷筋點!E919="","",最佳化斷筋點!E919)</f>
        <v>11</v>
      </c>
      <c r="AE919" s="37">
        <f>IF(最佳化斷筋點!F919="","",最佳化斷筋點!F919)</f>
        <v>11</v>
      </c>
      <c r="AF919" s="37">
        <f>IF(最佳化斷筋點!G919="","",最佳化斷筋點!G919)</f>
        <v>11</v>
      </c>
      <c r="AG919" s="37">
        <f>IF(最佳化斷筋點!H919="","",最佳化斷筋點!H919)</f>
        <v>11</v>
      </c>
      <c r="AH919" s="37">
        <f>IF(最佳化斷筋點!I919="","",最佳化斷筋點!I919)</f>
        <v>11</v>
      </c>
      <c r="AI919" s="37">
        <f>IF(最佳化斷筋點!J919="","",最佳化斷筋點!J919)</f>
        <v>10</v>
      </c>
      <c r="AJ919" s="37">
        <f>IF(最佳化斷筋點!K919="","",最佳化斷筋點!K919)</f>
        <v>5</v>
      </c>
      <c r="AK919" s="37">
        <f>IF(最佳化斷筋點!L919="","",最佳化斷筋點!L919)</f>
        <v>5</v>
      </c>
      <c r="AL919" s="37">
        <f>IF(最佳化斷筋點!M919="","",最佳化斷筋點!M919)</f>
        <v>5</v>
      </c>
      <c r="AM919" s="37">
        <f>IF(最佳化斷筋點!N919="","",最佳化斷筋點!N919)</f>
        <v>5</v>
      </c>
      <c r="AN919" s="37">
        <f>IF(最佳化斷筋點!O919="","",最佳化斷筋點!O919)</f>
        <v>5</v>
      </c>
      <c r="AO919" s="37">
        <f>IF(最佳化斷筋點!P919="","",最佳化斷筋點!P919)</f>
        <v>5</v>
      </c>
      <c r="AP919" s="37">
        <f>IF(最佳化斷筋點!Q919="","",最佳化斷筋點!Q919)</f>
        <v>8</v>
      </c>
      <c r="AQ919" s="37">
        <f>IF(最佳化斷筋點!R919="","",最佳化斷筋點!R919)</f>
        <v>9</v>
      </c>
      <c r="AR919" s="37">
        <f>IF(最佳化斷筋點!S919="","",最佳化斷筋點!S919)</f>
        <v>10</v>
      </c>
      <c r="AS919" s="37">
        <f>IF(最佳化斷筋點!T919="","",最佳化斷筋點!T919)</f>
        <v>10</v>
      </c>
      <c r="AT919" s="37">
        <f>IF(最佳化斷筋點!U919="","",最佳化斷筋點!U919)</f>
        <v>10</v>
      </c>
      <c r="AU919" s="37">
        <f>IF(最佳化斷筋點!V919="","",最佳化斷筋點!V919)</f>
        <v>10</v>
      </c>
      <c r="AV919" s="37">
        <f>IF(最佳化斷筋點!W919="","",最佳化斷筋點!W919)</f>
        <v>10</v>
      </c>
      <c r="AW919" s="37">
        <f>IF(最佳化斷筋點!X919="","",最佳化斷筋點!X919)</f>
        <v>10</v>
      </c>
      <c r="AZ919" s="37">
        <v>11</v>
      </c>
      <c r="BA919" s="37">
        <v>11</v>
      </c>
      <c r="BB919" s="37">
        <v>11</v>
      </c>
      <c r="BC919" s="37">
        <v>11</v>
      </c>
      <c r="BD919" s="37">
        <v>11</v>
      </c>
      <c r="BE919" s="37">
        <v>11</v>
      </c>
      <c r="BF919" s="37">
        <v>10</v>
      </c>
      <c r="BG919" s="37">
        <v>5</v>
      </c>
      <c r="BH919" s="37">
        <v>5</v>
      </c>
      <c r="BI919" s="37">
        <v>5</v>
      </c>
      <c r="BJ919" s="37">
        <v>5</v>
      </c>
      <c r="BK919" s="37">
        <v>5</v>
      </c>
      <c r="BL919" s="37">
        <v>5</v>
      </c>
      <c r="BM919" s="37">
        <v>8</v>
      </c>
      <c r="BN919" s="37">
        <v>9</v>
      </c>
      <c r="BO919" s="37">
        <v>10</v>
      </c>
      <c r="BP919" s="37">
        <v>10</v>
      </c>
      <c r="BQ919" s="37">
        <v>10</v>
      </c>
      <c r="BR919" s="37">
        <v>10</v>
      </c>
      <c r="BS919" s="37">
        <v>10</v>
      </c>
      <c r="BT919" s="37">
        <v>10</v>
      </c>
    </row>
    <row r="920" spans="5:72" x14ac:dyDescent="0.25">
      <c r="E920" s="36"/>
      <c r="F920" s="36">
        <f t="shared" si="295"/>
        <v>0</v>
      </c>
      <c r="G920" s="36">
        <f t="shared" si="296"/>
        <v>0</v>
      </c>
      <c r="H920" s="36">
        <f t="shared" si="297"/>
        <v>0</v>
      </c>
      <c r="I920" s="36">
        <f t="shared" si="298"/>
        <v>0</v>
      </c>
      <c r="J920" s="36">
        <f t="shared" si="299"/>
        <v>0</v>
      </c>
      <c r="K920" s="36">
        <f t="shared" si="300"/>
        <v>0</v>
      </c>
      <c r="L920" s="36">
        <f t="shared" si="301"/>
        <v>0</v>
      </c>
      <c r="M920" s="36">
        <f t="shared" si="302"/>
        <v>0</v>
      </c>
      <c r="N920" s="36">
        <f t="shared" si="303"/>
        <v>0</v>
      </c>
      <c r="O920" s="36">
        <f t="shared" si="304"/>
        <v>0</v>
      </c>
      <c r="P920" s="36">
        <f t="shared" si="305"/>
        <v>0</v>
      </c>
      <c r="Q920" s="36">
        <f t="shared" si="306"/>
        <v>0</v>
      </c>
      <c r="R920" s="36">
        <f t="shared" si="307"/>
        <v>0</v>
      </c>
      <c r="S920" s="36">
        <f t="shared" si="308"/>
        <v>0</v>
      </c>
      <c r="T920" s="36">
        <f t="shared" si="309"/>
        <v>0</v>
      </c>
      <c r="U920" s="36">
        <f t="shared" si="310"/>
        <v>0</v>
      </c>
      <c r="V920" s="36">
        <f t="shared" si="311"/>
        <v>0</v>
      </c>
      <c r="W920" s="36">
        <f t="shared" si="312"/>
        <v>0</v>
      </c>
      <c r="X920" s="36">
        <f t="shared" si="313"/>
        <v>0</v>
      </c>
      <c r="Y920" s="36">
        <f t="shared" si="314"/>
        <v>0</v>
      </c>
      <c r="Z920" s="36">
        <f t="shared" si="315"/>
        <v>0</v>
      </c>
      <c r="AB920" s="36" t="str">
        <f>IF(最佳化斷筋點!C920="","",最佳化斷筋點!C920)</f>
        <v/>
      </c>
      <c r="AC920" s="37" t="str">
        <f>IF(最佳化斷筋點!D920="","",最佳化斷筋點!D920)</f>
        <v/>
      </c>
      <c r="AD920" s="37" t="str">
        <f>IF(最佳化斷筋點!E920="","",最佳化斷筋點!E920)</f>
        <v/>
      </c>
      <c r="AE920" s="37" t="str">
        <f>IF(最佳化斷筋點!F920="","",最佳化斷筋點!F920)</f>
        <v/>
      </c>
      <c r="AF920" s="37" t="str">
        <f>IF(最佳化斷筋點!G920="","",最佳化斷筋點!G920)</f>
        <v/>
      </c>
      <c r="AG920" s="37" t="str">
        <f>IF(最佳化斷筋點!H920="","",最佳化斷筋點!H920)</f>
        <v/>
      </c>
      <c r="AH920" s="37" t="str">
        <f>IF(最佳化斷筋點!I920="","",最佳化斷筋點!I920)</f>
        <v/>
      </c>
      <c r="AI920" s="37" t="str">
        <f>IF(最佳化斷筋點!J920="","",最佳化斷筋點!J920)</f>
        <v/>
      </c>
      <c r="AJ920" s="37" t="str">
        <f>IF(最佳化斷筋點!K920="","",最佳化斷筋點!K920)</f>
        <v/>
      </c>
      <c r="AK920" s="37" t="str">
        <f>IF(最佳化斷筋點!L920="","",最佳化斷筋點!L920)</f>
        <v/>
      </c>
      <c r="AL920" s="37" t="str">
        <f>IF(最佳化斷筋點!M920="","",最佳化斷筋點!M920)</f>
        <v/>
      </c>
      <c r="AM920" s="37" t="str">
        <f>IF(最佳化斷筋點!N920="","",最佳化斷筋點!N920)</f>
        <v/>
      </c>
      <c r="AN920" s="37" t="str">
        <f>IF(最佳化斷筋點!O920="","",最佳化斷筋點!O920)</f>
        <v/>
      </c>
      <c r="AO920" s="37" t="str">
        <f>IF(最佳化斷筋點!P920="","",最佳化斷筋點!P920)</f>
        <v/>
      </c>
      <c r="AP920" s="37" t="str">
        <f>IF(最佳化斷筋點!Q920="","",最佳化斷筋點!Q920)</f>
        <v/>
      </c>
      <c r="AQ920" s="37" t="str">
        <f>IF(最佳化斷筋點!R920="","",最佳化斷筋點!R920)</f>
        <v/>
      </c>
      <c r="AR920" s="37" t="str">
        <f>IF(最佳化斷筋點!S920="","",最佳化斷筋點!S920)</f>
        <v/>
      </c>
      <c r="AS920" s="37" t="str">
        <f>IF(最佳化斷筋點!T920="","",最佳化斷筋點!T920)</f>
        <v/>
      </c>
      <c r="AT920" s="37" t="str">
        <f>IF(最佳化斷筋點!U920="","",最佳化斷筋點!U920)</f>
        <v/>
      </c>
      <c r="AU920" s="37" t="str">
        <f>IF(最佳化斷筋點!V920="","",最佳化斷筋點!V920)</f>
        <v/>
      </c>
      <c r="AV920" s="37" t="str">
        <f>IF(最佳化斷筋點!W920="","",最佳化斷筋點!W920)</f>
        <v/>
      </c>
      <c r="AW920" s="37" t="str">
        <f>IF(最佳化斷筋點!X920="","",最佳化斷筋點!X920)</f>
        <v/>
      </c>
      <c r="AZ920" s="37" t="s">
        <v>197</v>
      </c>
      <c r="BA920" s="37" t="s">
        <v>197</v>
      </c>
      <c r="BB920" s="37" t="s">
        <v>197</v>
      </c>
      <c r="BC920" s="37" t="s">
        <v>197</v>
      </c>
      <c r="BD920" s="37" t="s">
        <v>197</v>
      </c>
      <c r="BE920" s="37" t="s">
        <v>197</v>
      </c>
      <c r="BF920" s="37" t="s">
        <v>197</v>
      </c>
      <c r="BG920" s="37" t="s">
        <v>197</v>
      </c>
      <c r="BH920" s="37" t="s">
        <v>197</v>
      </c>
      <c r="BI920" s="37" t="s">
        <v>197</v>
      </c>
      <c r="BJ920" s="37" t="s">
        <v>197</v>
      </c>
      <c r="BK920" s="37" t="s">
        <v>197</v>
      </c>
      <c r="BL920" s="37" t="s">
        <v>197</v>
      </c>
      <c r="BM920" s="37" t="s">
        <v>197</v>
      </c>
      <c r="BN920" s="37" t="s">
        <v>197</v>
      </c>
      <c r="BO920" s="37" t="s">
        <v>197</v>
      </c>
      <c r="BP920" s="37" t="s">
        <v>197</v>
      </c>
      <c r="BQ920" s="37" t="s">
        <v>197</v>
      </c>
      <c r="BR920" s="37" t="s">
        <v>197</v>
      </c>
      <c r="BS920" s="37" t="s">
        <v>197</v>
      </c>
      <c r="BT920" s="37" t="s">
        <v>197</v>
      </c>
    </row>
    <row r="921" spans="5:72" x14ac:dyDescent="0.25">
      <c r="E921" s="36" t="s">
        <v>21</v>
      </c>
      <c r="F921" s="36">
        <f t="shared" si="295"/>
        <v>0</v>
      </c>
      <c r="G921" s="36">
        <f t="shared" si="296"/>
        <v>0</v>
      </c>
      <c r="H921" s="36">
        <f t="shared" si="297"/>
        <v>0</v>
      </c>
      <c r="I921" s="36">
        <f t="shared" si="298"/>
        <v>0</v>
      </c>
      <c r="J921" s="36">
        <f t="shared" si="299"/>
        <v>0</v>
      </c>
      <c r="K921" s="36">
        <f t="shared" si="300"/>
        <v>0</v>
      </c>
      <c r="L921" s="36">
        <f t="shared" si="301"/>
        <v>0</v>
      </c>
      <c r="M921" s="36">
        <f t="shared" si="302"/>
        <v>0</v>
      </c>
      <c r="N921" s="36">
        <f t="shared" si="303"/>
        <v>0</v>
      </c>
      <c r="O921" s="36">
        <f t="shared" si="304"/>
        <v>0</v>
      </c>
      <c r="P921" s="36">
        <f t="shared" si="305"/>
        <v>0</v>
      </c>
      <c r="Q921" s="36">
        <f t="shared" si="306"/>
        <v>0</v>
      </c>
      <c r="R921" s="36">
        <f t="shared" si="307"/>
        <v>0</v>
      </c>
      <c r="S921" s="36">
        <f t="shared" si="308"/>
        <v>0</v>
      </c>
      <c r="T921" s="36">
        <f t="shared" si="309"/>
        <v>0</v>
      </c>
      <c r="U921" s="36">
        <f t="shared" si="310"/>
        <v>0</v>
      </c>
      <c r="V921" s="36">
        <f t="shared" si="311"/>
        <v>0</v>
      </c>
      <c r="W921" s="36">
        <f t="shared" si="312"/>
        <v>0</v>
      </c>
      <c r="X921" s="36">
        <f t="shared" si="313"/>
        <v>0</v>
      </c>
      <c r="Y921" s="36">
        <f t="shared" si="314"/>
        <v>0</v>
      </c>
      <c r="Z921" s="36">
        <f t="shared" si="315"/>
        <v>0</v>
      </c>
      <c r="AB921" s="36" t="str">
        <f>IF(最佳化斷筋點!C921="","",最佳化斷筋點!C921)</f>
        <v>下層</v>
      </c>
      <c r="AC921" s="37">
        <f>IF(最佳化斷筋點!D921="","",最佳化斷筋點!D921)</f>
        <v>16</v>
      </c>
      <c r="AD921" s="37">
        <f>IF(最佳化斷筋點!E921="","",最佳化斷筋點!E921)</f>
        <v>16</v>
      </c>
      <c r="AE921" s="37">
        <f>IF(最佳化斷筋點!F921="","",最佳化斷筋點!F921)</f>
        <v>16</v>
      </c>
      <c r="AF921" s="37">
        <f>IF(最佳化斷筋點!G921="","",最佳化斷筋點!G921)</f>
        <v>16</v>
      </c>
      <c r="AG921" s="37">
        <f>IF(最佳化斷筋點!H921="","",最佳化斷筋點!H921)</f>
        <v>16</v>
      </c>
      <c r="AH921" s="37">
        <f>IF(最佳化斷筋點!I921="","",最佳化斷筋點!I921)</f>
        <v>15</v>
      </c>
      <c r="AI921" s="37">
        <f>IF(最佳化斷筋點!J921="","",最佳化斷筋點!J921)</f>
        <v>14</v>
      </c>
      <c r="AJ921" s="37">
        <f>IF(最佳化斷筋點!K921="","",最佳化斷筋點!K921)</f>
        <v>5</v>
      </c>
      <c r="AK921" s="37">
        <f>IF(最佳化斷筋點!L921="","",最佳化斷筋點!L921)</f>
        <v>5</v>
      </c>
      <c r="AL921" s="37">
        <f>IF(最佳化斷筋點!M921="","",最佳化斷筋點!M921)</f>
        <v>5</v>
      </c>
      <c r="AM921" s="37">
        <f>IF(最佳化斷筋點!N921="","",最佳化斷筋點!N921)</f>
        <v>5</v>
      </c>
      <c r="AN921" s="37">
        <f>IF(最佳化斷筋點!O921="","",最佳化斷筋點!O921)</f>
        <v>5</v>
      </c>
      <c r="AO921" s="37">
        <f>IF(最佳化斷筋點!P921="","",最佳化斷筋點!P921)</f>
        <v>5</v>
      </c>
      <c r="AP921" s="37">
        <f>IF(最佳化斷筋點!Q921="","",最佳化斷筋點!Q921)</f>
        <v>11</v>
      </c>
      <c r="AQ921" s="37">
        <f>IF(最佳化斷筋點!R921="","",最佳化斷筋點!R921)</f>
        <v>13</v>
      </c>
      <c r="AR921" s="37">
        <f>IF(最佳化斷筋點!S921="","",最佳化斷筋點!S921)</f>
        <v>14</v>
      </c>
      <c r="AS921" s="37">
        <f>IF(最佳化斷筋點!T921="","",最佳化斷筋點!T921)</f>
        <v>16</v>
      </c>
      <c r="AT921" s="37">
        <f>IF(最佳化斷筋點!U921="","",最佳化斷筋點!U921)</f>
        <v>16</v>
      </c>
      <c r="AU921" s="37">
        <f>IF(最佳化斷筋點!V921="","",最佳化斷筋點!V921)</f>
        <v>16</v>
      </c>
      <c r="AV921" s="37">
        <f>IF(最佳化斷筋點!W921="","",最佳化斷筋點!W921)</f>
        <v>16</v>
      </c>
      <c r="AW921" s="37">
        <f>IF(最佳化斷筋點!X921="","",最佳化斷筋點!X921)</f>
        <v>16</v>
      </c>
      <c r="AZ921" s="37">
        <v>16</v>
      </c>
      <c r="BA921" s="37">
        <v>16</v>
      </c>
      <c r="BB921" s="37">
        <v>16</v>
      </c>
      <c r="BC921" s="37">
        <v>16</v>
      </c>
      <c r="BD921" s="37">
        <v>16</v>
      </c>
      <c r="BE921" s="37">
        <v>15</v>
      </c>
      <c r="BF921" s="37">
        <v>14</v>
      </c>
      <c r="BG921" s="37">
        <v>5</v>
      </c>
      <c r="BH921" s="37">
        <v>5</v>
      </c>
      <c r="BI921" s="37">
        <v>5</v>
      </c>
      <c r="BJ921" s="37">
        <v>5</v>
      </c>
      <c r="BK921" s="37">
        <v>5</v>
      </c>
      <c r="BL921" s="37">
        <v>5</v>
      </c>
      <c r="BM921" s="37">
        <v>11</v>
      </c>
      <c r="BN921" s="37">
        <v>13</v>
      </c>
      <c r="BO921" s="37">
        <v>14</v>
      </c>
      <c r="BP921" s="37">
        <v>16</v>
      </c>
      <c r="BQ921" s="37">
        <v>16</v>
      </c>
      <c r="BR921" s="37">
        <v>16</v>
      </c>
      <c r="BS921" s="37">
        <v>16</v>
      </c>
      <c r="BT921" s="37">
        <v>16</v>
      </c>
    </row>
    <row r="922" spans="5:72" x14ac:dyDescent="0.25">
      <c r="E922" s="36"/>
      <c r="F922" s="36">
        <f t="shared" si="295"/>
        <v>0</v>
      </c>
      <c r="G922" s="36">
        <f t="shared" si="296"/>
        <v>0</v>
      </c>
      <c r="H922" s="36">
        <f t="shared" si="297"/>
        <v>0</v>
      </c>
      <c r="I922" s="36">
        <f t="shared" si="298"/>
        <v>0</v>
      </c>
      <c r="J922" s="36">
        <f t="shared" si="299"/>
        <v>0</v>
      </c>
      <c r="K922" s="36">
        <f t="shared" si="300"/>
        <v>0</v>
      </c>
      <c r="L922" s="36">
        <f t="shared" si="301"/>
        <v>0</v>
      </c>
      <c r="M922" s="36">
        <f t="shared" si="302"/>
        <v>0</v>
      </c>
      <c r="N922" s="36">
        <f t="shared" si="303"/>
        <v>0</v>
      </c>
      <c r="O922" s="36">
        <f t="shared" si="304"/>
        <v>0</v>
      </c>
      <c r="P922" s="36">
        <f t="shared" si="305"/>
        <v>0</v>
      </c>
      <c r="Q922" s="36">
        <f t="shared" si="306"/>
        <v>0</v>
      </c>
      <c r="R922" s="36">
        <f t="shared" si="307"/>
        <v>0</v>
      </c>
      <c r="S922" s="36">
        <f t="shared" si="308"/>
        <v>0</v>
      </c>
      <c r="T922" s="36">
        <f t="shared" si="309"/>
        <v>0</v>
      </c>
      <c r="U922" s="36">
        <f t="shared" si="310"/>
        <v>0</v>
      </c>
      <c r="V922" s="36">
        <f t="shared" si="311"/>
        <v>0</v>
      </c>
      <c r="W922" s="36">
        <f t="shared" si="312"/>
        <v>0</v>
      </c>
      <c r="X922" s="36">
        <f t="shared" si="313"/>
        <v>0</v>
      </c>
      <c r="Y922" s="36">
        <f t="shared" si="314"/>
        <v>0</v>
      </c>
      <c r="Z922" s="36">
        <f t="shared" si="315"/>
        <v>0</v>
      </c>
      <c r="AB922" s="36" t="str">
        <f>IF(最佳化斷筋點!C922="","",最佳化斷筋點!C922)</f>
        <v/>
      </c>
      <c r="AC922" s="37" t="str">
        <f>IF(最佳化斷筋點!D922="","",最佳化斷筋點!D922)</f>
        <v/>
      </c>
      <c r="AD922" s="37" t="str">
        <f>IF(最佳化斷筋點!E922="","",最佳化斷筋點!E922)</f>
        <v/>
      </c>
      <c r="AE922" s="37" t="str">
        <f>IF(最佳化斷筋點!F922="","",最佳化斷筋點!F922)</f>
        <v/>
      </c>
      <c r="AF922" s="37" t="str">
        <f>IF(最佳化斷筋點!G922="","",最佳化斷筋點!G922)</f>
        <v/>
      </c>
      <c r="AG922" s="37" t="str">
        <f>IF(最佳化斷筋點!H922="","",最佳化斷筋點!H922)</f>
        <v/>
      </c>
      <c r="AH922" s="37" t="str">
        <f>IF(最佳化斷筋點!I922="","",最佳化斷筋點!I922)</f>
        <v/>
      </c>
      <c r="AI922" s="37" t="str">
        <f>IF(最佳化斷筋點!J922="","",最佳化斷筋點!J922)</f>
        <v/>
      </c>
      <c r="AJ922" s="37" t="str">
        <f>IF(最佳化斷筋點!K922="","",最佳化斷筋點!K922)</f>
        <v/>
      </c>
      <c r="AK922" s="37" t="str">
        <f>IF(最佳化斷筋點!L922="","",最佳化斷筋點!L922)</f>
        <v/>
      </c>
      <c r="AL922" s="37" t="str">
        <f>IF(最佳化斷筋點!M922="","",最佳化斷筋點!M922)</f>
        <v/>
      </c>
      <c r="AM922" s="37" t="str">
        <f>IF(最佳化斷筋點!N922="","",最佳化斷筋點!N922)</f>
        <v/>
      </c>
      <c r="AN922" s="37" t="str">
        <f>IF(最佳化斷筋點!O922="","",最佳化斷筋點!O922)</f>
        <v/>
      </c>
      <c r="AO922" s="37" t="str">
        <f>IF(最佳化斷筋點!P922="","",最佳化斷筋點!P922)</f>
        <v/>
      </c>
      <c r="AP922" s="37" t="str">
        <f>IF(最佳化斷筋點!Q922="","",最佳化斷筋點!Q922)</f>
        <v/>
      </c>
      <c r="AQ922" s="37" t="str">
        <f>IF(最佳化斷筋點!R922="","",最佳化斷筋點!R922)</f>
        <v/>
      </c>
      <c r="AR922" s="37" t="str">
        <f>IF(最佳化斷筋點!S922="","",最佳化斷筋點!S922)</f>
        <v/>
      </c>
      <c r="AS922" s="37" t="str">
        <f>IF(最佳化斷筋點!T922="","",最佳化斷筋點!T922)</f>
        <v/>
      </c>
      <c r="AT922" s="37" t="str">
        <f>IF(最佳化斷筋點!U922="","",最佳化斷筋點!U922)</f>
        <v/>
      </c>
      <c r="AU922" s="37" t="str">
        <f>IF(最佳化斷筋點!V922="","",最佳化斷筋點!V922)</f>
        <v/>
      </c>
      <c r="AV922" s="37" t="str">
        <f>IF(最佳化斷筋點!W922="","",最佳化斷筋點!W922)</f>
        <v/>
      </c>
      <c r="AW922" s="37" t="str">
        <f>IF(最佳化斷筋點!X922="","",最佳化斷筋點!X922)</f>
        <v/>
      </c>
      <c r="AZ922" s="37" t="s">
        <v>197</v>
      </c>
      <c r="BA922" s="37" t="s">
        <v>197</v>
      </c>
      <c r="BB922" s="37" t="s">
        <v>197</v>
      </c>
      <c r="BC922" s="37" t="s">
        <v>197</v>
      </c>
      <c r="BD922" s="37" t="s">
        <v>197</v>
      </c>
      <c r="BE922" s="37" t="s">
        <v>197</v>
      </c>
      <c r="BF922" s="37" t="s">
        <v>197</v>
      </c>
      <c r="BG922" s="37" t="s">
        <v>197</v>
      </c>
      <c r="BH922" s="37" t="s">
        <v>197</v>
      </c>
      <c r="BI922" s="37" t="s">
        <v>197</v>
      </c>
      <c r="BJ922" s="37" t="s">
        <v>197</v>
      </c>
      <c r="BK922" s="37" t="s">
        <v>197</v>
      </c>
      <c r="BL922" s="37" t="s">
        <v>197</v>
      </c>
      <c r="BM922" s="37" t="s">
        <v>197</v>
      </c>
      <c r="BN922" s="37" t="s">
        <v>197</v>
      </c>
      <c r="BO922" s="37" t="s">
        <v>197</v>
      </c>
      <c r="BP922" s="37" t="s">
        <v>197</v>
      </c>
      <c r="BQ922" s="37" t="s">
        <v>197</v>
      </c>
      <c r="BR922" s="37" t="s">
        <v>197</v>
      </c>
      <c r="BS922" s="37" t="s">
        <v>197</v>
      </c>
      <c r="BT922" s="37" t="s">
        <v>197</v>
      </c>
    </row>
    <row r="923" spans="5:72" x14ac:dyDescent="0.25">
      <c r="E923" s="36" t="s">
        <v>20</v>
      </c>
      <c r="F923" s="36">
        <f t="shared" si="295"/>
        <v>0</v>
      </c>
      <c r="G923" s="36">
        <f t="shared" si="296"/>
        <v>0</v>
      </c>
      <c r="H923" s="36">
        <f t="shared" si="297"/>
        <v>0</v>
      </c>
      <c r="I923" s="36">
        <f t="shared" si="298"/>
        <v>0</v>
      </c>
      <c r="J923" s="36">
        <f t="shared" si="299"/>
        <v>0</v>
      </c>
      <c r="K923" s="36">
        <f t="shared" si="300"/>
        <v>0</v>
      </c>
      <c r="L923" s="36">
        <f t="shared" si="301"/>
        <v>0</v>
      </c>
      <c r="M923" s="36">
        <f t="shared" si="302"/>
        <v>0</v>
      </c>
      <c r="N923" s="36">
        <f t="shared" si="303"/>
        <v>0</v>
      </c>
      <c r="O923" s="36">
        <f t="shared" si="304"/>
        <v>0</v>
      </c>
      <c r="P923" s="36">
        <f t="shared" si="305"/>
        <v>0</v>
      </c>
      <c r="Q923" s="36">
        <f t="shared" si="306"/>
        <v>0</v>
      </c>
      <c r="R923" s="36">
        <f t="shared" si="307"/>
        <v>0</v>
      </c>
      <c r="S923" s="36">
        <f t="shared" si="308"/>
        <v>0</v>
      </c>
      <c r="T923" s="36">
        <f t="shared" si="309"/>
        <v>0</v>
      </c>
      <c r="U923" s="36">
        <f t="shared" si="310"/>
        <v>0</v>
      </c>
      <c r="V923" s="36">
        <f t="shared" si="311"/>
        <v>0</v>
      </c>
      <c r="W923" s="36">
        <f t="shared" si="312"/>
        <v>0</v>
      </c>
      <c r="X923" s="36">
        <f t="shared" si="313"/>
        <v>0</v>
      </c>
      <c r="Y923" s="36">
        <f t="shared" si="314"/>
        <v>0</v>
      </c>
      <c r="Z923" s="36">
        <f t="shared" si="315"/>
        <v>0</v>
      </c>
      <c r="AB923" s="36" t="str">
        <f>IF(最佳化斷筋點!C923="","",最佳化斷筋點!C923)</f>
        <v>上層</v>
      </c>
      <c r="AC923" s="37">
        <f>IF(最佳化斷筋點!D923="","",最佳化斷筋點!D923)</f>
        <v>12</v>
      </c>
      <c r="AD923" s="37">
        <f>IF(最佳化斷筋點!E923="","",最佳化斷筋點!E923)</f>
        <v>12</v>
      </c>
      <c r="AE923" s="37">
        <f>IF(最佳化斷筋點!F923="","",最佳化斷筋點!F923)</f>
        <v>12</v>
      </c>
      <c r="AF923" s="37">
        <f>IF(最佳化斷筋點!G923="","",最佳化斷筋點!G923)</f>
        <v>12</v>
      </c>
      <c r="AG923" s="37">
        <f>IF(最佳化斷筋點!H923="","",最佳化斷筋點!H923)</f>
        <v>12</v>
      </c>
      <c r="AH923" s="37">
        <f>IF(最佳化斷筋點!I923="","",最佳化斷筋點!I923)</f>
        <v>12</v>
      </c>
      <c r="AI923" s="37">
        <f>IF(最佳化斷筋點!J923="","",最佳化斷筋點!J923)</f>
        <v>11</v>
      </c>
      <c r="AJ923" s="37">
        <f>IF(最佳化斷筋點!K923="","",最佳化斷筋點!K923)</f>
        <v>4</v>
      </c>
      <c r="AK923" s="37">
        <f>IF(最佳化斷筋點!L923="","",最佳化斷筋點!L923)</f>
        <v>4</v>
      </c>
      <c r="AL923" s="37">
        <f>IF(最佳化斷筋點!M923="","",最佳化斷筋點!M923)</f>
        <v>4</v>
      </c>
      <c r="AM923" s="37">
        <f>IF(最佳化斷筋點!N923="","",最佳化斷筋點!N923)</f>
        <v>4</v>
      </c>
      <c r="AN923" s="37">
        <f>IF(最佳化斷筋點!O923="","",最佳化斷筋點!O923)</f>
        <v>4</v>
      </c>
      <c r="AO923" s="37">
        <f>IF(最佳化斷筋點!P923="","",最佳化斷筋點!P923)</f>
        <v>4</v>
      </c>
      <c r="AP923" s="37">
        <f>IF(最佳化斷筋點!Q923="","",最佳化斷筋點!Q923)</f>
        <v>8</v>
      </c>
      <c r="AQ923" s="37">
        <f>IF(最佳化斷筋點!R923="","",最佳化斷筋點!R923)</f>
        <v>9</v>
      </c>
      <c r="AR923" s="37">
        <f>IF(最佳化斷筋點!S923="","",最佳化斷筋點!S923)</f>
        <v>10</v>
      </c>
      <c r="AS923" s="37">
        <f>IF(最佳化斷筋點!T923="","",最佳化斷筋點!T923)</f>
        <v>10</v>
      </c>
      <c r="AT923" s="37">
        <f>IF(最佳化斷筋點!U923="","",最佳化斷筋點!U923)</f>
        <v>10</v>
      </c>
      <c r="AU923" s="37">
        <f>IF(最佳化斷筋點!V923="","",最佳化斷筋點!V923)</f>
        <v>10</v>
      </c>
      <c r="AV923" s="37">
        <f>IF(最佳化斷筋點!W923="","",最佳化斷筋點!W923)</f>
        <v>10</v>
      </c>
      <c r="AW923" s="37">
        <f>IF(最佳化斷筋點!X923="","",最佳化斷筋點!X923)</f>
        <v>10</v>
      </c>
      <c r="AZ923" s="37">
        <v>12</v>
      </c>
      <c r="BA923" s="37">
        <v>12</v>
      </c>
      <c r="BB923" s="37">
        <v>12</v>
      </c>
      <c r="BC923" s="37">
        <v>12</v>
      </c>
      <c r="BD923" s="37">
        <v>12</v>
      </c>
      <c r="BE923" s="37">
        <v>12</v>
      </c>
      <c r="BF923" s="37">
        <v>11</v>
      </c>
      <c r="BG923" s="37">
        <v>4</v>
      </c>
      <c r="BH923" s="37">
        <v>4</v>
      </c>
      <c r="BI923" s="37">
        <v>4</v>
      </c>
      <c r="BJ923" s="37">
        <v>4</v>
      </c>
      <c r="BK923" s="37">
        <v>4</v>
      </c>
      <c r="BL923" s="37">
        <v>4</v>
      </c>
      <c r="BM923" s="37">
        <v>8</v>
      </c>
      <c r="BN923" s="37">
        <v>9</v>
      </c>
      <c r="BO923" s="37">
        <v>10</v>
      </c>
      <c r="BP923" s="37">
        <v>10</v>
      </c>
      <c r="BQ923" s="37">
        <v>10</v>
      </c>
      <c r="BR923" s="37">
        <v>10</v>
      </c>
      <c r="BS923" s="37">
        <v>10</v>
      </c>
      <c r="BT923" s="37">
        <v>10</v>
      </c>
    </row>
    <row r="924" spans="5:72" x14ac:dyDescent="0.25">
      <c r="E924" s="36"/>
      <c r="F924" s="36">
        <f t="shared" si="295"/>
        <v>0</v>
      </c>
      <c r="G924" s="36">
        <f t="shared" si="296"/>
        <v>0</v>
      </c>
      <c r="H924" s="36">
        <f t="shared" si="297"/>
        <v>0</v>
      </c>
      <c r="I924" s="36">
        <f t="shared" si="298"/>
        <v>0</v>
      </c>
      <c r="J924" s="36">
        <f t="shared" si="299"/>
        <v>0</v>
      </c>
      <c r="K924" s="36">
        <f t="shared" si="300"/>
        <v>0</v>
      </c>
      <c r="L924" s="36">
        <f t="shared" si="301"/>
        <v>0</v>
      </c>
      <c r="M924" s="36">
        <f t="shared" si="302"/>
        <v>0</v>
      </c>
      <c r="N924" s="36">
        <f t="shared" si="303"/>
        <v>0</v>
      </c>
      <c r="O924" s="36">
        <f t="shared" si="304"/>
        <v>0</v>
      </c>
      <c r="P924" s="36">
        <f t="shared" si="305"/>
        <v>0</v>
      </c>
      <c r="Q924" s="36">
        <f t="shared" si="306"/>
        <v>0</v>
      </c>
      <c r="R924" s="36">
        <f t="shared" si="307"/>
        <v>0</v>
      </c>
      <c r="S924" s="36">
        <f t="shared" si="308"/>
        <v>0</v>
      </c>
      <c r="T924" s="36">
        <f t="shared" si="309"/>
        <v>0</v>
      </c>
      <c r="U924" s="36">
        <f t="shared" si="310"/>
        <v>0</v>
      </c>
      <c r="V924" s="36">
        <f t="shared" si="311"/>
        <v>0</v>
      </c>
      <c r="W924" s="36">
        <f t="shared" si="312"/>
        <v>0</v>
      </c>
      <c r="X924" s="36">
        <f t="shared" si="313"/>
        <v>0</v>
      </c>
      <c r="Y924" s="36">
        <f t="shared" si="314"/>
        <v>0</v>
      </c>
      <c r="Z924" s="36">
        <f t="shared" si="315"/>
        <v>0</v>
      </c>
      <c r="AB924" s="36" t="str">
        <f>IF(最佳化斷筋點!C924="","",最佳化斷筋點!C924)</f>
        <v/>
      </c>
      <c r="AC924" s="37" t="str">
        <f>IF(最佳化斷筋點!D924="","",最佳化斷筋點!D924)</f>
        <v/>
      </c>
      <c r="AD924" s="37" t="str">
        <f>IF(最佳化斷筋點!E924="","",最佳化斷筋點!E924)</f>
        <v/>
      </c>
      <c r="AE924" s="37" t="str">
        <f>IF(最佳化斷筋點!F924="","",最佳化斷筋點!F924)</f>
        <v/>
      </c>
      <c r="AF924" s="37" t="str">
        <f>IF(最佳化斷筋點!G924="","",最佳化斷筋點!G924)</f>
        <v/>
      </c>
      <c r="AG924" s="37" t="str">
        <f>IF(最佳化斷筋點!H924="","",最佳化斷筋點!H924)</f>
        <v/>
      </c>
      <c r="AH924" s="37" t="str">
        <f>IF(最佳化斷筋點!I924="","",最佳化斷筋點!I924)</f>
        <v/>
      </c>
      <c r="AI924" s="37" t="str">
        <f>IF(最佳化斷筋點!J924="","",最佳化斷筋點!J924)</f>
        <v/>
      </c>
      <c r="AJ924" s="37" t="str">
        <f>IF(最佳化斷筋點!K924="","",最佳化斷筋點!K924)</f>
        <v/>
      </c>
      <c r="AK924" s="37" t="str">
        <f>IF(最佳化斷筋點!L924="","",最佳化斷筋點!L924)</f>
        <v/>
      </c>
      <c r="AL924" s="37" t="str">
        <f>IF(最佳化斷筋點!M924="","",最佳化斷筋點!M924)</f>
        <v/>
      </c>
      <c r="AM924" s="37" t="str">
        <f>IF(最佳化斷筋點!N924="","",最佳化斷筋點!N924)</f>
        <v/>
      </c>
      <c r="AN924" s="37" t="str">
        <f>IF(最佳化斷筋點!O924="","",最佳化斷筋點!O924)</f>
        <v/>
      </c>
      <c r="AO924" s="37" t="str">
        <f>IF(最佳化斷筋點!P924="","",最佳化斷筋點!P924)</f>
        <v/>
      </c>
      <c r="AP924" s="37" t="str">
        <f>IF(最佳化斷筋點!Q924="","",最佳化斷筋點!Q924)</f>
        <v/>
      </c>
      <c r="AQ924" s="37" t="str">
        <f>IF(最佳化斷筋點!R924="","",最佳化斷筋點!R924)</f>
        <v/>
      </c>
      <c r="AR924" s="37" t="str">
        <f>IF(最佳化斷筋點!S924="","",最佳化斷筋點!S924)</f>
        <v/>
      </c>
      <c r="AS924" s="37" t="str">
        <f>IF(最佳化斷筋點!T924="","",最佳化斷筋點!T924)</f>
        <v/>
      </c>
      <c r="AT924" s="37" t="str">
        <f>IF(最佳化斷筋點!U924="","",最佳化斷筋點!U924)</f>
        <v/>
      </c>
      <c r="AU924" s="37" t="str">
        <f>IF(最佳化斷筋點!V924="","",最佳化斷筋點!V924)</f>
        <v/>
      </c>
      <c r="AV924" s="37" t="str">
        <f>IF(最佳化斷筋點!W924="","",最佳化斷筋點!W924)</f>
        <v/>
      </c>
      <c r="AW924" s="37" t="str">
        <f>IF(最佳化斷筋點!X924="","",最佳化斷筋點!X924)</f>
        <v/>
      </c>
      <c r="AZ924" s="37" t="s">
        <v>197</v>
      </c>
      <c r="BA924" s="37" t="s">
        <v>197</v>
      </c>
      <c r="BB924" s="37" t="s">
        <v>197</v>
      </c>
      <c r="BC924" s="37" t="s">
        <v>197</v>
      </c>
      <c r="BD924" s="37" t="s">
        <v>197</v>
      </c>
      <c r="BE924" s="37" t="s">
        <v>197</v>
      </c>
      <c r="BF924" s="37" t="s">
        <v>197</v>
      </c>
      <c r="BG924" s="37" t="s">
        <v>197</v>
      </c>
      <c r="BH924" s="37" t="s">
        <v>197</v>
      </c>
      <c r="BI924" s="37" t="s">
        <v>197</v>
      </c>
      <c r="BJ924" s="37" t="s">
        <v>197</v>
      </c>
      <c r="BK924" s="37" t="s">
        <v>197</v>
      </c>
      <c r="BL924" s="37" t="s">
        <v>197</v>
      </c>
      <c r="BM924" s="37" t="s">
        <v>197</v>
      </c>
      <c r="BN924" s="37" t="s">
        <v>197</v>
      </c>
      <c r="BO924" s="37" t="s">
        <v>197</v>
      </c>
      <c r="BP924" s="37" t="s">
        <v>197</v>
      </c>
      <c r="BQ924" s="37" t="s">
        <v>197</v>
      </c>
      <c r="BR924" s="37" t="s">
        <v>197</v>
      </c>
      <c r="BS924" s="37" t="s">
        <v>197</v>
      </c>
      <c r="BT924" s="37" t="s">
        <v>197</v>
      </c>
    </row>
    <row r="925" spans="5:72" x14ac:dyDescent="0.25">
      <c r="E925" s="36" t="s">
        <v>21</v>
      </c>
      <c r="F925" s="36">
        <f t="shared" si="295"/>
        <v>0</v>
      </c>
      <c r="G925" s="36">
        <f t="shared" si="296"/>
        <v>0</v>
      </c>
      <c r="H925" s="36">
        <f t="shared" si="297"/>
        <v>0</v>
      </c>
      <c r="I925" s="36">
        <f t="shared" si="298"/>
        <v>0</v>
      </c>
      <c r="J925" s="36">
        <f t="shared" si="299"/>
        <v>0</v>
      </c>
      <c r="K925" s="36">
        <f t="shared" si="300"/>
        <v>0</v>
      </c>
      <c r="L925" s="36">
        <f t="shared" si="301"/>
        <v>0</v>
      </c>
      <c r="M925" s="36">
        <f t="shared" si="302"/>
        <v>0</v>
      </c>
      <c r="N925" s="36">
        <f t="shared" si="303"/>
        <v>0</v>
      </c>
      <c r="O925" s="36">
        <f t="shared" si="304"/>
        <v>0</v>
      </c>
      <c r="P925" s="36">
        <f t="shared" si="305"/>
        <v>0</v>
      </c>
      <c r="Q925" s="36">
        <f t="shared" si="306"/>
        <v>0</v>
      </c>
      <c r="R925" s="36">
        <f t="shared" si="307"/>
        <v>0</v>
      </c>
      <c r="S925" s="36">
        <f t="shared" si="308"/>
        <v>0</v>
      </c>
      <c r="T925" s="36">
        <f t="shared" si="309"/>
        <v>0</v>
      </c>
      <c r="U925" s="36">
        <f t="shared" si="310"/>
        <v>0</v>
      </c>
      <c r="V925" s="36">
        <f t="shared" si="311"/>
        <v>0</v>
      </c>
      <c r="W925" s="36">
        <f t="shared" si="312"/>
        <v>0</v>
      </c>
      <c r="X925" s="36">
        <f t="shared" si="313"/>
        <v>0</v>
      </c>
      <c r="Y925" s="36">
        <f t="shared" si="314"/>
        <v>0</v>
      </c>
      <c r="Z925" s="36">
        <f t="shared" si="315"/>
        <v>0</v>
      </c>
      <c r="AB925" s="36" t="str">
        <f>IF(最佳化斷筋點!C925="","",最佳化斷筋點!C925)</f>
        <v>下層</v>
      </c>
      <c r="AC925" s="37">
        <f>IF(最佳化斷筋點!D925="","",最佳化斷筋點!D925)</f>
        <v>15</v>
      </c>
      <c r="AD925" s="37">
        <f>IF(最佳化斷筋點!E925="","",最佳化斷筋點!E925)</f>
        <v>15</v>
      </c>
      <c r="AE925" s="37">
        <f>IF(最佳化斷筋點!F925="","",最佳化斷筋點!F925)</f>
        <v>15</v>
      </c>
      <c r="AF925" s="37">
        <f>IF(最佳化斷筋點!G925="","",最佳化斷筋點!G925)</f>
        <v>15</v>
      </c>
      <c r="AG925" s="37">
        <f>IF(最佳化斷筋點!H925="","",最佳化斷筋點!H925)</f>
        <v>14</v>
      </c>
      <c r="AH925" s="37">
        <f>IF(最佳化斷筋點!I925="","",最佳化斷筋點!I925)</f>
        <v>13</v>
      </c>
      <c r="AI925" s="37">
        <f>IF(最佳化斷筋點!J925="","",最佳化斷筋點!J925)</f>
        <v>11</v>
      </c>
      <c r="AJ925" s="37">
        <f>IF(最佳化斷筋點!K925="","",最佳化斷筋點!K925)</f>
        <v>5</v>
      </c>
      <c r="AK925" s="37">
        <f>IF(最佳化斷筋點!L925="","",最佳化斷筋點!L925)</f>
        <v>5</v>
      </c>
      <c r="AL925" s="37">
        <f>IF(最佳化斷筋點!M925="","",最佳化斷筋點!M925)</f>
        <v>5</v>
      </c>
      <c r="AM925" s="37">
        <f>IF(最佳化斷筋點!N925="","",最佳化斷筋點!N925)</f>
        <v>5</v>
      </c>
      <c r="AN925" s="37">
        <f>IF(最佳化斷筋點!O925="","",最佳化斷筋點!O925)</f>
        <v>5</v>
      </c>
      <c r="AO925" s="37">
        <f>IF(最佳化斷筋點!P925="","",最佳化斷筋點!P925)</f>
        <v>5</v>
      </c>
      <c r="AP925" s="37">
        <f>IF(最佳化斷筋點!Q925="","",最佳化斷筋點!Q925)</f>
        <v>9</v>
      </c>
      <c r="AQ925" s="37">
        <f>IF(最佳化斷筋點!R925="","",最佳化斷筋點!R925)</f>
        <v>11</v>
      </c>
      <c r="AR925" s="37">
        <f>IF(最佳化斷筋點!S925="","",最佳化斷筋點!S925)</f>
        <v>12</v>
      </c>
      <c r="AS925" s="37">
        <f>IF(最佳化斷筋點!T925="","",最佳化斷筋點!T925)</f>
        <v>14</v>
      </c>
      <c r="AT925" s="37">
        <f>IF(最佳化斷筋點!U925="","",最佳化斷筋點!U925)</f>
        <v>15</v>
      </c>
      <c r="AU925" s="37">
        <f>IF(最佳化斷筋點!V925="","",最佳化斷筋點!V925)</f>
        <v>15</v>
      </c>
      <c r="AV925" s="37">
        <f>IF(最佳化斷筋點!W925="","",最佳化斷筋點!W925)</f>
        <v>15</v>
      </c>
      <c r="AW925" s="37">
        <f>IF(最佳化斷筋點!X925="","",最佳化斷筋點!X925)</f>
        <v>15</v>
      </c>
      <c r="AZ925" s="37">
        <v>15</v>
      </c>
      <c r="BA925" s="37">
        <v>15</v>
      </c>
      <c r="BB925" s="37">
        <v>15</v>
      </c>
      <c r="BC925" s="37">
        <v>15</v>
      </c>
      <c r="BD925" s="37">
        <v>14</v>
      </c>
      <c r="BE925" s="37">
        <v>13</v>
      </c>
      <c r="BF925" s="37">
        <v>11</v>
      </c>
      <c r="BG925" s="37">
        <v>5</v>
      </c>
      <c r="BH925" s="37">
        <v>5</v>
      </c>
      <c r="BI925" s="37">
        <v>5</v>
      </c>
      <c r="BJ925" s="37">
        <v>5</v>
      </c>
      <c r="BK925" s="37">
        <v>5</v>
      </c>
      <c r="BL925" s="37">
        <v>5</v>
      </c>
      <c r="BM925" s="37">
        <v>9</v>
      </c>
      <c r="BN925" s="37">
        <v>11</v>
      </c>
      <c r="BO925" s="37">
        <v>12</v>
      </c>
      <c r="BP925" s="37">
        <v>14</v>
      </c>
      <c r="BQ925" s="37">
        <v>15</v>
      </c>
      <c r="BR925" s="37">
        <v>15</v>
      </c>
      <c r="BS925" s="37">
        <v>15</v>
      </c>
      <c r="BT925" s="37">
        <v>15</v>
      </c>
    </row>
    <row r="926" spans="5:72" x14ac:dyDescent="0.25">
      <c r="E926" s="36"/>
      <c r="F926" s="36">
        <f t="shared" si="295"/>
        <v>0</v>
      </c>
      <c r="G926" s="36">
        <f t="shared" si="296"/>
        <v>0</v>
      </c>
      <c r="H926" s="36">
        <f t="shared" si="297"/>
        <v>0</v>
      </c>
      <c r="I926" s="36">
        <f t="shared" si="298"/>
        <v>0</v>
      </c>
      <c r="J926" s="36">
        <f t="shared" si="299"/>
        <v>0</v>
      </c>
      <c r="K926" s="36">
        <f t="shared" si="300"/>
        <v>0</v>
      </c>
      <c r="L926" s="36">
        <f t="shared" si="301"/>
        <v>0</v>
      </c>
      <c r="M926" s="36">
        <f t="shared" si="302"/>
        <v>0</v>
      </c>
      <c r="N926" s="36">
        <f t="shared" si="303"/>
        <v>0</v>
      </c>
      <c r="O926" s="36">
        <f t="shared" si="304"/>
        <v>0</v>
      </c>
      <c r="P926" s="36">
        <f t="shared" si="305"/>
        <v>0</v>
      </c>
      <c r="Q926" s="36">
        <f t="shared" si="306"/>
        <v>0</v>
      </c>
      <c r="R926" s="36">
        <f t="shared" si="307"/>
        <v>0</v>
      </c>
      <c r="S926" s="36">
        <f t="shared" si="308"/>
        <v>0</v>
      </c>
      <c r="T926" s="36">
        <f t="shared" si="309"/>
        <v>0</v>
      </c>
      <c r="U926" s="36">
        <f t="shared" si="310"/>
        <v>0</v>
      </c>
      <c r="V926" s="36">
        <f t="shared" si="311"/>
        <v>0</v>
      </c>
      <c r="W926" s="36">
        <f t="shared" si="312"/>
        <v>0</v>
      </c>
      <c r="X926" s="36">
        <f t="shared" si="313"/>
        <v>0</v>
      </c>
      <c r="Y926" s="36">
        <f t="shared" si="314"/>
        <v>0</v>
      </c>
      <c r="Z926" s="36">
        <f t="shared" si="315"/>
        <v>0</v>
      </c>
      <c r="AB926" s="36" t="str">
        <f>IF(最佳化斷筋點!C926="","",最佳化斷筋點!C926)</f>
        <v/>
      </c>
      <c r="AC926" s="37" t="str">
        <f>IF(最佳化斷筋點!D926="","",最佳化斷筋點!D926)</f>
        <v/>
      </c>
      <c r="AD926" s="37" t="str">
        <f>IF(最佳化斷筋點!E926="","",最佳化斷筋點!E926)</f>
        <v/>
      </c>
      <c r="AE926" s="37" t="str">
        <f>IF(最佳化斷筋點!F926="","",最佳化斷筋點!F926)</f>
        <v/>
      </c>
      <c r="AF926" s="37" t="str">
        <f>IF(最佳化斷筋點!G926="","",最佳化斷筋點!G926)</f>
        <v/>
      </c>
      <c r="AG926" s="37" t="str">
        <f>IF(最佳化斷筋點!H926="","",最佳化斷筋點!H926)</f>
        <v/>
      </c>
      <c r="AH926" s="37" t="str">
        <f>IF(最佳化斷筋點!I926="","",最佳化斷筋點!I926)</f>
        <v/>
      </c>
      <c r="AI926" s="37" t="str">
        <f>IF(最佳化斷筋點!J926="","",最佳化斷筋點!J926)</f>
        <v/>
      </c>
      <c r="AJ926" s="37" t="str">
        <f>IF(最佳化斷筋點!K926="","",最佳化斷筋點!K926)</f>
        <v/>
      </c>
      <c r="AK926" s="37" t="str">
        <f>IF(最佳化斷筋點!L926="","",最佳化斷筋點!L926)</f>
        <v/>
      </c>
      <c r="AL926" s="37" t="str">
        <f>IF(最佳化斷筋點!M926="","",最佳化斷筋點!M926)</f>
        <v/>
      </c>
      <c r="AM926" s="37" t="str">
        <f>IF(最佳化斷筋點!N926="","",最佳化斷筋點!N926)</f>
        <v/>
      </c>
      <c r="AN926" s="37" t="str">
        <f>IF(最佳化斷筋點!O926="","",最佳化斷筋點!O926)</f>
        <v/>
      </c>
      <c r="AO926" s="37" t="str">
        <f>IF(最佳化斷筋點!P926="","",最佳化斷筋點!P926)</f>
        <v/>
      </c>
      <c r="AP926" s="37" t="str">
        <f>IF(最佳化斷筋點!Q926="","",最佳化斷筋點!Q926)</f>
        <v/>
      </c>
      <c r="AQ926" s="37" t="str">
        <f>IF(最佳化斷筋點!R926="","",最佳化斷筋點!R926)</f>
        <v/>
      </c>
      <c r="AR926" s="37" t="str">
        <f>IF(最佳化斷筋點!S926="","",最佳化斷筋點!S926)</f>
        <v/>
      </c>
      <c r="AS926" s="37" t="str">
        <f>IF(最佳化斷筋點!T926="","",最佳化斷筋點!T926)</f>
        <v/>
      </c>
      <c r="AT926" s="37" t="str">
        <f>IF(最佳化斷筋點!U926="","",最佳化斷筋點!U926)</f>
        <v/>
      </c>
      <c r="AU926" s="37" t="str">
        <f>IF(最佳化斷筋點!V926="","",最佳化斷筋點!V926)</f>
        <v/>
      </c>
      <c r="AV926" s="37" t="str">
        <f>IF(最佳化斷筋點!W926="","",最佳化斷筋點!W926)</f>
        <v/>
      </c>
      <c r="AW926" s="37" t="str">
        <f>IF(最佳化斷筋點!X926="","",最佳化斷筋點!X926)</f>
        <v/>
      </c>
      <c r="AZ926" s="37" t="s">
        <v>197</v>
      </c>
      <c r="BA926" s="37" t="s">
        <v>197</v>
      </c>
      <c r="BB926" s="37" t="s">
        <v>197</v>
      </c>
      <c r="BC926" s="37" t="s">
        <v>197</v>
      </c>
      <c r="BD926" s="37" t="s">
        <v>197</v>
      </c>
      <c r="BE926" s="37" t="s">
        <v>197</v>
      </c>
      <c r="BF926" s="37" t="s">
        <v>197</v>
      </c>
      <c r="BG926" s="37" t="s">
        <v>197</v>
      </c>
      <c r="BH926" s="37" t="s">
        <v>197</v>
      </c>
      <c r="BI926" s="37" t="s">
        <v>197</v>
      </c>
      <c r="BJ926" s="37" t="s">
        <v>197</v>
      </c>
      <c r="BK926" s="37" t="s">
        <v>197</v>
      </c>
      <c r="BL926" s="37" t="s">
        <v>197</v>
      </c>
      <c r="BM926" s="37" t="s">
        <v>197</v>
      </c>
      <c r="BN926" s="37" t="s">
        <v>197</v>
      </c>
      <c r="BO926" s="37" t="s">
        <v>197</v>
      </c>
      <c r="BP926" s="37" t="s">
        <v>197</v>
      </c>
      <c r="BQ926" s="37" t="s">
        <v>197</v>
      </c>
      <c r="BR926" s="37" t="s">
        <v>197</v>
      </c>
      <c r="BS926" s="37" t="s">
        <v>197</v>
      </c>
      <c r="BT926" s="37" t="s">
        <v>197</v>
      </c>
    </row>
    <row r="927" spans="5:72" x14ac:dyDescent="0.25">
      <c r="E927" s="36" t="s">
        <v>20</v>
      </c>
      <c r="F927" s="36">
        <f t="shared" si="295"/>
        <v>0</v>
      </c>
      <c r="G927" s="36">
        <f t="shared" si="296"/>
        <v>0</v>
      </c>
      <c r="H927" s="36">
        <f t="shared" si="297"/>
        <v>0</v>
      </c>
      <c r="I927" s="36">
        <f t="shared" si="298"/>
        <v>0</v>
      </c>
      <c r="J927" s="36">
        <f t="shared" si="299"/>
        <v>0</v>
      </c>
      <c r="K927" s="36">
        <f t="shared" si="300"/>
        <v>0</v>
      </c>
      <c r="L927" s="36">
        <f t="shared" si="301"/>
        <v>0</v>
      </c>
      <c r="M927" s="36">
        <f t="shared" si="302"/>
        <v>0</v>
      </c>
      <c r="N927" s="36">
        <f t="shared" si="303"/>
        <v>0</v>
      </c>
      <c r="O927" s="36">
        <f t="shared" si="304"/>
        <v>0</v>
      </c>
      <c r="P927" s="36">
        <f t="shared" si="305"/>
        <v>0</v>
      </c>
      <c r="Q927" s="36">
        <f t="shared" si="306"/>
        <v>0</v>
      </c>
      <c r="R927" s="36">
        <f t="shared" si="307"/>
        <v>0</v>
      </c>
      <c r="S927" s="36">
        <f t="shared" si="308"/>
        <v>0</v>
      </c>
      <c r="T927" s="36">
        <f t="shared" si="309"/>
        <v>0</v>
      </c>
      <c r="U927" s="36">
        <f t="shared" si="310"/>
        <v>0</v>
      </c>
      <c r="V927" s="36">
        <f t="shared" si="311"/>
        <v>0</v>
      </c>
      <c r="W927" s="36">
        <f t="shared" si="312"/>
        <v>0</v>
      </c>
      <c r="X927" s="36">
        <f t="shared" si="313"/>
        <v>0</v>
      </c>
      <c r="Y927" s="36">
        <f t="shared" si="314"/>
        <v>0</v>
      </c>
      <c r="Z927" s="36">
        <f t="shared" si="315"/>
        <v>0</v>
      </c>
      <c r="AB927" s="36" t="str">
        <f>IF(最佳化斷筋點!C927="","",最佳化斷筋點!C927)</f>
        <v>上層</v>
      </c>
      <c r="AC927" s="37">
        <f>IF(最佳化斷筋點!D927="","",最佳化斷筋點!D927)</f>
        <v>10</v>
      </c>
      <c r="AD927" s="37">
        <f>IF(最佳化斷筋點!E927="","",最佳化斷筋點!E927)</f>
        <v>10</v>
      </c>
      <c r="AE927" s="37">
        <f>IF(最佳化斷筋點!F927="","",最佳化斷筋點!F927)</f>
        <v>10</v>
      </c>
      <c r="AF927" s="37">
        <f>IF(最佳化斷筋點!G927="","",最佳化斷筋點!G927)</f>
        <v>10</v>
      </c>
      <c r="AG927" s="37">
        <f>IF(最佳化斷筋點!H927="","",最佳化斷筋點!H927)</f>
        <v>10</v>
      </c>
      <c r="AH927" s="37">
        <f>IF(最佳化斷筋點!I927="","",最佳化斷筋點!I927)</f>
        <v>10</v>
      </c>
      <c r="AI927" s="37">
        <f>IF(最佳化斷筋點!J927="","",最佳化斷筋點!J927)</f>
        <v>10</v>
      </c>
      <c r="AJ927" s="37">
        <f>IF(最佳化斷筋點!K927="","",最佳化斷筋點!K927)</f>
        <v>10</v>
      </c>
      <c r="AK927" s="37">
        <f>IF(最佳化斷筋點!L927="","",最佳化斷筋點!L927)</f>
        <v>9</v>
      </c>
      <c r="AL927" s="37">
        <f>IF(最佳化斷筋點!M927="","",最佳化斷筋點!M927)</f>
        <v>8</v>
      </c>
      <c r="AM927" s="37">
        <f>IF(最佳化斷筋點!N927="","",最佳化斷筋點!N927)</f>
        <v>7</v>
      </c>
      <c r="AN927" s="37">
        <f>IF(最佳化斷筋點!O927="","",最佳化斷筋點!O927)</f>
        <v>7</v>
      </c>
      <c r="AO927" s="37">
        <f>IF(最佳化斷筋點!P927="","",最佳化斷筋點!P927)</f>
        <v>8</v>
      </c>
      <c r="AP927" s="37">
        <f>IF(最佳化斷筋點!Q927="","",最佳化斷筋點!Q927)</f>
        <v>9</v>
      </c>
      <c r="AQ927" s="37">
        <f>IF(最佳化斷筋點!R927="","",最佳化斷筋點!R927)</f>
        <v>10</v>
      </c>
      <c r="AR927" s="37">
        <f>IF(最佳化斷筋點!S927="","",最佳化斷筋點!S927)</f>
        <v>10</v>
      </c>
      <c r="AS927" s="37">
        <f>IF(最佳化斷筋點!T927="","",最佳化斷筋點!T927)</f>
        <v>10</v>
      </c>
      <c r="AT927" s="37">
        <f>IF(最佳化斷筋點!U927="","",最佳化斷筋點!U927)</f>
        <v>10</v>
      </c>
      <c r="AU927" s="37">
        <f>IF(最佳化斷筋點!V927="","",最佳化斷筋點!V927)</f>
        <v>10</v>
      </c>
      <c r="AV927" s="37">
        <f>IF(最佳化斷筋點!W927="","",最佳化斷筋點!W927)</f>
        <v>10</v>
      </c>
      <c r="AW927" s="37">
        <f>IF(最佳化斷筋點!X927="","",最佳化斷筋點!X927)</f>
        <v>10</v>
      </c>
      <c r="AZ927" s="37">
        <v>10</v>
      </c>
      <c r="BA927" s="37">
        <v>10</v>
      </c>
      <c r="BB927" s="37">
        <v>10</v>
      </c>
      <c r="BC927" s="37">
        <v>10</v>
      </c>
      <c r="BD927" s="37">
        <v>10</v>
      </c>
      <c r="BE927" s="37">
        <v>10</v>
      </c>
      <c r="BF927" s="37">
        <v>10</v>
      </c>
      <c r="BG927" s="37">
        <v>10</v>
      </c>
      <c r="BH927" s="37">
        <v>9</v>
      </c>
      <c r="BI927" s="37">
        <v>8</v>
      </c>
      <c r="BJ927" s="37">
        <v>7</v>
      </c>
      <c r="BK927" s="37">
        <v>7</v>
      </c>
      <c r="BL927" s="37">
        <v>8</v>
      </c>
      <c r="BM927" s="37">
        <v>9</v>
      </c>
      <c r="BN927" s="37">
        <v>10</v>
      </c>
      <c r="BO927" s="37">
        <v>10</v>
      </c>
      <c r="BP927" s="37">
        <v>10</v>
      </c>
      <c r="BQ927" s="37">
        <v>10</v>
      </c>
      <c r="BR927" s="37">
        <v>10</v>
      </c>
      <c r="BS927" s="37">
        <v>10</v>
      </c>
      <c r="BT927" s="37">
        <v>10</v>
      </c>
    </row>
    <row r="928" spans="5:72" x14ac:dyDescent="0.25">
      <c r="E928" s="36"/>
      <c r="F928" s="36">
        <f t="shared" si="295"/>
        <v>0</v>
      </c>
      <c r="G928" s="36">
        <f t="shared" si="296"/>
        <v>0</v>
      </c>
      <c r="H928" s="36">
        <f t="shared" si="297"/>
        <v>0</v>
      </c>
      <c r="I928" s="36">
        <f t="shared" si="298"/>
        <v>0</v>
      </c>
      <c r="J928" s="36">
        <f t="shared" si="299"/>
        <v>0</v>
      </c>
      <c r="K928" s="36">
        <f t="shared" si="300"/>
        <v>0</v>
      </c>
      <c r="L928" s="36">
        <f t="shared" si="301"/>
        <v>0</v>
      </c>
      <c r="M928" s="36">
        <f t="shared" si="302"/>
        <v>0</v>
      </c>
      <c r="N928" s="36">
        <f t="shared" si="303"/>
        <v>0</v>
      </c>
      <c r="O928" s="36">
        <f t="shared" si="304"/>
        <v>0</v>
      </c>
      <c r="P928" s="36">
        <f t="shared" si="305"/>
        <v>0</v>
      </c>
      <c r="Q928" s="36">
        <f t="shared" si="306"/>
        <v>0</v>
      </c>
      <c r="R928" s="36">
        <f t="shared" si="307"/>
        <v>0</v>
      </c>
      <c r="S928" s="36">
        <f t="shared" si="308"/>
        <v>0</v>
      </c>
      <c r="T928" s="36">
        <f t="shared" si="309"/>
        <v>0</v>
      </c>
      <c r="U928" s="36">
        <f t="shared" si="310"/>
        <v>0</v>
      </c>
      <c r="V928" s="36">
        <f t="shared" si="311"/>
        <v>0</v>
      </c>
      <c r="W928" s="36">
        <f t="shared" si="312"/>
        <v>0</v>
      </c>
      <c r="X928" s="36">
        <f t="shared" si="313"/>
        <v>0</v>
      </c>
      <c r="Y928" s="36">
        <f t="shared" si="314"/>
        <v>0</v>
      </c>
      <c r="Z928" s="36">
        <f t="shared" si="315"/>
        <v>0</v>
      </c>
      <c r="AB928" s="36" t="str">
        <f>IF(最佳化斷筋點!C928="","",最佳化斷筋點!C928)</f>
        <v/>
      </c>
      <c r="AC928" s="37" t="str">
        <f>IF(最佳化斷筋點!D928="","",最佳化斷筋點!D928)</f>
        <v/>
      </c>
      <c r="AD928" s="37" t="str">
        <f>IF(最佳化斷筋點!E928="","",最佳化斷筋點!E928)</f>
        <v/>
      </c>
      <c r="AE928" s="37" t="str">
        <f>IF(最佳化斷筋點!F928="","",最佳化斷筋點!F928)</f>
        <v/>
      </c>
      <c r="AF928" s="37" t="str">
        <f>IF(最佳化斷筋點!G928="","",最佳化斷筋點!G928)</f>
        <v/>
      </c>
      <c r="AG928" s="37" t="str">
        <f>IF(最佳化斷筋點!H928="","",最佳化斷筋點!H928)</f>
        <v/>
      </c>
      <c r="AH928" s="37" t="str">
        <f>IF(最佳化斷筋點!I928="","",最佳化斷筋點!I928)</f>
        <v/>
      </c>
      <c r="AI928" s="37" t="str">
        <f>IF(最佳化斷筋點!J928="","",最佳化斷筋點!J928)</f>
        <v/>
      </c>
      <c r="AJ928" s="37" t="str">
        <f>IF(最佳化斷筋點!K928="","",最佳化斷筋點!K928)</f>
        <v/>
      </c>
      <c r="AK928" s="37" t="str">
        <f>IF(最佳化斷筋點!L928="","",最佳化斷筋點!L928)</f>
        <v/>
      </c>
      <c r="AL928" s="37" t="str">
        <f>IF(最佳化斷筋點!M928="","",最佳化斷筋點!M928)</f>
        <v/>
      </c>
      <c r="AM928" s="37" t="str">
        <f>IF(最佳化斷筋點!N928="","",最佳化斷筋點!N928)</f>
        <v/>
      </c>
      <c r="AN928" s="37" t="str">
        <f>IF(最佳化斷筋點!O928="","",最佳化斷筋點!O928)</f>
        <v/>
      </c>
      <c r="AO928" s="37" t="str">
        <f>IF(最佳化斷筋點!P928="","",最佳化斷筋點!P928)</f>
        <v/>
      </c>
      <c r="AP928" s="37" t="str">
        <f>IF(最佳化斷筋點!Q928="","",最佳化斷筋點!Q928)</f>
        <v/>
      </c>
      <c r="AQ928" s="37" t="str">
        <f>IF(最佳化斷筋點!R928="","",最佳化斷筋點!R928)</f>
        <v/>
      </c>
      <c r="AR928" s="37" t="str">
        <f>IF(最佳化斷筋點!S928="","",最佳化斷筋點!S928)</f>
        <v/>
      </c>
      <c r="AS928" s="37" t="str">
        <f>IF(最佳化斷筋點!T928="","",最佳化斷筋點!T928)</f>
        <v/>
      </c>
      <c r="AT928" s="37" t="str">
        <f>IF(最佳化斷筋點!U928="","",最佳化斷筋點!U928)</f>
        <v/>
      </c>
      <c r="AU928" s="37" t="str">
        <f>IF(最佳化斷筋點!V928="","",最佳化斷筋點!V928)</f>
        <v/>
      </c>
      <c r="AV928" s="37" t="str">
        <f>IF(最佳化斷筋點!W928="","",最佳化斷筋點!W928)</f>
        <v/>
      </c>
      <c r="AW928" s="37" t="str">
        <f>IF(最佳化斷筋點!X928="","",最佳化斷筋點!X928)</f>
        <v/>
      </c>
      <c r="AZ928" s="37" t="s">
        <v>197</v>
      </c>
      <c r="BA928" s="37" t="s">
        <v>197</v>
      </c>
      <c r="BB928" s="37" t="s">
        <v>197</v>
      </c>
      <c r="BC928" s="37" t="s">
        <v>197</v>
      </c>
      <c r="BD928" s="37" t="s">
        <v>197</v>
      </c>
      <c r="BE928" s="37" t="s">
        <v>197</v>
      </c>
      <c r="BF928" s="37" t="s">
        <v>197</v>
      </c>
      <c r="BG928" s="37" t="s">
        <v>197</v>
      </c>
      <c r="BH928" s="37" t="s">
        <v>197</v>
      </c>
      <c r="BI928" s="37" t="s">
        <v>197</v>
      </c>
      <c r="BJ928" s="37" t="s">
        <v>197</v>
      </c>
      <c r="BK928" s="37" t="s">
        <v>197</v>
      </c>
      <c r="BL928" s="37" t="s">
        <v>197</v>
      </c>
      <c r="BM928" s="37" t="s">
        <v>197</v>
      </c>
      <c r="BN928" s="37" t="s">
        <v>197</v>
      </c>
      <c r="BO928" s="37" t="s">
        <v>197</v>
      </c>
      <c r="BP928" s="37" t="s">
        <v>197</v>
      </c>
      <c r="BQ928" s="37" t="s">
        <v>197</v>
      </c>
      <c r="BR928" s="37" t="s">
        <v>197</v>
      </c>
      <c r="BS928" s="37" t="s">
        <v>197</v>
      </c>
      <c r="BT928" s="37" t="s">
        <v>197</v>
      </c>
    </row>
    <row r="929" spans="5:72" x14ac:dyDescent="0.25">
      <c r="E929" s="36" t="s">
        <v>21</v>
      </c>
      <c r="F929" s="36">
        <f t="shared" si="295"/>
        <v>0</v>
      </c>
      <c r="G929" s="36">
        <f t="shared" si="296"/>
        <v>0</v>
      </c>
      <c r="H929" s="36">
        <f t="shared" si="297"/>
        <v>0</v>
      </c>
      <c r="I929" s="36">
        <f t="shared" si="298"/>
        <v>0</v>
      </c>
      <c r="J929" s="36">
        <f t="shared" si="299"/>
        <v>0</v>
      </c>
      <c r="K929" s="36">
        <f t="shared" si="300"/>
        <v>0</v>
      </c>
      <c r="L929" s="36">
        <f t="shared" si="301"/>
        <v>0</v>
      </c>
      <c r="M929" s="36">
        <f t="shared" si="302"/>
        <v>0</v>
      </c>
      <c r="N929" s="36">
        <f t="shared" si="303"/>
        <v>0</v>
      </c>
      <c r="O929" s="36">
        <f t="shared" si="304"/>
        <v>0</v>
      </c>
      <c r="P929" s="36">
        <f t="shared" si="305"/>
        <v>0</v>
      </c>
      <c r="Q929" s="36">
        <f t="shared" si="306"/>
        <v>0</v>
      </c>
      <c r="R929" s="36">
        <f t="shared" si="307"/>
        <v>0</v>
      </c>
      <c r="S929" s="36">
        <f t="shared" si="308"/>
        <v>0</v>
      </c>
      <c r="T929" s="36">
        <f t="shared" si="309"/>
        <v>0</v>
      </c>
      <c r="U929" s="36">
        <f t="shared" si="310"/>
        <v>0</v>
      </c>
      <c r="V929" s="36">
        <f t="shared" si="311"/>
        <v>0</v>
      </c>
      <c r="W929" s="36">
        <f t="shared" si="312"/>
        <v>0</v>
      </c>
      <c r="X929" s="36">
        <f t="shared" si="313"/>
        <v>0</v>
      </c>
      <c r="Y929" s="36">
        <f t="shared" si="314"/>
        <v>0</v>
      </c>
      <c r="Z929" s="36">
        <f t="shared" si="315"/>
        <v>0</v>
      </c>
      <c r="AB929" s="36" t="str">
        <f>IF(最佳化斷筋點!C929="","",最佳化斷筋點!C929)</f>
        <v>下層</v>
      </c>
      <c r="AC929" s="37">
        <f>IF(最佳化斷筋點!D929="","",最佳化斷筋點!D929)</f>
        <v>13</v>
      </c>
      <c r="AD929" s="37">
        <f>IF(最佳化斷筋點!E929="","",最佳化斷筋點!E929)</f>
        <v>13</v>
      </c>
      <c r="AE929" s="37">
        <f>IF(最佳化斷筋點!F929="","",最佳化斷筋點!F929)</f>
        <v>13</v>
      </c>
      <c r="AF929" s="37">
        <f>IF(最佳化斷筋點!G929="","",最佳化斷筋點!G929)</f>
        <v>13</v>
      </c>
      <c r="AG929" s="37">
        <f>IF(最佳化斷筋點!H929="","",最佳化斷筋點!H929)</f>
        <v>13</v>
      </c>
      <c r="AH929" s="37">
        <f>IF(最佳化斷筋點!I929="","",最佳化斷筋點!I929)</f>
        <v>13</v>
      </c>
      <c r="AI929" s="37">
        <f>IF(最佳化斷筋點!J929="","",最佳化斷筋點!J929)</f>
        <v>13</v>
      </c>
      <c r="AJ929" s="37">
        <f>IF(最佳化斷筋點!K929="","",最佳化斷筋點!K929)</f>
        <v>13</v>
      </c>
      <c r="AK929" s="37">
        <f>IF(最佳化斷筋點!L929="","",最佳化斷筋點!L929)</f>
        <v>13</v>
      </c>
      <c r="AL929" s="37">
        <f>IF(最佳化斷筋點!M929="","",最佳化斷筋點!M929)</f>
        <v>13</v>
      </c>
      <c r="AM929" s="37">
        <f>IF(最佳化斷筋點!N929="","",最佳化斷筋點!N929)</f>
        <v>13</v>
      </c>
      <c r="AN929" s="37">
        <f>IF(最佳化斷筋點!O929="","",最佳化斷筋點!O929)</f>
        <v>13</v>
      </c>
      <c r="AO929" s="37">
        <f>IF(最佳化斷筋點!P929="","",最佳化斷筋點!P929)</f>
        <v>13</v>
      </c>
      <c r="AP929" s="37">
        <f>IF(最佳化斷筋點!Q929="","",最佳化斷筋點!Q929)</f>
        <v>13</v>
      </c>
      <c r="AQ929" s="37">
        <f>IF(最佳化斷筋點!R929="","",最佳化斷筋點!R929)</f>
        <v>13</v>
      </c>
      <c r="AR929" s="37">
        <f>IF(最佳化斷筋點!S929="","",最佳化斷筋點!S929)</f>
        <v>13</v>
      </c>
      <c r="AS929" s="37">
        <f>IF(最佳化斷筋點!T929="","",最佳化斷筋點!T929)</f>
        <v>13</v>
      </c>
      <c r="AT929" s="37">
        <f>IF(最佳化斷筋點!U929="","",最佳化斷筋點!U929)</f>
        <v>13</v>
      </c>
      <c r="AU929" s="37">
        <f>IF(最佳化斷筋點!V929="","",最佳化斷筋點!V929)</f>
        <v>13</v>
      </c>
      <c r="AV929" s="37">
        <f>IF(最佳化斷筋點!W929="","",最佳化斷筋點!W929)</f>
        <v>13</v>
      </c>
      <c r="AW929" s="37">
        <f>IF(最佳化斷筋點!X929="","",最佳化斷筋點!X929)</f>
        <v>13</v>
      </c>
      <c r="AZ929" s="37">
        <v>13</v>
      </c>
      <c r="BA929" s="37">
        <v>13</v>
      </c>
      <c r="BB929" s="37">
        <v>13</v>
      </c>
      <c r="BC929" s="37">
        <v>13</v>
      </c>
      <c r="BD929" s="37">
        <v>13</v>
      </c>
      <c r="BE929" s="37">
        <v>13</v>
      </c>
      <c r="BF929" s="37">
        <v>13</v>
      </c>
      <c r="BG929" s="37">
        <v>13</v>
      </c>
      <c r="BH929" s="37">
        <v>13</v>
      </c>
      <c r="BI929" s="37">
        <v>13</v>
      </c>
      <c r="BJ929" s="37">
        <v>13</v>
      </c>
      <c r="BK929" s="37">
        <v>13</v>
      </c>
      <c r="BL929" s="37">
        <v>13</v>
      </c>
      <c r="BM929" s="37">
        <v>13</v>
      </c>
      <c r="BN929" s="37">
        <v>13</v>
      </c>
      <c r="BO929" s="37">
        <v>13</v>
      </c>
      <c r="BP929" s="37">
        <v>13</v>
      </c>
      <c r="BQ929" s="37">
        <v>13</v>
      </c>
      <c r="BR929" s="37">
        <v>13</v>
      </c>
      <c r="BS929" s="37">
        <v>13</v>
      </c>
      <c r="BT929" s="37">
        <v>13</v>
      </c>
    </row>
    <row r="930" spans="5:72" x14ac:dyDescent="0.25">
      <c r="E930" s="36"/>
      <c r="F930" s="36">
        <f t="shared" si="295"/>
        <v>0</v>
      </c>
      <c r="G930" s="36">
        <f t="shared" si="296"/>
        <v>0</v>
      </c>
      <c r="H930" s="36">
        <f t="shared" si="297"/>
        <v>0</v>
      </c>
      <c r="I930" s="36">
        <f t="shared" si="298"/>
        <v>0</v>
      </c>
      <c r="J930" s="36">
        <f t="shared" si="299"/>
        <v>0</v>
      </c>
      <c r="K930" s="36">
        <f t="shared" si="300"/>
        <v>0</v>
      </c>
      <c r="L930" s="36">
        <f t="shared" si="301"/>
        <v>0</v>
      </c>
      <c r="M930" s="36">
        <f t="shared" si="302"/>
        <v>0</v>
      </c>
      <c r="N930" s="36">
        <f t="shared" si="303"/>
        <v>0</v>
      </c>
      <c r="O930" s="36">
        <f t="shared" si="304"/>
        <v>0</v>
      </c>
      <c r="P930" s="36">
        <f t="shared" si="305"/>
        <v>0</v>
      </c>
      <c r="Q930" s="36">
        <f t="shared" si="306"/>
        <v>0</v>
      </c>
      <c r="R930" s="36">
        <f t="shared" si="307"/>
        <v>0</v>
      </c>
      <c r="S930" s="36">
        <f t="shared" si="308"/>
        <v>0</v>
      </c>
      <c r="T930" s="36">
        <f t="shared" si="309"/>
        <v>0</v>
      </c>
      <c r="U930" s="36">
        <f t="shared" si="310"/>
        <v>0</v>
      </c>
      <c r="V930" s="36">
        <f t="shared" si="311"/>
        <v>0</v>
      </c>
      <c r="W930" s="36">
        <f t="shared" si="312"/>
        <v>0</v>
      </c>
      <c r="X930" s="36">
        <f t="shared" si="313"/>
        <v>0</v>
      </c>
      <c r="Y930" s="36">
        <f t="shared" si="314"/>
        <v>0</v>
      </c>
      <c r="Z930" s="36">
        <f t="shared" si="315"/>
        <v>0</v>
      </c>
      <c r="AB930" s="36" t="str">
        <f>IF(最佳化斷筋點!C930="","",最佳化斷筋點!C930)</f>
        <v/>
      </c>
      <c r="AC930" s="37" t="str">
        <f>IF(最佳化斷筋點!D930="","",最佳化斷筋點!D930)</f>
        <v/>
      </c>
      <c r="AD930" s="37" t="str">
        <f>IF(最佳化斷筋點!E930="","",最佳化斷筋點!E930)</f>
        <v/>
      </c>
      <c r="AE930" s="37" t="str">
        <f>IF(最佳化斷筋點!F930="","",最佳化斷筋點!F930)</f>
        <v/>
      </c>
      <c r="AF930" s="37" t="str">
        <f>IF(最佳化斷筋點!G930="","",最佳化斷筋點!G930)</f>
        <v/>
      </c>
      <c r="AG930" s="37" t="str">
        <f>IF(最佳化斷筋點!H930="","",最佳化斷筋點!H930)</f>
        <v/>
      </c>
      <c r="AH930" s="37" t="str">
        <f>IF(最佳化斷筋點!I930="","",最佳化斷筋點!I930)</f>
        <v/>
      </c>
      <c r="AI930" s="37" t="str">
        <f>IF(最佳化斷筋點!J930="","",最佳化斷筋點!J930)</f>
        <v/>
      </c>
      <c r="AJ930" s="37" t="str">
        <f>IF(最佳化斷筋點!K930="","",最佳化斷筋點!K930)</f>
        <v/>
      </c>
      <c r="AK930" s="37" t="str">
        <f>IF(最佳化斷筋點!L930="","",最佳化斷筋點!L930)</f>
        <v/>
      </c>
      <c r="AL930" s="37" t="str">
        <f>IF(最佳化斷筋點!M930="","",最佳化斷筋點!M930)</f>
        <v/>
      </c>
      <c r="AM930" s="37" t="str">
        <f>IF(最佳化斷筋點!N930="","",最佳化斷筋點!N930)</f>
        <v/>
      </c>
      <c r="AN930" s="37" t="str">
        <f>IF(最佳化斷筋點!O930="","",最佳化斷筋點!O930)</f>
        <v/>
      </c>
      <c r="AO930" s="37" t="str">
        <f>IF(最佳化斷筋點!P930="","",最佳化斷筋點!P930)</f>
        <v/>
      </c>
      <c r="AP930" s="37" t="str">
        <f>IF(最佳化斷筋點!Q930="","",最佳化斷筋點!Q930)</f>
        <v/>
      </c>
      <c r="AQ930" s="37" t="str">
        <f>IF(最佳化斷筋點!R930="","",最佳化斷筋點!R930)</f>
        <v/>
      </c>
      <c r="AR930" s="37" t="str">
        <f>IF(最佳化斷筋點!S930="","",最佳化斷筋點!S930)</f>
        <v/>
      </c>
      <c r="AS930" s="37" t="str">
        <f>IF(最佳化斷筋點!T930="","",最佳化斷筋點!T930)</f>
        <v/>
      </c>
      <c r="AT930" s="37" t="str">
        <f>IF(最佳化斷筋點!U930="","",最佳化斷筋點!U930)</f>
        <v/>
      </c>
      <c r="AU930" s="37" t="str">
        <f>IF(最佳化斷筋點!V930="","",最佳化斷筋點!V930)</f>
        <v/>
      </c>
      <c r="AV930" s="37" t="str">
        <f>IF(最佳化斷筋點!W930="","",最佳化斷筋點!W930)</f>
        <v/>
      </c>
      <c r="AW930" s="37" t="str">
        <f>IF(最佳化斷筋點!X930="","",最佳化斷筋點!X930)</f>
        <v/>
      </c>
      <c r="AZ930" s="37" t="s">
        <v>197</v>
      </c>
      <c r="BA930" s="37" t="s">
        <v>197</v>
      </c>
      <c r="BB930" s="37" t="s">
        <v>197</v>
      </c>
      <c r="BC930" s="37" t="s">
        <v>197</v>
      </c>
      <c r="BD930" s="37" t="s">
        <v>197</v>
      </c>
      <c r="BE930" s="37" t="s">
        <v>197</v>
      </c>
      <c r="BF930" s="37" t="s">
        <v>197</v>
      </c>
      <c r="BG930" s="37" t="s">
        <v>197</v>
      </c>
      <c r="BH930" s="37" t="s">
        <v>197</v>
      </c>
      <c r="BI930" s="37" t="s">
        <v>197</v>
      </c>
      <c r="BJ930" s="37" t="s">
        <v>197</v>
      </c>
      <c r="BK930" s="37" t="s">
        <v>197</v>
      </c>
      <c r="BL930" s="37" t="s">
        <v>197</v>
      </c>
      <c r="BM930" s="37" t="s">
        <v>197</v>
      </c>
      <c r="BN930" s="37" t="s">
        <v>197</v>
      </c>
      <c r="BO930" s="37" t="s">
        <v>197</v>
      </c>
      <c r="BP930" s="37" t="s">
        <v>197</v>
      </c>
      <c r="BQ930" s="37" t="s">
        <v>197</v>
      </c>
      <c r="BR930" s="37" t="s">
        <v>197</v>
      </c>
      <c r="BS930" s="37" t="s">
        <v>197</v>
      </c>
      <c r="BT930" s="37" t="s">
        <v>197</v>
      </c>
    </row>
    <row r="931" spans="5:72" x14ac:dyDescent="0.25">
      <c r="E931" s="36" t="s">
        <v>20</v>
      </c>
      <c r="F931" s="36">
        <f t="shared" si="295"/>
        <v>0</v>
      </c>
      <c r="G931" s="36">
        <f t="shared" si="296"/>
        <v>0</v>
      </c>
      <c r="H931" s="36">
        <f t="shared" si="297"/>
        <v>0</v>
      </c>
      <c r="I931" s="36">
        <f t="shared" si="298"/>
        <v>0</v>
      </c>
      <c r="J931" s="36">
        <f t="shared" si="299"/>
        <v>0</v>
      </c>
      <c r="K931" s="36">
        <f t="shared" si="300"/>
        <v>0</v>
      </c>
      <c r="L931" s="36">
        <f t="shared" si="301"/>
        <v>0</v>
      </c>
      <c r="M931" s="36">
        <f t="shared" si="302"/>
        <v>0</v>
      </c>
      <c r="N931" s="36">
        <f t="shared" si="303"/>
        <v>0</v>
      </c>
      <c r="O931" s="36">
        <f t="shared" si="304"/>
        <v>0</v>
      </c>
      <c r="P931" s="36">
        <f t="shared" si="305"/>
        <v>0</v>
      </c>
      <c r="Q931" s="36">
        <f t="shared" si="306"/>
        <v>0</v>
      </c>
      <c r="R931" s="36">
        <f t="shared" si="307"/>
        <v>0</v>
      </c>
      <c r="S931" s="36">
        <f t="shared" si="308"/>
        <v>0</v>
      </c>
      <c r="T931" s="36">
        <f t="shared" si="309"/>
        <v>0</v>
      </c>
      <c r="U931" s="36">
        <f t="shared" si="310"/>
        <v>0</v>
      </c>
      <c r="V931" s="36">
        <f t="shared" si="311"/>
        <v>0</v>
      </c>
      <c r="W931" s="36">
        <f t="shared" si="312"/>
        <v>0</v>
      </c>
      <c r="X931" s="36">
        <f t="shared" si="313"/>
        <v>0</v>
      </c>
      <c r="Y931" s="36">
        <f t="shared" si="314"/>
        <v>0</v>
      </c>
      <c r="Z931" s="36">
        <f t="shared" si="315"/>
        <v>0</v>
      </c>
      <c r="AB931" s="36" t="str">
        <f>IF(最佳化斷筋點!C931="","",最佳化斷筋點!C931)</f>
        <v>上層</v>
      </c>
      <c r="AC931" s="37">
        <f>IF(最佳化斷筋點!D931="","",最佳化斷筋點!D931)</f>
        <v>10</v>
      </c>
      <c r="AD931" s="37">
        <f>IF(最佳化斷筋點!E931="","",最佳化斷筋點!E931)</f>
        <v>10</v>
      </c>
      <c r="AE931" s="37">
        <f>IF(最佳化斷筋點!F931="","",最佳化斷筋點!F931)</f>
        <v>10</v>
      </c>
      <c r="AF931" s="37">
        <f>IF(最佳化斷筋點!G931="","",最佳化斷筋點!G931)</f>
        <v>10</v>
      </c>
      <c r="AG931" s="37">
        <f>IF(最佳化斷筋點!H931="","",最佳化斷筋點!H931)</f>
        <v>10</v>
      </c>
      <c r="AH931" s="37">
        <f>IF(最佳化斷筋點!I931="","",最佳化斷筋點!I931)</f>
        <v>10</v>
      </c>
      <c r="AI931" s="37">
        <f>IF(最佳化斷筋點!J931="","",最佳化斷筋點!J931)</f>
        <v>10</v>
      </c>
      <c r="AJ931" s="37">
        <f>IF(最佳化斷筋點!K931="","",最佳化斷筋點!K931)</f>
        <v>4</v>
      </c>
      <c r="AK931" s="37">
        <f>IF(最佳化斷筋點!L931="","",最佳化斷筋點!L931)</f>
        <v>4</v>
      </c>
      <c r="AL931" s="37">
        <f>IF(最佳化斷筋點!M931="","",最佳化斷筋點!M931)</f>
        <v>4</v>
      </c>
      <c r="AM931" s="37">
        <f>IF(最佳化斷筋點!N931="","",最佳化斷筋點!N931)</f>
        <v>4</v>
      </c>
      <c r="AN931" s="37">
        <f>IF(最佳化斷筋點!O931="","",最佳化斷筋點!O931)</f>
        <v>4</v>
      </c>
      <c r="AO931" s="37">
        <f>IF(最佳化斷筋點!P931="","",最佳化斷筋點!P931)</f>
        <v>4</v>
      </c>
      <c r="AP931" s="37">
        <f>IF(最佳化斷筋點!Q931="","",最佳化斷筋點!Q931)</f>
        <v>9</v>
      </c>
      <c r="AQ931" s="37">
        <f>IF(最佳化斷筋點!R931="","",最佳化斷筋點!R931)</f>
        <v>10</v>
      </c>
      <c r="AR931" s="37">
        <f>IF(最佳化斷筋點!S931="","",最佳化斷筋點!S931)</f>
        <v>11</v>
      </c>
      <c r="AS931" s="37">
        <f>IF(最佳化斷筋點!T931="","",最佳化斷筋點!T931)</f>
        <v>11</v>
      </c>
      <c r="AT931" s="37">
        <f>IF(最佳化斷筋點!U931="","",最佳化斷筋點!U931)</f>
        <v>11</v>
      </c>
      <c r="AU931" s="37">
        <f>IF(最佳化斷筋點!V931="","",最佳化斷筋點!V931)</f>
        <v>11</v>
      </c>
      <c r="AV931" s="37">
        <f>IF(最佳化斷筋點!W931="","",最佳化斷筋點!W931)</f>
        <v>11</v>
      </c>
      <c r="AW931" s="37">
        <f>IF(最佳化斷筋點!X931="","",最佳化斷筋點!X931)</f>
        <v>11</v>
      </c>
      <c r="AZ931" s="37">
        <v>10</v>
      </c>
      <c r="BA931" s="37">
        <v>10</v>
      </c>
      <c r="BB931" s="37">
        <v>10</v>
      </c>
      <c r="BC931" s="37">
        <v>10</v>
      </c>
      <c r="BD931" s="37">
        <v>10</v>
      </c>
      <c r="BE931" s="37">
        <v>10</v>
      </c>
      <c r="BF931" s="37">
        <v>10</v>
      </c>
      <c r="BG931" s="37">
        <v>4</v>
      </c>
      <c r="BH931" s="37">
        <v>4</v>
      </c>
      <c r="BI931" s="37">
        <v>4</v>
      </c>
      <c r="BJ931" s="37">
        <v>4</v>
      </c>
      <c r="BK931" s="37">
        <v>4</v>
      </c>
      <c r="BL931" s="37">
        <v>4</v>
      </c>
      <c r="BM931" s="37">
        <v>9</v>
      </c>
      <c r="BN931" s="37">
        <v>10</v>
      </c>
      <c r="BO931" s="37">
        <v>11</v>
      </c>
      <c r="BP931" s="37">
        <v>11</v>
      </c>
      <c r="BQ931" s="37">
        <v>11</v>
      </c>
      <c r="BR931" s="37">
        <v>11</v>
      </c>
      <c r="BS931" s="37">
        <v>11</v>
      </c>
      <c r="BT931" s="37">
        <v>11</v>
      </c>
    </row>
    <row r="932" spans="5:72" x14ac:dyDescent="0.25">
      <c r="E932" s="36"/>
      <c r="F932" s="36">
        <f t="shared" si="295"/>
        <v>0</v>
      </c>
      <c r="G932" s="36">
        <f t="shared" si="296"/>
        <v>0</v>
      </c>
      <c r="H932" s="36">
        <f t="shared" si="297"/>
        <v>0</v>
      </c>
      <c r="I932" s="36">
        <f t="shared" si="298"/>
        <v>0</v>
      </c>
      <c r="J932" s="36">
        <f t="shared" si="299"/>
        <v>0</v>
      </c>
      <c r="K932" s="36">
        <f t="shared" si="300"/>
        <v>0</v>
      </c>
      <c r="L932" s="36">
        <f t="shared" si="301"/>
        <v>0</v>
      </c>
      <c r="M932" s="36">
        <f t="shared" si="302"/>
        <v>0</v>
      </c>
      <c r="N932" s="36">
        <f t="shared" si="303"/>
        <v>0</v>
      </c>
      <c r="O932" s="36">
        <f t="shared" si="304"/>
        <v>0</v>
      </c>
      <c r="P932" s="36">
        <f t="shared" si="305"/>
        <v>0</v>
      </c>
      <c r="Q932" s="36">
        <f t="shared" si="306"/>
        <v>0</v>
      </c>
      <c r="R932" s="36">
        <f t="shared" si="307"/>
        <v>0</v>
      </c>
      <c r="S932" s="36">
        <f t="shared" si="308"/>
        <v>0</v>
      </c>
      <c r="T932" s="36">
        <f t="shared" si="309"/>
        <v>0</v>
      </c>
      <c r="U932" s="36">
        <f t="shared" si="310"/>
        <v>0</v>
      </c>
      <c r="V932" s="36">
        <f t="shared" si="311"/>
        <v>0</v>
      </c>
      <c r="W932" s="36">
        <f t="shared" si="312"/>
        <v>0</v>
      </c>
      <c r="X932" s="36">
        <f t="shared" si="313"/>
        <v>0</v>
      </c>
      <c r="Y932" s="36">
        <f t="shared" si="314"/>
        <v>0</v>
      </c>
      <c r="Z932" s="36">
        <f t="shared" si="315"/>
        <v>0</v>
      </c>
      <c r="AB932" s="36" t="str">
        <f>IF(最佳化斷筋點!C932="","",最佳化斷筋點!C932)</f>
        <v/>
      </c>
      <c r="AC932" s="37" t="str">
        <f>IF(最佳化斷筋點!D932="","",最佳化斷筋點!D932)</f>
        <v/>
      </c>
      <c r="AD932" s="37" t="str">
        <f>IF(最佳化斷筋點!E932="","",最佳化斷筋點!E932)</f>
        <v/>
      </c>
      <c r="AE932" s="37" t="str">
        <f>IF(最佳化斷筋點!F932="","",最佳化斷筋點!F932)</f>
        <v/>
      </c>
      <c r="AF932" s="37" t="str">
        <f>IF(最佳化斷筋點!G932="","",最佳化斷筋點!G932)</f>
        <v/>
      </c>
      <c r="AG932" s="37" t="str">
        <f>IF(最佳化斷筋點!H932="","",最佳化斷筋點!H932)</f>
        <v/>
      </c>
      <c r="AH932" s="37" t="str">
        <f>IF(最佳化斷筋點!I932="","",最佳化斷筋點!I932)</f>
        <v/>
      </c>
      <c r="AI932" s="37" t="str">
        <f>IF(最佳化斷筋點!J932="","",最佳化斷筋點!J932)</f>
        <v/>
      </c>
      <c r="AJ932" s="37" t="str">
        <f>IF(最佳化斷筋點!K932="","",最佳化斷筋點!K932)</f>
        <v/>
      </c>
      <c r="AK932" s="37" t="str">
        <f>IF(最佳化斷筋點!L932="","",最佳化斷筋點!L932)</f>
        <v/>
      </c>
      <c r="AL932" s="37" t="str">
        <f>IF(最佳化斷筋點!M932="","",最佳化斷筋點!M932)</f>
        <v/>
      </c>
      <c r="AM932" s="37" t="str">
        <f>IF(最佳化斷筋點!N932="","",最佳化斷筋點!N932)</f>
        <v/>
      </c>
      <c r="AN932" s="37" t="str">
        <f>IF(最佳化斷筋點!O932="","",最佳化斷筋點!O932)</f>
        <v/>
      </c>
      <c r="AO932" s="37" t="str">
        <f>IF(最佳化斷筋點!P932="","",最佳化斷筋點!P932)</f>
        <v/>
      </c>
      <c r="AP932" s="37" t="str">
        <f>IF(最佳化斷筋點!Q932="","",最佳化斷筋點!Q932)</f>
        <v/>
      </c>
      <c r="AQ932" s="37" t="str">
        <f>IF(最佳化斷筋點!R932="","",最佳化斷筋點!R932)</f>
        <v/>
      </c>
      <c r="AR932" s="37" t="str">
        <f>IF(最佳化斷筋點!S932="","",最佳化斷筋點!S932)</f>
        <v/>
      </c>
      <c r="AS932" s="37" t="str">
        <f>IF(最佳化斷筋點!T932="","",最佳化斷筋點!T932)</f>
        <v/>
      </c>
      <c r="AT932" s="37" t="str">
        <f>IF(最佳化斷筋點!U932="","",最佳化斷筋點!U932)</f>
        <v/>
      </c>
      <c r="AU932" s="37" t="str">
        <f>IF(最佳化斷筋點!V932="","",最佳化斷筋點!V932)</f>
        <v/>
      </c>
      <c r="AV932" s="37" t="str">
        <f>IF(最佳化斷筋點!W932="","",最佳化斷筋點!W932)</f>
        <v/>
      </c>
      <c r="AW932" s="37" t="str">
        <f>IF(最佳化斷筋點!X932="","",最佳化斷筋點!X932)</f>
        <v/>
      </c>
      <c r="AZ932" s="37" t="s">
        <v>197</v>
      </c>
      <c r="BA932" s="37" t="s">
        <v>197</v>
      </c>
      <c r="BB932" s="37" t="s">
        <v>197</v>
      </c>
      <c r="BC932" s="37" t="s">
        <v>197</v>
      </c>
      <c r="BD932" s="37" t="s">
        <v>197</v>
      </c>
      <c r="BE932" s="37" t="s">
        <v>197</v>
      </c>
      <c r="BF932" s="37" t="s">
        <v>197</v>
      </c>
      <c r="BG932" s="37" t="s">
        <v>197</v>
      </c>
      <c r="BH932" s="37" t="s">
        <v>197</v>
      </c>
      <c r="BI932" s="37" t="s">
        <v>197</v>
      </c>
      <c r="BJ932" s="37" t="s">
        <v>197</v>
      </c>
      <c r="BK932" s="37" t="s">
        <v>197</v>
      </c>
      <c r="BL932" s="37" t="s">
        <v>197</v>
      </c>
      <c r="BM932" s="37" t="s">
        <v>197</v>
      </c>
      <c r="BN932" s="37" t="s">
        <v>197</v>
      </c>
      <c r="BO932" s="37" t="s">
        <v>197</v>
      </c>
      <c r="BP932" s="37" t="s">
        <v>197</v>
      </c>
      <c r="BQ932" s="37" t="s">
        <v>197</v>
      </c>
      <c r="BR932" s="37" t="s">
        <v>197</v>
      </c>
      <c r="BS932" s="37" t="s">
        <v>197</v>
      </c>
      <c r="BT932" s="37" t="s">
        <v>197</v>
      </c>
    </row>
    <row r="933" spans="5:72" x14ac:dyDescent="0.25">
      <c r="E933" s="36" t="s">
        <v>21</v>
      </c>
      <c r="F933" s="36">
        <f t="shared" si="295"/>
        <v>0</v>
      </c>
      <c r="G933" s="36">
        <f t="shared" si="296"/>
        <v>0</v>
      </c>
      <c r="H933" s="36">
        <f t="shared" si="297"/>
        <v>0</v>
      </c>
      <c r="I933" s="36">
        <f t="shared" si="298"/>
        <v>0</v>
      </c>
      <c r="J933" s="36">
        <f t="shared" si="299"/>
        <v>0</v>
      </c>
      <c r="K933" s="36">
        <f t="shared" si="300"/>
        <v>0</v>
      </c>
      <c r="L933" s="36">
        <f t="shared" si="301"/>
        <v>0</v>
      </c>
      <c r="M933" s="36">
        <f t="shared" si="302"/>
        <v>0</v>
      </c>
      <c r="N933" s="36">
        <f t="shared" si="303"/>
        <v>0</v>
      </c>
      <c r="O933" s="36">
        <f t="shared" si="304"/>
        <v>0</v>
      </c>
      <c r="P933" s="36">
        <f t="shared" si="305"/>
        <v>0</v>
      </c>
      <c r="Q933" s="36">
        <f t="shared" si="306"/>
        <v>0</v>
      </c>
      <c r="R933" s="36">
        <f t="shared" si="307"/>
        <v>0</v>
      </c>
      <c r="S933" s="36">
        <f t="shared" si="308"/>
        <v>0</v>
      </c>
      <c r="T933" s="36">
        <f t="shared" si="309"/>
        <v>0</v>
      </c>
      <c r="U933" s="36">
        <f t="shared" si="310"/>
        <v>0</v>
      </c>
      <c r="V933" s="36">
        <f t="shared" si="311"/>
        <v>0</v>
      </c>
      <c r="W933" s="36">
        <f t="shared" si="312"/>
        <v>0</v>
      </c>
      <c r="X933" s="36">
        <f t="shared" si="313"/>
        <v>0</v>
      </c>
      <c r="Y933" s="36">
        <f t="shared" si="314"/>
        <v>0</v>
      </c>
      <c r="Z933" s="36">
        <f t="shared" si="315"/>
        <v>0</v>
      </c>
      <c r="AB933" s="36" t="str">
        <f>IF(最佳化斷筋點!C933="","",最佳化斷筋點!C933)</f>
        <v>下層</v>
      </c>
      <c r="AC933" s="37">
        <f>IF(最佳化斷筋點!D933="","",最佳化斷筋點!D933)</f>
        <v>14</v>
      </c>
      <c r="AD933" s="37">
        <f>IF(最佳化斷筋點!E933="","",最佳化斷筋點!E933)</f>
        <v>14</v>
      </c>
      <c r="AE933" s="37">
        <f>IF(最佳化斷筋點!F933="","",最佳化斷筋點!F933)</f>
        <v>14</v>
      </c>
      <c r="AF933" s="37">
        <f>IF(最佳化斷筋點!G933="","",最佳化斷筋點!G933)</f>
        <v>14</v>
      </c>
      <c r="AG933" s="37">
        <f>IF(最佳化斷筋點!H933="","",最佳化斷筋點!H933)</f>
        <v>13</v>
      </c>
      <c r="AH933" s="37">
        <f>IF(最佳化斷筋點!I933="","",最佳化斷筋點!I933)</f>
        <v>12</v>
      </c>
      <c r="AI933" s="37">
        <f>IF(最佳化斷筋點!J933="","",最佳化斷筋點!J933)</f>
        <v>11</v>
      </c>
      <c r="AJ933" s="37">
        <f>IF(最佳化斷筋點!K933="","",最佳化斷筋點!K933)</f>
        <v>5</v>
      </c>
      <c r="AK933" s="37">
        <f>IF(最佳化斷筋點!L933="","",最佳化斷筋點!L933)</f>
        <v>5</v>
      </c>
      <c r="AL933" s="37">
        <f>IF(最佳化斷筋點!M933="","",最佳化斷筋點!M933)</f>
        <v>5</v>
      </c>
      <c r="AM933" s="37">
        <f>IF(最佳化斷筋點!N933="","",最佳化斷筋點!N933)</f>
        <v>5</v>
      </c>
      <c r="AN933" s="37">
        <f>IF(最佳化斷筋點!O933="","",最佳化斷筋點!O933)</f>
        <v>5</v>
      </c>
      <c r="AO933" s="37">
        <f>IF(最佳化斷筋點!P933="","",最佳化斷筋點!P933)</f>
        <v>5</v>
      </c>
      <c r="AP933" s="37">
        <f>IF(最佳化斷筋點!Q933="","",最佳化斷筋點!Q933)</f>
        <v>8</v>
      </c>
      <c r="AQ933" s="37">
        <f>IF(最佳化斷筋點!R933="","",最佳化斷筋點!R933)</f>
        <v>9</v>
      </c>
      <c r="AR933" s="37">
        <f>IF(最佳化斷筋點!S933="","",最佳化斷筋點!S933)</f>
        <v>10</v>
      </c>
      <c r="AS933" s="37">
        <f>IF(最佳化斷筋點!T933="","",最佳化斷筋點!T933)</f>
        <v>11</v>
      </c>
      <c r="AT933" s="37">
        <f>IF(最佳化斷筋點!U933="","",最佳化斷筋點!U933)</f>
        <v>12</v>
      </c>
      <c r="AU933" s="37">
        <f>IF(最佳化斷筋點!V933="","",最佳化斷筋點!V933)</f>
        <v>12</v>
      </c>
      <c r="AV933" s="37">
        <f>IF(最佳化斷筋點!W933="","",最佳化斷筋點!W933)</f>
        <v>12</v>
      </c>
      <c r="AW933" s="37">
        <f>IF(最佳化斷筋點!X933="","",最佳化斷筋點!X933)</f>
        <v>12</v>
      </c>
      <c r="AZ933" s="37">
        <v>14</v>
      </c>
      <c r="BA933" s="37">
        <v>14</v>
      </c>
      <c r="BB933" s="37">
        <v>14</v>
      </c>
      <c r="BC933" s="37">
        <v>14</v>
      </c>
      <c r="BD933" s="37">
        <v>13</v>
      </c>
      <c r="BE933" s="37">
        <v>12</v>
      </c>
      <c r="BF933" s="37">
        <v>11</v>
      </c>
      <c r="BG933" s="37">
        <v>5</v>
      </c>
      <c r="BH933" s="37">
        <v>5</v>
      </c>
      <c r="BI933" s="37">
        <v>5</v>
      </c>
      <c r="BJ933" s="37">
        <v>5</v>
      </c>
      <c r="BK933" s="37">
        <v>5</v>
      </c>
      <c r="BL933" s="37">
        <v>5</v>
      </c>
      <c r="BM933" s="37">
        <v>8</v>
      </c>
      <c r="BN933" s="37">
        <v>9</v>
      </c>
      <c r="BO933" s="37">
        <v>10</v>
      </c>
      <c r="BP933" s="37">
        <v>11</v>
      </c>
      <c r="BQ933" s="37">
        <v>12</v>
      </c>
      <c r="BR933" s="37">
        <v>12</v>
      </c>
      <c r="BS933" s="37">
        <v>12</v>
      </c>
      <c r="BT933" s="37">
        <v>12</v>
      </c>
    </row>
    <row r="934" spans="5:72" x14ac:dyDescent="0.25">
      <c r="E934" s="36"/>
      <c r="F934" s="36">
        <f t="shared" si="295"/>
        <v>0</v>
      </c>
      <c r="G934" s="36">
        <f t="shared" si="296"/>
        <v>0</v>
      </c>
      <c r="H934" s="36">
        <f t="shared" si="297"/>
        <v>0</v>
      </c>
      <c r="I934" s="36">
        <f t="shared" si="298"/>
        <v>0</v>
      </c>
      <c r="J934" s="36">
        <f t="shared" si="299"/>
        <v>0</v>
      </c>
      <c r="K934" s="36">
        <f t="shared" si="300"/>
        <v>0</v>
      </c>
      <c r="L934" s="36">
        <f t="shared" si="301"/>
        <v>0</v>
      </c>
      <c r="M934" s="36">
        <f t="shared" si="302"/>
        <v>0</v>
      </c>
      <c r="N934" s="36">
        <f t="shared" si="303"/>
        <v>0</v>
      </c>
      <c r="O934" s="36">
        <f t="shared" si="304"/>
        <v>0</v>
      </c>
      <c r="P934" s="36">
        <f t="shared" si="305"/>
        <v>0</v>
      </c>
      <c r="Q934" s="36">
        <f t="shared" si="306"/>
        <v>0</v>
      </c>
      <c r="R934" s="36">
        <f t="shared" si="307"/>
        <v>0</v>
      </c>
      <c r="S934" s="36">
        <f t="shared" si="308"/>
        <v>0</v>
      </c>
      <c r="T934" s="36">
        <f t="shared" si="309"/>
        <v>0</v>
      </c>
      <c r="U934" s="36">
        <f t="shared" si="310"/>
        <v>0</v>
      </c>
      <c r="V934" s="36">
        <f t="shared" si="311"/>
        <v>0</v>
      </c>
      <c r="W934" s="36">
        <f t="shared" si="312"/>
        <v>0</v>
      </c>
      <c r="X934" s="36">
        <f t="shared" si="313"/>
        <v>0</v>
      </c>
      <c r="Y934" s="36">
        <f t="shared" si="314"/>
        <v>0</v>
      </c>
      <c r="Z934" s="36">
        <f t="shared" si="315"/>
        <v>0</v>
      </c>
      <c r="AB934" s="36" t="str">
        <f>IF(最佳化斷筋點!C934="","",最佳化斷筋點!C934)</f>
        <v/>
      </c>
      <c r="AC934" s="37" t="str">
        <f>IF(最佳化斷筋點!D934="","",最佳化斷筋點!D934)</f>
        <v/>
      </c>
      <c r="AD934" s="37" t="str">
        <f>IF(最佳化斷筋點!E934="","",最佳化斷筋點!E934)</f>
        <v/>
      </c>
      <c r="AE934" s="37" t="str">
        <f>IF(最佳化斷筋點!F934="","",最佳化斷筋點!F934)</f>
        <v/>
      </c>
      <c r="AF934" s="37" t="str">
        <f>IF(最佳化斷筋點!G934="","",最佳化斷筋點!G934)</f>
        <v/>
      </c>
      <c r="AG934" s="37" t="str">
        <f>IF(最佳化斷筋點!H934="","",最佳化斷筋點!H934)</f>
        <v/>
      </c>
      <c r="AH934" s="37" t="str">
        <f>IF(最佳化斷筋點!I934="","",最佳化斷筋點!I934)</f>
        <v/>
      </c>
      <c r="AI934" s="37" t="str">
        <f>IF(最佳化斷筋點!J934="","",最佳化斷筋點!J934)</f>
        <v/>
      </c>
      <c r="AJ934" s="37" t="str">
        <f>IF(最佳化斷筋點!K934="","",最佳化斷筋點!K934)</f>
        <v/>
      </c>
      <c r="AK934" s="37" t="str">
        <f>IF(最佳化斷筋點!L934="","",最佳化斷筋點!L934)</f>
        <v/>
      </c>
      <c r="AL934" s="37" t="str">
        <f>IF(最佳化斷筋點!M934="","",最佳化斷筋點!M934)</f>
        <v/>
      </c>
      <c r="AM934" s="37" t="str">
        <f>IF(最佳化斷筋點!N934="","",最佳化斷筋點!N934)</f>
        <v/>
      </c>
      <c r="AN934" s="37" t="str">
        <f>IF(最佳化斷筋點!O934="","",最佳化斷筋點!O934)</f>
        <v/>
      </c>
      <c r="AO934" s="37" t="str">
        <f>IF(最佳化斷筋點!P934="","",最佳化斷筋點!P934)</f>
        <v/>
      </c>
      <c r="AP934" s="37" t="str">
        <f>IF(最佳化斷筋點!Q934="","",最佳化斷筋點!Q934)</f>
        <v/>
      </c>
      <c r="AQ934" s="37" t="str">
        <f>IF(最佳化斷筋點!R934="","",最佳化斷筋點!R934)</f>
        <v/>
      </c>
      <c r="AR934" s="37" t="str">
        <f>IF(最佳化斷筋點!S934="","",最佳化斷筋點!S934)</f>
        <v/>
      </c>
      <c r="AS934" s="37" t="str">
        <f>IF(最佳化斷筋點!T934="","",最佳化斷筋點!T934)</f>
        <v/>
      </c>
      <c r="AT934" s="37" t="str">
        <f>IF(最佳化斷筋點!U934="","",最佳化斷筋點!U934)</f>
        <v/>
      </c>
      <c r="AU934" s="37" t="str">
        <f>IF(最佳化斷筋點!V934="","",最佳化斷筋點!V934)</f>
        <v/>
      </c>
      <c r="AV934" s="37" t="str">
        <f>IF(最佳化斷筋點!W934="","",最佳化斷筋點!W934)</f>
        <v/>
      </c>
      <c r="AW934" s="37" t="str">
        <f>IF(最佳化斷筋點!X934="","",最佳化斷筋點!X934)</f>
        <v/>
      </c>
      <c r="AZ934" s="37" t="s">
        <v>197</v>
      </c>
      <c r="BA934" s="37" t="s">
        <v>197</v>
      </c>
      <c r="BB934" s="37" t="s">
        <v>197</v>
      </c>
      <c r="BC934" s="37" t="s">
        <v>197</v>
      </c>
      <c r="BD934" s="37" t="s">
        <v>197</v>
      </c>
      <c r="BE934" s="37" t="s">
        <v>197</v>
      </c>
      <c r="BF934" s="37" t="s">
        <v>197</v>
      </c>
      <c r="BG934" s="37" t="s">
        <v>197</v>
      </c>
      <c r="BH934" s="37" t="s">
        <v>197</v>
      </c>
      <c r="BI934" s="37" t="s">
        <v>197</v>
      </c>
      <c r="BJ934" s="37" t="s">
        <v>197</v>
      </c>
      <c r="BK934" s="37" t="s">
        <v>197</v>
      </c>
      <c r="BL934" s="37" t="s">
        <v>197</v>
      </c>
      <c r="BM934" s="37" t="s">
        <v>197</v>
      </c>
      <c r="BN934" s="37" t="s">
        <v>197</v>
      </c>
      <c r="BO934" s="37" t="s">
        <v>197</v>
      </c>
      <c r="BP934" s="37" t="s">
        <v>197</v>
      </c>
      <c r="BQ934" s="37" t="s">
        <v>197</v>
      </c>
      <c r="BR934" s="37" t="s">
        <v>197</v>
      </c>
      <c r="BS934" s="37" t="s">
        <v>197</v>
      </c>
      <c r="BT934" s="37" t="s">
        <v>197</v>
      </c>
    </row>
    <row r="935" spans="5:72" x14ac:dyDescent="0.25">
      <c r="E935" s="36" t="s">
        <v>20</v>
      </c>
      <c r="F935" s="36">
        <f t="shared" si="295"/>
        <v>0</v>
      </c>
      <c r="G935" s="36">
        <f t="shared" si="296"/>
        <v>0</v>
      </c>
      <c r="H935" s="36">
        <f t="shared" si="297"/>
        <v>0</v>
      </c>
      <c r="I935" s="36">
        <f t="shared" si="298"/>
        <v>0</v>
      </c>
      <c r="J935" s="36">
        <f t="shared" si="299"/>
        <v>0</v>
      </c>
      <c r="K935" s="36">
        <f t="shared" si="300"/>
        <v>0</v>
      </c>
      <c r="L935" s="36">
        <f t="shared" si="301"/>
        <v>0</v>
      </c>
      <c r="M935" s="36">
        <f t="shared" si="302"/>
        <v>0</v>
      </c>
      <c r="N935" s="36">
        <f t="shared" si="303"/>
        <v>0</v>
      </c>
      <c r="O935" s="36">
        <f t="shared" si="304"/>
        <v>0</v>
      </c>
      <c r="P935" s="36">
        <f t="shared" si="305"/>
        <v>0</v>
      </c>
      <c r="Q935" s="36">
        <f t="shared" si="306"/>
        <v>0</v>
      </c>
      <c r="R935" s="36">
        <f t="shared" si="307"/>
        <v>0</v>
      </c>
      <c r="S935" s="36">
        <f t="shared" si="308"/>
        <v>0</v>
      </c>
      <c r="T935" s="36">
        <f t="shared" si="309"/>
        <v>0</v>
      </c>
      <c r="U935" s="36">
        <f t="shared" si="310"/>
        <v>0</v>
      </c>
      <c r="V935" s="36">
        <f t="shared" si="311"/>
        <v>0</v>
      </c>
      <c r="W935" s="36">
        <f t="shared" si="312"/>
        <v>0</v>
      </c>
      <c r="X935" s="36">
        <f t="shared" si="313"/>
        <v>0</v>
      </c>
      <c r="Y935" s="36">
        <f t="shared" si="314"/>
        <v>0</v>
      </c>
      <c r="Z935" s="36">
        <f t="shared" si="315"/>
        <v>0</v>
      </c>
      <c r="AB935" s="36" t="str">
        <f>IF(最佳化斷筋點!C935="","",最佳化斷筋點!C935)</f>
        <v>上層</v>
      </c>
      <c r="AC935" s="37">
        <f>IF(最佳化斷筋點!D935="","",最佳化斷筋點!D935)</f>
        <v>9</v>
      </c>
      <c r="AD935" s="37">
        <f>IF(最佳化斷筋點!E935="","",最佳化斷筋點!E935)</f>
        <v>9</v>
      </c>
      <c r="AE935" s="37">
        <f>IF(最佳化斷筋點!F935="","",最佳化斷筋點!F935)</f>
        <v>9</v>
      </c>
      <c r="AF935" s="37">
        <f>IF(最佳化斷筋點!G935="","",最佳化斷筋點!G935)</f>
        <v>9</v>
      </c>
      <c r="AG935" s="37">
        <f>IF(最佳化斷筋點!H935="","",最佳化斷筋點!H935)</f>
        <v>9</v>
      </c>
      <c r="AH935" s="37">
        <f>IF(最佳化斷筋點!I935="","",最佳化斷筋點!I935)</f>
        <v>9</v>
      </c>
      <c r="AI935" s="37">
        <f>IF(最佳化斷筋點!J935="","",最佳化斷筋點!J935)</f>
        <v>8</v>
      </c>
      <c r="AJ935" s="37">
        <f>IF(最佳化斷筋點!K935="","",最佳化斷筋點!K935)</f>
        <v>4</v>
      </c>
      <c r="AK935" s="37">
        <f>IF(最佳化斷筋點!L935="","",最佳化斷筋點!L935)</f>
        <v>4</v>
      </c>
      <c r="AL935" s="37">
        <f>IF(最佳化斷筋點!M935="","",最佳化斷筋點!M935)</f>
        <v>4</v>
      </c>
      <c r="AM935" s="37">
        <f>IF(最佳化斷筋點!N935="","",最佳化斷筋點!N935)</f>
        <v>4</v>
      </c>
      <c r="AN935" s="37">
        <f>IF(最佳化斷筋點!O935="","",最佳化斷筋點!O935)</f>
        <v>4</v>
      </c>
      <c r="AO935" s="37">
        <f>IF(最佳化斷筋點!P935="","",最佳化斷筋點!P935)</f>
        <v>4</v>
      </c>
      <c r="AP935" s="37">
        <f>IF(最佳化斷筋點!Q935="","",最佳化斷筋點!Q935)</f>
        <v>7</v>
      </c>
      <c r="AQ935" s="37">
        <f>IF(最佳化斷筋點!R935="","",最佳化斷筋點!R935)</f>
        <v>8</v>
      </c>
      <c r="AR935" s="37">
        <f>IF(最佳化斷筋點!S935="","",最佳化斷筋點!S935)</f>
        <v>9</v>
      </c>
      <c r="AS935" s="37">
        <f>IF(最佳化斷筋點!T935="","",最佳化斷筋點!T935)</f>
        <v>10</v>
      </c>
      <c r="AT935" s="37">
        <f>IF(最佳化斷筋點!U935="","",最佳化斷筋點!U935)</f>
        <v>10</v>
      </c>
      <c r="AU935" s="37">
        <f>IF(最佳化斷筋點!V935="","",最佳化斷筋點!V935)</f>
        <v>10</v>
      </c>
      <c r="AV935" s="37">
        <f>IF(最佳化斷筋點!W935="","",最佳化斷筋點!W935)</f>
        <v>10</v>
      </c>
      <c r="AW935" s="37">
        <f>IF(最佳化斷筋點!X935="","",最佳化斷筋點!X935)</f>
        <v>10</v>
      </c>
      <c r="AZ935" s="37">
        <v>9</v>
      </c>
      <c r="BA935" s="37">
        <v>9</v>
      </c>
      <c r="BB935" s="37">
        <v>9</v>
      </c>
      <c r="BC935" s="37">
        <v>9</v>
      </c>
      <c r="BD935" s="37">
        <v>9</v>
      </c>
      <c r="BE935" s="37">
        <v>9</v>
      </c>
      <c r="BF935" s="37">
        <v>8</v>
      </c>
      <c r="BG935" s="37">
        <v>4</v>
      </c>
      <c r="BH935" s="37">
        <v>4</v>
      </c>
      <c r="BI935" s="37">
        <v>4</v>
      </c>
      <c r="BJ935" s="37">
        <v>4</v>
      </c>
      <c r="BK935" s="37">
        <v>4</v>
      </c>
      <c r="BL935" s="37">
        <v>4</v>
      </c>
      <c r="BM935" s="37">
        <v>7</v>
      </c>
      <c r="BN935" s="37">
        <v>8</v>
      </c>
      <c r="BO935" s="37">
        <v>9</v>
      </c>
      <c r="BP935" s="37">
        <v>10</v>
      </c>
      <c r="BQ935" s="37">
        <v>10</v>
      </c>
      <c r="BR935" s="37">
        <v>10</v>
      </c>
      <c r="BS935" s="37">
        <v>10</v>
      </c>
      <c r="BT935" s="37">
        <v>10</v>
      </c>
    </row>
    <row r="936" spans="5:72" x14ac:dyDescent="0.25">
      <c r="E936" s="36"/>
      <c r="F936" s="36">
        <f t="shared" si="295"/>
        <v>0</v>
      </c>
      <c r="G936" s="36">
        <f t="shared" si="296"/>
        <v>0</v>
      </c>
      <c r="H936" s="36">
        <f t="shared" si="297"/>
        <v>0</v>
      </c>
      <c r="I936" s="36">
        <f t="shared" si="298"/>
        <v>0</v>
      </c>
      <c r="J936" s="36">
        <f t="shared" si="299"/>
        <v>0</v>
      </c>
      <c r="K936" s="36">
        <f t="shared" si="300"/>
        <v>0</v>
      </c>
      <c r="L936" s="36">
        <f t="shared" si="301"/>
        <v>0</v>
      </c>
      <c r="M936" s="36">
        <f t="shared" si="302"/>
        <v>0</v>
      </c>
      <c r="N936" s="36">
        <f t="shared" si="303"/>
        <v>0</v>
      </c>
      <c r="O936" s="36">
        <f t="shared" si="304"/>
        <v>0</v>
      </c>
      <c r="P936" s="36">
        <f t="shared" si="305"/>
        <v>0</v>
      </c>
      <c r="Q936" s="36">
        <f t="shared" si="306"/>
        <v>0</v>
      </c>
      <c r="R936" s="36">
        <f t="shared" si="307"/>
        <v>0</v>
      </c>
      <c r="S936" s="36">
        <f t="shared" si="308"/>
        <v>0</v>
      </c>
      <c r="T936" s="36">
        <f t="shared" si="309"/>
        <v>0</v>
      </c>
      <c r="U936" s="36">
        <f t="shared" si="310"/>
        <v>0</v>
      </c>
      <c r="V936" s="36">
        <f t="shared" si="311"/>
        <v>0</v>
      </c>
      <c r="W936" s="36">
        <f t="shared" si="312"/>
        <v>0</v>
      </c>
      <c r="X936" s="36">
        <f t="shared" si="313"/>
        <v>0</v>
      </c>
      <c r="Y936" s="36">
        <f t="shared" si="314"/>
        <v>0</v>
      </c>
      <c r="Z936" s="36">
        <f t="shared" si="315"/>
        <v>0</v>
      </c>
      <c r="AB936" s="36" t="str">
        <f>IF(最佳化斷筋點!C936="","",最佳化斷筋點!C936)</f>
        <v/>
      </c>
      <c r="AC936" s="37" t="str">
        <f>IF(最佳化斷筋點!D936="","",最佳化斷筋點!D936)</f>
        <v/>
      </c>
      <c r="AD936" s="37" t="str">
        <f>IF(最佳化斷筋點!E936="","",最佳化斷筋點!E936)</f>
        <v/>
      </c>
      <c r="AE936" s="37" t="str">
        <f>IF(最佳化斷筋點!F936="","",最佳化斷筋點!F936)</f>
        <v/>
      </c>
      <c r="AF936" s="37" t="str">
        <f>IF(最佳化斷筋點!G936="","",最佳化斷筋點!G936)</f>
        <v/>
      </c>
      <c r="AG936" s="37" t="str">
        <f>IF(最佳化斷筋點!H936="","",最佳化斷筋點!H936)</f>
        <v/>
      </c>
      <c r="AH936" s="37" t="str">
        <f>IF(最佳化斷筋點!I936="","",最佳化斷筋點!I936)</f>
        <v/>
      </c>
      <c r="AI936" s="37" t="str">
        <f>IF(最佳化斷筋點!J936="","",最佳化斷筋點!J936)</f>
        <v/>
      </c>
      <c r="AJ936" s="37" t="str">
        <f>IF(最佳化斷筋點!K936="","",最佳化斷筋點!K936)</f>
        <v/>
      </c>
      <c r="AK936" s="37" t="str">
        <f>IF(最佳化斷筋點!L936="","",最佳化斷筋點!L936)</f>
        <v/>
      </c>
      <c r="AL936" s="37" t="str">
        <f>IF(最佳化斷筋點!M936="","",最佳化斷筋點!M936)</f>
        <v/>
      </c>
      <c r="AM936" s="37" t="str">
        <f>IF(最佳化斷筋點!N936="","",最佳化斷筋點!N936)</f>
        <v/>
      </c>
      <c r="AN936" s="37" t="str">
        <f>IF(最佳化斷筋點!O936="","",最佳化斷筋點!O936)</f>
        <v/>
      </c>
      <c r="AO936" s="37" t="str">
        <f>IF(最佳化斷筋點!P936="","",最佳化斷筋點!P936)</f>
        <v/>
      </c>
      <c r="AP936" s="37" t="str">
        <f>IF(最佳化斷筋點!Q936="","",最佳化斷筋點!Q936)</f>
        <v/>
      </c>
      <c r="AQ936" s="37" t="str">
        <f>IF(最佳化斷筋點!R936="","",最佳化斷筋點!R936)</f>
        <v/>
      </c>
      <c r="AR936" s="37" t="str">
        <f>IF(最佳化斷筋點!S936="","",最佳化斷筋點!S936)</f>
        <v/>
      </c>
      <c r="AS936" s="37" t="str">
        <f>IF(最佳化斷筋點!T936="","",最佳化斷筋點!T936)</f>
        <v/>
      </c>
      <c r="AT936" s="37" t="str">
        <f>IF(最佳化斷筋點!U936="","",最佳化斷筋點!U936)</f>
        <v/>
      </c>
      <c r="AU936" s="37" t="str">
        <f>IF(最佳化斷筋點!V936="","",最佳化斷筋點!V936)</f>
        <v/>
      </c>
      <c r="AV936" s="37" t="str">
        <f>IF(最佳化斷筋點!W936="","",最佳化斷筋點!W936)</f>
        <v/>
      </c>
      <c r="AW936" s="37" t="str">
        <f>IF(最佳化斷筋點!X936="","",最佳化斷筋點!X936)</f>
        <v/>
      </c>
      <c r="AZ936" s="37" t="s">
        <v>197</v>
      </c>
      <c r="BA936" s="37" t="s">
        <v>197</v>
      </c>
      <c r="BB936" s="37" t="s">
        <v>197</v>
      </c>
      <c r="BC936" s="37" t="s">
        <v>197</v>
      </c>
      <c r="BD936" s="37" t="s">
        <v>197</v>
      </c>
      <c r="BE936" s="37" t="s">
        <v>197</v>
      </c>
      <c r="BF936" s="37" t="s">
        <v>197</v>
      </c>
      <c r="BG936" s="37" t="s">
        <v>197</v>
      </c>
      <c r="BH936" s="37" t="s">
        <v>197</v>
      </c>
      <c r="BI936" s="37" t="s">
        <v>197</v>
      </c>
      <c r="BJ936" s="37" t="s">
        <v>197</v>
      </c>
      <c r="BK936" s="37" t="s">
        <v>197</v>
      </c>
      <c r="BL936" s="37" t="s">
        <v>197</v>
      </c>
      <c r="BM936" s="37" t="s">
        <v>197</v>
      </c>
      <c r="BN936" s="37" t="s">
        <v>197</v>
      </c>
      <c r="BO936" s="37" t="s">
        <v>197</v>
      </c>
      <c r="BP936" s="37" t="s">
        <v>197</v>
      </c>
      <c r="BQ936" s="37" t="s">
        <v>197</v>
      </c>
      <c r="BR936" s="37" t="s">
        <v>197</v>
      </c>
      <c r="BS936" s="37" t="s">
        <v>197</v>
      </c>
      <c r="BT936" s="37" t="s">
        <v>197</v>
      </c>
    </row>
    <row r="937" spans="5:72" x14ac:dyDescent="0.25">
      <c r="E937" s="36" t="s">
        <v>21</v>
      </c>
      <c r="F937" s="36">
        <f t="shared" si="295"/>
        <v>0</v>
      </c>
      <c r="G937" s="36">
        <f t="shared" si="296"/>
        <v>0</v>
      </c>
      <c r="H937" s="36">
        <f t="shared" si="297"/>
        <v>0</v>
      </c>
      <c r="I937" s="36">
        <f t="shared" si="298"/>
        <v>0</v>
      </c>
      <c r="J937" s="36">
        <f t="shared" si="299"/>
        <v>0</v>
      </c>
      <c r="K937" s="36">
        <f t="shared" si="300"/>
        <v>0</v>
      </c>
      <c r="L937" s="36">
        <f t="shared" si="301"/>
        <v>0</v>
      </c>
      <c r="M937" s="36">
        <f t="shared" si="302"/>
        <v>0</v>
      </c>
      <c r="N937" s="36">
        <f t="shared" si="303"/>
        <v>0</v>
      </c>
      <c r="O937" s="36">
        <f t="shared" si="304"/>
        <v>0</v>
      </c>
      <c r="P937" s="36">
        <f t="shared" si="305"/>
        <v>0</v>
      </c>
      <c r="Q937" s="36">
        <f t="shared" si="306"/>
        <v>0</v>
      </c>
      <c r="R937" s="36">
        <f t="shared" si="307"/>
        <v>0</v>
      </c>
      <c r="S937" s="36">
        <f t="shared" si="308"/>
        <v>0</v>
      </c>
      <c r="T937" s="36">
        <f t="shared" si="309"/>
        <v>0</v>
      </c>
      <c r="U937" s="36">
        <f t="shared" si="310"/>
        <v>0</v>
      </c>
      <c r="V937" s="36">
        <f t="shared" si="311"/>
        <v>0</v>
      </c>
      <c r="W937" s="36">
        <f t="shared" si="312"/>
        <v>0</v>
      </c>
      <c r="X937" s="36">
        <f t="shared" si="313"/>
        <v>0</v>
      </c>
      <c r="Y937" s="36">
        <f t="shared" si="314"/>
        <v>0</v>
      </c>
      <c r="Z937" s="36">
        <f t="shared" si="315"/>
        <v>0</v>
      </c>
      <c r="AB937" s="36" t="str">
        <f>IF(最佳化斷筋點!C937="","",最佳化斷筋點!C937)</f>
        <v>下層</v>
      </c>
      <c r="AC937" s="37">
        <f>IF(最佳化斷筋點!D937="","",最佳化斷筋點!D937)</f>
        <v>10</v>
      </c>
      <c r="AD937" s="37">
        <f>IF(最佳化斷筋點!E937="","",最佳化斷筋點!E937)</f>
        <v>10</v>
      </c>
      <c r="AE937" s="37">
        <f>IF(最佳化斷筋點!F937="","",最佳化斷筋點!F937)</f>
        <v>10</v>
      </c>
      <c r="AF937" s="37">
        <f>IF(最佳化斷筋點!G937="","",最佳化斷筋點!G937)</f>
        <v>10</v>
      </c>
      <c r="AG937" s="37">
        <f>IF(最佳化斷筋點!H937="","",最佳化斷筋點!H937)</f>
        <v>10</v>
      </c>
      <c r="AH937" s="37">
        <f>IF(最佳化斷筋點!I937="","",最佳化斷筋點!I937)</f>
        <v>9</v>
      </c>
      <c r="AI937" s="37">
        <f>IF(最佳化斷筋點!J937="","",最佳化斷筋點!J937)</f>
        <v>8</v>
      </c>
      <c r="AJ937" s="37">
        <f>IF(最佳化斷筋點!K937="","",最佳化斷筋點!K937)</f>
        <v>5</v>
      </c>
      <c r="AK937" s="37">
        <f>IF(最佳化斷筋點!L937="","",最佳化斷筋點!L937)</f>
        <v>5</v>
      </c>
      <c r="AL937" s="37">
        <f>IF(最佳化斷筋點!M937="","",最佳化斷筋點!M937)</f>
        <v>5</v>
      </c>
      <c r="AM937" s="37">
        <f>IF(最佳化斷筋點!N937="","",最佳化斷筋點!N937)</f>
        <v>5</v>
      </c>
      <c r="AN937" s="37">
        <f>IF(最佳化斷筋點!O937="","",最佳化斷筋點!O937)</f>
        <v>5</v>
      </c>
      <c r="AO937" s="37">
        <f>IF(最佳化斷筋點!P937="","",最佳化斷筋點!P937)</f>
        <v>5</v>
      </c>
      <c r="AP937" s="37">
        <f>IF(最佳化斷筋點!Q937="","",最佳化斷筋點!Q937)</f>
        <v>5</v>
      </c>
      <c r="AQ937" s="37">
        <f>IF(最佳化斷筋點!R937="","",最佳化斷筋點!R937)</f>
        <v>5</v>
      </c>
      <c r="AR937" s="37">
        <f>IF(最佳化斷筋點!S937="","",最佳化斷筋點!S937)</f>
        <v>6</v>
      </c>
      <c r="AS937" s="37">
        <f>IF(最佳化斷筋點!T937="","",最佳化斷筋點!T937)</f>
        <v>7</v>
      </c>
      <c r="AT937" s="37">
        <f>IF(最佳化斷筋點!U937="","",最佳化斷筋點!U937)</f>
        <v>8</v>
      </c>
      <c r="AU937" s="37">
        <f>IF(最佳化斷筋點!V937="","",最佳化斷筋點!V937)</f>
        <v>9</v>
      </c>
      <c r="AV937" s="37">
        <f>IF(最佳化斷筋點!W937="","",最佳化斷筋點!W937)</f>
        <v>9</v>
      </c>
      <c r="AW937" s="37">
        <f>IF(最佳化斷筋點!X937="","",最佳化斷筋點!X937)</f>
        <v>9</v>
      </c>
      <c r="AZ937" s="37">
        <v>10</v>
      </c>
      <c r="BA937" s="37">
        <v>10</v>
      </c>
      <c r="BB937" s="37">
        <v>10</v>
      </c>
      <c r="BC937" s="37">
        <v>10</v>
      </c>
      <c r="BD937" s="37">
        <v>10</v>
      </c>
      <c r="BE937" s="37">
        <v>9</v>
      </c>
      <c r="BF937" s="37">
        <v>8</v>
      </c>
      <c r="BG937" s="37">
        <v>5</v>
      </c>
      <c r="BH937" s="37">
        <v>5</v>
      </c>
      <c r="BI937" s="37">
        <v>5</v>
      </c>
      <c r="BJ937" s="37">
        <v>5</v>
      </c>
      <c r="BK937" s="37">
        <v>5</v>
      </c>
      <c r="BL937" s="37">
        <v>5</v>
      </c>
      <c r="BM937" s="37">
        <v>5</v>
      </c>
      <c r="BN937" s="37">
        <v>5</v>
      </c>
      <c r="BO937" s="37">
        <v>6</v>
      </c>
      <c r="BP937" s="37">
        <v>7</v>
      </c>
      <c r="BQ937" s="37">
        <v>8</v>
      </c>
      <c r="BR937" s="37">
        <v>9</v>
      </c>
      <c r="BS937" s="37">
        <v>9</v>
      </c>
      <c r="BT937" s="37">
        <v>9</v>
      </c>
    </row>
    <row r="938" spans="5:72" x14ac:dyDescent="0.25">
      <c r="E938" s="36"/>
      <c r="F938" s="36">
        <f t="shared" si="295"/>
        <v>0</v>
      </c>
      <c r="G938" s="36">
        <f t="shared" si="296"/>
        <v>0</v>
      </c>
      <c r="H938" s="36">
        <f t="shared" si="297"/>
        <v>0</v>
      </c>
      <c r="I938" s="36">
        <f t="shared" si="298"/>
        <v>0</v>
      </c>
      <c r="J938" s="36">
        <f t="shared" si="299"/>
        <v>0</v>
      </c>
      <c r="K938" s="36">
        <f t="shared" si="300"/>
        <v>0</v>
      </c>
      <c r="L938" s="36">
        <f t="shared" si="301"/>
        <v>0</v>
      </c>
      <c r="M938" s="36">
        <f t="shared" si="302"/>
        <v>0</v>
      </c>
      <c r="N938" s="36">
        <f t="shared" si="303"/>
        <v>0</v>
      </c>
      <c r="O938" s="36">
        <f t="shared" si="304"/>
        <v>0</v>
      </c>
      <c r="P938" s="36">
        <f t="shared" si="305"/>
        <v>0</v>
      </c>
      <c r="Q938" s="36">
        <f t="shared" si="306"/>
        <v>0</v>
      </c>
      <c r="R938" s="36">
        <f t="shared" si="307"/>
        <v>0</v>
      </c>
      <c r="S938" s="36">
        <f t="shared" si="308"/>
        <v>0</v>
      </c>
      <c r="T938" s="36">
        <f t="shared" si="309"/>
        <v>0</v>
      </c>
      <c r="U938" s="36">
        <f t="shared" si="310"/>
        <v>0</v>
      </c>
      <c r="V938" s="36">
        <f t="shared" si="311"/>
        <v>0</v>
      </c>
      <c r="W938" s="36">
        <f t="shared" si="312"/>
        <v>0</v>
      </c>
      <c r="X938" s="36">
        <f t="shared" si="313"/>
        <v>0</v>
      </c>
      <c r="Y938" s="36">
        <f t="shared" si="314"/>
        <v>0</v>
      </c>
      <c r="Z938" s="36">
        <f t="shared" si="315"/>
        <v>0</v>
      </c>
      <c r="AB938" s="36" t="str">
        <f>IF(最佳化斷筋點!C938="","",最佳化斷筋點!C938)</f>
        <v/>
      </c>
      <c r="AC938" s="37" t="str">
        <f>IF(最佳化斷筋點!D938="","",最佳化斷筋點!D938)</f>
        <v/>
      </c>
      <c r="AD938" s="37" t="str">
        <f>IF(最佳化斷筋點!E938="","",最佳化斷筋點!E938)</f>
        <v/>
      </c>
      <c r="AE938" s="37" t="str">
        <f>IF(最佳化斷筋點!F938="","",最佳化斷筋點!F938)</f>
        <v/>
      </c>
      <c r="AF938" s="37" t="str">
        <f>IF(最佳化斷筋點!G938="","",最佳化斷筋點!G938)</f>
        <v/>
      </c>
      <c r="AG938" s="37" t="str">
        <f>IF(最佳化斷筋點!H938="","",最佳化斷筋點!H938)</f>
        <v/>
      </c>
      <c r="AH938" s="37" t="str">
        <f>IF(最佳化斷筋點!I938="","",最佳化斷筋點!I938)</f>
        <v/>
      </c>
      <c r="AI938" s="37" t="str">
        <f>IF(最佳化斷筋點!J938="","",最佳化斷筋點!J938)</f>
        <v/>
      </c>
      <c r="AJ938" s="37" t="str">
        <f>IF(最佳化斷筋點!K938="","",最佳化斷筋點!K938)</f>
        <v/>
      </c>
      <c r="AK938" s="37" t="str">
        <f>IF(最佳化斷筋點!L938="","",最佳化斷筋點!L938)</f>
        <v/>
      </c>
      <c r="AL938" s="37" t="str">
        <f>IF(最佳化斷筋點!M938="","",最佳化斷筋點!M938)</f>
        <v/>
      </c>
      <c r="AM938" s="37" t="str">
        <f>IF(最佳化斷筋點!N938="","",最佳化斷筋點!N938)</f>
        <v/>
      </c>
      <c r="AN938" s="37" t="str">
        <f>IF(最佳化斷筋點!O938="","",最佳化斷筋點!O938)</f>
        <v/>
      </c>
      <c r="AO938" s="37" t="str">
        <f>IF(最佳化斷筋點!P938="","",最佳化斷筋點!P938)</f>
        <v/>
      </c>
      <c r="AP938" s="37" t="str">
        <f>IF(最佳化斷筋點!Q938="","",最佳化斷筋點!Q938)</f>
        <v/>
      </c>
      <c r="AQ938" s="37" t="str">
        <f>IF(最佳化斷筋點!R938="","",最佳化斷筋點!R938)</f>
        <v/>
      </c>
      <c r="AR938" s="37" t="str">
        <f>IF(最佳化斷筋點!S938="","",最佳化斷筋點!S938)</f>
        <v/>
      </c>
      <c r="AS938" s="37" t="str">
        <f>IF(最佳化斷筋點!T938="","",最佳化斷筋點!T938)</f>
        <v/>
      </c>
      <c r="AT938" s="37" t="str">
        <f>IF(最佳化斷筋點!U938="","",最佳化斷筋點!U938)</f>
        <v/>
      </c>
      <c r="AU938" s="37" t="str">
        <f>IF(最佳化斷筋點!V938="","",最佳化斷筋點!V938)</f>
        <v/>
      </c>
      <c r="AV938" s="37" t="str">
        <f>IF(最佳化斷筋點!W938="","",最佳化斷筋點!W938)</f>
        <v/>
      </c>
      <c r="AW938" s="37" t="str">
        <f>IF(最佳化斷筋點!X938="","",最佳化斷筋點!X938)</f>
        <v/>
      </c>
      <c r="AZ938" s="37" t="s">
        <v>197</v>
      </c>
      <c r="BA938" s="37" t="s">
        <v>197</v>
      </c>
      <c r="BB938" s="37" t="s">
        <v>197</v>
      </c>
      <c r="BC938" s="37" t="s">
        <v>197</v>
      </c>
      <c r="BD938" s="37" t="s">
        <v>197</v>
      </c>
      <c r="BE938" s="37" t="s">
        <v>197</v>
      </c>
      <c r="BF938" s="37" t="s">
        <v>197</v>
      </c>
      <c r="BG938" s="37" t="s">
        <v>197</v>
      </c>
      <c r="BH938" s="37" t="s">
        <v>197</v>
      </c>
      <c r="BI938" s="37" t="s">
        <v>197</v>
      </c>
      <c r="BJ938" s="37" t="s">
        <v>197</v>
      </c>
      <c r="BK938" s="37" t="s">
        <v>197</v>
      </c>
      <c r="BL938" s="37" t="s">
        <v>197</v>
      </c>
      <c r="BM938" s="37" t="s">
        <v>197</v>
      </c>
      <c r="BN938" s="37" t="s">
        <v>197</v>
      </c>
      <c r="BO938" s="37" t="s">
        <v>197</v>
      </c>
      <c r="BP938" s="37" t="s">
        <v>197</v>
      </c>
      <c r="BQ938" s="37" t="s">
        <v>197</v>
      </c>
      <c r="BR938" s="37" t="s">
        <v>197</v>
      </c>
      <c r="BS938" s="37" t="s">
        <v>197</v>
      </c>
      <c r="BT938" s="37" t="s">
        <v>197</v>
      </c>
    </row>
    <row r="939" spans="5:72" x14ac:dyDescent="0.25">
      <c r="E939" s="36" t="s">
        <v>20</v>
      </c>
      <c r="F939" s="36">
        <f t="shared" si="295"/>
        <v>0</v>
      </c>
      <c r="G939" s="36">
        <f t="shared" si="296"/>
        <v>0</v>
      </c>
      <c r="H939" s="36">
        <f t="shared" si="297"/>
        <v>0</v>
      </c>
      <c r="I939" s="36">
        <f t="shared" si="298"/>
        <v>0</v>
      </c>
      <c r="J939" s="36">
        <f t="shared" si="299"/>
        <v>0</v>
      </c>
      <c r="K939" s="36">
        <f t="shared" si="300"/>
        <v>0</v>
      </c>
      <c r="L939" s="36">
        <f t="shared" si="301"/>
        <v>0</v>
      </c>
      <c r="M939" s="36">
        <f t="shared" si="302"/>
        <v>0</v>
      </c>
      <c r="N939" s="36">
        <f t="shared" si="303"/>
        <v>0</v>
      </c>
      <c r="O939" s="36">
        <f t="shared" si="304"/>
        <v>0</v>
      </c>
      <c r="P939" s="36">
        <f t="shared" si="305"/>
        <v>0</v>
      </c>
      <c r="Q939" s="36">
        <f t="shared" si="306"/>
        <v>0</v>
      </c>
      <c r="R939" s="36">
        <f t="shared" si="307"/>
        <v>0</v>
      </c>
      <c r="S939" s="36">
        <f t="shared" si="308"/>
        <v>0</v>
      </c>
      <c r="T939" s="36">
        <f t="shared" si="309"/>
        <v>0</v>
      </c>
      <c r="U939" s="36">
        <f t="shared" si="310"/>
        <v>0</v>
      </c>
      <c r="V939" s="36">
        <f t="shared" si="311"/>
        <v>0</v>
      </c>
      <c r="W939" s="36">
        <f t="shared" si="312"/>
        <v>0</v>
      </c>
      <c r="X939" s="36">
        <f t="shared" si="313"/>
        <v>0</v>
      </c>
      <c r="Y939" s="36">
        <f t="shared" si="314"/>
        <v>0</v>
      </c>
      <c r="Z939" s="36">
        <f t="shared" si="315"/>
        <v>0</v>
      </c>
      <c r="AB939" s="36" t="str">
        <f>IF(最佳化斷筋點!C939="","",最佳化斷筋點!C939)</f>
        <v>上層</v>
      </c>
      <c r="AC939" s="37">
        <f>IF(最佳化斷筋點!D939="","",最佳化斷筋點!D939)</f>
        <v>9</v>
      </c>
      <c r="AD939" s="37">
        <f>IF(最佳化斷筋點!E939="","",最佳化斷筋點!E939)</f>
        <v>9</v>
      </c>
      <c r="AE939" s="37">
        <f>IF(最佳化斷筋點!F939="","",最佳化斷筋點!F939)</f>
        <v>9</v>
      </c>
      <c r="AF939" s="37">
        <f>IF(最佳化斷筋點!G939="","",最佳化斷筋點!G939)</f>
        <v>9</v>
      </c>
      <c r="AG939" s="37">
        <f>IF(最佳化斷筋點!H939="","",最佳化斷筋點!H939)</f>
        <v>9</v>
      </c>
      <c r="AH939" s="37">
        <f>IF(最佳化斷筋點!I939="","",最佳化斷筋點!I939)</f>
        <v>9</v>
      </c>
      <c r="AI939" s="37">
        <f>IF(最佳化斷筋點!J939="","",最佳化斷筋點!J939)</f>
        <v>8</v>
      </c>
      <c r="AJ939" s="37">
        <f>IF(最佳化斷筋點!K939="","",最佳化斷筋點!K939)</f>
        <v>4</v>
      </c>
      <c r="AK939" s="37">
        <f>IF(最佳化斷筋點!L939="","",最佳化斷筋點!L939)</f>
        <v>4</v>
      </c>
      <c r="AL939" s="37">
        <f>IF(最佳化斷筋點!M939="","",最佳化斷筋點!M939)</f>
        <v>4</v>
      </c>
      <c r="AM939" s="37">
        <f>IF(最佳化斷筋點!N939="","",最佳化斷筋點!N939)</f>
        <v>4</v>
      </c>
      <c r="AN939" s="37">
        <f>IF(最佳化斷筋點!O939="","",最佳化斷筋點!O939)</f>
        <v>4</v>
      </c>
      <c r="AO939" s="37">
        <f>IF(最佳化斷筋點!P939="","",最佳化斷筋點!P939)</f>
        <v>4</v>
      </c>
      <c r="AP939" s="37">
        <f>IF(最佳化斷筋點!Q939="","",最佳化斷筋點!Q939)</f>
        <v>7</v>
      </c>
      <c r="AQ939" s="37">
        <f>IF(最佳化斷筋點!R939="","",最佳化斷筋點!R939)</f>
        <v>8</v>
      </c>
      <c r="AR939" s="37">
        <f>IF(最佳化斷筋點!S939="","",最佳化斷筋點!S939)</f>
        <v>9</v>
      </c>
      <c r="AS939" s="37">
        <f>IF(最佳化斷筋點!T939="","",最佳化斷筋點!T939)</f>
        <v>10</v>
      </c>
      <c r="AT939" s="37">
        <f>IF(最佳化斷筋點!U939="","",最佳化斷筋點!U939)</f>
        <v>10</v>
      </c>
      <c r="AU939" s="37">
        <f>IF(最佳化斷筋點!V939="","",最佳化斷筋點!V939)</f>
        <v>10</v>
      </c>
      <c r="AV939" s="37">
        <f>IF(最佳化斷筋點!W939="","",最佳化斷筋點!W939)</f>
        <v>10</v>
      </c>
      <c r="AW939" s="37">
        <f>IF(最佳化斷筋點!X939="","",最佳化斷筋點!X939)</f>
        <v>10</v>
      </c>
      <c r="AZ939" s="37">
        <v>9</v>
      </c>
      <c r="BA939" s="37">
        <v>9</v>
      </c>
      <c r="BB939" s="37">
        <v>9</v>
      </c>
      <c r="BC939" s="37">
        <v>9</v>
      </c>
      <c r="BD939" s="37">
        <v>9</v>
      </c>
      <c r="BE939" s="37">
        <v>9</v>
      </c>
      <c r="BF939" s="37">
        <v>8</v>
      </c>
      <c r="BG939" s="37">
        <v>4</v>
      </c>
      <c r="BH939" s="37">
        <v>4</v>
      </c>
      <c r="BI939" s="37">
        <v>4</v>
      </c>
      <c r="BJ939" s="37">
        <v>4</v>
      </c>
      <c r="BK939" s="37">
        <v>4</v>
      </c>
      <c r="BL939" s="37">
        <v>4</v>
      </c>
      <c r="BM939" s="37">
        <v>7</v>
      </c>
      <c r="BN939" s="37">
        <v>8</v>
      </c>
      <c r="BO939" s="37">
        <v>9</v>
      </c>
      <c r="BP939" s="37">
        <v>10</v>
      </c>
      <c r="BQ939" s="37">
        <v>10</v>
      </c>
      <c r="BR939" s="37">
        <v>10</v>
      </c>
      <c r="BS939" s="37">
        <v>10</v>
      </c>
      <c r="BT939" s="37">
        <v>10</v>
      </c>
    </row>
    <row r="940" spans="5:72" x14ac:dyDescent="0.25">
      <c r="E940" s="36"/>
      <c r="F940" s="36">
        <f t="shared" si="295"/>
        <v>0</v>
      </c>
      <c r="G940" s="36">
        <f t="shared" si="296"/>
        <v>0</v>
      </c>
      <c r="H940" s="36">
        <f t="shared" si="297"/>
        <v>0</v>
      </c>
      <c r="I940" s="36">
        <f t="shared" si="298"/>
        <v>0</v>
      </c>
      <c r="J940" s="36">
        <f t="shared" si="299"/>
        <v>0</v>
      </c>
      <c r="K940" s="36">
        <f t="shared" si="300"/>
        <v>0</v>
      </c>
      <c r="L940" s="36">
        <f t="shared" si="301"/>
        <v>0</v>
      </c>
      <c r="M940" s="36">
        <f t="shared" si="302"/>
        <v>0</v>
      </c>
      <c r="N940" s="36">
        <f t="shared" si="303"/>
        <v>0</v>
      </c>
      <c r="O940" s="36">
        <f t="shared" si="304"/>
        <v>0</v>
      </c>
      <c r="P940" s="36">
        <f t="shared" si="305"/>
        <v>0</v>
      </c>
      <c r="Q940" s="36">
        <f t="shared" si="306"/>
        <v>0</v>
      </c>
      <c r="R940" s="36">
        <f t="shared" si="307"/>
        <v>0</v>
      </c>
      <c r="S940" s="36">
        <f t="shared" si="308"/>
        <v>0</v>
      </c>
      <c r="T940" s="36">
        <f t="shared" si="309"/>
        <v>0</v>
      </c>
      <c r="U940" s="36">
        <f t="shared" si="310"/>
        <v>0</v>
      </c>
      <c r="V940" s="36">
        <f t="shared" si="311"/>
        <v>0</v>
      </c>
      <c r="W940" s="36">
        <f t="shared" si="312"/>
        <v>0</v>
      </c>
      <c r="X940" s="36">
        <f t="shared" si="313"/>
        <v>0</v>
      </c>
      <c r="Y940" s="36">
        <f t="shared" si="314"/>
        <v>0</v>
      </c>
      <c r="Z940" s="36">
        <f t="shared" si="315"/>
        <v>0</v>
      </c>
      <c r="AB940" s="36" t="str">
        <f>IF(最佳化斷筋點!C940="","",最佳化斷筋點!C940)</f>
        <v/>
      </c>
      <c r="AC940" s="37" t="str">
        <f>IF(最佳化斷筋點!D940="","",最佳化斷筋點!D940)</f>
        <v/>
      </c>
      <c r="AD940" s="37" t="str">
        <f>IF(最佳化斷筋點!E940="","",最佳化斷筋點!E940)</f>
        <v/>
      </c>
      <c r="AE940" s="37" t="str">
        <f>IF(最佳化斷筋點!F940="","",最佳化斷筋點!F940)</f>
        <v/>
      </c>
      <c r="AF940" s="37" t="str">
        <f>IF(最佳化斷筋點!G940="","",最佳化斷筋點!G940)</f>
        <v/>
      </c>
      <c r="AG940" s="37" t="str">
        <f>IF(最佳化斷筋點!H940="","",最佳化斷筋點!H940)</f>
        <v/>
      </c>
      <c r="AH940" s="37" t="str">
        <f>IF(最佳化斷筋點!I940="","",最佳化斷筋點!I940)</f>
        <v/>
      </c>
      <c r="AI940" s="37" t="str">
        <f>IF(最佳化斷筋點!J940="","",最佳化斷筋點!J940)</f>
        <v/>
      </c>
      <c r="AJ940" s="37" t="str">
        <f>IF(最佳化斷筋點!K940="","",最佳化斷筋點!K940)</f>
        <v/>
      </c>
      <c r="AK940" s="37" t="str">
        <f>IF(最佳化斷筋點!L940="","",最佳化斷筋點!L940)</f>
        <v/>
      </c>
      <c r="AL940" s="37" t="str">
        <f>IF(最佳化斷筋點!M940="","",最佳化斷筋點!M940)</f>
        <v/>
      </c>
      <c r="AM940" s="37" t="str">
        <f>IF(最佳化斷筋點!N940="","",最佳化斷筋點!N940)</f>
        <v/>
      </c>
      <c r="AN940" s="37" t="str">
        <f>IF(最佳化斷筋點!O940="","",最佳化斷筋點!O940)</f>
        <v/>
      </c>
      <c r="AO940" s="37" t="str">
        <f>IF(最佳化斷筋點!P940="","",最佳化斷筋點!P940)</f>
        <v/>
      </c>
      <c r="AP940" s="37" t="str">
        <f>IF(最佳化斷筋點!Q940="","",最佳化斷筋點!Q940)</f>
        <v/>
      </c>
      <c r="AQ940" s="37" t="str">
        <f>IF(最佳化斷筋點!R940="","",最佳化斷筋點!R940)</f>
        <v/>
      </c>
      <c r="AR940" s="37" t="str">
        <f>IF(最佳化斷筋點!S940="","",最佳化斷筋點!S940)</f>
        <v/>
      </c>
      <c r="AS940" s="37" t="str">
        <f>IF(最佳化斷筋點!T940="","",最佳化斷筋點!T940)</f>
        <v/>
      </c>
      <c r="AT940" s="37" t="str">
        <f>IF(最佳化斷筋點!U940="","",最佳化斷筋點!U940)</f>
        <v/>
      </c>
      <c r="AU940" s="37" t="str">
        <f>IF(最佳化斷筋點!V940="","",最佳化斷筋點!V940)</f>
        <v/>
      </c>
      <c r="AV940" s="37" t="str">
        <f>IF(最佳化斷筋點!W940="","",最佳化斷筋點!W940)</f>
        <v/>
      </c>
      <c r="AW940" s="37" t="str">
        <f>IF(最佳化斷筋點!X940="","",最佳化斷筋點!X940)</f>
        <v/>
      </c>
      <c r="AZ940" s="37" t="s">
        <v>197</v>
      </c>
      <c r="BA940" s="37" t="s">
        <v>197</v>
      </c>
      <c r="BB940" s="37" t="s">
        <v>197</v>
      </c>
      <c r="BC940" s="37" t="s">
        <v>197</v>
      </c>
      <c r="BD940" s="37" t="s">
        <v>197</v>
      </c>
      <c r="BE940" s="37" t="s">
        <v>197</v>
      </c>
      <c r="BF940" s="37" t="s">
        <v>197</v>
      </c>
      <c r="BG940" s="37" t="s">
        <v>197</v>
      </c>
      <c r="BH940" s="37" t="s">
        <v>197</v>
      </c>
      <c r="BI940" s="37" t="s">
        <v>197</v>
      </c>
      <c r="BJ940" s="37" t="s">
        <v>197</v>
      </c>
      <c r="BK940" s="37" t="s">
        <v>197</v>
      </c>
      <c r="BL940" s="37" t="s">
        <v>197</v>
      </c>
      <c r="BM940" s="37" t="s">
        <v>197</v>
      </c>
      <c r="BN940" s="37" t="s">
        <v>197</v>
      </c>
      <c r="BO940" s="37" t="s">
        <v>197</v>
      </c>
      <c r="BP940" s="37" t="s">
        <v>197</v>
      </c>
      <c r="BQ940" s="37" t="s">
        <v>197</v>
      </c>
      <c r="BR940" s="37" t="s">
        <v>197</v>
      </c>
      <c r="BS940" s="37" t="s">
        <v>197</v>
      </c>
      <c r="BT940" s="37" t="s">
        <v>197</v>
      </c>
    </row>
    <row r="941" spans="5:72" x14ac:dyDescent="0.25">
      <c r="E941" s="36" t="s">
        <v>21</v>
      </c>
      <c r="F941" s="36">
        <f t="shared" si="295"/>
        <v>0</v>
      </c>
      <c r="G941" s="36">
        <f t="shared" si="296"/>
        <v>0</v>
      </c>
      <c r="H941" s="36">
        <f t="shared" si="297"/>
        <v>0</v>
      </c>
      <c r="I941" s="36">
        <f t="shared" si="298"/>
        <v>0</v>
      </c>
      <c r="J941" s="36">
        <f t="shared" si="299"/>
        <v>0</v>
      </c>
      <c r="K941" s="36">
        <f t="shared" si="300"/>
        <v>0</v>
      </c>
      <c r="L941" s="36">
        <f t="shared" si="301"/>
        <v>0</v>
      </c>
      <c r="M941" s="36">
        <f t="shared" si="302"/>
        <v>0</v>
      </c>
      <c r="N941" s="36">
        <f t="shared" si="303"/>
        <v>0</v>
      </c>
      <c r="O941" s="36">
        <f t="shared" si="304"/>
        <v>0</v>
      </c>
      <c r="P941" s="36">
        <f t="shared" si="305"/>
        <v>0</v>
      </c>
      <c r="Q941" s="36">
        <f t="shared" si="306"/>
        <v>0</v>
      </c>
      <c r="R941" s="36">
        <f t="shared" si="307"/>
        <v>0</v>
      </c>
      <c r="S941" s="36">
        <f t="shared" si="308"/>
        <v>0</v>
      </c>
      <c r="T941" s="36">
        <f t="shared" si="309"/>
        <v>0</v>
      </c>
      <c r="U941" s="36">
        <f t="shared" si="310"/>
        <v>0</v>
      </c>
      <c r="V941" s="36">
        <f t="shared" si="311"/>
        <v>0</v>
      </c>
      <c r="W941" s="36">
        <f t="shared" si="312"/>
        <v>0</v>
      </c>
      <c r="X941" s="36">
        <f t="shared" si="313"/>
        <v>0</v>
      </c>
      <c r="Y941" s="36">
        <f t="shared" si="314"/>
        <v>0</v>
      </c>
      <c r="Z941" s="36">
        <f t="shared" si="315"/>
        <v>0</v>
      </c>
      <c r="AB941" s="36" t="str">
        <f>IF(最佳化斷筋點!C941="","",最佳化斷筋點!C941)</f>
        <v>下層</v>
      </c>
      <c r="AC941" s="37">
        <f>IF(最佳化斷筋點!D941="","",最佳化斷筋點!D941)</f>
        <v>9</v>
      </c>
      <c r="AD941" s="37">
        <f>IF(最佳化斷筋點!E941="","",最佳化斷筋點!E941)</f>
        <v>9</v>
      </c>
      <c r="AE941" s="37">
        <f>IF(最佳化斷筋點!F941="","",最佳化斷筋點!F941)</f>
        <v>9</v>
      </c>
      <c r="AF941" s="37">
        <f>IF(最佳化斷筋點!G941="","",最佳化斷筋點!G941)</f>
        <v>9</v>
      </c>
      <c r="AG941" s="37">
        <f>IF(最佳化斷筋點!H941="","",最佳化斷筋點!H941)</f>
        <v>8</v>
      </c>
      <c r="AH941" s="37">
        <f>IF(最佳化斷筋點!I941="","",最佳化斷筋點!I941)</f>
        <v>7</v>
      </c>
      <c r="AI941" s="37">
        <f>IF(最佳化斷筋點!J941="","",最佳化斷筋點!J941)</f>
        <v>6</v>
      </c>
      <c r="AJ941" s="37">
        <f>IF(最佳化斷筋點!K941="","",最佳化斷筋點!K941)</f>
        <v>5</v>
      </c>
      <c r="AK941" s="37">
        <f>IF(最佳化斷筋點!L941="","",最佳化斷筋點!L941)</f>
        <v>5</v>
      </c>
      <c r="AL941" s="37">
        <f>IF(最佳化斷筋點!M941="","",最佳化斷筋點!M941)</f>
        <v>5</v>
      </c>
      <c r="AM941" s="37">
        <f>IF(最佳化斷筋點!N941="","",最佳化斷筋點!N941)</f>
        <v>5</v>
      </c>
      <c r="AN941" s="37">
        <f>IF(最佳化斷筋點!O941="","",最佳化斷筋點!O941)</f>
        <v>5</v>
      </c>
      <c r="AO941" s="37">
        <f>IF(最佳化斷筋點!P941="","",最佳化斷筋點!P941)</f>
        <v>5</v>
      </c>
      <c r="AP941" s="37">
        <f>IF(最佳化斷筋點!Q941="","",最佳化斷筋點!Q941)</f>
        <v>5</v>
      </c>
      <c r="AQ941" s="37">
        <f>IF(最佳化斷筋點!R941="","",最佳化斷筋點!R941)</f>
        <v>5</v>
      </c>
      <c r="AR941" s="37">
        <f>IF(最佳化斷筋點!S941="","",最佳化斷筋點!S941)</f>
        <v>6</v>
      </c>
      <c r="AS941" s="37">
        <f>IF(最佳化斷筋點!T941="","",最佳化斷筋點!T941)</f>
        <v>7</v>
      </c>
      <c r="AT941" s="37">
        <f>IF(最佳化斷筋點!U941="","",最佳化斷筋點!U941)</f>
        <v>8</v>
      </c>
      <c r="AU941" s="37">
        <f>IF(最佳化斷筋點!V941="","",最佳化斷筋點!V941)</f>
        <v>9</v>
      </c>
      <c r="AV941" s="37">
        <f>IF(最佳化斷筋點!W941="","",最佳化斷筋點!W941)</f>
        <v>9</v>
      </c>
      <c r="AW941" s="37">
        <f>IF(最佳化斷筋點!X941="","",最佳化斷筋點!X941)</f>
        <v>9</v>
      </c>
      <c r="AZ941" s="37">
        <v>9</v>
      </c>
      <c r="BA941" s="37">
        <v>9</v>
      </c>
      <c r="BB941" s="37">
        <v>9</v>
      </c>
      <c r="BC941" s="37">
        <v>9</v>
      </c>
      <c r="BD941" s="37">
        <v>8</v>
      </c>
      <c r="BE941" s="37">
        <v>7</v>
      </c>
      <c r="BF941" s="37">
        <v>6</v>
      </c>
      <c r="BG941" s="37">
        <v>5</v>
      </c>
      <c r="BH941" s="37">
        <v>5</v>
      </c>
      <c r="BI941" s="37">
        <v>5</v>
      </c>
      <c r="BJ941" s="37">
        <v>5</v>
      </c>
      <c r="BK941" s="37">
        <v>5</v>
      </c>
      <c r="BL941" s="37">
        <v>5</v>
      </c>
      <c r="BM941" s="37">
        <v>5</v>
      </c>
      <c r="BN941" s="37">
        <v>5</v>
      </c>
      <c r="BO941" s="37">
        <v>6</v>
      </c>
      <c r="BP941" s="37">
        <v>7</v>
      </c>
      <c r="BQ941" s="37">
        <v>8</v>
      </c>
      <c r="BR941" s="37">
        <v>9</v>
      </c>
      <c r="BS941" s="37">
        <v>9</v>
      </c>
      <c r="BT941" s="37">
        <v>9</v>
      </c>
    </row>
    <row r="942" spans="5:72" x14ac:dyDescent="0.25">
      <c r="E942" s="36"/>
      <c r="F942" s="36">
        <f t="shared" si="295"/>
        <v>0</v>
      </c>
      <c r="G942" s="36">
        <f t="shared" si="296"/>
        <v>0</v>
      </c>
      <c r="H942" s="36">
        <f t="shared" si="297"/>
        <v>0</v>
      </c>
      <c r="I942" s="36">
        <f t="shared" si="298"/>
        <v>0</v>
      </c>
      <c r="J942" s="36">
        <f t="shared" si="299"/>
        <v>0</v>
      </c>
      <c r="K942" s="36">
        <f t="shared" si="300"/>
        <v>0</v>
      </c>
      <c r="L942" s="36">
        <f t="shared" si="301"/>
        <v>0</v>
      </c>
      <c r="M942" s="36">
        <f t="shared" si="302"/>
        <v>0</v>
      </c>
      <c r="N942" s="36">
        <f t="shared" si="303"/>
        <v>0</v>
      </c>
      <c r="O942" s="36">
        <f t="shared" si="304"/>
        <v>0</v>
      </c>
      <c r="P942" s="36">
        <f t="shared" si="305"/>
        <v>0</v>
      </c>
      <c r="Q942" s="36">
        <f t="shared" si="306"/>
        <v>0</v>
      </c>
      <c r="R942" s="36">
        <f t="shared" si="307"/>
        <v>0</v>
      </c>
      <c r="S942" s="36">
        <f t="shared" si="308"/>
        <v>0</v>
      </c>
      <c r="T942" s="36">
        <f t="shared" si="309"/>
        <v>0</v>
      </c>
      <c r="U942" s="36">
        <f t="shared" si="310"/>
        <v>0</v>
      </c>
      <c r="V942" s="36">
        <f t="shared" si="311"/>
        <v>0</v>
      </c>
      <c r="W942" s="36">
        <f t="shared" si="312"/>
        <v>0</v>
      </c>
      <c r="X942" s="36">
        <f t="shared" si="313"/>
        <v>0</v>
      </c>
      <c r="Y942" s="36">
        <f t="shared" si="314"/>
        <v>0</v>
      </c>
      <c r="Z942" s="36">
        <f t="shared" si="315"/>
        <v>0</v>
      </c>
      <c r="AB942" s="36" t="str">
        <f>IF(最佳化斷筋點!C942="","",最佳化斷筋點!C942)</f>
        <v/>
      </c>
      <c r="AC942" s="37" t="str">
        <f>IF(最佳化斷筋點!D942="","",最佳化斷筋點!D942)</f>
        <v/>
      </c>
      <c r="AD942" s="37" t="str">
        <f>IF(最佳化斷筋點!E942="","",最佳化斷筋點!E942)</f>
        <v/>
      </c>
      <c r="AE942" s="37" t="str">
        <f>IF(最佳化斷筋點!F942="","",最佳化斷筋點!F942)</f>
        <v/>
      </c>
      <c r="AF942" s="37" t="str">
        <f>IF(最佳化斷筋點!G942="","",最佳化斷筋點!G942)</f>
        <v/>
      </c>
      <c r="AG942" s="37" t="str">
        <f>IF(最佳化斷筋點!H942="","",最佳化斷筋點!H942)</f>
        <v/>
      </c>
      <c r="AH942" s="37" t="str">
        <f>IF(最佳化斷筋點!I942="","",最佳化斷筋點!I942)</f>
        <v/>
      </c>
      <c r="AI942" s="37" t="str">
        <f>IF(最佳化斷筋點!J942="","",最佳化斷筋點!J942)</f>
        <v/>
      </c>
      <c r="AJ942" s="37" t="str">
        <f>IF(最佳化斷筋點!K942="","",最佳化斷筋點!K942)</f>
        <v/>
      </c>
      <c r="AK942" s="37" t="str">
        <f>IF(最佳化斷筋點!L942="","",最佳化斷筋點!L942)</f>
        <v/>
      </c>
      <c r="AL942" s="37" t="str">
        <f>IF(最佳化斷筋點!M942="","",最佳化斷筋點!M942)</f>
        <v/>
      </c>
      <c r="AM942" s="37" t="str">
        <f>IF(最佳化斷筋點!N942="","",最佳化斷筋點!N942)</f>
        <v/>
      </c>
      <c r="AN942" s="37" t="str">
        <f>IF(最佳化斷筋點!O942="","",最佳化斷筋點!O942)</f>
        <v/>
      </c>
      <c r="AO942" s="37" t="str">
        <f>IF(最佳化斷筋點!P942="","",最佳化斷筋點!P942)</f>
        <v/>
      </c>
      <c r="AP942" s="37" t="str">
        <f>IF(最佳化斷筋點!Q942="","",最佳化斷筋點!Q942)</f>
        <v/>
      </c>
      <c r="AQ942" s="37" t="str">
        <f>IF(最佳化斷筋點!R942="","",最佳化斷筋點!R942)</f>
        <v/>
      </c>
      <c r="AR942" s="37" t="str">
        <f>IF(最佳化斷筋點!S942="","",最佳化斷筋點!S942)</f>
        <v/>
      </c>
      <c r="AS942" s="37" t="str">
        <f>IF(最佳化斷筋點!T942="","",最佳化斷筋點!T942)</f>
        <v/>
      </c>
      <c r="AT942" s="37" t="str">
        <f>IF(最佳化斷筋點!U942="","",最佳化斷筋點!U942)</f>
        <v/>
      </c>
      <c r="AU942" s="37" t="str">
        <f>IF(最佳化斷筋點!V942="","",最佳化斷筋點!V942)</f>
        <v/>
      </c>
      <c r="AV942" s="37" t="str">
        <f>IF(最佳化斷筋點!W942="","",最佳化斷筋點!W942)</f>
        <v/>
      </c>
      <c r="AW942" s="37" t="str">
        <f>IF(最佳化斷筋點!X942="","",最佳化斷筋點!X942)</f>
        <v/>
      </c>
      <c r="AZ942" s="37" t="s">
        <v>197</v>
      </c>
      <c r="BA942" s="37" t="s">
        <v>197</v>
      </c>
      <c r="BB942" s="37" t="s">
        <v>197</v>
      </c>
      <c r="BC942" s="37" t="s">
        <v>197</v>
      </c>
      <c r="BD942" s="37" t="s">
        <v>197</v>
      </c>
      <c r="BE942" s="37" t="s">
        <v>197</v>
      </c>
      <c r="BF942" s="37" t="s">
        <v>197</v>
      </c>
      <c r="BG942" s="37" t="s">
        <v>197</v>
      </c>
      <c r="BH942" s="37" t="s">
        <v>197</v>
      </c>
      <c r="BI942" s="37" t="s">
        <v>197</v>
      </c>
      <c r="BJ942" s="37" t="s">
        <v>197</v>
      </c>
      <c r="BK942" s="37" t="s">
        <v>197</v>
      </c>
      <c r="BL942" s="37" t="s">
        <v>197</v>
      </c>
      <c r="BM942" s="37" t="s">
        <v>197</v>
      </c>
      <c r="BN942" s="37" t="s">
        <v>197</v>
      </c>
      <c r="BO942" s="37" t="s">
        <v>197</v>
      </c>
      <c r="BP942" s="37" t="s">
        <v>197</v>
      </c>
      <c r="BQ942" s="37" t="s">
        <v>197</v>
      </c>
      <c r="BR942" s="37" t="s">
        <v>197</v>
      </c>
      <c r="BS942" s="37" t="s">
        <v>197</v>
      </c>
      <c r="BT942" s="37" t="s">
        <v>197</v>
      </c>
    </row>
    <row r="943" spans="5:72" x14ac:dyDescent="0.25">
      <c r="E943" s="36" t="s">
        <v>20</v>
      </c>
      <c r="F943" s="36">
        <f t="shared" si="295"/>
        <v>0</v>
      </c>
      <c r="G943" s="36">
        <f t="shared" si="296"/>
        <v>0</v>
      </c>
      <c r="H943" s="36">
        <f t="shared" si="297"/>
        <v>0</v>
      </c>
      <c r="I943" s="36">
        <f t="shared" si="298"/>
        <v>0</v>
      </c>
      <c r="J943" s="36">
        <f t="shared" si="299"/>
        <v>0</v>
      </c>
      <c r="K943" s="36">
        <f t="shared" si="300"/>
        <v>0</v>
      </c>
      <c r="L943" s="36">
        <f t="shared" si="301"/>
        <v>0</v>
      </c>
      <c r="M943" s="36">
        <f t="shared" si="302"/>
        <v>0</v>
      </c>
      <c r="N943" s="36">
        <f t="shared" si="303"/>
        <v>0</v>
      </c>
      <c r="O943" s="36">
        <f t="shared" si="304"/>
        <v>0</v>
      </c>
      <c r="P943" s="36">
        <f t="shared" si="305"/>
        <v>0</v>
      </c>
      <c r="Q943" s="36">
        <f t="shared" si="306"/>
        <v>0</v>
      </c>
      <c r="R943" s="36">
        <f t="shared" si="307"/>
        <v>0</v>
      </c>
      <c r="S943" s="36">
        <f t="shared" si="308"/>
        <v>0</v>
      </c>
      <c r="T943" s="36">
        <f t="shared" si="309"/>
        <v>0</v>
      </c>
      <c r="U943" s="36">
        <f t="shared" si="310"/>
        <v>0</v>
      </c>
      <c r="V943" s="36">
        <f t="shared" si="311"/>
        <v>0</v>
      </c>
      <c r="W943" s="36">
        <f t="shared" si="312"/>
        <v>0</v>
      </c>
      <c r="X943" s="36">
        <f t="shared" si="313"/>
        <v>0</v>
      </c>
      <c r="Y943" s="36">
        <f t="shared" si="314"/>
        <v>0</v>
      </c>
      <c r="Z943" s="36">
        <f t="shared" si="315"/>
        <v>0</v>
      </c>
      <c r="AB943" s="36" t="str">
        <f>IF(最佳化斷筋點!C943="","",最佳化斷筋點!C943)</f>
        <v>上層</v>
      </c>
      <c r="AC943" s="37">
        <f>IF(最佳化斷筋點!D943="","",最佳化斷筋點!D943)</f>
        <v>12</v>
      </c>
      <c r="AD943" s="37">
        <f>IF(最佳化斷筋點!E943="","",最佳化斷筋點!E943)</f>
        <v>12</v>
      </c>
      <c r="AE943" s="37">
        <f>IF(最佳化斷筋點!F943="","",最佳化斷筋點!F943)</f>
        <v>12</v>
      </c>
      <c r="AF943" s="37">
        <f>IF(最佳化斷筋點!G943="","",最佳化斷筋點!G943)</f>
        <v>12</v>
      </c>
      <c r="AG943" s="37">
        <f>IF(最佳化斷筋點!H943="","",最佳化斷筋點!H943)</f>
        <v>12</v>
      </c>
      <c r="AH943" s="37">
        <f>IF(最佳化斷筋點!I943="","",最佳化斷筋點!I943)</f>
        <v>12</v>
      </c>
      <c r="AI943" s="37">
        <f>IF(最佳化斷筋點!J943="","",最佳化斷筋點!J943)</f>
        <v>11</v>
      </c>
      <c r="AJ943" s="37">
        <f>IF(最佳化斷筋點!K943="","",最佳化斷筋點!K943)</f>
        <v>4</v>
      </c>
      <c r="AK943" s="37">
        <f>IF(最佳化斷筋點!L943="","",最佳化斷筋點!L943)</f>
        <v>4</v>
      </c>
      <c r="AL943" s="37">
        <f>IF(最佳化斷筋點!M943="","",最佳化斷筋點!M943)</f>
        <v>4</v>
      </c>
      <c r="AM943" s="37">
        <f>IF(最佳化斷筋點!N943="","",最佳化斷筋點!N943)</f>
        <v>4</v>
      </c>
      <c r="AN943" s="37">
        <f>IF(最佳化斷筋點!O943="","",最佳化斷筋點!O943)</f>
        <v>4</v>
      </c>
      <c r="AO943" s="37">
        <f>IF(最佳化斷筋點!P943="","",最佳化斷筋點!P943)</f>
        <v>4</v>
      </c>
      <c r="AP943" s="37">
        <f>IF(最佳化斷筋點!Q943="","",最佳化斷筋點!Q943)</f>
        <v>9</v>
      </c>
      <c r="AQ943" s="37">
        <f>IF(最佳化斷筋點!R943="","",最佳化斷筋點!R943)</f>
        <v>10</v>
      </c>
      <c r="AR943" s="37">
        <f>IF(最佳化斷筋點!S943="","",最佳化斷筋點!S943)</f>
        <v>11</v>
      </c>
      <c r="AS943" s="37">
        <f>IF(最佳化斷筋點!T943="","",最佳化斷筋點!T943)</f>
        <v>11</v>
      </c>
      <c r="AT943" s="37">
        <f>IF(最佳化斷筋點!U943="","",最佳化斷筋點!U943)</f>
        <v>11</v>
      </c>
      <c r="AU943" s="37">
        <f>IF(最佳化斷筋點!V943="","",最佳化斷筋點!V943)</f>
        <v>11</v>
      </c>
      <c r="AV943" s="37">
        <f>IF(最佳化斷筋點!W943="","",最佳化斷筋點!W943)</f>
        <v>11</v>
      </c>
      <c r="AW943" s="37">
        <f>IF(最佳化斷筋點!X943="","",最佳化斷筋點!X943)</f>
        <v>11</v>
      </c>
      <c r="AZ943" s="37">
        <v>12</v>
      </c>
      <c r="BA943" s="37">
        <v>12</v>
      </c>
      <c r="BB943" s="37">
        <v>12</v>
      </c>
      <c r="BC943" s="37">
        <v>12</v>
      </c>
      <c r="BD943" s="37">
        <v>12</v>
      </c>
      <c r="BE943" s="37">
        <v>12</v>
      </c>
      <c r="BF943" s="37">
        <v>11</v>
      </c>
      <c r="BG943" s="37">
        <v>4</v>
      </c>
      <c r="BH943" s="37">
        <v>4</v>
      </c>
      <c r="BI943" s="37">
        <v>4</v>
      </c>
      <c r="BJ943" s="37">
        <v>4</v>
      </c>
      <c r="BK943" s="37">
        <v>4</v>
      </c>
      <c r="BL943" s="37">
        <v>4</v>
      </c>
      <c r="BM943" s="37">
        <v>9</v>
      </c>
      <c r="BN943" s="37">
        <v>10</v>
      </c>
      <c r="BO943" s="37">
        <v>11</v>
      </c>
      <c r="BP943" s="37">
        <v>11</v>
      </c>
      <c r="BQ943" s="37">
        <v>11</v>
      </c>
      <c r="BR943" s="37">
        <v>11</v>
      </c>
      <c r="BS943" s="37">
        <v>11</v>
      </c>
      <c r="BT943" s="37">
        <v>11</v>
      </c>
    </row>
    <row r="944" spans="5:72" x14ac:dyDescent="0.25">
      <c r="E944" s="36"/>
      <c r="F944" s="36">
        <f t="shared" si="295"/>
        <v>0</v>
      </c>
      <c r="G944" s="36">
        <f t="shared" si="296"/>
        <v>0</v>
      </c>
      <c r="H944" s="36">
        <f t="shared" si="297"/>
        <v>0</v>
      </c>
      <c r="I944" s="36">
        <f t="shared" si="298"/>
        <v>0</v>
      </c>
      <c r="J944" s="36">
        <f t="shared" si="299"/>
        <v>0</v>
      </c>
      <c r="K944" s="36">
        <f t="shared" si="300"/>
        <v>0</v>
      </c>
      <c r="L944" s="36">
        <f t="shared" si="301"/>
        <v>0</v>
      </c>
      <c r="M944" s="36">
        <f t="shared" si="302"/>
        <v>0</v>
      </c>
      <c r="N944" s="36">
        <f t="shared" si="303"/>
        <v>0</v>
      </c>
      <c r="O944" s="36">
        <f t="shared" si="304"/>
        <v>0</v>
      </c>
      <c r="P944" s="36">
        <f t="shared" si="305"/>
        <v>0</v>
      </c>
      <c r="Q944" s="36">
        <f t="shared" si="306"/>
        <v>0</v>
      </c>
      <c r="R944" s="36">
        <f t="shared" si="307"/>
        <v>0</v>
      </c>
      <c r="S944" s="36">
        <f t="shared" si="308"/>
        <v>0</v>
      </c>
      <c r="T944" s="36">
        <f t="shared" si="309"/>
        <v>0</v>
      </c>
      <c r="U944" s="36">
        <f t="shared" si="310"/>
        <v>0</v>
      </c>
      <c r="V944" s="36">
        <f t="shared" si="311"/>
        <v>0</v>
      </c>
      <c r="W944" s="36">
        <f t="shared" si="312"/>
        <v>0</v>
      </c>
      <c r="X944" s="36">
        <f t="shared" si="313"/>
        <v>0</v>
      </c>
      <c r="Y944" s="36">
        <f t="shared" si="314"/>
        <v>0</v>
      </c>
      <c r="Z944" s="36">
        <f t="shared" si="315"/>
        <v>0</v>
      </c>
      <c r="AB944" s="36" t="str">
        <f>IF(最佳化斷筋點!C944="","",最佳化斷筋點!C944)</f>
        <v/>
      </c>
      <c r="AC944" s="37" t="str">
        <f>IF(最佳化斷筋點!D944="","",最佳化斷筋點!D944)</f>
        <v/>
      </c>
      <c r="AD944" s="37" t="str">
        <f>IF(最佳化斷筋點!E944="","",最佳化斷筋點!E944)</f>
        <v/>
      </c>
      <c r="AE944" s="37" t="str">
        <f>IF(最佳化斷筋點!F944="","",最佳化斷筋點!F944)</f>
        <v/>
      </c>
      <c r="AF944" s="37" t="str">
        <f>IF(最佳化斷筋點!G944="","",最佳化斷筋點!G944)</f>
        <v/>
      </c>
      <c r="AG944" s="37" t="str">
        <f>IF(最佳化斷筋點!H944="","",最佳化斷筋點!H944)</f>
        <v/>
      </c>
      <c r="AH944" s="37" t="str">
        <f>IF(最佳化斷筋點!I944="","",最佳化斷筋點!I944)</f>
        <v/>
      </c>
      <c r="AI944" s="37" t="str">
        <f>IF(最佳化斷筋點!J944="","",最佳化斷筋點!J944)</f>
        <v/>
      </c>
      <c r="AJ944" s="37" t="str">
        <f>IF(最佳化斷筋點!K944="","",最佳化斷筋點!K944)</f>
        <v/>
      </c>
      <c r="AK944" s="37" t="str">
        <f>IF(最佳化斷筋點!L944="","",最佳化斷筋點!L944)</f>
        <v/>
      </c>
      <c r="AL944" s="37" t="str">
        <f>IF(最佳化斷筋點!M944="","",最佳化斷筋點!M944)</f>
        <v/>
      </c>
      <c r="AM944" s="37" t="str">
        <f>IF(最佳化斷筋點!N944="","",最佳化斷筋點!N944)</f>
        <v/>
      </c>
      <c r="AN944" s="37" t="str">
        <f>IF(最佳化斷筋點!O944="","",最佳化斷筋點!O944)</f>
        <v/>
      </c>
      <c r="AO944" s="37" t="str">
        <f>IF(最佳化斷筋點!P944="","",最佳化斷筋點!P944)</f>
        <v/>
      </c>
      <c r="AP944" s="37" t="str">
        <f>IF(最佳化斷筋點!Q944="","",最佳化斷筋點!Q944)</f>
        <v/>
      </c>
      <c r="AQ944" s="37" t="str">
        <f>IF(最佳化斷筋點!R944="","",最佳化斷筋點!R944)</f>
        <v/>
      </c>
      <c r="AR944" s="37" t="str">
        <f>IF(最佳化斷筋點!S944="","",最佳化斷筋點!S944)</f>
        <v/>
      </c>
      <c r="AS944" s="37" t="str">
        <f>IF(最佳化斷筋點!T944="","",最佳化斷筋點!T944)</f>
        <v/>
      </c>
      <c r="AT944" s="37" t="str">
        <f>IF(最佳化斷筋點!U944="","",最佳化斷筋點!U944)</f>
        <v/>
      </c>
      <c r="AU944" s="37" t="str">
        <f>IF(最佳化斷筋點!V944="","",最佳化斷筋點!V944)</f>
        <v/>
      </c>
      <c r="AV944" s="37" t="str">
        <f>IF(最佳化斷筋點!W944="","",最佳化斷筋點!W944)</f>
        <v/>
      </c>
      <c r="AW944" s="37" t="str">
        <f>IF(最佳化斷筋點!X944="","",最佳化斷筋點!X944)</f>
        <v/>
      </c>
      <c r="AZ944" s="37" t="s">
        <v>197</v>
      </c>
      <c r="BA944" s="37" t="s">
        <v>197</v>
      </c>
      <c r="BB944" s="37" t="s">
        <v>197</v>
      </c>
      <c r="BC944" s="37" t="s">
        <v>197</v>
      </c>
      <c r="BD944" s="37" t="s">
        <v>197</v>
      </c>
      <c r="BE944" s="37" t="s">
        <v>197</v>
      </c>
      <c r="BF944" s="37" t="s">
        <v>197</v>
      </c>
      <c r="BG944" s="37" t="s">
        <v>197</v>
      </c>
      <c r="BH944" s="37" t="s">
        <v>197</v>
      </c>
      <c r="BI944" s="37" t="s">
        <v>197</v>
      </c>
      <c r="BJ944" s="37" t="s">
        <v>197</v>
      </c>
      <c r="BK944" s="37" t="s">
        <v>197</v>
      </c>
      <c r="BL944" s="37" t="s">
        <v>197</v>
      </c>
      <c r="BM944" s="37" t="s">
        <v>197</v>
      </c>
      <c r="BN944" s="37" t="s">
        <v>197</v>
      </c>
      <c r="BO944" s="37" t="s">
        <v>197</v>
      </c>
      <c r="BP944" s="37" t="s">
        <v>197</v>
      </c>
      <c r="BQ944" s="37" t="s">
        <v>197</v>
      </c>
      <c r="BR944" s="37" t="s">
        <v>197</v>
      </c>
      <c r="BS944" s="37" t="s">
        <v>197</v>
      </c>
      <c r="BT944" s="37" t="s">
        <v>197</v>
      </c>
    </row>
    <row r="945" spans="5:72" x14ac:dyDescent="0.25">
      <c r="E945" s="36" t="s">
        <v>21</v>
      </c>
      <c r="F945" s="36">
        <f t="shared" si="295"/>
        <v>0</v>
      </c>
      <c r="G945" s="36">
        <f t="shared" si="296"/>
        <v>0</v>
      </c>
      <c r="H945" s="36">
        <f t="shared" si="297"/>
        <v>0</v>
      </c>
      <c r="I945" s="36">
        <f t="shared" si="298"/>
        <v>0</v>
      </c>
      <c r="J945" s="36">
        <f t="shared" si="299"/>
        <v>0</v>
      </c>
      <c r="K945" s="36">
        <f t="shared" si="300"/>
        <v>0</v>
      </c>
      <c r="L945" s="36">
        <f t="shared" si="301"/>
        <v>0</v>
      </c>
      <c r="M945" s="36">
        <f t="shared" si="302"/>
        <v>0</v>
      </c>
      <c r="N945" s="36">
        <f t="shared" si="303"/>
        <v>0</v>
      </c>
      <c r="O945" s="36">
        <f t="shared" si="304"/>
        <v>0</v>
      </c>
      <c r="P945" s="36">
        <f t="shared" si="305"/>
        <v>0</v>
      </c>
      <c r="Q945" s="36">
        <f t="shared" si="306"/>
        <v>0</v>
      </c>
      <c r="R945" s="36">
        <f t="shared" si="307"/>
        <v>0</v>
      </c>
      <c r="S945" s="36">
        <f t="shared" si="308"/>
        <v>0</v>
      </c>
      <c r="T945" s="36">
        <f t="shared" si="309"/>
        <v>0</v>
      </c>
      <c r="U945" s="36">
        <f t="shared" si="310"/>
        <v>0</v>
      </c>
      <c r="V945" s="36">
        <f t="shared" si="311"/>
        <v>0</v>
      </c>
      <c r="W945" s="36">
        <f t="shared" si="312"/>
        <v>0</v>
      </c>
      <c r="X945" s="36">
        <f t="shared" si="313"/>
        <v>0</v>
      </c>
      <c r="Y945" s="36">
        <f t="shared" si="314"/>
        <v>0</v>
      </c>
      <c r="Z945" s="36">
        <f t="shared" si="315"/>
        <v>0</v>
      </c>
      <c r="AB945" s="36" t="str">
        <f>IF(最佳化斷筋點!C945="","",最佳化斷筋點!C945)</f>
        <v>下層</v>
      </c>
      <c r="AC945" s="37">
        <f>IF(最佳化斷筋點!D945="","",最佳化斷筋點!D945)</f>
        <v>16</v>
      </c>
      <c r="AD945" s="37">
        <f>IF(最佳化斷筋點!E945="","",最佳化斷筋點!E945)</f>
        <v>16</v>
      </c>
      <c r="AE945" s="37">
        <f>IF(最佳化斷筋點!F945="","",最佳化斷筋點!F945)</f>
        <v>16</v>
      </c>
      <c r="AF945" s="37">
        <f>IF(最佳化斷筋點!G945="","",最佳化斷筋點!G945)</f>
        <v>16</v>
      </c>
      <c r="AG945" s="37">
        <f>IF(最佳化斷筋點!H945="","",最佳化斷筋點!H945)</f>
        <v>15</v>
      </c>
      <c r="AH945" s="37">
        <f>IF(最佳化斷筋點!I945="","",最佳化斷筋點!I945)</f>
        <v>14</v>
      </c>
      <c r="AI945" s="37">
        <f>IF(最佳化斷筋點!J945="","",最佳化斷筋點!J945)</f>
        <v>12</v>
      </c>
      <c r="AJ945" s="37">
        <f>IF(最佳化斷筋點!K945="","",最佳化斷筋點!K945)</f>
        <v>7</v>
      </c>
      <c r="AK945" s="37">
        <f>IF(最佳化斷筋點!L945="","",最佳化斷筋點!L945)</f>
        <v>7</v>
      </c>
      <c r="AL945" s="37">
        <f>IF(最佳化斷筋點!M945="","",最佳化斷筋點!M945)</f>
        <v>7</v>
      </c>
      <c r="AM945" s="37">
        <f>IF(最佳化斷筋點!N945="","",最佳化斷筋點!N945)</f>
        <v>7</v>
      </c>
      <c r="AN945" s="37">
        <f>IF(最佳化斷筋點!O945="","",最佳化斷筋點!O945)</f>
        <v>7</v>
      </c>
      <c r="AO945" s="37">
        <f>IF(最佳化斷筋點!P945="","",最佳化斷筋點!P945)</f>
        <v>7</v>
      </c>
      <c r="AP945" s="37">
        <f>IF(最佳化斷筋點!Q945="","",最佳化斷筋點!Q945)</f>
        <v>9</v>
      </c>
      <c r="AQ945" s="37">
        <f>IF(最佳化斷筋點!R945="","",最佳化斷筋點!R945)</f>
        <v>11</v>
      </c>
      <c r="AR945" s="37">
        <f>IF(最佳化斷筋點!S945="","",最佳化斷筋點!S945)</f>
        <v>12</v>
      </c>
      <c r="AS945" s="37">
        <f>IF(最佳化斷筋點!T945="","",最佳化斷筋點!T945)</f>
        <v>14</v>
      </c>
      <c r="AT945" s="37">
        <f>IF(最佳化斷筋點!U945="","",最佳化斷筋點!U945)</f>
        <v>15</v>
      </c>
      <c r="AU945" s="37">
        <f>IF(最佳化斷筋點!V945="","",最佳化斷筋點!V945)</f>
        <v>15</v>
      </c>
      <c r="AV945" s="37">
        <f>IF(最佳化斷筋點!W945="","",最佳化斷筋點!W945)</f>
        <v>15</v>
      </c>
      <c r="AW945" s="37">
        <f>IF(最佳化斷筋點!X945="","",最佳化斷筋點!X945)</f>
        <v>15</v>
      </c>
      <c r="AZ945" s="37">
        <v>16</v>
      </c>
      <c r="BA945" s="37">
        <v>16</v>
      </c>
      <c r="BB945" s="37">
        <v>16</v>
      </c>
      <c r="BC945" s="37">
        <v>16</v>
      </c>
      <c r="BD945" s="37">
        <v>15</v>
      </c>
      <c r="BE945" s="37">
        <v>14</v>
      </c>
      <c r="BF945" s="37">
        <v>12</v>
      </c>
      <c r="BG945" s="37">
        <v>7</v>
      </c>
      <c r="BH945" s="37">
        <v>7</v>
      </c>
      <c r="BI945" s="37">
        <v>7</v>
      </c>
      <c r="BJ945" s="37">
        <v>7</v>
      </c>
      <c r="BK945" s="37">
        <v>7</v>
      </c>
      <c r="BL945" s="37">
        <v>7</v>
      </c>
      <c r="BM945" s="37">
        <v>9</v>
      </c>
      <c r="BN945" s="37">
        <v>11</v>
      </c>
      <c r="BO945" s="37">
        <v>12</v>
      </c>
      <c r="BP945" s="37">
        <v>14</v>
      </c>
      <c r="BQ945" s="37">
        <v>15</v>
      </c>
      <c r="BR945" s="37">
        <v>15</v>
      </c>
      <c r="BS945" s="37">
        <v>15</v>
      </c>
      <c r="BT945" s="37">
        <v>15</v>
      </c>
    </row>
    <row r="946" spans="5:72" x14ac:dyDescent="0.25">
      <c r="E946" s="36"/>
      <c r="F946" s="36">
        <f t="shared" si="295"/>
        <v>0</v>
      </c>
      <c r="G946" s="36">
        <f t="shared" si="296"/>
        <v>0</v>
      </c>
      <c r="H946" s="36">
        <f t="shared" si="297"/>
        <v>0</v>
      </c>
      <c r="I946" s="36">
        <f t="shared" si="298"/>
        <v>0</v>
      </c>
      <c r="J946" s="36">
        <f t="shared" si="299"/>
        <v>0</v>
      </c>
      <c r="K946" s="36">
        <f t="shared" si="300"/>
        <v>0</v>
      </c>
      <c r="L946" s="36">
        <f t="shared" si="301"/>
        <v>0</v>
      </c>
      <c r="M946" s="36">
        <f t="shared" si="302"/>
        <v>0</v>
      </c>
      <c r="N946" s="36">
        <f t="shared" si="303"/>
        <v>0</v>
      </c>
      <c r="O946" s="36">
        <f t="shared" si="304"/>
        <v>0</v>
      </c>
      <c r="P946" s="36">
        <f t="shared" si="305"/>
        <v>0</v>
      </c>
      <c r="Q946" s="36">
        <f t="shared" si="306"/>
        <v>0</v>
      </c>
      <c r="R946" s="36">
        <f t="shared" si="307"/>
        <v>0</v>
      </c>
      <c r="S946" s="36">
        <f t="shared" si="308"/>
        <v>0</v>
      </c>
      <c r="T946" s="36">
        <f t="shared" si="309"/>
        <v>0</v>
      </c>
      <c r="U946" s="36">
        <f t="shared" si="310"/>
        <v>0</v>
      </c>
      <c r="V946" s="36">
        <f t="shared" si="311"/>
        <v>0</v>
      </c>
      <c r="W946" s="36">
        <f t="shared" si="312"/>
        <v>0</v>
      </c>
      <c r="X946" s="36">
        <f t="shared" si="313"/>
        <v>0</v>
      </c>
      <c r="Y946" s="36">
        <f t="shared" si="314"/>
        <v>0</v>
      </c>
      <c r="Z946" s="36">
        <f t="shared" si="315"/>
        <v>0</v>
      </c>
      <c r="AB946" s="36" t="str">
        <f>IF(最佳化斷筋點!C946="","",最佳化斷筋點!C946)</f>
        <v/>
      </c>
      <c r="AC946" s="37" t="str">
        <f>IF(最佳化斷筋點!D946="","",最佳化斷筋點!D946)</f>
        <v/>
      </c>
      <c r="AD946" s="37" t="str">
        <f>IF(最佳化斷筋點!E946="","",最佳化斷筋點!E946)</f>
        <v/>
      </c>
      <c r="AE946" s="37" t="str">
        <f>IF(最佳化斷筋點!F946="","",最佳化斷筋點!F946)</f>
        <v/>
      </c>
      <c r="AF946" s="37" t="str">
        <f>IF(最佳化斷筋點!G946="","",最佳化斷筋點!G946)</f>
        <v/>
      </c>
      <c r="AG946" s="37" t="str">
        <f>IF(最佳化斷筋點!H946="","",最佳化斷筋點!H946)</f>
        <v/>
      </c>
      <c r="AH946" s="37" t="str">
        <f>IF(最佳化斷筋點!I946="","",最佳化斷筋點!I946)</f>
        <v/>
      </c>
      <c r="AI946" s="37" t="str">
        <f>IF(最佳化斷筋點!J946="","",最佳化斷筋點!J946)</f>
        <v/>
      </c>
      <c r="AJ946" s="37" t="str">
        <f>IF(最佳化斷筋點!K946="","",最佳化斷筋點!K946)</f>
        <v/>
      </c>
      <c r="AK946" s="37" t="str">
        <f>IF(最佳化斷筋點!L946="","",最佳化斷筋點!L946)</f>
        <v/>
      </c>
      <c r="AL946" s="37" t="str">
        <f>IF(最佳化斷筋點!M946="","",最佳化斷筋點!M946)</f>
        <v/>
      </c>
      <c r="AM946" s="37" t="str">
        <f>IF(最佳化斷筋點!N946="","",最佳化斷筋點!N946)</f>
        <v/>
      </c>
      <c r="AN946" s="37" t="str">
        <f>IF(最佳化斷筋點!O946="","",最佳化斷筋點!O946)</f>
        <v/>
      </c>
      <c r="AO946" s="37" t="str">
        <f>IF(最佳化斷筋點!P946="","",最佳化斷筋點!P946)</f>
        <v/>
      </c>
      <c r="AP946" s="37" t="str">
        <f>IF(最佳化斷筋點!Q946="","",最佳化斷筋點!Q946)</f>
        <v/>
      </c>
      <c r="AQ946" s="37" t="str">
        <f>IF(最佳化斷筋點!R946="","",最佳化斷筋點!R946)</f>
        <v/>
      </c>
      <c r="AR946" s="37" t="str">
        <f>IF(最佳化斷筋點!S946="","",最佳化斷筋點!S946)</f>
        <v/>
      </c>
      <c r="AS946" s="37" t="str">
        <f>IF(最佳化斷筋點!T946="","",最佳化斷筋點!T946)</f>
        <v/>
      </c>
      <c r="AT946" s="37" t="str">
        <f>IF(最佳化斷筋點!U946="","",最佳化斷筋點!U946)</f>
        <v/>
      </c>
      <c r="AU946" s="37" t="str">
        <f>IF(最佳化斷筋點!V946="","",最佳化斷筋點!V946)</f>
        <v/>
      </c>
      <c r="AV946" s="37" t="str">
        <f>IF(最佳化斷筋點!W946="","",最佳化斷筋點!W946)</f>
        <v/>
      </c>
      <c r="AW946" s="37" t="str">
        <f>IF(最佳化斷筋點!X946="","",最佳化斷筋點!X946)</f>
        <v/>
      </c>
      <c r="AZ946" s="37" t="s">
        <v>197</v>
      </c>
      <c r="BA946" s="37" t="s">
        <v>197</v>
      </c>
      <c r="BB946" s="37" t="s">
        <v>197</v>
      </c>
      <c r="BC946" s="37" t="s">
        <v>197</v>
      </c>
      <c r="BD946" s="37" t="s">
        <v>197</v>
      </c>
      <c r="BE946" s="37" t="s">
        <v>197</v>
      </c>
      <c r="BF946" s="37" t="s">
        <v>197</v>
      </c>
      <c r="BG946" s="37" t="s">
        <v>197</v>
      </c>
      <c r="BH946" s="37" t="s">
        <v>197</v>
      </c>
      <c r="BI946" s="37" t="s">
        <v>197</v>
      </c>
      <c r="BJ946" s="37" t="s">
        <v>197</v>
      </c>
      <c r="BK946" s="37" t="s">
        <v>197</v>
      </c>
      <c r="BL946" s="37" t="s">
        <v>197</v>
      </c>
      <c r="BM946" s="37" t="s">
        <v>197</v>
      </c>
      <c r="BN946" s="37" t="s">
        <v>197</v>
      </c>
      <c r="BO946" s="37" t="s">
        <v>197</v>
      </c>
      <c r="BP946" s="37" t="s">
        <v>197</v>
      </c>
      <c r="BQ946" s="37" t="s">
        <v>197</v>
      </c>
      <c r="BR946" s="37" t="s">
        <v>197</v>
      </c>
      <c r="BS946" s="37" t="s">
        <v>197</v>
      </c>
      <c r="BT946" s="37" t="s">
        <v>197</v>
      </c>
    </row>
    <row r="947" spans="5:72" x14ac:dyDescent="0.25">
      <c r="E947" s="36" t="s">
        <v>20</v>
      </c>
      <c r="F947" s="36">
        <f t="shared" si="295"/>
        <v>0</v>
      </c>
      <c r="G947" s="36">
        <f t="shared" si="296"/>
        <v>0</v>
      </c>
      <c r="H947" s="36">
        <f t="shared" si="297"/>
        <v>0</v>
      </c>
      <c r="I947" s="36">
        <f t="shared" si="298"/>
        <v>0</v>
      </c>
      <c r="J947" s="36">
        <f t="shared" si="299"/>
        <v>0</v>
      </c>
      <c r="K947" s="36">
        <f t="shared" si="300"/>
        <v>0</v>
      </c>
      <c r="L947" s="36">
        <f t="shared" si="301"/>
        <v>0</v>
      </c>
      <c r="M947" s="36">
        <f t="shared" si="302"/>
        <v>0</v>
      </c>
      <c r="N947" s="36">
        <f t="shared" si="303"/>
        <v>0</v>
      </c>
      <c r="O947" s="36">
        <f t="shared" si="304"/>
        <v>0</v>
      </c>
      <c r="P947" s="36">
        <f t="shared" si="305"/>
        <v>0</v>
      </c>
      <c r="Q947" s="36">
        <f t="shared" si="306"/>
        <v>0</v>
      </c>
      <c r="R947" s="36">
        <f t="shared" si="307"/>
        <v>0</v>
      </c>
      <c r="S947" s="36">
        <f t="shared" si="308"/>
        <v>0</v>
      </c>
      <c r="T947" s="36">
        <f t="shared" si="309"/>
        <v>0</v>
      </c>
      <c r="U947" s="36">
        <f t="shared" si="310"/>
        <v>0</v>
      </c>
      <c r="V947" s="36">
        <f t="shared" si="311"/>
        <v>0</v>
      </c>
      <c r="W947" s="36">
        <f t="shared" si="312"/>
        <v>0</v>
      </c>
      <c r="X947" s="36">
        <f t="shared" si="313"/>
        <v>0</v>
      </c>
      <c r="Y947" s="36">
        <f t="shared" si="314"/>
        <v>0</v>
      </c>
      <c r="Z947" s="36">
        <f t="shared" si="315"/>
        <v>0</v>
      </c>
      <c r="AB947" s="36" t="str">
        <f>IF(最佳化斷筋點!C947="","",最佳化斷筋點!C947)</f>
        <v>上層</v>
      </c>
      <c r="AC947" s="37">
        <f>IF(最佳化斷筋點!D947="","",最佳化斷筋點!D947)</f>
        <v>10</v>
      </c>
      <c r="AD947" s="37">
        <f>IF(最佳化斷筋點!E947="","",最佳化斷筋點!E947)</f>
        <v>10</v>
      </c>
      <c r="AE947" s="37">
        <f>IF(最佳化斷筋點!F947="","",最佳化斷筋點!F947)</f>
        <v>10</v>
      </c>
      <c r="AF947" s="37">
        <f>IF(最佳化斷筋點!G947="","",最佳化斷筋點!G947)</f>
        <v>10</v>
      </c>
      <c r="AG947" s="37">
        <f>IF(最佳化斷筋點!H947="","",最佳化斷筋點!H947)</f>
        <v>10</v>
      </c>
      <c r="AH947" s="37">
        <f>IF(最佳化斷筋點!I947="","",最佳化斷筋點!I947)</f>
        <v>10</v>
      </c>
      <c r="AI947" s="37">
        <f>IF(最佳化斷筋點!J947="","",最佳化斷筋點!J947)</f>
        <v>10</v>
      </c>
      <c r="AJ947" s="37">
        <f>IF(最佳化斷筋點!K947="","",最佳化斷筋點!K947)</f>
        <v>4</v>
      </c>
      <c r="AK947" s="37">
        <f>IF(最佳化斷筋點!L947="","",最佳化斷筋點!L947)</f>
        <v>4</v>
      </c>
      <c r="AL947" s="37">
        <f>IF(最佳化斷筋點!M947="","",最佳化斷筋點!M947)</f>
        <v>4</v>
      </c>
      <c r="AM947" s="37">
        <f>IF(最佳化斷筋點!N947="","",最佳化斷筋點!N947)</f>
        <v>4</v>
      </c>
      <c r="AN947" s="37">
        <f>IF(最佳化斷筋點!O947="","",最佳化斷筋點!O947)</f>
        <v>4</v>
      </c>
      <c r="AO947" s="37">
        <f>IF(最佳化斷筋點!P947="","",最佳化斷筋點!P947)</f>
        <v>4</v>
      </c>
      <c r="AP947" s="37">
        <f>IF(最佳化斷筋點!Q947="","",最佳化斷筋點!Q947)</f>
        <v>7</v>
      </c>
      <c r="AQ947" s="37">
        <f>IF(最佳化斷筋點!R947="","",最佳化斷筋點!R947)</f>
        <v>8</v>
      </c>
      <c r="AR947" s="37">
        <f>IF(最佳化斷筋點!S947="","",最佳化斷筋點!S947)</f>
        <v>9</v>
      </c>
      <c r="AS947" s="37">
        <f>IF(最佳化斷筋點!T947="","",最佳化斷筋點!T947)</f>
        <v>9</v>
      </c>
      <c r="AT947" s="37">
        <f>IF(最佳化斷筋點!U947="","",最佳化斷筋點!U947)</f>
        <v>9</v>
      </c>
      <c r="AU947" s="37">
        <f>IF(最佳化斷筋點!V947="","",最佳化斷筋點!V947)</f>
        <v>9</v>
      </c>
      <c r="AV947" s="37">
        <f>IF(最佳化斷筋點!W947="","",最佳化斷筋點!W947)</f>
        <v>9</v>
      </c>
      <c r="AW947" s="37">
        <f>IF(最佳化斷筋點!X947="","",最佳化斷筋點!X947)</f>
        <v>9</v>
      </c>
      <c r="AZ947" s="37">
        <v>10</v>
      </c>
      <c r="BA947" s="37">
        <v>10</v>
      </c>
      <c r="BB947" s="37">
        <v>10</v>
      </c>
      <c r="BC947" s="37">
        <v>10</v>
      </c>
      <c r="BD947" s="37">
        <v>10</v>
      </c>
      <c r="BE947" s="37">
        <v>10</v>
      </c>
      <c r="BF947" s="37">
        <v>10</v>
      </c>
      <c r="BG947" s="37">
        <v>4</v>
      </c>
      <c r="BH947" s="37">
        <v>4</v>
      </c>
      <c r="BI947" s="37">
        <v>4</v>
      </c>
      <c r="BJ947" s="37">
        <v>4</v>
      </c>
      <c r="BK947" s="37">
        <v>4</v>
      </c>
      <c r="BL947" s="37">
        <v>4</v>
      </c>
      <c r="BM947" s="37">
        <v>7</v>
      </c>
      <c r="BN947" s="37">
        <v>8</v>
      </c>
      <c r="BO947" s="37">
        <v>9</v>
      </c>
      <c r="BP947" s="37">
        <v>9</v>
      </c>
      <c r="BQ947" s="37">
        <v>9</v>
      </c>
      <c r="BR947" s="37">
        <v>9</v>
      </c>
      <c r="BS947" s="37">
        <v>9</v>
      </c>
      <c r="BT947" s="37">
        <v>9</v>
      </c>
    </row>
    <row r="948" spans="5:72" x14ac:dyDescent="0.25">
      <c r="E948" s="36"/>
      <c r="F948" s="36">
        <f t="shared" si="295"/>
        <v>0</v>
      </c>
      <c r="G948" s="36">
        <f t="shared" si="296"/>
        <v>0</v>
      </c>
      <c r="H948" s="36">
        <f t="shared" si="297"/>
        <v>0</v>
      </c>
      <c r="I948" s="36">
        <f t="shared" si="298"/>
        <v>0</v>
      </c>
      <c r="J948" s="36">
        <f t="shared" si="299"/>
        <v>0</v>
      </c>
      <c r="K948" s="36">
        <f t="shared" si="300"/>
        <v>0</v>
      </c>
      <c r="L948" s="36">
        <f t="shared" si="301"/>
        <v>0</v>
      </c>
      <c r="M948" s="36">
        <f t="shared" si="302"/>
        <v>0</v>
      </c>
      <c r="N948" s="36">
        <f t="shared" si="303"/>
        <v>0</v>
      </c>
      <c r="O948" s="36">
        <f t="shared" si="304"/>
        <v>0</v>
      </c>
      <c r="P948" s="36">
        <f t="shared" si="305"/>
        <v>0</v>
      </c>
      <c r="Q948" s="36">
        <f t="shared" si="306"/>
        <v>0</v>
      </c>
      <c r="R948" s="36">
        <f t="shared" si="307"/>
        <v>0</v>
      </c>
      <c r="S948" s="36">
        <f t="shared" si="308"/>
        <v>0</v>
      </c>
      <c r="T948" s="36">
        <f t="shared" si="309"/>
        <v>0</v>
      </c>
      <c r="U948" s="36">
        <f t="shared" si="310"/>
        <v>0</v>
      </c>
      <c r="V948" s="36">
        <f t="shared" si="311"/>
        <v>0</v>
      </c>
      <c r="W948" s="36">
        <f t="shared" si="312"/>
        <v>0</v>
      </c>
      <c r="X948" s="36">
        <f t="shared" si="313"/>
        <v>0</v>
      </c>
      <c r="Y948" s="36">
        <f t="shared" si="314"/>
        <v>0</v>
      </c>
      <c r="Z948" s="36">
        <f t="shared" si="315"/>
        <v>0</v>
      </c>
      <c r="AB948" s="36" t="str">
        <f>IF(最佳化斷筋點!C948="","",最佳化斷筋點!C948)</f>
        <v/>
      </c>
      <c r="AC948" s="37" t="str">
        <f>IF(最佳化斷筋點!D948="","",最佳化斷筋點!D948)</f>
        <v/>
      </c>
      <c r="AD948" s="37" t="str">
        <f>IF(最佳化斷筋點!E948="","",最佳化斷筋點!E948)</f>
        <v/>
      </c>
      <c r="AE948" s="37" t="str">
        <f>IF(最佳化斷筋點!F948="","",最佳化斷筋點!F948)</f>
        <v/>
      </c>
      <c r="AF948" s="37" t="str">
        <f>IF(最佳化斷筋點!G948="","",最佳化斷筋點!G948)</f>
        <v/>
      </c>
      <c r="AG948" s="37" t="str">
        <f>IF(最佳化斷筋點!H948="","",最佳化斷筋點!H948)</f>
        <v/>
      </c>
      <c r="AH948" s="37" t="str">
        <f>IF(最佳化斷筋點!I948="","",最佳化斷筋點!I948)</f>
        <v/>
      </c>
      <c r="AI948" s="37" t="str">
        <f>IF(最佳化斷筋點!J948="","",最佳化斷筋點!J948)</f>
        <v/>
      </c>
      <c r="AJ948" s="37" t="str">
        <f>IF(最佳化斷筋點!K948="","",最佳化斷筋點!K948)</f>
        <v/>
      </c>
      <c r="AK948" s="37" t="str">
        <f>IF(最佳化斷筋點!L948="","",最佳化斷筋點!L948)</f>
        <v/>
      </c>
      <c r="AL948" s="37" t="str">
        <f>IF(最佳化斷筋點!M948="","",最佳化斷筋點!M948)</f>
        <v/>
      </c>
      <c r="AM948" s="37" t="str">
        <f>IF(最佳化斷筋點!N948="","",最佳化斷筋點!N948)</f>
        <v/>
      </c>
      <c r="AN948" s="37" t="str">
        <f>IF(最佳化斷筋點!O948="","",最佳化斷筋點!O948)</f>
        <v/>
      </c>
      <c r="AO948" s="37" t="str">
        <f>IF(最佳化斷筋點!P948="","",最佳化斷筋點!P948)</f>
        <v/>
      </c>
      <c r="AP948" s="37" t="str">
        <f>IF(最佳化斷筋點!Q948="","",最佳化斷筋點!Q948)</f>
        <v/>
      </c>
      <c r="AQ948" s="37" t="str">
        <f>IF(最佳化斷筋點!R948="","",最佳化斷筋點!R948)</f>
        <v/>
      </c>
      <c r="AR948" s="37" t="str">
        <f>IF(最佳化斷筋點!S948="","",最佳化斷筋點!S948)</f>
        <v/>
      </c>
      <c r="AS948" s="37" t="str">
        <f>IF(最佳化斷筋點!T948="","",最佳化斷筋點!T948)</f>
        <v/>
      </c>
      <c r="AT948" s="37" t="str">
        <f>IF(最佳化斷筋點!U948="","",最佳化斷筋點!U948)</f>
        <v/>
      </c>
      <c r="AU948" s="37" t="str">
        <f>IF(最佳化斷筋點!V948="","",最佳化斷筋點!V948)</f>
        <v/>
      </c>
      <c r="AV948" s="37" t="str">
        <f>IF(最佳化斷筋點!W948="","",最佳化斷筋點!W948)</f>
        <v/>
      </c>
      <c r="AW948" s="37" t="str">
        <f>IF(最佳化斷筋點!X948="","",最佳化斷筋點!X948)</f>
        <v/>
      </c>
      <c r="AZ948" s="37" t="s">
        <v>197</v>
      </c>
      <c r="BA948" s="37" t="s">
        <v>197</v>
      </c>
      <c r="BB948" s="37" t="s">
        <v>197</v>
      </c>
      <c r="BC948" s="37" t="s">
        <v>197</v>
      </c>
      <c r="BD948" s="37" t="s">
        <v>197</v>
      </c>
      <c r="BE948" s="37" t="s">
        <v>197</v>
      </c>
      <c r="BF948" s="37" t="s">
        <v>197</v>
      </c>
      <c r="BG948" s="37" t="s">
        <v>197</v>
      </c>
      <c r="BH948" s="37" t="s">
        <v>197</v>
      </c>
      <c r="BI948" s="37" t="s">
        <v>197</v>
      </c>
      <c r="BJ948" s="37" t="s">
        <v>197</v>
      </c>
      <c r="BK948" s="37" t="s">
        <v>197</v>
      </c>
      <c r="BL948" s="37" t="s">
        <v>197</v>
      </c>
      <c r="BM948" s="37" t="s">
        <v>197</v>
      </c>
      <c r="BN948" s="37" t="s">
        <v>197</v>
      </c>
      <c r="BO948" s="37" t="s">
        <v>197</v>
      </c>
      <c r="BP948" s="37" t="s">
        <v>197</v>
      </c>
      <c r="BQ948" s="37" t="s">
        <v>197</v>
      </c>
      <c r="BR948" s="37" t="s">
        <v>197</v>
      </c>
      <c r="BS948" s="37" t="s">
        <v>197</v>
      </c>
      <c r="BT948" s="37" t="s">
        <v>197</v>
      </c>
    </row>
    <row r="949" spans="5:72" x14ac:dyDescent="0.25">
      <c r="E949" s="36" t="s">
        <v>21</v>
      </c>
      <c r="F949" s="36">
        <f t="shared" si="295"/>
        <v>0</v>
      </c>
      <c r="G949" s="36">
        <f t="shared" si="296"/>
        <v>0</v>
      </c>
      <c r="H949" s="36">
        <f t="shared" si="297"/>
        <v>0</v>
      </c>
      <c r="I949" s="36">
        <f t="shared" si="298"/>
        <v>0</v>
      </c>
      <c r="J949" s="36">
        <f t="shared" si="299"/>
        <v>0</v>
      </c>
      <c r="K949" s="36">
        <f t="shared" si="300"/>
        <v>0</v>
      </c>
      <c r="L949" s="36">
        <f t="shared" si="301"/>
        <v>0</v>
      </c>
      <c r="M949" s="36">
        <f t="shared" si="302"/>
        <v>0</v>
      </c>
      <c r="N949" s="36">
        <f t="shared" si="303"/>
        <v>0</v>
      </c>
      <c r="O949" s="36">
        <f t="shared" si="304"/>
        <v>0</v>
      </c>
      <c r="P949" s="36">
        <f t="shared" si="305"/>
        <v>0</v>
      </c>
      <c r="Q949" s="36">
        <f t="shared" si="306"/>
        <v>0</v>
      </c>
      <c r="R949" s="36">
        <f t="shared" si="307"/>
        <v>0</v>
      </c>
      <c r="S949" s="36">
        <f t="shared" si="308"/>
        <v>0</v>
      </c>
      <c r="T949" s="36">
        <f t="shared" si="309"/>
        <v>0</v>
      </c>
      <c r="U949" s="36">
        <f t="shared" si="310"/>
        <v>0</v>
      </c>
      <c r="V949" s="36">
        <f t="shared" si="311"/>
        <v>0</v>
      </c>
      <c r="W949" s="36">
        <f t="shared" si="312"/>
        <v>0</v>
      </c>
      <c r="X949" s="36">
        <f t="shared" si="313"/>
        <v>0</v>
      </c>
      <c r="Y949" s="36">
        <f t="shared" si="314"/>
        <v>0</v>
      </c>
      <c r="Z949" s="36">
        <f t="shared" si="315"/>
        <v>0</v>
      </c>
      <c r="AB949" s="36" t="str">
        <f>IF(最佳化斷筋點!C949="","",最佳化斷筋點!C949)</f>
        <v>下層</v>
      </c>
      <c r="AC949" s="37">
        <f>IF(最佳化斷筋點!D949="","",最佳化斷筋點!D949)</f>
        <v>12</v>
      </c>
      <c r="AD949" s="37">
        <f>IF(最佳化斷筋點!E949="","",最佳化斷筋點!E949)</f>
        <v>12</v>
      </c>
      <c r="AE949" s="37">
        <f>IF(最佳化斷筋點!F949="","",最佳化斷筋點!F949)</f>
        <v>12</v>
      </c>
      <c r="AF949" s="37">
        <f>IF(最佳化斷筋點!G949="","",最佳化斷筋點!G949)</f>
        <v>12</v>
      </c>
      <c r="AG949" s="37">
        <f>IF(最佳化斷筋點!H949="","",最佳化斷筋點!H949)</f>
        <v>11</v>
      </c>
      <c r="AH949" s="37">
        <f>IF(最佳化斷筋點!I949="","",最佳化斷筋點!I949)</f>
        <v>10</v>
      </c>
      <c r="AI949" s="37">
        <f>IF(最佳化斷筋點!J949="","",最佳化斷筋點!J949)</f>
        <v>9</v>
      </c>
      <c r="AJ949" s="37">
        <f>IF(最佳化斷筋點!K949="","",最佳化斷筋點!K949)</f>
        <v>5</v>
      </c>
      <c r="AK949" s="37">
        <f>IF(最佳化斷筋點!L949="","",最佳化斷筋點!L949)</f>
        <v>5</v>
      </c>
      <c r="AL949" s="37">
        <f>IF(最佳化斷筋點!M949="","",最佳化斷筋點!M949)</f>
        <v>5</v>
      </c>
      <c r="AM949" s="37">
        <f>IF(最佳化斷筋點!N949="","",最佳化斷筋點!N949)</f>
        <v>5</v>
      </c>
      <c r="AN949" s="37">
        <f>IF(最佳化斷筋點!O949="","",最佳化斷筋點!O949)</f>
        <v>5</v>
      </c>
      <c r="AO949" s="37">
        <f>IF(最佳化斷筋點!P949="","",最佳化斷筋點!P949)</f>
        <v>5</v>
      </c>
      <c r="AP949" s="37">
        <f>IF(最佳化斷筋點!Q949="","",最佳化斷筋點!Q949)</f>
        <v>9</v>
      </c>
      <c r="AQ949" s="37">
        <f>IF(最佳化斷筋點!R949="","",最佳化斷筋點!R949)</f>
        <v>10</v>
      </c>
      <c r="AR949" s="37">
        <f>IF(最佳化斷筋點!S949="","",最佳化斷筋點!S949)</f>
        <v>11</v>
      </c>
      <c r="AS949" s="37">
        <f>IF(最佳化斷筋點!T949="","",最佳化斷筋點!T949)</f>
        <v>13</v>
      </c>
      <c r="AT949" s="37">
        <f>IF(最佳化斷筋點!U949="","",最佳化斷筋點!U949)</f>
        <v>14</v>
      </c>
      <c r="AU949" s="37">
        <f>IF(最佳化斷筋點!V949="","",最佳化斷筋點!V949)</f>
        <v>14</v>
      </c>
      <c r="AV949" s="37">
        <f>IF(最佳化斷筋點!W949="","",最佳化斷筋點!W949)</f>
        <v>14</v>
      </c>
      <c r="AW949" s="37">
        <f>IF(最佳化斷筋點!X949="","",最佳化斷筋點!X949)</f>
        <v>14</v>
      </c>
      <c r="AZ949" s="37">
        <v>12</v>
      </c>
      <c r="BA949" s="37">
        <v>12</v>
      </c>
      <c r="BB949" s="37">
        <v>12</v>
      </c>
      <c r="BC949" s="37">
        <v>12</v>
      </c>
      <c r="BD949" s="37">
        <v>11</v>
      </c>
      <c r="BE949" s="37">
        <v>10</v>
      </c>
      <c r="BF949" s="37">
        <v>9</v>
      </c>
      <c r="BG949" s="37">
        <v>5</v>
      </c>
      <c r="BH949" s="37">
        <v>5</v>
      </c>
      <c r="BI949" s="37">
        <v>5</v>
      </c>
      <c r="BJ949" s="37">
        <v>5</v>
      </c>
      <c r="BK949" s="37">
        <v>5</v>
      </c>
      <c r="BL949" s="37">
        <v>5</v>
      </c>
      <c r="BM949" s="37">
        <v>9</v>
      </c>
      <c r="BN949" s="37">
        <v>10</v>
      </c>
      <c r="BO949" s="37">
        <v>11</v>
      </c>
      <c r="BP949" s="37">
        <v>13</v>
      </c>
      <c r="BQ949" s="37">
        <v>14</v>
      </c>
      <c r="BR949" s="37">
        <v>14</v>
      </c>
      <c r="BS949" s="37">
        <v>14</v>
      </c>
      <c r="BT949" s="37">
        <v>14</v>
      </c>
    </row>
    <row r="950" spans="5:72" x14ac:dyDescent="0.25">
      <c r="E950" s="36"/>
      <c r="F950" s="36">
        <f t="shared" si="295"/>
        <v>0</v>
      </c>
      <c r="G950" s="36">
        <f t="shared" si="296"/>
        <v>0</v>
      </c>
      <c r="H950" s="36">
        <f t="shared" si="297"/>
        <v>0</v>
      </c>
      <c r="I950" s="36">
        <f t="shared" si="298"/>
        <v>0</v>
      </c>
      <c r="J950" s="36">
        <f t="shared" si="299"/>
        <v>0</v>
      </c>
      <c r="K950" s="36">
        <f t="shared" si="300"/>
        <v>0</v>
      </c>
      <c r="L950" s="36">
        <f t="shared" si="301"/>
        <v>0</v>
      </c>
      <c r="M950" s="36">
        <f t="shared" si="302"/>
        <v>0</v>
      </c>
      <c r="N950" s="36">
        <f t="shared" si="303"/>
        <v>0</v>
      </c>
      <c r="O950" s="36">
        <f t="shared" si="304"/>
        <v>0</v>
      </c>
      <c r="P950" s="36">
        <f t="shared" si="305"/>
        <v>0</v>
      </c>
      <c r="Q950" s="36">
        <f t="shared" si="306"/>
        <v>0</v>
      </c>
      <c r="R950" s="36">
        <f t="shared" si="307"/>
        <v>0</v>
      </c>
      <c r="S950" s="36">
        <f t="shared" si="308"/>
        <v>0</v>
      </c>
      <c r="T950" s="36">
        <f t="shared" si="309"/>
        <v>0</v>
      </c>
      <c r="U950" s="36">
        <f t="shared" si="310"/>
        <v>0</v>
      </c>
      <c r="V950" s="36">
        <f t="shared" si="311"/>
        <v>0</v>
      </c>
      <c r="W950" s="36">
        <f t="shared" si="312"/>
        <v>0</v>
      </c>
      <c r="X950" s="36">
        <f t="shared" si="313"/>
        <v>0</v>
      </c>
      <c r="Y950" s="36">
        <f t="shared" si="314"/>
        <v>0</v>
      </c>
      <c r="Z950" s="36">
        <f t="shared" si="315"/>
        <v>0</v>
      </c>
      <c r="AB950" s="36" t="str">
        <f>IF(最佳化斷筋點!C950="","",最佳化斷筋點!C950)</f>
        <v/>
      </c>
      <c r="AC950" s="37" t="str">
        <f>IF(最佳化斷筋點!D950="","",最佳化斷筋點!D950)</f>
        <v/>
      </c>
      <c r="AD950" s="37" t="str">
        <f>IF(最佳化斷筋點!E950="","",最佳化斷筋點!E950)</f>
        <v/>
      </c>
      <c r="AE950" s="37" t="str">
        <f>IF(最佳化斷筋點!F950="","",最佳化斷筋點!F950)</f>
        <v/>
      </c>
      <c r="AF950" s="37" t="str">
        <f>IF(最佳化斷筋點!G950="","",最佳化斷筋點!G950)</f>
        <v/>
      </c>
      <c r="AG950" s="37" t="str">
        <f>IF(最佳化斷筋點!H950="","",最佳化斷筋點!H950)</f>
        <v/>
      </c>
      <c r="AH950" s="37" t="str">
        <f>IF(最佳化斷筋點!I950="","",最佳化斷筋點!I950)</f>
        <v/>
      </c>
      <c r="AI950" s="37" t="str">
        <f>IF(最佳化斷筋點!J950="","",最佳化斷筋點!J950)</f>
        <v/>
      </c>
      <c r="AJ950" s="37" t="str">
        <f>IF(最佳化斷筋點!K950="","",最佳化斷筋點!K950)</f>
        <v/>
      </c>
      <c r="AK950" s="37" t="str">
        <f>IF(最佳化斷筋點!L950="","",最佳化斷筋點!L950)</f>
        <v/>
      </c>
      <c r="AL950" s="37" t="str">
        <f>IF(最佳化斷筋點!M950="","",最佳化斷筋點!M950)</f>
        <v/>
      </c>
      <c r="AM950" s="37" t="str">
        <f>IF(最佳化斷筋點!N950="","",最佳化斷筋點!N950)</f>
        <v/>
      </c>
      <c r="AN950" s="37" t="str">
        <f>IF(最佳化斷筋點!O950="","",最佳化斷筋點!O950)</f>
        <v/>
      </c>
      <c r="AO950" s="37" t="str">
        <f>IF(最佳化斷筋點!P950="","",最佳化斷筋點!P950)</f>
        <v/>
      </c>
      <c r="AP950" s="37" t="str">
        <f>IF(最佳化斷筋點!Q950="","",最佳化斷筋點!Q950)</f>
        <v/>
      </c>
      <c r="AQ950" s="37" t="str">
        <f>IF(最佳化斷筋點!R950="","",最佳化斷筋點!R950)</f>
        <v/>
      </c>
      <c r="AR950" s="37" t="str">
        <f>IF(最佳化斷筋點!S950="","",最佳化斷筋點!S950)</f>
        <v/>
      </c>
      <c r="AS950" s="37" t="str">
        <f>IF(最佳化斷筋點!T950="","",最佳化斷筋點!T950)</f>
        <v/>
      </c>
      <c r="AT950" s="37" t="str">
        <f>IF(最佳化斷筋點!U950="","",最佳化斷筋點!U950)</f>
        <v/>
      </c>
      <c r="AU950" s="37" t="str">
        <f>IF(最佳化斷筋點!V950="","",最佳化斷筋點!V950)</f>
        <v/>
      </c>
      <c r="AV950" s="37" t="str">
        <f>IF(最佳化斷筋點!W950="","",最佳化斷筋點!W950)</f>
        <v/>
      </c>
      <c r="AW950" s="37" t="str">
        <f>IF(最佳化斷筋點!X950="","",最佳化斷筋點!X950)</f>
        <v/>
      </c>
      <c r="AZ950" s="37" t="s">
        <v>197</v>
      </c>
      <c r="BA950" s="37" t="s">
        <v>197</v>
      </c>
      <c r="BB950" s="37" t="s">
        <v>197</v>
      </c>
      <c r="BC950" s="37" t="s">
        <v>197</v>
      </c>
      <c r="BD950" s="37" t="s">
        <v>197</v>
      </c>
      <c r="BE950" s="37" t="s">
        <v>197</v>
      </c>
      <c r="BF950" s="37" t="s">
        <v>197</v>
      </c>
      <c r="BG950" s="37" t="s">
        <v>197</v>
      </c>
      <c r="BH950" s="37" t="s">
        <v>197</v>
      </c>
      <c r="BI950" s="37" t="s">
        <v>197</v>
      </c>
      <c r="BJ950" s="37" t="s">
        <v>197</v>
      </c>
      <c r="BK950" s="37" t="s">
        <v>197</v>
      </c>
      <c r="BL950" s="37" t="s">
        <v>197</v>
      </c>
      <c r="BM950" s="37" t="s">
        <v>197</v>
      </c>
      <c r="BN950" s="37" t="s">
        <v>197</v>
      </c>
      <c r="BO950" s="37" t="s">
        <v>197</v>
      </c>
      <c r="BP950" s="37" t="s">
        <v>197</v>
      </c>
      <c r="BQ950" s="37" t="s">
        <v>197</v>
      </c>
      <c r="BR950" s="37" t="s">
        <v>197</v>
      </c>
      <c r="BS950" s="37" t="s">
        <v>197</v>
      </c>
      <c r="BT950" s="37" t="s">
        <v>197</v>
      </c>
    </row>
    <row r="951" spans="5:72" x14ac:dyDescent="0.25">
      <c r="E951" s="36" t="s">
        <v>20</v>
      </c>
      <c r="F951" s="36">
        <f t="shared" ref="F951:F1014" si="316">IF(AC951=AZ951,0,1)</f>
        <v>0</v>
      </c>
      <c r="G951" s="36">
        <f t="shared" ref="G951:G1014" si="317">IF(AD951=BA951,0,1)</f>
        <v>0</v>
      </c>
      <c r="H951" s="36">
        <f t="shared" ref="H951:H1014" si="318">IF(AE951=BB951,0,1)</f>
        <v>0</v>
      </c>
      <c r="I951" s="36">
        <f t="shared" ref="I951:I1014" si="319">IF(AF951=BC951,0,1)</f>
        <v>0</v>
      </c>
      <c r="J951" s="36">
        <f t="shared" ref="J951:J1014" si="320">IF(AG951=BD951,0,1)</f>
        <v>0</v>
      </c>
      <c r="K951" s="36">
        <f t="shared" ref="K951:K1014" si="321">IF(AH951=BE951,0,1)</f>
        <v>0</v>
      </c>
      <c r="L951" s="36">
        <f t="shared" ref="L951:L1014" si="322">IF(AI951=BF951,0,1)</f>
        <v>0</v>
      </c>
      <c r="M951" s="36">
        <f t="shared" ref="M951:M1014" si="323">IF(AJ951=BG951,0,1)</f>
        <v>0</v>
      </c>
      <c r="N951" s="36">
        <f t="shared" ref="N951:N1014" si="324">IF(AK951=BH951,0,1)</f>
        <v>0</v>
      </c>
      <c r="O951" s="36">
        <f t="shared" ref="O951:O1014" si="325">IF(AL951=BI951,0,1)</f>
        <v>0</v>
      </c>
      <c r="P951" s="36">
        <f t="shared" ref="P951:P1014" si="326">IF(AM951=BJ951,0,1)</f>
        <v>0</v>
      </c>
      <c r="Q951" s="36">
        <f t="shared" ref="Q951:Q1014" si="327">IF(AN951=BK951,0,1)</f>
        <v>0</v>
      </c>
      <c r="R951" s="36">
        <f t="shared" ref="R951:R1014" si="328">IF(AO951=BL951,0,1)</f>
        <v>0</v>
      </c>
      <c r="S951" s="36">
        <f t="shared" ref="S951:S1014" si="329">IF(AP951=BM951,0,1)</f>
        <v>0</v>
      </c>
      <c r="T951" s="36">
        <f t="shared" ref="T951:T1014" si="330">IF(AQ951=BN951,0,1)</f>
        <v>0</v>
      </c>
      <c r="U951" s="36">
        <f t="shared" ref="U951:U1014" si="331">IF(AR951=BO951,0,1)</f>
        <v>0</v>
      </c>
      <c r="V951" s="36">
        <f t="shared" ref="V951:V1014" si="332">IF(AS951=BP951,0,1)</f>
        <v>0</v>
      </c>
      <c r="W951" s="36">
        <f t="shared" ref="W951:W1014" si="333">IF(AT951=BQ951,0,1)</f>
        <v>0</v>
      </c>
      <c r="X951" s="36">
        <f t="shared" ref="X951:X1014" si="334">IF(AU951=BR951,0,1)</f>
        <v>0</v>
      </c>
      <c r="Y951" s="36">
        <f t="shared" ref="Y951:Y1014" si="335">IF(AV951=BS951,0,1)</f>
        <v>0</v>
      </c>
      <c r="Z951" s="36">
        <f t="shared" ref="Z951:Z1014" si="336">IF(AW951=BT951,0,1)</f>
        <v>0</v>
      </c>
      <c r="AB951" s="36" t="str">
        <f>IF(最佳化斷筋點!C951="","",最佳化斷筋點!C951)</f>
        <v>上層</v>
      </c>
      <c r="AC951" s="37">
        <f>IF(最佳化斷筋點!D951="","",最佳化斷筋點!D951)</f>
        <v>9</v>
      </c>
      <c r="AD951" s="37">
        <f>IF(最佳化斷筋點!E951="","",最佳化斷筋點!E951)</f>
        <v>9</v>
      </c>
      <c r="AE951" s="37">
        <f>IF(最佳化斷筋點!F951="","",最佳化斷筋點!F951)</f>
        <v>9</v>
      </c>
      <c r="AF951" s="37">
        <f>IF(最佳化斷筋點!G951="","",最佳化斷筋點!G951)</f>
        <v>9</v>
      </c>
      <c r="AG951" s="37">
        <f>IF(最佳化斷筋點!H951="","",最佳化斷筋點!H951)</f>
        <v>9</v>
      </c>
      <c r="AH951" s="37">
        <f>IF(最佳化斷筋點!I951="","",最佳化斷筋點!I951)</f>
        <v>9</v>
      </c>
      <c r="AI951" s="37">
        <f>IF(最佳化斷筋點!J951="","",最佳化斷筋點!J951)</f>
        <v>9</v>
      </c>
      <c r="AJ951" s="37">
        <f>IF(最佳化斷筋點!K951="","",最佳化斷筋點!K951)</f>
        <v>4</v>
      </c>
      <c r="AK951" s="37">
        <f>IF(最佳化斷筋點!L951="","",最佳化斷筋點!L951)</f>
        <v>4</v>
      </c>
      <c r="AL951" s="37">
        <f>IF(最佳化斷筋點!M951="","",最佳化斷筋點!M951)</f>
        <v>4</v>
      </c>
      <c r="AM951" s="37">
        <f>IF(最佳化斷筋點!N951="","",最佳化斷筋點!N951)</f>
        <v>4</v>
      </c>
      <c r="AN951" s="37">
        <f>IF(最佳化斷筋點!O951="","",最佳化斷筋點!O951)</f>
        <v>4</v>
      </c>
      <c r="AO951" s="37">
        <f>IF(最佳化斷筋點!P951="","",最佳化斷筋點!P951)</f>
        <v>4</v>
      </c>
      <c r="AP951" s="37">
        <f>IF(最佳化斷筋點!Q951="","",最佳化斷筋點!Q951)</f>
        <v>9</v>
      </c>
      <c r="AQ951" s="37">
        <f>IF(最佳化斷筋點!R951="","",最佳化斷筋點!R951)</f>
        <v>10</v>
      </c>
      <c r="AR951" s="37">
        <f>IF(最佳化斷筋點!S951="","",最佳化斷筋點!S951)</f>
        <v>10</v>
      </c>
      <c r="AS951" s="37">
        <f>IF(最佳化斷筋點!T951="","",最佳化斷筋點!T951)</f>
        <v>10</v>
      </c>
      <c r="AT951" s="37">
        <f>IF(最佳化斷筋點!U951="","",最佳化斷筋點!U951)</f>
        <v>10</v>
      </c>
      <c r="AU951" s="37">
        <f>IF(最佳化斷筋點!V951="","",最佳化斷筋點!V951)</f>
        <v>10</v>
      </c>
      <c r="AV951" s="37">
        <f>IF(最佳化斷筋點!W951="","",最佳化斷筋點!W951)</f>
        <v>10</v>
      </c>
      <c r="AW951" s="37">
        <f>IF(最佳化斷筋點!X951="","",最佳化斷筋點!X951)</f>
        <v>10</v>
      </c>
      <c r="AZ951" s="37">
        <v>9</v>
      </c>
      <c r="BA951" s="37">
        <v>9</v>
      </c>
      <c r="BB951" s="37">
        <v>9</v>
      </c>
      <c r="BC951" s="37">
        <v>9</v>
      </c>
      <c r="BD951" s="37">
        <v>9</v>
      </c>
      <c r="BE951" s="37">
        <v>9</v>
      </c>
      <c r="BF951" s="37">
        <v>9</v>
      </c>
      <c r="BG951" s="37">
        <v>4</v>
      </c>
      <c r="BH951" s="37">
        <v>4</v>
      </c>
      <c r="BI951" s="37">
        <v>4</v>
      </c>
      <c r="BJ951" s="37">
        <v>4</v>
      </c>
      <c r="BK951" s="37">
        <v>4</v>
      </c>
      <c r="BL951" s="37">
        <v>4</v>
      </c>
      <c r="BM951" s="37">
        <v>9</v>
      </c>
      <c r="BN951" s="37">
        <v>10</v>
      </c>
      <c r="BO951" s="37">
        <v>10</v>
      </c>
      <c r="BP951" s="37">
        <v>10</v>
      </c>
      <c r="BQ951" s="37">
        <v>10</v>
      </c>
      <c r="BR951" s="37">
        <v>10</v>
      </c>
      <c r="BS951" s="37">
        <v>10</v>
      </c>
      <c r="BT951" s="37">
        <v>10</v>
      </c>
    </row>
    <row r="952" spans="5:72" x14ac:dyDescent="0.25">
      <c r="E952" s="36"/>
      <c r="F952" s="36">
        <f t="shared" si="316"/>
        <v>0</v>
      </c>
      <c r="G952" s="36">
        <f t="shared" si="317"/>
        <v>0</v>
      </c>
      <c r="H952" s="36">
        <f t="shared" si="318"/>
        <v>0</v>
      </c>
      <c r="I952" s="36">
        <f t="shared" si="319"/>
        <v>0</v>
      </c>
      <c r="J952" s="36">
        <f t="shared" si="320"/>
        <v>0</v>
      </c>
      <c r="K952" s="36">
        <f t="shared" si="321"/>
        <v>0</v>
      </c>
      <c r="L952" s="36">
        <f t="shared" si="322"/>
        <v>0</v>
      </c>
      <c r="M952" s="36">
        <f t="shared" si="323"/>
        <v>0</v>
      </c>
      <c r="N952" s="36">
        <f t="shared" si="324"/>
        <v>0</v>
      </c>
      <c r="O952" s="36">
        <f t="shared" si="325"/>
        <v>0</v>
      </c>
      <c r="P952" s="36">
        <f t="shared" si="326"/>
        <v>0</v>
      </c>
      <c r="Q952" s="36">
        <f t="shared" si="327"/>
        <v>0</v>
      </c>
      <c r="R952" s="36">
        <f t="shared" si="328"/>
        <v>0</v>
      </c>
      <c r="S952" s="36">
        <f t="shared" si="329"/>
        <v>0</v>
      </c>
      <c r="T952" s="36">
        <f t="shared" si="330"/>
        <v>0</v>
      </c>
      <c r="U952" s="36">
        <f t="shared" si="331"/>
        <v>0</v>
      </c>
      <c r="V952" s="36">
        <f t="shared" si="332"/>
        <v>0</v>
      </c>
      <c r="W952" s="36">
        <f t="shared" si="333"/>
        <v>0</v>
      </c>
      <c r="X952" s="36">
        <f t="shared" si="334"/>
        <v>0</v>
      </c>
      <c r="Y952" s="36">
        <f t="shared" si="335"/>
        <v>0</v>
      </c>
      <c r="Z952" s="36">
        <f t="shared" si="336"/>
        <v>0</v>
      </c>
      <c r="AB952" s="36" t="str">
        <f>IF(最佳化斷筋點!C952="","",最佳化斷筋點!C952)</f>
        <v/>
      </c>
      <c r="AC952" s="37" t="str">
        <f>IF(最佳化斷筋點!D952="","",最佳化斷筋點!D952)</f>
        <v/>
      </c>
      <c r="AD952" s="37" t="str">
        <f>IF(最佳化斷筋點!E952="","",最佳化斷筋點!E952)</f>
        <v/>
      </c>
      <c r="AE952" s="37" t="str">
        <f>IF(最佳化斷筋點!F952="","",最佳化斷筋點!F952)</f>
        <v/>
      </c>
      <c r="AF952" s="37" t="str">
        <f>IF(最佳化斷筋點!G952="","",最佳化斷筋點!G952)</f>
        <v/>
      </c>
      <c r="AG952" s="37" t="str">
        <f>IF(最佳化斷筋點!H952="","",最佳化斷筋點!H952)</f>
        <v/>
      </c>
      <c r="AH952" s="37" t="str">
        <f>IF(最佳化斷筋點!I952="","",最佳化斷筋點!I952)</f>
        <v/>
      </c>
      <c r="AI952" s="37" t="str">
        <f>IF(最佳化斷筋點!J952="","",最佳化斷筋點!J952)</f>
        <v/>
      </c>
      <c r="AJ952" s="37" t="str">
        <f>IF(最佳化斷筋點!K952="","",最佳化斷筋點!K952)</f>
        <v/>
      </c>
      <c r="AK952" s="37" t="str">
        <f>IF(最佳化斷筋點!L952="","",最佳化斷筋點!L952)</f>
        <v/>
      </c>
      <c r="AL952" s="37" t="str">
        <f>IF(最佳化斷筋點!M952="","",最佳化斷筋點!M952)</f>
        <v/>
      </c>
      <c r="AM952" s="37" t="str">
        <f>IF(最佳化斷筋點!N952="","",最佳化斷筋點!N952)</f>
        <v/>
      </c>
      <c r="AN952" s="37" t="str">
        <f>IF(最佳化斷筋點!O952="","",最佳化斷筋點!O952)</f>
        <v/>
      </c>
      <c r="AO952" s="37" t="str">
        <f>IF(最佳化斷筋點!P952="","",最佳化斷筋點!P952)</f>
        <v/>
      </c>
      <c r="AP952" s="37" t="str">
        <f>IF(最佳化斷筋點!Q952="","",最佳化斷筋點!Q952)</f>
        <v/>
      </c>
      <c r="AQ952" s="37" t="str">
        <f>IF(最佳化斷筋點!R952="","",最佳化斷筋點!R952)</f>
        <v/>
      </c>
      <c r="AR952" s="37" t="str">
        <f>IF(最佳化斷筋點!S952="","",最佳化斷筋點!S952)</f>
        <v/>
      </c>
      <c r="AS952" s="37" t="str">
        <f>IF(最佳化斷筋點!T952="","",最佳化斷筋點!T952)</f>
        <v/>
      </c>
      <c r="AT952" s="37" t="str">
        <f>IF(最佳化斷筋點!U952="","",最佳化斷筋點!U952)</f>
        <v/>
      </c>
      <c r="AU952" s="37" t="str">
        <f>IF(最佳化斷筋點!V952="","",最佳化斷筋點!V952)</f>
        <v/>
      </c>
      <c r="AV952" s="37" t="str">
        <f>IF(最佳化斷筋點!W952="","",最佳化斷筋點!W952)</f>
        <v/>
      </c>
      <c r="AW952" s="37" t="str">
        <f>IF(最佳化斷筋點!X952="","",最佳化斷筋點!X952)</f>
        <v/>
      </c>
      <c r="AZ952" s="37" t="s">
        <v>197</v>
      </c>
      <c r="BA952" s="37" t="s">
        <v>197</v>
      </c>
      <c r="BB952" s="37" t="s">
        <v>197</v>
      </c>
      <c r="BC952" s="37" t="s">
        <v>197</v>
      </c>
      <c r="BD952" s="37" t="s">
        <v>197</v>
      </c>
      <c r="BE952" s="37" t="s">
        <v>197</v>
      </c>
      <c r="BF952" s="37" t="s">
        <v>197</v>
      </c>
      <c r="BG952" s="37" t="s">
        <v>197</v>
      </c>
      <c r="BH952" s="37" t="s">
        <v>197</v>
      </c>
      <c r="BI952" s="37" t="s">
        <v>197</v>
      </c>
      <c r="BJ952" s="37" t="s">
        <v>197</v>
      </c>
      <c r="BK952" s="37" t="s">
        <v>197</v>
      </c>
      <c r="BL952" s="37" t="s">
        <v>197</v>
      </c>
      <c r="BM952" s="37" t="s">
        <v>197</v>
      </c>
      <c r="BN952" s="37" t="s">
        <v>197</v>
      </c>
      <c r="BO952" s="37" t="s">
        <v>197</v>
      </c>
      <c r="BP952" s="37" t="s">
        <v>197</v>
      </c>
      <c r="BQ952" s="37" t="s">
        <v>197</v>
      </c>
      <c r="BR952" s="37" t="s">
        <v>197</v>
      </c>
      <c r="BS952" s="37" t="s">
        <v>197</v>
      </c>
      <c r="BT952" s="37" t="s">
        <v>197</v>
      </c>
    </row>
    <row r="953" spans="5:72" x14ac:dyDescent="0.25">
      <c r="E953" s="36" t="s">
        <v>21</v>
      </c>
      <c r="F953" s="36">
        <f t="shared" si="316"/>
        <v>0</v>
      </c>
      <c r="G953" s="36">
        <f t="shared" si="317"/>
        <v>0</v>
      </c>
      <c r="H953" s="36">
        <f t="shared" si="318"/>
        <v>0</v>
      </c>
      <c r="I953" s="36">
        <f t="shared" si="319"/>
        <v>0</v>
      </c>
      <c r="J953" s="36">
        <f t="shared" si="320"/>
        <v>0</v>
      </c>
      <c r="K953" s="36">
        <f t="shared" si="321"/>
        <v>0</v>
      </c>
      <c r="L953" s="36">
        <f t="shared" si="322"/>
        <v>0</v>
      </c>
      <c r="M953" s="36">
        <f t="shared" si="323"/>
        <v>0</v>
      </c>
      <c r="N953" s="36">
        <f t="shared" si="324"/>
        <v>0</v>
      </c>
      <c r="O953" s="36">
        <f t="shared" si="325"/>
        <v>0</v>
      </c>
      <c r="P953" s="36">
        <f t="shared" si="326"/>
        <v>0</v>
      </c>
      <c r="Q953" s="36">
        <f t="shared" si="327"/>
        <v>0</v>
      </c>
      <c r="R953" s="36">
        <f t="shared" si="328"/>
        <v>0</v>
      </c>
      <c r="S953" s="36">
        <f t="shared" si="329"/>
        <v>0</v>
      </c>
      <c r="T953" s="36">
        <f t="shared" si="330"/>
        <v>0</v>
      </c>
      <c r="U953" s="36">
        <f t="shared" si="331"/>
        <v>0</v>
      </c>
      <c r="V953" s="36">
        <f t="shared" si="332"/>
        <v>0</v>
      </c>
      <c r="W953" s="36">
        <f t="shared" si="333"/>
        <v>0</v>
      </c>
      <c r="X953" s="36">
        <f t="shared" si="334"/>
        <v>0</v>
      </c>
      <c r="Y953" s="36">
        <f t="shared" si="335"/>
        <v>0</v>
      </c>
      <c r="Z953" s="36">
        <f t="shared" si="336"/>
        <v>0</v>
      </c>
      <c r="AB953" s="36" t="str">
        <f>IF(最佳化斷筋點!C953="","",最佳化斷筋點!C953)</f>
        <v>下層</v>
      </c>
      <c r="AC953" s="37">
        <f>IF(最佳化斷筋點!D953="","",最佳化斷筋點!D953)</f>
        <v>15</v>
      </c>
      <c r="AD953" s="37">
        <f>IF(最佳化斷筋點!E953="","",最佳化斷筋點!E953)</f>
        <v>15</v>
      </c>
      <c r="AE953" s="37">
        <f>IF(最佳化斷筋點!F953="","",最佳化斷筋點!F953)</f>
        <v>15</v>
      </c>
      <c r="AF953" s="37">
        <f>IF(最佳化斷筋點!G953="","",最佳化斷筋點!G953)</f>
        <v>15</v>
      </c>
      <c r="AG953" s="37">
        <f>IF(最佳化斷筋點!H953="","",最佳化斷筋點!H953)</f>
        <v>15</v>
      </c>
      <c r="AH953" s="37">
        <f>IF(最佳化斷筋點!I953="","",最佳化斷筋點!I953)</f>
        <v>14</v>
      </c>
      <c r="AI953" s="37">
        <f>IF(最佳化斷筋點!J953="","",最佳化斷筋點!J953)</f>
        <v>13</v>
      </c>
      <c r="AJ953" s="37">
        <f>IF(最佳化斷筋點!K953="","",最佳化斷筋點!K953)</f>
        <v>5</v>
      </c>
      <c r="AK953" s="37">
        <f>IF(最佳化斷筋點!L953="","",最佳化斷筋點!L953)</f>
        <v>5</v>
      </c>
      <c r="AL953" s="37">
        <f>IF(最佳化斷筋點!M953="","",最佳化斷筋點!M953)</f>
        <v>5</v>
      </c>
      <c r="AM953" s="37">
        <f>IF(最佳化斷筋點!N953="","",最佳化斷筋點!N953)</f>
        <v>5</v>
      </c>
      <c r="AN953" s="37">
        <f>IF(最佳化斷筋點!O953="","",最佳化斷筋點!O953)</f>
        <v>5</v>
      </c>
      <c r="AO953" s="37">
        <f>IF(最佳化斷筋點!P953="","",最佳化斷筋點!P953)</f>
        <v>5</v>
      </c>
      <c r="AP953" s="37">
        <f>IF(最佳化斷筋點!Q953="","",最佳化斷筋點!Q953)</f>
        <v>9</v>
      </c>
      <c r="AQ953" s="37">
        <f>IF(最佳化斷筋點!R953="","",最佳化斷筋點!R953)</f>
        <v>10</v>
      </c>
      <c r="AR953" s="37">
        <f>IF(最佳化斷筋點!S953="","",最佳化斷筋點!S953)</f>
        <v>11</v>
      </c>
      <c r="AS953" s="37">
        <f>IF(最佳化斷筋點!T953="","",最佳化斷筋點!T953)</f>
        <v>12</v>
      </c>
      <c r="AT953" s="37">
        <f>IF(最佳化斷筋點!U953="","",最佳化斷筋點!U953)</f>
        <v>12</v>
      </c>
      <c r="AU953" s="37">
        <f>IF(最佳化斷筋點!V953="","",最佳化斷筋點!V953)</f>
        <v>12</v>
      </c>
      <c r="AV953" s="37">
        <f>IF(最佳化斷筋點!W953="","",最佳化斷筋點!W953)</f>
        <v>12</v>
      </c>
      <c r="AW953" s="37">
        <f>IF(最佳化斷筋點!X953="","",最佳化斷筋點!X953)</f>
        <v>12</v>
      </c>
      <c r="AZ953" s="37">
        <v>15</v>
      </c>
      <c r="BA953" s="37">
        <v>15</v>
      </c>
      <c r="BB953" s="37">
        <v>15</v>
      </c>
      <c r="BC953" s="37">
        <v>15</v>
      </c>
      <c r="BD953" s="37">
        <v>15</v>
      </c>
      <c r="BE953" s="37">
        <v>14</v>
      </c>
      <c r="BF953" s="37">
        <v>13</v>
      </c>
      <c r="BG953" s="37">
        <v>5</v>
      </c>
      <c r="BH953" s="37">
        <v>5</v>
      </c>
      <c r="BI953" s="37">
        <v>5</v>
      </c>
      <c r="BJ953" s="37">
        <v>5</v>
      </c>
      <c r="BK953" s="37">
        <v>5</v>
      </c>
      <c r="BL953" s="37">
        <v>5</v>
      </c>
      <c r="BM953" s="37">
        <v>9</v>
      </c>
      <c r="BN953" s="37">
        <v>10</v>
      </c>
      <c r="BO953" s="37">
        <v>11</v>
      </c>
      <c r="BP953" s="37">
        <v>12</v>
      </c>
      <c r="BQ953" s="37">
        <v>12</v>
      </c>
      <c r="BR953" s="37">
        <v>12</v>
      </c>
      <c r="BS953" s="37">
        <v>12</v>
      </c>
      <c r="BT953" s="37">
        <v>12</v>
      </c>
    </row>
    <row r="954" spans="5:72" x14ac:dyDescent="0.25">
      <c r="E954" s="36"/>
      <c r="F954" s="36">
        <f t="shared" si="316"/>
        <v>0</v>
      </c>
      <c r="G954" s="36">
        <f t="shared" si="317"/>
        <v>0</v>
      </c>
      <c r="H954" s="36">
        <f t="shared" si="318"/>
        <v>0</v>
      </c>
      <c r="I954" s="36">
        <f t="shared" si="319"/>
        <v>0</v>
      </c>
      <c r="J954" s="36">
        <f t="shared" si="320"/>
        <v>0</v>
      </c>
      <c r="K954" s="36">
        <f t="shared" si="321"/>
        <v>0</v>
      </c>
      <c r="L954" s="36">
        <f t="shared" si="322"/>
        <v>0</v>
      </c>
      <c r="M954" s="36">
        <f t="shared" si="323"/>
        <v>0</v>
      </c>
      <c r="N954" s="36">
        <f t="shared" si="324"/>
        <v>0</v>
      </c>
      <c r="O954" s="36">
        <f t="shared" si="325"/>
        <v>0</v>
      </c>
      <c r="P954" s="36">
        <f t="shared" si="326"/>
        <v>0</v>
      </c>
      <c r="Q954" s="36">
        <f t="shared" si="327"/>
        <v>0</v>
      </c>
      <c r="R954" s="36">
        <f t="shared" si="328"/>
        <v>0</v>
      </c>
      <c r="S954" s="36">
        <f t="shared" si="329"/>
        <v>0</v>
      </c>
      <c r="T954" s="36">
        <f t="shared" si="330"/>
        <v>0</v>
      </c>
      <c r="U954" s="36">
        <f t="shared" si="331"/>
        <v>0</v>
      </c>
      <c r="V954" s="36">
        <f t="shared" si="332"/>
        <v>0</v>
      </c>
      <c r="W954" s="36">
        <f t="shared" si="333"/>
        <v>0</v>
      </c>
      <c r="X954" s="36">
        <f t="shared" si="334"/>
        <v>0</v>
      </c>
      <c r="Y954" s="36">
        <f t="shared" si="335"/>
        <v>0</v>
      </c>
      <c r="Z954" s="36">
        <f t="shared" si="336"/>
        <v>0</v>
      </c>
      <c r="AB954" s="36" t="str">
        <f>IF(最佳化斷筋點!C954="","",最佳化斷筋點!C954)</f>
        <v/>
      </c>
      <c r="AC954" s="37" t="str">
        <f>IF(最佳化斷筋點!D954="","",最佳化斷筋點!D954)</f>
        <v/>
      </c>
      <c r="AD954" s="37" t="str">
        <f>IF(最佳化斷筋點!E954="","",最佳化斷筋點!E954)</f>
        <v/>
      </c>
      <c r="AE954" s="37" t="str">
        <f>IF(最佳化斷筋點!F954="","",最佳化斷筋點!F954)</f>
        <v/>
      </c>
      <c r="AF954" s="37" t="str">
        <f>IF(最佳化斷筋點!G954="","",最佳化斷筋點!G954)</f>
        <v/>
      </c>
      <c r="AG954" s="37" t="str">
        <f>IF(最佳化斷筋點!H954="","",最佳化斷筋點!H954)</f>
        <v/>
      </c>
      <c r="AH954" s="37" t="str">
        <f>IF(最佳化斷筋點!I954="","",最佳化斷筋點!I954)</f>
        <v/>
      </c>
      <c r="AI954" s="37" t="str">
        <f>IF(最佳化斷筋點!J954="","",最佳化斷筋點!J954)</f>
        <v/>
      </c>
      <c r="AJ954" s="37" t="str">
        <f>IF(最佳化斷筋點!K954="","",最佳化斷筋點!K954)</f>
        <v/>
      </c>
      <c r="AK954" s="37" t="str">
        <f>IF(最佳化斷筋點!L954="","",最佳化斷筋點!L954)</f>
        <v/>
      </c>
      <c r="AL954" s="37" t="str">
        <f>IF(最佳化斷筋點!M954="","",最佳化斷筋點!M954)</f>
        <v/>
      </c>
      <c r="AM954" s="37" t="str">
        <f>IF(最佳化斷筋點!N954="","",最佳化斷筋點!N954)</f>
        <v/>
      </c>
      <c r="AN954" s="37" t="str">
        <f>IF(最佳化斷筋點!O954="","",最佳化斷筋點!O954)</f>
        <v/>
      </c>
      <c r="AO954" s="37" t="str">
        <f>IF(最佳化斷筋點!P954="","",最佳化斷筋點!P954)</f>
        <v/>
      </c>
      <c r="AP954" s="37" t="str">
        <f>IF(最佳化斷筋點!Q954="","",最佳化斷筋點!Q954)</f>
        <v/>
      </c>
      <c r="AQ954" s="37" t="str">
        <f>IF(最佳化斷筋點!R954="","",最佳化斷筋點!R954)</f>
        <v/>
      </c>
      <c r="AR954" s="37" t="str">
        <f>IF(最佳化斷筋點!S954="","",最佳化斷筋點!S954)</f>
        <v/>
      </c>
      <c r="AS954" s="37" t="str">
        <f>IF(最佳化斷筋點!T954="","",最佳化斷筋點!T954)</f>
        <v/>
      </c>
      <c r="AT954" s="37" t="str">
        <f>IF(最佳化斷筋點!U954="","",最佳化斷筋點!U954)</f>
        <v/>
      </c>
      <c r="AU954" s="37" t="str">
        <f>IF(最佳化斷筋點!V954="","",最佳化斷筋點!V954)</f>
        <v/>
      </c>
      <c r="AV954" s="37" t="str">
        <f>IF(最佳化斷筋點!W954="","",最佳化斷筋點!W954)</f>
        <v/>
      </c>
      <c r="AW954" s="37" t="str">
        <f>IF(最佳化斷筋點!X954="","",最佳化斷筋點!X954)</f>
        <v/>
      </c>
      <c r="AZ954" s="37" t="s">
        <v>197</v>
      </c>
      <c r="BA954" s="37" t="s">
        <v>197</v>
      </c>
      <c r="BB954" s="37" t="s">
        <v>197</v>
      </c>
      <c r="BC954" s="37" t="s">
        <v>197</v>
      </c>
      <c r="BD954" s="37" t="s">
        <v>197</v>
      </c>
      <c r="BE954" s="37" t="s">
        <v>197</v>
      </c>
      <c r="BF954" s="37" t="s">
        <v>197</v>
      </c>
      <c r="BG954" s="37" t="s">
        <v>197</v>
      </c>
      <c r="BH954" s="37" t="s">
        <v>197</v>
      </c>
      <c r="BI954" s="37" t="s">
        <v>197</v>
      </c>
      <c r="BJ954" s="37" t="s">
        <v>197</v>
      </c>
      <c r="BK954" s="37" t="s">
        <v>197</v>
      </c>
      <c r="BL954" s="37" t="s">
        <v>197</v>
      </c>
      <c r="BM954" s="37" t="s">
        <v>197</v>
      </c>
      <c r="BN954" s="37" t="s">
        <v>197</v>
      </c>
      <c r="BO954" s="37" t="s">
        <v>197</v>
      </c>
      <c r="BP954" s="37" t="s">
        <v>197</v>
      </c>
      <c r="BQ954" s="37" t="s">
        <v>197</v>
      </c>
      <c r="BR954" s="37" t="s">
        <v>197</v>
      </c>
      <c r="BS954" s="37" t="s">
        <v>197</v>
      </c>
      <c r="BT954" s="37" t="s">
        <v>197</v>
      </c>
    </row>
    <row r="955" spans="5:72" x14ac:dyDescent="0.25">
      <c r="E955" s="36" t="s">
        <v>20</v>
      </c>
      <c r="F955" s="36">
        <f t="shared" si="316"/>
        <v>0</v>
      </c>
      <c r="G955" s="36">
        <f t="shared" si="317"/>
        <v>0</v>
      </c>
      <c r="H955" s="36">
        <f t="shared" si="318"/>
        <v>0</v>
      </c>
      <c r="I955" s="36">
        <f t="shared" si="319"/>
        <v>0</v>
      </c>
      <c r="J955" s="36">
        <f t="shared" si="320"/>
        <v>0</v>
      </c>
      <c r="K955" s="36">
        <f t="shared" si="321"/>
        <v>0</v>
      </c>
      <c r="L955" s="36">
        <f t="shared" si="322"/>
        <v>0</v>
      </c>
      <c r="M955" s="36">
        <f t="shared" si="323"/>
        <v>0</v>
      </c>
      <c r="N955" s="36">
        <f t="shared" si="324"/>
        <v>0</v>
      </c>
      <c r="O955" s="36">
        <f t="shared" si="325"/>
        <v>0</v>
      </c>
      <c r="P955" s="36">
        <f t="shared" si="326"/>
        <v>0</v>
      </c>
      <c r="Q955" s="36">
        <f t="shared" si="327"/>
        <v>0</v>
      </c>
      <c r="R955" s="36">
        <f t="shared" si="328"/>
        <v>0</v>
      </c>
      <c r="S955" s="36">
        <f t="shared" si="329"/>
        <v>0</v>
      </c>
      <c r="T955" s="36">
        <f t="shared" si="330"/>
        <v>0</v>
      </c>
      <c r="U955" s="36">
        <f t="shared" si="331"/>
        <v>0</v>
      </c>
      <c r="V955" s="36">
        <f t="shared" si="332"/>
        <v>0</v>
      </c>
      <c r="W955" s="36">
        <f t="shared" si="333"/>
        <v>0</v>
      </c>
      <c r="X955" s="36">
        <f t="shared" si="334"/>
        <v>0</v>
      </c>
      <c r="Y955" s="36">
        <f t="shared" si="335"/>
        <v>0</v>
      </c>
      <c r="Z955" s="36">
        <f t="shared" si="336"/>
        <v>0</v>
      </c>
      <c r="AB955" s="36" t="str">
        <f>IF(最佳化斷筋點!C955="","",最佳化斷筋點!C955)</f>
        <v>上層</v>
      </c>
      <c r="AC955" s="37">
        <f>IF(最佳化斷筋點!D955="","",最佳化斷筋點!D955)</f>
        <v>9</v>
      </c>
      <c r="AD955" s="37">
        <f>IF(最佳化斷筋點!E955="","",最佳化斷筋點!E955)</f>
        <v>9</v>
      </c>
      <c r="AE955" s="37">
        <f>IF(最佳化斷筋點!F955="","",最佳化斷筋點!F955)</f>
        <v>9</v>
      </c>
      <c r="AF955" s="37">
        <f>IF(最佳化斷筋點!G955="","",最佳化斷筋點!G955)</f>
        <v>9</v>
      </c>
      <c r="AG955" s="37">
        <f>IF(最佳化斷筋點!H955="","",最佳化斷筋點!H955)</f>
        <v>9</v>
      </c>
      <c r="AH955" s="37">
        <f>IF(最佳化斷筋點!I955="","",最佳化斷筋點!I955)</f>
        <v>9</v>
      </c>
      <c r="AI955" s="37">
        <f>IF(最佳化斷筋點!J955="","",最佳化斷筋點!J955)</f>
        <v>9</v>
      </c>
      <c r="AJ955" s="37">
        <f>IF(最佳化斷筋點!K955="","",最佳化斷筋點!K955)</f>
        <v>4</v>
      </c>
      <c r="AK955" s="37">
        <f>IF(最佳化斷筋點!L955="","",最佳化斷筋點!L955)</f>
        <v>4</v>
      </c>
      <c r="AL955" s="37">
        <f>IF(最佳化斷筋點!M955="","",最佳化斷筋點!M955)</f>
        <v>4</v>
      </c>
      <c r="AM955" s="37">
        <f>IF(最佳化斷筋點!N955="","",最佳化斷筋點!N955)</f>
        <v>4</v>
      </c>
      <c r="AN955" s="37">
        <f>IF(最佳化斷筋點!O955="","",最佳化斷筋點!O955)</f>
        <v>4</v>
      </c>
      <c r="AO955" s="37">
        <f>IF(最佳化斷筋點!P955="","",最佳化斷筋點!P955)</f>
        <v>4</v>
      </c>
      <c r="AP955" s="37">
        <f>IF(最佳化斷筋點!Q955="","",最佳化斷筋點!Q955)</f>
        <v>8</v>
      </c>
      <c r="AQ955" s="37">
        <f>IF(最佳化斷筋點!R955="","",最佳化斷筋點!R955)</f>
        <v>9</v>
      </c>
      <c r="AR955" s="37">
        <f>IF(最佳化斷筋點!S955="","",最佳化斷筋點!S955)</f>
        <v>10</v>
      </c>
      <c r="AS955" s="37">
        <f>IF(最佳化斷筋點!T955="","",最佳化斷筋點!T955)</f>
        <v>10</v>
      </c>
      <c r="AT955" s="37">
        <f>IF(最佳化斷筋點!U955="","",最佳化斷筋點!U955)</f>
        <v>10</v>
      </c>
      <c r="AU955" s="37">
        <f>IF(最佳化斷筋點!V955="","",最佳化斷筋點!V955)</f>
        <v>10</v>
      </c>
      <c r="AV955" s="37">
        <f>IF(最佳化斷筋點!W955="","",最佳化斷筋點!W955)</f>
        <v>10</v>
      </c>
      <c r="AW955" s="37">
        <f>IF(最佳化斷筋點!X955="","",最佳化斷筋點!X955)</f>
        <v>10</v>
      </c>
      <c r="AZ955" s="37">
        <v>9</v>
      </c>
      <c r="BA955" s="37">
        <v>9</v>
      </c>
      <c r="BB955" s="37">
        <v>9</v>
      </c>
      <c r="BC955" s="37">
        <v>9</v>
      </c>
      <c r="BD955" s="37">
        <v>9</v>
      </c>
      <c r="BE955" s="37">
        <v>9</v>
      </c>
      <c r="BF955" s="37">
        <v>9</v>
      </c>
      <c r="BG955" s="37">
        <v>4</v>
      </c>
      <c r="BH955" s="37">
        <v>4</v>
      </c>
      <c r="BI955" s="37">
        <v>4</v>
      </c>
      <c r="BJ955" s="37">
        <v>4</v>
      </c>
      <c r="BK955" s="37">
        <v>4</v>
      </c>
      <c r="BL955" s="37">
        <v>4</v>
      </c>
      <c r="BM955" s="37">
        <v>8</v>
      </c>
      <c r="BN955" s="37">
        <v>9</v>
      </c>
      <c r="BO955" s="37">
        <v>10</v>
      </c>
      <c r="BP955" s="37">
        <v>10</v>
      </c>
      <c r="BQ955" s="37">
        <v>10</v>
      </c>
      <c r="BR955" s="37">
        <v>10</v>
      </c>
      <c r="BS955" s="37">
        <v>10</v>
      </c>
      <c r="BT955" s="37">
        <v>10</v>
      </c>
    </row>
    <row r="956" spans="5:72" x14ac:dyDescent="0.25">
      <c r="E956" s="36"/>
      <c r="F956" s="36">
        <f t="shared" si="316"/>
        <v>0</v>
      </c>
      <c r="G956" s="36">
        <f t="shared" si="317"/>
        <v>0</v>
      </c>
      <c r="H956" s="36">
        <f t="shared" si="318"/>
        <v>0</v>
      </c>
      <c r="I956" s="36">
        <f t="shared" si="319"/>
        <v>0</v>
      </c>
      <c r="J956" s="36">
        <f t="shared" si="320"/>
        <v>0</v>
      </c>
      <c r="K956" s="36">
        <f t="shared" si="321"/>
        <v>0</v>
      </c>
      <c r="L956" s="36">
        <f t="shared" si="322"/>
        <v>0</v>
      </c>
      <c r="M956" s="36">
        <f t="shared" si="323"/>
        <v>0</v>
      </c>
      <c r="N956" s="36">
        <f t="shared" si="324"/>
        <v>0</v>
      </c>
      <c r="O956" s="36">
        <f t="shared" si="325"/>
        <v>0</v>
      </c>
      <c r="P956" s="36">
        <f t="shared" si="326"/>
        <v>0</v>
      </c>
      <c r="Q956" s="36">
        <f t="shared" si="327"/>
        <v>0</v>
      </c>
      <c r="R956" s="36">
        <f t="shared" si="328"/>
        <v>0</v>
      </c>
      <c r="S956" s="36">
        <f t="shared" si="329"/>
        <v>0</v>
      </c>
      <c r="T956" s="36">
        <f t="shared" si="330"/>
        <v>0</v>
      </c>
      <c r="U956" s="36">
        <f t="shared" si="331"/>
        <v>0</v>
      </c>
      <c r="V956" s="36">
        <f t="shared" si="332"/>
        <v>0</v>
      </c>
      <c r="W956" s="36">
        <f t="shared" si="333"/>
        <v>0</v>
      </c>
      <c r="X956" s="36">
        <f t="shared" si="334"/>
        <v>0</v>
      </c>
      <c r="Y956" s="36">
        <f t="shared" si="335"/>
        <v>0</v>
      </c>
      <c r="Z956" s="36">
        <f t="shared" si="336"/>
        <v>0</v>
      </c>
      <c r="AB956" s="36" t="str">
        <f>IF(最佳化斷筋點!C956="","",最佳化斷筋點!C956)</f>
        <v/>
      </c>
      <c r="AC956" s="37" t="str">
        <f>IF(最佳化斷筋點!D956="","",最佳化斷筋點!D956)</f>
        <v/>
      </c>
      <c r="AD956" s="37" t="str">
        <f>IF(最佳化斷筋點!E956="","",最佳化斷筋點!E956)</f>
        <v/>
      </c>
      <c r="AE956" s="37" t="str">
        <f>IF(最佳化斷筋點!F956="","",最佳化斷筋點!F956)</f>
        <v/>
      </c>
      <c r="AF956" s="37" t="str">
        <f>IF(最佳化斷筋點!G956="","",最佳化斷筋點!G956)</f>
        <v/>
      </c>
      <c r="AG956" s="37" t="str">
        <f>IF(最佳化斷筋點!H956="","",最佳化斷筋點!H956)</f>
        <v/>
      </c>
      <c r="AH956" s="37" t="str">
        <f>IF(最佳化斷筋點!I956="","",最佳化斷筋點!I956)</f>
        <v/>
      </c>
      <c r="AI956" s="37" t="str">
        <f>IF(最佳化斷筋點!J956="","",最佳化斷筋點!J956)</f>
        <v/>
      </c>
      <c r="AJ956" s="37" t="str">
        <f>IF(最佳化斷筋點!K956="","",最佳化斷筋點!K956)</f>
        <v/>
      </c>
      <c r="AK956" s="37" t="str">
        <f>IF(最佳化斷筋點!L956="","",最佳化斷筋點!L956)</f>
        <v/>
      </c>
      <c r="AL956" s="37" t="str">
        <f>IF(最佳化斷筋點!M956="","",最佳化斷筋點!M956)</f>
        <v/>
      </c>
      <c r="AM956" s="37" t="str">
        <f>IF(最佳化斷筋點!N956="","",最佳化斷筋點!N956)</f>
        <v/>
      </c>
      <c r="AN956" s="37" t="str">
        <f>IF(最佳化斷筋點!O956="","",最佳化斷筋點!O956)</f>
        <v/>
      </c>
      <c r="AO956" s="37" t="str">
        <f>IF(最佳化斷筋點!P956="","",最佳化斷筋點!P956)</f>
        <v/>
      </c>
      <c r="AP956" s="37" t="str">
        <f>IF(最佳化斷筋點!Q956="","",最佳化斷筋點!Q956)</f>
        <v/>
      </c>
      <c r="AQ956" s="37" t="str">
        <f>IF(最佳化斷筋點!R956="","",最佳化斷筋點!R956)</f>
        <v/>
      </c>
      <c r="AR956" s="37" t="str">
        <f>IF(最佳化斷筋點!S956="","",最佳化斷筋點!S956)</f>
        <v/>
      </c>
      <c r="AS956" s="37" t="str">
        <f>IF(最佳化斷筋點!T956="","",最佳化斷筋點!T956)</f>
        <v/>
      </c>
      <c r="AT956" s="37" t="str">
        <f>IF(最佳化斷筋點!U956="","",最佳化斷筋點!U956)</f>
        <v/>
      </c>
      <c r="AU956" s="37" t="str">
        <f>IF(最佳化斷筋點!V956="","",最佳化斷筋點!V956)</f>
        <v/>
      </c>
      <c r="AV956" s="37" t="str">
        <f>IF(最佳化斷筋點!W956="","",最佳化斷筋點!W956)</f>
        <v/>
      </c>
      <c r="AW956" s="37" t="str">
        <f>IF(最佳化斷筋點!X956="","",最佳化斷筋點!X956)</f>
        <v/>
      </c>
      <c r="AZ956" s="37" t="s">
        <v>197</v>
      </c>
      <c r="BA956" s="37" t="s">
        <v>197</v>
      </c>
      <c r="BB956" s="37" t="s">
        <v>197</v>
      </c>
      <c r="BC956" s="37" t="s">
        <v>197</v>
      </c>
      <c r="BD956" s="37" t="s">
        <v>197</v>
      </c>
      <c r="BE956" s="37" t="s">
        <v>197</v>
      </c>
      <c r="BF956" s="37" t="s">
        <v>197</v>
      </c>
      <c r="BG956" s="37" t="s">
        <v>197</v>
      </c>
      <c r="BH956" s="37" t="s">
        <v>197</v>
      </c>
      <c r="BI956" s="37" t="s">
        <v>197</v>
      </c>
      <c r="BJ956" s="37" t="s">
        <v>197</v>
      </c>
      <c r="BK956" s="37" t="s">
        <v>197</v>
      </c>
      <c r="BL956" s="37" t="s">
        <v>197</v>
      </c>
      <c r="BM956" s="37" t="s">
        <v>197</v>
      </c>
      <c r="BN956" s="37" t="s">
        <v>197</v>
      </c>
      <c r="BO956" s="37" t="s">
        <v>197</v>
      </c>
      <c r="BP956" s="37" t="s">
        <v>197</v>
      </c>
      <c r="BQ956" s="37" t="s">
        <v>197</v>
      </c>
      <c r="BR956" s="37" t="s">
        <v>197</v>
      </c>
      <c r="BS956" s="37" t="s">
        <v>197</v>
      </c>
      <c r="BT956" s="37" t="s">
        <v>197</v>
      </c>
    </row>
    <row r="957" spans="5:72" x14ac:dyDescent="0.25">
      <c r="E957" s="36" t="s">
        <v>21</v>
      </c>
      <c r="F957" s="36">
        <f t="shared" si="316"/>
        <v>0</v>
      </c>
      <c r="G957" s="36">
        <f t="shared" si="317"/>
        <v>0</v>
      </c>
      <c r="H957" s="36">
        <f t="shared" si="318"/>
        <v>0</v>
      </c>
      <c r="I957" s="36">
        <f t="shared" si="319"/>
        <v>0</v>
      </c>
      <c r="J957" s="36">
        <f t="shared" si="320"/>
        <v>0</v>
      </c>
      <c r="K957" s="36">
        <f t="shared" si="321"/>
        <v>0</v>
      </c>
      <c r="L957" s="36">
        <f t="shared" si="322"/>
        <v>0</v>
      </c>
      <c r="M957" s="36">
        <f t="shared" si="323"/>
        <v>0</v>
      </c>
      <c r="N957" s="36">
        <f t="shared" si="324"/>
        <v>0</v>
      </c>
      <c r="O957" s="36">
        <f t="shared" si="325"/>
        <v>0</v>
      </c>
      <c r="P957" s="36">
        <f t="shared" si="326"/>
        <v>0</v>
      </c>
      <c r="Q957" s="36">
        <f t="shared" si="327"/>
        <v>0</v>
      </c>
      <c r="R957" s="36">
        <f t="shared" si="328"/>
        <v>0</v>
      </c>
      <c r="S957" s="36">
        <f t="shared" si="329"/>
        <v>0</v>
      </c>
      <c r="T957" s="36">
        <f t="shared" si="330"/>
        <v>0</v>
      </c>
      <c r="U957" s="36">
        <f t="shared" si="331"/>
        <v>0</v>
      </c>
      <c r="V957" s="36">
        <f t="shared" si="332"/>
        <v>0</v>
      </c>
      <c r="W957" s="36">
        <f t="shared" si="333"/>
        <v>0</v>
      </c>
      <c r="X957" s="36">
        <f t="shared" si="334"/>
        <v>0</v>
      </c>
      <c r="Y957" s="36">
        <f t="shared" si="335"/>
        <v>0</v>
      </c>
      <c r="Z957" s="36">
        <f t="shared" si="336"/>
        <v>0</v>
      </c>
      <c r="AB957" s="36" t="str">
        <f>IF(最佳化斷筋點!C957="","",最佳化斷筋點!C957)</f>
        <v>下層</v>
      </c>
      <c r="AC957" s="37">
        <f>IF(最佳化斷筋點!D957="","",最佳化斷筋點!D957)</f>
        <v>13</v>
      </c>
      <c r="AD957" s="37">
        <f>IF(最佳化斷筋點!E957="","",最佳化斷筋點!E957)</f>
        <v>13</v>
      </c>
      <c r="AE957" s="37">
        <f>IF(最佳化斷筋點!F957="","",最佳化斷筋點!F957)</f>
        <v>13</v>
      </c>
      <c r="AF957" s="37">
        <f>IF(最佳化斷筋點!G957="","",最佳化斷筋點!G957)</f>
        <v>13</v>
      </c>
      <c r="AG957" s="37">
        <f>IF(最佳化斷筋點!H957="","",最佳化斷筋點!H957)</f>
        <v>12</v>
      </c>
      <c r="AH957" s="37">
        <f>IF(最佳化斷筋點!I957="","",最佳化斷筋點!I957)</f>
        <v>11</v>
      </c>
      <c r="AI957" s="37">
        <f>IF(最佳化斷筋點!J957="","",最佳化斷筋點!J957)</f>
        <v>10</v>
      </c>
      <c r="AJ957" s="37">
        <f>IF(最佳化斷筋點!K957="","",最佳化斷筋點!K957)</f>
        <v>5</v>
      </c>
      <c r="AK957" s="37">
        <f>IF(最佳化斷筋點!L957="","",最佳化斷筋點!L957)</f>
        <v>5</v>
      </c>
      <c r="AL957" s="37">
        <f>IF(最佳化斷筋點!M957="","",最佳化斷筋點!M957)</f>
        <v>5</v>
      </c>
      <c r="AM957" s="37">
        <f>IF(最佳化斷筋點!N957="","",最佳化斷筋點!N957)</f>
        <v>5</v>
      </c>
      <c r="AN957" s="37">
        <f>IF(最佳化斷筋點!O957="","",最佳化斷筋點!O957)</f>
        <v>5</v>
      </c>
      <c r="AO957" s="37">
        <f>IF(最佳化斷筋點!P957="","",最佳化斷筋點!P957)</f>
        <v>5</v>
      </c>
      <c r="AP957" s="37">
        <f>IF(最佳化斷筋點!Q957="","",最佳化斷筋點!Q957)</f>
        <v>8</v>
      </c>
      <c r="AQ957" s="37">
        <f>IF(最佳化斷筋點!R957="","",最佳化斷筋點!R957)</f>
        <v>9</v>
      </c>
      <c r="AR957" s="37">
        <f>IF(最佳化斷筋點!S957="","",最佳化斷筋點!S957)</f>
        <v>10</v>
      </c>
      <c r="AS957" s="37">
        <f>IF(最佳化斷筋點!T957="","",最佳化斷筋點!T957)</f>
        <v>11</v>
      </c>
      <c r="AT957" s="37">
        <f>IF(最佳化斷筋點!U957="","",最佳化斷筋點!U957)</f>
        <v>12</v>
      </c>
      <c r="AU957" s="37">
        <f>IF(最佳化斷筋點!V957="","",最佳化斷筋點!V957)</f>
        <v>12</v>
      </c>
      <c r="AV957" s="37">
        <f>IF(最佳化斷筋點!W957="","",最佳化斷筋點!W957)</f>
        <v>12</v>
      </c>
      <c r="AW957" s="37">
        <f>IF(最佳化斷筋點!X957="","",最佳化斷筋點!X957)</f>
        <v>12</v>
      </c>
      <c r="AZ957" s="37">
        <v>13</v>
      </c>
      <c r="BA957" s="37">
        <v>13</v>
      </c>
      <c r="BB957" s="37">
        <v>13</v>
      </c>
      <c r="BC957" s="37">
        <v>13</v>
      </c>
      <c r="BD957" s="37">
        <v>12</v>
      </c>
      <c r="BE957" s="37">
        <v>11</v>
      </c>
      <c r="BF957" s="37">
        <v>10</v>
      </c>
      <c r="BG957" s="37">
        <v>5</v>
      </c>
      <c r="BH957" s="37">
        <v>5</v>
      </c>
      <c r="BI957" s="37">
        <v>5</v>
      </c>
      <c r="BJ957" s="37">
        <v>5</v>
      </c>
      <c r="BK957" s="37">
        <v>5</v>
      </c>
      <c r="BL957" s="37">
        <v>5</v>
      </c>
      <c r="BM957" s="37">
        <v>8</v>
      </c>
      <c r="BN957" s="37">
        <v>9</v>
      </c>
      <c r="BO957" s="37">
        <v>10</v>
      </c>
      <c r="BP957" s="37">
        <v>11</v>
      </c>
      <c r="BQ957" s="37">
        <v>12</v>
      </c>
      <c r="BR957" s="37">
        <v>12</v>
      </c>
      <c r="BS957" s="37">
        <v>12</v>
      </c>
      <c r="BT957" s="37">
        <v>12</v>
      </c>
    </row>
    <row r="958" spans="5:72" x14ac:dyDescent="0.25">
      <c r="E958" s="36"/>
      <c r="F958" s="36">
        <f t="shared" si="316"/>
        <v>0</v>
      </c>
      <c r="G958" s="36">
        <f t="shared" si="317"/>
        <v>0</v>
      </c>
      <c r="H958" s="36">
        <f t="shared" si="318"/>
        <v>0</v>
      </c>
      <c r="I958" s="36">
        <f t="shared" si="319"/>
        <v>0</v>
      </c>
      <c r="J958" s="36">
        <f t="shared" si="320"/>
        <v>0</v>
      </c>
      <c r="K958" s="36">
        <f t="shared" si="321"/>
        <v>0</v>
      </c>
      <c r="L958" s="36">
        <f t="shared" si="322"/>
        <v>0</v>
      </c>
      <c r="M958" s="36">
        <f t="shared" si="323"/>
        <v>0</v>
      </c>
      <c r="N958" s="36">
        <f t="shared" si="324"/>
        <v>0</v>
      </c>
      <c r="O958" s="36">
        <f t="shared" si="325"/>
        <v>0</v>
      </c>
      <c r="P958" s="36">
        <f t="shared" si="326"/>
        <v>0</v>
      </c>
      <c r="Q958" s="36">
        <f t="shared" si="327"/>
        <v>0</v>
      </c>
      <c r="R958" s="36">
        <f t="shared" si="328"/>
        <v>0</v>
      </c>
      <c r="S958" s="36">
        <f t="shared" si="329"/>
        <v>0</v>
      </c>
      <c r="T958" s="36">
        <f t="shared" si="330"/>
        <v>0</v>
      </c>
      <c r="U958" s="36">
        <f t="shared" si="331"/>
        <v>0</v>
      </c>
      <c r="V958" s="36">
        <f t="shared" si="332"/>
        <v>0</v>
      </c>
      <c r="W958" s="36">
        <f t="shared" si="333"/>
        <v>0</v>
      </c>
      <c r="X958" s="36">
        <f t="shared" si="334"/>
        <v>0</v>
      </c>
      <c r="Y958" s="36">
        <f t="shared" si="335"/>
        <v>0</v>
      </c>
      <c r="Z958" s="36">
        <f t="shared" si="336"/>
        <v>0</v>
      </c>
      <c r="AB958" s="36" t="str">
        <f>IF(最佳化斷筋點!C958="","",最佳化斷筋點!C958)</f>
        <v/>
      </c>
      <c r="AC958" s="37" t="str">
        <f>IF(最佳化斷筋點!D958="","",最佳化斷筋點!D958)</f>
        <v/>
      </c>
      <c r="AD958" s="37" t="str">
        <f>IF(最佳化斷筋點!E958="","",最佳化斷筋點!E958)</f>
        <v/>
      </c>
      <c r="AE958" s="37" t="str">
        <f>IF(最佳化斷筋點!F958="","",最佳化斷筋點!F958)</f>
        <v/>
      </c>
      <c r="AF958" s="37" t="str">
        <f>IF(最佳化斷筋點!G958="","",最佳化斷筋點!G958)</f>
        <v/>
      </c>
      <c r="AG958" s="37" t="str">
        <f>IF(最佳化斷筋點!H958="","",最佳化斷筋點!H958)</f>
        <v/>
      </c>
      <c r="AH958" s="37" t="str">
        <f>IF(最佳化斷筋點!I958="","",最佳化斷筋點!I958)</f>
        <v/>
      </c>
      <c r="AI958" s="37" t="str">
        <f>IF(最佳化斷筋點!J958="","",最佳化斷筋點!J958)</f>
        <v/>
      </c>
      <c r="AJ958" s="37" t="str">
        <f>IF(最佳化斷筋點!K958="","",最佳化斷筋點!K958)</f>
        <v/>
      </c>
      <c r="AK958" s="37" t="str">
        <f>IF(最佳化斷筋點!L958="","",最佳化斷筋點!L958)</f>
        <v/>
      </c>
      <c r="AL958" s="37" t="str">
        <f>IF(最佳化斷筋點!M958="","",最佳化斷筋點!M958)</f>
        <v/>
      </c>
      <c r="AM958" s="37" t="str">
        <f>IF(最佳化斷筋點!N958="","",最佳化斷筋點!N958)</f>
        <v/>
      </c>
      <c r="AN958" s="37" t="str">
        <f>IF(最佳化斷筋點!O958="","",最佳化斷筋點!O958)</f>
        <v/>
      </c>
      <c r="AO958" s="37" t="str">
        <f>IF(最佳化斷筋點!P958="","",最佳化斷筋點!P958)</f>
        <v/>
      </c>
      <c r="AP958" s="37" t="str">
        <f>IF(最佳化斷筋點!Q958="","",最佳化斷筋點!Q958)</f>
        <v/>
      </c>
      <c r="AQ958" s="37" t="str">
        <f>IF(最佳化斷筋點!R958="","",最佳化斷筋點!R958)</f>
        <v/>
      </c>
      <c r="AR958" s="37" t="str">
        <f>IF(最佳化斷筋點!S958="","",最佳化斷筋點!S958)</f>
        <v/>
      </c>
      <c r="AS958" s="37" t="str">
        <f>IF(最佳化斷筋點!T958="","",最佳化斷筋點!T958)</f>
        <v/>
      </c>
      <c r="AT958" s="37" t="str">
        <f>IF(最佳化斷筋點!U958="","",最佳化斷筋點!U958)</f>
        <v/>
      </c>
      <c r="AU958" s="37" t="str">
        <f>IF(最佳化斷筋點!V958="","",最佳化斷筋點!V958)</f>
        <v/>
      </c>
      <c r="AV958" s="37" t="str">
        <f>IF(最佳化斷筋點!W958="","",最佳化斷筋點!W958)</f>
        <v/>
      </c>
      <c r="AW958" s="37" t="str">
        <f>IF(最佳化斷筋點!X958="","",最佳化斷筋點!X958)</f>
        <v/>
      </c>
      <c r="AZ958" s="37" t="s">
        <v>197</v>
      </c>
      <c r="BA958" s="37" t="s">
        <v>197</v>
      </c>
      <c r="BB958" s="37" t="s">
        <v>197</v>
      </c>
      <c r="BC958" s="37" t="s">
        <v>197</v>
      </c>
      <c r="BD958" s="37" t="s">
        <v>197</v>
      </c>
      <c r="BE958" s="37" t="s">
        <v>197</v>
      </c>
      <c r="BF958" s="37" t="s">
        <v>197</v>
      </c>
      <c r="BG958" s="37" t="s">
        <v>197</v>
      </c>
      <c r="BH958" s="37" t="s">
        <v>197</v>
      </c>
      <c r="BI958" s="37" t="s">
        <v>197</v>
      </c>
      <c r="BJ958" s="37" t="s">
        <v>197</v>
      </c>
      <c r="BK958" s="37" t="s">
        <v>197</v>
      </c>
      <c r="BL958" s="37" t="s">
        <v>197</v>
      </c>
      <c r="BM958" s="37" t="s">
        <v>197</v>
      </c>
      <c r="BN958" s="37" t="s">
        <v>197</v>
      </c>
      <c r="BO958" s="37" t="s">
        <v>197</v>
      </c>
      <c r="BP958" s="37" t="s">
        <v>197</v>
      </c>
      <c r="BQ958" s="37" t="s">
        <v>197</v>
      </c>
      <c r="BR958" s="37" t="s">
        <v>197</v>
      </c>
      <c r="BS958" s="37" t="s">
        <v>197</v>
      </c>
      <c r="BT958" s="37" t="s">
        <v>197</v>
      </c>
    </row>
    <row r="959" spans="5:72" x14ac:dyDescent="0.25">
      <c r="E959" s="36" t="s">
        <v>20</v>
      </c>
      <c r="F959" s="36">
        <f t="shared" si="316"/>
        <v>0</v>
      </c>
      <c r="G959" s="36">
        <f t="shared" si="317"/>
        <v>0</v>
      </c>
      <c r="H959" s="36">
        <f t="shared" si="318"/>
        <v>0</v>
      </c>
      <c r="I959" s="36">
        <f t="shared" si="319"/>
        <v>0</v>
      </c>
      <c r="J959" s="36">
        <f t="shared" si="320"/>
        <v>0</v>
      </c>
      <c r="K959" s="36">
        <f t="shared" si="321"/>
        <v>0</v>
      </c>
      <c r="L959" s="36">
        <f t="shared" si="322"/>
        <v>0</v>
      </c>
      <c r="M959" s="36">
        <f t="shared" si="323"/>
        <v>0</v>
      </c>
      <c r="N959" s="36">
        <f t="shared" si="324"/>
        <v>0</v>
      </c>
      <c r="O959" s="36">
        <f t="shared" si="325"/>
        <v>0</v>
      </c>
      <c r="P959" s="36">
        <f t="shared" si="326"/>
        <v>0</v>
      </c>
      <c r="Q959" s="36">
        <f t="shared" si="327"/>
        <v>0</v>
      </c>
      <c r="R959" s="36">
        <f t="shared" si="328"/>
        <v>0</v>
      </c>
      <c r="S959" s="36">
        <f t="shared" si="329"/>
        <v>0</v>
      </c>
      <c r="T959" s="36">
        <f t="shared" si="330"/>
        <v>0</v>
      </c>
      <c r="U959" s="36">
        <f t="shared" si="331"/>
        <v>0</v>
      </c>
      <c r="V959" s="36">
        <f t="shared" si="332"/>
        <v>0</v>
      </c>
      <c r="W959" s="36">
        <f t="shared" si="333"/>
        <v>0</v>
      </c>
      <c r="X959" s="36">
        <f t="shared" si="334"/>
        <v>0</v>
      </c>
      <c r="Y959" s="36">
        <f t="shared" si="335"/>
        <v>0</v>
      </c>
      <c r="Z959" s="36">
        <f t="shared" si="336"/>
        <v>0</v>
      </c>
      <c r="AB959" s="36" t="str">
        <f>IF(最佳化斷筋點!C959="","",最佳化斷筋點!C959)</f>
        <v>上層</v>
      </c>
      <c r="AC959" s="37">
        <f>IF(最佳化斷筋點!D959="","",最佳化斷筋點!D959)</f>
        <v>10</v>
      </c>
      <c r="AD959" s="37">
        <f>IF(最佳化斷筋點!E959="","",最佳化斷筋點!E959)</f>
        <v>10</v>
      </c>
      <c r="AE959" s="37">
        <f>IF(最佳化斷筋點!F959="","",最佳化斷筋點!F959)</f>
        <v>10</v>
      </c>
      <c r="AF959" s="37">
        <f>IF(最佳化斷筋點!G959="","",最佳化斷筋點!G959)</f>
        <v>10</v>
      </c>
      <c r="AG959" s="37">
        <f>IF(最佳化斷筋點!H959="","",最佳化斷筋點!H959)</f>
        <v>10</v>
      </c>
      <c r="AH959" s="37">
        <f>IF(最佳化斷筋點!I959="","",最佳化斷筋點!I959)</f>
        <v>10</v>
      </c>
      <c r="AI959" s="37">
        <f>IF(最佳化斷筋點!J959="","",最佳化斷筋點!J959)</f>
        <v>10</v>
      </c>
      <c r="AJ959" s="37">
        <f>IF(最佳化斷筋點!K959="","",最佳化斷筋點!K959)</f>
        <v>4</v>
      </c>
      <c r="AK959" s="37">
        <f>IF(最佳化斷筋點!L959="","",最佳化斷筋點!L959)</f>
        <v>4</v>
      </c>
      <c r="AL959" s="37">
        <f>IF(最佳化斷筋點!M959="","",最佳化斷筋點!M959)</f>
        <v>4</v>
      </c>
      <c r="AM959" s="37">
        <f>IF(最佳化斷筋點!N959="","",最佳化斷筋點!N959)</f>
        <v>4</v>
      </c>
      <c r="AN959" s="37">
        <f>IF(最佳化斷筋點!O959="","",最佳化斷筋點!O959)</f>
        <v>4</v>
      </c>
      <c r="AO959" s="37">
        <f>IF(最佳化斷筋點!P959="","",最佳化斷筋點!P959)</f>
        <v>4</v>
      </c>
      <c r="AP959" s="37">
        <f>IF(最佳化斷筋點!Q959="","",最佳化斷筋點!Q959)</f>
        <v>7</v>
      </c>
      <c r="AQ959" s="37">
        <f>IF(最佳化斷筋點!R959="","",最佳化斷筋點!R959)</f>
        <v>8</v>
      </c>
      <c r="AR959" s="37">
        <f>IF(最佳化斷筋點!S959="","",最佳化斷筋點!S959)</f>
        <v>9</v>
      </c>
      <c r="AS959" s="37">
        <f>IF(最佳化斷筋點!T959="","",最佳化斷筋點!T959)</f>
        <v>9</v>
      </c>
      <c r="AT959" s="37">
        <f>IF(最佳化斷筋點!U959="","",最佳化斷筋點!U959)</f>
        <v>9</v>
      </c>
      <c r="AU959" s="37">
        <f>IF(最佳化斷筋點!V959="","",最佳化斷筋點!V959)</f>
        <v>9</v>
      </c>
      <c r="AV959" s="37">
        <f>IF(最佳化斷筋點!W959="","",最佳化斷筋點!W959)</f>
        <v>9</v>
      </c>
      <c r="AW959" s="37">
        <f>IF(最佳化斷筋點!X959="","",最佳化斷筋點!X959)</f>
        <v>9</v>
      </c>
      <c r="AZ959" s="37">
        <v>10</v>
      </c>
      <c r="BA959" s="37">
        <v>10</v>
      </c>
      <c r="BB959" s="37">
        <v>10</v>
      </c>
      <c r="BC959" s="37">
        <v>10</v>
      </c>
      <c r="BD959" s="37">
        <v>10</v>
      </c>
      <c r="BE959" s="37">
        <v>10</v>
      </c>
      <c r="BF959" s="37">
        <v>10</v>
      </c>
      <c r="BG959" s="37">
        <v>4</v>
      </c>
      <c r="BH959" s="37">
        <v>4</v>
      </c>
      <c r="BI959" s="37">
        <v>4</v>
      </c>
      <c r="BJ959" s="37">
        <v>4</v>
      </c>
      <c r="BK959" s="37">
        <v>4</v>
      </c>
      <c r="BL959" s="37">
        <v>4</v>
      </c>
      <c r="BM959" s="37">
        <v>7</v>
      </c>
      <c r="BN959" s="37">
        <v>8</v>
      </c>
      <c r="BO959" s="37">
        <v>9</v>
      </c>
      <c r="BP959" s="37">
        <v>9</v>
      </c>
      <c r="BQ959" s="37">
        <v>9</v>
      </c>
      <c r="BR959" s="37">
        <v>9</v>
      </c>
      <c r="BS959" s="37">
        <v>9</v>
      </c>
      <c r="BT959" s="37">
        <v>9</v>
      </c>
    </row>
    <row r="960" spans="5:72" x14ac:dyDescent="0.25">
      <c r="E960" s="36"/>
      <c r="F960" s="36">
        <f t="shared" si="316"/>
        <v>0</v>
      </c>
      <c r="G960" s="36">
        <f t="shared" si="317"/>
        <v>0</v>
      </c>
      <c r="H960" s="36">
        <f t="shared" si="318"/>
        <v>0</v>
      </c>
      <c r="I960" s="36">
        <f t="shared" si="319"/>
        <v>0</v>
      </c>
      <c r="J960" s="36">
        <f t="shared" si="320"/>
        <v>0</v>
      </c>
      <c r="K960" s="36">
        <f t="shared" si="321"/>
        <v>0</v>
      </c>
      <c r="L960" s="36">
        <f t="shared" si="322"/>
        <v>0</v>
      </c>
      <c r="M960" s="36">
        <f t="shared" si="323"/>
        <v>0</v>
      </c>
      <c r="N960" s="36">
        <f t="shared" si="324"/>
        <v>0</v>
      </c>
      <c r="O960" s="36">
        <f t="shared" si="325"/>
        <v>0</v>
      </c>
      <c r="P960" s="36">
        <f t="shared" si="326"/>
        <v>0</v>
      </c>
      <c r="Q960" s="36">
        <f t="shared" si="327"/>
        <v>0</v>
      </c>
      <c r="R960" s="36">
        <f t="shared" si="328"/>
        <v>0</v>
      </c>
      <c r="S960" s="36">
        <f t="shared" si="329"/>
        <v>0</v>
      </c>
      <c r="T960" s="36">
        <f t="shared" si="330"/>
        <v>0</v>
      </c>
      <c r="U960" s="36">
        <f t="shared" si="331"/>
        <v>0</v>
      </c>
      <c r="V960" s="36">
        <f t="shared" si="332"/>
        <v>0</v>
      </c>
      <c r="W960" s="36">
        <f t="shared" si="333"/>
        <v>0</v>
      </c>
      <c r="X960" s="36">
        <f t="shared" si="334"/>
        <v>0</v>
      </c>
      <c r="Y960" s="36">
        <f t="shared" si="335"/>
        <v>0</v>
      </c>
      <c r="Z960" s="36">
        <f t="shared" si="336"/>
        <v>0</v>
      </c>
      <c r="AB960" s="36" t="str">
        <f>IF(最佳化斷筋點!C960="","",最佳化斷筋點!C960)</f>
        <v/>
      </c>
      <c r="AC960" s="37" t="str">
        <f>IF(最佳化斷筋點!D960="","",最佳化斷筋點!D960)</f>
        <v/>
      </c>
      <c r="AD960" s="37" t="str">
        <f>IF(最佳化斷筋點!E960="","",最佳化斷筋點!E960)</f>
        <v/>
      </c>
      <c r="AE960" s="37" t="str">
        <f>IF(最佳化斷筋點!F960="","",最佳化斷筋點!F960)</f>
        <v/>
      </c>
      <c r="AF960" s="37" t="str">
        <f>IF(最佳化斷筋點!G960="","",最佳化斷筋點!G960)</f>
        <v/>
      </c>
      <c r="AG960" s="37" t="str">
        <f>IF(最佳化斷筋點!H960="","",最佳化斷筋點!H960)</f>
        <v/>
      </c>
      <c r="AH960" s="37" t="str">
        <f>IF(最佳化斷筋點!I960="","",最佳化斷筋點!I960)</f>
        <v/>
      </c>
      <c r="AI960" s="37" t="str">
        <f>IF(最佳化斷筋點!J960="","",最佳化斷筋點!J960)</f>
        <v/>
      </c>
      <c r="AJ960" s="37" t="str">
        <f>IF(最佳化斷筋點!K960="","",最佳化斷筋點!K960)</f>
        <v/>
      </c>
      <c r="AK960" s="37" t="str">
        <f>IF(最佳化斷筋點!L960="","",最佳化斷筋點!L960)</f>
        <v/>
      </c>
      <c r="AL960" s="37" t="str">
        <f>IF(最佳化斷筋點!M960="","",最佳化斷筋點!M960)</f>
        <v/>
      </c>
      <c r="AM960" s="37" t="str">
        <f>IF(最佳化斷筋點!N960="","",最佳化斷筋點!N960)</f>
        <v/>
      </c>
      <c r="AN960" s="37" t="str">
        <f>IF(最佳化斷筋點!O960="","",最佳化斷筋點!O960)</f>
        <v/>
      </c>
      <c r="AO960" s="37" t="str">
        <f>IF(最佳化斷筋點!P960="","",最佳化斷筋點!P960)</f>
        <v/>
      </c>
      <c r="AP960" s="37" t="str">
        <f>IF(最佳化斷筋點!Q960="","",最佳化斷筋點!Q960)</f>
        <v/>
      </c>
      <c r="AQ960" s="37" t="str">
        <f>IF(最佳化斷筋點!R960="","",最佳化斷筋點!R960)</f>
        <v/>
      </c>
      <c r="AR960" s="37" t="str">
        <f>IF(最佳化斷筋點!S960="","",最佳化斷筋點!S960)</f>
        <v/>
      </c>
      <c r="AS960" s="37" t="str">
        <f>IF(最佳化斷筋點!T960="","",最佳化斷筋點!T960)</f>
        <v/>
      </c>
      <c r="AT960" s="37" t="str">
        <f>IF(最佳化斷筋點!U960="","",最佳化斷筋點!U960)</f>
        <v/>
      </c>
      <c r="AU960" s="37" t="str">
        <f>IF(最佳化斷筋點!V960="","",最佳化斷筋點!V960)</f>
        <v/>
      </c>
      <c r="AV960" s="37" t="str">
        <f>IF(最佳化斷筋點!W960="","",最佳化斷筋點!W960)</f>
        <v/>
      </c>
      <c r="AW960" s="37" t="str">
        <f>IF(最佳化斷筋點!X960="","",最佳化斷筋點!X960)</f>
        <v/>
      </c>
      <c r="AZ960" s="37" t="s">
        <v>197</v>
      </c>
      <c r="BA960" s="37" t="s">
        <v>197</v>
      </c>
      <c r="BB960" s="37" t="s">
        <v>197</v>
      </c>
      <c r="BC960" s="37" t="s">
        <v>197</v>
      </c>
      <c r="BD960" s="37" t="s">
        <v>197</v>
      </c>
      <c r="BE960" s="37" t="s">
        <v>197</v>
      </c>
      <c r="BF960" s="37" t="s">
        <v>197</v>
      </c>
      <c r="BG960" s="37" t="s">
        <v>197</v>
      </c>
      <c r="BH960" s="37" t="s">
        <v>197</v>
      </c>
      <c r="BI960" s="37" t="s">
        <v>197</v>
      </c>
      <c r="BJ960" s="37" t="s">
        <v>197</v>
      </c>
      <c r="BK960" s="37" t="s">
        <v>197</v>
      </c>
      <c r="BL960" s="37" t="s">
        <v>197</v>
      </c>
      <c r="BM960" s="37" t="s">
        <v>197</v>
      </c>
      <c r="BN960" s="37" t="s">
        <v>197</v>
      </c>
      <c r="BO960" s="37" t="s">
        <v>197</v>
      </c>
      <c r="BP960" s="37" t="s">
        <v>197</v>
      </c>
      <c r="BQ960" s="37" t="s">
        <v>197</v>
      </c>
      <c r="BR960" s="37" t="s">
        <v>197</v>
      </c>
      <c r="BS960" s="37" t="s">
        <v>197</v>
      </c>
      <c r="BT960" s="37" t="s">
        <v>197</v>
      </c>
    </row>
    <row r="961" spans="5:72" x14ac:dyDescent="0.25">
      <c r="E961" s="36" t="s">
        <v>21</v>
      </c>
      <c r="F961" s="36">
        <f t="shared" si="316"/>
        <v>0</v>
      </c>
      <c r="G961" s="36">
        <f t="shared" si="317"/>
        <v>0</v>
      </c>
      <c r="H961" s="36">
        <f t="shared" si="318"/>
        <v>0</v>
      </c>
      <c r="I961" s="36">
        <f t="shared" si="319"/>
        <v>0</v>
      </c>
      <c r="J961" s="36">
        <f t="shared" si="320"/>
        <v>0</v>
      </c>
      <c r="K961" s="36">
        <f t="shared" si="321"/>
        <v>0</v>
      </c>
      <c r="L961" s="36">
        <f t="shared" si="322"/>
        <v>0</v>
      </c>
      <c r="M961" s="36">
        <f t="shared" si="323"/>
        <v>0</v>
      </c>
      <c r="N961" s="36">
        <f t="shared" si="324"/>
        <v>0</v>
      </c>
      <c r="O961" s="36">
        <f t="shared" si="325"/>
        <v>0</v>
      </c>
      <c r="P961" s="36">
        <f t="shared" si="326"/>
        <v>0</v>
      </c>
      <c r="Q961" s="36">
        <f t="shared" si="327"/>
        <v>0</v>
      </c>
      <c r="R961" s="36">
        <f t="shared" si="328"/>
        <v>0</v>
      </c>
      <c r="S961" s="36">
        <f t="shared" si="329"/>
        <v>0</v>
      </c>
      <c r="T961" s="36">
        <f t="shared" si="330"/>
        <v>0</v>
      </c>
      <c r="U961" s="36">
        <f t="shared" si="331"/>
        <v>0</v>
      </c>
      <c r="V961" s="36">
        <f t="shared" si="332"/>
        <v>0</v>
      </c>
      <c r="W961" s="36">
        <f t="shared" si="333"/>
        <v>0</v>
      </c>
      <c r="X961" s="36">
        <f t="shared" si="334"/>
        <v>0</v>
      </c>
      <c r="Y961" s="36">
        <f t="shared" si="335"/>
        <v>0</v>
      </c>
      <c r="Z961" s="36">
        <f t="shared" si="336"/>
        <v>0</v>
      </c>
      <c r="AB961" s="36" t="str">
        <f>IF(最佳化斷筋點!C961="","",最佳化斷筋點!C961)</f>
        <v>下層</v>
      </c>
      <c r="AC961" s="37">
        <f>IF(最佳化斷筋點!D961="","",最佳化斷筋點!D961)</f>
        <v>13</v>
      </c>
      <c r="AD961" s="37">
        <f>IF(最佳化斷筋點!E961="","",最佳化斷筋點!E961)</f>
        <v>13</v>
      </c>
      <c r="AE961" s="37">
        <f>IF(最佳化斷筋點!F961="","",最佳化斷筋點!F961)</f>
        <v>13</v>
      </c>
      <c r="AF961" s="37">
        <f>IF(最佳化斷筋點!G961="","",最佳化斷筋點!G961)</f>
        <v>13</v>
      </c>
      <c r="AG961" s="37">
        <f>IF(最佳化斷筋點!H961="","",最佳化斷筋點!H961)</f>
        <v>12</v>
      </c>
      <c r="AH961" s="37">
        <f>IF(最佳化斷筋點!I961="","",最佳化斷筋點!I961)</f>
        <v>11</v>
      </c>
      <c r="AI961" s="37">
        <f>IF(最佳化斷筋點!J961="","",最佳化斷筋點!J961)</f>
        <v>10</v>
      </c>
      <c r="AJ961" s="37">
        <f>IF(最佳化斷筋點!K961="","",最佳化斷筋點!K961)</f>
        <v>5</v>
      </c>
      <c r="AK961" s="37">
        <f>IF(最佳化斷筋點!L961="","",最佳化斷筋點!L961)</f>
        <v>5</v>
      </c>
      <c r="AL961" s="37">
        <f>IF(最佳化斷筋點!M961="","",最佳化斷筋點!M961)</f>
        <v>5</v>
      </c>
      <c r="AM961" s="37">
        <f>IF(最佳化斷筋點!N961="","",最佳化斷筋點!N961)</f>
        <v>5</v>
      </c>
      <c r="AN961" s="37">
        <f>IF(最佳化斷筋點!O961="","",最佳化斷筋點!O961)</f>
        <v>5</v>
      </c>
      <c r="AO961" s="37">
        <f>IF(最佳化斷筋點!P961="","",最佳化斷筋點!P961)</f>
        <v>5</v>
      </c>
      <c r="AP961" s="37">
        <f>IF(最佳化斷筋點!Q961="","",最佳化斷筋點!Q961)</f>
        <v>8</v>
      </c>
      <c r="AQ961" s="37">
        <f>IF(最佳化斷筋點!R961="","",最佳化斷筋點!R961)</f>
        <v>9</v>
      </c>
      <c r="AR961" s="37">
        <f>IF(最佳化斷筋點!S961="","",最佳化斷筋點!S961)</f>
        <v>10</v>
      </c>
      <c r="AS961" s="37">
        <f>IF(最佳化斷筋點!T961="","",最佳化斷筋點!T961)</f>
        <v>11</v>
      </c>
      <c r="AT961" s="37">
        <f>IF(最佳化斷筋點!U961="","",最佳化斷筋點!U961)</f>
        <v>12</v>
      </c>
      <c r="AU961" s="37">
        <f>IF(最佳化斷筋點!V961="","",最佳化斷筋點!V961)</f>
        <v>12</v>
      </c>
      <c r="AV961" s="37">
        <f>IF(最佳化斷筋點!W961="","",最佳化斷筋點!W961)</f>
        <v>12</v>
      </c>
      <c r="AW961" s="37">
        <f>IF(最佳化斷筋點!X961="","",最佳化斷筋點!X961)</f>
        <v>12</v>
      </c>
      <c r="AZ961" s="37">
        <v>13</v>
      </c>
      <c r="BA961" s="37">
        <v>13</v>
      </c>
      <c r="BB961" s="37">
        <v>13</v>
      </c>
      <c r="BC961" s="37">
        <v>13</v>
      </c>
      <c r="BD961" s="37">
        <v>12</v>
      </c>
      <c r="BE961" s="37">
        <v>11</v>
      </c>
      <c r="BF961" s="37">
        <v>10</v>
      </c>
      <c r="BG961" s="37">
        <v>5</v>
      </c>
      <c r="BH961" s="37">
        <v>5</v>
      </c>
      <c r="BI961" s="37">
        <v>5</v>
      </c>
      <c r="BJ961" s="37">
        <v>5</v>
      </c>
      <c r="BK961" s="37">
        <v>5</v>
      </c>
      <c r="BL961" s="37">
        <v>5</v>
      </c>
      <c r="BM961" s="37">
        <v>8</v>
      </c>
      <c r="BN961" s="37">
        <v>9</v>
      </c>
      <c r="BO961" s="37">
        <v>10</v>
      </c>
      <c r="BP961" s="37">
        <v>11</v>
      </c>
      <c r="BQ961" s="37">
        <v>12</v>
      </c>
      <c r="BR961" s="37">
        <v>12</v>
      </c>
      <c r="BS961" s="37">
        <v>12</v>
      </c>
      <c r="BT961" s="37">
        <v>12</v>
      </c>
    </row>
    <row r="962" spans="5:72" x14ac:dyDescent="0.25">
      <c r="E962" s="36"/>
      <c r="F962" s="36">
        <f t="shared" si="316"/>
        <v>0</v>
      </c>
      <c r="G962" s="36">
        <f t="shared" si="317"/>
        <v>0</v>
      </c>
      <c r="H962" s="36">
        <f t="shared" si="318"/>
        <v>0</v>
      </c>
      <c r="I962" s="36">
        <f t="shared" si="319"/>
        <v>0</v>
      </c>
      <c r="J962" s="36">
        <f t="shared" si="320"/>
        <v>0</v>
      </c>
      <c r="K962" s="36">
        <f t="shared" si="321"/>
        <v>0</v>
      </c>
      <c r="L962" s="36">
        <f t="shared" si="322"/>
        <v>0</v>
      </c>
      <c r="M962" s="36">
        <f t="shared" si="323"/>
        <v>0</v>
      </c>
      <c r="N962" s="36">
        <f t="shared" si="324"/>
        <v>0</v>
      </c>
      <c r="O962" s="36">
        <f t="shared" si="325"/>
        <v>0</v>
      </c>
      <c r="P962" s="36">
        <f t="shared" si="326"/>
        <v>0</v>
      </c>
      <c r="Q962" s="36">
        <f t="shared" si="327"/>
        <v>0</v>
      </c>
      <c r="R962" s="36">
        <f t="shared" si="328"/>
        <v>0</v>
      </c>
      <c r="S962" s="36">
        <f t="shared" si="329"/>
        <v>0</v>
      </c>
      <c r="T962" s="36">
        <f t="shared" si="330"/>
        <v>0</v>
      </c>
      <c r="U962" s="36">
        <f t="shared" si="331"/>
        <v>0</v>
      </c>
      <c r="V962" s="36">
        <f t="shared" si="332"/>
        <v>0</v>
      </c>
      <c r="W962" s="36">
        <f t="shared" si="333"/>
        <v>0</v>
      </c>
      <c r="X962" s="36">
        <f t="shared" si="334"/>
        <v>0</v>
      </c>
      <c r="Y962" s="36">
        <f t="shared" si="335"/>
        <v>0</v>
      </c>
      <c r="Z962" s="36">
        <f t="shared" si="336"/>
        <v>0</v>
      </c>
      <c r="AB962" s="36" t="str">
        <f>IF(最佳化斷筋點!C962="","",最佳化斷筋點!C962)</f>
        <v/>
      </c>
      <c r="AC962" s="37" t="str">
        <f>IF(最佳化斷筋點!D962="","",最佳化斷筋點!D962)</f>
        <v/>
      </c>
      <c r="AD962" s="37" t="str">
        <f>IF(最佳化斷筋點!E962="","",最佳化斷筋點!E962)</f>
        <v/>
      </c>
      <c r="AE962" s="37" t="str">
        <f>IF(最佳化斷筋點!F962="","",最佳化斷筋點!F962)</f>
        <v/>
      </c>
      <c r="AF962" s="37" t="str">
        <f>IF(最佳化斷筋點!G962="","",最佳化斷筋點!G962)</f>
        <v/>
      </c>
      <c r="AG962" s="37" t="str">
        <f>IF(最佳化斷筋點!H962="","",最佳化斷筋點!H962)</f>
        <v/>
      </c>
      <c r="AH962" s="37" t="str">
        <f>IF(最佳化斷筋點!I962="","",最佳化斷筋點!I962)</f>
        <v/>
      </c>
      <c r="AI962" s="37" t="str">
        <f>IF(最佳化斷筋點!J962="","",最佳化斷筋點!J962)</f>
        <v/>
      </c>
      <c r="AJ962" s="37" t="str">
        <f>IF(最佳化斷筋點!K962="","",最佳化斷筋點!K962)</f>
        <v/>
      </c>
      <c r="AK962" s="37" t="str">
        <f>IF(最佳化斷筋點!L962="","",最佳化斷筋點!L962)</f>
        <v/>
      </c>
      <c r="AL962" s="37" t="str">
        <f>IF(最佳化斷筋點!M962="","",最佳化斷筋點!M962)</f>
        <v/>
      </c>
      <c r="AM962" s="37" t="str">
        <f>IF(最佳化斷筋點!N962="","",最佳化斷筋點!N962)</f>
        <v/>
      </c>
      <c r="AN962" s="37" t="str">
        <f>IF(最佳化斷筋點!O962="","",最佳化斷筋點!O962)</f>
        <v/>
      </c>
      <c r="AO962" s="37" t="str">
        <f>IF(最佳化斷筋點!P962="","",最佳化斷筋點!P962)</f>
        <v/>
      </c>
      <c r="AP962" s="37" t="str">
        <f>IF(最佳化斷筋點!Q962="","",最佳化斷筋點!Q962)</f>
        <v/>
      </c>
      <c r="AQ962" s="37" t="str">
        <f>IF(最佳化斷筋點!R962="","",最佳化斷筋點!R962)</f>
        <v/>
      </c>
      <c r="AR962" s="37" t="str">
        <f>IF(最佳化斷筋點!S962="","",最佳化斷筋點!S962)</f>
        <v/>
      </c>
      <c r="AS962" s="37" t="str">
        <f>IF(最佳化斷筋點!T962="","",最佳化斷筋點!T962)</f>
        <v/>
      </c>
      <c r="AT962" s="37" t="str">
        <f>IF(最佳化斷筋點!U962="","",最佳化斷筋點!U962)</f>
        <v/>
      </c>
      <c r="AU962" s="37" t="str">
        <f>IF(最佳化斷筋點!V962="","",最佳化斷筋點!V962)</f>
        <v/>
      </c>
      <c r="AV962" s="37" t="str">
        <f>IF(最佳化斷筋點!W962="","",最佳化斷筋點!W962)</f>
        <v/>
      </c>
      <c r="AW962" s="37" t="str">
        <f>IF(最佳化斷筋點!X962="","",最佳化斷筋點!X962)</f>
        <v/>
      </c>
      <c r="AZ962" s="37" t="s">
        <v>197</v>
      </c>
      <c r="BA962" s="37" t="s">
        <v>197</v>
      </c>
      <c r="BB962" s="37" t="s">
        <v>197</v>
      </c>
      <c r="BC962" s="37" t="s">
        <v>197</v>
      </c>
      <c r="BD962" s="37" t="s">
        <v>197</v>
      </c>
      <c r="BE962" s="37" t="s">
        <v>197</v>
      </c>
      <c r="BF962" s="37" t="s">
        <v>197</v>
      </c>
      <c r="BG962" s="37" t="s">
        <v>197</v>
      </c>
      <c r="BH962" s="37" t="s">
        <v>197</v>
      </c>
      <c r="BI962" s="37" t="s">
        <v>197</v>
      </c>
      <c r="BJ962" s="37" t="s">
        <v>197</v>
      </c>
      <c r="BK962" s="37" t="s">
        <v>197</v>
      </c>
      <c r="BL962" s="37" t="s">
        <v>197</v>
      </c>
      <c r="BM962" s="37" t="s">
        <v>197</v>
      </c>
      <c r="BN962" s="37" t="s">
        <v>197</v>
      </c>
      <c r="BO962" s="37" t="s">
        <v>197</v>
      </c>
      <c r="BP962" s="37" t="s">
        <v>197</v>
      </c>
      <c r="BQ962" s="37" t="s">
        <v>197</v>
      </c>
      <c r="BR962" s="37" t="s">
        <v>197</v>
      </c>
      <c r="BS962" s="37" t="s">
        <v>197</v>
      </c>
      <c r="BT962" s="37" t="s">
        <v>197</v>
      </c>
    </row>
    <row r="963" spans="5:72" x14ac:dyDescent="0.25">
      <c r="E963" s="36" t="s">
        <v>20</v>
      </c>
      <c r="F963" s="36">
        <f t="shared" si="316"/>
        <v>0</v>
      </c>
      <c r="G963" s="36">
        <f t="shared" si="317"/>
        <v>0</v>
      </c>
      <c r="H963" s="36">
        <f t="shared" si="318"/>
        <v>0</v>
      </c>
      <c r="I963" s="36">
        <f t="shared" si="319"/>
        <v>0</v>
      </c>
      <c r="J963" s="36">
        <f t="shared" si="320"/>
        <v>0</v>
      </c>
      <c r="K963" s="36">
        <f t="shared" si="321"/>
        <v>0</v>
      </c>
      <c r="L963" s="36">
        <f t="shared" si="322"/>
        <v>0</v>
      </c>
      <c r="M963" s="36">
        <f t="shared" si="323"/>
        <v>0</v>
      </c>
      <c r="N963" s="36">
        <f t="shared" si="324"/>
        <v>0</v>
      </c>
      <c r="O963" s="36">
        <f t="shared" si="325"/>
        <v>0</v>
      </c>
      <c r="P963" s="36">
        <f t="shared" si="326"/>
        <v>0</v>
      </c>
      <c r="Q963" s="36">
        <f t="shared" si="327"/>
        <v>0</v>
      </c>
      <c r="R963" s="36">
        <f t="shared" si="328"/>
        <v>0</v>
      </c>
      <c r="S963" s="36">
        <f t="shared" si="329"/>
        <v>0</v>
      </c>
      <c r="T963" s="36">
        <f t="shared" si="330"/>
        <v>0</v>
      </c>
      <c r="U963" s="36">
        <f t="shared" si="331"/>
        <v>0</v>
      </c>
      <c r="V963" s="36">
        <f t="shared" si="332"/>
        <v>0</v>
      </c>
      <c r="W963" s="36">
        <f t="shared" si="333"/>
        <v>0</v>
      </c>
      <c r="X963" s="36">
        <f t="shared" si="334"/>
        <v>0</v>
      </c>
      <c r="Y963" s="36">
        <f t="shared" si="335"/>
        <v>0</v>
      </c>
      <c r="Z963" s="36">
        <f t="shared" si="336"/>
        <v>0</v>
      </c>
      <c r="AB963" s="36" t="str">
        <f>IF(最佳化斷筋點!C963="","",最佳化斷筋點!C963)</f>
        <v>上層</v>
      </c>
      <c r="AC963" s="37">
        <f>IF(最佳化斷筋點!D963="","",最佳化斷筋點!D963)</f>
        <v>11</v>
      </c>
      <c r="AD963" s="37">
        <f>IF(最佳化斷筋點!E963="","",最佳化斷筋點!E963)</f>
        <v>11</v>
      </c>
      <c r="AE963" s="37">
        <f>IF(最佳化斷筋點!F963="","",最佳化斷筋點!F963)</f>
        <v>11</v>
      </c>
      <c r="AF963" s="37">
        <f>IF(最佳化斷筋點!G963="","",最佳化斷筋點!G963)</f>
        <v>11</v>
      </c>
      <c r="AG963" s="37">
        <f>IF(最佳化斷筋點!H963="","",最佳化斷筋點!H963)</f>
        <v>11</v>
      </c>
      <c r="AH963" s="37">
        <f>IF(最佳化斷筋點!I963="","",最佳化斷筋點!I963)</f>
        <v>11</v>
      </c>
      <c r="AI963" s="37">
        <f>IF(最佳化斷筋點!J963="","",最佳化斷筋點!J963)</f>
        <v>10</v>
      </c>
      <c r="AJ963" s="37">
        <f>IF(最佳化斷筋點!K963="","",最佳化斷筋點!K963)</f>
        <v>4</v>
      </c>
      <c r="AK963" s="37">
        <f>IF(最佳化斷筋點!L963="","",最佳化斷筋點!L963)</f>
        <v>4</v>
      </c>
      <c r="AL963" s="37">
        <f>IF(最佳化斷筋點!M963="","",最佳化斷筋點!M963)</f>
        <v>4</v>
      </c>
      <c r="AM963" s="37">
        <f>IF(最佳化斷筋點!N963="","",最佳化斷筋點!N963)</f>
        <v>4</v>
      </c>
      <c r="AN963" s="37">
        <f>IF(最佳化斷筋點!O963="","",最佳化斷筋點!O963)</f>
        <v>4</v>
      </c>
      <c r="AO963" s="37">
        <f>IF(最佳化斷筋點!P963="","",最佳化斷筋點!P963)</f>
        <v>4</v>
      </c>
      <c r="AP963" s="37">
        <f>IF(最佳化斷筋點!Q963="","",最佳化斷筋點!Q963)</f>
        <v>7</v>
      </c>
      <c r="AQ963" s="37">
        <f>IF(最佳化斷筋點!R963="","",最佳化斷筋點!R963)</f>
        <v>8</v>
      </c>
      <c r="AR963" s="37">
        <f>IF(最佳化斷筋點!S963="","",最佳化斷筋點!S963)</f>
        <v>9</v>
      </c>
      <c r="AS963" s="37">
        <f>IF(最佳化斷筋點!T963="","",最佳化斷筋點!T963)</f>
        <v>9</v>
      </c>
      <c r="AT963" s="37">
        <f>IF(最佳化斷筋點!U963="","",最佳化斷筋點!U963)</f>
        <v>9</v>
      </c>
      <c r="AU963" s="37">
        <f>IF(最佳化斷筋點!V963="","",最佳化斷筋點!V963)</f>
        <v>9</v>
      </c>
      <c r="AV963" s="37">
        <f>IF(最佳化斷筋點!W963="","",最佳化斷筋點!W963)</f>
        <v>9</v>
      </c>
      <c r="AW963" s="37">
        <f>IF(最佳化斷筋點!X963="","",最佳化斷筋點!X963)</f>
        <v>9</v>
      </c>
      <c r="AZ963" s="37">
        <v>11</v>
      </c>
      <c r="BA963" s="37">
        <v>11</v>
      </c>
      <c r="BB963" s="37">
        <v>11</v>
      </c>
      <c r="BC963" s="37">
        <v>11</v>
      </c>
      <c r="BD963" s="37">
        <v>11</v>
      </c>
      <c r="BE963" s="37">
        <v>11</v>
      </c>
      <c r="BF963" s="37">
        <v>10</v>
      </c>
      <c r="BG963" s="37">
        <v>4</v>
      </c>
      <c r="BH963" s="37">
        <v>4</v>
      </c>
      <c r="BI963" s="37">
        <v>4</v>
      </c>
      <c r="BJ963" s="37">
        <v>4</v>
      </c>
      <c r="BK963" s="37">
        <v>4</v>
      </c>
      <c r="BL963" s="37">
        <v>4</v>
      </c>
      <c r="BM963" s="37">
        <v>7</v>
      </c>
      <c r="BN963" s="37">
        <v>8</v>
      </c>
      <c r="BO963" s="37">
        <v>9</v>
      </c>
      <c r="BP963" s="37">
        <v>9</v>
      </c>
      <c r="BQ963" s="37">
        <v>9</v>
      </c>
      <c r="BR963" s="37">
        <v>9</v>
      </c>
      <c r="BS963" s="37">
        <v>9</v>
      </c>
      <c r="BT963" s="37">
        <v>9</v>
      </c>
    </row>
    <row r="964" spans="5:72" x14ac:dyDescent="0.25">
      <c r="E964" s="36"/>
      <c r="F964" s="36">
        <f t="shared" si="316"/>
        <v>0</v>
      </c>
      <c r="G964" s="36">
        <f t="shared" si="317"/>
        <v>0</v>
      </c>
      <c r="H964" s="36">
        <f t="shared" si="318"/>
        <v>0</v>
      </c>
      <c r="I964" s="36">
        <f t="shared" si="319"/>
        <v>0</v>
      </c>
      <c r="J964" s="36">
        <f t="shared" si="320"/>
        <v>0</v>
      </c>
      <c r="K964" s="36">
        <f t="shared" si="321"/>
        <v>0</v>
      </c>
      <c r="L964" s="36">
        <f t="shared" si="322"/>
        <v>0</v>
      </c>
      <c r="M964" s="36">
        <f t="shared" si="323"/>
        <v>0</v>
      </c>
      <c r="N964" s="36">
        <f t="shared" si="324"/>
        <v>0</v>
      </c>
      <c r="O964" s="36">
        <f t="shared" si="325"/>
        <v>0</v>
      </c>
      <c r="P964" s="36">
        <f t="shared" si="326"/>
        <v>0</v>
      </c>
      <c r="Q964" s="36">
        <f t="shared" si="327"/>
        <v>0</v>
      </c>
      <c r="R964" s="36">
        <f t="shared" si="328"/>
        <v>0</v>
      </c>
      <c r="S964" s="36">
        <f t="shared" si="329"/>
        <v>0</v>
      </c>
      <c r="T964" s="36">
        <f t="shared" si="330"/>
        <v>0</v>
      </c>
      <c r="U964" s="36">
        <f t="shared" si="331"/>
        <v>0</v>
      </c>
      <c r="V964" s="36">
        <f t="shared" si="332"/>
        <v>0</v>
      </c>
      <c r="W964" s="36">
        <f t="shared" si="333"/>
        <v>0</v>
      </c>
      <c r="X964" s="36">
        <f t="shared" si="334"/>
        <v>0</v>
      </c>
      <c r="Y964" s="36">
        <f t="shared" si="335"/>
        <v>0</v>
      </c>
      <c r="Z964" s="36">
        <f t="shared" si="336"/>
        <v>0</v>
      </c>
      <c r="AB964" s="36" t="str">
        <f>IF(最佳化斷筋點!C964="","",最佳化斷筋點!C964)</f>
        <v/>
      </c>
      <c r="AC964" s="37" t="str">
        <f>IF(最佳化斷筋點!D964="","",最佳化斷筋點!D964)</f>
        <v/>
      </c>
      <c r="AD964" s="37" t="str">
        <f>IF(最佳化斷筋點!E964="","",最佳化斷筋點!E964)</f>
        <v/>
      </c>
      <c r="AE964" s="37" t="str">
        <f>IF(最佳化斷筋點!F964="","",最佳化斷筋點!F964)</f>
        <v/>
      </c>
      <c r="AF964" s="37" t="str">
        <f>IF(最佳化斷筋點!G964="","",最佳化斷筋點!G964)</f>
        <v/>
      </c>
      <c r="AG964" s="37" t="str">
        <f>IF(最佳化斷筋點!H964="","",最佳化斷筋點!H964)</f>
        <v/>
      </c>
      <c r="AH964" s="37" t="str">
        <f>IF(最佳化斷筋點!I964="","",最佳化斷筋點!I964)</f>
        <v/>
      </c>
      <c r="AI964" s="37" t="str">
        <f>IF(最佳化斷筋點!J964="","",最佳化斷筋點!J964)</f>
        <v/>
      </c>
      <c r="AJ964" s="37" t="str">
        <f>IF(最佳化斷筋點!K964="","",最佳化斷筋點!K964)</f>
        <v/>
      </c>
      <c r="AK964" s="37" t="str">
        <f>IF(最佳化斷筋點!L964="","",最佳化斷筋點!L964)</f>
        <v/>
      </c>
      <c r="AL964" s="37" t="str">
        <f>IF(最佳化斷筋點!M964="","",最佳化斷筋點!M964)</f>
        <v/>
      </c>
      <c r="AM964" s="37" t="str">
        <f>IF(最佳化斷筋點!N964="","",最佳化斷筋點!N964)</f>
        <v/>
      </c>
      <c r="AN964" s="37" t="str">
        <f>IF(最佳化斷筋點!O964="","",最佳化斷筋點!O964)</f>
        <v/>
      </c>
      <c r="AO964" s="37" t="str">
        <f>IF(最佳化斷筋點!P964="","",最佳化斷筋點!P964)</f>
        <v/>
      </c>
      <c r="AP964" s="37" t="str">
        <f>IF(最佳化斷筋點!Q964="","",最佳化斷筋點!Q964)</f>
        <v/>
      </c>
      <c r="AQ964" s="37" t="str">
        <f>IF(最佳化斷筋點!R964="","",最佳化斷筋點!R964)</f>
        <v/>
      </c>
      <c r="AR964" s="37" t="str">
        <f>IF(最佳化斷筋點!S964="","",最佳化斷筋點!S964)</f>
        <v/>
      </c>
      <c r="AS964" s="37" t="str">
        <f>IF(最佳化斷筋點!T964="","",最佳化斷筋點!T964)</f>
        <v/>
      </c>
      <c r="AT964" s="37" t="str">
        <f>IF(最佳化斷筋點!U964="","",最佳化斷筋點!U964)</f>
        <v/>
      </c>
      <c r="AU964" s="37" t="str">
        <f>IF(最佳化斷筋點!V964="","",最佳化斷筋點!V964)</f>
        <v/>
      </c>
      <c r="AV964" s="37" t="str">
        <f>IF(最佳化斷筋點!W964="","",最佳化斷筋點!W964)</f>
        <v/>
      </c>
      <c r="AW964" s="37" t="str">
        <f>IF(最佳化斷筋點!X964="","",最佳化斷筋點!X964)</f>
        <v/>
      </c>
      <c r="AZ964" s="37" t="s">
        <v>197</v>
      </c>
      <c r="BA964" s="37" t="s">
        <v>197</v>
      </c>
      <c r="BB964" s="37" t="s">
        <v>197</v>
      </c>
      <c r="BC964" s="37" t="s">
        <v>197</v>
      </c>
      <c r="BD964" s="37" t="s">
        <v>197</v>
      </c>
      <c r="BE964" s="37" t="s">
        <v>197</v>
      </c>
      <c r="BF964" s="37" t="s">
        <v>197</v>
      </c>
      <c r="BG964" s="37" t="s">
        <v>197</v>
      </c>
      <c r="BH964" s="37" t="s">
        <v>197</v>
      </c>
      <c r="BI964" s="37" t="s">
        <v>197</v>
      </c>
      <c r="BJ964" s="37" t="s">
        <v>197</v>
      </c>
      <c r="BK964" s="37" t="s">
        <v>197</v>
      </c>
      <c r="BL964" s="37" t="s">
        <v>197</v>
      </c>
      <c r="BM964" s="37" t="s">
        <v>197</v>
      </c>
      <c r="BN964" s="37" t="s">
        <v>197</v>
      </c>
      <c r="BO964" s="37" t="s">
        <v>197</v>
      </c>
      <c r="BP964" s="37" t="s">
        <v>197</v>
      </c>
      <c r="BQ964" s="37" t="s">
        <v>197</v>
      </c>
      <c r="BR964" s="37" t="s">
        <v>197</v>
      </c>
      <c r="BS964" s="37" t="s">
        <v>197</v>
      </c>
      <c r="BT964" s="37" t="s">
        <v>197</v>
      </c>
    </row>
    <row r="965" spans="5:72" x14ac:dyDescent="0.25">
      <c r="E965" s="36" t="s">
        <v>21</v>
      </c>
      <c r="F965" s="36">
        <f t="shared" si="316"/>
        <v>0</v>
      </c>
      <c r="G965" s="36">
        <f t="shared" si="317"/>
        <v>0</v>
      </c>
      <c r="H965" s="36">
        <f t="shared" si="318"/>
        <v>0</v>
      </c>
      <c r="I965" s="36">
        <f t="shared" si="319"/>
        <v>0</v>
      </c>
      <c r="J965" s="36">
        <f t="shared" si="320"/>
        <v>0</v>
      </c>
      <c r="K965" s="36">
        <f t="shared" si="321"/>
        <v>0</v>
      </c>
      <c r="L965" s="36">
        <f t="shared" si="322"/>
        <v>0</v>
      </c>
      <c r="M965" s="36">
        <f t="shared" si="323"/>
        <v>0</v>
      </c>
      <c r="N965" s="36">
        <f t="shared" si="324"/>
        <v>0</v>
      </c>
      <c r="O965" s="36">
        <f t="shared" si="325"/>
        <v>0</v>
      </c>
      <c r="P965" s="36">
        <f t="shared" si="326"/>
        <v>0</v>
      </c>
      <c r="Q965" s="36">
        <f t="shared" si="327"/>
        <v>0</v>
      </c>
      <c r="R965" s="36">
        <f t="shared" si="328"/>
        <v>0</v>
      </c>
      <c r="S965" s="36">
        <f t="shared" si="329"/>
        <v>0</v>
      </c>
      <c r="T965" s="36">
        <f t="shared" si="330"/>
        <v>0</v>
      </c>
      <c r="U965" s="36">
        <f t="shared" si="331"/>
        <v>0</v>
      </c>
      <c r="V965" s="36">
        <f t="shared" si="332"/>
        <v>0</v>
      </c>
      <c r="W965" s="36">
        <f t="shared" si="333"/>
        <v>0</v>
      </c>
      <c r="X965" s="36">
        <f t="shared" si="334"/>
        <v>0</v>
      </c>
      <c r="Y965" s="36">
        <f t="shared" si="335"/>
        <v>0</v>
      </c>
      <c r="Z965" s="36">
        <f t="shared" si="336"/>
        <v>0</v>
      </c>
      <c r="AB965" s="36" t="str">
        <f>IF(最佳化斷筋點!C965="","",最佳化斷筋點!C965)</f>
        <v>下層</v>
      </c>
      <c r="AC965" s="37">
        <f>IF(最佳化斷筋點!D965="","",最佳化斷筋點!D965)</f>
        <v>14</v>
      </c>
      <c r="AD965" s="37">
        <f>IF(最佳化斷筋點!E965="","",最佳化斷筋點!E965)</f>
        <v>14</v>
      </c>
      <c r="AE965" s="37">
        <f>IF(最佳化斷筋點!F965="","",最佳化斷筋點!F965)</f>
        <v>14</v>
      </c>
      <c r="AF965" s="37">
        <f>IF(最佳化斷筋點!G965="","",最佳化斷筋點!G965)</f>
        <v>14</v>
      </c>
      <c r="AG965" s="37">
        <f>IF(最佳化斷筋點!H965="","",最佳化斷筋點!H965)</f>
        <v>13</v>
      </c>
      <c r="AH965" s="37">
        <f>IF(最佳化斷筋點!I965="","",最佳化斷筋點!I965)</f>
        <v>12</v>
      </c>
      <c r="AI965" s="37">
        <f>IF(最佳化斷筋點!J965="","",最佳化斷筋點!J965)</f>
        <v>11</v>
      </c>
      <c r="AJ965" s="37">
        <f>IF(最佳化斷筋點!K965="","",最佳化斷筋點!K965)</f>
        <v>5</v>
      </c>
      <c r="AK965" s="37">
        <f>IF(最佳化斷筋點!L965="","",最佳化斷筋點!L965)</f>
        <v>5</v>
      </c>
      <c r="AL965" s="37">
        <f>IF(最佳化斷筋點!M965="","",最佳化斷筋點!M965)</f>
        <v>5</v>
      </c>
      <c r="AM965" s="37">
        <f>IF(最佳化斷筋點!N965="","",最佳化斷筋點!N965)</f>
        <v>5</v>
      </c>
      <c r="AN965" s="37">
        <f>IF(最佳化斷筋點!O965="","",最佳化斷筋點!O965)</f>
        <v>5</v>
      </c>
      <c r="AO965" s="37">
        <f>IF(最佳化斷筋點!P965="","",最佳化斷筋點!P965)</f>
        <v>5</v>
      </c>
      <c r="AP965" s="37">
        <f>IF(最佳化斷筋點!Q965="","",最佳化斷筋點!Q965)</f>
        <v>9</v>
      </c>
      <c r="AQ965" s="37">
        <f>IF(最佳化斷筋點!R965="","",最佳化斷筋點!R965)</f>
        <v>10</v>
      </c>
      <c r="AR965" s="37">
        <f>IF(最佳化斷筋點!S965="","",最佳化斷筋點!S965)</f>
        <v>11</v>
      </c>
      <c r="AS965" s="37">
        <f>IF(最佳化斷筋點!T965="","",最佳化斷筋點!T965)</f>
        <v>13</v>
      </c>
      <c r="AT965" s="37">
        <f>IF(最佳化斷筋點!U965="","",最佳化斷筋點!U965)</f>
        <v>14</v>
      </c>
      <c r="AU965" s="37">
        <f>IF(最佳化斷筋點!V965="","",最佳化斷筋點!V965)</f>
        <v>14</v>
      </c>
      <c r="AV965" s="37">
        <f>IF(最佳化斷筋點!W965="","",最佳化斷筋點!W965)</f>
        <v>14</v>
      </c>
      <c r="AW965" s="37">
        <f>IF(最佳化斷筋點!X965="","",最佳化斷筋點!X965)</f>
        <v>14</v>
      </c>
      <c r="AZ965" s="37">
        <v>14</v>
      </c>
      <c r="BA965" s="37">
        <v>14</v>
      </c>
      <c r="BB965" s="37">
        <v>14</v>
      </c>
      <c r="BC965" s="37">
        <v>14</v>
      </c>
      <c r="BD965" s="37">
        <v>13</v>
      </c>
      <c r="BE965" s="37">
        <v>12</v>
      </c>
      <c r="BF965" s="37">
        <v>11</v>
      </c>
      <c r="BG965" s="37">
        <v>5</v>
      </c>
      <c r="BH965" s="37">
        <v>5</v>
      </c>
      <c r="BI965" s="37">
        <v>5</v>
      </c>
      <c r="BJ965" s="37">
        <v>5</v>
      </c>
      <c r="BK965" s="37">
        <v>5</v>
      </c>
      <c r="BL965" s="37">
        <v>5</v>
      </c>
      <c r="BM965" s="37">
        <v>9</v>
      </c>
      <c r="BN965" s="37">
        <v>10</v>
      </c>
      <c r="BO965" s="37">
        <v>11</v>
      </c>
      <c r="BP965" s="37">
        <v>13</v>
      </c>
      <c r="BQ965" s="37">
        <v>14</v>
      </c>
      <c r="BR965" s="37">
        <v>14</v>
      </c>
      <c r="BS965" s="37">
        <v>14</v>
      </c>
      <c r="BT965" s="37">
        <v>14</v>
      </c>
    </row>
    <row r="966" spans="5:72" x14ac:dyDescent="0.25">
      <c r="E966" s="36"/>
      <c r="F966" s="36">
        <f t="shared" si="316"/>
        <v>0</v>
      </c>
      <c r="G966" s="36">
        <f t="shared" si="317"/>
        <v>0</v>
      </c>
      <c r="H966" s="36">
        <f t="shared" si="318"/>
        <v>0</v>
      </c>
      <c r="I966" s="36">
        <f t="shared" si="319"/>
        <v>0</v>
      </c>
      <c r="J966" s="36">
        <f t="shared" si="320"/>
        <v>0</v>
      </c>
      <c r="K966" s="36">
        <f t="shared" si="321"/>
        <v>0</v>
      </c>
      <c r="L966" s="36">
        <f t="shared" si="322"/>
        <v>0</v>
      </c>
      <c r="M966" s="36">
        <f t="shared" si="323"/>
        <v>0</v>
      </c>
      <c r="N966" s="36">
        <f t="shared" si="324"/>
        <v>0</v>
      </c>
      <c r="O966" s="36">
        <f t="shared" si="325"/>
        <v>0</v>
      </c>
      <c r="P966" s="36">
        <f t="shared" si="326"/>
        <v>0</v>
      </c>
      <c r="Q966" s="36">
        <f t="shared" si="327"/>
        <v>0</v>
      </c>
      <c r="R966" s="36">
        <f t="shared" si="328"/>
        <v>0</v>
      </c>
      <c r="S966" s="36">
        <f t="shared" si="329"/>
        <v>0</v>
      </c>
      <c r="T966" s="36">
        <f t="shared" si="330"/>
        <v>0</v>
      </c>
      <c r="U966" s="36">
        <f t="shared" si="331"/>
        <v>0</v>
      </c>
      <c r="V966" s="36">
        <f t="shared" si="332"/>
        <v>0</v>
      </c>
      <c r="W966" s="36">
        <f t="shared" si="333"/>
        <v>0</v>
      </c>
      <c r="X966" s="36">
        <f t="shared" si="334"/>
        <v>0</v>
      </c>
      <c r="Y966" s="36">
        <f t="shared" si="335"/>
        <v>0</v>
      </c>
      <c r="Z966" s="36">
        <f t="shared" si="336"/>
        <v>0</v>
      </c>
      <c r="AB966" s="36" t="str">
        <f>IF(最佳化斷筋點!C966="","",最佳化斷筋點!C966)</f>
        <v/>
      </c>
      <c r="AC966" s="37" t="str">
        <f>IF(最佳化斷筋點!D966="","",最佳化斷筋點!D966)</f>
        <v/>
      </c>
      <c r="AD966" s="37" t="str">
        <f>IF(最佳化斷筋點!E966="","",最佳化斷筋點!E966)</f>
        <v/>
      </c>
      <c r="AE966" s="37" t="str">
        <f>IF(最佳化斷筋點!F966="","",最佳化斷筋點!F966)</f>
        <v/>
      </c>
      <c r="AF966" s="37" t="str">
        <f>IF(最佳化斷筋點!G966="","",最佳化斷筋點!G966)</f>
        <v/>
      </c>
      <c r="AG966" s="37" t="str">
        <f>IF(最佳化斷筋點!H966="","",最佳化斷筋點!H966)</f>
        <v/>
      </c>
      <c r="AH966" s="37" t="str">
        <f>IF(最佳化斷筋點!I966="","",最佳化斷筋點!I966)</f>
        <v/>
      </c>
      <c r="AI966" s="37" t="str">
        <f>IF(最佳化斷筋點!J966="","",最佳化斷筋點!J966)</f>
        <v/>
      </c>
      <c r="AJ966" s="37" t="str">
        <f>IF(最佳化斷筋點!K966="","",最佳化斷筋點!K966)</f>
        <v/>
      </c>
      <c r="AK966" s="37" t="str">
        <f>IF(最佳化斷筋點!L966="","",最佳化斷筋點!L966)</f>
        <v/>
      </c>
      <c r="AL966" s="37" t="str">
        <f>IF(最佳化斷筋點!M966="","",最佳化斷筋點!M966)</f>
        <v/>
      </c>
      <c r="AM966" s="37" t="str">
        <f>IF(最佳化斷筋點!N966="","",最佳化斷筋點!N966)</f>
        <v/>
      </c>
      <c r="AN966" s="37" t="str">
        <f>IF(最佳化斷筋點!O966="","",最佳化斷筋點!O966)</f>
        <v/>
      </c>
      <c r="AO966" s="37" t="str">
        <f>IF(最佳化斷筋點!P966="","",最佳化斷筋點!P966)</f>
        <v/>
      </c>
      <c r="AP966" s="37" t="str">
        <f>IF(最佳化斷筋點!Q966="","",最佳化斷筋點!Q966)</f>
        <v/>
      </c>
      <c r="AQ966" s="37" t="str">
        <f>IF(最佳化斷筋點!R966="","",最佳化斷筋點!R966)</f>
        <v/>
      </c>
      <c r="AR966" s="37" t="str">
        <f>IF(最佳化斷筋點!S966="","",最佳化斷筋點!S966)</f>
        <v/>
      </c>
      <c r="AS966" s="37" t="str">
        <f>IF(最佳化斷筋點!T966="","",最佳化斷筋點!T966)</f>
        <v/>
      </c>
      <c r="AT966" s="37" t="str">
        <f>IF(最佳化斷筋點!U966="","",最佳化斷筋點!U966)</f>
        <v/>
      </c>
      <c r="AU966" s="37" t="str">
        <f>IF(最佳化斷筋點!V966="","",最佳化斷筋點!V966)</f>
        <v/>
      </c>
      <c r="AV966" s="37" t="str">
        <f>IF(最佳化斷筋點!W966="","",最佳化斷筋點!W966)</f>
        <v/>
      </c>
      <c r="AW966" s="37" t="str">
        <f>IF(最佳化斷筋點!X966="","",最佳化斷筋點!X966)</f>
        <v/>
      </c>
      <c r="AZ966" s="37" t="s">
        <v>197</v>
      </c>
      <c r="BA966" s="37" t="s">
        <v>197</v>
      </c>
      <c r="BB966" s="37" t="s">
        <v>197</v>
      </c>
      <c r="BC966" s="37" t="s">
        <v>197</v>
      </c>
      <c r="BD966" s="37" t="s">
        <v>197</v>
      </c>
      <c r="BE966" s="37" t="s">
        <v>197</v>
      </c>
      <c r="BF966" s="37" t="s">
        <v>197</v>
      </c>
      <c r="BG966" s="37" t="s">
        <v>197</v>
      </c>
      <c r="BH966" s="37" t="s">
        <v>197</v>
      </c>
      <c r="BI966" s="37" t="s">
        <v>197</v>
      </c>
      <c r="BJ966" s="37" t="s">
        <v>197</v>
      </c>
      <c r="BK966" s="37" t="s">
        <v>197</v>
      </c>
      <c r="BL966" s="37" t="s">
        <v>197</v>
      </c>
      <c r="BM966" s="37" t="s">
        <v>197</v>
      </c>
      <c r="BN966" s="37" t="s">
        <v>197</v>
      </c>
      <c r="BO966" s="37" t="s">
        <v>197</v>
      </c>
      <c r="BP966" s="37" t="s">
        <v>197</v>
      </c>
      <c r="BQ966" s="37" t="s">
        <v>197</v>
      </c>
      <c r="BR966" s="37" t="s">
        <v>197</v>
      </c>
      <c r="BS966" s="37" t="s">
        <v>197</v>
      </c>
      <c r="BT966" s="37" t="s">
        <v>197</v>
      </c>
    </row>
    <row r="967" spans="5:72" x14ac:dyDescent="0.25">
      <c r="E967" s="36" t="s">
        <v>20</v>
      </c>
      <c r="F967" s="36">
        <f t="shared" si="316"/>
        <v>0</v>
      </c>
      <c r="G967" s="36">
        <f t="shared" si="317"/>
        <v>0</v>
      </c>
      <c r="H967" s="36">
        <f t="shared" si="318"/>
        <v>0</v>
      </c>
      <c r="I967" s="36">
        <f t="shared" si="319"/>
        <v>0</v>
      </c>
      <c r="J967" s="36">
        <f t="shared" si="320"/>
        <v>0</v>
      </c>
      <c r="K967" s="36">
        <f t="shared" si="321"/>
        <v>0</v>
      </c>
      <c r="L967" s="36">
        <f t="shared" si="322"/>
        <v>0</v>
      </c>
      <c r="M967" s="36">
        <f t="shared" si="323"/>
        <v>0</v>
      </c>
      <c r="N967" s="36">
        <f t="shared" si="324"/>
        <v>0</v>
      </c>
      <c r="O967" s="36">
        <f t="shared" si="325"/>
        <v>0</v>
      </c>
      <c r="P967" s="36">
        <f t="shared" si="326"/>
        <v>0</v>
      </c>
      <c r="Q967" s="36">
        <f t="shared" si="327"/>
        <v>0</v>
      </c>
      <c r="R967" s="36">
        <f t="shared" si="328"/>
        <v>0</v>
      </c>
      <c r="S967" s="36">
        <f t="shared" si="329"/>
        <v>0</v>
      </c>
      <c r="T967" s="36">
        <f t="shared" si="330"/>
        <v>0</v>
      </c>
      <c r="U967" s="36">
        <f t="shared" si="331"/>
        <v>0</v>
      </c>
      <c r="V967" s="36">
        <f t="shared" si="332"/>
        <v>0</v>
      </c>
      <c r="W967" s="36">
        <f t="shared" si="333"/>
        <v>0</v>
      </c>
      <c r="X967" s="36">
        <f t="shared" si="334"/>
        <v>0</v>
      </c>
      <c r="Y967" s="36">
        <f t="shared" si="335"/>
        <v>0</v>
      </c>
      <c r="Z967" s="36">
        <f t="shared" si="336"/>
        <v>0</v>
      </c>
      <c r="AB967" s="36" t="str">
        <f>IF(最佳化斷筋點!C967="","",最佳化斷筋點!C967)</f>
        <v>上層</v>
      </c>
      <c r="AC967" s="37">
        <f>IF(最佳化斷筋點!D967="","",最佳化斷筋點!D967)</f>
        <v>11</v>
      </c>
      <c r="AD967" s="37">
        <f>IF(最佳化斷筋點!E967="","",最佳化斷筋點!E967)</f>
        <v>11</v>
      </c>
      <c r="AE967" s="37">
        <f>IF(最佳化斷筋點!F967="","",最佳化斷筋點!F967)</f>
        <v>11</v>
      </c>
      <c r="AF967" s="37">
        <f>IF(最佳化斷筋點!G967="","",最佳化斷筋點!G967)</f>
        <v>11</v>
      </c>
      <c r="AG967" s="37">
        <f>IF(最佳化斷筋點!H967="","",最佳化斷筋點!H967)</f>
        <v>11</v>
      </c>
      <c r="AH967" s="37">
        <f>IF(最佳化斷筋點!I967="","",最佳化斷筋點!I967)</f>
        <v>11</v>
      </c>
      <c r="AI967" s="37">
        <f>IF(最佳化斷筋點!J967="","",最佳化斷筋點!J967)</f>
        <v>10</v>
      </c>
      <c r="AJ967" s="37">
        <f>IF(最佳化斷筋點!K967="","",最佳化斷筋點!K967)</f>
        <v>4</v>
      </c>
      <c r="AK967" s="37">
        <f>IF(最佳化斷筋點!L967="","",最佳化斷筋點!L967)</f>
        <v>4</v>
      </c>
      <c r="AL967" s="37">
        <f>IF(最佳化斷筋點!M967="","",最佳化斷筋點!M967)</f>
        <v>4</v>
      </c>
      <c r="AM967" s="37">
        <f>IF(最佳化斷筋點!N967="","",最佳化斷筋點!N967)</f>
        <v>4</v>
      </c>
      <c r="AN967" s="37">
        <f>IF(最佳化斷筋點!O967="","",最佳化斷筋點!O967)</f>
        <v>4</v>
      </c>
      <c r="AO967" s="37">
        <f>IF(最佳化斷筋點!P967="","",最佳化斷筋點!P967)</f>
        <v>4</v>
      </c>
      <c r="AP967" s="37">
        <f>IF(最佳化斷筋點!Q967="","",最佳化斷筋點!Q967)</f>
        <v>7</v>
      </c>
      <c r="AQ967" s="37">
        <f>IF(最佳化斷筋點!R967="","",最佳化斷筋點!R967)</f>
        <v>8</v>
      </c>
      <c r="AR967" s="37">
        <f>IF(最佳化斷筋點!S967="","",最佳化斷筋點!S967)</f>
        <v>9</v>
      </c>
      <c r="AS967" s="37">
        <f>IF(最佳化斷筋點!T967="","",最佳化斷筋點!T967)</f>
        <v>9</v>
      </c>
      <c r="AT967" s="37">
        <f>IF(最佳化斷筋點!U967="","",最佳化斷筋點!U967)</f>
        <v>9</v>
      </c>
      <c r="AU967" s="37">
        <f>IF(最佳化斷筋點!V967="","",最佳化斷筋點!V967)</f>
        <v>9</v>
      </c>
      <c r="AV967" s="37">
        <f>IF(最佳化斷筋點!W967="","",最佳化斷筋點!W967)</f>
        <v>9</v>
      </c>
      <c r="AW967" s="37">
        <f>IF(最佳化斷筋點!X967="","",最佳化斷筋點!X967)</f>
        <v>9</v>
      </c>
      <c r="AZ967" s="37">
        <v>11</v>
      </c>
      <c r="BA967" s="37">
        <v>11</v>
      </c>
      <c r="BB967" s="37">
        <v>11</v>
      </c>
      <c r="BC967" s="37">
        <v>11</v>
      </c>
      <c r="BD967" s="37">
        <v>11</v>
      </c>
      <c r="BE967" s="37">
        <v>11</v>
      </c>
      <c r="BF967" s="37">
        <v>10</v>
      </c>
      <c r="BG967" s="37">
        <v>4</v>
      </c>
      <c r="BH967" s="37">
        <v>4</v>
      </c>
      <c r="BI967" s="37">
        <v>4</v>
      </c>
      <c r="BJ967" s="37">
        <v>4</v>
      </c>
      <c r="BK967" s="37">
        <v>4</v>
      </c>
      <c r="BL967" s="37">
        <v>4</v>
      </c>
      <c r="BM967" s="37">
        <v>7</v>
      </c>
      <c r="BN967" s="37">
        <v>8</v>
      </c>
      <c r="BO967" s="37">
        <v>9</v>
      </c>
      <c r="BP967" s="37">
        <v>9</v>
      </c>
      <c r="BQ967" s="37">
        <v>9</v>
      </c>
      <c r="BR967" s="37">
        <v>9</v>
      </c>
      <c r="BS967" s="37">
        <v>9</v>
      </c>
      <c r="BT967" s="37">
        <v>9</v>
      </c>
    </row>
    <row r="968" spans="5:72" x14ac:dyDescent="0.25">
      <c r="E968" s="36"/>
      <c r="F968" s="36">
        <f t="shared" si="316"/>
        <v>0</v>
      </c>
      <c r="G968" s="36">
        <f t="shared" si="317"/>
        <v>0</v>
      </c>
      <c r="H968" s="36">
        <f t="shared" si="318"/>
        <v>0</v>
      </c>
      <c r="I968" s="36">
        <f t="shared" si="319"/>
        <v>0</v>
      </c>
      <c r="J968" s="36">
        <f t="shared" si="320"/>
        <v>0</v>
      </c>
      <c r="K968" s="36">
        <f t="shared" si="321"/>
        <v>0</v>
      </c>
      <c r="L968" s="36">
        <f t="shared" si="322"/>
        <v>0</v>
      </c>
      <c r="M968" s="36">
        <f t="shared" si="323"/>
        <v>0</v>
      </c>
      <c r="N968" s="36">
        <f t="shared" si="324"/>
        <v>0</v>
      </c>
      <c r="O968" s="36">
        <f t="shared" si="325"/>
        <v>0</v>
      </c>
      <c r="P968" s="36">
        <f t="shared" si="326"/>
        <v>0</v>
      </c>
      <c r="Q968" s="36">
        <f t="shared" si="327"/>
        <v>0</v>
      </c>
      <c r="R968" s="36">
        <f t="shared" si="328"/>
        <v>0</v>
      </c>
      <c r="S968" s="36">
        <f t="shared" si="329"/>
        <v>0</v>
      </c>
      <c r="T968" s="36">
        <f t="shared" si="330"/>
        <v>0</v>
      </c>
      <c r="U968" s="36">
        <f t="shared" si="331"/>
        <v>0</v>
      </c>
      <c r="V968" s="36">
        <f t="shared" si="332"/>
        <v>0</v>
      </c>
      <c r="W968" s="36">
        <f t="shared" si="333"/>
        <v>0</v>
      </c>
      <c r="X968" s="36">
        <f t="shared" si="334"/>
        <v>0</v>
      </c>
      <c r="Y968" s="36">
        <f t="shared" si="335"/>
        <v>0</v>
      </c>
      <c r="Z968" s="36">
        <f t="shared" si="336"/>
        <v>0</v>
      </c>
      <c r="AB968" s="36" t="str">
        <f>IF(最佳化斷筋點!C968="","",最佳化斷筋點!C968)</f>
        <v/>
      </c>
      <c r="AC968" s="37" t="str">
        <f>IF(最佳化斷筋點!D968="","",最佳化斷筋點!D968)</f>
        <v/>
      </c>
      <c r="AD968" s="37" t="str">
        <f>IF(最佳化斷筋點!E968="","",最佳化斷筋點!E968)</f>
        <v/>
      </c>
      <c r="AE968" s="37" t="str">
        <f>IF(最佳化斷筋點!F968="","",最佳化斷筋點!F968)</f>
        <v/>
      </c>
      <c r="AF968" s="37" t="str">
        <f>IF(最佳化斷筋點!G968="","",最佳化斷筋點!G968)</f>
        <v/>
      </c>
      <c r="AG968" s="37" t="str">
        <f>IF(最佳化斷筋點!H968="","",最佳化斷筋點!H968)</f>
        <v/>
      </c>
      <c r="AH968" s="37" t="str">
        <f>IF(最佳化斷筋點!I968="","",最佳化斷筋點!I968)</f>
        <v/>
      </c>
      <c r="AI968" s="37" t="str">
        <f>IF(最佳化斷筋點!J968="","",最佳化斷筋點!J968)</f>
        <v/>
      </c>
      <c r="AJ968" s="37" t="str">
        <f>IF(最佳化斷筋點!K968="","",最佳化斷筋點!K968)</f>
        <v/>
      </c>
      <c r="AK968" s="37" t="str">
        <f>IF(最佳化斷筋點!L968="","",最佳化斷筋點!L968)</f>
        <v/>
      </c>
      <c r="AL968" s="37" t="str">
        <f>IF(最佳化斷筋點!M968="","",最佳化斷筋點!M968)</f>
        <v/>
      </c>
      <c r="AM968" s="37" t="str">
        <f>IF(最佳化斷筋點!N968="","",最佳化斷筋點!N968)</f>
        <v/>
      </c>
      <c r="AN968" s="37" t="str">
        <f>IF(最佳化斷筋點!O968="","",最佳化斷筋點!O968)</f>
        <v/>
      </c>
      <c r="AO968" s="37" t="str">
        <f>IF(最佳化斷筋點!P968="","",最佳化斷筋點!P968)</f>
        <v/>
      </c>
      <c r="AP968" s="37" t="str">
        <f>IF(最佳化斷筋點!Q968="","",最佳化斷筋點!Q968)</f>
        <v/>
      </c>
      <c r="AQ968" s="37" t="str">
        <f>IF(最佳化斷筋點!R968="","",最佳化斷筋點!R968)</f>
        <v/>
      </c>
      <c r="AR968" s="37" t="str">
        <f>IF(最佳化斷筋點!S968="","",最佳化斷筋點!S968)</f>
        <v/>
      </c>
      <c r="AS968" s="37" t="str">
        <f>IF(最佳化斷筋點!T968="","",最佳化斷筋點!T968)</f>
        <v/>
      </c>
      <c r="AT968" s="37" t="str">
        <f>IF(最佳化斷筋點!U968="","",最佳化斷筋點!U968)</f>
        <v/>
      </c>
      <c r="AU968" s="37" t="str">
        <f>IF(最佳化斷筋點!V968="","",最佳化斷筋點!V968)</f>
        <v/>
      </c>
      <c r="AV968" s="37" t="str">
        <f>IF(最佳化斷筋點!W968="","",最佳化斷筋點!W968)</f>
        <v/>
      </c>
      <c r="AW968" s="37" t="str">
        <f>IF(最佳化斷筋點!X968="","",最佳化斷筋點!X968)</f>
        <v/>
      </c>
      <c r="AZ968" s="37" t="s">
        <v>197</v>
      </c>
      <c r="BA968" s="37" t="s">
        <v>197</v>
      </c>
      <c r="BB968" s="37" t="s">
        <v>197</v>
      </c>
      <c r="BC968" s="37" t="s">
        <v>197</v>
      </c>
      <c r="BD968" s="37" t="s">
        <v>197</v>
      </c>
      <c r="BE968" s="37" t="s">
        <v>197</v>
      </c>
      <c r="BF968" s="37" t="s">
        <v>197</v>
      </c>
      <c r="BG968" s="37" t="s">
        <v>197</v>
      </c>
      <c r="BH968" s="37" t="s">
        <v>197</v>
      </c>
      <c r="BI968" s="37" t="s">
        <v>197</v>
      </c>
      <c r="BJ968" s="37" t="s">
        <v>197</v>
      </c>
      <c r="BK968" s="37" t="s">
        <v>197</v>
      </c>
      <c r="BL968" s="37" t="s">
        <v>197</v>
      </c>
      <c r="BM968" s="37" t="s">
        <v>197</v>
      </c>
      <c r="BN968" s="37" t="s">
        <v>197</v>
      </c>
      <c r="BO968" s="37" t="s">
        <v>197</v>
      </c>
      <c r="BP968" s="37" t="s">
        <v>197</v>
      </c>
      <c r="BQ968" s="37" t="s">
        <v>197</v>
      </c>
      <c r="BR968" s="37" t="s">
        <v>197</v>
      </c>
      <c r="BS968" s="37" t="s">
        <v>197</v>
      </c>
      <c r="BT968" s="37" t="s">
        <v>197</v>
      </c>
    </row>
    <row r="969" spans="5:72" x14ac:dyDescent="0.25">
      <c r="E969" s="36" t="s">
        <v>21</v>
      </c>
      <c r="F969" s="36">
        <f t="shared" si="316"/>
        <v>0</v>
      </c>
      <c r="G969" s="36">
        <f t="shared" si="317"/>
        <v>0</v>
      </c>
      <c r="H969" s="36">
        <f t="shared" si="318"/>
        <v>0</v>
      </c>
      <c r="I969" s="36">
        <f t="shared" si="319"/>
        <v>0</v>
      </c>
      <c r="J969" s="36">
        <f t="shared" si="320"/>
        <v>0</v>
      </c>
      <c r="K969" s="36">
        <f t="shared" si="321"/>
        <v>0</v>
      </c>
      <c r="L969" s="36">
        <f t="shared" si="322"/>
        <v>0</v>
      </c>
      <c r="M969" s="36">
        <f t="shared" si="323"/>
        <v>0</v>
      </c>
      <c r="N969" s="36">
        <f t="shared" si="324"/>
        <v>0</v>
      </c>
      <c r="O969" s="36">
        <f t="shared" si="325"/>
        <v>0</v>
      </c>
      <c r="P969" s="36">
        <f t="shared" si="326"/>
        <v>0</v>
      </c>
      <c r="Q969" s="36">
        <f t="shared" si="327"/>
        <v>0</v>
      </c>
      <c r="R969" s="36">
        <f t="shared" si="328"/>
        <v>0</v>
      </c>
      <c r="S969" s="36">
        <f t="shared" si="329"/>
        <v>0</v>
      </c>
      <c r="T969" s="36">
        <f t="shared" si="330"/>
        <v>0</v>
      </c>
      <c r="U969" s="36">
        <f t="shared" si="331"/>
        <v>0</v>
      </c>
      <c r="V969" s="36">
        <f t="shared" si="332"/>
        <v>0</v>
      </c>
      <c r="W969" s="36">
        <f t="shared" si="333"/>
        <v>0</v>
      </c>
      <c r="X969" s="36">
        <f t="shared" si="334"/>
        <v>0</v>
      </c>
      <c r="Y969" s="36">
        <f t="shared" si="335"/>
        <v>0</v>
      </c>
      <c r="Z969" s="36">
        <f t="shared" si="336"/>
        <v>0</v>
      </c>
      <c r="AB969" s="36" t="str">
        <f>IF(最佳化斷筋點!C969="","",最佳化斷筋點!C969)</f>
        <v>下層</v>
      </c>
      <c r="AC969" s="37">
        <f>IF(最佳化斷筋點!D969="","",最佳化斷筋點!D969)</f>
        <v>15</v>
      </c>
      <c r="AD969" s="37">
        <f>IF(最佳化斷筋點!E969="","",最佳化斷筋點!E969)</f>
        <v>15</v>
      </c>
      <c r="AE969" s="37">
        <f>IF(最佳化斷筋點!F969="","",最佳化斷筋點!F969)</f>
        <v>15</v>
      </c>
      <c r="AF969" s="37">
        <f>IF(最佳化斷筋點!G969="","",最佳化斷筋點!G969)</f>
        <v>15</v>
      </c>
      <c r="AG969" s="37">
        <f>IF(最佳化斷筋點!H969="","",最佳化斷筋點!H969)</f>
        <v>14</v>
      </c>
      <c r="AH969" s="37">
        <f>IF(最佳化斷筋點!I969="","",最佳化斷筋點!I969)</f>
        <v>13</v>
      </c>
      <c r="AI969" s="37">
        <f>IF(最佳化斷筋點!J969="","",最佳化斷筋點!J969)</f>
        <v>11</v>
      </c>
      <c r="AJ969" s="37">
        <f>IF(最佳化斷筋點!K969="","",最佳化斷筋點!K969)</f>
        <v>5</v>
      </c>
      <c r="AK969" s="37">
        <f>IF(最佳化斷筋點!L969="","",最佳化斷筋點!L969)</f>
        <v>5</v>
      </c>
      <c r="AL969" s="37">
        <f>IF(最佳化斷筋點!M969="","",最佳化斷筋點!M969)</f>
        <v>5</v>
      </c>
      <c r="AM969" s="37">
        <f>IF(最佳化斷筋點!N969="","",最佳化斷筋點!N969)</f>
        <v>5</v>
      </c>
      <c r="AN969" s="37">
        <f>IF(最佳化斷筋點!O969="","",最佳化斷筋點!O969)</f>
        <v>5</v>
      </c>
      <c r="AO969" s="37">
        <f>IF(最佳化斷筋點!P969="","",最佳化斷筋點!P969)</f>
        <v>5</v>
      </c>
      <c r="AP969" s="37">
        <f>IF(最佳化斷筋點!Q969="","",最佳化斷筋點!Q969)</f>
        <v>9</v>
      </c>
      <c r="AQ969" s="37">
        <f>IF(最佳化斷筋點!R969="","",最佳化斷筋點!R969)</f>
        <v>10</v>
      </c>
      <c r="AR969" s="37">
        <f>IF(最佳化斷筋點!S969="","",最佳化斷筋點!S969)</f>
        <v>11</v>
      </c>
      <c r="AS969" s="37">
        <f>IF(最佳化斷筋點!T969="","",最佳化斷筋點!T969)</f>
        <v>13</v>
      </c>
      <c r="AT969" s="37">
        <f>IF(最佳化斷筋點!U969="","",最佳化斷筋點!U969)</f>
        <v>14</v>
      </c>
      <c r="AU969" s="37">
        <f>IF(最佳化斷筋點!V969="","",最佳化斷筋點!V969)</f>
        <v>14</v>
      </c>
      <c r="AV969" s="37">
        <f>IF(最佳化斷筋點!W969="","",最佳化斷筋點!W969)</f>
        <v>14</v>
      </c>
      <c r="AW969" s="37">
        <f>IF(最佳化斷筋點!X969="","",最佳化斷筋點!X969)</f>
        <v>14</v>
      </c>
      <c r="AZ969" s="37">
        <v>15</v>
      </c>
      <c r="BA969" s="37">
        <v>15</v>
      </c>
      <c r="BB969" s="37">
        <v>15</v>
      </c>
      <c r="BC969" s="37">
        <v>15</v>
      </c>
      <c r="BD969" s="37">
        <v>14</v>
      </c>
      <c r="BE969" s="37">
        <v>13</v>
      </c>
      <c r="BF969" s="37">
        <v>11</v>
      </c>
      <c r="BG969" s="37">
        <v>5</v>
      </c>
      <c r="BH969" s="37">
        <v>5</v>
      </c>
      <c r="BI969" s="37">
        <v>5</v>
      </c>
      <c r="BJ969" s="37">
        <v>5</v>
      </c>
      <c r="BK969" s="37">
        <v>5</v>
      </c>
      <c r="BL969" s="37">
        <v>5</v>
      </c>
      <c r="BM969" s="37">
        <v>9</v>
      </c>
      <c r="BN969" s="37">
        <v>10</v>
      </c>
      <c r="BO969" s="37">
        <v>11</v>
      </c>
      <c r="BP969" s="37">
        <v>13</v>
      </c>
      <c r="BQ969" s="37">
        <v>14</v>
      </c>
      <c r="BR969" s="37">
        <v>14</v>
      </c>
      <c r="BS969" s="37">
        <v>14</v>
      </c>
      <c r="BT969" s="37">
        <v>14</v>
      </c>
    </row>
    <row r="970" spans="5:72" x14ac:dyDescent="0.25">
      <c r="E970" s="36"/>
      <c r="F970" s="36">
        <f t="shared" si="316"/>
        <v>0</v>
      </c>
      <c r="G970" s="36">
        <f t="shared" si="317"/>
        <v>0</v>
      </c>
      <c r="H970" s="36">
        <f t="shared" si="318"/>
        <v>0</v>
      </c>
      <c r="I970" s="36">
        <f t="shared" si="319"/>
        <v>0</v>
      </c>
      <c r="J970" s="36">
        <f t="shared" si="320"/>
        <v>0</v>
      </c>
      <c r="K970" s="36">
        <f t="shared" si="321"/>
        <v>0</v>
      </c>
      <c r="L970" s="36">
        <f t="shared" si="322"/>
        <v>0</v>
      </c>
      <c r="M970" s="36">
        <f t="shared" si="323"/>
        <v>0</v>
      </c>
      <c r="N970" s="36">
        <f t="shared" si="324"/>
        <v>0</v>
      </c>
      <c r="O970" s="36">
        <f t="shared" si="325"/>
        <v>0</v>
      </c>
      <c r="P970" s="36">
        <f t="shared" si="326"/>
        <v>0</v>
      </c>
      <c r="Q970" s="36">
        <f t="shared" si="327"/>
        <v>0</v>
      </c>
      <c r="R970" s="36">
        <f t="shared" si="328"/>
        <v>0</v>
      </c>
      <c r="S970" s="36">
        <f t="shared" si="329"/>
        <v>0</v>
      </c>
      <c r="T970" s="36">
        <f t="shared" si="330"/>
        <v>0</v>
      </c>
      <c r="U970" s="36">
        <f t="shared" si="331"/>
        <v>0</v>
      </c>
      <c r="V970" s="36">
        <f t="shared" si="332"/>
        <v>0</v>
      </c>
      <c r="W970" s="36">
        <f t="shared" si="333"/>
        <v>0</v>
      </c>
      <c r="X970" s="36">
        <f t="shared" si="334"/>
        <v>0</v>
      </c>
      <c r="Y970" s="36">
        <f t="shared" si="335"/>
        <v>0</v>
      </c>
      <c r="Z970" s="36">
        <f t="shared" si="336"/>
        <v>0</v>
      </c>
      <c r="AB970" s="36" t="str">
        <f>IF(最佳化斷筋點!C970="","",最佳化斷筋點!C970)</f>
        <v/>
      </c>
      <c r="AC970" s="37" t="str">
        <f>IF(最佳化斷筋點!D970="","",最佳化斷筋點!D970)</f>
        <v/>
      </c>
      <c r="AD970" s="37" t="str">
        <f>IF(最佳化斷筋點!E970="","",最佳化斷筋點!E970)</f>
        <v/>
      </c>
      <c r="AE970" s="37" t="str">
        <f>IF(最佳化斷筋點!F970="","",最佳化斷筋點!F970)</f>
        <v/>
      </c>
      <c r="AF970" s="37" t="str">
        <f>IF(最佳化斷筋點!G970="","",最佳化斷筋點!G970)</f>
        <v/>
      </c>
      <c r="AG970" s="37" t="str">
        <f>IF(最佳化斷筋點!H970="","",最佳化斷筋點!H970)</f>
        <v/>
      </c>
      <c r="AH970" s="37" t="str">
        <f>IF(最佳化斷筋點!I970="","",最佳化斷筋點!I970)</f>
        <v/>
      </c>
      <c r="AI970" s="37" t="str">
        <f>IF(最佳化斷筋點!J970="","",最佳化斷筋點!J970)</f>
        <v/>
      </c>
      <c r="AJ970" s="37" t="str">
        <f>IF(最佳化斷筋點!K970="","",最佳化斷筋點!K970)</f>
        <v/>
      </c>
      <c r="AK970" s="37" t="str">
        <f>IF(最佳化斷筋點!L970="","",最佳化斷筋點!L970)</f>
        <v/>
      </c>
      <c r="AL970" s="37" t="str">
        <f>IF(最佳化斷筋點!M970="","",最佳化斷筋點!M970)</f>
        <v/>
      </c>
      <c r="AM970" s="37" t="str">
        <f>IF(最佳化斷筋點!N970="","",最佳化斷筋點!N970)</f>
        <v/>
      </c>
      <c r="AN970" s="37" t="str">
        <f>IF(最佳化斷筋點!O970="","",最佳化斷筋點!O970)</f>
        <v/>
      </c>
      <c r="AO970" s="37" t="str">
        <f>IF(最佳化斷筋點!P970="","",最佳化斷筋點!P970)</f>
        <v/>
      </c>
      <c r="AP970" s="37" t="str">
        <f>IF(最佳化斷筋點!Q970="","",最佳化斷筋點!Q970)</f>
        <v/>
      </c>
      <c r="AQ970" s="37" t="str">
        <f>IF(最佳化斷筋點!R970="","",最佳化斷筋點!R970)</f>
        <v/>
      </c>
      <c r="AR970" s="37" t="str">
        <f>IF(最佳化斷筋點!S970="","",最佳化斷筋點!S970)</f>
        <v/>
      </c>
      <c r="AS970" s="37" t="str">
        <f>IF(最佳化斷筋點!T970="","",最佳化斷筋點!T970)</f>
        <v/>
      </c>
      <c r="AT970" s="37" t="str">
        <f>IF(最佳化斷筋點!U970="","",最佳化斷筋點!U970)</f>
        <v/>
      </c>
      <c r="AU970" s="37" t="str">
        <f>IF(最佳化斷筋點!V970="","",最佳化斷筋點!V970)</f>
        <v/>
      </c>
      <c r="AV970" s="37" t="str">
        <f>IF(最佳化斷筋點!W970="","",最佳化斷筋點!W970)</f>
        <v/>
      </c>
      <c r="AW970" s="37" t="str">
        <f>IF(最佳化斷筋點!X970="","",最佳化斷筋點!X970)</f>
        <v/>
      </c>
      <c r="AZ970" s="37" t="s">
        <v>197</v>
      </c>
      <c r="BA970" s="37" t="s">
        <v>197</v>
      </c>
      <c r="BB970" s="37" t="s">
        <v>197</v>
      </c>
      <c r="BC970" s="37" t="s">
        <v>197</v>
      </c>
      <c r="BD970" s="37" t="s">
        <v>197</v>
      </c>
      <c r="BE970" s="37" t="s">
        <v>197</v>
      </c>
      <c r="BF970" s="37" t="s">
        <v>197</v>
      </c>
      <c r="BG970" s="37" t="s">
        <v>197</v>
      </c>
      <c r="BH970" s="37" t="s">
        <v>197</v>
      </c>
      <c r="BI970" s="37" t="s">
        <v>197</v>
      </c>
      <c r="BJ970" s="37" t="s">
        <v>197</v>
      </c>
      <c r="BK970" s="37" t="s">
        <v>197</v>
      </c>
      <c r="BL970" s="37" t="s">
        <v>197</v>
      </c>
      <c r="BM970" s="37" t="s">
        <v>197</v>
      </c>
      <c r="BN970" s="37" t="s">
        <v>197</v>
      </c>
      <c r="BO970" s="37" t="s">
        <v>197</v>
      </c>
      <c r="BP970" s="37" t="s">
        <v>197</v>
      </c>
      <c r="BQ970" s="37" t="s">
        <v>197</v>
      </c>
      <c r="BR970" s="37" t="s">
        <v>197</v>
      </c>
      <c r="BS970" s="37" t="s">
        <v>197</v>
      </c>
      <c r="BT970" s="37" t="s">
        <v>197</v>
      </c>
    </row>
    <row r="971" spans="5:72" x14ac:dyDescent="0.25">
      <c r="E971" s="36" t="s">
        <v>20</v>
      </c>
      <c r="F971" s="36">
        <f t="shared" si="316"/>
        <v>0</v>
      </c>
      <c r="G971" s="36">
        <f t="shared" si="317"/>
        <v>0</v>
      </c>
      <c r="H971" s="36">
        <f t="shared" si="318"/>
        <v>0</v>
      </c>
      <c r="I971" s="36">
        <f t="shared" si="319"/>
        <v>0</v>
      </c>
      <c r="J971" s="36">
        <f t="shared" si="320"/>
        <v>0</v>
      </c>
      <c r="K971" s="36">
        <f t="shared" si="321"/>
        <v>0</v>
      </c>
      <c r="L971" s="36">
        <f t="shared" si="322"/>
        <v>0</v>
      </c>
      <c r="M971" s="36">
        <f t="shared" si="323"/>
        <v>0</v>
      </c>
      <c r="N971" s="36">
        <f t="shared" si="324"/>
        <v>0</v>
      </c>
      <c r="O971" s="36">
        <f t="shared" si="325"/>
        <v>0</v>
      </c>
      <c r="P971" s="36">
        <f t="shared" si="326"/>
        <v>0</v>
      </c>
      <c r="Q971" s="36">
        <f t="shared" si="327"/>
        <v>0</v>
      </c>
      <c r="R971" s="36">
        <f t="shared" si="328"/>
        <v>0</v>
      </c>
      <c r="S971" s="36">
        <f t="shared" si="329"/>
        <v>0</v>
      </c>
      <c r="T971" s="36">
        <f t="shared" si="330"/>
        <v>0</v>
      </c>
      <c r="U971" s="36">
        <f t="shared" si="331"/>
        <v>0</v>
      </c>
      <c r="V971" s="36">
        <f t="shared" si="332"/>
        <v>0</v>
      </c>
      <c r="W971" s="36">
        <f t="shared" si="333"/>
        <v>0</v>
      </c>
      <c r="X971" s="36">
        <f t="shared" si="334"/>
        <v>0</v>
      </c>
      <c r="Y971" s="36">
        <f t="shared" si="335"/>
        <v>0</v>
      </c>
      <c r="Z971" s="36">
        <f t="shared" si="336"/>
        <v>0</v>
      </c>
      <c r="AB971" s="36" t="str">
        <f>IF(最佳化斷筋點!C971="","",最佳化斷筋點!C971)</f>
        <v>上層</v>
      </c>
      <c r="AC971" s="37">
        <f>IF(最佳化斷筋點!D971="","",最佳化斷筋點!D971)</f>
        <v>9</v>
      </c>
      <c r="AD971" s="37">
        <f>IF(最佳化斷筋點!E971="","",最佳化斷筋點!E971)</f>
        <v>9</v>
      </c>
      <c r="AE971" s="37">
        <f>IF(最佳化斷筋點!F971="","",最佳化斷筋點!F971)</f>
        <v>9</v>
      </c>
      <c r="AF971" s="37">
        <f>IF(最佳化斷筋點!G971="","",最佳化斷筋點!G971)</f>
        <v>9</v>
      </c>
      <c r="AG971" s="37">
        <f>IF(最佳化斷筋點!H971="","",最佳化斷筋點!H971)</f>
        <v>9</v>
      </c>
      <c r="AH971" s="37">
        <f>IF(最佳化斷筋點!I971="","",最佳化斷筋點!I971)</f>
        <v>9</v>
      </c>
      <c r="AI971" s="37">
        <f>IF(最佳化斷筋點!J971="","",最佳化斷筋點!J971)</f>
        <v>9</v>
      </c>
      <c r="AJ971" s="37">
        <f>IF(最佳化斷筋點!K971="","",最佳化斷筋點!K971)</f>
        <v>3</v>
      </c>
      <c r="AK971" s="37">
        <f>IF(最佳化斷筋點!L971="","",最佳化斷筋點!L971)</f>
        <v>3</v>
      </c>
      <c r="AL971" s="37">
        <f>IF(最佳化斷筋點!M971="","",最佳化斷筋點!M971)</f>
        <v>3</v>
      </c>
      <c r="AM971" s="37">
        <f>IF(最佳化斷筋點!N971="","",最佳化斷筋點!N971)</f>
        <v>3</v>
      </c>
      <c r="AN971" s="37">
        <f>IF(最佳化斷筋點!O971="","",最佳化斷筋點!O971)</f>
        <v>3</v>
      </c>
      <c r="AO971" s="37">
        <f>IF(最佳化斷筋點!P971="","",最佳化斷筋點!P971)</f>
        <v>3</v>
      </c>
      <c r="AP971" s="37">
        <f>IF(最佳化斷筋點!Q971="","",最佳化斷筋點!Q971)</f>
        <v>6</v>
      </c>
      <c r="AQ971" s="37">
        <f>IF(最佳化斷筋點!R971="","",最佳化斷筋點!R971)</f>
        <v>6</v>
      </c>
      <c r="AR971" s="37">
        <f>IF(最佳化斷筋點!S971="","",最佳化斷筋點!S971)</f>
        <v>7</v>
      </c>
      <c r="AS971" s="37">
        <f>IF(最佳化斷筋點!T971="","",最佳化斷筋點!T971)</f>
        <v>7</v>
      </c>
      <c r="AT971" s="37">
        <f>IF(最佳化斷筋點!U971="","",最佳化斷筋點!U971)</f>
        <v>7</v>
      </c>
      <c r="AU971" s="37">
        <f>IF(最佳化斷筋點!V971="","",最佳化斷筋點!V971)</f>
        <v>7</v>
      </c>
      <c r="AV971" s="37">
        <f>IF(最佳化斷筋點!W971="","",最佳化斷筋點!W971)</f>
        <v>7</v>
      </c>
      <c r="AW971" s="37">
        <f>IF(最佳化斷筋點!X971="","",最佳化斷筋點!X971)</f>
        <v>7</v>
      </c>
      <c r="AZ971" s="37">
        <v>9</v>
      </c>
      <c r="BA971" s="37">
        <v>9</v>
      </c>
      <c r="BB971" s="37">
        <v>9</v>
      </c>
      <c r="BC971" s="37">
        <v>9</v>
      </c>
      <c r="BD971" s="37">
        <v>9</v>
      </c>
      <c r="BE971" s="37">
        <v>9</v>
      </c>
      <c r="BF971" s="37">
        <v>9</v>
      </c>
      <c r="BG971" s="37">
        <v>3</v>
      </c>
      <c r="BH971" s="37">
        <v>3</v>
      </c>
      <c r="BI971" s="37">
        <v>3</v>
      </c>
      <c r="BJ971" s="37">
        <v>3</v>
      </c>
      <c r="BK971" s="37">
        <v>3</v>
      </c>
      <c r="BL971" s="37">
        <v>3</v>
      </c>
      <c r="BM971" s="37">
        <v>6</v>
      </c>
      <c r="BN971" s="37">
        <v>6</v>
      </c>
      <c r="BO971" s="37">
        <v>7</v>
      </c>
      <c r="BP971" s="37">
        <v>7</v>
      </c>
      <c r="BQ971" s="37">
        <v>7</v>
      </c>
      <c r="BR971" s="37">
        <v>7</v>
      </c>
      <c r="BS971" s="37">
        <v>7</v>
      </c>
      <c r="BT971" s="37">
        <v>7</v>
      </c>
    </row>
    <row r="972" spans="5:72" x14ac:dyDescent="0.25">
      <c r="E972" s="36"/>
      <c r="F972" s="36">
        <f t="shared" si="316"/>
        <v>0</v>
      </c>
      <c r="G972" s="36">
        <f t="shared" si="317"/>
        <v>0</v>
      </c>
      <c r="H972" s="36">
        <f t="shared" si="318"/>
        <v>0</v>
      </c>
      <c r="I972" s="36">
        <f t="shared" si="319"/>
        <v>0</v>
      </c>
      <c r="J972" s="36">
        <f t="shared" si="320"/>
        <v>0</v>
      </c>
      <c r="K972" s="36">
        <f t="shared" si="321"/>
        <v>0</v>
      </c>
      <c r="L972" s="36">
        <f t="shared" si="322"/>
        <v>0</v>
      </c>
      <c r="M972" s="36">
        <f t="shared" si="323"/>
        <v>0</v>
      </c>
      <c r="N972" s="36">
        <f t="shared" si="324"/>
        <v>0</v>
      </c>
      <c r="O972" s="36">
        <f t="shared" si="325"/>
        <v>0</v>
      </c>
      <c r="P972" s="36">
        <f t="shared" si="326"/>
        <v>0</v>
      </c>
      <c r="Q972" s="36">
        <f t="shared" si="327"/>
        <v>0</v>
      </c>
      <c r="R972" s="36">
        <f t="shared" si="328"/>
        <v>0</v>
      </c>
      <c r="S972" s="36">
        <f t="shared" si="329"/>
        <v>0</v>
      </c>
      <c r="T972" s="36">
        <f t="shared" si="330"/>
        <v>0</v>
      </c>
      <c r="U972" s="36">
        <f t="shared" si="331"/>
        <v>0</v>
      </c>
      <c r="V972" s="36">
        <f t="shared" si="332"/>
        <v>0</v>
      </c>
      <c r="W972" s="36">
        <f t="shared" si="333"/>
        <v>0</v>
      </c>
      <c r="X972" s="36">
        <f t="shared" si="334"/>
        <v>0</v>
      </c>
      <c r="Y972" s="36">
        <f t="shared" si="335"/>
        <v>0</v>
      </c>
      <c r="Z972" s="36">
        <f t="shared" si="336"/>
        <v>0</v>
      </c>
      <c r="AB972" s="36" t="str">
        <f>IF(最佳化斷筋點!C972="","",最佳化斷筋點!C972)</f>
        <v/>
      </c>
      <c r="AC972" s="37" t="str">
        <f>IF(最佳化斷筋點!D972="","",最佳化斷筋點!D972)</f>
        <v/>
      </c>
      <c r="AD972" s="37" t="str">
        <f>IF(最佳化斷筋點!E972="","",最佳化斷筋點!E972)</f>
        <v/>
      </c>
      <c r="AE972" s="37" t="str">
        <f>IF(最佳化斷筋點!F972="","",最佳化斷筋點!F972)</f>
        <v/>
      </c>
      <c r="AF972" s="37" t="str">
        <f>IF(最佳化斷筋點!G972="","",最佳化斷筋點!G972)</f>
        <v/>
      </c>
      <c r="AG972" s="37" t="str">
        <f>IF(最佳化斷筋點!H972="","",最佳化斷筋點!H972)</f>
        <v/>
      </c>
      <c r="AH972" s="37" t="str">
        <f>IF(最佳化斷筋點!I972="","",最佳化斷筋點!I972)</f>
        <v/>
      </c>
      <c r="AI972" s="37" t="str">
        <f>IF(最佳化斷筋點!J972="","",最佳化斷筋點!J972)</f>
        <v/>
      </c>
      <c r="AJ972" s="37" t="str">
        <f>IF(最佳化斷筋點!K972="","",最佳化斷筋點!K972)</f>
        <v/>
      </c>
      <c r="AK972" s="37" t="str">
        <f>IF(最佳化斷筋點!L972="","",最佳化斷筋點!L972)</f>
        <v/>
      </c>
      <c r="AL972" s="37" t="str">
        <f>IF(最佳化斷筋點!M972="","",最佳化斷筋點!M972)</f>
        <v/>
      </c>
      <c r="AM972" s="37" t="str">
        <f>IF(最佳化斷筋點!N972="","",最佳化斷筋點!N972)</f>
        <v/>
      </c>
      <c r="AN972" s="37" t="str">
        <f>IF(最佳化斷筋點!O972="","",最佳化斷筋點!O972)</f>
        <v/>
      </c>
      <c r="AO972" s="37" t="str">
        <f>IF(最佳化斷筋點!P972="","",最佳化斷筋點!P972)</f>
        <v/>
      </c>
      <c r="AP972" s="37" t="str">
        <f>IF(最佳化斷筋點!Q972="","",最佳化斷筋點!Q972)</f>
        <v/>
      </c>
      <c r="AQ972" s="37" t="str">
        <f>IF(最佳化斷筋點!R972="","",最佳化斷筋點!R972)</f>
        <v/>
      </c>
      <c r="AR972" s="37" t="str">
        <f>IF(最佳化斷筋點!S972="","",最佳化斷筋點!S972)</f>
        <v/>
      </c>
      <c r="AS972" s="37" t="str">
        <f>IF(最佳化斷筋點!T972="","",最佳化斷筋點!T972)</f>
        <v/>
      </c>
      <c r="AT972" s="37" t="str">
        <f>IF(最佳化斷筋點!U972="","",最佳化斷筋點!U972)</f>
        <v/>
      </c>
      <c r="AU972" s="37" t="str">
        <f>IF(最佳化斷筋點!V972="","",最佳化斷筋點!V972)</f>
        <v/>
      </c>
      <c r="AV972" s="37" t="str">
        <f>IF(最佳化斷筋點!W972="","",最佳化斷筋點!W972)</f>
        <v/>
      </c>
      <c r="AW972" s="37" t="str">
        <f>IF(最佳化斷筋點!X972="","",最佳化斷筋點!X972)</f>
        <v/>
      </c>
      <c r="AZ972" s="37" t="s">
        <v>197</v>
      </c>
      <c r="BA972" s="37" t="s">
        <v>197</v>
      </c>
      <c r="BB972" s="37" t="s">
        <v>197</v>
      </c>
      <c r="BC972" s="37" t="s">
        <v>197</v>
      </c>
      <c r="BD972" s="37" t="s">
        <v>197</v>
      </c>
      <c r="BE972" s="37" t="s">
        <v>197</v>
      </c>
      <c r="BF972" s="37" t="s">
        <v>197</v>
      </c>
      <c r="BG972" s="37" t="s">
        <v>197</v>
      </c>
      <c r="BH972" s="37" t="s">
        <v>197</v>
      </c>
      <c r="BI972" s="37" t="s">
        <v>197</v>
      </c>
      <c r="BJ972" s="37" t="s">
        <v>197</v>
      </c>
      <c r="BK972" s="37" t="s">
        <v>197</v>
      </c>
      <c r="BL972" s="37" t="s">
        <v>197</v>
      </c>
      <c r="BM972" s="37" t="s">
        <v>197</v>
      </c>
      <c r="BN972" s="37" t="s">
        <v>197</v>
      </c>
      <c r="BO972" s="37" t="s">
        <v>197</v>
      </c>
      <c r="BP972" s="37" t="s">
        <v>197</v>
      </c>
      <c r="BQ972" s="37" t="s">
        <v>197</v>
      </c>
      <c r="BR972" s="37" t="s">
        <v>197</v>
      </c>
      <c r="BS972" s="37" t="s">
        <v>197</v>
      </c>
      <c r="BT972" s="37" t="s">
        <v>197</v>
      </c>
    </row>
    <row r="973" spans="5:72" x14ac:dyDescent="0.25">
      <c r="E973" s="36" t="s">
        <v>21</v>
      </c>
      <c r="F973" s="36">
        <f t="shared" si="316"/>
        <v>0</v>
      </c>
      <c r="G973" s="36">
        <f t="shared" si="317"/>
        <v>0</v>
      </c>
      <c r="H973" s="36">
        <f t="shared" si="318"/>
        <v>0</v>
      </c>
      <c r="I973" s="36">
        <f t="shared" si="319"/>
        <v>0</v>
      </c>
      <c r="J973" s="36">
        <f t="shared" si="320"/>
        <v>0</v>
      </c>
      <c r="K973" s="36">
        <f t="shared" si="321"/>
        <v>0</v>
      </c>
      <c r="L973" s="36">
        <f t="shared" si="322"/>
        <v>0</v>
      </c>
      <c r="M973" s="36">
        <f t="shared" si="323"/>
        <v>0</v>
      </c>
      <c r="N973" s="36">
        <f t="shared" si="324"/>
        <v>0</v>
      </c>
      <c r="O973" s="36">
        <f t="shared" si="325"/>
        <v>0</v>
      </c>
      <c r="P973" s="36">
        <f t="shared" si="326"/>
        <v>0</v>
      </c>
      <c r="Q973" s="36">
        <f t="shared" si="327"/>
        <v>0</v>
      </c>
      <c r="R973" s="36">
        <f t="shared" si="328"/>
        <v>0</v>
      </c>
      <c r="S973" s="36">
        <f t="shared" si="329"/>
        <v>0</v>
      </c>
      <c r="T973" s="36">
        <f t="shared" si="330"/>
        <v>0</v>
      </c>
      <c r="U973" s="36">
        <f t="shared" si="331"/>
        <v>0</v>
      </c>
      <c r="V973" s="36">
        <f t="shared" si="332"/>
        <v>0</v>
      </c>
      <c r="W973" s="36">
        <f t="shared" si="333"/>
        <v>0</v>
      </c>
      <c r="X973" s="36">
        <f t="shared" si="334"/>
        <v>0</v>
      </c>
      <c r="Y973" s="36">
        <f t="shared" si="335"/>
        <v>0</v>
      </c>
      <c r="Z973" s="36">
        <f t="shared" si="336"/>
        <v>0</v>
      </c>
      <c r="AB973" s="36" t="str">
        <f>IF(最佳化斷筋點!C973="","",最佳化斷筋點!C973)</f>
        <v>下層</v>
      </c>
      <c r="AC973" s="37">
        <f>IF(最佳化斷筋點!D973="","",最佳化斷筋點!D973)</f>
        <v>10</v>
      </c>
      <c r="AD973" s="37">
        <f>IF(最佳化斷筋點!E973="","",最佳化斷筋點!E973)</f>
        <v>10</v>
      </c>
      <c r="AE973" s="37">
        <f>IF(最佳化斷筋點!F973="","",最佳化斷筋點!F973)</f>
        <v>10</v>
      </c>
      <c r="AF973" s="37">
        <f>IF(最佳化斷筋點!G973="","",最佳化斷筋點!G973)</f>
        <v>10</v>
      </c>
      <c r="AG973" s="37">
        <f>IF(最佳化斷筋點!H973="","",最佳化斷筋點!H973)</f>
        <v>10</v>
      </c>
      <c r="AH973" s="37">
        <f>IF(最佳化斷筋點!I973="","",最佳化斷筋點!I973)</f>
        <v>9</v>
      </c>
      <c r="AI973" s="37">
        <f>IF(最佳化斷筋點!J973="","",最佳化斷筋點!J973)</f>
        <v>8</v>
      </c>
      <c r="AJ973" s="37">
        <f>IF(最佳化斷筋點!K973="","",最佳化斷筋點!K973)</f>
        <v>4</v>
      </c>
      <c r="AK973" s="37">
        <f>IF(最佳化斷筋點!L973="","",最佳化斷筋點!L973)</f>
        <v>4</v>
      </c>
      <c r="AL973" s="37">
        <f>IF(最佳化斷筋點!M973="","",最佳化斷筋點!M973)</f>
        <v>4</v>
      </c>
      <c r="AM973" s="37">
        <f>IF(最佳化斷筋點!N973="","",最佳化斷筋點!N973)</f>
        <v>4</v>
      </c>
      <c r="AN973" s="37">
        <f>IF(最佳化斷筋點!O973="","",最佳化斷筋點!O973)</f>
        <v>4</v>
      </c>
      <c r="AO973" s="37">
        <f>IF(最佳化斷筋點!P973="","",最佳化斷筋點!P973)</f>
        <v>4</v>
      </c>
      <c r="AP973" s="37">
        <f>IF(最佳化斷筋點!Q973="","",最佳化斷筋點!Q973)</f>
        <v>6</v>
      </c>
      <c r="AQ973" s="37">
        <f>IF(最佳化斷筋點!R973="","",最佳化斷筋點!R973)</f>
        <v>7</v>
      </c>
      <c r="AR973" s="37">
        <f>IF(最佳化斷筋點!S973="","",最佳化斷筋點!S973)</f>
        <v>8</v>
      </c>
      <c r="AS973" s="37">
        <f>IF(最佳化斷筋點!T973="","",最佳化斷筋點!T973)</f>
        <v>9</v>
      </c>
      <c r="AT973" s="37">
        <f>IF(最佳化斷筋點!U973="","",最佳化斷筋點!U973)</f>
        <v>10</v>
      </c>
      <c r="AU973" s="37">
        <f>IF(最佳化斷筋點!V973="","",最佳化斷筋點!V973)</f>
        <v>10</v>
      </c>
      <c r="AV973" s="37">
        <f>IF(最佳化斷筋點!W973="","",最佳化斷筋點!W973)</f>
        <v>10</v>
      </c>
      <c r="AW973" s="37">
        <f>IF(最佳化斷筋點!X973="","",最佳化斷筋點!X973)</f>
        <v>10</v>
      </c>
      <c r="AZ973" s="37">
        <v>10</v>
      </c>
      <c r="BA973" s="37">
        <v>10</v>
      </c>
      <c r="BB973" s="37">
        <v>10</v>
      </c>
      <c r="BC973" s="37">
        <v>10</v>
      </c>
      <c r="BD973" s="37">
        <v>10</v>
      </c>
      <c r="BE973" s="37">
        <v>9</v>
      </c>
      <c r="BF973" s="37">
        <v>8</v>
      </c>
      <c r="BG973" s="37">
        <v>4</v>
      </c>
      <c r="BH973" s="37">
        <v>4</v>
      </c>
      <c r="BI973" s="37">
        <v>4</v>
      </c>
      <c r="BJ973" s="37">
        <v>4</v>
      </c>
      <c r="BK973" s="37">
        <v>4</v>
      </c>
      <c r="BL973" s="37">
        <v>4</v>
      </c>
      <c r="BM973" s="37">
        <v>6</v>
      </c>
      <c r="BN973" s="37">
        <v>7</v>
      </c>
      <c r="BO973" s="37">
        <v>8</v>
      </c>
      <c r="BP973" s="37">
        <v>9</v>
      </c>
      <c r="BQ973" s="37">
        <v>10</v>
      </c>
      <c r="BR973" s="37">
        <v>10</v>
      </c>
      <c r="BS973" s="37">
        <v>10</v>
      </c>
      <c r="BT973" s="37">
        <v>10</v>
      </c>
    </row>
    <row r="974" spans="5:72" x14ac:dyDescent="0.25">
      <c r="E974" s="36"/>
      <c r="F974" s="36">
        <f t="shared" si="316"/>
        <v>0</v>
      </c>
      <c r="G974" s="36">
        <f t="shared" si="317"/>
        <v>0</v>
      </c>
      <c r="H974" s="36">
        <f t="shared" si="318"/>
        <v>0</v>
      </c>
      <c r="I974" s="36">
        <f t="shared" si="319"/>
        <v>0</v>
      </c>
      <c r="J974" s="36">
        <f t="shared" si="320"/>
        <v>0</v>
      </c>
      <c r="K974" s="36">
        <f t="shared" si="321"/>
        <v>0</v>
      </c>
      <c r="L974" s="36">
        <f t="shared" si="322"/>
        <v>0</v>
      </c>
      <c r="M974" s="36">
        <f t="shared" si="323"/>
        <v>0</v>
      </c>
      <c r="N974" s="36">
        <f t="shared" si="324"/>
        <v>0</v>
      </c>
      <c r="O974" s="36">
        <f t="shared" si="325"/>
        <v>0</v>
      </c>
      <c r="P974" s="36">
        <f t="shared" si="326"/>
        <v>0</v>
      </c>
      <c r="Q974" s="36">
        <f t="shared" si="327"/>
        <v>0</v>
      </c>
      <c r="R974" s="36">
        <f t="shared" si="328"/>
        <v>0</v>
      </c>
      <c r="S974" s="36">
        <f t="shared" si="329"/>
        <v>0</v>
      </c>
      <c r="T974" s="36">
        <f t="shared" si="330"/>
        <v>0</v>
      </c>
      <c r="U974" s="36">
        <f t="shared" si="331"/>
        <v>0</v>
      </c>
      <c r="V974" s="36">
        <f t="shared" si="332"/>
        <v>0</v>
      </c>
      <c r="W974" s="36">
        <f t="shared" si="333"/>
        <v>0</v>
      </c>
      <c r="X974" s="36">
        <f t="shared" si="334"/>
        <v>0</v>
      </c>
      <c r="Y974" s="36">
        <f t="shared" si="335"/>
        <v>0</v>
      </c>
      <c r="Z974" s="36">
        <f t="shared" si="336"/>
        <v>0</v>
      </c>
      <c r="AB974" s="36" t="str">
        <f>IF(最佳化斷筋點!C974="","",最佳化斷筋點!C974)</f>
        <v/>
      </c>
      <c r="AC974" s="37" t="str">
        <f>IF(最佳化斷筋點!D974="","",最佳化斷筋點!D974)</f>
        <v/>
      </c>
      <c r="AD974" s="37" t="str">
        <f>IF(最佳化斷筋點!E974="","",最佳化斷筋點!E974)</f>
        <v/>
      </c>
      <c r="AE974" s="37" t="str">
        <f>IF(最佳化斷筋點!F974="","",最佳化斷筋點!F974)</f>
        <v/>
      </c>
      <c r="AF974" s="37" t="str">
        <f>IF(最佳化斷筋點!G974="","",最佳化斷筋點!G974)</f>
        <v/>
      </c>
      <c r="AG974" s="37" t="str">
        <f>IF(最佳化斷筋點!H974="","",最佳化斷筋點!H974)</f>
        <v/>
      </c>
      <c r="AH974" s="37" t="str">
        <f>IF(最佳化斷筋點!I974="","",最佳化斷筋點!I974)</f>
        <v/>
      </c>
      <c r="AI974" s="37" t="str">
        <f>IF(最佳化斷筋點!J974="","",最佳化斷筋點!J974)</f>
        <v/>
      </c>
      <c r="AJ974" s="37" t="str">
        <f>IF(最佳化斷筋點!K974="","",最佳化斷筋點!K974)</f>
        <v/>
      </c>
      <c r="AK974" s="37" t="str">
        <f>IF(最佳化斷筋點!L974="","",最佳化斷筋點!L974)</f>
        <v/>
      </c>
      <c r="AL974" s="37" t="str">
        <f>IF(最佳化斷筋點!M974="","",最佳化斷筋點!M974)</f>
        <v/>
      </c>
      <c r="AM974" s="37" t="str">
        <f>IF(最佳化斷筋點!N974="","",最佳化斷筋點!N974)</f>
        <v/>
      </c>
      <c r="AN974" s="37" t="str">
        <f>IF(最佳化斷筋點!O974="","",最佳化斷筋點!O974)</f>
        <v/>
      </c>
      <c r="AO974" s="37" t="str">
        <f>IF(最佳化斷筋點!P974="","",最佳化斷筋點!P974)</f>
        <v/>
      </c>
      <c r="AP974" s="37" t="str">
        <f>IF(最佳化斷筋點!Q974="","",最佳化斷筋點!Q974)</f>
        <v/>
      </c>
      <c r="AQ974" s="37" t="str">
        <f>IF(最佳化斷筋點!R974="","",最佳化斷筋點!R974)</f>
        <v/>
      </c>
      <c r="AR974" s="37" t="str">
        <f>IF(最佳化斷筋點!S974="","",最佳化斷筋點!S974)</f>
        <v/>
      </c>
      <c r="AS974" s="37" t="str">
        <f>IF(最佳化斷筋點!T974="","",最佳化斷筋點!T974)</f>
        <v/>
      </c>
      <c r="AT974" s="37" t="str">
        <f>IF(最佳化斷筋點!U974="","",最佳化斷筋點!U974)</f>
        <v/>
      </c>
      <c r="AU974" s="37" t="str">
        <f>IF(最佳化斷筋點!V974="","",最佳化斷筋點!V974)</f>
        <v/>
      </c>
      <c r="AV974" s="37" t="str">
        <f>IF(最佳化斷筋點!W974="","",最佳化斷筋點!W974)</f>
        <v/>
      </c>
      <c r="AW974" s="37" t="str">
        <f>IF(最佳化斷筋點!X974="","",最佳化斷筋點!X974)</f>
        <v/>
      </c>
      <c r="AZ974" s="37" t="s">
        <v>197</v>
      </c>
      <c r="BA974" s="37" t="s">
        <v>197</v>
      </c>
      <c r="BB974" s="37" t="s">
        <v>197</v>
      </c>
      <c r="BC974" s="37" t="s">
        <v>197</v>
      </c>
      <c r="BD974" s="37" t="s">
        <v>197</v>
      </c>
      <c r="BE974" s="37" t="s">
        <v>197</v>
      </c>
      <c r="BF974" s="37" t="s">
        <v>197</v>
      </c>
      <c r="BG974" s="37" t="s">
        <v>197</v>
      </c>
      <c r="BH974" s="37" t="s">
        <v>197</v>
      </c>
      <c r="BI974" s="37" t="s">
        <v>197</v>
      </c>
      <c r="BJ974" s="37" t="s">
        <v>197</v>
      </c>
      <c r="BK974" s="37" t="s">
        <v>197</v>
      </c>
      <c r="BL974" s="37" t="s">
        <v>197</v>
      </c>
      <c r="BM974" s="37" t="s">
        <v>197</v>
      </c>
      <c r="BN974" s="37" t="s">
        <v>197</v>
      </c>
      <c r="BO974" s="37" t="s">
        <v>197</v>
      </c>
      <c r="BP974" s="37" t="s">
        <v>197</v>
      </c>
      <c r="BQ974" s="37" t="s">
        <v>197</v>
      </c>
      <c r="BR974" s="37" t="s">
        <v>197</v>
      </c>
      <c r="BS974" s="37" t="s">
        <v>197</v>
      </c>
      <c r="BT974" s="37" t="s">
        <v>197</v>
      </c>
    </row>
    <row r="975" spans="5:72" x14ac:dyDescent="0.25">
      <c r="E975" s="36" t="s">
        <v>20</v>
      </c>
      <c r="F975" s="36">
        <f t="shared" si="316"/>
        <v>0</v>
      </c>
      <c r="G975" s="36">
        <f t="shared" si="317"/>
        <v>0</v>
      </c>
      <c r="H975" s="36">
        <f t="shared" si="318"/>
        <v>0</v>
      </c>
      <c r="I975" s="36">
        <f t="shared" si="319"/>
        <v>0</v>
      </c>
      <c r="J975" s="36">
        <f t="shared" si="320"/>
        <v>0</v>
      </c>
      <c r="K975" s="36">
        <f t="shared" si="321"/>
        <v>0</v>
      </c>
      <c r="L975" s="36">
        <f t="shared" si="322"/>
        <v>0</v>
      </c>
      <c r="M975" s="36">
        <f t="shared" si="323"/>
        <v>0</v>
      </c>
      <c r="N975" s="36">
        <f t="shared" si="324"/>
        <v>0</v>
      </c>
      <c r="O975" s="36">
        <f t="shared" si="325"/>
        <v>0</v>
      </c>
      <c r="P975" s="36">
        <f t="shared" si="326"/>
        <v>0</v>
      </c>
      <c r="Q975" s="36">
        <f t="shared" si="327"/>
        <v>0</v>
      </c>
      <c r="R975" s="36">
        <f t="shared" si="328"/>
        <v>0</v>
      </c>
      <c r="S975" s="36">
        <f t="shared" si="329"/>
        <v>0</v>
      </c>
      <c r="T975" s="36">
        <f t="shared" si="330"/>
        <v>0</v>
      </c>
      <c r="U975" s="36">
        <f t="shared" si="331"/>
        <v>0</v>
      </c>
      <c r="V975" s="36">
        <f t="shared" si="332"/>
        <v>0</v>
      </c>
      <c r="W975" s="36">
        <f t="shared" si="333"/>
        <v>0</v>
      </c>
      <c r="X975" s="36">
        <f t="shared" si="334"/>
        <v>0</v>
      </c>
      <c r="Y975" s="36">
        <f t="shared" si="335"/>
        <v>0</v>
      </c>
      <c r="Z975" s="36">
        <f t="shared" si="336"/>
        <v>0</v>
      </c>
      <c r="AB975" s="36" t="str">
        <f>IF(最佳化斷筋點!C975="","",最佳化斷筋點!C975)</f>
        <v>上層</v>
      </c>
      <c r="AC975" s="37">
        <f>IF(最佳化斷筋點!D975="","",最佳化斷筋點!D975)</f>
        <v>7</v>
      </c>
      <c r="AD975" s="37">
        <f>IF(最佳化斷筋點!E975="","",最佳化斷筋點!E975)</f>
        <v>7</v>
      </c>
      <c r="AE975" s="37">
        <f>IF(最佳化斷筋點!F975="","",最佳化斷筋點!F975)</f>
        <v>7</v>
      </c>
      <c r="AF975" s="37">
        <f>IF(最佳化斷筋點!G975="","",最佳化斷筋點!G975)</f>
        <v>7</v>
      </c>
      <c r="AG975" s="37">
        <f>IF(最佳化斷筋點!H975="","",最佳化斷筋點!H975)</f>
        <v>6</v>
      </c>
      <c r="AH975" s="37">
        <f>IF(最佳化斷筋點!I975="","",最佳化斷筋點!I975)</f>
        <v>6</v>
      </c>
      <c r="AI975" s="37">
        <f>IF(最佳化斷筋點!J975="","",最佳化斷筋點!J975)</f>
        <v>5</v>
      </c>
      <c r="AJ975" s="37">
        <f>IF(最佳化斷筋點!K975="","",最佳化斷筋點!K975)</f>
        <v>3</v>
      </c>
      <c r="AK975" s="37">
        <f>IF(最佳化斷筋點!L975="","",最佳化斷筋點!L975)</f>
        <v>3</v>
      </c>
      <c r="AL975" s="37">
        <f>IF(最佳化斷筋點!M975="","",最佳化斷筋點!M975)</f>
        <v>3</v>
      </c>
      <c r="AM975" s="37">
        <f>IF(最佳化斷筋點!N975="","",最佳化斷筋點!N975)</f>
        <v>2</v>
      </c>
      <c r="AN975" s="37">
        <f>IF(最佳化斷筋點!O975="","",最佳化斷筋點!O975)</f>
        <v>3</v>
      </c>
      <c r="AO975" s="37">
        <f>IF(最佳化斷筋點!P975="","",最佳化斷筋點!P975)</f>
        <v>3</v>
      </c>
      <c r="AP975" s="37">
        <f>IF(最佳化斷筋點!Q975="","",最佳化斷筋點!Q975)</f>
        <v>5</v>
      </c>
      <c r="AQ975" s="37">
        <f>IF(最佳化斷筋點!R975="","",最佳化斷筋點!R975)</f>
        <v>6</v>
      </c>
      <c r="AR975" s="37">
        <f>IF(最佳化斷筋點!S975="","",最佳化斷筋點!S975)</f>
        <v>6</v>
      </c>
      <c r="AS975" s="37">
        <f>IF(最佳化斷筋點!T975="","",最佳化斷筋點!T975)</f>
        <v>7</v>
      </c>
      <c r="AT975" s="37">
        <f>IF(最佳化斷筋點!U975="","",最佳化斷筋點!U975)</f>
        <v>8</v>
      </c>
      <c r="AU975" s="37">
        <f>IF(最佳化斷筋點!V975="","",最佳化斷筋點!V975)</f>
        <v>8</v>
      </c>
      <c r="AV975" s="37">
        <f>IF(最佳化斷筋點!W975="","",最佳化斷筋點!W975)</f>
        <v>8</v>
      </c>
      <c r="AW975" s="37">
        <f>IF(最佳化斷筋點!X975="","",最佳化斷筋點!X975)</f>
        <v>8</v>
      </c>
      <c r="AZ975" s="37">
        <v>7</v>
      </c>
      <c r="BA975" s="37">
        <v>7</v>
      </c>
      <c r="BB975" s="37">
        <v>7</v>
      </c>
      <c r="BC975" s="37">
        <v>7</v>
      </c>
      <c r="BD975" s="37">
        <v>6</v>
      </c>
      <c r="BE975" s="37">
        <v>6</v>
      </c>
      <c r="BF975" s="37">
        <v>5</v>
      </c>
      <c r="BG975" s="37">
        <v>3</v>
      </c>
      <c r="BH975" s="37">
        <v>3</v>
      </c>
      <c r="BI975" s="37">
        <v>3</v>
      </c>
      <c r="BJ975" s="37">
        <v>2</v>
      </c>
      <c r="BK975" s="37">
        <v>3</v>
      </c>
      <c r="BL975" s="37">
        <v>3</v>
      </c>
      <c r="BM975" s="37">
        <v>5</v>
      </c>
      <c r="BN975" s="37">
        <v>6</v>
      </c>
      <c r="BO975" s="37">
        <v>6</v>
      </c>
      <c r="BP975" s="37">
        <v>7</v>
      </c>
      <c r="BQ975" s="37">
        <v>8</v>
      </c>
      <c r="BR975" s="37">
        <v>8</v>
      </c>
      <c r="BS975" s="37">
        <v>8</v>
      </c>
      <c r="BT975" s="37">
        <v>8</v>
      </c>
    </row>
    <row r="976" spans="5:72" x14ac:dyDescent="0.25">
      <c r="E976" s="36"/>
      <c r="F976" s="36">
        <f t="shared" si="316"/>
        <v>0</v>
      </c>
      <c r="G976" s="36">
        <f t="shared" si="317"/>
        <v>0</v>
      </c>
      <c r="H976" s="36">
        <f t="shared" si="318"/>
        <v>0</v>
      </c>
      <c r="I976" s="36">
        <f t="shared" si="319"/>
        <v>0</v>
      </c>
      <c r="J976" s="36">
        <f t="shared" si="320"/>
        <v>0</v>
      </c>
      <c r="K976" s="36">
        <f t="shared" si="321"/>
        <v>0</v>
      </c>
      <c r="L976" s="36">
        <f t="shared" si="322"/>
        <v>0</v>
      </c>
      <c r="M976" s="36">
        <f t="shared" si="323"/>
        <v>0</v>
      </c>
      <c r="N976" s="36">
        <f t="shared" si="324"/>
        <v>0</v>
      </c>
      <c r="O976" s="36">
        <f t="shared" si="325"/>
        <v>0</v>
      </c>
      <c r="P976" s="36">
        <f t="shared" si="326"/>
        <v>0</v>
      </c>
      <c r="Q976" s="36">
        <f t="shared" si="327"/>
        <v>0</v>
      </c>
      <c r="R976" s="36">
        <f t="shared" si="328"/>
        <v>0</v>
      </c>
      <c r="S976" s="36">
        <f t="shared" si="329"/>
        <v>0</v>
      </c>
      <c r="T976" s="36">
        <f t="shared" si="330"/>
        <v>0</v>
      </c>
      <c r="U976" s="36">
        <f t="shared" si="331"/>
        <v>0</v>
      </c>
      <c r="V976" s="36">
        <f t="shared" si="332"/>
        <v>0</v>
      </c>
      <c r="W976" s="36">
        <f t="shared" si="333"/>
        <v>0</v>
      </c>
      <c r="X976" s="36">
        <f t="shared" si="334"/>
        <v>0</v>
      </c>
      <c r="Y976" s="36">
        <f t="shared" si="335"/>
        <v>0</v>
      </c>
      <c r="Z976" s="36">
        <f t="shared" si="336"/>
        <v>0</v>
      </c>
      <c r="AB976" s="36" t="str">
        <f>IF(最佳化斷筋點!C976="","",最佳化斷筋點!C976)</f>
        <v/>
      </c>
      <c r="AC976" s="37" t="str">
        <f>IF(最佳化斷筋點!D976="","",最佳化斷筋點!D976)</f>
        <v/>
      </c>
      <c r="AD976" s="37" t="str">
        <f>IF(最佳化斷筋點!E976="","",最佳化斷筋點!E976)</f>
        <v/>
      </c>
      <c r="AE976" s="37" t="str">
        <f>IF(最佳化斷筋點!F976="","",最佳化斷筋點!F976)</f>
        <v/>
      </c>
      <c r="AF976" s="37" t="str">
        <f>IF(最佳化斷筋點!G976="","",最佳化斷筋點!G976)</f>
        <v/>
      </c>
      <c r="AG976" s="37" t="str">
        <f>IF(最佳化斷筋點!H976="","",最佳化斷筋點!H976)</f>
        <v/>
      </c>
      <c r="AH976" s="37" t="str">
        <f>IF(最佳化斷筋點!I976="","",最佳化斷筋點!I976)</f>
        <v/>
      </c>
      <c r="AI976" s="37" t="str">
        <f>IF(最佳化斷筋點!J976="","",最佳化斷筋點!J976)</f>
        <v/>
      </c>
      <c r="AJ976" s="37" t="str">
        <f>IF(最佳化斷筋點!K976="","",最佳化斷筋點!K976)</f>
        <v/>
      </c>
      <c r="AK976" s="37" t="str">
        <f>IF(最佳化斷筋點!L976="","",最佳化斷筋點!L976)</f>
        <v/>
      </c>
      <c r="AL976" s="37" t="str">
        <f>IF(最佳化斷筋點!M976="","",最佳化斷筋點!M976)</f>
        <v/>
      </c>
      <c r="AM976" s="37" t="str">
        <f>IF(最佳化斷筋點!N976="","",最佳化斷筋點!N976)</f>
        <v/>
      </c>
      <c r="AN976" s="37" t="str">
        <f>IF(最佳化斷筋點!O976="","",最佳化斷筋點!O976)</f>
        <v/>
      </c>
      <c r="AO976" s="37" t="str">
        <f>IF(最佳化斷筋點!P976="","",最佳化斷筋點!P976)</f>
        <v/>
      </c>
      <c r="AP976" s="37" t="str">
        <f>IF(最佳化斷筋點!Q976="","",最佳化斷筋點!Q976)</f>
        <v/>
      </c>
      <c r="AQ976" s="37" t="str">
        <f>IF(最佳化斷筋點!R976="","",最佳化斷筋點!R976)</f>
        <v/>
      </c>
      <c r="AR976" s="37" t="str">
        <f>IF(最佳化斷筋點!S976="","",最佳化斷筋點!S976)</f>
        <v/>
      </c>
      <c r="AS976" s="37" t="str">
        <f>IF(最佳化斷筋點!T976="","",最佳化斷筋點!T976)</f>
        <v/>
      </c>
      <c r="AT976" s="37" t="str">
        <f>IF(最佳化斷筋點!U976="","",最佳化斷筋點!U976)</f>
        <v/>
      </c>
      <c r="AU976" s="37" t="str">
        <f>IF(最佳化斷筋點!V976="","",最佳化斷筋點!V976)</f>
        <v/>
      </c>
      <c r="AV976" s="37" t="str">
        <f>IF(最佳化斷筋點!W976="","",最佳化斷筋點!W976)</f>
        <v/>
      </c>
      <c r="AW976" s="37" t="str">
        <f>IF(最佳化斷筋點!X976="","",最佳化斷筋點!X976)</f>
        <v/>
      </c>
      <c r="AZ976" s="37" t="s">
        <v>197</v>
      </c>
      <c r="BA976" s="37" t="s">
        <v>197</v>
      </c>
      <c r="BB976" s="37" t="s">
        <v>197</v>
      </c>
      <c r="BC976" s="37" t="s">
        <v>197</v>
      </c>
      <c r="BD976" s="37" t="s">
        <v>197</v>
      </c>
      <c r="BE976" s="37" t="s">
        <v>197</v>
      </c>
      <c r="BF976" s="37" t="s">
        <v>197</v>
      </c>
      <c r="BG976" s="37" t="s">
        <v>197</v>
      </c>
      <c r="BH976" s="37" t="s">
        <v>197</v>
      </c>
      <c r="BI976" s="37" t="s">
        <v>197</v>
      </c>
      <c r="BJ976" s="37" t="s">
        <v>197</v>
      </c>
      <c r="BK976" s="37" t="s">
        <v>197</v>
      </c>
      <c r="BL976" s="37" t="s">
        <v>197</v>
      </c>
      <c r="BM976" s="37" t="s">
        <v>197</v>
      </c>
      <c r="BN976" s="37" t="s">
        <v>197</v>
      </c>
      <c r="BO976" s="37" t="s">
        <v>197</v>
      </c>
      <c r="BP976" s="37" t="s">
        <v>197</v>
      </c>
      <c r="BQ976" s="37" t="s">
        <v>197</v>
      </c>
      <c r="BR976" s="37" t="s">
        <v>197</v>
      </c>
      <c r="BS976" s="37" t="s">
        <v>197</v>
      </c>
      <c r="BT976" s="37" t="s">
        <v>197</v>
      </c>
    </row>
    <row r="977" spans="5:72" x14ac:dyDescent="0.25">
      <c r="E977" s="36" t="s">
        <v>21</v>
      </c>
      <c r="F977" s="36">
        <f t="shared" si="316"/>
        <v>0</v>
      </c>
      <c r="G977" s="36">
        <f t="shared" si="317"/>
        <v>0</v>
      </c>
      <c r="H977" s="36">
        <f t="shared" si="318"/>
        <v>0</v>
      </c>
      <c r="I977" s="36">
        <f t="shared" si="319"/>
        <v>0</v>
      </c>
      <c r="J977" s="36">
        <f t="shared" si="320"/>
        <v>0</v>
      </c>
      <c r="K977" s="36">
        <f t="shared" si="321"/>
        <v>0</v>
      </c>
      <c r="L977" s="36">
        <f t="shared" si="322"/>
        <v>0</v>
      </c>
      <c r="M977" s="36">
        <f t="shared" si="323"/>
        <v>0</v>
      </c>
      <c r="N977" s="36">
        <f t="shared" si="324"/>
        <v>0</v>
      </c>
      <c r="O977" s="36">
        <f t="shared" si="325"/>
        <v>0</v>
      </c>
      <c r="P977" s="36">
        <f t="shared" si="326"/>
        <v>0</v>
      </c>
      <c r="Q977" s="36">
        <f t="shared" si="327"/>
        <v>0</v>
      </c>
      <c r="R977" s="36">
        <f t="shared" si="328"/>
        <v>0</v>
      </c>
      <c r="S977" s="36">
        <f t="shared" si="329"/>
        <v>0</v>
      </c>
      <c r="T977" s="36">
        <f t="shared" si="330"/>
        <v>0</v>
      </c>
      <c r="U977" s="36">
        <f t="shared" si="331"/>
        <v>0</v>
      </c>
      <c r="V977" s="36">
        <f t="shared" si="332"/>
        <v>0</v>
      </c>
      <c r="W977" s="36">
        <f t="shared" si="333"/>
        <v>0</v>
      </c>
      <c r="X977" s="36">
        <f t="shared" si="334"/>
        <v>0</v>
      </c>
      <c r="Y977" s="36">
        <f t="shared" si="335"/>
        <v>0</v>
      </c>
      <c r="Z977" s="36">
        <f t="shared" si="336"/>
        <v>0</v>
      </c>
      <c r="AB977" s="36" t="str">
        <f>IF(最佳化斷筋點!C977="","",最佳化斷筋點!C977)</f>
        <v>下層</v>
      </c>
      <c r="AC977" s="37">
        <f>IF(最佳化斷筋點!D977="","",最佳化斷筋點!D977)</f>
        <v>7</v>
      </c>
      <c r="AD977" s="37">
        <f>IF(最佳化斷筋點!E977="","",最佳化斷筋點!E977)</f>
        <v>7</v>
      </c>
      <c r="AE977" s="37">
        <f>IF(最佳化斷筋點!F977="","",最佳化斷筋點!F977)</f>
        <v>7</v>
      </c>
      <c r="AF977" s="37">
        <f>IF(最佳化斷筋點!G977="","",最佳化斷筋點!G977)</f>
        <v>7</v>
      </c>
      <c r="AG977" s="37">
        <f>IF(最佳化斷筋點!H977="","",最佳化斷筋點!H977)</f>
        <v>6</v>
      </c>
      <c r="AH977" s="37">
        <f>IF(最佳化斷筋點!I977="","",最佳化斷筋點!I977)</f>
        <v>6</v>
      </c>
      <c r="AI977" s="37">
        <f>IF(最佳化斷筋點!J977="","",最佳化斷筋點!J977)</f>
        <v>5</v>
      </c>
      <c r="AJ977" s="37">
        <f>IF(最佳化斷筋點!K977="","",最佳化斷筋點!K977)</f>
        <v>5</v>
      </c>
      <c r="AK977" s="37">
        <f>IF(最佳化斷筋點!L977="","",最佳化斷筋點!L977)</f>
        <v>5</v>
      </c>
      <c r="AL977" s="37">
        <f>IF(最佳化斷筋點!M977="","",最佳化斷筋點!M977)</f>
        <v>5</v>
      </c>
      <c r="AM977" s="37">
        <f>IF(最佳化斷筋點!N977="","",最佳化斷筋點!N977)</f>
        <v>5</v>
      </c>
      <c r="AN977" s="37">
        <f>IF(最佳化斷筋點!O977="","",最佳化斷筋點!O977)</f>
        <v>5</v>
      </c>
      <c r="AO977" s="37">
        <f>IF(最佳化斷筋點!P977="","",最佳化斷筋點!P977)</f>
        <v>5</v>
      </c>
      <c r="AP977" s="37">
        <f>IF(最佳化斷筋點!Q977="","",最佳化斷筋點!Q977)</f>
        <v>5</v>
      </c>
      <c r="AQ977" s="37">
        <f>IF(最佳化斷筋點!R977="","",最佳化斷筋點!R977)</f>
        <v>5</v>
      </c>
      <c r="AR977" s="37">
        <f>IF(最佳化斷筋點!S977="","",最佳化斷筋點!S977)</f>
        <v>5</v>
      </c>
      <c r="AS977" s="37">
        <f>IF(最佳化斷筋點!T977="","",最佳化斷筋點!T977)</f>
        <v>5</v>
      </c>
      <c r="AT977" s="37">
        <f>IF(最佳化斷筋點!U977="","",最佳化斷筋點!U977)</f>
        <v>5</v>
      </c>
      <c r="AU977" s="37">
        <f>IF(最佳化斷筋點!V977="","",最佳化斷筋點!V977)</f>
        <v>6</v>
      </c>
      <c r="AV977" s="37">
        <f>IF(最佳化斷筋點!W977="","",最佳化斷筋點!W977)</f>
        <v>6</v>
      </c>
      <c r="AW977" s="37">
        <f>IF(最佳化斷筋點!X977="","",最佳化斷筋點!X977)</f>
        <v>6</v>
      </c>
      <c r="AZ977" s="37">
        <v>7</v>
      </c>
      <c r="BA977" s="37">
        <v>7</v>
      </c>
      <c r="BB977" s="37">
        <v>7</v>
      </c>
      <c r="BC977" s="37">
        <v>7</v>
      </c>
      <c r="BD977" s="37">
        <v>6</v>
      </c>
      <c r="BE977" s="37">
        <v>6</v>
      </c>
      <c r="BF977" s="37">
        <v>5</v>
      </c>
      <c r="BG977" s="37">
        <v>5</v>
      </c>
      <c r="BH977" s="37">
        <v>5</v>
      </c>
      <c r="BI977" s="37">
        <v>5</v>
      </c>
      <c r="BJ977" s="37">
        <v>5</v>
      </c>
      <c r="BK977" s="37">
        <v>5</v>
      </c>
      <c r="BL977" s="37">
        <v>5</v>
      </c>
      <c r="BM977" s="37">
        <v>5</v>
      </c>
      <c r="BN977" s="37">
        <v>5</v>
      </c>
      <c r="BO977" s="37">
        <v>5</v>
      </c>
      <c r="BP977" s="37">
        <v>5</v>
      </c>
      <c r="BQ977" s="37">
        <v>5</v>
      </c>
      <c r="BR977" s="37">
        <v>6</v>
      </c>
      <c r="BS977" s="37">
        <v>6</v>
      </c>
      <c r="BT977" s="37">
        <v>6</v>
      </c>
    </row>
    <row r="978" spans="5:72" x14ac:dyDescent="0.25">
      <c r="E978" s="36"/>
      <c r="F978" s="36">
        <f t="shared" si="316"/>
        <v>0</v>
      </c>
      <c r="G978" s="36">
        <f t="shared" si="317"/>
        <v>0</v>
      </c>
      <c r="H978" s="36">
        <f t="shared" si="318"/>
        <v>0</v>
      </c>
      <c r="I978" s="36">
        <f t="shared" si="319"/>
        <v>0</v>
      </c>
      <c r="J978" s="36">
        <f t="shared" si="320"/>
        <v>0</v>
      </c>
      <c r="K978" s="36">
        <f t="shared" si="321"/>
        <v>0</v>
      </c>
      <c r="L978" s="36">
        <f t="shared" si="322"/>
        <v>0</v>
      </c>
      <c r="M978" s="36">
        <f t="shared" si="323"/>
        <v>0</v>
      </c>
      <c r="N978" s="36">
        <f t="shared" si="324"/>
        <v>0</v>
      </c>
      <c r="O978" s="36">
        <f t="shared" si="325"/>
        <v>0</v>
      </c>
      <c r="P978" s="36">
        <f t="shared" si="326"/>
        <v>0</v>
      </c>
      <c r="Q978" s="36">
        <f t="shared" si="327"/>
        <v>0</v>
      </c>
      <c r="R978" s="36">
        <f t="shared" si="328"/>
        <v>0</v>
      </c>
      <c r="S978" s="36">
        <f t="shared" si="329"/>
        <v>0</v>
      </c>
      <c r="T978" s="36">
        <f t="shared" si="330"/>
        <v>0</v>
      </c>
      <c r="U978" s="36">
        <f t="shared" si="331"/>
        <v>0</v>
      </c>
      <c r="V978" s="36">
        <f t="shared" si="332"/>
        <v>0</v>
      </c>
      <c r="W978" s="36">
        <f t="shared" si="333"/>
        <v>0</v>
      </c>
      <c r="X978" s="36">
        <f t="shared" si="334"/>
        <v>0</v>
      </c>
      <c r="Y978" s="36">
        <f t="shared" si="335"/>
        <v>0</v>
      </c>
      <c r="Z978" s="36">
        <f t="shared" si="336"/>
        <v>0</v>
      </c>
      <c r="AB978" s="36" t="str">
        <f>IF(最佳化斷筋點!C978="","",最佳化斷筋點!C978)</f>
        <v/>
      </c>
      <c r="AC978" s="37" t="str">
        <f>IF(最佳化斷筋點!D978="","",最佳化斷筋點!D978)</f>
        <v/>
      </c>
      <c r="AD978" s="37" t="str">
        <f>IF(最佳化斷筋點!E978="","",最佳化斷筋點!E978)</f>
        <v/>
      </c>
      <c r="AE978" s="37" t="str">
        <f>IF(最佳化斷筋點!F978="","",最佳化斷筋點!F978)</f>
        <v/>
      </c>
      <c r="AF978" s="37" t="str">
        <f>IF(最佳化斷筋點!G978="","",最佳化斷筋點!G978)</f>
        <v/>
      </c>
      <c r="AG978" s="37" t="str">
        <f>IF(最佳化斷筋點!H978="","",最佳化斷筋點!H978)</f>
        <v/>
      </c>
      <c r="AH978" s="37" t="str">
        <f>IF(最佳化斷筋點!I978="","",最佳化斷筋點!I978)</f>
        <v/>
      </c>
      <c r="AI978" s="37" t="str">
        <f>IF(最佳化斷筋點!J978="","",最佳化斷筋點!J978)</f>
        <v/>
      </c>
      <c r="AJ978" s="37" t="str">
        <f>IF(最佳化斷筋點!K978="","",最佳化斷筋點!K978)</f>
        <v/>
      </c>
      <c r="AK978" s="37" t="str">
        <f>IF(最佳化斷筋點!L978="","",最佳化斷筋點!L978)</f>
        <v/>
      </c>
      <c r="AL978" s="37" t="str">
        <f>IF(最佳化斷筋點!M978="","",最佳化斷筋點!M978)</f>
        <v/>
      </c>
      <c r="AM978" s="37" t="str">
        <f>IF(最佳化斷筋點!N978="","",最佳化斷筋點!N978)</f>
        <v/>
      </c>
      <c r="AN978" s="37" t="str">
        <f>IF(最佳化斷筋點!O978="","",最佳化斷筋點!O978)</f>
        <v/>
      </c>
      <c r="AO978" s="37" t="str">
        <f>IF(最佳化斷筋點!P978="","",最佳化斷筋點!P978)</f>
        <v/>
      </c>
      <c r="AP978" s="37" t="str">
        <f>IF(最佳化斷筋點!Q978="","",最佳化斷筋點!Q978)</f>
        <v/>
      </c>
      <c r="AQ978" s="37" t="str">
        <f>IF(最佳化斷筋點!R978="","",最佳化斷筋點!R978)</f>
        <v/>
      </c>
      <c r="AR978" s="37" t="str">
        <f>IF(最佳化斷筋點!S978="","",最佳化斷筋點!S978)</f>
        <v/>
      </c>
      <c r="AS978" s="37" t="str">
        <f>IF(最佳化斷筋點!T978="","",最佳化斷筋點!T978)</f>
        <v/>
      </c>
      <c r="AT978" s="37" t="str">
        <f>IF(最佳化斷筋點!U978="","",最佳化斷筋點!U978)</f>
        <v/>
      </c>
      <c r="AU978" s="37" t="str">
        <f>IF(最佳化斷筋點!V978="","",最佳化斷筋點!V978)</f>
        <v/>
      </c>
      <c r="AV978" s="37" t="str">
        <f>IF(最佳化斷筋點!W978="","",最佳化斷筋點!W978)</f>
        <v/>
      </c>
      <c r="AW978" s="37" t="str">
        <f>IF(最佳化斷筋點!X978="","",最佳化斷筋點!X978)</f>
        <v/>
      </c>
      <c r="AZ978" s="37" t="s">
        <v>197</v>
      </c>
      <c r="BA978" s="37" t="s">
        <v>197</v>
      </c>
      <c r="BB978" s="37" t="s">
        <v>197</v>
      </c>
      <c r="BC978" s="37" t="s">
        <v>197</v>
      </c>
      <c r="BD978" s="37" t="s">
        <v>197</v>
      </c>
      <c r="BE978" s="37" t="s">
        <v>197</v>
      </c>
      <c r="BF978" s="37" t="s">
        <v>197</v>
      </c>
      <c r="BG978" s="37" t="s">
        <v>197</v>
      </c>
      <c r="BH978" s="37" t="s">
        <v>197</v>
      </c>
      <c r="BI978" s="37" t="s">
        <v>197</v>
      </c>
      <c r="BJ978" s="37" t="s">
        <v>197</v>
      </c>
      <c r="BK978" s="37" t="s">
        <v>197</v>
      </c>
      <c r="BL978" s="37" t="s">
        <v>197</v>
      </c>
      <c r="BM978" s="37" t="s">
        <v>197</v>
      </c>
      <c r="BN978" s="37" t="s">
        <v>197</v>
      </c>
      <c r="BO978" s="37" t="s">
        <v>197</v>
      </c>
      <c r="BP978" s="37" t="s">
        <v>197</v>
      </c>
      <c r="BQ978" s="37" t="s">
        <v>197</v>
      </c>
      <c r="BR978" s="37" t="s">
        <v>197</v>
      </c>
      <c r="BS978" s="37" t="s">
        <v>197</v>
      </c>
      <c r="BT978" s="37" t="s">
        <v>197</v>
      </c>
    </row>
    <row r="979" spans="5:72" x14ac:dyDescent="0.25">
      <c r="E979" s="36" t="s">
        <v>20</v>
      </c>
      <c r="F979" s="36">
        <f t="shared" si="316"/>
        <v>0</v>
      </c>
      <c r="G979" s="36">
        <f t="shared" si="317"/>
        <v>0</v>
      </c>
      <c r="H979" s="36">
        <f t="shared" si="318"/>
        <v>0</v>
      </c>
      <c r="I979" s="36">
        <f t="shared" si="319"/>
        <v>0</v>
      </c>
      <c r="J979" s="36">
        <f t="shared" si="320"/>
        <v>0</v>
      </c>
      <c r="K979" s="36">
        <f t="shared" si="321"/>
        <v>0</v>
      </c>
      <c r="L979" s="36">
        <f t="shared" si="322"/>
        <v>0</v>
      </c>
      <c r="M979" s="36">
        <f t="shared" si="323"/>
        <v>0</v>
      </c>
      <c r="N979" s="36">
        <f t="shared" si="324"/>
        <v>0</v>
      </c>
      <c r="O979" s="36">
        <f t="shared" si="325"/>
        <v>0</v>
      </c>
      <c r="P979" s="36">
        <f t="shared" si="326"/>
        <v>0</v>
      </c>
      <c r="Q979" s="36">
        <f t="shared" si="327"/>
        <v>0</v>
      </c>
      <c r="R979" s="36">
        <f t="shared" si="328"/>
        <v>0</v>
      </c>
      <c r="S979" s="36">
        <f t="shared" si="329"/>
        <v>0</v>
      </c>
      <c r="T979" s="36">
        <f t="shared" si="330"/>
        <v>0</v>
      </c>
      <c r="U979" s="36">
        <f t="shared" si="331"/>
        <v>0</v>
      </c>
      <c r="V979" s="36">
        <f t="shared" si="332"/>
        <v>0</v>
      </c>
      <c r="W979" s="36">
        <f t="shared" si="333"/>
        <v>0</v>
      </c>
      <c r="X979" s="36">
        <f t="shared" si="334"/>
        <v>0</v>
      </c>
      <c r="Y979" s="36">
        <f t="shared" si="335"/>
        <v>0</v>
      </c>
      <c r="Z979" s="36">
        <f t="shared" si="336"/>
        <v>0</v>
      </c>
      <c r="AB979" s="36" t="str">
        <f>IF(最佳化斷筋點!C979="","",最佳化斷筋點!C979)</f>
        <v>上層</v>
      </c>
      <c r="AC979" s="37">
        <f>IF(最佳化斷筋點!D979="","",最佳化斷筋點!D979)</f>
        <v>9</v>
      </c>
      <c r="AD979" s="37">
        <f>IF(最佳化斷筋點!E979="","",最佳化斷筋點!E979)</f>
        <v>9</v>
      </c>
      <c r="AE979" s="37">
        <f>IF(最佳化斷筋點!F979="","",最佳化斷筋點!F979)</f>
        <v>9</v>
      </c>
      <c r="AF979" s="37">
        <f>IF(最佳化斷筋點!G979="","",最佳化斷筋點!G979)</f>
        <v>9</v>
      </c>
      <c r="AG979" s="37">
        <f>IF(最佳化斷筋點!H979="","",最佳化斷筋點!H979)</f>
        <v>9</v>
      </c>
      <c r="AH979" s="37">
        <f>IF(最佳化斷筋點!I979="","",最佳化斷筋點!I979)</f>
        <v>9</v>
      </c>
      <c r="AI979" s="37">
        <f>IF(最佳化斷筋點!J979="","",最佳化斷筋點!J979)</f>
        <v>9</v>
      </c>
      <c r="AJ979" s="37">
        <f>IF(最佳化斷筋點!K979="","",最佳化斷筋點!K979)</f>
        <v>4</v>
      </c>
      <c r="AK979" s="37">
        <f>IF(最佳化斷筋點!L979="","",最佳化斷筋點!L979)</f>
        <v>4</v>
      </c>
      <c r="AL979" s="37">
        <f>IF(最佳化斷筋點!M979="","",最佳化斷筋點!M979)</f>
        <v>4</v>
      </c>
      <c r="AM979" s="37">
        <f>IF(最佳化斷筋點!N979="","",最佳化斷筋點!N979)</f>
        <v>4</v>
      </c>
      <c r="AN979" s="37">
        <f>IF(最佳化斷筋點!O979="","",最佳化斷筋點!O979)</f>
        <v>4</v>
      </c>
      <c r="AO979" s="37">
        <f>IF(最佳化斷筋點!P979="","",最佳化斷筋點!P979)</f>
        <v>4</v>
      </c>
      <c r="AP979" s="37">
        <f>IF(最佳化斷筋點!Q979="","",最佳化斷筋點!Q979)</f>
        <v>9</v>
      </c>
      <c r="AQ979" s="37">
        <f>IF(最佳化斷筋點!R979="","",最佳化斷筋點!R979)</f>
        <v>10</v>
      </c>
      <c r="AR979" s="37">
        <f>IF(最佳化斷筋點!S979="","",最佳化斷筋點!S979)</f>
        <v>10</v>
      </c>
      <c r="AS979" s="37">
        <f>IF(最佳化斷筋點!T979="","",最佳化斷筋點!T979)</f>
        <v>10</v>
      </c>
      <c r="AT979" s="37">
        <f>IF(最佳化斷筋點!U979="","",最佳化斷筋點!U979)</f>
        <v>10</v>
      </c>
      <c r="AU979" s="37">
        <f>IF(最佳化斷筋點!V979="","",最佳化斷筋點!V979)</f>
        <v>10</v>
      </c>
      <c r="AV979" s="37">
        <f>IF(最佳化斷筋點!W979="","",最佳化斷筋點!W979)</f>
        <v>10</v>
      </c>
      <c r="AW979" s="37">
        <f>IF(最佳化斷筋點!X979="","",最佳化斷筋點!X979)</f>
        <v>10</v>
      </c>
      <c r="AZ979" s="37">
        <v>9</v>
      </c>
      <c r="BA979" s="37">
        <v>9</v>
      </c>
      <c r="BB979" s="37">
        <v>9</v>
      </c>
      <c r="BC979" s="37">
        <v>9</v>
      </c>
      <c r="BD979" s="37">
        <v>9</v>
      </c>
      <c r="BE979" s="37">
        <v>9</v>
      </c>
      <c r="BF979" s="37">
        <v>9</v>
      </c>
      <c r="BG979" s="37">
        <v>4</v>
      </c>
      <c r="BH979" s="37">
        <v>4</v>
      </c>
      <c r="BI979" s="37">
        <v>4</v>
      </c>
      <c r="BJ979" s="37">
        <v>4</v>
      </c>
      <c r="BK979" s="37">
        <v>4</v>
      </c>
      <c r="BL979" s="37">
        <v>4</v>
      </c>
      <c r="BM979" s="37">
        <v>9</v>
      </c>
      <c r="BN979" s="37">
        <v>10</v>
      </c>
      <c r="BO979" s="37">
        <v>10</v>
      </c>
      <c r="BP979" s="37">
        <v>10</v>
      </c>
      <c r="BQ979" s="37">
        <v>10</v>
      </c>
      <c r="BR979" s="37">
        <v>10</v>
      </c>
      <c r="BS979" s="37">
        <v>10</v>
      </c>
      <c r="BT979" s="37">
        <v>10</v>
      </c>
    </row>
    <row r="980" spans="5:72" x14ac:dyDescent="0.25">
      <c r="E980" s="36"/>
      <c r="F980" s="36">
        <f t="shared" si="316"/>
        <v>0</v>
      </c>
      <c r="G980" s="36">
        <f t="shared" si="317"/>
        <v>0</v>
      </c>
      <c r="H980" s="36">
        <f t="shared" si="318"/>
        <v>0</v>
      </c>
      <c r="I980" s="36">
        <f t="shared" si="319"/>
        <v>0</v>
      </c>
      <c r="J980" s="36">
        <f t="shared" si="320"/>
        <v>0</v>
      </c>
      <c r="K980" s="36">
        <f t="shared" si="321"/>
        <v>0</v>
      </c>
      <c r="L980" s="36">
        <f t="shared" si="322"/>
        <v>0</v>
      </c>
      <c r="M980" s="36">
        <f t="shared" si="323"/>
        <v>0</v>
      </c>
      <c r="N980" s="36">
        <f t="shared" si="324"/>
        <v>0</v>
      </c>
      <c r="O980" s="36">
        <f t="shared" si="325"/>
        <v>0</v>
      </c>
      <c r="P980" s="36">
        <f t="shared" si="326"/>
        <v>0</v>
      </c>
      <c r="Q980" s="36">
        <f t="shared" si="327"/>
        <v>0</v>
      </c>
      <c r="R980" s="36">
        <f t="shared" si="328"/>
        <v>0</v>
      </c>
      <c r="S980" s="36">
        <f t="shared" si="329"/>
        <v>0</v>
      </c>
      <c r="T980" s="36">
        <f t="shared" si="330"/>
        <v>0</v>
      </c>
      <c r="U980" s="36">
        <f t="shared" si="331"/>
        <v>0</v>
      </c>
      <c r="V980" s="36">
        <f t="shared" si="332"/>
        <v>0</v>
      </c>
      <c r="W980" s="36">
        <f t="shared" si="333"/>
        <v>0</v>
      </c>
      <c r="X980" s="36">
        <f t="shared" si="334"/>
        <v>0</v>
      </c>
      <c r="Y980" s="36">
        <f t="shared" si="335"/>
        <v>0</v>
      </c>
      <c r="Z980" s="36">
        <f t="shared" si="336"/>
        <v>0</v>
      </c>
      <c r="AB980" s="36" t="str">
        <f>IF(最佳化斷筋點!C980="","",最佳化斷筋點!C980)</f>
        <v/>
      </c>
      <c r="AC980" s="37" t="str">
        <f>IF(最佳化斷筋點!D980="","",最佳化斷筋點!D980)</f>
        <v/>
      </c>
      <c r="AD980" s="37" t="str">
        <f>IF(最佳化斷筋點!E980="","",最佳化斷筋點!E980)</f>
        <v/>
      </c>
      <c r="AE980" s="37" t="str">
        <f>IF(最佳化斷筋點!F980="","",最佳化斷筋點!F980)</f>
        <v/>
      </c>
      <c r="AF980" s="37" t="str">
        <f>IF(最佳化斷筋點!G980="","",最佳化斷筋點!G980)</f>
        <v/>
      </c>
      <c r="AG980" s="37" t="str">
        <f>IF(最佳化斷筋點!H980="","",最佳化斷筋點!H980)</f>
        <v/>
      </c>
      <c r="AH980" s="37" t="str">
        <f>IF(最佳化斷筋點!I980="","",最佳化斷筋點!I980)</f>
        <v/>
      </c>
      <c r="AI980" s="37" t="str">
        <f>IF(最佳化斷筋點!J980="","",最佳化斷筋點!J980)</f>
        <v/>
      </c>
      <c r="AJ980" s="37" t="str">
        <f>IF(最佳化斷筋點!K980="","",最佳化斷筋點!K980)</f>
        <v/>
      </c>
      <c r="AK980" s="37" t="str">
        <f>IF(最佳化斷筋點!L980="","",最佳化斷筋點!L980)</f>
        <v/>
      </c>
      <c r="AL980" s="37" t="str">
        <f>IF(最佳化斷筋點!M980="","",最佳化斷筋點!M980)</f>
        <v/>
      </c>
      <c r="AM980" s="37" t="str">
        <f>IF(最佳化斷筋點!N980="","",最佳化斷筋點!N980)</f>
        <v/>
      </c>
      <c r="AN980" s="37" t="str">
        <f>IF(最佳化斷筋點!O980="","",最佳化斷筋點!O980)</f>
        <v/>
      </c>
      <c r="AO980" s="37" t="str">
        <f>IF(最佳化斷筋點!P980="","",最佳化斷筋點!P980)</f>
        <v/>
      </c>
      <c r="AP980" s="37" t="str">
        <f>IF(最佳化斷筋點!Q980="","",最佳化斷筋點!Q980)</f>
        <v/>
      </c>
      <c r="AQ980" s="37" t="str">
        <f>IF(最佳化斷筋點!R980="","",最佳化斷筋點!R980)</f>
        <v/>
      </c>
      <c r="AR980" s="37" t="str">
        <f>IF(最佳化斷筋點!S980="","",最佳化斷筋點!S980)</f>
        <v/>
      </c>
      <c r="AS980" s="37" t="str">
        <f>IF(最佳化斷筋點!T980="","",最佳化斷筋點!T980)</f>
        <v/>
      </c>
      <c r="AT980" s="37" t="str">
        <f>IF(最佳化斷筋點!U980="","",最佳化斷筋點!U980)</f>
        <v/>
      </c>
      <c r="AU980" s="37" t="str">
        <f>IF(最佳化斷筋點!V980="","",最佳化斷筋點!V980)</f>
        <v/>
      </c>
      <c r="AV980" s="37" t="str">
        <f>IF(最佳化斷筋點!W980="","",最佳化斷筋點!W980)</f>
        <v/>
      </c>
      <c r="AW980" s="37" t="str">
        <f>IF(最佳化斷筋點!X980="","",最佳化斷筋點!X980)</f>
        <v/>
      </c>
      <c r="AZ980" s="37" t="s">
        <v>197</v>
      </c>
      <c r="BA980" s="37" t="s">
        <v>197</v>
      </c>
      <c r="BB980" s="37" t="s">
        <v>197</v>
      </c>
      <c r="BC980" s="37" t="s">
        <v>197</v>
      </c>
      <c r="BD980" s="37" t="s">
        <v>197</v>
      </c>
      <c r="BE980" s="37" t="s">
        <v>197</v>
      </c>
      <c r="BF980" s="37" t="s">
        <v>197</v>
      </c>
      <c r="BG980" s="37" t="s">
        <v>197</v>
      </c>
      <c r="BH980" s="37" t="s">
        <v>197</v>
      </c>
      <c r="BI980" s="37" t="s">
        <v>197</v>
      </c>
      <c r="BJ980" s="37" t="s">
        <v>197</v>
      </c>
      <c r="BK980" s="37" t="s">
        <v>197</v>
      </c>
      <c r="BL980" s="37" t="s">
        <v>197</v>
      </c>
      <c r="BM980" s="37" t="s">
        <v>197</v>
      </c>
      <c r="BN980" s="37" t="s">
        <v>197</v>
      </c>
      <c r="BO980" s="37" t="s">
        <v>197</v>
      </c>
      <c r="BP980" s="37" t="s">
        <v>197</v>
      </c>
      <c r="BQ980" s="37" t="s">
        <v>197</v>
      </c>
      <c r="BR980" s="37" t="s">
        <v>197</v>
      </c>
      <c r="BS980" s="37" t="s">
        <v>197</v>
      </c>
      <c r="BT980" s="37" t="s">
        <v>197</v>
      </c>
    </row>
    <row r="981" spans="5:72" x14ac:dyDescent="0.25">
      <c r="E981" s="36" t="s">
        <v>21</v>
      </c>
      <c r="F981" s="36">
        <f t="shared" si="316"/>
        <v>0</v>
      </c>
      <c r="G981" s="36">
        <f t="shared" si="317"/>
        <v>0</v>
      </c>
      <c r="H981" s="36">
        <f t="shared" si="318"/>
        <v>0</v>
      </c>
      <c r="I981" s="36">
        <f t="shared" si="319"/>
        <v>0</v>
      </c>
      <c r="J981" s="36">
        <f t="shared" si="320"/>
        <v>0</v>
      </c>
      <c r="K981" s="36">
        <f t="shared" si="321"/>
        <v>0</v>
      </c>
      <c r="L981" s="36">
        <f t="shared" si="322"/>
        <v>0</v>
      </c>
      <c r="M981" s="36">
        <f t="shared" si="323"/>
        <v>0</v>
      </c>
      <c r="N981" s="36">
        <f t="shared" si="324"/>
        <v>0</v>
      </c>
      <c r="O981" s="36">
        <f t="shared" si="325"/>
        <v>0</v>
      </c>
      <c r="P981" s="36">
        <f t="shared" si="326"/>
        <v>0</v>
      </c>
      <c r="Q981" s="36">
        <f t="shared" si="327"/>
        <v>0</v>
      </c>
      <c r="R981" s="36">
        <f t="shared" si="328"/>
        <v>0</v>
      </c>
      <c r="S981" s="36">
        <f t="shared" si="329"/>
        <v>0</v>
      </c>
      <c r="T981" s="36">
        <f t="shared" si="330"/>
        <v>0</v>
      </c>
      <c r="U981" s="36">
        <f t="shared" si="331"/>
        <v>0</v>
      </c>
      <c r="V981" s="36">
        <f t="shared" si="332"/>
        <v>0</v>
      </c>
      <c r="W981" s="36">
        <f t="shared" si="333"/>
        <v>0</v>
      </c>
      <c r="X981" s="36">
        <f t="shared" si="334"/>
        <v>0</v>
      </c>
      <c r="Y981" s="36">
        <f t="shared" si="335"/>
        <v>0</v>
      </c>
      <c r="Z981" s="36">
        <f t="shared" si="336"/>
        <v>0</v>
      </c>
      <c r="AB981" s="36" t="str">
        <f>IF(最佳化斷筋點!C981="","",最佳化斷筋點!C981)</f>
        <v>下層</v>
      </c>
      <c r="AC981" s="37">
        <f>IF(最佳化斷筋點!D981="","",最佳化斷筋點!D981)</f>
        <v>13</v>
      </c>
      <c r="AD981" s="37">
        <f>IF(最佳化斷筋點!E981="","",最佳化斷筋點!E981)</f>
        <v>13</v>
      </c>
      <c r="AE981" s="37">
        <f>IF(最佳化斷筋點!F981="","",最佳化斷筋點!F981)</f>
        <v>13</v>
      </c>
      <c r="AF981" s="37">
        <f>IF(最佳化斷筋點!G981="","",最佳化斷筋點!G981)</f>
        <v>13</v>
      </c>
      <c r="AG981" s="37">
        <f>IF(最佳化斷筋點!H981="","",最佳化斷筋點!H981)</f>
        <v>13</v>
      </c>
      <c r="AH981" s="37">
        <f>IF(最佳化斷筋點!I981="","",最佳化斷筋點!I981)</f>
        <v>12</v>
      </c>
      <c r="AI981" s="37">
        <f>IF(最佳化斷筋點!J981="","",最佳化斷筋點!J981)</f>
        <v>11</v>
      </c>
      <c r="AJ981" s="37">
        <f>IF(最佳化斷筋點!K981="","",最佳化斷筋點!K981)</f>
        <v>6</v>
      </c>
      <c r="AK981" s="37">
        <f>IF(最佳化斷筋點!L981="","",最佳化斷筋點!L981)</f>
        <v>6</v>
      </c>
      <c r="AL981" s="37">
        <f>IF(最佳化斷筋點!M981="","",最佳化斷筋點!M981)</f>
        <v>6</v>
      </c>
      <c r="AM981" s="37">
        <f>IF(最佳化斷筋點!N981="","",最佳化斷筋點!N981)</f>
        <v>6</v>
      </c>
      <c r="AN981" s="37">
        <f>IF(最佳化斷筋點!O981="","",最佳化斷筋點!O981)</f>
        <v>6</v>
      </c>
      <c r="AO981" s="37">
        <f>IF(最佳化斷筋點!P981="","",最佳化斷筋點!P981)</f>
        <v>6</v>
      </c>
      <c r="AP981" s="37">
        <f>IF(最佳化斷筋點!Q981="","",最佳化斷筋點!Q981)</f>
        <v>9</v>
      </c>
      <c r="AQ981" s="37">
        <f>IF(最佳化斷筋點!R981="","",最佳化斷筋點!R981)</f>
        <v>10</v>
      </c>
      <c r="AR981" s="37">
        <f>IF(最佳化斷筋點!S981="","",最佳化斷筋點!S981)</f>
        <v>11</v>
      </c>
      <c r="AS981" s="37">
        <f>IF(最佳化斷筋點!T981="","",最佳化斷筋點!T981)</f>
        <v>12</v>
      </c>
      <c r="AT981" s="37">
        <f>IF(最佳化斷筋點!U981="","",最佳化斷筋點!U981)</f>
        <v>12</v>
      </c>
      <c r="AU981" s="37">
        <f>IF(最佳化斷筋點!V981="","",最佳化斷筋點!V981)</f>
        <v>12</v>
      </c>
      <c r="AV981" s="37">
        <f>IF(最佳化斷筋點!W981="","",最佳化斷筋點!W981)</f>
        <v>12</v>
      </c>
      <c r="AW981" s="37">
        <f>IF(最佳化斷筋點!X981="","",最佳化斷筋點!X981)</f>
        <v>12</v>
      </c>
      <c r="AZ981" s="37">
        <v>13</v>
      </c>
      <c r="BA981" s="37">
        <v>13</v>
      </c>
      <c r="BB981" s="37">
        <v>13</v>
      </c>
      <c r="BC981" s="37">
        <v>13</v>
      </c>
      <c r="BD981" s="37">
        <v>13</v>
      </c>
      <c r="BE981" s="37">
        <v>12</v>
      </c>
      <c r="BF981" s="37">
        <v>11</v>
      </c>
      <c r="BG981" s="37">
        <v>6</v>
      </c>
      <c r="BH981" s="37">
        <v>6</v>
      </c>
      <c r="BI981" s="37">
        <v>6</v>
      </c>
      <c r="BJ981" s="37">
        <v>6</v>
      </c>
      <c r="BK981" s="37">
        <v>6</v>
      </c>
      <c r="BL981" s="37">
        <v>6</v>
      </c>
      <c r="BM981" s="37">
        <v>9</v>
      </c>
      <c r="BN981" s="37">
        <v>10</v>
      </c>
      <c r="BO981" s="37">
        <v>11</v>
      </c>
      <c r="BP981" s="37">
        <v>12</v>
      </c>
      <c r="BQ981" s="37">
        <v>12</v>
      </c>
      <c r="BR981" s="37">
        <v>12</v>
      </c>
      <c r="BS981" s="37">
        <v>12</v>
      </c>
      <c r="BT981" s="37">
        <v>12</v>
      </c>
    </row>
    <row r="982" spans="5:72" x14ac:dyDescent="0.25">
      <c r="E982" s="36"/>
      <c r="F982" s="36">
        <f t="shared" si="316"/>
        <v>0</v>
      </c>
      <c r="G982" s="36">
        <f t="shared" si="317"/>
        <v>0</v>
      </c>
      <c r="H982" s="36">
        <f t="shared" si="318"/>
        <v>0</v>
      </c>
      <c r="I982" s="36">
        <f t="shared" si="319"/>
        <v>0</v>
      </c>
      <c r="J982" s="36">
        <f t="shared" si="320"/>
        <v>0</v>
      </c>
      <c r="K982" s="36">
        <f t="shared" si="321"/>
        <v>0</v>
      </c>
      <c r="L982" s="36">
        <f t="shared" si="322"/>
        <v>0</v>
      </c>
      <c r="M982" s="36">
        <f t="shared" si="323"/>
        <v>0</v>
      </c>
      <c r="N982" s="36">
        <f t="shared" si="324"/>
        <v>0</v>
      </c>
      <c r="O982" s="36">
        <f t="shared" si="325"/>
        <v>0</v>
      </c>
      <c r="P982" s="36">
        <f t="shared" si="326"/>
        <v>0</v>
      </c>
      <c r="Q982" s="36">
        <f t="shared" si="327"/>
        <v>0</v>
      </c>
      <c r="R982" s="36">
        <f t="shared" si="328"/>
        <v>0</v>
      </c>
      <c r="S982" s="36">
        <f t="shared" si="329"/>
        <v>0</v>
      </c>
      <c r="T982" s="36">
        <f t="shared" si="330"/>
        <v>0</v>
      </c>
      <c r="U982" s="36">
        <f t="shared" si="331"/>
        <v>0</v>
      </c>
      <c r="V982" s="36">
        <f t="shared" si="332"/>
        <v>0</v>
      </c>
      <c r="W982" s="36">
        <f t="shared" si="333"/>
        <v>0</v>
      </c>
      <c r="X982" s="36">
        <f t="shared" si="334"/>
        <v>0</v>
      </c>
      <c r="Y982" s="36">
        <f t="shared" si="335"/>
        <v>0</v>
      </c>
      <c r="Z982" s="36">
        <f t="shared" si="336"/>
        <v>0</v>
      </c>
      <c r="AB982" s="36" t="str">
        <f>IF(最佳化斷筋點!C982="","",最佳化斷筋點!C982)</f>
        <v/>
      </c>
      <c r="AC982" s="37" t="str">
        <f>IF(最佳化斷筋點!D982="","",最佳化斷筋點!D982)</f>
        <v/>
      </c>
      <c r="AD982" s="37" t="str">
        <f>IF(最佳化斷筋點!E982="","",最佳化斷筋點!E982)</f>
        <v/>
      </c>
      <c r="AE982" s="37" t="str">
        <f>IF(最佳化斷筋點!F982="","",最佳化斷筋點!F982)</f>
        <v/>
      </c>
      <c r="AF982" s="37" t="str">
        <f>IF(最佳化斷筋點!G982="","",最佳化斷筋點!G982)</f>
        <v/>
      </c>
      <c r="AG982" s="37" t="str">
        <f>IF(最佳化斷筋點!H982="","",最佳化斷筋點!H982)</f>
        <v/>
      </c>
      <c r="AH982" s="37" t="str">
        <f>IF(最佳化斷筋點!I982="","",最佳化斷筋點!I982)</f>
        <v/>
      </c>
      <c r="AI982" s="37" t="str">
        <f>IF(最佳化斷筋點!J982="","",最佳化斷筋點!J982)</f>
        <v/>
      </c>
      <c r="AJ982" s="37" t="str">
        <f>IF(最佳化斷筋點!K982="","",最佳化斷筋點!K982)</f>
        <v/>
      </c>
      <c r="AK982" s="37" t="str">
        <f>IF(最佳化斷筋點!L982="","",最佳化斷筋點!L982)</f>
        <v/>
      </c>
      <c r="AL982" s="37" t="str">
        <f>IF(最佳化斷筋點!M982="","",最佳化斷筋點!M982)</f>
        <v/>
      </c>
      <c r="AM982" s="37" t="str">
        <f>IF(最佳化斷筋點!N982="","",最佳化斷筋點!N982)</f>
        <v/>
      </c>
      <c r="AN982" s="37" t="str">
        <f>IF(最佳化斷筋點!O982="","",最佳化斷筋點!O982)</f>
        <v/>
      </c>
      <c r="AO982" s="37" t="str">
        <f>IF(最佳化斷筋點!P982="","",最佳化斷筋點!P982)</f>
        <v/>
      </c>
      <c r="AP982" s="37" t="str">
        <f>IF(最佳化斷筋點!Q982="","",最佳化斷筋點!Q982)</f>
        <v/>
      </c>
      <c r="AQ982" s="37" t="str">
        <f>IF(最佳化斷筋點!R982="","",最佳化斷筋點!R982)</f>
        <v/>
      </c>
      <c r="AR982" s="37" t="str">
        <f>IF(最佳化斷筋點!S982="","",最佳化斷筋點!S982)</f>
        <v/>
      </c>
      <c r="AS982" s="37" t="str">
        <f>IF(最佳化斷筋點!T982="","",最佳化斷筋點!T982)</f>
        <v/>
      </c>
      <c r="AT982" s="37" t="str">
        <f>IF(最佳化斷筋點!U982="","",最佳化斷筋點!U982)</f>
        <v/>
      </c>
      <c r="AU982" s="37" t="str">
        <f>IF(最佳化斷筋點!V982="","",最佳化斷筋點!V982)</f>
        <v/>
      </c>
      <c r="AV982" s="37" t="str">
        <f>IF(最佳化斷筋點!W982="","",最佳化斷筋點!W982)</f>
        <v/>
      </c>
      <c r="AW982" s="37" t="str">
        <f>IF(最佳化斷筋點!X982="","",最佳化斷筋點!X982)</f>
        <v/>
      </c>
      <c r="AZ982" s="37" t="s">
        <v>197</v>
      </c>
      <c r="BA982" s="37" t="s">
        <v>197</v>
      </c>
      <c r="BB982" s="37" t="s">
        <v>197</v>
      </c>
      <c r="BC982" s="37" t="s">
        <v>197</v>
      </c>
      <c r="BD982" s="37" t="s">
        <v>197</v>
      </c>
      <c r="BE982" s="37" t="s">
        <v>197</v>
      </c>
      <c r="BF982" s="37" t="s">
        <v>197</v>
      </c>
      <c r="BG982" s="37" t="s">
        <v>197</v>
      </c>
      <c r="BH982" s="37" t="s">
        <v>197</v>
      </c>
      <c r="BI982" s="37" t="s">
        <v>197</v>
      </c>
      <c r="BJ982" s="37" t="s">
        <v>197</v>
      </c>
      <c r="BK982" s="37" t="s">
        <v>197</v>
      </c>
      <c r="BL982" s="37" t="s">
        <v>197</v>
      </c>
      <c r="BM982" s="37" t="s">
        <v>197</v>
      </c>
      <c r="BN982" s="37" t="s">
        <v>197</v>
      </c>
      <c r="BO982" s="37" t="s">
        <v>197</v>
      </c>
      <c r="BP982" s="37" t="s">
        <v>197</v>
      </c>
      <c r="BQ982" s="37" t="s">
        <v>197</v>
      </c>
      <c r="BR982" s="37" t="s">
        <v>197</v>
      </c>
      <c r="BS982" s="37" t="s">
        <v>197</v>
      </c>
      <c r="BT982" s="37" t="s">
        <v>197</v>
      </c>
    </row>
    <row r="983" spans="5:72" x14ac:dyDescent="0.25">
      <c r="E983" s="36" t="s">
        <v>20</v>
      </c>
      <c r="F983" s="36">
        <f t="shared" si="316"/>
        <v>0</v>
      </c>
      <c r="G983" s="36">
        <f t="shared" si="317"/>
        <v>0</v>
      </c>
      <c r="H983" s="36">
        <f t="shared" si="318"/>
        <v>0</v>
      </c>
      <c r="I983" s="36">
        <f t="shared" si="319"/>
        <v>0</v>
      </c>
      <c r="J983" s="36">
        <f t="shared" si="320"/>
        <v>0</v>
      </c>
      <c r="K983" s="36">
        <f t="shared" si="321"/>
        <v>0</v>
      </c>
      <c r="L983" s="36">
        <f t="shared" si="322"/>
        <v>0</v>
      </c>
      <c r="M983" s="36">
        <f t="shared" si="323"/>
        <v>0</v>
      </c>
      <c r="N983" s="36">
        <f t="shared" si="324"/>
        <v>0</v>
      </c>
      <c r="O983" s="36">
        <f t="shared" si="325"/>
        <v>0</v>
      </c>
      <c r="P983" s="36">
        <f t="shared" si="326"/>
        <v>0</v>
      </c>
      <c r="Q983" s="36">
        <f t="shared" si="327"/>
        <v>0</v>
      </c>
      <c r="R983" s="36">
        <f t="shared" si="328"/>
        <v>0</v>
      </c>
      <c r="S983" s="36">
        <f t="shared" si="329"/>
        <v>0</v>
      </c>
      <c r="T983" s="36">
        <f t="shared" si="330"/>
        <v>0</v>
      </c>
      <c r="U983" s="36">
        <f t="shared" si="331"/>
        <v>0</v>
      </c>
      <c r="V983" s="36">
        <f t="shared" si="332"/>
        <v>0</v>
      </c>
      <c r="W983" s="36">
        <f t="shared" si="333"/>
        <v>0</v>
      </c>
      <c r="X983" s="36">
        <f t="shared" si="334"/>
        <v>0</v>
      </c>
      <c r="Y983" s="36">
        <f t="shared" si="335"/>
        <v>0</v>
      </c>
      <c r="Z983" s="36">
        <f t="shared" si="336"/>
        <v>0</v>
      </c>
      <c r="AB983" s="36" t="str">
        <f>IF(最佳化斷筋點!C983="","",最佳化斷筋點!C983)</f>
        <v>上層</v>
      </c>
      <c r="AC983" s="37">
        <f>IF(最佳化斷筋點!D983="","",最佳化斷筋點!D983)</f>
        <v>7</v>
      </c>
      <c r="AD983" s="37">
        <f>IF(最佳化斷筋點!E983="","",最佳化斷筋點!E983)</f>
        <v>7</v>
      </c>
      <c r="AE983" s="37">
        <f>IF(最佳化斷筋點!F983="","",最佳化斷筋點!F983)</f>
        <v>7</v>
      </c>
      <c r="AF983" s="37">
        <f>IF(最佳化斷筋點!G983="","",最佳化斷筋點!G983)</f>
        <v>7</v>
      </c>
      <c r="AG983" s="37">
        <f>IF(最佳化斷筋點!H983="","",最佳化斷筋點!H983)</f>
        <v>7</v>
      </c>
      <c r="AH983" s="37">
        <f>IF(最佳化斷筋點!I983="","",最佳化斷筋點!I983)</f>
        <v>7</v>
      </c>
      <c r="AI983" s="37">
        <f>IF(最佳化斷筋點!J983="","",最佳化斷筋點!J983)</f>
        <v>7</v>
      </c>
      <c r="AJ983" s="37">
        <f>IF(最佳化斷筋點!K983="","",最佳化斷筋點!K983)</f>
        <v>3</v>
      </c>
      <c r="AK983" s="37">
        <f>IF(最佳化斷筋點!L983="","",最佳化斷筋點!L983)</f>
        <v>3</v>
      </c>
      <c r="AL983" s="37">
        <f>IF(最佳化斷筋點!M983="","",最佳化斷筋點!M983)</f>
        <v>3</v>
      </c>
      <c r="AM983" s="37">
        <f>IF(最佳化斷筋點!N983="","",最佳化斷筋點!N983)</f>
        <v>3</v>
      </c>
      <c r="AN983" s="37">
        <f>IF(最佳化斷筋點!O983="","",最佳化斷筋點!O983)</f>
        <v>3</v>
      </c>
      <c r="AO983" s="37">
        <f>IF(最佳化斷筋點!P983="","",最佳化斷筋點!P983)</f>
        <v>3</v>
      </c>
      <c r="AP983" s="37">
        <f>IF(最佳化斷筋點!Q983="","",最佳化斷筋點!Q983)</f>
        <v>8</v>
      </c>
      <c r="AQ983" s="37">
        <f>IF(最佳化斷筋點!R983="","",最佳化斷筋點!R983)</f>
        <v>9</v>
      </c>
      <c r="AR983" s="37">
        <f>IF(最佳化斷筋點!S983="","",最佳化斷筋點!S983)</f>
        <v>9</v>
      </c>
      <c r="AS983" s="37">
        <f>IF(最佳化斷筋點!T983="","",最佳化斷筋點!T983)</f>
        <v>9</v>
      </c>
      <c r="AT983" s="37">
        <f>IF(最佳化斷筋點!U983="","",最佳化斷筋點!U983)</f>
        <v>9</v>
      </c>
      <c r="AU983" s="37">
        <f>IF(最佳化斷筋點!V983="","",最佳化斷筋點!V983)</f>
        <v>9</v>
      </c>
      <c r="AV983" s="37">
        <f>IF(最佳化斷筋點!W983="","",最佳化斷筋點!W983)</f>
        <v>9</v>
      </c>
      <c r="AW983" s="37">
        <f>IF(最佳化斷筋點!X983="","",最佳化斷筋點!X983)</f>
        <v>9</v>
      </c>
      <c r="AZ983" s="37">
        <v>7</v>
      </c>
      <c r="BA983" s="37">
        <v>7</v>
      </c>
      <c r="BB983" s="37">
        <v>7</v>
      </c>
      <c r="BC983" s="37">
        <v>7</v>
      </c>
      <c r="BD983" s="37">
        <v>7</v>
      </c>
      <c r="BE983" s="37">
        <v>7</v>
      </c>
      <c r="BF983" s="37">
        <v>7</v>
      </c>
      <c r="BG983" s="37">
        <v>3</v>
      </c>
      <c r="BH983" s="37">
        <v>3</v>
      </c>
      <c r="BI983" s="37">
        <v>3</v>
      </c>
      <c r="BJ983" s="37">
        <v>3</v>
      </c>
      <c r="BK983" s="37">
        <v>3</v>
      </c>
      <c r="BL983" s="37">
        <v>3</v>
      </c>
      <c r="BM983" s="37">
        <v>8</v>
      </c>
      <c r="BN983" s="37">
        <v>9</v>
      </c>
      <c r="BO983" s="37">
        <v>9</v>
      </c>
      <c r="BP983" s="37">
        <v>9</v>
      </c>
      <c r="BQ983" s="37">
        <v>9</v>
      </c>
      <c r="BR983" s="37">
        <v>9</v>
      </c>
      <c r="BS983" s="37">
        <v>9</v>
      </c>
      <c r="BT983" s="37">
        <v>9</v>
      </c>
    </row>
    <row r="984" spans="5:72" x14ac:dyDescent="0.25">
      <c r="E984" s="36"/>
      <c r="F984" s="36">
        <f t="shared" si="316"/>
        <v>0</v>
      </c>
      <c r="G984" s="36">
        <f t="shared" si="317"/>
        <v>0</v>
      </c>
      <c r="H984" s="36">
        <f t="shared" si="318"/>
        <v>0</v>
      </c>
      <c r="I984" s="36">
        <f t="shared" si="319"/>
        <v>0</v>
      </c>
      <c r="J984" s="36">
        <f t="shared" si="320"/>
        <v>0</v>
      </c>
      <c r="K984" s="36">
        <f t="shared" si="321"/>
        <v>0</v>
      </c>
      <c r="L984" s="36">
        <f t="shared" si="322"/>
        <v>0</v>
      </c>
      <c r="M984" s="36">
        <f t="shared" si="323"/>
        <v>0</v>
      </c>
      <c r="N984" s="36">
        <f t="shared" si="324"/>
        <v>0</v>
      </c>
      <c r="O984" s="36">
        <f t="shared" si="325"/>
        <v>0</v>
      </c>
      <c r="P984" s="36">
        <f t="shared" si="326"/>
        <v>0</v>
      </c>
      <c r="Q984" s="36">
        <f t="shared" si="327"/>
        <v>0</v>
      </c>
      <c r="R984" s="36">
        <f t="shared" si="328"/>
        <v>0</v>
      </c>
      <c r="S984" s="36">
        <f t="shared" si="329"/>
        <v>0</v>
      </c>
      <c r="T984" s="36">
        <f t="shared" si="330"/>
        <v>0</v>
      </c>
      <c r="U984" s="36">
        <f t="shared" si="331"/>
        <v>0</v>
      </c>
      <c r="V984" s="36">
        <f t="shared" si="332"/>
        <v>0</v>
      </c>
      <c r="W984" s="36">
        <f t="shared" si="333"/>
        <v>0</v>
      </c>
      <c r="X984" s="36">
        <f t="shared" si="334"/>
        <v>0</v>
      </c>
      <c r="Y984" s="36">
        <f t="shared" si="335"/>
        <v>0</v>
      </c>
      <c r="Z984" s="36">
        <f t="shared" si="336"/>
        <v>0</v>
      </c>
      <c r="AB984" s="36" t="str">
        <f>IF(最佳化斷筋點!C984="","",最佳化斷筋點!C984)</f>
        <v/>
      </c>
      <c r="AC984" s="37" t="str">
        <f>IF(最佳化斷筋點!D984="","",最佳化斷筋點!D984)</f>
        <v/>
      </c>
      <c r="AD984" s="37" t="str">
        <f>IF(最佳化斷筋點!E984="","",最佳化斷筋點!E984)</f>
        <v/>
      </c>
      <c r="AE984" s="37" t="str">
        <f>IF(最佳化斷筋點!F984="","",最佳化斷筋點!F984)</f>
        <v/>
      </c>
      <c r="AF984" s="37" t="str">
        <f>IF(最佳化斷筋點!G984="","",最佳化斷筋點!G984)</f>
        <v/>
      </c>
      <c r="AG984" s="37" t="str">
        <f>IF(最佳化斷筋點!H984="","",最佳化斷筋點!H984)</f>
        <v/>
      </c>
      <c r="AH984" s="37" t="str">
        <f>IF(最佳化斷筋點!I984="","",最佳化斷筋點!I984)</f>
        <v/>
      </c>
      <c r="AI984" s="37" t="str">
        <f>IF(最佳化斷筋點!J984="","",最佳化斷筋點!J984)</f>
        <v/>
      </c>
      <c r="AJ984" s="37" t="str">
        <f>IF(最佳化斷筋點!K984="","",最佳化斷筋點!K984)</f>
        <v/>
      </c>
      <c r="AK984" s="37" t="str">
        <f>IF(最佳化斷筋點!L984="","",最佳化斷筋點!L984)</f>
        <v/>
      </c>
      <c r="AL984" s="37" t="str">
        <f>IF(最佳化斷筋點!M984="","",最佳化斷筋點!M984)</f>
        <v/>
      </c>
      <c r="AM984" s="37" t="str">
        <f>IF(最佳化斷筋點!N984="","",最佳化斷筋點!N984)</f>
        <v/>
      </c>
      <c r="AN984" s="37" t="str">
        <f>IF(最佳化斷筋點!O984="","",最佳化斷筋點!O984)</f>
        <v/>
      </c>
      <c r="AO984" s="37" t="str">
        <f>IF(最佳化斷筋點!P984="","",最佳化斷筋點!P984)</f>
        <v/>
      </c>
      <c r="AP984" s="37" t="str">
        <f>IF(最佳化斷筋點!Q984="","",最佳化斷筋點!Q984)</f>
        <v/>
      </c>
      <c r="AQ984" s="37" t="str">
        <f>IF(最佳化斷筋點!R984="","",最佳化斷筋點!R984)</f>
        <v/>
      </c>
      <c r="AR984" s="37" t="str">
        <f>IF(最佳化斷筋點!S984="","",最佳化斷筋點!S984)</f>
        <v/>
      </c>
      <c r="AS984" s="37" t="str">
        <f>IF(最佳化斷筋點!T984="","",最佳化斷筋點!T984)</f>
        <v/>
      </c>
      <c r="AT984" s="37" t="str">
        <f>IF(最佳化斷筋點!U984="","",最佳化斷筋點!U984)</f>
        <v/>
      </c>
      <c r="AU984" s="37" t="str">
        <f>IF(最佳化斷筋點!V984="","",最佳化斷筋點!V984)</f>
        <v/>
      </c>
      <c r="AV984" s="37" t="str">
        <f>IF(最佳化斷筋點!W984="","",最佳化斷筋點!W984)</f>
        <v/>
      </c>
      <c r="AW984" s="37" t="str">
        <f>IF(最佳化斷筋點!X984="","",最佳化斷筋點!X984)</f>
        <v/>
      </c>
      <c r="AZ984" s="37" t="s">
        <v>197</v>
      </c>
      <c r="BA984" s="37" t="s">
        <v>197</v>
      </c>
      <c r="BB984" s="37" t="s">
        <v>197</v>
      </c>
      <c r="BC984" s="37" t="s">
        <v>197</v>
      </c>
      <c r="BD984" s="37" t="s">
        <v>197</v>
      </c>
      <c r="BE984" s="37" t="s">
        <v>197</v>
      </c>
      <c r="BF984" s="37" t="s">
        <v>197</v>
      </c>
      <c r="BG984" s="37" t="s">
        <v>197</v>
      </c>
      <c r="BH984" s="37" t="s">
        <v>197</v>
      </c>
      <c r="BI984" s="37" t="s">
        <v>197</v>
      </c>
      <c r="BJ984" s="37" t="s">
        <v>197</v>
      </c>
      <c r="BK984" s="37" t="s">
        <v>197</v>
      </c>
      <c r="BL984" s="37" t="s">
        <v>197</v>
      </c>
      <c r="BM984" s="37" t="s">
        <v>197</v>
      </c>
      <c r="BN984" s="37" t="s">
        <v>197</v>
      </c>
      <c r="BO984" s="37" t="s">
        <v>197</v>
      </c>
      <c r="BP984" s="37" t="s">
        <v>197</v>
      </c>
      <c r="BQ984" s="37" t="s">
        <v>197</v>
      </c>
      <c r="BR984" s="37" t="s">
        <v>197</v>
      </c>
      <c r="BS984" s="37" t="s">
        <v>197</v>
      </c>
      <c r="BT984" s="37" t="s">
        <v>197</v>
      </c>
    </row>
    <row r="985" spans="5:72" x14ac:dyDescent="0.25">
      <c r="E985" s="36" t="s">
        <v>21</v>
      </c>
      <c r="F985" s="36">
        <f t="shared" si="316"/>
        <v>0</v>
      </c>
      <c r="G985" s="36">
        <f t="shared" si="317"/>
        <v>0</v>
      </c>
      <c r="H985" s="36">
        <f t="shared" si="318"/>
        <v>0</v>
      </c>
      <c r="I985" s="36">
        <f t="shared" si="319"/>
        <v>0</v>
      </c>
      <c r="J985" s="36">
        <f t="shared" si="320"/>
        <v>0</v>
      </c>
      <c r="K985" s="36">
        <f t="shared" si="321"/>
        <v>0</v>
      </c>
      <c r="L985" s="36">
        <f t="shared" si="322"/>
        <v>0</v>
      </c>
      <c r="M985" s="36">
        <f t="shared" si="323"/>
        <v>0</v>
      </c>
      <c r="N985" s="36">
        <f t="shared" si="324"/>
        <v>0</v>
      </c>
      <c r="O985" s="36">
        <f t="shared" si="325"/>
        <v>0</v>
      </c>
      <c r="P985" s="36">
        <f t="shared" si="326"/>
        <v>0</v>
      </c>
      <c r="Q985" s="36">
        <f t="shared" si="327"/>
        <v>0</v>
      </c>
      <c r="R985" s="36">
        <f t="shared" si="328"/>
        <v>0</v>
      </c>
      <c r="S985" s="36">
        <f t="shared" si="329"/>
        <v>0</v>
      </c>
      <c r="T985" s="36">
        <f t="shared" si="330"/>
        <v>0</v>
      </c>
      <c r="U985" s="36">
        <f t="shared" si="331"/>
        <v>0</v>
      </c>
      <c r="V985" s="36">
        <f t="shared" si="332"/>
        <v>0</v>
      </c>
      <c r="W985" s="36">
        <f t="shared" si="333"/>
        <v>0</v>
      </c>
      <c r="X985" s="36">
        <f t="shared" si="334"/>
        <v>0</v>
      </c>
      <c r="Y985" s="36">
        <f t="shared" si="335"/>
        <v>0</v>
      </c>
      <c r="Z985" s="36">
        <f t="shared" si="336"/>
        <v>0</v>
      </c>
      <c r="AB985" s="36" t="str">
        <f>IF(最佳化斷筋點!C985="","",最佳化斷筋點!C985)</f>
        <v>下層</v>
      </c>
      <c r="AC985" s="37">
        <f>IF(最佳化斷筋點!D985="","",最佳化斷筋點!D985)</f>
        <v>12</v>
      </c>
      <c r="AD985" s="37">
        <f>IF(最佳化斷筋點!E985="","",最佳化斷筋點!E985)</f>
        <v>12</v>
      </c>
      <c r="AE985" s="37">
        <f>IF(最佳化斷筋點!F985="","",最佳化斷筋點!F985)</f>
        <v>12</v>
      </c>
      <c r="AF985" s="37">
        <f>IF(最佳化斷筋點!G985="","",最佳化斷筋點!G985)</f>
        <v>12</v>
      </c>
      <c r="AG985" s="37">
        <f>IF(最佳化斷筋點!H985="","",最佳化斷筋點!H985)</f>
        <v>12</v>
      </c>
      <c r="AH985" s="37">
        <f>IF(最佳化斷筋點!I985="","",最佳化斷筋點!I985)</f>
        <v>11</v>
      </c>
      <c r="AI985" s="37">
        <f>IF(最佳化斷筋點!J985="","",最佳化斷筋點!J985)</f>
        <v>10</v>
      </c>
      <c r="AJ985" s="37">
        <f>IF(最佳化斷筋點!K985="","",最佳化斷筋點!K985)</f>
        <v>5</v>
      </c>
      <c r="AK985" s="37">
        <f>IF(最佳化斷筋點!L985="","",最佳化斷筋點!L985)</f>
        <v>5</v>
      </c>
      <c r="AL985" s="37">
        <f>IF(最佳化斷筋點!M985="","",最佳化斷筋點!M985)</f>
        <v>5</v>
      </c>
      <c r="AM985" s="37">
        <f>IF(最佳化斷筋點!N985="","",最佳化斷筋點!N985)</f>
        <v>5</v>
      </c>
      <c r="AN985" s="37">
        <f>IF(最佳化斷筋點!O985="","",最佳化斷筋點!O985)</f>
        <v>5</v>
      </c>
      <c r="AO985" s="37">
        <f>IF(最佳化斷筋點!P985="","",最佳化斷筋點!P985)</f>
        <v>5</v>
      </c>
      <c r="AP985" s="37">
        <f>IF(最佳化斷筋點!Q985="","",最佳化斷筋點!Q985)</f>
        <v>7</v>
      </c>
      <c r="AQ985" s="37">
        <f>IF(最佳化斷筋點!R985="","",最佳化斷筋點!R985)</f>
        <v>8</v>
      </c>
      <c r="AR985" s="37">
        <f>IF(最佳化斷筋點!S985="","",最佳化斷筋點!S985)</f>
        <v>9</v>
      </c>
      <c r="AS985" s="37">
        <f>IF(最佳化斷筋點!T985="","",最佳化斷筋點!T985)</f>
        <v>10</v>
      </c>
      <c r="AT985" s="37">
        <f>IF(最佳化斷筋點!U985="","",最佳化斷筋點!U985)</f>
        <v>10</v>
      </c>
      <c r="AU985" s="37">
        <f>IF(最佳化斷筋點!V985="","",最佳化斷筋點!V985)</f>
        <v>10</v>
      </c>
      <c r="AV985" s="37">
        <f>IF(最佳化斷筋點!W985="","",最佳化斷筋點!W985)</f>
        <v>10</v>
      </c>
      <c r="AW985" s="37">
        <f>IF(最佳化斷筋點!X985="","",最佳化斷筋點!X985)</f>
        <v>10</v>
      </c>
      <c r="AZ985" s="37">
        <v>12</v>
      </c>
      <c r="BA985" s="37">
        <v>12</v>
      </c>
      <c r="BB985" s="37">
        <v>12</v>
      </c>
      <c r="BC985" s="37">
        <v>12</v>
      </c>
      <c r="BD985" s="37">
        <v>12</v>
      </c>
      <c r="BE985" s="37">
        <v>11</v>
      </c>
      <c r="BF985" s="37">
        <v>10</v>
      </c>
      <c r="BG985" s="37">
        <v>5</v>
      </c>
      <c r="BH985" s="37">
        <v>5</v>
      </c>
      <c r="BI985" s="37">
        <v>5</v>
      </c>
      <c r="BJ985" s="37">
        <v>5</v>
      </c>
      <c r="BK985" s="37">
        <v>5</v>
      </c>
      <c r="BL985" s="37">
        <v>5</v>
      </c>
      <c r="BM985" s="37">
        <v>7</v>
      </c>
      <c r="BN985" s="37">
        <v>8</v>
      </c>
      <c r="BO985" s="37">
        <v>9</v>
      </c>
      <c r="BP985" s="37">
        <v>10</v>
      </c>
      <c r="BQ985" s="37">
        <v>10</v>
      </c>
      <c r="BR985" s="37">
        <v>10</v>
      </c>
      <c r="BS985" s="37">
        <v>10</v>
      </c>
      <c r="BT985" s="37">
        <v>10</v>
      </c>
    </row>
    <row r="986" spans="5:72" x14ac:dyDescent="0.25">
      <c r="E986" s="36"/>
      <c r="F986" s="36">
        <f t="shared" si="316"/>
        <v>0</v>
      </c>
      <c r="G986" s="36">
        <f t="shared" si="317"/>
        <v>0</v>
      </c>
      <c r="H986" s="36">
        <f t="shared" si="318"/>
        <v>0</v>
      </c>
      <c r="I986" s="36">
        <f t="shared" si="319"/>
        <v>0</v>
      </c>
      <c r="J986" s="36">
        <f t="shared" si="320"/>
        <v>0</v>
      </c>
      <c r="K986" s="36">
        <f t="shared" si="321"/>
        <v>0</v>
      </c>
      <c r="L986" s="36">
        <f t="shared" si="322"/>
        <v>0</v>
      </c>
      <c r="M986" s="36">
        <f t="shared" si="323"/>
        <v>0</v>
      </c>
      <c r="N986" s="36">
        <f t="shared" si="324"/>
        <v>0</v>
      </c>
      <c r="O986" s="36">
        <f t="shared" si="325"/>
        <v>0</v>
      </c>
      <c r="P986" s="36">
        <f t="shared" si="326"/>
        <v>0</v>
      </c>
      <c r="Q986" s="36">
        <f t="shared" si="327"/>
        <v>0</v>
      </c>
      <c r="R986" s="36">
        <f t="shared" si="328"/>
        <v>0</v>
      </c>
      <c r="S986" s="36">
        <f t="shared" si="329"/>
        <v>0</v>
      </c>
      <c r="T986" s="36">
        <f t="shared" si="330"/>
        <v>0</v>
      </c>
      <c r="U986" s="36">
        <f t="shared" si="331"/>
        <v>0</v>
      </c>
      <c r="V986" s="36">
        <f t="shared" si="332"/>
        <v>0</v>
      </c>
      <c r="W986" s="36">
        <f t="shared" si="333"/>
        <v>0</v>
      </c>
      <c r="X986" s="36">
        <f t="shared" si="334"/>
        <v>0</v>
      </c>
      <c r="Y986" s="36">
        <f t="shared" si="335"/>
        <v>0</v>
      </c>
      <c r="Z986" s="36">
        <f t="shared" si="336"/>
        <v>0</v>
      </c>
      <c r="AB986" s="36" t="str">
        <f>IF(最佳化斷筋點!C986="","",最佳化斷筋點!C986)</f>
        <v/>
      </c>
      <c r="AC986" s="37" t="str">
        <f>IF(最佳化斷筋點!D986="","",最佳化斷筋點!D986)</f>
        <v/>
      </c>
      <c r="AD986" s="37" t="str">
        <f>IF(最佳化斷筋點!E986="","",最佳化斷筋點!E986)</f>
        <v/>
      </c>
      <c r="AE986" s="37" t="str">
        <f>IF(最佳化斷筋點!F986="","",最佳化斷筋點!F986)</f>
        <v/>
      </c>
      <c r="AF986" s="37" t="str">
        <f>IF(最佳化斷筋點!G986="","",最佳化斷筋點!G986)</f>
        <v/>
      </c>
      <c r="AG986" s="37" t="str">
        <f>IF(最佳化斷筋點!H986="","",最佳化斷筋點!H986)</f>
        <v/>
      </c>
      <c r="AH986" s="37" t="str">
        <f>IF(最佳化斷筋點!I986="","",最佳化斷筋點!I986)</f>
        <v/>
      </c>
      <c r="AI986" s="37" t="str">
        <f>IF(最佳化斷筋點!J986="","",最佳化斷筋點!J986)</f>
        <v/>
      </c>
      <c r="AJ986" s="37" t="str">
        <f>IF(最佳化斷筋點!K986="","",最佳化斷筋點!K986)</f>
        <v/>
      </c>
      <c r="AK986" s="37" t="str">
        <f>IF(最佳化斷筋點!L986="","",最佳化斷筋點!L986)</f>
        <v/>
      </c>
      <c r="AL986" s="37" t="str">
        <f>IF(最佳化斷筋點!M986="","",最佳化斷筋點!M986)</f>
        <v/>
      </c>
      <c r="AM986" s="37" t="str">
        <f>IF(最佳化斷筋點!N986="","",最佳化斷筋點!N986)</f>
        <v/>
      </c>
      <c r="AN986" s="37" t="str">
        <f>IF(最佳化斷筋點!O986="","",最佳化斷筋點!O986)</f>
        <v/>
      </c>
      <c r="AO986" s="37" t="str">
        <f>IF(最佳化斷筋點!P986="","",最佳化斷筋點!P986)</f>
        <v/>
      </c>
      <c r="AP986" s="37" t="str">
        <f>IF(最佳化斷筋點!Q986="","",最佳化斷筋點!Q986)</f>
        <v/>
      </c>
      <c r="AQ986" s="37" t="str">
        <f>IF(最佳化斷筋點!R986="","",最佳化斷筋點!R986)</f>
        <v/>
      </c>
      <c r="AR986" s="37" t="str">
        <f>IF(最佳化斷筋點!S986="","",最佳化斷筋點!S986)</f>
        <v/>
      </c>
      <c r="AS986" s="37" t="str">
        <f>IF(最佳化斷筋點!T986="","",最佳化斷筋點!T986)</f>
        <v/>
      </c>
      <c r="AT986" s="37" t="str">
        <f>IF(最佳化斷筋點!U986="","",最佳化斷筋點!U986)</f>
        <v/>
      </c>
      <c r="AU986" s="37" t="str">
        <f>IF(最佳化斷筋點!V986="","",最佳化斷筋點!V986)</f>
        <v/>
      </c>
      <c r="AV986" s="37" t="str">
        <f>IF(最佳化斷筋點!W986="","",最佳化斷筋點!W986)</f>
        <v/>
      </c>
      <c r="AW986" s="37" t="str">
        <f>IF(最佳化斷筋點!X986="","",最佳化斷筋點!X986)</f>
        <v/>
      </c>
      <c r="AZ986" s="37" t="s">
        <v>197</v>
      </c>
      <c r="BA986" s="37" t="s">
        <v>197</v>
      </c>
      <c r="BB986" s="37" t="s">
        <v>197</v>
      </c>
      <c r="BC986" s="37" t="s">
        <v>197</v>
      </c>
      <c r="BD986" s="37" t="s">
        <v>197</v>
      </c>
      <c r="BE986" s="37" t="s">
        <v>197</v>
      </c>
      <c r="BF986" s="37" t="s">
        <v>197</v>
      </c>
      <c r="BG986" s="37" t="s">
        <v>197</v>
      </c>
      <c r="BH986" s="37" t="s">
        <v>197</v>
      </c>
      <c r="BI986" s="37" t="s">
        <v>197</v>
      </c>
      <c r="BJ986" s="37" t="s">
        <v>197</v>
      </c>
      <c r="BK986" s="37" t="s">
        <v>197</v>
      </c>
      <c r="BL986" s="37" t="s">
        <v>197</v>
      </c>
      <c r="BM986" s="37" t="s">
        <v>197</v>
      </c>
      <c r="BN986" s="37" t="s">
        <v>197</v>
      </c>
      <c r="BO986" s="37" t="s">
        <v>197</v>
      </c>
      <c r="BP986" s="37" t="s">
        <v>197</v>
      </c>
      <c r="BQ986" s="37" t="s">
        <v>197</v>
      </c>
      <c r="BR986" s="37" t="s">
        <v>197</v>
      </c>
      <c r="BS986" s="37" t="s">
        <v>197</v>
      </c>
      <c r="BT986" s="37" t="s">
        <v>197</v>
      </c>
    </row>
    <row r="987" spans="5:72" x14ac:dyDescent="0.25">
      <c r="E987" s="36" t="s">
        <v>20</v>
      </c>
      <c r="F987" s="36">
        <f t="shared" si="316"/>
        <v>0</v>
      </c>
      <c r="G987" s="36">
        <f t="shared" si="317"/>
        <v>0</v>
      </c>
      <c r="H987" s="36">
        <f t="shared" si="318"/>
        <v>0</v>
      </c>
      <c r="I987" s="36">
        <f t="shared" si="319"/>
        <v>0</v>
      </c>
      <c r="J987" s="36">
        <f t="shared" si="320"/>
        <v>0</v>
      </c>
      <c r="K987" s="36">
        <f t="shared" si="321"/>
        <v>0</v>
      </c>
      <c r="L987" s="36">
        <f t="shared" si="322"/>
        <v>0</v>
      </c>
      <c r="M987" s="36">
        <f t="shared" si="323"/>
        <v>0</v>
      </c>
      <c r="N987" s="36">
        <f t="shared" si="324"/>
        <v>0</v>
      </c>
      <c r="O987" s="36">
        <f t="shared" si="325"/>
        <v>0</v>
      </c>
      <c r="P987" s="36">
        <f t="shared" si="326"/>
        <v>0</v>
      </c>
      <c r="Q987" s="36">
        <f t="shared" si="327"/>
        <v>0</v>
      </c>
      <c r="R987" s="36">
        <f t="shared" si="328"/>
        <v>0</v>
      </c>
      <c r="S987" s="36">
        <f t="shared" si="329"/>
        <v>0</v>
      </c>
      <c r="T987" s="36">
        <f t="shared" si="330"/>
        <v>0</v>
      </c>
      <c r="U987" s="36">
        <f t="shared" si="331"/>
        <v>0</v>
      </c>
      <c r="V987" s="36">
        <f t="shared" si="332"/>
        <v>0</v>
      </c>
      <c r="W987" s="36">
        <f t="shared" si="333"/>
        <v>0</v>
      </c>
      <c r="X987" s="36">
        <f t="shared" si="334"/>
        <v>0</v>
      </c>
      <c r="Y987" s="36">
        <f t="shared" si="335"/>
        <v>0</v>
      </c>
      <c r="Z987" s="36">
        <f t="shared" si="336"/>
        <v>0</v>
      </c>
      <c r="AB987" s="36" t="str">
        <f>IF(最佳化斷筋點!C987="","",最佳化斷筋點!C987)</f>
        <v>上層</v>
      </c>
      <c r="AC987" s="37">
        <f>IF(最佳化斷筋點!D987="","",最佳化斷筋點!D987)</f>
        <v>8</v>
      </c>
      <c r="AD987" s="37">
        <f>IF(最佳化斷筋點!E987="","",最佳化斷筋點!E987)</f>
        <v>8</v>
      </c>
      <c r="AE987" s="37">
        <f>IF(最佳化斷筋點!F987="","",最佳化斷筋點!F987)</f>
        <v>8</v>
      </c>
      <c r="AF987" s="37">
        <f>IF(最佳化斷筋點!G987="","",最佳化斷筋點!G987)</f>
        <v>8</v>
      </c>
      <c r="AG987" s="37">
        <f>IF(最佳化斷筋點!H987="","",最佳化斷筋點!H987)</f>
        <v>8</v>
      </c>
      <c r="AH987" s="37">
        <f>IF(最佳化斷筋點!I987="","",最佳化斷筋點!I987)</f>
        <v>7</v>
      </c>
      <c r="AI987" s="37">
        <f>IF(最佳化斷筋點!J987="","",最佳化斷筋點!J987)</f>
        <v>6</v>
      </c>
      <c r="AJ987" s="37">
        <f>IF(最佳化斷筋點!K987="","",最佳化斷筋點!K987)</f>
        <v>3</v>
      </c>
      <c r="AK987" s="37">
        <f>IF(最佳化斷筋點!L987="","",最佳化斷筋點!L987)</f>
        <v>3</v>
      </c>
      <c r="AL987" s="37">
        <f>IF(最佳化斷筋點!M987="","",最佳化斷筋點!M987)</f>
        <v>3</v>
      </c>
      <c r="AM987" s="37">
        <f>IF(最佳化斷筋點!N987="","",最佳化斷筋點!N987)</f>
        <v>3</v>
      </c>
      <c r="AN987" s="37">
        <f>IF(最佳化斷筋點!O987="","",最佳化斷筋點!O987)</f>
        <v>3</v>
      </c>
      <c r="AO987" s="37">
        <f>IF(最佳化斷筋點!P987="","",最佳化斷筋點!P987)</f>
        <v>3</v>
      </c>
      <c r="AP987" s="37">
        <f>IF(最佳化斷筋點!Q987="","",最佳化斷筋點!Q987)</f>
        <v>5</v>
      </c>
      <c r="AQ987" s="37">
        <f>IF(最佳化斷筋點!R987="","",最佳化斷筋點!R987)</f>
        <v>6</v>
      </c>
      <c r="AR987" s="37">
        <f>IF(最佳化斷筋點!S987="","",最佳化斷筋點!S987)</f>
        <v>6</v>
      </c>
      <c r="AS987" s="37">
        <f>IF(最佳化斷筋點!T987="","",最佳化斷筋點!T987)</f>
        <v>7</v>
      </c>
      <c r="AT987" s="37">
        <f>IF(最佳化斷筋點!U987="","",最佳化斷筋點!U987)</f>
        <v>8</v>
      </c>
      <c r="AU987" s="37">
        <f>IF(最佳化斷筋點!V987="","",最佳化斷筋點!V987)</f>
        <v>8</v>
      </c>
      <c r="AV987" s="37">
        <f>IF(最佳化斷筋點!W987="","",最佳化斷筋點!W987)</f>
        <v>8</v>
      </c>
      <c r="AW987" s="37">
        <f>IF(最佳化斷筋點!X987="","",最佳化斷筋點!X987)</f>
        <v>8</v>
      </c>
      <c r="AZ987" s="37">
        <v>8</v>
      </c>
      <c r="BA987" s="37">
        <v>8</v>
      </c>
      <c r="BB987" s="37">
        <v>8</v>
      </c>
      <c r="BC987" s="37">
        <v>8</v>
      </c>
      <c r="BD987" s="37">
        <v>8</v>
      </c>
      <c r="BE987" s="37">
        <v>7</v>
      </c>
      <c r="BF987" s="37">
        <v>6</v>
      </c>
      <c r="BG987" s="37">
        <v>3</v>
      </c>
      <c r="BH987" s="37">
        <v>3</v>
      </c>
      <c r="BI987" s="37">
        <v>3</v>
      </c>
      <c r="BJ987" s="37">
        <v>3</v>
      </c>
      <c r="BK987" s="37">
        <v>3</v>
      </c>
      <c r="BL987" s="37">
        <v>3</v>
      </c>
      <c r="BM987" s="37">
        <v>5</v>
      </c>
      <c r="BN987" s="37">
        <v>6</v>
      </c>
      <c r="BO987" s="37">
        <v>6</v>
      </c>
      <c r="BP987" s="37">
        <v>7</v>
      </c>
      <c r="BQ987" s="37">
        <v>8</v>
      </c>
      <c r="BR987" s="37">
        <v>8</v>
      </c>
      <c r="BS987" s="37">
        <v>8</v>
      </c>
      <c r="BT987" s="37">
        <v>8</v>
      </c>
    </row>
    <row r="988" spans="5:72" x14ac:dyDescent="0.25">
      <c r="E988" s="36"/>
      <c r="F988" s="36">
        <f t="shared" si="316"/>
        <v>0</v>
      </c>
      <c r="G988" s="36">
        <f t="shared" si="317"/>
        <v>0</v>
      </c>
      <c r="H988" s="36">
        <f t="shared" si="318"/>
        <v>0</v>
      </c>
      <c r="I988" s="36">
        <f t="shared" si="319"/>
        <v>0</v>
      </c>
      <c r="J988" s="36">
        <f t="shared" si="320"/>
        <v>0</v>
      </c>
      <c r="K988" s="36">
        <f t="shared" si="321"/>
        <v>0</v>
      </c>
      <c r="L988" s="36">
        <f t="shared" si="322"/>
        <v>0</v>
      </c>
      <c r="M988" s="36">
        <f t="shared" si="323"/>
        <v>0</v>
      </c>
      <c r="N988" s="36">
        <f t="shared" si="324"/>
        <v>0</v>
      </c>
      <c r="O988" s="36">
        <f t="shared" si="325"/>
        <v>0</v>
      </c>
      <c r="P988" s="36">
        <f t="shared" si="326"/>
        <v>0</v>
      </c>
      <c r="Q988" s="36">
        <f t="shared" si="327"/>
        <v>0</v>
      </c>
      <c r="R988" s="36">
        <f t="shared" si="328"/>
        <v>0</v>
      </c>
      <c r="S988" s="36">
        <f t="shared" si="329"/>
        <v>0</v>
      </c>
      <c r="T988" s="36">
        <f t="shared" si="330"/>
        <v>0</v>
      </c>
      <c r="U988" s="36">
        <f t="shared" si="331"/>
        <v>0</v>
      </c>
      <c r="V988" s="36">
        <f t="shared" si="332"/>
        <v>0</v>
      </c>
      <c r="W988" s="36">
        <f t="shared" si="333"/>
        <v>0</v>
      </c>
      <c r="X988" s="36">
        <f t="shared" si="334"/>
        <v>0</v>
      </c>
      <c r="Y988" s="36">
        <f t="shared" si="335"/>
        <v>0</v>
      </c>
      <c r="Z988" s="36">
        <f t="shared" si="336"/>
        <v>0</v>
      </c>
      <c r="AB988" s="36" t="str">
        <f>IF(最佳化斷筋點!C988="","",最佳化斷筋點!C988)</f>
        <v/>
      </c>
      <c r="AC988" s="37" t="str">
        <f>IF(最佳化斷筋點!D988="","",最佳化斷筋點!D988)</f>
        <v/>
      </c>
      <c r="AD988" s="37" t="str">
        <f>IF(最佳化斷筋點!E988="","",最佳化斷筋點!E988)</f>
        <v/>
      </c>
      <c r="AE988" s="37" t="str">
        <f>IF(最佳化斷筋點!F988="","",最佳化斷筋點!F988)</f>
        <v/>
      </c>
      <c r="AF988" s="37" t="str">
        <f>IF(最佳化斷筋點!G988="","",最佳化斷筋點!G988)</f>
        <v/>
      </c>
      <c r="AG988" s="37" t="str">
        <f>IF(最佳化斷筋點!H988="","",最佳化斷筋點!H988)</f>
        <v/>
      </c>
      <c r="AH988" s="37" t="str">
        <f>IF(最佳化斷筋點!I988="","",最佳化斷筋點!I988)</f>
        <v/>
      </c>
      <c r="AI988" s="37" t="str">
        <f>IF(最佳化斷筋點!J988="","",最佳化斷筋點!J988)</f>
        <v/>
      </c>
      <c r="AJ988" s="37" t="str">
        <f>IF(最佳化斷筋點!K988="","",最佳化斷筋點!K988)</f>
        <v/>
      </c>
      <c r="AK988" s="37" t="str">
        <f>IF(最佳化斷筋點!L988="","",最佳化斷筋點!L988)</f>
        <v/>
      </c>
      <c r="AL988" s="37" t="str">
        <f>IF(最佳化斷筋點!M988="","",最佳化斷筋點!M988)</f>
        <v/>
      </c>
      <c r="AM988" s="37" t="str">
        <f>IF(最佳化斷筋點!N988="","",最佳化斷筋點!N988)</f>
        <v/>
      </c>
      <c r="AN988" s="37" t="str">
        <f>IF(最佳化斷筋點!O988="","",最佳化斷筋點!O988)</f>
        <v/>
      </c>
      <c r="AO988" s="37" t="str">
        <f>IF(最佳化斷筋點!P988="","",最佳化斷筋點!P988)</f>
        <v/>
      </c>
      <c r="AP988" s="37" t="str">
        <f>IF(最佳化斷筋點!Q988="","",最佳化斷筋點!Q988)</f>
        <v/>
      </c>
      <c r="AQ988" s="37" t="str">
        <f>IF(最佳化斷筋點!R988="","",最佳化斷筋點!R988)</f>
        <v/>
      </c>
      <c r="AR988" s="37" t="str">
        <f>IF(最佳化斷筋點!S988="","",最佳化斷筋點!S988)</f>
        <v/>
      </c>
      <c r="AS988" s="37" t="str">
        <f>IF(最佳化斷筋點!T988="","",最佳化斷筋點!T988)</f>
        <v/>
      </c>
      <c r="AT988" s="37" t="str">
        <f>IF(最佳化斷筋點!U988="","",最佳化斷筋點!U988)</f>
        <v/>
      </c>
      <c r="AU988" s="37" t="str">
        <f>IF(最佳化斷筋點!V988="","",最佳化斷筋點!V988)</f>
        <v/>
      </c>
      <c r="AV988" s="37" t="str">
        <f>IF(最佳化斷筋點!W988="","",最佳化斷筋點!W988)</f>
        <v/>
      </c>
      <c r="AW988" s="37" t="str">
        <f>IF(最佳化斷筋點!X988="","",最佳化斷筋點!X988)</f>
        <v/>
      </c>
      <c r="AZ988" s="37" t="s">
        <v>197</v>
      </c>
      <c r="BA988" s="37" t="s">
        <v>197</v>
      </c>
      <c r="BB988" s="37" t="s">
        <v>197</v>
      </c>
      <c r="BC988" s="37" t="s">
        <v>197</v>
      </c>
      <c r="BD988" s="37" t="s">
        <v>197</v>
      </c>
      <c r="BE988" s="37" t="s">
        <v>197</v>
      </c>
      <c r="BF988" s="37" t="s">
        <v>197</v>
      </c>
      <c r="BG988" s="37" t="s">
        <v>197</v>
      </c>
      <c r="BH988" s="37" t="s">
        <v>197</v>
      </c>
      <c r="BI988" s="37" t="s">
        <v>197</v>
      </c>
      <c r="BJ988" s="37" t="s">
        <v>197</v>
      </c>
      <c r="BK988" s="37" t="s">
        <v>197</v>
      </c>
      <c r="BL988" s="37" t="s">
        <v>197</v>
      </c>
      <c r="BM988" s="37" t="s">
        <v>197</v>
      </c>
      <c r="BN988" s="37" t="s">
        <v>197</v>
      </c>
      <c r="BO988" s="37" t="s">
        <v>197</v>
      </c>
      <c r="BP988" s="37" t="s">
        <v>197</v>
      </c>
      <c r="BQ988" s="37" t="s">
        <v>197</v>
      </c>
      <c r="BR988" s="37" t="s">
        <v>197</v>
      </c>
      <c r="BS988" s="37" t="s">
        <v>197</v>
      </c>
      <c r="BT988" s="37" t="s">
        <v>197</v>
      </c>
    </row>
    <row r="989" spans="5:72" x14ac:dyDescent="0.25">
      <c r="E989" s="36" t="s">
        <v>21</v>
      </c>
      <c r="F989" s="36">
        <f t="shared" si="316"/>
        <v>0</v>
      </c>
      <c r="G989" s="36">
        <f t="shared" si="317"/>
        <v>0</v>
      </c>
      <c r="H989" s="36">
        <f t="shared" si="318"/>
        <v>0</v>
      </c>
      <c r="I989" s="36">
        <f t="shared" si="319"/>
        <v>0</v>
      </c>
      <c r="J989" s="36">
        <f t="shared" si="320"/>
        <v>0</v>
      </c>
      <c r="K989" s="36">
        <f t="shared" si="321"/>
        <v>0</v>
      </c>
      <c r="L989" s="36">
        <f t="shared" si="322"/>
        <v>0</v>
      </c>
      <c r="M989" s="36">
        <f t="shared" si="323"/>
        <v>0</v>
      </c>
      <c r="N989" s="36">
        <f t="shared" si="324"/>
        <v>0</v>
      </c>
      <c r="O989" s="36">
        <f t="shared" si="325"/>
        <v>0</v>
      </c>
      <c r="P989" s="36">
        <f t="shared" si="326"/>
        <v>0</v>
      </c>
      <c r="Q989" s="36">
        <f t="shared" si="327"/>
        <v>0</v>
      </c>
      <c r="R989" s="36">
        <f t="shared" si="328"/>
        <v>0</v>
      </c>
      <c r="S989" s="36">
        <f t="shared" si="329"/>
        <v>0</v>
      </c>
      <c r="T989" s="36">
        <f t="shared" si="330"/>
        <v>0</v>
      </c>
      <c r="U989" s="36">
        <f t="shared" si="331"/>
        <v>0</v>
      </c>
      <c r="V989" s="36">
        <f t="shared" si="332"/>
        <v>0</v>
      </c>
      <c r="W989" s="36">
        <f t="shared" si="333"/>
        <v>0</v>
      </c>
      <c r="X989" s="36">
        <f t="shared" si="334"/>
        <v>0</v>
      </c>
      <c r="Y989" s="36">
        <f t="shared" si="335"/>
        <v>0</v>
      </c>
      <c r="Z989" s="36">
        <f t="shared" si="336"/>
        <v>0</v>
      </c>
      <c r="AB989" s="36" t="str">
        <f>IF(最佳化斷筋點!C989="","",最佳化斷筋點!C989)</f>
        <v>下層</v>
      </c>
      <c r="AC989" s="37">
        <f>IF(最佳化斷筋點!D989="","",最佳化斷筋點!D989)</f>
        <v>6</v>
      </c>
      <c r="AD989" s="37">
        <f>IF(最佳化斷筋點!E989="","",最佳化斷筋點!E989)</f>
        <v>6</v>
      </c>
      <c r="AE989" s="37">
        <f>IF(最佳化斷筋點!F989="","",最佳化斷筋點!F989)</f>
        <v>6</v>
      </c>
      <c r="AF989" s="37">
        <f>IF(最佳化斷筋點!G989="","",最佳化斷筋點!G989)</f>
        <v>6</v>
      </c>
      <c r="AG989" s="37">
        <f>IF(最佳化斷筋點!H989="","",最佳化斷筋點!H989)</f>
        <v>5</v>
      </c>
      <c r="AH989" s="37">
        <f>IF(最佳化斷筋點!I989="","",最佳化斷筋點!I989)</f>
        <v>5</v>
      </c>
      <c r="AI989" s="37">
        <f>IF(最佳化斷筋點!J989="","",最佳化斷筋點!J989)</f>
        <v>5</v>
      </c>
      <c r="AJ989" s="37">
        <f>IF(最佳化斷筋點!K989="","",最佳化斷筋點!K989)</f>
        <v>5</v>
      </c>
      <c r="AK989" s="37">
        <f>IF(最佳化斷筋點!L989="","",最佳化斷筋點!L989)</f>
        <v>5</v>
      </c>
      <c r="AL989" s="37">
        <f>IF(最佳化斷筋點!M989="","",最佳化斷筋點!M989)</f>
        <v>5</v>
      </c>
      <c r="AM989" s="37">
        <f>IF(最佳化斷筋點!N989="","",最佳化斷筋點!N989)</f>
        <v>5</v>
      </c>
      <c r="AN989" s="37">
        <f>IF(最佳化斷筋點!O989="","",最佳化斷筋點!O989)</f>
        <v>5</v>
      </c>
      <c r="AO989" s="37">
        <f>IF(最佳化斷筋點!P989="","",最佳化斷筋點!P989)</f>
        <v>5</v>
      </c>
      <c r="AP989" s="37">
        <f>IF(最佳化斷筋點!Q989="","",最佳化斷筋點!Q989)</f>
        <v>5</v>
      </c>
      <c r="AQ989" s="37">
        <f>IF(最佳化斷筋點!R989="","",最佳化斷筋點!R989)</f>
        <v>5</v>
      </c>
      <c r="AR989" s="37">
        <f>IF(最佳化斷筋點!S989="","",最佳化斷筋點!S989)</f>
        <v>5</v>
      </c>
      <c r="AS989" s="37">
        <f>IF(最佳化斷筋點!T989="","",最佳化斷筋點!T989)</f>
        <v>6</v>
      </c>
      <c r="AT989" s="37">
        <f>IF(最佳化斷筋點!U989="","",最佳化斷筋點!U989)</f>
        <v>6</v>
      </c>
      <c r="AU989" s="37">
        <f>IF(最佳化斷筋點!V989="","",最佳化斷筋點!V989)</f>
        <v>7</v>
      </c>
      <c r="AV989" s="37">
        <f>IF(最佳化斷筋點!W989="","",最佳化斷筋點!W989)</f>
        <v>7</v>
      </c>
      <c r="AW989" s="37">
        <f>IF(最佳化斷筋點!X989="","",最佳化斷筋點!X989)</f>
        <v>7</v>
      </c>
      <c r="AZ989" s="37">
        <v>6</v>
      </c>
      <c r="BA989" s="37">
        <v>6</v>
      </c>
      <c r="BB989" s="37">
        <v>6</v>
      </c>
      <c r="BC989" s="37">
        <v>6</v>
      </c>
      <c r="BD989" s="37">
        <v>5</v>
      </c>
      <c r="BE989" s="37">
        <v>5</v>
      </c>
      <c r="BF989" s="37">
        <v>5</v>
      </c>
      <c r="BG989" s="37">
        <v>5</v>
      </c>
      <c r="BH989" s="37">
        <v>5</v>
      </c>
      <c r="BI989" s="37">
        <v>5</v>
      </c>
      <c r="BJ989" s="37">
        <v>5</v>
      </c>
      <c r="BK989" s="37">
        <v>5</v>
      </c>
      <c r="BL989" s="37">
        <v>5</v>
      </c>
      <c r="BM989" s="37">
        <v>5</v>
      </c>
      <c r="BN989" s="37">
        <v>5</v>
      </c>
      <c r="BO989" s="37">
        <v>5</v>
      </c>
      <c r="BP989" s="37">
        <v>6</v>
      </c>
      <c r="BQ989" s="37">
        <v>6</v>
      </c>
      <c r="BR989" s="37">
        <v>7</v>
      </c>
      <c r="BS989" s="37">
        <v>7</v>
      </c>
      <c r="BT989" s="37">
        <v>7</v>
      </c>
    </row>
    <row r="990" spans="5:72" x14ac:dyDescent="0.25">
      <c r="E990" s="36"/>
      <c r="F990" s="36">
        <f t="shared" si="316"/>
        <v>0</v>
      </c>
      <c r="G990" s="36">
        <f t="shared" si="317"/>
        <v>0</v>
      </c>
      <c r="H990" s="36">
        <f t="shared" si="318"/>
        <v>0</v>
      </c>
      <c r="I990" s="36">
        <f t="shared" si="319"/>
        <v>0</v>
      </c>
      <c r="J990" s="36">
        <f t="shared" si="320"/>
        <v>0</v>
      </c>
      <c r="K990" s="36">
        <f t="shared" si="321"/>
        <v>0</v>
      </c>
      <c r="L990" s="36">
        <f t="shared" si="322"/>
        <v>0</v>
      </c>
      <c r="M990" s="36">
        <f t="shared" si="323"/>
        <v>0</v>
      </c>
      <c r="N990" s="36">
        <f t="shared" si="324"/>
        <v>0</v>
      </c>
      <c r="O990" s="36">
        <f t="shared" si="325"/>
        <v>0</v>
      </c>
      <c r="P990" s="36">
        <f t="shared" si="326"/>
        <v>0</v>
      </c>
      <c r="Q990" s="36">
        <f t="shared" si="327"/>
        <v>0</v>
      </c>
      <c r="R990" s="36">
        <f t="shared" si="328"/>
        <v>0</v>
      </c>
      <c r="S990" s="36">
        <f t="shared" si="329"/>
        <v>0</v>
      </c>
      <c r="T990" s="36">
        <f t="shared" si="330"/>
        <v>0</v>
      </c>
      <c r="U990" s="36">
        <f t="shared" si="331"/>
        <v>0</v>
      </c>
      <c r="V990" s="36">
        <f t="shared" si="332"/>
        <v>0</v>
      </c>
      <c r="W990" s="36">
        <f t="shared" si="333"/>
        <v>0</v>
      </c>
      <c r="X990" s="36">
        <f t="shared" si="334"/>
        <v>0</v>
      </c>
      <c r="Y990" s="36">
        <f t="shared" si="335"/>
        <v>0</v>
      </c>
      <c r="Z990" s="36">
        <f t="shared" si="336"/>
        <v>0</v>
      </c>
      <c r="AB990" s="36" t="str">
        <f>IF(最佳化斷筋點!C990="","",最佳化斷筋點!C990)</f>
        <v/>
      </c>
      <c r="AC990" s="37" t="str">
        <f>IF(最佳化斷筋點!D990="","",最佳化斷筋點!D990)</f>
        <v/>
      </c>
      <c r="AD990" s="37" t="str">
        <f>IF(最佳化斷筋點!E990="","",最佳化斷筋點!E990)</f>
        <v/>
      </c>
      <c r="AE990" s="37" t="str">
        <f>IF(最佳化斷筋點!F990="","",最佳化斷筋點!F990)</f>
        <v/>
      </c>
      <c r="AF990" s="37" t="str">
        <f>IF(最佳化斷筋點!G990="","",最佳化斷筋點!G990)</f>
        <v/>
      </c>
      <c r="AG990" s="37" t="str">
        <f>IF(最佳化斷筋點!H990="","",最佳化斷筋點!H990)</f>
        <v/>
      </c>
      <c r="AH990" s="37" t="str">
        <f>IF(最佳化斷筋點!I990="","",最佳化斷筋點!I990)</f>
        <v/>
      </c>
      <c r="AI990" s="37" t="str">
        <f>IF(最佳化斷筋點!J990="","",最佳化斷筋點!J990)</f>
        <v/>
      </c>
      <c r="AJ990" s="37" t="str">
        <f>IF(最佳化斷筋點!K990="","",最佳化斷筋點!K990)</f>
        <v/>
      </c>
      <c r="AK990" s="37" t="str">
        <f>IF(最佳化斷筋點!L990="","",最佳化斷筋點!L990)</f>
        <v/>
      </c>
      <c r="AL990" s="37" t="str">
        <f>IF(最佳化斷筋點!M990="","",最佳化斷筋點!M990)</f>
        <v/>
      </c>
      <c r="AM990" s="37" t="str">
        <f>IF(最佳化斷筋點!N990="","",最佳化斷筋點!N990)</f>
        <v/>
      </c>
      <c r="AN990" s="37" t="str">
        <f>IF(最佳化斷筋點!O990="","",最佳化斷筋點!O990)</f>
        <v/>
      </c>
      <c r="AO990" s="37" t="str">
        <f>IF(最佳化斷筋點!P990="","",最佳化斷筋點!P990)</f>
        <v/>
      </c>
      <c r="AP990" s="37" t="str">
        <f>IF(最佳化斷筋點!Q990="","",最佳化斷筋點!Q990)</f>
        <v/>
      </c>
      <c r="AQ990" s="37" t="str">
        <f>IF(最佳化斷筋點!R990="","",最佳化斷筋點!R990)</f>
        <v/>
      </c>
      <c r="AR990" s="37" t="str">
        <f>IF(最佳化斷筋點!S990="","",最佳化斷筋點!S990)</f>
        <v/>
      </c>
      <c r="AS990" s="37" t="str">
        <f>IF(最佳化斷筋點!T990="","",最佳化斷筋點!T990)</f>
        <v/>
      </c>
      <c r="AT990" s="37" t="str">
        <f>IF(最佳化斷筋點!U990="","",最佳化斷筋點!U990)</f>
        <v/>
      </c>
      <c r="AU990" s="37" t="str">
        <f>IF(最佳化斷筋點!V990="","",最佳化斷筋點!V990)</f>
        <v/>
      </c>
      <c r="AV990" s="37" t="str">
        <f>IF(最佳化斷筋點!W990="","",最佳化斷筋點!W990)</f>
        <v/>
      </c>
      <c r="AW990" s="37" t="str">
        <f>IF(最佳化斷筋點!X990="","",最佳化斷筋點!X990)</f>
        <v/>
      </c>
      <c r="AZ990" s="37" t="s">
        <v>197</v>
      </c>
      <c r="BA990" s="37" t="s">
        <v>197</v>
      </c>
      <c r="BB990" s="37" t="s">
        <v>197</v>
      </c>
      <c r="BC990" s="37" t="s">
        <v>197</v>
      </c>
      <c r="BD990" s="37" t="s">
        <v>197</v>
      </c>
      <c r="BE990" s="37" t="s">
        <v>197</v>
      </c>
      <c r="BF990" s="37" t="s">
        <v>197</v>
      </c>
      <c r="BG990" s="37" t="s">
        <v>197</v>
      </c>
      <c r="BH990" s="37" t="s">
        <v>197</v>
      </c>
      <c r="BI990" s="37" t="s">
        <v>197</v>
      </c>
      <c r="BJ990" s="37" t="s">
        <v>197</v>
      </c>
      <c r="BK990" s="37" t="s">
        <v>197</v>
      </c>
      <c r="BL990" s="37" t="s">
        <v>197</v>
      </c>
      <c r="BM990" s="37" t="s">
        <v>197</v>
      </c>
      <c r="BN990" s="37" t="s">
        <v>197</v>
      </c>
      <c r="BO990" s="37" t="s">
        <v>197</v>
      </c>
      <c r="BP990" s="37" t="s">
        <v>197</v>
      </c>
      <c r="BQ990" s="37" t="s">
        <v>197</v>
      </c>
      <c r="BR990" s="37" t="s">
        <v>197</v>
      </c>
      <c r="BS990" s="37" t="s">
        <v>197</v>
      </c>
      <c r="BT990" s="37" t="s">
        <v>197</v>
      </c>
    </row>
    <row r="991" spans="5:72" x14ac:dyDescent="0.25">
      <c r="E991" s="36" t="s">
        <v>20</v>
      </c>
      <c r="F991" s="36">
        <f t="shared" si="316"/>
        <v>0</v>
      </c>
      <c r="G991" s="36">
        <f t="shared" si="317"/>
        <v>0</v>
      </c>
      <c r="H991" s="36">
        <f t="shared" si="318"/>
        <v>0</v>
      </c>
      <c r="I991" s="36">
        <f t="shared" si="319"/>
        <v>0</v>
      </c>
      <c r="J991" s="36">
        <f t="shared" si="320"/>
        <v>0</v>
      </c>
      <c r="K991" s="36">
        <f t="shared" si="321"/>
        <v>0</v>
      </c>
      <c r="L991" s="36">
        <f t="shared" si="322"/>
        <v>0</v>
      </c>
      <c r="M991" s="36">
        <f t="shared" si="323"/>
        <v>0</v>
      </c>
      <c r="N991" s="36">
        <f t="shared" si="324"/>
        <v>0</v>
      </c>
      <c r="O991" s="36">
        <f t="shared" si="325"/>
        <v>0</v>
      </c>
      <c r="P991" s="36">
        <f t="shared" si="326"/>
        <v>0</v>
      </c>
      <c r="Q991" s="36">
        <f t="shared" si="327"/>
        <v>0</v>
      </c>
      <c r="R991" s="36">
        <f t="shared" si="328"/>
        <v>0</v>
      </c>
      <c r="S991" s="36">
        <f t="shared" si="329"/>
        <v>0</v>
      </c>
      <c r="T991" s="36">
        <f t="shared" si="330"/>
        <v>0</v>
      </c>
      <c r="U991" s="36">
        <f t="shared" si="331"/>
        <v>0</v>
      </c>
      <c r="V991" s="36">
        <f t="shared" si="332"/>
        <v>0</v>
      </c>
      <c r="W991" s="36">
        <f t="shared" si="333"/>
        <v>0</v>
      </c>
      <c r="X991" s="36">
        <f t="shared" si="334"/>
        <v>0</v>
      </c>
      <c r="Y991" s="36">
        <f t="shared" si="335"/>
        <v>0</v>
      </c>
      <c r="Z991" s="36">
        <f t="shared" si="336"/>
        <v>0</v>
      </c>
      <c r="AB991" s="36" t="str">
        <f>IF(最佳化斷筋點!C991="","",最佳化斷筋點!C991)</f>
        <v>上層</v>
      </c>
      <c r="AC991" s="37">
        <f>IF(最佳化斷筋點!D991="","",最佳化斷筋點!D991)</f>
        <v>11</v>
      </c>
      <c r="AD991" s="37">
        <f>IF(最佳化斷筋點!E991="","",最佳化斷筋點!E991)</f>
        <v>11</v>
      </c>
      <c r="AE991" s="37">
        <f>IF(最佳化斷筋點!F991="","",最佳化斷筋點!F991)</f>
        <v>11</v>
      </c>
      <c r="AF991" s="37">
        <f>IF(最佳化斷筋點!G991="","",最佳化斷筋點!G991)</f>
        <v>11</v>
      </c>
      <c r="AG991" s="37">
        <f>IF(最佳化斷筋點!H991="","",最佳化斷筋點!H991)</f>
        <v>11</v>
      </c>
      <c r="AH991" s="37">
        <f>IF(最佳化斷筋點!I991="","",最佳化斷筋點!I991)</f>
        <v>11</v>
      </c>
      <c r="AI991" s="37">
        <f>IF(最佳化斷筋點!J991="","",最佳化斷筋點!J991)</f>
        <v>11</v>
      </c>
      <c r="AJ991" s="37">
        <f>IF(最佳化斷筋點!K991="","",最佳化斷筋點!K991)</f>
        <v>4</v>
      </c>
      <c r="AK991" s="37">
        <f>IF(最佳化斷筋點!L991="","",最佳化斷筋點!L991)</f>
        <v>4</v>
      </c>
      <c r="AL991" s="37">
        <f>IF(最佳化斷筋點!M991="","",最佳化斷筋點!M991)</f>
        <v>4</v>
      </c>
      <c r="AM991" s="37">
        <f>IF(最佳化斷筋點!N991="","",最佳化斷筋點!N991)</f>
        <v>4</v>
      </c>
      <c r="AN991" s="37">
        <f>IF(最佳化斷筋點!O991="","",最佳化斷筋點!O991)</f>
        <v>4</v>
      </c>
      <c r="AO991" s="37">
        <f>IF(最佳化斷筋點!P991="","",最佳化斷筋點!P991)</f>
        <v>4</v>
      </c>
      <c r="AP991" s="37">
        <f>IF(最佳化斷筋點!Q991="","",最佳化斷筋點!Q991)</f>
        <v>9</v>
      </c>
      <c r="AQ991" s="37">
        <f>IF(最佳化斷筋點!R991="","",最佳化斷筋點!R991)</f>
        <v>10</v>
      </c>
      <c r="AR991" s="37">
        <f>IF(最佳化斷筋點!S991="","",最佳化斷筋點!S991)</f>
        <v>10</v>
      </c>
      <c r="AS991" s="37">
        <f>IF(最佳化斷筋點!T991="","",最佳化斷筋點!T991)</f>
        <v>10</v>
      </c>
      <c r="AT991" s="37">
        <f>IF(最佳化斷筋點!U991="","",最佳化斷筋點!U991)</f>
        <v>10</v>
      </c>
      <c r="AU991" s="37">
        <f>IF(最佳化斷筋點!V991="","",最佳化斷筋點!V991)</f>
        <v>10</v>
      </c>
      <c r="AV991" s="37">
        <f>IF(最佳化斷筋點!W991="","",最佳化斷筋點!W991)</f>
        <v>10</v>
      </c>
      <c r="AW991" s="37">
        <f>IF(最佳化斷筋點!X991="","",最佳化斷筋點!X991)</f>
        <v>10</v>
      </c>
      <c r="AZ991" s="37">
        <v>11</v>
      </c>
      <c r="BA991" s="37">
        <v>11</v>
      </c>
      <c r="BB991" s="37">
        <v>11</v>
      </c>
      <c r="BC991" s="37">
        <v>11</v>
      </c>
      <c r="BD991" s="37">
        <v>11</v>
      </c>
      <c r="BE991" s="37">
        <v>11</v>
      </c>
      <c r="BF991" s="37">
        <v>11</v>
      </c>
      <c r="BG991" s="37">
        <v>4</v>
      </c>
      <c r="BH991" s="37">
        <v>4</v>
      </c>
      <c r="BI991" s="37">
        <v>4</v>
      </c>
      <c r="BJ991" s="37">
        <v>4</v>
      </c>
      <c r="BK991" s="37">
        <v>4</v>
      </c>
      <c r="BL991" s="37">
        <v>4</v>
      </c>
      <c r="BM991" s="37">
        <v>9</v>
      </c>
      <c r="BN991" s="37">
        <v>10</v>
      </c>
      <c r="BO991" s="37">
        <v>10</v>
      </c>
      <c r="BP991" s="37">
        <v>10</v>
      </c>
      <c r="BQ991" s="37">
        <v>10</v>
      </c>
      <c r="BR991" s="37">
        <v>10</v>
      </c>
      <c r="BS991" s="37">
        <v>10</v>
      </c>
      <c r="BT991" s="37">
        <v>10</v>
      </c>
    </row>
    <row r="992" spans="5:72" x14ac:dyDescent="0.25">
      <c r="E992" s="36"/>
      <c r="F992" s="36">
        <f t="shared" si="316"/>
        <v>0</v>
      </c>
      <c r="G992" s="36">
        <f t="shared" si="317"/>
        <v>0</v>
      </c>
      <c r="H992" s="36">
        <f t="shared" si="318"/>
        <v>0</v>
      </c>
      <c r="I992" s="36">
        <f t="shared" si="319"/>
        <v>0</v>
      </c>
      <c r="J992" s="36">
        <f t="shared" si="320"/>
        <v>0</v>
      </c>
      <c r="K992" s="36">
        <f t="shared" si="321"/>
        <v>0</v>
      </c>
      <c r="L992" s="36">
        <f t="shared" si="322"/>
        <v>0</v>
      </c>
      <c r="M992" s="36">
        <f t="shared" si="323"/>
        <v>0</v>
      </c>
      <c r="N992" s="36">
        <f t="shared" si="324"/>
        <v>0</v>
      </c>
      <c r="O992" s="36">
        <f t="shared" si="325"/>
        <v>0</v>
      </c>
      <c r="P992" s="36">
        <f t="shared" si="326"/>
        <v>0</v>
      </c>
      <c r="Q992" s="36">
        <f t="shared" si="327"/>
        <v>0</v>
      </c>
      <c r="R992" s="36">
        <f t="shared" si="328"/>
        <v>0</v>
      </c>
      <c r="S992" s="36">
        <f t="shared" si="329"/>
        <v>0</v>
      </c>
      <c r="T992" s="36">
        <f t="shared" si="330"/>
        <v>0</v>
      </c>
      <c r="U992" s="36">
        <f t="shared" si="331"/>
        <v>0</v>
      </c>
      <c r="V992" s="36">
        <f t="shared" si="332"/>
        <v>0</v>
      </c>
      <c r="W992" s="36">
        <f t="shared" si="333"/>
        <v>0</v>
      </c>
      <c r="X992" s="36">
        <f t="shared" si="334"/>
        <v>0</v>
      </c>
      <c r="Y992" s="36">
        <f t="shared" si="335"/>
        <v>0</v>
      </c>
      <c r="Z992" s="36">
        <f t="shared" si="336"/>
        <v>0</v>
      </c>
      <c r="AB992" s="36" t="str">
        <f>IF(最佳化斷筋點!C992="","",最佳化斷筋點!C992)</f>
        <v/>
      </c>
      <c r="AC992" s="37" t="str">
        <f>IF(最佳化斷筋點!D992="","",最佳化斷筋點!D992)</f>
        <v/>
      </c>
      <c r="AD992" s="37" t="str">
        <f>IF(最佳化斷筋點!E992="","",最佳化斷筋點!E992)</f>
        <v/>
      </c>
      <c r="AE992" s="37" t="str">
        <f>IF(最佳化斷筋點!F992="","",最佳化斷筋點!F992)</f>
        <v/>
      </c>
      <c r="AF992" s="37" t="str">
        <f>IF(最佳化斷筋點!G992="","",最佳化斷筋點!G992)</f>
        <v/>
      </c>
      <c r="AG992" s="37" t="str">
        <f>IF(最佳化斷筋點!H992="","",最佳化斷筋點!H992)</f>
        <v/>
      </c>
      <c r="AH992" s="37" t="str">
        <f>IF(最佳化斷筋點!I992="","",最佳化斷筋點!I992)</f>
        <v/>
      </c>
      <c r="AI992" s="37" t="str">
        <f>IF(最佳化斷筋點!J992="","",最佳化斷筋點!J992)</f>
        <v/>
      </c>
      <c r="AJ992" s="37" t="str">
        <f>IF(最佳化斷筋點!K992="","",最佳化斷筋點!K992)</f>
        <v/>
      </c>
      <c r="AK992" s="37" t="str">
        <f>IF(最佳化斷筋點!L992="","",最佳化斷筋點!L992)</f>
        <v/>
      </c>
      <c r="AL992" s="37" t="str">
        <f>IF(最佳化斷筋點!M992="","",最佳化斷筋點!M992)</f>
        <v/>
      </c>
      <c r="AM992" s="37" t="str">
        <f>IF(最佳化斷筋點!N992="","",最佳化斷筋點!N992)</f>
        <v/>
      </c>
      <c r="AN992" s="37" t="str">
        <f>IF(最佳化斷筋點!O992="","",最佳化斷筋點!O992)</f>
        <v/>
      </c>
      <c r="AO992" s="37" t="str">
        <f>IF(最佳化斷筋點!P992="","",最佳化斷筋點!P992)</f>
        <v/>
      </c>
      <c r="AP992" s="37" t="str">
        <f>IF(最佳化斷筋點!Q992="","",最佳化斷筋點!Q992)</f>
        <v/>
      </c>
      <c r="AQ992" s="37" t="str">
        <f>IF(最佳化斷筋點!R992="","",最佳化斷筋點!R992)</f>
        <v/>
      </c>
      <c r="AR992" s="37" t="str">
        <f>IF(最佳化斷筋點!S992="","",最佳化斷筋點!S992)</f>
        <v/>
      </c>
      <c r="AS992" s="37" t="str">
        <f>IF(最佳化斷筋點!T992="","",最佳化斷筋點!T992)</f>
        <v/>
      </c>
      <c r="AT992" s="37" t="str">
        <f>IF(最佳化斷筋點!U992="","",最佳化斷筋點!U992)</f>
        <v/>
      </c>
      <c r="AU992" s="37" t="str">
        <f>IF(最佳化斷筋點!V992="","",最佳化斷筋點!V992)</f>
        <v/>
      </c>
      <c r="AV992" s="37" t="str">
        <f>IF(最佳化斷筋點!W992="","",最佳化斷筋點!W992)</f>
        <v/>
      </c>
      <c r="AW992" s="37" t="str">
        <f>IF(最佳化斷筋點!X992="","",最佳化斷筋點!X992)</f>
        <v/>
      </c>
      <c r="AZ992" s="37" t="s">
        <v>197</v>
      </c>
      <c r="BA992" s="37" t="s">
        <v>197</v>
      </c>
      <c r="BB992" s="37" t="s">
        <v>197</v>
      </c>
      <c r="BC992" s="37" t="s">
        <v>197</v>
      </c>
      <c r="BD992" s="37" t="s">
        <v>197</v>
      </c>
      <c r="BE992" s="37" t="s">
        <v>197</v>
      </c>
      <c r="BF992" s="37" t="s">
        <v>197</v>
      </c>
      <c r="BG992" s="37" t="s">
        <v>197</v>
      </c>
      <c r="BH992" s="37" t="s">
        <v>197</v>
      </c>
      <c r="BI992" s="37" t="s">
        <v>197</v>
      </c>
      <c r="BJ992" s="37" t="s">
        <v>197</v>
      </c>
      <c r="BK992" s="37" t="s">
        <v>197</v>
      </c>
      <c r="BL992" s="37" t="s">
        <v>197</v>
      </c>
      <c r="BM992" s="37" t="s">
        <v>197</v>
      </c>
      <c r="BN992" s="37" t="s">
        <v>197</v>
      </c>
      <c r="BO992" s="37" t="s">
        <v>197</v>
      </c>
      <c r="BP992" s="37" t="s">
        <v>197</v>
      </c>
      <c r="BQ992" s="37" t="s">
        <v>197</v>
      </c>
      <c r="BR992" s="37" t="s">
        <v>197</v>
      </c>
      <c r="BS992" s="37" t="s">
        <v>197</v>
      </c>
      <c r="BT992" s="37" t="s">
        <v>197</v>
      </c>
    </row>
    <row r="993" spans="5:72" x14ac:dyDescent="0.25">
      <c r="E993" s="36" t="s">
        <v>21</v>
      </c>
      <c r="F993" s="36">
        <f t="shared" si="316"/>
        <v>0</v>
      </c>
      <c r="G993" s="36">
        <f t="shared" si="317"/>
        <v>0</v>
      </c>
      <c r="H993" s="36">
        <f t="shared" si="318"/>
        <v>0</v>
      </c>
      <c r="I993" s="36">
        <f t="shared" si="319"/>
        <v>0</v>
      </c>
      <c r="J993" s="36">
        <f t="shared" si="320"/>
        <v>0</v>
      </c>
      <c r="K993" s="36">
        <f t="shared" si="321"/>
        <v>0</v>
      </c>
      <c r="L993" s="36">
        <f t="shared" si="322"/>
        <v>0</v>
      </c>
      <c r="M993" s="36">
        <f t="shared" si="323"/>
        <v>0</v>
      </c>
      <c r="N993" s="36">
        <f t="shared" si="324"/>
        <v>0</v>
      </c>
      <c r="O993" s="36">
        <f t="shared" si="325"/>
        <v>0</v>
      </c>
      <c r="P993" s="36">
        <f t="shared" si="326"/>
        <v>0</v>
      </c>
      <c r="Q993" s="36">
        <f t="shared" si="327"/>
        <v>0</v>
      </c>
      <c r="R993" s="36">
        <f t="shared" si="328"/>
        <v>0</v>
      </c>
      <c r="S993" s="36">
        <f t="shared" si="329"/>
        <v>0</v>
      </c>
      <c r="T993" s="36">
        <f t="shared" si="330"/>
        <v>0</v>
      </c>
      <c r="U993" s="36">
        <f t="shared" si="331"/>
        <v>0</v>
      </c>
      <c r="V993" s="36">
        <f t="shared" si="332"/>
        <v>0</v>
      </c>
      <c r="W993" s="36">
        <f t="shared" si="333"/>
        <v>0</v>
      </c>
      <c r="X993" s="36">
        <f t="shared" si="334"/>
        <v>0</v>
      </c>
      <c r="Y993" s="36">
        <f t="shared" si="335"/>
        <v>0</v>
      </c>
      <c r="Z993" s="36">
        <f t="shared" si="336"/>
        <v>0</v>
      </c>
      <c r="AB993" s="36" t="str">
        <f>IF(最佳化斷筋點!C993="","",最佳化斷筋點!C993)</f>
        <v>下層</v>
      </c>
      <c r="AC993" s="37">
        <f>IF(最佳化斷筋點!D993="","",最佳化斷筋點!D993)</f>
        <v>15</v>
      </c>
      <c r="AD993" s="37">
        <f>IF(最佳化斷筋點!E993="","",最佳化斷筋點!E993)</f>
        <v>15</v>
      </c>
      <c r="AE993" s="37">
        <f>IF(最佳化斷筋點!F993="","",最佳化斷筋點!F993)</f>
        <v>15</v>
      </c>
      <c r="AF993" s="37">
        <f>IF(最佳化斷筋點!G993="","",最佳化斷筋點!G993)</f>
        <v>15</v>
      </c>
      <c r="AG993" s="37">
        <f>IF(最佳化斷筋點!H993="","",最佳化斷筋點!H993)</f>
        <v>15</v>
      </c>
      <c r="AH993" s="37">
        <f>IF(最佳化斷筋點!I993="","",最佳化斷筋點!I993)</f>
        <v>14</v>
      </c>
      <c r="AI993" s="37">
        <f>IF(最佳化斷筋點!J993="","",最佳化斷筋點!J993)</f>
        <v>13</v>
      </c>
      <c r="AJ993" s="37">
        <f>IF(最佳化斷筋點!K993="","",最佳化斷筋點!K993)</f>
        <v>4</v>
      </c>
      <c r="AK993" s="37">
        <f>IF(最佳化斷筋點!L993="","",最佳化斷筋點!L993)</f>
        <v>4</v>
      </c>
      <c r="AL993" s="37">
        <f>IF(最佳化斷筋點!M993="","",最佳化斷筋點!M993)</f>
        <v>4</v>
      </c>
      <c r="AM993" s="37">
        <f>IF(最佳化斷筋點!N993="","",最佳化斷筋點!N993)</f>
        <v>4</v>
      </c>
      <c r="AN993" s="37">
        <f>IF(最佳化斷筋點!O993="","",最佳化斷筋點!O993)</f>
        <v>4</v>
      </c>
      <c r="AO993" s="37">
        <f>IF(最佳化斷筋點!P993="","",最佳化斷筋點!P993)</f>
        <v>4</v>
      </c>
      <c r="AP993" s="37">
        <f>IF(最佳化斷筋點!Q993="","",最佳化斷筋點!Q993)</f>
        <v>11</v>
      </c>
      <c r="AQ993" s="37">
        <f>IF(最佳化斷筋點!R993="","",最佳化斷筋點!R993)</f>
        <v>12</v>
      </c>
      <c r="AR993" s="37">
        <f>IF(最佳化斷筋點!S993="","",最佳化斷筋點!S993)</f>
        <v>14</v>
      </c>
      <c r="AS993" s="37">
        <f>IF(最佳化斷筋點!T993="","",最佳化斷筋點!T993)</f>
        <v>15</v>
      </c>
      <c r="AT993" s="37">
        <f>IF(最佳化斷筋點!U993="","",最佳化斷筋點!U993)</f>
        <v>15</v>
      </c>
      <c r="AU993" s="37">
        <f>IF(最佳化斷筋點!V993="","",最佳化斷筋點!V993)</f>
        <v>15</v>
      </c>
      <c r="AV993" s="37">
        <f>IF(最佳化斷筋點!W993="","",最佳化斷筋點!W993)</f>
        <v>15</v>
      </c>
      <c r="AW993" s="37">
        <f>IF(最佳化斷筋點!X993="","",最佳化斷筋點!X993)</f>
        <v>15</v>
      </c>
      <c r="AZ993" s="37">
        <v>15</v>
      </c>
      <c r="BA993" s="37">
        <v>15</v>
      </c>
      <c r="BB993" s="37">
        <v>15</v>
      </c>
      <c r="BC993" s="37">
        <v>15</v>
      </c>
      <c r="BD993" s="37">
        <v>15</v>
      </c>
      <c r="BE993" s="37">
        <v>14</v>
      </c>
      <c r="BF993" s="37">
        <v>13</v>
      </c>
      <c r="BG993" s="37">
        <v>4</v>
      </c>
      <c r="BH993" s="37">
        <v>4</v>
      </c>
      <c r="BI993" s="37">
        <v>4</v>
      </c>
      <c r="BJ993" s="37">
        <v>4</v>
      </c>
      <c r="BK993" s="37">
        <v>4</v>
      </c>
      <c r="BL993" s="37">
        <v>4</v>
      </c>
      <c r="BM993" s="37">
        <v>11</v>
      </c>
      <c r="BN993" s="37">
        <v>12</v>
      </c>
      <c r="BO993" s="37">
        <v>14</v>
      </c>
      <c r="BP993" s="37">
        <v>15</v>
      </c>
      <c r="BQ993" s="37">
        <v>15</v>
      </c>
      <c r="BR993" s="37">
        <v>15</v>
      </c>
      <c r="BS993" s="37">
        <v>15</v>
      </c>
      <c r="BT993" s="37">
        <v>15</v>
      </c>
    </row>
    <row r="994" spans="5:72" x14ac:dyDescent="0.25">
      <c r="E994" s="36"/>
      <c r="F994" s="36">
        <f t="shared" si="316"/>
        <v>0</v>
      </c>
      <c r="G994" s="36">
        <f t="shared" si="317"/>
        <v>0</v>
      </c>
      <c r="H994" s="36">
        <f t="shared" si="318"/>
        <v>0</v>
      </c>
      <c r="I994" s="36">
        <f t="shared" si="319"/>
        <v>0</v>
      </c>
      <c r="J994" s="36">
        <f t="shared" si="320"/>
        <v>0</v>
      </c>
      <c r="K994" s="36">
        <f t="shared" si="321"/>
        <v>0</v>
      </c>
      <c r="L994" s="36">
        <f t="shared" si="322"/>
        <v>0</v>
      </c>
      <c r="M994" s="36">
        <f t="shared" si="323"/>
        <v>0</v>
      </c>
      <c r="N994" s="36">
        <f t="shared" si="324"/>
        <v>0</v>
      </c>
      <c r="O994" s="36">
        <f t="shared" si="325"/>
        <v>0</v>
      </c>
      <c r="P994" s="36">
        <f t="shared" si="326"/>
        <v>0</v>
      </c>
      <c r="Q994" s="36">
        <f t="shared" si="327"/>
        <v>0</v>
      </c>
      <c r="R994" s="36">
        <f t="shared" si="328"/>
        <v>0</v>
      </c>
      <c r="S994" s="36">
        <f t="shared" si="329"/>
        <v>0</v>
      </c>
      <c r="T994" s="36">
        <f t="shared" si="330"/>
        <v>0</v>
      </c>
      <c r="U994" s="36">
        <f t="shared" si="331"/>
        <v>0</v>
      </c>
      <c r="V994" s="36">
        <f t="shared" si="332"/>
        <v>0</v>
      </c>
      <c r="W994" s="36">
        <f t="shared" si="333"/>
        <v>0</v>
      </c>
      <c r="X994" s="36">
        <f t="shared" si="334"/>
        <v>0</v>
      </c>
      <c r="Y994" s="36">
        <f t="shared" si="335"/>
        <v>0</v>
      </c>
      <c r="Z994" s="36">
        <f t="shared" si="336"/>
        <v>0</v>
      </c>
      <c r="AB994" s="36" t="str">
        <f>IF(最佳化斷筋點!C994="","",最佳化斷筋點!C994)</f>
        <v/>
      </c>
      <c r="AC994" s="37" t="str">
        <f>IF(最佳化斷筋點!D994="","",最佳化斷筋點!D994)</f>
        <v/>
      </c>
      <c r="AD994" s="37" t="str">
        <f>IF(最佳化斷筋點!E994="","",最佳化斷筋點!E994)</f>
        <v/>
      </c>
      <c r="AE994" s="37" t="str">
        <f>IF(最佳化斷筋點!F994="","",最佳化斷筋點!F994)</f>
        <v/>
      </c>
      <c r="AF994" s="37" t="str">
        <f>IF(最佳化斷筋點!G994="","",最佳化斷筋點!G994)</f>
        <v/>
      </c>
      <c r="AG994" s="37" t="str">
        <f>IF(最佳化斷筋點!H994="","",最佳化斷筋點!H994)</f>
        <v/>
      </c>
      <c r="AH994" s="37" t="str">
        <f>IF(最佳化斷筋點!I994="","",最佳化斷筋點!I994)</f>
        <v/>
      </c>
      <c r="AI994" s="37" t="str">
        <f>IF(最佳化斷筋點!J994="","",最佳化斷筋點!J994)</f>
        <v/>
      </c>
      <c r="AJ994" s="37" t="str">
        <f>IF(最佳化斷筋點!K994="","",最佳化斷筋點!K994)</f>
        <v/>
      </c>
      <c r="AK994" s="37" t="str">
        <f>IF(最佳化斷筋點!L994="","",最佳化斷筋點!L994)</f>
        <v/>
      </c>
      <c r="AL994" s="37" t="str">
        <f>IF(最佳化斷筋點!M994="","",最佳化斷筋點!M994)</f>
        <v/>
      </c>
      <c r="AM994" s="37" t="str">
        <f>IF(最佳化斷筋點!N994="","",最佳化斷筋點!N994)</f>
        <v/>
      </c>
      <c r="AN994" s="37" t="str">
        <f>IF(最佳化斷筋點!O994="","",最佳化斷筋點!O994)</f>
        <v/>
      </c>
      <c r="AO994" s="37" t="str">
        <f>IF(最佳化斷筋點!P994="","",最佳化斷筋點!P994)</f>
        <v/>
      </c>
      <c r="AP994" s="37" t="str">
        <f>IF(最佳化斷筋點!Q994="","",最佳化斷筋點!Q994)</f>
        <v/>
      </c>
      <c r="AQ994" s="37" t="str">
        <f>IF(最佳化斷筋點!R994="","",最佳化斷筋點!R994)</f>
        <v/>
      </c>
      <c r="AR994" s="37" t="str">
        <f>IF(最佳化斷筋點!S994="","",最佳化斷筋點!S994)</f>
        <v/>
      </c>
      <c r="AS994" s="37" t="str">
        <f>IF(最佳化斷筋點!T994="","",最佳化斷筋點!T994)</f>
        <v/>
      </c>
      <c r="AT994" s="37" t="str">
        <f>IF(最佳化斷筋點!U994="","",最佳化斷筋點!U994)</f>
        <v/>
      </c>
      <c r="AU994" s="37" t="str">
        <f>IF(最佳化斷筋點!V994="","",最佳化斷筋點!V994)</f>
        <v/>
      </c>
      <c r="AV994" s="37" t="str">
        <f>IF(最佳化斷筋點!W994="","",最佳化斷筋點!W994)</f>
        <v/>
      </c>
      <c r="AW994" s="37" t="str">
        <f>IF(最佳化斷筋點!X994="","",最佳化斷筋點!X994)</f>
        <v/>
      </c>
      <c r="AZ994" s="37" t="s">
        <v>197</v>
      </c>
      <c r="BA994" s="37" t="s">
        <v>197</v>
      </c>
      <c r="BB994" s="37" t="s">
        <v>197</v>
      </c>
      <c r="BC994" s="37" t="s">
        <v>197</v>
      </c>
      <c r="BD994" s="37" t="s">
        <v>197</v>
      </c>
      <c r="BE994" s="37" t="s">
        <v>197</v>
      </c>
      <c r="BF994" s="37" t="s">
        <v>197</v>
      </c>
      <c r="BG994" s="37" t="s">
        <v>197</v>
      </c>
      <c r="BH994" s="37" t="s">
        <v>197</v>
      </c>
      <c r="BI994" s="37" t="s">
        <v>197</v>
      </c>
      <c r="BJ994" s="37" t="s">
        <v>197</v>
      </c>
      <c r="BK994" s="37" t="s">
        <v>197</v>
      </c>
      <c r="BL994" s="37" t="s">
        <v>197</v>
      </c>
      <c r="BM994" s="37" t="s">
        <v>197</v>
      </c>
      <c r="BN994" s="37" t="s">
        <v>197</v>
      </c>
      <c r="BO994" s="37" t="s">
        <v>197</v>
      </c>
      <c r="BP994" s="37" t="s">
        <v>197</v>
      </c>
      <c r="BQ994" s="37" t="s">
        <v>197</v>
      </c>
      <c r="BR994" s="37" t="s">
        <v>197</v>
      </c>
      <c r="BS994" s="37" t="s">
        <v>197</v>
      </c>
      <c r="BT994" s="37" t="s">
        <v>197</v>
      </c>
    </row>
    <row r="995" spans="5:72" x14ac:dyDescent="0.25">
      <c r="E995" s="36" t="s">
        <v>20</v>
      </c>
      <c r="F995" s="36">
        <f t="shared" si="316"/>
        <v>0</v>
      </c>
      <c r="G995" s="36">
        <f t="shared" si="317"/>
        <v>0</v>
      </c>
      <c r="H995" s="36">
        <f t="shared" si="318"/>
        <v>0</v>
      </c>
      <c r="I995" s="36">
        <f t="shared" si="319"/>
        <v>0</v>
      </c>
      <c r="J995" s="36">
        <f t="shared" si="320"/>
        <v>0</v>
      </c>
      <c r="K995" s="36">
        <f t="shared" si="321"/>
        <v>0</v>
      </c>
      <c r="L995" s="36">
        <f t="shared" si="322"/>
        <v>0</v>
      </c>
      <c r="M995" s="36">
        <f t="shared" si="323"/>
        <v>0</v>
      </c>
      <c r="N995" s="36">
        <f t="shared" si="324"/>
        <v>0</v>
      </c>
      <c r="O995" s="36">
        <f t="shared" si="325"/>
        <v>0</v>
      </c>
      <c r="P995" s="36">
        <f t="shared" si="326"/>
        <v>0</v>
      </c>
      <c r="Q995" s="36">
        <f t="shared" si="327"/>
        <v>0</v>
      </c>
      <c r="R995" s="36">
        <f t="shared" si="328"/>
        <v>0</v>
      </c>
      <c r="S995" s="36">
        <f t="shared" si="329"/>
        <v>0</v>
      </c>
      <c r="T995" s="36">
        <f t="shared" si="330"/>
        <v>0</v>
      </c>
      <c r="U995" s="36">
        <f t="shared" si="331"/>
        <v>0</v>
      </c>
      <c r="V995" s="36">
        <f t="shared" si="332"/>
        <v>0</v>
      </c>
      <c r="W995" s="36">
        <f t="shared" si="333"/>
        <v>0</v>
      </c>
      <c r="X995" s="36">
        <f t="shared" si="334"/>
        <v>0</v>
      </c>
      <c r="Y995" s="36">
        <f t="shared" si="335"/>
        <v>0</v>
      </c>
      <c r="Z995" s="36">
        <f t="shared" si="336"/>
        <v>0</v>
      </c>
      <c r="AB995" s="36" t="str">
        <f>IF(最佳化斷筋點!C995="","",最佳化斷筋點!C995)</f>
        <v>上層</v>
      </c>
      <c r="AC995" s="37">
        <f>IF(最佳化斷筋點!D995="","",最佳化斷筋點!D995)</f>
        <v>11</v>
      </c>
      <c r="AD995" s="37">
        <f>IF(最佳化斷筋點!E995="","",最佳化斷筋點!E995)</f>
        <v>11</v>
      </c>
      <c r="AE995" s="37">
        <f>IF(最佳化斷筋點!F995="","",最佳化斷筋點!F995)</f>
        <v>11</v>
      </c>
      <c r="AF995" s="37">
        <f>IF(最佳化斷筋點!G995="","",最佳化斷筋點!G995)</f>
        <v>11</v>
      </c>
      <c r="AG995" s="37">
        <f>IF(最佳化斷筋點!H995="","",最佳化斷筋點!H995)</f>
        <v>11</v>
      </c>
      <c r="AH995" s="37">
        <f>IF(最佳化斷筋點!I995="","",最佳化斷筋點!I995)</f>
        <v>11</v>
      </c>
      <c r="AI995" s="37">
        <f>IF(最佳化斷筋點!J995="","",最佳化斷筋點!J995)</f>
        <v>10</v>
      </c>
      <c r="AJ995" s="37">
        <f>IF(最佳化斷筋點!K995="","",最佳化斷筋點!K995)</f>
        <v>4</v>
      </c>
      <c r="AK995" s="37">
        <f>IF(最佳化斷筋點!L995="","",最佳化斷筋點!L995)</f>
        <v>4</v>
      </c>
      <c r="AL995" s="37">
        <f>IF(最佳化斷筋點!M995="","",最佳化斷筋點!M995)</f>
        <v>4</v>
      </c>
      <c r="AM995" s="37">
        <f>IF(最佳化斷筋點!N995="","",最佳化斷筋點!N995)</f>
        <v>4</v>
      </c>
      <c r="AN995" s="37">
        <f>IF(最佳化斷筋點!O995="","",最佳化斷筋點!O995)</f>
        <v>4</v>
      </c>
      <c r="AO995" s="37">
        <f>IF(最佳化斷筋點!P995="","",最佳化斷筋點!P995)</f>
        <v>4</v>
      </c>
      <c r="AP995" s="37">
        <f>IF(最佳化斷筋點!Q995="","",最佳化斷筋點!Q995)</f>
        <v>8</v>
      </c>
      <c r="AQ995" s="37">
        <f>IF(最佳化斷筋點!R995="","",最佳化斷筋點!R995)</f>
        <v>9</v>
      </c>
      <c r="AR995" s="37">
        <f>IF(最佳化斷筋點!S995="","",最佳化斷筋點!S995)</f>
        <v>10</v>
      </c>
      <c r="AS995" s="37">
        <f>IF(最佳化斷筋點!T995="","",最佳化斷筋點!T995)</f>
        <v>10</v>
      </c>
      <c r="AT995" s="37">
        <f>IF(最佳化斷筋點!U995="","",最佳化斷筋點!U995)</f>
        <v>10</v>
      </c>
      <c r="AU995" s="37">
        <f>IF(最佳化斷筋點!V995="","",最佳化斷筋點!V995)</f>
        <v>10</v>
      </c>
      <c r="AV995" s="37">
        <f>IF(最佳化斷筋點!W995="","",最佳化斷筋點!W995)</f>
        <v>10</v>
      </c>
      <c r="AW995" s="37">
        <f>IF(最佳化斷筋點!X995="","",最佳化斷筋點!X995)</f>
        <v>10</v>
      </c>
      <c r="AZ995" s="37">
        <v>11</v>
      </c>
      <c r="BA995" s="37">
        <v>11</v>
      </c>
      <c r="BB995" s="37">
        <v>11</v>
      </c>
      <c r="BC995" s="37">
        <v>11</v>
      </c>
      <c r="BD995" s="37">
        <v>11</v>
      </c>
      <c r="BE995" s="37">
        <v>11</v>
      </c>
      <c r="BF995" s="37">
        <v>10</v>
      </c>
      <c r="BG995" s="37">
        <v>4</v>
      </c>
      <c r="BH995" s="37">
        <v>4</v>
      </c>
      <c r="BI995" s="37">
        <v>4</v>
      </c>
      <c r="BJ995" s="37">
        <v>4</v>
      </c>
      <c r="BK995" s="37">
        <v>4</v>
      </c>
      <c r="BL995" s="37">
        <v>4</v>
      </c>
      <c r="BM995" s="37">
        <v>8</v>
      </c>
      <c r="BN995" s="37">
        <v>9</v>
      </c>
      <c r="BO995" s="37">
        <v>10</v>
      </c>
      <c r="BP995" s="37">
        <v>10</v>
      </c>
      <c r="BQ995" s="37">
        <v>10</v>
      </c>
      <c r="BR995" s="37">
        <v>10</v>
      </c>
      <c r="BS995" s="37">
        <v>10</v>
      </c>
      <c r="BT995" s="37">
        <v>10</v>
      </c>
    </row>
    <row r="996" spans="5:72" x14ac:dyDescent="0.25">
      <c r="E996" s="36"/>
      <c r="F996" s="36">
        <f t="shared" si="316"/>
        <v>0</v>
      </c>
      <c r="G996" s="36">
        <f t="shared" si="317"/>
        <v>0</v>
      </c>
      <c r="H996" s="36">
        <f t="shared" si="318"/>
        <v>0</v>
      </c>
      <c r="I996" s="36">
        <f t="shared" si="319"/>
        <v>0</v>
      </c>
      <c r="J996" s="36">
        <f t="shared" si="320"/>
        <v>0</v>
      </c>
      <c r="K996" s="36">
        <f t="shared" si="321"/>
        <v>0</v>
      </c>
      <c r="L996" s="36">
        <f t="shared" si="322"/>
        <v>0</v>
      </c>
      <c r="M996" s="36">
        <f t="shared" si="323"/>
        <v>0</v>
      </c>
      <c r="N996" s="36">
        <f t="shared" si="324"/>
        <v>0</v>
      </c>
      <c r="O996" s="36">
        <f t="shared" si="325"/>
        <v>0</v>
      </c>
      <c r="P996" s="36">
        <f t="shared" si="326"/>
        <v>0</v>
      </c>
      <c r="Q996" s="36">
        <f t="shared" si="327"/>
        <v>0</v>
      </c>
      <c r="R996" s="36">
        <f t="shared" si="328"/>
        <v>0</v>
      </c>
      <c r="S996" s="36">
        <f t="shared" si="329"/>
        <v>0</v>
      </c>
      <c r="T996" s="36">
        <f t="shared" si="330"/>
        <v>0</v>
      </c>
      <c r="U996" s="36">
        <f t="shared" si="331"/>
        <v>0</v>
      </c>
      <c r="V996" s="36">
        <f t="shared" si="332"/>
        <v>0</v>
      </c>
      <c r="W996" s="36">
        <f t="shared" si="333"/>
        <v>0</v>
      </c>
      <c r="X996" s="36">
        <f t="shared" si="334"/>
        <v>0</v>
      </c>
      <c r="Y996" s="36">
        <f t="shared" si="335"/>
        <v>0</v>
      </c>
      <c r="Z996" s="36">
        <f t="shared" si="336"/>
        <v>0</v>
      </c>
      <c r="AB996" s="36" t="str">
        <f>IF(最佳化斷筋點!C996="","",最佳化斷筋點!C996)</f>
        <v/>
      </c>
      <c r="AC996" s="37" t="str">
        <f>IF(最佳化斷筋點!D996="","",最佳化斷筋點!D996)</f>
        <v/>
      </c>
      <c r="AD996" s="37" t="str">
        <f>IF(最佳化斷筋點!E996="","",最佳化斷筋點!E996)</f>
        <v/>
      </c>
      <c r="AE996" s="37" t="str">
        <f>IF(最佳化斷筋點!F996="","",最佳化斷筋點!F996)</f>
        <v/>
      </c>
      <c r="AF996" s="37" t="str">
        <f>IF(最佳化斷筋點!G996="","",最佳化斷筋點!G996)</f>
        <v/>
      </c>
      <c r="AG996" s="37" t="str">
        <f>IF(最佳化斷筋點!H996="","",最佳化斷筋點!H996)</f>
        <v/>
      </c>
      <c r="AH996" s="37" t="str">
        <f>IF(最佳化斷筋點!I996="","",最佳化斷筋點!I996)</f>
        <v/>
      </c>
      <c r="AI996" s="37" t="str">
        <f>IF(最佳化斷筋點!J996="","",最佳化斷筋點!J996)</f>
        <v/>
      </c>
      <c r="AJ996" s="37" t="str">
        <f>IF(最佳化斷筋點!K996="","",最佳化斷筋點!K996)</f>
        <v/>
      </c>
      <c r="AK996" s="37" t="str">
        <f>IF(最佳化斷筋點!L996="","",最佳化斷筋點!L996)</f>
        <v/>
      </c>
      <c r="AL996" s="37" t="str">
        <f>IF(最佳化斷筋點!M996="","",最佳化斷筋點!M996)</f>
        <v/>
      </c>
      <c r="AM996" s="37" t="str">
        <f>IF(最佳化斷筋點!N996="","",最佳化斷筋點!N996)</f>
        <v/>
      </c>
      <c r="AN996" s="37" t="str">
        <f>IF(最佳化斷筋點!O996="","",最佳化斷筋點!O996)</f>
        <v/>
      </c>
      <c r="AO996" s="37" t="str">
        <f>IF(最佳化斷筋點!P996="","",最佳化斷筋點!P996)</f>
        <v/>
      </c>
      <c r="AP996" s="37" t="str">
        <f>IF(最佳化斷筋點!Q996="","",最佳化斷筋點!Q996)</f>
        <v/>
      </c>
      <c r="AQ996" s="37" t="str">
        <f>IF(最佳化斷筋點!R996="","",最佳化斷筋點!R996)</f>
        <v/>
      </c>
      <c r="AR996" s="37" t="str">
        <f>IF(最佳化斷筋點!S996="","",最佳化斷筋點!S996)</f>
        <v/>
      </c>
      <c r="AS996" s="37" t="str">
        <f>IF(最佳化斷筋點!T996="","",最佳化斷筋點!T996)</f>
        <v/>
      </c>
      <c r="AT996" s="37" t="str">
        <f>IF(最佳化斷筋點!U996="","",最佳化斷筋點!U996)</f>
        <v/>
      </c>
      <c r="AU996" s="37" t="str">
        <f>IF(最佳化斷筋點!V996="","",最佳化斷筋點!V996)</f>
        <v/>
      </c>
      <c r="AV996" s="37" t="str">
        <f>IF(最佳化斷筋點!W996="","",最佳化斷筋點!W996)</f>
        <v/>
      </c>
      <c r="AW996" s="37" t="str">
        <f>IF(最佳化斷筋點!X996="","",最佳化斷筋點!X996)</f>
        <v/>
      </c>
      <c r="AZ996" s="37" t="s">
        <v>197</v>
      </c>
      <c r="BA996" s="37" t="s">
        <v>197</v>
      </c>
      <c r="BB996" s="37" t="s">
        <v>197</v>
      </c>
      <c r="BC996" s="37" t="s">
        <v>197</v>
      </c>
      <c r="BD996" s="37" t="s">
        <v>197</v>
      </c>
      <c r="BE996" s="37" t="s">
        <v>197</v>
      </c>
      <c r="BF996" s="37" t="s">
        <v>197</v>
      </c>
      <c r="BG996" s="37" t="s">
        <v>197</v>
      </c>
      <c r="BH996" s="37" t="s">
        <v>197</v>
      </c>
      <c r="BI996" s="37" t="s">
        <v>197</v>
      </c>
      <c r="BJ996" s="37" t="s">
        <v>197</v>
      </c>
      <c r="BK996" s="37" t="s">
        <v>197</v>
      </c>
      <c r="BL996" s="37" t="s">
        <v>197</v>
      </c>
      <c r="BM996" s="37" t="s">
        <v>197</v>
      </c>
      <c r="BN996" s="37" t="s">
        <v>197</v>
      </c>
      <c r="BO996" s="37" t="s">
        <v>197</v>
      </c>
      <c r="BP996" s="37" t="s">
        <v>197</v>
      </c>
      <c r="BQ996" s="37" t="s">
        <v>197</v>
      </c>
      <c r="BR996" s="37" t="s">
        <v>197</v>
      </c>
      <c r="BS996" s="37" t="s">
        <v>197</v>
      </c>
      <c r="BT996" s="37" t="s">
        <v>197</v>
      </c>
    </row>
    <row r="997" spans="5:72" x14ac:dyDescent="0.25">
      <c r="E997" s="36" t="s">
        <v>21</v>
      </c>
      <c r="F997" s="36">
        <f t="shared" si="316"/>
        <v>0</v>
      </c>
      <c r="G997" s="36">
        <f t="shared" si="317"/>
        <v>0</v>
      </c>
      <c r="H997" s="36">
        <f t="shared" si="318"/>
        <v>0</v>
      </c>
      <c r="I997" s="36">
        <f t="shared" si="319"/>
        <v>0</v>
      </c>
      <c r="J997" s="36">
        <f t="shared" si="320"/>
        <v>0</v>
      </c>
      <c r="K997" s="36">
        <f t="shared" si="321"/>
        <v>0</v>
      </c>
      <c r="L997" s="36">
        <f t="shared" si="322"/>
        <v>0</v>
      </c>
      <c r="M997" s="36">
        <f t="shared" si="323"/>
        <v>0</v>
      </c>
      <c r="N997" s="36">
        <f t="shared" si="324"/>
        <v>0</v>
      </c>
      <c r="O997" s="36">
        <f t="shared" si="325"/>
        <v>0</v>
      </c>
      <c r="P997" s="36">
        <f t="shared" si="326"/>
        <v>0</v>
      </c>
      <c r="Q997" s="36">
        <f t="shared" si="327"/>
        <v>0</v>
      </c>
      <c r="R997" s="36">
        <f t="shared" si="328"/>
        <v>0</v>
      </c>
      <c r="S997" s="36">
        <f t="shared" si="329"/>
        <v>0</v>
      </c>
      <c r="T997" s="36">
        <f t="shared" si="330"/>
        <v>0</v>
      </c>
      <c r="U997" s="36">
        <f t="shared" si="331"/>
        <v>0</v>
      </c>
      <c r="V997" s="36">
        <f t="shared" si="332"/>
        <v>0</v>
      </c>
      <c r="W997" s="36">
        <f t="shared" si="333"/>
        <v>0</v>
      </c>
      <c r="X997" s="36">
        <f t="shared" si="334"/>
        <v>0</v>
      </c>
      <c r="Y997" s="36">
        <f t="shared" si="335"/>
        <v>0</v>
      </c>
      <c r="Z997" s="36">
        <f t="shared" si="336"/>
        <v>0</v>
      </c>
      <c r="AB997" s="36" t="str">
        <f>IF(最佳化斷筋點!C997="","",最佳化斷筋點!C997)</f>
        <v>下層</v>
      </c>
      <c r="AC997" s="37">
        <f>IF(最佳化斷筋點!D997="","",最佳化斷筋點!D997)</f>
        <v>15</v>
      </c>
      <c r="AD997" s="37">
        <f>IF(最佳化斷筋點!E997="","",最佳化斷筋點!E997)</f>
        <v>15</v>
      </c>
      <c r="AE997" s="37">
        <f>IF(最佳化斷筋點!F997="","",最佳化斷筋點!F997)</f>
        <v>15</v>
      </c>
      <c r="AF997" s="37">
        <f>IF(最佳化斷筋點!G997="","",最佳化斷筋點!G997)</f>
        <v>15</v>
      </c>
      <c r="AG997" s="37">
        <f>IF(最佳化斷筋點!H997="","",最佳化斷筋點!H997)</f>
        <v>14</v>
      </c>
      <c r="AH997" s="37">
        <f>IF(最佳化斷筋點!I997="","",最佳化斷筋點!I997)</f>
        <v>13</v>
      </c>
      <c r="AI997" s="37">
        <f>IF(最佳化斷筋點!J997="","",最佳化斷筋點!J997)</f>
        <v>11</v>
      </c>
      <c r="AJ997" s="37">
        <f>IF(最佳化斷筋點!K997="","",最佳化斷筋點!K997)</f>
        <v>5</v>
      </c>
      <c r="AK997" s="37">
        <f>IF(最佳化斷筋點!L997="","",最佳化斷筋點!L997)</f>
        <v>5</v>
      </c>
      <c r="AL997" s="37">
        <f>IF(最佳化斷筋點!M997="","",最佳化斷筋點!M997)</f>
        <v>5</v>
      </c>
      <c r="AM997" s="37">
        <f>IF(最佳化斷筋點!N997="","",最佳化斷筋點!N997)</f>
        <v>5</v>
      </c>
      <c r="AN997" s="37">
        <f>IF(最佳化斷筋點!O997="","",最佳化斷筋點!O997)</f>
        <v>5</v>
      </c>
      <c r="AO997" s="37">
        <f>IF(最佳化斷筋點!P997="","",最佳化斷筋點!P997)</f>
        <v>5</v>
      </c>
      <c r="AP997" s="37">
        <f>IF(最佳化斷筋點!Q997="","",最佳化斷筋點!Q997)</f>
        <v>9</v>
      </c>
      <c r="AQ997" s="37">
        <f>IF(最佳化斷筋點!R997="","",最佳化斷筋點!R997)</f>
        <v>10</v>
      </c>
      <c r="AR997" s="37">
        <f>IF(最佳化斷筋點!S997="","",最佳化斷筋點!S997)</f>
        <v>11</v>
      </c>
      <c r="AS997" s="37">
        <f>IF(最佳化斷筋點!T997="","",最佳化斷筋點!T997)</f>
        <v>13</v>
      </c>
      <c r="AT997" s="37">
        <f>IF(最佳化斷筋點!U997="","",最佳化斷筋點!U997)</f>
        <v>14</v>
      </c>
      <c r="AU997" s="37">
        <f>IF(最佳化斷筋點!V997="","",最佳化斷筋點!V997)</f>
        <v>14</v>
      </c>
      <c r="AV997" s="37">
        <f>IF(最佳化斷筋點!W997="","",最佳化斷筋點!W997)</f>
        <v>14</v>
      </c>
      <c r="AW997" s="37">
        <f>IF(最佳化斷筋點!X997="","",最佳化斷筋點!X997)</f>
        <v>14</v>
      </c>
      <c r="AZ997" s="37">
        <v>15</v>
      </c>
      <c r="BA997" s="37">
        <v>15</v>
      </c>
      <c r="BB997" s="37">
        <v>15</v>
      </c>
      <c r="BC997" s="37">
        <v>15</v>
      </c>
      <c r="BD997" s="37">
        <v>14</v>
      </c>
      <c r="BE997" s="37">
        <v>13</v>
      </c>
      <c r="BF997" s="37">
        <v>11</v>
      </c>
      <c r="BG997" s="37">
        <v>5</v>
      </c>
      <c r="BH997" s="37">
        <v>5</v>
      </c>
      <c r="BI997" s="37">
        <v>5</v>
      </c>
      <c r="BJ997" s="37">
        <v>5</v>
      </c>
      <c r="BK997" s="37">
        <v>5</v>
      </c>
      <c r="BL997" s="37">
        <v>5</v>
      </c>
      <c r="BM997" s="37">
        <v>9</v>
      </c>
      <c r="BN997" s="37">
        <v>10</v>
      </c>
      <c r="BO997" s="37">
        <v>11</v>
      </c>
      <c r="BP997" s="37">
        <v>13</v>
      </c>
      <c r="BQ997" s="37">
        <v>14</v>
      </c>
      <c r="BR997" s="37">
        <v>14</v>
      </c>
      <c r="BS997" s="37">
        <v>14</v>
      </c>
      <c r="BT997" s="37">
        <v>14</v>
      </c>
    </row>
    <row r="998" spans="5:72" x14ac:dyDescent="0.25">
      <c r="E998" s="36"/>
      <c r="F998" s="36">
        <f t="shared" si="316"/>
        <v>0</v>
      </c>
      <c r="G998" s="36">
        <f t="shared" si="317"/>
        <v>0</v>
      </c>
      <c r="H998" s="36">
        <f t="shared" si="318"/>
        <v>0</v>
      </c>
      <c r="I998" s="36">
        <f t="shared" si="319"/>
        <v>0</v>
      </c>
      <c r="J998" s="36">
        <f t="shared" si="320"/>
        <v>0</v>
      </c>
      <c r="K998" s="36">
        <f t="shared" si="321"/>
        <v>0</v>
      </c>
      <c r="L998" s="36">
        <f t="shared" si="322"/>
        <v>0</v>
      </c>
      <c r="M998" s="36">
        <f t="shared" si="323"/>
        <v>0</v>
      </c>
      <c r="N998" s="36">
        <f t="shared" si="324"/>
        <v>0</v>
      </c>
      <c r="O998" s="36">
        <f t="shared" si="325"/>
        <v>0</v>
      </c>
      <c r="P998" s="36">
        <f t="shared" si="326"/>
        <v>0</v>
      </c>
      <c r="Q998" s="36">
        <f t="shared" si="327"/>
        <v>0</v>
      </c>
      <c r="R998" s="36">
        <f t="shared" si="328"/>
        <v>0</v>
      </c>
      <c r="S998" s="36">
        <f t="shared" si="329"/>
        <v>0</v>
      </c>
      <c r="T998" s="36">
        <f t="shared" si="330"/>
        <v>0</v>
      </c>
      <c r="U998" s="36">
        <f t="shared" si="331"/>
        <v>0</v>
      </c>
      <c r="V998" s="36">
        <f t="shared" si="332"/>
        <v>0</v>
      </c>
      <c r="W998" s="36">
        <f t="shared" si="333"/>
        <v>0</v>
      </c>
      <c r="X998" s="36">
        <f t="shared" si="334"/>
        <v>0</v>
      </c>
      <c r="Y998" s="36">
        <f t="shared" si="335"/>
        <v>0</v>
      </c>
      <c r="Z998" s="36">
        <f t="shared" si="336"/>
        <v>0</v>
      </c>
      <c r="AB998" s="36" t="str">
        <f>IF(最佳化斷筋點!C998="","",最佳化斷筋點!C998)</f>
        <v/>
      </c>
      <c r="AC998" s="37" t="str">
        <f>IF(最佳化斷筋點!D998="","",最佳化斷筋點!D998)</f>
        <v/>
      </c>
      <c r="AD998" s="37" t="str">
        <f>IF(最佳化斷筋點!E998="","",最佳化斷筋點!E998)</f>
        <v/>
      </c>
      <c r="AE998" s="37" t="str">
        <f>IF(最佳化斷筋點!F998="","",最佳化斷筋點!F998)</f>
        <v/>
      </c>
      <c r="AF998" s="37" t="str">
        <f>IF(最佳化斷筋點!G998="","",最佳化斷筋點!G998)</f>
        <v/>
      </c>
      <c r="AG998" s="37" t="str">
        <f>IF(最佳化斷筋點!H998="","",最佳化斷筋點!H998)</f>
        <v/>
      </c>
      <c r="AH998" s="37" t="str">
        <f>IF(最佳化斷筋點!I998="","",最佳化斷筋點!I998)</f>
        <v/>
      </c>
      <c r="AI998" s="37" t="str">
        <f>IF(最佳化斷筋點!J998="","",最佳化斷筋點!J998)</f>
        <v/>
      </c>
      <c r="AJ998" s="37" t="str">
        <f>IF(最佳化斷筋點!K998="","",最佳化斷筋點!K998)</f>
        <v/>
      </c>
      <c r="AK998" s="37" t="str">
        <f>IF(最佳化斷筋點!L998="","",最佳化斷筋點!L998)</f>
        <v/>
      </c>
      <c r="AL998" s="37" t="str">
        <f>IF(最佳化斷筋點!M998="","",最佳化斷筋點!M998)</f>
        <v/>
      </c>
      <c r="AM998" s="37" t="str">
        <f>IF(最佳化斷筋點!N998="","",最佳化斷筋點!N998)</f>
        <v/>
      </c>
      <c r="AN998" s="37" t="str">
        <f>IF(最佳化斷筋點!O998="","",最佳化斷筋點!O998)</f>
        <v/>
      </c>
      <c r="AO998" s="37" t="str">
        <f>IF(最佳化斷筋點!P998="","",最佳化斷筋點!P998)</f>
        <v/>
      </c>
      <c r="AP998" s="37" t="str">
        <f>IF(最佳化斷筋點!Q998="","",最佳化斷筋點!Q998)</f>
        <v/>
      </c>
      <c r="AQ998" s="37" t="str">
        <f>IF(最佳化斷筋點!R998="","",最佳化斷筋點!R998)</f>
        <v/>
      </c>
      <c r="AR998" s="37" t="str">
        <f>IF(最佳化斷筋點!S998="","",最佳化斷筋點!S998)</f>
        <v/>
      </c>
      <c r="AS998" s="37" t="str">
        <f>IF(最佳化斷筋點!T998="","",最佳化斷筋點!T998)</f>
        <v/>
      </c>
      <c r="AT998" s="37" t="str">
        <f>IF(最佳化斷筋點!U998="","",最佳化斷筋點!U998)</f>
        <v/>
      </c>
      <c r="AU998" s="37" t="str">
        <f>IF(最佳化斷筋點!V998="","",最佳化斷筋點!V998)</f>
        <v/>
      </c>
      <c r="AV998" s="37" t="str">
        <f>IF(最佳化斷筋點!W998="","",最佳化斷筋點!W998)</f>
        <v/>
      </c>
      <c r="AW998" s="37" t="str">
        <f>IF(最佳化斷筋點!X998="","",最佳化斷筋點!X998)</f>
        <v/>
      </c>
      <c r="AZ998" s="37" t="s">
        <v>197</v>
      </c>
      <c r="BA998" s="37" t="s">
        <v>197</v>
      </c>
      <c r="BB998" s="37" t="s">
        <v>197</v>
      </c>
      <c r="BC998" s="37" t="s">
        <v>197</v>
      </c>
      <c r="BD998" s="37" t="s">
        <v>197</v>
      </c>
      <c r="BE998" s="37" t="s">
        <v>197</v>
      </c>
      <c r="BF998" s="37" t="s">
        <v>197</v>
      </c>
      <c r="BG998" s="37" t="s">
        <v>197</v>
      </c>
      <c r="BH998" s="37" t="s">
        <v>197</v>
      </c>
      <c r="BI998" s="37" t="s">
        <v>197</v>
      </c>
      <c r="BJ998" s="37" t="s">
        <v>197</v>
      </c>
      <c r="BK998" s="37" t="s">
        <v>197</v>
      </c>
      <c r="BL998" s="37" t="s">
        <v>197</v>
      </c>
      <c r="BM998" s="37" t="s">
        <v>197</v>
      </c>
      <c r="BN998" s="37" t="s">
        <v>197</v>
      </c>
      <c r="BO998" s="37" t="s">
        <v>197</v>
      </c>
      <c r="BP998" s="37" t="s">
        <v>197</v>
      </c>
      <c r="BQ998" s="37" t="s">
        <v>197</v>
      </c>
      <c r="BR998" s="37" t="s">
        <v>197</v>
      </c>
      <c r="BS998" s="37" t="s">
        <v>197</v>
      </c>
      <c r="BT998" s="37" t="s">
        <v>197</v>
      </c>
    </row>
    <row r="999" spans="5:72" x14ac:dyDescent="0.25">
      <c r="E999" s="36" t="s">
        <v>20</v>
      </c>
      <c r="F999" s="36">
        <f t="shared" si="316"/>
        <v>0</v>
      </c>
      <c r="G999" s="36">
        <f t="shared" si="317"/>
        <v>0</v>
      </c>
      <c r="H999" s="36">
        <f t="shared" si="318"/>
        <v>0</v>
      </c>
      <c r="I999" s="36">
        <f t="shared" si="319"/>
        <v>0</v>
      </c>
      <c r="J999" s="36">
        <f t="shared" si="320"/>
        <v>0</v>
      </c>
      <c r="K999" s="36">
        <f t="shared" si="321"/>
        <v>0</v>
      </c>
      <c r="L999" s="36">
        <f t="shared" si="322"/>
        <v>0</v>
      </c>
      <c r="M999" s="36">
        <f t="shared" si="323"/>
        <v>0</v>
      </c>
      <c r="N999" s="36">
        <f t="shared" si="324"/>
        <v>0</v>
      </c>
      <c r="O999" s="36">
        <f t="shared" si="325"/>
        <v>0</v>
      </c>
      <c r="P999" s="36">
        <f t="shared" si="326"/>
        <v>0</v>
      </c>
      <c r="Q999" s="36">
        <f t="shared" si="327"/>
        <v>0</v>
      </c>
      <c r="R999" s="36">
        <f t="shared" si="328"/>
        <v>0</v>
      </c>
      <c r="S999" s="36">
        <f t="shared" si="329"/>
        <v>0</v>
      </c>
      <c r="T999" s="36">
        <f t="shared" si="330"/>
        <v>0</v>
      </c>
      <c r="U999" s="36">
        <f t="shared" si="331"/>
        <v>0</v>
      </c>
      <c r="V999" s="36">
        <f t="shared" si="332"/>
        <v>0</v>
      </c>
      <c r="W999" s="36">
        <f t="shared" si="333"/>
        <v>0</v>
      </c>
      <c r="X999" s="36">
        <f t="shared" si="334"/>
        <v>0</v>
      </c>
      <c r="Y999" s="36">
        <f t="shared" si="335"/>
        <v>0</v>
      </c>
      <c r="Z999" s="36">
        <f t="shared" si="336"/>
        <v>0</v>
      </c>
      <c r="AB999" s="36" t="str">
        <f>IF(最佳化斷筋點!C999="","",最佳化斷筋點!C999)</f>
        <v>上層</v>
      </c>
      <c r="AC999" s="37">
        <f>IF(最佳化斷筋點!D999="","",最佳化斷筋點!D999)</f>
        <v>10</v>
      </c>
      <c r="AD999" s="37">
        <f>IF(最佳化斷筋點!E999="","",最佳化斷筋點!E999)</f>
        <v>10</v>
      </c>
      <c r="AE999" s="37">
        <f>IF(最佳化斷筋點!F999="","",最佳化斷筋點!F999)</f>
        <v>10</v>
      </c>
      <c r="AF999" s="37">
        <f>IF(最佳化斷筋點!G999="","",最佳化斷筋點!G999)</f>
        <v>10</v>
      </c>
      <c r="AG999" s="37">
        <f>IF(最佳化斷筋點!H999="","",最佳化斷筋點!H999)</f>
        <v>10</v>
      </c>
      <c r="AH999" s="37">
        <f>IF(最佳化斷筋點!I999="","",最佳化斷筋點!I999)</f>
        <v>10</v>
      </c>
      <c r="AI999" s="37">
        <f>IF(最佳化斷筋點!J999="","",最佳化斷筋點!J999)</f>
        <v>10</v>
      </c>
      <c r="AJ999" s="37">
        <f>IF(最佳化斷筋點!K999="","",最佳化斷筋點!K999)</f>
        <v>9</v>
      </c>
      <c r="AK999" s="37">
        <f>IF(最佳化斷筋點!L999="","",最佳化斷筋點!L999)</f>
        <v>9</v>
      </c>
      <c r="AL999" s="37">
        <f>IF(最佳化斷筋點!M999="","",最佳化斷筋點!M999)</f>
        <v>8</v>
      </c>
      <c r="AM999" s="37">
        <f>IF(最佳化斷筋點!N999="","",最佳化斷筋點!N999)</f>
        <v>7</v>
      </c>
      <c r="AN999" s="37">
        <f>IF(最佳化斷筋點!O999="","",最佳化斷筋點!O999)</f>
        <v>6</v>
      </c>
      <c r="AO999" s="37">
        <f>IF(最佳化斷筋點!P999="","",最佳化斷筋點!P999)</f>
        <v>7</v>
      </c>
      <c r="AP999" s="37">
        <f>IF(最佳化斷筋點!Q999="","",最佳化斷筋點!Q999)</f>
        <v>8</v>
      </c>
      <c r="AQ999" s="37">
        <f>IF(最佳化斷筋點!R999="","",最佳化斷筋點!R999)</f>
        <v>9</v>
      </c>
      <c r="AR999" s="37">
        <f>IF(最佳化斷筋點!S999="","",最佳化斷筋點!S999)</f>
        <v>9</v>
      </c>
      <c r="AS999" s="37">
        <f>IF(最佳化斷筋點!T999="","",最佳化斷筋點!T999)</f>
        <v>9</v>
      </c>
      <c r="AT999" s="37">
        <f>IF(最佳化斷筋點!U999="","",最佳化斷筋點!U999)</f>
        <v>9</v>
      </c>
      <c r="AU999" s="37">
        <f>IF(最佳化斷筋點!V999="","",最佳化斷筋點!V999)</f>
        <v>9</v>
      </c>
      <c r="AV999" s="37">
        <f>IF(最佳化斷筋點!W999="","",最佳化斷筋點!W999)</f>
        <v>9</v>
      </c>
      <c r="AW999" s="37">
        <f>IF(最佳化斷筋點!X999="","",最佳化斷筋點!X999)</f>
        <v>9</v>
      </c>
      <c r="AZ999" s="37">
        <v>10</v>
      </c>
      <c r="BA999" s="37">
        <v>10</v>
      </c>
      <c r="BB999" s="37">
        <v>10</v>
      </c>
      <c r="BC999" s="37">
        <v>10</v>
      </c>
      <c r="BD999" s="37">
        <v>10</v>
      </c>
      <c r="BE999" s="37">
        <v>10</v>
      </c>
      <c r="BF999" s="37">
        <v>10</v>
      </c>
      <c r="BG999" s="37">
        <v>9</v>
      </c>
      <c r="BH999" s="37">
        <v>9</v>
      </c>
      <c r="BI999" s="37">
        <v>8</v>
      </c>
      <c r="BJ999" s="37">
        <v>7</v>
      </c>
      <c r="BK999" s="37">
        <v>6</v>
      </c>
      <c r="BL999" s="37">
        <v>7</v>
      </c>
      <c r="BM999" s="37">
        <v>8</v>
      </c>
      <c r="BN999" s="37">
        <v>9</v>
      </c>
      <c r="BO999" s="37">
        <v>9</v>
      </c>
      <c r="BP999" s="37">
        <v>9</v>
      </c>
      <c r="BQ999" s="37">
        <v>9</v>
      </c>
      <c r="BR999" s="37">
        <v>9</v>
      </c>
      <c r="BS999" s="37">
        <v>9</v>
      </c>
      <c r="BT999" s="37">
        <v>9</v>
      </c>
    </row>
    <row r="1000" spans="5:72" x14ac:dyDescent="0.25">
      <c r="E1000" s="36"/>
      <c r="F1000" s="36">
        <f t="shared" si="316"/>
        <v>0</v>
      </c>
      <c r="G1000" s="36">
        <f t="shared" si="317"/>
        <v>0</v>
      </c>
      <c r="H1000" s="36">
        <f t="shared" si="318"/>
        <v>0</v>
      </c>
      <c r="I1000" s="36">
        <f t="shared" si="319"/>
        <v>0</v>
      </c>
      <c r="J1000" s="36">
        <f t="shared" si="320"/>
        <v>0</v>
      </c>
      <c r="K1000" s="36">
        <f t="shared" si="321"/>
        <v>0</v>
      </c>
      <c r="L1000" s="36">
        <f t="shared" si="322"/>
        <v>0</v>
      </c>
      <c r="M1000" s="36">
        <f t="shared" si="323"/>
        <v>0</v>
      </c>
      <c r="N1000" s="36">
        <f t="shared" si="324"/>
        <v>0</v>
      </c>
      <c r="O1000" s="36">
        <f t="shared" si="325"/>
        <v>0</v>
      </c>
      <c r="P1000" s="36">
        <f t="shared" si="326"/>
        <v>0</v>
      </c>
      <c r="Q1000" s="36">
        <f t="shared" si="327"/>
        <v>0</v>
      </c>
      <c r="R1000" s="36">
        <f t="shared" si="328"/>
        <v>0</v>
      </c>
      <c r="S1000" s="36">
        <f t="shared" si="329"/>
        <v>0</v>
      </c>
      <c r="T1000" s="36">
        <f t="shared" si="330"/>
        <v>0</v>
      </c>
      <c r="U1000" s="36">
        <f t="shared" si="331"/>
        <v>0</v>
      </c>
      <c r="V1000" s="36">
        <f t="shared" si="332"/>
        <v>0</v>
      </c>
      <c r="W1000" s="36">
        <f t="shared" si="333"/>
        <v>0</v>
      </c>
      <c r="X1000" s="36">
        <f t="shared" si="334"/>
        <v>0</v>
      </c>
      <c r="Y1000" s="36">
        <f t="shared" si="335"/>
        <v>0</v>
      </c>
      <c r="Z1000" s="36">
        <f t="shared" si="336"/>
        <v>0</v>
      </c>
      <c r="AB1000" s="36" t="str">
        <f>IF(最佳化斷筋點!C1000="","",最佳化斷筋點!C1000)</f>
        <v/>
      </c>
      <c r="AC1000" s="37" t="str">
        <f>IF(最佳化斷筋點!D1000="","",最佳化斷筋點!D1000)</f>
        <v/>
      </c>
      <c r="AD1000" s="37" t="str">
        <f>IF(最佳化斷筋點!E1000="","",最佳化斷筋點!E1000)</f>
        <v/>
      </c>
      <c r="AE1000" s="37" t="str">
        <f>IF(最佳化斷筋點!F1000="","",最佳化斷筋點!F1000)</f>
        <v/>
      </c>
      <c r="AF1000" s="37" t="str">
        <f>IF(最佳化斷筋點!G1000="","",最佳化斷筋點!G1000)</f>
        <v/>
      </c>
      <c r="AG1000" s="37" t="str">
        <f>IF(最佳化斷筋點!H1000="","",最佳化斷筋點!H1000)</f>
        <v/>
      </c>
      <c r="AH1000" s="37" t="str">
        <f>IF(最佳化斷筋點!I1000="","",最佳化斷筋點!I1000)</f>
        <v/>
      </c>
      <c r="AI1000" s="37" t="str">
        <f>IF(最佳化斷筋點!J1000="","",最佳化斷筋點!J1000)</f>
        <v/>
      </c>
      <c r="AJ1000" s="37" t="str">
        <f>IF(最佳化斷筋點!K1000="","",最佳化斷筋點!K1000)</f>
        <v/>
      </c>
      <c r="AK1000" s="37" t="str">
        <f>IF(最佳化斷筋點!L1000="","",最佳化斷筋點!L1000)</f>
        <v/>
      </c>
      <c r="AL1000" s="37" t="str">
        <f>IF(最佳化斷筋點!M1000="","",最佳化斷筋點!M1000)</f>
        <v/>
      </c>
      <c r="AM1000" s="37" t="str">
        <f>IF(最佳化斷筋點!N1000="","",最佳化斷筋點!N1000)</f>
        <v/>
      </c>
      <c r="AN1000" s="37" t="str">
        <f>IF(最佳化斷筋點!O1000="","",最佳化斷筋點!O1000)</f>
        <v/>
      </c>
      <c r="AO1000" s="37" t="str">
        <f>IF(最佳化斷筋點!P1000="","",最佳化斷筋點!P1000)</f>
        <v/>
      </c>
      <c r="AP1000" s="37" t="str">
        <f>IF(最佳化斷筋點!Q1000="","",最佳化斷筋點!Q1000)</f>
        <v/>
      </c>
      <c r="AQ1000" s="37" t="str">
        <f>IF(最佳化斷筋點!R1000="","",最佳化斷筋點!R1000)</f>
        <v/>
      </c>
      <c r="AR1000" s="37" t="str">
        <f>IF(最佳化斷筋點!S1000="","",最佳化斷筋點!S1000)</f>
        <v/>
      </c>
      <c r="AS1000" s="37" t="str">
        <f>IF(最佳化斷筋點!T1000="","",最佳化斷筋點!T1000)</f>
        <v/>
      </c>
      <c r="AT1000" s="37" t="str">
        <f>IF(最佳化斷筋點!U1000="","",最佳化斷筋點!U1000)</f>
        <v/>
      </c>
      <c r="AU1000" s="37" t="str">
        <f>IF(最佳化斷筋點!V1000="","",最佳化斷筋點!V1000)</f>
        <v/>
      </c>
      <c r="AV1000" s="37" t="str">
        <f>IF(最佳化斷筋點!W1000="","",最佳化斷筋點!W1000)</f>
        <v/>
      </c>
      <c r="AW1000" s="37" t="str">
        <f>IF(最佳化斷筋點!X1000="","",最佳化斷筋點!X1000)</f>
        <v/>
      </c>
      <c r="AZ1000" s="37" t="s">
        <v>197</v>
      </c>
      <c r="BA1000" s="37" t="s">
        <v>197</v>
      </c>
      <c r="BB1000" s="37" t="s">
        <v>197</v>
      </c>
      <c r="BC1000" s="37" t="s">
        <v>197</v>
      </c>
      <c r="BD1000" s="37" t="s">
        <v>197</v>
      </c>
      <c r="BE1000" s="37" t="s">
        <v>197</v>
      </c>
      <c r="BF1000" s="37" t="s">
        <v>197</v>
      </c>
      <c r="BG1000" s="37" t="s">
        <v>197</v>
      </c>
      <c r="BH1000" s="37" t="s">
        <v>197</v>
      </c>
      <c r="BI1000" s="37" t="s">
        <v>197</v>
      </c>
      <c r="BJ1000" s="37" t="s">
        <v>197</v>
      </c>
      <c r="BK1000" s="37" t="s">
        <v>197</v>
      </c>
      <c r="BL1000" s="37" t="s">
        <v>197</v>
      </c>
      <c r="BM1000" s="37" t="s">
        <v>197</v>
      </c>
      <c r="BN1000" s="37" t="s">
        <v>197</v>
      </c>
      <c r="BO1000" s="37" t="s">
        <v>197</v>
      </c>
      <c r="BP1000" s="37" t="s">
        <v>197</v>
      </c>
      <c r="BQ1000" s="37" t="s">
        <v>197</v>
      </c>
      <c r="BR1000" s="37" t="s">
        <v>197</v>
      </c>
      <c r="BS1000" s="37" t="s">
        <v>197</v>
      </c>
      <c r="BT1000" s="37" t="s">
        <v>197</v>
      </c>
    </row>
    <row r="1001" spans="5:72" x14ac:dyDescent="0.25">
      <c r="E1001" s="36" t="s">
        <v>21</v>
      </c>
      <c r="F1001" s="36">
        <f t="shared" si="316"/>
        <v>0</v>
      </c>
      <c r="G1001" s="36">
        <f t="shared" si="317"/>
        <v>0</v>
      </c>
      <c r="H1001" s="36">
        <f t="shared" si="318"/>
        <v>0</v>
      </c>
      <c r="I1001" s="36">
        <f t="shared" si="319"/>
        <v>0</v>
      </c>
      <c r="J1001" s="36">
        <f t="shared" si="320"/>
        <v>0</v>
      </c>
      <c r="K1001" s="36">
        <f t="shared" si="321"/>
        <v>0</v>
      </c>
      <c r="L1001" s="36">
        <f t="shared" si="322"/>
        <v>0</v>
      </c>
      <c r="M1001" s="36">
        <f t="shared" si="323"/>
        <v>0</v>
      </c>
      <c r="N1001" s="36">
        <f t="shared" si="324"/>
        <v>0</v>
      </c>
      <c r="O1001" s="36">
        <f t="shared" si="325"/>
        <v>0</v>
      </c>
      <c r="P1001" s="36">
        <f t="shared" si="326"/>
        <v>0</v>
      </c>
      <c r="Q1001" s="36">
        <f t="shared" si="327"/>
        <v>0</v>
      </c>
      <c r="R1001" s="36">
        <f t="shared" si="328"/>
        <v>0</v>
      </c>
      <c r="S1001" s="36">
        <f t="shared" si="329"/>
        <v>0</v>
      </c>
      <c r="T1001" s="36">
        <f t="shared" si="330"/>
        <v>0</v>
      </c>
      <c r="U1001" s="36">
        <f t="shared" si="331"/>
        <v>0</v>
      </c>
      <c r="V1001" s="36">
        <f t="shared" si="332"/>
        <v>0</v>
      </c>
      <c r="W1001" s="36">
        <f t="shared" si="333"/>
        <v>0</v>
      </c>
      <c r="X1001" s="36">
        <f t="shared" si="334"/>
        <v>0</v>
      </c>
      <c r="Y1001" s="36">
        <f t="shared" si="335"/>
        <v>0</v>
      </c>
      <c r="Z1001" s="36">
        <f t="shared" si="336"/>
        <v>0</v>
      </c>
      <c r="AB1001" s="36" t="str">
        <f>IF(最佳化斷筋點!C1001="","",最佳化斷筋點!C1001)</f>
        <v>下層</v>
      </c>
      <c r="AC1001" s="37">
        <f>IF(最佳化斷筋點!D1001="","",最佳化斷筋點!D1001)</f>
        <v>13</v>
      </c>
      <c r="AD1001" s="37">
        <f>IF(最佳化斷筋點!E1001="","",最佳化斷筋點!E1001)</f>
        <v>13</v>
      </c>
      <c r="AE1001" s="37">
        <f>IF(最佳化斷筋點!F1001="","",最佳化斷筋點!F1001)</f>
        <v>13</v>
      </c>
      <c r="AF1001" s="37">
        <f>IF(最佳化斷筋點!G1001="","",最佳化斷筋點!G1001)</f>
        <v>13</v>
      </c>
      <c r="AG1001" s="37">
        <f>IF(最佳化斷筋點!H1001="","",最佳化斷筋點!H1001)</f>
        <v>13</v>
      </c>
      <c r="AH1001" s="37">
        <f>IF(最佳化斷筋點!I1001="","",最佳化斷筋點!I1001)</f>
        <v>13</v>
      </c>
      <c r="AI1001" s="37">
        <f>IF(最佳化斷筋點!J1001="","",最佳化斷筋點!J1001)</f>
        <v>13</v>
      </c>
      <c r="AJ1001" s="37">
        <f>IF(最佳化斷筋點!K1001="","",最佳化斷筋點!K1001)</f>
        <v>13</v>
      </c>
      <c r="AK1001" s="37">
        <f>IF(最佳化斷筋點!L1001="","",最佳化斷筋點!L1001)</f>
        <v>13</v>
      </c>
      <c r="AL1001" s="37">
        <f>IF(最佳化斷筋點!M1001="","",最佳化斷筋點!M1001)</f>
        <v>13</v>
      </c>
      <c r="AM1001" s="37">
        <f>IF(最佳化斷筋點!N1001="","",最佳化斷筋點!N1001)</f>
        <v>13</v>
      </c>
      <c r="AN1001" s="37">
        <f>IF(最佳化斷筋點!O1001="","",最佳化斷筋點!O1001)</f>
        <v>13</v>
      </c>
      <c r="AO1001" s="37">
        <f>IF(最佳化斷筋點!P1001="","",最佳化斷筋點!P1001)</f>
        <v>13</v>
      </c>
      <c r="AP1001" s="37">
        <f>IF(最佳化斷筋點!Q1001="","",最佳化斷筋點!Q1001)</f>
        <v>13</v>
      </c>
      <c r="AQ1001" s="37">
        <f>IF(最佳化斷筋點!R1001="","",最佳化斷筋點!R1001)</f>
        <v>13</v>
      </c>
      <c r="AR1001" s="37">
        <f>IF(最佳化斷筋點!S1001="","",最佳化斷筋點!S1001)</f>
        <v>13</v>
      </c>
      <c r="AS1001" s="37">
        <f>IF(最佳化斷筋點!T1001="","",最佳化斷筋點!T1001)</f>
        <v>13</v>
      </c>
      <c r="AT1001" s="37">
        <f>IF(最佳化斷筋點!U1001="","",最佳化斷筋點!U1001)</f>
        <v>13</v>
      </c>
      <c r="AU1001" s="37">
        <f>IF(最佳化斷筋點!V1001="","",最佳化斷筋點!V1001)</f>
        <v>12</v>
      </c>
      <c r="AV1001" s="37">
        <f>IF(最佳化斷筋點!W1001="","",最佳化斷筋點!W1001)</f>
        <v>12</v>
      </c>
      <c r="AW1001" s="37">
        <f>IF(最佳化斷筋點!X1001="","",最佳化斷筋點!X1001)</f>
        <v>12</v>
      </c>
      <c r="AZ1001" s="37">
        <v>13</v>
      </c>
      <c r="BA1001" s="37">
        <v>13</v>
      </c>
      <c r="BB1001" s="37">
        <v>13</v>
      </c>
      <c r="BC1001" s="37">
        <v>13</v>
      </c>
      <c r="BD1001" s="37">
        <v>13</v>
      </c>
      <c r="BE1001" s="37">
        <v>13</v>
      </c>
      <c r="BF1001" s="37">
        <v>13</v>
      </c>
      <c r="BG1001" s="37">
        <v>13</v>
      </c>
      <c r="BH1001" s="37">
        <v>13</v>
      </c>
      <c r="BI1001" s="37">
        <v>13</v>
      </c>
      <c r="BJ1001" s="37">
        <v>13</v>
      </c>
      <c r="BK1001" s="37">
        <v>13</v>
      </c>
      <c r="BL1001" s="37">
        <v>13</v>
      </c>
      <c r="BM1001" s="37">
        <v>13</v>
      </c>
      <c r="BN1001" s="37">
        <v>13</v>
      </c>
      <c r="BO1001" s="37">
        <v>13</v>
      </c>
      <c r="BP1001" s="37">
        <v>13</v>
      </c>
      <c r="BQ1001" s="37">
        <v>13</v>
      </c>
      <c r="BR1001" s="37">
        <v>12</v>
      </c>
      <c r="BS1001" s="37">
        <v>12</v>
      </c>
      <c r="BT1001" s="37">
        <v>12</v>
      </c>
    </row>
    <row r="1002" spans="5:72" x14ac:dyDescent="0.25">
      <c r="E1002" s="36"/>
      <c r="F1002" s="36">
        <f t="shared" si="316"/>
        <v>0</v>
      </c>
      <c r="G1002" s="36">
        <f t="shared" si="317"/>
        <v>0</v>
      </c>
      <c r="H1002" s="36">
        <f t="shared" si="318"/>
        <v>0</v>
      </c>
      <c r="I1002" s="36">
        <f t="shared" si="319"/>
        <v>0</v>
      </c>
      <c r="J1002" s="36">
        <f t="shared" si="320"/>
        <v>0</v>
      </c>
      <c r="K1002" s="36">
        <f t="shared" si="321"/>
        <v>0</v>
      </c>
      <c r="L1002" s="36">
        <f t="shared" si="322"/>
        <v>0</v>
      </c>
      <c r="M1002" s="36">
        <f t="shared" si="323"/>
        <v>0</v>
      </c>
      <c r="N1002" s="36">
        <f t="shared" si="324"/>
        <v>0</v>
      </c>
      <c r="O1002" s="36">
        <f t="shared" si="325"/>
        <v>0</v>
      </c>
      <c r="P1002" s="36">
        <f t="shared" si="326"/>
        <v>0</v>
      </c>
      <c r="Q1002" s="36">
        <f t="shared" si="327"/>
        <v>0</v>
      </c>
      <c r="R1002" s="36">
        <f t="shared" si="328"/>
        <v>0</v>
      </c>
      <c r="S1002" s="36">
        <f t="shared" si="329"/>
        <v>0</v>
      </c>
      <c r="T1002" s="36">
        <f t="shared" si="330"/>
        <v>0</v>
      </c>
      <c r="U1002" s="36">
        <f t="shared" si="331"/>
        <v>0</v>
      </c>
      <c r="V1002" s="36">
        <f t="shared" si="332"/>
        <v>0</v>
      </c>
      <c r="W1002" s="36">
        <f t="shared" si="333"/>
        <v>0</v>
      </c>
      <c r="X1002" s="36">
        <f t="shared" si="334"/>
        <v>0</v>
      </c>
      <c r="Y1002" s="36">
        <f t="shared" si="335"/>
        <v>0</v>
      </c>
      <c r="Z1002" s="36">
        <f t="shared" si="336"/>
        <v>0</v>
      </c>
      <c r="AB1002" s="36" t="str">
        <f>IF(最佳化斷筋點!C1002="","",最佳化斷筋點!C1002)</f>
        <v/>
      </c>
      <c r="AC1002" s="37" t="str">
        <f>IF(最佳化斷筋點!D1002="","",最佳化斷筋點!D1002)</f>
        <v/>
      </c>
      <c r="AD1002" s="37" t="str">
        <f>IF(最佳化斷筋點!E1002="","",最佳化斷筋點!E1002)</f>
        <v/>
      </c>
      <c r="AE1002" s="37" t="str">
        <f>IF(最佳化斷筋點!F1002="","",最佳化斷筋點!F1002)</f>
        <v/>
      </c>
      <c r="AF1002" s="37" t="str">
        <f>IF(最佳化斷筋點!G1002="","",最佳化斷筋點!G1002)</f>
        <v/>
      </c>
      <c r="AG1002" s="37" t="str">
        <f>IF(最佳化斷筋點!H1002="","",最佳化斷筋點!H1002)</f>
        <v/>
      </c>
      <c r="AH1002" s="37" t="str">
        <f>IF(最佳化斷筋點!I1002="","",最佳化斷筋點!I1002)</f>
        <v/>
      </c>
      <c r="AI1002" s="37" t="str">
        <f>IF(最佳化斷筋點!J1002="","",最佳化斷筋點!J1002)</f>
        <v/>
      </c>
      <c r="AJ1002" s="37" t="str">
        <f>IF(最佳化斷筋點!K1002="","",最佳化斷筋點!K1002)</f>
        <v/>
      </c>
      <c r="AK1002" s="37" t="str">
        <f>IF(最佳化斷筋點!L1002="","",最佳化斷筋點!L1002)</f>
        <v/>
      </c>
      <c r="AL1002" s="37" t="str">
        <f>IF(最佳化斷筋點!M1002="","",最佳化斷筋點!M1002)</f>
        <v/>
      </c>
      <c r="AM1002" s="37" t="str">
        <f>IF(最佳化斷筋點!N1002="","",最佳化斷筋點!N1002)</f>
        <v/>
      </c>
      <c r="AN1002" s="37" t="str">
        <f>IF(最佳化斷筋點!O1002="","",最佳化斷筋點!O1002)</f>
        <v/>
      </c>
      <c r="AO1002" s="37" t="str">
        <f>IF(最佳化斷筋點!P1002="","",最佳化斷筋點!P1002)</f>
        <v/>
      </c>
      <c r="AP1002" s="37" t="str">
        <f>IF(最佳化斷筋點!Q1002="","",最佳化斷筋點!Q1002)</f>
        <v/>
      </c>
      <c r="AQ1002" s="37" t="str">
        <f>IF(最佳化斷筋點!R1002="","",最佳化斷筋點!R1002)</f>
        <v/>
      </c>
      <c r="AR1002" s="37" t="str">
        <f>IF(最佳化斷筋點!S1002="","",最佳化斷筋點!S1002)</f>
        <v/>
      </c>
      <c r="AS1002" s="37" t="str">
        <f>IF(最佳化斷筋點!T1002="","",最佳化斷筋點!T1002)</f>
        <v/>
      </c>
      <c r="AT1002" s="37" t="str">
        <f>IF(最佳化斷筋點!U1002="","",最佳化斷筋點!U1002)</f>
        <v/>
      </c>
      <c r="AU1002" s="37" t="str">
        <f>IF(最佳化斷筋點!V1002="","",最佳化斷筋點!V1002)</f>
        <v/>
      </c>
      <c r="AV1002" s="37" t="str">
        <f>IF(最佳化斷筋點!W1002="","",最佳化斷筋點!W1002)</f>
        <v/>
      </c>
      <c r="AW1002" s="37" t="str">
        <f>IF(最佳化斷筋點!X1002="","",最佳化斷筋點!X1002)</f>
        <v/>
      </c>
      <c r="AZ1002" s="37" t="s">
        <v>197</v>
      </c>
      <c r="BA1002" s="37" t="s">
        <v>197</v>
      </c>
      <c r="BB1002" s="37" t="s">
        <v>197</v>
      </c>
      <c r="BC1002" s="37" t="s">
        <v>197</v>
      </c>
      <c r="BD1002" s="37" t="s">
        <v>197</v>
      </c>
      <c r="BE1002" s="37" t="s">
        <v>197</v>
      </c>
      <c r="BF1002" s="37" t="s">
        <v>197</v>
      </c>
      <c r="BG1002" s="37" t="s">
        <v>197</v>
      </c>
      <c r="BH1002" s="37" t="s">
        <v>197</v>
      </c>
      <c r="BI1002" s="37" t="s">
        <v>197</v>
      </c>
      <c r="BJ1002" s="37" t="s">
        <v>197</v>
      </c>
      <c r="BK1002" s="37" t="s">
        <v>197</v>
      </c>
      <c r="BL1002" s="37" t="s">
        <v>197</v>
      </c>
      <c r="BM1002" s="37" t="s">
        <v>197</v>
      </c>
      <c r="BN1002" s="37" t="s">
        <v>197</v>
      </c>
      <c r="BO1002" s="37" t="s">
        <v>197</v>
      </c>
      <c r="BP1002" s="37" t="s">
        <v>197</v>
      </c>
      <c r="BQ1002" s="37" t="s">
        <v>197</v>
      </c>
      <c r="BR1002" s="37" t="s">
        <v>197</v>
      </c>
      <c r="BS1002" s="37" t="s">
        <v>197</v>
      </c>
      <c r="BT1002" s="37" t="s">
        <v>197</v>
      </c>
    </row>
    <row r="1003" spans="5:72" x14ac:dyDescent="0.25">
      <c r="E1003" s="36" t="s">
        <v>20</v>
      </c>
      <c r="F1003" s="36">
        <f t="shared" si="316"/>
        <v>0</v>
      </c>
      <c r="G1003" s="36">
        <f t="shared" si="317"/>
        <v>0</v>
      </c>
      <c r="H1003" s="36">
        <f t="shared" si="318"/>
        <v>0</v>
      </c>
      <c r="I1003" s="36">
        <f t="shared" si="319"/>
        <v>0</v>
      </c>
      <c r="J1003" s="36">
        <f t="shared" si="320"/>
        <v>0</v>
      </c>
      <c r="K1003" s="36">
        <f t="shared" si="321"/>
        <v>0</v>
      </c>
      <c r="L1003" s="36">
        <f t="shared" si="322"/>
        <v>0</v>
      </c>
      <c r="M1003" s="36">
        <f t="shared" si="323"/>
        <v>0</v>
      </c>
      <c r="N1003" s="36">
        <f t="shared" si="324"/>
        <v>0</v>
      </c>
      <c r="O1003" s="36">
        <f t="shared" si="325"/>
        <v>0</v>
      </c>
      <c r="P1003" s="36">
        <f t="shared" si="326"/>
        <v>0</v>
      </c>
      <c r="Q1003" s="36">
        <f t="shared" si="327"/>
        <v>0</v>
      </c>
      <c r="R1003" s="36">
        <f t="shared" si="328"/>
        <v>0</v>
      </c>
      <c r="S1003" s="36">
        <f t="shared" si="329"/>
        <v>0</v>
      </c>
      <c r="T1003" s="36">
        <f t="shared" si="330"/>
        <v>0</v>
      </c>
      <c r="U1003" s="36">
        <f t="shared" si="331"/>
        <v>0</v>
      </c>
      <c r="V1003" s="36">
        <f t="shared" si="332"/>
        <v>0</v>
      </c>
      <c r="W1003" s="36">
        <f t="shared" si="333"/>
        <v>0</v>
      </c>
      <c r="X1003" s="36">
        <f t="shared" si="334"/>
        <v>0</v>
      </c>
      <c r="Y1003" s="36">
        <f t="shared" si="335"/>
        <v>0</v>
      </c>
      <c r="Z1003" s="36">
        <f t="shared" si="336"/>
        <v>0</v>
      </c>
      <c r="AB1003" s="36" t="str">
        <f>IF(最佳化斷筋點!C1003="","",最佳化斷筋點!C1003)</f>
        <v>上層</v>
      </c>
      <c r="AC1003" s="37">
        <f>IF(最佳化斷筋點!D1003="","",最佳化斷筋點!D1003)</f>
        <v>12</v>
      </c>
      <c r="AD1003" s="37">
        <f>IF(最佳化斷筋點!E1003="","",最佳化斷筋點!E1003)</f>
        <v>12</v>
      </c>
      <c r="AE1003" s="37">
        <f>IF(最佳化斷筋點!F1003="","",最佳化斷筋點!F1003)</f>
        <v>12</v>
      </c>
      <c r="AF1003" s="37">
        <f>IF(最佳化斷筋點!G1003="","",最佳化斷筋點!G1003)</f>
        <v>12</v>
      </c>
      <c r="AG1003" s="37">
        <f>IF(最佳化斷筋點!H1003="","",最佳化斷筋點!H1003)</f>
        <v>12</v>
      </c>
      <c r="AH1003" s="37">
        <f>IF(最佳化斷筋點!I1003="","",最佳化斷筋點!I1003)</f>
        <v>12</v>
      </c>
      <c r="AI1003" s="37">
        <f>IF(最佳化斷筋點!J1003="","",最佳化斷筋點!J1003)</f>
        <v>11</v>
      </c>
      <c r="AJ1003" s="37">
        <f>IF(最佳化斷筋點!K1003="","",最佳化斷筋點!K1003)</f>
        <v>5</v>
      </c>
      <c r="AK1003" s="37">
        <f>IF(最佳化斷筋點!L1003="","",最佳化斷筋點!L1003)</f>
        <v>5</v>
      </c>
      <c r="AL1003" s="37">
        <f>IF(最佳化斷筋點!M1003="","",最佳化斷筋點!M1003)</f>
        <v>5</v>
      </c>
      <c r="AM1003" s="37">
        <f>IF(最佳化斷筋點!N1003="","",最佳化斷筋點!N1003)</f>
        <v>5</v>
      </c>
      <c r="AN1003" s="37">
        <f>IF(最佳化斷筋點!O1003="","",最佳化斷筋點!O1003)</f>
        <v>5</v>
      </c>
      <c r="AO1003" s="37">
        <f>IF(最佳化斷筋點!P1003="","",最佳化斷筋點!P1003)</f>
        <v>5</v>
      </c>
      <c r="AP1003" s="37">
        <f>IF(最佳化斷筋點!Q1003="","",最佳化斷筋點!Q1003)</f>
        <v>8</v>
      </c>
      <c r="AQ1003" s="37">
        <f>IF(最佳化斷筋點!R1003="","",最佳化斷筋點!R1003)</f>
        <v>9</v>
      </c>
      <c r="AR1003" s="37">
        <f>IF(最佳化斷筋點!S1003="","",最佳化斷筋點!S1003)</f>
        <v>10</v>
      </c>
      <c r="AS1003" s="37">
        <f>IF(最佳化斷筋點!T1003="","",最佳化斷筋點!T1003)</f>
        <v>10</v>
      </c>
      <c r="AT1003" s="37">
        <f>IF(最佳化斷筋點!U1003="","",最佳化斷筋點!U1003)</f>
        <v>10</v>
      </c>
      <c r="AU1003" s="37">
        <f>IF(最佳化斷筋點!V1003="","",最佳化斷筋點!V1003)</f>
        <v>10</v>
      </c>
      <c r="AV1003" s="37">
        <f>IF(最佳化斷筋點!W1003="","",最佳化斷筋點!W1003)</f>
        <v>10</v>
      </c>
      <c r="AW1003" s="37">
        <f>IF(最佳化斷筋點!X1003="","",最佳化斷筋點!X1003)</f>
        <v>10</v>
      </c>
      <c r="AZ1003" s="37">
        <v>12</v>
      </c>
      <c r="BA1003" s="37">
        <v>12</v>
      </c>
      <c r="BB1003" s="37">
        <v>12</v>
      </c>
      <c r="BC1003" s="37">
        <v>12</v>
      </c>
      <c r="BD1003" s="37">
        <v>12</v>
      </c>
      <c r="BE1003" s="37">
        <v>12</v>
      </c>
      <c r="BF1003" s="37">
        <v>11</v>
      </c>
      <c r="BG1003" s="37">
        <v>5</v>
      </c>
      <c r="BH1003" s="37">
        <v>5</v>
      </c>
      <c r="BI1003" s="37">
        <v>5</v>
      </c>
      <c r="BJ1003" s="37">
        <v>5</v>
      </c>
      <c r="BK1003" s="37">
        <v>5</v>
      </c>
      <c r="BL1003" s="37">
        <v>5</v>
      </c>
      <c r="BM1003" s="37">
        <v>8</v>
      </c>
      <c r="BN1003" s="37">
        <v>9</v>
      </c>
      <c r="BO1003" s="37">
        <v>10</v>
      </c>
      <c r="BP1003" s="37">
        <v>10</v>
      </c>
      <c r="BQ1003" s="37">
        <v>10</v>
      </c>
      <c r="BR1003" s="37">
        <v>10</v>
      </c>
      <c r="BS1003" s="37">
        <v>10</v>
      </c>
      <c r="BT1003" s="37">
        <v>10</v>
      </c>
    </row>
    <row r="1004" spans="5:72" x14ac:dyDescent="0.25">
      <c r="E1004" s="36"/>
      <c r="F1004" s="36">
        <f t="shared" si="316"/>
        <v>0</v>
      </c>
      <c r="G1004" s="36">
        <f t="shared" si="317"/>
        <v>0</v>
      </c>
      <c r="H1004" s="36">
        <f t="shared" si="318"/>
        <v>0</v>
      </c>
      <c r="I1004" s="36">
        <f t="shared" si="319"/>
        <v>0</v>
      </c>
      <c r="J1004" s="36">
        <f t="shared" si="320"/>
        <v>0</v>
      </c>
      <c r="K1004" s="36">
        <f t="shared" si="321"/>
        <v>0</v>
      </c>
      <c r="L1004" s="36">
        <f t="shared" si="322"/>
        <v>0</v>
      </c>
      <c r="M1004" s="36">
        <f t="shared" si="323"/>
        <v>0</v>
      </c>
      <c r="N1004" s="36">
        <f t="shared" si="324"/>
        <v>0</v>
      </c>
      <c r="O1004" s="36">
        <f t="shared" si="325"/>
        <v>0</v>
      </c>
      <c r="P1004" s="36">
        <f t="shared" si="326"/>
        <v>0</v>
      </c>
      <c r="Q1004" s="36">
        <f t="shared" si="327"/>
        <v>0</v>
      </c>
      <c r="R1004" s="36">
        <f t="shared" si="328"/>
        <v>0</v>
      </c>
      <c r="S1004" s="36">
        <f t="shared" si="329"/>
        <v>0</v>
      </c>
      <c r="T1004" s="36">
        <f t="shared" si="330"/>
        <v>0</v>
      </c>
      <c r="U1004" s="36">
        <f t="shared" si="331"/>
        <v>0</v>
      </c>
      <c r="V1004" s="36">
        <f t="shared" si="332"/>
        <v>0</v>
      </c>
      <c r="W1004" s="36">
        <f t="shared" si="333"/>
        <v>0</v>
      </c>
      <c r="X1004" s="36">
        <f t="shared" si="334"/>
        <v>0</v>
      </c>
      <c r="Y1004" s="36">
        <f t="shared" si="335"/>
        <v>0</v>
      </c>
      <c r="Z1004" s="36">
        <f t="shared" si="336"/>
        <v>0</v>
      </c>
      <c r="AB1004" s="36" t="str">
        <f>IF(最佳化斷筋點!C1004="","",最佳化斷筋點!C1004)</f>
        <v/>
      </c>
      <c r="AC1004" s="37" t="str">
        <f>IF(最佳化斷筋點!D1004="","",最佳化斷筋點!D1004)</f>
        <v/>
      </c>
      <c r="AD1004" s="37" t="str">
        <f>IF(最佳化斷筋點!E1004="","",最佳化斷筋點!E1004)</f>
        <v/>
      </c>
      <c r="AE1004" s="37" t="str">
        <f>IF(最佳化斷筋點!F1004="","",最佳化斷筋點!F1004)</f>
        <v/>
      </c>
      <c r="AF1004" s="37" t="str">
        <f>IF(最佳化斷筋點!G1004="","",最佳化斷筋點!G1004)</f>
        <v/>
      </c>
      <c r="AG1004" s="37" t="str">
        <f>IF(最佳化斷筋點!H1004="","",最佳化斷筋點!H1004)</f>
        <v/>
      </c>
      <c r="AH1004" s="37" t="str">
        <f>IF(最佳化斷筋點!I1004="","",最佳化斷筋點!I1004)</f>
        <v/>
      </c>
      <c r="AI1004" s="37" t="str">
        <f>IF(最佳化斷筋點!J1004="","",最佳化斷筋點!J1004)</f>
        <v/>
      </c>
      <c r="AJ1004" s="37" t="str">
        <f>IF(最佳化斷筋點!K1004="","",最佳化斷筋點!K1004)</f>
        <v/>
      </c>
      <c r="AK1004" s="37" t="str">
        <f>IF(最佳化斷筋點!L1004="","",最佳化斷筋點!L1004)</f>
        <v/>
      </c>
      <c r="AL1004" s="37" t="str">
        <f>IF(最佳化斷筋點!M1004="","",最佳化斷筋點!M1004)</f>
        <v/>
      </c>
      <c r="AM1004" s="37" t="str">
        <f>IF(最佳化斷筋點!N1004="","",最佳化斷筋點!N1004)</f>
        <v/>
      </c>
      <c r="AN1004" s="37" t="str">
        <f>IF(最佳化斷筋點!O1004="","",最佳化斷筋點!O1004)</f>
        <v/>
      </c>
      <c r="AO1004" s="37" t="str">
        <f>IF(最佳化斷筋點!P1004="","",最佳化斷筋點!P1004)</f>
        <v/>
      </c>
      <c r="AP1004" s="37" t="str">
        <f>IF(最佳化斷筋點!Q1004="","",最佳化斷筋點!Q1004)</f>
        <v/>
      </c>
      <c r="AQ1004" s="37" t="str">
        <f>IF(最佳化斷筋點!R1004="","",最佳化斷筋點!R1004)</f>
        <v/>
      </c>
      <c r="AR1004" s="37" t="str">
        <f>IF(最佳化斷筋點!S1004="","",最佳化斷筋點!S1004)</f>
        <v/>
      </c>
      <c r="AS1004" s="37" t="str">
        <f>IF(最佳化斷筋點!T1004="","",最佳化斷筋點!T1004)</f>
        <v/>
      </c>
      <c r="AT1004" s="37" t="str">
        <f>IF(最佳化斷筋點!U1004="","",最佳化斷筋點!U1004)</f>
        <v/>
      </c>
      <c r="AU1004" s="37" t="str">
        <f>IF(最佳化斷筋點!V1004="","",最佳化斷筋點!V1004)</f>
        <v/>
      </c>
      <c r="AV1004" s="37" t="str">
        <f>IF(最佳化斷筋點!W1004="","",最佳化斷筋點!W1004)</f>
        <v/>
      </c>
      <c r="AW1004" s="37" t="str">
        <f>IF(最佳化斷筋點!X1004="","",最佳化斷筋點!X1004)</f>
        <v/>
      </c>
      <c r="AZ1004" s="37" t="s">
        <v>197</v>
      </c>
      <c r="BA1004" s="37" t="s">
        <v>197</v>
      </c>
      <c r="BB1004" s="37" t="s">
        <v>197</v>
      </c>
      <c r="BC1004" s="37" t="s">
        <v>197</v>
      </c>
      <c r="BD1004" s="37" t="s">
        <v>197</v>
      </c>
      <c r="BE1004" s="37" t="s">
        <v>197</v>
      </c>
      <c r="BF1004" s="37" t="s">
        <v>197</v>
      </c>
      <c r="BG1004" s="37" t="s">
        <v>197</v>
      </c>
      <c r="BH1004" s="37" t="s">
        <v>197</v>
      </c>
      <c r="BI1004" s="37" t="s">
        <v>197</v>
      </c>
      <c r="BJ1004" s="37" t="s">
        <v>197</v>
      </c>
      <c r="BK1004" s="37" t="s">
        <v>197</v>
      </c>
      <c r="BL1004" s="37" t="s">
        <v>197</v>
      </c>
      <c r="BM1004" s="37" t="s">
        <v>197</v>
      </c>
      <c r="BN1004" s="37" t="s">
        <v>197</v>
      </c>
      <c r="BO1004" s="37" t="s">
        <v>197</v>
      </c>
      <c r="BP1004" s="37" t="s">
        <v>197</v>
      </c>
      <c r="BQ1004" s="37" t="s">
        <v>197</v>
      </c>
      <c r="BR1004" s="37" t="s">
        <v>197</v>
      </c>
      <c r="BS1004" s="37" t="s">
        <v>197</v>
      </c>
      <c r="BT1004" s="37" t="s">
        <v>197</v>
      </c>
    </row>
    <row r="1005" spans="5:72" x14ac:dyDescent="0.25">
      <c r="E1005" s="36" t="s">
        <v>21</v>
      </c>
      <c r="F1005" s="36">
        <f t="shared" si="316"/>
        <v>0</v>
      </c>
      <c r="G1005" s="36">
        <f t="shared" si="317"/>
        <v>0</v>
      </c>
      <c r="H1005" s="36">
        <f t="shared" si="318"/>
        <v>0</v>
      </c>
      <c r="I1005" s="36">
        <f t="shared" si="319"/>
        <v>0</v>
      </c>
      <c r="J1005" s="36">
        <f t="shared" si="320"/>
        <v>0</v>
      </c>
      <c r="K1005" s="36">
        <f t="shared" si="321"/>
        <v>0</v>
      </c>
      <c r="L1005" s="36">
        <f t="shared" si="322"/>
        <v>0</v>
      </c>
      <c r="M1005" s="36">
        <f t="shared" si="323"/>
        <v>0</v>
      </c>
      <c r="N1005" s="36">
        <f t="shared" si="324"/>
        <v>0</v>
      </c>
      <c r="O1005" s="36">
        <f t="shared" si="325"/>
        <v>0</v>
      </c>
      <c r="P1005" s="36">
        <f t="shared" si="326"/>
        <v>0</v>
      </c>
      <c r="Q1005" s="36">
        <f t="shared" si="327"/>
        <v>0</v>
      </c>
      <c r="R1005" s="36">
        <f t="shared" si="328"/>
        <v>0</v>
      </c>
      <c r="S1005" s="36">
        <f t="shared" si="329"/>
        <v>0</v>
      </c>
      <c r="T1005" s="36">
        <f t="shared" si="330"/>
        <v>0</v>
      </c>
      <c r="U1005" s="36">
        <f t="shared" si="331"/>
        <v>0</v>
      </c>
      <c r="V1005" s="36">
        <f t="shared" si="332"/>
        <v>0</v>
      </c>
      <c r="W1005" s="36">
        <f t="shared" si="333"/>
        <v>0</v>
      </c>
      <c r="X1005" s="36">
        <f t="shared" si="334"/>
        <v>0</v>
      </c>
      <c r="Y1005" s="36">
        <f t="shared" si="335"/>
        <v>0</v>
      </c>
      <c r="Z1005" s="36">
        <f t="shared" si="336"/>
        <v>0</v>
      </c>
      <c r="AB1005" s="36" t="str">
        <f>IF(最佳化斷筋點!C1005="","",最佳化斷筋點!C1005)</f>
        <v>下層</v>
      </c>
      <c r="AC1005" s="37">
        <f>IF(最佳化斷筋點!D1005="","",最佳化斷筋點!D1005)</f>
        <v>17</v>
      </c>
      <c r="AD1005" s="37">
        <f>IF(最佳化斷筋點!E1005="","",最佳化斷筋點!E1005)</f>
        <v>17</v>
      </c>
      <c r="AE1005" s="37">
        <f>IF(最佳化斷筋點!F1005="","",最佳化斷筋點!F1005)</f>
        <v>17</v>
      </c>
      <c r="AF1005" s="37">
        <f>IF(最佳化斷筋點!G1005="","",最佳化斷筋點!G1005)</f>
        <v>17</v>
      </c>
      <c r="AG1005" s="37">
        <f>IF(最佳化斷筋點!H1005="","",最佳化斷筋點!H1005)</f>
        <v>17</v>
      </c>
      <c r="AH1005" s="37">
        <f>IF(最佳化斷筋點!I1005="","",最佳化斷筋點!I1005)</f>
        <v>16</v>
      </c>
      <c r="AI1005" s="37">
        <f>IF(最佳化斷筋點!J1005="","",最佳化斷筋點!J1005)</f>
        <v>14</v>
      </c>
      <c r="AJ1005" s="37">
        <f>IF(最佳化斷筋點!K1005="","",最佳化斷筋點!K1005)</f>
        <v>6</v>
      </c>
      <c r="AK1005" s="37">
        <f>IF(最佳化斷筋點!L1005="","",最佳化斷筋點!L1005)</f>
        <v>6</v>
      </c>
      <c r="AL1005" s="37">
        <f>IF(最佳化斷筋點!M1005="","",最佳化斷筋點!M1005)</f>
        <v>6</v>
      </c>
      <c r="AM1005" s="37">
        <f>IF(最佳化斷筋點!N1005="","",最佳化斷筋點!N1005)</f>
        <v>6</v>
      </c>
      <c r="AN1005" s="37">
        <f>IF(最佳化斷筋點!O1005="","",最佳化斷筋點!O1005)</f>
        <v>6</v>
      </c>
      <c r="AO1005" s="37">
        <f>IF(最佳化斷筋點!P1005="","",最佳化斷筋點!P1005)</f>
        <v>6</v>
      </c>
      <c r="AP1005" s="37">
        <f>IF(最佳化斷筋點!Q1005="","",最佳化斷筋點!Q1005)</f>
        <v>9</v>
      </c>
      <c r="AQ1005" s="37">
        <f>IF(最佳化斷筋點!R1005="","",最佳化斷筋點!R1005)</f>
        <v>10</v>
      </c>
      <c r="AR1005" s="37">
        <f>IF(最佳化斷筋點!S1005="","",最佳化斷筋點!S1005)</f>
        <v>11</v>
      </c>
      <c r="AS1005" s="37">
        <f>IF(最佳化斷筋點!T1005="","",最佳化斷筋點!T1005)</f>
        <v>13</v>
      </c>
      <c r="AT1005" s="37">
        <f>IF(最佳化斷筋點!U1005="","",最佳化斷筋點!U1005)</f>
        <v>14</v>
      </c>
      <c r="AU1005" s="37">
        <f>IF(最佳化斷筋點!V1005="","",最佳化斷筋點!V1005)</f>
        <v>14</v>
      </c>
      <c r="AV1005" s="37">
        <f>IF(最佳化斷筋點!W1005="","",最佳化斷筋點!W1005)</f>
        <v>14</v>
      </c>
      <c r="AW1005" s="37">
        <f>IF(最佳化斷筋點!X1005="","",最佳化斷筋點!X1005)</f>
        <v>14</v>
      </c>
      <c r="AZ1005" s="37">
        <v>17</v>
      </c>
      <c r="BA1005" s="37">
        <v>17</v>
      </c>
      <c r="BB1005" s="37">
        <v>17</v>
      </c>
      <c r="BC1005" s="37">
        <v>17</v>
      </c>
      <c r="BD1005" s="37">
        <v>17</v>
      </c>
      <c r="BE1005" s="37">
        <v>16</v>
      </c>
      <c r="BF1005" s="37">
        <v>14</v>
      </c>
      <c r="BG1005" s="37">
        <v>6</v>
      </c>
      <c r="BH1005" s="37">
        <v>6</v>
      </c>
      <c r="BI1005" s="37">
        <v>6</v>
      </c>
      <c r="BJ1005" s="37">
        <v>6</v>
      </c>
      <c r="BK1005" s="37">
        <v>6</v>
      </c>
      <c r="BL1005" s="37">
        <v>6</v>
      </c>
      <c r="BM1005" s="37">
        <v>9</v>
      </c>
      <c r="BN1005" s="37">
        <v>10</v>
      </c>
      <c r="BO1005" s="37">
        <v>11</v>
      </c>
      <c r="BP1005" s="37">
        <v>13</v>
      </c>
      <c r="BQ1005" s="37">
        <v>14</v>
      </c>
      <c r="BR1005" s="37">
        <v>14</v>
      </c>
      <c r="BS1005" s="37">
        <v>14</v>
      </c>
      <c r="BT1005" s="37">
        <v>14</v>
      </c>
    </row>
    <row r="1006" spans="5:72" x14ac:dyDescent="0.25">
      <c r="E1006" s="36"/>
      <c r="F1006" s="36">
        <f t="shared" si="316"/>
        <v>0</v>
      </c>
      <c r="G1006" s="36">
        <f t="shared" si="317"/>
        <v>0</v>
      </c>
      <c r="H1006" s="36">
        <f t="shared" si="318"/>
        <v>0</v>
      </c>
      <c r="I1006" s="36">
        <f t="shared" si="319"/>
        <v>0</v>
      </c>
      <c r="J1006" s="36">
        <f t="shared" si="320"/>
        <v>0</v>
      </c>
      <c r="K1006" s="36">
        <f t="shared" si="321"/>
        <v>0</v>
      </c>
      <c r="L1006" s="36">
        <f t="shared" si="322"/>
        <v>0</v>
      </c>
      <c r="M1006" s="36">
        <f t="shared" si="323"/>
        <v>0</v>
      </c>
      <c r="N1006" s="36">
        <f t="shared" si="324"/>
        <v>0</v>
      </c>
      <c r="O1006" s="36">
        <f t="shared" si="325"/>
        <v>0</v>
      </c>
      <c r="P1006" s="36">
        <f t="shared" si="326"/>
        <v>0</v>
      </c>
      <c r="Q1006" s="36">
        <f t="shared" si="327"/>
        <v>0</v>
      </c>
      <c r="R1006" s="36">
        <f t="shared" si="328"/>
        <v>0</v>
      </c>
      <c r="S1006" s="36">
        <f t="shared" si="329"/>
        <v>0</v>
      </c>
      <c r="T1006" s="36">
        <f t="shared" si="330"/>
        <v>0</v>
      </c>
      <c r="U1006" s="36">
        <f t="shared" si="331"/>
        <v>0</v>
      </c>
      <c r="V1006" s="36">
        <f t="shared" si="332"/>
        <v>0</v>
      </c>
      <c r="W1006" s="36">
        <f t="shared" si="333"/>
        <v>0</v>
      </c>
      <c r="X1006" s="36">
        <f t="shared" si="334"/>
        <v>0</v>
      </c>
      <c r="Y1006" s="36">
        <f t="shared" si="335"/>
        <v>0</v>
      </c>
      <c r="Z1006" s="36">
        <f t="shared" si="336"/>
        <v>0</v>
      </c>
      <c r="AB1006" s="36" t="str">
        <f>IF(最佳化斷筋點!C1006="","",最佳化斷筋點!C1006)</f>
        <v/>
      </c>
      <c r="AC1006" s="37" t="str">
        <f>IF(最佳化斷筋點!D1006="","",最佳化斷筋點!D1006)</f>
        <v/>
      </c>
      <c r="AD1006" s="37" t="str">
        <f>IF(最佳化斷筋點!E1006="","",最佳化斷筋點!E1006)</f>
        <v/>
      </c>
      <c r="AE1006" s="37" t="str">
        <f>IF(最佳化斷筋點!F1006="","",最佳化斷筋點!F1006)</f>
        <v/>
      </c>
      <c r="AF1006" s="37" t="str">
        <f>IF(最佳化斷筋點!G1006="","",最佳化斷筋點!G1006)</f>
        <v/>
      </c>
      <c r="AG1006" s="37" t="str">
        <f>IF(最佳化斷筋點!H1006="","",最佳化斷筋點!H1006)</f>
        <v/>
      </c>
      <c r="AH1006" s="37" t="str">
        <f>IF(最佳化斷筋點!I1006="","",最佳化斷筋點!I1006)</f>
        <v/>
      </c>
      <c r="AI1006" s="37" t="str">
        <f>IF(最佳化斷筋點!J1006="","",最佳化斷筋點!J1006)</f>
        <v/>
      </c>
      <c r="AJ1006" s="37" t="str">
        <f>IF(最佳化斷筋點!K1006="","",最佳化斷筋點!K1006)</f>
        <v/>
      </c>
      <c r="AK1006" s="37" t="str">
        <f>IF(最佳化斷筋點!L1006="","",最佳化斷筋點!L1006)</f>
        <v/>
      </c>
      <c r="AL1006" s="37" t="str">
        <f>IF(最佳化斷筋點!M1006="","",最佳化斷筋點!M1006)</f>
        <v/>
      </c>
      <c r="AM1006" s="37" t="str">
        <f>IF(最佳化斷筋點!N1006="","",最佳化斷筋點!N1006)</f>
        <v/>
      </c>
      <c r="AN1006" s="37" t="str">
        <f>IF(最佳化斷筋點!O1006="","",最佳化斷筋點!O1006)</f>
        <v/>
      </c>
      <c r="AO1006" s="37" t="str">
        <f>IF(最佳化斷筋點!P1006="","",最佳化斷筋點!P1006)</f>
        <v/>
      </c>
      <c r="AP1006" s="37" t="str">
        <f>IF(最佳化斷筋點!Q1006="","",最佳化斷筋點!Q1006)</f>
        <v/>
      </c>
      <c r="AQ1006" s="37" t="str">
        <f>IF(最佳化斷筋點!R1006="","",最佳化斷筋點!R1006)</f>
        <v/>
      </c>
      <c r="AR1006" s="37" t="str">
        <f>IF(最佳化斷筋點!S1006="","",最佳化斷筋點!S1006)</f>
        <v/>
      </c>
      <c r="AS1006" s="37" t="str">
        <f>IF(最佳化斷筋點!T1006="","",最佳化斷筋點!T1006)</f>
        <v/>
      </c>
      <c r="AT1006" s="37" t="str">
        <f>IF(最佳化斷筋點!U1006="","",最佳化斷筋點!U1006)</f>
        <v/>
      </c>
      <c r="AU1006" s="37" t="str">
        <f>IF(最佳化斷筋點!V1006="","",最佳化斷筋點!V1006)</f>
        <v/>
      </c>
      <c r="AV1006" s="37" t="str">
        <f>IF(最佳化斷筋點!W1006="","",最佳化斷筋點!W1006)</f>
        <v/>
      </c>
      <c r="AW1006" s="37" t="str">
        <f>IF(最佳化斷筋點!X1006="","",最佳化斷筋點!X1006)</f>
        <v/>
      </c>
      <c r="AZ1006" s="37" t="s">
        <v>197</v>
      </c>
      <c r="BA1006" s="37" t="s">
        <v>197</v>
      </c>
      <c r="BB1006" s="37" t="s">
        <v>197</v>
      </c>
      <c r="BC1006" s="37" t="s">
        <v>197</v>
      </c>
      <c r="BD1006" s="37" t="s">
        <v>197</v>
      </c>
      <c r="BE1006" s="37" t="s">
        <v>197</v>
      </c>
      <c r="BF1006" s="37" t="s">
        <v>197</v>
      </c>
      <c r="BG1006" s="37" t="s">
        <v>197</v>
      </c>
      <c r="BH1006" s="37" t="s">
        <v>197</v>
      </c>
      <c r="BI1006" s="37" t="s">
        <v>197</v>
      </c>
      <c r="BJ1006" s="37" t="s">
        <v>197</v>
      </c>
      <c r="BK1006" s="37" t="s">
        <v>197</v>
      </c>
      <c r="BL1006" s="37" t="s">
        <v>197</v>
      </c>
      <c r="BM1006" s="37" t="s">
        <v>197</v>
      </c>
      <c r="BN1006" s="37" t="s">
        <v>197</v>
      </c>
      <c r="BO1006" s="37" t="s">
        <v>197</v>
      </c>
      <c r="BP1006" s="37" t="s">
        <v>197</v>
      </c>
      <c r="BQ1006" s="37" t="s">
        <v>197</v>
      </c>
      <c r="BR1006" s="37" t="s">
        <v>197</v>
      </c>
      <c r="BS1006" s="37" t="s">
        <v>197</v>
      </c>
      <c r="BT1006" s="37" t="s">
        <v>197</v>
      </c>
    </row>
    <row r="1007" spans="5:72" x14ac:dyDescent="0.25">
      <c r="E1007" s="36" t="s">
        <v>20</v>
      </c>
      <c r="F1007" s="36">
        <f t="shared" si="316"/>
        <v>0</v>
      </c>
      <c r="G1007" s="36">
        <f t="shared" si="317"/>
        <v>0</v>
      </c>
      <c r="H1007" s="36">
        <f t="shared" si="318"/>
        <v>0</v>
      </c>
      <c r="I1007" s="36">
        <f t="shared" si="319"/>
        <v>0</v>
      </c>
      <c r="J1007" s="36">
        <f t="shared" si="320"/>
        <v>0</v>
      </c>
      <c r="K1007" s="36">
        <f t="shared" si="321"/>
        <v>0</v>
      </c>
      <c r="L1007" s="36">
        <f t="shared" si="322"/>
        <v>0</v>
      </c>
      <c r="M1007" s="36">
        <f t="shared" si="323"/>
        <v>0</v>
      </c>
      <c r="N1007" s="36">
        <f t="shared" si="324"/>
        <v>0</v>
      </c>
      <c r="O1007" s="36">
        <f t="shared" si="325"/>
        <v>0</v>
      </c>
      <c r="P1007" s="36">
        <f t="shared" si="326"/>
        <v>0</v>
      </c>
      <c r="Q1007" s="36">
        <f t="shared" si="327"/>
        <v>0</v>
      </c>
      <c r="R1007" s="36">
        <f t="shared" si="328"/>
        <v>0</v>
      </c>
      <c r="S1007" s="36">
        <f t="shared" si="329"/>
        <v>0</v>
      </c>
      <c r="T1007" s="36">
        <f t="shared" si="330"/>
        <v>0</v>
      </c>
      <c r="U1007" s="36">
        <f t="shared" si="331"/>
        <v>0</v>
      </c>
      <c r="V1007" s="36">
        <f t="shared" si="332"/>
        <v>0</v>
      </c>
      <c r="W1007" s="36">
        <f t="shared" si="333"/>
        <v>0</v>
      </c>
      <c r="X1007" s="36">
        <f t="shared" si="334"/>
        <v>0</v>
      </c>
      <c r="Y1007" s="36">
        <f t="shared" si="335"/>
        <v>0</v>
      </c>
      <c r="Z1007" s="36">
        <f t="shared" si="336"/>
        <v>0</v>
      </c>
      <c r="AB1007" s="36" t="str">
        <f>IF(最佳化斷筋點!C1007="","",最佳化斷筋點!C1007)</f>
        <v>上層</v>
      </c>
      <c r="AC1007" s="37">
        <f>IF(最佳化斷筋點!D1007="","",最佳化斷筋點!D1007)</f>
        <v>8</v>
      </c>
      <c r="AD1007" s="37">
        <f>IF(最佳化斷筋點!E1007="","",最佳化斷筋點!E1007)</f>
        <v>8</v>
      </c>
      <c r="AE1007" s="37">
        <f>IF(最佳化斷筋點!F1007="","",最佳化斷筋點!F1007)</f>
        <v>8</v>
      </c>
      <c r="AF1007" s="37">
        <f>IF(最佳化斷筋點!G1007="","",最佳化斷筋點!G1007)</f>
        <v>8</v>
      </c>
      <c r="AG1007" s="37">
        <f>IF(最佳化斷筋點!H1007="","",最佳化斷筋點!H1007)</f>
        <v>8</v>
      </c>
      <c r="AH1007" s="37">
        <f>IF(最佳化斷筋點!I1007="","",最佳化斷筋點!I1007)</f>
        <v>8</v>
      </c>
      <c r="AI1007" s="37">
        <f>IF(最佳化斷筋點!J1007="","",最佳化斷筋點!J1007)</f>
        <v>7</v>
      </c>
      <c r="AJ1007" s="37">
        <f>IF(最佳化斷筋點!K1007="","",最佳化斷筋點!K1007)</f>
        <v>4</v>
      </c>
      <c r="AK1007" s="37">
        <f>IF(最佳化斷筋點!L1007="","",最佳化斷筋點!L1007)</f>
        <v>4</v>
      </c>
      <c r="AL1007" s="37">
        <f>IF(最佳化斷筋點!M1007="","",最佳化斷筋點!M1007)</f>
        <v>4</v>
      </c>
      <c r="AM1007" s="37">
        <f>IF(最佳化斷筋點!N1007="","",最佳化斷筋點!N1007)</f>
        <v>4</v>
      </c>
      <c r="AN1007" s="37">
        <f>IF(最佳化斷筋點!O1007="","",最佳化斷筋點!O1007)</f>
        <v>4</v>
      </c>
      <c r="AO1007" s="37">
        <f>IF(最佳化斷筋點!P1007="","",最佳化斷筋點!P1007)</f>
        <v>4</v>
      </c>
      <c r="AP1007" s="37">
        <f>IF(最佳化斷筋點!Q1007="","",最佳化斷筋點!Q1007)</f>
        <v>7</v>
      </c>
      <c r="AQ1007" s="37">
        <f>IF(最佳化斷筋點!R1007="","",最佳化斷筋點!R1007)</f>
        <v>8</v>
      </c>
      <c r="AR1007" s="37">
        <f>IF(最佳化斷筋點!S1007="","",最佳化斷筋點!S1007)</f>
        <v>9</v>
      </c>
      <c r="AS1007" s="37">
        <f>IF(最佳化斷筋點!T1007="","",最佳化斷筋點!T1007)</f>
        <v>10</v>
      </c>
      <c r="AT1007" s="37">
        <f>IF(最佳化斷筋點!U1007="","",最佳化斷筋點!U1007)</f>
        <v>10</v>
      </c>
      <c r="AU1007" s="37">
        <f>IF(最佳化斷筋點!V1007="","",最佳化斷筋點!V1007)</f>
        <v>10</v>
      </c>
      <c r="AV1007" s="37">
        <f>IF(最佳化斷筋點!W1007="","",最佳化斷筋點!W1007)</f>
        <v>10</v>
      </c>
      <c r="AW1007" s="37">
        <f>IF(最佳化斷筋點!X1007="","",最佳化斷筋點!X1007)</f>
        <v>10</v>
      </c>
      <c r="AZ1007" s="37">
        <v>8</v>
      </c>
      <c r="BA1007" s="37">
        <v>8</v>
      </c>
      <c r="BB1007" s="37">
        <v>8</v>
      </c>
      <c r="BC1007" s="37">
        <v>8</v>
      </c>
      <c r="BD1007" s="37">
        <v>8</v>
      </c>
      <c r="BE1007" s="37">
        <v>8</v>
      </c>
      <c r="BF1007" s="37">
        <v>7</v>
      </c>
      <c r="BG1007" s="37">
        <v>4</v>
      </c>
      <c r="BH1007" s="37">
        <v>4</v>
      </c>
      <c r="BI1007" s="37">
        <v>4</v>
      </c>
      <c r="BJ1007" s="37">
        <v>4</v>
      </c>
      <c r="BK1007" s="37">
        <v>4</v>
      </c>
      <c r="BL1007" s="37">
        <v>4</v>
      </c>
      <c r="BM1007" s="37">
        <v>7</v>
      </c>
      <c r="BN1007" s="37">
        <v>8</v>
      </c>
      <c r="BO1007" s="37">
        <v>9</v>
      </c>
      <c r="BP1007" s="37">
        <v>10</v>
      </c>
      <c r="BQ1007" s="37">
        <v>10</v>
      </c>
      <c r="BR1007" s="37">
        <v>10</v>
      </c>
      <c r="BS1007" s="37">
        <v>10</v>
      </c>
      <c r="BT1007" s="37">
        <v>10</v>
      </c>
    </row>
    <row r="1008" spans="5:72" x14ac:dyDescent="0.25">
      <c r="E1008" s="36"/>
      <c r="F1008" s="36">
        <f t="shared" si="316"/>
        <v>0</v>
      </c>
      <c r="G1008" s="36">
        <f t="shared" si="317"/>
        <v>0</v>
      </c>
      <c r="H1008" s="36">
        <f t="shared" si="318"/>
        <v>0</v>
      </c>
      <c r="I1008" s="36">
        <f t="shared" si="319"/>
        <v>0</v>
      </c>
      <c r="J1008" s="36">
        <f t="shared" si="320"/>
        <v>0</v>
      </c>
      <c r="K1008" s="36">
        <f t="shared" si="321"/>
        <v>0</v>
      </c>
      <c r="L1008" s="36">
        <f t="shared" si="322"/>
        <v>0</v>
      </c>
      <c r="M1008" s="36">
        <f t="shared" si="323"/>
        <v>0</v>
      </c>
      <c r="N1008" s="36">
        <f t="shared" si="324"/>
        <v>0</v>
      </c>
      <c r="O1008" s="36">
        <f t="shared" si="325"/>
        <v>0</v>
      </c>
      <c r="P1008" s="36">
        <f t="shared" si="326"/>
        <v>0</v>
      </c>
      <c r="Q1008" s="36">
        <f t="shared" si="327"/>
        <v>0</v>
      </c>
      <c r="R1008" s="36">
        <f t="shared" si="328"/>
        <v>0</v>
      </c>
      <c r="S1008" s="36">
        <f t="shared" si="329"/>
        <v>0</v>
      </c>
      <c r="T1008" s="36">
        <f t="shared" si="330"/>
        <v>0</v>
      </c>
      <c r="U1008" s="36">
        <f t="shared" si="331"/>
        <v>0</v>
      </c>
      <c r="V1008" s="36">
        <f t="shared" si="332"/>
        <v>0</v>
      </c>
      <c r="W1008" s="36">
        <f t="shared" si="333"/>
        <v>0</v>
      </c>
      <c r="X1008" s="36">
        <f t="shared" si="334"/>
        <v>0</v>
      </c>
      <c r="Y1008" s="36">
        <f t="shared" si="335"/>
        <v>0</v>
      </c>
      <c r="Z1008" s="36">
        <f t="shared" si="336"/>
        <v>0</v>
      </c>
      <c r="AB1008" s="36" t="str">
        <f>IF(最佳化斷筋點!C1008="","",最佳化斷筋點!C1008)</f>
        <v/>
      </c>
      <c r="AC1008" s="37" t="str">
        <f>IF(最佳化斷筋點!D1008="","",最佳化斷筋點!D1008)</f>
        <v/>
      </c>
      <c r="AD1008" s="37" t="str">
        <f>IF(最佳化斷筋點!E1008="","",最佳化斷筋點!E1008)</f>
        <v/>
      </c>
      <c r="AE1008" s="37" t="str">
        <f>IF(最佳化斷筋點!F1008="","",最佳化斷筋點!F1008)</f>
        <v/>
      </c>
      <c r="AF1008" s="37" t="str">
        <f>IF(最佳化斷筋點!G1008="","",最佳化斷筋點!G1008)</f>
        <v/>
      </c>
      <c r="AG1008" s="37" t="str">
        <f>IF(最佳化斷筋點!H1008="","",最佳化斷筋點!H1008)</f>
        <v/>
      </c>
      <c r="AH1008" s="37" t="str">
        <f>IF(最佳化斷筋點!I1008="","",最佳化斷筋點!I1008)</f>
        <v/>
      </c>
      <c r="AI1008" s="37" t="str">
        <f>IF(最佳化斷筋點!J1008="","",最佳化斷筋點!J1008)</f>
        <v/>
      </c>
      <c r="AJ1008" s="37" t="str">
        <f>IF(最佳化斷筋點!K1008="","",最佳化斷筋點!K1008)</f>
        <v/>
      </c>
      <c r="AK1008" s="37" t="str">
        <f>IF(最佳化斷筋點!L1008="","",最佳化斷筋點!L1008)</f>
        <v/>
      </c>
      <c r="AL1008" s="37" t="str">
        <f>IF(最佳化斷筋點!M1008="","",最佳化斷筋點!M1008)</f>
        <v/>
      </c>
      <c r="AM1008" s="37" t="str">
        <f>IF(最佳化斷筋點!N1008="","",最佳化斷筋點!N1008)</f>
        <v/>
      </c>
      <c r="AN1008" s="37" t="str">
        <f>IF(最佳化斷筋點!O1008="","",最佳化斷筋點!O1008)</f>
        <v/>
      </c>
      <c r="AO1008" s="37" t="str">
        <f>IF(最佳化斷筋點!P1008="","",最佳化斷筋點!P1008)</f>
        <v/>
      </c>
      <c r="AP1008" s="37" t="str">
        <f>IF(最佳化斷筋點!Q1008="","",最佳化斷筋點!Q1008)</f>
        <v/>
      </c>
      <c r="AQ1008" s="37" t="str">
        <f>IF(最佳化斷筋點!R1008="","",最佳化斷筋點!R1008)</f>
        <v/>
      </c>
      <c r="AR1008" s="37" t="str">
        <f>IF(最佳化斷筋點!S1008="","",最佳化斷筋點!S1008)</f>
        <v/>
      </c>
      <c r="AS1008" s="37" t="str">
        <f>IF(最佳化斷筋點!T1008="","",最佳化斷筋點!T1008)</f>
        <v/>
      </c>
      <c r="AT1008" s="37" t="str">
        <f>IF(最佳化斷筋點!U1008="","",最佳化斷筋點!U1008)</f>
        <v/>
      </c>
      <c r="AU1008" s="37" t="str">
        <f>IF(最佳化斷筋點!V1008="","",最佳化斷筋點!V1008)</f>
        <v/>
      </c>
      <c r="AV1008" s="37" t="str">
        <f>IF(最佳化斷筋點!W1008="","",最佳化斷筋點!W1008)</f>
        <v/>
      </c>
      <c r="AW1008" s="37" t="str">
        <f>IF(最佳化斷筋點!X1008="","",最佳化斷筋點!X1008)</f>
        <v/>
      </c>
      <c r="AZ1008" s="37" t="s">
        <v>197</v>
      </c>
      <c r="BA1008" s="37" t="s">
        <v>197</v>
      </c>
      <c r="BB1008" s="37" t="s">
        <v>197</v>
      </c>
      <c r="BC1008" s="37" t="s">
        <v>197</v>
      </c>
      <c r="BD1008" s="37" t="s">
        <v>197</v>
      </c>
      <c r="BE1008" s="37" t="s">
        <v>197</v>
      </c>
      <c r="BF1008" s="37" t="s">
        <v>197</v>
      </c>
      <c r="BG1008" s="37" t="s">
        <v>197</v>
      </c>
      <c r="BH1008" s="37" t="s">
        <v>197</v>
      </c>
      <c r="BI1008" s="37" t="s">
        <v>197</v>
      </c>
      <c r="BJ1008" s="37" t="s">
        <v>197</v>
      </c>
      <c r="BK1008" s="37" t="s">
        <v>197</v>
      </c>
      <c r="BL1008" s="37" t="s">
        <v>197</v>
      </c>
      <c r="BM1008" s="37" t="s">
        <v>197</v>
      </c>
      <c r="BN1008" s="37" t="s">
        <v>197</v>
      </c>
      <c r="BO1008" s="37" t="s">
        <v>197</v>
      </c>
      <c r="BP1008" s="37" t="s">
        <v>197</v>
      </c>
      <c r="BQ1008" s="37" t="s">
        <v>197</v>
      </c>
      <c r="BR1008" s="37" t="s">
        <v>197</v>
      </c>
      <c r="BS1008" s="37" t="s">
        <v>197</v>
      </c>
      <c r="BT1008" s="37" t="s">
        <v>197</v>
      </c>
    </row>
    <row r="1009" spans="5:72" x14ac:dyDescent="0.25">
      <c r="E1009" s="36" t="s">
        <v>21</v>
      </c>
      <c r="F1009" s="36">
        <f t="shared" si="316"/>
        <v>0</v>
      </c>
      <c r="G1009" s="36">
        <f t="shared" si="317"/>
        <v>0</v>
      </c>
      <c r="H1009" s="36">
        <f t="shared" si="318"/>
        <v>0</v>
      </c>
      <c r="I1009" s="36">
        <f t="shared" si="319"/>
        <v>0</v>
      </c>
      <c r="J1009" s="36">
        <f t="shared" si="320"/>
        <v>0</v>
      </c>
      <c r="K1009" s="36">
        <f t="shared" si="321"/>
        <v>0</v>
      </c>
      <c r="L1009" s="36">
        <f t="shared" si="322"/>
        <v>0</v>
      </c>
      <c r="M1009" s="36">
        <f t="shared" si="323"/>
        <v>0</v>
      </c>
      <c r="N1009" s="36">
        <f t="shared" si="324"/>
        <v>0</v>
      </c>
      <c r="O1009" s="36">
        <f t="shared" si="325"/>
        <v>0</v>
      </c>
      <c r="P1009" s="36">
        <f t="shared" si="326"/>
        <v>0</v>
      </c>
      <c r="Q1009" s="36">
        <f t="shared" si="327"/>
        <v>0</v>
      </c>
      <c r="R1009" s="36">
        <f t="shared" si="328"/>
        <v>0</v>
      </c>
      <c r="S1009" s="36">
        <f t="shared" si="329"/>
        <v>0</v>
      </c>
      <c r="T1009" s="36">
        <f t="shared" si="330"/>
        <v>0</v>
      </c>
      <c r="U1009" s="36">
        <f t="shared" si="331"/>
        <v>0</v>
      </c>
      <c r="V1009" s="36">
        <f t="shared" si="332"/>
        <v>0</v>
      </c>
      <c r="W1009" s="36">
        <f t="shared" si="333"/>
        <v>0</v>
      </c>
      <c r="X1009" s="36">
        <f t="shared" si="334"/>
        <v>0</v>
      </c>
      <c r="Y1009" s="36">
        <f t="shared" si="335"/>
        <v>0</v>
      </c>
      <c r="Z1009" s="36">
        <f t="shared" si="336"/>
        <v>0</v>
      </c>
      <c r="AB1009" s="36" t="str">
        <f>IF(最佳化斷筋點!C1009="","",最佳化斷筋點!C1009)</f>
        <v>下層</v>
      </c>
      <c r="AC1009" s="37">
        <f>IF(最佳化斷筋點!D1009="","",最佳化斷筋點!D1009)</f>
        <v>9</v>
      </c>
      <c r="AD1009" s="37">
        <f>IF(最佳化斷筋點!E1009="","",最佳化斷筋點!E1009)</f>
        <v>9</v>
      </c>
      <c r="AE1009" s="37">
        <f>IF(最佳化斷筋點!F1009="","",最佳化斷筋點!F1009)</f>
        <v>9</v>
      </c>
      <c r="AF1009" s="37">
        <f>IF(最佳化斷筋點!G1009="","",最佳化斷筋點!G1009)</f>
        <v>9</v>
      </c>
      <c r="AG1009" s="37">
        <f>IF(最佳化斷筋點!H1009="","",最佳化斷筋點!H1009)</f>
        <v>8</v>
      </c>
      <c r="AH1009" s="37">
        <f>IF(最佳化斷筋點!I1009="","",最佳化斷筋點!I1009)</f>
        <v>7</v>
      </c>
      <c r="AI1009" s="37">
        <f>IF(最佳化斷筋點!J1009="","",最佳化斷筋點!J1009)</f>
        <v>6</v>
      </c>
      <c r="AJ1009" s="37">
        <f>IF(最佳化斷筋點!K1009="","",最佳化斷筋點!K1009)</f>
        <v>5</v>
      </c>
      <c r="AK1009" s="37">
        <f>IF(最佳化斷筋點!L1009="","",最佳化斷筋點!L1009)</f>
        <v>5</v>
      </c>
      <c r="AL1009" s="37">
        <f>IF(最佳化斷筋點!M1009="","",最佳化斷筋點!M1009)</f>
        <v>5</v>
      </c>
      <c r="AM1009" s="37">
        <f>IF(最佳化斷筋點!N1009="","",最佳化斷筋點!N1009)</f>
        <v>5</v>
      </c>
      <c r="AN1009" s="37">
        <f>IF(最佳化斷筋點!O1009="","",最佳化斷筋點!O1009)</f>
        <v>5</v>
      </c>
      <c r="AO1009" s="37">
        <f>IF(最佳化斷筋點!P1009="","",最佳化斷筋點!P1009)</f>
        <v>5</v>
      </c>
      <c r="AP1009" s="37">
        <f>IF(最佳化斷筋點!Q1009="","",最佳化斷筋點!Q1009)</f>
        <v>5</v>
      </c>
      <c r="AQ1009" s="37">
        <f>IF(最佳化斷筋點!R1009="","",最佳化斷筋點!R1009)</f>
        <v>6</v>
      </c>
      <c r="AR1009" s="37">
        <f>IF(最佳化斷筋點!S1009="","",最佳化斷筋點!S1009)</f>
        <v>6</v>
      </c>
      <c r="AS1009" s="37">
        <f>IF(最佳化斷筋點!T1009="","",最佳化斷筋點!T1009)</f>
        <v>7</v>
      </c>
      <c r="AT1009" s="37">
        <f>IF(最佳化斷筋點!U1009="","",最佳化斷筋點!U1009)</f>
        <v>8</v>
      </c>
      <c r="AU1009" s="37">
        <f>IF(最佳化斷筋點!V1009="","",最佳化斷筋點!V1009)</f>
        <v>8</v>
      </c>
      <c r="AV1009" s="37">
        <f>IF(最佳化斷筋點!W1009="","",最佳化斷筋點!W1009)</f>
        <v>8</v>
      </c>
      <c r="AW1009" s="37">
        <f>IF(最佳化斷筋點!X1009="","",最佳化斷筋點!X1009)</f>
        <v>8</v>
      </c>
      <c r="AZ1009" s="37">
        <v>9</v>
      </c>
      <c r="BA1009" s="37">
        <v>9</v>
      </c>
      <c r="BB1009" s="37">
        <v>9</v>
      </c>
      <c r="BC1009" s="37">
        <v>9</v>
      </c>
      <c r="BD1009" s="37">
        <v>8</v>
      </c>
      <c r="BE1009" s="37">
        <v>7</v>
      </c>
      <c r="BF1009" s="37">
        <v>6</v>
      </c>
      <c r="BG1009" s="37">
        <v>5</v>
      </c>
      <c r="BH1009" s="37">
        <v>5</v>
      </c>
      <c r="BI1009" s="37">
        <v>5</v>
      </c>
      <c r="BJ1009" s="37">
        <v>5</v>
      </c>
      <c r="BK1009" s="37">
        <v>5</v>
      </c>
      <c r="BL1009" s="37">
        <v>5</v>
      </c>
      <c r="BM1009" s="37">
        <v>5</v>
      </c>
      <c r="BN1009" s="37">
        <v>6</v>
      </c>
      <c r="BO1009" s="37">
        <v>6</v>
      </c>
      <c r="BP1009" s="37">
        <v>7</v>
      </c>
      <c r="BQ1009" s="37">
        <v>8</v>
      </c>
      <c r="BR1009" s="37">
        <v>8</v>
      </c>
      <c r="BS1009" s="37">
        <v>8</v>
      </c>
      <c r="BT1009" s="37">
        <v>8</v>
      </c>
    </row>
    <row r="1010" spans="5:72" x14ac:dyDescent="0.25">
      <c r="E1010" s="36"/>
      <c r="F1010" s="36">
        <f t="shared" si="316"/>
        <v>0</v>
      </c>
      <c r="G1010" s="36">
        <f t="shared" si="317"/>
        <v>0</v>
      </c>
      <c r="H1010" s="36">
        <f t="shared" si="318"/>
        <v>0</v>
      </c>
      <c r="I1010" s="36">
        <f t="shared" si="319"/>
        <v>0</v>
      </c>
      <c r="J1010" s="36">
        <f t="shared" si="320"/>
        <v>0</v>
      </c>
      <c r="K1010" s="36">
        <f t="shared" si="321"/>
        <v>0</v>
      </c>
      <c r="L1010" s="36">
        <f t="shared" si="322"/>
        <v>0</v>
      </c>
      <c r="M1010" s="36">
        <f t="shared" si="323"/>
        <v>0</v>
      </c>
      <c r="N1010" s="36">
        <f t="shared" si="324"/>
        <v>0</v>
      </c>
      <c r="O1010" s="36">
        <f t="shared" si="325"/>
        <v>0</v>
      </c>
      <c r="P1010" s="36">
        <f t="shared" si="326"/>
        <v>0</v>
      </c>
      <c r="Q1010" s="36">
        <f t="shared" si="327"/>
        <v>0</v>
      </c>
      <c r="R1010" s="36">
        <f t="shared" si="328"/>
        <v>0</v>
      </c>
      <c r="S1010" s="36">
        <f t="shared" si="329"/>
        <v>0</v>
      </c>
      <c r="T1010" s="36">
        <f t="shared" si="330"/>
        <v>0</v>
      </c>
      <c r="U1010" s="36">
        <f t="shared" si="331"/>
        <v>0</v>
      </c>
      <c r="V1010" s="36">
        <f t="shared" si="332"/>
        <v>0</v>
      </c>
      <c r="W1010" s="36">
        <f t="shared" si="333"/>
        <v>0</v>
      </c>
      <c r="X1010" s="36">
        <f t="shared" si="334"/>
        <v>0</v>
      </c>
      <c r="Y1010" s="36">
        <f t="shared" si="335"/>
        <v>0</v>
      </c>
      <c r="Z1010" s="36">
        <f t="shared" si="336"/>
        <v>0</v>
      </c>
      <c r="AB1010" s="36" t="str">
        <f>IF(最佳化斷筋點!C1010="","",最佳化斷筋點!C1010)</f>
        <v/>
      </c>
      <c r="AC1010" s="37" t="str">
        <f>IF(最佳化斷筋點!D1010="","",最佳化斷筋點!D1010)</f>
        <v/>
      </c>
      <c r="AD1010" s="37" t="str">
        <f>IF(最佳化斷筋點!E1010="","",最佳化斷筋點!E1010)</f>
        <v/>
      </c>
      <c r="AE1010" s="37" t="str">
        <f>IF(最佳化斷筋點!F1010="","",最佳化斷筋點!F1010)</f>
        <v/>
      </c>
      <c r="AF1010" s="37" t="str">
        <f>IF(最佳化斷筋點!G1010="","",最佳化斷筋點!G1010)</f>
        <v/>
      </c>
      <c r="AG1010" s="37" t="str">
        <f>IF(最佳化斷筋點!H1010="","",最佳化斷筋點!H1010)</f>
        <v/>
      </c>
      <c r="AH1010" s="37" t="str">
        <f>IF(最佳化斷筋點!I1010="","",最佳化斷筋點!I1010)</f>
        <v/>
      </c>
      <c r="AI1010" s="37" t="str">
        <f>IF(最佳化斷筋點!J1010="","",最佳化斷筋點!J1010)</f>
        <v/>
      </c>
      <c r="AJ1010" s="37" t="str">
        <f>IF(最佳化斷筋點!K1010="","",最佳化斷筋點!K1010)</f>
        <v/>
      </c>
      <c r="AK1010" s="37" t="str">
        <f>IF(最佳化斷筋點!L1010="","",最佳化斷筋點!L1010)</f>
        <v/>
      </c>
      <c r="AL1010" s="37" t="str">
        <f>IF(最佳化斷筋點!M1010="","",最佳化斷筋點!M1010)</f>
        <v/>
      </c>
      <c r="AM1010" s="37" t="str">
        <f>IF(最佳化斷筋點!N1010="","",最佳化斷筋點!N1010)</f>
        <v/>
      </c>
      <c r="AN1010" s="37" t="str">
        <f>IF(最佳化斷筋點!O1010="","",最佳化斷筋點!O1010)</f>
        <v/>
      </c>
      <c r="AO1010" s="37" t="str">
        <f>IF(最佳化斷筋點!P1010="","",最佳化斷筋點!P1010)</f>
        <v/>
      </c>
      <c r="AP1010" s="37" t="str">
        <f>IF(最佳化斷筋點!Q1010="","",最佳化斷筋點!Q1010)</f>
        <v/>
      </c>
      <c r="AQ1010" s="37" t="str">
        <f>IF(最佳化斷筋點!R1010="","",最佳化斷筋點!R1010)</f>
        <v/>
      </c>
      <c r="AR1010" s="37" t="str">
        <f>IF(最佳化斷筋點!S1010="","",最佳化斷筋點!S1010)</f>
        <v/>
      </c>
      <c r="AS1010" s="37" t="str">
        <f>IF(最佳化斷筋點!T1010="","",最佳化斷筋點!T1010)</f>
        <v/>
      </c>
      <c r="AT1010" s="37" t="str">
        <f>IF(最佳化斷筋點!U1010="","",最佳化斷筋點!U1010)</f>
        <v/>
      </c>
      <c r="AU1010" s="37" t="str">
        <f>IF(最佳化斷筋點!V1010="","",最佳化斷筋點!V1010)</f>
        <v/>
      </c>
      <c r="AV1010" s="37" t="str">
        <f>IF(最佳化斷筋點!W1010="","",最佳化斷筋點!W1010)</f>
        <v/>
      </c>
      <c r="AW1010" s="37" t="str">
        <f>IF(最佳化斷筋點!X1010="","",最佳化斷筋點!X1010)</f>
        <v/>
      </c>
      <c r="AZ1010" s="37" t="s">
        <v>197</v>
      </c>
      <c r="BA1010" s="37" t="s">
        <v>197</v>
      </c>
      <c r="BB1010" s="37" t="s">
        <v>197</v>
      </c>
      <c r="BC1010" s="37" t="s">
        <v>197</v>
      </c>
      <c r="BD1010" s="37" t="s">
        <v>197</v>
      </c>
      <c r="BE1010" s="37" t="s">
        <v>197</v>
      </c>
      <c r="BF1010" s="37" t="s">
        <v>197</v>
      </c>
      <c r="BG1010" s="37" t="s">
        <v>197</v>
      </c>
      <c r="BH1010" s="37" t="s">
        <v>197</v>
      </c>
      <c r="BI1010" s="37" t="s">
        <v>197</v>
      </c>
      <c r="BJ1010" s="37" t="s">
        <v>197</v>
      </c>
      <c r="BK1010" s="37" t="s">
        <v>197</v>
      </c>
      <c r="BL1010" s="37" t="s">
        <v>197</v>
      </c>
      <c r="BM1010" s="37" t="s">
        <v>197</v>
      </c>
      <c r="BN1010" s="37" t="s">
        <v>197</v>
      </c>
      <c r="BO1010" s="37" t="s">
        <v>197</v>
      </c>
      <c r="BP1010" s="37" t="s">
        <v>197</v>
      </c>
      <c r="BQ1010" s="37" t="s">
        <v>197</v>
      </c>
      <c r="BR1010" s="37" t="s">
        <v>197</v>
      </c>
      <c r="BS1010" s="37" t="s">
        <v>197</v>
      </c>
      <c r="BT1010" s="37" t="s">
        <v>197</v>
      </c>
    </row>
    <row r="1011" spans="5:72" x14ac:dyDescent="0.25">
      <c r="E1011" s="36" t="s">
        <v>20</v>
      </c>
      <c r="F1011" s="36">
        <f t="shared" si="316"/>
        <v>0</v>
      </c>
      <c r="G1011" s="36">
        <f t="shared" si="317"/>
        <v>0</v>
      </c>
      <c r="H1011" s="36">
        <f t="shared" si="318"/>
        <v>0</v>
      </c>
      <c r="I1011" s="36">
        <f t="shared" si="319"/>
        <v>0</v>
      </c>
      <c r="J1011" s="36">
        <f t="shared" si="320"/>
        <v>0</v>
      </c>
      <c r="K1011" s="36">
        <f t="shared" si="321"/>
        <v>0</v>
      </c>
      <c r="L1011" s="36">
        <f t="shared" si="322"/>
        <v>0</v>
      </c>
      <c r="M1011" s="36">
        <f t="shared" si="323"/>
        <v>0</v>
      </c>
      <c r="N1011" s="36">
        <f t="shared" si="324"/>
        <v>0</v>
      </c>
      <c r="O1011" s="36">
        <f t="shared" si="325"/>
        <v>0</v>
      </c>
      <c r="P1011" s="36">
        <f t="shared" si="326"/>
        <v>0</v>
      </c>
      <c r="Q1011" s="36">
        <f t="shared" si="327"/>
        <v>0</v>
      </c>
      <c r="R1011" s="36">
        <f t="shared" si="328"/>
        <v>0</v>
      </c>
      <c r="S1011" s="36">
        <f t="shared" si="329"/>
        <v>0</v>
      </c>
      <c r="T1011" s="36">
        <f t="shared" si="330"/>
        <v>0</v>
      </c>
      <c r="U1011" s="36">
        <f t="shared" si="331"/>
        <v>0</v>
      </c>
      <c r="V1011" s="36">
        <f t="shared" si="332"/>
        <v>0</v>
      </c>
      <c r="W1011" s="36">
        <f t="shared" si="333"/>
        <v>0</v>
      </c>
      <c r="X1011" s="36">
        <f t="shared" si="334"/>
        <v>0</v>
      </c>
      <c r="Y1011" s="36">
        <f t="shared" si="335"/>
        <v>0</v>
      </c>
      <c r="Z1011" s="36">
        <f t="shared" si="336"/>
        <v>0</v>
      </c>
      <c r="AB1011" s="36" t="str">
        <f>IF(最佳化斷筋點!C1011="","",最佳化斷筋點!C1011)</f>
        <v>上層</v>
      </c>
      <c r="AC1011" s="37">
        <f>IF(最佳化斷筋點!D1011="","",最佳化斷筋點!D1011)</f>
        <v>9</v>
      </c>
      <c r="AD1011" s="37">
        <f>IF(最佳化斷筋點!E1011="","",最佳化斷筋點!E1011)</f>
        <v>9</v>
      </c>
      <c r="AE1011" s="37">
        <f>IF(最佳化斷筋點!F1011="","",最佳化斷筋點!F1011)</f>
        <v>9</v>
      </c>
      <c r="AF1011" s="37">
        <f>IF(最佳化斷筋點!G1011="","",最佳化斷筋點!G1011)</f>
        <v>9</v>
      </c>
      <c r="AG1011" s="37">
        <f>IF(最佳化斷筋點!H1011="","",最佳化斷筋點!H1011)</f>
        <v>9</v>
      </c>
      <c r="AH1011" s="37">
        <f>IF(最佳化斷筋點!I1011="","",最佳化斷筋點!I1011)</f>
        <v>9</v>
      </c>
      <c r="AI1011" s="37">
        <f>IF(最佳化斷筋點!J1011="","",最佳化斷筋點!J1011)</f>
        <v>8</v>
      </c>
      <c r="AJ1011" s="37">
        <f>IF(最佳化斷筋點!K1011="","",最佳化斷筋點!K1011)</f>
        <v>3</v>
      </c>
      <c r="AK1011" s="37">
        <f>IF(最佳化斷筋點!L1011="","",最佳化斷筋點!L1011)</f>
        <v>3</v>
      </c>
      <c r="AL1011" s="37">
        <f>IF(最佳化斷筋點!M1011="","",最佳化斷筋點!M1011)</f>
        <v>3</v>
      </c>
      <c r="AM1011" s="37">
        <f>IF(最佳化斷筋點!N1011="","",最佳化斷筋點!N1011)</f>
        <v>3</v>
      </c>
      <c r="AN1011" s="37">
        <f>IF(最佳化斷筋點!O1011="","",最佳化斷筋點!O1011)</f>
        <v>3</v>
      </c>
      <c r="AO1011" s="37">
        <f>IF(最佳化斷筋點!P1011="","",最佳化斷筋點!P1011)</f>
        <v>3</v>
      </c>
      <c r="AP1011" s="37">
        <f>IF(最佳化斷筋點!Q1011="","",最佳化斷筋點!Q1011)</f>
        <v>6</v>
      </c>
      <c r="AQ1011" s="37">
        <f>IF(最佳化斷筋點!R1011="","",最佳化斷筋點!R1011)</f>
        <v>7</v>
      </c>
      <c r="AR1011" s="37">
        <f>IF(最佳化斷筋點!S1011="","",最佳化斷筋點!S1011)</f>
        <v>8</v>
      </c>
      <c r="AS1011" s="37">
        <f>IF(最佳化斷筋點!T1011="","",最佳化斷筋點!T1011)</f>
        <v>9</v>
      </c>
      <c r="AT1011" s="37">
        <f>IF(最佳化斷筋點!U1011="","",最佳化斷筋點!U1011)</f>
        <v>9</v>
      </c>
      <c r="AU1011" s="37">
        <f>IF(最佳化斷筋點!V1011="","",最佳化斷筋點!V1011)</f>
        <v>9</v>
      </c>
      <c r="AV1011" s="37">
        <f>IF(最佳化斷筋點!W1011="","",最佳化斷筋點!W1011)</f>
        <v>9</v>
      </c>
      <c r="AW1011" s="37">
        <f>IF(最佳化斷筋點!X1011="","",最佳化斷筋點!X1011)</f>
        <v>9</v>
      </c>
      <c r="AZ1011" s="37">
        <v>9</v>
      </c>
      <c r="BA1011" s="37">
        <v>9</v>
      </c>
      <c r="BB1011" s="37">
        <v>9</v>
      </c>
      <c r="BC1011" s="37">
        <v>9</v>
      </c>
      <c r="BD1011" s="37">
        <v>9</v>
      </c>
      <c r="BE1011" s="37">
        <v>9</v>
      </c>
      <c r="BF1011" s="37">
        <v>8</v>
      </c>
      <c r="BG1011" s="37">
        <v>3</v>
      </c>
      <c r="BH1011" s="37">
        <v>3</v>
      </c>
      <c r="BI1011" s="37">
        <v>3</v>
      </c>
      <c r="BJ1011" s="37">
        <v>3</v>
      </c>
      <c r="BK1011" s="37">
        <v>3</v>
      </c>
      <c r="BL1011" s="37">
        <v>3</v>
      </c>
      <c r="BM1011" s="37">
        <v>6</v>
      </c>
      <c r="BN1011" s="37">
        <v>7</v>
      </c>
      <c r="BO1011" s="37">
        <v>8</v>
      </c>
      <c r="BP1011" s="37">
        <v>9</v>
      </c>
      <c r="BQ1011" s="37">
        <v>9</v>
      </c>
      <c r="BR1011" s="37">
        <v>9</v>
      </c>
      <c r="BS1011" s="37">
        <v>9</v>
      </c>
      <c r="BT1011" s="37">
        <v>9</v>
      </c>
    </row>
    <row r="1012" spans="5:72" x14ac:dyDescent="0.25">
      <c r="E1012" s="36"/>
      <c r="F1012" s="36">
        <f t="shared" si="316"/>
        <v>0</v>
      </c>
      <c r="G1012" s="36">
        <f t="shared" si="317"/>
        <v>0</v>
      </c>
      <c r="H1012" s="36">
        <f t="shared" si="318"/>
        <v>0</v>
      </c>
      <c r="I1012" s="36">
        <f t="shared" si="319"/>
        <v>0</v>
      </c>
      <c r="J1012" s="36">
        <f t="shared" si="320"/>
        <v>0</v>
      </c>
      <c r="K1012" s="36">
        <f t="shared" si="321"/>
        <v>0</v>
      </c>
      <c r="L1012" s="36">
        <f t="shared" si="322"/>
        <v>0</v>
      </c>
      <c r="M1012" s="36">
        <f t="shared" si="323"/>
        <v>0</v>
      </c>
      <c r="N1012" s="36">
        <f t="shared" si="324"/>
        <v>0</v>
      </c>
      <c r="O1012" s="36">
        <f t="shared" si="325"/>
        <v>0</v>
      </c>
      <c r="P1012" s="36">
        <f t="shared" si="326"/>
        <v>0</v>
      </c>
      <c r="Q1012" s="36">
        <f t="shared" si="327"/>
        <v>0</v>
      </c>
      <c r="R1012" s="36">
        <f t="shared" si="328"/>
        <v>0</v>
      </c>
      <c r="S1012" s="36">
        <f t="shared" si="329"/>
        <v>0</v>
      </c>
      <c r="T1012" s="36">
        <f t="shared" si="330"/>
        <v>0</v>
      </c>
      <c r="U1012" s="36">
        <f t="shared" si="331"/>
        <v>0</v>
      </c>
      <c r="V1012" s="36">
        <f t="shared" si="332"/>
        <v>0</v>
      </c>
      <c r="W1012" s="36">
        <f t="shared" si="333"/>
        <v>0</v>
      </c>
      <c r="X1012" s="36">
        <f t="shared" si="334"/>
        <v>0</v>
      </c>
      <c r="Y1012" s="36">
        <f t="shared" si="335"/>
        <v>0</v>
      </c>
      <c r="Z1012" s="36">
        <f t="shared" si="336"/>
        <v>0</v>
      </c>
      <c r="AB1012" s="36" t="str">
        <f>IF(最佳化斷筋點!C1012="","",最佳化斷筋點!C1012)</f>
        <v/>
      </c>
      <c r="AC1012" s="37" t="str">
        <f>IF(最佳化斷筋點!D1012="","",最佳化斷筋點!D1012)</f>
        <v/>
      </c>
      <c r="AD1012" s="37" t="str">
        <f>IF(最佳化斷筋點!E1012="","",最佳化斷筋點!E1012)</f>
        <v/>
      </c>
      <c r="AE1012" s="37" t="str">
        <f>IF(最佳化斷筋點!F1012="","",最佳化斷筋點!F1012)</f>
        <v/>
      </c>
      <c r="AF1012" s="37" t="str">
        <f>IF(最佳化斷筋點!G1012="","",最佳化斷筋點!G1012)</f>
        <v/>
      </c>
      <c r="AG1012" s="37" t="str">
        <f>IF(最佳化斷筋點!H1012="","",最佳化斷筋點!H1012)</f>
        <v/>
      </c>
      <c r="AH1012" s="37" t="str">
        <f>IF(最佳化斷筋點!I1012="","",最佳化斷筋點!I1012)</f>
        <v/>
      </c>
      <c r="AI1012" s="37" t="str">
        <f>IF(最佳化斷筋點!J1012="","",最佳化斷筋點!J1012)</f>
        <v/>
      </c>
      <c r="AJ1012" s="37" t="str">
        <f>IF(最佳化斷筋點!K1012="","",最佳化斷筋點!K1012)</f>
        <v/>
      </c>
      <c r="AK1012" s="37" t="str">
        <f>IF(最佳化斷筋點!L1012="","",最佳化斷筋點!L1012)</f>
        <v/>
      </c>
      <c r="AL1012" s="37" t="str">
        <f>IF(最佳化斷筋點!M1012="","",最佳化斷筋點!M1012)</f>
        <v/>
      </c>
      <c r="AM1012" s="37" t="str">
        <f>IF(最佳化斷筋點!N1012="","",最佳化斷筋點!N1012)</f>
        <v/>
      </c>
      <c r="AN1012" s="37" t="str">
        <f>IF(最佳化斷筋點!O1012="","",最佳化斷筋點!O1012)</f>
        <v/>
      </c>
      <c r="AO1012" s="37" t="str">
        <f>IF(最佳化斷筋點!P1012="","",最佳化斷筋點!P1012)</f>
        <v/>
      </c>
      <c r="AP1012" s="37" t="str">
        <f>IF(最佳化斷筋點!Q1012="","",最佳化斷筋點!Q1012)</f>
        <v/>
      </c>
      <c r="AQ1012" s="37" t="str">
        <f>IF(最佳化斷筋點!R1012="","",最佳化斷筋點!R1012)</f>
        <v/>
      </c>
      <c r="AR1012" s="37" t="str">
        <f>IF(最佳化斷筋點!S1012="","",最佳化斷筋點!S1012)</f>
        <v/>
      </c>
      <c r="AS1012" s="37" t="str">
        <f>IF(最佳化斷筋點!T1012="","",最佳化斷筋點!T1012)</f>
        <v/>
      </c>
      <c r="AT1012" s="37" t="str">
        <f>IF(最佳化斷筋點!U1012="","",最佳化斷筋點!U1012)</f>
        <v/>
      </c>
      <c r="AU1012" s="37" t="str">
        <f>IF(最佳化斷筋點!V1012="","",最佳化斷筋點!V1012)</f>
        <v/>
      </c>
      <c r="AV1012" s="37" t="str">
        <f>IF(最佳化斷筋點!W1012="","",最佳化斷筋點!W1012)</f>
        <v/>
      </c>
      <c r="AW1012" s="37" t="str">
        <f>IF(最佳化斷筋點!X1012="","",最佳化斷筋點!X1012)</f>
        <v/>
      </c>
      <c r="AZ1012" s="37" t="s">
        <v>197</v>
      </c>
      <c r="BA1012" s="37" t="s">
        <v>197</v>
      </c>
      <c r="BB1012" s="37" t="s">
        <v>197</v>
      </c>
      <c r="BC1012" s="37" t="s">
        <v>197</v>
      </c>
      <c r="BD1012" s="37" t="s">
        <v>197</v>
      </c>
      <c r="BE1012" s="37" t="s">
        <v>197</v>
      </c>
      <c r="BF1012" s="37" t="s">
        <v>197</v>
      </c>
      <c r="BG1012" s="37" t="s">
        <v>197</v>
      </c>
      <c r="BH1012" s="37" t="s">
        <v>197</v>
      </c>
      <c r="BI1012" s="37" t="s">
        <v>197</v>
      </c>
      <c r="BJ1012" s="37" t="s">
        <v>197</v>
      </c>
      <c r="BK1012" s="37" t="s">
        <v>197</v>
      </c>
      <c r="BL1012" s="37" t="s">
        <v>197</v>
      </c>
      <c r="BM1012" s="37" t="s">
        <v>197</v>
      </c>
      <c r="BN1012" s="37" t="s">
        <v>197</v>
      </c>
      <c r="BO1012" s="37" t="s">
        <v>197</v>
      </c>
      <c r="BP1012" s="37" t="s">
        <v>197</v>
      </c>
      <c r="BQ1012" s="37" t="s">
        <v>197</v>
      </c>
      <c r="BR1012" s="37" t="s">
        <v>197</v>
      </c>
      <c r="BS1012" s="37" t="s">
        <v>197</v>
      </c>
      <c r="BT1012" s="37" t="s">
        <v>197</v>
      </c>
    </row>
    <row r="1013" spans="5:72" x14ac:dyDescent="0.25">
      <c r="E1013" s="36" t="s">
        <v>21</v>
      </c>
      <c r="F1013" s="36">
        <f t="shared" si="316"/>
        <v>0</v>
      </c>
      <c r="G1013" s="36">
        <f t="shared" si="317"/>
        <v>0</v>
      </c>
      <c r="H1013" s="36">
        <f t="shared" si="318"/>
        <v>0</v>
      </c>
      <c r="I1013" s="36">
        <f t="shared" si="319"/>
        <v>0</v>
      </c>
      <c r="J1013" s="36">
        <f t="shared" si="320"/>
        <v>0</v>
      </c>
      <c r="K1013" s="36">
        <f t="shared" si="321"/>
        <v>0</v>
      </c>
      <c r="L1013" s="36">
        <f t="shared" si="322"/>
        <v>0</v>
      </c>
      <c r="M1013" s="36">
        <f t="shared" si="323"/>
        <v>0</v>
      </c>
      <c r="N1013" s="36">
        <f t="shared" si="324"/>
        <v>0</v>
      </c>
      <c r="O1013" s="36">
        <f t="shared" si="325"/>
        <v>0</v>
      </c>
      <c r="P1013" s="36">
        <f t="shared" si="326"/>
        <v>0</v>
      </c>
      <c r="Q1013" s="36">
        <f t="shared" si="327"/>
        <v>0</v>
      </c>
      <c r="R1013" s="36">
        <f t="shared" si="328"/>
        <v>0</v>
      </c>
      <c r="S1013" s="36">
        <f t="shared" si="329"/>
        <v>0</v>
      </c>
      <c r="T1013" s="36">
        <f t="shared" si="330"/>
        <v>0</v>
      </c>
      <c r="U1013" s="36">
        <f t="shared" si="331"/>
        <v>0</v>
      </c>
      <c r="V1013" s="36">
        <f t="shared" si="332"/>
        <v>0</v>
      </c>
      <c r="W1013" s="36">
        <f t="shared" si="333"/>
        <v>0</v>
      </c>
      <c r="X1013" s="36">
        <f t="shared" si="334"/>
        <v>0</v>
      </c>
      <c r="Y1013" s="36">
        <f t="shared" si="335"/>
        <v>0</v>
      </c>
      <c r="Z1013" s="36">
        <f t="shared" si="336"/>
        <v>0</v>
      </c>
      <c r="AB1013" s="36" t="str">
        <f>IF(最佳化斷筋點!C1013="","",最佳化斷筋點!C1013)</f>
        <v>下層</v>
      </c>
      <c r="AC1013" s="37">
        <f>IF(最佳化斷筋點!D1013="","",最佳化斷筋點!D1013)</f>
        <v>9</v>
      </c>
      <c r="AD1013" s="37">
        <f>IF(最佳化斷筋點!E1013="","",最佳化斷筋點!E1013)</f>
        <v>9</v>
      </c>
      <c r="AE1013" s="37">
        <f>IF(最佳化斷筋點!F1013="","",最佳化斷筋點!F1013)</f>
        <v>9</v>
      </c>
      <c r="AF1013" s="37">
        <f>IF(最佳化斷筋點!G1013="","",最佳化斷筋點!G1013)</f>
        <v>9</v>
      </c>
      <c r="AG1013" s="37">
        <f>IF(最佳化斷筋點!H1013="","",最佳化斷筋點!H1013)</f>
        <v>8</v>
      </c>
      <c r="AH1013" s="37">
        <f>IF(最佳化斷筋點!I1013="","",最佳化斷筋點!I1013)</f>
        <v>7</v>
      </c>
      <c r="AI1013" s="37">
        <f>IF(最佳化斷筋點!J1013="","",最佳化斷筋點!J1013)</f>
        <v>6</v>
      </c>
      <c r="AJ1013" s="37">
        <f>IF(最佳化斷筋點!K1013="","",最佳化斷筋點!K1013)</f>
        <v>5</v>
      </c>
      <c r="AK1013" s="37">
        <f>IF(最佳化斷筋點!L1013="","",最佳化斷筋點!L1013)</f>
        <v>5</v>
      </c>
      <c r="AL1013" s="37">
        <f>IF(最佳化斷筋點!M1013="","",最佳化斷筋點!M1013)</f>
        <v>5</v>
      </c>
      <c r="AM1013" s="37">
        <f>IF(最佳化斷筋點!N1013="","",最佳化斷筋點!N1013)</f>
        <v>5</v>
      </c>
      <c r="AN1013" s="37">
        <f>IF(最佳化斷筋點!O1013="","",最佳化斷筋點!O1013)</f>
        <v>5</v>
      </c>
      <c r="AO1013" s="37">
        <f>IF(最佳化斷筋點!P1013="","",最佳化斷筋點!P1013)</f>
        <v>5</v>
      </c>
      <c r="AP1013" s="37">
        <f>IF(最佳化斷筋點!Q1013="","",最佳化斷筋點!Q1013)</f>
        <v>5</v>
      </c>
      <c r="AQ1013" s="37">
        <f>IF(最佳化斷筋點!R1013="","",最佳化斷筋點!R1013)</f>
        <v>5</v>
      </c>
      <c r="AR1013" s="37">
        <f>IF(最佳化斷筋點!S1013="","",最佳化斷筋點!S1013)</f>
        <v>6</v>
      </c>
      <c r="AS1013" s="37">
        <f>IF(最佳化斷筋點!T1013="","",最佳化斷筋點!T1013)</f>
        <v>7</v>
      </c>
      <c r="AT1013" s="37">
        <f>IF(最佳化斷筋點!U1013="","",最佳化斷筋點!U1013)</f>
        <v>8</v>
      </c>
      <c r="AU1013" s="37">
        <f>IF(最佳化斷筋點!V1013="","",最佳化斷筋點!V1013)</f>
        <v>9</v>
      </c>
      <c r="AV1013" s="37">
        <f>IF(最佳化斷筋點!W1013="","",最佳化斷筋點!W1013)</f>
        <v>9</v>
      </c>
      <c r="AW1013" s="37">
        <f>IF(最佳化斷筋點!X1013="","",最佳化斷筋點!X1013)</f>
        <v>9</v>
      </c>
      <c r="AZ1013" s="37">
        <v>9</v>
      </c>
      <c r="BA1013" s="37">
        <v>9</v>
      </c>
      <c r="BB1013" s="37">
        <v>9</v>
      </c>
      <c r="BC1013" s="37">
        <v>9</v>
      </c>
      <c r="BD1013" s="37">
        <v>8</v>
      </c>
      <c r="BE1013" s="37">
        <v>7</v>
      </c>
      <c r="BF1013" s="37">
        <v>6</v>
      </c>
      <c r="BG1013" s="37">
        <v>5</v>
      </c>
      <c r="BH1013" s="37">
        <v>5</v>
      </c>
      <c r="BI1013" s="37">
        <v>5</v>
      </c>
      <c r="BJ1013" s="37">
        <v>5</v>
      </c>
      <c r="BK1013" s="37">
        <v>5</v>
      </c>
      <c r="BL1013" s="37">
        <v>5</v>
      </c>
      <c r="BM1013" s="37">
        <v>5</v>
      </c>
      <c r="BN1013" s="37">
        <v>5</v>
      </c>
      <c r="BO1013" s="37">
        <v>6</v>
      </c>
      <c r="BP1013" s="37">
        <v>7</v>
      </c>
      <c r="BQ1013" s="37">
        <v>8</v>
      </c>
      <c r="BR1013" s="37">
        <v>9</v>
      </c>
      <c r="BS1013" s="37">
        <v>9</v>
      </c>
      <c r="BT1013" s="37">
        <v>9</v>
      </c>
    </row>
    <row r="1014" spans="5:72" x14ac:dyDescent="0.25">
      <c r="E1014" s="36"/>
      <c r="F1014" s="36">
        <f t="shared" si="316"/>
        <v>0</v>
      </c>
      <c r="G1014" s="36">
        <f t="shared" si="317"/>
        <v>0</v>
      </c>
      <c r="H1014" s="36">
        <f t="shared" si="318"/>
        <v>0</v>
      </c>
      <c r="I1014" s="36">
        <f t="shared" si="319"/>
        <v>0</v>
      </c>
      <c r="J1014" s="36">
        <f t="shared" si="320"/>
        <v>0</v>
      </c>
      <c r="K1014" s="36">
        <f t="shared" si="321"/>
        <v>0</v>
      </c>
      <c r="L1014" s="36">
        <f t="shared" si="322"/>
        <v>0</v>
      </c>
      <c r="M1014" s="36">
        <f t="shared" si="323"/>
        <v>0</v>
      </c>
      <c r="N1014" s="36">
        <f t="shared" si="324"/>
        <v>0</v>
      </c>
      <c r="O1014" s="36">
        <f t="shared" si="325"/>
        <v>0</v>
      </c>
      <c r="P1014" s="36">
        <f t="shared" si="326"/>
        <v>0</v>
      </c>
      <c r="Q1014" s="36">
        <f t="shared" si="327"/>
        <v>0</v>
      </c>
      <c r="R1014" s="36">
        <f t="shared" si="328"/>
        <v>0</v>
      </c>
      <c r="S1014" s="36">
        <f t="shared" si="329"/>
        <v>0</v>
      </c>
      <c r="T1014" s="36">
        <f t="shared" si="330"/>
        <v>0</v>
      </c>
      <c r="U1014" s="36">
        <f t="shared" si="331"/>
        <v>0</v>
      </c>
      <c r="V1014" s="36">
        <f t="shared" si="332"/>
        <v>0</v>
      </c>
      <c r="W1014" s="36">
        <f t="shared" si="333"/>
        <v>0</v>
      </c>
      <c r="X1014" s="36">
        <f t="shared" si="334"/>
        <v>0</v>
      </c>
      <c r="Y1014" s="36">
        <f t="shared" si="335"/>
        <v>0</v>
      </c>
      <c r="Z1014" s="36">
        <f t="shared" si="336"/>
        <v>0</v>
      </c>
      <c r="AB1014" s="36" t="str">
        <f>IF(最佳化斷筋點!C1014="","",最佳化斷筋點!C1014)</f>
        <v/>
      </c>
      <c r="AC1014" s="37" t="str">
        <f>IF(最佳化斷筋點!D1014="","",最佳化斷筋點!D1014)</f>
        <v/>
      </c>
      <c r="AD1014" s="37" t="str">
        <f>IF(最佳化斷筋點!E1014="","",最佳化斷筋點!E1014)</f>
        <v/>
      </c>
      <c r="AE1014" s="37" t="str">
        <f>IF(最佳化斷筋點!F1014="","",最佳化斷筋點!F1014)</f>
        <v/>
      </c>
      <c r="AF1014" s="37" t="str">
        <f>IF(最佳化斷筋點!G1014="","",最佳化斷筋點!G1014)</f>
        <v/>
      </c>
      <c r="AG1014" s="37" t="str">
        <f>IF(最佳化斷筋點!H1014="","",最佳化斷筋點!H1014)</f>
        <v/>
      </c>
      <c r="AH1014" s="37" t="str">
        <f>IF(最佳化斷筋點!I1014="","",最佳化斷筋點!I1014)</f>
        <v/>
      </c>
      <c r="AI1014" s="37" t="str">
        <f>IF(最佳化斷筋點!J1014="","",最佳化斷筋點!J1014)</f>
        <v/>
      </c>
      <c r="AJ1014" s="37" t="str">
        <f>IF(最佳化斷筋點!K1014="","",最佳化斷筋點!K1014)</f>
        <v/>
      </c>
      <c r="AK1014" s="37" t="str">
        <f>IF(最佳化斷筋點!L1014="","",最佳化斷筋點!L1014)</f>
        <v/>
      </c>
      <c r="AL1014" s="37" t="str">
        <f>IF(最佳化斷筋點!M1014="","",最佳化斷筋點!M1014)</f>
        <v/>
      </c>
      <c r="AM1014" s="37" t="str">
        <f>IF(最佳化斷筋點!N1014="","",最佳化斷筋點!N1014)</f>
        <v/>
      </c>
      <c r="AN1014" s="37" t="str">
        <f>IF(最佳化斷筋點!O1014="","",最佳化斷筋點!O1014)</f>
        <v/>
      </c>
      <c r="AO1014" s="37" t="str">
        <f>IF(最佳化斷筋點!P1014="","",最佳化斷筋點!P1014)</f>
        <v/>
      </c>
      <c r="AP1014" s="37" t="str">
        <f>IF(最佳化斷筋點!Q1014="","",最佳化斷筋點!Q1014)</f>
        <v/>
      </c>
      <c r="AQ1014" s="37" t="str">
        <f>IF(最佳化斷筋點!R1014="","",最佳化斷筋點!R1014)</f>
        <v/>
      </c>
      <c r="AR1014" s="37" t="str">
        <f>IF(最佳化斷筋點!S1014="","",最佳化斷筋點!S1014)</f>
        <v/>
      </c>
      <c r="AS1014" s="37" t="str">
        <f>IF(最佳化斷筋點!T1014="","",最佳化斷筋點!T1014)</f>
        <v/>
      </c>
      <c r="AT1014" s="37" t="str">
        <f>IF(最佳化斷筋點!U1014="","",最佳化斷筋點!U1014)</f>
        <v/>
      </c>
      <c r="AU1014" s="37" t="str">
        <f>IF(最佳化斷筋點!V1014="","",最佳化斷筋點!V1014)</f>
        <v/>
      </c>
      <c r="AV1014" s="37" t="str">
        <f>IF(最佳化斷筋點!W1014="","",最佳化斷筋點!W1014)</f>
        <v/>
      </c>
      <c r="AW1014" s="37" t="str">
        <f>IF(最佳化斷筋點!X1014="","",最佳化斷筋點!X1014)</f>
        <v/>
      </c>
      <c r="AZ1014" s="37" t="s">
        <v>197</v>
      </c>
      <c r="BA1014" s="37" t="s">
        <v>197</v>
      </c>
      <c r="BB1014" s="37" t="s">
        <v>197</v>
      </c>
      <c r="BC1014" s="37" t="s">
        <v>197</v>
      </c>
      <c r="BD1014" s="37" t="s">
        <v>197</v>
      </c>
      <c r="BE1014" s="37" t="s">
        <v>197</v>
      </c>
      <c r="BF1014" s="37" t="s">
        <v>197</v>
      </c>
      <c r="BG1014" s="37" t="s">
        <v>197</v>
      </c>
      <c r="BH1014" s="37" t="s">
        <v>197</v>
      </c>
      <c r="BI1014" s="37" t="s">
        <v>197</v>
      </c>
      <c r="BJ1014" s="37" t="s">
        <v>197</v>
      </c>
      <c r="BK1014" s="37" t="s">
        <v>197</v>
      </c>
      <c r="BL1014" s="37" t="s">
        <v>197</v>
      </c>
      <c r="BM1014" s="37" t="s">
        <v>197</v>
      </c>
      <c r="BN1014" s="37" t="s">
        <v>197</v>
      </c>
      <c r="BO1014" s="37" t="s">
        <v>197</v>
      </c>
      <c r="BP1014" s="37" t="s">
        <v>197</v>
      </c>
      <c r="BQ1014" s="37" t="s">
        <v>197</v>
      </c>
      <c r="BR1014" s="37" t="s">
        <v>197</v>
      </c>
      <c r="BS1014" s="37" t="s">
        <v>197</v>
      </c>
      <c r="BT1014" s="37" t="s">
        <v>197</v>
      </c>
    </row>
    <row r="1015" spans="5:72" x14ac:dyDescent="0.25">
      <c r="E1015" s="36" t="s">
        <v>20</v>
      </c>
      <c r="F1015" s="36">
        <f t="shared" ref="F1015:F1078" si="337">IF(AC1015=AZ1015,0,1)</f>
        <v>0</v>
      </c>
      <c r="G1015" s="36">
        <f t="shared" ref="G1015:G1078" si="338">IF(AD1015=BA1015,0,1)</f>
        <v>0</v>
      </c>
      <c r="H1015" s="36">
        <f t="shared" ref="H1015:H1078" si="339">IF(AE1015=BB1015,0,1)</f>
        <v>0</v>
      </c>
      <c r="I1015" s="36">
        <f t="shared" ref="I1015:I1078" si="340">IF(AF1015=BC1015,0,1)</f>
        <v>0</v>
      </c>
      <c r="J1015" s="36">
        <f t="shared" ref="J1015:J1078" si="341">IF(AG1015=BD1015,0,1)</f>
        <v>0</v>
      </c>
      <c r="K1015" s="36">
        <f t="shared" ref="K1015:K1078" si="342">IF(AH1015=BE1015,0,1)</f>
        <v>0</v>
      </c>
      <c r="L1015" s="36">
        <f t="shared" ref="L1015:L1078" si="343">IF(AI1015=BF1015,0,1)</f>
        <v>0</v>
      </c>
      <c r="M1015" s="36">
        <f t="shared" ref="M1015:M1078" si="344">IF(AJ1015=BG1015,0,1)</f>
        <v>0</v>
      </c>
      <c r="N1015" s="36">
        <f t="shared" ref="N1015:N1078" si="345">IF(AK1015=BH1015,0,1)</f>
        <v>0</v>
      </c>
      <c r="O1015" s="36">
        <f t="shared" ref="O1015:O1078" si="346">IF(AL1015=BI1015,0,1)</f>
        <v>0</v>
      </c>
      <c r="P1015" s="36">
        <f t="shared" ref="P1015:P1078" si="347">IF(AM1015=BJ1015,0,1)</f>
        <v>0</v>
      </c>
      <c r="Q1015" s="36">
        <f t="shared" ref="Q1015:Q1078" si="348">IF(AN1015=BK1015,0,1)</f>
        <v>0</v>
      </c>
      <c r="R1015" s="36">
        <f t="shared" ref="R1015:R1078" si="349">IF(AO1015=BL1015,0,1)</f>
        <v>0</v>
      </c>
      <c r="S1015" s="36">
        <f t="shared" ref="S1015:S1078" si="350">IF(AP1015=BM1015,0,1)</f>
        <v>0</v>
      </c>
      <c r="T1015" s="36">
        <f t="shared" ref="T1015:T1078" si="351">IF(AQ1015=BN1015,0,1)</f>
        <v>0</v>
      </c>
      <c r="U1015" s="36">
        <f t="shared" ref="U1015:U1078" si="352">IF(AR1015=BO1015,0,1)</f>
        <v>0</v>
      </c>
      <c r="V1015" s="36">
        <f t="shared" ref="V1015:V1078" si="353">IF(AS1015=BP1015,0,1)</f>
        <v>0</v>
      </c>
      <c r="W1015" s="36">
        <f t="shared" ref="W1015:W1078" si="354">IF(AT1015=BQ1015,0,1)</f>
        <v>0</v>
      </c>
      <c r="X1015" s="36">
        <f t="shared" ref="X1015:X1078" si="355">IF(AU1015=BR1015,0,1)</f>
        <v>0</v>
      </c>
      <c r="Y1015" s="36">
        <f t="shared" ref="Y1015:Y1078" si="356">IF(AV1015=BS1015,0,1)</f>
        <v>0</v>
      </c>
      <c r="Z1015" s="36">
        <f t="shared" ref="Z1015:Z1078" si="357">IF(AW1015=BT1015,0,1)</f>
        <v>0</v>
      </c>
      <c r="AB1015" s="36" t="str">
        <f>IF(最佳化斷筋點!C1015="","",最佳化斷筋點!C1015)</f>
        <v>上層</v>
      </c>
      <c r="AC1015" s="37">
        <f>IF(最佳化斷筋點!D1015="","",最佳化斷筋點!D1015)</f>
        <v>12</v>
      </c>
      <c r="AD1015" s="37">
        <f>IF(最佳化斷筋點!E1015="","",最佳化斷筋點!E1015)</f>
        <v>12</v>
      </c>
      <c r="AE1015" s="37">
        <f>IF(最佳化斷筋點!F1015="","",最佳化斷筋點!F1015)</f>
        <v>12</v>
      </c>
      <c r="AF1015" s="37">
        <f>IF(最佳化斷筋點!G1015="","",最佳化斷筋點!G1015)</f>
        <v>12</v>
      </c>
      <c r="AG1015" s="37">
        <f>IF(最佳化斷筋點!H1015="","",最佳化斷筋點!H1015)</f>
        <v>12</v>
      </c>
      <c r="AH1015" s="37">
        <f>IF(最佳化斷筋點!I1015="","",最佳化斷筋點!I1015)</f>
        <v>12</v>
      </c>
      <c r="AI1015" s="37">
        <f>IF(最佳化斷筋點!J1015="","",最佳化斷筋點!J1015)</f>
        <v>11</v>
      </c>
      <c r="AJ1015" s="37">
        <f>IF(最佳化斷筋點!K1015="","",最佳化斷筋點!K1015)</f>
        <v>5</v>
      </c>
      <c r="AK1015" s="37">
        <f>IF(最佳化斷筋點!L1015="","",最佳化斷筋點!L1015)</f>
        <v>5</v>
      </c>
      <c r="AL1015" s="37">
        <f>IF(最佳化斷筋點!M1015="","",最佳化斷筋點!M1015)</f>
        <v>5</v>
      </c>
      <c r="AM1015" s="37">
        <f>IF(最佳化斷筋點!N1015="","",最佳化斷筋點!N1015)</f>
        <v>5</v>
      </c>
      <c r="AN1015" s="37">
        <f>IF(最佳化斷筋點!O1015="","",最佳化斷筋點!O1015)</f>
        <v>5</v>
      </c>
      <c r="AO1015" s="37">
        <f>IF(最佳化斷筋點!P1015="","",最佳化斷筋點!P1015)</f>
        <v>5</v>
      </c>
      <c r="AP1015" s="37">
        <f>IF(最佳化斷筋點!Q1015="","",最佳化斷筋點!Q1015)</f>
        <v>8</v>
      </c>
      <c r="AQ1015" s="37">
        <f>IF(最佳化斷筋點!R1015="","",最佳化斷筋點!R1015)</f>
        <v>9</v>
      </c>
      <c r="AR1015" s="37">
        <f>IF(最佳化斷筋點!S1015="","",最佳化斷筋點!S1015)</f>
        <v>10</v>
      </c>
      <c r="AS1015" s="37">
        <f>IF(最佳化斷筋點!T1015="","",最佳化斷筋點!T1015)</f>
        <v>10</v>
      </c>
      <c r="AT1015" s="37">
        <f>IF(最佳化斷筋點!U1015="","",最佳化斷筋點!U1015)</f>
        <v>10</v>
      </c>
      <c r="AU1015" s="37">
        <f>IF(最佳化斷筋點!V1015="","",最佳化斷筋點!V1015)</f>
        <v>10</v>
      </c>
      <c r="AV1015" s="37">
        <f>IF(最佳化斷筋點!W1015="","",最佳化斷筋點!W1015)</f>
        <v>10</v>
      </c>
      <c r="AW1015" s="37">
        <f>IF(最佳化斷筋點!X1015="","",最佳化斷筋點!X1015)</f>
        <v>10</v>
      </c>
      <c r="AZ1015" s="37">
        <v>12</v>
      </c>
      <c r="BA1015" s="37">
        <v>12</v>
      </c>
      <c r="BB1015" s="37">
        <v>12</v>
      </c>
      <c r="BC1015" s="37">
        <v>12</v>
      </c>
      <c r="BD1015" s="37">
        <v>12</v>
      </c>
      <c r="BE1015" s="37">
        <v>12</v>
      </c>
      <c r="BF1015" s="37">
        <v>11</v>
      </c>
      <c r="BG1015" s="37">
        <v>5</v>
      </c>
      <c r="BH1015" s="37">
        <v>5</v>
      </c>
      <c r="BI1015" s="37">
        <v>5</v>
      </c>
      <c r="BJ1015" s="37">
        <v>5</v>
      </c>
      <c r="BK1015" s="37">
        <v>5</v>
      </c>
      <c r="BL1015" s="37">
        <v>5</v>
      </c>
      <c r="BM1015" s="37">
        <v>8</v>
      </c>
      <c r="BN1015" s="37">
        <v>9</v>
      </c>
      <c r="BO1015" s="37">
        <v>10</v>
      </c>
      <c r="BP1015" s="37">
        <v>10</v>
      </c>
      <c r="BQ1015" s="37">
        <v>10</v>
      </c>
      <c r="BR1015" s="37">
        <v>10</v>
      </c>
      <c r="BS1015" s="37">
        <v>10</v>
      </c>
      <c r="BT1015" s="37">
        <v>10</v>
      </c>
    </row>
    <row r="1016" spans="5:72" x14ac:dyDescent="0.25">
      <c r="E1016" s="36"/>
      <c r="F1016" s="36">
        <f t="shared" si="337"/>
        <v>0</v>
      </c>
      <c r="G1016" s="36">
        <f t="shared" si="338"/>
        <v>0</v>
      </c>
      <c r="H1016" s="36">
        <f t="shared" si="339"/>
        <v>0</v>
      </c>
      <c r="I1016" s="36">
        <f t="shared" si="340"/>
        <v>0</v>
      </c>
      <c r="J1016" s="36">
        <f t="shared" si="341"/>
        <v>0</v>
      </c>
      <c r="K1016" s="36">
        <f t="shared" si="342"/>
        <v>0</v>
      </c>
      <c r="L1016" s="36">
        <f t="shared" si="343"/>
        <v>0</v>
      </c>
      <c r="M1016" s="36">
        <f t="shared" si="344"/>
        <v>0</v>
      </c>
      <c r="N1016" s="36">
        <f t="shared" si="345"/>
        <v>0</v>
      </c>
      <c r="O1016" s="36">
        <f t="shared" si="346"/>
        <v>0</v>
      </c>
      <c r="P1016" s="36">
        <f t="shared" si="347"/>
        <v>0</v>
      </c>
      <c r="Q1016" s="36">
        <f t="shared" si="348"/>
        <v>0</v>
      </c>
      <c r="R1016" s="36">
        <f t="shared" si="349"/>
        <v>0</v>
      </c>
      <c r="S1016" s="36">
        <f t="shared" si="350"/>
        <v>0</v>
      </c>
      <c r="T1016" s="36">
        <f t="shared" si="351"/>
        <v>0</v>
      </c>
      <c r="U1016" s="36">
        <f t="shared" si="352"/>
        <v>0</v>
      </c>
      <c r="V1016" s="36">
        <f t="shared" si="353"/>
        <v>0</v>
      </c>
      <c r="W1016" s="36">
        <f t="shared" si="354"/>
        <v>0</v>
      </c>
      <c r="X1016" s="36">
        <f t="shared" si="355"/>
        <v>0</v>
      </c>
      <c r="Y1016" s="36">
        <f t="shared" si="356"/>
        <v>0</v>
      </c>
      <c r="Z1016" s="36">
        <f t="shared" si="357"/>
        <v>0</v>
      </c>
      <c r="AB1016" s="36" t="str">
        <f>IF(最佳化斷筋點!C1016="","",最佳化斷筋點!C1016)</f>
        <v/>
      </c>
      <c r="AC1016" s="37" t="str">
        <f>IF(最佳化斷筋點!D1016="","",最佳化斷筋點!D1016)</f>
        <v/>
      </c>
      <c r="AD1016" s="37" t="str">
        <f>IF(最佳化斷筋點!E1016="","",最佳化斷筋點!E1016)</f>
        <v/>
      </c>
      <c r="AE1016" s="37" t="str">
        <f>IF(最佳化斷筋點!F1016="","",最佳化斷筋點!F1016)</f>
        <v/>
      </c>
      <c r="AF1016" s="37" t="str">
        <f>IF(最佳化斷筋點!G1016="","",最佳化斷筋點!G1016)</f>
        <v/>
      </c>
      <c r="AG1016" s="37" t="str">
        <f>IF(最佳化斷筋點!H1016="","",最佳化斷筋點!H1016)</f>
        <v/>
      </c>
      <c r="AH1016" s="37" t="str">
        <f>IF(最佳化斷筋點!I1016="","",最佳化斷筋點!I1016)</f>
        <v/>
      </c>
      <c r="AI1016" s="37" t="str">
        <f>IF(最佳化斷筋點!J1016="","",最佳化斷筋點!J1016)</f>
        <v/>
      </c>
      <c r="AJ1016" s="37" t="str">
        <f>IF(最佳化斷筋點!K1016="","",最佳化斷筋點!K1016)</f>
        <v/>
      </c>
      <c r="AK1016" s="37" t="str">
        <f>IF(最佳化斷筋點!L1016="","",最佳化斷筋點!L1016)</f>
        <v/>
      </c>
      <c r="AL1016" s="37" t="str">
        <f>IF(最佳化斷筋點!M1016="","",最佳化斷筋點!M1016)</f>
        <v/>
      </c>
      <c r="AM1016" s="37" t="str">
        <f>IF(最佳化斷筋點!N1016="","",最佳化斷筋點!N1016)</f>
        <v/>
      </c>
      <c r="AN1016" s="37" t="str">
        <f>IF(最佳化斷筋點!O1016="","",最佳化斷筋點!O1016)</f>
        <v/>
      </c>
      <c r="AO1016" s="37" t="str">
        <f>IF(最佳化斷筋點!P1016="","",最佳化斷筋點!P1016)</f>
        <v/>
      </c>
      <c r="AP1016" s="37" t="str">
        <f>IF(最佳化斷筋點!Q1016="","",最佳化斷筋點!Q1016)</f>
        <v/>
      </c>
      <c r="AQ1016" s="37" t="str">
        <f>IF(最佳化斷筋點!R1016="","",最佳化斷筋點!R1016)</f>
        <v/>
      </c>
      <c r="AR1016" s="37" t="str">
        <f>IF(最佳化斷筋點!S1016="","",最佳化斷筋點!S1016)</f>
        <v/>
      </c>
      <c r="AS1016" s="37" t="str">
        <f>IF(最佳化斷筋點!T1016="","",最佳化斷筋點!T1016)</f>
        <v/>
      </c>
      <c r="AT1016" s="37" t="str">
        <f>IF(最佳化斷筋點!U1016="","",最佳化斷筋點!U1016)</f>
        <v/>
      </c>
      <c r="AU1016" s="37" t="str">
        <f>IF(最佳化斷筋點!V1016="","",最佳化斷筋點!V1016)</f>
        <v/>
      </c>
      <c r="AV1016" s="37" t="str">
        <f>IF(最佳化斷筋點!W1016="","",最佳化斷筋點!W1016)</f>
        <v/>
      </c>
      <c r="AW1016" s="37" t="str">
        <f>IF(最佳化斷筋點!X1016="","",最佳化斷筋點!X1016)</f>
        <v/>
      </c>
      <c r="AZ1016" s="37" t="s">
        <v>197</v>
      </c>
      <c r="BA1016" s="37" t="s">
        <v>197</v>
      </c>
      <c r="BB1016" s="37" t="s">
        <v>197</v>
      </c>
      <c r="BC1016" s="37" t="s">
        <v>197</v>
      </c>
      <c r="BD1016" s="37" t="s">
        <v>197</v>
      </c>
      <c r="BE1016" s="37" t="s">
        <v>197</v>
      </c>
      <c r="BF1016" s="37" t="s">
        <v>197</v>
      </c>
      <c r="BG1016" s="37" t="s">
        <v>197</v>
      </c>
      <c r="BH1016" s="37" t="s">
        <v>197</v>
      </c>
      <c r="BI1016" s="37" t="s">
        <v>197</v>
      </c>
      <c r="BJ1016" s="37" t="s">
        <v>197</v>
      </c>
      <c r="BK1016" s="37" t="s">
        <v>197</v>
      </c>
      <c r="BL1016" s="37" t="s">
        <v>197</v>
      </c>
      <c r="BM1016" s="37" t="s">
        <v>197</v>
      </c>
      <c r="BN1016" s="37" t="s">
        <v>197</v>
      </c>
      <c r="BO1016" s="37" t="s">
        <v>197</v>
      </c>
      <c r="BP1016" s="37" t="s">
        <v>197</v>
      </c>
      <c r="BQ1016" s="37" t="s">
        <v>197</v>
      </c>
      <c r="BR1016" s="37" t="s">
        <v>197</v>
      </c>
      <c r="BS1016" s="37" t="s">
        <v>197</v>
      </c>
      <c r="BT1016" s="37" t="s">
        <v>197</v>
      </c>
    </row>
    <row r="1017" spans="5:72" x14ac:dyDescent="0.25">
      <c r="E1017" s="36" t="s">
        <v>21</v>
      </c>
      <c r="F1017" s="36">
        <f t="shared" si="337"/>
        <v>0</v>
      </c>
      <c r="G1017" s="36">
        <f t="shared" si="338"/>
        <v>0</v>
      </c>
      <c r="H1017" s="36">
        <f t="shared" si="339"/>
        <v>0</v>
      </c>
      <c r="I1017" s="36">
        <f t="shared" si="340"/>
        <v>0</v>
      </c>
      <c r="J1017" s="36">
        <f t="shared" si="341"/>
        <v>0</v>
      </c>
      <c r="K1017" s="36">
        <f t="shared" si="342"/>
        <v>0</v>
      </c>
      <c r="L1017" s="36">
        <f t="shared" si="343"/>
        <v>0</v>
      </c>
      <c r="M1017" s="36">
        <f t="shared" si="344"/>
        <v>0</v>
      </c>
      <c r="N1017" s="36">
        <f t="shared" si="345"/>
        <v>0</v>
      </c>
      <c r="O1017" s="36">
        <f t="shared" si="346"/>
        <v>0</v>
      </c>
      <c r="P1017" s="36">
        <f t="shared" si="347"/>
        <v>0</v>
      </c>
      <c r="Q1017" s="36">
        <f t="shared" si="348"/>
        <v>0</v>
      </c>
      <c r="R1017" s="36">
        <f t="shared" si="349"/>
        <v>0</v>
      </c>
      <c r="S1017" s="36">
        <f t="shared" si="350"/>
        <v>0</v>
      </c>
      <c r="T1017" s="36">
        <f t="shared" si="351"/>
        <v>0</v>
      </c>
      <c r="U1017" s="36">
        <f t="shared" si="352"/>
        <v>0</v>
      </c>
      <c r="V1017" s="36">
        <f t="shared" si="353"/>
        <v>0</v>
      </c>
      <c r="W1017" s="36">
        <f t="shared" si="354"/>
        <v>0</v>
      </c>
      <c r="X1017" s="36">
        <f t="shared" si="355"/>
        <v>0</v>
      </c>
      <c r="Y1017" s="36">
        <f t="shared" si="356"/>
        <v>0</v>
      </c>
      <c r="Z1017" s="36">
        <f t="shared" si="357"/>
        <v>0</v>
      </c>
      <c r="AB1017" s="36" t="str">
        <f>IF(最佳化斷筋點!C1017="","",最佳化斷筋點!C1017)</f>
        <v>下層</v>
      </c>
      <c r="AC1017" s="37">
        <f>IF(最佳化斷筋點!D1017="","",最佳化斷筋點!D1017)</f>
        <v>17</v>
      </c>
      <c r="AD1017" s="37">
        <f>IF(最佳化斷筋點!E1017="","",最佳化斷筋點!E1017)</f>
        <v>17</v>
      </c>
      <c r="AE1017" s="37">
        <f>IF(最佳化斷筋點!F1017="","",最佳化斷筋點!F1017)</f>
        <v>17</v>
      </c>
      <c r="AF1017" s="37">
        <f>IF(最佳化斷筋點!G1017="","",最佳化斷筋點!G1017)</f>
        <v>17</v>
      </c>
      <c r="AG1017" s="37">
        <f>IF(最佳化斷筋點!H1017="","",最佳化斷筋點!H1017)</f>
        <v>17</v>
      </c>
      <c r="AH1017" s="37">
        <f>IF(最佳化斷筋點!I1017="","",最佳化斷筋點!I1017)</f>
        <v>16</v>
      </c>
      <c r="AI1017" s="37">
        <f>IF(最佳化斷筋點!J1017="","",最佳化斷筋點!J1017)</f>
        <v>14</v>
      </c>
      <c r="AJ1017" s="37">
        <f>IF(最佳化斷筋點!K1017="","",最佳化斷筋點!K1017)</f>
        <v>7</v>
      </c>
      <c r="AK1017" s="37">
        <f>IF(最佳化斷筋點!L1017="","",最佳化斷筋點!L1017)</f>
        <v>7</v>
      </c>
      <c r="AL1017" s="37">
        <f>IF(最佳化斷筋點!M1017="","",最佳化斷筋點!M1017)</f>
        <v>7</v>
      </c>
      <c r="AM1017" s="37">
        <f>IF(最佳化斷筋點!N1017="","",最佳化斷筋點!N1017)</f>
        <v>7</v>
      </c>
      <c r="AN1017" s="37">
        <f>IF(最佳化斷筋點!O1017="","",最佳化斷筋點!O1017)</f>
        <v>7</v>
      </c>
      <c r="AO1017" s="37">
        <f>IF(最佳化斷筋點!P1017="","",最佳化斷筋點!P1017)</f>
        <v>7</v>
      </c>
      <c r="AP1017" s="37">
        <f>IF(最佳化斷筋點!Q1017="","",最佳化斷筋點!Q1017)</f>
        <v>9</v>
      </c>
      <c r="AQ1017" s="37">
        <f>IF(最佳化斷筋點!R1017="","",最佳化斷筋點!R1017)</f>
        <v>11</v>
      </c>
      <c r="AR1017" s="37">
        <f>IF(最佳化斷筋點!S1017="","",最佳化斷筋點!S1017)</f>
        <v>12</v>
      </c>
      <c r="AS1017" s="37">
        <f>IF(最佳化斷筋點!T1017="","",最佳化斷筋點!T1017)</f>
        <v>14</v>
      </c>
      <c r="AT1017" s="37">
        <f>IF(最佳化斷筋點!U1017="","",最佳化斷筋點!U1017)</f>
        <v>15</v>
      </c>
      <c r="AU1017" s="37">
        <f>IF(最佳化斷筋點!V1017="","",最佳化斷筋點!V1017)</f>
        <v>15</v>
      </c>
      <c r="AV1017" s="37">
        <f>IF(最佳化斷筋點!W1017="","",最佳化斷筋點!W1017)</f>
        <v>15</v>
      </c>
      <c r="AW1017" s="37">
        <f>IF(最佳化斷筋點!X1017="","",最佳化斷筋點!X1017)</f>
        <v>15</v>
      </c>
      <c r="AZ1017" s="37">
        <v>17</v>
      </c>
      <c r="BA1017" s="37">
        <v>17</v>
      </c>
      <c r="BB1017" s="37">
        <v>17</v>
      </c>
      <c r="BC1017" s="37">
        <v>17</v>
      </c>
      <c r="BD1017" s="37">
        <v>17</v>
      </c>
      <c r="BE1017" s="37">
        <v>16</v>
      </c>
      <c r="BF1017" s="37">
        <v>14</v>
      </c>
      <c r="BG1017" s="37">
        <v>7</v>
      </c>
      <c r="BH1017" s="37">
        <v>7</v>
      </c>
      <c r="BI1017" s="37">
        <v>7</v>
      </c>
      <c r="BJ1017" s="37">
        <v>7</v>
      </c>
      <c r="BK1017" s="37">
        <v>7</v>
      </c>
      <c r="BL1017" s="37">
        <v>7</v>
      </c>
      <c r="BM1017" s="37">
        <v>9</v>
      </c>
      <c r="BN1017" s="37">
        <v>11</v>
      </c>
      <c r="BO1017" s="37">
        <v>12</v>
      </c>
      <c r="BP1017" s="37">
        <v>14</v>
      </c>
      <c r="BQ1017" s="37">
        <v>15</v>
      </c>
      <c r="BR1017" s="37">
        <v>15</v>
      </c>
      <c r="BS1017" s="37">
        <v>15</v>
      </c>
      <c r="BT1017" s="37">
        <v>15</v>
      </c>
    </row>
    <row r="1018" spans="5:72" x14ac:dyDescent="0.25">
      <c r="E1018" s="36"/>
      <c r="F1018" s="36">
        <f t="shared" si="337"/>
        <v>0</v>
      </c>
      <c r="G1018" s="36">
        <f t="shared" si="338"/>
        <v>0</v>
      </c>
      <c r="H1018" s="36">
        <f t="shared" si="339"/>
        <v>0</v>
      </c>
      <c r="I1018" s="36">
        <f t="shared" si="340"/>
        <v>0</v>
      </c>
      <c r="J1018" s="36">
        <f t="shared" si="341"/>
        <v>0</v>
      </c>
      <c r="K1018" s="36">
        <f t="shared" si="342"/>
        <v>0</v>
      </c>
      <c r="L1018" s="36">
        <f t="shared" si="343"/>
        <v>0</v>
      </c>
      <c r="M1018" s="36">
        <f t="shared" si="344"/>
        <v>0</v>
      </c>
      <c r="N1018" s="36">
        <f t="shared" si="345"/>
        <v>0</v>
      </c>
      <c r="O1018" s="36">
        <f t="shared" si="346"/>
        <v>0</v>
      </c>
      <c r="P1018" s="36">
        <f t="shared" si="347"/>
        <v>0</v>
      </c>
      <c r="Q1018" s="36">
        <f t="shared" si="348"/>
        <v>0</v>
      </c>
      <c r="R1018" s="36">
        <f t="shared" si="349"/>
        <v>0</v>
      </c>
      <c r="S1018" s="36">
        <f t="shared" si="350"/>
        <v>0</v>
      </c>
      <c r="T1018" s="36">
        <f t="shared" si="351"/>
        <v>0</v>
      </c>
      <c r="U1018" s="36">
        <f t="shared" si="352"/>
        <v>0</v>
      </c>
      <c r="V1018" s="36">
        <f t="shared" si="353"/>
        <v>0</v>
      </c>
      <c r="W1018" s="36">
        <f t="shared" si="354"/>
        <v>0</v>
      </c>
      <c r="X1018" s="36">
        <f t="shared" si="355"/>
        <v>0</v>
      </c>
      <c r="Y1018" s="36">
        <f t="shared" si="356"/>
        <v>0</v>
      </c>
      <c r="Z1018" s="36">
        <f t="shared" si="357"/>
        <v>0</v>
      </c>
      <c r="AB1018" s="36" t="str">
        <f>IF(最佳化斷筋點!C1018="","",最佳化斷筋點!C1018)</f>
        <v/>
      </c>
      <c r="AC1018" s="37" t="str">
        <f>IF(最佳化斷筋點!D1018="","",最佳化斷筋點!D1018)</f>
        <v/>
      </c>
      <c r="AD1018" s="37" t="str">
        <f>IF(最佳化斷筋點!E1018="","",最佳化斷筋點!E1018)</f>
        <v/>
      </c>
      <c r="AE1018" s="37" t="str">
        <f>IF(最佳化斷筋點!F1018="","",最佳化斷筋點!F1018)</f>
        <v/>
      </c>
      <c r="AF1018" s="37" t="str">
        <f>IF(最佳化斷筋點!G1018="","",最佳化斷筋點!G1018)</f>
        <v/>
      </c>
      <c r="AG1018" s="37" t="str">
        <f>IF(最佳化斷筋點!H1018="","",最佳化斷筋點!H1018)</f>
        <v/>
      </c>
      <c r="AH1018" s="37" t="str">
        <f>IF(最佳化斷筋點!I1018="","",最佳化斷筋點!I1018)</f>
        <v/>
      </c>
      <c r="AI1018" s="37" t="str">
        <f>IF(最佳化斷筋點!J1018="","",最佳化斷筋點!J1018)</f>
        <v/>
      </c>
      <c r="AJ1018" s="37" t="str">
        <f>IF(最佳化斷筋點!K1018="","",最佳化斷筋點!K1018)</f>
        <v/>
      </c>
      <c r="AK1018" s="37" t="str">
        <f>IF(最佳化斷筋點!L1018="","",最佳化斷筋點!L1018)</f>
        <v/>
      </c>
      <c r="AL1018" s="37" t="str">
        <f>IF(最佳化斷筋點!M1018="","",最佳化斷筋點!M1018)</f>
        <v/>
      </c>
      <c r="AM1018" s="37" t="str">
        <f>IF(最佳化斷筋點!N1018="","",最佳化斷筋點!N1018)</f>
        <v/>
      </c>
      <c r="AN1018" s="37" t="str">
        <f>IF(最佳化斷筋點!O1018="","",最佳化斷筋點!O1018)</f>
        <v/>
      </c>
      <c r="AO1018" s="37" t="str">
        <f>IF(最佳化斷筋點!P1018="","",最佳化斷筋點!P1018)</f>
        <v/>
      </c>
      <c r="AP1018" s="37" t="str">
        <f>IF(最佳化斷筋點!Q1018="","",最佳化斷筋點!Q1018)</f>
        <v/>
      </c>
      <c r="AQ1018" s="37" t="str">
        <f>IF(最佳化斷筋點!R1018="","",最佳化斷筋點!R1018)</f>
        <v/>
      </c>
      <c r="AR1018" s="37" t="str">
        <f>IF(最佳化斷筋點!S1018="","",最佳化斷筋點!S1018)</f>
        <v/>
      </c>
      <c r="AS1018" s="37" t="str">
        <f>IF(最佳化斷筋點!T1018="","",最佳化斷筋點!T1018)</f>
        <v/>
      </c>
      <c r="AT1018" s="37" t="str">
        <f>IF(最佳化斷筋點!U1018="","",最佳化斷筋點!U1018)</f>
        <v/>
      </c>
      <c r="AU1018" s="37" t="str">
        <f>IF(最佳化斷筋點!V1018="","",最佳化斷筋點!V1018)</f>
        <v/>
      </c>
      <c r="AV1018" s="37" t="str">
        <f>IF(最佳化斷筋點!W1018="","",最佳化斷筋點!W1018)</f>
        <v/>
      </c>
      <c r="AW1018" s="37" t="str">
        <f>IF(最佳化斷筋點!X1018="","",最佳化斷筋點!X1018)</f>
        <v/>
      </c>
      <c r="AZ1018" s="37" t="s">
        <v>197</v>
      </c>
      <c r="BA1018" s="37" t="s">
        <v>197</v>
      </c>
      <c r="BB1018" s="37" t="s">
        <v>197</v>
      </c>
      <c r="BC1018" s="37" t="s">
        <v>197</v>
      </c>
      <c r="BD1018" s="37" t="s">
        <v>197</v>
      </c>
      <c r="BE1018" s="37" t="s">
        <v>197</v>
      </c>
      <c r="BF1018" s="37" t="s">
        <v>197</v>
      </c>
      <c r="BG1018" s="37" t="s">
        <v>197</v>
      </c>
      <c r="BH1018" s="37" t="s">
        <v>197</v>
      </c>
      <c r="BI1018" s="37" t="s">
        <v>197</v>
      </c>
      <c r="BJ1018" s="37" t="s">
        <v>197</v>
      </c>
      <c r="BK1018" s="37" t="s">
        <v>197</v>
      </c>
      <c r="BL1018" s="37" t="s">
        <v>197</v>
      </c>
      <c r="BM1018" s="37" t="s">
        <v>197</v>
      </c>
      <c r="BN1018" s="37" t="s">
        <v>197</v>
      </c>
      <c r="BO1018" s="37" t="s">
        <v>197</v>
      </c>
      <c r="BP1018" s="37" t="s">
        <v>197</v>
      </c>
      <c r="BQ1018" s="37" t="s">
        <v>197</v>
      </c>
      <c r="BR1018" s="37" t="s">
        <v>197</v>
      </c>
      <c r="BS1018" s="37" t="s">
        <v>197</v>
      </c>
      <c r="BT1018" s="37" t="s">
        <v>197</v>
      </c>
    </row>
    <row r="1019" spans="5:72" x14ac:dyDescent="0.25">
      <c r="E1019" s="36" t="s">
        <v>20</v>
      </c>
      <c r="F1019" s="36">
        <f t="shared" si="337"/>
        <v>0</v>
      </c>
      <c r="G1019" s="36">
        <f t="shared" si="338"/>
        <v>0</v>
      </c>
      <c r="H1019" s="36">
        <f t="shared" si="339"/>
        <v>0</v>
      </c>
      <c r="I1019" s="36">
        <f t="shared" si="340"/>
        <v>0</v>
      </c>
      <c r="J1019" s="36">
        <f t="shared" si="341"/>
        <v>0</v>
      </c>
      <c r="K1019" s="36">
        <f t="shared" si="342"/>
        <v>0</v>
      </c>
      <c r="L1019" s="36">
        <f t="shared" si="343"/>
        <v>0</v>
      </c>
      <c r="M1019" s="36">
        <f t="shared" si="344"/>
        <v>0</v>
      </c>
      <c r="N1019" s="36">
        <f t="shared" si="345"/>
        <v>0</v>
      </c>
      <c r="O1019" s="36">
        <f t="shared" si="346"/>
        <v>0</v>
      </c>
      <c r="P1019" s="36">
        <f t="shared" si="347"/>
        <v>0</v>
      </c>
      <c r="Q1019" s="36">
        <f t="shared" si="348"/>
        <v>0</v>
      </c>
      <c r="R1019" s="36">
        <f t="shared" si="349"/>
        <v>0</v>
      </c>
      <c r="S1019" s="36">
        <f t="shared" si="350"/>
        <v>0</v>
      </c>
      <c r="T1019" s="36">
        <f t="shared" si="351"/>
        <v>0</v>
      </c>
      <c r="U1019" s="36">
        <f t="shared" si="352"/>
        <v>0</v>
      </c>
      <c r="V1019" s="36">
        <f t="shared" si="353"/>
        <v>0</v>
      </c>
      <c r="W1019" s="36">
        <f t="shared" si="354"/>
        <v>0</v>
      </c>
      <c r="X1019" s="36">
        <f t="shared" si="355"/>
        <v>0</v>
      </c>
      <c r="Y1019" s="36">
        <f t="shared" si="356"/>
        <v>0</v>
      </c>
      <c r="Z1019" s="36">
        <f t="shared" si="357"/>
        <v>0</v>
      </c>
      <c r="AB1019" s="36" t="str">
        <f>IF(最佳化斷筋點!C1019="","",最佳化斷筋點!C1019)</f>
        <v>上層</v>
      </c>
      <c r="AC1019" s="37">
        <f>IF(最佳化斷筋點!D1019="","",最佳化斷筋點!D1019)</f>
        <v>11</v>
      </c>
      <c r="AD1019" s="37">
        <f>IF(最佳化斷筋點!E1019="","",最佳化斷筋點!E1019)</f>
        <v>11</v>
      </c>
      <c r="AE1019" s="37">
        <f>IF(最佳化斷筋點!F1019="","",最佳化斷筋點!F1019)</f>
        <v>11</v>
      </c>
      <c r="AF1019" s="37">
        <f>IF(最佳化斷筋點!G1019="","",最佳化斷筋點!G1019)</f>
        <v>11</v>
      </c>
      <c r="AG1019" s="37">
        <f>IF(最佳化斷筋點!H1019="","",最佳化斷筋點!H1019)</f>
        <v>11</v>
      </c>
      <c r="AH1019" s="37">
        <f>IF(最佳化斷筋點!I1019="","",最佳化斷筋點!I1019)</f>
        <v>11</v>
      </c>
      <c r="AI1019" s="37">
        <f>IF(最佳化斷筋點!J1019="","",最佳化斷筋點!J1019)</f>
        <v>10</v>
      </c>
      <c r="AJ1019" s="37">
        <f>IF(最佳化斷筋點!K1019="","",最佳化斷筋點!K1019)</f>
        <v>4</v>
      </c>
      <c r="AK1019" s="37">
        <f>IF(最佳化斷筋點!L1019="","",最佳化斷筋點!L1019)</f>
        <v>4</v>
      </c>
      <c r="AL1019" s="37">
        <f>IF(最佳化斷筋點!M1019="","",最佳化斷筋點!M1019)</f>
        <v>4</v>
      </c>
      <c r="AM1019" s="37">
        <f>IF(最佳化斷筋點!N1019="","",最佳化斷筋點!N1019)</f>
        <v>4</v>
      </c>
      <c r="AN1019" s="37">
        <f>IF(最佳化斷筋點!O1019="","",最佳化斷筋點!O1019)</f>
        <v>4</v>
      </c>
      <c r="AO1019" s="37">
        <f>IF(最佳化斷筋點!P1019="","",最佳化斷筋點!P1019)</f>
        <v>4</v>
      </c>
      <c r="AP1019" s="37">
        <f>IF(最佳化斷筋點!Q1019="","",最佳化斷筋點!Q1019)</f>
        <v>6</v>
      </c>
      <c r="AQ1019" s="37">
        <f>IF(最佳化斷筋點!R1019="","",最佳化斷筋點!R1019)</f>
        <v>7</v>
      </c>
      <c r="AR1019" s="37">
        <f>IF(最佳化斷筋點!S1019="","",最佳化斷筋點!S1019)</f>
        <v>8</v>
      </c>
      <c r="AS1019" s="37">
        <f>IF(最佳化斷筋點!T1019="","",最佳化斷筋點!T1019)</f>
        <v>8</v>
      </c>
      <c r="AT1019" s="37">
        <f>IF(最佳化斷筋點!U1019="","",最佳化斷筋點!U1019)</f>
        <v>8</v>
      </c>
      <c r="AU1019" s="37">
        <f>IF(最佳化斷筋點!V1019="","",最佳化斷筋點!V1019)</f>
        <v>8</v>
      </c>
      <c r="AV1019" s="37">
        <f>IF(最佳化斷筋點!W1019="","",最佳化斷筋點!W1019)</f>
        <v>8</v>
      </c>
      <c r="AW1019" s="37">
        <f>IF(最佳化斷筋點!X1019="","",最佳化斷筋點!X1019)</f>
        <v>8</v>
      </c>
      <c r="AZ1019" s="37">
        <v>11</v>
      </c>
      <c r="BA1019" s="37">
        <v>11</v>
      </c>
      <c r="BB1019" s="37">
        <v>11</v>
      </c>
      <c r="BC1019" s="37">
        <v>11</v>
      </c>
      <c r="BD1019" s="37">
        <v>11</v>
      </c>
      <c r="BE1019" s="37">
        <v>11</v>
      </c>
      <c r="BF1019" s="37">
        <v>10</v>
      </c>
      <c r="BG1019" s="37">
        <v>4</v>
      </c>
      <c r="BH1019" s="37">
        <v>4</v>
      </c>
      <c r="BI1019" s="37">
        <v>4</v>
      </c>
      <c r="BJ1019" s="37">
        <v>4</v>
      </c>
      <c r="BK1019" s="37">
        <v>4</v>
      </c>
      <c r="BL1019" s="37">
        <v>4</v>
      </c>
      <c r="BM1019" s="37">
        <v>6</v>
      </c>
      <c r="BN1019" s="37">
        <v>7</v>
      </c>
      <c r="BO1019" s="37">
        <v>8</v>
      </c>
      <c r="BP1019" s="37">
        <v>8</v>
      </c>
      <c r="BQ1019" s="37">
        <v>8</v>
      </c>
      <c r="BR1019" s="37">
        <v>8</v>
      </c>
      <c r="BS1019" s="37">
        <v>8</v>
      </c>
      <c r="BT1019" s="37">
        <v>8</v>
      </c>
    </row>
    <row r="1020" spans="5:72" x14ac:dyDescent="0.25">
      <c r="E1020" s="36"/>
      <c r="F1020" s="36">
        <f t="shared" si="337"/>
        <v>0</v>
      </c>
      <c r="G1020" s="36">
        <f t="shared" si="338"/>
        <v>0</v>
      </c>
      <c r="H1020" s="36">
        <f t="shared" si="339"/>
        <v>0</v>
      </c>
      <c r="I1020" s="36">
        <f t="shared" si="340"/>
        <v>0</v>
      </c>
      <c r="J1020" s="36">
        <f t="shared" si="341"/>
        <v>0</v>
      </c>
      <c r="K1020" s="36">
        <f t="shared" si="342"/>
        <v>0</v>
      </c>
      <c r="L1020" s="36">
        <f t="shared" si="343"/>
        <v>0</v>
      </c>
      <c r="M1020" s="36">
        <f t="shared" si="344"/>
        <v>0</v>
      </c>
      <c r="N1020" s="36">
        <f t="shared" si="345"/>
        <v>0</v>
      </c>
      <c r="O1020" s="36">
        <f t="shared" si="346"/>
        <v>0</v>
      </c>
      <c r="P1020" s="36">
        <f t="shared" si="347"/>
        <v>0</v>
      </c>
      <c r="Q1020" s="36">
        <f t="shared" si="348"/>
        <v>0</v>
      </c>
      <c r="R1020" s="36">
        <f t="shared" si="349"/>
        <v>0</v>
      </c>
      <c r="S1020" s="36">
        <f t="shared" si="350"/>
        <v>0</v>
      </c>
      <c r="T1020" s="36">
        <f t="shared" si="351"/>
        <v>0</v>
      </c>
      <c r="U1020" s="36">
        <f t="shared" si="352"/>
        <v>0</v>
      </c>
      <c r="V1020" s="36">
        <f t="shared" si="353"/>
        <v>0</v>
      </c>
      <c r="W1020" s="36">
        <f t="shared" si="354"/>
        <v>0</v>
      </c>
      <c r="X1020" s="36">
        <f t="shared" si="355"/>
        <v>0</v>
      </c>
      <c r="Y1020" s="36">
        <f t="shared" si="356"/>
        <v>0</v>
      </c>
      <c r="Z1020" s="36">
        <f t="shared" si="357"/>
        <v>0</v>
      </c>
      <c r="AB1020" s="36" t="str">
        <f>IF(最佳化斷筋點!C1020="","",最佳化斷筋點!C1020)</f>
        <v/>
      </c>
      <c r="AC1020" s="37" t="str">
        <f>IF(最佳化斷筋點!D1020="","",最佳化斷筋點!D1020)</f>
        <v/>
      </c>
      <c r="AD1020" s="37" t="str">
        <f>IF(最佳化斷筋點!E1020="","",最佳化斷筋點!E1020)</f>
        <v/>
      </c>
      <c r="AE1020" s="37" t="str">
        <f>IF(最佳化斷筋點!F1020="","",最佳化斷筋點!F1020)</f>
        <v/>
      </c>
      <c r="AF1020" s="37" t="str">
        <f>IF(最佳化斷筋點!G1020="","",最佳化斷筋點!G1020)</f>
        <v/>
      </c>
      <c r="AG1020" s="37" t="str">
        <f>IF(最佳化斷筋點!H1020="","",最佳化斷筋點!H1020)</f>
        <v/>
      </c>
      <c r="AH1020" s="37" t="str">
        <f>IF(最佳化斷筋點!I1020="","",最佳化斷筋點!I1020)</f>
        <v/>
      </c>
      <c r="AI1020" s="37" t="str">
        <f>IF(最佳化斷筋點!J1020="","",最佳化斷筋點!J1020)</f>
        <v/>
      </c>
      <c r="AJ1020" s="37" t="str">
        <f>IF(最佳化斷筋點!K1020="","",最佳化斷筋點!K1020)</f>
        <v/>
      </c>
      <c r="AK1020" s="37" t="str">
        <f>IF(最佳化斷筋點!L1020="","",最佳化斷筋點!L1020)</f>
        <v/>
      </c>
      <c r="AL1020" s="37" t="str">
        <f>IF(最佳化斷筋點!M1020="","",最佳化斷筋點!M1020)</f>
        <v/>
      </c>
      <c r="AM1020" s="37" t="str">
        <f>IF(最佳化斷筋點!N1020="","",最佳化斷筋點!N1020)</f>
        <v/>
      </c>
      <c r="AN1020" s="37" t="str">
        <f>IF(最佳化斷筋點!O1020="","",最佳化斷筋點!O1020)</f>
        <v/>
      </c>
      <c r="AO1020" s="37" t="str">
        <f>IF(最佳化斷筋點!P1020="","",最佳化斷筋點!P1020)</f>
        <v/>
      </c>
      <c r="AP1020" s="37" t="str">
        <f>IF(最佳化斷筋點!Q1020="","",最佳化斷筋點!Q1020)</f>
        <v/>
      </c>
      <c r="AQ1020" s="37" t="str">
        <f>IF(最佳化斷筋點!R1020="","",最佳化斷筋點!R1020)</f>
        <v/>
      </c>
      <c r="AR1020" s="37" t="str">
        <f>IF(最佳化斷筋點!S1020="","",最佳化斷筋點!S1020)</f>
        <v/>
      </c>
      <c r="AS1020" s="37" t="str">
        <f>IF(最佳化斷筋點!T1020="","",最佳化斷筋點!T1020)</f>
        <v/>
      </c>
      <c r="AT1020" s="37" t="str">
        <f>IF(最佳化斷筋點!U1020="","",最佳化斷筋點!U1020)</f>
        <v/>
      </c>
      <c r="AU1020" s="37" t="str">
        <f>IF(最佳化斷筋點!V1020="","",最佳化斷筋點!V1020)</f>
        <v/>
      </c>
      <c r="AV1020" s="37" t="str">
        <f>IF(最佳化斷筋點!W1020="","",最佳化斷筋點!W1020)</f>
        <v/>
      </c>
      <c r="AW1020" s="37" t="str">
        <f>IF(最佳化斷筋點!X1020="","",最佳化斷筋點!X1020)</f>
        <v/>
      </c>
      <c r="AZ1020" s="37" t="s">
        <v>197</v>
      </c>
      <c r="BA1020" s="37" t="s">
        <v>197</v>
      </c>
      <c r="BB1020" s="37" t="s">
        <v>197</v>
      </c>
      <c r="BC1020" s="37" t="s">
        <v>197</v>
      </c>
      <c r="BD1020" s="37" t="s">
        <v>197</v>
      </c>
      <c r="BE1020" s="37" t="s">
        <v>197</v>
      </c>
      <c r="BF1020" s="37" t="s">
        <v>197</v>
      </c>
      <c r="BG1020" s="37" t="s">
        <v>197</v>
      </c>
      <c r="BH1020" s="37" t="s">
        <v>197</v>
      </c>
      <c r="BI1020" s="37" t="s">
        <v>197</v>
      </c>
      <c r="BJ1020" s="37" t="s">
        <v>197</v>
      </c>
      <c r="BK1020" s="37" t="s">
        <v>197</v>
      </c>
      <c r="BL1020" s="37" t="s">
        <v>197</v>
      </c>
      <c r="BM1020" s="37" t="s">
        <v>197</v>
      </c>
      <c r="BN1020" s="37" t="s">
        <v>197</v>
      </c>
      <c r="BO1020" s="37" t="s">
        <v>197</v>
      </c>
      <c r="BP1020" s="37" t="s">
        <v>197</v>
      </c>
      <c r="BQ1020" s="37" t="s">
        <v>197</v>
      </c>
      <c r="BR1020" s="37" t="s">
        <v>197</v>
      </c>
      <c r="BS1020" s="37" t="s">
        <v>197</v>
      </c>
      <c r="BT1020" s="37" t="s">
        <v>197</v>
      </c>
    </row>
    <row r="1021" spans="5:72" x14ac:dyDescent="0.25">
      <c r="E1021" s="36" t="s">
        <v>21</v>
      </c>
      <c r="F1021" s="36">
        <f t="shared" si="337"/>
        <v>0</v>
      </c>
      <c r="G1021" s="36">
        <f t="shared" si="338"/>
        <v>0</v>
      </c>
      <c r="H1021" s="36">
        <f t="shared" si="339"/>
        <v>0</v>
      </c>
      <c r="I1021" s="36">
        <f t="shared" si="340"/>
        <v>0</v>
      </c>
      <c r="J1021" s="36">
        <f t="shared" si="341"/>
        <v>0</v>
      </c>
      <c r="K1021" s="36">
        <f t="shared" si="342"/>
        <v>0</v>
      </c>
      <c r="L1021" s="36">
        <f t="shared" si="343"/>
        <v>0</v>
      </c>
      <c r="M1021" s="36">
        <f t="shared" si="344"/>
        <v>0</v>
      </c>
      <c r="N1021" s="36">
        <f t="shared" si="345"/>
        <v>0</v>
      </c>
      <c r="O1021" s="36">
        <f t="shared" si="346"/>
        <v>0</v>
      </c>
      <c r="P1021" s="36">
        <f t="shared" si="347"/>
        <v>0</v>
      </c>
      <c r="Q1021" s="36">
        <f t="shared" si="348"/>
        <v>0</v>
      </c>
      <c r="R1021" s="36">
        <f t="shared" si="349"/>
        <v>0</v>
      </c>
      <c r="S1021" s="36">
        <f t="shared" si="350"/>
        <v>0</v>
      </c>
      <c r="T1021" s="36">
        <f t="shared" si="351"/>
        <v>0</v>
      </c>
      <c r="U1021" s="36">
        <f t="shared" si="352"/>
        <v>0</v>
      </c>
      <c r="V1021" s="36">
        <f t="shared" si="353"/>
        <v>0</v>
      </c>
      <c r="W1021" s="36">
        <f t="shared" si="354"/>
        <v>0</v>
      </c>
      <c r="X1021" s="36">
        <f t="shared" si="355"/>
        <v>0</v>
      </c>
      <c r="Y1021" s="36">
        <f t="shared" si="356"/>
        <v>0</v>
      </c>
      <c r="Z1021" s="36">
        <f t="shared" si="357"/>
        <v>0</v>
      </c>
      <c r="AB1021" s="36" t="str">
        <f>IF(最佳化斷筋點!C1021="","",最佳化斷筋點!C1021)</f>
        <v>下層</v>
      </c>
      <c r="AC1021" s="37">
        <f>IF(最佳化斷筋點!D1021="","",最佳化斷筋點!D1021)</f>
        <v>13</v>
      </c>
      <c r="AD1021" s="37">
        <f>IF(最佳化斷筋點!E1021="","",最佳化斷筋點!E1021)</f>
        <v>13</v>
      </c>
      <c r="AE1021" s="37">
        <f>IF(最佳化斷筋點!F1021="","",最佳化斷筋點!F1021)</f>
        <v>13</v>
      </c>
      <c r="AF1021" s="37">
        <f>IF(最佳化斷筋點!G1021="","",最佳化斷筋點!G1021)</f>
        <v>13</v>
      </c>
      <c r="AG1021" s="37">
        <f>IF(最佳化斷筋點!H1021="","",最佳化斷筋點!H1021)</f>
        <v>12</v>
      </c>
      <c r="AH1021" s="37">
        <f>IF(最佳化斷筋點!I1021="","",最佳化斷筋點!I1021)</f>
        <v>11</v>
      </c>
      <c r="AI1021" s="37">
        <f>IF(最佳化斷筋點!J1021="","",最佳化斷筋點!J1021)</f>
        <v>10</v>
      </c>
      <c r="AJ1021" s="37">
        <f>IF(最佳化斷筋點!K1021="","",最佳化斷筋點!K1021)</f>
        <v>6</v>
      </c>
      <c r="AK1021" s="37">
        <f>IF(最佳化斷筋點!L1021="","",最佳化斷筋點!L1021)</f>
        <v>6</v>
      </c>
      <c r="AL1021" s="37">
        <f>IF(最佳化斷筋點!M1021="","",最佳化斷筋點!M1021)</f>
        <v>6</v>
      </c>
      <c r="AM1021" s="37">
        <f>IF(最佳化斷筋點!N1021="","",最佳化斷筋點!N1021)</f>
        <v>6</v>
      </c>
      <c r="AN1021" s="37">
        <f>IF(最佳化斷筋點!O1021="","",最佳化斷筋點!O1021)</f>
        <v>6</v>
      </c>
      <c r="AO1021" s="37">
        <f>IF(最佳化斷筋點!P1021="","",最佳化斷筋點!P1021)</f>
        <v>6</v>
      </c>
      <c r="AP1021" s="37">
        <f>IF(最佳化斷筋點!Q1021="","",最佳化斷筋點!Q1021)</f>
        <v>8</v>
      </c>
      <c r="AQ1021" s="37">
        <f>IF(最佳化斷筋點!R1021="","",最佳化斷筋點!R1021)</f>
        <v>9</v>
      </c>
      <c r="AR1021" s="37">
        <f>IF(最佳化斷筋點!S1021="","",最佳化斷筋點!S1021)</f>
        <v>11</v>
      </c>
      <c r="AS1021" s="37">
        <f>IF(最佳化斷筋點!T1021="","",最佳化斷筋點!T1021)</f>
        <v>12</v>
      </c>
      <c r="AT1021" s="37">
        <f>IF(最佳化斷筋點!U1021="","",最佳化斷筋點!U1021)</f>
        <v>13</v>
      </c>
      <c r="AU1021" s="37">
        <f>IF(最佳化斷筋點!V1021="","",最佳化斷筋點!V1021)</f>
        <v>13</v>
      </c>
      <c r="AV1021" s="37">
        <f>IF(最佳化斷筋點!W1021="","",最佳化斷筋點!W1021)</f>
        <v>13</v>
      </c>
      <c r="AW1021" s="37">
        <f>IF(最佳化斷筋點!X1021="","",最佳化斷筋點!X1021)</f>
        <v>13</v>
      </c>
      <c r="AZ1021" s="37">
        <v>13</v>
      </c>
      <c r="BA1021" s="37">
        <v>13</v>
      </c>
      <c r="BB1021" s="37">
        <v>13</v>
      </c>
      <c r="BC1021" s="37">
        <v>13</v>
      </c>
      <c r="BD1021" s="37">
        <v>12</v>
      </c>
      <c r="BE1021" s="37">
        <v>11</v>
      </c>
      <c r="BF1021" s="37">
        <v>10</v>
      </c>
      <c r="BG1021" s="37">
        <v>6</v>
      </c>
      <c r="BH1021" s="37">
        <v>6</v>
      </c>
      <c r="BI1021" s="37">
        <v>6</v>
      </c>
      <c r="BJ1021" s="37">
        <v>6</v>
      </c>
      <c r="BK1021" s="37">
        <v>6</v>
      </c>
      <c r="BL1021" s="37">
        <v>6</v>
      </c>
      <c r="BM1021" s="37">
        <v>8</v>
      </c>
      <c r="BN1021" s="37">
        <v>9</v>
      </c>
      <c r="BO1021" s="37">
        <v>11</v>
      </c>
      <c r="BP1021" s="37">
        <v>12</v>
      </c>
      <c r="BQ1021" s="37">
        <v>13</v>
      </c>
      <c r="BR1021" s="37">
        <v>13</v>
      </c>
      <c r="BS1021" s="37">
        <v>13</v>
      </c>
      <c r="BT1021" s="37">
        <v>13</v>
      </c>
    </row>
    <row r="1022" spans="5:72" x14ac:dyDescent="0.25">
      <c r="E1022" s="36"/>
      <c r="F1022" s="36">
        <f t="shared" si="337"/>
        <v>0</v>
      </c>
      <c r="G1022" s="36">
        <f t="shared" si="338"/>
        <v>0</v>
      </c>
      <c r="H1022" s="36">
        <f t="shared" si="339"/>
        <v>0</v>
      </c>
      <c r="I1022" s="36">
        <f t="shared" si="340"/>
        <v>0</v>
      </c>
      <c r="J1022" s="36">
        <f t="shared" si="341"/>
        <v>0</v>
      </c>
      <c r="K1022" s="36">
        <f t="shared" si="342"/>
        <v>0</v>
      </c>
      <c r="L1022" s="36">
        <f t="shared" si="343"/>
        <v>0</v>
      </c>
      <c r="M1022" s="36">
        <f t="shared" si="344"/>
        <v>0</v>
      </c>
      <c r="N1022" s="36">
        <f t="shared" si="345"/>
        <v>0</v>
      </c>
      <c r="O1022" s="36">
        <f t="shared" si="346"/>
        <v>0</v>
      </c>
      <c r="P1022" s="36">
        <f t="shared" si="347"/>
        <v>0</v>
      </c>
      <c r="Q1022" s="36">
        <f t="shared" si="348"/>
        <v>0</v>
      </c>
      <c r="R1022" s="36">
        <f t="shared" si="349"/>
        <v>0</v>
      </c>
      <c r="S1022" s="36">
        <f t="shared" si="350"/>
        <v>0</v>
      </c>
      <c r="T1022" s="36">
        <f t="shared" si="351"/>
        <v>0</v>
      </c>
      <c r="U1022" s="36">
        <f t="shared" si="352"/>
        <v>0</v>
      </c>
      <c r="V1022" s="36">
        <f t="shared" si="353"/>
        <v>0</v>
      </c>
      <c r="W1022" s="36">
        <f t="shared" si="354"/>
        <v>0</v>
      </c>
      <c r="X1022" s="36">
        <f t="shared" si="355"/>
        <v>0</v>
      </c>
      <c r="Y1022" s="36">
        <f t="shared" si="356"/>
        <v>0</v>
      </c>
      <c r="Z1022" s="36">
        <f t="shared" si="357"/>
        <v>0</v>
      </c>
      <c r="AB1022" s="36" t="str">
        <f>IF(最佳化斷筋點!C1022="","",最佳化斷筋點!C1022)</f>
        <v/>
      </c>
      <c r="AC1022" s="37" t="str">
        <f>IF(最佳化斷筋點!D1022="","",最佳化斷筋點!D1022)</f>
        <v/>
      </c>
      <c r="AD1022" s="37" t="str">
        <f>IF(最佳化斷筋點!E1022="","",最佳化斷筋點!E1022)</f>
        <v/>
      </c>
      <c r="AE1022" s="37" t="str">
        <f>IF(最佳化斷筋點!F1022="","",最佳化斷筋點!F1022)</f>
        <v/>
      </c>
      <c r="AF1022" s="37" t="str">
        <f>IF(最佳化斷筋點!G1022="","",最佳化斷筋點!G1022)</f>
        <v/>
      </c>
      <c r="AG1022" s="37" t="str">
        <f>IF(最佳化斷筋點!H1022="","",最佳化斷筋點!H1022)</f>
        <v/>
      </c>
      <c r="AH1022" s="37" t="str">
        <f>IF(最佳化斷筋點!I1022="","",最佳化斷筋點!I1022)</f>
        <v/>
      </c>
      <c r="AI1022" s="37" t="str">
        <f>IF(最佳化斷筋點!J1022="","",最佳化斷筋點!J1022)</f>
        <v/>
      </c>
      <c r="AJ1022" s="37" t="str">
        <f>IF(最佳化斷筋點!K1022="","",最佳化斷筋點!K1022)</f>
        <v/>
      </c>
      <c r="AK1022" s="37" t="str">
        <f>IF(最佳化斷筋點!L1022="","",最佳化斷筋點!L1022)</f>
        <v/>
      </c>
      <c r="AL1022" s="37" t="str">
        <f>IF(最佳化斷筋點!M1022="","",最佳化斷筋點!M1022)</f>
        <v/>
      </c>
      <c r="AM1022" s="37" t="str">
        <f>IF(最佳化斷筋點!N1022="","",最佳化斷筋點!N1022)</f>
        <v/>
      </c>
      <c r="AN1022" s="37" t="str">
        <f>IF(最佳化斷筋點!O1022="","",最佳化斷筋點!O1022)</f>
        <v/>
      </c>
      <c r="AO1022" s="37" t="str">
        <f>IF(最佳化斷筋點!P1022="","",最佳化斷筋點!P1022)</f>
        <v/>
      </c>
      <c r="AP1022" s="37" t="str">
        <f>IF(最佳化斷筋點!Q1022="","",最佳化斷筋點!Q1022)</f>
        <v/>
      </c>
      <c r="AQ1022" s="37" t="str">
        <f>IF(最佳化斷筋點!R1022="","",最佳化斷筋點!R1022)</f>
        <v/>
      </c>
      <c r="AR1022" s="37" t="str">
        <f>IF(最佳化斷筋點!S1022="","",最佳化斷筋點!S1022)</f>
        <v/>
      </c>
      <c r="AS1022" s="37" t="str">
        <f>IF(最佳化斷筋點!T1022="","",最佳化斷筋點!T1022)</f>
        <v/>
      </c>
      <c r="AT1022" s="37" t="str">
        <f>IF(最佳化斷筋點!U1022="","",最佳化斷筋點!U1022)</f>
        <v/>
      </c>
      <c r="AU1022" s="37" t="str">
        <f>IF(最佳化斷筋點!V1022="","",最佳化斷筋點!V1022)</f>
        <v/>
      </c>
      <c r="AV1022" s="37" t="str">
        <f>IF(最佳化斷筋點!W1022="","",最佳化斷筋點!W1022)</f>
        <v/>
      </c>
      <c r="AW1022" s="37" t="str">
        <f>IF(最佳化斷筋點!X1022="","",最佳化斷筋點!X1022)</f>
        <v/>
      </c>
      <c r="AZ1022" s="37" t="s">
        <v>197</v>
      </c>
      <c r="BA1022" s="37" t="s">
        <v>197</v>
      </c>
      <c r="BB1022" s="37" t="s">
        <v>197</v>
      </c>
      <c r="BC1022" s="37" t="s">
        <v>197</v>
      </c>
      <c r="BD1022" s="37" t="s">
        <v>197</v>
      </c>
      <c r="BE1022" s="37" t="s">
        <v>197</v>
      </c>
      <c r="BF1022" s="37" t="s">
        <v>197</v>
      </c>
      <c r="BG1022" s="37" t="s">
        <v>197</v>
      </c>
      <c r="BH1022" s="37" t="s">
        <v>197</v>
      </c>
      <c r="BI1022" s="37" t="s">
        <v>197</v>
      </c>
      <c r="BJ1022" s="37" t="s">
        <v>197</v>
      </c>
      <c r="BK1022" s="37" t="s">
        <v>197</v>
      </c>
      <c r="BL1022" s="37" t="s">
        <v>197</v>
      </c>
      <c r="BM1022" s="37" t="s">
        <v>197</v>
      </c>
      <c r="BN1022" s="37" t="s">
        <v>197</v>
      </c>
      <c r="BO1022" s="37" t="s">
        <v>197</v>
      </c>
      <c r="BP1022" s="37" t="s">
        <v>197</v>
      </c>
      <c r="BQ1022" s="37" t="s">
        <v>197</v>
      </c>
      <c r="BR1022" s="37" t="s">
        <v>197</v>
      </c>
      <c r="BS1022" s="37" t="s">
        <v>197</v>
      </c>
      <c r="BT1022" s="37" t="s">
        <v>197</v>
      </c>
    </row>
    <row r="1023" spans="5:72" x14ac:dyDescent="0.25">
      <c r="E1023" s="36" t="s">
        <v>20</v>
      </c>
      <c r="F1023" s="36">
        <f t="shared" si="337"/>
        <v>0</v>
      </c>
      <c r="G1023" s="36">
        <f t="shared" si="338"/>
        <v>0</v>
      </c>
      <c r="H1023" s="36">
        <f t="shared" si="339"/>
        <v>0</v>
      </c>
      <c r="I1023" s="36">
        <f t="shared" si="340"/>
        <v>0</v>
      </c>
      <c r="J1023" s="36">
        <f t="shared" si="341"/>
        <v>0</v>
      </c>
      <c r="K1023" s="36">
        <f t="shared" si="342"/>
        <v>0</v>
      </c>
      <c r="L1023" s="36">
        <f t="shared" si="343"/>
        <v>0</v>
      </c>
      <c r="M1023" s="36">
        <f t="shared" si="344"/>
        <v>0</v>
      </c>
      <c r="N1023" s="36">
        <f t="shared" si="345"/>
        <v>0</v>
      </c>
      <c r="O1023" s="36">
        <f t="shared" si="346"/>
        <v>0</v>
      </c>
      <c r="P1023" s="36">
        <f t="shared" si="347"/>
        <v>0</v>
      </c>
      <c r="Q1023" s="36">
        <f t="shared" si="348"/>
        <v>0</v>
      </c>
      <c r="R1023" s="36">
        <f t="shared" si="349"/>
        <v>0</v>
      </c>
      <c r="S1023" s="36">
        <f t="shared" si="350"/>
        <v>0</v>
      </c>
      <c r="T1023" s="36">
        <f t="shared" si="351"/>
        <v>0</v>
      </c>
      <c r="U1023" s="36">
        <f t="shared" si="352"/>
        <v>0</v>
      </c>
      <c r="V1023" s="36">
        <f t="shared" si="353"/>
        <v>0</v>
      </c>
      <c r="W1023" s="36">
        <f t="shared" si="354"/>
        <v>0</v>
      </c>
      <c r="X1023" s="36">
        <f t="shared" si="355"/>
        <v>0</v>
      </c>
      <c r="Y1023" s="36">
        <f t="shared" si="356"/>
        <v>0</v>
      </c>
      <c r="Z1023" s="36">
        <f t="shared" si="357"/>
        <v>0</v>
      </c>
      <c r="AB1023" s="36" t="str">
        <f>IF(最佳化斷筋點!C1023="","",最佳化斷筋點!C1023)</f>
        <v>上層</v>
      </c>
      <c r="AC1023" s="37">
        <f>IF(最佳化斷筋點!D1023="","",最佳化斷筋點!D1023)</f>
        <v>8</v>
      </c>
      <c r="AD1023" s="37">
        <f>IF(最佳化斷筋點!E1023="","",最佳化斷筋點!E1023)</f>
        <v>8</v>
      </c>
      <c r="AE1023" s="37">
        <f>IF(最佳化斷筋點!F1023="","",最佳化斷筋點!F1023)</f>
        <v>8</v>
      </c>
      <c r="AF1023" s="37">
        <f>IF(最佳化斷筋點!G1023="","",最佳化斷筋點!G1023)</f>
        <v>8</v>
      </c>
      <c r="AG1023" s="37">
        <f>IF(最佳化斷筋點!H1023="","",最佳化斷筋點!H1023)</f>
        <v>8</v>
      </c>
      <c r="AH1023" s="37">
        <f>IF(最佳化斷筋點!I1023="","",最佳化斷筋點!I1023)</f>
        <v>8</v>
      </c>
      <c r="AI1023" s="37">
        <f>IF(最佳化斷筋點!J1023="","",最佳化斷筋點!J1023)</f>
        <v>8</v>
      </c>
      <c r="AJ1023" s="37">
        <f>IF(最佳化斷筋點!K1023="","",最佳化斷筋點!K1023)</f>
        <v>8</v>
      </c>
      <c r="AK1023" s="37">
        <f>IF(最佳化斷筋點!L1023="","",最佳化斷筋點!L1023)</f>
        <v>7</v>
      </c>
      <c r="AL1023" s="37">
        <f>IF(最佳化斷筋點!M1023="","",最佳化斷筋點!M1023)</f>
        <v>6</v>
      </c>
      <c r="AM1023" s="37">
        <f>IF(最佳化斷筋點!N1023="","",最佳化斷筋點!N1023)</f>
        <v>6</v>
      </c>
      <c r="AN1023" s="37">
        <f>IF(最佳化斷筋點!O1023="","",最佳化斷筋點!O1023)</f>
        <v>7</v>
      </c>
      <c r="AO1023" s="37">
        <f>IF(最佳化斷筋點!P1023="","",最佳化斷筋點!P1023)</f>
        <v>8</v>
      </c>
      <c r="AP1023" s="37">
        <f>IF(最佳化斷筋點!Q1023="","",最佳化斷筋點!Q1023)</f>
        <v>9</v>
      </c>
      <c r="AQ1023" s="37">
        <f>IF(最佳化斷筋點!R1023="","",最佳化斷筋點!R1023)</f>
        <v>10</v>
      </c>
      <c r="AR1023" s="37">
        <f>IF(最佳化斷筋點!S1023="","",最佳化斷筋點!S1023)</f>
        <v>10</v>
      </c>
      <c r="AS1023" s="37">
        <f>IF(最佳化斷筋點!T1023="","",最佳化斷筋點!T1023)</f>
        <v>10</v>
      </c>
      <c r="AT1023" s="37">
        <f>IF(最佳化斷筋點!U1023="","",最佳化斷筋點!U1023)</f>
        <v>10</v>
      </c>
      <c r="AU1023" s="37">
        <f>IF(最佳化斷筋點!V1023="","",最佳化斷筋點!V1023)</f>
        <v>10</v>
      </c>
      <c r="AV1023" s="37">
        <f>IF(最佳化斷筋點!W1023="","",最佳化斷筋點!W1023)</f>
        <v>10</v>
      </c>
      <c r="AW1023" s="37">
        <f>IF(最佳化斷筋點!X1023="","",最佳化斷筋點!X1023)</f>
        <v>10</v>
      </c>
      <c r="AZ1023" s="37">
        <v>8</v>
      </c>
      <c r="BA1023" s="37">
        <v>8</v>
      </c>
      <c r="BB1023" s="37">
        <v>8</v>
      </c>
      <c r="BC1023" s="37">
        <v>8</v>
      </c>
      <c r="BD1023" s="37">
        <v>8</v>
      </c>
      <c r="BE1023" s="37">
        <v>8</v>
      </c>
      <c r="BF1023" s="37">
        <v>8</v>
      </c>
      <c r="BG1023" s="37">
        <v>8</v>
      </c>
      <c r="BH1023" s="37">
        <v>7</v>
      </c>
      <c r="BI1023" s="37">
        <v>6</v>
      </c>
      <c r="BJ1023" s="37">
        <v>6</v>
      </c>
      <c r="BK1023" s="37">
        <v>7</v>
      </c>
      <c r="BL1023" s="37">
        <v>8</v>
      </c>
      <c r="BM1023" s="37">
        <v>9</v>
      </c>
      <c r="BN1023" s="37">
        <v>10</v>
      </c>
      <c r="BO1023" s="37">
        <v>10</v>
      </c>
      <c r="BP1023" s="37">
        <v>10</v>
      </c>
      <c r="BQ1023" s="37">
        <v>10</v>
      </c>
      <c r="BR1023" s="37">
        <v>10</v>
      </c>
      <c r="BS1023" s="37">
        <v>10</v>
      </c>
      <c r="BT1023" s="37">
        <v>10</v>
      </c>
    </row>
    <row r="1024" spans="5:72" x14ac:dyDescent="0.25">
      <c r="E1024" s="36"/>
      <c r="F1024" s="36">
        <f t="shared" si="337"/>
        <v>0</v>
      </c>
      <c r="G1024" s="36">
        <f t="shared" si="338"/>
        <v>0</v>
      </c>
      <c r="H1024" s="36">
        <f t="shared" si="339"/>
        <v>0</v>
      </c>
      <c r="I1024" s="36">
        <f t="shared" si="340"/>
        <v>0</v>
      </c>
      <c r="J1024" s="36">
        <f t="shared" si="341"/>
        <v>0</v>
      </c>
      <c r="K1024" s="36">
        <f t="shared" si="342"/>
        <v>0</v>
      </c>
      <c r="L1024" s="36">
        <f t="shared" si="343"/>
        <v>0</v>
      </c>
      <c r="M1024" s="36">
        <f t="shared" si="344"/>
        <v>0</v>
      </c>
      <c r="N1024" s="36">
        <f t="shared" si="345"/>
        <v>0</v>
      </c>
      <c r="O1024" s="36">
        <f t="shared" si="346"/>
        <v>0</v>
      </c>
      <c r="P1024" s="36">
        <f t="shared" si="347"/>
        <v>0</v>
      </c>
      <c r="Q1024" s="36">
        <f t="shared" si="348"/>
        <v>0</v>
      </c>
      <c r="R1024" s="36">
        <f t="shared" si="349"/>
        <v>0</v>
      </c>
      <c r="S1024" s="36">
        <f t="shared" si="350"/>
        <v>0</v>
      </c>
      <c r="T1024" s="36">
        <f t="shared" si="351"/>
        <v>0</v>
      </c>
      <c r="U1024" s="36">
        <f t="shared" si="352"/>
        <v>0</v>
      </c>
      <c r="V1024" s="36">
        <f t="shared" si="353"/>
        <v>0</v>
      </c>
      <c r="W1024" s="36">
        <f t="shared" si="354"/>
        <v>0</v>
      </c>
      <c r="X1024" s="36">
        <f t="shared" si="355"/>
        <v>0</v>
      </c>
      <c r="Y1024" s="36">
        <f t="shared" si="356"/>
        <v>0</v>
      </c>
      <c r="Z1024" s="36">
        <f t="shared" si="357"/>
        <v>0</v>
      </c>
      <c r="AB1024" s="36" t="str">
        <f>IF(最佳化斷筋點!C1024="","",最佳化斷筋點!C1024)</f>
        <v/>
      </c>
      <c r="AC1024" s="37" t="str">
        <f>IF(最佳化斷筋點!D1024="","",最佳化斷筋點!D1024)</f>
        <v/>
      </c>
      <c r="AD1024" s="37" t="str">
        <f>IF(最佳化斷筋點!E1024="","",最佳化斷筋點!E1024)</f>
        <v/>
      </c>
      <c r="AE1024" s="37" t="str">
        <f>IF(最佳化斷筋點!F1024="","",最佳化斷筋點!F1024)</f>
        <v/>
      </c>
      <c r="AF1024" s="37" t="str">
        <f>IF(最佳化斷筋點!G1024="","",最佳化斷筋點!G1024)</f>
        <v/>
      </c>
      <c r="AG1024" s="37" t="str">
        <f>IF(最佳化斷筋點!H1024="","",最佳化斷筋點!H1024)</f>
        <v/>
      </c>
      <c r="AH1024" s="37" t="str">
        <f>IF(最佳化斷筋點!I1024="","",最佳化斷筋點!I1024)</f>
        <v/>
      </c>
      <c r="AI1024" s="37" t="str">
        <f>IF(最佳化斷筋點!J1024="","",最佳化斷筋點!J1024)</f>
        <v/>
      </c>
      <c r="AJ1024" s="37" t="str">
        <f>IF(最佳化斷筋點!K1024="","",最佳化斷筋點!K1024)</f>
        <v/>
      </c>
      <c r="AK1024" s="37" t="str">
        <f>IF(最佳化斷筋點!L1024="","",最佳化斷筋點!L1024)</f>
        <v/>
      </c>
      <c r="AL1024" s="37" t="str">
        <f>IF(最佳化斷筋點!M1024="","",最佳化斷筋點!M1024)</f>
        <v/>
      </c>
      <c r="AM1024" s="37" t="str">
        <f>IF(最佳化斷筋點!N1024="","",最佳化斷筋點!N1024)</f>
        <v/>
      </c>
      <c r="AN1024" s="37" t="str">
        <f>IF(最佳化斷筋點!O1024="","",最佳化斷筋點!O1024)</f>
        <v/>
      </c>
      <c r="AO1024" s="37" t="str">
        <f>IF(最佳化斷筋點!P1024="","",最佳化斷筋點!P1024)</f>
        <v/>
      </c>
      <c r="AP1024" s="37" t="str">
        <f>IF(最佳化斷筋點!Q1024="","",最佳化斷筋點!Q1024)</f>
        <v/>
      </c>
      <c r="AQ1024" s="37" t="str">
        <f>IF(最佳化斷筋點!R1024="","",最佳化斷筋點!R1024)</f>
        <v/>
      </c>
      <c r="AR1024" s="37" t="str">
        <f>IF(最佳化斷筋點!S1024="","",最佳化斷筋點!S1024)</f>
        <v/>
      </c>
      <c r="AS1024" s="37" t="str">
        <f>IF(最佳化斷筋點!T1024="","",最佳化斷筋點!T1024)</f>
        <v/>
      </c>
      <c r="AT1024" s="37" t="str">
        <f>IF(最佳化斷筋點!U1024="","",最佳化斷筋點!U1024)</f>
        <v/>
      </c>
      <c r="AU1024" s="37" t="str">
        <f>IF(最佳化斷筋點!V1024="","",最佳化斷筋點!V1024)</f>
        <v/>
      </c>
      <c r="AV1024" s="37" t="str">
        <f>IF(最佳化斷筋點!W1024="","",最佳化斷筋點!W1024)</f>
        <v/>
      </c>
      <c r="AW1024" s="37" t="str">
        <f>IF(最佳化斷筋點!X1024="","",最佳化斷筋點!X1024)</f>
        <v/>
      </c>
      <c r="AZ1024" s="37" t="s">
        <v>197</v>
      </c>
      <c r="BA1024" s="37" t="s">
        <v>197</v>
      </c>
      <c r="BB1024" s="37" t="s">
        <v>197</v>
      </c>
      <c r="BC1024" s="37" t="s">
        <v>197</v>
      </c>
      <c r="BD1024" s="37" t="s">
        <v>197</v>
      </c>
      <c r="BE1024" s="37" t="s">
        <v>197</v>
      </c>
      <c r="BF1024" s="37" t="s">
        <v>197</v>
      </c>
      <c r="BG1024" s="37" t="s">
        <v>197</v>
      </c>
      <c r="BH1024" s="37" t="s">
        <v>197</v>
      </c>
      <c r="BI1024" s="37" t="s">
        <v>197</v>
      </c>
      <c r="BJ1024" s="37" t="s">
        <v>197</v>
      </c>
      <c r="BK1024" s="37" t="s">
        <v>197</v>
      </c>
      <c r="BL1024" s="37" t="s">
        <v>197</v>
      </c>
      <c r="BM1024" s="37" t="s">
        <v>197</v>
      </c>
      <c r="BN1024" s="37" t="s">
        <v>197</v>
      </c>
      <c r="BO1024" s="37" t="s">
        <v>197</v>
      </c>
      <c r="BP1024" s="37" t="s">
        <v>197</v>
      </c>
      <c r="BQ1024" s="37" t="s">
        <v>197</v>
      </c>
      <c r="BR1024" s="37" t="s">
        <v>197</v>
      </c>
      <c r="BS1024" s="37" t="s">
        <v>197</v>
      </c>
      <c r="BT1024" s="37" t="s">
        <v>197</v>
      </c>
    </row>
    <row r="1025" spans="5:72" x14ac:dyDescent="0.25">
      <c r="E1025" s="36" t="s">
        <v>21</v>
      </c>
      <c r="F1025" s="36">
        <f t="shared" si="337"/>
        <v>0</v>
      </c>
      <c r="G1025" s="36">
        <f t="shared" si="338"/>
        <v>0</v>
      </c>
      <c r="H1025" s="36">
        <f t="shared" si="339"/>
        <v>0</v>
      </c>
      <c r="I1025" s="36">
        <f t="shared" si="340"/>
        <v>0</v>
      </c>
      <c r="J1025" s="36">
        <f t="shared" si="341"/>
        <v>0</v>
      </c>
      <c r="K1025" s="36">
        <f t="shared" si="342"/>
        <v>0</v>
      </c>
      <c r="L1025" s="36">
        <f t="shared" si="343"/>
        <v>0</v>
      </c>
      <c r="M1025" s="36">
        <f t="shared" si="344"/>
        <v>0</v>
      </c>
      <c r="N1025" s="36">
        <f t="shared" si="345"/>
        <v>0</v>
      </c>
      <c r="O1025" s="36">
        <f t="shared" si="346"/>
        <v>0</v>
      </c>
      <c r="P1025" s="36">
        <f t="shared" si="347"/>
        <v>0</v>
      </c>
      <c r="Q1025" s="36">
        <f t="shared" si="348"/>
        <v>0</v>
      </c>
      <c r="R1025" s="36">
        <f t="shared" si="349"/>
        <v>0</v>
      </c>
      <c r="S1025" s="36">
        <f t="shared" si="350"/>
        <v>0</v>
      </c>
      <c r="T1025" s="36">
        <f t="shared" si="351"/>
        <v>0</v>
      </c>
      <c r="U1025" s="36">
        <f t="shared" si="352"/>
        <v>0</v>
      </c>
      <c r="V1025" s="36">
        <f t="shared" si="353"/>
        <v>0</v>
      </c>
      <c r="W1025" s="36">
        <f t="shared" si="354"/>
        <v>0</v>
      </c>
      <c r="X1025" s="36">
        <f t="shared" si="355"/>
        <v>0</v>
      </c>
      <c r="Y1025" s="36">
        <f t="shared" si="356"/>
        <v>0</v>
      </c>
      <c r="Z1025" s="36">
        <f t="shared" si="357"/>
        <v>0</v>
      </c>
      <c r="AB1025" s="36" t="str">
        <f>IF(最佳化斷筋點!C1025="","",最佳化斷筋點!C1025)</f>
        <v>下層</v>
      </c>
      <c r="AC1025" s="37">
        <f>IF(最佳化斷筋點!D1025="","",最佳化斷筋點!D1025)</f>
        <v>14</v>
      </c>
      <c r="AD1025" s="37">
        <f>IF(最佳化斷筋點!E1025="","",最佳化斷筋點!E1025)</f>
        <v>14</v>
      </c>
      <c r="AE1025" s="37">
        <f>IF(最佳化斷筋點!F1025="","",最佳化斷筋點!F1025)</f>
        <v>14</v>
      </c>
      <c r="AF1025" s="37">
        <f>IF(最佳化斷筋點!G1025="","",最佳化斷筋點!G1025)</f>
        <v>14</v>
      </c>
      <c r="AG1025" s="37">
        <f>IF(最佳化斷筋點!H1025="","",最佳化斷筋點!H1025)</f>
        <v>14</v>
      </c>
      <c r="AH1025" s="37">
        <f>IF(最佳化斷筋點!I1025="","",最佳化斷筋點!I1025)</f>
        <v>13</v>
      </c>
      <c r="AI1025" s="37">
        <f>IF(最佳化斷筋點!J1025="","",最佳化斷筋點!J1025)</f>
        <v>12</v>
      </c>
      <c r="AJ1025" s="37">
        <f>IF(最佳化斷筋點!K1025="","",最佳化斷筋點!K1025)</f>
        <v>11</v>
      </c>
      <c r="AK1025" s="37">
        <f>IF(最佳化斷筋點!L1025="","",最佳化斷筋點!L1025)</f>
        <v>11</v>
      </c>
      <c r="AL1025" s="37">
        <f>IF(最佳化斷筋點!M1025="","",最佳化斷筋點!M1025)</f>
        <v>11</v>
      </c>
      <c r="AM1025" s="37">
        <f>IF(最佳化斷筋點!N1025="","",最佳化斷筋點!N1025)</f>
        <v>11</v>
      </c>
      <c r="AN1025" s="37">
        <f>IF(最佳化斷筋點!O1025="","",最佳化斷筋點!O1025)</f>
        <v>11</v>
      </c>
      <c r="AO1025" s="37">
        <f>IF(最佳化斷筋點!P1025="","",最佳化斷筋點!P1025)</f>
        <v>11</v>
      </c>
      <c r="AP1025" s="37">
        <f>IF(最佳化斷筋點!Q1025="","",最佳化斷筋點!Q1025)</f>
        <v>11</v>
      </c>
      <c r="AQ1025" s="37">
        <f>IF(最佳化斷筋點!R1025="","",最佳化斷筋點!R1025)</f>
        <v>11</v>
      </c>
      <c r="AR1025" s="37">
        <f>IF(最佳化斷筋點!S1025="","",最佳化斷筋點!S1025)</f>
        <v>11</v>
      </c>
      <c r="AS1025" s="37">
        <f>IF(最佳化斷筋點!T1025="","",最佳化斷筋點!T1025)</f>
        <v>11</v>
      </c>
      <c r="AT1025" s="37">
        <f>IF(最佳化斷筋點!U1025="","",最佳化斷筋點!U1025)</f>
        <v>11</v>
      </c>
      <c r="AU1025" s="37">
        <f>IF(最佳化斷筋點!V1025="","",最佳化斷筋點!V1025)</f>
        <v>10</v>
      </c>
      <c r="AV1025" s="37">
        <f>IF(最佳化斷筋點!W1025="","",最佳化斷筋點!W1025)</f>
        <v>10</v>
      </c>
      <c r="AW1025" s="37">
        <f>IF(最佳化斷筋點!X1025="","",最佳化斷筋點!X1025)</f>
        <v>10</v>
      </c>
      <c r="AZ1025" s="37">
        <v>14</v>
      </c>
      <c r="BA1025" s="37">
        <v>14</v>
      </c>
      <c r="BB1025" s="37">
        <v>14</v>
      </c>
      <c r="BC1025" s="37">
        <v>14</v>
      </c>
      <c r="BD1025" s="37">
        <v>14</v>
      </c>
      <c r="BE1025" s="37">
        <v>13</v>
      </c>
      <c r="BF1025" s="37">
        <v>12</v>
      </c>
      <c r="BG1025" s="37">
        <v>11</v>
      </c>
      <c r="BH1025" s="37">
        <v>11</v>
      </c>
      <c r="BI1025" s="37">
        <v>11</v>
      </c>
      <c r="BJ1025" s="37">
        <v>11</v>
      </c>
      <c r="BK1025" s="37">
        <v>11</v>
      </c>
      <c r="BL1025" s="37">
        <v>11</v>
      </c>
      <c r="BM1025" s="37">
        <v>11</v>
      </c>
      <c r="BN1025" s="37">
        <v>11</v>
      </c>
      <c r="BO1025" s="37">
        <v>11</v>
      </c>
      <c r="BP1025" s="37">
        <v>11</v>
      </c>
      <c r="BQ1025" s="37">
        <v>11</v>
      </c>
      <c r="BR1025" s="37">
        <v>10</v>
      </c>
      <c r="BS1025" s="37">
        <v>10</v>
      </c>
      <c r="BT1025" s="37">
        <v>10</v>
      </c>
    </row>
    <row r="1026" spans="5:72" x14ac:dyDescent="0.25">
      <c r="E1026" s="36"/>
      <c r="F1026" s="36">
        <f t="shared" si="337"/>
        <v>0</v>
      </c>
      <c r="G1026" s="36">
        <f t="shared" si="338"/>
        <v>0</v>
      </c>
      <c r="H1026" s="36">
        <f t="shared" si="339"/>
        <v>0</v>
      </c>
      <c r="I1026" s="36">
        <f t="shared" si="340"/>
        <v>0</v>
      </c>
      <c r="J1026" s="36">
        <f t="shared" si="341"/>
        <v>0</v>
      </c>
      <c r="K1026" s="36">
        <f t="shared" si="342"/>
        <v>0</v>
      </c>
      <c r="L1026" s="36">
        <f t="shared" si="343"/>
        <v>0</v>
      </c>
      <c r="M1026" s="36">
        <f t="shared" si="344"/>
        <v>0</v>
      </c>
      <c r="N1026" s="36">
        <f t="shared" si="345"/>
        <v>0</v>
      </c>
      <c r="O1026" s="36">
        <f t="shared" si="346"/>
        <v>0</v>
      </c>
      <c r="P1026" s="36">
        <f t="shared" si="347"/>
        <v>0</v>
      </c>
      <c r="Q1026" s="36">
        <f t="shared" si="348"/>
        <v>0</v>
      </c>
      <c r="R1026" s="36">
        <f t="shared" si="349"/>
        <v>0</v>
      </c>
      <c r="S1026" s="36">
        <f t="shared" si="350"/>
        <v>0</v>
      </c>
      <c r="T1026" s="36">
        <f t="shared" si="351"/>
        <v>0</v>
      </c>
      <c r="U1026" s="36">
        <f t="shared" si="352"/>
        <v>0</v>
      </c>
      <c r="V1026" s="36">
        <f t="shared" si="353"/>
        <v>0</v>
      </c>
      <c r="W1026" s="36">
        <f t="shared" si="354"/>
        <v>0</v>
      </c>
      <c r="X1026" s="36">
        <f t="shared" si="355"/>
        <v>0</v>
      </c>
      <c r="Y1026" s="36">
        <f t="shared" si="356"/>
        <v>0</v>
      </c>
      <c r="Z1026" s="36">
        <f t="shared" si="357"/>
        <v>0</v>
      </c>
      <c r="AB1026" s="36" t="str">
        <f>IF(最佳化斷筋點!C1026="","",最佳化斷筋點!C1026)</f>
        <v/>
      </c>
      <c r="AC1026" s="37" t="str">
        <f>IF(最佳化斷筋點!D1026="","",最佳化斷筋點!D1026)</f>
        <v/>
      </c>
      <c r="AD1026" s="37" t="str">
        <f>IF(最佳化斷筋點!E1026="","",最佳化斷筋點!E1026)</f>
        <v/>
      </c>
      <c r="AE1026" s="37" t="str">
        <f>IF(最佳化斷筋點!F1026="","",最佳化斷筋點!F1026)</f>
        <v/>
      </c>
      <c r="AF1026" s="37" t="str">
        <f>IF(最佳化斷筋點!G1026="","",最佳化斷筋點!G1026)</f>
        <v/>
      </c>
      <c r="AG1026" s="37" t="str">
        <f>IF(最佳化斷筋點!H1026="","",最佳化斷筋點!H1026)</f>
        <v/>
      </c>
      <c r="AH1026" s="37" t="str">
        <f>IF(最佳化斷筋點!I1026="","",最佳化斷筋點!I1026)</f>
        <v/>
      </c>
      <c r="AI1026" s="37" t="str">
        <f>IF(最佳化斷筋點!J1026="","",最佳化斷筋點!J1026)</f>
        <v/>
      </c>
      <c r="AJ1026" s="37" t="str">
        <f>IF(最佳化斷筋點!K1026="","",最佳化斷筋點!K1026)</f>
        <v/>
      </c>
      <c r="AK1026" s="37" t="str">
        <f>IF(最佳化斷筋點!L1026="","",最佳化斷筋點!L1026)</f>
        <v/>
      </c>
      <c r="AL1026" s="37" t="str">
        <f>IF(最佳化斷筋點!M1026="","",最佳化斷筋點!M1026)</f>
        <v/>
      </c>
      <c r="AM1026" s="37" t="str">
        <f>IF(最佳化斷筋點!N1026="","",最佳化斷筋點!N1026)</f>
        <v/>
      </c>
      <c r="AN1026" s="37" t="str">
        <f>IF(最佳化斷筋點!O1026="","",最佳化斷筋點!O1026)</f>
        <v/>
      </c>
      <c r="AO1026" s="37" t="str">
        <f>IF(最佳化斷筋點!P1026="","",最佳化斷筋點!P1026)</f>
        <v/>
      </c>
      <c r="AP1026" s="37" t="str">
        <f>IF(最佳化斷筋點!Q1026="","",最佳化斷筋點!Q1026)</f>
        <v/>
      </c>
      <c r="AQ1026" s="37" t="str">
        <f>IF(最佳化斷筋點!R1026="","",最佳化斷筋點!R1026)</f>
        <v/>
      </c>
      <c r="AR1026" s="37" t="str">
        <f>IF(最佳化斷筋點!S1026="","",最佳化斷筋點!S1026)</f>
        <v/>
      </c>
      <c r="AS1026" s="37" t="str">
        <f>IF(最佳化斷筋點!T1026="","",最佳化斷筋點!T1026)</f>
        <v/>
      </c>
      <c r="AT1026" s="37" t="str">
        <f>IF(最佳化斷筋點!U1026="","",最佳化斷筋點!U1026)</f>
        <v/>
      </c>
      <c r="AU1026" s="37" t="str">
        <f>IF(最佳化斷筋點!V1026="","",最佳化斷筋點!V1026)</f>
        <v/>
      </c>
      <c r="AV1026" s="37" t="str">
        <f>IF(最佳化斷筋點!W1026="","",最佳化斷筋點!W1026)</f>
        <v/>
      </c>
      <c r="AW1026" s="37" t="str">
        <f>IF(最佳化斷筋點!X1026="","",最佳化斷筋點!X1026)</f>
        <v/>
      </c>
      <c r="AZ1026" s="37" t="s">
        <v>197</v>
      </c>
      <c r="BA1026" s="37" t="s">
        <v>197</v>
      </c>
      <c r="BB1026" s="37" t="s">
        <v>197</v>
      </c>
      <c r="BC1026" s="37" t="s">
        <v>197</v>
      </c>
      <c r="BD1026" s="37" t="s">
        <v>197</v>
      </c>
      <c r="BE1026" s="37" t="s">
        <v>197</v>
      </c>
      <c r="BF1026" s="37" t="s">
        <v>197</v>
      </c>
      <c r="BG1026" s="37" t="s">
        <v>197</v>
      </c>
      <c r="BH1026" s="37" t="s">
        <v>197</v>
      </c>
      <c r="BI1026" s="37" t="s">
        <v>197</v>
      </c>
      <c r="BJ1026" s="37" t="s">
        <v>197</v>
      </c>
      <c r="BK1026" s="37" t="s">
        <v>197</v>
      </c>
      <c r="BL1026" s="37" t="s">
        <v>197</v>
      </c>
      <c r="BM1026" s="37" t="s">
        <v>197</v>
      </c>
      <c r="BN1026" s="37" t="s">
        <v>197</v>
      </c>
      <c r="BO1026" s="37" t="s">
        <v>197</v>
      </c>
      <c r="BP1026" s="37" t="s">
        <v>197</v>
      </c>
      <c r="BQ1026" s="37" t="s">
        <v>197</v>
      </c>
      <c r="BR1026" s="37" t="s">
        <v>197</v>
      </c>
      <c r="BS1026" s="37" t="s">
        <v>197</v>
      </c>
      <c r="BT1026" s="37" t="s">
        <v>197</v>
      </c>
    </row>
    <row r="1027" spans="5:72" x14ac:dyDescent="0.25">
      <c r="E1027" s="36" t="s">
        <v>20</v>
      </c>
      <c r="F1027" s="36">
        <f t="shared" si="337"/>
        <v>0</v>
      </c>
      <c r="G1027" s="36">
        <f t="shared" si="338"/>
        <v>0</v>
      </c>
      <c r="H1027" s="36">
        <f t="shared" si="339"/>
        <v>0</v>
      </c>
      <c r="I1027" s="36">
        <f t="shared" si="340"/>
        <v>0</v>
      </c>
      <c r="J1027" s="36">
        <f t="shared" si="341"/>
        <v>0</v>
      </c>
      <c r="K1027" s="36">
        <f t="shared" si="342"/>
        <v>0</v>
      </c>
      <c r="L1027" s="36">
        <f t="shared" si="343"/>
        <v>0</v>
      </c>
      <c r="M1027" s="36">
        <f t="shared" si="344"/>
        <v>0</v>
      </c>
      <c r="N1027" s="36">
        <f t="shared" si="345"/>
        <v>0</v>
      </c>
      <c r="O1027" s="36">
        <f t="shared" si="346"/>
        <v>0</v>
      </c>
      <c r="P1027" s="36">
        <f t="shared" si="347"/>
        <v>0</v>
      </c>
      <c r="Q1027" s="36">
        <f t="shared" si="348"/>
        <v>0</v>
      </c>
      <c r="R1027" s="36">
        <f t="shared" si="349"/>
        <v>0</v>
      </c>
      <c r="S1027" s="36">
        <f t="shared" si="350"/>
        <v>0</v>
      </c>
      <c r="T1027" s="36">
        <f t="shared" si="351"/>
        <v>0</v>
      </c>
      <c r="U1027" s="36">
        <f t="shared" si="352"/>
        <v>0</v>
      </c>
      <c r="V1027" s="36">
        <f t="shared" si="353"/>
        <v>0</v>
      </c>
      <c r="W1027" s="36">
        <f t="shared" si="354"/>
        <v>0</v>
      </c>
      <c r="X1027" s="36">
        <f t="shared" si="355"/>
        <v>0</v>
      </c>
      <c r="Y1027" s="36">
        <f t="shared" si="356"/>
        <v>0</v>
      </c>
      <c r="Z1027" s="36">
        <f t="shared" si="357"/>
        <v>0</v>
      </c>
      <c r="AB1027" s="36" t="str">
        <f>IF(最佳化斷筋點!C1027="","",最佳化斷筋點!C1027)</f>
        <v>上層</v>
      </c>
      <c r="AC1027" s="37">
        <f>IF(最佳化斷筋點!D1027="","",最佳化斷筋點!D1027)</f>
        <v>10</v>
      </c>
      <c r="AD1027" s="37">
        <f>IF(最佳化斷筋點!E1027="","",最佳化斷筋點!E1027)</f>
        <v>10</v>
      </c>
      <c r="AE1027" s="37">
        <f>IF(最佳化斷筋點!F1027="","",最佳化斷筋點!F1027)</f>
        <v>10</v>
      </c>
      <c r="AF1027" s="37">
        <f>IF(最佳化斷筋點!G1027="","",最佳化斷筋點!G1027)</f>
        <v>10</v>
      </c>
      <c r="AG1027" s="37">
        <f>IF(最佳化斷筋點!H1027="","",最佳化斷筋點!H1027)</f>
        <v>10</v>
      </c>
      <c r="AH1027" s="37">
        <f>IF(最佳化斷筋點!I1027="","",最佳化斷筋點!I1027)</f>
        <v>10</v>
      </c>
      <c r="AI1027" s="37">
        <f>IF(最佳化斷筋點!J1027="","",最佳化斷筋點!J1027)</f>
        <v>10</v>
      </c>
      <c r="AJ1027" s="37">
        <f>IF(最佳化斷筋點!K1027="","",最佳化斷筋點!K1027)</f>
        <v>4</v>
      </c>
      <c r="AK1027" s="37">
        <f>IF(最佳化斷筋點!L1027="","",最佳化斷筋點!L1027)</f>
        <v>4</v>
      </c>
      <c r="AL1027" s="37">
        <f>IF(最佳化斷筋點!M1027="","",最佳化斷筋點!M1027)</f>
        <v>4</v>
      </c>
      <c r="AM1027" s="37">
        <f>IF(最佳化斷筋點!N1027="","",最佳化斷筋點!N1027)</f>
        <v>4</v>
      </c>
      <c r="AN1027" s="37">
        <f>IF(最佳化斷筋點!O1027="","",最佳化斷筋點!O1027)</f>
        <v>4</v>
      </c>
      <c r="AO1027" s="37">
        <f>IF(最佳化斷筋點!P1027="","",最佳化斷筋點!P1027)</f>
        <v>4</v>
      </c>
      <c r="AP1027" s="37">
        <f>IF(最佳化斷筋點!Q1027="","",最佳化斷筋點!Q1027)</f>
        <v>8</v>
      </c>
      <c r="AQ1027" s="37">
        <f>IF(最佳化斷筋點!R1027="","",最佳化斷筋點!R1027)</f>
        <v>9</v>
      </c>
      <c r="AR1027" s="37">
        <f>IF(最佳化斷筋點!S1027="","",最佳化斷筋點!S1027)</f>
        <v>10</v>
      </c>
      <c r="AS1027" s="37">
        <f>IF(最佳化斷筋點!T1027="","",最佳化斷筋點!T1027)</f>
        <v>10</v>
      </c>
      <c r="AT1027" s="37">
        <f>IF(最佳化斷筋點!U1027="","",最佳化斷筋點!U1027)</f>
        <v>10</v>
      </c>
      <c r="AU1027" s="37">
        <f>IF(最佳化斷筋點!V1027="","",最佳化斷筋點!V1027)</f>
        <v>10</v>
      </c>
      <c r="AV1027" s="37">
        <f>IF(最佳化斷筋點!W1027="","",最佳化斷筋點!W1027)</f>
        <v>10</v>
      </c>
      <c r="AW1027" s="37">
        <f>IF(最佳化斷筋點!X1027="","",最佳化斷筋點!X1027)</f>
        <v>10</v>
      </c>
      <c r="AZ1027" s="37">
        <v>10</v>
      </c>
      <c r="BA1027" s="37">
        <v>10</v>
      </c>
      <c r="BB1027" s="37">
        <v>10</v>
      </c>
      <c r="BC1027" s="37">
        <v>10</v>
      </c>
      <c r="BD1027" s="37">
        <v>10</v>
      </c>
      <c r="BE1027" s="37">
        <v>10</v>
      </c>
      <c r="BF1027" s="37">
        <v>10</v>
      </c>
      <c r="BG1027" s="37">
        <v>4</v>
      </c>
      <c r="BH1027" s="37">
        <v>4</v>
      </c>
      <c r="BI1027" s="37">
        <v>4</v>
      </c>
      <c r="BJ1027" s="37">
        <v>4</v>
      </c>
      <c r="BK1027" s="37">
        <v>4</v>
      </c>
      <c r="BL1027" s="37">
        <v>4</v>
      </c>
      <c r="BM1027" s="37">
        <v>8</v>
      </c>
      <c r="BN1027" s="37">
        <v>9</v>
      </c>
      <c r="BO1027" s="37">
        <v>10</v>
      </c>
      <c r="BP1027" s="37">
        <v>10</v>
      </c>
      <c r="BQ1027" s="37">
        <v>10</v>
      </c>
      <c r="BR1027" s="37">
        <v>10</v>
      </c>
      <c r="BS1027" s="37">
        <v>10</v>
      </c>
      <c r="BT1027" s="37">
        <v>10</v>
      </c>
    </row>
    <row r="1028" spans="5:72" x14ac:dyDescent="0.25">
      <c r="E1028" s="36"/>
      <c r="F1028" s="36">
        <f t="shared" si="337"/>
        <v>0</v>
      </c>
      <c r="G1028" s="36">
        <f t="shared" si="338"/>
        <v>0</v>
      </c>
      <c r="H1028" s="36">
        <f t="shared" si="339"/>
        <v>0</v>
      </c>
      <c r="I1028" s="36">
        <f t="shared" si="340"/>
        <v>0</v>
      </c>
      <c r="J1028" s="36">
        <f t="shared" si="341"/>
        <v>0</v>
      </c>
      <c r="K1028" s="36">
        <f t="shared" si="342"/>
        <v>0</v>
      </c>
      <c r="L1028" s="36">
        <f t="shared" si="343"/>
        <v>0</v>
      </c>
      <c r="M1028" s="36">
        <f t="shared" si="344"/>
        <v>0</v>
      </c>
      <c r="N1028" s="36">
        <f t="shared" si="345"/>
        <v>0</v>
      </c>
      <c r="O1028" s="36">
        <f t="shared" si="346"/>
        <v>0</v>
      </c>
      <c r="P1028" s="36">
        <f t="shared" si="347"/>
        <v>0</v>
      </c>
      <c r="Q1028" s="36">
        <f t="shared" si="348"/>
        <v>0</v>
      </c>
      <c r="R1028" s="36">
        <f t="shared" si="349"/>
        <v>0</v>
      </c>
      <c r="S1028" s="36">
        <f t="shared" si="350"/>
        <v>0</v>
      </c>
      <c r="T1028" s="36">
        <f t="shared" si="351"/>
        <v>0</v>
      </c>
      <c r="U1028" s="36">
        <f t="shared" si="352"/>
        <v>0</v>
      </c>
      <c r="V1028" s="36">
        <f t="shared" si="353"/>
        <v>0</v>
      </c>
      <c r="W1028" s="36">
        <f t="shared" si="354"/>
        <v>0</v>
      </c>
      <c r="X1028" s="36">
        <f t="shared" si="355"/>
        <v>0</v>
      </c>
      <c r="Y1028" s="36">
        <f t="shared" si="356"/>
        <v>0</v>
      </c>
      <c r="Z1028" s="36">
        <f t="shared" si="357"/>
        <v>0</v>
      </c>
      <c r="AB1028" s="36" t="str">
        <f>IF(最佳化斷筋點!C1028="","",最佳化斷筋點!C1028)</f>
        <v/>
      </c>
      <c r="AC1028" s="37" t="str">
        <f>IF(最佳化斷筋點!D1028="","",最佳化斷筋點!D1028)</f>
        <v/>
      </c>
      <c r="AD1028" s="37" t="str">
        <f>IF(最佳化斷筋點!E1028="","",最佳化斷筋點!E1028)</f>
        <v/>
      </c>
      <c r="AE1028" s="37" t="str">
        <f>IF(最佳化斷筋點!F1028="","",最佳化斷筋點!F1028)</f>
        <v/>
      </c>
      <c r="AF1028" s="37" t="str">
        <f>IF(最佳化斷筋點!G1028="","",最佳化斷筋點!G1028)</f>
        <v/>
      </c>
      <c r="AG1028" s="37" t="str">
        <f>IF(最佳化斷筋點!H1028="","",最佳化斷筋點!H1028)</f>
        <v/>
      </c>
      <c r="AH1028" s="37" t="str">
        <f>IF(最佳化斷筋點!I1028="","",最佳化斷筋點!I1028)</f>
        <v/>
      </c>
      <c r="AI1028" s="37" t="str">
        <f>IF(最佳化斷筋點!J1028="","",最佳化斷筋點!J1028)</f>
        <v/>
      </c>
      <c r="AJ1028" s="37" t="str">
        <f>IF(最佳化斷筋點!K1028="","",最佳化斷筋點!K1028)</f>
        <v/>
      </c>
      <c r="AK1028" s="37" t="str">
        <f>IF(最佳化斷筋點!L1028="","",最佳化斷筋點!L1028)</f>
        <v/>
      </c>
      <c r="AL1028" s="37" t="str">
        <f>IF(最佳化斷筋點!M1028="","",最佳化斷筋點!M1028)</f>
        <v/>
      </c>
      <c r="AM1028" s="37" t="str">
        <f>IF(最佳化斷筋點!N1028="","",最佳化斷筋點!N1028)</f>
        <v/>
      </c>
      <c r="AN1028" s="37" t="str">
        <f>IF(最佳化斷筋點!O1028="","",最佳化斷筋點!O1028)</f>
        <v/>
      </c>
      <c r="AO1028" s="37" t="str">
        <f>IF(最佳化斷筋點!P1028="","",最佳化斷筋點!P1028)</f>
        <v/>
      </c>
      <c r="AP1028" s="37" t="str">
        <f>IF(最佳化斷筋點!Q1028="","",最佳化斷筋點!Q1028)</f>
        <v/>
      </c>
      <c r="AQ1028" s="37" t="str">
        <f>IF(最佳化斷筋點!R1028="","",最佳化斷筋點!R1028)</f>
        <v/>
      </c>
      <c r="AR1028" s="37" t="str">
        <f>IF(最佳化斷筋點!S1028="","",最佳化斷筋點!S1028)</f>
        <v/>
      </c>
      <c r="AS1028" s="37" t="str">
        <f>IF(最佳化斷筋點!T1028="","",最佳化斷筋點!T1028)</f>
        <v/>
      </c>
      <c r="AT1028" s="37" t="str">
        <f>IF(最佳化斷筋點!U1028="","",最佳化斷筋點!U1028)</f>
        <v/>
      </c>
      <c r="AU1028" s="37" t="str">
        <f>IF(最佳化斷筋點!V1028="","",最佳化斷筋點!V1028)</f>
        <v/>
      </c>
      <c r="AV1028" s="37" t="str">
        <f>IF(最佳化斷筋點!W1028="","",最佳化斷筋點!W1028)</f>
        <v/>
      </c>
      <c r="AW1028" s="37" t="str">
        <f>IF(最佳化斷筋點!X1028="","",最佳化斷筋點!X1028)</f>
        <v/>
      </c>
      <c r="AZ1028" s="37" t="s">
        <v>197</v>
      </c>
      <c r="BA1028" s="37" t="s">
        <v>197</v>
      </c>
      <c r="BB1028" s="37" t="s">
        <v>197</v>
      </c>
      <c r="BC1028" s="37" t="s">
        <v>197</v>
      </c>
      <c r="BD1028" s="37" t="s">
        <v>197</v>
      </c>
      <c r="BE1028" s="37" t="s">
        <v>197</v>
      </c>
      <c r="BF1028" s="37" t="s">
        <v>197</v>
      </c>
      <c r="BG1028" s="37" t="s">
        <v>197</v>
      </c>
      <c r="BH1028" s="37" t="s">
        <v>197</v>
      </c>
      <c r="BI1028" s="37" t="s">
        <v>197</v>
      </c>
      <c r="BJ1028" s="37" t="s">
        <v>197</v>
      </c>
      <c r="BK1028" s="37" t="s">
        <v>197</v>
      </c>
      <c r="BL1028" s="37" t="s">
        <v>197</v>
      </c>
      <c r="BM1028" s="37" t="s">
        <v>197</v>
      </c>
      <c r="BN1028" s="37" t="s">
        <v>197</v>
      </c>
      <c r="BO1028" s="37" t="s">
        <v>197</v>
      </c>
      <c r="BP1028" s="37" t="s">
        <v>197</v>
      </c>
      <c r="BQ1028" s="37" t="s">
        <v>197</v>
      </c>
      <c r="BR1028" s="37" t="s">
        <v>197</v>
      </c>
      <c r="BS1028" s="37" t="s">
        <v>197</v>
      </c>
      <c r="BT1028" s="37" t="s">
        <v>197</v>
      </c>
    </row>
    <row r="1029" spans="5:72" x14ac:dyDescent="0.25">
      <c r="E1029" s="36" t="s">
        <v>21</v>
      </c>
      <c r="F1029" s="36">
        <f t="shared" si="337"/>
        <v>0</v>
      </c>
      <c r="G1029" s="36">
        <f t="shared" si="338"/>
        <v>0</v>
      </c>
      <c r="H1029" s="36">
        <f t="shared" si="339"/>
        <v>0</v>
      </c>
      <c r="I1029" s="36">
        <f t="shared" si="340"/>
        <v>0</v>
      </c>
      <c r="J1029" s="36">
        <f t="shared" si="341"/>
        <v>0</v>
      </c>
      <c r="K1029" s="36">
        <f t="shared" si="342"/>
        <v>0</v>
      </c>
      <c r="L1029" s="36">
        <f t="shared" si="343"/>
        <v>0</v>
      </c>
      <c r="M1029" s="36">
        <f t="shared" si="344"/>
        <v>0</v>
      </c>
      <c r="N1029" s="36">
        <f t="shared" si="345"/>
        <v>0</v>
      </c>
      <c r="O1029" s="36">
        <f t="shared" si="346"/>
        <v>0</v>
      </c>
      <c r="P1029" s="36">
        <f t="shared" si="347"/>
        <v>0</v>
      </c>
      <c r="Q1029" s="36">
        <f t="shared" si="348"/>
        <v>0</v>
      </c>
      <c r="R1029" s="36">
        <f t="shared" si="349"/>
        <v>0</v>
      </c>
      <c r="S1029" s="36">
        <f t="shared" si="350"/>
        <v>0</v>
      </c>
      <c r="T1029" s="36">
        <f t="shared" si="351"/>
        <v>0</v>
      </c>
      <c r="U1029" s="36">
        <f t="shared" si="352"/>
        <v>0</v>
      </c>
      <c r="V1029" s="36">
        <f t="shared" si="353"/>
        <v>0</v>
      </c>
      <c r="W1029" s="36">
        <f t="shared" si="354"/>
        <v>0</v>
      </c>
      <c r="X1029" s="36">
        <f t="shared" si="355"/>
        <v>0</v>
      </c>
      <c r="Y1029" s="36">
        <f t="shared" si="356"/>
        <v>0</v>
      </c>
      <c r="Z1029" s="36">
        <f t="shared" si="357"/>
        <v>0</v>
      </c>
      <c r="AB1029" s="36" t="str">
        <f>IF(最佳化斷筋點!C1029="","",最佳化斷筋點!C1029)</f>
        <v>下層</v>
      </c>
      <c r="AC1029" s="37">
        <f>IF(最佳化斷筋點!D1029="","",最佳化斷筋點!D1029)</f>
        <v>14</v>
      </c>
      <c r="AD1029" s="37">
        <f>IF(最佳化斷筋點!E1029="","",最佳化斷筋點!E1029)</f>
        <v>14</v>
      </c>
      <c r="AE1029" s="37">
        <f>IF(最佳化斷筋點!F1029="","",最佳化斷筋點!F1029)</f>
        <v>14</v>
      </c>
      <c r="AF1029" s="37">
        <f>IF(最佳化斷筋點!G1029="","",最佳化斷筋點!G1029)</f>
        <v>14</v>
      </c>
      <c r="AG1029" s="37">
        <f>IF(最佳化斷筋點!H1029="","",最佳化斷筋點!H1029)</f>
        <v>13</v>
      </c>
      <c r="AH1029" s="37">
        <f>IF(最佳化斷筋點!I1029="","",最佳化斷筋點!I1029)</f>
        <v>12</v>
      </c>
      <c r="AI1029" s="37">
        <f>IF(最佳化斷筋點!J1029="","",最佳化斷筋點!J1029)</f>
        <v>11</v>
      </c>
      <c r="AJ1029" s="37">
        <f>IF(最佳化斷筋點!K1029="","",最佳化斷筋點!K1029)</f>
        <v>6</v>
      </c>
      <c r="AK1029" s="37">
        <f>IF(最佳化斷筋點!L1029="","",最佳化斷筋點!L1029)</f>
        <v>6</v>
      </c>
      <c r="AL1029" s="37">
        <f>IF(最佳化斷筋點!M1029="","",最佳化斷筋點!M1029)</f>
        <v>6</v>
      </c>
      <c r="AM1029" s="37">
        <f>IF(最佳化斷筋點!N1029="","",最佳化斷筋點!N1029)</f>
        <v>6</v>
      </c>
      <c r="AN1029" s="37">
        <f>IF(最佳化斷筋點!O1029="","",最佳化斷筋點!O1029)</f>
        <v>6</v>
      </c>
      <c r="AO1029" s="37">
        <f>IF(最佳化斷筋點!P1029="","",最佳化斷筋點!P1029)</f>
        <v>6</v>
      </c>
      <c r="AP1029" s="37">
        <f>IF(最佳化斷筋點!Q1029="","",最佳化斷筋點!Q1029)</f>
        <v>9</v>
      </c>
      <c r="AQ1029" s="37">
        <f>IF(最佳化斷筋點!R1029="","",最佳化斷筋點!R1029)</f>
        <v>10</v>
      </c>
      <c r="AR1029" s="37">
        <f>IF(最佳化斷筋點!S1029="","",最佳化斷筋點!S1029)</f>
        <v>11</v>
      </c>
      <c r="AS1029" s="37">
        <f>IF(最佳化斷筋點!T1029="","",最佳化斷筋點!T1029)</f>
        <v>13</v>
      </c>
      <c r="AT1029" s="37">
        <f>IF(最佳化斷筋點!U1029="","",最佳化斷筋點!U1029)</f>
        <v>14</v>
      </c>
      <c r="AU1029" s="37">
        <f>IF(最佳化斷筋點!V1029="","",最佳化斷筋點!V1029)</f>
        <v>14</v>
      </c>
      <c r="AV1029" s="37">
        <f>IF(最佳化斷筋點!W1029="","",最佳化斷筋點!W1029)</f>
        <v>14</v>
      </c>
      <c r="AW1029" s="37">
        <f>IF(最佳化斷筋點!X1029="","",最佳化斷筋點!X1029)</f>
        <v>14</v>
      </c>
      <c r="AZ1029" s="37">
        <v>14</v>
      </c>
      <c r="BA1029" s="37">
        <v>14</v>
      </c>
      <c r="BB1029" s="37">
        <v>14</v>
      </c>
      <c r="BC1029" s="37">
        <v>14</v>
      </c>
      <c r="BD1029" s="37">
        <v>13</v>
      </c>
      <c r="BE1029" s="37">
        <v>12</v>
      </c>
      <c r="BF1029" s="37">
        <v>11</v>
      </c>
      <c r="BG1029" s="37">
        <v>6</v>
      </c>
      <c r="BH1029" s="37">
        <v>6</v>
      </c>
      <c r="BI1029" s="37">
        <v>6</v>
      </c>
      <c r="BJ1029" s="37">
        <v>6</v>
      </c>
      <c r="BK1029" s="37">
        <v>6</v>
      </c>
      <c r="BL1029" s="37">
        <v>6</v>
      </c>
      <c r="BM1029" s="37">
        <v>9</v>
      </c>
      <c r="BN1029" s="37">
        <v>10</v>
      </c>
      <c r="BO1029" s="37">
        <v>11</v>
      </c>
      <c r="BP1029" s="37">
        <v>13</v>
      </c>
      <c r="BQ1029" s="37">
        <v>14</v>
      </c>
      <c r="BR1029" s="37">
        <v>14</v>
      </c>
      <c r="BS1029" s="37">
        <v>14</v>
      </c>
      <c r="BT1029" s="37">
        <v>14</v>
      </c>
    </row>
    <row r="1030" spans="5:72" x14ac:dyDescent="0.25">
      <c r="E1030" s="36"/>
      <c r="F1030" s="36">
        <f t="shared" si="337"/>
        <v>0</v>
      </c>
      <c r="G1030" s="36">
        <f t="shared" si="338"/>
        <v>0</v>
      </c>
      <c r="H1030" s="36">
        <f t="shared" si="339"/>
        <v>0</v>
      </c>
      <c r="I1030" s="36">
        <f t="shared" si="340"/>
        <v>0</v>
      </c>
      <c r="J1030" s="36">
        <f t="shared" si="341"/>
        <v>0</v>
      </c>
      <c r="K1030" s="36">
        <f t="shared" si="342"/>
        <v>0</v>
      </c>
      <c r="L1030" s="36">
        <f t="shared" si="343"/>
        <v>0</v>
      </c>
      <c r="M1030" s="36">
        <f t="shared" si="344"/>
        <v>0</v>
      </c>
      <c r="N1030" s="36">
        <f t="shared" si="345"/>
        <v>0</v>
      </c>
      <c r="O1030" s="36">
        <f t="shared" si="346"/>
        <v>0</v>
      </c>
      <c r="P1030" s="36">
        <f t="shared" si="347"/>
        <v>0</v>
      </c>
      <c r="Q1030" s="36">
        <f t="shared" si="348"/>
        <v>0</v>
      </c>
      <c r="R1030" s="36">
        <f t="shared" si="349"/>
        <v>0</v>
      </c>
      <c r="S1030" s="36">
        <f t="shared" si="350"/>
        <v>0</v>
      </c>
      <c r="T1030" s="36">
        <f t="shared" si="351"/>
        <v>0</v>
      </c>
      <c r="U1030" s="36">
        <f t="shared" si="352"/>
        <v>0</v>
      </c>
      <c r="V1030" s="36">
        <f t="shared" si="353"/>
        <v>0</v>
      </c>
      <c r="W1030" s="36">
        <f t="shared" si="354"/>
        <v>0</v>
      </c>
      <c r="X1030" s="36">
        <f t="shared" si="355"/>
        <v>0</v>
      </c>
      <c r="Y1030" s="36">
        <f t="shared" si="356"/>
        <v>0</v>
      </c>
      <c r="Z1030" s="36">
        <f t="shared" si="357"/>
        <v>0</v>
      </c>
      <c r="AB1030" s="36" t="str">
        <f>IF(最佳化斷筋點!C1030="","",最佳化斷筋點!C1030)</f>
        <v/>
      </c>
      <c r="AC1030" s="37" t="str">
        <f>IF(最佳化斷筋點!D1030="","",最佳化斷筋點!D1030)</f>
        <v/>
      </c>
      <c r="AD1030" s="37" t="str">
        <f>IF(最佳化斷筋點!E1030="","",最佳化斷筋點!E1030)</f>
        <v/>
      </c>
      <c r="AE1030" s="37" t="str">
        <f>IF(最佳化斷筋點!F1030="","",最佳化斷筋點!F1030)</f>
        <v/>
      </c>
      <c r="AF1030" s="37" t="str">
        <f>IF(最佳化斷筋點!G1030="","",最佳化斷筋點!G1030)</f>
        <v/>
      </c>
      <c r="AG1030" s="37" t="str">
        <f>IF(最佳化斷筋點!H1030="","",最佳化斷筋點!H1030)</f>
        <v/>
      </c>
      <c r="AH1030" s="37" t="str">
        <f>IF(最佳化斷筋點!I1030="","",最佳化斷筋點!I1030)</f>
        <v/>
      </c>
      <c r="AI1030" s="37" t="str">
        <f>IF(最佳化斷筋點!J1030="","",最佳化斷筋點!J1030)</f>
        <v/>
      </c>
      <c r="AJ1030" s="37" t="str">
        <f>IF(最佳化斷筋點!K1030="","",最佳化斷筋點!K1030)</f>
        <v/>
      </c>
      <c r="AK1030" s="37" t="str">
        <f>IF(最佳化斷筋點!L1030="","",最佳化斷筋點!L1030)</f>
        <v/>
      </c>
      <c r="AL1030" s="37" t="str">
        <f>IF(最佳化斷筋點!M1030="","",最佳化斷筋點!M1030)</f>
        <v/>
      </c>
      <c r="AM1030" s="37" t="str">
        <f>IF(最佳化斷筋點!N1030="","",最佳化斷筋點!N1030)</f>
        <v/>
      </c>
      <c r="AN1030" s="37" t="str">
        <f>IF(最佳化斷筋點!O1030="","",最佳化斷筋點!O1030)</f>
        <v/>
      </c>
      <c r="AO1030" s="37" t="str">
        <f>IF(最佳化斷筋點!P1030="","",最佳化斷筋點!P1030)</f>
        <v/>
      </c>
      <c r="AP1030" s="37" t="str">
        <f>IF(最佳化斷筋點!Q1030="","",最佳化斷筋點!Q1030)</f>
        <v/>
      </c>
      <c r="AQ1030" s="37" t="str">
        <f>IF(最佳化斷筋點!R1030="","",最佳化斷筋點!R1030)</f>
        <v/>
      </c>
      <c r="AR1030" s="37" t="str">
        <f>IF(最佳化斷筋點!S1030="","",最佳化斷筋點!S1030)</f>
        <v/>
      </c>
      <c r="AS1030" s="37" t="str">
        <f>IF(最佳化斷筋點!T1030="","",最佳化斷筋點!T1030)</f>
        <v/>
      </c>
      <c r="AT1030" s="37" t="str">
        <f>IF(最佳化斷筋點!U1030="","",最佳化斷筋點!U1030)</f>
        <v/>
      </c>
      <c r="AU1030" s="37" t="str">
        <f>IF(最佳化斷筋點!V1030="","",最佳化斷筋點!V1030)</f>
        <v/>
      </c>
      <c r="AV1030" s="37" t="str">
        <f>IF(最佳化斷筋點!W1030="","",最佳化斷筋點!W1030)</f>
        <v/>
      </c>
      <c r="AW1030" s="37" t="str">
        <f>IF(最佳化斷筋點!X1030="","",最佳化斷筋點!X1030)</f>
        <v/>
      </c>
      <c r="AZ1030" s="37" t="s">
        <v>197</v>
      </c>
      <c r="BA1030" s="37" t="s">
        <v>197</v>
      </c>
      <c r="BB1030" s="37" t="s">
        <v>197</v>
      </c>
      <c r="BC1030" s="37" t="s">
        <v>197</v>
      </c>
      <c r="BD1030" s="37" t="s">
        <v>197</v>
      </c>
      <c r="BE1030" s="37" t="s">
        <v>197</v>
      </c>
      <c r="BF1030" s="37" t="s">
        <v>197</v>
      </c>
      <c r="BG1030" s="37" t="s">
        <v>197</v>
      </c>
      <c r="BH1030" s="37" t="s">
        <v>197</v>
      </c>
      <c r="BI1030" s="37" t="s">
        <v>197</v>
      </c>
      <c r="BJ1030" s="37" t="s">
        <v>197</v>
      </c>
      <c r="BK1030" s="37" t="s">
        <v>197</v>
      </c>
      <c r="BL1030" s="37" t="s">
        <v>197</v>
      </c>
      <c r="BM1030" s="37" t="s">
        <v>197</v>
      </c>
      <c r="BN1030" s="37" t="s">
        <v>197</v>
      </c>
      <c r="BO1030" s="37" t="s">
        <v>197</v>
      </c>
      <c r="BP1030" s="37" t="s">
        <v>197</v>
      </c>
      <c r="BQ1030" s="37" t="s">
        <v>197</v>
      </c>
      <c r="BR1030" s="37" t="s">
        <v>197</v>
      </c>
      <c r="BS1030" s="37" t="s">
        <v>197</v>
      </c>
      <c r="BT1030" s="37" t="s">
        <v>197</v>
      </c>
    </row>
    <row r="1031" spans="5:72" x14ac:dyDescent="0.25">
      <c r="E1031" s="36" t="s">
        <v>20</v>
      </c>
      <c r="F1031" s="36">
        <f t="shared" si="337"/>
        <v>0</v>
      </c>
      <c r="G1031" s="36">
        <f t="shared" si="338"/>
        <v>0</v>
      </c>
      <c r="H1031" s="36">
        <f t="shared" si="339"/>
        <v>0</v>
      </c>
      <c r="I1031" s="36">
        <f t="shared" si="340"/>
        <v>0</v>
      </c>
      <c r="J1031" s="36">
        <f t="shared" si="341"/>
        <v>0</v>
      </c>
      <c r="K1031" s="36">
        <f t="shared" si="342"/>
        <v>0</v>
      </c>
      <c r="L1031" s="36">
        <f t="shared" si="343"/>
        <v>0</v>
      </c>
      <c r="M1031" s="36">
        <f t="shared" si="344"/>
        <v>0</v>
      </c>
      <c r="N1031" s="36">
        <f t="shared" si="345"/>
        <v>0</v>
      </c>
      <c r="O1031" s="36">
        <f t="shared" si="346"/>
        <v>0</v>
      </c>
      <c r="P1031" s="36">
        <f t="shared" si="347"/>
        <v>0</v>
      </c>
      <c r="Q1031" s="36">
        <f t="shared" si="348"/>
        <v>0</v>
      </c>
      <c r="R1031" s="36">
        <f t="shared" si="349"/>
        <v>0</v>
      </c>
      <c r="S1031" s="36">
        <f t="shared" si="350"/>
        <v>0</v>
      </c>
      <c r="T1031" s="36">
        <f t="shared" si="351"/>
        <v>0</v>
      </c>
      <c r="U1031" s="36">
        <f t="shared" si="352"/>
        <v>0</v>
      </c>
      <c r="V1031" s="36">
        <f t="shared" si="353"/>
        <v>0</v>
      </c>
      <c r="W1031" s="36">
        <f t="shared" si="354"/>
        <v>0</v>
      </c>
      <c r="X1031" s="36">
        <f t="shared" si="355"/>
        <v>0</v>
      </c>
      <c r="Y1031" s="36">
        <f t="shared" si="356"/>
        <v>0</v>
      </c>
      <c r="Z1031" s="36">
        <f t="shared" si="357"/>
        <v>0</v>
      </c>
      <c r="AB1031" s="36" t="str">
        <f>IF(最佳化斷筋點!C1031="","",最佳化斷筋點!C1031)</f>
        <v>上層</v>
      </c>
      <c r="AC1031" s="37">
        <f>IF(最佳化斷筋點!D1031="","",最佳化斷筋點!D1031)</f>
        <v>9</v>
      </c>
      <c r="AD1031" s="37">
        <f>IF(最佳化斷筋點!E1031="","",最佳化斷筋點!E1031)</f>
        <v>9</v>
      </c>
      <c r="AE1031" s="37">
        <f>IF(最佳化斷筋點!F1031="","",最佳化斷筋點!F1031)</f>
        <v>9</v>
      </c>
      <c r="AF1031" s="37">
        <f>IF(最佳化斷筋點!G1031="","",最佳化斷筋點!G1031)</f>
        <v>9</v>
      </c>
      <c r="AG1031" s="37">
        <f>IF(最佳化斷筋點!H1031="","",最佳化斷筋點!H1031)</f>
        <v>9</v>
      </c>
      <c r="AH1031" s="37">
        <f>IF(最佳化斷筋點!I1031="","",最佳化斷筋點!I1031)</f>
        <v>9</v>
      </c>
      <c r="AI1031" s="37">
        <f>IF(最佳化斷筋點!J1031="","",最佳化斷筋點!J1031)</f>
        <v>9</v>
      </c>
      <c r="AJ1031" s="37">
        <f>IF(最佳化斷筋點!K1031="","",最佳化斷筋點!K1031)</f>
        <v>4</v>
      </c>
      <c r="AK1031" s="37">
        <f>IF(最佳化斷筋點!L1031="","",最佳化斷筋點!L1031)</f>
        <v>4</v>
      </c>
      <c r="AL1031" s="37">
        <f>IF(最佳化斷筋點!M1031="","",最佳化斷筋點!M1031)</f>
        <v>4</v>
      </c>
      <c r="AM1031" s="37">
        <f>IF(最佳化斷筋點!N1031="","",最佳化斷筋點!N1031)</f>
        <v>4</v>
      </c>
      <c r="AN1031" s="37">
        <f>IF(最佳化斷筋點!O1031="","",最佳化斷筋點!O1031)</f>
        <v>4</v>
      </c>
      <c r="AO1031" s="37">
        <f>IF(最佳化斷筋點!P1031="","",最佳化斷筋點!P1031)</f>
        <v>4</v>
      </c>
      <c r="AP1031" s="37">
        <f>IF(最佳化斷筋點!Q1031="","",最佳化斷筋點!Q1031)</f>
        <v>7</v>
      </c>
      <c r="AQ1031" s="37">
        <f>IF(最佳化斷筋點!R1031="","",最佳化斷筋點!R1031)</f>
        <v>8</v>
      </c>
      <c r="AR1031" s="37">
        <f>IF(最佳化斷筋點!S1031="","",最佳化斷筋點!S1031)</f>
        <v>9</v>
      </c>
      <c r="AS1031" s="37">
        <f>IF(最佳化斷筋點!T1031="","",最佳化斷筋點!T1031)</f>
        <v>9</v>
      </c>
      <c r="AT1031" s="37">
        <f>IF(最佳化斷筋點!U1031="","",最佳化斷筋點!U1031)</f>
        <v>9</v>
      </c>
      <c r="AU1031" s="37">
        <f>IF(最佳化斷筋點!V1031="","",最佳化斷筋點!V1031)</f>
        <v>9</v>
      </c>
      <c r="AV1031" s="37">
        <f>IF(最佳化斷筋點!W1031="","",最佳化斷筋點!W1031)</f>
        <v>9</v>
      </c>
      <c r="AW1031" s="37">
        <f>IF(最佳化斷筋點!X1031="","",最佳化斷筋點!X1031)</f>
        <v>9</v>
      </c>
      <c r="AZ1031" s="37">
        <v>9</v>
      </c>
      <c r="BA1031" s="37">
        <v>9</v>
      </c>
      <c r="BB1031" s="37">
        <v>9</v>
      </c>
      <c r="BC1031" s="37">
        <v>9</v>
      </c>
      <c r="BD1031" s="37">
        <v>9</v>
      </c>
      <c r="BE1031" s="37">
        <v>9</v>
      </c>
      <c r="BF1031" s="37">
        <v>9</v>
      </c>
      <c r="BG1031" s="37">
        <v>4</v>
      </c>
      <c r="BH1031" s="37">
        <v>4</v>
      </c>
      <c r="BI1031" s="37">
        <v>4</v>
      </c>
      <c r="BJ1031" s="37">
        <v>4</v>
      </c>
      <c r="BK1031" s="37">
        <v>4</v>
      </c>
      <c r="BL1031" s="37">
        <v>4</v>
      </c>
      <c r="BM1031" s="37">
        <v>7</v>
      </c>
      <c r="BN1031" s="37">
        <v>8</v>
      </c>
      <c r="BO1031" s="37">
        <v>9</v>
      </c>
      <c r="BP1031" s="37">
        <v>9</v>
      </c>
      <c r="BQ1031" s="37">
        <v>9</v>
      </c>
      <c r="BR1031" s="37">
        <v>9</v>
      </c>
      <c r="BS1031" s="37">
        <v>9</v>
      </c>
      <c r="BT1031" s="37">
        <v>9</v>
      </c>
    </row>
    <row r="1032" spans="5:72" x14ac:dyDescent="0.25">
      <c r="E1032" s="36"/>
      <c r="F1032" s="36">
        <f t="shared" si="337"/>
        <v>0</v>
      </c>
      <c r="G1032" s="36">
        <f t="shared" si="338"/>
        <v>0</v>
      </c>
      <c r="H1032" s="36">
        <f t="shared" si="339"/>
        <v>0</v>
      </c>
      <c r="I1032" s="36">
        <f t="shared" si="340"/>
        <v>0</v>
      </c>
      <c r="J1032" s="36">
        <f t="shared" si="341"/>
        <v>0</v>
      </c>
      <c r="K1032" s="36">
        <f t="shared" si="342"/>
        <v>0</v>
      </c>
      <c r="L1032" s="36">
        <f t="shared" si="343"/>
        <v>0</v>
      </c>
      <c r="M1032" s="36">
        <f t="shared" si="344"/>
        <v>0</v>
      </c>
      <c r="N1032" s="36">
        <f t="shared" si="345"/>
        <v>0</v>
      </c>
      <c r="O1032" s="36">
        <f t="shared" si="346"/>
        <v>0</v>
      </c>
      <c r="P1032" s="36">
        <f t="shared" si="347"/>
        <v>0</v>
      </c>
      <c r="Q1032" s="36">
        <f t="shared" si="348"/>
        <v>0</v>
      </c>
      <c r="R1032" s="36">
        <f t="shared" si="349"/>
        <v>0</v>
      </c>
      <c r="S1032" s="36">
        <f t="shared" si="350"/>
        <v>0</v>
      </c>
      <c r="T1032" s="36">
        <f t="shared" si="351"/>
        <v>0</v>
      </c>
      <c r="U1032" s="36">
        <f t="shared" si="352"/>
        <v>0</v>
      </c>
      <c r="V1032" s="36">
        <f t="shared" si="353"/>
        <v>0</v>
      </c>
      <c r="W1032" s="36">
        <f t="shared" si="354"/>
        <v>0</v>
      </c>
      <c r="X1032" s="36">
        <f t="shared" si="355"/>
        <v>0</v>
      </c>
      <c r="Y1032" s="36">
        <f t="shared" si="356"/>
        <v>0</v>
      </c>
      <c r="Z1032" s="36">
        <f t="shared" si="357"/>
        <v>0</v>
      </c>
      <c r="AB1032" s="36" t="str">
        <f>IF(最佳化斷筋點!C1032="","",最佳化斷筋點!C1032)</f>
        <v/>
      </c>
      <c r="AC1032" s="37" t="str">
        <f>IF(最佳化斷筋點!D1032="","",最佳化斷筋點!D1032)</f>
        <v/>
      </c>
      <c r="AD1032" s="37" t="str">
        <f>IF(最佳化斷筋點!E1032="","",最佳化斷筋點!E1032)</f>
        <v/>
      </c>
      <c r="AE1032" s="37" t="str">
        <f>IF(最佳化斷筋點!F1032="","",最佳化斷筋點!F1032)</f>
        <v/>
      </c>
      <c r="AF1032" s="37" t="str">
        <f>IF(最佳化斷筋點!G1032="","",最佳化斷筋點!G1032)</f>
        <v/>
      </c>
      <c r="AG1032" s="37" t="str">
        <f>IF(最佳化斷筋點!H1032="","",最佳化斷筋點!H1032)</f>
        <v/>
      </c>
      <c r="AH1032" s="37" t="str">
        <f>IF(最佳化斷筋點!I1032="","",最佳化斷筋點!I1032)</f>
        <v/>
      </c>
      <c r="AI1032" s="37" t="str">
        <f>IF(最佳化斷筋點!J1032="","",最佳化斷筋點!J1032)</f>
        <v/>
      </c>
      <c r="AJ1032" s="37" t="str">
        <f>IF(最佳化斷筋點!K1032="","",最佳化斷筋點!K1032)</f>
        <v/>
      </c>
      <c r="AK1032" s="37" t="str">
        <f>IF(最佳化斷筋點!L1032="","",最佳化斷筋點!L1032)</f>
        <v/>
      </c>
      <c r="AL1032" s="37" t="str">
        <f>IF(最佳化斷筋點!M1032="","",最佳化斷筋點!M1032)</f>
        <v/>
      </c>
      <c r="AM1032" s="37" t="str">
        <f>IF(最佳化斷筋點!N1032="","",最佳化斷筋點!N1032)</f>
        <v/>
      </c>
      <c r="AN1032" s="37" t="str">
        <f>IF(最佳化斷筋點!O1032="","",最佳化斷筋點!O1032)</f>
        <v/>
      </c>
      <c r="AO1032" s="37" t="str">
        <f>IF(最佳化斷筋點!P1032="","",最佳化斷筋點!P1032)</f>
        <v/>
      </c>
      <c r="AP1032" s="37" t="str">
        <f>IF(最佳化斷筋點!Q1032="","",最佳化斷筋點!Q1032)</f>
        <v/>
      </c>
      <c r="AQ1032" s="37" t="str">
        <f>IF(最佳化斷筋點!R1032="","",最佳化斷筋點!R1032)</f>
        <v/>
      </c>
      <c r="AR1032" s="37" t="str">
        <f>IF(最佳化斷筋點!S1032="","",最佳化斷筋點!S1032)</f>
        <v/>
      </c>
      <c r="AS1032" s="37" t="str">
        <f>IF(最佳化斷筋點!T1032="","",最佳化斷筋點!T1032)</f>
        <v/>
      </c>
      <c r="AT1032" s="37" t="str">
        <f>IF(最佳化斷筋點!U1032="","",最佳化斷筋點!U1032)</f>
        <v/>
      </c>
      <c r="AU1032" s="37" t="str">
        <f>IF(最佳化斷筋點!V1032="","",最佳化斷筋點!V1032)</f>
        <v/>
      </c>
      <c r="AV1032" s="37" t="str">
        <f>IF(最佳化斷筋點!W1032="","",最佳化斷筋點!W1032)</f>
        <v/>
      </c>
      <c r="AW1032" s="37" t="str">
        <f>IF(最佳化斷筋點!X1032="","",最佳化斷筋點!X1032)</f>
        <v/>
      </c>
      <c r="AZ1032" s="37" t="s">
        <v>197</v>
      </c>
      <c r="BA1032" s="37" t="s">
        <v>197</v>
      </c>
      <c r="BB1032" s="37" t="s">
        <v>197</v>
      </c>
      <c r="BC1032" s="37" t="s">
        <v>197</v>
      </c>
      <c r="BD1032" s="37" t="s">
        <v>197</v>
      </c>
      <c r="BE1032" s="37" t="s">
        <v>197</v>
      </c>
      <c r="BF1032" s="37" t="s">
        <v>197</v>
      </c>
      <c r="BG1032" s="37" t="s">
        <v>197</v>
      </c>
      <c r="BH1032" s="37" t="s">
        <v>197</v>
      </c>
      <c r="BI1032" s="37" t="s">
        <v>197</v>
      </c>
      <c r="BJ1032" s="37" t="s">
        <v>197</v>
      </c>
      <c r="BK1032" s="37" t="s">
        <v>197</v>
      </c>
      <c r="BL1032" s="37" t="s">
        <v>197</v>
      </c>
      <c r="BM1032" s="37" t="s">
        <v>197</v>
      </c>
      <c r="BN1032" s="37" t="s">
        <v>197</v>
      </c>
      <c r="BO1032" s="37" t="s">
        <v>197</v>
      </c>
      <c r="BP1032" s="37" t="s">
        <v>197</v>
      </c>
      <c r="BQ1032" s="37" t="s">
        <v>197</v>
      </c>
      <c r="BR1032" s="37" t="s">
        <v>197</v>
      </c>
      <c r="BS1032" s="37" t="s">
        <v>197</v>
      </c>
      <c r="BT1032" s="37" t="s">
        <v>197</v>
      </c>
    </row>
    <row r="1033" spans="5:72" x14ac:dyDescent="0.25">
      <c r="E1033" s="36" t="s">
        <v>21</v>
      </c>
      <c r="F1033" s="36">
        <f t="shared" si="337"/>
        <v>0</v>
      </c>
      <c r="G1033" s="36">
        <f t="shared" si="338"/>
        <v>0</v>
      </c>
      <c r="H1033" s="36">
        <f t="shared" si="339"/>
        <v>0</v>
      </c>
      <c r="I1033" s="36">
        <f t="shared" si="340"/>
        <v>0</v>
      </c>
      <c r="J1033" s="36">
        <f t="shared" si="341"/>
        <v>0</v>
      </c>
      <c r="K1033" s="36">
        <f t="shared" si="342"/>
        <v>0</v>
      </c>
      <c r="L1033" s="36">
        <f t="shared" si="343"/>
        <v>0</v>
      </c>
      <c r="M1033" s="36">
        <f t="shared" si="344"/>
        <v>0</v>
      </c>
      <c r="N1033" s="36">
        <f t="shared" si="345"/>
        <v>0</v>
      </c>
      <c r="O1033" s="36">
        <f t="shared" si="346"/>
        <v>0</v>
      </c>
      <c r="P1033" s="36">
        <f t="shared" si="347"/>
        <v>0</v>
      </c>
      <c r="Q1033" s="36">
        <f t="shared" si="348"/>
        <v>0</v>
      </c>
      <c r="R1033" s="36">
        <f t="shared" si="349"/>
        <v>0</v>
      </c>
      <c r="S1033" s="36">
        <f t="shared" si="350"/>
        <v>0</v>
      </c>
      <c r="T1033" s="36">
        <f t="shared" si="351"/>
        <v>0</v>
      </c>
      <c r="U1033" s="36">
        <f t="shared" si="352"/>
        <v>0</v>
      </c>
      <c r="V1033" s="36">
        <f t="shared" si="353"/>
        <v>0</v>
      </c>
      <c r="W1033" s="36">
        <f t="shared" si="354"/>
        <v>0</v>
      </c>
      <c r="X1033" s="36">
        <f t="shared" si="355"/>
        <v>0</v>
      </c>
      <c r="Y1033" s="36">
        <f t="shared" si="356"/>
        <v>0</v>
      </c>
      <c r="Z1033" s="36">
        <f t="shared" si="357"/>
        <v>0</v>
      </c>
      <c r="AB1033" s="36" t="str">
        <f>IF(最佳化斷筋點!C1033="","",最佳化斷筋點!C1033)</f>
        <v>下層</v>
      </c>
      <c r="AC1033" s="37">
        <f>IF(最佳化斷筋點!D1033="","",最佳化斷筋點!D1033)</f>
        <v>12</v>
      </c>
      <c r="AD1033" s="37">
        <f>IF(最佳化斷筋點!E1033="","",最佳化斷筋點!E1033)</f>
        <v>12</v>
      </c>
      <c r="AE1033" s="37">
        <f>IF(最佳化斷筋點!F1033="","",最佳化斷筋點!F1033)</f>
        <v>12</v>
      </c>
      <c r="AF1033" s="37">
        <f>IF(最佳化斷筋點!G1033="","",最佳化斷筋點!G1033)</f>
        <v>12</v>
      </c>
      <c r="AG1033" s="37">
        <f>IF(最佳化斷筋點!H1033="","",最佳化斷筋點!H1033)</f>
        <v>11</v>
      </c>
      <c r="AH1033" s="37">
        <f>IF(最佳化斷筋點!I1033="","",最佳化斷筋點!I1033)</f>
        <v>10</v>
      </c>
      <c r="AI1033" s="37">
        <f>IF(最佳化斷筋點!J1033="","",最佳化斷筋點!J1033)</f>
        <v>9</v>
      </c>
      <c r="AJ1033" s="37">
        <f>IF(最佳化斷筋點!K1033="","",最佳化斷筋點!K1033)</f>
        <v>4</v>
      </c>
      <c r="AK1033" s="37">
        <f>IF(最佳化斷筋點!L1033="","",最佳化斷筋點!L1033)</f>
        <v>4</v>
      </c>
      <c r="AL1033" s="37">
        <f>IF(最佳化斷筋點!M1033="","",最佳化斷筋點!M1033)</f>
        <v>4</v>
      </c>
      <c r="AM1033" s="37">
        <f>IF(最佳化斷筋點!N1033="","",最佳化斷筋點!N1033)</f>
        <v>4</v>
      </c>
      <c r="AN1033" s="37">
        <f>IF(最佳化斷筋點!O1033="","",最佳化斷筋點!O1033)</f>
        <v>4</v>
      </c>
      <c r="AO1033" s="37">
        <f>IF(最佳化斷筋點!P1033="","",最佳化斷筋點!P1033)</f>
        <v>4</v>
      </c>
      <c r="AP1033" s="37">
        <f>IF(最佳化斷筋點!Q1033="","",最佳化斷筋點!Q1033)</f>
        <v>8</v>
      </c>
      <c r="AQ1033" s="37">
        <f>IF(最佳化斷筋點!R1033="","",最佳化斷筋點!R1033)</f>
        <v>9</v>
      </c>
      <c r="AR1033" s="37">
        <f>IF(最佳化斷筋點!S1033="","",最佳化斷筋點!S1033)</f>
        <v>10</v>
      </c>
      <c r="AS1033" s="37">
        <f>IF(最佳化斷筋點!T1033="","",最佳化斷筋點!T1033)</f>
        <v>11</v>
      </c>
      <c r="AT1033" s="37">
        <f>IF(最佳化斷筋點!U1033="","",最佳化斷筋點!U1033)</f>
        <v>12</v>
      </c>
      <c r="AU1033" s="37">
        <f>IF(最佳化斷筋點!V1033="","",最佳化斷筋點!V1033)</f>
        <v>12</v>
      </c>
      <c r="AV1033" s="37">
        <f>IF(最佳化斷筋點!W1033="","",最佳化斷筋點!W1033)</f>
        <v>12</v>
      </c>
      <c r="AW1033" s="37">
        <f>IF(最佳化斷筋點!X1033="","",最佳化斷筋點!X1033)</f>
        <v>12</v>
      </c>
      <c r="AZ1033" s="37">
        <v>12</v>
      </c>
      <c r="BA1033" s="37">
        <v>12</v>
      </c>
      <c r="BB1033" s="37">
        <v>12</v>
      </c>
      <c r="BC1033" s="37">
        <v>12</v>
      </c>
      <c r="BD1033" s="37">
        <v>11</v>
      </c>
      <c r="BE1033" s="37">
        <v>10</v>
      </c>
      <c r="BF1033" s="37">
        <v>9</v>
      </c>
      <c r="BG1033" s="37">
        <v>4</v>
      </c>
      <c r="BH1033" s="37">
        <v>4</v>
      </c>
      <c r="BI1033" s="37">
        <v>4</v>
      </c>
      <c r="BJ1033" s="37">
        <v>4</v>
      </c>
      <c r="BK1033" s="37">
        <v>4</v>
      </c>
      <c r="BL1033" s="37">
        <v>4</v>
      </c>
      <c r="BM1033" s="37">
        <v>8</v>
      </c>
      <c r="BN1033" s="37">
        <v>9</v>
      </c>
      <c r="BO1033" s="37">
        <v>10</v>
      </c>
      <c r="BP1033" s="37">
        <v>11</v>
      </c>
      <c r="BQ1033" s="37">
        <v>12</v>
      </c>
      <c r="BR1033" s="37">
        <v>12</v>
      </c>
      <c r="BS1033" s="37">
        <v>12</v>
      </c>
      <c r="BT1033" s="37">
        <v>12</v>
      </c>
    </row>
    <row r="1034" spans="5:72" x14ac:dyDescent="0.25">
      <c r="E1034" s="36"/>
      <c r="F1034" s="36">
        <f t="shared" si="337"/>
        <v>0</v>
      </c>
      <c r="G1034" s="36">
        <f t="shared" si="338"/>
        <v>0</v>
      </c>
      <c r="H1034" s="36">
        <f t="shared" si="339"/>
        <v>0</v>
      </c>
      <c r="I1034" s="36">
        <f t="shared" si="340"/>
        <v>0</v>
      </c>
      <c r="J1034" s="36">
        <f t="shared" si="341"/>
        <v>0</v>
      </c>
      <c r="K1034" s="36">
        <f t="shared" si="342"/>
        <v>0</v>
      </c>
      <c r="L1034" s="36">
        <f t="shared" si="343"/>
        <v>0</v>
      </c>
      <c r="M1034" s="36">
        <f t="shared" si="344"/>
        <v>0</v>
      </c>
      <c r="N1034" s="36">
        <f t="shared" si="345"/>
        <v>0</v>
      </c>
      <c r="O1034" s="36">
        <f t="shared" si="346"/>
        <v>0</v>
      </c>
      <c r="P1034" s="36">
        <f t="shared" si="347"/>
        <v>0</v>
      </c>
      <c r="Q1034" s="36">
        <f t="shared" si="348"/>
        <v>0</v>
      </c>
      <c r="R1034" s="36">
        <f t="shared" si="349"/>
        <v>0</v>
      </c>
      <c r="S1034" s="36">
        <f t="shared" si="350"/>
        <v>0</v>
      </c>
      <c r="T1034" s="36">
        <f t="shared" si="351"/>
        <v>0</v>
      </c>
      <c r="U1034" s="36">
        <f t="shared" si="352"/>
        <v>0</v>
      </c>
      <c r="V1034" s="36">
        <f t="shared" si="353"/>
        <v>0</v>
      </c>
      <c r="W1034" s="36">
        <f t="shared" si="354"/>
        <v>0</v>
      </c>
      <c r="X1034" s="36">
        <f t="shared" si="355"/>
        <v>0</v>
      </c>
      <c r="Y1034" s="36">
        <f t="shared" si="356"/>
        <v>0</v>
      </c>
      <c r="Z1034" s="36">
        <f t="shared" si="357"/>
        <v>0</v>
      </c>
      <c r="AB1034" s="36" t="str">
        <f>IF(最佳化斷筋點!C1034="","",最佳化斷筋點!C1034)</f>
        <v/>
      </c>
      <c r="AC1034" s="37" t="str">
        <f>IF(最佳化斷筋點!D1034="","",最佳化斷筋點!D1034)</f>
        <v/>
      </c>
      <c r="AD1034" s="37" t="str">
        <f>IF(最佳化斷筋點!E1034="","",最佳化斷筋點!E1034)</f>
        <v/>
      </c>
      <c r="AE1034" s="37" t="str">
        <f>IF(最佳化斷筋點!F1034="","",最佳化斷筋點!F1034)</f>
        <v/>
      </c>
      <c r="AF1034" s="37" t="str">
        <f>IF(最佳化斷筋點!G1034="","",最佳化斷筋點!G1034)</f>
        <v/>
      </c>
      <c r="AG1034" s="37" t="str">
        <f>IF(最佳化斷筋點!H1034="","",最佳化斷筋點!H1034)</f>
        <v/>
      </c>
      <c r="AH1034" s="37" t="str">
        <f>IF(最佳化斷筋點!I1034="","",最佳化斷筋點!I1034)</f>
        <v/>
      </c>
      <c r="AI1034" s="37" t="str">
        <f>IF(最佳化斷筋點!J1034="","",最佳化斷筋點!J1034)</f>
        <v/>
      </c>
      <c r="AJ1034" s="37" t="str">
        <f>IF(最佳化斷筋點!K1034="","",最佳化斷筋點!K1034)</f>
        <v/>
      </c>
      <c r="AK1034" s="37" t="str">
        <f>IF(最佳化斷筋點!L1034="","",最佳化斷筋點!L1034)</f>
        <v/>
      </c>
      <c r="AL1034" s="37" t="str">
        <f>IF(最佳化斷筋點!M1034="","",最佳化斷筋點!M1034)</f>
        <v/>
      </c>
      <c r="AM1034" s="37" t="str">
        <f>IF(最佳化斷筋點!N1034="","",最佳化斷筋點!N1034)</f>
        <v/>
      </c>
      <c r="AN1034" s="37" t="str">
        <f>IF(最佳化斷筋點!O1034="","",最佳化斷筋點!O1034)</f>
        <v/>
      </c>
      <c r="AO1034" s="37" t="str">
        <f>IF(最佳化斷筋點!P1034="","",最佳化斷筋點!P1034)</f>
        <v/>
      </c>
      <c r="AP1034" s="37" t="str">
        <f>IF(最佳化斷筋點!Q1034="","",最佳化斷筋點!Q1034)</f>
        <v/>
      </c>
      <c r="AQ1034" s="37" t="str">
        <f>IF(最佳化斷筋點!R1034="","",最佳化斷筋點!R1034)</f>
        <v/>
      </c>
      <c r="AR1034" s="37" t="str">
        <f>IF(最佳化斷筋點!S1034="","",最佳化斷筋點!S1034)</f>
        <v/>
      </c>
      <c r="AS1034" s="37" t="str">
        <f>IF(最佳化斷筋點!T1034="","",最佳化斷筋點!T1034)</f>
        <v/>
      </c>
      <c r="AT1034" s="37" t="str">
        <f>IF(最佳化斷筋點!U1034="","",最佳化斷筋點!U1034)</f>
        <v/>
      </c>
      <c r="AU1034" s="37" t="str">
        <f>IF(最佳化斷筋點!V1034="","",最佳化斷筋點!V1034)</f>
        <v/>
      </c>
      <c r="AV1034" s="37" t="str">
        <f>IF(最佳化斷筋點!W1034="","",最佳化斷筋點!W1034)</f>
        <v/>
      </c>
      <c r="AW1034" s="37" t="str">
        <f>IF(最佳化斷筋點!X1034="","",最佳化斷筋點!X1034)</f>
        <v/>
      </c>
      <c r="AZ1034" s="37" t="s">
        <v>197</v>
      </c>
      <c r="BA1034" s="37" t="s">
        <v>197</v>
      </c>
      <c r="BB1034" s="37" t="s">
        <v>197</v>
      </c>
      <c r="BC1034" s="37" t="s">
        <v>197</v>
      </c>
      <c r="BD1034" s="37" t="s">
        <v>197</v>
      </c>
      <c r="BE1034" s="37" t="s">
        <v>197</v>
      </c>
      <c r="BF1034" s="37" t="s">
        <v>197</v>
      </c>
      <c r="BG1034" s="37" t="s">
        <v>197</v>
      </c>
      <c r="BH1034" s="37" t="s">
        <v>197</v>
      </c>
      <c r="BI1034" s="37" t="s">
        <v>197</v>
      </c>
      <c r="BJ1034" s="37" t="s">
        <v>197</v>
      </c>
      <c r="BK1034" s="37" t="s">
        <v>197</v>
      </c>
      <c r="BL1034" s="37" t="s">
        <v>197</v>
      </c>
      <c r="BM1034" s="37" t="s">
        <v>197</v>
      </c>
      <c r="BN1034" s="37" t="s">
        <v>197</v>
      </c>
      <c r="BO1034" s="37" t="s">
        <v>197</v>
      </c>
      <c r="BP1034" s="37" t="s">
        <v>197</v>
      </c>
      <c r="BQ1034" s="37" t="s">
        <v>197</v>
      </c>
      <c r="BR1034" s="37" t="s">
        <v>197</v>
      </c>
      <c r="BS1034" s="37" t="s">
        <v>197</v>
      </c>
      <c r="BT1034" s="37" t="s">
        <v>197</v>
      </c>
    </row>
    <row r="1035" spans="5:72" x14ac:dyDescent="0.25">
      <c r="E1035" s="36" t="s">
        <v>20</v>
      </c>
      <c r="F1035" s="36">
        <f t="shared" si="337"/>
        <v>0</v>
      </c>
      <c r="G1035" s="36">
        <f t="shared" si="338"/>
        <v>0</v>
      </c>
      <c r="H1035" s="36">
        <f t="shared" si="339"/>
        <v>0</v>
      </c>
      <c r="I1035" s="36">
        <f t="shared" si="340"/>
        <v>0</v>
      </c>
      <c r="J1035" s="36">
        <f t="shared" si="341"/>
        <v>0</v>
      </c>
      <c r="K1035" s="36">
        <f t="shared" si="342"/>
        <v>0</v>
      </c>
      <c r="L1035" s="36">
        <f t="shared" si="343"/>
        <v>0</v>
      </c>
      <c r="M1035" s="36">
        <f t="shared" si="344"/>
        <v>0</v>
      </c>
      <c r="N1035" s="36">
        <f t="shared" si="345"/>
        <v>0</v>
      </c>
      <c r="O1035" s="36">
        <f t="shared" si="346"/>
        <v>0</v>
      </c>
      <c r="P1035" s="36">
        <f t="shared" si="347"/>
        <v>0</v>
      </c>
      <c r="Q1035" s="36">
        <f t="shared" si="348"/>
        <v>0</v>
      </c>
      <c r="R1035" s="36">
        <f t="shared" si="349"/>
        <v>0</v>
      </c>
      <c r="S1035" s="36">
        <f t="shared" si="350"/>
        <v>0</v>
      </c>
      <c r="T1035" s="36">
        <f t="shared" si="351"/>
        <v>0</v>
      </c>
      <c r="U1035" s="36">
        <f t="shared" si="352"/>
        <v>0</v>
      </c>
      <c r="V1035" s="36">
        <f t="shared" si="353"/>
        <v>0</v>
      </c>
      <c r="W1035" s="36">
        <f t="shared" si="354"/>
        <v>0</v>
      </c>
      <c r="X1035" s="36">
        <f t="shared" si="355"/>
        <v>0</v>
      </c>
      <c r="Y1035" s="36">
        <f t="shared" si="356"/>
        <v>0</v>
      </c>
      <c r="Z1035" s="36">
        <f t="shared" si="357"/>
        <v>0</v>
      </c>
      <c r="AB1035" s="36" t="str">
        <f>IF(最佳化斷筋點!C1035="","",最佳化斷筋點!C1035)</f>
        <v>上層</v>
      </c>
      <c r="AC1035" s="37">
        <f>IF(最佳化斷筋點!D1035="","",最佳化斷筋點!D1035)</f>
        <v>9</v>
      </c>
      <c r="AD1035" s="37">
        <f>IF(最佳化斷筋點!E1035="","",最佳化斷筋點!E1035)</f>
        <v>9</v>
      </c>
      <c r="AE1035" s="37">
        <f>IF(最佳化斷筋點!F1035="","",最佳化斷筋點!F1035)</f>
        <v>9</v>
      </c>
      <c r="AF1035" s="37">
        <f>IF(最佳化斷筋點!G1035="","",最佳化斷筋點!G1035)</f>
        <v>9</v>
      </c>
      <c r="AG1035" s="37">
        <f>IF(最佳化斷筋點!H1035="","",最佳化斷筋點!H1035)</f>
        <v>9</v>
      </c>
      <c r="AH1035" s="37">
        <f>IF(最佳化斷筋點!I1035="","",最佳化斷筋點!I1035)</f>
        <v>9</v>
      </c>
      <c r="AI1035" s="37">
        <f>IF(最佳化斷筋點!J1035="","",最佳化斷筋點!J1035)</f>
        <v>9</v>
      </c>
      <c r="AJ1035" s="37">
        <f>IF(最佳化斷筋點!K1035="","",最佳化斷筋點!K1035)</f>
        <v>4</v>
      </c>
      <c r="AK1035" s="37">
        <f>IF(最佳化斷筋點!L1035="","",最佳化斷筋點!L1035)</f>
        <v>4</v>
      </c>
      <c r="AL1035" s="37">
        <f>IF(最佳化斷筋點!M1035="","",最佳化斷筋點!M1035)</f>
        <v>4</v>
      </c>
      <c r="AM1035" s="37">
        <f>IF(最佳化斷筋點!N1035="","",最佳化斷筋點!N1035)</f>
        <v>4</v>
      </c>
      <c r="AN1035" s="37">
        <f>IF(最佳化斷筋點!O1035="","",最佳化斷筋點!O1035)</f>
        <v>4</v>
      </c>
      <c r="AO1035" s="37">
        <f>IF(最佳化斷筋點!P1035="","",最佳化斷筋點!P1035)</f>
        <v>4</v>
      </c>
      <c r="AP1035" s="37">
        <f>IF(最佳化斷筋點!Q1035="","",最佳化斷筋點!Q1035)</f>
        <v>5</v>
      </c>
      <c r="AQ1035" s="37">
        <f>IF(最佳化斷筋點!R1035="","",最佳化斷筋點!R1035)</f>
        <v>6</v>
      </c>
      <c r="AR1035" s="37">
        <f>IF(最佳化斷筋點!S1035="","",最佳化斷筋點!S1035)</f>
        <v>6</v>
      </c>
      <c r="AS1035" s="37">
        <f>IF(最佳化斷筋點!T1035="","",最佳化斷筋點!T1035)</f>
        <v>7</v>
      </c>
      <c r="AT1035" s="37">
        <f>IF(最佳化斷筋點!U1035="","",最佳化斷筋點!U1035)</f>
        <v>7</v>
      </c>
      <c r="AU1035" s="37">
        <f>IF(最佳化斷筋點!V1035="","",最佳化斷筋點!V1035)</f>
        <v>7</v>
      </c>
      <c r="AV1035" s="37">
        <f>IF(最佳化斷筋點!W1035="","",最佳化斷筋點!W1035)</f>
        <v>7</v>
      </c>
      <c r="AW1035" s="37">
        <f>IF(最佳化斷筋點!X1035="","",最佳化斷筋點!X1035)</f>
        <v>7</v>
      </c>
      <c r="AZ1035" s="37">
        <v>9</v>
      </c>
      <c r="BA1035" s="37">
        <v>9</v>
      </c>
      <c r="BB1035" s="37">
        <v>9</v>
      </c>
      <c r="BC1035" s="37">
        <v>9</v>
      </c>
      <c r="BD1035" s="37">
        <v>9</v>
      </c>
      <c r="BE1035" s="37">
        <v>9</v>
      </c>
      <c r="BF1035" s="37">
        <v>9</v>
      </c>
      <c r="BG1035" s="37">
        <v>4</v>
      </c>
      <c r="BH1035" s="37">
        <v>4</v>
      </c>
      <c r="BI1035" s="37">
        <v>4</v>
      </c>
      <c r="BJ1035" s="37">
        <v>4</v>
      </c>
      <c r="BK1035" s="37">
        <v>4</v>
      </c>
      <c r="BL1035" s="37">
        <v>4</v>
      </c>
      <c r="BM1035" s="37">
        <v>5</v>
      </c>
      <c r="BN1035" s="37">
        <v>6</v>
      </c>
      <c r="BO1035" s="37">
        <v>6</v>
      </c>
      <c r="BP1035" s="37">
        <v>7</v>
      </c>
      <c r="BQ1035" s="37">
        <v>7</v>
      </c>
      <c r="BR1035" s="37">
        <v>7</v>
      </c>
      <c r="BS1035" s="37">
        <v>7</v>
      </c>
      <c r="BT1035" s="37">
        <v>7</v>
      </c>
    </row>
    <row r="1036" spans="5:72" x14ac:dyDescent="0.25">
      <c r="E1036" s="36"/>
      <c r="F1036" s="36">
        <f t="shared" si="337"/>
        <v>0</v>
      </c>
      <c r="G1036" s="36">
        <f t="shared" si="338"/>
        <v>0</v>
      </c>
      <c r="H1036" s="36">
        <f t="shared" si="339"/>
        <v>0</v>
      </c>
      <c r="I1036" s="36">
        <f t="shared" si="340"/>
        <v>0</v>
      </c>
      <c r="J1036" s="36">
        <f t="shared" si="341"/>
        <v>0</v>
      </c>
      <c r="K1036" s="36">
        <f t="shared" si="342"/>
        <v>0</v>
      </c>
      <c r="L1036" s="36">
        <f t="shared" si="343"/>
        <v>0</v>
      </c>
      <c r="M1036" s="36">
        <f t="shared" si="344"/>
        <v>0</v>
      </c>
      <c r="N1036" s="36">
        <f t="shared" si="345"/>
        <v>0</v>
      </c>
      <c r="O1036" s="36">
        <f t="shared" si="346"/>
        <v>0</v>
      </c>
      <c r="P1036" s="36">
        <f t="shared" si="347"/>
        <v>0</v>
      </c>
      <c r="Q1036" s="36">
        <f t="shared" si="348"/>
        <v>0</v>
      </c>
      <c r="R1036" s="36">
        <f t="shared" si="349"/>
        <v>0</v>
      </c>
      <c r="S1036" s="36">
        <f t="shared" si="350"/>
        <v>0</v>
      </c>
      <c r="T1036" s="36">
        <f t="shared" si="351"/>
        <v>0</v>
      </c>
      <c r="U1036" s="36">
        <f t="shared" si="352"/>
        <v>0</v>
      </c>
      <c r="V1036" s="36">
        <f t="shared" si="353"/>
        <v>0</v>
      </c>
      <c r="W1036" s="36">
        <f t="shared" si="354"/>
        <v>0</v>
      </c>
      <c r="X1036" s="36">
        <f t="shared" si="355"/>
        <v>0</v>
      </c>
      <c r="Y1036" s="36">
        <f t="shared" si="356"/>
        <v>0</v>
      </c>
      <c r="Z1036" s="36">
        <f t="shared" si="357"/>
        <v>0</v>
      </c>
      <c r="AB1036" s="36" t="str">
        <f>IF(最佳化斷筋點!C1036="","",最佳化斷筋點!C1036)</f>
        <v/>
      </c>
      <c r="AC1036" s="37" t="str">
        <f>IF(最佳化斷筋點!D1036="","",最佳化斷筋點!D1036)</f>
        <v/>
      </c>
      <c r="AD1036" s="37" t="str">
        <f>IF(最佳化斷筋點!E1036="","",最佳化斷筋點!E1036)</f>
        <v/>
      </c>
      <c r="AE1036" s="37" t="str">
        <f>IF(最佳化斷筋點!F1036="","",最佳化斷筋點!F1036)</f>
        <v/>
      </c>
      <c r="AF1036" s="37" t="str">
        <f>IF(最佳化斷筋點!G1036="","",最佳化斷筋點!G1036)</f>
        <v/>
      </c>
      <c r="AG1036" s="37" t="str">
        <f>IF(最佳化斷筋點!H1036="","",最佳化斷筋點!H1036)</f>
        <v/>
      </c>
      <c r="AH1036" s="37" t="str">
        <f>IF(最佳化斷筋點!I1036="","",最佳化斷筋點!I1036)</f>
        <v/>
      </c>
      <c r="AI1036" s="37" t="str">
        <f>IF(最佳化斷筋點!J1036="","",最佳化斷筋點!J1036)</f>
        <v/>
      </c>
      <c r="AJ1036" s="37" t="str">
        <f>IF(最佳化斷筋點!K1036="","",最佳化斷筋點!K1036)</f>
        <v/>
      </c>
      <c r="AK1036" s="37" t="str">
        <f>IF(最佳化斷筋點!L1036="","",最佳化斷筋點!L1036)</f>
        <v/>
      </c>
      <c r="AL1036" s="37" t="str">
        <f>IF(最佳化斷筋點!M1036="","",最佳化斷筋點!M1036)</f>
        <v/>
      </c>
      <c r="AM1036" s="37" t="str">
        <f>IF(最佳化斷筋點!N1036="","",最佳化斷筋點!N1036)</f>
        <v/>
      </c>
      <c r="AN1036" s="37" t="str">
        <f>IF(最佳化斷筋點!O1036="","",最佳化斷筋點!O1036)</f>
        <v/>
      </c>
      <c r="AO1036" s="37" t="str">
        <f>IF(最佳化斷筋點!P1036="","",最佳化斷筋點!P1036)</f>
        <v/>
      </c>
      <c r="AP1036" s="37" t="str">
        <f>IF(最佳化斷筋點!Q1036="","",最佳化斷筋點!Q1036)</f>
        <v/>
      </c>
      <c r="AQ1036" s="37" t="str">
        <f>IF(最佳化斷筋點!R1036="","",最佳化斷筋點!R1036)</f>
        <v/>
      </c>
      <c r="AR1036" s="37" t="str">
        <f>IF(最佳化斷筋點!S1036="","",最佳化斷筋點!S1036)</f>
        <v/>
      </c>
      <c r="AS1036" s="37" t="str">
        <f>IF(最佳化斷筋點!T1036="","",最佳化斷筋點!T1036)</f>
        <v/>
      </c>
      <c r="AT1036" s="37" t="str">
        <f>IF(最佳化斷筋點!U1036="","",最佳化斷筋點!U1036)</f>
        <v/>
      </c>
      <c r="AU1036" s="37" t="str">
        <f>IF(最佳化斷筋點!V1036="","",最佳化斷筋點!V1036)</f>
        <v/>
      </c>
      <c r="AV1036" s="37" t="str">
        <f>IF(最佳化斷筋點!W1036="","",最佳化斷筋點!W1036)</f>
        <v/>
      </c>
      <c r="AW1036" s="37" t="str">
        <f>IF(最佳化斷筋點!X1036="","",最佳化斷筋點!X1036)</f>
        <v/>
      </c>
      <c r="AZ1036" s="37" t="s">
        <v>197</v>
      </c>
      <c r="BA1036" s="37" t="s">
        <v>197</v>
      </c>
      <c r="BB1036" s="37" t="s">
        <v>197</v>
      </c>
      <c r="BC1036" s="37" t="s">
        <v>197</v>
      </c>
      <c r="BD1036" s="37" t="s">
        <v>197</v>
      </c>
      <c r="BE1036" s="37" t="s">
        <v>197</v>
      </c>
      <c r="BF1036" s="37" t="s">
        <v>197</v>
      </c>
      <c r="BG1036" s="37" t="s">
        <v>197</v>
      </c>
      <c r="BH1036" s="37" t="s">
        <v>197</v>
      </c>
      <c r="BI1036" s="37" t="s">
        <v>197</v>
      </c>
      <c r="BJ1036" s="37" t="s">
        <v>197</v>
      </c>
      <c r="BK1036" s="37" t="s">
        <v>197</v>
      </c>
      <c r="BL1036" s="37" t="s">
        <v>197</v>
      </c>
      <c r="BM1036" s="37" t="s">
        <v>197</v>
      </c>
      <c r="BN1036" s="37" t="s">
        <v>197</v>
      </c>
      <c r="BO1036" s="37" t="s">
        <v>197</v>
      </c>
      <c r="BP1036" s="37" t="s">
        <v>197</v>
      </c>
      <c r="BQ1036" s="37" t="s">
        <v>197</v>
      </c>
      <c r="BR1036" s="37" t="s">
        <v>197</v>
      </c>
      <c r="BS1036" s="37" t="s">
        <v>197</v>
      </c>
      <c r="BT1036" s="37" t="s">
        <v>197</v>
      </c>
    </row>
    <row r="1037" spans="5:72" x14ac:dyDescent="0.25">
      <c r="E1037" s="36" t="s">
        <v>21</v>
      </c>
      <c r="F1037" s="36">
        <f t="shared" si="337"/>
        <v>0</v>
      </c>
      <c r="G1037" s="36">
        <f t="shared" si="338"/>
        <v>0</v>
      </c>
      <c r="H1037" s="36">
        <f t="shared" si="339"/>
        <v>0</v>
      </c>
      <c r="I1037" s="36">
        <f t="shared" si="340"/>
        <v>0</v>
      </c>
      <c r="J1037" s="36">
        <f t="shared" si="341"/>
        <v>0</v>
      </c>
      <c r="K1037" s="36">
        <f t="shared" si="342"/>
        <v>0</v>
      </c>
      <c r="L1037" s="36">
        <f t="shared" si="343"/>
        <v>0</v>
      </c>
      <c r="M1037" s="36">
        <f t="shared" si="344"/>
        <v>0</v>
      </c>
      <c r="N1037" s="36">
        <f t="shared" si="345"/>
        <v>0</v>
      </c>
      <c r="O1037" s="36">
        <f t="shared" si="346"/>
        <v>0</v>
      </c>
      <c r="P1037" s="36">
        <f t="shared" si="347"/>
        <v>0</v>
      </c>
      <c r="Q1037" s="36">
        <f t="shared" si="348"/>
        <v>0</v>
      </c>
      <c r="R1037" s="36">
        <f t="shared" si="349"/>
        <v>0</v>
      </c>
      <c r="S1037" s="36">
        <f t="shared" si="350"/>
        <v>0</v>
      </c>
      <c r="T1037" s="36">
        <f t="shared" si="351"/>
        <v>0</v>
      </c>
      <c r="U1037" s="36">
        <f t="shared" si="352"/>
        <v>0</v>
      </c>
      <c r="V1037" s="36">
        <f t="shared" si="353"/>
        <v>0</v>
      </c>
      <c r="W1037" s="36">
        <f t="shared" si="354"/>
        <v>0</v>
      </c>
      <c r="X1037" s="36">
        <f t="shared" si="355"/>
        <v>0</v>
      </c>
      <c r="Y1037" s="36">
        <f t="shared" si="356"/>
        <v>0</v>
      </c>
      <c r="Z1037" s="36">
        <f t="shared" si="357"/>
        <v>0</v>
      </c>
      <c r="AB1037" s="36" t="str">
        <f>IF(最佳化斷筋點!C1037="","",最佳化斷筋點!C1037)</f>
        <v>下層</v>
      </c>
      <c r="AC1037" s="37">
        <f>IF(最佳化斷筋點!D1037="","",最佳化斷筋點!D1037)</f>
        <v>11</v>
      </c>
      <c r="AD1037" s="37">
        <f>IF(最佳化斷筋點!E1037="","",最佳化斷筋點!E1037)</f>
        <v>11</v>
      </c>
      <c r="AE1037" s="37">
        <f>IF(最佳化斷筋點!F1037="","",最佳化斷筋點!F1037)</f>
        <v>11</v>
      </c>
      <c r="AF1037" s="37">
        <f>IF(最佳化斷筋點!G1037="","",最佳化斷筋點!G1037)</f>
        <v>11</v>
      </c>
      <c r="AG1037" s="37">
        <f>IF(最佳化斷筋點!H1037="","",最佳化斷筋點!H1037)</f>
        <v>10</v>
      </c>
      <c r="AH1037" s="37">
        <f>IF(最佳化斷筋點!I1037="","",最佳化斷筋點!I1037)</f>
        <v>9</v>
      </c>
      <c r="AI1037" s="37">
        <f>IF(最佳化斷筋點!J1037="","",最佳化斷筋點!J1037)</f>
        <v>8</v>
      </c>
      <c r="AJ1037" s="37">
        <f>IF(最佳化斷筋點!K1037="","",最佳化斷筋點!K1037)</f>
        <v>5</v>
      </c>
      <c r="AK1037" s="37">
        <f>IF(最佳化斷筋點!L1037="","",最佳化斷筋點!L1037)</f>
        <v>5</v>
      </c>
      <c r="AL1037" s="37">
        <f>IF(最佳化斷筋點!M1037="","",最佳化斷筋點!M1037)</f>
        <v>5</v>
      </c>
      <c r="AM1037" s="37">
        <f>IF(最佳化斷筋點!N1037="","",最佳化斷筋點!N1037)</f>
        <v>5</v>
      </c>
      <c r="AN1037" s="37">
        <f>IF(最佳化斷筋點!O1037="","",最佳化斷筋點!O1037)</f>
        <v>5</v>
      </c>
      <c r="AO1037" s="37">
        <f>IF(最佳化斷筋點!P1037="","",最佳化斷筋點!P1037)</f>
        <v>5</v>
      </c>
      <c r="AP1037" s="37">
        <f>IF(最佳化斷筋點!Q1037="","",最佳化斷筋點!Q1037)</f>
        <v>7</v>
      </c>
      <c r="AQ1037" s="37">
        <f>IF(最佳化斷筋點!R1037="","",最佳化斷筋點!R1037)</f>
        <v>8</v>
      </c>
      <c r="AR1037" s="37">
        <f>IF(最佳化斷筋點!S1037="","",最佳化斷筋點!S1037)</f>
        <v>9</v>
      </c>
      <c r="AS1037" s="37">
        <f>IF(最佳化斷筋點!T1037="","",最佳化斷筋點!T1037)</f>
        <v>10</v>
      </c>
      <c r="AT1037" s="37">
        <f>IF(最佳化斷筋點!U1037="","",最佳化斷筋點!U1037)</f>
        <v>11</v>
      </c>
      <c r="AU1037" s="37">
        <f>IF(最佳化斷筋點!V1037="","",最佳化斷筋點!V1037)</f>
        <v>11</v>
      </c>
      <c r="AV1037" s="37">
        <f>IF(最佳化斷筋點!W1037="","",最佳化斷筋點!W1037)</f>
        <v>11</v>
      </c>
      <c r="AW1037" s="37">
        <f>IF(最佳化斷筋點!X1037="","",最佳化斷筋點!X1037)</f>
        <v>11</v>
      </c>
      <c r="AZ1037" s="37">
        <v>11</v>
      </c>
      <c r="BA1037" s="37">
        <v>11</v>
      </c>
      <c r="BB1037" s="37">
        <v>11</v>
      </c>
      <c r="BC1037" s="37">
        <v>11</v>
      </c>
      <c r="BD1037" s="37">
        <v>10</v>
      </c>
      <c r="BE1037" s="37">
        <v>9</v>
      </c>
      <c r="BF1037" s="37">
        <v>8</v>
      </c>
      <c r="BG1037" s="37">
        <v>5</v>
      </c>
      <c r="BH1037" s="37">
        <v>5</v>
      </c>
      <c r="BI1037" s="37">
        <v>5</v>
      </c>
      <c r="BJ1037" s="37">
        <v>5</v>
      </c>
      <c r="BK1037" s="37">
        <v>5</v>
      </c>
      <c r="BL1037" s="37">
        <v>5</v>
      </c>
      <c r="BM1037" s="37">
        <v>7</v>
      </c>
      <c r="BN1037" s="37">
        <v>8</v>
      </c>
      <c r="BO1037" s="37">
        <v>9</v>
      </c>
      <c r="BP1037" s="37">
        <v>10</v>
      </c>
      <c r="BQ1037" s="37">
        <v>11</v>
      </c>
      <c r="BR1037" s="37">
        <v>11</v>
      </c>
      <c r="BS1037" s="37">
        <v>11</v>
      </c>
      <c r="BT1037" s="37">
        <v>11</v>
      </c>
    </row>
    <row r="1038" spans="5:72" x14ac:dyDescent="0.25">
      <c r="E1038" s="36"/>
      <c r="F1038" s="36">
        <f t="shared" si="337"/>
        <v>0</v>
      </c>
      <c r="G1038" s="36">
        <f t="shared" si="338"/>
        <v>0</v>
      </c>
      <c r="H1038" s="36">
        <f t="shared" si="339"/>
        <v>0</v>
      </c>
      <c r="I1038" s="36">
        <f t="shared" si="340"/>
        <v>0</v>
      </c>
      <c r="J1038" s="36">
        <f t="shared" si="341"/>
        <v>0</v>
      </c>
      <c r="K1038" s="36">
        <f t="shared" si="342"/>
        <v>0</v>
      </c>
      <c r="L1038" s="36">
        <f t="shared" si="343"/>
        <v>0</v>
      </c>
      <c r="M1038" s="36">
        <f t="shared" si="344"/>
        <v>0</v>
      </c>
      <c r="N1038" s="36">
        <f t="shared" si="345"/>
        <v>0</v>
      </c>
      <c r="O1038" s="36">
        <f t="shared" si="346"/>
        <v>0</v>
      </c>
      <c r="P1038" s="36">
        <f t="shared" si="347"/>
        <v>0</v>
      </c>
      <c r="Q1038" s="36">
        <f t="shared" si="348"/>
        <v>0</v>
      </c>
      <c r="R1038" s="36">
        <f t="shared" si="349"/>
        <v>0</v>
      </c>
      <c r="S1038" s="36">
        <f t="shared" si="350"/>
        <v>0</v>
      </c>
      <c r="T1038" s="36">
        <f t="shared" si="351"/>
        <v>0</v>
      </c>
      <c r="U1038" s="36">
        <f t="shared" si="352"/>
        <v>0</v>
      </c>
      <c r="V1038" s="36">
        <f t="shared" si="353"/>
        <v>0</v>
      </c>
      <c r="W1038" s="36">
        <f t="shared" si="354"/>
        <v>0</v>
      </c>
      <c r="X1038" s="36">
        <f t="shared" si="355"/>
        <v>0</v>
      </c>
      <c r="Y1038" s="36">
        <f t="shared" si="356"/>
        <v>0</v>
      </c>
      <c r="Z1038" s="36">
        <f t="shared" si="357"/>
        <v>0</v>
      </c>
      <c r="AB1038" s="36" t="str">
        <f>IF(最佳化斷筋點!C1038="","",最佳化斷筋點!C1038)</f>
        <v/>
      </c>
      <c r="AC1038" s="37" t="str">
        <f>IF(最佳化斷筋點!D1038="","",最佳化斷筋點!D1038)</f>
        <v/>
      </c>
      <c r="AD1038" s="37" t="str">
        <f>IF(最佳化斷筋點!E1038="","",最佳化斷筋點!E1038)</f>
        <v/>
      </c>
      <c r="AE1038" s="37" t="str">
        <f>IF(最佳化斷筋點!F1038="","",最佳化斷筋點!F1038)</f>
        <v/>
      </c>
      <c r="AF1038" s="37" t="str">
        <f>IF(最佳化斷筋點!G1038="","",最佳化斷筋點!G1038)</f>
        <v/>
      </c>
      <c r="AG1038" s="37" t="str">
        <f>IF(最佳化斷筋點!H1038="","",最佳化斷筋點!H1038)</f>
        <v/>
      </c>
      <c r="AH1038" s="37" t="str">
        <f>IF(最佳化斷筋點!I1038="","",最佳化斷筋點!I1038)</f>
        <v/>
      </c>
      <c r="AI1038" s="37" t="str">
        <f>IF(最佳化斷筋點!J1038="","",最佳化斷筋點!J1038)</f>
        <v/>
      </c>
      <c r="AJ1038" s="37" t="str">
        <f>IF(最佳化斷筋點!K1038="","",最佳化斷筋點!K1038)</f>
        <v/>
      </c>
      <c r="AK1038" s="37" t="str">
        <f>IF(最佳化斷筋點!L1038="","",最佳化斷筋點!L1038)</f>
        <v/>
      </c>
      <c r="AL1038" s="37" t="str">
        <f>IF(最佳化斷筋點!M1038="","",最佳化斷筋點!M1038)</f>
        <v/>
      </c>
      <c r="AM1038" s="37" t="str">
        <f>IF(最佳化斷筋點!N1038="","",最佳化斷筋點!N1038)</f>
        <v/>
      </c>
      <c r="AN1038" s="37" t="str">
        <f>IF(最佳化斷筋點!O1038="","",最佳化斷筋點!O1038)</f>
        <v/>
      </c>
      <c r="AO1038" s="37" t="str">
        <f>IF(最佳化斷筋點!P1038="","",最佳化斷筋點!P1038)</f>
        <v/>
      </c>
      <c r="AP1038" s="37" t="str">
        <f>IF(最佳化斷筋點!Q1038="","",最佳化斷筋點!Q1038)</f>
        <v/>
      </c>
      <c r="AQ1038" s="37" t="str">
        <f>IF(最佳化斷筋點!R1038="","",最佳化斷筋點!R1038)</f>
        <v/>
      </c>
      <c r="AR1038" s="37" t="str">
        <f>IF(最佳化斷筋點!S1038="","",最佳化斷筋點!S1038)</f>
        <v/>
      </c>
      <c r="AS1038" s="37" t="str">
        <f>IF(最佳化斷筋點!T1038="","",最佳化斷筋點!T1038)</f>
        <v/>
      </c>
      <c r="AT1038" s="37" t="str">
        <f>IF(最佳化斷筋點!U1038="","",最佳化斷筋點!U1038)</f>
        <v/>
      </c>
      <c r="AU1038" s="37" t="str">
        <f>IF(最佳化斷筋點!V1038="","",最佳化斷筋點!V1038)</f>
        <v/>
      </c>
      <c r="AV1038" s="37" t="str">
        <f>IF(最佳化斷筋點!W1038="","",最佳化斷筋點!W1038)</f>
        <v/>
      </c>
      <c r="AW1038" s="37" t="str">
        <f>IF(最佳化斷筋點!X1038="","",最佳化斷筋點!X1038)</f>
        <v/>
      </c>
      <c r="AZ1038" s="37" t="s">
        <v>197</v>
      </c>
      <c r="BA1038" s="37" t="s">
        <v>197</v>
      </c>
      <c r="BB1038" s="37" t="s">
        <v>197</v>
      </c>
      <c r="BC1038" s="37" t="s">
        <v>197</v>
      </c>
      <c r="BD1038" s="37" t="s">
        <v>197</v>
      </c>
      <c r="BE1038" s="37" t="s">
        <v>197</v>
      </c>
      <c r="BF1038" s="37" t="s">
        <v>197</v>
      </c>
      <c r="BG1038" s="37" t="s">
        <v>197</v>
      </c>
      <c r="BH1038" s="37" t="s">
        <v>197</v>
      </c>
      <c r="BI1038" s="37" t="s">
        <v>197</v>
      </c>
      <c r="BJ1038" s="37" t="s">
        <v>197</v>
      </c>
      <c r="BK1038" s="37" t="s">
        <v>197</v>
      </c>
      <c r="BL1038" s="37" t="s">
        <v>197</v>
      </c>
      <c r="BM1038" s="37" t="s">
        <v>197</v>
      </c>
      <c r="BN1038" s="37" t="s">
        <v>197</v>
      </c>
      <c r="BO1038" s="37" t="s">
        <v>197</v>
      </c>
      <c r="BP1038" s="37" t="s">
        <v>197</v>
      </c>
      <c r="BQ1038" s="37" t="s">
        <v>197</v>
      </c>
      <c r="BR1038" s="37" t="s">
        <v>197</v>
      </c>
      <c r="BS1038" s="37" t="s">
        <v>197</v>
      </c>
      <c r="BT1038" s="37" t="s">
        <v>197</v>
      </c>
    </row>
    <row r="1039" spans="5:72" x14ac:dyDescent="0.25">
      <c r="E1039" s="36" t="s">
        <v>20</v>
      </c>
      <c r="F1039" s="36">
        <f t="shared" si="337"/>
        <v>0</v>
      </c>
      <c r="G1039" s="36">
        <f t="shared" si="338"/>
        <v>0</v>
      </c>
      <c r="H1039" s="36">
        <f t="shared" si="339"/>
        <v>0</v>
      </c>
      <c r="I1039" s="36">
        <f t="shared" si="340"/>
        <v>0</v>
      </c>
      <c r="J1039" s="36">
        <f t="shared" si="341"/>
        <v>0</v>
      </c>
      <c r="K1039" s="36">
        <f t="shared" si="342"/>
        <v>0</v>
      </c>
      <c r="L1039" s="36">
        <f t="shared" si="343"/>
        <v>0</v>
      </c>
      <c r="M1039" s="36">
        <f t="shared" si="344"/>
        <v>0</v>
      </c>
      <c r="N1039" s="36">
        <f t="shared" si="345"/>
        <v>0</v>
      </c>
      <c r="O1039" s="36">
        <f t="shared" si="346"/>
        <v>0</v>
      </c>
      <c r="P1039" s="36">
        <f t="shared" si="347"/>
        <v>0</v>
      </c>
      <c r="Q1039" s="36">
        <f t="shared" si="348"/>
        <v>0</v>
      </c>
      <c r="R1039" s="36">
        <f t="shared" si="349"/>
        <v>0</v>
      </c>
      <c r="S1039" s="36">
        <f t="shared" si="350"/>
        <v>0</v>
      </c>
      <c r="T1039" s="36">
        <f t="shared" si="351"/>
        <v>0</v>
      </c>
      <c r="U1039" s="36">
        <f t="shared" si="352"/>
        <v>0</v>
      </c>
      <c r="V1039" s="36">
        <f t="shared" si="353"/>
        <v>0</v>
      </c>
      <c r="W1039" s="36">
        <f t="shared" si="354"/>
        <v>0</v>
      </c>
      <c r="X1039" s="36">
        <f t="shared" si="355"/>
        <v>0</v>
      </c>
      <c r="Y1039" s="36">
        <f t="shared" si="356"/>
        <v>0</v>
      </c>
      <c r="Z1039" s="36">
        <f t="shared" si="357"/>
        <v>0</v>
      </c>
      <c r="AB1039" s="36" t="str">
        <f>IF(最佳化斷筋點!C1039="","",最佳化斷筋點!C1039)</f>
        <v>上層</v>
      </c>
      <c r="AC1039" s="37">
        <f>IF(最佳化斷筋點!D1039="","",最佳化斷筋點!D1039)</f>
        <v>10</v>
      </c>
      <c r="AD1039" s="37">
        <f>IF(最佳化斷筋點!E1039="","",最佳化斷筋點!E1039)</f>
        <v>10</v>
      </c>
      <c r="AE1039" s="37">
        <f>IF(最佳化斷筋點!F1039="","",最佳化斷筋點!F1039)</f>
        <v>10</v>
      </c>
      <c r="AF1039" s="37">
        <f>IF(最佳化斷筋點!G1039="","",最佳化斷筋點!G1039)</f>
        <v>10</v>
      </c>
      <c r="AG1039" s="37">
        <f>IF(最佳化斷筋點!H1039="","",最佳化斷筋點!H1039)</f>
        <v>10</v>
      </c>
      <c r="AH1039" s="37">
        <f>IF(最佳化斷筋點!I1039="","",最佳化斷筋點!I1039)</f>
        <v>10</v>
      </c>
      <c r="AI1039" s="37">
        <f>IF(最佳化斷筋點!J1039="","",最佳化斷筋點!J1039)</f>
        <v>10</v>
      </c>
      <c r="AJ1039" s="37">
        <f>IF(最佳化斷筋點!K1039="","",最佳化斷筋點!K1039)</f>
        <v>4</v>
      </c>
      <c r="AK1039" s="37">
        <f>IF(最佳化斷筋點!L1039="","",最佳化斷筋點!L1039)</f>
        <v>4</v>
      </c>
      <c r="AL1039" s="37">
        <f>IF(最佳化斷筋點!M1039="","",最佳化斷筋點!M1039)</f>
        <v>4</v>
      </c>
      <c r="AM1039" s="37">
        <f>IF(最佳化斷筋點!N1039="","",最佳化斷筋點!N1039)</f>
        <v>4</v>
      </c>
      <c r="AN1039" s="37">
        <f>IF(最佳化斷筋點!O1039="","",最佳化斷筋點!O1039)</f>
        <v>4</v>
      </c>
      <c r="AO1039" s="37">
        <f>IF(最佳化斷筋點!P1039="","",最佳化斷筋點!P1039)</f>
        <v>4</v>
      </c>
      <c r="AP1039" s="37">
        <f>IF(最佳化斷筋點!Q1039="","",最佳化斷筋點!Q1039)</f>
        <v>8</v>
      </c>
      <c r="AQ1039" s="37">
        <f>IF(最佳化斷筋點!R1039="","",最佳化斷筋點!R1039)</f>
        <v>9</v>
      </c>
      <c r="AR1039" s="37">
        <f>IF(最佳化斷筋點!S1039="","",最佳化斷筋點!S1039)</f>
        <v>10</v>
      </c>
      <c r="AS1039" s="37">
        <f>IF(最佳化斷筋點!T1039="","",最佳化斷筋點!T1039)</f>
        <v>10</v>
      </c>
      <c r="AT1039" s="37">
        <f>IF(最佳化斷筋點!U1039="","",最佳化斷筋點!U1039)</f>
        <v>10</v>
      </c>
      <c r="AU1039" s="37">
        <f>IF(最佳化斷筋點!V1039="","",最佳化斷筋點!V1039)</f>
        <v>10</v>
      </c>
      <c r="AV1039" s="37">
        <f>IF(最佳化斷筋點!W1039="","",最佳化斷筋點!W1039)</f>
        <v>10</v>
      </c>
      <c r="AW1039" s="37">
        <f>IF(最佳化斷筋點!X1039="","",最佳化斷筋點!X1039)</f>
        <v>10</v>
      </c>
      <c r="AZ1039" s="37">
        <v>10</v>
      </c>
      <c r="BA1039" s="37">
        <v>10</v>
      </c>
      <c r="BB1039" s="37">
        <v>10</v>
      </c>
      <c r="BC1039" s="37">
        <v>10</v>
      </c>
      <c r="BD1039" s="37">
        <v>10</v>
      </c>
      <c r="BE1039" s="37">
        <v>10</v>
      </c>
      <c r="BF1039" s="37">
        <v>10</v>
      </c>
      <c r="BG1039" s="37">
        <v>4</v>
      </c>
      <c r="BH1039" s="37">
        <v>4</v>
      </c>
      <c r="BI1039" s="37">
        <v>4</v>
      </c>
      <c r="BJ1039" s="37">
        <v>4</v>
      </c>
      <c r="BK1039" s="37">
        <v>4</v>
      </c>
      <c r="BL1039" s="37">
        <v>4</v>
      </c>
      <c r="BM1039" s="37">
        <v>8</v>
      </c>
      <c r="BN1039" s="37">
        <v>9</v>
      </c>
      <c r="BO1039" s="37">
        <v>10</v>
      </c>
      <c r="BP1039" s="37">
        <v>10</v>
      </c>
      <c r="BQ1039" s="37">
        <v>10</v>
      </c>
      <c r="BR1039" s="37">
        <v>10</v>
      </c>
      <c r="BS1039" s="37">
        <v>10</v>
      </c>
      <c r="BT1039" s="37">
        <v>10</v>
      </c>
    </row>
    <row r="1040" spans="5:72" x14ac:dyDescent="0.25">
      <c r="E1040" s="36"/>
      <c r="F1040" s="36">
        <f t="shared" si="337"/>
        <v>0</v>
      </c>
      <c r="G1040" s="36">
        <f t="shared" si="338"/>
        <v>0</v>
      </c>
      <c r="H1040" s="36">
        <f t="shared" si="339"/>
        <v>0</v>
      </c>
      <c r="I1040" s="36">
        <f t="shared" si="340"/>
        <v>0</v>
      </c>
      <c r="J1040" s="36">
        <f t="shared" si="341"/>
        <v>0</v>
      </c>
      <c r="K1040" s="36">
        <f t="shared" si="342"/>
        <v>0</v>
      </c>
      <c r="L1040" s="36">
        <f t="shared" si="343"/>
        <v>0</v>
      </c>
      <c r="M1040" s="36">
        <f t="shared" si="344"/>
        <v>0</v>
      </c>
      <c r="N1040" s="36">
        <f t="shared" si="345"/>
        <v>0</v>
      </c>
      <c r="O1040" s="36">
        <f t="shared" si="346"/>
        <v>0</v>
      </c>
      <c r="P1040" s="36">
        <f t="shared" si="347"/>
        <v>0</v>
      </c>
      <c r="Q1040" s="36">
        <f t="shared" si="348"/>
        <v>0</v>
      </c>
      <c r="R1040" s="36">
        <f t="shared" si="349"/>
        <v>0</v>
      </c>
      <c r="S1040" s="36">
        <f t="shared" si="350"/>
        <v>0</v>
      </c>
      <c r="T1040" s="36">
        <f t="shared" si="351"/>
        <v>0</v>
      </c>
      <c r="U1040" s="36">
        <f t="shared" si="352"/>
        <v>0</v>
      </c>
      <c r="V1040" s="36">
        <f t="shared" si="353"/>
        <v>0</v>
      </c>
      <c r="W1040" s="36">
        <f t="shared" si="354"/>
        <v>0</v>
      </c>
      <c r="X1040" s="36">
        <f t="shared" si="355"/>
        <v>0</v>
      </c>
      <c r="Y1040" s="36">
        <f t="shared" si="356"/>
        <v>0</v>
      </c>
      <c r="Z1040" s="36">
        <f t="shared" si="357"/>
        <v>0</v>
      </c>
      <c r="AB1040" s="36" t="str">
        <f>IF(最佳化斷筋點!C1040="","",最佳化斷筋點!C1040)</f>
        <v/>
      </c>
      <c r="AC1040" s="37" t="str">
        <f>IF(最佳化斷筋點!D1040="","",最佳化斷筋點!D1040)</f>
        <v/>
      </c>
      <c r="AD1040" s="37" t="str">
        <f>IF(最佳化斷筋點!E1040="","",最佳化斷筋點!E1040)</f>
        <v/>
      </c>
      <c r="AE1040" s="37" t="str">
        <f>IF(最佳化斷筋點!F1040="","",最佳化斷筋點!F1040)</f>
        <v/>
      </c>
      <c r="AF1040" s="37" t="str">
        <f>IF(最佳化斷筋點!G1040="","",最佳化斷筋點!G1040)</f>
        <v/>
      </c>
      <c r="AG1040" s="37" t="str">
        <f>IF(最佳化斷筋點!H1040="","",最佳化斷筋點!H1040)</f>
        <v/>
      </c>
      <c r="AH1040" s="37" t="str">
        <f>IF(最佳化斷筋點!I1040="","",最佳化斷筋點!I1040)</f>
        <v/>
      </c>
      <c r="AI1040" s="37" t="str">
        <f>IF(最佳化斷筋點!J1040="","",最佳化斷筋點!J1040)</f>
        <v/>
      </c>
      <c r="AJ1040" s="37" t="str">
        <f>IF(最佳化斷筋點!K1040="","",最佳化斷筋點!K1040)</f>
        <v/>
      </c>
      <c r="AK1040" s="37" t="str">
        <f>IF(最佳化斷筋點!L1040="","",最佳化斷筋點!L1040)</f>
        <v/>
      </c>
      <c r="AL1040" s="37" t="str">
        <f>IF(最佳化斷筋點!M1040="","",最佳化斷筋點!M1040)</f>
        <v/>
      </c>
      <c r="AM1040" s="37" t="str">
        <f>IF(最佳化斷筋點!N1040="","",最佳化斷筋點!N1040)</f>
        <v/>
      </c>
      <c r="AN1040" s="37" t="str">
        <f>IF(最佳化斷筋點!O1040="","",最佳化斷筋點!O1040)</f>
        <v/>
      </c>
      <c r="AO1040" s="37" t="str">
        <f>IF(最佳化斷筋點!P1040="","",最佳化斷筋點!P1040)</f>
        <v/>
      </c>
      <c r="AP1040" s="37" t="str">
        <f>IF(最佳化斷筋點!Q1040="","",最佳化斷筋點!Q1040)</f>
        <v/>
      </c>
      <c r="AQ1040" s="37" t="str">
        <f>IF(最佳化斷筋點!R1040="","",最佳化斷筋點!R1040)</f>
        <v/>
      </c>
      <c r="AR1040" s="37" t="str">
        <f>IF(最佳化斷筋點!S1040="","",最佳化斷筋點!S1040)</f>
        <v/>
      </c>
      <c r="AS1040" s="37" t="str">
        <f>IF(最佳化斷筋點!T1040="","",最佳化斷筋點!T1040)</f>
        <v/>
      </c>
      <c r="AT1040" s="37" t="str">
        <f>IF(最佳化斷筋點!U1040="","",最佳化斷筋點!U1040)</f>
        <v/>
      </c>
      <c r="AU1040" s="37" t="str">
        <f>IF(最佳化斷筋點!V1040="","",最佳化斷筋點!V1040)</f>
        <v/>
      </c>
      <c r="AV1040" s="37" t="str">
        <f>IF(最佳化斷筋點!W1040="","",最佳化斷筋點!W1040)</f>
        <v/>
      </c>
      <c r="AW1040" s="37" t="str">
        <f>IF(最佳化斷筋點!X1040="","",最佳化斷筋點!X1040)</f>
        <v/>
      </c>
      <c r="AZ1040" s="37" t="s">
        <v>197</v>
      </c>
      <c r="BA1040" s="37" t="s">
        <v>197</v>
      </c>
      <c r="BB1040" s="37" t="s">
        <v>197</v>
      </c>
      <c r="BC1040" s="37" t="s">
        <v>197</v>
      </c>
      <c r="BD1040" s="37" t="s">
        <v>197</v>
      </c>
      <c r="BE1040" s="37" t="s">
        <v>197</v>
      </c>
      <c r="BF1040" s="37" t="s">
        <v>197</v>
      </c>
      <c r="BG1040" s="37" t="s">
        <v>197</v>
      </c>
      <c r="BH1040" s="37" t="s">
        <v>197</v>
      </c>
      <c r="BI1040" s="37" t="s">
        <v>197</v>
      </c>
      <c r="BJ1040" s="37" t="s">
        <v>197</v>
      </c>
      <c r="BK1040" s="37" t="s">
        <v>197</v>
      </c>
      <c r="BL1040" s="37" t="s">
        <v>197</v>
      </c>
      <c r="BM1040" s="37" t="s">
        <v>197</v>
      </c>
      <c r="BN1040" s="37" t="s">
        <v>197</v>
      </c>
      <c r="BO1040" s="37" t="s">
        <v>197</v>
      </c>
      <c r="BP1040" s="37" t="s">
        <v>197</v>
      </c>
      <c r="BQ1040" s="37" t="s">
        <v>197</v>
      </c>
      <c r="BR1040" s="37" t="s">
        <v>197</v>
      </c>
      <c r="BS1040" s="37" t="s">
        <v>197</v>
      </c>
      <c r="BT1040" s="37" t="s">
        <v>197</v>
      </c>
    </row>
    <row r="1041" spans="5:72" x14ac:dyDescent="0.25">
      <c r="E1041" s="36" t="s">
        <v>21</v>
      </c>
      <c r="F1041" s="36">
        <f t="shared" si="337"/>
        <v>0</v>
      </c>
      <c r="G1041" s="36">
        <f t="shared" si="338"/>
        <v>0</v>
      </c>
      <c r="H1041" s="36">
        <f t="shared" si="339"/>
        <v>0</v>
      </c>
      <c r="I1041" s="36">
        <f t="shared" si="340"/>
        <v>0</v>
      </c>
      <c r="J1041" s="36">
        <f t="shared" si="341"/>
        <v>0</v>
      </c>
      <c r="K1041" s="36">
        <f t="shared" si="342"/>
        <v>0</v>
      </c>
      <c r="L1041" s="36">
        <f t="shared" si="343"/>
        <v>0</v>
      </c>
      <c r="M1041" s="36">
        <f t="shared" si="344"/>
        <v>0</v>
      </c>
      <c r="N1041" s="36">
        <f t="shared" si="345"/>
        <v>0</v>
      </c>
      <c r="O1041" s="36">
        <f t="shared" si="346"/>
        <v>0</v>
      </c>
      <c r="P1041" s="36">
        <f t="shared" si="347"/>
        <v>0</v>
      </c>
      <c r="Q1041" s="36">
        <f t="shared" si="348"/>
        <v>0</v>
      </c>
      <c r="R1041" s="36">
        <f t="shared" si="349"/>
        <v>0</v>
      </c>
      <c r="S1041" s="36">
        <f t="shared" si="350"/>
        <v>0</v>
      </c>
      <c r="T1041" s="36">
        <f t="shared" si="351"/>
        <v>0</v>
      </c>
      <c r="U1041" s="36">
        <f t="shared" si="352"/>
        <v>0</v>
      </c>
      <c r="V1041" s="36">
        <f t="shared" si="353"/>
        <v>0</v>
      </c>
      <c r="W1041" s="36">
        <f t="shared" si="354"/>
        <v>0</v>
      </c>
      <c r="X1041" s="36">
        <f t="shared" si="355"/>
        <v>0</v>
      </c>
      <c r="Y1041" s="36">
        <f t="shared" si="356"/>
        <v>0</v>
      </c>
      <c r="Z1041" s="36">
        <f t="shared" si="357"/>
        <v>0</v>
      </c>
      <c r="AB1041" s="36" t="str">
        <f>IF(最佳化斷筋點!C1041="","",最佳化斷筋點!C1041)</f>
        <v>下層</v>
      </c>
      <c r="AC1041" s="37">
        <f>IF(最佳化斷筋點!D1041="","",最佳化斷筋點!D1041)</f>
        <v>13</v>
      </c>
      <c r="AD1041" s="37">
        <f>IF(最佳化斷筋點!E1041="","",最佳化斷筋點!E1041)</f>
        <v>13</v>
      </c>
      <c r="AE1041" s="37">
        <f>IF(最佳化斷筋點!F1041="","",最佳化斷筋點!F1041)</f>
        <v>13</v>
      </c>
      <c r="AF1041" s="37">
        <f>IF(最佳化斷筋點!G1041="","",最佳化斷筋點!G1041)</f>
        <v>13</v>
      </c>
      <c r="AG1041" s="37">
        <f>IF(最佳化斷筋點!H1041="","",最佳化斷筋點!H1041)</f>
        <v>12</v>
      </c>
      <c r="AH1041" s="37">
        <f>IF(最佳化斷筋點!I1041="","",最佳化斷筋點!I1041)</f>
        <v>11</v>
      </c>
      <c r="AI1041" s="37">
        <f>IF(最佳化斷筋點!J1041="","",最佳化斷筋點!J1041)</f>
        <v>10</v>
      </c>
      <c r="AJ1041" s="37">
        <f>IF(最佳化斷筋點!K1041="","",最佳化斷筋點!K1041)</f>
        <v>5</v>
      </c>
      <c r="AK1041" s="37">
        <f>IF(最佳化斷筋點!L1041="","",最佳化斷筋點!L1041)</f>
        <v>5</v>
      </c>
      <c r="AL1041" s="37">
        <f>IF(最佳化斷筋點!M1041="","",最佳化斷筋點!M1041)</f>
        <v>5</v>
      </c>
      <c r="AM1041" s="37">
        <f>IF(最佳化斷筋點!N1041="","",最佳化斷筋點!N1041)</f>
        <v>5</v>
      </c>
      <c r="AN1041" s="37">
        <f>IF(最佳化斷筋點!O1041="","",最佳化斷筋點!O1041)</f>
        <v>5</v>
      </c>
      <c r="AO1041" s="37">
        <f>IF(最佳化斷筋點!P1041="","",最佳化斷筋點!P1041)</f>
        <v>5</v>
      </c>
      <c r="AP1041" s="37">
        <f>IF(最佳化斷筋點!Q1041="","",最佳化斷筋點!Q1041)</f>
        <v>8</v>
      </c>
      <c r="AQ1041" s="37">
        <f>IF(最佳化斷筋點!R1041="","",最佳化斷筋點!R1041)</f>
        <v>9</v>
      </c>
      <c r="AR1041" s="37">
        <f>IF(最佳化斷筋點!S1041="","",最佳化斷筋點!S1041)</f>
        <v>11</v>
      </c>
      <c r="AS1041" s="37">
        <f>IF(最佳化斷筋點!T1041="","",最佳化斷筋點!T1041)</f>
        <v>12</v>
      </c>
      <c r="AT1041" s="37">
        <f>IF(最佳化斷筋點!U1041="","",最佳化斷筋點!U1041)</f>
        <v>13</v>
      </c>
      <c r="AU1041" s="37">
        <f>IF(最佳化斷筋點!V1041="","",最佳化斷筋點!V1041)</f>
        <v>13</v>
      </c>
      <c r="AV1041" s="37">
        <f>IF(最佳化斷筋點!W1041="","",最佳化斷筋點!W1041)</f>
        <v>13</v>
      </c>
      <c r="AW1041" s="37">
        <f>IF(最佳化斷筋點!X1041="","",最佳化斷筋點!X1041)</f>
        <v>13</v>
      </c>
      <c r="AZ1041" s="37">
        <v>13</v>
      </c>
      <c r="BA1041" s="37">
        <v>13</v>
      </c>
      <c r="BB1041" s="37">
        <v>13</v>
      </c>
      <c r="BC1041" s="37">
        <v>13</v>
      </c>
      <c r="BD1041" s="37">
        <v>12</v>
      </c>
      <c r="BE1041" s="37">
        <v>11</v>
      </c>
      <c r="BF1041" s="37">
        <v>10</v>
      </c>
      <c r="BG1041" s="37">
        <v>5</v>
      </c>
      <c r="BH1041" s="37">
        <v>5</v>
      </c>
      <c r="BI1041" s="37">
        <v>5</v>
      </c>
      <c r="BJ1041" s="37">
        <v>5</v>
      </c>
      <c r="BK1041" s="37">
        <v>5</v>
      </c>
      <c r="BL1041" s="37">
        <v>5</v>
      </c>
      <c r="BM1041" s="37">
        <v>8</v>
      </c>
      <c r="BN1041" s="37">
        <v>9</v>
      </c>
      <c r="BO1041" s="37">
        <v>11</v>
      </c>
      <c r="BP1041" s="37">
        <v>12</v>
      </c>
      <c r="BQ1041" s="37">
        <v>13</v>
      </c>
      <c r="BR1041" s="37">
        <v>13</v>
      </c>
      <c r="BS1041" s="37">
        <v>13</v>
      </c>
      <c r="BT1041" s="37">
        <v>13</v>
      </c>
    </row>
    <row r="1042" spans="5:72" x14ac:dyDescent="0.25">
      <c r="E1042" s="36"/>
      <c r="F1042" s="36">
        <f t="shared" si="337"/>
        <v>0</v>
      </c>
      <c r="G1042" s="36">
        <f t="shared" si="338"/>
        <v>0</v>
      </c>
      <c r="H1042" s="36">
        <f t="shared" si="339"/>
        <v>0</v>
      </c>
      <c r="I1042" s="36">
        <f t="shared" si="340"/>
        <v>0</v>
      </c>
      <c r="J1042" s="36">
        <f t="shared" si="341"/>
        <v>0</v>
      </c>
      <c r="K1042" s="36">
        <f t="shared" si="342"/>
        <v>0</v>
      </c>
      <c r="L1042" s="36">
        <f t="shared" si="343"/>
        <v>0</v>
      </c>
      <c r="M1042" s="36">
        <f t="shared" si="344"/>
        <v>0</v>
      </c>
      <c r="N1042" s="36">
        <f t="shared" si="345"/>
        <v>0</v>
      </c>
      <c r="O1042" s="36">
        <f t="shared" si="346"/>
        <v>0</v>
      </c>
      <c r="P1042" s="36">
        <f t="shared" si="347"/>
        <v>0</v>
      </c>
      <c r="Q1042" s="36">
        <f t="shared" si="348"/>
        <v>0</v>
      </c>
      <c r="R1042" s="36">
        <f t="shared" si="349"/>
        <v>0</v>
      </c>
      <c r="S1042" s="36">
        <f t="shared" si="350"/>
        <v>0</v>
      </c>
      <c r="T1042" s="36">
        <f t="shared" si="351"/>
        <v>0</v>
      </c>
      <c r="U1042" s="36">
        <f t="shared" si="352"/>
        <v>0</v>
      </c>
      <c r="V1042" s="36">
        <f t="shared" si="353"/>
        <v>0</v>
      </c>
      <c r="W1042" s="36">
        <f t="shared" si="354"/>
        <v>0</v>
      </c>
      <c r="X1042" s="36">
        <f t="shared" si="355"/>
        <v>0</v>
      </c>
      <c r="Y1042" s="36">
        <f t="shared" si="356"/>
        <v>0</v>
      </c>
      <c r="Z1042" s="36">
        <f t="shared" si="357"/>
        <v>0</v>
      </c>
      <c r="AB1042" s="36" t="str">
        <f>IF(最佳化斷筋點!C1042="","",最佳化斷筋點!C1042)</f>
        <v/>
      </c>
      <c r="AC1042" s="37" t="str">
        <f>IF(最佳化斷筋點!D1042="","",最佳化斷筋點!D1042)</f>
        <v/>
      </c>
      <c r="AD1042" s="37" t="str">
        <f>IF(最佳化斷筋點!E1042="","",最佳化斷筋點!E1042)</f>
        <v/>
      </c>
      <c r="AE1042" s="37" t="str">
        <f>IF(最佳化斷筋點!F1042="","",最佳化斷筋點!F1042)</f>
        <v/>
      </c>
      <c r="AF1042" s="37" t="str">
        <f>IF(最佳化斷筋點!G1042="","",最佳化斷筋點!G1042)</f>
        <v/>
      </c>
      <c r="AG1042" s="37" t="str">
        <f>IF(最佳化斷筋點!H1042="","",最佳化斷筋點!H1042)</f>
        <v/>
      </c>
      <c r="AH1042" s="37" t="str">
        <f>IF(最佳化斷筋點!I1042="","",最佳化斷筋點!I1042)</f>
        <v/>
      </c>
      <c r="AI1042" s="37" t="str">
        <f>IF(最佳化斷筋點!J1042="","",最佳化斷筋點!J1042)</f>
        <v/>
      </c>
      <c r="AJ1042" s="37" t="str">
        <f>IF(最佳化斷筋點!K1042="","",最佳化斷筋點!K1042)</f>
        <v/>
      </c>
      <c r="AK1042" s="37" t="str">
        <f>IF(最佳化斷筋點!L1042="","",最佳化斷筋點!L1042)</f>
        <v/>
      </c>
      <c r="AL1042" s="37" t="str">
        <f>IF(最佳化斷筋點!M1042="","",最佳化斷筋點!M1042)</f>
        <v/>
      </c>
      <c r="AM1042" s="37" t="str">
        <f>IF(最佳化斷筋點!N1042="","",最佳化斷筋點!N1042)</f>
        <v/>
      </c>
      <c r="AN1042" s="37" t="str">
        <f>IF(最佳化斷筋點!O1042="","",最佳化斷筋點!O1042)</f>
        <v/>
      </c>
      <c r="AO1042" s="37" t="str">
        <f>IF(最佳化斷筋點!P1042="","",最佳化斷筋點!P1042)</f>
        <v/>
      </c>
      <c r="AP1042" s="37" t="str">
        <f>IF(最佳化斷筋點!Q1042="","",最佳化斷筋點!Q1042)</f>
        <v/>
      </c>
      <c r="AQ1042" s="37" t="str">
        <f>IF(最佳化斷筋點!R1042="","",最佳化斷筋點!R1042)</f>
        <v/>
      </c>
      <c r="AR1042" s="37" t="str">
        <f>IF(最佳化斷筋點!S1042="","",最佳化斷筋點!S1042)</f>
        <v/>
      </c>
      <c r="AS1042" s="37" t="str">
        <f>IF(最佳化斷筋點!T1042="","",最佳化斷筋點!T1042)</f>
        <v/>
      </c>
      <c r="AT1042" s="37" t="str">
        <f>IF(最佳化斷筋點!U1042="","",最佳化斷筋點!U1042)</f>
        <v/>
      </c>
      <c r="AU1042" s="37" t="str">
        <f>IF(最佳化斷筋點!V1042="","",最佳化斷筋點!V1042)</f>
        <v/>
      </c>
      <c r="AV1042" s="37" t="str">
        <f>IF(最佳化斷筋點!W1042="","",最佳化斷筋點!W1042)</f>
        <v/>
      </c>
      <c r="AW1042" s="37" t="str">
        <f>IF(最佳化斷筋點!X1042="","",最佳化斷筋點!X1042)</f>
        <v/>
      </c>
      <c r="AZ1042" s="37" t="s">
        <v>197</v>
      </c>
      <c r="BA1042" s="37" t="s">
        <v>197</v>
      </c>
      <c r="BB1042" s="37" t="s">
        <v>197</v>
      </c>
      <c r="BC1042" s="37" t="s">
        <v>197</v>
      </c>
      <c r="BD1042" s="37" t="s">
        <v>197</v>
      </c>
      <c r="BE1042" s="37" t="s">
        <v>197</v>
      </c>
      <c r="BF1042" s="37" t="s">
        <v>197</v>
      </c>
      <c r="BG1042" s="37" t="s">
        <v>197</v>
      </c>
      <c r="BH1042" s="37" t="s">
        <v>197</v>
      </c>
      <c r="BI1042" s="37" t="s">
        <v>197</v>
      </c>
      <c r="BJ1042" s="37" t="s">
        <v>197</v>
      </c>
      <c r="BK1042" s="37" t="s">
        <v>197</v>
      </c>
      <c r="BL1042" s="37" t="s">
        <v>197</v>
      </c>
      <c r="BM1042" s="37" t="s">
        <v>197</v>
      </c>
      <c r="BN1042" s="37" t="s">
        <v>197</v>
      </c>
      <c r="BO1042" s="37" t="s">
        <v>197</v>
      </c>
      <c r="BP1042" s="37" t="s">
        <v>197</v>
      </c>
      <c r="BQ1042" s="37" t="s">
        <v>197</v>
      </c>
      <c r="BR1042" s="37" t="s">
        <v>197</v>
      </c>
      <c r="BS1042" s="37" t="s">
        <v>197</v>
      </c>
      <c r="BT1042" s="37" t="s">
        <v>197</v>
      </c>
    </row>
    <row r="1043" spans="5:72" x14ac:dyDescent="0.25">
      <c r="E1043" s="36" t="s">
        <v>20</v>
      </c>
      <c r="F1043" s="36">
        <f t="shared" si="337"/>
        <v>0</v>
      </c>
      <c r="G1043" s="36">
        <f t="shared" si="338"/>
        <v>0</v>
      </c>
      <c r="H1043" s="36">
        <f t="shared" si="339"/>
        <v>0</v>
      </c>
      <c r="I1043" s="36">
        <f t="shared" si="340"/>
        <v>0</v>
      </c>
      <c r="J1043" s="36">
        <f t="shared" si="341"/>
        <v>0</v>
      </c>
      <c r="K1043" s="36">
        <f t="shared" si="342"/>
        <v>0</v>
      </c>
      <c r="L1043" s="36">
        <f t="shared" si="343"/>
        <v>0</v>
      </c>
      <c r="M1043" s="36">
        <f t="shared" si="344"/>
        <v>0</v>
      </c>
      <c r="N1043" s="36">
        <f t="shared" si="345"/>
        <v>0</v>
      </c>
      <c r="O1043" s="36">
        <f t="shared" si="346"/>
        <v>0</v>
      </c>
      <c r="P1043" s="36">
        <f t="shared" si="347"/>
        <v>0</v>
      </c>
      <c r="Q1043" s="36">
        <f t="shared" si="348"/>
        <v>0</v>
      </c>
      <c r="R1043" s="36">
        <f t="shared" si="349"/>
        <v>0</v>
      </c>
      <c r="S1043" s="36">
        <f t="shared" si="350"/>
        <v>0</v>
      </c>
      <c r="T1043" s="36">
        <f t="shared" si="351"/>
        <v>0</v>
      </c>
      <c r="U1043" s="36">
        <f t="shared" si="352"/>
        <v>0</v>
      </c>
      <c r="V1043" s="36">
        <f t="shared" si="353"/>
        <v>0</v>
      </c>
      <c r="W1043" s="36">
        <f t="shared" si="354"/>
        <v>0</v>
      </c>
      <c r="X1043" s="36">
        <f t="shared" si="355"/>
        <v>0</v>
      </c>
      <c r="Y1043" s="36">
        <f t="shared" si="356"/>
        <v>0</v>
      </c>
      <c r="Z1043" s="36">
        <f t="shared" si="357"/>
        <v>0</v>
      </c>
      <c r="AB1043" s="36" t="str">
        <f>IF(最佳化斷筋點!C1043="","",最佳化斷筋點!C1043)</f>
        <v>上層</v>
      </c>
      <c r="AC1043" s="37">
        <f>IF(最佳化斷筋點!D1043="","",最佳化斷筋點!D1043)</f>
        <v>9</v>
      </c>
      <c r="AD1043" s="37">
        <f>IF(最佳化斷筋點!E1043="","",最佳化斷筋點!E1043)</f>
        <v>9</v>
      </c>
      <c r="AE1043" s="37">
        <f>IF(最佳化斷筋點!F1043="","",最佳化斷筋點!F1043)</f>
        <v>9</v>
      </c>
      <c r="AF1043" s="37">
        <f>IF(最佳化斷筋點!G1043="","",最佳化斷筋點!G1043)</f>
        <v>9</v>
      </c>
      <c r="AG1043" s="37">
        <f>IF(最佳化斷筋點!H1043="","",最佳化斷筋點!H1043)</f>
        <v>9</v>
      </c>
      <c r="AH1043" s="37">
        <f>IF(最佳化斷筋點!I1043="","",最佳化斷筋點!I1043)</f>
        <v>9</v>
      </c>
      <c r="AI1043" s="37">
        <f>IF(最佳化斷筋點!J1043="","",最佳化斷筋點!J1043)</f>
        <v>9</v>
      </c>
      <c r="AJ1043" s="37">
        <f>IF(最佳化斷筋點!K1043="","",最佳化斷筋點!K1043)</f>
        <v>3</v>
      </c>
      <c r="AK1043" s="37">
        <f>IF(最佳化斷筋點!L1043="","",最佳化斷筋點!L1043)</f>
        <v>3</v>
      </c>
      <c r="AL1043" s="37">
        <f>IF(最佳化斷筋點!M1043="","",最佳化斷筋點!M1043)</f>
        <v>3</v>
      </c>
      <c r="AM1043" s="37">
        <f>IF(最佳化斷筋點!N1043="","",最佳化斷筋點!N1043)</f>
        <v>3</v>
      </c>
      <c r="AN1043" s="37">
        <f>IF(最佳化斷筋點!O1043="","",最佳化斷筋點!O1043)</f>
        <v>3</v>
      </c>
      <c r="AO1043" s="37">
        <f>IF(最佳化斷筋點!P1043="","",最佳化斷筋點!P1043)</f>
        <v>3</v>
      </c>
      <c r="AP1043" s="37">
        <f>IF(最佳化斷筋點!Q1043="","",最佳化斷筋點!Q1043)</f>
        <v>6</v>
      </c>
      <c r="AQ1043" s="37">
        <f>IF(最佳化斷筋點!R1043="","",最佳化斷筋點!R1043)</f>
        <v>6</v>
      </c>
      <c r="AR1043" s="37">
        <f>IF(最佳化斷筋點!S1043="","",最佳化斷筋點!S1043)</f>
        <v>7</v>
      </c>
      <c r="AS1043" s="37">
        <f>IF(最佳化斷筋點!T1043="","",最佳化斷筋點!T1043)</f>
        <v>7</v>
      </c>
      <c r="AT1043" s="37">
        <f>IF(最佳化斷筋點!U1043="","",最佳化斷筋點!U1043)</f>
        <v>7</v>
      </c>
      <c r="AU1043" s="37">
        <f>IF(最佳化斷筋點!V1043="","",最佳化斷筋點!V1043)</f>
        <v>7</v>
      </c>
      <c r="AV1043" s="37">
        <f>IF(最佳化斷筋點!W1043="","",最佳化斷筋點!W1043)</f>
        <v>7</v>
      </c>
      <c r="AW1043" s="37">
        <f>IF(最佳化斷筋點!X1043="","",最佳化斷筋點!X1043)</f>
        <v>7</v>
      </c>
      <c r="AZ1043" s="37">
        <v>9</v>
      </c>
      <c r="BA1043" s="37">
        <v>9</v>
      </c>
      <c r="BB1043" s="37">
        <v>9</v>
      </c>
      <c r="BC1043" s="37">
        <v>9</v>
      </c>
      <c r="BD1043" s="37">
        <v>9</v>
      </c>
      <c r="BE1043" s="37">
        <v>9</v>
      </c>
      <c r="BF1043" s="37">
        <v>9</v>
      </c>
      <c r="BG1043" s="37">
        <v>3</v>
      </c>
      <c r="BH1043" s="37">
        <v>3</v>
      </c>
      <c r="BI1043" s="37">
        <v>3</v>
      </c>
      <c r="BJ1043" s="37">
        <v>3</v>
      </c>
      <c r="BK1043" s="37">
        <v>3</v>
      </c>
      <c r="BL1043" s="37">
        <v>3</v>
      </c>
      <c r="BM1043" s="37">
        <v>6</v>
      </c>
      <c r="BN1043" s="37">
        <v>6</v>
      </c>
      <c r="BO1043" s="37">
        <v>7</v>
      </c>
      <c r="BP1043" s="37">
        <v>7</v>
      </c>
      <c r="BQ1043" s="37">
        <v>7</v>
      </c>
      <c r="BR1043" s="37">
        <v>7</v>
      </c>
      <c r="BS1043" s="37">
        <v>7</v>
      </c>
      <c r="BT1043" s="37">
        <v>7</v>
      </c>
    </row>
    <row r="1044" spans="5:72" x14ac:dyDescent="0.25">
      <c r="E1044" s="36"/>
      <c r="F1044" s="36">
        <f t="shared" si="337"/>
        <v>0</v>
      </c>
      <c r="G1044" s="36">
        <f t="shared" si="338"/>
        <v>0</v>
      </c>
      <c r="H1044" s="36">
        <f t="shared" si="339"/>
        <v>0</v>
      </c>
      <c r="I1044" s="36">
        <f t="shared" si="340"/>
        <v>0</v>
      </c>
      <c r="J1044" s="36">
        <f t="shared" si="341"/>
        <v>0</v>
      </c>
      <c r="K1044" s="36">
        <f t="shared" si="342"/>
        <v>0</v>
      </c>
      <c r="L1044" s="36">
        <f t="shared" si="343"/>
        <v>0</v>
      </c>
      <c r="M1044" s="36">
        <f t="shared" si="344"/>
        <v>0</v>
      </c>
      <c r="N1044" s="36">
        <f t="shared" si="345"/>
        <v>0</v>
      </c>
      <c r="O1044" s="36">
        <f t="shared" si="346"/>
        <v>0</v>
      </c>
      <c r="P1044" s="36">
        <f t="shared" si="347"/>
        <v>0</v>
      </c>
      <c r="Q1044" s="36">
        <f t="shared" si="348"/>
        <v>0</v>
      </c>
      <c r="R1044" s="36">
        <f t="shared" si="349"/>
        <v>0</v>
      </c>
      <c r="S1044" s="36">
        <f t="shared" si="350"/>
        <v>0</v>
      </c>
      <c r="T1044" s="36">
        <f t="shared" si="351"/>
        <v>0</v>
      </c>
      <c r="U1044" s="36">
        <f t="shared" si="352"/>
        <v>0</v>
      </c>
      <c r="V1044" s="36">
        <f t="shared" si="353"/>
        <v>0</v>
      </c>
      <c r="W1044" s="36">
        <f t="shared" si="354"/>
        <v>0</v>
      </c>
      <c r="X1044" s="36">
        <f t="shared" si="355"/>
        <v>0</v>
      </c>
      <c r="Y1044" s="36">
        <f t="shared" si="356"/>
        <v>0</v>
      </c>
      <c r="Z1044" s="36">
        <f t="shared" si="357"/>
        <v>0</v>
      </c>
      <c r="AB1044" s="36" t="str">
        <f>IF(最佳化斷筋點!C1044="","",最佳化斷筋點!C1044)</f>
        <v/>
      </c>
      <c r="AC1044" s="37" t="str">
        <f>IF(最佳化斷筋點!D1044="","",最佳化斷筋點!D1044)</f>
        <v/>
      </c>
      <c r="AD1044" s="37" t="str">
        <f>IF(最佳化斷筋點!E1044="","",最佳化斷筋點!E1044)</f>
        <v/>
      </c>
      <c r="AE1044" s="37" t="str">
        <f>IF(最佳化斷筋點!F1044="","",最佳化斷筋點!F1044)</f>
        <v/>
      </c>
      <c r="AF1044" s="37" t="str">
        <f>IF(最佳化斷筋點!G1044="","",最佳化斷筋點!G1044)</f>
        <v/>
      </c>
      <c r="AG1044" s="37" t="str">
        <f>IF(最佳化斷筋點!H1044="","",最佳化斷筋點!H1044)</f>
        <v/>
      </c>
      <c r="AH1044" s="37" t="str">
        <f>IF(最佳化斷筋點!I1044="","",最佳化斷筋點!I1044)</f>
        <v/>
      </c>
      <c r="AI1044" s="37" t="str">
        <f>IF(最佳化斷筋點!J1044="","",最佳化斷筋點!J1044)</f>
        <v/>
      </c>
      <c r="AJ1044" s="37" t="str">
        <f>IF(最佳化斷筋點!K1044="","",最佳化斷筋點!K1044)</f>
        <v/>
      </c>
      <c r="AK1044" s="37" t="str">
        <f>IF(最佳化斷筋點!L1044="","",最佳化斷筋點!L1044)</f>
        <v/>
      </c>
      <c r="AL1044" s="37" t="str">
        <f>IF(最佳化斷筋點!M1044="","",最佳化斷筋點!M1044)</f>
        <v/>
      </c>
      <c r="AM1044" s="37" t="str">
        <f>IF(最佳化斷筋點!N1044="","",最佳化斷筋點!N1044)</f>
        <v/>
      </c>
      <c r="AN1044" s="37" t="str">
        <f>IF(最佳化斷筋點!O1044="","",最佳化斷筋點!O1044)</f>
        <v/>
      </c>
      <c r="AO1044" s="37" t="str">
        <f>IF(最佳化斷筋點!P1044="","",最佳化斷筋點!P1044)</f>
        <v/>
      </c>
      <c r="AP1044" s="37" t="str">
        <f>IF(最佳化斷筋點!Q1044="","",最佳化斷筋點!Q1044)</f>
        <v/>
      </c>
      <c r="AQ1044" s="37" t="str">
        <f>IF(最佳化斷筋點!R1044="","",最佳化斷筋點!R1044)</f>
        <v/>
      </c>
      <c r="AR1044" s="37" t="str">
        <f>IF(最佳化斷筋點!S1044="","",最佳化斷筋點!S1044)</f>
        <v/>
      </c>
      <c r="AS1044" s="37" t="str">
        <f>IF(最佳化斷筋點!T1044="","",最佳化斷筋點!T1044)</f>
        <v/>
      </c>
      <c r="AT1044" s="37" t="str">
        <f>IF(最佳化斷筋點!U1044="","",最佳化斷筋點!U1044)</f>
        <v/>
      </c>
      <c r="AU1044" s="37" t="str">
        <f>IF(最佳化斷筋點!V1044="","",最佳化斷筋點!V1044)</f>
        <v/>
      </c>
      <c r="AV1044" s="37" t="str">
        <f>IF(最佳化斷筋點!W1044="","",最佳化斷筋點!W1044)</f>
        <v/>
      </c>
      <c r="AW1044" s="37" t="str">
        <f>IF(最佳化斷筋點!X1044="","",最佳化斷筋點!X1044)</f>
        <v/>
      </c>
      <c r="AZ1044" s="37" t="s">
        <v>197</v>
      </c>
      <c r="BA1044" s="37" t="s">
        <v>197</v>
      </c>
      <c r="BB1044" s="37" t="s">
        <v>197</v>
      </c>
      <c r="BC1044" s="37" t="s">
        <v>197</v>
      </c>
      <c r="BD1044" s="37" t="s">
        <v>197</v>
      </c>
      <c r="BE1044" s="37" t="s">
        <v>197</v>
      </c>
      <c r="BF1044" s="37" t="s">
        <v>197</v>
      </c>
      <c r="BG1044" s="37" t="s">
        <v>197</v>
      </c>
      <c r="BH1044" s="37" t="s">
        <v>197</v>
      </c>
      <c r="BI1044" s="37" t="s">
        <v>197</v>
      </c>
      <c r="BJ1044" s="37" t="s">
        <v>197</v>
      </c>
      <c r="BK1044" s="37" t="s">
        <v>197</v>
      </c>
      <c r="BL1044" s="37" t="s">
        <v>197</v>
      </c>
      <c r="BM1044" s="37" t="s">
        <v>197</v>
      </c>
      <c r="BN1044" s="37" t="s">
        <v>197</v>
      </c>
      <c r="BO1044" s="37" t="s">
        <v>197</v>
      </c>
      <c r="BP1044" s="37" t="s">
        <v>197</v>
      </c>
      <c r="BQ1044" s="37" t="s">
        <v>197</v>
      </c>
      <c r="BR1044" s="37" t="s">
        <v>197</v>
      </c>
      <c r="BS1044" s="37" t="s">
        <v>197</v>
      </c>
      <c r="BT1044" s="37" t="s">
        <v>197</v>
      </c>
    </row>
    <row r="1045" spans="5:72" x14ac:dyDescent="0.25">
      <c r="E1045" s="36" t="s">
        <v>21</v>
      </c>
      <c r="F1045" s="36">
        <f t="shared" si="337"/>
        <v>0</v>
      </c>
      <c r="G1045" s="36">
        <f t="shared" si="338"/>
        <v>0</v>
      </c>
      <c r="H1045" s="36">
        <f t="shared" si="339"/>
        <v>0</v>
      </c>
      <c r="I1045" s="36">
        <f t="shared" si="340"/>
        <v>0</v>
      </c>
      <c r="J1045" s="36">
        <f t="shared" si="341"/>
        <v>0</v>
      </c>
      <c r="K1045" s="36">
        <f t="shared" si="342"/>
        <v>0</v>
      </c>
      <c r="L1045" s="36">
        <f t="shared" si="343"/>
        <v>0</v>
      </c>
      <c r="M1045" s="36">
        <f t="shared" si="344"/>
        <v>0</v>
      </c>
      <c r="N1045" s="36">
        <f t="shared" si="345"/>
        <v>0</v>
      </c>
      <c r="O1045" s="36">
        <f t="shared" si="346"/>
        <v>0</v>
      </c>
      <c r="P1045" s="36">
        <f t="shared" si="347"/>
        <v>0</v>
      </c>
      <c r="Q1045" s="36">
        <f t="shared" si="348"/>
        <v>0</v>
      </c>
      <c r="R1045" s="36">
        <f t="shared" si="349"/>
        <v>0</v>
      </c>
      <c r="S1045" s="36">
        <f t="shared" si="350"/>
        <v>0</v>
      </c>
      <c r="T1045" s="36">
        <f t="shared" si="351"/>
        <v>0</v>
      </c>
      <c r="U1045" s="36">
        <f t="shared" si="352"/>
        <v>0</v>
      </c>
      <c r="V1045" s="36">
        <f t="shared" si="353"/>
        <v>0</v>
      </c>
      <c r="W1045" s="36">
        <f t="shared" si="354"/>
        <v>0</v>
      </c>
      <c r="X1045" s="36">
        <f t="shared" si="355"/>
        <v>0</v>
      </c>
      <c r="Y1045" s="36">
        <f t="shared" si="356"/>
        <v>0</v>
      </c>
      <c r="Z1045" s="36">
        <f t="shared" si="357"/>
        <v>0</v>
      </c>
      <c r="AB1045" s="36" t="str">
        <f>IF(最佳化斷筋點!C1045="","",最佳化斷筋點!C1045)</f>
        <v>下層</v>
      </c>
      <c r="AC1045" s="37">
        <f>IF(最佳化斷筋點!D1045="","",最佳化斷筋點!D1045)</f>
        <v>9</v>
      </c>
      <c r="AD1045" s="37">
        <f>IF(最佳化斷筋點!E1045="","",最佳化斷筋點!E1045)</f>
        <v>9</v>
      </c>
      <c r="AE1045" s="37">
        <f>IF(最佳化斷筋點!F1045="","",最佳化斷筋點!F1045)</f>
        <v>9</v>
      </c>
      <c r="AF1045" s="37">
        <f>IF(最佳化斷筋點!G1045="","",最佳化斷筋點!G1045)</f>
        <v>9</v>
      </c>
      <c r="AG1045" s="37">
        <f>IF(最佳化斷筋點!H1045="","",最佳化斷筋點!H1045)</f>
        <v>9</v>
      </c>
      <c r="AH1045" s="37">
        <f>IF(最佳化斷筋點!I1045="","",最佳化斷筋點!I1045)</f>
        <v>8</v>
      </c>
      <c r="AI1045" s="37">
        <f>IF(最佳化斷筋點!J1045="","",最佳化斷筋點!J1045)</f>
        <v>7</v>
      </c>
      <c r="AJ1045" s="37">
        <f>IF(最佳化斷筋點!K1045="","",最佳化斷筋點!K1045)</f>
        <v>4</v>
      </c>
      <c r="AK1045" s="37">
        <f>IF(最佳化斷筋點!L1045="","",最佳化斷筋點!L1045)</f>
        <v>4</v>
      </c>
      <c r="AL1045" s="37">
        <f>IF(最佳化斷筋點!M1045="","",最佳化斷筋點!M1045)</f>
        <v>4</v>
      </c>
      <c r="AM1045" s="37">
        <f>IF(最佳化斷筋點!N1045="","",最佳化斷筋點!N1045)</f>
        <v>4</v>
      </c>
      <c r="AN1045" s="37">
        <f>IF(最佳化斷筋點!O1045="","",最佳化斷筋點!O1045)</f>
        <v>4</v>
      </c>
      <c r="AO1045" s="37">
        <f>IF(最佳化斷筋點!P1045="","",最佳化斷筋點!P1045)</f>
        <v>4</v>
      </c>
      <c r="AP1045" s="37">
        <f>IF(最佳化斷筋點!Q1045="","",最佳化斷筋點!Q1045)</f>
        <v>6</v>
      </c>
      <c r="AQ1045" s="37">
        <f>IF(最佳化斷筋點!R1045="","",最佳化斷筋點!R1045)</f>
        <v>7</v>
      </c>
      <c r="AR1045" s="37">
        <f>IF(最佳化斷筋點!S1045="","",最佳化斷筋點!S1045)</f>
        <v>8</v>
      </c>
      <c r="AS1045" s="37">
        <f>IF(最佳化斷筋點!T1045="","",最佳化斷筋點!T1045)</f>
        <v>9</v>
      </c>
      <c r="AT1045" s="37">
        <f>IF(最佳化斷筋點!U1045="","",最佳化斷筋點!U1045)</f>
        <v>10</v>
      </c>
      <c r="AU1045" s="37">
        <f>IF(最佳化斷筋點!V1045="","",最佳化斷筋點!V1045)</f>
        <v>10</v>
      </c>
      <c r="AV1045" s="37">
        <f>IF(最佳化斷筋點!W1045="","",最佳化斷筋點!W1045)</f>
        <v>10</v>
      </c>
      <c r="AW1045" s="37">
        <f>IF(最佳化斷筋點!X1045="","",最佳化斷筋點!X1045)</f>
        <v>10</v>
      </c>
      <c r="AZ1045" s="37">
        <v>9</v>
      </c>
      <c r="BA1045" s="37">
        <v>9</v>
      </c>
      <c r="BB1045" s="37">
        <v>9</v>
      </c>
      <c r="BC1045" s="37">
        <v>9</v>
      </c>
      <c r="BD1045" s="37">
        <v>9</v>
      </c>
      <c r="BE1045" s="37">
        <v>8</v>
      </c>
      <c r="BF1045" s="37">
        <v>7</v>
      </c>
      <c r="BG1045" s="37">
        <v>4</v>
      </c>
      <c r="BH1045" s="37">
        <v>4</v>
      </c>
      <c r="BI1045" s="37">
        <v>4</v>
      </c>
      <c r="BJ1045" s="37">
        <v>4</v>
      </c>
      <c r="BK1045" s="37">
        <v>4</v>
      </c>
      <c r="BL1045" s="37">
        <v>4</v>
      </c>
      <c r="BM1045" s="37">
        <v>6</v>
      </c>
      <c r="BN1045" s="37">
        <v>7</v>
      </c>
      <c r="BO1045" s="37">
        <v>8</v>
      </c>
      <c r="BP1045" s="37">
        <v>9</v>
      </c>
      <c r="BQ1045" s="37">
        <v>10</v>
      </c>
      <c r="BR1045" s="37">
        <v>10</v>
      </c>
      <c r="BS1045" s="37">
        <v>10</v>
      </c>
      <c r="BT1045" s="37">
        <v>10</v>
      </c>
    </row>
    <row r="1046" spans="5:72" x14ac:dyDescent="0.25">
      <c r="E1046" s="36"/>
      <c r="F1046" s="36">
        <f t="shared" si="337"/>
        <v>0</v>
      </c>
      <c r="G1046" s="36">
        <f t="shared" si="338"/>
        <v>0</v>
      </c>
      <c r="H1046" s="36">
        <f t="shared" si="339"/>
        <v>0</v>
      </c>
      <c r="I1046" s="36">
        <f t="shared" si="340"/>
        <v>0</v>
      </c>
      <c r="J1046" s="36">
        <f t="shared" si="341"/>
        <v>0</v>
      </c>
      <c r="K1046" s="36">
        <f t="shared" si="342"/>
        <v>0</v>
      </c>
      <c r="L1046" s="36">
        <f t="shared" si="343"/>
        <v>0</v>
      </c>
      <c r="M1046" s="36">
        <f t="shared" si="344"/>
        <v>0</v>
      </c>
      <c r="N1046" s="36">
        <f t="shared" si="345"/>
        <v>0</v>
      </c>
      <c r="O1046" s="36">
        <f t="shared" si="346"/>
        <v>0</v>
      </c>
      <c r="P1046" s="36">
        <f t="shared" si="347"/>
        <v>0</v>
      </c>
      <c r="Q1046" s="36">
        <f t="shared" si="348"/>
        <v>0</v>
      </c>
      <c r="R1046" s="36">
        <f t="shared" si="349"/>
        <v>0</v>
      </c>
      <c r="S1046" s="36">
        <f t="shared" si="350"/>
        <v>0</v>
      </c>
      <c r="T1046" s="36">
        <f t="shared" si="351"/>
        <v>0</v>
      </c>
      <c r="U1046" s="36">
        <f t="shared" si="352"/>
        <v>0</v>
      </c>
      <c r="V1046" s="36">
        <f t="shared" si="353"/>
        <v>0</v>
      </c>
      <c r="W1046" s="36">
        <f t="shared" si="354"/>
        <v>0</v>
      </c>
      <c r="X1046" s="36">
        <f t="shared" si="355"/>
        <v>0</v>
      </c>
      <c r="Y1046" s="36">
        <f t="shared" si="356"/>
        <v>0</v>
      </c>
      <c r="Z1046" s="36">
        <f t="shared" si="357"/>
        <v>0</v>
      </c>
      <c r="AB1046" s="36" t="str">
        <f>IF(最佳化斷筋點!C1046="","",最佳化斷筋點!C1046)</f>
        <v/>
      </c>
      <c r="AC1046" s="37" t="str">
        <f>IF(最佳化斷筋點!D1046="","",最佳化斷筋點!D1046)</f>
        <v/>
      </c>
      <c r="AD1046" s="37" t="str">
        <f>IF(最佳化斷筋點!E1046="","",最佳化斷筋點!E1046)</f>
        <v/>
      </c>
      <c r="AE1046" s="37" t="str">
        <f>IF(最佳化斷筋點!F1046="","",最佳化斷筋點!F1046)</f>
        <v/>
      </c>
      <c r="AF1046" s="37" t="str">
        <f>IF(最佳化斷筋點!G1046="","",最佳化斷筋點!G1046)</f>
        <v/>
      </c>
      <c r="AG1046" s="37" t="str">
        <f>IF(最佳化斷筋點!H1046="","",最佳化斷筋點!H1046)</f>
        <v/>
      </c>
      <c r="AH1046" s="37" t="str">
        <f>IF(最佳化斷筋點!I1046="","",最佳化斷筋點!I1046)</f>
        <v/>
      </c>
      <c r="AI1046" s="37" t="str">
        <f>IF(最佳化斷筋點!J1046="","",最佳化斷筋點!J1046)</f>
        <v/>
      </c>
      <c r="AJ1046" s="37" t="str">
        <f>IF(最佳化斷筋點!K1046="","",最佳化斷筋點!K1046)</f>
        <v/>
      </c>
      <c r="AK1046" s="37" t="str">
        <f>IF(最佳化斷筋點!L1046="","",最佳化斷筋點!L1046)</f>
        <v/>
      </c>
      <c r="AL1046" s="37" t="str">
        <f>IF(最佳化斷筋點!M1046="","",最佳化斷筋點!M1046)</f>
        <v/>
      </c>
      <c r="AM1046" s="37" t="str">
        <f>IF(最佳化斷筋點!N1046="","",最佳化斷筋點!N1046)</f>
        <v/>
      </c>
      <c r="AN1046" s="37" t="str">
        <f>IF(最佳化斷筋點!O1046="","",最佳化斷筋點!O1046)</f>
        <v/>
      </c>
      <c r="AO1046" s="37" t="str">
        <f>IF(最佳化斷筋點!P1046="","",最佳化斷筋點!P1046)</f>
        <v/>
      </c>
      <c r="AP1046" s="37" t="str">
        <f>IF(最佳化斷筋點!Q1046="","",最佳化斷筋點!Q1046)</f>
        <v/>
      </c>
      <c r="AQ1046" s="37" t="str">
        <f>IF(最佳化斷筋點!R1046="","",最佳化斷筋點!R1046)</f>
        <v/>
      </c>
      <c r="AR1046" s="37" t="str">
        <f>IF(最佳化斷筋點!S1046="","",最佳化斷筋點!S1046)</f>
        <v/>
      </c>
      <c r="AS1046" s="37" t="str">
        <f>IF(最佳化斷筋點!T1046="","",最佳化斷筋點!T1046)</f>
        <v/>
      </c>
      <c r="AT1046" s="37" t="str">
        <f>IF(最佳化斷筋點!U1046="","",最佳化斷筋點!U1046)</f>
        <v/>
      </c>
      <c r="AU1046" s="37" t="str">
        <f>IF(最佳化斷筋點!V1046="","",最佳化斷筋點!V1046)</f>
        <v/>
      </c>
      <c r="AV1046" s="37" t="str">
        <f>IF(最佳化斷筋點!W1046="","",最佳化斷筋點!W1046)</f>
        <v/>
      </c>
      <c r="AW1046" s="37" t="str">
        <f>IF(最佳化斷筋點!X1046="","",最佳化斷筋點!X1046)</f>
        <v/>
      </c>
      <c r="AZ1046" s="37" t="s">
        <v>197</v>
      </c>
      <c r="BA1046" s="37" t="s">
        <v>197</v>
      </c>
      <c r="BB1046" s="37" t="s">
        <v>197</v>
      </c>
      <c r="BC1046" s="37" t="s">
        <v>197</v>
      </c>
      <c r="BD1046" s="37" t="s">
        <v>197</v>
      </c>
      <c r="BE1046" s="37" t="s">
        <v>197</v>
      </c>
      <c r="BF1046" s="37" t="s">
        <v>197</v>
      </c>
      <c r="BG1046" s="37" t="s">
        <v>197</v>
      </c>
      <c r="BH1046" s="37" t="s">
        <v>197</v>
      </c>
      <c r="BI1046" s="37" t="s">
        <v>197</v>
      </c>
      <c r="BJ1046" s="37" t="s">
        <v>197</v>
      </c>
      <c r="BK1046" s="37" t="s">
        <v>197</v>
      </c>
      <c r="BL1046" s="37" t="s">
        <v>197</v>
      </c>
      <c r="BM1046" s="37" t="s">
        <v>197</v>
      </c>
      <c r="BN1046" s="37" t="s">
        <v>197</v>
      </c>
      <c r="BO1046" s="37" t="s">
        <v>197</v>
      </c>
      <c r="BP1046" s="37" t="s">
        <v>197</v>
      </c>
      <c r="BQ1046" s="37" t="s">
        <v>197</v>
      </c>
      <c r="BR1046" s="37" t="s">
        <v>197</v>
      </c>
      <c r="BS1046" s="37" t="s">
        <v>197</v>
      </c>
      <c r="BT1046" s="37" t="s">
        <v>197</v>
      </c>
    </row>
    <row r="1047" spans="5:72" x14ac:dyDescent="0.25">
      <c r="E1047" s="36" t="s">
        <v>20</v>
      </c>
      <c r="F1047" s="36">
        <f t="shared" si="337"/>
        <v>0</v>
      </c>
      <c r="G1047" s="36">
        <f t="shared" si="338"/>
        <v>0</v>
      </c>
      <c r="H1047" s="36">
        <f t="shared" si="339"/>
        <v>0</v>
      </c>
      <c r="I1047" s="36">
        <f t="shared" si="340"/>
        <v>0</v>
      </c>
      <c r="J1047" s="36">
        <f t="shared" si="341"/>
        <v>0</v>
      </c>
      <c r="K1047" s="36">
        <f t="shared" si="342"/>
        <v>0</v>
      </c>
      <c r="L1047" s="36">
        <f t="shared" si="343"/>
        <v>0</v>
      </c>
      <c r="M1047" s="36">
        <f t="shared" si="344"/>
        <v>0</v>
      </c>
      <c r="N1047" s="36">
        <f t="shared" si="345"/>
        <v>0</v>
      </c>
      <c r="O1047" s="36">
        <f t="shared" si="346"/>
        <v>0</v>
      </c>
      <c r="P1047" s="36">
        <f t="shared" si="347"/>
        <v>0</v>
      </c>
      <c r="Q1047" s="36">
        <f t="shared" si="348"/>
        <v>0</v>
      </c>
      <c r="R1047" s="36">
        <f t="shared" si="349"/>
        <v>0</v>
      </c>
      <c r="S1047" s="36">
        <f t="shared" si="350"/>
        <v>0</v>
      </c>
      <c r="T1047" s="36">
        <f t="shared" si="351"/>
        <v>0</v>
      </c>
      <c r="U1047" s="36">
        <f t="shared" si="352"/>
        <v>0</v>
      </c>
      <c r="V1047" s="36">
        <f t="shared" si="353"/>
        <v>0</v>
      </c>
      <c r="W1047" s="36">
        <f t="shared" si="354"/>
        <v>0</v>
      </c>
      <c r="X1047" s="36">
        <f t="shared" si="355"/>
        <v>0</v>
      </c>
      <c r="Y1047" s="36">
        <f t="shared" si="356"/>
        <v>0</v>
      </c>
      <c r="Z1047" s="36">
        <f t="shared" si="357"/>
        <v>0</v>
      </c>
      <c r="AB1047" s="36" t="str">
        <f>IF(最佳化斷筋點!C1047="","",最佳化斷筋點!C1047)</f>
        <v>上層</v>
      </c>
      <c r="AC1047" s="37">
        <f>IF(最佳化斷筋點!D1047="","",最佳化斷筋點!D1047)</f>
        <v>8</v>
      </c>
      <c r="AD1047" s="37">
        <f>IF(最佳化斷筋點!E1047="","",最佳化斷筋點!E1047)</f>
        <v>8</v>
      </c>
      <c r="AE1047" s="37">
        <f>IF(最佳化斷筋點!F1047="","",最佳化斷筋點!F1047)</f>
        <v>8</v>
      </c>
      <c r="AF1047" s="37">
        <f>IF(最佳化斷筋點!G1047="","",最佳化斷筋點!G1047)</f>
        <v>8</v>
      </c>
      <c r="AG1047" s="37">
        <f>IF(最佳化斷筋點!H1047="","",最佳化斷筋點!H1047)</f>
        <v>8</v>
      </c>
      <c r="AH1047" s="37">
        <f>IF(最佳化斷筋點!I1047="","",最佳化斷筋點!I1047)</f>
        <v>7</v>
      </c>
      <c r="AI1047" s="37">
        <f>IF(最佳化斷筋點!J1047="","",最佳化斷筋點!J1047)</f>
        <v>6</v>
      </c>
      <c r="AJ1047" s="37">
        <f>IF(最佳化斷筋點!K1047="","",最佳化斷筋點!K1047)</f>
        <v>3</v>
      </c>
      <c r="AK1047" s="37">
        <f>IF(最佳化斷筋點!L1047="","",最佳化斷筋點!L1047)</f>
        <v>3</v>
      </c>
      <c r="AL1047" s="37">
        <f>IF(最佳化斷筋點!M1047="","",最佳化斷筋點!M1047)</f>
        <v>3</v>
      </c>
      <c r="AM1047" s="37">
        <f>IF(最佳化斷筋點!N1047="","",最佳化斷筋點!N1047)</f>
        <v>3</v>
      </c>
      <c r="AN1047" s="37">
        <f>IF(最佳化斷筋點!O1047="","",最佳化斷筋點!O1047)</f>
        <v>3</v>
      </c>
      <c r="AO1047" s="37">
        <f>IF(最佳化斷筋點!P1047="","",最佳化斷筋點!P1047)</f>
        <v>3</v>
      </c>
      <c r="AP1047" s="37">
        <f>IF(最佳化斷筋點!Q1047="","",最佳化斷筋點!Q1047)</f>
        <v>5</v>
      </c>
      <c r="AQ1047" s="37">
        <f>IF(最佳化斷筋點!R1047="","",最佳化斷筋點!R1047)</f>
        <v>6</v>
      </c>
      <c r="AR1047" s="37">
        <f>IF(最佳化斷筋點!S1047="","",最佳化斷筋點!S1047)</f>
        <v>6</v>
      </c>
      <c r="AS1047" s="37">
        <f>IF(最佳化斷筋點!T1047="","",最佳化斷筋點!T1047)</f>
        <v>7</v>
      </c>
      <c r="AT1047" s="37">
        <f>IF(最佳化斷筋點!U1047="","",最佳化斷筋點!U1047)</f>
        <v>8</v>
      </c>
      <c r="AU1047" s="37">
        <f>IF(最佳化斷筋點!V1047="","",最佳化斷筋點!V1047)</f>
        <v>8</v>
      </c>
      <c r="AV1047" s="37">
        <f>IF(最佳化斷筋點!W1047="","",最佳化斷筋點!W1047)</f>
        <v>8</v>
      </c>
      <c r="AW1047" s="37">
        <f>IF(最佳化斷筋點!X1047="","",最佳化斷筋點!X1047)</f>
        <v>8</v>
      </c>
      <c r="AZ1047" s="37">
        <v>8</v>
      </c>
      <c r="BA1047" s="37">
        <v>8</v>
      </c>
      <c r="BB1047" s="37">
        <v>8</v>
      </c>
      <c r="BC1047" s="37">
        <v>8</v>
      </c>
      <c r="BD1047" s="37">
        <v>8</v>
      </c>
      <c r="BE1047" s="37">
        <v>7</v>
      </c>
      <c r="BF1047" s="37">
        <v>6</v>
      </c>
      <c r="BG1047" s="37">
        <v>3</v>
      </c>
      <c r="BH1047" s="37">
        <v>3</v>
      </c>
      <c r="BI1047" s="37">
        <v>3</v>
      </c>
      <c r="BJ1047" s="37">
        <v>3</v>
      </c>
      <c r="BK1047" s="37">
        <v>3</v>
      </c>
      <c r="BL1047" s="37">
        <v>3</v>
      </c>
      <c r="BM1047" s="37">
        <v>5</v>
      </c>
      <c r="BN1047" s="37">
        <v>6</v>
      </c>
      <c r="BO1047" s="37">
        <v>6</v>
      </c>
      <c r="BP1047" s="37">
        <v>7</v>
      </c>
      <c r="BQ1047" s="37">
        <v>8</v>
      </c>
      <c r="BR1047" s="37">
        <v>8</v>
      </c>
      <c r="BS1047" s="37">
        <v>8</v>
      </c>
      <c r="BT1047" s="37">
        <v>8</v>
      </c>
    </row>
    <row r="1048" spans="5:72" x14ac:dyDescent="0.25">
      <c r="E1048" s="36"/>
      <c r="F1048" s="36">
        <f t="shared" si="337"/>
        <v>0</v>
      </c>
      <c r="G1048" s="36">
        <f t="shared" si="338"/>
        <v>0</v>
      </c>
      <c r="H1048" s="36">
        <f t="shared" si="339"/>
        <v>0</v>
      </c>
      <c r="I1048" s="36">
        <f t="shared" si="340"/>
        <v>0</v>
      </c>
      <c r="J1048" s="36">
        <f t="shared" si="341"/>
        <v>0</v>
      </c>
      <c r="K1048" s="36">
        <f t="shared" si="342"/>
        <v>0</v>
      </c>
      <c r="L1048" s="36">
        <f t="shared" si="343"/>
        <v>0</v>
      </c>
      <c r="M1048" s="36">
        <f t="shared" si="344"/>
        <v>0</v>
      </c>
      <c r="N1048" s="36">
        <f t="shared" si="345"/>
        <v>0</v>
      </c>
      <c r="O1048" s="36">
        <f t="shared" si="346"/>
        <v>0</v>
      </c>
      <c r="P1048" s="36">
        <f t="shared" si="347"/>
        <v>0</v>
      </c>
      <c r="Q1048" s="36">
        <f t="shared" si="348"/>
        <v>0</v>
      </c>
      <c r="R1048" s="36">
        <f t="shared" si="349"/>
        <v>0</v>
      </c>
      <c r="S1048" s="36">
        <f t="shared" si="350"/>
        <v>0</v>
      </c>
      <c r="T1048" s="36">
        <f t="shared" si="351"/>
        <v>0</v>
      </c>
      <c r="U1048" s="36">
        <f t="shared" si="352"/>
        <v>0</v>
      </c>
      <c r="V1048" s="36">
        <f t="shared" si="353"/>
        <v>0</v>
      </c>
      <c r="W1048" s="36">
        <f t="shared" si="354"/>
        <v>0</v>
      </c>
      <c r="X1048" s="36">
        <f t="shared" si="355"/>
        <v>0</v>
      </c>
      <c r="Y1048" s="36">
        <f t="shared" si="356"/>
        <v>0</v>
      </c>
      <c r="Z1048" s="36">
        <f t="shared" si="357"/>
        <v>0</v>
      </c>
      <c r="AB1048" s="36" t="str">
        <f>IF(最佳化斷筋點!C1048="","",最佳化斷筋點!C1048)</f>
        <v/>
      </c>
      <c r="AC1048" s="37" t="str">
        <f>IF(最佳化斷筋點!D1048="","",最佳化斷筋點!D1048)</f>
        <v/>
      </c>
      <c r="AD1048" s="37" t="str">
        <f>IF(最佳化斷筋點!E1048="","",最佳化斷筋點!E1048)</f>
        <v/>
      </c>
      <c r="AE1048" s="37" t="str">
        <f>IF(最佳化斷筋點!F1048="","",最佳化斷筋點!F1048)</f>
        <v/>
      </c>
      <c r="AF1048" s="37" t="str">
        <f>IF(最佳化斷筋點!G1048="","",最佳化斷筋點!G1048)</f>
        <v/>
      </c>
      <c r="AG1048" s="37" t="str">
        <f>IF(最佳化斷筋點!H1048="","",最佳化斷筋點!H1048)</f>
        <v/>
      </c>
      <c r="AH1048" s="37" t="str">
        <f>IF(最佳化斷筋點!I1048="","",最佳化斷筋點!I1048)</f>
        <v/>
      </c>
      <c r="AI1048" s="37" t="str">
        <f>IF(最佳化斷筋點!J1048="","",最佳化斷筋點!J1048)</f>
        <v/>
      </c>
      <c r="AJ1048" s="37" t="str">
        <f>IF(最佳化斷筋點!K1048="","",最佳化斷筋點!K1048)</f>
        <v/>
      </c>
      <c r="AK1048" s="37" t="str">
        <f>IF(最佳化斷筋點!L1048="","",最佳化斷筋點!L1048)</f>
        <v/>
      </c>
      <c r="AL1048" s="37" t="str">
        <f>IF(最佳化斷筋點!M1048="","",最佳化斷筋點!M1048)</f>
        <v/>
      </c>
      <c r="AM1048" s="37" t="str">
        <f>IF(最佳化斷筋點!N1048="","",最佳化斷筋點!N1048)</f>
        <v/>
      </c>
      <c r="AN1048" s="37" t="str">
        <f>IF(最佳化斷筋點!O1048="","",最佳化斷筋點!O1048)</f>
        <v/>
      </c>
      <c r="AO1048" s="37" t="str">
        <f>IF(最佳化斷筋點!P1048="","",最佳化斷筋點!P1048)</f>
        <v/>
      </c>
      <c r="AP1048" s="37" t="str">
        <f>IF(最佳化斷筋點!Q1048="","",最佳化斷筋點!Q1048)</f>
        <v/>
      </c>
      <c r="AQ1048" s="37" t="str">
        <f>IF(最佳化斷筋點!R1048="","",最佳化斷筋點!R1048)</f>
        <v/>
      </c>
      <c r="AR1048" s="37" t="str">
        <f>IF(最佳化斷筋點!S1048="","",最佳化斷筋點!S1048)</f>
        <v/>
      </c>
      <c r="AS1048" s="37" t="str">
        <f>IF(最佳化斷筋點!T1048="","",最佳化斷筋點!T1048)</f>
        <v/>
      </c>
      <c r="AT1048" s="37" t="str">
        <f>IF(最佳化斷筋點!U1048="","",最佳化斷筋點!U1048)</f>
        <v/>
      </c>
      <c r="AU1048" s="37" t="str">
        <f>IF(最佳化斷筋點!V1048="","",最佳化斷筋點!V1048)</f>
        <v/>
      </c>
      <c r="AV1048" s="37" t="str">
        <f>IF(最佳化斷筋點!W1048="","",最佳化斷筋點!W1048)</f>
        <v/>
      </c>
      <c r="AW1048" s="37" t="str">
        <f>IF(最佳化斷筋點!X1048="","",最佳化斷筋點!X1048)</f>
        <v/>
      </c>
      <c r="AZ1048" s="37" t="s">
        <v>197</v>
      </c>
      <c r="BA1048" s="37" t="s">
        <v>197</v>
      </c>
      <c r="BB1048" s="37" t="s">
        <v>197</v>
      </c>
      <c r="BC1048" s="37" t="s">
        <v>197</v>
      </c>
      <c r="BD1048" s="37" t="s">
        <v>197</v>
      </c>
      <c r="BE1048" s="37" t="s">
        <v>197</v>
      </c>
      <c r="BF1048" s="37" t="s">
        <v>197</v>
      </c>
      <c r="BG1048" s="37" t="s">
        <v>197</v>
      </c>
      <c r="BH1048" s="37" t="s">
        <v>197</v>
      </c>
      <c r="BI1048" s="37" t="s">
        <v>197</v>
      </c>
      <c r="BJ1048" s="37" t="s">
        <v>197</v>
      </c>
      <c r="BK1048" s="37" t="s">
        <v>197</v>
      </c>
      <c r="BL1048" s="37" t="s">
        <v>197</v>
      </c>
      <c r="BM1048" s="37" t="s">
        <v>197</v>
      </c>
      <c r="BN1048" s="37" t="s">
        <v>197</v>
      </c>
      <c r="BO1048" s="37" t="s">
        <v>197</v>
      </c>
      <c r="BP1048" s="37" t="s">
        <v>197</v>
      </c>
      <c r="BQ1048" s="37" t="s">
        <v>197</v>
      </c>
      <c r="BR1048" s="37" t="s">
        <v>197</v>
      </c>
      <c r="BS1048" s="37" t="s">
        <v>197</v>
      </c>
      <c r="BT1048" s="37" t="s">
        <v>197</v>
      </c>
    </row>
    <row r="1049" spans="5:72" x14ac:dyDescent="0.25">
      <c r="E1049" s="36" t="s">
        <v>21</v>
      </c>
      <c r="F1049" s="36">
        <f t="shared" si="337"/>
        <v>0</v>
      </c>
      <c r="G1049" s="36">
        <f t="shared" si="338"/>
        <v>0</v>
      </c>
      <c r="H1049" s="36">
        <f t="shared" si="339"/>
        <v>0</v>
      </c>
      <c r="I1049" s="36">
        <f t="shared" si="340"/>
        <v>0</v>
      </c>
      <c r="J1049" s="36">
        <f t="shared" si="341"/>
        <v>0</v>
      </c>
      <c r="K1049" s="36">
        <f t="shared" si="342"/>
        <v>0</v>
      </c>
      <c r="L1049" s="36">
        <f t="shared" si="343"/>
        <v>0</v>
      </c>
      <c r="M1049" s="36">
        <f t="shared" si="344"/>
        <v>0</v>
      </c>
      <c r="N1049" s="36">
        <f t="shared" si="345"/>
        <v>0</v>
      </c>
      <c r="O1049" s="36">
        <f t="shared" si="346"/>
        <v>0</v>
      </c>
      <c r="P1049" s="36">
        <f t="shared" si="347"/>
        <v>0</v>
      </c>
      <c r="Q1049" s="36">
        <f t="shared" si="348"/>
        <v>0</v>
      </c>
      <c r="R1049" s="36">
        <f t="shared" si="349"/>
        <v>0</v>
      </c>
      <c r="S1049" s="36">
        <f t="shared" si="350"/>
        <v>0</v>
      </c>
      <c r="T1049" s="36">
        <f t="shared" si="351"/>
        <v>0</v>
      </c>
      <c r="U1049" s="36">
        <f t="shared" si="352"/>
        <v>0</v>
      </c>
      <c r="V1049" s="36">
        <f t="shared" si="353"/>
        <v>0</v>
      </c>
      <c r="W1049" s="36">
        <f t="shared" si="354"/>
        <v>0</v>
      </c>
      <c r="X1049" s="36">
        <f t="shared" si="355"/>
        <v>0</v>
      </c>
      <c r="Y1049" s="36">
        <f t="shared" si="356"/>
        <v>0</v>
      </c>
      <c r="Z1049" s="36">
        <f t="shared" si="357"/>
        <v>0</v>
      </c>
      <c r="AB1049" s="36" t="str">
        <f>IF(最佳化斷筋點!C1049="","",最佳化斷筋點!C1049)</f>
        <v>下層</v>
      </c>
      <c r="AC1049" s="37">
        <f>IF(最佳化斷筋點!D1049="","",最佳化斷筋點!D1049)</f>
        <v>8</v>
      </c>
      <c r="AD1049" s="37">
        <f>IF(最佳化斷筋點!E1049="","",最佳化斷筋點!E1049)</f>
        <v>8</v>
      </c>
      <c r="AE1049" s="37">
        <f>IF(最佳化斷筋點!F1049="","",最佳化斷筋點!F1049)</f>
        <v>8</v>
      </c>
      <c r="AF1049" s="37">
        <f>IF(最佳化斷筋點!G1049="","",最佳化斷筋點!G1049)</f>
        <v>8</v>
      </c>
      <c r="AG1049" s="37">
        <f>IF(最佳化斷筋點!H1049="","",最佳化斷筋點!H1049)</f>
        <v>7</v>
      </c>
      <c r="AH1049" s="37">
        <f>IF(最佳化斷筋點!I1049="","",最佳化斷筋點!I1049)</f>
        <v>6</v>
      </c>
      <c r="AI1049" s="37">
        <f>IF(最佳化斷筋點!J1049="","",最佳化斷筋點!J1049)</f>
        <v>6</v>
      </c>
      <c r="AJ1049" s="37">
        <f>IF(最佳化斷筋點!K1049="","",最佳化斷筋點!K1049)</f>
        <v>4</v>
      </c>
      <c r="AK1049" s="37">
        <f>IF(最佳化斷筋點!L1049="","",最佳化斷筋點!L1049)</f>
        <v>4</v>
      </c>
      <c r="AL1049" s="37">
        <f>IF(最佳化斷筋點!M1049="","",最佳化斷筋點!M1049)</f>
        <v>4</v>
      </c>
      <c r="AM1049" s="37">
        <f>IF(最佳化斷筋點!N1049="","",最佳化斷筋點!N1049)</f>
        <v>4</v>
      </c>
      <c r="AN1049" s="37">
        <f>IF(最佳化斷筋點!O1049="","",最佳化斷筋點!O1049)</f>
        <v>4</v>
      </c>
      <c r="AO1049" s="37">
        <f>IF(最佳化斷筋點!P1049="","",最佳化斷筋點!P1049)</f>
        <v>4</v>
      </c>
      <c r="AP1049" s="37">
        <f>IF(最佳化斷筋點!Q1049="","",最佳化斷筋點!Q1049)</f>
        <v>4</v>
      </c>
      <c r="AQ1049" s="37">
        <f>IF(最佳化斷筋點!R1049="","",最佳化斷筋點!R1049)</f>
        <v>4</v>
      </c>
      <c r="AR1049" s="37">
        <f>IF(最佳化斷筋點!S1049="","",最佳化斷筋點!S1049)</f>
        <v>5</v>
      </c>
      <c r="AS1049" s="37">
        <f>IF(最佳化斷筋點!T1049="","",最佳化斷筋點!T1049)</f>
        <v>6</v>
      </c>
      <c r="AT1049" s="37">
        <f>IF(最佳化斷筋點!U1049="","",最佳化斷筋點!U1049)</f>
        <v>6</v>
      </c>
      <c r="AU1049" s="37">
        <f>IF(最佳化斷筋點!V1049="","",最佳化斷筋點!V1049)</f>
        <v>7</v>
      </c>
      <c r="AV1049" s="37">
        <f>IF(最佳化斷筋點!W1049="","",最佳化斷筋點!W1049)</f>
        <v>7</v>
      </c>
      <c r="AW1049" s="37">
        <f>IF(最佳化斷筋點!X1049="","",最佳化斷筋點!X1049)</f>
        <v>7</v>
      </c>
      <c r="AZ1049" s="37">
        <v>8</v>
      </c>
      <c r="BA1049" s="37">
        <v>8</v>
      </c>
      <c r="BB1049" s="37">
        <v>8</v>
      </c>
      <c r="BC1049" s="37">
        <v>8</v>
      </c>
      <c r="BD1049" s="37">
        <v>7</v>
      </c>
      <c r="BE1049" s="37">
        <v>6</v>
      </c>
      <c r="BF1049" s="37">
        <v>6</v>
      </c>
      <c r="BG1049" s="37">
        <v>4</v>
      </c>
      <c r="BH1049" s="37">
        <v>4</v>
      </c>
      <c r="BI1049" s="37">
        <v>4</v>
      </c>
      <c r="BJ1049" s="37">
        <v>4</v>
      </c>
      <c r="BK1049" s="37">
        <v>4</v>
      </c>
      <c r="BL1049" s="37">
        <v>4</v>
      </c>
      <c r="BM1049" s="37">
        <v>4</v>
      </c>
      <c r="BN1049" s="37">
        <v>4</v>
      </c>
      <c r="BO1049" s="37">
        <v>5</v>
      </c>
      <c r="BP1049" s="37">
        <v>6</v>
      </c>
      <c r="BQ1049" s="37">
        <v>6</v>
      </c>
      <c r="BR1049" s="37">
        <v>7</v>
      </c>
      <c r="BS1049" s="37">
        <v>7</v>
      </c>
      <c r="BT1049" s="37">
        <v>7</v>
      </c>
    </row>
    <row r="1050" spans="5:72" x14ac:dyDescent="0.25">
      <c r="E1050" s="36"/>
      <c r="F1050" s="36">
        <f t="shared" si="337"/>
        <v>0</v>
      </c>
      <c r="G1050" s="36">
        <f t="shared" si="338"/>
        <v>0</v>
      </c>
      <c r="H1050" s="36">
        <f t="shared" si="339"/>
        <v>0</v>
      </c>
      <c r="I1050" s="36">
        <f t="shared" si="340"/>
        <v>0</v>
      </c>
      <c r="J1050" s="36">
        <f t="shared" si="341"/>
        <v>0</v>
      </c>
      <c r="K1050" s="36">
        <f t="shared" si="342"/>
        <v>0</v>
      </c>
      <c r="L1050" s="36">
        <f t="shared" si="343"/>
        <v>0</v>
      </c>
      <c r="M1050" s="36">
        <f t="shared" si="344"/>
        <v>0</v>
      </c>
      <c r="N1050" s="36">
        <f t="shared" si="345"/>
        <v>0</v>
      </c>
      <c r="O1050" s="36">
        <f t="shared" si="346"/>
        <v>0</v>
      </c>
      <c r="P1050" s="36">
        <f t="shared" si="347"/>
        <v>0</v>
      </c>
      <c r="Q1050" s="36">
        <f t="shared" si="348"/>
        <v>0</v>
      </c>
      <c r="R1050" s="36">
        <f t="shared" si="349"/>
        <v>0</v>
      </c>
      <c r="S1050" s="36">
        <f t="shared" si="350"/>
        <v>0</v>
      </c>
      <c r="T1050" s="36">
        <f t="shared" si="351"/>
        <v>0</v>
      </c>
      <c r="U1050" s="36">
        <f t="shared" si="352"/>
        <v>0</v>
      </c>
      <c r="V1050" s="36">
        <f t="shared" si="353"/>
        <v>0</v>
      </c>
      <c r="W1050" s="36">
        <f t="shared" si="354"/>
        <v>0</v>
      </c>
      <c r="X1050" s="36">
        <f t="shared" si="355"/>
        <v>0</v>
      </c>
      <c r="Y1050" s="36">
        <f t="shared" si="356"/>
        <v>0</v>
      </c>
      <c r="Z1050" s="36">
        <f t="shared" si="357"/>
        <v>0</v>
      </c>
      <c r="AB1050" s="36" t="str">
        <f>IF(最佳化斷筋點!C1050="","",最佳化斷筋點!C1050)</f>
        <v/>
      </c>
      <c r="AC1050" s="37" t="str">
        <f>IF(最佳化斷筋點!D1050="","",最佳化斷筋點!D1050)</f>
        <v/>
      </c>
      <c r="AD1050" s="37" t="str">
        <f>IF(最佳化斷筋點!E1050="","",最佳化斷筋點!E1050)</f>
        <v/>
      </c>
      <c r="AE1050" s="37" t="str">
        <f>IF(最佳化斷筋點!F1050="","",最佳化斷筋點!F1050)</f>
        <v/>
      </c>
      <c r="AF1050" s="37" t="str">
        <f>IF(最佳化斷筋點!G1050="","",最佳化斷筋點!G1050)</f>
        <v/>
      </c>
      <c r="AG1050" s="37" t="str">
        <f>IF(最佳化斷筋點!H1050="","",最佳化斷筋點!H1050)</f>
        <v/>
      </c>
      <c r="AH1050" s="37" t="str">
        <f>IF(最佳化斷筋點!I1050="","",最佳化斷筋點!I1050)</f>
        <v/>
      </c>
      <c r="AI1050" s="37" t="str">
        <f>IF(最佳化斷筋點!J1050="","",最佳化斷筋點!J1050)</f>
        <v/>
      </c>
      <c r="AJ1050" s="37" t="str">
        <f>IF(最佳化斷筋點!K1050="","",最佳化斷筋點!K1050)</f>
        <v/>
      </c>
      <c r="AK1050" s="37" t="str">
        <f>IF(最佳化斷筋點!L1050="","",最佳化斷筋點!L1050)</f>
        <v/>
      </c>
      <c r="AL1050" s="37" t="str">
        <f>IF(最佳化斷筋點!M1050="","",最佳化斷筋點!M1050)</f>
        <v/>
      </c>
      <c r="AM1050" s="37" t="str">
        <f>IF(最佳化斷筋點!N1050="","",最佳化斷筋點!N1050)</f>
        <v/>
      </c>
      <c r="AN1050" s="37" t="str">
        <f>IF(最佳化斷筋點!O1050="","",最佳化斷筋點!O1050)</f>
        <v/>
      </c>
      <c r="AO1050" s="37" t="str">
        <f>IF(最佳化斷筋點!P1050="","",最佳化斷筋點!P1050)</f>
        <v/>
      </c>
      <c r="AP1050" s="37" t="str">
        <f>IF(最佳化斷筋點!Q1050="","",最佳化斷筋點!Q1050)</f>
        <v/>
      </c>
      <c r="AQ1050" s="37" t="str">
        <f>IF(最佳化斷筋點!R1050="","",最佳化斷筋點!R1050)</f>
        <v/>
      </c>
      <c r="AR1050" s="37" t="str">
        <f>IF(最佳化斷筋點!S1050="","",最佳化斷筋點!S1050)</f>
        <v/>
      </c>
      <c r="AS1050" s="37" t="str">
        <f>IF(最佳化斷筋點!T1050="","",最佳化斷筋點!T1050)</f>
        <v/>
      </c>
      <c r="AT1050" s="37" t="str">
        <f>IF(最佳化斷筋點!U1050="","",最佳化斷筋點!U1050)</f>
        <v/>
      </c>
      <c r="AU1050" s="37" t="str">
        <f>IF(最佳化斷筋點!V1050="","",最佳化斷筋點!V1050)</f>
        <v/>
      </c>
      <c r="AV1050" s="37" t="str">
        <f>IF(最佳化斷筋點!W1050="","",最佳化斷筋點!W1050)</f>
        <v/>
      </c>
      <c r="AW1050" s="37" t="str">
        <f>IF(最佳化斷筋點!X1050="","",最佳化斷筋點!X1050)</f>
        <v/>
      </c>
      <c r="AZ1050" s="37" t="s">
        <v>197</v>
      </c>
      <c r="BA1050" s="37" t="s">
        <v>197</v>
      </c>
      <c r="BB1050" s="37" t="s">
        <v>197</v>
      </c>
      <c r="BC1050" s="37" t="s">
        <v>197</v>
      </c>
      <c r="BD1050" s="37" t="s">
        <v>197</v>
      </c>
      <c r="BE1050" s="37" t="s">
        <v>197</v>
      </c>
      <c r="BF1050" s="37" t="s">
        <v>197</v>
      </c>
      <c r="BG1050" s="37" t="s">
        <v>197</v>
      </c>
      <c r="BH1050" s="37" t="s">
        <v>197</v>
      </c>
      <c r="BI1050" s="37" t="s">
        <v>197</v>
      </c>
      <c r="BJ1050" s="37" t="s">
        <v>197</v>
      </c>
      <c r="BK1050" s="37" t="s">
        <v>197</v>
      </c>
      <c r="BL1050" s="37" t="s">
        <v>197</v>
      </c>
      <c r="BM1050" s="37" t="s">
        <v>197</v>
      </c>
      <c r="BN1050" s="37" t="s">
        <v>197</v>
      </c>
      <c r="BO1050" s="37" t="s">
        <v>197</v>
      </c>
      <c r="BP1050" s="37" t="s">
        <v>197</v>
      </c>
      <c r="BQ1050" s="37" t="s">
        <v>197</v>
      </c>
      <c r="BR1050" s="37" t="s">
        <v>197</v>
      </c>
      <c r="BS1050" s="37" t="s">
        <v>197</v>
      </c>
      <c r="BT1050" s="37" t="s">
        <v>197</v>
      </c>
    </row>
    <row r="1051" spans="5:72" x14ac:dyDescent="0.25">
      <c r="E1051" s="36" t="s">
        <v>20</v>
      </c>
      <c r="F1051" s="36">
        <f t="shared" si="337"/>
        <v>0</v>
      </c>
      <c r="G1051" s="36">
        <f t="shared" si="338"/>
        <v>0</v>
      </c>
      <c r="H1051" s="36">
        <f t="shared" si="339"/>
        <v>0</v>
      </c>
      <c r="I1051" s="36">
        <f t="shared" si="340"/>
        <v>0</v>
      </c>
      <c r="J1051" s="36">
        <f t="shared" si="341"/>
        <v>0</v>
      </c>
      <c r="K1051" s="36">
        <f t="shared" si="342"/>
        <v>0</v>
      </c>
      <c r="L1051" s="36">
        <f t="shared" si="343"/>
        <v>0</v>
      </c>
      <c r="M1051" s="36">
        <f t="shared" si="344"/>
        <v>0</v>
      </c>
      <c r="N1051" s="36">
        <f t="shared" si="345"/>
        <v>0</v>
      </c>
      <c r="O1051" s="36">
        <f t="shared" si="346"/>
        <v>0</v>
      </c>
      <c r="P1051" s="36">
        <f t="shared" si="347"/>
        <v>0</v>
      </c>
      <c r="Q1051" s="36">
        <f t="shared" si="348"/>
        <v>0</v>
      </c>
      <c r="R1051" s="36">
        <f t="shared" si="349"/>
        <v>0</v>
      </c>
      <c r="S1051" s="36">
        <f t="shared" si="350"/>
        <v>0</v>
      </c>
      <c r="T1051" s="36">
        <f t="shared" si="351"/>
        <v>0</v>
      </c>
      <c r="U1051" s="36">
        <f t="shared" si="352"/>
        <v>0</v>
      </c>
      <c r="V1051" s="36">
        <f t="shared" si="353"/>
        <v>0</v>
      </c>
      <c r="W1051" s="36">
        <f t="shared" si="354"/>
        <v>0</v>
      </c>
      <c r="X1051" s="36">
        <f t="shared" si="355"/>
        <v>0</v>
      </c>
      <c r="Y1051" s="36">
        <f t="shared" si="356"/>
        <v>0</v>
      </c>
      <c r="Z1051" s="36">
        <f t="shared" si="357"/>
        <v>0</v>
      </c>
      <c r="AB1051" s="36" t="str">
        <f>IF(最佳化斷筋點!C1051="","",最佳化斷筋點!C1051)</f>
        <v>上層</v>
      </c>
      <c r="AC1051" s="37">
        <f>IF(最佳化斷筋點!D1051="","",最佳化斷筋點!D1051)</f>
        <v>9</v>
      </c>
      <c r="AD1051" s="37">
        <f>IF(最佳化斷筋點!E1051="","",最佳化斷筋點!E1051)</f>
        <v>9</v>
      </c>
      <c r="AE1051" s="37">
        <f>IF(最佳化斷筋點!F1051="","",最佳化斷筋點!F1051)</f>
        <v>9</v>
      </c>
      <c r="AF1051" s="37">
        <f>IF(最佳化斷筋點!G1051="","",最佳化斷筋點!G1051)</f>
        <v>9</v>
      </c>
      <c r="AG1051" s="37">
        <f>IF(最佳化斷筋點!H1051="","",最佳化斷筋點!H1051)</f>
        <v>9</v>
      </c>
      <c r="AH1051" s="37">
        <f>IF(最佳化斷筋點!I1051="","",最佳化斷筋點!I1051)</f>
        <v>9</v>
      </c>
      <c r="AI1051" s="37">
        <f>IF(最佳化斷筋點!J1051="","",最佳化斷筋點!J1051)</f>
        <v>9</v>
      </c>
      <c r="AJ1051" s="37">
        <f>IF(最佳化斷筋點!K1051="","",最佳化斷筋點!K1051)</f>
        <v>4</v>
      </c>
      <c r="AK1051" s="37">
        <f>IF(最佳化斷筋點!L1051="","",最佳化斷筋點!L1051)</f>
        <v>4</v>
      </c>
      <c r="AL1051" s="37">
        <f>IF(最佳化斷筋點!M1051="","",最佳化斷筋點!M1051)</f>
        <v>4</v>
      </c>
      <c r="AM1051" s="37">
        <f>IF(最佳化斷筋點!N1051="","",最佳化斷筋點!N1051)</f>
        <v>4</v>
      </c>
      <c r="AN1051" s="37">
        <f>IF(最佳化斷筋點!O1051="","",最佳化斷筋點!O1051)</f>
        <v>4</v>
      </c>
      <c r="AO1051" s="37">
        <f>IF(最佳化斷筋點!P1051="","",最佳化斷筋點!P1051)</f>
        <v>4</v>
      </c>
      <c r="AP1051" s="37">
        <f>IF(最佳化斷筋點!Q1051="","",最佳化斷筋點!Q1051)</f>
        <v>8</v>
      </c>
      <c r="AQ1051" s="37">
        <f>IF(最佳化斷筋點!R1051="","",最佳化斷筋點!R1051)</f>
        <v>9</v>
      </c>
      <c r="AR1051" s="37">
        <f>IF(最佳化斷筋點!S1051="","",最佳化斷筋點!S1051)</f>
        <v>9</v>
      </c>
      <c r="AS1051" s="37">
        <f>IF(最佳化斷筋點!T1051="","",最佳化斷筋點!T1051)</f>
        <v>9</v>
      </c>
      <c r="AT1051" s="37">
        <f>IF(最佳化斷筋點!U1051="","",最佳化斷筋點!U1051)</f>
        <v>9</v>
      </c>
      <c r="AU1051" s="37">
        <f>IF(最佳化斷筋點!V1051="","",最佳化斷筋點!V1051)</f>
        <v>9</v>
      </c>
      <c r="AV1051" s="37">
        <f>IF(最佳化斷筋點!W1051="","",最佳化斷筋點!W1051)</f>
        <v>9</v>
      </c>
      <c r="AW1051" s="37">
        <f>IF(最佳化斷筋點!X1051="","",最佳化斷筋點!X1051)</f>
        <v>9</v>
      </c>
      <c r="AZ1051" s="37">
        <v>9</v>
      </c>
      <c r="BA1051" s="37">
        <v>9</v>
      </c>
      <c r="BB1051" s="37">
        <v>9</v>
      </c>
      <c r="BC1051" s="37">
        <v>9</v>
      </c>
      <c r="BD1051" s="37">
        <v>9</v>
      </c>
      <c r="BE1051" s="37">
        <v>9</v>
      </c>
      <c r="BF1051" s="37">
        <v>9</v>
      </c>
      <c r="BG1051" s="37">
        <v>4</v>
      </c>
      <c r="BH1051" s="37">
        <v>4</v>
      </c>
      <c r="BI1051" s="37">
        <v>4</v>
      </c>
      <c r="BJ1051" s="37">
        <v>4</v>
      </c>
      <c r="BK1051" s="37">
        <v>4</v>
      </c>
      <c r="BL1051" s="37">
        <v>4</v>
      </c>
      <c r="BM1051" s="37">
        <v>8</v>
      </c>
      <c r="BN1051" s="37">
        <v>9</v>
      </c>
      <c r="BO1051" s="37">
        <v>9</v>
      </c>
      <c r="BP1051" s="37">
        <v>9</v>
      </c>
      <c r="BQ1051" s="37">
        <v>9</v>
      </c>
      <c r="BR1051" s="37">
        <v>9</v>
      </c>
      <c r="BS1051" s="37">
        <v>9</v>
      </c>
      <c r="BT1051" s="37">
        <v>9</v>
      </c>
    </row>
    <row r="1052" spans="5:72" x14ac:dyDescent="0.25">
      <c r="E1052" s="36"/>
      <c r="F1052" s="36">
        <f t="shared" si="337"/>
        <v>0</v>
      </c>
      <c r="G1052" s="36">
        <f t="shared" si="338"/>
        <v>0</v>
      </c>
      <c r="H1052" s="36">
        <f t="shared" si="339"/>
        <v>0</v>
      </c>
      <c r="I1052" s="36">
        <f t="shared" si="340"/>
        <v>0</v>
      </c>
      <c r="J1052" s="36">
        <f t="shared" si="341"/>
        <v>0</v>
      </c>
      <c r="K1052" s="36">
        <f t="shared" si="342"/>
        <v>0</v>
      </c>
      <c r="L1052" s="36">
        <f t="shared" si="343"/>
        <v>0</v>
      </c>
      <c r="M1052" s="36">
        <f t="shared" si="344"/>
        <v>0</v>
      </c>
      <c r="N1052" s="36">
        <f t="shared" si="345"/>
        <v>0</v>
      </c>
      <c r="O1052" s="36">
        <f t="shared" si="346"/>
        <v>0</v>
      </c>
      <c r="P1052" s="36">
        <f t="shared" si="347"/>
        <v>0</v>
      </c>
      <c r="Q1052" s="36">
        <f t="shared" si="348"/>
        <v>0</v>
      </c>
      <c r="R1052" s="36">
        <f t="shared" si="349"/>
        <v>0</v>
      </c>
      <c r="S1052" s="36">
        <f t="shared" si="350"/>
        <v>0</v>
      </c>
      <c r="T1052" s="36">
        <f t="shared" si="351"/>
        <v>0</v>
      </c>
      <c r="U1052" s="36">
        <f t="shared" si="352"/>
        <v>0</v>
      </c>
      <c r="V1052" s="36">
        <f t="shared" si="353"/>
        <v>0</v>
      </c>
      <c r="W1052" s="36">
        <f t="shared" si="354"/>
        <v>0</v>
      </c>
      <c r="X1052" s="36">
        <f t="shared" si="355"/>
        <v>0</v>
      </c>
      <c r="Y1052" s="36">
        <f t="shared" si="356"/>
        <v>0</v>
      </c>
      <c r="Z1052" s="36">
        <f t="shared" si="357"/>
        <v>0</v>
      </c>
      <c r="AB1052" s="36" t="str">
        <f>IF(最佳化斷筋點!C1052="","",最佳化斷筋點!C1052)</f>
        <v/>
      </c>
      <c r="AC1052" s="37" t="str">
        <f>IF(最佳化斷筋點!D1052="","",最佳化斷筋點!D1052)</f>
        <v/>
      </c>
      <c r="AD1052" s="37" t="str">
        <f>IF(最佳化斷筋點!E1052="","",最佳化斷筋點!E1052)</f>
        <v/>
      </c>
      <c r="AE1052" s="37" t="str">
        <f>IF(最佳化斷筋點!F1052="","",最佳化斷筋點!F1052)</f>
        <v/>
      </c>
      <c r="AF1052" s="37" t="str">
        <f>IF(最佳化斷筋點!G1052="","",最佳化斷筋點!G1052)</f>
        <v/>
      </c>
      <c r="AG1052" s="37" t="str">
        <f>IF(最佳化斷筋點!H1052="","",最佳化斷筋點!H1052)</f>
        <v/>
      </c>
      <c r="AH1052" s="37" t="str">
        <f>IF(最佳化斷筋點!I1052="","",最佳化斷筋點!I1052)</f>
        <v/>
      </c>
      <c r="AI1052" s="37" t="str">
        <f>IF(最佳化斷筋點!J1052="","",最佳化斷筋點!J1052)</f>
        <v/>
      </c>
      <c r="AJ1052" s="37" t="str">
        <f>IF(最佳化斷筋點!K1052="","",最佳化斷筋點!K1052)</f>
        <v/>
      </c>
      <c r="AK1052" s="37" t="str">
        <f>IF(最佳化斷筋點!L1052="","",最佳化斷筋點!L1052)</f>
        <v/>
      </c>
      <c r="AL1052" s="37" t="str">
        <f>IF(最佳化斷筋點!M1052="","",最佳化斷筋點!M1052)</f>
        <v/>
      </c>
      <c r="AM1052" s="37" t="str">
        <f>IF(最佳化斷筋點!N1052="","",最佳化斷筋點!N1052)</f>
        <v/>
      </c>
      <c r="AN1052" s="37" t="str">
        <f>IF(最佳化斷筋點!O1052="","",最佳化斷筋點!O1052)</f>
        <v/>
      </c>
      <c r="AO1052" s="37" t="str">
        <f>IF(最佳化斷筋點!P1052="","",最佳化斷筋點!P1052)</f>
        <v/>
      </c>
      <c r="AP1052" s="37" t="str">
        <f>IF(最佳化斷筋點!Q1052="","",最佳化斷筋點!Q1052)</f>
        <v/>
      </c>
      <c r="AQ1052" s="37" t="str">
        <f>IF(最佳化斷筋點!R1052="","",最佳化斷筋點!R1052)</f>
        <v/>
      </c>
      <c r="AR1052" s="37" t="str">
        <f>IF(最佳化斷筋點!S1052="","",最佳化斷筋點!S1052)</f>
        <v/>
      </c>
      <c r="AS1052" s="37" t="str">
        <f>IF(最佳化斷筋點!T1052="","",最佳化斷筋點!T1052)</f>
        <v/>
      </c>
      <c r="AT1052" s="37" t="str">
        <f>IF(最佳化斷筋點!U1052="","",最佳化斷筋點!U1052)</f>
        <v/>
      </c>
      <c r="AU1052" s="37" t="str">
        <f>IF(最佳化斷筋點!V1052="","",最佳化斷筋點!V1052)</f>
        <v/>
      </c>
      <c r="AV1052" s="37" t="str">
        <f>IF(最佳化斷筋點!W1052="","",最佳化斷筋點!W1052)</f>
        <v/>
      </c>
      <c r="AW1052" s="37" t="str">
        <f>IF(最佳化斷筋點!X1052="","",最佳化斷筋點!X1052)</f>
        <v/>
      </c>
      <c r="AZ1052" s="37" t="s">
        <v>197</v>
      </c>
      <c r="BA1052" s="37" t="s">
        <v>197</v>
      </c>
      <c r="BB1052" s="37" t="s">
        <v>197</v>
      </c>
      <c r="BC1052" s="37" t="s">
        <v>197</v>
      </c>
      <c r="BD1052" s="37" t="s">
        <v>197</v>
      </c>
      <c r="BE1052" s="37" t="s">
        <v>197</v>
      </c>
      <c r="BF1052" s="37" t="s">
        <v>197</v>
      </c>
      <c r="BG1052" s="37" t="s">
        <v>197</v>
      </c>
      <c r="BH1052" s="37" t="s">
        <v>197</v>
      </c>
      <c r="BI1052" s="37" t="s">
        <v>197</v>
      </c>
      <c r="BJ1052" s="37" t="s">
        <v>197</v>
      </c>
      <c r="BK1052" s="37" t="s">
        <v>197</v>
      </c>
      <c r="BL1052" s="37" t="s">
        <v>197</v>
      </c>
      <c r="BM1052" s="37" t="s">
        <v>197</v>
      </c>
      <c r="BN1052" s="37" t="s">
        <v>197</v>
      </c>
      <c r="BO1052" s="37" t="s">
        <v>197</v>
      </c>
      <c r="BP1052" s="37" t="s">
        <v>197</v>
      </c>
      <c r="BQ1052" s="37" t="s">
        <v>197</v>
      </c>
      <c r="BR1052" s="37" t="s">
        <v>197</v>
      </c>
      <c r="BS1052" s="37" t="s">
        <v>197</v>
      </c>
      <c r="BT1052" s="37" t="s">
        <v>197</v>
      </c>
    </row>
    <row r="1053" spans="5:72" x14ac:dyDescent="0.25">
      <c r="E1053" s="36" t="s">
        <v>21</v>
      </c>
      <c r="F1053" s="36">
        <f t="shared" si="337"/>
        <v>0</v>
      </c>
      <c r="G1053" s="36">
        <f t="shared" si="338"/>
        <v>0</v>
      </c>
      <c r="H1053" s="36">
        <f t="shared" si="339"/>
        <v>0</v>
      </c>
      <c r="I1053" s="36">
        <f t="shared" si="340"/>
        <v>0</v>
      </c>
      <c r="J1053" s="36">
        <f t="shared" si="341"/>
        <v>0</v>
      </c>
      <c r="K1053" s="36">
        <f t="shared" si="342"/>
        <v>0</v>
      </c>
      <c r="L1053" s="36">
        <f t="shared" si="343"/>
        <v>0</v>
      </c>
      <c r="M1053" s="36">
        <f t="shared" si="344"/>
        <v>0</v>
      </c>
      <c r="N1053" s="36">
        <f t="shared" si="345"/>
        <v>0</v>
      </c>
      <c r="O1053" s="36">
        <f t="shared" si="346"/>
        <v>0</v>
      </c>
      <c r="P1053" s="36">
        <f t="shared" si="347"/>
        <v>0</v>
      </c>
      <c r="Q1053" s="36">
        <f t="shared" si="348"/>
        <v>0</v>
      </c>
      <c r="R1053" s="36">
        <f t="shared" si="349"/>
        <v>0</v>
      </c>
      <c r="S1053" s="36">
        <f t="shared" si="350"/>
        <v>0</v>
      </c>
      <c r="T1053" s="36">
        <f t="shared" si="351"/>
        <v>0</v>
      </c>
      <c r="U1053" s="36">
        <f t="shared" si="352"/>
        <v>0</v>
      </c>
      <c r="V1053" s="36">
        <f t="shared" si="353"/>
        <v>0</v>
      </c>
      <c r="W1053" s="36">
        <f t="shared" si="354"/>
        <v>0</v>
      </c>
      <c r="X1053" s="36">
        <f t="shared" si="355"/>
        <v>0</v>
      </c>
      <c r="Y1053" s="36">
        <f t="shared" si="356"/>
        <v>0</v>
      </c>
      <c r="Z1053" s="36">
        <f t="shared" si="357"/>
        <v>0</v>
      </c>
      <c r="AB1053" s="36" t="str">
        <f>IF(最佳化斷筋點!C1053="","",最佳化斷筋點!C1053)</f>
        <v>下層</v>
      </c>
      <c r="AC1053" s="37">
        <f>IF(最佳化斷筋點!D1053="","",最佳化斷筋點!D1053)</f>
        <v>13</v>
      </c>
      <c r="AD1053" s="37">
        <f>IF(最佳化斷筋點!E1053="","",最佳化斷筋點!E1053)</f>
        <v>13</v>
      </c>
      <c r="AE1053" s="37">
        <f>IF(最佳化斷筋點!F1053="","",最佳化斷筋點!F1053)</f>
        <v>13</v>
      </c>
      <c r="AF1053" s="37">
        <f>IF(最佳化斷筋點!G1053="","",最佳化斷筋點!G1053)</f>
        <v>13</v>
      </c>
      <c r="AG1053" s="37">
        <f>IF(最佳化斷筋點!H1053="","",最佳化斷筋點!H1053)</f>
        <v>13</v>
      </c>
      <c r="AH1053" s="37">
        <f>IF(最佳化斷筋點!I1053="","",最佳化斷筋點!I1053)</f>
        <v>12</v>
      </c>
      <c r="AI1053" s="37">
        <f>IF(最佳化斷筋點!J1053="","",最佳化斷筋點!J1053)</f>
        <v>11</v>
      </c>
      <c r="AJ1053" s="37">
        <f>IF(最佳化斷筋點!K1053="","",最佳化斷筋點!K1053)</f>
        <v>6</v>
      </c>
      <c r="AK1053" s="37">
        <f>IF(最佳化斷筋點!L1053="","",最佳化斷筋點!L1053)</f>
        <v>6</v>
      </c>
      <c r="AL1053" s="37">
        <f>IF(最佳化斷筋點!M1053="","",最佳化斷筋點!M1053)</f>
        <v>6</v>
      </c>
      <c r="AM1053" s="37">
        <f>IF(最佳化斷筋點!N1053="","",最佳化斷筋點!N1053)</f>
        <v>6</v>
      </c>
      <c r="AN1053" s="37">
        <f>IF(最佳化斷筋點!O1053="","",最佳化斷筋點!O1053)</f>
        <v>6</v>
      </c>
      <c r="AO1053" s="37">
        <f>IF(最佳化斷筋點!P1053="","",最佳化斷筋點!P1053)</f>
        <v>6</v>
      </c>
      <c r="AP1053" s="37">
        <f>IF(最佳化斷筋點!Q1053="","",最佳化斷筋點!Q1053)</f>
        <v>9</v>
      </c>
      <c r="AQ1053" s="37">
        <f>IF(最佳化斷筋點!R1053="","",最佳化斷筋點!R1053)</f>
        <v>10</v>
      </c>
      <c r="AR1053" s="37">
        <f>IF(最佳化斷筋點!S1053="","",最佳化斷筋點!S1053)</f>
        <v>11</v>
      </c>
      <c r="AS1053" s="37">
        <f>IF(最佳化斷筋點!T1053="","",最佳化斷筋點!T1053)</f>
        <v>12</v>
      </c>
      <c r="AT1053" s="37">
        <f>IF(最佳化斷筋點!U1053="","",最佳化斷筋點!U1053)</f>
        <v>12</v>
      </c>
      <c r="AU1053" s="37">
        <f>IF(最佳化斷筋點!V1053="","",最佳化斷筋點!V1053)</f>
        <v>12</v>
      </c>
      <c r="AV1053" s="37">
        <f>IF(最佳化斷筋點!W1053="","",最佳化斷筋點!W1053)</f>
        <v>12</v>
      </c>
      <c r="AW1053" s="37">
        <f>IF(最佳化斷筋點!X1053="","",最佳化斷筋點!X1053)</f>
        <v>12</v>
      </c>
      <c r="AZ1053" s="37">
        <v>13</v>
      </c>
      <c r="BA1053" s="37">
        <v>13</v>
      </c>
      <c r="BB1053" s="37">
        <v>13</v>
      </c>
      <c r="BC1053" s="37">
        <v>13</v>
      </c>
      <c r="BD1053" s="37">
        <v>13</v>
      </c>
      <c r="BE1053" s="37">
        <v>12</v>
      </c>
      <c r="BF1053" s="37">
        <v>11</v>
      </c>
      <c r="BG1053" s="37">
        <v>6</v>
      </c>
      <c r="BH1053" s="37">
        <v>6</v>
      </c>
      <c r="BI1053" s="37">
        <v>6</v>
      </c>
      <c r="BJ1053" s="37">
        <v>6</v>
      </c>
      <c r="BK1053" s="37">
        <v>6</v>
      </c>
      <c r="BL1053" s="37">
        <v>6</v>
      </c>
      <c r="BM1053" s="37">
        <v>9</v>
      </c>
      <c r="BN1053" s="37">
        <v>10</v>
      </c>
      <c r="BO1053" s="37">
        <v>11</v>
      </c>
      <c r="BP1053" s="37">
        <v>12</v>
      </c>
      <c r="BQ1053" s="37">
        <v>12</v>
      </c>
      <c r="BR1053" s="37">
        <v>12</v>
      </c>
      <c r="BS1053" s="37">
        <v>12</v>
      </c>
      <c r="BT1053" s="37">
        <v>12</v>
      </c>
    </row>
    <row r="1054" spans="5:72" x14ac:dyDescent="0.25">
      <c r="E1054" s="36"/>
      <c r="F1054" s="36">
        <f t="shared" si="337"/>
        <v>0</v>
      </c>
      <c r="G1054" s="36">
        <f t="shared" si="338"/>
        <v>0</v>
      </c>
      <c r="H1054" s="36">
        <f t="shared" si="339"/>
        <v>0</v>
      </c>
      <c r="I1054" s="36">
        <f t="shared" si="340"/>
        <v>0</v>
      </c>
      <c r="J1054" s="36">
        <f t="shared" si="341"/>
        <v>0</v>
      </c>
      <c r="K1054" s="36">
        <f t="shared" si="342"/>
        <v>0</v>
      </c>
      <c r="L1054" s="36">
        <f t="shared" si="343"/>
        <v>0</v>
      </c>
      <c r="M1054" s="36">
        <f t="shared" si="344"/>
        <v>0</v>
      </c>
      <c r="N1054" s="36">
        <f t="shared" si="345"/>
        <v>0</v>
      </c>
      <c r="O1054" s="36">
        <f t="shared" si="346"/>
        <v>0</v>
      </c>
      <c r="P1054" s="36">
        <f t="shared" si="347"/>
        <v>0</v>
      </c>
      <c r="Q1054" s="36">
        <f t="shared" si="348"/>
        <v>0</v>
      </c>
      <c r="R1054" s="36">
        <f t="shared" si="349"/>
        <v>0</v>
      </c>
      <c r="S1054" s="36">
        <f t="shared" si="350"/>
        <v>0</v>
      </c>
      <c r="T1054" s="36">
        <f t="shared" si="351"/>
        <v>0</v>
      </c>
      <c r="U1054" s="36">
        <f t="shared" si="352"/>
        <v>0</v>
      </c>
      <c r="V1054" s="36">
        <f t="shared" si="353"/>
        <v>0</v>
      </c>
      <c r="W1054" s="36">
        <f t="shared" si="354"/>
        <v>0</v>
      </c>
      <c r="X1054" s="36">
        <f t="shared" si="355"/>
        <v>0</v>
      </c>
      <c r="Y1054" s="36">
        <f t="shared" si="356"/>
        <v>0</v>
      </c>
      <c r="Z1054" s="36">
        <f t="shared" si="357"/>
        <v>0</v>
      </c>
      <c r="AB1054" s="36" t="str">
        <f>IF(最佳化斷筋點!C1054="","",最佳化斷筋點!C1054)</f>
        <v/>
      </c>
      <c r="AC1054" s="37" t="str">
        <f>IF(最佳化斷筋點!D1054="","",最佳化斷筋點!D1054)</f>
        <v/>
      </c>
      <c r="AD1054" s="37" t="str">
        <f>IF(最佳化斷筋點!E1054="","",最佳化斷筋點!E1054)</f>
        <v/>
      </c>
      <c r="AE1054" s="37" t="str">
        <f>IF(最佳化斷筋點!F1054="","",最佳化斷筋點!F1054)</f>
        <v/>
      </c>
      <c r="AF1054" s="37" t="str">
        <f>IF(最佳化斷筋點!G1054="","",最佳化斷筋點!G1054)</f>
        <v/>
      </c>
      <c r="AG1054" s="37" t="str">
        <f>IF(最佳化斷筋點!H1054="","",最佳化斷筋點!H1054)</f>
        <v/>
      </c>
      <c r="AH1054" s="37" t="str">
        <f>IF(最佳化斷筋點!I1054="","",最佳化斷筋點!I1054)</f>
        <v/>
      </c>
      <c r="AI1054" s="37" t="str">
        <f>IF(最佳化斷筋點!J1054="","",最佳化斷筋點!J1054)</f>
        <v/>
      </c>
      <c r="AJ1054" s="37" t="str">
        <f>IF(最佳化斷筋點!K1054="","",最佳化斷筋點!K1054)</f>
        <v/>
      </c>
      <c r="AK1054" s="37" t="str">
        <f>IF(最佳化斷筋點!L1054="","",最佳化斷筋點!L1054)</f>
        <v/>
      </c>
      <c r="AL1054" s="37" t="str">
        <f>IF(最佳化斷筋點!M1054="","",最佳化斷筋點!M1054)</f>
        <v/>
      </c>
      <c r="AM1054" s="37" t="str">
        <f>IF(最佳化斷筋點!N1054="","",最佳化斷筋點!N1054)</f>
        <v/>
      </c>
      <c r="AN1054" s="37" t="str">
        <f>IF(最佳化斷筋點!O1054="","",最佳化斷筋點!O1054)</f>
        <v/>
      </c>
      <c r="AO1054" s="37" t="str">
        <f>IF(最佳化斷筋點!P1054="","",最佳化斷筋點!P1054)</f>
        <v/>
      </c>
      <c r="AP1054" s="37" t="str">
        <f>IF(最佳化斷筋點!Q1054="","",最佳化斷筋點!Q1054)</f>
        <v/>
      </c>
      <c r="AQ1054" s="37" t="str">
        <f>IF(最佳化斷筋點!R1054="","",最佳化斷筋點!R1054)</f>
        <v/>
      </c>
      <c r="AR1054" s="37" t="str">
        <f>IF(最佳化斷筋點!S1054="","",最佳化斷筋點!S1054)</f>
        <v/>
      </c>
      <c r="AS1054" s="37" t="str">
        <f>IF(最佳化斷筋點!T1054="","",最佳化斷筋點!T1054)</f>
        <v/>
      </c>
      <c r="AT1054" s="37" t="str">
        <f>IF(最佳化斷筋點!U1054="","",最佳化斷筋點!U1054)</f>
        <v/>
      </c>
      <c r="AU1054" s="37" t="str">
        <f>IF(最佳化斷筋點!V1054="","",最佳化斷筋點!V1054)</f>
        <v/>
      </c>
      <c r="AV1054" s="37" t="str">
        <f>IF(最佳化斷筋點!W1054="","",最佳化斷筋點!W1054)</f>
        <v/>
      </c>
      <c r="AW1054" s="37" t="str">
        <f>IF(最佳化斷筋點!X1054="","",最佳化斷筋點!X1054)</f>
        <v/>
      </c>
      <c r="AZ1054" s="37" t="s">
        <v>197</v>
      </c>
      <c r="BA1054" s="37" t="s">
        <v>197</v>
      </c>
      <c r="BB1054" s="37" t="s">
        <v>197</v>
      </c>
      <c r="BC1054" s="37" t="s">
        <v>197</v>
      </c>
      <c r="BD1054" s="37" t="s">
        <v>197</v>
      </c>
      <c r="BE1054" s="37" t="s">
        <v>197</v>
      </c>
      <c r="BF1054" s="37" t="s">
        <v>197</v>
      </c>
      <c r="BG1054" s="37" t="s">
        <v>197</v>
      </c>
      <c r="BH1054" s="37" t="s">
        <v>197</v>
      </c>
      <c r="BI1054" s="37" t="s">
        <v>197</v>
      </c>
      <c r="BJ1054" s="37" t="s">
        <v>197</v>
      </c>
      <c r="BK1054" s="37" t="s">
        <v>197</v>
      </c>
      <c r="BL1054" s="37" t="s">
        <v>197</v>
      </c>
      <c r="BM1054" s="37" t="s">
        <v>197</v>
      </c>
      <c r="BN1054" s="37" t="s">
        <v>197</v>
      </c>
      <c r="BO1054" s="37" t="s">
        <v>197</v>
      </c>
      <c r="BP1054" s="37" t="s">
        <v>197</v>
      </c>
      <c r="BQ1054" s="37" t="s">
        <v>197</v>
      </c>
      <c r="BR1054" s="37" t="s">
        <v>197</v>
      </c>
      <c r="BS1054" s="37" t="s">
        <v>197</v>
      </c>
      <c r="BT1054" s="37" t="s">
        <v>197</v>
      </c>
    </row>
    <row r="1055" spans="5:72" x14ac:dyDescent="0.25">
      <c r="E1055" s="36" t="s">
        <v>20</v>
      </c>
      <c r="F1055" s="36">
        <f t="shared" si="337"/>
        <v>0</v>
      </c>
      <c r="G1055" s="36">
        <f t="shared" si="338"/>
        <v>0</v>
      </c>
      <c r="H1055" s="36">
        <f t="shared" si="339"/>
        <v>0</v>
      </c>
      <c r="I1055" s="36">
        <f t="shared" si="340"/>
        <v>0</v>
      </c>
      <c r="J1055" s="36">
        <f t="shared" si="341"/>
        <v>0</v>
      </c>
      <c r="K1055" s="36">
        <f t="shared" si="342"/>
        <v>0</v>
      </c>
      <c r="L1055" s="36">
        <f t="shared" si="343"/>
        <v>0</v>
      </c>
      <c r="M1055" s="36">
        <f t="shared" si="344"/>
        <v>0</v>
      </c>
      <c r="N1055" s="36">
        <f t="shared" si="345"/>
        <v>0</v>
      </c>
      <c r="O1055" s="36">
        <f t="shared" si="346"/>
        <v>0</v>
      </c>
      <c r="P1055" s="36">
        <f t="shared" si="347"/>
        <v>0</v>
      </c>
      <c r="Q1055" s="36">
        <f t="shared" si="348"/>
        <v>0</v>
      </c>
      <c r="R1055" s="36">
        <f t="shared" si="349"/>
        <v>0</v>
      </c>
      <c r="S1055" s="36">
        <f t="shared" si="350"/>
        <v>0</v>
      </c>
      <c r="T1055" s="36">
        <f t="shared" si="351"/>
        <v>0</v>
      </c>
      <c r="U1055" s="36">
        <f t="shared" si="352"/>
        <v>0</v>
      </c>
      <c r="V1055" s="36">
        <f t="shared" si="353"/>
        <v>0</v>
      </c>
      <c r="W1055" s="36">
        <f t="shared" si="354"/>
        <v>0</v>
      </c>
      <c r="X1055" s="36">
        <f t="shared" si="355"/>
        <v>0</v>
      </c>
      <c r="Y1055" s="36">
        <f t="shared" si="356"/>
        <v>0</v>
      </c>
      <c r="Z1055" s="36">
        <f t="shared" si="357"/>
        <v>0</v>
      </c>
      <c r="AB1055" s="36" t="str">
        <f>IF(最佳化斷筋點!C1055="","",最佳化斷筋點!C1055)</f>
        <v>上層</v>
      </c>
      <c r="AC1055" s="37">
        <f>IF(最佳化斷筋點!D1055="","",最佳化斷筋點!D1055)</f>
        <v>7</v>
      </c>
      <c r="AD1055" s="37">
        <f>IF(最佳化斷筋點!E1055="","",最佳化斷筋點!E1055)</f>
        <v>7</v>
      </c>
      <c r="AE1055" s="37">
        <f>IF(最佳化斷筋點!F1055="","",最佳化斷筋點!F1055)</f>
        <v>7</v>
      </c>
      <c r="AF1055" s="37">
        <f>IF(最佳化斷筋點!G1055="","",最佳化斷筋點!G1055)</f>
        <v>7</v>
      </c>
      <c r="AG1055" s="37">
        <f>IF(最佳化斷筋點!H1055="","",最佳化斷筋點!H1055)</f>
        <v>7</v>
      </c>
      <c r="AH1055" s="37">
        <f>IF(最佳化斷筋點!I1055="","",最佳化斷筋點!I1055)</f>
        <v>7</v>
      </c>
      <c r="AI1055" s="37">
        <f>IF(最佳化斷筋點!J1055="","",最佳化斷筋點!J1055)</f>
        <v>7</v>
      </c>
      <c r="AJ1055" s="37">
        <f>IF(最佳化斷筋點!K1055="","",最佳化斷筋點!K1055)</f>
        <v>3</v>
      </c>
      <c r="AK1055" s="37">
        <f>IF(最佳化斷筋點!L1055="","",最佳化斷筋點!L1055)</f>
        <v>3</v>
      </c>
      <c r="AL1055" s="37">
        <f>IF(最佳化斷筋點!M1055="","",最佳化斷筋點!M1055)</f>
        <v>3</v>
      </c>
      <c r="AM1055" s="37">
        <f>IF(最佳化斷筋點!N1055="","",最佳化斷筋點!N1055)</f>
        <v>3</v>
      </c>
      <c r="AN1055" s="37">
        <f>IF(最佳化斷筋點!O1055="","",最佳化斷筋點!O1055)</f>
        <v>3</v>
      </c>
      <c r="AO1055" s="37">
        <f>IF(最佳化斷筋點!P1055="","",最佳化斷筋點!P1055)</f>
        <v>3</v>
      </c>
      <c r="AP1055" s="37">
        <f>IF(最佳化斷筋點!Q1055="","",最佳化斷筋點!Q1055)</f>
        <v>8</v>
      </c>
      <c r="AQ1055" s="37">
        <f>IF(最佳化斷筋點!R1055="","",最佳化斷筋點!R1055)</f>
        <v>9</v>
      </c>
      <c r="AR1055" s="37">
        <f>IF(最佳化斷筋點!S1055="","",最佳化斷筋點!S1055)</f>
        <v>9</v>
      </c>
      <c r="AS1055" s="37">
        <f>IF(最佳化斷筋點!T1055="","",最佳化斷筋點!T1055)</f>
        <v>9</v>
      </c>
      <c r="AT1055" s="37">
        <f>IF(最佳化斷筋點!U1055="","",最佳化斷筋點!U1055)</f>
        <v>9</v>
      </c>
      <c r="AU1055" s="37">
        <f>IF(最佳化斷筋點!V1055="","",最佳化斷筋點!V1055)</f>
        <v>9</v>
      </c>
      <c r="AV1055" s="37">
        <f>IF(最佳化斷筋點!W1055="","",最佳化斷筋點!W1055)</f>
        <v>9</v>
      </c>
      <c r="AW1055" s="37">
        <f>IF(最佳化斷筋點!X1055="","",最佳化斷筋點!X1055)</f>
        <v>9</v>
      </c>
      <c r="AZ1055" s="37">
        <v>7</v>
      </c>
      <c r="BA1055" s="37">
        <v>7</v>
      </c>
      <c r="BB1055" s="37">
        <v>7</v>
      </c>
      <c r="BC1055" s="37">
        <v>7</v>
      </c>
      <c r="BD1055" s="37">
        <v>7</v>
      </c>
      <c r="BE1055" s="37">
        <v>7</v>
      </c>
      <c r="BF1055" s="37">
        <v>7</v>
      </c>
      <c r="BG1055" s="37">
        <v>3</v>
      </c>
      <c r="BH1055" s="37">
        <v>3</v>
      </c>
      <c r="BI1055" s="37">
        <v>3</v>
      </c>
      <c r="BJ1055" s="37">
        <v>3</v>
      </c>
      <c r="BK1055" s="37">
        <v>3</v>
      </c>
      <c r="BL1055" s="37">
        <v>3</v>
      </c>
      <c r="BM1055" s="37">
        <v>8</v>
      </c>
      <c r="BN1055" s="37">
        <v>9</v>
      </c>
      <c r="BO1055" s="37">
        <v>9</v>
      </c>
      <c r="BP1055" s="37">
        <v>9</v>
      </c>
      <c r="BQ1055" s="37">
        <v>9</v>
      </c>
      <c r="BR1055" s="37">
        <v>9</v>
      </c>
      <c r="BS1055" s="37">
        <v>9</v>
      </c>
      <c r="BT1055" s="37">
        <v>9</v>
      </c>
    </row>
    <row r="1056" spans="5:72" x14ac:dyDescent="0.25">
      <c r="E1056" s="36"/>
      <c r="F1056" s="36">
        <f t="shared" si="337"/>
        <v>0</v>
      </c>
      <c r="G1056" s="36">
        <f t="shared" si="338"/>
        <v>0</v>
      </c>
      <c r="H1056" s="36">
        <f t="shared" si="339"/>
        <v>0</v>
      </c>
      <c r="I1056" s="36">
        <f t="shared" si="340"/>
        <v>0</v>
      </c>
      <c r="J1056" s="36">
        <f t="shared" si="341"/>
        <v>0</v>
      </c>
      <c r="K1056" s="36">
        <f t="shared" si="342"/>
        <v>0</v>
      </c>
      <c r="L1056" s="36">
        <f t="shared" si="343"/>
        <v>0</v>
      </c>
      <c r="M1056" s="36">
        <f t="shared" si="344"/>
        <v>0</v>
      </c>
      <c r="N1056" s="36">
        <f t="shared" si="345"/>
        <v>0</v>
      </c>
      <c r="O1056" s="36">
        <f t="shared" si="346"/>
        <v>0</v>
      </c>
      <c r="P1056" s="36">
        <f t="shared" si="347"/>
        <v>0</v>
      </c>
      <c r="Q1056" s="36">
        <f t="shared" si="348"/>
        <v>0</v>
      </c>
      <c r="R1056" s="36">
        <f t="shared" si="349"/>
        <v>0</v>
      </c>
      <c r="S1056" s="36">
        <f t="shared" si="350"/>
        <v>0</v>
      </c>
      <c r="T1056" s="36">
        <f t="shared" si="351"/>
        <v>0</v>
      </c>
      <c r="U1056" s="36">
        <f t="shared" si="352"/>
        <v>0</v>
      </c>
      <c r="V1056" s="36">
        <f t="shared" si="353"/>
        <v>0</v>
      </c>
      <c r="W1056" s="36">
        <f t="shared" si="354"/>
        <v>0</v>
      </c>
      <c r="X1056" s="36">
        <f t="shared" si="355"/>
        <v>0</v>
      </c>
      <c r="Y1056" s="36">
        <f t="shared" si="356"/>
        <v>0</v>
      </c>
      <c r="Z1056" s="36">
        <f t="shared" si="357"/>
        <v>0</v>
      </c>
      <c r="AB1056" s="36" t="str">
        <f>IF(最佳化斷筋點!C1056="","",最佳化斷筋點!C1056)</f>
        <v/>
      </c>
      <c r="AC1056" s="37" t="str">
        <f>IF(最佳化斷筋點!D1056="","",最佳化斷筋點!D1056)</f>
        <v/>
      </c>
      <c r="AD1056" s="37" t="str">
        <f>IF(最佳化斷筋點!E1056="","",最佳化斷筋點!E1056)</f>
        <v/>
      </c>
      <c r="AE1056" s="37" t="str">
        <f>IF(最佳化斷筋點!F1056="","",最佳化斷筋點!F1056)</f>
        <v/>
      </c>
      <c r="AF1056" s="37" t="str">
        <f>IF(最佳化斷筋點!G1056="","",最佳化斷筋點!G1056)</f>
        <v/>
      </c>
      <c r="AG1056" s="37" t="str">
        <f>IF(最佳化斷筋點!H1056="","",最佳化斷筋點!H1056)</f>
        <v/>
      </c>
      <c r="AH1056" s="37" t="str">
        <f>IF(最佳化斷筋點!I1056="","",最佳化斷筋點!I1056)</f>
        <v/>
      </c>
      <c r="AI1056" s="37" t="str">
        <f>IF(最佳化斷筋點!J1056="","",最佳化斷筋點!J1056)</f>
        <v/>
      </c>
      <c r="AJ1056" s="37" t="str">
        <f>IF(最佳化斷筋點!K1056="","",最佳化斷筋點!K1056)</f>
        <v/>
      </c>
      <c r="AK1056" s="37" t="str">
        <f>IF(最佳化斷筋點!L1056="","",最佳化斷筋點!L1056)</f>
        <v/>
      </c>
      <c r="AL1056" s="37" t="str">
        <f>IF(最佳化斷筋點!M1056="","",最佳化斷筋點!M1056)</f>
        <v/>
      </c>
      <c r="AM1056" s="37" t="str">
        <f>IF(最佳化斷筋點!N1056="","",最佳化斷筋點!N1056)</f>
        <v/>
      </c>
      <c r="AN1056" s="37" t="str">
        <f>IF(最佳化斷筋點!O1056="","",最佳化斷筋點!O1056)</f>
        <v/>
      </c>
      <c r="AO1056" s="37" t="str">
        <f>IF(最佳化斷筋點!P1056="","",最佳化斷筋點!P1056)</f>
        <v/>
      </c>
      <c r="AP1056" s="37" t="str">
        <f>IF(最佳化斷筋點!Q1056="","",最佳化斷筋點!Q1056)</f>
        <v/>
      </c>
      <c r="AQ1056" s="37" t="str">
        <f>IF(最佳化斷筋點!R1056="","",最佳化斷筋點!R1056)</f>
        <v/>
      </c>
      <c r="AR1056" s="37" t="str">
        <f>IF(最佳化斷筋點!S1056="","",最佳化斷筋點!S1056)</f>
        <v/>
      </c>
      <c r="AS1056" s="37" t="str">
        <f>IF(最佳化斷筋點!T1056="","",最佳化斷筋點!T1056)</f>
        <v/>
      </c>
      <c r="AT1056" s="37" t="str">
        <f>IF(最佳化斷筋點!U1056="","",最佳化斷筋點!U1056)</f>
        <v/>
      </c>
      <c r="AU1056" s="37" t="str">
        <f>IF(最佳化斷筋點!V1056="","",最佳化斷筋點!V1056)</f>
        <v/>
      </c>
      <c r="AV1056" s="37" t="str">
        <f>IF(最佳化斷筋點!W1056="","",最佳化斷筋點!W1056)</f>
        <v/>
      </c>
      <c r="AW1056" s="37" t="str">
        <f>IF(最佳化斷筋點!X1056="","",最佳化斷筋點!X1056)</f>
        <v/>
      </c>
      <c r="AZ1056" s="37" t="s">
        <v>197</v>
      </c>
      <c r="BA1056" s="37" t="s">
        <v>197</v>
      </c>
      <c r="BB1056" s="37" t="s">
        <v>197</v>
      </c>
      <c r="BC1056" s="37" t="s">
        <v>197</v>
      </c>
      <c r="BD1056" s="37" t="s">
        <v>197</v>
      </c>
      <c r="BE1056" s="37" t="s">
        <v>197</v>
      </c>
      <c r="BF1056" s="37" t="s">
        <v>197</v>
      </c>
      <c r="BG1056" s="37" t="s">
        <v>197</v>
      </c>
      <c r="BH1056" s="37" t="s">
        <v>197</v>
      </c>
      <c r="BI1056" s="37" t="s">
        <v>197</v>
      </c>
      <c r="BJ1056" s="37" t="s">
        <v>197</v>
      </c>
      <c r="BK1056" s="37" t="s">
        <v>197</v>
      </c>
      <c r="BL1056" s="37" t="s">
        <v>197</v>
      </c>
      <c r="BM1056" s="37" t="s">
        <v>197</v>
      </c>
      <c r="BN1056" s="37" t="s">
        <v>197</v>
      </c>
      <c r="BO1056" s="37" t="s">
        <v>197</v>
      </c>
      <c r="BP1056" s="37" t="s">
        <v>197</v>
      </c>
      <c r="BQ1056" s="37" t="s">
        <v>197</v>
      </c>
      <c r="BR1056" s="37" t="s">
        <v>197</v>
      </c>
      <c r="BS1056" s="37" t="s">
        <v>197</v>
      </c>
      <c r="BT1056" s="37" t="s">
        <v>197</v>
      </c>
    </row>
    <row r="1057" spans="5:72" x14ac:dyDescent="0.25">
      <c r="E1057" s="36" t="s">
        <v>21</v>
      </c>
      <c r="F1057" s="36">
        <f t="shared" si="337"/>
        <v>0</v>
      </c>
      <c r="G1057" s="36">
        <f t="shared" si="338"/>
        <v>0</v>
      </c>
      <c r="H1057" s="36">
        <f t="shared" si="339"/>
        <v>0</v>
      </c>
      <c r="I1057" s="36">
        <f t="shared" si="340"/>
        <v>0</v>
      </c>
      <c r="J1057" s="36">
        <f t="shared" si="341"/>
        <v>0</v>
      </c>
      <c r="K1057" s="36">
        <f t="shared" si="342"/>
        <v>0</v>
      </c>
      <c r="L1057" s="36">
        <f t="shared" si="343"/>
        <v>0</v>
      </c>
      <c r="M1057" s="36">
        <f t="shared" si="344"/>
        <v>0</v>
      </c>
      <c r="N1057" s="36">
        <f t="shared" si="345"/>
        <v>0</v>
      </c>
      <c r="O1057" s="36">
        <f t="shared" si="346"/>
        <v>0</v>
      </c>
      <c r="P1057" s="36">
        <f t="shared" si="347"/>
        <v>0</v>
      </c>
      <c r="Q1057" s="36">
        <f t="shared" si="348"/>
        <v>0</v>
      </c>
      <c r="R1057" s="36">
        <f t="shared" si="349"/>
        <v>0</v>
      </c>
      <c r="S1057" s="36">
        <f t="shared" si="350"/>
        <v>0</v>
      </c>
      <c r="T1057" s="36">
        <f t="shared" si="351"/>
        <v>0</v>
      </c>
      <c r="U1057" s="36">
        <f t="shared" si="352"/>
        <v>0</v>
      </c>
      <c r="V1057" s="36">
        <f t="shared" si="353"/>
        <v>0</v>
      </c>
      <c r="W1057" s="36">
        <f t="shared" si="354"/>
        <v>0</v>
      </c>
      <c r="X1057" s="36">
        <f t="shared" si="355"/>
        <v>0</v>
      </c>
      <c r="Y1057" s="36">
        <f t="shared" si="356"/>
        <v>0</v>
      </c>
      <c r="Z1057" s="36">
        <f t="shared" si="357"/>
        <v>0</v>
      </c>
      <c r="AB1057" s="36" t="str">
        <f>IF(最佳化斷筋點!C1057="","",最佳化斷筋點!C1057)</f>
        <v>下層</v>
      </c>
      <c r="AC1057" s="37">
        <f>IF(最佳化斷筋點!D1057="","",最佳化斷筋點!D1057)</f>
        <v>12</v>
      </c>
      <c r="AD1057" s="37">
        <f>IF(最佳化斷筋點!E1057="","",最佳化斷筋點!E1057)</f>
        <v>12</v>
      </c>
      <c r="AE1057" s="37">
        <f>IF(最佳化斷筋點!F1057="","",最佳化斷筋點!F1057)</f>
        <v>12</v>
      </c>
      <c r="AF1057" s="37">
        <f>IF(最佳化斷筋點!G1057="","",最佳化斷筋點!G1057)</f>
        <v>12</v>
      </c>
      <c r="AG1057" s="37">
        <f>IF(最佳化斷筋點!H1057="","",最佳化斷筋點!H1057)</f>
        <v>12</v>
      </c>
      <c r="AH1057" s="37">
        <f>IF(最佳化斷筋點!I1057="","",最佳化斷筋點!I1057)</f>
        <v>11</v>
      </c>
      <c r="AI1057" s="37">
        <f>IF(最佳化斷筋點!J1057="","",最佳化斷筋點!J1057)</f>
        <v>10</v>
      </c>
      <c r="AJ1057" s="37">
        <f>IF(最佳化斷筋點!K1057="","",最佳化斷筋點!K1057)</f>
        <v>5</v>
      </c>
      <c r="AK1057" s="37">
        <f>IF(最佳化斷筋點!L1057="","",最佳化斷筋點!L1057)</f>
        <v>5</v>
      </c>
      <c r="AL1057" s="37">
        <f>IF(最佳化斷筋點!M1057="","",最佳化斷筋點!M1057)</f>
        <v>5</v>
      </c>
      <c r="AM1057" s="37">
        <f>IF(最佳化斷筋點!N1057="","",最佳化斷筋點!N1057)</f>
        <v>5</v>
      </c>
      <c r="AN1057" s="37">
        <f>IF(最佳化斷筋點!O1057="","",最佳化斷筋點!O1057)</f>
        <v>5</v>
      </c>
      <c r="AO1057" s="37">
        <f>IF(最佳化斷筋點!P1057="","",最佳化斷筋點!P1057)</f>
        <v>5</v>
      </c>
      <c r="AP1057" s="37">
        <f>IF(最佳化斷筋點!Q1057="","",最佳化斷筋點!Q1057)</f>
        <v>7</v>
      </c>
      <c r="AQ1057" s="37">
        <f>IF(最佳化斷筋點!R1057="","",最佳化斷筋點!R1057)</f>
        <v>8</v>
      </c>
      <c r="AR1057" s="37">
        <f>IF(最佳化斷筋點!S1057="","",最佳化斷筋點!S1057)</f>
        <v>9</v>
      </c>
      <c r="AS1057" s="37">
        <f>IF(最佳化斷筋點!T1057="","",最佳化斷筋點!T1057)</f>
        <v>10</v>
      </c>
      <c r="AT1057" s="37">
        <f>IF(最佳化斷筋點!U1057="","",最佳化斷筋點!U1057)</f>
        <v>10</v>
      </c>
      <c r="AU1057" s="37">
        <f>IF(最佳化斷筋點!V1057="","",最佳化斷筋點!V1057)</f>
        <v>10</v>
      </c>
      <c r="AV1057" s="37">
        <f>IF(最佳化斷筋點!W1057="","",最佳化斷筋點!W1057)</f>
        <v>10</v>
      </c>
      <c r="AW1057" s="37">
        <f>IF(最佳化斷筋點!X1057="","",最佳化斷筋點!X1057)</f>
        <v>10</v>
      </c>
      <c r="AZ1057" s="37">
        <v>12</v>
      </c>
      <c r="BA1057" s="37">
        <v>12</v>
      </c>
      <c r="BB1057" s="37">
        <v>12</v>
      </c>
      <c r="BC1057" s="37">
        <v>12</v>
      </c>
      <c r="BD1057" s="37">
        <v>12</v>
      </c>
      <c r="BE1057" s="37">
        <v>11</v>
      </c>
      <c r="BF1057" s="37">
        <v>10</v>
      </c>
      <c r="BG1057" s="37">
        <v>5</v>
      </c>
      <c r="BH1057" s="37">
        <v>5</v>
      </c>
      <c r="BI1057" s="37">
        <v>5</v>
      </c>
      <c r="BJ1057" s="37">
        <v>5</v>
      </c>
      <c r="BK1057" s="37">
        <v>5</v>
      </c>
      <c r="BL1057" s="37">
        <v>5</v>
      </c>
      <c r="BM1057" s="37">
        <v>7</v>
      </c>
      <c r="BN1057" s="37">
        <v>8</v>
      </c>
      <c r="BO1057" s="37">
        <v>9</v>
      </c>
      <c r="BP1057" s="37">
        <v>10</v>
      </c>
      <c r="BQ1057" s="37">
        <v>10</v>
      </c>
      <c r="BR1057" s="37">
        <v>10</v>
      </c>
      <c r="BS1057" s="37">
        <v>10</v>
      </c>
      <c r="BT1057" s="37">
        <v>10</v>
      </c>
    </row>
    <row r="1058" spans="5:72" x14ac:dyDescent="0.25">
      <c r="E1058" s="36"/>
      <c r="F1058" s="36">
        <f t="shared" si="337"/>
        <v>0</v>
      </c>
      <c r="G1058" s="36">
        <f t="shared" si="338"/>
        <v>0</v>
      </c>
      <c r="H1058" s="36">
        <f t="shared" si="339"/>
        <v>0</v>
      </c>
      <c r="I1058" s="36">
        <f t="shared" si="340"/>
        <v>0</v>
      </c>
      <c r="J1058" s="36">
        <f t="shared" si="341"/>
        <v>0</v>
      </c>
      <c r="K1058" s="36">
        <f t="shared" si="342"/>
        <v>0</v>
      </c>
      <c r="L1058" s="36">
        <f t="shared" si="343"/>
        <v>0</v>
      </c>
      <c r="M1058" s="36">
        <f t="shared" si="344"/>
        <v>0</v>
      </c>
      <c r="N1058" s="36">
        <f t="shared" si="345"/>
        <v>0</v>
      </c>
      <c r="O1058" s="36">
        <f t="shared" si="346"/>
        <v>0</v>
      </c>
      <c r="P1058" s="36">
        <f t="shared" si="347"/>
        <v>0</v>
      </c>
      <c r="Q1058" s="36">
        <f t="shared" si="348"/>
        <v>0</v>
      </c>
      <c r="R1058" s="36">
        <f t="shared" si="349"/>
        <v>0</v>
      </c>
      <c r="S1058" s="36">
        <f t="shared" si="350"/>
        <v>0</v>
      </c>
      <c r="T1058" s="36">
        <f t="shared" si="351"/>
        <v>0</v>
      </c>
      <c r="U1058" s="36">
        <f t="shared" si="352"/>
        <v>0</v>
      </c>
      <c r="V1058" s="36">
        <f t="shared" si="353"/>
        <v>0</v>
      </c>
      <c r="W1058" s="36">
        <f t="shared" si="354"/>
        <v>0</v>
      </c>
      <c r="X1058" s="36">
        <f t="shared" si="355"/>
        <v>0</v>
      </c>
      <c r="Y1058" s="36">
        <f t="shared" si="356"/>
        <v>0</v>
      </c>
      <c r="Z1058" s="36">
        <f t="shared" si="357"/>
        <v>0</v>
      </c>
      <c r="AB1058" s="36" t="str">
        <f>IF(最佳化斷筋點!C1058="","",最佳化斷筋點!C1058)</f>
        <v/>
      </c>
      <c r="AC1058" s="37" t="str">
        <f>IF(最佳化斷筋點!D1058="","",最佳化斷筋點!D1058)</f>
        <v/>
      </c>
      <c r="AD1058" s="37" t="str">
        <f>IF(最佳化斷筋點!E1058="","",最佳化斷筋點!E1058)</f>
        <v/>
      </c>
      <c r="AE1058" s="37" t="str">
        <f>IF(最佳化斷筋點!F1058="","",最佳化斷筋點!F1058)</f>
        <v/>
      </c>
      <c r="AF1058" s="37" t="str">
        <f>IF(最佳化斷筋點!G1058="","",最佳化斷筋點!G1058)</f>
        <v/>
      </c>
      <c r="AG1058" s="37" t="str">
        <f>IF(最佳化斷筋點!H1058="","",最佳化斷筋點!H1058)</f>
        <v/>
      </c>
      <c r="AH1058" s="37" t="str">
        <f>IF(最佳化斷筋點!I1058="","",最佳化斷筋點!I1058)</f>
        <v/>
      </c>
      <c r="AI1058" s="37" t="str">
        <f>IF(最佳化斷筋點!J1058="","",最佳化斷筋點!J1058)</f>
        <v/>
      </c>
      <c r="AJ1058" s="37" t="str">
        <f>IF(最佳化斷筋點!K1058="","",最佳化斷筋點!K1058)</f>
        <v/>
      </c>
      <c r="AK1058" s="37" t="str">
        <f>IF(最佳化斷筋點!L1058="","",最佳化斷筋點!L1058)</f>
        <v/>
      </c>
      <c r="AL1058" s="37" t="str">
        <f>IF(最佳化斷筋點!M1058="","",最佳化斷筋點!M1058)</f>
        <v/>
      </c>
      <c r="AM1058" s="37" t="str">
        <f>IF(最佳化斷筋點!N1058="","",最佳化斷筋點!N1058)</f>
        <v/>
      </c>
      <c r="AN1058" s="37" t="str">
        <f>IF(最佳化斷筋點!O1058="","",最佳化斷筋點!O1058)</f>
        <v/>
      </c>
      <c r="AO1058" s="37" t="str">
        <f>IF(最佳化斷筋點!P1058="","",最佳化斷筋點!P1058)</f>
        <v/>
      </c>
      <c r="AP1058" s="37" t="str">
        <f>IF(最佳化斷筋點!Q1058="","",最佳化斷筋點!Q1058)</f>
        <v/>
      </c>
      <c r="AQ1058" s="37" t="str">
        <f>IF(最佳化斷筋點!R1058="","",最佳化斷筋點!R1058)</f>
        <v/>
      </c>
      <c r="AR1058" s="37" t="str">
        <f>IF(最佳化斷筋點!S1058="","",最佳化斷筋點!S1058)</f>
        <v/>
      </c>
      <c r="AS1058" s="37" t="str">
        <f>IF(最佳化斷筋點!T1058="","",最佳化斷筋點!T1058)</f>
        <v/>
      </c>
      <c r="AT1058" s="37" t="str">
        <f>IF(最佳化斷筋點!U1058="","",最佳化斷筋點!U1058)</f>
        <v/>
      </c>
      <c r="AU1058" s="37" t="str">
        <f>IF(最佳化斷筋點!V1058="","",最佳化斷筋點!V1058)</f>
        <v/>
      </c>
      <c r="AV1058" s="37" t="str">
        <f>IF(最佳化斷筋點!W1058="","",最佳化斷筋點!W1058)</f>
        <v/>
      </c>
      <c r="AW1058" s="37" t="str">
        <f>IF(最佳化斷筋點!X1058="","",最佳化斷筋點!X1058)</f>
        <v/>
      </c>
      <c r="AZ1058" s="37" t="s">
        <v>197</v>
      </c>
      <c r="BA1058" s="37" t="s">
        <v>197</v>
      </c>
      <c r="BB1058" s="37" t="s">
        <v>197</v>
      </c>
      <c r="BC1058" s="37" t="s">
        <v>197</v>
      </c>
      <c r="BD1058" s="37" t="s">
        <v>197</v>
      </c>
      <c r="BE1058" s="37" t="s">
        <v>197</v>
      </c>
      <c r="BF1058" s="37" t="s">
        <v>197</v>
      </c>
      <c r="BG1058" s="37" t="s">
        <v>197</v>
      </c>
      <c r="BH1058" s="37" t="s">
        <v>197</v>
      </c>
      <c r="BI1058" s="37" t="s">
        <v>197</v>
      </c>
      <c r="BJ1058" s="37" t="s">
        <v>197</v>
      </c>
      <c r="BK1058" s="37" t="s">
        <v>197</v>
      </c>
      <c r="BL1058" s="37" t="s">
        <v>197</v>
      </c>
      <c r="BM1058" s="37" t="s">
        <v>197</v>
      </c>
      <c r="BN1058" s="37" t="s">
        <v>197</v>
      </c>
      <c r="BO1058" s="37" t="s">
        <v>197</v>
      </c>
      <c r="BP1058" s="37" t="s">
        <v>197</v>
      </c>
      <c r="BQ1058" s="37" t="s">
        <v>197</v>
      </c>
      <c r="BR1058" s="37" t="s">
        <v>197</v>
      </c>
      <c r="BS1058" s="37" t="s">
        <v>197</v>
      </c>
      <c r="BT1058" s="37" t="s">
        <v>197</v>
      </c>
    </row>
    <row r="1059" spans="5:72" x14ac:dyDescent="0.25">
      <c r="E1059" s="36" t="s">
        <v>20</v>
      </c>
      <c r="F1059" s="36">
        <f t="shared" si="337"/>
        <v>0</v>
      </c>
      <c r="G1059" s="36">
        <f t="shared" si="338"/>
        <v>0</v>
      </c>
      <c r="H1059" s="36">
        <f t="shared" si="339"/>
        <v>0</v>
      </c>
      <c r="I1059" s="36">
        <f t="shared" si="340"/>
        <v>0</v>
      </c>
      <c r="J1059" s="36">
        <f t="shared" si="341"/>
        <v>0</v>
      </c>
      <c r="K1059" s="36">
        <f t="shared" si="342"/>
        <v>0</v>
      </c>
      <c r="L1059" s="36">
        <f t="shared" si="343"/>
        <v>0</v>
      </c>
      <c r="M1059" s="36">
        <f t="shared" si="344"/>
        <v>0</v>
      </c>
      <c r="N1059" s="36">
        <f t="shared" si="345"/>
        <v>0</v>
      </c>
      <c r="O1059" s="36">
        <f t="shared" si="346"/>
        <v>0</v>
      </c>
      <c r="P1059" s="36">
        <f t="shared" si="347"/>
        <v>0</v>
      </c>
      <c r="Q1059" s="36">
        <f t="shared" si="348"/>
        <v>0</v>
      </c>
      <c r="R1059" s="36">
        <f t="shared" si="349"/>
        <v>0</v>
      </c>
      <c r="S1059" s="36">
        <f t="shared" si="350"/>
        <v>0</v>
      </c>
      <c r="T1059" s="36">
        <f t="shared" si="351"/>
        <v>0</v>
      </c>
      <c r="U1059" s="36">
        <f t="shared" si="352"/>
        <v>0</v>
      </c>
      <c r="V1059" s="36">
        <f t="shared" si="353"/>
        <v>0</v>
      </c>
      <c r="W1059" s="36">
        <f t="shared" si="354"/>
        <v>0</v>
      </c>
      <c r="X1059" s="36">
        <f t="shared" si="355"/>
        <v>0</v>
      </c>
      <c r="Y1059" s="36">
        <f t="shared" si="356"/>
        <v>0</v>
      </c>
      <c r="Z1059" s="36">
        <f t="shared" si="357"/>
        <v>0</v>
      </c>
      <c r="AB1059" s="36" t="str">
        <f>IF(最佳化斷筋點!C1059="","",最佳化斷筋點!C1059)</f>
        <v>上層</v>
      </c>
      <c r="AC1059" s="37">
        <f>IF(最佳化斷筋點!D1059="","",最佳化斷筋點!D1059)</f>
        <v>8</v>
      </c>
      <c r="AD1059" s="37">
        <f>IF(最佳化斷筋點!E1059="","",最佳化斷筋點!E1059)</f>
        <v>8</v>
      </c>
      <c r="AE1059" s="37">
        <f>IF(最佳化斷筋點!F1059="","",最佳化斷筋點!F1059)</f>
        <v>8</v>
      </c>
      <c r="AF1059" s="37">
        <f>IF(最佳化斷筋點!G1059="","",最佳化斷筋點!G1059)</f>
        <v>8</v>
      </c>
      <c r="AG1059" s="37">
        <f>IF(最佳化斷筋點!H1059="","",最佳化斷筋點!H1059)</f>
        <v>8</v>
      </c>
      <c r="AH1059" s="37">
        <f>IF(最佳化斷筋點!I1059="","",最佳化斷筋點!I1059)</f>
        <v>7</v>
      </c>
      <c r="AI1059" s="37">
        <f>IF(最佳化斷筋點!J1059="","",最佳化斷筋點!J1059)</f>
        <v>6</v>
      </c>
      <c r="AJ1059" s="37">
        <f>IF(最佳化斷筋點!K1059="","",最佳化斷筋點!K1059)</f>
        <v>3</v>
      </c>
      <c r="AK1059" s="37">
        <f>IF(最佳化斷筋點!L1059="","",最佳化斷筋點!L1059)</f>
        <v>3</v>
      </c>
      <c r="AL1059" s="37">
        <f>IF(最佳化斷筋點!M1059="","",最佳化斷筋點!M1059)</f>
        <v>3</v>
      </c>
      <c r="AM1059" s="37">
        <f>IF(最佳化斷筋點!N1059="","",最佳化斷筋點!N1059)</f>
        <v>3</v>
      </c>
      <c r="AN1059" s="37">
        <f>IF(最佳化斷筋點!O1059="","",最佳化斷筋點!O1059)</f>
        <v>3</v>
      </c>
      <c r="AO1059" s="37">
        <f>IF(最佳化斷筋點!P1059="","",最佳化斷筋點!P1059)</f>
        <v>3</v>
      </c>
      <c r="AP1059" s="37">
        <f>IF(最佳化斷筋點!Q1059="","",最佳化斷筋點!Q1059)</f>
        <v>5</v>
      </c>
      <c r="AQ1059" s="37">
        <f>IF(最佳化斷筋點!R1059="","",最佳化斷筋點!R1059)</f>
        <v>6</v>
      </c>
      <c r="AR1059" s="37">
        <f>IF(最佳化斷筋點!S1059="","",最佳化斷筋點!S1059)</f>
        <v>6</v>
      </c>
      <c r="AS1059" s="37">
        <f>IF(最佳化斷筋點!T1059="","",最佳化斷筋點!T1059)</f>
        <v>7</v>
      </c>
      <c r="AT1059" s="37">
        <f>IF(最佳化斷筋點!U1059="","",最佳化斷筋點!U1059)</f>
        <v>8</v>
      </c>
      <c r="AU1059" s="37">
        <f>IF(最佳化斷筋點!V1059="","",最佳化斷筋點!V1059)</f>
        <v>8</v>
      </c>
      <c r="AV1059" s="37">
        <f>IF(最佳化斷筋點!W1059="","",最佳化斷筋點!W1059)</f>
        <v>8</v>
      </c>
      <c r="AW1059" s="37">
        <f>IF(最佳化斷筋點!X1059="","",最佳化斷筋點!X1059)</f>
        <v>8</v>
      </c>
      <c r="AZ1059" s="37">
        <v>8</v>
      </c>
      <c r="BA1059" s="37">
        <v>8</v>
      </c>
      <c r="BB1059" s="37">
        <v>8</v>
      </c>
      <c r="BC1059" s="37">
        <v>8</v>
      </c>
      <c r="BD1059" s="37">
        <v>8</v>
      </c>
      <c r="BE1059" s="37">
        <v>7</v>
      </c>
      <c r="BF1059" s="37">
        <v>6</v>
      </c>
      <c r="BG1059" s="37">
        <v>3</v>
      </c>
      <c r="BH1059" s="37">
        <v>3</v>
      </c>
      <c r="BI1059" s="37">
        <v>3</v>
      </c>
      <c r="BJ1059" s="37">
        <v>3</v>
      </c>
      <c r="BK1059" s="37">
        <v>3</v>
      </c>
      <c r="BL1059" s="37">
        <v>3</v>
      </c>
      <c r="BM1059" s="37">
        <v>5</v>
      </c>
      <c r="BN1059" s="37">
        <v>6</v>
      </c>
      <c r="BO1059" s="37">
        <v>6</v>
      </c>
      <c r="BP1059" s="37">
        <v>7</v>
      </c>
      <c r="BQ1059" s="37">
        <v>8</v>
      </c>
      <c r="BR1059" s="37">
        <v>8</v>
      </c>
      <c r="BS1059" s="37">
        <v>8</v>
      </c>
      <c r="BT1059" s="37">
        <v>8</v>
      </c>
    </row>
    <row r="1060" spans="5:72" x14ac:dyDescent="0.25">
      <c r="E1060" s="36"/>
      <c r="F1060" s="36">
        <f t="shared" si="337"/>
        <v>0</v>
      </c>
      <c r="G1060" s="36">
        <f t="shared" si="338"/>
        <v>0</v>
      </c>
      <c r="H1060" s="36">
        <f t="shared" si="339"/>
        <v>0</v>
      </c>
      <c r="I1060" s="36">
        <f t="shared" si="340"/>
        <v>0</v>
      </c>
      <c r="J1060" s="36">
        <f t="shared" si="341"/>
        <v>0</v>
      </c>
      <c r="K1060" s="36">
        <f t="shared" si="342"/>
        <v>0</v>
      </c>
      <c r="L1060" s="36">
        <f t="shared" si="343"/>
        <v>0</v>
      </c>
      <c r="M1060" s="36">
        <f t="shared" si="344"/>
        <v>0</v>
      </c>
      <c r="N1060" s="36">
        <f t="shared" si="345"/>
        <v>0</v>
      </c>
      <c r="O1060" s="36">
        <f t="shared" si="346"/>
        <v>0</v>
      </c>
      <c r="P1060" s="36">
        <f t="shared" si="347"/>
        <v>0</v>
      </c>
      <c r="Q1060" s="36">
        <f t="shared" si="348"/>
        <v>0</v>
      </c>
      <c r="R1060" s="36">
        <f t="shared" si="349"/>
        <v>0</v>
      </c>
      <c r="S1060" s="36">
        <f t="shared" si="350"/>
        <v>0</v>
      </c>
      <c r="T1060" s="36">
        <f t="shared" si="351"/>
        <v>0</v>
      </c>
      <c r="U1060" s="36">
        <f t="shared" si="352"/>
        <v>0</v>
      </c>
      <c r="V1060" s="36">
        <f t="shared" si="353"/>
        <v>0</v>
      </c>
      <c r="W1060" s="36">
        <f t="shared" si="354"/>
        <v>0</v>
      </c>
      <c r="X1060" s="36">
        <f t="shared" si="355"/>
        <v>0</v>
      </c>
      <c r="Y1060" s="36">
        <f t="shared" si="356"/>
        <v>0</v>
      </c>
      <c r="Z1060" s="36">
        <f t="shared" si="357"/>
        <v>0</v>
      </c>
      <c r="AB1060" s="36" t="str">
        <f>IF(最佳化斷筋點!C1060="","",最佳化斷筋點!C1060)</f>
        <v/>
      </c>
      <c r="AC1060" s="37" t="str">
        <f>IF(最佳化斷筋點!D1060="","",最佳化斷筋點!D1060)</f>
        <v/>
      </c>
      <c r="AD1060" s="37" t="str">
        <f>IF(最佳化斷筋點!E1060="","",最佳化斷筋點!E1060)</f>
        <v/>
      </c>
      <c r="AE1060" s="37" t="str">
        <f>IF(最佳化斷筋點!F1060="","",最佳化斷筋點!F1060)</f>
        <v/>
      </c>
      <c r="AF1060" s="37" t="str">
        <f>IF(最佳化斷筋點!G1060="","",最佳化斷筋點!G1060)</f>
        <v/>
      </c>
      <c r="AG1060" s="37" t="str">
        <f>IF(最佳化斷筋點!H1060="","",最佳化斷筋點!H1060)</f>
        <v/>
      </c>
      <c r="AH1060" s="37" t="str">
        <f>IF(最佳化斷筋點!I1060="","",最佳化斷筋點!I1060)</f>
        <v/>
      </c>
      <c r="AI1060" s="37" t="str">
        <f>IF(最佳化斷筋點!J1060="","",最佳化斷筋點!J1060)</f>
        <v/>
      </c>
      <c r="AJ1060" s="37" t="str">
        <f>IF(最佳化斷筋點!K1060="","",最佳化斷筋點!K1060)</f>
        <v/>
      </c>
      <c r="AK1060" s="37" t="str">
        <f>IF(最佳化斷筋點!L1060="","",最佳化斷筋點!L1060)</f>
        <v/>
      </c>
      <c r="AL1060" s="37" t="str">
        <f>IF(最佳化斷筋點!M1060="","",最佳化斷筋點!M1060)</f>
        <v/>
      </c>
      <c r="AM1060" s="37" t="str">
        <f>IF(最佳化斷筋點!N1060="","",最佳化斷筋點!N1060)</f>
        <v/>
      </c>
      <c r="AN1060" s="37" t="str">
        <f>IF(最佳化斷筋點!O1060="","",最佳化斷筋點!O1060)</f>
        <v/>
      </c>
      <c r="AO1060" s="37" t="str">
        <f>IF(最佳化斷筋點!P1060="","",最佳化斷筋點!P1060)</f>
        <v/>
      </c>
      <c r="AP1060" s="37" t="str">
        <f>IF(最佳化斷筋點!Q1060="","",最佳化斷筋點!Q1060)</f>
        <v/>
      </c>
      <c r="AQ1060" s="37" t="str">
        <f>IF(最佳化斷筋點!R1060="","",最佳化斷筋點!R1060)</f>
        <v/>
      </c>
      <c r="AR1060" s="37" t="str">
        <f>IF(最佳化斷筋點!S1060="","",最佳化斷筋點!S1060)</f>
        <v/>
      </c>
      <c r="AS1060" s="37" t="str">
        <f>IF(最佳化斷筋點!T1060="","",最佳化斷筋點!T1060)</f>
        <v/>
      </c>
      <c r="AT1060" s="37" t="str">
        <f>IF(最佳化斷筋點!U1060="","",最佳化斷筋點!U1060)</f>
        <v/>
      </c>
      <c r="AU1060" s="37" t="str">
        <f>IF(最佳化斷筋點!V1060="","",最佳化斷筋點!V1060)</f>
        <v/>
      </c>
      <c r="AV1060" s="37" t="str">
        <f>IF(最佳化斷筋點!W1060="","",最佳化斷筋點!W1060)</f>
        <v/>
      </c>
      <c r="AW1060" s="37" t="str">
        <f>IF(最佳化斷筋點!X1060="","",最佳化斷筋點!X1060)</f>
        <v/>
      </c>
      <c r="AZ1060" s="37" t="s">
        <v>197</v>
      </c>
      <c r="BA1060" s="37" t="s">
        <v>197</v>
      </c>
      <c r="BB1060" s="37" t="s">
        <v>197</v>
      </c>
      <c r="BC1060" s="37" t="s">
        <v>197</v>
      </c>
      <c r="BD1060" s="37" t="s">
        <v>197</v>
      </c>
      <c r="BE1060" s="37" t="s">
        <v>197</v>
      </c>
      <c r="BF1060" s="37" t="s">
        <v>197</v>
      </c>
      <c r="BG1060" s="37" t="s">
        <v>197</v>
      </c>
      <c r="BH1060" s="37" t="s">
        <v>197</v>
      </c>
      <c r="BI1060" s="37" t="s">
        <v>197</v>
      </c>
      <c r="BJ1060" s="37" t="s">
        <v>197</v>
      </c>
      <c r="BK1060" s="37" t="s">
        <v>197</v>
      </c>
      <c r="BL1060" s="37" t="s">
        <v>197</v>
      </c>
      <c r="BM1060" s="37" t="s">
        <v>197</v>
      </c>
      <c r="BN1060" s="37" t="s">
        <v>197</v>
      </c>
      <c r="BO1060" s="37" t="s">
        <v>197</v>
      </c>
      <c r="BP1060" s="37" t="s">
        <v>197</v>
      </c>
      <c r="BQ1060" s="37" t="s">
        <v>197</v>
      </c>
      <c r="BR1060" s="37" t="s">
        <v>197</v>
      </c>
      <c r="BS1060" s="37" t="s">
        <v>197</v>
      </c>
      <c r="BT1060" s="37" t="s">
        <v>197</v>
      </c>
    </row>
    <row r="1061" spans="5:72" x14ac:dyDescent="0.25">
      <c r="E1061" s="36" t="s">
        <v>21</v>
      </c>
      <c r="F1061" s="36">
        <f t="shared" si="337"/>
        <v>0</v>
      </c>
      <c r="G1061" s="36">
        <f t="shared" si="338"/>
        <v>0</v>
      </c>
      <c r="H1061" s="36">
        <f t="shared" si="339"/>
        <v>0</v>
      </c>
      <c r="I1061" s="36">
        <f t="shared" si="340"/>
        <v>0</v>
      </c>
      <c r="J1061" s="36">
        <f t="shared" si="341"/>
        <v>0</v>
      </c>
      <c r="K1061" s="36">
        <f t="shared" si="342"/>
        <v>0</v>
      </c>
      <c r="L1061" s="36">
        <f t="shared" si="343"/>
        <v>0</v>
      </c>
      <c r="M1061" s="36">
        <f t="shared" si="344"/>
        <v>0</v>
      </c>
      <c r="N1061" s="36">
        <f t="shared" si="345"/>
        <v>0</v>
      </c>
      <c r="O1061" s="36">
        <f t="shared" si="346"/>
        <v>0</v>
      </c>
      <c r="P1061" s="36">
        <f t="shared" si="347"/>
        <v>0</v>
      </c>
      <c r="Q1061" s="36">
        <f t="shared" si="348"/>
        <v>0</v>
      </c>
      <c r="R1061" s="36">
        <f t="shared" si="349"/>
        <v>0</v>
      </c>
      <c r="S1061" s="36">
        <f t="shared" si="350"/>
        <v>0</v>
      </c>
      <c r="T1061" s="36">
        <f t="shared" si="351"/>
        <v>0</v>
      </c>
      <c r="U1061" s="36">
        <f t="shared" si="352"/>
        <v>0</v>
      </c>
      <c r="V1061" s="36">
        <f t="shared" si="353"/>
        <v>0</v>
      </c>
      <c r="W1061" s="36">
        <f t="shared" si="354"/>
        <v>0</v>
      </c>
      <c r="X1061" s="36">
        <f t="shared" si="355"/>
        <v>0</v>
      </c>
      <c r="Y1061" s="36">
        <f t="shared" si="356"/>
        <v>0</v>
      </c>
      <c r="Z1061" s="36">
        <f t="shared" si="357"/>
        <v>0</v>
      </c>
      <c r="AB1061" s="36" t="str">
        <f>IF(最佳化斷筋點!C1061="","",最佳化斷筋點!C1061)</f>
        <v>下層</v>
      </c>
      <c r="AC1061" s="37">
        <f>IF(最佳化斷筋點!D1061="","",最佳化斷筋點!D1061)</f>
        <v>6</v>
      </c>
      <c r="AD1061" s="37">
        <f>IF(最佳化斷筋點!E1061="","",最佳化斷筋點!E1061)</f>
        <v>6</v>
      </c>
      <c r="AE1061" s="37">
        <f>IF(最佳化斷筋點!F1061="","",最佳化斷筋點!F1061)</f>
        <v>6</v>
      </c>
      <c r="AF1061" s="37">
        <f>IF(最佳化斷筋點!G1061="","",最佳化斷筋點!G1061)</f>
        <v>6</v>
      </c>
      <c r="AG1061" s="37">
        <f>IF(最佳化斷筋點!H1061="","",最佳化斷筋點!H1061)</f>
        <v>5</v>
      </c>
      <c r="AH1061" s="37">
        <f>IF(最佳化斷筋點!I1061="","",最佳化斷筋點!I1061)</f>
        <v>5</v>
      </c>
      <c r="AI1061" s="37">
        <f>IF(最佳化斷筋點!J1061="","",最佳化斷筋點!J1061)</f>
        <v>4</v>
      </c>
      <c r="AJ1061" s="37">
        <f>IF(最佳化斷筋點!K1061="","",最佳化斷筋點!K1061)</f>
        <v>4</v>
      </c>
      <c r="AK1061" s="37">
        <f>IF(最佳化斷筋點!L1061="","",最佳化斷筋點!L1061)</f>
        <v>4</v>
      </c>
      <c r="AL1061" s="37">
        <f>IF(最佳化斷筋點!M1061="","",最佳化斷筋點!M1061)</f>
        <v>4</v>
      </c>
      <c r="AM1061" s="37">
        <f>IF(最佳化斷筋點!N1061="","",最佳化斷筋點!N1061)</f>
        <v>4</v>
      </c>
      <c r="AN1061" s="37">
        <f>IF(最佳化斷筋點!O1061="","",最佳化斷筋點!O1061)</f>
        <v>4</v>
      </c>
      <c r="AO1061" s="37">
        <f>IF(最佳化斷筋點!P1061="","",最佳化斷筋點!P1061)</f>
        <v>4</v>
      </c>
      <c r="AP1061" s="37">
        <f>IF(最佳化斷筋點!Q1061="","",最佳化斷筋點!Q1061)</f>
        <v>4</v>
      </c>
      <c r="AQ1061" s="37">
        <f>IF(最佳化斷筋點!R1061="","",最佳化斷筋點!R1061)</f>
        <v>4</v>
      </c>
      <c r="AR1061" s="37">
        <f>IF(最佳化斷筋點!S1061="","",最佳化斷筋點!S1061)</f>
        <v>4</v>
      </c>
      <c r="AS1061" s="37">
        <f>IF(最佳化斷筋點!T1061="","",最佳化斷筋點!T1061)</f>
        <v>5</v>
      </c>
      <c r="AT1061" s="37">
        <f>IF(最佳化斷筋點!U1061="","",最佳化斷筋點!U1061)</f>
        <v>5</v>
      </c>
      <c r="AU1061" s="37">
        <f>IF(最佳化斷筋點!V1061="","",最佳化斷筋點!V1061)</f>
        <v>6</v>
      </c>
      <c r="AV1061" s="37">
        <f>IF(最佳化斷筋點!W1061="","",最佳化斷筋點!W1061)</f>
        <v>6</v>
      </c>
      <c r="AW1061" s="37">
        <f>IF(最佳化斷筋點!X1061="","",最佳化斷筋點!X1061)</f>
        <v>6</v>
      </c>
      <c r="AZ1061" s="37">
        <v>6</v>
      </c>
      <c r="BA1061" s="37">
        <v>6</v>
      </c>
      <c r="BB1061" s="37">
        <v>6</v>
      </c>
      <c r="BC1061" s="37">
        <v>6</v>
      </c>
      <c r="BD1061" s="37">
        <v>5</v>
      </c>
      <c r="BE1061" s="37">
        <v>5</v>
      </c>
      <c r="BF1061" s="37">
        <v>4</v>
      </c>
      <c r="BG1061" s="37">
        <v>4</v>
      </c>
      <c r="BH1061" s="37">
        <v>4</v>
      </c>
      <c r="BI1061" s="37">
        <v>4</v>
      </c>
      <c r="BJ1061" s="37">
        <v>4</v>
      </c>
      <c r="BK1061" s="37">
        <v>4</v>
      </c>
      <c r="BL1061" s="37">
        <v>4</v>
      </c>
      <c r="BM1061" s="37">
        <v>4</v>
      </c>
      <c r="BN1061" s="37">
        <v>4</v>
      </c>
      <c r="BO1061" s="37">
        <v>4</v>
      </c>
      <c r="BP1061" s="37">
        <v>5</v>
      </c>
      <c r="BQ1061" s="37">
        <v>5</v>
      </c>
      <c r="BR1061" s="37">
        <v>6</v>
      </c>
      <c r="BS1061" s="37">
        <v>6</v>
      </c>
      <c r="BT1061" s="37">
        <v>6</v>
      </c>
    </row>
    <row r="1062" spans="5:72" x14ac:dyDescent="0.25">
      <c r="E1062" s="36"/>
      <c r="F1062" s="36">
        <f t="shared" si="337"/>
        <v>0</v>
      </c>
      <c r="G1062" s="36">
        <f t="shared" si="338"/>
        <v>0</v>
      </c>
      <c r="H1062" s="36">
        <f t="shared" si="339"/>
        <v>0</v>
      </c>
      <c r="I1062" s="36">
        <f t="shared" si="340"/>
        <v>0</v>
      </c>
      <c r="J1062" s="36">
        <f t="shared" si="341"/>
        <v>0</v>
      </c>
      <c r="K1062" s="36">
        <f t="shared" si="342"/>
        <v>0</v>
      </c>
      <c r="L1062" s="36">
        <f t="shared" si="343"/>
        <v>0</v>
      </c>
      <c r="M1062" s="36">
        <f t="shared" si="344"/>
        <v>0</v>
      </c>
      <c r="N1062" s="36">
        <f t="shared" si="345"/>
        <v>0</v>
      </c>
      <c r="O1062" s="36">
        <f t="shared" si="346"/>
        <v>0</v>
      </c>
      <c r="P1062" s="36">
        <f t="shared" si="347"/>
        <v>0</v>
      </c>
      <c r="Q1062" s="36">
        <f t="shared" si="348"/>
        <v>0</v>
      </c>
      <c r="R1062" s="36">
        <f t="shared" si="349"/>
        <v>0</v>
      </c>
      <c r="S1062" s="36">
        <f t="shared" si="350"/>
        <v>0</v>
      </c>
      <c r="T1062" s="36">
        <f t="shared" si="351"/>
        <v>0</v>
      </c>
      <c r="U1062" s="36">
        <f t="shared" si="352"/>
        <v>0</v>
      </c>
      <c r="V1062" s="36">
        <f t="shared" si="353"/>
        <v>0</v>
      </c>
      <c r="W1062" s="36">
        <f t="shared" si="354"/>
        <v>0</v>
      </c>
      <c r="X1062" s="36">
        <f t="shared" si="355"/>
        <v>0</v>
      </c>
      <c r="Y1062" s="36">
        <f t="shared" si="356"/>
        <v>0</v>
      </c>
      <c r="Z1062" s="36">
        <f t="shared" si="357"/>
        <v>0</v>
      </c>
      <c r="AB1062" s="36" t="str">
        <f>IF(最佳化斷筋點!C1062="","",最佳化斷筋點!C1062)</f>
        <v/>
      </c>
      <c r="AC1062" s="37" t="str">
        <f>IF(最佳化斷筋點!D1062="","",最佳化斷筋點!D1062)</f>
        <v/>
      </c>
      <c r="AD1062" s="37" t="str">
        <f>IF(最佳化斷筋點!E1062="","",最佳化斷筋點!E1062)</f>
        <v/>
      </c>
      <c r="AE1062" s="37" t="str">
        <f>IF(最佳化斷筋點!F1062="","",最佳化斷筋點!F1062)</f>
        <v/>
      </c>
      <c r="AF1062" s="37" t="str">
        <f>IF(最佳化斷筋點!G1062="","",最佳化斷筋點!G1062)</f>
        <v/>
      </c>
      <c r="AG1062" s="37" t="str">
        <f>IF(最佳化斷筋點!H1062="","",最佳化斷筋點!H1062)</f>
        <v/>
      </c>
      <c r="AH1062" s="37" t="str">
        <f>IF(最佳化斷筋點!I1062="","",最佳化斷筋點!I1062)</f>
        <v/>
      </c>
      <c r="AI1062" s="37" t="str">
        <f>IF(最佳化斷筋點!J1062="","",最佳化斷筋點!J1062)</f>
        <v/>
      </c>
      <c r="AJ1062" s="37" t="str">
        <f>IF(最佳化斷筋點!K1062="","",最佳化斷筋點!K1062)</f>
        <v/>
      </c>
      <c r="AK1062" s="37" t="str">
        <f>IF(最佳化斷筋點!L1062="","",最佳化斷筋點!L1062)</f>
        <v/>
      </c>
      <c r="AL1062" s="37" t="str">
        <f>IF(最佳化斷筋點!M1062="","",最佳化斷筋點!M1062)</f>
        <v/>
      </c>
      <c r="AM1062" s="37" t="str">
        <f>IF(最佳化斷筋點!N1062="","",最佳化斷筋點!N1062)</f>
        <v/>
      </c>
      <c r="AN1062" s="37" t="str">
        <f>IF(最佳化斷筋點!O1062="","",最佳化斷筋點!O1062)</f>
        <v/>
      </c>
      <c r="AO1062" s="37" t="str">
        <f>IF(最佳化斷筋點!P1062="","",最佳化斷筋點!P1062)</f>
        <v/>
      </c>
      <c r="AP1062" s="37" t="str">
        <f>IF(最佳化斷筋點!Q1062="","",最佳化斷筋點!Q1062)</f>
        <v/>
      </c>
      <c r="AQ1062" s="37" t="str">
        <f>IF(最佳化斷筋點!R1062="","",最佳化斷筋點!R1062)</f>
        <v/>
      </c>
      <c r="AR1062" s="37" t="str">
        <f>IF(最佳化斷筋點!S1062="","",最佳化斷筋點!S1062)</f>
        <v/>
      </c>
      <c r="AS1062" s="37" t="str">
        <f>IF(最佳化斷筋點!T1062="","",最佳化斷筋點!T1062)</f>
        <v/>
      </c>
      <c r="AT1062" s="37" t="str">
        <f>IF(最佳化斷筋點!U1062="","",最佳化斷筋點!U1062)</f>
        <v/>
      </c>
      <c r="AU1062" s="37" t="str">
        <f>IF(最佳化斷筋點!V1062="","",最佳化斷筋點!V1062)</f>
        <v/>
      </c>
      <c r="AV1062" s="37" t="str">
        <f>IF(最佳化斷筋點!W1062="","",最佳化斷筋點!W1062)</f>
        <v/>
      </c>
      <c r="AW1062" s="37" t="str">
        <f>IF(最佳化斷筋點!X1062="","",最佳化斷筋點!X1062)</f>
        <v/>
      </c>
      <c r="AZ1062" s="37" t="s">
        <v>197</v>
      </c>
      <c r="BA1062" s="37" t="s">
        <v>197</v>
      </c>
      <c r="BB1062" s="37" t="s">
        <v>197</v>
      </c>
      <c r="BC1062" s="37" t="s">
        <v>197</v>
      </c>
      <c r="BD1062" s="37" t="s">
        <v>197</v>
      </c>
      <c r="BE1062" s="37" t="s">
        <v>197</v>
      </c>
      <c r="BF1062" s="37" t="s">
        <v>197</v>
      </c>
      <c r="BG1062" s="37" t="s">
        <v>197</v>
      </c>
      <c r="BH1062" s="37" t="s">
        <v>197</v>
      </c>
      <c r="BI1062" s="37" t="s">
        <v>197</v>
      </c>
      <c r="BJ1062" s="37" t="s">
        <v>197</v>
      </c>
      <c r="BK1062" s="37" t="s">
        <v>197</v>
      </c>
      <c r="BL1062" s="37" t="s">
        <v>197</v>
      </c>
      <c r="BM1062" s="37" t="s">
        <v>197</v>
      </c>
      <c r="BN1062" s="37" t="s">
        <v>197</v>
      </c>
      <c r="BO1062" s="37" t="s">
        <v>197</v>
      </c>
      <c r="BP1062" s="37" t="s">
        <v>197</v>
      </c>
      <c r="BQ1062" s="37" t="s">
        <v>197</v>
      </c>
      <c r="BR1062" s="37" t="s">
        <v>197</v>
      </c>
      <c r="BS1062" s="37" t="s">
        <v>197</v>
      </c>
      <c r="BT1062" s="37" t="s">
        <v>197</v>
      </c>
    </row>
    <row r="1063" spans="5:72" x14ac:dyDescent="0.25">
      <c r="E1063" s="36" t="s">
        <v>20</v>
      </c>
      <c r="F1063" s="36">
        <f t="shared" si="337"/>
        <v>0</v>
      </c>
      <c r="G1063" s="36">
        <f t="shared" si="338"/>
        <v>0</v>
      </c>
      <c r="H1063" s="36">
        <f t="shared" si="339"/>
        <v>0</v>
      </c>
      <c r="I1063" s="36">
        <f t="shared" si="340"/>
        <v>0</v>
      </c>
      <c r="J1063" s="36">
        <f t="shared" si="341"/>
        <v>0</v>
      </c>
      <c r="K1063" s="36">
        <f t="shared" si="342"/>
        <v>0</v>
      </c>
      <c r="L1063" s="36">
        <f t="shared" si="343"/>
        <v>0</v>
      </c>
      <c r="M1063" s="36">
        <f t="shared" si="344"/>
        <v>0</v>
      </c>
      <c r="N1063" s="36">
        <f t="shared" si="345"/>
        <v>0</v>
      </c>
      <c r="O1063" s="36">
        <f t="shared" si="346"/>
        <v>0</v>
      </c>
      <c r="P1063" s="36">
        <f t="shared" si="347"/>
        <v>0</v>
      </c>
      <c r="Q1063" s="36">
        <f t="shared" si="348"/>
        <v>0</v>
      </c>
      <c r="R1063" s="36">
        <f t="shared" si="349"/>
        <v>0</v>
      </c>
      <c r="S1063" s="36">
        <f t="shared" si="350"/>
        <v>0</v>
      </c>
      <c r="T1063" s="36">
        <f t="shared" si="351"/>
        <v>0</v>
      </c>
      <c r="U1063" s="36">
        <f t="shared" si="352"/>
        <v>0</v>
      </c>
      <c r="V1063" s="36">
        <f t="shared" si="353"/>
        <v>0</v>
      </c>
      <c r="W1063" s="36">
        <f t="shared" si="354"/>
        <v>0</v>
      </c>
      <c r="X1063" s="36">
        <f t="shared" si="355"/>
        <v>0</v>
      </c>
      <c r="Y1063" s="36">
        <f t="shared" si="356"/>
        <v>0</v>
      </c>
      <c r="Z1063" s="36">
        <f t="shared" si="357"/>
        <v>0</v>
      </c>
      <c r="AB1063" s="36" t="str">
        <f>IF(最佳化斷筋點!C1063="","",最佳化斷筋點!C1063)</f>
        <v>上層</v>
      </c>
      <c r="AC1063" s="37">
        <f>IF(最佳化斷筋點!D1063="","",最佳化斷筋點!D1063)</f>
        <v>10</v>
      </c>
      <c r="AD1063" s="37">
        <f>IF(最佳化斷筋點!E1063="","",最佳化斷筋點!E1063)</f>
        <v>10</v>
      </c>
      <c r="AE1063" s="37">
        <f>IF(最佳化斷筋點!F1063="","",最佳化斷筋點!F1063)</f>
        <v>10</v>
      </c>
      <c r="AF1063" s="37">
        <f>IF(最佳化斷筋點!G1063="","",最佳化斷筋點!G1063)</f>
        <v>10</v>
      </c>
      <c r="AG1063" s="37">
        <f>IF(最佳化斷筋點!H1063="","",最佳化斷筋點!H1063)</f>
        <v>10</v>
      </c>
      <c r="AH1063" s="37">
        <f>IF(最佳化斷筋點!I1063="","",最佳化斷筋點!I1063)</f>
        <v>10</v>
      </c>
      <c r="AI1063" s="37">
        <f>IF(最佳化斷筋點!J1063="","",最佳化斷筋點!J1063)</f>
        <v>10</v>
      </c>
      <c r="AJ1063" s="37">
        <f>IF(最佳化斷筋點!K1063="","",最佳化斷筋點!K1063)</f>
        <v>9</v>
      </c>
      <c r="AK1063" s="37">
        <f>IF(最佳化斷筋點!L1063="","",最佳化斷筋點!L1063)</f>
        <v>8</v>
      </c>
      <c r="AL1063" s="37">
        <f>IF(最佳化斷筋點!M1063="","",最佳化斷筋點!M1063)</f>
        <v>7</v>
      </c>
      <c r="AM1063" s="37">
        <f>IF(最佳化斷筋點!N1063="","",最佳化斷筋點!N1063)</f>
        <v>6</v>
      </c>
      <c r="AN1063" s="37">
        <f>IF(最佳化斷筋點!O1063="","",最佳化斷筋點!O1063)</f>
        <v>6</v>
      </c>
      <c r="AO1063" s="37">
        <f>IF(最佳化斷筋點!P1063="","",最佳化斷筋點!P1063)</f>
        <v>7</v>
      </c>
      <c r="AP1063" s="37">
        <f>IF(最佳化斷筋點!Q1063="","",最佳化斷筋點!Q1063)</f>
        <v>8</v>
      </c>
      <c r="AQ1063" s="37">
        <f>IF(最佳化斷筋點!R1063="","",最佳化斷筋點!R1063)</f>
        <v>9</v>
      </c>
      <c r="AR1063" s="37">
        <f>IF(最佳化斷筋點!S1063="","",最佳化斷筋點!S1063)</f>
        <v>10</v>
      </c>
      <c r="AS1063" s="37">
        <f>IF(最佳化斷筋點!T1063="","",最佳化斷筋點!T1063)</f>
        <v>10</v>
      </c>
      <c r="AT1063" s="37">
        <f>IF(最佳化斷筋點!U1063="","",最佳化斷筋點!U1063)</f>
        <v>10</v>
      </c>
      <c r="AU1063" s="37">
        <f>IF(最佳化斷筋點!V1063="","",最佳化斷筋點!V1063)</f>
        <v>10</v>
      </c>
      <c r="AV1063" s="37">
        <f>IF(最佳化斷筋點!W1063="","",最佳化斷筋點!W1063)</f>
        <v>10</v>
      </c>
      <c r="AW1063" s="37">
        <f>IF(最佳化斷筋點!X1063="","",最佳化斷筋點!X1063)</f>
        <v>10</v>
      </c>
      <c r="AZ1063" s="37">
        <v>10</v>
      </c>
      <c r="BA1063" s="37">
        <v>10</v>
      </c>
      <c r="BB1063" s="37">
        <v>10</v>
      </c>
      <c r="BC1063" s="37">
        <v>10</v>
      </c>
      <c r="BD1063" s="37">
        <v>10</v>
      </c>
      <c r="BE1063" s="37">
        <v>10</v>
      </c>
      <c r="BF1063" s="37">
        <v>10</v>
      </c>
      <c r="BG1063" s="37">
        <v>9</v>
      </c>
      <c r="BH1063" s="37">
        <v>8</v>
      </c>
      <c r="BI1063" s="37">
        <v>7</v>
      </c>
      <c r="BJ1063" s="37">
        <v>6</v>
      </c>
      <c r="BK1063" s="37">
        <v>6</v>
      </c>
      <c r="BL1063" s="37">
        <v>7</v>
      </c>
      <c r="BM1063" s="37">
        <v>8</v>
      </c>
      <c r="BN1063" s="37">
        <v>9</v>
      </c>
      <c r="BO1063" s="37">
        <v>10</v>
      </c>
      <c r="BP1063" s="37">
        <v>10</v>
      </c>
      <c r="BQ1063" s="37">
        <v>10</v>
      </c>
      <c r="BR1063" s="37">
        <v>10</v>
      </c>
      <c r="BS1063" s="37">
        <v>10</v>
      </c>
      <c r="BT1063" s="37">
        <v>10</v>
      </c>
    </row>
    <row r="1064" spans="5:72" x14ac:dyDescent="0.25">
      <c r="E1064" s="36"/>
      <c r="F1064" s="36">
        <f t="shared" si="337"/>
        <v>0</v>
      </c>
      <c r="G1064" s="36">
        <f t="shared" si="338"/>
        <v>0</v>
      </c>
      <c r="H1064" s="36">
        <f t="shared" si="339"/>
        <v>0</v>
      </c>
      <c r="I1064" s="36">
        <f t="shared" si="340"/>
        <v>0</v>
      </c>
      <c r="J1064" s="36">
        <f t="shared" si="341"/>
        <v>0</v>
      </c>
      <c r="K1064" s="36">
        <f t="shared" si="342"/>
        <v>0</v>
      </c>
      <c r="L1064" s="36">
        <f t="shared" si="343"/>
        <v>0</v>
      </c>
      <c r="M1064" s="36">
        <f t="shared" si="344"/>
        <v>0</v>
      </c>
      <c r="N1064" s="36">
        <f t="shared" si="345"/>
        <v>0</v>
      </c>
      <c r="O1064" s="36">
        <f t="shared" si="346"/>
        <v>0</v>
      </c>
      <c r="P1064" s="36">
        <f t="shared" si="347"/>
        <v>0</v>
      </c>
      <c r="Q1064" s="36">
        <f t="shared" si="348"/>
        <v>0</v>
      </c>
      <c r="R1064" s="36">
        <f t="shared" si="349"/>
        <v>0</v>
      </c>
      <c r="S1064" s="36">
        <f t="shared" si="350"/>
        <v>0</v>
      </c>
      <c r="T1064" s="36">
        <f t="shared" si="351"/>
        <v>0</v>
      </c>
      <c r="U1064" s="36">
        <f t="shared" si="352"/>
        <v>0</v>
      </c>
      <c r="V1064" s="36">
        <f t="shared" si="353"/>
        <v>0</v>
      </c>
      <c r="W1064" s="36">
        <f t="shared" si="354"/>
        <v>0</v>
      </c>
      <c r="X1064" s="36">
        <f t="shared" si="355"/>
        <v>0</v>
      </c>
      <c r="Y1064" s="36">
        <f t="shared" si="356"/>
        <v>0</v>
      </c>
      <c r="Z1064" s="36">
        <f t="shared" si="357"/>
        <v>0</v>
      </c>
      <c r="AB1064" s="36" t="str">
        <f>IF(最佳化斷筋點!C1064="","",最佳化斷筋點!C1064)</f>
        <v/>
      </c>
      <c r="AC1064" s="37" t="str">
        <f>IF(最佳化斷筋點!D1064="","",最佳化斷筋點!D1064)</f>
        <v/>
      </c>
      <c r="AD1064" s="37" t="str">
        <f>IF(最佳化斷筋點!E1064="","",最佳化斷筋點!E1064)</f>
        <v/>
      </c>
      <c r="AE1064" s="37" t="str">
        <f>IF(最佳化斷筋點!F1064="","",最佳化斷筋點!F1064)</f>
        <v/>
      </c>
      <c r="AF1064" s="37" t="str">
        <f>IF(最佳化斷筋點!G1064="","",最佳化斷筋點!G1064)</f>
        <v/>
      </c>
      <c r="AG1064" s="37" t="str">
        <f>IF(最佳化斷筋點!H1064="","",最佳化斷筋點!H1064)</f>
        <v/>
      </c>
      <c r="AH1064" s="37" t="str">
        <f>IF(最佳化斷筋點!I1064="","",最佳化斷筋點!I1064)</f>
        <v/>
      </c>
      <c r="AI1064" s="37" t="str">
        <f>IF(最佳化斷筋點!J1064="","",最佳化斷筋點!J1064)</f>
        <v/>
      </c>
      <c r="AJ1064" s="37" t="str">
        <f>IF(最佳化斷筋點!K1064="","",最佳化斷筋點!K1064)</f>
        <v/>
      </c>
      <c r="AK1064" s="37" t="str">
        <f>IF(最佳化斷筋點!L1064="","",最佳化斷筋點!L1064)</f>
        <v/>
      </c>
      <c r="AL1064" s="37" t="str">
        <f>IF(最佳化斷筋點!M1064="","",最佳化斷筋點!M1064)</f>
        <v/>
      </c>
      <c r="AM1064" s="37" t="str">
        <f>IF(最佳化斷筋點!N1064="","",最佳化斷筋點!N1064)</f>
        <v/>
      </c>
      <c r="AN1064" s="37" t="str">
        <f>IF(最佳化斷筋點!O1064="","",最佳化斷筋點!O1064)</f>
        <v/>
      </c>
      <c r="AO1064" s="37" t="str">
        <f>IF(最佳化斷筋點!P1064="","",最佳化斷筋點!P1064)</f>
        <v/>
      </c>
      <c r="AP1064" s="37" t="str">
        <f>IF(最佳化斷筋點!Q1064="","",最佳化斷筋點!Q1064)</f>
        <v/>
      </c>
      <c r="AQ1064" s="37" t="str">
        <f>IF(最佳化斷筋點!R1064="","",最佳化斷筋點!R1064)</f>
        <v/>
      </c>
      <c r="AR1064" s="37" t="str">
        <f>IF(最佳化斷筋點!S1064="","",最佳化斷筋點!S1064)</f>
        <v/>
      </c>
      <c r="AS1064" s="37" t="str">
        <f>IF(最佳化斷筋點!T1064="","",最佳化斷筋點!T1064)</f>
        <v/>
      </c>
      <c r="AT1064" s="37" t="str">
        <f>IF(最佳化斷筋點!U1064="","",最佳化斷筋點!U1064)</f>
        <v/>
      </c>
      <c r="AU1064" s="37" t="str">
        <f>IF(最佳化斷筋點!V1064="","",最佳化斷筋點!V1064)</f>
        <v/>
      </c>
      <c r="AV1064" s="37" t="str">
        <f>IF(最佳化斷筋點!W1064="","",最佳化斷筋點!W1064)</f>
        <v/>
      </c>
      <c r="AW1064" s="37" t="str">
        <f>IF(最佳化斷筋點!X1064="","",最佳化斷筋點!X1064)</f>
        <v/>
      </c>
      <c r="AZ1064" s="37" t="s">
        <v>197</v>
      </c>
      <c r="BA1064" s="37" t="s">
        <v>197</v>
      </c>
      <c r="BB1064" s="37" t="s">
        <v>197</v>
      </c>
      <c r="BC1064" s="37" t="s">
        <v>197</v>
      </c>
      <c r="BD1064" s="37" t="s">
        <v>197</v>
      </c>
      <c r="BE1064" s="37" t="s">
        <v>197</v>
      </c>
      <c r="BF1064" s="37" t="s">
        <v>197</v>
      </c>
      <c r="BG1064" s="37" t="s">
        <v>197</v>
      </c>
      <c r="BH1064" s="37" t="s">
        <v>197</v>
      </c>
      <c r="BI1064" s="37" t="s">
        <v>197</v>
      </c>
      <c r="BJ1064" s="37" t="s">
        <v>197</v>
      </c>
      <c r="BK1064" s="37" t="s">
        <v>197</v>
      </c>
      <c r="BL1064" s="37" t="s">
        <v>197</v>
      </c>
      <c r="BM1064" s="37" t="s">
        <v>197</v>
      </c>
      <c r="BN1064" s="37" t="s">
        <v>197</v>
      </c>
      <c r="BO1064" s="37" t="s">
        <v>197</v>
      </c>
      <c r="BP1064" s="37" t="s">
        <v>197</v>
      </c>
      <c r="BQ1064" s="37" t="s">
        <v>197</v>
      </c>
      <c r="BR1064" s="37" t="s">
        <v>197</v>
      </c>
      <c r="BS1064" s="37" t="s">
        <v>197</v>
      </c>
      <c r="BT1064" s="37" t="s">
        <v>197</v>
      </c>
    </row>
    <row r="1065" spans="5:72" x14ac:dyDescent="0.25">
      <c r="E1065" s="36" t="s">
        <v>21</v>
      </c>
      <c r="F1065" s="36">
        <f t="shared" si="337"/>
        <v>0</v>
      </c>
      <c r="G1065" s="36">
        <f t="shared" si="338"/>
        <v>0</v>
      </c>
      <c r="H1065" s="36">
        <f t="shared" si="339"/>
        <v>0</v>
      </c>
      <c r="I1065" s="36">
        <f t="shared" si="340"/>
        <v>0</v>
      </c>
      <c r="J1065" s="36">
        <f t="shared" si="341"/>
        <v>0</v>
      </c>
      <c r="K1065" s="36">
        <f t="shared" si="342"/>
        <v>0</v>
      </c>
      <c r="L1065" s="36">
        <f t="shared" si="343"/>
        <v>0</v>
      </c>
      <c r="M1065" s="36">
        <f t="shared" si="344"/>
        <v>0</v>
      </c>
      <c r="N1065" s="36">
        <f t="shared" si="345"/>
        <v>0</v>
      </c>
      <c r="O1065" s="36">
        <f t="shared" si="346"/>
        <v>0</v>
      </c>
      <c r="P1065" s="36">
        <f t="shared" si="347"/>
        <v>0</v>
      </c>
      <c r="Q1065" s="36">
        <f t="shared" si="348"/>
        <v>0</v>
      </c>
      <c r="R1065" s="36">
        <f t="shared" si="349"/>
        <v>0</v>
      </c>
      <c r="S1065" s="36">
        <f t="shared" si="350"/>
        <v>0</v>
      </c>
      <c r="T1065" s="36">
        <f t="shared" si="351"/>
        <v>0</v>
      </c>
      <c r="U1065" s="36">
        <f t="shared" si="352"/>
        <v>0</v>
      </c>
      <c r="V1065" s="36">
        <f t="shared" si="353"/>
        <v>0</v>
      </c>
      <c r="W1065" s="36">
        <f t="shared" si="354"/>
        <v>0</v>
      </c>
      <c r="X1065" s="36">
        <f t="shared" si="355"/>
        <v>0</v>
      </c>
      <c r="Y1065" s="36">
        <f t="shared" si="356"/>
        <v>0</v>
      </c>
      <c r="Z1065" s="36">
        <f t="shared" si="357"/>
        <v>0</v>
      </c>
      <c r="AB1065" s="36" t="str">
        <f>IF(最佳化斷筋點!C1065="","",最佳化斷筋點!C1065)</f>
        <v>下層</v>
      </c>
      <c r="AC1065" s="37">
        <f>IF(最佳化斷筋點!D1065="","",最佳化斷筋點!D1065)</f>
        <v>14</v>
      </c>
      <c r="AD1065" s="37">
        <f>IF(最佳化斷筋點!E1065="","",最佳化斷筋點!E1065)</f>
        <v>14</v>
      </c>
      <c r="AE1065" s="37">
        <f>IF(最佳化斷筋點!F1065="","",最佳化斷筋點!F1065)</f>
        <v>14</v>
      </c>
      <c r="AF1065" s="37">
        <f>IF(最佳化斷筋點!G1065="","",最佳化斷筋點!G1065)</f>
        <v>14</v>
      </c>
      <c r="AG1065" s="37">
        <f>IF(最佳化斷筋點!H1065="","",最佳化斷筋點!H1065)</f>
        <v>14</v>
      </c>
      <c r="AH1065" s="37">
        <f>IF(最佳化斷筋點!I1065="","",最佳化斷筋點!I1065)</f>
        <v>14</v>
      </c>
      <c r="AI1065" s="37">
        <f>IF(最佳化斷筋點!J1065="","",最佳化斷筋點!J1065)</f>
        <v>14</v>
      </c>
      <c r="AJ1065" s="37">
        <f>IF(最佳化斷筋點!K1065="","",最佳化斷筋點!K1065)</f>
        <v>14</v>
      </c>
      <c r="AK1065" s="37">
        <f>IF(最佳化斷筋點!L1065="","",最佳化斷筋點!L1065)</f>
        <v>14</v>
      </c>
      <c r="AL1065" s="37">
        <f>IF(最佳化斷筋點!M1065="","",最佳化斷筋點!M1065)</f>
        <v>14</v>
      </c>
      <c r="AM1065" s="37">
        <f>IF(最佳化斷筋點!N1065="","",最佳化斷筋點!N1065)</f>
        <v>14</v>
      </c>
      <c r="AN1065" s="37">
        <f>IF(最佳化斷筋點!O1065="","",最佳化斷筋點!O1065)</f>
        <v>14</v>
      </c>
      <c r="AO1065" s="37">
        <f>IF(最佳化斷筋點!P1065="","",最佳化斷筋點!P1065)</f>
        <v>14</v>
      </c>
      <c r="AP1065" s="37">
        <f>IF(最佳化斷筋點!Q1065="","",最佳化斷筋點!Q1065)</f>
        <v>14</v>
      </c>
      <c r="AQ1065" s="37">
        <f>IF(最佳化斷筋點!R1065="","",最佳化斷筋點!R1065)</f>
        <v>14</v>
      </c>
      <c r="AR1065" s="37">
        <f>IF(最佳化斷筋點!S1065="","",最佳化斷筋點!S1065)</f>
        <v>14</v>
      </c>
      <c r="AS1065" s="37">
        <f>IF(最佳化斷筋點!T1065="","",最佳化斷筋點!T1065)</f>
        <v>14</v>
      </c>
      <c r="AT1065" s="37">
        <f>IF(最佳化斷筋點!U1065="","",最佳化斷筋點!U1065)</f>
        <v>14</v>
      </c>
      <c r="AU1065" s="37">
        <f>IF(最佳化斷筋點!V1065="","",最佳化斷筋點!V1065)</f>
        <v>14</v>
      </c>
      <c r="AV1065" s="37">
        <f>IF(最佳化斷筋點!W1065="","",最佳化斷筋點!W1065)</f>
        <v>14</v>
      </c>
      <c r="AW1065" s="37">
        <f>IF(最佳化斷筋點!X1065="","",最佳化斷筋點!X1065)</f>
        <v>14</v>
      </c>
      <c r="AZ1065" s="37">
        <v>14</v>
      </c>
      <c r="BA1065" s="37">
        <v>14</v>
      </c>
      <c r="BB1065" s="37">
        <v>14</v>
      </c>
      <c r="BC1065" s="37">
        <v>14</v>
      </c>
      <c r="BD1065" s="37">
        <v>14</v>
      </c>
      <c r="BE1065" s="37">
        <v>14</v>
      </c>
      <c r="BF1065" s="37">
        <v>14</v>
      </c>
      <c r="BG1065" s="37">
        <v>14</v>
      </c>
      <c r="BH1065" s="37">
        <v>14</v>
      </c>
      <c r="BI1065" s="37">
        <v>14</v>
      </c>
      <c r="BJ1065" s="37">
        <v>14</v>
      </c>
      <c r="BK1065" s="37">
        <v>14</v>
      </c>
      <c r="BL1065" s="37">
        <v>14</v>
      </c>
      <c r="BM1065" s="37">
        <v>14</v>
      </c>
      <c r="BN1065" s="37">
        <v>14</v>
      </c>
      <c r="BO1065" s="37">
        <v>14</v>
      </c>
      <c r="BP1065" s="37">
        <v>14</v>
      </c>
      <c r="BQ1065" s="37">
        <v>14</v>
      </c>
      <c r="BR1065" s="37">
        <v>14</v>
      </c>
      <c r="BS1065" s="37">
        <v>14</v>
      </c>
      <c r="BT1065" s="37">
        <v>14</v>
      </c>
    </row>
    <row r="1066" spans="5:72" x14ac:dyDescent="0.25">
      <c r="E1066" s="36"/>
      <c r="F1066" s="36">
        <f t="shared" si="337"/>
        <v>0</v>
      </c>
      <c r="G1066" s="36">
        <f t="shared" si="338"/>
        <v>0</v>
      </c>
      <c r="H1066" s="36">
        <f t="shared" si="339"/>
        <v>0</v>
      </c>
      <c r="I1066" s="36">
        <f t="shared" si="340"/>
        <v>0</v>
      </c>
      <c r="J1066" s="36">
        <f t="shared" si="341"/>
        <v>0</v>
      </c>
      <c r="K1066" s="36">
        <f t="shared" si="342"/>
        <v>0</v>
      </c>
      <c r="L1066" s="36">
        <f t="shared" si="343"/>
        <v>0</v>
      </c>
      <c r="M1066" s="36">
        <f t="shared" si="344"/>
        <v>0</v>
      </c>
      <c r="N1066" s="36">
        <f t="shared" si="345"/>
        <v>0</v>
      </c>
      <c r="O1066" s="36">
        <f t="shared" si="346"/>
        <v>0</v>
      </c>
      <c r="P1066" s="36">
        <f t="shared" si="347"/>
        <v>0</v>
      </c>
      <c r="Q1066" s="36">
        <f t="shared" si="348"/>
        <v>0</v>
      </c>
      <c r="R1066" s="36">
        <f t="shared" si="349"/>
        <v>0</v>
      </c>
      <c r="S1066" s="36">
        <f t="shared" si="350"/>
        <v>0</v>
      </c>
      <c r="T1066" s="36">
        <f t="shared" si="351"/>
        <v>0</v>
      </c>
      <c r="U1066" s="36">
        <f t="shared" si="352"/>
        <v>0</v>
      </c>
      <c r="V1066" s="36">
        <f t="shared" si="353"/>
        <v>0</v>
      </c>
      <c r="W1066" s="36">
        <f t="shared" si="354"/>
        <v>0</v>
      </c>
      <c r="X1066" s="36">
        <f t="shared" si="355"/>
        <v>0</v>
      </c>
      <c r="Y1066" s="36">
        <f t="shared" si="356"/>
        <v>0</v>
      </c>
      <c r="Z1066" s="36">
        <f t="shared" si="357"/>
        <v>0</v>
      </c>
      <c r="AB1066" s="36" t="str">
        <f>IF(最佳化斷筋點!C1066="","",最佳化斷筋點!C1066)</f>
        <v/>
      </c>
      <c r="AC1066" s="37" t="str">
        <f>IF(最佳化斷筋點!D1066="","",最佳化斷筋點!D1066)</f>
        <v/>
      </c>
      <c r="AD1066" s="37" t="str">
        <f>IF(最佳化斷筋點!E1066="","",最佳化斷筋點!E1066)</f>
        <v/>
      </c>
      <c r="AE1066" s="37" t="str">
        <f>IF(最佳化斷筋點!F1066="","",最佳化斷筋點!F1066)</f>
        <v/>
      </c>
      <c r="AF1066" s="37" t="str">
        <f>IF(最佳化斷筋點!G1066="","",最佳化斷筋點!G1066)</f>
        <v/>
      </c>
      <c r="AG1066" s="37" t="str">
        <f>IF(最佳化斷筋點!H1066="","",最佳化斷筋點!H1066)</f>
        <v/>
      </c>
      <c r="AH1066" s="37" t="str">
        <f>IF(最佳化斷筋點!I1066="","",最佳化斷筋點!I1066)</f>
        <v/>
      </c>
      <c r="AI1066" s="37" t="str">
        <f>IF(最佳化斷筋點!J1066="","",最佳化斷筋點!J1066)</f>
        <v/>
      </c>
      <c r="AJ1066" s="37" t="str">
        <f>IF(最佳化斷筋點!K1066="","",最佳化斷筋點!K1066)</f>
        <v/>
      </c>
      <c r="AK1066" s="37" t="str">
        <f>IF(最佳化斷筋點!L1066="","",最佳化斷筋點!L1066)</f>
        <v/>
      </c>
      <c r="AL1066" s="37" t="str">
        <f>IF(最佳化斷筋點!M1066="","",最佳化斷筋點!M1066)</f>
        <v/>
      </c>
      <c r="AM1066" s="37" t="str">
        <f>IF(最佳化斷筋點!N1066="","",最佳化斷筋點!N1066)</f>
        <v/>
      </c>
      <c r="AN1066" s="37" t="str">
        <f>IF(最佳化斷筋點!O1066="","",最佳化斷筋點!O1066)</f>
        <v/>
      </c>
      <c r="AO1066" s="37" t="str">
        <f>IF(最佳化斷筋點!P1066="","",最佳化斷筋點!P1066)</f>
        <v/>
      </c>
      <c r="AP1066" s="37" t="str">
        <f>IF(最佳化斷筋點!Q1066="","",最佳化斷筋點!Q1066)</f>
        <v/>
      </c>
      <c r="AQ1066" s="37" t="str">
        <f>IF(最佳化斷筋點!R1066="","",最佳化斷筋點!R1066)</f>
        <v/>
      </c>
      <c r="AR1066" s="37" t="str">
        <f>IF(最佳化斷筋點!S1066="","",最佳化斷筋點!S1066)</f>
        <v/>
      </c>
      <c r="AS1066" s="37" t="str">
        <f>IF(最佳化斷筋點!T1066="","",最佳化斷筋點!T1066)</f>
        <v/>
      </c>
      <c r="AT1066" s="37" t="str">
        <f>IF(最佳化斷筋點!U1066="","",最佳化斷筋點!U1066)</f>
        <v/>
      </c>
      <c r="AU1066" s="37" t="str">
        <f>IF(最佳化斷筋點!V1066="","",最佳化斷筋點!V1066)</f>
        <v/>
      </c>
      <c r="AV1066" s="37" t="str">
        <f>IF(最佳化斷筋點!W1066="","",最佳化斷筋點!W1066)</f>
        <v/>
      </c>
      <c r="AW1066" s="37" t="str">
        <f>IF(最佳化斷筋點!X1066="","",最佳化斷筋點!X1066)</f>
        <v/>
      </c>
      <c r="AZ1066" s="37" t="s">
        <v>197</v>
      </c>
      <c r="BA1066" s="37" t="s">
        <v>197</v>
      </c>
      <c r="BB1066" s="37" t="s">
        <v>197</v>
      </c>
      <c r="BC1066" s="37" t="s">
        <v>197</v>
      </c>
      <c r="BD1066" s="37" t="s">
        <v>197</v>
      </c>
      <c r="BE1066" s="37" t="s">
        <v>197</v>
      </c>
      <c r="BF1066" s="37" t="s">
        <v>197</v>
      </c>
      <c r="BG1066" s="37" t="s">
        <v>197</v>
      </c>
      <c r="BH1066" s="37" t="s">
        <v>197</v>
      </c>
      <c r="BI1066" s="37" t="s">
        <v>197</v>
      </c>
      <c r="BJ1066" s="37" t="s">
        <v>197</v>
      </c>
      <c r="BK1066" s="37" t="s">
        <v>197</v>
      </c>
      <c r="BL1066" s="37" t="s">
        <v>197</v>
      </c>
      <c r="BM1066" s="37" t="s">
        <v>197</v>
      </c>
      <c r="BN1066" s="37" t="s">
        <v>197</v>
      </c>
      <c r="BO1066" s="37" t="s">
        <v>197</v>
      </c>
      <c r="BP1066" s="37" t="s">
        <v>197</v>
      </c>
      <c r="BQ1066" s="37" t="s">
        <v>197</v>
      </c>
      <c r="BR1066" s="37" t="s">
        <v>197</v>
      </c>
      <c r="BS1066" s="37" t="s">
        <v>197</v>
      </c>
      <c r="BT1066" s="37" t="s">
        <v>197</v>
      </c>
    </row>
    <row r="1067" spans="5:72" x14ac:dyDescent="0.25">
      <c r="E1067" s="36" t="s">
        <v>20</v>
      </c>
      <c r="F1067" s="36">
        <f t="shared" si="337"/>
        <v>0</v>
      </c>
      <c r="G1067" s="36">
        <f t="shared" si="338"/>
        <v>0</v>
      </c>
      <c r="H1067" s="36">
        <f t="shared" si="339"/>
        <v>0</v>
      </c>
      <c r="I1067" s="36">
        <f t="shared" si="340"/>
        <v>0</v>
      </c>
      <c r="J1067" s="36">
        <f t="shared" si="341"/>
        <v>0</v>
      </c>
      <c r="K1067" s="36">
        <f t="shared" si="342"/>
        <v>0</v>
      </c>
      <c r="L1067" s="36">
        <f t="shared" si="343"/>
        <v>0</v>
      </c>
      <c r="M1067" s="36">
        <f t="shared" si="344"/>
        <v>0</v>
      </c>
      <c r="N1067" s="36">
        <f t="shared" si="345"/>
        <v>0</v>
      </c>
      <c r="O1067" s="36">
        <f t="shared" si="346"/>
        <v>0</v>
      </c>
      <c r="P1067" s="36">
        <f t="shared" si="347"/>
        <v>0</v>
      </c>
      <c r="Q1067" s="36">
        <f t="shared" si="348"/>
        <v>0</v>
      </c>
      <c r="R1067" s="36">
        <f t="shared" si="349"/>
        <v>0</v>
      </c>
      <c r="S1067" s="36">
        <f t="shared" si="350"/>
        <v>0</v>
      </c>
      <c r="T1067" s="36">
        <f t="shared" si="351"/>
        <v>0</v>
      </c>
      <c r="U1067" s="36">
        <f t="shared" si="352"/>
        <v>0</v>
      </c>
      <c r="V1067" s="36">
        <f t="shared" si="353"/>
        <v>0</v>
      </c>
      <c r="W1067" s="36">
        <f t="shared" si="354"/>
        <v>0</v>
      </c>
      <c r="X1067" s="36">
        <f t="shared" si="355"/>
        <v>0</v>
      </c>
      <c r="Y1067" s="36">
        <f t="shared" si="356"/>
        <v>0</v>
      </c>
      <c r="Z1067" s="36">
        <f t="shared" si="357"/>
        <v>0</v>
      </c>
      <c r="AB1067" s="36" t="str">
        <f>IF(最佳化斷筋點!C1067="","",最佳化斷筋點!C1067)</f>
        <v>上層</v>
      </c>
      <c r="AC1067" s="37">
        <f>IF(最佳化斷筋點!D1067="","",最佳化斷筋點!D1067)</f>
        <v>11</v>
      </c>
      <c r="AD1067" s="37">
        <f>IF(最佳化斷筋點!E1067="","",最佳化斷筋點!E1067)</f>
        <v>11</v>
      </c>
      <c r="AE1067" s="37">
        <f>IF(最佳化斷筋點!F1067="","",最佳化斷筋點!F1067)</f>
        <v>11</v>
      </c>
      <c r="AF1067" s="37">
        <f>IF(最佳化斷筋點!G1067="","",最佳化斷筋點!G1067)</f>
        <v>11</v>
      </c>
      <c r="AG1067" s="37">
        <f>IF(最佳化斷筋點!H1067="","",最佳化斷筋點!H1067)</f>
        <v>11</v>
      </c>
      <c r="AH1067" s="37">
        <f>IF(最佳化斷筋點!I1067="","",最佳化斷筋點!I1067)</f>
        <v>11</v>
      </c>
      <c r="AI1067" s="37">
        <f>IF(最佳化斷筋點!J1067="","",最佳化斷筋點!J1067)</f>
        <v>10</v>
      </c>
      <c r="AJ1067" s="37">
        <f>IF(最佳化斷筋點!K1067="","",最佳化斷筋點!K1067)</f>
        <v>4</v>
      </c>
      <c r="AK1067" s="37">
        <f>IF(最佳化斷筋點!L1067="","",最佳化斷筋點!L1067)</f>
        <v>4</v>
      </c>
      <c r="AL1067" s="37">
        <f>IF(最佳化斷筋點!M1067="","",最佳化斷筋點!M1067)</f>
        <v>4</v>
      </c>
      <c r="AM1067" s="37">
        <f>IF(最佳化斷筋點!N1067="","",最佳化斷筋點!N1067)</f>
        <v>4</v>
      </c>
      <c r="AN1067" s="37">
        <f>IF(最佳化斷筋點!O1067="","",最佳化斷筋點!O1067)</f>
        <v>4</v>
      </c>
      <c r="AO1067" s="37">
        <f>IF(最佳化斷筋點!P1067="","",最佳化斷筋點!P1067)</f>
        <v>4</v>
      </c>
      <c r="AP1067" s="37">
        <f>IF(最佳化斷筋點!Q1067="","",最佳化斷筋點!Q1067)</f>
        <v>8</v>
      </c>
      <c r="AQ1067" s="37">
        <f>IF(最佳化斷筋點!R1067="","",最佳化斷筋點!R1067)</f>
        <v>9</v>
      </c>
      <c r="AR1067" s="37">
        <f>IF(最佳化斷筋點!S1067="","",最佳化斷筋點!S1067)</f>
        <v>10</v>
      </c>
      <c r="AS1067" s="37">
        <f>IF(最佳化斷筋點!T1067="","",最佳化斷筋點!T1067)</f>
        <v>10</v>
      </c>
      <c r="AT1067" s="37">
        <f>IF(最佳化斷筋點!U1067="","",最佳化斷筋點!U1067)</f>
        <v>10</v>
      </c>
      <c r="AU1067" s="37">
        <f>IF(最佳化斷筋點!V1067="","",最佳化斷筋點!V1067)</f>
        <v>10</v>
      </c>
      <c r="AV1067" s="37">
        <f>IF(最佳化斷筋點!W1067="","",最佳化斷筋點!W1067)</f>
        <v>10</v>
      </c>
      <c r="AW1067" s="37">
        <f>IF(最佳化斷筋點!X1067="","",最佳化斷筋點!X1067)</f>
        <v>10</v>
      </c>
      <c r="AZ1067" s="37">
        <v>11</v>
      </c>
      <c r="BA1067" s="37">
        <v>11</v>
      </c>
      <c r="BB1067" s="37">
        <v>11</v>
      </c>
      <c r="BC1067" s="37">
        <v>11</v>
      </c>
      <c r="BD1067" s="37">
        <v>11</v>
      </c>
      <c r="BE1067" s="37">
        <v>11</v>
      </c>
      <c r="BF1067" s="37">
        <v>10</v>
      </c>
      <c r="BG1067" s="37">
        <v>4</v>
      </c>
      <c r="BH1067" s="37">
        <v>4</v>
      </c>
      <c r="BI1067" s="37">
        <v>4</v>
      </c>
      <c r="BJ1067" s="37">
        <v>4</v>
      </c>
      <c r="BK1067" s="37">
        <v>4</v>
      </c>
      <c r="BL1067" s="37">
        <v>4</v>
      </c>
      <c r="BM1067" s="37">
        <v>8</v>
      </c>
      <c r="BN1067" s="37">
        <v>9</v>
      </c>
      <c r="BO1067" s="37">
        <v>10</v>
      </c>
      <c r="BP1067" s="37">
        <v>10</v>
      </c>
      <c r="BQ1067" s="37">
        <v>10</v>
      </c>
      <c r="BR1067" s="37">
        <v>10</v>
      </c>
      <c r="BS1067" s="37">
        <v>10</v>
      </c>
      <c r="BT1067" s="37">
        <v>10</v>
      </c>
    </row>
    <row r="1068" spans="5:72" x14ac:dyDescent="0.25">
      <c r="E1068" s="36"/>
      <c r="F1068" s="36">
        <f t="shared" si="337"/>
        <v>0</v>
      </c>
      <c r="G1068" s="36">
        <f t="shared" si="338"/>
        <v>0</v>
      </c>
      <c r="H1068" s="36">
        <f t="shared" si="339"/>
        <v>0</v>
      </c>
      <c r="I1068" s="36">
        <f t="shared" si="340"/>
        <v>0</v>
      </c>
      <c r="J1068" s="36">
        <f t="shared" si="341"/>
        <v>0</v>
      </c>
      <c r="K1068" s="36">
        <f t="shared" si="342"/>
        <v>0</v>
      </c>
      <c r="L1068" s="36">
        <f t="shared" si="343"/>
        <v>0</v>
      </c>
      <c r="M1068" s="36">
        <f t="shared" si="344"/>
        <v>0</v>
      </c>
      <c r="N1068" s="36">
        <f t="shared" si="345"/>
        <v>0</v>
      </c>
      <c r="O1068" s="36">
        <f t="shared" si="346"/>
        <v>0</v>
      </c>
      <c r="P1068" s="36">
        <f t="shared" si="347"/>
        <v>0</v>
      </c>
      <c r="Q1068" s="36">
        <f t="shared" si="348"/>
        <v>0</v>
      </c>
      <c r="R1068" s="36">
        <f t="shared" si="349"/>
        <v>0</v>
      </c>
      <c r="S1068" s="36">
        <f t="shared" si="350"/>
        <v>0</v>
      </c>
      <c r="T1068" s="36">
        <f t="shared" si="351"/>
        <v>0</v>
      </c>
      <c r="U1068" s="36">
        <f t="shared" si="352"/>
        <v>0</v>
      </c>
      <c r="V1068" s="36">
        <f t="shared" si="353"/>
        <v>0</v>
      </c>
      <c r="W1068" s="36">
        <f t="shared" si="354"/>
        <v>0</v>
      </c>
      <c r="X1068" s="36">
        <f t="shared" si="355"/>
        <v>0</v>
      </c>
      <c r="Y1068" s="36">
        <f t="shared" si="356"/>
        <v>0</v>
      </c>
      <c r="Z1068" s="36">
        <f t="shared" si="357"/>
        <v>0</v>
      </c>
      <c r="AB1068" s="36" t="str">
        <f>IF(最佳化斷筋點!C1068="","",最佳化斷筋點!C1068)</f>
        <v/>
      </c>
      <c r="AC1068" s="37" t="str">
        <f>IF(最佳化斷筋點!D1068="","",最佳化斷筋點!D1068)</f>
        <v/>
      </c>
      <c r="AD1068" s="37" t="str">
        <f>IF(最佳化斷筋點!E1068="","",最佳化斷筋點!E1068)</f>
        <v/>
      </c>
      <c r="AE1068" s="37" t="str">
        <f>IF(最佳化斷筋點!F1068="","",最佳化斷筋點!F1068)</f>
        <v/>
      </c>
      <c r="AF1068" s="37" t="str">
        <f>IF(最佳化斷筋點!G1068="","",最佳化斷筋點!G1068)</f>
        <v/>
      </c>
      <c r="AG1068" s="37" t="str">
        <f>IF(最佳化斷筋點!H1068="","",最佳化斷筋點!H1068)</f>
        <v/>
      </c>
      <c r="AH1068" s="37" t="str">
        <f>IF(最佳化斷筋點!I1068="","",最佳化斷筋點!I1068)</f>
        <v/>
      </c>
      <c r="AI1068" s="37" t="str">
        <f>IF(最佳化斷筋點!J1068="","",最佳化斷筋點!J1068)</f>
        <v/>
      </c>
      <c r="AJ1068" s="37" t="str">
        <f>IF(最佳化斷筋點!K1068="","",最佳化斷筋點!K1068)</f>
        <v/>
      </c>
      <c r="AK1068" s="37" t="str">
        <f>IF(最佳化斷筋點!L1068="","",最佳化斷筋點!L1068)</f>
        <v/>
      </c>
      <c r="AL1068" s="37" t="str">
        <f>IF(最佳化斷筋點!M1068="","",最佳化斷筋點!M1068)</f>
        <v/>
      </c>
      <c r="AM1068" s="37" t="str">
        <f>IF(最佳化斷筋點!N1068="","",最佳化斷筋點!N1068)</f>
        <v/>
      </c>
      <c r="AN1068" s="37" t="str">
        <f>IF(最佳化斷筋點!O1068="","",最佳化斷筋點!O1068)</f>
        <v/>
      </c>
      <c r="AO1068" s="37" t="str">
        <f>IF(最佳化斷筋點!P1068="","",最佳化斷筋點!P1068)</f>
        <v/>
      </c>
      <c r="AP1068" s="37" t="str">
        <f>IF(最佳化斷筋點!Q1068="","",最佳化斷筋點!Q1068)</f>
        <v/>
      </c>
      <c r="AQ1068" s="37" t="str">
        <f>IF(最佳化斷筋點!R1068="","",最佳化斷筋點!R1068)</f>
        <v/>
      </c>
      <c r="AR1068" s="37" t="str">
        <f>IF(最佳化斷筋點!S1068="","",最佳化斷筋點!S1068)</f>
        <v/>
      </c>
      <c r="AS1068" s="37" t="str">
        <f>IF(最佳化斷筋點!T1068="","",最佳化斷筋點!T1068)</f>
        <v/>
      </c>
      <c r="AT1068" s="37" t="str">
        <f>IF(最佳化斷筋點!U1068="","",最佳化斷筋點!U1068)</f>
        <v/>
      </c>
      <c r="AU1068" s="37" t="str">
        <f>IF(最佳化斷筋點!V1068="","",最佳化斷筋點!V1068)</f>
        <v/>
      </c>
      <c r="AV1068" s="37" t="str">
        <f>IF(最佳化斷筋點!W1068="","",最佳化斷筋點!W1068)</f>
        <v/>
      </c>
      <c r="AW1068" s="37" t="str">
        <f>IF(最佳化斷筋點!X1068="","",最佳化斷筋點!X1068)</f>
        <v/>
      </c>
      <c r="AZ1068" s="37" t="s">
        <v>197</v>
      </c>
      <c r="BA1068" s="37" t="s">
        <v>197</v>
      </c>
      <c r="BB1068" s="37" t="s">
        <v>197</v>
      </c>
      <c r="BC1068" s="37" t="s">
        <v>197</v>
      </c>
      <c r="BD1068" s="37" t="s">
        <v>197</v>
      </c>
      <c r="BE1068" s="37" t="s">
        <v>197</v>
      </c>
      <c r="BF1068" s="37" t="s">
        <v>197</v>
      </c>
      <c r="BG1068" s="37" t="s">
        <v>197</v>
      </c>
      <c r="BH1068" s="37" t="s">
        <v>197</v>
      </c>
      <c r="BI1068" s="37" t="s">
        <v>197</v>
      </c>
      <c r="BJ1068" s="37" t="s">
        <v>197</v>
      </c>
      <c r="BK1068" s="37" t="s">
        <v>197</v>
      </c>
      <c r="BL1068" s="37" t="s">
        <v>197</v>
      </c>
      <c r="BM1068" s="37" t="s">
        <v>197</v>
      </c>
      <c r="BN1068" s="37" t="s">
        <v>197</v>
      </c>
      <c r="BO1068" s="37" t="s">
        <v>197</v>
      </c>
      <c r="BP1068" s="37" t="s">
        <v>197</v>
      </c>
      <c r="BQ1068" s="37" t="s">
        <v>197</v>
      </c>
      <c r="BR1068" s="37" t="s">
        <v>197</v>
      </c>
      <c r="BS1068" s="37" t="s">
        <v>197</v>
      </c>
      <c r="BT1068" s="37" t="s">
        <v>197</v>
      </c>
    </row>
    <row r="1069" spans="5:72" x14ac:dyDescent="0.25">
      <c r="E1069" s="36" t="s">
        <v>21</v>
      </c>
      <c r="F1069" s="36">
        <f t="shared" si="337"/>
        <v>0</v>
      </c>
      <c r="G1069" s="36">
        <f t="shared" si="338"/>
        <v>0</v>
      </c>
      <c r="H1069" s="36">
        <f t="shared" si="339"/>
        <v>0</v>
      </c>
      <c r="I1069" s="36">
        <f t="shared" si="340"/>
        <v>0</v>
      </c>
      <c r="J1069" s="36">
        <f t="shared" si="341"/>
        <v>0</v>
      </c>
      <c r="K1069" s="36">
        <f t="shared" si="342"/>
        <v>0</v>
      </c>
      <c r="L1069" s="36">
        <f t="shared" si="343"/>
        <v>0</v>
      </c>
      <c r="M1069" s="36">
        <f t="shared" si="344"/>
        <v>0</v>
      </c>
      <c r="N1069" s="36">
        <f t="shared" si="345"/>
        <v>0</v>
      </c>
      <c r="O1069" s="36">
        <f t="shared" si="346"/>
        <v>0</v>
      </c>
      <c r="P1069" s="36">
        <f t="shared" si="347"/>
        <v>0</v>
      </c>
      <c r="Q1069" s="36">
        <f t="shared" si="348"/>
        <v>0</v>
      </c>
      <c r="R1069" s="36">
        <f t="shared" si="349"/>
        <v>0</v>
      </c>
      <c r="S1069" s="36">
        <f t="shared" si="350"/>
        <v>0</v>
      </c>
      <c r="T1069" s="36">
        <f t="shared" si="351"/>
        <v>0</v>
      </c>
      <c r="U1069" s="36">
        <f t="shared" si="352"/>
        <v>0</v>
      </c>
      <c r="V1069" s="36">
        <f t="shared" si="353"/>
        <v>0</v>
      </c>
      <c r="W1069" s="36">
        <f t="shared" si="354"/>
        <v>0</v>
      </c>
      <c r="X1069" s="36">
        <f t="shared" si="355"/>
        <v>0</v>
      </c>
      <c r="Y1069" s="36">
        <f t="shared" si="356"/>
        <v>0</v>
      </c>
      <c r="Z1069" s="36">
        <f t="shared" si="357"/>
        <v>0</v>
      </c>
      <c r="AB1069" s="36" t="str">
        <f>IF(最佳化斷筋點!C1069="","",最佳化斷筋點!C1069)</f>
        <v>下層</v>
      </c>
      <c r="AC1069" s="37">
        <f>IF(最佳化斷筋點!D1069="","",最佳化斷筋點!D1069)</f>
        <v>16</v>
      </c>
      <c r="AD1069" s="37">
        <f>IF(最佳化斷筋點!E1069="","",最佳化斷筋點!E1069)</f>
        <v>16</v>
      </c>
      <c r="AE1069" s="37">
        <f>IF(最佳化斷筋點!F1069="","",最佳化斷筋點!F1069)</f>
        <v>16</v>
      </c>
      <c r="AF1069" s="37">
        <f>IF(最佳化斷筋點!G1069="","",最佳化斷筋點!G1069)</f>
        <v>16</v>
      </c>
      <c r="AG1069" s="37">
        <f>IF(最佳化斷筋點!H1069="","",最佳化斷筋點!H1069)</f>
        <v>15</v>
      </c>
      <c r="AH1069" s="37">
        <f>IF(最佳化斷筋點!I1069="","",最佳化斷筋點!I1069)</f>
        <v>14</v>
      </c>
      <c r="AI1069" s="37">
        <f>IF(最佳化斷筋點!J1069="","",最佳化斷筋點!J1069)</f>
        <v>12</v>
      </c>
      <c r="AJ1069" s="37">
        <f>IF(最佳化斷筋點!K1069="","",最佳化斷筋點!K1069)</f>
        <v>6</v>
      </c>
      <c r="AK1069" s="37">
        <f>IF(最佳化斷筋點!L1069="","",最佳化斷筋點!L1069)</f>
        <v>6</v>
      </c>
      <c r="AL1069" s="37">
        <f>IF(最佳化斷筋點!M1069="","",最佳化斷筋點!M1069)</f>
        <v>6</v>
      </c>
      <c r="AM1069" s="37">
        <f>IF(最佳化斷筋點!N1069="","",最佳化斷筋點!N1069)</f>
        <v>6</v>
      </c>
      <c r="AN1069" s="37">
        <f>IF(最佳化斷筋點!O1069="","",最佳化斷筋點!O1069)</f>
        <v>6</v>
      </c>
      <c r="AO1069" s="37">
        <f>IF(最佳化斷筋點!P1069="","",最佳化斷筋點!P1069)</f>
        <v>6</v>
      </c>
      <c r="AP1069" s="37">
        <f>IF(最佳化斷筋點!Q1069="","",最佳化斷筋點!Q1069)</f>
        <v>9</v>
      </c>
      <c r="AQ1069" s="37">
        <f>IF(最佳化斷筋點!R1069="","",最佳化斷筋點!R1069)</f>
        <v>11</v>
      </c>
      <c r="AR1069" s="37">
        <f>IF(最佳化斷筋點!S1069="","",最佳化斷筋點!S1069)</f>
        <v>12</v>
      </c>
      <c r="AS1069" s="37">
        <f>IF(最佳化斷筋點!T1069="","",最佳化斷筋點!T1069)</f>
        <v>14</v>
      </c>
      <c r="AT1069" s="37">
        <f>IF(最佳化斷筋點!U1069="","",最佳化斷筋點!U1069)</f>
        <v>15</v>
      </c>
      <c r="AU1069" s="37">
        <f>IF(最佳化斷筋點!V1069="","",最佳化斷筋點!V1069)</f>
        <v>15</v>
      </c>
      <c r="AV1069" s="37">
        <f>IF(最佳化斷筋點!W1069="","",最佳化斷筋點!W1069)</f>
        <v>15</v>
      </c>
      <c r="AW1069" s="37">
        <f>IF(最佳化斷筋點!X1069="","",最佳化斷筋點!X1069)</f>
        <v>15</v>
      </c>
      <c r="AZ1069" s="37">
        <v>16</v>
      </c>
      <c r="BA1069" s="37">
        <v>16</v>
      </c>
      <c r="BB1069" s="37">
        <v>16</v>
      </c>
      <c r="BC1069" s="37">
        <v>16</v>
      </c>
      <c r="BD1069" s="37">
        <v>15</v>
      </c>
      <c r="BE1069" s="37">
        <v>14</v>
      </c>
      <c r="BF1069" s="37">
        <v>12</v>
      </c>
      <c r="BG1069" s="37">
        <v>6</v>
      </c>
      <c r="BH1069" s="37">
        <v>6</v>
      </c>
      <c r="BI1069" s="37">
        <v>6</v>
      </c>
      <c r="BJ1069" s="37">
        <v>6</v>
      </c>
      <c r="BK1069" s="37">
        <v>6</v>
      </c>
      <c r="BL1069" s="37">
        <v>6</v>
      </c>
      <c r="BM1069" s="37">
        <v>9</v>
      </c>
      <c r="BN1069" s="37">
        <v>11</v>
      </c>
      <c r="BO1069" s="37">
        <v>12</v>
      </c>
      <c r="BP1069" s="37">
        <v>14</v>
      </c>
      <c r="BQ1069" s="37">
        <v>15</v>
      </c>
      <c r="BR1069" s="37">
        <v>15</v>
      </c>
      <c r="BS1069" s="37">
        <v>15</v>
      </c>
      <c r="BT1069" s="37">
        <v>15</v>
      </c>
    </row>
    <row r="1070" spans="5:72" x14ac:dyDescent="0.25">
      <c r="E1070" s="36"/>
      <c r="F1070" s="36">
        <f t="shared" si="337"/>
        <v>0</v>
      </c>
      <c r="G1070" s="36">
        <f t="shared" si="338"/>
        <v>0</v>
      </c>
      <c r="H1070" s="36">
        <f t="shared" si="339"/>
        <v>0</v>
      </c>
      <c r="I1070" s="36">
        <f t="shared" si="340"/>
        <v>0</v>
      </c>
      <c r="J1070" s="36">
        <f t="shared" si="341"/>
        <v>0</v>
      </c>
      <c r="K1070" s="36">
        <f t="shared" si="342"/>
        <v>0</v>
      </c>
      <c r="L1070" s="36">
        <f t="shared" si="343"/>
        <v>0</v>
      </c>
      <c r="M1070" s="36">
        <f t="shared" si="344"/>
        <v>0</v>
      </c>
      <c r="N1070" s="36">
        <f t="shared" si="345"/>
        <v>0</v>
      </c>
      <c r="O1070" s="36">
        <f t="shared" si="346"/>
        <v>0</v>
      </c>
      <c r="P1070" s="36">
        <f t="shared" si="347"/>
        <v>0</v>
      </c>
      <c r="Q1070" s="36">
        <f t="shared" si="348"/>
        <v>0</v>
      </c>
      <c r="R1070" s="36">
        <f t="shared" si="349"/>
        <v>0</v>
      </c>
      <c r="S1070" s="36">
        <f t="shared" si="350"/>
        <v>0</v>
      </c>
      <c r="T1070" s="36">
        <f t="shared" si="351"/>
        <v>0</v>
      </c>
      <c r="U1070" s="36">
        <f t="shared" si="352"/>
        <v>0</v>
      </c>
      <c r="V1070" s="36">
        <f t="shared" si="353"/>
        <v>0</v>
      </c>
      <c r="W1070" s="36">
        <f t="shared" si="354"/>
        <v>0</v>
      </c>
      <c r="X1070" s="36">
        <f t="shared" si="355"/>
        <v>0</v>
      </c>
      <c r="Y1070" s="36">
        <f t="shared" si="356"/>
        <v>0</v>
      </c>
      <c r="Z1070" s="36">
        <f t="shared" si="357"/>
        <v>0</v>
      </c>
      <c r="AB1070" s="36" t="str">
        <f>IF(最佳化斷筋點!C1070="","",最佳化斷筋點!C1070)</f>
        <v/>
      </c>
      <c r="AC1070" s="37" t="str">
        <f>IF(最佳化斷筋點!D1070="","",最佳化斷筋點!D1070)</f>
        <v/>
      </c>
      <c r="AD1070" s="37" t="str">
        <f>IF(最佳化斷筋點!E1070="","",最佳化斷筋點!E1070)</f>
        <v/>
      </c>
      <c r="AE1070" s="37" t="str">
        <f>IF(最佳化斷筋點!F1070="","",最佳化斷筋點!F1070)</f>
        <v/>
      </c>
      <c r="AF1070" s="37" t="str">
        <f>IF(最佳化斷筋點!G1070="","",最佳化斷筋點!G1070)</f>
        <v/>
      </c>
      <c r="AG1070" s="37" t="str">
        <f>IF(最佳化斷筋點!H1070="","",最佳化斷筋點!H1070)</f>
        <v/>
      </c>
      <c r="AH1070" s="37" t="str">
        <f>IF(最佳化斷筋點!I1070="","",最佳化斷筋點!I1070)</f>
        <v/>
      </c>
      <c r="AI1070" s="37" t="str">
        <f>IF(最佳化斷筋點!J1070="","",最佳化斷筋點!J1070)</f>
        <v/>
      </c>
      <c r="AJ1070" s="37" t="str">
        <f>IF(最佳化斷筋點!K1070="","",最佳化斷筋點!K1070)</f>
        <v/>
      </c>
      <c r="AK1070" s="37" t="str">
        <f>IF(最佳化斷筋點!L1070="","",最佳化斷筋點!L1070)</f>
        <v/>
      </c>
      <c r="AL1070" s="37" t="str">
        <f>IF(最佳化斷筋點!M1070="","",最佳化斷筋點!M1070)</f>
        <v/>
      </c>
      <c r="AM1070" s="37" t="str">
        <f>IF(最佳化斷筋點!N1070="","",最佳化斷筋點!N1070)</f>
        <v/>
      </c>
      <c r="AN1070" s="37" t="str">
        <f>IF(最佳化斷筋點!O1070="","",最佳化斷筋點!O1070)</f>
        <v/>
      </c>
      <c r="AO1070" s="37" t="str">
        <f>IF(最佳化斷筋點!P1070="","",最佳化斷筋點!P1070)</f>
        <v/>
      </c>
      <c r="AP1070" s="37" t="str">
        <f>IF(最佳化斷筋點!Q1070="","",最佳化斷筋點!Q1070)</f>
        <v/>
      </c>
      <c r="AQ1070" s="37" t="str">
        <f>IF(最佳化斷筋點!R1070="","",最佳化斷筋點!R1070)</f>
        <v/>
      </c>
      <c r="AR1070" s="37" t="str">
        <f>IF(最佳化斷筋點!S1070="","",最佳化斷筋點!S1070)</f>
        <v/>
      </c>
      <c r="AS1070" s="37" t="str">
        <f>IF(最佳化斷筋點!T1070="","",最佳化斷筋點!T1070)</f>
        <v/>
      </c>
      <c r="AT1070" s="37" t="str">
        <f>IF(最佳化斷筋點!U1070="","",最佳化斷筋點!U1070)</f>
        <v/>
      </c>
      <c r="AU1070" s="37" t="str">
        <f>IF(最佳化斷筋點!V1070="","",最佳化斷筋點!V1070)</f>
        <v/>
      </c>
      <c r="AV1070" s="37" t="str">
        <f>IF(最佳化斷筋點!W1070="","",最佳化斷筋點!W1070)</f>
        <v/>
      </c>
      <c r="AW1070" s="37" t="str">
        <f>IF(最佳化斷筋點!X1070="","",最佳化斷筋點!X1070)</f>
        <v/>
      </c>
      <c r="AZ1070" s="37" t="s">
        <v>197</v>
      </c>
      <c r="BA1070" s="37" t="s">
        <v>197</v>
      </c>
      <c r="BB1070" s="37" t="s">
        <v>197</v>
      </c>
      <c r="BC1070" s="37" t="s">
        <v>197</v>
      </c>
      <c r="BD1070" s="37" t="s">
        <v>197</v>
      </c>
      <c r="BE1070" s="37" t="s">
        <v>197</v>
      </c>
      <c r="BF1070" s="37" t="s">
        <v>197</v>
      </c>
      <c r="BG1070" s="37" t="s">
        <v>197</v>
      </c>
      <c r="BH1070" s="37" t="s">
        <v>197</v>
      </c>
      <c r="BI1070" s="37" t="s">
        <v>197</v>
      </c>
      <c r="BJ1070" s="37" t="s">
        <v>197</v>
      </c>
      <c r="BK1070" s="37" t="s">
        <v>197</v>
      </c>
      <c r="BL1070" s="37" t="s">
        <v>197</v>
      </c>
      <c r="BM1070" s="37" t="s">
        <v>197</v>
      </c>
      <c r="BN1070" s="37" t="s">
        <v>197</v>
      </c>
      <c r="BO1070" s="37" t="s">
        <v>197</v>
      </c>
      <c r="BP1070" s="37" t="s">
        <v>197</v>
      </c>
      <c r="BQ1070" s="37" t="s">
        <v>197</v>
      </c>
      <c r="BR1070" s="37" t="s">
        <v>197</v>
      </c>
      <c r="BS1070" s="37" t="s">
        <v>197</v>
      </c>
      <c r="BT1070" s="37" t="s">
        <v>197</v>
      </c>
    </row>
    <row r="1071" spans="5:72" x14ac:dyDescent="0.25">
      <c r="E1071" s="36" t="s">
        <v>20</v>
      </c>
      <c r="F1071" s="36">
        <f t="shared" si="337"/>
        <v>0</v>
      </c>
      <c r="G1071" s="36">
        <f t="shared" si="338"/>
        <v>0</v>
      </c>
      <c r="H1071" s="36">
        <f t="shared" si="339"/>
        <v>0</v>
      </c>
      <c r="I1071" s="36">
        <f t="shared" si="340"/>
        <v>0</v>
      </c>
      <c r="J1071" s="36">
        <f t="shared" si="341"/>
        <v>0</v>
      </c>
      <c r="K1071" s="36">
        <f t="shared" si="342"/>
        <v>0</v>
      </c>
      <c r="L1071" s="36">
        <f t="shared" si="343"/>
        <v>0</v>
      </c>
      <c r="M1071" s="36">
        <f t="shared" si="344"/>
        <v>0</v>
      </c>
      <c r="N1071" s="36">
        <f t="shared" si="345"/>
        <v>0</v>
      </c>
      <c r="O1071" s="36">
        <f t="shared" si="346"/>
        <v>0</v>
      </c>
      <c r="P1071" s="36">
        <f t="shared" si="347"/>
        <v>0</v>
      </c>
      <c r="Q1071" s="36">
        <f t="shared" si="348"/>
        <v>0</v>
      </c>
      <c r="R1071" s="36">
        <f t="shared" si="349"/>
        <v>0</v>
      </c>
      <c r="S1071" s="36">
        <f t="shared" si="350"/>
        <v>0</v>
      </c>
      <c r="T1071" s="36">
        <f t="shared" si="351"/>
        <v>0</v>
      </c>
      <c r="U1071" s="36">
        <f t="shared" si="352"/>
        <v>0</v>
      </c>
      <c r="V1071" s="36">
        <f t="shared" si="353"/>
        <v>0</v>
      </c>
      <c r="W1071" s="36">
        <f t="shared" si="354"/>
        <v>0</v>
      </c>
      <c r="X1071" s="36">
        <f t="shared" si="355"/>
        <v>0</v>
      </c>
      <c r="Y1071" s="36">
        <f t="shared" si="356"/>
        <v>0</v>
      </c>
      <c r="Z1071" s="36">
        <f t="shared" si="357"/>
        <v>0</v>
      </c>
      <c r="AB1071" s="36" t="str">
        <f>IF(最佳化斷筋點!C1071="","",最佳化斷筋點!C1071)</f>
        <v>上層</v>
      </c>
      <c r="AC1071" s="37">
        <f>IF(最佳化斷筋點!D1071="","",最佳化斷筋點!D1071)</f>
        <v>8</v>
      </c>
      <c r="AD1071" s="37">
        <f>IF(最佳化斷筋點!E1071="","",最佳化斷筋點!E1071)</f>
        <v>8</v>
      </c>
      <c r="AE1071" s="37">
        <f>IF(最佳化斷筋點!F1071="","",最佳化斷筋點!F1071)</f>
        <v>8</v>
      </c>
      <c r="AF1071" s="37">
        <f>IF(最佳化斷筋點!G1071="","",最佳化斷筋點!G1071)</f>
        <v>8</v>
      </c>
      <c r="AG1071" s="37">
        <f>IF(最佳化斷筋點!H1071="","",最佳化斷筋點!H1071)</f>
        <v>8</v>
      </c>
      <c r="AH1071" s="37">
        <f>IF(最佳化斷筋點!I1071="","",最佳化斷筋點!I1071)</f>
        <v>8</v>
      </c>
      <c r="AI1071" s="37">
        <f>IF(最佳化斷筋點!J1071="","",最佳化斷筋點!J1071)</f>
        <v>8</v>
      </c>
      <c r="AJ1071" s="37">
        <f>IF(最佳化斷筋點!K1071="","",最佳化斷筋點!K1071)</f>
        <v>8</v>
      </c>
      <c r="AK1071" s="37">
        <f>IF(最佳化斷筋點!L1071="","",最佳化斷筋點!L1071)</f>
        <v>7</v>
      </c>
      <c r="AL1071" s="37">
        <f>IF(最佳化斷筋點!M1071="","",最佳化斷筋點!M1071)</f>
        <v>6</v>
      </c>
      <c r="AM1071" s="37">
        <f>IF(最佳化斷筋點!N1071="","",最佳化斷筋點!N1071)</f>
        <v>6</v>
      </c>
      <c r="AN1071" s="37">
        <f>IF(最佳化斷筋點!O1071="","",最佳化斷筋點!O1071)</f>
        <v>6</v>
      </c>
      <c r="AO1071" s="37">
        <f>IF(最佳化斷筋點!P1071="","",最佳化斷筋點!P1071)</f>
        <v>6</v>
      </c>
      <c r="AP1071" s="37">
        <f>IF(最佳化斷筋點!Q1071="","",最佳化斷筋點!Q1071)</f>
        <v>7</v>
      </c>
      <c r="AQ1071" s="37">
        <f>IF(最佳化斷筋點!R1071="","",最佳化斷筋點!R1071)</f>
        <v>8</v>
      </c>
      <c r="AR1071" s="37">
        <f>IF(最佳化斷筋點!S1071="","",最佳化斷筋點!S1071)</f>
        <v>8</v>
      </c>
      <c r="AS1071" s="37">
        <f>IF(最佳化斷筋點!T1071="","",最佳化斷筋點!T1071)</f>
        <v>8</v>
      </c>
      <c r="AT1071" s="37">
        <f>IF(最佳化斷筋點!U1071="","",最佳化斷筋點!U1071)</f>
        <v>8</v>
      </c>
      <c r="AU1071" s="37">
        <f>IF(最佳化斷筋點!V1071="","",最佳化斷筋點!V1071)</f>
        <v>8</v>
      </c>
      <c r="AV1071" s="37">
        <f>IF(最佳化斷筋點!W1071="","",最佳化斷筋點!W1071)</f>
        <v>8</v>
      </c>
      <c r="AW1071" s="37">
        <f>IF(最佳化斷筋點!X1071="","",最佳化斷筋點!X1071)</f>
        <v>8</v>
      </c>
      <c r="AZ1071" s="37">
        <v>8</v>
      </c>
      <c r="BA1071" s="37">
        <v>8</v>
      </c>
      <c r="BB1071" s="37">
        <v>8</v>
      </c>
      <c r="BC1071" s="37">
        <v>8</v>
      </c>
      <c r="BD1071" s="37">
        <v>8</v>
      </c>
      <c r="BE1071" s="37">
        <v>8</v>
      </c>
      <c r="BF1071" s="37">
        <v>8</v>
      </c>
      <c r="BG1071" s="37">
        <v>8</v>
      </c>
      <c r="BH1071" s="37">
        <v>7</v>
      </c>
      <c r="BI1071" s="37">
        <v>6</v>
      </c>
      <c r="BJ1071" s="37">
        <v>6</v>
      </c>
      <c r="BK1071" s="37">
        <v>6</v>
      </c>
      <c r="BL1071" s="37">
        <v>6</v>
      </c>
      <c r="BM1071" s="37">
        <v>7</v>
      </c>
      <c r="BN1071" s="37">
        <v>8</v>
      </c>
      <c r="BO1071" s="37">
        <v>8</v>
      </c>
      <c r="BP1071" s="37">
        <v>8</v>
      </c>
      <c r="BQ1071" s="37">
        <v>8</v>
      </c>
      <c r="BR1071" s="37">
        <v>8</v>
      </c>
      <c r="BS1071" s="37">
        <v>8</v>
      </c>
      <c r="BT1071" s="37">
        <v>8</v>
      </c>
    </row>
    <row r="1072" spans="5:72" x14ac:dyDescent="0.25">
      <c r="E1072" s="36"/>
      <c r="F1072" s="36">
        <f t="shared" si="337"/>
        <v>0</v>
      </c>
      <c r="G1072" s="36">
        <f t="shared" si="338"/>
        <v>0</v>
      </c>
      <c r="H1072" s="36">
        <f t="shared" si="339"/>
        <v>0</v>
      </c>
      <c r="I1072" s="36">
        <f t="shared" si="340"/>
        <v>0</v>
      </c>
      <c r="J1072" s="36">
        <f t="shared" si="341"/>
        <v>0</v>
      </c>
      <c r="K1072" s="36">
        <f t="shared" si="342"/>
        <v>0</v>
      </c>
      <c r="L1072" s="36">
        <f t="shared" si="343"/>
        <v>0</v>
      </c>
      <c r="M1072" s="36">
        <f t="shared" si="344"/>
        <v>0</v>
      </c>
      <c r="N1072" s="36">
        <f t="shared" si="345"/>
        <v>0</v>
      </c>
      <c r="O1072" s="36">
        <f t="shared" si="346"/>
        <v>0</v>
      </c>
      <c r="P1072" s="36">
        <f t="shared" si="347"/>
        <v>0</v>
      </c>
      <c r="Q1072" s="36">
        <f t="shared" si="348"/>
        <v>0</v>
      </c>
      <c r="R1072" s="36">
        <f t="shared" si="349"/>
        <v>0</v>
      </c>
      <c r="S1072" s="36">
        <f t="shared" si="350"/>
        <v>0</v>
      </c>
      <c r="T1072" s="36">
        <f t="shared" si="351"/>
        <v>0</v>
      </c>
      <c r="U1072" s="36">
        <f t="shared" si="352"/>
        <v>0</v>
      </c>
      <c r="V1072" s="36">
        <f t="shared" si="353"/>
        <v>0</v>
      </c>
      <c r="W1072" s="36">
        <f t="shared" si="354"/>
        <v>0</v>
      </c>
      <c r="X1072" s="36">
        <f t="shared" si="355"/>
        <v>0</v>
      </c>
      <c r="Y1072" s="36">
        <f t="shared" si="356"/>
        <v>0</v>
      </c>
      <c r="Z1072" s="36">
        <f t="shared" si="357"/>
        <v>0</v>
      </c>
      <c r="AB1072" s="36" t="str">
        <f>IF(最佳化斷筋點!C1072="","",最佳化斷筋點!C1072)</f>
        <v/>
      </c>
      <c r="AC1072" s="37" t="str">
        <f>IF(最佳化斷筋點!D1072="","",最佳化斷筋點!D1072)</f>
        <v/>
      </c>
      <c r="AD1072" s="37" t="str">
        <f>IF(最佳化斷筋點!E1072="","",最佳化斷筋點!E1072)</f>
        <v/>
      </c>
      <c r="AE1072" s="37" t="str">
        <f>IF(最佳化斷筋點!F1072="","",最佳化斷筋點!F1072)</f>
        <v/>
      </c>
      <c r="AF1072" s="37" t="str">
        <f>IF(最佳化斷筋點!G1072="","",最佳化斷筋點!G1072)</f>
        <v/>
      </c>
      <c r="AG1072" s="37" t="str">
        <f>IF(最佳化斷筋點!H1072="","",最佳化斷筋點!H1072)</f>
        <v/>
      </c>
      <c r="AH1072" s="37" t="str">
        <f>IF(最佳化斷筋點!I1072="","",最佳化斷筋點!I1072)</f>
        <v/>
      </c>
      <c r="AI1072" s="37" t="str">
        <f>IF(最佳化斷筋點!J1072="","",最佳化斷筋點!J1072)</f>
        <v/>
      </c>
      <c r="AJ1072" s="37" t="str">
        <f>IF(最佳化斷筋點!K1072="","",最佳化斷筋點!K1072)</f>
        <v/>
      </c>
      <c r="AK1072" s="37" t="str">
        <f>IF(最佳化斷筋點!L1072="","",最佳化斷筋點!L1072)</f>
        <v/>
      </c>
      <c r="AL1072" s="37" t="str">
        <f>IF(最佳化斷筋點!M1072="","",最佳化斷筋點!M1072)</f>
        <v/>
      </c>
      <c r="AM1072" s="37" t="str">
        <f>IF(最佳化斷筋點!N1072="","",最佳化斷筋點!N1072)</f>
        <v/>
      </c>
      <c r="AN1072" s="37" t="str">
        <f>IF(最佳化斷筋點!O1072="","",最佳化斷筋點!O1072)</f>
        <v/>
      </c>
      <c r="AO1072" s="37" t="str">
        <f>IF(最佳化斷筋點!P1072="","",最佳化斷筋點!P1072)</f>
        <v/>
      </c>
      <c r="AP1072" s="37" t="str">
        <f>IF(最佳化斷筋點!Q1072="","",最佳化斷筋點!Q1072)</f>
        <v/>
      </c>
      <c r="AQ1072" s="37" t="str">
        <f>IF(最佳化斷筋點!R1072="","",最佳化斷筋點!R1072)</f>
        <v/>
      </c>
      <c r="AR1072" s="37" t="str">
        <f>IF(最佳化斷筋點!S1072="","",最佳化斷筋點!S1072)</f>
        <v/>
      </c>
      <c r="AS1072" s="37" t="str">
        <f>IF(最佳化斷筋點!T1072="","",最佳化斷筋點!T1072)</f>
        <v/>
      </c>
      <c r="AT1072" s="37" t="str">
        <f>IF(最佳化斷筋點!U1072="","",最佳化斷筋點!U1072)</f>
        <v/>
      </c>
      <c r="AU1072" s="37" t="str">
        <f>IF(最佳化斷筋點!V1072="","",最佳化斷筋點!V1072)</f>
        <v/>
      </c>
      <c r="AV1072" s="37" t="str">
        <f>IF(最佳化斷筋點!W1072="","",最佳化斷筋點!W1072)</f>
        <v/>
      </c>
      <c r="AW1072" s="37" t="str">
        <f>IF(最佳化斷筋點!X1072="","",最佳化斷筋點!X1072)</f>
        <v/>
      </c>
      <c r="AZ1072" s="37" t="s">
        <v>197</v>
      </c>
      <c r="BA1072" s="37" t="s">
        <v>197</v>
      </c>
      <c r="BB1072" s="37" t="s">
        <v>197</v>
      </c>
      <c r="BC1072" s="37" t="s">
        <v>197</v>
      </c>
      <c r="BD1072" s="37" t="s">
        <v>197</v>
      </c>
      <c r="BE1072" s="37" t="s">
        <v>197</v>
      </c>
      <c r="BF1072" s="37" t="s">
        <v>197</v>
      </c>
      <c r="BG1072" s="37" t="s">
        <v>197</v>
      </c>
      <c r="BH1072" s="37" t="s">
        <v>197</v>
      </c>
      <c r="BI1072" s="37" t="s">
        <v>197</v>
      </c>
      <c r="BJ1072" s="37" t="s">
        <v>197</v>
      </c>
      <c r="BK1072" s="37" t="s">
        <v>197</v>
      </c>
      <c r="BL1072" s="37" t="s">
        <v>197</v>
      </c>
      <c r="BM1072" s="37" t="s">
        <v>197</v>
      </c>
      <c r="BN1072" s="37" t="s">
        <v>197</v>
      </c>
      <c r="BO1072" s="37" t="s">
        <v>197</v>
      </c>
      <c r="BP1072" s="37" t="s">
        <v>197</v>
      </c>
      <c r="BQ1072" s="37" t="s">
        <v>197</v>
      </c>
      <c r="BR1072" s="37" t="s">
        <v>197</v>
      </c>
      <c r="BS1072" s="37" t="s">
        <v>197</v>
      </c>
      <c r="BT1072" s="37" t="s">
        <v>197</v>
      </c>
    </row>
    <row r="1073" spans="5:72" x14ac:dyDescent="0.25">
      <c r="E1073" s="36" t="s">
        <v>21</v>
      </c>
      <c r="F1073" s="36">
        <f t="shared" si="337"/>
        <v>0</v>
      </c>
      <c r="G1073" s="36">
        <f t="shared" si="338"/>
        <v>0</v>
      </c>
      <c r="H1073" s="36">
        <f t="shared" si="339"/>
        <v>0</v>
      </c>
      <c r="I1073" s="36">
        <f t="shared" si="340"/>
        <v>0</v>
      </c>
      <c r="J1073" s="36">
        <f t="shared" si="341"/>
        <v>0</v>
      </c>
      <c r="K1073" s="36">
        <f t="shared" si="342"/>
        <v>0</v>
      </c>
      <c r="L1073" s="36">
        <f t="shared" si="343"/>
        <v>0</v>
      </c>
      <c r="M1073" s="36">
        <f t="shared" si="344"/>
        <v>0</v>
      </c>
      <c r="N1073" s="36">
        <f t="shared" si="345"/>
        <v>0</v>
      </c>
      <c r="O1073" s="36">
        <f t="shared" si="346"/>
        <v>0</v>
      </c>
      <c r="P1073" s="36">
        <f t="shared" si="347"/>
        <v>0</v>
      </c>
      <c r="Q1073" s="36">
        <f t="shared" si="348"/>
        <v>0</v>
      </c>
      <c r="R1073" s="36">
        <f t="shared" si="349"/>
        <v>0</v>
      </c>
      <c r="S1073" s="36">
        <f t="shared" si="350"/>
        <v>0</v>
      </c>
      <c r="T1073" s="36">
        <f t="shared" si="351"/>
        <v>0</v>
      </c>
      <c r="U1073" s="36">
        <f t="shared" si="352"/>
        <v>0</v>
      </c>
      <c r="V1073" s="36">
        <f t="shared" si="353"/>
        <v>0</v>
      </c>
      <c r="W1073" s="36">
        <f t="shared" si="354"/>
        <v>0</v>
      </c>
      <c r="X1073" s="36">
        <f t="shared" si="355"/>
        <v>0</v>
      </c>
      <c r="Y1073" s="36">
        <f t="shared" si="356"/>
        <v>0</v>
      </c>
      <c r="Z1073" s="36">
        <f t="shared" si="357"/>
        <v>0</v>
      </c>
      <c r="AB1073" s="36" t="str">
        <f>IF(最佳化斷筋點!C1073="","",最佳化斷筋點!C1073)</f>
        <v>下層</v>
      </c>
      <c r="AC1073" s="37">
        <f>IF(最佳化斷筋點!D1073="","",最佳化斷筋點!D1073)</f>
        <v>11</v>
      </c>
      <c r="AD1073" s="37">
        <f>IF(最佳化斷筋點!E1073="","",最佳化斷筋點!E1073)</f>
        <v>11</v>
      </c>
      <c r="AE1073" s="37">
        <f>IF(最佳化斷筋點!F1073="","",最佳化斷筋點!F1073)</f>
        <v>11</v>
      </c>
      <c r="AF1073" s="37">
        <f>IF(最佳化斷筋點!G1073="","",最佳化斷筋點!G1073)</f>
        <v>11</v>
      </c>
      <c r="AG1073" s="37">
        <f>IF(最佳化斷筋點!H1073="","",最佳化斷筋點!H1073)</f>
        <v>11</v>
      </c>
      <c r="AH1073" s="37">
        <f>IF(最佳化斷筋點!I1073="","",最佳化斷筋點!I1073)</f>
        <v>11</v>
      </c>
      <c r="AI1073" s="37">
        <f>IF(最佳化斷筋點!J1073="","",最佳化斷筋點!J1073)</f>
        <v>11</v>
      </c>
      <c r="AJ1073" s="37">
        <f>IF(最佳化斷筋點!K1073="","",最佳化斷筋點!K1073)</f>
        <v>11</v>
      </c>
      <c r="AK1073" s="37">
        <f>IF(最佳化斷筋點!L1073="","",最佳化斷筋點!L1073)</f>
        <v>11</v>
      </c>
      <c r="AL1073" s="37">
        <f>IF(最佳化斷筋點!M1073="","",最佳化斷筋點!M1073)</f>
        <v>11</v>
      </c>
      <c r="AM1073" s="37">
        <f>IF(最佳化斷筋點!N1073="","",最佳化斷筋點!N1073)</f>
        <v>11</v>
      </c>
      <c r="AN1073" s="37">
        <f>IF(最佳化斷筋點!O1073="","",最佳化斷筋點!O1073)</f>
        <v>11</v>
      </c>
      <c r="AO1073" s="37">
        <f>IF(最佳化斷筋點!P1073="","",最佳化斷筋點!P1073)</f>
        <v>11</v>
      </c>
      <c r="AP1073" s="37">
        <f>IF(最佳化斷筋點!Q1073="","",最佳化斷筋點!Q1073)</f>
        <v>11</v>
      </c>
      <c r="AQ1073" s="37">
        <f>IF(最佳化斷筋點!R1073="","",最佳化斷筋點!R1073)</f>
        <v>11</v>
      </c>
      <c r="AR1073" s="37">
        <f>IF(最佳化斷筋點!S1073="","",最佳化斷筋點!S1073)</f>
        <v>11</v>
      </c>
      <c r="AS1073" s="37">
        <f>IF(最佳化斷筋點!T1073="","",最佳化斷筋點!T1073)</f>
        <v>11</v>
      </c>
      <c r="AT1073" s="37">
        <f>IF(最佳化斷筋點!U1073="","",最佳化斷筋點!U1073)</f>
        <v>11</v>
      </c>
      <c r="AU1073" s="37">
        <f>IF(最佳化斷筋點!V1073="","",最佳化斷筋點!V1073)</f>
        <v>11</v>
      </c>
      <c r="AV1073" s="37">
        <f>IF(最佳化斷筋點!W1073="","",最佳化斷筋點!W1073)</f>
        <v>11</v>
      </c>
      <c r="AW1073" s="37">
        <f>IF(最佳化斷筋點!X1073="","",最佳化斷筋點!X1073)</f>
        <v>11</v>
      </c>
      <c r="AZ1073" s="37">
        <v>11</v>
      </c>
      <c r="BA1073" s="37">
        <v>11</v>
      </c>
      <c r="BB1073" s="37">
        <v>11</v>
      </c>
      <c r="BC1073" s="37">
        <v>11</v>
      </c>
      <c r="BD1073" s="37">
        <v>11</v>
      </c>
      <c r="BE1073" s="37">
        <v>11</v>
      </c>
      <c r="BF1073" s="37">
        <v>11</v>
      </c>
      <c r="BG1073" s="37">
        <v>11</v>
      </c>
      <c r="BH1073" s="37">
        <v>11</v>
      </c>
      <c r="BI1073" s="37">
        <v>11</v>
      </c>
      <c r="BJ1073" s="37">
        <v>11</v>
      </c>
      <c r="BK1073" s="37">
        <v>11</v>
      </c>
      <c r="BL1073" s="37">
        <v>11</v>
      </c>
      <c r="BM1073" s="37">
        <v>11</v>
      </c>
      <c r="BN1073" s="37">
        <v>11</v>
      </c>
      <c r="BO1073" s="37">
        <v>11</v>
      </c>
      <c r="BP1073" s="37">
        <v>11</v>
      </c>
      <c r="BQ1073" s="37">
        <v>11</v>
      </c>
      <c r="BR1073" s="37">
        <v>11</v>
      </c>
      <c r="BS1073" s="37">
        <v>11</v>
      </c>
      <c r="BT1073" s="37">
        <v>11</v>
      </c>
    </row>
    <row r="1074" spans="5:72" x14ac:dyDescent="0.25">
      <c r="E1074" s="36"/>
      <c r="F1074" s="36">
        <f t="shared" si="337"/>
        <v>0</v>
      </c>
      <c r="G1074" s="36">
        <f t="shared" si="338"/>
        <v>0</v>
      </c>
      <c r="H1074" s="36">
        <f t="shared" si="339"/>
        <v>0</v>
      </c>
      <c r="I1074" s="36">
        <f t="shared" si="340"/>
        <v>0</v>
      </c>
      <c r="J1074" s="36">
        <f t="shared" si="341"/>
        <v>0</v>
      </c>
      <c r="K1074" s="36">
        <f t="shared" si="342"/>
        <v>0</v>
      </c>
      <c r="L1074" s="36">
        <f t="shared" si="343"/>
        <v>0</v>
      </c>
      <c r="M1074" s="36">
        <f t="shared" si="344"/>
        <v>0</v>
      </c>
      <c r="N1074" s="36">
        <f t="shared" si="345"/>
        <v>0</v>
      </c>
      <c r="O1074" s="36">
        <f t="shared" si="346"/>
        <v>0</v>
      </c>
      <c r="P1074" s="36">
        <f t="shared" si="347"/>
        <v>0</v>
      </c>
      <c r="Q1074" s="36">
        <f t="shared" si="348"/>
        <v>0</v>
      </c>
      <c r="R1074" s="36">
        <f t="shared" si="349"/>
        <v>0</v>
      </c>
      <c r="S1074" s="36">
        <f t="shared" si="350"/>
        <v>0</v>
      </c>
      <c r="T1074" s="36">
        <f t="shared" si="351"/>
        <v>0</v>
      </c>
      <c r="U1074" s="36">
        <f t="shared" si="352"/>
        <v>0</v>
      </c>
      <c r="V1074" s="36">
        <f t="shared" si="353"/>
        <v>0</v>
      </c>
      <c r="W1074" s="36">
        <f t="shared" si="354"/>
        <v>0</v>
      </c>
      <c r="X1074" s="36">
        <f t="shared" si="355"/>
        <v>0</v>
      </c>
      <c r="Y1074" s="36">
        <f t="shared" si="356"/>
        <v>0</v>
      </c>
      <c r="Z1074" s="36">
        <f t="shared" si="357"/>
        <v>0</v>
      </c>
      <c r="AB1074" s="36" t="str">
        <f>IF(最佳化斷筋點!C1074="","",最佳化斷筋點!C1074)</f>
        <v/>
      </c>
      <c r="AC1074" s="37" t="str">
        <f>IF(最佳化斷筋點!D1074="","",最佳化斷筋點!D1074)</f>
        <v/>
      </c>
      <c r="AD1074" s="37" t="str">
        <f>IF(最佳化斷筋點!E1074="","",最佳化斷筋點!E1074)</f>
        <v/>
      </c>
      <c r="AE1074" s="37" t="str">
        <f>IF(最佳化斷筋點!F1074="","",最佳化斷筋點!F1074)</f>
        <v/>
      </c>
      <c r="AF1074" s="37" t="str">
        <f>IF(最佳化斷筋點!G1074="","",最佳化斷筋點!G1074)</f>
        <v/>
      </c>
      <c r="AG1074" s="37" t="str">
        <f>IF(最佳化斷筋點!H1074="","",最佳化斷筋點!H1074)</f>
        <v/>
      </c>
      <c r="AH1074" s="37" t="str">
        <f>IF(最佳化斷筋點!I1074="","",最佳化斷筋點!I1074)</f>
        <v/>
      </c>
      <c r="AI1074" s="37" t="str">
        <f>IF(最佳化斷筋點!J1074="","",最佳化斷筋點!J1074)</f>
        <v/>
      </c>
      <c r="AJ1074" s="37" t="str">
        <f>IF(最佳化斷筋點!K1074="","",最佳化斷筋點!K1074)</f>
        <v/>
      </c>
      <c r="AK1074" s="37" t="str">
        <f>IF(最佳化斷筋點!L1074="","",最佳化斷筋點!L1074)</f>
        <v/>
      </c>
      <c r="AL1074" s="37" t="str">
        <f>IF(最佳化斷筋點!M1074="","",最佳化斷筋點!M1074)</f>
        <v/>
      </c>
      <c r="AM1074" s="37" t="str">
        <f>IF(最佳化斷筋點!N1074="","",最佳化斷筋點!N1074)</f>
        <v/>
      </c>
      <c r="AN1074" s="37" t="str">
        <f>IF(最佳化斷筋點!O1074="","",最佳化斷筋點!O1074)</f>
        <v/>
      </c>
      <c r="AO1074" s="37" t="str">
        <f>IF(最佳化斷筋點!P1074="","",最佳化斷筋點!P1074)</f>
        <v/>
      </c>
      <c r="AP1074" s="37" t="str">
        <f>IF(最佳化斷筋點!Q1074="","",最佳化斷筋點!Q1074)</f>
        <v/>
      </c>
      <c r="AQ1074" s="37" t="str">
        <f>IF(最佳化斷筋點!R1074="","",最佳化斷筋點!R1074)</f>
        <v/>
      </c>
      <c r="AR1074" s="37" t="str">
        <f>IF(最佳化斷筋點!S1074="","",最佳化斷筋點!S1074)</f>
        <v/>
      </c>
      <c r="AS1074" s="37" t="str">
        <f>IF(最佳化斷筋點!T1074="","",最佳化斷筋點!T1074)</f>
        <v/>
      </c>
      <c r="AT1074" s="37" t="str">
        <f>IF(最佳化斷筋點!U1074="","",最佳化斷筋點!U1074)</f>
        <v/>
      </c>
      <c r="AU1074" s="37" t="str">
        <f>IF(最佳化斷筋點!V1074="","",最佳化斷筋點!V1074)</f>
        <v/>
      </c>
      <c r="AV1074" s="37" t="str">
        <f>IF(最佳化斷筋點!W1074="","",最佳化斷筋點!W1074)</f>
        <v/>
      </c>
      <c r="AW1074" s="37" t="str">
        <f>IF(最佳化斷筋點!X1074="","",最佳化斷筋點!X1074)</f>
        <v/>
      </c>
      <c r="AZ1074" s="37" t="s">
        <v>197</v>
      </c>
      <c r="BA1074" s="37" t="s">
        <v>197</v>
      </c>
      <c r="BB1074" s="37" t="s">
        <v>197</v>
      </c>
      <c r="BC1074" s="37" t="s">
        <v>197</v>
      </c>
      <c r="BD1074" s="37" t="s">
        <v>197</v>
      </c>
      <c r="BE1074" s="37" t="s">
        <v>197</v>
      </c>
      <c r="BF1074" s="37" t="s">
        <v>197</v>
      </c>
      <c r="BG1074" s="37" t="s">
        <v>197</v>
      </c>
      <c r="BH1074" s="37" t="s">
        <v>197</v>
      </c>
      <c r="BI1074" s="37" t="s">
        <v>197</v>
      </c>
      <c r="BJ1074" s="37" t="s">
        <v>197</v>
      </c>
      <c r="BK1074" s="37" t="s">
        <v>197</v>
      </c>
      <c r="BL1074" s="37" t="s">
        <v>197</v>
      </c>
      <c r="BM1074" s="37" t="s">
        <v>197</v>
      </c>
      <c r="BN1074" s="37" t="s">
        <v>197</v>
      </c>
      <c r="BO1074" s="37" t="s">
        <v>197</v>
      </c>
      <c r="BP1074" s="37" t="s">
        <v>197</v>
      </c>
      <c r="BQ1074" s="37" t="s">
        <v>197</v>
      </c>
      <c r="BR1074" s="37" t="s">
        <v>197</v>
      </c>
      <c r="BS1074" s="37" t="s">
        <v>197</v>
      </c>
      <c r="BT1074" s="37" t="s">
        <v>197</v>
      </c>
    </row>
    <row r="1075" spans="5:72" x14ac:dyDescent="0.25">
      <c r="E1075" s="36" t="s">
        <v>20</v>
      </c>
      <c r="F1075" s="36">
        <f t="shared" si="337"/>
        <v>0</v>
      </c>
      <c r="G1075" s="36">
        <f t="shared" si="338"/>
        <v>0</v>
      </c>
      <c r="H1075" s="36">
        <f t="shared" si="339"/>
        <v>0</v>
      </c>
      <c r="I1075" s="36">
        <f t="shared" si="340"/>
        <v>0</v>
      </c>
      <c r="J1075" s="36">
        <f t="shared" si="341"/>
        <v>0</v>
      </c>
      <c r="K1075" s="36">
        <f t="shared" si="342"/>
        <v>0</v>
      </c>
      <c r="L1075" s="36">
        <f t="shared" si="343"/>
        <v>0</v>
      </c>
      <c r="M1075" s="36">
        <f t="shared" si="344"/>
        <v>0</v>
      </c>
      <c r="N1075" s="36">
        <f t="shared" si="345"/>
        <v>0</v>
      </c>
      <c r="O1075" s="36">
        <f t="shared" si="346"/>
        <v>0</v>
      </c>
      <c r="P1075" s="36">
        <f t="shared" si="347"/>
        <v>0</v>
      </c>
      <c r="Q1075" s="36">
        <f t="shared" si="348"/>
        <v>0</v>
      </c>
      <c r="R1075" s="36">
        <f t="shared" si="349"/>
        <v>0</v>
      </c>
      <c r="S1075" s="36">
        <f t="shared" si="350"/>
        <v>0</v>
      </c>
      <c r="T1075" s="36">
        <f t="shared" si="351"/>
        <v>0</v>
      </c>
      <c r="U1075" s="36">
        <f t="shared" si="352"/>
        <v>0</v>
      </c>
      <c r="V1075" s="36">
        <f t="shared" si="353"/>
        <v>0</v>
      </c>
      <c r="W1075" s="36">
        <f t="shared" si="354"/>
        <v>0</v>
      </c>
      <c r="X1075" s="36">
        <f t="shared" si="355"/>
        <v>0</v>
      </c>
      <c r="Y1075" s="36">
        <f t="shared" si="356"/>
        <v>0</v>
      </c>
      <c r="Z1075" s="36">
        <f t="shared" si="357"/>
        <v>0</v>
      </c>
      <c r="AB1075" s="36" t="str">
        <f>IF(最佳化斷筋點!C1075="","",最佳化斷筋點!C1075)</f>
        <v>上層</v>
      </c>
      <c r="AC1075" s="37">
        <f>IF(最佳化斷筋點!D1075="","",最佳化斷筋點!D1075)</f>
        <v>10</v>
      </c>
      <c r="AD1075" s="37">
        <f>IF(最佳化斷筋點!E1075="","",最佳化斷筋點!E1075)</f>
        <v>10</v>
      </c>
      <c r="AE1075" s="37">
        <f>IF(最佳化斷筋點!F1075="","",最佳化斷筋點!F1075)</f>
        <v>10</v>
      </c>
      <c r="AF1075" s="37">
        <f>IF(最佳化斷筋點!G1075="","",最佳化斷筋點!G1075)</f>
        <v>10</v>
      </c>
      <c r="AG1075" s="37">
        <f>IF(最佳化斷筋點!H1075="","",最佳化斷筋點!H1075)</f>
        <v>10</v>
      </c>
      <c r="AH1075" s="37">
        <f>IF(最佳化斷筋點!I1075="","",最佳化斷筋點!I1075)</f>
        <v>10</v>
      </c>
      <c r="AI1075" s="37">
        <f>IF(最佳化斷筋點!J1075="","",最佳化斷筋點!J1075)</f>
        <v>10</v>
      </c>
      <c r="AJ1075" s="37">
        <f>IF(最佳化斷筋點!K1075="","",最佳化斷筋點!K1075)</f>
        <v>5</v>
      </c>
      <c r="AK1075" s="37">
        <f>IF(最佳化斷筋點!L1075="","",最佳化斷筋點!L1075)</f>
        <v>5</v>
      </c>
      <c r="AL1075" s="37">
        <f>IF(最佳化斷筋點!M1075="","",最佳化斷筋點!M1075)</f>
        <v>5</v>
      </c>
      <c r="AM1075" s="37">
        <f>IF(最佳化斷筋點!N1075="","",最佳化斷筋點!N1075)</f>
        <v>5</v>
      </c>
      <c r="AN1075" s="37">
        <f>IF(最佳化斷筋點!O1075="","",最佳化斷筋點!O1075)</f>
        <v>5</v>
      </c>
      <c r="AO1075" s="37">
        <f>IF(最佳化斷筋點!P1075="","",最佳化斷筋點!P1075)</f>
        <v>5</v>
      </c>
      <c r="AP1075" s="37">
        <f>IF(最佳化斷筋點!Q1075="","",最佳化斷筋點!Q1075)</f>
        <v>9</v>
      </c>
      <c r="AQ1075" s="37">
        <f>IF(最佳化斷筋點!R1075="","",最佳化斷筋點!R1075)</f>
        <v>10</v>
      </c>
      <c r="AR1075" s="37">
        <f>IF(最佳化斷筋點!S1075="","",最佳化斷筋點!S1075)</f>
        <v>11</v>
      </c>
      <c r="AS1075" s="37">
        <f>IF(最佳化斷筋點!T1075="","",最佳化斷筋點!T1075)</f>
        <v>11</v>
      </c>
      <c r="AT1075" s="37">
        <f>IF(最佳化斷筋點!U1075="","",最佳化斷筋點!U1075)</f>
        <v>11</v>
      </c>
      <c r="AU1075" s="37">
        <f>IF(最佳化斷筋點!V1075="","",最佳化斷筋點!V1075)</f>
        <v>11</v>
      </c>
      <c r="AV1075" s="37">
        <f>IF(最佳化斷筋點!W1075="","",最佳化斷筋點!W1075)</f>
        <v>11</v>
      </c>
      <c r="AW1075" s="37">
        <f>IF(最佳化斷筋點!X1075="","",最佳化斷筋點!X1075)</f>
        <v>11</v>
      </c>
      <c r="AZ1075" s="37">
        <v>10</v>
      </c>
      <c r="BA1075" s="37">
        <v>10</v>
      </c>
      <c r="BB1075" s="37">
        <v>10</v>
      </c>
      <c r="BC1075" s="37">
        <v>10</v>
      </c>
      <c r="BD1075" s="37">
        <v>10</v>
      </c>
      <c r="BE1075" s="37">
        <v>10</v>
      </c>
      <c r="BF1075" s="37">
        <v>10</v>
      </c>
      <c r="BG1075" s="37">
        <v>5</v>
      </c>
      <c r="BH1075" s="37">
        <v>5</v>
      </c>
      <c r="BI1075" s="37">
        <v>5</v>
      </c>
      <c r="BJ1075" s="37">
        <v>5</v>
      </c>
      <c r="BK1075" s="37">
        <v>5</v>
      </c>
      <c r="BL1075" s="37">
        <v>5</v>
      </c>
      <c r="BM1075" s="37">
        <v>9</v>
      </c>
      <c r="BN1075" s="37">
        <v>10</v>
      </c>
      <c r="BO1075" s="37">
        <v>11</v>
      </c>
      <c r="BP1075" s="37">
        <v>11</v>
      </c>
      <c r="BQ1075" s="37">
        <v>11</v>
      </c>
      <c r="BR1075" s="37">
        <v>11</v>
      </c>
      <c r="BS1075" s="37">
        <v>11</v>
      </c>
      <c r="BT1075" s="37">
        <v>11</v>
      </c>
    </row>
    <row r="1076" spans="5:72" x14ac:dyDescent="0.25">
      <c r="E1076" s="36"/>
      <c r="F1076" s="36">
        <f t="shared" si="337"/>
        <v>0</v>
      </c>
      <c r="G1076" s="36">
        <f t="shared" si="338"/>
        <v>0</v>
      </c>
      <c r="H1076" s="36">
        <f t="shared" si="339"/>
        <v>0</v>
      </c>
      <c r="I1076" s="36">
        <f t="shared" si="340"/>
        <v>0</v>
      </c>
      <c r="J1076" s="36">
        <f t="shared" si="341"/>
        <v>0</v>
      </c>
      <c r="K1076" s="36">
        <f t="shared" si="342"/>
        <v>0</v>
      </c>
      <c r="L1076" s="36">
        <f t="shared" si="343"/>
        <v>0</v>
      </c>
      <c r="M1076" s="36">
        <f t="shared" si="344"/>
        <v>0</v>
      </c>
      <c r="N1076" s="36">
        <f t="shared" si="345"/>
        <v>0</v>
      </c>
      <c r="O1076" s="36">
        <f t="shared" si="346"/>
        <v>0</v>
      </c>
      <c r="P1076" s="36">
        <f t="shared" si="347"/>
        <v>0</v>
      </c>
      <c r="Q1076" s="36">
        <f t="shared" si="348"/>
        <v>0</v>
      </c>
      <c r="R1076" s="36">
        <f t="shared" si="349"/>
        <v>0</v>
      </c>
      <c r="S1076" s="36">
        <f t="shared" si="350"/>
        <v>0</v>
      </c>
      <c r="T1076" s="36">
        <f t="shared" si="351"/>
        <v>0</v>
      </c>
      <c r="U1076" s="36">
        <f t="shared" si="352"/>
        <v>0</v>
      </c>
      <c r="V1076" s="36">
        <f t="shared" si="353"/>
        <v>0</v>
      </c>
      <c r="W1076" s="36">
        <f t="shared" si="354"/>
        <v>0</v>
      </c>
      <c r="X1076" s="36">
        <f t="shared" si="355"/>
        <v>0</v>
      </c>
      <c r="Y1076" s="36">
        <f t="shared" si="356"/>
        <v>0</v>
      </c>
      <c r="Z1076" s="36">
        <f t="shared" si="357"/>
        <v>0</v>
      </c>
      <c r="AB1076" s="36" t="str">
        <f>IF(最佳化斷筋點!C1076="","",最佳化斷筋點!C1076)</f>
        <v/>
      </c>
      <c r="AC1076" s="37" t="str">
        <f>IF(最佳化斷筋點!D1076="","",最佳化斷筋點!D1076)</f>
        <v/>
      </c>
      <c r="AD1076" s="37" t="str">
        <f>IF(最佳化斷筋點!E1076="","",最佳化斷筋點!E1076)</f>
        <v/>
      </c>
      <c r="AE1076" s="37" t="str">
        <f>IF(最佳化斷筋點!F1076="","",最佳化斷筋點!F1076)</f>
        <v/>
      </c>
      <c r="AF1076" s="37" t="str">
        <f>IF(最佳化斷筋點!G1076="","",最佳化斷筋點!G1076)</f>
        <v/>
      </c>
      <c r="AG1076" s="37" t="str">
        <f>IF(最佳化斷筋點!H1076="","",最佳化斷筋點!H1076)</f>
        <v/>
      </c>
      <c r="AH1076" s="37" t="str">
        <f>IF(最佳化斷筋點!I1076="","",最佳化斷筋點!I1076)</f>
        <v/>
      </c>
      <c r="AI1076" s="37" t="str">
        <f>IF(最佳化斷筋點!J1076="","",最佳化斷筋點!J1076)</f>
        <v/>
      </c>
      <c r="AJ1076" s="37" t="str">
        <f>IF(最佳化斷筋點!K1076="","",最佳化斷筋點!K1076)</f>
        <v/>
      </c>
      <c r="AK1076" s="37" t="str">
        <f>IF(最佳化斷筋點!L1076="","",最佳化斷筋點!L1076)</f>
        <v/>
      </c>
      <c r="AL1076" s="37" t="str">
        <f>IF(最佳化斷筋點!M1076="","",最佳化斷筋點!M1076)</f>
        <v/>
      </c>
      <c r="AM1076" s="37" t="str">
        <f>IF(最佳化斷筋點!N1076="","",最佳化斷筋點!N1076)</f>
        <v/>
      </c>
      <c r="AN1076" s="37" t="str">
        <f>IF(最佳化斷筋點!O1076="","",最佳化斷筋點!O1076)</f>
        <v/>
      </c>
      <c r="AO1076" s="37" t="str">
        <f>IF(最佳化斷筋點!P1076="","",最佳化斷筋點!P1076)</f>
        <v/>
      </c>
      <c r="AP1076" s="37" t="str">
        <f>IF(最佳化斷筋點!Q1076="","",最佳化斷筋點!Q1076)</f>
        <v/>
      </c>
      <c r="AQ1076" s="37" t="str">
        <f>IF(最佳化斷筋點!R1076="","",最佳化斷筋點!R1076)</f>
        <v/>
      </c>
      <c r="AR1076" s="37" t="str">
        <f>IF(最佳化斷筋點!S1076="","",最佳化斷筋點!S1076)</f>
        <v/>
      </c>
      <c r="AS1076" s="37" t="str">
        <f>IF(最佳化斷筋點!T1076="","",最佳化斷筋點!T1076)</f>
        <v/>
      </c>
      <c r="AT1076" s="37" t="str">
        <f>IF(最佳化斷筋點!U1076="","",最佳化斷筋點!U1076)</f>
        <v/>
      </c>
      <c r="AU1076" s="37" t="str">
        <f>IF(最佳化斷筋點!V1076="","",最佳化斷筋點!V1076)</f>
        <v/>
      </c>
      <c r="AV1076" s="37" t="str">
        <f>IF(最佳化斷筋點!W1076="","",最佳化斷筋點!W1076)</f>
        <v/>
      </c>
      <c r="AW1076" s="37" t="str">
        <f>IF(最佳化斷筋點!X1076="","",最佳化斷筋點!X1076)</f>
        <v/>
      </c>
      <c r="AZ1076" s="37" t="s">
        <v>197</v>
      </c>
      <c r="BA1076" s="37" t="s">
        <v>197</v>
      </c>
      <c r="BB1076" s="37" t="s">
        <v>197</v>
      </c>
      <c r="BC1076" s="37" t="s">
        <v>197</v>
      </c>
      <c r="BD1076" s="37" t="s">
        <v>197</v>
      </c>
      <c r="BE1076" s="37" t="s">
        <v>197</v>
      </c>
      <c r="BF1076" s="37" t="s">
        <v>197</v>
      </c>
      <c r="BG1076" s="37" t="s">
        <v>197</v>
      </c>
      <c r="BH1076" s="37" t="s">
        <v>197</v>
      </c>
      <c r="BI1076" s="37" t="s">
        <v>197</v>
      </c>
      <c r="BJ1076" s="37" t="s">
        <v>197</v>
      </c>
      <c r="BK1076" s="37" t="s">
        <v>197</v>
      </c>
      <c r="BL1076" s="37" t="s">
        <v>197</v>
      </c>
      <c r="BM1076" s="37" t="s">
        <v>197</v>
      </c>
      <c r="BN1076" s="37" t="s">
        <v>197</v>
      </c>
      <c r="BO1076" s="37" t="s">
        <v>197</v>
      </c>
      <c r="BP1076" s="37" t="s">
        <v>197</v>
      </c>
      <c r="BQ1076" s="37" t="s">
        <v>197</v>
      </c>
      <c r="BR1076" s="37" t="s">
        <v>197</v>
      </c>
      <c r="BS1076" s="37" t="s">
        <v>197</v>
      </c>
      <c r="BT1076" s="37" t="s">
        <v>197</v>
      </c>
    </row>
    <row r="1077" spans="5:72" x14ac:dyDescent="0.25">
      <c r="E1077" s="36" t="s">
        <v>21</v>
      </c>
      <c r="F1077" s="36">
        <f t="shared" si="337"/>
        <v>0</v>
      </c>
      <c r="G1077" s="36">
        <f t="shared" si="338"/>
        <v>0</v>
      </c>
      <c r="H1077" s="36">
        <f t="shared" si="339"/>
        <v>0</v>
      </c>
      <c r="I1077" s="36">
        <f t="shared" si="340"/>
        <v>0</v>
      </c>
      <c r="J1077" s="36">
        <f t="shared" si="341"/>
        <v>0</v>
      </c>
      <c r="K1077" s="36">
        <f t="shared" si="342"/>
        <v>0</v>
      </c>
      <c r="L1077" s="36">
        <f t="shared" si="343"/>
        <v>0</v>
      </c>
      <c r="M1077" s="36">
        <f t="shared" si="344"/>
        <v>0</v>
      </c>
      <c r="N1077" s="36">
        <f t="shared" si="345"/>
        <v>0</v>
      </c>
      <c r="O1077" s="36">
        <f t="shared" si="346"/>
        <v>0</v>
      </c>
      <c r="P1077" s="36">
        <f t="shared" si="347"/>
        <v>0</v>
      </c>
      <c r="Q1077" s="36">
        <f t="shared" si="348"/>
        <v>0</v>
      </c>
      <c r="R1077" s="36">
        <f t="shared" si="349"/>
        <v>0</v>
      </c>
      <c r="S1077" s="36">
        <f t="shared" si="350"/>
        <v>0</v>
      </c>
      <c r="T1077" s="36">
        <f t="shared" si="351"/>
        <v>0</v>
      </c>
      <c r="U1077" s="36">
        <f t="shared" si="352"/>
        <v>0</v>
      </c>
      <c r="V1077" s="36">
        <f t="shared" si="353"/>
        <v>0</v>
      </c>
      <c r="W1077" s="36">
        <f t="shared" si="354"/>
        <v>0</v>
      </c>
      <c r="X1077" s="36">
        <f t="shared" si="355"/>
        <v>0</v>
      </c>
      <c r="Y1077" s="36">
        <f t="shared" si="356"/>
        <v>0</v>
      </c>
      <c r="Z1077" s="36">
        <f t="shared" si="357"/>
        <v>0</v>
      </c>
      <c r="AB1077" s="36" t="str">
        <f>IF(最佳化斷筋點!C1077="","",最佳化斷筋點!C1077)</f>
        <v>下層</v>
      </c>
      <c r="AC1077" s="37">
        <f>IF(最佳化斷筋點!D1077="","",最佳化斷筋點!D1077)</f>
        <v>17</v>
      </c>
      <c r="AD1077" s="37">
        <f>IF(最佳化斷筋點!E1077="","",最佳化斷筋點!E1077)</f>
        <v>17</v>
      </c>
      <c r="AE1077" s="37">
        <f>IF(最佳化斷筋點!F1077="","",最佳化斷筋點!F1077)</f>
        <v>17</v>
      </c>
      <c r="AF1077" s="37">
        <f>IF(最佳化斷筋點!G1077="","",最佳化斷筋點!G1077)</f>
        <v>17</v>
      </c>
      <c r="AG1077" s="37">
        <f>IF(最佳化斷筋點!H1077="","",最佳化斷筋點!H1077)</f>
        <v>17</v>
      </c>
      <c r="AH1077" s="37">
        <f>IF(最佳化斷筋點!I1077="","",最佳化斷筋點!I1077)</f>
        <v>16</v>
      </c>
      <c r="AI1077" s="37">
        <f>IF(最佳化斷筋點!J1077="","",最佳化斷筋點!J1077)</f>
        <v>14</v>
      </c>
      <c r="AJ1077" s="37">
        <f>IF(最佳化斷筋點!K1077="","",最佳化斷筋點!K1077)</f>
        <v>6</v>
      </c>
      <c r="AK1077" s="37">
        <f>IF(最佳化斷筋點!L1077="","",最佳化斷筋點!L1077)</f>
        <v>6</v>
      </c>
      <c r="AL1077" s="37">
        <f>IF(最佳化斷筋點!M1077="","",最佳化斷筋點!M1077)</f>
        <v>6</v>
      </c>
      <c r="AM1077" s="37">
        <f>IF(最佳化斷筋點!N1077="","",最佳化斷筋點!N1077)</f>
        <v>6</v>
      </c>
      <c r="AN1077" s="37">
        <f>IF(最佳化斷筋點!O1077="","",最佳化斷筋點!O1077)</f>
        <v>6</v>
      </c>
      <c r="AO1077" s="37">
        <f>IF(最佳化斷筋點!P1077="","",最佳化斷筋點!P1077)</f>
        <v>6</v>
      </c>
      <c r="AP1077" s="37">
        <f>IF(最佳化斷筋點!Q1077="","",最佳化斷筋點!Q1077)</f>
        <v>9</v>
      </c>
      <c r="AQ1077" s="37">
        <f>IF(最佳化斷筋點!R1077="","",最佳化斷筋點!R1077)</f>
        <v>10</v>
      </c>
      <c r="AR1077" s="37">
        <f>IF(最佳化斷筋點!S1077="","",最佳化斷筋點!S1077)</f>
        <v>11</v>
      </c>
      <c r="AS1077" s="37">
        <f>IF(最佳化斷筋點!T1077="","",最佳化斷筋點!T1077)</f>
        <v>13</v>
      </c>
      <c r="AT1077" s="37">
        <f>IF(最佳化斷筋點!U1077="","",最佳化斷筋點!U1077)</f>
        <v>14</v>
      </c>
      <c r="AU1077" s="37">
        <f>IF(最佳化斷筋點!V1077="","",最佳化斷筋點!V1077)</f>
        <v>14</v>
      </c>
      <c r="AV1077" s="37">
        <f>IF(最佳化斷筋點!W1077="","",最佳化斷筋點!W1077)</f>
        <v>14</v>
      </c>
      <c r="AW1077" s="37">
        <f>IF(最佳化斷筋點!X1077="","",最佳化斷筋點!X1077)</f>
        <v>14</v>
      </c>
      <c r="AZ1077" s="37">
        <v>17</v>
      </c>
      <c r="BA1077" s="37">
        <v>17</v>
      </c>
      <c r="BB1077" s="37">
        <v>17</v>
      </c>
      <c r="BC1077" s="37">
        <v>17</v>
      </c>
      <c r="BD1077" s="37">
        <v>17</v>
      </c>
      <c r="BE1077" s="37">
        <v>16</v>
      </c>
      <c r="BF1077" s="37">
        <v>14</v>
      </c>
      <c r="BG1077" s="37">
        <v>6</v>
      </c>
      <c r="BH1077" s="37">
        <v>6</v>
      </c>
      <c r="BI1077" s="37">
        <v>6</v>
      </c>
      <c r="BJ1077" s="37">
        <v>6</v>
      </c>
      <c r="BK1077" s="37">
        <v>6</v>
      </c>
      <c r="BL1077" s="37">
        <v>6</v>
      </c>
      <c r="BM1077" s="37">
        <v>9</v>
      </c>
      <c r="BN1077" s="37">
        <v>10</v>
      </c>
      <c r="BO1077" s="37">
        <v>11</v>
      </c>
      <c r="BP1077" s="37">
        <v>13</v>
      </c>
      <c r="BQ1077" s="37">
        <v>14</v>
      </c>
      <c r="BR1077" s="37">
        <v>14</v>
      </c>
      <c r="BS1077" s="37">
        <v>14</v>
      </c>
      <c r="BT1077" s="37">
        <v>14</v>
      </c>
    </row>
    <row r="1078" spans="5:72" x14ac:dyDescent="0.25">
      <c r="E1078" s="36"/>
      <c r="F1078" s="36">
        <f t="shared" si="337"/>
        <v>0</v>
      </c>
      <c r="G1078" s="36">
        <f t="shared" si="338"/>
        <v>0</v>
      </c>
      <c r="H1078" s="36">
        <f t="shared" si="339"/>
        <v>0</v>
      </c>
      <c r="I1078" s="36">
        <f t="shared" si="340"/>
        <v>0</v>
      </c>
      <c r="J1078" s="36">
        <f t="shared" si="341"/>
        <v>0</v>
      </c>
      <c r="K1078" s="36">
        <f t="shared" si="342"/>
        <v>0</v>
      </c>
      <c r="L1078" s="36">
        <f t="shared" si="343"/>
        <v>0</v>
      </c>
      <c r="M1078" s="36">
        <f t="shared" si="344"/>
        <v>0</v>
      </c>
      <c r="N1078" s="36">
        <f t="shared" si="345"/>
        <v>0</v>
      </c>
      <c r="O1078" s="36">
        <f t="shared" si="346"/>
        <v>0</v>
      </c>
      <c r="P1078" s="36">
        <f t="shared" si="347"/>
        <v>0</v>
      </c>
      <c r="Q1078" s="36">
        <f t="shared" si="348"/>
        <v>0</v>
      </c>
      <c r="R1078" s="36">
        <f t="shared" si="349"/>
        <v>0</v>
      </c>
      <c r="S1078" s="36">
        <f t="shared" si="350"/>
        <v>0</v>
      </c>
      <c r="T1078" s="36">
        <f t="shared" si="351"/>
        <v>0</v>
      </c>
      <c r="U1078" s="36">
        <f t="shared" si="352"/>
        <v>0</v>
      </c>
      <c r="V1078" s="36">
        <f t="shared" si="353"/>
        <v>0</v>
      </c>
      <c r="W1078" s="36">
        <f t="shared" si="354"/>
        <v>0</v>
      </c>
      <c r="X1078" s="36">
        <f t="shared" si="355"/>
        <v>0</v>
      </c>
      <c r="Y1078" s="36">
        <f t="shared" si="356"/>
        <v>0</v>
      </c>
      <c r="Z1078" s="36">
        <f t="shared" si="357"/>
        <v>0</v>
      </c>
      <c r="AB1078" s="36" t="str">
        <f>IF(最佳化斷筋點!C1078="","",最佳化斷筋點!C1078)</f>
        <v/>
      </c>
      <c r="AC1078" s="37" t="str">
        <f>IF(最佳化斷筋點!D1078="","",最佳化斷筋點!D1078)</f>
        <v/>
      </c>
      <c r="AD1078" s="37" t="str">
        <f>IF(最佳化斷筋點!E1078="","",最佳化斷筋點!E1078)</f>
        <v/>
      </c>
      <c r="AE1078" s="37" t="str">
        <f>IF(最佳化斷筋點!F1078="","",最佳化斷筋點!F1078)</f>
        <v/>
      </c>
      <c r="AF1078" s="37" t="str">
        <f>IF(最佳化斷筋點!G1078="","",最佳化斷筋點!G1078)</f>
        <v/>
      </c>
      <c r="AG1078" s="37" t="str">
        <f>IF(最佳化斷筋點!H1078="","",最佳化斷筋點!H1078)</f>
        <v/>
      </c>
      <c r="AH1078" s="37" t="str">
        <f>IF(最佳化斷筋點!I1078="","",最佳化斷筋點!I1078)</f>
        <v/>
      </c>
      <c r="AI1078" s="37" t="str">
        <f>IF(最佳化斷筋點!J1078="","",最佳化斷筋點!J1078)</f>
        <v/>
      </c>
      <c r="AJ1078" s="37" t="str">
        <f>IF(最佳化斷筋點!K1078="","",最佳化斷筋點!K1078)</f>
        <v/>
      </c>
      <c r="AK1078" s="37" t="str">
        <f>IF(最佳化斷筋點!L1078="","",最佳化斷筋點!L1078)</f>
        <v/>
      </c>
      <c r="AL1078" s="37" t="str">
        <f>IF(最佳化斷筋點!M1078="","",最佳化斷筋點!M1078)</f>
        <v/>
      </c>
      <c r="AM1078" s="37" t="str">
        <f>IF(最佳化斷筋點!N1078="","",最佳化斷筋點!N1078)</f>
        <v/>
      </c>
      <c r="AN1078" s="37" t="str">
        <f>IF(最佳化斷筋點!O1078="","",最佳化斷筋點!O1078)</f>
        <v/>
      </c>
      <c r="AO1078" s="37" t="str">
        <f>IF(最佳化斷筋點!P1078="","",最佳化斷筋點!P1078)</f>
        <v/>
      </c>
      <c r="AP1078" s="37" t="str">
        <f>IF(最佳化斷筋點!Q1078="","",最佳化斷筋點!Q1078)</f>
        <v/>
      </c>
      <c r="AQ1078" s="37" t="str">
        <f>IF(最佳化斷筋點!R1078="","",最佳化斷筋點!R1078)</f>
        <v/>
      </c>
      <c r="AR1078" s="37" t="str">
        <f>IF(最佳化斷筋點!S1078="","",最佳化斷筋點!S1078)</f>
        <v/>
      </c>
      <c r="AS1078" s="37" t="str">
        <f>IF(最佳化斷筋點!T1078="","",最佳化斷筋點!T1078)</f>
        <v/>
      </c>
      <c r="AT1078" s="37" t="str">
        <f>IF(最佳化斷筋點!U1078="","",最佳化斷筋點!U1078)</f>
        <v/>
      </c>
      <c r="AU1078" s="37" t="str">
        <f>IF(最佳化斷筋點!V1078="","",最佳化斷筋點!V1078)</f>
        <v/>
      </c>
      <c r="AV1078" s="37" t="str">
        <f>IF(最佳化斷筋點!W1078="","",最佳化斷筋點!W1078)</f>
        <v/>
      </c>
      <c r="AW1078" s="37" t="str">
        <f>IF(最佳化斷筋點!X1078="","",最佳化斷筋點!X1078)</f>
        <v/>
      </c>
      <c r="AZ1078" s="37" t="s">
        <v>197</v>
      </c>
      <c r="BA1078" s="37" t="s">
        <v>197</v>
      </c>
      <c r="BB1078" s="37" t="s">
        <v>197</v>
      </c>
      <c r="BC1078" s="37" t="s">
        <v>197</v>
      </c>
      <c r="BD1078" s="37" t="s">
        <v>197</v>
      </c>
      <c r="BE1078" s="37" t="s">
        <v>197</v>
      </c>
      <c r="BF1078" s="37" t="s">
        <v>197</v>
      </c>
      <c r="BG1078" s="37" t="s">
        <v>197</v>
      </c>
      <c r="BH1078" s="37" t="s">
        <v>197</v>
      </c>
      <c r="BI1078" s="37" t="s">
        <v>197</v>
      </c>
      <c r="BJ1078" s="37" t="s">
        <v>197</v>
      </c>
      <c r="BK1078" s="37" t="s">
        <v>197</v>
      </c>
      <c r="BL1078" s="37" t="s">
        <v>197</v>
      </c>
      <c r="BM1078" s="37" t="s">
        <v>197</v>
      </c>
      <c r="BN1078" s="37" t="s">
        <v>197</v>
      </c>
      <c r="BO1078" s="37" t="s">
        <v>197</v>
      </c>
      <c r="BP1078" s="37" t="s">
        <v>197</v>
      </c>
      <c r="BQ1078" s="37" t="s">
        <v>197</v>
      </c>
      <c r="BR1078" s="37" t="s">
        <v>197</v>
      </c>
      <c r="BS1078" s="37" t="s">
        <v>197</v>
      </c>
      <c r="BT1078" s="37" t="s">
        <v>197</v>
      </c>
    </row>
    <row r="1079" spans="5:72" x14ac:dyDescent="0.25">
      <c r="E1079" s="36" t="s">
        <v>20</v>
      </c>
      <c r="F1079" s="36">
        <f t="shared" ref="F1079:F1142" si="358">IF(AC1079=AZ1079,0,1)</f>
        <v>0</v>
      </c>
      <c r="G1079" s="36">
        <f t="shared" ref="G1079:G1142" si="359">IF(AD1079=BA1079,0,1)</f>
        <v>0</v>
      </c>
      <c r="H1079" s="36">
        <f t="shared" ref="H1079:H1142" si="360">IF(AE1079=BB1079,0,1)</f>
        <v>0</v>
      </c>
      <c r="I1079" s="36">
        <f t="shared" ref="I1079:I1142" si="361">IF(AF1079=BC1079,0,1)</f>
        <v>0</v>
      </c>
      <c r="J1079" s="36">
        <f t="shared" ref="J1079:J1142" si="362">IF(AG1079=BD1079,0,1)</f>
        <v>0</v>
      </c>
      <c r="K1079" s="36">
        <f t="shared" ref="K1079:K1142" si="363">IF(AH1079=BE1079,0,1)</f>
        <v>0</v>
      </c>
      <c r="L1079" s="36">
        <f t="shared" ref="L1079:L1142" si="364">IF(AI1079=BF1079,0,1)</f>
        <v>0</v>
      </c>
      <c r="M1079" s="36">
        <f t="shared" ref="M1079:M1142" si="365">IF(AJ1079=BG1079,0,1)</f>
        <v>0</v>
      </c>
      <c r="N1079" s="36">
        <f t="shared" ref="N1079:N1142" si="366">IF(AK1079=BH1079,0,1)</f>
        <v>0</v>
      </c>
      <c r="O1079" s="36">
        <f t="shared" ref="O1079:O1142" si="367">IF(AL1079=BI1079,0,1)</f>
        <v>0</v>
      </c>
      <c r="P1079" s="36">
        <f t="shared" ref="P1079:P1142" si="368">IF(AM1079=BJ1079,0,1)</f>
        <v>0</v>
      </c>
      <c r="Q1079" s="36">
        <f t="shared" ref="Q1079:Q1142" si="369">IF(AN1079=BK1079,0,1)</f>
        <v>0</v>
      </c>
      <c r="R1079" s="36">
        <f t="shared" ref="R1079:R1142" si="370">IF(AO1079=BL1079,0,1)</f>
        <v>0</v>
      </c>
      <c r="S1079" s="36">
        <f t="shared" ref="S1079:S1142" si="371">IF(AP1079=BM1079,0,1)</f>
        <v>0</v>
      </c>
      <c r="T1079" s="36">
        <f t="shared" ref="T1079:T1142" si="372">IF(AQ1079=BN1079,0,1)</f>
        <v>0</v>
      </c>
      <c r="U1079" s="36">
        <f t="shared" ref="U1079:U1142" si="373">IF(AR1079=BO1079,0,1)</f>
        <v>0</v>
      </c>
      <c r="V1079" s="36">
        <f t="shared" ref="V1079:V1142" si="374">IF(AS1079=BP1079,0,1)</f>
        <v>0</v>
      </c>
      <c r="W1079" s="36">
        <f t="shared" ref="W1079:W1142" si="375">IF(AT1079=BQ1079,0,1)</f>
        <v>0</v>
      </c>
      <c r="X1079" s="36">
        <f t="shared" ref="X1079:X1142" si="376">IF(AU1079=BR1079,0,1)</f>
        <v>0</v>
      </c>
      <c r="Y1079" s="36">
        <f t="shared" ref="Y1079:Y1142" si="377">IF(AV1079=BS1079,0,1)</f>
        <v>0</v>
      </c>
      <c r="Z1079" s="36">
        <f t="shared" ref="Z1079:Z1142" si="378">IF(AW1079=BT1079,0,1)</f>
        <v>0</v>
      </c>
      <c r="AB1079" s="36" t="str">
        <f>IF(最佳化斷筋點!C1079="","",最佳化斷筋點!C1079)</f>
        <v>上層</v>
      </c>
      <c r="AC1079" s="37">
        <f>IF(最佳化斷筋點!D1079="","",最佳化斷筋點!D1079)</f>
        <v>8</v>
      </c>
      <c r="AD1079" s="37">
        <f>IF(最佳化斷筋點!E1079="","",最佳化斷筋點!E1079)</f>
        <v>8</v>
      </c>
      <c r="AE1079" s="37">
        <f>IF(最佳化斷筋點!F1079="","",最佳化斷筋點!F1079)</f>
        <v>8</v>
      </c>
      <c r="AF1079" s="37">
        <f>IF(最佳化斷筋點!G1079="","",最佳化斷筋點!G1079)</f>
        <v>8</v>
      </c>
      <c r="AG1079" s="37">
        <f>IF(最佳化斷筋點!H1079="","",最佳化斷筋點!H1079)</f>
        <v>8</v>
      </c>
      <c r="AH1079" s="37">
        <f>IF(最佳化斷筋點!I1079="","",最佳化斷筋點!I1079)</f>
        <v>8</v>
      </c>
      <c r="AI1079" s="37">
        <f>IF(最佳化斷筋點!J1079="","",最佳化斷筋點!J1079)</f>
        <v>7</v>
      </c>
      <c r="AJ1079" s="37">
        <f>IF(最佳化斷筋點!K1079="","",最佳化斷筋點!K1079)</f>
        <v>3</v>
      </c>
      <c r="AK1079" s="37">
        <f>IF(最佳化斷筋點!L1079="","",最佳化斷筋點!L1079)</f>
        <v>3</v>
      </c>
      <c r="AL1079" s="37">
        <f>IF(最佳化斷筋點!M1079="","",最佳化斷筋點!M1079)</f>
        <v>3</v>
      </c>
      <c r="AM1079" s="37">
        <f>IF(最佳化斷筋點!N1079="","",最佳化斷筋點!N1079)</f>
        <v>3</v>
      </c>
      <c r="AN1079" s="37">
        <f>IF(最佳化斷筋點!O1079="","",最佳化斷筋點!O1079)</f>
        <v>3</v>
      </c>
      <c r="AO1079" s="37">
        <f>IF(最佳化斷筋點!P1079="","",最佳化斷筋點!P1079)</f>
        <v>3</v>
      </c>
      <c r="AP1079" s="37">
        <f>IF(最佳化斷筋點!Q1079="","",最佳化斷筋點!Q1079)</f>
        <v>6</v>
      </c>
      <c r="AQ1079" s="37">
        <f>IF(最佳化斷筋點!R1079="","",最佳化斷筋點!R1079)</f>
        <v>7</v>
      </c>
      <c r="AR1079" s="37">
        <f>IF(最佳化斷筋點!S1079="","",最佳化斷筋點!S1079)</f>
        <v>8</v>
      </c>
      <c r="AS1079" s="37">
        <f>IF(最佳化斷筋點!T1079="","",最佳化斷筋點!T1079)</f>
        <v>9</v>
      </c>
      <c r="AT1079" s="37">
        <f>IF(最佳化斷筋點!U1079="","",最佳化斷筋點!U1079)</f>
        <v>9</v>
      </c>
      <c r="AU1079" s="37">
        <f>IF(最佳化斷筋點!V1079="","",最佳化斷筋點!V1079)</f>
        <v>9</v>
      </c>
      <c r="AV1079" s="37">
        <f>IF(最佳化斷筋點!W1079="","",最佳化斷筋點!W1079)</f>
        <v>9</v>
      </c>
      <c r="AW1079" s="37">
        <f>IF(最佳化斷筋點!X1079="","",最佳化斷筋點!X1079)</f>
        <v>9</v>
      </c>
      <c r="AZ1079" s="37">
        <v>8</v>
      </c>
      <c r="BA1079" s="37">
        <v>8</v>
      </c>
      <c r="BB1079" s="37">
        <v>8</v>
      </c>
      <c r="BC1079" s="37">
        <v>8</v>
      </c>
      <c r="BD1079" s="37">
        <v>8</v>
      </c>
      <c r="BE1079" s="37">
        <v>8</v>
      </c>
      <c r="BF1079" s="37">
        <v>7</v>
      </c>
      <c r="BG1079" s="37">
        <v>3</v>
      </c>
      <c r="BH1079" s="37">
        <v>3</v>
      </c>
      <c r="BI1079" s="37">
        <v>3</v>
      </c>
      <c r="BJ1079" s="37">
        <v>3</v>
      </c>
      <c r="BK1079" s="37">
        <v>3</v>
      </c>
      <c r="BL1079" s="37">
        <v>3</v>
      </c>
      <c r="BM1079" s="37">
        <v>6</v>
      </c>
      <c r="BN1079" s="37">
        <v>7</v>
      </c>
      <c r="BO1079" s="37">
        <v>8</v>
      </c>
      <c r="BP1079" s="37">
        <v>9</v>
      </c>
      <c r="BQ1079" s="37">
        <v>9</v>
      </c>
      <c r="BR1079" s="37">
        <v>9</v>
      </c>
      <c r="BS1079" s="37">
        <v>9</v>
      </c>
      <c r="BT1079" s="37">
        <v>9</v>
      </c>
    </row>
    <row r="1080" spans="5:72" x14ac:dyDescent="0.25">
      <c r="E1080" s="36"/>
      <c r="F1080" s="36">
        <f t="shared" si="358"/>
        <v>0</v>
      </c>
      <c r="G1080" s="36">
        <f t="shared" si="359"/>
        <v>0</v>
      </c>
      <c r="H1080" s="36">
        <f t="shared" si="360"/>
        <v>0</v>
      </c>
      <c r="I1080" s="36">
        <f t="shared" si="361"/>
        <v>0</v>
      </c>
      <c r="J1080" s="36">
        <f t="shared" si="362"/>
        <v>0</v>
      </c>
      <c r="K1080" s="36">
        <f t="shared" si="363"/>
        <v>0</v>
      </c>
      <c r="L1080" s="36">
        <f t="shared" si="364"/>
        <v>0</v>
      </c>
      <c r="M1080" s="36">
        <f t="shared" si="365"/>
        <v>0</v>
      </c>
      <c r="N1080" s="36">
        <f t="shared" si="366"/>
        <v>0</v>
      </c>
      <c r="O1080" s="36">
        <f t="shared" si="367"/>
        <v>0</v>
      </c>
      <c r="P1080" s="36">
        <f t="shared" si="368"/>
        <v>0</v>
      </c>
      <c r="Q1080" s="36">
        <f t="shared" si="369"/>
        <v>0</v>
      </c>
      <c r="R1080" s="36">
        <f t="shared" si="370"/>
        <v>0</v>
      </c>
      <c r="S1080" s="36">
        <f t="shared" si="371"/>
        <v>0</v>
      </c>
      <c r="T1080" s="36">
        <f t="shared" si="372"/>
        <v>0</v>
      </c>
      <c r="U1080" s="36">
        <f t="shared" si="373"/>
        <v>0</v>
      </c>
      <c r="V1080" s="36">
        <f t="shared" si="374"/>
        <v>0</v>
      </c>
      <c r="W1080" s="36">
        <f t="shared" si="375"/>
        <v>0</v>
      </c>
      <c r="X1080" s="36">
        <f t="shared" si="376"/>
        <v>0</v>
      </c>
      <c r="Y1080" s="36">
        <f t="shared" si="377"/>
        <v>0</v>
      </c>
      <c r="Z1080" s="36">
        <f t="shared" si="378"/>
        <v>0</v>
      </c>
      <c r="AB1080" s="36" t="str">
        <f>IF(最佳化斷筋點!C1080="","",最佳化斷筋點!C1080)</f>
        <v/>
      </c>
      <c r="AC1080" s="37" t="str">
        <f>IF(最佳化斷筋點!D1080="","",最佳化斷筋點!D1080)</f>
        <v/>
      </c>
      <c r="AD1080" s="37" t="str">
        <f>IF(最佳化斷筋點!E1080="","",最佳化斷筋點!E1080)</f>
        <v/>
      </c>
      <c r="AE1080" s="37" t="str">
        <f>IF(最佳化斷筋點!F1080="","",最佳化斷筋點!F1080)</f>
        <v/>
      </c>
      <c r="AF1080" s="37" t="str">
        <f>IF(最佳化斷筋點!G1080="","",最佳化斷筋點!G1080)</f>
        <v/>
      </c>
      <c r="AG1080" s="37" t="str">
        <f>IF(最佳化斷筋點!H1080="","",最佳化斷筋點!H1080)</f>
        <v/>
      </c>
      <c r="AH1080" s="37" t="str">
        <f>IF(最佳化斷筋點!I1080="","",最佳化斷筋點!I1080)</f>
        <v/>
      </c>
      <c r="AI1080" s="37" t="str">
        <f>IF(最佳化斷筋點!J1080="","",最佳化斷筋點!J1080)</f>
        <v/>
      </c>
      <c r="AJ1080" s="37" t="str">
        <f>IF(最佳化斷筋點!K1080="","",最佳化斷筋點!K1080)</f>
        <v/>
      </c>
      <c r="AK1080" s="37" t="str">
        <f>IF(最佳化斷筋點!L1080="","",最佳化斷筋點!L1080)</f>
        <v/>
      </c>
      <c r="AL1080" s="37" t="str">
        <f>IF(最佳化斷筋點!M1080="","",最佳化斷筋點!M1080)</f>
        <v/>
      </c>
      <c r="AM1080" s="37" t="str">
        <f>IF(最佳化斷筋點!N1080="","",最佳化斷筋點!N1080)</f>
        <v/>
      </c>
      <c r="AN1080" s="37" t="str">
        <f>IF(最佳化斷筋點!O1080="","",最佳化斷筋點!O1080)</f>
        <v/>
      </c>
      <c r="AO1080" s="37" t="str">
        <f>IF(最佳化斷筋點!P1080="","",最佳化斷筋點!P1080)</f>
        <v/>
      </c>
      <c r="AP1080" s="37" t="str">
        <f>IF(最佳化斷筋點!Q1080="","",最佳化斷筋點!Q1080)</f>
        <v/>
      </c>
      <c r="AQ1080" s="37" t="str">
        <f>IF(最佳化斷筋點!R1080="","",最佳化斷筋點!R1080)</f>
        <v/>
      </c>
      <c r="AR1080" s="37" t="str">
        <f>IF(最佳化斷筋點!S1080="","",最佳化斷筋點!S1080)</f>
        <v/>
      </c>
      <c r="AS1080" s="37" t="str">
        <f>IF(最佳化斷筋點!T1080="","",最佳化斷筋點!T1080)</f>
        <v/>
      </c>
      <c r="AT1080" s="37" t="str">
        <f>IF(最佳化斷筋點!U1080="","",最佳化斷筋點!U1080)</f>
        <v/>
      </c>
      <c r="AU1080" s="37" t="str">
        <f>IF(最佳化斷筋點!V1080="","",最佳化斷筋點!V1080)</f>
        <v/>
      </c>
      <c r="AV1080" s="37" t="str">
        <f>IF(最佳化斷筋點!W1080="","",最佳化斷筋點!W1080)</f>
        <v/>
      </c>
      <c r="AW1080" s="37" t="str">
        <f>IF(最佳化斷筋點!X1080="","",最佳化斷筋點!X1080)</f>
        <v/>
      </c>
      <c r="AZ1080" s="37" t="s">
        <v>197</v>
      </c>
      <c r="BA1080" s="37" t="s">
        <v>197</v>
      </c>
      <c r="BB1080" s="37" t="s">
        <v>197</v>
      </c>
      <c r="BC1080" s="37" t="s">
        <v>197</v>
      </c>
      <c r="BD1080" s="37" t="s">
        <v>197</v>
      </c>
      <c r="BE1080" s="37" t="s">
        <v>197</v>
      </c>
      <c r="BF1080" s="37" t="s">
        <v>197</v>
      </c>
      <c r="BG1080" s="37" t="s">
        <v>197</v>
      </c>
      <c r="BH1080" s="37" t="s">
        <v>197</v>
      </c>
      <c r="BI1080" s="37" t="s">
        <v>197</v>
      </c>
      <c r="BJ1080" s="37" t="s">
        <v>197</v>
      </c>
      <c r="BK1080" s="37" t="s">
        <v>197</v>
      </c>
      <c r="BL1080" s="37" t="s">
        <v>197</v>
      </c>
      <c r="BM1080" s="37" t="s">
        <v>197</v>
      </c>
      <c r="BN1080" s="37" t="s">
        <v>197</v>
      </c>
      <c r="BO1080" s="37" t="s">
        <v>197</v>
      </c>
      <c r="BP1080" s="37" t="s">
        <v>197</v>
      </c>
      <c r="BQ1080" s="37" t="s">
        <v>197</v>
      </c>
      <c r="BR1080" s="37" t="s">
        <v>197</v>
      </c>
      <c r="BS1080" s="37" t="s">
        <v>197</v>
      </c>
      <c r="BT1080" s="37" t="s">
        <v>197</v>
      </c>
    </row>
    <row r="1081" spans="5:72" x14ac:dyDescent="0.25">
      <c r="E1081" s="36" t="s">
        <v>21</v>
      </c>
      <c r="F1081" s="36">
        <f t="shared" si="358"/>
        <v>0</v>
      </c>
      <c r="G1081" s="36">
        <f t="shared" si="359"/>
        <v>0</v>
      </c>
      <c r="H1081" s="36">
        <f t="shared" si="360"/>
        <v>0</v>
      </c>
      <c r="I1081" s="36">
        <f t="shared" si="361"/>
        <v>0</v>
      </c>
      <c r="J1081" s="36">
        <f t="shared" si="362"/>
        <v>0</v>
      </c>
      <c r="K1081" s="36">
        <f t="shared" si="363"/>
        <v>0</v>
      </c>
      <c r="L1081" s="36">
        <f t="shared" si="364"/>
        <v>0</v>
      </c>
      <c r="M1081" s="36">
        <f t="shared" si="365"/>
        <v>0</v>
      </c>
      <c r="N1081" s="36">
        <f t="shared" si="366"/>
        <v>0</v>
      </c>
      <c r="O1081" s="36">
        <f t="shared" si="367"/>
        <v>0</v>
      </c>
      <c r="P1081" s="36">
        <f t="shared" si="368"/>
        <v>0</v>
      </c>
      <c r="Q1081" s="36">
        <f t="shared" si="369"/>
        <v>0</v>
      </c>
      <c r="R1081" s="36">
        <f t="shared" si="370"/>
        <v>0</v>
      </c>
      <c r="S1081" s="36">
        <f t="shared" si="371"/>
        <v>0</v>
      </c>
      <c r="T1081" s="36">
        <f t="shared" si="372"/>
        <v>0</v>
      </c>
      <c r="U1081" s="36">
        <f t="shared" si="373"/>
        <v>0</v>
      </c>
      <c r="V1081" s="36">
        <f t="shared" si="374"/>
        <v>0</v>
      </c>
      <c r="W1081" s="36">
        <f t="shared" si="375"/>
        <v>0</v>
      </c>
      <c r="X1081" s="36">
        <f t="shared" si="376"/>
        <v>0</v>
      </c>
      <c r="Y1081" s="36">
        <f t="shared" si="377"/>
        <v>0</v>
      </c>
      <c r="Z1081" s="36">
        <f t="shared" si="378"/>
        <v>0</v>
      </c>
      <c r="AB1081" s="36" t="str">
        <f>IF(最佳化斷筋點!C1081="","",最佳化斷筋點!C1081)</f>
        <v>下層</v>
      </c>
      <c r="AC1081" s="37">
        <f>IF(最佳化斷筋點!D1081="","",最佳化斷筋點!D1081)</f>
        <v>9</v>
      </c>
      <c r="AD1081" s="37">
        <f>IF(最佳化斷筋點!E1081="","",最佳化斷筋點!E1081)</f>
        <v>9</v>
      </c>
      <c r="AE1081" s="37">
        <f>IF(最佳化斷筋點!F1081="","",最佳化斷筋點!F1081)</f>
        <v>9</v>
      </c>
      <c r="AF1081" s="37">
        <f>IF(最佳化斷筋點!G1081="","",最佳化斷筋點!G1081)</f>
        <v>9</v>
      </c>
      <c r="AG1081" s="37">
        <f>IF(最佳化斷筋點!H1081="","",最佳化斷筋點!H1081)</f>
        <v>8</v>
      </c>
      <c r="AH1081" s="37">
        <f>IF(最佳化斷筋點!I1081="","",最佳化斷筋點!I1081)</f>
        <v>7</v>
      </c>
      <c r="AI1081" s="37">
        <f>IF(最佳化斷筋點!J1081="","",最佳化斷筋點!J1081)</f>
        <v>6</v>
      </c>
      <c r="AJ1081" s="37">
        <f>IF(最佳化斷筋點!K1081="","",最佳化斷筋點!K1081)</f>
        <v>5</v>
      </c>
      <c r="AK1081" s="37">
        <f>IF(最佳化斷筋點!L1081="","",最佳化斷筋點!L1081)</f>
        <v>5</v>
      </c>
      <c r="AL1081" s="37">
        <f>IF(最佳化斷筋點!M1081="","",最佳化斷筋點!M1081)</f>
        <v>5</v>
      </c>
      <c r="AM1081" s="37">
        <f>IF(最佳化斷筋點!N1081="","",最佳化斷筋點!N1081)</f>
        <v>5</v>
      </c>
      <c r="AN1081" s="37">
        <f>IF(最佳化斷筋點!O1081="","",最佳化斷筋點!O1081)</f>
        <v>5</v>
      </c>
      <c r="AO1081" s="37">
        <f>IF(最佳化斷筋點!P1081="","",最佳化斷筋點!P1081)</f>
        <v>5</v>
      </c>
      <c r="AP1081" s="37">
        <f>IF(最佳化斷筋點!Q1081="","",最佳化斷筋點!Q1081)</f>
        <v>5</v>
      </c>
      <c r="AQ1081" s="37">
        <f>IF(最佳化斷筋點!R1081="","",最佳化斷筋點!R1081)</f>
        <v>6</v>
      </c>
      <c r="AR1081" s="37">
        <f>IF(最佳化斷筋點!S1081="","",最佳化斷筋點!S1081)</f>
        <v>6</v>
      </c>
      <c r="AS1081" s="37">
        <f>IF(最佳化斷筋點!T1081="","",最佳化斷筋點!T1081)</f>
        <v>7</v>
      </c>
      <c r="AT1081" s="37">
        <f>IF(最佳化斷筋點!U1081="","",最佳化斷筋點!U1081)</f>
        <v>8</v>
      </c>
      <c r="AU1081" s="37">
        <f>IF(最佳化斷筋點!V1081="","",最佳化斷筋點!V1081)</f>
        <v>8</v>
      </c>
      <c r="AV1081" s="37">
        <f>IF(最佳化斷筋點!W1081="","",最佳化斷筋點!W1081)</f>
        <v>8</v>
      </c>
      <c r="AW1081" s="37">
        <f>IF(最佳化斷筋點!X1081="","",最佳化斷筋點!X1081)</f>
        <v>8</v>
      </c>
      <c r="AZ1081" s="37">
        <v>9</v>
      </c>
      <c r="BA1081" s="37">
        <v>9</v>
      </c>
      <c r="BB1081" s="37">
        <v>9</v>
      </c>
      <c r="BC1081" s="37">
        <v>9</v>
      </c>
      <c r="BD1081" s="37">
        <v>8</v>
      </c>
      <c r="BE1081" s="37">
        <v>7</v>
      </c>
      <c r="BF1081" s="37">
        <v>6</v>
      </c>
      <c r="BG1081" s="37">
        <v>5</v>
      </c>
      <c r="BH1081" s="37">
        <v>5</v>
      </c>
      <c r="BI1081" s="37">
        <v>5</v>
      </c>
      <c r="BJ1081" s="37">
        <v>5</v>
      </c>
      <c r="BK1081" s="37">
        <v>5</v>
      </c>
      <c r="BL1081" s="37">
        <v>5</v>
      </c>
      <c r="BM1081" s="37">
        <v>5</v>
      </c>
      <c r="BN1081" s="37">
        <v>6</v>
      </c>
      <c r="BO1081" s="37">
        <v>6</v>
      </c>
      <c r="BP1081" s="37">
        <v>7</v>
      </c>
      <c r="BQ1081" s="37">
        <v>8</v>
      </c>
      <c r="BR1081" s="37">
        <v>8</v>
      </c>
      <c r="BS1081" s="37">
        <v>8</v>
      </c>
      <c r="BT1081" s="37">
        <v>8</v>
      </c>
    </row>
    <row r="1082" spans="5:72" x14ac:dyDescent="0.25">
      <c r="E1082" s="36"/>
      <c r="F1082" s="36">
        <f t="shared" si="358"/>
        <v>0</v>
      </c>
      <c r="G1082" s="36">
        <f t="shared" si="359"/>
        <v>0</v>
      </c>
      <c r="H1082" s="36">
        <f t="shared" si="360"/>
        <v>0</v>
      </c>
      <c r="I1082" s="36">
        <f t="shared" si="361"/>
        <v>0</v>
      </c>
      <c r="J1082" s="36">
        <f t="shared" si="362"/>
        <v>0</v>
      </c>
      <c r="K1082" s="36">
        <f t="shared" si="363"/>
        <v>0</v>
      </c>
      <c r="L1082" s="36">
        <f t="shared" si="364"/>
        <v>0</v>
      </c>
      <c r="M1082" s="36">
        <f t="shared" si="365"/>
        <v>0</v>
      </c>
      <c r="N1082" s="36">
        <f t="shared" si="366"/>
        <v>0</v>
      </c>
      <c r="O1082" s="36">
        <f t="shared" si="367"/>
        <v>0</v>
      </c>
      <c r="P1082" s="36">
        <f t="shared" si="368"/>
        <v>0</v>
      </c>
      <c r="Q1082" s="36">
        <f t="shared" si="369"/>
        <v>0</v>
      </c>
      <c r="R1082" s="36">
        <f t="shared" si="370"/>
        <v>0</v>
      </c>
      <c r="S1082" s="36">
        <f t="shared" si="371"/>
        <v>0</v>
      </c>
      <c r="T1082" s="36">
        <f t="shared" si="372"/>
        <v>0</v>
      </c>
      <c r="U1082" s="36">
        <f t="shared" si="373"/>
        <v>0</v>
      </c>
      <c r="V1082" s="36">
        <f t="shared" si="374"/>
        <v>0</v>
      </c>
      <c r="W1082" s="36">
        <f t="shared" si="375"/>
        <v>0</v>
      </c>
      <c r="X1082" s="36">
        <f t="shared" si="376"/>
        <v>0</v>
      </c>
      <c r="Y1082" s="36">
        <f t="shared" si="377"/>
        <v>0</v>
      </c>
      <c r="Z1082" s="36">
        <f t="shared" si="378"/>
        <v>0</v>
      </c>
      <c r="AB1082" s="36" t="str">
        <f>IF(最佳化斷筋點!C1082="","",最佳化斷筋點!C1082)</f>
        <v/>
      </c>
      <c r="AC1082" s="37" t="str">
        <f>IF(最佳化斷筋點!D1082="","",最佳化斷筋點!D1082)</f>
        <v/>
      </c>
      <c r="AD1082" s="37" t="str">
        <f>IF(最佳化斷筋點!E1082="","",最佳化斷筋點!E1082)</f>
        <v/>
      </c>
      <c r="AE1082" s="37" t="str">
        <f>IF(最佳化斷筋點!F1082="","",最佳化斷筋點!F1082)</f>
        <v/>
      </c>
      <c r="AF1082" s="37" t="str">
        <f>IF(最佳化斷筋點!G1082="","",最佳化斷筋點!G1082)</f>
        <v/>
      </c>
      <c r="AG1082" s="37" t="str">
        <f>IF(最佳化斷筋點!H1082="","",最佳化斷筋點!H1082)</f>
        <v/>
      </c>
      <c r="AH1082" s="37" t="str">
        <f>IF(最佳化斷筋點!I1082="","",最佳化斷筋點!I1082)</f>
        <v/>
      </c>
      <c r="AI1082" s="37" t="str">
        <f>IF(最佳化斷筋點!J1082="","",最佳化斷筋點!J1082)</f>
        <v/>
      </c>
      <c r="AJ1082" s="37" t="str">
        <f>IF(最佳化斷筋點!K1082="","",最佳化斷筋點!K1082)</f>
        <v/>
      </c>
      <c r="AK1082" s="37" t="str">
        <f>IF(最佳化斷筋點!L1082="","",最佳化斷筋點!L1082)</f>
        <v/>
      </c>
      <c r="AL1082" s="37" t="str">
        <f>IF(最佳化斷筋點!M1082="","",最佳化斷筋點!M1082)</f>
        <v/>
      </c>
      <c r="AM1082" s="37" t="str">
        <f>IF(最佳化斷筋點!N1082="","",最佳化斷筋點!N1082)</f>
        <v/>
      </c>
      <c r="AN1082" s="37" t="str">
        <f>IF(最佳化斷筋點!O1082="","",最佳化斷筋點!O1082)</f>
        <v/>
      </c>
      <c r="AO1082" s="37" t="str">
        <f>IF(最佳化斷筋點!P1082="","",最佳化斷筋點!P1082)</f>
        <v/>
      </c>
      <c r="AP1082" s="37" t="str">
        <f>IF(最佳化斷筋點!Q1082="","",最佳化斷筋點!Q1082)</f>
        <v/>
      </c>
      <c r="AQ1082" s="37" t="str">
        <f>IF(最佳化斷筋點!R1082="","",最佳化斷筋點!R1082)</f>
        <v/>
      </c>
      <c r="AR1082" s="37" t="str">
        <f>IF(最佳化斷筋點!S1082="","",最佳化斷筋點!S1082)</f>
        <v/>
      </c>
      <c r="AS1082" s="37" t="str">
        <f>IF(最佳化斷筋點!T1082="","",最佳化斷筋點!T1082)</f>
        <v/>
      </c>
      <c r="AT1082" s="37" t="str">
        <f>IF(最佳化斷筋點!U1082="","",最佳化斷筋點!U1082)</f>
        <v/>
      </c>
      <c r="AU1082" s="37" t="str">
        <f>IF(最佳化斷筋點!V1082="","",最佳化斷筋點!V1082)</f>
        <v/>
      </c>
      <c r="AV1082" s="37" t="str">
        <f>IF(最佳化斷筋點!W1082="","",最佳化斷筋點!W1082)</f>
        <v/>
      </c>
      <c r="AW1082" s="37" t="str">
        <f>IF(最佳化斷筋點!X1082="","",最佳化斷筋點!X1082)</f>
        <v/>
      </c>
      <c r="AZ1082" s="37" t="s">
        <v>197</v>
      </c>
      <c r="BA1082" s="37" t="s">
        <v>197</v>
      </c>
      <c r="BB1082" s="37" t="s">
        <v>197</v>
      </c>
      <c r="BC1082" s="37" t="s">
        <v>197</v>
      </c>
      <c r="BD1082" s="37" t="s">
        <v>197</v>
      </c>
      <c r="BE1082" s="37" t="s">
        <v>197</v>
      </c>
      <c r="BF1082" s="37" t="s">
        <v>197</v>
      </c>
      <c r="BG1082" s="37" t="s">
        <v>197</v>
      </c>
      <c r="BH1082" s="37" t="s">
        <v>197</v>
      </c>
      <c r="BI1082" s="37" t="s">
        <v>197</v>
      </c>
      <c r="BJ1082" s="37" t="s">
        <v>197</v>
      </c>
      <c r="BK1082" s="37" t="s">
        <v>197</v>
      </c>
      <c r="BL1082" s="37" t="s">
        <v>197</v>
      </c>
      <c r="BM1082" s="37" t="s">
        <v>197</v>
      </c>
      <c r="BN1082" s="37" t="s">
        <v>197</v>
      </c>
      <c r="BO1082" s="37" t="s">
        <v>197</v>
      </c>
      <c r="BP1082" s="37" t="s">
        <v>197</v>
      </c>
      <c r="BQ1082" s="37" t="s">
        <v>197</v>
      </c>
      <c r="BR1082" s="37" t="s">
        <v>197</v>
      </c>
      <c r="BS1082" s="37" t="s">
        <v>197</v>
      </c>
      <c r="BT1082" s="37" t="s">
        <v>197</v>
      </c>
    </row>
    <row r="1083" spans="5:72" x14ac:dyDescent="0.25">
      <c r="E1083" s="36" t="s">
        <v>20</v>
      </c>
      <c r="F1083" s="36">
        <f t="shared" si="358"/>
        <v>0</v>
      </c>
      <c r="G1083" s="36">
        <f t="shared" si="359"/>
        <v>0</v>
      </c>
      <c r="H1083" s="36">
        <f t="shared" si="360"/>
        <v>0</v>
      </c>
      <c r="I1083" s="36">
        <f t="shared" si="361"/>
        <v>0</v>
      </c>
      <c r="J1083" s="36">
        <f t="shared" si="362"/>
        <v>0</v>
      </c>
      <c r="K1083" s="36">
        <f t="shared" si="363"/>
        <v>0</v>
      </c>
      <c r="L1083" s="36">
        <f t="shared" si="364"/>
        <v>0</v>
      </c>
      <c r="M1083" s="36">
        <f t="shared" si="365"/>
        <v>0</v>
      </c>
      <c r="N1083" s="36">
        <f t="shared" si="366"/>
        <v>0</v>
      </c>
      <c r="O1083" s="36">
        <f t="shared" si="367"/>
        <v>0</v>
      </c>
      <c r="P1083" s="36">
        <f t="shared" si="368"/>
        <v>0</v>
      </c>
      <c r="Q1083" s="36">
        <f t="shared" si="369"/>
        <v>0</v>
      </c>
      <c r="R1083" s="36">
        <f t="shared" si="370"/>
        <v>0</v>
      </c>
      <c r="S1083" s="36">
        <f t="shared" si="371"/>
        <v>0</v>
      </c>
      <c r="T1083" s="36">
        <f t="shared" si="372"/>
        <v>0</v>
      </c>
      <c r="U1083" s="36">
        <f t="shared" si="373"/>
        <v>0</v>
      </c>
      <c r="V1083" s="36">
        <f t="shared" si="374"/>
        <v>0</v>
      </c>
      <c r="W1083" s="36">
        <f t="shared" si="375"/>
        <v>0</v>
      </c>
      <c r="X1083" s="36">
        <f t="shared" si="376"/>
        <v>0</v>
      </c>
      <c r="Y1083" s="36">
        <f t="shared" si="377"/>
        <v>0</v>
      </c>
      <c r="Z1083" s="36">
        <f t="shared" si="378"/>
        <v>0</v>
      </c>
      <c r="AB1083" s="36" t="str">
        <f>IF(最佳化斷筋點!C1083="","",最佳化斷筋點!C1083)</f>
        <v>上層</v>
      </c>
      <c r="AC1083" s="37">
        <f>IF(最佳化斷筋點!D1083="","",最佳化斷筋點!D1083)</f>
        <v>8</v>
      </c>
      <c r="AD1083" s="37">
        <f>IF(最佳化斷筋點!E1083="","",最佳化斷筋點!E1083)</f>
        <v>8</v>
      </c>
      <c r="AE1083" s="37">
        <f>IF(最佳化斷筋點!F1083="","",最佳化斷筋點!F1083)</f>
        <v>8</v>
      </c>
      <c r="AF1083" s="37">
        <f>IF(最佳化斷筋點!G1083="","",最佳化斷筋點!G1083)</f>
        <v>8</v>
      </c>
      <c r="AG1083" s="37">
        <f>IF(最佳化斷筋點!H1083="","",最佳化斷筋點!H1083)</f>
        <v>8</v>
      </c>
      <c r="AH1083" s="37">
        <f>IF(最佳化斷筋點!I1083="","",最佳化斷筋點!I1083)</f>
        <v>8</v>
      </c>
      <c r="AI1083" s="37">
        <f>IF(最佳化斷筋點!J1083="","",最佳化斷筋點!J1083)</f>
        <v>7</v>
      </c>
      <c r="AJ1083" s="37">
        <f>IF(最佳化斷筋點!K1083="","",最佳化斷筋點!K1083)</f>
        <v>3</v>
      </c>
      <c r="AK1083" s="37">
        <f>IF(最佳化斷筋點!L1083="","",最佳化斷筋點!L1083)</f>
        <v>3</v>
      </c>
      <c r="AL1083" s="37">
        <f>IF(最佳化斷筋點!M1083="","",最佳化斷筋點!M1083)</f>
        <v>3</v>
      </c>
      <c r="AM1083" s="37">
        <f>IF(最佳化斷筋點!N1083="","",最佳化斷筋點!N1083)</f>
        <v>3</v>
      </c>
      <c r="AN1083" s="37">
        <f>IF(最佳化斷筋點!O1083="","",最佳化斷筋點!O1083)</f>
        <v>3</v>
      </c>
      <c r="AO1083" s="37">
        <f>IF(最佳化斷筋點!P1083="","",最佳化斷筋點!P1083)</f>
        <v>3</v>
      </c>
      <c r="AP1083" s="37">
        <f>IF(最佳化斷筋點!Q1083="","",最佳化斷筋點!Q1083)</f>
        <v>6</v>
      </c>
      <c r="AQ1083" s="37">
        <f>IF(最佳化斷筋點!R1083="","",最佳化斷筋點!R1083)</f>
        <v>7</v>
      </c>
      <c r="AR1083" s="37">
        <f>IF(最佳化斷筋點!S1083="","",最佳化斷筋點!S1083)</f>
        <v>8</v>
      </c>
      <c r="AS1083" s="37">
        <f>IF(最佳化斷筋點!T1083="","",最佳化斷筋點!T1083)</f>
        <v>9</v>
      </c>
      <c r="AT1083" s="37">
        <f>IF(最佳化斷筋點!U1083="","",最佳化斷筋點!U1083)</f>
        <v>9</v>
      </c>
      <c r="AU1083" s="37">
        <f>IF(最佳化斷筋點!V1083="","",最佳化斷筋點!V1083)</f>
        <v>9</v>
      </c>
      <c r="AV1083" s="37">
        <f>IF(最佳化斷筋點!W1083="","",最佳化斷筋點!W1083)</f>
        <v>9</v>
      </c>
      <c r="AW1083" s="37">
        <f>IF(最佳化斷筋點!X1083="","",最佳化斷筋點!X1083)</f>
        <v>9</v>
      </c>
      <c r="AZ1083" s="37">
        <v>8</v>
      </c>
      <c r="BA1083" s="37">
        <v>8</v>
      </c>
      <c r="BB1083" s="37">
        <v>8</v>
      </c>
      <c r="BC1083" s="37">
        <v>8</v>
      </c>
      <c r="BD1083" s="37">
        <v>8</v>
      </c>
      <c r="BE1083" s="37">
        <v>8</v>
      </c>
      <c r="BF1083" s="37">
        <v>7</v>
      </c>
      <c r="BG1083" s="37">
        <v>3</v>
      </c>
      <c r="BH1083" s="37">
        <v>3</v>
      </c>
      <c r="BI1083" s="37">
        <v>3</v>
      </c>
      <c r="BJ1083" s="37">
        <v>3</v>
      </c>
      <c r="BK1083" s="37">
        <v>3</v>
      </c>
      <c r="BL1083" s="37">
        <v>3</v>
      </c>
      <c r="BM1083" s="37">
        <v>6</v>
      </c>
      <c r="BN1083" s="37">
        <v>7</v>
      </c>
      <c r="BO1083" s="37">
        <v>8</v>
      </c>
      <c r="BP1083" s="37">
        <v>9</v>
      </c>
      <c r="BQ1083" s="37">
        <v>9</v>
      </c>
      <c r="BR1083" s="37">
        <v>9</v>
      </c>
      <c r="BS1083" s="37">
        <v>9</v>
      </c>
      <c r="BT1083" s="37">
        <v>9</v>
      </c>
    </row>
    <row r="1084" spans="5:72" x14ac:dyDescent="0.25">
      <c r="E1084" s="36"/>
      <c r="F1084" s="36">
        <f t="shared" si="358"/>
        <v>0</v>
      </c>
      <c r="G1084" s="36">
        <f t="shared" si="359"/>
        <v>0</v>
      </c>
      <c r="H1084" s="36">
        <f t="shared" si="360"/>
        <v>0</v>
      </c>
      <c r="I1084" s="36">
        <f t="shared" si="361"/>
        <v>0</v>
      </c>
      <c r="J1084" s="36">
        <f t="shared" si="362"/>
        <v>0</v>
      </c>
      <c r="K1084" s="36">
        <f t="shared" si="363"/>
        <v>0</v>
      </c>
      <c r="L1084" s="36">
        <f t="shared" si="364"/>
        <v>0</v>
      </c>
      <c r="M1084" s="36">
        <f t="shared" si="365"/>
        <v>0</v>
      </c>
      <c r="N1084" s="36">
        <f t="shared" si="366"/>
        <v>0</v>
      </c>
      <c r="O1084" s="36">
        <f t="shared" si="367"/>
        <v>0</v>
      </c>
      <c r="P1084" s="36">
        <f t="shared" si="368"/>
        <v>0</v>
      </c>
      <c r="Q1084" s="36">
        <f t="shared" si="369"/>
        <v>0</v>
      </c>
      <c r="R1084" s="36">
        <f t="shared" si="370"/>
        <v>0</v>
      </c>
      <c r="S1084" s="36">
        <f t="shared" si="371"/>
        <v>0</v>
      </c>
      <c r="T1084" s="36">
        <f t="shared" si="372"/>
        <v>0</v>
      </c>
      <c r="U1084" s="36">
        <f t="shared" si="373"/>
        <v>0</v>
      </c>
      <c r="V1084" s="36">
        <f t="shared" si="374"/>
        <v>0</v>
      </c>
      <c r="W1084" s="36">
        <f t="shared" si="375"/>
        <v>0</v>
      </c>
      <c r="X1084" s="36">
        <f t="shared" si="376"/>
        <v>0</v>
      </c>
      <c r="Y1084" s="36">
        <f t="shared" si="377"/>
        <v>0</v>
      </c>
      <c r="Z1084" s="36">
        <f t="shared" si="378"/>
        <v>0</v>
      </c>
      <c r="AB1084" s="36" t="str">
        <f>IF(最佳化斷筋點!C1084="","",最佳化斷筋點!C1084)</f>
        <v/>
      </c>
      <c r="AC1084" s="37" t="str">
        <f>IF(最佳化斷筋點!D1084="","",最佳化斷筋點!D1084)</f>
        <v/>
      </c>
      <c r="AD1084" s="37" t="str">
        <f>IF(最佳化斷筋點!E1084="","",最佳化斷筋點!E1084)</f>
        <v/>
      </c>
      <c r="AE1084" s="37" t="str">
        <f>IF(最佳化斷筋點!F1084="","",最佳化斷筋點!F1084)</f>
        <v/>
      </c>
      <c r="AF1084" s="37" t="str">
        <f>IF(最佳化斷筋點!G1084="","",最佳化斷筋點!G1084)</f>
        <v/>
      </c>
      <c r="AG1084" s="37" t="str">
        <f>IF(最佳化斷筋點!H1084="","",最佳化斷筋點!H1084)</f>
        <v/>
      </c>
      <c r="AH1084" s="37" t="str">
        <f>IF(最佳化斷筋點!I1084="","",最佳化斷筋點!I1084)</f>
        <v/>
      </c>
      <c r="AI1084" s="37" t="str">
        <f>IF(最佳化斷筋點!J1084="","",最佳化斷筋點!J1084)</f>
        <v/>
      </c>
      <c r="AJ1084" s="37" t="str">
        <f>IF(最佳化斷筋點!K1084="","",最佳化斷筋點!K1084)</f>
        <v/>
      </c>
      <c r="AK1084" s="37" t="str">
        <f>IF(最佳化斷筋點!L1084="","",最佳化斷筋點!L1084)</f>
        <v/>
      </c>
      <c r="AL1084" s="37" t="str">
        <f>IF(最佳化斷筋點!M1084="","",最佳化斷筋點!M1084)</f>
        <v/>
      </c>
      <c r="AM1084" s="37" t="str">
        <f>IF(最佳化斷筋點!N1084="","",最佳化斷筋點!N1084)</f>
        <v/>
      </c>
      <c r="AN1084" s="37" t="str">
        <f>IF(最佳化斷筋點!O1084="","",最佳化斷筋點!O1084)</f>
        <v/>
      </c>
      <c r="AO1084" s="37" t="str">
        <f>IF(最佳化斷筋點!P1084="","",最佳化斷筋點!P1084)</f>
        <v/>
      </c>
      <c r="AP1084" s="37" t="str">
        <f>IF(最佳化斷筋點!Q1084="","",最佳化斷筋點!Q1084)</f>
        <v/>
      </c>
      <c r="AQ1084" s="37" t="str">
        <f>IF(最佳化斷筋點!R1084="","",最佳化斷筋點!R1084)</f>
        <v/>
      </c>
      <c r="AR1084" s="37" t="str">
        <f>IF(最佳化斷筋點!S1084="","",最佳化斷筋點!S1084)</f>
        <v/>
      </c>
      <c r="AS1084" s="37" t="str">
        <f>IF(最佳化斷筋點!T1084="","",最佳化斷筋點!T1084)</f>
        <v/>
      </c>
      <c r="AT1084" s="37" t="str">
        <f>IF(最佳化斷筋點!U1084="","",最佳化斷筋點!U1084)</f>
        <v/>
      </c>
      <c r="AU1084" s="37" t="str">
        <f>IF(最佳化斷筋點!V1084="","",最佳化斷筋點!V1084)</f>
        <v/>
      </c>
      <c r="AV1084" s="37" t="str">
        <f>IF(最佳化斷筋點!W1084="","",最佳化斷筋點!W1084)</f>
        <v/>
      </c>
      <c r="AW1084" s="37" t="str">
        <f>IF(最佳化斷筋點!X1084="","",最佳化斷筋點!X1084)</f>
        <v/>
      </c>
      <c r="AZ1084" s="37" t="s">
        <v>197</v>
      </c>
      <c r="BA1084" s="37" t="s">
        <v>197</v>
      </c>
      <c r="BB1084" s="37" t="s">
        <v>197</v>
      </c>
      <c r="BC1084" s="37" t="s">
        <v>197</v>
      </c>
      <c r="BD1084" s="37" t="s">
        <v>197</v>
      </c>
      <c r="BE1084" s="37" t="s">
        <v>197</v>
      </c>
      <c r="BF1084" s="37" t="s">
        <v>197</v>
      </c>
      <c r="BG1084" s="37" t="s">
        <v>197</v>
      </c>
      <c r="BH1084" s="37" t="s">
        <v>197</v>
      </c>
      <c r="BI1084" s="37" t="s">
        <v>197</v>
      </c>
      <c r="BJ1084" s="37" t="s">
        <v>197</v>
      </c>
      <c r="BK1084" s="37" t="s">
        <v>197</v>
      </c>
      <c r="BL1084" s="37" t="s">
        <v>197</v>
      </c>
      <c r="BM1084" s="37" t="s">
        <v>197</v>
      </c>
      <c r="BN1084" s="37" t="s">
        <v>197</v>
      </c>
      <c r="BO1084" s="37" t="s">
        <v>197</v>
      </c>
      <c r="BP1084" s="37" t="s">
        <v>197</v>
      </c>
      <c r="BQ1084" s="37" t="s">
        <v>197</v>
      </c>
      <c r="BR1084" s="37" t="s">
        <v>197</v>
      </c>
      <c r="BS1084" s="37" t="s">
        <v>197</v>
      </c>
      <c r="BT1084" s="37" t="s">
        <v>197</v>
      </c>
    </row>
    <row r="1085" spans="5:72" x14ac:dyDescent="0.25">
      <c r="E1085" s="36" t="s">
        <v>21</v>
      </c>
      <c r="F1085" s="36">
        <f t="shared" si="358"/>
        <v>0</v>
      </c>
      <c r="G1085" s="36">
        <f t="shared" si="359"/>
        <v>0</v>
      </c>
      <c r="H1085" s="36">
        <f t="shared" si="360"/>
        <v>0</v>
      </c>
      <c r="I1085" s="36">
        <f t="shared" si="361"/>
        <v>0</v>
      </c>
      <c r="J1085" s="36">
        <f t="shared" si="362"/>
        <v>0</v>
      </c>
      <c r="K1085" s="36">
        <f t="shared" si="363"/>
        <v>0</v>
      </c>
      <c r="L1085" s="36">
        <f t="shared" si="364"/>
        <v>0</v>
      </c>
      <c r="M1085" s="36">
        <f t="shared" si="365"/>
        <v>0</v>
      </c>
      <c r="N1085" s="36">
        <f t="shared" si="366"/>
        <v>0</v>
      </c>
      <c r="O1085" s="36">
        <f t="shared" si="367"/>
        <v>0</v>
      </c>
      <c r="P1085" s="36">
        <f t="shared" si="368"/>
        <v>0</v>
      </c>
      <c r="Q1085" s="36">
        <f t="shared" si="369"/>
        <v>0</v>
      </c>
      <c r="R1085" s="36">
        <f t="shared" si="370"/>
        <v>0</v>
      </c>
      <c r="S1085" s="36">
        <f t="shared" si="371"/>
        <v>0</v>
      </c>
      <c r="T1085" s="36">
        <f t="shared" si="372"/>
        <v>0</v>
      </c>
      <c r="U1085" s="36">
        <f t="shared" si="373"/>
        <v>0</v>
      </c>
      <c r="V1085" s="36">
        <f t="shared" si="374"/>
        <v>0</v>
      </c>
      <c r="W1085" s="36">
        <f t="shared" si="375"/>
        <v>0</v>
      </c>
      <c r="X1085" s="36">
        <f t="shared" si="376"/>
        <v>0</v>
      </c>
      <c r="Y1085" s="36">
        <f t="shared" si="377"/>
        <v>0</v>
      </c>
      <c r="Z1085" s="36">
        <f t="shared" si="378"/>
        <v>0</v>
      </c>
      <c r="AB1085" s="36" t="str">
        <f>IF(最佳化斷筋點!C1085="","",最佳化斷筋點!C1085)</f>
        <v>下層</v>
      </c>
      <c r="AC1085" s="37">
        <f>IF(最佳化斷筋點!D1085="","",最佳化斷筋點!D1085)</f>
        <v>8</v>
      </c>
      <c r="AD1085" s="37">
        <f>IF(最佳化斷筋點!E1085="","",最佳化斷筋點!E1085)</f>
        <v>8</v>
      </c>
      <c r="AE1085" s="37">
        <f>IF(最佳化斷筋點!F1085="","",最佳化斷筋點!F1085)</f>
        <v>8</v>
      </c>
      <c r="AF1085" s="37">
        <f>IF(最佳化斷筋點!G1085="","",最佳化斷筋點!G1085)</f>
        <v>8</v>
      </c>
      <c r="AG1085" s="37">
        <f>IF(最佳化斷筋點!H1085="","",最佳化斷筋點!H1085)</f>
        <v>8</v>
      </c>
      <c r="AH1085" s="37">
        <f>IF(最佳化斷筋點!I1085="","",最佳化斷筋點!I1085)</f>
        <v>7</v>
      </c>
      <c r="AI1085" s="37">
        <f>IF(最佳化斷筋點!J1085="","",最佳化斷筋點!J1085)</f>
        <v>6</v>
      </c>
      <c r="AJ1085" s="37">
        <f>IF(最佳化斷筋點!K1085="","",最佳化斷筋點!K1085)</f>
        <v>5</v>
      </c>
      <c r="AK1085" s="37">
        <f>IF(最佳化斷筋點!L1085="","",最佳化斷筋點!L1085)</f>
        <v>5</v>
      </c>
      <c r="AL1085" s="37">
        <f>IF(最佳化斷筋點!M1085="","",最佳化斷筋點!M1085)</f>
        <v>5</v>
      </c>
      <c r="AM1085" s="37">
        <f>IF(最佳化斷筋點!N1085="","",最佳化斷筋點!N1085)</f>
        <v>5</v>
      </c>
      <c r="AN1085" s="37">
        <f>IF(最佳化斷筋點!O1085="","",最佳化斷筋點!O1085)</f>
        <v>5</v>
      </c>
      <c r="AO1085" s="37">
        <f>IF(最佳化斷筋點!P1085="","",最佳化斷筋點!P1085)</f>
        <v>5</v>
      </c>
      <c r="AP1085" s="37">
        <f>IF(最佳化斷筋點!Q1085="","",最佳化斷筋點!Q1085)</f>
        <v>5</v>
      </c>
      <c r="AQ1085" s="37">
        <f>IF(最佳化斷筋點!R1085="","",最佳化斷筋點!R1085)</f>
        <v>6</v>
      </c>
      <c r="AR1085" s="37">
        <f>IF(最佳化斷筋點!S1085="","",最佳化斷筋點!S1085)</f>
        <v>6</v>
      </c>
      <c r="AS1085" s="37">
        <f>IF(最佳化斷筋點!T1085="","",最佳化斷筋點!T1085)</f>
        <v>7</v>
      </c>
      <c r="AT1085" s="37">
        <f>IF(最佳化斷筋點!U1085="","",最佳化斷筋點!U1085)</f>
        <v>8</v>
      </c>
      <c r="AU1085" s="37">
        <f>IF(最佳化斷筋點!V1085="","",最佳化斷筋點!V1085)</f>
        <v>8</v>
      </c>
      <c r="AV1085" s="37">
        <f>IF(最佳化斷筋點!W1085="","",最佳化斷筋點!W1085)</f>
        <v>8</v>
      </c>
      <c r="AW1085" s="37">
        <f>IF(最佳化斷筋點!X1085="","",最佳化斷筋點!X1085)</f>
        <v>8</v>
      </c>
      <c r="AZ1085" s="37">
        <v>8</v>
      </c>
      <c r="BA1085" s="37">
        <v>8</v>
      </c>
      <c r="BB1085" s="37">
        <v>8</v>
      </c>
      <c r="BC1085" s="37">
        <v>8</v>
      </c>
      <c r="BD1085" s="37">
        <v>8</v>
      </c>
      <c r="BE1085" s="37">
        <v>7</v>
      </c>
      <c r="BF1085" s="37">
        <v>6</v>
      </c>
      <c r="BG1085" s="37">
        <v>5</v>
      </c>
      <c r="BH1085" s="37">
        <v>5</v>
      </c>
      <c r="BI1085" s="37">
        <v>5</v>
      </c>
      <c r="BJ1085" s="37">
        <v>5</v>
      </c>
      <c r="BK1085" s="37">
        <v>5</v>
      </c>
      <c r="BL1085" s="37">
        <v>5</v>
      </c>
      <c r="BM1085" s="37">
        <v>5</v>
      </c>
      <c r="BN1085" s="37">
        <v>6</v>
      </c>
      <c r="BO1085" s="37">
        <v>6</v>
      </c>
      <c r="BP1085" s="37">
        <v>7</v>
      </c>
      <c r="BQ1085" s="37">
        <v>8</v>
      </c>
      <c r="BR1085" s="37">
        <v>8</v>
      </c>
      <c r="BS1085" s="37">
        <v>8</v>
      </c>
      <c r="BT1085" s="37">
        <v>8</v>
      </c>
    </row>
    <row r="1086" spans="5:72" x14ac:dyDescent="0.25">
      <c r="E1086" s="36"/>
      <c r="F1086" s="36">
        <f t="shared" si="358"/>
        <v>0</v>
      </c>
      <c r="G1086" s="36">
        <f t="shared" si="359"/>
        <v>0</v>
      </c>
      <c r="H1086" s="36">
        <f t="shared" si="360"/>
        <v>0</v>
      </c>
      <c r="I1086" s="36">
        <f t="shared" si="361"/>
        <v>0</v>
      </c>
      <c r="J1086" s="36">
        <f t="shared" si="362"/>
        <v>0</v>
      </c>
      <c r="K1086" s="36">
        <f t="shared" si="363"/>
        <v>0</v>
      </c>
      <c r="L1086" s="36">
        <f t="shared" si="364"/>
        <v>0</v>
      </c>
      <c r="M1086" s="36">
        <f t="shared" si="365"/>
        <v>0</v>
      </c>
      <c r="N1086" s="36">
        <f t="shared" si="366"/>
        <v>0</v>
      </c>
      <c r="O1086" s="36">
        <f t="shared" si="367"/>
        <v>0</v>
      </c>
      <c r="P1086" s="36">
        <f t="shared" si="368"/>
        <v>0</v>
      </c>
      <c r="Q1086" s="36">
        <f t="shared" si="369"/>
        <v>0</v>
      </c>
      <c r="R1086" s="36">
        <f t="shared" si="370"/>
        <v>0</v>
      </c>
      <c r="S1086" s="36">
        <f t="shared" si="371"/>
        <v>0</v>
      </c>
      <c r="T1086" s="36">
        <f t="shared" si="372"/>
        <v>0</v>
      </c>
      <c r="U1086" s="36">
        <f t="shared" si="373"/>
        <v>0</v>
      </c>
      <c r="V1086" s="36">
        <f t="shared" si="374"/>
        <v>0</v>
      </c>
      <c r="W1086" s="36">
        <f t="shared" si="375"/>
        <v>0</v>
      </c>
      <c r="X1086" s="36">
        <f t="shared" si="376"/>
        <v>0</v>
      </c>
      <c r="Y1086" s="36">
        <f t="shared" si="377"/>
        <v>0</v>
      </c>
      <c r="Z1086" s="36">
        <f t="shared" si="378"/>
        <v>0</v>
      </c>
      <c r="AB1086" s="36" t="str">
        <f>IF(最佳化斷筋點!C1086="","",最佳化斷筋點!C1086)</f>
        <v/>
      </c>
      <c r="AC1086" s="37" t="str">
        <f>IF(最佳化斷筋點!D1086="","",最佳化斷筋點!D1086)</f>
        <v/>
      </c>
      <c r="AD1086" s="37" t="str">
        <f>IF(最佳化斷筋點!E1086="","",最佳化斷筋點!E1086)</f>
        <v/>
      </c>
      <c r="AE1086" s="37" t="str">
        <f>IF(最佳化斷筋點!F1086="","",最佳化斷筋點!F1086)</f>
        <v/>
      </c>
      <c r="AF1086" s="37" t="str">
        <f>IF(最佳化斷筋點!G1086="","",最佳化斷筋點!G1086)</f>
        <v/>
      </c>
      <c r="AG1086" s="37" t="str">
        <f>IF(最佳化斷筋點!H1086="","",最佳化斷筋點!H1086)</f>
        <v/>
      </c>
      <c r="AH1086" s="37" t="str">
        <f>IF(最佳化斷筋點!I1086="","",最佳化斷筋點!I1086)</f>
        <v/>
      </c>
      <c r="AI1086" s="37" t="str">
        <f>IF(最佳化斷筋點!J1086="","",最佳化斷筋點!J1086)</f>
        <v/>
      </c>
      <c r="AJ1086" s="37" t="str">
        <f>IF(最佳化斷筋點!K1086="","",最佳化斷筋點!K1086)</f>
        <v/>
      </c>
      <c r="AK1086" s="37" t="str">
        <f>IF(最佳化斷筋點!L1086="","",最佳化斷筋點!L1086)</f>
        <v/>
      </c>
      <c r="AL1086" s="37" t="str">
        <f>IF(最佳化斷筋點!M1086="","",最佳化斷筋點!M1086)</f>
        <v/>
      </c>
      <c r="AM1086" s="37" t="str">
        <f>IF(最佳化斷筋點!N1086="","",最佳化斷筋點!N1086)</f>
        <v/>
      </c>
      <c r="AN1086" s="37" t="str">
        <f>IF(最佳化斷筋點!O1086="","",最佳化斷筋點!O1086)</f>
        <v/>
      </c>
      <c r="AO1086" s="37" t="str">
        <f>IF(最佳化斷筋點!P1086="","",最佳化斷筋點!P1086)</f>
        <v/>
      </c>
      <c r="AP1086" s="37" t="str">
        <f>IF(最佳化斷筋點!Q1086="","",最佳化斷筋點!Q1086)</f>
        <v/>
      </c>
      <c r="AQ1086" s="37" t="str">
        <f>IF(最佳化斷筋點!R1086="","",最佳化斷筋點!R1086)</f>
        <v/>
      </c>
      <c r="AR1086" s="37" t="str">
        <f>IF(最佳化斷筋點!S1086="","",最佳化斷筋點!S1086)</f>
        <v/>
      </c>
      <c r="AS1086" s="37" t="str">
        <f>IF(最佳化斷筋點!T1086="","",最佳化斷筋點!T1086)</f>
        <v/>
      </c>
      <c r="AT1086" s="37" t="str">
        <f>IF(最佳化斷筋點!U1086="","",最佳化斷筋點!U1086)</f>
        <v/>
      </c>
      <c r="AU1086" s="37" t="str">
        <f>IF(最佳化斷筋點!V1086="","",最佳化斷筋點!V1086)</f>
        <v/>
      </c>
      <c r="AV1086" s="37" t="str">
        <f>IF(最佳化斷筋點!W1086="","",最佳化斷筋點!W1086)</f>
        <v/>
      </c>
      <c r="AW1086" s="37" t="str">
        <f>IF(最佳化斷筋點!X1086="","",最佳化斷筋點!X1086)</f>
        <v/>
      </c>
      <c r="AZ1086" s="37" t="s">
        <v>197</v>
      </c>
      <c r="BA1086" s="37" t="s">
        <v>197</v>
      </c>
      <c r="BB1086" s="37" t="s">
        <v>197</v>
      </c>
      <c r="BC1086" s="37" t="s">
        <v>197</v>
      </c>
      <c r="BD1086" s="37" t="s">
        <v>197</v>
      </c>
      <c r="BE1086" s="37" t="s">
        <v>197</v>
      </c>
      <c r="BF1086" s="37" t="s">
        <v>197</v>
      </c>
      <c r="BG1086" s="37" t="s">
        <v>197</v>
      </c>
      <c r="BH1086" s="37" t="s">
        <v>197</v>
      </c>
      <c r="BI1086" s="37" t="s">
        <v>197</v>
      </c>
      <c r="BJ1086" s="37" t="s">
        <v>197</v>
      </c>
      <c r="BK1086" s="37" t="s">
        <v>197</v>
      </c>
      <c r="BL1086" s="37" t="s">
        <v>197</v>
      </c>
      <c r="BM1086" s="37" t="s">
        <v>197</v>
      </c>
      <c r="BN1086" s="37" t="s">
        <v>197</v>
      </c>
      <c r="BO1086" s="37" t="s">
        <v>197</v>
      </c>
      <c r="BP1086" s="37" t="s">
        <v>197</v>
      </c>
      <c r="BQ1086" s="37" t="s">
        <v>197</v>
      </c>
      <c r="BR1086" s="37" t="s">
        <v>197</v>
      </c>
      <c r="BS1086" s="37" t="s">
        <v>197</v>
      </c>
      <c r="BT1086" s="37" t="s">
        <v>197</v>
      </c>
    </row>
    <row r="1087" spans="5:72" x14ac:dyDescent="0.25">
      <c r="E1087" s="36" t="s">
        <v>20</v>
      </c>
      <c r="F1087" s="36">
        <f t="shared" si="358"/>
        <v>0</v>
      </c>
      <c r="G1087" s="36">
        <f t="shared" si="359"/>
        <v>0</v>
      </c>
      <c r="H1087" s="36">
        <f t="shared" si="360"/>
        <v>0</v>
      </c>
      <c r="I1087" s="36">
        <f t="shared" si="361"/>
        <v>0</v>
      </c>
      <c r="J1087" s="36">
        <f t="shared" si="362"/>
        <v>0</v>
      </c>
      <c r="K1087" s="36">
        <f t="shared" si="363"/>
        <v>0</v>
      </c>
      <c r="L1087" s="36">
        <f t="shared" si="364"/>
        <v>0</v>
      </c>
      <c r="M1087" s="36">
        <f t="shared" si="365"/>
        <v>0</v>
      </c>
      <c r="N1087" s="36">
        <f t="shared" si="366"/>
        <v>0</v>
      </c>
      <c r="O1087" s="36">
        <f t="shared" si="367"/>
        <v>0</v>
      </c>
      <c r="P1087" s="36">
        <f t="shared" si="368"/>
        <v>0</v>
      </c>
      <c r="Q1087" s="36">
        <f t="shared" si="369"/>
        <v>0</v>
      </c>
      <c r="R1087" s="36">
        <f t="shared" si="370"/>
        <v>0</v>
      </c>
      <c r="S1087" s="36">
        <f t="shared" si="371"/>
        <v>0</v>
      </c>
      <c r="T1087" s="36">
        <f t="shared" si="372"/>
        <v>0</v>
      </c>
      <c r="U1087" s="36">
        <f t="shared" si="373"/>
        <v>0</v>
      </c>
      <c r="V1087" s="36">
        <f t="shared" si="374"/>
        <v>0</v>
      </c>
      <c r="W1087" s="36">
        <f t="shared" si="375"/>
        <v>0</v>
      </c>
      <c r="X1087" s="36">
        <f t="shared" si="376"/>
        <v>0</v>
      </c>
      <c r="Y1087" s="36">
        <f t="shared" si="377"/>
        <v>0</v>
      </c>
      <c r="Z1087" s="36">
        <f t="shared" si="378"/>
        <v>0</v>
      </c>
      <c r="AB1087" s="36" t="str">
        <f>IF(最佳化斷筋點!C1087="","",最佳化斷筋點!C1087)</f>
        <v>上層</v>
      </c>
      <c r="AC1087" s="37">
        <f>IF(最佳化斷筋點!D1087="","",最佳化斷筋點!D1087)</f>
        <v>10</v>
      </c>
      <c r="AD1087" s="37">
        <f>IF(最佳化斷筋點!E1087="","",最佳化斷筋點!E1087)</f>
        <v>10</v>
      </c>
      <c r="AE1087" s="37">
        <f>IF(最佳化斷筋點!F1087="","",最佳化斷筋點!F1087)</f>
        <v>10</v>
      </c>
      <c r="AF1087" s="37">
        <f>IF(最佳化斷筋點!G1087="","",最佳化斷筋點!G1087)</f>
        <v>10</v>
      </c>
      <c r="AG1087" s="37">
        <f>IF(最佳化斷筋點!H1087="","",最佳化斷筋點!H1087)</f>
        <v>10</v>
      </c>
      <c r="AH1087" s="37">
        <f>IF(最佳化斷筋點!I1087="","",最佳化斷筋點!I1087)</f>
        <v>10</v>
      </c>
      <c r="AI1087" s="37">
        <f>IF(最佳化斷筋點!J1087="","",最佳化斷筋點!J1087)</f>
        <v>10</v>
      </c>
      <c r="AJ1087" s="37">
        <f>IF(最佳化斷筋點!K1087="","",最佳化斷筋點!K1087)</f>
        <v>4</v>
      </c>
      <c r="AK1087" s="37">
        <f>IF(最佳化斷筋點!L1087="","",最佳化斷筋點!L1087)</f>
        <v>4</v>
      </c>
      <c r="AL1087" s="37">
        <f>IF(最佳化斷筋點!M1087="","",最佳化斷筋點!M1087)</f>
        <v>4</v>
      </c>
      <c r="AM1087" s="37">
        <f>IF(最佳化斷筋點!N1087="","",最佳化斷筋點!N1087)</f>
        <v>4</v>
      </c>
      <c r="AN1087" s="37">
        <f>IF(最佳化斷筋點!O1087="","",最佳化斷筋點!O1087)</f>
        <v>4</v>
      </c>
      <c r="AO1087" s="37">
        <f>IF(最佳化斷筋點!P1087="","",最佳化斷筋點!P1087)</f>
        <v>4</v>
      </c>
      <c r="AP1087" s="37">
        <f>IF(最佳化斷筋點!Q1087="","",最佳化斷筋點!Q1087)</f>
        <v>8</v>
      </c>
      <c r="AQ1087" s="37">
        <f>IF(最佳化斷筋點!R1087="","",最佳化斷筋點!R1087)</f>
        <v>9</v>
      </c>
      <c r="AR1087" s="37">
        <f>IF(最佳化斷筋點!S1087="","",最佳化斷筋點!S1087)</f>
        <v>10</v>
      </c>
      <c r="AS1087" s="37">
        <f>IF(最佳化斷筋點!T1087="","",最佳化斷筋點!T1087)</f>
        <v>10</v>
      </c>
      <c r="AT1087" s="37">
        <f>IF(最佳化斷筋點!U1087="","",最佳化斷筋點!U1087)</f>
        <v>10</v>
      </c>
      <c r="AU1087" s="37">
        <f>IF(最佳化斷筋點!V1087="","",最佳化斷筋點!V1087)</f>
        <v>10</v>
      </c>
      <c r="AV1087" s="37">
        <f>IF(最佳化斷筋點!W1087="","",最佳化斷筋點!W1087)</f>
        <v>10</v>
      </c>
      <c r="AW1087" s="37">
        <f>IF(最佳化斷筋點!X1087="","",最佳化斷筋點!X1087)</f>
        <v>10</v>
      </c>
      <c r="AZ1087" s="37">
        <v>10</v>
      </c>
      <c r="BA1087" s="37">
        <v>10</v>
      </c>
      <c r="BB1087" s="37">
        <v>10</v>
      </c>
      <c r="BC1087" s="37">
        <v>10</v>
      </c>
      <c r="BD1087" s="37">
        <v>10</v>
      </c>
      <c r="BE1087" s="37">
        <v>10</v>
      </c>
      <c r="BF1087" s="37">
        <v>10</v>
      </c>
      <c r="BG1087" s="37">
        <v>4</v>
      </c>
      <c r="BH1087" s="37">
        <v>4</v>
      </c>
      <c r="BI1087" s="37">
        <v>4</v>
      </c>
      <c r="BJ1087" s="37">
        <v>4</v>
      </c>
      <c r="BK1087" s="37">
        <v>4</v>
      </c>
      <c r="BL1087" s="37">
        <v>4</v>
      </c>
      <c r="BM1087" s="37">
        <v>8</v>
      </c>
      <c r="BN1087" s="37">
        <v>9</v>
      </c>
      <c r="BO1087" s="37">
        <v>10</v>
      </c>
      <c r="BP1087" s="37">
        <v>10</v>
      </c>
      <c r="BQ1087" s="37">
        <v>10</v>
      </c>
      <c r="BR1087" s="37">
        <v>10</v>
      </c>
      <c r="BS1087" s="37">
        <v>10</v>
      </c>
      <c r="BT1087" s="37">
        <v>10</v>
      </c>
    </row>
    <row r="1088" spans="5:72" x14ac:dyDescent="0.25">
      <c r="E1088" s="36"/>
      <c r="F1088" s="36">
        <f t="shared" si="358"/>
        <v>0</v>
      </c>
      <c r="G1088" s="36">
        <f t="shared" si="359"/>
        <v>0</v>
      </c>
      <c r="H1088" s="36">
        <f t="shared" si="360"/>
        <v>0</v>
      </c>
      <c r="I1088" s="36">
        <f t="shared" si="361"/>
        <v>0</v>
      </c>
      <c r="J1088" s="36">
        <f t="shared" si="362"/>
        <v>0</v>
      </c>
      <c r="K1088" s="36">
        <f t="shared" si="363"/>
        <v>0</v>
      </c>
      <c r="L1088" s="36">
        <f t="shared" si="364"/>
        <v>0</v>
      </c>
      <c r="M1088" s="36">
        <f t="shared" si="365"/>
        <v>0</v>
      </c>
      <c r="N1088" s="36">
        <f t="shared" si="366"/>
        <v>0</v>
      </c>
      <c r="O1088" s="36">
        <f t="shared" si="367"/>
        <v>0</v>
      </c>
      <c r="P1088" s="36">
        <f t="shared" si="368"/>
        <v>0</v>
      </c>
      <c r="Q1088" s="36">
        <f t="shared" si="369"/>
        <v>0</v>
      </c>
      <c r="R1088" s="36">
        <f t="shared" si="370"/>
        <v>0</v>
      </c>
      <c r="S1088" s="36">
        <f t="shared" si="371"/>
        <v>0</v>
      </c>
      <c r="T1088" s="36">
        <f t="shared" si="372"/>
        <v>0</v>
      </c>
      <c r="U1088" s="36">
        <f t="shared" si="373"/>
        <v>0</v>
      </c>
      <c r="V1088" s="36">
        <f t="shared" si="374"/>
        <v>0</v>
      </c>
      <c r="W1088" s="36">
        <f t="shared" si="375"/>
        <v>0</v>
      </c>
      <c r="X1088" s="36">
        <f t="shared" si="376"/>
        <v>0</v>
      </c>
      <c r="Y1088" s="36">
        <f t="shared" si="377"/>
        <v>0</v>
      </c>
      <c r="Z1088" s="36">
        <f t="shared" si="378"/>
        <v>0</v>
      </c>
      <c r="AB1088" s="36" t="str">
        <f>IF(最佳化斷筋點!C1088="","",最佳化斷筋點!C1088)</f>
        <v/>
      </c>
      <c r="AC1088" s="37" t="str">
        <f>IF(最佳化斷筋點!D1088="","",最佳化斷筋點!D1088)</f>
        <v/>
      </c>
      <c r="AD1088" s="37" t="str">
        <f>IF(最佳化斷筋點!E1088="","",最佳化斷筋點!E1088)</f>
        <v/>
      </c>
      <c r="AE1088" s="37" t="str">
        <f>IF(最佳化斷筋點!F1088="","",最佳化斷筋點!F1088)</f>
        <v/>
      </c>
      <c r="AF1088" s="37" t="str">
        <f>IF(最佳化斷筋點!G1088="","",最佳化斷筋點!G1088)</f>
        <v/>
      </c>
      <c r="AG1088" s="37" t="str">
        <f>IF(最佳化斷筋點!H1088="","",最佳化斷筋點!H1088)</f>
        <v/>
      </c>
      <c r="AH1088" s="37" t="str">
        <f>IF(最佳化斷筋點!I1088="","",最佳化斷筋點!I1088)</f>
        <v/>
      </c>
      <c r="AI1088" s="37" t="str">
        <f>IF(最佳化斷筋點!J1088="","",最佳化斷筋點!J1088)</f>
        <v/>
      </c>
      <c r="AJ1088" s="37" t="str">
        <f>IF(最佳化斷筋點!K1088="","",最佳化斷筋點!K1088)</f>
        <v/>
      </c>
      <c r="AK1088" s="37" t="str">
        <f>IF(最佳化斷筋點!L1088="","",最佳化斷筋點!L1088)</f>
        <v/>
      </c>
      <c r="AL1088" s="37" t="str">
        <f>IF(最佳化斷筋點!M1088="","",最佳化斷筋點!M1088)</f>
        <v/>
      </c>
      <c r="AM1088" s="37" t="str">
        <f>IF(最佳化斷筋點!N1088="","",最佳化斷筋點!N1088)</f>
        <v/>
      </c>
      <c r="AN1088" s="37" t="str">
        <f>IF(最佳化斷筋點!O1088="","",最佳化斷筋點!O1088)</f>
        <v/>
      </c>
      <c r="AO1088" s="37" t="str">
        <f>IF(最佳化斷筋點!P1088="","",最佳化斷筋點!P1088)</f>
        <v/>
      </c>
      <c r="AP1088" s="37" t="str">
        <f>IF(最佳化斷筋點!Q1088="","",最佳化斷筋點!Q1088)</f>
        <v/>
      </c>
      <c r="AQ1088" s="37" t="str">
        <f>IF(最佳化斷筋點!R1088="","",最佳化斷筋點!R1088)</f>
        <v/>
      </c>
      <c r="AR1088" s="37" t="str">
        <f>IF(最佳化斷筋點!S1088="","",最佳化斷筋點!S1088)</f>
        <v/>
      </c>
      <c r="AS1088" s="37" t="str">
        <f>IF(最佳化斷筋點!T1088="","",最佳化斷筋點!T1088)</f>
        <v/>
      </c>
      <c r="AT1088" s="37" t="str">
        <f>IF(最佳化斷筋點!U1088="","",最佳化斷筋點!U1088)</f>
        <v/>
      </c>
      <c r="AU1088" s="37" t="str">
        <f>IF(最佳化斷筋點!V1088="","",最佳化斷筋點!V1088)</f>
        <v/>
      </c>
      <c r="AV1088" s="37" t="str">
        <f>IF(最佳化斷筋點!W1088="","",最佳化斷筋點!W1088)</f>
        <v/>
      </c>
      <c r="AW1088" s="37" t="str">
        <f>IF(最佳化斷筋點!X1088="","",最佳化斷筋點!X1088)</f>
        <v/>
      </c>
      <c r="AZ1088" s="37" t="s">
        <v>197</v>
      </c>
      <c r="BA1088" s="37" t="s">
        <v>197</v>
      </c>
      <c r="BB1088" s="37" t="s">
        <v>197</v>
      </c>
      <c r="BC1088" s="37" t="s">
        <v>197</v>
      </c>
      <c r="BD1088" s="37" t="s">
        <v>197</v>
      </c>
      <c r="BE1088" s="37" t="s">
        <v>197</v>
      </c>
      <c r="BF1088" s="37" t="s">
        <v>197</v>
      </c>
      <c r="BG1088" s="37" t="s">
        <v>197</v>
      </c>
      <c r="BH1088" s="37" t="s">
        <v>197</v>
      </c>
      <c r="BI1088" s="37" t="s">
        <v>197</v>
      </c>
      <c r="BJ1088" s="37" t="s">
        <v>197</v>
      </c>
      <c r="BK1088" s="37" t="s">
        <v>197</v>
      </c>
      <c r="BL1088" s="37" t="s">
        <v>197</v>
      </c>
      <c r="BM1088" s="37" t="s">
        <v>197</v>
      </c>
      <c r="BN1088" s="37" t="s">
        <v>197</v>
      </c>
      <c r="BO1088" s="37" t="s">
        <v>197</v>
      </c>
      <c r="BP1088" s="37" t="s">
        <v>197</v>
      </c>
      <c r="BQ1088" s="37" t="s">
        <v>197</v>
      </c>
      <c r="BR1088" s="37" t="s">
        <v>197</v>
      </c>
      <c r="BS1088" s="37" t="s">
        <v>197</v>
      </c>
      <c r="BT1088" s="37" t="s">
        <v>197</v>
      </c>
    </row>
    <row r="1089" spans="5:72" x14ac:dyDescent="0.25">
      <c r="E1089" s="36" t="s">
        <v>21</v>
      </c>
      <c r="F1089" s="36">
        <f t="shared" si="358"/>
        <v>0</v>
      </c>
      <c r="G1089" s="36">
        <f t="shared" si="359"/>
        <v>0</v>
      </c>
      <c r="H1089" s="36">
        <f t="shared" si="360"/>
        <v>0</v>
      </c>
      <c r="I1089" s="36">
        <f t="shared" si="361"/>
        <v>0</v>
      </c>
      <c r="J1089" s="36">
        <f t="shared" si="362"/>
        <v>0</v>
      </c>
      <c r="K1089" s="36">
        <f t="shared" si="363"/>
        <v>0</v>
      </c>
      <c r="L1089" s="36">
        <f t="shared" si="364"/>
        <v>0</v>
      </c>
      <c r="M1089" s="36">
        <f t="shared" si="365"/>
        <v>0</v>
      </c>
      <c r="N1089" s="36">
        <f t="shared" si="366"/>
        <v>0</v>
      </c>
      <c r="O1089" s="36">
        <f t="shared" si="367"/>
        <v>0</v>
      </c>
      <c r="P1089" s="36">
        <f t="shared" si="368"/>
        <v>0</v>
      </c>
      <c r="Q1089" s="36">
        <f t="shared" si="369"/>
        <v>0</v>
      </c>
      <c r="R1089" s="36">
        <f t="shared" si="370"/>
        <v>0</v>
      </c>
      <c r="S1089" s="36">
        <f t="shared" si="371"/>
        <v>0</v>
      </c>
      <c r="T1089" s="36">
        <f t="shared" si="372"/>
        <v>0</v>
      </c>
      <c r="U1089" s="36">
        <f t="shared" si="373"/>
        <v>0</v>
      </c>
      <c r="V1089" s="36">
        <f t="shared" si="374"/>
        <v>0</v>
      </c>
      <c r="W1089" s="36">
        <f t="shared" si="375"/>
        <v>0</v>
      </c>
      <c r="X1089" s="36">
        <f t="shared" si="376"/>
        <v>0</v>
      </c>
      <c r="Y1089" s="36">
        <f t="shared" si="377"/>
        <v>0</v>
      </c>
      <c r="Z1089" s="36">
        <f t="shared" si="378"/>
        <v>0</v>
      </c>
      <c r="AB1089" s="36" t="str">
        <f>IF(最佳化斷筋點!C1089="","",最佳化斷筋點!C1089)</f>
        <v>下層</v>
      </c>
      <c r="AC1089" s="37">
        <f>IF(最佳化斷筋點!D1089="","",最佳化斷筋點!D1089)</f>
        <v>14</v>
      </c>
      <c r="AD1089" s="37">
        <f>IF(最佳化斷筋點!E1089="","",最佳化斷筋點!E1089)</f>
        <v>14</v>
      </c>
      <c r="AE1089" s="37">
        <f>IF(最佳化斷筋點!F1089="","",最佳化斷筋點!F1089)</f>
        <v>14</v>
      </c>
      <c r="AF1089" s="37">
        <f>IF(最佳化斷筋點!G1089="","",最佳化斷筋點!G1089)</f>
        <v>14</v>
      </c>
      <c r="AG1089" s="37">
        <f>IF(最佳化斷筋點!H1089="","",最佳化斷筋點!H1089)</f>
        <v>13</v>
      </c>
      <c r="AH1089" s="37">
        <f>IF(最佳化斷筋點!I1089="","",最佳化斷筋點!I1089)</f>
        <v>12</v>
      </c>
      <c r="AI1089" s="37">
        <f>IF(最佳化斷筋點!J1089="","",最佳化斷筋點!J1089)</f>
        <v>11</v>
      </c>
      <c r="AJ1089" s="37">
        <f>IF(最佳化斷筋點!K1089="","",最佳化斷筋點!K1089)</f>
        <v>6</v>
      </c>
      <c r="AK1089" s="37">
        <f>IF(最佳化斷筋點!L1089="","",最佳化斷筋點!L1089)</f>
        <v>6</v>
      </c>
      <c r="AL1089" s="37">
        <f>IF(最佳化斷筋點!M1089="","",最佳化斷筋點!M1089)</f>
        <v>6</v>
      </c>
      <c r="AM1089" s="37">
        <f>IF(最佳化斷筋點!N1089="","",最佳化斷筋點!N1089)</f>
        <v>6</v>
      </c>
      <c r="AN1089" s="37">
        <f>IF(最佳化斷筋點!O1089="","",最佳化斷筋點!O1089)</f>
        <v>6</v>
      </c>
      <c r="AO1089" s="37">
        <f>IF(最佳化斷筋點!P1089="","",最佳化斷筋點!P1089)</f>
        <v>6</v>
      </c>
      <c r="AP1089" s="37">
        <f>IF(最佳化斷筋點!Q1089="","",最佳化斷筋點!Q1089)</f>
        <v>8</v>
      </c>
      <c r="AQ1089" s="37">
        <f>IF(最佳化斷筋點!R1089="","",最佳化斷筋點!R1089)</f>
        <v>9</v>
      </c>
      <c r="AR1089" s="37">
        <f>IF(最佳化斷筋點!S1089="","",最佳化斷筋點!S1089)</f>
        <v>11</v>
      </c>
      <c r="AS1089" s="37">
        <f>IF(最佳化斷筋點!T1089="","",最佳化斷筋點!T1089)</f>
        <v>12</v>
      </c>
      <c r="AT1089" s="37">
        <f>IF(最佳化斷筋點!U1089="","",最佳化斷筋點!U1089)</f>
        <v>13</v>
      </c>
      <c r="AU1089" s="37">
        <f>IF(最佳化斷筋點!V1089="","",最佳化斷筋點!V1089)</f>
        <v>13</v>
      </c>
      <c r="AV1089" s="37">
        <f>IF(最佳化斷筋點!W1089="","",最佳化斷筋點!W1089)</f>
        <v>13</v>
      </c>
      <c r="AW1089" s="37">
        <f>IF(最佳化斷筋點!X1089="","",最佳化斷筋點!X1089)</f>
        <v>13</v>
      </c>
      <c r="AZ1089" s="37">
        <v>14</v>
      </c>
      <c r="BA1089" s="37">
        <v>14</v>
      </c>
      <c r="BB1089" s="37">
        <v>14</v>
      </c>
      <c r="BC1089" s="37">
        <v>14</v>
      </c>
      <c r="BD1089" s="37">
        <v>13</v>
      </c>
      <c r="BE1089" s="37">
        <v>12</v>
      </c>
      <c r="BF1089" s="37">
        <v>11</v>
      </c>
      <c r="BG1089" s="37">
        <v>6</v>
      </c>
      <c r="BH1089" s="37">
        <v>6</v>
      </c>
      <c r="BI1089" s="37">
        <v>6</v>
      </c>
      <c r="BJ1089" s="37">
        <v>6</v>
      </c>
      <c r="BK1089" s="37">
        <v>6</v>
      </c>
      <c r="BL1089" s="37">
        <v>6</v>
      </c>
      <c r="BM1089" s="37">
        <v>8</v>
      </c>
      <c r="BN1089" s="37">
        <v>9</v>
      </c>
      <c r="BO1089" s="37">
        <v>11</v>
      </c>
      <c r="BP1089" s="37">
        <v>12</v>
      </c>
      <c r="BQ1089" s="37">
        <v>13</v>
      </c>
      <c r="BR1089" s="37">
        <v>13</v>
      </c>
      <c r="BS1089" s="37">
        <v>13</v>
      </c>
      <c r="BT1089" s="37">
        <v>13</v>
      </c>
    </row>
    <row r="1090" spans="5:72" x14ac:dyDescent="0.25">
      <c r="E1090" s="36"/>
      <c r="F1090" s="36">
        <f t="shared" si="358"/>
        <v>0</v>
      </c>
      <c r="G1090" s="36">
        <f t="shared" si="359"/>
        <v>0</v>
      </c>
      <c r="H1090" s="36">
        <f t="shared" si="360"/>
        <v>0</v>
      </c>
      <c r="I1090" s="36">
        <f t="shared" si="361"/>
        <v>0</v>
      </c>
      <c r="J1090" s="36">
        <f t="shared" si="362"/>
        <v>0</v>
      </c>
      <c r="K1090" s="36">
        <f t="shared" si="363"/>
        <v>0</v>
      </c>
      <c r="L1090" s="36">
        <f t="shared" si="364"/>
        <v>0</v>
      </c>
      <c r="M1090" s="36">
        <f t="shared" si="365"/>
        <v>0</v>
      </c>
      <c r="N1090" s="36">
        <f t="shared" si="366"/>
        <v>0</v>
      </c>
      <c r="O1090" s="36">
        <f t="shared" si="367"/>
        <v>0</v>
      </c>
      <c r="P1090" s="36">
        <f t="shared" si="368"/>
        <v>0</v>
      </c>
      <c r="Q1090" s="36">
        <f t="shared" si="369"/>
        <v>0</v>
      </c>
      <c r="R1090" s="36">
        <f t="shared" si="370"/>
        <v>0</v>
      </c>
      <c r="S1090" s="36">
        <f t="shared" si="371"/>
        <v>0</v>
      </c>
      <c r="T1090" s="36">
        <f t="shared" si="372"/>
        <v>0</v>
      </c>
      <c r="U1090" s="36">
        <f t="shared" si="373"/>
        <v>0</v>
      </c>
      <c r="V1090" s="36">
        <f t="shared" si="374"/>
        <v>0</v>
      </c>
      <c r="W1090" s="36">
        <f t="shared" si="375"/>
        <v>0</v>
      </c>
      <c r="X1090" s="36">
        <f t="shared" si="376"/>
        <v>0</v>
      </c>
      <c r="Y1090" s="36">
        <f t="shared" si="377"/>
        <v>0</v>
      </c>
      <c r="Z1090" s="36">
        <f t="shared" si="378"/>
        <v>0</v>
      </c>
      <c r="AB1090" s="36" t="str">
        <f>IF(最佳化斷筋點!C1090="","",最佳化斷筋點!C1090)</f>
        <v/>
      </c>
      <c r="AC1090" s="37" t="str">
        <f>IF(最佳化斷筋點!D1090="","",最佳化斷筋點!D1090)</f>
        <v/>
      </c>
      <c r="AD1090" s="37" t="str">
        <f>IF(最佳化斷筋點!E1090="","",最佳化斷筋點!E1090)</f>
        <v/>
      </c>
      <c r="AE1090" s="37" t="str">
        <f>IF(最佳化斷筋點!F1090="","",最佳化斷筋點!F1090)</f>
        <v/>
      </c>
      <c r="AF1090" s="37" t="str">
        <f>IF(最佳化斷筋點!G1090="","",最佳化斷筋點!G1090)</f>
        <v/>
      </c>
      <c r="AG1090" s="37" t="str">
        <f>IF(最佳化斷筋點!H1090="","",最佳化斷筋點!H1090)</f>
        <v/>
      </c>
      <c r="AH1090" s="37" t="str">
        <f>IF(最佳化斷筋點!I1090="","",最佳化斷筋點!I1090)</f>
        <v/>
      </c>
      <c r="AI1090" s="37" t="str">
        <f>IF(最佳化斷筋點!J1090="","",最佳化斷筋點!J1090)</f>
        <v/>
      </c>
      <c r="AJ1090" s="37" t="str">
        <f>IF(最佳化斷筋點!K1090="","",最佳化斷筋點!K1090)</f>
        <v/>
      </c>
      <c r="AK1090" s="37" t="str">
        <f>IF(最佳化斷筋點!L1090="","",最佳化斷筋點!L1090)</f>
        <v/>
      </c>
      <c r="AL1090" s="37" t="str">
        <f>IF(最佳化斷筋點!M1090="","",最佳化斷筋點!M1090)</f>
        <v/>
      </c>
      <c r="AM1090" s="37" t="str">
        <f>IF(最佳化斷筋點!N1090="","",最佳化斷筋點!N1090)</f>
        <v/>
      </c>
      <c r="AN1090" s="37" t="str">
        <f>IF(最佳化斷筋點!O1090="","",最佳化斷筋點!O1090)</f>
        <v/>
      </c>
      <c r="AO1090" s="37" t="str">
        <f>IF(最佳化斷筋點!P1090="","",最佳化斷筋點!P1090)</f>
        <v/>
      </c>
      <c r="AP1090" s="37" t="str">
        <f>IF(最佳化斷筋點!Q1090="","",最佳化斷筋點!Q1090)</f>
        <v/>
      </c>
      <c r="AQ1090" s="37" t="str">
        <f>IF(最佳化斷筋點!R1090="","",最佳化斷筋點!R1090)</f>
        <v/>
      </c>
      <c r="AR1090" s="37" t="str">
        <f>IF(最佳化斷筋點!S1090="","",最佳化斷筋點!S1090)</f>
        <v/>
      </c>
      <c r="AS1090" s="37" t="str">
        <f>IF(最佳化斷筋點!T1090="","",最佳化斷筋點!T1090)</f>
        <v/>
      </c>
      <c r="AT1090" s="37" t="str">
        <f>IF(最佳化斷筋點!U1090="","",最佳化斷筋點!U1090)</f>
        <v/>
      </c>
      <c r="AU1090" s="37" t="str">
        <f>IF(最佳化斷筋點!V1090="","",最佳化斷筋點!V1090)</f>
        <v/>
      </c>
      <c r="AV1090" s="37" t="str">
        <f>IF(最佳化斷筋點!W1090="","",最佳化斷筋點!W1090)</f>
        <v/>
      </c>
      <c r="AW1090" s="37" t="str">
        <f>IF(最佳化斷筋點!X1090="","",最佳化斷筋點!X1090)</f>
        <v/>
      </c>
      <c r="AZ1090" s="37" t="s">
        <v>197</v>
      </c>
      <c r="BA1090" s="37" t="s">
        <v>197</v>
      </c>
      <c r="BB1090" s="37" t="s">
        <v>197</v>
      </c>
      <c r="BC1090" s="37" t="s">
        <v>197</v>
      </c>
      <c r="BD1090" s="37" t="s">
        <v>197</v>
      </c>
      <c r="BE1090" s="37" t="s">
        <v>197</v>
      </c>
      <c r="BF1090" s="37" t="s">
        <v>197</v>
      </c>
      <c r="BG1090" s="37" t="s">
        <v>197</v>
      </c>
      <c r="BH1090" s="37" t="s">
        <v>197</v>
      </c>
      <c r="BI1090" s="37" t="s">
        <v>197</v>
      </c>
      <c r="BJ1090" s="37" t="s">
        <v>197</v>
      </c>
      <c r="BK1090" s="37" t="s">
        <v>197</v>
      </c>
      <c r="BL1090" s="37" t="s">
        <v>197</v>
      </c>
      <c r="BM1090" s="37" t="s">
        <v>197</v>
      </c>
      <c r="BN1090" s="37" t="s">
        <v>197</v>
      </c>
      <c r="BO1090" s="37" t="s">
        <v>197</v>
      </c>
      <c r="BP1090" s="37" t="s">
        <v>197</v>
      </c>
      <c r="BQ1090" s="37" t="s">
        <v>197</v>
      </c>
      <c r="BR1090" s="37" t="s">
        <v>197</v>
      </c>
      <c r="BS1090" s="37" t="s">
        <v>197</v>
      </c>
      <c r="BT1090" s="37" t="s">
        <v>197</v>
      </c>
    </row>
    <row r="1091" spans="5:72" x14ac:dyDescent="0.25">
      <c r="E1091" s="36" t="s">
        <v>20</v>
      </c>
      <c r="F1091" s="36">
        <f t="shared" si="358"/>
        <v>0</v>
      </c>
      <c r="G1091" s="36">
        <f t="shared" si="359"/>
        <v>0</v>
      </c>
      <c r="H1091" s="36">
        <f t="shared" si="360"/>
        <v>0</v>
      </c>
      <c r="I1091" s="36">
        <f t="shared" si="361"/>
        <v>0</v>
      </c>
      <c r="J1091" s="36">
        <f t="shared" si="362"/>
        <v>0</v>
      </c>
      <c r="K1091" s="36">
        <f t="shared" si="363"/>
        <v>0</v>
      </c>
      <c r="L1091" s="36">
        <f t="shared" si="364"/>
        <v>0</v>
      </c>
      <c r="M1091" s="36">
        <f t="shared" si="365"/>
        <v>0</v>
      </c>
      <c r="N1091" s="36">
        <f t="shared" si="366"/>
        <v>0</v>
      </c>
      <c r="O1091" s="36">
        <f t="shared" si="367"/>
        <v>0</v>
      </c>
      <c r="P1091" s="36">
        <f t="shared" si="368"/>
        <v>0</v>
      </c>
      <c r="Q1091" s="36">
        <f t="shared" si="369"/>
        <v>0</v>
      </c>
      <c r="R1091" s="36">
        <f t="shared" si="370"/>
        <v>0</v>
      </c>
      <c r="S1091" s="36">
        <f t="shared" si="371"/>
        <v>0</v>
      </c>
      <c r="T1091" s="36">
        <f t="shared" si="372"/>
        <v>0</v>
      </c>
      <c r="U1091" s="36">
        <f t="shared" si="373"/>
        <v>0</v>
      </c>
      <c r="V1091" s="36">
        <f t="shared" si="374"/>
        <v>0</v>
      </c>
      <c r="W1091" s="36">
        <f t="shared" si="375"/>
        <v>0</v>
      </c>
      <c r="X1091" s="36">
        <f t="shared" si="376"/>
        <v>0</v>
      </c>
      <c r="Y1091" s="36">
        <f t="shared" si="377"/>
        <v>0</v>
      </c>
      <c r="Z1091" s="36">
        <f t="shared" si="378"/>
        <v>0</v>
      </c>
      <c r="AB1091" s="36" t="str">
        <f>IF(最佳化斷筋點!C1091="","",最佳化斷筋點!C1091)</f>
        <v>上層</v>
      </c>
      <c r="AC1091" s="37">
        <f>IF(最佳化斷筋點!D1091="","",最佳化斷筋點!D1091)</f>
        <v>2</v>
      </c>
      <c r="AD1091" s="37">
        <f>IF(最佳化斷筋點!E1091="","",最佳化斷筋點!E1091)</f>
        <v>2</v>
      </c>
      <c r="AE1091" s="37">
        <f>IF(最佳化斷筋點!F1091="","",最佳化斷筋點!F1091)</f>
        <v>2</v>
      </c>
      <c r="AF1091" s="37">
        <f>IF(最佳化斷筋點!G1091="","",最佳化斷筋點!G1091)</f>
        <v>2</v>
      </c>
      <c r="AG1091" s="37">
        <f>IF(最佳化斷筋點!H1091="","",最佳化斷筋點!H1091)</f>
        <v>2</v>
      </c>
      <c r="AH1091" s="37">
        <f>IF(最佳化斷筋點!I1091="","",最佳化斷筋點!I1091)</f>
        <v>2</v>
      </c>
      <c r="AI1091" s="37">
        <f>IF(最佳化斷筋點!J1091="","",最佳化斷筋點!J1091)</f>
        <v>2</v>
      </c>
      <c r="AJ1091" s="37">
        <f>IF(最佳化斷筋點!K1091="","",最佳化斷筋點!K1091)</f>
        <v>2</v>
      </c>
      <c r="AK1091" s="37">
        <f>IF(最佳化斷筋點!L1091="","",最佳化斷筋點!L1091)</f>
        <v>2</v>
      </c>
      <c r="AL1091" s="37">
        <f>IF(最佳化斷筋點!M1091="","",最佳化斷筋點!M1091)</f>
        <v>2</v>
      </c>
      <c r="AM1091" s="37">
        <f>IF(最佳化斷筋點!N1091="","",最佳化斷筋點!N1091)</f>
        <v>2</v>
      </c>
      <c r="AN1091" s="37">
        <f>IF(最佳化斷筋點!O1091="","",最佳化斷筋點!O1091)</f>
        <v>2</v>
      </c>
      <c r="AO1091" s="37">
        <f>IF(最佳化斷筋點!P1091="","",最佳化斷筋點!P1091)</f>
        <v>2</v>
      </c>
      <c r="AP1091" s="37">
        <f>IF(最佳化斷筋點!Q1091="","",最佳化斷筋點!Q1091)</f>
        <v>2</v>
      </c>
      <c r="AQ1091" s="37">
        <f>IF(最佳化斷筋點!R1091="","",最佳化斷筋點!R1091)</f>
        <v>2</v>
      </c>
      <c r="AR1091" s="37">
        <f>IF(最佳化斷筋點!S1091="","",最佳化斷筋點!S1091)</f>
        <v>2</v>
      </c>
      <c r="AS1091" s="37">
        <f>IF(最佳化斷筋點!T1091="","",最佳化斷筋點!T1091)</f>
        <v>2</v>
      </c>
      <c r="AT1091" s="37">
        <f>IF(最佳化斷筋點!U1091="","",最佳化斷筋點!U1091)</f>
        <v>2</v>
      </c>
      <c r="AU1091" s="37">
        <f>IF(最佳化斷筋點!V1091="","",最佳化斷筋點!V1091)</f>
        <v>2</v>
      </c>
      <c r="AV1091" s="37">
        <f>IF(最佳化斷筋點!W1091="","",最佳化斷筋點!W1091)</f>
        <v>2</v>
      </c>
      <c r="AW1091" s="37">
        <f>IF(最佳化斷筋點!X1091="","",最佳化斷筋點!X1091)</f>
        <v>2</v>
      </c>
      <c r="AZ1091" s="37">
        <v>2</v>
      </c>
      <c r="BA1091" s="37">
        <v>2</v>
      </c>
      <c r="BB1091" s="37">
        <v>2</v>
      </c>
      <c r="BC1091" s="37">
        <v>2</v>
      </c>
      <c r="BD1091" s="37">
        <v>2</v>
      </c>
      <c r="BE1091" s="37">
        <v>2</v>
      </c>
      <c r="BF1091" s="37">
        <v>2</v>
      </c>
      <c r="BG1091" s="37">
        <v>2</v>
      </c>
      <c r="BH1091" s="37">
        <v>2</v>
      </c>
      <c r="BI1091" s="37">
        <v>2</v>
      </c>
      <c r="BJ1091" s="37">
        <v>2</v>
      </c>
      <c r="BK1091" s="37">
        <v>2</v>
      </c>
      <c r="BL1091" s="37">
        <v>2</v>
      </c>
      <c r="BM1091" s="37">
        <v>2</v>
      </c>
      <c r="BN1091" s="37">
        <v>2</v>
      </c>
      <c r="BO1091" s="37">
        <v>2</v>
      </c>
      <c r="BP1091" s="37">
        <v>2</v>
      </c>
      <c r="BQ1091" s="37">
        <v>2</v>
      </c>
      <c r="BR1091" s="37">
        <v>2</v>
      </c>
      <c r="BS1091" s="37">
        <v>2</v>
      </c>
      <c r="BT1091" s="37">
        <v>2</v>
      </c>
    </row>
    <row r="1092" spans="5:72" x14ac:dyDescent="0.25">
      <c r="E1092" s="36"/>
      <c r="F1092" s="36">
        <f t="shared" si="358"/>
        <v>0</v>
      </c>
      <c r="G1092" s="36">
        <f t="shared" si="359"/>
        <v>0</v>
      </c>
      <c r="H1092" s="36">
        <f t="shared" si="360"/>
        <v>0</v>
      </c>
      <c r="I1092" s="36">
        <f t="shared" si="361"/>
        <v>0</v>
      </c>
      <c r="J1092" s="36">
        <f t="shared" si="362"/>
        <v>0</v>
      </c>
      <c r="K1092" s="36">
        <f t="shared" si="363"/>
        <v>0</v>
      </c>
      <c r="L1092" s="36">
        <f t="shared" si="364"/>
        <v>0</v>
      </c>
      <c r="M1092" s="36">
        <f t="shared" si="365"/>
        <v>0</v>
      </c>
      <c r="N1092" s="36">
        <f t="shared" si="366"/>
        <v>0</v>
      </c>
      <c r="O1092" s="36">
        <f t="shared" si="367"/>
        <v>0</v>
      </c>
      <c r="P1092" s="36">
        <f t="shared" si="368"/>
        <v>0</v>
      </c>
      <c r="Q1092" s="36">
        <f t="shared" si="369"/>
        <v>0</v>
      </c>
      <c r="R1092" s="36">
        <f t="shared" si="370"/>
        <v>0</v>
      </c>
      <c r="S1092" s="36">
        <f t="shared" si="371"/>
        <v>0</v>
      </c>
      <c r="T1092" s="36">
        <f t="shared" si="372"/>
        <v>0</v>
      </c>
      <c r="U1092" s="36">
        <f t="shared" si="373"/>
        <v>0</v>
      </c>
      <c r="V1092" s="36">
        <f t="shared" si="374"/>
        <v>0</v>
      </c>
      <c r="W1092" s="36">
        <f t="shared" si="375"/>
        <v>0</v>
      </c>
      <c r="X1092" s="36">
        <f t="shared" si="376"/>
        <v>0</v>
      </c>
      <c r="Y1092" s="36">
        <f t="shared" si="377"/>
        <v>0</v>
      </c>
      <c r="Z1092" s="36">
        <f t="shared" si="378"/>
        <v>0</v>
      </c>
      <c r="AB1092" s="36" t="str">
        <f>IF(最佳化斷筋點!C1092="","",最佳化斷筋點!C1092)</f>
        <v/>
      </c>
      <c r="AC1092" s="37" t="str">
        <f>IF(最佳化斷筋點!D1092="","",最佳化斷筋點!D1092)</f>
        <v/>
      </c>
      <c r="AD1092" s="37" t="str">
        <f>IF(最佳化斷筋點!E1092="","",最佳化斷筋點!E1092)</f>
        <v/>
      </c>
      <c r="AE1092" s="37" t="str">
        <f>IF(最佳化斷筋點!F1092="","",最佳化斷筋點!F1092)</f>
        <v/>
      </c>
      <c r="AF1092" s="37" t="str">
        <f>IF(最佳化斷筋點!G1092="","",最佳化斷筋點!G1092)</f>
        <v/>
      </c>
      <c r="AG1092" s="37" t="str">
        <f>IF(最佳化斷筋點!H1092="","",最佳化斷筋點!H1092)</f>
        <v/>
      </c>
      <c r="AH1092" s="37" t="str">
        <f>IF(最佳化斷筋點!I1092="","",最佳化斷筋點!I1092)</f>
        <v/>
      </c>
      <c r="AI1092" s="37" t="str">
        <f>IF(最佳化斷筋點!J1092="","",最佳化斷筋點!J1092)</f>
        <v/>
      </c>
      <c r="AJ1092" s="37" t="str">
        <f>IF(最佳化斷筋點!K1092="","",最佳化斷筋點!K1092)</f>
        <v/>
      </c>
      <c r="AK1092" s="37" t="str">
        <f>IF(最佳化斷筋點!L1092="","",最佳化斷筋點!L1092)</f>
        <v/>
      </c>
      <c r="AL1092" s="37" t="str">
        <f>IF(最佳化斷筋點!M1092="","",最佳化斷筋點!M1092)</f>
        <v/>
      </c>
      <c r="AM1092" s="37" t="str">
        <f>IF(最佳化斷筋點!N1092="","",最佳化斷筋點!N1092)</f>
        <v/>
      </c>
      <c r="AN1092" s="37" t="str">
        <f>IF(最佳化斷筋點!O1092="","",最佳化斷筋點!O1092)</f>
        <v/>
      </c>
      <c r="AO1092" s="37" t="str">
        <f>IF(最佳化斷筋點!P1092="","",最佳化斷筋點!P1092)</f>
        <v/>
      </c>
      <c r="AP1092" s="37" t="str">
        <f>IF(最佳化斷筋點!Q1092="","",最佳化斷筋點!Q1092)</f>
        <v/>
      </c>
      <c r="AQ1092" s="37" t="str">
        <f>IF(最佳化斷筋點!R1092="","",最佳化斷筋點!R1092)</f>
        <v/>
      </c>
      <c r="AR1092" s="37" t="str">
        <f>IF(最佳化斷筋點!S1092="","",最佳化斷筋點!S1092)</f>
        <v/>
      </c>
      <c r="AS1092" s="37" t="str">
        <f>IF(最佳化斷筋點!T1092="","",最佳化斷筋點!T1092)</f>
        <v/>
      </c>
      <c r="AT1092" s="37" t="str">
        <f>IF(最佳化斷筋點!U1092="","",最佳化斷筋點!U1092)</f>
        <v/>
      </c>
      <c r="AU1092" s="37" t="str">
        <f>IF(最佳化斷筋點!V1092="","",最佳化斷筋點!V1092)</f>
        <v/>
      </c>
      <c r="AV1092" s="37" t="str">
        <f>IF(最佳化斷筋點!W1092="","",最佳化斷筋點!W1092)</f>
        <v/>
      </c>
      <c r="AW1092" s="37" t="str">
        <f>IF(最佳化斷筋點!X1092="","",最佳化斷筋點!X1092)</f>
        <v/>
      </c>
      <c r="AZ1092" s="37" t="s">
        <v>197</v>
      </c>
      <c r="BA1092" s="37" t="s">
        <v>197</v>
      </c>
      <c r="BB1092" s="37" t="s">
        <v>197</v>
      </c>
      <c r="BC1092" s="37" t="s">
        <v>197</v>
      </c>
      <c r="BD1092" s="37" t="s">
        <v>197</v>
      </c>
      <c r="BE1092" s="37" t="s">
        <v>197</v>
      </c>
      <c r="BF1092" s="37" t="s">
        <v>197</v>
      </c>
      <c r="BG1092" s="37" t="s">
        <v>197</v>
      </c>
      <c r="BH1092" s="37" t="s">
        <v>197</v>
      </c>
      <c r="BI1092" s="37" t="s">
        <v>197</v>
      </c>
      <c r="BJ1092" s="37" t="s">
        <v>197</v>
      </c>
      <c r="BK1092" s="37" t="s">
        <v>197</v>
      </c>
      <c r="BL1092" s="37" t="s">
        <v>197</v>
      </c>
      <c r="BM1092" s="37" t="s">
        <v>197</v>
      </c>
      <c r="BN1092" s="37" t="s">
        <v>197</v>
      </c>
      <c r="BO1092" s="37" t="s">
        <v>197</v>
      </c>
      <c r="BP1092" s="37" t="s">
        <v>197</v>
      </c>
      <c r="BQ1092" s="37" t="s">
        <v>197</v>
      </c>
      <c r="BR1092" s="37" t="s">
        <v>197</v>
      </c>
      <c r="BS1092" s="37" t="s">
        <v>197</v>
      </c>
      <c r="BT1092" s="37" t="s">
        <v>197</v>
      </c>
    </row>
    <row r="1093" spans="5:72" x14ac:dyDescent="0.25">
      <c r="E1093" s="36" t="s">
        <v>21</v>
      </c>
      <c r="F1093" s="36">
        <f t="shared" si="358"/>
        <v>0</v>
      </c>
      <c r="G1093" s="36">
        <f t="shared" si="359"/>
        <v>0</v>
      </c>
      <c r="H1093" s="36">
        <f t="shared" si="360"/>
        <v>0</v>
      </c>
      <c r="I1093" s="36">
        <f t="shared" si="361"/>
        <v>0</v>
      </c>
      <c r="J1093" s="36">
        <f t="shared" si="362"/>
        <v>0</v>
      </c>
      <c r="K1093" s="36">
        <f t="shared" si="363"/>
        <v>0</v>
      </c>
      <c r="L1093" s="36">
        <f t="shared" si="364"/>
        <v>0</v>
      </c>
      <c r="M1093" s="36">
        <f t="shared" si="365"/>
        <v>0</v>
      </c>
      <c r="N1093" s="36">
        <f t="shared" si="366"/>
        <v>0</v>
      </c>
      <c r="O1093" s="36">
        <f t="shared" si="367"/>
        <v>0</v>
      </c>
      <c r="P1093" s="36">
        <f t="shared" si="368"/>
        <v>0</v>
      </c>
      <c r="Q1093" s="36">
        <f t="shared" si="369"/>
        <v>0</v>
      </c>
      <c r="R1093" s="36">
        <f t="shared" si="370"/>
        <v>0</v>
      </c>
      <c r="S1093" s="36">
        <f t="shared" si="371"/>
        <v>0</v>
      </c>
      <c r="T1093" s="36">
        <f t="shared" si="372"/>
        <v>0</v>
      </c>
      <c r="U1093" s="36">
        <f t="shared" si="373"/>
        <v>0</v>
      </c>
      <c r="V1093" s="36">
        <f t="shared" si="374"/>
        <v>0</v>
      </c>
      <c r="W1093" s="36">
        <f t="shared" si="375"/>
        <v>0</v>
      </c>
      <c r="X1093" s="36">
        <f t="shared" si="376"/>
        <v>0</v>
      </c>
      <c r="Y1093" s="36">
        <f t="shared" si="377"/>
        <v>0</v>
      </c>
      <c r="Z1093" s="36">
        <f t="shared" si="378"/>
        <v>0</v>
      </c>
      <c r="AB1093" s="36" t="str">
        <f>IF(最佳化斷筋點!C1093="","",最佳化斷筋點!C1093)</f>
        <v>下層</v>
      </c>
      <c r="AC1093" s="37">
        <f>IF(最佳化斷筋點!D1093="","",最佳化斷筋點!D1093)</f>
        <v>4</v>
      </c>
      <c r="AD1093" s="37">
        <f>IF(最佳化斷筋點!E1093="","",最佳化斷筋點!E1093)</f>
        <v>4</v>
      </c>
      <c r="AE1093" s="37">
        <f>IF(最佳化斷筋點!F1093="","",最佳化斷筋點!F1093)</f>
        <v>4</v>
      </c>
      <c r="AF1093" s="37">
        <f>IF(最佳化斷筋點!G1093="","",最佳化斷筋點!G1093)</f>
        <v>4</v>
      </c>
      <c r="AG1093" s="37">
        <f>IF(最佳化斷筋點!H1093="","",最佳化斷筋點!H1093)</f>
        <v>4</v>
      </c>
      <c r="AH1093" s="37">
        <f>IF(最佳化斷筋點!I1093="","",最佳化斷筋點!I1093)</f>
        <v>4</v>
      </c>
      <c r="AI1093" s="37">
        <f>IF(最佳化斷筋點!J1093="","",最佳化斷筋點!J1093)</f>
        <v>4</v>
      </c>
      <c r="AJ1093" s="37">
        <f>IF(最佳化斷筋點!K1093="","",最佳化斷筋點!K1093)</f>
        <v>4</v>
      </c>
      <c r="AK1093" s="37">
        <f>IF(最佳化斷筋點!L1093="","",最佳化斷筋點!L1093)</f>
        <v>4</v>
      </c>
      <c r="AL1093" s="37">
        <f>IF(最佳化斷筋點!M1093="","",最佳化斷筋點!M1093)</f>
        <v>4</v>
      </c>
      <c r="AM1093" s="37">
        <f>IF(最佳化斷筋點!N1093="","",最佳化斷筋點!N1093)</f>
        <v>4</v>
      </c>
      <c r="AN1093" s="37">
        <f>IF(最佳化斷筋點!O1093="","",最佳化斷筋點!O1093)</f>
        <v>4</v>
      </c>
      <c r="AO1093" s="37">
        <f>IF(最佳化斷筋點!P1093="","",最佳化斷筋點!P1093)</f>
        <v>4</v>
      </c>
      <c r="AP1093" s="37">
        <f>IF(最佳化斷筋點!Q1093="","",最佳化斷筋點!Q1093)</f>
        <v>4</v>
      </c>
      <c r="AQ1093" s="37">
        <f>IF(最佳化斷筋點!R1093="","",最佳化斷筋點!R1093)</f>
        <v>4</v>
      </c>
      <c r="AR1093" s="37">
        <f>IF(最佳化斷筋點!S1093="","",最佳化斷筋點!S1093)</f>
        <v>4</v>
      </c>
      <c r="AS1093" s="37">
        <f>IF(最佳化斷筋點!T1093="","",最佳化斷筋點!T1093)</f>
        <v>4</v>
      </c>
      <c r="AT1093" s="37">
        <f>IF(最佳化斷筋點!U1093="","",最佳化斷筋點!U1093)</f>
        <v>4</v>
      </c>
      <c r="AU1093" s="37">
        <f>IF(最佳化斷筋點!V1093="","",最佳化斷筋點!V1093)</f>
        <v>4</v>
      </c>
      <c r="AV1093" s="37">
        <f>IF(最佳化斷筋點!W1093="","",最佳化斷筋點!W1093)</f>
        <v>4</v>
      </c>
      <c r="AW1093" s="37">
        <f>IF(最佳化斷筋點!X1093="","",最佳化斷筋點!X1093)</f>
        <v>4</v>
      </c>
      <c r="AZ1093" s="37">
        <v>4</v>
      </c>
      <c r="BA1093" s="37">
        <v>4</v>
      </c>
      <c r="BB1093" s="37">
        <v>4</v>
      </c>
      <c r="BC1093" s="37">
        <v>4</v>
      </c>
      <c r="BD1093" s="37">
        <v>4</v>
      </c>
      <c r="BE1093" s="37">
        <v>4</v>
      </c>
      <c r="BF1093" s="37">
        <v>4</v>
      </c>
      <c r="BG1093" s="37">
        <v>4</v>
      </c>
      <c r="BH1093" s="37">
        <v>4</v>
      </c>
      <c r="BI1093" s="37">
        <v>4</v>
      </c>
      <c r="BJ1093" s="37">
        <v>4</v>
      </c>
      <c r="BK1093" s="37">
        <v>4</v>
      </c>
      <c r="BL1093" s="37">
        <v>4</v>
      </c>
      <c r="BM1093" s="37">
        <v>4</v>
      </c>
      <c r="BN1093" s="37">
        <v>4</v>
      </c>
      <c r="BO1093" s="37">
        <v>4</v>
      </c>
      <c r="BP1093" s="37">
        <v>4</v>
      </c>
      <c r="BQ1093" s="37">
        <v>4</v>
      </c>
      <c r="BR1093" s="37">
        <v>4</v>
      </c>
      <c r="BS1093" s="37">
        <v>4</v>
      </c>
      <c r="BT1093" s="37">
        <v>4</v>
      </c>
    </row>
    <row r="1094" spans="5:72" x14ac:dyDescent="0.25">
      <c r="E1094" s="36"/>
      <c r="F1094" s="36">
        <f t="shared" si="358"/>
        <v>0</v>
      </c>
      <c r="G1094" s="36">
        <f t="shared" si="359"/>
        <v>0</v>
      </c>
      <c r="H1094" s="36">
        <f t="shared" si="360"/>
        <v>0</v>
      </c>
      <c r="I1094" s="36">
        <f t="shared" si="361"/>
        <v>0</v>
      </c>
      <c r="J1094" s="36">
        <f t="shared" si="362"/>
        <v>0</v>
      </c>
      <c r="K1094" s="36">
        <f t="shared" si="363"/>
        <v>0</v>
      </c>
      <c r="L1094" s="36">
        <f t="shared" si="364"/>
        <v>0</v>
      </c>
      <c r="M1094" s="36">
        <f t="shared" si="365"/>
        <v>0</v>
      </c>
      <c r="N1094" s="36">
        <f t="shared" si="366"/>
        <v>0</v>
      </c>
      <c r="O1094" s="36">
        <f t="shared" si="367"/>
        <v>0</v>
      </c>
      <c r="P1094" s="36">
        <f t="shared" si="368"/>
        <v>0</v>
      </c>
      <c r="Q1094" s="36">
        <f t="shared" si="369"/>
        <v>0</v>
      </c>
      <c r="R1094" s="36">
        <f t="shared" si="370"/>
        <v>0</v>
      </c>
      <c r="S1094" s="36">
        <f t="shared" si="371"/>
        <v>0</v>
      </c>
      <c r="T1094" s="36">
        <f t="shared" si="372"/>
        <v>0</v>
      </c>
      <c r="U1094" s="36">
        <f t="shared" si="373"/>
        <v>0</v>
      </c>
      <c r="V1094" s="36">
        <f t="shared" si="374"/>
        <v>0</v>
      </c>
      <c r="W1094" s="36">
        <f t="shared" si="375"/>
        <v>0</v>
      </c>
      <c r="X1094" s="36">
        <f t="shared" si="376"/>
        <v>0</v>
      </c>
      <c r="Y1094" s="36">
        <f t="shared" si="377"/>
        <v>0</v>
      </c>
      <c r="Z1094" s="36">
        <f t="shared" si="378"/>
        <v>0</v>
      </c>
      <c r="AB1094" s="36" t="str">
        <f>IF(最佳化斷筋點!C1094="","",最佳化斷筋點!C1094)</f>
        <v/>
      </c>
      <c r="AC1094" s="37" t="str">
        <f>IF(最佳化斷筋點!D1094="","",最佳化斷筋點!D1094)</f>
        <v/>
      </c>
      <c r="AD1094" s="37" t="str">
        <f>IF(最佳化斷筋點!E1094="","",最佳化斷筋點!E1094)</f>
        <v/>
      </c>
      <c r="AE1094" s="37" t="str">
        <f>IF(最佳化斷筋點!F1094="","",最佳化斷筋點!F1094)</f>
        <v/>
      </c>
      <c r="AF1094" s="37" t="str">
        <f>IF(最佳化斷筋點!G1094="","",最佳化斷筋點!G1094)</f>
        <v/>
      </c>
      <c r="AG1094" s="37" t="str">
        <f>IF(最佳化斷筋點!H1094="","",最佳化斷筋點!H1094)</f>
        <v/>
      </c>
      <c r="AH1094" s="37" t="str">
        <f>IF(最佳化斷筋點!I1094="","",最佳化斷筋點!I1094)</f>
        <v/>
      </c>
      <c r="AI1094" s="37" t="str">
        <f>IF(最佳化斷筋點!J1094="","",最佳化斷筋點!J1094)</f>
        <v/>
      </c>
      <c r="AJ1094" s="37" t="str">
        <f>IF(最佳化斷筋點!K1094="","",最佳化斷筋點!K1094)</f>
        <v/>
      </c>
      <c r="AK1094" s="37" t="str">
        <f>IF(最佳化斷筋點!L1094="","",最佳化斷筋點!L1094)</f>
        <v/>
      </c>
      <c r="AL1094" s="37" t="str">
        <f>IF(最佳化斷筋點!M1094="","",最佳化斷筋點!M1094)</f>
        <v/>
      </c>
      <c r="AM1094" s="37" t="str">
        <f>IF(最佳化斷筋點!N1094="","",最佳化斷筋點!N1094)</f>
        <v/>
      </c>
      <c r="AN1094" s="37" t="str">
        <f>IF(最佳化斷筋點!O1094="","",最佳化斷筋點!O1094)</f>
        <v/>
      </c>
      <c r="AO1094" s="37" t="str">
        <f>IF(最佳化斷筋點!P1094="","",最佳化斷筋點!P1094)</f>
        <v/>
      </c>
      <c r="AP1094" s="37" t="str">
        <f>IF(最佳化斷筋點!Q1094="","",最佳化斷筋點!Q1094)</f>
        <v/>
      </c>
      <c r="AQ1094" s="37" t="str">
        <f>IF(最佳化斷筋點!R1094="","",最佳化斷筋點!R1094)</f>
        <v/>
      </c>
      <c r="AR1094" s="37" t="str">
        <f>IF(最佳化斷筋點!S1094="","",最佳化斷筋點!S1094)</f>
        <v/>
      </c>
      <c r="AS1094" s="37" t="str">
        <f>IF(最佳化斷筋點!T1094="","",最佳化斷筋點!T1094)</f>
        <v/>
      </c>
      <c r="AT1094" s="37" t="str">
        <f>IF(最佳化斷筋點!U1094="","",最佳化斷筋點!U1094)</f>
        <v/>
      </c>
      <c r="AU1094" s="37" t="str">
        <f>IF(最佳化斷筋點!V1094="","",最佳化斷筋點!V1094)</f>
        <v/>
      </c>
      <c r="AV1094" s="37" t="str">
        <f>IF(最佳化斷筋點!W1094="","",最佳化斷筋點!W1094)</f>
        <v/>
      </c>
      <c r="AW1094" s="37" t="str">
        <f>IF(最佳化斷筋點!X1094="","",最佳化斷筋點!X1094)</f>
        <v/>
      </c>
      <c r="AZ1094" s="37" t="s">
        <v>197</v>
      </c>
      <c r="BA1094" s="37" t="s">
        <v>197</v>
      </c>
      <c r="BB1094" s="37" t="s">
        <v>197</v>
      </c>
      <c r="BC1094" s="37" t="s">
        <v>197</v>
      </c>
      <c r="BD1094" s="37" t="s">
        <v>197</v>
      </c>
      <c r="BE1094" s="37" t="s">
        <v>197</v>
      </c>
      <c r="BF1094" s="37" t="s">
        <v>197</v>
      </c>
      <c r="BG1094" s="37" t="s">
        <v>197</v>
      </c>
      <c r="BH1094" s="37" t="s">
        <v>197</v>
      </c>
      <c r="BI1094" s="37" t="s">
        <v>197</v>
      </c>
      <c r="BJ1094" s="37" t="s">
        <v>197</v>
      </c>
      <c r="BK1094" s="37" t="s">
        <v>197</v>
      </c>
      <c r="BL1094" s="37" t="s">
        <v>197</v>
      </c>
      <c r="BM1094" s="37" t="s">
        <v>197</v>
      </c>
      <c r="BN1094" s="37" t="s">
        <v>197</v>
      </c>
      <c r="BO1094" s="37" t="s">
        <v>197</v>
      </c>
      <c r="BP1094" s="37" t="s">
        <v>197</v>
      </c>
      <c r="BQ1094" s="37" t="s">
        <v>197</v>
      </c>
      <c r="BR1094" s="37" t="s">
        <v>197</v>
      </c>
      <c r="BS1094" s="37" t="s">
        <v>197</v>
      </c>
      <c r="BT1094" s="37" t="s">
        <v>197</v>
      </c>
    </row>
    <row r="1095" spans="5:72" x14ac:dyDescent="0.25">
      <c r="E1095" s="36" t="s">
        <v>20</v>
      </c>
      <c r="F1095" s="36">
        <f t="shared" si="358"/>
        <v>0</v>
      </c>
      <c r="G1095" s="36">
        <f t="shared" si="359"/>
        <v>0</v>
      </c>
      <c r="H1095" s="36">
        <f t="shared" si="360"/>
        <v>0</v>
      </c>
      <c r="I1095" s="36">
        <f t="shared" si="361"/>
        <v>0</v>
      </c>
      <c r="J1095" s="36">
        <f t="shared" si="362"/>
        <v>0</v>
      </c>
      <c r="K1095" s="36">
        <f t="shared" si="363"/>
        <v>0</v>
      </c>
      <c r="L1095" s="36">
        <f t="shared" si="364"/>
        <v>0</v>
      </c>
      <c r="M1095" s="36">
        <f t="shared" si="365"/>
        <v>0</v>
      </c>
      <c r="N1095" s="36">
        <f t="shared" si="366"/>
        <v>0</v>
      </c>
      <c r="O1095" s="36">
        <f t="shared" si="367"/>
        <v>0</v>
      </c>
      <c r="P1095" s="36">
        <f t="shared" si="368"/>
        <v>0</v>
      </c>
      <c r="Q1095" s="36">
        <f t="shared" si="369"/>
        <v>0</v>
      </c>
      <c r="R1095" s="36">
        <f t="shared" si="370"/>
        <v>0</v>
      </c>
      <c r="S1095" s="36">
        <f t="shared" si="371"/>
        <v>0</v>
      </c>
      <c r="T1095" s="36">
        <f t="shared" si="372"/>
        <v>0</v>
      </c>
      <c r="U1095" s="36">
        <f t="shared" si="373"/>
        <v>0</v>
      </c>
      <c r="V1095" s="36">
        <f t="shared" si="374"/>
        <v>0</v>
      </c>
      <c r="W1095" s="36">
        <f t="shared" si="375"/>
        <v>0</v>
      </c>
      <c r="X1095" s="36">
        <f t="shared" si="376"/>
        <v>0</v>
      </c>
      <c r="Y1095" s="36">
        <f t="shared" si="377"/>
        <v>0</v>
      </c>
      <c r="Z1095" s="36">
        <f t="shared" si="378"/>
        <v>0</v>
      </c>
      <c r="AB1095" s="36" t="str">
        <f>IF(最佳化斷筋點!C1095="","",最佳化斷筋點!C1095)</f>
        <v>上層</v>
      </c>
      <c r="AC1095" s="37">
        <f>IF(最佳化斷筋點!D1095="","",最佳化斷筋點!D1095)</f>
        <v>2</v>
      </c>
      <c r="AD1095" s="37">
        <f>IF(最佳化斷筋點!E1095="","",最佳化斷筋點!E1095)</f>
        <v>2</v>
      </c>
      <c r="AE1095" s="37">
        <f>IF(最佳化斷筋點!F1095="","",最佳化斷筋點!F1095)</f>
        <v>2</v>
      </c>
      <c r="AF1095" s="37">
        <f>IF(最佳化斷筋點!G1095="","",最佳化斷筋點!G1095)</f>
        <v>2</v>
      </c>
      <c r="AG1095" s="37">
        <f>IF(最佳化斷筋點!H1095="","",最佳化斷筋點!H1095)</f>
        <v>2</v>
      </c>
      <c r="AH1095" s="37">
        <f>IF(最佳化斷筋點!I1095="","",最佳化斷筋點!I1095)</f>
        <v>2</v>
      </c>
      <c r="AI1095" s="37">
        <f>IF(最佳化斷筋點!J1095="","",最佳化斷筋點!J1095)</f>
        <v>2</v>
      </c>
      <c r="AJ1095" s="37">
        <f>IF(最佳化斷筋點!K1095="","",最佳化斷筋點!K1095)</f>
        <v>2</v>
      </c>
      <c r="AK1095" s="37">
        <f>IF(最佳化斷筋點!L1095="","",最佳化斷筋點!L1095)</f>
        <v>2</v>
      </c>
      <c r="AL1095" s="37">
        <f>IF(最佳化斷筋點!M1095="","",最佳化斷筋點!M1095)</f>
        <v>2</v>
      </c>
      <c r="AM1095" s="37">
        <f>IF(最佳化斷筋點!N1095="","",最佳化斷筋點!N1095)</f>
        <v>2</v>
      </c>
      <c r="AN1095" s="37">
        <f>IF(最佳化斷筋點!O1095="","",最佳化斷筋點!O1095)</f>
        <v>2</v>
      </c>
      <c r="AO1095" s="37">
        <f>IF(最佳化斷筋點!P1095="","",最佳化斷筋點!P1095)</f>
        <v>2</v>
      </c>
      <c r="AP1095" s="37">
        <f>IF(最佳化斷筋點!Q1095="","",最佳化斷筋點!Q1095)</f>
        <v>2</v>
      </c>
      <c r="AQ1095" s="37">
        <f>IF(最佳化斷筋點!R1095="","",最佳化斷筋點!R1095)</f>
        <v>2</v>
      </c>
      <c r="AR1095" s="37">
        <f>IF(最佳化斷筋點!S1095="","",最佳化斷筋點!S1095)</f>
        <v>2</v>
      </c>
      <c r="AS1095" s="37">
        <f>IF(最佳化斷筋點!T1095="","",最佳化斷筋點!T1095)</f>
        <v>2</v>
      </c>
      <c r="AT1095" s="37">
        <f>IF(最佳化斷筋點!U1095="","",最佳化斷筋點!U1095)</f>
        <v>2</v>
      </c>
      <c r="AU1095" s="37">
        <f>IF(最佳化斷筋點!V1095="","",最佳化斷筋點!V1095)</f>
        <v>2</v>
      </c>
      <c r="AV1095" s="37">
        <f>IF(最佳化斷筋點!W1095="","",最佳化斷筋點!W1095)</f>
        <v>2</v>
      </c>
      <c r="AW1095" s="37">
        <f>IF(最佳化斷筋點!X1095="","",最佳化斷筋點!X1095)</f>
        <v>2</v>
      </c>
      <c r="AZ1095" s="37">
        <v>2</v>
      </c>
      <c r="BA1095" s="37">
        <v>2</v>
      </c>
      <c r="BB1095" s="37">
        <v>2</v>
      </c>
      <c r="BC1095" s="37">
        <v>2</v>
      </c>
      <c r="BD1095" s="37">
        <v>2</v>
      </c>
      <c r="BE1095" s="37">
        <v>2</v>
      </c>
      <c r="BF1095" s="37">
        <v>2</v>
      </c>
      <c r="BG1095" s="37">
        <v>2</v>
      </c>
      <c r="BH1095" s="37">
        <v>2</v>
      </c>
      <c r="BI1095" s="37">
        <v>2</v>
      </c>
      <c r="BJ1095" s="37">
        <v>2</v>
      </c>
      <c r="BK1095" s="37">
        <v>2</v>
      </c>
      <c r="BL1095" s="37">
        <v>2</v>
      </c>
      <c r="BM1095" s="37">
        <v>2</v>
      </c>
      <c r="BN1095" s="37">
        <v>2</v>
      </c>
      <c r="BO1095" s="37">
        <v>2</v>
      </c>
      <c r="BP1095" s="37">
        <v>2</v>
      </c>
      <c r="BQ1095" s="37">
        <v>2</v>
      </c>
      <c r="BR1095" s="37">
        <v>2</v>
      </c>
      <c r="BS1095" s="37">
        <v>2</v>
      </c>
      <c r="BT1095" s="37">
        <v>2</v>
      </c>
    </row>
    <row r="1096" spans="5:72" x14ac:dyDescent="0.25">
      <c r="E1096" s="36"/>
      <c r="F1096" s="36">
        <f t="shared" si="358"/>
        <v>0</v>
      </c>
      <c r="G1096" s="36">
        <f t="shared" si="359"/>
        <v>0</v>
      </c>
      <c r="H1096" s="36">
        <f t="shared" si="360"/>
        <v>0</v>
      </c>
      <c r="I1096" s="36">
        <f t="shared" si="361"/>
        <v>0</v>
      </c>
      <c r="J1096" s="36">
        <f t="shared" si="362"/>
        <v>0</v>
      </c>
      <c r="K1096" s="36">
        <f t="shared" si="363"/>
        <v>0</v>
      </c>
      <c r="L1096" s="36">
        <f t="shared" si="364"/>
        <v>0</v>
      </c>
      <c r="M1096" s="36">
        <f t="shared" si="365"/>
        <v>0</v>
      </c>
      <c r="N1096" s="36">
        <f t="shared" si="366"/>
        <v>0</v>
      </c>
      <c r="O1096" s="36">
        <f t="shared" si="367"/>
        <v>0</v>
      </c>
      <c r="P1096" s="36">
        <f t="shared" si="368"/>
        <v>0</v>
      </c>
      <c r="Q1096" s="36">
        <f t="shared" si="369"/>
        <v>0</v>
      </c>
      <c r="R1096" s="36">
        <f t="shared" si="370"/>
        <v>0</v>
      </c>
      <c r="S1096" s="36">
        <f t="shared" si="371"/>
        <v>0</v>
      </c>
      <c r="T1096" s="36">
        <f t="shared" si="372"/>
        <v>0</v>
      </c>
      <c r="U1096" s="36">
        <f t="shared" si="373"/>
        <v>0</v>
      </c>
      <c r="V1096" s="36">
        <f t="shared" si="374"/>
        <v>0</v>
      </c>
      <c r="W1096" s="36">
        <f t="shared" si="375"/>
        <v>0</v>
      </c>
      <c r="X1096" s="36">
        <f t="shared" si="376"/>
        <v>0</v>
      </c>
      <c r="Y1096" s="36">
        <f t="shared" si="377"/>
        <v>0</v>
      </c>
      <c r="Z1096" s="36">
        <f t="shared" si="378"/>
        <v>0</v>
      </c>
      <c r="AB1096" s="36" t="str">
        <f>IF(最佳化斷筋點!C1096="","",最佳化斷筋點!C1096)</f>
        <v/>
      </c>
      <c r="AC1096" s="37" t="str">
        <f>IF(最佳化斷筋點!D1096="","",最佳化斷筋點!D1096)</f>
        <v/>
      </c>
      <c r="AD1096" s="37" t="str">
        <f>IF(最佳化斷筋點!E1096="","",最佳化斷筋點!E1096)</f>
        <v/>
      </c>
      <c r="AE1096" s="37" t="str">
        <f>IF(最佳化斷筋點!F1096="","",最佳化斷筋點!F1096)</f>
        <v/>
      </c>
      <c r="AF1096" s="37" t="str">
        <f>IF(最佳化斷筋點!G1096="","",最佳化斷筋點!G1096)</f>
        <v/>
      </c>
      <c r="AG1096" s="37" t="str">
        <f>IF(最佳化斷筋點!H1096="","",最佳化斷筋點!H1096)</f>
        <v/>
      </c>
      <c r="AH1096" s="37" t="str">
        <f>IF(最佳化斷筋點!I1096="","",最佳化斷筋點!I1096)</f>
        <v/>
      </c>
      <c r="AI1096" s="37" t="str">
        <f>IF(最佳化斷筋點!J1096="","",最佳化斷筋點!J1096)</f>
        <v/>
      </c>
      <c r="AJ1096" s="37" t="str">
        <f>IF(最佳化斷筋點!K1096="","",最佳化斷筋點!K1096)</f>
        <v/>
      </c>
      <c r="AK1096" s="37" t="str">
        <f>IF(最佳化斷筋點!L1096="","",最佳化斷筋點!L1096)</f>
        <v/>
      </c>
      <c r="AL1096" s="37" t="str">
        <f>IF(最佳化斷筋點!M1096="","",最佳化斷筋點!M1096)</f>
        <v/>
      </c>
      <c r="AM1096" s="37" t="str">
        <f>IF(最佳化斷筋點!N1096="","",最佳化斷筋點!N1096)</f>
        <v/>
      </c>
      <c r="AN1096" s="37" t="str">
        <f>IF(最佳化斷筋點!O1096="","",最佳化斷筋點!O1096)</f>
        <v/>
      </c>
      <c r="AO1096" s="37" t="str">
        <f>IF(最佳化斷筋點!P1096="","",最佳化斷筋點!P1096)</f>
        <v/>
      </c>
      <c r="AP1096" s="37" t="str">
        <f>IF(最佳化斷筋點!Q1096="","",最佳化斷筋點!Q1096)</f>
        <v/>
      </c>
      <c r="AQ1096" s="37" t="str">
        <f>IF(最佳化斷筋點!R1096="","",最佳化斷筋點!R1096)</f>
        <v/>
      </c>
      <c r="AR1096" s="37" t="str">
        <f>IF(最佳化斷筋點!S1096="","",最佳化斷筋點!S1096)</f>
        <v/>
      </c>
      <c r="AS1096" s="37" t="str">
        <f>IF(最佳化斷筋點!T1096="","",最佳化斷筋點!T1096)</f>
        <v/>
      </c>
      <c r="AT1096" s="37" t="str">
        <f>IF(最佳化斷筋點!U1096="","",最佳化斷筋點!U1096)</f>
        <v/>
      </c>
      <c r="AU1096" s="37" t="str">
        <f>IF(最佳化斷筋點!V1096="","",最佳化斷筋點!V1096)</f>
        <v/>
      </c>
      <c r="AV1096" s="37" t="str">
        <f>IF(最佳化斷筋點!W1096="","",最佳化斷筋點!W1096)</f>
        <v/>
      </c>
      <c r="AW1096" s="37" t="str">
        <f>IF(最佳化斷筋點!X1096="","",最佳化斷筋點!X1096)</f>
        <v/>
      </c>
      <c r="AZ1096" s="37" t="s">
        <v>197</v>
      </c>
      <c r="BA1096" s="37" t="s">
        <v>197</v>
      </c>
      <c r="BB1096" s="37" t="s">
        <v>197</v>
      </c>
      <c r="BC1096" s="37" t="s">
        <v>197</v>
      </c>
      <c r="BD1096" s="37" t="s">
        <v>197</v>
      </c>
      <c r="BE1096" s="37" t="s">
        <v>197</v>
      </c>
      <c r="BF1096" s="37" t="s">
        <v>197</v>
      </c>
      <c r="BG1096" s="37" t="s">
        <v>197</v>
      </c>
      <c r="BH1096" s="37" t="s">
        <v>197</v>
      </c>
      <c r="BI1096" s="37" t="s">
        <v>197</v>
      </c>
      <c r="BJ1096" s="37" t="s">
        <v>197</v>
      </c>
      <c r="BK1096" s="37" t="s">
        <v>197</v>
      </c>
      <c r="BL1096" s="37" t="s">
        <v>197</v>
      </c>
      <c r="BM1096" s="37" t="s">
        <v>197</v>
      </c>
      <c r="BN1096" s="37" t="s">
        <v>197</v>
      </c>
      <c r="BO1096" s="37" t="s">
        <v>197</v>
      </c>
      <c r="BP1096" s="37" t="s">
        <v>197</v>
      </c>
      <c r="BQ1096" s="37" t="s">
        <v>197</v>
      </c>
      <c r="BR1096" s="37" t="s">
        <v>197</v>
      </c>
      <c r="BS1096" s="37" t="s">
        <v>197</v>
      </c>
      <c r="BT1096" s="37" t="s">
        <v>197</v>
      </c>
    </row>
    <row r="1097" spans="5:72" x14ac:dyDescent="0.25">
      <c r="E1097" s="36" t="s">
        <v>21</v>
      </c>
      <c r="F1097" s="36">
        <f t="shared" si="358"/>
        <v>0</v>
      </c>
      <c r="G1097" s="36">
        <f t="shared" si="359"/>
        <v>0</v>
      </c>
      <c r="H1097" s="36">
        <f t="shared" si="360"/>
        <v>0</v>
      </c>
      <c r="I1097" s="36">
        <f t="shared" si="361"/>
        <v>0</v>
      </c>
      <c r="J1097" s="36">
        <f t="shared" si="362"/>
        <v>0</v>
      </c>
      <c r="K1097" s="36">
        <f t="shared" si="363"/>
        <v>0</v>
      </c>
      <c r="L1097" s="36">
        <f t="shared" si="364"/>
        <v>0</v>
      </c>
      <c r="M1097" s="36">
        <f t="shared" si="365"/>
        <v>0</v>
      </c>
      <c r="N1097" s="36">
        <f t="shared" si="366"/>
        <v>0</v>
      </c>
      <c r="O1097" s="36">
        <f t="shared" si="367"/>
        <v>0</v>
      </c>
      <c r="P1097" s="36">
        <f t="shared" si="368"/>
        <v>0</v>
      </c>
      <c r="Q1097" s="36">
        <f t="shared" si="369"/>
        <v>0</v>
      </c>
      <c r="R1097" s="36">
        <f t="shared" si="370"/>
        <v>0</v>
      </c>
      <c r="S1097" s="36">
        <f t="shared" si="371"/>
        <v>0</v>
      </c>
      <c r="T1097" s="36">
        <f t="shared" si="372"/>
        <v>0</v>
      </c>
      <c r="U1097" s="36">
        <f t="shared" si="373"/>
        <v>0</v>
      </c>
      <c r="V1097" s="36">
        <f t="shared" si="374"/>
        <v>0</v>
      </c>
      <c r="W1097" s="36">
        <f t="shared" si="375"/>
        <v>0</v>
      </c>
      <c r="X1097" s="36">
        <f t="shared" si="376"/>
        <v>0</v>
      </c>
      <c r="Y1097" s="36">
        <f t="shared" si="377"/>
        <v>0</v>
      </c>
      <c r="Z1097" s="36">
        <f t="shared" si="378"/>
        <v>0</v>
      </c>
      <c r="AB1097" s="36" t="str">
        <f>IF(最佳化斷筋點!C1097="","",最佳化斷筋點!C1097)</f>
        <v>下層</v>
      </c>
      <c r="AC1097" s="37">
        <f>IF(最佳化斷筋點!D1097="","",最佳化斷筋點!D1097)</f>
        <v>4</v>
      </c>
      <c r="AD1097" s="37">
        <f>IF(最佳化斷筋點!E1097="","",最佳化斷筋點!E1097)</f>
        <v>4</v>
      </c>
      <c r="AE1097" s="37">
        <f>IF(最佳化斷筋點!F1097="","",最佳化斷筋點!F1097)</f>
        <v>4</v>
      </c>
      <c r="AF1097" s="37">
        <f>IF(最佳化斷筋點!G1097="","",最佳化斷筋點!G1097)</f>
        <v>4</v>
      </c>
      <c r="AG1097" s="37">
        <f>IF(最佳化斷筋點!H1097="","",最佳化斷筋點!H1097)</f>
        <v>4</v>
      </c>
      <c r="AH1097" s="37">
        <f>IF(最佳化斷筋點!I1097="","",最佳化斷筋點!I1097)</f>
        <v>4</v>
      </c>
      <c r="AI1097" s="37">
        <f>IF(最佳化斷筋點!J1097="","",最佳化斷筋點!J1097)</f>
        <v>4</v>
      </c>
      <c r="AJ1097" s="37">
        <f>IF(最佳化斷筋點!K1097="","",最佳化斷筋點!K1097)</f>
        <v>4</v>
      </c>
      <c r="AK1097" s="37">
        <f>IF(最佳化斷筋點!L1097="","",最佳化斷筋點!L1097)</f>
        <v>4</v>
      </c>
      <c r="AL1097" s="37">
        <f>IF(最佳化斷筋點!M1097="","",最佳化斷筋點!M1097)</f>
        <v>4</v>
      </c>
      <c r="AM1097" s="37">
        <f>IF(最佳化斷筋點!N1097="","",最佳化斷筋點!N1097)</f>
        <v>4</v>
      </c>
      <c r="AN1097" s="37">
        <f>IF(最佳化斷筋點!O1097="","",最佳化斷筋點!O1097)</f>
        <v>4</v>
      </c>
      <c r="AO1097" s="37">
        <f>IF(最佳化斷筋點!P1097="","",最佳化斷筋點!P1097)</f>
        <v>4</v>
      </c>
      <c r="AP1097" s="37">
        <f>IF(最佳化斷筋點!Q1097="","",最佳化斷筋點!Q1097)</f>
        <v>4</v>
      </c>
      <c r="AQ1097" s="37">
        <f>IF(最佳化斷筋點!R1097="","",最佳化斷筋點!R1097)</f>
        <v>4</v>
      </c>
      <c r="AR1097" s="37">
        <f>IF(最佳化斷筋點!S1097="","",最佳化斷筋點!S1097)</f>
        <v>4</v>
      </c>
      <c r="AS1097" s="37">
        <f>IF(最佳化斷筋點!T1097="","",最佳化斷筋點!T1097)</f>
        <v>4</v>
      </c>
      <c r="AT1097" s="37">
        <f>IF(最佳化斷筋點!U1097="","",最佳化斷筋點!U1097)</f>
        <v>4</v>
      </c>
      <c r="AU1097" s="37">
        <f>IF(最佳化斷筋點!V1097="","",最佳化斷筋點!V1097)</f>
        <v>4</v>
      </c>
      <c r="AV1097" s="37">
        <f>IF(最佳化斷筋點!W1097="","",最佳化斷筋點!W1097)</f>
        <v>4</v>
      </c>
      <c r="AW1097" s="37">
        <f>IF(最佳化斷筋點!X1097="","",最佳化斷筋點!X1097)</f>
        <v>4</v>
      </c>
      <c r="AZ1097" s="37">
        <v>4</v>
      </c>
      <c r="BA1097" s="37">
        <v>4</v>
      </c>
      <c r="BB1097" s="37">
        <v>4</v>
      </c>
      <c r="BC1097" s="37">
        <v>4</v>
      </c>
      <c r="BD1097" s="37">
        <v>4</v>
      </c>
      <c r="BE1097" s="37">
        <v>4</v>
      </c>
      <c r="BF1097" s="37">
        <v>4</v>
      </c>
      <c r="BG1097" s="37">
        <v>4</v>
      </c>
      <c r="BH1097" s="37">
        <v>4</v>
      </c>
      <c r="BI1097" s="37">
        <v>4</v>
      </c>
      <c r="BJ1097" s="37">
        <v>4</v>
      </c>
      <c r="BK1097" s="37">
        <v>4</v>
      </c>
      <c r="BL1097" s="37">
        <v>4</v>
      </c>
      <c r="BM1097" s="37">
        <v>4</v>
      </c>
      <c r="BN1097" s="37">
        <v>4</v>
      </c>
      <c r="BO1097" s="37">
        <v>4</v>
      </c>
      <c r="BP1097" s="37">
        <v>4</v>
      </c>
      <c r="BQ1097" s="37">
        <v>4</v>
      </c>
      <c r="BR1097" s="37">
        <v>4</v>
      </c>
      <c r="BS1097" s="37">
        <v>4</v>
      </c>
      <c r="BT1097" s="37">
        <v>4</v>
      </c>
    </row>
    <row r="1098" spans="5:72" x14ac:dyDescent="0.25">
      <c r="E1098" s="36"/>
      <c r="F1098" s="36">
        <f t="shared" si="358"/>
        <v>0</v>
      </c>
      <c r="G1098" s="36">
        <f t="shared" si="359"/>
        <v>0</v>
      </c>
      <c r="H1098" s="36">
        <f t="shared" si="360"/>
        <v>0</v>
      </c>
      <c r="I1098" s="36">
        <f t="shared" si="361"/>
        <v>0</v>
      </c>
      <c r="J1098" s="36">
        <f t="shared" si="362"/>
        <v>0</v>
      </c>
      <c r="K1098" s="36">
        <f t="shared" si="363"/>
        <v>0</v>
      </c>
      <c r="L1098" s="36">
        <f t="shared" si="364"/>
        <v>0</v>
      </c>
      <c r="M1098" s="36">
        <f t="shared" si="365"/>
        <v>0</v>
      </c>
      <c r="N1098" s="36">
        <f t="shared" si="366"/>
        <v>0</v>
      </c>
      <c r="O1098" s="36">
        <f t="shared" si="367"/>
        <v>0</v>
      </c>
      <c r="P1098" s="36">
        <f t="shared" si="368"/>
        <v>0</v>
      </c>
      <c r="Q1098" s="36">
        <f t="shared" si="369"/>
        <v>0</v>
      </c>
      <c r="R1098" s="36">
        <f t="shared" si="370"/>
        <v>0</v>
      </c>
      <c r="S1098" s="36">
        <f t="shared" si="371"/>
        <v>0</v>
      </c>
      <c r="T1098" s="36">
        <f t="shared" si="372"/>
        <v>0</v>
      </c>
      <c r="U1098" s="36">
        <f t="shared" si="373"/>
        <v>0</v>
      </c>
      <c r="V1098" s="36">
        <f t="shared" si="374"/>
        <v>0</v>
      </c>
      <c r="W1098" s="36">
        <f t="shared" si="375"/>
        <v>0</v>
      </c>
      <c r="X1098" s="36">
        <f t="shared" si="376"/>
        <v>0</v>
      </c>
      <c r="Y1098" s="36">
        <f t="shared" si="377"/>
        <v>0</v>
      </c>
      <c r="Z1098" s="36">
        <f t="shared" si="378"/>
        <v>0</v>
      </c>
      <c r="AB1098" s="36" t="str">
        <f>IF(最佳化斷筋點!C1098="","",最佳化斷筋點!C1098)</f>
        <v/>
      </c>
      <c r="AC1098" s="37" t="str">
        <f>IF(最佳化斷筋點!D1098="","",最佳化斷筋點!D1098)</f>
        <v/>
      </c>
      <c r="AD1098" s="37" t="str">
        <f>IF(最佳化斷筋點!E1098="","",最佳化斷筋點!E1098)</f>
        <v/>
      </c>
      <c r="AE1098" s="37" t="str">
        <f>IF(最佳化斷筋點!F1098="","",最佳化斷筋點!F1098)</f>
        <v/>
      </c>
      <c r="AF1098" s="37" t="str">
        <f>IF(最佳化斷筋點!G1098="","",最佳化斷筋點!G1098)</f>
        <v/>
      </c>
      <c r="AG1098" s="37" t="str">
        <f>IF(最佳化斷筋點!H1098="","",最佳化斷筋點!H1098)</f>
        <v/>
      </c>
      <c r="AH1098" s="37" t="str">
        <f>IF(最佳化斷筋點!I1098="","",最佳化斷筋點!I1098)</f>
        <v/>
      </c>
      <c r="AI1098" s="37" t="str">
        <f>IF(最佳化斷筋點!J1098="","",最佳化斷筋點!J1098)</f>
        <v/>
      </c>
      <c r="AJ1098" s="37" t="str">
        <f>IF(最佳化斷筋點!K1098="","",最佳化斷筋點!K1098)</f>
        <v/>
      </c>
      <c r="AK1098" s="37" t="str">
        <f>IF(最佳化斷筋點!L1098="","",最佳化斷筋點!L1098)</f>
        <v/>
      </c>
      <c r="AL1098" s="37" t="str">
        <f>IF(最佳化斷筋點!M1098="","",最佳化斷筋點!M1098)</f>
        <v/>
      </c>
      <c r="AM1098" s="37" t="str">
        <f>IF(最佳化斷筋點!N1098="","",最佳化斷筋點!N1098)</f>
        <v/>
      </c>
      <c r="AN1098" s="37" t="str">
        <f>IF(最佳化斷筋點!O1098="","",最佳化斷筋點!O1098)</f>
        <v/>
      </c>
      <c r="AO1098" s="37" t="str">
        <f>IF(最佳化斷筋點!P1098="","",最佳化斷筋點!P1098)</f>
        <v/>
      </c>
      <c r="AP1098" s="37" t="str">
        <f>IF(最佳化斷筋點!Q1098="","",最佳化斷筋點!Q1098)</f>
        <v/>
      </c>
      <c r="AQ1098" s="37" t="str">
        <f>IF(最佳化斷筋點!R1098="","",最佳化斷筋點!R1098)</f>
        <v/>
      </c>
      <c r="AR1098" s="37" t="str">
        <f>IF(最佳化斷筋點!S1098="","",最佳化斷筋點!S1098)</f>
        <v/>
      </c>
      <c r="AS1098" s="37" t="str">
        <f>IF(最佳化斷筋點!T1098="","",最佳化斷筋點!T1098)</f>
        <v/>
      </c>
      <c r="AT1098" s="37" t="str">
        <f>IF(最佳化斷筋點!U1098="","",最佳化斷筋點!U1098)</f>
        <v/>
      </c>
      <c r="AU1098" s="37" t="str">
        <f>IF(最佳化斷筋點!V1098="","",最佳化斷筋點!V1098)</f>
        <v/>
      </c>
      <c r="AV1098" s="37" t="str">
        <f>IF(最佳化斷筋點!W1098="","",最佳化斷筋點!W1098)</f>
        <v/>
      </c>
      <c r="AW1098" s="37" t="str">
        <f>IF(最佳化斷筋點!X1098="","",最佳化斷筋點!X1098)</f>
        <v/>
      </c>
      <c r="AZ1098" s="37" t="s">
        <v>197</v>
      </c>
      <c r="BA1098" s="37" t="s">
        <v>197</v>
      </c>
      <c r="BB1098" s="37" t="s">
        <v>197</v>
      </c>
      <c r="BC1098" s="37" t="s">
        <v>197</v>
      </c>
      <c r="BD1098" s="37" t="s">
        <v>197</v>
      </c>
      <c r="BE1098" s="37" t="s">
        <v>197</v>
      </c>
      <c r="BF1098" s="37" t="s">
        <v>197</v>
      </c>
      <c r="BG1098" s="37" t="s">
        <v>197</v>
      </c>
      <c r="BH1098" s="37" t="s">
        <v>197</v>
      </c>
      <c r="BI1098" s="37" t="s">
        <v>197</v>
      </c>
      <c r="BJ1098" s="37" t="s">
        <v>197</v>
      </c>
      <c r="BK1098" s="37" t="s">
        <v>197</v>
      </c>
      <c r="BL1098" s="37" t="s">
        <v>197</v>
      </c>
      <c r="BM1098" s="37" t="s">
        <v>197</v>
      </c>
      <c r="BN1098" s="37" t="s">
        <v>197</v>
      </c>
      <c r="BO1098" s="37" t="s">
        <v>197</v>
      </c>
      <c r="BP1098" s="37" t="s">
        <v>197</v>
      </c>
      <c r="BQ1098" s="37" t="s">
        <v>197</v>
      </c>
      <c r="BR1098" s="37" t="s">
        <v>197</v>
      </c>
      <c r="BS1098" s="37" t="s">
        <v>197</v>
      </c>
      <c r="BT1098" s="37" t="s">
        <v>197</v>
      </c>
    </row>
    <row r="1099" spans="5:72" x14ac:dyDescent="0.25">
      <c r="E1099" s="36" t="s">
        <v>20</v>
      </c>
      <c r="F1099" s="36">
        <f t="shared" si="358"/>
        <v>0</v>
      </c>
      <c r="G1099" s="36">
        <f t="shared" si="359"/>
        <v>0</v>
      </c>
      <c r="H1099" s="36">
        <f t="shared" si="360"/>
        <v>0</v>
      </c>
      <c r="I1099" s="36">
        <f t="shared" si="361"/>
        <v>0</v>
      </c>
      <c r="J1099" s="36">
        <f t="shared" si="362"/>
        <v>0</v>
      </c>
      <c r="K1099" s="36">
        <f t="shared" si="363"/>
        <v>0</v>
      </c>
      <c r="L1099" s="36">
        <f t="shared" si="364"/>
        <v>0</v>
      </c>
      <c r="M1099" s="36">
        <f t="shared" si="365"/>
        <v>0</v>
      </c>
      <c r="N1099" s="36">
        <f t="shared" si="366"/>
        <v>0</v>
      </c>
      <c r="O1099" s="36">
        <f t="shared" si="367"/>
        <v>0</v>
      </c>
      <c r="P1099" s="36">
        <f t="shared" si="368"/>
        <v>0</v>
      </c>
      <c r="Q1099" s="36">
        <f t="shared" si="369"/>
        <v>0</v>
      </c>
      <c r="R1099" s="36">
        <f t="shared" si="370"/>
        <v>0</v>
      </c>
      <c r="S1099" s="36">
        <f t="shared" si="371"/>
        <v>0</v>
      </c>
      <c r="T1099" s="36">
        <f t="shared" si="372"/>
        <v>0</v>
      </c>
      <c r="U1099" s="36">
        <f t="shared" si="373"/>
        <v>0</v>
      </c>
      <c r="V1099" s="36">
        <f t="shared" si="374"/>
        <v>0</v>
      </c>
      <c r="W1099" s="36">
        <f t="shared" si="375"/>
        <v>0</v>
      </c>
      <c r="X1099" s="36">
        <f t="shared" si="376"/>
        <v>0</v>
      </c>
      <c r="Y1099" s="36">
        <f t="shared" si="377"/>
        <v>0</v>
      </c>
      <c r="Z1099" s="36">
        <f t="shared" si="378"/>
        <v>0</v>
      </c>
      <c r="AB1099" s="36" t="str">
        <f>IF(最佳化斷筋點!C1099="","",最佳化斷筋點!C1099)</f>
        <v>上層</v>
      </c>
      <c r="AC1099" s="37">
        <f>IF(最佳化斷筋點!D1099="","",最佳化斷筋點!D1099)</f>
        <v>5</v>
      </c>
      <c r="AD1099" s="37">
        <f>IF(最佳化斷筋點!E1099="","",最佳化斷筋點!E1099)</f>
        <v>5</v>
      </c>
      <c r="AE1099" s="37">
        <f>IF(最佳化斷筋點!F1099="","",最佳化斷筋點!F1099)</f>
        <v>5</v>
      </c>
      <c r="AF1099" s="37">
        <f>IF(最佳化斷筋點!G1099="","",最佳化斷筋點!G1099)</f>
        <v>5</v>
      </c>
      <c r="AG1099" s="37">
        <f>IF(最佳化斷筋點!H1099="","",最佳化斷筋點!H1099)</f>
        <v>5</v>
      </c>
      <c r="AH1099" s="37">
        <f>IF(最佳化斷筋點!I1099="","",最佳化斷筋點!I1099)</f>
        <v>5</v>
      </c>
      <c r="AI1099" s="37">
        <f>IF(最佳化斷筋點!J1099="","",最佳化斷筋點!J1099)</f>
        <v>5</v>
      </c>
      <c r="AJ1099" s="37">
        <f>IF(最佳化斷筋點!K1099="","",最佳化斷筋點!K1099)</f>
        <v>3</v>
      </c>
      <c r="AK1099" s="37">
        <f>IF(最佳化斷筋點!L1099="","",最佳化斷筋點!L1099)</f>
        <v>3</v>
      </c>
      <c r="AL1099" s="37">
        <f>IF(最佳化斷筋點!M1099="","",最佳化斷筋點!M1099)</f>
        <v>3</v>
      </c>
      <c r="AM1099" s="37">
        <f>IF(最佳化斷筋點!N1099="","",最佳化斷筋點!N1099)</f>
        <v>3</v>
      </c>
      <c r="AN1099" s="37">
        <f>IF(最佳化斷筋點!O1099="","",最佳化斷筋點!O1099)</f>
        <v>3</v>
      </c>
      <c r="AO1099" s="37">
        <f>IF(最佳化斷筋點!P1099="","",最佳化斷筋點!P1099)</f>
        <v>3</v>
      </c>
      <c r="AP1099" s="37">
        <f>IF(最佳化斷筋點!Q1099="","",最佳化斷筋點!Q1099)</f>
        <v>4</v>
      </c>
      <c r="AQ1099" s="37">
        <f>IF(最佳化斷筋點!R1099="","",最佳化斷筋點!R1099)</f>
        <v>4</v>
      </c>
      <c r="AR1099" s="37">
        <f>IF(最佳化斷筋點!S1099="","",最佳化斷筋點!S1099)</f>
        <v>5</v>
      </c>
      <c r="AS1099" s="37">
        <f>IF(最佳化斷筋點!T1099="","",最佳化斷筋點!T1099)</f>
        <v>5</v>
      </c>
      <c r="AT1099" s="37">
        <f>IF(最佳化斷筋點!U1099="","",最佳化斷筋點!U1099)</f>
        <v>5</v>
      </c>
      <c r="AU1099" s="37">
        <f>IF(最佳化斷筋點!V1099="","",最佳化斷筋點!V1099)</f>
        <v>5</v>
      </c>
      <c r="AV1099" s="37">
        <f>IF(最佳化斷筋點!W1099="","",最佳化斷筋點!W1099)</f>
        <v>5</v>
      </c>
      <c r="AW1099" s="37">
        <f>IF(最佳化斷筋點!X1099="","",最佳化斷筋點!X1099)</f>
        <v>5</v>
      </c>
      <c r="AZ1099" s="37">
        <v>5</v>
      </c>
      <c r="BA1099" s="37">
        <v>5</v>
      </c>
      <c r="BB1099" s="37">
        <v>5</v>
      </c>
      <c r="BC1099" s="37">
        <v>5</v>
      </c>
      <c r="BD1099" s="37">
        <v>5</v>
      </c>
      <c r="BE1099" s="37">
        <v>5</v>
      </c>
      <c r="BF1099" s="37">
        <v>5</v>
      </c>
      <c r="BG1099" s="37">
        <v>3</v>
      </c>
      <c r="BH1099" s="37">
        <v>3</v>
      </c>
      <c r="BI1099" s="37">
        <v>3</v>
      </c>
      <c r="BJ1099" s="37">
        <v>3</v>
      </c>
      <c r="BK1099" s="37">
        <v>3</v>
      </c>
      <c r="BL1099" s="37">
        <v>3</v>
      </c>
      <c r="BM1099" s="37">
        <v>4</v>
      </c>
      <c r="BN1099" s="37">
        <v>4</v>
      </c>
      <c r="BO1099" s="37">
        <v>5</v>
      </c>
      <c r="BP1099" s="37">
        <v>5</v>
      </c>
      <c r="BQ1099" s="37">
        <v>5</v>
      </c>
      <c r="BR1099" s="37">
        <v>5</v>
      </c>
      <c r="BS1099" s="37">
        <v>5</v>
      </c>
      <c r="BT1099" s="37">
        <v>5</v>
      </c>
    </row>
    <row r="1100" spans="5:72" x14ac:dyDescent="0.25">
      <c r="E1100" s="36"/>
      <c r="F1100" s="36">
        <f t="shared" si="358"/>
        <v>0</v>
      </c>
      <c r="G1100" s="36">
        <f t="shared" si="359"/>
        <v>0</v>
      </c>
      <c r="H1100" s="36">
        <f t="shared" si="360"/>
        <v>0</v>
      </c>
      <c r="I1100" s="36">
        <f t="shared" si="361"/>
        <v>0</v>
      </c>
      <c r="J1100" s="36">
        <f t="shared" si="362"/>
        <v>0</v>
      </c>
      <c r="K1100" s="36">
        <f t="shared" si="363"/>
        <v>0</v>
      </c>
      <c r="L1100" s="36">
        <f t="shared" si="364"/>
        <v>0</v>
      </c>
      <c r="M1100" s="36">
        <f t="shared" si="365"/>
        <v>0</v>
      </c>
      <c r="N1100" s="36">
        <f t="shared" si="366"/>
        <v>0</v>
      </c>
      <c r="O1100" s="36">
        <f t="shared" si="367"/>
        <v>0</v>
      </c>
      <c r="P1100" s="36">
        <f t="shared" si="368"/>
        <v>0</v>
      </c>
      <c r="Q1100" s="36">
        <f t="shared" si="369"/>
        <v>0</v>
      </c>
      <c r="R1100" s="36">
        <f t="shared" si="370"/>
        <v>0</v>
      </c>
      <c r="S1100" s="36">
        <f t="shared" si="371"/>
        <v>0</v>
      </c>
      <c r="T1100" s="36">
        <f t="shared" si="372"/>
        <v>0</v>
      </c>
      <c r="U1100" s="36">
        <f t="shared" si="373"/>
        <v>0</v>
      </c>
      <c r="V1100" s="36">
        <f t="shared" si="374"/>
        <v>0</v>
      </c>
      <c r="W1100" s="36">
        <f t="shared" si="375"/>
        <v>0</v>
      </c>
      <c r="X1100" s="36">
        <f t="shared" si="376"/>
        <v>0</v>
      </c>
      <c r="Y1100" s="36">
        <f t="shared" si="377"/>
        <v>0</v>
      </c>
      <c r="Z1100" s="36">
        <f t="shared" si="378"/>
        <v>0</v>
      </c>
      <c r="AB1100" s="36" t="str">
        <f>IF(最佳化斷筋點!C1100="","",最佳化斷筋點!C1100)</f>
        <v/>
      </c>
      <c r="AC1100" s="37" t="str">
        <f>IF(最佳化斷筋點!D1100="","",最佳化斷筋點!D1100)</f>
        <v/>
      </c>
      <c r="AD1100" s="37" t="str">
        <f>IF(最佳化斷筋點!E1100="","",最佳化斷筋點!E1100)</f>
        <v/>
      </c>
      <c r="AE1100" s="37" t="str">
        <f>IF(最佳化斷筋點!F1100="","",最佳化斷筋點!F1100)</f>
        <v/>
      </c>
      <c r="AF1100" s="37" t="str">
        <f>IF(最佳化斷筋點!G1100="","",最佳化斷筋點!G1100)</f>
        <v/>
      </c>
      <c r="AG1100" s="37" t="str">
        <f>IF(最佳化斷筋點!H1100="","",最佳化斷筋點!H1100)</f>
        <v/>
      </c>
      <c r="AH1100" s="37" t="str">
        <f>IF(最佳化斷筋點!I1100="","",最佳化斷筋點!I1100)</f>
        <v/>
      </c>
      <c r="AI1100" s="37" t="str">
        <f>IF(最佳化斷筋點!J1100="","",最佳化斷筋點!J1100)</f>
        <v/>
      </c>
      <c r="AJ1100" s="37" t="str">
        <f>IF(最佳化斷筋點!K1100="","",最佳化斷筋點!K1100)</f>
        <v/>
      </c>
      <c r="AK1100" s="37" t="str">
        <f>IF(最佳化斷筋點!L1100="","",最佳化斷筋點!L1100)</f>
        <v/>
      </c>
      <c r="AL1100" s="37" t="str">
        <f>IF(最佳化斷筋點!M1100="","",最佳化斷筋點!M1100)</f>
        <v/>
      </c>
      <c r="AM1100" s="37" t="str">
        <f>IF(最佳化斷筋點!N1100="","",最佳化斷筋點!N1100)</f>
        <v/>
      </c>
      <c r="AN1100" s="37" t="str">
        <f>IF(最佳化斷筋點!O1100="","",最佳化斷筋點!O1100)</f>
        <v/>
      </c>
      <c r="AO1100" s="37" t="str">
        <f>IF(最佳化斷筋點!P1100="","",最佳化斷筋點!P1100)</f>
        <v/>
      </c>
      <c r="AP1100" s="37" t="str">
        <f>IF(最佳化斷筋點!Q1100="","",最佳化斷筋點!Q1100)</f>
        <v/>
      </c>
      <c r="AQ1100" s="37" t="str">
        <f>IF(最佳化斷筋點!R1100="","",最佳化斷筋點!R1100)</f>
        <v/>
      </c>
      <c r="AR1100" s="37" t="str">
        <f>IF(最佳化斷筋點!S1100="","",最佳化斷筋點!S1100)</f>
        <v/>
      </c>
      <c r="AS1100" s="37" t="str">
        <f>IF(最佳化斷筋點!T1100="","",最佳化斷筋點!T1100)</f>
        <v/>
      </c>
      <c r="AT1100" s="37" t="str">
        <f>IF(最佳化斷筋點!U1100="","",最佳化斷筋點!U1100)</f>
        <v/>
      </c>
      <c r="AU1100" s="37" t="str">
        <f>IF(最佳化斷筋點!V1100="","",最佳化斷筋點!V1100)</f>
        <v/>
      </c>
      <c r="AV1100" s="37" t="str">
        <f>IF(最佳化斷筋點!W1100="","",最佳化斷筋點!W1100)</f>
        <v/>
      </c>
      <c r="AW1100" s="37" t="str">
        <f>IF(最佳化斷筋點!X1100="","",最佳化斷筋點!X1100)</f>
        <v/>
      </c>
      <c r="AZ1100" s="37" t="s">
        <v>197</v>
      </c>
      <c r="BA1100" s="37" t="s">
        <v>197</v>
      </c>
      <c r="BB1100" s="37" t="s">
        <v>197</v>
      </c>
      <c r="BC1100" s="37" t="s">
        <v>197</v>
      </c>
      <c r="BD1100" s="37" t="s">
        <v>197</v>
      </c>
      <c r="BE1100" s="37" t="s">
        <v>197</v>
      </c>
      <c r="BF1100" s="37" t="s">
        <v>197</v>
      </c>
      <c r="BG1100" s="37" t="s">
        <v>197</v>
      </c>
      <c r="BH1100" s="37" t="s">
        <v>197</v>
      </c>
      <c r="BI1100" s="37" t="s">
        <v>197</v>
      </c>
      <c r="BJ1100" s="37" t="s">
        <v>197</v>
      </c>
      <c r="BK1100" s="37" t="s">
        <v>197</v>
      </c>
      <c r="BL1100" s="37" t="s">
        <v>197</v>
      </c>
      <c r="BM1100" s="37" t="s">
        <v>197</v>
      </c>
      <c r="BN1100" s="37" t="s">
        <v>197</v>
      </c>
      <c r="BO1100" s="37" t="s">
        <v>197</v>
      </c>
      <c r="BP1100" s="37" t="s">
        <v>197</v>
      </c>
      <c r="BQ1100" s="37" t="s">
        <v>197</v>
      </c>
      <c r="BR1100" s="37" t="s">
        <v>197</v>
      </c>
      <c r="BS1100" s="37" t="s">
        <v>197</v>
      </c>
      <c r="BT1100" s="37" t="s">
        <v>197</v>
      </c>
    </row>
    <row r="1101" spans="5:72" x14ac:dyDescent="0.25">
      <c r="E1101" s="36" t="s">
        <v>21</v>
      </c>
      <c r="F1101" s="36">
        <f t="shared" si="358"/>
        <v>0</v>
      </c>
      <c r="G1101" s="36">
        <f t="shared" si="359"/>
        <v>0</v>
      </c>
      <c r="H1101" s="36">
        <f t="shared" si="360"/>
        <v>0</v>
      </c>
      <c r="I1101" s="36">
        <f t="shared" si="361"/>
        <v>0</v>
      </c>
      <c r="J1101" s="36">
        <f t="shared" si="362"/>
        <v>0</v>
      </c>
      <c r="K1101" s="36">
        <f t="shared" si="363"/>
        <v>0</v>
      </c>
      <c r="L1101" s="36">
        <f t="shared" si="364"/>
        <v>0</v>
      </c>
      <c r="M1101" s="36">
        <f t="shared" si="365"/>
        <v>0</v>
      </c>
      <c r="N1101" s="36">
        <f t="shared" si="366"/>
        <v>0</v>
      </c>
      <c r="O1101" s="36">
        <f t="shared" si="367"/>
        <v>0</v>
      </c>
      <c r="P1101" s="36">
        <f t="shared" si="368"/>
        <v>0</v>
      </c>
      <c r="Q1101" s="36">
        <f t="shared" si="369"/>
        <v>0</v>
      </c>
      <c r="R1101" s="36">
        <f t="shared" si="370"/>
        <v>0</v>
      </c>
      <c r="S1101" s="36">
        <f t="shared" si="371"/>
        <v>0</v>
      </c>
      <c r="T1101" s="36">
        <f t="shared" si="372"/>
        <v>0</v>
      </c>
      <c r="U1101" s="36">
        <f t="shared" si="373"/>
        <v>0</v>
      </c>
      <c r="V1101" s="36">
        <f t="shared" si="374"/>
        <v>0</v>
      </c>
      <c r="W1101" s="36">
        <f t="shared" si="375"/>
        <v>0</v>
      </c>
      <c r="X1101" s="36">
        <f t="shared" si="376"/>
        <v>0</v>
      </c>
      <c r="Y1101" s="36">
        <f t="shared" si="377"/>
        <v>0</v>
      </c>
      <c r="Z1101" s="36">
        <f t="shared" si="378"/>
        <v>0</v>
      </c>
      <c r="AB1101" s="36" t="str">
        <f>IF(最佳化斷筋點!C1101="","",最佳化斷筋點!C1101)</f>
        <v>下層</v>
      </c>
      <c r="AC1101" s="37">
        <f>IF(最佳化斷筋點!D1101="","",最佳化斷筋點!D1101)</f>
        <v>6</v>
      </c>
      <c r="AD1101" s="37">
        <f>IF(最佳化斷筋點!E1101="","",最佳化斷筋點!E1101)</f>
        <v>6</v>
      </c>
      <c r="AE1101" s="37">
        <f>IF(最佳化斷筋點!F1101="","",最佳化斷筋點!F1101)</f>
        <v>6</v>
      </c>
      <c r="AF1101" s="37">
        <f>IF(最佳化斷筋點!G1101="","",最佳化斷筋點!G1101)</f>
        <v>6</v>
      </c>
      <c r="AG1101" s="37">
        <f>IF(最佳化斷筋點!H1101="","",最佳化斷筋點!H1101)</f>
        <v>5</v>
      </c>
      <c r="AH1101" s="37">
        <f>IF(最佳化斷筋點!I1101="","",最佳化斷筋點!I1101)</f>
        <v>5</v>
      </c>
      <c r="AI1101" s="37">
        <f>IF(最佳化斷筋點!J1101="","",最佳化斷筋點!J1101)</f>
        <v>4</v>
      </c>
      <c r="AJ1101" s="37">
        <f>IF(最佳化斷筋點!K1101="","",最佳化斷筋點!K1101)</f>
        <v>4</v>
      </c>
      <c r="AK1101" s="37">
        <f>IF(最佳化斷筋點!L1101="","",最佳化斷筋點!L1101)</f>
        <v>4</v>
      </c>
      <c r="AL1101" s="37">
        <f>IF(最佳化斷筋點!M1101="","",最佳化斷筋點!M1101)</f>
        <v>4</v>
      </c>
      <c r="AM1101" s="37">
        <f>IF(最佳化斷筋點!N1101="","",最佳化斷筋點!N1101)</f>
        <v>4</v>
      </c>
      <c r="AN1101" s="37">
        <f>IF(最佳化斷筋點!O1101="","",最佳化斷筋點!O1101)</f>
        <v>4</v>
      </c>
      <c r="AO1101" s="37">
        <f>IF(最佳化斷筋點!P1101="","",最佳化斷筋點!P1101)</f>
        <v>4</v>
      </c>
      <c r="AP1101" s="37">
        <f>IF(最佳化斷筋點!Q1101="","",最佳化斷筋點!Q1101)</f>
        <v>4</v>
      </c>
      <c r="AQ1101" s="37">
        <f>IF(最佳化斷筋點!R1101="","",最佳化斷筋點!R1101)</f>
        <v>4</v>
      </c>
      <c r="AR1101" s="37">
        <f>IF(最佳化斷筋點!S1101="","",最佳化斷筋點!S1101)</f>
        <v>4</v>
      </c>
      <c r="AS1101" s="37">
        <f>IF(最佳化斷筋點!T1101="","",最佳化斷筋點!T1101)</f>
        <v>5</v>
      </c>
      <c r="AT1101" s="37">
        <f>IF(最佳化斷筋點!U1101="","",最佳化斷筋點!U1101)</f>
        <v>5</v>
      </c>
      <c r="AU1101" s="37">
        <f>IF(最佳化斷筋點!V1101="","",最佳化斷筋點!V1101)</f>
        <v>6</v>
      </c>
      <c r="AV1101" s="37">
        <f>IF(最佳化斷筋點!W1101="","",最佳化斷筋點!W1101)</f>
        <v>6</v>
      </c>
      <c r="AW1101" s="37">
        <f>IF(最佳化斷筋點!X1101="","",最佳化斷筋點!X1101)</f>
        <v>6</v>
      </c>
      <c r="AZ1101" s="37">
        <v>6</v>
      </c>
      <c r="BA1101" s="37">
        <v>6</v>
      </c>
      <c r="BB1101" s="37">
        <v>6</v>
      </c>
      <c r="BC1101" s="37">
        <v>6</v>
      </c>
      <c r="BD1101" s="37">
        <v>5</v>
      </c>
      <c r="BE1101" s="37">
        <v>5</v>
      </c>
      <c r="BF1101" s="37">
        <v>4</v>
      </c>
      <c r="BG1101" s="37">
        <v>4</v>
      </c>
      <c r="BH1101" s="37">
        <v>4</v>
      </c>
      <c r="BI1101" s="37">
        <v>4</v>
      </c>
      <c r="BJ1101" s="37">
        <v>4</v>
      </c>
      <c r="BK1101" s="37">
        <v>4</v>
      </c>
      <c r="BL1101" s="37">
        <v>4</v>
      </c>
      <c r="BM1101" s="37">
        <v>4</v>
      </c>
      <c r="BN1101" s="37">
        <v>4</v>
      </c>
      <c r="BO1101" s="37">
        <v>4</v>
      </c>
      <c r="BP1101" s="37">
        <v>5</v>
      </c>
      <c r="BQ1101" s="37">
        <v>5</v>
      </c>
      <c r="BR1101" s="37">
        <v>6</v>
      </c>
      <c r="BS1101" s="37">
        <v>6</v>
      </c>
      <c r="BT1101" s="37">
        <v>6</v>
      </c>
    </row>
    <row r="1102" spans="5:72" x14ac:dyDescent="0.25">
      <c r="E1102" s="36"/>
      <c r="F1102" s="36">
        <f t="shared" si="358"/>
        <v>0</v>
      </c>
      <c r="G1102" s="36">
        <f t="shared" si="359"/>
        <v>0</v>
      </c>
      <c r="H1102" s="36">
        <f t="shared" si="360"/>
        <v>0</v>
      </c>
      <c r="I1102" s="36">
        <f t="shared" si="361"/>
        <v>0</v>
      </c>
      <c r="J1102" s="36">
        <f t="shared" si="362"/>
        <v>0</v>
      </c>
      <c r="K1102" s="36">
        <f t="shared" si="363"/>
        <v>0</v>
      </c>
      <c r="L1102" s="36">
        <f t="shared" si="364"/>
        <v>0</v>
      </c>
      <c r="M1102" s="36">
        <f t="shared" si="365"/>
        <v>0</v>
      </c>
      <c r="N1102" s="36">
        <f t="shared" si="366"/>
        <v>0</v>
      </c>
      <c r="O1102" s="36">
        <f t="shared" si="367"/>
        <v>0</v>
      </c>
      <c r="P1102" s="36">
        <f t="shared" si="368"/>
        <v>0</v>
      </c>
      <c r="Q1102" s="36">
        <f t="shared" si="369"/>
        <v>0</v>
      </c>
      <c r="R1102" s="36">
        <f t="shared" si="370"/>
        <v>0</v>
      </c>
      <c r="S1102" s="36">
        <f t="shared" si="371"/>
        <v>0</v>
      </c>
      <c r="T1102" s="36">
        <f t="shared" si="372"/>
        <v>0</v>
      </c>
      <c r="U1102" s="36">
        <f t="shared" si="373"/>
        <v>0</v>
      </c>
      <c r="V1102" s="36">
        <f t="shared" si="374"/>
        <v>0</v>
      </c>
      <c r="W1102" s="36">
        <f t="shared" si="375"/>
        <v>0</v>
      </c>
      <c r="X1102" s="36">
        <f t="shared" si="376"/>
        <v>0</v>
      </c>
      <c r="Y1102" s="36">
        <f t="shared" si="377"/>
        <v>0</v>
      </c>
      <c r="Z1102" s="36">
        <f t="shared" si="378"/>
        <v>0</v>
      </c>
      <c r="AB1102" s="36" t="str">
        <f>IF(最佳化斷筋點!C1102="","",最佳化斷筋點!C1102)</f>
        <v/>
      </c>
      <c r="AC1102" s="37" t="str">
        <f>IF(最佳化斷筋點!D1102="","",最佳化斷筋點!D1102)</f>
        <v/>
      </c>
      <c r="AD1102" s="37" t="str">
        <f>IF(最佳化斷筋點!E1102="","",最佳化斷筋點!E1102)</f>
        <v/>
      </c>
      <c r="AE1102" s="37" t="str">
        <f>IF(最佳化斷筋點!F1102="","",最佳化斷筋點!F1102)</f>
        <v/>
      </c>
      <c r="AF1102" s="37" t="str">
        <f>IF(最佳化斷筋點!G1102="","",最佳化斷筋點!G1102)</f>
        <v/>
      </c>
      <c r="AG1102" s="37" t="str">
        <f>IF(最佳化斷筋點!H1102="","",最佳化斷筋點!H1102)</f>
        <v/>
      </c>
      <c r="AH1102" s="37" t="str">
        <f>IF(最佳化斷筋點!I1102="","",最佳化斷筋點!I1102)</f>
        <v/>
      </c>
      <c r="AI1102" s="37" t="str">
        <f>IF(最佳化斷筋點!J1102="","",最佳化斷筋點!J1102)</f>
        <v/>
      </c>
      <c r="AJ1102" s="37" t="str">
        <f>IF(最佳化斷筋點!K1102="","",最佳化斷筋點!K1102)</f>
        <v/>
      </c>
      <c r="AK1102" s="37" t="str">
        <f>IF(最佳化斷筋點!L1102="","",最佳化斷筋點!L1102)</f>
        <v/>
      </c>
      <c r="AL1102" s="37" t="str">
        <f>IF(最佳化斷筋點!M1102="","",最佳化斷筋點!M1102)</f>
        <v/>
      </c>
      <c r="AM1102" s="37" t="str">
        <f>IF(最佳化斷筋點!N1102="","",最佳化斷筋點!N1102)</f>
        <v/>
      </c>
      <c r="AN1102" s="37" t="str">
        <f>IF(最佳化斷筋點!O1102="","",最佳化斷筋點!O1102)</f>
        <v/>
      </c>
      <c r="AO1102" s="37" t="str">
        <f>IF(最佳化斷筋點!P1102="","",最佳化斷筋點!P1102)</f>
        <v/>
      </c>
      <c r="AP1102" s="37" t="str">
        <f>IF(最佳化斷筋點!Q1102="","",最佳化斷筋點!Q1102)</f>
        <v/>
      </c>
      <c r="AQ1102" s="37" t="str">
        <f>IF(最佳化斷筋點!R1102="","",最佳化斷筋點!R1102)</f>
        <v/>
      </c>
      <c r="AR1102" s="37" t="str">
        <f>IF(最佳化斷筋點!S1102="","",最佳化斷筋點!S1102)</f>
        <v/>
      </c>
      <c r="AS1102" s="37" t="str">
        <f>IF(最佳化斷筋點!T1102="","",最佳化斷筋點!T1102)</f>
        <v/>
      </c>
      <c r="AT1102" s="37" t="str">
        <f>IF(最佳化斷筋點!U1102="","",最佳化斷筋點!U1102)</f>
        <v/>
      </c>
      <c r="AU1102" s="37" t="str">
        <f>IF(最佳化斷筋點!V1102="","",最佳化斷筋點!V1102)</f>
        <v/>
      </c>
      <c r="AV1102" s="37" t="str">
        <f>IF(最佳化斷筋點!W1102="","",最佳化斷筋點!W1102)</f>
        <v/>
      </c>
      <c r="AW1102" s="37" t="str">
        <f>IF(最佳化斷筋點!X1102="","",最佳化斷筋點!X1102)</f>
        <v/>
      </c>
      <c r="AZ1102" s="37" t="s">
        <v>197</v>
      </c>
      <c r="BA1102" s="37" t="s">
        <v>197</v>
      </c>
      <c r="BB1102" s="37" t="s">
        <v>197</v>
      </c>
      <c r="BC1102" s="37" t="s">
        <v>197</v>
      </c>
      <c r="BD1102" s="37" t="s">
        <v>197</v>
      </c>
      <c r="BE1102" s="37" t="s">
        <v>197</v>
      </c>
      <c r="BF1102" s="37" t="s">
        <v>197</v>
      </c>
      <c r="BG1102" s="37" t="s">
        <v>197</v>
      </c>
      <c r="BH1102" s="37" t="s">
        <v>197</v>
      </c>
      <c r="BI1102" s="37" t="s">
        <v>197</v>
      </c>
      <c r="BJ1102" s="37" t="s">
        <v>197</v>
      </c>
      <c r="BK1102" s="37" t="s">
        <v>197</v>
      </c>
      <c r="BL1102" s="37" t="s">
        <v>197</v>
      </c>
      <c r="BM1102" s="37" t="s">
        <v>197</v>
      </c>
      <c r="BN1102" s="37" t="s">
        <v>197</v>
      </c>
      <c r="BO1102" s="37" t="s">
        <v>197</v>
      </c>
      <c r="BP1102" s="37" t="s">
        <v>197</v>
      </c>
      <c r="BQ1102" s="37" t="s">
        <v>197</v>
      </c>
      <c r="BR1102" s="37" t="s">
        <v>197</v>
      </c>
      <c r="BS1102" s="37" t="s">
        <v>197</v>
      </c>
      <c r="BT1102" s="37" t="s">
        <v>197</v>
      </c>
    </row>
    <row r="1103" spans="5:72" x14ac:dyDescent="0.25">
      <c r="E1103" s="36" t="s">
        <v>20</v>
      </c>
      <c r="F1103" s="36">
        <f t="shared" si="358"/>
        <v>0</v>
      </c>
      <c r="G1103" s="36">
        <f t="shared" si="359"/>
        <v>0</v>
      </c>
      <c r="H1103" s="36">
        <f t="shared" si="360"/>
        <v>0</v>
      </c>
      <c r="I1103" s="36">
        <f t="shared" si="361"/>
        <v>0</v>
      </c>
      <c r="J1103" s="36">
        <f t="shared" si="362"/>
        <v>0</v>
      </c>
      <c r="K1103" s="36">
        <f t="shared" si="363"/>
        <v>0</v>
      </c>
      <c r="L1103" s="36">
        <f t="shared" si="364"/>
        <v>0</v>
      </c>
      <c r="M1103" s="36">
        <f t="shared" si="365"/>
        <v>0</v>
      </c>
      <c r="N1103" s="36">
        <f t="shared" si="366"/>
        <v>0</v>
      </c>
      <c r="O1103" s="36">
        <f t="shared" si="367"/>
        <v>0</v>
      </c>
      <c r="P1103" s="36">
        <f t="shared" si="368"/>
        <v>0</v>
      </c>
      <c r="Q1103" s="36">
        <f t="shared" si="369"/>
        <v>0</v>
      </c>
      <c r="R1103" s="36">
        <f t="shared" si="370"/>
        <v>0</v>
      </c>
      <c r="S1103" s="36">
        <f t="shared" si="371"/>
        <v>0</v>
      </c>
      <c r="T1103" s="36">
        <f t="shared" si="372"/>
        <v>0</v>
      </c>
      <c r="U1103" s="36">
        <f t="shared" si="373"/>
        <v>0</v>
      </c>
      <c r="V1103" s="36">
        <f t="shared" si="374"/>
        <v>0</v>
      </c>
      <c r="W1103" s="36">
        <f t="shared" si="375"/>
        <v>0</v>
      </c>
      <c r="X1103" s="36">
        <f t="shared" si="376"/>
        <v>0</v>
      </c>
      <c r="Y1103" s="36">
        <f t="shared" si="377"/>
        <v>0</v>
      </c>
      <c r="Z1103" s="36">
        <f t="shared" si="378"/>
        <v>0</v>
      </c>
      <c r="AB1103" s="36" t="str">
        <f>IF(最佳化斷筋點!C1103="","",最佳化斷筋點!C1103)</f>
        <v>上層</v>
      </c>
      <c r="AC1103" s="37">
        <f>IF(最佳化斷筋點!D1103="","",最佳化斷筋點!D1103)</f>
        <v>9</v>
      </c>
      <c r="AD1103" s="37">
        <f>IF(最佳化斷筋點!E1103="","",最佳化斷筋點!E1103)</f>
        <v>9</v>
      </c>
      <c r="AE1103" s="37">
        <f>IF(最佳化斷筋點!F1103="","",最佳化斷筋點!F1103)</f>
        <v>9</v>
      </c>
      <c r="AF1103" s="37">
        <f>IF(最佳化斷筋點!G1103="","",最佳化斷筋點!G1103)</f>
        <v>9</v>
      </c>
      <c r="AG1103" s="37">
        <f>IF(最佳化斷筋點!H1103="","",最佳化斷筋點!H1103)</f>
        <v>9</v>
      </c>
      <c r="AH1103" s="37">
        <f>IF(最佳化斷筋點!I1103="","",最佳化斷筋點!I1103)</f>
        <v>9</v>
      </c>
      <c r="AI1103" s="37">
        <f>IF(最佳化斷筋點!J1103="","",最佳化斷筋點!J1103)</f>
        <v>9</v>
      </c>
      <c r="AJ1103" s="37">
        <f>IF(最佳化斷筋點!K1103="","",最佳化斷筋點!K1103)</f>
        <v>3</v>
      </c>
      <c r="AK1103" s="37">
        <f>IF(最佳化斷筋點!L1103="","",最佳化斷筋點!L1103)</f>
        <v>3</v>
      </c>
      <c r="AL1103" s="37">
        <f>IF(最佳化斷筋點!M1103="","",最佳化斷筋點!M1103)</f>
        <v>3</v>
      </c>
      <c r="AM1103" s="37">
        <f>IF(最佳化斷筋點!N1103="","",最佳化斷筋點!N1103)</f>
        <v>3</v>
      </c>
      <c r="AN1103" s="37">
        <f>IF(最佳化斷筋點!O1103="","",最佳化斷筋點!O1103)</f>
        <v>3</v>
      </c>
      <c r="AO1103" s="37">
        <f>IF(最佳化斷筋點!P1103="","",最佳化斷筋點!P1103)</f>
        <v>3</v>
      </c>
      <c r="AP1103" s="37">
        <f>IF(最佳化斷筋點!Q1103="","",最佳化斷筋點!Q1103)</f>
        <v>6</v>
      </c>
      <c r="AQ1103" s="37">
        <f>IF(最佳化斷筋點!R1103="","",最佳化斷筋點!R1103)</f>
        <v>7</v>
      </c>
      <c r="AR1103" s="37">
        <f>IF(最佳化斷筋點!S1103="","",最佳化斷筋點!S1103)</f>
        <v>8</v>
      </c>
      <c r="AS1103" s="37">
        <f>IF(最佳化斷筋點!T1103="","",最佳化斷筋點!T1103)</f>
        <v>8</v>
      </c>
      <c r="AT1103" s="37">
        <f>IF(最佳化斷筋點!U1103="","",最佳化斷筋點!U1103)</f>
        <v>8</v>
      </c>
      <c r="AU1103" s="37">
        <f>IF(最佳化斷筋點!V1103="","",最佳化斷筋點!V1103)</f>
        <v>8</v>
      </c>
      <c r="AV1103" s="37">
        <f>IF(最佳化斷筋點!W1103="","",最佳化斷筋點!W1103)</f>
        <v>8</v>
      </c>
      <c r="AW1103" s="37">
        <f>IF(最佳化斷筋點!X1103="","",最佳化斷筋點!X1103)</f>
        <v>8</v>
      </c>
      <c r="AZ1103" s="37">
        <v>9</v>
      </c>
      <c r="BA1103" s="37">
        <v>9</v>
      </c>
      <c r="BB1103" s="37">
        <v>9</v>
      </c>
      <c r="BC1103" s="37">
        <v>9</v>
      </c>
      <c r="BD1103" s="37">
        <v>9</v>
      </c>
      <c r="BE1103" s="37">
        <v>9</v>
      </c>
      <c r="BF1103" s="37">
        <v>9</v>
      </c>
      <c r="BG1103" s="37">
        <v>3</v>
      </c>
      <c r="BH1103" s="37">
        <v>3</v>
      </c>
      <c r="BI1103" s="37">
        <v>3</v>
      </c>
      <c r="BJ1103" s="37">
        <v>3</v>
      </c>
      <c r="BK1103" s="37">
        <v>3</v>
      </c>
      <c r="BL1103" s="37">
        <v>3</v>
      </c>
      <c r="BM1103" s="37">
        <v>6</v>
      </c>
      <c r="BN1103" s="37">
        <v>7</v>
      </c>
      <c r="BO1103" s="37">
        <v>8</v>
      </c>
      <c r="BP1103" s="37">
        <v>8</v>
      </c>
      <c r="BQ1103" s="37">
        <v>8</v>
      </c>
      <c r="BR1103" s="37">
        <v>8</v>
      </c>
      <c r="BS1103" s="37">
        <v>8</v>
      </c>
      <c r="BT1103" s="37">
        <v>8</v>
      </c>
    </row>
    <row r="1104" spans="5:72" x14ac:dyDescent="0.25">
      <c r="E1104" s="36"/>
      <c r="F1104" s="36">
        <f t="shared" si="358"/>
        <v>0</v>
      </c>
      <c r="G1104" s="36">
        <f t="shared" si="359"/>
        <v>0</v>
      </c>
      <c r="H1104" s="36">
        <f t="shared" si="360"/>
        <v>0</v>
      </c>
      <c r="I1104" s="36">
        <f t="shared" si="361"/>
        <v>0</v>
      </c>
      <c r="J1104" s="36">
        <f t="shared" si="362"/>
        <v>0</v>
      </c>
      <c r="K1104" s="36">
        <f t="shared" si="363"/>
        <v>0</v>
      </c>
      <c r="L1104" s="36">
        <f t="shared" si="364"/>
        <v>0</v>
      </c>
      <c r="M1104" s="36">
        <f t="shared" si="365"/>
        <v>0</v>
      </c>
      <c r="N1104" s="36">
        <f t="shared" si="366"/>
        <v>0</v>
      </c>
      <c r="O1104" s="36">
        <f t="shared" si="367"/>
        <v>0</v>
      </c>
      <c r="P1104" s="36">
        <f t="shared" si="368"/>
        <v>0</v>
      </c>
      <c r="Q1104" s="36">
        <f t="shared" si="369"/>
        <v>0</v>
      </c>
      <c r="R1104" s="36">
        <f t="shared" si="370"/>
        <v>0</v>
      </c>
      <c r="S1104" s="36">
        <f t="shared" si="371"/>
        <v>0</v>
      </c>
      <c r="T1104" s="36">
        <f t="shared" si="372"/>
        <v>0</v>
      </c>
      <c r="U1104" s="36">
        <f t="shared" si="373"/>
        <v>0</v>
      </c>
      <c r="V1104" s="36">
        <f t="shared" si="374"/>
        <v>0</v>
      </c>
      <c r="W1104" s="36">
        <f t="shared" si="375"/>
        <v>0</v>
      </c>
      <c r="X1104" s="36">
        <f t="shared" si="376"/>
        <v>0</v>
      </c>
      <c r="Y1104" s="36">
        <f t="shared" si="377"/>
        <v>0</v>
      </c>
      <c r="Z1104" s="36">
        <f t="shared" si="378"/>
        <v>0</v>
      </c>
      <c r="AB1104" s="36" t="str">
        <f>IF(最佳化斷筋點!C1104="","",最佳化斷筋點!C1104)</f>
        <v/>
      </c>
      <c r="AC1104" s="37" t="str">
        <f>IF(最佳化斷筋點!D1104="","",最佳化斷筋點!D1104)</f>
        <v/>
      </c>
      <c r="AD1104" s="37" t="str">
        <f>IF(最佳化斷筋點!E1104="","",最佳化斷筋點!E1104)</f>
        <v/>
      </c>
      <c r="AE1104" s="37" t="str">
        <f>IF(最佳化斷筋點!F1104="","",最佳化斷筋點!F1104)</f>
        <v/>
      </c>
      <c r="AF1104" s="37" t="str">
        <f>IF(最佳化斷筋點!G1104="","",最佳化斷筋點!G1104)</f>
        <v/>
      </c>
      <c r="AG1104" s="37" t="str">
        <f>IF(最佳化斷筋點!H1104="","",最佳化斷筋點!H1104)</f>
        <v/>
      </c>
      <c r="AH1104" s="37" t="str">
        <f>IF(最佳化斷筋點!I1104="","",最佳化斷筋點!I1104)</f>
        <v/>
      </c>
      <c r="AI1104" s="37" t="str">
        <f>IF(最佳化斷筋點!J1104="","",最佳化斷筋點!J1104)</f>
        <v/>
      </c>
      <c r="AJ1104" s="37" t="str">
        <f>IF(最佳化斷筋點!K1104="","",最佳化斷筋點!K1104)</f>
        <v/>
      </c>
      <c r="AK1104" s="37" t="str">
        <f>IF(最佳化斷筋點!L1104="","",最佳化斷筋點!L1104)</f>
        <v/>
      </c>
      <c r="AL1104" s="37" t="str">
        <f>IF(最佳化斷筋點!M1104="","",最佳化斷筋點!M1104)</f>
        <v/>
      </c>
      <c r="AM1104" s="37" t="str">
        <f>IF(最佳化斷筋點!N1104="","",最佳化斷筋點!N1104)</f>
        <v/>
      </c>
      <c r="AN1104" s="37" t="str">
        <f>IF(最佳化斷筋點!O1104="","",最佳化斷筋點!O1104)</f>
        <v/>
      </c>
      <c r="AO1104" s="37" t="str">
        <f>IF(最佳化斷筋點!P1104="","",最佳化斷筋點!P1104)</f>
        <v/>
      </c>
      <c r="AP1104" s="37" t="str">
        <f>IF(最佳化斷筋點!Q1104="","",最佳化斷筋點!Q1104)</f>
        <v/>
      </c>
      <c r="AQ1104" s="37" t="str">
        <f>IF(最佳化斷筋點!R1104="","",最佳化斷筋點!R1104)</f>
        <v/>
      </c>
      <c r="AR1104" s="37" t="str">
        <f>IF(最佳化斷筋點!S1104="","",最佳化斷筋點!S1104)</f>
        <v/>
      </c>
      <c r="AS1104" s="37" t="str">
        <f>IF(最佳化斷筋點!T1104="","",最佳化斷筋點!T1104)</f>
        <v/>
      </c>
      <c r="AT1104" s="37" t="str">
        <f>IF(最佳化斷筋點!U1104="","",最佳化斷筋點!U1104)</f>
        <v/>
      </c>
      <c r="AU1104" s="37" t="str">
        <f>IF(最佳化斷筋點!V1104="","",最佳化斷筋點!V1104)</f>
        <v/>
      </c>
      <c r="AV1104" s="37" t="str">
        <f>IF(最佳化斷筋點!W1104="","",最佳化斷筋點!W1104)</f>
        <v/>
      </c>
      <c r="AW1104" s="37" t="str">
        <f>IF(最佳化斷筋點!X1104="","",最佳化斷筋點!X1104)</f>
        <v/>
      </c>
      <c r="AZ1104" s="37" t="s">
        <v>197</v>
      </c>
      <c r="BA1104" s="37" t="s">
        <v>197</v>
      </c>
      <c r="BB1104" s="37" t="s">
        <v>197</v>
      </c>
      <c r="BC1104" s="37" t="s">
        <v>197</v>
      </c>
      <c r="BD1104" s="37" t="s">
        <v>197</v>
      </c>
      <c r="BE1104" s="37" t="s">
        <v>197</v>
      </c>
      <c r="BF1104" s="37" t="s">
        <v>197</v>
      </c>
      <c r="BG1104" s="37" t="s">
        <v>197</v>
      </c>
      <c r="BH1104" s="37" t="s">
        <v>197</v>
      </c>
      <c r="BI1104" s="37" t="s">
        <v>197</v>
      </c>
      <c r="BJ1104" s="37" t="s">
        <v>197</v>
      </c>
      <c r="BK1104" s="37" t="s">
        <v>197</v>
      </c>
      <c r="BL1104" s="37" t="s">
        <v>197</v>
      </c>
      <c r="BM1104" s="37" t="s">
        <v>197</v>
      </c>
      <c r="BN1104" s="37" t="s">
        <v>197</v>
      </c>
      <c r="BO1104" s="37" t="s">
        <v>197</v>
      </c>
      <c r="BP1104" s="37" t="s">
        <v>197</v>
      </c>
      <c r="BQ1104" s="37" t="s">
        <v>197</v>
      </c>
      <c r="BR1104" s="37" t="s">
        <v>197</v>
      </c>
      <c r="BS1104" s="37" t="s">
        <v>197</v>
      </c>
      <c r="BT1104" s="37" t="s">
        <v>197</v>
      </c>
    </row>
    <row r="1105" spans="5:72" x14ac:dyDescent="0.25">
      <c r="E1105" s="36" t="s">
        <v>21</v>
      </c>
      <c r="F1105" s="36">
        <f t="shared" si="358"/>
        <v>0</v>
      </c>
      <c r="G1105" s="36">
        <f t="shared" si="359"/>
        <v>0</v>
      </c>
      <c r="H1105" s="36">
        <f t="shared" si="360"/>
        <v>0</v>
      </c>
      <c r="I1105" s="36">
        <f t="shared" si="361"/>
        <v>0</v>
      </c>
      <c r="J1105" s="36">
        <f t="shared" si="362"/>
        <v>0</v>
      </c>
      <c r="K1105" s="36">
        <f t="shared" si="363"/>
        <v>0</v>
      </c>
      <c r="L1105" s="36">
        <f t="shared" si="364"/>
        <v>0</v>
      </c>
      <c r="M1105" s="36">
        <f t="shared" si="365"/>
        <v>0</v>
      </c>
      <c r="N1105" s="36">
        <f t="shared" si="366"/>
        <v>0</v>
      </c>
      <c r="O1105" s="36">
        <f t="shared" si="367"/>
        <v>0</v>
      </c>
      <c r="P1105" s="36">
        <f t="shared" si="368"/>
        <v>0</v>
      </c>
      <c r="Q1105" s="36">
        <f t="shared" si="369"/>
        <v>0</v>
      </c>
      <c r="R1105" s="36">
        <f t="shared" si="370"/>
        <v>0</v>
      </c>
      <c r="S1105" s="36">
        <f t="shared" si="371"/>
        <v>0</v>
      </c>
      <c r="T1105" s="36">
        <f t="shared" si="372"/>
        <v>0</v>
      </c>
      <c r="U1105" s="36">
        <f t="shared" si="373"/>
        <v>0</v>
      </c>
      <c r="V1105" s="36">
        <f t="shared" si="374"/>
        <v>0</v>
      </c>
      <c r="W1105" s="36">
        <f t="shared" si="375"/>
        <v>0</v>
      </c>
      <c r="X1105" s="36">
        <f t="shared" si="376"/>
        <v>0</v>
      </c>
      <c r="Y1105" s="36">
        <f t="shared" si="377"/>
        <v>0</v>
      </c>
      <c r="Z1105" s="36">
        <f t="shared" si="378"/>
        <v>0</v>
      </c>
      <c r="AB1105" s="36" t="str">
        <f>IF(最佳化斷筋點!C1105="","",最佳化斷筋點!C1105)</f>
        <v>下層</v>
      </c>
      <c r="AC1105" s="37">
        <f>IF(最佳化斷筋點!D1105="","",最佳化斷筋點!D1105)</f>
        <v>10</v>
      </c>
      <c r="AD1105" s="37">
        <f>IF(最佳化斷筋點!E1105="","",最佳化斷筋點!E1105)</f>
        <v>10</v>
      </c>
      <c r="AE1105" s="37">
        <f>IF(最佳化斷筋點!F1105="","",最佳化斷筋點!F1105)</f>
        <v>10</v>
      </c>
      <c r="AF1105" s="37">
        <f>IF(最佳化斷筋點!G1105="","",最佳化斷筋點!G1105)</f>
        <v>10</v>
      </c>
      <c r="AG1105" s="37">
        <f>IF(最佳化斷筋點!H1105="","",最佳化斷筋點!H1105)</f>
        <v>10</v>
      </c>
      <c r="AH1105" s="37">
        <f>IF(最佳化斷筋點!I1105="","",最佳化斷筋點!I1105)</f>
        <v>9</v>
      </c>
      <c r="AI1105" s="37">
        <f>IF(最佳化斷筋點!J1105="","",最佳化斷筋點!J1105)</f>
        <v>8</v>
      </c>
      <c r="AJ1105" s="37">
        <f>IF(最佳化斷筋點!K1105="","",最佳化斷筋點!K1105)</f>
        <v>4</v>
      </c>
      <c r="AK1105" s="37">
        <f>IF(最佳化斷筋點!L1105="","",最佳化斷筋點!L1105)</f>
        <v>4</v>
      </c>
      <c r="AL1105" s="37">
        <f>IF(最佳化斷筋點!M1105="","",最佳化斷筋點!M1105)</f>
        <v>4</v>
      </c>
      <c r="AM1105" s="37">
        <f>IF(最佳化斷筋點!N1105="","",最佳化斷筋點!N1105)</f>
        <v>4</v>
      </c>
      <c r="AN1105" s="37">
        <f>IF(最佳化斷筋點!O1105="","",最佳化斷筋點!O1105)</f>
        <v>4</v>
      </c>
      <c r="AO1105" s="37">
        <f>IF(最佳化斷筋點!P1105="","",最佳化斷筋點!P1105)</f>
        <v>4</v>
      </c>
      <c r="AP1105" s="37">
        <f>IF(最佳化斷筋點!Q1105="","",最佳化斷筋點!Q1105)</f>
        <v>7</v>
      </c>
      <c r="AQ1105" s="37">
        <f>IF(最佳化斷筋點!R1105="","",最佳化斷筋點!R1105)</f>
        <v>8</v>
      </c>
      <c r="AR1105" s="37">
        <f>IF(最佳化斷筋點!S1105="","",最佳化斷筋點!S1105)</f>
        <v>9</v>
      </c>
      <c r="AS1105" s="37">
        <f>IF(最佳化斷筋點!T1105="","",最佳化斷筋點!T1105)</f>
        <v>10</v>
      </c>
      <c r="AT1105" s="37">
        <f>IF(最佳化斷筋點!U1105="","",最佳化斷筋點!U1105)</f>
        <v>11</v>
      </c>
      <c r="AU1105" s="37">
        <f>IF(最佳化斷筋點!V1105="","",最佳化斷筋點!V1105)</f>
        <v>11</v>
      </c>
      <c r="AV1105" s="37">
        <f>IF(最佳化斷筋點!W1105="","",最佳化斷筋點!W1105)</f>
        <v>11</v>
      </c>
      <c r="AW1105" s="37">
        <f>IF(最佳化斷筋點!X1105="","",最佳化斷筋點!X1105)</f>
        <v>11</v>
      </c>
      <c r="AZ1105" s="37">
        <v>10</v>
      </c>
      <c r="BA1105" s="37">
        <v>10</v>
      </c>
      <c r="BB1105" s="37">
        <v>10</v>
      </c>
      <c r="BC1105" s="37">
        <v>10</v>
      </c>
      <c r="BD1105" s="37">
        <v>10</v>
      </c>
      <c r="BE1105" s="37">
        <v>9</v>
      </c>
      <c r="BF1105" s="37">
        <v>8</v>
      </c>
      <c r="BG1105" s="37">
        <v>4</v>
      </c>
      <c r="BH1105" s="37">
        <v>4</v>
      </c>
      <c r="BI1105" s="37">
        <v>4</v>
      </c>
      <c r="BJ1105" s="37">
        <v>4</v>
      </c>
      <c r="BK1105" s="37">
        <v>4</v>
      </c>
      <c r="BL1105" s="37">
        <v>4</v>
      </c>
      <c r="BM1105" s="37">
        <v>7</v>
      </c>
      <c r="BN1105" s="37">
        <v>8</v>
      </c>
      <c r="BO1105" s="37">
        <v>9</v>
      </c>
      <c r="BP1105" s="37">
        <v>10</v>
      </c>
      <c r="BQ1105" s="37">
        <v>11</v>
      </c>
      <c r="BR1105" s="37">
        <v>11</v>
      </c>
      <c r="BS1105" s="37">
        <v>11</v>
      </c>
      <c r="BT1105" s="37">
        <v>11</v>
      </c>
    </row>
    <row r="1106" spans="5:72" x14ac:dyDescent="0.25">
      <c r="E1106" s="36"/>
      <c r="F1106" s="36">
        <f t="shared" si="358"/>
        <v>0</v>
      </c>
      <c r="G1106" s="36">
        <f t="shared" si="359"/>
        <v>0</v>
      </c>
      <c r="H1106" s="36">
        <f t="shared" si="360"/>
        <v>0</v>
      </c>
      <c r="I1106" s="36">
        <f t="shared" si="361"/>
        <v>0</v>
      </c>
      <c r="J1106" s="36">
        <f t="shared" si="362"/>
        <v>0</v>
      </c>
      <c r="K1106" s="36">
        <f t="shared" si="363"/>
        <v>0</v>
      </c>
      <c r="L1106" s="36">
        <f t="shared" si="364"/>
        <v>0</v>
      </c>
      <c r="M1106" s="36">
        <f t="shared" si="365"/>
        <v>0</v>
      </c>
      <c r="N1106" s="36">
        <f t="shared" si="366"/>
        <v>0</v>
      </c>
      <c r="O1106" s="36">
        <f t="shared" si="367"/>
        <v>0</v>
      </c>
      <c r="P1106" s="36">
        <f t="shared" si="368"/>
        <v>0</v>
      </c>
      <c r="Q1106" s="36">
        <f t="shared" si="369"/>
        <v>0</v>
      </c>
      <c r="R1106" s="36">
        <f t="shared" si="370"/>
        <v>0</v>
      </c>
      <c r="S1106" s="36">
        <f t="shared" si="371"/>
        <v>0</v>
      </c>
      <c r="T1106" s="36">
        <f t="shared" si="372"/>
        <v>0</v>
      </c>
      <c r="U1106" s="36">
        <f t="shared" si="373"/>
        <v>0</v>
      </c>
      <c r="V1106" s="36">
        <f t="shared" si="374"/>
        <v>0</v>
      </c>
      <c r="W1106" s="36">
        <f t="shared" si="375"/>
        <v>0</v>
      </c>
      <c r="X1106" s="36">
        <f t="shared" si="376"/>
        <v>0</v>
      </c>
      <c r="Y1106" s="36">
        <f t="shared" si="377"/>
        <v>0</v>
      </c>
      <c r="Z1106" s="36">
        <f t="shared" si="378"/>
        <v>0</v>
      </c>
      <c r="AB1106" s="36" t="str">
        <f>IF(最佳化斷筋點!C1106="","",最佳化斷筋點!C1106)</f>
        <v/>
      </c>
      <c r="AC1106" s="37" t="str">
        <f>IF(最佳化斷筋點!D1106="","",最佳化斷筋點!D1106)</f>
        <v/>
      </c>
      <c r="AD1106" s="37" t="str">
        <f>IF(最佳化斷筋點!E1106="","",最佳化斷筋點!E1106)</f>
        <v/>
      </c>
      <c r="AE1106" s="37" t="str">
        <f>IF(最佳化斷筋點!F1106="","",最佳化斷筋點!F1106)</f>
        <v/>
      </c>
      <c r="AF1106" s="37" t="str">
        <f>IF(最佳化斷筋點!G1106="","",最佳化斷筋點!G1106)</f>
        <v/>
      </c>
      <c r="AG1106" s="37" t="str">
        <f>IF(最佳化斷筋點!H1106="","",最佳化斷筋點!H1106)</f>
        <v/>
      </c>
      <c r="AH1106" s="37" t="str">
        <f>IF(最佳化斷筋點!I1106="","",最佳化斷筋點!I1106)</f>
        <v/>
      </c>
      <c r="AI1106" s="37" t="str">
        <f>IF(最佳化斷筋點!J1106="","",最佳化斷筋點!J1106)</f>
        <v/>
      </c>
      <c r="AJ1106" s="37" t="str">
        <f>IF(最佳化斷筋點!K1106="","",最佳化斷筋點!K1106)</f>
        <v/>
      </c>
      <c r="AK1106" s="37" t="str">
        <f>IF(最佳化斷筋點!L1106="","",最佳化斷筋點!L1106)</f>
        <v/>
      </c>
      <c r="AL1106" s="37" t="str">
        <f>IF(最佳化斷筋點!M1106="","",最佳化斷筋點!M1106)</f>
        <v/>
      </c>
      <c r="AM1106" s="37" t="str">
        <f>IF(最佳化斷筋點!N1106="","",最佳化斷筋點!N1106)</f>
        <v/>
      </c>
      <c r="AN1106" s="37" t="str">
        <f>IF(最佳化斷筋點!O1106="","",最佳化斷筋點!O1106)</f>
        <v/>
      </c>
      <c r="AO1106" s="37" t="str">
        <f>IF(最佳化斷筋點!P1106="","",最佳化斷筋點!P1106)</f>
        <v/>
      </c>
      <c r="AP1106" s="37" t="str">
        <f>IF(最佳化斷筋點!Q1106="","",最佳化斷筋點!Q1106)</f>
        <v/>
      </c>
      <c r="AQ1106" s="37" t="str">
        <f>IF(最佳化斷筋點!R1106="","",最佳化斷筋點!R1106)</f>
        <v/>
      </c>
      <c r="AR1106" s="37" t="str">
        <f>IF(最佳化斷筋點!S1106="","",最佳化斷筋點!S1106)</f>
        <v/>
      </c>
      <c r="AS1106" s="37" t="str">
        <f>IF(最佳化斷筋點!T1106="","",最佳化斷筋點!T1106)</f>
        <v/>
      </c>
      <c r="AT1106" s="37" t="str">
        <f>IF(最佳化斷筋點!U1106="","",最佳化斷筋點!U1106)</f>
        <v/>
      </c>
      <c r="AU1106" s="37" t="str">
        <f>IF(最佳化斷筋點!V1106="","",最佳化斷筋點!V1106)</f>
        <v/>
      </c>
      <c r="AV1106" s="37" t="str">
        <f>IF(最佳化斷筋點!W1106="","",最佳化斷筋點!W1106)</f>
        <v/>
      </c>
      <c r="AW1106" s="37" t="str">
        <f>IF(最佳化斷筋點!X1106="","",最佳化斷筋點!X1106)</f>
        <v/>
      </c>
      <c r="AZ1106" s="37" t="s">
        <v>197</v>
      </c>
      <c r="BA1106" s="37" t="s">
        <v>197</v>
      </c>
      <c r="BB1106" s="37" t="s">
        <v>197</v>
      </c>
      <c r="BC1106" s="37" t="s">
        <v>197</v>
      </c>
      <c r="BD1106" s="37" t="s">
        <v>197</v>
      </c>
      <c r="BE1106" s="37" t="s">
        <v>197</v>
      </c>
      <c r="BF1106" s="37" t="s">
        <v>197</v>
      </c>
      <c r="BG1106" s="37" t="s">
        <v>197</v>
      </c>
      <c r="BH1106" s="37" t="s">
        <v>197</v>
      </c>
      <c r="BI1106" s="37" t="s">
        <v>197</v>
      </c>
      <c r="BJ1106" s="37" t="s">
        <v>197</v>
      </c>
      <c r="BK1106" s="37" t="s">
        <v>197</v>
      </c>
      <c r="BL1106" s="37" t="s">
        <v>197</v>
      </c>
      <c r="BM1106" s="37" t="s">
        <v>197</v>
      </c>
      <c r="BN1106" s="37" t="s">
        <v>197</v>
      </c>
      <c r="BO1106" s="37" t="s">
        <v>197</v>
      </c>
      <c r="BP1106" s="37" t="s">
        <v>197</v>
      </c>
      <c r="BQ1106" s="37" t="s">
        <v>197</v>
      </c>
      <c r="BR1106" s="37" t="s">
        <v>197</v>
      </c>
      <c r="BS1106" s="37" t="s">
        <v>197</v>
      </c>
      <c r="BT1106" s="37" t="s">
        <v>197</v>
      </c>
    </row>
    <row r="1107" spans="5:72" x14ac:dyDescent="0.25">
      <c r="E1107" s="36" t="s">
        <v>20</v>
      </c>
      <c r="F1107" s="36">
        <f t="shared" si="358"/>
        <v>0</v>
      </c>
      <c r="G1107" s="36">
        <f t="shared" si="359"/>
        <v>0</v>
      </c>
      <c r="H1107" s="36">
        <f t="shared" si="360"/>
        <v>0</v>
      </c>
      <c r="I1107" s="36">
        <f t="shared" si="361"/>
        <v>0</v>
      </c>
      <c r="J1107" s="36">
        <f t="shared" si="362"/>
        <v>0</v>
      </c>
      <c r="K1107" s="36">
        <f t="shared" si="363"/>
        <v>0</v>
      </c>
      <c r="L1107" s="36">
        <f t="shared" si="364"/>
        <v>0</v>
      </c>
      <c r="M1107" s="36">
        <f t="shared" si="365"/>
        <v>0</v>
      </c>
      <c r="N1107" s="36">
        <f t="shared" si="366"/>
        <v>0</v>
      </c>
      <c r="O1107" s="36">
        <f t="shared" si="367"/>
        <v>0</v>
      </c>
      <c r="P1107" s="36">
        <f t="shared" si="368"/>
        <v>0</v>
      </c>
      <c r="Q1107" s="36">
        <f t="shared" si="369"/>
        <v>0</v>
      </c>
      <c r="R1107" s="36">
        <f t="shared" si="370"/>
        <v>0</v>
      </c>
      <c r="S1107" s="36">
        <f t="shared" si="371"/>
        <v>0</v>
      </c>
      <c r="T1107" s="36">
        <f t="shared" si="372"/>
        <v>0</v>
      </c>
      <c r="U1107" s="36">
        <f t="shared" si="373"/>
        <v>0</v>
      </c>
      <c r="V1107" s="36">
        <f t="shared" si="374"/>
        <v>0</v>
      </c>
      <c r="W1107" s="36">
        <f t="shared" si="375"/>
        <v>0</v>
      </c>
      <c r="X1107" s="36">
        <f t="shared" si="376"/>
        <v>0</v>
      </c>
      <c r="Y1107" s="36">
        <f t="shared" si="377"/>
        <v>0</v>
      </c>
      <c r="Z1107" s="36">
        <f t="shared" si="378"/>
        <v>0</v>
      </c>
      <c r="AB1107" s="36" t="str">
        <f>IF(最佳化斷筋點!C1107="","",最佳化斷筋點!C1107)</f>
        <v>上層</v>
      </c>
      <c r="AC1107" s="37">
        <f>IF(最佳化斷筋點!D1107="","",最佳化斷筋點!D1107)</f>
        <v>7</v>
      </c>
      <c r="AD1107" s="37">
        <f>IF(最佳化斷筋點!E1107="","",最佳化斷筋點!E1107)</f>
        <v>7</v>
      </c>
      <c r="AE1107" s="37">
        <f>IF(最佳化斷筋點!F1107="","",最佳化斷筋點!F1107)</f>
        <v>7</v>
      </c>
      <c r="AF1107" s="37">
        <f>IF(最佳化斷筋點!G1107="","",最佳化斷筋點!G1107)</f>
        <v>7</v>
      </c>
      <c r="AG1107" s="37">
        <f>IF(最佳化斷筋點!H1107="","",最佳化斷筋點!H1107)</f>
        <v>7</v>
      </c>
      <c r="AH1107" s="37">
        <f>IF(最佳化斷筋點!I1107="","",最佳化斷筋點!I1107)</f>
        <v>7</v>
      </c>
      <c r="AI1107" s="37">
        <f>IF(最佳化斷筋點!J1107="","",最佳化斷筋點!J1107)</f>
        <v>6</v>
      </c>
      <c r="AJ1107" s="37">
        <f>IF(最佳化斷筋點!K1107="","",最佳化斷筋點!K1107)</f>
        <v>3</v>
      </c>
      <c r="AK1107" s="37">
        <f>IF(最佳化斷筋點!L1107="","",最佳化斷筋點!L1107)</f>
        <v>3</v>
      </c>
      <c r="AL1107" s="37">
        <f>IF(最佳化斷筋點!M1107="","",最佳化斷筋點!M1107)</f>
        <v>3</v>
      </c>
      <c r="AM1107" s="37">
        <f>IF(最佳化斷筋點!N1107="","",最佳化斷筋點!N1107)</f>
        <v>3</v>
      </c>
      <c r="AN1107" s="37">
        <f>IF(最佳化斷筋點!O1107="","",最佳化斷筋點!O1107)</f>
        <v>3</v>
      </c>
      <c r="AO1107" s="37">
        <f>IF(最佳化斷筋點!P1107="","",最佳化斷筋點!P1107)</f>
        <v>3</v>
      </c>
      <c r="AP1107" s="37">
        <f>IF(最佳化斷筋點!Q1107="","",最佳化斷筋點!Q1107)</f>
        <v>5</v>
      </c>
      <c r="AQ1107" s="37">
        <f>IF(最佳化斷筋點!R1107="","",最佳化斷筋點!R1107)</f>
        <v>6</v>
      </c>
      <c r="AR1107" s="37">
        <f>IF(最佳化斷筋點!S1107="","",最佳化斷筋點!S1107)</f>
        <v>6</v>
      </c>
      <c r="AS1107" s="37">
        <f>IF(最佳化斷筋點!T1107="","",最佳化斷筋點!T1107)</f>
        <v>7</v>
      </c>
      <c r="AT1107" s="37">
        <f>IF(最佳化斷筋點!U1107="","",最佳化斷筋點!U1107)</f>
        <v>7</v>
      </c>
      <c r="AU1107" s="37">
        <f>IF(最佳化斷筋點!V1107="","",最佳化斷筋點!V1107)</f>
        <v>7</v>
      </c>
      <c r="AV1107" s="37">
        <f>IF(最佳化斷筋點!W1107="","",最佳化斷筋點!W1107)</f>
        <v>7</v>
      </c>
      <c r="AW1107" s="37">
        <f>IF(最佳化斷筋點!X1107="","",最佳化斷筋點!X1107)</f>
        <v>7</v>
      </c>
      <c r="AZ1107" s="37">
        <v>7</v>
      </c>
      <c r="BA1107" s="37">
        <v>7</v>
      </c>
      <c r="BB1107" s="37">
        <v>7</v>
      </c>
      <c r="BC1107" s="37">
        <v>7</v>
      </c>
      <c r="BD1107" s="37">
        <v>7</v>
      </c>
      <c r="BE1107" s="37">
        <v>7</v>
      </c>
      <c r="BF1107" s="37">
        <v>6</v>
      </c>
      <c r="BG1107" s="37">
        <v>3</v>
      </c>
      <c r="BH1107" s="37">
        <v>3</v>
      </c>
      <c r="BI1107" s="37">
        <v>3</v>
      </c>
      <c r="BJ1107" s="37">
        <v>3</v>
      </c>
      <c r="BK1107" s="37">
        <v>3</v>
      </c>
      <c r="BL1107" s="37">
        <v>3</v>
      </c>
      <c r="BM1107" s="37">
        <v>5</v>
      </c>
      <c r="BN1107" s="37">
        <v>6</v>
      </c>
      <c r="BO1107" s="37">
        <v>6</v>
      </c>
      <c r="BP1107" s="37">
        <v>7</v>
      </c>
      <c r="BQ1107" s="37">
        <v>7</v>
      </c>
      <c r="BR1107" s="37">
        <v>7</v>
      </c>
      <c r="BS1107" s="37">
        <v>7</v>
      </c>
      <c r="BT1107" s="37">
        <v>7</v>
      </c>
    </row>
    <row r="1108" spans="5:72" x14ac:dyDescent="0.25">
      <c r="E1108" s="36"/>
      <c r="F1108" s="36">
        <f t="shared" si="358"/>
        <v>0</v>
      </c>
      <c r="G1108" s="36">
        <f t="shared" si="359"/>
        <v>0</v>
      </c>
      <c r="H1108" s="36">
        <f t="shared" si="360"/>
        <v>0</v>
      </c>
      <c r="I1108" s="36">
        <f t="shared" si="361"/>
        <v>0</v>
      </c>
      <c r="J1108" s="36">
        <f t="shared" si="362"/>
        <v>0</v>
      </c>
      <c r="K1108" s="36">
        <f t="shared" si="363"/>
        <v>0</v>
      </c>
      <c r="L1108" s="36">
        <f t="shared" si="364"/>
        <v>0</v>
      </c>
      <c r="M1108" s="36">
        <f t="shared" si="365"/>
        <v>0</v>
      </c>
      <c r="N1108" s="36">
        <f t="shared" si="366"/>
        <v>0</v>
      </c>
      <c r="O1108" s="36">
        <f t="shared" si="367"/>
        <v>0</v>
      </c>
      <c r="P1108" s="36">
        <f t="shared" si="368"/>
        <v>0</v>
      </c>
      <c r="Q1108" s="36">
        <f t="shared" si="369"/>
        <v>0</v>
      </c>
      <c r="R1108" s="36">
        <f t="shared" si="370"/>
        <v>0</v>
      </c>
      <c r="S1108" s="36">
        <f t="shared" si="371"/>
        <v>0</v>
      </c>
      <c r="T1108" s="36">
        <f t="shared" si="372"/>
        <v>0</v>
      </c>
      <c r="U1108" s="36">
        <f t="shared" si="373"/>
        <v>0</v>
      </c>
      <c r="V1108" s="36">
        <f t="shared" si="374"/>
        <v>0</v>
      </c>
      <c r="W1108" s="36">
        <f t="shared" si="375"/>
        <v>0</v>
      </c>
      <c r="X1108" s="36">
        <f t="shared" si="376"/>
        <v>0</v>
      </c>
      <c r="Y1108" s="36">
        <f t="shared" si="377"/>
        <v>0</v>
      </c>
      <c r="Z1108" s="36">
        <f t="shared" si="378"/>
        <v>0</v>
      </c>
      <c r="AB1108" s="36" t="str">
        <f>IF(最佳化斷筋點!C1108="","",最佳化斷筋點!C1108)</f>
        <v/>
      </c>
      <c r="AC1108" s="37" t="str">
        <f>IF(最佳化斷筋點!D1108="","",最佳化斷筋點!D1108)</f>
        <v/>
      </c>
      <c r="AD1108" s="37" t="str">
        <f>IF(最佳化斷筋點!E1108="","",最佳化斷筋點!E1108)</f>
        <v/>
      </c>
      <c r="AE1108" s="37" t="str">
        <f>IF(最佳化斷筋點!F1108="","",最佳化斷筋點!F1108)</f>
        <v/>
      </c>
      <c r="AF1108" s="37" t="str">
        <f>IF(最佳化斷筋點!G1108="","",最佳化斷筋點!G1108)</f>
        <v/>
      </c>
      <c r="AG1108" s="37" t="str">
        <f>IF(最佳化斷筋點!H1108="","",最佳化斷筋點!H1108)</f>
        <v/>
      </c>
      <c r="AH1108" s="37" t="str">
        <f>IF(最佳化斷筋點!I1108="","",最佳化斷筋點!I1108)</f>
        <v/>
      </c>
      <c r="AI1108" s="37" t="str">
        <f>IF(最佳化斷筋點!J1108="","",最佳化斷筋點!J1108)</f>
        <v/>
      </c>
      <c r="AJ1108" s="37" t="str">
        <f>IF(最佳化斷筋點!K1108="","",最佳化斷筋點!K1108)</f>
        <v/>
      </c>
      <c r="AK1108" s="37" t="str">
        <f>IF(最佳化斷筋點!L1108="","",最佳化斷筋點!L1108)</f>
        <v/>
      </c>
      <c r="AL1108" s="37" t="str">
        <f>IF(最佳化斷筋點!M1108="","",最佳化斷筋點!M1108)</f>
        <v/>
      </c>
      <c r="AM1108" s="37" t="str">
        <f>IF(最佳化斷筋點!N1108="","",最佳化斷筋點!N1108)</f>
        <v/>
      </c>
      <c r="AN1108" s="37" t="str">
        <f>IF(最佳化斷筋點!O1108="","",最佳化斷筋點!O1108)</f>
        <v/>
      </c>
      <c r="AO1108" s="37" t="str">
        <f>IF(最佳化斷筋點!P1108="","",最佳化斷筋點!P1108)</f>
        <v/>
      </c>
      <c r="AP1108" s="37" t="str">
        <f>IF(最佳化斷筋點!Q1108="","",最佳化斷筋點!Q1108)</f>
        <v/>
      </c>
      <c r="AQ1108" s="37" t="str">
        <f>IF(最佳化斷筋點!R1108="","",最佳化斷筋點!R1108)</f>
        <v/>
      </c>
      <c r="AR1108" s="37" t="str">
        <f>IF(最佳化斷筋點!S1108="","",最佳化斷筋點!S1108)</f>
        <v/>
      </c>
      <c r="AS1108" s="37" t="str">
        <f>IF(最佳化斷筋點!T1108="","",最佳化斷筋點!T1108)</f>
        <v/>
      </c>
      <c r="AT1108" s="37" t="str">
        <f>IF(最佳化斷筋點!U1108="","",最佳化斷筋點!U1108)</f>
        <v/>
      </c>
      <c r="AU1108" s="37" t="str">
        <f>IF(最佳化斷筋點!V1108="","",最佳化斷筋點!V1108)</f>
        <v/>
      </c>
      <c r="AV1108" s="37" t="str">
        <f>IF(最佳化斷筋點!W1108="","",最佳化斷筋點!W1108)</f>
        <v/>
      </c>
      <c r="AW1108" s="37" t="str">
        <f>IF(最佳化斷筋點!X1108="","",最佳化斷筋點!X1108)</f>
        <v/>
      </c>
      <c r="AZ1108" s="37" t="s">
        <v>197</v>
      </c>
      <c r="BA1108" s="37" t="s">
        <v>197</v>
      </c>
      <c r="BB1108" s="37" t="s">
        <v>197</v>
      </c>
      <c r="BC1108" s="37" t="s">
        <v>197</v>
      </c>
      <c r="BD1108" s="37" t="s">
        <v>197</v>
      </c>
      <c r="BE1108" s="37" t="s">
        <v>197</v>
      </c>
      <c r="BF1108" s="37" t="s">
        <v>197</v>
      </c>
      <c r="BG1108" s="37" t="s">
        <v>197</v>
      </c>
      <c r="BH1108" s="37" t="s">
        <v>197</v>
      </c>
      <c r="BI1108" s="37" t="s">
        <v>197</v>
      </c>
      <c r="BJ1108" s="37" t="s">
        <v>197</v>
      </c>
      <c r="BK1108" s="37" t="s">
        <v>197</v>
      </c>
      <c r="BL1108" s="37" t="s">
        <v>197</v>
      </c>
      <c r="BM1108" s="37" t="s">
        <v>197</v>
      </c>
      <c r="BN1108" s="37" t="s">
        <v>197</v>
      </c>
      <c r="BO1108" s="37" t="s">
        <v>197</v>
      </c>
      <c r="BP1108" s="37" t="s">
        <v>197</v>
      </c>
      <c r="BQ1108" s="37" t="s">
        <v>197</v>
      </c>
      <c r="BR1108" s="37" t="s">
        <v>197</v>
      </c>
      <c r="BS1108" s="37" t="s">
        <v>197</v>
      </c>
      <c r="BT1108" s="37" t="s">
        <v>197</v>
      </c>
    </row>
    <row r="1109" spans="5:72" x14ac:dyDescent="0.25">
      <c r="E1109" s="36" t="s">
        <v>21</v>
      </c>
      <c r="F1109" s="36">
        <f t="shared" si="358"/>
        <v>0</v>
      </c>
      <c r="G1109" s="36">
        <f t="shared" si="359"/>
        <v>0</v>
      </c>
      <c r="H1109" s="36">
        <f t="shared" si="360"/>
        <v>0</v>
      </c>
      <c r="I1109" s="36">
        <f t="shared" si="361"/>
        <v>0</v>
      </c>
      <c r="J1109" s="36">
        <f t="shared" si="362"/>
        <v>0</v>
      </c>
      <c r="K1109" s="36">
        <f t="shared" si="363"/>
        <v>0</v>
      </c>
      <c r="L1109" s="36">
        <f t="shared" si="364"/>
        <v>0</v>
      </c>
      <c r="M1109" s="36">
        <f t="shared" si="365"/>
        <v>0</v>
      </c>
      <c r="N1109" s="36">
        <f t="shared" si="366"/>
        <v>0</v>
      </c>
      <c r="O1109" s="36">
        <f t="shared" si="367"/>
        <v>0</v>
      </c>
      <c r="P1109" s="36">
        <f t="shared" si="368"/>
        <v>0</v>
      </c>
      <c r="Q1109" s="36">
        <f t="shared" si="369"/>
        <v>0</v>
      </c>
      <c r="R1109" s="36">
        <f t="shared" si="370"/>
        <v>0</v>
      </c>
      <c r="S1109" s="36">
        <f t="shared" si="371"/>
        <v>0</v>
      </c>
      <c r="T1109" s="36">
        <f t="shared" si="372"/>
        <v>0</v>
      </c>
      <c r="U1109" s="36">
        <f t="shared" si="373"/>
        <v>0</v>
      </c>
      <c r="V1109" s="36">
        <f t="shared" si="374"/>
        <v>0</v>
      </c>
      <c r="W1109" s="36">
        <f t="shared" si="375"/>
        <v>0</v>
      </c>
      <c r="X1109" s="36">
        <f t="shared" si="376"/>
        <v>0</v>
      </c>
      <c r="Y1109" s="36">
        <f t="shared" si="377"/>
        <v>0</v>
      </c>
      <c r="Z1109" s="36">
        <f t="shared" si="378"/>
        <v>0</v>
      </c>
      <c r="AB1109" s="36" t="str">
        <f>IF(最佳化斷筋點!C1109="","",最佳化斷筋點!C1109)</f>
        <v>下層</v>
      </c>
      <c r="AC1109" s="37">
        <f>IF(最佳化斷筋點!D1109="","",最佳化斷筋點!D1109)</f>
        <v>9</v>
      </c>
      <c r="AD1109" s="37">
        <f>IF(最佳化斷筋點!E1109="","",最佳化斷筋點!E1109)</f>
        <v>9</v>
      </c>
      <c r="AE1109" s="37">
        <f>IF(最佳化斷筋點!F1109="","",最佳化斷筋點!F1109)</f>
        <v>9</v>
      </c>
      <c r="AF1109" s="37">
        <f>IF(最佳化斷筋點!G1109="","",最佳化斷筋點!G1109)</f>
        <v>9</v>
      </c>
      <c r="AG1109" s="37">
        <f>IF(最佳化斷筋點!H1109="","",最佳化斷筋點!H1109)</f>
        <v>9</v>
      </c>
      <c r="AH1109" s="37">
        <f>IF(最佳化斷筋點!I1109="","",最佳化斷筋點!I1109)</f>
        <v>8</v>
      </c>
      <c r="AI1109" s="37">
        <f>IF(最佳化斷筋點!J1109="","",最佳化斷筋點!J1109)</f>
        <v>7</v>
      </c>
      <c r="AJ1109" s="37">
        <f>IF(最佳化斷筋點!K1109="","",最佳化斷筋點!K1109)</f>
        <v>3</v>
      </c>
      <c r="AK1109" s="37">
        <f>IF(最佳化斷筋點!L1109="","",最佳化斷筋點!L1109)</f>
        <v>3</v>
      </c>
      <c r="AL1109" s="37">
        <f>IF(最佳化斷筋點!M1109="","",最佳化斷筋點!M1109)</f>
        <v>3</v>
      </c>
      <c r="AM1109" s="37">
        <f>IF(最佳化斷筋點!N1109="","",最佳化斷筋點!N1109)</f>
        <v>3</v>
      </c>
      <c r="AN1109" s="37">
        <f>IF(最佳化斷筋點!O1109="","",最佳化斷筋點!O1109)</f>
        <v>3</v>
      </c>
      <c r="AO1109" s="37">
        <f>IF(最佳化斷筋點!P1109="","",最佳化斷筋點!P1109)</f>
        <v>3</v>
      </c>
      <c r="AP1109" s="37">
        <f>IF(最佳化斷筋點!Q1109="","",最佳化斷筋點!Q1109)</f>
        <v>7</v>
      </c>
      <c r="AQ1109" s="37">
        <f>IF(最佳化斷筋點!R1109="","",最佳化斷筋點!R1109)</f>
        <v>8</v>
      </c>
      <c r="AR1109" s="37">
        <f>IF(最佳化斷筋點!S1109="","",最佳化斷筋點!S1109)</f>
        <v>9</v>
      </c>
      <c r="AS1109" s="37">
        <f>IF(最佳化斷筋點!T1109="","",最佳化斷筋點!T1109)</f>
        <v>10</v>
      </c>
      <c r="AT1109" s="37">
        <f>IF(最佳化斷筋點!U1109="","",最佳化斷筋點!U1109)</f>
        <v>10</v>
      </c>
      <c r="AU1109" s="37">
        <f>IF(最佳化斷筋點!V1109="","",最佳化斷筋點!V1109)</f>
        <v>10</v>
      </c>
      <c r="AV1109" s="37">
        <f>IF(最佳化斷筋點!W1109="","",最佳化斷筋點!W1109)</f>
        <v>10</v>
      </c>
      <c r="AW1109" s="37">
        <f>IF(最佳化斷筋點!X1109="","",最佳化斷筋點!X1109)</f>
        <v>10</v>
      </c>
      <c r="AZ1109" s="37">
        <v>9</v>
      </c>
      <c r="BA1109" s="37">
        <v>9</v>
      </c>
      <c r="BB1109" s="37">
        <v>9</v>
      </c>
      <c r="BC1109" s="37">
        <v>9</v>
      </c>
      <c r="BD1109" s="37">
        <v>9</v>
      </c>
      <c r="BE1109" s="37">
        <v>8</v>
      </c>
      <c r="BF1109" s="37">
        <v>7</v>
      </c>
      <c r="BG1109" s="37">
        <v>3</v>
      </c>
      <c r="BH1109" s="37">
        <v>3</v>
      </c>
      <c r="BI1109" s="37">
        <v>3</v>
      </c>
      <c r="BJ1109" s="37">
        <v>3</v>
      </c>
      <c r="BK1109" s="37">
        <v>3</v>
      </c>
      <c r="BL1109" s="37">
        <v>3</v>
      </c>
      <c r="BM1109" s="37">
        <v>7</v>
      </c>
      <c r="BN1109" s="37">
        <v>8</v>
      </c>
      <c r="BO1109" s="37">
        <v>9</v>
      </c>
      <c r="BP1109" s="37">
        <v>10</v>
      </c>
      <c r="BQ1109" s="37">
        <v>10</v>
      </c>
      <c r="BR1109" s="37">
        <v>10</v>
      </c>
      <c r="BS1109" s="37">
        <v>10</v>
      </c>
      <c r="BT1109" s="37">
        <v>10</v>
      </c>
    </row>
    <row r="1110" spans="5:72" x14ac:dyDescent="0.25">
      <c r="E1110" s="36"/>
      <c r="F1110" s="36">
        <f t="shared" si="358"/>
        <v>0</v>
      </c>
      <c r="G1110" s="36">
        <f t="shared" si="359"/>
        <v>0</v>
      </c>
      <c r="H1110" s="36">
        <f t="shared" si="360"/>
        <v>0</v>
      </c>
      <c r="I1110" s="36">
        <f t="shared" si="361"/>
        <v>0</v>
      </c>
      <c r="J1110" s="36">
        <f t="shared" si="362"/>
        <v>0</v>
      </c>
      <c r="K1110" s="36">
        <f t="shared" si="363"/>
        <v>0</v>
      </c>
      <c r="L1110" s="36">
        <f t="shared" si="364"/>
        <v>0</v>
      </c>
      <c r="M1110" s="36">
        <f t="shared" si="365"/>
        <v>0</v>
      </c>
      <c r="N1110" s="36">
        <f t="shared" si="366"/>
        <v>0</v>
      </c>
      <c r="O1110" s="36">
        <f t="shared" si="367"/>
        <v>0</v>
      </c>
      <c r="P1110" s="36">
        <f t="shared" si="368"/>
        <v>0</v>
      </c>
      <c r="Q1110" s="36">
        <f t="shared" si="369"/>
        <v>0</v>
      </c>
      <c r="R1110" s="36">
        <f t="shared" si="370"/>
        <v>0</v>
      </c>
      <c r="S1110" s="36">
        <f t="shared" si="371"/>
        <v>0</v>
      </c>
      <c r="T1110" s="36">
        <f t="shared" si="372"/>
        <v>0</v>
      </c>
      <c r="U1110" s="36">
        <f t="shared" si="373"/>
        <v>0</v>
      </c>
      <c r="V1110" s="36">
        <f t="shared" si="374"/>
        <v>0</v>
      </c>
      <c r="W1110" s="36">
        <f t="shared" si="375"/>
        <v>0</v>
      </c>
      <c r="X1110" s="36">
        <f t="shared" si="376"/>
        <v>0</v>
      </c>
      <c r="Y1110" s="36">
        <f t="shared" si="377"/>
        <v>0</v>
      </c>
      <c r="Z1110" s="36">
        <f t="shared" si="378"/>
        <v>0</v>
      </c>
      <c r="AB1110" s="36" t="str">
        <f>IF(最佳化斷筋點!C1110="","",最佳化斷筋點!C1110)</f>
        <v/>
      </c>
      <c r="AC1110" s="37" t="str">
        <f>IF(最佳化斷筋點!D1110="","",最佳化斷筋點!D1110)</f>
        <v/>
      </c>
      <c r="AD1110" s="37" t="str">
        <f>IF(最佳化斷筋點!E1110="","",最佳化斷筋點!E1110)</f>
        <v/>
      </c>
      <c r="AE1110" s="37" t="str">
        <f>IF(最佳化斷筋點!F1110="","",最佳化斷筋點!F1110)</f>
        <v/>
      </c>
      <c r="AF1110" s="37" t="str">
        <f>IF(最佳化斷筋點!G1110="","",最佳化斷筋點!G1110)</f>
        <v/>
      </c>
      <c r="AG1110" s="37" t="str">
        <f>IF(最佳化斷筋點!H1110="","",最佳化斷筋點!H1110)</f>
        <v/>
      </c>
      <c r="AH1110" s="37" t="str">
        <f>IF(最佳化斷筋點!I1110="","",最佳化斷筋點!I1110)</f>
        <v/>
      </c>
      <c r="AI1110" s="37" t="str">
        <f>IF(最佳化斷筋點!J1110="","",最佳化斷筋點!J1110)</f>
        <v/>
      </c>
      <c r="AJ1110" s="37" t="str">
        <f>IF(最佳化斷筋點!K1110="","",最佳化斷筋點!K1110)</f>
        <v/>
      </c>
      <c r="AK1110" s="37" t="str">
        <f>IF(最佳化斷筋點!L1110="","",最佳化斷筋點!L1110)</f>
        <v/>
      </c>
      <c r="AL1110" s="37" t="str">
        <f>IF(最佳化斷筋點!M1110="","",最佳化斷筋點!M1110)</f>
        <v/>
      </c>
      <c r="AM1110" s="37" t="str">
        <f>IF(最佳化斷筋點!N1110="","",最佳化斷筋點!N1110)</f>
        <v/>
      </c>
      <c r="AN1110" s="37" t="str">
        <f>IF(最佳化斷筋點!O1110="","",最佳化斷筋點!O1110)</f>
        <v/>
      </c>
      <c r="AO1110" s="37" t="str">
        <f>IF(最佳化斷筋點!P1110="","",最佳化斷筋點!P1110)</f>
        <v/>
      </c>
      <c r="AP1110" s="37" t="str">
        <f>IF(最佳化斷筋點!Q1110="","",最佳化斷筋點!Q1110)</f>
        <v/>
      </c>
      <c r="AQ1110" s="37" t="str">
        <f>IF(最佳化斷筋點!R1110="","",最佳化斷筋點!R1110)</f>
        <v/>
      </c>
      <c r="AR1110" s="37" t="str">
        <f>IF(最佳化斷筋點!S1110="","",最佳化斷筋點!S1110)</f>
        <v/>
      </c>
      <c r="AS1110" s="37" t="str">
        <f>IF(最佳化斷筋點!T1110="","",最佳化斷筋點!T1110)</f>
        <v/>
      </c>
      <c r="AT1110" s="37" t="str">
        <f>IF(最佳化斷筋點!U1110="","",最佳化斷筋點!U1110)</f>
        <v/>
      </c>
      <c r="AU1110" s="37" t="str">
        <f>IF(最佳化斷筋點!V1110="","",最佳化斷筋點!V1110)</f>
        <v/>
      </c>
      <c r="AV1110" s="37" t="str">
        <f>IF(最佳化斷筋點!W1110="","",最佳化斷筋點!W1110)</f>
        <v/>
      </c>
      <c r="AW1110" s="37" t="str">
        <f>IF(最佳化斷筋點!X1110="","",最佳化斷筋點!X1110)</f>
        <v/>
      </c>
      <c r="AZ1110" s="37" t="s">
        <v>197</v>
      </c>
      <c r="BA1110" s="37" t="s">
        <v>197</v>
      </c>
      <c r="BB1110" s="37" t="s">
        <v>197</v>
      </c>
      <c r="BC1110" s="37" t="s">
        <v>197</v>
      </c>
      <c r="BD1110" s="37" t="s">
        <v>197</v>
      </c>
      <c r="BE1110" s="37" t="s">
        <v>197</v>
      </c>
      <c r="BF1110" s="37" t="s">
        <v>197</v>
      </c>
      <c r="BG1110" s="37" t="s">
        <v>197</v>
      </c>
      <c r="BH1110" s="37" t="s">
        <v>197</v>
      </c>
      <c r="BI1110" s="37" t="s">
        <v>197</v>
      </c>
      <c r="BJ1110" s="37" t="s">
        <v>197</v>
      </c>
      <c r="BK1110" s="37" t="s">
        <v>197</v>
      </c>
      <c r="BL1110" s="37" t="s">
        <v>197</v>
      </c>
      <c r="BM1110" s="37" t="s">
        <v>197</v>
      </c>
      <c r="BN1110" s="37" t="s">
        <v>197</v>
      </c>
      <c r="BO1110" s="37" t="s">
        <v>197</v>
      </c>
      <c r="BP1110" s="37" t="s">
        <v>197</v>
      </c>
      <c r="BQ1110" s="37" t="s">
        <v>197</v>
      </c>
      <c r="BR1110" s="37" t="s">
        <v>197</v>
      </c>
      <c r="BS1110" s="37" t="s">
        <v>197</v>
      </c>
      <c r="BT1110" s="37" t="s">
        <v>197</v>
      </c>
    </row>
    <row r="1111" spans="5:72" x14ac:dyDescent="0.25">
      <c r="E1111" s="36" t="s">
        <v>20</v>
      </c>
      <c r="F1111" s="36">
        <f t="shared" si="358"/>
        <v>0</v>
      </c>
      <c r="G1111" s="36">
        <f t="shared" si="359"/>
        <v>0</v>
      </c>
      <c r="H1111" s="36">
        <f t="shared" si="360"/>
        <v>0</v>
      </c>
      <c r="I1111" s="36">
        <f t="shared" si="361"/>
        <v>0</v>
      </c>
      <c r="J1111" s="36">
        <f t="shared" si="362"/>
        <v>0</v>
      </c>
      <c r="K1111" s="36">
        <f t="shared" si="363"/>
        <v>0</v>
      </c>
      <c r="L1111" s="36">
        <f t="shared" si="364"/>
        <v>0</v>
      </c>
      <c r="M1111" s="36">
        <f t="shared" si="365"/>
        <v>0</v>
      </c>
      <c r="N1111" s="36">
        <f t="shared" si="366"/>
        <v>0</v>
      </c>
      <c r="O1111" s="36">
        <f t="shared" si="367"/>
        <v>0</v>
      </c>
      <c r="P1111" s="36">
        <f t="shared" si="368"/>
        <v>0</v>
      </c>
      <c r="Q1111" s="36">
        <f t="shared" si="369"/>
        <v>0</v>
      </c>
      <c r="R1111" s="36">
        <f t="shared" si="370"/>
        <v>0</v>
      </c>
      <c r="S1111" s="36">
        <f t="shared" si="371"/>
        <v>0</v>
      </c>
      <c r="T1111" s="36">
        <f t="shared" si="372"/>
        <v>0</v>
      </c>
      <c r="U1111" s="36">
        <f t="shared" si="373"/>
        <v>0</v>
      </c>
      <c r="V1111" s="36">
        <f t="shared" si="374"/>
        <v>0</v>
      </c>
      <c r="W1111" s="36">
        <f t="shared" si="375"/>
        <v>0</v>
      </c>
      <c r="X1111" s="36">
        <f t="shared" si="376"/>
        <v>0</v>
      </c>
      <c r="Y1111" s="36">
        <f t="shared" si="377"/>
        <v>0</v>
      </c>
      <c r="Z1111" s="36">
        <f t="shared" si="378"/>
        <v>0</v>
      </c>
      <c r="AB1111" s="36" t="str">
        <f>IF(最佳化斷筋點!C1111="","",最佳化斷筋點!C1111)</f>
        <v>上層</v>
      </c>
      <c r="AC1111" s="37">
        <f>IF(最佳化斷筋點!D1111="","",最佳化斷筋點!D1111)</f>
        <v>7</v>
      </c>
      <c r="AD1111" s="37">
        <f>IF(最佳化斷筋點!E1111="","",最佳化斷筋點!E1111)</f>
        <v>7</v>
      </c>
      <c r="AE1111" s="37">
        <f>IF(最佳化斷筋點!F1111="","",最佳化斷筋點!F1111)</f>
        <v>7</v>
      </c>
      <c r="AF1111" s="37">
        <f>IF(最佳化斷筋點!G1111="","",最佳化斷筋點!G1111)</f>
        <v>7</v>
      </c>
      <c r="AG1111" s="37">
        <f>IF(最佳化斷筋點!H1111="","",最佳化斷筋點!H1111)</f>
        <v>7</v>
      </c>
      <c r="AH1111" s="37">
        <f>IF(最佳化斷筋點!I1111="","",最佳化斷筋點!I1111)</f>
        <v>7</v>
      </c>
      <c r="AI1111" s="37">
        <f>IF(最佳化斷筋點!J1111="","",最佳化斷筋點!J1111)</f>
        <v>7</v>
      </c>
      <c r="AJ1111" s="37">
        <f>IF(最佳化斷筋點!K1111="","",最佳化斷筋點!K1111)</f>
        <v>3</v>
      </c>
      <c r="AK1111" s="37">
        <f>IF(最佳化斷筋點!L1111="","",最佳化斷筋點!L1111)</f>
        <v>3</v>
      </c>
      <c r="AL1111" s="37">
        <f>IF(最佳化斷筋點!M1111="","",最佳化斷筋點!M1111)</f>
        <v>3</v>
      </c>
      <c r="AM1111" s="37">
        <f>IF(最佳化斷筋點!N1111="","",最佳化斷筋點!N1111)</f>
        <v>3</v>
      </c>
      <c r="AN1111" s="37">
        <f>IF(最佳化斷筋點!O1111="","",最佳化斷筋點!O1111)</f>
        <v>3</v>
      </c>
      <c r="AO1111" s="37">
        <f>IF(最佳化斷筋點!P1111="","",最佳化斷筋點!P1111)</f>
        <v>3</v>
      </c>
      <c r="AP1111" s="37">
        <f>IF(最佳化斷筋點!Q1111="","",最佳化斷筋點!Q1111)</f>
        <v>5</v>
      </c>
      <c r="AQ1111" s="37">
        <f>IF(最佳化斷筋點!R1111="","",最佳化斷筋點!R1111)</f>
        <v>6</v>
      </c>
      <c r="AR1111" s="37">
        <f>IF(最佳化斷筋點!S1111="","",最佳化斷筋點!S1111)</f>
        <v>6</v>
      </c>
      <c r="AS1111" s="37">
        <f>IF(最佳化斷筋點!T1111="","",最佳化斷筋點!T1111)</f>
        <v>6</v>
      </c>
      <c r="AT1111" s="37">
        <f>IF(最佳化斷筋點!U1111="","",最佳化斷筋點!U1111)</f>
        <v>6</v>
      </c>
      <c r="AU1111" s="37">
        <f>IF(最佳化斷筋點!V1111="","",最佳化斷筋點!V1111)</f>
        <v>6</v>
      </c>
      <c r="AV1111" s="37">
        <f>IF(最佳化斷筋點!W1111="","",最佳化斷筋點!W1111)</f>
        <v>6</v>
      </c>
      <c r="AW1111" s="37">
        <f>IF(最佳化斷筋點!X1111="","",最佳化斷筋點!X1111)</f>
        <v>6</v>
      </c>
      <c r="AZ1111" s="37">
        <v>7</v>
      </c>
      <c r="BA1111" s="37">
        <v>7</v>
      </c>
      <c r="BB1111" s="37">
        <v>7</v>
      </c>
      <c r="BC1111" s="37">
        <v>7</v>
      </c>
      <c r="BD1111" s="37">
        <v>7</v>
      </c>
      <c r="BE1111" s="37">
        <v>7</v>
      </c>
      <c r="BF1111" s="37">
        <v>7</v>
      </c>
      <c r="BG1111" s="37">
        <v>3</v>
      </c>
      <c r="BH1111" s="37">
        <v>3</v>
      </c>
      <c r="BI1111" s="37">
        <v>3</v>
      </c>
      <c r="BJ1111" s="37">
        <v>3</v>
      </c>
      <c r="BK1111" s="37">
        <v>3</v>
      </c>
      <c r="BL1111" s="37">
        <v>3</v>
      </c>
      <c r="BM1111" s="37">
        <v>5</v>
      </c>
      <c r="BN1111" s="37">
        <v>6</v>
      </c>
      <c r="BO1111" s="37">
        <v>6</v>
      </c>
      <c r="BP1111" s="37">
        <v>6</v>
      </c>
      <c r="BQ1111" s="37">
        <v>6</v>
      </c>
      <c r="BR1111" s="37">
        <v>6</v>
      </c>
      <c r="BS1111" s="37">
        <v>6</v>
      </c>
      <c r="BT1111" s="37">
        <v>6</v>
      </c>
    </row>
    <row r="1112" spans="5:72" x14ac:dyDescent="0.25">
      <c r="E1112" s="36"/>
      <c r="F1112" s="36">
        <f t="shared" si="358"/>
        <v>0</v>
      </c>
      <c r="G1112" s="36">
        <f t="shared" si="359"/>
        <v>0</v>
      </c>
      <c r="H1112" s="36">
        <f t="shared" si="360"/>
        <v>0</v>
      </c>
      <c r="I1112" s="36">
        <f t="shared" si="361"/>
        <v>0</v>
      </c>
      <c r="J1112" s="36">
        <f t="shared" si="362"/>
        <v>0</v>
      </c>
      <c r="K1112" s="36">
        <f t="shared" si="363"/>
        <v>0</v>
      </c>
      <c r="L1112" s="36">
        <f t="shared" si="364"/>
        <v>0</v>
      </c>
      <c r="M1112" s="36">
        <f t="shared" si="365"/>
        <v>0</v>
      </c>
      <c r="N1112" s="36">
        <f t="shared" si="366"/>
        <v>0</v>
      </c>
      <c r="O1112" s="36">
        <f t="shared" si="367"/>
        <v>0</v>
      </c>
      <c r="P1112" s="36">
        <f t="shared" si="368"/>
        <v>0</v>
      </c>
      <c r="Q1112" s="36">
        <f t="shared" si="369"/>
        <v>0</v>
      </c>
      <c r="R1112" s="36">
        <f t="shared" si="370"/>
        <v>0</v>
      </c>
      <c r="S1112" s="36">
        <f t="shared" si="371"/>
        <v>0</v>
      </c>
      <c r="T1112" s="36">
        <f t="shared" si="372"/>
        <v>0</v>
      </c>
      <c r="U1112" s="36">
        <f t="shared" si="373"/>
        <v>0</v>
      </c>
      <c r="V1112" s="36">
        <f t="shared" si="374"/>
        <v>0</v>
      </c>
      <c r="W1112" s="36">
        <f t="shared" si="375"/>
        <v>0</v>
      </c>
      <c r="X1112" s="36">
        <f t="shared" si="376"/>
        <v>0</v>
      </c>
      <c r="Y1112" s="36">
        <f t="shared" si="377"/>
        <v>0</v>
      </c>
      <c r="Z1112" s="36">
        <f t="shared" si="378"/>
        <v>0</v>
      </c>
      <c r="AB1112" s="36" t="str">
        <f>IF(最佳化斷筋點!C1112="","",最佳化斷筋點!C1112)</f>
        <v/>
      </c>
      <c r="AC1112" s="37" t="str">
        <f>IF(最佳化斷筋點!D1112="","",最佳化斷筋點!D1112)</f>
        <v/>
      </c>
      <c r="AD1112" s="37" t="str">
        <f>IF(最佳化斷筋點!E1112="","",最佳化斷筋點!E1112)</f>
        <v/>
      </c>
      <c r="AE1112" s="37" t="str">
        <f>IF(最佳化斷筋點!F1112="","",最佳化斷筋點!F1112)</f>
        <v/>
      </c>
      <c r="AF1112" s="37" t="str">
        <f>IF(最佳化斷筋點!G1112="","",最佳化斷筋點!G1112)</f>
        <v/>
      </c>
      <c r="AG1112" s="37" t="str">
        <f>IF(最佳化斷筋點!H1112="","",最佳化斷筋點!H1112)</f>
        <v/>
      </c>
      <c r="AH1112" s="37" t="str">
        <f>IF(最佳化斷筋點!I1112="","",最佳化斷筋點!I1112)</f>
        <v/>
      </c>
      <c r="AI1112" s="37" t="str">
        <f>IF(最佳化斷筋點!J1112="","",最佳化斷筋點!J1112)</f>
        <v/>
      </c>
      <c r="AJ1112" s="37" t="str">
        <f>IF(最佳化斷筋點!K1112="","",最佳化斷筋點!K1112)</f>
        <v/>
      </c>
      <c r="AK1112" s="37" t="str">
        <f>IF(最佳化斷筋點!L1112="","",最佳化斷筋點!L1112)</f>
        <v/>
      </c>
      <c r="AL1112" s="37" t="str">
        <f>IF(最佳化斷筋點!M1112="","",最佳化斷筋點!M1112)</f>
        <v/>
      </c>
      <c r="AM1112" s="37" t="str">
        <f>IF(最佳化斷筋點!N1112="","",最佳化斷筋點!N1112)</f>
        <v/>
      </c>
      <c r="AN1112" s="37" t="str">
        <f>IF(最佳化斷筋點!O1112="","",最佳化斷筋點!O1112)</f>
        <v/>
      </c>
      <c r="AO1112" s="37" t="str">
        <f>IF(最佳化斷筋點!P1112="","",最佳化斷筋點!P1112)</f>
        <v/>
      </c>
      <c r="AP1112" s="37" t="str">
        <f>IF(最佳化斷筋點!Q1112="","",最佳化斷筋點!Q1112)</f>
        <v/>
      </c>
      <c r="AQ1112" s="37" t="str">
        <f>IF(最佳化斷筋點!R1112="","",最佳化斷筋點!R1112)</f>
        <v/>
      </c>
      <c r="AR1112" s="37" t="str">
        <f>IF(最佳化斷筋點!S1112="","",最佳化斷筋點!S1112)</f>
        <v/>
      </c>
      <c r="AS1112" s="37" t="str">
        <f>IF(最佳化斷筋點!T1112="","",最佳化斷筋點!T1112)</f>
        <v/>
      </c>
      <c r="AT1112" s="37" t="str">
        <f>IF(最佳化斷筋點!U1112="","",最佳化斷筋點!U1112)</f>
        <v/>
      </c>
      <c r="AU1112" s="37" t="str">
        <f>IF(最佳化斷筋點!V1112="","",最佳化斷筋點!V1112)</f>
        <v/>
      </c>
      <c r="AV1112" s="37" t="str">
        <f>IF(最佳化斷筋點!W1112="","",最佳化斷筋點!W1112)</f>
        <v/>
      </c>
      <c r="AW1112" s="37" t="str">
        <f>IF(最佳化斷筋點!X1112="","",最佳化斷筋點!X1112)</f>
        <v/>
      </c>
      <c r="AZ1112" s="37" t="s">
        <v>197</v>
      </c>
      <c r="BA1112" s="37" t="s">
        <v>197</v>
      </c>
      <c r="BB1112" s="37" t="s">
        <v>197</v>
      </c>
      <c r="BC1112" s="37" t="s">
        <v>197</v>
      </c>
      <c r="BD1112" s="37" t="s">
        <v>197</v>
      </c>
      <c r="BE1112" s="37" t="s">
        <v>197</v>
      </c>
      <c r="BF1112" s="37" t="s">
        <v>197</v>
      </c>
      <c r="BG1112" s="37" t="s">
        <v>197</v>
      </c>
      <c r="BH1112" s="37" t="s">
        <v>197</v>
      </c>
      <c r="BI1112" s="37" t="s">
        <v>197</v>
      </c>
      <c r="BJ1112" s="37" t="s">
        <v>197</v>
      </c>
      <c r="BK1112" s="37" t="s">
        <v>197</v>
      </c>
      <c r="BL1112" s="37" t="s">
        <v>197</v>
      </c>
      <c r="BM1112" s="37" t="s">
        <v>197</v>
      </c>
      <c r="BN1112" s="37" t="s">
        <v>197</v>
      </c>
      <c r="BO1112" s="37" t="s">
        <v>197</v>
      </c>
      <c r="BP1112" s="37" t="s">
        <v>197</v>
      </c>
      <c r="BQ1112" s="37" t="s">
        <v>197</v>
      </c>
      <c r="BR1112" s="37" t="s">
        <v>197</v>
      </c>
      <c r="BS1112" s="37" t="s">
        <v>197</v>
      </c>
      <c r="BT1112" s="37" t="s">
        <v>197</v>
      </c>
    </row>
    <row r="1113" spans="5:72" x14ac:dyDescent="0.25">
      <c r="E1113" s="36" t="s">
        <v>21</v>
      </c>
      <c r="F1113" s="36">
        <f t="shared" si="358"/>
        <v>0</v>
      </c>
      <c r="G1113" s="36">
        <f t="shared" si="359"/>
        <v>0</v>
      </c>
      <c r="H1113" s="36">
        <f t="shared" si="360"/>
        <v>0</v>
      </c>
      <c r="I1113" s="36">
        <f t="shared" si="361"/>
        <v>0</v>
      </c>
      <c r="J1113" s="36">
        <f t="shared" si="362"/>
        <v>0</v>
      </c>
      <c r="K1113" s="36">
        <f t="shared" si="363"/>
        <v>0</v>
      </c>
      <c r="L1113" s="36">
        <f t="shared" si="364"/>
        <v>0</v>
      </c>
      <c r="M1113" s="36">
        <f t="shared" si="365"/>
        <v>0</v>
      </c>
      <c r="N1113" s="36">
        <f t="shared" si="366"/>
        <v>0</v>
      </c>
      <c r="O1113" s="36">
        <f t="shared" si="367"/>
        <v>0</v>
      </c>
      <c r="P1113" s="36">
        <f t="shared" si="368"/>
        <v>0</v>
      </c>
      <c r="Q1113" s="36">
        <f t="shared" si="369"/>
        <v>0</v>
      </c>
      <c r="R1113" s="36">
        <f t="shared" si="370"/>
        <v>0</v>
      </c>
      <c r="S1113" s="36">
        <f t="shared" si="371"/>
        <v>0</v>
      </c>
      <c r="T1113" s="36">
        <f t="shared" si="372"/>
        <v>0</v>
      </c>
      <c r="U1113" s="36">
        <f t="shared" si="373"/>
        <v>0</v>
      </c>
      <c r="V1113" s="36">
        <f t="shared" si="374"/>
        <v>0</v>
      </c>
      <c r="W1113" s="36">
        <f t="shared" si="375"/>
        <v>0</v>
      </c>
      <c r="X1113" s="36">
        <f t="shared" si="376"/>
        <v>0</v>
      </c>
      <c r="Y1113" s="36">
        <f t="shared" si="377"/>
        <v>0</v>
      </c>
      <c r="Z1113" s="36">
        <f t="shared" si="378"/>
        <v>0</v>
      </c>
      <c r="AB1113" s="36" t="str">
        <f>IF(最佳化斷筋點!C1113="","",最佳化斷筋點!C1113)</f>
        <v>下層</v>
      </c>
      <c r="AC1113" s="37">
        <f>IF(最佳化斷筋點!D1113="","",最佳化斷筋點!D1113)</f>
        <v>9</v>
      </c>
      <c r="AD1113" s="37">
        <f>IF(最佳化斷筋點!E1113="","",最佳化斷筋點!E1113)</f>
        <v>9</v>
      </c>
      <c r="AE1113" s="37">
        <f>IF(最佳化斷筋點!F1113="","",最佳化斷筋點!F1113)</f>
        <v>9</v>
      </c>
      <c r="AF1113" s="37">
        <f>IF(最佳化斷筋點!G1113="","",最佳化斷筋點!G1113)</f>
        <v>9</v>
      </c>
      <c r="AG1113" s="37">
        <f>IF(最佳化斷筋點!H1113="","",最佳化斷筋點!H1113)</f>
        <v>9</v>
      </c>
      <c r="AH1113" s="37">
        <f>IF(最佳化斷筋點!I1113="","",最佳化斷筋點!I1113)</f>
        <v>8</v>
      </c>
      <c r="AI1113" s="37">
        <f>IF(最佳化斷筋點!J1113="","",最佳化斷筋點!J1113)</f>
        <v>7</v>
      </c>
      <c r="AJ1113" s="37">
        <f>IF(最佳化斷筋點!K1113="","",最佳化斷筋點!K1113)</f>
        <v>3</v>
      </c>
      <c r="AK1113" s="37">
        <f>IF(最佳化斷筋點!L1113="","",最佳化斷筋點!L1113)</f>
        <v>3</v>
      </c>
      <c r="AL1113" s="37">
        <f>IF(最佳化斷筋點!M1113="","",最佳化斷筋點!M1113)</f>
        <v>3</v>
      </c>
      <c r="AM1113" s="37">
        <f>IF(最佳化斷筋點!N1113="","",最佳化斷筋點!N1113)</f>
        <v>3</v>
      </c>
      <c r="AN1113" s="37">
        <f>IF(最佳化斷筋點!O1113="","",最佳化斷筋點!O1113)</f>
        <v>3</v>
      </c>
      <c r="AO1113" s="37">
        <f>IF(最佳化斷筋點!P1113="","",最佳化斷筋點!P1113)</f>
        <v>3</v>
      </c>
      <c r="AP1113" s="37">
        <f>IF(最佳化斷筋點!Q1113="","",最佳化斷筋點!Q1113)</f>
        <v>7</v>
      </c>
      <c r="AQ1113" s="37">
        <f>IF(最佳化斷筋點!R1113="","",最佳化斷筋點!R1113)</f>
        <v>8</v>
      </c>
      <c r="AR1113" s="37">
        <f>IF(最佳化斷筋點!S1113="","",最佳化斷筋點!S1113)</f>
        <v>9</v>
      </c>
      <c r="AS1113" s="37">
        <f>IF(最佳化斷筋點!T1113="","",最佳化斷筋點!T1113)</f>
        <v>10</v>
      </c>
      <c r="AT1113" s="37">
        <f>IF(最佳化斷筋點!U1113="","",最佳化斷筋點!U1113)</f>
        <v>10</v>
      </c>
      <c r="AU1113" s="37">
        <f>IF(最佳化斷筋點!V1113="","",最佳化斷筋點!V1113)</f>
        <v>10</v>
      </c>
      <c r="AV1113" s="37">
        <f>IF(最佳化斷筋點!W1113="","",最佳化斷筋點!W1113)</f>
        <v>10</v>
      </c>
      <c r="AW1113" s="37">
        <f>IF(最佳化斷筋點!X1113="","",最佳化斷筋點!X1113)</f>
        <v>10</v>
      </c>
      <c r="AZ1113" s="37">
        <v>9</v>
      </c>
      <c r="BA1113" s="37">
        <v>9</v>
      </c>
      <c r="BB1113" s="37">
        <v>9</v>
      </c>
      <c r="BC1113" s="37">
        <v>9</v>
      </c>
      <c r="BD1113" s="37">
        <v>9</v>
      </c>
      <c r="BE1113" s="37">
        <v>8</v>
      </c>
      <c r="BF1113" s="37">
        <v>7</v>
      </c>
      <c r="BG1113" s="37">
        <v>3</v>
      </c>
      <c r="BH1113" s="37">
        <v>3</v>
      </c>
      <c r="BI1113" s="37">
        <v>3</v>
      </c>
      <c r="BJ1113" s="37">
        <v>3</v>
      </c>
      <c r="BK1113" s="37">
        <v>3</v>
      </c>
      <c r="BL1113" s="37">
        <v>3</v>
      </c>
      <c r="BM1113" s="37">
        <v>7</v>
      </c>
      <c r="BN1113" s="37">
        <v>8</v>
      </c>
      <c r="BO1113" s="37">
        <v>9</v>
      </c>
      <c r="BP1113" s="37">
        <v>10</v>
      </c>
      <c r="BQ1113" s="37">
        <v>10</v>
      </c>
      <c r="BR1113" s="37">
        <v>10</v>
      </c>
      <c r="BS1113" s="37">
        <v>10</v>
      </c>
      <c r="BT1113" s="37">
        <v>10</v>
      </c>
    </row>
    <row r="1114" spans="5:72" x14ac:dyDescent="0.25">
      <c r="E1114" s="36"/>
      <c r="F1114" s="36">
        <f t="shared" si="358"/>
        <v>0</v>
      </c>
      <c r="G1114" s="36">
        <f t="shared" si="359"/>
        <v>0</v>
      </c>
      <c r="H1114" s="36">
        <f t="shared" si="360"/>
        <v>0</v>
      </c>
      <c r="I1114" s="36">
        <f t="shared" si="361"/>
        <v>0</v>
      </c>
      <c r="J1114" s="36">
        <f t="shared" si="362"/>
        <v>0</v>
      </c>
      <c r="K1114" s="36">
        <f t="shared" si="363"/>
        <v>0</v>
      </c>
      <c r="L1114" s="36">
        <f t="shared" si="364"/>
        <v>0</v>
      </c>
      <c r="M1114" s="36">
        <f t="shared" si="365"/>
        <v>0</v>
      </c>
      <c r="N1114" s="36">
        <f t="shared" si="366"/>
        <v>0</v>
      </c>
      <c r="O1114" s="36">
        <f t="shared" si="367"/>
        <v>0</v>
      </c>
      <c r="P1114" s="36">
        <f t="shared" si="368"/>
        <v>0</v>
      </c>
      <c r="Q1114" s="36">
        <f t="shared" si="369"/>
        <v>0</v>
      </c>
      <c r="R1114" s="36">
        <f t="shared" si="370"/>
        <v>0</v>
      </c>
      <c r="S1114" s="36">
        <f t="shared" si="371"/>
        <v>0</v>
      </c>
      <c r="T1114" s="36">
        <f t="shared" si="372"/>
        <v>0</v>
      </c>
      <c r="U1114" s="36">
        <f t="shared" si="373"/>
        <v>0</v>
      </c>
      <c r="V1114" s="36">
        <f t="shared" si="374"/>
        <v>0</v>
      </c>
      <c r="W1114" s="36">
        <f t="shared" si="375"/>
        <v>0</v>
      </c>
      <c r="X1114" s="36">
        <f t="shared" si="376"/>
        <v>0</v>
      </c>
      <c r="Y1114" s="36">
        <f t="shared" si="377"/>
        <v>0</v>
      </c>
      <c r="Z1114" s="36">
        <f t="shared" si="378"/>
        <v>0</v>
      </c>
      <c r="AB1114" s="36" t="str">
        <f>IF(最佳化斷筋點!C1114="","",最佳化斷筋點!C1114)</f>
        <v/>
      </c>
      <c r="AC1114" s="37" t="str">
        <f>IF(最佳化斷筋點!D1114="","",最佳化斷筋點!D1114)</f>
        <v/>
      </c>
      <c r="AD1114" s="37" t="str">
        <f>IF(最佳化斷筋點!E1114="","",最佳化斷筋點!E1114)</f>
        <v/>
      </c>
      <c r="AE1114" s="37" t="str">
        <f>IF(最佳化斷筋點!F1114="","",最佳化斷筋點!F1114)</f>
        <v/>
      </c>
      <c r="AF1114" s="37" t="str">
        <f>IF(最佳化斷筋點!G1114="","",最佳化斷筋點!G1114)</f>
        <v/>
      </c>
      <c r="AG1114" s="37" t="str">
        <f>IF(最佳化斷筋點!H1114="","",最佳化斷筋點!H1114)</f>
        <v/>
      </c>
      <c r="AH1114" s="37" t="str">
        <f>IF(最佳化斷筋點!I1114="","",最佳化斷筋點!I1114)</f>
        <v/>
      </c>
      <c r="AI1114" s="37" t="str">
        <f>IF(最佳化斷筋點!J1114="","",最佳化斷筋點!J1114)</f>
        <v/>
      </c>
      <c r="AJ1114" s="37" t="str">
        <f>IF(最佳化斷筋點!K1114="","",最佳化斷筋點!K1114)</f>
        <v/>
      </c>
      <c r="AK1114" s="37" t="str">
        <f>IF(最佳化斷筋點!L1114="","",最佳化斷筋點!L1114)</f>
        <v/>
      </c>
      <c r="AL1114" s="37" t="str">
        <f>IF(最佳化斷筋點!M1114="","",最佳化斷筋點!M1114)</f>
        <v/>
      </c>
      <c r="AM1114" s="37" t="str">
        <f>IF(最佳化斷筋點!N1114="","",最佳化斷筋點!N1114)</f>
        <v/>
      </c>
      <c r="AN1114" s="37" t="str">
        <f>IF(最佳化斷筋點!O1114="","",最佳化斷筋點!O1114)</f>
        <v/>
      </c>
      <c r="AO1114" s="37" t="str">
        <f>IF(最佳化斷筋點!P1114="","",最佳化斷筋點!P1114)</f>
        <v/>
      </c>
      <c r="AP1114" s="37" t="str">
        <f>IF(最佳化斷筋點!Q1114="","",最佳化斷筋點!Q1114)</f>
        <v/>
      </c>
      <c r="AQ1114" s="37" t="str">
        <f>IF(最佳化斷筋點!R1114="","",最佳化斷筋點!R1114)</f>
        <v/>
      </c>
      <c r="AR1114" s="37" t="str">
        <f>IF(最佳化斷筋點!S1114="","",最佳化斷筋點!S1114)</f>
        <v/>
      </c>
      <c r="AS1114" s="37" t="str">
        <f>IF(最佳化斷筋點!T1114="","",最佳化斷筋點!T1114)</f>
        <v/>
      </c>
      <c r="AT1114" s="37" t="str">
        <f>IF(最佳化斷筋點!U1114="","",最佳化斷筋點!U1114)</f>
        <v/>
      </c>
      <c r="AU1114" s="37" t="str">
        <f>IF(最佳化斷筋點!V1114="","",最佳化斷筋點!V1114)</f>
        <v/>
      </c>
      <c r="AV1114" s="37" t="str">
        <f>IF(最佳化斷筋點!W1114="","",最佳化斷筋點!W1114)</f>
        <v/>
      </c>
      <c r="AW1114" s="37" t="str">
        <f>IF(最佳化斷筋點!X1114="","",最佳化斷筋點!X1114)</f>
        <v/>
      </c>
      <c r="AZ1114" s="37" t="s">
        <v>197</v>
      </c>
      <c r="BA1114" s="37" t="s">
        <v>197</v>
      </c>
      <c r="BB1114" s="37" t="s">
        <v>197</v>
      </c>
      <c r="BC1114" s="37" t="s">
        <v>197</v>
      </c>
      <c r="BD1114" s="37" t="s">
        <v>197</v>
      </c>
      <c r="BE1114" s="37" t="s">
        <v>197</v>
      </c>
      <c r="BF1114" s="37" t="s">
        <v>197</v>
      </c>
      <c r="BG1114" s="37" t="s">
        <v>197</v>
      </c>
      <c r="BH1114" s="37" t="s">
        <v>197</v>
      </c>
      <c r="BI1114" s="37" t="s">
        <v>197</v>
      </c>
      <c r="BJ1114" s="37" t="s">
        <v>197</v>
      </c>
      <c r="BK1114" s="37" t="s">
        <v>197</v>
      </c>
      <c r="BL1114" s="37" t="s">
        <v>197</v>
      </c>
      <c r="BM1114" s="37" t="s">
        <v>197</v>
      </c>
      <c r="BN1114" s="37" t="s">
        <v>197</v>
      </c>
      <c r="BO1114" s="37" t="s">
        <v>197</v>
      </c>
      <c r="BP1114" s="37" t="s">
        <v>197</v>
      </c>
      <c r="BQ1114" s="37" t="s">
        <v>197</v>
      </c>
      <c r="BR1114" s="37" t="s">
        <v>197</v>
      </c>
      <c r="BS1114" s="37" t="s">
        <v>197</v>
      </c>
      <c r="BT1114" s="37" t="s">
        <v>197</v>
      </c>
    </row>
    <row r="1115" spans="5:72" x14ac:dyDescent="0.25">
      <c r="E1115" s="36" t="s">
        <v>20</v>
      </c>
      <c r="F1115" s="36">
        <f t="shared" si="358"/>
        <v>0</v>
      </c>
      <c r="G1115" s="36">
        <f t="shared" si="359"/>
        <v>0</v>
      </c>
      <c r="H1115" s="36">
        <f t="shared" si="360"/>
        <v>0</v>
      </c>
      <c r="I1115" s="36">
        <f t="shared" si="361"/>
        <v>0</v>
      </c>
      <c r="J1115" s="36">
        <f t="shared" si="362"/>
        <v>0</v>
      </c>
      <c r="K1115" s="36">
        <f t="shared" si="363"/>
        <v>0</v>
      </c>
      <c r="L1115" s="36">
        <f t="shared" si="364"/>
        <v>0</v>
      </c>
      <c r="M1115" s="36">
        <f t="shared" si="365"/>
        <v>0</v>
      </c>
      <c r="N1115" s="36">
        <f t="shared" si="366"/>
        <v>0</v>
      </c>
      <c r="O1115" s="36">
        <f t="shared" si="367"/>
        <v>0</v>
      </c>
      <c r="P1115" s="36">
        <f t="shared" si="368"/>
        <v>0</v>
      </c>
      <c r="Q1115" s="36">
        <f t="shared" si="369"/>
        <v>0</v>
      </c>
      <c r="R1115" s="36">
        <f t="shared" si="370"/>
        <v>0</v>
      </c>
      <c r="S1115" s="36">
        <f t="shared" si="371"/>
        <v>0</v>
      </c>
      <c r="T1115" s="36">
        <f t="shared" si="372"/>
        <v>0</v>
      </c>
      <c r="U1115" s="36">
        <f t="shared" si="373"/>
        <v>0</v>
      </c>
      <c r="V1115" s="36">
        <f t="shared" si="374"/>
        <v>0</v>
      </c>
      <c r="W1115" s="36">
        <f t="shared" si="375"/>
        <v>0</v>
      </c>
      <c r="X1115" s="36">
        <f t="shared" si="376"/>
        <v>0</v>
      </c>
      <c r="Y1115" s="36">
        <f t="shared" si="377"/>
        <v>0</v>
      </c>
      <c r="Z1115" s="36">
        <f t="shared" si="378"/>
        <v>0</v>
      </c>
      <c r="AB1115" s="36" t="str">
        <f>IF(最佳化斷筋點!C1115="","",最佳化斷筋點!C1115)</f>
        <v>上層</v>
      </c>
      <c r="AC1115" s="37">
        <f>IF(最佳化斷筋點!D1115="","",最佳化斷筋點!D1115)</f>
        <v>7</v>
      </c>
      <c r="AD1115" s="37">
        <f>IF(最佳化斷筋點!E1115="","",最佳化斷筋點!E1115)</f>
        <v>7</v>
      </c>
      <c r="AE1115" s="37">
        <f>IF(最佳化斷筋點!F1115="","",最佳化斷筋點!F1115)</f>
        <v>7</v>
      </c>
      <c r="AF1115" s="37">
        <f>IF(最佳化斷筋點!G1115="","",最佳化斷筋點!G1115)</f>
        <v>7</v>
      </c>
      <c r="AG1115" s="37">
        <f>IF(最佳化斷筋點!H1115="","",最佳化斷筋點!H1115)</f>
        <v>7</v>
      </c>
      <c r="AH1115" s="37">
        <f>IF(最佳化斷筋點!I1115="","",最佳化斷筋點!I1115)</f>
        <v>7</v>
      </c>
      <c r="AI1115" s="37">
        <f>IF(最佳化斷筋點!J1115="","",最佳化斷筋點!J1115)</f>
        <v>7</v>
      </c>
      <c r="AJ1115" s="37">
        <f>IF(最佳化斷筋點!K1115="","",最佳化斷筋點!K1115)</f>
        <v>3</v>
      </c>
      <c r="AK1115" s="37">
        <f>IF(最佳化斷筋點!L1115="","",最佳化斷筋點!L1115)</f>
        <v>3</v>
      </c>
      <c r="AL1115" s="37">
        <f>IF(最佳化斷筋點!M1115="","",最佳化斷筋點!M1115)</f>
        <v>3</v>
      </c>
      <c r="AM1115" s="37">
        <f>IF(最佳化斷筋點!N1115="","",最佳化斷筋點!N1115)</f>
        <v>3</v>
      </c>
      <c r="AN1115" s="37">
        <f>IF(最佳化斷筋點!O1115="","",最佳化斷筋點!O1115)</f>
        <v>3</v>
      </c>
      <c r="AO1115" s="37">
        <f>IF(最佳化斷筋點!P1115="","",最佳化斷筋點!P1115)</f>
        <v>3</v>
      </c>
      <c r="AP1115" s="37">
        <f>IF(最佳化斷筋點!Q1115="","",最佳化斷筋點!Q1115)</f>
        <v>6</v>
      </c>
      <c r="AQ1115" s="37">
        <f>IF(最佳化斷筋點!R1115="","",最佳化斷筋點!R1115)</f>
        <v>6</v>
      </c>
      <c r="AR1115" s="37">
        <f>IF(最佳化斷筋點!S1115="","",最佳化斷筋點!S1115)</f>
        <v>7</v>
      </c>
      <c r="AS1115" s="37">
        <f>IF(最佳化斷筋點!T1115="","",最佳化斷筋點!T1115)</f>
        <v>7</v>
      </c>
      <c r="AT1115" s="37">
        <f>IF(最佳化斷筋點!U1115="","",最佳化斷筋點!U1115)</f>
        <v>7</v>
      </c>
      <c r="AU1115" s="37">
        <f>IF(最佳化斷筋點!V1115="","",最佳化斷筋點!V1115)</f>
        <v>7</v>
      </c>
      <c r="AV1115" s="37">
        <f>IF(最佳化斷筋點!W1115="","",最佳化斷筋點!W1115)</f>
        <v>7</v>
      </c>
      <c r="AW1115" s="37">
        <f>IF(最佳化斷筋點!X1115="","",最佳化斷筋點!X1115)</f>
        <v>7</v>
      </c>
      <c r="AZ1115" s="37">
        <v>7</v>
      </c>
      <c r="BA1115" s="37">
        <v>7</v>
      </c>
      <c r="BB1115" s="37">
        <v>7</v>
      </c>
      <c r="BC1115" s="37">
        <v>7</v>
      </c>
      <c r="BD1115" s="37">
        <v>7</v>
      </c>
      <c r="BE1115" s="37">
        <v>7</v>
      </c>
      <c r="BF1115" s="37">
        <v>7</v>
      </c>
      <c r="BG1115" s="37">
        <v>3</v>
      </c>
      <c r="BH1115" s="37">
        <v>3</v>
      </c>
      <c r="BI1115" s="37">
        <v>3</v>
      </c>
      <c r="BJ1115" s="37">
        <v>3</v>
      </c>
      <c r="BK1115" s="37">
        <v>3</v>
      </c>
      <c r="BL1115" s="37">
        <v>3</v>
      </c>
      <c r="BM1115" s="37">
        <v>6</v>
      </c>
      <c r="BN1115" s="37">
        <v>6</v>
      </c>
      <c r="BO1115" s="37">
        <v>7</v>
      </c>
      <c r="BP1115" s="37">
        <v>7</v>
      </c>
      <c r="BQ1115" s="37">
        <v>7</v>
      </c>
      <c r="BR1115" s="37">
        <v>7</v>
      </c>
      <c r="BS1115" s="37">
        <v>7</v>
      </c>
      <c r="BT1115" s="37">
        <v>7</v>
      </c>
    </row>
    <row r="1116" spans="5:72" x14ac:dyDescent="0.25">
      <c r="E1116" s="36"/>
      <c r="F1116" s="36">
        <f t="shared" si="358"/>
        <v>0</v>
      </c>
      <c r="G1116" s="36">
        <f t="shared" si="359"/>
        <v>0</v>
      </c>
      <c r="H1116" s="36">
        <f t="shared" si="360"/>
        <v>0</v>
      </c>
      <c r="I1116" s="36">
        <f t="shared" si="361"/>
        <v>0</v>
      </c>
      <c r="J1116" s="36">
        <f t="shared" si="362"/>
        <v>0</v>
      </c>
      <c r="K1116" s="36">
        <f t="shared" si="363"/>
        <v>0</v>
      </c>
      <c r="L1116" s="36">
        <f t="shared" si="364"/>
        <v>0</v>
      </c>
      <c r="M1116" s="36">
        <f t="shared" si="365"/>
        <v>0</v>
      </c>
      <c r="N1116" s="36">
        <f t="shared" si="366"/>
        <v>0</v>
      </c>
      <c r="O1116" s="36">
        <f t="shared" si="367"/>
        <v>0</v>
      </c>
      <c r="P1116" s="36">
        <f t="shared" si="368"/>
        <v>0</v>
      </c>
      <c r="Q1116" s="36">
        <f t="shared" si="369"/>
        <v>0</v>
      </c>
      <c r="R1116" s="36">
        <f t="shared" si="370"/>
        <v>0</v>
      </c>
      <c r="S1116" s="36">
        <f t="shared" si="371"/>
        <v>0</v>
      </c>
      <c r="T1116" s="36">
        <f t="shared" si="372"/>
        <v>0</v>
      </c>
      <c r="U1116" s="36">
        <f t="shared" si="373"/>
        <v>0</v>
      </c>
      <c r="V1116" s="36">
        <f t="shared" si="374"/>
        <v>0</v>
      </c>
      <c r="W1116" s="36">
        <f t="shared" si="375"/>
        <v>0</v>
      </c>
      <c r="X1116" s="36">
        <f t="shared" si="376"/>
        <v>0</v>
      </c>
      <c r="Y1116" s="36">
        <f t="shared" si="377"/>
        <v>0</v>
      </c>
      <c r="Z1116" s="36">
        <f t="shared" si="378"/>
        <v>0</v>
      </c>
      <c r="AB1116" s="36" t="str">
        <f>IF(最佳化斷筋點!C1116="","",最佳化斷筋點!C1116)</f>
        <v/>
      </c>
      <c r="AC1116" s="37" t="str">
        <f>IF(最佳化斷筋點!D1116="","",最佳化斷筋點!D1116)</f>
        <v/>
      </c>
      <c r="AD1116" s="37" t="str">
        <f>IF(最佳化斷筋點!E1116="","",最佳化斷筋點!E1116)</f>
        <v/>
      </c>
      <c r="AE1116" s="37" t="str">
        <f>IF(最佳化斷筋點!F1116="","",最佳化斷筋點!F1116)</f>
        <v/>
      </c>
      <c r="AF1116" s="37" t="str">
        <f>IF(最佳化斷筋點!G1116="","",最佳化斷筋點!G1116)</f>
        <v/>
      </c>
      <c r="AG1116" s="37" t="str">
        <f>IF(最佳化斷筋點!H1116="","",最佳化斷筋點!H1116)</f>
        <v/>
      </c>
      <c r="AH1116" s="37" t="str">
        <f>IF(最佳化斷筋點!I1116="","",最佳化斷筋點!I1116)</f>
        <v/>
      </c>
      <c r="AI1116" s="37" t="str">
        <f>IF(最佳化斷筋點!J1116="","",最佳化斷筋點!J1116)</f>
        <v/>
      </c>
      <c r="AJ1116" s="37" t="str">
        <f>IF(最佳化斷筋點!K1116="","",最佳化斷筋點!K1116)</f>
        <v/>
      </c>
      <c r="AK1116" s="37" t="str">
        <f>IF(最佳化斷筋點!L1116="","",最佳化斷筋點!L1116)</f>
        <v/>
      </c>
      <c r="AL1116" s="37" t="str">
        <f>IF(最佳化斷筋點!M1116="","",最佳化斷筋點!M1116)</f>
        <v/>
      </c>
      <c r="AM1116" s="37" t="str">
        <f>IF(最佳化斷筋點!N1116="","",最佳化斷筋點!N1116)</f>
        <v/>
      </c>
      <c r="AN1116" s="37" t="str">
        <f>IF(最佳化斷筋點!O1116="","",最佳化斷筋點!O1116)</f>
        <v/>
      </c>
      <c r="AO1116" s="37" t="str">
        <f>IF(最佳化斷筋點!P1116="","",最佳化斷筋點!P1116)</f>
        <v/>
      </c>
      <c r="AP1116" s="37" t="str">
        <f>IF(最佳化斷筋點!Q1116="","",最佳化斷筋點!Q1116)</f>
        <v/>
      </c>
      <c r="AQ1116" s="37" t="str">
        <f>IF(最佳化斷筋點!R1116="","",最佳化斷筋點!R1116)</f>
        <v/>
      </c>
      <c r="AR1116" s="37" t="str">
        <f>IF(最佳化斷筋點!S1116="","",最佳化斷筋點!S1116)</f>
        <v/>
      </c>
      <c r="AS1116" s="37" t="str">
        <f>IF(最佳化斷筋點!T1116="","",最佳化斷筋點!T1116)</f>
        <v/>
      </c>
      <c r="AT1116" s="37" t="str">
        <f>IF(最佳化斷筋點!U1116="","",最佳化斷筋點!U1116)</f>
        <v/>
      </c>
      <c r="AU1116" s="37" t="str">
        <f>IF(最佳化斷筋點!V1116="","",最佳化斷筋點!V1116)</f>
        <v/>
      </c>
      <c r="AV1116" s="37" t="str">
        <f>IF(最佳化斷筋點!W1116="","",最佳化斷筋點!W1116)</f>
        <v/>
      </c>
      <c r="AW1116" s="37" t="str">
        <f>IF(最佳化斷筋點!X1116="","",最佳化斷筋點!X1116)</f>
        <v/>
      </c>
      <c r="AZ1116" s="37" t="s">
        <v>197</v>
      </c>
      <c r="BA1116" s="37" t="s">
        <v>197</v>
      </c>
      <c r="BB1116" s="37" t="s">
        <v>197</v>
      </c>
      <c r="BC1116" s="37" t="s">
        <v>197</v>
      </c>
      <c r="BD1116" s="37" t="s">
        <v>197</v>
      </c>
      <c r="BE1116" s="37" t="s">
        <v>197</v>
      </c>
      <c r="BF1116" s="37" t="s">
        <v>197</v>
      </c>
      <c r="BG1116" s="37" t="s">
        <v>197</v>
      </c>
      <c r="BH1116" s="37" t="s">
        <v>197</v>
      </c>
      <c r="BI1116" s="37" t="s">
        <v>197</v>
      </c>
      <c r="BJ1116" s="37" t="s">
        <v>197</v>
      </c>
      <c r="BK1116" s="37" t="s">
        <v>197</v>
      </c>
      <c r="BL1116" s="37" t="s">
        <v>197</v>
      </c>
      <c r="BM1116" s="37" t="s">
        <v>197</v>
      </c>
      <c r="BN1116" s="37" t="s">
        <v>197</v>
      </c>
      <c r="BO1116" s="37" t="s">
        <v>197</v>
      </c>
      <c r="BP1116" s="37" t="s">
        <v>197</v>
      </c>
      <c r="BQ1116" s="37" t="s">
        <v>197</v>
      </c>
      <c r="BR1116" s="37" t="s">
        <v>197</v>
      </c>
      <c r="BS1116" s="37" t="s">
        <v>197</v>
      </c>
      <c r="BT1116" s="37" t="s">
        <v>197</v>
      </c>
    </row>
    <row r="1117" spans="5:72" x14ac:dyDescent="0.25">
      <c r="E1117" s="36" t="s">
        <v>21</v>
      </c>
      <c r="F1117" s="36">
        <f t="shared" si="358"/>
        <v>0</v>
      </c>
      <c r="G1117" s="36">
        <f t="shared" si="359"/>
        <v>0</v>
      </c>
      <c r="H1117" s="36">
        <f t="shared" si="360"/>
        <v>0</v>
      </c>
      <c r="I1117" s="36">
        <f t="shared" si="361"/>
        <v>0</v>
      </c>
      <c r="J1117" s="36">
        <f t="shared" si="362"/>
        <v>0</v>
      </c>
      <c r="K1117" s="36">
        <f t="shared" si="363"/>
        <v>0</v>
      </c>
      <c r="L1117" s="36">
        <f t="shared" si="364"/>
        <v>0</v>
      </c>
      <c r="M1117" s="36">
        <f t="shared" si="365"/>
        <v>0</v>
      </c>
      <c r="N1117" s="36">
        <f t="shared" si="366"/>
        <v>0</v>
      </c>
      <c r="O1117" s="36">
        <f t="shared" si="367"/>
        <v>0</v>
      </c>
      <c r="P1117" s="36">
        <f t="shared" si="368"/>
        <v>0</v>
      </c>
      <c r="Q1117" s="36">
        <f t="shared" si="369"/>
        <v>0</v>
      </c>
      <c r="R1117" s="36">
        <f t="shared" si="370"/>
        <v>0</v>
      </c>
      <c r="S1117" s="36">
        <f t="shared" si="371"/>
        <v>0</v>
      </c>
      <c r="T1117" s="36">
        <f t="shared" si="372"/>
        <v>0</v>
      </c>
      <c r="U1117" s="36">
        <f t="shared" si="373"/>
        <v>0</v>
      </c>
      <c r="V1117" s="36">
        <f t="shared" si="374"/>
        <v>0</v>
      </c>
      <c r="W1117" s="36">
        <f t="shared" si="375"/>
        <v>0</v>
      </c>
      <c r="X1117" s="36">
        <f t="shared" si="376"/>
        <v>0</v>
      </c>
      <c r="Y1117" s="36">
        <f t="shared" si="377"/>
        <v>0</v>
      </c>
      <c r="Z1117" s="36">
        <f t="shared" si="378"/>
        <v>0</v>
      </c>
      <c r="AB1117" s="36" t="str">
        <f>IF(最佳化斷筋點!C1117="","",最佳化斷筋點!C1117)</f>
        <v>下層</v>
      </c>
      <c r="AC1117" s="37">
        <f>IF(最佳化斷筋點!D1117="","",最佳化斷筋點!D1117)</f>
        <v>10</v>
      </c>
      <c r="AD1117" s="37">
        <f>IF(最佳化斷筋點!E1117="","",最佳化斷筋點!E1117)</f>
        <v>10</v>
      </c>
      <c r="AE1117" s="37">
        <f>IF(最佳化斷筋點!F1117="","",最佳化斷筋點!F1117)</f>
        <v>10</v>
      </c>
      <c r="AF1117" s="37">
        <f>IF(最佳化斷筋點!G1117="","",最佳化斷筋點!G1117)</f>
        <v>10</v>
      </c>
      <c r="AG1117" s="37">
        <f>IF(最佳化斷筋點!H1117="","",最佳化斷筋點!H1117)</f>
        <v>10</v>
      </c>
      <c r="AH1117" s="37">
        <f>IF(最佳化斷筋點!I1117="","",最佳化斷筋點!I1117)</f>
        <v>10</v>
      </c>
      <c r="AI1117" s="37">
        <f>IF(最佳化斷筋點!J1117="","",最佳化斷筋點!J1117)</f>
        <v>9</v>
      </c>
      <c r="AJ1117" s="37">
        <f>IF(最佳化斷筋點!K1117="","",最佳化斷筋點!K1117)</f>
        <v>4</v>
      </c>
      <c r="AK1117" s="37">
        <f>IF(最佳化斷筋點!L1117="","",最佳化斷筋點!L1117)</f>
        <v>4</v>
      </c>
      <c r="AL1117" s="37">
        <f>IF(最佳化斷筋點!M1117="","",最佳化斷筋點!M1117)</f>
        <v>4</v>
      </c>
      <c r="AM1117" s="37">
        <f>IF(最佳化斷筋點!N1117="","",最佳化斷筋點!N1117)</f>
        <v>4</v>
      </c>
      <c r="AN1117" s="37">
        <f>IF(最佳化斷筋點!O1117="","",最佳化斷筋點!O1117)</f>
        <v>4</v>
      </c>
      <c r="AO1117" s="37">
        <f>IF(最佳化斷筋點!P1117="","",最佳化斷筋點!P1117)</f>
        <v>4</v>
      </c>
      <c r="AP1117" s="37">
        <f>IF(最佳化斷筋點!Q1117="","",最佳化斷筋點!Q1117)</f>
        <v>7</v>
      </c>
      <c r="AQ1117" s="37">
        <f>IF(最佳化斷筋點!R1117="","",最佳化斷筋點!R1117)</f>
        <v>8</v>
      </c>
      <c r="AR1117" s="37">
        <f>IF(最佳化斷筋點!S1117="","",最佳化斷筋點!S1117)</f>
        <v>9</v>
      </c>
      <c r="AS1117" s="37">
        <f>IF(最佳化斷筋點!T1117="","",最佳化斷筋點!T1117)</f>
        <v>10</v>
      </c>
      <c r="AT1117" s="37">
        <f>IF(最佳化斷筋點!U1117="","",最佳化斷筋點!U1117)</f>
        <v>10</v>
      </c>
      <c r="AU1117" s="37">
        <f>IF(最佳化斷筋點!V1117="","",最佳化斷筋點!V1117)</f>
        <v>10</v>
      </c>
      <c r="AV1117" s="37">
        <f>IF(最佳化斷筋點!W1117="","",最佳化斷筋點!W1117)</f>
        <v>10</v>
      </c>
      <c r="AW1117" s="37">
        <f>IF(最佳化斷筋點!X1117="","",最佳化斷筋點!X1117)</f>
        <v>10</v>
      </c>
      <c r="AZ1117" s="37">
        <v>10</v>
      </c>
      <c r="BA1117" s="37">
        <v>10</v>
      </c>
      <c r="BB1117" s="37">
        <v>10</v>
      </c>
      <c r="BC1117" s="37">
        <v>10</v>
      </c>
      <c r="BD1117" s="37">
        <v>10</v>
      </c>
      <c r="BE1117" s="37">
        <v>10</v>
      </c>
      <c r="BF1117" s="37">
        <v>9</v>
      </c>
      <c r="BG1117" s="37">
        <v>4</v>
      </c>
      <c r="BH1117" s="37">
        <v>4</v>
      </c>
      <c r="BI1117" s="37">
        <v>4</v>
      </c>
      <c r="BJ1117" s="37">
        <v>4</v>
      </c>
      <c r="BK1117" s="37">
        <v>4</v>
      </c>
      <c r="BL1117" s="37">
        <v>4</v>
      </c>
      <c r="BM1117" s="37">
        <v>7</v>
      </c>
      <c r="BN1117" s="37">
        <v>8</v>
      </c>
      <c r="BO1117" s="37">
        <v>9</v>
      </c>
      <c r="BP1117" s="37">
        <v>10</v>
      </c>
      <c r="BQ1117" s="37">
        <v>10</v>
      </c>
      <c r="BR1117" s="37">
        <v>10</v>
      </c>
      <c r="BS1117" s="37">
        <v>10</v>
      </c>
      <c r="BT1117" s="37">
        <v>10</v>
      </c>
    </row>
    <row r="1118" spans="5:72" x14ac:dyDescent="0.25">
      <c r="E1118" s="36"/>
      <c r="F1118" s="36">
        <f t="shared" si="358"/>
        <v>0</v>
      </c>
      <c r="G1118" s="36">
        <f t="shared" si="359"/>
        <v>0</v>
      </c>
      <c r="H1118" s="36">
        <f t="shared" si="360"/>
        <v>0</v>
      </c>
      <c r="I1118" s="36">
        <f t="shared" si="361"/>
        <v>0</v>
      </c>
      <c r="J1118" s="36">
        <f t="shared" si="362"/>
        <v>0</v>
      </c>
      <c r="K1118" s="36">
        <f t="shared" si="363"/>
        <v>0</v>
      </c>
      <c r="L1118" s="36">
        <f t="shared" si="364"/>
        <v>0</v>
      </c>
      <c r="M1118" s="36">
        <f t="shared" si="365"/>
        <v>0</v>
      </c>
      <c r="N1118" s="36">
        <f t="shared" si="366"/>
        <v>0</v>
      </c>
      <c r="O1118" s="36">
        <f t="shared" si="367"/>
        <v>0</v>
      </c>
      <c r="P1118" s="36">
        <f t="shared" si="368"/>
        <v>0</v>
      </c>
      <c r="Q1118" s="36">
        <f t="shared" si="369"/>
        <v>0</v>
      </c>
      <c r="R1118" s="36">
        <f t="shared" si="370"/>
        <v>0</v>
      </c>
      <c r="S1118" s="36">
        <f t="shared" si="371"/>
        <v>0</v>
      </c>
      <c r="T1118" s="36">
        <f t="shared" si="372"/>
        <v>0</v>
      </c>
      <c r="U1118" s="36">
        <f t="shared" si="373"/>
        <v>0</v>
      </c>
      <c r="V1118" s="36">
        <f t="shared" si="374"/>
        <v>0</v>
      </c>
      <c r="W1118" s="36">
        <f t="shared" si="375"/>
        <v>0</v>
      </c>
      <c r="X1118" s="36">
        <f t="shared" si="376"/>
        <v>0</v>
      </c>
      <c r="Y1118" s="36">
        <f t="shared" si="377"/>
        <v>0</v>
      </c>
      <c r="Z1118" s="36">
        <f t="shared" si="378"/>
        <v>0</v>
      </c>
      <c r="AB1118" s="36" t="str">
        <f>IF(最佳化斷筋點!C1118="","",最佳化斷筋點!C1118)</f>
        <v/>
      </c>
      <c r="AC1118" s="37" t="str">
        <f>IF(最佳化斷筋點!D1118="","",最佳化斷筋點!D1118)</f>
        <v/>
      </c>
      <c r="AD1118" s="37" t="str">
        <f>IF(最佳化斷筋點!E1118="","",最佳化斷筋點!E1118)</f>
        <v/>
      </c>
      <c r="AE1118" s="37" t="str">
        <f>IF(最佳化斷筋點!F1118="","",最佳化斷筋點!F1118)</f>
        <v/>
      </c>
      <c r="AF1118" s="37" t="str">
        <f>IF(最佳化斷筋點!G1118="","",最佳化斷筋點!G1118)</f>
        <v/>
      </c>
      <c r="AG1118" s="37" t="str">
        <f>IF(最佳化斷筋點!H1118="","",最佳化斷筋點!H1118)</f>
        <v/>
      </c>
      <c r="AH1118" s="37" t="str">
        <f>IF(最佳化斷筋點!I1118="","",最佳化斷筋點!I1118)</f>
        <v/>
      </c>
      <c r="AI1118" s="37" t="str">
        <f>IF(最佳化斷筋點!J1118="","",最佳化斷筋點!J1118)</f>
        <v/>
      </c>
      <c r="AJ1118" s="37" t="str">
        <f>IF(最佳化斷筋點!K1118="","",最佳化斷筋點!K1118)</f>
        <v/>
      </c>
      <c r="AK1118" s="37" t="str">
        <f>IF(最佳化斷筋點!L1118="","",最佳化斷筋點!L1118)</f>
        <v/>
      </c>
      <c r="AL1118" s="37" t="str">
        <f>IF(最佳化斷筋點!M1118="","",最佳化斷筋點!M1118)</f>
        <v/>
      </c>
      <c r="AM1118" s="37" t="str">
        <f>IF(最佳化斷筋點!N1118="","",最佳化斷筋點!N1118)</f>
        <v/>
      </c>
      <c r="AN1118" s="37" t="str">
        <f>IF(最佳化斷筋點!O1118="","",最佳化斷筋點!O1118)</f>
        <v/>
      </c>
      <c r="AO1118" s="37" t="str">
        <f>IF(最佳化斷筋點!P1118="","",最佳化斷筋點!P1118)</f>
        <v/>
      </c>
      <c r="AP1118" s="37" t="str">
        <f>IF(最佳化斷筋點!Q1118="","",最佳化斷筋點!Q1118)</f>
        <v/>
      </c>
      <c r="AQ1118" s="37" t="str">
        <f>IF(最佳化斷筋點!R1118="","",最佳化斷筋點!R1118)</f>
        <v/>
      </c>
      <c r="AR1118" s="37" t="str">
        <f>IF(最佳化斷筋點!S1118="","",最佳化斷筋點!S1118)</f>
        <v/>
      </c>
      <c r="AS1118" s="37" t="str">
        <f>IF(最佳化斷筋點!T1118="","",最佳化斷筋點!T1118)</f>
        <v/>
      </c>
      <c r="AT1118" s="37" t="str">
        <f>IF(最佳化斷筋點!U1118="","",最佳化斷筋點!U1118)</f>
        <v/>
      </c>
      <c r="AU1118" s="37" t="str">
        <f>IF(最佳化斷筋點!V1118="","",最佳化斷筋點!V1118)</f>
        <v/>
      </c>
      <c r="AV1118" s="37" t="str">
        <f>IF(最佳化斷筋點!W1118="","",最佳化斷筋點!W1118)</f>
        <v/>
      </c>
      <c r="AW1118" s="37" t="str">
        <f>IF(最佳化斷筋點!X1118="","",最佳化斷筋點!X1118)</f>
        <v/>
      </c>
      <c r="AZ1118" s="37" t="s">
        <v>197</v>
      </c>
      <c r="BA1118" s="37" t="s">
        <v>197</v>
      </c>
      <c r="BB1118" s="37" t="s">
        <v>197</v>
      </c>
      <c r="BC1118" s="37" t="s">
        <v>197</v>
      </c>
      <c r="BD1118" s="37" t="s">
        <v>197</v>
      </c>
      <c r="BE1118" s="37" t="s">
        <v>197</v>
      </c>
      <c r="BF1118" s="37" t="s">
        <v>197</v>
      </c>
      <c r="BG1118" s="37" t="s">
        <v>197</v>
      </c>
      <c r="BH1118" s="37" t="s">
        <v>197</v>
      </c>
      <c r="BI1118" s="37" t="s">
        <v>197</v>
      </c>
      <c r="BJ1118" s="37" t="s">
        <v>197</v>
      </c>
      <c r="BK1118" s="37" t="s">
        <v>197</v>
      </c>
      <c r="BL1118" s="37" t="s">
        <v>197</v>
      </c>
      <c r="BM1118" s="37" t="s">
        <v>197</v>
      </c>
      <c r="BN1118" s="37" t="s">
        <v>197</v>
      </c>
      <c r="BO1118" s="37" t="s">
        <v>197</v>
      </c>
      <c r="BP1118" s="37" t="s">
        <v>197</v>
      </c>
      <c r="BQ1118" s="37" t="s">
        <v>197</v>
      </c>
      <c r="BR1118" s="37" t="s">
        <v>197</v>
      </c>
      <c r="BS1118" s="37" t="s">
        <v>197</v>
      </c>
      <c r="BT1118" s="37" t="s">
        <v>197</v>
      </c>
    </row>
    <row r="1119" spans="5:72" x14ac:dyDescent="0.25">
      <c r="E1119" s="36" t="s">
        <v>20</v>
      </c>
      <c r="F1119" s="36">
        <f t="shared" si="358"/>
        <v>0</v>
      </c>
      <c r="G1119" s="36">
        <f t="shared" si="359"/>
        <v>0</v>
      </c>
      <c r="H1119" s="36">
        <f t="shared" si="360"/>
        <v>0</v>
      </c>
      <c r="I1119" s="36">
        <f t="shared" si="361"/>
        <v>0</v>
      </c>
      <c r="J1119" s="36">
        <f t="shared" si="362"/>
        <v>0</v>
      </c>
      <c r="K1119" s="36">
        <f t="shared" si="363"/>
        <v>0</v>
      </c>
      <c r="L1119" s="36">
        <f t="shared" si="364"/>
        <v>0</v>
      </c>
      <c r="M1119" s="36">
        <f t="shared" si="365"/>
        <v>0</v>
      </c>
      <c r="N1119" s="36">
        <f t="shared" si="366"/>
        <v>0</v>
      </c>
      <c r="O1119" s="36">
        <f t="shared" si="367"/>
        <v>0</v>
      </c>
      <c r="P1119" s="36">
        <f t="shared" si="368"/>
        <v>0</v>
      </c>
      <c r="Q1119" s="36">
        <f t="shared" si="369"/>
        <v>0</v>
      </c>
      <c r="R1119" s="36">
        <f t="shared" si="370"/>
        <v>0</v>
      </c>
      <c r="S1119" s="36">
        <f t="shared" si="371"/>
        <v>0</v>
      </c>
      <c r="T1119" s="36">
        <f t="shared" si="372"/>
        <v>0</v>
      </c>
      <c r="U1119" s="36">
        <f t="shared" si="373"/>
        <v>0</v>
      </c>
      <c r="V1119" s="36">
        <f t="shared" si="374"/>
        <v>0</v>
      </c>
      <c r="W1119" s="36">
        <f t="shared" si="375"/>
        <v>0</v>
      </c>
      <c r="X1119" s="36">
        <f t="shared" si="376"/>
        <v>0</v>
      </c>
      <c r="Y1119" s="36">
        <f t="shared" si="377"/>
        <v>0</v>
      </c>
      <c r="Z1119" s="36">
        <f t="shared" si="378"/>
        <v>0</v>
      </c>
      <c r="AB1119" s="36" t="str">
        <f>IF(最佳化斷筋點!C1119="","",最佳化斷筋點!C1119)</f>
        <v>上層</v>
      </c>
      <c r="AC1119" s="37">
        <f>IF(最佳化斷筋點!D1119="","",最佳化斷筋點!D1119)</f>
        <v>6</v>
      </c>
      <c r="AD1119" s="37">
        <f>IF(最佳化斷筋點!E1119="","",最佳化斷筋點!E1119)</f>
        <v>6</v>
      </c>
      <c r="AE1119" s="37">
        <f>IF(最佳化斷筋點!F1119="","",最佳化斷筋點!F1119)</f>
        <v>6</v>
      </c>
      <c r="AF1119" s="37">
        <f>IF(最佳化斷筋點!G1119="","",最佳化斷筋點!G1119)</f>
        <v>6</v>
      </c>
      <c r="AG1119" s="37">
        <f>IF(最佳化斷筋點!H1119="","",最佳化斷筋點!H1119)</f>
        <v>6</v>
      </c>
      <c r="AH1119" s="37">
        <f>IF(最佳化斷筋點!I1119="","",最佳化斷筋點!I1119)</f>
        <v>6</v>
      </c>
      <c r="AI1119" s="37">
        <f>IF(最佳化斷筋點!J1119="","",最佳化斷筋點!J1119)</f>
        <v>6</v>
      </c>
      <c r="AJ1119" s="37">
        <f>IF(最佳化斷筋點!K1119="","",最佳化斷筋點!K1119)</f>
        <v>3</v>
      </c>
      <c r="AK1119" s="37">
        <f>IF(最佳化斷筋點!L1119="","",最佳化斷筋點!L1119)</f>
        <v>3</v>
      </c>
      <c r="AL1119" s="37">
        <f>IF(最佳化斷筋點!M1119="","",最佳化斷筋點!M1119)</f>
        <v>3</v>
      </c>
      <c r="AM1119" s="37">
        <f>IF(最佳化斷筋點!N1119="","",最佳化斷筋點!N1119)</f>
        <v>3</v>
      </c>
      <c r="AN1119" s="37">
        <f>IF(最佳化斷筋點!O1119="","",最佳化斷筋點!O1119)</f>
        <v>3</v>
      </c>
      <c r="AO1119" s="37">
        <f>IF(最佳化斷筋點!P1119="","",最佳化斷筋點!P1119)</f>
        <v>3</v>
      </c>
      <c r="AP1119" s="37">
        <f>IF(最佳化斷筋點!Q1119="","",最佳化斷筋點!Q1119)</f>
        <v>6</v>
      </c>
      <c r="AQ1119" s="37">
        <f>IF(最佳化斷筋點!R1119="","",最佳化斷筋點!R1119)</f>
        <v>6</v>
      </c>
      <c r="AR1119" s="37">
        <f>IF(最佳化斷筋點!S1119="","",最佳化斷筋點!S1119)</f>
        <v>7</v>
      </c>
      <c r="AS1119" s="37">
        <f>IF(最佳化斷筋點!T1119="","",最佳化斷筋點!T1119)</f>
        <v>7</v>
      </c>
      <c r="AT1119" s="37">
        <f>IF(最佳化斷筋點!U1119="","",最佳化斷筋點!U1119)</f>
        <v>7</v>
      </c>
      <c r="AU1119" s="37">
        <f>IF(最佳化斷筋點!V1119="","",最佳化斷筋點!V1119)</f>
        <v>7</v>
      </c>
      <c r="AV1119" s="37">
        <f>IF(最佳化斷筋點!W1119="","",最佳化斷筋點!W1119)</f>
        <v>7</v>
      </c>
      <c r="AW1119" s="37">
        <f>IF(最佳化斷筋點!X1119="","",最佳化斷筋點!X1119)</f>
        <v>7</v>
      </c>
      <c r="AZ1119" s="37">
        <v>6</v>
      </c>
      <c r="BA1119" s="37">
        <v>6</v>
      </c>
      <c r="BB1119" s="37">
        <v>6</v>
      </c>
      <c r="BC1119" s="37">
        <v>6</v>
      </c>
      <c r="BD1119" s="37">
        <v>6</v>
      </c>
      <c r="BE1119" s="37">
        <v>6</v>
      </c>
      <c r="BF1119" s="37">
        <v>6</v>
      </c>
      <c r="BG1119" s="37">
        <v>3</v>
      </c>
      <c r="BH1119" s="37">
        <v>3</v>
      </c>
      <c r="BI1119" s="37">
        <v>3</v>
      </c>
      <c r="BJ1119" s="37">
        <v>3</v>
      </c>
      <c r="BK1119" s="37">
        <v>3</v>
      </c>
      <c r="BL1119" s="37">
        <v>3</v>
      </c>
      <c r="BM1119" s="37">
        <v>6</v>
      </c>
      <c r="BN1119" s="37">
        <v>6</v>
      </c>
      <c r="BO1119" s="37">
        <v>7</v>
      </c>
      <c r="BP1119" s="37">
        <v>7</v>
      </c>
      <c r="BQ1119" s="37">
        <v>7</v>
      </c>
      <c r="BR1119" s="37">
        <v>7</v>
      </c>
      <c r="BS1119" s="37">
        <v>7</v>
      </c>
      <c r="BT1119" s="37">
        <v>7</v>
      </c>
    </row>
    <row r="1120" spans="5:72" x14ac:dyDescent="0.25">
      <c r="E1120" s="36"/>
      <c r="F1120" s="36">
        <f t="shared" si="358"/>
        <v>0</v>
      </c>
      <c r="G1120" s="36">
        <f t="shared" si="359"/>
        <v>0</v>
      </c>
      <c r="H1120" s="36">
        <f t="shared" si="360"/>
        <v>0</v>
      </c>
      <c r="I1120" s="36">
        <f t="shared" si="361"/>
        <v>0</v>
      </c>
      <c r="J1120" s="36">
        <f t="shared" si="362"/>
        <v>0</v>
      </c>
      <c r="K1120" s="36">
        <f t="shared" si="363"/>
        <v>0</v>
      </c>
      <c r="L1120" s="36">
        <f t="shared" si="364"/>
        <v>0</v>
      </c>
      <c r="M1120" s="36">
        <f t="shared" si="365"/>
        <v>0</v>
      </c>
      <c r="N1120" s="36">
        <f t="shared" si="366"/>
        <v>0</v>
      </c>
      <c r="O1120" s="36">
        <f t="shared" si="367"/>
        <v>0</v>
      </c>
      <c r="P1120" s="36">
        <f t="shared" si="368"/>
        <v>0</v>
      </c>
      <c r="Q1120" s="36">
        <f t="shared" si="369"/>
        <v>0</v>
      </c>
      <c r="R1120" s="36">
        <f t="shared" si="370"/>
        <v>0</v>
      </c>
      <c r="S1120" s="36">
        <f t="shared" si="371"/>
        <v>0</v>
      </c>
      <c r="T1120" s="36">
        <f t="shared" si="372"/>
        <v>0</v>
      </c>
      <c r="U1120" s="36">
        <f t="shared" si="373"/>
        <v>0</v>
      </c>
      <c r="V1120" s="36">
        <f t="shared" si="374"/>
        <v>0</v>
      </c>
      <c r="W1120" s="36">
        <f t="shared" si="375"/>
        <v>0</v>
      </c>
      <c r="X1120" s="36">
        <f t="shared" si="376"/>
        <v>0</v>
      </c>
      <c r="Y1120" s="36">
        <f t="shared" si="377"/>
        <v>0</v>
      </c>
      <c r="Z1120" s="36">
        <f t="shared" si="378"/>
        <v>0</v>
      </c>
      <c r="AB1120" s="36" t="str">
        <f>IF(最佳化斷筋點!C1120="","",最佳化斷筋點!C1120)</f>
        <v/>
      </c>
      <c r="AC1120" s="37" t="str">
        <f>IF(最佳化斷筋點!D1120="","",最佳化斷筋點!D1120)</f>
        <v/>
      </c>
      <c r="AD1120" s="37" t="str">
        <f>IF(最佳化斷筋點!E1120="","",最佳化斷筋點!E1120)</f>
        <v/>
      </c>
      <c r="AE1120" s="37" t="str">
        <f>IF(最佳化斷筋點!F1120="","",最佳化斷筋點!F1120)</f>
        <v/>
      </c>
      <c r="AF1120" s="37" t="str">
        <f>IF(最佳化斷筋點!G1120="","",最佳化斷筋點!G1120)</f>
        <v/>
      </c>
      <c r="AG1120" s="37" t="str">
        <f>IF(最佳化斷筋點!H1120="","",最佳化斷筋點!H1120)</f>
        <v/>
      </c>
      <c r="AH1120" s="37" t="str">
        <f>IF(最佳化斷筋點!I1120="","",最佳化斷筋點!I1120)</f>
        <v/>
      </c>
      <c r="AI1120" s="37" t="str">
        <f>IF(最佳化斷筋點!J1120="","",最佳化斷筋點!J1120)</f>
        <v/>
      </c>
      <c r="AJ1120" s="37" t="str">
        <f>IF(最佳化斷筋點!K1120="","",最佳化斷筋點!K1120)</f>
        <v/>
      </c>
      <c r="AK1120" s="37" t="str">
        <f>IF(最佳化斷筋點!L1120="","",最佳化斷筋點!L1120)</f>
        <v/>
      </c>
      <c r="AL1120" s="37" t="str">
        <f>IF(最佳化斷筋點!M1120="","",最佳化斷筋點!M1120)</f>
        <v/>
      </c>
      <c r="AM1120" s="37" t="str">
        <f>IF(最佳化斷筋點!N1120="","",最佳化斷筋點!N1120)</f>
        <v/>
      </c>
      <c r="AN1120" s="37" t="str">
        <f>IF(最佳化斷筋點!O1120="","",最佳化斷筋點!O1120)</f>
        <v/>
      </c>
      <c r="AO1120" s="37" t="str">
        <f>IF(最佳化斷筋點!P1120="","",最佳化斷筋點!P1120)</f>
        <v/>
      </c>
      <c r="AP1120" s="37" t="str">
        <f>IF(最佳化斷筋點!Q1120="","",最佳化斷筋點!Q1120)</f>
        <v/>
      </c>
      <c r="AQ1120" s="37" t="str">
        <f>IF(最佳化斷筋點!R1120="","",最佳化斷筋點!R1120)</f>
        <v/>
      </c>
      <c r="AR1120" s="37" t="str">
        <f>IF(最佳化斷筋點!S1120="","",最佳化斷筋點!S1120)</f>
        <v/>
      </c>
      <c r="AS1120" s="37" t="str">
        <f>IF(最佳化斷筋點!T1120="","",最佳化斷筋點!T1120)</f>
        <v/>
      </c>
      <c r="AT1120" s="37" t="str">
        <f>IF(最佳化斷筋點!U1120="","",最佳化斷筋點!U1120)</f>
        <v/>
      </c>
      <c r="AU1120" s="37" t="str">
        <f>IF(最佳化斷筋點!V1120="","",最佳化斷筋點!V1120)</f>
        <v/>
      </c>
      <c r="AV1120" s="37" t="str">
        <f>IF(最佳化斷筋點!W1120="","",最佳化斷筋點!W1120)</f>
        <v/>
      </c>
      <c r="AW1120" s="37" t="str">
        <f>IF(最佳化斷筋點!X1120="","",最佳化斷筋點!X1120)</f>
        <v/>
      </c>
      <c r="AZ1120" s="37" t="s">
        <v>197</v>
      </c>
      <c r="BA1120" s="37" t="s">
        <v>197</v>
      </c>
      <c r="BB1120" s="37" t="s">
        <v>197</v>
      </c>
      <c r="BC1120" s="37" t="s">
        <v>197</v>
      </c>
      <c r="BD1120" s="37" t="s">
        <v>197</v>
      </c>
      <c r="BE1120" s="37" t="s">
        <v>197</v>
      </c>
      <c r="BF1120" s="37" t="s">
        <v>197</v>
      </c>
      <c r="BG1120" s="37" t="s">
        <v>197</v>
      </c>
      <c r="BH1120" s="37" t="s">
        <v>197</v>
      </c>
      <c r="BI1120" s="37" t="s">
        <v>197</v>
      </c>
      <c r="BJ1120" s="37" t="s">
        <v>197</v>
      </c>
      <c r="BK1120" s="37" t="s">
        <v>197</v>
      </c>
      <c r="BL1120" s="37" t="s">
        <v>197</v>
      </c>
      <c r="BM1120" s="37" t="s">
        <v>197</v>
      </c>
      <c r="BN1120" s="37" t="s">
        <v>197</v>
      </c>
      <c r="BO1120" s="37" t="s">
        <v>197</v>
      </c>
      <c r="BP1120" s="37" t="s">
        <v>197</v>
      </c>
      <c r="BQ1120" s="37" t="s">
        <v>197</v>
      </c>
      <c r="BR1120" s="37" t="s">
        <v>197</v>
      </c>
      <c r="BS1120" s="37" t="s">
        <v>197</v>
      </c>
      <c r="BT1120" s="37" t="s">
        <v>197</v>
      </c>
    </row>
    <row r="1121" spans="5:72" x14ac:dyDescent="0.25">
      <c r="E1121" s="36" t="s">
        <v>21</v>
      </c>
      <c r="F1121" s="36">
        <f t="shared" si="358"/>
        <v>0</v>
      </c>
      <c r="G1121" s="36">
        <f t="shared" si="359"/>
        <v>0</v>
      </c>
      <c r="H1121" s="36">
        <f t="shared" si="360"/>
        <v>0</v>
      </c>
      <c r="I1121" s="36">
        <f t="shared" si="361"/>
        <v>0</v>
      </c>
      <c r="J1121" s="36">
        <f t="shared" si="362"/>
        <v>0</v>
      </c>
      <c r="K1121" s="36">
        <f t="shared" si="363"/>
        <v>0</v>
      </c>
      <c r="L1121" s="36">
        <f t="shared" si="364"/>
        <v>0</v>
      </c>
      <c r="M1121" s="36">
        <f t="shared" si="365"/>
        <v>0</v>
      </c>
      <c r="N1121" s="36">
        <f t="shared" si="366"/>
        <v>0</v>
      </c>
      <c r="O1121" s="36">
        <f t="shared" si="367"/>
        <v>0</v>
      </c>
      <c r="P1121" s="36">
        <f t="shared" si="368"/>
        <v>0</v>
      </c>
      <c r="Q1121" s="36">
        <f t="shared" si="369"/>
        <v>0</v>
      </c>
      <c r="R1121" s="36">
        <f t="shared" si="370"/>
        <v>0</v>
      </c>
      <c r="S1121" s="36">
        <f t="shared" si="371"/>
        <v>0</v>
      </c>
      <c r="T1121" s="36">
        <f t="shared" si="372"/>
        <v>0</v>
      </c>
      <c r="U1121" s="36">
        <f t="shared" si="373"/>
        <v>0</v>
      </c>
      <c r="V1121" s="36">
        <f t="shared" si="374"/>
        <v>0</v>
      </c>
      <c r="W1121" s="36">
        <f t="shared" si="375"/>
        <v>0</v>
      </c>
      <c r="X1121" s="36">
        <f t="shared" si="376"/>
        <v>0</v>
      </c>
      <c r="Y1121" s="36">
        <f t="shared" si="377"/>
        <v>0</v>
      </c>
      <c r="Z1121" s="36">
        <f t="shared" si="378"/>
        <v>0</v>
      </c>
      <c r="AB1121" s="36" t="str">
        <f>IF(最佳化斷筋點!C1121="","",最佳化斷筋點!C1121)</f>
        <v>下層</v>
      </c>
      <c r="AC1121" s="37">
        <f>IF(最佳化斷筋點!D1121="","",最佳化斷筋點!D1121)</f>
        <v>10</v>
      </c>
      <c r="AD1121" s="37">
        <f>IF(最佳化斷筋點!E1121="","",最佳化斷筋點!E1121)</f>
        <v>10</v>
      </c>
      <c r="AE1121" s="37">
        <f>IF(最佳化斷筋點!F1121="","",最佳化斷筋點!F1121)</f>
        <v>10</v>
      </c>
      <c r="AF1121" s="37">
        <f>IF(最佳化斷筋點!G1121="","",最佳化斷筋點!G1121)</f>
        <v>10</v>
      </c>
      <c r="AG1121" s="37">
        <f>IF(最佳化斷筋點!H1121="","",最佳化斷筋點!H1121)</f>
        <v>10</v>
      </c>
      <c r="AH1121" s="37">
        <f>IF(最佳化斷筋點!I1121="","",最佳化斷筋點!I1121)</f>
        <v>10</v>
      </c>
      <c r="AI1121" s="37">
        <f>IF(最佳化斷筋點!J1121="","",最佳化斷筋點!J1121)</f>
        <v>9</v>
      </c>
      <c r="AJ1121" s="37">
        <f>IF(最佳化斷筋點!K1121="","",最佳化斷筋點!K1121)</f>
        <v>4</v>
      </c>
      <c r="AK1121" s="37">
        <f>IF(最佳化斷筋點!L1121="","",最佳化斷筋點!L1121)</f>
        <v>4</v>
      </c>
      <c r="AL1121" s="37">
        <f>IF(最佳化斷筋點!M1121="","",最佳化斷筋點!M1121)</f>
        <v>4</v>
      </c>
      <c r="AM1121" s="37">
        <f>IF(最佳化斷筋點!N1121="","",最佳化斷筋點!N1121)</f>
        <v>4</v>
      </c>
      <c r="AN1121" s="37">
        <f>IF(最佳化斷筋點!O1121="","",最佳化斷筋點!O1121)</f>
        <v>4</v>
      </c>
      <c r="AO1121" s="37">
        <f>IF(最佳化斷筋點!P1121="","",最佳化斷筋點!P1121)</f>
        <v>4</v>
      </c>
      <c r="AP1121" s="37">
        <f>IF(最佳化斷筋點!Q1121="","",最佳化斷筋點!Q1121)</f>
        <v>6</v>
      </c>
      <c r="AQ1121" s="37">
        <f>IF(最佳化斷筋點!R1121="","",最佳化斷筋點!R1121)</f>
        <v>6</v>
      </c>
      <c r="AR1121" s="37">
        <f>IF(最佳化斷筋點!S1121="","",最佳化斷筋點!S1121)</f>
        <v>7</v>
      </c>
      <c r="AS1121" s="37">
        <f>IF(最佳化斷筋點!T1121="","",最佳化斷筋點!T1121)</f>
        <v>8</v>
      </c>
      <c r="AT1121" s="37">
        <f>IF(最佳化斷筋點!U1121="","",最佳化斷筋點!U1121)</f>
        <v>8</v>
      </c>
      <c r="AU1121" s="37">
        <f>IF(最佳化斷筋點!V1121="","",最佳化斷筋點!V1121)</f>
        <v>8</v>
      </c>
      <c r="AV1121" s="37">
        <f>IF(最佳化斷筋點!W1121="","",最佳化斷筋點!W1121)</f>
        <v>8</v>
      </c>
      <c r="AW1121" s="37">
        <f>IF(最佳化斷筋點!X1121="","",最佳化斷筋點!X1121)</f>
        <v>8</v>
      </c>
      <c r="AZ1121" s="37">
        <v>10</v>
      </c>
      <c r="BA1121" s="37">
        <v>10</v>
      </c>
      <c r="BB1121" s="37">
        <v>10</v>
      </c>
      <c r="BC1121" s="37">
        <v>10</v>
      </c>
      <c r="BD1121" s="37">
        <v>10</v>
      </c>
      <c r="BE1121" s="37">
        <v>10</v>
      </c>
      <c r="BF1121" s="37">
        <v>9</v>
      </c>
      <c r="BG1121" s="37">
        <v>4</v>
      </c>
      <c r="BH1121" s="37">
        <v>4</v>
      </c>
      <c r="BI1121" s="37">
        <v>4</v>
      </c>
      <c r="BJ1121" s="37">
        <v>4</v>
      </c>
      <c r="BK1121" s="37">
        <v>4</v>
      </c>
      <c r="BL1121" s="37">
        <v>4</v>
      </c>
      <c r="BM1121" s="37">
        <v>6</v>
      </c>
      <c r="BN1121" s="37">
        <v>6</v>
      </c>
      <c r="BO1121" s="37">
        <v>7</v>
      </c>
      <c r="BP1121" s="37">
        <v>8</v>
      </c>
      <c r="BQ1121" s="37">
        <v>8</v>
      </c>
      <c r="BR1121" s="37">
        <v>8</v>
      </c>
      <c r="BS1121" s="37">
        <v>8</v>
      </c>
      <c r="BT1121" s="37">
        <v>8</v>
      </c>
    </row>
    <row r="1122" spans="5:72" x14ac:dyDescent="0.25">
      <c r="E1122" s="36"/>
      <c r="F1122" s="36">
        <f t="shared" si="358"/>
        <v>0</v>
      </c>
      <c r="G1122" s="36">
        <f t="shared" si="359"/>
        <v>0</v>
      </c>
      <c r="H1122" s="36">
        <f t="shared" si="360"/>
        <v>0</v>
      </c>
      <c r="I1122" s="36">
        <f t="shared" si="361"/>
        <v>0</v>
      </c>
      <c r="J1122" s="36">
        <f t="shared" si="362"/>
        <v>0</v>
      </c>
      <c r="K1122" s="36">
        <f t="shared" si="363"/>
        <v>0</v>
      </c>
      <c r="L1122" s="36">
        <f t="shared" si="364"/>
        <v>0</v>
      </c>
      <c r="M1122" s="36">
        <f t="shared" si="365"/>
        <v>0</v>
      </c>
      <c r="N1122" s="36">
        <f t="shared" si="366"/>
        <v>0</v>
      </c>
      <c r="O1122" s="36">
        <f t="shared" si="367"/>
        <v>0</v>
      </c>
      <c r="P1122" s="36">
        <f t="shared" si="368"/>
        <v>0</v>
      </c>
      <c r="Q1122" s="36">
        <f t="shared" si="369"/>
        <v>0</v>
      </c>
      <c r="R1122" s="36">
        <f t="shared" si="370"/>
        <v>0</v>
      </c>
      <c r="S1122" s="36">
        <f t="shared" si="371"/>
        <v>0</v>
      </c>
      <c r="T1122" s="36">
        <f t="shared" si="372"/>
        <v>0</v>
      </c>
      <c r="U1122" s="36">
        <f t="shared" si="373"/>
        <v>0</v>
      </c>
      <c r="V1122" s="36">
        <f t="shared" si="374"/>
        <v>0</v>
      </c>
      <c r="W1122" s="36">
        <f t="shared" si="375"/>
        <v>0</v>
      </c>
      <c r="X1122" s="36">
        <f t="shared" si="376"/>
        <v>0</v>
      </c>
      <c r="Y1122" s="36">
        <f t="shared" si="377"/>
        <v>0</v>
      </c>
      <c r="Z1122" s="36">
        <f t="shared" si="378"/>
        <v>0</v>
      </c>
      <c r="AB1122" s="36" t="str">
        <f>IF(最佳化斷筋點!C1122="","",最佳化斷筋點!C1122)</f>
        <v/>
      </c>
      <c r="AC1122" s="37" t="str">
        <f>IF(最佳化斷筋點!D1122="","",最佳化斷筋點!D1122)</f>
        <v/>
      </c>
      <c r="AD1122" s="37" t="str">
        <f>IF(最佳化斷筋點!E1122="","",最佳化斷筋點!E1122)</f>
        <v/>
      </c>
      <c r="AE1122" s="37" t="str">
        <f>IF(最佳化斷筋點!F1122="","",最佳化斷筋點!F1122)</f>
        <v/>
      </c>
      <c r="AF1122" s="37" t="str">
        <f>IF(最佳化斷筋點!G1122="","",最佳化斷筋點!G1122)</f>
        <v/>
      </c>
      <c r="AG1122" s="37" t="str">
        <f>IF(最佳化斷筋點!H1122="","",最佳化斷筋點!H1122)</f>
        <v/>
      </c>
      <c r="AH1122" s="37" t="str">
        <f>IF(最佳化斷筋點!I1122="","",最佳化斷筋點!I1122)</f>
        <v/>
      </c>
      <c r="AI1122" s="37" t="str">
        <f>IF(最佳化斷筋點!J1122="","",最佳化斷筋點!J1122)</f>
        <v/>
      </c>
      <c r="AJ1122" s="37" t="str">
        <f>IF(最佳化斷筋點!K1122="","",最佳化斷筋點!K1122)</f>
        <v/>
      </c>
      <c r="AK1122" s="37" t="str">
        <f>IF(最佳化斷筋點!L1122="","",最佳化斷筋點!L1122)</f>
        <v/>
      </c>
      <c r="AL1122" s="37" t="str">
        <f>IF(最佳化斷筋點!M1122="","",最佳化斷筋點!M1122)</f>
        <v/>
      </c>
      <c r="AM1122" s="37" t="str">
        <f>IF(最佳化斷筋點!N1122="","",最佳化斷筋點!N1122)</f>
        <v/>
      </c>
      <c r="AN1122" s="37" t="str">
        <f>IF(最佳化斷筋點!O1122="","",最佳化斷筋點!O1122)</f>
        <v/>
      </c>
      <c r="AO1122" s="37" t="str">
        <f>IF(最佳化斷筋點!P1122="","",最佳化斷筋點!P1122)</f>
        <v/>
      </c>
      <c r="AP1122" s="37" t="str">
        <f>IF(最佳化斷筋點!Q1122="","",最佳化斷筋點!Q1122)</f>
        <v/>
      </c>
      <c r="AQ1122" s="37" t="str">
        <f>IF(最佳化斷筋點!R1122="","",最佳化斷筋點!R1122)</f>
        <v/>
      </c>
      <c r="AR1122" s="37" t="str">
        <f>IF(最佳化斷筋點!S1122="","",最佳化斷筋點!S1122)</f>
        <v/>
      </c>
      <c r="AS1122" s="37" t="str">
        <f>IF(最佳化斷筋點!T1122="","",最佳化斷筋點!T1122)</f>
        <v/>
      </c>
      <c r="AT1122" s="37" t="str">
        <f>IF(最佳化斷筋點!U1122="","",最佳化斷筋點!U1122)</f>
        <v/>
      </c>
      <c r="AU1122" s="37" t="str">
        <f>IF(最佳化斷筋點!V1122="","",最佳化斷筋點!V1122)</f>
        <v/>
      </c>
      <c r="AV1122" s="37" t="str">
        <f>IF(最佳化斷筋點!W1122="","",最佳化斷筋點!W1122)</f>
        <v/>
      </c>
      <c r="AW1122" s="37" t="str">
        <f>IF(最佳化斷筋點!X1122="","",最佳化斷筋點!X1122)</f>
        <v/>
      </c>
      <c r="AZ1122" s="37" t="s">
        <v>197</v>
      </c>
      <c r="BA1122" s="37" t="s">
        <v>197</v>
      </c>
      <c r="BB1122" s="37" t="s">
        <v>197</v>
      </c>
      <c r="BC1122" s="37" t="s">
        <v>197</v>
      </c>
      <c r="BD1122" s="37" t="s">
        <v>197</v>
      </c>
      <c r="BE1122" s="37" t="s">
        <v>197</v>
      </c>
      <c r="BF1122" s="37" t="s">
        <v>197</v>
      </c>
      <c r="BG1122" s="37" t="s">
        <v>197</v>
      </c>
      <c r="BH1122" s="37" t="s">
        <v>197</v>
      </c>
      <c r="BI1122" s="37" t="s">
        <v>197</v>
      </c>
      <c r="BJ1122" s="37" t="s">
        <v>197</v>
      </c>
      <c r="BK1122" s="37" t="s">
        <v>197</v>
      </c>
      <c r="BL1122" s="37" t="s">
        <v>197</v>
      </c>
      <c r="BM1122" s="37" t="s">
        <v>197</v>
      </c>
      <c r="BN1122" s="37" t="s">
        <v>197</v>
      </c>
      <c r="BO1122" s="37" t="s">
        <v>197</v>
      </c>
      <c r="BP1122" s="37" t="s">
        <v>197</v>
      </c>
      <c r="BQ1122" s="37" t="s">
        <v>197</v>
      </c>
      <c r="BR1122" s="37" t="s">
        <v>197</v>
      </c>
      <c r="BS1122" s="37" t="s">
        <v>197</v>
      </c>
      <c r="BT1122" s="37" t="s">
        <v>197</v>
      </c>
    </row>
    <row r="1123" spans="5:72" x14ac:dyDescent="0.25">
      <c r="E1123" s="36" t="s">
        <v>20</v>
      </c>
      <c r="F1123" s="36">
        <f t="shared" si="358"/>
        <v>0</v>
      </c>
      <c r="G1123" s="36">
        <f t="shared" si="359"/>
        <v>0</v>
      </c>
      <c r="H1123" s="36">
        <f t="shared" si="360"/>
        <v>0</v>
      </c>
      <c r="I1123" s="36">
        <f t="shared" si="361"/>
        <v>0</v>
      </c>
      <c r="J1123" s="36">
        <f t="shared" si="362"/>
        <v>0</v>
      </c>
      <c r="K1123" s="36">
        <f t="shared" si="363"/>
        <v>0</v>
      </c>
      <c r="L1123" s="36">
        <f t="shared" si="364"/>
        <v>0</v>
      </c>
      <c r="M1123" s="36">
        <f t="shared" si="365"/>
        <v>0</v>
      </c>
      <c r="N1123" s="36">
        <f t="shared" si="366"/>
        <v>0</v>
      </c>
      <c r="O1123" s="36">
        <f t="shared" si="367"/>
        <v>0</v>
      </c>
      <c r="P1123" s="36">
        <f t="shared" si="368"/>
        <v>0</v>
      </c>
      <c r="Q1123" s="36">
        <f t="shared" si="369"/>
        <v>0</v>
      </c>
      <c r="R1123" s="36">
        <f t="shared" si="370"/>
        <v>0</v>
      </c>
      <c r="S1123" s="36">
        <f t="shared" si="371"/>
        <v>0</v>
      </c>
      <c r="T1123" s="36">
        <f t="shared" si="372"/>
        <v>0</v>
      </c>
      <c r="U1123" s="36">
        <f t="shared" si="373"/>
        <v>0</v>
      </c>
      <c r="V1123" s="36">
        <f t="shared" si="374"/>
        <v>0</v>
      </c>
      <c r="W1123" s="36">
        <f t="shared" si="375"/>
        <v>0</v>
      </c>
      <c r="X1123" s="36">
        <f t="shared" si="376"/>
        <v>0</v>
      </c>
      <c r="Y1123" s="36">
        <f t="shared" si="377"/>
        <v>0</v>
      </c>
      <c r="Z1123" s="36">
        <f t="shared" si="378"/>
        <v>0</v>
      </c>
      <c r="AB1123" s="36" t="str">
        <f>IF(最佳化斷筋點!C1123="","",最佳化斷筋點!C1123)</f>
        <v>上層</v>
      </c>
      <c r="AC1123" s="37">
        <f>IF(最佳化斷筋點!D1123="","",最佳化斷筋點!D1123)</f>
        <v>5</v>
      </c>
      <c r="AD1123" s="37">
        <f>IF(最佳化斷筋點!E1123="","",最佳化斷筋點!E1123)</f>
        <v>5</v>
      </c>
      <c r="AE1123" s="37">
        <f>IF(最佳化斷筋點!F1123="","",最佳化斷筋點!F1123)</f>
        <v>5</v>
      </c>
      <c r="AF1123" s="37">
        <f>IF(最佳化斷筋點!G1123="","",最佳化斷筋點!G1123)</f>
        <v>5</v>
      </c>
      <c r="AG1123" s="37">
        <f>IF(最佳化斷筋點!H1123="","",最佳化斷筋點!H1123)</f>
        <v>5</v>
      </c>
      <c r="AH1123" s="37">
        <f>IF(最佳化斷筋點!I1123="","",最佳化斷筋點!I1123)</f>
        <v>5</v>
      </c>
      <c r="AI1123" s="37">
        <f>IF(最佳化斷筋點!J1123="","",最佳化斷筋點!J1123)</f>
        <v>4</v>
      </c>
      <c r="AJ1123" s="37">
        <f>IF(最佳化斷筋點!K1123="","",最佳化斷筋點!K1123)</f>
        <v>2</v>
      </c>
      <c r="AK1123" s="37">
        <f>IF(最佳化斷筋點!L1123="","",最佳化斷筋點!L1123)</f>
        <v>2</v>
      </c>
      <c r="AL1123" s="37">
        <f>IF(最佳化斷筋點!M1123="","",最佳化斷筋點!M1123)</f>
        <v>2</v>
      </c>
      <c r="AM1123" s="37">
        <f>IF(最佳化斷筋點!N1123="","",最佳化斷筋點!N1123)</f>
        <v>2</v>
      </c>
      <c r="AN1123" s="37">
        <f>IF(最佳化斷筋點!O1123="","",最佳化斷筋點!O1123)</f>
        <v>2</v>
      </c>
      <c r="AO1123" s="37">
        <f>IF(最佳化斷筋點!P1123="","",最佳化斷筋點!P1123)</f>
        <v>2</v>
      </c>
      <c r="AP1123" s="37">
        <f>IF(最佳化斷筋點!Q1123="","",最佳化斷筋點!Q1123)</f>
        <v>3</v>
      </c>
      <c r="AQ1123" s="37">
        <f>IF(最佳化斷筋點!R1123="","",最佳化斷筋點!R1123)</f>
        <v>4</v>
      </c>
      <c r="AR1123" s="37">
        <f>IF(最佳化斷筋點!S1123="","",最佳化斷筋點!S1123)</f>
        <v>4</v>
      </c>
      <c r="AS1123" s="37">
        <f>IF(最佳化斷筋點!T1123="","",最佳化斷筋點!T1123)</f>
        <v>5</v>
      </c>
      <c r="AT1123" s="37">
        <f>IF(最佳化斷筋點!U1123="","",最佳化斷筋點!U1123)</f>
        <v>5</v>
      </c>
      <c r="AU1123" s="37">
        <f>IF(最佳化斷筋點!V1123="","",最佳化斷筋點!V1123)</f>
        <v>5</v>
      </c>
      <c r="AV1123" s="37">
        <f>IF(最佳化斷筋點!W1123="","",最佳化斷筋點!W1123)</f>
        <v>5</v>
      </c>
      <c r="AW1123" s="37">
        <f>IF(最佳化斷筋點!X1123="","",最佳化斷筋點!X1123)</f>
        <v>5</v>
      </c>
      <c r="AZ1123" s="37">
        <v>5</v>
      </c>
      <c r="BA1123" s="37">
        <v>5</v>
      </c>
      <c r="BB1123" s="37">
        <v>5</v>
      </c>
      <c r="BC1123" s="37">
        <v>5</v>
      </c>
      <c r="BD1123" s="37">
        <v>5</v>
      </c>
      <c r="BE1123" s="37">
        <v>5</v>
      </c>
      <c r="BF1123" s="37">
        <v>4</v>
      </c>
      <c r="BG1123" s="37">
        <v>2</v>
      </c>
      <c r="BH1123" s="37">
        <v>2</v>
      </c>
      <c r="BI1123" s="37">
        <v>2</v>
      </c>
      <c r="BJ1123" s="37">
        <v>2</v>
      </c>
      <c r="BK1123" s="37">
        <v>2</v>
      </c>
      <c r="BL1123" s="37">
        <v>2</v>
      </c>
      <c r="BM1123" s="37">
        <v>3</v>
      </c>
      <c r="BN1123" s="37">
        <v>4</v>
      </c>
      <c r="BO1123" s="37">
        <v>4</v>
      </c>
      <c r="BP1123" s="37">
        <v>5</v>
      </c>
      <c r="BQ1123" s="37">
        <v>5</v>
      </c>
      <c r="BR1123" s="37">
        <v>5</v>
      </c>
      <c r="BS1123" s="37">
        <v>5</v>
      </c>
      <c r="BT1123" s="37">
        <v>5</v>
      </c>
    </row>
    <row r="1124" spans="5:72" x14ac:dyDescent="0.25">
      <c r="E1124" s="36"/>
      <c r="F1124" s="36">
        <f t="shared" si="358"/>
        <v>0</v>
      </c>
      <c r="G1124" s="36">
        <f t="shared" si="359"/>
        <v>0</v>
      </c>
      <c r="H1124" s="36">
        <f t="shared" si="360"/>
        <v>0</v>
      </c>
      <c r="I1124" s="36">
        <f t="shared" si="361"/>
        <v>0</v>
      </c>
      <c r="J1124" s="36">
        <f t="shared" si="362"/>
        <v>0</v>
      </c>
      <c r="K1124" s="36">
        <f t="shared" si="363"/>
        <v>0</v>
      </c>
      <c r="L1124" s="36">
        <f t="shared" si="364"/>
        <v>0</v>
      </c>
      <c r="M1124" s="36">
        <f t="shared" si="365"/>
        <v>0</v>
      </c>
      <c r="N1124" s="36">
        <f t="shared" si="366"/>
        <v>0</v>
      </c>
      <c r="O1124" s="36">
        <f t="shared" si="367"/>
        <v>0</v>
      </c>
      <c r="P1124" s="36">
        <f t="shared" si="368"/>
        <v>0</v>
      </c>
      <c r="Q1124" s="36">
        <f t="shared" si="369"/>
        <v>0</v>
      </c>
      <c r="R1124" s="36">
        <f t="shared" si="370"/>
        <v>0</v>
      </c>
      <c r="S1124" s="36">
        <f t="shared" si="371"/>
        <v>0</v>
      </c>
      <c r="T1124" s="36">
        <f t="shared" si="372"/>
        <v>0</v>
      </c>
      <c r="U1124" s="36">
        <f t="shared" si="373"/>
        <v>0</v>
      </c>
      <c r="V1124" s="36">
        <f t="shared" si="374"/>
        <v>0</v>
      </c>
      <c r="W1124" s="36">
        <f t="shared" si="375"/>
        <v>0</v>
      </c>
      <c r="X1124" s="36">
        <f t="shared" si="376"/>
        <v>0</v>
      </c>
      <c r="Y1124" s="36">
        <f t="shared" si="377"/>
        <v>0</v>
      </c>
      <c r="Z1124" s="36">
        <f t="shared" si="378"/>
        <v>0</v>
      </c>
      <c r="AB1124" s="36" t="str">
        <f>IF(最佳化斷筋點!C1124="","",最佳化斷筋點!C1124)</f>
        <v/>
      </c>
      <c r="AC1124" s="37" t="str">
        <f>IF(最佳化斷筋點!D1124="","",最佳化斷筋點!D1124)</f>
        <v/>
      </c>
      <c r="AD1124" s="37" t="str">
        <f>IF(最佳化斷筋點!E1124="","",最佳化斷筋點!E1124)</f>
        <v/>
      </c>
      <c r="AE1124" s="37" t="str">
        <f>IF(最佳化斷筋點!F1124="","",最佳化斷筋點!F1124)</f>
        <v/>
      </c>
      <c r="AF1124" s="37" t="str">
        <f>IF(最佳化斷筋點!G1124="","",最佳化斷筋點!G1124)</f>
        <v/>
      </c>
      <c r="AG1124" s="37" t="str">
        <f>IF(最佳化斷筋點!H1124="","",最佳化斷筋點!H1124)</f>
        <v/>
      </c>
      <c r="AH1124" s="37" t="str">
        <f>IF(最佳化斷筋點!I1124="","",最佳化斷筋點!I1124)</f>
        <v/>
      </c>
      <c r="AI1124" s="37" t="str">
        <f>IF(最佳化斷筋點!J1124="","",最佳化斷筋點!J1124)</f>
        <v/>
      </c>
      <c r="AJ1124" s="37" t="str">
        <f>IF(最佳化斷筋點!K1124="","",最佳化斷筋點!K1124)</f>
        <v/>
      </c>
      <c r="AK1124" s="37" t="str">
        <f>IF(最佳化斷筋點!L1124="","",最佳化斷筋點!L1124)</f>
        <v/>
      </c>
      <c r="AL1124" s="37" t="str">
        <f>IF(最佳化斷筋點!M1124="","",最佳化斷筋點!M1124)</f>
        <v/>
      </c>
      <c r="AM1124" s="37" t="str">
        <f>IF(最佳化斷筋點!N1124="","",最佳化斷筋點!N1124)</f>
        <v/>
      </c>
      <c r="AN1124" s="37" t="str">
        <f>IF(最佳化斷筋點!O1124="","",最佳化斷筋點!O1124)</f>
        <v/>
      </c>
      <c r="AO1124" s="37" t="str">
        <f>IF(最佳化斷筋點!P1124="","",最佳化斷筋點!P1124)</f>
        <v/>
      </c>
      <c r="AP1124" s="37" t="str">
        <f>IF(最佳化斷筋點!Q1124="","",最佳化斷筋點!Q1124)</f>
        <v/>
      </c>
      <c r="AQ1124" s="37" t="str">
        <f>IF(最佳化斷筋點!R1124="","",最佳化斷筋點!R1124)</f>
        <v/>
      </c>
      <c r="AR1124" s="37" t="str">
        <f>IF(最佳化斷筋點!S1124="","",最佳化斷筋點!S1124)</f>
        <v/>
      </c>
      <c r="AS1124" s="37" t="str">
        <f>IF(最佳化斷筋點!T1124="","",最佳化斷筋點!T1124)</f>
        <v/>
      </c>
      <c r="AT1124" s="37" t="str">
        <f>IF(最佳化斷筋點!U1124="","",最佳化斷筋點!U1124)</f>
        <v/>
      </c>
      <c r="AU1124" s="37" t="str">
        <f>IF(最佳化斷筋點!V1124="","",最佳化斷筋點!V1124)</f>
        <v/>
      </c>
      <c r="AV1124" s="37" t="str">
        <f>IF(最佳化斷筋點!W1124="","",最佳化斷筋點!W1124)</f>
        <v/>
      </c>
      <c r="AW1124" s="37" t="str">
        <f>IF(最佳化斷筋點!X1124="","",最佳化斷筋點!X1124)</f>
        <v/>
      </c>
      <c r="AZ1124" s="37" t="s">
        <v>197</v>
      </c>
      <c r="BA1124" s="37" t="s">
        <v>197</v>
      </c>
      <c r="BB1124" s="37" t="s">
        <v>197</v>
      </c>
      <c r="BC1124" s="37" t="s">
        <v>197</v>
      </c>
      <c r="BD1124" s="37" t="s">
        <v>197</v>
      </c>
      <c r="BE1124" s="37" t="s">
        <v>197</v>
      </c>
      <c r="BF1124" s="37" t="s">
        <v>197</v>
      </c>
      <c r="BG1124" s="37" t="s">
        <v>197</v>
      </c>
      <c r="BH1124" s="37" t="s">
        <v>197</v>
      </c>
      <c r="BI1124" s="37" t="s">
        <v>197</v>
      </c>
      <c r="BJ1124" s="37" t="s">
        <v>197</v>
      </c>
      <c r="BK1124" s="37" t="s">
        <v>197</v>
      </c>
      <c r="BL1124" s="37" t="s">
        <v>197</v>
      </c>
      <c r="BM1124" s="37" t="s">
        <v>197</v>
      </c>
      <c r="BN1124" s="37" t="s">
        <v>197</v>
      </c>
      <c r="BO1124" s="37" t="s">
        <v>197</v>
      </c>
      <c r="BP1124" s="37" t="s">
        <v>197</v>
      </c>
      <c r="BQ1124" s="37" t="s">
        <v>197</v>
      </c>
      <c r="BR1124" s="37" t="s">
        <v>197</v>
      </c>
      <c r="BS1124" s="37" t="s">
        <v>197</v>
      </c>
      <c r="BT1124" s="37" t="s">
        <v>197</v>
      </c>
    </row>
    <row r="1125" spans="5:72" x14ac:dyDescent="0.25">
      <c r="E1125" s="36" t="s">
        <v>21</v>
      </c>
      <c r="F1125" s="36">
        <f t="shared" si="358"/>
        <v>0</v>
      </c>
      <c r="G1125" s="36">
        <f t="shared" si="359"/>
        <v>0</v>
      </c>
      <c r="H1125" s="36">
        <f t="shared" si="360"/>
        <v>0</v>
      </c>
      <c r="I1125" s="36">
        <f t="shared" si="361"/>
        <v>0</v>
      </c>
      <c r="J1125" s="36">
        <f t="shared" si="362"/>
        <v>0</v>
      </c>
      <c r="K1125" s="36">
        <f t="shared" si="363"/>
        <v>0</v>
      </c>
      <c r="L1125" s="36">
        <f t="shared" si="364"/>
        <v>0</v>
      </c>
      <c r="M1125" s="36">
        <f t="shared" si="365"/>
        <v>0</v>
      </c>
      <c r="N1125" s="36">
        <f t="shared" si="366"/>
        <v>0</v>
      </c>
      <c r="O1125" s="36">
        <f t="shared" si="367"/>
        <v>0</v>
      </c>
      <c r="P1125" s="36">
        <f t="shared" si="368"/>
        <v>0</v>
      </c>
      <c r="Q1125" s="36">
        <f t="shared" si="369"/>
        <v>0</v>
      </c>
      <c r="R1125" s="36">
        <f t="shared" si="370"/>
        <v>0</v>
      </c>
      <c r="S1125" s="36">
        <f t="shared" si="371"/>
        <v>0</v>
      </c>
      <c r="T1125" s="36">
        <f t="shared" si="372"/>
        <v>0</v>
      </c>
      <c r="U1125" s="36">
        <f t="shared" si="373"/>
        <v>0</v>
      </c>
      <c r="V1125" s="36">
        <f t="shared" si="374"/>
        <v>0</v>
      </c>
      <c r="W1125" s="36">
        <f t="shared" si="375"/>
        <v>0</v>
      </c>
      <c r="X1125" s="36">
        <f t="shared" si="376"/>
        <v>0</v>
      </c>
      <c r="Y1125" s="36">
        <f t="shared" si="377"/>
        <v>0</v>
      </c>
      <c r="Z1125" s="36">
        <f t="shared" si="378"/>
        <v>0</v>
      </c>
      <c r="AB1125" s="36" t="str">
        <f>IF(最佳化斷筋點!C1125="","",最佳化斷筋點!C1125)</f>
        <v>下層</v>
      </c>
      <c r="AC1125" s="37">
        <f>IF(最佳化斷筋點!D1125="","",最佳化斷筋點!D1125)</f>
        <v>4</v>
      </c>
      <c r="AD1125" s="37">
        <f>IF(最佳化斷筋點!E1125="","",最佳化斷筋點!E1125)</f>
        <v>4</v>
      </c>
      <c r="AE1125" s="37">
        <f>IF(最佳化斷筋點!F1125="","",最佳化斷筋點!F1125)</f>
        <v>4</v>
      </c>
      <c r="AF1125" s="37">
        <f>IF(最佳化斷筋點!G1125="","",最佳化斷筋點!G1125)</f>
        <v>4</v>
      </c>
      <c r="AG1125" s="37">
        <f>IF(最佳化斷筋點!H1125="","",最佳化斷筋點!H1125)</f>
        <v>4</v>
      </c>
      <c r="AH1125" s="37">
        <f>IF(最佳化斷筋點!I1125="","",最佳化斷筋點!I1125)</f>
        <v>4</v>
      </c>
      <c r="AI1125" s="37">
        <f>IF(最佳化斷筋點!J1125="","",最佳化斷筋點!J1125)</f>
        <v>4</v>
      </c>
      <c r="AJ1125" s="37">
        <f>IF(最佳化斷筋點!K1125="","",最佳化斷筋點!K1125)</f>
        <v>4</v>
      </c>
      <c r="AK1125" s="37">
        <f>IF(最佳化斷筋點!L1125="","",最佳化斷筋點!L1125)</f>
        <v>4</v>
      </c>
      <c r="AL1125" s="37">
        <f>IF(最佳化斷筋點!M1125="","",最佳化斷筋點!M1125)</f>
        <v>4</v>
      </c>
      <c r="AM1125" s="37">
        <f>IF(最佳化斷筋點!N1125="","",最佳化斷筋點!N1125)</f>
        <v>4</v>
      </c>
      <c r="AN1125" s="37">
        <f>IF(最佳化斷筋點!O1125="","",最佳化斷筋點!O1125)</f>
        <v>4</v>
      </c>
      <c r="AO1125" s="37">
        <f>IF(最佳化斷筋點!P1125="","",最佳化斷筋點!P1125)</f>
        <v>4</v>
      </c>
      <c r="AP1125" s="37">
        <f>IF(最佳化斷筋點!Q1125="","",最佳化斷筋點!Q1125)</f>
        <v>4</v>
      </c>
      <c r="AQ1125" s="37">
        <f>IF(最佳化斷筋點!R1125="","",最佳化斷筋點!R1125)</f>
        <v>4</v>
      </c>
      <c r="AR1125" s="37">
        <f>IF(最佳化斷筋點!S1125="","",最佳化斷筋點!S1125)</f>
        <v>4</v>
      </c>
      <c r="AS1125" s="37">
        <f>IF(最佳化斷筋點!T1125="","",最佳化斷筋點!T1125)</f>
        <v>4</v>
      </c>
      <c r="AT1125" s="37">
        <f>IF(最佳化斷筋點!U1125="","",最佳化斷筋點!U1125)</f>
        <v>4</v>
      </c>
      <c r="AU1125" s="37">
        <f>IF(最佳化斷筋點!V1125="","",最佳化斷筋點!V1125)</f>
        <v>4</v>
      </c>
      <c r="AV1125" s="37">
        <f>IF(最佳化斷筋點!W1125="","",最佳化斷筋點!W1125)</f>
        <v>4</v>
      </c>
      <c r="AW1125" s="37">
        <f>IF(最佳化斷筋點!X1125="","",最佳化斷筋點!X1125)</f>
        <v>4</v>
      </c>
      <c r="AZ1125" s="37">
        <v>4</v>
      </c>
      <c r="BA1125" s="37">
        <v>4</v>
      </c>
      <c r="BB1125" s="37">
        <v>4</v>
      </c>
      <c r="BC1125" s="37">
        <v>4</v>
      </c>
      <c r="BD1125" s="37">
        <v>4</v>
      </c>
      <c r="BE1125" s="37">
        <v>4</v>
      </c>
      <c r="BF1125" s="37">
        <v>4</v>
      </c>
      <c r="BG1125" s="37">
        <v>4</v>
      </c>
      <c r="BH1125" s="37">
        <v>4</v>
      </c>
      <c r="BI1125" s="37">
        <v>4</v>
      </c>
      <c r="BJ1125" s="37">
        <v>4</v>
      </c>
      <c r="BK1125" s="37">
        <v>4</v>
      </c>
      <c r="BL1125" s="37">
        <v>4</v>
      </c>
      <c r="BM1125" s="37">
        <v>4</v>
      </c>
      <c r="BN1125" s="37">
        <v>4</v>
      </c>
      <c r="BO1125" s="37">
        <v>4</v>
      </c>
      <c r="BP1125" s="37">
        <v>4</v>
      </c>
      <c r="BQ1125" s="37">
        <v>4</v>
      </c>
      <c r="BR1125" s="37">
        <v>4</v>
      </c>
      <c r="BS1125" s="37">
        <v>4</v>
      </c>
      <c r="BT1125" s="37">
        <v>4</v>
      </c>
    </row>
    <row r="1126" spans="5:72" x14ac:dyDescent="0.25">
      <c r="E1126" s="36"/>
      <c r="F1126" s="36">
        <f t="shared" si="358"/>
        <v>0</v>
      </c>
      <c r="G1126" s="36">
        <f t="shared" si="359"/>
        <v>0</v>
      </c>
      <c r="H1126" s="36">
        <f t="shared" si="360"/>
        <v>0</v>
      </c>
      <c r="I1126" s="36">
        <f t="shared" si="361"/>
        <v>0</v>
      </c>
      <c r="J1126" s="36">
        <f t="shared" si="362"/>
        <v>0</v>
      </c>
      <c r="K1126" s="36">
        <f t="shared" si="363"/>
        <v>0</v>
      </c>
      <c r="L1126" s="36">
        <f t="shared" si="364"/>
        <v>0</v>
      </c>
      <c r="M1126" s="36">
        <f t="shared" si="365"/>
        <v>0</v>
      </c>
      <c r="N1126" s="36">
        <f t="shared" si="366"/>
        <v>0</v>
      </c>
      <c r="O1126" s="36">
        <f t="shared" si="367"/>
        <v>0</v>
      </c>
      <c r="P1126" s="36">
        <f t="shared" si="368"/>
        <v>0</v>
      </c>
      <c r="Q1126" s="36">
        <f t="shared" si="369"/>
        <v>0</v>
      </c>
      <c r="R1126" s="36">
        <f t="shared" si="370"/>
        <v>0</v>
      </c>
      <c r="S1126" s="36">
        <f t="shared" si="371"/>
        <v>0</v>
      </c>
      <c r="T1126" s="36">
        <f t="shared" si="372"/>
        <v>0</v>
      </c>
      <c r="U1126" s="36">
        <f t="shared" si="373"/>
        <v>0</v>
      </c>
      <c r="V1126" s="36">
        <f t="shared" si="374"/>
        <v>0</v>
      </c>
      <c r="W1126" s="36">
        <f t="shared" si="375"/>
        <v>0</v>
      </c>
      <c r="X1126" s="36">
        <f t="shared" si="376"/>
        <v>0</v>
      </c>
      <c r="Y1126" s="36">
        <f t="shared" si="377"/>
        <v>0</v>
      </c>
      <c r="Z1126" s="36">
        <f t="shared" si="378"/>
        <v>0</v>
      </c>
      <c r="AB1126" s="36" t="str">
        <f>IF(最佳化斷筋點!C1126="","",最佳化斷筋點!C1126)</f>
        <v/>
      </c>
      <c r="AC1126" s="37" t="str">
        <f>IF(最佳化斷筋點!D1126="","",最佳化斷筋點!D1126)</f>
        <v/>
      </c>
      <c r="AD1126" s="37" t="str">
        <f>IF(最佳化斷筋點!E1126="","",最佳化斷筋點!E1126)</f>
        <v/>
      </c>
      <c r="AE1126" s="37" t="str">
        <f>IF(最佳化斷筋點!F1126="","",最佳化斷筋點!F1126)</f>
        <v/>
      </c>
      <c r="AF1126" s="37" t="str">
        <f>IF(最佳化斷筋點!G1126="","",最佳化斷筋點!G1126)</f>
        <v/>
      </c>
      <c r="AG1126" s="37" t="str">
        <f>IF(最佳化斷筋點!H1126="","",最佳化斷筋點!H1126)</f>
        <v/>
      </c>
      <c r="AH1126" s="37" t="str">
        <f>IF(最佳化斷筋點!I1126="","",最佳化斷筋點!I1126)</f>
        <v/>
      </c>
      <c r="AI1126" s="37" t="str">
        <f>IF(最佳化斷筋點!J1126="","",最佳化斷筋點!J1126)</f>
        <v/>
      </c>
      <c r="AJ1126" s="37" t="str">
        <f>IF(最佳化斷筋點!K1126="","",最佳化斷筋點!K1126)</f>
        <v/>
      </c>
      <c r="AK1126" s="37" t="str">
        <f>IF(最佳化斷筋點!L1126="","",最佳化斷筋點!L1126)</f>
        <v/>
      </c>
      <c r="AL1126" s="37" t="str">
        <f>IF(最佳化斷筋點!M1126="","",最佳化斷筋點!M1126)</f>
        <v/>
      </c>
      <c r="AM1126" s="37" t="str">
        <f>IF(最佳化斷筋點!N1126="","",最佳化斷筋點!N1126)</f>
        <v/>
      </c>
      <c r="AN1126" s="37" t="str">
        <f>IF(最佳化斷筋點!O1126="","",最佳化斷筋點!O1126)</f>
        <v/>
      </c>
      <c r="AO1126" s="37" t="str">
        <f>IF(最佳化斷筋點!P1126="","",最佳化斷筋點!P1126)</f>
        <v/>
      </c>
      <c r="AP1126" s="37" t="str">
        <f>IF(最佳化斷筋點!Q1126="","",最佳化斷筋點!Q1126)</f>
        <v/>
      </c>
      <c r="AQ1126" s="37" t="str">
        <f>IF(最佳化斷筋點!R1126="","",最佳化斷筋點!R1126)</f>
        <v/>
      </c>
      <c r="AR1126" s="37" t="str">
        <f>IF(最佳化斷筋點!S1126="","",最佳化斷筋點!S1126)</f>
        <v/>
      </c>
      <c r="AS1126" s="37" t="str">
        <f>IF(最佳化斷筋點!T1126="","",最佳化斷筋點!T1126)</f>
        <v/>
      </c>
      <c r="AT1126" s="37" t="str">
        <f>IF(最佳化斷筋點!U1126="","",最佳化斷筋點!U1126)</f>
        <v/>
      </c>
      <c r="AU1126" s="37" t="str">
        <f>IF(最佳化斷筋點!V1126="","",最佳化斷筋點!V1126)</f>
        <v/>
      </c>
      <c r="AV1126" s="37" t="str">
        <f>IF(最佳化斷筋點!W1126="","",最佳化斷筋點!W1126)</f>
        <v/>
      </c>
      <c r="AW1126" s="37" t="str">
        <f>IF(最佳化斷筋點!X1126="","",最佳化斷筋點!X1126)</f>
        <v/>
      </c>
      <c r="AZ1126" s="37" t="s">
        <v>197</v>
      </c>
      <c r="BA1126" s="37" t="s">
        <v>197</v>
      </c>
      <c r="BB1126" s="37" t="s">
        <v>197</v>
      </c>
      <c r="BC1126" s="37" t="s">
        <v>197</v>
      </c>
      <c r="BD1126" s="37" t="s">
        <v>197</v>
      </c>
      <c r="BE1126" s="37" t="s">
        <v>197</v>
      </c>
      <c r="BF1126" s="37" t="s">
        <v>197</v>
      </c>
      <c r="BG1126" s="37" t="s">
        <v>197</v>
      </c>
      <c r="BH1126" s="37" t="s">
        <v>197</v>
      </c>
      <c r="BI1126" s="37" t="s">
        <v>197</v>
      </c>
      <c r="BJ1126" s="37" t="s">
        <v>197</v>
      </c>
      <c r="BK1126" s="37" t="s">
        <v>197</v>
      </c>
      <c r="BL1126" s="37" t="s">
        <v>197</v>
      </c>
      <c r="BM1126" s="37" t="s">
        <v>197</v>
      </c>
      <c r="BN1126" s="37" t="s">
        <v>197</v>
      </c>
      <c r="BO1126" s="37" t="s">
        <v>197</v>
      </c>
      <c r="BP1126" s="37" t="s">
        <v>197</v>
      </c>
      <c r="BQ1126" s="37" t="s">
        <v>197</v>
      </c>
      <c r="BR1126" s="37" t="s">
        <v>197</v>
      </c>
      <c r="BS1126" s="37" t="s">
        <v>197</v>
      </c>
      <c r="BT1126" s="37" t="s">
        <v>197</v>
      </c>
    </row>
    <row r="1127" spans="5:72" x14ac:dyDescent="0.25">
      <c r="E1127" s="36" t="s">
        <v>20</v>
      </c>
      <c r="F1127" s="36">
        <f t="shared" si="358"/>
        <v>0</v>
      </c>
      <c r="G1127" s="36">
        <f t="shared" si="359"/>
        <v>0</v>
      </c>
      <c r="H1127" s="36">
        <f t="shared" si="360"/>
        <v>0</v>
      </c>
      <c r="I1127" s="36">
        <f t="shared" si="361"/>
        <v>0</v>
      </c>
      <c r="J1127" s="36">
        <f t="shared" si="362"/>
        <v>0</v>
      </c>
      <c r="K1127" s="36">
        <f t="shared" si="363"/>
        <v>0</v>
      </c>
      <c r="L1127" s="36">
        <f t="shared" si="364"/>
        <v>0</v>
      </c>
      <c r="M1127" s="36">
        <f t="shared" si="365"/>
        <v>0</v>
      </c>
      <c r="N1127" s="36">
        <f t="shared" si="366"/>
        <v>0</v>
      </c>
      <c r="O1127" s="36">
        <f t="shared" si="367"/>
        <v>0</v>
      </c>
      <c r="P1127" s="36">
        <f t="shared" si="368"/>
        <v>0</v>
      </c>
      <c r="Q1127" s="36">
        <f t="shared" si="369"/>
        <v>0</v>
      </c>
      <c r="R1127" s="36">
        <f t="shared" si="370"/>
        <v>0</v>
      </c>
      <c r="S1127" s="36">
        <f t="shared" si="371"/>
        <v>0</v>
      </c>
      <c r="T1127" s="36">
        <f t="shared" si="372"/>
        <v>0</v>
      </c>
      <c r="U1127" s="36">
        <f t="shared" si="373"/>
        <v>0</v>
      </c>
      <c r="V1127" s="36">
        <f t="shared" si="374"/>
        <v>0</v>
      </c>
      <c r="W1127" s="36">
        <f t="shared" si="375"/>
        <v>0</v>
      </c>
      <c r="X1127" s="36">
        <f t="shared" si="376"/>
        <v>0</v>
      </c>
      <c r="Y1127" s="36">
        <f t="shared" si="377"/>
        <v>0</v>
      </c>
      <c r="Z1127" s="36">
        <f t="shared" si="378"/>
        <v>0</v>
      </c>
      <c r="AB1127" s="36" t="str">
        <f>IF(最佳化斷筋點!C1127="","",最佳化斷筋點!C1127)</f>
        <v>上層</v>
      </c>
      <c r="AC1127" s="37">
        <f>IF(最佳化斷筋點!D1127="","",最佳化斷筋點!D1127)</f>
        <v>8</v>
      </c>
      <c r="AD1127" s="37">
        <f>IF(最佳化斷筋點!E1127="","",最佳化斷筋點!E1127)</f>
        <v>8</v>
      </c>
      <c r="AE1127" s="37">
        <f>IF(最佳化斷筋點!F1127="","",最佳化斷筋點!F1127)</f>
        <v>8</v>
      </c>
      <c r="AF1127" s="37">
        <f>IF(最佳化斷筋點!G1127="","",最佳化斷筋點!G1127)</f>
        <v>8</v>
      </c>
      <c r="AG1127" s="37">
        <f>IF(最佳化斷筋點!H1127="","",最佳化斷筋點!H1127)</f>
        <v>8</v>
      </c>
      <c r="AH1127" s="37">
        <f>IF(最佳化斷筋點!I1127="","",最佳化斷筋點!I1127)</f>
        <v>8</v>
      </c>
      <c r="AI1127" s="37">
        <f>IF(最佳化斷筋點!J1127="","",最佳化斷筋點!J1127)</f>
        <v>8</v>
      </c>
      <c r="AJ1127" s="37">
        <f>IF(最佳化斷筋點!K1127="","",最佳化斷筋點!K1127)</f>
        <v>8</v>
      </c>
      <c r="AK1127" s="37">
        <f>IF(最佳化斷筋點!L1127="","",最佳化斷筋點!L1127)</f>
        <v>7</v>
      </c>
      <c r="AL1127" s="37">
        <f>IF(最佳化斷筋點!M1127="","",最佳化斷筋點!M1127)</f>
        <v>6</v>
      </c>
      <c r="AM1127" s="37">
        <f>IF(最佳化斷筋點!N1127="","",最佳化斷筋點!N1127)</f>
        <v>6</v>
      </c>
      <c r="AN1127" s="37">
        <f>IF(最佳化斷筋點!O1127="","",最佳化斷筋點!O1127)</f>
        <v>6</v>
      </c>
      <c r="AO1127" s="37">
        <f>IF(最佳化斷筋點!P1127="","",最佳化斷筋點!P1127)</f>
        <v>6</v>
      </c>
      <c r="AP1127" s="37">
        <f>IF(最佳化斷筋點!Q1127="","",最佳化斷筋點!Q1127)</f>
        <v>7</v>
      </c>
      <c r="AQ1127" s="37">
        <f>IF(最佳化斷筋點!R1127="","",最佳化斷筋點!R1127)</f>
        <v>8</v>
      </c>
      <c r="AR1127" s="37">
        <f>IF(最佳化斷筋點!S1127="","",最佳化斷筋點!S1127)</f>
        <v>8</v>
      </c>
      <c r="AS1127" s="37">
        <f>IF(最佳化斷筋點!T1127="","",最佳化斷筋點!T1127)</f>
        <v>8</v>
      </c>
      <c r="AT1127" s="37">
        <f>IF(最佳化斷筋點!U1127="","",最佳化斷筋點!U1127)</f>
        <v>8</v>
      </c>
      <c r="AU1127" s="37">
        <f>IF(最佳化斷筋點!V1127="","",最佳化斷筋點!V1127)</f>
        <v>8</v>
      </c>
      <c r="AV1127" s="37">
        <f>IF(最佳化斷筋點!W1127="","",最佳化斷筋點!W1127)</f>
        <v>8</v>
      </c>
      <c r="AW1127" s="37">
        <f>IF(最佳化斷筋點!X1127="","",最佳化斷筋點!X1127)</f>
        <v>8</v>
      </c>
      <c r="AZ1127" s="37">
        <v>8</v>
      </c>
      <c r="BA1127" s="37">
        <v>8</v>
      </c>
      <c r="BB1127" s="37">
        <v>8</v>
      </c>
      <c r="BC1127" s="37">
        <v>8</v>
      </c>
      <c r="BD1127" s="37">
        <v>8</v>
      </c>
      <c r="BE1127" s="37">
        <v>8</v>
      </c>
      <c r="BF1127" s="37">
        <v>8</v>
      </c>
      <c r="BG1127" s="37">
        <v>8</v>
      </c>
      <c r="BH1127" s="37">
        <v>7</v>
      </c>
      <c r="BI1127" s="37">
        <v>6</v>
      </c>
      <c r="BJ1127" s="37">
        <v>6</v>
      </c>
      <c r="BK1127" s="37">
        <v>6</v>
      </c>
      <c r="BL1127" s="37">
        <v>6</v>
      </c>
      <c r="BM1127" s="37">
        <v>7</v>
      </c>
      <c r="BN1127" s="37">
        <v>8</v>
      </c>
      <c r="BO1127" s="37">
        <v>8</v>
      </c>
      <c r="BP1127" s="37">
        <v>8</v>
      </c>
      <c r="BQ1127" s="37">
        <v>8</v>
      </c>
      <c r="BR1127" s="37">
        <v>8</v>
      </c>
      <c r="BS1127" s="37">
        <v>8</v>
      </c>
      <c r="BT1127" s="37">
        <v>8</v>
      </c>
    </row>
    <row r="1128" spans="5:72" x14ac:dyDescent="0.25">
      <c r="E1128" s="36"/>
      <c r="F1128" s="36">
        <f t="shared" si="358"/>
        <v>0</v>
      </c>
      <c r="G1128" s="36">
        <f t="shared" si="359"/>
        <v>0</v>
      </c>
      <c r="H1128" s="36">
        <f t="shared" si="360"/>
        <v>0</v>
      </c>
      <c r="I1128" s="36">
        <f t="shared" si="361"/>
        <v>0</v>
      </c>
      <c r="J1128" s="36">
        <f t="shared" si="362"/>
        <v>0</v>
      </c>
      <c r="K1128" s="36">
        <f t="shared" si="363"/>
        <v>0</v>
      </c>
      <c r="L1128" s="36">
        <f t="shared" si="364"/>
        <v>0</v>
      </c>
      <c r="M1128" s="36">
        <f t="shared" si="365"/>
        <v>0</v>
      </c>
      <c r="N1128" s="36">
        <f t="shared" si="366"/>
        <v>0</v>
      </c>
      <c r="O1128" s="36">
        <f t="shared" si="367"/>
        <v>0</v>
      </c>
      <c r="P1128" s="36">
        <f t="shared" si="368"/>
        <v>0</v>
      </c>
      <c r="Q1128" s="36">
        <f t="shared" si="369"/>
        <v>0</v>
      </c>
      <c r="R1128" s="36">
        <f t="shared" si="370"/>
        <v>0</v>
      </c>
      <c r="S1128" s="36">
        <f t="shared" si="371"/>
        <v>0</v>
      </c>
      <c r="T1128" s="36">
        <f t="shared" si="372"/>
        <v>0</v>
      </c>
      <c r="U1128" s="36">
        <f t="shared" si="373"/>
        <v>0</v>
      </c>
      <c r="V1128" s="36">
        <f t="shared" si="374"/>
        <v>0</v>
      </c>
      <c r="W1128" s="36">
        <f t="shared" si="375"/>
        <v>0</v>
      </c>
      <c r="X1128" s="36">
        <f t="shared" si="376"/>
        <v>0</v>
      </c>
      <c r="Y1128" s="36">
        <f t="shared" si="377"/>
        <v>0</v>
      </c>
      <c r="Z1128" s="36">
        <f t="shared" si="378"/>
        <v>0</v>
      </c>
      <c r="AB1128" s="36" t="str">
        <f>IF(最佳化斷筋點!C1128="","",最佳化斷筋點!C1128)</f>
        <v/>
      </c>
      <c r="AC1128" s="37" t="str">
        <f>IF(最佳化斷筋點!D1128="","",最佳化斷筋點!D1128)</f>
        <v/>
      </c>
      <c r="AD1128" s="37" t="str">
        <f>IF(最佳化斷筋點!E1128="","",最佳化斷筋點!E1128)</f>
        <v/>
      </c>
      <c r="AE1128" s="37" t="str">
        <f>IF(最佳化斷筋點!F1128="","",最佳化斷筋點!F1128)</f>
        <v/>
      </c>
      <c r="AF1128" s="37" t="str">
        <f>IF(最佳化斷筋點!G1128="","",最佳化斷筋點!G1128)</f>
        <v/>
      </c>
      <c r="AG1128" s="37" t="str">
        <f>IF(最佳化斷筋點!H1128="","",最佳化斷筋點!H1128)</f>
        <v/>
      </c>
      <c r="AH1128" s="37" t="str">
        <f>IF(最佳化斷筋點!I1128="","",最佳化斷筋點!I1128)</f>
        <v/>
      </c>
      <c r="AI1128" s="37" t="str">
        <f>IF(最佳化斷筋點!J1128="","",最佳化斷筋點!J1128)</f>
        <v/>
      </c>
      <c r="AJ1128" s="37" t="str">
        <f>IF(最佳化斷筋點!K1128="","",最佳化斷筋點!K1128)</f>
        <v/>
      </c>
      <c r="AK1128" s="37" t="str">
        <f>IF(最佳化斷筋點!L1128="","",最佳化斷筋點!L1128)</f>
        <v/>
      </c>
      <c r="AL1128" s="37" t="str">
        <f>IF(最佳化斷筋點!M1128="","",最佳化斷筋點!M1128)</f>
        <v/>
      </c>
      <c r="AM1128" s="37" t="str">
        <f>IF(最佳化斷筋點!N1128="","",最佳化斷筋點!N1128)</f>
        <v/>
      </c>
      <c r="AN1128" s="37" t="str">
        <f>IF(最佳化斷筋點!O1128="","",最佳化斷筋點!O1128)</f>
        <v/>
      </c>
      <c r="AO1128" s="37" t="str">
        <f>IF(最佳化斷筋點!P1128="","",最佳化斷筋點!P1128)</f>
        <v/>
      </c>
      <c r="AP1128" s="37" t="str">
        <f>IF(最佳化斷筋點!Q1128="","",最佳化斷筋點!Q1128)</f>
        <v/>
      </c>
      <c r="AQ1128" s="37" t="str">
        <f>IF(最佳化斷筋點!R1128="","",最佳化斷筋點!R1128)</f>
        <v/>
      </c>
      <c r="AR1128" s="37" t="str">
        <f>IF(最佳化斷筋點!S1128="","",最佳化斷筋點!S1128)</f>
        <v/>
      </c>
      <c r="AS1128" s="37" t="str">
        <f>IF(最佳化斷筋點!T1128="","",最佳化斷筋點!T1128)</f>
        <v/>
      </c>
      <c r="AT1128" s="37" t="str">
        <f>IF(最佳化斷筋點!U1128="","",最佳化斷筋點!U1128)</f>
        <v/>
      </c>
      <c r="AU1128" s="37" t="str">
        <f>IF(最佳化斷筋點!V1128="","",最佳化斷筋點!V1128)</f>
        <v/>
      </c>
      <c r="AV1128" s="37" t="str">
        <f>IF(最佳化斷筋點!W1128="","",最佳化斷筋點!W1128)</f>
        <v/>
      </c>
      <c r="AW1128" s="37" t="str">
        <f>IF(最佳化斷筋點!X1128="","",最佳化斷筋點!X1128)</f>
        <v/>
      </c>
      <c r="AZ1128" s="37" t="s">
        <v>197</v>
      </c>
      <c r="BA1128" s="37" t="s">
        <v>197</v>
      </c>
      <c r="BB1128" s="37" t="s">
        <v>197</v>
      </c>
      <c r="BC1128" s="37" t="s">
        <v>197</v>
      </c>
      <c r="BD1128" s="37" t="s">
        <v>197</v>
      </c>
      <c r="BE1128" s="37" t="s">
        <v>197</v>
      </c>
      <c r="BF1128" s="37" t="s">
        <v>197</v>
      </c>
      <c r="BG1128" s="37" t="s">
        <v>197</v>
      </c>
      <c r="BH1128" s="37" t="s">
        <v>197</v>
      </c>
      <c r="BI1128" s="37" t="s">
        <v>197</v>
      </c>
      <c r="BJ1128" s="37" t="s">
        <v>197</v>
      </c>
      <c r="BK1128" s="37" t="s">
        <v>197</v>
      </c>
      <c r="BL1128" s="37" t="s">
        <v>197</v>
      </c>
      <c r="BM1128" s="37" t="s">
        <v>197</v>
      </c>
      <c r="BN1128" s="37" t="s">
        <v>197</v>
      </c>
      <c r="BO1128" s="37" t="s">
        <v>197</v>
      </c>
      <c r="BP1128" s="37" t="s">
        <v>197</v>
      </c>
      <c r="BQ1128" s="37" t="s">
        <v>197</v>
      </c>
      <c r="BR1128" s="37" t="s">
        <v>197</v>
      </c>
      <c r="BS1128" s="37" t="s">
        <v>197</v>
      </c>
      <c r="BT1128" s="37" t="s">
        <v>197</v>
      </c>
    </row>
    <row r="1129" spans="5:72" x14ac:dyDescent="0.25">
      <c r="E1129" s="36" t="s">
        <v>21</v>
      </c>
      <c r="F1129" s="36">
        <f t="shared" si="358"/>
        <v>0</v>
      </c>
      <c r="G1129" s="36">
        <f t="shared" si="359"/>
        <v>0</v>
      </c>
      <c r="H1129" s="36">
        <f t="shared" si="360"/>
        <v>0</v>
      </c>
      <c r="I1129" s="36">
        <f t="shared" si="361"/>
        <v>0</v>
      </c>
      <c r="J1129" s="36">
        <f t="shared" si="362"/>
        <v>0</v>
      </c>
      <c r="K1129" s="36">
        <f t="shared" si="363"/>
        <v>0</v>
      </c>
      <c r="L1129" s="36">
        <f t="shared" si="364"/>
        <v>0</v>
      </c>
      <c r="M1129" s="36">
        <f t="shared" si="365"/>
        <v>0</v>
      </c>
      <c r="N1129" s="36">
        <f t="shared" si="366"/>
        <v>0</v>
      </c>
      <c r="O1129" s="36">
        <f t="shared" si="367"/>
        <v>0</v>
      </c>
      <c r="P1129" s="36">
        <f t="shared" si="368"/>
        <v>0</v>
      </c>
      <c r="Q1129" s="36">
        <f t="shared" si="369"/>
        <v>0</v>
      </c>
      <c r="R1129" s="36">
        <f t="shared" si="370"/>
        <v>0</v>
      </c>
      <c r="S1129" s="36">
        <f t="shared" si="371"/>
        <v>0</v>
      </c>
      <c r="T1129" s="36">
        <f t="shared" si="372"/>
        <v>0</v>
      </c>
      <c r="U1129" s="36">
        <f t="shared" si="373"/>
        <v>0</v>
      </c>
      <c r="V1129" s="36">
        <f t="shared" si="374"/>
        <v>0</v>
      </c>
      <c r="W1129" s="36">
        <f t="shared" si="375"/>
        <v>0</v>
      </c>
      <c r="X1129" s="36">
        <f t="shared" si="376"/>
        <v>0</v>
      </c>
      <c r="Y1129" s="36">
        <f t="shared" si="377"/>
        <v>0</v>
      </c>
      <c r="Z1129" s="36">
        <f t="shared" si="378"/>
        <v>0</v>
      </c>
      <c r="AB1129" s="36" t="str">
        <f>IF(最佳化斷筋點!C1129="","",最佳化斷筋點!C1129)</f>
        <v>下層</v>
      </c>
      <c r="AC1129" s="37">
        <f>IF(最佳化斷筋點!D1129="","",最佳化斷筋點!D1129)</f>
        <v>11</v>
      </c>
      <c r="AD1129" s="37">
        <f>IF(最佳化斷筋點!E1129="","",最佳化斷筋點!E1129)</f>
        <v>11</v>
      </c>
      <c r="AE1129" s="37">
        <f>IF(最佳化斷筋點!F1129="","",最佳化斷筋點!F1129)</f>
        <v>11</v>
      </c>
      <c r="AF1129" s="37">
        <f>IF(最佳化斷筋點!G1129="","",最佳化斷筋點!G1129)</f>
        <v>11</v>
      </c>
      <c r="AG1129" s="37">
        <f>IF(最佳化斷筋點!H1129="","",最佳化斷筋點!H1129)</f>
        <v>11</v>
      </c>
      <c r="AH1129" s="37">
        <f>IF(最佳化斷筋點!I1129="","",最佳化斷筋點!I1129)</f>
        <v>11</v>
      </c>
      <c r="AI1129" s="37">
        <f>IF(最佳化斷筋點!J1129="","",最佳化斷筋點!J1129)</f>
        <v>11</v>
      </c>
      <c r="AJ1129" s="37">
        <f>IF(最佳化斷筋點!K1129="","",最佳化斷筋點!K1129)</f>
        <v>11</v>
      </c>
      <c r="AK1129" s="37">
        <f>IF(最佳化斷筋點!L1129="","",最佳化斷筋點!L1129)</f>
        <v>11</v>
      </c>
      <c r="AL1129" s="37">
        <f>IF(最佳化斷筋點!M1129="","",最佳化斷筋點!M1129)</f>
        <v>11</v>
      </c>
      <c r="AM1129" s="37">
        <f>IF(最佳化斷筋點!N1129="","",最佳化斷筋點!N1129)</f>
        <v>11</v>
      </c>
      <c r="AN1129" s="37">
        <f>IF(最佳化斷筋點!O1129="","",最佳化斷筋點!O1129)</f>
        <v>11</v>
      </c>
      <c r="AO1129" s="37">
        <f>IF(最佳化斷筋點!P1129="","",最佳化斷筋點!P1129)</f>
        <v>11</v>
      </c>
      <c r="AP1129" s="37">
        <f>IF(最佳化斷筋點!Q1129="","",最佳化斷筋點!Q1129)</f>
        <v>11</v>
      </c>
      <c r="AQ1129" s="37">
        <f>IF(最佳化斷筋點!R1129="","",最佳化斷筋點!R1129)</f>
        <v>11</v>
      </c>
      <c r="AR1129" s="37">
        <f>IF(最佳化斷筋點!S1129="","",最佳化斷筋點!S1129)</f>
        <v>11</v>
      </c>
      <c r="AS1129" s="37">
        <f>IF(最佳化斷筋點!T1129="","",最佳化斷筋點!T1129)</f>
        <v>11</v>
      </c>
      <c r="AT1129" s="37">
        <f>IF(最佳化斷筋點!U1129="","",最佳化斷筋點!U1129)</f>
        <v>11</v>
      </c>
      <c r="AU1129" s="37">
        <f>IF(最佳化斷筋點!V1129="","",最佳化斷筋點!V1129)</f>
        <v>11</v>
      </c>
      <c r="AV1129" s="37">
        <f>IF(最佳化斷筋點!W1129="","",最佳化斷筋點!W1129)</f>
        <v>11</v>
      </c>
      <c r="AW1129" s="37">
        <f>IF(最佳化斷筋點!X1129="","",最佳化斷筋點!X1129)</f>
        <v>11</v>
      </c>
      <c r="AZ1129" s="37">
        <v>11</v>
      </c>
      <c r="BA1129" s="37">
        <v>11</v>
      </c>
      <c r="BB1129" s="37">
        <v>11</v>
      </c>
      <c r="BC1129" s="37">
        <v>11</v>
      </c>
      <c r="BD1129" s="37">
        <v>11</v>
      </c>
      <c r="BE1129" s="37">
        <v>11</v>
      </c>
      <c r="BF1129" s="37">
        <v>11</v>
      </c>
      <c r="BG1129" s="37">
        <v>11</v>
      </c>
      <c r="BH1129" s="37">
        <v>11</v>
      </c>
      <c r="BI1129" s="37">
        <v>11</v>
      </c>
      <c r="BJ1129" s="37">
        <v>11</v>
      </c>
      <c r="BK1129" s="37">
        <v>11</v>
      </c>
      <c r="BL1129" s="37">
        <v>11</v>
      </c>
      <c r="BM1129" s="37">
        <v>11</v>
      </c>
      <c r="BN1129" s="37">
        <v>11</v>
      </c>
      <c r="BO1129" s="37">
        <v>11</v>
      </c>
      <c r="BP1129" s="37">
        <v>11</v>
      </c>
      <c r="BQ1129" s="37">
        <v>11</v>
      </c>
      <c r="BR1129" s="37">
        <v>11</v>
      </c>
      <c r="BS1129" s="37">
        <v>11</v>
      </c>
      <c r="BT1129" s="37">
        <v>11</v>
      </c>
    </row>
    <row r="1130" spans="5:72" x14ac:dyDescent="0.25">
      <c r="E1130" s="36"/>
      <c r="F1130" s="36">
        <f t="shared" si="358"/>
        <v>0</v>
      </c>
      <c r="G1130" s="36">
        <f t="shared" si="359"/>
        <v>0</v>
      </c>
      <c r="H1130" s="36">
        <f t="shared" si="360"/>
        <v>0</v>
      </c>
      <c r="I1130" s="36">
        <f t="shared" si="361"/>
        <v>0</v>
      </c>
      <c r="J1130" s="36">
        <f t="shared" si="362"/>
        <v>0</v>
      </c>
      <c r="K1130" s="36">
        <f t="shared" si="363"/>
        <v>0</v>
      </c>
      <c r="L1130" s="36">
        <f t="shared" si="364"/>
        <v>0</v>
      </c>
      <c r="M1130" s="36">
        <f t="shared" si="365"/>
        <v>0</v>
      </c>
      <c r="N1130" s="36">
        <f t="shared" si="366"/>
        <v>0</v>
      </c>
      <c r="O1130" s="36">
        <f t="shared" si="367"/>
        <v>0</v>
      </c>
      <c r="P1130" s="36">
        <f t="shared" si="368"/>
        <v>0</v>
      </c>
      <c r="Q1130" s="36">
        <f t="shared" si="369"/>
        <v>0</v>
      </c>
      <c r="R1130" s="36">
        <f t="shared" si="370"/>
        <v>0</v>
      </c>
      <c r="S1130" s="36">
        <f t="shared" si="371"/>
        <v>0</v>
      </c>
      <c r="T1130" s="36">
        <f t="shared" si="372"/>
        <v>0</v>
      </c>
      <c r="U1130" s="36">
        <f t="shared" si="373"/>
        <v>0</v>
      </c>
      <c r="V1130" s="36">
        <f t="shared" si="374"/>
        <v>0</v>
      </c>
      <c r="W1130" s="36">
        <f t="shared" si="375"/>
        <v>0</v>
      </c>
      <c r="X1130" s="36">
        <f t="shared" si="376"/>
        <v>0</v>
      </c>
      <c r="Y1130" s="36">
        <f t="shared" si="377"/>
        <v>0</v>
      </c>
      <c r="Z1130" s="36">
        <f t="shared" si="378"/>
        <v>0</v>
      </c>
      <c r="AB1130" s="36" t="str">
        <f>IF(最佳化斷筋點!C1130="","",最佳化斷筋點!C1130)</f>
        <v/>
      </c>
      <c r="AC1130" s="37" t="str">
        <f>IF(最佳化斷筋點!D1130="","",最佳化斷筋點!D1130)</f>
        <v/>
      </c>
      <c r="AD1130" s="37" t="str">
        <f>IF(最佳化斷筋點!E1130="","",最佳化斷筋點!E1130)</f>
        <v/>
      </c>
      <c r="AE1130" s="37" t="str">
        <f>IF(最佳化斷筋點!F1130="","",最佳化斷筋點!F1130)</f>
        <v/>
      </c>
      <c r="AF1130" s="37" t="str">
        <f>IF(最佳化斷筋點!G1130="","",最佳化斷筋點!G1130)</f>
        <v/>
      </c>
      <c r="AG1130" s="37" t="str">
        <f>IF(最佳化斷筋點!H1130="","",最佳化斷筋點!H1130)</f>
        <v/>
      </c>
      <c r="AH1130" s="37" t="str">
        <f>IF(最佳化斷筋點!I1130="","",最佳化斷筋點!I1130)</f>
        <v/>
      </c>
      <c r="AI1130" s="37" t="str">
        <f>IF(最佳化斷筋點!J1130="","",最佳化斷筋點!J1130)</f>
        <v/>
      </c>
      <c r="AJ1130" s="37" t="str">
        <f>IF(最佳化斷筋點!K1130="","",最佳化斷筋點!K1130)</f>
        <v/>
      </c>
      <c r="AK1130" s="37" t="str">
        <f>IF(最佳化斷筋點!L1130="","",最佳化斷筋點!L1130)</f>
        <v/>
      </c>
      <c r="AL1130" s="37" t="str">
        <f>IF(最佳化斷筋點!M1130="","",最佳化斷筋點!M1130)</f>
        <v/>
      </c>
      <c r="AM1130" s="37" t="str">
        <f>IF(最佳化斷筋點!N1130="","",最佳化斷筋點!N1130)</f>
        <v/>
      </c>
      <c r="AN1130" s="37" t="str">
        <f>IF(最佳化斷筋點!O1130="","",最佳化斷筋點!O1130)</f>
        <v/>
      </c>
      <c r="AO1130" s="37" t="str">
        <f>IF(最佳化斷筋點!P1130="","",最佳化斷筋點!P1130)</f>
        <v/>
      </c>
      <c r="AP1130" s="37" t="str">
        <f>IF(最佳化斷筋點!Q1130="","",最佳化斷筋點!Q1130)</f>
        <v/>
      </c>
      <c r="AQ1130" s="37" t="str">
        <f>IF(最佳化斷筋點!R1130="","",最佳化斷筋點!R1130)</f>
        <v/>
      </c>
      <c r="AR1130" s="37" t="str">
        <f>IF(最佳化斷筋點!S1130="","",最佳化斷筋點!S1130)</f>
        <v/>
      </c>
      <c r="AS1130" s="37" t="str">
        <f>IF(最佳化斷筋點!T1130="","",最佳化斷筋點!T1130)</f>
        <v/>
      </c>
      <c r="AT1130" s="37" t="str">
        <f>IF(最佳化斷筋點!U1130="","",最佳化斷筋點!U1130)</f>
        <v/>
      </c>
      <c r="AU1130" s="37" t="str">
        <f>IF(最佳化斷筋點!V1130="","",最佳化斷筋點!V1130)</f>
        <v/>
      </c>
      <c r="AV1130" s="37" t="str">
        <f>IF(最佳化斷筋點!W1130="","",最佳化斷筋點!W1130)</f>
        <v/>
      </c>
      <c r="AW1130" s="37" t="str">
        <f>IF(最佳化斷筋點!X1130="","",最佳化斷筋點!X1130)</f>
        <v/>
      </c>
      <c r="AZ1130" s="37" t="s">
        <v>197</v>
      </c>
      <c r="BA1130" s="37" t="s">
        <v>197</v>
      </c>
      <c r="BB1130" s="37" t="s">
        <v>197</v>
      </c>
      <c r="BC1130" s="37" t="s">
        <v>197</v>
      </c>
      <c r="BD1130" s="37" t="s">
        <v>197</v>
      </c>
      <c r="BE1130" s="37" t="s">
        <v>197</v>
      </c>
      <c r="BF1130" s="37" t="s">
        <v>197</v>
      </c>
      <c r="BG1130" s="37" t="s">
        <v>197</v>
      </c>
      <c r="BH1130" s="37" t="s">
        <v>197</v>
      </c>
      <c r="BI1130" s="37" t="s">
        <v>197</v>
      </c>
      <c r="BJ1130" s="37" t="s">
        <v>197</v>
      </c>
      <c r="BK1130" s="37" t="s">
        <v>197</v>
      </c>
      <c r="BL1130" s="37" t="s">
        <v>197</v>
      </c>
      <c r="BM1130" s="37" t="s">
        <v>197</v>
      </c>
      <c r="BN1130" s="37" t="s">
        <v>197</v>
      </c>
      <c r="BO1130" s="37" t="s">
        <v>197</v>
      </c>
      <c r="BP1130" s="37" t="s">
        <v>197</v>
      </c>
      <c r="BQ1130" s="37" t="s">
        <v>197</v>
      </c>
      <c r="BR1130" s="37" t="s">
        <v>197</v>
      </c>
      <c r="BS1130" s="37" t="s">
        <v>197</v>
      </c>
      <c r="BT1130" s="37" t="s">
        <v>197</v>
      </c>
    </row>
    <row r="1131" spans="5:72" x14ac:dyDescent="0.25">
      <c r="E1131" s="36" t="s">
        <v>20</v>
      </c>
      <c r="F1131" s="36">
        <f t="shared" si="358"/>
        <v>0</v>
      </c>
      <c r="G1131" s="36">
        <f t="shared" si="359"/>
        <v>0</v>
      </c>
      <c r="H1131" s="36">
        <f t="shared" si="360"/>
        <v>0</v>
      </c>
      <c r="I1131" s="36">
        <f t="shared" si="361"/>
        <v>0</v>
      </c>
      <c r="J1131" s="36">
        <f t="shared" si="362"/>
        <v>0</v>
      </c>
      <c r="K1131" s="36">
        <f t="shared" si="363"/>
        <v>0</v>
      </c>
      <c r="L1131" s="36">
        <f t="shared" si="364"/>
        <v>0</v>
      </c>
      <c r="M1131" s="36">
        <f t="shared" si="365"/>
        <v>0</v>
      </c>
      <c r="N1131" s="36">
        <f t="shared" si="366"/>
        <v>0</v>
      </c>
      <c r="O1131" s="36">
        <f t="shared" si="367"/>
        <v>0</v>
      </c>
      <c r="P1131" s="36">
        <f t="shared" si="368"/>
        <v>0</v>
      </c>
      <c r="Q1131" s="36">
        <f t="shared" si="369"/>
        <v>0</v>
      </c>
      <c r="R1131" s="36">
        <f t="shared" si="370"/>
        <v>0</v>
      </c>
      <c r="S1131" s="36">
        <f t="shared" si="371"/>
        <v>0</v>
      </c>
      <c r="T1131" s="36">
        <f t="shared" si="372"/>
        <v>0</v>
      </c>
      <c r="U1131" s="36">
        <f t="shared" si="373"/>
        <v>0</v>
      </c>
      <c r="V1131" s="36">
        <f t="shared" si="374"/>
        <v>0</v>
      </c>
      <c r="W1131" s="36">
        <f t="shared" si="375"/>
        <v>0</v>
      </c>
      <c r="X1131" s="36">
        <f t="shared" si="376"/>
        <v>0</v>
      </c>
      <c r="Y1131" s="36">
        <f t="shared" si="377"/>
        <v>0</v>
      </c>
      <c r="Z1131" s="36">
        <f t="shared" si="378"/>
        <v>0</v>
      </c>
      <c r="AB1131" s="36" t="str">
        <f>IF(最佳化斷筋點!C1131="","",最佳化斷筋點!C1131)</f>
        <v>上層</v>
      </c>
      <c r="AC1131" s="37">
        <f>IF(最佳化斷筋點!D1131="","",最佳化斷筋點!D1131)</f>
        <v>11</v>
      </c>
      <c r="AD1131" s="37">
        <f>IF(最佳化斷筋點!E1131="","",最佳化斷筋點!E1131)</f>
        <v>11</v>
      </c>
      <c r="AE1131" s="37">
        <f>IF(最佳化斷筋點!F1131="","",最佳化斷筋點!F1131)</f>
        <v>11</v>
      </c>
      <c r="AF1131" s="37">
        <f>IF(最佳化斷筋點!G1131="","",最佳化斷筋點!G1131)</f>
        <v>11</v>
      </c>
      <c r="AG1131" s="37">
        <f>IF(最佳化斷筋點!H1131="","",最佳化斷筋點!H1131)</f>
        <v>11</v>
      </c>
      <c r="AH1131" s="37">
        <f>IF(最佳化斷筋點!I1131="","",最佳化斷筋點!I1131)</f>
        <v>11</v>
      </c>
      <c r="AI1131" s="37">
        <f>IF(最佳化斷筋點!J1131="","",最佳化斷筋點!J1131)</f>
        <v>11</v>
      </c>
      <c r="AJ1131" s="37">
        <f>IF(最佳化斷筋點!K1131="","",最佳化斷筋點!K1131)</f>
        <v>10</v>
      </c>
      <c r="AK1131" s="37">
        <f>IF(最佳化斷筋點!L1131="","",最佳化斷筋點!L1131)</f>
        <v>9</v>
      </c>
      <c r="AL1131" s="37">
        <f>IF(最佳化斷筋點!M1131="","",最佳化斷筋點!M1131)</f>
        <v>8</v>
      </c>
      <c r="AM1131" s="37">
        <f>IF(最佳化斷筋點!N1131="","",最佳化斷筋點!N1131)</f>
        <v>7</v>
      </c>
      <c r="AN1131" s="37">
        <f>IF(最佳化斷筋點!O1131="","",最佳化斷筋點!O1131)</f>
        <v>7</v>
      </c>
      <c r="AO1131" s="37">
        <f>IF(最佳化斷筋點!P1131="","",最佳化斷筋點!P1131)</f>
        <v>8</v>
      </c>
      <c r="AP1131" s="37">
        <f>IF(最佳化斷筋點!Q1131="","",最佳化斷筋點!Q1131)</f>
        <v>9</v>
      </c>
      <c r="AQ1131" s="37">
        <f>IF(最佳化斷筋點!R1131="","",最佳化斷筋點!R1131)</f>
        <v>10</v>
      </c>
      <c r="AR1131" s="37">
        <f>IF(最佳化斷筋點!S1131="","",最佳化斷筋點!S1131)</f>
        <v>10</v>
      </c>
      <c r="AS1131" s="37">
        <f>IF(最佳化斷筋點!T1131="","",最佳化斷筋點!T1131)</f>
        <v>10</v>
      </c>
      <c r="AT1131" s="37">
        <f>IF(最佳化斷筋點!U1131="","",最佳化斷筋點!U1131)</f>
        <v>10</v>
      </c>
      <c r="AU1131" s="37">
        <f>IF(最佳化斷筋點!V1131="","",最佳化斷筋點!V1131)</f>
        <v>10</v>
      </c>
      <c r="AV1131" s="37">
        <f>IF(最佳化斷筋點!W1131="","",最佳化斷筋點!W1131)</f>
        <v>10</v>
      </c>
      <c r="AW1131" s="37">
        <f>IF(最佳化斷筋點!X1131="","",最佳化斷筋點!X1131)</f>
        <v>10</v>
      </c>
      <c r="AZ1131" s="37">
        <v>11</v>
      </c>
      <c r="BA1131" s="37">
        <v>11</v>
      </c>
      <c r="BB1131" s="37">
        <v>11</v>
      </c>
      <c r="BC1131" s="37">
        <v>11</v>
      </c>
      <c r="BD1131" s="37">
        <v>11</v>
      </c>
      <c r="BE1131" s="37">
        <v>11</v>
      </c>
      <c r="BF1131" s="37">
        <v>11</v>
      </c>
      <c r="BG1131" s="37">
        <v>10</v>
      </c>
      <c r="BH1131" s="37">
        <v>9</v>
      </c>
      <c r="BI1131" s="37">
        <v>8</v>
      </c>
      <c r="BJ1131" s="37">
        <v>7</v>
      </c>
      <c r="BK1131" s="37">
        <v>7</v>
      </c>
      <c r="BL1131" s="37">
        <v>8</v>
      </c>
      <c r="BM1131" s="37">
        <v>9</v>
      </c>
      <c r="BN1131" s="37">
        <v>10</v>
      </c>
      <c r="BO1131" s="37">
        <v>10</v>
      </c>
      <c r="BP1131" s="37">
        <v>10</v>
      </c>
      <c r="BQ1131" s="37">
        <v>10</v>
      </c>
      <c r="BR1131" s="37">
        <v>10</v>
      </c>
      <c r="BS1131" s="37">
        <v>10</v>
      </c>
      <c r="BT1131" s="37">
        <v>10</v>
      </c>
    </row>
    <row r="1132" spans="5:72" x14ac:dyDescent="0.25">
      <c r="E1132" s="36"/>
      <c r="F1132" s="36">
        <f t="shared" si="358"/>
        <v>0</v>
      </c>
      <c r="G1132" s="36">
        <f t="shared" si="359"/>
        <v>0</v>
      </c>
      <c r="H1132" s="36">
        <f t="shared" si="360"/>
        <v>0</v>
      </c>
      <c r="I1132" s="36">
        <f t="shared" si="361"/>
        <v>0</v>
      </c>
      <c r="J1132" s="36">
        <f t="shared" si="362"/>
        <v>0</v>
      </c>
      <c r="K1132" s="36">
        <f t="shared" si="363"/>
        <v>0</v>
      </c>
      <c r="L1132" s="36">
        <f t="shared" si="364"/>
        <v>0</v>
      </c>
      <c r="M1132" s="36">
        <f t="shared" si="365"/>
        <v>0</v>
      </c>
      <c r="N1132" s="36">
        <f t="shared" si="366"/>
        <v>0</v>
      </c>
      <c r="O1132" s="36">
        <f t="shared" si="367"/>
        <v>0</v>
      </c>
      <c r="P1132" s="36">
        <f t="shared" si="368"/>
        <v>0</v>
      </c>
      <c r="Q1132" s="36">
        <f t="shared" si="369"/>
        <v>0</v>
      </c>
      <c r="R1132" s="36">
        <f t="shared" si="370"/>
        <v>0</v>
      </c>
      <c r="S1132" s="36">
        <f t="shared" si="371"/>
        <v>0</v>
      </c>
      <c r="T1132" s="36">
        <f t="shared" si="372"/>
        <v>0</v>
      </c>
      <c r="U1132" s="36">
        <f t="shared" si="373"/>
        <v>0</v>
      </c>
      <c r="V1132" s="36">
        <f t="shared" si="374"/>
        <v>0</v>
      </c>
      <c r="W1132" s="36">
        <f t="shared" si="375"/>
        <v>0</v>
      </c>
      <c r="X1132" s="36">
        <f t="shared" si="376"/>
        <v>0</v>
      </c>
      <c r="Y1132" s="36">
        <f t="shared" si="377"/>
        <v>0</v>
      </c>
      <c r="Z1132" s="36">
        <f t="shared" si="378"/>
        <v>0</v>
      </c>
      <c r="AB1132" s="36" t="str">
        <f>IF(最佳化斷筋點!C1132="","",最佳化斷筋點!C1132)</f>
        <v/>
      </c>
      <c r="AC1132" s="37" t="str">
        <f>IF(最佳化斷筋點!D1132="","",最佳化斷筋點!D1132)</f>
        <v/>
      </c>
      <c r="AD1132" s="37" t="str">
        <f>IF(最佳化斷筋點!E1132="","",最佳化斷筋點!E1132)</f>
        <v/>
      </c>
      <c r="AE1132" s="37" t="str">
        <f>IF(最佳化斷筋點!F1132="","",最佳化斷筋點!F1132)</f>
        <v/>
      </c>
      <c r="AF1132" s="37" t="str">
        <f>IF(最佳化斷筋點!G1132="","",最佳化斷筋點!G1132)</f>
        <v/>
      </c>
      <c r="AG1132" s="37" t="str">
        <f>IF(最佳化斷筋點!H1132="","",最佳化斷筋點!H1132)</f>
        <v/>
      </c>
      <c r="AH1132" s="37" t="str">
        <f>IF(最佳化斷筋點!I1132="","",最佳化斷筋點!I1132)</f>
        <v/>
      </c>
      <c r="AI1132" s="37" t="str">
        <f>IF(最佳化斷筋點!J1132="","",最佳化斷筋點!J1132)</f>
        <v/>
      </c>
      <c r="AJ1132" s="37" t="str">
        <f>IF(最佳化斷筋點!K1132="","",最佳化斷筋點!K1132)</f>
        <v/>
      </c>
      <c r="AK1132" s="37" t="str">
        <f>IF(最佳化斷筋點!L1132="","",最佳化斷筋點!L1132)</f>
        <v/>
      </c>
      <c r="AL1132" s="37" t="str">
        <f>IF(最佳化斷筋點!M1132="","",最佳化斷筋點!M1132)</f>
        <v/>
      </c>
      <c r="AM1132" s="37" t="str">
        <f>IF(最佳化斷筋點!N1132="","",最佳化斷筋點!N1132)</f>
        <v/>
      </c>
      <c r="AN1132" s="37" t="str">
        <f>IF(最佳化斷筋點!O1132="","",最佳化斷筋點!O1132)</f>
        <v/>
      </c>
      <c r="AO1132" s="37" t="str">
        <f>IF(最佳化斷筋點!P1132="","",最佳化斷筋點!P1132)</f>
        <v/>
      </c>
      <c r="AP1132" s="37" t="str">
        <f>IF(最佳化斷筋點!Q1132="","",最佳化斷筋點!Q1132)</f>
        <v/>
      </c>
      <c r="AQ1132" s="37" t="str">
        <f>IF(最佳化斷筋點!R1132="","",最佳化斷筋點!R1132)</f>
        <v/>
      </c>
      <c r="AR1132" s="37" t="str">
        <f>IF(最佳化斷筋點!S1132="","",最佳化斷筋點!S1132)</f>
        <v/>
      </c>
      <c r="AS1132" s="37" t="str">
        <f>IF(最佳化斷筋點!T1132="","",最佳化斷筋點!T1132)</f>
        <v/>
      </c>
      <c r="AT1132" s="37" t="str">
        <f>IF(最佳化斷筋點!U1132="","",最佳化斷筋點!U1132)</f>
        <v/>
      </c>
      <c r="AU1132" s="37" t="str">
        <f>IF(最佳化斷筋點!V1132="","",最佳化斷筋點!V1132)</f>
        <v/>
      </c>
      <c r="AV1132" s="37" t="str">
        <f>IF(最佳化斷筋點!W1132="","",最佳化斷筋點!W1132)</f>
        <v/>
      </c>
      <c r="AW1132" s="37" t="str">
        <f>IF(最佳化斷筋點!X1132="","",最佳化斷筋點!X1132)</f>
        <v/>
      </c>
      <c r="AZ1132" s="37" t="s">
        <v>197</v>
      </c>
      <c r="BA1132" s="37" t="s">
        <v>197</v>
      </c>
      <c r="BB1132" s="37" t="s">
        <v>197</v>
      </c>
      <c r="BC1132" s="37" t="s">
        <v>197</v>
      </c>
      <c r="BD1132" s="37" t="s">
        <v>197</v>
      </c>
      <c r="BE1132" s="37" t="s">
        <v>197</v>
      </c>
      <c r="BF1132" s="37" t="s">
        <v>197</v>
      </c>
      <c r="BG1132" s="37" t="s">
        <v>197</v>
      </c>
      <c r="BH1132" s="37" t="s">
        <v>197</v>
      </c>
      <c r="BI1132" s="37" t="s">
        <v>197</v>
      </c>
      <c r="BJ1132" s="37" t="s">
        <v>197</v>
      </c>
      <c r="BK1132" s="37" t="s">
        <v>197</v>
      </c>
      <c r="BL1132" s="37" t="s">
        <v>197</v>
      </c>
      <c r="BM1132" s="37" t="s">
        <v>197</v>
      </c>
      <c r="BN1132" s="37" t="s">
        <v>197</v>
      </c>
      <c r="BO1132" s="37" t="s">
        <v>197</v>
      </c>
      <c r="BP1132" s="37" t="s">
        <v>197</v>
      </c>
      <c r="BQ1132" s="37" t="s">
        <v>197</v>
      </c>
      <c r="BR1132" s="37" t="s">
        <v>197</v>
      </c>
      <c r="BS1132" s="37" t="s">
        <v>197</v>
      </c>
      <c r="BT1132" s="37" t="s">
        <v>197</v>
      </c>
    </row>
    <row r="1133" spans="5:72" x14ac:dyDescent="0.25">
      <c r="E1133" s="36" t="s">
        <v>21</v>
      </c>
      <c r="F1133" s="36">
        <f t="shared" si="358"/>
        <v>0</v>
      </c>
      <c r="G1133" s="36">
        <f t="shared" si="359"/>
        <v>0</v>
      </c>
      <c r="H1133" s="36">
        <f t="shared" si="360"/>
        <v>0</v>
      </c>
      <c r="I1133" s="36">
        <f t="shared" si="361"/>
        <v>0</v>
      </c>
      <c r="J1133" s="36">
        <f t="shared" si="362"/>
        <v>0</v>
      </c>
      <c r="K1133" s="36">
        <f t="shared" si="363"/>
        <v>0</v>
      </c>
      <c r="L1133" s="36">
        <f t="shared" si="364"/>
        <v>0</v>
      </c>
      <c r="M1133" s="36">
        <f t="shared" si="365"/>
        <v>0</v>
      </c>
      <c r="N1133" s="36">
        <f t="shared" si="366"/>
        <v>0</v>
      </c>
      <c r="O1133" s="36">
        <f t="shared" si="367"/>
        <v>0</v>
      </c>
      <c r="P1133" s="36">
        <f t="shared" si="368"/>
        <v>0</v>
      </c>
      <c r="Q1133" s="36">
        <f t="shared" si="369"/>
        <v>0</v>
      </c>
      <c r="R1133" s="36">
        <f t="shared" si="370"/>
        <v>0</v>
      </c>
      <c r="S1133" s="36">
        <f t="shared" si="371"/>
        <v>0</v>
      </c>
      <c r="T1133" s="36">
        <f t="shared" si="372"/>
        <v>0</v>
      </c>
      <c r="U1133" s="36">
        <f t="shared" si="373"/>
        <v>0</v>
      </c>
      <c r="V1133" s="36">
        <f t="shared" si="374"/>
        <v>0</v>
      </c>
      <c r="W1133" s="36">
        <f t="shared" si="375"/>
        <v>0</v>
      </c>
      <c r="X1133" s="36">
        <f t="shared" si="376"/>
        <v>0</v>
      </c>
      <c r="Y1133" s="36">
        <f t="shared" si="377"/>
        <v>0</v>
      </c>
      <c r="Z1133" s="36">
        <f t="shared" si="378"/>
        <v>0</v>
      </c>
      <c r="AB1133" s="36" t="str">
        <f>IF(最佳化斷筋點!C1133="","",最佳化斷筋點!C1133)</f>
        <v>下層</v>
      </c>
      <c r="AC1133" s="37">
        <f>IF(最佳化斷筋點!D1133="","",最佳化斷筋點!D1133)</f>
        <v>16</v>
      </c>
      <c r="AD1133" s="37">
        <f>IF(最佳化斷筋點!E1133="","",最佳化斷筋點!E1133)</f>
        <v>16</v>
      </c>
      <c r="AE1133" s="37">
        <f>IF(最佳化斷筋點!F1133="","",最佳化斷筋點!F1133)</f>
        <v>16</v>
      </c>
      <c r="AF1133" s="37">
        <f>IF(最佳化斷筋點!G1133="","",最佳化斷筋點!G1133)</f>
        <v>16</v>
      </c>
      <c r="AG1133" s="37">
        <f>IF(最佳化斷筋點!H1133="","",最佳化斷筋點!H1133)</f>
        <v>16</v>
      </c>
      <c r="AH1133" s="37">
        <f>IF(最佳化斷筋點!I1133="","",最佳化斷筋點!I1133)</f>
        <v>15</v>
      </c>
      <c r="AI1133" s="37">
        <f>IF(最佳化斷筋點!J1133="","",最佳化斷筋點!J1133)</f>
        <v>15</v>
      </c>
      <c r="AJ1133" s="37">
        <f>IF(最佳化斷筋點!K1133="","",最佳化斷筋點!K1133)</f>
        <v>15</v>
      </c>
      <c r="AK1133" s="37">
        <f>IF(最佳化斷筋點!L1133="","",最佳化斷筋點!L1133)</f>
        <v>15</v>
      </c>
      <c r="AL1133" s="37">
        <f>IF(最佳化斷筋點!M1133="","",最佳化斷筋點!M1133)</f>
        <v>15</v>
      </c>
      <c r="AM1133" s="37">
        <f>IF(最佳化斷筋點!N1133="","",最佳化斷筋點!N1133)</f>
        <v>15</v>
      </c>
      <c r="AN1133" s="37">
        <f>IF(最佳化斷筋點!O1133="","",最佳化斷筋點!O1133)</f>
        <v>15</v>
      </c>
      <c r="AO1133" s="37">
        <f>IF(最佳化斷筋點!P1133="","",最佳化斷筋點!P1133)</f>
        <v>15</v>
      </c>
      <c r="AP1133" s="37">
        <f>IF(最佳化斷筋點!Q1133="","",最佳化斷筋點!Q1133)</f>
        <v>15</v>
      </c>
      <c r="AQ1133" s="37">
        <f>IF(最佳化斷筋點!R1133="","",最佳化斷筋點!R1133)</f>
        <v>15</v>
      </c>
      <c r="AR1133" s="37">
        <f>IF(最佳化斷筋點!S1133="","",最佳化斷筋點!S1133)</f>
        <v>15</v>
      </c>
      <c r="AS1133" s="37">
        <f>IF(最佳化斷筋點!T1133="","",最佳化斷筋點!T1133)</f>
        <v>15</v>
      </c>
      <c r="AT1133" s="37">
        <f>IF(最佳化斷筋點!U1133="","",最佳化斷筋點!U1133)</f>
        <v>14</v>
      </c>
      <c r="AU1133" s="37">
        <f>IF(最佳化斷筋點!V1133="","",最佳化斷筋點!V1133)</f>
        <v>14</v>
      </c>
      <c r="AV1133" s="37">
        <f>IF(最佳化斷筋點!W1133="","",最佳化斷筋點!W1133)</f>
        <v>14</v>
      </c>
      <c r="AW1133" s="37">
        <f>IF(最佳化斷筋點!X1133="","",最佳化斷筋點!X1133)</f>
        <v>14</v>
      </c>
      <c r="AZ1133" s="37">
        <v>16</v>
      </c>
      <c r="BA1133" s="37">
        <v>16</v>
      </c>
      <c r="BB1133" s="37">
        <v>16</v>
      </c>
      <c r="BC1133" s="37">
        <v>16</v>
      </c>
      <c r="BD1133" s="37">
        <v>16</v>
      </c>
      <c r="BE1133" s="37">
        <v>15</v>
      </c>
      <c r="BF1133" s="37">
        <v>15</v>
      </c>
      <c r="BG1133" s="37">
        <v>15</v>
      </c>
      <c r="BH1133" s="37">
        <v>15</v>
      </c>
      <c r="BI1133" s="37">
        <v>15</v>
      </c>
      <c r="BJ1133" s="37">
        <v>15</v>
      </c>
      <c r="BK1133" s="37">
        <v>15</v>
      </c>
      <c r="BL1133" s="37">
        <v>15</v>
      </c>
      <c r="BM1133" s="37">
        <v>15</v>
      </c>
      <c r="BN1133" s="37">
        <v>15</v>
      </c>
      <c r="BO1133" s="37">
        <v>15</v>
      </c>
      <c r="BP1133" s="37">
        <v>15</v>
      </c>
      <c r="BQ1133" s="37">
        <v>14</v>
      </c>
      <c r="BR1133" s="37">
        <v>14</v>
      </c>
      <c r="BS1133" s="37">
        <v>14</v>
      </c>
      <c r="BT1133" s="37">
        <v>14</v>
      </c>
    </row>
    <row r="1134" spans="5:72" x14ac:dyDescent="0.25">
      <c r="E1134" s="36"/>
      <c r="F1134" s="36">
        <f t="shared" si="358"/>
        <v>0</v>
      </c>
      <c r="G1134" s="36">
        <f t="shared" si="359"/>
        <v>0</v>
      </c>
      <c r="H1134" s="36">
        <f t="shared" si="360"/>
        <v>0</v>
      </c>
      <c r="I1134" s="36">
        <f t="shared" si="361"/>
        <v>0</v>
      </c>
      <c r="J1134" s="36">
        <f t="shared" si="362"/>
        <v>0</v>
      </c>
      <c r="K1134" s="36">
        <f t="shared" si="363"/>
        <v>0</v>
      </c>
      <c r="L1134" s="36">
        <f t="shared" si="364"/>
        <v>0</v>
      </c>
      <c r="M1134" s="36">
        <f t="shared" si="365"/>
        <v>0</v>
      </c>
      <c r="N1134" s="36">
        <f t="shared" si="366"/>
        <v>0</v>
      </c>
      <c r="O1134" s="36">
        <f t="shared" si="367"/>
        <v>0</v>
      </c>
      <c r="P1134" s="36">
        <f t="shared" si="368"/>
        <v>0</v>
      </c>
      <c r="Q1134" s="36">
        <f t="shared" si="369"/>
        <v>0</v>
      </c>
      <c r="R1134" s="36">
        <f t="shared" si="370"/>
        <v>0</v>
      </c>
      <c r="S1134" s="36">
        <f t="shared" si="371"/>
        <v>0</v>
      </c>
      <c r="T1134" s="36">
        <f t="shared" si="372"/>
        <v>0</v>
      </c>
      <c r="U1134" s="36">
        <f t="shared" si="373"/>
        <v>0</v>
      </c>
      <c r="V1134" s="36">
        <f t="shared" si="374"/>
        <v>0</v>
      </c>
      <c r="W1134" s="36">
        <f t="shared" si="375"/>
        <v>0</v>
      </c>
      <c r="X1134" s="36">
        <f t="shared" si="376"/>
        <v>0</v>
      </c>
      <c r="Y1134" s="36">
        <f t="shared" si="377"/>
        <v>0</v>
      </c>
      <c r="Z1134" s="36">
        <f t="shared" si="378"/>
        <v>0</v>
      </c>
      <c r="AB1134" s="36" t="str">
        <f>IF(最佳化斷筋點!C1134="","",最佳化斷筋點!C1134)</f>
        <v/>
      </c>
      <c r="AC1134" s="37" t="str">
        <f>IF(最佳化斷筋點!D1134="","",最佳化斷筋點!D1134)</f>
        <v/>
      </c>
      <c r="AD1134" s="37" t="str">
        <f>IF(最佳化斷筋點!E1134="","",最佳化斷筋點!E1134)</f>
        <v/>
      </c>
      <c r="AE1134" s="37" t="str">
        <f>IF(最佳化斷筋點!F1134="","",最佳化斷筋點!F1134)</f>
        <v/>
      </c>
      <c r="AF1134" s="37" t="str">
        <f>IF(最佳化斷筋點!G1134="","",最佳化斷筋點!G1134)</f>
        <v/>
      </c>
      <c r="AG1134" s="37" t="str">
        <f>IF(最佳化斷筋點!H1134="","",最佳化斷筋點!H1134)</f>
        <v/>
      </c>
      <c r="AH1134" s="37" t="str">
        <f>IF(最佳化斷筋點!I1134="","",最佳化斷筋點!I1134)</f>
        <v/>
      </c>
      <c r="AI1134" s="37" t="str">
        <f>IF(最佳化斷筋點!J1134="","",最佳化斷筋點!J1134)</f>
        <v/>
      </c>
      <c r="AJ1134" s="37" t="str">
        <f>IF(最佳化斷筋點!K1134="","",最佳化斷筋點!K1134)</f>
        <v/>
      </c>
      <c r="AK1134" s="37" t="str">
        <f>IF(最佳化斷筋點!L1134="","",最佳化斷筋點!L1134)</f>
        <v/>
      </c>
      <c r="AL1134" s="37" t="str">
        <f>IF(最佳化斷筋點!M1134="","",最佳化斷筋點!M1134)</f>
        <v/>
      </c>
      <c r="AM1134" s="37" t="str">
        <f>IF(最佳化斷筋點!N1134="","",最佳化斷筋點!N1134)</f>
        <v/>
      </c>
      <c r="AN1134" s="37" t="str">
        <f>IF(最佳化斷筋點!O1134="","",最佳化斷筋點!O1134)</f>
        <v/>
      </c>
      <c r="AO1134" s="37" t="str">
        <f>IF(最佳化斷筋點!P1134="","",最佳化斷筋點!P1134)</f>
        <v/>
      </c>
      <c r="AP1134" s="37" t="str">
        <f>IF(最佳化斷筋點!Q1134="","",最佳化斷筋點!Q1134)</f>
        <v/>
      </c>
      <c r="AQ1134" s="37" t="str">
        <f>IF(最佳化斷筋點!R1134="","",最佳化斷筋點!R1134)</f>
        <v/>
      </c>
      <c r="AR1134" s="37" t="str">
        <f>IF(最佳化斷筋點!S1134="","",最佳化斷筋點!S1134)</f>
        <v/>
      </c>
      <c r="AS1134" s="37" t="str">
        <f>IF(最佳化斷筋點!T1134="","",最佳化斷筋點!T1134)</f>
        <v/>
      </c>
      <c r="AT1134" s="37" t="str">
        <f>IF(最佳化斷筋點!U1134="","",最佳化斷筋點!U1134)</f>
        <v/>
      </c>
      <c r="AU1134" s="37" t="str">
        <f>IF(最佳化斷筋點!V1134="","",最佳化斷筋點!V1134)</f>
        <v/>
      </c>
      <c r="AV1134" s="37" t="str">
        <f>IF(最佳化斷筋點!W1134="","",最佳化斷筋點!W1134)</f>
        <v/>
      </c>
      <c r="AW1134" s="37" t="str">
        <f>IF(最佳化斷筋點!X1134="","",最佳化斷筋點!X1134)</f>
        <v/>
      </c>
      <c r="AZ1134" s="37" t="s">
        <v>197</v>
      </c>
      <c r="BA1134" s="37" t="s">
        <v>197</v>
      </c>
      <c r="BB1134" s="37" t="s">
        <v>197</v>
      </c>
      <c r="BC1134" s="37" t="s">
        <v>197</v>
      </c>
      <c r="BD1134" s="37" t="s">
        <v>197</v>
      </c>
      <c r="BE1134" s="37" t="s">
        <v>197</v>
      </c>
      <c r="BF1134" s="37" t="s">
        <v>197</v>
      </c>
      <c r="BG1134" s="37" t="s">
        <v>197</v>
      </c>
      <c r="BH1134" s="37" t="s">
        <v>197</v>
      </c>
      <c r="BI1134" s="37" t="s">
        <v>197</v>
      </c>
      <c r="BJ1134" s="37" t="s">
        <v>197</v>
      </c>
      <c r="BK1134" s="37" t="s">
        <v>197</v>
      </c>
      <c r="BL1134" s="37" t="s">
        <v>197</v>
      </c>
      <c r="BM1134" s="37" t="s">
        <v>197</v>
      </c>
      <c r="BN1134" s="37" t="s">
        <v>197</v>
      </c>
      <c r="BO1134" s="37" t="s">
        <v>197</v>
      </c>
      <c r="BP1134" s="37" t="s">
        <v>197</v>
      </c>
      <c r="BQ1134" s="37" t="s">
        <v>197</v>
      </c>
      <c r="BR1134" s="37" t="s">
        <v>197</v>
      </c>
      <c r="BS1134" s="37" t="s">
        <v>197</v>
      </c>
      <c r="BT1134" s="37" t="s">
        <v>197</v>
      </c>
    </row>
    <row r="1135" spans="5:72" x14ac:dyDescent="0.25">
      <c r="E1135" s="36" t="s">
        <v>20</v>
      </c>
      <c r="F1135" s="36">
        <f t="shared" si="358"/>
        <v>0</v>
      </c>
      <c r="G1135" s="36">
        <f t="shared" si="359"/>
        <v>0</v>
      </c>
      <c r="H1135" s="36">
        <f t="shared" si="360"/>
        <v>0</v>
      </c>
      <c r="I1135" s="36">
        <f t="shared" si="361"/>
        <v>0</v>
      </c>
      <c r="J1135" s="36">
        <f t="shared" si="362"/>
        <v>0</v>
      </c>
      <c r="K1135" s="36">
        <f t="shared" si="363"/>
        <v>0</v>
      </c>
      <c r="L1135" s="36">
        <f t="shared" si="364"/>
        <v>0</v>
      </c>
      <c r="M1135" s="36">
        <f t="shared" si="365"/>
        <v>0</v>
      </c>
      <c r="N1135" s="36">
        <f t="shared" si="366"/>
        <v>0</v>
      </c>
      <c r="O1135" s="36">
        <f t="shared" si="367"/>
        <v>0</v>
      </c>
      <c r="P1135" s="36">
        <f t="shared" si="368"/>
        <v>0</v>
      </c>
      <c r="Q1135" s="36">
        <f t="shared" si="369"/>
        <v>0</v>
      </c>
      <c r="R1135" s="36">
        <f t="shared" si="370"/>
        <v>0</v>
      </c>
      <c r="S1135" s="36">
        <f t="shared" si="371"/>
        <v>0</v>
      </c>
      <c r="T1135" s="36">
        <f t="shared" si="372"/>
        <v>0</v>
      </c>
      <c r="U1135" s="36">
        <f t="shared" si="373"/>
        <v>0</v>
      </c>
      <c r="V1135" s="36">
        <f t="shared" si="374"/>
        <v>0</v>
      </c>
      <c r="W1135" s="36">
        <f t="shared" si="375"/>
        <v>0</v>
      </c>
      <c r="X1135" s="36">
        <f t="shared" si="376"/>
        <v>0</v>
      </c>
      <c r="Y1135" s="36">
        <f t="shared" si="377"/>
        <v>0</v>
      </c>
      <c r="Z1135" s="36">
        <f t="shared" si="378"/>
        <v>0</v>
      </c>
      <c r="AB1135" s="36" t="str">
        <f>IF(最佳化斷筋點!C1135="","",最佳化斷筋點!C1135)</f>
        <v>上層</v>
      </c>
      <c r="AC1135" s="37">
        <f>IF(最佳化斷筋點!D1135="","",最佳化斷筋點!D1135)</f>
        <v>8</v>
      </c>
      <c r="AD1135" s="37">
        <f>IF(最佳化斷筋點!E1135="","",最佳化斷筋點!E1135)</f>
        <v>8</v>
      </c>
      <c r="AE1135" s="37">
        <f>IF(最佳化斷筋點!F1135="","",最佳化斷筋點!F1135)</f>
        <v>8</v>
      </c>
      <c r="AF1135" s="37">
        <f>IF(最佳化斷筋點!G1135="","",最佳化斷筋點!G1135)</f>
        <v>8</v>
      </c>
      <c r="AG1135" s="37">
        <f>IF(最佳化斷筋點!H1135="","",最佳化斷筋點!H1135)</f>
        <v>8</v>
      </c>
      <c r="AH1135" s="37">
        <f>IF(最佳化斷筋點!I1135="","",最佳化斷筋點!I1135)</f>
        <v>8</v>
      </c>
      <c r="AI1135" s="37">
        <f>IF(最佳化斷筋點!J1135="","",最佳化斷筋點!J1135)</f>
        <v>8</v>
      </c>
      <c r="AJ1135" s="37">
        <f>IF(最佳化斷筋點!K1135="","",最佳化斷筋點!K1135)</f>
        <v>4</v>
      </c>
      <c r="AK1135" s="37">
        <f>IF(最佳化斷筋點!L1135="","",最佳化斷筋點!L1135)</f>
        <v>4</v>
      </c>
      <c r="AL1135" s="37">
        <f>IF(最佳化斷筋點!M1135="","",最佳化斷筋點!M1135)</f>
        <v>4</v>
      </c>
      <c r="AM1135" s="37">
        <f>IF(最佳化斷筋點!N1135="","",最佳化斷筋點!N1135)</f>
        <v>4</v>
      </c>
      <c r="AN1135" s="37">
        <f>IF(最佳化斷筋點!O1135="","",最佳化斷筋點!O1135)</f>
        <v>4</v>
      </c>
      <c r="AO1135" s="37">
        <f>IF(最佳化斷筋點!P1135="","",最佳化斷筋點!P1135)</f>
        <v>4</v>
      </c>
      <c r="AP1135" s="37">
        <f>IF(最佳化斷筋點!Q1135="","",最佳化斷筋點!Q1135)</f>
        <v>8</v>
      </c>
      <c r="AQ1135" s="37">
        <f>IF(最佳化斷筋點!R1135="","",最佳化斷筋點!R1135)</f>
        <v>9</v>
      </c>
      <c r="AR1135" s="37">
        <f>IF(最佳化斷筋點!S1135="","",最佳化斷筋點!S1135)</f>
        <v>10</v>
      </c>
      <c r="AS1135" s="37">
        <f>IF(最佳化斷筋點!T1135="","",最佳化斷筋點!T1135)</f>
        <v>10</v>
      </c>
      <c r="AT1135" s="37">
        <f>IF(最佳化斷筋點!U1135="","",最佳化斷筋點!U1135)</f>
        <v>10</v>
      </c>
      <c r="AU1135" s="37">
        <f>IF(最佳化斷筋點!V1135="","",最佳化斷筋點!V1135)</f>
        <v>10</v>
      </c>
      <c r="AV1135" s="37">
        <f>IF(最佳化斷筋點!W1135="","",最佳化斷筋點!W1135)</f>
        <v>10</v>
      </c>
      <c r="AW1135" s="37">
        <f>IF(最佳化斷筋點!X1135="","",最佳化斷筋點!X1135)</f>
        <v>10</v>
      </c>
      <c r="AZ1135" s="37">
        <v>8</v>
      </c>
      <c r="BA1135" s="37">
        <v>8</v>
      </c>
      <c r="BB1135" s="37">
        <v>8</v>
      </c>
      <c r="BC1135" s="37">
        <v>8</v>
      </c>
      <c r="BD1135" s="37">
        <v>8</v>
      </c>
      <c r="BE1135" s="37">
        <v>8</v>
      </c>
      <c r="BF1135" s="37">
        <v>8</v>
      </c>
      <c r="BG1135" s="37">
        <v>4</v>
      </c>
      <c r="BH1135" s="37">
        <v>4</v>
      </c>
      <c r="BI1135" s="37">
        <v>4</v>
      </c>
      <c r="BJ1135" s="37">
        <v>4</v>
      </c>
      <c r="BK1135" s="37">
        <v>4</v>
      </c>
      <c r="BL1135" s="37">
        <v>4</v>
      </c>
      <c r="BM1135" s="37">
        <v>8</v>
      </c>
      <c r="BN1135" s="37">
        <v>9</v>
      </c>
      <c r="BO1135" s="37">
        <v>10</v>
      </c>
      <c r="BP1135" s="37">
        <v>10</v>
      </c>
      <c r="BQ1135" s="37">
        <v>10</v>
      </c>
      <c r="BR1135" s="37">
        <v>10</v>
      </c>
      <c r="BS1135" s="37">
        <v>10</v>
      </c>
      <c r="BT1135" s="37">
        <v>10</v>
      </c>
    </row>
    <row r="1136" spans="5:72" x14ac:dyDescent="0.25">
      <c r="E1136" s="36"/>
      <c r="F1136" s="36">
        <f t="shared" si="358"/>
        <v>0</v>
      </c>
      <c r="G1136" s="36">
        <f t="shared" si="359"/>
        <v>0</v>
      </c>
      <c r="H1136" s="36">
        <f t="shared" si="360"/>
        <v>0</v>
      </c>
      <c r="I1136" s="36">
        <f t="shared" si="361"/>
        <v>0</v>
      </c>
      <c r="J1136" s="36">
        <f t="shared" si="362"/>
        <v>0</v>
      </c>
      <c r="K1136" s="36">
        <f t="shared" si="363"/>
        <v>0</v>
      </c>
      <c r="L1136" s="36">
        <f t="shared" si="364"/>
        <v>0</v>
      </c>
      <c r="M1136" s="36">
        <f t="shared" si="365"/>
        <v>0</v>
      </c>
      <c r="N1136" s="36">
        <f t="shared" si="366"/>
        <v>0</v>
      </c>
      <c r="O1136" s="36">
        <f t="shared" si="367"/>
        <v>0</v>
      </c>
      <c r="P1136" s="36">
        <f t="shared" si="368"/>
        <v>0</v>
      </c>
      <c r="Q1136" s="36">
        <f t="shared" si="369"/>
        <v>0</v>
      </c>
      <c r="R1136" s="36">
        <f t="shared" si="370"/>
        <v>0</v>
      </c>
      <c r="S1136" s="36">
        <f t="shared" si="371"/>
        <v>0</v>
      </c>
      <c r="T1136" s="36">
        <f t="shared" si="372"/>
        <v>0</v>
      </c>
      <c r="U1136" s="36">
        <f t="shared" si="373"/>
        <v>0</v>
      </c>
      <c r="V1136" s="36">
        <f t="shared" si="374"/>
        <v>0</v>
      </c>
      <c r="W1136" s="36">
        <f t="shared" si="375"/>
        <v>0</v>
      </c>
      <c r="X1136" s="36">
        <f t="shared" si="376"/>
        <v>0</v>
      </c>
      <c r="Y1136" s="36">
        <f t="shared" si="377"/>
        <v>0</v>
      </c>
      <c r="Z1136" s="36">
        <f t="shared" si="378"/>
        <v>0</v>
      </c>
      <c r="AB1136" s="36" t="str">
        <f>IF(最佳化斷筋點!C1136="","",最佳化斷筋點!C1136)</f>
        <v/>
      </c>
      <c r="AC1136" s="37" t="str">
        <f>IF(最佳化斷筋點!D1136="","",最佳化斷筋點!D1136)</f>
        <v/>
      </c>
      <c r="AD1136" s="37" t="str">
        <f>IF(最佳化斷筋點!E1136="","",最佳化斷筋點!E1136)</f>
        <v/>
      </c>
      <c r="AE1136" s="37" t="str">
        <f>IF(最佳化斷筋點!F1136="","",最佳化斷筋點!F1136)</f>
        <v/>
      </c>
      <c r="AF1136" s="37" t="str">
        <f>IF(最佳化斷筋點!G1136="","",最佳化斷筋點!G1136)</f>
        <v/>
      </c>
      <c r="AG1136" s="37" t="str">
        <f>IF(最佳化斷筋點!H1136="","",最佳化斷筋點!H1136)</f>
        <v/>
      </c>
      <c r="AH1136" s="37" t="str">
        <f>IF(最佳化斷筋點!I1136="","",最佳化斷筋點!I1136)</f>
        <v/>
      </c>
      <c r="AI1136" s="37" t="str">
        <f>IF(最佳化斷筋點!J1136="","",最佳化斷筋點!J1136)</f>
        <v/>
      </c>
      <c r="AJ1136" s="37" t="str">
        <f>IF(最佳化斷筋點!K1136="","",最佳化斷筋點!K1136)</f>
        <v/>
      </c>
      <c r="AK1136" s="37" t="str">
        <f>IF(最佳化斷筋點!L1136="","",最佳化斷筋點!L1136)</f>
        <v/>
      </c>
      <c r="AL1136" s="37" t="str">
        <f>IF(最佳化斷筋點!M1136="","",最佳化斷筋點!M1136)</f>
        <v/>
      </c>
      <c r="AM1136" s="37" t="str">
        <f>IF(最佳化斷筋點!N1136="","",最佳化斷筋點!N1136)</f>
        <v/>
      </c>
      <c r="AN1136" s="37" t="str">
        <f>IF(最佳化斷筋點!O1136="","",最佳化斷筋點!O1136)</f>
        <v/>
      </c>
      <c r="AO1136" s="37" t="str">
        <f>IF(最佳化斷筋點!P1136="","",最佳化斷筋點!P1136)</f>
        <v/>
      </c>
      <c r="AP1136" s="37" t="str">
        <f>IF(最佳化斷筋點!Q1136="","",最佳化斷筋點!Q1136)</f>
        <v/>
      </c>
      <c r="AQ1136" s="37" t="str">
        <f>IF(最佳化斷筋點!R1136="","",最佳化斷筋點!R1136)</f>
        <v/>
      </c>
      <c r="AR1136" s="37" t="str">
        <f>IF(最佳化斷筋點!S1136="","",最佳化斷筋點!S1136)</f>
        <v/>
      </c>
      <c r="AS1136" s="37" t="str">
        <f>IF(最佳化斷筋點!T1136="","",最佳化斷筋點!T1136)</f>
        <v/>
      </c>
      <c r="AT1136" s="37" t="str">
        <f>IF(最佳化斷筋點!U1136="","",最佳化斷筋點!U1136)</f>
        <v/>
      </c>
      <c r="AU1136" s="37" t="str">
        <f>IF(最佳化斷筋點!V1136="","",最佳化斷筋點!V1136)</f>
        <v/>
      </c>
      <c r="AV1136" s="37" t="str">
        <f>IF(最佳化斷筋點!W1136="","",最佳化斷筋點!W1136)</f>
        <v/>
      </c>
      <c r="AW1136" s="37" t="str">
        <f>IF(最佳化斷筋點!X1136="","",最佳化斷筋點!X1136)</f>
        <v/>
      </c>
      <c r="AZ1136" s="37" t="s">
        <v>197</v>
      </c>
      <c r="BA1136" s="37" t="s">
        <v>197</v>
      </c>
      <c r="BB1136" s="37" t="s">
        <v>197</v>
      </c>
      <c r="BC1136" s="37" t="s">
        <v>197</v>
      </c>
      <c r="BD1136" s="37" t="s">
        <v>197</v>
      </c>
      <c r="BE1136" s="37" t="s">
        <v>197</v>
      </c>
      <c r="BF1136" s="37" t="s">
        <v>197</v>
      </c>
      <c r="BG1136" s="37" t="s">
        <v>197</v>
      </c>
      <c r="BH1136" s="37" t="s">
        <v>197</v>
      </c>
      <c r="BI1136" s="37" t="s">
        <v>197</v>
      </c>
      <c r="BJ1136" s="37" t="s">
        <v>197</v>
      </c>
      <c r="BK1136" s="37" t="s">
        <v>197</v>
      </c>
      <c r="BL1136" s="37" t="s">
        <v>197</v>
      </c>
      <c r="BM1136" s="37" t="s">
        <v>197</v>
      </c>
      <c r="BN1136" s="37" t="s">
        <v>197</v>
      </c>
      <c r="BO1136" s="37" t="s">
        <v>197</v>
      </c>
      <c r="BP1136" s="37" t="s">
        <v>197</v>
      </c>
      <c r="BQ1136" s="37" t="s">
        <v>197</v>
      </c>
      <c r="BR1136" s="37" t="s">
        <v>197</v>
      </c>
      <c r="BS1136" s="37" t="s">
        <v>197</v>
      </c>
      <c r="BT1136" s="37" t="s">
        <v>197</v>
      </c>
    </row>
    <row r="1137" spans="5:72" x14ac:dyDescent="0.25">
      <c r="E1137" s="36" t="s">
        <v>21</v>
      </c>
      <c r="F1137" s="36">
        <f t="shared" si="358"/>
        <v>0</v>
      </c>
      <c r="G1137" s="36">
        <f t="shared" si="359"/>
        <v>0</v>
      </c>
      <c r="H1137" s="36">
        <f t="shared" si="360"/>
        <v>0</v>
      </c>
      <c r="I1137" s="36">
        <f t="shared" si="361"/>
        <v>0</v>
      </c>
      <c r="J1137" s="36">
        <f t="shared" si="362"/>
        <v>0</v>
      </c>
      <c r="K1137" s="36">
        <f t="shared" si="363"/>
        <v>0</v>
      </c>
      <c r="L1137" s="36">
        <f t="shared" si="364"/>
        <v>0</v>
      </c>
      <c r="M1137" s="36">
        <f t="shared" si="365"/>
        <v>0</v>
      </c>
      <c r="N1137" s="36">
        <f t="shared" si="366"/>
        <v>0</v>
      </c>
      <c r="O1137" s="36">
        <f t="shared" si="367"/>
        <v>0</v>
      </c>
      <c r="P1137" s="36">
        <f t="shared" si="368"/>
        <v>0</v>
      </c>
      <c r="Q1137" s="36">
        <f t="shared" si="369"/>
        <v>0</v>
      </c>
      <c r="R1137" s="36">
        <f t="shared" si="370"/>
        <v>0</v>
      </c>
      <c r="S1137" s="36">
        <f t="shared" si="371"/>
        <v>0</v>
      </c>
      <c r="T1137" s="36">
        <f t="shared" si="372"/>
        <v>0</v>
      </c>
      <c r="U1137" s="36">
        <f t="shared" si="373"/>
        <v>0</v>
      </c>
      <c r="V1137" s="36">
        <f t="shared" si="374"/>
        <v>0</v>
      </c>
      <c r="W1137" s="36">
        <f t="shared" si="375"/>
        <v>0</v>
      </c>
      <c r="X1137" s="36">
        <f t="shared" si="376"/>
        <v>0</v>
      </c>
      <c r="Y1137" s="36">
        <f t="shared" si="377"/>
        <v>0</v>
      </c>
      <c r="Z1137" s="36">
        <f t="shared" si="378"/>
        <v>0</v>
      </c>
      <c r="AB1137" s="36" t="str">
        <f>IF(最佳化斷筋點!C1137="","",最佳化斷筋點!C1137)</f>
        <v>下層</v>
      </c>
      <c r="AC1137" s="37">
        <f>IF(最佳化斷筋點!D1137="","",最佳化斷筋點!D1137)</f>
        <v>13</v>
      </c>
      <c r="AD1137" s="37">
        <f>IF(最佳化斷筋點!E1137="","",最佳化斷筋點!E1137)</f>
        <v>13</v>
      </c>
      <c r="AE1137" s="37">
        <f>IF(最佳化斷筋點!F1137="","",最佳化斷筋點!F1137)</f>
        <v>13</v>
      </c>
      <c r="AF1137" s="37">
        <f>IF(最佳化斷筋點!G1137="","",最佳化斷筋點!G1137)</f>
        <v>13</v>
      </c>
      <c r="AG1137" s="37">
        <f>IF(最佳化斷筋點!H1137="","",最佳化斷筋點!H1137)</f>
        <v>12</v>
      </c>
      <c r="AH1137" s="37">
        <f>IF(最佳化斷筋點!I1137="","",最佳化斷筋點!I1137)</f>
        <v>11</v>
      </c>
      <c r="AI1137" s="37">
        <f>IF(最佳化斷筋點!J1137="","",最佳化斷筋點!J1137)</f>
        <v>10</v>
      </c>
      <c r="AJ1137" s="37">
        <f>IF(最佳化斷筋點!K1137="","",最佳化斷筋點!K1137)</f>
        <v>5</v>
      </c>
      <c r="AK1137" s="37">
        <f>IF(最佳化斷筋點!L1137="","",最佳化斷筋點!L1137)</f>
        <v>5</v>
      </c>
      <c r="AL1137" s="37">
        <f>IF(最佳化斷筋點!M1137="","",最佳化斷筋點!M1137)</f>
        <v>5</v>
      </c>
      <c r="AM1137" s="37">
        <f>IF(最佳化斷筋點!N1137="","",最佳化斷筋點!N1137)</f>
        <v>5</v>
      </c>
      <c r="AN1137" s="37">
        <f>IF(最佳化斷筋點!O1137="","",最佳化斷筋點!O1137)</f>
        <v>5</v>
      </c>
      <c r="AO1137" s="37">
        <f>IF(最佳化斷筋點!P1137="","",最佳化斷筋點!P1137)</f>
        <v>5</v>
      </c>
      <c r="AP1137" s="37">
        <f>IF(最佳化斷筋點!Q1137="","",最佳化斷筋點!Q1137)</f>
        <v>7</v>
      </c>
      <c r="AQ1137" s="37">
        <f>IF(最佳化斷筋點!R1137="","",最佳化斷筋點!R1137)</f>
        <v>8</v>
      </c>
      <c r="AR1137" s="37">
        <f>IF(最佳化斷筋點!S1137="","",最佳化斷筋點!S1137)</f>
        <v>9</v>
      </c>
      <c r="AS1137" s="37">
        <f>IF(最佳化斷筋點!T1137="","",最佳化斷筋點!T1137)</f>
        <v>10</v>
      </c>
      <c r="AT1137" s="37">
        <f>IF(最佳化斷筋點!U1137="","",最佳化斷筋點!U1137)</f>
        <v>11</v>
      </c>
      <c r="AU1137" s="37">
        <f>IF(最佳化斷筋點!V1137="","",最佳化斷筋點!V1137)</f>
        <v>11</v>
      </c>
      <c r="AV1137" s="37">
        <f>IF(最佳化斷筋點!W1137="","",最佳化斷筋點!W1137)</f>
        <v>11</v>
      </c>
      <c r="AW1137" s="37">
        <f>IF(最佳化斷筋點!X1137="","",最佳化斷筋點!X1137)</f>
        <v>11</v>
      </c>
      <c r="AZ1137" s="37">
        <v>13</v>
      </c>
      <c r="BA1137" s="37">
        <v>13</v>
      </c>
      <c r="BB1137" s="37">
        <v>13</v>
      </c>
      <c r="BC1137" s="37">
        <v>13</v>
      </c>
      <c r="BD1137" s="37">
        <v>12</v>
      </c>
      <c r="BE1137" s="37">
        <v>11</v>
      </c>
      <c r="BF1137" s="37">
        <v>10</v>
      </c>
      <c r="BG1137" s="37">
        <v>5</v>
      </c>
      <c r="BH1137" s="37">
        <v>5</v>
      </c>
      <c r="BI1137" s="37">
        <v>5</v>
      </c>
      <c r="BJ1137" s="37">
        <v>5</v>
      </c>
      <c r="BK1137" s="37">
        <v>5</v>
      </c>
      <c r="BL1137" s="37">
        <v>5</v>
      </c>
      <c r="BM1137" s="37">
        <v>7</v>
      </c>
      <c r="BN1137" s="37">
        <v>8</v>
      </c>
      <c r="BO1137" s="37">
        <v>9</v>
      </c>
      <c r="BP1137" s="37">
        <v>10</v>
      </c>
      <c r="BQ1137" s="37">
        <v>11</v>
      </c>
      <c r="BR1137" s="37">
        <v>11</v>
      </c>
      <c r="BS1137" s="37">
        <v>11</v>
      </c>
      <c r="BT1137" s="37">
        <v>11</v>
      </c>
    </row>
    <row r="1138" spans="5:72" x14ac:dyDescent="0.25">
      <c r="E1138" s="36"/>
      <c r="F1138" s="36">
        <f t="shared" si="358"/>
        <v>0</v>
      </c>
      <c r="G1138" s="36">
        <f t="shared" si="359"/>
        <v>0</v>
      </c>
      <c r="H1138" s="36">
        <f t="shared" si="360"/>
        <v>0</v>
      </c>
      <c r="I1138" s="36">
        <f t="shared" si="361"/>
        <v>0</v>
      </c>
      <c r="J1138" s="36">
        <f t="shared" si="362"/>
        <v>0</v>
      </c>
      <c r="K1138" s="36">
        <f t="shared" si="363"/>
        <v>0</v>
      </c>
      <c r="L1138" s="36">
        <f t="shared" si="364"/>
        <v>0</v>
      </c>
      <c r="M1138" s="36">
        <f t="shared" si="365"/>
        <v>0</v>
      </c>
      <c r="N1138" s="36">
        <f t="shared" si="366"/>
        <v>0</v>
      </c>
      <c r="O1138" s="36">
        <f t="shared" si="367"/>
        <v>0</v>
      </c>
      <c r="P1138" s="36">
        <f t="shared" si="368"/>
        <v>0</v>
      </c>
      <c r="Q1138" s="36">
        <f t="shared" si="369"/>
        <v>0</v>
      </c>
      <c r="R1138" s="36">
        <f t="shared" si="370"/>
        <v>0</v>
      </c>
      <c r="S1138" s="36">
        <f t="shared" si="371"/>
        <v>0</v>
      </c>
      <c r="T1138" s="36">
        <f t="shared" si="372"/>
        <v>0</v>
      </c>
      <c r="U1138" s="36">
        <f t="shared" si="373"/>
        <v>0</v>
      </c>
      <c r="V1138" s="36">
        <f t="shared" si="374"/>
        <v>0</v>
      </c>
      <c r="W1138" s="36">
        <f t="shared" si="375"/>
        <v>0</v>
      </c>
      <c r="X1138" s="36">
        <f t="shared" si="376"/>
        <v>0</v>
      </c>
      <c r="Y1138" s="36">
        <f t="shared" si="377"/>
        <v>0</v>
      </c>
      <c r="Z1138" s="36">
        <f t="shared" si="378"/>
        <v>0</v>
      </c>
      <c r="AB1138" s="36" t="str">
        <f>IF(最佳化斷筋點!C1138="","",最佳化斷筋點!C1138)</f>
        <v/>
      </c>
      <c r="AC1138" s="37" t="str">
        <f>IF(最佳化斷筋點!D1138="","",最佳化斷筋點!D1138)</f>
        <v/>
      </c>
      <c r="AD1138" s="37" t="str">
        <f>IF(最佳化斷筋點!E1138="","",最佳化斷筋點!E1138)</f>
        <v/>
      </c>
      <c r="AE1138" s="37" t="str">
        <f>IF(最佳化斷筋點!F1138="","",最佳化斷筋點!F1138)</f>
        <v/>
      </c>
      <c r="AF1138" s="37" t="str">
        <f>IF(最佳化斷筋點!G1138="","",最佳化斷筋點!G1138)</f>
        <v/>
      </c>
      <c r="AG1138" s="37" t="str">
        <f>IF(最佳化斷筋點!H1138="","",最佳化斷筋點!H1138)</f>
        <v/>
      </c>
      <c r="AH1138" s="37" t="str">
        <f>IF(最佳化斷筋點!I1138="","",最佳化斷筋點!I1138)</f>
        <v/>
      </c>
      <c r="AI1138" s="37" t="str">
        <f>IF(最佳化斷筋點!J1138="","",最佳化斷筋點!J1138)</f>
        <v/>
      </c>
      <c r="AJ1138" s="37" t="str">
        <f>IF(最佳化斷筋點!K1138="","",最佳化斷筋點!K1138)</f>
        <v/>
      </c>
      <c r="AK1138" s="37" t="str">
        <f>IF(最佳化斷筋點!L1138="","",最佳化斷筋點!L1138)</f>
        <v/>
      </c>
      <c r="AL1138" s="37" t="str">
        <f>IF(最佳化斷筋點!M1138="","",最佳化斷筋點!M1138)</f>
        <v/>
      </c>
      <c r="AM1138" s="37" t="str">
        <f>IF(最佳化斷筋點!N1138="","",最佳化斷筋點!N1138)</f>
        <v/>
      </c>
      <c r="AN1138" s="37" t="str">
        <f>IF(最佳化斷筋點!O1138="","",最佳化斷筋點!O1138)</f>
        <v/>
      </c>
      <c r="AO1138" s="37" t="str">
        <f>IF(最佳化斷筋點!P1138="","",最佳化斷筋點!P1138)</f>
        <v/>
      </c>
      <c r="AP1138" s="37" t="str">
        <f>IF(最佳化斷筋點!Q1138="","",最佳化斷筋點!Q1138)</f>
        <v/>
      </c>
      <c r="AQ1138" s="37" t="str">
        <f>IF(最佳化斷筋點!R1138="","",最佳化斷筋點!R1138)</f>
        <v/>
      </c>
      <c r="AR1138" s="37" t="str">
        <f>IF(最佳化斷筋點!S1138="","",最佳化斷筋點!S1138)</f>
        <v/>
      </c>
      <c r="AS1138" s="37" t="str">
        <f>IF(最佳化斷筋點!T1138="","",最佳化斷筋點!T1138)</f>
        <v/>
      </c>
      <c r="AT1138" s="37" t="str">
        <f>IF(最佳化斷筋點!U1138="","",最佳化斷筋點!U1138)</f>
        <v/>
      </c>
      <c r="AU1138" s="37" t="str">
        <f>IF(最佳化斷筋點!V1138="","",最佳化斷筋點!V1138)</f>
        <v/>
      </c>
      <c r="AV1138" s="37" t="str">
        <f>IF(最佳化斷筋點!W1138="","",最佳化斷筋點!W1138)</f>
        <v/>
      </c>
      <c r="AW1138" s="37" t="str">
        <f>IF(最佳化斷筋點!X1138="","",最佳化斷筋點!X1138)</f>
        <v/>
      </c>
      <c r="AZ1138" s="37" t="s">
        <v>197</v>
      </c>
      <c r="BA1138" s="37" t="s">
        <v>197</v>
      </c>
      <c r="BB1138" s="37" t="s">
        <v>197</v>
      </c>
      <c r="BC1138" s="37" t="s">
        <v>197</v>
      </c>
      <c r="BD1138" s="37" t="s">
        <v>197</v>
      </c>
      <c r="BE1138" s="37" t="s">
        <v>197</v>
      </c>
      <c r="BF1138" s="37" t="s">
        <v>197</v>
      </c>
      <c r="BG1138" s="37" t="s">
        <v>197</v>
      </c>
      <c r="BH1138" s="37" t="s">
        <v>197</v>
      </c>
      <c r="BI1138" s="37" t="s">
        <v>197</v>
      </c>
      <c r="BJ1138" s="37" t="s">
        <v>197</v>
      </c>
      <c r="BK1138" s="37" t="s">
        <v>197</v>
      </c>
      <c r="BL1138" s="37" t="s">
        <v>197</v>
      </c>
      <c r="BM1138" s="37" t="s">
        <v>197</v>
      </c>
      <c r="BN1138" s="37" t="s">
        <v>197</v>
      </c>
      <c r="BO1138" s="37" t="s">
        <v>197</v>
      </c>
      <c r="BP1138" s="37" t="s">
        <v>197</v>
      </c>
      <c r="BQ1138" s="37" t="s">
        <v>197</v>
      </c>
      <c r="BR1138" s="37" t="s">
        <v>197</v>
      </c>
      <c r="BS1138" s="37" t="s">
        <v>197</v>
      </c>
      <c r="BT1138" s="37" t="s">
        <v>197</v>
      </c>
    </row>
    <row r="1139" spans="5:72" x14ac:dyDescent="0.25">
      <c r="E1139" s="36" t="s">
        <v>20</v>
      </c>
      <c r="F1139" s="36">
        <f t="shared" si="358"/>
        <v>0</v>
      </c>
      <c r="G1139" s="36">
        <f t="shared" si="359"/>
        <v>0</v>
      </c>
      <c r="H1139" s="36">
        <f t="shared" si="360"/>
        <v>0</v>
      </c>
      <c r="I1139" s="36">
        <f t="shared" si="361"/>
        <v>0</v>
      </c>
      <c r="J1139" s="36">
        <f t="shared" si="362"/>
        <v>0</v>
      </c>
      <c r="K1139" s="36">
        <f t="shared" si="363"/>
        <v>0</v>
      </c>
      <c r="L1139" s="36">
        <f t="shared" si="364"/>
        <v>0</v>
      </c>
      <c r="M1139" s="36">
        <f t="shared" si="365"/>
        <v>0</v>
      </c>
      <c r="N1139" s="36">
        <f t="shared" si="366"/>
        <v>0</v>
      </c>
      <c r="O1139" s="36">
        <f t="shared" si="367"/>
        <v>0</v>
      </c>
      <c r="P1139" s="36">
        <f t="shared" si="368"/>
        <v>0</v>
      </c>
      <c r="Q1139" s="36">
        <f t="shared" si="369"/>
        <v>0</v>
      </c>
      <c r="R1139" s="36">
        <f t="shared" si="370"/>
        <v>0</v>
      </c>
      <c r="S1139" s="36">
        <f t="shared" si="371"/>
        <v>0</v>
      </c>
      <c r="T1139" s="36">
        <f t="shared" si="372"/>
        <v>0</v>
      </c>
      <c r="U1139" s="36">
        <f t="shared" si="373"/>
        <v>0</v>
      </c>
      <c r="V1139" s="36">
        <f t="shared" si="374"/>
        <v>0</v>
      </c>
      <c r="W1139" s="36">
        <f t="shared" si="375"/>
        <v>0</v>
      </c>
      <c r="X1139" s="36">
        <f t="shared" si="376"/>
        <v>0</v>
      </c>
      <c r="Y1139" s="36">
        <f t="shared" si="377"/>
        <v>0</v>
      </c>
      <c r="Z1139" s="36">
        <f t="shared" si="378"/>
        <v>0</v>
      </c>
      <c r="AB1139" s="36" t="str">
        <f>IF(最佳化斷筋點!C1139="","",最佳化斷筋點!C1139)</f>
        <v>上層</v>
      </c>
      <c r="AC1139" s="37">
        <f>IF(最佳化斷筋點!D1139="","",最佳化斷筋點!D1139)</f>
        <v>5</v>
      </c>
      <c r="AD1139" s="37">
        <f>IF(最佳化斷筋點!E1139="","",最佳化斷筋點!E1139)</f>
        <v>5</v>
      </c>
      <c r="AE1139" s="37">
        <f>IF(最佳化斷筋點!F1139="","",最佳化斷筋點!F1139)</f>
        <v>5</v>
      </c>
      <c r="AF1139" s="37">
        <f>IF(最佳化斷筋點!G1139="","",最佳化斷筋點!G1139)</f>
        <v>5</v>
      </c>
      <c r="AG1139" s="37">
        <f>IF(最佳化斷筋點!H1139="","",最佳化斷筋點!H1139)</f>
        <v>5</v>
      </c>
      <c r="AH1139" s="37">
        <f>IF(最佳化斷筋點!I1139="","",最佳化斷筋點!I1139)</f>
        <v>5</v>
      </c>
      <c r="AI1139" s="37">
        <f>IF(最佳化斷筋點!J1139="","",最佳化斷筋點!J1139)</f>
        <v>4</v>
      </c>
      <c r="AJ1139" s="37">
        <f>IF(最佳化斷筋點!K1139="","",最佳化斷筋點!K1139)</f>
        <v>2</v>
      </c>
      <c r="AK1139" s="37">
        <f>IF(最佳化斷筋點!L1139="","",最佳化斷筋點!L1139)</f>
        <v>2</v>
      </c>
      <c r="AL1139" s="37">
        <f>IF(最佳化斷筋點!M1139="","",最佳化斷筋點!M1139)</f>
        <v>2</v>
      </c>
      <c r="AM1139" s="37">
        <f>IF(最佳化斷筋點!N1139="","",最佳化斷筋點!N1139)</f>
        <v>2</v>
      </c>
      <c r="AN1139" s="37">
        <f>IF(最佳化斷筋點!O1139="","",最佳化斷筋點!O1139)</f>
        <v>2</v>
      </c>
      <c r="AO1139" s="37">
        <f>IF(最佳化斷筋點!P1139="","",最佳化斷筋點!P1139)</f>
        <v>2</v>
      </c>
      <c r="AP1139" s="37">
        <f>IF(最佳化斷筋點!Q1139="","",最佳化斷筋點!Q1139)</f>
        <v>4</v>
      </c>
      <c r="AQ1139" s="37">
        <f>IF(最佳化斷筋點!R1139="","",最佳化斷筋點!R1139)</f>
        <v>4</v>
      </c>
      <c r="AR1139" s="37">
        <f>IF(最佳化斷筋點!S1139="","",最佳化斷筋點!S1139)</f>
        <v>5</v>
      </c>
      <c r="AS1139" s="37">
        <f>IF(最佳化斷筋點!T1139="","",最佳化斷筋點!T1139)</f>
        <v>5</v>
      </c>
      <c r="AT1139" s="37">
        <f>IF(最佳化斷筋點!U1139="","",最佳化斷筋點!U1139)</f>
        <v>6</v>
      </c>
      <c r="AU1139" s="37">
        <f>IF(最佳化斷筋點!V1139="","",最佳化斷筋點!V1139)</f>
        <v>6</v>
      </c>
      <c r="AV1139" s="37">
        <f>IF(最佳化斷筋點!W1139="","",最佳化斷筋點!W1139)</f>
        <v>6</v>
      </c>
      <c r="AW1139" s="37">
        <f>IF(最佳化斷筋點!X1139="","",最佳化斷筋點!X1139)</f>
        <v>6</v>
      </c>
      <c r="AZ1139" s="37">
        <v>5</v>
      </c>
      <c r="BA1139" s="37">
        <v>5</v>
      </c>
      <c r="BB1139" s="37">
        <v>5</v>
      </c>
      <c r="BC1139" s="37">
        <v>5</v>
      </c>
      <c r="BD1139" s="37">
        <v>5</v>
      </c>
      <c r="BE1139" s="37">
        <v>5</v>
      </c>
      <c r="BF1139" s="37">
        <v>4</v>
      </c>
      <c r="BG1139" s="37">
        <v>2</v>
      </c>
      <c r="BH1139" s="37">
        <v>2</v>
      </c>
      <c r="BI1139" s="37">
        <v>2</v>
      </c>
      <c r="BJ1139" s="37">
        <v>2</v>
      </c>
      <c r="BK1139" s="37">
        <v>2</v>
      </c>
      <c r="BL1139" s="37">
        <v>2</v>
      </c>
      <c r="BM1139" s="37">
        <v>4</v>
      </c>
      <c r="BN1139" s="37">
        <v>4</v>
      </c>
      <c r="BO1139" s="37">
        <v>5</v>
      </c>
      <c r="BP1139" s="37">
        <v>5</v>
      </c>
      <c r="BQ1139" s="37">
        <v>6</v>
      </c>
      <c r="BR1139" s="37">
        <v>6</v>
      </c>
      <c r="BS1139" s="37">
        <v>6</v>
      </c>
      <c r="BT1139" s="37">
        <v>6</v>
      </c>
    </row>
    <row r="1140" spans="5:72" x14ac:dyDescent="0.25">
      <c r="E1140" s="36"/>
      <c r="F1140" s="36">
        <f t="shared" si="358"/>
        <v>0</v>
      </c>
      <c r="G1140" s="36">
        <f t="shared" si="359"/>
        <v>0</v>
      </c>
      <c r="H1140" s="36">
        <f t="shared" si="360"/>
        <v>0</v>
      </c>
      <c r="I1140" s="36">
        <f t="shared" si="361"/>
        <v>0</v>
      </c>
      <c r="J1140" s="36">
        <f t="shared" si="362"/>
        <v>0</v>
      </c>
      <c r="K1140" s="36">
        <f t="shared" si="363"/>
        <v>0</v>
      </c>
      <c r="L1140" s="36">
        <f t="shared" si="364"/>
        <v>0</v>
      </c>
      <c r="M1140" s="36">
        <f t="shared" si="365"/>
        <v>0</v>
      </c>
      <c r="N1140" s="36">
        <f t="shared" si="366"/>
        <v>0</v>
      </c>
      <c r="O1140" s="36">
        <f t="shared" si="367"/>
        <v>0</v>
      </c>
      <c r="P1140" s="36">
        <f t="shared" si="368"/>
        <v>0</v>
      </c>
      <c r="Q1140" s="36">
        <f t="shared" si="369"/>
        <v>0</v>
      </c>
      <c r="R1140" s="36">
        <f t="shared" si="370"/>
        <v>0</v>
      </c>
      <c r="S1140" s="36">
        <f t="shared" si="371"/>
        <v>0</v>
      </c>
      <c r="T1140" s="36">
        <f t="shared" si="372"/>
        <v>0</v>
      </c>
      <c r="U1140" s="36">
        <f t="shared" si="373"/>
        <v>0</v>
      </c>
      <c r="V1140" s="36">
        <f t="shared" si="374"/>
        <v>0</v>
      </c>
      <c r="W1140" s="36">
        <f t="shared" si="375"/>
        <v>0</v>
      </c>
      <c r="X1140" s="36">
        <f t="shared" si="376"/>
        <v>0</v>
      </c>
      <c r="Y1140" s="36">
        <f t="shared" si="377"/>
        <v>0</v>
      </c>
      <c r="Z1140" s="36">
        <f t="shared" si="378"/>
        <v>0</v>
      </c>
      <c r="AB1140" s="36" t="str">
        <f>IF(最佳化斷筋點!C1140="","",最佳化斷筋點!C1140)</f>
        <v/>
      </c>
      <c r="AC1140" s="37" t="str">
        <f>IF(最佳化斷筋點!D1140="","",最佳化斷筋點!D1140)</f>
        <v/>
      </c>
      <c r="AD1140" s="37" t="str">
        <f>IF(最佳化斷筋點!E1140="","",最佳化斷筋點!E1140)</f>
        <v/>
      </c>
      <c r="AE1140" s="37" t="str">
        <f>IF(最佳化斷筋點!F1140="","",最佳化斷筋點!F1140)</f>
        <v/>
      </c>
      <c r="AF1140" s="37" t="str">
        <f>IF(最佳化斷筋點!G1140="","",最佳化斷筋點!G1140)</f>
        <v/>
      </c>
      <c r="AG1140" s="37" t="str">
        <f>IF(最佳化斷筋點!H1140="","",最佳化斷筋點!H1140)</f>
        <v/>
      </c>
      <c r="AH1140" s="37" t="str">
        <f>IF(最佳化斷筋點!I1140="","",最佳化斷筋點!I1140)</f>
        <v/>
      </c>
      <c r="AI1140" s="37" t="str">
        <f>IF(最佳化斷筋點!J1140="","",最佳化斷筋點!J1140)</f>
        <v/>
      </c>
      <c r="AJ1140" s="37" t="str">
        <f>IF(最佳化斷筋點!K1140="","",最佳化斷筋點!K1140)</f>
        <v/>
      </c>
      <c r="AK1140" s="37" t="str">
        <f>IF(最佳化斷筋點!L1140="","",最佳化斷筋點!L1140)</f>
        <v/>
      </c>
      <c r="AL1140" s="37" t="str">
        <f>IF(最佳化斷筋點!M1140="","",最佳化斷筋點!M1140)</f>
        <v/>
      </c>
      <c r="AM1140" s="37" t="str">
        <f>IF(最佳化斷筋點!N1140="","",最佳化斷筋點!N1140)</f>
        <v/>
      </c>
      <c r="AN1140" s="37" t="str">
        <f>IF(最佳化斷筋點!O1140="","",最佳化斷筋點!O1140)</f>
        <v/>
      </c>
      <c r="AO1140" s="37" t="str">
        <f>IF(最佳化斷筋點!P1140="","",最佳化斷筋點!P1140)</f>
        <v/>
      </c>
      <c r="AP1140" s="37" t="str">
        <f>IF(最佳化斷筋點!Q1140="","",最佳化斷筋點!Q1140)</f>
        <v/>
      </c>
      <c r="AQ1140" s="37" t="str">
        <f>IF(最佳化斷筋點!R1140="","",最佳化斷筋點!R1140)</f>
        <v/>
      </c>
      <c r="AR1140" s="37" t="str">
        <f>IF(最佳化斷筋點!S1140="","",最佳化斷筋點!S1140)</f>
        <v/>
      </c>
      <c r="AS1140" s="37" t="str">
        <f>IF(最佳化斷筋點!T1140="","",最佳化斷筋點!T1140)</f>
        <v/>
      </c>
      <c r="AT1140" s="37" t="str">
        <f>IF(最佳化斷筋點!U1140="","",最佳化斷筋點!U1140)</f>
        <v/>
      </c>
      <c r="AU1140" s="37" t="str">
        <f>IF(最佳化斷筋點!V1140="","",最佳化斷筋點!V1140)</f>
        <v/>
      </c>
      <c r="AV1140" s="37" t="str">
        <f>IF(最佳化斷筋點!W1140="","",最佳化斷筋點!W1140)</f>
        <v/>
      </c>
      <c r="AW1140" s="37" t="str">
        <f>IF(最佳化斷筋點!X1140="","",最佳化斷筋點!X1140)</f>
        <v/>
      </c>
      <c r="AZ1140" s="37" t="s">
        <v>197</v>
      </c>
      <c r="BA1140" s="37" t="s">
        <v>197</v>
      </c>
      <c r="BB1140" s="37" t="s">
        <v>197</v>
      </c>
      <c r="BC1140" s="37" t="s">
        <v>197</v>
      </c>
      <c r="BD1140" s="37" t="s">
        <v>197</v>
      </c>
      <c r="BE1140" s="37" t="s">
        <v>197</v>
      </c>
      <c r="BF1140" s="37" t="s">
        <v>197</v>
      </c>
      <c r="BG1140" s="37" t="s">
        <v>197</v>
      </c>
      <c r="BH1140" s="37" t="s">
        <v>197</v>
      </c>
      <c r="BI1140" s="37" t="s">
        <v>197</v>
      </c>
      <c r="BJ1140" s="37" t="s">
        <v>197</v>
      </c>
      <c r="BK1140" s="37" t="s">
        <v>197</v>
      </c>
      <c r="BL1140" s="37" t="s">
        <v>197</v>
      </c>
      <c r="BM1140" s="37" t="s">
        <v>197</v>
      </c>
      <c r="BN1140" s="37" t="s">
        <v>197</v>
      </c>
      <c r="BO1140" s="37" t="s">
        <v>197</v>
      </c>
      <c r="BP1140" s="37" t="s">
        <v>197</v>
      </c>
      <c r="BQ1140" s="37" t="s">
        <v>197</v>
      </c>
      <c r="BR1140" s="37" t="s">
        <v>197</v>
      </c>
      <c r="BS1140" s="37" t="s">
        <v>197</v>
      </c>
      <c r="BT1140" s="37" t="s">
        <v>197</v>
      </c>
    </row>
    <row r="1141" spans="5:72" x14ac:dyDescent="0.25">
      <c r="E1141" s="36" t="s">
        <v>21</v>
      </c>
      <c r="F1141" s="36">
        <f t="shared" si="358"/>
        <v>0</v>
      </c>
      <c r="G1141" s="36">
        <f t="shared" si="359"/>
        <v>0</v>
      </c>
      <c r="H1141" s="36">
        <f t="shared" si="360"/>
        <v>0</v>
      </c>
      <c r="I1141" s="36">
        <f t="shared" si="361"/>
        <v>0</v>
      </c>
      <c r="J1141" s="36">
        <f t="shared" si="362"/>
        <v>0</v>
      </c>
      <c r="K1141" s="36">
        <f t="shared" si="363"/>
        <v>0</v>
      </c>
      <c r="L1141" s="36">
        <f t="shared" si="364"/>
        <v>0</v>
      </c>
      <c r="M1141" s="36">
        <f t="shared" si="365"/>
        <v>0</v>
      </c>
      <c r="N1141" s="36">
        <f t="shared" si="366"/>
        <v>0</v>
      </c>
      <c r="O1141" s="36">
        <f t="shared" si="367"/>
        <v>0</v>
      </c>
      <c r="P1141" s="36">
        <f t="shared" si="368"/>
        <v>0</v>
      </c>
      <c r="Q1141" s="36">
        <f t="shared" si="369"/>
        <v>0</v>
      </c>
      <c r="R1141" s="36">
        <f t="shared" si="370"/>
        <v>0</v>
      </c>
      <c r="S1141" s="36">
        <f t="shared" si="371"/>
        <v>0</v>
      </c>
      <c r="T1141" s="36">
        <f t="shared" si="372"/>
        <v>0</v>
      </c>
      <c r="U1141" s="36">
        <f t="shared" si="373"/>
        <v>0</v>
      </c>
      <c r="V1141" s="36">
        <f t="shared" si="374"/>
        <v>0</v>
      </c>
      <c r="W1141" s="36">
        <f t="shared" si="375"/>
        <v>0</v>
      </c>
      <c r="X1141" s="36">
        <f t="shared" si="376"/>
        <v>0</v>
      </c>
      <c r="Y1141" s="36">
        <f t="shared" si="377"/>
        <v>0</v>
      </c>
      <c r="Z1141" s="36">
        <f t="shared" si="378"/>
        <v>0</v>
      </c>
      <c r="AB1141" s="36" t="str">
        <f>IF(最佳化斷筋點!C1141="","",最佳化斷筋點!C1141)</f>
        <v>下層</v>
      </c>
      <c r="AC1141" s="37">
        <f>IF(最佳化斷筋點!D1141="","",最佳化斷筋點!D1141)</f>
        <v>6</v>
      </c>
      <c r="AD1141" s="37">
        <f>IF(最佳化斷筋點!E1141="","",最佳化斷筋點!E1141)</f>
        <v>6</v>
      </c>
      <c r="AE1141" s="37">
        <f>IF(最佳化斷筋點!F1141="","",最佳化斷筋點!F1141)</f>
        <v>6</v>
      </c>
      <c r="AF1141" s="37">
        <f>IF(最佳化斷筋點!G1141="","",最佳化斷筋點!G1141)</f>
        <v>6</v>
      </c>
      <c r="AG1141" s="37">
        <f>IF(最佳化斷筋點!H1141="","",最佳化斷筋點!H1141)</f>
        <v>5</v>
      </c>
      <c r="AH1141" s="37">
        <f>IF(最佳化斷筋點!I1141="","",最佳化斷筋點!I1141)</f>
        <v>5</v>
      </c>
      <c r="AI1141" s="37">
        <f>IF(最佳化斷筋點!J1141="","",最佳化斷筋點!J1141)</f>
        <v>4</v>
      </c>
      <c r="AJ1141" s="37">
        <f>IF(最佳化斷筋點!K1141="","",最佳化斷筋點!K1141)</f>
        <v>4</v>
      </c>
      <c r="AK1141" s="37">
        <f>IF(最佳化斷筋點!L1141="","",最佳化斷筋點!L1141)</f>
        <v>4</v>
      </c>
      <c r="AL1141" s="37">
        <f>IF(最佳化斷筋點!M1141="","",最佳化斷筋點!M1141)</f>
        <v>4</v>
      </c>
      <c r="AM1141" s="37">
        <f>IF(最佳化斷筋點!N1141="","",最佳化斷筋點!N1141)</f>
        <v>4</v>
      </c>
      <c r="AN1141" s="37">
        <f>IF(最佳化斷筋點!O1141="","",最佳化斷筋點!O1141)</f>
        <v>4</v>
      </c>
      <c r="AO1141" s="37">
        <f>IF(最佳化斷筋點!P1141="","",最佳化斷筋點!P1141)</f>
        <v>4</v>
      </c>
      <c r="AP1141" s="37">
        <f>IF(最佳化斷筋點!Q1141="","",最佳化斷筋點!Q1141)</f>
        <v>4</v>
      </c>
      <c r="AQ1141" s="37">
        <f>IF(最佳化斷筋點!R1141="","",最佳化斷筋點!R1141)</f>
        <v>4</v>
      </c>
      <c r="AR1141" s="37">
        <f>IF(最佳化斷筋點!S1141="","",最佳化斷筋點!S1141)</f>
        <v>4</v>
      </c>
      <c r="AS1141" s="37">
        <f>IF(最佳化斷筋點!T1141="","",最佳化斷筋點!T1141)</f>
        <v>4</v>
      </c>
      <c r="AT1141" s="37">
        <f>IF(最佳化斷筋點!U1141="","",最佳化斷筋點!U1141)</f>
        <v>5</v>
      </c>
      <c r="AU1141" s="37">
        <f>IF(最佳化斷筋點!V1141="","",最佳化斷筋點!V1141)</f>
        <v>5</v>
      </c>
      <c r="AV1141" s="37">
        <f>IF(最佳化斷筋點!W1141="","",最佳化斷筋點!W1141)</f>
        <v>5</v>
      </c>
      <c r="AW1141" s="37">
        <f>IF(最佳化斷筋點!X1141="","",最佳化斷筋點!X1141)</f>
        <v>5</v>
      </c>
      <c r="AZ1141" s="37">
        <v>6</v>
      </c>
      <c r="BA1141" s="37">
        <v>6</v>
      </c>
      <c r="BB1141" s="37">
        <v>6</v>
      </c>
      <c r="BC1141" s="37">
        <v>6</v>
      </c>
      <c r="BD1141" s="37">
        <v>5</v>
      </c>
      <c r="BE1141" s="37">
        <v>5</v>
      </c>
      <c r="BF1141" s="37">
        <v>4</v>
      </c>
      <c r="BG1141" s="37">
        <v>4</v>
      </c>
      <c r="BH1141" s="37">
        <v>4</v>
      </c>
      <c r="BI1141" s="37">
        <v>4</v>
      </c>
      <c r="BJ1141" s="37">
        <v>4</v>
      </c>
      <c r="BK1141" s="37">
        <v>4</v>
      </c>
      <c r="BL1141" s="37">
        <v>4</v>
      </c>
      <c r="BM1141" s="37">
        <v>4</v>
      </c>
      <c r="BN1141" s="37">
        <v>4</v>
      </c>
      <c r="BO1141" s="37">
        <v>4</v>
      </c>
      <c r="BP1141" s="37">
        <v>4</v>
      </c>
      <c r="BQ1141" s="37">
        <v>5</v>
      </c>
      <c r="BR1141" s="37">
        <v>5</v>
      </c>
      <c r="BS1141" s="37">
        <v>5</v>
      </c>
      <c r="BT1141" s="37">
        <v>5</v>
      </c>
    </row>
    <row r="1142" spans="5:72" x14ac:dyDescent="0.25">
      <c r="E1142" s="36"/>
      <c r="F1142" s="36">
        <f t="shared" si="358"/>
        <v>0</v>
      </c>
      <c r="G1142" s="36">
        <f t="shared" si="359"/>
        <v>0</v>
      </c>
      <c r="H1142" s="36">
        <f t="shared" si="360"/>
        <v>0</v>
      </c>
      <c r="I1142" s="36">
        <f t="shared" si="361"/>
        <v>0</v>
      </c>
      <c r="J1142" s="36">
        <f t="shared" si="362"/>
        <v>0</v>
      </c>
      <c r="K1142" s="36">
        <f t="shared" si="363"/>
        <v>0</v>
      </c>
      <c r="L1142" s="36">
        <f t="shared" si="364"/>
        <v>0</v>
      </c>
      <c r="M1142" s="36">
        <f t="shared" si="365"/>
        <v>0</v>
      </c>
      <c r="N1142" s="36">
        <f t="shared" si="366"/>
        <v>0</v>
      </c>
      <c r="O1142" s="36">
        <f t="shared" si="367"/>
        <v>0</v>
      </c>
      <c r="P1142" s="36">
        <f t="shared" si="368"/>
        <v>0</v>
      </c>
      <c r="Q1142" s="36">
        <f t="shared" si="369"/>
        <v>0</v>
      </c>
      <c r="R1142" s="36">
        <f t="shared" si="370"/>
        <v>0</v>
      </c>
      <c r="S1142" s="36">
        <f t="shared" si="371"/>
        <v>0</v>
      </c>
      <c r="T1142" s="36">
        <f t="shared" si="372"/>
        <v>0</v>
      </c>
      <c r="U1142" s="36">
        <f t="shared" si="373"/>
        <v>0</v>
      </c>
      <c r="V1142" s="36">
        <f t="shared" si="374"/>
        <v>0</v>
      </c>
      <c r="W1142" s="36">
        <f t="shared" si="375"/>
        <v>0</v>
      </c>
      <c r="X1142" s="36">
        <f t="shared" si="376"/>
        <v>0</v>
      </c>
      <c r="Y1142" s="36">
        <f t="shared" si="377"/>
        <v>0</v>
      </c>
      <c r="Z1142" s="36">
        <f t="shared" si="378"/>
        <v>0</v>
      </c>
      <c r="AB1142" s="36" t="str">
        <f>IF(最佳化斷筋點!C1142="","",最佳化斷筋點!C1142)</f>
        <v/>
      </c>
      <c r="AC1142" s="37" t="str">
        <f>IF(最佳化斷筋點!D1142="","",最佳化斷筋點!D1142)</f>
        <v/>
      </c>
      <c r="AD1142" s="37" t="str">
        <f>IF(最佳化斷筋點!E1142="","",最佳化斷筋點!E1142)</f>
        <v/>
      </c>
      <c r="AE1142" s="37" t="str">
        <f>IF(最佳化斷筋點!F1142="","",最佳化斷筋點!F1142)</f>
        <v/>
      </c>
      <c r="AF1142" s="37" t="str">
        <f>IF(最佳化斷筋點!G1142="","",最佳化斷筋點!G1142)</f>
        <v/>
      </c>
      <c r="AG1142" s="37" t="str">
        <f>IF(最佳化斷筋點!H1142="","",最佳化斷筋點!H1142)</f>
        <v/>
      </c>
      <c r="AH1142" s="37" t="str">
        <f>IF(最佳化斷筋點!I1142="","",最佳化斷筋點!I1142)</f>
        <v/>
      </c>
      <c r="AI1142" s="37" t="str">
        <f>IF(最佳化斷筋點!J1142="","",最佳化斷筋點!J1142)</f>
        <v/>
      </c>
      <c r="AJ1142" s="37" t="str">
        <f>IF(最佳化斷筋點!K1142="","",最佳化斷筋點!K1142)</f>
        <v/>
      </c>
      <c r="AK1142" s="37" t="str">
        <f>IF(最佳化斷筋點!L1142="","",最佳化斷筋點!L1142)</f>
        <v/>
      </c>
      <c r="AL1142" s="37" t="str">
        <f>IF(最佳化斷筋點!M1142="","",最佳化斷筋點!M1142)</f>
        <v/>
      </c>
      <c r="AM1142" s="37" t="str">
        <f>IF(最佳化斷筋點!N1142="","",最佳化斷筋點!N1142)</f>
        <v/>
      </c>
      <c r="AN1142" s="37" t="str">
        <f>IF(最佳化斷筋點!O1142="","",最佳化斷筋點!O1142)</f>
        <v/>
      </c>
      <c r="AO1142" s="37" t="str">
        <f>IF(最佳化斷筋點!P1142="","",最佳化斷筋點!P1142)</f>
        <v/>
      </c>
      <c r="AP1142" s="37" t="str">
        <f>IF(最佳化斷筋點!Q1142="","",最佳化斷筋點!Q1142)</f>
        <v/>
      </c>
      <c r="AQ1142" s="37" t="str">
        <f>IF(最佳化斷筋點!R1142="","",最佳化斷筋點!R1142)</f>
        <v/>
      </c>
      <c r="AR1142" s="37" t="str">
        <f>IF(最佳化斷筋點!S1142="","",最佳化斷筋點!S1142)</f>
        <v/>
      </c>
      <c r="AS1142" s="37" t="str">
        <f>IF(最佳化斷筋點!T1142="","",最佳化斷筋點!T1142)</f>
        <v/>
      </c>
      <c r="AT1142" s="37" t="str">
        <f>IF(最佳化斷筋點!U1142="","",最佳化斷筋點!U1142)</f>
        <v/>
      </c>
      <c r="AU1142" s="37" t="str">
        <f>IF(最佳化斷筋點!V1142="","",最佳化斷筋點!V1142)</f>
        <v/>
      </c>
      <c r="AV1142" s="37" t="str">
        <f>IF(最佳化斷筋點!W1142="","",最佳化斷筋點!W1142)</f>
        <v/>
      </c>
      <c r="AW1142" s="37" t="str">
        <f>IF(最佳化斷筋點!X1142="","",最佳化斷筋點!X1142)</f>
        <v/>
      </c>
      <c r="AZ1142" s="37" t="s">
        <v>197</v>
      </c>
      <c r="BA1142" s="37" t="s">
        <v>197</v>
      </c>
      <c r="BB1142" s="37" t="s">
        <v>197</v>
      </c>
      <c r="BC1142" s="37" t="s">
        <v>197</v>
      </c>
      <c r="BD1142" s="37" t="s">
        <v>197</v>
      </c>
      <c r="BE1142" s="37" t="s">
        <v>197</v>
      </c>
      <c r="BF1142" s="37" t="s">
        <v>197</v>
      </c>
      <c r="BG1142" s="37" t="s">
        <v>197</v>
      </c>
      <c r="BH1142" s="37" t="s">
        <v>197</v>
      </c>
      <c r="BI1142" s="37" t="s">
        <v>197</v>
      </c>
      <c r="BJ1142" s="37" t="s">
        <v>197</v>
      </c>
      <c r="BK1142" s="37" t="s">
        <v>197</v>
      </c>
      <c r="BL1142" s="37" t="s">
        <v>197</v>
      </c>
      <c r="BM1142" s="37" t="s">
        <v>197</v>
      </c>
      <c r="BN1142" s="37" t="s">
        <v>197</v>
      </c>
      <c r="BO1142" s="37" t="s">
        <v>197</v>
      </c>
      <c r="BP1142" s="37" t="s">
        <v>197</v>
      </c>
      <c r="BQ1142" s="37" t="s">
        <v>197</v>
      </c>
      <c r="BR1142" s="37" t="s">
        <v>197</v>
      </c>
      <c r="BS1142" s="37" t="s">
        <v>197</v>
      </c>
      <c r="BT1142" s="37" t="s">
        <v>197</v>
      </c>
    </row>
    <row r="1143" spans="5:72" x14ac:dyDescent="0.25">
      <c r="E1143" s="36" t="s">
        <v>20</v>
      </c>
      <c r="F1143" s="36">
        <f t="shared" ref="F1143:F1206" si="379">IF(AC1143=AZ1143,0,1)</f>
        <v>0</v>
      </c>
      <c r="G1143" s="36">
        <f t="shared" ref="G1143:G1206" si="380">IF(AD1143=BA1143,0,1)</f>
        <v>0</v>
      </c>
      <c r="H1143" s="36">
        <f t="shared" ref="H1143:H1206" si="381">IF(AE1143=BB1143,0,1)</f>
        <v>0</v>
      </c>
      <c r="I1143" s="36">
        <f t="shared" ref="I1143:I1206" si="382">IF(AF1143=BC1143,0,1)</f>
        <v>0</v>
      </c>
      <c r="J1143" s="36">
        <f t="shared" ref="J1143:J1206" si="383">IF(AG1143=BD1143,0,1)</f>
        <v>0</v>
      </c>
      <c r="K1143" s="36">
        <f t="shared" ref="K1143:K1206" si="384">IF(AH1143=BE1143,0,1)</f>
        <v>0</v>
      </c>
      <c r="L1143" s="36">
        <f t="shared" ref="L1143:L1206" si="385">IF(AI1143=BF1143,0,1)</f>
        <v>0</v>
      </c>
      <c r="M1143" s="36">
        <f t="shared" ref="M1143:M1206" si="386">IF(AJ1143=BG1143,0,1)</f>
        <v>0</v>
      </c>
      <c r="N1143" s="36">
        <f t="shared" ref="N1143:N1206" si="387">IF(AK1143=BH1143,0,1)</f>
        <v>0</v>
      </c>
      <c r="O1143" s="36">
        <f t="shared" ref="O1143:O1206" si="388">IF(AL1143=BI1143,0,1)</f>
        <v>0</v>
      </c>
      <c r="P1143" s="36">
        <f t="shared" ref="P1143:P1206" si="389">IF(AM1143=BJ1143,0,1)</f>
        <v>0</v>
      </c>
      <c r="Q1143" s="36">
        <f t="shared" ref="Q1143:Q1206" si="390">IF(AN1143=BK1143,0,1)</f>
        <v>0</v>
      </c>
      <c r="R1143" s="36">
        <f t="shared" ref="R1143:R1206" si="391">IF(AO1143=BL1143,0,1)</f>
        <v>0</v>
      </c>
      <c r="S1143" s="36">
        <f t="shared" ref="S1143:S1206" si="392">IF(AP1143=BM1143,0,1)</f>
        <v>0</v>
      </c>
      <c r="T1143" s="36">
        <f t="shared" ref="T1143:T1206" si="393">IF(AQ1143=BN1143,0,1)</f>
        <v>0</v>
      </c>
      <c r="U1143" s="36">
        <f t="shared" ref="U1143:U1206" si="394">IF(AR1143=BO1143,0,1)</f>
        <v>0</v>
      </c>
      <c r="V1143" s="36">
        <f t="shared" ref="V1143:V1206" si="395">IF(AS1143=BP1143,0,1)</f>
        <v>0</v>
      </c>
      <c r="W1143" s="36">
        <f t="shared" ref="W1143:W1206" si="396">IF(AT1143=BQ1143,0,1)</f>
        <v>0</v>
      </c>
      <c r="X1143" s="36">
        <f t="shared" ref="X1143:X1206" si="397">IF(AU1143=BR1143,0,1)</f>
        <v>0</v>
      </c>
      <c r="Y1143" s="36">
        <f t="shared" ref="Y1143:Y1206" si="398">IF(AV1143=BS1143,0,1)</f>
        <v>0</v>
      </c>
      <c r="Z1143" s="36">
        <f t="shared" ref="Z1143:Z1206" si="399">IF(AW1143=BT1143,0,1)</f>
        <v>0</v>
      </c>
      <c r="AB1143" s="36" t="str">
        <f>IF(最佳化斷筋點!C1143="","",最佳化斷筋點!C1143)</f>
        <v>上層</v>
      </c>
      <c r="AC1143" s="37">
        <f>IF(最佳化斷筋點!D1143="","",最佳化斷筋點!D1143)</f>
        <v>6</v>
      </c>
      <c r="AD1143" s="37">
        <f>IF(最佳化斷筋點!E1143="","",最佳化斷筋點!E1143)</f>
        <v>6</v>
      </c>
      <c r="AE1143" s="37">
        <f>IF(最佳化斷筋點!F1143="","",最佳化斷筋點!F1143)</f>
        <v>6</v>
      </c>
      <c r="AF1143" s="37">
        <f>IF(最佳化斷筋點!G1143="","",最佳化斷筋點!G1143)</f>
        <v>6</v>
      </c>
      <c r="AG1143" s="37">
        <f>IF(最佳化斷筋點!H1143="","",最佳化斷筋點!H1143)</f>
        <v>6</v>
      </c>
      <c r="AH1143" s="37">
        <f>IF(最佳化斷筋點!I1143="","",最佳化斷筋點!I1143)</f>
        <v>5</v>
      </c>
      <c r="AI1143" s="37">
        <f>IF(最佳化斷筋點!J1143="","",最佳化斷筋點!J1143)</f>
        <v>5</v>
      </c>
      <c r="AJ1143" s="37">
        <f>IF(最佳化斷筋點!K1143="","",最佳化斷筋點!K1143)</f>
        <v>2</v>
      </c>
      <c r="AK1143" s="37">
        <f>IF(最佳化斷筋點!L1143="","",最佳化斷筋點!L1143)</f>
        <v>2</v>
      </c>
      <c r="AL1143" s="37">
        <f>IF(最佳化斷筋點!M1143="","",最佳化斷筋點!M1143)</f>
        <v>2</v>
      </c>
      <c r="AM1143" s="37">
        <f>IF(最佳化斷筋點!N1143="","",最佳化斷筋點!N1143)</f>
        <v>2</v>
      </c>
      <c r="AN1143" s="37">
        <f>IF(最佳化斷筋點!O1143="","",最佳化斷筋點!O1143)</f>
        <v>2</v>
      </c>
      <c r="AO1143" s="37">
        <f>IF(最佳化斷筋點!P1143="","",最佳化斷筋點!P1143)</f>
        <v>2</v>
      </c>
      <c r="AP1143" s="37">
        <f>IF(最佳化斷筋點!Q1143="","",最佳化斷筋點!Q1143)</f>
        <v>4</v>
      </c>
      <c r="AQ1143" s="37">
        <f>IF(最佳化斷筋點!R1143="","",最佳化斷筋點!R1143)</f>
        <v>4</v>
      </c>
      <c r="AR1143" s="37">
        <f>IF(最佳化斷筋點!S1143="","",最佳化斷筋點!S1143)</f>
        <v>5</v>
      </c>
      <c r="AS1143" s="37">
        <f>IF(最佳化斷筋點!T1143="","",最佳化斷筋點!T1143)</f>
        <v>5</v>
      </c>
      <c r="AT1143" s="37">
        <f>IF(最佳化斷筋點!U1143="","",最佳化斷筋點!U1143)</f>
        <v>6</v>
      </c>
      <c r="AU1143" s="37">
        <f>IF(最佳化斷筋點!V1143="","",最佳化斷筋點!V1143)</f>
        <v>6</v>
      </c>
      <c r="AV1143" s="37">
        <f>IF(最佳化斷筋點!W1143="","",最佳化斷筋點!W1143)</f>
        <v>6</v>
      </c>
      <c r="AW1143" s="37">
        <f>IF(最佳化斷筋點!X1143="","",最佳化斷筋點!X1143)</f>
        <v>6</v>
      </c>
      <c r="AZ1143" s="37">
        <v>6</v>
      </c>
      <c r="BA1143" s="37">
        <v>6</v>
      </c>
      <c r="BB1143" s="37">
        <v>6</v>
      </c>
      <c r="BC1143" s="37">
        <v>6</v>
      </c>
      <c r="BD1143" s="37">
        <v>6</v>
      </c>
      <c r="BE1143" s="37">
        <v>5</v>
      </c>
      <c r="BF1143" s="37">
        <v>5</v>
      </c>
      <c r="BG1143" s="37">
        <v>2</v>
      </c>
      <c r="BH1143" s="37">
        <v>2</v>
      </c>
      <c r="BI1143" s="37">
        <v>2</v>
      </c>
      <c r="BJ1143" s="37">
        <v>2</v>
      </c>
      <c r="BK1143" s="37">
        <v>2</v>
      </c>
      <c r="BL1143" s="37">
        <v>2</v>
      </c>
      <c r="BM1143" s="37">
        <v>4</v>
      </c>
      <c r="BN1143" s="37">
        <v>4</v>
      </c>
      <c r="BO1143" s="37">
        <v>5</v>
      </c>
      <c r="BP1143" s="37">
        <v>5</v>
      </c>
      <c r="BQ1143" s="37">
        <v>6</v>
      </c>
      <c r="BR1143" s="37">
        <v>6</v>
      </c>
      <c r="BS1143" s="37">
        <v>6</v>
      </c>
      <c r="BT1143" s="37">
        <v>6</v>
      </c>
    </row>
    <row r="1144" spans="5:72" x14ac:dyDescent="0.25">
      <c r="E1144" s="36"/>
      <c r="F1144" s="36">
        <f t="shared" si="379"/>
        <v>0</v>
      </c>
      <c r="G1144" s="36">
        <f t="shared" si="380"/>
        <v>0</v>
      </c>
      <c r="H1144" s="36">
        <f t="shared" si="381"/>
        <v>0</v>
      </c>
      <c r="I1144" s="36">
        <f t="shared" si="382"/>
        <v>0</v>
      </c>
      <c r="J1144" s="36">
        <f t="shared" si="383"/>
        <v>0</v>
      </c>
      <c r="K1144" s="36">
        <f t="shared" si="384"/>
        <v>0</v>
      </c>
      <c r="L1144" s="36">
        <f t="shared" si="385"/>
        <v>0</v>
      </c>
      <c r="M1144" s="36">
        <f t="shared" si="386"/>
        <v>0</v>
      </c>
      <c r="N1144" s="36">
        <f t="shared" si="387"/>
        <v>0</v>
      </c>
      <c r="O1144" s="36">
        <f t="shared" si="388"/>
        <v>0</v>
      </c>
      <c r="P1144" s="36">
        <f t="shared" si="389"/>
        <v>0</v>
      </c>
      <c r="Q1144" s="36">
        <f t="shared" si="390"/>
        <v>0</v>
      </c>
      <c r="R1144" s="36">
        <f t="shared" si="391"/>
        <v>0</v>
      </c>
      <c r="S1144" s="36">
        <f t="shared" si="392"/>
        <v>0</v>
      </c>
      <c r="T1144" s="36">
        <f t="shared" si="393"/>
        <v>0</v>
      </c>
      <c r="U1144" s="36">
        <f t="shared" si="394"/>
        <v>0</v>
      </c>
      <c r="V1144" s="36">
        <f t="shared" si="395"/>
        <v>0</v>
      </c>
      <c r="W1144" s="36">
        <f t="shared" si="396"/>
        <v>0</v>
      </c>
      <c r="X1144" s="36">
        <f t="shared" si="397"/>
        <v>0</v>
      </c>
      <c r="Y1144" s="36">
        <f t="shared" si="398"/>
        <v>0</v>
      </c>
      <c r="Z1144" s="36">
        <f t="shared" si="399"/>
        <v>0</v>
      </c>
      <c r="AB1144" s="36" t="str">
        <f>IF(最佳化斷筋點!C1144="","",最佳化斷筋點!C1144)</f>
        <v/>
      </c>
      <c r="AC1144" s="37" t="str">
        <f>IF(最佳化斷筋點!D1144="","",最佳化斷筋點!D1144)</f>
        <v/>
      </c>
      <c r="AD1144" s="37" t="str">
        <f>IF(最佳化斷筋點!E1144="","",最佳化斷筋點!E1144)</f>
        <v/>
      </c>
      <c r="AE1144" s="37" t="str">
        <f>IF(最佳化斷筋點!F1144="","",最佳化斷筋點!F1144)</f>
        <v/>
      </c>
      <c r="AF1144" s="37" t="str">
        <f>IF(最佳化斷筋點!G1144="","",最佳化斷筋點!G1144)</f>
        <v/>
      </c>
      <c r="AG1144" s="37" t="str">
        <f>IF(最佳化斷筋點!H1144="","",最佳化斷筋點!H1144)</f>
        <v/>
      </c>
      <c r="AH1144" s="37" t="str">
        <f>IF(最佳化斷筋點!I1144="","",最佳化斷筋點!I1144)</f>
        <v/>
      </c>
      <c r="AI1144" s="37" t="str">
        <f>IF(最佳化斷筋點!J1144="","",最佳化斷筋點!J1144)</f>
        <v/>
      </c>
      <c r="AJ1144" s="37" t="str">
        <f>IF(最佳化斷筋點!K1144="","",最佳化斷筋點!K1144)</f>
        <v/>
      </c>
      <c r="AK1144" s="37" t="str">
        <f>IF(最佳化斷筋點!L1144="","",最佳化斷筋點!L1144)</f>
        <v/>
      </c>
      <c r="AL1144" s="37" t="str">
        <f>IF(最佳化斷筋點!M1144="","",最佳化斷筋點!M1144)</f>
        <v/>
      </c>
      <c r="AM1144" s="37" t="str">
        <f>IF(最佳化斷筋點!N1144="","",最佳化斷筋點!N1144)</f>
        <v/>
      </c>
      <c r="AN1144" s="37" t="str">
        <f>IF(最佳化斷筋點!O1144="","",最佳化斷筋點!O1144)</f>
        <v/>
      </c>
      <c r="AO1144" s="37" t="str">
        <f>IF(最佳化斷筋點!P1144="","",最佳化斷筋點!P1144)</f>
        <v/>
      </c>
      <c r="AP1144" s="37" t="str">
        <f>IF(最佳化斷筋點!Q1144="","",最佳化斷筋點!Q1144)</f>
        <v/>
      </c>
      <c r="AQ1144" s="37" t="str">
        <f>IF(最佳化斷筋點!R1144="","",最佳化斷筋點!R1144)</f>
        <v/>
      </c>
      <c r="AR1144" s="37" t="str">
        <f>IF(最佳化斷筋點!S1144="","",最佳化斷筋點!S1144)</f>
        <v/>
      </c>
      <c r="AS1144" s="37" t="str">
        <f>IF(最佳化斷筋點!T1144="","",最佳化斷筋點!T1144)</f>
        <v/>
      </c>
      <c r="AT1144" s="37" t="str">
        <f>IF(最佳化斷筋點!U1144="","",最佳化斷筋點!U1144)</f>
        <v/>
      </c>
      <c r="AU1144" s="37" t="str">
        <f>IF(最佳化斷筋點!V1144="","",最佳化斷筋點!V1144)</f>
        <v/>
      </c>
      <c r="AV1144" s="37" t="str">
        <f>IF(最佳化斷筋點!W1144="","",最佳化斷筋點!W1144)</f>
        <v/>
      </c>
      <c r="AW1144" s="37" t="str">
        <f>IF(最佳化斷筋點!X1144="","",最佳化斷筋點!X1144)</f>
        <v/>
      </c>
      <c r="AZ1144" s="37" t="s">
        <v>197</v>
      </c>
      <c r="BA1144" s="37" t="s">
        <v>197</v>
      </c>
      <c r="BB1144" s="37" t="s">
        <v>197</v>
      </c>
      <c r="BC1144" s="37" t="s">
        <v>197</v>
      </c>
      <c r="BD1144" s="37" t="s">
        <v>197</v>
      </c>
      <c r="BE1144" s="37" t="s">
        <v>197</v>
      </c>
      <c r="BF1144" s="37" t="s">
        <v>197</v>
      </c>
      <c r="BG1144" s="37" t="s">
        <v>197</v>
      </c>
      <c r="BH1144" s="37" t="s">
        <v>197</v>
      </c>
      <c r="BI1144" s="37" t="s">
        <v>197</v>
      </c>
      <c r="BJ1144" s="37" t="s">
        <v>197</v>
      </c>
      <c r="BK1144" s="37" t="s">
        <v>197</v>
      </c>
      <c r="BL1144" s="37" t="s">
        <v>197</v>
      </c>
      <c r="BM1144" s="37" t="s">
        <v>197</v>
      </c>
      <c r="BN1144" s="37" t="s">
        <v>197</v>
      </c>
      <c r="BO1144" s="37" t="s">
        <v>197</v>
      </c>
      <c r="BP1144" s="37" t="s">
        <v>197</v>
      </c>
      <c r="BQ1144" s="37" t="s">
        <v>197</v>
      </c>
      <c r="BR1144" s="37" t="s">
        <v>197</v>
      </c>
      <c r="BS1144" s="37" t="s">
        <v>197</v>
      </c>
      <c r="BT1144" s="37" t="s">
        <v>197</v>
      </c>
    </row>
    <row r="1145" spans="5:72" x14ac:dyDescent="0.25">
      <c r="E1145" s="36" t="s">
        <v>21</v>
      </c>
      <c r="F1145" s="36">
        <f t="shared" si="379"/>
        <v>0</v>
      </c>
      <c r="G1145" s="36">
        <f t="shared" si="380"/>
        <v>0</v>
      </c>
      <c r="H1145" s="36">
        <f t="shared" si="381"/>
        <v>0</v>
      </c>
      <c r="I1145" s="36">
        <f t="shared" si="382"/>
        <v>0</v>
      </c>
      <c r="J1145" s="36">
        <f t="shared" si="383"/>
        <v>0</v>
      </c>
      <c r="K1145" s="36">
        <f t="shared" si="384"/>
        <v>0</v>
      </c>
      <c r="L1145" s="36">
        <f t="shared" si="385"/>
        <v>0</v>
      </c>
      <c r="M1145" s="36">
        <f t="shared" si="386"/>
        <v>0</v>
      </c>
      <c r="N1145" s="36">
        <f t="shared" si="387"/>
        <v>0</v>
      </c>
      <c r="O1145" s="36">
        <f t="shared" si="388"/>
        <v>0</v>
      </c>
      <c r="P1145" s="36">
        <f t="shared" si="389"/>
        <v>0</v>
      </c>
      <c r="Q1145" s="36">
        <f t="shared" si="390"/>
        <v>0</v>
      </c>
      <c r="R1145" s="36">
        <f t="shared" si="391"/>
        <v>0</v>
      </c>
      <c r="S1145" s="36">
        <f t="shared" si="392"/>
        <v>0</v>
      </c>
      <c r="T1145" s="36">
        <f t="shared" si="393"/>
        <v>0</v>
      </c>
      <c r="U1145" s="36">
        <f t="shared" si="394"/>
        <v>0</v>
      </c>
      <c r="V1145" s="36">
        <f t="shared" si="395"/>
        <v>0</v>
      </c>
      <c r="W1145" s="36">
        <f t="shared" si="396"/>
        <v>0</v>
      </c>
      <c r="X1145" s="36">
        <f t="shared" si="397"/>
        <v>0</v>
      </c>
      <c r="Y1145" s="36">
        <f t="shared" si="398"/>
        <v>0</v>
      </c>
      <c r="Z1145" s="36">
        <f t="shared" si="399"/>
        <v>0</v>
      </c>
      <c r="AB1145" s="36" t="str">
        <f>IF(最佳化斷筋點!C1145="","",最佳化斷筋點!C1145)</f>
        <v>下層</v>
      </c>
      <c r="AC1145" s="37">
        <f>IF(最佳化斷筋點!D1145="","",最佳化斷筋點!D1145)</f>
        <v>6</v>
      </c>
      <c r="AD1145" s="37">
        <f>IF(最佳化斷筋點!E1145="","",最佳化斷筋點!E1145)</f>
        <v>6</v>
      </c>
      <c r="AE1145" s="37">
        <f>IF(最佳化斷筋點!F1145="","",最佳化斷筋點!F1145)</f>
        <v>6</v>
      </c>
      <c r="AF1145" s="37">
        <f>IF(最佳化斷筋點!G1145="","",最佳化斷筋點!G1145)</f>
        <v>6</v>
      </c>
      <c r="AG1145" s="37">
        <f>IF(最佳化斷筋點!H1145="","",最佳化斷筋點!H1145)</f>
        <v>5</v>
      </c>
      <c r="AH1145" s="37">
        <f>IF(最佳化斷筋點!I1145="","",最佳化斷筋點!I1145)</f>
        <v>5</v>
      </c>
      <c r="AI1145" s="37">
        <f>IF(最佳化斷筋點!J1145="","",最佳化斷筋點!J1145)</f>
        <v>4</v>
      </c>
      <c r="AJ1145" s="37">
        <f>IF(最佳化斷筋點!K1145="","",最佳化斷筋點!K1145)</f>
        <v>4</v>
      </c>
      <c r="AK1145" s="37">
        <f>IF(最佳化斷筋點!L1145="","",最佳化斷筋點!L1145)</f>
        <v>4</v>
      </c>
      <c r="AL1145" s="37">
        <f>IF(最佳化斷筋點!M1145="","",最佳化斷筋點!M1145)</f>
        <v>4</v>
      </c>
      <c r="AM1145" s="37">
        <f>IF(最佳化斷筋點!N1145="","",最佳化斷筋點!N1145)</f>
        <v>4</v>
      </c>
      <c r="AN1145" s="37">
        <f>IF(最佳化斷筋點!O1145="","",最佳化斷筋點!O1145)</f>
        <v>4</v>
      </c>
      <c r="AO1145" s="37">
        <f>IF(最佳化斷筋點!P1145="","",最佳化斷筋點!P1145)</f>
        <v>4</v>
      </c>
      <c r="AP1145" s="37">
        <f>IF(最佳化斷筋點!Q1145="","",最佳化斷筋點!Q1145)</f>
        <v>4</v>
      </c>
      <c r="AQ1145" s="37">
        <f>IF(最佳化斷筋點!R1145="","",最佳化斷筋點!R1145)</f>
        <v>4</v>
      </c>
      <c r="AR1145" s="37">
        <f>IF(最佳化斷筋點!S1145="","",最佳化斷筋點!S1145)</f>
        <v>4</v>
      </c>
      <c r="AS1145" s="37">
        <f>IF(最佳化斷筋點!T1145="","",最佳化斷筋點!T1145)</f>
        <v>5</v>
      </c>
      <c r="AT1145" s="37">
        <f>IF(最佳化斷筋點!U1145="","",最佳化斷筋點!U1145)</f>
        <v>5</v>
      </c>
      <c r="AU1145" s="37">
        <f>IF(最佳化斷筋點!V1145="","",最佳化斷筋點!V1145)</f>
        <v>6</v>
      </c>
      <c r="AV1145" s="37">
        <f>IF(最佳化斷筋點!W1145="","",最佳化斷筋點!W1145)</f>
        <v>6</v>
      </c>
      <c r="AW1145" s="37">
        <f>IF(最佳化斷筋點!X1145="","",最佳化斷筋點!X1145)</f>
        <v>6</v>
      </c>
      <c r="AZ1145" s="37">
        <v>6</v>
      </c>
      <c r="BA1145" s="37">
        <v>6</v>
      </c>
      <c r="BB1145" s="37">
        <v>6</v>
      </c>
      <c r="BC1145" s="37">
        <v>6</v>
      </c>
      <c r="BD1145" s="37">
        <v>5</v>
      </c>
      <c r="BE1145" s="37">
        <v>5</v>
      </c>
      <c r="BF1145" s="37">
        <v>4</v>
      </c>
      <c r="BG1145" s="37">
        <v>4</v>
      </c>
      <c r="BH1145" s="37">
        <v>4</v>
      </c>
      <c r="BI1145" s="37">
        <v>4</v>
      </c>
      <c r="BJ1145" s="37">
        <v>4</v>
      </c>
      <c r="BK1145" s="37">
        <v>4</v>
      </c>
      <c r="BL1145" s="37">
        <v>4</v>
      </c>
      <c r="BM1145" s="37">
        <v>4</v>
      </c>
      <c r="BN1145" s="37">
        <v>4</v>
      </c>
      <c r="BO1145" s="37">
        <v>4</v>
      </c>
      <c r="BP1145" s="37">
        <v>5</v>
      </c>
      <c r="BQ1145" s="37">
        <v>5</v>
      </c>
      <c r="BR1145" s="37">
        <v>6</v>
      </c>
      <c r="BS1145" s="37">
        <v>6</v>
      </c>
      <c r="BT1145" s="37">
        <v>6</v>
      </c>
    </row>
    <row r="1146" spans="5:72" x14ac:dyDescent="0.25">
      <c r="E1146" s="36"/>
      <c r="F1146" s="36">
        <f t="shared" si="379"/>
        <v>0</v>
      </c>
      <c r="G1146" s="36">
        <f t="shared" si="380"/>
        <v>0</v>
      </c>
      <c r="H1146" s="36">
        <f t="shared" si="381"/>
        <v>0</v>
      </c>
      <c r="I1146" s="36">
        <f t="shared" si="382"/>
        <v>0</v>
      </c>
      <c r="J1146" s="36">
        <f t="shared" si="383"/>
        <v>0</v>
      </c>
      <c r="K1146" s="36">
        <f t="shared" si="384"/>
        <v>0</v>
      </c>
      <c r="L1146" s="36">
        <f t="shared" si="385"/>
        <v>0</v>
      </c>
      <c r="M1146" s="36">
        <f t="shared" si="386"/>
        <v>0</v>
      </c>
      <c r="N1146" s="36">
        <f t="shared" si="387"/>
        <v>0</v>
      </c>
      <c r="O1146" s="36">
        <f t="shared" si="388"/>
        <v>0</v>
      </c>
      <c r="P1146" s="36">
        <f t="shared" si="389"/>
        <v>0</v>
      </c>
      <c r="Q1146" s="36">
        <f t="shared" si="390"/>
        <v>0</v>
      </c>
      <c r="R1146" s="36">
        <f t="shared" si="391"/>
        <v>0</v>
      </c>
      <c r="S1146" s="36">
        <f t="shared" si="392"/>
        <v>0</v>
      </c>
      <c r="T1146" s="36">
        <f t="shared" si="393"/>
        <v>0</v>
      </c>
      <c r="U1146" s="36">
        <f t="shared" si="394"/>
        <v>0</v>
      </c>
      <c r="V1146" s="36">
        <f t="shared" si="395"/>
        <v>0</v>
      </c>
      <c r="W1146" s="36">
        <f t="shared" si="396"/>
        <v>0</v>
      </c>
      <c r="X1146" s="36">
        <f t="shared" si="397"/>
        <v>0</v>
      </c>
      <c r="Y1146" s="36">
        <f t="shared" si="398"/>
        <v>0</v>
      </c>
      <c r="Z1146" s="36">
        <f t="shared" si="399"/>
        <v>0</v>
      </c>
      <c r="AB1146" s="36" t="str">
        <f>IF(最佳化斷筋點!C1146="","",最佳化斷筋點!C1146)</f>
        <v/>
      </c>
      <c r="AC1146" s="37" t="str">
        <f>IF(最佳化斷筋點!D1146="","",最佳化斷筋點!D1146)</f>
        <v/>
      </c>
      <c r="AD1146" s="37" t="str">
        <f>IF(最佳化斷筋點!E1146="","",最佳化斷筋點!E1146)</f>
        <v/>
      </c>
      <c r="AE1146" s="37" t="str">
        <f>IF(最佳化斷筋點!F1146="","",最佳化斷筋點!F1146)</f>
        <v/>
      </c>
      <c r="AF1146" s="37" t="str">
        <f>IF(最佳化斷筋點!G1146="","",最佳化斷筋點!G1146)</f>
        <v/>
      </c>
      <c r="AG1146" s="37" t="str">
        <f>IF(最佳化斷筋點!H1146="","",最佳化斷筋點!H1146)</f>
        <v/>
      </c>
      <c r="AH1146" s="37" t="str">
        <f>IF(最佳化斷筋點!I1146="","",最佳化斷筋點!I1146)</f>
        <v/>
      </c>
      <c r="AI1146" s="37" t="str">
        <f>IF(最佳化斷筋點!J1146="","",最佳化斷筋點!J1146)</f>
        <v/>
      </c>
      <c r="AJ1146" s="37" t="str">
        <f>IF(最佳化斷筋點!K1146="","",最佳化斷筋點!K1146)</f>
        <v/>
      </c>
      <c r="AK1146" s="37" t="str">
        <f>IF(最佳化斷筋點!L1146="","",最佳化斷筋點!L1146)</f>
        <v/>
      </c>
      <c r="AL1146" s="37" t="str">
        <f>IF(最佳化斷筋點!M1146="","",最佳化斷筋點!M1146)</f>
        <v/>
      </c>
      <c r="AM1146" s="37" t="str">
        <f>IF(最佳化斷筋點!N1146="","",最佳化斷筋點!N1146)</f>
        <v/>
      </c>
      <c r="AN1146" s="37" t="str">
        <f>IF(最佳化斷筋點!O1146="","",最佳化斷筋點!O1146)</f>
        <v/>
      </c>
      <c r="AO1146" s="37" t="str">
        <f>IF(最佳化斷筋點!P1146="","",最佳化斷筋點!P1146)</f>
        <v/>
      </c>
      <c r="AP1146" s="37" t="str">
        <f>IF(最佳化斷筋點!Q1146="","",最佳化斷筋點!Q1146)</f>
        <v/>
      </c>
      <c r="AQ1146" s="37" t="str">
        <f>IF(最佳化斷筋點!R1146="","",最佳化斷筋點!R1146)</f>
        <v/>
      </c>
      <c r="AR1146" s="37" t="str">
        <f>IF(最佳化斷筋點!S1146="","",最佳化斷筋點!S1146)</f>
        <v/>
      </c>
      <c r="AS1146" s="37" t="str">
        <f>IF(最佳化斷筋點!T1146="","",最佳化斷筋點!T1146)</f>
        <v/>
      </c>
      <c r="AT1146" s="37" t="str">
        <f>IF(最佳化斷筋點!U1146="","",最佳化斷筋點!U1146)</f>
        <v/>
      </c>
      <c r="AU1146" s="37" t="str">
        <f>IF(最佳化斷筋點!V1146="","",最佳化斷筋點!V1146)</f>
        <v/>
      </c>
      <c r="AV1146" s="37" t="str">
        <f>IF(最佳化斷筋點!W1146="","",最佳化斷筋點!W1146)</f>
        <v/>
      </c>
      <c r="AW1146" s="37" t="str">
        <f>IF(最佳化斷筋點!X1146="","",最佳化斷筋點!X1146)</f>
        <v/>
      </c>
      <c r="AZ1146" s="37" t="s">
        <v>197</v>
      </c>
      <c r="BA1146" s="37" t="s">
        <v>197</v>
      </c>
      <c r="BB1146" s="37" t="s">
        <v>197</v>
      </c>
      <c r="BC1146" s="37" t="s">
        <v>197</v>
      </c>
      <c r="BD1146" s="37" t="s">
        <v>197</v>
      </c>
      <c r="BE1146" s="37" t="s">
        <v>197</v>
      </c>
      <c r="BF1146" s="37" t="s">
        <v>197</v>
      </c>
      <c r="BG1146" s="37" t="s">
        <v>197</v>
      </c>
      <c r="BH1146" s="37" t="s">
        <v>197</v>
      </c>
      <c r="BI1146" s="37" t="s">
        <v>197</v>
      </c>
      <c r="BJ1146" s="37" t="s">
        <v>197</v>
      </c>
      <c r="BK1146" s="37" t="s">
        <v>197</v>
      </c>
      <c r="BL1146" s="37" t="s">
        <v>197</v>
      </c>
      <c r="BM1146" s="37" t="s">
        <v>197</v>
      </c>
      <c r="BN1146" s="37" t="s">
        <v>197</v>
      </c>
      <c r="BO1146" s="37" t="s">
        <v>197</v>
      </c>
      <c r="BP1146" s="37" t="s">
        <v>197</v>
      </c>
      <c r="BQ1146" s="37" t="s">
        <v>197</v>
      </c>
      <c r="BR1146" s="37" t="s">
        <v>197</v>
      </c>
      <c r="BS1146" s="37" t="s">
        <v>197</v>
      </c>
      <c r="BT1146" s="37" t="s">
        <v>197</v>
      </c>
    </row>
    <row r="1147" spans="5:72" x14ac:dyDescent="0.25">
      <c r="E1147" s="36" t="s">
        <v>20</v>
      </c>
      <c r="F1147" s="36">
        <f t="shared" si="379"/>
        <v>0</v>
      </c>
      <c r="G1147" s="36">
        <f t="shared" si="380"/>
        <v>0</v>
      </c>
      <c r="H1147" s="36">
        <f t="shared" si="381"/>
        <v>0</v>
      </c>
      <c r="I1147" s="36">
        <f t="shared" si="382"/>
        <v>0</v>
      </c>
      <c r="J1147" s="36">
        <f t="shared" si="383"/>
        <v>0</v>
      </c>
      <c r="K1147" s="36">
        <f t="shared" si="384"/>
        <v>0</v>
      </c>
      <c r="L1147" s="36">
        <f t="shared" si="385"/>
        <v>0</v>
      </c>
      <c r="M1147" s="36">
        <f t="shared" si="386"/>
        <v>0</v>
      </c>
      <c r="N1147" s="36">
        <f t="shared" si="387"/>
        <v>0</v>
      </c>
      <c r="O1147" s="36">
        <f t="shared" si="388"/>
        <v>0</v>
      </c>
      <c r="P1147" s="36">
        <f t="shared" si="389"/>
        <v>0</v>
      </c>
      <c r="Q1147" s="36">
        <f t="shared" si="390"/>
        <v>0</v>
      </c>
      <c r="R1147" s="36">
        <f t="shared" si="391"/>
        <v>0</v>
      </c>
      <c r="S1147" s="36">
        <f t="shared" si="392"/>
        <v>0</v>
      </c>
      <c r="T1147" s="36">
        <f t="shared" si="393"/>
        <v>0</v>
      </c>
      <c r="U1147" s="36">
        <f t="shared" si="394"/>
        <v>0</v>
      </c>
      <c r="V1147" s="36">
        <f t="shared" si="395"/>
        <v>0</v>
      </c>
      <c r="W1147" s="36">
        <f t="shared" si="396"/>
        <v>0</v>
      </c>
      <c r="X1147" s="36">
        <f t="shared" si="397"/>
        <v>0</v>
      </c>
      <c r="Y1147" s="36">
        <f t="shared" si="398"/>
        <v>0</v>
      </c>
      <c r="Z1147" s="36">
        <f t="shared" si="399"/>
        <v>0</v>
      </c>
      <c r="AB1147" s="36" t="str">
        <f>IF(最佳化斷筋點!C1147="","",最佳化斷筋點!C1147)</f>
        <v>上層</v>
      </c>
      <c r="AC1147" s="37">
        <f>IF(最佳化斷筋點!D1147="","",最佳化斷筋點!D1147)</f>
        <v>8</v>
      </c>
      <c r="AD1147" s="37">
        <f>IF(最佳化斷筋點!E1147="","",最佳化斷筋點!E1147)</f>
        <v>8</v>
      </c>
      <c r="AE1147" s="37">
        <f>IF(最佳化斷筋點!F1147="","",最佳化斷筋點!F1147)</f>
        <v>8</v>
      </c>
      <c r="AF1147" s="37">
        <f>IF(最佳化斷筋點!G1147="","",最佳化斷筋點!G1147)</f>
        <v>8</v>
      </c>
      <c r="AG1147" s="37">
        <f>IF(最佳化斷筋點!H1147="","",最佳化斷筋點!H1147)</f>
        <v>8</v>
      </c>
      <c r="AH1147" s="37">
        <f>IF(最佳化斷筋點!I1147="","",最佳化斷筋點!I1147)</f>
        <v>8</v>
      </c>
      <c r="AI1147" s="37">
        <f>IF(最佳化斷筋點!J1147="","",最佳化斷筋點!J1147)</f>
        <v>7</v>
      </c>
      <c r="AJ1147" s="37">
        <f>IF(最佳化斷筋點!K1147="","",最佳化斷筋點!K1147)</f>
        <v>3</v>
      </c>
      <c r="AK1147" s="37">
        <f>IF(最佳化斷筋點!L1147="","",最佳化斷筋點!L1147)</f>
        <v>3</v>
      </c>
      <c r="AL1147" s="37">
        <f>IF(最佳化斷筋點!M1147="","",最佳化斷筋點!M1147)</f>
        <v>3</v>
      </c>
      <c r="AM1147" s="37">
        <f>IF(最佳化斷筋點!N1147="","",最佳化斷筋點!N1147)</f>
        <v>3</v>
      </c>
      <c r="AN1147" s="37">
        <f>IF(最佳化斷筋點!O1147="","",最佳化斷筋點!O1147)</f>
        <v>3</v>
      </c>
      <c r="AO1147" s="37">
        <f>IF(最佳化斷筋點!P1147="","",最佳化斷筋點!P1147)</f>
        <v>3</v>
      </c>
      <c r="AP1147" s="37">
        <f>IF(最佳化斷筋點!Q1147="","",最佳化斷筋點!Q1147)</f>
        <v>4</v>
      </c>
      <c r="AQ1147" s="37">
        <f>IF(最佳化斷筋點!R1147="","",最佳化斷筋點!R1147)</f>
        <v>5</v>
      </c>
      <c r="AR1147" s="37">
        <f>IF(最佳化斷筋點!S1147="","",最佳化斷筋點!S1147)</f>
        <v>5</v>
      </c>
      <c r="AS1147" s="37">
        <f>IF(最佳化斷筋點!T1147="","",最佳化斷筋點!T1147)</f>
        <v>6</v>
      </c>
      <c r="AT1147" s="37">
        <f>IF(最佳化斷筋點!U1147="","",最佳化斷筋點!U1147)</f>
        <v>6</v>
      </c>
      <c r="AU1147" s="37">
        <f>IF(最佳化斷筋點!V1147="","",最佳化斷筋點!V1147)</f>
        <v>6</v>
      </c>
      <c r="AV1147" s="37">
        <f>IF(最佳化斷筋點!W1147="","",最佳化斷筋點!W1147)</f>
        <v>6</v>
      </c>
      <c r="AW1147" s="37">
        <f>IF(最佳化斷筋點!X1147="","",最佳化斷筋點!X1147)</f>
        <v>6</v>
      </c>
      <c r="AZ1147" s="37">
        <v>8</v>
      </c>
      <c r="BA1147" s="37">
        <v>8</v>
      </c>
      <c r="BB1147" s="37">
        <v>8</v>
      </c>
      <c r="BC1147" s="37">
        <v>8</v>
      </c>
      <c r="BD1147" s="37">
        <v>8</v>
      </c>
      <c r="BE1147" s="37">
        <v>8</v>
      </c>
      <c r="BF1147" s="37">
        <v>7</v>
      </c>
      <c r="BG1147" s="37">
        <v>3</v>
      </c>
      <c r="BH1147" s="37">
        <v>3</v>
      </c>
      <c r="BI1147" s="37">
        <v>3</v>
      </c>
      <c r="BJ1147" s="37">
        <v>3</v>
      </c>
      <c r="BK1147" s="37">
        <v>3</v>
      </c>
      <c r="BL1147" s="37">
        <v>3</v>
      </c>
      <c r="BM1147" s="37">
        <v>4</v>
      </c>
      <c r="BN1147" s="37">
        <v>5</v>
      </c>
      <c r="BO1147" s="37">
        <v>5</v>
      </c>
      <c r="BP1147" s="37">
        <v>6</v>
      </c>
      <c r="BQ1147" s="37">
        <v>6</v>
      </c>
      <c r="BR1147" s="37">
        <v>6</v>
      </c>
      <c r="BS1147" s="37">
        <v>6</v>
      </c>
      <c r="BT1147" s="37">
        <v>6</v>
      </c>
    </row>
    <row r="1148" spans="5:72" x14ac:dyDescent="0.25">
      <c r="E1148" s="36"/>
      <c r="F1148" s="36">
        <f t="shared" si="379"/>
        <v>0</v>
      </c>
      <c r="G1148" s="36">
        <f t="shared" si="380"/>
        <v>0</v>
      </c>
      <c r="H1148" s="36">
        <f t="shared" si="381"/>
        <v>0</v>
      </c>
      <c r="I1148" s="36">
        <f t="shared" si="382"/>
        <v>0</v>
      </c>
      <c r="J1148" s="36">
        <f t="shared" si="383"/>
        <v>0</v>
      </c>
      <c r="K1148" s="36">
        <f t="shared" si="384"/>
        <v>0</v>
      </c>
      <c r="L1148" s="36">
        <f t="shared" si="385"/>
        <v>0</v>
      </c>
      <c r="M1148" s="36">
        <f t="shared" si="386"/>
        <v>0</v>
      </c>
      <c r="N1148" s="36">
        <f t="shared" si="387"/>
        <v>0</v>
      </c>
      <c r="O1148" s="36">
        <f t="shared" si="388"/>
        <v>0</v>
      </c>
      <c r="P1148" s="36">
        <f t="shared" si="389"/>
        <v>0</v>
      </c>
      <c r="Q1148" s="36">
        <f t="shared" si="390"/>
        <v>0</v>
      </c>
      <c r="R1148" s="36">
        <f t="shared" si="391"/>
        <v>0</v>
      </c>
      <c r="S1148" s="36">
        <f t="shared" si="392"/>
        <v>0</v>
      </c>
      <c r="T1148" s="36">
        <f t="shared" si="393"/>
        <v>0</v>
      </c>
      <c r="U1148" s="36">
        <f t="shared" si="394"/>
        <v>0</v>
      </c>
      <c r="V1148" s="36">
        <f t="shared" si="395"/>
        <v>0</v>
      </c>
      <c r="W1148" s="36">
        <f t="shared" si="396"/>
        <v>0</v>
      </c>
      <c r="X1148" s="36">
        <f t="shared" si="397"/>
        <v>0</v>
      </c>
      <c r="Y1148" s="36">
        <f t="shared" si="398"/>
        <v>0</v>
      </c>
      <c r="Z1148" s="36">
        <f t="shared" si="399"/>
        <v>0</v>
      </c>
      <c r="AB1148" s="36" t="str">
        <f>IF(最佳化斷筋點!C1148="","",最佳化斷筋點!C1148)</f>
        <v/>
      </c>
      <c r="AC1148" s="37" t="str">
        <f>IF(最佳化斷筋點!D1148="","",最佳化斷筋點!D1148)</f>
        <v/>
      </c>
      <c r="AD1148" s="37" t="str">
        <f>IF(最佳化斷筋點!E1148="","",最佳化斷筋點!E1148)</f>
        <v/>
      </c>
      <c r="AE1148" s="37" t="str">
        <f>IF(最佳化斷筋點!F1148="","",最佳化斷筋點!F1148)</f>
        <v/>
      </c>
      <c r="AF1148" s="37" t="str">
        <f>IF(最佳化斷筋點!G1148="","",最佳化斷筋點!G1148)</f>
        <v/>
      </c>
      <c r="AG1148" s="37" t="str">
        <f>IF(最佳化斷筋點!H1148="","",最佳化斷筋點!H1148)</f>
        <v/>
      </c>
      <c r="AH1148" s="37" t="str">
        <f>IF(最佳化斷筋點!I1148="","",最佳化斷筋點!I1148)</f>
        <v/>
      </c>
      <c r="AI1148" s="37" t="str">
        <f>IF(最佳化斷筋點!J1148="","",最佳化斷筋點!J1148)</f>
        <v/>
      </c>
      <c r="AJ1148" s="37" t="str">
        <f>IF(最佳化斷筋點!K1148="","",最佳化斷筋點!K1148)</f>
        <v/>
      </c>
      <c r="AK1148" s="37" t="str">
        <f>IF(最佳化斷筋點!L1148="","",最佳化斷筋點!L1148)</f>
        <v/>
      </c>
      <c r="AL1148" s="37" t="str">
        <f>IF(最佳化斷筋點!M1148="","",最佳化斷筋點!M1148)</f>
        <v/>
      </c>
      <c r="AM1148" s="37" t="str">
        <f>IF(最佳化斷筋點!N1148="","",最佳化斷筋點!N1148)</f>
        <v/>
      </c>
      <c r="AN1148" s="37" t="str">
        <f>IF(最佳化斷筋點!O1148="","",最佳化斷筋點!O1148)</f>
        <v/>
      </c>
      <c r="AO1148" s="37" t="str">
        <f>IF(最佳化斷筋點!P1148="","",最佳化斷筋點!P1148)</f>
        <v/>
      </c>
      <c r="AP1148" s="37" t="str">
        <f>IF(最佳化斷筋點!Q1148="","",最佳化斷筋點!Q1148)</f>
        <v/>
      </c>
      <c r="AQ1148" s="37" t="str">
        <f>IF(最佳化斷筋點!R1148="","",最佳化斷筋點!R1148)</f>
        <v/>
      </c>
      <c r="AR1148" s="37" t="str">
        <f>IF(最佳化斷筋點!S1148="","",最佳化斷筋點!S1148)</f>
        <v/>
      </c>
      <c r="AS1148" s="37" t="str">
        <f>IF(最佳化斷筋點!T1148="","",最佳化斷筋點!T1148)</f>
        <v/>
      </c>
      <c r="AT1148" s="37" t="str">
        <f>IF(最佳化斷筋點!U1148="","",最佳化斷筋點!U1148)</f>
        <v/>
      </c>
      <c r="AU1148" s="37" t="str">
        <f>IF(最佳化斷筋點!V1148="","",最佳化斷筋點!V1148)</f>
        <v/>
      </c>
      <c r="AV1148" s="37" t="str">
        <f>IF(最佳化斷筋點!W1148="","",最佳化斷筋點!W1148)</f>
        <v/>
      </c>
      <c r="AW1148" s="37" t="str">
        <f>IF(最佳化斷筋點!X1148="","",最佳化斷筋點!X1148)</f>
        <v/>
      </c>
      <c r="AZ1148" s="37" t="s">
        <v>197</v>
      </c>
      <c r="BA1148" s="37" t="s">
        <v>197</v>
      </c>
      <c r="BB1148" s="37" t="s">
        <v>197</v>
      </c>
      <c r="BC1148" s="37" t="s">
        <v>197</v>
      </c>
      <c r="BD1148" s="37" t="s">
        <v>197</v>
      </c>
      <c r="BE1148" s="37" t="s">
        <v>197</v>
      </c>
      <c r="BF1148" s="37" t="s">
        <v>197</v>
      </c>
      <c r="BG1148" s="37" t="s">
        <v>197</v>
      </c>
      <c r="BH1148" s="37" t="s">
        <v>197</v>
      </c>
      <c r="BI1148" s="37" t="s">
        <v>197</v>
      </c>
      <c r="BJ1148" s="37" t="s">
        <v>197</v>
      </c>
      <c r="BK1148" s="37" t="s">
        <v>197</v>
      </c>
      <c r="BL1148" s="37" t="s">
        <v>197</v>
      </c>
      <c r="BM1148" s="37" t="s">
        <v>197</v>
      </c>
      <c r="BN1148" s="37" t="s">
        <v>197</v>
      </c>
      <c r="BO1148" s="37" t="s">
        <v>197</v>
      </c>
      <c r="BP1148" s="37" t="s">
        <v>197</v>
      </c>
      <c r="BQ1148" s="37" t="s">
        <v>197</v>
      </c>
      <c r="BR1148" s="37" t="s">
        <v>197</v>
      </c>
      <c r="BS1148" s="37" t="s">
        <v>197</v>
      </c>
      <c r="BT1148" s="37" t="s">
        <v>197</v>
      </c>
    </row>
    <row r="1149" spans="5:72" x14ac:dyDescent="0.25">
      <c r="E1149" s="36" t="s">
        <v>21</v>
      </c>
      <c r="F1149" s="36">
        <f t="shared" si="379"/>
        <v>0</v>
      </c>
      <c r="G1149" s="36">
        <f t="shared" si="380"/>
        <v>0</v>
      </c>
      <c r="H1149" s="36">
        <f t="shared" si="381"/>
        <v>0</v>
      </c>
      <c r="I1149" s="36">
        <f t="shared" si="382"/>
        <v>0</v>
      </c>
      <c r="J1149" s="36">
        <f t="shared" si="383"/>
        <v>0</v>
      </c>
      <c r="K1149" s="36">
        <f t="shared" si="384"/>
        <v>0</v>
      </c>
      <c r="L1149" s="36">
        <f t="shared" si="385"/>
        <v>0</v>
      </c>
      <c r="M1149" s="36">
        <f t="shared" si="386"/>
        <v>0</v>
      </c>
      <c r="N1149" s="36">
        <f t="shared" si="387"/>
        <v>0</v>
      </c>
      <c r="O1149" s="36">
        <f t="shared" si="388"/>
        <v>0</v>
      </c>
      <c r="P1149" s="36">
        <f t="shared" si="389"/>
        <v>0</v>
      </c>
      <c r="Q1149" s="36">
        <f t="shared" si="390"/>
        <v>0</v>
      </c>
      <c r="R1149" s="36">
        <f t="shared" si="391"/>
        <v>0</v>
      </c>
      <c r="S1149" s="36">
        <f t="shared" si="392"/>
        <v>0</v>
      </c>
      <c r="T1149" s="36">
        <f t="shared" si="393"/>
        <v>0</v>
      </c>
      <c r="U1149" s="36">
        <f t="shared" si="394"/>
        <v>0</v>
      </c>
      <c r="V1149" s="36">
        <f t="shared" si="395"/>
        <v>0</v>
      </c>
      <c r="W1149" s="36">
        <f t="shared" si="396"/>
        <v>0</v>
      </c>
      <c r="X1149" s="36">
        <f t="shared" si="397"/>
        <v>0</v>
      </c>
      <c r="Y1149" s="36">
        <f t="shared" si="398"/>
        <v>0</v>
      </c>
      <c r="Z1149" s="36">
        <f t="shared" si="399"/>
        <v>0</v>
      </c>
      <c r="AB1149" s="36" t="str">
        <f>IF(最佳化斷筋點!C1149="","",最佳化斷筋點!C1149)</f>
        <v>下層</v>
      </c>
      <c r="AC1149" s="37">
        <f>IF(最佳化斷筋點!D1149="","",最佳化斷筋點!D1149)</f>
        <v>4</v>
      </c>
      <c r="AD1149" s="37">
        <f>IF(最佳化斷筋點!E1149="","",最佳化斷筋點!E1149)</f>
        <v>4</v>
      </c>
      <c r="AE1149" s="37">
        <f>IF(最佳化斷筋點!F1149="","",最佳化斷筋點!F1149)</f>
        <v>4</v>
      </c>
      <c r="AF1149" s="37">
        <f>IF(最佳化斷筋點!G1149="","",最佳化斷筋點!G1149)</f>
        <v>4</v>
      </c>
      <c r="AG1149" s="37">
        <f>IF(最佳化斷筋點!H1149="","",最佳化斷筋點!H1149)</f>
        <v>4</v>
      </c>
      <c r="AH1149" s="37">
        <f>IF(最佳化斷筋點!I1149="","",最佳化斷筋點!I1149)</f>
        <v>5</v>
      </c>
      <c r="AI1149" s="37">
        <f>IF(最佳化斷筋點!J1149="","",最佳化斷筋點!J1149)</f>
        <v>5</v>
      </c>
      <c r="AJ1149" s="37">
        <f>IF(最佳化斷筋點!K1149="","",最佳化斷筋點!K1149)</f>
        <v>5</v>
      </c>
      <c r="AK1149" s="37">
        <f>IF(最佳化斷筋點!L1149="","",最佳化斷筋點!L1149)</f>
        <v>5</v>
      </c>
      <c r="AL1149" s="37">
        <f>IF(最佳化斷筋點!M1149="","",最佳化斷筋點!M1149)</f>
        <v>5</v>
      </c>
      <c r="AM1149" s="37">
        <f>IF(最佳化斷筋點!N1149="","",最佳化斷筋點!N1149)</f>
        <v>5</v>
      </c>
      <c r="AN1149" s="37">
        <f>IF(最佳化斷筋點!O1149="","",最佳化斷筋點!O1149)</f>
        <v>5</v>
      </c>
      <c r="AO1149" s="37">
        <f>IF(最佳化斷筋點!P1149="","",最佳化斷筋點!P1149)</f>
        <v>5</v>
      </c>
      <c r="AP1149" s="37">
        <f>IF(最佳化斷筋點!Q1149="","",最佳化斷筋點!Q1149)</f>
        <v>5</v>
      </c>
      <c r="AQ1149" s="37">
        <f>IF(最佳化斷筋點!R1149="","",最佳化斷筋點!R1149)</f>
        <v>5</v>
      </c>
      <c r="AR1149" s="37">
        <f>IF(最佳化斷筋點!S1149="","",最佳化斷筋點!S1149)</f>
        <v>5</v>
      </c>
      <c r="AS1149" s="37">
        <f>IF(最佳化斷筋點!T1149="","",最佳化斷筋點!T1149)</f>
        <v>5</v>
      </c>
      <c r="AT1149" s="37">
        <f>IF(最佳化斷筋點!U1149="","",最佳化斷筋點!U1149)</f>
        <v>5</v>
      </c>
      <c r="AU1149" s="37">
        <f>IF(最佳化斷筋點!V1149="","",最佳化斷筋點!V1149)</f>
        <v>5</v>
      </c>
      <c r="AV1149" s="37">
        <f>IF(最佳化斷筋點!W1149="","",最佳化斷筋點!W1149)</f>
        <v>5</v>
      </c>
      <c r="AW1149" s="37">
        <f>IF(最佳化斷筋點!X1149="","",最佳化斷筋點!X1149)</f>
        <v>5</v>
      </c>
      <c r="AZ1149" s="37">
        <v>4</v>
      </c>
      <c r="BA1149" s="37">
        <v>4</v>
      </c>
      <c r="BB1149" s="37">
        <v>4</v>
      </c>
      <c r="BC1149" s="37">
        <v>4</v>
      </c>
      <c r="BD1149" s="37">
        <v>4</v>
      </c>
      <c r="BE1149" s="37">
        <v>5</v>
      </c>
      <c r="BF1149" s="37">
        <v>5</v>
      </c>
      <c r="BG1149" s="37">
        <v>5</v>
      </c>
      <c r="BH1149" s="37">
        <v>5</v>
      </c>
      <c r="BI1149" s="37">
        <v>5</v>
      </c>
      <c r="BJ1149" s="37">
        <v>5</v>
      </c>
      <c r="BK1149" s="37">
        <v>5</v>
      </c>
      <c r="BL1149" s="37">
        <v>5</v>
      </c>
      <c r="BM1149" s="37">
        <v>5</v>
      </c>
      <c r="BN1149" s="37">
        <v>5</v>
      </c>
      <c r="BO1149" s="37">
        <v>5</v>
      </c>
      <c r="BP1149" s="37">
        <v>5</v>
      </c>
      <c r="BQ1149" s="37">
        <v>5</v>
      </c>
      <c r="BR1149" s="37">
        <v>5</v>
      </c>
      <c r="BS1149" s="37">
        <v>5</v>
      </c>
      <c r="BT1149" s="37">
        <v>5</v>
      </c>
    </row>
    <row r="1150" spans="5:72" x14ac:dyDescent="0.25">
      <c r="E1150" s="36"/>
      <c r="F1150" s="36">
        <f t="shared" si="379"/>
        <v>0</v>
      </c>
      <c r="G1150" s="36">
        <f t="shared" si="380"/>
        <v>0</v>
      </c>
      <c r="H1150" s="36">
        <f t="shared" si="381"/>
        <v>0</v>
      </c>
      <c r="I1150" s="36">
        <f t="shared" si="382"/>
        <v>0</v>
      </c>
      <c r="J1150" s="36">
        <f t="shared" si="383"/>
        <v>0</v>
      </c>
      <c r="K1150" s="36">
        <f t="shared" si="384"/>
        <v>0</v>
      </c>
      <c r="L1150" s="36">
        <f t="shared" si="385"/>
        <v>0</v>
      </c>
      <c r="M1150" s="36">
        <f t="shared" si="386"/>
        <v>0</v>
      </c>
      <c r="N1150" s="36">
        <f t="shared" si="387"/>
        <v>0</v>
      </c>
      <c r="O1150" s="36">
        <f t="shared" si="388"/>
        <v>0</v>
      </c>
      <c r="P1150" s="36">
        <f t="shared" si="389"/>
        <v>0</v>
      </c>
      <c r="Q1150" s="36">
        <f t="shared" si="390"/>
        <v>0</v>
      </c>
      <c r="R1150" s="36">
        <f t="shared" si="391"/>
        <v>0</v>
      </c>
      <c r="S1150" s="36">
        <f t="shared" si="392"/>
        <v>0</v>
      </c>
      <c r="T1150" s="36">
        <f t="shared" si="393"/>
        <v>0</v>
      </c>
      <c r="U1150" s="36">
        <f t="shared" si="394"/>
        <v>0</v>
      </c>
      <c r="V1150" s="36">
        <f t="shared" si="395"/>
        <v>0</v>
      </c>
      <c r="W1150" s="36">
        <f t="shared" si="396"/>
        <v>0</v>
      </c>
      <c r="X1150" s="36">
        <f t="shared" si="397"/>
        <v>0</v>
      </c>
      <c r="Y1150" s="36">
        <f t="shared" si="398"/>
        <v>0</v>
      </c>
      <c r="Z1150" s="36">
        <f t="shared" si="399"/>
        <v>0</v>
      </c>
      <c r="AB1150" s="36" t="str">
        <f>IF(最佳化斷筋點!C1150="","",最佳化斷筋點!C1150)</f>
        <v/>
      </c>
      <c r="AC1150" s="37" t="str">
        <f>IF(最佳化斷筋點!D1150="","",最佳化斷筋點!D1150)</f>
        <v/>
      </c>
      <c r="AD1150" s="37" t="str">
        <f>IF(最佳化斷筋點!E1150="","",最佳化斷筋點!E1150)</f>
        <v/>
      </c>
      <c r="AE1150" s="37" t="str">
        <f>IF(最佳化斷筋點!F1150="","",最佳化斷筋點!F1150)</f>
        <v/>
      </c>
      <c r="AF1150" s="37" t="str">
        <f>IF(最佳化斷筋點!G1150="","",最佳化斷筋點!G1150)</f>
        <v/>
      </c>
      <c r="AG1150" s="37" t="str">
        <f>IF(最佳化斷筋點!H1150="","",最佳化斷筋點!H1150)</f>
        <v/>
      </c>
      <c r="AH1150" s="37" t="str">
        <f>IF(最佳化斷筋點!I1150="","",最佳化斷筋點!I1150)</f>
        <v/>
      </c>
      <c r="AI1150" s="37" t="str">
        <f>IF(最佳化斷筋點!J1150="","",最佳化斷筋點!J1150)</f>
        <v/>
      </c>
      <c r="AJ1150" s="37" t="str">
        <f>IF(最佳化斷筋點!K1150="","",最佳化斷筋點!K1150)</f>
        <v/>
      </c>
      <c r="AK1150" s="37" t="str">
        <f>IF(最佳化斷筋點!L1150="","",最佳化斷筋點!L1150)</f>
        <v/>
      </c>
      <c r="AL1150" s="37" t="str">
        <f>IF(最佳化斷筋點!M1150="","",最佳化斷筋點!M1150)</f>
        <v/>
      </c>
      <c r="AM1150" s="37" t="str">
        <f>IF(最佳化斷筋點!N1150="","",最佳化斷筋點!N1150)</f>
        <v/>
      </c>
      <c r="AN1150" s="37" t="str">
        <f>IF(最佳化斷筋點!O1150="","",最佳化斷筋點!O1150)</f>
        <v/>
      </c>
      <c r="AO1150" s="37" t="str">
        <f>IF(最佳化斷筋點!P1150="","",最佳化斷筋點!P1150)</f>
        <v/>
      </c>
      <c r="AP1150" s="37" t="str">
        <f>IF(最佳化斷筋點!Q1150="","",最佳化斷筋點!Q1150)</f>
        <v/>
      </c>
      <c r="AQ1150" s="37" t="str">
        <f>IF(最佳化斷筋點!R1150="","",最佳化斷筋點!R1150)</f>
        <v/>
      </c>
      <c r="AR1150" s="37" t="str">
        <f>IF(最佳化斷筋點!S1150="","",最佳化斷筋點!S1150)</f>
        <v/>
      </c>
      <c r="AS1150" s="37" t="str">
        <f>IF(最佳化斷筋點!T1150="","",最佳化斷筋點!T1150)</f>
        <v/>
      </c>
      <c r="AT1150" s="37" t="str">
        <f>IF(最佳化斷筋點!U1150="","",最佳化斷筋點!U1150)</f>
        <v/>
      </c>
      <c r="AU1150" s="37" t="str">
        <f>IF(最佳化斷筋點!V1150="","",最佳化斷筋點!V1150)</f>
        <v/>
      </c>
      <c r="AV1150" s="37" t="str">
        <f>IF(最佳化斷筋點!W1150="","",最佳化斷筋點!W1150)</f>
        <v/>
      </c>
      <c r="AW1150" s="37" t="str">
        <f>IF(最佳化斷筋點!X1150="","",最佳化斷筋點!X1150)</f>
        <v/>
      </c>
      <c r="AZ1150" s="37" t="s">
        <v>197</v>
      </c>
      <c r="BA1150" s="37" t="s">
        <v>197</v>
      </c>
      <c r="BB1150" s="37" t="s">
        <v>197</v>
      </c>
      <c r="BC1150" s="37" t="s">
        <v>197</v>
      </c>
      <c r="BD1150" s="37" t="s">
        <v>197</v>
      </c>
      <c r="BE1150" s="37" t="s">
        <v>197</v>
      </c>
      <c r="BF1150" s="37" t="s">
        <v>197</v>
      </c>
      <c r="BG1150" s="37" t="s">
        <v>197</v>
      </c>
      <c r="BH1150" s="37" t="s">
        <v>197</v>
      </c>
      <c r="BI1150" s="37" t="s">
        <v>197</v>
      </c>
      <c r="BJ1150" s="37" t="s">
        <v>197</v>
      </c>
      <c r="BK1150" s="37" t="s">
        <v>197</v>
      </c>
      <c r="BL1150" s="37" t="s">
        <v>197</v>
      </c>
      <c r="BM1150" s="37" t="s">
        <v>197</v>
      </c>
      <c r="BN1150" s="37" t="s">
        <v>197</v>
      </c>
      <c r="BO1150" s="37" t="s">
        <v>197</v>
      </c>
      <c r="BP1150" s="37" t="s">
        <v>197</v>
      </c>
      <c r="BQ1150" s="37" t="s">
        <v>197</v>
      </c>
      <c r="BR1150" s="37" t="s">
        <v>197</v>
      </c>
      <c r="BS1150" s="37" t="s">
        <v>197</v>
      </c>
      <c r="BT1150" s="37" t="s">
        <v>197</v>
      </c>
    </row>
    <row r="1151" spans="5:72" x14ac:dyDescent="0.25">
      <c r="E1151" s="36" t="s">
        <v>20</v>
      </c>
      <c r="F1151" s="36">
        <f t="shared" si="379"/>
        <v>0</v>
      </c>
      <c r="G1151" s="36">
        <f t="shared" si="380"/>
        <v>0</v>
      </c>
      <c r="H1151" s="36">
        <f t="shared" si="381"/>
        <v>0</v>
      </c>
      <c r="I1151" s="36">
        <f t="shared" si="382"/>
        <v>0</v>
      </c>
      <c r="J1151" s="36">
        <f t="shared" si="383"/>
        <v>0</v>
      </c>
      <c r="K1151" s="36">
        <f t="shared" si="384"/>
        <v>0</v>
      </c>
      <c r="L1151" s="36">
        <f t="shared" si="385"/>
        <v>0</v>
      </c>
      <c r="M1151" s="36">
        <f t="shared" si="386"/>
        <v>0</v>
      </c>
      <c r="N1151" s="36">
        <f t="shared" si="387"/>
        <v>0</v>
      </c>
      <c r="O1151" s="36">
        <f t="shared" si="388"/>
        <v>0</v>
      </c>
      <c r="P1151" s="36">
        <f t="shared" si="389"/>
        <v>0</v>
      </c>
      <c r="Q1151" s="36">
        <f t="shared" si="390"/>
        <v>0</v>
      </c>
      <c r="R1151" s="36">
        <f t="shared" si="391"/>
        <v>0</v>
      </c>
      <c r="S1151" s="36">
        <f t="shared" si="392"/>
        <v>0</v>
      </c>
      <c r="T1151" s="36">
        <f t="shared" si="393"/>
        <v>0</v>
      </c>
      <c r="U1151" s="36">
        <f t="shared" si="394"/>
        <v>0</v>
      </c>
      <c r="V1151" s="36">
        <f t="shared" si="395"/>
        <v>0</v>
      </c>
      <c r="W1151" s="36">
        <f t="shared" si="396"/>
        <v>0</v>
      </c>
      <c r="X1151" s="36">
        <f t="shared" si="397"/>
        <v>0</v>
      </c>
      <c r="Y1151" s="36">
        <f t="shared" si="398"/>
        <v>0</v>
      </c>
      <c r="Z1151" s="36">
        <f t="shared" si="399"/>
        <v>0</v>
      </c>
      <c r="AB1151" s="36" t="str">
        <f>IF(最佳化斷筋點!C1151="","",最佳化斷筋點!C1151)</f>
        <v>上層</v>
      </c>
      <c r="AC1151" s="37">
        <f>IF(最佳化斷筋點!D1151="","",最佳化斷筋點!D1151)</f>
        <v>4</v>
      </c>
      <c r="AD1151" s="37">
        <f>IF(最佳化斷筋點!E1151="","",最佳化斷筋點!E1151)</f>
        <v>4</v>
      </c>
      <c r="AE1151" s="37">
        <f>IF(最佳化斷筋點!F1151="","",最佳化斷筋點!F1151)</f>
        <v>4</v>
      </c>
      <c r="AF1151" s="37">
        <f>IF(最佳化斷筋點!G1151="","",最佳化斷筋點!G1151)</f>
        <v>4</v>
      </c>
      <c r="AG1151" s="37">
        <f>IF(最佳化斷筋點!H1151="","",最佳化斷筋點!H1151)</f>
        <v>4</v>
      </c>
      <c r="AH1151" s="37">
        <f>IF(最佳化斷筋點!I1151="","",最佳化斷筋點!I1151)</f>
        <v>4</v>
      </c>
      <c r="AI1151" s="37">
        <f>IF(最佳化斷筋點!J1151="","",最佳化斷筋點!J1151)</f>
        <v>3</v>
      </c>
      <c r="AJ1151" s="37">
        <f>IF(最佳化斷筋點!K1151="","",最佳化斷筋點!K1151)</f>
        <v>3</v>
      </c>
      <c r="AK1151" s="37">
        <f>IF(最佳化斷筋點!L1151="","",最佳化斷筋點!L1151)</f>
        <v>3</v>
      </c>
      <c r="AL1151" s="37">
        <f>IF(最佳化斷筋點!M1151="","",最佳化斷筋點!M1151)</f>
        <v>2</v>
      </c>
      <c r="AM1151" s="37">
        <f>IF(最佳化斷筋點!N1151="","",最佳化斷筋點!N1151)</f>
        <v>2</v>
      </c>
      <c r="AN1151" s="37">
        <f>IF(最佳化斷筋點!O1151="","",最佳化斷筋點!O1151)</f>
        <v>2</v>
      </c>
      <c r="AO1151" s="37">
        <f>IF(最佳化斷筋點!P1151="","",最佳化斷筋點!P1151)</f>
        <v>2</v>
      </c>
      <c r="AP1151" s="37">
        <f>IF(最佳化斷筋點!Q1151="","",最佳化斷筋點!Q1151)</f>
        <v>3</v>
      </c>
      <c r="AQ1151" s="37">
        <f>IF(最佳化斷筋點!R1151="","",最佳化斷筋點!R1151)</f>
        <v>3</v>
      </c>
      <c r="AR1151" s="37">
        <f>IF(最佳化斷筋點!S1151="","",最佳化斷筋點!S1151)</f>
        <v>3</v>
      </c>
      <c r="AS1151" s="37">
        <f>IF(最佳化斷筋點!T1151="","",最佳化斷筋點!T1151)</f>
        <v>4</v>
      </c>
      <c r="AT1151" s="37">
        <f>IF(最佳化斷筋點!U1151="","",最佳化斷筋點!U1151)</f>
        <v>4</v>
      </c>
      <c r="AU1151" s="37">
        <f>IF(最佳化斷筋點!V1151="","",最佳化斷筋點!V1151)</f>
        <v>4</v>
      </c>
      <c r="AV1151" s="37">
        <f>IF(最佳化斷筋點!W1151="","",最佳化斷筋點!W1151)</f>
        <v>4</v>
      </c>
      <c r="AW1151" s="37">
        <f>IF(最佳化斷筋點!X1151="","",最佳化斷筋點!X1151)</f>
        <v>4</v>
      </c>
      <c r="AZ1151" s="37">
        <v>4</v>
      </c>
      <c r="BA1151" s="37">
        <v>4</v>
      </c>
      <c r="BB1151" s="37">
        <v>4</v>
      </c>
      <c r="BC1151" s="37">
        <v>4</v>
      </c>
      <c r="BD1151" s="37">
        <v>4</v>
      </c>
      <c r="BE1151" s="37">
        <v>4</v>
      </c>
      <c r="BF1151" s="37">
        <v>3</v>
      </c>
      <c r="BG1151" s="37">
        <v>3</v>
      </c>
      <c r="BH1151" s="37">
        <v>3</v>
      </c>
      <c r="BI1151" s="37">
        <v>2</v>
      </c>
      <c r="BJ1151" s="37">
        <v>2</v>
      </c>
      <c r="BK1151" s="37">
        <v>2</v>
      </c>
      <c r="BL1151" s="37">
        <v>2</v>
      </c>
      <c r="BM1151" s="37">
        <v>3</v>
      </c>
      <c r="BN1151" s="37">
        <v>3</v>
      </c>
      <c r="BO1151" s="37">
        <v>3</v>
      </c>
      <c r="BP1151" s="37">
        <v>4</v>
      </c>
      <c r="BQ1151" s="37">
        <v>4</v>
      </c>
      <c r="BR1151" s="37">
        <v>4</v>
      </c>
      <c r="BS1151" s="37">
        <v>4</v>
      </c>
      <c r="BT1151" s="37">
        <v>4</v>
      </c>
    </row>
    <row r="1152" spans="5:72" x14ac:dyDescent="0.25">
      <c r="E1152" s="36"/>
      <c r="F1152" s="36">
        <f t="shared" si="379"/>
        <v>0</v>
      </c>
      <c r="G1152" s="36">
        <f t="shared" si="380"/>
        <v>0</v>
      </c>
      <c r="H1152" s="36">
        <f t="shared" si="381"/>
        <v>0</v>
      </c>
      <c r="I1152" s="36">
        <f t="shared" si="382"/>
        <v>0</v>
      </c>
      <c r="J1152" s="36">
        <f t="shared" si="383"/>
        <v>0</v>
      </c>
      <c r="K1152" s="36">
        <f t="shared" si="384"/>
        <v>0</v>
      </c>
      <c r="L1152" s="36">
        <f t="shared" si="385"/>
        <v>0</v>
      </c>
      <c r="M1152" s="36">
        <f t="shared" si="386"/>
        <v>0</v>
      </c>
      <c r="N1152" s="36">
        <f t="shared" si="387"/>
        <v>0</v>
      </c>
      <c r="O1152" s="36">
        <f t="shared" si="388"/>
        <v>0</v>
      </c>
      <c r="P1152" s="36">
        <f t="shared" si="389"/>
        <v>0</v>
      </c>
      <c r="Q1152" s="36">
        <f t="shared" si="390"/>
        <v>0</v>
      </c>
      <c r="R1152" s="36">
        <f t="shared" si="391"/>
        <v>0</v>
      </c>
      <c r="S1152" s="36">
        <f t="shared" si="392"/>
        <v>0</v>
      </c>
      <c r="T1152" s="36">
        <f t="shared" si="393"/>
        <v>0</v>
      </c>
      <c r="U1152" s="36">
        <f t="shared" si="394"/>
        <v>0</v>
      </c>
      <c r="V1152" s="36">
        <f t="shared" si="395"/>
        <v>0</v>
      </c>
      <c r="W1152" s="36">
        <f t="shared" si="396"/>
        <v>0</v>
      </c>
      <c r="X1152" s="36">
        <f t="shared" si="397"/>
        <v>0</v>
      </c>
      <c r="Y1152" s="36">
        <f t="shared" si="398"/>
        <v>0</v>
      </c>
      <c r="Z1152" s="36">
        <f t="shared" si="399"/>
        <v>0</v>
      </c>
      <c r="AB1152" s="36" t="str">
        <f>IF(最佳化斷筋點!C1152="","",最佳化斷筋點!C1152)</f>
        <v/>
      </c>
      <c r="AC1152" s="37" t="str">
        <f>IF(最佳化斷筋點!D1152="","",最佳化斷筋點!D1152)</f>
        <v/>
      </c>
      <c r="AD1152" s="37" t="str">
        <f>IF(最佳化斷筋點!E1152="","",最佳化斷筋點!E1152)</f>
        <v/>
      </c>
      <c r="AE1152" s="37" t="str">
        <f>IF(最佳化斷筋點!F1152="","",最佳化斷筋點!F1152)</f>
        <v/>
      </c>
      <c r="AF1152" s="37" t="str">
        <f>IF(最佳化斷筋點!G1152="","",最佳化斷筋點!G1152)</f>
        <v/>
      </c>
      <c r="AG1152" s="37" t="str">
        <f>IF(最佳化斷筋點!H1152="","",最佳化斷筋點!H1152)</f>
        <v/>
      </c>
      <c r="AH1152" s="37" t="str">
        <f>IF(最佳化斷筋點!I1152="","",最佳化斷筋點!I1152)</f>
        <v/>
      </c>
      <c r="AI1152" s="37" t="str">
        <f>IF(最佳化斷筋點!J1152="","",最佳化斷筋點!J1152)</f>
        <v/>
      </c>
      <c r="AJ1152" s="37" t="str">
        <f>IF(最佳化斷筋點!K1152="","",最佳化斷筋點!K1152)</f>
        <v/>
      </c>
      <c r="AK1152" s="37" t="str">
        <f>IF(最佳化斷筋點!L1152="","",最佳化斷筋點!L1152)</f>
        <v/>
      </c>
      <c r="AL1152" s="37" t="str">
        <f>IF(最佳化斷筋點!M1152="","",最佳化斷筋點!M1152)</f>
        <v/>
      </c>
      <c r="AM1152" s="37" t="str">
        <f>IF(最佳化斷筋點!N1152="","",最佳化斷筋點!N1152)</f>
        <v/>
      </c>
      <c r="AN1152" s="37" t="str">
        <f>IF(最佳化斷筋點!O1152="","",最佳化斷筋點!O1152)</f>
        <v/>
      </c>
      <c r="AO1152" s="37" t="str">
        <f>IF(最佳化斷筋點!P1152="","",最佳化斷筋點!P1152)</f>
        <v/>
      </c>
      <c r="AP1152" s="37" t="str">
        <f>IF(最佳化斷筋點!Q1152="","",最佳化斷筋點!Q1152)</f>
        <v/>
      </c>
      <c r="AQ1152" s="37" t="str">
        <f>IF(最佳化斷筋點!R1152="","",最佳化斷筋點!R1152)</f>
        <v/>
      </c>
      <c r="AR1152" s="37" t="str">
        <f>IF(最佳化斷筋點!S1152="","",最佳化斷筋點!S1152)</f>
        <v/>
      </c>
      <c r="AS1152" s="37" t="str">
        <f>IF(最佳化斷筋點!T1152="","",最佳化斷筋點!T1152)</f>
        <v/>
      </c>
      <c r="AT1152" s="37" t="str">
        <f>IF(最佳化斷筋點!U1152="","",最佳化斷筋點!U1152)</f>
        <v/>
      </c>
      <c r="AU1152" s="37" t="str">
        <f>IF(最佳化斷筋點!V1152="","",最佳化斷筋點!V1152)</f>
        <v/>
      </c>
      <c r="AV1152" s="37" t="str">
        <f>IF(最佳化斷筋點!W1152="","",最佳化斷筋點!W1152)</f>
        <v/>
      </c>
      <c r="AW1152" s="37" t="str">
        <f>IF(最佳化斷筋點!X1152="","",最佳化斷筋點!X1152)</f>
        <v/>
      </c>
      <c r="AZ1152" s="37" t="s">
        <v>197</v>
      </c>
      <c r="BA1152" s="37" t="s">
        <v>197</v>
      </c>
      <c r="BB1152" s="37" t="s">
        <v>197</v>
      </c>
      <c r="BC1152" s="37" t="s">
        <v>197</v>
      </c>
      <c r="BD1152" s="37" t="s">
        <v>197</v>
      </c>
      <c r="BE1152" s="37" t="s">
        <v>197</v>
      </c>
      <c r="BF1152" s="37" t="s">
        <v>197</v>
      </c>
      <c r="BG1152" s="37" t="s">
        <v>197</v>
      </c>
      <c r="BH1152" s="37" t="s">
        <v>197</v>
      </c>
      <c r="BI1152" s="37" t="s">
        <v>197</v>
      </c>
      <c r="BJ1152" s="37" t="s">
        <v>197</v>
      </c>
      <c r="BK1152" s="37" t="s">
        <v>197</v>
      </c>
      <c r="BL1152" s="37" t="s">
        <v>197</v>
      </c>
      <c r="BM1152" s="37" t="s">
        <v>197</v>
      </c>
      <c r="BN1152" s="37" t="s">
        <v>197</v>
      </c>
      <c r="BO1152" s="37" t="s">
        <v>197</v>
      </c>
      <c r="BP1152" s="37" t="s">
        <v>197</v>
      </c>
      <c r="BQ1152" s="37" t="s">
        <v>197</v>
      </c>
      <c r="BR1152" s="37" t="s">
        <v>197</v>
      </c>
      <c r="BS1152" s="37" t="s">
        <v>197</v>
      </c>
      <c r="BT1152" s="37" t="s">
        <v>197</v>
      </c>
    </row>
    <row r="1153" spans="5:72" x14ac:dyDescent="0.25">
      <c r="E1153" s="36" t="s">
        <v>21</v>
      </c>
      <c r="F1153" s="36">
        <f t="shared" si="379"/>
        <v>0</v>
      </c>
      <c r="G1153" s="36">
        <f t="shared" si="380"/>
        <v>0</v>
      </c>
      <c r="H1153" s="36">
        <f t="shared" si="381"/>
        <v>0</v>
      </c>
      <c r="I1153" s="36">
        <f t="shared" si="382"/>
        <v>0</v>
      </c>
      <c r="J1153" s="36">
        <f t="shared" si="383"/>
        <v>0</v>
      </c>
      <c r="K1153" s="36">
        <f t="shared" si="384"/>
        <v>0</v>
      </c>
      <c r="L1153" s="36">
        <f t="shared" si="385"/>
        <v>0</v>
      </c>
      <c r="M1153" s="36">
        <f t="shared" si="386"/>
        <v>0</v>
      </c>
      <c r="N1153" s="36">
        <f t="shared" si="387"/>
        <v>0</v>
      </c>
      <c r="O1153" s="36">
        <f t="shared" si="388"/>
        <v>0</v>
      </c>
      <c r="P1153" s="36">
        <f t="shared" si="389"/>
        <v>0</v>
      </c>
      <c r="Q1153" s="36">
        <f t="shared" si="390"/>
        <v>0</v>
      </c>
      <c r="R1153" s="36">
        <f t="shared" si="391"/>
        <v>0</v>
      </c>
      <c r="S1153" s="36">
        <f t="shared" si="392"/>
        <v>0</v>
      </c>
      <c r="T1153" s="36">
        <f t="shared" si="393"/>
        <v>0</v>
      </c>
      <c r="U1153" s="36">
        <f t="shared" si="394"/>
        <v>0</v>
      </c>
      <c r="V1153" s="36">
        <f t="shared" si="395"/>
        <v>0</v>
      </c>
      <c r="W1153" s="36">
        <f t="shared" si="396"/>
        <v>0</v>
      </c>
      <c r="X1153" s="36">
        <f t="shared" si="397"/>
        <v>0</v>
      </c>
      <c r="Y1153" s="36">
        <f t="shared" si="398"/>
        <v>0</v>
      </c>
      <c r="Z1153" s="36">
        <f t="shared" si="399"/>
        <v>0</v>
      </c>
      <c r="AB1153" s="36" t="str">
        <f>IF(最佳化斷筋點!C1153="","",最佳化斷筋點!C1153)</f>
        <v>下層</v>
      </c>
      <c r="AC1153" s="37">
        <f>IF(最佳化斷筋點!D1153="","",最佳化斷筋點!D1153)</f>
        <v>4</v>
      </c>
      <c r="AD1153" s="37">
        <f>IF(最佳化斷筋點!E1153="","",最佳化斷筋點!E1153)</f>
        <v>4</v>
      </c>
      <c r="AE1153" s="37">
        <f>IF(最佳化斷筋點!F1153="","",最佳化斷筋點!F1153)</f>
        <v>4</v>
      </c>
      <c r="AF1153" s="37">
        <f>IF(最佳化斷筋點!G1153="","",最佳化斷筋點!G1153)</f>
        <v>4</v>
      </c>
      <c r="AG1153" s="37">
        <f>IF(最佳化斷筋點!H1153="","",最佳化斷筋點!H1153)</f>
        <v>4</v>
      </c>
      <c r="AH1153" s="37">
        <f>IF(最佳化斷筋點!I1153="","",最佳化斷筋點!I1153)</f>
        <v>4</v>
      </c>
      <c r="AI1153" s="37">
        <f>IF(最佳化斷筋點!J1153="","",最佳化斷筋點!J1153)</f>
        <v>4</v>
      </c>
      <c r="AJ1153" s="37">
        <f>IF(最佳化斷筋點!K1153="","",最佳化斷筋點!K1153)</f>
        <v>4</v>
      </c>
      <c r="AK1153" s="37">
        <f>IF(最佳化斷筋點!L1153="","",最佳化斷筋點!L1153)</f>
        <v>4</v>
      </c>
      <c r="AL1153" s="37">
        <f>IF(最佳化斷筋點!M1153="","",最佳化斷筋點!M1153)</f>
        <v>4</v>
      </c>
      <c r="AM1153" s="37">
        <f>IF(最佳化斷筋點!N1153="","",最佳化斷筋點!N1153)</f>
        <v>4</v>
      </c>
      <c r="AN1153" s="37">
        <f>IF(最佳化斷筋點!O1153="","",最佳化斷筋點!O1153)</f>
        <v>4</v>
      </c>
      <c r="AO1153" s="37">
        <f>IF(最佳化斷筋點!P1153="","",最佳化斷筋點!P1153)</f>
        <v>4</v>
      </c>
      <c r="AP1153" s="37">
        <f>IF(最佳化斷筋點!Q1153="","",最佳化斷筋點!Q1153)</f>
        <v>4</v>
      </c>
      <c r="AQ1153" s="37">
        <f>IF(最佳化斷筋點!R1153="","",最佳化斷筋點!R1153)</f>
        <v>4</v>
      </c>
      <c r="AR1153" s="37">
        <f>IF(最佳化斷筋點!S1153="","",最佳化斷筋點!S1153)</f>
        <v>4</v>
      </c>
      <c r="AS1153" s="37">
        <f>IF(最佳化斷筋點!T1153="","",最佳化斷筋點!T1153)</f>
        <v>4</v>
      </c>
      <c r="AT1153" s="37">
        <f>IF(最佳化斷筋點!U1153="","",最佳化斷筋點!U1153)</f>
        <v>4</v>
      </c>
      <c r="AU1153" s="37">
        <f>IF(最佳化斷筋點!V1153="","",最佳化斷筋點!V1153)</f>
        <v>4</v>
      </c>
      <c r="AV1153" s="37">
        <f>IF(最佳化斷筋點!W1153="","",最佳化斷筋點!W1153)</f>
        <v>4</v>
      </c>
      <c r="AW1153" s="37">
        <f>IF(最佳化斷筋點!X1153="","",最佳化斷筋點!X1153)</f>
        <v>4</v>
      </c>
      <c r="AZ1153" s="37">
        <v>4</v>
      </c>
      <c r="BA1153" s="37">
        <v>4</v>
      </c>
      <c r="BB1153" s="37">
        <v>4</v>
      </c>
      <c r="BC1153" s="37">
        <v>4</v>
      </c>
      <c r="BD1153" s="37">
        <v>4</v>
      </c>
      <c r="BE1153" s="37">
        <v>4</v>
      </c>
      <c r="BF1153" s="37">
        <v>4</v>
      </c>
      <c r="BG1153" s="37">
        <v>4</v>
      </c>
      <c r="BH1153" s="37">
        <v>4</v>
      </c>
      <c r="BI1153" s="37">
        <v>4</v>
      </c>
      <c r="BJ1153" s="37">
        <v>4</v>
      </c>
      <c r="BK1153" s="37">
        <v>4</v>
      </c>
      <c r="BL1153" s="37">
        <v>4</v>
      </c>
      <c r="BM1153" s="37">
        <v>4</v>
      </c>
      <c r="BN1153" s="37">
        <v>4</v>
      </c>
      <c r="BO1153" s="37">
        <v>4</v>
      </c>
      <c r="BP1153" s="37">
        <v>4</v>
      </c>
      <c r="BQ1153" s="37">
        <v>4</v>
      </c>
      <c r="BR1153" s="37">
        <v>4</v>
      </c>
      <c r="BS1153" s="37">
        <v>4</v>
      </c>
      <c r="BT1153" s="37">
        <v>4</v>
      </c>
    </row>
    <row r="1154" spans="5:72" x14ac:dyDescent="0.25">
      <c r="E1154" s="36"/>
      <c r="F1154" s="36">
        <f t="shared" si="379"/>
        <v>0</v>
      </c>
      <c r="G1154" s="36">
        <f t="shared" si="380"/>
        <v>0</v>
      </c>
      <c r="H1154" s="36">
        <f t="shared" si="381"/>
        <v>0</v>
      </c>
      <c r="I1154" s="36">
        <f t="shared" si="382"/>
        <v>0</v>
      </c>
      <c r="J1154" s="36">
        <f t="shared" si="383"/>
        <v>0</v>
      </c>
      <c r="K1154" s="36">
        <f t="shared" si="384"/>
        <v>0</v>
      </c>
      <c r="L1154" s="36">
        <f t="shared" si="385"/>
        <v>0</v>
      </c>
      <c r="M1154" s="36">
        <f t="shared" si="386"/>
        <v>0</v>
      </c>
      <c r="N1154" s="36">
        <f t="shared" si="387"/>
        <v>0</v>
      </c>
      <c r="O1154" s="36">
        <f t="shared" si="388"/>
        <v>0</v>
      </c>
      <c r="P1154" s="36">
        <f t="shared" si="389"/>
        <v>0</v>
      </c>
      <c r="Q1154" s="36">
        <f t="shared" si="390"/>
        <v>0</v>
      </c>
      <c r="R1154" s="36">
        <f t="shared" si="391"/>
        <v>0</v>
      </c>
      <c r="S1154" s="36">
        <f t="shared" si="392"/>
        <v>0</v>
      </c>
      <c r="T1154" s="36">
        <f t="shared" si="393"/>
        <v>0</v>
      </c>
      <c r="U1154" s="36">
        <f t="shared" si="394"/>
        <v>0</v>
      </c>
      <c r="V1154" s="36">
        <f t="shared" si="395"/>
        <v>0</v>
      </c>
      <c r="W1154" s="36">
        <f t="shared" si="396"/>
        <v>0</v>
      </c>
      <c r="X1154" s="36">
        <f t="shared" si="397"/>
        <v>0</v>
      </c>
      <c r="Y1154" s="36">
        <f t="shared" si="398"/>
        <v>0</v>
      </c>
      <c r="Z1154" s="36">
        <f t="shared" si="399"/>
        <v>0</v>
      </c>
      <c r="AB1154" s="36" t="str">
        <f>IF(最佳化斷筋點!C1154="","",最佳化斷筋點!C1154)</f>
        <v/>
      </c>
      <c r="AC1154" s="37" t="str">
        <f>IF(最佳化斷筋點!D1154="","",最佳化斷筋點!D1154)</f>
        <v/>
      </c>
      <c r="AD1154" s="37" t="str">
        <f>IF(最佳化斷筋點!E1154="","",最佳化斷筋點!E1154)</f>
        <v/>
      </c>
      <c r="AE1154" s="37" t="str">
        <f>IF(最佳化斷筋點!F1154="","",最佳化斷筋點!F1154)</f>
        <v/>
      </c>
      <c r="AF1154" s="37" t="str">
        <f>IF(最佳化斷筋點!G1154="","",最佳化斷筋點!G1154)</f>
        <v/>
      </c>
      <c r="AG1154" s="37" t="str">
        <f>IF(最佳化斷筋點!H1154="","",最佳化斷筋點!H1154)</f>
        <v/>
      </c>
      <c r="AH1154" s="37" t="str">
        <f>IF(最佳化斷筋點!I1154="","",最佳化斷筋點!I1154)</f>
        <v/>
      </c>
      <c r="AI1154" s="37" t="str">
        <f>IF(最佳化斷筋點!J1154="","",最佳化斷筋點!J1154)</f>
        <v/>
      </c>
      <c r="AJ1154" s="37" t="str">
        <f>IF(最佳化斷筋點!K1154="","",最佳化斷筋點!K1154)</f>
        <v/>
      </c>
      <c r="AK1154" s="37" t="str">
        <f>IF(最佳化斷筋點!L1154="","",最佳化斷筋點!L1154)</f>
        <v/>
      </c>
      <c r="AL1154" s="37" t="str">
        <f>IF(最佳化斷筋點!M1154="","",最佳化斷筋點!M1154)</f>
        <v/>
      </c>
      <c r="AM1154" s="37" t="str">
        <f>IF(最佳化斷筋點!N1154="","",最佳化斷筋點!N1154)</f>
        <v/>
      </c>
      <c r="AN1154" s="37" t="str">
        <f>IF(最佳化斷筋點!O1154="","",最佳化斷筋點!O1154)</f>
        <v/>
      </c>
      <c r="AO1154" s="37" t="str">
        <f>IF(最佳化斷筋點!P1154="","",最佳化斷筋點!P1154)</f>
        <v/>
      </c>
      <c r="AP1154" s="37" t="str">
        <f>IF(最佳化斷筋點!Q1154="","",最佳化斷筋點!Q1154)</f>
        <v/>
      </c>
      <c r="AQ1154" s="37" t="str">
        <f>IF(最佳化斷筋點!R1154="","",最佳化斷筋點!R1154)</f>
        <v/>
      </c>
      <c r="AR1154" s="37" t="str">
        <f>IF(最佳化斷筋點!S1154="","",最佳化斷筋點!S1154)</f>
        <v/>
      </c>
      <c r="AS1154" s="37" t="str">
        <f>IF(最佳化斷筋點!T1154="","",最佳化斷筋點!T1154)</f>
        <v/>
      </c>
      <c r="AT1154" s="37" t="str">
        <f>IF(最佳化斷筋點!U1154="","",最佳化斷筋點!U1154)</f>
        <v/>
      </c>
      <c r="AU1154" s="37" t="str">
        <f>IF(最佳化斷筋點!V1154="","",最佳化斷筋點!V1154)</f>
        <v/>
      </c>
      <c r="AV1154" s="37" t="str">
        <f>IF(最佳化斷筋點!W1154="","",最佳化斷筋點!W1154)</f>
        <v/>
      </c>
      <c r="AW1154" s="37" t="str">
        <f>IF(最佳化斷筋點!X1154="","",最佳化斷筋點!X1154)</f>
        <v/>
      </c>
      <c r="AZ1154" s="37" t="s">
        <v>197</v>
      </c>
      <c r="BA1154" s="37" t="s">
        <v>197</v>
      </c>
      <c r="BB1154" s="37" t="s">
        <v>197</v>
      </c>
      <c r="BC1154" s="37" t="s">
        <v>197</v>
      </c>
      <c r="BD1154" s="37" t="s">
        <v>197</v>
      </c>
      <c r="BE1154" s="37" t="s">
        <v>197</v>
      </c>
      <c r="BF1154" s="37" t="s">
        <v>197</v>
      </c>
      <c r="BG1154" s="37" t="s">
        <v>197</v>
      </c>
      <c r="BH1154" s="37" t="s">
        <v>197</v>
      </c>
      <c r="BI1154" s="37" t="s">
        <v>197</v>
      </c>
      <c r="BJ1154" s="37" t="s">
        <v>197</v>
      </c>
      <c r="BK1154" s="37" t="s">
        <v>197</v>
      </c>
      <c r="BL1154" s="37" t="s">
        <v>197</v>
      </c>
      <c r="BM1154" s="37" t="s">
        <v>197</v>
      </c>
      <c r="BN1154" s="37" t="s">
        <v>197</v>
      </c>
      <c r="BO1154" s="37" t="s">
        <v>197</v>
      </c>
      <c r="BP1154" s="37" t="s">
        <v>197</v>
      </c>
      <c r="BQ1154" s="37" t="s">
        <v>197</v>
      </c>
      <c r="BR1154" s="37" t="s">
        <v>197</v>
      </c>
      <c r="BS1154" s="37" t="s">
        <v>197</v>
      </c>
      <c r="BT1154" s="37" t="s">
        <v>197</v>
      </c>
    </row>
    <row r="1155" spans="5:72" x14ac:dyDescent="0.25">
      <c r="E1155" s="36" t="s">
        <v>20</v>
      </c>
      <c r="F1155" s="36">
        <f t="shared" si="379"/>
        <v>0</v>
      </c>
      <c r="G1155" s="36">
        <f t="shared" si="380"/>
        <v>0</v>
      </c>
      <c r="H1155" s="36">
        <f t="shared" si="381"/>
        <v>0</v>
      </c>
      <c r="I1155" s="36">
        <f t="shared" si="382"/>
        <v>0</v>
      </c>
      <c r="J1155" s="36">
        <f t="shared" si="383"/>
        <v>0</v>
      </c>
      <c r="K1155" s="36">
        <f t="shared" si="384"/>
        <v>0</v>
      </c>
      <c r="L1155" s="36">
        <f t="shared" si="385"/>
        <v>0</v>
      </c>
      <c r="M1155" s="36">
        <f t="shared" si="386"/>
        <v>0</v>
      </c>
      <c r="N1155" s="36">
        <f t="shared" si="387"/>
        <v>0</v>
      </c>
      <c r="O1155" s="36">
        <f t="shared" si="388"/>
        <v>0</v>
      </c>
      <c r="P1155" s="36">
        <f t="shared" si="389"/>
        <v>0</v>
      </c>
      <c r="Q1155" s="36">
        <f t="shared" si="390"/>
        <v>0</v>
      </c>
      <c r="R1155" s="36">
        <f t="shared" si="391"/>
        <v>0</v>
      </c>
      <c r="S1155" s="36">
        <f t="shared" si="392"/>
        <v>0</v>
      </c>
      <c r="T1155" s="36">
        <f t="shared" si="393"/>
        <v>0</v>
      </c>
      <c r="U1155" s="36">
        <f t="shared" si="394"/>
        <v>0</v>
      </c>
      <c r="V1155" s="36">
        <f t="shared" si="395"/>
        <v>0</v>
      </c>
      <c r="W1155" s="36">
        <f t="shared" si="396"/>
        <v>0</v>
      </c>
      <c r="X1155" s="36">
        <f t="shared" si="397"/>
        <v>0</v>
      </c>
      <c r="Y1155" s="36">
        <f t="shared" si="398"/>
        <v>0</v>
      </c>
      <c r="Z1155" s="36">
        <f t="shared" si="399"/>
        <v>0</v>
      </c>
      <c r="AB1155" s="36" t="str">
        <f>IF(最佳化斷筋點!C1155="","",最佳化斷筋點!C1155)</f>
        <v>上層</v>
      </c>
      <c r="AC1155" s="37">
        <f>IF(最佳化斷筋點!D1155="","",最佳化斷筋點!D1155)</f>
        <v>5</v>
      </c>
      <c r="AD1155" s="37">
        <f>IF(最佳化斷筋點!E1155="","",最佳化斷筋點!E1155)</f>
        <v>5</v>
      </c>
      <c r="AE1155" s="37">
        <f>IF(最佳化斷筋點!F1155="","",最佳化斷筋點!F1155)</f>
        <v>5</v>
      </c>
      <c r="AF1155" s="37">
        <f>IF(最佳化斷筋點!G1155="","",最佳化斷筋點!G1155)</f>
        <v>5</v>
      </c>
      <c r="AG1155" s="37">
        <f>IF(最佳化斷筋點!H1155="","",最佳化斷筋點!H1155)</f>
        <v>5</v>
      </c>
      <c r="AH1155" s="37">
        <f>IF(最佳化斷筋點!I1155="","",最佳化斷筋點!I1155)</f>
        <v>5</v>
      </c>
      <c r="AI1155" s="37">
        <f>IF(最佳化斷筋點!J1155="","",最佳化斷筋點!J1155)</f>
        <v>5</v>
      </c>
      <c r="AJ1155" s="37">
        <f>IF(最佳化斷筋點!K1155="","",最佳化斷筋點!K1155)</f>
        <v>3</v>
      </c>
      <c r="AK1155" s="37">
        <f>IF(最佳化斷筋點!L1155="","",最佳化斷筋點!L1155)</f>
        <v>3</v>
      </c>
      <c r="AL1155" s="37">
        <f>IF(最佳化斷筋點!M1155="","",最佳化斷筋點!M1155)</f>
        <v>3</v>
      </c>
      <c r="AM1155" s="37">
        <f>IF(最佳化斷筋點!N1155="","",最佳化斷筋點!N1155)</f>
        <v>3</v>
      </c>
      <c r="AN1155" s="37">
        <f>IF(最佳化斷筋點!O1155="","",最佳化斷筋點!O1155)</f>
        <v>2</v>
      </c>
      <c r="AO1155" s="37">
        <f>IF(最佳化斷筋點!P1155="","",最佳化斷筋點!P1155)</f>
        <v>2</v>
      </c>
      <c r="AP1155" s="37">
        <f>IF(最佳化斷筋點!Q1155="","",最佳化斷筋點!Q1155)</f>
        <v>3</v>
      </c>
      <c r="AQ1155" s="37">
        <f>IF(最佳化斷筋點!R1155="","",最佳化斷筋點!R1155)</f>
        <v>3</v>
      </c>
      <c r="AR1155" s="37">
        <f>IF(最佳化斷筋點!S1155="","",最佳化斷筋點!S1155)</f>
        <v>3</v>
      </c>
      <c r="AS1155" s="37">
        <f>IF(最佳化斷筋點!T1155="","",最佳化斷筋點!T1155)</f>
        <v>4</v>
      </c>
      <c r="AT1155" s="37">
        <f>IF(最佳化斷筋點!U1155="","",最佳化斷筋點!U1155)</f>
        <v>4</v>
      </c>
      <c r="AU1155" s="37">
        <f>IF(最佳化斷筋點!V1155="","",最佳化斷筋點!V1155)</f>
        <v>4</v>
      </c>
      <c r="AV1155" s="37">
        <f>IF(最佳化斷筋點!W1155="","",最佳化斷筋點!W1155)</f>
        <v>4</v>
      </c>
      <c r="AW1155" s="37">
        <f>IF(最佳化斷筋點!X1155="","",最佳化斷筋點!X1155)</f>
        <v>4</v>
      </c>
      <c r="AZ1155" s="37">
        <v>5</v>
      </c>
      <c r="BA1155" s="37">
        <v>5</v>
      </c>
      <c r="BB1155" s="37">
        <v>5</v>
      </c>
      <c r="BC1155" s="37">
        <v>5</v>
      </c>
      <c r="BD1155" s="37">
        <v>5</v>
      </c>
      <c r="BE1155" s="37">
        <v>5</v>
      </c>
      <c r="BF1155" s="37">
        <v>5</v>
      </c>
      <c r="BG1155" s="37">
        <v>3</v>
      </c>
      <c r="BH1155" s="37">
        <v>3</v>
      </c>
      <c r="BI1155" s="37">
        <v>3</v>
      </c>
      <c r="BJ1155" s="37">
        <v>3</v>
      </c>
      <c r="BK1155" s="37">
        <v>2</v>
      </c>
      <c r="BL1155" s="37">
        <v>2</v>
      </c>
      <c r="BM1155" s="37">
        <v>3</v>
      </c>
      <c r="BN1155" s="37">
        <v>3</v>
      </c>
      <c r="BO1155" s="37">
        <v>3</v>
      </c>
      <c r="BP1155" s="37">
        <v>4</v>
      </c>
      <c r="BQ1155" s="37">
        <v>4</v>
      </c>
      <c r="BR1155" s="37">
        <v>4</v>
      </c>
      <c r="BS1155" s="37">
        <v>4</v>
      </c>
      <c r="BT1155" s="37">
        <v>4</v>
      </c>
    </row>
    <row r="1156" spans="5:72" x14ac:dyDescent="0.25">
      <c r="E1156" s="36"/>
      <c r="F1156" s="36">
        <f t="shared" si="379"/>
        <v>0</v>
      </c>
      <c r="G1156" s="36">
        <f t="shared" si="380"/>
        <v>0</v>
      </c>
      <c r="H1156" s="36">
        <f t="shared" si="381"/>
        <v>0</v>
      </c>
      <c r="I1156" s="36">
        <f t="shared" si="382"/>
        <v>0</v>
      </c>
      <c r="J1156" s="36">
        <f t="shared" si="383"/>
        <v>0</v>
      </c>
      <c r="K1156" s="36">
        <f t="shared" si="384"/>
        <v>0</v>
      </c>
      <c r="L1156" s="36">
        <f t="shared" si="385"/>
        <v>0</v>
      </c>
      <c r="M1156" s="36">
        <f t="shared" si="386"/>
        <v>0</v>
      </c>
      <c r="N1156" s="36">
        <f t="shared" si="387"/>
        <v>0</v>
      </c>
      <c r="O1156" s="36">
        <f t="shared" si="388"/>
        <v>0</v>
      </c>
      <c r="P1156" s="36">
        <f t="shared" si="389"/>
        <v>0</v>
      </c>
      <c r="Q1156" s="36">
        <f t="shared" si="390"/>
        <v>0</v>
      </c>
      <c r="R1156" s="36">
        <f t="shared" si="391"/>
        <v>0</v>
      </c>
      <c r="S1156" s="36">
        <f t="shared" si="392"/>
        <v>0</v>
      </c>
      <c r="T1156" s="36">
        <f t="shared" si="393"/>
        <v>0</v>
      </c>
      <c r="U1156" s="36">
        <f t="shared" si="394"/>
        <v>0</v>
      </c>
      <c r="V1156" s="36">
        <f t="shared" si="395"/>
        <v>0</v>
      </c>
      <c r="W1156" s="36">
        <f t="shared" si="396"/>
        <v>0</v>
      </c>
      <c r="X1156" s="36">
        <f t="shared" si="397"/>
        <v>0</v>
      </c>
      <c r="Y1156" s="36">
        <f t="shared" si="398"/>
        <v>0</v>
      </c>
      <c r="Z1156" s="36">
        <f t="shared" si="399"/>
        <v>0</v>
      </c>
      <c r="AB1156" s="36" t="str">
        <f>IF(最佳化斷筋點!C1156="","",最佳化斷筋點!C1156)</f>
        <v/>
      </c>
      <c r="AC1156" s="37" t="str">
        <f>IF(最佳化斷筋點!D1156="","",最佳化斷筋點!D1156)</f>
        <v/>
      </c>
      <c r="AD1156" s="37" t="str">
        <f>IF(最佳化斷筋點!E1156="","",最佳化斷筋點!E1156)</f>
        <v/>
      </c>
      <c r="AE1156" s="37" t="str">
        <f>IF(最佳化斷筋點!F1156="","",最佳化斷筋點!F1156)</f>
        <v/>
      </c>
      <c r="AF1156" s="37" t="str">
        <f>IF(最佳化斷筋點!G1156="","",最佳化斷筋點!G1156)</f>
        <v/>
      </c>
      <c r="AG1156" s="37" t="str">
        <f>IF(最佳化斷筋點!H1156="","",最佳化斷筋點!H1156)</f>
        <v/>
      </c>
      <c r="AH1156" s="37" t="str">
        <f>IF(最佳化斷筋點!I1156="","",最佳化斷筋點!I1156)</f>
        <v/>
      </c>
      <c r="AI1156" s="37" t="str">
        <f>IF(最佳化斷筋點!J1156="","",最佳化斷筋點!J1156)</f>
        <v/>
      </c>
      <c r="AJ1156" s="37" t="str">
        <f>IF(最佳化斷筋點!K1156="","",最佳化斷筋點!K1156)</f>
        <v/>
      </c>
      <c r="AK1156" s="37" t="str">
        <f>IF(最佳化斷筋點!L1156="","",最佳化斷筋點!L1156)</f>
        <v/>
      </c>
      <c r="AL1156" s="37" t="str">
        <f>IF(最佳化斷筋點!M1156="","",最佳化斷筋點!M1156)</f>
        <v/>
      </c>
      <c r="AM1156" s="37" t="str">
        <f>IF(最佳化斷筋點!N1156="","",最佳化斷筋點!N1156)</f>
        <v/>
      </c>
      <c r="AN1156" s="37" t="str">
        <f>IF(最佳化斷筋點!O1156="","",最佳化斷筋點!O1156)</f>
        <v/>
      </c>
      <c r="AO1156" s="37" t="str">
        <f>IF(最佳化斷筋點!P1156="","",最佳化斷筋點!P1156)</f>
        <v/>
      </c>
      <c r="AP1156" s="37" t="str">
        <f>IF(最佳化斷筋點!Q1156="","",最佳化斷筋點!Q1156)</f>
        <v/>
      </c>
      <c r="AQ1156" s="37" t="str">
        <f>IF(最佳化斷筋點!R1156="","",最佳化斷筋點!R1156)</f>
        <v/>
      </c>
      <c r="AR1156" s="37" t="str">
        <f>IF(最佳化斷筋點!S1156="","",最佳化斷筋點!S1156)</f>
        <v/>
      </c>
      <c r="AS1156" s="37" t="str">
        <f>IF(最佳化斷筋點!T1156="","",最佳化斷筋點!T1156)</f>
        <v/>
      </c>
      <c r="AT1156" s="37" t="str">
        <f>IF(最佳化斷筋點!U1156="","",最佳化斷筋點!U1156)</f>
        <v/>
      </c>
      <c r="AU1156" s="37" t="str">
        <f>IF(最佳化斷筋點!V1156="","",最佳化斷筋點!V1156)</f>
        <v/>
      </c>
      <c r="AV1156" s="37" t="str">
        <f>IF(最佳化斷筋點!W1156="","",最佳化斷筋點!W1156)</f>
        <v/>
      </c>
      <c r="AW1156" s="37" t="str">
        <f>IF(最佳化斷筋點!X1156="","",最佳化斷筋點!X1156)</f>
        <v/>
      </c>
      <c r="AZ1156" s="37" t="s">
        <v>197</v>
      </c>
      <c r="BA1156" s="37" t="s">
        <v>197</v>
      </c>
      <c r="BB1156" s="37" t="s">
        <v>197</v>
      </c>
      <c r="BC1156" s="37" t="s">
        <v>197</v>
      </c>
      <c r="BD1156" s="37" t="s">
        <v>197</v>
      </c>
      <c r="BE1156" s="37" t="s">
        <v>197</v>
      </c>
      <c r="BF1156" s="37" t="s">
        <v>197</v>
      </c>
      <c r="BG1156" s="37" t="s">
        <v>197</v>
      </c>
      <c r="BH1156" s="37" t="s">
        <v>197</v>
      </c>
      <c r="BI1156" s="37" t="s">
        <v>197</v>
      </c>
      <c r="BJ1156" s="37" t="s">
        <v>197</v>
      </c>
      <c r="BK1156" s="37" t="s">
        <v>197</v>
      </c>
      <c r="BL1156" s="37" t="s">
        <v>197</v>
      </c>
      <c r="BM1156" s="37" t="s">
        <v>197</v>
      </c>
      <c r="BN1156" s="37" t="s">
        <v>197</v>
      </c>
      <c r="BO1156" s="37" t="s">
        <v>197</v>
      </c>
      <c r="BP1156" s="37" t="s">
        <v>197</v>
      </c>
      <c r="BQ1156" s="37" t="s">
        <v>197</v>
      </c>
      <c r="BR1156" s="37" t="s">
        <v>197</v>
      </c>
      <c r="BS1156" s="37" t="s">
        <v>197</v>
      </c>
      <c r="BT1156" s="37" t="s">
        <v>197</v>
      </c>
    </row>
    <row r="1157" spans="5:72" x14ac:dyDescent="0.25">
      <c r="E1157" s="36" t="s">
        <v>21</v>
      </c>
      <c r="F1157" s="36">
        <f t="shared" si="379"/>
        <v>0</v>
      </c>
      <c r="G1157" s="36">
        <f t="shared" si="380"/>
        <v>0</v>
      </c>
      <c r="H1157" s="36">
        <f t="shared" si="381"/>
        <v>0</v>
      </c>
      <c r="I1157" s="36">
        <f t="shared" si="382"/>
        <v>0</v>
      </c>
      <c r="J1157" s="36">
        <f t="shared" si="383"/>
        <v>0</v>
      </c>
      <c r="K1157" s="36">
        <f t="shared" si="384"/>
        <v>0</v>
      </c>
      <c r="L1157" s="36">
        <f t="shared" si="385"/>
        <v>0</v>
      </c>
      <c r="M1157" s="36">
        <f t="shared" si="386"/>
        <v>0</v>
      </c>
      <c r="N1157" s="36">
        <f t="shared" si="387"/>
        <v>0</v>
      </c>
      <c r="O1157" s="36">
        <f t="shared" si="388"/>
        <v>0</v>
      </c>
      <c r="P1157" s="36">
        <f t="shared" si="389"/>
        <v>0</v>
      </c>
      <c r="Q1157" s="36">
        <f t="shared" si="390"/>
        <v>0</v>
      </c>
      <c r="R1157" s="36">
        <f t="shared" si="391"/>
        <v>0</v>
      </c>
      <c r="S1157" s="36">
        <f t="shared" si="392"/>
        <v>0</v>
      </c>
      <c r="T1157" s="36">
        <f t="shared" si="393"/>
        <v>0</v>
      </c>
      <c r="U1157" s="36">
        <f t="shared" si="394"/>
        <v>0</v>
      </c>
      <c r="V1157" s="36">
        <f t="shared" si="395"/>
        <v>0</v>
      </c>
      <c r="W1157" s="36">
        <f t="shared" si="396"/>
        <v>0</v>
      </c>
      <c r="X1157" s="36">
        <f t="shared" si="397"/>
        <v>0</v>
      </c>
      <c r="Y1157" s="36">
        <f t="shared" si="398"/>
        <v>0</v>
      </c>
      <c r="Z1157" s="36">
        <f t="shared" si="399"/>
        <v>0</v>
      </c>
      <c r="AB1157" s="36" t="str">
        <f>IF(最佳化斷筋點!C1157="","",最佳化斷筋點!C1157)</f>
        <v>下層</v>
      </c>
      <c r="AC1157" s="37">
        <f>IF(最佳化斷筋點!D1157="","",最佳化斷筋點!D1157)</f>
        <v>3</v>
      </c>
      <c r="AD1157" s="37">
        <f>IF(最佳化斷筋點!E1157="","",最佳化斷筋點!E1157)</f>
        <v>3</v>
      </c>
      <c r="AE1157" s="37">
        <f>IF(最佳化斷筋點!F1157="","",最佳化斷筋點!F1157)</f>
        <v>3</v>
      </c>
      <c r="AF1157" s="37">
        <f>IF(最佳化斷筋點!G1157="","",最佳化斷筋點!G1157)</f>
        <v>3</v>
      </c>
      <c r="AG1157" s="37">
        <f>IF(最佳化斷筋點!H1157="","",最佳化斷筋點!H1157)</f>
        <v>3</v>
      </c>
      <c r="AH1157" s="37">
        <f>IF(最佳化斷筋點!I1157="","",最佳化斷筋點!I1157)</f>
        <v>3</v>
      </c>
      <c r="AI1157" s="37">
        <f>IF(最佳化斷筋點!J1157="","",最佳化斷筋點!J1157)</f>
        <v>3</v>
      </c>
      <c r="AJ1157" s="37">
        <f>IF(最佳化斷筋點!K1157="","",最佳化斷筋點!K1157)</f>
        <v>3</v>
      </c>
      <c r="AK1157" s="37">
        <f>IF(最佳化斷筋點!L1157="","",最佳化斷筋點!L1157)</f>
        <v>3</v>
      </c>
      <c r="AL1157" s="37">
        <f>IF(最佳化斷筋點!M1157="","",最佳化斷筋點!M1157)</f>
        <v>3</v>
      </c>
      <c r="AM1157" s="37">
        <f>IF(最佳化斷筋點!N1157="","",最佳化斷筋點!N1157)</f>
        <v>3</v>
      </c>
      <c r="AN1157" s="37">
        <f>IF(最佳化斷筋點!O1157="","",最佳化斷筋點!O1157)</f>
        <v>3</v>
      </c>
      <c r="AO1157" s="37">
        <f>IF(最佳化斷筋點!P1157="","",最佳化斷筋點!P1157)</f>
        <v>3</v>
      </c>
      <c r="AP1157" s="37">
        <f>IF(最佳化斷筋點!Q1157="","",最佳化斷筋點!Q1157)</f>
        <v>3</v>
      </c>
      <c r="AQ1157" s="37">
        <f>IF(最佳化斷筋點!R1157="","",最佳化斷筋點!R1157)</f>
        <v>3</v>
      </c>
      <c r="AR1157" s="37">
        <f>IF(最佳化斷筋點!S1157="","",最佳化斷筋點!S1157)</f>
        <v>3</v>
      </c>
      <c r="AS1157" s="37">
        <f>IF(最佳化斷筋點!T1157="","",最佳化斷筋點!T1157)</f>
        <v>3</v>
      </c>
      <c r="AT1157" s="37">
        <f>IF(最佳化斷筋點!U1157="","",最佳化斷筋點!U1157)</f>
        <v>3</v>
      </c>
      <c r="AU1157" s="37">
        <f>IF(最佳化斷筋點!V1157="","",最佳化斷筋點!V1157)</f>
        <v>3</v>
      </c>
      <c r="AV1157" s="37">
        <f>IF(最佳化斷筋點!W1157="","",最佳化斷筋點!W1157)</f>
        <v>3</v>
      </c>
      <c r="AW1157" s="37">
        <f>IF(最佳化斷筋點!X1157="","",最佳化斷筋點!X1157)</f>
        <v>3</v>
      </c>
      <c r="AZ1157" s="37">
        <v>3</v>
      </c>
      <c r="BA1157" s="37">
        <v>3</v>
      </c>
      <c r="BB1157" s="37">
        <v>3</v>
      </c>
      <c r="BC1157" s="37">
        <v>3</v>
      </c>
      <c r="BD1157" s="37">
        <v>3</v>
      </c>
      <c r="BE1157" s="37">
        <v>3</v>
      </c>
      <c r="BF1157" s="37">
        <v>3</v>
      </c>
      <c r="BG1157" s="37">
        <v>3</v>
      </c>
      <c r="BH1157" s="37">
        <v>3</v>
      </c>
      <c r="BI1157" s="37">
        <v>3</v>
      </c>
      <c r="BJ1157" s="37">
        <v>3</v>
      </c>
      <c r="BK1157" s="37">
        <v>3</v>
      </c>
      <c r="BL1157" s="37">
        <v>3</v>
      </c>
      <c r="BM1157" s="37">
        <v>3</v>
      </c>
      <c r="BN1157" s="37">
        <v>3</v>
      </c>
      <c r="BO1157" s="37">
        <v>3</v>
      </c>
      <c r="BP1157" s="37">
        <v>3</v>
      </c>
      <c r="BQ1157" s="37">
        <v>3</v>
      </c>
      <c r="BR1157" s="37">
        <v>3</v>
      </c>
      <c r="BS1157" s="37">
        <v>3</v>
      </c>
      <c r="BT1157" s="37">
        <v>3</v>
      </c>
    </row>
    <row r="1158" spans="5:72" x14ac:dyDescent="0.25">
      <c r="E1158" s="36"/>
      <c r="F1158" s="36">
        <f t="shared" si="379"/>
        <v>0</v>
      </c>
      <c r="G1158" s="36">
        <f t="shared" si="380"/>
        <v>0</v>
      </c>
      <c r="H1158" s="36">
        <f t="shared" si="381"/>
        <v>0</v>
      </c>
      <c r="I1158" s="36">
        <f t="shared" si="382"/>
        <v>0</v>
      </c>
      <c r="J1158" s="36">
        <f t="shared" si="383"/>
        <v>0</v>
      </c>
      <c r="K1158" s="36">
        <f t="shared" si="384"/>
        <v>0</v>
      </c>
      <c r="L1158" s="36">
        <f t="shared" si="385"/>
        <v>0</v>
      </c>
      <c r="M1158" s="36">
        <f t="shared" si="386"/>
        <v>0</v>
      </c>
      <c r="N1158" s="36">
        <f t="shared" si="387"/>
        <v>0</v>
      </c>
      <c r="O1158" s="36">
        <f t="shared" si="388"/>
        <v>0</v>
      </c>
      <c r="P1158" s="36">
        <f t="shared" si="389"/>
        <v>0</v>
      </c>
      <c r="Q1158" s="36">
        <f t="shared" si="390"/>
        <v>0</v>
      </c>
      <c r="R1158" s="36">
        <f t="shared" si="391"/>
        <v>0</v>
      </c>
      <c r="S1158" s="36">
        <f t="shared" si="392"/>
        <v>0</v>
      </c>
      <c r="T1158" s="36">
        <f t="shared" si="393"/>
        <v>0</v>
      </c>
      <c r="U1158" s="36">
        <f t="shared" si="394"/>
        <v>0</v>
      </c>
      <c r="V1158" s="36">
        <f t="shared" si="395"/>
        <v>0</v>
      </c>
      <c r="W1158" s="36">
        <f t="shared" si="396"/>
        <v>0</v>
      </c>
      <c r="X1158" s="36">
        <f t="shared" si="397"/>
        <v>0</v>
      </c>
      <c r="Y1158" s="36">
        <f t="shared" si="398"/>
        <v>0</v>
      </c>
      <c r="Z1158" s="36">
        <f t="shared" si="399"/>
        <v>0</v>
      </c>
      <c r="AB1158" s="36" t="str">
        <f>IF(最佳化斷筋點!C1158="","",最佳化斷筋點!C1158)</f>
        <v/>
      </c>
      <c r="AC1158" s="37" t="str">
        <f>IF(最佳化斷筋點!D1158="","",最佳化斷筋點!D1158)</f>
        <v/>
      </c>
      <c r="AD1158" s="37" t="str">
        <f>IF(最佳化斷筋點!E1158="","",最佳化斷筋點!E1158)</f>
        <v/>
      </c>
      <c r="AE1158" s="37" t="str">
        <f>IF(最佳化斷筋點!F1158="","",最佳化斷筋點!F1158)</f>
        <v/>
      </c>
      <c r="AF1158" s="37" t="str">
        <f>IF(最佳化斷筋點!G1158="","",最佳化斷筋點!G1158)</f>
        <v/>
      </c>
      <c r="AG1158" s="37" t="str">
        <f>IF(最佳化斷筋點!H1158="","",最佳化斷筋點!H1158)</f>
        <v/>
      </c>
      <c r="AH1158" s="37" t="str">
        <f>IF(最佳化斷筋點!I1158="","",最佳化斷筋點!I1158)</f>
        <v/>
      </c>
      <c r="AI1158" s="37" t="str">
        <f>IF(最佳化斷筋點!J1158="","",最佳化斷筋點!J1158)</f>
        <v/>
      </c>
      <c r="AJ1158" s="37" t="str">
        <f>IF(最佳化斷筋點!K1158="","",最佳化斷筋點!K1158)</f>
        <v/>
      </c>
      <c r="AK1158" s="37" t="str">
        <f>IF(最佳化斷筋點!L1158="","",最佳化斷筋點!L1158)</f>
        <v/>
      </c>
      <c r="AL1158" s="37" t="str">
        <f>IF(最佳化斷筋點!M1158="","",最佳化斷筋點!M1158)</f>
        <v/>
      </c>
      <c r="AM1158" s="37" t="str">
        <f>IF(最佳化斷筋點!N1158="","",最佳化斷筋點!N1158)</f>
        <v/>
      </c>
      <c r="AN1158" s="37" t="str">
        <f>IF(最佳化斷筋點!O1158="","",最佳化斷筋點!O1158)</f>
        <v/>
      </c>
      <c r="AO1158" s="37" t="str">
        <f>IF(最佳化斷筋點!P1158="","",最佳化斷筋點!P1158)</f>
        <v/>
      </c>
      <c r="AP1158" s="37" t="str">
        <f>IF(最佳化斷筋點!Q1158="","",最佳化斷筋點!Q1158)</f>
        <v/>
      </c>
      <c r="AQ1158" s="37" t="str">
        <f>IF(最佳化斷筋點!R1158="","",最佳化斷筋點!R1158)</f>
        <v/>
      </c>
      <c r="AR1158" s="37" t="str">
        <f>IF(最佳化斷筋點!S1158="","",最佳化斷筋點!S1158)</f>
        <v/>
      </c>
      <c r="AS1158" s="37" t="str">
        <f>IF(最佳化斷筋點!T1158="","",最佳化斷筋點!T1158)</f>
        <v/>
      </c>
      <c r="AT1158" s="37" t="str">
        <f>IF(最佳化斷筋點!U1158="","",最佳化斷筋點!U1158)</f>
        <v/>
      </c>
      <c r="AU1158" s="37" t="str">
        <f>IF(最佳化斷筋點!V1158="","",最佳化斷筋點!V1158)</f>
        <v/>
      </c>
      <c r="AV1158" s="37" t="str">
        <f>IF(最佳化斷筋點!W1158="","",最佳化斷筋點!W1158)</f>
        <v/>
      </c>
      <c r="AW1158" s="37" t="str">
        <f>IF(最佳化斷筋點!X1158="","",最佳化斷筋點!X1158)</f>
        <v/>
      </c>
      <c r="AZ1158" s="37" t="s">
        <v>197</v>
      </c>
      <c r="BA1158" s="37" t="s">
        <v>197</v>
      </c>
      <c r="BB1158" s="37" t="s">
        <v>197</v>
      </c>
      <c r="BC1158" s="37" t="s">
        <v>197</v>
      </c>
      <c r="BD1158" s="37" t="s">
        <v>197</v>
      </c>
      <c r="BE1158" s="37" t="s">
        <v>197</v>
      </c>
      <c r="BF1158" s="37" t="s">
        <v>197</v>
      </c>
      <c r="BG1158" s="37" t="s">
        <v>197</v>
      </c>
      <c r="BH1158" s="37" t="s">
        <v>197</v>
      </c>
      <c r="BI1158" s="37" t="s">
        <v>197</v>
      </c>
      <c r="BJ1158" s="37" t="s">
        <v>197</v>
      </c>
      <c r="BK1158" s="37" t="s">
        <v>197</v>
      </c>
      <c r="BL1158" s="37" t="s">
        <v>197</v>
      </c>
      <c r="BM1158" s="37" t="s">
        <v>197</v>
      </c>
      <c r="BN1158" s="37" t="s">
        <v>197</v>
      </c>
      <c r="BO1158" s="37" t="s">
        <v>197</v>
      </c>
      <c r="BP1158" s="37" t="s">
        <v>197</v>
      </c>
      <c r="BQ1158" s="37" t="s">
        <v>197</v>
      </c>
      <c r="BR1158" s="37" t="s">
        <v>197</v>
      </c>
      <c r="BS1158" s="37" t="s">
        <v>197</v>
      </c>
      <c r="BT1158" s="37" t="s">
        <v>197</v>
      </c>
    </row>
    <row r="1159" spans="5:72" x14ac:dyDescent="0.25">
      <c r="E1159" s="36" t="s">
        <v>20</v>
      </c>
      <c r="F1159" s="36">
        <f t="shared" si="379"/>
        <v>0</v>
      </c>
      <c r="G1159" s="36">
        <f t="shared" si="380"/>
        <v>0</v>
      </c>
      <c r="H1159" s="36">
        <f t="shared" si="381"/>
        <v>0</v>
      </c>
      <c r="I1159" s="36">
        <f t="shared" si="382"/>
        <v>0</v>
      </c>
      <c r="J1159" s="36">
        <f t="shared" si="383"/>
        <v>0</v>
      </c>
      <c r="K1159" s="36">
        <f t="shared" si="384"/>
        <v>0</v>
      </c>
      <c r="L1159" s="36">
        <f t="shared" si="385"/>
        <v>0</v>
      </c>
      <c r="M1159" s="36">
        <f t="shared" si="386"/>
        <v>0</v>
      </c>
      <c r="N1159" s="36">
        <f t="shared" si="387"/>
        <v>0</v>
      </c>
      <c r="O1159" s="36">
        <f t="shared" si="388"/>
        <v>0</v>
      </c>
      <c r="P1159" s="36">
        <f t="shared" si="389"/>
        <v>0</v>
      </c>
      <c r="Q1159" s="36">
        <f t="shared" si="390"/>
        <v>0</v>
      </c>
      <c r="R1159" s="36">
        <f t="shared" si="391"/>
        <v>0</v>
      </c>
      <c r="S1159" s="36">
        <f t="shared" si="392"/>
        <v>0</v>
      </c>
      <c r="T1159" s="36">
        <f t="shared" si="393"/>
        <v>0</v>
      </c>
      <c r="U1159" s="36">
        <f t="shared" si="394"/>
        <v>0</v>
      </c>
      <c r="V1159" s="36">
        <f t="shared" si="395"/>
        <v>0</v>
      </c>
      <c r="W1159" s="36">
        <f t="shared" si="396"/>
        <v>0</v>
      </c>
      <c r="X1159" s="36">
        <f t="shared" si="397"/>
        <v>0</v>
      </c>
      <c r="Y1159" s="36">
        <f t="shared" si="398"/>
        <v>0</v>
      </c>
      <c r="Z1159" s="36">
        <f t="shared" si="399"/>
        <v>0</v>
      </c>
      <c r="AB1159" s="36" t="str">
        <f>IF(最佳化斷筋點!C1159="","",最佳化斷筋點!C1159)</f>
        <v>上層</v>
      </c>
      <c r="AC1159" s="37">
        <f>IF(最佳化斷筋點!D1159="","",最佳化斷筋點!D1159)</f>
        <v>7</v>
      </c>
      <c r="AD1159" s="37">
        <f>IF(最佳化斷筋點!E1159="","",最佳化斷筋點!E1159)</f>
        <v>7</v>
      </c>
      <c r="AE1159" s="37">
        <f>IF(最佳化斷筋點!F1159="","",最佳化斷筋點!F1159)</f>
        <v>7</v>
      </c>
      <c r="AF1159" s="37">
        <f>IF(最佳化斷筋點!G1159="","",最佳化斷筋點!G1159)</f>
        <v>7</v>
      </c>
      <c r="AG1159" s="37">
        <f>IF(最佳化斷筋點!H1159="","",最佳化斷筋點!H1159)</f>
        <v>7</v>
      </c>
      <c r="AH1159" s="37">
        <f>IF(最佳化斷筋點!I1159="","",最佳化斷筋點!I1159)</f>
        <v>6</v>
      </c>
      <c r="AI1159" s="37">
        <f>IF(最佳化斷筋點!J1159="","",最佳化斷筋點!J1159)</f>
        <v>6</v>
      </c>
      <c r="AJ1159" s="37">
        <f>IF(最佳化斷筋點!K1159="","",最佳化斷筋點!K1159)</f>
        <v>3</v>
      </c>
      <c r="AK1159" s="37">
        <f>IF(最佳化斷筋點!L1159="","",最佳化斷筋點!L1159)</f>
        <v>3</v>
      </c>
      <c r="AL1159" s="37">
        <f>IF(最佳化斷筋點!M1159="","",最佳化斷筋點!M1159)</f>
        <v>3</v>
      </c>
      <c r="AM1159" s="37">
        <f>IF(最佳化斷筋點!N1159="","",最佳化斷筋點!N1159)</f>
        <v>3</v>
      </c>
      <c r="AN1159" s="37">
        <f>IF(最佳化斷筋點!O1159="","",最佳化斷筋點!O1159)</f>
        <v>2</v>
      </c>
      <c r="AO1159" s="37">
        <f>IF(最佳化斷筋點!P1159="","",最佳化斷筋點!P1159)</f>
        <v>3</v>
      </c>
      <c r="AP1159" s="37">
        <f>IF(最佳化斷筋點!Q1159="","",最佳化斷筋點!Q1159)</f>
        <v>3</v>
      </c>
      <c r="AQ1159" s="37">
        <f>IF(最佳化斷筋點!R1159="","",最佳化斷筋點!R1159)</f>
        <v>4</v>
      </c>
      <c r="AR1159" s="37">
        <f>IF(最佳化斷筋點!S1159="","",最佳化斷筋點!S1159)</f>
        <v>4</v>
      </c>
      <c r="AS1159" s="37">
        <f>IF(最佳化斷筋點!T1159="","",最佳化斷筋點!T1159)</f>
        <v>5</v>
      </c>
      <c r="AT1159" s="37">
        <f>IF(最佳化斷筋點!U1159="","",最佳化斷筋點!U1159)</f>
        <v>5</v>
      </c>
      <c r="AU1159" s="37">
        <f>IF(最佳化斷筋點!V1159="","",最佳化斷筋點!V1159)</f>
        <v>5</v>
      </c>
      <c r="AV1159" s="37">
        <f>IF(最佳化斷筋點!W1159="","",最佳化斷筋點!W1159)</f>
        <v>5</v>
      </c>
      <c r="AW1159" s="37">
        <f>IF(最佳化斷筋點!X1159="","",最佳化斷筋點!X1159)</f>
        <v>5</v>
      </c>
      <c r="AZ1159" s="37">
        <v>7</v>
      </c>
      <c r="BA1159" s="37">
        <v>7</v>
      </c>
      <c r="BB1159" s="37">
        <v>7</v>
      </c>
      <c r="BC1159" s="37">
        <v>7</v>
      </c>
      <c r="BD1159" s="37">
        <v>7</v>
      </c>
      <c r="BE1159" s="37">
        <v>6</v>
      </c>
      <c r="BF1159" s="37">
        <v>6</v>
      </c>
      <c r="BG1159" s="37">
        <v>3</v>
      </c>
      <c r="BH1159" s="37">
        <v>3</v>
      </c>
      <c r="BI1159" s="37">
        <v>3</v>
      </c>
      <c r="BJ1159" s="37">
        <v>3</v>
      </c>
      <c r="BK1159" s="37">
        <v>2</v>
      </c>
      <c r="BL1159" s="37">
        <v>3</v>
      </c>
      <c r="BM1159" s="37">
        <v>3</v>
      </c>
      <c r="BN1159" s="37">
        <v>4</v>
      </c>
      <c r="BO1159" s="37">
        <v>4</v>
      </c>
      <c r="BP1159" s="37">
        <v>5</v>
      </c>
      <c r="BQ1159" s="37">
        <v>5</v>
      </c>
      <c r="BR1159" s="37">
        <v>5</v>
      </c>
      <c r="BS1159" s="37">
        <v>5</v>
      </c>
      <c r="BT1159" s="37">
        <v>5</v>
      </c>
    </row>
    <row r="1160" spans="5:72" x14ac:dyDescent="0.25">
      <c r="E1160" s="36"/>
      <c r="F1160" s="36">
        <f t="shared" si="379"/>
        <v>0</v>
      </c>
      <c r="G1160" s="36">
        <f t="shared" si="380"/>
        <v>0</v>
      </c>
      <c r="H1160" s="36">
        <f t="shared" si="381"/>
        <v>0</v>
      </c>
      <c r="I1160" s="36">
        <f t="shared" si="382"/>
        <v>0</v>
      </c>
      <c r="J1160" s="36">
        <f t="shared" si="383"/>
        <v>0</v>
      </c>
      <c r="K1160" s="36">
        <f t="shared" si="384"/>
        <v>0</v>
      </c>
      <c r="L1160" s="36">
        <f t="shared" si="385"/>
        <v>0</v>
      </c>
      <c r="M1160" s="36">
        <f t="shared" si="386"/>
        <v>0</v>
      </c>
      <c r="N1160" s="36">
        <f t="shared" si="387"/>
        <v>0</v>
      </c>
      <c r="O1160" s="36">
        <f t="shared" si="388"/>
        <v>0</v>
      </c>
      <c r="P1160" s="36">
        <f t="shared" si="389"/>
        <v>0</v>
      </c>
      <c r="Q1160" s="36">
        <f t="shared" si="390"/>
        <v>0</v>
      </c>
      <c r="R1160" s="36">
        <f t="shared" si="391"/>
        <v>0</v>
      </c>
      <c r="S1160" s="36">
        <f t="shared" si="392"/>
        <v>0</v>
      </c>
      <c r="T1160" s="36">
        <f t="shared" si="393"/>
        <v>0</v>
      </c>
      <c r="U1160" s="36">
        <f t="shared" si="394"/>
        <v>0</v>
      </c>
      <c r="V1160" s="36">
        <f t="shared" si="395"/>
        <v>0</v>
      </c>
      <c r="W1160" s="36">
        <f t="shared" si="396"/>
        <v>0</v>
      </c>
      <c r="X1160" s="36">
        <f t="shared" si="397"/>
        <v>0</v>
      </c>
      <c r="Y1160" s="36">
        <f t="shared" si="398"/>
        <v>0</v>
      </c>
      <c r="Z1160" s="36">
        <f t="shared" si="399"/>
        <v>0</v>
      </c>
      <c r="AB1160" s="36" t="str">
        <f>IF(最佳化斷筋點!C1160="","",最佳化斷筋點!C1160)</f>
        <v/>
      </c>
      <c r="AC1160" s="37" t="str">
        <f>IF(最佳化斷筋點!D1160="","",最佳化斷筋點!D1160)</f>
        <v/>
      </c>
      <c r="AD1160" s="37" t="str">
        <f>IF(最佳化斷筋點!E1160="","",最佳化斷筋點!E1160)</f>
        <v/>
      </c>
      <c r="AE1160" s="37" t="str">
        <f>IF(最佳化斷筋點!F1160="","",最佳化斷筋點!F1160)</f>
        <v/>
      </c>
      <c r="AF1160" s="37" t="str">
        <f>IF(最佳化斷筋點!G1160="","",最佳化斷筋點!G1160)</f>
        <v/>
      </c>
      <c r="AG1160" s="37" t="str">
        <f>IF(最佳化斷筋點!H1160="","",最佳化斷筋點!H1160)</f>
        <v/>
      </c>
      <c r="AH1160" s="37" t="str">
        <f>IF(最佳化斷筋點!I1160="","",最佳化斷筋點!I1160)</f>
        <v/>
      </c>
      <c r="AI1160" s="37" t="str">
        <f>IF(最佳化斷筋點!J1160="","",最佳化斷筋點!J1160)</f>
        <v/>
      </c>
      <c r="AJ1160" s="37" t="str">
        <f>IF(最佳化斷筋點!K1160="","",最佳化斷筋點!K1160)</f>
        <v/>
      </c>
      <c r="AK1160" s="37" t="str">
        <f>IF(最佳化斷筋點!L1160="","",最佳化斷筋點!L1160)</f>
        <v/>
      </c>
      <c r="AL1160" s="37" t="str">
        <f>IF(最佳化斷筋點!M1160="","",最佳化斷筋點!M1160)</f>
        <v/>
      </c>
      <c r="AM1160" s="37" t="str">
        <f>IF(最佳化斷筋點!N1160="","",最佳化斷筋點!N1160)</f>
        <v/>
      </c>
      <c r="AN1160" s="37" t="str">
        <f>IF(最佳化斷筋點!O1160="","",最佳化斷筋點!O1160)</f>
        <v/>
      </c>
      <c r="AO1160" s="37" t="str">
        <f>IF(最佳化斷筋點!P1160="","",最佳化斷筋點!P1160)</f>
        <v/>
      </c>
      <c r="AP1160" s="37" t="str">
        <f>IF(最佳化斷筋點!Q1160="","",最佳化斷筋點!Q1160)</f>
        <v/>
      </c>
      <c r="AQ1160" s="37" t="str">
        <f>IF(最佳化斷筋點!R1160="","",最佳化斷筋點!R1160)</f>
        <v/>
      </c>
      <c r="AR1160" s="37" t="str">
        <f>IF(最佳化斷筋點!S1160="","",最佳化斷筋點!S1160)</f>
        <v/>
      </c>
      <c r="AS1160" s="37" t="str">
        <f>IF(最佳化斷筋點!T1160="","",最佳化斷筋點!T1160)</f>
        <v/>
      </c>
      <c r="AT1160" s="37" t="str">
        <f>IF(最佳化斷筋點!U1160="","",最佳化斷筋點!U1160)</f>
        <v/>
      </c>
      <c r="AU1160" s="37" t="str">
        <f>IF(最佳化斷筋點!V1160="","",最佳化斷筋點!V1160)</f>
        <v/>
      </c>
      <c r="AV1160" s="37" t="str">
        <f>IF(最佳化斷筋點!W1160="","",最佳化斷筋點!W1160)</f>
        <v/>
      </c>
      <c r="AW1160" s="37" t="str">
        <f>IF(最佳化斷筋點!X1160="","",最佳化斷筋點!X1160)</f>
        <v/>
      </c>
      <c r="AZ1160" s="37" t="s">
        <v>197</v>
      </c>
      <c r="BA1160" s="37" t="s">
        <v>197</v>
      </c>
      <c r="BB1160" s="37" t="s">
        <v>197</v>
      </c>
      <c r="BC1160" s="37" t="s">
        <v>197</v>
      </c>
      <c r="BD1160" s="37" t="s">
        <v>197</v>
      </c>
      <c r="BE1160" s="37" t="s">
        <v>197</v>
      </c>
      <c r="BF1160" s="37" t="s">
        <v>197</v>
      </c>
      <c r="BG1160" s="37" t="s">
        <v>197</v>
      </c>
      <c r="BH1160" s="37" t="s">
        <v>197</v>
      </c>
      <c r="BI1160" s="37" t="s">
        <v>197</v>
      </c>
      <c r="BJ1160" s="37" t="s">
        <v>197</v>
      </c>
      <c r="BK1160" s="37" t="s">
        <v>197</v>
      </c>
      <c r="BL1160" s="37" t="s">
        <v>197</v>
      </c>
      <c r="BM1160" s="37" t="s">
        <v>197</v>
      </c>
      <c r="BN1160" s="37" t="s">
        <v>197</v>
      </c>
      <c r="BO1160" s="37" t="s">
        <v>197</v>
      </c>
      <c r="BP1160" s="37" t="s">
        <v>197</v>
      </c>
      <c r="BQ1160" s="37" t="s">
        <v>197</v>
      </c>
      <c r="BR1160" s="37" t="s">
        <v>197</v>
      </c>
      <c r="BS1160" s="37" t="s">
        <v>197</v>
      </c>
      <c r="BT1160" s="37" t="s">
        <v>197</v>
      </c>
    </row>
    <row r="1161" spans="5:72" x14ac:dyDescent="0.25">
      <c r="E1161" s="36" t="s">
        <v>21</v>
      </c>
      <c r="F1161" s="36">
        <f t="shared" si="379"/>
        <v>0</v>
      </c>
      <c r="G1161" s="36">
        <f t="shared" si="380"/>
        <v>0</v>
      </c>
      <c r="H1161" s="36">
        <f t="shared" si="381"/>
        <v>0</v>
      </c>
      <c r="I1161" s="36">
        <f t="shared" si="382"/>
        <v>0</v>
      </c>
      <c r="J1161" s="36">
        <f t="shared" si="383"/>
        <v>0</v>
      </c>
      <c r="K1161" s="36">
        <f t="shared" si="384"/>
        <v>0</v>
      </c>
      <c r="L1161" s="36">
        <f t="shared" si="385"/>
        <v>0</v>
      </c>
      <c r="M1161" s="36">
        <f t="shared" si="386"/>
        <v>0</v>
      </c>
      <c r="N1161" s="36">
        <f t="shared" si="387"/>
        <v>0</v>
      </c>
      <c r="O1161" s="36">
        <f t="shared" si="388"/>
        <v>0</v>
      </c>
      <c r="P1161" s="36">
        <f t="shared" si="389"/>
        <v>0</v>
      </c>
      <c r="Q1161" s="36">
        <f t="shared" si="390"/>
        <v>0</v>
      </c>
      <c r="R1161" s="36">
        <f t="shared" si="391"/>
        <v>0</v>
      </c>
      <c r="S1161" s="36">
        <f t="shared" si="392"/>
        <v>0</v>
      </c>
      <c r="T1161" s="36">
        <f t="shared" si="393"/>
        <v>0</v>
      </c>
      <c r="U1161" s="36">
        <f t="shared" si="394"/>
        <v>0</v>
      </c>
      <c r="V1161" s="36">
        <f t="shared" si="395"/>
        <v>0</v>
      </c>
      <c r="W1161" s="36">
        <f t="shared" si="396"/>
        <v>0</v>
      </c>
      <c r="X1161" s="36">
        <f t="shared" si="397"/>
        <v>0</v>
      </c>
      <c r="Y1161" s="36">
        <f t="shared" si="398"/>
        <v>0</v>
      </c>
      <c r="Z1161" s="36">
        <f t="shared" si="399"/>
        <v>0</v>
      </c>
      <c r="AB1161" s="36" t="str">
        <f>IF(最佳化斷筋點!C1161="","",最佳化斷筋點!C1161)</f>
        <v>下層</v>
      </c>
      <c r="AC1161" s="37">
        <f>IF(最佳化斷筋點!D1161="","",最佳化斷筋點!D1161)</f>
        <v>4</v>
      </c>
      <c r="AD1161" s="37">
        <f>IF(最佳化斷筋點!E1161="","",最佳化斷筋點!E1161)</f>
        <v>4</v>
      </c>
      <c r="AE1161" s="37">
        <f>IF(最佳化斷筋點!F1161="","",最佳化斷筋點!F1161)</f>
        <v>4</v>
      </c>
      <c r="AF1161" s="37">
        <f>IF(最佳化斷筋點!G1161="","",最佳化斷筋點!G1161)</f>
        <v>4</v>
      </c>
      <c r="AG1161" s="37">
        <f>IF(最佳化斷筋點!H1161="","",最佳化斷筋點!H1161)</f>
        <v>4</v>
      </c>
      <c r="AH1161" s="37">
        <f>IF(最佳化斷筋點!I1161="","",最佳化斷筋點!I1161)</f>
        <v>4</v>
      </c>
      <c r="AI1161" s="37">
        <f>IF(最佳化斷筋點!J1161="","",最佳化斷筋點!J1161)</f>
        <v>4</v>
      </c>
      <c r="AJ1161" s="37">
        <f>IF(最佳化斷筋點!K1161="","",最佳化斷筋點!K1161)</f>
        <v>4</v>
      </c>
      <c r="AK1161" s="37">
        <f>IF(最佳化斷筋點!L1161="","",最佳化斷筋點!L1161)</f>
        <v>4</v>
      </c>
      <c r="AL1161" s="37">
        <f>IF(最佳化斷筋點!M1161="","",最佳化斷筋點!M1161)</f>
        <v>4</v>
      </c>
      <c r="AM1161" s="37">
        <f>IF(最佳化斷筋點!N1161="","",最佳化斷筋點!N1161)</f>
        <v>4</v>
      </c>
      <c r="AN1161" s="37">
        <f>IF(最佳化斷筋點!O1161="","",最佳化斷筋點!O1161)</f>
        <v>4</v>
      </c>
      <c r="AO1161" s="37">
        <f>IF(最佳化斷筋點!P1161="","",最佳化斷筋點!P1161)</f>
        <v>4</v>
      </c>
      <c r="AP1161" s="37">
        <f>IF(最佳化斷筋點!Q1161="","",最佳化斷筋點!Q1161)</f>
        <v>4</v>
      </c>
      <c r="AQ1161" s="37">
        <f>IF(最佳化斷筋點!R1161="","",最佳化斷筋點!R1161)</f>
        <v>4</v>
      </c>
      <c r="AR1161" s="37">
        <f>IF(最佳化斷筋點!S1161="","",最佳化斷筋點!S1161)</f>
        <v>4</v>
      </c>
      <c r="AS1161" s="37">
        <f>IF(最佳化斷筋點!T1161="","",最佳化斷筋點!T1161)</f>
        <v>4</v>
      </c>
      <c r="AT1161" s="37">
        <f>IF(最佳化斷筋點!U1161="","",最佳化斷筋點!U1161)</f>
        <v>4</v>
      </c>
      <c r="AU1161" s="37">
        <f>IF(最佳化斷筋點!V1161="","",最佳化斷筋點!V1161)</f>
        <v>4</v>
      </c>
      <c r="AV1161" s="37">
        <f>IF(最佳化斷筋點!W1161="","",最佳化斷筋點!W1161)</f>
        <v>4</v>
      </c>
      <c r="AW1161" s="37">
        <f>IF(最佳化斷筋點!X1161="","",最佳化斷筋點!X1161)</f>
        <v>4</v>
      </c>
      <c r="AZ1161" s="37">
        <v>4</v>
      </c>
      <c r="BA1161" s="37">
        <v>4</v>
      </c>
      <c r="BB1161" s="37">
        <v>4</v>
      </c>
      <c r="BC1161" s="37">
        <v>4</v>
      </c>
      <c r="BD1161" s="37">
        <v>4</v>
      </c>
      <c r="BE1161" s="37">
        <v>4</v>
      </c>
      <c r="BF1161" s="37">
        <v>4</v>
      </c>
      <c r="BG1161" s="37">
        <v>4</v>
      </c>
      <c r="BH1161" s="37">
        <v>4</v>
      </c>
      <c r="BI1161" s="37">
        <v>4</v>
      </c>
      <c r="BJ1161" s="37">
        <v>4</v>
      </c>
      <c r="BK1161" s="37">
        <v>4</v>
      </c>
      <c r="BL1161" s="37">
        <v>4</v>
      </c>
      <c r="BM1161" s="37">
        <v>4</v>
      </c>
      <c r="BN1161" s="37">
        <v>4</v>
      </c>
      <c r="BO1161" s="37">
        <v>4</v>
      </c>
      <c r="BP1161" s="37">
        <v>4</v>
      </c>
      <c r="BQ1161" s="37">
        <v>4</v>
      </c>
      <c r="BR1161" s="37">
        <v>4</v>
      </c>
      <c r="BS1161" s="37">
        <v>4</v>
      </c>
      <c r="BT1161" s="37">
        <v>4</v>
      </c>
    </row>
    <row r="1162" spans="5:72" x14ac:dyDescent="0.25">
      <c r="E1162" s="36"/>
      <c r="F1162" s="36">
        <f t="shared" si="379"/>
        <v>0</v>
      </c>
      <c r="G1162" s="36">
        <f t="shared" si="380"/>
        <v>0</v>
      </c>
      <c r="H1162" s="36">
        <f t="shared" si="381"/>
        <v>0</v>
      </c>
      <c r="I1162" s="36">
        <f t="shared" si="382"/>
        <v>0</v>
      </c>
      <c r="J1162" s="36">
        <f t="shared" si="383"/>
        <v>0</v>
      </c>
      <c r="K1162" s="36">
        <f t="shared" si="384"/>
        <v>0</v>
      </c>
      <c r="L1162" s="36">
        <f t="shared" si="385"/>
        <v>0</v>
      </c>
      <c r="M1162" s="36">
        <f t="shared" si="386"/>
        <v>0</v>
      </c>
      <c r="N1162" s="36">
        <f t="shared" si="387"/>
        <v>0</v>
      </c>
      <c r="O1162" s="36">
        <f t="shared" si="388"/>
        <v>0</v>
      </c>
      <c r="P1162" s="36">
        <f t="shared" si="389"/>
        <v>0</v>
      </c>
      <c r="Q1162" s="36">
        <f t="shared" si="390"/>
        <v>0</v>
      </c>
      <c r="R1162" s="36">
        <f t="shared" si="391"/>
        <v>0</v>
      </c>
      <c r="S1162" s="36">
        <f t="shared" si="392"/>
        <v>0</v>
      </c>
      <c r="T1162" s="36">
        <f t="shared" si="393"/>
        <v>0</v>
      </c>
      <c r="U1162" s="36">
        <f t="shared" si="394"/>
        <v>0</v>
      </c>
      <c r="V1162" s="36">
        <f t="shared" si="395"/>
        <v>0</v>
      </c>
      <c r="W1162" s="36">
        <f t="shared" si="396"/>
        <v>0</v>
      </c>
      <c r="X1162" s="36">
        <f t="shared" si="397"/>
        <v>0</v>
      </c>
      <c r="Y1162" s="36">
        <f t="shared" si="398"/>
        <v>0</v>
      </c>
      <c r="Z1162" s="36">
        <f t="shared" si="399"/>
        <v>0</v>
      </c>
      <c r="AB1162" s="36" t="str">
        <f>IF(最佳化斷筋點!C1162="","",最佳化斷筋點!C1162)</f>
        <v/>
      </c>
      <c r="AC1162" s="37" t="str">
        <f>IF(最佳化斷筋點!D1162="","",最佳化斷筋點!D1162)</f>
        <v/>
      </c>
      <c r="AD1162" s="37" t="str">
        <f>IF(最佳化斷筋點!E1162="","",最佳化斷筋點!E1162)</f>
        <v/>
      </c>
      <c r="AE1162" s="37" t="str">
        <f>IF(最佳化斷筋點!F1162="","",最佳化斷筋點!F1162)</f>
        <v/>
      </c>
      <c r="AF1162" s="37" t="str">
        <f>IF(最佳化斷筋點!G1162="","",最佳化斷筋點!G1162)</f>
        <v/>
      </c>
      <c r="AG1162" s="37" t="str">
        <f>IF(最佳化斷筋點!H1162="","",最佳化斷筋點!H1162)</f>
        <v/>
      </c>
      <c r="AH1162" s="37" t="str">
        <f>IF(最佳化斷筋點!I1162="","",最佳化斷筋點!I1162)</f>
        <v/>
      </c>
      <c r="AI1162" s="37" t="str">
        <f>IF(最佳化斷筋點!J1162="","",最佳化斷筋點!J1162)</f>
        <v/>
      </c>
      <c r="AJ1162" s="37" t="str">
        <f>IF(最佳化斷筋點!K1162="","",最佳化斷筋點!K1162)</f>
        <v/>
      </c>
      <c r="AK1162" s="37" t="str">
        <f>IF(最佳化斷筋點!L1162="","",最佳化斷筋點!L1162)</f>
        <v/>
      </c>
      <c r="AL1162" s="37" t="str">
        <f>IF(最佳化斷筋點!M1162="","",最佳化斷筋點!M1162)</f>
        <v/>
      </c>
      <c r="AM1162" s="37" t="str">
        <f>IF(最佳化斷筋點!N1162="","",最佳化斷筋點!N1162)</f>
        <v/>
      </c>
      <c r="AN1162" s="37" t="str">
        <f>IF(最佳化斷筋點!O1162="","",最佳化斷筋點!O1162)</f>
        <v/>
      </c>
      <c r="AO1162" s="37" t="str">
        <f>IF(最佳化斷筋點!P1162="","",最佳化斷筋點!P1162)</f>
        <v/>
      </c>
      <c r="AP1162" s="37" t="str">
        <f>IF(最佳化斷筋點!Q1162="","",最佳化斷筋點!Q1162)</f>
        <v/>
      </c>
      <c r="AQ1162" s="37" t="str">
        <f>IF(最佳化斷筋點!R1162="","",最佳化斷筋點!R1162)</f>
        <v/>
      </c>
      <c r="AR1162" s="37" t="str">
        <f>IF(最佳化斷筋點!S1162="","",最佳化斷筋點!S1162)</f>
        <v/>
      </c>
      <c r="AS1162" s="37" t="str">
        <f>IF(最佳化斷筋點!T1162="","",最佳化斷筋點!T1162)</f>
        <v/>
      </c>
      <c r="AT1162" s="37" t="str">
        <f>IF(最佳化斷筋點!U1162="","",最佳化斷筋點!U1162)</f>
        <v/>
      </c>
      <c r="AU1162" s="37" t="str">
        <f>IF(最佳化斷筋點!V1162="","",最佳化斷筋點!V1162)</f>
        <v/>
      </c>
      <c r="AV1162" s="37" t="str">
        <f>IF(最佳化斷筋點!W1162="","",最佳化斷筋點!W1162)</f>
        <v/>
      </c>
      <c r="AW1162" s="37" t="str">
        <f>IF(最佳化斷筋點!X1162="","",最佳化斷筋點!X1162)</f>
        <v/>
      </c>
      <c r="AZ1162" s="37" t="s">
        <v>197</v>
      </c>
      <c r="BA1162" s="37" t="s">
        <v>197</v>
      </c>
      <c r="BB1162" s="37" t="s">
        <v>197</v>
      </c>
      <c r="BC1162" s="37" t="s">
        <v>197</v>
      </c>
      <c r="BD1162" s="37" t="s">
        <v>197</v>
      </c>
      <c r="BE1162" s="37" t="s">
        <v>197</v>
      </c>
      <c r="BF1162" s="37" t="s">
        <v>197</v>
      </c>
      <c r="BG1162" s="37" t="s">
        <v>197</v>
      </c>
      <c r="BH1162" s="37" t="s">
        <v>197</v>
      </c>
      <c r="BI1162" s="37" t="s">
        <v>197</v>
      </c>
      <c r="BJ1162" s="37" t="s">
        <v>197</v>
      </c>
      <c r="BK1162" s="37" t="s">
        <v>197</v>
      </c>
      <c r="BL1162" s="37" t="s">
        <v>197</v>
      </c>
      <c r="BM1162" s="37" t="s">
        <v>197</v>
      </c>
      <c r="BN1162" s="37" t="s">
        <v>197</v>
      </c>
      <c r="BO1162" s="37" t="s">
        <v>197</v>
      </c>
      <c r="BP1162" s="37" t="s">
        <v>197</v>
      </c>
      <c r="BQ1162" s="37" t="s">
        <v>197</v>
      </c>
      <c r="BR1162" s="37" t="s">
        <v>197</v>
      </c>
      <c r="BS1162" s="37" t="s">
        <v>197</v>
      </c>
      <c r="BT1162" s="37" t="s">
        <v>197</v>
      </c>
    </row>
    <row r="1163" spans="5:72" x14ac:dyDescent="0.25">
      <c r="E1163" s="36" t="s">
        <v>20</v>
      </c>
      <c r="F1163" s="36">
        <f t="shared" si="379"/>
        <v>0</v>
      </c>
      <c r="G1163" s="36">
        <f t="shared" si="380"/>
        <v>0</v>
      </c>
      <c r="H1163" s="36">
        <f t="shared" si="381"/>
        <v>0</v>
      </c>
      <c r="I1163" s="36">
        <f t="shared" si="382"/>
        <v>0</v>
      </c>
      <c r="J1163" s="36">
        <f t="shared" si="383"/>
        <v>0</v>
      </c>
      <c r="K1163" s="36">
        <f t="shared" si="384"/>
        <v>0</v>
      </c>
      <c r="L1163" s="36">
        <f t="shared" si="385"/>
        <v>0</v>
      </c>
      <c r="M1163" s="36">
        <f t="shared" si="386"/>
        <v>0</v>
      </c>
      <c r="N1163" s="36">
        <f t="shared" si="387"/>
        <v>0</v>
      </c>
      <c r="O1163" s="36">
        <f t="shared" si="388"/>
        <v>0</v>
      </c>
      <c r="P1163" s="36">
        <f t="shared" si="389"/>
        <v>0</v>
      </c>
      <c r="Q1163" s="36">
        <f t="shared" si="390"/>
        <v>0</v>
      </c>
      <c r="R1163" s="36">
        <f t="shared" si="391"/>
        <v>0</v>
      </c>
      <c r="S1163" s="36">
        <f t="shared" si="392"/>
        <v>0</v>
      </c>
      <c r="T1163" s="36">
        <f t="shared" si="393"/>
        <v>0</v>
      </c>
      <c r="U1163" s="36">
        <f t="shared" si="394"/>
        <v>0</v>
      </c>
      <c r="V1163" s="36">
        <f t="shared" si="395"/>
        <v>0</v>
      </c>
      <c r="W1163" s="36">
        <f t="shared" si="396"/>
        <v>0</v>
      </c>
      <c r="X1163" s="36">
        <f t="shared" si="397"/>
        <v>0</v>
      </c>
      <c r="Y1163" s="36">
        <f t="shared" si="398"/>
        <v>0</v>
      </c>
      <c r="Z1163" s="36">
        <f t="shared" si="399"/>
        <v>0</v>
      </c>
      <c r="AB1163" s="36" t="str">
        <f>IF(最佳化斷筋點!C1163="","",最佳化斷筋點!C1163)</f>
        <v>上層</v>
      </c>
      <c r="AC1163" s="37">
        <f>IF(最佳化斷筋點!D1163="","",最佳化斷筋點!D1163)</f>
        <v>4</v>
      </c>
      <c r="AD1163" s="37">
        <f>IF(最佳化斷筋點!E1163="","",最佳化斷筋點!E1163)</f>
        <v>4</v>
      </c>
      <c r="AE1163" s="37">
        <f>IF(最佳化斷筋點!F1163="","",最佳化斷筋點!F1163)</f>
        <v>4</v>
      </c>
      <c r="AF1163" s="37">
        <f>IF(最佳化斷筋點!G1163="","",最佳化斷筋點!G1163)</f>
        <v>4</v>
      </c>
      <c r="AG1163" s="37">
        <f>IF(最佳化斷筋點!H1163="","",最佳化斷筋點!H1163)</f>
        <v>4</v>
      </c>
      <c r="AH1163" s="37">
        <f>IF(最佳化斷筋點!I1163="","",最佳化斷筋點!I1163)</f>
        <v>4</v>
      </c>
      <c r="AI1163" s="37">
        <f>IF(最佳化斷筋點!J1163="","",最佳化斷筋點!J1163)</f>
        <v>3</v>
      </c>
      <c r="AJ1163" s="37">
        <f>IF(最佳化斷筋點!K1163="","",最佳化斷筋點!K1163)</f>
        <v>3</v>
      </c>
      <c r="AK1163" s="37">
        <f>IF(最佳化斷筋點!L1163="","",最佳化斷筋點!L1163)</f>
        <v>3</v>
      </c>
      <c r="AL1163" s="37">
        <f>IF(最佳化斷筋點!M1163="","",最佳化斷筋點!M1163)</f>
        <v>2</v>
      </c>
      <c r="AM1163" s="37">
        <f>IF(最佳化斷筋點!N1163="","",最佳化斷筋點!N1163)</f>
        <v>2</v>
      </c>
      <c r="AN1163" s="37">
        <f>IF(最佳化斷筋點!O1163="","",最佳化斷筋點!O1163)</f>
        <v>2</v>
      </c>
      <c r="AO1163" s="37">
        <f>IF(最佳化斷筋點!P1163="","",最佳化斷筋點!P1163)</f>
        <v>2</v>
      </c>
      <c r="AP1163" s="37">
        <f>IF(最佳化斷筋點!Q1163="","",最佳化斷筋點!Q1163)</f>
        <v>3</v>
      </c>
      <c r="AQ1163" s="37">
        <f>IF(最佳化斷筋點!R1163="","",最佳化斷筋點!R1163)</f>
        <v>3</v>
      </c>
      <c r="AR1163" s="37">
        <f>IF(最佳化斷筋點!S1163="","",最佳化斷筋點!S1163)</f>
        <v>3</v>
      </c>
      <c r="AS1163" s="37">
        <f>IF(最佳化斷筋點!T1163="","",最佳化斷筋點!T1163)</f>
        <v>4</v>
      </c>
      <c r="AT1163" s="37">
        <f>IF(最佳化斷筋點!U1163="","",最佳化斷筋點!U1163)</f>
        <v>4</v>
      </c>
      <c r="AU1163" s="37">
        <f>IF(最佳化斷筋點!V1163="","",最佳化斷筋點!V1163)</f>
        <v>4</v>
      </c>
      <c r="AV1163" s="37">
        <f>IF(最佳化斷筋點!W1163="","",最佳化斷筋點!W1163)</f>
        <v>4</v>
      </c>
      <c r="AW1163" s="37">
        <f>IF(最佳化斷筋點!X1163="","",最佳化斷筋點!X1163)</f>
        <v>4</v>
      </c>
      <c r="AZ1163" s="37">
        <v>4</v>
      </c>
      <c r="BA1163" s="37">
        <v>4</v>
      </c>
      <c r="BB1163" s="37">
        <v>4</v>
      </c>
      <c r="BC1163" s="37">
        <v>4</v>
      </c>
      <c r="BD1163" s="37">
        <v>4</v>
      </c>
      <c r="BE1163" s="37">
        <v>4</v>
      </c>
      <c r="BF1163" s="37">
        <v>3</v>
      </c>
      <c r="BG1163" s="37">
        <v>3</v>
      </c>
      <c r="BH1163" s="37">
        <v>3</v>
      </c>
      <c r="BI1163" s="37">
        <v>2</v>
      </c>
      <c r="BJ1163" s="37">
        <v>2</v>
      </c>
      <c r="BK1163" s="37">
        <v>2</v>
      </c>
      <c r="BL1163" s="37">
        <v>2</v>
      </c>
      <c r="BM1163" s="37">
        <v>3</v>
      </c>
      <c r="BN1163" s="37">
        <v>3</v>
      </c>
      <c r="BO1163" s="37">
        <v>3</v>
      </c>
      <c r="BP1163" s="37">
        <v>4</v>
      </c>
      <c r="BQ1163" s="37">
        <v>4</v>
      </c>
      <c r="BR1163" s="37">
        <v>4</v>
      </c>
      <c r="BS1163" s="37">
        <v>4</v>
      </c>
      <c r="BT1163" s="37">
        <v>4</v>
      </c>
    </row>
    <row r="1164" spans="5:72" x14ac:dyDescent="0.25">
      <c r="E1164" s="36"/>
      <c r="F1164" s="36">
        <f t="shared" si="379"/>
        <v>0</v>
      </c>
      <c r="G1164" s="36">
        <f t="shared" si="380"/>
        <v>0</v>
      </c>
      <c r="H1164" s="36">
        <f t="shared" si="381"/>
        <v>0</v>
      </c>
      <c r="I1164" s="36">
        <f t="shared" si="382"/>
        <v>0</v>
      </c>
      <c r="J1164" s="36">
        <f t="shared" si="383"/>
        <v>0</v>
      </c>
      <c r="K1164" s="36">
        <f t="shared" si="384"/>
        <v>0</v>
      </c>
      <c r="L1164" s="36">
        <f t="shared" si="385"/>
        <v>0</v>
      </c>
      <c r="M1164" s="36">
        <f t="shared" si="386"/>
        <v>0</v>
      </c>
      <c r="N1164" s="36">
        <f t="shared" si="387"/>
        <v>0</v>
      </c>
      <c r="O1164" s="36">
        <f t="shared" si="388"/>
        <v>0</v>
      </c>
      <c r="P1164" s="36">
        <f t="shared" si="389"/>
        <v>0</v>
      </c>
      <c r="Q1164" s="36">
        <f t="shared" si="390"/>
        <v>0</v>
      </c>
      <c r="R1164" s="36">
        <f t="shared" si="391"/>
        <v>0</v>
      </c>
      <c r="S1164" s="36">
        <f t="shared" si="392"/>
        <v>0</v>
      </c>
      <c r="T1164" s="36">
        <f t="shared" si="393"/>
        <v>0</v>
      </c>
      <c r="U1164" s="36">
        <f t="shared" si="394"/>
        <v>0</v>
      </c>
      <c r="V1164" s="36">
        <f t="shared" si="395"/>
        <v>0</v>
      </c>
      <c r="W1164" s="36">
        <f t="shared" si="396"/>
        <v>0</v>
      </c>
      <c r="X1164" s="36">
        <f t="shared" si="397"/>
        <v>0</v>
      </c>
      <c r="Y1164" s="36">
        <f t="shared" si="398"/>
        <v>0</v>
      </c>
      <c r="Z1164" s="36">
        <f t="shared" si="399"/>
        <v>0</v>
      </c>
      <c r="AB1164" s="36" t="str">
        <f>IF(最佳化斷筋點!C1164="","",最佳化斷筋點!C1164)</f>
        <v/>
      </c>
      <c r="AC1164" s="37" t="str">
        <f>IF(最佳化斷筋點!D1164="","",最佳化斷筋點!D1164)</f>
        <v/>
      </c>
      <c r="AD1164" s="37" t="str">
        <f>IF(最佳化斷筋點!E1164="","",最佳化斷筋點!E1164)</f>
        <v/>
      </c>
      <c r="AE1164" s="37" t="str">
        <f>IF(最佳化斷筋點!F1164="","",最佳化斷筋點!F1164)</f>
        <v/>
      </c>
      <c r="AF1164" s="37" t="str">
        <f>IF(最佳化斷筋點!G1164="","",最佳化斷筋點!G1164)</f>
        <v/>
      </c>
      <c r="AG1164" s="37" t="str">
        <f>IF(最佳化斷筋點!H1164="","",最佳化斷筋點!H1164)</f>
        <v/>
      </c>
      <c r="AH1164" s="37" t="str">
        <f>IF(最佳化斷筋點!I1164="","",最佳化斷筋點!I1164)</f>
        <v/>
      </c>
      <c r="AI1164" s="37" t="str">
        <f>IF(最佳化斷筋點!J1164="","",最佳化斷筋點!J1164)</f>
        <v/>
      </c>
      <c r="AJ1164" s="37" t="str">
        <f>IF(最佳化斷筋點!K1164="","",最佳化斷筋點!K1164)</f>
        <v/>
      </c>
      <c r="AK1164" s="37" t="str">
        <f>IF(最佳化斷筋點!L1164="","",最佳化斷筋點!L1164)</f>
        <v/>
      </c>
      <c r="AL1164" s="37" t="str">
        <f>IF(最佳化斷筋點!M1164="","",最佳化斷筋點!M1164)</f>
        <v/>
      </c>
      <c r="AM1164" s="37" t="str">
        <f>IF(最佳化斷筋點!N1164="","",最佳化斷筋點!N1164)</f>
        <v/>
      </c>
      <c r="AN1164" s="37" t="str">
        <f>IF(最佳化斷筋點!O1164="","",最佳化斷筋點!O1164)</f>
        <v/>
      </c>
      <c r="AO1164" s="37" t="str">
        <f>IF(最佳化斷筋點!P1164="","",最佳化斷筋點!P1164)</f>
        <v/>
      </c>
      <c r="AP1164" s="37" t="str">
        <f>IF(最佳化斷筋點!Q1164="","",最佳化斷筋點!Q1164)</f>
        <v/>
      </c>
      <c r="AQ1164" s="37" t="str">
        <f>IF(最佳化斷筋點!R1164="","",最佳化斷筋點!R1164)</f>
        <v/>
      </c>
      <c r="AR1164" s="37" t="str">
        <f>IF(最佳化斷筋點!S1164="","",最佳化斷筋點!S1164)</f>
        <v/>
      </c>
      <c r="AS1164" s="37" t="str">
        <f>IF(最佳化斷筋點!T1164="","",最佳化斷筋點!T1164)</f>
        <v/>
      </c>
      <c r="AT1164" s="37" t="str">
        <f>IF(最佳化斷筋點!U1164="","",最佳化斷筋點!U1164)</f>
        <v/>
      </c>
      <c r="AU1164" s="37" t="str">
        <f>IF(最佳化斷筋點!V1164="","",最佳化斷筋點!V1164)</f>
        <v/>
      </c>
      <c r="AV1164" s="37" t="str">
        <f>IF(最佳化斷筋點!W1164="","",最佳化斷筋點!W1164)</f>
        <v/>
      </c>
      <c r="AW1164" s="37" t="str">
        <f>IF(最佳化斷筋點!X1164="","",最佳化斷筋點!X1164)</f>
        <v/>
      </c>
      <c r="AZ1164" s="37" t="s">
        <v>197</v>
      </c>
      <c r="BA1164" s="37" t="s">
        <v>197</v>
      </c>
      <c r="BB1164" s="37" t="s">
        <v>197</v>
      </c>
      <c r="BC1164" s="37" t="s">
        <v>197</v>
      </c>
      <c r="BD1164" s="37" t="s">
        <v>197</v>
      </c>
      <c r="BE1164" s="37" t="s">
        <v>197</v>
      </c>
      <c r="BF1164" s="37" t="s">
        <v>197</v>
      </c>
      <c r="BG1164" s="37" t="s">
        <v>197</v>
      </c>
      <c r="BH1164" s="37" t="s">
        <v>197</v>
      </c>
      <c r="BI1164" s="37" t="s">
        <v>197</v>
      </c>
      <c r="BJ1164" s="37" t="s">
        <v>197</v>
      </c>
      <c r="BK1164" s="37" t="s">
        <v>197</v>
      </c>
      <c r="BL1164" s="37" t="s">
        <v>197</v>
      </c>
      <c r="BM1164" s="37" t="s">
        <v>197</v>
      </c>
      <c r="BN1164" s="37" t="s">
        <v>197</v>
      </c>
      <c r="BO1164" s="37" t="s">
        <v>197</v>
      </c>
      <c r="BP1164" s="37" t="s">
        <v>197</v>
      </c>
      <c r="BQ1164" s="37" t="s">
        <v>197</v>
      </c>
      <c r="BR1164" s="37" t="s">
        <v>197</v>
      </c>
      <c r="BS1164" s="37" t="s">
        <v>197</v>
      </c>
      <c r="BT1164" s="37" t="s">
        <v>197</v>
      </c>
    </row>
    <row r="1165" spans="5:72" x14ac:dyDescent="0.25">
      <c r="E1165" s="36" t="s">
        <v>21</v>
      </c>
      <c r="F1165" s="36">
        <f t="shared" si="379"/>
        <v>0</v>
      </c>
      <c r="G1165" s="36">
        <f t="shared" si="380"/>
        <v>0</v>
      </c>
      <c r="H1165" s="36">
        <f t="shared" si="381"/>
        <v>0</v>
      </c>
      <c r="I1165" s="36">
        <f t="shared" si="382"/>
        <v>0</v>
      </c>
      <c r="J1165" s="36">
        <f t="shared" si="383"/>
        <v>0</v>
      </c>
      <c r="K1165" s="36">
        <f t="shared" si="384"/>
        <v>0</v>
      </c>
      <c r="L1165" s="36">
        <f t="shared" si="385"/>
        <v>0</v>
      </c>
      <c r="M1165" s="36">
        <f t="shared" si="386"/>
        <v>0</v>
      </c>
      <c r="N1165" s="36">
        <f t="shared" si="387"/>
        <v>0</v>
      </c>
      <c r="O1165" s="36">
        <f t="shared" si="388"/>
        <v>0</v>
      </c>
      <c r="P1165" s="36">
        <f t="shared" si="389"/>
        <v>0</v>
      </c>
      <c r="Q1165" s="36">
        <f t="shared" si="390"/>
        <v>0</v>
      </c>
      <c r="R1165" s="36">
        <f t="shared" si="391"/>
        <v>0</v>
      </c>
      <c r="S1165" s="36">
        <f t="shared" si="392"/>
        <v>0</v>
      </c>
      <c r="T1165" s="36">
        <f t="shared" si="393"/>
        <v>0</v>
      </c>
      <c r="U1165" s="36">
        <f t="shared" si="394"/>
        <v>0</v>
      </c>
      <c r="V1165" s="36">
        <f t="shared" si="395"/>
        <v>0</v>
      </c>
      <c r="W1165" s="36">
        <f t="shared" si="396"/>
        <v>0</v>
      </c>
      <c r="X1165" s="36">
        <f t="shared" si="397"/>
        <v>0</v>
      </c>
      <c r="Y1165" s="36">
        <f t="shared" si="398"/>
        <v>0</v>
      </c>
      <c r="Z1165" s="36">
        <f t="shared" si="399"/>
        <v>0</v>
      </c>
      <c r="AB1165" s="36" t="str">
        <f>IF(最佳化斷筋點!C1165="","",最佳化斷筋點!C1165)</f>
        <v>下層</v>
      </c>
      <c r="AC1165" s="37">
        <f>IF(最佳化斷筋點!D1165="","",最佳化斷筋點!D1165)</f>
        <v>3</v>
      </c>
      <c r="AD1165" s="37">
        <f>IF(最佳化斷筋點!E1165="","",最佳化斷筋點!E1165)</f>
        <v>3</v>
      </c>
      <c r="AE1165" s="37">
        <f>IF(最佳化斷筋點!F1165="","",最佳化斷筋點!F1165)</f>
        <v>3</v>
      </c>
      <c r="AF1165" s="37">
        <f>IF(最佳化斷筋點!G1165="","",最佳化斷筋點!G1165)</f>
        <v>3</v>
      </c>
      <c r="AG1165" s="37">
        <f>IF(最佳化斷筋點!H1165="","",最佳化斷筋點!H1165)</f>
        <v>3</v>
      </c>
      <c r="AH1165" s="37">
        <f>IF(最佳化斷筋點!I1165="","",最佳化斷筋點!I1165)</f>
        <v>3</v>
      </c>
      <c r="AI1165" s="37">
        <f>IF(最佳化斷筋點!J1165="","",最佳化斷筋點!J1165)</f>
        <v>3</v>
      </c>
      <c r="AJ1165" s="37">
        <f>IF(最佳化斷筋點!K1165="","",最佳化斷筋點!K1165)</f>
        <v>3</v>
      </c>
      <c r="AK1165" s="37">
        <f>IF(最佳化斷筋點!L1165="","",最佳化斷筋點!L1165)</f>
        <v>3</v>
      </c>
      <c r="AL1165" s="37">
        <f>IF(最佳化斷筋點!M1165="","",最佳化斷筋點!M1165)</f>
        <v>3</v>
      </c>
      <c r="AM1165" s="37">
        <f>IF(最佳化斷筋點!N1165="","",最佳化斷筋點!N1165)</f>
        <v>3</v>
      </c>
      <c r="AN1165" s="37">
        <f>IF(最佳化斷筋點!O1165="","",最佳化斷筋點!O1165)</f>
        <v>3</v>
      </c>
      <c r="AO1165" s="37">
        <f>IF(最佳化斷筋點!P1165="","",最佳化斷筋點!P1165)</f>
        <v>3</v>
      </c>
      <c r="AP1165" s="37">
        <f>IF(最佳化斷筋點!Q1165="","",最佳化斷筋點!Q1165)</f>
        <v>3</v>
      </c>
      <c r="AQ1165" s="37">
        <f>IF(最佳化斷筋點!R1165="","",最佳化斷筋點!R1165)</f>
        <v>3</v>
      </c>
      <c r="AR1165" s="37">
        <f>IF(最佳化斷筋點!S1165="","",最佳化斷筋點!S1165)</f>
        <v>3</v>
      </c>
      <c r="AS1165" s="37">
        <f>IF(最佳化斷筋點!T1165="","",最佳化斷筋點!T1165)</f>
        <v>3</v>
      </c>
      <c r="AT1165" s="37">
        <f>IF(最佳化斷筋點!U1165="","",最佳化斷筋點!U1165)</f>
        <v>3</v>
      </c>
      <c r="AU1165" s="37">
        <f>IF(最佳化斷筋點!V1165="","",最佳化斷筋點!V1165)</f>
        <v>3</v>
      </c>
      <c r="AV1165" s="37">
        <f>IF(最佳化斷筋點!W1165="","",最佳化斷筋點!W1165)</f>
        <v>3</v>
      </c>
      <c r="AW1165" s="37">
        <f>IF(最佳化斷筋點!X1165="","",最佳化斷筋點!X1165)</f>
        <v>3</v>
      </c>
      <c r="AZ1165" s="37">
        <v>3</v>
      </c>
      <c r="BA1165" s="37">
        <v>3</v>
      </c>
      <c r="BB1165" s="37">
        <v>3</v>
      </c>
      <c r="BC1165" s="37">
        <v>3</v>
      </c>
      <c r="BD1165" s="37">
        <v>3</v>
      </c>
      <c r="BE1165" s="37">
        <v>3</v>
      </c>
      <c r="BF1165" s="37">
        <v>3</v>
      </c>
      <c r="BG1165" s="37">
        <v>3</v>
      </c>
      <c r="BH1165" s="37">
        <v>3</v>
      </c>
      <c r="BI1165" s="37">
        <v>3</v>
      </c>
      <c r="BJ1165" s="37">
        <v>3</v>
      </c>
      <c r="BK1165" s="37">
        <v>3</v>
      </c>
      <c r="BL1165" s="37">
        <v>3</v>
      </c>
      <c r="BM1165" s="37">
        <v>3</v>
      </c>
      <c r="BN1165" s="37">
        <v>3</v>
      </c>
      <c r="BO1165" s="37">
        <v>3</v>
      </c>
      <c r="BP1165" s="37">
        <v>3</v>
      </c>
      <c r="BQ1165" s="37">
        <v>3</v>
      </c>
      <c r="BR1165" s="37">
        <v>3</v>
      </c>
      <c r="BS1165" s="37">
        <v>3</v>
      </c>
      <c r="BT1165" s="37">
        <v>3</v>
      </c>
    </row>
    <row r="1166" spans="5:72" x14ac:dyDescent="0.25">
      <c r="E1166" s="36"/>
      <c r="F1166" s="36">
        <f t="shared" si="379"/>
        <v>0</v>
      </c>
      <c r="G1166" s="36">
        <f t="shared" si="380"/>
        <v>0</v>
      </c>
      <c r="H1166" s="36">
        <f t="shared" si="381"/>
        <v>0</v>
      </c>
      <c r="I1166" s="36">
        <f t="shared" si="382"/>
        <v>0</v>
      </c>
      <c r="J1166" s="36">
        <f t="shared" si="383"/>
        <v>0</v>
      </c>
      <c r="K1166" s="36">
        <f t="shared" si="384"/>
        <v>0</v>
      </c>
      <c r="L1166" s="36">
        <f t="shared" si="385"/>
        <v>0</v>
      </c>
      <c r="M1166" s="36">
        <f t="shared" si="386"/>
        <v>0</v>
      </c>
      <c r="N1166" s="36">
        <f t="shared" si="387"/>
        <v>0</v>
      </c>
      <c r="O1166" s="36">
        <f t="shared" si="388"/>
        <v>0</v>
      </c>
      <c r="P1166" s="36">
        <f t="shared" si="389"/>
        <v>0</v>
      </c>
      <c r="Q1166" s="36">
        <f t="shared" si="390"/>
        <v>0</v>
      </c>
      <c r="R1166" s="36">
        <f t="shared" si="391"/>
        <v>0</v>
      </c>
      <c r="S1166" s="36">
        <f t="shared" si="392"/>
        <v>0</v>
      </c>
      <c r="T1166" s="36">
        <f t="shared" si="393"/>
        <v>0</v>
      </c>
      <c r="U1166" s="36">
        <f t="shared" si="394"/>
        <v>0</v>
      </c>
      <c r="V1166" s="36">
        <f t="shared" si="395"/>
        <v>0</v>
      </c>
      <c r="W1166" s="36">
        <f t="shared" si="396"/>
        <v>0</v>
      </c>
      <c r="X1166" s="36">
        <f t="shared" si="397"/>
        <v>0</v>
      </c>
      <c r="Y1166" s="36">
        <f t="shared" si="398"/>
        <v>0</v>
      </c>
      <c r="Z1166" s="36">
        <f t="shared" si="399"/>
        <v>0</v>
      </c>
      <c r="AB1166" s="36" t="str">
        <f>IF(最佳化斷筋點!C1166="","",最佳化斷筋點!C1166)</f>
        <v/>
      </c>
      <c r="AC1166" s="37" t="str">
        <f>IF(最佳化斷筋點!D1166="","",最佳化斷筋點!D1166)</f>
        <v/>
      </c>
      <c r="AD1166" s="37" t="str">
        <f>IF(最佳化斷筋點!E1166="","",最佳化斷筋點!E1166)</f>
        <v/>
      </c>
      <c r="AE1166" s="37" t="str">
        <f>IF(最佳化斷筋點!F1166="","",最佳化斷筋點!F1166)</f>
        <v/>
      </c>
      <c r="AF1166" s="37" t="str">
        <f>IF(最佳化斷筋點!G1166="","",最佳化斷筋點!G1166)</f>
        <v/>
      </c>
      <c r="AG1166" s="37" t="str">
        <f>IF(最佳化斷筋點!H1166="","",最佳化斷筋點!H1166)</f>
        <v/>
      </c>
      <c r="AH1166" s="37" t="str">
        <f>IF(最佳化斷筋點!I1166="","",最佳化斷筋點!I1166)</f>
        <v/>
      </c>
      <c r="AI1166" s="37" t="str">
        <f>IF(最佳化斷筋點!J1166="","",最佳化斷筋點!J1166)</f>
        <v/>
      </c>
      <c r="AJ1166" s="37" t="str">
        <f>IF(最佳化斷筋點!K1166="","",最佳化斷筋點!K1166)</f>
        <v/>
      </c>
      <c r="AK1166" s="37" t="str">
        <f>IF(最佳化斷筋點!L1166="","",最佳化斷筋點!L1166)</f>
        <v/>
      </c>
      <c r="AL1166" s="37" t="str">
        <f>IF(最佳化斷筋點!M1166="","",最佳化斷筋點!M1166)</f>
        <v/>
      </c>
      <c r="AM1166" s="37" t="str">
        <f>IF(最佳化斷筋點!N1166="","",最佳化斷筋點!N1166)</f>
        <v/>
      </c>
      <c r="AN1166" s="37" t="str">
        <f>IF(最佳化斷筋點!O1166="","",最佳化斷筋點!O1166)</f>
        <v/>
      </c>
      <c r="AO1166" s="37" t="str">
        <f>IF(最佳化斷筋點!P1166="","",最佳化斷筋點!P1166)</f>
        <v/>
      </c>
      <c r="AP1166" s="37" t="str">
        <f>IF(最佳化斷筋點!Q1166="","",最佳化斷筋點!Q1166)</f>
        <v/>
      </c>
      <c r="AQ1166" s="37" t="str">
        <f>IF(最佳化斷筋點!R1166="","",最佳化斷筋點!R1166)</f>
        <v/>
      </c>
      <c r="AR1166" s="37" t="str">
        <f>IF(最佳化斷筋點!S1166="","",最佳化斷筋點!S1166)</f>
        <v/>
      </c>
      <c r="AS1166" s="37" t="str">
        <f>IF(最佳化斷筋點!T1166="","",最佳化斷筋點!T1166)</f>
        <v/>
      </c>
      <c r="AT1166" s="37" t="str">
        <f>IF(最佳化斷筋點!U1166="","",最佳化斷筋點!U1166)</f>
        <v/>
      </c>
      <c r="AU1166" s="37" t="str">
        <f>IF(最佳化斷筋點!V1166="","",最佳化斷筋點!V1166)</f>
        <v/>
      </c>
      <c r="AV1166" s="37" t="str">
        <f>IF(最佳化斷筋點!W1166="","",最佳化斷筋點!W1166)</f>
        <v/>
      </c>
      <c r="AW1166" s="37" t="str">
        <f>IF(最佳化斷筋點!X1166="","",最佳化斷筋點!X1166)</f>
        <v/>
      </c>
      <c r="AZ1166" s="37" t="s">
        <v>197</v>
      </c>
      <c r="BA1166" s="37" t="s">
        <v>197</v>
      </c>
      <c r="BB1166" s="37" t="s">
        <v>197</v>
      </c>
      <c r="BC1166" s="37" t="s">
        <v>197</v>
      </c>
      <c r="BD1166" s="37" t="s">
        <v>197</v>
      </c>
      <c r="BE1166" s="37" t="s">
        <v>197</v>
      </c>
      <c r="BF1166" s="37" t="s">
        <v>197</v>
      </c>
      <c r="BG1166" s="37" t="s">
        <v>197</v>
      </c>
      <c r="BH1166" s="37" t="s">
        <v>197</v>
      </c>
      <c r="BI1166" s="37" t="s">
        <v>197</v>
      </c>
      <c r="BJ1166" s="37" t="s">
        <v>197</v>
      </c>
      <c r="BK1166" s="37" t="s">
        <v>197</v>
      </c>
      <c r="BL1166" s="37" t="s">
        <v>197</v>
      </c>
      <c r="BM1166" s="37" t="s">
        <v>197</v>
      </c>
      <c r="BN1166" s="37" t="s">
        <v>197</v>
      </c>
      <c r="BO1166" s="37" t="s">
        <v>197</v>
      </c>
      <c r="BP1166" s="37" t="s">
        <v>197</v>
      </c>
      <c r="BQ1166" s="37" t="s">
        <v>197</v>
      </c>
      <c r="BR1166" s="37" t="s">
        <v>197</v>
      </c>
      <c r="BS1166" s="37" t="s">
        <v>197</v>
      </c>
      <c r="BT1166" s="37" t="s">
        <v>197</v>
      </c>
    </row>
    <row r="1167" spans="5:72" x14ac:dyDescent="0.25">
      <c r="E1167" s="36" t="s">
        <v>20</v>
      </c>
      <c r="F1167" s="36">
        <f t="shared" si="379"/>
        <v>0</v>
      </c>
      <c r="G1167" s="36">
        <f t="shared" si="380"/>
        <v>0</v>
      </c>
      <c r="H1167" s="36">
        <f t="shared" si="381"/>
        <v>0</v>
      </c>
      <c r="I1167" s="36">
        <f t="shared" si="382"/>
        <v>0</v>
      </c>
      <c r="J1167" s="36">
        <f t="shared" si="383"/>
        <v>0</v>
      </c>
      <c r="K1167" s="36">
        <f t="shared" si="384"/>
        <v>0</v>
      </c>
      <c r="L1167" s="36">
        <f t="shared" si="385"/>
        <v>0</v>
      </c>
      <c r="M1167" s="36">
        <f t="shared" si="386"/>
        <v>0</v>
      </c>
      <c r="N1167" s="36">
        <f t="shared" si="387"/>
        <v>0</v>
      </c>
      <c r="O1167" s="36">
        <f t="shared" si="388"/>
        <v>0</v>
      </c>
      <c r="P1167" s="36">
        <f t="shared" si="389"/>
        <v>0</v>
      </c>
      <c r="Q1167" s="36">
        <f t="shared" si="390"/>
        <v>0</v>
      </c>
      <c r="R1167" s="36">
        <f t="shared" si="391"/>
        <v>0</v>
      </c>
      <c r="S1167" s="36">
        <f t="shared" si="392"/>
        <v>0</v>
      </c>
      <c r="T1167" s="36">
        <f t="shared" si="393"/>
        <v>0</v>
      </c>
      <c r="U1167" s="36">
        <f t="shared" si="394"/>
        <v>0</v>
      </c>
      <c r="V1167" s="36">
        <f t="shared" si="395"/>
        <v>0</v>
      </c>
      <c r="W1167" s="36">
        <f t="shared" si="396"/>
        <v>0</v>
      </c>
      <c r="X1167" s="36">
        <f t="shared" si="397"/>
        <v>0</v>
      </c>
      <c r="Y1167" s="36">
        <f t="shared" si="398"/>
        <v>0</v>
      </c>
      <c r="Z1167" s="36">
        <f t="shared" si="399"/>
        <v>0</v>
      </c>
      <c r="AB1167" s="36" t="str">
        <f>IF(最佳化斷筋點!C1167="","",最佳化斷筋點!C1167)</f>
        <v>上層</v>
      </c>
      <c r="AC1167" s="37">
        <f>IF(最佳化斷筋點!D1167="","",最佳化斷筋點!D1167)</f>
        <v>5</v>
      </c>
      <c r="AD1167" s="37">
        <f>IF(最佳化斷筋點!E1167="","",最佳化斷筋點!E1167)</f>
        <v>5</v>
      </c>
      <c r="AE1167" s="37">
        <f>IF(最佳化斷筋點!F1167="","",最佳化斷筋點!F1167)</f>
        <v>5</v>
      </c>
      <c r="AF1167" s="37">
        <f>IF(最佳化斷筋點!G1167="","",最佳化斷筋點!G1167)</f>
        <v>5</v>
      </c>
      <c r="AG1167" s="37">
        <f>IF(最佳化斷筋點!H1167="","",最佳化斷筋點!H1167)</f>
        <v>5</v>
      </c>
      <c r="AH1167" s="37">
        <f>IF(最佳化斷筋點!I1167="","",最佳化斷筋點!I1167)</f>
        <v>5</v>
      </c>
      <c r="AI1167" s="37">
        <f>IF(最佳化斷筋點!J1167="","",最佳化斷筋點!J1167)</f>
        <v>5</v>
      </c>
      <c r="AJ1167" s="37">
        <f>IF(最佳化斷筋點!K1167="","",最佳化斷筋點!K1167)</f>
        <v>3</v>
      </c>
      <c r="AK1167" s="37">
        <f>IF(最佳化斷筋點!L1167="","",最佳化斷筋點!L1167)</f>
        <v>3</v>
      </c>
      <c r="AL1167" s="37">
        <f>IF(最佳化斷筋點!M1167="","",最佳化斷筋點!M1167)</f>
        <v>3</v>
      </c>
      <c r="AM1167" s="37">
        <f>IF(最佳化斷筋點!N1167="","",最佳化斷筋點!N1167)</f>
        <v>3</v>
      </c>
      <c r="AN1167" s="37">
        <f>IF(最佳化斷筋點!O1167="","",最佳化斷筋點!O1167)</f>
        <v>3</v>
      </c>
      <c r="AO1167" s="37">
        <f>IF(最佳化斷筋點!P1167="","",最佳化斷筋點!P1167)</f>
        <v>3</v>
      </c>
      <c r="AP1167" s="37">
        <f>IF(最佳化斷筋點!Q1167="","",最佳化斷筋點!Q1167)</f>
        <v>6</v>
      </c>
      <c r="AQ1167" s="37">
        <f>IF(最佳化斷筋點!R1167="","",最佳化斷筋點!R1167)</f>
        <v>7</v>
      </c>
      <c r="AR1167" s="37">
        <f>IF(最佳化斷筋點!S1167="","",最佳化斷筋點!S1167)</f>
        <v>8</v>
      </c>
      <c r="AS1167" s="37">
        <f>IF(最佳化斷筋點!T1167="","",最佳化斷筋點!T1167)</f>
        <v>9</v>
      </c>
      <c r="AT1167" s="37">
        <f>IF(最佳化斷筋點!U1167="","",最佳化斷筋點!U1167)</f>
        <v>9</v>
      </c>
      <c r="AU1167" s="37">
        <f>IF(最佳化斷筋點!V1167="","",最佳化斷筋點!V1167)</f>
        <v>9</v>
      </c>
      <c r="AV1167" s="37">
        <f>IF(最佳化斷筋點!W1167="","",最佳化斷筋點!W1167)</f>
        <v>9</v>
      </c>
      <c r="AW1167" s="37">
        <f>IF(最佳化斷筋點!X1167="","",最佳化斷筋點!X1167)</f>
        <v>9</v>
      </c>
      <c r="AZ1167" s="37">
        <v>5</v>
      </c>
      <c r="BA1167" s="37">
        <v>5</v>
      </c>
      <c r="BB1167" s="37">
        <v>5</v>
      </c>
      <c r="BC1167" s="37">
        <v>5</v>
      </c>
      <c r="BD1167" s="37">
        <v>5</v>
      </c>
      <c r="BE1167" s="37">
        <v>5</v>
      </c>
      <c r="BF1167" s="37">
        <v>5</v>
      </c>
      <c r="BG1167" s="37">
        <v>3</v>
      </c>
      <c r="BH1167" s="37">
        <v>3</v>
      </c>
      <c r="BI1167" s="37">
        <v>3</v>
      </c>
      <c r="BJ1167" s="37">
        <v>3</v>
      </c>
      <c r="BK1167" s="37">
        <v>3</v>
      </c>
      <c r="BL1167" s="37">
        <v>3</v>
      </c>
      <c r="BM1167" s="37">
        <v>6</v>
      </c>
      <c r="BN1167" s="37">
        <v>7</v>
      </c>
      <c r="BO1167" s="37">
        <v>8</v>
      </c>
      <c r="BP1167" s="37">
        <v>9</v>
      </c>
      <c r="BQ1167" s="37">
        <v>9</v>
      </c>
      <c r="BR1167" s="37">
        <v>9</v>
      </c>
      <c r="BS1167" s="37">
        <v>9</v>
      </c>
      <c r="BT1167" s="37">
        <v>9</v>
      </c>
    </row>
    <row r="1168" spans="5:72" x14ac:dyDescent="0.25">
      <c r="E1168" s="36"/>
      <c r="F1168" s="36">
        <f t="shared" si="379"/>
        <v>0</v>
      </c>
      <c r="G1168" s="36">
        <f t="shared" si="380"/>
        <v>0</v>
      </c>
      <c r="H1168" s="36">
        <f t="shared" si="381"/>
        <v>0</v>
      </c>
      <c r="I1168" s="36">
        <f t="shared" si="382"/>
        <v>0</v>
      </c>
      <c r="J1168" s="36">
        <f t="shared" si="383"/>
        <v>0</v>
      </c>
      <c r="K1168" s="36">
        <f t="shared" si="384"/>
        <v>0</v>
      </c>
      <c r="L1168" s="36">
        <f t="shared" si="385"/>
        <v>0</v>
      </c>
      <c r="M1168" s="36">
        <f t="shared" si="386"/>
        <v>0</v>
      </c>
      <c r="N1168" s="36">
        <f t="shared" si="387"/>
        <v>0</v>
      </c>
      <c r="O1168" s="36">
        <f t="shared" si="388"/>
        <v>0</v>
      </c>
      <c r="P1168" s="36">
        <f t="shared" si="389"/>
        <v>0</v>
      </c>
      <c r="Q1168" s="36">
        <f t="shared" si="390"/>
        <v>0</v>
      </c>
      <c r="R1168" s="36">
        <f t="shared" si="391"/>
        <v>0</v>
      </c>
      <c r="S1168" s="36">
        <f t="shared" si="392"/>
        <v>0</v>
      </c>
      <c r="T1168" s="36">
        <f t="shared" si="393"/>
        <v>0</v>
      </c>
      <c r="U1168" s="36">
        <f t="shared" si="394"/>
        <v>0</v>
      </c>
      <c r="V1168" s="36">
        <f t="shared" si="395"/>
        <v>0</v>
      </c>
      <c r="W1168" s="36">
        <f t="shared" si="396"/>
        <v>0</v>
      </c>
      <c r="X1168" s="36">
        <f t="shared" si="397"/>
        <v>0</v>
      </c>
      <c r="Y1168" s="36">
        <f t="shared" si="398"/>
        <v>0</v>
      </c>
      <c r="Z1168" s="36">
        <f t="shared" si="399"/>
        <v>0</v>
      </c>
      <c r="AB1168" s="36" t="str">
        <f>IF(最佳化斷筋點!C1168="","",最佳化斷筋點!C1168)</f>
        <v/>
      </c>
      <c r="AC1168" s="37" t="str">
        <f>IF(最佳化斷筋點!D1168="","",最佳化斷筋點!D1168)</f>
        <v/>
      </c>
      <c r="AD1168" s="37" t="str">
        <f>IF(最佳化斷筋點!E1168="","",最佳化斷筋點!E1168)</f>
        <v/>
      </c>
      <c r="AE1168" s="37" t="str">
        <f>IF(最佳化斷筋點!F1168="","",最佳化斷筋點!F1168)</f>
        <v/>
      </c>
      <c r="AF1168" s="37" t="str">
        <f>IF(最佳化斷筋點!G1168="","",最佳化斷筋點!G1168)</f>
        <v/>
      </c>
      <c r="AG1168" s="37" t="str">
        <f>IF(最佳化斷筋點!H1168="","",最佳化斷筋點!H1168)</f>
        <v/>
      </c>
      <c r="AH1168" s="37" t="str">
        <f>IF(最佳化斷筋點!I1168="","",最佳化斷筋點!I1168)</f>
        <v/>
      </c>
      <c r="AI1168" s="37" t="str">
        <f>IF(最佳化斷筋點!J1168="","",最佳化斷筋點!J1168)</f>
        <v/>
      </c>
      <c r="AJ1168" s="37" t="str">
        <f>IF(最佳化斷筋點!K1168="","",最佳化斷筋點!K1168)</f>
        <v/>
      </c>
      <c r="AK1168" s="37" t="str">
        <f>IF(最佳化斷筋點!L1168="","",最佳化斷筋點!L1168)</f>
        <v/>
      </c>
      <c r="AL1168" s="37" t="str">
        <f>IF(最佳化斷筋點!M1168="","",最佳化斷筋點!M1168)</f>
        <v/>
      </c>
      <c r="AM1168" s="37" t="str">
        <f>IF(最佳化斷筋點!N1168="","",最佳化斷筋點!N1168)</f>
        <v/>
      </c>
      <c r="AN1168" s="37" t="str">
        <f>IF(最佳化斷筋點!O1168="","",最佳化斷筋點!O1168)</f>
        <v/>
      </c>
      <c r="AO1168" s="37" t="str">
        <f>IF(最佳化斷筋點!P1168="","",最佳化斷筋點!P1168)</f>
        <v/>
      </c>
      <c r="AP1168" s="37" t="str">
        <f>IF(最佳化斷筋點!Q1168="","",最佳化斷筋點!Q1168)</f>
        <v/>
      </c>
      <c r="AQ1168" s="37" t="str">
        <f>IF(最佳化斷筋點!R1168="","",最佳化斷筋點!R1168)</f>
        <v/>
      </c>
      <c r="AR1168" s="37" t="str">
        <f>IF(最佳化斷筋點!S1168="","",最佳化斷筋點!S1168)</f>
        <v/>
      </c>
      <c r="AS1168" s="37" t="str">
        <f>IF(最佳化斷筋點!T1168="","",最佳化斷筋點!T1168)</f>
        <v/>
      </c>
      <c r="AT1168" s="37" t="str">
        <f>IF(最佳化斷筋點!U1168="","",最佳化斷筋點!U1168)</f>
        <v/>
      </c>
      <c r="AU1168" s="37" t="str">
        <f>IF(最佳化斷筋點!V1168="","",最佳化斷筋點!V1168)</f>
        <v/>
      </c>
      <c r="AV1168" s="37" t="str">
        <f>IF(最佳化斷筋點!W1168="","",最佳化斷筋點!W1168)</f>
        <v/>
      </c>
      <c r="AW1168" s="37" t="str">
        <f>IF(最佳化斷筋點!X1168="","",最佳化斷筋點!X1168)</f>
        <v/>
      </c>
      <c r="AZ1168" s="37" t="s">
        <v>197</v>
      </c>
      <c r="BA1168" s="37" t="s">
        <v>197</v>
      </c>
      <c r="BB1168" s="37" t="s">
        <v>197</v>
      </c>
      <c r="BC1168" s="37" t="s">
        <v>197</v>
      </c>
      <c r="BD1168" s="37" t="s">
        <v>197</v>
      </c>
      <c r="BE1168" s="37" t="s">
        <v>197</v>
      </c>
      <c r="BF1168" s="37" t="s">
        <v>197</v>
      </c>
      <c r="BG1168" s="37" t="s">
        <v>197</v>
      </c>
      <c r="BH1168" s="37" t="s">
        <v>197</v>
      </c>
      <c r="BI1168" s="37" t="s">
        <v>197</v>
      </c>
      <c r="BJ1168" s="37" t="s">
        <v>197</v>
      </c>
      <c r="BK1168" s="37" t="s">
        <v>197</v>
      </c>
      <c r="BL1168" s="37" t="s">
        <v>197</v>
      </c>
      <c r="BM1168" s="37" t="s">
        <v>197</v>
      </c>
      <c r="BN1168" s="37" t="s">
        <v>197</v>
      </c>
      <c r="BO1168" s="37" t="s">
        <v>197</v>
      </c>
      <c r="BP1168" s="37" t="s">
        <v>197</v>
      </c>
      <c r="BQ1168" s="37" t="s">
        <v>197</v>
      </c>
      <c r="BR1168" s="37" t="s">
        <v>197</v>
      </c>
      <c r="BS1168" s="37" t="s">
        <v>197</v>
      </c>
      <c r="BT1168" s="37" t="s">
        <v>197</v>
      </c>
    </row>
    <row r="1169" spans="5:72" x14ac:dyDescent="0.25">
      <c r="E1169" s="36" t="s">
        <v>21</v>
      </c>
      <c r="F1169" s="36">
        <f t="shared" si="379"/>
        <v>0</v>
      </c>
      <c r="G1169" s="36">
        <f t="shared" si="380"/>
        <v>0</v>
      </c>
      <c r="H1169" s="36">
        <f t="shared" si="381"/>
        <v>0</v>
      </c>
      <c r="I1169" s="36">
        <f t="shared" si="382"/>
        <v>0</v>
      </c>
      <c r="J1169" s="36">
        <f t="shared" si="383"/>
        <v>0</v>
      </c>
      <c r="K1169" s="36">
        <f t="shared" si="384"/>
        <v>0</v>
      </c>
      <c r="L1169" s="36">
        <f t="shared" si="385"/>
        <v>0</v>
      </c>
      <c r="M1169" s="36">
        <f t="shared" si="386"/>
        <v>0</v>
      </c>
      <c r="N1169" s="36">
        <f t="shared" si="387"/>
        <v>0</v>
      </c>
      <c r="O1169" s="36">
        <f t="shared" si="388"/>
        <v>0</v>
      </c>
      <c r="P1169" s="36">
        <f t="shared" si="389"/>
        <v>0</v>
      </c>
      <c r="Q1169" s="36">
        <f t="shared" si="390"/>
        <v>0</v>
      </c>
      <c r="R1169" s="36">
        <f t="shared" si="391"/>
        <v>0</v>
      </c>
      <c r="S1169" s="36">
        <f t="shared" si="392"/>
        <v>0</v>
      </c>
      <c r="T1169" s="36">
        <f t="shared" si="393"/>
        <v>0</v>
      </c>
      <c r="U1169" s="36">
        <f t="shared" si="394"/>
        <v>0</v>
      </c>
      <c r="V1169" s="36">
        <f t="shared" si="395"/>
        <v>0</v>
      </c>
      <c r="W1169" s="36">
        <f t="shared" si="396"/>
        <v>0</v>
      </c>
      <c r="X1169" s="36">
        <f t="shared" si="397"/>
        <v>0</v>
      </c>
      <c r="Y1169" s="36">
        <f t="shared" si="398"/>
        <v>0</v>
      </c>
      <c r="Z1169" s="36">
        <f t="shared" si="399"/>
        <v>0</v>
      </c>
      <c r="AB1169" s="36" t="str">
        <f>IF(最佳化斷筋點!C1169="","",最佳化斷筋點!C1169)</f>
        <v>下層</v>
      </c>
      <c r="AC1169" s="37">
        <f>IF(最佳化斷筋點!D1169="","",最佳化斷筋點!D1169)</f>
        <v>8</v>
      </c>
      <c r="AD1169" s="37">
        <f>IF(最佳化斷筋點!E1169="","",最佳化斷筋點!E1169)</f>
        <v>8</v>
      </c>
      <c r="AE1169" s="37">
        <f>IF(最佳化斷筋點!F1169="","",最佳化斷筋點!F1169)</f>
        <v>8</v>
      </c>
      <c r="AF1169" s="37">
        <f>IF(最佳化斷筋點!G1169="","",最佳化斷筋點!G1169)</f>
        <v>8</v>
      </c>
      <c r="AG1169" s="37">
        <f>IF(最佳化斷筋點!H1169="","",最佳化斷筋點!H1169)</f>
        <v>8</v>
      </c>
      <c r="AH1169" s="37">
        <f>IF(最佳化斷筋點!I1169="","",最佳化斷筋點!I1169)</f>
        <v>8</v>
      </c>
      <c r="AI1169" s="37">
        <f>IF(最佳化斷筋點!J1169="","",最佳化斷筋點!J1169)</f>
        <v>7</v>
      </c>
      <c r="AJ1169" s="37">
        <f>IF(最佳化斷筋點!K1169="","",最佳化斷筋點!K1169)</f>
        <v>5</v>
      </c>
      <c r="AK1169" s="37">
        <f>IF(最佳化斷筋點!L1169="","",最佳化斷筋點!L1169)</f>
        <v>5</v>
      </c>
      <c r="AL1169" s="37">
        <f>IF(最佳化斷筋點!M1169="","",最佳化斷筋點!M1169)</f>
        <v>5</v>
      </c>
      <c r="AM1169" s="37">
        <f>IF(最佳化斷筋點!N1169="","",最佳化斷筋點!N1169)</f>
        <v>5</v>
      </c>
      <c r="AN1169" s="37">
        <f>IF(最佳化斷筋點!O1169="","",最佳化斷筋點!O1169)</f>
        <v>5</v>
      </c>
      <c r="AO1169" s="37">
        <f>IF(最佳化斷筋點!P1169="","",最佳化斷筋點!P1169)</f>
        <v>5</v>
      </c>
      <c r="AP1169" s="37">
        <f>IF(最佳化斷筋點!Q1169="","",最佳化斷筋點!Q1169)</f>
        <v>5</v>
      </c>
      <c r="AQ1169" s="37">
        <f>IF(最佳化斷筋點!R1169="","",最佳化斷筋點!R1169)</f>
        <v>5</v>
      </c>
      <c r="AR1169" s="37">
        <f>IF(最佳化斷筋點!S1169="","",最佳化斷筋點!S1169)</f>
        <v>5</v>
      </c>
      <c r="AS1169" s="37">
        <f>IF(最佳化斷筋點!T1169="","",最佳化斷筋點!T1169)</f>
        <v>5</v>
      </c>
      <c r="AT1169" s="37">
        <f>IF(最佳化斷筋點!U1169="","",最佳化斷筋點!U1169)</f>
        <v>5</v>
      </c>
      <c r="AU1169" s="37">
        <f>IF(最佳化斷筋點!V1169="","",最佳化斷筋點!V1169)</f>
        <v>5</v>
      </c>
      <c r="AV1169" s="37">
        <f>IF(最佳化斷筋點!W1169="","",最佳化斷筋點!W1169)</f>
        <v>5</v>
      </c>
      <c r="AW1169" s="37">
        <f>IF(最佳化斷筋點!X1169="","",最佳化斷筋點!X1169)</f>
        <v>5</v>
      </c>
      <c r="AZ1169" s="37">
        <v>8</v>
      </c>
      <c r="BA1169" s="37">
        <v>8</v>
      </c>
      <c r="BB1169" s="37">
        <v>8</v>
      </c>
      <c r="BC1169" s="37">
        <v>8</v>
      </c>
      <c r="BD1169" s="37">
        <v>8</v>
      </c>
      <c r="BE1169" s="37">
        <v>8</v>
      </c>
      <c r="BF1169" s="37">
        <v>7</v>
      </c>
      <c r="BG1169" s="37">
        <v>5</v>
      </c>
      <c r="BH1169" s="37">
        <v>5</v>
      </c>
      <c r="BI1169" s="37">
        <v>5</v>
      </c>
      <c r="BJ1169" s="37">
        <v>5</v>
      </c>
      <c r="BK1169" s="37">
        <v>5</v>
      </c>
      <c r="BL1169" s="37">
        <v>5</v>
      </c>
      <c r="BM1169" s="37">
        <v>5</v>
      </c>
      <c r="BN1169" s="37">
        <v>5</v>
      </c>
      <c r="BO1169" s="37">
        <v>5</v>
      </c>
      <c r="BP1169" s="37">
        <v>5</v>
      </c>
      <c r="BQ1169" s="37">
        <v>5</v>
      </c>
      <c r="BR1169" s="37">
        <v>5</v>
      </c>
      <c r="BS1169" s="37">
        <v>5</v>
      </c>
      <c r="BT1169" s="37">
        <v>5</v>
      </c>
    </row>
    <row r="1170" spans="5:72" x14ac:dyDescent="0.25">
      <c r="E1170" s="36"/>
      <c r="F1170" s="36">
        <f t="shared" si="379"/>
        <v>0</v>
      </c>
      <c r="G1170" s="36">
        <f t="shared" si="380"/>
        <v>0</v>
      </c>
      <c r="H1170" s="36">
        <f t="shared" si="381"/>
        <v>0</v>
      </c>
      <c r="I1170" s="36">
        <f t="shared" si="382"/>
        <v>0</v>
      </c>
      <c r="J1170" s="36">
        <f t="shared" si="383"/>
        <v>0</v>
      </c>
      <c r="K1170" s="36">
        <f t="shared" si="384"/>
        <v>0</v>
      </c>
      <c r="L1170" s="36">
        <f t="shared" si="385"/>
        <v>0</v>
      </c>
      <c r="M1170" s="36">
        <f t="shared" si="386"/>
        <v>0</v>
      </c>
      <c r="N1170" s="36">
        <f t="shared" si="387"/>
        <v>0</v>
      </c>
      <c r="O1170" s="36">
        <f t="shared" si="388"/>
        <v>0</v>
      </c>
      <c r="P1170" s="36">
        <f t="shared" si="389"/>
        <v>0</v>
      </c>
      <c r="Q1170" s="36">
        <f t="shared" si="390"/>
        <v>0</v>
      </c>
      <c r="R1170" s="36">
        <f t="shared" si="391"/>
        <v>0</v>
      </c>
      <c r="S1170" s="36">
        <f t="shared" si="392"/>
        <v>0</v>
      </c>
      <c r="T1170" s="36">
        <f t="shared" si="393"/>
        <v>0</v>
      </c>
      <c r="U1170" s="36">
        <f t="shared" si="394"/>
        <v>0</v>
      </c>
      <c r="V1170" s="36">
        <f t="shared" si="395"/>
        <v>0</v>
      </c>
      <c r="W1170" s="36">
        <f t="shared" si="396"/>
        <v>0</v>
      </c>
      <c r="X1170" s="36">
        <f t="shared" si="397"/>
        <v>0</v>
      </c>
      <c r="Y1170" s="36">
        <f t="shared" si="398"/>
        <v>0</v>
      </c>
      <c r="Z1170" s="36">
        <f t="shared" si="399"/>
        <v>0</v>
      </c>
      <c r="AB1170" s="36" t="str">
        <f>IF(最佳化斷筋點!C1170="","",最佳化斷筋點!C1170)</f>
        <v/>
      </c>
      <c r="AC1170" s="37" t="str">
        <f>IF(最佳化斷筋點!D1170="","",最佳化斷筋點!D1170)</f>
        <v/>
      </c>
      <c r="AD1170" s="37" t="str">
        <f>IF(最佳化斷筋點!E1170="","",最佳化斷筋點!E1170)</f>
        <v/>
      </c>
      <c r="AE1170" s="37" t="str">
        <f>IF(最佳化斷筋點!F1170="","",最佳化斷筋點!F1170)</f>
        <v/>
      </c>
      <c r="AF1170" s="37" t="str">
        <f>IF(最佳化斷筋點!G1170="","",最佳化斷筋點!G1170)</f>
        <v/>
      </c>
      <c r="AG1170" s="37" t="str">
        <f>IF(最佳化斷筋點!H1170="","",最佳化斷筋點!H1170)</f>
        <v/>
      </c>
      <c r="AH1170" s="37" t="str">
        <f>IF(最佳化斷筋點!I1170="","",最佳化斷筋點!I1170)</f>
        <v/>
      </c>
      <c r="AI1170" s="37" t="str">
        <f>IF(最佳化斷筋點!J1170="","",最佳化斷筋點!J1170)</f>
        <v/>
      </c>
      <c r="AJ1170" s="37" t="str">
        <f>IF(最佳化斷筋點!K1170="","",最佳化斷筋點!K1170)</f>
        <v/>
      </c>
      <c r="AK1170" s="37" t="str">
        <f>IF(最佳化斷筋點!L1170="","",最佳化斷筋點!L1170)</f>
        <v/>
      </c>
      <c r="AL1170" s="37" t="str">
        <f>IF(最佳化斷筋點!M1170="","",最佳化斷筋點!M1170)</f>
        <v/>
      </c>
      <c r="AM1170" s="37" t="str">
        <f>IF(最佳化斷筋點!N1170="","",最佳化斷筋點!N1170)</f>
        <v/>
      </c>
      <c r="AN1170" s="37" t="str">
        <f>IF(最佳化斷筋點!O1170="","",最佳化斷筋點!O1170)</f>
        <v/>
      </c>
      <c r="AO1170" s="37" t="str">
        <f>IF(最佳化斷筋點!P1170="","",最佳化斷筋點!P1170)</f>
        <v/>
      </c>
      <c r="AP1170" s="37" t="str">
        <f>IF(最佳化斷筋點!Q1170="","",最佳化斷筋點!Q1170)</f>
        <v/>
      </c>
      <c r="AQ1170" s="37" t="str">
        <f>IF(最佳化斷筋點!R1170="","",最佳化斷筋點!R1170)</f>
        <v/>
      </c>
      <c r="AR1170" s="37" t="str">
        <f>IF(最佳化斷筋點!S1170="","",最佳化斷筋點!S1170)</f>
        <v/>
      </c>
      <c r="AS1170" s="37" t="str">
        <f>IF(最佳化斷筋點!T1170="","",最佳化斷筋點!T1170)</f>
        <v/>
      </c>
      <c r="AT1170" s="37" t="str">
        <f>IF(最佳化斷筋點!U1170="","",最佳化斷筋點!U1170)</f>
        <v/>
      </c>
      <c r="AU1170" s="37" t="str">
        <f>IF(最佳化斷筋點!V1170="","",最佳化斷筋點!V1170)</f>
        <v/>
      </c>
      <c r="AV1170" s="37" t="str">
        <f>IF(最佳化斷筋點!W1170="","",最佳化斷筋點!W1170)</f>
        <v/>
      </c>
      <c r="AW1170" s="37" t="str">
        <f>IF(最佳化斷筋點!X1170="","",最佳化斷筋點!X1170)</f>
        <v/>
      </c>
      <c r="AZ1170" s="37" t="s">
        <v>197</v>
      </c>
      <c r="BA1170" s="37" t="s">
        <v>197</v>
      </c>
      <c r="BB1170" s="37" t="s">
        <v>197</v>
      </c>
      <c r="BC1170" s="37" t="s">
        <v>197</v>
      </c>
      <c r="BD1170" s="37" t="s">
        <v>197</v>
      </c>
      <c r="BE1170" s="37" t="s">
        <v>197</v>
      </c>
      <c r="BF1170" s="37" t="s">
        <v>197</v>
      </c>
      <c r="BG1170" s="37" t="s">
        <v>197</v>
      </c>
      <c r="BH1170" s="37" t="s">
        <v>197</v>
      </c>
      <c r="BI1170" s="37" t="s">
        <v>197</v>
      </c>
      <c r="BJ1170" s="37" t="s">
        <v>197</v>
      </c>
      <c r="BK1170" s="37" t="s">
        <v>197</v>
      </c>
      <c r="BL1170" s="37" t="s">
        <v>197</v>
      </c>
      <c r="BM1170" s="37" t="s">
        <v>197</v>
      </c>
      <c r="BN1170" s="37" t="s">
        <v>197</v>
      </c>
      <c r="BO1170" s="37" t="s">
        <v>197</v>
      </c>
      <c r="BP1170" s="37" t="s">
        <v>197</v>
      </c>
      <c r="BQ1170" s="37" t="s">
        <v>197</v>
      </c>
      <c r="BR1170" s="37" t="s">
        <v>197</v>
      </c>
      <c r="BS1170" s="37" t="s">
        <v>197</v>
      </c>
      <c r="BT1170" s="37" t="s">
        <v>197</v>
      </c>
    </row>
    <row r="1171" spans="5:72" x14ac:dyDescent="0.25">
      <c r="E1171" s="36" t="s">
        <v>20</v>
      </c>
      <c r="F1171" s="36">
        <f t="shared" si="379"/>
        <v>0</v>
      </c>
      <c r="G1171" s="36">
        <f t="shared" si="380"/>
        <v>0</v>
      </c>
      <c r="H1171" s="36">
        <f t="shared" si="381"/>
        <v>0</v>
      </c>
      <c r="I1171" s="36">
        <f t="shared" si="382"/>
        <v>0</v>
      </c>
      <c r="J1171" s="36">
        <f t="shared" si="383"/>
        <v>0</v>
      </c>
      <c r="K1171" s="36">
        <f t="shared" si="384"/>
        <v>0</v>
      </c>
      <c r="L1171" s="36">
        <f t="shared" si="385"/>
        <v>0</v>
      </c>
      <c r="M1171" s="36">
        <f t="shared" si="386"/>
        <v>0</v>
      </c>
      <c r="N1171" s="36">
        <f t="shared" si="387"/>
        <v>0</v>
      </c>
      <c r="O1171" s="36">
        <f t="shared" si="388"/>
        <v>0</v>
      </c>
      <c r="P1171" s="36">
        <f t="shared" si="389"/>
        <v>0</v>
      </c>
      <c r="Q1171" s="36">
        <f t="shared" si="390"/>
        <v>0</v>
      </c>
      <c r="R1171" s="36">
        <f t="shared" si="391"/>
        <v>0</v>
      </c>
      <c r="S1171" s="36">
        <f t="shared" si="392"/>
        <v>0</v>
      </c>
      <c r="T1171" s="36">
        <f t="shared" si="393"/>
        <v>0</v>
      </c>
      <c r="U1171" s="36">
        <f t="shared" si="394"/>
        <v>0</v>
      </c>
      <c r="V1171" s="36">
        <f t="shared" si="395"/>
        <v>0</v>
      </c>
      <c r="W1171" s="36">
        <f t="shared" si="396"/>
        <v>0</v>
      </c>
      <c r="X1171" s="36">
        <f t="shared" si="397"/>
        <v>0</v>
      </c>
      <c r="Y1171" s="36">
        <f t="shared" si="398"/>
        <v>0</v>
      </c>
      <c r="Z1171" s="36">
        <f t="shared" si="399"/>
        <v>0</v>
      </c>
      <c r="AB1171" s="36" t="str">
        <f>IF(最佳化斷筋點!C1171="","",最佳化斷筋點!C1171)</f>
        <v>上層</v>
      </c>
      <c r="AC1171" s="37">
        <f>IF(最佳化斷筋點!D1171="","",最佳化斷筋點!D1171)</f>
        <v>5</v>
      </c>
      <c r="AD1171" s="37">
        <f>IF(最佳化斷筋點!E1171="","",最佳化斷筋點!E1171)</f>
        <v>5</v>
      </c>
      <c r="AE1171" s="37">
        <f>IF(最佳化斷筋點!F1171="","",最佳化斷筋點!F1171)</f>
        <v>5</v>
      </c>
      <c r="AF1171" s="37">
        <f>IF(最佳化斷筋點!G1171="","",最佳化斷筋點!G1171)</f>
        <v>5</v>
      </c>
      <c r="AG1171" s="37">
        <f>IF(最佳化斷筋點!H1171="","",最佳化斷筋點!H1171)</f>
        <v>5</v>
      </c>
      <c r="AH1171" s="37">
        <f>IF(最佳化斷筋點!I1171="","",最佳化斷筋點!I1171)</f>
        <v>5</v>
      </c>
      <c r="AI1171" s="37">
        <f>IF(最佳化斷筋點!J1171="","",最佳化斷筋點!J1171)</f>
        <v>4</v>
      </c>
      <c r="AJ1171" s="37">
        <f>IF(最佳化斷筋點!K1171="","",最佳化斷筋點!K1171)</f>
        <v>3</v>
      </c>
      <c r="AK1171" s="37">
        <f>IF(最佳化斷筋點!L1171="","",最佳化斷筋點!L1171)</f>
        <v>3</v>
      </c>
      <c r="AL1171" s="37">
        <f>IF(最佳化斷筋點!M1171="","",最佳化斷筋點!M1171)</f>
        <v>3</v>
      </c>
      <c r="AM1171" s="37">
        <f>IF(最佳化斷筋點!N1171="","",最佳化斷筋點!N1171)</f>
        <v>2</v>
      </c>
      <c r="AN1171" s="37">
        <f>IF(最佳化斷筋點!O1171="","",最佳化斷筋點!O1171)</f>
        <v>2</v>
      </c>
      <c r="AO1171" s="37">
        <f>IF(最佳化斷筋點!P1171="","",最佳化斷筋點!P1171)</f>
        <v>2</v>
      </c>
      <c r="AP1171" s="37">
        <f>IF(最佳化斷筋點!Q1171="","",最佳化斷筋點!Q1171)</f>
        <v>3</v>
      </c>
      <c r="AQ1171" s="37">
        <f>IF(最佳化斷筋點!R1171="","",最佳化斷筋點!R1171)</f>
        <v>3</v>
      </c>
      <c r="AR1171" s="37">
        <f>IF(最佳化斷筋點!S1171="","",最佳化斷筋點!S1171)</f>
        <v>3</v>
      </c>
      <c r="AS1171" s="37">
        <f>IF(最佳化斷筋點!T1171="","",最佳化斷筋點!T1171)</f>
        <v>4</v>
      </c>
      <c r="AT1171" s="37">
        <f>IF(最佳化斷筋點!U1171="","",最佳化斷筋點!U1171)</f>
        <v>4</v>
      </c>
      <c r="AU1171" s="37">
        <f>IF(最佳化斷筋點!V1171="","",最佳化斷筋點!V1171)</f>
        <v>4</v>
      </c>
      <c r="AV1171" s="37">
        <f>IF(最佳化斷筋點!W1171="","",最佳化斷筋點!W1171)</f>
        <v>4</v>
      </c>
      <c r="AW1171" s="37">
        <f>IF(最佳化斷筋點!X1171="","",最佳化斷筋點!X1171)</f>
        <v>4</v>
      </c>
      <c r="AZ1171" s="37">
        <v>5</v>
      </c>
      <c r="BA1171" s="37">
        <v>5</v>
      </c>
      <c r="BB1171" s="37">
        <v>5</v>
      </c>
      <c r="BC1171" s="37">
        <v>5</v>
      </c>
      <c r="BD1171" s="37">
        <v>5</v>
      </c>
      <c r="BE1171" s="37">
        <v>5</v>
      </c>
      <c r="BF1171" s="37">
        <v>4</v>
      </c>
      <c r="BG1171" s="37">
        <v>3</v>
      </c>
      <c r="BH1171" s="37">
        <v>3</v>
      </c>
      <c r="BI1171" s="37">
        <v>3</v>
      </c>
      <c r="BJ1171" s="37">
        <v>2</v>
      </c>
      <c r="BK1171" s="37">
        <v>2</v>
      </c>
      <c r="BL1171" s="37">
        <v>2</v>
      </c>
      <c r="BM1171" s="37">
        <v>3</v>
      </c>
      <c r="BN1171" s="37">
        <v>3</v>
      </c>
      <c r="BO1171" s="37">
        <v>3</v>
      </c>
      <c r="BP1171" s="37">
        <v>4</v>
      </c>
      <c r="BQ1171" s="37">
        <v>4</v>
      </c>
      <c r="BR1171" s="37">
        <v>4</v>
      </c>
      <c r="BS1171" s="37">
        <v>4</v>
      </c>
      <c r="BT1171" s="37">
        <v>4</v>
      </c>
    </row>
    <row r="1172" spans="5:72" x14ac:dyDescent="0.25">
      <c r="E1172" s="36"/>
      <c r="F1172" s="36">
        <f t="shared" si="379"/>
        <v>0</v>
      </c>
      <c r="G1172" s="36">
        <f t="shared" si="380"/>
        <v>0</v>
      </c>
      <c r="H1172" s="36">
        <f t="shared" si="381"/>
        <v>0</v>
      </c>
      <c r="I1172" s="36">
        <f t="shared" si="382"/>
        <v>0</v>
      </c>
      <c r="J1172" s="36">
        <f t="shared" si="383"/>
        <v>0</v>
      </c>
      <c r="K1172" s="36">
        <f t="shared" si="384"/>
        <v>0</v>
      </c>
      <c r="L1172" s="36">
        <f t="shared" si="385"/>
        <v>0</v>
      </c>
      <c r="M1172" s="36">
        <f t="shared" si="386"/>
        <v>0</v>
      </c>
      <c r="N1172" s="36">
        <f t="shared" si="387"/>
        <v>0</v>
      </c>
      <c r="O1172" s="36">
        <f t="shared" si="388"/>
        <v>0</v>
      </c>
      <c r="P1172" s="36">
        <f t="shared" si="389"/>
        <v>0</v>
      </c>
      <c r="Q1172" s="36">
        <f t="shared" si="390"/>
        <v>0</v>
      </c>
      <c r="R1172" s="36">
        <f t="shared" si="391"/>
        <v>0</v>
      </c>
      <c r="S1172" s="36">
        <f t="shared" si="392"/>
        <v>0</v>
      </c>
      <c r="T1172" s="36">
        <f t="shared" si="393"/>
        <v>0</v>
      </c>
      <c r="U1172" s="36">
        <f t="shared" si="394"/>
        <v>0</v>
      </c>
      <c r="V1172" s="36">
        <f t="shared" si="395"/>
        <v>0</v>
      </c>
      <c r="W1172" s="36">
        <f t="shared" si="396"/>
        <v>0</v>
      </c>
      <c r="X1172" s="36">
        <f t="shared" si="397"/>
        <v>0</v>
      </c>
      <c r="Y1172" s="36">
        <f t="shared" si="398"/>
        <v>0</v>
      </c>
      <c r="Z1172" s="36">
        <f t="shared" si="399"/>
        <v>0</v>
      </c>
      <c r="AB1172" s="36" t="str">
        <f>IF(最佳化斷筋點!C1172="","",最佳化斷筋點!C1172)</f>
        <v/>
      </c>
      <c r="AC1172" s="37" t="str">
        <f>IF(最佳化斷筋點!D1172="","",最佳化斷筋點!D1172)</f>
        <v/>
      </c>
      <c r="AD1172" s="37" t="str">
        <f>IF(最佳化斷筋點!E1172="","",最佳化斷筋點!E1172)</f>
        <v/>
      </c>
      <c r="AE1172" s="37" t="str">
        <f>IF(最佳化斷筋點!F1172="","",最佳化斷筋點!F1172)</f>
        <v/>
      </c>
      <c r="AF1172" s="37" t="str">
        <f>IF(最佳化斷筋點!G1172="","",最佳化斷筋點!G1172)</f>
        <v/>
      </c>
      <c r="AG1172" s="37" t="str">
        <f>IF(最佳化斷筋點!H1172="","",最佳化斷筋點!H1172)</f>
        <v/>
      </c>
      <c r="AH1172" s="37" t="str">
        <f>IF(最佳化斷筋點!I1172="","",最佳化斷筋點!I1172)</f>
        <v/>
      </c>
      <c r="AI1172" s="37" t="str">
        <f>IF(最佳化斷筋點!J1172="","",最佳化斷筋點!J1172)</f>
        <v/>
      </c>
      <c r="AJ1172" s="37" t="str">
        <f>IF(最佳化斷筋點!K1172="","",最佳化斷筋點!K1172)</f>
        <v/>
      </c>
      <c r="AK1172" s="37" t="str">
        <f>IF(最佳化斷筋點!L1172="","",最佳化斷筋點!L1172)</f>
        <v/>
      </c>
      <c r="AL1172" s="37" t="str">
        <f>IF(最佳化斷筋點!M1172="","",最佳化斷筋點!M1172)</f>
        <v/>
      </c>
      <c r="AM1172" s="37" t="str">
        <f>IF(最佳化斷筋點!N1172="","",最佳化斷筋點!N1172)</f>
        <v/>
      </c>
      <c r="AN1172" s="37" t="str">
        <f>IF(最佳化斷筋點!O1172="","",最佳化斷筋點!O1172)</f>
        <v/>
      </c>
      <c r="AO1172" s="37" t="str">
        <f>IF(最佳化斷筋點!P1172="","",最佳化斷筋點!P1172)</f>
        <v/>
      </c>
      <c r="AP1172" s="37" t="str">
        <f>IF(最佳化斷筋點!Q1172="","",最佳化斷筋點!Q1172)</f>
        <v/>
      </c>
      <c r="AQ1172" s="37" t="str">
        <f>IF(最佳化斷筋點!R1172="","",最佳化斷筋點!R1172)</f>
        <v/>
      </c>
      <c r="AR1172" s="37" t="str">
        <f>IF(最佳化斷筋點!S1172="","",最佳化斷筋點!S1172)</f>
        <v/>
      </c>
      <c r="AS1172" s="37" t="str">
        <f>IF(最佳化斷筋點!T1172="","",最佳化斷筋點!T1172)</f>
        <v/>
      </c>
      <c r="AT1172" s="37" t="str">
        <f>IF(最佳化斷筋點!U1172="","",最佳化斷筋點!U1172)</f>
        <v/>
      </c>
      <c r="AU1172" s="37" t="str">
        <f>IF(最佳化斷筋點!V1172="","",最佳化斷筋點!V1172)</f>
        <v/>
      </c>
      <c r="AV1172" s="37" t="str">
        <f>IF(最佳化斷筋點!W1172="","",最佳化斷筋點!W1172)</f>
        <v/>
      </c>
      <c r="AW1172" s="37" t="str">
        <f>IF(最佳化斷筋點!X1172="","",最佳化斷筋點!X1172)</f>
        <v/>
      </c>
      <c r="AZ1172" s="37" t="s">
        <v>197</v>
      </c>
      <c r="BA1172" s="37" t="s">
        <v>197</v>
      </c>
      <c r="BB1172" s="37" t="s">
        <v>197</v>
      </c>
      <c r="BC1172" s="37" t="s">
        <v>197</v>
      </c>
      <c r="BD1172" s="37" t="s">
        <v>197</v>
      </c>
      <c r="BE1172" s="37" t="s">
        <v>197</v>
      </c>
      <c r="BF1172" s="37" t="s">
        <v>197</v>
      </c>
      <c r="BG1172" s="37" t="s">
        <v>197</v>
      </c>
      <c r="BH1172" s="37" t="s">
        <v>197</v>
      </c>
      <c r="BI1172" s="37" t="s">
        <v>197</v>
      </c>
      <c r="BJ1172" s="37" t="s">
        <v>197</v>
      </c>
      <c r="BK1172" s="37" t="s">
        <v>197</v>
      </c>
      <c r="BL1172" s="37" t="s">
        <v>197</v>
      </c>
      <c r="BM1172" s="37" t="s">
        <v>197</v>
      </c>
      <c r="BN1172" s="37" t="s">
        <v>197</v>
      </c>
      <c r="BO1172" s="37" t="s">
        <v>197</v>
      </c>
      <c r="BP1172" s="37" t="s">
        <v>197</v>
      </c>
      <c r="BQ1172" s="37" t="s">
        <v>197</v>
      </c>
      <c r="BR1172" s="37" t="s">
        <v>197</v>
      </c>
      <c r="BS1172" s="37" t="s">
        <v>197</v>
      </c>
      <c r="BT1172" s="37" t="s">
        <v>197</v>
      </c>
    </row>
    <row r="1173" spans="5:72" x14ac:dyDescent="0.25">
      <c r="E1173" s="36" t="s">
        <v>21</v>
      </c>
      <c r="F1173" s="36">
        <f t="shared" si="379"/>
        <v>0</v>
      </c>
      <c r="G1173" s="36">
        <f t="shared" si="380"/>
        <v>0</v>
      </c>
      <c r="H1173" s="36">
        <f t="shared" si="381"/>
        <v>0</v>
      </c>
      <c r="I1173" s="36">
        <f t="shared" si="382"/>
        <v>0</v>
      </c>
      <c r="J1173" s="36">
        <f t="shared" si="383"/>
        <v>0</v>
      </c>
      <c r="K1173" s="36">
        <f t="shared" si="384"/>
        <v>0</v>
      </c>
      <c r="L1173" s="36">
        <f t="shared" si="385"/>
        <v>0</v>
      </c>
      <c r="M1173" s="36">
        <f t="shared" si="386"/>
        <v>0</v>
      </c>
      <c r="N1173" s="36">
        <f t="shared" si="387"/>
        <v>0</v>
      </c>
      <c r="O1173" s="36">
        <f t="shared" si="388"/>
        <v>0</v>
      </c>
      <c r="P1173" s="36">
        <f t="shared" si="389"/>
        <v>0</v>
      </c>
      <c r="Q1173" s="36">
        <f t="shared" si="390"/>
        <v>0</v>
      </c>
      <c r="R1173" s="36">
        <f t="shared" si="391"/>
        <v>0</v>
      </c>
      <c r="S1173" s="36">
        <f t="shared" si="392"/>
        <v>0</v>
      </c>
      <c r="T1173" s="36">
        <f t="shared" si="393"/>
        <v>0</v>
      </c>
      <c r="U1173" s="36">
        <f t="shared" si="394"/>
        <v>0</v>
      </c>
      <c r="V1173" s="36">
        <f t="shared" si="395"/>
        <v>0</v>
      </c>
      <c r="W1173" s="36">
        <f t="shared" si="396"/>
        <v>0</v>
      </c>
      <c r="X1173" s="36">
        <f t="shared" si="397"/>
        <v>0</v>
      </c>
      <c r="Y1173" s="36">
        <f t="shared" si="398"/>
        <v>0</v>
      </c>
      <c r="Z1173" s="36">
        <f t="shared" si="399"/>
        <v>0</v>
      </c>
      <c r="AB1173" s="36" t="str">
        <f>IF(最佳化斷筋點!C1173="","",最佳化斷筋點!C1173)</f>
        <v>下層</v>
      </c>
      <c r="AC1173" s="37">
        <f>IF(最佳化斷筋點!D1173="","",最佳化斷筋點!D1173)</f>
        <v>3</v>
      </c>
      <c r="AD1173" s="37">
        <f>IF(最佳化斷筋點!E1173="","",最佳化斷筋點!E1173)</f>
        <v>3</v>
      </c>
      <c r="AE1173" s="37">
        <f>IF(最佳化斷筋點!F1173="","",最佳化斷筋點!F1173)</f>
        <v>3</v>
      </c>
      <c r="AF1173" s="37">
        <f>IF(最佳化斷筋點!G1173="","",最佳化斷筋點!G1173)</f>
        <v>3</v>
      </c>
      <c r="AG1173" s="37">
        <f>IF(最佳化斷筋點!H1173="","",最佳化斷筋點!H1173)</f>
        <v>3</v>
      </c>
      <c r="AH1173" s="37">
        <f>IF(最佳化斷筋點!I1173="","",最佳化斷筋點!I1173)</f>
        <v>3</v>
      </c>
      <c r="AI1173" s="37">
        <f>IF(最佳化斷筋點!J1173="","",最佳化斷筋點!J1173)</f>
        <v>3</v>
      </c>
      <c r="AJ1173" s="37">
        <f>IF(最佳化斷筋點!K1173="","",最佳化斷筋點!K1173)</f>
        <v>3</v>
      </c>
      <c r="AK1173" s="37">
        <f>IF(最佳化斷筋點!L1173="","",最佳化斷筋點!L1173)</f>
        <v>3</v>
      </c>
      <c r="AL1173" s="37">
        <f>IF(最佳化斷筋點!M1173="","",最佳化斷筋點!M1173)</f>
        <v>3</v>
      </c>
      <c r="AM1173" s="37">
        <f>IF(最佳化斷筋點!N1173="","",最佳化斷筋點!N1173)</f>
        <v>3</v>
      </c>
      <c r="AN1173" s="37">
        <f>IF(最佳化斷筋點!O1173="","",最佳化斷筋點!O1173)</f>
        <v>3</v>
      </c>
      <c r="AO1173" s="37">
        <f>IF(最佳化斷筋點!P1173="","",最佳化斷筋點!P1173)</f>
        <v>3</v>
      </c>
      <c r="AP1173" s="37">
        <f>IF(最佳化斷筋點!Q1173="","",最佳化斷筋點!Q1173)</f>
        <v>3</v>
      </c>
      <c r="AQ1173" s="37">
        <f>IF(最佳化斷筋點!R1173="","",最佳化斷筋點!R1173)</f>
        <v>3</v>
      </c>
      <c r="AR1173" s="37">
        <f>IF(最佳化斷筋點!S1173="","",最佳化斷筋點!S1173)</f>
        <v>3</v>
      </c>
      <c r="AS1173" s="37">
        <f>IF(最佳化斷筋點!T1173="","",最佳化斷筋點!T1173)</f>
        <v>3</v>
      </c>
      <c r="AT1173" s="37">
        <f>IF(最佳化斷筋點!U1173="","",最佳化斷筋點!U1173)</f>
        <v>3</v>
      </c>
      <c r="AU1173" s="37">
        <f>IF(最佳化斷筋點!V1173="","",最佳化斷筋點!V1173)</f>
        <v>3</v>
      </c>
      <c r="AV1173" s="37">
        <f>IF(最佳化斷筋點!W1173="","",最佳化斷筋點!W1173)</f>
        <v>3</v>
      </c>
      <c r="AW1173" s="37">
        <f>IF(最佳化斷筋點!X1173="","",最佳化斷筋點!X1173)</f>
        <v>3</v>
      </c>
      <c r="AZ1173" s="37">
        <v>3</v>
      </c>
      <c r="BA1173" s="37">
        <v>3</v>
      </c>
      <c r="BB1173" s="37">
        <v>3</v>
      </c>
      <c r="BC1173" s="37">
        <v>3</v>
      </c>
      <c r="BD1173" s="37">
        <v>3</v>
      </c>
      <c r="BE1173" s="37">
        <v>3</v>
      </c>
      <c r="BF1173" s="37">
        <v>3</v>
      </c>
      <c r="BG1173" s="37">
        <v>3</v>
      </c>
      <c r="BH1173" s="37">
        <v>3</v>
      </c>
      <c r="BI1173" s="37">
        <v>3</v>
      </c>
      <c r="BJ1173" s="37">
        <v>3</v>
      </c>
      <c r="BK1173" s="37">
        <v>3</v>
      </c>
      <c r="BL1173" s="37">
        <v>3</v>
      </c>
      <c r="BM1173" s="37">
        <v>3</v>
      </c>
      <c r="BN1173" s="37">
        <v>3</v>
      </c>
      <c r="BO1173" s="37">
        <v>3</v>
      </c>
      <c r="BP1173" s="37">
        <v>3</v>
      </c>
      <c r="BQ1173" s="37">
        <v>3</v>
      </c>
      <c r="BR1173" s="37">
        <v>3</v>
      </c>
      <c r="BS1173" s="37">
        <v>3</v>
      </c>
      <c r="BT1173" s="37">
        <v>3</v>
      </c>
    </row>
    <row r="1174" spans="5:72" x14ac:dyDescent="0.25">
      <c r="E1174" s="36"/>
      <c r="F1174" s="36">
        <f t="shared" si="379"/>
        <v>0</v>
      </c>
      <c r="G1174" s="36">
        <f t="shared" si="380"/>
        <v>0</v>
      </c>
      <c r="H1174" s="36">
        <f t="shared" si="381"/>
        <v>0</v>
      </c>
      <c r="I1174" s="36">
        <f t="shared" si="382"/>
        <v>0</v>
      </c>
      <c r="J1174" s="36">
        <f t="shared" si="383"/>
        <v>0</v>
      </c>
      <c r="K1174" s="36">
        <f t="shared" si="384"/>
        <v>0</v>
      </c>
      <c r="L1174" s="36">
        <f t="shared" si="385"/>
        <v>0</v>
      </c>
      <c r="M1174" s="36">
        <f t="shared" si="386"/>
        <v>0</v>
      </c>
      <c r="N1174" s="36">
        <f t="shared" si="387"/>
        <v>0</v>
      </c>
      <c r="O1174" s="36">
        <f t="shared" si="388"/>
        <v>0</v>
      </c>
      <c r="P1174" s="36">
        <f t="shared" si="389"/>
        <v>0</v>
      </c>
      <c r="Q1174" s="36">
        <f t="shared" si="390"/>
        <v>0</v>
      </c>
      <c r="R1174" s="36">
        <f t="shared" si="391"/>
        <v>0</v>
      </c>
      <c r="S1174" s="36">
        <f t="shared" si="392"/>
        <v>0</v>
      </c>
      <c r="T1174" s="36">
        <f t="shared" si="393"/>
        <v>0</v>
      </c>
      <c r="U1174" s="36">
        <f t="shared" si="394"/>
        <v>0</v>
      </c>
      <c r="V1174" s="36">
        <f t="shared" si="395"/>
        <v>0</v>
      </c>
      <c r="W1174" s="36">
        <f t="shared" si="396"/>
        <v>0</v>
      </c>
      <c r="X1174" s="36">
        <f t="shared" si="397"/>
        <v>0</v>
      </c>
      <c r="Y1174" s="36">
        <f t="shared" si="398"/>
        <v>0</v>
      </c>
      <c r="Z1174" s="36">
        <f t="shared" si="399"/>
        <v>0</v>
      </c>
      <c r="AB1174" s="36" t="str">
        <f>IF(最佳化斷筋點!C1174="","",最佳化斷筋點!C1174)</f>
        <v/>
      </c>
      <c r="AC1174" s="37" t="str">
        <f>IF(最佳化斷筋點!D1174="","",最佳化斷筋點!D1174)</f>
        <v/>
      </c>
      <c r="AD1174" s="37" t="str">
        <f>IF(最佳化斷筋點!E1174="","",最佳化斷筋點!E1174)</f>
        <v/>
      </c>
      <c r="AE1174" s="37" t="str">
        <f>IF(最佳化斷筋點!F1174="","",最佳化斷筋點!F1174)</f>
        <v/>
      </c>
      <c r="AF1174" s="37" t="str">
        <f>IF(最佳化斷筋點!G1174="","",最佳化斷筋點!G1174)</f>
        <v/>
      </c>
      <c r="AG1174" s="37" t="str">
        <f>IF(最佳化斷筋點!H1174="","",最佳化斷筋點!H1174)</f>
        <v/>
      </c>
      <c r="AH1174" s="37" t="str">
        <f>IF(最佳化斷筋點!I1174="","",最佳化斷筋點!I1174)</f>
        <v/>
      </c>
      <c r="AI1174" s="37" t="str">
        <f>IF(最佳化斷筋點!J1174="","",最佳化斷筋點!J1174)</f>
        <v/>
      </c>
      <c r="AJ1174" s="37" t="str">
        <f>IF(最佳化斷筋點!K1174="","",最佳化斷筋點!K1174)</f>
        <v/>
      </c>
      <c r="AK1174" s="37" t="str">
        <f>IF(最佳化斷筋點!L1174="","",最佳化斷筋點!L1174)</f>
        <v/>
      </c>
      <c r="AL1174" s="37" t="str">
        <f>IF(最佳化斷筋點!M1174="","",最佳化斷筋點!M1174)</f>
        <v/>
      </c>
      <c r="AM1174" s="37" t="str">
        <f>IF(最佳化斷筋點!N1174="","",最佳化斷筋點!N1174)</f>
        <v/>
      </c>
      <c r="AN1174" s="37" t="str">
        <f>IF(最佳化斷筋點!O1174="","",最佳化斷筋點!O1174)</f>
        <v/>
      </c>
      <c r="AO1174" s="37" t="str">
        <f>IF(最佳化斷筋點!P1174="","",最佳化斷筋點!P1174)</f>
        <v/>
      </c>
      <c r="AP1174" s="37" t="str">
        <f>IF(最佳化斷筋點!Q1174="","",最佳化斷筋點!Q1174)</f>
        <v/>
      </c>
      <c r="AQ1174" s="37" t="str">
        <f>IF(最佳化斷筋點!R1174="","",最佳化斷筋點!R1174)</f>
        <v/>
      </c>
      <c r="AR1174" s="37" t="str">
        <f>IF(最佳化斷筋點!S1174="","",最佳化斷筋點!S1174)</f>
        <v/>
      </c>
      <c r="AS1174" s="37" t="str">
        <f>IF(最佳化斷筋點!T1174="","",最佳化斷筋點!T1174)</f>
        <v/>
      </c>
      <c r="AT1174" s="37" t="str">
        <f>IF(最佳化斷筋點!U1174="","",最佳化斷筋點!U1174)</f>
        <v/>
      </c>
      <c r="AU1174" s="37" t="str">
        <f>IF(最佳化斷筋點!V1174="","",最佳化斷筋點!V1174)</f>
        <v/>
      </c>
      <c r="AV1174" s="37" t="str">
        <f>IF(最佳化斷筋點!W1174="","",最佳化斷筋點!W1174)</f>
        <v/>
      </c>
      <c r="AW1174" s="37" t="str">
        <f>IF(最佳化斷筋點!X1174="","",最佳化斷筋點!X1174)</f>
        <v/>
      </c>
      <c r="AZ1174" s="37" t="s">
        <v>197</v>
      </c>
      <c r="BA1174" s="37" t="s">
        <v>197</v>
      </c>
      <c r="BB1174" s="37" t="s">
        <v>197</v>
      </c>
      <c r="BC1174" s="37" t="s">
        <v>197</v>
      </c>
      <c r="BD1174" s="37" t="s">
        <v>197</v>
      </c>
      <c r="BE1174" s="37" t="s">
        <v>197</v>
      </c>
      <c r="BF1174" s="37" t="s">
        <v>197</v>
      </c>
      <c r="BG1174" s="37" t="s">
        <v>197</v>
      </c>
      <c r="BH1174" s="37" t="s">
        <v>197</v>
      </c>
      <c r="BI1174" s="37" t="s">
        <v>197</v>
      </c>
      <c r="BJ1174" s="37" t="s">
        <v>197</v>
      </c>
      <c r="BK1174" s="37" t="s">
        <v>197</v>
      </c>
      <c r="BL1174" s="37" t="s">
        <v>197</v>
      </c>
      <c r="BM1174" s="37" t="s">
        <v>197</v>
      </c>
      <c r="BN1174" s="37" t="s">
        <v>197</v>
      </c>
      <c r="BO1174" s="37" t="s">
        <v>197</v>
      </c>
      <c r="BP1174" s="37" t="s">
        <v>197</v>
      </c>
      <c r="BQ1174" s="37" t="s">
        <v>197</v>
      </c>
      <c r="BR1174" s="37" t="s">
        <v>197</v>
      </c>
      <c r="BS1174" s="37" t="s">
        <v>197</v>
      </c>
      <c r="BT1174" s="37" t="s">
        <v>197</v>
      </c>
    </row>
    <row r="1175" spans="5:72" x14ac:dyDescent="0.25">
      <c r="E1175" s="36" t="s">
        <v>20</v>
      </c>
      <c r="F1175" s="36">
        <f t="shared" si="379"/>
        <v>0</v>
      </c>
      <c r="G1175" s="36">
        <f t="shared" si="380"/>
        <v>0</v>
      </c>
      <c r="H1175" s="36">
        <f t="shared" si="381"/>
        <v>0</v>
      </c>
      <c r="I1175" s="36">
        <f t="shared" si="382"/>
        <v>0</v>
      </c>
      <c r="J1175" s="36">
        <f t="shared" si="383"/>
        <v>0</v>
      </c>
      <c r="K1175" s="36">
        <f t="shared" si="384"/>
        <v>0</v>
      </c>
      <c r="L1175" s="36">
        <f t="shared" si="385"/>
        <v>0</v>
      </c>
      <c r="M1175" s="36">
        <f t="shared" si="386"/>
        <v>0</v>
      </c>
      <c r="N1175" s="36">
        <f t="shared" si="387"/>
        <v>0</v>
      </c>
      <c r="O1175" s="36">
        <f t="shared" si="388"/>
        <v>0</v>
      </c>
      <c r="P1175" s="36">
        <f t="shared" si="389"/>
        <v>0</v>
      </c>
      <c r="Q1175" s="36">
        <f t="shared" si="390"/>
        <v>0</v>
      </c>
      <c r="R1175" s="36">
        <f t="shared" si="391"/>
        <v>0</v>
      </c>
      <c r="S1175" s="36">
        <f t="shared" si="392"/>
        <v>0</v>
      </c>
      <c r="T1175" s="36">
        <f t="shared" si="393"/>
        <v>0</v>
      </c>
      <c r="U1175" s="36">
        <f t="shared" si="394"/>
        <v>0</v>
      </c>
      <c r="V1175" s="36">
        <f t="shared" si="395"/>
        <v>0</v>
      </c>
      <c r="W1175" s="36">
        <f t="shared" si="396"/>
        <v>0</v>
      </c>
      <c r="X1175" s="36">
        <f t="shared" si="397"/>
        <v>0</v>
      </c>
      <c r="Y1175" s="36">
        <f t="shared" si="398"/>
        <v>0</v>
      </c>
      <c r="Z1175" s="36">
        <f t="shared" si="399"/>
        <v>0</v>
      </c>
      <c r="AB1175" s="36" t="str">
        <f>IF(最佳化斷筋點!C1175="","",最佳化斷筋點!C1175)</f>
        <v>上層</v>
      </c>
      <c r="AC1175" s="37">
        <f>IF(最佳化斷筋點!D1175="","",最佳化斷筋點!D1175)</f>
        <v>4</v>
      </c>
      <c r="AD1175" s="37">
        <f>IF(最佳化斷筋點!E1175="","",最佳化斷筋點!E1175)</f>
        <v>4</v>
      </c>
      <c r="AE1175" s="37">
        <f>IF(最佳化斷筋點!F1175="","",最佳化斷筋點!F1175)</f>
        <v>4</v>
      </c>
      <c r="AF1175" s="37">
        <f>IF(最佳化斷筋點!G1175="","",最佳化斷筋點!G1175)</f>
        <v>4</v>
      </c>
      <c r="AG1175" s="37">
        <f>IF(最佳化斷筋點!H1175="","",最佳化斷筋點!H1175)</f>
        <v>4</v>
      </c>
      <c r="AH1175" s="37">
        <f>IF(最佳化斷筋點!I1175="","",最佳化斷筋點!I1175)</f>
        <v>4</v>
      </c>
      <c r="AI1175" s="37">
        <f>IF(最佳化斷筋點!J1175="","",最佳化斷筋點!J1175)</f>
        <v>4</v>
      </c>
      <c r="AJ1175" s="37">
        <f>IF(最佳化斷筋點!K1175="","",最佳化斷筋點!K1175)</f>
        <v>3</v>
      </c>
      <c r="AK1175" s="37">
        <f>IF(最佳化斷筋點!L1175="","",最佳化斷筋點!L1175)</f>
        <v>3</v>
      </c>
      <c r="AL1175" s="37">
        <f>IF(最佳化斷筋點!M1175="","",最佳化斷筋點!M1175)</f>
        <v>3</v>
      </c>
      <c r="AM1175" s="37">
        <f>IF(最佳化斷筋點!N1175="","",最佳化斷筋點!N1175)</f>
        <v>2</v>
      </c>
      <c r="AN1175" s="37">
        <f>IF(最佳化斷筋點!O1175="","",最佳化斷筋點!O1175)</f>
        <v>3</v>
      </c>
      <c r="AO1175" s="37">
        <f>IF(最佳化斷筋點!P1175="","",最佳化斷筋點!P1175)</f>
        <v>3</v>
      </c>
      <c r="AP1175" s="37">
        <f>IF(最佳化斷筋點!Q1175="","",最佳化斷筋點!Q1175)</f>
        <v>4</v>
      </c>
      <c r="AQ1175" s="37">
        <f>IF(最佳化斷筋點!R1175="","",最佳化斷筋點!R1175)</f>
        <v>4</v>
      </c>
      <c r="AR1175" s="37">
        <f>IF(最佳化斷筋點!S1175="","",最佳化斷筋點!S1175)</f>
        <v>5</v>
      </c>
      <c r="AS1175" s="37">
        <f>IF(最佳化斷筋點!T1175="","",最佳化斷筋點!T1175)</f>
        <v>5</v>
      </c>
      <c r="AT1175" s="37">
        <f>IF(最佳化斷筋點!U1175="","",最佳化斷筋點!U1175)</f>
        <v>5</v>
      </c>
      <c r="AU1175" s="37">
        <f>IF(最佳化斷筋點!V1175="","",最佳化斷筋點!V1175)</f>
        <v>5</v>
      </c>
      <c r="AV1175" s="37">
        <f>IF(最佳化斷筋點!W1175="","",最佳化斷筋點!W1175)</f>
        <v>5</v>
      </c>
      <c r="AW1175" s="37">
        <f>IF(最佳化斷筋點!X1175="","",最佳化斷筋點!X1175)</f>
        <v>5</v>
      </c>
      <c r="AZ1175" s="37">
        <v>4</v>
      </c>
      <c r="BA1175" s="37">
        <v>4</v>
      </c>
      <c r="BB1175" s="37">
        <v>4</v>
      </c>
      <c r="BC1175" s="37">
        <v>4</v>
      </c>
      <c r="BD1175" s="37">
        <v>4</v>
      </c>
      <c r="BE1175" s="37">
        <v>4</v>
      </c>
      <c r="BF1175" s="37">
        <v>4</v>
      </c>
      <c r="BG1175" s="37">
        <v>3</v>
      </c>
      <c r="BH1175" s="37">
        <v>3</v>
      </c>
      <c r="BI1175" s="37">
        <v>3</v>
      </c>
      <c r="BJ1175" s="37">
        <v>2</v>
      </c>
      <c r="BK1175" s="37">
        <v>3</v>
      </c>
      <c r="BL1175" s="37">
        <v>3</v>
      </c>
      <c r="BM1175" s="37">
        <v>4</v>
      </c>
      <c r="BN1175" s="37">
        <v>4</v>
      </c>
      <c r="BO1175" s="37">
        <v>5</v>
      </c>
      <c r="BP1175" s="37">
        <v>5</v>
      </c>
      <c r="BQ1175" s="37">
        <v>5</v>
      </c>
      <c r="BR1175" s="37">
        <v>5</v>
      </c>
      <c r="BS1175" s="37">
        <v>5</v>
      </c>
      <c r="BT1175" s="37">
        <v>5</v>
      </c>
    </row>
    <row r="1176" spans="5:72" x14ac:dyDescent="0.25">
      <c r="E1176" s="36"/>
      <c r="F1176" s="36">
        <f t="shared" si="379"/>
        <v>0</v>
      </c>
      <c r="G1176" s="36">
        <f t="shared" si="380"/>
        <v>0</v>
      </c>
      <c r="H1176" s="36">
        <f t="shared" si="381"/>
        <v>0</v>
      </c>
      <c r="I1176" s="36">
        <f t="shared" si="382"/>
        <v>0</v>
      </c>
      <c r="J1176" s="36">
        <f t="shared" si="383"/>
        <v>0</v>
      </c>
      <c r="K1176" s="36">
        <f t="shared" si="384"/>
        <v>0</v>
      </c>
      <c r="L1176" s="36">
        <f t="shared" si="385"/>
        <v>0</v>
      </c>
      <c r="M1176" s="36">
        <f t="shared" si="386"/>
        <v>0</v>
      </c>
      <c r="N1176" s="36">
        <f t="shared" si="387"/>
        <v>0</v>
      </c>
      <c r="O1176" s="36">
        <f t="shared" si="388"/>
        <v>0</v>
      </c>
      <c r="P1176" s="36">
        <f t="shared" si="389"/>
        <v>0</v>
      </c>
      <c r="Q1176" s="36">
        <f t="shared" si="390"/>
        <v>0</v>
      </c>
      <c r="R1176" s="36">
        <f t="shared" si="391"/>
        <v>0</v>
      </c>
      <c r="S1176" s="36">
        <f t="shared" si="392"/>
        <v>0</v>
      </c>
      <c r="T1176" s="36">
        <f t="shared" si="393"/>
        <v>0</v>
      </c>
      <c r="U1176" s="36">
        <f t="shared" si="394"/>
        <v>0</v>
      </c>
      <c r="V1176" s="36">
        <f t="shared" si="395"/>
        <v>0</v>
      </c>
      <c r="W1176" s="36">
        <f t="shared" si="396"/>
        <v>0</v>
      </c>
      <c r="X1176" s="36">
        <f t="shared" si="397"/>
        <v>0</v>
      </c>
      <c r="Y1176" s="36">
        <f t="shared" si="398"/>
        <v>0</v>
      </c>
      <c r="Z1176" s="36">
        <f t="shared" si="399"/>
        <v>0</v>
      </c>
      <c r="AB1176" s="36" t="str">
        <f>IF(最佳化斷筋點!C1176="","",最佳化斷筋點!C1176)</f>
        <v/>
      </c>
      <c r="AC1176" s="37" t="str">
        <f>IF(最佳化斷筋點!D1176="","",最佳化斷筋點!D1176)</f>
        <v/>
      </c>
      <c r="AD1176" s="37" t="str">
        <f>IF(最佳化斷筋點!E1176="","",最佳化斷筋點!E1176)</f>
        <v/>
      </c>
      <c r="AE1176" s="37" t="str">
        <f>IF(最佳化斷筋點!F1176="","",最佳化斷筋點!F1176)</f>
        <v/>
      </c>
      <c r="AF1176" s="37" t="str">
        <f>IF(最佳化斷筋點!G1176="","",最佳化斷筋點!G1176)</f>
        <v/>
      </c>
      <c r="AG1176" s="37" t="str">
        <f>IF(最佳化斷筋點!H1176="","",最佳化斷筋點!H1176)</f>
        <v/>
      </c>
      <c r="AH1176" s="37" t="str">
        <f>IF(最佳化斷筋點!I1176="","",最佳化斷筋點!I1176)</f>
        <v/>
      </c>
      <c r="AI1176" s="37" t="str">
        <f>IF(最佳化斷筋點!J1176="","",最佳化斷筋點!J1176)</f>
        <v/>
      </c>
      <c r="AJ1176" s="37" t="str">
        <f>IF(最佳化斷筋點!K1176="","",最佳化斷筋點!K1176)</f>
        <v/>
      </c>
      <c r="AK1176" s="37" t="str">
        <f>IF(最佳化斷筋點!L1176="","",最佳化斷筋點!L1176)</f>
        <v/>
      </c>
      <c r="AL1176" s="37" t="str">
        <f>IF(最佳化斷筋點!M1176="","",最佳化斷筋點!M1176)</f>
        <v/>
      </c>
      <c r="AM1176" s="37" t="str">
        <f>IF(最佳化斷筋點!N1176="","",最佳化斷筋點!N1176)</f>
        <v/>
      </c>
      <c r="AN1176" s="37" t="str">
        <f>IF(最佳化斷筋點!O1176="","",最佳化斷筋點!O1176)</f>
        <v/>
      </c>
      <c r="AO1176" s="37" t="str">
        <f>IF(最佳化斷筋點!P1176="","",最佳化斷筋點!P1176)</f>
        <v/>
      </c>
      <c r="AP1176" s="37" t="str">
        <f>IF(最佳化斷筋點!Q1176="","",最佳化斷筋點!Q1176)</f>
        <v/>
      </c>
      <c r="AQ1176" s="37" t="str">
        <f>IF(最佳化斷筋點!R1176="","",最佳化斷筋點!R1176)</f>
        <v/>
      </c>
      <c r="AR1176" s="37" t="str">
        <f>IF(最佳化斷筋點!S1176="","",最佳化斷筋點!S1176)</f>
        <v/>
      </c>
      <c r="AS1176" s="37" t="str">
        <f>IF(最佳化斷筋點!T1176="","",最佳化斷筋點!T1176)</f>
        <v/>
      </c>
      <c r="AT1176" s="37" t="str">
        <f>IF(最佳化斷筋點!U1176="","",最佳化斷筋點!U1176)</f>
        <v/>
      </c>
      <c r="AU1176" s="37" t="str">
        <f>IF(最佳化斷筋點!V1176="","",最佳化斷筋點!V1176)</f>
        <v/>
      </c>
      <c r="AV1176" s="37" t="str">
        <f>IF(最佳化斷筋點!W1176="","",最佳化斷筋點!W1176)</f>
        <v/>
      </c>
      <c r="AW1176" s="37" t="str">
        <f>IF(最佳化斷筋點!X1176="","",最佳化斷筋點!X1176)</f>
        <v/>
      </c>
      <c r="AZ1176" s="37" t="s">
        <v>197</v>
      </c>
      <c r="BA1176" s="37" t="s">
        <v>197</v>
      </c>
      <c r="BB1176" s="37" t="s">
        <v>197</v>
      </c>
      <c r="BC1176" s="37" t="s">
        <v>197</v>
      </c>
      <c r="BD1176" s="37" t="s">
        <v>197</v>
      </c>
      <c r="BE1176" s="37" t="s">
        <v>197</v>
      </c>
      <c r="BF1176" s="37" t="s">
        <v>197</v>
      </c>
      <c r="BG1176" s="37" t="s">
        <v>197</v>
      </c>
      <c r="BH1176" s="37" t="s">
        <v>197</v>
      </c>
      <c r="BI1176" s="37" t="s">
        <v>197</v>
      </c>
      <c r="BJ1176" s="37" t="s">
        <v>197</v>
      </c>
      <c r="BK1176" s="37" t="s">
        <v>197</v>
      </c>
      <c r="BL1176" s="37" t="s">
        <v>197</v>
      </c>
      <c r="BM1176" s="37" t="s">
        <v>197</v>
      </c>
      <c r="BN1176" s="37" t="s">
        <v>197</v>
      </c>
      <c r="BO1176" s="37" t="s">
        <v>197</v>
      </c>
      <c r="BP1176" s="37" t="s">
        <v>197</v>
      </c>
      <c r="BQ1176" s="37" t="s">
        <v>197</v>
      </c>
      <c r="BR1176" s="37" t="s">
        <v>197</v>
      </c>
      <c r="BS1176" s="37" t="s">
        <v>197</v>
      </c>
      <c r="BT1176" s="37" t="s">
        <v>197</v>
      </c>
    </row>
    <row r="1177" spans="5:72" x14ac:dyDescent="0.25">
      <c r="E1177" s="36" t="s">
        <v>21</v>
      </c>
      <c r="F1177" s="36">
        <f t="shared" si="379"/>
        <v>0</v>
      </c>
      <c r="G1177" s="36">
        <f t="shared" si="380"/>
        <v>0</v>
      </c>
      <c r="H1177" s="36">
        <f t="shared" si="381"/>
        <v>0</v>
      </c>
      <c r="I1177" s="36">
        <f t="shared" si="382"/>
        <v>0</v>
      </c>
      <c r="J1177" s="36">
        <f t="shared" si="383"/>
        <v>0</v>
      </c>
      <c r="K1177" s="36">
        <f t="shared" si="384"/>
        <v>0</v>
      </c>
      <c r="L1177" s="36">
        <f t="shared" si="385"/>
        <v>0</v>
      </c>
      <c r="M1177" s="36">
        <f t="shared" si="386"/>
        <v>0</v>
      </c>
      <c r="N1177" s="36">
        <f t="shared" si="387"/>
        <v>0</v>
      </c>
      <c r="O1177" s="36">
        <f t="shared" si="388"/>
        <v>0</v>
      </c>
      <c r="P1177" s="36">
        <f t="shared" si="389"/>
        <v>0</v>
      </c>
      <c r="Q1177" s="36">
        <f t="shared" si="390"/>
        <v>0</v>
      </c>
      <c r="R1177" s="36">
        <f t="shared" si="391"/>
        <v>0</v>
      </c>
      <c r="S1177" s="36">
        <f t="shared" si="392"/>
        <v>0</v>
      </c>
      <c r="T1177" s="36">
        <f t="shared" si="393"/>
        <v>0</v>
      </c>
      <c r="U1177" s="36">
        <f t="shared" si="394"/>
        <v>0</v>
      </c>
      <c r="V1177" s="36">
        <f t="shared" si="395"/>
        <v>0</v>
      </c>
      <c r="W1177" s="36">
        <f t="shared" si="396"/>
        <v>0</v>
      </c>
      <c r="X1177" s="36">
        <f t="shared" si="397"/>
        <v>0</v>
      </c>
      <c r="Y1177" s="36">
        <f t="shared" si="398"/>
        <v>0</v>
      </c>
      <c r="Z1177" s="36">
        <f t="shared" si="399"/>
        <v>0</v>
      </c>
      <c r="AB1177" s="36" t="str">
        <f>IF(最佳化斷筋點!C1177="","",最佳化斷筋點!C1177)</f>
        <v>下層</v>
      </c>
      <c r="AC1177" s="37">
        <f>IF(最佳化斷筋點!D1177="","",最佳化斷筋點!D1177)</f>
        <v>3</v>
      </c>
      <c r="AD1177" s="37">
        <f>IF(最佳化斷筋點!E1177="","",最佳化斷筋點!E1177)</f>
        <v>3</v>
      </c>
      <c r="AE1177" s="37">
        <f>IF(最佳化斷筋點!F1177="","",最佳化斷筋點!F1177)</f>
        <v>3</v>
      </c>
      <c r="AF1177" s="37">
        <f>IF(最佳化斷筋點!G1177="","",最佳化斷筋點!G1177)</f>
        <v>3</v>
      </c>
      <c r="AG1177" s="37">
        <f>IF(最佳化斷筋點!H1177="","",最佳化斷筋點!H1177)</f>
        <v>3</v>
      </c>
      <c r="AH1177" s="37">
        <f>IF(最佳化斷筋點!I1177="","",最佳化斷筋點!I1177)</f>
        <v>3</v>
      </c>
      <c r="AI1177" s="37">
        <f>IF(最佳化斷筋點!J1177="","",最佳化斷筋點!J1177)</f>
        <v>3</v>
      </c>
      <c r="AJ1177" s="37">
        <f>IF(最佳化斷筋點!K1177="","",最佳化斷筋點!K1177)</f>
        <v>3</v>
      </c>
      <c r="AK1177" s="37">
        <f>IF(最佳化斷筋點!L1177="","",最佳化斷筋點!L1177)</f>
        <v>3</v>
      </c>
      <c r="AL1177" s="37">
        <f>IF(最佳化斷筋點!M1177="","",最佳化斷筋點!M1177)</f>
        <v>3</v>
      </c>
      <c r="AM1177" s="37">
        <f>IF(最佳化斷筋點!N1177="","",最佳化斷筋點!N1177)</f>
        <v>3</v>
      </c>
      <c r="AN1177" s="37">
        <f>IF(最佳化斷筋點!O1177="","",最佳化斷筋點!O1177)</f>
        <v>3</v>
      </c>
      <c r="AO1177" s="37">
        <f>IF(最佳化斷筋點!P1177="","",最佳化斷筋點!P1177)</f>
        <v>3</v>
      </c>
      <c r="AP1177" s="37">
        <f>IF(最佳化斷筋點!Q1177="","",最佳化斷筋點!Q1177)</f>
        <v>3</v>
      </c>
      <c r="AQ1177" s="37">
        <f>IF(最佳化斷筋點!R1177="","",最佳化斷筋點!R1177)</f>
        <v>3</v>
      </c>
      <c r="AR1177" s="37">
        <f>IF(最佳化斷筋點!S1177="","",最佳化斷筋點!S1177)</f>
        <v>3</v>
      </c>
      <c r="AS1177" s="37">
        <f>IF(最佳化斷筋點!T1177="","",最佳化斷筋點!T1177)</f>
        <v>3</v>
      </c>
      <c r="AT1177" s="37">
        <f>IF(最佳化斷筋點!U1177="","",最佳化斷筋點!U1177)</f>
        <v>3</v>
      </c>
      <c r="AU1177" s="37">
        <f>IF(最佳化斷筋點!V1177="","",最佳化斷筋點!V1177)</f>
        <v>3</v>
      </c>
      <c r="AV1177" s="37">
        <f>IF(最佳化斷筋點!W1177="","",最佳化斷筋點!W1177)</f>
        <v>3</v>
      </c>
      <c r="AW1177" s="37">
        <f>IF(最佳化斷筋點!X1177="","",最佳化斷筋點!X1177)</f>
        <v>3</v>
      </c>
      <c r="AZ1177" s="37">
        <v>3</v>
      </c>
      <c r="BA1177" s="37">
        <v>3</v>
      </c>
      <c r="BB1177" s="37">
        <v>3</v>
      </c>
      <c r="BC1177" s="37">
        <v>3</v>
      </c>
      <c r="BD1177" s="37">
        <v>3</v>
      </c>
      <c r="BE1177" s="37">
        <v>3</v>
      </c>
      <c r="BF1177" s="37">
        <v>3</v>
      </c>
      <c r="BG1177" s="37">
        <v>3</v>
      </c>
      <c r="BH1177" s="37">
        <v>3</v>
      </c>
      <c r="BI1177" s="37">
        <v>3</v>
      </c>
      <c r="BJ1177" s="37">
        <v>3</v>
      </c>
      <c r="BK1177" s="37">
        <v>3</v>
      </c>
      <c r="BL1177" s="37">
        <v>3</v>
      </c>
      <c r="BM1177" s="37">
        <v>3</v>
      </c>
      <c r="BN1177" s="37">
        <v>3</v>
      </c>
      <c r="BO1177" s="37">
        <v>3</v>
      </c>
      <c r="BP1177" s="37">
        <v>3</v>
      </c>
      <c r="BQ1177" s="37">
        <v>3</v>
      </c>
      <c r="BR1177" s="37">
        <v>3</v>
      </c>
      <c r="BS1177" s="37">
        <v>3</v>
      </c>
      <c r="BT1177" s="37">
        <v>3</v>
      </c>
    </row>
    <row r="1178" spans="5:72" x14ac:dyDescent="0.25">
      <c r="E1178" s="36"/>
      <c r="F1178" s="36">
        <f t="shared" si="379"/>
        <v>0</v>
      </c>
      <c r="G1178" s="36">
        <f t="shared" si="380"/>
        <v>0</v>
      </c>
      <c r="H1178" s="36">
        <f t="shared" si="381"/>
        <v>0</v>
      </c>
      <c r="I1178" s="36">
        <f t="shared" si="382"/>
        <v>0</v>
      </c>
      <c r="J1178" s="36">
        <f t="shared" si="383"/>
        <v>0</v>
      </c>
      <c r="K1178" s="36">
        <f t="shared" si="384"/>
        <v>0</v>
      </c>
      <c r="L1178" s="36">
        <f t="shared" si="385"/>
        <v>0</v>
      </c>
      <c r="M1178" s="36">
        <f t="shared" si="386"/>
        <v>0</v>
      </c>
      <c r="N1178" s="36">
        <f t="shared" si="387"/>
        <v>0</v>
      </c>
      <c r="O1178" s="36">
        <f t="shared" si="388"/>
        <v>0</v>
      </c>
      <c r="P1178" s="36">
        <f t="shared" si="389"/>
        <v>0</v>
      </c>
      <c r="Q1178" s="36">
        <f t="shared" si="390"/>
        <v>0</v>
      </c>
      <c r="R1178" s="36">
        <f t="shared" si="391"/>
        <v>0</v>
      </c>
      <c r="S1178" s="36">
        <f t="shared" si="392"/>
        <v>0</v>
      </c>
      <c r="T1178" s="36">
        <f t="shared" si="393"/>
        <v>0</v>
      </c>
      <c r="U1178" s="36">
        <f t="shared" si="394"/>
        <v>0</v>
      </c>
      <c r="V1178" s="36">
        <f t="shared" si="395"/>
        <v>0</v>
      </c>
      <c r="W1178" s="36">
        <f t="shared" si="396"/>
        <v>0</v>
      </c>
      <c r="X1178" s="36">
        <f t="shared" si="397"/>
        <v>0</v>
      </c>
      <c r="Y1178" s="36">
        <f t="shared" si="398"/>
        <v>0</v>
      </c>
      <c r="Z1178" s="36">
        <f t="shared" si="399"/>
        <v>0</v>
      </c>
      <c r="AB1178" s="36" t="str">
        <f>IF(最佳化斷筋點!C1178="","",最佳化斷筋點!C1178)</f>
        <v/>
      </c>
      <c r="AC1178" s="37" t="str">
        <f>IF(最佳化斷筋點!D1178="","",最佳化斷筋點!D1178)</f>
        <v/>
      </c>
      <c r="AD1178" s="37" t="str">
        <f>IF(最佳化斷筋點!E1178="","",最佳化斷筋點!E1178)</f>
        <v/>
      </c>
      <c r="AE1178" s="37" t="str">
        <f>IF(最佳化斷筋點!F1178="","",最佳化斷筋點!F1178)</f>
        <v/>
      </c>
      <c r="AF1178" s="37" t="str">
        <f>IF(最佳化斷筋點!G1178="","",最佳化斷筋點!G1178)</f>
        <v/>
      </c>
      <c r="AG1178" s="37" t="str">
        <f>IF(最佳化斷筋點!H1178="","",最佳化斷筋點!H1178)</f>
        <v/>
      </c>
      <c r="AH1178" s="37" t="str">
        <f>IF(最佳化斷筋點!I1178="","",最佳化斷筋點!I1178)</f>
        <v/>
      </c>
      <c r="AI1178" s="37" t="str">
        <f>IF(最佳化斷筋點!J1178="","",最佳化斷筋點!J1178)</f>
        <v/>
      </c>
      <c r="AJ1178" s="37" t="str">
        <f>IF(最佳化斷筋點!K1178="","",最佳化斷筋點!K1178)</f>
        <v/>
      </c>
      <c r="AK1178" s="37" t="str">
        <f>IF(最佳化斷筋點!L1178="","",最佳化斷筋點!L1178)</f>
        <v/>
      </c>
      <c r="AL1178" s="37" t="str">
        <f>IF(最佳化斷筋點!M1178="","",最佳化斷筋點!M1178)</f>
        <v/>
      </c>
      <c r="AM1178" s="37" t="str">
        <f>IF(最佳化斷筋點!N1178="","",最佳化斷筋點!N1178)</f>
        <v/>
      </c>
      <c r="AN1178" s="37" t="str">
        <f>IF(最佳化斷筋點!O1178="","",最佳化斷筋點!O1178)</f>
        <v/>
      </c>
      <c r="AO1178" s="37" t="str">
        <f>IF(最佳化斷筋點!P1178="","",最佳化斷筋點!P1178)</f>
        <v/>
      </c>
      <c r="AP1178" s="37" t="str">
        <f>IF(最佳化斷筋點!Q1178="","",最佳化斷筋點!Q1178)</f>
        <v/>
      </c>
      <c r="AQ1178" s="37" t="str">
        <f>IF(最佳化斷筋點!R1178="","",最佳化斷筋點!R1178)</f>
        <v/>
      </c>
      <c r="AR1178" s="37" t="str">
        <f>IF(最佳化斷筋點!S1178="","",最佳化斷筋點!S1178)</f>
        <v/>
      </c>
      <c r="AS1178" s="37" t="str">
        <f>IF(最佳化斷筋點!T1178="","",最佳化斷筋點!T1178)</f>
        <v/>
      </c>
      <c r="AT1178" s="37" t="str">
        <f>IF(最佳化斷筋點!U1178="","",最佳化斷筋點!U1178)</f>
        <v/>
      </c>
      <c r="AU1178" s="37" t="str">
        <f>IF(最佳化斷筋點!V1178="","",最佳化斷筋點!V1178)</f>
        <v/>
      </c>
      <c r="AV1178" s="37" t="str">
        <f>IF(最佳化斷筋點!W1178="","",最佳化斷筋點!W1178)</f>
        <v/>
      </c>
      <c r="AW1178" s="37" t="str">
        <f>IF(最佳化斷筋點!X1178="","",最佳化斷筋點!X1178)</f>
        <v/>
      </c>
      <c r="AZ1178" s="37" t="s">
        <v>197</v>
      </c>
      <c r="BA1178" s="37" t="s">
        <v>197</v>
      </c>
      <c r="BB1178" s="37" t="s">
        <v>197</v>
      </c>
      <c r="BC1178" s="37" t="s">
        <v>197</v>
      </c>
      <c r="BD1178" s="37" t="s">
        <v>197</v>
      </c>
      <c r="BE1178" s="37" t="s">
        <v>197</v>
      </c>
      <c r="BF1178" s="37" t="s">
        <v>197</v>
      </c>
      <c r="BG1178" s="37" t="s">
        <v>197</v>
      </c>
      <c r="BH1178" s="37" t="s">
        <v>197</v>
      </c>
      <c r="BI1178" s="37" t="s">
        <v>197</v>
      </c>
      <c r="BJ1178" s="37" t="s">
        <v>197</v>
      </c>
      <c r="BK1178" s="37" t="s">
        <v>197</v>
      </c>
      <c r="BL1178" s="37" t="s">
        <v>197</v>
      </c>
      <c r="BM1178" s="37" t="s">
        <v>197</v>
      </c>
      <c r="BN1178" s="37" t="s">
        <v>197</v>
      </c>
      <c r="BO1178" s="37" t="s">
        <v>197</v>
      </c>
      <c r="BP1178" s="37" t="s">
        <v>197</v>
      </c>
      <c r="BQ1178" s="37" t="s">
        <v>197</v>
      </c>
      <c r="BR1178" s="37" t="s">
        <v>197</v>
      </c>
      <c r="BS1178" s="37" t="s">
        <v>197</v>
      </c>
      <c r="BT1178" s="37" t="s">
        <v>197</v>
      </c>
    </row>
    <row r="1179" spans="5:72" x14ac:dyDescent="0.25">
      <c r="E1179" s="36" t="s">
        <v>20</v>
      </c>
      <c r="F1179" s="36">
        <f t="shared" si="379"/>
        <v>0</v>
      </c>
      <c r="G1179" s="36">
        <f t="shared" si="380"/>
        <v>0</v>
      </c>
      <c r="H1179" s="36">
        <f t="shared" si="381"/>
        <v>0</v>
      </c>
      <c r="I1179" s="36">
        <f t="shared" si="382"/>
        <v>0</v>
      </c>
      <c r="J1179" s="36">
        <f t="shared" si="383"/>
        <v>0</v>
      </c>
      <c r="K1179" s="36">
        <f t="shared" si="384"/>
        <v>0</v>
      </c>
      <c r="L1179" s="36">
        <f t="shared" si="385"/>
        <v>0</v>
      </c>
      <c r="M1179" s="36">
        <f t="shared" si="386"/>
        <v>0</v>
      </c>
      <c r="N1179" s="36">
        <f t="shared" si="387"/>
        <v>0</v>
      </c>
      <c r="O1179" s="36">
        <f t="shared" si="388"/>
        <v>0</v>
      </c>
      <c r="P1179" s="36">
        <f t="shared" si="389"/>
        <v>0</v>
      </c>
      <c r="Q1179" s="36">
        <f t="shared" si="390"/>
        <v>0</v>
      </c>
      <c r="R1179" s="36">
        <f t="shared" si="391"/>
        <v>0</v>
      </c>
      <c r="S1179" s="36">
        <f t="shared" si="392"/>
        <v>0</v>
      </c>
      <c r="T1179" s="36">
        <f t="shared" si="393"/>
        <v>0</v>
      </c>
      <c r="U1179" s="36">
        <f t="shared" si="394"/>
        <v>0</v>
      </c>
      <c r="V1179" s="36">
        <f t="shared" si="395"/>
        <v>0</v>
      </c>
      <c r="W1179" s="36">
        <f t="shared" si="396"/>
        <v>0</v>
      </c>
      <c r="X1179" s="36">
        <f t="shared" si="397"/>
        <v>0</v>
      </c>
      <c r="Y1179" s="36">
        <f t="shared" si="398"/>
        <v>0</v>
      </c>
      <c r="Z1179" s="36">
        <f t="shared" si="399"/>
        <v>0</v>
      </c>
      <c r="AB1179" s="36" t="str">
        <f>IF(最佳化斷筋點!C1179="","",最佳化斷筋點!C1179)</f>
        <v>上層</v>
      </c>
      <c r="AC1179" s="37">
        <f>IF(最佳化斷筋點!D1179="","",最佳化斷筋點!D1179)</f>
        <v>7</v>
      </c>
      <c r="AD1179" s="37">
        <f>IF(最佳化斷筋點!E1179="","",最佳化斷筋點!E1179)</f>
        <v>7</v>
      </c>
      <c r="AE1179" s="37">
        <f>IF(最佳化斷筋點!F1179="","",最佳化斷筋點!F1179)</f>
        <v>7</v>
      </c>
      <c r="AF1179" s="37">
        <f>IF(最佳化斷筋點!G1179="","",最佳化斷筋點!G1179)</f>
        <v>7</v>
      </c>
      <c r="AG1179" s="37">
        <f>IF(最佳化斷筋點!H1179="","",最佳化斷筋點!H1179)</f>
        <v>7</v>
      </c>
      <c r="AH1179" s="37">
        <f>IF(最佳化斷筋點!I1179="","",最佳化斷筋點!I1179)</f>
        <v>6</v>
      </c>
      <c r="AI1179" s="37">
        <f>IF(最佳化斷筋點!J1179="","",最佳化斷筋點!J1179)</f>
        <v>6</v>
      </c>
      <c r="AJ1179" s="37">
        <f>IF(最佳化斷筋點!K1179="","",最佳化斷筋點!K1179)</f>
        <v>3</v>
      </c>
      <c r="AK1179" s="37">
        <f>IF(最佳化斷筋點!L1179="","",最佳化斷筋點!L1179)</f>
        <v>3</v>
      </c>
      <c r="AL1179" s="37">
        <f>IF(最佳化斷筋點!M1179="","",最佳化斷筋點!M1179)</f>
        <v>3</v>
      </c>
      <c r="AM1179" s="37">
        <f>IF(最佳化斷筋點!N1179="","",最佳化斷筋點!N1179)</f>
        <v>3</v>
      </c>
      <c r="AN1179" s="37">
        <f>IF(最佳化斷筋點!O1179="","",最佳化斷筋點!O1179)</f>
        <v>3</v>
      </c>
      <c r="AO1179" s="37">
        <f>IF(最佳化斷筋點!P1179="","",最佳化斷筋點!P1179)</f>
        <v>3</v>
      </c>
      <c r="AP1179" s="37">
        <f>IF(最佳化斷筋點!Q1179="","",最佳化斷筋點!Q1179)</f>
        <v>5</v>
      </c>
      <c r="AQ1179" s="37">
        <f>IF(最佳化斷筋點!R1179="","",最佳化斷筋點!R1179)</f>
        <v>6</v>
      </c>
      <c r="AR1179" s="37">
        <f>IF(最佳化斷筋點!S1179="","",最佳化斷筋點!S1179)</f>
        <v>7</v>
      </c>
      <c r="AS1179" s="37">
        <f>IF(最佳化斷筋點!T1179="","",最佳化斷筋點!T1179)</f>
        <v>8</v>
      </c>
      <c r="AT1179" s="37">
        <f>IF(最佳化斷筋點!U1179="","",最佳化斷筋點!U1179)</f>
        <v>9</v>
      </c>
      <c r="AU1179" s="37">
        <f>IF(最佳化斷筋點!V1179="","",最佳化斷筋點!V1179)</f>
        <v>9</v>
      </c>
      <c r="AV1179" s="37">
        <f>IF(最佳化斷筋點!W1179="","",最佳化斷筋點!W1179)</f>
        <v>9</v>
      </c>
      <c r="AW1179" s="37">
        <f>IF(最佳化斷筋點!X1179="","",最佳化斷筋點!X1179)</f>
        <v>9</v>
      </c>
      <c r="AZ1179" s="37">
        <v>7</v>
      </c>
      <c r="BA1179" s="37">
        <v>7</v>
      </c>
      <c r="BB1179" s="37">
        <v>7</v>
      </c>
      <c r="BC1179" s="37">
        <v>7</v>
      </c>
      <c r="BD1179" s="37">
        <v>7</v>
      </c>
      <c r="BE1179" s="37">
        <v>6</v>
      </c>
      <c r="BF1179" s="37">
        <v>6</v>
      </c>
      <c r="BG1179" s="37">
        <v>3</v>
      </c>
      <c r="BH1179" s="37">
        <v>3</v>
      </c>
      <c r="BI1179" s="37">
        <v>3</v>
      </c>
      <c r="BJ1179" s="37">
        <v>3</v>
      </c>
      <c r="BK1179" s="37">
        <v>3</v>
      </c>
      <c r="BL1179" s="37">
        <v>3</v>
      </c>
      <c r="BM1179" s="37">
        <v>5</v>
      </c>
      <c r="BN1179" s="37">
        <v>6</v>
      </c>
      <c r="BO1179" s="37">
        <v>7</v>
      </c>
      <c r="BP1179" s="37">
        <v>8</v>
      </c>
      <c r="BQ1179" s="37">
        <v>9</v>
      </c>
      <c r="BR1179" s="37">
        <v>9</v>
      </c>
      <c r="BS1179" s="37">
        <v>9</v>
      </c>
      <c r="BT1179" s="37">
        <v>9</v>
      </c>
    </row>
    <row r="1180" spans="5:72" x14ac:dyDescent="0.25">
      <c r="E1180" s="36"/>
      <c r="F1180" s="36">
        <f t="shared" si="379"/>
        <v>0</v>
      </c>
      <c r="G1180" s="36">
        <f t="shared" si="380"/>
        <v>0</v>
      </c>
      <c r="H1180" s="36">
        <f t="shared" si="381"/>
        <v>0</v>
      </c>
      <c r="I1180" s="36">
        <f t="shared" si="382"/>
        <v>0</v>
      </c>
      <c r="J1180" s="36">
        <f t="shared" si="383"/>
        <v>0</v>
      </c>
      <c r="K1180" s="36">
        <f t="shared" si="384"/>
        <v>0</v>
      </c>
      <c r="L1180" s="36">
        <f t="shared" si="385"/>
        <v>0</v>
      </c>
      <c r="M1180" s="36">
        <f t="shared" si="386"/>
        <v>0</v>
      </c>
      <c r="N1180" s="36">
        <f t="shared" si="387"/>
        <v>0</v>
      </c>
      <c r="O1180" s="36">
        <f t="shared" si="388"/>
        <v>0</v>
      </c>
      <c r="P1180" s="36">
        <f t="shared" si="389"/>
        <v>0</v>
      </c>
      <c r="Q1180" s="36">
        <f t="shared" si="390"/>
        <v>0</v>
      </c>
      <c r="R1180" s="36">
        <f t="shared" si="391"/>
        <v>0</v>
      </c>
      <c r="S1180" s="36">
        <f t="shared" si="392"/>
        <v>0</v>
      </c>
      <c r="T1180" s="36">
        <f t="shared" si="393"/>
        <v>0</v>
      </c>
      <c r="U1180" s="36">
        <f t="shared" si="394"/>
        <v>0</v>
      </c>
      <c r="V1180" s="36">
        <f t="shared" si="395"/>
        <v>0</v>
      </c>
      <c r="W1180" s="36">
        <f t="shared" si="396"/>
        <v>0</v>
      </c>
      <c r="X1180" s="36">
        <f t="shared" si="397"/>
        <v>0</v>
      </c>
      <c r="Y1180" s="36">
        <f t="shared" si="398"/>
        <v>0</v>
      </c>
      <c r="Z1180" s="36">
        <f t="shared" si="399"/>
        <v>0</v>
      </c>
      <c r="AB1180" s="36" t="str">
        <f>IF(最佳化斷筋點!C1180="","",最佳化斷筋點!C1180)</f>
        <v/>
      </c>
      <c r="AC1180" s="37" t="str">
        <f>IF(最佳化斷筋點!D1180="","",最佳化斷筋點!D1180)</f>
        <v/>
      </c>
      <c r="AD1180" s="37" t="str">
        <f>IF(最佳化斷筋點!E1180="","",最佳化斷筋點!E1180)</f>
        <v/>
      </c>
      <c r="AE1180" s="37" t="str">
        <f>IF(最佳化斷筋點!F1180="","",最佳化斷筋點!F1180)</f>
        <v/>
      </c>
      <c r="AF1180" s="37" t="str">
        <f>IF(最佳化斷筋點!G1180="","",最佳化斷筋點!G1180)</f>
        <v/>
      </c>
      <c r="AG1180" s="37" t="str">
        <f>IF(最佳化斷筋點!H1180="","",最佳化斷筋點!H1180)</f>
        <v/>
      </c>
      <c r="AH1180" s="37" t="str">
        <f>IF(最佳化斷筋點!I1180="","",最佳化斷筋點!I1180)</f>
        <v/>
      </c>
      <c r="AI1180" s="37" t="str">
        <f>IF(最佳化斷筋點!J1180="","",最佳化斷筋點!J1180)</f>
        <v/>
      </c>
      <c r="AJ1180" s="37" t="str">
        <f>IF(最佳化斷筋點!K1180="","",最佳化斷筋點!K1180)</f>
        <v/>
      </c>
      <c r="AK1180" s="37" t="str">
        <f>IF(最佳化斷筋點!L1180="","",最佳化斷筋點!L1180)</f>
        <v/>
      </c>
      <c r="AL1180" s="37" t="str">
        <f>IF(最佳化斷筋點!M1180="","",最佳化斷筋點!M1180)</f>
        <v/>
      </c>
      <c r="AM1180" s="37" t="str">
        <f>IF(最佳化斷筋點!N1180="","",最佳化斷筋點!N1180)</f>
        <v/>
      </c>
      <c r="AN1180" s="37" t="str">
        <f>IF(最佳化斷筋點!O1180="","",最佳化斷筋點!O1180)</f>
        <v/>
      </c>
      <c r="AO1180" s="37" t="str">
        <f>IF(最佳化斷筋點!P1180="","",最佳化斷筋點!P1180)</f>
        <v/>
      </c>
      <c r="AP1180" s="37" t="str">
        <f>IF(最佳化斷筋點!Q1180="","",最佳化斷筋點!Q1180)</f>
        <v/>
      </c>
      <c r="AQ1180" s="37" t="str">
        <f>IF(最佳化斷筋點!R1180="","",最佳化斷筋點!R1180)</f>
        <v/>
      </c>
      <c r="AR1180" s="37" t="str">
        <f>IF(最佳化斷筋點!S1180="","",最佳化斷筋點!S1180)</f>
        <v/>
      </c>
      <c r="AS1180" s="37" t="str">
        <f>IF(最佳化斷筋點!T1180="","",最佳化斷筋點!T1180)</f>
        <v/>
      </c>
      <c r="AT1180" s="37" t="str">
        <f>IF(最佳化斷筋點!U1180="","",最佳化斷筋點!U1180)</f>
        <v/>
      </c>
      <c r="AU1180" s="37" t="str">
        <f>IF(最佳化斷筋點!V1180="","",最佳化斷筋點!V1180)</f>
        <v/>
      </c>
      <c r="AV1180" s="37" t="str">
        <f>IF(最佳化斷筋點!W1180="","",最佳化斷筋點!W1180)</f>
        <v/>
      </c>
      <c r="AW1180" s="37" t="str">
        <f>IF(最佳化斷筋點!X1180="","",最佳化斷筋點!X1180)</f>
        <v/>
      </c>
      <c r="AZ1180" s="37" t="s">
        <v>197</v>
      </c>
      <c r="BA1180" s="37" t="s">
        <v>197</v>
      </c>
      <c r="BB1180" s="37" t="s">
        <v>197</v>
      </c>
      <c r="BC1180" s="37" t="s">
        <v>197</v>
      </c>
      <c r="BD1180" s="37" t="s">
        <v>197</v>
      </c>
      <c r="BE1180" s="37" t="s">
        <v>197</v>
      </c>
      <c r="BF1180" s="37" t="s">
        <v>197</v>
      </c>
      <c r="BG1180" s="37" t="s">
        <v>197</v>
      </c>
      <c r="BH1180" s="37" t="s">
        <v>197</v>
      </c>
      <c r="BI1180" s="37" t="s">
        <v>197</v>
      </c>
      <c r="BJ1180" s="37" t="s">
        <v>197</v>
      </c>
      <c r="BK1180" s="37" t="s">
        <v>197</v>
      </c>
      <c r="BL1180" s="37" t="s">
        <v>197</v>
      </c>
      <c r="BM1180" s="37" t="s">
        <v>197</v>
      </c>
      <c r="BN1180" s="37" t="s">
        <v>197</v>
      </c>
      <c r="BO1180" s="37" t="s">
        <v>197</v>
      </c>
      <c r="BP1180" s="37" t="s">
        <v>197</v>
      </c>
      <c r="BQ1180" s="37" t="s">
        <v>197</v>
      </c>
      <c r="BR1180" s="37" t="s">
        <v>197</v>
      </c>
      <c r="BS1180" s="37" t="s">
        <v>197</v>
      </c>
      <c r="BT1180" s="37" t="s">
        <v>197</v>
      </c>
    </row>
    <row r="1181" spans="5:72" x14ac:dyDescent="0.25">
      <c r="E1181" s="36" t="s">
        <v>21</v>
      </c>
      <c r="F1181" s="36">
        <f t="shared" si="379"/>
        <v>0</v>
      </c>
      <c r="G1181" s="36">
        <f t="shared" si="380"/>
        <v>0</v>
      </c>
      <c r="H1181" s="36">
        <f t="shared" si="381"/>
        <v>0</v>
      </c>
      <c r="I1181" s="36">
        <f t="shared" si="382"/>
        <v>0</v>
      </c>
      <c r="J1181" s="36">
        <f t="shared" si="383"/>
        <v>0</v>
      </c>
      <c r="K1181" s="36">
        <f t="shared" si="384"/>
        <v>0</v>
      </c>
      <c r="L1181" s="36">
        <f t="shared" si="385"/>
        <v>0</v>
      </c>
      <c r="M1181" s="36">
        <f t="shared" si="386"/>
        <v>0</v>
      </c>
      <c r="N1181" s="36">
        <f t="shared" si="387"/>
        <v>0</v>
      </c>
      <c r="O1181" s="36">
        <f t="shared" si="388"/>
        <v>0</v>
      </c>
      <c r="P1181" s="36">
        <f t="shared" si="389"/>
        <v>0</v>
      </c>
      <c r="Q1181" s="36">
        <f t="shared" si="390"/>
        <v>0</v>
      </c>
      <c r="R1181" s="36">
        <f t="shared" si="391"/>
        <v>0</v>
      </c>
      <c r="S1181" s="36">
        <f t="shared" si="392"/>
        <v>0</v>
      </c>
      <c r="T1181" s="36">
        <f t="shared" si="393"/>
        <v>0</v>
      </c>
      <c r="U1181" s="36">
        <f t="shared" si="394"/>
        <v>0</v>
      </c>
      <c r="V1181" s="36">
        <f t="shared" si="395"/>
        <v>0</v>
      </c>
      <c r="W1181" s="36">
        <f t="shared" si="396"/>
        <v>0</v>
      </c>
      <c r="X1181" s="36">
        <f t="shared" si="397"/>
        <v>0</v>
      </c>
      <c r="Y1181" s="36">
        <f t="shared" si="398"/>
        <v>0</v>
      </c>
      <c r="Z1181" s="36">
        <f t="shared" si="399"/>
        <v>0</v>
      </c>
      <c r="AB1181" s="36" t="str">
        <f>IF(最佳化斷筋點!C1181="","",最佳化斷筋點!C1181)</f>
        <v>下層</v>
      </c>
      <c r="AC1181" s="37">
        <f>IF(最佳化斷筋點!D1181="","",最佳化斷筋點!D1181)</f>
        <v>5</v>
      </c>
      <c r="AD1181" s="37">
        <f>IF(最佳化斷筋點!E1181="","",最佳化斷筋點!E1181)</f>
        <v>5</v>
      </c>
      <c r="AE1181" s="37">
        <f>IF(最佳化斷筋點!F1181="","",最佳化斷筋點!F1181)</f>
        <v>5</v>
      </c>
      <c r="AF1181" s="37">
        <f>IF(最佳化斷筋點!G1181="","",最佳化斷筋點!G1181)</f>
        <v>5</v>
      </c>
      <c r="AG1181" s="37">
        <f>IF(最佳化斷筋點!H1181="","",最佳化斷筋點!H1181)</f>
        <v>5</v>
      </c>
      <c r="AH1181" s="37">
        <f>IF(最佳化斷筋點!I1181="","",最佳化斷筋點!I1181)</f>
        <v>5</v>
      </c>
      <c r="AI1181" s="37">
        <f>IF(最佳化斷筋點!J1181="","",最佳化斷筋點!J1181)</f>
        <v>5</v>
      </c>
      <c r="AJ1181" s="37">
        <f>IF(最佳化斷筋點!K1181="","",最佳化斷筋點!K1181)</f>
        <v>5</v>
      </c>
      <c r="AK1181" s="37">
        <f>IF(最佳化斷筋點!L1181="","",最佳化斷筋點!L1181)</f>
        <v>5</v>
      </c>
      <c r="AL1181" s="37">
        <f>IF(最佳化斷筋點!M1181="","",最佳化斷筋點!M1181)</f>
        <v>5</v>
      </c>
      <c r="AM1181" s="37">
        <f>IF(最佳化斷筋點!N1181="","",最佳化斷筋點!N1181)</f>
        <v>5</v>
      </c>
      <c r="AN1181" s="37">
        <f>IF(最佳化斷筋點!O1181="","",最佳化斷筋點!O1181)</f>
        <v>5</v>
      </c>
      <c r="AO1181" s="37">
        <f>IF(最佳化斷筋點!P1181="","",最佳化斷筋點!P1181)</f>
        <v>5</v>
      </c>
      <c r="AP1181" s="37">
        <f>IF(最佳化斷筋點!Q1181="","",最佳化斷筋點!Q1181)</f>
        <v>5</v>
      </c>
      <c r="AQ1181" s="37">
        <f>IF(最佳化斷筋點!R1181="","",最佳化斷筋點!R1181)</f>
        <v>5</v>
      </c>
      <c r="AR1181" s="37">
        <f>IF(最佳化斷筋點!S1181="","",最佳化斷筋點!S1181)</f>
        <v>5</v>
      </c>
      <c r="AS1181" s="37">
        <f>IF(最佳化斷筋點!T1181="","",最佳化斷筋點!T1181)</f>
        <v>5</v>
      </c>
      <c r="AT1181" s="37">
        <f>IF(最佳化斷筋點!U1181="","",最佳化斷筋點!U1181)</f>
        <v>5</v>
      </c>
      <c r="AU1181" s="37">
        <f>IF(最佳化斷筋點!V1181="","",最佳化斷筋點!V1181)</f>
        <v>5</v>
      </c>
      <c r="AV1181" s="37">
        <f>IF(最佳化斷筋點!W1181="","",最佳化斷筋點!W1181)</f>
        <v>5</v>
      </c>
      <c r="AW1181" s="37">
        <f>IF(最佳化斷筋點!X1181="","",最佳化斷筋點!X1181)</f>
        <v>5</v>
      </c>
      <c r="AZ1181" s="37">
        <v>5</v>
      </c>
      <c r="BA1181" s="37">
        <v>5</v>
      </c>
      <c r="BB1181" s="37">
        <v>5</v>
      </c>
      <c r="BC1181" s="37">
        <v>5</v>
      </c>
      <c r="BD1181" s="37">
        <v>5</v>
      </c>
      <c r="BE1181" s="37">
        <v>5</v>
      </c>
      <c r="BF1181" s="37">
        <v>5</v>
      </c>
      <c r="BG1181" s="37">
        <v>5</v>
      </c>
      <c r="BH1181" s="37">
        <v>5</v>
      </c>
      <c r="BI1181" s="37">
        <v>5</v>
      </c>
      <c r="BJ1181" s="37">
        <v>5</v>
      </c>
      <c r="BK1181" s="37">
        <v>5</v>
      </c>
      <c r="BL1181" s="37">
        <v>5</v>
      </c>
      <c r="BM1181" s="37">
        <v>5</v>
      </c>
      <c r="BN1181" s="37">
        <v>5</v>
      </c>
      <c r="BO1181" s="37">
        <v>5</v>
      </c>
      <c r="BP1181" s="37">
        <v>5</v>
      </c>
      <c r="BQ1181" s="37">
        <v>5</v>
      </c>
      <c r="BR1181" s="37">
        <v>5</v>
      </c>
      <c r="BS1181" s="37">
        <v>5</v>
      </c>
      <c r="BT1181" s="37">
        <v>5</v>
      </c>
    </row>
    <row r="1182" spans="5:72" x14ac:dyDescent="0.25">
      <c r="E1182" s="36"/>
      <c r="F1182" s="36">
        <f t="shared" si="379"/>
        <v>0</v>
      </c>
      <c r="G1182" s="36">
        <f t="shared" si="380"/>
        <v>0</v>
      </c>
      <c r="H1182" s="36">
        <f t="shared" si="381"/>
        <v>0</v>
      </c>
      <c r="I1182" s="36">
        <f t="shared" si="382"/>
        <v>0</v>
      </c>
      <c r="J1182" s="36">
        <f t="shared" si="383"/>
        <v>0</v>
      </c>
      <c r="K1182" s="36">
        <f t="shared" si="384"/>
        <v>0</v>
      </c>
      <c r="L1182" s="36">
        <f t="shared" si="385"/>
        <v>0</v>
      </c>
      <c r="M1182" s="36">
        <f t="shared" si="386"/>
        <v>0</v>
      </c>
      <c r="N1182" s="36">
        <f t="shared" si="387"/>
        <v>0</v>
      </c>
      <c r="O1182" s="36">
        <f t="shared" si="388"/>
        <v>0</v>
      </c>
      <c r="P1182" s="36">
        <f t="shared" si="389"/>
        <v>0</v>
      </c>
      <c r="Q1182" s="36">
        <f t="shared" si="390"/>
        <v>0</v>
      </c>
      <c r="R1182" s="36">
        <f t="shared" si="391"/>
        <v>0</v>
      </c>
      <c r="S1182" s="36">
        <f t="shared" si="392"/>
        <v>0</v>
      </c>
      <c r="T1182" s="36">
        <f t="shared" si="393"/>
        <v>0</v>
      </c>
      <c r="U1182" s="36">
        <f t="shared" si="394"/>
        <v>0</v>
      </c>
      <c r="V1182" s="36">
        <f t="shared" si="395"/>
        <v>0</v>
      </c>
      <c r="W1182" s="36">
        <f t="shared" si="396"/>
        <v>0</v>
      </c>
      <c r="X1182" s="36">
        <f t="shared" si="397"/>
        <v>0</v>
      </c>
      <c r="Y1182" s="36">
        <f t="shared" si="398"/>
        <v>0</v>
      </c>
      <c r="Z1182" s="36">
        <f t="shared" si="399"/>
        <v>0</v>
      </c>
      <c r="AB1182" s="36" t="str">
        <f>IF(最佳化斷筋點!C1182="","",最佳化斷筋點!C1182)</f>
        <v/>
      </c>
      <c r="AC1182" s="37" t="str">
        <f>IF(最佳化斷筋點!D1182="","",最佳化斷筋點!D1182)</f>
        <v/>
      </c>
      <c r="AD1182" s="37" t="str">
        <f>IF(最佳化斷筋點!E1182="","",最佳化斷筋點!E1182)</f>
        <v/>
      </c>
      <c r="AE1182" s="37" t="str">
        <f>IF(最佳化斷筋點!F1182="","",最佳化斷筋點!F1182)</f>
        <v/>
      </c>
      <c r="AF1182" s="37" t="str">
        <f>IF(最佳化斷筋點!G1182="","",最佳化斷筋點!G1182)</f>
        <v/>
      </c>
      <c r="AG1182" s="37" t="str">
        <f>IF(最佳化斷筋點!H1182="","",最佳化斷筋點!H1182)</f>
        <v/>
      </c>
      <c r="AH1182" s="37" t="str">
        <f>IF(最佳化斷筋點!I1182="","",最佳化斷筋點!I1182)</f>
        <v/>
      </c>
      <c r="AI1182" s="37" t="str">
        <f>IF(最佳化斷筋點!J1182="","",最佳化斷筋點!J1182)</f>
        <v/>
      </c>
      <c r="AJ1182" s="37" t="str">
        <f>IF(最佳化斷筋點!K1182="","",最佳化斷筋點!K1182)</f>
        <v/>
      </c>
      <c r="AK1182" s="37" t="str">
        <f>IF(最佳化斷筋點!L1182="","",最佳化斷筋點!L1182)</f>
        <v/>
      </c>
      <c r="AL1182" s="37" t="str">
        <f>IF(最佳化斷筋點!M1182="","",最佳化斷筋點!M1182)</f>
        <v/>
      </c>
      <c r="AM1182" s="37" t="str">
        <f>IF(最佳化斷筋點!N1182="","",最佳化斷筋點!N1182)</f>
        <v/>
      </c>
      <c r="AN1182" s="37" t="str">
        <f>IF(最佳化斷筋點!O1182="","",最佳化斷筋點!O1182)</f>
        <v/>
      </c>
      <c r="AO1182" s="37" t="str">
        <f>IF(最佳化斷筋點!P1182="","",最佳化斷筋點!P1182)</f>
        <v/>
      </c>
      <c r="AP1182" s="37" t="str">
        <f>IF(最佳化斷筋點!Q1182="","",最佳化斷筋點!Q1182)</f>
        <v/>
      </c>
      <c r="AQ1182" s="37" t="str">
        <f>IF(最佳化斷筋點!R1182="","",最佳化斷筋點!R1182)</f>
        <v/>
      </c>
      <c r="AR1182" s="37" t="str">
        <f>IF(最佳化斷筋點!S1182="","",最佳化斷筋點!S1182)</f>
        <v/>
      </c>
      <c r="AS1182" s="37" t="str">
        <f>IF(最佳化斷筋點!T1182="","",最佳化斷筋點!T1182)</f>
        <v/>
      </c>
      <c r="AT1182" s="37" t="str">
        <f>IF(最佳化斷筋點!U1182="","",最佳化斷筋點!U1182)</f>
        <v/>
      </c>
      <c r="AU1182" s="37" t="str">
        <f>IF(最佳化斷筋點!V1182="","",最佳化斷筋點!V1182)</f>
        <v/>
      </c>
      <c r="AV1182" s="37" t="str">
        <f>IF(最佳化斷筋點!W1182="","",最佳化斷筋點!W1182)</f>
        <v/>
      </c>
      <c r="AW1182" s="37" t="str">
        <f>IF(最佳化斷筋點!X1182="","",最佳化斷筋點!X1182)</f>
        <v/>
      </c>
      <c r="AZ1182" s="37" t="s">
        <v>197</v>
      </c>
      <c r="BA1182" s="37" t="s">
        <v>197</v>
      </c>
      <c r="BB1182" s="37" t="s">
        <v>197</v>
      </c>
      <c r="BC1182" s="37" t="s">
        <v>197</v>
      </c>
      <c r="BD1182" s="37" t="s">
        <v>197</v>
      </c>
      <c r="BE1182" s="37" t="s">
        <v>197</v>
      </c>
      <c r="BF1182" s="37" t="s">
        <v>197</v>
      </c>
      <c r="BG1182" s="37" t="s">
        <v>197</v>
      </c>
      <c r="BH1182" s="37" t="s">
        <v>197</v>
      </c>
      <c r="BI1182" s="37" t="s">
        <v>197</v>
      </c>
      <c r="BJ1182" s="37" t="s">
        <v>197</v>
      </c>
      <c r="BK1182" s="37" t="s">
        <v>197</v>
      </c>
      <c r="BL1182" s="37" t="s">
        <v>197</v>
      </c>
      <c r="BM1182" s="37" t="s">
        <v>197</v>
      </c>
      <c r="BN1182" s="37" t="s">
        <v>197</v>
      </c>
      <c r="BO1182" s="37" t="s">
        <v>197</v>
      </c>
      <c r="BP1182" s="37" t="s">
        <v>197</v>
      </c>
      <c r="BQ1182" s="37" t="s">
        <v>197</v>
      </c>
      <c r="BR1182" s="37" t="s">
        <v>197</v>
      </c>
      <c r="BS1182" s="37" t="s">
        <v>197</v>
      </c>
      <c r="BT1182" s="37" t="s">
        <v>197</v>
      </c>
    </row>
    <row r="1183" spans="5:72" x14ac:dyDescent="0.25">
      <c r="E1183" s="36" t="s">
        <v>20</v>
      </c>
      <c r="F1183" s="36">
        <f t="shared" si="379"/>
        <v>0</v>
      </c>
      <c r="G1183" s="36">
        <f t="shared" si="380"/>
        <v>0</v>
      </c>
      <c r="H1183" s="36">
        <f t="shared" si="381"/>
        <v>0</v>
      </c>
      <c r="I1183" s="36">
        <f t="shared" si="382"/>
        <v>0</v>
      </c>
      <c r="J1183" s="36">
        <f t="shared" si="383"/>
        <v>0</v>
      </c>
      <c r="K1183" s="36">
        <f t="shared" si="384"/>
        <v>0</v>
      </c>
      <c r="L1183" s="36">
        <f t="shared" si="385"/>
        <v>0</v>
      </c>
      <c r="M1183" s="36">
        <f t="shared" si="386"/>
        <v>0</v>
      </c>
      <c r="N1183" s="36">
        <f t="shared" si="387"/>
        <v>0</v>
      </c>
      <c r="O1183" s="36">
        <f t="shared" si="388"/>
        <v>0</v>
      </c>
      <c r="P1183" s="36">
        <f t="shared" si="389"/>
        <v>0</v>
      </c>
      <c r="Q1183" s="36">
        <f t="shared" si="390"/>
        <v>0</v>
      </c>
      <c r="R1183" s="36">
        <f t="shared" si="391"/>
        <v>0</v>
      </c>
      <c r="S1183" s="36">
        <f t="shared" si="392"/>
        <v>0</v>
      </c>
      <c r="T1183" s="36">
        <f t="shared" si="393"/>
        <v>0</v>
      </c>
      <c r="U1183" s="36">
        <f t="shared" si="394"/>
        <v>0</v>
      </c>
      <c r="V1183" s="36">
        <f t="shared" si="395"/>
        <v>0</v>
      </c>
      <c r="W1183" s="36">
        <f t="shared" si="396"/>
        <v>0</v>
      </c>
      <c r="X1183" s="36">
        <f t="shared" si="397"/>
        <v>0</v>
      </c>
      <c r="Y1183" s="36">
        <f t="shared" si="398"/>
        <v>0</v>
      </c>
      <c r="Z1183" s="36">
        <f t="shared" si="399"/>
        <v>0</v>
      </c>
      <c r="AB1183" s="36" t="str">
        <f>IF(最佳化斷筋點!C1183="","",最佳化斷筋點!C1183)</f>
        <v>上層</v>
      </c>
      <c r="AC1183" s="37">
        <f>IF(最佳化斷筋點!D1183="","",最佳化斷筋點!D1183)</f>
        <v>6</v>
      </c>
      <c r="AD1183" s="37">
        <f>IF(最佳化斷筋點!E1183="","",最佳化斷筋點!E1183)</f>
        <v>6</v>
      </c>
      <c r="AE1183" s="37">
        <f>IF(最佳化斷筋點!F1183="","",最佳化斷筋點!F1183)</f>
        <v>6</v>
      </c>
      <c r="AF1183" s="37">
        <f>IF(最佳化斷筋點!G1183="","",最佳化斷筋點!G1183)</f>
        <v>6</v>
      </c>
      <c r="AG1183" s="37">
        <f>IF(最佳化斷筋點!H1183="","",最佳化斷筋點!H1183)</f>
        <v>6</v>
      </c>
      <c r="AH1183" s="37">
        <f>IF(最佳化斷筋點!I1183="","",最佳化斷筋點!I1183)</f>
        <v>6</v>
      </c>
      <c r="AI1183" s="37">
        <f>IF(最佳化斷筋點!J1183="","",最佳化斷筋點!J1183)</f>
        <v>6</v>
      </c>
      <c r="AJ1183" s="37">
        <f>IF(最佳化斷筋點!K1183="","",最佳化斷筋點!K1183)</f>
        <v>3</v>
      </c>
      <c r="AK1183" s="37">
        <f>IF(最佳化斷筋點!L1183="","",最佳化斷筋點!L1183)</f>
        <v>3</v>
      </c>
      <c r="AL1183" s="37">
        <f>IF(最佳化斷筋點!M1183="","",最佳化斷筋點!M1183)</f>
        <v>3</v>
      </c>
      <c r="AM1183" s="37">
        <f>IF(最佳化斷筋點!N1183="","",最佳化斷筋點!N1183)</f>
        <v>3</v>
      </c>
      <c r="AN1183" s="37">
        <f>IF(最佳化斷筋點!O1183="","",最佳化斷筋點!O1183)</f>
        <v>3</v>
      </c>
      <c r="AO1183" s="37">
        <f>IF(最佳化斷筋點!P1183="","",最佳化斷筋點!P1183)</f>
        <v>2</v>
      </c>
      <c r="AP1183" s="37">
        <f>IF(最佳化斷筋點!Q1183="","",最佳化斷筋點!Q1183)</f>
        <v>2</v>
      </c>
      <c r="AQ1183" s="37">
        <f>IF(最佳化斷筋點!R1183="","",最佳化斷筋點!R1183)</f>
        <v>3</v>
      </c>
      <c r="AR1183" s="37">
        <f>IF(最佳化斷筋點!S1183="","",最佳化斷筋點!S1183)</f>
        <v>3</v>
      </c>
      <c r="AS1183" s="37">
        <f>IF(最佳化斷筋點!T1183="","",最佳化斷筋點!T1183)</f>
        <v>3</v>
      </c>
      <c r="AT1183" s="37">
        <f>IF(最佳化斷筋點!U1183="","",最佳化斷筋點!U1183)</f>
        <v>3</v>
      </c>
      <c r="AU1183" s="37">
        <f>IF(最佳化斷筋點!V1183="","",最佳化斷筋點!V1183)</f>
        <v>3</v>
      </c>
      <c r="AV1183" s="37">
        <f>IF(最佳化斷筋點!W1183="","",最佳化斷筋點!W1183)</f>
        <v>3</v>
      </c>
      <c r="AW1183" s="37">
        <f>IF(最佳化斷筋點!X1183="","",最佳化斷筋點!X1183)</f>
        <v>3</v>
      </c>
      <c r="AZ1183" s="37">
        <v>6</v>
      </c>
      <c r="BA1183" s="37">
        <v>6</v>
      </c>
      <c r="BB1183" s="37">
        <v>6</v>
      </c>
      <c r="BC1183" s="37">
        <v>6</v>
      </c>
      <c r="BD1183" s="37">
        <v>6</v>
      </c>
      <c r="BE1183" s="37">
        <v>6</v>
      </c>
      <c r="BF1183" s="37">
        <v>6</v>
      </c>
      <c r="BG1183" s="37">
        <v>3</v>
      </c>
      <c r="BH1183" s="37">
        <v>3</v>
      </c>
      <c r="BI1183" s="37">
        <v>3</v>
      </c>
      <c r="BJ1183" s="37">
        <v>3</v>
      </c>
      <c r="BK1183" s="37">
        <v>3</v>
      </c>
      <c r="BL1183" s="37">
        <v>2</v>
      </c>
      <c r="BM1183" s="37">
        <v>2</v>
      </c>
      <c r="BN1183" s="37">
        <v>3</v>
      </c>
      <c r="BO1183" s="37">
        <v>3</v>
      </c>
      <c r="BP1183" s="37">
        <v>3</v>
      </c>
      <c r="BQ1183" s="37">
        <v>3</v>
      </c>
      <c r="BR1183" s="37">
        <v>3</v>
      </c>
      <c r="BS1183" s="37">
        <v>3</v>
      </c>
      <c r="BT1183" s="37">
        <v>3</v>
      </c>
    </row>
    <row r="1184" spans="5:72" x14ac:dyDescent="0.25">
      <c r="E1184" s="36"/>
      <c r="F1184" s="36">
        <f t="shared" si="379"/>
        <v>0</v>
      </c>
      <c r="G1184" s="36">
        <f t="shared" si="380"/>
        <v>0</v>
      </c>
      <c r="H1184" s="36">
        <f t="shared" si="381"/>
        <v>0</v>
      </c>
      <c r="I1184" s="36">
        <f t="shared" si="382"/>
        <v>0</v>
      </c>
      <c r="J1184" s="36">
        <f t="shared" si="383"/>
        <v>0</v>
      </c>
      <c r="K1184" s="36">
        <f t="shared" si="384"/>
        <v>0</v>
      </c>
      <c r="L1184" s="36">
        <f t="shared" si="385"/>
        <v>0</v>
      </c>
      <c r="M1184" s="36">
        <f t="shared" si="386"/>
        <v>0</v>
      </c>
      <c r="N1184" s="36">
        <f t="shared" si="387"/>
        <v>0</v>
      </c>
      <c r="O1184" s="36">
        <f t="shared" si="388"/>
        <v>0</v>
      </c>
      <c r="P1184" s="36">
        <f t="shared" si="389"/>
        <v>0</v>
      </c>
      <c r="Q1184" s="36">
        <f t="shared" si="390"/>
        <v>0</v>
      </c>
      <c r="R1184" s="36">
        <f t="shared" si="391"/>
        <v>0</v>
      </c>
      <c r="S1184" s="36">
        <f t="shared" si="392"/>
        <v>0</v>
      </c>
      <c r="T1184" s="36">
        <f t="shared" si="393"/>
        <v>0</v>
      </c>
      <c r="U1184" s="36">
        <f t="shared" si="394"/>
        <v>0</v>
      </c>
      <c r="V1184" s="36">
        <f t="shared" si="395"/>
        <v>0</v>
      </c>
      <c r="W1184" s="36">
        <f t="shared" si="396"/>
        <v>0</v>
      </c>
      <c r="X1184" s="36">
        <f t="shared" si="397"/>
        <v>0</v>
      </c>
      <c r="Y1184" s="36">
        <f t="shared" si="398"/>
        <v>0</v>
      </c>
      <c r="Z1184" s="36">
        <f t="shared" si="399"/>
        <v>0</v>
      </c>
      <c r="AB1184" s="36" t="str">
        <f>IF(最佳化斷筋點!C1184="","",最佳化斷筋點!C1184)</f>
        <v/>
      </c>
      <c r="AC1184" s="37" t="str">
        <f>IF(最佳化斷筋點!D1184="","",最佳化斷筋點!D1184)</f>
        <v/>
      </c>
      <c r="AD1184" s="37" t="str">
        <f>IF(最佳化斷筋點!E1184="","",最佳化斷筋點!E1184)</f>
        <v/>
      </c>
      <c r="AE1184" s="37" t="str">
        <f>IF(最佳化斷筋點!F1184="","",最佳化斷筋點!F1184)</f>
        <v/>
      </c>
      <c r="AF1184" s="37" t="str">
        <f>IF(最佳化斷筋點!G1184="","",最佳化斷筋點!G1184)</f>
        <v/>
      </c>
      <c r="AG1184" s="37" t="str">
        <f>IF(最佳化斷筋點!H1184="","",最佳化斷筋點!H1184)</f>
        <v/>
      </c>
      <c r="AH1184" s="37" t="str">
        <f>IF(最佳化斷筋點!I1184="","",最佳化斷筋點!I1184)</f>
        <v/>
      </c>
      <c r="AI1184" s="37" t="str">
        <f>IF(最佳化斷筋點!J1184="","",最佳化斷筋點!J1184)</f>
        <v/>
      </c>
      <c r="AJ1184" s="37" t="str">
        <f>IF(最佳化斷筋點!K1184="","",最佳化斷筋點!K1184)</f>
        <v/>
      </c>
      <c r="AK1184" s="37" t="str">
        <f>IF(最佳化斷筋點!L1184="","",最佳化斷筋點!L1184)</f>
        <v/>
      </c>
      <c r="AL1184" s="37" t="str">
        <f>IF(最佳化斷筋點!M1184="","",最佳化斷筋點!M1184)</f>
        <v/>
      </c>
      <c r="AM1184" s="37" t="str">
        <f>IF(最佳化斷筋點!N1184="","",最佳化斷筋點!N1184)</f>
        <v/>
      </c>
      <c r="AN1184" s="37" t="str">
        <f>IF(最佳化斷筋點!O1184="","",最佳化斷筋點!O1184)</f>
        <v/>
      </c>
      <c r="AO1184" s="37" t="str">
        <f>IF(最佳化斷筋點!P1184="","",最佳化斷筋點!P1184)</f>
        <v/>
      </c>
      <c r="AP1184" s="37" t="str">
        <f>IF(最佳化斷筋點!Q1184="","",最佳化斷筋點!Q1184)</f>
        <v/>
      </c>
      <c r="AQ1184" s="37" t="str">
        <f>IF(最佳化斷筋點!R1184="","",最佳化斷筋點!R1184)</f>
        <v/>
      </c>
      <c r="AR1184" s="37" t="str">
        <f>IF(最佳化斷筋點!S1184="","",最佳化斷筋點!S1184)</f>
        <v/>
      </c>
      <c r="AS1184" s="37" t="str">
        <f>IF(最佳化斷筋點!T1184="","",最佳化斷筋點!T1184)</f>
        <v/>
      </c>
      <c r="AT1184" s="37" t="str">
        <f>IF(最佳化斷筋點!U1184="","",最佳化斷筋點!U1184)</f>
        <v/>
      </c>
      <c r="AU1184" s="37" t="str">
        <f>IF(最佳化斷筋點!V1184="","",最佳化斷筋點!V1184)</f>
        <v/>
      </c>
      <c r="AV1184" s="37" t="str">
        <f>IF(最佳化斷筋點!W1184="","",最佳化斷筋點!W1184)</f>
        <v/>
      </c>
      <c r="AW1184" s="37" t="str">
        <f>IF(最佳化斷筋點!X1184="","",最佳化斷筋點!X1184)</f>
        <v/>
      </c>
      <c r="AZ1184" s="37" t="s">
        <v>197</v>
      </c>
      <c r="BA1184" s="37" t="s">
        <v>197</v>
      </c>
      <c r="BB1184" s="37" t="s">
        <v>197</v>
      </c>
      <c r="BC1184" s="37" t="s">
        <v>197</v>
      </c>
      <c r="BD1184" s="37" t="s">
        <v>197</v>
      </c>
      <c r="BE1184" s="37" t="s">
        <v>197</v>
      </c>
      <c r="BF1184" s="37" t="s">
        <v>197</v>
      </c>
      <c r="BG1184" s="37" t="s">
        <v>197</v>
      </c>
      <c r="BH1184" s="37" t="s">
        <v>197</v>
      </c>
      <c r="BI1184" s="37" t="s">
        <v>197</v>
      </c>
      <c r="BJ1184" s="37" t="s">
        <v>197</v>
      </c>
      <c r="BK1184" s="37" t="s">
        <v>197</v>
      </c>
      <c r="BL1184" s="37" t="s">
        <v>197</v>
      </c>
      <c r="BM1184" s="37" t="s">
        <v>197</v>
      </c>
      <c r="BN1184" s="37" t="s">
        <v>197</v>
      </c>
      <c r="BO1184" s="37" t="s">
        <v>197</v>
      </c>
      <c r="BP1184" s="37" t="s">
        <v>197</v>
      </c>
      <c r="BQ1184" s="37" t="s">
        <v>197</v>
      </c>
      <c r="BR1184" s="37" t="s">
        <v>197</v>
      </c>
      <c r="BS1184" s="37" t="s">
        <v>197</v>
      </c>
      <c r="BT1184" s="37" t="s">
        <v>197</v>
      </c>
    </row>
    <row r="1185" spans="5:72" x14ac:dyDescent="0.25">
      <c r="E1185" s="36" t="s">
        <v>21</v>
      </c>
      <c r="F1185" s="36">
        <f t="shared" si="379"/>
        <v>0</v>
      </c>
      <c r="G1185" s="36">
        <f t="shared" si="380"/>
        <v>0</v>
      </c>
      <c r="H1185" s="36">
        <f t="shared" si="381"/>
        <v>0</v>
      </c>
      <c r="I1185" s="36">
        <f t="shared" si="382"/>
        <v>0</v>
      </c>
      <c r="J1185" s="36">
        <f t="shared" si="383"/>
        <v>0</v>
      </c>
      <c r="K1185" s="36">
        <f t="shared" si="384"/>
        <v>0</v>
      </c>
      <c r="L1185" s="36">
        <f t="shared" si="385"/>
        <v>0</v>
      </c>
      <c r="M1185" s="36">
        <f t="shared" si="386"/>
        <v>0</v>
      </c>
      <c r="N1185" s="36">
        <f t="shared" si="387"/>
        <v>0</v>
      </c>
      <c r="O1185" s="36">
        <f t="shared" si="388"/>
        <v>0</v>
      </c>
      <c r="P1185" s="36">
        <f t="shared" si="389"/>
        <v>0</v>
      </c>
      <c r="Q1185" s="36">
        <f t="shared" si="390"/>
        <v>0</v>
      </c>
      <c r="R1185" s="36">
        <f t="shared" si="391"/>
        <v>0</v>
      </c>
      <c r="S1185" s="36">
        <f t="shared" si="392"/>
        <v>0</v>
      </c>
      <c r="T1185" s="36">
        <f t="shared" si="393"/>
        <v>0</v>
      </c>
      <c r="U1185" s="36">
        <f t="shared" si="394"/>
        <v>0</v>
      </c>
      <c r="V1185" s="36">
        <f t="shared" si="395"/>
        <v>0</v>
      </c>
      <c r="W1185" s="36">
        <f t="shared" si="396"/>
        <v>0</v>
      </c>
      <c r="X1185" s="36">
        <f t="shared" si="397"/>
        <v>0</v>
      </c>
      <c r="Y1185" s="36">
        <f t="shared" si="398"/>
        <v>0</v>
      </c>
      <c r="Z1185" s="36">
        <f t="shared" si="399"/>
        <v>0</v>
      </c>
      <c r="AB1185" s="36" t="str">
        <f>IF(最佳化斷筋點!C1185="","",最佳化斷筋點!C1185)</f>
        <v>下層</v>
      </c>
      <c r="AC1185" s="37">
        <f>IF(最佳化斷筋點!D1185="","",最佳化斷筋點!D1185)</f>
        <v>3</v>
      </c>
      <c r="AD1185" s="37">
        <f>IF(最佳化斷筋點!E1185="","",最佳化斷筋點!E1185)</f>
        <v>3</v>
      </c>
      <c r="AE1185" s="37">
        <f>IF(最佳化斷筋點!F1185="","",最佳化斷筋點!F1185)</f>
        <v>3</v>
      </c>
      <c r="AF1185" s="37">
        <f>IF(最佳化斷筋點!G1185="","",最佳化斷筋點!G1185)</f>
        <v>3</v>
      </c>
      <c r="AG1185" s="37">
        <f>IF(最佳化斷筋點!H1185="","",最佳化斷筋點!H1185)</f>
        <v>3</v>
      </c>
      <c r="AH1185" s="37">
        <f>IF(最佳化斷筋點!I1185="","",最佳化斷筋點!I1185)</f>
        <v>3</v>
      </c>
      <c r="AI1185" s="37">
        <f>IF(最佳化斷筋點!J1185="","",最佳化斷筋點!J1185)</f>
        <v>3</v>
      </c>
      <c r="AJ1185" s="37">
        <f>IF(最佳化斷筋點!K1185="","",最佳化斷筋點!K1185)</f>
        <v>3</v>
      </c>
      <c r="AK1185" s="37">
        <f>IF(最佳化斷筋點!L1185="","",最佳化斷筋點!L1185)</f>
        <v>3</v>
      </c>
      <c r="AL1185" s="37">
        <f>IF(最佳化斷筋點!M1185="","",最佳化斷筋點!M1185)</f>
        <v>3</v>
      </c>
      <c r="AM1185" s="37">
        <f>IF(最佳化斷筋點!N1185="","",最佳化斷筋點!N1185)</f>
        <v>3</v>
      </c>
      <c r="AN1185" s="37">
        <f>IF(最佳化斷筋點!O1185="","",最佳化斷筋點!O1185)</f>
        <v>3</v>
      </c>
      <c r="AO1185" s="37">
        <f>IF(最佳化斷筋點!P1185="","",最佳化斷筋點!P1185)</f>
        <v>3</v>
      </c>
      <c r="AP1185" s="37">
        <f>IF(最佳化斷筋點!Q1185="","",最佳化斷筋點!Q1185)</f>
        <v>3</v>
      </c>
      <c r="AQ1185" s="37">
        <f>IF(最佳化斷筋點!R1185="","",最佳化斷筋點!R1185)</f>
        <v>4</v>
      </c>
      <c r="AR1185" s="37">
        <f>IF(最佳化斷筋點!S1185="","",最佳化斷筋點!S1185)</f>
        <v>4</v>
      </c>
      <c r="AS1185" s="37">
        <f>IF(最佳化斷筋點!T1185="","",最佳化斷筋點!T1185)</f>
        <v>5</v>
      </c>
      <c r="AT1185" s="37">
        <f>IF(最佳化斷筋點!U1185="","",最佳化斷筋點!U1185)</f>
        <v>5</v>
      </c>
      <c r="AU1185" s="37">
        <f>IF(最佳化斷筋點!V1185="","",最佳化斷筋點!V1185)</f>
        <v>5</v>
      </c>
      <c r="AV1185" s="37">
        <f>IF(最佳化斷筋點!W1185="","",最佳化斷筋點!W1185)</f>
        <v>5</v>
      </c>
      <c r="AW1185" s="37">
        <f>IF(最佳化斷筋點!X1185="","",最佳化斷筋點!X1185)</f>
        <v>5</v>
      </c>
      <c r="AZ1185" s="37">
        <v>3</v>
      </c>
      <c r="BA1185" s="37">
        <v>3</v>
      </c>
      <c r="BB1185" s="37">
        <v>3</v>
      </c>
      <c r="BC1185" s="37">
        <v>3</v>
      </c>
      <c r="BD1185" s="37">
        <v>3</v>
      </c>
      <c r="BE1185" s="37">
        <v>3</v>
      </c>
      <c r="BF1185" s="37">
        <v>3</v>
      </c>
      <c r="BG1185" s="37">
        <v>3</v>
      </c>
      <c r="BH1185" s="37">
        <v>3</v>
      </c>
      <c r="BI1185" s="37">
        <v>3</v>
      </c>
      <c r="BJ1185" s="37">
        <v>3</v>
      </c>
      <c r="BK1185" s="37">
        <v>3</v>
      </c>
      <c r="BL1185" s="37">
        <v>3</v>
      </c>
      <c r="BM1185" s="37">
        <v>3</v>
      </c>
      <c r="BN1185" s="37">
        <v>4</v>
      </c>
      <c r="BO1185" s="37">
        <v>4</v>
      </c>
      <c r="BP1185" s="37">
        <v>5</v>
      </c>
      <c r="BQ1185" s="37">
        <v>5</v>
      </c>
      <c r="BR1185" s="37">
        <v>5</v>
      </c>
      <c r="BS1185" s="37">
        <v>5</v>
      </c>
      <c r="BT1185" s="37">
        <v>5</v>
      </c>
    </row>
    <row r="1186" spans="5:72" x14ac:dyDescent="0.25">
      <c r="E1186" s="36"/>
      <c r="F1186" s="36">
        <f t="shared" si="379"/>
        <v>0</v>
      </c>
      <c r="G1186" s="36">
        <f t="shared" si="380"/>
        <v>0</v>
      </c>
      <c r="H1186" s="36">
        <f t="shared" si="381"/>
        <v>0</v>
      </c>
      <c r="I1186" s="36">
        <f t="shared" si="382"/>
        <v>0</v>
      </c>
      <c r="J1186" s="36">
        <f t="shared" si="383"/>
        <v>0</v>
      </c>
      <c r="K1186" s="36">
        <f t="shared" si="384"/>
        <v>0</v>
      </c>
      <c r="L1186" s="36">
        <f t="shared" si="385"/>
        <v>0</v>
      </c>
      <c r="M1186" s="36">
        <f t="shared" si="386"/>
        <v>0</v>
      </c>
      <c r="N1186" s="36">
        <f t="shared" si="387"/>
        <v>0</v>
      </c>
      <c r="O1186" s="36">
        <f t="shared" si="388"/>
        <v>0</v>
      </c>
      <c r="P1186" s="36">
        <f t="shared" si="389"/>
        <v>0</v>
      </c>
      <c r="Q1186" s="36">
        <f t="shared" si="390"/>
        <v>0</v>
      </c>
      <c r="R1186" s="36">
        <f t="shared" si="391"/>
        <v>0</v>
      </c>
      <c r="S1186" s="36">
        <f t="shared" si="392"/>
        <v>0</v>
      </c>
      <c r="T1186" s="36">
        <f t="shared" si="393"/>
        <v>0</v>
      </c>
      <c r="U1186" s="36">
        <f t="shared" si="394"/>
        <v>0</v>
      </c>
      <c r="V1186" s="36">
        <f t="shared" si="395"/>
        <v>0</v>
      </c>
      <c r="W1186" s="36">
        <f t="shared" si="396"/>
        <v>0</v>
      </c>
      <c r="X1186" s="36">
        <f t="shared" si="397"/>
        <v>0</v>
      </c>
      <c r="Y1186" s="36">
        <f t="shared" si="398"/>
        <v>0</v>
      </c>
      <c r="Z1186" s="36">
        <f t="shared" si="399"/>
        <v>0</v>
      </c>
      <c r="AB1186" s="36" t="str">
        <f>IF(最佳化斷筋點!C1186="","",最佳化斷筋點!C1186)</f>
        <v/>
      </c>
      <c r="AC1186" s="37" t="str">
        <f>IF(最佳化斷筋點!D1186="","",最佳化斷筋點!D1186)</f>
        <v/>
      </c>
      <c r="AD1186" s="37" t="str">
        <f>IF(最佳化斷筋點!E1186="","",最佳化斷筋點!E1186)</f>
        <v/>
      </c>
      <c r="AE1186" s="37" t="str">
        <f>IF(最佳化斷筋點!F1186="","",最佳化斷筋點!F1186)</f>
        <v/>
      </c>
      <c r="AF1186" s="37" t="str">
        <f>IF(最佳化斷筋點!G1186="","",最佳化斷筋點!G1186)</f>
        <v/>
      </c>
      <c r="AG1186" s="37" t="str">
        <f>IF(最佳化斷筋點!H1186="","",最佳化斷筋點!H1186)</f>
        <v/>
      </c>
      <c r="AH1186" s="37" t="str">
        <f>IF(最佳化斷筋點!I1186="","",最佳化斷筋點!I1186)</f>
        <v/>
      </c>
      <c r="AI1186" s="37" t="str">
        <f>IF(最佳化斷筋點!J1186="","",最佳化斷筋點!J1186)</f>
        <v/>
      </c>
      <c r="AJ1186" s="37" t="str">
        <f>IF(最佳化斷筋點!K1186="","",最佳化斷筋點!K1186)</f>
        <v/>
      </c>
      <c r="AK1186" s="37" t="str">
        <f>IF(最佳化斷筋點!L1186="","",最佳化斷筋點!L1186)</f>
        <v/>
      </c>
      <c r="AL1186" s="37" t="str">
        <f>IF(最佳化斷筋點!M1186="","",最佳化斷筋點!M1186)</f>
        <v/>
      </c>
      <c r="AM1186" s="37" t="str">
        <f>IF(最佳化斷筋點!N1186="","",最佳化斷筋點!N1186)</f>
        <v/>
      </c>
      <c r="AN1186" s="37" t="str">
        <f>IF(最佳化斷筋點!O1186="","",最佳化斷筋點!O1186)</f>
        <v/>
      </c>
      <c r="AO1186" s="37" t="str">
        <f>IF(最佳化斷筋點!P1186="","",最佳化斷筋點!P1186)</f>
        <v/>
      </c>
      <c r="AP1186" s="37" t="str">
        <f>IF(最佳化斷筋點!Q1186="","",最佳化斷筋點!Q1186)</f>
        <v/>
      </c>
      <c r="AQ1186" s="37" t="str">
        <f>IF(最佳化斷筋點!R1186="","",最佳化斷筋點!R1186)</f>
        <v/>
      </c>
      <c r="AR1186" s="37" t="str">
        <f>IF(最佳化斷筋點!S1186="","",最佳化斷筋點!S1186)</f>
        <v/>
      </c>
      <c r="AS1186" s="37" t="str">
        <f>IF(最佳化斷筋點!T1186="","",最佳化斷筋點!T1186)</f>
        <v/>
      </c>
      <c r="AT1186" s="37" t="str">
        <f>IF(最佳化斷筋點!U1186="","",最佳化斷筋點!U1186)</f>
        <v/>
      </c>
      <c r="AU1186" s="37" t="str">
        <f>IF(最佳化斷筋點!V1186="","",最佳化斷筋點!V1186)</f>
        <v/>
      </c>
      <c r="AV1186" s="37" t="str">
        <f>IF(最佳化斷筋點!W1186="","",最佳化斷筋點!W1186)</f>
        <v/>
      </c>
      <c r="AW1186" s="37" t="str">
        <f>IF(最佳化斷筋點!X1186="","",最佳化斷筋點!X1186)</f>
        <v/>
      </c>
      <c r="AZ1186" s="37" t="s">
        <v>197</v>
      </c>
      <c r="BA1186" s="37" t="s">
        <v>197</v>
      </c>
      <c r="BB1186" s="37" t="s">
        <v>197</v>
      </c>
      <c r="BC1186" s="37" t="s">
        <v>197</v>
      </c>
      <c r="BD1186" s="37" t="s">
        <v>197</v>
      </c>
      <c r="BE1186" s="37" t="s">
        <v>197</v>
      </c>
      <c r="BF1186" s="37" t="s">
        <v>197</v>
      </c>
      <c r="BG1186" s="37" t="s">
        <v>197</v>
      </c>
      <c r="BH1186" s="37" t="s">
        <v>197</v>
      </c>
      <c r="BI1186" s="37" t="s">
        <v>197</v>
      </c>
      <c r="BJ1186" s="37" t="s">
        <v>197</v>
      </c>
      <c r="BK1186" s="37" t="s">
        <v>197</v>
      </c>
      <c r="BL1186" s="37" t="s">
        <v>197</v>
      </c>
      <c r="BM1186" s="37" t="s">
        <v>197</v>
      </c>
      <c r="BN1186" s="37" t="s">
        <v>197</v>
      </c>
      <c r="BO1186" s="37" t="s">
        <v>197</v>
      </c>
      <c r="BP1186" s="37" t="s">
        <v>197</v>
      </c>
      <c r="BQ1186" s="37" t="s">
        <v>197</v>
      </c>
      <c r="BR1186" s="37" t="s">
        <v>197</v>
      </c>
      <c r="BS1186" s="37" t="s">
        <v>197</v>
      </c>
      <c r="BT1186" s="37" t="s">
        <v>197</v>
      </c>
    </row>
    <row r="1187" spans="5:72" x14ac:dyDescent="0.25">
      <c r="E1187" s="36" t="s">
        <v>20</v>
      </c>
      <c r="F1187" s="36">
        <f t="shared" si="379"/>
        <v>0</v>
      </c>
      <c r="G1187" s="36">
        <f t="shared" si="380"/>
        <v>0</v>
      </c>
      <c r="H1187" s="36">
        <f t="shared" si="381"/>
        <v>0</v>
      </c>
      <c r="I1187" s="36">
        <f t="shared" si="382"/>
        <v>0</v>
      </c>
      <c r="J1187" s="36">
        <f t="shared" si="383"/>
        <v>0</v>
      </c>
      <c r="K1187" s="36">
        <f t="shared" si="384"/>
        <v>0</v>
      </c>
      <c r="L1187" s="36">
        <f t="shared" si="385"/>
        <v>0</v>
      </c>
      <c r="M1187" s="36">
        <f t="shared" si="386"/>
        <v>0</v>
      </c>
      <c r="N1187" s="36">
        <f t="shared" si="387"/>
        <v>0</v>
      </c>
      <c r="O1187" s="36">
        <f t="shared" si="388"/>
        <v>0</v>
      </c>
      <c r="P1187" s="36">
        <f t="shared" si="389"/>
        <v>0</v>
      </c>
      <c r="Q1187" s="36">
        <f t="shared" si="390"/>
        <v>0</v>
      </c>
      <c r="R1187" s="36">
        <f t="shared" si="391"/>
        <v>0</v>
      </c>
      <c r="S1187" s="36">
        <f t="shared" si="392"/>
        <v>0</v>
      </c>
      <c r="T1187" s="36">
        <f t="shared" si="393"/>
        <v>0</v>
      </c>
      <c r="U1187" s="36">
        <f t="shared" si="394"/>
        <v>0</v>
      </c>
      <c r="V1187" s="36">
        <f t="shared" si="395"/>
        <v>0</v>
      </c>
      <c r="W1187" s="36">
        <f t="shared" si="396"/>
        <v>0</v>
      </c>
      <c r="X1187" s="36">
        <f t="shared" si="397"/>
        <v>0</v>
      </c>
      <c r="Y1187" s="36">
        <f t="shared" si="398"/>
        <v>0</v>
      </c>
      <c r="Z1187" s="36">
        <f t="shared" si="399"/>
        <v>0</v>
      </c>
      <c r="AB1187" s="36" t="str">
        <f>IF(最佳化斷筋點!C1187="","",最佳化斷筋點!C1187)</f>
        <v>上層</v>
      </c>
      <c r="AC1187" s="37">
        <f>IF(最佳化斷筋點!D1187="","",最佳化斷筋點!D1187)</f>
        <v>5</v>
      </c>
      <c r="AD1187" s="37">
        <f>IF(最佳化斷筋點!E1187="","",最佳化斷筋點!E1187)</f>
        <v>5</v>
      </c>
      <c r="AE1187" s="37">
        <f>IF(最佳化斷筋點!F1187="","",最佳化斷筋點!F1187)</f>
        <v>5</v>
      </c>
      <c r="AF1187" s="37">
        <f>IF(最佳化斷筋點!G1187="","",最佳化斷筋點!G1187)</f>
        <v>5</v>
      </c>
      <c r="AG1187" s="37">
        <f>IF(最佳化斷筋點!H1187="","",最佳化斷筋點!H1187)</f>
        <v>5</v>
      </c>
      <c r="AH1187" s="37">
        <f>IF(最佳化斷筋點!I1187="","",最佳化斷筋點!I1187)</f>
        <v>4</v>
      </c>
      <c r="AI1187" s="37">
        <f>IF(最佳化斷筋點!J1187="","",最佳化斷筋點!J1187)</f>
        <v>4</v>
      </c>
      <c r="AJ1187" s="37">
        <f>IF(最佳化斷筋點!K1187="","",最佳化斷筋點!K1187)</f>
        <v>3</v>
      </c>
      <c r="AK1187" s="37">
        <f>IF(最佳化斷筋點!L1187="","",最佳化斷筋點!L1187)</f>
        <v>3</v>
      </c>
      <c r="AL1187" s="37">
        <f>IF(最佳化斷筋點!M1187="","",最佳化斷筋點!M1187)</f>
        <v>2</v>
      </c>
      <c r="AM1187" s="37">
        <f>IF(最佳化斷筋點!N1187="","",最佳化斷筋點!N1187)</f>
        <v>2</v>
      </c>
      <c r="AN1187" s="37">
        <f>IF(最佳化斷筋點!O1187="","",最佳化斷筋點!O1187)</f>
        <v>2</v>
      </c>
      <c r="AO1187" s="37">
        <f>IF(最佳化斷筋點!P1187="","",最佳化斷筋點!P1187)</f>
        <v>2</v>
      </c>
      <c r="AP1187" s="37">
        <f>IF(最佳化斷筋點!Q1187="","",最佳化斷筋點!Q1187)</f>
        <v>3</v>
      </c>
      <c r="AQ1187" s="37">
        <f>IF(最佳化斷筋點!R1187="","",最佳化斷筋點!R1187)</f>
        <v>3</v>
      </c>
      <c r="AR1187" s="37">
        <f>IF(最佳化斷筋點!S1187="","",最佳化斷筋點!S1187)</f>
        <v>4</v>
      </c>
      <c r="AS1187" s="37">
        <f>IF(最佳化斷筋點!T1187="","",最佳化斷筋點!T1187)</f>
        <v>4</v>
      </c>
      <c r="AT1187" s="37">
        <f>IF(最佳化斷筋點!U1187="","",最佳化斷筋點!U1187)</f>
        <v>5</v>
      </c>
      <c r="AU1187" s="37">
        <f>IF(最佳化斷筋點!V1187="","",最佳化斷筋點!V1187)</f>
        <v>5</v>
      </c>
      <c r="AV1187" s="37">
        <f>IF(最佳化斷筋點!W1187="","",最佳化斷筋點!W1187)</f>
        <v>5</v>
      </c>
      <c r="AW1187" s="37">
        <f>IF(最佳化斷筋點!X1187="","",最佳化斷筋點!X1187)</f>
        <v>5</v>
      </c>
      <c r="AZ1187" s="37">
        <v>5</v>
      </c>
      <c r="BA1187" s="37">
        <v>5</v>
      </c>
      <c r="BB1187" s="37">
        <v>5</v>
      </c>
      <c r="BC1187" s="37">
        <v>5</v>
      </c>
      <c r="BD1187" s="37">
        <v>5</v>
      </c>
      <c r="BE1187" s="37">
        <v>4</v>
      </c>
      <c r="BF1187" s="37">
        <v>4</v>
      </c>
      <c r="BG1187" s="37">
        <v>3</v>
      </c>
      <c r="BH1187" s="37">
        <v>3</v>
      </c>
      <c r="BI1187" s="37">
        <v>2</v>
      </c>
      <c r="BJ1187" s="37">
        <v>2</v>
      </c>
      <c r="BK1187" s="37">
        <v>2</v>
      </c>
      <c r="BL1187" s="37">
        <v>2</v>
      </c>
      <c r="BM1187" s="37">
        <v>3</v>
      </c>
      <c r="BN1187" s="37">
        <v>3</v>
      </c>
      <c r="BO1187" s="37">
        <v>4</v>
      </c>
      <c r="BP1187" s="37">
        <v>4</v>
      </c>
      <c r="BQ1187" s="37">
        <v>5</v>
      </c>
      <c r="BR1187" s="37">
        <v>5</v>
      </c>
      <c r="BS1187" s="37">
        <v>5</v>
      </c>
      <c r="BT1187" s="37">
        <v>5</v>
      </c>
    </row>
    <row r="1188" spans="5:72" x14ac:dyDescent="0.25">
      <c r="E1188" s="36"/>
      <c r="F1188" s="36">
        <f t="shared" si="379"/>
        <v>0</v>
      </c>
      <c r="G1188" s="36">
        <f t="shared" si="380"/>
        <v>0</v>
      </c>
      <c r="H1188" s="36">
        <f t="shared" si="381"/>
        <v>0</v>
      </c>
      <c r="I1188" s="36">
        <f t="shared" si="382"/>
        <v>0</v>
      </c>
      <c r="J1188" s="36">
        <f t="shared" si="383"/>
        <v>0</v>
      </c>
      <c r="K1188" s="36">
        <f t="shared" si="384"/>
        <v>0</v>
      </c>
      <c r="L1188" s="36">
        <f t="shared" si="385"/>
        <v>0</v>
      </c>
      <c r="M1188" s="36">
        <f t="shared" si="386"/>
        <v>0</v>
      </c>
      <c r="N1188" s="36">
        <f t="shared" si="387"/>
        <v>0</v>
      </c>
      <c r="O1188" s="36">
        <f t="shared" si="388"/>
        <v>0</v>
      </c>
      <c r="P1188" s="36">
        <f t="shared" si="389"/>
        <v>0</v>
      </c>
      <c r="Q1188" s="36">
        <f t="shared" si="390"/>
        <v>0</v>
      </c>
      <c r="R1188" s="36">
        <f t="shared" si="391"/>
        <v>0</v>
      </c>
      <c r="S1188" s="36">
        <f t="shared" si="392"/>
        <v>0</v>
      </c>
      <c r="T1188" s="36">
        <f t="shared" si="393"/>
        <v>0</v>
      </c>
      <c r="U1188" s="36">
        <f t="shared" si="394"/>
        <v>0</v>
      </c>
      <c r="V1188" s="36">
        <f t="shared" si="395"/>
        <v>0</v>
      </c>
      <c r="W1188" s="36">
        <f t="shared" si="396"/>
        <v>0</v>
      </c>
      <c r="X1188" s="36">
        <f t="shared" si="397"/>
        <v>0</v>
      </c>
      <c r="Y1188" s="36">
        <f t="shared" si="398"/>
        <v>0</v>
      </c>
      <c r="Z1188" s="36">
        <f t="shared" si="399"/>
        <v>0</v>
      </c>
      <c r="AB1188" s="36" t="str">
        <f>IF(最佳化斷筋點!C1188="","",最佳化斷筋點!C1188)</f>
        <v/>
      </c>
      <c r="AC1188" s="37" t="str">
        <f>IF(最佳化斷筋點!D1188="","",最佳化斷筋點!D1188)</f>
        <v/>
      </c>
      <c r="AD1188" s="37" t="str">
        <f>IF(最佳化斷筋點!E1188="","",最佳化斷筋點!E1188)</f>
        <v/>
      </c>
      <c r="AE1188" s="37" t="str">
        <f>IF(最佳化斷筋點!F1188="","",最佳化斷筋點!F1188)</f>
        <v/>
      </c>
      <c r="AF1188" s="37" t="str">
        <f>IF(最佳化斷筋點!G1188="","",最佳化斷筋點!G1188)</f>
        <v/>
      </c>
      <c r="AG1188" s="37" t="str">
        <f>IF(最佳化斷筋點!H1188="","",最佳化斷筋點!H1188)</f>
        <v/>
      </c>
      <c r="AH1188" s="37" t="str">
        <f>IF(最佳化斷筋點!I1188="","",最佳化斷筋點!I1188)</f>
        <v/>
      </c>
      <c r="AI1188" s="37" t="str">
        <f>IF(最佳化斷筋點!J1188="","",最佳化斷筋點!J1188)</f>
        <v/>
      </c>
      <c r="AJ1188" s="37" t="str">
        <f>IF(最佳化斷筋點!K1188="","",最佳化斷筋點!K1188)</f>
        <v/>
      </c>
      <c r="AK1188" s="37" t="str">
        <f>IF(最佳化斷筋點!L1188="","",最佳化斷筋點!L1188)</f>
        <v/>
      </c>
      <c r="AL1188" s="37" t="str">
        <f>IF(最佳化斷筋點!M1188="","",最佳化斷筋點!M1188)</f>
        <v/>
      </c>
      <c r="AM1188" s="37" t="str">
        <f>IF(最佳化斷筋點!N1188="","",最佳化斷筋點!N1188)</f>
        <v/>
      </c>
      <c r="AN1188" s="37" t="str">
        <f>IF(最佳化斷筋點!O1188="","",最佳化斷筋點!O1188)</f>
        <v/>
      </c>
      <c r="AO1188" s="37" t="str">
        <f>IF(最佳化斷筋點!P1188="","",最佳化斷筋點!P1188)</f>
        <v/>
      </c>
      <c r="AP1188" s="37" t="str">
        <f>IF(最佳化斷筋點!Q1188="","",最佳化斷筋點!Q1188)</f>
        <v/>
      </c>
      <c r="AQ1188" s="37" t="str">
        <f>IF(最佳化斷筋點!R1188="","",最佳化斷筋點!R1188)</f>
        <v/>
      </c>
      <c r="AR1188" s="37" t="str">
        <f>IF(最佳化斷筋點!S1188="","",最佳化斷筋點!S1188)</f>
        <v/>
      </c>
      <c r="AS1188" s="37" t="str">
        <f>IF(最佳化斷筋點!T1188="","",最佳化斷筋點!T1188)</f>
        <v/>
      </c>
      <c r="AT1188" s="37" t="str">
        <f>IF(最佳化斷筋點!U1188="","",最佳化斷筋點!U1188)</f>
        <v/>
      </c>
      <c r="AU1188" s="37" t="str">
        <f>IF(最佳化斷筋點!V1188="","",最佳化斷筋點!V1188)</f>
        <v/>
      </c>
      <c r="AV1188" s="37" t="str">
        <f>IF(最佳化斷筋點!W1188="","",最佳化斷筋點!W1188)</f>
        <v/>
      </c>
      <c r="AW1188" s="37" t="str">
        <f>IF(最佳化斷筋點!X1188="","",最佳化斷筋點!X1188)</f>
        <v/>
      </c>
      <c r="AZ1188" s="37" t="s">
        <v>197</v>
      </c>
      <c r="BA1188" s="37" t="s">
        <v>197</v>
      </c>
      <c r="BB1188" s="37" t="s">
        <v>197</v>
      </c>
      <c r="BC1188" s="37" t="s">
        <v>197</v>
      </c>
      <c r="BD1188" s="37" t="s">
        <v>197</v>
      </c>
      <c r="BE1188" s="37" t="s">
        <v>197</v>
      </c>
      <c r="BF1188" s="37" t="s">
        <v>197</v>
      </c>
      <c r="BG1188" s="37" t="s">
        <v>197</v>
      </c>
      <c r="BH1188" s="37" t="s">
        <v>197</v>
      </c>
      <c r="BI1188" s="37" t="s">
        <v>197</v>
      </c>
      <c r="BJ1188" s="37" t="s">
        <v>197</v>
      </c>
      <c r="BK1188" s="37" t="s">
        <v>197</v>
      </c>
      <c r="BL1188" s="37" t="s">
        <v>197</v>
      </c>
      <c r="BM1188" s="37" t="s">
        <v>197</v>
      </c>
      <c r="BN1188" s="37" t="s">
        <v>197</v>
      </c>
      <c r="BO1188" s="37" t="s">
        <v>197</v>
      </c>
      <c r="BP1188" s="37" t="s">
        <v>197</v>
      </c>
      <c r="BQ1188" s="37" t="s">
        <v>197</v>
      </c>
      <c r="BR1188" s="37" t="s">
        <v>197</v>
      </c>
      <c r="BS1188" s="37" t="s">
        <v>197</v>
      </c>
      <c r="BT1188" s="37" t="s">
        <v>197</v>
      </c>
    </row>
    <row r="1189" spans="5:72" x14ac:dyDescent="0.25">
      <c r="E1189" s="36" t="s">
        <v>21</v>
      </c>
      <c r="F1189" s="36">
        <f t="shared" si="379"/>
        <v>0</v>
      </c>
      <c r="G1189" s="36">
        <f t="shared" si="380"/>
        <v>0</v>
      </c>
      <c r="H1189" s="36">
        <f t="shared" si="381"/>
        <v>0</v>
      </c>
      <c r="I1189" s="36">
        <f t="shared" si="382"/>
        <v>0</v>
      </c>
      <c r="J1189" s="36">
        <f t="shared" si="383"/>
        <v>0</v>
      </c>
      <c r="K1189" s="36">
        <f t="shared" si="384"/>
        <v>0</v>
      </c>
      <c r="L1189" s="36">
        <f t="shared" si="385"/>
        <v>0</v>
      </c>
      <c r="M1189" s="36">
        <f t="shared" si="386"/>
        <v>0</v>
      </c>
      <c r="N1189" s="36">
        <f t="shared" si="387"/>
        <v>0</v>
      </c>
      <c r="O1189" s="36">
        <f t="shared" si="388"/>
        <v>0</v>
      </c>
      <c r="P1189" s="36">
        <f t="shared" si="389"/>
        <v>0</v>
      </c>
      <c r="Q1189" s="36">
        <f t="shared" si="390"/>
        <v>0</v>
      </c>
      <c r="R1189" s="36">
        <f t="shared" si="391"/>
        <v>0</v>
      </c>
      <c r="S1189" s="36">
        <f t="shared" si="392"/>
        <v>0</v>
      </c>
      <c r="T1189" s="36">
        <f t="shared" si="393"/>
        <v>0</v>
      </c>
      <c r="U1189" s="36">
        <f t="shared" si="394"/>
        <v>0</v>
      </c>
      <c r="V1189" s="36">
        <f t="shared" si="395"/>
        <v>0</v>
      </c>
      <c r="W1189" s="36">
        <f t="shared" si="396"/>
        <v>0</v>
      </c>
      <c r="X1189" s="36">
        <f t="shared" si="397"/>
        <v>0</v>
      </c>
      <c r="Y1189" s="36">
        <f t="shared" si="398"/>
        <v>0</v>
      </c>
      <c r="Z1189" s="36">
        <f t="shared" si="399"/>
        <v>0</v>
      </c>
      <c r="AB1189" s="36" t="str">
        <f>IF(最佳化斷筋點!C1189="","",最佳化斷筋點!C1189)</f>
        <v>下層</v>
      </c>
      <c r="AC1189" s="37">
        <f>IF(最佳化斷筋點!D1189="","",最佳化斷筋點!D1189)</f>
        <v>5</v>
      </c>
      <c r="AD1189" s="37">
        <f>IF(最佳化斷筋點!E1189="","",最佳化斷筋點!E1189)</f>
        <v>5</v>
      </c>
      <c r="AE1189" s="37">
        <f>IF(最佳化斷筋點!F1189="","",最佳化斷筋點!F1189)</f>
        <v>5</v>
      </c>
      <c r="AF1189" s="37">
        <f>IF(最佳化斷筋點!G1189="","",最佳化斷筋點!G1189)</f>
        <v>5</v>
      </c>
      <c r="AG1189" s="37">
        <f>IF(最佳化斷筋點!H1189="","",最佳化斷筋點!H1189)</f>
        <v>5</v>
      </c>
      <c r="AH1189" s="37">
        <f>IF(最佳化斷筋點!I1189="","",最佳化斷筋點!I1189)</f>
        <v>5</v>
      </c>
      <c r="AI1189" s="37">
        <f>IF(最佳化斷筋點!J1189="","",最佳化斷筋點!J1189)</f>
        <v>5</v>
      </c>
      <c r="AJ1189" s="37">
        <f>IF(最佳化斷筋點!K1189="","",最佳化斷筋點!K1189)</f>
        <v>5</v>
      </c>
      <c r="AK1189" s="37">
        <f>IF(最佳化斷筋點!L1189="","",最佳化斷筋點!L1189)</f>
        <v>5</v>
      </c>
      <c r="AL1189" s="37">
        <f>IF(最佳化斷筋點!M1189="","",最佳化斷筋點!M1189)</f>
        <v>5</v>
      </c>
      <c r="AM1189" s="37">
        <f>IF(最佳化斷筋點!N1189="","",最佳化斷筋點!N1189)</f>
        <v>5</v>
      </c>
      <c r="AN1189" s="37">
        <f>IF(最佳化斷筋點!O1189="","",最佳化斷筋點!O1189)</f>
        <v>5</v>
      </c>
      <c r="AO1189" s="37">
        <f>IF(最佳化斷筋點!P1189="","",最佳化斷筋點!P1189)</f>
        <v>5</v>
      </c>
      <c r="AP1189" s="37">
        <f>IF(最佳化斷筋點!Q1189="","",最佳化斷筋點!Q1189)</f>
        <v>5</v>
      </c>
      <c r="AQ1189" s="37">
        <f>IF(最佳化斷筋點!R1189="","",最佳化斷筋點!R1189)</f>
        <v>5</v>
      </c>
      <c r="AR1189" s="37">
        <f>IF(最佳化斷筋點!S1189="","",最佳化斷筋點!S1189)</f>
        <v>5</v>
      </c>
      <c r="AS1189" s="37">
        <f>IF(最佳化斷筋點!T1189="","",最佳化斷筋點!T1189)</f>
        <v>5</v>
      </c>
      <c r="AT1189" s="37">
        <f>IF(最佳化斷筋點!U1189="","",最佳化斷筋點!U1189)</f>
        <v>5</v>
      </c>
      <c r="AU1189" s="37">
        <f>IF(最佳化斷筋點!V1189="","",最佳化斷筋點!V1189)</f>
        <v>5</v>
      </c>
      <c r="AV1189" s="37">
        <f>IF(最佳化斷筋點!W1189="","",最佳化斷筋點!W1189)</f>
        <v>5</v>
      </c>
      <c r="AW1189" s="37">
        <f>IF(最佳化斷筋點!X1189="","",最佳化斷筋點!X1189)</f>
        <v>5</v>
      </c>
      <c r="AZ1189" s="37">
        <v>5</v>
      </c>
      <c r="BA1189" s="37">
        <v>5</v>
      </c>
      <c r="BB1189" s="37">
        <v>5</v>
      </c>
      <c r="BC1189" s="37">
        <v>5</v>
      </c>
      <c r="BD1189" s="37">
        <v>5</v>
      </c>
      <c r="BE1189" s="37">
        <v>5</v>
      </c>
      <c r="BF1189" s="37">
        <v>5</v>
      </c>
      <c r="BG1189" s="37">
        <v>5</v>
      </c>
      <c r="BH1189" s="37">
        <v>5</v>
      </c>
      <c r="BI1189" s="37">
        <v>5</v>
      </c>
      <c r="BJ1189" s="37">
        <v>5</v>
      </c>
      <c r="BK1189" s="37">
        <v>5</v>
      </c>
      <c r="BL1189" s="37">
        <v>5</v>
      </c>
      <c r="BM1189" s="37">
        <v>5</v>
      </c>
      <c r="BN1189" s="37">
        <v>5</v>
      </c>
      <c r="BO1189" s="37">
        <v>5</v>
      </c>
      <c r="BP1189" s="37">
        <v>5</v>
      </c>
      <c r="BQ1189" s="37">
        <v>5</v>
      </c>
      <c r="BR1189" s="37">
        <v>5</v>
      </c>
      <c r="BS1189" s="37">
        <v>5</v>
      </c>
      <c r="BT1189" s="37">
        <v>5</v>
      </c>
    </row>
    <row r="1190" spans="5:72" x14ac:dyDescent="0.25">
      <c r="E1190" s="36"/>
      <c r="F1190" s="36">
        <f t="shared" si="379"/>
        <v>0</v>
      </c>
      <c r="G1190" s="36">
        <f t="shared" si="380"/>
        <v>0</v>
      </c>
      <c r="H1190" s="36">
        <f t="shared" si="381"/>
        <v>0</v>
      </c>
      <c r="I1190" s="36">
        <f t="shared" si="382"/>
        <v>0</v>
      </c>
      <c r="J1190" s="36">
        <f t="shared" si="383"/>
        <v>0</v>
      </c>
      <c r="K1190" s="36">
        <f t="shared" si="384"/>
        <v>0</v>
      </c>
      <c r="L1190" s="36">
        <f t="shared" si="385"/>
        <v>0</v>
      </c>
      <c r="M1190" s="36">
        <f t="shared" si="386"/>
        <v>0</v>
      </c>
      <c r="N1190" s="36">
        <f t="shared" si="387"/>
        <v>0</v>
      </c>
      <c r="O1190" s="36">
        <f t="shared" si="388"/>
        <v>0</v>
      </c>
      <c r="P1190" s="36">
        <f t="shared" si="389"/>
        <v>0</v>
      </c>
      <c r="Q1190" s="36">
        <f t="shared" si="390"/>
        <v>0</v>
      </c>
      <c r="R1190" s="36">
        <f t="shared" si="391"/>
        <v>0</v>
      </c>
      <c r="S1190" s="36">
        <f t="shared" si="392"/>
        <v>0</v>
      </c>
      <c r="T1190" s="36">
        <f t="shared" si="393"/>
        <v>0</v>
      </c>
      <c r="U1190" s="36">
        <f t="shared" si="394"/>
        <v>0</v>
      </c>
      <c r="V1190" s="36">
        <f t="shared" si="395"/>
        <v>0</v>
      </c>
      <c r="W1190" s="36">
        <f t="shared" si="396"/>
        <v>0</v>
      </c>
      <c r="X1190" s="36">
        <f t="shared" si="397"/>
        <v>0</v>
      </c>
      <c r="Y1190" s="36">
        <f t="shared" si="398"/>
        <v>0</v>
      </c>
      <c r="Z1190" s="36">
        <f t="shared" si="399"/>
        <v>0</v>
      </c>
      <c r="AB1190" s="36" t="str">
        <f>IF(最佳化斷筋點!C1190="","",最佳化斷筋點!C1190)</f>
        <v/>
      </c>
      <c r="AC1190" s="36" t="str">
        <f>IF(最佳化斷筋點!D1190="","",最佳化斷筋點!D1190)</f>
        <v/>
      </c>
      <c r="AD1190" s="36" t="str">
        <f>IF(最佳化斷筋點!E1190="","",最佳化斷筋點!E1190)</f>
        <v/>
      </c>
      <c r="AE1190" s="36" t="str">
        <f>IF(最佳化斷筋點!F1190="","",最佳化斷筋點!F1190)</f>
        <v/>
      </c>
      <c r="AF1190" s="36" t="str">
        <f>IF(最佳化斷筋點!G1190="","",最佳化斷筋點!G1190)</f>
        <v/>
      </c>
      <c r="AG1190" s="36" t="str">
        <f>IF(最佳化斷筋點!H1190="","",最佳化斷筋點!H1190)</f>
        <v/>
      </c>
      <c r="AH1190" s="36" t="str">
        <f>IF(最佳化斷筋點!I1190="","",最佳化斷筋點!I1190)</f>
        <v/>
      </c>
      <c r="AI1190" s="36" t="str">
        <f>IF(最佳化斷筋點!J1190="","",最佳化斷筋點!J1190)</f>
        <v/>
      </c>
      <c r="AJ1190" s="36" t="str">
        <f>IF(最佳化斷筋點!K1190="","",最佳化斷筋點!K1190)</f>
        <v/>
      </c>
      <c r="AK1190" s="36" t="str">
        <f>IF(最佳化斷筋點!L1190="","",最佳化斷筋點!L1190)</f>
        <v/>
      </c>
      <c r="AL1190" s="36" t="str">
        <f>IF(最佳化斷筋點!M1190="","",最佳化斷筋點!M1190)</f>
        <v/>
      </c>
      <c r="AM1190" s="36" t="str">
        <f>IF(最佳化斷筋點!N1190="","",最佳化斷筋點!N1190)</f>
        <v/>
      </c>
      <c r="AN1190" s="36" t="str">
        <f>IF(最佳化斷筋點!O1190="","",最佳化斷筋點!O1190)</f>
        <v/>
      </c>
      <c r="AO1190" s="36" t="str">
        <f>IF(最佳化斷筋點!P1190="","",最佳化斷筋點!P1190)</f>
        <v/>
      </c>
      <c r="AP1190" s="36" t="str">
        <f>IF(最佳化斷筋點!Q1190="","",最佳化斷筋點!Q1190)</f>
        <v/>
      </c>
      <c r="AQ1190" s="36" t="str">
        <f>IF(最佳化斷筋點!R1190="","",最佳化斷筋點!R1190)</f>
        <v/>
      </c>
      <c r="AR1190" s="36" t="str">
        <f>IF(最佳化斷筋點!S1190="","",最佳化斷筋點!S1190)</f>
        <v/>
      </c>
      <c r="AS1190" s="36" t="str">
        <f>IF(最佳化斷筋點!T1190="","",最佳化斷筋點!T1190)</f>
        <v/>
      </c>
      <c r="AT1190" s="36" t="str">
        <f>IF(最佳化斷筋點!U1190="","",最佳化斷筋點!U1190)</f>
        <v/>
      </c>
      <c r="AU1190" s="36" t="str">
        <f>IF(最佳化斷筋點!V1190="","",最佳化斷筋點!V1190)</f>
        <v/>
      </c>
      <c r="AV1190" s="36" t="str">
        <f>IF(最佳化斷筋點!W1190="","",最佳化斷筋點!W1190)</f>
        <v/>
      </c>
      <c r="AW1190" s="36" t="str">
        <f>IF(最佳化斷筋點!X1190="","",最佳化斷筋點!X1190)</f>
        <v/>
      </c>
      <c r="AZ1190" s="37" t="s">
        <v>197</v>
      </c>
      <c r="BA1190" s="37" t="s">
        <v>197</v>
      </c>
      <c r="BB1190" s="37" t="s">
        <v>197</v>
      </c>
      <c r="BC1190" s="37" t="s">
        <v>197</v>
      </c>
      <c r="BD1190" s="37" t="s">
        <v>197</v>
      </c>
      <c r="BE1190" s="37" t="s">
        <v>197</v>
      </c>
      <c r="BF1190" s="37" t="s">
        <v>197</v>
      </c>
      <c r="BG1190" s="37" t="s">
        <v>197</v>
      </c>
      <c r="BH1190" s="37" t="s">
        <v>197</v>
      </c>
      <c r="BI1190" s="37" t="s">
        <v>197</v>
      </c>
      <c r="BJ1190" s="37" t="s">
        <v>197</v>
      </c>
      <c r="BK1190" s="37" t="s">
        <v>197</v>
      </c>
      <c r="BL1190" s="37" t="s">
        <v>197</v>
      </c>
      <c r="BM1190" s="37" t="s">
        <v>197</v>
      </c>
      <c r="BN1190" s="37" t="s">
        <v>197</v>
      </c>
      <c r="BO1190" s="37" t="s">
        <v>197</v>
      </c>
      <c r="BP1190" s="37" t="s">
        <v>197</v>
      </c>
      <c r="BQ1190" s="37" t="s">
        <v>197</v>
      </c>
      <c r="BR1190" s="37" t="s">
        <v>197</v>
      </c>
      <c r="BS1190" s="37" t="s">
        <v>197</v>
      </c>
      <c r="BT1190" s="37" t="s">
        <v>197</v>
      </c>
    </row>
    <row r="1191" spans="5:72" x14ac:dyDescent="0.25">
      <c r="E1191" s="36" t="s">
        <v>20</v>
      </c>
      <c r="F1191" s="36">
        <f t="shared" si="379"/>
        <v>0</v>
      </c>
      <c r="G1191" s="36">
        <f t="shared" si="380"/>
        <v>0</v>
      </c>
      <c r="H1191" s="36">
        <f t="shared" si="381"/>
        <v>0</v>
      </c>
      <c r="I1191" s="36">
        <f t="shared" si="382"/>
        <v>0</v>
      </c>
      <c r="J1191" s="36">
        <f t="shared" si="383"/>
        <v>0</v>
      </c>
      <c r="K1191" s="36">
        <f t="shared" si="384"/>
        <v>0</v>
      </c>
      <c r="L1191" s="36">
        <f t="shared" si="385"/>
        <v>0</v>
      </c>
      <c r="M1191" s="36">
        <f t="shared" si="386"/>
        <v>0</v>
      </c>
      <c r="N1191" s="36">
        <f t="shared" si="387"/>
        <v>0</v>
      </c>
      <c r="O1191" s="36">
        <f t="shared" si="388"/>
        <v>0</v>
      </c>
      <c r="P1191" s="36">
        <f t="shared" si="389"/>
        <v>0</v>
      </c>
      <c r="Q1191" s="36">
        <f t="shared" si="390"/>
        <v>0</v>
      </c>
      <c r="R1191" s="36">
        <f t="shared" si="391"/>
        <v>0</v>
      </c>
      <c r="S1191" s="36">
        <f t="shared" si="392"/>
        <v>0</v>
      </c>
      <c r="T1191" s="36">
        <f t="shared" si="393"/>
        <v>0</v>
      </c>
      <c r="U1191" s="36">
        <f t="shared" si="394"/>
        <v>0</v>
      </c>
      <c r="V1191" s="36">
        <f t="shared" si="395"/>
        <v>0</v>
      </c>
      <c r="W1191" s="36">
        <f t="shared" si="396"/>
        <v>0</v>
      </c>
      <c r="X1191" s="36">
        <f t="shared" si="397"/>
        <v>0</v>
      </c>
      <c r="Y1191" s="36">
        <f t="shared" si="398"/>
        <v>0</v>
      </c>
      <c r="Z1191" s="36">
        <f t="shared" si="399"/>
        <v>0</v>
      </c>
      <c r="AB1191" s="36" t="str">
        <f>IF(最佳化斷筋點!C1191="","",最佳化斷筋點!C1191)</f>
        <v>上層</v>
      </c>
      <c r="AC1191" s="37">
        <f>IF(最佳化斷筋點!D1191="","",最佳化斷筋點!D1191)</f>
        <v>7</v>
      </c>
      <c r="AD1191" s="37">
        <f>IF(最佳化斷筋點!E1191="","",最佳化斷筋點!E1191)</f>
        <v>7</v>
      </c>
      <c r="AE1191" s="37">
        <f>IF(最佳化斷筋點!F1191="","",最佳化斷筋點!F1191)</f>
        <v>7</v>
      </c>
      <c r="AF1191" s="37">
        <f>IF(最佳化斷筋點!G1191="","",最佳化斷筋點!G1191)</f>
        <v>7</v>
      </c>
      <c r="AG1191" s="37">
        <f>IF(最佳化斷筋點!H1191="","",最佳化斷筋點!H1191)</f>
        <v>7</v>
      </c>
      <c r="AH1191" s="37">
        <f>IF(最佳化斷筋點!I1191="","",最佳化斷筋點!I1191)</f>
        <v>6</v>
      </c>
      <c r="AI1191" s="37">
        <f>IF(最佳化斷筋點!J1191="","",最佳化斷筋點!J1191)</f>
        <v>6</v>
      </c>
      <c r="AJ1191" s="37">
        <f>IF(最佳化斷筋點!K1191="","",最佳化斷筋點!K1191)</f>
        <v>3</v>
      </c>
      <c r="AK1191" s="37">
        <f>IF(最佳化斷筋點!L1191="","",最佳化斷筋點!L1191)</f>
        <v>3</v>
      </c>
      <c r="AL1191" s="37">
        <f>IF(最佳化斷筋點!M1191="","",最佳化斷筋點!M1191)</f>
        <v>3</v>
      </c>
      <c r="AM1191" s="37">
        <f>IF(最佳化斷筋點!N1191="","",最佳化斷筋點!N1191)</f>
        <v>3</v>
      </c>
      <c r="AN1191" s="37">
        <f>IF(最佳化斷筋點!O1191="","",最佳化斷筋點!O1191)</f>
        <v>3</v>
      </c>
      <c r="AO1191" s="37">
        <f>IF(最佳化斷筋點!P1191="","",最佳化斷筋點!P1191)</f>
        <v>3</v>
      </c>
      <c r="AP1191" s="37">
        <f>IF(最佳化斷筋點!Q1191="","",最佳化斷筋點!Q1191)</f>
        <v>5</v>
      </c>
      <c r="AQ1191" s="37">
        <f>IF(最佳化斷筋點!R1191="","",最佳化斷筋點!R1191)</f>
        <v>6</v>
      </c>
      <c r="AR1191" s="37">
        <f>IF(最佳化斷筋點!S1191="","",最佳化斷筋點!S1191)</f>
        <v>6</v>
      </c>
      <c r="AS1191" s="37">
        <f>IF(最佳化斷筋點!T1191="","",最佳化斷筋點!T1191)</f>
        <v>7</v>
      </c>
      <c r="AT1191" s="37">
        <f>IF(最佳化斷筋點!U1191="","",最佳化斷筋點!U1191)</f>
        <v>8</v>
      </c>
      <c r="AU1191" s="37">
        <f>IF(最佳化斷筋點!V1191="","",最佳化斷筋點!V1191)</f>
        <v>8</v>
      </c>
      <c r="AV1191" s="37">
        <f>IF(最佳化斷筋點!W1191="","",最佳化斷筋點!W1191)</f>
        <v>8</v>
      </c>
      <c r="AW1191" s="37">
        <f>IF(最佳化斷筋點!X1191="","",最佳化斷筋點!X1191)</f>
        <v>8</v>
      </c>
      <c r="AZ1191" s="37">
        <v>7</v>
      </c>
      <c r="BA1191" s="37">
        <v>7</v>
      </c>
      <c r="BB1191" s="37">
        <v>7</v>
      </c>
      <c r="BC1191" s="37">
        <v>7</v>
      </c>
      <c r="BD1191" s="37">
        <v>7</v>
      </c>
      <c r="BE1191" s="37">
        <v>6</v>
      </c>
      <c r="BF1191" s="37">
        <v>6</v>
      </c>
      <c r="BG1191" s="37">
        <v>3</v>
      </c>
      <c r="BH1191" s="37">
        <v>3</v>
      </c>
      <c r="BI1191" s="37">
        <v>3</v>
      </c>
      <c r="BJ1191" s="37">
        <v>3</v>
      </c>
      <c r="BK1191" s="37">
        <v>3</v>
      </c>
      <c r="BL1191" s="37">
        <v>3</v>
      </c>
      <c r="BM1191" s="37">
        <v>5</v>
      </c>
      <c r="BN1191" s="37">
        <v>6</v>
      </c>
      <c r="BO1191" s="37">
        <v>6</v>
      </c>
      <c r="BP1191" s="37">
        <v>7</v>
      </c>
      <c r="BQ1191" s="37">
        <v>8</v>
      </c>
      <c r="BR1191" s="37">
        <v>8</v>
      </c>
      <c r="BS1191" s="37">
        <v>8</v>
      </c>
      <c r="BT1191" s="37">
        <v>8</v>
      </c>
    </row>
    <row r="1192" spans="5:72" x14ac:dyDescent="0.25">
      <c r="E1192" s="36"/>
      <c r="F1192" s="36">
        <f t="shared" si="379"/>
        <v>0</v>
      </c>
      <c r="G1192" s="36">
        <f t="shared" si="380"/>
        <v>0</v>
      </c>
      <c r="H1192" s="36">
        <f t="shared" si="381"/>
        <v>0</v>
      </c>
      <c r="I1192" s="36">
        <f t="shared" si="382"/>
        <v>0</v>
      </c>
      <c r="J1192" s="36">
        <f t="shared" si="383"/>
        <v>0</v>
      </c>
      <c r="K1192" s="36">
        <f t="shared" si="384"/>
        <v>0</v>
      </c>
      <c r="L1192" s="36">
        <f t="shared" si="385"/>
        <v>0</v>
      </c>
      <c r="M1192" s="36">
        <f t="shared" si="386"/>
        <v>0</v>
      </c>
      <c r="N1192" s="36">
        <f t="shared" si="387"/>
        <v>0</v>
      </c>
      <c r="O1192" s="36">
        <f t="shared" si="388"/>
        <v>0</v>
      </c>
      <c r="P1192" s="36">
        <f t="shared" si="389"/>
        <v>0</v>
      </c>
      <c r="Q1192" s="36">
        <f t="shared" si="390"/>
        <v>0</v>
      </c>
      <c r="R1192" s="36">
        <f t="shared" si="391"/>
        <v>0</v>
      </c>
      <c r="S1192" s="36">
        <f t="shared" si="392"/>
        <v>0</v>
      </c>
      <c r="T1192" s="36">
        <f t="shared" si="393"/>
        <v>0</v>
      </c>
      <c r="U1192" s="36">
        <f t="shared" si="394"/>
        <v>0</v>
      </c>
      <c r="V1192" s="36">
        <f t="shared" si="395"/>
        <v>0</v>
      </c>
      <c r="W1192" s="36">
        <f t="shared" si="396"/>
        <v>0</v>
      </c>
      <c r="X1192" s="36">
        <f t="shared" si="397"/>
        <v>0</v>
      </c>
      <c r="Y1192" s="36">
        <f t="shared" si="398"/>
        <v>0</v>
      </c>
      <c r="Z1192" s="36">
        <f t="shared" si="399"/>
        <v>0</v>
      </c>
      <c r="AB1192" s="36" t="str">
        <f>IF(最佳化斷筋點!C1192="","",最佳化斷筋點!C1192)</f>
        <v/>
      </c>
      <c r="AC1192" s="37" t="str">
        <f>IF(最佳化斷筋點!D1192="","",最佳化斷筋點!D1192)</f>
        <v/>
      </c>
      <c r="AD1192" s="37" t="str">
        <f>IF(最佳化斷筋點!E1192="","",最佳化斷筋點!E1192)</f>
        <v/>
      </c>
      <c r="AE1192" s="37" t="str">
        <f>IF(最佳化斷筋點!F1192="","",最佳化斷筋點!F1192)</f>
        <v/>
      </c>
      <c r="AF1192" s="37" t="str">
        <f>IF(最佳化斷筋點!G1192="","",最佳化斷筋點!G1192)</f>
        <v/>
      </c>
      <c r="AG1192" s="37" t="str">
        <f>IF(最佳化斷筋點!H1192="","",最佳化斷筋點!H1192)</f>
        <v/>
      </c>
      <c r="AH1192" s="37" t="str">
        <f>IF(最佳化斷筋點!I1192="","",最佳化斷筋點!I1192)</f>
        <v/>
      </c>
      <c r="AI1192" s="37" t="str">
        <f>IF(最佳化斷筋點!J1192="","",最佳化斷筋點!J1192)</f>
        <v/>
      </c>
      <c r="AJ1192" s="37" t="str">
        <f>IF(最佳化斷筋點!K1192="","",最佳化斷筋點!K1192)</f>
        <v/>
      </c>
      <c r="AK1192" s="37" t="str">
        <f>IF(最佳化斷筋點!L1192="","",最佳化斷筋點!L1192)</f>
        <v/>
      </c>
      <c r="AL1192" s="37" t="str">
        <f>IF(最佳化斷筋點!M1192="","",最佳化斷筋點!M1192)</f>
        <v/>
      </c>
      <c r="AM1192" s="37" t="str">
        <f>IF(最佳化斷筋點!N1192="","",最佳化斷筋點!N1192)</f>
        <v/>
      </c>
      <c r="AN1192" s="37" t="str">
        <f>IF(最佳化斷筋點!O1192="","",最佳化斷筋點!O1192)</f>
        <v/>
      </c>
      <c r="AO1192" s="37" t="str">
        <f>IF(最佳化斷筋點!P1192="","",最佳化斷筋點!P1192)</f>
        <v/>
      </c>
      <c r="AP1192" s="37" t="str">
        <f>IF(最佳化斷筋點!Q1192="","",最佳化斷筋點!Q1192)</f>
        <v/>
      </c>
      <c r="AQ1192" s="37" t="str">
        <f>IF(最佳化斷筋點!R1192="","",最佳化斷筋點!R1192)</f>
        <v/>
      </c>
      <c r="AR1192" s="37" t="str">
        <f>IF(最佳化斷筋點!S1192="","",最佳化斷筋點!S1192)</f>
        <v/>
      </c>
      <c r="AS1192" s="37" t="str">
        <f>IF(最佳化斷筋點!T1192="","",最佳化斷筋點!T1192)</f>
        <v/>
      </c>
      <c r="AT1192" s="37" t="str">
        <f>IF(最佳化斷筋點!U1192="","",最佳化斷筋點!U1192)</f>
        <v/>
      </c>
      <c r="AU1192" s="37" t="str">
        <f>IF(最佳化斷筋點!V1192="","",最佳化斷筋點!V1192)</f>
        <v/>
      </c>
      <c r="AV1192" s="37" t="str">
        <f>IF(最佳化斷筋點!W1192="","",最佳化斷筋點!W1192)</f>
        <v/>
      </c>
      <c r="AW1192" s="37" t="str">
        <f>IF(最佳化斷筋點!X1192="","",最佳化斷筋點!X1192)</f>
        <v/>
      </c>
      <c r="AZ1192" s="37" t="s">
        <v>197</v>
      </c>
      <c r="BA1192" s="37" t="s">
        <v>197</v>
      </c>
      <c r="BB1192" s="37" t="s">
        <v>197</v>
      </c>
      <c r="BC1192" s="37" t="s">
        <v>197</v>
      </c>
      <c r="BD1192" s="37" t="s">
        <v>197</v>
      </c>
      <c r="BE1192" s="37" t="s">
        <v>197</v>
      </c>
      <c r="BF1192" s="37" t="s">
        <v>197</v>
      </c>
      <c r="BG1192" s="37" t="s">
        <v>197</v>
      </c>
      <c r="BH1192" s="37" t="s">
        <v>197</v>
      </c>
      <c r="BI1192" s="37" t="s">
        <v>197</v>
      </c>
      <c r="BJ1192" s="37" t="s">
        <v>197</v>
      </c>
      <c r="BK1192" s="37" t="s">
        <v>197</v>
      </c>
      <c r="BL1192" s="37" t="s">
        <v>197</v>
      </c>
      <c r="BM1192" s="37" t="s">
        <v>197</v>
      </c>
      <c r="BN1192" s="37" t="s">
        <v>197</v>
      </c>
      <c r="BO1192" s="37" t="s">
        <v>197</v>
      </c>
      <c r="BP1192" s="37" t="s">
        <v>197</v>
      </c>
      <c r="BQ1192" s="37" t="s">
        <v>197</v>
      </c>
      <c r="BR1192" s="37" t="s">
        <v>197</v>
      </c>
      <c r="BS1192" s="37" t="s">
        <v>197</v>
      </c>
      <c r="BT1192" s="37" t="s">
        <v>197</v>
      </c>
    </row>
    <row r="1193" spans="5:72" x14ac:dyDescent="0.25">
      <c r="E1193" s="36" t="s">
        <v>21</v>
      </c>
      <c r="F1193" s="36">
        <f t="shared" si="379"/>
        <v>0</v>
      </c>
      <c r="G1193" s="36">
        <f t="shared" si="380"/>
        <v>0</v>
      </c>
      <c r="H1193" s="36">
        <f t="shared" si="381"/>
        <v>0</v>
      </c>
      <c r="I1193" s="36">
        <f t="shared" si="382"/>
        <v>0</v>
      </c>
      <c r="J1193" s="36">
        <f t="shared" si="383"/>
        <v>0</v>
      </c>
      <c r="K1193" s="36">
        <f t="shared" si="384"/>
        <v>0</v>
      </c>
      <c r="L1193" s="36">
        <f t="shared" si="385"/>
        <v>0</v>
      </c>
      <c r="M1193" s="36">
        <f t="shared" si="386"/>
        <v>0</v>
      </c>
      <c r="N1193" s="36">
        <f t="shared" si="387"/>
        <v>0</v>
      </c>
      <c r="O1193" s="36">
        <f t="shared" si="388"/>
        <v>0</v>
      </c>
      <c r="P1193" s="36">
        <f t="shared" si="389"/>
        <v>0</v>
      </c>
      <c r="Q1193" s="36">
        <f t="shared" si="390"/>
        <v>0</v>
      </c>
      <c r="R1193" s="36">
        <f t="shared" si="391"/>
        <v>0</v>
      </c>
      <c r="S1193" s="36">
        <f t="shared" si="392"/>
        <v>0</v>
      </c>
      <c r="T1193" s="36">
        <f t="shared" si="393"/>
        <v>0</v>
      </c>
      <c r="U1193" s="36">
        <f t="shared" si="394"/>
        <v>0</v>
      </c>
      <c r="V1193" s="36">
        <f t="shared" si="395"/>
        <v>0</v>
      </c>
      <c r="W1193" s="36">
        <f t="shared" si="396"/>
        <v>0</v>
      </c>
      <c r="X1193" s="36">
        <f t="shared" si="397"/>
        <v>0</v>
      </c>
      <c r="Y1193" s="36">
        <f t="shared" si="398"/>
        <v>0</v>
      </c>
      <c r="Z1193" s="36">
        <f t="shared" si="399"/>
        <v>0</v>
      </c>
      <c r="AB1193" s="36" t="str">
        <f>IF(最佳化斷筋點!C1193="","",最佳化斷筋點!C1193)</f>
        <v>下層</v>
      </c>
      <c r="AC1193" s="37">
        <f>IF(最佳化斷筋點!D1193="","",最佳化斷筋點!D1193)</f>
        <v>4</v>
      </c>
      <c r="AD1193" s="37">
        <f>IF(最佳化斷筋點!E1193="","",最佳化斷筋點!E1193)</f>
        <v>4</v>
      </c>
      <c r="AE1193" s="37">
        <f>IF(最佳化斷筋點!F1193="","",最佳化斷筋點!F1193)</f>
        <v>4</v>
      </c>
      <c r="AF1193" s="37">
        <f>IF(最佳化斷筋點!G1193="","",最佳化斷筋點!G1193)</f>
        <v>4</v>
      </c>
      <c r="AG1193" s="37">
        <f>IF(最佳化斷筋點!H1193="","",最佳化斷筋點!H1193)</f>
        <v>4</v>
      </c>
      <c r="AH1193" s="37">
        <f>IF(最佳化斷筋點!I1193="","",最佳化斷筋點!I1193)</f>
        <v>5</v>
      </c>
      <c r="AI1193" s="37">
        <f>IF(最佳化斷筋點!J1193="","",最佳化斷筋點!J1193)</f>
        <v>5</v>
      </c>
      <c r="AJ1193" s="37">
        <f>IF(最佳化斷筋點!K1193="","",最佳化斷筋點!K1193)</f>
        <v>5</v>
      </c>
      <c r="AK1193" s="37">
        <f>IF(最佳化斷筋點!L1193="","",最佳化斷筋點!L1193)</f>
        <v>5</v>
      </c>
      <c r="AL1193" s="37">
        <f>IF(最佳化斷筋點!M1193="","",最佳化斷筋點!M1193)</f>
        <v>5</v>
      </c>
      <c r="AM1193" s="37">
        <f>IF(最佳化斷筋點!N1193="","",最佳化斷筋點!N1193)</f>
        <v>5</v>
      </c>
      <c r="AN1193" s="37">
        <f>IF(最佳化斷筋點!O1193="","",最佳化斷筋點!O1193)</f>
        <v>5</v>
      </c>
      <c r="AO1193" s="37">
        <f>IF(最佳化斷筋點!P1193="","",最佳化斷筋點!P1193)</f>
        <v>5</v>
      </c>
      <c r="AP1193" s="37">
        <f>IF(最佳化斷筋點!Q1193="","",最佳化斷筋點!Q1193)</f>
        <v>5</v>
      </c>
      <c r="AQ1193" s="37">
        <f>IF(最佳化斷筋點!R1193="","",最佳化斷筋點!R1193)</f>
        <v>5</v>
      </c>
      <c r="AR1193" s="37">
        <f>IF(最佳化斷筋點!S1193="","",最佳化斷筋點!S1193)</f>
        <v>5</v>
      </c>
      <c r="AS1193" s="37">
        <f>IF(最佳化斷筋點!T1193="","",最佳化斷筋點!T1193)</f>
        <v>5</v>
      </c>
      <c r="AT1193" s="37">
        <f>IF(最佳化斷筋點!U1193="","",最佳化斷筋點!U1193)</f>
        <v>4</v>
      </c>
      <c r="AU1193" s="37">
        <f>IF(最佳化斷筋點!V1193="","",最佳化斷筋點!V1193)</f>
        <v>4</v>
      </c>
      <c r="AV1193" s="37">
        <f>IF(最佳化斷筋點!W1193="","",最佳化斷筋點!W1193)</f>
        <v>4</v>
      </c>
      <c r="AW1193" s="37">
        <f>IF(最佳化斷筋點!X1193="","",最佳化斷筋點!X1193)</f>
        <v>4</v>
      </c>
      <c r="AZ1193" s="37">
        <v>4</v>
      </c>
      <c r="BA1193" s="37">
        <v>4</v>
      </c>
      <c r="BB1193" s="37">
        <v>4</v>
      </c>
      <c r="BC1193" s="37">
        <v>4</v>
      </c>
      <c r="BD1193" s="37">
        <v>4</v>
      </c>
      <c r="BE1193" s="37">
        <v>5</v>
      </c>
      <c r="BF1193" s="37">
        <v>5</v>
      </c>
      <c r="BG1193" s="37">
        <v>5</v>
      </c>
      <c r="BH1193" s="37">
        <v>5</v>
      </c>
      <c r="BI1193" s="37">
        <v>5</v>
      </c>
      <c r="BJ1193" s="37">
        <v>5</v>
      </c>
      <c r="BK1193" s="37">
        <v>5</v>
      </c>
      <c r="BL1193" s="37">
        <v>5</v>
      </c>
      <c r="BM1193" s="37">
        <v>5</v>
      </c>
      <c r="BN1193" s="37">
        <v>5</v>
      </c>
      <c r="BO1193" s="37">
        <v>5</v>
      </c>
      <c r="BP1193" s="37">
        <v>5</v>
      </c>
      <c r="BQ1193" s="37">
        <v>4</v>
      </c>
      <c r="BR1193" s="37">
        <v>4</v>
      </c>
      <c r="BS1193" s="37">
        <v>4</v>
      </c>
      <c r="BT1193" s="37">
        <v>4</v>
      </c>
    </row>
    <row r="1194" spans="5:72" x14ac:dyDescent="0.25">
      <c r="E1194" s="36"/>
      <c r="F1194" s="36">
        <f t="shared" si="379"/>
        <v>0</v>
      </c>
      <c r="G1194" s="36">
        <f t="shared" si="380"/>
        <v>0</v>
      </c>
      <c r="H1194" s="36">
        <f t="shared" si="381"/>
        <v>0</v>
      </c>
      <c r="I1194" s="36">
        <f t="shared" si="382"/>
        <v>0</v>
      </c>
      <c r="J1194" s="36">
        <f t="shared" si="383"/>
        <v>0</v>
      </c>
      <c r="K1194" s="36">
        <f t="shared" si="384"/>
        <v>0</v>
      </c>
      <c r="L1194" s="36">
        <f t="shared" si="385"/>
        <v>0</v>
      </c>
      <c r="M1194" s="36">
        <f t="shared" si="386"/>
        <v>0</v>
      </c>
      <c r="N1194" s="36">
        <f t="shared" si="387"/>
        <v>0</v>
      </c>
      <c r="O1194" s="36">
        <f t="shared" si="388"/>
        <v>0</v>
      </c>
      <c r="P1194" s="36">
        <f t="shared" si="389"/>
        <v>0</v>
      </c>
      <c r="Q1194" s="36">
        <f t="shared" si="390"/>
        <v>0</v>
      </c>
      <c r="R1194" s="36">
        <f t="shared" si="391"/>
        <v>0</v>
      </c>
      <c r="S1194" s="36">
        <f t="shared" si="392"/>
        <v>0</v>
      </c>
      <c r="T1194" s="36">
        <f t="shared" si="393"/>
        <v>0</v>
      </c>
      <c r="U1194" s="36">
        <f t="shared" si="394"/>
        <v>0</v>
      </c>
      <c r="V1194" s="36">
        <f t="shared" si="395"/>
        <v>0</v>
      </c>
      <c r="W1194" s="36">
        <f t="shared" si="396"/>
        <v>0</v>
      </c>
      <c r="X1194" s="36">
        <f t="shared" si="397"/>
        <v>0</v>
      </c>
      <c r="Y1194" s="36">
        <f t="shared" si="398"/>
        <v>0</v>
      </c>
      <c r="Z1194" s="36">
        <f t="shared" si="399"/>
        <v>0</v>
      </c>
      <c r="AB1194" s="36" t="str">
        <f>IF(最佳化斷筋點!C1194="","",最佳化斷筋點!C1194)</f>
        <v/>
      </c>
      <c r="AC1194" s="37" t="str">
        <f>IF(最佳化斷筋點!D1194="","",最佳化斷筋點!D1194)</f>
        <v/>
      </c>
      <c r="AD1194" s="37" t="str">
        <f>IF(最佳化斷筋點!E1194="","",最佳化斷筋點!E1194)</f>
        <v/>
      </c>
      <c r="AE1194" s="37" t="str">
        <f>IF(最佳化斷筋點!F1194="","",最佳化斷筋點!F1194)</f>
        <v/>
      </c>
      <c r="AF1194" s="37" t="str">
        <f>IF(最佳化斷筋點!G1194="","",最佳化斷筋點!G1194)</f>
        <v/>
      </c>
      <c r="AG1194" s="37" t="str">
        <f>IF(最佳化斷筋點!H1194="","",最佳化斷筋點!H1194)</f>
        <v/>
      </c>
      <c r="AH1194" s="37" t="str">
        <f>IF(最佳化斷筋點!I1194="","",最佳化斷筋點!I1194)</f>
        <v/>
      </c>
      <c r="AI1194" s="37" t="str">
        <f>IF(最佳化斷筋點!J1194="","",最佳化斷筋點!J1194)</f>
        <v/>
      </c>
      <c r="AJ1194" s="37" t="str">
        <f>IF(最佳化斷筋點!K1194="","",最佳化斷筋點!K1194)</f>
        <v/>
      </c>
      <c r="AK1194" s="37" t="str">
        <f>IF(最佳化斷筋點!L1194="","",最佳化斷筋點!L1194)</f>
        <v/>
      </c>
      <c r="AL1194" s="37" t="str">
        <f>IF(最佳化斷筋點!M1194="","",最佳化斷筋點!M1194)</f>
        <v/>
      </c>
      <c r="AM1194" s="37" t="str">
        <f>IF(最佳化斷筋點!N1194="","",最佳化斷筋點!N1194)</f>
        <v/>
      </c>
      <c r="AN1194" s="37" t="str">
        <f>IF(最佳化斷筋點!O1194="","",最佳化斷筋點!O1194)</f>
        <v/>
      </c>
      <c r="AO1194" s="37" t="str">
        <f>IF(最佳化斷筋點!P1194="","",最佳化斷筋點!P1194)</f>
        <v/>
      </c>
      <c r="AP1194" s="37" t="str">
        <f>IF(最佳化斷筋點!Q1194="","",最佳化斷筋點!Q1194)</f>
        <v/>
      </c>
      <c r="AQ1194" s="37" t="str">
        <f>IF(最佳化斷筋點!R1194="","",最佳化斷筋點!R1194)</f>
        <v/>
      </c>
      <c r="AR1194" s="37" t="str">
        <f>IF(最佳化斷筋點!S1194="","",最佳化斷筋點!S1194)</f>
        <v/>
      </c>
      <c r="AS1194" s="37" t="str">
        <f>IF(最佳化斷筋點!T1194="","",最佳化斷筋點!T1194)</f>
        <v/>
      </c>
      <c r="AT1194" s="37" t="str">
        <f>IF(最佳化斷筋點!U1194="","",最佳化斷筋點!U1194)</f>
        <v/>
      </c>
      <c r="AU1194" s="37" t="str">
        <f>IF(最佳化斷筋點!V1194="","",最佳化斷筋點!V1194)</f>
        <v/>
      </c>
      <c r="AV1194" s="37" t="str">
        <f>IF(最佳化斷筋點!W1194="","",最佳化斷筋點!W1194)</f>
        <v/>
      </c>
      <c r="AW1194" s="37" t="str">
        <f>IF(最佳化斷筋點!X1194="","",最佳化斷筋點!X1194)</f>
        <v/>
      </c>
      <c r="AZ1194" s="37" t="s">
        <v>197</v>
      </c>
      <c r="BA1194" s="37" t="s">
        <v>197</v>
      </c>
      <c r="BB1194" s="37" t="s">
        <v>197</v>
      </c>
      <c r="BC1194" s="37" t="s">
        <v>197</v>
      </c>
      <c r="BD1194" s="37" t="s">
        <v>197</v>
      </c>
      <c r="BE1194" s="37" t="s">
        <v>197</v>
      </c>
      <c r="BF1194" s="37" t="s">
        <v>197</v>
      </c>
      <c r="BG1194" s="37" t="s">
        <v>197</v>
      </c>
      <c r="BH1194" s="37" t="s">
        <v>197</v>
      </c>
      <c r="BI1194" s="37" t="s">
        <v>197</v>
      </c>
      <c r="BJ1194" s="37" t="s">
        <v>197</v>
      </c>
      <c r="BK1194" s="37" t="s">
        <v>197</v>
      </c>
      <c r="BL1194" s="37" t="s">
        <v>197</v>
      </c>
      <c r="BM1194" s="37" t="s">
        <v>197</v>
      </c>
      <c r="BN1194" s="37" t="s">
        <v>197</v>
      </c>
      <c r="BO1194" s="37" t="s">
        <v>197</v>
      </c>
      <c r="BP1194" s="37" t="s">
        <v>197</v>
      </c>
      <c r="BQ1194" s="37" t="s">
        <v>197</v>
      </c>
      <c r="BR1194" s="37" t="s">
        <v>197</v>
      </c>
      <c r="BS1194" s="37" t="s">
        <v>197</v>
      </c>
      <c r="BT1194" s="37" t="s">
        <v>197</v>
      </c>
    </row>
    <row r="1195" spans="5:72" x14ac:dyDescent="0.25">
      <c r="E1195" s="36" t="s">
        <v>20</v>
      </c>
      <c r="F1195" s="36">
        <f t="shared" si="379"/>
        <v>0</v>
      </c>
      <c r="G1195" s="36">
        <f t="shared" si="380"/>
        <v>0</v>
      </c>
      <c r="H1195" s="36">
        <f t="shared" si="381"/>
        <v>0</v>
      </c>
      <c r="I1195" s="36">
        <f t="shared" si="382"/>
        <v>0</v>
      </c>
      <c r="J1195" s="36">
        <f t="shared" si="383"/>
        <v>0</v>
      </c>
      <c r="K1195" s="36">
        <f t="shared" si="384"/>
        <v>0</v>
      </c>
      <c r="L1195" s="36">
        <f t="shared" si="385"/>
        <v>0</v>
      </c>
      <c r="M1195" s="36">
        <f t="shared" si="386"/>
        <v>0</v>
      </c>
      <c r="N1195" s="36">
        <f t="shared" si="387"/>
        <v>0</v>
      </c>
      <c r="O1195" s="36">
        <f t="shared" si="388"/>
        <v>0</v>
      </c>
      <c r="P1195" s="36">
        <f t="shared" si="389"/>
        <v>0</v>
      </c>
      <c r="Q1195" s="36">
        <f t="shared" si="390"/>
        <v>0</v>
      </c>
      <c r="R1195" s="36">
        <f t="shared" si="391"/>
        <v>0</v>
      </c>
      <c r="S1195" s="36">
        <f t="shared" si="392"/>
        <v>0</v>
      </c>
      <c r="T1195" s="36">
        <f t="shared" si="393"/>
        <v>0</v>
      </c>
      <c r="U1195" s="36">
        <f t="shared" si="394"/>
        <v>0</v>
      </c>
      <c r="V1195" s="36">
        <f t="shared" si="395"/>
        <v>0</v>
      </c>
      <c r="W1195" s="36">
        <f t="shared" si="396"/>
        <v>0</v>
      </c>
      <c r="X1195" s="36">
        <f t="shared" si="397"/>
        <v>0</v>
      </c>
      <c r="Y1195" s="36">
        <f t="shared" si="398"/>
        <v>0</v>
      </c>
      <c r="Z1195" s="36">
        <f t="shared" si="399"/>
        <v>0</v>
      </c>
      <c r="AB1195" s="36" t="str">
        <f>IF(最佳化斷筋點!C1195="","",最佳化斷筋點!C1195)</f>
        <v>上層</v>
      </c>
      <c r="AC1195" s="37">
        <f>IF(最佳化斷筋點!D1195="","",最佳化斷筋點!D1195)</f>
        <v>4</v>
      </c>
      <c r="AD1195" s="37">
        <f>IF(最佳化斷筋點!E1195="","",最佳化斷筋點!E1195)</f>
        <v>4</v>
      </c>
      <c r="AE1195" s="37">
        <f>IF(最佳化斷筋點!F1195="","",最佳化斷筋點!F1195)</f>
        <v>4</v>
      </c>
      <c r="AF1195" s="37">
        <f>IF(最佳化斷筋點!G1195="","",最佳化斷筋點!G1195)</f>
        <v>4</v>
      </c>
      <c r="AG1195" s="37">
        <f>IF(最佳化斷筋點!H1195="","",最佳化斷筋點!H1195)</f>
        <v>4</v>
      </c>
      <c r="AH1195" s="37">
        <f>IF(最佳化斷筋點!I1195="","",最佳化斷筋點!I1195)</f>
        <v>4</v>
      </c>
      <c r="AI1195" s="37">
        <f>IF(最佳化斷筋點!J1195="","",最佳化斷筋點!J1195)</f>
        <v>3</v>
      </c>
      <c r="AJ1195" s="37">
        <f>IF(最佳化斷筋點!K1195="","",最佳化斷筋點!K1195)</f>
        <v>2</v>
      </c>
      <c r="AK1195" s="37">
        <f>IF(最佳化斷筋點!L1195="","",最佳化斷筋點!L1195)</f>
        <v>2</v>
      </c>
      <c r="AL1195" s="37">
        <f>IF(最佳化斷筋點!M1195="","",最佳化斷筋點!M1195)</f>
        <v>2</v>
      </c>
      <c r="AM1195" s="37">
        <f>IF(最佳化斷筋點!N1195="","",最佳化斷筋點!N1195)</f>
        <v>2</v>
      </c>
      <c r="AN1195" s="37">
        <f>IF(最佳化斷筋點!O1195="","",最佳化斷筋點!O1195)</f>
        <v>2</v>
      </c>
      <c r="AO1195" s="37">
        <f>IF(最佳化斷筋點!P1195="","",最佳化斷筋點!P1195)</f>
        <v>2</v>
      </c>
      <c r="AP1195" s="37">
        <f>IF(最佳化斷筋點!Q1195="","",最佳化斷筋點!Q1195)</f>
        <v>2</v>
      </c>
      <c r="AQ1195" s="37">
        <f>IF(最佳化斷筋點!R1195="","",最佳化斷筋點!R1195)</f>
        <v>2</v>
      </c>
      <c r="AR1195" s="37">
        <f>IF(最佳化斷筋點!S1195="","",最佳化斷筋點!S1195)</f>
        <v>3</v>
      </c>
      <c r="AS1195" s="37">
        <f>IF(最佳化斷筋點!T1195="","",最佳化斷筋點!T1195)</f>
        <v>3</v>
      </c>
      <c r="AT1195" s="37">
        <f>IF(最佳化斷筋點!U1195="","",最佳化斷筋點!U1195)</f>
        <v>3</v>
      </c>
      <c r="AU1195" s="37">
        <f>IF(最佳化斷筋點!V1195="","",最佳化斷筋點!V1195)</f>
        <v>3</v>
      </c>
      <c r="AV1195" s="37">
        <f>IF(最佳化斷筋點!W1195="","",最佳化斷筋點!W1195)</f>
        <v>3</v>
      </c>
      <c r="AW1195" s="37">
        <f>IF(最佳化斷筋點!X1195="","",最佳化斷筋點!X1195)</f>
        <v>3</v>
      </c>
      <c r="AZ1195" s="37">
        <v>4</v>
      </c>
      <c r="BA1195" s="37">
        <v>4</v>
      </c>
      <c r="BB1195" s="37">
        <v>4</v>
      </c>
      <c r="BC1195" s="37">
        <v>4</v>
      </c>
      <c r="BD1195" s="37">
        <v>4</v>
      </c>
      <c r="BE1195" s="37">
        <v>4</v>
      </c>
      <c r="BF1195" s="37">
        <v>3</v>
      </c>
      <c r="BG1195" s="37">
        <v>2</v>
      </c>
      <c r="BH1195" s="37">
        <v>2</v>
      </c>
      <c r="BI1195" s="37">
        <v>2</v>
      </c>
      <c r="BJ1195" s="37">
        <v>2</v>
      </c>
      <c r="BK1195" s="37">
        <v>2</v>
      </c>
      <c r="BL1195" s="37">
        <v>2</v>
      </c>
      <c r="BM1195" s="37">
        <v>2</v>
      </c>
      <c r="BN1195" s="37">
        <v>2</v>
      </c>
      <c r="BO1195" s="37">
        <v>3</v>
      </c>
      <c r="BP1195" s="37">
        <v>3</v>
      </c>
      <c r="BQ1195" s="37">
        <v>3</v>
      </c>
      <c r="BR1195" s="37">
        <v>3</v>
      </c>
      <c r="BS1195" s="37">
        <v>3</v>
      </c>
      <c r="BT1195" s="37">
        <v>3</v>
      </c>
    </row>
    <row r="1196" spans="5:72" x14ac:dyDescent="0.25">
      <c r="E1196" s="36"/>
      <c r="F1196" s="36">
        <f t="shared" si="379"/>
        <v>0</v>
      </c>
      <c r="G1196" s="36">
        <f t="shared" si="380"/>
        <v>0</v>
      </c>
      <c r="H1196" s="36">
        <f t="shared" si="381"/>
        <v>0</v>
      </c>
      <c r="I1196" s="36">
        <f t="shared" si="382"/>
        <v>0</v>
      </c>
      <c r="J1196" s="36">
        <f t="shared" si="383"/>
        <v>0</v>
      </c>
      <c r="K1196" s="36">
        <f t="shared" si="384"/>
        <v>0</v>
      </c>
      <c r="L1196" s="36">
        <f t="shared" si="385"/>
        <v>0</v>
      </c>
      <c r="M1196" s="36">
        <f t="shared" si="386"/>
        <v>0</v>
      </c>
      <c r="N1196" s="36">
        <f t="shared" si="387"/>
        <v>0</v>
      </c>
      <c r="O1196" s="36">
        <f t="shared" si="388"/>
        <v>0</v>
      </c>
      <c r="P1196" s="36">
        <f t="shared" si="389"/>
        <v>0</v>
      </c>
      <c r="Q1196" s="36">
        <f t="shared" si="390"/>
        <v>0</v>
      </c>
      <c r="R1196" s="36">
        <f t="shared" si="391"/>
        <v>0</v>
      </c>
      <c r="S1196" s="36">
        <f t="shared" si="392"/>
        <v>0</v>
      </c>
      <c r="T1196" s="36">
        <f t="shared" si="393"/>
        <v>0</v>
      </c>
      <c r="U1196" s="36">
        <f t="shared" si="394"/>
        <v>0</v>
      </c>
      <c r="V1196" s="36">
        <f t="shared" si="395"/>
        <v>0</v>
      </c>
      <c r="W1196" s="36">
        <f t="shared" si="396"/>
        <v>0</v>
      </c>
      <c r="X1196" s="36">
        <f t="shared" si="397"/>
        <v>0</v>
      </c>
      <c r="Y1196" s="36">
        <f t="shared" si="398"/>
        <v>0</v>
      </c>
      <c r="Z1196" s="36">
        <f t="shared" si="399"/>
        <v>0</v>
      </c>
      <c r="AB1196" s="36" t="str">
        <f>IF(最佳化斷筋點!C1196="","",最佳化斷筋點!C1196)</f>
        <v/>
      </c>
      <c r="AC1196" s="37" t="str">
        <f>IF(最佳化斷筋點!D1196="","",最佳化斷筋點!D1196)</f>
        <v/>
      </c>
      <c r="AD1196" s="37" t="str">
        <f>IF(最佳化斷筋點!E1196="","",最佳化斷筋點!E1196)</f>
        <v/>
      </c>
      <c r="AE1196" s="37" t="str">
        <f>IF(最佳化斷筋點!F1196="","",最佳化斷筋點!F1196)</f>
        <v/>
      </c>
      <c r="AF1196" s="37" t="str">
        <f>IF(最佳化斷筋點!G1196="","",最佳化斷筋點!G1196)</f>
        <v/>
      </c>
      <c r="AG1196" s="37" t="str">
        <f>IF(最佳化斷筋點!H1196="","",最佳化斷筋點!H1196)</f>
        <v/>
      </c>
      <c r="AH1196" s="37" t="str">
        <f>IF(最佳化斷筋點!I1196="","",最佳化斷筋點!I1196)</f>
        <v/>
      </c>
      <c r="AI1196" s="37" t="str">
        <f>IF(最佳化斷筋點!J1196="","",最佳化斷筋點!J1196)</f>
        <v/>
      </c>
      <c r="AJ1196" s="37" t="str">
        <f>IF(最佳化斷筋點!K1196="","",最佳化斷筋點!K1196)</f>
        <v/>
      </c>
      <c r="AK1196" s="37" t="str">
        <f>IF(最佳化斷筋點!L1196="","",最佳化斷筋點!L1196)</f>
        <v/>
      </c>
      <c r="AL1196" s="37" t="str">
        <f>IF(最佳化斷筋點!M1196="","",最佳化斷筋點!M1196)</f>
        <v/>
      </c>
      <c r="AM1196" s="37" t="str">
        <f>IF(最佳化斷筋點!N1196="","",最佳化斷筋點!N1196)</f>
        <v/>
      </c>
      <c r="AN1196" s="37" t="str">
        <f>IF(最佳化斷筋點!O1196="","",最佳化斷筋點!O1196)</f>
        <v/>
      </c>
      <c r="AO1196" s="37" t="str">
        <f>IF(最佳化斷筋點!P1196="","",最佳化斷筋點!P1196)</f>
        <v/>
      </c>
      <c r="AP1196" s="37" t="str">
        <f>IF(最佳化斷筋點!Q1196="","",最佳化斷筋點!Q1196)</f>
        <v/>
      </c>
      <c r="AQ1196" s="37" t="str">
        <f>IF(最佳化斷筋點!R1196="","",最佳化斷筋點!R1196)</f>
        <v/>
      </c>
      <c r="AR1196" s="37" t="str">
        <f>IF(最佳化斷筋點!S1196="","",最佳化斷筋點!S1196)</f>
        <v/>
      </c>
      <c r="AS1196" s="37" t="str">
        <f>IF(最佳化斷筋點!T1196="","",最佳化斷筋點!T1196)</f>
        <v/>
      </c>
      <c r="AT1196" s="37" t="str">
        <f>IF(最佳化斷筋點!U1196="","",最佳化斷筋點!U1196)</f>
        <v/>
      </c>
      <c r="AU1196" s="37" t="str">
        <f>IF(最佳化斷筋點!V1196="","",最佳化斷筋點!V1196)</f>
        <v/>
      </c>
      <c r="AV1196" s="37" t="str">
        <f>IF(最佳化斷筋點!W1196="","",最佳化斷筋點!W1196)</f>
        <v/>
      </c>
      <c r="AW1196" s="37" t="str">
        <f>IF(最佳化斷筋點!X1196="","",最佳化斷筋點!X1196)</f>
        <v/>
      </c>
      <c r="AZ1196" s="37" t="s">
        <v>197</v>
      </c>
      <c r="BA1196" s="37" t="s">
        <v>197</v>
      </c>
      <c r="BB1196" s="37" t="s">
        <v>197</v>
      </c>
      <c r="BC1196" s="37" t="s">
        <v>197</v>
      </c>
      <c r="BD1196" s="37" t="s">
        <v>197</v>
      </c>
      <c r="BE1196" s="37" t="s">
        <v>197</v>
      </c>
      <c r="BF1196" s="37" t="s">
        <v>197</v>
      </c>
      <c r="BG1196" s="37" t="s">
        <v>197</v>
      </c>
      <c r="BH1196" s="37" t="s">
        <v>197</v>
      </c>
      <c r="BI1196" s="37" t="s">
        <v>197</v>
      </c>
      <c r="BJ1196" s="37" t="s">
        <v>197</v>
      </c>
      <c r="BK1196" s="37" t="s">
        <v>197</v>
      </c>
      <c r="BL1196" s="37" t="s">
        <v>197</v>
      </c>
      <c r="BM1196" s="37" t="s">
        <v>197</v>
      </c>
      <c r="BN1196" s="37" t="s">
        <v>197</v>
      </c>
      <c r="BO1196" s="37" t="s">
        <v>197</v>
      </c>
      <c r="BP1196" s="37" t="s">
        <v>197</v>
      </c>
      <c r="BQ1196" s="37" t="s">
        <v>197</v>
      </c>
      <c r="BR1196" s="37" t="s">
        <v>197</v>
      </c>
      <c r="BS1196" s="37" t="s">
        <v>197</v>
      </c>
      <c r="BT1196" s="37" t="s">
        <v>197</v>
      </c>
    </row>
    <row r="1197" spans="5:72" x14ac:dyDescent="0.25">
      <c r="E1197" s="36" t="s">
        <v>21</v>
      </c>
      <c r="F1197" s="36">
        <f t="shared" si="379"/>
        <v>0</v>
      </c>
      <c r="G1197" s="36">
        <f t="shared" si="380"/>
        <v>0</v>
      </c>
      <c r="H1197" s="36">
        <f t="shared" si="381"/>
        <v>0</v>
      </c>
      <c r="I1197" s="36">
        <f t="shared" si="382"/>
        <v>0</v>
      </c>
      <c r="J1197" s="36">
        <f t="shared" si="383"/>
        <v>0</v>
      </c>
      <c r="K1197" s="36">
        <f t="shared" si="384"/>
        <v>0</v>
      </c>
      <c r="L1197" s="36">
        <f t="shared" si="385"/>
        <v>0</v>
      </c>
      <c r="M1197" s="36">
        <f t="shared" si="386"/>
        <v>0</v>
      </c>
      <c r="N1197" s="36">
        <f t="shared" si="387"/>
        <v>0</v>
      </c>
      <c r="O1197" s="36">
        <f t="shared" si="388"/>
        <v>0</v>
      </c>
      <c r="P1197" s="36">
        <f t="shared" si="389"/>
        <v>0</v>
      </c>
      <c r="Q1197" s="36">
        <f t="shared" si="390"/>
        <v>0</v>
      </c>
      <c r="R1197" s="36">
        <f t="shared" si="391"/>
        <v>0</v>
      </c>
      <c r="S1197" s="36">
        <f t="shared" si="392"/>
        <v>0</v>
      </c>
      <c r="T1197" s="36">
        <f t="shared" si="393"/>
        <v>0</v>
      </c>
      <c r="U1197" s="36">
        <f t="shared" si="394"/>
        <v>0</v>
      </c>
      <c r="V1197" s="36">
        <f t="shared" si="395"/>
        <v>0</v>
      </c>
      <c r="W1197" s="36">
        <f t="shared" si="396"/>
        <v>0</v>
      </c>
      <c r="X1197" s="36">
        <f t="shared" si="397"/>
        <v>0</v>
      </c>
      <c r="Y1197" s="36">
        <f t="shared" si="398"/>
        <v>0</v>
      </c>
      <c r="Z1197" s="36">
        <f t="shared" si="399"/>
        <v>0</v>
      </c>
      <c r="AB1197" s="36" t="str">
        <f>IF(最佳化斷筋點!C1197="","",最佳化斷筋點!C1197)</f>
        <v>下層</v>
      </c>
      <c r="AC1197" s="37">
        <f>IF(最佳化斷筋點!D1197="","",最佳化斷筋點!D1197)</f>
        <v>2</v>
      </c>
      <c r="AD1197" s="37">
        <f>IF(最佳化斷筋點!E1197="","",最佳化斷筋點!E1197)</f>
        <v>2</v>
      </c>
      <c r="AE1197" s="37">
        <f>IF(最佳化斷筋點!F1197="","",最佳化斷筋點!F1197)</f>
        <v>2</v>
      </c>
      <c r="AF1197" s="37">
        <f>IF(最佳化斷筋點!G1197="","",最佳化斷筋點!G1197)</f>
        <v>2</v>
      </c>
      <c r="AG1197" s="37">
        <f>IF(最佳化斷筋點!H1197="","",最佳化斷筋點!H1197)</f>
        <v>4</v>
      </c>
      <c r="AH1197" s="37">
        <f>IF(最佳化斷筋點!I1197="","",最佳化斷筋點!I1197)</f>
        <v>4</v>
      </c>
      <c r="AI1197" s="37">
        <f>IF(最佳化斷筋點!J1197="","",最佳化斷筋點!J1197)</f>
        <v>4</v>
      </c>
      <c r="AJ1197" s="37">
        <f>IF(最佳化斷筋點!K1197="","",最佳化斷筋點!K1197)</f>
        <v>4</v>
      </c>
      <c r="AK1197" s="37">
        <f>IF(最佳化斷筋點!L1197="","",最佳化斷筋點!L1197)</f>
        <v>4</v>
      </c>
      <c r="AL1197" s="37">
        <f>IF(最佳化斷筋點!M1197="","",最佳化斷筋點!M1197)</f>
        <v>4</v>
      </c>
      <c r="AM1197" s="37">
        <f>IF(最佳化斷筋點!N1197="","",最佳化斷筋點!N1197)</f>
        <v>4</v>
      </c>
      <c r="AN1197" s="37">
        <f>IF(最佳化斷筋點!O1197="","",最佳化斷筋點!O1197)</f>
        <v>4</v>
      </c>
      <c r="AO1197" s="37">
        <f>IF(最佳化斷筋點!P1197="","",最佳化斷筋點!P1197)</f>
        <v>4</v>
      </c>
      <c r="AP1197" s="37">
        <f>IF(最佳化斷筋點!Q1197="","",最佳化斷筋點!Q1197)</f>
        <v>4</v>
      </c>
      <c r="AQ1197" s="37">
        <f>IF(最佳化斷筋點!R1197="","",最佳化斷筋點!R1197)</f>
        <v>4</v>
      </c>
      <c r="AR1197" s="37">
        <f>IF(最佳化斷筋點!S1197="","",最佳化斷筋點!S1197)</f>
        <v>4</v>
      </c>
      <c r="AS1197" s="37">
        <f>IF(最佳化斷筋點!T1197="","",最佳化斷筋點!T1197)</f>
        <v>4</v>
      </c>
      <c r="AT1197" s="37">
        <f>IF(最佳化斷筋點!U1197="","",最佳化斷筋點!U1197)</f>
        <v>3</v>
      </c>
      <c r="AU1197" s="37">
        <f>IF(最佳化斷筋點!V1197="","",最佳化斷筋點!V1197)</f>
        <v>3</v>
      </c>
      <c r="AV1197" s="37">
        <f>IF(最佳化斷筋點!W1197="","",最佳化斷筋點!W1197)</f>
        <v>3</v>
      </c>
      <c r="AW1197" s="37">
        <f>IF(最佳化斷筋點!X1197="","",最佳化斷筋點!X1197)</f>
        <v>3</v>
      </c>
      <c r="AZ1197" s="37">
        <v>2</v>
      </c>
      <c r="BA1197" s="37">
        <v>2</v>
      </c>
      <c r="BB1197" s="37">
        <v>2</v>
      </c>
      <c r="BC1197" s="37">
        <v>2</v>
      </c>
      <c r="BD1197" s="37">
        <v>4</v>
      </c>
      <c r="BE1197" s="37">
        <v>4</v>
      </c>
      <c r="BF1197" s="37">
        <v>4</v>
      </c>
      <c r="BG1197" s="37">
        <v>4</v>
      </c>
      <c r="BH1197" s="37">
        <v>4</v>
      </c>
      <c r="BI1197" s="37">
        <v>4</v>
      </c>
      <c r="BJ1197" s="37">
        <v>4</v>
      </c>
      <c r="BK1197" s="37">
        <v>4</v>
      </c>
      <c r="BL1197" s="37">
        <v>4</v>
      </c>
      <c r="BM1197" s="37">
        <v>4</v>
      </c>
      <c r="BN1197" s="37">
        <v>4</v>
      </c>
      <c r="BO1197" s="37">
        <v>4</v>
      </c>
      <c r="BP1197" s="37">
        <v>4</v>
      </c>
      <c r="BQ1197" s="37">
        <v>3</v>
      </c>
      <c r="BR1197" s="37">
        <v>3</v>
      </c>
      <c r="BS1197" s="37">
        <v>3</v>
      </c>
      <c r="BT1197" s="37">
        <v>3</v>
      </c>
    </row>
    <row r="1198" spans="5:72" x14ac:dyDescent="0.25">
      <c r="E1198" s="36"/>
      <c r="F1198" s="36">
        <f t="shared" si="379"/>
        <v>0</v>
      </c>
      <c r="G1198" s="36">
        <f t="shared" si="380"/>
        <v>0</v>
      </c>
      <c r="H1198" s="36">
        <f t="shared" si="381"/>
        <v>0</v>
      </c>
      <c r="I1198" s="36">
        <f t="shared" si="382"/>
        <v>0</v>
      </c>
      <c r="J1198" s="36">
        <f t="shared" si="383"/>
        <v>0</v>
      </c>
      <c r="K1198" s="36">
        <f t="shared" si="384"/>
        <v>0</v>
      </c>
      <c r="L1198" s="36">
        <f t="shared" si="385"/>
        <v>0</v>
      </c>
      <c r="M1198" s="36">
        <f t="shared" si="386"/>
        <v>0</v>
      </c>
      <c r="N1198" s="36">
        <f t="shared" si="387"/>
        <v>0</v>
      </c>
      <c r="O1198" s="36">
        <f t="shared" si="388"/>
        <v>0</v>
      </c>
      <c r="P1198" s="36">
        <f t="shared" si="389"/>
        <v>0</v>
      </c>
      <c r="Q1198" s="36">
        <f t="shared" si="390"/>
        <v>0</v>
      </c>
      <c r="R1198" s="36">
        <f t="shared" si="391"/>
        <v>0</v>
      </c>
      <c r="S1198" s="36">
        <f t="shared" si="392"/>
        <v>0</v>
      </c>
      <c r="T1198" s="36">
        <f t="shared" si="393"/>
        <v>0</v>
      </c>
      <c r="U1198" s="36">
        <f t="shared" si="394"/>
        <v>0</v>
      </c>
      <c r="V1198" s="36">
        <f t="shared" si="395"/>
        <v>0</v>
      </c>
      <c r="W1198" s="36">
        <f t="shared" si="396"/>
        <v>0</v>
      </c>
      <c r="X1198" s="36">
        <f t="shared" si="397"/>
        <v>0</v>
      </c>
      <c r="Y1198" s="36">
        <f t="shared" si="398"/>
        <v>0</v>
      </c>
      <c r="Z1198" s="36">
        <f t="shared" si="399"/>
        <v>0</v>
      </c>
      <c r="AB1198" s="36" t="str">
        <f>IF(最佳化斷筋點!C1198="","",最佳化斷筋點!C1198)</f>
        <v/>
      </c>
      <c r="AC1198" s="37" t="str">
        <f>IF(最佳化斷筋點!D1198="","",最佳化斷筋點!D1198)</f>
        <v/>
      </c>
      <c r="AD1198" s="37" t="str">
        <f>IF(最佳化斷筋點!E1198="","",最佳化斷筋點!E1198)</f>
        <v/>
      </c>
      <c r="AE1198" s="37" t="str">
        <f>IF(最佳化斷筋點!F1198="","",最佳化斷筋點!F1198)</f>
        <v/>
      </c>
      <c r="AF1198" s="37" t="str">
        <f>IF(最佳化斷筋點!G1198="","",最佳化斷筋點!G1198)</f>
        <v/>
      </c>
      <c r="AG1198" s="37" t="str">
        <f>IF(最佳化斷筋點!H1198="","",最佳化斷筋點!H1198)</f>
        <v/>
      </c>
      <c r="AH1198" s="37" t="str">
        <f>IF(最佳化斷筋點!I1198="","",最佳化斷筋點!I1198)</f>
        <v/>
      </c>
      <c r="AI1198" s="37" t="str">
        <f>IF(最佳化斷筋點!J1198="","",最佳化斷筋點!J1198)</f>
        <v/>
      </c>
      <c r="AJ1198" s="37" t="str">
        <f>IF(最佳化斷筋點!K1198="","",最佳化斷筋點!K1198)</f>
        <v/>
      </c>
      <c r="AK1198" s="37" t="str">
        <f>IF(最佳化斷筋點!L1198="","",最佳化斷筋點!L1198)</f>
        <v/>
      </c>
      <c r="AL1198" s="37" t="str">
        <f>IF(最佳化斷筋點!M1198="","",最佳化斷筋點!M1198)</f>
        <v/>
      </c>
      <c r="AM1198" s="37" t="str">
        <f>IF(最佳化斷筋點!N1198="","",最佳化斷筋點!N1198)</f>
        <v/>
      </c>
      <c r="AN1198" s="37" t="str">
        <f>IF(最佳化斷筋點!O1198="","",最佳化斷筋點!O1198)</f>
        <v/>
      </c>
      <c r="AO1198" s="37" t="str">
        <f>IF(最佳化斷筋點!P1198="","",最佳化斷筋點!P1198)</f>
        <v/>
      </c>
      <c r="AP1198" s="37" t="str">
        <f>IF(最佳化斷筋點!Q1198="","",最佳化斷筋點!Q1198)</f>
        <v/>
      </c>
      <c r="AQ1198" s="37" t="str">
        <f>IF(最佳化斷筋點!R1198="","",最佳化斷筋點!R1198)</f>
        <v/>
      </c>
      <c r="AR1198" s="37" t="str">
        <f>IF(最佳化斷筋點!S1198="","",最佳化斷筋點!S1198)</f>
        <v/>
      </c>
      <c r="AS1198" s="37" t="str">
        <f>IF(最佳化斷筋點!T1198="","",最佳化斷筋點!T1198)</f>
        <v/>
      </c>
      <c r="AT1198" s="37" t="str">
        <f>IF(最佳化斷筋點!U1198="","",最佳化斷筋點!U1198)</f>
        <v/>
      </c>
      <c r="AU1198" s="37" t="str">
        <f>IF(最佳化斷筋點!V1198="","",最佳化斷筋點!V1198)</f>
        <v/>
      </c>
      <c r="AV1198" s="37" t="str">
        <f>IF(最佳化斷筋點!W1198="","",最佳化斷筋點!W1198)</f>
        <v/>
      </c>
      <c r="AW1198" s="37" t="str">
        <f>IF(最佳化斷筋點!X1198="","",最佳化斷筋點!X1198)</f>
        <v/>
      </c>
      <c r="AZ1198" s="37" t="s">
        <v>197</v>
      </c>
      <c r="BA1198" s="37" t="s">
        <v>197</v>
      </c>
      <c r="BB1198" s="37" t="s">
        <v>197</v>
      </c>
      <c r="BC1198" s="37" t="s">
        <v>197</v>
      </c>
      <c r="BD1198" s="37" t="s">
        <v>197</v>
      </c>
      <c r="BE1198" s="37" t="s">
        <v>197</v>
      </c>
      <c r="BF1198" s="37" t="s">
        <v>197</v>
      </c>
      <c r="BG1198" s="37" t="s">
        <v>197</v>
      </c>
      <c r="BH1198" s="37" t="s">
        <v>197</v>
      </c>
      <c r="BI1198" s="37" t="s">
        <v>197</v>
      </c>
      <c r="BJ1198" s="37" t="s">
        <v>197</v>
      </c>
      <c r="BK1198" s="37" t="s">
        <v>197</v>
      </c>
      <c r="BL1198" s="37" t="s">
        <v>197</v>
      </c>
      <c r="BM1198" s="37" t="s">
        <v>197</v>
      </c>
      <c r="BN1198" s="37" t="s">
        <v>197</v>
      </c>
      <c r="BO1198" s="37" t="s">
        <v>197</v>
      </c>
      <c r="BP1198" s="37" t="s">
        <v>197</v>
      </c>
      <c r="BQ1198" s="37" t="s">
        <v>197</v>
      </c>
      <c r="BR1198" s="37" t="s">
        <v>197</v>
      </c>
      <c r="BS1198" s="37" t="s">
        <v>197</v>
      </c>
      <c r="BT1198" s="37" t="s">
        <v>197</v>
      </c>
    </row>
    <row r="1199" spans="5:72" x14ac:dyDescent="0.25">
      <c r="E1199" s="36" t="s">
        <v>20</v>
      </c>
      <c r="F1199" s="36">
        <f t="shared" si="379"/>
        <v>0</v>
      </c>
      <c r="G1199" s="36">
        <f t="shared" si="380"/>
        <v>0</v>
      </c>
      <c r="H1199" s="36">
        <f t="shared" si="381"/>
        <v>0</v>
      </c>
      <c r="I1199" s="36">
        <f t="shared" si="382"/>
        <v>0</v>
      </c>
      <c r="J1199" s="36">
        <f t="shared" si="383"/>
        <v>0</v>
      </c>
      <c r="K1199" s="36">
        <f t="shared" si="384"/>
        <v>0</v>
      </c>
      <c r="L1199" s="36">
        <f t="shared" si="385"/>
        <v>0</v>
      </c>
      <c r="M1199" s="36">
        <f t="shared" si="386"/>
        <v>0</v>
      </c>
      <c r="N1199" s="36">
        <f t="shared" si="387"/>
        <v>0</v>
      </c>
      <c r="O1199" s="36">
        <f t="shared" si="388"/>
        <v>0</v>
      </c>
      <c r="P1199" s="36">
        <f t="shared" si="389"/>
        <v>0</v>
      </c>
      <c r="Q1199" s="36">
        <f t="shared" si="390"/>
        <v>0</v>
      </c>
      <c r="R1199" s="36">
        <f t="shared" si="391"/>
        <v>0</v>
      </c>
      <c r="S1199" s="36">
        <f t="shared" si="392"/>
        <v>0</v>
      </c>
      <c r="T1199" s="36">
        <f t="shared" si="393"/>
        <v>0</v>
      </c>
      <c r="U1199" s="36">
        <f t="shared" si="394"/>
        <v>0</v>
      </c>
      <c r="V1199" s="36">
        <f t="shared" si="395"/>
        <v>0</v>
      </c>
      <c r="W1199" s="36">
        <f t="shared" si="396"/>
        <v>0</v>
      </c>
      <c r="X1199" s="36">
        <f t="shared" si="397"/>
        <v>0</v>
      </c>
      <c r="Y1199" s="36">
        <f t="shared" si="398"/>
        <v>0</v>
      </c>
      <c r="Z1199" s="36">
        <f t="shared" si="399"/>
        <v>0</v>
      </c>
      <c r="AB1199" s="36" t="str">
        <f>IF(最佳化斷筋點!C1199="","",最佳化斷筋點!C1199)</f>
        <v>上層</v>
      </c>
      <c r="AC1199" s="37">
        <f>IF(最佳化斷筋點!D1199="","",最佳化斷筋點!D1199)</f>
        <v>3</v>
      </c>
      <c r="AD1199" s="37">
        <f>IF(最佳化斷筋點!E1199="","",最佳化斷筋點!E1199)</f>
        <v>3</v>
      </c>
      <c r="AE1199" s="37">
        <f>IF(最佳化斷筋點!F1199="","",最佳化斷筋點!F1199)</f>
        <v>3</v>
      </c>
      <c r="AF1199" s="37">
        <f>IF(最佳化斷筋點!G1199="","",最佳化斷筋點!G1199)</f>
        <v>3</v>
      </c>
      <c r="AG1199" s="37">
        <f>IF(最佳化斷筋點!H1199="","",最佳化斷筋點!H1199)</f>
        <v>3</v>
      </c>
      <c r="AH1199" s="37">
        <f>IF(最佳化斷筋點!I1199="","",最佳化斷筋點!I1199)</f>
        <v>3</v>
      </c>
      <c r="AI1199" s="37">
        <f>IF(最佳化斷筋點!J1199="","",最佳化斷筋點!J1199)</f>
        <v>3</v>
      </c>
      <c r="AJ1199" s="37">
        <f>IF(最佳化斷筋點!K1199="","",最佳化斷筋點!K1199)</f>
        <v>2</v>
      </c>
      <c r="AK1199" s="37">
        <f>IF(最佳化斷筋點!L1199="","",最佳化斷筋點!L1199)</f>
        <v>2</v>
      </c>
      <c r="AL1199" s="37">
        <f>IF(最佳化斷筋點!M1199="","",最佳化斷筋點!M1199)</f>
        <v>2</v>
      </c>
      <c r="AM1199" s="37">
        <f>IF(最佳化斷筋點!N1199="","",最佳化斷筋點!N1199)</f>
        <v>2</v>
      </c>
      <c r="AN1199" s="37">
        <f>IF(最佳化斷筋點!O1199="","",最佳化斷筋點!O1199)</f>
        <v>2</v>
      </c>
      <c r="AO1199" s="37">
        <f>IF(最佳化斷筋點!P1199="","",最佳化斷筋點!P1199)</f>
        <v>2</v>
      </c>
      <c r="AP1199" s="37">
        <f>IF(最佳化斷筋點!Q1199="","",最佳化斷筋點!Q1199)</f>
        <v>2</v>
      </c>
      <c r="AQ1199" s="37">
        <f>IF(最佳化斷筋點!R1199="","",最佳化斷筋點!R1199)</f>
        <v>3</v>
      </c>
      <c r="AR1199" s="37">
        <f>IF(最佳化斷筋點!S1199="","",最佳化斷筋點!S1199)</f>
        <v>3</v>
      </c>
      <c r="AS1199" s="37">
        <f>IF(最佳化斷筋點!T1199="","",最佳化斷筋點!T1199)</f>
        <v>3</v>
      </c>
      <c r="AT1199" s="37">
        <f>IF(最佳化斷筋點!U1199="","",最佳化斷筋點!U1199)</f>
        <v>3</v>
      </c>
      <c r="AU1199" s="37">
        <f>IF(最佳化斷筋點!V1199="","",最佳化斷筋點!V1199)</f>
        <v>3</v>
      </c>
      <c r="AV1199" s="37">
        <f>IF(最佳化斷筋點!W1199="","",最佳化斷筋點!W1199)</f>
        <v>3</v>
      </c>
      <c r="AW1199" s="37">
        <f>IF(最佳化斷筋點!X1199="","",最佳化斷筋點!X1199)</f>
        <v>3</v>
      </c>
      <c r="AZ1199" s="37">
        <v>3</v>
      </c>
      <c r="BA1199" s="37">
        <v>3</v>
      </c>
      <c r="BB1199" s="37">
        <v>3</v>
      </c>
      <c r="BC1199" s="37">
        <v>3</v>
      </c>
      <c r="BD1199" s="37">
        <v>3</v>
      </c>
      <c r="BE1199" s="37">
        <v>3</v>
      </c>
      <c r="BF1199" s="37">
        <v>3</v>
      </c>
      <c r="BG1199" s="37">
        <v>2</v>
      </c>
      <c r="BH1199" s="37">
        <v>2</v>
      </c>
      <c r="BI1199" s="37">
        <v>2</v>
      </c>
      <c r="BJ1199" s="37">
        <v>2</v>
      </c>
      <c r="BK1199" s="37">
        <v>2</v>
      </c>
      <c r="BL1199" s="37">
        <v>2</v>
      </c>
      <c r="BM1199" s="37">
        <v>2</v>
      </c>
      <c r="BN1199" s="37">
        <v>3</v>
      </c>
      <c r="BO1199" s="37">
        <v>3</v>
      </c>
      <c r="BP1199" s="37">
        <v>3</v>
      </c>
      <c r="BQ1199" s="37">
        <v>3</v>
      </c>
      <c r="BR1199" s="37">
        <v>3</v>
      </c>
      <c r="BS1199" s="37">
        <v>3</v>
      </c>
      <c r="BT1199" s="37">
        <v>3</v>
      </c>
    </row>
    <row r="1200" spans="5:72" x14ac:dyDescent="0.25">
      <c r="E1200" s="36"/>
      <c r="F1200" s="36">
        <f t="shared" si="379"/>
        <v>0</v>
      </c>
      <c r="G1200" s="36">
        <f t="shared" si="380"/>
        <v>0</v>
      </c>
      <c r="H1200" s="36">
        <f t="shared" si="381"/>
        <v>0</v>
      </c>
      <c r="I1200" s="36">
        <f t="shared" si="382"/>
        <v>0</v>
      </c>
      <c r="J1200" s="36">
        <f t="shared" si="383"/>
        <v>0</v>
      </c>
      <c r="K1200" s="36">
        <f t="shared" si="384"/>
        <v>0</v>
      </c>
      <c r="L1200" s="36">
        <f t="shared" si="385"/>
        <v>0</v>
      </c>
      <c r="M1200" s="36">
        <f t="shared" si="386"/>
        <v>0</v>
      </c>
      <c r="N1200" s="36">
        <f t="shared" si="387"/>
        <v>0</v>
      </c>
      <c r="O1200" s="36">
        <f t="shared" si="388"/>
        <v>0</v>
      </c>
      <c r="P1200" s="36">
        <f t="shared" si="389"/>
        <v>0</v>
      </c>
      <c r="Q1200" s="36">
        <f t="shared" si="390"/>
        <v>0</v>
      </c>
      <c r="R1200" s="36">
        <f t="shared" si="391"/>
        <v>0</v>
      </c>
      <c r="S1200" s="36">
        <f t="shared" si="392"/>
        <v>0</v>
      </c>
      <c r="T1200" s="36">
        <f t="shared" si="393"/>
        <v>0</v>
      </c>
      <c r="U1200" s="36">
        <f t="shared" si="394"/>
        <v>0</v>
      </c>
      <c r="V1200" s="36">
        <f t="shared" si="395"/>
        <v>0</v>
      </c>
      <c r="W1200" s="36">
        <f t="shared" si="396"/>
        <v>0</v>
      </c>
      <c r="X1200" s="36">
        <f t="shared" si="397"/>
        <v>0</v>
      </c>
      <c r="Y1200" s="36">
        <f t="shared" si="398"/>
        <v>0</v>
      </c>
      <c r="Z1200" s="36">
        <f t="shared" si="399"/>
        <v>0</v>
      </c>
      <c r="AB1200" s="36" t="str">
        <f>IF(最佳化斷筋點!C1200="","",最佳化斷筋點!C1200)</f>
        <v/>
      </c>
      <c r="AC1200" s="37" t="str">
        <f>IF(最佳化斷筋點!D1200="","",最佳化斷筋點!D1200)</f>
        <v/>
      </c>
      <c r="AD1200" s="37" t="str">
        <f>IF(最佳化斷筋點!E1200="","",最佳化斷筋點!E1200)</f>
        <v/>
      </c>
      <c r="AE1200" s="37" t="str">
        <f>IF(最佳化斷筋點!F1200="","",最佳化斷筋點!F1200)</f>
        <v/>
      </c>
      <c r="AF1200" s="37" t="str">
        <f>IF(最佳化斷筋點!G1200="","",最佳化斷筋點!G1200)</f>
        <v/>
      </c>
      <c r="AG1200" s="37" t="str">
        <f>IF(最佳化斷筋點!H1200="","",最佳化斷筋點!H1200)</f>
        <v/>
      </c>
      <c r="AH1200" s="37" t="str">
        <f>IF(最佳化斷筋點!I1200="","",最佳化斷筋點!I1200)</f>
        <v/>
      </c>
      <c r="AI1200" s="37" t="str">
        <f>IF(最佳化斷筋點!J1200="","",最佳化斷筋點!J1200)</f>
        <v/>
      </c>
      <c r="AJ1200" s="37" t="str">
        <f>IF(最佳化斷筋點!K1200="","",最佳化斷筋點!K1200)</f>
        <v/>
      </c>
      <c r="AK1200" s="37" t="str">
        <f>IF(最佳化斷筋點!L1200="","",最佳化斷筋點!L1200)</f>
        <v/>
      </c>
      <c r="AL1200" s="37" t="str">
        <f>IF(最佳化斷筋點!M1200="","",最佳化斷筋點!M1200)</f>
        <v/>
      </c>
      <c r="AM1200" s="37" t="str">
        <f>IF(最佳化斷筋點!N1200="","",最佳化斷筋點!N1200)</f>
        <v/>
      </c>
      <c r="AN1200" s="37" t="str">
        <f>IF(最佳化斷筋點!O1200="","",最佳化斷筋點!O1200)</f>
        <v/>
      </c>
      <c r="AO1200" s="37" t="str">
        <f>IF(最佳化斷筋點!P1200="","",最佳化斷筋點!P1200)</f>
        <v/>
      </c>
      <c r="AP1200" s="37" t="str">
        <f>IF(最佳化斷筋點!Q1200="","",最佳化斷筋點!Q1200)</f>
        <v/>
      </c>
      <c r="AQ1200" s="37" t="str">
        <f>IF(最佳化斷筋點!R1200="","",最佳化斷筋點!R1200)</f>
        <v/>
      </c>
      <c r="AR1200" s="37" t="str">
        <f>IF(最佳化斷筋點!S1200="","",最佳化斷筋點!S1200)</f>
        <v/>
      </c>
      <c r="AS1200" s="37" t="str">
        <f>IF(最佳化斷筋點!T1200="","",最佳化斷筋點!T1200)</f>
        <v/>
      </c>
      <c r="AT1200" s="37" t="str">
        <f>IF(最佳化斷筋點!U1200="","",最佳化斷筋點!U1200)</f>
        <v/>
      </c>
      <c r="AU1200" s="37" t="str">
        <f>IF(最佳化斷筋點!V1200="","",最佳化斷筋點!V1200)</f>
        <v/>
      </c>
      <c r="AV1200" s="37" t="str">
        <f>IF(最佳化斷筋點!W1200="","",最佳化斷筋點!W1200)</f>
        <v/>
      </c>
      <c r="AW1200" s="37" t="str">
        <f>IF(最佳化斷筋點!X1200="","",最佳化斷筋點!X1200)</f>
        <v/>
      </c>
      <c r="AZ1200" s="37" t="s">
        <v>197</v>
      </c>
      <c r="BA1200" s="37" t="s">
        <v>197</v>
      </c>
      <c r="BB1200" s="37" t="s">
        <v>197</v>
      </c>
      <c r="BC1200" s="37" t="s">
        <v>197</v>
      </c>
      <c r="BD1200" s="37" t="s">
        <v>197</v>
      </c>
      <c r="BE1200" s="37" t="s">
        <v>197</v>
      </c>
      <c r="BF1200" s="37" t="s">
        <v>197</v>
      </c>
      <c r="BG1200" s="37" t="s">
        <v>197</v>
      </c>
      <c r="BH1200" s="37" t="s">
        <v>197</v>
      </c>
      <c r="BI1200" s="37" t="s">
        <v>197</v>
      </c>
      <c r="BJ1200" s="37" t="s">
        <v>197</v>
      </c>
      <c r="BK1200" s="37" t="s">
        <v>197</v>
      </c>
      <c r="BL1200" s="37" t="s">
        <v>197</v>
      </c>
      <c r="BM1200" s="37" t="s">
        <v>197</v>
      </c>
      <c r="BN1200" s="37" t="s">
        <v>197</v>
      </c>
      <c r="BO1200" s="37" t="s">
        <v>197</v>
      </c>
      <c r="BP1200" s="37" t="s">
        <v>197</v>
      </c>
      <c r="BQ1200" s="37" t="s">
        <v>197</v>
      </c>
      <c r="BR1200" s="37" t="s">
        <v>197</v>
      </c>
      <c r="BS1200" s="37" t="s">
        <v>197</v>
      </c>
      <c r="BT1200" s="37" t="s">
        <v>197</v>
      </c>
    </row>
    <row r="1201" spans="5:72" x14ac:dyDescent="0.25">
      <c r="E1201" s="36" t="s">
        <v>21</v>
      </c>
      <c r="F1201" s="36">
        <f t="shared" si="379"/>
        <v>0</v>
      </c>
      <c r="G1201" s="36">
        <f t="shared" si="380"/>
        <v>0</v>
      </c>
      <c r="H1201" s="36">
        <f t="shared" si="381"/>
        <v>0</v>
      </c>
      <c r="I1201" s="36">
        <f t="shared" si="382"/>
        <v>0</v>
      </c>
      <c r="J1201" s="36">
        <f t="shared" si="383"/>
        <v>0</v>
      </c>
      <c r="K1201" s="36">
        <f t="shared" si="384"/>
        <v>0</v>
      </c>
      <c r="L1201" s="36">
        <f t="shared" si="385"/>
        <v>0</v>
      </c>
      <c r="M1201" s="36">
        <f t="shared" si="386"/>
        <v>0</v>
      </c>
      <c r="N1201" s="36">
        <f t="shared" si="387"/>
        <v>0</v>
      </c>
      <c r="O1201" s="36">
        <f t="shared" si="388"/>
        <v>0</v>
      </c>
      <c r="P1201" s="36">
        <f t="shared" si="389"/>
        <v>0</v>
      </c>
      <c r="Q1201" s="36">
        <f t="shared" si="390"/>
        <v>0</v>
      </c>
      <c r="R1201" s="36">
        <f t="shared" si="391"/>
        <v>0</v>
      </c>
      <c r="S1201" s="36">
        <f t="shared" si="392"/>
        <v>0</v>
      </c>
      <c r="T1201" s="36">
        <f t="shared" si="393"/>
        <v>0</v>
      </c>
      <c r="U1201" s="36">
        <f t="shared" si="394"/>
        <v>0</v>
      </c>
      <c r="V1201" s="36">
        <f t="shared" si="395"/>
        <v>0</v>
      </c>
      <c r="W1201" s="36">
        <f t="shared" si="396"/>
        <v>0</v>
      </c>
      <c r="X1201" s="36">
        <f t="shared" si="397"/>
        <v>0</v>
      </c>
      <c r="Y1201" s="36">
        <f t="shared" si="398"/>
        <v>0</v>
      </c>
      <c r="Z1201" s="36">
        <f t="shared" si="399"/>
        <v>0</v>
      </c>
      <c r="AB1201" s="36" t="str">
        <f>IF(最佳化斷筋點!C1201="","",最佳化斷筋點!C1201)</f>
        <v>下層</v>
      </c>
      <c r="AC1201" s="37">
        <f>IF(最佳化斷筋點!D1201="","",最佳化斷筋點!D1201)</f>
        <v>2</v>
      </c>
      <c r="AD1201" s="37">
        <f>IF(最佳化斷筋點!E1201="","",最佳化斷筋點!E1201)</f>
        <v>2</v>
      </c>
      <c r="AE1201" s="37">
        <f>IF(最佳化斷筋點!F1201="","",最佳化斷筋點!F1201)</f>
        <v>2</v>
      </c>
      <c r="AF1201" s="37">
        <f>IF(最佳化斷筋點!G1201="","",最佳化斷筋點!G1201)</f>
        <v>2</v>
      </c>
      <c r="AG1201" s="37">
        <f>IF(最佳化斷筋點!H1201="","",最佳化斷筋點!H1201)</f>
        <v>3</v>
      </c>
      <c r="AH1201" s="37">
        <f>IF(最佳化斷筋點!I1201="","",最佳化斷筋點!I1201)</f>
        <v>3</v>
      </c>
      <c r="AI1201" s="37">
        <f>IF(最佳化斷筋點!J1201="","",最佳化斷筋點!J1201)</f>
        <v>3</v>
      </c>
      <c r="AJ1201" s="37">
        <f>IF(最佳化斷筋點!K1201="","",最佳化斷筋點!K1201)</f>
        <v>3</v>
      </c>
      <c r="AK1201" s="37">
        <f>IF(最佳化斷筋點!L1201="","",最佳化斷筋點!L1201)</f>
        <v>3</v>
      </c>
      <c r="AL1201" s="37">
        <f>IF(最佳化斷筋點!M1201="","",最佳化斷筋點!M1201)</f>
        <v>3</v>
      </c>
      <c r="AM1201" s="37">
        <f>IF(最佳化斷筋點!N1201="","",最佳化斷筋點!N1201)</f>
        <v>3</v>
      </c>
      <c r="AN1201" s="37">
        <f>IF(最佳化斷筋點!O1201="","",最佳化斷筋點!O1201)</f>
        <v>3</v>
      </c>
      <c r="AO1201" s="37">
        <f>IF(最佳化斷筋點!P1201="","",最佳化斷筋點!P1201)</f>
        <v>3</v>
      </c>
      <c r="AP1201" s="37">
        <f>IF(最佳化斷筋點!Q1201="","",最佳化斷筋點!Q1201)</f>
        <v>3</v>
      </c>
      <c r="AQ1201" s="37">
        <f>IF(最佳化斷筋點!R1201="","",最佳化斷筋點!R1201)</f>
        <v>3</v>
      </c>
      <c r="AR1201" s="37">
        <f>IF(最佳化斷筋點!S1201="","",最佳化斷筋點!S1201)</f>
        <v>3</v>
      </c>
      <c r="AS1201" s="37">
        <f>IF(最佳化斷筋點!T1201="","",最佳化斷筋點!T1201)</f>
        <v>3</v>
      </c>
      <c r="AT1201" s="37">
        <f>IF(最佳化斷筋點!U1201="","",最佳化斷筋點!U1201)</f>
        <v>2</v>
      </c>
      <c r="AU1201" s="37">
        <f>IF(最佳化斷筋點!V1201="","",最佳化斷筋點!V1201)</f>
        <v>2</v>
      </c>
      <c r="AV1201" s="37">
        <f>IF(最佳化斷筋點!W1201="","",最佳化斷筋點!W1201)</f>
        <v>2</v>
      </c>
      <c r="AW1201" s="37">
        <f>IF(最佳化斷筋點!X1201="","",最佳化斷筋點!X1201)</f>
        <v>2</v>
      </c>
      <c r="AZ1201" s="37">
        <v>2</v>
      </c>
      <c r="BA1201" s="37">
        <v>2</v>
      </c>
      <c r="BB1201" s="37">
        <v>2</v>
      </c>
      <c r="BC1201" s="37">
        <v>2</v>
      </c>
      <c r="BD1201" s="37">
        <v>3</v>
      </c>
      <c r="BE1201" s="37">
        <v>3</v>
      </c>
      <c r="BF1201" s="37">
        <v>3</v>
      </c>
      <c r="BG1201" s="37">
        <v>3</v>
      </c>
      <c r="BH1201" s="37">
        <v>3</v>
      </c>
      <c r="BI1201" s="37">
        <v>3</v>
      </c>
      <c r="BJ1201" s="37">
        <v>3</v>
      </c>
      <c r="BK1201" s="37">
        <v>3</v>
      </c>
      <c r="BL1201" s="37">
        <v>3</v>
      </c>
      <c r="BM1201" s="37">
        <v>3</v>
      </c>
      <c r="BN1201" s="37">
        <v>3</v>
      </c>
      <c r="BO1201" s="37">
        <v>3</v>
      </c>
      <c r="BP1201" s="37">
        <v>3</v>
      </c>
      <c r="BQ1201" s="37">
        <v>2</v>
      </c>
      <c r="BR1201" s="37">
        <v>2</v>
      </c>
      <c r="BS1201" s="37">
        <v>2</v>
      </c>
      <c r="BT1201" s="37">
        <v>2</v>
      </c>
    </row>
    <row r="1202" spans="5:72" x14ac:dyDescent="0.25">
      <c r="E1202" s="36"/>
      <c r="F1202" s="36">
        <f t="shared" si="379"/>
        <v>0</v>
      </c>
      <c r="G1202" s="36">
        <f t="shared" si="380"/>
        <v>0</v>
      </c>
      <c r="H1202" s="36">
        <f t="shared" si="381"/>
        <v>0</v>
      </c>
      <c r="I1202" s="36">
        <f t="shared" si="382"/>
        <v>0</v>
      </c>
      <c r="J1202" s="36">
        <f t="shared" si="383"/>
        <v>0</v>
      </c>
      <c r="K1202" s="36">
        <f t="shared" si="384"/>
        <v>0</v>
      </c>
      <c r="L1202" s="36">
        <f t="shared" si="385"/>
        <v>0</v>
      </c>
      <c r="M1202" s="36">
        <f t="shared" si="386"/>
        <v>0</v>
      </c>
      <c r="N1202" s="36">
        <f t="shared" si="387"/>
        <v>0</v>
      </c>
      <c r="O1202" s="36">
        <f t="shared" si="388"/>
        <v>0</v>
      </c>
      <c r="P1202" s="36">
        <f t="shared" si="389"/>
        <v>0</v>
      </c>
      <c r="Q1202" s="36">
        <f t="shared" si="390"/>
        <v>0</v>
      </c>
      <c r="R1202" s="36">
        <f t="shared" si="391"/>
        <v>0</v>
      </c>
      <c r="S1202" s="36">
        <f t="shared" si="392"/>
        <v>0</v>
      </c>
      <c r="T1202" s="36">
        <f t="shared" si="393"/>
        <v>0</v>
      </c>
      <c r="U1202" s="36">
        <f t="shared" si="394"/>
        <v>0</v>
      </c>
      <c r="V1202" s="36">
        <f t="shared" si="395"/>
        <v>0</v>
      </c>
      <c r="W1202" s="36">
        <f t="shared" si="396"/>
        <v>0</v>
      </c>
      <c r="X1202" s="36">
        <f t="shared" si="397"/>
        <v>0</v>
      </c>
      <c r="Y1202" s="36">
        <f t="shared" si="398"/>
        <v>0</v>
      </c>
      <c r="Z1202" s="36">
        <f t="shared" si="399"/>
        <v>0</v>
      </c>
      <c r="AB1202" s="36" t="str">
        <f>IF(最佳化斷筋點!C1202="","",最佳化斷筋點!C1202)</f>
        <v/>
      </c>
      <c r="AC1202" s="37" t="str">
        <f>IF(最佳化斷筋點!D1202="","",最佳化斷筋點!D1202)</f>
        <v/>
      </c>
      <c r="AD1202" s="37" t="str">
        <f>IF(最佳化斷筋點!E1202="","",最佳化斷筋點!E1202)</f>
        <v/>
      </c>
      <c r="AE1202" s="37" t="str">
        <f>IF(最佳化斷筋點!F1202="","",最佳化斷筋點!F1202)</f>
        <v/>
      </c>
      <c r="AF1202" s="37" t="str">
        <f>IF(最佳化斷筋點!G1202="","",最佳化斷筋點!G1202)</f>
        <v/>
      </c>
      <c r="AG1202" s="37" t="str">
        <f>IF(最佳化斷筋點!H1202="","",最佳化斷筋點!H1202)</f>
        <v/>
      </c>
      <c r="AH1202" s="37" t="str">
        <f>IF(最佳化斷筋點!I1202="","",最佳化斷筋點!I1202)</f>
        <v/>
      </c>
      <c r="AI1202" s="37" t="str">
        <f>IF(最佳化斷筋點!J1202="","",最佳化斷筋點!J1202)</f>
        <v/>
      </c>
      <c r="AJ1202" s="37" t="str">
        <f>IF(最佳化斷筋點!K1202="","",最佳化斷筋點!K1202)</f>
        <v/>
      </c>
      <c r="AK1202" s="37" t="str">
        <f>IF(最佳化斷筋點!L1202="","",最佳化斷筋點!L1202)</f>
        <v/>
      </c>
      <c r="AL1202" s="37" t="str">
        <f>IF(最佳化斷筋點!M1202="","",最佳化斷筋點!M1202)</f>
        <v/>
      </c>
      <c r="AM1202" s="37" t="str">
        <f>IF(最佳化斷筋點!N1202="","",最佳化斷筋點!N1202)</f>
        <v/>
      </c>
      <c r="AN1202" s="37" t="str">
        <f>IF(最佳化斷筋點!O1202="","",最佳化斷筋點!O1202)</f>
        <v/>
      </c>
      <c r="AO1202" s="37" t="str">
        <f>IF(最佳化斷筋點!P1202="","",最佳化斷筋點!P1202)</f>
        <v/>
      </c>
      <c r="AP1202" s="37" t="str">
        <f>IF(最佳化斷筋點!Q1202="","",最佳化斷筋點!Q1202)</f>
        <v/>
      </c>
      <c r="AQ1202" s="37" t="str">
        <f>IF(最佳化斷筋點!R1202="","",最佳化斷筋點!R1202)</f>
        <v/>
      </c>
      <c r="AR1202" s="37" t="str">
        <f>IF(最佳化斷筋點!S1202="","",最佳化斷筋點!S1202)</f>
        <v/>
      </c>
      <c r="AS1202" s="37" t="str">
        <f>IF(最佳化斷筋點!T1202="","",最佳化斷筋點!T1202)</f>
        <v/>
      </c>
      <c r="AT1202" s="37" t="str">
        <f>IF(最佳化斷筋點!U1202="","",最佳化斷筋點!U1202)</f>
        <v/>
      </c>
      <c r="AU1202" s="37" t="str">
        <f>IF(最佳化斷筋點!V1202="","",最佳化斷筋點!V1202)</f>
        <v/>
      </c>
      <c r="AV1202" s="37" t="str">
        <f>IF(最佳化斷筋點!W1202="","",最佳化斷筋點!W1202)</f>
        <v/>
      </c>
      <c r="AW1202" s="37" t="str">
        <f>IF(最佳化斷筋點!X1202="","",最佳化斷筋點!X1202)</f>
        <v/>
      </c>
      <c r="AZ1202" s="37" t="s">
        <v>197</v>
      </c>
      <c r="BA1202" s="37" t="s">
        <v>197</v>
      </c>
      <c r="BB1202" s="37" t="s">
        <v>197</v>
      </c>
      <c r="BC1202" s="37" t="s">
        <v>197</v>
      </c>
      <c r="BD1202" s="37" t="s">
        <v>197</v>
      </c>
      <c r="BE1202" s="37" t="s">
        <v>197</v>
      </c>
      <c r="BF1202" s="37" t="s">
        <v>197</v>
      </c>
      <c r="BG1202" s="37" t="s">
        <v>197</v>
      </c>
      <c r="BH1202" s="37" t="s">
        <v>197</v>
      </c>
      <c r="BI1202" s="37" t="s">
        <v>197</v>
      </c>
      <c r="BJ1202" s="37" t="s">
        <v>197</v>
      </c>
      <c r="BK1202" s="37" t="s">
        <v>197</v>
      </c>
      <c r="BL1202" s="37" t="s">
        <v>197</v>
      </c>
      <c r="BM1202" s="37" t="s">
        <v>197</v>
      </c>
      <c r="BN1202" s="37" t="s">
        <v>197</v>
      </c>
      <c r="BO1202" s="37" t="s">
        <v>197</v>
      </c>
      <c r="BP1202" s="37" t="s">
        <v>197</v>
      </c>
      <c r="BQ1202" s="37" t="s">
        <v>197</v>
      </c>
      <c r="BR1202" s="37" t="s">
        <v>197</v>
      </c>
      <c r="BS1202" s="37" t="s">
        <v>197</v>
      </c>
      <c r="BT1202" s="37" t="s">
        <v>197</v>
      </c>
    </row>
    <row r="1203" spans="5:72" x14ac:dyDescent="0.25">
      <c r="E1203" s="36" t="s">
        <v>20</v>
      </c>
      <c r="F1203" s="36">
        <f t="shared" si="379"/>
        <v>0</v>
      </c>
      <c r="G1203" s="36">
        <f t="shared" si="380"/>
        <v>0</v>
      </c>
      <c r="H1203" s="36">
        <f t="shared" si="381"/>
        <v>0</v>
      </c>
      <c r="I1203" s="36">
        <f t="shared" si="382"/>
        <v>0</v>
      </c>
      <c r="J1203" s="36">
        <f t="shared" si="383"/>
        <v>0</v>
      </c>
      <c r="K1203" s="36">
        <f t="shared" si="384"/>
        <v>0</v>
      </c>
      <c r="L1203" s="36">
        <f t="shared" si="385"/>
        <v>0</v>
      </c>
      <c r="M1203" s="36">
        <f t="shared" si="386"/>
        <v>0</v>
      </c>
      <c r="N1203" s="36">
        <f t="shared" si="387"/>
        <v>0</v>
      </c>
      <c r="O1203" s="36">
        <f t="shared" si="388"/>
        <v>0</v>
      </c>
      <c r="P1203" s="36">
        <f t="shared" si="389"/>
        <v>0</v>
      </c>
      <c r="Q1203" s="36">
        <f t="shared" si="390"/>
        <v>0</v>
      </c>
      <c r="R1203" s="36">
        <f t="shared" si="391"/>
        <v>0</v>
      </c>
      <c r="S1203" s="36">
        <f t="shared" si="392"/>
        <v>0</v>
      </c>
      <c r="T1203" s="36">
        <f t="shared" si="393"/>
        <v>0</v>
      </c>
      <c r="U1203" s="36">
        <f t="shared" si="394"/>
        <v>0</v>
      </c>
      <c r="V1203" s="36">
        <f t="shared" si="395"/>
        <v>0</v>
      </c>
      <c r="W1203" s="36">
        <f t="shared" si="396"/>
        <v>0</v>
      </c>
      <c r="X1203" s="36">
        <f t="shared" si="397"/>
        <v>0</v>
      </c>
      <c r="Y1203" s="36">
        <f t="shared" si="398"/>
        <v>0</v>
      </c>
      <c r="Z1203" s="36">
        <f t="shared" si="399"/>
        <v>0</v>
      </c>
      <c r="AB1203" s="36" t="str">
        <f>IF(最佳化斷筋點!C1203="","",最佳化斷筋點!C1203)</f>
        <v>上層</v>
      </c>
      <c r="AC1203" s="37">
        <f>IF(最佳化斷筋點!D1203="","",最佳化斷筋點!D1203)</f>
        <v>5</v>
      </c>
      <c r="AD1203" s="37">
        <f>IF(最佳化斷筋點!E1203="","",最佳化斷筋點!E1203)</f>
        <v>5</v>
      </c>
      <c r="AE1203" s="37">
        <f>IF(最佳化斷筋點!F1203="","",最佳化斷筋點!F1203)</f>
        <v>5</v>
      </c>
      <c r="AF1203" s="37">
        <f>IF(最佳化斷筋點!G1203="","",最佳化斷筋點!G1203)</f>
        <v>5</v>
      </c>
      <c r="AG1203" s="37">
        <f>IF(最佳化斷筋點!H1203="","",最佳化斷筋點!H1203)</f>
        <v>5</v>
      </c>
      <c r="AH1203" s="37">
        <f>IF(最佳化斷筋點!I1203="","",最佳化斷筋點!I1203)</f>
        <v>5</v>
      </c>
      <c r="AI1203" s="37">
        <f>IF(最佳化斷筋點!J1203="","",最佳化斷筋點!J1203)</f>
        <v>4</v>
      </c>
      <c r="AJ1203" s="37">
        <f>IF(最佳化斷筋點!K1203="","",最佳化斷筋點!K1203)</f>
        <v>2</v>
      </c>
      <c r="AK1203" s="37">
        <f>IF(最佳化斷筋點!L1203="","",最佳化斷筋點!L1203)</f>
        <v>2</v>
      </c>
      <c r="AL1203" s="37">
        <f>IF(最佳化斷筋點!M1203="","",最佳化斷筋點!M1203)</f>
        <v>2</v>
      </c>
      <c r="AM1203" s="37">
        <f>IF(最佳化斷筋點!N1203="","",最佳化斷筋點!N1203)</f>
        <v>2</v>
      </c>
      <c r="AN1203" s="37">
        <f>IF(最佳化斷筋點!O1203="","",最佳化斷筋點!O1203)</f>
        <v>2</v>
      </c>
      <c r="AO1203" s="37">
        <f>IF(最佳化斷筋點!P1203="","",最佳化斷筋點!P1203)</f>
        <v>2</v>
      </c>
      <c r="AP1203" s="37">
        <f>IF(最佳化斷筋點!Q1203="","",最佳化斷筋點!Q1203)</f>
        <v>3</v>
      </c>
      <c r="AQ1203" s="37">
        <f>IF(最佳化斷筋點!R1203="","",最佳化斷筋點!R1203)</f>
        <v>3</v>
      </c>
      <c r="AR1203" s="37">
        <f>IF(最佳化斷筋點!S1203="","",最佳化斷筋點!S1203)</f>
        <v>3</v>
      </c>
      <c r="AS1203" s="37">
        <f>IF(最佳化斷筋點!T1203="","",最佳化斷筋點!T1203)</f>
        <v>4</v>
      </c>
      <c r="AT1203" s="37">
        <f>IF(最佳化斷筋點!U1203="","",最佳化斷筋點!U1203)</f>
        <v>4</v>
      </c>
      <c r="AU1203" s="37">
        <f>IF(最佳化斷筋點!V1203="","",最佳化斷筋點!V1203)</f>
        <v>4</v>
      </c>
      <c r="AV1203" s="37">
        <f>IF(最佳化斷筋點!W1203="","",最佳化斷筋點!W1203)</f>
        <v>4</v>
      </c>
      <c r="AW1203" s="37">
        <f>IF(最佳化斷筋點!X1203="","",最佳化斷筋點!X1203)</f>
        <v>4</v>
      </c>
      <c r="AZ1203" s="37">
        <v>5</v>
      </c>
      <c r="BA1203" s="37">
        <v>5</v>
      </c>
      <c r="BB1203" s="37">
        <v>5</v>
      </c>
      <c r="BC1203" s="37">
        <v>5</v>
      </c>
      <c r="BD1203" s="37">
        <v>5</v>
      </c>
      <c r="BE1203" s="37">
        <v>5</v>
      </c>
      <c r="BF1203" s="37">
        <v>4</v>
      </c>
      <c r="BG1203" s="37">
        <v>2</v>
      </c>
      <c r="BH1203" s="37">
        <v>2</v>
      </c>
      <c r="BI1203" s="37">
        <v>2</v>
      </c>
      <c r="BJ1203" s="37">
        <v>2</v>
      </c>
      <c r="BK1203" s="37">
        <v>2</v>
      </c>
      <c r="BL1203" s="37">
        <v>2</v>
      </c>
      <c r="BM1203" s="37">
        <v>3</v>
      </c>
      <c r="BN1203" s="37">
        <v>3</v>
      </c>
      <c r="BO1203" s="37">
        <v>3</v>
      </c>
      <c r="BP1203" s="37">
        <v>4</v>
      </c>
      <c r="BQ1203" s="37">
        <v>4</v>
      </c>
      <c r="BR1203" s="37">
        <v>4</v>
      </c>
      <c r="BS1203" s="37">
        <v>4</v>
      </c>
      <c r="BT1203" s="37">
        <v>4</v>
      </c>
    </row>
    <row r="1204" spans="5:72" x14ac:dyDescent="0.25">
      <c r="E1204" s="36"/>
      <c r="F1204" s="36">
        <f t="shared" si="379"/>
        <v>0</v>
      </c>
      <c r="G1204" s="36">
        <f t="shared" si="380"/>
        <v>0</v>
      </c>
      <c r="H1204" s="36">
        <f t="shared" si="381"/>
        <v>0</v>
      </c>
      <c r="I1204" s="36">
        <f t="shared" si="382"/>
        <v>0</v>
      </c>
      <c r="J1204" s="36">
        <f t="shared" si="383"/>
        <v>0</v>
      </c>
      <c r="K1204" s="36">
        <f t="shared" si="384"/>
        <v>0</v>
      </c>
      <c r="L1204" s="36">
        <f t="shared" si="385"/>
        <v>0</v>
      </c>
      <c r="M1204" s="36">
        <f t="shared" si="386"/>
        <v>0</v>
      </c>
      <c r="N1204" s="36">
        <f t="shared" si="387"/>
        <v>0</v>
      </c>
      <c r="O1204" s="36">
        <f t="shared" si="388"/>
        <v>0</v>
      </c>
      <c r="P1204" s="36">
        <f t="shared" si="389"/>
        <v>0</v>
      </c>
      <c r="Q1204" s="36">
        <f t="shared" si="390"/>
        <v>0</v>
      </c>
      <c r="R1204" s="36">
        <f t="shared" si="391"/>
        <v>0</v>
      </c>
      <c r="S1204" s="36">
        <f t="shared" si="392"/>
        <v>0</v>
      </c>
      <c r="T1204" s="36">
        <f t="shared" si="393"/>
        <v>0</v>
      </c>
      <c r="U1204" s="36">
        <f t="shared" si="394"/>
        <v>0</v>
      </c>
      <c r="V1204" s="36">
        <f t="shared" si="395"/>
        <v>0</v>
      </c>
      <c r="W1204" s="36">
        <f t="shared" si="396"/>
        <v>0</v>
      </c>
      <c r="X1204" s="36">
        <f t="shared" si="397"/>
        <v>0</v>
      </c>
      <c r="Y1204" s="36">
        <f t="shared" si="398"/>
        <v>0</v>
      </c>
      <c r="Z1204" s="36">
        <f t="shared" si="399"/>
        <v>0</v>
      </c>
      <c r="AB1204" s="36" t="str">
        <f>IF(最佳化斷筋點!C1204="","",最佳化斷筋點!C1204)</f>
        <v/>
      </c>
      <c r="AC1204" s="37" t="str">
        <f>IF(最佳化斷筋點!D1204="","",最佳化斷筋點!D1204)</f>
        <v/>
      </c>
      <c r="AD1204" s="37" t="str">
        <f>IF(最佳化斷筋點!E1204="","",最佳化斷筋點!E1204)</f>
        <v/>
      </c>
      <c r="AE1204" s="37" t="str">
        <f>IF(最佳化斷筋點!F1204="","",最佳化斷筋點!F1204)</f>
        <v/>
      </c>
      <c r="AF1204" s="37" t="str">
        <f>IF(最佳化斷筋點!G1204="","",最佳化斷筋點!G1204)</f>
        <v/>
      </c>
      <c r="AG1204" s="37" t="str">
        <f>IF(最佳化斷筋點!H1204="","",最佳化斷筋點!H1204)</f>
        <v/>
      </c>
      <c r="AH1204" s="37" t="str">
        <f>IF(最佳化斷筋點!I1204="","",最佳化斷筋點!I1204)</f>
        <v/>
      </c>
      <c r="AI1204" s="37" t="str">
        <f>IF(最佳化斷筋點!J1204="","",最佳化斷筋點!J1204)</f>
        <v/>
      </c>
      <c r="AJ1204" s="37" t="str">
        <f>IF(最佳化斷筋點!K1204="","",最佳化斷筋點!K1204)</f>
        <v/>
      </c>
      <c r="AK1204" s="37" t="str">
        <f>IF(最佳化斷筋點!L1204="","",最佳化斷筋點!L1204)</f>
        <v/>
      </c>
      <c r="AL1204" s="37" t="str">
        <f>IF(最佳化斷筋點!M1204="","",最佳化斷筋點!M1204)</f>
        <v/>
      </c>
      <c r="AM1204" s="37" t="str">
        <f>IF(最佳化斷筋點!N1204="","",最佳化斷筋點!N1204)</f>
        <v/>
      </c>
      <c r="AN1204" s="37" t="str">
        <f>IF(最佳化斷筋點!O1204="","",最佳化斷筋點!O1204)</f>
        <v/>
      </c>
      <c r="AO1204" s="37" t="str">
        <f>IF(最佳化斷筋點!P1204="","",最佳化斷筋點!P1204)</f>
        <v/>
      </c>
      <c r="AP1204" s="37" t="str">
        <f>IF(最佳化斷筋點!Q1204="","",最佳化斷筋點!Q1204)</f>
        <v/>
      </c>
      <c r="AQ1204" s="37" t="str">
        <f>IF(最佳化斷筋點!R1204="","",最佳化斷筋點!R1204)</f>
        <v/>
      </c>
      <c r="AR1204" s="37" t="str">
        <f>IF(最佳化斷筋點!S1204="","",最佳化斷筋點!S1204)</f>
        <v/>
      </c>
      <c r="AS1204" s="37" t="str">
        <f>IF(最佳化斷筋點!T1204="","",最佳化斷筋點!T1204)</f>
        <v/>
      </c>
      <c r="AT1204" s="37" t="str">
        <f>IF(最佳化斷筋點!U1204="","",最佳化斷筋點!U1204)</f>
        <v/>
      </c>
      <c r="AU1204" s="37" t="str">
        <f>IF(最佳化斷筋點!V1204="","",最佳化斷筋點!V1204)</f>
        <v/>
      </c>
      <c r="AV1204" s="37" t="str">
        <f>IF(最佳化斷筋點!W1204="","",最佳化斷筋點!W1204)</f>
        <v/>
      </c>
      <c r="AW1204" s="37" t="str">
        <f>IF(最佳化斷筋點!X1204="","",最佳化斷筋點!X1204)</f>
        <v/>
      </c>
      <c r="AZ1204" s="37" t="s">
        <v>197</v>
      </c>
      <c r="BA1204" s="37" t="s">
        <v>197</v>
      </c>
      <c r="BB1204" s="37" t="s">
        <v>197</v>
      </c>
      <c r="BC1204" s="37" t="s">
        <v>197</v>
      </c>
      <c r="BD1204" s="37" t="s">
        <v>197</v>
      </c>
      <c r="BE1204" s="37" t="s">
        <v>197</v>
      </c>
      <c r="BF1204" s="37" t="s">
        <v>197</v>
      </c>
      <c r="BG1204" s="37" t="s">
        <v>197</v>
      </c>
      <c r="BH1204" s="37" t="s">
        <v>197</v>
      </c>
      <c r="BI1204" s="37" t="s">
        <v>197</v>
      </c>
      <c r="BJ1204" s="37" t="s">
        <v>197</v>
      </c>
      <c r="BK1204" s="37" t="s">
        <v>197</v>
      </c>
      <c r="BL1204" s="37" t="s">
        <v>197</v>
      </c>
      <c r="BM1204" s="37" t="s">
        <v>197</v>
      </c>
      <c r="BN1204" s="37" t="s">
        <v>197</v>
      </c>
      <c r="BO1204" s="37" t="s">
        <v>197</v>
      </c>
      <c r="BP1204" s="37" t="s">
        <v>197</v>
      </c>
      <c r="BQ1204" s="37" t="s">
        <v>197</v>
      </c>
      <c r="BR1204" s="37" t="s">
        <v>197</v>
      </c>
      <c r="BS1204" s="37" t="s">
        <v>197</v>
      </c>
      <c r="BT1204" s="37" t="s">
        <v>197</v>
      </c>
    </row>
    <row r="1205" spans="5:72" x14ac:dyDescent="0.25">
      <c r="E1205" s="36" t="s">
        <v>21</v>
      </c>
      <c r="F1205" s="36">
        <f t="shared" si="379"/>
        <v>0</v>
      </c>
      <c r="G1205" s="36">
        <f t="shared" si="380"/>
        <v>0</v>
      </c>
      <c r="H1205" s="36">
        <f t="shared" si="381"/>
        <v>0</v>
      </c>
      <c r="I1205" s="36">
        <f t="shared" si="382"/>
        <v>0</v>
      </c>
      <c r="J1205" s="36">
        <f t="shared" si="383"/>
        <v>0</v>
      </c>
      <c r="K1205" s="36">
        <f t="shared" si="384"/>
        <v>0</v>
      </c>
      <c r="L1205" s="36">
        <f t="shared" si="385"/>
        <v>0</v>
      </c>
      <c r="M1205" s="36">
        <f t="shared" si="386"/>
        <v>0</v>
      </c>
      <c r="N1205" s="36">
        <f t="shared" si="387"/>
        <v>0</v>
      </c>
      <c r="O1205" s="36">
        <f t="shared" si="388"/>
        <v>0</v>
      </c>
      <c r="P1205" s="36">
        <f t="shared" si="389"/>
        <v>0</v>
      </c>
      <c r="Q1205" s="36">
        <f t="shared" si="390"/>
        <v>0</v>
      </c>
      <c r="R1205" s="36">
        <f t="shared" si="391"/>
        <v>0</v>
      </c>
      <c r="S1205" s="36">
        <f t="shared" si="392"/>
        <v>0</v>
      </c>
      <c r="T1205" s="36">
        <f t="shared" si="393"/>
        <v>0</v>
      </c>
      <c r="U1205" s="36">
        <f t="shared" si="394"/>
        <v>0</v>
      </c>
      <c r="V1205" s="36">
        <f t="shared" si="395"/>
        <v>0</v>
      </c>
      <c r="W1205" s="36">
        <f t="shared" si="396"/>
        <v>0</v>
      </c>
      <c r="X1205" s="36">
        <f t="shared" si="397"/>
        <v>0</v>
      </c>
      <c r="Y1205" s="36">
        <f t="shared" si="398"/>
        <v>0</v>
      </c>
      <c r="Z1205" s="36">
        <f t="shared" si="399"/>
        <v>0</v>
      </c>
      <c r="AB1205" s="36" t="str">
        <f>IF(最佳化斷筋點!C1205="","",最佳化斷筋點!C1205)</f>
        <v>下層</v>
      </c>
      <c r="AC1205" s="37">
        <f>IF(最佳化斷筋點!D1205="","",最佳化斷筋點!D1205)</f>
        <v>3</v>
      </c>
      <c r="AD1205" s="37">
        <f>IF(最佳化斷筋點!E1205="","",最佳化斷筋點!E1205)</f>
        <v>3</v>
      </c>
      <c r="AE1205" s="37">
        <f>IF(最佳化斷筋點!F1205="","",最佳化斷筋點!F1205)</f>
        <v>3</v>
      </c>
      <c r="AF1205" s="37">
        <f>IF(最佳化斷筋點!G1205="","",最佳化斷筋點!G1205)</f>
        <v>3</v>
      </c>
      <c r="AG1205" s="37">
        <f>IF(最佳化斷筋點!H1205="","",最佳化斷筋點!H1205)</f>
        <v>6</v>
      </c>
      <c r="AH1205" s="37">
        <f>IF(最佳化斷筋點!I1205="","",最佳化斷筋點!I1205)</f>
        <v>6</v>
      </c>
      <c r="AI1205" s="37">
        <f>IF(最佳化斷筋點!J1205="","",最佳化斷筋點!J1205)</f>
        <v>6</v>
      </c>
      <c r="AJ1205" s="37">
        <f>IF(最佳化斷筋點!K1205="","",最佳化斷筋點!K1205)</f>
        <v>6</v>
      </c>
      <c r="AK1205" s="37">
        <f>IF(最佳化斷筋點!L1205="","",最佳化斷筋點!L1205)</f>
        <v>6</v>
      </c>
      <c r="AL1205" s="37">
        <f>IF(最佳化斷筋點!M1205="","",最佳化斷筋點!M1205)</f>
        <v>6</v>
      </c>
      <c r="AM1205" s="37">
        <f>IF(最佳化斷筋點!N1205="","",最佳化斷筋點!N1205)</f>
        <v>6</v>
      </c>
      <c r="AN1205" s="37">
        <f>IF(最佳化斷筋點!O1205="","",最佳化斷筋點!O1205)</f>
        <v>6</v>
      </c>
      <c r="AO1205" s="37">
        <f>IF(最佳化斷筋點!P1205="","",最佳化斷筋點!P1205)</f>
        <v>6</v>
      </c>
      <c r="AP1205" s="37">
        <f>IF(最佳化斷筋點!Q1205="","",最佳化斷筋點!Q1205)</f>
        <v>6</v>
      </c>
      <c r="AQ1205" s="37">
        <f>IF(最佳化斷筋點!R1205="","",最佳化斷筋點!R1205)</f>
        <v>6</v>
      </c>
      <c r="AR1205" s="37">
        <f>IF(最佳化斷筋點!S1205="","",最佳化斷筋點!S1205)</f>
        <v>6</v>
      </c>
      <c r="AS1205" s="37">
        <f>IF(最佳化斷筋點!T1205="","",最佳化斷筋點!T1205)</f>
        <v>6</v>
      </c>
      <c r="AT1205" s="37">
        <f>IF(最佳化斷筋點!U1205="","",最佳化斷筋點!U1205)</f>
        <v>4</v>
      </c>
      <c r="AU1205" s="37">
        <f>IF(最佳化斷筋點!V1205="","",最佳化斷筋點!V1205)</f>
        <v>4</v>
      </c>
      <c r="AV1205" s="37">
        <f>IF(最佳化斷筋點!W1205="","",最佳化斷筋點!W1205)</f>
        <v>4</v>
      </c>
      <c r="AW1205" s="37">
        <f>IF(最佳化斷筋點!X1205="","",最佳化斷筋點!X1205)</f>
        <v>4</v>
      </c>
      <c r="AZ1205" s="37">
        <v>3</v>
      </c>
      <c r="BA1205" s="37">
        <v>3</v>
      </c>
      <c r="BB1205" s="37">
        <v>3</v>
      </c>
      <c r="BC1205" s="37">
        <v>3</v>
      </c>
      <c r="BD1205" s="37">
        <v>6</v>
      </c>
      <c r="BE1205" s="37">
        <v>6</v>
      </c>
      <c r="BF1205" s="37">
        <v>6</v>
      </c>
      <c r="BG1205" s="37">
        <v>6</v>
      </c>
      <c r="BH1205" s="37">
        <v>6</v>
      </c>
      <c r="BI1205" s="37">
        <v>6</v>
      </c>
      <c r="BJ1205" s="37">
        <v>6</v>
      </c>
      <c r="BK1205" s="37">
        <v>6</v>
      </c>
      <c r="BL1205" s="37">
        <v>6</v>
      </c>
      <c r="BM1205" s="37">
        <v>6</v>
      </c>
      <c r="BN1205" s="37">
        <v>6</v>
      </c>
      <c r="BO1205" s="37">
        <v>6</v>
      </c>
      <c r="BP1205" s="37">
        <v>6</v>
      </c>
      <c r="BQ1205" s="37">
        <v>4</v>
      </c>
      <c r="BR1205" s="37">
        <v>4</v>
      </c>
      <c r="BS1205" s="37">
        <v>4</v>
      </c>
      <c r="BT1205" s="37">
        <v>4</v>
      </c>
    </row>
    <row r="1206" spans="5:72" x14ac:dyDescent="0.25">
      <c r="E1206" s="36"/>
      <c r="F1206" s="36">
        <f t="shared" si="379"/>
        <v>0</v>
      </c>
      <c r="G1206" s="36">
        <f t="shared" si="380"/>
        <v>0</v>
      </c>
      <c r="H1206" s="36">
        <f t="shared" si="381"/>
        <v>0</v>
      </c>
      <c r="I1206" s="36">
        <f t="shared" si="382"/>
        <v>0</v>
      </c>
      <c r="J1206" s="36">
        <f t="shared" si="383"/>
        <v>0</v>
      </c>
      <c r="K1206" s="36">
        <f t="shared" si="384"/>
        <v>0</v>
      </c>
      <c r="L1206" s="36">
        <f t="shared" si="385"/>
        <v>0</v>
      </c>
      <c r="M1206" s="36">
        <f t="shared" si="386"/>
        <v>0</v>
      </c>
      <c r="N1206" s="36">
        <f t="shared" si="387"/>
        <v>0</v>
      </c>
      <c r="O1206" s="36">
        <f t="shared" si="388"/>
        <v>0</v>
      </c>
      <c r="P1206" s="36">
        <f t="shared" si="389"/>
        <v>0</v>
      </c>
      <c r="Q1206" s="36">
        <f t="shared" si="390"/>
        <v>0</v>
      </c>
      <c r="R1206" s="36">
        <f t="shared" si="391"/>
        <v>0</v>
      </c>
      <c r="S1206" s="36">
        <f t="shared" si="392"/>
        <v>0</v>
      </c>
      <c r="T1206" s="36">
        <f t="shared" si="393"/>
        <v>0</v>
      </c>
      <c r="U1206" s="36">
        <f t="shared" si="394"/>
        <v>0</v>
      </c>
      <c r="V1206" s="36">
        <f t="shared" si="395"/>
        <v>0</v>
      </c>
      <c r="W1206" s="36">
        <f t="shared" si="396"/>
        <v>0</v>
      </c>
      <c r="X1206" s="36">
        <f t="shared" si="397"/>
        <v>0</v>
      </c>
      <c r="Y1206" s="36">
        <f t="shared" si="398"/>
        <v>0</v>
      </c>
      <c r="Z1206" s="36">
        <f t="shared" si="399"/>
        <v>0</v>
      </c>
      <c r="AB1206" s="36" t="str">
        <f>IF(最佳化斷筋點!C1206="","",最佳化斷筋點!C1206)</f>
        <v/>
      </c>
      <c r="AC1206" s="37" t="str">
        <f>IF(最佳化斷筋點!D1206="","",最佳化斷筋點!D1206)</f>
        <v/>
      </c>
      <c r="AD1206" s="37" t="str">
        <f>IF(最佳化斷筋點!E1206="","",最佳化斷筋點!E1206)</f>
        <v/>
      </c>
      <c r="AE1206" s="37" t="str">
        <f>IF(最佳化斷筋點!F1206="","",最佳化斷筋點!F1206)</f>
        <v/>
      </c>
      <c r="AF1206" s="37" t="str">
        <f>IF(最佳化斷筋點!G1206="","",最佳化斷筋點!G1206)</f>
        <v/>
      </c>
      <c r="AG1206" s="37" t="str">
        <f>IF(最佳化斷筋點!H1206="","",最佳化斷筋點!H1206)</f>
        <v/>
      </c>
      <c r="AH1206" s="37" t="str">
        <f>IF(最佳化斷筋點!I1206="","",最佳化斷筋點!I1206)</f>
        <v/>
      </c>
      <c r="AI1206" s="37" t="str">
        <f>IF(最佳化斷筋點!J1206="","",最佳化斷筋點!J1206)</f>
        <v/>
      </c>
      <c r="AJ1206" s="37" t="str">
        <f>IF(最佳化斷筋點!K1206="","",最佳化斷筋點!K1206)</f>
        <v/>
      </c>
      <c r="AK1206" s="37" t="str">
        <f>IF(最佳化斷筋點!L1206="","",最佳化斷筋點!L1206)</f>
        <v/>
      </c>
      <c r="AL1206" s="37" t="str">
        <f>IF(最佳化斷筋點!M1206="","",最佳化斷筋點!M1206)</f>
        <v/>
      </c>
      <c r="AM1206" s="37" t="str">
        <f>IF(最佳化斷筋點!N1206="","",最佳化斷筋點!N1206)</f>
        <v/>
      </c>
      <c r="AN1206" s="37" t="str">
        <f>IF(最佳化斷筋點!O1206="","",最佳化斷筋點!O1206)</f>
        <v/>
      </c>
      <c r="AO1206" s="37" t="str">
        <f>IF(最佳化斷筋點!P1206="","",最佳化斷筋點!P1206)</f>
        <v/>
      </c>
      <c r="AP1206" s="37" t="str">
        <f>IF(最佳化斷筋點!Q1206="","",最佳化斷筋點!Q1206)</f>
        <v/>
      </c>
      <c r="AQ1206" s="37" t="str">
        <f>IF(最佳化斷筋點!R1206="","",最佳化斷筋點!R1206)</f>
        <v/>
      </c>
      <c r="AR1206" s="37" t="str">
        <f>IF(最佳化斷筋點!S1206="","",最佳化斷筋點!S1206)</f>
        <v/>
      </c>
      <c r="AS1206" s="37" t="str">
        <f>IF(最佳化斷筋點!T1206="","",最佳化斷筋點!T1206)</f>
        <v/>
      </c>
      <c r="AT1206" s="37" t="str">
        <f>IF(最佳化斷筋點!U1206="","",最佳化斷筋點!U1206)</f>
        <v/>
      </c>
      <c r="AU1206" s="37" t="str">
        <f>IF(最佳化斷筋點!V1206="","",最佳化斷筋點!V1206)</f>
        <v/>
      </c>
      <c r="AV1206" s="37" t="str">
        <f>IF(最佳化斷筋點!W1206="","",最佳化斷筋點!W1206)</f>
        <v/>
      </c>
      <c r="AW1206" s="37" t="str">
        <f>IF(最佳化斷筋點!X1206="","",最佳化斷筋點!X1206)</f>
        <v/>
      </c>
      <c r="AZ1206" s="37" t="s">
        <v>197</v>
      </c>
      <c r="BA1206" s="37" t="s">
        <v>197</v>
      </c>
      <c r="BB1206" s="37" t="s">
        <v>197</v>
      </c>
      <c r="BC1206" s="37" t="s">
        <v>197</v>
      </c>
      <c r="BD1206" s="37" t="s">
        <v>197</v>
      </c>
      <c r="BE1206" s="37" t="s">
        <v>197</v>
      </c>
      <c r="BF1206" s="37" t="s">
        <v>197</v>
      </c>
      <c r="BG1206" s="37" t="s">
        <v>197</v>
      </c>
      <c r="BH1206" s="37" t="s">
        <v>197</v>
      </c>
      <c r="BI1206" s="37" t="s">
        <v>197</v>
      </c>
      <c r="BJ1206" s="37" t="s">
        <v>197</v>
      </c>
      <c r="BK1206" s="37" t="s">
        <v>197</v>
      </c>
      <c r="BL1206" s="37" t="s">
        <v>197</v>
      </c>
      <c r="BM1206" s="37" t="s">
        <v>197</v>
      </c>
      <c r="BN1206" s="37" t="s">
        <v>197</v>
      </c>
      <c r="BO1206" s="37" t="s">
        <v>197</v>
      </c>
      <c r="BP1206" s="37" t="s">
        <v>197</v>
      </c>
      <c r="BQ1206" s="37" t="s">
        <v>197</v>
      </c>
      <c r="BR1206" s="37" t="s">
        <v>197</v>
      </c>
      <c r="BS1206" s="37" t="s">
        <v>197</v>
      </c>
      <c r="BT1206" s="37" t="s">
        <v>197</v>
      </c>
    </row>
    <row r="1207" spans="5:72" x14ac:dyDescent="0.25">
      <c r="E1207" s="36" t="s">
        <v>20</v>
      </c>
      <c r="F1207" s="36">
        <f t="shared" ref="F1207:F1261" si="400">IF(AC1207=AZ1207,0,1)</f>
        <v>0</v>
      </c>
      <c r="G1207" s="36">
        <f t="shared" ref="G1207:G1261" si="401">IF(AD1207=BA1207,0,1)</f>
        <v>0</v>
      </c>
      <c r="H1207" s="36">
        <f t="shared" ref="H1207:H1261" si="402">IF(AE1207=BB1207,0,1)</f>
        <v>0</v>
      </c>
      <c r="I1207" s="36">
        <f t="shared" ref="I1207:I1261" si="403">IF(AF1207=BC1207,0,1)</f>
        <v>0</v>
      </c>
      <c r="J1207" s="36">
        <f t="shared" ref="J1207:J1261" si="404">IF(AG1207=BD1207,0,1)</f>
        <v>0</v>
      </c>
      <c r="K1207" s="36">
        <f t="shared" ref="K1207:K1261" si="405">IF(AH1207=BE1207,0,1)</f>
        <v>0</v>
      </c>
      <c r="L1207" s="36">
        <f t="shared" ref="L1207:L1261" si="406">IF(AI1207=BF1207,0,1)</f>
        <v>0</v>
      </c>
      <c r="M1207" s="36">
        <f t="shared" ref="M1207:M1261" si="407">IF(AJ1207=BG1207,0,1)</f>
        <v>0</v>
      </c>
      <c r="N1207" s="36">
        <f t="shared" ref="N1207:N1261" si="408">IF(AK1207=BH1207,0,1)</f>
        <v>0</v>
      </c>
      <c r="O1207" s="36">
        <f t="shared" ref="O1207:O1261" si="409">IF(AL1207=BI1207,0,1)</f>
        <v>0</v>
      </c>
      <c r="P1207" s="36">
        <f t="shared" ref="P1207:P1261" si="410">IF(AM1207=BJ1207,0,1)</f>
        <v>0</v>
      </c>
      <c r="Q1207" s="36">
        <f t="shared" ref="Q1207:Q1261" si="411">IF(AN1207=BK1207,0,1)</f>
        <v>0</v>
      </c>
      <c r="R1207" s="36">
        <f t="shared" ref="R1207:R1261" si="412">IF(AO1207=BL1207,0,1)</f>
        <v>0</v>
      </c>
      <c r="S1207" s="36">
        <f t="shared" ref="S1207:S1261" si="413">IF(AP1207=BM1207,0,1)</f>
        <v>0</v>
      </c>
      <c r="T1207" s="36">
        <f t="shared" ref="T1207:T1261" si="414">IF(AQ1207=BN1207,0,1)</f>
        <v>0</v>
      </c>
      <c r="U1207" s="36">
        <f t="shared" ref="U1207:U1261" si="415">IF(AR1207=BO1207,0,1)</f>
        <v>0</v>
      </c>
      <c r="V1207" s="36">
        <f t="shared" ref="V1207:V1261" si="416">IF(AS1207=BP1207,0,1)</f>
        <v>0</v>
      </c>
      <c r="W1207" s="36">
        <f t="shared" ref="W1207:W1261" si="417">IF(AT1207=BQ1207,0,1)</f>
        <v>0</v>
      </c>
      <c r="X1207" s="36">
        <f t="shared" ref="X1207:X1261" si="418">IF(AU1207=BR1207,0,1)</f>
        <v>0</v>
      </c>
      <c r="Y1207" s="36">
        <f t="shared" ref="Y1207:Y1261" si="419">IF(AV1207=BS1207,0,1)</f>
        <v>0</v>
      </c>
      <c r="Z1207" s="36">
        <f t="shared" ref="Z1207:Z1261" si="420">IF(AW1207=BT1207,0,1)</f>
        <v>0</v>
      </c>
      <c r="AB1207" s="36" t="str">
        <f>IF(最佳化斷筋點!C1207="","",最佳化斷筋點!C1207)</f>
        <v>上層</v>
      </c>
      <c r="AC1207" s="37">
        <f>IF(最佳化斷筋點!D1207="","",最佳化斷筋點!D1207)</f>
        <v>2</v>
      </c>
      <c r="AD1207" s="37">
        <f>IF(最佳化斷筋點!E1207="","",最佳化斷筋點!E1207)</f>
        <v>2</v>
      </c>
      <c r="AE1207" s="37">
        <f>IF(最佳化斷筋點!F1207="","",最佳化斷筋點!F1207)</f>
        <v>2</v>
      </c>
      <c r="AF1207" s="37">
        <f>IF(最佳化斷筋點!G1207="","",最佳化斷筋點!G1207)</f>
        <v>2</v>
      </c>
      <c r="AG1207" s="37">
        <f>IF(最佳化斷筋點!H1207="","",最佳化斷筋點!H1207)</f>
        <v>2</v>
      </c>
      <c r="AH1207" s="37">
        <f>IF(最佳化斷筋點!I1207="","",最佳化斷筋點!I1207)</f>
        <v>2</v>
      </c>
      <c r="AI1207" s="37">
        <f>IF(最佳化斷筋點!J1207="","",最佳化斷筋點!J1207)</f>
        <v>2</v>
      </c>
      <c r="AJ1207" s="37">
        <f>IF(最佳化斷筋點!K1207="","",最佳化斷筋點!K1207)</f>
        <v>2</v>
      </c>
      <c r="AK1207" s="37">
        <f>IF(最佳化斷筋點!L1207="","",最佳化斷筋點!L1207)</f>
        <v>2</v>
      </c>
      <c r="AL1207" s="37">
        <f>IF(最佳化斷筋點!M1207="","",最佳化斷筋點!M1207)</f>
        <v>2</v>
      </c>
      <c r="AM1207" s="37">
        <f>IF(最佳化斷筋點!N1207="","",最佳化斷筋點!N1207)</f>
        <v>2</v>
      </c>
      <c r="AN1207" s="37">
        <f>IF(最佳化斷筋點!O1207="","",最佳化斷筋點!O1207)</f>
        <v>2</v>
      </c>
      <c r="AO1207" s="37">
        <f>IF(最佳化斷筋點!P1207="","",最佳化斷筋點!P1207)</f>
        <v>2</v>
      </c>
      <c r="AP1207" s="37">
        <f>IF(最佳化斷筋點!Q1207="","",最佳化斷筋點!Q1207)</f>
        <v>3</v>
      </c>
      <c r="AQ1207" s="37">
        <f>IF(最佳化斷筋點!R1207="","",最佳化斷筋點!R1207)</f>
        <v>3</v>
      </c>
      <c r="AR1207" s="37">
        <f>IF(最佳化斷筋點!S1207="","",最佳化斷筋點!S1207)</f>
        <v>4</v>
      </c>
      <c r="AS1207" s="37">
        <f>IF(最佳化斷筋點!T1207="","",最佳化斷筋點!T1207)</f>
        <v>4</v>
      </c>
      <c r="AT1207" s="37">
        <f>IF(最佳化斷筋點!U1207="","",最佳化斷筋點!U1207)</f>
        <v>4</v>
      </c>
      <c r="AU1207" s="37">
        <f>IF(最佳化斷筋點!V1207="","",最佳化斷筋點!V1207)</f>
        <v>4</v>
      </c>
      <c r="AV1207" s="37">
        <f>IF(最佳化斷筋點!W1207="","",最佳化斷筋點!W1207)</f>
        <v>4</v>
      </c>
      <c r="AW1207" s="37">
        <f>IF(最佳化斷筋點!X1207="","",最佳化斷筋點!X1207)</f>
        <v>4</v>
      </c>
      <c r="AZ1207" s="37">
        <v>2</v>
      </c>
      <c r="BA1207" s="37">
        <v>2</v>
      </c>
      <c r="BB1207" s="37">
        <v>2</v>
      </c>
      <c r="BC1207" s="37">
        <v>2</v>
      </c>
      <c r="BD1207" s="37">
        <v>2</v>
      </c>
      <c r="BE1207" s="37">
        <v>2</v>
      </c>
      <c r="BF1207" s="37">
        <v>2</v>
      </c>
      <c r="BG1207" s="37">
        <v>2</v>
      </c>
      <c r="BH1207" s="37">
        <v>2</v>
      </c>
      <c r="BI1207" s="37">
        <v>2</v>
      </c>
      <c r="BJ1207" s="37">
        <v>2</v>
      </c>
      <c r="BK1207" s="37">
        <v>2</v>
      </c>
      <c r="BL1207" s="37">
        <v>2</v>
      </c>
      <c r="BM1207" s="37">
        <v>3</v>
      </c>
      <c r="BN1207" s="37">
        <v>3</v>
      </c>
      <c r="BO1207" s="37">
        <v>4</v>
      </c>
      <c r="BP1207" s="37">
        <v>4</v>
      </c>
      <c r="BQ1207" s="37">
        <v>4</v>
      </c>
      <c r="BR1207" s="37">
        <v>4</v>
      </c>
      <c r="BS1207" s="37">
        <v>4</v>
      </c>
      <c r="BT1207" s="37">
        <v>4</v>
      </c>
    </row>
    <row r="1208" spans="5:72" x14ac:dyDescent="0.25">
      <c r="E1208" s="36"/>
      <c r="F1208" s="36">
        <f t="shared" si="400"/>
        <v>0</v>
      </c>
      <c r="G1208" s="36">
        <f t="shared" si="401"/>
        <v>0</v>
      </c>
      <c r="H1208" s="36">
        <f t="shared" si="402"/>
        <v>0</v>
      </c>
      <c r="I1208" s="36">
        <f t="shared" si="403"/>
        <v>0</v>
      </c>
      <c r="J1208" s="36">
        <f t="shared" si="404"/>
        <v>0</v>
      </c>
      <c r="K1208" s="36">
        <f t="shared" si="405"/>
        <v>0</v>
      </c>
      <c r="L1208" s="36">
        <f t="shared" si="406"/>
        <v>0</v>
      </c>
      <c r="M1208" s="36">
        <f t="shared" si="407"/>
        <v>0</v>
      </c>
      <c r="N1208" s="36">
        <f t="shared" si="408"/>
        <v>0</v>
      </c>
      <c r="O1208" s="36">
        <f t="shared" si="409"/>
        <v>0</v>
      </c>
      <c r="P1208" s="36">
        <f t="shared" si="410"/>
        <v>0</v>
      </c>
      <c r="Q1208" s="36">
        <f t="shared" si="411"/>
        <v>0</v>
      </c>
      <c r="R1208" s="36">
        <f t="shared" si="412"/>
        <v>0</v>
      </c>
      <c r="S1208" s="36">
        <f t="shared" si="413"/>
        <v>0</v>
      </c>
      <c r="T1208" s="36">
        <f t="shared" si="414"/>
        <v>0</v>
      </c>
      <c r="U1208" s="36">
        <f t="shared" si="415"/>
        <v>0</v>
      </c>
      <c r="V1208" s="36">
        <f t="shared" si="416"/>
        <v>0</v>
      </c>
      <c r="W1208" s="36">
        <f t="shared" si="417"/>
        <v>0</v>
      </c>
      <c r="X1208" s="36">
        <f t="shared" si="418"/>
        <v>0</v>
      </c>
      <c r="Y1208" s="36">
        <f t="shared" si="419"/>
        <v>0</v>
      </c>
      <c r="Z1208" s="36">
        <f t="shared" si="420"/>
        <v>0</v>
      </c>
      <c r="AB1208" s="36" t="str">
        <f>IF(最佳化斷筋點!C1208="","",最佳化斷筋點!C1208)</f>
        <v/>
      </c>
      <c r="AC1208" s="37" t="str">
        <f>IF(最佳化斷筋點!D1208="","",最佳化斷筋點!D1208)</f>
        <v/>
      </c>
      <c r="AD1208" s="37" t="str">
        <f>IF(最佳化斷筋點!E1208="","",最佳化斷筋點!E1208)</f>
        <v/>
      </c>
      <c r="AE1208" s="37" t="str">
        <f>IF(最佳化斷筋點!F1208="","",最佳化斷筋點!F1208)</f>
        <v/>
      </c>
      <c r="AF1208" s="37" t="str">
        <f>IF(最佳化斷筋點!G1208="","",最佳化斷筋點!G1208)</f>
        <v/>
      </c>
      <c r="AG1208" s="37" t="str">
        <f>IF(最佳化斷筋點!H1208="","",最佳化斷筋點!H1208)</f>
        <v/>
      </c>
      <c r="AH1208" s="37" t="str">
        <f>IF(最佳化斷筋點!I1208="","",最佳化斷筋點!I1208)</f>
        <v/>
      </c>
      <c r="AI1208" s="37" t="str">
        <f>IF(最佳化斷筋點!J1208="","",最佳化斷筋點!J1208)</f>
        <v/>
      </c>
      <c r="AJ1208" s="37" t="str">
        <f>IF(最佳化斷筋點!K1208="","",最佳化斷筋點!K1208)</f>
        <v/>
      </c>
      <c r="AK1208" s="37" t="str">
        <f>IF(最佳化斷筋點!L1208="","",最佳化斷筋點!L1208)</f>
        <v/>
      </c>
      <c r="AL1208" s="37" t="str">
        <f>IF(最佳化斷筋點!M1208="","",最佳化斷筋點!M1208)</f>
        <v/>
      </c>
      <c r="AM1208" s="37" t="str">
        <f>IF(最佳化斷筋點!N1208="","",最佳化斷筋點!N1208)</f>
        <v/>
      </c>
      <c r="AN1208" s="37" t="str">
        <f>IF(最佳化斷筋點!O1208="","",最佳化斷筋點!O1208)</f>
        <v/>
      </c>
      <c r="AO1208" s="37" t="str">
        <f>IF(最佳化斷筋點!P1208="","",最佳化斷筋點!P1208)</f>
        <v/>
      </c>
      <c r="AP1208" s="37" t="str">
        <f>IF(最佳化斷筋點!Q1208="","",最佳化斷筋點!Q1208)</f>
        <v/>
      </c>
      <c r="AQ1208" s="37" t="str">
        <f>IF(最佳化斷筋點!R1208="","",最佳化斷筋點!R1208)</f>
        <v/>
      </c>
      <c r="AR1208" s="37" t="str">
        <f>IF(最佳化斷筋點!S1208="","",最佳化斷筋點!S1208)</f>
        <v/>
      </c>
      <c r="AS1208" s="37" t="str">
        <f>IF(最佳化斷筋點!T1208="","",最佳化斷筋點!T1208)</f>
        <v/>
      </c>
      <c r="AT1208" s="37" t="str">
        <f>IF(最佳化斷筋點!U1208="","",最佳化斷筋點!U1208)</f>
        <v/>
      </c>
      <c r="AU1208" s="37" t="str">
        <f>IF(最佳化斷筋點!V1208="","",最佳化斷筋點!V1208)</f>
        <v/>
      </c>
      <c r="AV1208" s="37" t="str">
        <f>IF(最佳化斷筋點!W1208="","",最佳化斷筋點!W1208)</f>
        <v/>
      </c>
      <c r="AW1208" s="37" t="str">
        <f>IF(最佳化斷筋點!X1208="","",最佳化斷筋點!X1208)</f>
        <v/>
      </c>
      <c r="AZ1208" s="37" t="s">
        <v>197</v>
      </c>
      <c r="BA1208" s="37" t="s">
        <v>197</v>
      </c>
      <c r="BB1208" s="37" t="s">
        <v>197</v>
      </c>
      <c r="BC1208" s="37" t="s">
        <v>197</v>
      </c>
      <c r="BD1208" s="37" t="s">
        <v>197</v>
      </c>
      <c r="BE1208" s="37" t="s">
        <v>197</v>
      </c>
      <c r="BF1208" s="37" t="s">
        <v>197</v>
      </c>
      <c r="BG1208" s="37" t="s">
        <v>197</v>
      </c>
      <c r="BH1208" s="37" t="s">
        <v>197</v>
      </c>
      <c r="BI1208" s="37" t="s">
        <v>197</v>
      </c>
      <c r="BJ1208" s="37" t="s">
        <v>197</v>
      </c>
      <c r="BK1208" s="37" t="s">
        <v>197</v>
      </c>
      <c r="BL1208" s="37" t="s">
        <v>197</v>
      </c>
      <c r="BM1208" s="37" t="s">
        <v>197</v>
      </c>
      <c r="BN1208" s="37" t="s">
        <v>197</v>
      </c>
      <c r="BO1208" s="37" t="s">
        <v>197</v>
      </c>
      <c r="BP1208" s="37" t="s">
        <v>197</v>
      </c>
      <c r="BQ1208" s="37" t="s">
        <v>197</v>
      </c>
      <c r="BR1208" s="37" t="s">
        <v>197</v>
      </c>
      <c r="BS1208" s="37" t="s">
        <v>197</v>
      </c>
      <c r="BT1208" s="37" t="s">
        <v>197</v>
      </c>
    </row>
    <row r="1209" spans="5:72" x14ac:dyDescent="0.25">
      <c r="E1209" s="36" t="s">
        <v>21</v>
      </c>
      <c r="F1209" s="36">
        <f t="shared" si="400"/>
        <v>0</v>
      </c>
      <c r="G1209" s="36">
        <f t="shared" si="401"/>
        <v>0</v>
      </c>
      <c r="H1209" s="36">
        <f t="shared" si="402"/>
        <v>0</v>
      </c>
      <c r="I1209" s="36">
        <f t="shared" si="403"/>
        <v>0</v>
      </c>
      <c r="J1209" s="36">
        <f t="shared" si="404"/>
        <v>0</v>
      </c>
      <c r="K1209" s="36">
        <f t="shared" si="405"/>
        <v>0</v>
      </c>
      <c r="L1209" s="36">
        <f t="shared" si="406"/>
        <v>0</v>
      </c>
      <c r="M1209" s="36">
        <f t="shared" si="407"/>
        <v>0</v>
      </c>
      <c r="N1209" s="36">
        <f t="shared" si="408"/>
        <v>0</v>
      </c>
      <c r="O1209" s="36">
        <f t="shared" si="409"/>
        <v>0</v>
      </c>
      <c r="P1209" s="36">
        <f t="shared" si="410"/>
        <v>0</v>
      </c>
      <c r="Q1209" s="36">
        <f t="shared" si="411"/>
        <v>0</v>
      </c>
      <c r="R1209" s="36">
        <f t="shared" si="412"/>
        <v>0</v>
      </c>
      <c r="S1209" s="36">
        <f t="shared" si="413"/>
        <v>0</v>
      </c>
      <c r="T1209" s="36">
        <f t="shared" si="414"/>
        <v>0</v>
      </c>
      <c r="U1209" s="36">
        <f t="shared" si="415"/>
        <v>0</v>
      </c>
      <c r="V1209" s="36">
        <f t="shared" si="416"/>
        <v>0</v>
      </c>
      <c r="W1209" s="36">
        <f t="shared" si="417"/>
        <v>0</v>
      </c>
      <c r="X1209" s="36">
        <f t="shared" si="418"/>
        <v>0</v>
      </c>
      <c r="Y1209" s="36">
        <f t="shared" si="419"/>
        <v>0</v>
      </c>
      <c r="Z1209" s="36">
        <f t="shared" si="420"/>
        <v>0</v>
      </c>
      <c r="AB1209" s="36" t="str">
        <f>IF(最佳化斷筋點!C1209="","",最佳化斷筋點!C1209)</f>
        <v>下層</v>
      </c>
      <c r="AC1209" s="37">
        <f>IF(最佳化斷筋點!D1209="","",最佳化斷筋點!D1209)</f>
        <v>2</v>
      </c>
      <c r="AD1209" s="37">
        <f>IF(最佳化斷筋點!E1209="","",最佳化斷筋點!E1209)</f>
        <v>2</v>
      </c>
      <c r="AE1209" s="37">
        <f>IF(最佳化斷筋點!F1209="","",最佳化斷筋點!F1209)</f>
        <v>2</v>
      </c>
      <c r="AF1209" s="37">
        <f>IF(最佳化斷筋點!G1209="","",最佳化斷筋點!G1209)</f>
        <v>2</v>
      </c>
      <c r="AG1209" s="37">
        <f>IF(最佳化斷筋點!H1209="","",最佳化斷筋點!H1209)</f>
        <v>2</v>
      </c>
      <c r="AH1209" s="37">
        <f>IF(最佳化斷筋點!I1209="","",最佳化斷筋點!I1209)</f>
        <v>2</v>
      </c>
      <c r="AI1209" s="37">
        <f>IF(最佳化斷筋點!J1209="","",最佳化斷筋點!J1209)</f>
        <v>2</v>
      </c>
      <c r="AJ1209" s="37">
        <f>IF(最佳化斷筋點!K1209="","",最佳化斷筋點!K1209)</f>
        <v>2</v>
      </c>
      <c r="AK1209" s="37">
        <f>IF(最佳化斷筋點!L1209="","",最佳化斷筋點!L1209)</f>
        <v>2</v>
      </c>
      <c r="AL1209" s="37">
        <f>IF(最佳化斷筋點!M1209="","",最佳化斷筋點!M1209)</f>
        <v>2</v>
      </c>
      <c r="AM1209" s="37">
        <f>IF(最佳化斷筋點!N1209="","",最佳化斷筋點!N1209)</f>
        <v>2</v>
      </c>
      <c r="AN1209" s="37">
        <f>IF(最佳化斷筋點!O1209="","",最佳化斷筋點!O1209)</f>
        <v>2</v>
      </c>
      <c r="AO1209" s="37">
        <f>IF(最佳化斷筋點!P1209="","",最佳化斷筋點!P1209)</f>
        <v>2</v>
      </c>
      <c r="AP1209" s="37">
        <f>IF(最佳化斷筋點!Q1209="","",最佳化斷筋點!Q1209)</f>
        <v>2</v>
      </c>
      <c r="AQ1209" s="37">
        <f>IF(最佳化斷筋點!R1209="","",最佳化斷筋點!R1209)</f>
        <v>2</v>
      </c>
      <c r="AR1209" s="37">
        <f>IF(最佳化斷筋點!S1209="","",最佳化斷筋點!S1209)</f>
        <v>2</v>
      </c>
      <c r="AS1209" s="37">
        <f>IF(最佳化斷筋點!T1209="","",最佳化斷筋點!T1209)</f>
        <v>2</v>
      </c>
      <c r="AT1209" s="37">
        <f>IF(最佳化斷筋點!U1209="","",最佳化斷筋點!U1209)</f>
        <v>2</v>
      </c>
      <c r="AU1209" s="37">
        <f>IF(最佳化斷筋點!V1209="","",最佳化斷筋點!V1209)</f>
        <v>2</v>
      </c>
      <c r="AV1209" s="37">
        <f>IF(最佳化斷筋點!W1209="","",最佳化斷筋點!W1209)</f>
        <v>2</v>
      </c>
      <c r="AW1209" s="37">
        <f>IF(最佳化斷筋點!X1209="","",最佳化斷筋點!X1209)</f>
        <v>2</v>
      </c>
      <c r="AZ1209" s="37">
        <v>2</v>
      </c>
      <c r="BA1209" s="37">
        <v>2</v>
      </c>
      <c r="BB1209" s="37">
        <v>2</v>
      </c>
      <c r="BC1209" s="37">
        <v>2</v>
      </c>
      <c r="BD1209" s="37">
        <v>2</v>
      </c>
      <c r="BE1209" s="37">
        <v>2</v>
      </c>
      <c r="BF1209" s="37">
        <v>2</v>
      </c>
      <c r="BG1209" s="37">
        <v>2</v>
      </c>
      <c r="BH1209" s="37">
        <v>2</v>
      </c>
      <c r="BI1209" s="37">
        <v>2</v>
      </c>
      <c r="BJ1209" s="37">
        <v>2</v>
      </c>
      <c r="BK1209" s="37">
        <v>2</v>
      </c>
      <c r="BL1209" s="37">
        <v>2</v>
      </c>
      <c r="BM1209" s="37">
        <v>2</v>
      </c>
      <c r="BN1209" s="37">
        <v>2</v>
      </c>
      <c r="BO1209" s="37">
        <v>2</v>
      </c>
      <c r="BP1209" s="37">
        <v>2</v>
      </c>
      <c r="BQ1209" s="37">
        <v>2</v>
      </c>
      <c r="BR1209" s="37">
        <v>2</v>
      </c>
      <c r="BS1209" s="37">
        <v>2</v>
      </c>
      <c r="BT1209" s="37">
        <v>2</v>
      </c>
    </row>
    <row r="1210" spans="5:72" x14ac:dyDescent="0.25">
      <c r="E1210" s="36"/>
      <c r="F1210" s="36">
        <f t="shared" si="400"/>
        <v>0</v>
      </c>
      <c r="G1210" s="36">
        <f t="shared" si="401"/>
        <v>0</v>
      </c>
      <c r="H1210" s="36">
        <f t="shared" si="402"/>
        <v>0</v>
      </c>
      <c r="I1210" s="36">
        <f t="shared" si="403"/>
        <v>0</v>
      </c>
      <c r="J1210" s="36">
        <f t="shared" si="404"/>
        <v>0</v>
      </c>
      <c r="K1210" s="36">
        <f t="shared" si="405"/>
        <v>0</v>
      </c>
      <c r="L1210" s="36">
        <f t="shared" si="406"/>
        <v>0</v>
      </c>
      <c r="M1210" s="36">
        <f t="shared" si="407"/>
        <v>0</v>
      </c>
      <c r="N1210" s="36">
        <f t="shared" si="408"/>
        <v>0</v>
      </c>
      <c r="O1210" s="36">
        <f t="shared" si="409"/>
        <v>0</v>
      </c>
      <c r="P1210" s="36">
        <f t="shared" si="410"/>
        <v>0</v>
      </c>
      <c r="Q1210" s="36">
        <f t="shared" si="411"/>
        <v>0</v>
      </c>
      <c r="R1210" s="36">
        <f t="shared" si="412"/>
        <v>0</v>
      </c>
      <c r="S1210" s="36">
        <f t="shared" si="413"/>
        <v>0</v>
      </c>
      <c r="T1210" s="36">
        <f t="shared" si="414"/>
        <v>0</v>
      </c>
      <c r="U1210" s="36">
        <f t="shared" si="415"/>
        <v>0</v>
      </c>
      <c r="V1210" s="36">
        <f t="shared" si="416"/>
        <v>0</v>
      </c>
      <c r="W1210" s="36">
        <f t="shared" si="417"/>
        <v>0</v>
      </c>
      <c r="X1210" s="36">
        <f t="shared" si="418"/>
        <v>0</v>
      </c>
      <c r="Y1210" s="36">
        <f t="shared" si="419"/>
        <v>0</v>
      </c>
      <c r="Z1210" s="36">
        <f t="shared" si="420"/>
        <v>0</v>
      </c>
      <c r="AB1210" s="36" t="str">
        <f>IF(最佳化斷筋點!C1210="","",最佳化斷筋點!C1210)</f>
        <v/>
      </c>
      <c r="AC1210" s="37" t="str">
        <f>IF(最佳化斷筋點!D1210="","",最佳化斷筋點!D1210)</f>
        <v/>
      </c>
      <c r="AD1210" s="37" t="str">
        <f>IF(最佳化斷筋點!E1210="","",最佳化斷筋點!E1210)</f>
        <v/>
      </c>
      <c r="AE1210" s="37" t="str">
        <f>IF(最佳化斷筋點!F1210="","",最佳化斷筋點!F1210)</f>
        <v/>
      </c>
      <c r="AF1210" s="37" t="str">
        <f>IF(最佳化斷筋點!G1210="","",最佳化斷筋點!G1210)</f>
        <v/>
      </c>
      <c r="AG1210" s="37" t="str">
        <f>IF(最佳化斷筋點!H1210="","",最佳化斷筋點!H1210)</f>
        <v/>
      </c>
      <c r="AH1210" s="37" t="str">
        <f>IF(最佳化斷筋點!I1210="","",最佳化斷筋點!I1210)</f>
        <v/>
      </c>
      <c r="AI1210" s="37" t="str">
        <f>IF(最佳化斷筋點!J1210="","",最佳化斷筋點!J1210)</f>
        <v/>
      </c>
      <c r="AJ1210" s="37" t="str">
        <f>IF(最佳化斷筋點!K1210="","",最佳化斷筋點!K1210)</f>
        <v/>
      </c>
      <c r="AK1210" s="37" t="str">
        <f>IF(最佳化斷筋點!L1210="","",最佳化斷筋點!L1210)</f>
        <v/>
      </c>
      <c r="AL1210" s="37" t="str">
        <f>IF(最佳化斷筋點!M1210="","",最佳化斷筋點!M1210)</f>
        <v/>
      </c>
      <c r="AM1210" s="37" t="str">
        <f>IF(最佳化斷筋點!N1210="","",最佳化斷筋點!N1210)</f>
        <v/>
      </c>
      <c r="AN1210" s="37" t="str">
        <f>IF(最佳化斷筋點!O1210="","",最佳化斷筋點!O1210)</f>
        <v/>
      </c>
      <c r="AO1210" s="37" t="str">
        <f>IF(最佳化斷筋點!P1210="","",最佳化斷筋點!P1210)</f>
        <v/>
      </c>
      <c r="AP1210" s="37" t="str">
        <f>IF(最佳化斷筋點!Q1210="","",最佳化斷筋點!Q1210)</f>
        <v/>
      </c>
      <c r="AQ1210" s="37" t="str">
        <f>IF(最佳化斷筋點!R1210="","",最佳化斷筋點!R1210)</f>
        <v/>
      </c>
      <c r="AR1210" s="37" t="str">
        <f>IF(最佳化斷筋點!S1210="","",最佳化斷筋點!S1210)</f>
        <v/>
      </c>
      <c r="AS1210" s="37" t="str">
        <f>IF(最佳化斷筋點!T1210="","",最佳化斷筋點!T1210)</f>
        <v/>
      </c>
      <c r="AT1210" s="37" t="str">
        <f>IF(最佳化斷筋點!U1210="","",最佳化斷筋點!U1210)</f>
        <v/>
      </c>
      <c r="AU1210" s="37" t="str">
        <f>IF(最佳化斷筋點!V1210="","",最佳化斷筋點!V1210)</f>
        <v/>
      </c>
      <c r="AV1210" s="37" t="str">
        <f>IF(最佳化斷筋點!W1210="","",最佳化斷筋點!W1210)</f>
        <v/>
      </c>
      <c r="AW1210" s="37" t="str">
        <f>IF(最佳化斷筋點!X1210="","",最佳化斷筋點!X1210)</f>
        <v/>
      </c>
      <c r="AZ1210" s="37" t="s">
        <v>197</v>
      </c>
      <c r="BA1210" s="37" t="s">
        <v>197</v>
      </c>
      <c r="BB1210" s="37" t="s">
        <v>197</v>
      </c>
      <c r="BC1210" s="37" t="s">
        <v>197</v>
      </c>
      <c r="BD1210" s="37" t="s">
        <v>197</v>
      </c>
      <c r="BE1210" s="37" t="s">
        <v>197</v>
      </c>
      <c r="BF1210" s="37" t="s">
        <v>197</v>
      </c>
      <c r="BG1210" s="37" t="s">
        <v>197</v>
      </c>
      <c r="BH1210" s="37" t="s">
        <v>197</v>
      </c>
      <c r="BI1210" s="37" t="s">
        <v>197</v>
      </c>
      <c r="BJ1210" s="37" t="s">
        <v>197</v>
      </c>
      <c r="BK1210" s="37" t="s">
        <v>197</v>
      </c>
      <c r="BL1210" s="37" t="s">
        <v>197</v>
      </c>
      <c r="BM1210" s="37" t="s">
        <v>197</v>
      </c>
      <c r="BN1210" s="37" t="s">
        <v>197</v>
      </c>
      <c r="BO1210" s="37" t="s">
        <v>197</v>
      </c>
      <c r="BP1210" s="37" t="s">
        <v>197</v>
      </c>
      <c r="BQ1210" s="37" t="s">
        <v>197</v>
      </c>
      <c r="BR1210" s="37" t="s">
        <v>197</v>
      </c>
      <c r="BS1210" s="37" t="s">
        <v>197</v>
      </c>
      <c r="BT1210" s="37" t="s">
        <v>197</v>
      </c>
    </row>
    <row r="1211" spans="5:72" x14ac:dyDescent="0.25">
      <c r="E1211" s="36" t="s">
        <v>20</v>
      </c>
      <c r="F1211" s="36">
        <f t="shared" si="400"/>
        <v>0</v>
      </c>
      <c r="G1211" s="36">
        <f t="shared" si="401"/>
        <v>0</v>
      </c>
      <c r="H1211" s="36">
        <f t="shared" si="402"/>
        <v>0</v>
      </c>
      <c r="I1211" s="36">
        <f t="shared" si="403"/>
        <v>0</v>
      </c>
      <c r="J1211" s="36">
        <f t="shared" si="404"/>
        <v>0</v>
      </c>
      <c r="K1211" s="36">
        <f t="shared" si="405"/>
        <v>0</v>
      </c>
      <c r="L1211" s="36">
        <f t="shared" si="406"/>
        <v>0</v>
      </c>
      <c r="M1211" s="36">
        <f t="shared" si="407"/>
        <v>0</v>
      </c>
      <c r="N1211" s="36">
        <f t="shared" si="408"/>
        <v>0</v>
      </c>
      <c r="O1211" s="36">
        <f t="shared" si="409"/>
        <v>0</v>
      </c>
      <c r="P1211" s="36">
        <f t="shared" si="410"/>
        <v>0</v>
      </c>
      <c r="Q1211" s="36">
        <f t="shared" si="411"/>
        <v>0</v>
      </c>
      <c r="R1211" s="36">
        <f t="shared" si="412"/>
        <v>0</v>
      </c>
      <c r="S1211" s="36">
        <f t="shared" si="413"/>
        <v>0</v>
      </c>
      <c r="T1211" s="36">
        <f t="shared" si="414"/>
        <v>0</v>
      </c>
      <c r="U1211" s="36">
        <f t="shared" si="415"/>
        <v>0</v>
      </c>
      <c r="V1211" s="36">
        <f t="shared" si="416"/>
        <v>0</v>
      </c>
      <c r="W1211" s="36">
        <f t="shared" si="417"/>
        <v>0</v>
      </c>
      <c r="X1211" s="36">
        <f t="shared" si="418"/>
        <v>0</v>
      </c>
      <c r="Y1211" s="36">
        <f t="shared" si="419"/>
        <v>0</v>
      </c>
      <c r="Z1211" s="36">
        <f t="shared" si="420"/>
        <v>0</v>
      </c>
      <c r="AB1211" s="36" t="str">
        <f>IF(最佳化斷筋點!C1211="","",最佳化斷筋點!C1211)</f>
        <v>上層</v>
      </c>
      <c r="AC1211" s="37">
        <f>IF(最佳化斷筋點!D1211="","",最佳化斷筋點!D1211)</f>
        <v>4</v>
      </c>
      <c r="AD1211" s="37">
        <f>IF(最佳化斷筋點!E1211="","",最佳化斷筋點!E1211)</f>
        <v>4</v>
      </c>
      <c r="AE1211" s="37">
        <f>IF(最佳化斷筋點!F1211="","",最佳化斷筋點!F1211)</f>
        <v>4</v>
      </c>
      <c r="AF1211" s="37">
        <f>IF(最佳化斷筋點!G1211="","",最佳化斷筋點!G1211)</f>
        <v>4</v>
      </c>
      <c r="AG1211" s="37">
        <f>IF(最佳化斷筋點!H1211="","",最佳化斷筋點!H1211)</f>
        <v>4</v>
      </c>
      <c r="AH1211" s="37">
        <f>IF(最佳化斷筋點!I1211="","",最佳化斷筋點!I1211)</f>
        <v>4</v>
      </c>
      <c r="AI1211" s="37">
        <f>IF(最佳化斷筋點!J1211="","",最佳化斷筋點!J1211)</f>
        <v>4</v>
      </c>
      <c r="AJ1211" s="37">
        <f>IF(最佳化斷筋點!K1211="","",最佳化斷筋點!K1211)</f>
        <v>2</v>
      </c>
      <c r="AK1211" s="37">
        <f>IF(最佳化斷筋點!L1211="","",最佳化斷筋點!L1211)</f>
        <v>2</v>
      </c>
      <c r="AL1211" s="37">
        <f>IF(最佳化斷筋點!M1211="","",最佳化斷筋點!M1211)</f>
        <v>2</v>
      </c>
      <c r="AM1211" s="37">
        <f>IF(最佳化斷筋點!N1211="","",最佳化斷筋點!N1211)</f>
        <v>2</v>
      </c>
      <c r="AN1211" s="37">
        <f>IF(最佳化斷筋點!O1211="","",最佳化斷筋點!O1211)</f>
        <v>2</v>
      </c>
      <c r="AO1211" s="37">
        <f>IF(最佳化斷筋點!P1211="","",最佳化斷筋點!P1211)</f>
        <v>2</v>
      </c>
      <c r="AP1211" s="37">
        <f>IF(最佳化斷筋點!Q1211="","",最佳化斷筋點!Q1211)</f>
        <v>4</v>
      </c>
      <c r="AQ1211" s="37">
        <f>IF(最佳化斷筋點!R1211="","",最佳化斷筋點!R1211)</f>
        <v>4</v>
      </c>
      <c r="AR1211" s="37">
        <f>IF(最佳化斷筋點!S1211="","",最佳化斷筋點!S1211)</f>
        <v>5</v>
      </c>
      <c r="AS1211" s="37">
        <f>IF(最佳化斷筋點!T1211="","",最佳化斷筋點!T1211)</f>
        <v>5</v>
      </c>
      <c r="AT1211" s="37">
        <f>IF(最佳化斷筋點!U1211="","",最佳化斷筋點!U1211)</f>
        <v>5</v>
      </c>
      <c r="AU1211" s="37">
        <f>IF(最佳化斷筋點!V1211="","",最佳化斷筋點!V1211)</f>
        <v>5</v>
      </c>
      <c r="AV1211" s="37">
        <f>IF(最佳化斷筋點!W1211="","",最佳化斷筋點!W1211)</f>
        <v>5</v>
      </c>
      <c r="AW1211" s="37">
        <f>IF(最佳化斷筋點!X1211="","",最佳化斷筋點!X1211)</f>
        <v>5</v>
      </c>
      <c r="AZ1211" s="37">
        <v>4</v>
      </c>
      <c r="BA1211" s="37">
        <v>4</v>
      </c>
      <c r="BB1211" s="37">
        <v>4</v>
      </c>
      <c r="BC1211" s="37">
        <v>4</v>
      </c>
      <c r="BD1211" s="37">
        <v>4</v>
      </c>
      <c r="BE1211" s="37">
        <v>4</v>
      </c>
      <c r="BF1211" s="37">
        <v>4</v>
      </c>
      <c r="BG1211" s="37">
        <v>2</v>
      </c>
      <c r="BH1211" s="37">
        <v>2</v>
      </c>
      <c r="BI1211" s="37">
        <v>2</v>
      </c>
      <c r="BJ1211" s="37">
        <v>2</v>
      </c>
      <c r="BK1211" s="37">
        <v>2</v>
      </c>
      <c r="BL1211" s="37">
        <v>2</v>
      </c>
      <c r="BM1211" s="37">
        <v>4</v>
      </c>
      <c r="BN1211" s="37">
        <v>4</v>
      </c>
      <c r="BO1211" s="37">
        <v>5</v>
      </c>
      <c r="BP1211" s="37">
        <v>5</v>
      </c>
      <c r="BQ1211" s="37">
        <v>5</v>
      </c>
      <c r="BR1211" s="37">
        <v>5</v>
      </c>
      <c r="BS1211" s="37">
        <v>5</v>
      </c>
      <c r="BT1211" s="37">
        <v>5</v>
      </c>
    </row>
    <row r="1212" spans="5:72" x14ac:dyDescent="0.25">
      <c r="E1212" s="36"/>
      <c r="F1212" s="36">
        <f t="shared" si="400"/>
        <v>0</v>
      </c>
      <c r="G1212" s="36">
        <f t="shared" si="401"/>
        <v>0</v>
      </c>
      <c r="H1212" s="36">
        <f t="shared" si="402"/>
        <v>0</v>
      </c>
      <c r="I1212" s="36">
        <f t="shared" si="403"/>
        <v>0</v>
      </c>
      <c r="J1212" s="36">
        <f t="shared" si="404"/>
        <v>0</v>
      </c>
      <c r="K1212" s="36">
        <f t="shared" si="405"/>
        <v>0</v>
      </c>
      <c r="L1212" s="36">
        <f t="shared" si="406"/>
        <v>0</v>
      </c>
      <c r="M1212" s="36">
        <f t="shared" si="407"/>
        <v>0</v>
      </c>
      <c r="N1212" s="36">
        <f t="shared" si="408"/>
        <v>0</v>
      </c>
      <c r="O1212" s="36">
        <f t="shared" si="409"/>
        <v>0</v>
      </c>
      <c r="P1212" s="36">
        <f t="shared" si="410"/>
        <v>0</v>
      </c>
      <c r="Q1212" s="36">
        <f t="shared" si="411"/>
        <v>0</v>
      </c>
      <c r="R1212" s="36">
        <f t="shared" si="412"/>
        <v>0</v>
      </c>
      <c r="S1212" s="36">
        <f t="shared" si="413"/>
        <v>0</v>
      </c>
      <c r="T1212" s="36">
        <f t="shared" si="414"/>
        <v>0</v>
      </c>
      <c r="U1212" s="36">
        <f t="shared" si="415"/>
        <v>0</v>
      </c>
      <c r="V1212" s="36">
        <f t="shared" si="416"/>
        <v>0</v>
      </c>
      <c r="W1212" s="36">
        <f t="shared" si="417"/>
        <v>0</v>
      </c>
      <c r="X1212" s="36">
        <f t="shared" si="418"/>
        <v>0</v>
      </c>
      <c r="Y1212" s="36">
        <f t="shared" si="419"/>
        <v>0</v>
      </c>
      <c r="Z1212" s="36">
        <f t="shared" si="420"/>
        <v>0</v>
      </c>
      <c r="AB1212" s="36" t="str">
        <f>IF(最佳化斷筋點!C1212="","",最佳化斷筋點!C1212)</f>
        <v/>
      </c>
      <c r="AC1212" s="37" t="str">
        <f>IF(最佳化斷筋點!D1212="","",最佳化斷筋點!D1212)</f>
        <v/>
      </c>
      <c r="AD1212" s="37" t="str">
        <f>IF(最佳化斷筋點!E1212="","",最佳化斷筋點!E1212)</f>
        <v/>
      </c>
      <c r="AE1212" s="37" t="str">
        <f>IF(最佳化斷筋點!F1212="","",最佳化斷筋點!F1212)</f>
        <v/>
      </c>
      <c r="AF1212" s="37" t="str">
        <f>IF(最佳化斷筋點!G1212="","",最佳化斷筋點!G1212)</f>
        <v/>
      </c>
      <c r="AG1212" s="37" t="str">
        <f>IF(最佳化斷筋點!H1212="","",最佳化斷筋點!H1212)</f>
        <v/>
      </c>
      <c r="AH1212" s="37" t="str">
        <f>IF(最佳化斷筋點!I1212="","",最佳化斷筋點!I1212)</f>
        <v/>
      </c>
      <c r="AI1212" s="37" t="str">
        <f>IF(最佳化斷筋點!J1212="","",最佳化斷筋點!J1212)</f>
        <v/>
      </c>
      <c r="AJ1212" s="37" t="str">
        <f>IF(最佳化斷筋點!K1212="","",最佳化斷筋點!K1212)</f>
        <v/>
      </c>
      <c r="AK1212" s="37" t="str">
        <f>IF(最佳化斷筋點!L1212="","",最佳化斷筋點!L1212)</f>
        <v/>
      </c>
      <c r="AL1212" s="37" t="str">
        <f>IF(最佳化斷筋點!M1212="","",最佳化斷筋點!M1212)</f>
        <v/>
      </c>
      <c r="AM1212" s="37" t="str">
        <f>IF(最佳化斷筋點!N1212="","",最佳化斷筋點!N1212)</f>
        <v/>
      </c>
      <c r="AN1212" s="37" t="str">
        <f>IF(最佳化斷筋點!O1212="","",最佳化斷筋點!O1212)</f>
        <v/>
      </c>
      <c r="AO1212" s="37" t="str">
        <f>IF(最佳化斷筋點!P1212="","",最佳化斷筋點!P1212)</f>
        <v/>
      </c>
      <c r="AP1212" s="37" t="str">
        <f>IF(最佳化斷筋點!Q1212="","",最佳化斷筋點!Q1212)</f>
        <v/>
      </c>
      <c r="AQ1212" s="37" t="str">
        <f>IF(最佳化斷筋點!R1212="","",最佳化斷筋點!R1212)</f>
        <v/>
      </c>
      <c r="AR1212" s="37" t="str">
        <f>IF(最佳化斷筋點!S1212="","",最佳化斷筋點!S1212)</f>
        <v/>
      </c>
      <c r="AS1212" s="37" t="str">
        <f>IF(最佳化斷筋點!T1212="","",最佳化斷筋點!T1212)</f>
        <v/>
      </c>
      <c r="AT1212" s="37" t="str">
        <f>IF(最佳化斷筋點!U1212="","",最佳化斷筋點!U1212)</f>
        <v/>
      </c>
      <c r="AU1212" s="37" t="str">
        <f>IF(最佳化斷筋點!V1212="","",最佳化斷筋點!V1212)</f>
        <v/>
      </c>
      <c r="AV1212" s="37" t="str">
        <f>IF(最佳化斷筋點!W1212="","",最佳化斷筋點!W1212)</f>
        <v/>
      </c>
      <c r="AW1212" s="37" t="str">
        <f>IF(最佳化斷筋點!X1212="","",最佳化斷筋點!X1212)</f>
        <v/>
      </c>
      <c r="AZ1212" s="37" t="s">
        <v>197</v>
      </c>
      <c r="BA1212" s="37" t="s">
        <v>197</v>
      </c>
      <c r="BB1212" s="37" t="s">
        <v>197</v>
      </c>
      <c r="BC1212" s="37" t="s">
        <v>197</v>
      </c>
      <c r="BD1212" s="37" t="s">
        <v>197</v>
      </c>
      <c r="BE1212" s="37" t="s">
        <v>197</v>
      </c>
      <c r="BF1212" s="37" t="s">
        <v>197</v>
      </c>
      <c r="BG1212" s="37" t="s">
        <v>197</v>
      </c>
      <c r="BH1212" s="37" t="s">
        <v>197</v>
      </c>
      <c r="BI1212" s="37" t="s">
        <v>197</v>
      </c>
      <c r="BJ1212" s="37" t="s">
        <v>197</v>
      </c>
      <c r="BK1212" s="37" t="s">
        <v>197</v>
      </c>
      <c r="BL1212" s="37" t="s">
        <v>197</v>
      </c>
      <c r="BM1212" s="37" t="s">
        <v>197</v>
      </c>
      <c r="BN1212" s="37" t="s">
        <v>197</v>
      </c>
      <c r="BO1212" s="37" t="s">
        <v>197</v>
      </c>
      <c r="BP1212" s="37" t="s">
        <v>197</v>
      </c>
      <c r="BQ1212" s="37" t="s">
        <v>197</v>
      </c>
      <c r="BR1212" s="37" t="s">
        <v>197</v>
      </c>
      <c r="BS1212" s="37" t="s">
        <v>197</v>
      </c>
      <c r="BT1212" s="37" t="s">
        <v>197</v>
      </c>
    </row>
    <row r="1213" spans="5:72" x14ac:dyDescent="0.25">
      <c r="E1213" s="36" t="s">
        <v>21</v>
      </c>
      <c r="F1213" s="36">
        <f t="shared" si="400"/>
        <v>0</v>
      </c>
      <c r="G1213" s="36">
        <f t="shared" si="401"/>
        <v>0</v>
      </c>
      <c r="H1213" s="36">
        <f t="shared" si="402"/>
        <v>0</v>
      </c>
      <c r="I1213" s="36">
        <f t="shared" si="403"/>
        <v>0</v>
      </c>
      <c r="J1213" s="36">
        <f t="shared" si="404"/>
        <v>0</v>
      </c>
      <c r="K1213" s="36">
        <f t="shared" si="405"/>
        <v>0</v>
      </c>
      <c r="L1213" s="36">
        <f t="shared" si="406"/>
        <v>0</v>
      </c>
      <c r="M1213" s="36">
        <f t="shared" si="407"/>
        <v>0</v>
      </c>
      <c r="N1213" s="36">
        <f t="shared" si="408"/>
        <v>0</v>
      </c>
      <c r="O1213" s="36">
        <f t="shared" si="409"/>
        <v>0</v>
      </c>
      <c r="P1213" s="36">
        <f t="shared" si="410"/>
        <v>0</v>
      </c>
      <c r="Q1213" s="36">
        <f t="shared" si="411"/>
        <v>0</v>
      </c>
      <c r="R1213" s="36">
        <f t="shared" si="412"/>
        <v>0</v>
      </c>
      <c r="S1213" s="36">
        <f t="shared" si="413"/>
        <v>0</v>
      </c>
      <c r="T1213" s="36">
        <f t="shared" si="414"/>
        <v>0</v>
      </c>
      <c r="U1213" s="36">
        <f t="shared" si="415"/>
        <v>0</v>
      </c>
      <c r="V1213" s="36">
        <f t="shared" si="416"/>
        <v>0</v>
      </c>
      <c r="W1213" s="36">
        <f t="shared" si="417"/>
        <v>0</v>
      </c>
      <c r="X1213" s="36">
        <f t="shared" si="418"/>
        <v>0</v>
      </c>
      <c r="Y1213" s="36">
        <f t="shared" si="419"/>
        <v>0</v>
      </c>
      <c r="Z1213" s="36">
        <f t="shared" si="420"/>
        <v>0</v>
      </c>
      <c r="AB1213" s="36" t="str">
        <f>IF(最佳化斷筋點!C1213="","",最佳化斷筋點!C1213)</f>
        <v>下層</v>
      </c>
      <c r="AC1213" s="37">
        <f>IF(最佳化斷筋點!D1213="","",最佳化斷筋點!D1213)</f>
        <v>4</v>
      </c>
      <c r="AD1213" s="37">
        <f>IF(最佳化斷筋點!E1213="","",最佳化斷筋點!E1213)</f>
        <v>4</v>
      </c>
      <c r="AE1213" s="37">
        <f>IF(最佳化斷筋點!F1213="","",最佳化斷筋點!F1213)</f>
        <v>4</v>
      </c>
      <c r="AF1213" s="37">
        <f>IF(最佳化斷筋點!G1213="","",最佳化斷筋點!G1213)</f>
        <v>4</v>
      </c>
      <c r="AG1213" s="37">
        <f>IF(最佳化斷筋點!H1213="","",最佳化斷筋點!H1213)</f>
        <v>4</v>
      </c>
      <c r="AH1213" s="37">
        <f>IF(最佳化斷筋點!I1213="","",最佳化斷筋點!I1213)</f>
        <v>4</v>
      </c>
      <c r="AI1213" s="37">
        <f>IF(最佳化斷筋點!J1213="","",最佳化斷筋點!J1213)</f>
        <v>3</v>
      </c>
      <c r="AJ1213" s="37">
        <f>IF(最佳化斷筋點!K1213="","",最佳化斷筋點!K1213)</f>
        <v>3</v>
      </c>
      <c r="AK1213" s="37">
        <f>IF(最佳化斷筋點!L1213="","",最佳化斷筋點!L1213)</f>
        <v>3</v>
      </c>
      <c r="AL1213" s="37">
        <f>IF(最佳化斷筋點!M1213="","",最佳化斷筋點!M1213)</f>
        <v>3</v>
      </c>
      <c r="AM1213" s="37">
        <f>IF(最佳化斷筋點!N1213="","",最佳化斷筋點!N1213)</f>
        <v>3</v>
      </c>
      <c r="AN1213" s="37">
        <f>IF(最佳化斷筋點!O1213="","",最佳化斷筋點!O1213)</f>
        <v>3</v>
      </c>
      <c r="AO1213" s="37">
        <f>IF(最佳化斷筋點!P1213="","",最佳化斷筋點!P1213)</f>
        <v>3</v>
      </c>
      <c r="AP1213" s="37">
        <f>IF(最佳化斷筋點!Q1213="","",最佳化斷筋點!Q1213)</f>
        <v>3</v>
      </c>
      <c r="AQ1213" s="37">
        <f>IF(最佳化斷筋點!R1213="","",最佳化斷筋點!R1213)</f>
        <v>3</v>
      </c>
      <c r="AR1213" s="37">
        <f>IF(最佳化斷筋點!S1213="","",最佳化斷筋點!S1213)</f>
        <v>3</v>
      </c>
      <c r="AS1213" s="37">
        <f>IF(最佳化斷筋點!T1213="","",最佳化斷筋點!T1213)</f>
        <v>3</v>
      </c>
      <c r="AT1213" s="37">
        <f>IF(最佳化斷筋點!U1213="","",最佳化斷筋點!U1213)</f>
        <v>3</v>
      </c>
      <c r="AU1213" s="37">
        <f>IF(最佳化斷筋點!V1213="","",最佳化斷筋點!V1213)</f>
        <v>3</v>
      </c>
      <c r="AV1213" s="37">
        <f>IF(最佳化斷筋點!W1213="","",最佳化斷筋點!W1213)</f>
        <v>3</v>
      </c>
      <c r="AW1213" s="37">
        <f>IF(最佳化斷筋點!X1213="","",最佳化斷筋點!X1213)</f>
        <v>3</v>
      </c>
      <c r="AZ1213" s="37">
        <v>4</v>
      </c>
      <c r="BA1213" s="37">
        <v>4</v>
      </c>
      <c r="BB1213" s="37">
        <v>4</v>
      </c>
      <c r="BC1213" s="37">
        <v>4</v>
      </c>
      <c r="BD1213" s="37">
        <v>4</v>
      </c>
      <c r="BE1213" s="37">
        <v>4</v>
      </c>
      <c r="BF1213" s="37">
        <v>3</v>
      </c>
      <c r="BG1213" s="37">
        <v>3</v>
      </c>
      <c r="BH1213" s="37">
        <v>3</v>
      </c>
      <c r="BI1213" s="37">
        <v>3</v>
      </c>
      <c r="BJ1213" s="37">
        <v>3</v>
      </c>
      <c r="BK1213" s="37">
        <v>3</v>
      </c>
      <c r="BL1213" s="37">
        <v>3</v>
      </c>
      <c r="BM1213" s="37">
        <v>3</v>
      </c>
      <c r="BN1213" s="37">
        <v>3</v>
      </c>
      <c r="BO1213" s="37">
        <v>3</v>
      </c>
      <c r="BP1213" s="37">
        <v>3</v>
      </c>
      <c r="BQ1213" s="37">
        <v>3</v>
      </c>
      <c r="BR1213" s="37">
        <v>3</v>
      </c>
      <c r="BS1213" s="37">
        <v>3</v>
      </c>
      <c r="BT1213" s="37">
        <v>3</v>
      </c>
    </row>
    <row r="1214" spans="5:72" x14ac:dyDescent="0.25">
      <c r="E1214" s="36"/>
      <c r="F1214" s="36">
        <f t="shared" si="400"/>
        <v>0</v>
      </c>
      <c r="G1214" s="36">
        <f t="shared" si="401"/>
        <v>0</v>
      </c>
      <c r="H1214" s="36">
        <f t="shared" si="402"/>
        <v>0</v>
      </c>
      <c r="I1214" s="36">
        <f t="shared" si="403"/>
        <v>0</v>
      </c>
      <c r="J1214" s="36">
        <f t="shared" si="404"/>
        <v>0</v>
      </c>
      <c r="K1214" s="36">
        <f t="shared" si="405"/>
        <v>0</v>
      </c>
      <c r="L1214" s="36">
        <f t="shared" si="406"/>
        <v>0</v>
      </c>
      <c r="M1214" s="36">
        <f t="shared" si="407"/>
        <v>0</v>
      </c>
      <c r="N1214" s="36">
        <f t="shared" si="408"/>
        <v>0</v>
      </c>
      <c r="O1214" s="36">
        <f t="shared" si="409"/>
        <v>0</v>
      </c>
      <c r="P1214" s="36">
        <f t="shared" si="410"/>
        <v>0</v>
      </c>
      <c r="Q1214" s="36">
        <f t="shared" si="411"/>
        <v>0</v>
      </c>
      <c r="R1214" s="36">
        <f t="shared" si="412"/>
        <v>0</v>
      </c>
      <c r="S1214" s="36">
        <f t="shared" si="413"/>
        <v>0</v>
      </c>
      <c r="T1214" s="36">
        <f t="shared" si="414"/>
        <v>0</v>
      </c>
      <c r="U1214" s="36">
        <f t="shared" si="415"/>
        <v>0</v>
      </c>
      <c r="V1214" s="36">
        <f t="shared" si="416"/>
        <v>0</v>
      </c>
      <c r="W1214" s="36">
        <f t="shared" si="417"/>
        <v>0</v>
      </c>
      <c r="X1214" s="36">
        <f t="shared" si="418"/>
        <v>0</v>
      </c>
      <c r="Y1214" s="36">
        <f t="shared" si="419"/>
        <v>0</v>
      </c>
      <c r="Z1214" s="36">
        <f t="shared" si="420"/>
        <v>0</v>
      </c>
      <c r="AB1214" s="36" t="str">
        <f>IF(最佳化斷筋點!C1214="","",最佳化斷筋點!C1214)</f>
        <v/>
      </c>
      <c r="AC1214" s="37" t="str">
        <f>IF(最佳化斷筋點!D1214="","",最佳化斷筋點!D1214)</f>
        <v/>
      </c>
      <c r="AD1214" s="37" t="str">
        <f>IF(最佳化斷筋點!E1214="","",最佳化斷筋點!E1214)</f>
        <v/>
      </c>
      <c r="AE1214" s="37" t="str">
        <f>IF(最佳化斷筋點!F1214="","",最佳化斷筋點!F1214)</f>
        <v/>
      </c>
      <c r="AF1214" s="37" t="str">
        <f>IF(最佳化斷筋點!G1214="","",最佳化斷筋點!G1214)</f>
        <v/>
      </c>
      <c r="AG1214" s="37" t="str">
        <f>IF(最佳化斷筋點!H1214="","",最佳化斷筋點!H1214)</f>
        <v/>
      </c>
      <c r="AH1214" s="37" t="str">
        <f>IF(最佳化斷筋點!I1214="","",最佳化斷筋點!I1214)</f>
        <v/>
      </c>
      <c r="AI1214" s="37" t="str">
        <f>IF(最佳化斷筋點!J1214="","",最佳化斷筋點!J1214)</f>
        <v/>
      </c>
      <c r="AJ1214" s="37" t="str">
        <f>IF(最佳化斷筋點!K1214="","",最佳化斷筋點!K1214)</f>
        <v/>
      </c>
      <c r="AK1214" s="37" t="str">
        <f>IF(最佳化斷筋點!L1214="","",最佳化斷筋點!L1214)</f>
        <v/>
      </c>
      <c r="AL1214" s="37" t="str">
        <f>IF(最佳化斷筋點!M1214="","",最佳化斷筋點!M1214)</f>
        <v/>
      </c>
      <c r="AM1214" s="37" t="str">
        <f>IF(最佳化斷筋點!N1214="","",最佳化斷筋點!N1214)</f>
        <v/>
      </c>
      <c r="AN1214" s="37" t="str">
        <f>IF(最佳化斷筋點!O1214="","",最佳化斷筋點!O1214)</f>
        <v/>
      </c>
      <c r="AO1214" s="37" t="str">
        <f>IF(最佳化斷筋點!P1214="","",最佳化斷筋點!P1214)</f>
        <v/>
      </c>
      <c r="AP1214" s="37" t="str">
        <f>IF(最佳化斷筋點!Q1214="","",最佳化斷筋點!Q1214)</f>
        <v/>
      </c>
      <c r="AQ1214" s="37" t="str">
        <f>IF(最佳化斷筋點!R1214="","",最佳化斷筋點!R1214)</f>
        <v/>
      </c>
      <c r="AR1214" s="37" t="str">
        <f>IF(最佳化斷筋點!S1214="","",最佳化斷筋點!S1214)</f>
        <v/>
      </c>
      <c r="AS1214" s="37" t="str">
        <f>IF(最佳化斷筋點!T1214="","",最佳化斷筋點!T1214)</f>
        <v/>
      </c>
      <c r="AT1214" s="37" t="str">
        <f>IF(最佳化斷筋點!U1214="","",最佳化斷筋點!U1214)</f>
        <v/>
      </c>
      <c r="AU1214" s="37" t="str">
        <f>IF(最佳化斷筋點!V1214="","",最佳化斷筋點!V1214)</f>
        <v/>
      </c>
      <c r="AV1214" s="37" t="str">
        <f>IF(最佳化斷筋點!W1214="","",最佳化斷筋點!W1214)</f>
        <v/>
      </c>
      <c r="AW1214" s="37" t="str">
        <f>IF(最佳化斷筋點!X1214="","",最佳化斷筋點!X1214)</f>
        <v/>
      </c>
      <c r="AZ1214" s="37" t="s">
        <v>197</v>
      </c>
      <c r="BA1214" s="37" t="s">
        <v>197</v>
      </c>
      <c r="BB1214" s="37" t="s">
        <v>197</v>
      </c>
      <c r="BC1214" s="37" t="s">
        <v>197</v>
      </c>
      <c r="BD1214" s="37" t="s">
        <v>197</v>
      </c>
      <c r="BE1214" s="37" t="s">
        <v>197</v>
      </c>
      <c r="BF1214" s="37" t="s">
        <v>197</v>
      </c>
      <c r="BG1214" s="37" t="s">
        <v>197</v>
      </c>
      <c r="BH1214" s="37" t="s">
        <v>197</v>
      </c>
      <c r="BI1214" s="37" t="s">
        <v>197</v>
      </c>
      <c r="BJ1214" s="37" t="s">
        <v>197</v>
      </c>
      <c r="BK1214" s="37" t="s">
        <v>197</v>
      </c>
      <c r="BL1214" s="37" t="s">
        <v>197</v>
      </c>
      <c r="BM1214" s="37" t="s">
        <v>197</v>
      </c>
      <c r="BN1214" s="37" t="s">
        <v>197</v>
      </c>
      <c r="BO1214" s="37" t="s">
        <v>197</v>
      </c>
      <c r="BP1214" s="37" t="s">
        <v>197</v>
      </c>
      <c r="BQ1214" s="37" t="s">
        <v>197</v>
      </c>
      <c r="BR1214" s="37" t="s">
        <v>197</v>
      </c>
      <c r="BS1214" s="37" t="s">
        <v>197</v>
      </c>
      <c r="BT1214" s="37" t="s">
        <v>197</v>
      </c>
    </row>
    <row r="1215" spans="5:72" x14ac:dyDescent="0.25">
      <c r="E1215" s="36" t="s">
        <v>20</v>
      </c>
      <c r="F1215" s="36">
        <f t="shared" si="400"/>
        <v>0</v>
      </c>
      <c r="G1215" s="36">
        <f t="shared" si="401"/>
        <v>0</v>
      </c>
      <c r="H1215" s="36">
        <f t="shared" si="402"/>
        <v>0</v>
      </c>
      <c r="I1215" s="36">
        <f t="shared" si="403"/>
        <v>0</v>
      </c>
      <c r="J1215" s="36">
        <f t="shared" si="404"/>
        <v>0</v>
      </c>
      <c r="K1215" s="36">
        <f t="shared" si="405"/>
        <v>0</v>
      </c>
      <c r="L1215" s="36">
        <f t="shared" si="406"/>
        <v>0</v>
      </c>
      <c r="M1215" s="36">
        <f t="shared" si="407"/>
        <v>0</v>
      </c>
      <c r="N1215" s="36">
        <f t="shared" si="408"/>
        <v>0</v>
      </c>
      <c r="O1215" s="36">
        <f t="shared" si="409"/>
        <v>0</v>
      </c>
      <c r="P1215" s="36">
        <f t="shared" si="410"/>
        <v>0</v>
      </c>
      <c r="Q1215" s="36">
        <f t="shared" si="411"/>
        <v>0</v>
      </c>
      <c r="R1215" s="36">
        <f t="shared" si="412"/>
        <v>0</v>
      </c>
      <c r="S1215" s="36">
        <f t="shared" si="413"/>
        <v>0</v>
      </c>
      <c r="T1215" s="36">
        <f t="shared" si="414"/>
        <v>0</v>
      </c>
      <c r="U1215" s="36">
        <f t="shared" si="415"/>
        <v>0</v>
      </c>
      <c r="V1215" s="36">
        <f t="shared" si="416"/>
        <v>0</v>
      </c>
      <c r="W1215" s="36">
        <f t="shared" si="417"/>
        <v>0</v>
      </c>
      <c r="X1215" s="36">
        <f t="shared" si="418"/>
        <v>0</v>
      </c>
      <c r="Y1215" s="36">
        <f t="shared" si="419"/>
        <v>0</v>
      </c>
      <c r="Z1215" s="36">
        <f t="shared" si="420"/>
        <v>0</v>
      </c>
      <c r="AB1215" s="36" t="str">
        <f>IF(最佳化斷筋點!C1215="","",最佳化斷筋點!C1215)</f>
        <v>上層</v>
      </c>
      <c r="AC1215" s="37">
        <f>IF(最佳化斷筋點!D1215="","",最佳化斷筋點!D1215)</f>
        <v>3</v>
      </c>
      <c r="AD1215" s="37">
        <f>IF(最佳化斷筋點!E1215="","",最佳化斷筋點!E1215)</f>
        <v>3</v>
      </c>
      <c r="AE1215" s="37">
        <f>IF(最佳化斷筋點!F1215="","",最佳化斷筋點!F1215)</f>
        <v>3</v>
      </c>
      <c r="AF1215" s="37">
        <f>IF(最佳化斷筋點!G1215="","",最佳化斷筋點!G1215)</f>
        <v>3</v>
      </c>
      <c r="AG1215" s="37">
        <f>IF(最佳化斷筋點!H1215="","",最佳化斷筋點!H1215)</f>
        <v>3</v>
      </c>
      <c r="AH1215" s="37">
        <f>IF(最佳化斷筋點!I1215="","",最佳化斷筋點!I1215)</f>
        <v>3</v>
      </c>
      <c r="AI1215" s="37">
        <f>IF(最佳化斷筋點!J1215="","",最佳化斷筋點!J1215)</f>
        <v>3</v>
      </c>
      <c r="AJ1215" s="37">
        <f>IF(最佳化斷筋點!K1215="","",最佳化斷筋點!K1215)</f>
        <v>2</v>
      </c>
      <c r="AK1215" s="37">
        <f>IF(最佳化斷筋點!L1215="","",最佳化斷筋點!L1215)</f>
        <v>2</v>
      </c>
      <c r="AL1215" s="37">
        <f>IF(最佳化斷筋點!M1215="","",最佳化斷筋點!M1215)</f>
        <v>2</v>
      </c>
      <c r="AM1215" s="37">
        <f>IF(最佳化斷筋點!N1215="","",最佳化斷筋點!N1215)</f>
        <v>2</v>
      </c>
      <c r="AN1215" s="37">
        <f>IF(最佳化斷筋點!O1215="","",最佳化斷筋點!O1215)</f>
        <v>2</v>
      </c>
      <c r="AO1215" s="37">
        <f>IF(最佳化斷筋點!P1215="","",最佳化斷筋點!P1215)</f>
        <v>2</v>
      </c>
      <c r="AP1215" s="37">
        <f>IF(最佳化斷筋點!Q1215="","",最佳化斷筋點!Q1215)</f>
        <v>2</v>
      </c>
      <c r="AQ1215" s="37">
        <f>IF(最佳化斷筋點!R1215="","",最佳化斷筋點!R1215)</f>
        <v>3</v>
      </c>
      <c r="AR1215" s="37">
        <f>IF(最佳化斷筋點!S1215="","",最佳化斷筋點!S1215)</f>
        <v>3</v>
      </c>
      <c r="AS1215" s="37">
        <f>IF(最佳化斷筋點!T1215="","",最佳化斷筋點!T1215)</f>
        <v>3</v>
      </c>
      <c r="AT1215" s="37">
        <f>IF(最佳化斷筋點!U1215="","",最佳化斷筋點!U1215)</f>
        <v>3</v>
      </c>
      <c r="AU1215" s="37">
        <f>IF(最佳化斷筋點!V1215="","",最佳化斷筋點!V1215)</f>
        <v>3</v>
      </c>
      <c r="AV1215" s="37">
        <f>IF(最佳化斷筋點!W1215="","",最佳化斷筋點!W1215)</f>
        <v>3</v>
      </c>
      <c r="AW1215" s="37">
        <f>IF(最佳化斷筋點!X1215="","",最佳化斷筋點!X1215)</f>
        <v>3</v>
      </c>
      <c r="AZ1215" s="37">
        <v>3</v>
      </c>
      <c r="BA1215" s="37">
        <v>3</v>
      </c>
      <c r="BB1215" s="37">
        <v>3</v>
      </c>
      <c r="BC1215" s="37">
        <v>3</v>
      </c>
      <c r="BD1215" s="37">
        <v>3</v>
      </c>
      <c r="BE1215" s="37">
        <v>3</v>
      </c>
      <c r="BF1215" s="37">
        <v>3</v>
      </c>
      <c r="BG1215" s="37">
        <v>2</v>
      </c>
      <c r="BH1215" s="37">
        <v>2</v>
      </c>
      <c r="BI1215" s="37">
        <v>2</v>
      </c>
      <c r="BJ1215" s="37">
        <v>2</v>
      </c>
      <c r="BK1215" s="37">
        <v>2</v>
      </c>
      <c r="BL1215" s="37">
        <v>2</v>
      </c>
      <c r="BM1215" s="37">
        <v>2</v>
      </c>
      <c r="BN1215" s="37">
        <v>3</v>
      </c>
      <c r="BO1215" s="37">
        <v>3</v>
      </c>
      <c r="BP1215" s="37">
        <v>3</v>
      </c>
      <c r="BQ1215" s="37">
        <v>3</v>
      </c>
      <c r="BR1215" s="37">
        <v>3</v>
      </c>
      <c r="BS1215" s="37">
        <v>3</v>
      </c>
      <c r="BT1215" s="37">
        <v>3</v>
      </c>
    </row>
    <row r="1216" spans="5:72" x14ac:dyDescent="0.25">
      <c r="E1216" s="36"/>
      <c r="F1216" s="36">
        <f t="shared" si="400"/>
        <v>0</v>
      </c>
      <c r="G1216" s="36">
        <f t="shared" si="401"/>
        <v>0</v>
      </c>
      <c r="H1216" s="36">
        <f t="shared" si="402"/>
        <v>0</v>
      </c>
      <c r="I1216" s="36">
        <f t="shared" si="403"/>
        <v>0</v>
      </c>
      <c r="J1216" s="36">
        <f t="shared" si="404"/>
        <v>0</v>
      </c>
      <c r="K1216" s="36">
        <f t="shared" si="405"/>
        <v>0</v>
      </c>
      <c r="L1216" s="36">
        <f t="shared" si="406"/>
        <v>0</v>
      </c>
      <c r="M1216" s="36">
        <f t="shared" si="407"/>
        <v>0</v>
      </c>
      <c r="N1216" s="36">
        <f t="shared" si="408"/>
        <v>0</v>
      </c>
      <c r="O1216" s="36">
        <f t="shared" si="409"/>
        <v>0</v>
      </c>
      <c r="P1216" s="36">
        <f t="shared" si="410"/>
        <v>0</v>
      </c>
      <c r="Q1216" s="36">
        <f t="shared" si="411"/>
        <v>0</v>
      </c>
      <c r="R1216" s="36">
        <f t="shared" si="412"/>
        <v>0</v>
      </c>
      <c r="S1216" s="36">
        <f t="shared" si="413"/>
        <v>0</v>
      </c>
      <c r="T1216" s="36">
        <f t="shared" si="414"/>
        <v>0</v>
      </c>
      <c r="U1216" s="36">
        <f t="shared" si="415"/>
        <v>0</v>
      </c>
      <c r="V1216" s="36">
        <f t="shared" si="416"/>
        <v>0</v>
      </c>
      <c r="W1216" s="36">
        <f t="shared" si="417"/>
        <v>0</v>
      </c>
      <c r="X1216" s="36">
        <f t="shared" si="418"/>
        <v>0</v>
      </c>
      <c r="Y1216" s="36">
        <f t="shared" si="419"/>
        <v>0</v>
      </c>
      <c r="Z1216" s="36">
        <f t="shared" si="420"/>
        <v>0</v>
      </c>
      <c r="AB1216" s="36" t="str">
        <f>IF(最佳化斷筋點!C1216="","",最佳化斷筋點!C1216)</f>
        <v/>
      </c>
      <c r="AC1216" s="37" t="str">
        <f>IF(最佳化斷筋點!D1216="","",最佳化斷筋點!D1216)</f>
        <v/>
      </c>
      <c r="AD1216" s="37" t="str">
        <f>IF(最佳化斷筋點!E1216="","",最佳化斷筋點!E1216)</f>
        <v/>
      </c>
      <c r="AE1216" s="37" t="str">
        <f>IF(最佳化斷筋點!F1216="","",最佳化斷筋點!F1216)</f>
        <v/>
      </c>
      <c r="AF1216" s="37" t="str">
        <f>IF(最佳化斷筋點!G1216="","",最佳化斷筋點!G1216)</f>
        <v/>
      </c>
      <c r="AG1216" s="37" t="str">
        <f>IF(最佳化斷筋點!H1216="","",最佳化斷筋點!H1216)</f>
        <v/>
      </c>
      <c r="AH1216" s="37" t="str">
        <f>IF(最佳化斷筋點!I1216="","",最佳化斷筋點!I1216)</f>
        <v/>
      </c>
      <c r="AI1216" s="37" t="str">
        <f>IF(最佳化斷筋點!J1216="","",最佳化斷筋點!J1216)</f>
        <v/>
      </c>
      <c r="AJ1216" s="37" t="str">
        <f>IF(最佳化斷筋點!K1216="","",最佳化斷筋點!K1216)</f>
        <v/>
      </c>
      <c r="AK1216" s="37" t="str">
        <f>IF(最佳化斷筋點!L1216="","",最佳化斷筋點!L1216)</f>
        <v/>
      </c>
      <c r="AL1216" s="37" t="str">
        <f>IF(最佳化斷筋點!M1216="","",最佳化斷筋點!M1216)</f>
        <v/>
      </c>
      <c r="AM1216" s="37" t="str">
        <f>IF(最佳化斷筋點!N1216="","",最佳化斷筋點!N1216)</f>
        <v/>
      </c>
      <c r="AN1216" s="37" t="str">
        <f>IF(最佳化斷筋點!O1216="","",最佳化斷筋點!O1216)</f>
        <v/>
      </c>
      <c r="AO1216" s="37" t="str">
        <f>IF(最佳化斷筋點!P1216="","",最佳化斷筋點!P1216)</f>
        <v/>
      </c>
      <c r="AP1216" s="37" t="str">
        <f>IF(最佳化斷筋點!Q1216="","",最佳化斷筋點!Q1216)</f>
        <v/>
      </c>
      <c r="AQ1216" s="37" t="str">
        <f>IF(最佳化斷筋點!R1216="","",最佳化斷筋點!R1216)</f>
        <v/>
      </c>
      <c r="AR1216" s="37" t="str">
        <f>IF(最佳化斷筋點!S1216="","",最佳化斷筋點!S1216)</f>
        <v/>
      </c>
      <c r="AS1216" s="37" t="str">
        <f>IF(最佳化斷筋點!T1216="","",最佳化斷筋點!T1216)</f>
        <v/>
      </c>
      <c r="AT1216" s="37" t="str">
        <f>IF(最佳化斷筋點!U1216="","",最佳化斷筋點!U1216)</f>
        <v/>
      </c>
      <c r="AU1216" s="37" t="str">
        <f>IF(最佳化斷筋點!V1216="","",最佳化斷筋點!V1216)</f>
        <v/>
      </c>
      <c r="AV1216" s="37" t="str">
        <f>IF(最佳化斷筋點!W1216="","",最佳化斷筋點!W1216)</f>
        <v/>
      </c>
      <c r="AW1216" s="37" t="str">
        <f>IF(最佳化斷筋點!X1216="","",最佳化斷筋點!X1216)</f>
        <v/>
      </c>
      <c r="AZ1216" s="37" t="s">
        <v>197</v>
      </c>
      <c r="BA1216" s="37" t="s">
        <v>197</v>
      </c>
      <c r="BB1216" s="37" t="s">
        <v>197</v>
      </c>
      <c r="BC1216" s="37" t="s">
        <v>197</v>
      </c>
      <c r="BD1216" s="37" t="s">
        <v>197</v>
      </c>
      <c r="BE1216" s="37" t="s">
        <v>197</v>
      </c>
      <c r="BF1216" s="37" t="s">
        <v>197</v>
      </c>
      <c r="BG1216" s="37" t="s">
        <v>197</v>
      </c>
      <c r="BH1216" s="37" t="s">
        <v>197</v>
      </c>
      <c r="BI1216" s="37" t="s">
        <v>197</v>
      </c>
      <c r="BJ1216" s="37" t="s">
        <v>197</v>
      </c>
      <c r="BK1216" s="37" t="s">
        <v>197</v>
      </c>
      <c r="BL1216" s="37" t="s">
        <v>197</v>
      </c>
      <c r="BM1216" s="37" t="s">
        <v>197</v>
      </c>
      <c r="BN1216" s="37" t="s">
        <v>197</v>
      </c>
      <c r="BO1216" s="37" t="s">
        <v>197</v>
      </c>
      <c r="BP1216" s="37" t="s">
        <v>197</v>
      </c>
      <c r="BQ1216" s="37" t="s">
        <v>197</v>
      </c>
      <c r="BR1216" s="37" t="s">
        <v>197</v>
      </c>
      <c r="BS1216" s="37" t="s">
        <v>197</v>
      </c>
      <c r="BT1216" s="37" t="s">
        <v>197</v>
      </c>
    </row>
    <row r="1217" spans="5:72" x14ac:dyDescent="0.25">
      <c r="E1217" s="36" t="s">
        <v>21</v>
      </c>
      <c r="F1217" s="36">
        <f t="shared" si="400"/>
        <v>0</v>
      </c>
      <c r="G1217" s="36">
        <f t="shared" si="401"/>
        <v>0</v>
      </c>
      <c r="H1217" s="36">
        <f t="shared" si="402"/>
        <v>0</v>
      </c>
      <c r="I1217" s="36">
        <f t="shared" si="403"/>
        <v>0</v>
      </c>
      <c r="J1217" s="36">
        <f t="shared" si="404"/>
        <v>0</v>
      </c>
      <c r="K1217" s="36">
        <f t="shared" si="405"/>
        <v>0</v>
      </c>
      <c r="L1217" s="36">
        <f t="shared" si="406"/>
        <v>0</v>
      </c>
      <c r="M1217" s="36">
        <f t="shared" si="407"/>
        <v>0</v>
      </c>
      <c r="N1217" s="36">
        <f t="shared" si="408"/>
        <v>0</v>
      </c>
      <c r="O1217" s="36">
        <f t="shared" si="409"/>
        <v>0</v>
      </c>
      <c r="P1217" s="36">
        <f t="shared" si="410"/>
        <v>0</v>
      </c>
      <c r="Q1217" s="36">
        <f t="shared" si="411"/>
        <v>0</v>
      </c>
      <c r="R1217" s="36">
        <f t="shared" si="412"/>
        <v>0</v>
      </c>
      <c r="S1217" s="36">
        <f t="shared" si="413"/>
        <v>0</v>
      </c>
      <c r="T1217" s="36">
        <f t="shared" si="414"/>
        <v>0</v>
      </c>
      <c r="U1217" s="36">
        <f t="shared" si="415"/>
        <v>0</v>
      </c>
      <c r="V1217" s="36">
        <f t="shared" si="416"/>
        <v>0</v>
      </c>
      <c r="W1217" s="36">
        <f t="shared" si="417"/>
        <v>0</v>
      </c>
      <c r="X1217" s="36">
        <f t="shared" si="418"/>
        <v>0</v>
      </c>
      <c r="Y1217" s="36">
        <f t="shared" si="419"/>
        <v>0</v>
      </c>
      <c r="Z1217" s="36">
        <f t="shared" si="420"/>
        <v>0</v>
      </c>
      <c r="AB1217" s="36" t="str">
        <f>IF(最佳化斷筋點!C1217="","",最佳化斷筋點!C1217)</f>
        <v>下層</v>
      </c>
      <c r="AC1217" s="37">
        <f>IF(最佳化斷筋點!D1217="","",最佳化斷筋點!D1217)</f>
        <v>2</v>
      </c>
      <c r="AD1217" s="37">
        <f>IF(最佳化斷筋點!E1217="","",最佳化斷筋點!E1217)</f>
        <v>2</v>
      </c>
      <c r="AE1217" s="37">
        <f>IF(最佳化斷筋點!F1217="","",最佳化斷筋點!F1217)</f>
        <v>2</v>
      </c>
      <c r="AF1217" s="37">
        <f>IF(最佳化斷筋點!G1217="","",最佳化斷筋點!G1217)</f>
        <v>2</v>
      </c>
      <c r="AG1217" s="37">
        <f>IF(最佳化斷筋點!H1217="","",最佳化斷筋點!H1217)</f>
        <v>3</v>
      </c>
      <c r="AH1217" s="37">
        <f>IF(最佳化斷筋點!I1217="","",最佳化斷筋點!I1217)</f>
        <v>3</v>
      </c>
      <c r="AI1217" s="37">
        <f>IF(最佳化斷筋點!J1217="","",最佳化斷筋點!J1217)</f>
        <v>3</v>
      </c>
      <c r="AJ1217" s="37">
        <f>IF(最佳化斷筋點!K1217="","",最佳化斷筋點!K1217)</f>
        <v>3</v>
      </c>
      <c r="AK1217" s="37">
        <f>IF(最佳化斷筋點!L1217="","",最佳化斷筋點!L1217)</f>
        <v>3</v>
      </c>
      <c r="AL1217" s="37">
        <f>IF(最佳化斷筋點!M1217="","",最佳化斷筋點!M1217)</f>
        <v>3</v>
      </c>
      <c r="AM1217" s="37">
        <f>IF(最佳化斷筋點!N1217="","",最佳化斷筋點!N1217)</f>
        <v>3</v>
      </c>
      <c r="AN1217" s="37">
        <f>IF(最佳化斷筋點!O1217="","",最佳化斷筋點!O1217)</f>
        <v>3</v>
      </c>
      <c r="AO1217" s="37">
        <f>IF(最佳化斷筋點!P1217="","",最佳化斷筋點!P1217)</f>
        <v>3</v>
      </c>
      <c r="AP1217" s="37">
        <f>IF(最佳化斷筋點!Q1217="","",最佳化斷筋點!Q1217)</f>
        <v>3</v>
      </c>
      <c r="AQ1217" s="37">
        <f>IF(最佳化斷筋點!R1217="","",最佳化斷筋點!R1217)</f>
        <v>3</v>
      </c>
      <c r="AR1217" s="37">
        <f>IF(最佳化斷筋點!S1217="","",最佳化斷筋點!S1217)</f>
        <v>3</v>
      </c>
      <c r="AS1217" s="37">
        <f>IF(最佳化斷筋點!T1217="","",最佳化斷筋點!T1217)</f>
        <v>3</v>
      </c>
      <c r="AT1217" s="37">
        <f>IF(最佳化斷筋點!U1217="","",最佳化斷筋點!U1217)</f>
        <v>2</v>
      </c>
      <c r="AU1217" s="37">
        <f>IF(最佳化斷筋點!V1217="","",最佳化斷筋點!V1217)</f>
        <v>2</v>
      </c>
      <c r="AV1217" s="37">
        <f>IF(最佳化斷筋點!W1217="","",最佳化斷筋點!W1217)</f>
        <v>2</v>
      </c>
      <c r="AW1217" s="37">
        <f>IF(最佳化斷筋點!X1217="","",最佳化斷筋點!X1217)</f>
        <v>2</v>
      </c>
      <c r="AZ1217" s="37">
        <v>2</v>
      </c>
      <c r="BA1217" s="37">
        <v>2</v>
      </c>
      <c r="BB1217" s="37">
        <v>2</v>
      </c>
      <c r="BC1217" s="37">
        <v>2</v>
      </c>
      <c r="BD1217" s="37">
        <v>3</v>
      </c>
      <c r="BE1217" s="37">
        <v>3</v>
      </c>
      <c r="BF1217" s="37">
        <v>3</v>
      </c>
      <c r="BG1217" s="37">
        <v>3</v>
      </c>
      <c r="BH1217" s="37">
        <v>3</v>
      </c>
      <c r="BI1217" s="37">
        <v>3</v>
      </c>
      <c r="BJ1217" s="37">
        <v>3</v>
      </c>
      <c r="BK1217" s="37">
        <v>3</v>
      </c>
      <c r="BL1217" s="37">
        <v>3</v>
      </c>
      <c r="BM1217" s="37">
        <v>3</v>
      </c>
      <c r="BN1217" s="37">
        <v>3</v>
      </c>
      <c r="BO1217" s="37">
        <v>3</v>
      </c>
      <c r="BP1217" s="37">
        <v>3</v>
      </c>
      <c r="BQ1217" s="37">
        <v>2</v>
      </c>
      <c r="BR1217" s="37">
        <v>2</v>
      </c>
      <c r="BS1217" s="37">
        <v>2</v>
      </c>
      <c r="BT1217" s="37">
        <v>2</v>
      </c>
    </row>
    <row r="1218" spans="5:72" x14ac:dyDescent="0.25">
      <c r="E1218" s="36"/>
      <c r="F1218" s="36">
        <f t="shared" si="400"/>
        <v>0</v>
      </c>
      <c r="G1218" s="36">
        <f t="shared" si="401"/>
        <v>0</v>
      </c>
      <c r="H1218" s="36">
        <f t="shared" si="402"/>
        <v>0</v>
      </c>
      <c r="I1218" s="36">
        <f t="shared" si="403"/>
        <v>0</v>
      </c>
      <c r="J1218" s="36">
        <f t="shared" si="404"/>
        <v>0</v>
      </c>
      <c r="K1218" s="36">
        <f t="shared" si="405"/>
        <v>0</v>
      </c>
      <c r="L1218" s="36">
        <f t="shared" si="406"/>
        <v>0</v>
      </c>
      <c r="M1218" s="36">
        <f t="shared" si="407"/>
        <v>0</v>
      </c>
      <c r="N1218" s="36">
        <f t="shared" si="408"/>
        <v>0</v>
      </c>
      <c r="O1218" s="36">
        <f t="shared" si="409"/>
        <v>0</v>
      </c>
      <c r="P1218" s="36">
        <f t="shared" si="410"/>
        <v>0</v>
      </c>
      <c r="Q1218" s="36">
        <f t="shared" si="411"/>
        <v>0</v>
      </c>
      <c r="R1218" s="36">
        <f t="shared" si="412"/>
        <v>0</v>
      </c>
      <c r="S1218" s="36">
        <f t="shared" si="413"/>
        <v>0</v>
      </c>
      <c r="T1218" s="36">
        <f t="shared" si="414"/>
        <v>0</v>
      </c>
      <c r="U1218" s="36">
        <f t="shared" si="415"/>
        <v>0</v>
      </c>
      <c r="V1218" s="36">
        <f t="shared" si="416"/>
        <v>0</v>
      </c>
      <c r="W1218" s="36">
        <f t="shared" si="417"/>
        <v>0</v>
      </c>
      <c r="X1218" s="36">
        <f t="shared" si="418"/>
        <v>0</v>
      </c>
      <c r="Y1218" s="36">
        <f t="shared" si="419"/>
        <v>0</v>
      </c>
      <c r="Z1218" s="36">
        <f t="shared" si="420"/>
        <v>0</v>
      </c>
      <c r="AB1218" s="36" t="str">
        <f>IF(最佳化斷筋點!C1218="","",最佳化斷筋點!C1218)</f>
        <v/>
      </c>
      <c r="AC1218" s="37" t="str">
        <f>IF(最佳化斷筋點!D1218="","",最佳化斷筋點!D1218)</f>
        <v/>
      </c>
      <c r="AD1218" s="37" t="str">
        <f>IF(最佳化斷筋點!E1218="","",最佳化斷筋點!E1218)</f>
        <v/>
      </c>
      <c r="AE1218" s="37" t="str">
        <f>IF(最佳化斷筋點!F1218="","",最佳化斷筋點!F1218)</f>
        <v/>
      </c>
      <c r="AF1218" s="37" t="str">
        <f>IF(最佳化斷筋點!G1218="","",最佳化斷筋點!G1218)</f>
        <v/>
      </c>
      <c r="AG1218" s="37" t="str">
        <f>IF(最佳化斷筋點!H1218="","",最佳化斷筋點!H1218)</f>
        <v/>
      </c>
      <c r="AH1218" s="37" t="str">
        <f>IF(最佳化斷筋點!I1218="","",最佳化斷筋點!I1218)</f>
        <v/>
      </c>
      <c r="AI1218" s="37" t="str">
        <f>IF(最佳化斷筋點!J1218="","",最佳化斷筋點!J1218)</f>
        <v/>
      </c>
      <c r="AJ1218" s="37" t="str">
        <f>IF(最佳化斷筋點!K1218="","",最佳化斷筋點!K1218)</f>
        <v/>
      </c>
      <c r="AK1218" s="37" t="str">
        <f>IF(最佳化斷筋點!L1218="","",最佳化斷筋點!L1218)</f>
        <v/>
      </c>
      <c r="AL1218" s="37" t="str">
        <f>IF(最佳化斷筋點!M1218="","",最佳化斷筋點!M1218)</f>
        <v/>
      </c>
      <c r="AM1218" s="37" t="str">
        <f>IF(最佳化斷筋點!N1218="","",最佳化斷筋點!N1218)</f>
        <v/>
      </c>
      <c r="AN1218" s="37" t="str">
        <f>IF(最佳化斷筋點!O1218="","",最佳化斷筋點!O1218)</f>
        <v/>
      </c>
      <c r="AO1218" s="37" t="str">
        <f>IF(最佳化斷筋點!P1218="","",最佳化斷筋點!P1218)</f>
        <v/>
      </c>
      <c r="AP1218" s="37" t="str">
        <f>IF(最佳化斷筋點!Q1218="","",最佳化斷筋點!Q1218)</f>
        <v/>
      </c>
      <c r="AQ1218" s="37" t="str">
        <f>IF(最佳化斷筋點!R1218="","",最佳化斷筋點!R1218)</f>
        <v/>
      </c>
      <c r="AR1218" s="37" t="str">
        <f>IF(最佳化斷筋點!S1218="","",最佳化斷筋點!S1218)</f>
        <v/>
      </c>
      <c r="AS1218" s="37" t="str">
        <f>IF(最佳化斷筋點!T1218="","",最佳化斷筋點!T1218)</f>
        <v/>
      </c>
      <c r="AT1218" s="37" t="str">
        <f>IF(最佳化斷筋點!U1218="","",最佳化斷筋點!U1218)</f>
        <v/>
      </c>
      <c r="AU1218" s="37" t="str">
        <f>IF(最佳化斷筋點!V1218="","",最佳化斷筋點!V1218)</f>
        <v/>
      </c>
      <c r="AV1218" s="37" t="str">
        <f>IF(最佳化斷筋點!W1218="","",最佳化斷筋點!W1218)</f>
        <v/>
      </c>
      <c r="AW1218" s="37" t="str">
        <f>IF(最佳化斷筋點!X1218="","",最佳化斷筋點!X1218)</f>
        <v/>
      </c>
      <c r="AZ1218" s="37" t="s">
        <v>197</v>
      </c>
      <c r="BA1218" s="37" t="s">
        <v>197</v>
      </c>
      <c r="BB1218" s="37" t="s">
        <v>197</v>
      </c>
      <c r="BC1218" s="37" t="s">
        <v>197</v>
      </c>
      <c r="BD1218" s="37" t="s">
        <v>197</v>
      </c>
      <c r="BE1218" s="37" t="s">
        <v>197</v>
      </c>
      <c r="BF1218" s="37" t="s">
        <v>197</v>
      </c>
      <c r="BG1218" s="37" t="s">
        <v>197</v>
      </c>
      <c r="BH1218" s="37" t="s">
        <v>197</v>
      </c>
      <c r="BI1218" s="37" t="s">
        <v>197</v>
      </c>
      <c r="BJ1218" s="37" t="s">
        <v>197</v>
      </c>
      <c r="BK1218" s="37" t="s">
        <v>197</v>
      </c>
      <c r="BL1218" s="37" t="s">
        <v>197</v>
      </c>
      <c r="BM1218" s="37" t="s">
        <v>197</v>
      </c>
      <c r="BN1218" s="37" t="s">
        <v>197</v>
      </c>
      <c r="BO1218" s="37" t="s">
        <v>197</v>
      </c>
      <c r="BP1218" s="37" t="s">
        <v>197</v>
      </c>
      <c r="BQ1218" s="37" t="s">
        <v>197</v>
      </c>
      <c r="BR1218" s="37" t="s">
        <v>197</v>
      </c>
      <c r="BS1218" s="37" t="s">
        <v>197</v>
      </c>
      <c r="BT1218" s="37" t="s">
        <v>197</v>
      </c>
    </row>
    <row r="1219" spans="5:72" x14ac:dyDescent="0.25">
      <c r="E1219" s="36" t="s">
        <v>20</v>
      </c>
      <c r="F1219" s="36">
        <f t="shared" si="400"/>
        <v>0</v>
      </c>
      <c r="G1219" s="36">
        <f t="shared" si="401"/>
        <v>0</v>
      </c>
      <c r="H1219" s="36">
        <f t="shared" si="402"/>
        <v>0</v>
      </c>
      <c r="I1219" s="36">
        <f t="shared" si="403"/>
        <v>0</v>
      </c>
      <c r="J1219" s="36">
        <f t="shared" si="404"/>
        <v>0</v>
      </c>
      <c r="K1219" s="36">
        <f t="shared" si="405"/>
        <v>0</v>
      </c>
      <c r="L1219" s="36">
        <f t="shared" si="406"/>
        <v>0</v>
      </c>
      <c r="M1219" s="36">
        <f t="shared" si="407"/>
        <v>0</v>
      </c>
      <c r="N1219" s="36">
        <f t="shared" si="408"/>
        <v>0</v>
      </c>
      <c r="O1219" s="36">
        <f t="shared" si="409"/>
        <v>0</v>
      </c>
      <c r="P1219" s="36">
        <f t="shared" si="410"/>
        <v>0</v>
      </c>
      <c r="Q1219" s="36">
        <f t="shared" si="411"/>
        <v>0</v>
      </c>
      <c r="R1219" s="36">
        <f t="shared" si="412"/>
        <v>0</v>
      </c>
      <c r="S1219" s="36">
        <f t="shared" si="413"/>
        <v>0</v>
      </c>
      <c r="T1219" s="36">
        <f t="shared" si="414"/>
        <v>0</v>
      </c>
      <c r="U1219" s="36">
        <f t="shared" si="415"/>
        <v>0</v>
      </c>
      <c r="V1219" s="36">
        <f t="shared" si="416"/>
        <v>0</v>
      </c>
      <c r="W1219" s="36">
        <f t="shared" si="417"/>
        <v>0</v>
      </c>
      <c r="X1219" s="36">
        <f t="shared" si="418"/>
        <v>0</v>
      </c>
      <c r="Y1219" s="36">
        <f t="shared" si="419"/>
        <v>0</v>
      </c>
      <c r="Z1219" s="36">
        <f t="shared" si="420"/>
        <v>0</v>
      </c>
      <c r="AB1219" s="36" t="str">
        <f>IF(最佳化斷筋點!C1219="","",最佳化斷筋點!C1219)</f>
        <v>上層</v>
      </c>
      <c r="AC1219" s="37">
        <f>IF(最佳化斷筋點!D1219="","",最佳化斷筋點!D1219)</f>
        <v>2</v>
      </c>
      <c r="AD1219" s="37">
        <f>IF(最佳化斷筋點!E1219="","",最佳化斷筋點!E1219)</f>
        <v>2</v>
      </c>
      <c r="AE1219" s="37">
        <f>IF(最佳化斷筋點!F1219="","",最佳化斷筋點!F1219)</f>
        <v>2</v>
      </c>
      <c r="AF1219" s="37">
        <f>IF(最佳化斷筋點!G1219="","",最佳化斷筋點!G1219)</f>
        <v>2</v>
      </c>
      <c r="AG1219" s="37">
        <f>IF(最佳化斷筋點!H1219="","",最佳化斷筋點!H1219)</f>
        <v>2</v>
      </c>
      <c r="AH1219" s="37">
        <f>IF(最佳化斷筋點!I1219="","",最佳化斷筋點!I1219)</f>
        <v>2</v>
      </c>
      <c r="AI1219" s="37">
        <f>IF(最佳化斷筋點!J1219="","",最佳化斷筋點!J1219)</f>
        <v>2</v>
      </c>
      <c r="AJ1219" s="37">
        <f>IF(最佳化斷筋點!K1219="","",最佳化斷筋點!K1219)</f>
        <v>2</v>
      </c>
      <c r="AK1219" s="37">
        <f>IF(最佳化斷筋點!L1219="","",最佳化斷筋點!L1219)</f>
        <v>2</v>
      </c>
      <c r="AL1219" s="37">
        <f>IF(最佳化斷筋點!M1219="","",最佳化斷筋點!M1219)</f>
        <v>2</v>
      </c>
      <c r="AM1219" s="37">
        <f>IF(最佳化斷筋點!N1219="","",最佳化斷筋點!N1219)</f>
        <v>2</v>
      </c>
      <c r="AN1219" s="37">
        <f>IF(最佳化斷筋點!O1219="","",最佳化斷筋點!O1219)</f>
        <v>2</v>
      </c>
      <c r="AO1219" s="37">
        <f>IF(最佳化斷筋點!P1219="","",最佳化斷筋點!P1219)</f>
        <v>2</v>
      </c>
      <c r="AP1219" s="37">
        <f>IF(最佳化斷筋點!Q1219="","",最佳化斷筋點!Q1219)</f>
        <v>2</v>
      </c>
      <c r="AQ1219" s="37">
        <f>IF(最佳化斷筋點!R1219="","",最佳化斷筋點!R1219)</f>
        <v>2</v>
      </c>
      <c r="AR1219" s="37">
        <f>IF(最佳化斷筋點!S1219="","",最佳化斷筋點!S1219)</f>
        <v>2</v>
      </c>
      <c r="AS1219" s="37">
        <f>IF(最佳化斷筋點!T1219="","",最佳化斷筋點!T1219)</f>
        <v>2</v>
      </c>
      <c r="AT1219" s="37">
        <f>IF(最佳化斷筋點!U1219="","",最佳化斷筋點!U1219)</f>
        <v>2</v>
      </c>
      <c r="AU1219" s="37">
        <f>IF(最佳化斷筋點!V1219="","",最佳化斷筋點!V1219)</f>
        <v>2</v>
      </c>
      <c r="AV1219" s="37">
        <f>IF(最佳化斷筋點!W1219="","",最佳化斷筋點!W1219)</f>
        <v>2</v>
      </c>
      <c r="AW1219" s="37">
        <f>IF(最佳化斷筋點!X1219="","",最佳化斷筋點!X1219)</f>
        <v>2</v>
      </c>
      <c r="AZ1219" s="37">
        <v>2</v>
      </c>
      <c r="BA1219" s="37">
        <v>2</v>
      </c>
      <c r="BB1219" s="37">
        <v>2</v>
      </c>
      <c r="BC1219" s="37">
        <v>2</v>
      </c>
      <c r="BD1219" s="37">
        <v>2</v>
      </c>
      <c r="BE1219" s="37">
        <v>2</v>
      </c>
      <c r="BF1219" s="37">
        <v>2</v>
      </c>
      <c r="BG1219" s="37">
        <v>2</v>
      </c>
      <c r="BH1219" s="37">
        <v>2</v>
      </c>
      <c r="BI1219" s="37">
        <v>2</v>
      </c>
      <c r="BJ1219" s="37">
        <v>2</v>
      </c>
      <c r="BK1219" s="37">
        <v>2</v>
      </c>
      <c r="BL1219" s="37">
        <v>2</v>
      </c>
      <c r="BM1219" s="37">
        <v>2</v>
      </c>
      <c r="BN1219" s="37">
        <v>2</v>
      </c>
      <c r="BO1219" s="37">
        <v>2</v>
      </c>
      <c r="BP1219" s="37">
        <v>2</v>
      </c>
      <c r="BQ1219" s="37">
        <v>2</v>
      </c>
      <c r="BR1219" s="37">
        <v>2</v>
      </c>
      <c r="BS1219" s="37">
        <v>2</v>
      </c>
      <c r="BT1219" s="37">
        <v>2</v>
      </c>
    </row>
    <row r="1220" spans="5:72" x14ac:dyDescent="0.25">
      <c r="E1220" s="36"/>
      <c r="F1220" s="36">
        <f t="shared" si="400"/>
        <v>0</v>
      </c>
      <c r="G1220" s="36">
        <f t="shared" si="401"/>
        <v>0</v>
      </c>
      <c r="H1220" s="36">
        <f t="shared" si="402"/>
        <v>0</v>
      </c>
      <c r="I1220" s="36">
        <f t="shared" si="403"/>
        <v>0</v>
      </c>
      <c r="J1220" s="36">
        <f t="shared" si="404"/>
        <v>0</v>
      </c>
      <c r="K1220" s="36">
        <f t="shared" si="405"/>
        <v>0</v>
      </c>
      <c r="L1220" s="36">
        <f t="shared" si="406"/>
        <v>0</v>
      </c>
      <c r="M1220" s="36">
        <f t="shared" si="407"/>
        <v>0</v>
      </c>
      <c r="N1220" s="36">
        <f t="shared" si="408"/>
        <v>0</v>
      </c>
      <c r="O1220" s="36">
        <f t="shared" si="409"/>
        <v>0</v>
      </c>
      <c r="P1220" s="36">
        <f t="shared" si="410"/>
        <v>0</v>
      </c>
      <c r="Q1220" s="36">
        <f t="shared" si="411"/>
        <v>0</v>
      </c>
      <c r="R1220" s="36">
        <f t="shared" si="412"/>
        <v>0</v>
      </c>
      <c r="S1220" s="36">
        <f t="shared" si="413"/>
        <v>0</v>
      </c>
      <c r="T1220" s="36">
        <f t="shared" si="414"/>
        <v>0</v>
      </c>
      <c r="U1220" s="36">
        <f t="shared" si="415"/>
        <v>0</v>
      </c>
      <c r="V1220" s="36">
        <f t="shared" si="416"/>
        <v>0</v>
      </c>
      <c r="W1220" s="36">
        <f t="shared" si="417"/>
        <v>0</v>
      </c>
      <c r="X1220" s="36">
        <f t="shared" si="418"/>
        <v>0</v>
      </c>
      <c r="Y1220" s="36">
        <f t="shared" si="419"/>
        <v>0</v>
      </c>
      <c r="Z1220" s="36">
        <f t="shared" si="420"/>
        <v>0</v>
      </c>
      <c r="AB1220" s="36" t="str">
        <f>IF(最佳化斷筋點!C1220="","",最佳化斷筋點!C1220)</f>
        <v/>
      </c>
      <c r="AC1220" s="37" t="str">
        <f>IF(最佳化斷筋點!D1220="","",最佳化斷筋點!D1220)</f>
        <v/>
      </c>
      <c r="AD1220" s="37" t="str">
        <f>IF(最佳化斷筋點!E1220="","",最佳化斷筋點!E1220)</f>
        <v/>
      </c>
      <c r="AE1220" s="37" t="str">
        <f>IF(最佳化斷筋點!F1220="","",最佳化斷筋點!F1220)</f>
        <v/>
      </c>
      <c r="AF1220" s="37" t="str">
        <f>IF(最佳化斷筋點!G1220="","",最佳化斷筋點!G1220)</f>
        <v/>
      </c>
      <c r="AG1220" s="37" t="str">
        <f>IF(最佳化斷筋點!H1220="","",最佳化斷筋點!H1220)</f>
        <v/>
      </c>
      <c r="AH1220" s="37" t="str">
        <f>IF(最佳化斷筋點!I1220="","",最佳化斷筋點!I1220)</f>
        <v/>
      </c>
      <c r="AI1220" s="37" t="str">
        <f>IF(最佳化斷筋點!J1220="","",最佳化斷筋點!J1220)</f>
        <v/>
      </c>
      <c r="AJ1220" s="37" t="str">
        <f>IF(最佳化斷筋點!K1220="","",最佳化斷筋點!K1220)</f>
        <v/>
      </c>
      <c r="AK1220" s="37" t="str">
        <f>IF(最佳化斷筋點!L1220="","",最佳化斷筋點!L1220)</f>
        <v/>
      </c>
      <c r="AL1220" s="37" t="str">
        <f>IF(最佳化斷筋點!M1220="","",最佳化斷筋點!M1220)</f>
        <v/>
      </c>
      <c r="AM1220" s="37" t="str">
        <f>IF(最佳化斷筋點!N1220="","",最佳化斷筋點!N1220)</f>
        <v/>
      </c>
      <c r="AN1220" s="37" t="str">
        <f>IF(最佳化斷筋點!O1220="","",最佳化斷筋點!O1220)</f>
        <v/>
      </c>
      <c r="AO1220" s="37" t="str">
        <f>IF(最佳化斷筋點!P1220="","",最佳化斷筋點!P1220)</f>
        <v/>
      </c>
      <c r="AP1220" s="37" t="str">
        <f>IF(最佳化斷筋點!Q1220="","",最佳化斷筋點!Q1220)</f>
        <v/>
      </c>
      <c r="AQ1220" s="37" t="str">
        <f>IF(最佳化斷筋點!R1220="","",最佳化斷筋點!R1220)</f>
        <v/>
      </c>
      <c r="AR1220" s="37" t="str">
        <f>IF(最佳化斷筋點!S1220="","",最佳化斷筋點!S1220)</f>
        <v/>
      </c>
      <c r="AS1220" s="37" t="str">
        <f>IF(最佳化斷筋點!T1220="","",最佳化斷筋點!T1220)</f>
        <v/>
      </c>
      <c r="AT1220" s="37" t="str">
        <f>IF(最佳化斷筋點!U1220="","",最佳化斷筋點!U1220)</f>
        <v/>
      </c>
      <c r="AU1220" s="37" t="str">
        <f>IF(最佳化斷筋點!V1220="","",最佳化斷筋點!V1220)</f>
        <v/>
      </c>
      <c r="AV1220" s="37" t="str">
        <f>IF(最佳化斷筋點!W1220="","",最佳化斷筋點!W1220)</f>
        <v/>
      </c>
      <c r="AW1220" s="37" t="str">
        <f>IF(最佳化斷筋點!X1220="","",最佳化斷筋點!X1220)</f>
        <v/>
      </c>
      <c r="AZ1220" s="37" t="s">
        <v>197</v>
      </c>
      <c r="BA1220" s="37" t="s">
        <v>197</v>
      </c>
      <c r="BB1220" s="37" t="s">
        <v>197</v>
      </c>
      <c r="BC1220" s="37" t="s">
        <v>197</v>
      </c>
      <c r="BD1220" s="37" t="s">
        <v>197</v>
      </c>
      <c r="BE1220" s="37" t="s">
        <v>197</v>
      </c>
      <c r="BF1220" s="37" t="s">
        <v>197</v>
      </c>
      <c r="BG1220" s="37" t="s">
        <v>197</v>
      </c>
      <c r="BH1220" s="37" t="s">
        <v>197</v>
      </c>
      <c r="BI1220" s="37" t="s">
        <v>197</v>
      </c>
      <c r="BJ1220" s="37" t="s">
        <v>197</v>
      </c>
      <c r="BK1220" s="37" t="s">
        <v>197</v>
      </c>
      <c r="BL1220" s="37" t="s">
        <v>197</v>
      </c>
      <c r="BM1220" s="37" t="s">
        <v>197</v>
      </c>
      <c r="BN1220" s="37" t="s">
        <v>197</v>
      </c>
      <c r="BO1220" s="37" t="s">
        <v>197</v>
      </c>
      <c r="BP1220" s="37" t="s">
        <v>197</v>
      </c>
      <c r="BQ1220" s="37" t="s">
        <v>197</v>
      </c>
      <c r="BR1220" s="37" t="s">
        <v>197</v>
      </c>
      <c r="BS1220" s="37" t="s">
        <v>197</v>
      </c>
      <c r="BT1220" s="37" t="s">
        <v>197</v>
      </c>
    </row>
    <row r="1221" spans="5:72" x14ac:dyDescent="0.25">
      <c r="E1221" s="36" t="s">
        <v>21</v>
      </c>
      <c r="F1221" s="36">
        <f t="shared" si="400"/>
        <v>0</v>
      </c>
      <c r="G1221" s="36">
        <f t="shared" si="401"/>
        <v>0</v>
      </c>
      <c r="H1221" s="36">
        <f t="shared" si="402"/>
        <v>0</v>
      </c>
      <c r="I1221" s="36">
        <f t="shared" si="403"/>
        <v>0</v>
      </c>
      <c r="J1221" s="36">
        <f t="shared" si="404"/>
        <v>0</v>
      </c>
      <c r="K1221" s="36">
        <f t="shared" si="405"/>
        <v>0</v>
      </c>
      <c r="L1221" s="36">
        <f t="shared" si="406"/>
        <v>0</v>
      </c>
      <c r="M1221" s="36">
        <f t="shared" si="407"/>
        <v>0</v>
      </c>
      <c r="N1221" s="36">
        <f t="shared" si="408"/>
        <v>0</v>
      </c>
      <c r="O1221" s="36">
        <f t="shared" si="409"/>
        <v>0</v>
      </c>
      <c r="P1221" s="36">
        <f t="shared" si="410"/>
        <v>0</v>
      </c>
      <c r="Q1221" s="36">
        <f t="shared" si="411"/>
        <v>0</v>
      </c>
      <c r="R1221" s="36">
        <f t="shared" si="412"/>
        <v>0</v>
      </c>
      <c r="S1221" s="36">
        <f t="shared" si="413"/>
        <v>0</v>
      </c>
      <c r="T1221" s="36">
        <f t="shared" si="414"/>
        <v>0</v>
      </c>
      <c r="U1221" s="36">
        <f t="shared" si="415"/>
        <v>0</v>
      </c>
      <c r="V1221" s="36">
        <f t="shared" si="416"/>
        <v>0</v>
      </c>
      <c r="W1221" s="36">
        <f t="shared" si="417"/>
        <v>0</v>
      </c>
      <c r="X1221" s="36">
        <f t="shared" si="418"/>
        <v>0</v>
      </c>
      <c r="Y1221" s="36">
        <f t="shared" si="419"/>
        <v>0</v>
      </c>
      <c r="Z1221" s="36">
        <f t="shared" si="420"/>
        <v>0</v>
      </c>
      <c r="AB1221" s="36" t="str">
        <f>IF(最佳化斷筋點!C1221="","",最佳化斷筋點!C1221)</f>
        <v>下層</v>
      </c>
      <c r="AC1221" s="37">
        <f>IF(最佳化斷筋點!D1221="","",最佳化斷筋點!D1221)</f>
        <v>2</v>
      </c>
      <c r="AD1221" s="37">
        <f>IF(最佳化斷筋點!E1221="","",最佳化斷筋點!E1221)</f>
        <v>2</v>
      </c>
      <c r="AE1221" s="37">
        <f>IF(最佳化斷筋點!F1221="","",最佳化斷筋點!F1221)</f>
        <v>2</v>
      </c>
      <c r="AF1221" s="37">
        <f>IF(最佳化斷筋點!G1221="","",最佳化斷筋點!G1221)</f>
        <v>2</v>
      </c>
      <c r="AG1221" s="37">
        <f>IF(最佳化斷筋點!H1221="","",最佳化斷筋點!H1221)</f>
        <v>2</v>
      </c>
      <c r="AH1221" s="37">
        <f>IF(最佳化斷筋點!I1221="","",最佳化斷筋點!I1221)</f>
        <v>2</v>
      </c>
      <c r="AI1221" s="37">
        <f>IF(最佳化斷筋點!J1221="","",最佳化斷筋點!J1221)</f>
        <v>2</v>
      </c>
      <c r="AJ1221" s="37">
        <f>IF(最佳化斷筋點!K1221="","",最佳化斷筋點!K1221)</f>
        <v>2</v>
      </c>
      <c r="AK1221" s="37">
        <f>IF(最佳化斷筋點!L1221="","",最佳化斷筋點!L1221)</f>
        <v>2</v>
      </c>
      <c r="AL1221" s="37">
        <f>IF(最佳化斷筋點!M1221="","",最佳化斷筋點!M1221)</f>
        <v>2</v>
      </c>
      <c r="AM1221" s="37">
        <f>IF(最佳化斷筋點!N1221="","",最佳化斷筋點!N1221)</f>
        <v>2</v>
      </c>
      <c r="AN1221" s="37">
        <f>IF(最佳化斷筋點!O1221="","",最佳化斷筋點!O1221)</f>
        <v>2</v>
      </c>
      <c r="AO1221" s="37">
        <f>IF(最佳化斷筋點!P1221="","",最佳化斷筋點!P1221)</f>
        <v>2</v>
      </c>
      <c r="AP1221" s="37">
        <f>IF(最佳化斷筋點!Q1221="","",最佳化斷筋點!Q1221)</f>
        <v>2</v>
      </c>
      <c r="AQ1221" s="37">
        <f>IF(最佳化斷筋點!R1221="","",最佳化斷筋點!R1221)</f>
        <v>2</v>
      </c>
      <c r="AR1221" s="37">
        <f>IF(最佳化斷筋點!S1221="","",最佳化斷筋點!S1221)</f>
        <v>2</v>
      </c>
      <c r="AS1221" s="37">
        <f>IF(最佳化斷筋點!T1221="","",最佳化斷筋點!T1221)</f>
        <v>2</v>
      </c>
      <c r="AT1221" s="37">
        <f>IF(最佳化斷筋點!U1221="","",最佳化斷筋點!U1221)</f>
        <v>2</v>
      </c>
      <c r="AU1221" s="37">
        <f>IF(最佳化斷筋點!V1221="","",最佳化斷筋點!V1221)</f>
        <v>2</v>
      </c>
      <c r="AV1221" s="37">
        <f>IF(最佳化斷筋點!W1221="","",最佳化斷筋點!W1221)</f>
        <v>2</v>
      </c>
      <c r="AW1221" s="37">
        <f>IF(最佳化斷筋點!X1221="","",最佳化斷筋點!X1221)</f>
        <v>2</v>
      </c>
      <c r="AZ1221" s="37">
        <v>2</v>
      </c>
      <c r="BA1221" s="37">
        <v>2</v>
      </c>
      <c r="BB1221" s="37">
        <v>2</v>
      </c>
      <c r="BC1221" s="37">
        <v>2</v>
      </c>
      <c r="BD1221" s="37">
        <v>2</v>
      </c>
      <c r="BE1221" s="37">
        <v>2</v>
      </c>
      <c r="BF1221" s="37">
        <v>2</v>
      </c>
      <c r="BG1221" s="37">
        <v>2</v>
      </c>
      <c r="BH1221" s="37">
        <v>2</v>
      </c>
      <c r="BI1221" s="37">
        <v>2</v>
      </c>
      <c r="BJ1221" s="37">
        <v>2</v>
      </c>
      <c r="BK1221" s="37">
        <v>2</v>
      </c>
      <c r="BL1221" s="37">
        <v>2</v>
      </c>
      <c r="BM1221" s="37">
        <v>2</v>
      </c>
      <c r="BN1221" s="37">
        <v>2</v>
      </c>
      <c r="BO1221" s="37">
        <v>2</v>
      </c>
      <c r="BP1221" s="37">
        <v>2</v>
      </c>
      <c r="BQ1221" s="37">
        <v>2</v>
      </c>
      <c r="BR1221" s="37">
        <v>2</v>
      </c>
      <c r="BS1221" s="37">
        <v>2</v>
      </c>
      <c r="BT1221" s="37">
        <v>2</v>
      </c>
    </row>
    <row r="1222" spans="5:72" x14ac:dyDescent="0.25">
      <c r="E1222" s="36"/>
      <c r="F1222" s="36">
        <f t="shared" si="400"/>
        <v>0</v>
      </c>
      <c r="G1222" s="36">
        <f t="shared" si="401"/>
        <v>0</v>
      </c>
      <c r="H1222" s="36">
        <f t="shared" si="402"/>
        <v>0</v>
      </c>
      <c r="I1222" s="36">
        <f t="shared" si="403"/>
        <v>0</v>
      </c>
      <c r="J1222" s="36">
        <f t="shared" si="404"/>
        <v>0</v>
      </c>
      <c r="K1222" s="36">
        <f t="shared" si="405"/>
        <v>0</v>
      </c>
      <c r="L1222" s="36">
        <f t="shared" si="406"/>
        <v>0</v>
      </c>
      <c r="M1222" s="36">
        <f t="shared" si="407"/>
        <v>0</v>
      </c>
      <c r="N1222" s="36">
        <f t="shared" si="408"/>
        <v>0</v>
      </c>
      <c r="O1222" s="36">
        <f t="shared" si="409"/>
        <v>0</v>
      </c>
      <c r="P1222" s="36">
        <f t="shared" si="410"/>
        <v>0</v>
      </c>
      <c r="Q1222" s="36">
        <f t="shared" si="411"/>
        <v>0</v>
      </c>
      <c r="R1222" s="36">
        <f t="shared" si="412"/>
        <v>0</v>
      </c>
      <c r="S1222" s="36">
        <f t="shared" si="413"/>
        <v>0</v>
      </c>
      <c r="T1222" s="36">
        <f t="shared" si="414"/>
        <v>0</v>
      </c>
      <c r="U1222" s="36">
        <f t="shared" si="415"/>
        <v>0</v>
      </c>
      <c r="V1222" s="36">
        <f t="shared" si="416"/>
        <v>0</v>
      </c>
      <c r="W1222" s="36">
        <f t="shared" si="417"/>
        <v>0</v>
      </c>
      <c r="X1222" s="36">
        <f t="shared" si="418"/>
        <v>0</v>
      </c>
      <c r="Y1222" s="36">
        <f t="shared" si="419"/>
        <v>0</v>
      </c>
      <c r="Z1222" s="36">
        <f t="shared" si="420"/>
        <v>0</v>
      </c>
      <c r="AB1222" s="36" t="str">
        <f>IF(最佳化斷筋點!C1222="","",最佳化斷筋點!C1222)</f>
        <v/>
      </c>
      <c r="AC1222" s="37" t="str">
        <f>IF(最佳化斷筋點!D1222="","",最佳化斷筋點!D1222)</f>
        <v/>
      </c>
      <c r="AD1222" s="37" t="str">
        <f>IF(最佳化斷筋點!E1222="","",最佳化斷筋點!E1222)</f>
        <v/>
      </c>
      <c r="AE1222" s="37" t="str">
        <f>IF(最佳化斷筋點!F1222="","",最佳化斷筋點!F1222)</f>
        <v/>
      </c>
      <c r="AF1222" s="37" t="str">
        <f>IF(最佳化斷筋點!G1222="","",最佳化斷筋點!G1222)</f>
        <v/>
      </c>
      <c r="AG1222" s="37" t="str">
        <f>IF(最佳化斷筋點!H1222="","",最佳化斷筋點!H1222)</f>
        <v/>
      </c>
      <c r="AH1222" s="37" t="str">
        <f>IF(最佳化斷筋點!I1222="","",最佳化斷筋點!I1222)</f>
        <v/>
      </c>
      <c r="AI1222" s="37" t="str">
        <f>IF(最佳化斷筋點!J1222="","",最佳化斷筋點!J1222)</f>
        <v/>
      </c>
      <c r="AJ1222" s="37" t="str">
        <f>IF(最佳化斷筋點!K1222="","",最佳化斷筋點!K1222)</f>
        <v/>
      </c>
      <c r="AK1222" s="37" t="str">
        <f>IF(最佳化斷筋點!L1222="","",最佳化斷筋點!L1222)</f>
        <v/>
      </c>
      <c r="AL1222" s="37" t="str">
        <f>IF(最佳化斷筋點!M1222="","",最佳化斷筋點!M1222)</f>
        <v/>
      </c>
      <c r="AM1222" s="37" t="str">
        <f>IF(最佳化斷筋點!N1222="","",最佳化斷筋點!N1222)</f>
        <v/>
      </c>
      <c r="AN1222" s="37" t="str">
        <f>IF(最佳化斷筋點!O1222="","",最佳化斷筋點!O1222)</f>
        <v/>
      </c>
      <c r="AO1222" s="37" t="str">
        <f>IF(最佳化斷筋點!P1222="","",最佳化斷筋點!P1222)</f>
        <v/>
      </c>
      <c r="AP1222" s="37" t="str">
        <f>IF(最佳化斷筋點!Q1222="","",最佳化斷筋點!Q1222)</f>
        <v/>
      </c>
      <c r="AQ1222" s="37" t="str">
        <f>IF(最佳化斷筋點!R1222="","",最佳化斷筋點!R1222)</f>
        <v/>
      </c>
      <c r="AR1222" s="37" t="str">
        <f>IF(最佳化斷筋點!S1222="","",最佳化斷筋點!S1222)</f>
        <v/>
      </c>
      <c r="AS1222" s="37" t="str">
        <f>IF(最佳化斷筋點!T1222="","",最佳化斷筋點!T1222)</f>
        <v/>
      </c>
      <c r="AT1222" s="37" t="str">
        <f>IF(最佳化斷筋點!U1222="","",最佳化斷筋點!U1222)</f>
        <v/>
      </c>
      <c r="AU1222" s="37" t="str">
        <f>IF(最佳化斷筋點!V1222="","",最佳化斷筋點!V1222)</f>
        <v/>
      </c>
      <c r="AV1222" s="37" t="str">
        <f>IF(最佳化斷筋點!W1222="","",最佳化斷筋點!W1222)</f>
        <v/>
      </c>
      <c r="AW1222" s="37" t="str">
        <f>IF(最佳化斷筋點!X1222="","",最佳化斷筋點!X1222)</f>
        <v/>
      </c>
      <c r="AZ1222" s="37" t="s">
        <v>197</v>
      </c>
      <c r="BA1222" s="37" t="s">
        <v>197</v>
      </c>
      <c r="BB1222" s="37" t="s">
        <v>197</v>
      </c>
      <c r="BC1222" s="37" t="s">
        <v>197</v>
      </c>
      <c r="BD1222" s="37" t="s">
        <v>197</v>
      </c>
      <c r="BE1222" s="37" t="s">
        <v>197</v>
      </c>
      <c r="BF1222" s="37" t="s">
        <v>197</v>
      </c>
      <c r="BG1222" s="37" t="s">
        <v>197</v>
      </c>
      <c r="BH1222" s="37" t="s">
        <v>197</v>
      </c>
      <c r="BI1222" s="37" t="s">
        <v>197</v>
      </c>
      <c r="BJ1222" s="37" t="s">
        <v>197</v>
      </c>
      <c r="BK1222" s="37" t="s">
        <v>197</v>
      </c>
      <c r="BL1222" s="37" t="s">
        <v>197</v>
      </c>
      <c r="BM1222" s="37" t="s">
        <v>197</v>
      </c>
      <c r="BN1222" s="37" t="s">
        <v>197</v>
      </c>
      <c r="BO1222" s="37" t="s">
        <v>197</v>
      </c>
      <c r="BP1222" s="37" t="s">
        <v>197</v>
      </c>
      <c r="BQ1222" s="37" t="s">
        <v>197</v>
      </c>
      <c r="BR1222" s="37" t="s">
        <v>197</v>
      </c>
      <c r="BS1222" s="37" t="s">
        <v>197</v>
      </c>
      <c r="BT1222" s="37" t="s">
        <v>197</v>
      </c>
    </row>
    <row r="1223" spans="5:72" x14ac:dyDescent="0.25">
      <c r="E1223" s="36" t="s">
        <v>20</v>
      </c>
      <c r="F1223" s="36">
        <f t="shared" si="400"/>
        <v>0</v>
      </c>
      <c r="G1223" s="36">
        <f t="shared" si="401"/>
        <v>0</v>
      </c>
      <c r="H1223" s="36">
        <f t="shared" si="402"/>
        <v>0</v>
      </c>
      <c r="I1223" s="36">
        <f t="shared" si="403"/>
        <v>0</v>
      </c>
      <c r="J1223" s="36">
        <f t="shared" si="404"/>
        <v>0</v>
      </c>
      <c r="K1223" s="36">
        <f t="shared" si="405"/>
        <v>0</v>
      </c>
      <c r="L1223" s="36">
        <f t="shared" si="406"/>
        <v>0</v>
      </c>
      <c r="M1223" s="36">
        <f t="shared" si="407"/>
        <v>0</v>
      </c>
      <c r="N1223" s="36">
        <f t="shared" si="408"/>
        <v>0</v>
      </c>
      <c r="O1223" s="36">
        <f t="shared" si="409"/>
        <v>0</v>
      </c>
      <c r="P1223" s="36">
        <f t="shared" si="410"/>
        <v>0</v>
      </c>
      <c r="Q1223" s="36">
        <f t="shared" si="411"/>
        <v>0</v>
      </c>
      <c r="R1223" s="36">
        <f t="shared" si="412"/>
        <v>0</v>
      </c>
      <c r="S1223" s="36">
        <f t="shared" si="413"/>
        <v>0</v>
      </c>
      <c r="T1223" s="36">
        <f t="shared" si="414"/>
        <v>0</v>
      </c>
      <c r="U1223" s="36">
        <f t="shared" si="415"/>
        <v>0</v>
      </c>
      <c r="V1223" s="36">
        <f t="shared" si="416"/>
        <v>0</v>
      </c>
      <c r="W1223" s="36">
        <f t="shared" si="417"/>
        <v>0</v>
      </c>
      <c r="X1223" s="36">
        <f t="shared" si="418"/>
        <v>0</v>
      </c>
      <c r="Y1223" s="36">
        <f t="shared" si="419"/>
        <v>0</v>
      </c>
      <c r="Z1223" s="36">
        <f t="shared" si="420"/>
        <v>0</v>
      </c>
      <c r="AB1223" s="36" t="str">
        <f>IF(最佳化斷筋點!C1223="","",最佳化斷筋點!C1223)</f>
        <v>上層</v>
      </c>
      <c r="AC1223" s="37">
        <f>IF(最佳化斷筋點!D1223="","",最佳化斷筋點!D1223)</f>
        <v>4</v>
      </c>
      <c r="AD1223" s="37">
        <f>IF(最佳化斷筋點!E1223="","",最佳化斷筋點!E1223)</f>
        <v>4</v>
      </c>
      <c r="AE1223" s="37">
        <f>IF(最佳化斷筋點!F1223="","",最佳化斷筋點!F1223)</f>
        <v>4</v>
      </c>
      <c r="AF1223" s="37">
        <f>IF(最佳化斷筋點!G1223="","",最佳化斷筋點!G1223)</f>
        <v>4</v>
      </c>
      <c r="AG1223" s="37">
        <f>IF(最佳化斷筋點!H1223="","",最佳化斷筋點!H1223)</f>
        <v>4</v>
      </c>
      <c r="AH1223" s="37">
        <f>IF(最佳化斷筋點!I1223="","",最佳化斷筋點!I1223)</f>
        <v>4</v>
      </c>
      <c r="AI1223" s="37">
        <f>IF(最佳化斷筋點!J1223="","",最佳化斷筋點!J1223)</f>
        <v>4</v>
      </c>
      <c r="AJ1223" s="37">
        <f>IF(最佳化斷筋點!K1223="","",最佳化斷筋點!K1223)</f>
        <v>2</v>
      </c>
      <c r="AK1223" s="37">
        <f>IF(最佳化斷筋點!L1223="","",最佳化斷筋點!L1223)</f>
        <v>2</v>
      </c>
      <c r="AL1223" s="37">
        <f>IF(最佳化斷筋點!M1223="","",最佳化斷筋點!M1223)</f>
        <v>2</v>
      </c>
      <c r="AM1223" s="37">
        <f>IF(最佳化斷筋點!N1223="","",最佳化斷筋點!N1223)</f>
        <v>2</v>
      </c>
      <c r="AN1223" s="37">
        <f>IF(最佳化斷筋點!O1223="","",最佳化斷筋點!O1223)</f>
        <v>2</v>
      </c>
      <c r="AO1223" s="37">
        <f>IF(最佳化斷筋點!P1223="","",最佳化斷筋點!P1223)</f>
        <v>2</v>
      </c>
      <c r="AP1223" s="37">
        <f>IF(最佳化斷筋點!Q1223="","",最佳化斷筋點!Q1223)</f>
        <v>2</v>
      </c>
      <c r="AQ1223" s="37">
        <f>IF(最佳化斷筋點!R1223="","",最佳化斷筋點!R1223)</f>
        <v>3</v>
      </c>
      <c r="AR1223" s="37">
        <f>IF(最佳化斷筋點!S1223="","",最佳化斷筋點!S1223)</f>
        <v>3</v>
      </c>
      <c r="AS1223" s="37">
        <f>IF(最佳化斷筋點!T1223="","",最佳化斷筋點!T1223)</f>
        <v>3</v>
      </c>
      <c r="AT1223" s="37">
        <f>IF(最佳化斷筋點!U1223="","",最佳化斷筋點!U1223)</f>
        <v>3</v>
      </c>
      <c r="AU1223" s="37">
        <f>IF(最佳化斷筋點!V1223="","",最佳化斷筋點!V1223)</f>
        <v>3</v>
      </c>
      <c r="AV1223" s="37">
        <f>IF(最佳化斷筋點!W1223="","",最佳化斷筋點!W1223)</f>
        <v>3</v>
      </c>
      <c r="AW1223" s="37">
        <f>IF(最佳化斷筋點!X1223="","",最佳化斷筋點!X1223)</f>
        <v>3</v>
      </c>
      <c r="AZ1223" s="37">
        <v>4</v>
      </c>
      <c r="BA1223" s="37">
        <v>4</v>
      </c>
      <c r="BB1223" s="37">
        <v>4</v>
      </c>
      <c r="BC1223" s="37">
        <v>4</v>
      </c>
      <c r="BD1223" s="37">
        <v>4</v>
      </c>
      <c r="BE1223" s="37">
        <v>4</v>
      </c>
      <c r="BF1223" s="37">
        <v>4</v>
      </c>
      <c r="BG1223" s="37">
        <v>2</v>
      </c>
      <c r="BH1223" s="37">
        <v>2</v>
      </c>
      <c r="BI1223" s="37">
        <v>2</v>
      </c>
      <c r="BJ1223" s="37">
        <v>2</v>
      </c>
      <c r="BK1223" s="37">
        <v>2</v>
      </c>
      <c r="BL1223" s="37">
        <v>2</v>
      </c>
      <c r="BM1223" s="37">
        <v>2</v>
      </c>
      <c r="BN1223" s="37">
        <v>3</v>
      </c>
      <c r="BO1223" s="37">
        <v>3</v>
      </c>
      <c r="BP1223" s="37">
        <v>3</v>
      </c>
      <c r="BQ1223" s="37">
        <v>3</v>
      </c>
      <c r="BR1223" s="37">
        <v>3</v>
      </c>
      <c r="BS1223" s="37">
        <v>3</v>
      </c>
      <c r="BT1223" s="37">
        <v>3</v>
      </c>
    </row>
    <row r="1224" spans="5:72" x14ac:dyDescent="0.25">
      <c r="E1224" s="36"/>
      <c r="F1224" s="36">
        <f t="shared" si="400"/>
        <v>0</v>
      </c>
      <c r="G1224" s="36">
        <f t="shared" si="401"/>
        <v>0</v>
      </c>
      <c r="H1224" s="36">
        <f t="shared" si="402"/>
        <v>0</v>
      </c>
      <c r="I1224" s="36">
        <f t="shared" si="403"/>
        <v>0</v>
      </c>
      <c r="J1224" s="36">
        <f t="shared" si="404"/>
        <v>0</v>
      </c>
      <c r="K1224" s="36">
        <f t="shared" si="405"/>
        <v>0</v>
      </c>
      <c r="L1224" s="36">
        <f t="shared" si="406"/>
        <v>0</v>
      </c>
      <c r="M1224" s="36">
        <f t="shared" si="407"/>
        <v>0</v>
      </c>
      <c r="N1224" s="36">
        <f t="shared" si="408"/>
        <v>0</v>
      </c>
      <c r="O1224" s="36">
        <f t="shared" si="409"/>
        <v>0</v>
      </c>
      <c r="P1224" s="36">
        <f t="shared" si="410"/>
        <v>0</v>
      </c>
      <c r="Q1224" s="36">
        <f t="shared" si="411"/>
        <v>0</v>
      </c>
      <c r="R1224" s="36">
        <f t="shared" si="412"/>
        <v>0</v>
      </c>
      <c r="S1224" s="36">
        <f t="shared" si="413"/>
        <v>0</v>
      </c>
      <c r="T1224" s="36">
        <f t="shared" si="414"/>
        <v>0</v>
      </c>
      <c r="U1224" s="36">
        <f t="shared" si="415"/>
        <v>0</v>
      </c>
      <c r="V1224" s="36">
        <f t="shared" si="416"/>
        <v>0</v>
      </c>
      <c r="W1224" s="36">
        <f t="shared" si="417"/>
        <v>0</v>
      </c>
      <c r="X1224" s="36">
        <f t="shared" si="418"/>
        <v>0</v>
      </c>
      <c r="Y1224" s="36">
        <f t="shared" si="419"/>
        <v>0</v>
      </c>
      <c r="Z1224" s="36">
        <f t="shared" si="420"/>
        <v>0</v>
      </c>
      <c r="AB1224" s="36" t="str">
        <f>IF(最佳化斷筋點!C1224="","",最佳化斷筋點!C1224)</f>
        <v/>
      </c>
      <c r="AC1224" s="37" t="str">
        <f>IF(最佳化斷筋點!D1224="","",最佳化斷筋點!D1224)</f>
        <v/>
      </c>
      <c r="AD1224" s="37" t="str">
        <f>IF(最佳化斷筋點!E1224="","",最佳化斷筋點!E1224)</f>
        <v/>
      </c>
      <c r="AE1224" s="37" t="str">
        <f>IF(最佳化斷筋點!F1224="","",最佳化斷筋點!F1224)</f>
        <v/>
      </c>
      <c r="AF1224" s="37" t="str">
        <f>IF(最佳化斷筋點!G1224="","",最佳化斷筋點!G1224)</f>
        <v/>
      </c>
      <c r="AG1224" s="37" t="str">
        <f>IF(最佳化斷筋點!H1224="","",最佳化斷筋點!H1224)</f>
        <v/>
      </c>
      <c r="AH1224" s="37" t="str">
        <f>IF(最佳化斷筋點!I1224="","",最佳化斷筋點!I1224)</f>
        <v/>
      </c>
      <c r="AI1224" s="37" t="str">
        <f>IF(最佳化斷筋點!J1224="","",最佳化斷筋點!J1224)</f>
        <v/>
      </c>
      <c r="AJ1224" s="37" t="str">
        <f>IF(最佳化斷筋點!K1224="","",最佳化斷筋點!K1224)</f>
        <v/>
      </c>
      <c r="AK1224" s="37" t="str">
        <f>IF(最佳化斷筋點!L1224="","",最佳化斷筋點!L1224)</f>
        <v/>
      </c>
      <c r="AL1224" s="37" t="str">
        <f>IF(最佳化斷筋點!M1224="","",最佳化斷筋點!M1224)</f>
        <v/>
      </c>
      <c r="AM1224" s="37" t="str">
        <f>IF(最佳化斷筋點!N1224="","",最佳化斷筋點!N1224)</f>
        <v/>
      </c>
      <c r="AN1224" s="37" t="str">
        <f>IF(最佳化斷筋點!O1224="","",最佳化斷筋點!O1224)</f>
        <v/>
      </c>
      <c r="AO1224" s="37" t="str">
        <f>IF(最佳化斷筋點!P1224="","",最佳化斷筋點!P1224)</f>
        <v/>
      </c>
      <c r="AP1224" s="37" t="str">
        <f>IF(最佳化斷筋點!Q1224="","",最佳化斷筋點!Q1224)</f>
        <v/>
      </c>
      <c r="AQ1224" s="37" t="str">
        <f>IF(最佳化斷筋點!R1224="","",最佳化斷筋點!R1224)</f>
        <v/>
      </c>
      <c r="AR1224" s="37" t="str">
        <f>IF(最佳化斷筋點!S1224="","",最佳化斷筋點!S1224)</f>
        <v/>
      </c>
      <c r="AS1224" s="37" t="str">
        <f>IF(最佳化斷筋點!T1224="","",最佳化斷筋點!T1224)</f>
        <v/>
      </c>
      <c r="AT1224" s="37" t="str">
        <f>IF(最佳化斷筋點!U1224="","",最佳化斷筋點!U1224)</f>
        <v/>
      </c>
      <c r="AU1224" s="37" t="str">
        <f>IF(最佳化斷筋點!V1224="","",最佳化斷筋點!V1224)</f>
        <v/>
      </c>
      <c r="AV1224" s="37" t="str">
        <f>IF(最佳化斷筋點!W1224="","",最佳化斷筋點!W1224)</f>
        <v/>
      </c>
      <c r="AW1224" s="37" t="str">
        <f>IF(最佳化斷筋點!X1224="","",最佳化斷筋點!X1224)</f>
        <v/>
      </c>
      <c r="AZ1224" s="37" t="s">
        <v>197</v>
      </c>
      <c r="BA1224" s="37" t="s">
        <v>197</v>
      </c>
      <c r="BB1224" s="37" t="s">
        <v>197</v>
      </c>
      <c r="BC1224" s="37" t="s">
        <v>197</v>
      </c>
      <c r="BD1224" s="37" t="s">
        <v>197</v>
      </c>
      <c r="BE1224" s="37" t="s">
        <v>197</v>
      </c>
      <c r="BF1224" s="37" t="s">
        <v>197</v>
      </c>
      <c r="BG1224" s="37" t="s">
        <v>197</v>
      </c>
      <c r="BH1224" s="37" t="s">
        <v>197</v>
      </c>
      <c r="BI1224" s="37" t="s">
        <v>197</v>
      </c>
      <c r="BJ1224" s="37" t="s">
        <v>197</v>
      </c>
      <c r="BK1224" s="37" t="s">
        <v>197</v>
      </c>
      <c r="BL1224" s="37" t="s">
        <v>197</v>
      </c>
      <c r="BM1224" s="37" t="s">
        <v>197</v>
      </c>
      <c r="BN1224" s="37" t="s">
        <v>197</v>
      </c>
      <c r="BO1224" s="37" t="s">
        <v>197</v>
      </c>
      <c r="BP1224" s="37" t="s">
        <v>197</v>
      </c>
      <c r="BQ1224" s="37" t="s">
        <v>197</v>
      </c>
      <c r="BR1224" s="37" t="s">
        <v>197</v>
      </c>
      <c r="BS1224" s="37" t="s">
        <v>197</v>
      </c>
      <c r="BT1224" s="37" t="s">
        <v>197</v>
      </c>
    </row>
    <row r="1225" spans="5:72" x14ac:dyDescent="0.25">
      <c r="E1225" s="36" t="s">
        <v>21</v>
      </c>
      <c r="F1225" s="36">
        <f t="shared" si="400"/>
        <v>0</v>
      </c>
      <c r="G1225" s="36">
        <f t="shared" si="401"/>
        <v>0</v>
      </c>
      <c r="H1225" s="36">
        <f t="shared" si="402"/>
        <v>0</v>
      </c>
      <c r="I1225" s="36">
        <f t="shared" si="403"/>
        <v>0</v>
      </c>
      <c r="J1225" s="36">
        <f t="shared" si="404"/>
        <v>0</v>
      </c>
      <c r="K1225" s="36">
        <f t="shared" si="405"/>
        <v>0</v>
      </c>
      <c r="L1225" s="36">
        <f t="shared" si="406"/>
        <v>0</v>
      </c>
      <c r="M1225" s="36">
        <f t="shared" si="407"/>
        <v>0</v>
      </c>
      <c r="N1225" s="36">
        <f t="shared" si="408"/>
        <v>0</v>
      </c>
      <c r="O1225" s="36">
        <f t="shared" si="409"/>
        <v>0</v>
      </c>
      <c r="P1225" s="36">
        <f t="shared" si="410"/>
        <v>0</v>
      </c>
      <c r="Q1225" s="36">
        <f t="shared" si="411"/>
        <v>0</v>
      </c>
      <c r="R1225" s="36">
        <f t="shared" si="412"/>
        <v>0</v>
      </c>
      <c r="S1225" s="36">
        <f t="shared" si="413"/>
        <v>0</v>
      </c>
      <c r="T1225" s="36">
        <f t="shared" si="414"/>
        <v>0</v>
      </c>
      <c r="U1225" s="36">
        <f t="shared" si="415"/>
        <v>0</v>
      </c>
      <c r="V1225" s="36">
        <f t="shared" si="416"/>
        <v>0</v>
      </c>
      <c r="W1225" s="36">
        <f t="shared" si="417"/>
        <v>0</v>
      </c>
      <c r="X1225" s="36">
        <f t="shared" si="418"/>
        <v>0</v>
      </c>
      <c r="Y1225" s="36">
        <f t="shared" si="419"/>
        <v>0</v>
      </c>
      <c r="Z1225" s="36">
        <f t="shared" si="420"/>
        <v>0</v>
      </c>
      <c r="AB1225" s="36" t="str">
        <f>IF(最佳化斷筋點!C1225="","",最佳化斷筋點!C1225)</f>
        <v>下層</v>
      </c>
      <c r="AC1225" s="37">
        <f>IF(最佳化斷筋點!D1225="","",最佳化斷筋點!D1225)</f>
        <v>2</v>
      </c>
      <c r="AD1225" s="37">
        <f>IF(最佳化斷筋點!E1225="","",最佳化斷筋點!E1225)</f>
        <v>2</v>
      </c>
      <c r="AE1225" s="37">
        <f>IF(最佳化斷筋點!F1225="","",最佳化斷筋點!F1225)</f>
        <v>2</v>
      </c>
      <c r="AF1225" s="37">
        <f>IF(最佳化斷筋點!G1225="","",最佳化斷筋點!G1225)</f>
        <v>2</v>
      </c>
      <c r="AG1225" s="37">
        <f>IF(最佳化斷筋點!H1225="","",最佳化斷筋點!H1225)</f>
        <v>2</v>
      </c>
      <c r="AH1225" s="37">
        <f>IF(最佳化斷筋點!I1225="","",最佳化斷筋點!I1225)</f>
        <v>2</v>
      </c>
      <c r="AI1225" s="37">
        <f>IF(最佳化斷筋點!J1225="","",最佳化斷筋點!J1225)</f>
        <v>2</v>
      </c>
      <c r="AJ1225" s="37">
        <f>IF(最佳化斷筋點!K1225="","",最佳化斷筋點!K1225)</f>
        <v>2</v>
      </c>
      <c r="AK1225" s="37">
        <f>IF(最佳化斷筋點!L1225="","",最佳化斷筋點!L1225)</f>
        <v>2</v>
      </c>
      <c r="AL1225" s="37">
        <f>IF(最佳化斷筋點!M1225="","",最佳化斷筋點!M1225)</f>
        <v>2</v>
      </c>
      <c r="AM1225" s="37">
        <f>IF(最佳化斷筋點!N1225="","",最佳化斷筋點!N1225)</f>
        <v>2</v>
      </c>
      <c r="AN1225" s="37">
        <f>IF(最佳化斷筋點!O1225="","",最佳化斷筋點!O1225)</f>
        <v>2</v>
      </c>
      <c r="AO1225" s="37">
        <f>IF(最佳化斷筋點!P1225="","",最佳化斷筋點!P1225)</f>
        <v>2</v>
      </c>
      <c r="AP1225" s="37">
        <f>IF(最佳化斷筋點!Q1225="","",最佳化斷筋點!Q1225)</f>
        <v>3</v>
      </c>
      <c r="AQ1225" s="37">
        <f>IF(最佳化斷筋點!R1225="","",最佳化斷筋點!R1225)</f>
        <v>4</v>
      </c>
      <c r="AR1225" s="37">
        <f>IF(最佳化斷筋點!S1225="","",最佳化斷筋點!S1225)</f>
        <v>4</v>
      </c>
      <c r="AS1225" s="37">
        <f>IF(最佳化斷筋點!T1225="","",最佳化斷筋點!T1225)</f>
        <v>5</v>
      </c>
      <c r="AT1225" s="37">
        <f>IF(最佳化斷筋點!U1225="","",最佳化斷筋點!U1225)</f>
        <v>5</v>
      </c>
      <c r="AU1225" s="37">
        <f>IF(最佳化斷筋點!V1225="","",最佳化斷筋點!V1225)</f>
        <v>5</v>
      </c>
      <c r="AV1225" s="37">
        <f>IF(最佳化斷筋點!W1225="","",最佳化斷筋點!W1225)</f>
        <v>5</v>
      </c>
      <c r="AW1225" s="37">
        <f>IF(最佳化斷筋點!X1225="","",最佳化斷筋點!X1225)</f>
        <v>5</v>
      </c>
      <c r="AZ1225" s="37">
        <v>2</v>
      </c>
      <c r="BA1225" s="37">
        <v>2</v>
      </c>
      <c r="BB1225" s="37">
        <v>2</v>
      </c>
      <c r="BC1225" s="37">
        <v>2</v>
      </c>
      <c r="BD1225" s="37">
        <v>2</v>
      </c>
      <c r="BE1225" s="37">
        <v>2</v>
      </c>
      <c r="BF1225" s="37">
        <v>2</v>
      </c>
      <c r="BG1225" s="37">
        <v>2</v>
      </c>
      <c r="BH1225" s="37">
        <v>2</v>
      </c>
      <c r="BI1225" s="37">
        <v>2</v>
      </c>
      <c r="BJ1225" s="37">
        <v>2</v>
      </c>
      <c r="BK1225" s="37">
        <v>2</v>
      </c>
      <c r="BL1225" s="37">
        <v>2</v>
      </c>
      <c r="BM1225" s="37">
        <v>3</v>
      </c>
      <c r="BN1225" s="37">
        <v>4</v>
      </c>
      <c r="BO1225" s="37">
        <v>4</v>
      </c>
      <c r="BP1225" s="37">
        <v>5</v>
      </c>
      <c r="BQ1225" s="37">
        <v>5</v>
      </c>
      <c r="BR1225" s="37">
        <v>5</v>
      </c>
      <c r="BS1225" s="37">
        <v>5</v>
      </c>
      <c r="BT1225" s="37">
        <v>5</v>
      </c>
    </row>
    <row r="1226" spans="5:72" x14ac:dyDescent="0.25">
      <c r="E1226" s="36"/>
      <c r="F1226" s="36">
        <f t="shared" si="400"/>
        <v>0</v>
      </c>
      <c r="G1226" s="36">
        <f t="shared" si="401"/>
        <v>0</v>
      </c>
      <c r="H1226" s="36">
        <f t="shared" si="402"/>
        <v>0</v>
      </c>
      <c r="I1226" s="36">
        <f t="shared" si="403"/>
        <v>0</v>
      </c>
      <c r="J1226" s="36">
        <f t="shared" si="404"/>
        <v>0</v>
      </c>
      <c r="K1226" s="36">
        <f t="shared" si="405"/>
        <v>0</v>
      </c>
      <c r="L1226" s="36">
        <f t="shared" si="406"/>
        <v>0</v>
      </c>
      <c r="M1226" s="36">
        <f t="shared" si="407"/>
        <v>0</v>
      </c>
      <c r="N1226" s="36">
        <f t="shared" si="408"/>
        <v>0</v>
      </c>
      <c r="O1226" s="36">
        <f t="shared" si="409"/>
        <v>0</v>
      </c>
      <c r="P1226" s="36">
        <f t="shared" si="410"/>
        <v>0</v>
      </c>
      <c r="Q1226" s="36">
        <f t="shared" si="411"/>
        <v>0</v>
      </c>
      <c r="R1226" s="36">
        <f t="shared" si="412"/>
        <v>0</v>
      </c>
      <c r="S1226" s="36">
        <f t="shared" si="413"/>
        <v>0</v>
      </c>
      <c r="T1226" s="36">
        <f t="shared" si="414"/>
        <v>0</v>
      </c>
      <c r="U1226" s="36">
        <f t="shared" si="415"/>
        <v>0</v>
      </c>
      <c r="V1226" s="36">
        <f t="shared" si="416"/>
        <v>0</v>
      </c>
      <c r="W1226" s="36">
        <f t="shared" si="417"/>
        <v>0</v>
      </c>
      <c r="X1226" s="36">
        <f t="shared" si="418"/>
        <v>0</v>
      </c>
      <c r="Y1226" s="36">
        <f t="shared" si="419"/>
        <v>0</v>
      </c>
      <c r="Z1226" s="36">
        <f t="shared" si="420"/>
        <v>0</v>
      </c>
      <c r="AB1226" s="36" t="str">
        <f>IF(最佳化斷筋點!C1226="","",最佳化斷筋點!C1226)</f>
        <v/>
      </c>
      <c r="AC1226" s="37" t="str">
        <f>IF(最佳化斷筋點!D1226="","",最佳化斷筋點!D1226)</f>
        <v/>
      </c>
      <c r="AD1226" s="37" t="str">
        <f>IF(最佳化斷筋點!E1226="","",最佳化斷筋點!E1226)</f>
        <v/>
      </c>
      <c r="AE1226" s="37" t="str">
        <f>IF(最佳化斷筋點!F1226="","",最佳化斷筋點!F1226)</f>
        <v/>
      </c>
      <c r="AF1226" s="37" t="str">
        <f>IF(最佳化斷筋點!G1226="","",最佳化斷筋點!G1226)</f>
        <v/>
      </c>
      <c r="AG1226" s="37" t="str">
        <f>IF(最佳化斷筋點!H1226="","",最佳化斷筋點!H1226)</f>
        <v/>
      </c>
      <c r="AH1226" s="37" t="str">
        <f>IF(最佳化斷筋點!I1226="","",最佳化斷筋點!I1226)</f>
        <v/>
      </c>
      <c r="AI1226" s="37" t="str">
        <f>IF(最佳化斷筋點!J1226="","",最佳化斷筋點!J1226)</f>
        <v/>
      </c>
      <c r="AJ1226" s="37" t="str">
        <f>IF(最佳化斷筋點!K1226="","",最佳化斷筋點!K1226)</f>
        <v/>
      </c>
      <c r="AK1226" s="37" t="str">
        <f>IF(最佳化斷筋點!L1226="","",最佳化斷筋點!L1226)</f>
        <v/>
      </c>
      <c r="AL1226" s="37" t="str">
        <f>IF(最佳化斷筋點!M1226="","",最佳化斷筋點!M1226)</f>
        <v/>
      </c>
      <c r="AM1226" s="37" t="str">
        <f>IF(最佳化斷筋點!N1226="","",最佳化斷筋點!N1226)</f>
        <v/>
      </c>
      <c r="AN1226" s="37" t="str">
        <f>IF(最佳化斷筋點!O1226="","",最佳化斷筋點!O1226)</f>
        <v/>
      </c>
      <c r="AO1226" s="37" t="str">
        <f>IF(最佳化斷筋點!P1226="","",最佳化斷筋點!P1226)</f>
        <v/>
      </c>
      <c r="AP1226" s="37" t="str">
        <f>IF(最佳化斷筋點!Q1226="","",最佳化斷筋點!Q1226)</f>
        <v/>
      </c>
      <c r="AQ1226" s="37" t="str">
        <f>IF(最佳化斷筋點!R1226="","",最佳化斷筋點!R1226)</f>
        <v/>
      </c>
      <c r="AR1226" s="37" t="str">
        <f>IF(最佳化斷筋點!S1226="","",最佳化斷筋點!S1226)</f>
        <v/>
      </c>
      <c r="AS1226" s="37" t="str">
        <f>IF(最佳化斷筋點!T1226="","",最佳化斷筋點!T1226)</f>
        <v/>
      </c>
      <c r="AT1226" s="37" t="str">
        <f>IF(最佳化斷筋點!U1226="","",最佳化斷筋點!U1226)</f>
        <v/>
      </c>
      <c r="AU1226" s="37" t="str">
        <f>IF(最佳化斷筋點!V1226="","",最佳化斷筋點!V1226)</f>
        <v/>
      </c>
      <c r="AV1226" s="37" t="str">
        <f>IF(最佳化斷筋點!W1226="","",最佳化斷筋點!W1226)</f>
        <v/>
      </c>
      <c r="AW1226" s="37" t="str">
        <f>IF(最佳化斷筋點!X1226="","",最佳化斷筋點!X1226)</f>
        <v/>
      </c>
      <c r="AZ1226" s="37" t="s">
        <v>197</v>
      </c>
      <c r="BA1226" s="37" t="s">
        <v>197</v>
      </c>
      <c r="BB1226" s="37" t="s">
        <v>197</v>
      </c>
      <c r="BC1226" s="37" t="s">
        <v>197</v>
      </c>
      <c r="BD1226" s="37" t="s">
        <v>197</v>
      </c>
      <c r="BE1226" s="37" t="s">
        <v>197</v>
      </c>
      <c r="BF1226" s="37" t="s">
        <v>197</v>
      </c>
      <c r="BG1226" s="37" t="s">
        <v>197</v>
      </c>
      <c r="BH1226" s="37" t="s">
        <v>197</v>
      </c>
      <c r="BI1226" s="37" t="s">
        <v>197</v>
      </c>
      <c r="BJ1226" s="37" t="s">
        <v>197</v>
      </c>
      <c r="BK1226" s="37" t="s">
        <v>197</v>
      </c>
      <c r="BL1226" s="37" t="s">
        <v>197</v>
      </c>
      <c r="BM1226" s="37" t="s">
        <v>197</v>
      </c>
      <c r="BN1226" s="37" t="s">
        <v>197</v>
      </c>
      <c r="BO1226" s="37" t="s">
        <v>197</v>
      </c>
      <c r="BP1226" s="37" t="s">
        <v>197</v>
      </c>
      <c r="BQ1226" s="37" t="s">
        <v>197</v>
      </c>
      <c r="BR1226" s="37" t="s">
        <v>197</v>
      </c>
      <c r="BS1226" s="37" t="s">
        <v>197</v>
      </c>
      <c r="BT1226" s="37" t="s">
        <v>197</v>
      </c>
    </row>
    <row r="1227" spans="5:72" x14ac:dyDescent="0.25">
      <c r="E1227" s="36" t="s">
        <v>20</v>
      </c>
      <c r="F1227" s="36">
        <f t="shared" si="400"/>
        <v>0</v>
      </c>
      <c r="G1227" s="36">
        <f t="shared" si="401"/>
        <v>0</v>
      </c>
      <c r="H1227" s="36">
        <f t="shared" si="402"/>
        <v>0</v>
      </c>
      <c r="I1227" s="36">
        <f t="shared" si="403"/>
        <v>0</v>
      </c>
      <c r="J1227" s="36">
        <f t="shared" si="404"/>
        <v>0</v>
      </c>
      <c r="K1227" s="36">
        <f t="shared" si="405"/>
        <v>0</v>
      </c>
      <c r="L1227" s="36">
        <f t="shared" si="406"/>
        <v>0</v>
      </c>
      <c r="M1227" s="36">
        <f t="shared" si="407"/>
        <v>0</v>
      </c>
      <c r="N1227" s="36">
        <f t="shared" si="408"/>
        <v>0</v>
      </c>
      <c r="O1227" s="36">
        <f t="shared" si="409"/>
        <v>0</v>
      </c>
      <c r="P1227" s="36">
        <f t="shared" si="410"/>
        <v>0</v>
      </c>
      <c r="Q1227" s="36">
        <f t="shared" si="411"/>
        <v>0</v>
      </c>
      <c r="R1227" s="36">
        <f t="shared" si="412"/>
        <v>0</v>
      </c>
      <c r="S1227" s="36">
        <f t="shared" si="413"/>
        <v>0</v>
      </c>
      <c r="T1227" s="36">
        <f t="shared" si="414"/>
        <v>0</v>
      </c>
      <c r="U1227" s="36">
        <f t="shared" si="415"/>
        <v>0</v>
      </c>
      <c r="V1227" s="36">
        <f t="shared" si="416"/>
        <v>0</v>
      </c>
      <c r="W1227" s="36">
        <f t="shared" si="417"/>
        <v>0</v>
      </c>
      <c r="X1227" s="36">
        <f t="shared" si="418"/>
        <v>0</v>
      </c>
      <c r="Y1227" s="36">
        <f t="shared" si="419"/>
        <v>0</v>
      </c>
      <c r="Z1227" s="36">
        <f t="shared" si="420"/>
        <v>0</v>
      </c>
      <c r="AB1227" s="36" t="str">
        <f>IF(最佳化斷筋點!C1227="","",最佳化斷筋點!C1227)</f>
        <v>上層</v>
      </c>
      <c r="AC1227" s="37">
        <f>IF(最佳化斷筋點!D1227="","",最佳化斷筋點!D1227)</f>
        <v>6</v>
      </c>
      <c r="AD1227" s="37">
        <f>IF(最佳化斷筋點!E1227="","",最佳化斷筋點!E1227)</f>
        <v>6</v>
      </c>
      <c r="AE1227" s="37">
        <f>IF(最佳化斷筋點!F1227="","",最佳化斷筋點!F1227)</f>
        <v>6</v>
      </c>
      <c r="AF1227" s="37">
        <f>IF(最佳化斷筋點!G1227="","",最佳化斷筋點!G1227)</f>
        <v>6</v>
      </c>
      <c r="AG1227" s="37">
        <f>IF(最佳化斷筋點!H1227="","",最佳化斷筋點!H1227)</f>
        <v>5</v>
      </c>
      <c r="AH1227" s="37">
        <f>IF(最佳化斷筋點!I1227="","",最佳化斷筋點!I1227)</f>
        <v>5</v>
      </c>
      <c r="AI1227" s="37">
        <f>IF(最佳化斷筋點!J1227="","",最佳化斷筋點!J1227)</f>
        <v>4</v>
      </c>
      <c r="AJ1227" s="37">
        <f>IF(最佳化斷筋點!K1227="","",最佳化斷筋點!K1227)</f>
        <v>4</v>
      </c>
      <c r="AK1227" s="37">
        <f>IF(最佳化斷筋點!L1227="","",最佳化斷筋點!L1227)</f>
        <v>3</v>
      </c>
      <c r="AL1227" s="37">
        <f>IF(最佳化斷筋點!M1227="","",最佳化斷筋點!M1227)</f>
        <v>3</v>
      </c>
      <c r="AM1227" s="37">
        <f>IF(最佳化斷筋點!N1227="","",最佳化斷筋點!N1227)</f>
        <v>2</v>
      </c>
      <c r="AN1227" s="37">
        <f>IF(最佳化斷筋點!O1227="","",最佳化斷筋點!O1227)</f>
        <v>2</v>
      </c>
      <c r="AO1227" s="37">
        <f>IF(最佳化斷筋點!P1227="","",最佳化斷筋點!P1227)</f>
        <v>3</v>
      </c>
      <c r="AP1227" s="37">
        <f>IF(最佳化斷筋點!Q1227="","",最佳化斷筋點!Q1227)</f>
        <v>3</v>
      </c>
      <c r="AQ1227" s="37">
        <f>IF(最佳化斷筋點!R1227="","",最佳化斷筋點!R1227)</f>
        <v>4</v>
      </c>
      <c r="AR1227" s="37">
        <f>IF(最佳化斷筋點!S1227="","",最佳化斷筋點!S1227)</f>
        <v>4</v>
      </c>
      <c r="AS1227" s="37">
        <f>IF(最佳化斷筋點!T1227="","",最佳化斷筋點!T1227)</f>
        <v>5</v>
      </c>
      <c r="AT1227" s="37">
        <f>IF(最佳化斷筋點!U1227="","",最佳化斷筋點!U1227)</f>
        <v>5</v>
      </c>
      <c r="AU1227" s="37">
        <f>IF(最佳化斷筋點!V1227="","",最佳化斷筋點!V1227)</f>
        <v>6</v>
      </c>
      <c r="AV1227" s="37">
        <f>IF(最佳化斷筋點!W1227="","",最佳化斷筋點!W1227)</f>
        <v>6</v>
      </c>
      <c r="AW1227" s="37">
        <f>IF(最佳化斷筋點!X1227="","",最佳化斷筋點!X1227)</f>
        <v>6</v>
      </c>
      <c r="AZ1227" s="37">
        <v>6</v>
      </c>
      <c r="BA1227" s="37">
        <v>6</v>
      </c>
      <c r="BB1227" s="37">
        <v>6</v>
      </c>
      <c r="BC1227" s="37">
        <v>6</v>
      </c>
      <c r="BD1227" s="37">
        <v>5</v>
      </c>
      <c r="BE1227" s="37">
        <v>5</v>
      </c>
      <c r="BF1227" s="37">
        <v>4</v>
      </c>
      <c r="BG1227" s="37">
        <v>4</v>
      </c>
      <c r="BH1227" s="37">
        <v>3</v>
      </c>
      <c r="BI1227" s="37">
        <v>3</v>
      </c>
      <c r="BJ1227" s="37">
        <v>2</v>
      </c>
      <c r="BK1227" s="37">
        <v>2</v>
      </c>
      <c r="BL1227" s="37">
        <v>3</v>
      </c>
      <c r="BM1227" s="37">
        <v>3</v>
      </c>
      <c r="BN1227" s="37">
        <v>4</v>
      </c>
      <c r="BO1227" s="37">
        <v>4</v>
      </c>
      <c r="BP1227" s="37">
        <v>5</v>
      </c>
      <c r="BQ1227" s="37">
        <v>5</v>
      </c>
      <c r="BR1227" s="37">
        <v>6</v>
      </c>
      <c r="BS1227" s="37">
        <v>6</v>
      </c>
      <c r="BT1227" s="37">
        <v>6</v>
      </c>
    </row>
    <row r="1228" spans="5:72" x14ac:dyDescent="0.25">
      <c r="E1228" s="36"/>
      <c r="F1228" s="36">
        <f t="shared" si="400"/>
        <v>0</v>
      </c>
      <c r="G1228" s="36">
        <f t="shared" si="401"/>
        <v>0</v>
      </c>
      <c r="H1228" s="36">
        <f t="shared" si="402"/>
        <v>0</v>
      </c>
      <c r="I1228" s="36">
        <f t="shared" si="403"/>
        <v>0</v>
      </c>
      <c r="J1228" s="36">
        <f t="shared" si="404"/>
        <v>0</v>
      </c>
      <c r="K1228" s="36">
        <f t="shared" si="405"/>
        <v>0</v>
      </c>
      <c r="L1228" s="36">
        <f t="shared" si="406"/>
        <v>0</v>
      </c>
      <c r="M1228" s="36">
        <f t="shared" si="407"/>
        <v>0</v>
      </c>
      <c r="N1228" s="36">
        <f t="shared" si="408"/>
        <v>0</v>
      </c>
      <c r="O1228" s="36">
        <f t="shared" si="409"/>
        <v>0</v>
      </c>
      <c r="P1228" s="36">
        <f t="shared" si="410"/>
        <v>0</v>
      </c>
      <c r="Q1228" s="36">
        <f t="shared" si="411"/>
        <v>0</v>
      </c>
      <c r="R1228" s="36">
        <f t="shared" si="412"/>
        <v>0</v>
      </c>
      <c r="S1228" s="36">
        <f t="shared" si="413"/>
        <v>0</v>
      </c>
      <c r="T1228" s="36">
        <f t="shared" si="414"/>
        <v>0</v>
      </c>
      <c r="U1228" s="36">
        <f t="shared" si="415"/>
        <v>0</v>
      </c>
      <c r="V1228" s="36">
        <f t="shared" si="416"/>
        <v>0</v>
      </c>
      <c r="W1228" s="36">
        <f t="shared" si="417"/>
        <v>0</v>
      </c>
      <c r="X1228" s="36">
        <f t="shared" si="418"/>
        <v>0</v>
      </c>
      <c r="Y1228" s="36">
        <f t="shared" si="419"/>
        <v>0</v>
      </c>
      <c r="Z1228" s="36">
        <f t="shared" si="420"/>
        <v>0</v>
      </c>
      <c r="AB1228" s="36" t="str">
        <f>IF(最佳化斷筋點!C1228="","",最佳化斷筋點!C1228)</f>
        <v/>
      </c>
      <c r="AC1228" s="37" t="str">
        <f>IF(最佳化斷筋點!D1228="","",最佳化斷筋點!D1228)</f>
        <v/>
      </c>
      <c r="AD1228" s="37" t="str">
        <f>IF(最佳化斷筋點!E1228="","",最佳化斷筋點!E1228)</f>
        <v/>
      </c>
      <c r="AE1228" s="37" t="str">
        <f>IF(最佳化斷筋點!F1228="","",最佳化斷筋點!F1228)</f>
        <v/>
      </c>
      <c r="AF1228" s="37" t="str">
        <f>IF(最佳化斷筋點!G1228="","",最佳化斷筋點!G1228)</f>
        <v/>
      </c>
      <c r="AG1228" s="37" t="str">
        <f>IF(最佳化斷筋點!H1228="","",最佳化斷筋點!H1228)</f>
        <v/>
      </c>
      <c r="AH1228" s="37" t="str">
        <f>IF(最佳化斷筋點!I1228="","",最佳化斷筋點!I1228)</f>
        <v/>
      </c>
      <c r="AI1228" s="37" t="str">
        <f>IF(最佳化斷筋點!J1228="","",最佳化斷筋點!J1228)</f>
        <v/>
      </c>
      <c r="AJ1228" s="37" t="str">
        <f>IF(最佳化斷筋點!K1228="","",最佳化斷筋點!K1228)</f>
        <v/>
      </c>
      <c r="AK1228" s="37" t="str">
        <f>IF(最佳化斷筋點!L1228="","",最佳化斷筋點!L1228)</f>
        <v/>
      </c>
      <c r="AL1228" s="37" t="str">
        <f>IF(最佳化斷筋點!M1228="","",最佳化斷筋點!M1228)</f>
        <v/>
      </c>
      <c r="AM1228" s="37" t="str">
        <f>IF(最佳化斷筋點!N1228="","",最佳化斷筋點!N1228)</f>
        <v/>
      </c>
      <c r="AN1228" s="37" t="str">
        <f>IF(最佳化斷筋點!O1228="","",最佳化斷筋點!O1228)</f>
        <v/>
      </c>
      <c r="AO1228" s="37" t="str">
        <f>IF(最佳化斷筋點!P1228="","",最佳化斷筋點!P1228)</f>
        <v/>
      </c>
      <c r="AP1228" s="37" t="str">
        <f>IF(最佳化斷筋點!Q1228="","",最佳化斷筋點!Q1228)</f>
        <v/>
      </c>
      <c r="AQ1228" s="37" t="str">
        <f>IF(最佳化斷筋點!R1228="","",最佳化斷筋點!R1228)</f>
        <v/>
      </c>
      <c r="AR1228" s="37" t="str">
        <f>IF(最佳化斷筋點!S1228="","",最佳化斷筋點!S1228)</f>
        <v/>
      </c>
      <c r="AS1228" s="37" t="str">
        <f>IF(最佳化斷筋點!T1228="","",最佳化斷筋點!T1228)</f>
        <v/>
      </c>
      <c r="AT1228" s="37" t="str">
        <f>IF(最佳化斷筋點!U1228="","",最佳化斷筋點!U1228)</f>
        <v/>
      </c>
      <c r="AU1228" s="37" t="str">
        <f>IF(最佳化斷筋點!V1228="","",最佳化斷筋點!V1228)</f>
        <v/>
      </c>
      <c r="AV1228" s="37" t="str">
        <f>IF(最佳化斷筋點!W1228="","",最佳化斷筋點!W1228)</f>
        <v/>
      </c>
      <c r="AW1228" s="37" t="str">
        <f>IF(最佳化斷筋點!X1228="","",最佳化斷筋點!X1228)</f>
        <v/>
      </c>
      <c r="AZ1228" s="37" t="s">
        <v>197</v>
      </c>
      <c r="BA1228" s="37" t="s">
        <v>197</v>
      </c>
      <c r="BB1228" s="37" t="s">
        <v>197</v>
      </c>
      <c r="BC1228" s="37" t="s">
        <v>197</v>
      </c>
      <c r="BD1228" s="37" t="s">
        <v>197</v>
      </c>
      <c r="BE1228" s="37" t="s">
        <v>197</v>
      </c>
      <c r="BF1228" s="37" t="s">
        <v>197</v>
      </c>
      <c r="BG1228" s="37" t="s">
        <v>197</v>
      </c>
      <c r="BH1228" s="37" t="s">
        <v>197</v>
      </c>
      <c r="BI1228" s="37" t="s">
        <v>197</v>
      </c>
      <c r="BJ1228" s="37" t="s">
        <v>197</v>
      </c>
      <c r="BK1228" s="37" t="s">
        <v>197</v>
      </c>
      <c r="BL1228" s="37" t="s">
        <v>197</v>
      </c>
      <c r="BM1228" s="37" t="s">
        <v>197</v>
      </c>
      <c r="BN1228" s="37" t="s">
        <v>197</v>
      </c>
      <c r="BO1228" s="37" t="s">
        <v>197</v>
      </c>
      <c r="BP1228" s="37" t="s">
        <v>197</v>
      </c>
      <c r="BQ1228" s="37" t="s">
        <v>197</v>
      </c>
      <c r="BR1228" s="37" t="s">
        <v>197</v>
      </c>
      <c r="BS1228" s="37" t="s">
        <v>197</v>
      </c>
      <c r="BT1228" s="37" t="s">
        <v>197</v>
      </c>
    </row>
    <row r="1229" spans="5:72" x14ac:dyDescent="0.25">
      <c r="E1229" s="36" t="s">
        <v>21</v>
      </c>
      <c r="F1229" s="36">
        <f t="shared" si="400"/>
        <v>0</v>
      </c>
      <c r="G1229" s="36">
        <f t="shared" si="401"/>
        <v>0</v>
      </c>
      <c r="H1229" s="36">
        <f t="shared" si="402"/>
        <v>0</v>
      </c>
      <c r="I1229" s="36">
        <f t="shared" si="403"/>
        <v>0</v>
      </c>
      <c r="J1229" s="36">
        <f t="shared" si="404"/>
        <v>0</v>
      </c>
      <c r="K1229" s="36">
        <f t="shared" si="405"/>
        <v>0</v>
      </c>
      <c r="L1229" s="36">
        <f t="shared" si="406"/>
        <v>0</v>
      </c>
      <c r="M1229" s="36">
        <f t="shared" si="407"/>
        <v>0</v>
      </c>
      <c r="N1229" s="36">
        <f t="shared" si="408"/>
        <v>0</v>
      </c>
      <c r="O1229" s="36">
        <f t="shared" si="409"/>
        <v>0</v>
      </c>
      <c r="P1229" s="36">
        <f t="shared" si="410"/>
        <v>0</v>
      </c>
      <c r="Q1229" s="36">
        <f t="shared" si="411"/>
        <v>0</v>
      </c>
      <c r="R1229" s="36">
        <f t="shared" si="412"/>
        <v>0</v>
      </c>
      <c r="S1229" s="36">
        <f t="shared" si="413"/>
        <v>0</v>
      </c>
      <c r="T1229" s="36">
        <f t="shared" si="414"/>
        <v>0</v>
      </c>
      <c r="U1229" s="36">
        <f t="shared" si="415"/>
        <v>0</v>
      </c>
      <c r="V1229" s="36">
        <f t="shared" si="416"/>
        <v>0</v>
      </c>
      <c r="W1229" s="36">
        <f t="shared" si="417"/>
        <v>0</v>
      </c>
      <c r="X1229" s="36">
        <f t="shared" si="418"/>
        <v>0</v>
      </c>
      <c r="Y1229" s="36">
        <f t="shared" si="419"/>
        <v>0</v>
      </c>
      <c r="Z1229" s="36">
        <f t="shared" si="420"/>
        <v>0</v>
      </c>
      <c r="AB1229" s="36" t="str">
        <f>IF(最佳化斷筋點!C1229="","",最佳化斷筋點!C1229)</f>
        <v>下層</v>
      </c>
      <c r="AC1229" s="37">
        <f>IF(最佳化斷筋點!D1229="","",最佳化斷筋點!D1229)</f>
        <v>6</v>
      </c>
      <c r="AD1229" s="37">
        <f>IF(最佳化斷筋點!E1229="","",最佳化斷筋點!E1229)</f>
        <v>6</v>
      </c>
      <c r="AE1229" s="37">
        <f>IF(最佳化斷筋點!F1229="","",最佳化斷筋點!F1229)</f>
        <v>6</v>
      </c>
      <c r="AF1229" s="37">
        <f>IF(最佳化斷筋點!G1229="","",最佳化斷筋點!G1229)</f>
        <v>5</v>
      </c>
      <c r="AG1229" s="37">
        <f>IF(最佳化斷筋點!H1229="","",最佳化斷筋點!H1229)</f>
        <v>5</v>
      </c>
      <c r="AH1229" s="37">
        <f>IF(最佳化斷筋點!I1229="","",最佳化斷筋點!I1229)</f>
        <v>5</v>
      </c>
      <c r="AI1229" s="37">
        <f>IF(最佳化斷筋點!J1229="","",最佳化斷筋點!J1229)</f>
        <v>6</v>
      </c>
      <c r="AJ1229" s="37">
        <f>IF(最佳化斷筋點!K1229="","",最佳化斷筋點!K1229)</f>
        <v>6</v>
      </c>
      <c r="AK1229" s="37">
        <f>IF(最佳化斷筋點!L1229="","",最佳化斷筋點!L1229)</f>
        <v>6</v>
      </c>
      <c r="AL1229" s="37">
        <f>IF(最佳化斷筋點!M1229="","",最佳化斷筋點!M1229)</f>
        <v>6</v>
      </c>
      <c r="AM1229" s="37">
        <f>IF(最佳化斷筋點!N1229="","",最佳化斷筋點!N1229)</f>
        <v>6</v>
      </c>
      <c r="AN1229" s="37">
        <f>IF(最佳化斷筋點!O1229="","",最佳化斷筋點!O1229)</f>
        <v>6</v>
      </c>
      <c r="AO1229" s="37">
        <f>IF(最佳化斷筋點!P1229="","",最佳化斷筋點!P1229)</f>
        <v>6</v>
      </c>
      <c r="AP1229" s="37">
        <f>IF(最佳化斷筋點!Q1229="","",最佳化斷筋點!Q1229)</f>
        <v>6</v>
      </c>
      <c r="AQ1229" s="37">
        <f>IF(最佳化斷筋點!R1229="","",最佳化斷筋點!R1229)</f>
        <v>6</v>
      </c>
      <c r="AR1229" s="37">
        <f>IF(最佳化斷筋點!S1229="","",最佳化斷筋點!S1229)</f>
        <v>6</v>
      </c>
      <c r="AS1229" s="37">
        <f>IF(最佳化斷筋點!T1229="","",最佳化斷筋點!T1229)</f>
        <v>5</v>
      </c>
      <c r="AT1229" s="37">
        <f>IF(最佳化斷筋點!U1229="","",最佳化斷筋點!U1229)</f>
        <v>5</v>
      </c>
      <c r="AU1229" s="37">
        <f>IF(最佳化斷筋點!V1229="","",最佳化斷筋點!V1229)</f>
        <v>5</v>
      </c>
      <c r="AV1229" s="37">
        <f>IF(最佳化斷筋點!W1229="","",最佳化斷筋點!W1229)</f>
        <v>6</v>
      </c>
      <c r="AW1229" s="37">
        <f>IF(最佳化斷筋點!X1229="","",最佳化斷筋點!X1229)</f>
        <v>6</v>
      </c>
      <c r="AZ1229" s="37">
        <v>6</v>
      </c>
      <c r="BA1229" s="37">
        <v>6</v>
      </c>
      <c r="BB1229" s="37">
        <v>6</v>
      </c>
      <c r="BC1229" s="37">
        <v>5</v>
      </c>
      <c r="BD1229" s="37">
        <v>5</v>
      </c>
      <c r="BE1229" s="37">
        <v>5</v>
      </c>
      <c r="BF1229" s="37">
        <v>6</v>
      </c>
      <c r="BG1229" s="37">
        <v>6</v>
      </c>
      <c r="BH1229" s="37">
        <v>6</v>
      </c>
      <c r="BI1229" s="37">
        <v>6</v>
      </c>
      <c r="BJ1229" s="37">
        <v>6</v>
      </c>
      <c r="BK1229" s="37">
        <v>6</v>
      </c>
      <c r="BL1229" s="37">
        <v>6</v>
      </c>
      <c r="BM1229" s="37">
        <v>6</v>
      </c>
      <c r="BN1229" s="37">
        <v>6</v>
      </c>
      <c r="BO1229" s="37">
        <v>6</v>
      </c>
      <c r="BP1229" s="37">
        <v>5</v>
      </c>
      <c r="BQ1229" s="37">
        <v>5</v>
      </c>
      <c r="BR1229" s="37">
        <v>5</v>
      </c>
      <c r="BS1229" s="37">
        <v>6</v>
      </c>
      <c r="BT1229" s="37">
        <v>6</v>
      </c>
    </row>
    <row r="1230" spans="5:72" x14ac:dyDescent="0.25">
      <c r="E1230" s="36"/>
      <c r="F1230" s="36">
        <f t="shared" si="400"/>
        <v>0</v>
      </c>
      <c r="G1230" s="36">
        <f t="shared" si="401"/>
        <v>0</v>
      </c>
      <c r="H1230" s="36">
        <f t="shared" si="402"/>
        <v>0</v>
      </c>
      <c r="I1230" s="36">
        <f t="shared" si="403"/>
        <v>0</v>
      </c>
      <c r="J1230" s="36">
        <f t="shared" si="404"/>
        <v>0</v>
      </c>
      <c r="K1230" s="36">
        <f t="shared" si="405"/>
        <v>0</v>
      </c>
      <c r="L1230" s="36">
        <f t="shared" si="406"/>
        <v>0</v>
      </c>
      <c r="M1230" s="36">
        <f t="shared" si="407"/>
        <v>0</v>
      </c>
      <c r="N1230" s="36">
        <f t="shared" si="408"/>
        <v>0</v>
      </c>
      <c r="O1230" s="36">
        <f t="shared" si="409"/>
        <v>0</v>
      </c>
      <c r="P1230" s="36">
        <f t="shared" si="410"/>
        <v>0</v>
      </c>
      <c r="Q1230" s="36">
        <f t="shared" si="411"/>
        <v>0</v>
      </c>
      <c r="R1230" s="36">
        <f t="shared" si="412"/>
        <v>0</v>
      </c>
      <c r="S1230" s="36">
        <f t="shared" si="413"/>
        <v>0</v>
      </c>
      <c r="T1230" s="36">
        <f t="shared" si="414"/>
        <v>0</v>
      </c>
      <c r="U1230" s="36">
        <f t="shared" si="415"/>
        <v>0</v>
      </c>
      <c r="V1230" s="36">
        <f t="shared" si="416"/>
        <v>0</v>
      </c>
      <c r="W1230" s="36">
        <f t="shared" si="417"/>
        <v>0</v>
      </c>
      <c r="X1230" s="36">
        <f t="shared" si="418"/>
        <v>0</v>
      </c>
      <c r="Y1230" s="36">
        <f t="shared" si="419"/>
        <v>0</v>
      </c>
      <c r="Z1230" s="36">
        <f t="shared" si="420"/>
        <v>0</v>
      </c>
      <c r="AB1230" s="36" t="str">
        <f>IF(最佳化斷筋點!C1230="","",最佳化斷筋點!C1230)</f>
        <v/>
      </c>
      <c r="AC1230" s="37" t="str">
        <f>IF(最佳化斷筋點!D1230="","",最佳化斷筋點!D1230)</f>
        <v/>
      </c>
      <c r="AD1230" s="37" t="str">
        <f>IF(最佳化斷筋點!E1230="","",最佳化斷筋點!E1230)</f>
        <v/>
      </c>
      <c r="AE1230" s="37" t="str">
        <f>IF(最佳化斷筋點!F1230="","",最佳化斷筋點!F1230)</f>
        <v/>
      </c>
      <c r="AF1230" s="37" t="str">
        <f>IF(最佳化斷筋點!G1230="","",最佳化斷筋點!G1230)</f>
        <v/>
      </c>
      <c r="AG1230" s="37" t="str">
        <f>IF(最佳化斷筋點!H1230="","",最佳化斷筋點!H1230)</f>
        <v/>
      </c>
      <c r="AH1230" s="37" t="str">
        <f>IF(最佳化斷筋點!I1230="","",最佳化斷筋點!I1230)</f>
        <v/>
      </c>
      <c r="AI1230" s="37" t="str">
        <f>IF(最佳化斷筋點!J1230="","",最佳化斷筋點!J1230)</f>
        <v/>
      </c>
      <c r="AJ1230" s="37" t="str">
        <f>IF(最佳化斷筋點!K1230="","",最佳化斷筋點!K1230)</f>
        <v/>
      </c>
      <c r="AK1230" s="37" t="str">
        <f>IF(最佳化斷筋點!L1230="","",最佳化斷筋點!L1230)</f>
        <v/>
      </c>
      <c r="AL1230" s="37" t="str">
        <f>IF(最佳化斷筋點!M1230="","",最佳化斷筋點!M1230)</f>
        <v/>
      </c>
      <c r="AM1230" s="37" t="str">
        <f>IF(最佳化斷筋點!N1230="","",最佳化斷筋點!N1230)</f>
        <v/>
      </c>
      <c r="AN1230" s="37" t="str">
        <f>IF(最佳化斷筋點!O1230="","",最佳化斷筋點!O1230)</f>
        <v/>
      </c>
      <c r="AO1230" s="37" t="str">
        <f>IF(最佳化斷筋點!P1230="","",最佳化斷筋點!P1230)</f>
        <v/>
      </c>
      <c r="AP1230" s="37" t="str">
        <f>IF(最佳化斷筋點!Q1230="","",最佳化斷筋點!Q1230)</f>
        <v/>
      </c>
      <c r="AQ1230" s="37" t="str">
        <f>IF(最佳化斷筋點!R1230="","",最佳化斷筋點!R1230)</f>
        <v/>
      </c>
      <c r="AR1230" s="37" t="str">
        <f>IF(最佳化斷筋點!S1230="","",最佳化斷筋點!S1230)</f>
        <v/>
      </c>
      <c r="AS1230" s="37" t="str">
        <f>IF(最佳化斷筋點!T1230="","",最佳化斷筋點!T1230)</f>
        <v/>
      </c>
      <c r="AT1230" s="37" t="str">
        <f>IF(最佳化斷筋點!U1230="","",最佳化斷筋點!U1230)</f>
        <v/>
      </c>
      <c r="AU1230" s="37" t="str">
        <f>IF(最佳化斷筋點!V1230="","",最佳化斷筋點!V1230)</f>
        <v/>
      </c>
      <c r="AV1230" s="37" t="str">
        <f>IF(最佳化斷筋點!W1230="","",最佳化斷筋點!W1230)</f>
        <v/>
      </c>
      <c r="AW1230" s="37" t="str">
        <f>IF(最佳化斷筋點!X1230="","",最佳化斷筋點!X1230)</f>
        <v/>
      </c>
      <c r="AZ1230" s="37" t="s">
        <v>197</v>
      </c>
      <c r="BA1230" s="37" t="s">
        <v>197</v>
      </c>
      <c r="BB1230" s="37" t="s">
        <v>197</v>
      </c>
      <c r="BC1230" s="37" t="s">
        <v>197</v>
      </c>
      <c r="BD1230" s="37" t="s">
        <v>197</v>
      </c>
      <c r="BE1230" s="37" t="s">
        <v>197</v>
      </c>
      <c r="BF1230" s="37" t="s">
        <v>197</v>
      </c>
      <c r="BG1230" s="37" t="s">
        <v>197</v>
      </c>
      <c r="BH1230" s="37" t="s">
        <v>197</v>
      </c>
      <c r="BI1230" s="37" t="s">
        <v>197</v>
      </c>
      <c r="BJ1230" s="37" t="s">
        <v>197</v>
      </c>
      <c r="BK1230" s="37" t="s">
        <v>197</v>
      </c>
      <c r="BL1230" s="37" t="s">
        <v>197</v>
      </c>
      <c r="BM1230" s="37" t="s">
        <v>197</v>
      </c>
      <c r="BN1230" s="37" t="s">
        <v>197</v>
      </c>
      <c r="BO1230" s="37" t="s">
        <v>197</v>
      </c>
      <c r="BP1230" s="37" t="s">
        <v>197</v>
      </c>
      <c r="BQ1230" s="37" t="s">
        <v>197</v>
      </c>
      <c r="BR1230" s="37" t="s">
        <v>197</v>
      </c>
      <c r="BS1230" s="37" t="s">
        <v>197</v>
      </c>
      <c r="BT1230" s="37" t="s">
        <v>197</v>
      </c>
    </row>
    <row r="1231" spans="5:72" x14ac:dyDescent="0.25">
      <c r="E1231" s="36" t="s">
        <v>20</v>
      </c>
      <c r="F1231" s="36">
        <f t="shared" si="400"/>
        <v>0</v>
      </c>
      <c r="G1231" s="36">
        <f t="shared" si="401"/>
        <v>0</v>
      </c>
      <c r="H1231" s="36">
        <f t="shared" si="402"/>
        <v>0</v>
      </c>
      <c r="I1231" s="36">
        <f t="shared" si="403"/>
        <v>0</v>
      </c>
      <c r="J1231" s="36">
        <f t="shared" si="404"/>
        <v>0</v>
      </c>
      <c r="K1231" s="36">
        <f t="shared" si="405"/>
        <v>0</v>
      </c>
      <c r="L1231" s="36">
        <f t="shared" si="406"/>
        <v>0</v>
      </c>
      <c r="M1231" s="36">
        <f t="shared" si="407"/>
        <v>0</v>
      </c>
      <c r="N1231" s="36">
        <f t="shared" si="408"/>
        <v>0</v>
      </c>
      <c r="O1231" s="36">
        <f t="shared" si="409"/>
        <v>0</v>
      </c>
      <c r="P1231" s="36">
        <f t="shared" si="410"/>
        <v>0</v>
      </c>
      <c r="Q1231" s="36">
        <f t="shared" si="411"/>
        <v>0</v>
      </c>
      <c r="R1231" s="36">
        <f t="shared" si="412"/>
        <v>0</v>
      </c>
      <c r="S1231" s="36">
        <f t="shared" si="413"/>
        <v>0</v>
      </c>
      <c r="T1231" s="36">
        <f t="shared" si="414"/>
        <v>0</v>
      </c>
      <c r="U1231" s="36">
        <f t="shared" si="415"/>
        <v>0</v>
      </c>
      <c r="V1231" s="36">
        <f t="shared" si="416"/>
        <v>0</v>
      </c>
      <c r="W1231" s="36">
        <f t="shared" si="417"/>
        <v>0</v>
      </c>
      <c r="X1231" s="36">
        <f t="shared" si="418"/>
        <v>0</v>
      </c>
      <c r="Y1231" s="36">
        <f t="shared" si="419"/>
        <v>0</v>
      </c>
      <c r="Z1231" s="36">
        <f t="shared" si="420"/>
        <v>0</v>
      </c>
      <c r="AB1231" s="36" t="str">
        <f>IF(最佳化斷筋點!C1231="","",最佳化斷筋點!C1231)</f>
        <v>上層</v>
      </c>
      <c r="AC1231" s="37">
        <f>IF(最佳化斷筋點!D1231="","",最佳化斷筋點!D1231)</f>
        <v>4</v>
      </c>
      <c r="AD1231" s="37">
        <f>IF(最佳化斷筋點!E1231="","",最佳化斷筋點!E1231)</f>
        <v>4</v>
      </c>
      <c r="AE1231" s="37">
        <f>IF(最佳化斷筋點!F1231="","",最佳化斷筋點!F1231)</f>
        <v>4</v>
      </c>
      <c r="AF1231" s="37">
        <f>IF(最佳化斷筋點!G1231="","",最佳化斷筋點!G1231)</f>
        <v>4</v>
      </c>
      <c r="AG1231" s="37">
        <f>IF(最佳化斷筋點!H1231="","",最佳化斷筋點!H1231)</f>
        <v>4</v>
      </c>
      <c r="AH1231" s="37">
        <f>IF(最佳化斷筋點!I1231="","",最佳化斷筋點!I1231)</f>
        <v>4</v>
      </c>
      <c r="AI1231" s="37">
        <f>IF(最佳化斷筋點!J1231="","",最佳化斷筋點!J1231)</f>
        <v>3</v>
      </c>
      <c r="AJ1231" s="37">
        <f>IF(最佳化斷筋點!K1231="","",最佳化斷筋點!K1231)</f>
        <v>2</v>
      </c>
      <c r="AK1231" s="37">
        <f>IF(最佳化斷筋點!L1231="","",最佳化斷筋點!L1231)</f>
        <v>2</v>
      </c>
      <c r="AL1231" s="37">
        <f>IF(最佳化斷筋點!M1231="","",最佳化斷筋點!M1231)</f>
        <v>2</v>
      </c>
      <c r="AM1231" s="37">
        <f>IF(最佳化斷筋點!N1231="","",最佳化斷筋點!N1231)</f>
        <v>2</v>
      </c>
      <c r="AN1231" s="37">
        <f>IF(最佳化斷筋點!O1231="","",最佳化斷筋點!O1231)</f>
        <v>2</v>
      </c>
      <c r="AO1231" s="37">
        <f>IF(最佳化斷筋點!P1231="","",最佳化斷筋點!P1231)</f>
        <v>2</v>
      </c>
      <c r="AP1231" s="37">
        <f>IF(最佳化斷筋點!Q1231="","",最佳化斷筋點!Q1231)</f>
        <v>2</v>
      </c>
      <c r="AQ1231" s="37">
        <f>IF(最佳化斷筋點!R1231="","",最佳化斷筋點!R1231)</f>
        <v>2</v>
      </c>
      <c r="AR1231" s="37">
        <f>IF(最佳化斷筋點!S1231="","",最佳化斷筋點!S1231)</f>
        <v>3</v>
      </c>
      <c r="AS1231" s="37">
        <f>IF(最佳化斷筋點!T1231="","",最佳化斷筋點!T1231)</f>
        <v>3</v>
      </c>
      <c r="AT1231" s="37">
        <f>IF(最佳化斷筋點!U1231="","",最佳化斷筋點!U1231)</f>
        <v>3</v>
      </c>
      <c r="AU1231" s="37">
        <f>IF(最佳化斷筋點!V1231="","",最佳化斷筋點!V1231)</f>
        <v>3</v>
      </c>
      <c r="AV1231" s="37">
        <f>IF(最佳化斷筋點!W1231="","",最佳化斷筋點!W1231)</f>
        <v>3</v>
      </c>
      <c r="AW1231" s="37">
        <f>IF(最佳化斷筋點!X1231="","",最佳化斷筋點!X1231)</f>
        <v>3</v>
      </c>
      <c r="AZ1231" s="37">
        <v>4</v>
      </c>
      <c r="BA1231" s="37">
        <v>4</v>
      </c>
      <c r="BB1231" s="37">
        <v>4</v>
      </c>
      <c r="BC1231" s="37">
        <v>4</v>
      </c>
      <c r="BD1231" s="37">
        <v>4</v>
      </c>
      <c r="BE1231" s="37">
        <v>4</v>
      </c>
      <c r="BF1231" s="37">
        <v>3</v>
      </c>
      <c r="BG1231" s="37">
        <v>2</v>
      </c>
      <c r="BH1231" s="37">
        <v>2</v>
      </c>
      <c r="BI1231" s="37">
        <v>2</v>
      </c>
      <c r="BJ1231" s="37">
        <v>2</v>
      </c>
      <c r="BK1231" s="37">
        <v>2</v>
      </c>
      <c r="BL1231" s="37">
        <v>2</v>
      </c>
      <c r="BM1231" s="37">
        <v>2</v>
      </c>
      <c r="BN1231" s="37">
        <v>2</v>
      </c>
      <c r="BO1231" s="37">
        <v>3</v>
      </c>
      <c r="BP1231" s="37">
        <v>3</v>
      </c>
      <c r="BQ1231" s="37">
        <v>3</v>
      </c>
      <c r="BR1231" s="37">
        <v>3</v>
      </c>
      <c r="BS1231" s="37">
        <v>3</v>
      </c>
      <c r="BT1231" s="37">
        <v>3</v>
      </c>
    </row>
    <row r="1232" spans="5:72" x14ac:dyDescent="0.25">
      <c r="E1232" s="36"/>
      <c r="F1232" s="36">
        <f t="shared" si="400"/>
        <v>0</v>
      </c>
      <c r="G1232" s="36">
        <f t="shared" si="401"/>
        <v>0</v>
      </c>
      <c r="H1232" s="36">
        <f t="shared" si="402"/>
        <v>0</v>
      </c>
      <c r="I1232" s="36">
        <f t="shared" si="403"/>
        <v>0</v>
      </c>
      <c r="J1232" s="36">
        <f t="shared" si="404"/>
        <v>0</v>
      </c>
      <c r="K1232" s="36">
        <f t="shared" si="405"/>
        <v>0</v>
      </c>
      <c r="L1232" s="36">
        <f t="shared" si="406"/>
        <v>0</v>
      </c>
      <c r="M1232" s="36">
        <f t="shared" si="407"/>
        <v>0</v>
      </c>
      <c r="N1232" s="36">
        <f t="shared" si="408"/>
        <v>0</v>
      </c>
      <c r="O1232" s="36">
        <f t="shared" si="409"/>
        <v>0</v>
      </c>
      <c r="P1232" s="36">
        <f t="shared" si="410"/>
        <v>0</v>
      </c>
      <c r="Q1232" s="36">
        <f t="shared" si="411"/>
        <v>0</v>
      </c>
      <c r="R1232" s="36">
        <f t="shared" si="412"/>
        <v>0</v>
      </c>
      <c r="S1232" s="36">
        <f t="shared" si="413"/>
        <v>0</v>
      </c>
      <c r="T1232" s="36">
        <f t="shared" si="414"/>
        <v>0</v>
      </c>
      <c r="U1232" s="36">
        <f t="shared" si="415"/>
        <v>0</v>
      </c>
      <c r="V1232" s="36">
        <f t="shared" si="416"/>
        <v>0</v>
      </c>
      <c r="W1232" s="36">
        <f t="shared" si="417"/>
        <v>0</v>
      </c>
      <c r="X1232" s="36">
        <f t="shared" si="418"/>
        <v>0</v>
      </c>
      <c r="Y1232" s="36">
        <f t="shared" si="419"/>
        <v>0</v>
      </c>
      <c r="Z1232" s="36">
        <f t="shared" si="420"/>
        <v>0</v>
      </c>
      <c r="AB1232" s="36" t="str">
        <f>IF(最佳化斷筋點!C1232="","",最佳化斷筋點!C1232)</f>
        <v/>
      </c>
      <c r="AC1232" s="37" t="str">
        <f>IF(最佳化斷筋點!D1232="","",最佳化斷筋點!D1232)</f>
        <v/>
      </c>
      <c r="AD1232" s="37" t="str">
        <f>IF(最佳化斷筋點!E1232="","",最佳化斷筋點!E1232)</f>
        <v/>
      </c>
      <c r="AE1232" s="37" t="str">
        <f>IF(最佳化斷筋點!F1232="","",最佳化斷筋點!F1232)</f>
        <v/>
      </c>
      <c r="AF1232" s="37" t="str">
        <f>IF(最佳化斷筋點!G1232="","",最佳化斷筋點!G1232)</f>
        <v/>
      </c>
      <c r="AG1232" s="37" t="str">
        <f>IF(最佳化斷筋點!H1232="","",最佳化斷筋點!H1232)</f>
        <v/>
      </c>
      <c r="AH1232" s="37" t="str">
        <f>IF(最佳化斷筋點!I1232="","",最佳化斷筋點!I1232)</f>
        <v/>
      </c>
      <c r="AI1232" s="37" t="str">
        <f>IF(最佳化斷筋點!J1232="","",最佳化斷筋點!J1232)</f>
        <v/>
      </c>
      <c r="AJ1232" s="37" t="str">
        <f>IF(最佳化斷筋點!K1232="","",最佳化斷筋點!K1232)</f>
        <v/>
      </c>
      <c r="AK1232" s="37" t="str">
        <f>IF(最佳化斷筋點!L1232="","",最佳化斷筋點!L1232)</f>
        <v/>
      </c>
      <c r="AL1232" s="37" t="str">
        <f>IF(最佳化斷筋點!M1232="","",最佳化斷筋點!M1232)</f>
        <v/>
      </c>
      <c r="AM1232" s="37" t="str">
        <f>IF(最佳化斷筋點!N1232="","",最佳化斷筋點!N1232)</f>
        <v/>
      </c>
      <c r="AN1232" s="37" t="str">
        <f>IF(最佳化斷筋點!O1232="","",最佳化斷筋點!O1232)</f>
        <v/>
      </c>
      <c r="AO1232" s="37" t="str">
        <f>IF(最佳化斷筋點!P1232="","",最佳化斷筋點!P1232)</f>
        <v/>
      </c>
      <c r="AP1232" s="37" t="str">
        <f>IF(最佳化斷筋點!Q1232="","",最佳化斷筋點!Q1232)</f>
        <v/>
      </c>
      <c r="AQ1232" s="37" t="str">
        <f>IF(最佳化斷筋點!R1232="","",最佳化斷筋點!R1232)</f>
        <v/>
      </c>
      <c r="AR1232" s="37" t="str">
        <f>IF(最佳化斷筋點!S1232="","",最佳化斷筋點!S1232)</f>
        <v/>
      </c>
      <c r="AS1232" s="37" t="str">
        <f>IF(最佳化斷筋點!T1232="","",最佳化斷筋點!T1232)</f>
        <v/>
      </c>
      <c r="AT1232" s="37" t="str">
        <f>IF(最佳化斷筋點!U1232="","",最佳化斷筋點!U1232)</f>
        <v/>
      </c>
      <c r="AU1232" s="37" t="str">
        <f>IF(最佳化斷筋點!V1232="","",最佳化斷筋點!V1232)</f>
        <v/>
      </c>
      <c r="AV1232" s="37" t="str">
        <f>IF(最佳化斷筋點!W1232="","",最佳化斷筋點!W1232)</f>
        <v/>
      </c>
      <c r="AW1232" s="37" t="str">
        <f>IF(最佳化斷筋點!X1232="","",最佳化斷筋點!X1232)</f>
        <v/>
      </c>
      <c r="AZ1232" s="37" t="s">
        <v>197</v>
      </c>
      <c r="BA1232" s="37" t="s">
        <v>197</v>
      </c>
      <c r="BB1232" s="37" t="s">
        <v>197</v>
      </c>
      <c r="BC1232" s="37" t="s">
        <v>197</v>
      </c>
      <c r="BD1232" s="37" t="s">
        <v>197</v>
      </c>
      <c r="BE1232" s="37" t="s">
        <v>197</v>
      </c>
      <c r="BF1232" s="37" t="s">
        <v>197</v>
      </c>
      <c r="BG1232" s="37" t="s">
        <v>197</v>
      </c>
      <c r="BH1232" s="37" t="s">
        <v>197</v>
      </c>
      <c r="BI1232" s="37" t="s">
        <v>197</v>
      </c>
      <c r="BJ1232" s="37" t="s">
        <v>197</v>
      </c>
      <c r="BK1232" s="37" t="s">
        <v>197</v>
      </c>
      <c r="BL1232" s="37" t="s">
        <v>197</v>
      </c>
      <c r="BM1232" s="37" t="s">
        <v>197</v>
      </c>
      <c r="BN1232" s="37" t="s">
        <v>197</v>
      </c>
      <c r="BO1232" s="37" t="s">
        <v>197</v>
      </c>
      <c r="BP1232" s="37" t="s">
        <v>197</v>
      </c>
      <c r="BQ1232" s="37" t="s">
        <v>197</v>
      </c>
      <c r="BR1232" s="37" t="s">
        <v>197</v>
      </c>
      <c r="BS1232" s="37" t="s">
        <v>197</v>
      </c>
      <c r="BT1232" s="37" t="s">
        <v>197</v>
      </c>
    </row>
    <row r="1233" spans="5:72" x14ac:dyDescent="0.25">
      <c r="E1233" s="36" t="s">
        <v>21</v>
      </c>
      <c r="F1233" s="36">
        <f t="shared" si="400"/>
        <v>0</v>
      </c>
      <c r="G1233" s="36">
        <f t="shared" si="401"/>
        <v>0</v>
      </c>
      <c r="H1233" s="36">
        <f t="shared" si="402"/>
        <v>0</v>
      </c>
      <c r="I1233" s="36">
        <f t="shared" si="403"/>
        <v>0</v>
      </c>
      <c r="J1233" s="36">
        <f t="shared" si="404"/>
        <v>0</v>
      </c>
      <c r="K1233" s="36">
        <f t="shared" si="405"/>
        <v>0</v>
      </c>
      <c r="L1233" s="36">
        <f t="shared" si="406"/>
        <v>0</v>
      </c>
      <c r="M1233" s="36">
        <f t="shared" si="407"/>
        <v>0</v>
      </c>
      <c r="N1233" s="36">
        <f t="shared" si="408"/>
        <v>0</v>
      </c>
      <c r="O1233" s="36">
        <f t="shared" si="409"/>
        <v>0</v>
      </c>
      <c r="P1233" s="36">
        <f t="shared" si="410"/>
        <v>0</v>
      </c>
      <c r="Q1233" s="36">
        <f t="shared" si="411"/>
        <v>0</v>
      </c>
      <c r="R1233" s="36">
        <f t="shared" si="412"/>
        <v>0</v>
      </c>
      <c r="S1233" s="36">
        <f t="shared" si="413"/>
        <v>0</v>
      </c>
      <c r="T1233" s="36">
        <f t="shared" si="414"/>
        <v>0</v>
      </c>
      <c r="U1233" s="36">
        <f t="shared" si="415"/>
        <v>0</v>
      </c>
      <c r="V1233" s="36">
        <f t="shared" si="416"/>
        <v>0</v>
      </c>
      <c r="W1233" s="36">
        <f t="shared" si="417"/>
        <v>0</v>
      </c>
      <c r="X1233" s="36">
        <f t="shared" si="418"/>
        <v>0</v>
      </c>
      <c r="Y1233" s="36">
        <f t="shared" si="419"/>
        <v>0</v>
      </c>
      <c r="Z1233" s="36">
        <f t="shared" si="420"/>
        <v>0</v>
      </c>
      <c r="AB1233" s="36" t="str">
        <f>IF(最佳化斷筋點!C1233="","",最佳化斷筋點!C1233)</f>
        <v>下層</v>
      </c>
      <c r="AC1233" s="37">
        <f>IF(最佳化斷筋點!D1233="","",最佳化斷筋點!D1233)</f>
        <v>2</v>
      </c>
      <c r="AD1233" s="37">
        <f>IF(最佳化斷筋點!E1233="","",最佳化斷筋點!E1233)</f>
        <v>2</v>
      </c>
      <c r="AE1233" s="37">
        <f>IF(最佳化斷筋點!F1233="","",最佳化斷筋點!F1233)</f>
        <v>2</v>
      </c>
      <c r="AF1233" s="37">
        <f>IF(最佳化斷筋點!G1233="","",最佳化斷筋點!G1233)</f>
        <v>2</v>
      </c>
      <c r="AG1233" s="37">
        <f>IF(最佳化斷筋點!H1233="","",最佳化斷筋點!H1233)</f>
        <v>4</v>
      </c>
      <c r="AH1233" s="37">
        <f>IF(最佳化斷筋點!I1233="","",最佳化斷筋點!I1233)</f>
        <v>4</v>
      </c>
      <c r="AI1233" s="37">
        <f>IF(最佳化斷筋點!J1233="","",最佳化斷筋點!J1233)</f>
        <v>4</v>
      </c>
      <c r="AJ1233" s="37">
        <f>IF(最佳化斷筋點!K1233="","",最佳化斷筋點!K1233)</f>
        <v>4</v>
      </c>
      <c r="AK1233" s="37">
        <f>IF(最佳化斷筋點!L1233="","",最佳化斷筋點!L1233)</f>
        <v>4</v>
      </c>
      <c r="AL1233" s="37">
        <f>IF(最佳化斷筋點!M1233="","",最佳化斷筋點!M1233)</f>
        <v>4</v>
      </c>
      <c r="AM1233" s="37">
        <f>IF(最佳化斷筋點!N1233="","",最佳化斷筋點!N1233)</f>
        <v>4</v>
      </c>
      <c r="AN1233" s="37">
        <f>IF(最佳化斷筋點!O1233="","",最佳化斷筋點!O1233)</f>
        <v>4</v>
      </c>
      <c r="AO1233" s="37">
        <f>IF(最佳化斷筋點!P1233="","",最佳化斷筋點!P1233)</f>
        <v>4</v>
      </c>
      <c r="AP1233" s="37">
        <f>IF(最佳化斷筋點!Q1233="","",最佳化斷筋點!Q1233)</f>
        <v>4</v>
      </c>
      <c r="AQ1233" s="37">
        <f>IF(最佳化斷筋點!R1233="","",最佳化斷筋點!R1233)</f>
        <v>4</v>
      </c>
      <c r="AR1233" s="37">
        <f>IF(最佳化斷筋點!S1233="","",最佳化斷筋點!S1233)</f>
        <v>4</v>
      </c>
      <c r="AS1233" s="37">
        <f>IF(最佳化斷筋點!T1233="","",最佳化斷筋點!T1233)</f>
        <v>4</v>
      </c>
      <c r="AT1233" s="37">
        <f>IF(最佳化斷筋點!U1233="","",最佳化斷筋點!U1233)</f>
        <v>3</v>
      </c>
      <c r="AU1233" s="37">
        <f>IF(最佳化斷筋點!V1233="","",最佳化斷筋點!V1233)</f>
        <v>3</v>
      </c>
      <c r="AV1233" s="37">
        <f>IF(最佳化斷筋點!W1233="","",最佳化斷筋點!W1233)</f>
        <v>3</v>
      </c>
      <c r="AW1233" s="37">
        <f>IF(最佳化斷筋點!X1233="","",最佳化斷筋點!X1233)</f>
        <v>3</v>
      </c>
      <c r="AZ1233" s="37">
        <v>2</v>
      </c>
      <c r="BA1233" s="37">
        <v>2</v>
      </c>
      <c r="BB1233" s="37">
        <v>2</v>
      </c>
      <c r="BC1233" s="37">
        <v>2</v>
      </c>
      <c r="BD1233" s="37">
        <v>4</v>
      </c>
      <c r="BE1233" s="37">
        <v>4</v>
      </c>
      <c r="BF1233" s="37">
        <v>4</v>
      </c>
      <c r="BG1233" s="37">
        <v>4</v>
      </c>
      <c r="BH1233" s="37">
        <v>4</v>
      </c>
      <c r="BI1233" s="37">
        <v>4</v>
      </c>
      <c r="BJ1233" s="37">
        <v>4</v>
      </c>
      <c r="BK1233" s="37">
        <v>4</v>
      </c>
      <c r="BL1233" s="37">
        <v>4</v>
      </c>
      <c r="BM1233" s="37">
        <v>4</v>
      </c>
      <c r="BN1233" s="37">
        <v>4</v>
      </c>
      <c r="BO1233" s="37">
        <v>4</v>
      </c>
      <c r="BP1233" s="37">
        <v>4</v>
      </c>
      <c r="BQ1233" s="37">
        <v>3</v>
      </c>
      <c r="BR1233" s="37">
        <v>3</v>
      </c>
      <c r="BS1233" s="37">
        <v>3</v>
      </c>
      <c r="BT1233" s="37">
        <v>3</v>
      </c>
    </row>
    <row r="1234" spans="5:72" x14ac:dyDescent="0.25">
      <c r="E1234" s="36"/>
      <c r="F1234" s="36">
        <f t="shared" si="400"/>
        <v>0</v>
      </c>
      <c r="G1234" s="36">
        <f t="shared" si="401"/>
        <v>0</v>
      </c>
      <c r="H1234" s="36">
        <f t="shared" si="402"/>
        <v>0</v>
      </c>
      <c r="I1234" s="36">
        <f t="shared" si="403"/>
        <v>0</v>
      </c>
      <c r="J1234" s="36">
        <f t="shared" si="404"/>
        <v>0</v>
      </c>
      <c r="K1234" s="36">
        <f t="shared" si="405"/>
        <v>0</v>
      </c>
      <c r="L1234" s="36">
        <f t="shared" si="406"/>
        <v>0</v>
      </c>
      <c r="M1234" s="36">
        <f t="shared" si="407"/>
        <v>0</v>
      </c>
      <c r="N1234" s="36">
        <f t="shared" si="408"/>
        <v>0</v>
      </c>
      <c r="O1234" s="36">
        <f t="shared" si="409"/>
        <v>0</v>
      </c>
      <c r="P1234" s="36">
        <f t="shared" si="410"/>
        <v>0</v>
      </c>
      <c r="Q1234" s="36">
        <f t="shared" si="411"/>
        <v>0</v>
      </c>
      <c r="R1234" s="36">
        <f t="shared" si="412"/>
        <v>0</v>
      </c>
      <c r="S1234" s="36">
        <f t="shared" si="413"/>
        <v>0</v>
      </c>
      <c r="T1234" s="36">
        <f t="shared" si="414"/>
        <v>0</v>
      </c>
      <c r="U1234" s="36">
        <f t="shared" si="415"/>
        <v>0</v>
      </c>
      <c r="V1234" s="36">
        <f t="shared" si="416"/>
        <v>0</v>
      </c>
      <c r="W1234" s="36">
        <f t="shared" si="417"/>
        <v>0</v>
      </c>
      <c r="X1234" s="36">
        <f t="shared" si="418"/>
        <v>0</v>
      </c>
      <c r="Y1234" s="36">
        <f t="shared" si="419"/>
        <v>0</v>
      </c>
      <c r="Z1234" s="36">
        <f t="shared" si="420"/>
        <v>0</v>
      </c>
      <c r="AB1234" s="36" t="str">
        <f>IF(最佳化斷筋點!C1234="","",最佳化斷筋點!C1234)</f>
        <v/>
      </c>
      <c r="AC1234" s="37" t="str">
        <f>IF(最佳化斷筋點!D1234="","",最佳化斷筋點!D1234)</f>
        <v/>
      </c>
      <c r="AD1234" s="37" t="str">
        <f>IF(最佳化斷筋點!E1234="","",最佳化斷筋點!E1234)</f>
        <v/>
      </c>
      <c r="AE1234" s="37" t="str">
        <f>IF(最佳化斷筋點!F1234="","",最佳化斷筋點!F1234)</f>
        <v/>
      </c>
      <c r="AF1234" s="37" t="str">
        <f>IF(最佳化斷筋點!G1234="","",最佳化斷筋點!G1234)</f>
        <v/>
      </c>
      <c r="AG1234" s="37" t="str">
        <f>IF(最佳化斷筋點!H1234="","",最佳化斷筋點!H1234)</f>
        <v/>
      </c>
      <c r="AH1234" s="37" t="str">
        <f>IF(最佳化斷筋點!I1234="","",最佳化斷筋點!I1234)</f>
        <v/>
      </c>
      <c r="AI1234" s="37" t="str">
        <f>IF(最佳化斷筋點!J1234="","",最佳化斷筋點!J1234)</f>
        <v/>
      </c>
      <c r="AJ1234" s="37" t="str">
        <f>IF(最佳化斷筋點!K1234="","",最佳化斷筋點!K1234)</f>
        <v/>
      </c>
      <c r="AK1234" s="37" t="str">
        <f>IF(最佳化斷筋點!L1234="","",最佳化斷筋點!L1234)</f>
        <v/>
      </c>
      <c r="AL1234" s="37" t="str">
        <f>IF(最佳化斷筋點!M1234="","",最佳化斷筋點!M1234)</f>
        <v/>
      </c>
      <c r="AM1234" s="37" t="str">
        <f>IF(最佳化斷筋點!N1234="","",最佳化斷筋點!N1234)</f>
        <v/>
      </c>
      <c r="AN1234" s="37" t="str">
        <f>IF(最佳化斷筋點!O1234="","",最佳化斷筋點!O1234)</f>
        <v/>
      </c>
      <c r="AO1234" s="37" t="str">
        <f>IF(最佳化斷筋點!P1234="","",最佳化斷筋點!P1234)</f>
        <v/>
      </c>
      <c r="AP1234" s="37" t="str">
        <f>IF(最佳化斷筋點!Q1234="","",最佳化斷筋點!Q1234)</f>
        <v/>
      </c>
      <c r="AQ1234" s="37" t="str">
        <f>IF(最佳化斷筋點!R1234="","",最佳化斷筋點!R1234)</f>
        <v/>
      </c>
      <c r="AR1234" s="37" t="str">
        <f>IF(最佳化斷筋點!S1234="","",最佳化斷筋點!S1234)</f>
        <v/>
      </c>
      <c r="AS1234" s="37" t="str">
        <f>IF(最佳化斷筋點!T1234="","",最佳化斷筋點!T1234)</f>
        <v/>
      </c>
      <c r="AT1234" s="37" t="str">
        <f>IF(最佳化斷筋點!U1234="","",最佳化斷筋點!U1234)</f>
        <v/>
      </c>
      <c r="AU1234" s="37" t="str">
        <f>IF(最佳化斷筋點!V1234="","",最佳化斷筋點!V1234)</f>
        <v/>
      </c>
      <c r="AV1234" s="37" t="str">
        <f>IF(最佳化斷筋點!W1234="","",最佳化斷筋點!W1234)</f>
        <v/>
      </c>
      <c r="AW1234" s="37" t="str">
        <f>IF(最佳化斷筋點!X1234="","",最佳化斷筋點!X1234)</f>
        <v/>
      </c>
      <c r="AZ1234" s="37" t="s">
        <v>197</v>
      </c>
      <c r="BA1234" s="37" t="s">
        <v>197</v>
      </c>
      <c r="BB1234" s="37" t="s">
        <v>197</v>
      </c>
      <c r="BC1234" s="37" t="s">
        <v>197</v>
      </c>
      <c r="BD1234" s="37" t="s">
        <v>197</v>
      </c>
      <c r="BE1234" s="37" t="s">
        <v>197</v>
      </c>
      <c r="BF1234" s="37" t="s">
        <v>197</v>
      </c>
      <c r="BG1234" s="37" t="s">
        <v>197</v>
      </c>
      <c r="BH1234" s="37" t="s">
        <v>197</v>
      </c>
      <c r="BI1234" s="37" t="s">
        <v>197</v>
      </c>
      <c r="BJ1234" s="37" t="s">
        <v>197</v>
      </c>
      <c r="BK1234" s="37" t="s">
        <v>197</v>
      </c>
      <c r="BL1234" s="37" t="s">
        <v>197</v>
      </c>
      <c r="BM1234" s="37" t="s">
        <v>197</v>
      </c>
      <c r="BN1234" s="37" t="s">
        <v>197</v>
      </c>
      <c r="BO1234" s="37" t="s">
        <v>197</v>
      </c>
      <c r="BP1234" s="37" t="s">
        <v>197</v>
      </c>
      <c r="BQ1234" s="37" t="s">
        <v>197</v>
      </c>
      <c r="BR1234" s="37" t="s">
        <v>197</v>
      </c>
      <c r="BS1234" s="37" t="s">
        <v>197</v>
      </c>
      <c r="BT1234" s="37" t="s">
        <v>197</v>
      </c>
    </row>
    <row r="1235" spans="5:72" x14ac:dyDescent="0.25">
      <c r="E1235" s="36" t="s">
        <v>20</v>
      </c>
      <c r="F1235" s="36">
        <f t="shared" si="400"/>
        <v>0</v>
      </c>
      <c r="G1235" s="36">
        <f t="shared" si="401"/>
        <v>0</v>
      </c>
      <c r="H1235" s="36">
        <f t="shared" si="402"/>
        <v>0</v>
      </c>
      <c r="I1235" s="36">
        <f t="shared" si="403"/>
        <v>0</v>
      </c>
      <c r="J1235" s="36">
        <f t="shared" si="404"/>
        <v>0</v>
      </c>
      <c r="K1235" s="36">
        <f t="shared" si="405"/>
        <v>0</v>
      </c>
      <c r="L1235" s="36">
        <f t="shared" si="406"/>
        <v>0</v>
      </c>
      <c r="M1235" s="36">
        <f t="shared" si="407"/>
        <v>0</v>
      </c>
      <c r="N1235" s="36">
        <f t="shared" si="408"/>
        <v>0</v>
      </c>
      <c r="O1235" s="36">
        <f t="shared" si="409"/>
        <v>0</v>
      </c>
      <c r="P1235" s="36">
        <f t="shared" si="410"/>
        <v>0</v>
      </c>
      <c r="Q1235" s="36">
        <f t="shared" si="411"/>
        <v>0</v>
      </c>
      <c r="R1235" s="36">
        <f t="shared" si="412"/>
        <v>0</v>
      </c>
      <c r="S1235" s="36">
        <f t="shared" si="413"/>
        <v>0</v>
      </c>
      <c r="T1235" s="36">
        <f t="shared" si="414"/>
        <v>0</v>
      </c>
      <c r="U1235" s="36">
        <f t="shared" si="415"/>
        <v>0</v>
      </c>
      <c r="V1235" s="36">
        <f t="shared" si="416"/>
        <v>0</v>
      </c>
      <c r="W1235" s="36">
        <f t="shared" si="417"/>
        <v>0</v>
      </c>
      <c r="X1235" s="36">
        <f t="shared" si="418"/>
        <v>0</v>
      </c>
      <c r="Y1235" s="36">
        <f t="shared" si="419"/>
        <v>0</v>
      </c>
      <c r="Z1235" s="36">
        <f t="shared" si="420"/>
        <v>0</v>
      </c>
      <c r="AB1235" s="36" t="str">
        <f>IF(最佳化斷筋點!C1235="","",最佳化斷筋點!C1235)</f>
        <v>上層</v>
      </c>
      <c r="AC1235" s="37">
        <f>IF(最佳化斷筋點!D1235="","",最佳化斷筋點!D1235)</f>
        <v>3</v>
      </c>
      <c r="AD1235" s="37">
        <f>IF(最佳化斷筋點!E1235="","",最佳化斷筋點!E1235)</f>
        <v>3</v>
      </c>
      <c r="AE1235" s="37">
        <f>IF(最佳化斷筋點!F1235="","",最佳化斷筋點!F1235)</f>
        <v>3</v>
      </c>
      <c r="AF1235" s="37">
        <f>IF(最佳化斷筋點!G1235="","",最佳化斷筋點!G1235)</f>
        <v>3</v>
      </c>
      <c r="AG1235" s="37">
        <f>IF(最佳化斷筋點!H1235="","",最佳化斷筋點!H1235)</f>
        <v>3</v>
      </c>
      <c r="AH1235" s="37">
        <f>IF(最佳化斷筋點!I1235="","",最佳化斷筋點!I1235)</f>
        <v>3</v>
      </c>
      <c r="AI1235" s="37">
        <f>IF(最佳化斷筋點!J1235="","",最佳化斷筋點!J1235)</f>
        <v>3</v>
      </c>
      <c r="AJ1235" s="37">
        <f>IF(最佳化斷筋點!K1235="","",最佳化斷筋點!K1235)</f>
        <v>3</v>
      </c>
      <c r="AK1235" s="37">
        <f>IF(最佳化斷筋點!L1235="","",最佳化斷筋點!L1235)</f>
        <v>2</v>
      </c>
      <c r="AL1235" s="37">
        <f>IF(最佳化斷筋點!M1235="","",最佳化斷筋點!M1235)</f>
        <v>2</v>
      </c>
      <c r="AM1235" s="37">
        <f>IF(最佳化斷筋點!N1235="","",最佳化斷筋點!N1235)</f>
        <v>2</v>
      </c>
      <c r="AN1235" s="37">
        <f>IF(最佳化斷筋點!O1235="","",最佳化斷筋點!O1235)</f>
        <v>2</v>
      </c>
      <c r="AO1235" s="37">
        <f>IF(最佳化斷筋點!P1235="","",最佳化斷筋點!P1235)</f>
        <v>2</v>
      </c>
      <c r="AP1235" s="37">
        <f>IF(最佳化斷筋點!Q1235="","",最佳化斷筋點!Q1235)</f>
        <v>2</v>
      </c>
      <c r="AQ1235" s="37">
        <f>IF(最佳化斷筋點!R1235="","",最佳化斷筋點!R1235)</f>
        <v>3</v>
      </c>
      <c r="AR1235" s="37">
        <f>IF(最佳化斷筋點!S1235="","",最佳化斷筋點!S1235)</f>
        <v>3</v>
      </c>
      <c r="AS1235" s="37">
        <f>IF(最佳化斷筋點!T1235="","",最佳化斷筋點!T1235)</f>
        <v>3</v>
      </c>
      <c r="AT1235" s="37">
        <f>IF(最佳化斷筋點!U1235="","",最佳化斷筋點!U1235)</f>
        <v>3</v>
      </c>
      <c r="AU1235" s="37">
        <f>IF(最佳化斷筋點!V1235="","",最佳化斷筋點!V1235)</f>
        <v>3</v>
      </c>
      <c r="AV1235" s="37">
        <f>IF(最佳化斷筋點!W1235="","",最佳化斷筋點!W1235)</f>
        <v>3</v>
      </c>
      <c r="AW1235" s="37">
        <f>IF(最佳化斷筋點!X1235="","",最佳化斷筋點!X1235)</f>
        <v>3</v>
      </c>
      <c r="AZ1235" s="37">
        <v>3</v>
      </c>
      <c r="BA1235" s="37">
        <v>3</v>
      </c>
      <c r="BB1235" s="37">
        <v>3</v>
      </c>
      <c r="BC1235" s="37">
        <v>3</v>
      </c>
      <c r="BD1235" s="37">
        <v>3</v>
      </c>
      <c r="BE1235" s="37">
        <v>3</v>
      </c>
      <c r="BF1235" s="37">
        <v>3</v>
      </c>
      <c r="BG1235" s="37">
        <v>3</v>
      </c>
      <c r="BH1235" s="37">
        <v>2</v>
      </c>
      <c r="BI1235" s="37">
        <v>2</v>
      </c>
      <c r="BJ1235" s="37">
        <v>2</v>
      </c>
      <c r="BK1235" s="37">
        <v>2</v>
      </c>
      <c r="BL1235" s="37">
        <v>2</v>
      </c>
      <c r="BM1235" s="37">
        <v>2</v>
      </c>
      <c r="BN1235" s="37">
        <v>3</v>
      </c>
      <c r="BO1235" s="37">
        <v>3</v>
      </c>
      <c r="BP1235" s="37">
        <v>3</v>
      </c>
      <c r="BQ1235" s="37">
        <v>3</v>
      </c>
      <c r="BR1235" s="37">
        <v>3</v>
      </c>
      <c r="BS1235" s="37">
        <v>3</v>
      </c>
      <c r="BT1235" s="37">
        <v>3</v>
      </c>
    </row>
    <row r="1236" spans="5:72" x14ac:dyDescent="0.25">
      <c r="E1236" s="36"/>
      <c r="F1236" s="36">
        <f t="shared" si="400"/>
        <v>0</v>
      </c>
      <c r="G1236" s="36">
        <f t="shared" si="401"/>
        <v>0</v>
      </c>
      <c r="H1236" s="36">
        <f t="shared" si="402"/>
        <v>0</v>
      </c>
      <c r="I1236" s="36">
        <f t="shared" si="403"/>
        <v>0</v>
      </c>
      <c r="J1236" s="36">
        <f t="shared" si="404"/>
        <v>0</v>
      </c>
      <c r="K1236" s="36">
        <f t="shared" si="405"/>
        <v>0</v>
      </c>
      <c r="L1236" s="36">
        <f t="shared" si="406"/>
        <v>0</v>
      </c>
      <c r="M1236" s="36">
        <f t="shared" si="407"/>
        <v>0</v>
      </c>
      <c r="N1236" s="36">
        <f t="shared" si="408"/>
        <v>0</v>
      </c>
      <c r="O1236" s="36">
        <f t="shared" si="409"/>
        <v>0</v>
      </c>
      <c r="P1236" s="36">
        <f t="shared" si="410"/>
        <v>0</v>
      </c>
      <c r="Q1236" s="36">
        <f t="shared" si="411"/>
        <v>0</v>
      </c>
      <c r="R1236" s="36">
        <f t="shared" si="412"/>
        <v>0</v>
      </c>
      <c r="S1236" s="36">
        <f t="shared" si="413"/>
        <v>0</v>
      </c>
      <c r="T1236" s="36">
        <f t="shared" si="414"/>
        <v>0</v>
      </c>
      <c r="U1236" s="36">
        <f t="shared" si="415"/>
        <v>0</v>
      </c>
      <c r="V1236" s="36">
        <f t="shared" si="416"/>
        <v>0</v>
      </c>
      <c r="W1236" s="36">
        <f t="shared" si="417"/>
        <v>0</v>
      </c>
      <c r="X1236" s="36">
        <f t="shared" si="418"/>
        <v>0</v>
      </c>
      <c r="Y1236" s="36">
        <f t="shared" si="419"/>
        <v>0</v>
      </c>
      <c r="Z1236" s="36">
        <f t="shared" si="420"/>
        <v>0</v>
      </c>
      <c r="AB1236" s="36" t="str">
        <f>IF(最佳化斷筋點!C1236="","",最佳化斷筋點!C1236)</f>
        <v/>
      </c>
      <c r="AC1236" s="37" t="str">
        <f>IF(最佳化斷筋點!D1236="","",最佳化斷筋點!D1236)</f>
        <v/>
      </c>
      <c r="AD1236" s="37" t="str">
        <f>IF(最佳化斷筋點!E1236="","",最佳化斷筋點!E1236)</f>
        <v/>
      </c>
      <c r="AE1236" s="37" t="str">
        <f>IF(最佳化斷筋點!F1236="","",最佳化斷筋點!F1236)</f>
        <v/>
      </c>
      <c r="AF1236" s="37" t="str">
        <f>IF(最佳化斷筋點!G1236="","",最佳化斷筋點!G1236)</f>
        <v/>
      </c>
      <c r="AG1236" s="37" t="str">
        <f>IF(最佳化斷筋點!H1236="","",最佳化斷筋點!H1236)</f>
        <v/>
      </c>
      <c r="AH1236" s="37" t="str">
        <f>IF(最佳化斷筋點!I1236="","",最佳化斷筋點!I1236)</f>
        <v/>
      </c>
      <c r="AI1236" s="37" t="str">
        <f>IF(最佳化斷筋點!J1236="","",最佳化斷筋點!J1236)</f>
        <v/>
      </c>
      <c r="AJ1236" s="37" t="str">
        <f>IF(最佳化斷筋點!K1236="","",最佳化斷筋點!K1236)</f>
        <v/>
      </c>
      <c r="AK1236" s="37" t="str">
        <f>IF(最佳化斷筋點!L1236="","",最佳化斷筋點!L1236)</f>
        <v/>
      </c>
      <c r="AL1236" s="37" t="str">
        <f>IF(最佳化斷筋點!M1236="","",最佳化斷筋點!M1236)</f>
        <v/>
      </c>
      <c r="AM1236" s="37" t="str">
        <f>IF(最佳化斷筋點!N1236="","",最佳化斷筋點!N1236)</f>
        <v/>
      </c>
      <c r="AN1236" s="37" t="str">
        <f>IF(最佳化斷筋點!O1236="","",最佳化斷筋點!O1236)</f>
        <v/>
      </c>
      <c r="AO1236" s="37" t="str">
        <f>IF(最佳化斷筋點!P1236="","",最佳化斷筋點!P1236)</f>
        <v/>
      </c>
      <c r="AP1236" s="37" t="str">
        <f>IF(最佳化斷筋點!Q1236="","",最佳化斷筋點!Q1236)</f>
        <v/>
      </c>
      <c r="AQ1236" s="37" t="str">
        <f>IF(最佳化斷筋點!R1236="","",最佳化斷筋點!R1236)</f>
        <v/>
      </c>
      <c r="AR1236" s="37" t="str">
        <f>IF(最佳化斷筋點!S1236="","",最佳化斷筋點!S1236)</f>
        <v/>
      </c>
      <c r="AS1236" s="37" t="str">
        <f>IF(最佳化斷筋點!T1236="","",最佳化斷筋點!T1236)</f>
        <v/>
      </c>
      <c r="AT1236" s="37" t="str">
        <f>IF(最佳化斷筋點!U1236="","",最佳化斷筋點!U1236)</f>
        <v/>
      </c>
      <c r="AU1236" s="37" t="str">
        <f>IF(最佳化斷筋點!V1236="","",最佳化斷筋點!V1236)</f>
        <v/>
      </c>
      <c r="AV1236" s="37" t="str">
        <f>IF(最佳化斷筋點!W1236="","",最佳化斷筋點!W1236)</f>
        <v/>
      </c>
      <c r="AW1236" s="37" t="str">
        <f>IF(最佳化斷筋點!X1236="","",最佳化斷筋點!X1236)</f>
        <v/>
      </c>
      <c r="AZ1236" s="37" t="s">
        <v>197</v>
      </c>
      <c r="BA1236" s="37" t="s">
        <v>197</v>
      </c>
      <c r="BB1236" s="37" t="s">
        <v>197</v>
      </c>
      <c r="BC1236" s="37" t="s">
        <v>197</v>
      </c>
      <c r="BD1236" s="37" t="s">
        <v>197</v>
      </c>
      <c r="BE1236" s="37" t="s">
        <v>197</v>
      </c>
      <c r="BF1236" s="37" t="s">
        <v>197</v>
      </c>
      <c r="BG1236" s="37" t="s">
        <v>197</v>
      </c>
      <c r="BH1236" s="37" t="s">
        <v>197</v>
      </c>
      <c r="BI1236" s="37" t="s">
        <v>197</v>
      </c>
      <c r="BJ1236" s="37" t="s">
        <v>197</v>
      </c>
      <c r="BK1236" s="37" t="s">
        <v>197</v>
      </c>
      <c r="BL1236" s="37" t="s">
        <v>197</v>
      </c>
      <c r="BM1236" s="37" t="s">
        <v>197</v>
      </c>
      <c r="BN1236" s="37" t="s">
        <v>197</v>
      </c>
      <c r="BO1236" s="37" t="s">
        <v>197</v>
      </c>
      <c r="BP1236" s="37" t="s">
        <v>197</v>
      </c>
      <c r="BQ1236" s="37" t="s">
        <v>197</v>
      </c>
      <c r="BR1236" s="37" t="s">
        <v>197</v>
      </c>
      <c r="BS1236" s="37" t="s">
        <v>197</v>
      </c>
      <c r="BT1236" s="37" t="s">
        <v>197</v>
      </c>
    </row>
    <row r="1237" spans="5:72" x14ac:dyDescent="0.25">
      <c r="E1237" s="36" t="s">
        <v>21</v>
      </c>
      <c r="F1237" s="36">
        <f t="shared" si="400"/>
        <v>0</v>
      </c>
      <c r="G1237" s="36">
        <f t="shared" si="401"/>
        <v>0</v>
      </c>
      <c r="H1237" s="36">
        <f t="shared" si="402"/>
        <v>0</v>
      </c>
      <c r="I1237" s="36">
        <f t="shared" si="403"/>
        <v>0</v>
      </c>
      <c r="J1237" s="36">
        <f t="shared" si="404"/>
        <v>0</v>
      </c>
      <c r="K1237" s="36">
        <f t="shared" si="405"/>
        <v>0</v>
      </c>
      <c r="L1237" s="36">
        <f t="shared" si="406"/>
        <v>0</v>
      </c>
      <c r="M1237" s="36">
        <f t="shared" si="407"/>
        <v>0</v>
      </c>
      <c r="N1237" s="36">
        <f t="shared" si="408"/>
        <v>0</v>
      </c>
      <c r="O1237" s="36">
        <f t="shared" si="409"/>
        <v>0</v>
      </c>
      <c r="P1237" s="36">
        <f t="shared" si="410"/>
        <v>0</v>
      </c>
      <c r="Q1237" s="36">
        <f t="shared" si="411"/>
        <v>0</v>
      </c>
      <c r="R1237" s="36">
        <f t="shared" si="412"/>
        <v>0</v>
      </c>
      <c r="S1237" s="36">
        <f t="shared" si="413"/>
        <v>0</v>
      </c>
      <c r="T1237" s="36">
        <f t="shared" si="414"/>
        <v>0</v>
      </c>
      <c r="U1237" s="36">
        <f t="shared" si="415"/>
        <v>0</v>
      </c>
      <c r="V1237" s="36">
        <f t="shared" si="416"/>
        <v>0</v>
      </c>
      <c r="W1237" s="36">
        <f t="shared" si="417"/>
        <v>0</v>
      </c>
      <c r="X1237" s="36">
        <f t="shared" si="418"/>
        <v>0</v>
      </c>
      <c r="Y1237" s="36">
        <f t="shared" si="419"/>
        <v>0</v>
      </c>
      <c r="Z1237" s="36">
        <f t="shared" si="420"/>
        <v>0</v>
      </c>
      <c r="AB1237" s="36" t="str">
        <f>IF(最佳化斷筋點!C1237="","",最佳化斷筋點!C1237)</f>
        <v>下層</v>
      </c>
      <c r="AC1237" s="37">
        <f>IF(最佳化斷筋點!D1237="","",最佳化斷筋點!D1237)</f>
        <v>3</v>
      </c>
      <c r="AD1237" s="37">
        <f>IF(最佳化斷筋點!E1237="","",最佳化斷筋點!E1237)</f>
        <v>3</v>
      </c>
      <c r="AE1237" s="37">
        <f>IF(最佳化斷筋點!F1237="","",最佳化斷筋點!F1237)</f>
        <v>3</v>
      </c>
      <c r="AF1237" s="37">
        <f>IF(最佳化斷筋點!G1237="","",最佳化斷筋點!G1237)</f>
        <v>3</v>
      </c>
      <c r="AG1237" s="37">
        <f>IF(最佳化斷筋點!H1237="","",最佳化斷筋點!H1237)</f>
        <v>3</v>
      </c>
      <c r="AH1237" s="37">
        <f>IF(最佳化斷筋點!I1237="","",最佳化斷筋點!I1237)</f>
        <v>3</v>
      </c>
      <c r="AI1237" s="37">
        <f>IF(最佳化斷筋點!J1237="","",最佳化斷筋點!J1237)</f>
        <v>3</v>
      </c>
      <c r="AJ1237" s="37">
        <f>IF(最佳化斷筋點!K1237="","",最佳化斷筋點!K1237)</f>
        <v>3</v>
      </c>
      <c r="AK1237" s="37">
        <f>IF(最佳化斷筋點!L1237="","",最佳化斷筋點!L1237)</f>
        <v>3</v>
      </c>
      <c r="AL1237" s="37">
        <f>IF(最佳化斷筋點!M1237="","",最佳化斷筋點!M1237)</f>
        <v>3</v>
      </c>
      <c r="AM1237" s="37">
        <f>IF(最佳化斷筋點!N1237="","",最佳化斷筋點!N1237)</f>
        <v>3</v>
      </c>
      <c r="AN1237" s="37">
        <f>IF(最佳化斷筋點!O1237="","",最佳化斷筋點!O1237)</f>
        <v>3</v>
      </c>
      <c r="AO1237" s="37">
        <f>IF(最佳化斷筋點!P1237="","",最佳化斷筋點!P1237)</f>
        <v>3</v>
      </c>
      <c r="AP1237" s="37">
        <f>IF(最佳化斷筋點!Q1237="","",最佳化斷筋點!Q1237)</f>
        <v>3</v>
      </c>
      <c r="AQ1237" s="37">
        <f>IF(最佳化斷筋點!R1237="","",最佳化斷筋點!R1237)</f>
        <v>3</v>
      </c>
      <c r="AR1237" s="37">
        <f>IF(最佳化斷筋點!S1237="","",最佳化斷筋點!S1237)</f>
        <v>3</v>
      </c>
      <c r="AS1237" s="37">
        <f>IF(最佳化斷筋點!T1237="","",最佳化斷筋點!T1237)</f>
        <v>3</v>
      </c>
      <c r="AT1237" s="37">
        <f>IF(最佳化斷筋點!U1237="","",最佳化斷筋點!U1237)</f>
        <v>3</v>
      </c>
      <c r="AU1237" s="37">
        <f>IF(最佳化斷筋點!V1237="","",最佳化斷筋點!V1237)</f>
        <v>3</v>
      </c>
      <c r="AV1237" s="37">
        <f>IF(最佳化斷筋點!W1237="","",最佳化斷筋點!W1237)</f>
        <v>3</v>
      </c>
      <c r="AW1237" s="37">
        <f>IF(最佳化斷筋點!X1237="","",最佳化斷筋點!X1237)</f>
        <v>3</v>
      </c>
      <c r="AZ1237" s="37">
        <v>3</v>
      </c>
      <c r="BA1237" s="37">
        <v>3</v>
      </c>
      <c r="BB1237" s="37">
        <v>3</v>
      </c>
      <c r="BC1237" s="37">
        <v>3</v>
      </c>
      <c r="BD1237" s="37">
        <v>3</v>
      </c>
      <c r="BE1237" s="37">
        <v>3</v>
      </c>
      <c r="BF1237" s="37">
        <v>3</v>
      </c>
      <c r="BG1237" s="37">
        <v>3</v>
      </c>
      <c r="BH1237" s="37">
        <v>3</v>
      </c>
      <c r="BI1237" s="37">
        <v>3</v>
      </c>
      <c r="BJ1237" s="37">
        <v>3</v>
      </c>
      <c r="BK1237" s="37">
        <v>3</v>
      </c>
      <c r="BL1237" s="37">
        <v>3</v>
      </c>
      <c r="BM1237" s="37">
        <v>3</v>
      </c>
      <c r="BN1237" s="37">
        <v>3</v>
      </c>
      <c r="BO1237" s="37">
        <v>3</v>
      </c>
      <c r="BP1237" s="37">
        <v>3</v>
      </c>
      <c r="BQ1237" s="37">
        <v>3</v>
      </c>
      <c r="BR1237" s="37">
        <v>3</v>
      </c>
      <c r="BS1237" s="37">
        <v>3</v>
      </c>
      <c r="BT1237" s="37">
        <v>3</v>
      </c>
    </row>
    <row r="1238" spans="5:72" x14ac:dyDescent="0.25">
      <c r="E1238" s="36"/>
      <c r="F1238" s="36">
        <f t="shared" si="400"/>
        <v>0</v>
      </c>
      <c r="G1238" s="36">
        <f t="shared" si="401"/>
        <v>0</v>
      </c>
      <c r="H1238" s="36">
        <f t="shared" si="402"/>
        <v>0</v>
      </c>
      <c r="I1238" s="36">
        <f t="shared" si="403"/>
        <v>0</v>
      </c>
      <c r="J1238" s="36">
        <f t="shared" si="404"/>
        <v>0</v>
      </c>
      <c r="K1238" s="36">
        <f t="shared" si="405"/>
        <v>0</v>
      </c>
      <c r="L1238" s="36">
        <f t="shared" si="406"/>
        <v>0</v>
      </c>
      <c r="M1238" s="36">
        <f t="shared" si="407"/>
        <v>0</v>
      </c>
      <c r="N1238" s="36">
        <f t="shared" si="408"/>
        <v>0</v>
      </c>
      <c r="O1238" s="36">
        <f t="shared" si="409"/>
        <v>0</v>
      </c>
      <c r="P1238" s="36">
        <f t="shared" si="410"/>
        <v>0</v>
      </c>
      <c r="Q1238" s="36">
        <f t="shared" si="411"/>
        <v>0</v>
      </c>
      <c r="R1238" s="36">
        <f t="shared" si="412"/>
        <v>0</v>
      </c>
      <c r="S1238" s="36">
        <f t="shared" si="413"/>
        <v>0</v>
      </c>
      <c r="T1238" s="36">
        <f t="shared" si="414"/>
        <v>0</v>
      </c>
      <c r="U1238" s="36">
        <f t="shared" si="415"/>
        <v>0</v>
      </c>
      <c r="V1238" s="36">
        <f t="shared" si="416"/>
        <v>0</v>
      </c>
      <c r="W1238" s="36">
        <f t="shared" si="417"/>
        <v>0</v>
      </c>
      <c r="X1238" s="36">
        <f t="shared" si="418"/>
        <v>0</v>
      </c>
      <c r="Y1238" s="36">
        <f t="shared" si="419"/>
        <v>0</v>
      </c>
      <c r="Z1238" s="36">
        <f t="shared" si="420"/>
        <v>0</v>
      </c>
      <c r="AB1238" s="36" t="str">
        <f>IF(最佳化斷筋點!C1238="","",最佳化斷筋點!C1238)</f>
        <v/>
      </c>
      <c r="AC1238" s="37" t="str">
        <f>IF(最佳化斷筋點!D1238="","",最佳化斷筋點!D1238)</f>
        <v/>
      </c>
      <c r="AD1238" s="37" t="str">
        <f>IF(最佳化斷筋點!E1238="","",最佳化斷筋點!E1238)</f>
        <v/>
      </c>
      <c r="AE1238" s="37" t="str">
        <f>IF(最佳化斷筋點!F1238="","",最佳化斷筋點!F1238)</f>
        <v/>
      </c>
      <c r="AF1238" s="37" t="str">
        <f>IF(最佳化斷筋點!G1238="","",最佳化斷筋點!G1238)</f>
        <v/>
      </c>
      <c r="AG1238" s="37" t="str">
        <f>IF(最佳化斷筋點!H1238="","",最佳化斷筋點!H1238)</f>
        <v/>
      </c>
      <c r="AH1238" s="37" t="str">
        <f>IF(最佳化斷筋點!I1238="","",最佳化斷筋點!I1238)</f>
        <v/>
      </c>
      <c r="AI1238" s="37" t="str">
        <f>IF(最佳化斷筋點!J1238="","",最佳化斷筋點!J1238)</f>
        <v/>
      </c>
      <c r="AJ1238" s="37" t="str">
        <f>IF(最佳化斷筋點!K1238="","",最佳化斷筋點!K1238)</f>
        <v/>
      </c>
      <c r="AK1238" s="37" t="str">
        <f>IF(最佳化斷筋點!L1238="","",最佳化斷筋點!L1238)</f>
        <v/>
      </c>
      <c r="AL1238" s="37" t="str">
        <f>IF(最佳化斷筋點!M1238="","",最佳化斷筋點!M1238)</f>
        <v/>
      </c>
      <c r="AM1238" s="37" t="str">
        <f>IF(最佳化斷筋點!N1238="","",最佳化斷筋點!N1238)</f>
        <v/>
      </c>
      <c r="AN1238" s="37" t="str">
        <f>IF(最佳化斷筋點!O1238="","",最佳化斷筋點!O1238)</f>
        <v/>
      </c>
      <c r="AO1238" s="37" t="str">
        <f>IF(最佳化斷筋點!P1238="","",最佳化斷筋點!P1238)</f>
        <v/>
      </c>
      <c r="AP1238" s="37" t="str">
        <f>IF(最佳化斷筋點!Q1238="","",最佳化斷筋點!Q1238)</f>
        <v/>
      </c>
      <c r="AQ1238" s="37" t="str">
        <f>IF(最佳化斷筋點!R1238="","",最佳化斷筋點!R1238)</f>
        <v/>
      </c>
      <c r="AR1238" s="37" t="str">
        <f>IF(最佳化斷筋點!S1238="","",最佳化斷筋點!S1238)</f>
        <v/>
      </c>
      <c r="AS1238" s="37" t="str">
        <f>IF(最佳化斷筋點!T1238="","",最佳化斷筋點!T1238)</f>
        <v/>
      </c>
      <c r="AT1238" s="37" t="str">
        <f>IF(最佳化斷筋點!U1238="","",最佳化斷筋點!U1238)</f>
        <v/>
      </c>
      <c r="AU1238" s="37" t="str">
        <f>IF(最佳化斷筋點!V1238="","",最佳化斷筋點!V1238)</f>
        <v/>
      </c>
      <c r="AV1238" s="37" t="str">
        <f>IF(最佳化斷筋點!W1238="","",最佳化斷筋點!W1238)</f>
        <v/>
      </c>
      <c r="AW1238" s="37" t="str">
        <f>IF(最佳化斷筋點!X1238="","",最佳化斷筋點!X1238)</f>
        <v/>
      </c>
      <c r="AZ1238" s="37" t="s">
        <v>197</v>
      </c>
      <c r="BA1238" s="37" t="s">
        <v>197</v>
      </c>
      <c r="BB1238" s="37" t="s">
        <v>197</v>
      </c>
      <c r="BC1238" s="37" t="s">
        <v>197</v>
      </c>
      <c r="BD1238" s="37" t="s">
        <v>197</v>
      </c>
      <c r="BE1238" s="37" t="s">
        <v>197</v>
      </c>
      <c r="BF1238" s="37" t="s">
        <v>197</v>
      </c>
      <c r="BG1238" s="37" t="s">
        <v>197</v>
      </c>
      <c r="BH1238" s="37" t="s">
        <v>197</v>
      </c>
      <c r="BI1238" s="37" t="s">
        <v>197</v>
      </c>
      <c r="BJ1238" s="37" t="s">
        <v>197</v>
      </c>
      <c r="BK1238" s="37" t="s">
        <v>197</v>
      </c>
      <c r="BL1238" s="37" t="s">
        <v>197</v>
      </c>
      <c r="BM1238" s="37" t="s">
        <v>197</v>
      </c>
      <c r="BN1238" s="37" t="s">
        <v>197</v>
      </c>
      <c r="BO1238" s="37" t="s">
        <v>197</v>
      </c>
      <c r="BP1238" s="37" t="s">
        <v>197</v>
      </c>
      <c r="BQ1238" s="37" t="s">
        <v>197</v>
      </c>
      <c r="BR1238" s="37" t="s">
        <v>197</v>
      </c>
      <c r="BS1238" s="37" t="s">
        <v>197</v>
      </c>
      <c r="BT1238" s="37" t="s">
        <v>197</v>
      </c>
    </row>
    <row r="1239" spans="5:72" x14ac:dyDescent="0.25">
      <c r="E1239" s="36" t="s">
        <v>20</v>
      </c>
      <c r="F1239" s="36">
        <f t="shared" si="400"/>
        <v>0</v>
      </c>
      <c r="G1239" s="36">
        <f t="shared" si="401"/>
        <v>0</v>
      </c>
      <c r="H1239" s="36">
        <f t="shared" si="402"/>
        <v>0</v>
      </c>
      <c r="I1239" s="36">
        <f t="shared" si="403"/>
        <v>0</v>
      </c>
      <c r="J1239" s="36">
        <f t="shared" si="404"/>
        <v>0</v>
      </c>
      <c r="K1239" s="36">
        <f t="shared" si="405"/>
        <v>0</v>
      </c>
      <c r="L1239" s="36">
        <f t="shared" si="406"/>
        <v>0</v>
      </c>
      <c r="M1239" s="36">
        <f t="shared" si="407"/>
        <v>0</v>
      </c>
      <c r="N1239" s="36">
        <f t="shared" si="408"/>
        <v>0</v>
      </c>
      <c r="O1239" s="36">
        <f t="shared" si="409"/>
        <v>0</v>
      </c>
      <c r="P1239" s="36">
        <f t="shared" si="410"/>
        <v>0</v>
      </c>
      <c r="Q1239" s="36">
        <f t="shared" si="411"/>
        <v>0</v>
      </c>
      <c r="R1239" s="36">
        <f t="shared" si="412"/>
        <v>0</v>
      </c>
      <c r="S1239" s="36">
        <f t="shared" si="413"/>
        <v>0</v>
      </c>
      <c r="T1239" s="36">
        <f t="shared" si="414"/>
        <v>0</v>
      </c>
      <c r="U1239" s="36">
        <f t="shared" si="415"/>
        <v>0</v>
      </c>
      <c r="V1239" s="36">
        <f t="shared" si="416"/>
        <v>0</v>
      </c>
      <c r="W1239" s="36">
        <f t="shared" si="417"/>
        <v>0</v>
      </c>
      <c r="X1239" s="36">
        <f t="shared" si="418"/>
        <v>0</v>
      </c>
      <c r="Y1239" s="36">
        <f t="shared" si="419"/>
        <v>0</v>
      </c>
      <c r="Z1239" s="36">
        <f t="shared" si="420"/>
        <v>0</v>
      </c>
      <c r="AB1239" s="36" t="str">
        <f>IF(最佳化斷筋點!C1239="","",最佳化斷筋點!C1239)</f>
        <v>上層</v>
      </c>
      <c r="AC1239" s="37">
        <f>IF(最佳化斷筋點!D1239="","",最佳化斷筋點!D1239)</f>
        <v>3</v>
      </c>
      <c r="AD1239" s="37">
        <f>IF(最佳化斷筋點!E1239="","",最佳化斷筋點!E1239)</f>
        <v>3</v>
      </c>
      <c r="AE1239" s="37">
        <f>IF(最佳化斷筋點!F1239="","",最佳化斷筋點!F1239)</f>
        <v>3</v>
      </c>
      <c r="AF1239" s="37">
        <f>IF(最佳化斷筋點!G1239="","",最佳化斷筋點!G1239)</f>
        <v>3</v>
      </c>
      <c r="AG1239" s="37">
        <f>IF(最佳化斷筋點!H1239="","",最佳化斷筋點!H1239)</f>
        <v>3</v>
      </c>
      <c r="AH1239" s="37">
        <f>IF(最佳化斷筋點!I1239="","",最佳化斷筋點!I1239)</f>
        <v>3</v>
      </c>
      <c r="AI1239" s="37">
        <f>IF(最佳化斷筋點!J1239="","",最佳化斷筋點!J1239)</f>
        <v>3</v>
      </c>
      <c r="AJ1239" s="37">
        <f>IF(最佳化斷筋點!K1239="","",最佳化斷筋點!K1239)</f>
        <v>2</v>
      </c>
      <c r="AK1239" s="37">
        <f>IF(最佳化斷筋點!L1239="","",最佳化斷筋點!L1239)</f>
        <v>2</v>
      </c>
      <c r="AL1239" s="37">
        <f>IF(最佳化斷筋點!M1239="","",最佳化斷筋點!M1239)</f>
        <v>2</v>
      </c>
      <c r="AM1239" s="37">
        <f>IF(最佳化斷筋點!N1239="","",最佳化斷筋點!N1239)</f>
        <v>2</v>
      </c>
      <c r="AN1239" s="37">
        <f>IF(最佳化斷筋點!O1239="","",最佳化斷筋點!O1239)</f>
        <v>2</v>
      </c>
      <c r="AO1239" s="37">
        <f>IF(最佳化斷筋點!P1239="","",最佳化斷筋點!P1239)</f>
        <v>2</v>
      </c>
      <c r="AP1239" s="37">
        <f>IF(最佳化斷筋點!Q1239="","",最佳化斷筋點!Q1239)</f>
        <v>2</v>
      </c>
      <c r="AQ1239" s="37">
        <f>IF(最佳化斷筋點!R1239="","",最佳化斷筋點!R1239)</f>
        <v>3</v>
      </c>
      <c r="AR1239" s="37">
        <f>IF(最佳化斷筋點!S1239="","",最佳化斷筋點!S1239)</f>
        <v>3</v>
      </c>
      <c r="AS1239" s="37">
        <f>IF(最佳化斷筋點!T1239="","",最佳化斷筋點!T1239)</f>
        <v>3</v>
      </c>
      <c r="AT1239" s="37">
        <f>IF(最佳化斷筋點!U1239="","",最佳化斷筋點!U1239)</f>
        <v>3</v>
      </c>
      <c r="AU1239" s="37">
        <f>IF(最佳化斷筋點!V1239="","",最佳化斷筋點!V1239)</f>
        <v>3</v>
      </c>
      <c r="AV1239" s="37">
        <f>IF(最佳化斷筋點!W1239="","",最佳化斷筋點!W1239)</f>
        <v>3</v>
      </c>
      <c r="AW1239" s="37">
        <f>IF(最佳化斷筋點!X1239="","",最佳化斷筋點!X1239)</f>
        <v>3</v>
      </c>
      <c r="AZ1239" s="37">
        <v>3</v>
      </c>
      <c r="BA1239" s="37">
        <v>3</v>
      </c>
      <c r="BB1239" s="37">
        <v>3</v>
      </c>
      <c r="BC1239" s="37">
        <v>3</v>
      </c>
      <c r="BD1239" s="37">
        <v>3</v>
      </c>
      <c r="BE1239" s="37">
        <v>3</v>
      </c>
      <c r="BF1239" s="37">
        <v>3</v>
      </c>
      <c r="BG1239" s="37">
        <v>2</v>
      </c>
      <c r="BH1239" s="37">
        <v>2</v>
      </c>
      <c r="BI1239" s="37">
        <v>2</v>
      </c>
      <c r="BJ1239" s="37">
        <v>2</v>
      </c>
      <c r="BK1239" s="37">
        <v>2</v>
      </c>
      <c r="BL1239" s="37">
        <v>2</v>
      </c>
      <c r="BM1239" s="37">
        <v>2</v>
      </c>
      <c r="BN1239" s="37">
        <v>3</v>
      </c>
      <c r="BO1239" s="37">
        <v>3</v>
      </c>
      <c r="BP1239" s="37">
        <v>3</v>
      </c>
      <c r="BQ1239" s="37">
        <v>3</v>
      </c>
      <c r="BR1239" s="37">
        <v>3</v>
      </c>
      <c r="BS1239" s="37">
        <v>3</v>
      </c>
      <c r="BT1239" s="37">
        <v>3</v>
      </c>
    </row>
    <row r="1240" spans="5:72" x14ac:dyDescent="0.25">
      <c r="E1240" s="36"/>
      <c r="F1240" s="36">
        <f t="shared" si="400"/>
        <v>0</v>
      </c>
      <c r="G1240" s="36">
        <f t="shared" si="401"/>
        <v>0</v>
      </c>
      <c r="H1240" s="36">
        <f t="shared" si="402"/>
        <v>0</v>
      </c>
      <c r="I1240" s="36">
        <f t="shared" si="403"/>
        <v>0</v>
      </c>
      <c r="J1240" s="36">
        <f t="shared" si="404"/>
        <v>0</v>
      </c>
      <c r="K1240" s="36">
        <f t="shared" si="405"/>
        <v>0</v>
      </c>
      <c r="L1240" s="36">
        <f t="shared" si="406"/>
        <v>0</v>
      </c>
      <c r="M1240" s="36">
        <f t="shared" si="407"/>
        <v>0</v>
      </c>
      <c r="N1240" s="36">
        <f t="shared" si="408"/>
        <v>0</v>
      </c>
      <c r="O1240" s="36">
        <f t="shared" si="409"/>
        <v>0</v>
      </c>
      <c r="P1240" s="36">
        <f t="shared" si="410"/>
        <v>0</v>
      </c>
      <c r="Q1240" s="36">
        <f t="shared" si="411"/>
        <v>0</v>
      </c>
      <c r="R1240" s="36">
        <f t="shared" si="412"/>
        <v>0</v>
      </c>
      <c r="S1240" s="36">
        <f t="shared" si="413"/>
        <v>0</v>
      </c>
      <c r="T1240" s="36">
        <f t="shared" si="414"/>
        <v>0</v>
      </c>
      <c r="U1240" s="36">
        <f t="shared" si="415"/>
        <v>0</v>
      </c>
      <c r="V1240" s="36">
        <f t="shared" si="416"/>
        <v>0</v>
      </c>
      <c r="W1240" s="36">
        <f t="shared" si="417"/>
        <v>0</v>
      </c>
      <c r="X1240" s="36">
        <f t="shared" si="418"/>
        <v>0</v>
      </c>
      <c r="Y1240" s="36">
        <f t="shared" si="419"/>
        <v>0</v>
      </c>
      <c r="Z1240" s="36">
        <f t="shared" si="420"/>
        <v>0</v>
      </c>
      <c r="AB1240" s="36" t="str">
        <f>IF(最佳化斷筋點!C1240="","",最佳化斷筋點!C1240)</f>
        <v/>
      </c>
      <c r="AC1240" s="37" t="str">
        <f>IF(最佳化斷筋點!D1240="","",最佳化斷筋點!D1240)</f>
        <v/>
      </c>
      <c r="AD1240" s="37" t="str">
        <f>IF(最佳化斷筋點!E1240="","",最佳化斷筋點!E1240)</f>
        <v/>
      </c>
      <c r="AE1240" s="37" t="str">
        <f>IF(最佳化斷筋點!F1240="","",最佳化斷筋點!F1240)</f>
        <v/>
      </c>
      <c r="AF1240" s="37" t="str">
        <f>IF(最佳化斷筋點!G1240="","",最佳化斷筋點!G1240)</f>
        <v/>
      </c>
      <c r="AG1240" s="37" t="str">
        <f>IF(最佳化斷筋點!H1240="","",最佳化斷筋點!H1240)</f>
        <v/>
      </c>
      <c r="AH1240" s="37" t="str">
        <f>IF(最佳化斷筋點!I1240="","",最佳化斷筋點!I1240)</f>
        <v/>
      </c>
      <c r="AI1240" s="37" t="str">
        <f>IF(最佳化斷筋點!J1240="","",最佳化斷筋點!J1240)</f>
        <v/>
      </c>
      <c r="AJ1240" s="37" t="str">
        <f>IF(最佳化斷筋點!K1240="","",最佳化斷筋點!K1240)</f>
        <v/>
      </c>
      <c r="AK1240" s="37" t="str">
        <f>IF(最佳化斷筋點!L1240="","",最佳化斷筋點!L1240)</f>
        <v/>
      </c>
      <c r="AL1240" s="37" t="str">
        <f>IF(最佳化斷筋點!M1240="","",最佳化斷筋點!M1240)</f>
        <v/>
      </c>
      <c r="AM1240" s="37" t="str">
        <f>IF(最佳化斷筋點!N1240="","",最佳化斷筋點!N1240)</f>
        <v/>
      </c>
      <c r="AN1240" s="37" t="str">
        <f>IF(最佳化斷筋點!O1240="","",最佳化斷筋點!O1240)</f>
        <v/>
      </c>
      <c r="AO1240" s="37" t="str">
        <f>IF(最佳化斷筋點!P1240="","",最佳化斷筋點!P1240)</f>
        <v/>
      </c>
      <c r="AP1240" s="37" t="str">
        <f>IF(最佳化斷筋點!Q1240="","",最佳化斷筋點!Q1240)</f>
        <v/>
      </c>
      <c r="AQ1240" s="37" t="str">
        <f>IF(最佳化斷筋點!R1240="","",最佳化斷筋點!R1240)</f>
        <v/>
      </c>
      <c r="AR1240" s="37" t="str">
        <f>IF(最佳化斷筋點!S1240="","",最佳化斷筋點!S1240)</f>
        <v/>
      </c>
      <c r="AS1240" s="37" t="str">
        <f>IF(最佳化斷筋點!T1240="","",最佳化斷筋點!T1240)</f>
        <v/>
      </c>
      <c r="AT1240" s="37" t="str">
        <f>IF(最佳化斷筋點!U1240="","",最佳化斷筋點!U1240)</f>
        <v/>
      </c>
      <c r="AU1240" s="37" t="str">
        <f>IF(最佳化斷筋點!V1240="","",最佳化斷筋點!V1240)</f>
        <v/>
      </c>
      <c r="AV1240" s="37" t="str">
        <f>IF(最佳化斷筋點!W1240="","",最佳化斷筋點!W1240)</f>
        <v/>
      </c>
      <c r="AW1240" s="37" t="str">
        <f>IF(最佳化斷筋點!X1240="","",最佳化斷筋點!X1240)</f>
        <v/>
      </c>
      <c r="AZ1240" s="37" t="s">
        <v>197</v>
      </c>
      <c r="BA1240" s="37" t="s">
        <v>197</v>
      </c>
      <c r="BB1240" s="37" t="s">
        <v>197</v>
      </c>
      <c r="BC1240" s="37" t="s">
        <v>197</v>
      </c>
      <c r="BD1240" s="37" t="s">
        <v>197</v>
      </c>
      <c r="BE1240" s="37" t="s">
        <v>197</v>
      </c>
      <c r="BF1240" s="37" t="s">
        <v>197</v>
      </c>
      <c r="BG1240" s="37" t="s">
        <v>197</v>
      </c>
      <c r="BH1240" s="37" t="s">
        <v>197</v>
      </c>
      <c r="BI1240" s="37" t="s">
        <v>197</v>
      </c>
      <c r="BJ1240" s="37" t="s">
        <v>197</v>
      </c>
      <c r="BK1240" s="37" t="s">
        <v>197</v>
      </c>
      <c r="BL1240" s="37" t="s">
        <v>197</v>
      </c>
      <c r="BM1240" s="37" t="s">
        <v>197</v>
      </c>
      <c r="BN1240" s="37" t="s">
        <v>197</v>
      </c>
      <c r="BO1240" s="37" t="s">
        <v>197</v>
      </c>
      <c r="BP1240" s="37" t="s">
        <v>197</v>
      </c>
      <c r="BQ1240" s="37" t="s">
        <v>197</v>
      </c>
      <c r="BR1240" s="37" t="s">
        <v>197</v>
      </c>
      <c r="BS1240" s="37" t="s">
        <v>197</v>
      </c>
      <c r="BT1240" s="37" t="s">
        <v>197</v>
      </c>
    </row>
    <row r="1241" spans="5:72" x14ac:dyDescent="0.25">
      <c r="E1241" s="36" t="s">
        <v>21</v>
      </c>
      <c r="F1241" s="36">
        <f t="shared" si="400"/>
        <v>0</v>
      </c>
      <c r="G1241" s="36">
        <f t="shared" si="401"/>
        <v>0</v>
      </c>
      <c r="H1241" s="36">
        <f t="shared" si="402"/>
        <v>0</v>
      </c>
      <c r="I1241" s="36">
        <f t="shared" si="403"/>
        <v>0</v>
      </c>
      <c r="J1241" s="36">
        <f t="shared" si="404"/>
        <v>0</v>
      </c>
      <c r="K1241" s="36">
        <f t="shared" si="405"/>
        <v>0</v>
      </c>
      <c r="L1241" s="36">
        <f t="shared" si="406"/>
        <v>0</v>
      </c>
      <c r="M1241" s="36">
        <f t="shared" si="407"/>
        <v>0</v>
      </c>
      <c r="N1241" s="36">
        <f t="shared" si="408"/>
        <v>0</v>
      </c>
      <c r="O1241" s="36">
        <f t="shared" si="409"/>
        <v>0</v>
      </c>
      <c r="P1241" s="36">
        <f t="shared" si="410"/>
        <v>0</v>
      </c>
      <c r="Q1241" s="36">
        <f t="shared" si="411"/>
        <v>0</v>
      </c>
      <c r="R1241" s="36">
        <f t="shared" si="412"/>
        <v>0</v>
      </c>
      <c r="S1241" s="36">
        <f t="shared" si="413"/>
        <v>0</v>
      </c>
      <c r="T1241" s="36">
        <f t="shared" si="414"/>
        <v>0</v>
      </c>
      <c r="U1241" s="36">
        <f t="shared" si="415"/>
        <v>0</v>
      </c>
      <c r="V1241" s="36">
        <f t="shared" si="416"/>
        <v>0</v>
      </c>
      <c r="W1241" s="36">
        <f t="shared" si="417"/>
        <v>0</v>
      </c>
      <c r="X1241" s="36">
        <f t="shared" si="418"/>
        <v>0</v>
      </c>
      <c r="Y1241" s="36">
        <f t="shared" si="419"/>
        <v>0</v>
      </c>
      <c r="Z1241" s="36">
        <f t="shared" si="420"/>
        <v>0</v>
      </c>
      <c r="AB1241" s="36" t="str">
        <f>IF(最佳化斷筋點!C1241="","",最佳化斷筋點!C1241)</f>
        <v>下層</v>
      </c>
      <c r="AC1241" s="37">
        <f>IF(最佳化斷筋點!D1241="","",最佳化斷筋點!D1241)</f>
        <v>2</v>
      </c>
      <c r="AD1241" s="37">
        <f>IF(最佳化斷筋點!E1241="","",最佳化斷筋點!E1241)</f>
        <v>2</v>
      </c>
      <c r="AE1241" s="37">
        <f>IF(最佳化斷筋點!F1241="","",最佳化斷筋點!F1241)</f>
        <v>2</v>
      </c>
      <c r="AF1241" s="37">
        <f>IF(最佳化斷筋點!G1241="","",最佳化斷筋點!G1241)</f>
        <v>2</v>
      </c>
      <c r="AG1241" s="37">
        <f>IF(最佳化斷筋點!H1241="","",最佳化斷筋點!H1241)</f>
        <v>3</v>
      </c>
      <c r="AH1241" s="37">
        <f>IF(最佳化斷筋點!I1241="","",最佳化斷筋點!I1241)</f>
        <v>3</v>
      </c>
      <c r="AI1241" s="37">
        <f>IF(最佳化斷筋點!J1241="","",最佳化斷筋點!J1241)</f>
        <v>3</v>
      </c>
      <c r="AJ1241" s="37">
        <f>IF(最佳化斷筋點!K1241="","",最佳化斷筋點!K1241)</f>
        <v>3</v>
      </c>
      <c r="AK1241" s="37">
        <f>IF(最佳化斷筋點!L1241="","",最佳化斷筋點!L1241)</f>
        <v>3</v>
      </c>
      <c r="AL1241" s="37">
        <f>IF(最佳化斷筋點!M1241="","",最佳化斷筋點!M1241)</f>
        <v>3</v>
      </c>
      <c r="AM1241" s="37">
        <f>IF(最佳化斷筋點!N1241="","",最佳化斷筋點!N1241)</f>
        <v>3</v>
      </c>
      <c r="AN1241" s="37">
        <f>IF(最佳化斷筋點!O1241="","",最佳化斷筋點!O1241)</f>
        <v>3</v>
      </c>
      <c r="AO1241" s="37">
        <f>IF(最佳化斷筋點!P1241="","",最佳化斷筋點!P1241)</f>
        <v>3</v>
      </c>
      <c r="AP1241" s="37">
        <f>IF(最佳化斷筋點!Q1241="","",最佳化斷筋點!Q1241)</f>
        <v>3</v>
      </c>
      <c r="AQ1241" s="37">
        <f>IF(最佳化斷筋點!R1241="","",最佳化斷筋點!R1241)</f>
        <v>3</v>
      </c>
      <c r="AR1241" s="37">
        <f>IF(最佳化斷筋點!S1241="","",最佳化斷筋點!S1241)</f>
        <v>3</v>
      </c>
      <c r="AS1241" s="37">
        <f>IF(最佳化斷筋點!T1241="","",最佳化斷筋點!T1241)</f>
        <v>3</v>
      </c>
      <c r="AT1241" s="37">
        <f>IF(最佳化斷筋點!U1241="","",最佳化斷筋點!U1241)</f>
        <v>2</v>
      </c>
      <c r="AU1241" s="37">
        <f>IF(最佳化斷筋點!V1241="","",最佳化斷筋點!V1241)</f>
        <v>2</v>
      </c>
      <c r="AV1241" s="37">
        <f>IF(最佳化斷筋點!W1241="","",最佳化斷筋點!W1241)</f>
        <v>2</v>
      </c>
      <c r="AW1241" s="37">
        <f>IF(最佳化斷筋點!X1241="","",最佳化斷筋點!X1241)</f>
        <v>2</v>
      </c>
      <c r="AZ1241" s="37">
        <v>2</v>
      </c>
      <c r="BA1241" s="37">
        <v>2</v>
      </c>
      <c r="BB1241" s="37">
        <v>2</v>
      </c>
      <c r="BC1241" s="37">
        <v>2</v>
      </c>
      <c r="BD1241" s="37">
        <v>3</v>
      </c>
      <c r="BE1241" s="37">
        <v>3</v>
      </c>
      <c r="BF1241" s="37">
        <v>3</v>
      </c>
      <c r="BG1241" s="37">
        <v>3</v>
      </c>
      <c r="BH1241" s="37">
        <v>3</v>
      </c>
      <c r="BI1241" s="37">
        <v>3</v>
      </c>
      <c r="BJ1241" s="37">
        <v>3</v>
      </c>
      <c r="BK1241" s="37">
        <v>3</v>
      </c>
      <c r="BL1241" s="37">
        <v>3</v>
      </c>
      <c r="BM1241" s="37">
        <v>3</v>
      </c>
      <c r="BN1241" s="37">
        <v>3</v>
      </c>
      <c r="BO1241" s="37">
        <v>3</v>
      </c>
      <c r="BP1241" s="37">
        <v>3</v>
      </c>
      <c r="BQ1241" s="37">
        <v>2</v>
      </c>
      <c r="BR1241" s="37">
        <v>2</v>
      </c>
      <c r="BS1241" s="37">
        <v>2</v>
      </c>
      <c r="BT1241" s="37">
        <v>2</v>
      </c>
    </row>
    <row r="1242" spans="5:72" x14ac:dyDescent="0.25">
      <c r="E1242" s="36"/>
      <c r="F1242" s="36">
        <f t="shared" si="400"/>
        <v>0</v>
      </c>
      <c r="G1242" s="36">
        <f t="shared" si="401"/>
        <v>0</v>
      </c>
      <c r="H1242" s="36">
        <f t="shared" si="402"/>
        <v>0</v>
      </c>
      <c r="I1242" s="36">
        <f t="shared" si="403"/>
        <v>0</v>
      </c>
      <c r="J1242" s="36">
        <f t="shared" si="404"/>
        <v>0</v>
      </c>
      <c r="K1242" s="36">
        <f t="shared" si="405"/>
        <v>0</v>
      </c>
      <c r="L1242" s="36">
        <f t="shared" si="406"/>
        <v>0</v>
      </c>
      <c r="M1242" s="36">
        <f t="shared" si="407"/>
        <v>0</v>
      </c>
      <c r="N1242" s="36">
        <f t="shared" si="408"/>
        <v>0</v>
      </c>
      <c r="O1242" s="36">
        <f t="shared" si="409"/>
        <v>0</v>
      </c>
      <c r="P1242" s="36">
        <f t="shared" si="410"/>
        <v>0</v>
      </c>
      <c r="Q1242" s="36">
        <f t="shared" si="411"/>
        <v>0</v>
      </c>
      <c r="R1242" s="36">
        <f t="shared" si="412"/>
        <v>0</v>
      </c>
      <c r="S1242" s="36">
        <f t="shared" si="413"/>
        <v>0</v>
      </c>
      <c r="T1242" s="36">
        <f t="shared" si="414"/>
        <v>0</v>
      </c>
      <c r="U1242" s="36">
        <f t="shared" si="415"/>
        <v>0</v>
      </c>
      <c r="V1242" s="36">
        <f t="shared" si="416"/>
        <v>0</v>
      </c>
      <c r="W1242" s="36">
        <f t="shared" si="417"/>
        <v>0</v>
      </c>
      <c r="X1242" s="36">
        <f t="shared" si="418"/>
        <v>0</v>
      </c>
      <c r="Y1242" s="36">
        <f t="shared" si="419"/>
        <v>0</v>
      </c>
      <c r="Z1242" s="36">
        <f t="shared" si="420"/>
        <v>0</v>
      </c>
      <c r="AB1242" s="36" t="str">
        <f>IF(最佳化斷筋點!C1242="","",最佳化斷筋點!C1242)</f>
        <v/>
      </c>
      <c r="AC1242" s="37" t="str">
        <f>IF(最佳化斷筋點!D1242="","",最佳化斷筋點!D1242)</f>
        <v/>
      </c>
      <c r="AD1242" s="37" t="str">
        <f>IF(最佳化斷筋點!E1242="","",最佳化斷筋點!E1242)</f>
        <v/>
      </c>
      <c r="AE1242" s="37" t="str">
        <f>IF(最佳化斷筋點!F1242="","",最佳化斷筋點!F1242)</f>
        <v/>
      </c>
      <c r="AF1242" s="37" t="str">
        <f>IF(最佳化斷筋點!G1242="","",最佳化斷筋點!G1242)</f>
        <v/>
      </c>
      <c r="AG1242" s="37" t="str">
        <f>IF(最佳化斷筋點!H1242="","",最佳化斷筋點!H1242)</f>
        <v/>
      </c>
      <c r="AH1242" s="37" t="str">
        <f>IF(最佳化斷筋點!I1242="","",最佳化斷筋點!I1242)</f>
        <v/>
      </c>
      <c r="AI1242" s="37" t="str">
        <f>IF(最佳化斷筋點!J1242="","",最佳化斷筋點!J1242)</f>
        <v/>
      </c>
      <c r="AJ1242" s="37" t="str">
        <f>IF(最佳化斷筋點!K1242="","",最佳化斷筋點!K1242)</f>
        <v/>
      </c>
      <c r="AK1242" s="37" t="str">
        <f>IF(最佳化斷筋點!L1242="","",最佳化斷筋點!L1242)</f>
        <v/>
      </c>
      <c r="AL1242" s="37" t="str">
        <f>IF(最佳化斷筋點!M1242="","",最佳化斷筋點!M1242)</f>
        <v/>
      </c>
      <c r="AM1242" s="37" t="str">
        <f>IF(最佳化斷筋點!N1242="","",最佳化斷筋點!N1242)</f>
        <v/>
      </c>
      <c r="AN1242" s="37" t="str">
        <f>IF(最佳化斷筋點!O1242="","",最佳化斷筋點!O1242)</f>
        <v/>
      </c>
      <c r="AO1242" s="37" t="str">
        <f>IF(最佳化斷筋點!P1242="","",最佳化斷筋點!P1242)</f>
        <v/>
      </c>
      <c r="AP1242" s="37" t="str">
        <f>IF(最佳化斷筋點!Q1242="","",最佳化斷筋點!Q1242)</f>
        <v/>
      </c>
      <c r="AQ1242" s="37" t="str">
        <f>IF(最佳化斷筋點!R1242="","",最佳化斷筋點!R1242)</f>
        <v/>
      </c>
      <c r="AR1242" s="37" t="str">
        <f>IF(最佳化斷筋點!S1242="","",最佳化斷筋點!S1242)</f>
        <v/>
      </c>
      <c r="AS1242" s="37" t="str">
        <f>IF(最佳化斷筋點!T1242="","",最佳化斷筋點!T1242)</f>
        <v/>
      </c>
      <c r="AT1242" s="37" t="str">
        <f>IF(最佳化斷筋點!U1242="","",最佳化斷筋點!U1242)</f>
        <v/>
      </c>
      <c r="AU1242" s="37" t="str">
        <f>IF(最佳化斷筋點!V1242="","",最佳化斷筋點!V1242)</f>
        <v/>
      </c>
      <c r="AV1242" s="37" t="str">
        <f>IF(最佳化斷筋點!W1242="","",最佳化斷筋點!W1242)</f>
        <v/>
      </c>
      <c r="AW1242" s="37" t="str">
        <f>IF(最佳化斷筋點!X1242="","",最佳化斷筋點!X1242)</f>
        <v/>
      </c>
      <c r="AZ1242" s="37" t="s">
        <v>197</v>
      </c>
      <c r="BA1242" s="37" t="s">
        <v>197</v>
      </c>
      <c r="BB1242" s="37" t="s">
        <v>197</v>
      </c>
      <c r="BC1242" s="37" t="s">
        <v>197</v>
      </c>
      <c r="BD1242" s="37" t="s">
        <v>197</v>
      </c>
      <c r="BE1242" s="37" t="s">
        <v>197</v>
      </c>
      <c r="BF1242" s="37" t="s">
        <v>197</v>
      </c>
      <c r="BG1242" s="37" t="s">
        <v>197</v>
      </c>
      <c r="BH1242" s="37" t="s">
        <v>197</v>
      </c>
      <c r="BI1242" s="37" t="s">
        <v>197</v>
      </c>
      <c r="BJ1242" s="37" t="s">
        <v>197</v>
      </c>
      <c r="BK1242" s="37" t="s">
        <v>197</v>
      </c>
      <c r="BL1242" s="37" t="s">
        <v>197</v>
      </c>
      <c r="BM1242" s="37" t="s">
        <v>197</v>
      </c>
      <c r="BN1242" s="37" t="s">
        <v>197</v>
      </c>
      <c r="BO1242" s="37" t="s">
        <v>197</v>
      </c>
      <c r="BP1242" s="37" t="s">
        <v>197</v>
      </c>
      <c r="BQ1242" s="37" t="s">
        <v>197</v>
      </c>
      <c r="BR1242" s="37" t="s">
        <v>197</v>
      </c>
      <c r="BS1242" s="37" t="s">
        <v>197</v>
      </c>
      <c r="BT1242" s="37" t="s">
        <v>197</v>
      </c>
    </row>
    <row r="1243" spans="5:72" x14ac:dyDescent="0.25">
      <c r="E1243" s="36" t="s">
        <v>20</v>
      </c>
      <c r="F1243" s="36">
        <f t="shared" si="400"/>
        <v>0</v>
      </c>
      <c r="G1243" s="36">
        <f t="shared" si="401"/>
        <v>0</v>
      </c>
      <c r="H1243" s="36">
        <f t="shared" si="402"/>
        <v>0</v>
      </c>
      <c r="I1243" s="36">
        <f t="shared" si="403"/>
        <v>0</v>
      </c>
      <c r="J1243" s="36">
        <f t="shared" si="404"/>
        <v>0</v>
      </c>
      <c r="K1243" s="36">
        <f t="shared" si="405"/>
        <v>0</v>
      </c>
      <c r="L1243" s="36">
        <f t="shared" si="406"/>
        <v>0</v>
      </c>
      <c r="M1243" s="36">
        <f t="shared" si="407"/>
        <v>0</v>
      </c>
      <c r="N1243" s="36">
        <f t="shared" si="408"/>
        <v>0</v>
      </c>
      <c r="O1243" s="36">
        <f t="shared" si="409"/>
        <v>0</v>
      </c>
      <c r="P1243" s="36">
        <f t="shared" si="410"/>
        <v>0</v>
      </c>
      <c r="Q1243" s="36">
        <f t="shared" si="411"/>
        <v>0</v>
      </c>
      <c r="R1243" s="36">
        <f t="shared" si="412"/>
        <v>0</v>
      </c>
      <c r="S1243" s="36">
        <f t="shared" si="413"/>
        <v>0</v>
      </c>
      <c r="T1243" s="36">
        <f t="shared" si="414"/>
        <v>0</v>
      </c>
      <c r="U1243" s="36">
        <f t="shared" si="415"/>
        <v>0</v>
      </c>
      <c r="V1243" s="36">
        <f t="shared" si="416"/>
        <v>0</v>
      </c>
      <c r="W1243" s="36">
        <f t="shared" si="417"/>
        <v>0</v>
      </c>
      <c r="X1243" s="36">
        <f t="shared" si="418"/>
        <v>0</v>
      </c>
      <c r="Y1243" s="36">
        <f t="shared" si="419"/>
        <v>0</v>
      </c>
      <c r="Z1243" s="36">
        <f t="shared" si="420"/>
        <v>0</v>
      </c>
      <c r="AB1243" s="36" t="str">
        <f>IF(最佳化斷筋點!C1243="","",最佳化斷筋點!C1243)</f>
        <v>上層</v>
      </c>
      <c r="AC1243" s="37">
        <f>IF(最佳化斷筋點!D1243="","",最佳化斷筋點!D1243)</f>
        <v>3</v>
      </c>
      <c r="AD1243" s="37">
        <f>IF(最佳化斷筋點!E1243="","",最佳化斷筋點!E1243)</f>
        <v>3</v>
      </c>
      <c r="AE1243" s="37">
        <f>IF(最佳化斷筋點!F1243="","",最佳化斷筋點!F1243)</f>
        <v>3</v>
      </c>
      <c r="AF1243" s="37">
        <f>IF(最佳化斷筋點!G1243="","",最佳化斷筋點!G1243)</f>
        <v>3</v>
      </c>
      <c r="AG1243" s="37">
        <f>IF(最佳化斷筋點!H1243="","",最佳化斷筋點!H1243)</f>
        <v>3</v>
      </c>
      <c r="AH1243" s="37">
        <f>IF(最佳化斷筋點!I1243="","",最佳化斷筋點!I1243)</f>
        <v>3</v>
      </c>
      <c r="AI1243" s="37">
        <f>IF(最佳化斷筋點!J1243="","",最佳化斷筋點!J1243)</f>
        <v>3</v>
      </c>
      <c r="AJ1243" s="37">
        <f>IF(最佳化斷筋點!K1243="","",最佳化斷筋點!K1243)</f>
        <v>2</v>
      </c>
      <c r="AK1243" s="37">
        <f>IF(最佳化斷筋點!L1243="","",最佳化斷筋點!L1243)</f>
        <v>2</v>
      </c>
      <c r="AL1243" s="37">
        <f>IF(最佳化斷筋點!M1243="","",最佳化斷筋點!M1243)</f>
        <v>2</v>
      </c>
      <c r="AM1243" s="37">
        <f>IF(最佳化斷筋點!N1243="","",最佳化斷筋點!N1243)</f>
        <v>2</v>
      </c>
      <c r="AN1243" s="37">
        <f>IF(最佳化斷筋點!O1243="","",最佳化斷筋點!O1243)</f>
        <v>2</v>
      </c>
      <c r="AO1243" s="37">
        <f>IF(最佳化斷筋點!P1243="","",最佳化斷筋點!P1243)</f>
        <v>2</v>
      </c>
      <c r="AP1243" s="37">
        <f>IF(最佳化斷筋點!Q1243="","",最佳化斷筋點!Q1243)</f>
        <v>2</v>
      </c>
      <c r="AQ1243" s="37">
        <f>IF(最佳化斷筋點!R1243="","",最佳化斷筋點!R1243)</f>
        <v>2</v>
      </c>
      <c r="AR1243" s="37">
        <f>IF(最佳化斷筋點!S1243="","",最佳化斷筋點!S1243)</f>
        <v>3</v>
      </c>
      <c r="AS1243" s="37">
        <f>IF(最佳化斷筋點!T1243="","",最佳化斷筋點!T1243)</f>
        <v>3</v>
      </c>
      <c r="AT1243" s="37">
        <f>IF(最佳化斷筋點!U1243="","",最佳化斷筋點!U1243)</f>
        <v>3</v>
      </c>
      <c r="AU1243" s="37">
        <f>IF(最佳化斷筋點!V1243="","",最佳化斷筋點!V1243)</f>
        <v>3</v>
      </c>
      <c r="AV1243" s="37">
        <f>IF(最佳化斷筋點!W1243="","",最佳化斷筋點!W1243)</f>
        <v>3</v>
      </c>
      <c r="AW1243" s="37">
        <f>IF(最佳化斷筋點!X1243="","",最佳化斷筋點!X1243)</f>
        <v>3</v>
      </c>
      <c r="AZ1243" s="37">
        <v>3</v>
      </c>
      <c r="BA1243" s="37">
        <v>3</v>
      </c>
      <c r="BB1243" s="37">
        <v>3</v>
      </c>
      <c r="BC1243" s="37">
        <v>3</v>
      </c>
      <c r="BD1243" s="37">
        <v>3</v>
      </c>
      <c r="BE1243" s="37">
        <v>3</v>
      </c>
      <c r="BF1243" s="37">
        <v>3</v>
      </c>
      <c r="BG1243" s="37">
        <v>2</v>
      </c>
      <c r="BH1243" s="37">
        <v>2</v>
      </c>
      <c r="BI1243" s="37">
        <v>2</v>
      </c>
      <c r="BJ1243" s="37">
        <v>2</v>
      </c>
      <c r="BK1243" s="37">
        <v>2</v>
      </c>
      <c r="BL1243" s="37">
        <v>2</v>
      </c>
      <c r="BM1243" s="37">
        <v>2</v>
      </c>
      <c r="BN1243" s="37">
        <v>2</v>
      </c>
      <c r="BO1243" s="37">
        <v>3</v>
      </c>
      <c r="BP1243" s="37">
        <v>3</v>
      </c>
      <c r="BQ1243" s="37">
        <v>3</v>
      </c>
      <c r="BR1243" s="37">
        <v>3</v>
      </c>
      <c r="BS1243" s="37">
        <v>3</v>
      </c>
      <c r="BT1243" s="37">
        <v>3</v>
      </c>
    </row>
    <row r="1244" spans="5:72" x14ac:dyDescent="0.25">
      <c r="E1244" s="36"/>
      <c r="F1244" s="36">
        <f t="shared" si="400"/>
        <v>0</v>
      </c>
      <c r="G1244" s="36">
        <f t="shared" si="401"/>
        <v>0</v>
      </c>
      <c r="H1244" s="36">
        <f t="shared" si="402"/>
        <v>0</v>
      </c>
      <c r="I1244" s="36">
        <f t="shared" si="403"/>
        <v>0</v>
      </c>
      <c r="J1244" s="36">
        <f t="shared" si="404"/>
        <v>0</v>
      </c>
      <c r="K1244" s="36">
        <f t="shared" si="405"/>
        <v>0</v>
      </c>
      <c r="L1244" s="36">
        <f t="shared" si="406"/>
        <v>0</v>
      </c>
      <c r="M1244" s="36">
        <f t="shared" si="407"/>
        <v>0</v>
      </c>
      <c r="N1244" s="36">
        <f t="shared" si="408"/>
        <v>0</v>
      </c>
      <c r="O1244" s="36">
        <f t="shared" si="409"/>
        <v>0</v>
      </c>
      <c r="P1244" s="36">
        <f t="shared" si="410"/>
        <v>0</v>
      </c>
      <c r="Q1244" s="36">
        <f t="shared" si="411"/>
        <v>0</v>
      </c>
      <c r="R1244" s="36">
        <f t="shared" si="412"/>
        <v>0</v>
      </c>
      <c r="S1244" s="36">
        <f t="shared" si="413"/>
        <v>0</v>
      </c>
      <c r="T1244" s="36">
        <f t="shared" si="414"/>
        <v>0</v>
      </c>
      <c r="U1244" s="36">
        <f t="shared" si="415"/>
        <v>0</v>
      </c>
      <c r="V1244" s="36">
        <f t="shared" si="416"/>
        <v>0</v>
      </c>
      <c r="W1244" s="36">
        <f t="shared" si="417"/>
        <v>0</v>
      </c>
      <c r="X1244" s="36">
        <f t="shared" si="418"/>
        <v>0</v>
      </c>
      <c r="Y1244" s="36">
        <f t="shared" si="419"/>
        <v>0</v>
      </c>
      <c r="Z1244" s="36">
        <f t="shared" si="420"/>
        <v>0</v>
      </c>
      <c r="AB1244" s="36" t="str">
        <f>IF(最佳化斷筋點!C1244="","",最佳化斷筋點!C1244)</f>
        <v/>
      </c>
      <c r="AC1244" s="37" t="str">
        <f>IF(最佳化斷筋點!D1244="","",最佳化斷筋點!D1244)</f>
        <v/>
      </c>
      <c r="AD1244" s="37" t="str">
        <f>IF(最佳化斷筋點!E1244="","",最佳化斷筋點!E1244)</f>
        <v/>
      </c>
      <c r="AE1244" s="37" t="str">
        <f>IF(最佳化斷筋點!F1244="","",最佳化斷筋點!F1244)</f>
        <v/>
      </c>
      <c r="AF1244" s="37" t="str">
        <f>IF(最佳化斷筋點!G1244="","",最佳化斷筋點!G1244)</f>
        <v/>
      </c>
      <c r="AG1244" s="37" t="str">
        <f>IF(最佳化斷筋點!H1244="","",最佳化斷筋點!H1244)</f>
        <v/>
      </c>
      <c r="AH1244" s="37" t="str">
        <f>IF(最佳化斷筋點!I1244="","",最佳化斷筋點!I1244)</f>
        <v/>
      </c>
      <c r="AI1244" s="37" t="str">
        <f>IF(最佳化斷筋點!J1244="","",最佳化斷筋點!J1244)</f>
        <v/>
      </c>
      <c r="AJ1244" s="37" t="str">
        <f>IF(最佳化斷筋點!K1244="","",最佳化斷筋點!K1244)</f>
        <v/>
      </c>
      <c r="AK1244" s="37" t="str">
        <f>IF(最佳化斷筋點!L1244="","",最佳化斷筋點!L1244)</f>
        <v/>
      </c>
      <c r="AL1244" s="37" t="str">
        <f>IF(最佳化斷筋點!M1244="","",最佳化斷筋點!M1244)</f>
        <v/>
      </c>
      <c r="AM1244" s="37" t="str">
        <f>IF(最佳化斷筋點!N1244="","",最佳化斷筋點!N1244)</f>
        <v/>
      </c>
      <c r="AN1244" s="37" t="str">
        <f>IF(最佳化斷筋點!O1244="","",最佳化斷筋點!O1244)</f>
        <v/>
      </c>
      <c r="AO1244" s="37" t="str">
        <f>IF(最佳化斷筋點!P1244="","",最佳化斷筋點!P1244)</f>
        <v/>
      </c>
      <c r="AP1244" s="37" t="str">
        <f>IF(最佳化斷筋點!Q1244="","",最佳化斷筋點!Q1244)</f>
        <v/>
      </c>
      <c r="AQ1244" s="37" t="str">
        <f>IF(最佳化斷筋點!R1244="","",最佳化斷筋點!R1244)</f>
        <v/>
      </c>
      <c r="AR1244" s="37" t="str">
        <f>IF(最佳化斷筋點!S1244="","",最佳化斷筋點!S1244)</f>
        <v/>
      </c>
      <c r="AS1244" s="37" t="str">
        <f>IF(最佳化斷筋點!T1244="","",最佳化斷筋點!T1244)</f>
        <v/>
      </c>
      <c r="AT1244" s="37" t="str">
        <f>IF(最佳化斷筋點!U1244="","",最佳化斷筋點!U1244)</f>
        <v/>
      </c>
      <c r="AU1244" s="37" t="str">
        <f>IF(最佳化斷筋點!V1244="","",最佳化斷筋點!V1244)</f>
        <v/>
      </c>
      <c r="AV1244" s="37" t="str">
        <f>IF(最佳化斷筋點!W1244="","",最佳化斷筋點!W1244)</f>
        <v/>
      </c>
      <c r="AW1244" s="37" t="str">
        <f>IF(最佳化斷筋點!X1244="","",最佳化斷筋點!X1244)</f>
        <v/>
      </c>
      <c r="AZ1244" s="37" t="s">
        <v>197</v>
      </c>
      <c r="BA1244" s="37" t="s">
        <v>197</v>
      </c>
      <c r="BB1244" s="37" t="s">
        <v>197</v>
      </c>
      <c r="BC1244" s="37" t="s">
        <v>197</v>
      </c>
      <c r="BD1244" s="37" t="s">
        <v>197</v>
      </c>
      <c r="BE1244" s="37" t="s">
        <v>197</v>
      </c>
      <c r="BF1244" s="37" t="s">
        <v>197</v>
      </c>
      <c r="BG1244" s="37" t="s">
        <v>197</v>
      </c>
      <c r="BH1244" s="37" t="s">
        <v>197</v>
      </c>
      <c r="BI1244" s="37" t="s">
        <v>197</v>
      </c>
      <c r="BJ1244" s="37" t="s">
        <v>197</v>
      </c>
      <c r="BK1244" s="37" t="s">
        <v>197</v>
      </c>
      <c r="BL1244" s="37" t="s">
        <v>197</v>
      </c>
      <c r="BM1244" s="37" t="s">
        <v>197</v>
      </c>
      <c r="BN1244" s="37" t="s">
        <v>197</v>
      </c>
      <c r="BO1244" s="37" t="s">
        <v>197</v>
      </c>
      <c r="BP1244" s="37" t="s">
        <v>197</v>
      </c>
      <c r="BQ1244" s="37" t="s">
        <v>197</v>
      </c>
      <c r="BR1244" s="37" t="s">
        <v>197</v>
      </c>
      <c r="BS1244" s="37" t="s">
        <v>197</v>
      </c>
      <c r="BT1244" s="37" t="s">
        <v>197</v>
      </c>
    </row>
    <row r="1245" spans="5:72" x14ac:dyDescent="0.25">
      <c r="E1245" s="36" t="s">
        <v>21</v>
      </c>
      <c r="F1245" s="36">
        <f t="shared" si="400"/>
        <v>0</v>
      </c>
      <c r="G1245" s="36">
        <f t="shared" si="401"/>
        <v>0</v>
      </c>
      <c r="H1245" s="36">
        <f t="shared" si="402"/>
        <v>0</v>
      </c>
      <c r="I1245" s="36">
        <f t="shared" si="403"/>
        <v>0</v>
      </c>
      <c r="J1245" s="36">
        <f t="shared" si="404"/>
        <v>0</v>
      </c>
      <c r="K1245" s="36">
        <f t="shared" si="405"/>
        <v>0</v>
      </c>
      <c r="L1245" s="36">
        <f t="shared" si="406"/>
        <v>0</v>
      </c>
      <c r="M1245" s="36">
        <f t="shared" si="407"/>
        <v>0</v>
      </c>
      <c r="N1245" s="36">
        <f t="shared" si="408"/>
        <v>0</v>
      </c>
      <c r="O1245" s="36">
        <f t="shared" si="409"/>
        <v>0</v>
      </c>
      <c r="P1245" s="36">
        <f t="shared" si="410"/>
        <v>0</v>
      </c>
      <c r="Q1245" s="36">
        <f t="shared" si="411"/>
        <v>0</v>
      </c>
      <c r="R1245" s="36">
        <f t="shared" si="412"/>
        <v>0</v>
      </c>
      <c r="S1245" s="36">
        <f t="shared" si="413"/>
        <v>0</v>
      </c>
      <c r="T1245" s="36">
        <f t="shared" si="414"/>
        <v>0</v>
      </c>
      <c r="U1245" s="36">
        <f t="shared" si="415"/>
        <v>0</v>
      </c>
      <c r="V1245" s="36">
        <f t="shared" si="416"/>
        <v>0</v>
      </c>
      <c r="W1245" s="36">
        <f t="shared" si="417"/>
        <v>0</v>
      </c>
      <c r="X1245" s="36">
        <f t="shared" si="418"/>
        <v>0</v>
      </c>
      <c r="Y1245" s="36">
        <f t="shared" si="419"/>
        <v>0</v>
      </c>
      <c r="Z1245" s="36">
        <f t="shared" si="420"/>
        <v>0</v>
      </c>
      <c r="AB1245" s="36" t="str">
        <f>IF(最佳化斷筋點!C1245="","",最佳化斷筋點!C1245)</f>
        <v>下層</v>
      </c>
      <c r="AC1245" s="37">
        <f>IF(最佳化斷筋點!D1245="","",最佳化斷筋點!D1245)</f>
        <v>2</v>
      </c>
      <c r="AD1245" s="37">
        <f>IF(最佳化斷筋點!E1245="","",最佳化斷筋點!E1245)</f>
        <v>2</v>
      </c>
      <c r="AE1245" s="37">
        <f>IF(最佳化斷筋點!F1245="","",最佳化斷筋點!F1245)</f>
        <v>2</v>
      </c>
      <c r="AF1245" s="37">
        <f>IF(最佳化斷筋點!G1245="","",最佳化斷筋點!G1245)</f>
        <v>2</v>
      </c>
      <c r="AG1245" s="37">
        <f>IF(最佳化斷筋點!H1245="","",最佳化斷筋點!H1245)</f>
        <v>3</v>
      </c>
      <c r="AH1245" s="37">
        <f>IF(最佳化斷筋點!I1245="","",最佳化斷筋點!I1245)</f>
        <v>3</v>
      </c>
      <c r="AI1245" s="37">
        <f>IF(最佳化斷筋點!J1245="","",最佳化斷筋點!J1245)</f>
        <v>3</v>
      </c>
      <c r="AJ1245" s="37">
        <f>IF(最佳化斷筋點!K1245="","",最佳化斷筋點!K1245)</f>
        <v>3</v>
      </c>
      <c r="AK1245" s="37">
        <f>IF(最佳化斷筋點!L1245="","",最佳化斷筋點!L1245)</f>
        <v>3</v>
      </c>
      <c r="AL1245" s="37">
        <f>IF(最佳化斷筋點!M1245="","",最佳化斷筋點!M1245)</f>
        <v>3</v>
      </c>
      <c r="AM1245" s="37">
        <f>IF(最佳化斷筋點!N1245="","",最佳化斷筋點!N1245)</f>
        <v>3</v>
      </c>
      <c r="AN1245" s="37">
        <f>IF(最佳化斷筋點!O1245="","",最佳化斷筋點!O1245)</f>
        <v>3</v>
      </c>
      <c r="AO1245" s="37">
        <f>IF(最佳化斷筋點!P1245="","",最佳化斷筋點!P1245)</f>
        <v>3</v>
      </c>
      <c r="AP1245" s="37">
        <f>IF(最佳化斷筋點!Q1245="","",最佳化斷筋點!Q1245)</f>
        <v>3</v>
      </c>
      <c r="AQ1245" s="37">
        <f>IF(最佳化斷筋點!R1245="","",最佳化斷筋點!R1245)</f>
        <v>3</v>
      </c>
      <c r="AR1245" s="37">
        <f>IF(最佳化斷筋點!S1245="","",最佳化斷筋點!S1245)</f>
        <v>3</v>
      </c>
      <c r="AS1245" s="37">
        <f>IF(最佳化斷筋點!T1245="","",最佳化斷筋點!T1245)</f>
        <v>3</v>
      </c>
      <c r="AT1245" s="37">
        <f>IF(最佳化斷筋點!U1245="","",最佳化斷筋點!U1245)</f>
        <v>2</v>
      </c>
      <c r="AU1245" s="37">
        <f>IF(最佳化斷筋點!V1245="","",最佳化斷筋點!V1245)</f>
        <v>2</v>
      </c>
      <c r="AV1245" s="37">
        <f>IF(最佳化斷筋點!W1245="","",最佳化斷筋點!W1245)</f>
        <v>2</v>
      </c>
      <c r="AW1245" s="37">
        <f>IF(最佳化斷筋點!X1245="","",最佳化斷筋點!X1245)</f>
        <v>2</v>
      </c>
      <c r="AZ1245" s="37">
        <v>2</v>
      </c>
      <c r="BA1245" s="37">
        <v>2</v>
      </c>
      <c r="BB1245" s="37">
        <v>2</v>
      </c>
      <c r="BC1245" s="37">
        <v>2</v>
      </c>
      <c r="BD1245" s="37">
        <v>3</v>
      </c>
      <c r="BE1245" s="37">
        <v>3</v>
      </c>
      <c r="BF1245" s="37">
        <v>3</v>
      </c>
      <c r="BG1245" s="37">
        <v>3</v>
      </c>
      <c r="BH1245" s="37">
        <v>3</v>
      </c>
      <c r="BI1245" s="37">
        <v>3</v>
      </c>
      <c r="BJ1245" s="37">
        <v>3</v>
      </c>
      <c r="BK1245" s="37">
        <v>3</v>
      </c>
      <c r="BL1245" s="37">
        <v>3</v>
      </c>
      <c r="BM1245" s="37">
        <v>3</v>
      </c>
      <c r="BN1245" s="37">
        <v>3</v>
      </c>
      <c r="BO1245" s="37">
        <v>3</v>
      </c>
      <c r="BP1245" s="37">
        <v>3</v>
      </c>
      <c r="BQ1245" s="37">
        <v>2</v>
      </c>
      <c r="BR1245" s="37">
        <v>2</v>
      </c>
      <c r="BS1245" s="37">
        <v>2</v>
      </c>
      <c r="BT1245" s="37">
        <v>2</v>
      </c>
    </row>
    <row r="1246" spans="5:72" x14ac:dyDescent="0.25">
      <c r="E1246" s="36"/>
      <c r="F1246" s="36">
        <f t="shared" si="400"/>
        <v>0</v>
      </c>
      <c r="G1246" s="36">
        <f t="shared" si="401"/>
        <v>0</v>
      </c>
      <c r="H1246" s="36">
        <f t="shared" si="402"/>
        <v>0</v>
      </c>
      <c r="I1246" s="36">
        <f t="shared" si="403"/>
        <v>0</v>
      </c>
      <c r="J1246" s="36">
        <f t="shared" si="404"/>
        <v>0</v>
      </c>
      <c r="K1246" s="36">
        <f t="shared" si="405"/>
        <v>0</v>
      </c>
      <c r="L1246" s="36">
        <f t="shared" si="406"/>
        <v>0</v>
      </c>
      <c r="M1246" s="36">
        <f t="shared" si="407"/>
        <v>0</v>
      </c>
      <c r="N1246" s="36">
        <f t="shared" si="408"/>
        <v>0</v>
      </c>
      <c r="O1246" s="36">
        <f t="shared" si="409"/>
        <v>0</v>
      </c>
      <c r="P1246" s="36">
        <f t="shared" si="410"/>
        <v>0</v>
      </c>
      <c r="Q1246" s="36">
        <f t="shared" si="411"/>
        <v>0</v>
      </c>
      <c r="R1246" s="36">
        <f t="shared" si="412"/>
        <v>0</v>
      </c>
      <c r="S1246" s="36">
        <f t="shared" si="413"/>
        <v>0</v>
      </c>
      <c r="T1246" s="36">
        <f t="shared" si="414"/>
        <v>0</v>
      </c>
      <c r="U1246" s="36">
        <f t="shared" si="415"/>
        <v>0</v>
      </c>
      <c r="V1246" s="36">
        <f t="shared" si="416"/>
        <v>0</v>
      </c>
      <c r="W1246" s="36">
        <f t="shared" si="417"/>
        <v>0</v>
      </c>
      <c r="X1246" s="36">
        <f t="shared" si="418"/>
        <v>0</v>
      </c>
      <c r="Y1246" s="36">
        <f t="shared" si="419"/>
        <v>0</v>
      </c>
      <c r="Z1246" s="36">
        <f t="shared" si="420"/>
        <v>0</v>
      </c>
      <c r="AB1246" s="36" t="str">
        <f>IF(最佳化斷筋點!C1246="","",最佳化斷筋點!C1246)</f>
        <v/>
      </c>
      <c r="AC1246" s="37" t="str">
        <f>IF(最佳化斷筋點!D1246="","",最佳化斷筋點!D1246)</f>
        <v/>
      </c>
      <c r="AD1246" s="37" t="str">
        <f>IF(最佳化斷筋點!E1246="","",最佳化斷筋點!E1246)</f>
        <v/>
      </c>
      <c r="AE1246" s="37" t="str">
        <f>IF(最佳化斷筋點!F1246="","",最佳化斷筋點!F1246)</f>
        <v/>
      </c>
      <c r="AF1246" s="37" t="str">
        <f>IF(最佳化斷筋點!G1246="","",最佳化斷筋點!G1246)</f>
        <v/>
      </c>
      <c r="AG1246" s="37" t="str">
        <f>IF(最佳化斷筋點!H1246="","",最佳化斷筋點!H1246)</f>
        <v/>
      </c>
      <c r="AH1246" s="37" t="str">
        <f>IF(最佳化斷筋點!I1246="","",最佳化斷筋點!I1246)</f>
        <v/>
      </c>
      <c r="AI1246" s="37" t="str">
        <f>IF(最佳化斷筋點!J1246="","",最佳化斷筋點!J1246)</f>
        <v/>
      </c>
      <c r="AJ1246" s="37" t="str">
        <f>IF(最佳化斷筋點!K1246="","",最佳化斷筋點!K1246)</f>
        <v/>
      </c>
      <c r="AK1246" s="37" t="str">
        <f>IF(最佳化斷筋點!L1246="","",最佳化斷筋點!L1246)</f>
        <v/>
      </c>
      <c r="AL1246" s="37" t="str">
        <f>IF(最佳化斷筋點!M1246="","",最佳化斷筋點!M1246)</f>
        <v/>
      </c>
      <c r="AM1246" s="37" t="str">
        <f>IF(最佳化斷筋點!N1246="","",最佳化斷筋點!N1246)</f>
        <v/>
      </c>
      <c r="AN1246" s="37" t="str">
        <f>IF(最佳化斷筋點!O1246="","",最佳化斷筋點!O1246)</f>
        <v/>
      </c>
      <c r="AO1246" s="37" t="str">
        <f>IF(最佳化斷筋點!P1246="","",最佳化斷筋點!P1246)</f>
        <v/>
      </c>
      <c r="AP1246" s="37" t="str">
        <f>IF(最佳化斷筋點!Q1246="","",最佳化斷筋點!Q1246)</f>
        <v/>
      </c>
      <c r="AQ1246" s="37" t="str">
        <f>IF(最佳化斷筋點!R1246="","",最佳化斷筋點!R1246)</f>
        <v/>
      </c>
      <c r="AR1246" s="37" t="str">
        <f>IF(最佳化斷筋點!S1246="","",最佳化斷筋點!S1246)</f>
        <v/>
      </c>
      <c r="AS1246" s="37" t="str">
        <f>IF(最佳化斷筋點!T1246="","",最佳化斷筋點!T1246)</f>
        <v/>
      </c>
      <c r="AT1246" s="37" t="str">
        <f>IF(最佳化斷筋點!U1246="","",最佳化斷筋點!U1246)</f>
        <v/>
      </c>
      <c r="AU1246" s="37" t="str">
        <f>IF(最佳化斷筋點!V1246="","",最佳化斷筋點!V1246)</f>
        <v/>
      </c>
      <c r="AV1246" s="37" t="str">
        <f>IF(最佳化斷筋點!W1246="","",最佳化斷筋點!W1246)</f>
        <v/>
      </c>
      <c r="AW1246" s="37" t="str">
        <f>IF(最佳化斷筋點!X1246="","",最佳化斷筋點!X1246)</f>
        <v/>
      </c>
      <c r="AZ1246" s="37" t="s">
        <v>197</v>
      </c>
      <c r="BA1246" s="37" t="s">
        <v>197</v>
      </c>
      <c r="BB1246" s="37" t="s">
        <v>197</v>
      </c>
      <c r="BC1246" s="37" t="s">
        <v>197</v>
      </c>
      <c r="BD1246" s="37" t="s">
        <v>197</v>
      </c>
      <c r="BE1246" s="37" t="s">
        <v>197</v>
      </c>
      <c r="BF1246" s="37" t="s">
        <v>197</v>
      </c>
      <c r="BG1246" s="37" t="s">
        <v>197</v>
      </c>
      <c r="BH1246" s="37" t="s">
        <v>197</v>
      </c>
      <c r="BI1246" s="37" t="s">
        <v>197</v>
      </c>
      <c r="BJ1246" s="37" t="s">
        <v>197</v>
      </c>
      <c r="BK1246" s="37" t="s">
        <v>197</v>
      </c>
      <c r="BL1246" s="37" t="s">
        <v>197</v>
      </c>
      <c r="BM1246" s="37" t="s">
        <v>197</v>
      </c>
      <c r="BN1246" s="37" t="s">
        <v>197</v>
      </c>
      <c r="BO1246" s="37" t="s">
        <v>197</v>
      </c>
      <c r="BP1246" s="37" t="s">
        <v>197</v>
      </c>
      <c r="BQ1246" s="37" t="s">
        <v>197</v>
      </c>
      <c r="BR1246" s="37" t="s">
        <v>197</v>
      </c>
      <c r="BS1246" s="37" t="s">
        <v>197</v>
      </c>
      <c r="BT1246" s="37" t="s">
        <v>197</v>
      </c>
    </row>
    <row r="1247" spans="5:72" x14ac:dyDescent="0.25">
      <c r="E1247" s="36" t="s">
        <v>20</v>
      </c>
      <c r="F1247" s="36">
        <f t="shared" si="400"/>
        <v>0</v>
      </c>
      <c r="G1247" s="36">
        <f t="shared" si="401"/>
        <v>0</v>
      </c>
      <c r="H1247" s="36">
        <f t="shared" si="402"/>
        <v>0</v>
      </c>
      <c r="I1247" s="36">
        <f t="shared" si="403"/>
        <v>0</v>
      </c>
      <c r="J1247" s="36">
        <f t="shared" si="404"/>
        <v>0</v>
      </c>
      <c r="K1247" s="36">
        <f t="shared" si="405"/>
        <v>0</v>
      </c>
      <c r="L1247" s="36">
        <f t="shared" si="406"/>
        <v>0</v>
      </c>
      <c r="M1247" s="36">
        <f t="shared" si="407"/>
        <v>0</v>
      </c>
      <c r="N1247" s="36">
        <f t="shared" si="408"/>
        <v>0</v>
      </c>
      <c r="O1247" s="36">
        <f t="shared" si="409"/>
        <v>0</v>
      </c>
      <c r="P1247" s="36">
        <f t="shared" si="410"/>
        <v>0</v>
      </c>
      <c r="Q1247" s="36">
        <f t="shared" si="411"/>
        <v>0</v>
      </c>
      <c r="R1247" s="36">
        <f t="shared" si="412"/>
        <v>0</v>
      </c>
      <c r="S1247" s="36">
        <f t="shared" si="413"/>
        <v>0</v>
      </c>
      <c r="T1247" s="36">
        <f t="shared" si="414"/>
        <v>0</v>
      </c>
      <c r="U1247" s="36">
        <f t="shared" si="415"/>
        <v>0</v>
      </c>
      <c r="V1247" s="36">
        <f t="shared" si="416"/>
        <v>0</v>
      </c>
      <c r="W1247" s="36">
        <f t="shared" si="417"/>
        <v>0</v>
      </c>
      <c r="X1247" s="36">
        <f t="shared" si="418"/>
        <v>0</v>
      </c>
      <c r="Y1247" s="36">
        <f t="shared" si="419"/>
        <v>0</v>
      </c>
      <c r="Z1247" s="36">
        <f t="shared" si="420"/>
        <v>0</v>
      </c>
      <c r="AB1247" s="36" t="str">
        <f>IF(最佳化斷筋點!C1247="","",最佳化斷筋點!C1247)</f>
        <v>上層</v>
      </c>
      <c r="AC1247" s="37">
        <f>IF(最佳化斷筋點!D1247="","",最佳化斷筋點!D1247)</f>
        <v>3</v>
      </c>
      <c r="AD1247" s="37">
        <f>IF(最佳化斷筋點!E1247="","",最佳化斷筋點!E1247)</f>
        <v>3</v>
      </c>
      <c r="AE1247" s="37">
        <f>IF(最佳化斷筋點!F1247="","",最佳化斷筋點!F1247)</f>
        <v>3</v>
      </c>
      <c r="AF1247" s="37">
        <f>IF(最佳化斷筋點!G1247="","",最佳化斷筋點!G1247)</f>
        <v>3</v>
      </c>
      <c r="AG1247" s="37">
        <f>IF(最佳化斷筋點!H1247="","",最佳化斷筋點!H1247)</f>
        <v>3</v>
      </c>
      <c r="AH1247" s="37">
        <f>IF(最佳化斷筋點!I1247="","",最佳化斷筋點!I1247)</f>
        <v>3</v>
      </c>
      <c r="AI1247" s="37">
        <f>IF(最佳化斷筋點!J1247="","",最佳化斷筋點!J1247)</f>
        <v>3</v>
      </c>
      <c r="AJ1247" s="37">
        <f>IF(最佳化斷筋點!K1247="","",最佳化斷筋點!K1247)</f>
        <v>2</v>
      </c>
      <c r="AK1247" s="37">
        <f>IF(最佳化斷筋點!L1247="","",最佳化斷筋點!L1247)</f>
        <v>2</v>
      </c>
      <c r="AL1247" s="37">
        <f>IF(最佳化斷筋點!M1247="","",最佳化斷筋點!M1247)</f>
        <v>2</v>
      </c>
      <c r="AM1247" s="37">
        <f>IF(最佳化斷筋點!N1247="","",最佳化斷筋點!N1247)</f>
        <v>2</v>
      </c>
      <c r="AN1247" s="37">
        <f>IF(最佳化斷筋點!O1247="","",最佳化斷筋點!O1247)</f>
        <v>2</v>
      </c>
      <c r="AO1247" s="37">
        <f>IF(最佳化斷筋點!P1247="","",最佳化斷筋點!P1247)</f>
        <v>2</v>
      </c>
      <c r="AP1247" s="37">
        <f>IF(最佳化斷筋點!Q1247="","",最佳化斷筋點!Q1247)</f>
        <v>2</v>
      </c>
      <c r="AQ1247" s="37">
        <f>IF(最佳化斷筋點!R1247="","",最佳化斷筋點!R1247)</f>
        <v>3</v>
      </c>
      <c r="AR1247" s="37">
        <f>IF(最佳化斷筋點!S1247="","",最佳化斷筋點!S1247)</f>
        <v>3</v>
      </c>
      <c r="AS1247" s="37">
        <f>IF(最佳化斷筋點!T1247="","",最佳化斷筋點!T1247)</f>
        <v>3</v>
      </c>
      <c r="AT1247" s="37">
        <f>IF(最佳化斷筋點!U1247="","",最佳化斷筋點!U1247)</f>
        <v>3</v>
      </c>
      <c r="AU1247" s="37">
        <f>IF(最佳化斷筋點!V1247="","",最佳化斷筋點!V1247)</f>
        <v>3</v>
      </c>
      <c r="AV1247" s="37">
        <f>IF(最佳化斷筋點!W1247="","",最佳化斷筋點!W1247)</f>
        <v>3</v>
      </c>
      <c r="AW1247" s="37">
        <f>IF(最佳化斷筋點!X1247="","",最佳化斷筋點!X1247)</f>
        <v>3</v>
      </c>
      <c r="AZ1247" s="37">
        <v>3</v>
      </c>
      <c r="BA1247" s="37">
        <v>3</v>
      </c>
      <c r="BB1247" s="37">
        <v>3</v>
      </c>
      <c r="BC1247" s="37">
        <v>3</v>
      </c>
      <c r="BD1247" s="37">
        <v>3</v>
      </c>
      <c r="BE1247" s="37">
        <v>3</v>
      </c>
      <c r="BF1247" s="37">
        <v>3</v>
      </c>
      <c r="BG1247" s="37">
        <v>2</v>
      </c>
      <c r="BH1247" s="37">
        <v>2</v>
      </c>
      <c r="BI1247" s="37">
        <v>2</v>
      </c>
      <c r="BJ1247" s="37">
        <v>2</v>
      </c>
      <c r="BK1247" s="37">
        <v>2</v>
      </c>
      <c r="BL1247" s="37">
        <v>2</v>
      </c>
      <c r="BM1247" s="37">
        <v>2</v>
      </c>
      <c r="BN1247" s="37">
        <v>3</v>
      </c>
      <c r="BO1247" s="37">
        <v>3</v>
      </c>
      <c r="BP1247" s="37">
        <v>3</v>
      </c>
      <c r="BQ1247" s="37">
        <v>3</v>
      </c>
      <c r="BR1247" s="37">
        <v>3</v>
      </c>
      <c r="BS1247" s="37">
        <v>3</v>
      </c>
      <c r="BT1247" s="37">
        <v>3</v>
      </c>
    </row>
    <row r="1248" spans="5:72" x14ac:dyDescent="0.25">
      <c r="E1248" s="36"/>
      <c r="F1248" s="36">
        <f t="shared" si="400"/>
        <v>0</v>
      </c>
      <c r="G1248" s="36">
        <f t="shared" si="401"/>
        <v>0</v>
      </c>
      <c r="H1248" s="36">
        <f t="shared" si="402"/>
        <v>0</v>
      </c>
      <c r="I1248" s="36">
        <f t="shared" si="403"/>
        <v>0</v>
      </c>
      <c r="J1248" s="36">
        <f t="shared" si="404"/>
        <v>0</v>
      </c>
      <c r="K1248" s="36">
        <f t="shared" si="405"/>
        <v>0</v>
      </c>
      <c r="L1248" s="36">
        <f t="shared" si="406"/>
        <v>0</v>
      </c>
      <c r="M1248" s="36">
        <f t="shared" si="407"/>
        <v>0</v>
      </c>
      <c r="N1248" s="36">
        <f t="shared" si="408"/>
        <v>0</v>
      </c>
      <c r="O1248" s="36">
        <f t="shared" si="409"/>
        <v>0</v>
      </c>
      <c r="P1248" s="36">
        <f t="shared" si="410"/>
        <v>0</v>
      </c>
      <c r="Q1248" s="36">
        <f t="shared" si="411"/>
        <v>0</v>
      </c>
      <c r="R1248" s="36">
        <f t="shared" si="412"/>
        <v>0</v>
      </c>
      <c r="S1248" s="36">
        <f t="shared" si="413"/>
        <v>0</v>
      </c>
      <c r="T1248" s="36">
        <f t="shared" si="414"/>
        <v>0</v>
      </c>
      <c r="U1248" s="36">
        <f t="shared" si="415"/>
        <v>0</v>
      </c>
      <c r="V1248" s="36">
        <f t="shared" si="416"/>
        <v>0</v>
      </c>
      <c r="W1248" s="36">
        <f t="shared" si="417"/>
        <v>0</v>
      </c>
      <c r="X1248" s="36">
        <f t="shared" si="418"/>
        <v>0</v>
      </c>
      <c r="Y1248" s="36">
        <f t="shared" si="419"/>
        <v>0</v>
      </c>
      <c r="Z1248" s="36">
        <f t="shared" si="420"/>
        <v>0</v>
      </c>
      <c r="AB1248" s="36" t="str">
        <f>IF(最佳化斷筋點!C1248="","",最佳化斷筋點!C1248)</f>
        <v/>
      </c>
      <c r="AC1248" s="37" t="str">
        <f>IF(最佳化斷筋點!D1248="","",最佳化斷筋點!D1248)</f>
        <v/>
      </c>
      <c r="AD1248" s="37" t="str">
        <f>IF(最佳化斷筋點!E1248="","",最佳化斷筋點!E1248)</f>
        <v/>
      </c>
      <c r="AE1248" s="37" t="str">
        <f>IF(最佳化斷筋點!F1248="","",最佳化斷筋點!F1248)</f>
        <v/>
      </c>
      <c r="AF1248" s="37" t="str">
        <f>IF(最佳化斷筋點!G1248="","",最佳化斷筋點!G1248)</f>
        <v/>
      </c>
      <c r="AG1248" s="37" t="str">
        <f>IF(最佳化斷筋點!H1248="","",最佳化斷筋點!H1248)</f>
        <v/>
      </c>
      <c r="AH1248" s="37" t="str">
        <f>IF(最佳化斷筋點!I1248="","",最佳化斷筋點!I1248)</f>
        <v/>
      </c>
      <c r="AI1248" s="37" t="str">
        <f>IF(最佳化斷筋點!J1248="","",最佳化斷筋點!J1248)</f>
        <v/>
      </c>
      <c r="AJ1248" s="37" t="str">
        <f>IF(最佳化斷筋點!K1248="","",最佳化斷筋點!K1248)</f>
        <v/>
      </c>
      <c r="AK1248" s="37" t="str">
        <f>IF(最佳化斷筋點!L1248="","",最佳化斷筋點!L1248)</f>
        <v/>
      </c>
      <c r="AL1248" s="37" t="str">
        <f>IF(最佳化斷筋點!M1248="","",最佳化斷筋點!M1248)</f>
        <v/>
      </c>
      <c r="AM1248" s="37" t="str">
        <f>IF(最佳化斷筋點!N1248="","",最佳化斷筋點!N1248)</f>
        <v/>
      </c>
      <c r="AN1248" s="37" t="str">
        <f>IF(最佳化斷筋點!O1248="","",最佳化斷筋點!O1248)</f>
        <v/>
      </c>
      <c r="AO1248" s="37" t="str">
        <f>IF(最佳化斷筋點!P1248="","",最佳化斷筋點!P1248)</f>
        <v/>
      </c>
      <c r="AP1248" s="37" t="str">
        <f>IF(最佳化斷筋點!Q1248="","",最佳化斷筋點!Q1248)</f>
        <v/>
      </c>
      <c r="AQ1248" s="37" t="str">
        <f>IF(最佳化斷筋點!R1248="","",最佳化斷筋點!R1248)</f>
        <v/>
      </c>
      <c r="AR1248" s="37" t="str">
        <f>IF(最佳化斷筋點!S1248="","",最佳化斷筋點!S1248)</f>
        <v/>
      </c>
      <c r="AS1248" s="37" t="str">
        <f>IF(最佳化斷筋點!T1248="","",最佳化斷筋點!T1248)</f>
        <v/>
      </c>
      <c r="AT1248" s="37" t="str">
        <f>IF(最佳化斷筋點!U1248="","",最佳化斷筋點!U1248)</f>
        <v/>
      </c>
      <c r="AU1248" s="37" t="str">
        <f>IF(最佳化斷筋點!V1248="","",最佳化斷筋點!V1248)</f>
        <v/>
      </c>
      <c r="AV1248" s="37" t="str">
        <f>IF(最佳化斷筋點!W1248="","",最佳化斷筋點!W1248)</f>
        <v/>
      </c>
      <c r="AW1248" s="37" t="str">
        <f>IF(最佳化斷筋點!X1248="","",最佳化斷筋點!X1248)</f>
        <v/>
      </c>
      <c r="AZ1248" s="37" t="s">
        <v>197</v>
      </c>
      <c r="BA1248" s="37" t="s">
        <v>197</v>
      </c>
      <c r="BB1248" s="37" t="s">
        <v>197</v>
      </c>
      <c r="BC1248" s="37" t="s">
        <v>197</v>
      </c>
      <c r="BD1248" s="37" t="s">
        <v>197</v>
      </c>
      <c r="BE1248" s="37" t="s">
        <v>197</v>
      </c>
      <c r="BF1248" s="37" t="s">
        <v>197</v>
      </c>
      <c r="BG1248" s="37" t="s">
        <v>197</v>
      </c>
      <c r="BH1248" s="37" t="s">
        <v>197</v>
      </c>
      <c r="BI1248" s="37" t="s">
        <v>197</v>
      </c>
      <c r="BJ1248" s="37" t="s">
        <v>197</v>
      </c>
      <c r="BK1248" s="37" t="s">
        <v>197</v>
      </c>
      <c r="BL1248" s="37" t="s">
        <v>197</v>
      </c>
      <c r="BM1248" s="37" t="s">
        <v>197</v>
      </c>
      <c r="BN1248" s="37" t="s">
        <v>197</v>
      </c>
      <c r="BO1248" s="37" t="s">
        <v>197</v>
      </c>
      <c r="BP1248" s="37" t="s">
        <v>197</v>
      </c>
      <c r="BQ1248" s="37" t="s">
        <v>197</v>
      </c>
      <c r="BR1248" s="37" t="s">
        <v>197</v>
      </c>
      <c r="BS1248" s="37" t="s">
        <v>197</v>
      </c>
      <c r="BT1248" s="37" t="s">
        <v>197</v>
      </c>
    </row>
    <row r="1249" spans="5:72" x14ac:dyDescent="0.25">
      <c r="E1249" s="36" t="s">
        <v>21</v>
      </c>
      <c r="F1249" s="36">
        <f t="shared" si="400"/>
        <v>0</v>
      </c>
      <c r="G1249" s="36">
        <f t="shared" si="401"/>
        <v>0</v>
      </c>
      <c r="H1249" s="36">
        <f t="shared" si="402"/>
        <v>0</v>
      </c>
      <c r="I1249" s="36">
        <f t="shared" si="403"/>
        <v>0</v>
      </c>
      <c r="J1249" s="36">
        <f t="shared" si="404"/>
        <v>0</v>
      </c>
      <c r="K1249" s="36">
        <f t="shared" si="405"/>
        <v>0</v>
      </c>
      <c r="L1249" s="36">
        <f t="shared" si="406"/>
        <v>0</v>
      </c>
      <c r="M1249" s="36">
        <f t="shared" si="407"/>
        <v>0</v>
      </c>
      <c r="N1249" s="36">
        <f t="shared" si="408"/>
        <v>0</v>
      </c>
      <c r="O1249" s="36">
        <f t="shared" si="409"/>
        <v>0</v>
      </c>
      <c r="P1249" s="36">
        <f t="shared" si="410"/>
        <v>0</v>
      </c>
      <c r="Q1249" s="36">
        <f t="shared" si="411"/>
        <v>0</v>
      </c>
      <c r="R1249" s="36">
        <f t="shared" si="412"/>
        <v>0</v>
      </c>
      <c r="S1249" s="36">
        <f t="shared" si="413"/>
        <v>0</v>
      </c>
      <c r="T1249" s="36">
        <f t="shared" si="414"/>
        <v>0</v>
      </c>
      <c r="U1249" s="36">
        <f t="shared" si="415"/>
        <v>0</v>
      </c>
      <c r="V1249" s="36">
        <f t="shared" si="416"/>
        <v>0</v>
      </c>
      <c r="W1249" s="36">
        <f t="shared" si="417"/>
        <v>0</v>
      </c>
      <c r="X1249" s="36">
        <f t="shared" si="418"/>
        <v>0</v>
      </c>
      <c r="Y1249" s="36">
        <f t="shared" si="419"/>
        <v>0</v>
      </c>
      <c r="Z1249" s="36">
        <f t="shared" si="420"/>
        <v>0</v>
      </c>
      <c r="AB1249" s="36" t="str">
        <f>IF(最佳化斷筋點!C1249="","",最佳化斷筋點!C1249)</f>
        <v>下層</v>
      </c>
      <c r="AC1249" s="37">
        <f>IF(最佳化斷筋點!D1249="","",最佳化斷筋點!D1249)</f>
        <v>2</v>
      </c>
      <c r="AD1249" s="37">
        <f>IF(最佳化斷筋點!E1249="","",最佳化斷筋點!E1249)</f>
        <v>2</v>
      </c>
      <c r="AE1249" s="37">
        <f>IF(最佳化斷筋點!F1249="","",最佳化斷筋點!F1249)</f>
        <v>2</v>
      </c>
      <c r="AF1249" s="37">
        <f>IF(最佳化斷筋點!G1249="","",最佳化斷筋點!G1249)</f>
        <v>2</v>
      </c>
      <c r="AG1249" s="37">
        <f>IF(最佳化斷筋點!H1249="","",最佳化斷筋點!H1249)</f>
        <v>3</v>
      </c>
      <c r="AH1249" s="37">
        <f>IF(最佳化斷筋點!I1249="","",最佳化斷筋點!I1249)</f>
        <v>3</v>
      </c>
      <c r="AI1249" s="37">
        <f>IF(最佳化斷筋點!J1249="","",最佳化斷筋點!J1249)</f>
        <v>3</v>
      </c>
      <c r="AJ1249" s="37">
        <f>IF(最佳化斷筋點!K1249="","",最佳化斷筋點!K1249)</f>
        <v>3</v>
      </c>
      <c r="AK1249" s="37">
        <f>IF(最佳化斷筋點!L1249="","",最佳化斷筋點!L1249)</f>
        <v>3</v>
      </c>
      <c r="AL1249" s="37">
        <f>IF(最佳化斷筋點!M1249="","",最佳化斷筋點!M1249)</f>
        <v>3</v>
      </c>
      <c r="AM1249" s="37">
        <f>IF(最佳化斷筋點!N1249="","",最佳化斷筋點!N1249)</f>
        <v>3</v>
      </c>
      <c r="AN1249" s="37">
        <f>IF(最佳化斷筋點!O1249="","",最佳化斷筋點!O1249)</f>
        <v>3</v>
      </c>
      <c r="AO1249" s="37">
        <f>IF(最佳化斷筋點!P1249="","",最佳化斷筋點!P1249)</f>
        <v>3</v>
      </c>
      <c r="AP1249" s="37">
        <f>IF(最佳化斷筋點!Q1249="","",最佳化斷筋點!Q1249)</f>
        <v>3</v>
      </c>
      <c r="AQ1249" s="37">
        <f>IF(最佳化斷筋點!R1249="","",最佳化斷筋點!R1249)</f>
        <v>3</v>
      </c>
      <c r="AR1249" s="37">
        <f>IF(最佳化斷筋點!S1249="","",最佳化斷筋點!S1249)</f>
        <v>3</v>
      </c>
      <c r="AS1249" s="37">
        <f>IF(最佳化斷筋點!T1249="","",最佳化斷筋點!T1249)</f>
        <v>3</v>
      </c>
      <c r="AT1249" s="37">
        <f>IF(最佳化斷筋點!U1249="","",最佳化斷筋點!U1249)</f>
        <v>2</v>
      </c>
      <c r="AU1249" s="37">
        <f>IF(最佳化斷筋點!V1249="","",最佳化斷筋點!V1249)</f>
        <v>2</v>
      </c>
      <c r="AV1249" s="37">
        <f>IF(最佳化斷筋點!W1249="","",最佳化斷筋點!W1249)</f>
        <v>2</v>
      </c>
      <c r="AW1249" s="37">
        <f>IF(最佳化斷筋點!X1249="","",最佳化斷筋點!X1249)</f>
        <v>2</v>
      </c>
      <c r="AZ1249" s="37">
        <v>2</v>
      </c>
      <c r="BA1249" s="37">
        <v>2</v>
      </c>
      <c r="BB1249" s="37">
        <v>2</v>
      </c>
      <c r="BC1249" s="37">
        <v>2</v>
      </c>
      <c r="BD1249" s="37">
        <v>3</v>
      </c>
      <c r="BE1249" s="37">
        <v>3</v>
      </c>
      <c r="BF1249" s="37">
        <v>3</v>
      </c>
      <c r="BG1249" s="37">
        <v>3</v>
      </c>
      <c r="BH1249" s="37">
        <v>3</v>
      </c>
      <c r="BI1249" s="37">
        <v>3</v>
      </c>
      <c r="BJ1249" s="37">
        <v>3</v>
      </c>
      <c r="BK1249" s="37">
        <v>3</v>
      </c>
      <c r="BL1249" s="37">
        <v>3</v>
      </c>
      <c r="BM1249" s="37">
        <v>3</v>
      </c>
      <c r="BN1249" s="37">
        <v>3</v>
      </c>
      <c r="BO1249" s="37">
        <v>3</v>
      </c>
      <c r="BP1249" s="37">
        <v>3</v>
      </c>
      <c r="BQ1249" s="37">
        <v>2</v>
      </c>
      <c r="BR1249" s="37">
        <v>2</v>
      </c>
      <c r="BS1249" s="37">
        <v>2</v>
      </c>
      <c r="BT1249" s="37">
        <v>2</v>
      </c>
    </row>
    <row r="1250" spans="5:72" x14ac:dyDescent="0.25">
      <c r="E1250" s="36"/>
      <c r="F1250" s="36">
        <f t="shared" si="400"/>
        <v>0</v>
      </c>
      <c r="G1250" s="36">
        <f t="shared" si="401"/>
        <v>0</v>
      </c>
      <c r="H1250" s="36">
        <f t="shared" si="402"/>
        <v>0</v>
      </c>
      <c r="I1250" s="36">
        <f t="shared" si="403"/>
        <v>0</v>
      </c>
      <c r="J1250" s="36">
        <f t="shared" si="404"/>
        <v>0</v>
      </c>
      <c r="K1250" s="36">
        <f t="shared" si="405"/>
        <v>0</v>
      </c>
      <c r="L1250" s="36">
        <f t="shared" si="406"/>
        <v>0</v>
      </c>
      <c r="M1250" s="36">
        <f t="shared" si="407"/>
        <v>0</v>
      </c>
      <c r="N1250" s="36">
        <f t="shared" si="408"/>
        <v>0</v>
      </c>
      <c r="O1250" s="36">
        <f t="shared" si="409"/>
        <v>0</v>
      </c>
      <c r="P1250" s="36">
        <f t="shared" si="410"/>
        <v>0</v>
      </c>
      <c r="Q1250" s="36">
        <f t="shared" si="411"/>
        <v>0</v>
      </c>
      <c r="R1250" s="36">
        <f t="shared" si="412"/>
        <v>0</v>
      </c>
      <c r="S1250" s="36">
        <f t="shared" si="413"/>
        <v>0</v>
      </c>
      <c r="T1250" s="36">
        <f t="shared" si="414"/>
        <v>0</v>
      </c>
      <c r="U1250" s="36">
        <f t="shared" si="415"/>
        <v>0</v>
      </c>
      <c r="V1250" s="36">
        <f t="shared" si="416"/>
        <v>0</v>
      </c>
      <c r="W1250" s="36">
        <f t="shared" si="417"/>
        <v>0</v>
      </c>
      <c r="X1250" s="36">
        <f t="shared" si="418"/>
        <v>0</v>
      </c>
      <c r="Y1250" s="36">
        <f t="shared" si="419"/>
        <v>0</v>
      </c>
      <c r="Z1250" s="36">
        <f t="shared" si="420"/>
        <v>0</v>
      </c>
      <c r="AB1250" s="36" t="str">
        <f>IF(最佳化斷筋點!C1250="","",最佳化斷筋點!C1250)</f>
        <v/>
      </c>
      <c r="AC1250" s="37" t="str">
        <f>IF(最佳化斷筋點!D1250="","",最佳化斷筋點!D1250)</f>
        <v/>
      </c>
      <c r="AD1250" s="37" t="str">
        <f>IF(最佳化斷筋點!E1250="","",最佳化斷筋點!E1250)</f>
        <v/>
      </c>
      <c r="AE1250" s="37" t="str">
        <f>IF(最佳化斷筋點!F1250="","",最佳化斷筋點!F1250)</f>
        <v/>
      </c>
      <c r="AF1250" s="37" t="str">
        <f>IF(最佳化斷筋點!G1250="","",最佳化斷筋點!G1250)</f>
        <v/>
      </c>
      <c r="AG1250" s="37" t="str">
        <f>IF(最佳化斷筋點!H1250="","",最佳化斷筋點!H1250)</f>
        <v/>
      </c>
      <c r="AH1250" s="37" t="str">
        <f>IF(最佳化斷筋點!I1250="","",最佳化斷筋點!I1250)</f>
        <v/>
      </c>
      <c r="AI1250" s="37" t="str">
        <f>IF(最佳化斷筋點!J1250="","",最佳化斷筋點!J1250)</f>
        <v/>
      </c>
      <c r="AJ1250" s="37" t="str">
        <f>IF(最佳化斷筋點!K1250="","",最佳化斷筋點!K1250)</f>
        <v/>
      </c>
      <c r="AK1250" s="37" t="str">
        <f>IF(最佳化斷筋點!L1250="","",最佳化斷筋點!L1250)</f>
        <v/>
      </c>
      <c r="AL1250" s="37" t="str">
        <f>IF(最佳化斷筋點!M1250="","",最佳化斷筋點!M1250)</f>
        <v/>
      </c>
      <c r="AM1250" s="37" t="str">
        <f>IF(最佳化斷筋點!N1250="","",最佳化斷筋點!N1250)</f>
        <v/>
      </c>
      <c r="AN1250" s="37" t="str">
        <f>IF(最佳化斷筋點!O1250="","",最佳化斷筋點!O1250)</f>
        <v/>
      </c>
      <c r="AO1250" s="37" t="str">
        <f>IF(最佳化斷筋點!P1250="","",最佳化斷筋點!P1250)</f>
        <v/>
      </c>
      <c r="AP1250" s="37" t="str">
        <f>IF(最佳化斷筋點!Q1250="","",最佳化斷筋點!Q1250)</f>
        <v/>
      </c>
      <c r="AQ1250" s="37" t="str">
        <f>IF(最佳化斷筋點!R1250="","",最佳化斷筋點!R1250)</f>
        <v/>
      </c>
      <c r="AR1250" s="37" t="str">
        <f>IF(最佳化斷筋點!S1250="","",最佳化斷筋點!S1250)</f>
        <v/>
      </c>
      <c r="AS1250" s="37" t="str">
        <f>IF(最佳化斷筋點!T1250="","",最佳化斷筋點!T1250)</f>
        <v/>
      </c>
      <c r="AT1250" s="37" t="str">
        <f>IF(最佳化斷筋點!U1250="","",最佳化斷筋點!U1250)</f>
        <v/>
      </c>
      <c r="AU1250" s="37" t="str">
        <f>IF(最佳化斷筋點!V1250="","",最佳化斷筋點!V1250)</f>
        <v/>
      </c>
      <c r="AV1250" s="37" t="str">
        <f>IF(最佳化斷筋點!W1250="","",最佳化斷筋點!W1250)</f>
        <v/>
      </c>
      <c r="AW1250" s="37" t="str">
        <f>IF(最佳化斷筋點!X1250="","",最佳化斷筋點!X1250)</f>
        <v/>
      </c>
      <c r="AZ1250" s="37" t="s">
        <v>197</v>
      </c>
      <c r="BA1250" s="37" t="s">
        <v>197</v>
      </c>
      <c r="BB1250" s="37" t="s">
        <v>197</v>
      </c>
      <c r="BC1250" s="37" t="s">
        <v>197</v>
      </c>
      <c r="BD1250" s="37" t="s">
        <v>197</v>
      </c>
      <c r="BE1250" s="37" t="s">
        <v>197</v>
      </c>
      <c r="BF1250" s="37" t="s">
        <v>197</v>
      </c>
      <c r="BG1250" s="37" t="s">
        <v>197</v>
      </c>
      <c r="BH1250" s="37" t="s">
        <v>197</v>
      </c>
      <c r="BI1250" s="37" t="s">
        <v>197</v>
      </c>
      <c r="BJ1250" s="37" t="s">
        <v>197</v>
      </c>
      <c r="BK1250" s="37" t="s">
        <v>197</v>
      </c>
      <c r="BL1250" s="37" t="s">
        <v>197</v>
      </c>
      <c r="BM1250" s="37" t="s">
        <v>197</v>
      </c>
      <c r="BN1250" s="37" t="s">
        <v>197</v>
      </c>
      <c r="BO1250" s="37" t="s">
        <v>197</v>
      </c>
      <c r="BP1250" s="37" t="s">
        <v>197</v>
      </c>
      <c r="BQ1250" s="37" t="s">
        <v>197</v>
      </c>
      <c r="BR1250" s="37" t="s">
        <v>197</v>
      </c>
      <c r="BS1250" s="37" t="s">
        <v>197</v>
      </c>
      <c r="BT1250" s="37" t="s">
        <v>197</v>
      </c>
    </row>
    <row r="1251" spans="5:72" x14ac:dyDescent="0.25">
      <c r="E1251" s="36" t="s">
        <v>20</v>
      </c>
      <c r="F1251" s="36">
        <f t="shared" si="400"/>
        <v>0</v>
      </c>
      <c r="G1251" s="36">
        <f t="shared" si="401"/>
        <v>0</v>
      </c>
      <c r="H1251" s="36">
        <f t="shared" si="402"/>
        <v>0</v>
      </c>
      <c r="I1251" s="36">
        <f t="shared" si="403"/>
        <v>0</v>
      </c>
      <c r="J1251" s="36">
        <f t="shared" si="404"/>
        <v>0</v>
      </c>
      <c r="K1251" s="36">
        <f t="shared" si="405"/>
        <v>0</v>
      </c>
      <c r="L1251" s="36">
        <f t="shared" si="406"/>
        <v>0</v>
      </c>
      <c r="M1251" s="36">
        <f t="shared" si="407"/>
        <v>0</v>
      </c>
      <c r="N1251" s="36">
        <f t="shared" si="408"/>
        <v>0</v>
      </c>
      <c r="O1251" s="36">
        <f t="shared" si="409"/>
        <v>0</v>
      </c>
      <c r="P1251" s="36">
        <f t="shared" si="410"/>
        <v>0</v>
      </c>
      <c r="Q1251" s="36">
        <f t="shared" si="411"/>
        <v>0</v>
      </c>
      <c r="R1251" s="36">
        <f t="shared" si="412"/>
        <v>0</v>
      </c>
      <c r="S1251" s="36">
        <f t="shared" si="413"/>
        <v>0</v>
      </c>
      <c r="T1251" s="36">
        <f t="shared" si="414"/>
        <v>0</v>
      </c>
      <c r="U1251" s="36">
        <f t="shared" si="415"/>
        <v>0</v>
      </c>
      <c r="V1251" s="36">
        <f t="shared" si="416"/>
        <v>0</v>
      </c>
      <c r="W1251" s="36">
        <f t="shared" si="417"/>
        <v>0</v>
      </c>
      <c r="X1251" s="36">
        <f t="shared" si="418"/>
        <v>0</v>
      </c>
      <c r="Y1251" s="36">
        <f t="shared" si="419"/>
        <v>0</v>
      </c>
      <c r="Z1251" s="36">
        <f t="shared" si="420"/>
        <v>0</v>
      </c>
      <c r="AB1251" s="36" t="str">
        <f>IF(最佳化斷筋點!C1251="","",最佳化斷筋點!C1251)</f>
        <v>上層</v>
      </c>
      <c r="AC1251" s="37">
        <f>IF(最佳化斷筋點!D1251="","",最佳化斷筋點!D1251)</f>
        <v>4</v>
      </c>
      <c r="AD1251" s="37">
        <f>IF(最佳化斷筋點!E1251="","",最佳化斷筋點!E1251)</f>
        <v>4</v>
      </c>
      <c r="AE1251" s="37">
        <f>IF(最佳化斷筋點!F1251="","",最佳化斷筋點!F1251)</f>
        <v>4</v>
      </c>
      <c r="AF1251" s="37">
        <f>IF(最佳化斷筋點!G1251="","",最佳化斷筋點!G1251)</f>
        <v>4</v>
      </c>
      <c r="AG1251" s="37">
        <f>IF(最佳化斷筋點!H1251="","",最佳化斷筋點!H1251)</f>
        <v>4</v>
      </c>
      <c r="AH1251" s="37">
        <f>IF(最佳化斷筋點!I1251="","",最佳化斷筋點!I1251)</f>
        <v>4</v>
      </c>
      <c r="AI1251" s="37">
        <f>IF(最佳化斷筋點!J1251="","",最佳化斷筋點!J1251)</f>
        <v>4</v>
      </c>
      <c r="AJ1251" s="37">
        <f>IF(最佳化斷筋點!K1251="","",最佳化斷筋點!K1251)</f>
        <v>2</v>
      </c>
      <c r="AK1251" s="37">
        <f>IF(最佳化斷筋點!L1251="","",最佳化斷筋點!L1251)</f>
        <v>2</v>
      </c>
      <c r="AL1251" s="37">
        <f>IF(最佳化斷筋點!M1251="","",最佳化斷筋點!M1251)</f>
        <v>2</v>
      </c>
      <c r="AM1251" s="37">
        <f>IF(最佳化斷筋點!N1251="","",最佳化斷筋點!N1251)</f>
        <v>2</v>
      </c>
      <c r="AN1251" s="37">
        <f>IF(最佳化斷筋點!O1251="","",最佳化斷筋點!O1251)</f>
        <v>2</v>
      </c>
      <c r="AO1251" s="37">
        <f>IF(最佳化斷筋點!P1251="","",最佳化斷筋點!P1251)</f>
        <v>2</v>
      </c>
      <c r="AP1251" s="37">
        <f>IF(最佳化斷筋點!Q1251="","",最佳化斷筋點!Q1251)</f>
        <v>4</v>
      </c>
      <c r="AQ1251" s="37">
        <f>IF(最佳化斷筋點!R1251="","",最佳化斷筋點!R1251)</f>
        <v>4</v>
      </c>
      <c r="AR1251" s="37">
        <f>IF(最佳化斷筋點!S1251="","",最佳化斷筋點!S1251)</f>
        <v>5</v>
      </c>
      <c r="AS1251" s="37">
        <f>IF(最佳化斷筋點!T1251="","",最佳化斷筋點!T1251)</f>
        <v>5</v>
      </c>
      <c r="AT1251" s="37">
        <f>IF(最佳化斷筋點!U1251="","",最佳化斷筋點!U1251)</f>
        <v>5</v>
      </c>
      <c r="AU1251" s="37">
        <f>IF(最佳化斷筋點!V1251="","",最佳化斷筋點!V1251)</f>
        <v>5</v>
      </c>
      <c r="AV1251" s="37">
        <f>IF(最佳化斷筋點!W1251="","",最佳化斷筋點!W1251)</f>
        <v>5</v>
      </c>
      <c r="AW1251" s="37">
        <f>IF(最佳化斷筋點!X1251="","",最佳化斷筋點!X1251)</f>
        <v>5</v>
      </c>
      <c r="AZ1251" s="37">
        <v>4</v>
      </c>
      <c r="BA1251" s="37">
        <v>4</v>
      </c>
      <c r="BB1251" s="37">
        <v>4</v>
      </c>
      <c r="BC1251" s="37">
        <v>4</v>
      </c>
      <c r="BD1251" s="37">
        <v>4</v>
      </c>
      <c r="BE1251" s="37">
        <v>4</v>
      </c>
      <c r="BF1251" s="37">
        <v>4</v>
      </c>
      <c r="BG1251" s="37">
        <v>2</v>
      </c>
      <c r="BH1251" s="37">
        <v>2</v>
      </c>
      <c r="BI1251" s="37">
        <v>2</v>
      </c>
      <c r="BJ1251" s="37">
        <v>2</v>
      </c>
      <c r="BK1251" s="37">
        <v>2</v>
      </c>
      <c r="BL1251" s="37">
        <v>2</v>
      </c>
      <c r="BM1251" s="37">
        <v>4</v>
      </c>
      <c r="BN1251" s="37">
        <v>4</v>
      </c>
      <c r="BO1251" s="37">
        <v>5</v>
      </c>
      <c r="BP1251" s="37">
        <v>5</v>
      </c>
      <c r="BQ1251" s="37">
        <v>5</v>
      </c>
      <c r="BR1251" s="37">
        <v>5</v>
      </c>
      <c r="BS1251" s="37">
        <v>5</v>
      </c>
      <c r="BT1251" s="37">
        <v>5</v>
      </c>
    </row>
    <row r="1252" spans="5:72" x14ac:dyDescent="0.25">
      <c r="E1252" s="36"/>
      <c r="F1252" s="36">
        <f t="shared" si="400"/>
        <v>0</v>
      </c>
      <c r="G1252" s="36">
        <f t="shared" si="401"/>
        <v>0</v>
      </c>
      <c r="H1252" s="36">
        <f t="shared" si="402"/>
        <v>0</v>
      </c>
      <c r="I1252" s="36">
        <f t="shared" si="403"/>
        <v>0</v>
      </c>
      <c r="J1252" s="36">
        <f t="shared" si="404"/>
        <v>0</v>
      </c>
      <c r="K1252" s="36">
        <f t="shared" si="405"/>
        <v>0</v>
      </c>
      <c r="L1252" s="36">
        <f t="shared" si="406"/>
        <v>0</v>
      </c>
      <c r="M1252" s="36">
        <f t="shared" si="407"/>
        <v>0</v>
      </c>
      <c r="N1252" s="36">
        <f t="shared" si="408"/>
        <v>0</v>
      </c>
      <c r="O1252" s="36">
        <f t="shared" si="409"/>
        <v>0</v>
      </c>
      <c r="P1252" s="36">
        <f t="shared" si="410"/>
        <v>0</v>
      </c>
      <c r="Q1252" s="36">
        <f t="shared" si="411"/>
        <v>0</v>
      </c>
      <c r="R1252" s="36">
        <f t="shared" si="412"/>
        <v>0</v>
      </c>
      <c r="S1252" s="36">
        <f t="shared" si="413"/>
        <v>0</v>
      </c>
      <c r="T1252" s="36">
        <f t="shared" si="414"/>
        <v>0</v>
      </c>
      <c r="U1252" s="36">
        <f t="shared" si="415"/>
        <v>0</v>
      </c>
      <c r="V1252" s="36">
        <f t="shared" si="416"/>
        <v>0</v>
      </c>
      <c r="W1252" s="36">
        <f t="shared" si="417"/>
        <v>0</v>
      </c>
      <c r="X1252" s="36">
        <f t="shared" si="418"/>
        <v>0</v>
      </c>
      <c r="Y1252" s="36">
        <f t="shared" si="419"/>
        <v>0</v>
      </c>
      <c r="Z1252" s="36">
        <f t="shared" si="420"/>
        <v>0</v>
      </c>
      <c r="AB1252" s="36" t="str">
        <f>IF(最佳化斷筋點!C1252="","",最佳化斷筋點!C1252)</f>
        <v/>
      </c>
      <c r="AC1252" s="37" t="str">
        <f>IF(最佳化斷筋點!D1252="","",最佳化斷筋點!D1252)</f>
        <v/>
      </c>
      <c r="AD1252" s="37" t="str">
        <f>IF(最佳化斷筋點!E1252="","",最佳化斷筋點!E1252)</f>
        <v/>
      </c>
      <c r="AE1252" s="37" t="str">
        <f>IF(最佳化斷筋點!F1252="","",最佳化斷筋點!F1252)</f>
        <v/>
      </c>
      <c r="AF1252" s="37" t="str">
        <f>IF(最佳化斷筋點!G1252="","",最佳化斷筋點!G1252)</f>
        <v/>
      </c>
      <c r="AG1252" s="37" t="str">
        <f>IF(最佳化斷筋點!H1252="","",最佳化斷筋點!H1252)</f>
        <v/>
      </c>
      <c r="AH1252" s="37" t="str">
        <f>IF(最佳化斷筋點!I1252="","",最佳化斷筋點!I1252)</f>
        <v/>
      </c>
      <c r="AI1252" s="37" t="str">
        <f>IF(最佳化斷筋點!J1252="","",最佳化斷筋點!J1252)</f>
        <v/>
      </c>
      <c r="AJ1252" s="37" t="str">
        <f>IF(最佳化斷筋點!K1252="","",最佳化斷筋點!K1252)</f>
        <v/>
      </c>
      <c r="AK1252" s="37" t="str">
        <f>IF(最佳化斷筋點!L1252="","",最佳化斷筋點!L1252)</f>
        <v/>
      </c>
      <c r="AL1252" s="37" t="str">
        <f>IF(最佳化斷筋點!M1252="","",最佳化斷筋點!M1252)</f>
        <v/>
      </c>
      <c r="AM1252" s="37" t="str">
        <f>IF(最佳化斷筋點!N1252="","",最佳化斷筋點!N1252)</f>
        <v/>
      </c>
      <c r="AN1252" s="37" t="str">
        <f>IF(最佳化斷筋點!O1252="","",最佳化斷筋點!O1252)</f>
        <v/>
      </c>
      <c r="AO1252" s="37" t="str">
        <f>IF(最佳化斷筋點!P1252="","",最佳化斷筋點!P1252)</f>
        <v/>
      </c>
      <c r="AP1252" s="37" t="str">
        <f>IF(最佳化斷筋點!Q1252="","",最佳化斷筋點!Q1252)</f>
        <v/>
      </c>
      <c r="AQ1252" s="37" t="str">
        <f>IF(最佳化斷筋點!R1252="","",最佳化斷筋點!R1252)</f>
        <v/>
      </c>
      <c r="AR1252" s="37" t="str">
        <f>IF(最佳化斷筋點!S1252="","",最佳化斷筋點!S1252)</f>
        <v/>
      </c>
      <c r="AS1252" s="37" t="str">
        <f>IF(最佳化斷筋點!T1252="","",最佳化斷筋點!T1252)</f>
        <v/>
      </c>
      <c r="AT1252" s="37" t="str">
        <f>IF(最佳化斷筋點!U1252="","",最佳化斷筋點!U1252)</f>
        <v/>
      </c>
      <c r="AU1252" s="37" t="str">
        <f>IF(最佳化斷筋點!V1252="","",最佳化斷筋點!V1252)</f>
        <v/>
      </c>
      <c r="AV1252" s="37" t="str">
        <f>IF(最佳化斷筋點!W1252="","",最佳化斷筋點!W1252)</f>
        <v/>
      </c>
      <c r="AW1252" s="37" t="str">
        <f>IF(最佳化斷筋點!X1252="","",最佳化斷筋點!X1252)</f>
        <v/>
      </c>
      <c r="AZ1252" s="37" t="s">
        <v>197</v>
      </c>
      <c r="BA1252" s="37" t="s">
        <v>197</v>
      </c>
      <c r="BB1252" s="37" t="s">
        <v>197</v>
      </c>
      <c r="BC1252" s="37" t="s">
        <v>197</v>
      </c>
      <c r="BD1252" s="37" t="s">
        <v>197</v>
      </c>
      <c r="BE1252" s="37" t="s">
        <v>197</v>
      </c>
      <c r="BF1252" s="37" t="s">
        <v>197</v>
      </c>
      <c r="BG1252" s="37" t="s">
        <v>197</v>
      </c>
      <c r="BH1252" s="37" t="s">
        <v>197</v>
      </c>
      <c r="BI1252" s="37" t="s">
        <v>197</v>
      </c>
      <c r="BJ1252" s="37" t="s">
        <v>197</v>
      </c>
      <c r="BK1252" s="37" t="s">
        <v>197</v>
      </c>
      <c r="BL1252" s="37" t="s">
        <v>197</v>
      </c>
      <c r="BM1252" s="37" t="s">
        <v>197</v>
      </c>
      <c r="BN1252" s="37" t="s">
        <v>197</v>
      </c>
      <c r="BO1252" s="37" t="s">
        <v>197</v>
      </c>
      <c r="BP1252" s="37" t="s">
        <v>197</v>
      </c>
      <c r="BQ1252" s="37" t="s">
        <v>197</v>
      </c>
      <c r="BR1252" s="37" t="s">
        <v>197</v>
      </c>
      <c r="BS1252" s="37" t="s">
        <v>197</v>
      </c>
      <c r="BT1252" s="37" t="s">
        <v>197</v>
      </c>
    </row>
    <row r="1253" spans="5:72" x14ac:dyDescent="0.25">
      <c r="E1253" s="36" t="s">
        <v>21</v>
      </c>
      <c r="F1253" s="36">
        <f t="shared" si="400"/>
        <v>0</v>
      </c>
      <c r="G1253" s="36">
        <f t="shared" si="401"/>
        <v>0</v>
      </c>
      <c r="H1253" s="36">
        <f t="shared" si="402"/>
        <v>0</v>
      </c>
      <c r="I1253" s="36">
        <f t="shared" si="403"/>
        <v>0</v>
      </c>
      <c r="J1253" s="36">
        <f t="shared" si="404"/>
        <v>0</v>
      </c>
      <c r="K1253" s="36">
        <f t="shared" si="405"/>
        <v>0</v>
      </c>
      <c r="L1253" s="36">
        <f t="shared" si="406"/>
        <v>0</v>
      </c>
      <c r="M1253" s="36">
        <f t="shared" si="407"/>
        <v>0</v>
      </c>
      <c r="N1253" s="36">
        <f t="shared" si="408"/>
        <v>0</v>
      </c>
      <c r="O1253" s="36">
        <f t="shared" si="409"/>
        <v>0</v>
      </c>
      <c r="P1253" s="36">
        <f t="shared" si="410"/>
        <v>0</v>
      </c>
      <c r="Q1253" s="36">
        <f t="shared" si="411"/>
        <v>0</v>
      </c>
      <c r="R1253" s="36">
        <f t="shared" si="412"/>
        <v>0</v>
      </c>
      <c r="S1253" s="36">
        <f t="shared" si="413"/>
        <v>0</v>
      </c>
      <c r="T1253" s="36">
        <f t="shared" si="414"/>
        <v>0</v>
      </c>
      <c r="U1253" s="36">
        <f t="shared" si="415"/>
        <v>0</v>
      </c>
      <c r="V1253" s="36">
        <f t="shared" si="416"/>
        <v>0</v>
      </c>
      <c r="W1253" s="36">
        <f t="shared" si="417"/>
        <v>0</v>
      </c>
      <c r="X1253" s="36">
        <f t="shared" si="418"/>
        <v>0</v>
      </c>
      <c r="Y1253" s="36">
        <f t="shared" si="419"/>
        <v>0</v>
      </c>
      <c r="Z1253" s="36">
        <f t="shared" si="420"/>
        <v>0</v>
      </c>
      <c r="AB1253" s="36" t="str">
        <f>IF(最佳化斷筋點!C1253="","",最佳化斷筋點!C1253)</f>
        <v>下層</v>
      </c>
      <c r="AC1253" s="37">
        <f>IF(最佳化斷筋點!D1253="","",最佳化斷筋點!D1253)</f>
        <v>4</v>
      </c>
      <c r="AD1253" s="37">
        <f>IF(最佳化斷筋點!E1253="","",最佳化斷筋點!E1253)</f>
        <v>4</v>
      </c>
      <c r="AE1253" s="37">
        <f>IF(最佳化斷筋點!F1253="","",最佳化斷筋點!F1253)</f>
        <v>4</v>
      </c>
      <c r="AF1253" s="37">
        <f>IF(最佳化斷筋點!G1253="","",最佳化斷筋點!G1253)</f>
        <v>4</v>
      </c>
      <c r="AG1253" s="37">
        <f>IF(最佳化斷筋點!H1253="","",最佳化斷筋點!H1253)</f>
        <v>4</v>
      </c>
      <c r="AH1253" s="37">
        <f>IF(最佳化斷筋點!I1253="","",最佳化斷筋點!I1253)</f>
        <v>4</v>
      </c>
      <c r="AI1253" s="37">
        <f>IF(最佳化斷筋點!J1253="","",最佳化斷筋點!J1253)</f>
        <v>3</v>
      </c>
      <c r="AJ1253" s="37">
        <f>IF(最佳化斷筋點!K1253="","",最佳化斷筋點!K1253)</f>
        <v>3</v>
      </c>
      <c r="AK1253" s="37">
        <f>IF(最佳化斷筋點!L1253="","",最佳化斷筋點!L1253)</f>
        <v>3</v>
      </c>
      <c r="AL1253" s="37">
        <f>IF(最佳化斷筋點!M1253="","",最佳化斷筋點!M1253)</f>
        <v>3</v>
      </c>
      <c r="AM1253" s="37">
        <f>IF(最佳化斷筋點!N1253="","",最佳化斷筋點!N1253)</f>
        <v>3</v>
      </c>
      <c r="AN1253" s="37">
        <f>IF(最佳化斷筋點!O1253="","",最佳化斷筋點!O1253)</f>
        <v>3</v>
      </c>
      <c r="AO1253" s="37">
        <f>IF(最佳化斷筋點!P1253="","",最佳化斷筋點!P1253)</f>
        <v>3</v>
      </c>
      <c r="AP1253" s="37">
        <f>IF(最佳化斷筋點!Q1253="","",最佳化斷筋點!Q1253)</f>
        <v>3</v>
      </c>
      <c r="AQ1253" s="37">
        <f>IF(最佳化斷筋點!R1253="","",最佳化斷筋點!R1253)</f>
        <v>3</v>
      </c>
      <c r="AR1253" s="37">
        <f>IF(最佳化斷筋點!S1253="","",最佳化斷筋點!S1253)</f>
        <v>3</v>
      </c>
      <c r="AS1253" s="37">
        <f>IF(最佳化斷筋點!T1253="","",最佳化斷筋點!T1253)</f>
        <v>3</v>
      </c>
      <c r="AT1253" s="37">
        <f>IF(最佳化斷筋點!U1253="","",最佳化斷筋點!U1253)</f>
        <v>3</v>
      </c>
      <c r="AU1253" s="37">
        <f>IF(最佳化斷筋點!V1253="","",最佳化斷筋點!V1253)</f>
        <v>3</v>
      </c>
      <c r="AV1253" s="37">
        <f>IF(最佳化斷筋點!W1253="","",最佳化斷筋點!W1253)</f>
        <v>3</v>
      </c>
      <c r="AW1253" s="37">
        <f>IF(最佳化斷筋點!X1253="","",最佳化斷筋點!X1253)</f>
        <v>3</v>
      </c>
      <c r="AZ1253" s="37">
        <v>4</v>
      </c>
      <c r="BA1253" s="37">
        <v>4</v>
      </c>
      <c r="BB1253" s="37">
        <v>4</v>
      </c>
      <c r="BC1253" s="37">
        <v>4</v>
      </c>
      <c r="BD1253" s="37">
        <v>4</v>
      </c>
      <c r="BE1253" s="37">
        <v>4</v>
      </c>
      <c r="BF1253" s="37">
        <v>3</v>
      </c>
      <c r="BG1253" s="37">
        <v>3</v>
      </c>
      <c r="BH1253" s="37">
        <v>3</v>
      </c>
      <c r="BI1253" s="37">
        <v>3</v>
      </c>
      <c r="BJ1253" s="37">
        <v>3</v>
      </c>
      <c r="BK1253" s="37">
        <v>3</v>
      </c>
      <c r="BL1253" s="37">
        <v>3</v>
      </c>
      <c r="BM1253" s="37">
        <v>3</v>
      </c>
      <c r="BN1253" s="37">
        <v>3</v>
      </c>
      <c r="BO1253" s="37">
        <v>3</v>
      </c>
      <c r="BP1253" s="37">
        <v>3</v>
      </c>
      <c r="BQ1253" s="37">
        <v>3</v>
      </c>
      <c r="BR1253" s="37">
        <v>3</v>
      </c>
      <c r="BS1253" s="37">
        <v>3</v>
      </c>
      <c r="BT1253" s="37">
        <v>3</v>
      </c>
    </row>
    <row r="1254" spans="5:72" x14ac:dyDescent="0.25">
      <c r="E1254" s="36"/>
      <c r="F1254" s="36">
        <f t="shared" si="400"/>
        <v>0</v>
      </c>
      <c r="G1254" s="36">
        <f t="shared" si="401"/>
        <v>0</v>
      </c>
      <c r="H1254" s="36">
        <f t="shared" si="402"/>
        <v>0</v>
      </c>
      <c r="I1254" s="36">
        <f t="shared" si="403"/>
        <v>0</v>
      </c>
      <c r="J1254" s="36">
        <f t="shared" si="404"/>
        <v>0</v>
      </c>
      <c r="K1254" s="36">
        <f t="shared" si="405"/>
        <v>0</v>
      </c>
      <c r="L1254" s="36">
        <f t="shared" si="406"/>
        <v>0</v>
      </c>
      <c r="M1254" s="36">
        <f t="shared" si="407"/>
        <v>0</v>
      </c>
      <c r="N1254" s="36">
        <f t="shared" si="408"/>
        <v>0</v>
      </c>
      <c r="O1254" s="36">
        <f t="shared" si="409"/>
        <v>0</v>
      </c>
      <c r="P1254" s="36">
        <f t="shared" si="410"/>
        <v>0</v>
      </c>
      <c r="Q1254" s="36">
        <f t="shared" si="411"/>
        <v>0</v>
      </c>
      <c r="R1254" s="36">
        <f t="shared" si="412"/>
        <v>0</v>
      </c>
      <c r="S1254" s="36">
        <f t="shared" si="413"/>
        <v>0</v>
      </c>
      <c r="T1254" s="36">
        <f t="shared" si="414"/>
        <v>0</v>
      </c>
      <c r="U1254" s="36">
        <f t="shared" si="415"/>
        <v>0</v>
      </c>
      <c r="V1254" s="36">
        <f t="shared" si="416"/>
        <v>0</v>
      </c>
      <c r="W1254" s="36">
        <f t="shared" si="417"/>
        <v>0</v>
      </c>
      <c r="X1254" s="36">
        <f t="shared" si="418"/>
        <v>0</v>
      </c>
      <c r="Y1254" s="36">
        <f t="shared" si="419"/>
        <v>0</v>
      </c>
      <c r="Z1254" s="36">
        <f t="shared" si="420"/>
        <v>0</v>
      </c>
      <c r="AB1254" s="36" t="str">
        <f>IF(最佳化斷筋點!C1254="","",最佳化斷筋點!C1254)</f>
        <v/>
      </c>
      <c r="AC1254" s="37" t="str">
        <f>IF(最佳化斷筋點!D1254="","",最佳化斷筋點!D1254)</f>
        <v/>
      </c>
      <c r="AD1254" s="37" t="str">
        <f>IF(最佳化斷筋點!E1254="","",最佳化斷筋點!E1254)</f>
        <v/>
      </c>
      <c r="AE1254" s="37" t="str">
        <f>IF(最佳化斷筋點!F1254="","",最佳化斷筋點!F1254)</f>
        <v/>
      </c>
      <c r="AF1254" s="37" t="str">
        <f>IF(最佳化斷筋點!G1254="","",最佳化斷筋點!G1254)</f>
        <v/>
      </c>
      <c r="AG1254" s="37" t="str">
        <f>IF(最佳化斷筋點!H1254="","",最佳化斷筋點!H1254)</f>
        <v/>
      </c>
      <c r="AH1254" s="37" t="str">
        <f>IF(最佳化斷筋點!I1254="","",最佳化斷筋點!I1254)</f>
        <v/>
      </c>
      <c r="AI1254" s="37" t="str">
        <f>IF(最佳化斷筋點!J1254="","",最佳化斷筋點!J1254)</f>
        <v/>
      </c>
      <c r="AJ1254" s="37" t="str">
        <f>IF(最佳化斷筋點!K1254="","",最佳化斷筋點!K1254)</f>
        <v/>
      </c>
      <c r="AK1254" s="37" t="str">
        <f>IF(最佳化斷筋點!L1254="","",最佳化斷筋點!L1254)</f>
        <v/>
      </c>
      <c r="AL1254" s="37" t="str">
        <f>IF(最佳化斷筋點!M1254="","",最佳化斷筋點!M1254)</f>
        <v/>
      </c>
      <c r="AM1254" s="37" t="str">
        <f>IF(最佳化斷筋點!N1254="","",最佳化斷筋點!N1254)</f>
        <v/>
      </c>
      <c r="AN1254" s="37" t="str">
        <f>IF(最佳化斷筋點!O1254="","",最佳化斷筋點!O1254)</f>
        <v/>
      </c>
      <c r="AO1254" s="37" t="str">
        <f>IF(最佳化斷筋點!P1254="","",最佳化斷筋點!P1254)</f>
        <v/>
      </c>
      <c r="AP1254" s="37" t="str">
        <f>IF(最佳化斷筋點!Q1254="","",最佳化斷筋點!Q1254)</f>
        <v/>
      </c>
      <c r="AQ1254" s="37" t="str">
        <f>IF(最佳化斷筋點!R1254="","",最佳化斷筋點!R1254)</f>
        <v/>
      </c>
      <c r="AR1254" s="37" t="str">
        <f>IF(最佳化斷筋點!S1254="","",最佳化斷筋點!S1254)</f>
        <v/>
      </c>
      <c r="AS1254" s="37" t="str">
        <f>IF(最佳化斷筋點!T1254="","",最佳化斷筋點!T1254)</f>
        <v/>
      </c>
      <c r="AT1254" s="37" t="str">
        <f>IF(最佳化斷筋點!U1254="","",最佳化斷筋點!U1254)</f>
        <v/>
      </c>
      <c r="AU1254" s="37" t="str">
        <f>IF(最佳化斷筋點!V1254="","",最佳化斷筋點!V1254)</f>
        <v/>
      </c>
      <c r="AV1254" s="37" t="str">
        <f>IF(最佳化斷筋點!W1254="","",最佳化斷筋點!W1254)</f>
        <v/>
      </c>
      <c r="AW1254" s="37" t="str">
        <f>IF(最佳化斷筋點!X1254="","",最佳化斷筋點!X1254)</f>
        <v/>
      </c>
      <c r="AZ1254" s="37" t="s">
        <v>197</v>
      </c>
      <c r="BA1254" s="37" t="s">
        <v>197</v>
      </c>
      <c r="BB1254" s="37" t="s">
        <v>197</v>
      </c>
      <c r="BC1254" s="37" t="s">
        <v>197</v>
      </c>
      <c r="BD1254" s="37" t="s">
        <v>197</v>
      </c>
      <c r="BE1254" s="37" t="s">
        <v>197</v>
      </c>
      <c r="BF1254" s="37" t="s">
        <v>197</v>
      </c>
      <c r="BG1254" s="37" t="s">
        <v>197</v>
      </c>
      <c r="BH1254" s="37" t="s">
        <v>197</v>
      </c>
      <c r="BI1254" s="37" t="s">
        <v>197</v>
      </c>
      <c r="BJ1254" s="37" t="s">
        <v>197</v>
      </c>
      <c r="BK1254" s="37" t="s">
        <v>197</v>
      </c>
      <c r="BL1254" s="37" t="s">
        <v>197</v>
      </c>
      <c r="BM1254" s="37" t="s">
        <v>197</v>
      </c>
      <c r="BN1254" s="37" t="s">
        <v>197</v>
      </c>
      <c r="BO1254" s="37" t="s">
        <v>197</v>
      </c>
      <c r="BP1254" s="37" t="s">
        <v>197</v>
      </c>
      <c r="BQ1254" s="37" t="s">
        <v>197</v>
      </c>
      <c r="BR1254" s="37" t="s">
        <v>197</v>
      </c>
      <c r="BS1254" s="37" t="s">
        <v>197</v>
      </c>
      <c r="BT1254" s="37" t="s">
        <v>197</v>
      </c>
    </row>
    <row r="1255" spans="5:72" x14ac:dyDescent="0.25">
      <c r="E1255" s="36" t="s">
        <v>20</v>
      </c>
      <c r="F1255" s="36">
        <f t="shared" si="400"/>
        <v>0</v>
      </c>
      <c r="G1255" s="36">
        <f t="shared" si="401"/>
        <v>0</v>
      </c>
      <c r="H1255" s="36">
        <f t="shared" si="402"/>
        <v>0</v>
      </c>
      <c r="I1255" s="36">
        <f t="shared" si="403"/>
        <v>0</v>
      </c>
      <c r="J1255" s="36">
        <f t="shared" si="404"/>
        <v>0</v>
      </c>
      <c r="K1255" s="36">
        <f t="shared" si="405"/>
        <v>0</v>
      </c>
      <c r="L1255" s="36">
        <f t="shared" si="406"/>
        <v>0</v>
      </c>
      <c r="M1255" s="36">
        <f t="shared" si="407"/>
        <v>0</v>
      </c>
      <c r="N1255" s="36">
        <f t="shared" si="408"/>
        <v>0</v>
      </c>
      <c r="O1255" s="36">
        <f t="shared" si="409"/>
        <v>0</v>
      </c>
      <c r="P1255" s="36">
        <f t="shared" si="410"/>
        <v>0</v>
      </c>
      <c r="Q1255" s="36">
        <f t="shared" si="411"/>
        <v>0</v>
      </c>
      <c r="R1255" s="36">
        <f t="shared" si="412"/>
        <v>0</v>
      </c>
      <c r="S1255" s="36">
        <f t="shared" si="413"/>
        <v>0</v>
      </c>
      <c r="T1255" s="36">
        <f t="shared" si="414"/>
        <v>0</v>
      </c>
      <c r="U1255" s="36">
        <f t="shared" si="415"/>
        <v>0</v>
      </c>
      <c r="V1255" s="36">
        <f t="shared" si="416"/>
        <v>0</v>
      </c>
      <c r="W1255" s="36">
        <f t="shared" si="417"/>
        <v>0</v>
      </c>
      <c r="X1255" s="36">
        <f t="shared" si="418"/>
        <v>0</v>
      </c>
      <c r="Y1255" s="36">
        <f t="shared" si="419"/>
        <v>0</v>
      </c>
      <c r="Z1255" s="36">
        <f t="shared" si="420"/>
        <v>0</v>
      </c>
      <c r="AB1255" s="36" t="str">
        <f>IF(最佳化斷筋點!C1255="","",最佳化斷筋點!C1255)</f>
        <v>上層</v>
      </c>
      <c r="AC1255" s="37">
        <f>IF(最佳化斷筋點!D1255="","",最佳化斷筋點!D1255)</f>
        <v>3</v>
      </c>
      <c r="AD1255" s="37">
        <f>IF(最佳化斷筋點!E1255="","",最佳化斷筋點!E1255)</f>
        <v>3</v>
      </c>
      <c r="AE1255" s="37">
        <f>IF(最佳化斷筋點!F1255="","",最佳化斷筋點!F1255)</f>
        <v>3</v>
      </c>
      <c r="AF1255" s="37">
        <f>IF(最佳化斷筋點!G1255="","",最佳化斷筋點!G1255)</f>
        <v>3</v>
      </c>
      <c r="AG1255" s="37">
        <f>IF(最佳化斷筋點!H1255="","",最佳化斷筋點!H1255)</f>
        <v>3</v>
      </c>
      <c r="AH1255" s="37">
        <f>IF(最佳化斷筋點!I1255="","",最佳化斷筋點!I1255)</f>
        <v>3</v>
      </c>
      <c r="AI1255" s="37">
        <f>IF(最佳化斷筋點!J1255="","",最佳化斷筋點!J1255)</f>
        <v>3</v>
      </c>
      <c r="AJ1255" s="37">
        <f>IF(最佳化斷筋點!K1255="","",最佳化斷筋點!K1255)</f>
        <v>2</v>
      </c>
      <c r="AK1255" s="37">
        <f>IF(最佳化斷筋點!L1255="","",最佳化斷筋點!L1255)</f>
        <v>2</v>
      </c>
      <c r="AL1255" s="37">
        <f>IF(最佳化斷筋點!M1255="","",最佳化斷筋點!M1255)</f>
        <v>2</v>
      </c>
      <c r="AM1255" s="37">
        <f>IF(最佳化斷筋點!N1255="","",最佳化斷筋點!N1255)</f>
        <v>2</v>
      </c>
      <c r="AN1255" s="37">
        <f>IF(最佳化斷筋點!O1255="","",最佳化斷筋點!O1255)</f>
        <v>2</v>
      </c>
      <c r="AO1255" s="37">
        <f>IF(最佳化斷筋點!P1255="","",最佳化斷筋點!P1255)</f>
        <v>2</v>
      </c>
      <c r="AP1255" s="37">
        <f>IF(最佳化斷筋點!Q1255="","",最佳化斷筋點!Q1255)</f>
        <v>2</v>
      </c>
      <c r="AQ1255" s="37">
        <f>IF(最佳化斷筋點!R1255="","",最佳化斷筋點!R1255)</f>
        <v>3</v>
      </c>
      <c r="AR1255" s="37">
        <f>IF(最佳化斷筋點!S1255="","",最佳化斷筋點!S1255)</f>
        <v>3</v>
      </c>
      <c r="AS1255" s="37">
        <f>IF(最佳化斷筋點!T1255="","",最佳化斷筋點!T1255)</f>
        <v>3</v>
      </c>
      <c r="AT1255" s="37">
        <f>IF(最佳化斷筋點!U1255="","",最佳化斷筋點!U1255)</f>
        <v>3</v>
      </c>
      <c r="AU1255" s="37">
        <f>IF(最佳化斷筋點!V1255="","",最佳化斷筋點!V1255)</f>
        <v>3</v>
      </c>
      <c r="AV1255" s="37">
        <f>IF(最佳化斷筋點!W1255="","",最佳化斷筋點!W1255)</f>
        <v>3</v>
      </c>
      <c r="AW1255" s="37">
        <f>IF(最佳化斷筋點!X1255="","",最佳化斷筋點!X1255)</f>
        <v>3</v>
      </c>
      <c r="AZ1255" s="37">
        <v>3</v>
      </c>
      <c r="BA1255" s="37">
        <v>3</v>
      </c>
      <c r="BB1255" s="37">
        <v>3</v>
      </c>
      <c r="BC1255" s="37">
        <v>3</v>
      </c>
      <c r="BD1255" s="37">
        <v>3</v>
      </c>
      <c r="BE1255" s="37">
        <v>3</v>
      </c>
      <c r="BF1255" s="37">
        <v>3</v>
      </c>
      <c r="BG1255" s="37">
        <v>2</v>
      </c>
      <c r="BH1255" s="37">
        <v>2</v>
      </c>
      <c r="BI1255" s="37">
        <v>2</v>
      </c>
      <c r="BJ1255" s="37">
        <v>2</v>
      </c>
      <c r="BK1255" s="37">
        <v>2</v>
      </c>
      <c r="BL1255" s="37">
        <v>2</v>
      </c>
      <c r="BM1255" s="37">
        <v>2</v>
      </c>
      <c r="BN1255" s="37">
        <v>3</v>
      </c>
      <c r="BO1255" s="37">
        <v>3</v>
      </c>
      <c r="BP1255" s="37">
        <v>3</v>
      </c>
      <c r="BQ1255" s="37">
        <v>3</v>
      </c>
      <c r="BR1255" s="37">
        <v>3</v>
      </c>
      <c r="BS1255" s="37">
        <v>3</v>
      </c>
      <c r="BT1255" s="37">
        <v>3</v>
      </c>
    </row>
    <row r="1256" spans="5:72" x14ac:dyDescent="0.25">
      <c r="E1256" s="36"/>
      <c r="F1256" s="36">
        <f t="shared" si="400"/>
        <v>0</v>
      </c>
      <c r="G1256" s="36">
        <f t="shared" si="401"/>
        <v>0</v>
      </c>
      <c r="H1256" s="36">
        <f t="shared" si="402"/>
        <v>0</v>
      </c>
      <c r="I1256" s="36">
        <f t="shared" si="403"/>
        <v>0</v>
      </c>
      <c r="J1256" s="36">
        <f t="shared" si="404"/>
        <v>0</v>
      </c>
      <c r="K1256" s="36">
        <f t="shared" si="405"/>
        <v>0</v>
      </c>
      <c r="L1256" s="36">
        <f t="shared" si="406"/>
        <v>0</v>
      </c>
      <c r="M1256" s="36">
        <f t="shared" si="407"/>
        <v>0</v>
      </c>
      <c r="N1256" s="36">
        <f t="shared" si="408"/>
        <v>0</v>
      </c>
      <c r="O1256" s="36">
        <f t="shared" si="409"/>
        <v>0</v>
      </c>
      <c r="P1256" s="36">
        <f t="shared" si="410"/>
        <v>0</v>
      </c>
      <c r="Q1256" s="36">
        <f t="shared" si="411"/>
        <v>0</v>
      </c>
      <c r="R1256" s="36">
        <f t="shared" si="412"/>
        <v>0</v>
      </c>
      <c r="S1256" s="36">
        <f t="shared" si="413"/>
        <v>0</v>
      </c>
      <c r="T1256" s="36">
        <f t="shared" si="414"/>
        <v>0</v>
      </c>
      <c r="U1256" s="36">
        <f t="shared" si="415"/>
        <v>0</v>
      </c>
      <c r="V1256" s="36">
        <f t="shared" si="416"/>
        <v>0</v>
      </c>
      <c r="W1256" s="36">
        <f t="shared" si="417"/>
        <v>0</v>
      </c>
      <c r="X1256" s="36">
        <f t="shared" si="418"/>
        <v>0</v>
      </c>
      <c r="Y1256" s="36">
        <f t="shared" si="419"/>
        <v>0</v>
      </c>
      <c r="Z1256" s="36">
        <f t="shared" si="420"/>
        <v>0</v>
      </c>
      <c r="AB1256" s="36" t="str">
        <f>IF(最佳化斷筋點!C1256="","",最佳化斷筋點!C1256)</f>
        <v/>
      </c>
      <c r="AC1256" s="37" t="str">
        <f>IF(最佳化斷筋點!D1256="","",最佳化斷筋點!D1256)</f>
        <v/>
      </c>
      <c r="AD1256" s="37" t="str">
        <f>IF(最佳化斷筋點!E1256="","",最佳化斷筋點!E1256)</f>
        <v/>
      </c>
      <c r="AE1256" s="37" t="str">
        <f>IF(最佳化斷筋點!F1256="","",最佳化斷筋點!F1256)</f>
        <v/>
      </c>
      <c r="AF1256" s="37" t="str">
        <f>IF(最佳化斷筋點!G1256="","",最佳化斷筋點!G1256)</f>
        <v/>
      </c>
      <c r="AG1256" s="37" t="str">
        <f>IF(最佳化斷筋點!H1256="","",最佳化斷筋點!H1256)</f>
        <v/>
      </c>
      <c r="AH1256" s="37" t="str">
        <f>IF(最佳化斷筋點!I1256="","",最佳化斷筋點!I1256)</f>
        <v/>
      </c>
      <c r="AI1256" s="37" t="str">
        <f>IF(最佳化斷筋點!J1256="","",最佳化斷筋點!J1256)</f>
        <v/>
      </c>
      <c r="AJ1256" s="37" t="str">
        <f>IF(最佳化斷筋點!K1256="","",最佳化斷筋點!K1256)</f>
        <v/>
      </c>
      <c r="AK1256" s="37" t="str">
        <f>IF(最佳化斷筋點!L1256="","",最佳化斷筋點!L1256)</f>
        <v/>
      </c>
      <c r="AL1256" s="37" t="str">
        <f>IF(最佳化斷筋點!M1256="","",最佳化斷筋點!M1256)</f>
        <v/>
      </c>
      <c r="AM1256" s="37" t="str">
        <f>IF(最佳化斷筋點!N1256="","",最佳化斷筋點!N1256)</f>
        <v/>
      </c>
      <c r="AN1256" s="37" t="str">
        <f>IF(最佳化斷筋點!O1256="","",最佳化斷筋點!O1256)</f>
        <v/>
      </c>
      <c r="AO1256" s="37" t="str">
        <f>IF(最佳化斷筋點!P1256="","",最佳化斷筋點!P1256)</f>
        <v/>
      </c>
      <c r="AP1256" s="37" t="str">
        <f>IF(最佳化斷筋點!Q1256="","",最佳化斷筋點!Q1256)</f>
        <v/>
      </c>
      <c r="AQ1256" s="37" t="str">
        <f>IF(最佳化斷筋點!R1256="","",最佳化斷筋點!R1256)</f>
        <v/>
      </c>
      <c r="AR1256" s="37" t="str">
        <f>IF(最佳化斷筋點!S1256="","",最佳化斷筋點!S1256)</f>
        <v/>
      </c>
      <c r="AS1256" s="37" t="str">
        <f>IF(最佳化斷筋點!T1256="","",最佳化斷筋點!T1256)</f>
        <v/>
      </c>
      <c r="AT1256" s="37" t="str">
        <f>IF(最佳化斷筋點!U1256="","",最佳化斷筋點!U1256)</f>
        <v/>
      </c>
      <c r="AU1256" s="37" t="str">
        <f>IF(最佳化斷筋點!V1256="","",最佳化斷筋點!V1256)</f>
        <v/>
      </c>
      <c r="AV1256" s="37" t="str">
        <f>IF(最佳化斷筋點!W1256="","",最佳化斷筋點!W1256)</f>
        <v/>
      </c>
      <c r="AW1256" s="37" t="str">
        <f>IF(最佳化斷筋點!X1256="","",最佳化斷筋點!X1256)</f>
        <v/>
      </c>
      <c r="AZ1256" s="37" t="s">
        <v>197</v>
      </c>
      <c r="BA1256" s="37" t="s">
        <v>197</v>
      </c>
      <c r="BB1256" s="37" t="s">
        <v>197</v>
      </c>
      <c r="BC1256" s="37" t="s">
        <v>197</v>
      </c>
      <c r="BD1256" s="37" t="s">
        <v>197</v>
      </c>
      <c r="BE1256" s="37" t="s">
        <v>197</v>
      </c>
      <c r="BF1256" s="37" t="s">
        <v>197</v>
      </c>
      <c r="BG1256" s="37" t="s">
        <v>197</v>
      </c>
      <c r="BH1256" s="37" t="s">
        <v>197</v>
      </c>
      <c r="BI1256" s="37" t="s">
        <v>197</v>
      </c>
      <c r="BJ1256" s="37" t="s">
        <v>197</v>
      </c>
      <c r="BK1256" s="37" t="s">
        <v>197</v>
      </c>
      <c r="BL1256" s="37" t="s">
        <v>197</v>
      </c>
      <c r="BM1256" s="37" t="s">
        <v>197</v>
      </c>
      <c r="BN1256" s="37" t="s">
        <v>197</v>
      </c>
      <c r="BO1256" s="37" t="s">
        <v>197</v>
      </c>
      <c r="BP1256" s="37" t="s">
        <v>197</v>
      </c>
      <c r="BQ1256" s="37" t="s">
        <v>197</v>
      </c>
      <c r="BR1256" s="37" t="s">
        <v>197</v>
      </c>
      <c r="BS1256" s="37" t="s">
        <v>197</v>
      </c>
      <c r="BT1256" s="37" t="s">
        <v>197</v>
      </c>
    </row>
    <row r="1257" spans="5:72" x14ac:dyDescent="0.25">
      <c r="E1257" s="36" t="s">
        <v>21</v>
      </c>
      <c r="F1257" s="36">
        <f t="shared" si="400"/>
        <v>0</v>
      </c>
      <c r="G1257" s="36">
        <f t="shared" si="401"/>
        <v>0</v>
      </c>
      <c r="H1257" s="36">
        <f t="shared" si="402"/>
        <v>0</v>
      </c>
      <c r="I1257" s="36">
        <f t="shared" si="403"/>
        <v>0</v>
      </c>
      <c r="J1257" s="36">
        <f t="shared" si="404"/>
        <v>0</v>
      </c>
      <c r="K1257" s="36">
        <f t="shared" si="405"/>
        <v>0</v>
      </c>
      <c r="L1257" s="36">
        <f t="shared" si="406"/>
        <v>0</v>
      </c>
      <c r="M1257" s="36">
        <f t="shared" si="407"/>
        <v>0</v>
      </c>
      <c r="N1257" s="36">
        <f t="shared" si="408"/>
        <v>0</v>
      </c>
      <c r="O1257" s="36">
        <f t="shared" si="409"/>
        <v>0</v>
      </c>
      <c r="P1257" s="36">
        <f t="shared" si="410"/>
        <v>0</v>
      </c>
      <c r="Q1257" s="36">
        <f t="shared" si="411"/>
        <v>0</v>
      </c>
      <c r="R1257" s="36">
        <f t="shared" si="412"/>
        <v>0</v>
      </c>
      <c r="S1257" s="36">
        <f t="shared" si="413"/>
        <v>0</v>
      </c>
      <c r="T1257" s="36">
        <f t="shared" si="414"/>
        <v>0</v>
      </c>
      <c r="U1257" s="36">
        <f t="shared" si="415"/>
        <v>0</v>
      </c>
      <c r="V1257" s="36">
        <f t="shared" si="416"/>
        <v>0</v>
      </c>
      <c r="W1257" s="36">
        <f t="shared" si="417"/>
        <v>0</v>
      </c>
      <c r="X1257" s="36">
        <f t="shared" si="418"/>
        <v>0</v>
      </c>
      <c r="Y1257" s="36">
        <f t="shared" si="419"/>
        <v>0</v>
      </c>
      <c r="Z1257" s="36">
        <f t="shared" si="420"/>
        <v>0</v>
      </c>
      <c r="AB1257" s="36" t="str">
        <f>IF(最佳化斷筋點!C1257="","",最佳化斷筋點!C1257)</f>
        <v>下層</v>
      </c>
      <c r="AC1257" s="37">
        <f>IF(最佳化斷筋點!D1257="","",最佳化斷筋點!D1257)</f>
        <v>2</v>
      </c>
      <c r="AD1257" s="37">
        <f>IF(最佳化斷筋點!E1257="","",最佳化斷筋點!E1257)</f>
        <v>2</v>
      </c>
      <c r="AE1257" s="37">
        <f>IF(最佳化斷筋點!F1257="","",最佳化斷筋點!F1257)</f>
        <v>2</v>
      </c>
      <c r="AF1257" s="37">
        <f>IF(最佳化斷筋點!G1257="","",最佳化斷筋點!G1257)</f>
        <v>2</v>
      </c>
      <c r="AG1257" s="37">
        <f>IF(最佳化斷筋點!H1257="","",最佳化斷筋點!H1257)</f>
        <v>3</v>
      </c>
      <c r="AH1257" s="37">
        <f>IF(最佳化斷筋點!I1257="","",最佳化斷筋點!I1257)</f>
        <v>3</v>
      </c>
      <c r="AI1257" s="37">
        <f>IF(最佳化斷筋點!J1257="","",最佳化斷筋點!J1257)</f>
        <v>3</v>
      </c>
      <c r="AJ1257" s="37">
        <f>IF(最佳化斷筋點!K1257="","",最佳化斷筋點!K1257)</f>
        <v>3</v>
      </c>
      <c r="AK1257" s="37">
        <f>IF(最佳化斷筋點!L1257="","",最佳化斷筋點!L1257)</f>
        <v>3</v>
      </c>
      <c r="AL1257" s="37">
        <f>IF(最佳化斷筋點!M1257="","",最佳化斷筋點!M1257)</f>
        <v>3</v>
      </c>
      <c r="AM1257" s="37">
        <f>IF(最佳化斷筋點!N1257="","",最佳化斷筋點!N1257)</f>
        <v>3</v>
      </c>
      <c r="AN1257" s="37">
        <f>IF(最佳化斷筋點!O1257="","",最佳化斷筋點!O1257)</f>
        <v>3</v>
      </c>
      <c r="AO1257" s="37">
        <f>IF(最佳化斷筋點!P1257="","",最佳化斷筋點!P1257)</f>
        <v>3</v>
      </c>
      <c r="AP1257" s="37">
        <f>IF(最佳化斷筋點!Q1257="","",最佳化斷筋點!Q1257)</f>
        <v>3</v>
      </c>
      <c r="AQ1257" s="37">
        <f>IF(最佳化斷筋點!R1257="","",最佳化斷筋點!R1257)</f>
        <v>3</v>
      </c>
      <c r="AR1257" s="37">
        <f>IF(最佳化斷筋點!S1257="","",最佳化斷筋點!S1257)</f>
        <v>3</v>
      </c>
      <c r="AS1257" s="37">
        <f>IF(最佳化斷筋點!T1257="","",最佳化斷筋點!T1257)</f>
        <v>3</v>
      </c>
      <c r="AT1257" s="37">
        <f>IF(最佳化斷筋點!U1257="","",最佳化斷筋點!U1257)</f>
        <v>2</v>
      </c>
      <c r="AU1257" s="37">
        <f>IF(最佳化斷筋點!V1257="","",最佳化斷筋點!V1257)</f>
        <v>2</v>
      </c>
      <c r="AV1257" s="37">
        <f>IF(最佳化斷筋點!W1257="","",最佳化斷筋點!W1257)</f>
        <v>2</v>
      </c>
      <c r="AW1257" s="37">
        <f>IF(最佳化斷筋點!X1257="","",最佳化斷筋點!X1257)</f>
        <v>2</v>
      </c>
      <c r="AZ1257" s="37">
        <v>2</v>
      </c>
      <c r="BA1257" s="37">
        <v>2</v>
      </c>
      <c r="BB1257" s="37">
        <v>2</v>
      </c>
      <c r="BC1257" s="37">
        <v>2</v>
      </c>
      <c r="BD1257" s="37">
        <v>3</v>
      </c>
      <c r="BE1257" s="37">
        <v>3</v>
      </c>
      <c r="BF1257" s="37">
        <v>3</v>
      </c>
      <c r="BG1257" s="37">
        <v>3</v>
      </c>
      <c r="BH1257" s="37">
        <v>3</v>
      </c>
      <c r="BI1257" s="37">
        <v>3</v>
      </c>
      <c r="BJ1257" s="37">
        <v>3</v>
      </c>
      <c r="BK1257" s="37">
        <v>3</v>
      </c>
      <c r="BL1257" s="37">
        <v>3</v>
      </c>
      <c r="BM1257" s="37">
        <v>3</v>
      </c>
      <c r="BN1257" s="37">
        <v>3</v>
      </c>
      <c r="BO1257" s="37">
        <v>3</v>
      </c>
      <c r="BP1257" s="37">
        <v>3</v>
      </c>
      <c r="BQ1257" s="37">
        <v>2</v>
      </c>
      <c r="BR1257" s="37">
        <v>2</v>
      </c>
      <c r="BS1257" s="37">
        <v>2</v>
      </c>
      <c r="BT1257" s="37">
        <v>2</v>
      </c>
    </row>
    <row r="1258" spans="5:72" x14ac:dyDescent="0.25">
      <c r="E1258" s="36"/>
      <c r="F1258" s="36">
        <f t="shared" si="400"/>
        <v>0</v>
      </c>
      <c r="G1258" s="36">
        <f t="shared" si="401"/>
        <v>0</v>
      </c>
      <c r="H1258" s="36">
        <f t="shared" si="402"/>
        <v>0</v>
      </c>
      <c r="I1258" s="36">
        <f t="shared" si="403"/>
        <v>0</v>
      </c>
      <c r="J1258" s="36">
        <f t="shared" si="404"/>
        <v>0</v>
      </c>
      <c r="K1258" s="36">
        <f t="shared" si="405"/>
        <v>0</v>
      </c>
      <c r="L1258" s="36">
        <f t="shared" si="406"/>
        <v>0</v>
      </c>
      <c r="M1258" s="36">
        <f t="shared" si="407"/>
        <v>0</v>
      </c>
      <c r="N1258" s="36">
        <f t="shared" si="408"/>
        <v>0</v>
      </c>
      <c r="O1258" s="36">
        <f t="shared" si="409"/>
        <v>0</v>
      </c>
      <c r="P1258" s="36">
        <f t="shared" si="410"/>
        <v>0</v>
      </c>
      <c r="Q1258" s="36">
        <f t="shared" si="411"/>
        <v>0</v>
      </c>
      <c r="R1258" s="36">
        <f t="shared" si="412"/>
        <v>0</v>
      </c>
      <c r="S1258" s="36">
        <f t="shared" si="413"/>
        <v>0</v>
      </c>
      <c r="T1258" s="36">
        <f t="shared" si="414"/>
        <v>0</v>
      </c>
      <c r="U1258" s="36">
        <f t="shared" si="415"/>
        <v>0</v>
      </c>
      <c r="V1258" s="36">
        <f t="shared" si="416"/>
        <v>0</v>
      </c>
      <c r="W1258" s="36">
        <f t="shared" si="417"/>
        <v>0</v>
      </c>
      <c r="X1258" s="36">
        <f t="shared" si="418"/>
        <v>0</v>
      </c>
      <c r="Y1258" s="36">
        <f t="shared" si="419"/>
        <v>0</v>
      </c>
      <c r="Z1258" s="36">
        <f t="shared" si="420"/>
        <v>0</v>
      </c>
      <c r="AB1258" s="36" t="str">
        <f>IF(最佳化斷筋點!C1258="","",最佳化斷筋點!C1258)</f>
        <v/>
      </c>
      <c r="AC1258" s="37" t="str">
        <f>IF(最佳化斷筋點!D1258="","",最佳化斷筋點!D1258)</f>
        <v/>
      </c>
      <c r="AD1258" s="37" t="str">
        <f>IF(最佳化斷筋點!E1258="","",最佳化斷筋點!E1258)</f>
        <v/>
      </c>
      <c r="AE1258" s="37" t="str">
        <f>IF(最佳化斷筋點!F1258="","",最佳化斷筋點!F1258)</f>
        <v/>
      </c>
      <c r="AF1258" s="37" t="str">
        <f>IF(最佳化斷筋點!G1258="","",最佳化斷筋點!G1258)</f>
        <v/>
      </c>
      <c r="AG1258" s="37" t="str">
        <f>IF(最佳化斷筋點!H1258="","",最佳化斷筋點!H1258)</f>
        <v/>
      </c>
      <c r="AH1258" s="37" t="str">
        <f>IF(最佳化斷筋點!I1258="","",最佳化斷筋點!I1258)</f>
        <v/>
      </c>
      <c r="AI1258" s="37" t="str">
        <f>IF(最佳化斷筋點!J1258="","",最佳化斷筋點!J1258)</f>
        <v/>
      </c>
      <c r="AJ1258" s="37" t="str">
        <f>IF(最佳化斷筋點!K1258="","",最佳化斷筋點!K1258)</f>
        <v/>
      </c>
      <c r="AK1258" s="37" t="str">
        <f>IF(最佳化斷筋點!L1258="","",最佳化斷筋點!L1258)</f>
        <v/>
      </c>
      <c r="AL1258" s="37" t="str">
        <f>IF(最佳化斷筋點!M1258="","",最佳化斷筋點!M1258)</f>
        <v/>
      </c>
      <c r="AM1258" s="37" t="str">
        <f>IF(最佳化斷筋點!N1258="","",最佳化斷筋點!N1258)</f>
        <v/>
      </c>
      <c r="AN1258" s="37" t="str">
        <f>IF(最佳化斷筋點!O1258="","",最佳化斷筋點!O1258)</f>
        <v/>
      </c>
      <c r="AO1258" s="37" t="str">
        <f>IF(最佳化斷筋點!P1258="","",最佳化斷筋點!P1258)</f>
        <v/>
      </c>
      <c r="AP1258" s="37" t="str">
        <f>IF(最佳化斷筋點!Q1258="","",最佳化斷筋點!Q1258)</f>
        <v/>
      </c>
      <c r="AQ1258" s="37" t="str">
        <f>IF(最佳化斷筋點!R1258="","",最佳化斷筋點!R1258)</f>
        <v/>
      </c>
      <c r="AR1258" s="37" t="str">
        <f>IF(最佳化斷筋點!S1258="","",最佳化斷筋點!S1258)</f>
        <v/>
      </c>
      <c r="AS1258" s="37" t="str">
        <f>IF(最佳化斷筋點!T1258="","",最佳化斷筋點!T1258)</f>
        <v/>
      </c>
      <c r="AT1258" s="37" t="str">
        <f>IF(最佳化斷筋點!U1258="","",最佳化斷筋點!U1258)</f>
        <v/>
      </c>
      <c r="AU1258" s="37" t="str">
        <f>IF(最佳化斷筋點!V1258="","",最佳化斷筋點!V1258)</f>
        <v/>
      </c>
      <c r="AV1258" s="37" t="str">
        <f>IF(最佳化斷筋點!W1258="","",最佳化斷筋點!W1258)</f>
        <v/>
      </c>
      <c r="AW1258" s="37" t="str">
        <f>IF(最佳化斷筋點!X1258="","",最佳化斷筋點!X1258)</f>
        <v/>
      </c>
      <c r="AZ1258" s="37" t="s">
        <v>197</v>
      </c>
      <c r="BA1258" s="37" t="s">
        <v>197</v>
      </c>
      <c r="BB1258" s="37" t="s">
        <v>197</v>
      </c>
      <c r="BC1258" s="37" t="s">
        <v>197</v>
      </c>
      <c r="BD1258" s="37" t="s">
        <v>197</v>
      </c>
      <c r="BE1258" s="37" t="s">
        <v>197</v>
      </c>
      <c r="BF1258" s="37" t="s">
        <v>197</v>
      </c>
      <c r="BG1258" s="37" t="s">
        <v>197</v>
      </c>
      <c r="BH1258" s="37" t="s">
        <v>197</v>
      </c>
      <c r="BI1258" s="37" t="s">
        <v>197</v>
      </c>
      <c r="BJ1258" s="37" t="s">
        <v>197</v>
      </c>
      <c r="BK1258" s="37" t="s">
        <v>197</v>
      </c>
      <c r="BL1258" s="37" t="s">
        <v>197</v>
      </c>
      <c r="BM1258" s="37" t="s">
        <v>197</v>
      </c>
      <c r="BN1258" s="37" t="s">
        <v>197</v>
      </c>
      <c r="BO1258" s="37" t="s">
        <v>197</v>
      </c>
      <c r="BP1258" s="37" t="s">
        <v>197</v>
      </c>
      <c r="BQ1258" s="37" t="s">
        <v>197</v>
      </c>
      <c r="BR1258" s="37" t="s">
        <v>197</v>
      </c>
      <c r="BS1258" s="37" t="s">
        <v>197</v>
      </c>
      <c r="BT1258" s="37" t="s">
        <v>197</v>
      </c>
    </row>
    <row r="1259" spans="5:72" x14ac:dyDescent="0.25">
      <c r="E1259" s="36" t="s">
        <v>20</v>
      </c>
      <c r="F1259" s="36">
        <f t="shared" si="400"/>
        <v>0</v>
      </c>
      <c r="G1259" s="36">
        <f t="shared" si="401"/>
        <v>0</v>
      </c>
      <c r="H1259" s="36">
        <f t="shared" si="402"/>
        <v>0</v>
      </c>
      <c r="I1259" s="36">
        <f t="shared" si="403"/>
        <v>0</v>
      </c>
      <c r="J1259" s="36">
        <f t="shared" si="404"/>
        <v>0</v>
      </c>
      <c r="K1259" s="36">
        <f t="shared" si="405"/>
        <v>0</v>
      </c>
      <c r="L1259" s="36">
        <f t="shared" si="406"/>
        <v>0</v>
      </c>
      <c r="M1259" s="36">
        <f t="shared" si="407"/>
        <v>0</v>
      </c>
      <c r="N1259" s="36">
        <f t="shared" si="408"/>
        <v>0</v>
      </c>
      <c r="O1259" s="36">
        <f t="shared" si="409"/>
        <v>0</v>
      </c>
      <c r="P1259" s="36">
        <f t="shared" si="410"/>
        <v>0</v>
      </c>
      <c r="Q1259" s="36">
        <f t="shared" si="411"/>
        <v>0</v>
      </c>
      <c r="R1259" s="36">
        <f t="shared" si="412"/>
        <v>0</v>
      </c>
      <c r="S1259" s="36">
        <f t="shared" si="413"/>
        <v>0</v>
      </c>
      <c r="T1259" s="36">
        <f t="shared" si="414"/>
        <v>0</v>
      </c>
      <c r="U1259" s="36">
        <f t="shared" si="415"/>
        <v>0</v>
      </c>
      <c r="V1259" s="36">
        <f t="shared" si="416"/>
        <v>0</v>
      </c>
      <c r="W1259" s="36">
        <f t="shared" si="417"/>
        <v>0</v>
      </c>
      <c r="X1259" s="36">
        <f t="shared" si="418"/>
        <v>0</v>
      </c>
      <c r="Y1259" s="36">
        <f t="shared" si="419"/>
        <v>0</v>
      </c>
      <c r="Z1259" s="36">
        <f t="shared" si="420"/>
        <v>0</v>
      </c>
      <c r="AB1259" s="36" t="str">
        <f>IF(最佳化斷筋點!C1259="","",最佳化斷筋點!C1259)</f>
        <v>上層</v>
      </c>
      <c r="AC1259" s="37">
        <f>IF(最佳化斷筋點!D1259="","",最佳化斷筋點!D1259)</f>
        <v>4</v>
      </c>
      <c r="AD1259" s="37">
        <f>IF(最佳化斷筋點!E1259="","",最佳化斷筋點!E1259)</f>
        <v>4</v>
      </c>
      <c r="AE1259" s="37">
        <f>IF(最佳化斷筋點!F1259="","",最佳化斷筋點!F1259)</f>
        <v>4</v>
      </c>
      <c r="AF1259" s="37">
        <f>IF(最佳化斷筋點!G1259="","",最佳化斷筋點!G1259)</f>
        <v>4</v>
      </c>
      <c r="AG1259" s="37">
        <f>IF(最佳化斷筋點!H1259="","",最佳化斷筋點!H1259)</f>
        <v>4</v>
      </c>
      <c r="AH1259" s="37">
        <f>IF(最佳化斷筋點!I1259="","",最佳化斷筋點!I1259)</f>
        <v>4</v>
      </c>
      <c r="AI1259" s="37">
        <f>IF(最佳化斷筋點!J1259="","",最佳化斷筋點!J1259)</f>
        <v>4</v>
      </c>
      <c r="AJ1259" s="37">
        <f>IF(最佳化斷筋點!K1259="","",最佳化斷筋點!K1259)</f>
        <v>2</v>
      </c>
      <c r="AK1259" s="37">
        <f>IF(最佳化斷筋點!L1259="","",最佳化斷筋點!L1259)</f>
        <v>2</v>
      </c>
      <c r="AL1259" s="37">
        <f>IF(最佳化斷筋點!M1259="","",最佳化斷筋點!M1259)</f>
        <v>2</v>
      </c>
      <c r="AM1259" s="37">
        <f>IF(最佳化斷筋點!N1259="","",最佳化斷筋點!N1259)</f>
        <v>2</v>
      </c>
      <c r="AN1259" s="37">
        <f>IF(最佳化斷筋點!O1259="","",最佳化斷筋點!O1259)</f>
        <v>2</v>
      </c>
      <c r="AO1259" s="37">
        <f>IF(最佳化斷筋點!P1259="","",最佳化斷筋點!P1259)</f>
        <v>2</v>
      </c>
      <c r="AP1259" s="37">
        <f>IF(最佳化斷筋點!Q1259="","",最佳化斷筋點!Q1259)</f>
        <v>2</v>
      </c>
      <c r="AQ1259" s="37">
        <f>IF(最佳化斷筋點!R1259="","",最佳化斷筋點!R1259)</f>
        <v>3</v>
      </c>
      <c r="AR1259" s="37">
        <f>IF(最佳化斷筋點!S1259="","",最佳化斷筋點!S1259)</f>
        <v>3</v>
      </c>
      <c r="AS1259" s="37">
        <f>IF(最佳化斷筋點!T1259="","",最佳化斷筋點!T1259)</f>
        <v>3</v>
      </c>
      <c r="AT1259" s="37">
        <f>IF(最佳化斷筋點!U1259="","",最佳化斷筋點!U1259)</f>
        <v>3</v>
      </c>
      <c r="AU1259" s="37">
        <f>IF(最佳化斷筋點!V1259="","",最佳化斷筋點!V1259)</f>
        <v>3</v>
      </c>
      <c r="AV1259" s="37">
        <f>IF(最佳化斷筋點!W1259="","",最佳化斷筋點!W1259)</f>
        <v>3</v>
      </c>
      <c r="AW1259" s="37">
        <f>IF(最佳化斷筋點!X1259="","",最佳化斷筋點!X1259)</f>
        <v>3</v>
      </c>
      <c r="AZ1259" s="37">
        <v>4</v>
      </c>
      <c r="BA1259" s="37">
        <v>4</v>
      </c>
      <c r="BB1259" s="37">
        <v>4</v>
      </c>
      <c r="BC1259" s="37">
        <v>4</v>
      </c>
      <c r="BD1259" s="37">
        <v>4</v>
      </c>
      <c r="BE1259" s="37">
        <v>4</v>
      </c>
      <c r="BF1259" s="37">
        <v>4</v>
      </c>
      <c r="BG1259" s="37">
        <v>2</v>
      </c>
      <c r="BH1259" s="37">
        <v>2</v>
      </c>
      <c r="BI1259" s="37">
        <v>2</v>
      </c>
      <c r="BJ1259" s="37">
        <v>2</v>
      </c>
      <c r="BK1259" s="37">
        <v>2</v>
      </c>
      <c r="BL1259" s="37">
        <v>2</v>
      </c>
      <c r="BM1259" s="37">
        <v>2</v>
      </c>
      <c r="BN1259" s="37">
        <v>3</v>
      </c>
      <c r="BO1259" s="37">
        <v>3</v>
      </c>
      <c r="BP1259" s="37">
        <v>3</v>
      </c>
      <c r="BQ1259" s="37">
        <v>3</v>
      </c>
      <c r="BR1259" s="37">
        <v>3</v>
      </c>
      <c r="BS1259" s="37">
        <v>3</v>
      </c>
      <c r="BT1259" s="37">
        <v>3</v>
      </c>
    </row>
    <row r="1260" spans="5:72" x14ac:dyDescent="0.25">
      <c r="E1260" s="36"/>
      <c r="F1260" s="36">
        <f t="shared" si="400"/>
        <v>0</v>
      </c>
      <c r="G1260" s="36">
        <f t="shared" si="401"/>
        <v>0</v>
      </c>
      <c r="H1260" s="36">
        <f t="shared" si="402"/>
        <v>0</v>
      </c>
      <c r="I1260" s="36">
        <f t="shared" si="403"/>
        <v>0</v>
      </c>
      <c r="J1260" s="36">
        <f t="shared" si="404"/>
        <v>0</v>
      </c>
      <c r="K1260" s="36">
        <f t="shared" si="405"/>
        <v>0</v>
      </c>
      <c r="L1260" s="36">
        <f t="shared" si="406"/>
        <v>0</v>
      </c>
      <c r="M1260" s="36">
        <f t="shared" si="407"/>
        <v>0</v>
      </c>
      <c r="N1260" s="36">
        <f t="shared" si="408"/>
        <v>0</v>
      </c>
      <c r="O1260" s="36">
        <f t="shared" si="409"/>
        <v>0</v>
      </c>
      <c r="P1260" s="36">
        <f t="shared" si="410"/>
        <v>0</v>
      </c>
      <c r="Q1260" s="36">
        <f t="shared" si="411"/>
        <v>0</v>
      </c>
      <c r="R1260" s="36">
        <f t="shared" si="412"/>
        <v>0</v>
      </c>
      <c r="S1260" s="36">
        <f t="shared" si="413"/>
        <v>0</v>
      </c>
      <c r="T1260" s="36">
        <f t="shared" si="414"/>
        <v>0</v>
      </c>
      <c r="U1260" s="36">
        <f t="shared" si="415"/>
        <v>0</v>
      </c>
      <c r="V1260" s="36">
        <f t="shared" si="416"/>
        <v>0</v>
      </c>
      <c r="W1260" s="36">
        <f t="shared" si="417"/>
        <v>0</v>
      </c>
      <c r="X1260" s="36">
        <f t="shared" si="418"/>
        <v>0</v>
      </c>
      <c r="Y1260" s="36">
        <f t="shared" si="419"/>
        <v>0</v>
      </c>
      <c r="Z1260" s="36">
        <f t="shared" si="420"/>
        <v>0</v>
      </c>
      <c r="AB1260" s="36" t="str">
        <f>IF(最佳化斷筋點!C1260="","",最佳化斷筋點!C1260)</f>
        <v/>
      </c>
      <c r="AC1260" s="37" t="str">
        <f>IF(最佳化斷筋點!D1260="","",最佳化斷筋點!D1260)</f>
        <v/>
      </c>
      <c r="AD1260" s="37" t="str">
        <f>IF(最佳化斷筋點!E1260="","",最佳化斷筋點!E1260)</f>
        <v/>
      </c>
      <c r="AE1260" s="37" t="str">
        <f>IF(最佳化斷筋點!F1260="","",最佳化斷筋點!F1260)</f>
        <v/>
      </c>
      <c r="AF1260" s="37" t="str">
        <f>IF(最佳化斷筋點!G1260="","",最佳化斷筋點!G1260)</f>
        <v/>
      </c>
      <c r="AG1260" s="37" t="str">
        <f>IF(最佳化斷筋點!H1260="","",最佳化斷筋點!H1260)</f>
        <v/>
      </c>
      <c r="AH1260" s="37" t="str">
        <f>IF(最佳化斷筋點!I1260="","",最佳化斷筋點!I1260)</f>
        <v/>
      </c>
      <c r="AI1260" s="37" t="str">
        <f>IF(最佳化斷筋點!J1260="","",最佳化斷筋點!J1260)</f>
        <v/>
      </c>
      <c r="AJ1260" s="37" t="str">
        <f>IF(最佳化斷筋點!K1260="","",最佳化斷筋點!K1260)</f>
        <v/>
      </c>
      <c r="AK1260" s="37" t="str">
        <f>IF(最佳化斷筋點!L1260="","",最佳化斷筋點!L1260)</f>
        <v/>
      </c>
      <c r="AL1260" s="37" t="str">
        <f>IF(最佳化斷筋點!M1260="","",最佳化斷筋點!M1260)</f>
        <v/>
      </c>
      <c r="AM1260" s="37" t="str">
        <f>IF(最佳化斷筋點!N1260="","",最佳化斷筋點!N1260)</f>
        <v/>
      </c>
      <c r="AN1260" s="37" t="str">
        <f>IF(最佳化斷筋點!O1260="","",最佳化斷筋點!O1260)</f>
        <v/>
      </c>
      <c r="AO1260" s="37" t="str">
        <f>IF(最佳化斷筋點!P1260="","",最佳化斷筋點!P1260)</f>
        <v/>
      </c>
      <c r="AP1260" s="37" t="str">
        <f>IF(最佳化斷筋點!Q1260="","",最佳化斷筋點!Q1260)</f>
        <v/>
      </c>
      <c r="AQ1260" s="37" t="str">
        <f>IF(最佳化斷筋點!R1260="","",最佳化斷筋點!R1260)</f>
        <v/>
      </c>
      <c r="AR1260" s="37" t="str">
        <f>IF(最佳化斷筋點!S1260="","",最佳化斷筋點!S1260)</f>
        <v/>
      </c>
      <c r="AS1260" s="37" t="str">
        <f>IF(最佳化斷筋點!T1260="","",最佳化斷筋點!T1260)</f>
        <v/>
      </c>
      <c r="AT1260" s="37" t="str">
        <f>IF(最佳化斷筋點!U1260="","",最佳化斷筋點!U1260)</f>
        <v/>
      </c>
      <c r="AU1260" s="37" t="str">
        <f>IF(最佳化斷筋點!V1260="","",最佳化斷筋點!V1260)</f>
        <v/>
      </c>
      <c r="AV1260" s="37" t="str">
        <f>IF(最佳化斷筋點!W1260="","",最佳化斷筋點!W1260)</f>
        <v/>
      </c>
      <c r="AW1260" s="37" t="str">
        <f>IF(最佳化斷筋點!X1260="","",最佳化斷筋點!X1260)</f>
        <v/>
      </c>
      <c r="AZ1260" s="37" t="s">
        <v>197</v>
      </c>
      <c r="BA1260" s="37" t="s">
        <v>197</v>
      </c>
      <c r="BB1260" s="37" t="s">
        <v>197</v>
      </c>
      <c r="BC1260" s="37" t="s">
        <v>197</v>
      </c>
      <c r="BD1260" s="37" t="s">
        <v>197</v>
      </c>
      <c r="BE1260" s="37" t="s">
        <v>197</v>
      </c>
      <c r="BF1260" s="37" t="s">
        <v>197</v>
      </c>
      <c r="BG1260" s="37" t="s">
        <v>197</v>
      </c>
      <c r="BH1260" s="37" t="s">
        <v>197</v>
      </c>
      <c r="BI1260" s="37" t="s">
        <v>197</v>
      </c>
      <c r="BJ1260" s="37" t="s">
        <v>197</v>
      </c>
      <c r="BK1260" s="37" t="s">
        <v>197</v>
      </c>
      <c r="BL1260" s="37" t="s">
        <v>197</v>
      </c>
      <c r="BM1260" s="37" t="s">
        <v>197</v>
      </c>
      <c r="BN1260" s="37" t="s">
        <v>197</v>
      </c>
      <c r="BO1260" s="37" t="s">
        <v>197</v>
      </c>
      <c r="BP1260" s="37" t="s">
        <v>197</v>
      </c>
      <c r="BQ1260" s="37" t="s">
        <v>197</v>
      </c>
      <c r="BR1260" s="37" t="s">
        <v>197</v>
      </c>
      <c r="BS1260" s="37" t="s">
        <v>197</v>
      </c>
      <c r="BT1260" s="37" t="s">
        <v>197</v>
      </c>
    </row>
    <row r="1261" spans="5:72" x14ac:dyDescent="0.25">
      <c r="E1261" s="36" t="s">
        <v>21</v>
      </c>
      <c r="F1261" s="36">
        <f t="shared" si="400"/>
        <v>0</v>
      </c>
      <c r="G1261" s="36">
        <f t="shared" si="401"/>
        <v>0</v>
      </c>
      <c r="H1261" s="36">
        <f t="shared" si="402"/>
        <v>0</v>
      </c>
      <c r="I1261" s="36">
        <f t="shared" si="403"/>
        <v>0</v>
      </c>
      <c r="J1261" s="36">
        <f t="shared" si="404"/>
        <v>0</v>
      </c>
      <c r="K1261" s="36">
        <f t="shared" si="405"/>
        <v>0</v>
      </c>
      <c r="L1261" s="36">
        <f t="shared" si="406"/>
        <v>0</v>
      </c>
      <c r="M1261" s="36">
        <f t="shared" si="407"/>
        <v>0</v>
      </c>
      <c r="N1261" s="36">
        <f t="shared" si="408"/>
        <v>0</v>
      </c>
      <c r="O1261" s="36">
        <f t="shared" si="409"/>
        <v>0</v>
      </c>
      <c r="P1261" s="36">
        <f t="shared" si="410"/>
        <v>0</v>
      </c>
      <c r="Q1261" s="36">
        <f t="shared" si="411"/>
        <v>0</v>
      </c>
      <c r="R1261" s="36">
        <f t="shared" si="412"/>
        <v>0</v>
      </c>
      <c r="S1261" s="36">
        <f t="shared" si="413"/>
        <v>0</v>
      </c>
      <c r="T1261" s="36">
        <f t="shared" si="414"/>
        <v>0</v>
      </c>
      <c r="U1261" s="36">
        <f t="shared" si="415"/>
        <v>0</v>
      </c>
      <c r="V1261" s="36">
        <f t="shared" si="416"/>
        <v>0</v>
      </c>
      <c r="W1261" s="36">
        <f t="shared" si="417"/>
        <v>0</v>
      </c>
      <c r="X1261" s="36">
        <f t="shared" si="418"/>
        <v>0</v>
      </c>
      <c r="Y1261" s="36">
        <f t="shared" si="419"/>
        <v>0</v>
      </c>
      <c r="Z1261" s="36">
        <f t="shared" si="420"/>
        <v>0</v>
      </c>
      <c r="AB1261" s="36" t="str">
        <f>IF(最佳化斷筋點!C1261="","",最佳化斷筋點!C1261)</f>
        <v>下層</v>
      </c>
      <c r="AC1261" s="37">
        <f>IF(最佳化斷筋點!D1261="","",最佳化斷筋點!D1261)</f>
        <v>3</v>
      </c>
      <c r="AD1261" s="37">
        <f>IF(最佳化斷筋點!E1261="","",最佳化斷筋點!E1261)</f>
        <v>3</v>
      </c>
      <c r="AE1261" s="37">
        <f>IF(最佳化斷筋點!F1261="","",最佳化斷筋點!F1261)</f>
        <v>3</v>
      </c>
      <c r="AF1261" s="37">
        <f>IF(最佳化斷筋點!G1261="","",最佳化斷筋點!G1261)</f>
        <v>3</v>
      </c>
      <c r="AG1261" s="37">
        <f>IF(最佳化斷筋點!H1261="","",最佳化斷筋點!H1261)</f>
        <v>3</v>
      </c>
      <c r="AH1261" s="37">
        <f>IF(最佳化斷筋點!I1261="","",最佳化斷筋點!I1261)</f>
        <v>3</v>
      </c>
      <c r="AI1261" s="37">
        <f>IF(最佳化斷筋點!J1261="","",最佳化斷筋點!J1261)</f>
        <v>3</v>
      </c>
      <c r="AJ1261" s="37">
        <f>IF(最佳化斷筋點!K1261="","",最佳化斷筋點!K1261)</f>
        <v>3</v>
      </c>
      <c r="AK1261" s="37">
        <f>IF(最佳化斷筋點!L1261="","",最佳化斷筋點!L1261)</f>
        <v>3</v>
      </c>
      <c r="AL1261" s="37">
        <f>IF(最佳化斷筋點!M1261="","",最佳化斷筋點!M1261)</f>
        <v>3</v>
      </c>
      <c r="AM1261" s="37">
        <f>IF(最佳化斷筋點!N1261="","",最佳化斷筋點!N1261)</f>
        <v>3</v>
      </c>
      <c r="AN1261" s="37">
        <f>IF(最佳化斷筋點!O1261="","",最佳化斷筋點!O1261)</f>
        <v>3</v>
      </c>
      <c r="AO1261" s="37">
        <f>IF(最佳化斷筋點!P1261="","",最佳化斷筋點!P1261)</f>
        <v>3</v>
      </c>
      <c r="AP1261" s="37">
        <f>IF(最佳化斷筋點!Q1261="","",最佳化斷筋點!Q1261)</f>
        <v>3</v>
      </c>
      <c r="AQ1261" s="37">
        <f>IF(最佳化斷筋點!R1261="","",最佳化斷筋點!R1261)</f>
        <v>3</v>
      </c>
      <c r="AR1261" s="37">
        <f>IF(最佳化斷筋點!S1261="","",最佳化斷筋點!S1261)</f>
        <v>3</v>
      </c>
      <c r="AS1261" s="37">
        <f>IF(最佳化斷筋點!T1261="","",最佳化斷筋點!T1261)</f>
        <v>3</v>
      </c>
      <c r="AT1261" s="37">
        <f>IF(最佳化斷筋點!U1261="","",最佳化斷筋點!U1261)</f>
        <v>3</v>
      </c>
      <c r="AU1261" s="37">
        <f>IF(最佳化斷筋點!V1261="","",最佳化斷筋點!V1261)</f>
        <v>3</v>
      </c>
      <c r="AV1261" s="37">
        <f>IF(最佳化斷筋點!W1261="","",最佳化斷筋點!W1261)</f>
        <v>3</v>
      </c>
      <c r="AW1261" s="37">
        <f>IF(最佳化斷筋點!X1261="","",最佳化斷筋點!X1261)</f>
        <v>3</v>
      </c>
      <c r="AZ1261" s="37">
        <v>3</v>
      </c>
      <c r="BA1261" s="37">
        <v>3</v>
      </c>
      <c r="BB1261" s="37">
        <v>3</v>
      </c>
      <c r="BC1261" s="37">
        <v>3</v>
      </c>
      <c r="BD1261" s="37">
        <v>3</v>
      </c>
      <c r="BE1261" s="37">
        <v>3</v>
      </c>
      <c r="BF1261" s="37">
        <v>3</v>
      </c>
      <c r="BG1261" s="37">
        <v>3</v>
      </c>
      <c r="BH1261" s="37">
        <v>3</v>
      </c>
      <c r="BI1261" s="37">
        <v>3</v>
      </c>
      <c r="BJ1261" s="37">
        <v>3</v>
      </c>
      <c r="BK1261" s="37">
        <v>3</v>
      </c>
      <c r="BL1261" s="37">
        <v>3</v>
      </c>
      <c r="BM1261" s="37">
        <v>3</v>
      </c>
      <c r="BN1261" s="37">
        <v>3</v>
      </c>
      <c r="BO1261" s="37">
        <v>3</v>
      </c>
      <c r="BP1261" s="37">
        <v>3</v>
      </c>
      <c r="BQ1261" s="37">
        <v>3</v>
      </c>
      <c r="BR1261" s="37">
        <v>3</v>
      </c>
      <c r="BS1261" s="37">
        <v>3</v>
      </c>
      <c r="BT1261" s="37">
        <v>3</v>
      </c>
    </row>
    <row r="1262" spans="5:72" x14ac:dyDescent="0.25">
      <c r="AC1262" s="37"/>
      <c r="AD1262" s="37"/>
      <c r="AE1262" s="37"/>
      <c r="AF1262" s="37"/>
      <c r="AG1262" s="37"/>
      <c r="AH1262" s="37"/>
      <c r="AI1262" s="37"/>
      <c r="AJ1262" s="37"/>
      <c r="AK1262" s="37"/>
      <c r="AL1262" s="37"/>
      <c r="AM1262" s="37"/>
      <c r="AN1262" s="37"/>
      <c r="AO1262" s="37"/>
      <c r="AP1262" s="37"/>
      <c r="AQ1262" s="37"/>
      <c r="AR1262" s="37"/>
      <c r="AS1262" s="37"/>
      <c r="AT1262" s="37"/>
      <c r="AU1262" s="37"/>
      <c r="AV1262" s="37"/>
      <c r="AW1262" s="37"/>
    </row>
    <row r="1263" spans="5:72" x14ac:dyDescent="0.25">
      <c r="AC1263" s="37"/>
      <c r="AD1263" s="37"/>
      <c r="AE1263" s="37"/>
      <c r="AF1263" s="37"/>
      <c r="AG1263" s="37"/>
      <c r="AH1263" s="37"/>
      <c r="AI1263" s="37"/>
      <c r="AJ1263" s="37"/>
      <c r="AK1263" s="37"/>
      <c r="AL1263" s="37"/>
      <c r="AM1263" s="37"/>
      <c r="AN1263" s="37"/>
      <c r="AO1263" s="37"/>
      <c r="AP1263" s="37"/>
      <c r="AQ1263" s="37"/>
      <c r="AR1263" s="37"/>
      <c r="AS1263" s="37"/>
      <c r="AT1263" s="37"/>
      <c r="AU1263" s="37"/>
      <c r="AV1263" s="37"/>
      <c r="AW1263" s="37"/>
    </row>
    <row r="1264" spans="5:72" x14ac:dyDescent="0.25">
      <c r="AC1264" s="37"/>
      <c r="AD1264" s="37"/>
      <c r="AE1264" s="37"/>
      <c r="AF1264" s="37"/>
      <c r="AG1264" s="37"/>
      <c r="AH1264" s="37"/>
      <c r="AI1264" s="37"/>
      <c r="AJ1264" s="37"/>
      <c r="AK1264" s="37"/>
      <c r="AL1264" s="37"/>
      <c r="AM1264" s="37"/>
      <c r="AN1264" s="37"/>
      <c r="AO1264" s="37"/>
      <c r="AP1264" s="37"/>
      <c r="AQ1264" s="37"/>
      <c r="AR1264" s="37"/>
      <c r="AS1264" s="37"/>
      <c r="AT1264" s="37"/>
      <c r="AU1264" s="37"/>
      <c r="AV1264" s="37"/>
      <c r="AW1264" s="37"/>
    </row>
    <row r="1265" spans="29:49" x14ac:dyDescent="0.25">
      <c r="AC1265" s="37"/>
      <c r="AD1265" s="37"/>
      <c r="AE1265" s="37"/>
      <c r="AF1265" s="37"/>
      <c r="AG1265" s="37"/>
      <c r="AH1265" s="37"/>
      <c r="AI1265" s="37"/>
      <c r="AJ1265" s="37"/>
      <c r="AK1265" s="37"/>
      <c r="AL1265" s="37"/>
      <c r="AM1265" s="37"/>
      <c r="AN1265" s="37"/>
      <c r="AO1265" s="37"/>
      <c r="AP1265" s="37"/>
      <c r="AQ1265" s="37"/>
      <c r="AR1265" s="37"/>
      <c r="AS1265" s="37"/>
      <c r="AT1265" s="37"/>
      <c r="AU1265" s="37"/>
      <c r="AV1265" s="37"/>
      <c r="AW1265" s="37"/>
    </row>
    <row r="1266" spans="29:49" x14ac:dyDescent="0.25">
      <c r="AC1266" s="37"/>
      <c r="AD1266" s="37"/>
      <c r="AE1266" s="37"/>
      <c r="AF1266" s="37"/>
      <c r="AG1266" s="37"/>
      <c r="AH1266" s="37"/>
      <c r="AI1266" s="37"/>
      <c r="AJ1266" s="37"/>
      <c r="AK1266" s="37"/>
      <c r="AL1266" s="37"/>
      <c r="AM1266" s="37"/>
      <c r="AN1266" s="37"/>
      <c r="AO1266" s="37"/>
      <c r="AP1266" s="37"/>
      <c r="AQ1266" s="37"/>
      <c r="AR1266" s="37"/>
      <c r="AS1266" s="37"/>
      <c r="AT1266" s="37"/>
      <c r="AU1266" s="37"/>
      <c r="AV1266" s="37"/>
      <c r="AW1266" s="37"/>
    </row>
    <row r="1267" spans="29:49" x14ac:dyDescent="0.25">
      <c r="AC1267" s="37"/>
      <c r="AD1267" s="37"/>
      <c r="AE1267" s="37"/>
      <c r="AF1267" s="37"/>
      <c r="AG1267" s="37"/>
      <c r="AH1267" s="37"/>
      <c r="AI1267" s="37"/>
      <c r="AJ1267" s="37"/>
      <c r="AK1267" s="37"/>
      <c r="AL1267" s="37"/>
      <c r="AM1267" s="37"/>
      <c r="AN1267" s="37"/>
      <c r="AO1267" s="37"/>
      <c r="AP1267" s="37"/>
      <c r="AQ1267" s="37"/>
      <c r="AR1267" s="37"/>
      <c r="AS1267" s="37"/>
      <c r="AT1267" s="37"/>
      <c r="AU1267" s="37"/>
      <c r="AV1267" s="37"/>
      <c r="AW1267" s="37"/>
    </row>
    <row r="1268" spans="29:49" x14ac:dyDescent="0.25">
      <c r="AC1268" s="37"/>
      <c r="AD1268" s="37"/>
      <c r="AE1268" s="37"/>
      <c r="AF1268" s="37"/>
      <c r="AG1268" s="37"/>
      <c r="AH1268" s="37"/>
      <c r="AI1268" s="37"/>
      <c r="AJ1268" s="37"/>
      <c r="AK1268" s="37"/>
      <c r="AL1268" s="37"/>
      <c r="AM1268" s="37"/>
      <c r="AN1268" s="37"/>
      <c r="AO1268" s="37"/>
      <c r="AP1268" s="37"/>
      <c r="AQ1268" s="37"/>
      <c r="AR1268" s="37"/>
      <c r="AS1268" s="37"/>
      <c r="AT1268" s="37"/>
      <c r="AU1268" s="37"/>
      <c r="AV1268" s="37"/>
      <c r="AW1268" s="37"/>
    </row>
    <row r="1269" spans="29:49" x14ac:dyDescent="0.25">
      <c r="AC1269" s="37"/>
      <c r="AD1269" s="37"/>
      <c r="AE1269" s="37"/>
      <c r="AF1269" s="37"/>
      <c r="AG1269" s="37"/>
      <c r="AH1269" s="37"/>
      <c r="AI1269" s="37"/>
      <c r="AJ1269" s="37"/>
      <c r="AK1269" s="37"/>
      <c r="AL1269" s="37"/>
      <c r="AM1269" s="37"/>
      <c r="AN1269" s="37"/>
      <c r="AO1269" s="37"/>
      <c r="AP1269" s="37"/>
      <c r="AQ1269" s="37"/>
      <c r="AR1269" s="37"/>
      <c r="AS1269" s="37"/>
      <c r="AT1269" s="37"/>
      <c r="AU1269" s="37"/>
      <c r="AV1269" s="37"/>
      <c r="AW1269" s="37"/>
    </row>
    <row r="1270" spans="29:49" x14ac:dyDescent="0.25">
      <c r="AC1270" s="37"/>
      <c r="AD1270" s="37"/>
      <c r="AE1270" s="37"/>
      <c r="AF1270" s="37"/>
      <c r="AG1270" s="37"/>
      <c r="AH1270" s="37"/>
      <c r="AI1270" s="37"/>
      <c r="AJ1270" s="37"/>
      <c r="AK1270" s="37"/>
      <c r="AL1270" s="37"/>
      <c r="AM1270" s="37"/>
      <c r="AN1270" s="37"/>
      <c r="AO1270" s="37"/>
      <c r="AP1270" s="37"/>
      <c r="AQ1270" s="37"/>
      <c r="AR1270" s="37"/>
      <c r="AS1270" s="37"/>
      <c r="AT1270" s="37"/>
      <c r="AU1270" s="37"/>
      <c r="AV1270" s="37"/>
      <c r="AW1270" s="37"/>
    </row>
    <row r="1271" spans="29:49" x14ac:dyDescent="0.25">
      <c r="AC1271" s="37"/>
      <c r="AD1271" s="37"/>
      <c r="AE1271" s="37"/>
      <c r="AF1271" s="37"/>
      <c r="AG1271" s="37"/>
      <c r="AH1271" s="37"/>
      <c r="AI1271" s="37"/>
      <c r="AJ1271" s="37"/>
      <c r="AK1271" s="37"/>
      <c r="AL1271" s="37"/>
      <c r="AM1271" s="37"/>
      <c r="AN1271" s="37"/>
      <c r="AO1271" s="37"/>
      <c r="AP1271" s="37"/>
      <c r="AQ1271" s="37"/>
      <c r="AR1271" s="37"/>
      <c r="AS1271" s="37"/>
      <c r="AT1271" s="37"/>
      <c r="AU1271" s="37"/>
      <c r="AV1271" s="37"/>
      <c r="AW1271" s="37"/>
    </row>
    <row r="1272" spans="29:49" x14ac:dyDescent="0.25">
      <c r="AC1272" s="37"/>
      <c r="AD1272" s="37"/>
      <c r="AE1272" s="37"/>
      <c r="AF1272" s="37"/>
      <c r="AG1272" s="37"/>
      <c r="AH1272" s="37"/>
      <c r="AI1272" s="37"/>
      <c r="AJ1272" s="37"/>
      <c r="AK1272" s="37"/>
      <c r="AL1272" s="37"/>
      <c r="AM1272" s="37"/>
      <c r="AN1272" s="37"/>
      <c r="AO1272" s="37"/>
      <c r="AP1272" s="37"/>
      <c r="AQ1272" s="37"/>
      <c r="AR1272" s="37"/>
      <c r="AS1272" s="37"/>
      <c r="AT1272" s="37"/>
      <c r="AU1272" s="37"/>
      <c r="AV1272" s="37"/>
      <c r="AW1272" s="37"/>
    </row>
    <row r="1273" spans="29:49" x14ac:dyDescent="0.25">
      <c r="AC1273" s="37"/>
      <c r="AD1273" s="37"/>
      <c r="AE1273" s="37"/>
      <c r="AF1273" s="37"/>
      <c r="AG1273" s="37"/>
      <c r="AH1273" s="37"/>
      <c r="AI1273" s="37"/>
      <c r="AJ1273" s="37"/>
      <c r="AK1273" s="37"/>
      <c r="AL1273" s="37"/>
      <c r="AM1273" s="37"/>
      <c r="AN1273" s="37"/>
      <c r="AO1273" s="37"/>
      <c r="AP1273" s="37"/>
      <c r="AQ1273" s="37"/>
      <c r="AR1273" s="37"/>
      <c r="AS1273" s="37"/>
      <c r="AT1273" s="37"/>
      <c r="AU1273" s="37"/>
      <c r="AV1273" s="37"/>
      <c r="AW1273" s="37"/>
    </row>
    <row r="1274" spans="29:49" x14ac:dyDescent="0.25">
      <c r="AC1274" s="37"/>
      <c r="AD1274" s="37"/>
      <c r="AE1274" s="37"/>
      <c r="AF1274" s="37"/>
      <c r="AG1274" s="37"/>
      <c r="AH1274" s="37"/>
      <c r="AI1274" s="37"/>
      <c r="AJ1274" s="37"/>
      <c r="AK1274" s="37"/>
      <c r="AL1274" s="37"/>
      <c r="AM1274" s="37"/>
      <c r="AN1274" s="37"/>
      <c r="AO1274" s="37"/>
      <c r="AP1274" s="37"/>
      <c r="AQ1274" s="37"/>
      <c r="AR1274" s="37"/>
      <c r="AS1274" s="37"/>
      <c r="AT1274" s="37"/>
      <c r="AU1274" s="37"/>
      <c r="AV1274" s="37"/>
      <c r="AW1274" s="37"/>
    </row>
    <row r="1275" spans="29:49" x14ac:dyDescent="0.25">
      <c r="AC1275" s="37"/>
      <c r="AD1275" s="37"/>
      <c r="AE1275" s="37"/>
      <c r="AF1275" s="37"/>
      <c r="AG1275" s="37"/>
      <c r="AH1275" s="37"/>
      <c r="AI1275" s="37"/>
      <c r="AJ1275" s="37"/>
      <c r="AK1275" s="37"/>
      <c r="AL1275" s="37"/>
      <c r="AM1275" s="37"/>
      <c r="AN1275" s="37"/>
      <c r="AO1275" s="37"/>
      <c r="AP1275" s="37"/>
      <c r="AQ1275" s="37"/>
      <c r="AR1275" s="37"/>
      <c r="AS1275" s="37"/>
      <c r="AT1275" s="37"/>
      <c r="AU1275" s="37"/>
      <c r="AV1275" s="37"/>
      <c r="AW1275" s="37"/>
    </row>
    <row r="1276" spans="29:49" x14ac:dyDescent="0.25">
      <c r="AC1276" s="37"/>
      <c r="AD1276" s="37"/>
      <c r="AE1276" s="37"/>
      <c r="AF1276" s="37"/>
      <c r="AG1276" s="37"/>
      <c r="AH1276" s="37"/>
      <c r="AI1276" s="37"/>
      <c r="AJ1276" s="37"/>
      <c r="AK1276" s="37"/>
      <c r="AL1276" s="37"/>
      <c r="AM1276" s="37"/>
      <c r="AN1276" s="37"/>
      <c r="AO1276" s="37"/>
      <c r="AP1276" s="37"/>
      <c r="AQ1276" s="37"/>
      <c r="AR1276" s="37"/>
      <c r="AS1276" s="37"/>
      <c r="AT1276" s="37"/>
      <c r="AU1276" s="37"/>
      <c r="AV1276" s="37"/>
      <c r="AW1276" s="37"/>
    </row>
    <row r="1277" spans="29:49" x14ac:dyDescent="0.25">
      <c r="AC1277" s="37"/>
      <c r="AD1277" s="37"/>
      <c r="AE1277" s="37"/>
      <c r="AF1277" s="37"/>
      <c r="AG1277" s="37"/>
      <c r="AH1277" s="37"/>
      <c r="AI1277" s="37"/>
      <c r="AJ1277" s="37"/>
      <c r="AK1277" s="37"/>
      <c r="AL1277" s="37"/>
      <c r="AM1277" s="37"/>
      <c r="AN1277" s="37"/>
      <c r="AO1277" s="37"/>
      <c r="AP1277" s="37"/>
      <c r="AQ1277" s="37"/>
      <c r="AR1277" s="37"/>
      <c r="AS1277" s="37"/>
      <c r="AT1277" s="37"/>
      <c r="AU1277" s="37"/>
      <c r="AV1277" s="37"/>
      <c r="AW1277" s="37"/>
    </row>
    <row r="1278" spans="29:49" x14ac:dyDescent="0.25">
      <c r="AC1278" s="37"/>
      <c r="AD1278" s="37"/>
      <c r="AE1278" s="37"/>
      <c r="AF1278" s="37"/>
      <c r="AG1278" s="37"/>
      <c r="AH1278" s="37"/>
      <c r="AI1278" s="37"/>
      <c r="AJ1278" s="37"/>
      <c r="AK1278" s="37"/>
      <c r="AL1278" s="37"/>
      <c r="AM1278" s="37"/>
      <c r="AN1278" s="37"/>
      <c r="AO1278" s="37"/>
      <c r="AP1278" s="37"/>
      <c r="AQ1278" s="37"/>
      <c r="AR1278" s="37"/>
      <c r="AS1278" s="37"/>
      <c r="AT1278" s="37"/>
      <c r="AU1278" s="37"/>
      <c r="AV1278" s="37"/>
      <c r="AW1278" s="37"/>
    </row>
    <row r="1279" spans="29:49" x14ac:dyDescent="0.25">
      <c r="AC1279" s="37"/>
      <c r="AD1279" s="37"/>
      <c r="AE1279" s="37"/>
      <c r="AF1279" s="37"/>
      <c r="AG1279" s="37"/>
      <c r="AH1279" s="37"/>
      <c r="AI1279" s="37"/>
      <c r="AJ1279" s="37"/>
      <c r="AK1279" s="37"/>
      <c r="AL1279" s="37"/>
      <c r="AM1279" s="37"/>
      <c r="AN1279" s="37"/>
      <c r="AO1279" s="37"/>
      <c r="AP1279" s="37"/>
      <c r="AQ1279" s="37"/>
      <c r="AR1279" s="37"/>
      <c r="AS1279" s="37"/>
      <c r="AT1279" s="37"/>
      <c r="AU1279" s="37"/>
      <c r="AV1279" s="37"/>
      <c r="AW1279" s="37"/>
    </row>
    <row r="1280" spans="29:49" x14ac:dyDescent="0.25">
      <c r="AC1280" s="37"/>
      <c r="AD1280" s="37"/>
      <c r="AE1280" s="37"/>
      <c r="AF1280" s="37"/>
      <c r="AG1280" s="37"/>
      <c r="AH1280" s="37"/>
      <c r="AI1280" s="37"/>
      <c r="AJ1280" s="37"/>
      <c r="AK1280" s="37"/>
      <c r="AL1280" s="37"/>
      <c r="AM1280" s="37"/>
      <c r="AN1280" s="37"/>
      <c r="AO1280" s="37"/>
      <c r="AP1280" s="37"/>
      <c r="AQ1280" s="37"/>
      <c r="AR1280" s="37"/>
      <c r="AS1280" s="37"/>
      <c r="AT1280" s="37"/>
      <c r="AU1280" s="37"/>
      <c r="AV1280" s="37"/>
      <c r="AW1280" s="37"/>
    </row>
    <row r="1281" spans="29:49" x14ac:dyDescent="0.25">
      <c r="AC1281" s="37"/>
      <c r="AD1281" s="37"/>
      <c r="AE1281" s="37"/>
      <c r="AF1281" s="37"/>
      <c r="AG1281" s="37"/>
      <c r="AH1281" s="37"/>
      <c r="AI1281" s="37"/>
      <c r="AJ1281" s="37"/>
      <c r="AK1281" s="37"/>
      <c r="AL1281" s="37"/>
      <c r="AM1281" s="37"/>
      <c r="AN1281" s="37"/>
      <c r="AO1281" s="37"/>
      <c r="AP1281" s="37"/>
      <c r="AQ1281" s="37"/>
      <c r="AR1281" s="37"/>
      <c r="AS1281" s="37"/>
      <c r="AT1281" s="37"/>
      <c r="AU1281" s="37"/>
      <c r="AV1281" s="37"/>
      <c r="AW1281" s="37"/>
    </row>
    <row r="1282" spans="29:49" x14ac:dyDescent="0.25">
      <c r="AC1282" s="37"/>
      <c r="AD1282" s="37"/>
      <c r="AE1282" s="37"/>
      <c r="AF1282" s="37"/>
      <c r="AG1282" s="37"/>
      <c r="AH1282" s="37"/>
      <c r="AI1282" s="37"/>
      <c r="AJ1282" s="37"/>
      <c r="AK1282" s="37"/>
      <c r="AL1282" s="37"/>
      <c r="AM1282" s="37"/>
      <c r="AN1282" s="37"/>
      <c r="AO1282" s="37"/>
      <c r="AP1282" s="37"/>
      <c r="AQ1282" s="37"/>
      <c r="AR1282" s="37"/>
      <c r="AS1282" s="37"/>
      <c r="AT1282" s="37"/>
      <c r="AU1282" s="37"/>
      <c r="AV1282" s="37"/>
      <c r="AW1282" s="37"/>
    </row>
    <row r="1283" spans="29:49" x14ac:dyDescent="0.25">
      <c r="AC1283" s="37"/>
      <c r="AD1283" s="37"/>
      <c r="AE1283" s="37"/>
      <c r="AF1283" s="37"/>
      <c r="AG1283" s="37"/>
      <c r="AH1283" s="37"/>
      <c r="AI1283" s="37"/>
      <c r="AJ1283" s="37"/>
      <c r="AK1283" s="37"/>
      <c r="AL1283" s="37"/>
      <c r="AM1283" s="37"/>
      <c r="AN1283" s="37"/>
      <c r="AO1283" s="37"/>
      <c r="AP1283" s="37"/>
      <c r="AQ1283" s="37"/>
      <c r="AR1283" s="37"/>
      <c r="AS1283" s="37"/>
      <c r="AT1283" s="37"/>
      <c r="AU1283" s="37"/>
      <c r="AV1283" s="37"/>
      <c r="AW1283" s="37"/>
    </row>
    <row r="1284" spans="29:49" x14ac:dyDescent="0.25">
      <c r="AC1284" s="37"/>
      <c r="AD1284" s="37"/>
      <c r="AE1284" s="37"/>
      <c r="AF1284" s="37"/>
      <c r="AG1284" s="37"/>
      <c r="AH1284" s="37"/>
      <c r="AI1284" s="37"/>
      <c r="AJ1284" s="37"/>
      <c r="AK1284" s="37"/>
      <c r="AL1284" s="37"/>
      <c r="AM1284" s="37"/>
      <c r="AN1284" s="37"/>
      <c r="AO1284" s="37"/>
      <c r="AP1284" s="37"/>
      <c r="AQ1284" s="37"/>
      <c r="AR1284" s="37"/>
      <c r="AS1284" s="37"/>
      <c r="AT1284" s="37"/>
      <c r="AU1284" s="37"/>
      <c r="AV1284" s="37"/>
      <c r="AW1284" s="37"/>
    </row>
    <row r="1285" spans="29:49" x14ac:dyDescent="0.25">
      <c r="AC1285" s="37"/>
      <c r="AD1285" s="37"/>
      <c r="AE1285" s="37"/>
      <c r="AF1285" s="37"/>
      <c r="AG1285" s="37"/>
      <c r="AH1285" s="37"/>
      <c r="AI1285" s="37"/>
      <c r="AJ1285" s="37"/>
      <c r="AK1285" s="37"/>
      <c r="AL1285" s="37"/>
      <c r="AM1285" s="37"/>
      <c r="AN1285" s="37"/>
      <c r="AO1285" s="37"/>
      <c r="AP1285" s="37"/>
      <c r="AQ1285" s="37"/>
      <c r="AR1285" s="37"/>
      <c r="AS1285" s="37"/>
      <c r="AT1285" s="37"/>
      <c r="AU1285" s="37"/>
      <c r="AV1285" s="37"/>
      <c r="AW1285" s="37"/>
    </row>
    <row r="1286" spans="29:49" x14ac:dyDescent="0.25">
      <c r="AC1286" s="37"/>
      <c r="AD1286" s="37"/>
      <c r="AE1286" s="37"/>
      <c r="AF1286" s="37"/>
      <c r="AG1286" s="37"/>
      <c r="AH1286" s="37"/>
      <c r="AI1286" s="37"/>
      <c r="AJ1286" s="37"/>
      <c r="AK1286" s="37"/>
      <c r="AL1286" s="37"/>
      <c r="AM1286" s="37"/>
      <c r="AN1286" s="37"/>
      <c r="AO1286" s="37"/>
      <c r="AP1286" s="37"/>
      <c r="AQ1286" s="37"/>
      <c r="AR1286" s="37"/>
      <c r="AS1286" s="37"/>
      <c r="AT1286" s="37"/>
      <c r="AU1286" s="37"/>
      <c r="AV1286" s="37"/>
      <c r="AW1286" s="37"/>
    </row>
    <row r="1287" spans="29:49" x14ac:dyDescent="0.25">
      <c r="AC1287" s="37"/>
      <c r="AD1287" s="37"/>
      <c r="AE1287" s="37"/>
      <c r="AF1287" s="37"/>
      <c r="AG1287" s="37"/>
      <c r="AH1287" s="37"/>
      <c r="AI1287" s="37"/>
      <c r="AJ1287" s="37"/>
      <c r="AK1287" s="37"/>
      <c r="AL1287" s="37"/>
      <c r="AM1287" s="37"/>
      <c r="AN1287" s="37"/>
      <c r="AO1287" s="37"/>
      <c r="AP1287" s="37"/>
      <c r="AQ1287" s="37"/>
      <c r="AR1287" s="37"/>
      <c r="AS1287" s="37"/>
      <c r="AT1287" s="37"/>
      <c r="AU1287" s="37"/>
      <c r="AV1287" s="37"/>
      <c r="AW1287" s="37"/>
    </row>
    <row r="1288" spans="29:49" x14ac:dyDescent="0.25">
      <c r="AC1288" s="37"/>
      <c r="AD1288" s="37"/>
      <c r="AE1288" s="37"/>
      <c r="AF1288" s="37"/>
      <c r="AG1288" s="37"/>
      <c r="AH1288" s="37"/>
      <c r="AI1288" s="37"/>
      <c r="AJ1288" s="37"/>
      <c r="AK1288" s="37"/>
      <c r="AL1288" s="37"/>
      <c r="AM1288" s="37"/>
      <c r="AN1288" s="37"/>
      <c r="AO1288" s="37"/>
      <c r="AP1288" s="37"/>
      <c r="AQ1288" s="37"/>
      <c r="AR1288" s="37"/>
      <c r="AS1288" s="37"/>
      <c r="AT1288" s="37"/>
      <c r="AU1288" s="37"/>
      <c r="AV1288" s="37"/>
      <c r="AW1288" s="37"/>
    </row>
    <row r="1289" spans="29:49" x14ac:dyDescent="0.25">
      <c r="AC1289" s="37"/>
      <c r="AD1289" s="37"/>
      <c r="AE1289" s="37"/>
      <c r="AF1289" s="37"/>
      <c r="AG1289" s="37"/>
      <c r="AH1289" s="37"/>
      <c r="AI1289" s="37"/>
      <c r="AJ1289" s="37"/>
      <c r="AK1289" s="37"/>
      <c r="AL1289" s="37"/>
      <c r="AM1289" s="37"/>
      <c r="AN1289" s="37"/>
      <c r="AO1289" s="37"/>
      <c r="AP1289" s="37"/>
      <c r="AQ1289" s="37"/>
      <c r="AR1289" s="37"/>
      <c r="AS1289" s="37"/>
      <c r="AT1289" s="37"/>
      <c r="AU1289" s="37"/>
      <c r="AV1289" s="37"/>
      <c r="AW1289" s="37"/>
    </row>
    <row r="1290" spans="29:49" x14ac:dyDescent="0.25">
      <c r="AC1290" s="37"/>
      <c r="AD1290" s="37"/>
      <c r="AE1290" s="37"/>
      <c r="AF1290" s="37"/>
      <c r="AG1290" s="37"/>
      <c r="AH1290" s="37"/>
      <c r="AI1290" s="37"/>
      <c r="AJ1290" s="37"/>
      <c r="AK1290" s="37"/>
      <c r="AL1290" s="37"/>
      <c r="AM1290" s="37"/>
      <c r="AN1290" s="37"/>
      <c r="AO1290" s="37"/>
      <c r="AP1290" s="37"/>
      <c r="AQ1290" s="37"/>
      <c r="AR1290" s="37"/>
      <c r="AS1290" s="37"/>
      <c r="AT1290" s="37"/>
      <c r="AU1290" s="37"/>
      <c r="AV1290" s="37"/>
      <c r="AW1290" s="37"/>
    </row>
    <row r="1291" spans="29:49" x14ac:dyDescent="0.25">
      <c r="AC1291" s="37"/>
      <c r="AD1291" s="37"/>
      <c r="AE1291" s="37"/>
      <c r="AF1291" s="37"/>
      <c r="AG1291" s="37"/>
      <c r="AH1291" s="37"/>
      <c r="AI1291" s="37"/>
      <c r="AJ1291" s="37"/>
      <c r="AK1291" s="37"/>
      <c r="AL1291" s="37"/>
      <c r="AM1291" s="37"/>
      <c r="AN1291" s="37"/>
      <c r="AO1291" s="37"/>
      <c r="AP1291" s="37"/>
      <c r="AQ1291" s="37"/>
      <c r="AR1291" s="37"/>
      <c r="AS1291" s="37"/>
      <c r="AT1291" s="37"/>
      <c r="AU1291" s="37"/>
      <c r="AV1291" s="37"/>
      <c r="AW1291" s="37"/>
    </row>
    <row r="1292" spans="29:49" x14ac:dyDescent="0.25">
      <c r="AC1292" s="37"/>
      <c r="AD1292" s="37"/>
      <c r="AE1292" s="37"/>
      <c r="AF1292" s="37"/>
      <c r="AG1292" s="37"/>
      <c r="AH1292" s="37"/>
      <c r="AI1292" s="37"/>
      <c r="AJ1292" s="37"/>
      <c r="AK1292" s="37"/>
      <c r="AL1292" s="37"/>
      <c r="AM1292" s="37"/>
      <c r="AN1292" s="37"/>
      <c r="AO1292" s="37"/>
      <c r="AP1292" s="37"/>
      <c r="AQ1292" s="37"/>
      <c r="AR1292" s="37"/>
      <c r="AS1292" s="37"/>
      <c r="AT1292" s="37"/>
      <c r="AU1292" s="37"/>
      <c r="AV1292" s="37"/>
      <c r="AW1292" s="37"/>
    </row>
    <row r="1293" spans="29:49" x14ac:dyDescent="0.25">
      <c r="AC1293" s="37"/>
      <c r="AD1293" s="37"/>
      <c r="AE1293" s="37"/>
      <c r="AF1293" s="37"/>
      <c r="AG1293" s="37"/>
      <c r="AH1293" s="37"/>
      <c r="AI1293" s="37"/>
      <c r="AJ1293" s="37"/>
      <c r="AK1293" s="37"/>
      <c r="AL1293" s="37"/>
      <c r="AM1293" s="37"/>
      <c r="AN1293" s="37"/>
      <c r="AO1293" s="37"/>
      <c r="AP1293" s="37"/>
      <c r="AQ1293" s="37"/>
      <c r="AR1293" s="37"/>
      <c r="AS1293" s="37"/>
      <c r="AT1293" s="37"/>
      <c r="AU1293" s="37"/>
      <c r="AV1293" s="37"/>
      <c r="AW1293" s="37"/>
    </row>
    <row r="1294" spans="29:49" x14ac:dyDescent="0.25">
      <c r="AC1294" s="37"/>
      <c r="AD1294" s="37"/>
      <c r="AE1294" s="37"/>
      <c r="AF1294" s="37"/>
      <c r="AG1294" s="37"/>
      <c r="AH1294" s="37"/>
      <c r="AI1294" s="37"/>
      <c r="AJ1294" s="37"/>
      <c r="AK1294" s="37"/>
      <c r="AL1294" s="37"/>
      <c r="AM1294" s="37"/>
      <c r="AN1294" s="37"/>
      <c r="AO1294" s="37"/>
      <c r="AP1294" s="37"/>
      <c r="AQ1294" s="37"/>
      <c r="AR1294" s="37"/>
      <c r="AS1294" s="37"/>
      <c r="AT1294" s="37"/>
      <c r="AU1294" s="37"/>
      <c r="AV1294" s="37"/>
      <c r="AW1294" s="37"/>
    </row>
    <row r="1295" spans="29:49" x14ac:dyDescent="0.25">
      <c r="AC1295" s="37"/>
      <c r="AD1295" s="37"/>
      <c r="AE1295" s="37"/>
      <c r="AF1295" s="37"/>
      <c r="AG1295" s="37"/>
      <c r="AH1295" s="37"/>
      <c r="AI1295" s="37"/>
      <c r="AJ1295" s="37"/>
      <c r="AK1295" s="37"/>
      <c r="AL1295" s="37"/>
      <c r="AM1295" s="37"/>
      <c r="AN1295" s="37"/>
      <c r="AO1295" s="37"/>
      <c r="AP1295" s="37"/>
      <c r="AQ1295" s="37"/>
      <c r="AR1295" s="37"/>
      <c r="AS1295" s="37"/>
      <c r="AT1295" s="37"/>
      <c r="AU1295" s="37"/>
      <c r="AV1295" s="37"/>
      <c r="AW1295" s="37"/>
    </row>
    <row r="1296" spans="29:49" x14ac:dyDescent="0.25">
      <c r="AC1296" s="37"/>
      <c r="AD1296" s="37"/>
      <c r="AE1296" s="37"/>
      <c r="AF1296" s="37"/>
      <c r="AG1296" s="37"/>
      <c r="AH1296" s="37"/>
      <c r="AI1296" s="37"/>
      <c r="AJ1296" s="37"/>
      <c r="AK1296" s="37"/>
      <c r="AL1296" s="37"/>
      <c r="AM1296" s="37"/>
      <c r="AN1296" s="37"/>
      <c r="AO1296" s="37"/>
      <c r="AP1296" s="37"/>
      <c r="AQ1296" s="37"/>
      <c r="AR1296" s="37"/>
      <c r="AS1296" s="37"/>
      <c r="AT1296" s="37"/>
      <c r="AU1296" s="37"/>
      <c r="AV1296" s="37"/>
      <c r="AW1296" s="37"/>
    </row>
    <row r="1297" spans="29:49" x14ac:dyDescent="0.25">
      <c r="AC1297" s="37"/>
      <c r="AD1297" s="37"/>
      <c r="AE1297" s="37"/>
      <c r="AF1297" s="37"/>
      <c r="AG1297" s="37"/>
      <c r="AH1297" s="37"/>
      <c r="AI1297" s="37"/>
      <c r="AJ1297" s="37"/>
      <c r="AK1297" s="37"/>
      <c r="AL1297" s="37"/>
      <c r="AM1297" s="37"/>
      <c r="AN1297" s="37"/>
      <c r="AO1297" s="37"/>
      <c r="AP1297" s="37"/>
      <c r="AQ1297" s="37"/>
      <c r="AR1297" s="37"/>
      <c r="AS1297" s="37"/>
      <c r="AT1297" s="37"/>
      <c r="AU1297" s="37"/>
      <c r="AV1297" s="37"/>
      <c r="AW1297" s="37"/>
    </row>
    <row r="1298" spans="29:49" x14ac:dyDescent="0.25">
      <c r="AC1298" s="37"/>
      <c r="AD1298" s="37"/>
      <c r="AE1298" s="37"/>
      <c r="AF1298" s="37"/>
      <c r="AG1298" s="37"/>
      <c r="AH1298" s="37"/>
      <c r="AI1298" s="37"/>
      <c r="AJ1298" s="37"/>
      <c r="AK1298" s="37"/>
      <c r="AL1298" s="37"/>
      <c r="AM1298" s="37"/>
      <c r="AN1298" s="37"/>
      <c r="AO1298" s="37"/>
      <c r="AP1298" s="37"/>
      <c r="AQ1298" s="37"/>
      <c r="AR1298" s="37"/>
      <c r="AS1298" s="37"/>
      <c r="AT1298" s="37"/>
      <c r="AU1298" s="37"/>
      <c r="AV1298" s="37"/>
      <c r="AW1298" s="37"/>
    </row>
    <row r="1299" spans="29:49" x14ac:dyDescent="0.25">
      <c r="AC1299" s="37"/>
      <c r="AD1299" s="37"/>
      <c r="AE1299" s="37"/>
      <c r="AF1299" s="37"/>
      <c r="AG1299" s="37"/>
      <c r="AH1299" s="37"/>
      <c r="AI1299" s="37"/>
      <c r="AJ1299" s="37"/>
      <c r="AK1299" s="37"/>
      <c r="AL1299" s="37"/>
      <c r="AM1299" s="37"/>
      <c r="AN1299" s="37"/>
      <c r="AO1299" s="37"/>
      <c r="AP1299" s="37"/>
      <c r="AQ1299" s="37"/>
      <c r="AR1299" s="37"/>
      <c r="AS1299" s="37"/>
      <c r="AT1299" s="37"/>
      <c r="AU1299" s="37"/>
      <c r="AV1299" s="37"/>
      <c r="AW1299" s="37"/>
    </row>
    <row r="1300" spans="29:49" x14ac:dyDescent="0.25">
      <c r="AC1300" s="37"/>
      <c r="AD1300" s="37"/>
      <c r="AE1300" s="37"/>
      <c r="AF1300" s="37"/>
      <c r="AG1300" s="37"/>
      <c r="AH1300" s="37"/>
      <c r="AI1300" s="37"/>
      <c r="AJ1300" s="37"/>
      <c r="AK1300" s="37"/>
      <c r="AL1300" s="37"/>
      <c r="AM1300" s="37"/>
      <c r="AN1300" s="37"/>
      <c r="AO1300" s="37"/>
      <c r="AP1300" s="37"/>
      <c r="AQ1300" s="37"/>
      <c r="AR1300" s="37"/>
      <c r="AS1300" s="37"/>
      <c r="AT1300" s="37"/>
      <c r="AU1300" s="37"/>
      <c r="AV1300" s="37"/>
      <c r="AW1300" s="37"/>
    </row>
    <row r="1301" spans="29:49" x14ac:dyDescent="0.25">
      <c r="AC1301" s="37"/>
      <c r="AD1301" s="37"/>
      <c r="AE1301" s="37"/>
      <c r="AF1301" s="37"/>
      <c r="AG1301" s="37"/>
      <c r="AH1301" s="37"/>
      <c r="AI1301" s="37"/>
      <c r="AJ1301" s="37"/>
      <c r="AK1301" s="37"/>
      <c r="AL1301" s="37"/>
      <c r="AM1301" s="37"/>
      <c r="AN1301" s="37"/>
      <c r="AO1301" s="37"/>
      <c r="AP1301" s="37"/>
      <c r="AQ1301" s="37"/>
      <c r="AR1301" s="37"/>
      <c r="AS1301" s="37"/>
      <c r="AT1301" s="37"/>
      <c r="AU1301" s="37"/>
      <c r="AV1301" s="37"/>
      <c r="AW1301" s="37"/>
    </row>
    <row r="1302" spans="29:49" x14ac:dyDescent="0.25">
      <c r="AC1302" s="37"/>
      <c r="AD1302" s="37"/>
      <c r="AE1302" s="37"/>
      <c r="AF1302" s="37"/>
      <c r="AG1302" s="37"/>
      <c r="AH1302" s="37"/>
      <c r="AI1302" s="37"/>
      <c r="AJ1302" s="37"/>
      <c r="AK1302" s="37"/>
      <c r="AL1302" s="37"/>
      <c r="AM1302" s="37"/>
      <c r="AN1302" s="37"/>
      <c r="AO1302" s="37"/>
      <c r="AP1302" s="37"/>
      <c r="AQ1302" s="37"/>
      <c r="AR1302" s="37"/>
      <c r="AS1302" s="37"/>
      <c r="AT1302" s="37"/>
      <c r="AU1302" s="37"/>
      <c r="AV1302" s="37"/>
      <c r="AW1302" s="37"/>
    </row>
    <row r="1303" spans="29:49" x14ac:dyDescent="0.25">
      <c r="AC1303" s="37"/>
      <c r="AD1303" s="37"/>
      <c r="AE1303" s="37"/>
      <c r="AF1303" s="37"/>
      <c r="AG1303" s="37"/>
      <c r="AH1303" s="37"/>
      <c r="AI1303" s="37"/>
      <c r="AJ1303" s="37"/>
      <c r="AK1303" s="37"/>
      <c r="AL1303" s="37"/>
      <c r="AM1303" s="37"/>
      <c r="AN1303" s="37"/>
      <c r="AO1303" s="37"/>
      <c r="AP1303" s="37"/>
      <c r="AQ1303" s="37"/>
      <c r="AR1303" s="37"/>
      <c r="AS1303" s="37"/>
      <c r="AT1303" s="37"/>
      <c r="AU1303" s="37"/>
      <c r="AV1303" s="37"/>
      <c r="AW1303" s="37"/>
    </row>
    <row r="1304" spans="29:49" x14ac:dyDescent="0.25">
      <c r="AC1304" s="37"/>
      <c r="AD1304" s="37"/>
      <c r="AE1304" s="37"/>
      <c r="AF1304" s="37"/>
      <c r="AG1304" s="37"/>
      <c r="AH1304" s="37"/>
      <c r="AI1304" s="37"/>
      <c r="AJ1304" s="37"/>
      <c r="AK1304" s="37"/>
      <c r="AL1304" s="37"/>
      <c r="AM1304" s="37"/>
      <c r="AN1304" s="37"/>
      <c r="AO1304" s="37"/>
      <c r="AP1304" s="37"/>
      <c r="AQ1304" s="37"/>
      <c r="AR1304" s="37"/>
      <c r="AS1304" s="37"/>
      <c r="AT1304" s="37"/>
      <c r="AU1304" s="37"/>
      <c r="AV1304" s="37"/>
      <c r="AW1304" s="37"/>
    </row>
    <row r="1305" spans="29:49" x14ac:dyDescent="0.25">
      <c r="AC1305" s="37"/>
      <c r="AD1305" s="37"/>
      <c r="AE1305" s="37"/>
      <c r="AF1305" s="37"/>
      <c r="AG1305" s="37"/>
      <c r="AH1305" s="37"/>
      <c r="AI1305" s="37"/>
      <c r="AJ1305" s="37"/>
      <c r="AK1305" s="37"/>
      <c r="AL1305" s="37"/>
      <c r="AM1305" s="37"/>
      <c r="AN1305" s="37"/>
      <c r="AO1305" s="37"/>
      <c r="AP1305" s="37"/>
      <c r="AQ1305" s="37"/>
      <c r="AR1305" s="37"/>
      <c r="AS1305" s="37"/>
      <c r="AT1305" s="37"/>
      <c r="AU1305" s="37"/>
      <c r="AV1305" s="37"/>
      <c r="AW1305" s="37"/>
    </row>
    <row r="1306" spans="29:49" x14ac:dyDescent="0.25">
      <c r="AC1306" s="37"/>
      <c r="AD1306" s="37"/>
      <c r="AE1306" s="37"/>
      <c r="AF1306" s="37"/>
      <c r="AG1306" s="37"/>
      <c r="AH1306" s="37"/>
      <c r="AI1306" s="37"/>
      <c r="AJ1306" s="37"/>
      <c r="AK1306" s="37"/>
      <c r="AL1306" s="37"/>
      <c r="AM1306" s="37"/>
      <c r="AN1306" s="37"/>
      <c r="AO1306" s="37"/>
      <c r="AP1306" s="37"/>
      <c r="AQ1306" s="37"/>
      <c r="AR1306" s="37"/>
      <c r="AS1306" s="37"/>
      <c r="AT1306" s="37"/>
      <c r="AU1306" s="37"/>
      <c r="AV1306" s="37"/>
      <c r="AW1306" s="37"/>
    </row>
    <row r="1307" spans="29:49" x14ac:dyDescent="0.25">
      <c r="AC1307" s="37"/>
      <c r="AD1307" s="37"/>
      <c r="AE1307" s="37"/>
      <c r="AF1307" s="37"/>
      <c r="AG1307" s="37"/>
      <c r="AH1307" s="37"/>
      <c r="AI1307" s="37"/>
      <c r="AJ1307" s="37"/>
      <c r="AK1307" s="37"/>
      <c r="AL1307" s="37"/>
      <c r="AM1307" s="37"/>
      <c r="AN1307" s="37"/>
      <c r="AO1307" s="37"/>
      <c r="AP1307" s="37"/>
      <c r="AQ1307" s="37"/>
      <c r="AR1307" s="37"/>
      <c r="AS1307" s="37"/>
      <c r="AT1307" s="37"/>
      <c r="AU1307" s="37"/>
      <c r="AV1307" s="37"/>
      <c r="AW1307" s="37"/>
    </row>
    <row r="1308" spans="29:49" x14ac:dyDescent="0.25">
      <c r="AC1308" s="37"/>
      <c r="AD1308" s="37"/>
      <c r="AE1308" s="37"/>
      <c r="AF1308" s="37"/>
      <c r="AG1308" s="37"/>
      <c r="AH1308" s="37"/>
      <c r="AI1308" s="37"/>
      <c r="AJ1308" s="37"/>
      <c r="AK1308" s="37"/>
      <c r="AL1308" s="37"/>
      <c r="AM1308" s="37"/>
      <c r="AN1308" s="37"/>
      <c r="AO1308" s="37"/>
      <c r="AP1308" s="37"/>
      <c r="AQ1308" s="37"/>
      <c r="AR1308" s="37"/>
      <c r="AS1308" s="37"/>
      <c r="AT1308" s="37"/>
      <c r="AU1308" s="37"/>
      <c r="AV1308" s="37"/>
      <c r="AW1308" s="37"/>
    </row>
    <row r="1309" spans="29:49" x14ac:dyDescent="0.25">
      <c r="AC1309" s="37"/>
      <c r="AD1309" s="37"/>
      <c r="AE1309" s="37"/>
      <c r="AF1309" s="37"/>
      <c r="AG1309" s="37"/>
      <c r="AH1309" s="37"/>
      <c r="AI1309" s="37"/>
      <c r="AJ1309" s="37"/>
      <c r="AK1309" s="37"/>
      <c r="AL1309" s="37"/>
      <c r="AM1309" s="37"/>
      <c r="AN1309" s="37"/>
      <c r="AO1309" s="37"/>
      <c r="AP1309" s="37"/>
      <c r="AQ1309" s="37"/>
      <c r="AR1309" s="37"/>
      <c r="AS1309" s="37"/>
      <c r="AT1309" s="37"/>
      <c r="AU1309" s="37"/>
      <c r="AV1309" s="37"/>
      <c r="AW1309" s="37"/>
    </row>
    <row r="1310" spans="29:49" x14ac:dyDescent="0.25">
      <c r="AC1310" s="37"/>
      <c r="AD1310" s="37"/>
      <c r="AE1310" s="37"/>
      <c r="AF1310" s="37"/>
      <c r="AG1310" s="37"/>
      <c r="AH1310" s="37"/>
      <c r="AI1310" s="37"/>
      <c r="AJ1310" s="37"/>
      <c r="AK1310" s="37"/>
      <c r="AL1310" s="37"/>
      <c r="AM1310" s="37"/>
      <c r="AN1310" s="37"/>
      <c r="AO1310" s="37"/>
      <c r="AP1310" s="37"/>
      <c r="AQ1310" s="37"/>
      <c r="AR1310" s="37"/>
      <c r="AS1310" s="37"/>
      <c r="AT1310" s="37"/>
      <c r="AU1310" s="37"/>
      <c r="AV1310" s="37"/>
      <c r="AW1310" s="37"/>
    </row>
    <row r="1311" spans="29:49" x14ac:dyDescent="0.25">
      <c r="AC1311" s="37"/>
      <c r="AD1311" s="37"/>
      <c r="AE1311" s="37"/>
      <c r="AF1311" s="37"/>
      <c r="AG1311" s="37"/>
      <c r="AH1311" s="37"/>
      <c r="AI1311" s="37"/>
      <c r="AJ1311" s="37"/>
      <c r="AK1311" s="37"/>
      <c r="AL1311" s="37"/>
      <c r="AM1311" s="37"/>
      <c r="AN1311" s="37"/>
      <c r="AO1311" s="37"/>
      <c r="AP1311" s="37"/>
      <c r="AQ1311" s="37"/>
      <c r="AR1311" s="37"/>
      <c r="AS1311" s="37"/>
      <c r="AT1311" s="37"/>
      <c r="AU1311" s="37"/>
      <c r="AV1311" s="37"/>
      <c r="AW1311" s="37"/>
    </row>
    <row r="1312" spans="29:49" x14ac:dyDescent="0.25">
      <c r="AC1312" s="37"/>
      <c r="AD1312" s="37"/>
      <c r="AE1312" s="37"/>
      <c r="AF1312" s="37"/>
      <c r="AG1312" s="37"/>
      <c r="AH1312" s="37"/>
      <c r="AI1312" s="37"/>
      <c r="AJ1312" s="37"/>
      <c r="AK1312" s="37"/>
      <c r="AL1312" s="37"/>
      <c r="AM1312" s="37"/>
      <c r="AN1312" s="37"/>
      <c r="AO1312" s="37"/>
      <c r="AP1312" s="37"/>
      <c r="AQ1312" s="37"/>
      <c r="AR1312" s="37"/>
      <c r="AS1312" s="37"/>
      <c r="AT1312" s="37"/>
      <c r="AU1312" s="37"/>
      <c r="AV1312" s="37"/>
      <c r="AW1312" s="37"/>
    </row>
    <row r="1313" spans="29:49" x14ac:dyDescent="0.25">
      <c r="AC1313" s="37"/>
      <c r="AD1313" s="37"/>
      <c r="AE1313" s="37"/>
      <c r="AF1313" s="37"/>
      <c r="AG1313" s="37"/>
      <c r="AH1313" s="37"/>
      <c r="AI1313" s="37"/>
      <c r="AJ1313" s="37"/>
      <c r="AK1313" s="37"/>
      <c r="AL1313" s="37"/>
      <c r="AM1313" s="37"/>
      <c r="AN1313" s="37"/>
      <c r="AO1313" s="37"/>
      <c r="AP1313" s="37"/>
      <c r="AQ1313" s="37"/>
      <c r="AR1313" s="37"/>
      <c r="AS1313" s="37"/>
      <c r="AT1313" s="37"/>
      <c r="AU1313" s="37"/>
      <c r="AV1313" s="37"/>
      <c r="AW1313" s="37"/>
    </row>
    <row r="1314" spans="29:49" x14ac:dyDescent="0.25">
      <c r="AC1314" s="37"/>
      <c r="AD1314" s="37"/>
      <c r="AE1314" s="37"/>
      <c r="AF1314" s="37"/>
      <c r="AG1314" s="37"/>
      <c r="AH1314" s="37"/>
      <c r="AI1314" s="37"/>
      <c r="AJ1314" s="37"/>
      <c r="AK1314" s="37"/>
      <c r="AL1314" s="37"/>
      <c r="AM1314" s="37"/>
      <c r="AN1314" s="37"/>
      <c r="AO1314" s="37"/>
      <c r="AP1314" s="37"/>
      <c r="AQ1314" s="37"/>
      <c r="AR1314" s="37"/>
      <c r="AS1314" s="37"/>
      <c r="AT1314" s="37"/>
      <c r="AU1314" s="37"/>
      <c r="AV1314" s="37"/>
      <c r="AW1314" s="37"/>
    </row>
    <row r="1315" spans="29:49" x14ac:dyDescent="0.25">
      <c r="AC1315" s="37"/>
      <c r="AD1315" s="37"/>
      <c r="AE1315" s="37"/>
      <c r="AF1315" s="37"/>
      <c r="AG1315" s="37"/>
      <c r="AH1315" s="37"/>
      <c r="AI1315" s="37"/>
      <c r="AJ1315" s="37"/>
      <c r="AK1315" s="37"/>
      <c r="AL1315" s="37"/>
      <c r="AM1315" s="37"/>
      <c r="AN1315" s="37"/>
      <c r="AO1315" s="37"/>
      <c r="AP1315" s="37"/>
      <c r="AQ1315" s="37"/>
      <c r="AR1315" s="37"/>
      <c r="AS1315" s="37"/>
      <c r="AT1315" s="37"/>
      <c r="AU1315" s="37"/>
      <c r="AV1315" s="37"/>
      <c r="AW1315" s="37"/>
    </row>
    <row r="1316" spans="29:49" x14ac:dyDescent="0.25">
      <c r="AC1316" s="37"/>
      <c r="AD1316" s="37"/>
      <c r="AE1316" s="37"/>
      <c r="AF1316" s="37"/>
      <c r="AG1316" s="37"/>
      <c r="AH1316" s="37"/>
      <c r="AI1316" s="37"/>
      <c r="AJ1316" s="37"/>
      <c r="AK1316" s="37"/>
      <c r="AL1316" s="37"/>
      <c r="AM1316" s="37"/>
      <c r="AN1316" s="37"/>
      <c r="AO1316" s="37"/>
      <c r="AP1316" s="37"/>
      <c r="AQ1316" s="37"/>
      <c r="AR1316" s="37"/>
      <c r="AS1316" s="37"/>
      <c r="AT1316" s="37"/>
      <c r="AU1316" s="37"/>
      <c r="AV1316" s="37"/>
      <c r="AW1316" s="37"/>
    </row>
    <row r="1317" spans="29:49" x14ac:dyDescent="0.25">
      <c r="AC1317" s="37"/>
      <c r="AD1317" s="37"/>
      <c r="AE1317" s="37"/>
      <c r="AF1317" s="37"/>
      <c r="AG1317" s="37"/>
      <c r="AH1317" s="37"/>
      <c r="AI1317" s="37"/>
      <c r="AJ1317" s="37"/>
      <c r="AK1317" s="37"/>
      <c r="AL1317" s="37"/>
      <c r="AM1317" s="37"/>
      <c r="AN1317" s="37"/>
      <c r="AO1317" s="37"/>
      <c r="AP1317" s="37"/>
      <c r="AQ1317" s="37"/>
      <c r="AR1317" s="37"/>
      <c r="AS1317" s="37"/>
      <c r="AT1317" s="37"/>
      <c r="AU1317" s="37"/>
      <c r="AV1317" s="37"/>
      <c r="AW1317" s="37"/>
    </row>
    <row r="1318" spans="29:49" x14ac:dyDescent="0.25">
      <c r="AC1318" s="37"/>
      <c r="AD1318" s="37"/>
      <c r="AE1318" s="37"/>
      <c r="AF1318" s="37"/>
      <c r="AG1318" s="37"/>
      <c r="AH1318" s="37"/>
      <c r="AI1318" s="37"/>
      <c r="AJ1318" s="37"/>
      <c r="AK1318" s="37"/>
      <c r="AL1318" s="37"/>
      <c r="AM1318" s="37"/>
      <c r="AN1318" s="37"/>
      <c r="AO1318" s="37"/>
      <c r="AP1318" s="37"/>
      <c r="AQ1318" s="37"/>
      <c r="AR1318" s="37"/>
      <c r="AS1318" s="37"/>
      <c r="AT1318" s="37"/>
      <c r="AU1318" s="37"/>
      <c r="AV1318" s="37"/>
      <c r="AW1318" s="37"/>
    </row>
    <row r="1319" spans="29:49" x14ac:dyDescent="0.25">
      <c r="AC1319" s="37"/>
      <c r="AD1319" s="37"/>
      <c r="AE1319" s="37"/>
      <c r="AF1319" s="37"/>
      <c r="AG1319" s="37"/>
      <c r="AH1319" s="37"/>
      <c r="AI1319" s="37"/>
      <c r="AJ1319" s="37"/>
      <c r="AK1319" s="37"/>
      <c r="AL1319" s="37"/>
      <c r="AM1319" s="37"/>
      <c r="AN1319" s="37"/>
      <c r="AO1319" s="37"/>
      <c r="AP1319" s="37"/>
      <c r="AQ1319" s="37"/>
      <c r="AR1319" s="37"/>
      <c r="AS1319" s="37"/>
      <c r="AT1319" s="37"/>
      <c r="AU1319" s="37"/>
      <c r="AV1319" s="37"/>
      <c r="AW1319" s="37"/>
    </row>
    <row r="1320" spans="29:49" x14ac:dyDescent="0.25">
      <c r="AC1320" s="37"/>
      <c r="AD1320" s="37"/>
      <c r="AE1320" s="37"/>
      <c r="AF1320" s="37"/>
      <c r="AG1320" s="37"/>
      <c r="AH1320" s="37"/>
      <c r="AI1320" s="37"/>
      <c r="AJ1320" s="37"/>
      <c r="AK1320" s="37"/>
      <c r="AL1320" s="37"/>
      <c r="AM1320" s="37"/>
      <c r="AN1320" s="37"/>
      <c r="AO1320" s="37"/>
      <c r="AP1320" s="37"/>
      <c r="AQ1320" s="37"/>
      <c r="AR1320" s="37"/>
      <c r="AS1320" s="37"/>
      <c r="AT1320" s="37"/>
      <c r="AU1320" s="37"/>
      <c r="AV1320" s="37"/>
      <c r="AW1320" s="37"/>
    </row>
    <row r="1321" spans="29:49" x14ac:dyDescent="0.25">
      <c r="AC1321" s="37"/>
      <c r="AD1321" s="37"/>
      <c r="AE1321" s="37"/>
      <c r="AF1321" s="37"/>
      <c r="AG1321" s="37"/>
      <c r="AH1321" s="37"/>
      <c r="AI1321" s="37"/>
      <c r="AJ1321" s="37"/>
      <c r="AK1321" s="37"/>
      <c r="AL1321" s="37"/>
      <c r="AM1321" s="37"/>
      <c r="AN1321" s="37"/>
      <c r="AO1321" s="37"/>
      <c r="AP1321" s="37"/>
      <c r="AQ1321" s="37"/>
      <c r="AR1321" s="37"/>
      <c r="AS1321" s="37"/>
      <c r="AT1321" s="37"/>
      <c r="AU1321" s="37"/>
      <c r="AV1321" s="37"/>
      <c r="AW1321" s="37"/>
    </row>
    <row r="1322" spans="29:49" x14ac:dyDescent="0.25">
      <c r="AC1322" s="37"/>
      <c r="AD1322" s="37"/>
      <c r="AE1322" s="37"/>
      <c r="AF1322" s="37"/>
      <c r="AG1322" s="37"/>
      <c r="AH1322" s="37"/>
      <c r="AI1322" s="37"/>
      <c r="AJ1322" s="37"/>
      <c r="AK1322" s="37"/>
      <c r="AL1322" s="37"/>
      <c r="AM1322" s="37"/>
      <c r="AN1322" s="37"/>
      <c r="AO1322" s="37"/>
      <c r="AP1322" s="37"/>
      <c r="AQ1322" s="37"/>
      <c r="AR1322" s="37"/>
      <c r="AS1322" s="37"/>
      <c r="AT1322" s="37"/>
      <c r="AU1322" s="37"/>
      <c r="AV1322" s="37"/>
      <c r="AW1322" s="37"/>
    </row>
    <row r="1323" spans="29:49" x14ac:dyDescent="0.25">
      <c r="AC1323" s="37"/>
      <c r="AD1323" s="37"/>
      <c r="AE1323" s="37"/>
      <c r="AF1323" s="37"/>
      <c r="AG1323" s="37"/>
      <c r="AH1323" s="37"/>
      <c r="AI1323" s="37"/>
      <c r="AJ1323" s="37"/>
      <c r="AK1323" s="37"/>
      <c r="AL1323" s="37"/>
      <c r="AM1323" s="37"/>
      <c r="AN1323" s="37"/>
      <c r="AO1323" s="37"/>
      <c r="AP1323" s="37"/>
      <c r="AQ1323" s="37"/>
      <c r="AR1323" s="37"/>
      <c r="AS1323" s="37"/>
      <c r="AT1323" s="37"/>
      <c r="AU1323" s="37"/>
      <c r="AV1323" s="37"/>
      <c r="AW1323" s="37"/>
    </row>
    <row r="1324" spans="29:49" x14ac:dyDescent="0.25">
      <c r="AC1324" s="37"/>
      <c r="AD1324" s="37"/>
      <c r="AE1324" s="37"/>
      <c r="AF1324" s="37"/>
      <c r="AG1324" s="37"/>
      <c r="AH1324" s="37"/>
      <c r="AI1324" s="37"/>
      <c r="AJ1324" s="37"/>
      <c r="AK1324" s="37"/>
      <c r="AL1324" s="37"/>
      <c r="AM1324" s="37"/>
      <c r="AN1324" s="37"/>
      <c r="AO1324" s="37"/>
      <c r="AP1324" s="37"/>
      <c r="AQ1324" s="37"/>
      <c r="AR1324" s="37"/>
      <c r="AS1324" s="37"/>
      <c r="AT1324" s="37"/>
      <c r="AU1324" s="37"/>
      <c r="AV1324" s="37"/>
      <c r="AW1324" s="37"/>
    </row>
    <row r="1325" spans="29:49" x14ac:dyDescent="0.25">
      <c r="AC1325" s="37"/>
      <c r="AD1325" s="37"/>
      <c r="AE1325" s="37"/>
      <c r="AF1325" s="37"/>
      <c r="AG1325" s="37"/>
      <c r="AH1325" s="37"/>
      <c r="AI1325" s="37"/>
      <c r="AJ1325" s="37"/>
      <c r="AK1325" s="37"/>
      <c r="AL1325" s="37"/>
      <c r="AM1325" s="37"/>
      <c r="AN1325" s="37"/>
      <c r="AO1325" s="37"/>
      <c r="AP1325" s="37"/>
      <c r="AQ1325" s="37"/>
      <c r="AR1325" s="37"/>
      <c r="AS1325" s="37"/>
      <c r="AT1325" s="37"/>
      <c r="AU1325" s="37"/>
      <c r="AV1325" s="37"/>
      <c r="AW1325" s="37"/>
    </row>
    <row r="1326" spans="29:49" x14ac:dyDescent="0.25">
      <c r="AC1326" s="37"/>
      <c r="AD1326" s="37"/>
      <c r="AE1326" s="37"/>
      <c r="AF1326" s="37"/>
      <c r="AG1326" s="37"/>
      <c r="AH1326" s="37"/>
      <c r="AI1326" s="37"/>
      <c r="AJ1326" s="37"/>
      <c r="AK1326" s="37"/>
      <c r="AL1326" s="37"/>
      <c r="AM1326" s="37"/>
      <c r="AN1326" s="37"/>
      <c r="AO1326" s="37"/>
      <c r="AP1326" s="37"/>
      <c r="AQ1326" s="37"/>
      <c r="AR1326" s="37"/>
      <c r="AS1326" s="37"/>
      <c r="AT1326" s="37"/>
      <c r="AU1326" s="37"/>
      <c r="AV1326" s="37"/>
      <c r="AW1326" s="37"/>
    </row>
    <row r="1327" spans="29:49" x14ac:dyDescent="0.25">
      <c r="AC1327" s="37"/>
      <c r="AD1327" s="37"/>
      <c r="AE1327" s="37"/>
      <c r="AF1327" s="37"/>
      <c r="AG1327" s="37"/>
      <c r="AH1327" s="37"/>
      <c r="AI1327" s="37"/>
      <c r="AJ1327" s="37"/>
      <c r="AK1327" s="37"/>
      <c r="AL1327" s="37"/>
      <c r="AM1327" s="37"/>
      <c r="AN1327" s="37"/>
      <c r="AO1327" s="37"/>
      <c r="AP1327" s="37"/>
      <c r="AQ1327" s="37"/>
      <c r="AR1327" s="37"/>
      <c r="AS1327" s="37"/>
      <c r="AT1327" s="37"/>
      <c r="AU1327" s="37"/>
      <c r="AV1327" s="37"/>
      <c r="AW1327" s="37"/>
    </row>
    <row r="1328" spans="29:49" x14ac:dyDescent="0.25">
      <c r="AC1328" s="37"/>
      <c r="AD1328" s="37"/>
      <c r="AE1328" s="37"/>
      <c r="AF1328" s="37"/>
      <c r="AG1328" s="37"/>
      <c r="AH1328" s="37"/>
      <c r="AI1328" s="37"/>
      <c r="AJ1328" s="37"/>
      <c r="AK1328" s="37"/>
      <c r="AL1328" s="37"/>
      <c r="AM1328" s="37"/>
      <c r="AN1328" s="37"/>
      <c r="AO1328" s="37"/>
      <c r="AP1328" s="37"/>
      <c r="AQ1328" s="37"/>
      <c r="AR1328" s="37"/>
      <c r="AS1328" s="37"/>
      <c r="AT1328" s="37"/>
      <c r="AU1328" s="37"/>
      <c r="AV1328" s="37"/>
      <c r="AW1328" s="37"/>
    </row>
    <row r="1329" spans="29:49" x14ac:dyDescent="0.25">
      <c r="AC1329" s="37"/>
      <c r="AD1329" s="37"/>
      <c r="AE1329" s="37"/>
      <c r="AF1329" s="37"/>
      <c r="AG1329" s="37"/>
      <c r="AH1329" s="37"/>
      <c r="AI1329" s="37"/>
      <c r="AJ1329" s="37"/>
      <c r="AK1329" s="37"/>
      <c r="AL1329" s="37"/>
      <c r="AM1329" s="37"/>
      <c r="AN1329" s="37"/>
      <c r="AO1329" s="37"/>
      <c r="AP1329" s="37"/>
      <c r="AQ1329" s="37"/>
      <c r="AR1329" s="37"/>
      <c r="AS1329" s="37"/>
      <c r="AT1329" s="37"/>
      <c r="AU1329" s="37"/>
      <c r="AV1329" s="37"/>
      <c r="AW1329" s="37"/>
    </row>
    <row r="1330" spans="29:49" x14ac:dyDescent="0.25">
      <c r="AC1330" s="37"/>
      <c r="AD1330" s="37"/>
      <c r="AE1330" s="37"/>
      <c r="AF1330" s="37"/>
      <c r="AG1330" s="37"/>
      <c r="AH1330" s="37"/>
      <c r="AI1330" s="37"/>
      <c r="AJ1330" s="37"/>
      <c r="AK1330" s="37"/>
      <c r="AL1330" s="37"/>
      <c r="AM1330" s="37"/>
      <c r="AN1330" s="37"/>
      <c r="AO1330" s="37"/>
      <c r="AP1330" s="37"/>
      <c r="AQ1330" s="37"/>
      <c r="AR1330" s="37"/>
      <c r="AS1330" s="37"/>
      <c r="AT1330" s="37"/>
      <c r="AU1330" s="37"/>
      <c r="AV1330" s="37"/>
      <c r="AW1330" s="37"/>
    </row>
    <row r="1331" spans="29:49" x14ac:dyDescent="0.25">
      <c r="AC1331" s="37"/>
      <c r="AD1331" s="37"/>
      <c r="AE1331" s="37"/>
      <c r="AF1331" s="37"/>
      <c r="AG1331" s="37"/>
      <c r="AH1331" s="37"/>
      <c r="AI1331" s="37"/>
      <c r="AJ1331" s="37"/>
      <c r="AK1331" s="37"/>
      <c r="AL1331" s="37"/>
      <c r="AM1331" s="37"/>
      <c r="AN1331" s="37"/>
      <c r="AO1331" s="37"/>
      <c r="AP1331" s="37"/>
      <c r="AQ1331" s="37"/>
      <c r="AR1331" s="37"/>
      <c r="AS1331" s="37"/>
      <c r="AT1331" s="37"/>
      <c r="AU1331" s="37"/>
      <c r="AV1331" s="37"/>
      <c r="AW1331" s="37"/>
    </row>
    <row r="1332" spans="29:49" x14ac:dyDescent="0.25">
      <c r="AC1332" s="37"/>
      <c r="AD1332" s="37"/>
      <c r="AE1332" s="37"/>
      <c r="AF1332" s="37"/>
      <c r="AG1332" s="37"/>
      <c r="AH1332" s="37"/>
      <c r="AI1332" s="37"/>
      <c r="AJ1332" s="37"/>
      <c r="AK1332" s="37"/>
      <c r="AL1332" s="37"/>
      <c r="AM1332" s="37"/>
      <c r="AN1332" s="37"/>
      <c r="AO1332" s="37"/>
      <c r="AP1332" s="37"/>
      <c r="AQ1332" s="37"/>
      <c r="AR1332" s="37"/>
      <c r="AS1332" s="37"/>
      <c r="AT1332" s="37"/>
      <c r="AU1332" s="37"/>
      <c r="AV1332" s="37"/>
      <c r="AW1332" s="37"/>
    </row>
    <row r="1333" spans="29:49" x14ac:dyDescent="0.25">
      <c r="AC1333" s="37"/>
      <c r="AD1333" s="37"/>
      <c r="AE1333" s="37"/>
      <c r="AF1333" s="37"/>
      <c r="AG1333" s="37"/>
      <c r="AH1333" s="37"/>
      <c r="AI1333" s="37"/>
      <c r="AJ1333" s="37"/>
      <c r="AK1333" s="37"/>
      <c r="AL1333" s="37"/>
      <c r="AM1333" s="37"/>
      <c r="AN1333" s="37"/>
      <c r="AO1333" s="37"/>
      <c r="AP1333" s="37"/>
      <c r="AQ1333" s="37"/>
      <c r="AR1333" s="37"/>
      <c r="AS1333" s="37"/>
      <c r="AT1333" s="37"/>
      <c r="AU1333" s="37"/>
      <c r="AV1333" s="37"/>
      <c r="AW1333" s="37"/>
    </row>
    <row r="1334" spans="29:49" x14ac:dyDescent="0.25">
      <c r="AC1334" s="37"/>
      <c r="AD1334" s="37"/>
      <c r="AE1334" s="37"/>
      <c r="AF1334" s="37"/>
      <c r="AG1334" s="37"/>
      <c r="AH1334" s="37"/>
      <c r="AI1334" s="37"/>
      <c r="AJ1334" s="37"/>
      <c r="AK1334" s="37"/>
      <c r="AL1334" s="37"/>
      <c r="AM1334" s="37"/>
      <c r="AN1334" s="37"/>
      <c r="AO1334" s="37"/>
      <c r="AP1334" s="37"/>
      <c r="AQ1334" s="37"/>
      <c r="AR1334" s="37"/>
      <c r="AS1334" s="37"/>
      <c r="AT1334" s="37"/>
      <c r="AU1334" s="37"/>
      <c r="AV1334" s="37"/>
      <c r="AW1334" s="37"/>
    </row>
    <row r="1335" spans="29:49" x14ac:dyDescent="0.25">
      <c r="AC1335" s="37"/>
      <c r="AD1335" s="37"/>
      <c r="AE1335" s="37"/>
      <c r="AF1335" s="37"/>
      <c r="AG1335" s="37"/>
      <c r="AH1335" s="37"/>
      <c r="AI1335" s="37"/>
      <c r="AJ1335" s="37"/>
      <c r="AK1335" s="37"/>
      <c r="AL1335" s="37"/>
      <c r="AM1335" s="37"/>
      <c r="AN1335" s="37"/>
      <c r="AO1335" s="37"/>
      <c r="AP1335" s="37"/>
      <c r="AQ1335" s="37"/>
      <c r="AR1335" s="37"/>
      <c r="AS1335" s="37"/>
      <c r="AT1335" s="37"/>
      <c r="AU1335" s="37"/>
      <c r="AV1335" s="37"/>
      <c r="AW1335" s="37"/>
    </row>
    <row r="1336" spans="29:49" x14ac:dyDescent="0.25">
      <c r="AC1336" s="37"/>
      <c r="AD1336" s="37"/>
      <c r="AE1336" s="37"/>
      <c r="AF1336" s="37"/>
      <c r="AG1336" s="37"/>
      <c r="AH1336" s="37"/>
      <c r="AI1336" s="37"/>
      <c r="AJ1336" s="37"/>
      <c r="AK1336" s="37"/>
      <c r="AL1336" s="37"/>
      <c r="AM1336" s="37"/>
      <c r="AN1336" s="37"/>
      <c r="AO1336" s="37"/>
      <c r="AP1336" s="37"/>
      <c r="AQ1336" s="37"/>
      <c r="AR1336" s="37"/>
      <c r="AS1336" s="37"/>
      <c r="AT1336" s="37"/>
      <c r="AU1336" s="37"/>
      <c r="AV1336" s="37"/>
      <c r="AW1336" s="37"/>
    </row>
    <row r="1337" spans="29:49" x14ac:dyDescent="0.25">
      <c r="AC1337" s="37"/>
      <c r="AD1337" s="37"/>
      <c r="AE1337" s="37"/>
      <c r="AF1337" s="37"/>
      <c r="AG1337" s="37"/>
      <c r="AH1337" s="37"/>
      <c r="AI1337" s="37"/>
      <c r="AJ1337" s="37"/>
      <c r="AK1337" s="37"/>
      <c r="AL1337" s="37"/>
      <c r="AM1337" s="37"/>
      <c r="AN1337" s="37"/>
      <c r="AO1337" s="37"/>
      <c r="AP1337" s="37"/>
      <c r="AQ1337" s="37"/>
      <c r="AR1337" s="37"/>
      <c r="AS1337" s="37"/>
      <c r="AT1337" s="37"/>
      <c r="AU1337" s="37"/>
      <c r="AV1337" s="37"/>
      <c r="AW1337" s="37"/>
    </row>
    <row r="1338" spans="29:49" x14ac:dyDescent="0.25">
      <c r="AC1338" s="37"/>
      <c r="AD1338" s="37"/>
      <c r="AE1338" s="37"/>
      <c r="AF1338" s="37"/>
      <c r="AG1338" s="37"/>
      <c r="AH1338" s="37"/>
      <c r="AI1338" s="37"/>
      <c r="AJ1338" s="37"/>
      <c r="AK1338" s="37"/>
      <c r="AL1338" s="37"/>
      <c r="AM1338" s="37"/>
      <c r="AN1338" s="37"/>
      <c r="AO1338" s="37"/>
      <c r="AP1338" s="37"/>
      <c r="AQ1338" s="37"/>
      <c r="AR1338" s="37"/>
      <c r="AS1338" s="37"/>
      <c r="AT1338" s="37"/>
      <c r="AU1338" s="37"/>
      <c r="AV1338" s="37"/>
      <c r="AW1338" s="37"/>
    </row>
    <row r="1339" spans="29:49" x14ac:dyDescent="0.25">
      <c r="AC1339" s="37"/>
      <c r="AD1339" s="37"/>
      <c r="AE1339" s="37"/>
      <c r="AF1339" s="37"/>
      <c r="AG1339" s="37"/>
      <c r="AH1339" s="37"/>
      <c r="AI1339" s="37"/>
      <c r="AJ1339" s="37"/>
      <c r="AK1339" s="37"/>
      <c r="AL1339" s="37"/>
      <c r="AM1339" s="37"/>
      <c r="AN1339" s="37"/>
      <c r="AO1339" s="37"/>
      <c r="AP1339" s="37"/>
      <c r="AQ1339" s="37"/>
      <c r="AR1339" s="37"/>
      <c r="AS1339" s="37"/>
      <c r="AT1339" s="37"/>
      <c r="AU1339" s="37"/>
      <c r="AV1339" s="37"/>
      <c r="AW1339" s="37"/>
    </row>
    <row r="1340" spans="29:49" x14ac:dyDescent="0.25">
      <c r="AC1340" s="37"/>
      <c r="AD1340" s="37"/>
      <c r="AE1340" s="37"/>
      <c r="AF1340" s="37"/>
      <c r="AG1340" s="37"/>
      <c r="AH1340" s="37"/>
      <c r="AI1340" s="37"/>
      <c r="AJ1340" s="37"/>
      <c r="AK1340" s="37"/>
      <c r="AL1340" s="37"/>
      <c r="AM1340" s="37"/>
      <c r="AN1340" s="37"/>
      <c r="AO1340" s="37"/>
      <c r="AP1340" s="37"/>
      <c r="AQ1340" s="37"/>
      <c r="AR1340" s="37"/>
      <c r="AS1340" s="37"/>
      <c r="AT1340" s="37"/>
      <c r="AU1340" s="37"/>
      <c r="AV1340" s="37"/>
      <c r="AW1340" s="37"/>
    </row>
    <row r="1341" spans="29:49" x14ac:dyDescent="0.25">
      <c r="AC1341" s="37"/>
      <c r="AD1341" s="37"/>
      <c r="AE1341" s="37"/>
      <c r="AF1341" s="37"/>
      <c r="AG1341" s="37"/>
      <c r="AH1341" s="37"/>
      <c r="AI1341" s="37"/>
      <c r="AJ1341" s="37"/>
      <c r="AK1341" s="37"/>
      <c r="AL1341" s="37"/>
      <c r="AM1341" s="37"/>
      <c r="AN1341" s="37"/>
      <c r="AO1341" s="37"/>
      <c r="AP1341" s="37"/>
      <c r="AQ1341" s="37"/>
      <c r="AR1341" s="37"/>
      <c r="AS1341" s="37"/>
      <c r="AT1341" s="37"/>
      <c r="AU1341" s="37"/>
      <c r="AV1341" s="37"/>
      <c r="AW1341" s="37"/>
    </row>
    <row r="1342" spans="29:49" x14ac:dyDescent="0.25">
      <c r="AC1342" s="37"/>
      <c r="AD1342" s="37"/>
      <c r="AE1342" s="37"/>
      <c r="AF1342" s="37"/>
      <c r="AG1342" s="37"/>
      <c r="AH1342" s="37"/>
      <c r="AI1342" s="37"/>
      <c r="AJ1342" s="37"/>
      <c r="AK1342" s="37"/>
      <c r="AL1342" s="37"/>
      <c r="AM1342" s="37"/>
      <c r="AN1342" s="37"/>
      <c r="AO1342" s="37"/>
      <c r="AP1342" s="37"/>
      <c r="AQ1342" s="37"/>
      <c r="AR1342" s="37"/>
      <c r="AS1342" s="37"/>
      <c r="AT1342" s="37"/>
      <c r="AU1342" s="37"/>
      <c r="AV1342" s="37"/>
      <c r="AW1342" s="37"/>
    </row>
    <row r="1343" spans="29:49" x14ac:dyDescent="0.25">
      <c r="AC1343" s="37"/>
      <c r="AD1343" s="37"/>
      <c r="AE1343" s="37"/>
      <c r="AF1343" s="37"/>
      <c r="AG1343" s="37"/>
      <c r="AH1343" s="37"/>
      <c r="AI1343" s="37"/>
      <c r="AJ1343" s="37"/>
      <c r="AK1343" s="37"/>
      <c r="AL1343" s="37"/>
      <c r="AM1343" s="37"/>
      <c r="AN1343" s="37"/>
      <c r="AO1343" s="37"/>
      <c r="AP1343" s="37"/>
      <c r="AQ1343" s="37"/>
      <c r="AR1343" s="37"/>
      <c r="AS1343" s="37"/>
      <c r="AT1343" s="37"/>
      <c r="AU1343" s="37"/>
      <c r="AV1343" s="37"/>
      <c r="AW1343" s="37"/>
    </row>
    <row r="1344" spans="29:49" x14ac:dyDescent="0.25">
      <c r="AC1344" s="37"/>
      <c r="AD1344" s="37"/>
      <c r="AE1344" s="37"/>
      <c r="AF1344" s="37"/>
      <c r="AG1344" s="37"/>
      <c r="AH1344" s="37"/>
      <c r="AI1344" s="37"/>
      <c r="AJ1344" s="37"/>
      <c r="AK1344" s="37"/>
      <c r="AL1344" s="37"/>
      <c r="AM1344" s="37"/>
      <c r="AN1344" s="37"/>
      <c r="AO1344" s="37"/>
      <c r="AP1344" s="37"/>
      <c r="AQ1344" s="37"/>
      <c r="AR1344" s="37"/>
      <c r="AS1344" s="37"/>
      <c r="AT1344" s="37"/>
      <c r="AU1344" s="37"/>
      <c r="AV1344" s="37"/>
      <c r="AW1344" s="37"/>
    </row>
    <row r="1345" spans="29:49" x14ac:dyDescent="0.25">
      <c r="AC1345" s="37"/>
      <c r="AD1345" s="37"/>
      <c r="AE1345" s="37"/>
      <c r="AF1345" s="37"/>
      <c r="AG1345" s="37"/>
      <c r="AH1345" s="37"/>
      <c r="AI1345" s="37"/>
      <c r="AJ1345" s="37"/>
      <c r="AK1345" s="37"/>
      <c r="AL1345" s="37"/>
      <c r="AM1345" s="37"/>
      <c r="AN1345" s="37"/>
      <c r="AO1345" s="37"/>
      <c r="AP1345" s="37"/>
      <c r="AQ1345" s="37"/>
      <c r="AR1345" s="37"/>
      <c r="AS1345" s="37"/>
      <c r="AT1345" s="37"/>
      <c r="AU1345" s="37"/>
      <c r="AV1345" s="37"/>
      <c r="AW1345" s="37"/>
    </row>
    <row r="1346" spans="29:49" x14ac:dyDescent="0.25">
      <c r="AC1346" s="37"/>
      <c r="AD1346" s="37"/>
      <c r="AE1346" s="37"/>
      <c r="AF1346" s="37"/>
      <c r="AG1346" s="37"/>
      <c r="AH1346" s="37"/>
      <c r="AI1346" s="37"/>
      <c r="AJ1346" s="37"/>
      <c r="AK1346" s="37"/>
      <c r="AL1346" s="37"/>
      <c r="AM1346" s="37"/>
      <c r="AN1346" s="37"/>
      <c r="AO1346" s="37"/>
      <c r="AP1346" s="37"/>
      <c r="AQ1346" s="37"/>
      <c r="AR1346" s="37"/>
      <c r="AS1346" s="37"/>
      <c r="AT1346" s="37"/>
      <c r="AU1346" s="37"/>
      <c r="AV1346" s="37"/>
      <c r="AW1346" s="37"/>
    </row>
    <row r="1347" spans="29:49" x14ac:dyDescent="0.25">
      <c r="AC1347" s="37"/>
      <c r="AD1347" s="37"/>
      <c r="AE1347" s="37"/>
      <c r="AF1347" s="37"/>
      <c r="AG1347" s="37"/>
      <c r="AH1347" s="37"/>
      <c r="AI1347" s="37"/>
      <c r="AJ1347" s="37"/>
      <c r="AK1347" s="37"/>
      <c r="AL1347" s="37"/>
      <c r="AM1347" s="37"/>
      <c r="AN1347" s="37"/>
      <c r="AO1347" s="37"/>
      <c r="AP1347" s="37"/>
      <c r="AQ1347" s="37"/>
      <c r="AR1347" s="37"/>
      <c r="AS1347" s="37"/>
      <c r="AT1347" s="37"/>
      <c r="AU1347" s="37"/>
      <c r="AV1347" s="37"/>
      <c r="AW1347" s="37"/>
    </row>
    <row r="1348" spans="29:49" x14ac:dyDescent="0.25">
      <c r="AC1348" s="37"/>
      <c r="AD1348" s="37"/>
      <c r="AE1348" s="37"/>
      <c r="AF1348" s="37"/>
      <c r="AG1348" s="37"/>
      <c r="AH1348" s="37"/>
      <c r="AI1348" s="37"/>
      <c r="AJ1348" s="37"/>
      <c r="AK1348" s="37"/>
      <c r="AL1348" s="37"/>
      <c r="AM1348" s="37"/>
      <c r="AN1348" s="37"/>
      <c r="AO1348" s="37"/>
      <c r="AP1348" s="37"/>
      <c r="AQ1348" s="37"/>
      <c r="AR1348" s="37"/>
      <c r="AS1348" s="37"/>
      <c r="AT1348" s="37"/>
      <c r="AU1348" s="37"/>
      <c r="AV1348" s="37"/>
      <c r="AW1348" s="37"/>
    </row>
    <row r="1349" spans="29:49" x14ac:dyDescent="0.25">
      <c r="AC1349" s="37"/>
      <c r="AD1349" s="37"/>
      <c r="AE1349" s="37"/>
      <c r="AF1349" s="37"/>
      <c r="AG1349" s="37"/>
      <c r="AH1349" s="37"/>
      <c r="AI1349" s="37"/>
      <c r="AJ1349" s="37"/>
      <c r="AK1349" s="37"/>
      <c r="AL1349" s="37"/>
      <c r="AM1349" s="37"/>
      <c r="AN1349" s="37"/>
      <c r="AO1349" s="37"/>
      <c r="AP1349" s="37"/>
      <c r="AQ1349" s="37"/>
      <c r="AR1349" s="37"/>
      <c r="AS1349" s="37"/>
      <c r="AT1349" s="37"/>
      <c r="AU1349" s="37"/>
      <c r="AV1349" s="37"/>
      <c r="AW1349" s="37"/>
    </row>
    <row r="1350" spans="29:49" x14ac:dyDescent="0.25">
      <c r="AC1350" s="37"/>
      <c r="AD1350" s="37"/>
      <c r="AE1350" s="37"/>
      <c r="AF1350" s="37"/>
      <c r="AG1350" s="37"/>
      <c r="AH1350" s="37"/>
      <c r="AI1350" s="37"/>
      <c r="AJ1350" s="37"/>
      <c r="AK1350" s="37"/>
      <c r="AL1350" s="37"/>
      <c r="AM1350" s="37"/>
      <c r="AN1350" s="37"/>
      <c r="AO1350" s="37"/>
      <c r="AP1350" s="37"/>
      <c r="AQ1350" s="37"/>
      <c r="AR1350" s="37"/>
      <c r="AS1350" s="37"/>
      <c r="AT1350" s="37"/>
      <c r="AU1350" s="37"/>
      <c r="AV1350" s="37"/>
      <c r="AW1350" s="37"/>
    </row>
    <row r="1351" spans="29:49" x14ac:dyDescent="0.25">
      <c r="AC1351" s="37"/>
      <c r="AD1351" s="37"/>
      <c r="AE1351" s="37"/>
      <c r="AF1351" s="37"/>
      <c r="AG1351" s="37"/>
      <c r="AH1351" s="37"/>
      <c r="AI1351" s="37"/>
      <c r="AJ1351" s="37"/>
      <c r="AK1351" s="37"/>
      <c r="AL1351" s="37"/>
      <c r="AM1351" s="37"/>
      <c r="AN1351" s="37"/>
      <c r="AO1351" s="37"/>
      <c r="AP1351" s="37"/>
      <c r="AQ1351" s="37"/>
      <c r="AR1351" s="37"/>
      <c r="AS1351" s="37"/>
      <c r="AT1351" s="37"/>
      <c r="AU1351" s="37"/>
      <c r="AV1351" s="37"/>
      <c r="AW1351" s="37"/>
    </row>
    <row r="1352" spans="29:49" x14ac:dyDescent="0.25">
      <c r="AC1352" s="37"/>
      <c r="AD1352" s="37"/>
      <c r="AE1352" s="37"/>
      <c r="AF1352" s="37"/>
      <c r="AG1352" s="37"/>
      <c r="AH1352" s="37"/>
      <c r="AI1352" s="37"/>
      <c r="AJ1352" s="37"/>
      <c r="AK1352" s="37"/>
      <c r="AL1352" s="37"/>
      <c r="AM1352" s="37"/>
      <c r="AN1352" s="37"/>
      <c r="AO1352" s="37"/>
      <c r="AP1352" s="37"/>
      <c r="AQ1352" s="37"/>
      <c r="AR1352" s="37"/>
      <c r="AS1352" s="37"/>
      <c r="AT1352" s="37"/>
      <c r="AU1352" s="37"/>
      <c r="AV1352" s="37"/>
      <c r="AW1352" s="37"/>
    </row>
    <row r="1353" spans="29:49" x14ac:dyDescent="0.25">
      <c r="AC1353" s="37"/>
      <c r="AD1353" s="37"/>
      <c r="AE1353" s="37"/>
      <c r="AF1353" s="37"/>
      <c r="AG1353" s="37"/>
      <c r="AH1353" s="37"/>
      <c r="AI1353" s="37"/>
      <c r="AJ1353" s="37"/>
      <c r="AK1353" s="37"/>
      <c r="AL1353" s="37"/>
      <c r="AM1353" s="37"/>
      <c r="AN1353" s="37"/>
      <c r="AO1353" s="37"/>
      <c r="AP1353" s="37"/>
      <c r="AQ1353" s="37"/>
      <c r="AR1353" s="37"/>
      <c r="AS1353" s="37"/>
      <c r="AT1353" s="37"/>
      <c r="AU1353" s="37"/>
      <c r="AV1353" s="37"/>
      <c r="AW1353" s="37"/>
    </row>
    <row r="1354" spans="29:49" x14ac:dyDescent="0.25">
      <c r="AC1354" s="37"/>
      <c r="AD1354" s="37"/>
      <c r="AE1354" s="37"/>
      <c r="AF1354" s="37"/>
      <c r="AG1354" s="37"/>
      <c r="AH1354" s="37"/>
      <c r="AI1354" s="37"/>
      <c r="AJ1354" s="37"/>
      <c r="AK1354" s="37"/>
      <c r="AL1354" s="37"/>
      <c r="AM1354" s="37"/>
      <c r="AN1354" s="37"/>
      <c r="AO1354" s="37"/>
      <c r="AP1354" s="37"/>
      <c r="AQ1354" s="37"/>
      <c r="AR1354" s="37"/>
      <c r="AS1354" s="37"/>
      <c r="AT1354" s="37"/>
      <c r="AU1354" s="37"/>
      <c r="AV1354" s="37"/>
      <c r="AW1354" s="37"/>
    </row>
    <row r="1355" spans="29:49" x14ac:dyDescent="0.25">
      <c r="AC1355" s="37"/>
      <c r="AD1355" s="37"/>
      <c r="AE1355" s="37"/>
      <c r="AF1355" s="37"/>
      <c r="AG1355" s="37"/>
      <c r="AH1355" s="37"/>
      <c r="AI1355" s="37"/>
      <c r="AJ1355" s="37"/>
      <c r="AK1355" s="37"/>
      <c r="AL1355" s="37"/>
      <c r="AM1355" s="37"/>
      <c r="AN1355" s="37"/>
      <c r="AO1355" s="37"/>
      <c r="AP1355" s="37"/>
      <c r="AQ1355" s="37"/>
      <c r="AR1355" s="37"/>
      <c r="AS1355" s="37"/>
      <c r="AT1355" s="37"/>
      <c r="AU1355" s="37"/>
      <c r="AV1355" s="37"/>
      <c r="AW1355" s="37"/>
    </row>
    <row r="1356" spans="29:49" x14ac:dyDescent="0.25">
      <c r="AC1356" s="37"/>
      <c r="AD1356" s="37"/>
      <c r="AE1356" s="37"/>
      <c r="AF1356" s="37"/>
      <c r="AG1356" s="37"/>
      <c r="AH1356" s="37"/>
      <c r="AI1356" s="37"/>
      <c r="AJ1356" s="37"/>
      <c r="AK1356" s="37"/>
      <c r="AL1356" s="37"/>
      <c r="AM1356" s="37"/>
      <c r="AN1356" s="37"/>
      <c r="AO1356" s="37"/>
      <c r="AP1356" s="37"/>
      <c r="AQ1356" s="37"/>
      <c r="AR1356" s="37"/>
      <c r="AS1356" s="37"/>
      <c r="AT1356" s="37"/>
      <c r="AU1356" s="37"/>
      <c r="AV1356" s="37"/>
      <c r="AW1356" s="37"/>
    </row>
    <row r="1357" spans="29:49" x14ac:dyDescent="0.25">
      <c r="AC1357" s="37"/>
      <c r="AD1357" s="37"/>
      <c r="AE1357" s="37"/>
      <c r="AF1357" s="37"/>
      <c r="AG1357" s="37"/>
      <c r="AH1357" s="37"/>
      <c r="AI1357" s="37"/>
      <c r="AJ1357" s="37"/>
      <c r="AK1357" s="37"/>
      <c r="AL1357" s="37"/>
      <c r="AM1357" s="37"/>
      <c r="AN1357" s="37"/>
      <c r="AO1357" s="37"/>
      <c r="AP1357" s="37"/>
      <c r="AQ1357" s="37"/>
      <c r="AR1357" s="37"/>
      <c r="AS1357" s="37"/>
      <c r="AT1357" s="37"/>
      <c r="AU1357" s="37"/>
      <c r="AV1357" s="37"/>
      <c r="AW1357" s="37"/>
    </row>
    <row r="1358" spans="29:49" x14ac:dyDescent="0.25">
      <c r="AC1358" s="37"/>
      <c r="AD1358" s="37"/>
      <c r="AE1358" s="37"/>
      <c r="AF1358" s="37"/>
      <c r="AG1358" s="37"/>
      <c r="AH1358" s="37"/>
      <c r="AI1358" s="37"/>
      <c r="AJ1358" s="37"/>
      <c r="AK1358" s="37"/>
      <c r="AL1358" s="37"/>
      <c r="AM1358" s="37"/>
      <c r="AN1358" s="37"/>
      <c r="AO1358" s="37"/>
      <c r="AP1358" s="37"/>
      <c r="AQ1358" s="37"/>
      <c r="AR1358" s="37"/>
      <c r="AS1358" s="37"/>
      <c r="AT1358" s="37"/>
      <c r="AU1358" s="37"/>
      <c r="AV1358" s="37"/>
      <c r="AW1358" s="37"/>
    </row>
    <row r="1359" spans="29:49" x14ac:dyDescent="0.25">
      <c r="AC1359" s="37"/>
      <c r="AD1359" s="37"/>
      <c r="AE1359" s="37"/>
      <c r="AF1359" s="37"/>
      <c r="AG1359" s="37"/>
      <c r="AH1359" s="37"/>
      <c r="AI1359" s="37"/>
      <c r="AJ1359" s="37"/>
      <c r="AK1359" s="37"/>
      <c r="AL1359" s="37"/>
      <c r="AM1359" s="37"/>
      <c r="AN1359" s="37"/>
      <c r="AO1359" s="37"/>
      <c r="AP1359" s="37"/>
      <c r="AQ1359" s="37"/>
      <c r="AR1359" s="37"/>
      <c r="AS1359" s="37"/>
      <c r="AT1359" s="37"/>
      <c r="AU1359" s="37"/>
      <c r="AV1359" s="37"/>
      <c r="AW1359" s="37"/>
    </row>
    <row r="1360" spans="29:49" x14ac:dyDescent="0.25">
      <c r="AC1360" s="37"/>
      <c r="AD1360" s="37"/>
      <c r="AE1360" s="37"/>
      <c r="AF1360" s="37"/>
      <c r="AG1360" s="37"/>
      <c r="AH1360" s="37"/>
      <c r="AI1360" s="37"/>
      <c r="AJ1360" s="37"/>
      <c r="AK1360" s="37"/>
      <c r="AL1360" s="37"/>
      <c r="AM1360" s="37"/>
      <c r="AN1360" s="37"/>
      <c r="AO1360" s="37"/>
      <c r="AP1360" s="37"/>
      <c r="AQ1360" s="37"/>
      <c r="AR1360" s="37"/>
      <c r="AS1360" s="37"/>
      <c r="AT1360" s="37"/>
      <c r="AU1360" s="37"/>
      <c r="AV1360" s="37"/>
      <c r="AW1360" s="37"/>
    </row>
    <row r="1361" spans="29:49" x14ac:dyDescent="0.25">
      <c r="AC1361" s="37"/>
      <c r="AD1361" s="37"/>
      <c r="AE1361" s="37"/>
      <c r="AF1361" s="37"/>
      <c r="AG1361" s="37"/>
      <c r="AH1361" s="37"/>
      <c r="AI1361" s="37"/>
      <c r="AJ1361" s="37"/>
      <c r="AK1361" s="37"/>
      <c r="AL1361" s="37"/>
      <c r="AM1361" s="37"/>
      <c r="AN1361" s="37"/>
      <c r="AO1361" s="37"/>
      <c r="AP1361" s="37"/>
      <c r="AQ1361" s="37"/>
      <c r="AR1361" s="37"/>
      <c r="AS1361" s="37"/>
      <c r="AT1361" s="37"/>
      <c r="AU1361" s="37"/>
      <c r="AV1361" s="37"/>
      <c r="AW1361" s="37"/>
    </row>
    <row r="1362" spans="29:49" x14ac:dyDescent="0.25">
      <c r="AC1362" s="37"/>
      <c r="AD1362" s="37"/>
      <c r="AE1362" s="37"/>
      <c r="AF1362" s="37"/>
      <c r="AG1362" s="37"/>
      <c r="AH1362" s="37"/>
      <c r="AI1362" s="37"/>
      <c r="AJ1362" s="37"/>
      <c r="AK1362" s="37"/>
      <c r="AL1362" s="37"/>
      <c r="AM1362" s="37"/>
      <c r="AN1362" s="37"/>
      <c r="AO1362" s="37"/>
      <c r="AP1362" s="37"/>
      <c r="AQ1362" s="37"/>
      <c r="AR1362" s="37"/>
      <c r="AS1362" s="37"/>
      <c r="AT1362" s="37"/>
      <c r="AU1362" s="37"/>
      <c r="AV1362" s="37"/>
      <c r="AW1362" s="37"/>
    </row>
    <row r="1363" spans="29:49" x14ac:dyDescent="0.25">
      <c r="AC1363" s="37"/>
      <c r="AD1363" s="37"/>
      <c r="AE1363" s="37"/>
      <c r="AF1363" s="37"/>
      <c r="AG1363" s="37"/>
      <c r="AH1363" s="37"/>
      <c r="AI1363" s="37"/>
      <c r="AJ1363" s="37"/>
      <c r="AK1363" s="37"/>
      <c r="AL1363" s="37"/>
      <c r="AM1363" s="37"/>
      <c r="AN1363" s="37"/>
      <c r="AO1363" s="37"/>
      <c r="AP1363" s="37"/>
      <c r="AQ1363" s="37"/>
      <c r="AR1363" s="37"/>
      <c r="AS1363" s="37"/>
      <c r="AT1363" s="37"/>
      <c r="AU1363" s="37"/>
      <c r="AV1363" s="37"/>
      <c r="AW1363" s="37"/>
    </row>
    <row r="1364" spans="29:49" x14ac:dyDescent="0.25">
      <c r="AC1364" s="37"/>
      <c r="AD1364" s="37"/>
      <c r="AE1364" s="37"/>
      <c r="AF1364" s="37"/>
      <c r="AG1364" s="37"/>
      <c r="AH1364" s="37"/>
      <c r="AI1364" s="37"/>
      <c r="AJ1364" s="37"/>
      <c r="AK1364" s="37"/>
      <c r="AL1364" s="37"/>
      <c r="AM1364" s="37"/>
      <c r="AN1364" s="37"/>
      <c r="AO1364" s="37"/>
      <c r="AP1364" s="37"/>
      <c r="AQ1364" s="37"/>
      <c r="AR1364" s="37"/>
      <c r="AS1364" s="37"/>
      <c r="AT1364" s="37"/>
      <c r="AU1364" s="37"/>
      <c r="AV1364" s="37"/>
      <c r="AW1364" s="37"/>
    </row>
    <row r="1365" spans="29:49" x14ac:dyDescent="0.25">
      <c r="AC1365" s="37"/>
      <c r="AD1365" s="37"/>
      <c r="AE1365" s="37"/>
      <c r="AF1365" s="37"/>
      <c r="AG1365" s="37"/>
      <c r="AH1365" s="37"/>
      <c r="AI1365" s="37"/>
      <c r="AJ1365" s="37"/>
      <c r="AK1365" s="37"/>
      <c r="AL1365" s="37"/>
      <c r="AM1365" s="37"/>
      <c r="AN1365" s="37"/>
      <c r="AO1365" s="37"/>
      <c r="AP1365" s="37"/>
      <c r="AQ1365" s="37"/>
      <c r="AR1365" s="37"/>
      <c r="AS1365" s="37"/>
      <c r="AT1365" s="37"/>
      <c r="AU1365" s="37"/>
      <c r="AV1365" s="37"/>
      <c r="AW1365" s="37"/>
    </row>
    <row r="1366" spans="29:49" x14ac:dyDescent="0.25">
      <c r="AC1366" s="37"/>
      <c r="AD1366" s="37"/>
      <c r="AE1366" s="37"/>
      <c r="AF1366" s="37"/>
      <c r="AG1366" s="37"/>
      <c r="AH1366" s="37"/>
      <c r="AI1366" s="37"/>
      <c r="AJ1366" s="37"/>
      <c r="AK1366" s="37"/>
      <c r="AL1366" s="37"/>
      <c r="AM1366" s="37"/>
      <c r="AN1366" s="37"/>
      <c r="AO1366" s="37"/>
      <c r="AP1366" s="37"/>
      <c r="AQ1366" s="37"/>
      <c r="AR1366" s="37"/>
      <c r="AS1366" s="37"/>
      <c r="AT1366" s="37"/>
      <c r="AU1366" s="37"/>
      <c r="AV1366" s="37"/>
      <c r="AW1366" s="37"/>
    </row>
    <row r="1367" spans="29:49" x14ac:dyDescent="0.25">
      <c r="AC1367" s="37"/>
      <c r="AD1367" s="37"/>
      <c r="AE1367" s="37"/>
      <c r="AF1367" s="37"/>
      <c r="AG1367" s="37"/>
      <c r="AH1367" s="37"/>
      <c r="AI1367" s="37"/>
      <c r="AJ1367" s="37"/>
      <c r="AK1367" s="37"/>
      <c r="AL1367" s="37"/>
      <c r="AM1367" s="37"/>
      <c r="AN1367" s="37"/>
      <c r="AO1367" s="37"/>
      <c r="AP1367" s="37"/>
      <c r="AQ1367" s="37"/>
      <c r="AR1367" s="37"/>
      <c r="AS1367" s="37"/>
      <c r="AT1367" s="37"/>
      <c r="AU1367" s="37"/>
      <c r="AV1367" s="37"/>
      <c r="AW1367" s="37"/>
    </row>
    <row r="1368" spans="29:49" x14ac:dyDescent="0.25">
      <c r="AC1368" s="37"/>
      <c r="AD1368" s="37"/>
      <c r="AE1368" s="37"/>
      <c r="AF1368" s="37"/>
      <c r="AG1368" s="37"/>
      <c r="AH1368" s="37"/>
      <c r="AI1368" s="37"/>
      <c r="AJ1368" s="37"/>
      <c r="AK1368" s="37"/>
      <c r="AL1368" s="37"/>
      <c r="AM1368" s="37"/>
      <c r="AN1368" s="37"/>
      <c r="AO1368" s="37"/>
      <c r="AP1368" s="37"/>
      <c r="AQ1368" s="37"/>
      <c r="AR1368" s="37"/>
      <c r="AS1368" s="37"/>
      <c r="AT1368" s="37"/>
      <c r="AU1368" s="37"/>
      <c r="AV1368" s="37"/>
      <c r="AW1368" s="37"/>
    </row>
    <row r="1369" spans="29:49" x14ac:dyDescent="0.25">
      <c r="AC1369" s="37"/>
      <c r="AD1369" s="37"/>
      <c r="AE1369" s="37"/>
      <c r="AF1369" s="37"/>
      <c r="AG1369" s="37"/>
      <c r="AH1369" s="37"/>
      <c r="AI1369" s="37"/>
      <c r="AJ1369" s="37"/>
      <c r="AK1369" s="37"/>
      <c r="AL1369" s="37"/>
      <c r="AM1369" s="37"/>
      <c r="AN1369" s="37"/>
      <c r="AO1369" s="37"/>
      <c r="AP1369" s="37"/>
      <c r="AQ1369" s="37"/>
      <c r="AR1369" s="37"/>
      <c r="AS1369" s="37"/>
      <c r="AT1369" s="37"/>
      <c r="AU1369" s="37"/>
      <c r="AV1369" s="37"/>
      <c r="AW1369" s="37"/>
    </row>
    <row r="1370" spans="29:49" x14ac:dyDescent="0.25">
      <c r="AC1370" s="37"/>
      <c r="AD1370" s="37"/>
      <c r="AE1370" s="37"/>
      <c r="AF1370" s="37"/>
      <c r="AG1370" s="37"/>
      <c r="AH1370" s="37"/>
      <c r="AI1370" s="37"/>
      <c r="AJ1370" s="37"/>
      <c r="AK1370" s="37"/>
      <c r="AL1370" s="37"/>
      <c r="AM1370" s="37"/>
      <c r="AN1370" s="37"/>
      <c r="AO1370" s="37"/>
      <c r="AP1370" s="37"/>
      <c r="AQ1370" s="37"/>
      <c r="AR1370" s="37"/>
      <c r="AS1370" s="37"/>
      <c r="AT1370" s="37"/>
      <c r="AU1370" s="37"/>
      <c r="AV1370" s="37"/>
      <c r="AW1370" s="37"/>
    </row>
    <row r="1371" spans="29:49" x14ac:dyDescent="0.25">
      <c r="AC1371" s="37"/>
      <c r="AD1371" s="37"/>
      <c r="AE1371" s="37"/>
      <c r="AF1371" s="37"/>
      <c r="AG1371" s="37"/>
      <c r="AH1371" s="37"/>
      <c r="AI1371" s="37"/>
      <c r="AJ1371" s="37"/>
      <c r="AK1371" s="37"/>
      <c r="AL1371" s="37"/>
      <c r="AM1371" s="37"/>
      <c r="AN1371" s="37"/>
      <c r="AO1371" s="37"/>
      <c r="AP1371" s="37"/>
      <c r="AQ1371" s="37"/>
      <c r="AR1371" s="37"/>
      <c r="AS1371" s="37"/>
      <c r="AT1371" s="37"/>
      <c r="AU1371" s="37"/>
      <c r="AV1371" s="37"/>
      <c r="AW1371" s="37"/>
    </row>
    <row r="1372" spans="29:49" x14ac:dyDescent="0.25">
      <c r="AC1372" s="37"/>
      <c r="AD1372" s="37"/>
      <c r="AE1372" s="37"/>
      <c r="AF1372" s="37"/>
      <c r="AG1372" s="37"/>
      <c r="AH1372" s="37"/>
      <c r="AI1372" s="37"/>
      <c r="AJ1372" s="37"/>
      <c r="AK1372" s="37"/>
      <c r="AL1372" s="37"/>
      <c r="AM1372" s="37"/>
      <c r="AN1372" s="37"/>
      <c r="AO1372" s="37"/>
      <c r="AP1372" s="37"/>
      <c r="AQ1372" s="37"/>
      <c r="AR1372" s="37"/>
      <c r="AS1372" s="37"/>
      <c r="AT1372" s="37"/>
      <c r="AU1372" s="37"/>
      <c r="AV1372" s="37"/>
      <c r="AW1372" s="37"/>
    </row>
    <row r="1373" spans="29:49" x14ac:dyDescent="0.25">
      <c r="AC1373" s="37"/>
      <c r="AD1373" s="37"/>
      <c r="AE1373" s="37"/>
      <c r="AF1373" s="37"/>
      <c r="AG1373" s="37"/>
      <c r="AH1373" s="37"/>
      <c r="AI1373" s="37"/>
      <c r="AJ1373" s="37"/>
      <c r="AK1373" s="37"/>
      <c r="AL1373" s="37"/>
      <c r="AM1373" s="37"/>
      <c r="AN1373" s="37"/>
      <c r="AO1373" s="37"/>
      <c r="AP1373" s="37"/>
      <c r="AQ1373" s="37"/>
      <c r="AR1373" s="37"/>
      <c r="AS1373" s="37"/>
      <c r="AT1373" s="37"/>
      <c r="AU1373" s="37"/>
      <c r="AV1373" s="37"/>
      <c r="AW1373" s="37"/>
    </row>
    <row r="1374" spans="29:49" x14ac:dyDescent="0.25">
      <c r="AC1374" s="37"/>
      <c r="AD1374" s="37"/>
      <c r="AE1374" s="37"/>
      <c r="AF1374" s="37"/>
      <c r="AG1374" s="37"/>
      <c r="AH1374" s="37"/>
      <c r="AI1374" s="37"/>
      <c r="AJ1374" s="37"/>
      <c r="AK1374" s="37"/>
      <c r="AL1374" s="37"/>
      <c r="AM1374" s="37"/>
      <c r="AN1374" s="37"/>
      <c r="AO1374" s="37"/>
      <c r="AP1374" s="37"/>
      <c r="AQ1374" s="37"/>
      <c r="AR1374" s="37"/>
      <c r="AS1374" s="37"/>
      <c r="AT1374" s="37"/>
      <c r="AU1374" s="37"/>
      <c r="AV1374" s="37"/>
      <c r="AW1374" s="37"/>
    </row>
    <row r="1375" spans="29:49" x14ac:dyDescent="0.25">
      <c r="AC1375" s="37"/>
      <c r="AD1375" s="37"/>
      <c r="AE1375" s="37"/>
      <c r="AF1375" s="37"/>
      <c r="AG1375" s="37"/>
      <c r="AH1375" s="37"/>
      <c r="AI1375" s="37"/>
      <c r="AJ1375" s="37"/>
      <c r="AK1375" s="37"/>
      <c r="AL1375" s="37"/>
      <c r="AM1375" s="37"/>
      <c r="AN1375" s="37"/>
      <c r="AO1375" s="37"/>
      <c r="AP1375" s="37"/>
      <c r="AQ1375" s="37"/>
      <c r="AR1375" s="37"/>
      <c r="AS1375" s="37"/>
      <c r="AT1375" s="37"/>
      <c r="AU1375" s="37"/>
      <c r="AV1375" s="37"/>
      <c r="AW1375" s="37"/>
    </row>
    <row r="1376" spans="29:49" x14ac:dyDescent="0.25">
      <c r="AC1376" s="37"/>
      <c r="AD1376" s="37"/>
      <c r="AE1376" s="37"/>
      <c r="AF1376" s="37"/>
      <c r="AG1376" s="37"/>
      <c r="AH1376" s="37"/>
      <c r="AI1376" s="37"/>
      <c r="AJ1376" s="37"/>
      <c r="AK1376" s="37"/>
      <c r="AL1376" s="37"/>
      <c r="AM1376" s="37"/>
      <c r="AN1376" s="37"/>
      <c r="AO1376" s="37"/>
      <c r="AP1376" s="37"/>
      <c r="AQ1376" s="37"/>
      <c r="AR1376" s="37"/>
      <c r="AS1376" s="37"/>
      <c r="AT1376" s="37"/>
      <c r="AU1376" s="37"/>
      <c r="AV1376" s="37"/>
      <c r="AW1376" s="37"/>
    </row>
    <row r="1377" spans="29:49" x14ac:dyDescent="0.25">
      <c r="AC1377" s="37"/>
      <c r="AD1377" s="37"/>
      <c r="AE1377" s="37"/>
      <c r="AF1377" s="37"/>
      <c r="AG1377" s="37"/>
      <c r="AH1377" s="37"/>
      <c r="AI1377" s="37"/>
      <c r="AJ1377" s="37"/>
      <c r="AK1377" s="37"/>
      <c r="AL1377" s="37"/>
      <c r="AM1377" s="37"/>
      <c r="AN1377" s="37"/>
      <c r="AO1377" s="37"/>
      <c r="AP1377" s="37"/>
      <c r="AQ1377" s="37"/>
      <c r="AR1377" s="37"/>
      <c r="AS1377" s="37"/>
      <c r="AT1377" s="37"/>
      <c r="AU1377" s="37"/>
      <c r="AV1377" s="37"/>
      <c r="AW1377" s="37"/>
    </row>
    <row r="1378" spans="29:49" x14ac:dyDescent="0.25">
      <c r="AC1378" s="37"/>
      <c r="AD1378" s="37"/>
      <c r="AE1378" s="37"/>
      <c r="AF1378" s="37"/>
      <c r="AG1378" s="37"/>
      <c r="AH1378" s="37"/>
      <c r="AI1378" s="37"/>
      <c r="AJ1378" s="37"/>
      <c r="AK1378" s="37"/>
      <c r="AL1378" s="37"/>
      <c r="AM1378" s="37"/>
      <c r="AN1378" s="37"/>
      <c r="AO1378" s="37"/>
      <c r="AP1378" s="37"/>
      <c r="AQ1378" s="37"/>
      <c r="AR1378" s="37"/>
      <c r="AS1378" s="37"/>
      <c r="AT1378" s="37"/>
      <c r="AU1378" s="37"/>
      <c r="AV1378" s="37"/>
      <c r="AW1378" s="37"/>
    </row>
    <row r="1379" spans="29:49" x14ac:dyDescent="0.25">
      <c r="AC1379" s="37"/>
      <c r="AD1379" s="37"/>
      <c r="AE1379" s="37"/>
      <c r="AF1379" s="37"/>
      <c r="AG1379" s="37"/>
      <c r="AH1379" s="37"/>
      <c r="AI1379" s="37"/>
      <c r="AJ1379" s="37"/>
      <c r="AK1379" s="37"/>
      <c r="AL1379" s="37"/>
      <c r="AM1379" s="37"/>
      <c r="AN1379" s="37"/>
      <c r="AO1379" s="37"/>
      <c r="AP1379" s="37"/>
      <c r="AQ1379" s="37"/>
      <c r="AR1379" s="37"/>
      <c r="AS1379" s="37"/>
      <c r="AT1379" s="37"/>
      <c r="AU1379" s="37"/>
      <c r="AV1379" s="37"/>
      <c r="AW1379" s="37"/>
    </row>
    <row r="1380" spans="29:49" x14ac:dyDescent="0.25">
      <c r="AC1380" s="37"/>
      <c r="AD1380" s="37"/>
      <c r="AE1380" s="37"/>
      <c r="AF1380" s="37"/>
      <c r="AG1380" s="37"/>
      <c r="AH1380" s="37"/>
      <c r="AI1380" s="37"/>
      <c r="AJ1380" s="37"/>
      <c r="AK1380" s="37"/>
      <c r="AL1380" s="37"/>
      <c r="AM1380" s="37"/>
      <c r="AN1380" s="37"/>
      <c r="AO1380" s="37"/>
      <c r="AP1380" s="37"/>
      <c r="AQ1380" s="37"/>
      <c r="AR1380" s="37"/>
      <c r="AS1380" s="37"/>
      <c r="AT1380" s="37"/>
      <c r="AU1380" s="37"/>
      <c r="AV1380" s="37"/>
      <c r="AW1380" s="37"/>
    </row>
    <row r="1381" spans="29:49" x14ac:dyDescent="0.25">
      <c r="AC1381" s="37"/>
      <c r="AD1381" s="37"/>
      <c r="AE1381" s="37"/>
      <c r="AF1381" s="37"/>
      <c r="AG1381" s="37"/>
      <c r="AH1381" s="37"/>
      <c r="AI1381" s="37"/>
      <c r="AJ1381" s="37"/>
      <c r="AK1381" s="37"/>
      <c r="AL1381" s="37"/>
      <c r="AM1381" s="37"/>
      <c r="AN1381" s="37"/>
      <c r="AO1381" s="37"/>
      <c r="AP1381" s="37"/>
      <c r="AQ1381" s="37"/>
      <c r="AR1381" s="37"/>
      <c r="AS1381" s="37"/>
      <c r="AT1381" s="37"/>
      <c r="AU1381" s="37"/>
      <c r="AV1381" s="37"/>
      <c r="AW1381" s="37"/>
    </row>
    <row r="1382" spans="29:49" x14ac:dyDescent="0.25">
      <c r="AC1382" s="37"/>
      <c r="AD1382" s="37"/>
      <c r="AE1382" s="37"/>
      <c r="AF1382" s="37"/>
      <c r="AG1382" s="37"/>
      <c r="AH1382" s="37"/>
      <c r="AI1382" s="37"/>
      <c r="AJ1382" s="37"/>
      <c r="AK1382" s="37"/>
      <c r="AL1382" s="37"/>
      <c r="AM1382" s="37"/>
      <c r="AN1382" s="37"/>
      <c r="AO1382" s="37"/>
      <c r="AP1382" s="37"/>
      <c r="AQ1382" s="37"/>
      <c r="AR1382" s="37"/>
      <c r="AS1382" s="37"/>
      <c r="AT1382" s="37"/>
      <c r="AU1382" s="37"/>
      <c r="AV1382" s="37"/>
      <c r="AW1382" s="37"/>
    </row>
    <row r="1383" spans="29:49" x14ac:dyDescent="0.25">
      <c r="AC1383" s="37"/>
      <c r="AD1383" s="37"/>
      <c r="AE1383" s="37"/>
      <c r="AF1383" s="37"/>
      <c r="AG1383" s="37"/>
      <c r="AH1383" s="37"/>
      <c r="AI1383" s="37"/>
      <c r="AJ1383" s="37"/>
      <c r="AK1383" s="37"/>
      <c r="AL1383" s="37"/>
      <c r="AM1383" s="37"/>
      <c r="AN1383" s="37"/>
      <c r="AO1383" s="37"/>
      <c r="AP1383" s="37"/>
      <c r="AQ1383" s="37"/>
      <c r="AR1383" s="37"/>
      <c r="AS1383" s="37"/>
      <c r="AT1383" s="37"/>
      <c r="AU1383" s="37"/>
      <c r="AV1383" s="37"/>
      <c r="AW1383" s="37"/>
    </row>
    <row r="1384" spans="29:49" x14ac:dyDescent="0.25">
      <c r="AC1384" s="37"/>
      <c r="AD1384" s="37"/>
      <c r="AE1384" s="37"/>
      <c r="AF1384" s="37"/>
      <c r="AG1384" s="37"/>
      <c r="AH1384" s="37"/>
      <c r="AI1384" s="37"/>
      <c r="AJ1384" s="37"/>
      <c r="AK1384" s="37"/>
      <c r="AL1384" s="37"/>
      <c r="AM1384" s="37"/>
      <c r="AN1384" s="37"/>
      <c r="AO1384" s="37"/>
      <c r="AP1384" s="37"/>
      <c r="AQ1384" s="37"/>
      <c r="AR1384" s="37"/>
      <c r="AS1384" s="37"/>
      <c r="AT1384" s="37"/>
      <c r="AU1384" s="37"/>
      <c r="AV1384" s="37"/>
      <c r="AW1384" s="37"/>
    </row>
    <row r="1385" spans="29:49" x14ac:dyDescent="0.25">
      <c r="AC1385" s="37"/>
      <c r="AD1385" s="37"/>
      <c r="AE1385" s="37"/>
      <c r="AF1385" s="37"/>
      <c r="AG1385" s="37"/>
      <c r="AH1385" s="37"/>
      <c r="AI1385" s="37"/>
      <c r="AJ1385" s="37"/>
      <c r="AK1385" s="37"/>
      <c r="AL1385" s="37"/>
      <c r="AM1385" s="37"/>
      <c r="AN1385" s="37"/>
      <c r="AO1385" s="37"/>
      <c r="AP1385" s="37"/>
      <c r="AQ1385" s="37"/>
      <c r="AR1385" s="37"/>
      <c r="AS1385" s="37"/>
      <c r="AT1385" s="37"/>
      <c r="AU1385" s="37"/>
      <c r="AV1385" s="37"/>
      <c r="AW1385" s="37"/>
    </row>
    <row r="1386" spans="29:49" x14ac:dyDescent="0.25">
      <c r="AC1386" s="37"/>
      <c r="AD1386" s="37"/>
      <c r="AE1386" s="37"/>
      <c r="AF1386" s="37"/>
      <c r="AG1386" s="37"/>
      <c r="AH1386" s="37"/>
      <c r="AI1386" s="37"/>
      <c r="AJ1386" s="37"/>
      <c r="AK1386" s="37"/>
      <c r="AL1386" s="37"/>
      <c r="AM1386" s="37"/>
      <c r="AN1386" s="37"/>
      <c r="AO1386" s="37"/>
      <c r="AP1386" s="37"/>
      <c r="AQ1386" s="37"/>
      <c r="AR1386" s="37"/>
      <c r="AS1386" s="37"/>
      <c r="AT1386" s="37"/>
      <c r="AU1386" s="37"/>
      <c r="AV1386" s="37"/>
      <c r="AW1386" s="37"/>
    </row>
    <row r="1387" spans="29:49" x14ac:dyDescent="0.25">
      <c r="AC1387" s="37"/>
      <c r="AD1387" s="37"/>
      <c r="AE1387" s="37"/>
      <c r="AF1387" s="37"/>
      <c r="AG1387" s="37"/>
      <c r="AH1387" s="37"/>
      <c r="AI1387" s="37"/>
      <c r="AJ1387" s="37"/>
      <c r="AK1387" s="37"/>
      <c r="AL1387" s="37"/>
      <c r="AM1387" s="37"/>
      <c r="AN1387" s="37"/>
      <c r="AO1387" s="37"/>
      <c r="AP1387" s="37"/>
      <c r="AQ1387" s="37"/>
      <c r="AR1387" s="37"/>
      <c r="AS1387" s="37"/>
      <c r="AT1387" s="37"/>
      <c r="AU1387" s="37"/>
      <c r="AV1387" s="37"/>
      <c r="AW1387" s="37"/>
    </row>
    <row r="1388" spans="29:49" x14ac:dyDescent="0.25">
      <c r="AC1388" s="37"/>
      <c r="AD1388" s="37"/>
      <c r="AE1388" s="37"/>
      <c r="AF1388" s="37"/>
      <c r="AG1388" s="37"/>
      <c r="AH1388" s="37"/>
      <c r="AI1388" s="37"/>
      <c r="AJ1388" s="37"/>
      <c r="AK1388" s="37"/>
      <c r="AL1388" s="37"/>
      <c r="AM1388" s="37"/>
      <c r="AN1388" s="37"/>
      <c r="AO1388" s="37"/>
      <c r="AP1388" s="37"/>
      <c r="AQ1388" s="37"/>
      <c r="AR1388" s="37"/>
      <c r="AS1388" s="37"/>
      <c r="AT1388" s="37"/>
      <c r="AU1388" s="37"/>
      <c r="AV1388" s="37"/>
      <c r="AW1388" s="37"/>
    </row>
    <row r="1389" spans="29:49" x14ac:dyDescent="0.25">
      <c r="AC1389" s="37"/>
      <c r="AD1389" s="37"/>
      <c r="AE1389" s="37"/>
      <c r="AF1389" s="37"/>
      <c r="AG1389" s="37"/>
      <c r="AH1389" s="37"/>
      <c r="AI1389" s="37"/>
      <c r="AJ1389" s="37"/>
      <c r="AK1389" s="37"/>
      <c r="AL1389" s="37"/>
      <c r="AM1389" s="37"/>
      <c r="AN1389" s="37"/>
      <c r="AO1389" s="37"/>
      <c r="AP1389" s="37"/>
      <c r="AQ1389" s="37"/>
      <c r="AR1389" s="37"/>
      <c r="AS1389" s="37"/>
      <c r="AT1389" s="37"/>
      <c r="AU1389" s="37"/>
      <c r="AV1389" s="37"/>
      <c r="AW1389" s="37"/>
    </row>
    <row r="1390" spans="29:49" x14ac:dyDescent="0.25">
      <c r="AC1390" s="37"/>
      <c r="AD1390" s="37"/>
      <c r="AE1390" s="37"/>
      <c r="AF1390" s="37"/>
      <c r="AG1390" s="37"/>
      <c r="AH1390" s="37"/>
      <c r="AI1390" s="37"/>
      <c r="AJ1390" s="37"/>
      <c r="AK1390" s="37"/>
      <c r="AL1390" s="37"/>
      <c r="AM1390" s="37"/>
      <c r="AN1390" s="37"/>
      <c r="AO1390" s="37"/>
      <c r="AP1390" s="37"/>
      <c r="AQ1390" s="37"/>
      <c r="AR1390" s="37"/>
      <c r="AS1390" s="37"/>
      <c r="AT1390" s="37"/>
      <c r="AU1390" s="37"/>
      <c r="AV1390" s="37"/>
      <c r="AW1390" s="37"/>
    </row>
    <row r="1391" spans="29:49" x14ac:dyDescent="0.25">
      <c r="AC1391" s="37"/>
      <c r="AD1391" s="37"/>
      <c r="AE1391" s="37"/>
      <c r="AF1391" s="37"/>
      <c r="AG1391" s="37"/>
      <c r="AH1391" s="37"/>
      <c r="AI1391" s="37"/>
      <c r="AJ1391" s="37"/>
      <c r="AK1391" s="37"/>
      <c r="AL1391" s="37"/>
      <c r="AM1391" s="37"/>
      <c r="AN1391" s="37"/>
      <c r="AO1391" s="37"/>
      <c r="AP1391" s="37"/>
      <c r="AQ1391" s="37"/>
      <c r="AR1391" s="37"/>
      <c r="AS1391" s="37"/>
      <c r="AT1391" s="37"/>
      <c r="AU1391" s="37"/>
      <c r="AV1391" s="37"/>
      <c r="AW1391" s="37"/>
    </row>
    <row r="1392" spans="29:49" x14ac:dyDescent="0.25">
      <c r="AC1392" s="37"/>
      <c r="AD1392" s="37"/>
      <c r="AE1392" s="37"/>
      <c r="AF1392" s="37"/>
      <c r="AG1392" s="37"/>
      <c r="AH1392" s="37"/>
      <c r="AI1392" s="37"/>
      <c r="AJ1392" s="37"/>
      <c r="AK1392" s="37"/>
      <c r="AL1392" s="37"/>
      <c r="AM1392" s="37"/>
      <c r="AN1392" s="37"/>
      <c r="AO1392" s="37"/>
      <c r="AP1392" s="37"/>
      <c r="AQ1392" s="37"/>
      <c r="AR1392" s="37"/>
      <c r="AS1392" s="37"/>
      <c r="AT1392" s="37"/>
      <c r="AU1392" s="37"/>
      <c r="AV1392" s="37"/>
      <c r="AW1392" s="37"/>
    </row>
    <row r="1393" spans="29:49" x14ac:dyDescent="0.25">
      <c r="AC1393" s="37"/>
      <c r="AD1393" s="37"/>
      <c r="AE1393" s="37"/>
      <c r="AF1393" s="37"/>
      <c r="AG1393" s="37"/>
      <c r="AH1393" s="37"/>
      <c r="AI1393" s="37"/>
      <c r="AJ1393" s="37"/>
      <c r="AK1393" s="37"/>
      <c r="AL1393" s="37"/>
      <c r="AM1393" s="37"/>
      <c r="AN1393" s="37"/>
      <c r="AO1393" s="37"/>
      <c r="AP1393" s="37"/>
      <c r="AQ1393" s="37"/>
      <c r="AR1393" s="37"/>
      <c r="AS1393" s="37"/>
      <c r="AT1393" s="37"/>
      <c r="AU1393" s="37"/>
      <c r="AV1393" s="37"/>
      <c r="AW1393" s="37"/>
    </row>
    <row r="1394" spans="29:49" x14ac:dyDescent="0.25">
      <c r="AC1394" s="37"/>
      <c r="AD1394" s="37"/>
      <c r="AE1394" s="37"/>
      <c r="AF1394" s="37"/>
      <c r="AG1394" s="37"/>
      <c r="AH1394" s="37"/>
      <c r="AI1394" s="37"/>
      <c r="AJ1394" s="37"/>
      <c r="AK1394" s="37"/>
      <c r="AL1394" s="37"/>
      <c r="AM1394" s="37"/>
      <c r="AN1394" s="37"/>
      <c r="AO1394" s="37"/>
      <c r="AP1394" s="37"/>
      <c r="AQ1394" s="37"/>
      <c r="AR1394" s="37"/>
      <c r="AS1394" s="37"/>
      <c r="AT1394" s="37"/>
      <c r="AU1394" s="37"/>
      <c r="AV1394" s="37"/>
      <c r="AW1394" s="37"/>
    </row>
    <row r="1395" spans="29:49" x14ac:dyDescent="0.25">
      <c r="AC1395" s="37"/>
      <c r="AD1395" s="37"/>
      <c r="AE1395" s="37"/>
      <c r="AF1395" s="37"/>
      <c r="AG1395" s="37"/>
      <c r="AH1395" s="37"/>
      <c r="AI1395" s="37"/>
      <c r="AJ1395" s="37"/>
      <c r="AK1395" s="37"/>
      <c r="AL1395" s="37"/>
      <c r="AM1395" s="37"/>
      <c r="AN1395" s="37"/>
      <c r="AO1395" s="37"/>
      <c r="AP1395" s="37"/>
      <c r="AQ1395" s="37"/>
      <c r="AR1395" s="37"/>
      <c r="AS1395" s="37"/>
      <c r="AT1395" s="37"/>
      <c r="AU1395" s="37"/>
      <c r="AV1395" s="37"/>
      <c r="AW1395" s="37"/>
    </row>
    <row r="1396" spans="29:49" x14ac:dyDescent="0.25">
      <c r="AC1396" s="37"/>
      <c r="AD1396" s="37"/>
      <c r="AE1396" s="37"/>
      <c r="AF1396" s="37"/>
      <c r="AG1396" s="37"/>
      <c r="AH1396" s="37"/>
      <c r="AI1396" s="37"/>
      <c r="AJ1396" s="37"/>
      <c r="AK1396" s="37"/>
      <c r="AL1396" s="37"/>
      <c r="AM1396" s="37"/>
      <c r="AN1396" s="37"/>
      <c r="AO1396" s="37"/>
      <c r="AP1396" s="37"/>
      <c r="AQ1396" s="37"/>
      <c r="AR1396" s="37"/>
      <c r="AS1396" s="37"/>
      <c r="AT1396" s="37"/>
      <c r="AU1396" s="37"/>
      <c r="AV1396" s="37"/>
      <c r="AW1396" s="37"/>
    </row>
    <row r="1397" spans="29:49" x14ac:dyDescent="0.25">
      <c r="AC1397" s="37"/>
      <c r="AD1397" s="37"/>
      <c r="AE1397" s="37"/>
      <c r="AF1397" s="37"/>
      <c r="AG1397" s="37"/>
      <c r="AH1397" s="37"/>
      <c r="AI1397" s="37"/>
      <c r="AJ1397" s="37"/>
      <c r="AK1397" s="37"/>
      <c r="AL1397" s="37"/>
      <c r="AM1397" s="37"/>
      <c r="AN1397" s="37"/>
      <c r="AO1397" s="37"/>
      <c r="AP1397" s="37"/>
      <c r="AQ1397" s="37"/>
      <c r="AR1397" s="37"/>
      <c r="AS1397" s="37"/>
      <c r="AT1397" s="37"/>
      <c r="AU1397" s="37"/>
      <c r="AV1397" s="37"/>
      <c r="AW1397" s="37"/>
    </row>
    <row r="1398" spans="29:49" x14ac:dyDescent="0.25">
      <c r="AC1398" s="37"/>
      <c r="AD1398" s="37"/>
      <c r="AE1398" s="37"/>
      <c r="AF1398" s="37"/>
      <c r="AG1398" s="37"/>
      <c r="AH1398" s="37"/>
      <c r="AI1398" s="37"/>
      <c r="AJ1398" s="37"/>
      <c r="AK1398" s="37"/>
      <c r="AL1398" s="37"/>
      <c r="AM1398" s="37"/>
      <c r="AN1398" s="37"/>
      <c r="AO1398" s="37"/>
      <c r="AP1398" s="37"/>
      <c r="AQ1398" s="37"/>
      <c r="AR1398" s="37"/>
      <c r="AS1398" s="37"/>
      <c r="AT1398" s="37"/>
      <c r="AU1398" s="37"/>
      <c r="AV1398" s="37"/>
      <c r="AW1398" s="37"/>
    </row>
    <row r="1399" spans="29:49" x14ac:dyDescent="0.25">
      <c r="AC1399" s="37"/>
      <c r="AD1399" s="37"/>
      <c r="AE1399" s="37"/>
      <c r="AF1399" s="37"/>
      <c r="AG1399" s="37"/>
      <c r="AH1399" s="37"/>
      <c r="AI1399" s="37"/>
      <c r="AJ1399" s="37"/>
      <c r="AK1399" s="37"/>
      <c r="AL1399" s="37"/>
      <c r="AM1399" s="37"/>
      <c r="AN1399" s="37"/>
      <c r="AO1399" s="37"/>
      <c r="AP1399" s="37"/>
      <c r="AQ1399" s="37"/>
      <c r="AR1399" s="37"/>
      <c r="AS1399" s="37"/>
      <c r="AT1399" s="37"/>
      <c r="AU1399" s="37"/>
      <c r="AV1399" s="37"/>
      <c r="AW1399" s="37"/>
    </row>
    <row r="1400" spans="29:49" x14ac:dyDescent="0.25">
      <c r="AC1400" s="37"/>
      <c r="AD1400" s="37"/>
      <c r="AE1400" s="37"/>
      <c r="AF1400" s="37"/>
      <c r="AG1400" s="37"/>
      <c r="AH1400" s="37"/>
      <c r="AI1400" s="37"/>
      <c r="AJ1400" s="37"/>
      <c r="AK1400" s="37"/>
      <c r="AL1400" s="37"/>
      <c r="AM1400" s="37"/>
      <c r="AN1400" s="37"/>
      <c r="AO1400" s="37"/>
      <c r="AP1400" s="37"/>
      <c r="AQ1400" s="37"/>
      <c r="AR1400" s="37"/>
      <c r="AS1400" s="37"/>
      <c r="AT1400" s="37"/>
      <c r="AU1400" s="37"/>
      <c r="AV1400" s="37"/>
      <c r="AW1400" s="37"/>
    </row>
    <row r="1401" spans="29:49" x14ac:dyDescent="0.25">
      <c r="AC1401" s="37"/>
      <c r="AD1401" s="37"/>
      <c r="AE1401" s="37"/>
      <c r="AF1401" s="37"/>
      <c r="AG1401" s="37"/>
      <c r="AH1401" s="37"/>
      <c r="AI1401" s="37"/>
      <c r="AJ1401" s="37"/>
      <c r="AK1401" s="37"/>
      <c r="AL1401" s="37"/>
      <c r="AM1401" s="37"/>
      <c r="AN1401" s="37"/>
      <c r="AO1401" s="37"/>
      <c r="AP1401" s="37"/>
      <c r="AQ1401" s="37"/>
      <c r="AR1401" s="37"/>
      <c r="AS1401" s="37"/>
      <c r="AT1401" s="37"/>
      <c r="AU1401" s="37"/>
      <c r="AV1401" s="37"/>
      <c r="AW1401" s="37"/>
    </row>
    <row r="1402" spans="29:49" x14ac:dyDescent="0.25">
      <c r="AC1402" s="37"/>
      <c r="AD1402" s="37"/>
      <c r="AE1402" s="37"/>
      <c r="AF1402" s="37"/>
      <c r="AG1402" s="37"/>
      <c r="AH1402" s="37"/>
      <c r="AI1402" s="37"/>
      <c r="AJ1402" s="37"/>
      <c r="AK1402" s="37"/>
      <c r="AL1402" s="37"/>
      <c r="AM1402" s="37"/>
      <c r="AN1402" s="37"/>
      <c r="AO1402" s="37"/>
      <c r="AP1402" s="37"/>
      <c r="AQ1402" s="37"/>
      <c r="AR1402" s="37"/>
      <c r="AS1402" s="37"/>
      <c r="AT1402" s="37"/>
      <c r="AU1402" s="37"/>
      <c r="AV1402" s="37"/>
      <c r="AW1402" s="37"/>
    </row>
    <row r="1403" spans="29:49" x14ac:dyDescent="0.25">
      <c r="AC1403" s="37"/>
      <c r="AD1403" s="37"/>
      <c r="AE1403" s="37"/>
      <c r="AF1403" s="37"/>
      <c r="AG1403" s="37"/>
      <c r="AH1403" s="37"/>
      <c r="AI1403" s="37"/>
      <c r="AJ1403" s="37"/>
      <c r="AK1403" s="37"/>
      <c r="AL1403" s="37"/>
      <c r="AM1403" s="37"/>
      <c r="AN1403" s="37"/>
      <c r="AO1403" s="37"/>
      <c r="AP1403" s="37"/>
      <c r="AQ1403" s="37"/>
      <c r="AR1403" s="37"/>
      <c r="AS1403" s="37"/>
      <c r="AT1403" s="37"/>
      <c r="AU1403" s="37"/>
      <c r="AV1403" s="37"/>
      <c r="AW1403" s="37"/>
    </row>
    <row r="1404" spans="29:49" x14ac:dyDescent="0.25">
      <c r="AC1404" s="37"/>
      <c r="AD1404" s="37"/>
      <c r="AE1404" s="37"/>
      <c r="AF1404" s="37"/>
      <c r="AG1404" s="37"/>
      <c r="AH1404" s="37"/>
      <c r="AI1404" s="37"/>
      <c r="AJ1404" s="37"/>
      <c r="AK1404" s="37"/>
      <c r="AL1404" s="37"/>
      <c r="AM1404" s="37"/>
      <c r="AN1404" s="37"/>
      <c r="AO1404" s="37"/>
      <c r="AP1404" s="37"/>
      <c r="AQ1404" s="37"/>
      <c r="AR1404" s="37"/>
      <c r="AS1404" s="37"/>
      <c r="AT1404" s="37"/>
      <c r="AU1404" s="37"/>
      <c r="AV1404" s="37"/>
      <c r="AW1404" s="37"/>
    </row>
    <row r="1405" spans="29:49" x14ac:dyDescent="0.25">
      <c r="AC1405" s="37"/>
      <c r="AD1405" s="37"/>
      <c r="AE1405" s="37"/>
      <c r="AF1405" s="37"/>
      <c r="AG1405" s="37"/>
      <c r="AH1405" s="37"/>
      <c r="AI1405" s="37"/>
      <c r="AJ1405" s="37"/>
      <c r="AK1405" s="37"/>
      <c r="AL1405" s="37"/>
      <c r="AM1405" s="37"/>
      <c r="AN1405" s="37"/>
      <c r="AO1405" s="37"/>
      <c r="AP1405" s="37"/>
      <c r="AQ1405" s="37"/>
      <c r="AR1405" s="37"/>
      <c r="AS1405" s="37"/>
      <c r="AT1405" s="37"/>
      <c r="AU1405" s="37"/>
      <c r="AV1405" s="37"/>
      <c r="AW1405" s="37"/>
    </row>
    <row r="1406" spans="29:49" x14ac:dyDescent="0.25">
      <c r="AC1406" s="37"/>
      <c r="AD1406" s="37"/>
      <c r="AE1406" s="37"/>
      <c r="AF1406" s="37"/>
      <c r="AG1406" s="37"/>
      <c r="AH1406" s="37"/>
      <c r="AI1406" s="37"/>
      <c r="AJ1406" s="37"/>
      <c r="AK1406" s="37"/>
      <c r="AL1406" s="37"/>
      <c r="AM1406" s="37"/>
      <c r="AN1406" s="37"/>
      <c r="AO1406" s="37"/>
      <c r="AP1406" s="37"/>
      <c r="AQ1406" s="37"/>
      <c r="AR1406" s="37"/>
      <c r="AS1406" s="37"/>
      <c r="AT1406" s="37"/>
      <c r="AU1406" s="37"/>
      <c r="AV1406" s="37"/>
      <c r="AW1406" s="37"/>
    </row>
    <row r="1407" spans="29:49" x14ac:dyDescent="0.25">
      <c r="AC1407" s="37"/>
      <c r="AD1407" s="37"/>
      <c r="AE1407" s="37"/>
      <c r="AF1407" s="37"/>
      <c r="AG1407" s="37"/>
      <c r="AH1407" s="37"/>
      <c r="AI1407" s="37"/>
      <c r="AJ1407" s="37"/>
      <c r="AK1407" s="37"/>
      <c r="AL1407" s="37"/>
      <c r="AM1407" s="37"/>
      <c r="AN1407" s="37"/>
      <c r="AO1407" s="37"/>
      <c r="AP1407" s="37"/>
      <c r="AQ1407" s="37"/>
      <c r="AR1407" s="37"/>
      <c r="AS1407" s="37"/>
      <c r="AT1407" s="37"/>
      <c r="AU1407" s="37"/>
      <c r="AV1407" s="37"/>
      <c r="AW1407" s="37"/>
    </row>
    <row r="1408" spans="29:49" x14ac:dyDescent="0.25">
      <c r="AC1408" s="37"/>
      <c r="AD1408" s="37"/>
      <c r="AE1408" s="37"/>
      <c r="AF1408" s="37"/>
      <c r="AG1408" s="37"/>
      <c r="AH1408" s="37"/>
      <c r="AI1408" s="37"/>
      <c r="AJ1408" s="37"/>
      <c r="AK1408" s="37"/>
      <c r="AL1408" s="37"/>
      <c r="AM1408" s="37"/>
      <c r="AN1408" s="37"/>
      <c r="AO1408" s="37"/>
      <c r="AP1408" s="37"/>
      <c r="AQ1408" s="37"/>
      <c r="AR1408" s="37"/>
      <c r="AS1408" s="37"/>
      <c r="AT1408" s="37"/>
      <c r="AU1408" s="37"/>
      <c r="AV1408" s="37"/>
      <c r="AW1408" s="37"/>
    </row>
    <row r="1409" spans="29:49" x14ac:dyDescent="0.25">
      <c r="AC1409" s="37"/>
      <c r="AD1409" s="37"/>
      <c r="AE1409" s="37"/>
      <c r="AF1409" s="37"/>
      <c r="AG1409" s="37"/>
      <c r="AH1409" s="37"/>
      <c r="AI1409" s="37"/>
      <c r="AJ1409" s="37"/>
      <c r="AK1409" s="37"/>
      <c r="AL1409" s="37"/>
      <c r="AM1409" s="37"/>
      <c r="AN1409" s="37"/>
      <c r="AO1409" s="37"/>
      <c r="AP1409" s="37"/>
      <c r="AQ1409" s="37"/>
      <c r="AR1409" s="37"/>
      <c r="AS1409" s="37"/>
      <c r="AT1409" s="37"/>
      <c r="AU1409" s="37"/>
      <c r="AV1409" s="37"/>
      <c r="AW1409" s="37"/>
    </row>
    <row r="1410" spans="29:49" x14ac:dyDescent="0.25">
      <c r="AC1410" s="37"/>
      <c r="AD1410" s="37"/>
      <c r="AE1410" s="37"/>
      <c r="AF1410" s="37"/>
      <c r="AG1410" s="37"/>
      <c r="AH1410" s="37"/>
      <c r="AI1410" s="37"/>
      <c r="AJ1410" s="37"/>
      <c r="AK1410" s="37"/>
      <c r="AL1410" s="37"/>
      <c r="AM1410" s="37"/>
      <c r="AN1410" s="37"/>
      <c r="AO1410" s="37"/>
      <c r="AP1410" s="37"/>
      <c r="AQ1410" s="37"/>
      <c r="AR1410" s="37"/>
      <c r="AS1410" s="37"/>
      <c r="AT1410" s="37"/>
      <c r="AU1410" s="37"/>
      <c r="AV1410" s="37"/>
      <c r="AW1410" s="37"/>
    </row>
    <row r="1411" spans="29:49" x14ac:dyDescent="0.25">
      <c r="AC1411" s="37"/>
      <c r="AD1411" s="37"/>
      <c r="AE1411" s="37"/>
      <c r="AF1411" s="37"/>
      <c r="AG1411" s="37"/>
      <c r="AH1411" s="37"/>
      <c r="AI1411" s="37"/>
      <c r="AJ1411" s="37"/>
      <c r="AK1411" s="37"/>
      <c r="AL1411" s="37"/>
      <c r="AM1411" s="37"/>
      <c r="AN1411" s="37"/>
      <c r="AO1411" s="37"/>
      <c r="AP1411" s="37"/>
      <c r="AQ1411" s="37"/>
      <c r="AR1411" s="37"/>
      <c r="AS1411" s="37"/>
      <c r="AT1411" s="37"/>
      <c r="AU1411" s="37"/>
      <c r="AV1411" s="37"/>
      <c r="AW1411" s="37"/>
    </row>
    <row r="1412" spans="29:49" x14ac:dyDescent="0.25">
      <c r="AC1412" s="37"/>
      <c r="AD1412" s="37"/>
      <c r="AE1412" s="37"/>
      <c r="AF1412" s="37"/>
      <c r="AG1412" s="37"/>
      <c r="AH1412" s="37"/>
      <c r="AI1412" s="37"/>
      <c r="AJ1412" s="37"/>
      <c r="AK1412" s="37"/>
      <c r="AL1412" s="37"/>
      <c r="AM1412" s="37"/>
      <c r="AN1412" s="37"/>
      <c r="AO1412" s="37"/>
      <c r="AP1412" s="37"/>
      <c r="AQ1412" s="37"/>
      <c r="AR1412" s="37"/>
      <c r="AS1412" s="37"/>
      <c r="AT1412" s="37"/>
      <c r="AU1412" s="37"/>
      <c r="AV1412" s="37"/>
      <c r="AW1412" s="37"/>
    </row>
    <row r="1413" spans="29:49" x14ac:dyDescent="0.25">
      <c r="AC1413" s="37"/>
      <c r="AD1413" s="37"/>
      <c r="AE1413" s="37"/>
      <c r="AF1413" s="37"/>
      <c r="AG1413" s="37"/>
      <c r="AH1413" s="37"/>
      <c r="AI1413" s="37"/>
      <c r="AJ1413" s="37"/>
      <c r="AK1413" s="37"/>
      <c r="AL1413" s="37"/>
      <c r="AM1413" s="37"/>
      <c r="AN1413" s="37"/>
      <c r="AO1413" s="37"/>
      <c r="AP1413" s="37"/>
      <c r="AQ1413" s="37"/>
      <c r="AR1413" s="37"/>
      <c r="AS1413" s="37"/>
      <c r="AT1413" s="37"/>
      <c r="AU1413" s="37"/>
      <c r="AV1413" s="37"/>
      <c r="AW1413" s="37"/>
    </row>
    <row r="1414" spans="29:49" x14ac:dyDescent="0.25">
      <c r="AC1414" s="37"/>
      <c r="AD1414" s="37"/>
      <c r="AE1414" s="37"/>
      <c r="AF1414" s="37"/>
      <c r="AG1414" s="37"/>
      <c r="AH1414" s="37"/>
      <c r="AI1414" s="37"/>
      <c r="AJ1414" s="37"/>
      <c r="AK1414" s="37"/>
      <c r="AL1414" s="37"/>
      <c r="AM1414" s="37"/>
      <c r="AN1414" s="37"/>
      <c r="AO1414" s="37"/>
      <c r="AP1414" s="37"/>
      <c r="AQ1414" s="37"/>
      <c r="AR1414" s="37"/>
      <c r="AS1414" s="37"/>
      <c r="AT1414" s="37"/>
      <c r="AU1414" s="37"/>
      <c r="AV1414" s="37"/>
      <c r="AW1414" s="37"/>
    </row>
    <row r="1415" spans="29:49" x14ac:dyDescent="0.25">
      <c r="AC1415" s="37"/>
      <c r="AD1415" s="37"/>
      <c r="AE1415" s="37"/>
      <c r="AF1415" s="37"/>
      <c r="AG1415" s="37"/>
      <c r="AH1415" s="37"/>
      <c r="AI1415" s="37"/>
      <c r="AJ1415" s="37"/>
      <c r="AK1415" s="37"/>
      <c r="AL1415" s="37"/>
      <c r="AM1415" s="37"/>
      <c r="AN1415" s="37"/>
      <c r="AO1415" s="37"/>
      <c r="AP1415" s="37"/>
      <c r="AQ1415" s="37"/>
      <c r="AR1415" s="37"/>
      <c r="AS1415" s="37"/>
      <c r="AT1415" s="37"/>
      <c r="AU1415" s="37"/>
      <c r="AV1415" s="37"/>
      <c r="AW1415" s="37"/>
    </row>
    <row r="1416" spans="29:49" x14ac:dyDescent="0.25">
      <c r="AC1416" s="37"/>
      <c r="AD1416" s="37"/>
      <c r="AE1416" s="37"/>
      <c r="AF1416" s="37"/>
      <c r="AG1416" s="37"/>
      <c r="AH1416" s="37"/>
      <c r="AI1416" s="37"/>
      <c r="AJ1416" s="37"/>
      <c r="AK1416" s="37"/>
      <c r="AL1416" s="37"/>
      <c r="AM1416" s="37"/>
      <c r="AN1416" s="37"/>
      <c r="AO1416" s="37"/>
      <c r="AP1416" s="37"/>
      <c r="AQ1416" s="37"/>
      <c r="AR1416" s="37"/>
      <c r="AS1416" s="37"/>
      <c r="AT1416" s="37"/>
      <c r="AU1416" s="37"/>
      <c r="AV1416" s="37"/>
      <c r="AW1416" s="37"/>
    </row>
    <row r="1417" spans="29:49" x14ac:dyDescent="0.25">
      <c r="AC1417" s="37"/>
      <c r="AD1417" s="37"/>
      <c r="AE1417" s="37"/>
      <c r="AF1417" s="37"/>
      <c r="AG1417" s="37"/>
      <c r="AH1417" s="37"/>
      <c r="AI1417" s="37"/>
      <c r="AJ1417" s="37"/>
      <c r="AK1417" s="37"/>
      <c r="AL1417" s="37"/>
      <c r="AM1417" s="37"/>
      <c r="AN1417" s="37"/>
      <c r="AO1417" s="37"/>
      <c r="AP1417" s="37"/>
      <c r="AQ1417" s="37"/>
      <c r="AR1417" s="37"/>
      <c r="AS1417" s="37"/>
      <c r="AT1417" s="37"/>
      <c r="AU1417" s="37"/>
      <c r="AV1417" s="37"/>
      <c r="AW1417" s="37"/>
    </row>
    <row r="1418" spans="29:49" x14ac:dyDescent="0.25">
      <c r="AC1418" s="37"/>
      <c r="AD1418" s="37"/>
      <c r="AE1418" s="37"/>
      <c r="AF1418" s="37"/>
      <c r="AG1418" s="37"/>
      <c r="AH1418" s="37"/>
      <c r="AI1418" s="37"/>
      <c r="AJ1418" s="37"/>
      <c r="AK1418" s="37"/>
      <c r="AL1418" s="37"/>
      <c r="AM1418" s="37"/>
      <c r="AN1418" s="37"/>
      <c r="AO1418" s="37"/>
      <c r="AP1418" s="37"/>
      <c r="AQ1418" s="37"/>
      <c r="AR1418" s="37"/>
      <c r="AS1418" s="37"/>
      <c r="AT1418" s="37"/>
      <c r="AU1418" s="37"/>
      <c r="AV1418" s="37"/>
      <c r="AW1418" s="37"/>
    </row>
    <row r="1419" spans="29:49" x14ac:dyDescent="0.25">
      <c r="AC1419" s="37"/>
      <c r="AD1419" s="37"/>
      <c r="AE1419" s="37"/>
      <c r="AF1419" s="37"/>
      <c r="AG1419" s="37"/>
      <c r="AH1419" s="37"/>
      <c r="AI1419" s="37"/>
      <c r="AJ1419" s="37"/>
      <c r="AK1419" s="37"/>
      <c r="AL1419" s="37"/>
      <c r="AM1419" s="37"/>
      <c r="AN1419" s="37"/>
      <c r="AO1419" s="37"/>
      <c r="AP1419" s="37"/>
      <c r="AQ1419" s="37"/>
      <c r="AR1419" s="37"/>
      <c r="AS1419" s="37"/>
      <c r="AT1419" s="37"/>
      <c r="AU1419" s="37"/>
      <c r="AV1419" s="37"/>
      <c r="AW1419" s="37"/>
    </row>
    <row r="1420" spans="29:49" x14ac:dyDescent="0.25">
      <c r="AC1420" s="37"/>
      <c r="AD1420" s="37"/>
      <c r="AE1420" s="37"/>
      <c r="AF1420" s="37"/>
      <c r="AG1420" s="37"/>
      <c r="AH1420" s="37"/>
      <c r="AI1420" s="37"/>
      <c r="AJ1420" s="37"/>
      <c r="AK1420" s="37"/>
      <c r="AL1420" s="37"/>
      <c r="AM1420" s="37"/>
      <c r="AN1420" s="37"/>
      <c r="AO1420" s="37"/>
      <c r="AP1420" s="37"/>
      <c r="AQ1420" s="37"/>
      <c r="AR1420" s="37"/>
      <c r="AS1420" s="37"/>
      <c r="AT1420" s="37"/>
      <c r="AU1420" s="37"/>
      <c r="AV1420" s="37"/>
      <c r="AW1420" s="37"/>
    </row>
    <row r="1421" spans="29:49" x14ac:dyDescent="0.25">
      <c r="AC1421" s="37"/>
      <c r="AD1421" s="37"/>
      <c r="AE1421" s="37"/>
      <c r="AF1421" s="37"/>
      <c r="AG1421" s="37"/>
      <c r="AH1421" s="37"/>
      <c r="AI1421" s="37"/>
      <c r="AJ1421" s="37"/>
      <c r="AK1421" s="37"/>
      <c r="AL1421" s="37"/>
      <c r="AM1421" s="37"/>
      <c r="AN1421" s="37"/>
      <c r="AO1421" s="37"/>
      <c r="AP1421" s="37"/>
      <c r="AQ1421" s="37"/>
      <c r="AR1421" s="37"/>
      <c r="AS1421" s="37"/>
      <c r="AT1421" s="37"/>
      <c r="AU1421" s="37"/>
      <c r="AV1421" s="37"/>
      <c r="AW1421" s="37"/>
    </row>
    <row r="1422" spans="29:49" x14ac:dyDescent="0.25">
      <c r="AC1422" s="37"/>
      <c r="AD1422" s="37"/>
      <c r="AE1422" s="37"/>
      <c r="AF1422" s="37"/>
      <c r="AG1422" s="37"/>
      <c r="AH1422" s="37"/>
      <c r="AI1422" s="37"/>
      <c r="AJ1422" s="37"/>
      <c r="AK1422" s="37"/>
      <c r="AL1422" s="37"/>
      <c r="AM1422" s="37"/>
      <c r="AN1422" s="37"/>
      <c r="AO1422" s="37"/>
      <c r="AP1422" s="37"/>
      <c r="AQ1422" s="37"/>
      <c r="AR1422" s="37"/>
      <c r="AS1422" s="37"/>
      <c r="AT1422" s="37"/>
      <c r="AU1422" s="37"/>
      <c r="AV1422" s="37"/>
      <c r="AW1422" s="37"/>
    </row>
    <row r="1423" spans="29:49" x14ac:dyDescent="0.25">
      <c r="AC1423" s="37"/>
      <c r="AD1423" s="37"/>
      <c r="AE1423" s="37"/>
      <c r="AF1423" s="37"/>
      <c r="AG1423" s="37"/>
      <c r="AH1423" s="37"/>
      <c r="AI1423" s="37"/>
      <c r="AJ1423" s="37"/>
      <c r="AK1423" s="37"/>
      <c r="AL1423" s="37"/>
      <c r="AM1423" s="37"/>
      <c r="AN1423" s="37"/>
      <c r="AO1423" s="37"/>
      <c r="AP1423" s="37"/>
      <c r="AQ1423" s="37"/>
      <c r="AR1423" s="37"/>
      <c r="AS1423" s="37"/>
      <c r="AT1423" s="37"/>
      <c r="AU1423" s="37"/>
      <c r="AV1423" s="37"/>
      <c r="AW1423" s="37"/>
    </row>
    <row r="1424" spans="29:49" x14ac:dyDescent="0.25">
      <c r="AC1424" s="37"/>
      <c r="AD1424" s="37"/>
      <c r="AE1424" s="37"/>
      <c r="AF1424" s="37"/>
      <c r="AG1424" s="37"/>
      <c r="AH1424" s="37"/>
      <c r="AI1424" s="37"/>
      <c r="AJ1424" s="37"/>
      <c r="AK1424" s="37"/>
      <c r="AL1424" s="37"/>
      <c r="AM1424" s="37"/>
      <c r="AN1424" s="37"/>
      <c r="AO1424" s="37"/>
      <c r="AP1424" s="37"/>
      <c r="AQ1424" s="37"/>
      <c r="AR1424" s="37"/>
      <c r="AS1424" s="37"/>
      <c r="AT1424" s="37"/>
      <c r="AU1424" s="37"/>
      <c r="AV1424" s="37"/>
      <c r="AW1424" s="37"/>
    </row>
    <row r="1425" spans="29:49" x14ac:dyDescent="0.25">
      <c r="AC1425" s="37"/>
      <c r="AD1425" s="37"/>
      <c r="AE1425" s="37"/>
      <c r="AF1425" s="37"/>
      <c r="AG1425" s="37"/>
      <c r="AH1425" s="37"/>
      <c r="AI1425" s="37"/>
      <c r="AJ1425" s="37"/>
      <c r="AK1425" s="37"/>
      <c r="AL1425" s="37"/>
      <c r="AM1425" s="37"/>
      <c r="AN1425" s="37"/>
      <c r="AO1425" s="37"/>
      <c r="AP1425" s="37"/>
      <c r="AQ1425" s="37"/>
      <c r="AR1425" s="37"/>
      <c r="AS1425" s="37"/>
      <c r="AT1425" s="37"/>
      <c r="AU1425" s="37"/>
      <c r="AV1425" s="37"/>
      <c r="AW1425" s="37"/>
    </row>
    <row r="1426" spans="29:49" x14ac:dyDescent="0.25">
      <c r="AC1426" s="37"/>
      <c r="AD1426" s="37"/>
      <c r="AE1426" s="37"/>
      <c r="AF1426" s="37"/>
      <c r="AG1426" s="37"/>
      <c r="AH1426" s="37"/>
      <c r="AI1426" s="37"/>
      <c r="AJ1426" s="37"/>
      <c r="AK1426" s="37"/>
      <c r="AL1426" s="37"/>
      <c r="AM1426" s="37"/>
      <c r="AN1426" s="37"/>
      <c r="AO1426" s="37"/>
      <c r="AP1426" s="37"/>
      <c r="AQ1426" s="37"/>
      <c r="AR1426" s="37"/>
      <c r="AS1426" s="37"/>
      <c r="AT1426" s="37"/>
      <c r="AU1426" s="37"/>
      <c r="AV1426" s="37"/>
      <c r="AW1426" s="37"/>
    </row>
    <row r="1427" spans="29:49" x14ac:dyDescent="0.25">
      <c r="AC1427" s="37"/>
      <c r="AD1427" s="37"/>
      <c r="AE1427" s="37"/>
      <c r="AF1427" s="37"/>
      <c r="AG1427" s="37"/>
      <c r="AH1427" s="37"/>
      <c r="AI1427" s="37"/>
      <c r="AJ1427" s="37"/>
      <c r="AK1427" s="37"/>
      <c r="AL1427" s="37"/>
      <c r="AM1427" s="37"/>
      <c r="AN1427" s="37"/>
      <c r="AO1427" s="37"/>
      <c r="AP1427" s="37"/>
      <c r="AQ1427" s="37"/>
      <c r="AR1427" s="37"/>
      <c r="AS1427" s="37"/>
      <c r="AT1427" s="37"/>
      <c r="AU1427" s="37"/>
      <c r="AV1427" s="37"/>
      <c r="AW1427" s="37"/>
    </row>
    <row r="1428" spans="29:49" x14ac:dyDescent="0.25">
      <c r="AC1428" s="37"/>
      <c r="AD1428" s="37"/>
      <c r="AE1428" s="37"/>
      <c r="AF1428" s="37"/>
      <c r="AG1428" s="37"/>
      <c r="AH1428" s="37"/>
      <c r="AI1428" s="37"/>
      <c r="AJ1428" s="37"/>
      <c r="AK1428" s="37"/>
      <c r="AL1428" s="37"/>
      <c r="AM1428" s="37"/>
      <c r="AN1428" s="37"/>
      <c r="AO1428" s="37"/>
      <c r="AP1428" s="37"/>
      <c r="AQ1428" s="37"/>
      <c r="AR1428" s="37"/>
      <c r="AS1428" s="37"/>
      <c r="AT1428" s="37"/>
      <c r="AU1428" s="37"/>
      <c r="AV1428" s="37"/>
      <c r="AW1428" s="37"/>
    </row>
    <row r="1429" spans="29:49" x14ac:dyDescent="0.25">
      <c r="AC1429" s="37"/>
      <c r="AD1429" s="37"/>
      <c r="AE1429" s="37"/>
      <c r="AF1429" s="37"/>
      <c r="AG1429" s="37"/>
      <c r="AH1429" s="37"/>
      <c r="AI1429" s="37"/>
      <c r="AJ1429" s="37"/>
      <c r="AK1429" s="37"/>
      <c r="AL1429" s="37"/>
      <c r="AM1429" s="37"/>
      <c r="AN1429" s="37"/>
      <c r="AO1429" s="37"/>
      <c r="AP1429" s="37"/>
      <c r="AQ1429" s="37"/>
      <c r="AR1429" s="37"/>
      <c r="AS1429" s="37"/>
      <c r="AT1429" s="37"/>
      <c r="AU1429" s="37"/>
      <c r="AV1429" s="37"/>
      <c r="AW1429" s="37"/>
    </row>
    <row r="1430" spans="29:49" x14ac:dyDescent="0.25">
      <c r="AC1430" s="37"/>
      <c r="AD1430" s="37"/>
      <c r="AE1430" s="37"/>
      <c r="AF1430" s="37"/>
      <c r="AG1430" s="37"/>
      <c r="AH1430" s="37"/>
      <c r="AI1430" s="37"/>
      <c r="AJ1430" s="37"/>
      <c r="AK1430" s="37"/>
      <c r="AL1430" s="37"/>
      <c r="AM1430" s="37"/>
      <c r="AN1430" s="37"/>
      <c r="AO1430" s="37"/>
      <c r="AP1430" s="37"/>
      <c r="AQ1430" s="37"/>
      <c r="AR1430" s="37"/>
      <c r="AS1430" s="37"/>
      <c r="AT1430" s="37"/>
      <c r="AU1430" s="37"/>
      <c r="AV1430" s="37"/>
      <c r="AW1430" s="37"/>
    </row>
    <row r="1431" spans="29:49" x14ac:dyDescent="0.25">
      <c r="AC1431" s="37"/>
      <c r="AD1431" s="37"/>
      <c r="AE1431" s="37"/>
      <c r="AF1431" s="37"/>
      <c r="AG1431" s="37"/>
      <c r="AH1431" s="37"/>
      <c r="AI1431" s="37"/>
      <c r="AJ1431" s="37"/>
      <c r="AK1431" s="37"/>
      <c r="AL1431" s="37"/>
      <c r="AM1431" s="37"/>
      <c r="AN1431" s="37"/>
      <c r="AO1431" s="37"/>
      <c r="AP1431" s="37"/>
      <c r="AQ1431" s="37"/>
      <c r="AR1431" s="37"/>
      <c r="AS1431" s="37"/>
      <c r="AT1431" s="37"/>
      <c r="AU1431" s="37"/>
      <c r="AV1431" s="37"/>
      <c r="AW1431" s="37"/>
    </row>
    <row r="1432" spans="29:49" x14ac:dyDescent="0.25">
      <c r="AC1432" s="37"/>
      <c r="AD1432" s="37"/>
      <c r="AE1432" s="37"/>
      <c r="AF1432" s="37"/>
      <c r="AG1432" s="37"/>
      <c r="AH1432" s="37"/>
      <c r="AI1432" s="37"/>
      <c r="AJ1432" s="37"/>
      <c r="AK1432" s="37"/>
      <c r="AL1432" s="37"/>
      <c r="AM1432" s="37"/>
      <c r="AN1432" s="37"/>
      <c r="AO1432" s="37"/>
      <c r="AP1432" s="37"/>
      <c r="AQ1432" s="37"/>
      <c r="AR1432" s="37"/>
      <c r="AS1432" s="37"/>
      <c r="AT1432" s="37"/>
      <c r="AU1432" s="37"/>
      <c r="AV1432" s="37"/>
      <c r="AW1432" s="37"/>
    </row>
    <row r="1433" spans="29:49" x14ac:dyDescent="0.25">
      <c r="AC1433" s="37"/>
      <c r="AD1433" s="37"/>
      <c r="AE1433" s="37"/>
      <c r="AF1433" s="37"/>
      <c r="AG1433" s="37"/>
      <c r="AH1433" s="37"/>
      <c r="AI1433" s="37"/>
      <c r="AJ1433" s="37"/>
      <c r="AK1433" s="37"/>
      <c r="AL1433" s="37"/>
      <c r="AM1433" s="37"/>
      <c r="AN1433" s="37"/>
      <c r="AO1433" s="37"/>
      <c r="AP1433" s="37"/>
      <c r="AQ1433" s="37"/>
      <c r="AR1433" s="37"/>
      <c r="AS1433" s="37"/>
      <c r="AT1433" s="37"/>
      <c r="AU1433" s="37"/>
      <c r="AV1433" s="37"/>
      <c r="AW1433" s="37"/>
    </row>
    <row r="1434" spans="29:49" x14ac:dyDescent="0.25">
      <c r="AC1434" s="37"/>
      <c r="AD1434" s="37"/>
      <c r="AE1434" s="37"/>
      <c r="AF1434" s="37"/>
      <c r="AG1434" s="37"/>
      <c r="AH1434" s="37"/>
      <c r="AI1434" s="37"/>
      <c r="AJ1434" s="37"/>
      <c r="AK1434" s="37"/>
      <c r="AL1434" s="37"/>
      <c r="AM1434" s="37"/>
      <c r="AN1434" s="37"/>
      <c r="AO1434" s="37"/>
      <c r="AP1434" s="37"/>
      <c r="AQ1434" s="37"/>
      <c r="AR1434" s="37"/>
      <c r="AS1434" s="37"/>
      <c r="AT1434" s="37"/>
      <c r="AU1434" s="37"/>
      <c r="AV1434" s="37"/>
      <c r="AW1434" s="37"/>
    </row>
    <row r="1435" spans="29:49" x14ac:dyDescent="0.25">
      <c r="AC1435" s="37"/>
      <c r="AD1435" s="37"/>
      <c r="AE1435" s="37"/>
      <c r="AF1435" s="37"/>
      <c r="AG1435" s="37"/>
      <c r="AH1435" s="37"/>
      <c r="AI1435" s="37"/>
      <c r="AJ1435" s="37"/>
      <c r="AK1435" s="37"/>
      <c r="AL1435" s="37"/>
      <c r="AM1435" s="37"/>
      <c r="AN1435" s="37"/>
      <c r="AO1435" s="37"/>
      <c r="AP1435" s="37"/>
      <c r="AQ1435" s="37"/>
      <c r="AR1435" s="37"/>
      <c r="AS1435" s="37"/>
      <c r="AT1435" s="37"/>
      <c r="AU1435" s="37"/>
      <c r="AV1435" s="37"/>
      <c r="AW1435" s="37"/>
    </row>
    <row r="1436" spans="29:49" x14ac:dyDescent="0.25">
      <c r="AC1436" s="37"/>
      <c r="AD1436" s="37"/>
      <c r="AE1436" s="37"/>
      <c r="AF1436" s="37"/>
      <c r="AG1436" s="37"/>
      <c r="AH1436" s="37"/>
      <c r="AI1436" s="37"/>
      <c r="AJ1436" s="37"/>
      <c r="AK1436" s="37"/>
      <c r="AL1436" s="37"/>
      <c r="AM1436" s="37"/>
      <c r="AN1436" s="37"/>
      <c r="AO1436" s="37"/>
      <c r="AP1436" s="37"/>
      <c r="AQ1436" s="37"/>
      <c r="AR1436" s="37"/>
      <c r="AS1436" s="37"/>
      <c r="AT1436" s="37"/>
      <c r="AU1436" s="37"/>
      <c r="AV1436" s="37"/>
      <c r="AW1436" s="37"/>
    </row>
    <row r="1437" spans="29:49" x14ac:dyDescent="0.25">
      <c r="AC1437" s="37"/>
      <c r="AD1437" s="37"/>
      <c r="AE1437" s="37"/>
      <c r="AF1437" s="37"/>
      <c r="AG1437" s="37"/>
      <c r="AH1437" s="37"/>
      <c r="AI1437" s="37"/>
      <c r="AJ1437" s="37"/>
      <c r="AK1437" s="37"/>
      <c r="AL1437" s="37"/>
      <c r="AM1437" s="37"/>
      <c r="AN1437" s="37"/>
      <c r="AO1437" s="37"/>
      <c r="AP1437" s="37"/>
      <c r="AQ1437" s="37"/>
      <c r="AR1437" s="37"/>
      <c r="AS1437" s="37"/>
      <c r="AT1437" s="37"/>
      <c r="AU1437" s="37"/>
      <c r="AV1437" s="37"/>
      <c r="AW1437" s="37"/>
    </row>
    <row r="1438" spans="29:49" x14ac:dyDescent="0.25">
      <c r="AC1438" s="37"/>
      <c r="AD1438" s="37"/>
      <c r="AE1438" s="37"/>
      <c r="AF1438" s="37"/>
      <c r="AG1438" s="37"/>
      <c r="AH1438" s="37"/>
      <c r="AI1438" s="37"/>
      <c r="AJ1438" s="37"/>
      <c r="AK1438" s="37"/>
      <c r="AL1438" s="37"/>
      <c r="AM1438" s="37"/>
      <c r="AN1438" s="37"/>
      <c r="AO1438" s="37"/>
      <c r="AP1438" s="37"/>
      <c r="AQ1438" s="37"/>
      <c r="AR1438" s="37"/>
      <c r="AS1438" s="37"/>
      <c r="AT1438" s="37"/>
      <c r="AU1438" s="37"/>
      <c r="AV1438" s="37"/>
      <c r="AW1438" s="37"/>
    </row>
    <row r="1439" spans="29:49" x14ac:dyDescent="0.25">
      <c r="AC1439" s="37"/>
      <c r="AD1439" s="37"/>
      <c r="AE1439" s="37"/>
      <c r="AF1439" s="37"/>
      <c r="AG1439" s="37"/>
      <c r="AH1439" s="37"/>
      <c r="AI1439" s="37"/>
      <c r="AJ1439" s="37"/>
      <c r="AK1439" s="37"/>
      <c r="AL1439" s="37"/>
      <c r="AM1439" s="37"/>
      <c r="AN1439" s="37"/>
      <c r="AO1439" s="37"/>
      <c r="AP1439" s="37"/>
      <c r="AQ1439" s="37"/>
      <c r="AR1439" s="37"/>
      <c r="AS1439" s="37"/>
      <c r="AT1439" s="37"/>
      <c r="AU1439" s="37"/>
      <c r="AV1439" s="37"/>
      <c r="AW1439" s="37"/>
    </row>
    <row r="1440" spans="29:49" x14ac:dyDescent="0.25">
      <c r="AC1440" s="37"/>
      <c r="AD1440" s="37"/>
      <c r="AE1440" s="37"/>
      <c r="AF1440" s="37"/>
      <c r="AG1440" s="37"/>
      <c r="AH1440" s="37"/>
      <c r="AI1440" s="37"/>
      <c r="AJ1440" s="37"/>
      <c r="AK1440" s="37"/>
      <c r="AL1440" s="37"/>
      <c r="AM1440" s="37"/>
      <c r="AN1440" s="37"/>
      <c r="AO1440" s="37"/>
      <c r="AP1440" s="37"/>
      <c r="AQ1440" s="37"/>
      <c r="AR1440" s="37"/>
      <c r="AS1440" s="37"/>
      <c r="AT1440" s="37"/>
      <c r="AU1440" s="37"/>
      <c r="AV1440" s="37"/>
      <c r="AW1440" s="37"/>
    </row>
    <row r="1441" spans="29:49" x14ac:dyDescent="0.25">
      <c r="AC1441" s="37"/>
      <c r="AD1441" s="37"/>
      <c r="AE1441" s="37"/>
      <c r="AF1441" s="37"/>
      <c r="AG1441" s="37"/>
      <c r="AH1441" s="37"/>
      <c r="AI1441" s="37"/>
      <c r="AJ1441" s="37"/>
      <c r="AK1441" s="37"/>
      <c r="AL1441" s="37"/>
      <c r="AM1441" s="37"/>
      <c r="AN1441" s="37"/>
      <c r="AO1441" s="37"/>
      <c r="AP1441" s="37"/>
      <c r="AQ1441" s="37"/>
      <c r="AR1441" s="37"/>
      <c r="AS1441" s="37"/>
      <c r="AT1441" s="37"/>
      <c r="AU1441" s="37"/>
      <c r="AV1441" s="37"/>
      <c r="AW1441" s="37"/>
    </row>
    <row r="1442" spans="29:49" x14ac:dyDescent="0.25">
      <c r="AC1442" s="37"/>
      <c r="AD1442" s="37"/>
      <c r="AE1442" s="37"/>
      <c r="AF1442" s="37"/>
      <c r="AG1442" s="37"/>
      <c r="AH1442" s="37"/>
      <c r="AI1442" s="37"/>
      <c r="AJ1442" s="37"/>
      <c r="AK1442" s="37"/>
      <c r="AL1442" s="37"/>
      <c r="AM1442" s="37"/>
      <c r="AN1442" s="37"/>
      <c r="AO1442" s="37"/>
      <c r="AP1442" s="37"/>
      <c r="AQ1442" s="37"/>
      <c r="AR1442" s="37"/>
      <c r="AS1442" s="37"/>
      <c r="AT1442" s="37"/>
      <c r="AU1442" s="37"/>
      <c r="AV1442" s="37"/>
      <c r="AW1442" s="37"/>
    </row>
    <row r="1443" spans="29:49" x14ac:dyDescent="0.25">
      <c r="AC1443" s="37"/>
      <c r="AD1443" s="37"/>
      <c r="AE1443" s="37"/>
      <c r="AF1443" s="37"/>
      <c r="AG1443" s="37"/>
      <c r="AH1443" s="37"/>
      <c r="AI1443" s="37"/>
      <c r="AJ1443" s="37"/>
      <c r="AK1443" s="37"/>
      <c r="AL1443" s="37"/>
      <c r="AM1443" s="37"/>
      <c r="AN1443" s="37"/>
      <c r="AO1443" s="37"/>
      <c r="AP1443" s="37"/>
      <c r="AQ1443" s="37"/>
      <c r="AR1443" s="37"/>
      <c r="AS1443" s="37"/>
      <c r="AT1443" s="37"/>
      <c r="AU1443" s="37"/>
      <c r="AV1443" s="37"/>
      <c r="AW1443" s="37"/>
    </row>
    <row r="1444" spans="29:49" x14ac:dyDescent="0.25">
      <c r="AC1444" s="37"/>
      <c r="AD1444" s="37"/>
      <c r="AE1444" s="37"/>
      <c r="AF1444" s="37"/>
      <c r="AG1444" s="37"/>
      <c r="AH1444" s="37"/>
      <c r="AI1444" s="37"/>
      <c r="AJ1444" s="37"/>
      <c r="AK1444" s="37"/>
      <c r="AL1444" s="37"/>
      <c r="AM1444" s="37"/>
      <c r="AN1444" s="37"/>
      <c r="AO1444" s="37"/>
      <c r="AP1444" s="37"/>
      <c r="AQ1444" s="37"/>
      <c r="AR1444" s="37"/>
      <c r="AS1444" s="37"/>
      <c r="AT1444" s="37"/>
      <c r="AU1444" s="37"/>
      <c r="AV1444" s="37"/>
      <c r="AW1444" s="37"/>
    </row>
    <row r="1445" spans="29:49" x14ac:dyDescent="0.25">
      <c r="AC1445" s="37"/>
      <c r="AD1445" s="37"/>
      <c r="AE1445" s="37"/>
      <c r="AF1445" s="37"/>
      <c r="AG1445" s="37"/>
      <c r="AH1445" s="37"/>
      <c r="AI1445" s="37"/>
      <c r="AJ1445" s="37"/>
      <c r="AK1445" s="37"/>
      <c r="AL1445" s="37"/>
      <c r="AM1445" s="37"/>
      <c r="AN1445" s="37"/>
      <c r="AO1445" s="37"/>
      <c r="AP1445" s="37"/>
      <c r="AQ1445" s="37"/>
      <c r="AR1445" s="37"/>
      <c r="AS1445" s="37"/>
      <c r="AT1445" s="37"/>
      <c r="AU1445" s="37"/>
      <c r="AV1445" s="37"/>
      <c r="AW1445" s="37"/>
    </row>
    <row r="1446" spans="29:49" x14ac:dyDescent="0.25">
      <c r="AC1446" s="37"/>
      <c r="AD1446" s="37"/>
      <c r="AE1446" s="37"/>
      <c r="AF1446" s="37"/>
      <c r="AG1446" s="37"/>
      <c r="AH1446" s="37"/>
      <c r="AI1446" s="37"/>
      <c r="AJ1446" s="37"/>
      <c r="AK1446" s="37"/>
      <c r="AL1446" s="37"/>
      <c r="AM1446" s="37"/>
      <c r="AN1446" s="37"/>
      <c r="AO1446" s="37"/>
      <c r="AP1446" s="37"/>
      <c r="AQ1446" s="37"/>
      <c r="AR1446" s="37"/>
      <c r="AS1446" s="37"/>
      <c r="AT1446" s="37"/>
      <c r="AU1446" s="37"/>
      <c r="AV1446" s="37"/>
      <c r="AW1446" s="37"/>
    </row>
    <row r="1447" spans="29:49" x14ac:dyDescent="0.25">
      <c r="AC1447" s="37"/>
      <c r="AD1447" s="37"/>
      <c r="AE1447" s="37"/>
      <c r="AF1447" s="37"/>
      <c r="AG1447" s="37"/>
      <c r="AH1447" s="37"/>
      <c r="AI1447" s="37"/>
      <c r="AJ1447" s="37"/>
      <c r="AK1447" s="37"/>
      <c r="AL1447" s="37"/>
      <c r="AM1447" s="37"/>
      <c r="AN1447" s="37"/>
      <c r="AO1447" s="37"/>
      <c r="AP1447" s="37"/>
      <c r="AQ1447" s="37"/>
      <c r="AR1447" s="37"/>
      <c r="AS1447" s="37"/>
      <c r="AT1447" s="37"/>
      <c r="AU1447" s="37"/>
      <c r="AV1447" s="37"/>
      <c r="AW1447" s="37"/>
    </row>
    <row r="1448" spans="29:49" x14ac:dyDescent="0.25">
      <c r="AC1448" s="37"/>
      <c r="AD1448" s="37"/>
      <c r="AE1448" s="37"/>
      <c r="AF1448" s="37"/>
      <c r="AG1448" s="37"/>
      <c r="AH1448" s="37"/>
      <c r="AI1448" s="37"/>
      <c r="AJ1448" s="37"/>
      <c r="AK1448" s="37"/>
      <c r="AL1448" s="37"/>
      <c r="AM1448" s="37"/>
      <c r="AN1448" s="37"/>
      <c r="AO1448" s="37"/>
      <c r="AP1448" s="37"/>
      <c r="AQ1448" s="37"/>
      <c r="AR1448" s="37"/>
      <c r="AS1448" s="37"/>
      <c r="AT1448" s="37"/>
      <c r="AU1448" s="37"/>
      <c r="AV1448" s="37"/>
      <c r="AW1448" s="37"/>
    </row>
    <row r="1449" spans="29:49" x14ac:dyDescent="0.25">
      <c r="AC1449" s="37"/>
      <c r="AD1449" s="37"/>
      <c r="AE1449" s="37"/>
      <c r="AF1449" s="37"/>
      <c r="AG1449" s="37"/>
      <c r="AH1449" s="37"/>
      <c r="AI1449" s="37"/>
      <c r="AJ1449" s="37"/>
      <c r="AK1449" s="37"/>
      <c r="AL1449" s="37"/>
      <c r="AM1449" s="37"/>
      <c r="AN1449" s="37"/>
      <c r="AO1449" s="37"/>
      <c r="AP1449" s="37"/>
      <c r="AQ1449" s="37"/>
      <c r="AR1449" s="37"/>
      <c r="AS1449" s="37"/>
      <c r="AT1449" s="37"/>
      <c r="AU1449" s="37"/>
      <c r="AV1449" s="37"/>
      <c r="AW1449" s="37"/>
    </row>
    <row r="1450" spans="29:49" x14ac:dyDescent="0.25">
      <c r="AC1450" s="37"/>
      <c r="AD1450" s="37"/>
      <c r="AE1450" s="37"/>
      <c r="AF1450" s="37"/>
      <c r="AG1450" s="37"/>
      <c r="AH1450" s="37"/>
      <c r="AI1450" s="37"/>
      <c r="AJ1450" s="37"/>
      <c r="AK1450" s="37"/>
      <c r="AL1450" s="37"/>
      <c r="AM1450" s="37"/>
      <c r="AN1450" s="37"/>
      <c r="AO1450" s="37"/>
      <c r="AP1450" s="37"/>
      <c r="AQ1450" s="37"/>
      <c r="AR1450" s="37"/>
      <c r="AS1450" s="37"/>
      <c r="AT1450" s="37"/>
      <c r="AU1450" s="37"/>
      <c r="AV1450" s="37"/>
      <c r="AW1450" s="37"/>
    </row>
    <row r="1451" spans="29:49" x14ac:dyDescent="0.25">
      <c r="AC1451" s="37"/>
      <c r="AD1451" s="37"/>
      <c r="AE1451" s="37"/>
      <c r="AF1451" s="37"/>
      <c r="AG1451" s="37"/>
      <c r="AH1451" s="37"/>
      <c r="AI1451" s="37"/>
      <c r="AJ1451" s="37"/>
      <c r="AK1451" s="37"/>
      <c r="AL1451" s="37"/>
      <c r="AM1451" s="37"/>
      <c r="AN1451" s="37"/>
      <c r="AO1451" s="37"/>
      <c r="AP1451" s="37"/>
      <c r="AQ1451" s="37"/>
      <c r="AR1451" s="37"/>
      <c r="AS1451" s="37"/>
      <c r="AT1451" s="37"/>
      <c r="AU1451" s="37"/>
      <c r="AV1451" s="37"/>
      <c r="AW1451" s="37"/>
    </row>
    <row r="1452" spans="29:49" x14ac:dyDescent="0.25">
      <c r="AC1452" s="37"/>
      <c r="AD1452" s="37"/>
      <c r="AE1452" s="37"/>
      <c r="AF1452" s="37"/>
      <c r="AG1452" s="37"/>
      <c r="AH1452" s="37"/>
      <c r="AI1452" s="37"/>
      <c r="AJ1452" s="37"/>
      <c r="AK1452" s="37"/>
      <c r="AL1452" s="37"/>
      <c r="AM1452" s="37"/>
      <c r="AN1452" s="37"/>
      <c r="AO1452" s="37"/>
      <c r="AP1452" s="37"/>
      <c r="AQ1452" s="37"/>
      <c r="AR1452" s="37"/>
      <c r="AS1452" s="37"/>
      <c r="AT1452" s="37"/>
      <c r="AU1452" s="37"/>
      <c r="AV1452" s="37"/>
      <c r="AW1452" s="37"/>
    </row>
    <row r="1453" spans="29:49" x14ac:dyDescent="0.25">
      <c r="AC1453" s="37"/>
      <c r="AD1453" s="37"/>
      <c r="AE1453" s="37"/>
      <c r="AF1453" s="37"/>
      <c r="AG1453" s="37"/>
      <c r="AH1453" s="37"/>
      <c r="AI1453" s="37"/>
      <c r="AJ1453" s="37"/>
      <c r="AK1453" s="37"/>
      <c r="AL1453" s="37"/>
      <c r="AM1453" s="37"/>
      <c r="AN1453" s="37"/>
      <c r="AO1453" s="37"/>
      <c r="AP1453" s="37"/>
      <c r="AQ1453" s="37"/>
      <c r="AR1453" s="37"/>
      <c r="AS1453" s="37"/>
      <c r="AT1453" s="37"/>
      <c r="AU1453" s="37"/>
      <c r="AV1453" s="37"/>
      <c r="AW1453" s="37"/>
    </row>
    <row r="1454" spans="29:49" x14ac:dyDescent="0.25">
      <c r="AC1454" s="37"/>
      <c r="AD1454" s="37"/>
      <c r="AE1454" s="37"/>
      <c r="AF1454" s="37"/>
      <c r="AG1454" s="37"/>
      <c r="AH1454" s="37"/>
      <c r="AI1454" s="37"/>
      <c r="AJ1454" s="37"/>
      <c r="AK1454" s="37"/>
      <c r="AL1454" s="37"/>
      <c r="AM1454" s="37"/>
      <c r="AN1454" s="37"/>
      <c r="AO1454" s="37"/>
      <c r="AP1454" s="37"/>
      <c r="AQ1454" s="37"/>
      <c r="AR1454" s="37"/>
      <c r="AS1454" s="37"/>
      <c r="AT1454" s="37"/>
      <c r="AU1454" s="37"/>
      <c r="AV1454" s="37"/>
      <c r="AW1454" s="37"/>
    </row>
    <row r="1455" spans="29:49" x14ac:dyDescent="0.25">
      <c r="AC1455" s="37"/>
      <c r="AD1455" s="37"/>
      <c r="AE1455" s="37"/>
      <c r="AF1455" s="37"/>
      <c r="AG1455" s="37"/>
      <c r="AH1455" s="37"/>
      <c r="AI1455" s="37"/>
      <c r="AJ1455" s="37"/>
      <c r="AK1455" s="37"/>
      <c r="AL1455" s="37"/>
      <c r="AM1455" s="37"/>
      <c r="AN1455" s="37"/>
      <c r="AO1455" s="37"/>
      <c r="AP1455" s="37"/>
      <c r="AQ1455" s="37"/>
      <c r="AR1455" s="37"/>
      <c r="AS1455" s="37"/>
      <c r="AT1455" s="37"/>
      <c r="AU1455" s="37"/>
      <c r="AV1455" s="37"/>
      <c r="AW1455" s="37"/>
    </row>
    <row r="1456" spans="29:49" x14ac:dyDescent="0.25">
      <c r="AC1456" s="37"/>
      <c r="AD1456" s="37"/>
      <c r="AE1456" s="37"/>
      <c r="AF1456" s="37"/>
      <c r="AG1456" s="37"/>
      <c r="AH1456" s="37"/>
      <c r="AI1456" s="37"/>
      <c r="AJ1456" s="37"/>
      <c r="AK1456" s="37"/>
      <c r="AL1456" s="37"/>
      <c r="AM1456" s="37"/>
      <c r="AN1456" s="37"/>
      <c r="AO1456" s="37"/>
      <c r="AP1456" s="37"/>
      <c r="AQ1456" s="37"/>
      <c r="AR1456" s="37"/>
      <c r="AS1456" s="37"/>
      <c r="AT1456" s="37"/>
      <c r="AU1456" s="37"/>
      <c r="AV1456" s="37"/>
      <c r="AW1456" s="37"/>
    </row>
    <row r="1457" spans="29:49" x14ac:dyDescent="0.25">
      <c r="AC1457" s="37"/>
      <c r="AD1457" s="37"/>
      <c r="AE1457" s="37"/>
      <c r="AF1457" s="37"/>
      <c r="AG1457" s="37"/>
      <c r="AH1457" s="37"/>
      <c r="AI1457" s="37"/>
      <c r="AJ1457" s="37"/>
      <c r="AK1457" s="37"/>
      <c r="AL1457" s="37"/>
      <c r="AM1457" s="37"/>
      <c r="AN1457" s="37"/>
      <c r="AO1457" s="37"/>
      <c r="AP1457" s="37"/>
      <c r="AQ1457" s="37"/>
      <c r="AR1457" s="37"/>
      <c r="AS1457" s="37"/>
      <c r="AT1457" s="37"/>
      <c r="AU1457" s="37"/>
      <c r="AV1457" s="37"/>
      <c r="AW1457" s="37"/>
    </row>
    <row r="1458" spans="29:49" x14ac:dyDescent="0.25">
      <c r="AC1458" s="37"/>
      <c r="AD1458" s="37"/>
      <c r="AE1458" s="37"/>
      <c r="AF1458" s="37"/>
      <c r="AG1458" s="37"/>
      <c r="AH1458" s="37"/>
      <c r="AI1458" s="37"/>
      <c r="AJ1458" s="37"/>
      <c r="AK1458" s="37"/>
      <c r="AL1458" s="37"/>
      <c r="AM1458" s="37"/>
      <c r="AN1458" s="37"/>
      <c r="AO1458" s="37"/>
      <c r="AP1458" s="37"/>
      <c r="AQ1458" s="37"/>
      <c r="AR1458" s="37"/>
      <c r="AS1458" s="37"/>
      <c r="AT1458" s="37"/>
      <c r="AU1458" s="37"/>
      <c r="AV1458" s="37"/>
      <c r="AW1458" s="37"/>
    </row>
    <row r="1459" spans="29:49" x14ac:dyDescent="0.25">
      <c r="AC1459" s="37"/>
      <c r="AD1459" s="37"/>
      <c r="AE1459" s="37"/>
      <c r="AF1459" s="37"/>
      <c r="AG1459" s="37"/>
      <c r="AH1459" s="37"/>
      <c r="AI1459" s="37"/>
      <c r="AJ1459" s="37"/>
      <c r="AK1459" s="37"/>
      <c r="AL1459" s="37"/>
      <c r="AM1459" s="37"/>
      <c r="AN1459" s="37"/>
      <c r="AO1459" s="37"/>
      <c r="AP1459" s="37"/>
      <c r="AQ1459" s="37"/>
      <c r="AR1459" s="37"/>
      <c r="AS1459" s="37"/>
      <c r="AT1459" s="37"/>
      <c r="AU1459" s="37"/>
      <c r="AV1459" s="37"/>
      <c r="AW1459" s="37"/>
    </row>
    <row r="1460" spans="29:49" x14ac:dyDescent="0.25">
      <c r="AC1460" s="37"/>
      <c r="AD1460" s="37"/>
      <c r="AE1460" s="37"/>
      <c r="AF1460" s="37"/>
      <c r="AG1460" s="37"/>
      <c r="AH1460" s="37"/>
      <c r="AI1460" s="37"/>
      <c r="AJ1460" s="37"/>
      <c r="AK1460" s="37"/>
      <c r="AL1460" s="37"/>
      <c r="AM1460" s="37"/>
      <c r="AN1460" s="37"/>
      <c r="AO1460" s="37"/>
      <c r="AP1460" s="37"/>
      <c r="AQ1460" s="37"/>
      <c r="AR1460" s="37"/>
      <c r="AS1460" s="37"/>
      <c r="AT1460" s="37"/>
      <c r="AU1460" s="37"/>
      <c r="AV1460" s="37"/>
      <c r="AW1460" s="37"/>
    </row>
    <row r="1461" spans="29:49" x14ac:dyDescent="0.25">
      <c r="AC1461" s="37"/>
      <c r="AD1461" s="37"/>
      <c r="AE1461" s="37"/>
      <c r="AF1461" s="37"/>
      <c r="AG1461" s="37"/>
      <c r="AH1461" s="37"/>
      <c r="AI1461" s="37"/>
      <c r="AJ1461" s="37"/>
      <c r="AK1461" s="37"/>
      <c r="AL1461" s="37"/>
      <c r="AM1461" s="37"/>
      <c r="AN1461" s="37"/>
      <c r="AO1461" s="37"/>
      <c r="AP1461" s="37"/>
      <c r="AQ1461" s="37"/>
      <c r="AR1461" s="37"/>
      <c r="AS1461" s="37"/>
      <c r="AT1461" s="37"/>
      <c r="AU1461" s="37"/>
      <c r="AV1461" s="37"/>
      <c r="AW1461" s="37"/>
    </row>
    <row r="1462" spans="29:49" x14ac:dyDescent="0.25">
      <c r="AC1462" s="37"/>
      <c r="AD1462" s="37"/>
      <c r="AE1462" s="37"/>
      <c r="AF1462" s="37"/>
      <c r="AG1462" s="37"/>
      <c r="AH1462" s="37"/>
      <c r="AI1462" s="37"/>
      <c r="AJ1462" s="37"/>
      <c r="AK1462" s="37"/>
      <c r="AL1462" s="37"/>
      <c r="AM1462" s="37"/>
      <c r="AN1462" s="37"/>
      <c r="AO1462" s="37"/>
      <c r="AP1462" s="37"/>
      <c r="AQ1462" s="37"/>
      <c r="AR1462" s="37"/>
      <c r="AS1462" s="37"/>
      <c r="AT1462" s="37"/>
      <c r="AU1462" s="37"/>
      <c r="AV1462" s="37"/>
      <c r="AW1462" s="37"/>
    </row>
    <row r="1463" spans="29:49" x14ac:dyDescent="0.25">
      <c r="AC1463" s="37"/>
      <c r="AD1463" s="37"/>
      <c r="AE1463" s="37"/>
      <c r="AF1463" s="37"/>
      <c r="AG1463" s="37"/>
      <c r="AH1463" s="37"/>
      <c r="AI1463" s="37"/>
      <c r="AJ1463" s="37"/>
      <c r="AK1463" s="37"/>
      <c r="AL1463" s="37"/>
      <c r="AM1463" s="37"/>
      <c r="AN1463" s="37"/>
      <c r="AO1463" s="37"/>
      <c r="AP1463" s="37"/>
      <c r="AQ1463" s="37"/>
      <c r="AR1463" s="37"/>
      <c r="AS1463" s="37"/>
      <c r="AT1463" s="37"/>
      <c r="AU1463" s="37"/>
      <c r="AV1463" s="37"/>
      <c r="AW1463" s="37"/>
    </row>
    <row r="1464" spans="29:49" x14ac:dyDescent="0.25">
      <c r="AC1464" s="37"/>
      <c r="AD1464" s="37"/>
      <c r="AE1464" s="37"/>
      <c r="AF1464" s="37"/>
      <c r="AG1464" s="37"/>
      <c r="AH1464" s="37"/>
      <c r="AI1464" s="37"/>
      <c r="AJ1464" s="37"/>
      <c r="AK1464" s="37"/>
      <c r="AL1464" s="37"/>
      <c r="AM1464" s="37"/>
      <c r="AN1464" s="37"/>
      <c r="AO1464" s="37"/>
      <c r="AP1464" s="37"/>
      <c r="AQ1464" s="37"/>
      <c r="AR1464" s="37"/>
      <c r="AS1464" s="37"/>
      <c r="AT1464" s="37"/>
      <c r="AU1464" s="37"/>
      <c r="AV1464" s="37"/>
      <c r="AW1464" s="37"/>
    </row>
    <row r="1465" spans="29:49" x14ac:dyDescent="0.25">
      <c r="AC1465" s="37"/>
      <c r="AD1465" s="37"/>
      <c r="AE1465" s="37"/>
      <c r="AF1465" s="37"/>
      <c r="AG1465" s="37"/>
      <c r="AH1465" s="37"/>
      <c r="AI1465" s="37"/>
      <c r="AJ1465" s="37"/>
      <c r="AK1465" s="37"/>
      <c r="AL1465" s="37"/>
      <c r="AM1465" s="37"/>
      <c r="AN1465" s="37"/>
      <c r="AO1465" s="37"/>
      <c r="AP1465" s="37"/>
      <c r="AQ1465" s="37"/>
      <c r="AR1465" s="37"/>
      <c r="AS1465" s="37"/>
      <c r="AT1465" s="37"/>
      <c r="AU1465" s="37"/>
      <c r="AV1465" s="37"/>
      <c r="AW1465" s="37"/>
    </row>
    <row r="1466" spans="29:49" x14ac:dyDescent="0.25">
      <c r="AC1466" s="37"/>
      <c r="AD1466" s="37"/>
      <c r="AE1466" s="37"/>
      <c r="AF1466" s="37"/>
      <c r="AG1466" s="37"/>
      <c r="AH1466" s="37"/>
      <c r="AI1466" s="37"/>
      <c r="AJ1466" s="37"/>
      <c r="AK1466" s="37"/>
      <c r="AL1466" s="37"/>
      <c r="AM1466" s="37"/>
      <c r="AN1466" s="37"/>
      <c r="AO1466" s="37"/>
      <c r="AP1466" s="37"/>
      <c r="AQ1466" s="37"/>
      <c r="AR1466" s="37"/>
      <c r="AS1466" s="37"/>
      <c r="AT1466" s="37"/>
      <c r="AU1466" s="37"/>
      <c r="AV1466" s="37"/>
      <c r="AW1466" s="37"/>
    </row>
    <row r="1467" spans="29:49" x14ac:dyDescent="0.25">
      <c r="AC1467" s="37"/>
      <c r="AD1467" s="37"/>
      <c r="AE1467" s="37"/>
      <c r="AF1467" s="37"/>
      <c r="AG1467" s="37"/>
      <c r="AH1467" s="37"/>
      <c r="AI1467" s="37"/>
      <c r="AJ1467" s="37"/>
      <c r="AK1467" s="37"/>
      <c r="AL1467" s="37"/>
      <c r="AM1467" s="37"/>
      <c r="AN1467" s="37"/>
      <c r="AO1467" s="37"/>
      <c r="AP1467" s="37"/>
      <c r="AQ1467" s="37"/>
      <c r="AR1467" s="37"/>
      <c r="AS1467" s="37"/>
      <c r="AT1467" s="37"/>
      <c r="AU1467" s="37"/>
      <c r="AV1467" s="37"/>
      <c r="AW1467" s="37"/>
    </row>
    <row r="1468" spans="29:49" x14ac:dyDescent="0.25">
      <c r="AC1468" s="37"/>
      <c r="AD1468" s="37"/>
      <c r="AE1468" s="37"/>
      <c r="AF1468" s="37"/>
      <c r="AG1468" s="37"/>
      <c r="AH1468" s="37"/>
      <c r="AI1468" s="37"/>
      <c r="AJ1468" s="37"/>
      <c r="AK1468" s="37"/>
      <c r="AL1468" s="37"/>
      <c r="AM1468" s="37"/>
      <c r="AN1468" s="37"/>
      <c r="AO1468" s="37"/>
      <c r="AP1468" s="37"/>
      <c r="AQ1468" s="37"/>
      <c r="AR1468" s="37"/>
      <c r="AS1468" s="37"/>
      <c r="AT1468" s="37"/>
      <c r="AU1468" s="37"/>
      <c r="AV1468" s="37"/>
      <c r="AW1468" s="37"/>
    </row>
    <row r="1469" spans="29:49" x14ac:dyDescent="0.25">
      <c r="AC1469" s="37"/>
      <c r="AD1469" s="37"/>
      <c r="AE1469" s="37"/>
      <c r="AF1469" s="37"/>
      <c r="AG1469" s="37"/>
      <c r="AH1469" s="37"/>
      <c r="AI1469" s="37"/>
      <c r="AJ1469" s="37"/>
      <c r="AK1469" s="37"/>
      <c r="AL1469" s="37"/>
      <c r="AM1469" s="37"/>
      <c r="AN1469" s="37"/>
      <c r="AO1469" s="37"/>
      <c r="AP1469" s="37"/>
      <c r="AQ1469" s="37"/>
      <c r="AR1469" s="37"/>
      <c r="AS1469" s="37"/>
      <c r="AT1469" s="37"/>
      <c r="AU1469" s="37"/>
      <c r="AV1469" s="37"/>
      <c r="AW1469" s="37"/>
    </row>
    <row r="1470" spans="29:49" x14ac:dyDescent="0.25">
      <c r="AC1470" s="37"/>
      <c r="AD1470" s="37"/>
      <c r="AE1470" s="37"/>
      <c r="AF1470" s="37"/>
      <c r="AG1470" s="37"/>
      <c r="AH1470" s="37"/>
      <c r="AI1470" s="37"/>
      <c r="AJ1470" s="37"/>
      <c r="AK1470" s="37"/>
      <c r="AL1470" s="37"/>
      <c r="AM1470" s="37"/>
      <c r="AN1470" s="37"/>
      <c r="AO1470" s="37"/>
      <c r="AP1470" s="37"/>
      <c r="AQ1470" s="37"/>
      <c r="AR1470" s="37"/>
      <c r="AS1470" s="37"/>
      <c r="AT1470" s="37"/>
      <c r="AU1470" s="37"/>
      <c r="AV1470" s="37"/>
      <c r="AW1470" s="37"/>
    </row>
    <row r="1471" spans="29:49" x14ac:dyDescent="0.25">
      <c r="AC1471" s="37"/>
      <c r="AD1471" s="37"/>
      <c r="AE1471" s="37"/>
      <c r="AF1471" s="37"/>
      <c r="AG1471" s="37"/>
      <c r="AH1471" s="37"/>
      <c r="AI1471" s="37"/>
      <c r="AJ1471" s="37"/>
      <c r="AK1471" s="37"/>
      <c r="AL1471" s="37"/>
      <c r="AM1471" s="37"/>
      <c r="AN1471" s="37"/>
      <c r="AO1471" s="37"/>
      <c r="AP1471" s="37"/>
      <c r="AQ1471" s="37"/>
      <c r="AR1471" s="37"/>
      <c r="AS1471" s="37"/>
      <c r="AT1471" s="37"/>
      <c r="AU1471" s="37"/>
      <c r="AV1471" s="37"/>
      <c r="AW1471" s="37"/>
    </row>
    <row r="1472" spans="29:49" x14ac:dyDescent="0.25">
      <c r="AC1472" s="37"/>
      <c r="AD1472" s="37"/>
      <c r="AE1472" s="37"/>
      <c r="AF1472" s="37"/>
      <c r="AG1472" s="37"/>
      <c r="AH1472" s="37"/>
      <c r="AI1472" s="37"/>
      <c r="AJ1472" s="37"/>
      <c r="AK1472" s="37"/>
      <c r="AL1472" s="37"/>
      <c r="AM1472" s="37"/>
      <c r="AN1472" s="37"/>
      <c r="AO1472" s="37"/>
      <c r="AP1472" s="37"/>
      <c r="AQ1472" s="37"/>
      <c r="AR1472" s="37"/>
      <c r="AS1472" s="37"/>
      <c r="AT1472" s="37"/>
      <c r="AU1472" s="37"/>
      <c r="AV1472" s="37"/>
      <c r="AW1472" s="37"/>
    </row>
    <row r="1473" spans="29:49" x14ac:dyDescent="0.25">
      <c r="AC1473" s="37"/>
      <c r="AD1473" s="37"/>
      <c r="AE1473" s="37"/>
      <c r="AF1473" s="37"/>
      <c r="AG1473" s="37"/>
      <c r="AH1473" s="37"/>
      <c r="AI1473" s="37"/>
      <c r="AJ1473" s="37"/>
      <c r="AK1473" s="37"/>
      <c r="AL1473" s="37"/>
      <c r="AM1473" s="37"/>
      <c r="AN1473" s="37"/>
      <c r="AO1473" s="37"/>
      <c r="AP1473" s="37"/>
      <c r="AQ1473" s="37"/>
      <c r="AR1473" s="37"/>
      <c r="AS1473" s="37"/>
      <c r="AT1473" s="37"/>
      <c r="AU1473" s="37"/>
      <c r="AV1473" s="37"/>
      <c r="AW1473" s="37"/>
    </row>
    <row r="1474" spans="29:49" x14ac:dyDescent="0.25">
      <c r="AC1474" s="37"/>
      <c r="AD1474" s="37"/>
      <c r="AE1474" s="37"/>
      <c r="AF1474" s="37"/>
      <c r="AG1474" s="37"/>
      <c r="AH1474" s="37"/>
      <c r="AI1474" s="37"/>
      <c r="AJ1474" s="37"/>
      <c r="AK1474" s="37"/>
      <c r="AL1474" s="37"/>
      <c r="AM1474" s="37"/>
      <c r="AN1474" s="37"/>
      <c r="AO1474" s="37"/>
      <c r="AP1474" s="37"/>
      <c r="AQ1474" s="37"/>
      <c r="AR1474" s="37"/>
      <c r="AS1474" s="37"/>
      <c r="AT1474" s="37"/>
      <c r="AU1474" s="37"/>
      <c r="AV1474" s="37"/>
      <c r="AW1474" s="37"/>
    </row>
    <row r="1475" spans="29:49" x14ac:dyDescent="0.25">
      <c r="AC1475" s="37"/>
      <c r="AD1475" s="37"/>
      <c r="AE1475" s="37"/>
      <c r="AF1475" s="37"/>
      <c r="AG1475" s="37"/>
      <c r="AH1475" s="37"/>
      <c r="AI1475" s="37"/>
      <c r="AJ1475" s="37"/>
      <c r="AK1475" s="37"/>
      <c r="AL1475" s="37"/>
      <c r="AM1475" s="37"/>
      <c r="AN1475" s="37"/>
      <c r="AO1475" s="37"/>
      <c r="AP1475" s="37"/>
      <c r="AQ1475" s="37"/>
      <c r="AR1475" s="37"/>
      <c r="AS1475" s="37"/>
      <c r="AT1475" s="37"/>
      <c r="AU1475" s="37"/>
      <c r="AV1475" s="37"/>
      <c r="AW1475" s="37"/>
    </row>
    <row r="1476" spans="29:49" x14ac:dyDescent="0.25">
      <c r="AC1476" s="37"/>
      <c r="AD1476" s="37"/>
      <c r="AE1476" s="37"/>
      <c r="AF1476" s="37"/>
      <c r="AG1476" s="37"/>
      <c r="AH1476" s="37"/>
      <c r="AI1476" s="37"/>
      <c r="AJ1476" s="37"/>
      <c r="AK1476" s="37"/>
      <c r="AL1476" s="37"/>
      <c r="AM1476" s="37"/>
      <c r="AN1476" s="37"/>
      <c r="AO1476" s="37"/>
      <c r="AP1476" s="37"/>
      <c r="AQ1476" s="37"/>
      <c r="AR1476" s="37"/>
      <c r="AS1476" s="37"/>
      <c r="AT1476" s="37"/>
      <c r="AU1476" s="37"/>
      <c r="AV1476" s="37"/>
      <c r="AW1476" s="37"/>
    </row>
    <row r="1477" spans="29:49" x14ac:dyDescent="0.25">
      <c r="AC1477" s="37"/>
      <c r="AD1477" s="37"/>
      <c r="AE1477" s="37"/>
      <c r="AF1477" s="37"/>
      <c r="AG1477" s="37"/>
      <c r="AH1477" s="37"/>
      <c r="AI1477" s="37"/>
      <c r="AJ1477" s="37"/>
      <c r="AK1477" s="37"/>
      <c r="AL1477" s="37"/>
      <c r="AM1477" s="37"/>
      <c r="AN1477" s="37"/>
      <c r="AO1477" s="37"/>
      <c r="AP1477" s="37"/>
      <c r="AQ1477" s="37"/>
      <c r="AR1477" s="37"/>
      <c r="AS1477" s="37"/>
      <c r="AT1477" s="37"/>
      <c r="AU1477" s="37"/>
      <c r="AV1477" s="37"/>
      <c r="AW1477" s="37"/>
    </row>
    <row r="1478" spans="29:49" x14ac:dyDescent="0.25">
      <c r="AC1478" s="37"/>
      <c r="AD1478" s="37"/>
      <c r="AE1478" s="37"/>
      <c r="AF1478" s="37"/>
      <c r="AG1478" s="37"/>
      <c r="AH1478" s="37"/>
      <c r="AI1478" s="37"/>
      <c r="AJ1478" s="37"/>
      <c r="AK1478" s="37"/>
      <c r="AL1478" s="37"/>
      <c r="AM1478" s="37"/>
      <c r="AN1478" s="37"/>
      <c r="AO1478" s="37"/>
      <c r="AP1478" s="37"/>
      <c r="AQ1478" s="37"/>
      <c r="AR1478" s="37"/>
      <c r="AS1478" s="37"/>
      <c r="AT1478" s="37"/>
      <c r="AU1478" s="37"/>
      <c r="AV1478" s="37"/>
      <c r="AW1478" s="37"/>
    </row>
    <row r="1479" spans="29:49" x14ac:dyDescent="0.25">
      <c r="AC1479" s="37"/>
      <c r="AD1479" s="37"/>
      <c r="AE1479" s="37"/>
      <c r="AF1479" s="37"/>
      <c r="AG1479" s="37"/>
      <c r="AH1479" s="37"/>
      <c r="AI1479" s="37"/>
      <c r="AJ1479" s="37"/>
      <c r="AK1479" s="37"/>
      <c r="AL1479" s="37"/>
      <c r="AM1479" s="37"/>
      <c r="AN1479" s="37"/>
      <c r="AO1479" s="37"/>
      <c r="AP1479" s="37"/>
      <c r="AQ1479" s="37"/>
      <c r="AR1479" s="37"/>
      <c r="AS1479" s="37"/>
      <c r="AT1479" s="37"/>
      <c r="AU1479" s="37"/>
      <c r="AV1479" s="37"/>
      <c r="AW1479" s="37"/>
    </row>
    <row r="1480" spans="29:49" x14ac:dyDescent="0.25">
      <c r="AC1480" s="37"/>
      <c r="AD1480" s="37"/>
      <c r="AE1480" s="37"/>
      <c r="AF1480" s="37"/>
      <c r="AG1480" s="37"/>
      <c r="AH1480" s="37"/>
      <c r="AI1480" s="37"/>
      <c r="AJ1480" s="37"/>
      <c r="AK1480" s="37"/>
      <c r="AL1480" s="37"/>
      <c r="AM1480" s="37"/>
      <c r="AN1480" s="37"/>
      <c r="AO1480" s="37"/>
      <c r="AP1480" s="37"/>
      <c r="AQ1480" s="37"/>
      <c r="AR1480" s="37"/>
      <c r="AS1480" s="37"/>
      <c r="AT1480" s="37"/>
      <c r="AU1480" s="37"/>
      <c r="AV1480" s="37"/>
      <c r="AW1480" s="37"/>
    </row>
    <row r="1481" spans="29:49" x14ac:dyDescent="0.25">
      <c r="AC1481" s="37"/>
      <c r="AD1481" s="37"/>
      <c r="AE1481" s="37"/>
      <c r="AF1481" s="37"/>
      <c r="AG1481" s="37"/>
      <c r="AH1481" s="37"/>
      <c r="AI1481" s="37"/>
      <c r="AJ1481" s="37"/>
      <c r="AK1481" s="37"/>
      <c r="AL1481" s="37"/>
      <c r="AM1481" s="37"/>
      <c r="AN1481" s="37"/>
      <c r="AO1481" s="37"/>
      <c r="AP1481" s="37"/>
      <c r="AQ1481" s="37"/>
      <c r="AR1481" s="37"/>
      <c r="AS1481" s="37"/>
      <c r="AT1481" s="37"/>
      <c r="AU1481" s="37"/>
      <c r="AV1481" s="37"/>
      <c r="AW1481" s="37"/>
    </row>
    <row r="1482" spans="29:49" x14ac:dyDescent="0.25">
      <c r="AC1482" s="37"/>
      <c r="AD1482" s="37"/>
      <c r="AE1482" s="37"/>
      <c r="AF1482" s="37"/>
      <c r="AG1482" s="37"/>
      <c r="AH1482" s="37"/>
      <c r="AI1482" s="37"/>
      <c r="AJ1482" s="37"/>
      <c r="AK1482" s="37"/>
      <c r="AL1482" s="37"/>
      <c r="AM1482" s="37"/>
      <c r="AN1482" s="37"/>
      <c r="AO1482" s="37"/>
      <c r="AP1482" s="37"/>
      <c r="AQ1482" s="37"/>
      <c r="AR1482" s="37"/>
      <c r="AS1482" s="37"/>
      <c r="AT1482" s="37"/>
      <c r="AU1482" s="37"/>
      <c r="AV1482" s="37"/>
      <c r="AW1482" s="37"/>
    </row>
    <row r="1483" spans="29:49" x14ac:dyDescent="0.25">
      <c r="AC1483" s="37"/>
      <c r="AD1483" s="37"/>
      <c r="AE1483" s="37"/>
      <c r="AF1483" s="37"/>
      <c r="AG1483" s="37"/>
      <c r="AH1483" s="37"/>
      <c r="AI1483" s="37"/>
      <c r="AJ1483" s="37"/>
      <c r="AK1483" s="37"/>
      <c r="AL1483" s="37"/>
      <c r="AM1483" s="37"/>
      <c r="AN1483" s="37"/>
      <c r="AO1483" s="37"/>
      <c r="AP1483" s="37"/>
      <c r="AQ1483" s="37"/>
      <c r="AR1483" s="37"/>
      <c r="AS1483" s="37"/>
      <c r="AT1483" s="37"/>
      <c r="AU1483" s="37"/>
      <c r="AV1483" s="37"/>
      <c r="AW1483" s="37"/>
    </row>
    <row r="1484" spans="29:49" x14ac:dyDescent="0.25">
      <c r="AC1484" s="37"/>
      <c r="AD1484" s="37"/>
      <c r="AE1484" s="37"/>
      <c r="AF1484" s="37"/>
      <c r="AG1484" s="37"/>
      <c r="AH1484" s="37"/>
      <c r="AI1484" s="37"/>
      <c r="AJ1484" s="37"/>
      <c r="AK1484" s="37"/>
      <c r="AL1484" s="37"/>
      <c r="AM1484" s="37"/>
      <c r="AN1484" s="37"/>
      <c r="AO1484" s="37"/>
      <c r="AP1484" s="37"/>
      <c r="AQ1484" s="37"/>
      <c r="AR1484" s="37"/>
      <c r="AS1484" s="37"/>
      <c r="AT1484" s="37"/>
      <c r="AU1484" s="37"/>
      <c r="AV1484" s="37"/>
      <c r="AW1484" s="37"/>
    </row>
    <row r="1485" spans="29:49" x14ac:dyDescent="0.25">
      <c r="AC1485" s="37"/>
      <c r="AD1485" s="37"/>
      <c r="AE1485" s="37"/>
      <c r="AF1485" s="37"/>
      <c r="AG1485" s="37"/>
      <c r="AH1485" s="37"/>
      <c r="AI1485" s="37"/>
      <c r="AJ1485" s="37"/>
      <c r="AK1485" s="37"/>
      <c r="AL1485" s="37"/>
      <c r="AM1485" s="37"/>
      <c r="AN1485" s="37"/>
      <c r="AO1485" s="37"/>
      <c r="AP1485" s="37"/>
      <c r="AQ1485" s="37"/>
      <c r="AR1485" s="37"/>
      <c r="AS1485" s="37"/>
      <c r="AT1485" s="37"/>
      <c r="AU1485" s="37"/>
      <c r="AV1485" s="37"/>
      <c r="AW1485" s="37"/>
    </row>
    <row r="1486" spans="29:49" x14ac:dyDescent="0.25">
      <c r="AC1486" s="37"/>
      <c r="AD1486" s="37"/>
      <c r="AE1486" s="37"/>
      <c r="AF1486" s="37"/>
      <c r="AG1486" s="37"/>
      <c r="AH1486" s="37"/>
      <c r="AI1486" s="37"/>
      <c r="AJ1486" s="37"/>
      <c r="AK1486" s="37"/>
      <c r="AL1486" s="37"/>
      <c r="AM1486" s="37"/>
      <c r="AN1486" s="37"/>
      <c r="AO1486" s="37"/>
      <c r="AP1486" s="37"/>
      <c r="AQ1486" s="37"/>
      <c r="AR1486" s="37"/>
      <c r="AS1486" s="37"/>
      <c r="AT1486" s="37"/>
      <c r="AU1486" s="37"/>
      <c r="AV1486" s="37"/>
      <c r="AW1486" s="37"/>
    </row>
    <row r="1487" spans="29:49" x14ac:dyDescent="0.25">
      <c r="AC1487" s="37"/>
      <c r="AD1487" s="37"/>
      <c r="AE1487" s="37"/>
      <c r="AF1487" s="37"/>
      <c r="AG1487" s="37"/>
      <c r="AH1487" s="37"/>
      <c r="AI1487" s="37"/>
      <c r="AJ1487" s="37"/>
      <c r="AK1487" s="37"/>
      <c r="AL1487" s="37"/>
      <c r="AM1487" s="37"/>
      <c r="AN1487" s="37"/>
      <c r="AO1487" s="37"/>
      <c r="AP1487" s="37"/>
      <c r="AQ1487" s="37"/>
      <c r="AR1487" s="37"/>
      <c r="AS1487" s="37"/>
      <c r="AT1487" s="37"/>
      <c r="AU1487" s="37"/>
      <c r="AV1487" s="37"/>
      <c r="AW1487" s="37"/>
    </row>
    <row r="1488" spans="29:49" x14ac:dyDescent="0.25">
      <c r="AC1488" s="37"/>
      <c r="AD1488" s="37"/>
      <c r="AE1488" s="37"/>
      <c r="AF1488" s="37"/>
      <c r="AG1488" s="37"/>
      <c r="AH1488" s="37"/>
      <c r="AI1488" s="37"/>
      <c r="AJ1488" s="37"/>
      <c r="AK1488" s="37"/>
      <c r="AL1488" s="37"/>
      <c r="AM1488" s="37"/>
      <c r="AN1488" s="37"/>
      <c r="AO1488" s="37"/>
      <c r="AP1488" s="37"/>
      <c r="AQ1488" s="37"/>
      <c r="AR1488" s="37"/>
      <c r="AS1488" s="37"/>
      <c r="AT1488" s="37"/>
      <c r="AU1488" s="37"/>
      <c r="AV1488" s="37"/>
      <c r="AW1488" s="37"/>
    </row>
    <row r="1489" spans="29:49" x14ac:dyDescent="0.25">
      <c r="AC1489" s="37"/>
      <c r="AD1489" s="37"/>
      <c r="AE1489" s="37"/>
      <c r="AF1489" s="37"/>
      <c r="AG1489" s="37"/>
      <c r="AH1489" s="37"/>
      <c r="AI1489" s="37"/>
      <c r="AJ1489" s="37"/>
      <c r="AK1489" s="37"/>
      <c r="AL1489" s="37"/>
      <c r="AM1489" s="37"/>
      <c r="AN1489" s="37"/>
      <c r="AO1489" s="37"/>
      <c r="AP1489" s="37"/>
      <c r="AQ1489" s="37"/>
      <c r="AR1489" s="37"/>
      <c r="AS1489" s="37"/>
      <c r="AT1489" s="37"/>
      <c r="AU1489" s="37"/>
      <c r="AV1489" s="37"/>
      <c r="AW1489" s="37"/>
    </row>
    <row r="1490" spans="29:49" x14ac:dyDescent="0.25">
      <c r="AC1490" s="37"/>
      <c r="AD1490" s="37"/>
      <c r="AE1490" s="37"/>
      <c r="AF1490" s="37"/>
      <c r="AG1490" s="37"/>
      <c r="AH1490" s="37"/>
      <c r="AI1490" s="37"/>
      <c r="AJ1490" s="37"/>
      <c r="AK1490" s="37"/>
      <c r="AL1490" s="37"/>
      <c r="AM1490" s="37"/>
      <c r="AN1490" s="37"/>
      <c r="AO1490" s="37"/>
      <c r="AP1490" s="37"/>
      <c r="AQ1490" s="37"/>
      <c r="AR1490" s="37"/>
      <c r="AS1490" s="37"/>
      <c r="AT1490" s="37"/>
      <c r="AU1490" s="37"/>
      <c r="AV1490" s="37"/>
      <c r="AW1490" s="37"/>
    </row>
    <row r="1491" spans="29:49" x14ac:dyDescent="0.25">
      <c r="AC1491" s="37"/>
      <c r="AD1491" s="37"/>
      <c r="AE1491" s="37"/>
      <c r="AF1491" s="37"/>
      <c r="AG1491" s="37"/>
      <c r="AH1491" s="37"/>
      <c r="AI1491" s="37"/>
      <c r="AJ1491" s="37"/>
      <c r="AK1491" s="37"/>
      <c r="AL1491" s="37"/>
      <c r="AM1491" s="37"/>
      <c r="AN1491" s="37"/>
      <c r="AO1491" s="37"/>
      <c r="AP1491" s="37"/>
      <c r="AQ1491" s="37"/>
      <c r="AR1491" s="37"/>
      <c r="AS1491" s="37"/>
      <c r="AT1491" s="37"/>
      <c r="AU1491" s="37"/>
      <c r="AV1491" s="37"/>
      <c r="AW1491" s="37"/>
    </row>
    <row r="1492" spans="29:49" x14ac:dyDescent="0.25">
      <c r="AC1492" s="37"/>
      <c r="AD1492" s="37"/>
      <c r="AE1492" s="37"/>
      <c r="AF1492" s="37"/>
      <c r="AG1492" s="37"/>
      <c r="AH1492" s="37"/>
      <c r="AI1492" s="37"/>
      <c r="AJ1492" s="37"/>
      <c r="AK1492" s="37"/>
      <c r="AL1492" s="37"/>
      <c r="AM1492" s="37"/>
      <c r="AN1492" s="37"/>
      <c r="AO1492" s="37"/>
      <c r="AP1492" s="37"/>
      <c r="AQ1492" s="37"/>
      <c r="AR1492" s="37"/>
      <c r="AS1492" s="37"/>
      <c r="AT1492" s="37"/>
      <c r="AU1492" s="37"/>
      <c r="AV1492" s="37"/>
      <c r="AW1492" s="37"/>
    </row>
    <row r="1493" spans="29:49" x14ac:dyDescent="0.25">
      <c r="AC1493" s="37"/>
      <c r="AD1493" s="37"/>
      <c r="AE1493" s="37"/>
      <c r="AF1493" s="37"/>
      <c r="AG1493" s="37"/>
      <c r="AH1493" s="37"/>
      <c r="AI1493" s="37"/>
      <c r="AJ1493" s="37"/>
      <c r="AK1493" s="37"/>
      <c r="AL1493" s="37"/>
      <c r="AM1493" s="37"/>
      <c r="AN1493" s="37"/>
      <c r="AO1493" s="37"/>
      <c r="AP1493" s="37"/>
      <c r="AQ1493" s="37"/>
      <c r="AR1493" s="37"/>
      <c r="AS1493" s="37"/>
      <c r="AT1493" s="37"/>
      <c r="AU1493" s="37"/>
      <c r="AV1493" s="37"/>
      <c r="AW1493" s="37"/>
    </row>
    <row r="1494" spans="29:49" x14ac:dyDescent="0.25">
      <c r="AC1494" s="37"/>
      <c r="AD1494" s="37"/>
      <c r="AE1494" s="37"/>
      <c r="AF1494" s="37"/>
      <c r="AG1494" s="37"/>
      <c r="AH1494" s="37"/>
      <c r="AI1494" s="37"/>
      <c r="AJ1494" s="37"/>
      <c r="AK1494" s="37"/>
      <c r="AL1494" s="37"/>
      <c r="AM1494" s="37"/>
      <c r="AN1494" s="37"/>
      <c r="AO1494" s="37"/>
      <c r="AP1494" s="37"/>
      <c r="AQ1494" s="37"/>
      <c r="AR1494" s="37"/>
      <c r="AS1494" s="37"/>
      <c r="AT1494" s="37"/>
      <c r="AU1494" s="37"/>
      <c r="AV1494" s="37"/>
      <c r="AW1494" s="37"/>
    </row>
    <row r="1495" spans="29:49" x14ac:dyDescent="0.25">
      <c r="AC1495" s="37"/>
      <c r="AD1495" s="37"/>
      <c r="AE1495" s="37"/>
      <c r="AF1495" s="37"/>
      <c r="AG1495" s="37"/>
      <c r="AH1495" s="37"/>
      <c r="AI1495" s="37"/>
      <c r="AJ1495" s="37"/>
      <c r="AK1495" s="37"/>
      <c r="AL1495" s="37"/>
      <c r="AM1495" s="37"/>
      <c r="AN1495" s="37"/>
      <c r="AO1495" s="37"/>
      <c r="AP1495" s="37"/>
      <c r="AQ1495" s="37"/>
      <c r="AR1495" s="37"/>
      <c r="AS1495" s="37"/>
      <c r="AT1495" s="37"/>
      <c r="AU1495" s="37"/>
      <c r="AV1495" s="37"/>
      <c r="AW1495" s="37"/>
    </row>
    <row r="1496" spans="29:49" x14ac:dyDescent="0.25">
      <c r="AC1496" s="37"/>
      <c r="AD1496" s="37"/>
      <c r="AE1496" s="37"/>
      <c r="AF1496" s="37"/>
      <c r="AG1496" s="37"/>
      <c r="AH1496" s="37"/>
      <c r="AI1496" s="37"/>
      <c r="AJ1496" s="37"/>
      <c r="AK1496" s="37"/>
      <c r="AL1496" s="37"/>
      <c r="AM1496" s="37"/>
      <c r="AN1496" s="37"/>
      <c r="AO1496" s="37"/>
      <c r="AP1496" s="37"/>
      <c r="AQ1496" s="37"/>
      <c r="AR1496" s="37"/>
      <c r="AS1496" s="37"/>
      <c r="AT1496" s="37"/>
      <c r="AU1496" s="37"/>
      <c r="AV1496" s="37"/>
      <c r="AW1496" s="37"/>
    </row>
    <row r="1497" spans="29:49" x14ac:dyDescent="0.25">
      <c r="AC1497" s="37"/>
      <c r="AD1497" s="37"/>
      <c r="AE1497" s="37"/>
      <c r="AF1497" s="37"/>
      <c r="AG1497" s="37"/>
      <c r="AH1497" s="37"/>
      <c r="AI1497" s="37"/>
      <c r="AJ1497" s="37"/>
      <c r="AK1497" s="37"/>
      <c r="AL1497" s="37"/>
      <c r="AM1497" s="37"/>
      <c r="AN1497" s="37"/>
      <c r="AO1497" s="37"/>
      <c r="AP1497" s="37"/>
      <c r="AQ1497" s="37"/>
      <c r="AR1497" s="37"/>
      <c r="AS1497" s="37"/>
      <c r="AT1497" s="37"/>
      <c r="AU1497" s="37"/>
      <c r="AV1497" s="37"/>
      <c r="AW1497" s="37"/>
    </row>
    <row r="1498" spans="29:49" x14ac:dyDescent="0.25">
      <c r="AC1498" s="37"/>
      <c r="AD1498" s="37"/>
      <c r="AE1498" s="37"/>
      <c r="AF1498" s="37"/>
      <c r="AG1498" s="37"/>
      <c r="AH1498" s="37"/>
      <c r="AI1498" s="37"/>
      <c r="AJ1498" s="37"/>
      <c r="AK1498" s="37"/>
      <c r="AL1498" s="37"/>
      <c r="AM1498" s="37"/>
      <c r="AN1498" s="37"/>
      <c r="AO1498" s="37"/>
      <c r="AP1498" s="37"/>
      <c r="AQ1498" s="37"/>
      <c r="AR1498" s="37"/>
      <c r="AS1498" s="37"/>
      <c r="AT1498" s="37"/>
      <c r="AU1498" s="37"/>
      <c r="AV1498" s="37"/>
      <c r="AW1498" s="37"/>
    </row>
    <row r="1499" spans="29:49" x14ac:dyDescent="0.25">
      <c r="AC1499" s="37"/>
      <c r="AD1499" s="37"/>
      <c r="AE1499" s="37"/>
      <c r="AF1499" s="37"/>
      <c r="AG1499" s="37"/>
      <c r="AH1499" s="37"/>
      <c r="AI1499" s="37"/>
      <c r="AJ1499" s="37"/>
      <c r="AK1499" s="37"/>
      <c r="AL1499" s="37"/>
      <c r="AM1499" s="37"/>
      <c r="AN1499" s="37"/>
      <c r="AO1499" s="37"/>
      <c r="AP1499" s="37"/>
      <c r="AQ1499" s="37"/>
      <c r="AR1499" s="37"/>
      <c r="AS1499" s="37"/>
      <c r="AT1499" s="37"/>
      <c r="AU1499" s="37"/>
      <c r="AV1499" s="37"/>
      <c r="AW1499" s="37"/>
    </row>
    <row r="1500" spans="29:49" x14ac:dyDescent="0.25">
      <c r="AC1500" s="37"/>
      <c r="AD1500" s="37"/>
      <c r="AE1500" s="37"/>
      <c r="AF1500" s="37"/>
      <c r="AG1500" s="37"/>
      <c r="AH1500" s="37"/>
      <c r="AI1500" s="37"/>
      <c r="AJ1500" s="37"/>
      <c r="AK1500" s="37"/>
      <c r="AL1500" s="37"/>
      <c r="AM1500" s="37"/>
      <c r="AN1500" s="37"/>
      <c r="AO1500" s="37"/>
      <c r="AP1500" s="37"/>
      <c r="AQ1500" s="37"/>
      <c r="AR1500" s="37"/>
      <c r="AS1500" s="37"/>
      <c r="AT1500" s="37"/>
      <c r="AU1500" s="37"/>
      <c r="AV1500" s="37"/>
      <c r="AW1500" s="37"/>
    </row>
    <row r="1501" spans="29:49" x14ac:dyDescent="0.25">
      <c r="AC1501" s="37"/>
      <c r="AD1501" s="37"/>
      <c r="AE1501" s="37"/>
      <c r="AF1501" s="37"/>
      <c r="AG1501" s="37"/>
      <c r="AH1501" s="37"/>
      <c r="AI1501" s="37"/>
      <c r="AJ1501" s="37"/>
      <c r="AK1501" s="37"/>
      <c r="AL1501" s="37"/>
      <c r="AM1501" s="37"/>
      <c r="AN1501" s="37"/>
      <c r="AO1501" s="37"/>
      <c r="AP1501" s="37"/>
      <c r="AQ1501" s="37"/>
      <c r="AR1501" s="37"/>
      <c r="AS1501" s="37"/>
      <c r="AT1501" s="37"/>
      <c r="AU1501" s="37"/>
      <c r="AV1501" s="37"/>
      <c r="AW1501" s="37"/>
    </row>
    <row r="1502" spans="29:49" x14ac:dyDescent="0.25">
      <c r="AC1502" s="37"/>
      <c r="AD1502" s="37"/>
      <c r="AE1502" s="37"/>
      <c r="AF1502" s="37"/>
      <c r="AG1502" s="37"/>
      <c r="AH1502" s="37"/>
      <c r="AI1502" s="37"/>
      <c r="AJ1502" s="37"/>
      <c r="AK1502" s="37"/>
      <c r="AL1502" s="37"/>
      <c r="AM1502" s="37"/>
      <c r="AN1502" s="37"/>
      <c r="AO1502" s="37"/>
      <c r="AP1502" s="37"/>
      <c r="AQ1502" s="37"/>
      <c r="AR1502" s="37"/>
      <c r="AS1502" s="37"/>
      <c r="AT1502" s="37"/>
      <c r="AU1502" s="37"/>
      <c r="AV1502" s="37"/>
      <c r="AW1502" s="37"/>
    </row>
    <row r="1503" spans="29:49" x14ac:dyDescent="0.25">
      <c r="AC1503" s="37"/>
      <c r="AD1503" s="37"/>
      <c r="AE1503" s="37"/>
      <c r="AF1503" s="37"/>
      <c r="AG1503" s="37"/>
      <c r="AH1503" s="37"/>
      <c r="AI1503" s="37"/>
      <c r="AJ1503" s="37"/>
      <c r="AK1503" s="37"/>
      <c r="AL1503" s="37"/>
      <c r="AM1503" s="37"/>
      <c r="AN1503" s="37"/>
      <c r="AO1503" s="37"/>
      <c r="AP1503" s="37"/>
      <c r="AQ1503" s="37"/>
      <c r="AR1503" s="37"/>
      <c r="AS1503" s="37"/>
      <c r="AT1503" s="37"/>
      <c r="AU1503" s="37"/>
      <c r="AV1503" s="37"/>
      <c r="AW1503" s="37"/>
    </row>
    <row r="1504" spans="29:49" x14ac:dyDescent="0.25">
      <c r="AC1504" s="37"/>
      <c r="AD1504" s="37"/>
      <c r="AE1504" s="37"/>
      <c r="AF1504" s="37"/>
      <c r="AG1504" s="37"/>
      <c r="AH1504" s="37"/>
      <c r="AI1504" s="37"/>
      <c r="AJ1504" s="37"/>
      <c r="AK1504" s="37"/>
      <c r="AL1504" s="37"/>
      <c r="AM1504" s="37"/>
      <c r="AN1504" s="37"/>
      <c r="AO1504" s="37"/>
      <c r="AP1504" s="37"/>
      <c r="AQ1504" s="37"/>
      <c r="AR1504" s="37"/>
      <c r="AS1504" s="37"/>
      <c r="AT1504" s="37"/>
      <c r="AU1504" s="37"/>
      <c r="AV1504" s="37"/>
      <c r="AW1504" s="37"/>
    </row>
    <row r="1505" spans="29:49" x14ac:dyDescent="0.25">
      <c r="AC1505" s="37"/>
      <c r="AD1505" s="37"/>
      <c r="AE1505" s="37"/>
      <c r="AF1505" s="37"/>
      <c r="AG1505" s="37"/>
      <c r="AH1505" s="37"/>
      <c r="AI1505" s="37"/>
      <c r="AJ1505" s="37"/>
      <c r="AK1505" s="37"/>
      <c r="AL1505" s="37"/>
      <c r="AM1505" s="37"/>
      <c r="AN1505" s="37"/>
      <c r="AO1505" s="37"/>
      <c r="AP1505" s="37"/>
      <c r="AQ1505" s="37"/>
      <c r="AR1505" s="37"/>
      <c r="AS1505" s="37"/>
      <c r="AT1505" s="37"/>
      <c r="AU1505" s="37"/>
      <c r="AV1505" s="37"/>
      <c r="AW1505" s="37"/>
    </row>
    <row r="1506" spans="29:49" x14ac:dyDescent="0.25">
      <c r="AC1506" s="37"/>
      <c r="AD1506" s="37"/>
      <c r="AE1506" s="37"/>
      <c r="AF1506" s="37"/>
      <c r="AG1506" s="37"/>
      <c r="AH1506" s="37"/>
      <c r="AI1506" s="37"/>
      <c r="AJ1506" s="37"/>
      <c r="AK1506" s="37"/>
      <c r="AL1506" s="37"/>
      <c r="AM1506" s="37"/>
      <c r="AN1506" s="37"/>
      <c r="AO1506" s="37"/>
      <c r="AP1506" s="37"/>
      <c r="AQ1506" s="37"/>
      <c r="AR1506" s="37"/>
      <c r="AS1506" s="37"/>
      <c r="AT1506" s="37"/>
      <c r="AU1506" s="37"/>
      <c r="AV1506" s="37"/>
      <c r="AW1506" s="37"/>
    </row>
    <row r="1507" spans="29:49" x14ac:dyDescent="0.25">
      <c r="AC1507" s="37"/>
      <c r="AD1507" s="37"/>
      <c r="AE1507" s="37"/>
      <c r="AF1507" s="37"/>
      <c r="AG1507" s="37"/>
      <c r="AH1507" s="37"/>
      <c r="AI1507" s="37"/>
      <c r="AJ1507" s="37"/>
      <c r="AK1507" s="37"/>
      <c r="AL1507" s="37"/>
      <c r="AM1507" s="37"/>
      <c r="AN1507" s="37"/>
      <c r="AO1507" s="37"/>
      <c r="AP1507" s="37"/>
      <c r="AQ1507" s="37"/>
      <c r="AR1507" s="37"/>
      <c r="AS1507" s="37"/>
      <c r="AT1507" s="37"/>
      <c r="AU1507" s="37"/>
      <c r="AV1507" s="37"/>
      <c r="AW1507" s="37"/>
    </row>
    <row r="1508" spans="29:49" x14ac:dyDescent="0.25">
      <c r="AC1508" s="37"/>
      <c r="AD1508" s="37"/>
      <c r="AE1508" s="37"/>
      <c r="AF1508" s="37"/>
      <c r="AG1508" s="37"/>
      <c r="AH1508" s="37"/>
      <c r="AI1508" s="37"/>
      <c r="AJ1508" s="37"/>
      <c r="AK1508" s="37"/>
      <c r="AL1508" s="37"/>
      <c r="AM1508" s="37"/>
      <c r="AN1508" s="37"/>
      <c r="AO1508" s="37"/>
      <c r="AP1508" s="37"/>
      <c r="AQ1508" s="37"/>
      <c r="AR1508" s="37"/>
      <c r="AS1508" s="37"/>
      <c r="AT1508" s="37"/>
      <c r="AU1508" s="37"/>
      <c r="AV1508" s="37"/>
      <c r="AW1508" s="37"/>
    </row>
    <row r="1509" spans="29:49" x14ac:dyDescent="0.25">
      <c r="AC1509" s="37"/>
      <c r="AD1509" s="37"/>
      <c r="AE1509" s="37"/>
      <c r="AF1509" s="37"/>
      <c r="AG1509" s="37"/>
      <c r="AH1509" s="37"/>
      <c r="AI1509" s="37"/>
      <c r="AJ1509" s="37"/>
      <c r="AK1509" s="37"/>
      <c r="AL1509" s="37"/>
      <c r="AM1509" s="37"/>
      <c r="AN1509" s="37"/>
      <c r="AO1509" s="37"/>
      <c r="AP1509" s="37"/>
      <c r="AQ1509" s="37"/>
      <c r="AR1509" s="37"/>
      <c r="AS1509" s="37"/>
      <c r="AT1509" s="37"/>
      <c r="AU1509" s="37"/>
      <c r="AV1509" s="37"/>
      <c r="AW1509" s="37"/>
    </row>
    <row r="1510" spans="29:49" x14ac:dyDescent="0.25">
      <c r="AC1510" s="37"/>
      <c r="AD1510" s="37"/>
      <c r="AE1510" s="37"/>
      <c r="AF1510" s="37"/>
      <c r="AG1510" s="37"/>
      <c r="AH1510" s="37"/>
      <c r="AI1510" s="37"/>
      <c r="AJ1510" s="37"/>
      <c r="AK1510" s="37"/>
      <c r="AL1510" s="37"/>
      <c r="AM1510" s="37"/>
      <c r="AN1510" s="37"/>
      <c r="AO1510" s="37"/>
      <c r="AP1510" s="37"/>
      <c r="AQ1510" s="37"/>
      <c r="AR1510" s="37"/>
      <c r="AS1510" s="37"/>
      <c r="AT1510" s="37"/>
      <c r="AU1510" s="37"/>
      <c r="AV1510" s="37"/>
      <c r="AW1510" s="37"/>
    </row>
    <row r="1511" spans="29:49" x14ac:dyDescent="0.25">
      <c r="AC1511" s="37"/>
      <c r="AD1511" s="37"/>
      <c r="AE1511" s="37"/>
      <c r="AF1511" s="37"/>
      <c r="AG1511" s="37"/>
      <c r="AH1511" s="37"/>
      <c r="AI1511" s="37"/>
      <c r="AJ1511" s="37"/>
      <c r="AK1511" s="37"/>
      <c r="AL1511" s="37"/>
      <c r="AM1511" s="37"/>
      <c r="AN1511" s="37"/>
      <c r="AO1511" s="37"/>
      <c r="AP1511" s="37"/>
      <c r="AQ1511" s="37"/>
      <c r="AR1511" s="37"/>
      <c r="AS1511" s="37"/>
      <c r="AT1511" s="37"/>
      <c r="AU1511" s="37"/>
      <c r="AV1511" s="37"/>
      <c r="AW1511" s="37"/>
    </row>
    <row r="1512" spans="29:49" x14ac:dyDescent="0.25">
      <c r="AC1512" s="37"/>
      <c r="AD1512" s="37"/>
      <c r="AE1512" s="37"/>
      <c r="AF1512" s="37"/>
      <c r="AG1512" s="37"/>
      <c r="AH1512" s="37"/>
      <c r="AI1512" s="37"/>
      <c r="AJ1512" s="37"/>
      <c r="AK1512" s="37"/>
      <c r="AL1512" s="37"/>
      <c r="AM1512" s="37"/>
      <c r="AN1512" s="37"/>
      <c r="AO1512" s="37"/>
      <c r="AP1512" s="37"/>
      <c r="AQ1512" s="37"/>
      <c r="AR1512" s="37"/>
      <c r="AS1512" s="37"/>
      <c r="AT1512" s="37"/>
      <c r="AU1512" s="37"/>
      <c r="AV1512" s="37"/>
      <c r="AW1512" s="37"/>
    </row>
    <row r="1513" spans="29:49" x14ac:dyDescent="0.25">
      <c r="AC1513" s="37"/>
      <c r="AD1513" s="37"/>
      <c r="AE1513" s="37"/>
      <c r="AF1513" s="37"/>
      <c r="AG1513" s="37"/>
      <c r="AH1513" s="37"/>
      <c r="AI1513" s="37"/>
      <c r="AJ1513" s="37"/>
      <c r="AK1513" s="37"/>
      <c r="AL1513" s="37"/>
      <c r="AM1513" s="37"/>
      <c r="AN1513" s="37"/>
      <c r="AO1513" s="37"/>
      <c r="AP1513" s="37"/>
      <c r="AQ1513" s="37"/>
      <c r="AR1513" s="37"/>
      <c r="AS1513" s="37"/>
      <c r="AT1513" s="37"/>
      <c r="AU1513" s="37"/>
      <c r="AV1513" s="37"/>
      <c r="AW1513" s="37"/>
    </row>
    <row r="1514" spans="29:49" x14ac:dyDescent="0.25">
      <c r="AC1514" s="37"/>
      <c r="AD1514" s="37"/>
      <c r="AE1514" s="37"/>
      <c r="AF1514" s="37"/>
      <c r="AG1514" s="37"/>
      <c r="AH1514" s="37"/>
      <c r="AI1514" s="37"/>
      <c r="AJ1514" s="37"/>
      <c r="AK1514" s="37"/>
      <c r="AL1514" s="37"/>
      <c r="AM1514" s="37"/>
      <c r="AN1514" s="37"/>
      <c r="AO1514" s="37"/>
      <c r="AP1514" s="37"/>
      <c r="AQ1514" s="37"/>
      <c r="AR1514" s="37"/>
      <c r="AS1514" s="37"/>
      <c r="AT1514" s="37"/>
      <c r="AU1514" s="37"/>
      <c r="AV1514" s="37"/>
      <c r="AW1514" s="37"/>
    </row>
    <row r="1515" spans="29:49" x14ac:dyDescent="0.25">
      <c r="AC1515" s="37"/>
      <c r="AD1515" s="37"/>
      <c r="AE1515" s="37"/>
      <c r="AF1515" s="37"/>
      <c r="AG1515" s="37"/>
      <c r="AH1515" s="37"/>
      <c r="AI1515" s="37"/>
      <c r="AJ1515" s="37"/>
      <c r="AK1515" s="37"/>
      <c r="AL1515" s="37"/>
      <c r="AM1515" s="37"/>
      <c r="AN1515" s="37"/>
      <c r="AO1515" s="37"/>
      <c r="AP1515" s="37"/>
      <c r="AQ1515" s="37"/>
      <c r="AR1515" s="37"/>
      <c r="AS1515" s="37"/>
      <c r="AT1515" s="37"/>
      <c r="AU1515" s="37"/>
      <c r="AV1515" s="37"/>
      <c r="AW1515" s="37"/>
    </row>
    <row r="1516" spans="29:49" x14ac:dyDescent="0.25">
      <c r="AC1516" s="37"/>
      <c r="AD1516" s="37"/>
      <c r="AE1516" s="37"/>
      <c r="AF1516" s="37"/>
      <c r="AG1516" s="37"/>
      <c r="AH1516" s="37"/>
      <c r="AI1516" s="37"/>
      <c r="AJ1516" s="37"/>
      <c r="AK1516" s="37"/>
      <c r="AL1516" s="37"/>
      <c r="AM1516" s="37"/>
      <c r="AN1516" s="37"/>
      <c r="AO1516" s="37"/>
      <c r="AP1516" s="37"/>
      <c r="AQ1516" s="37"/>
      <c r="AR1516" s="37"/>
      <c r="AS1516" s="37"/>
      <c r="AT1516" s="37"/>
      <c r="AU1516" s="37"/>
      <c r="AV1516" s="37"/>
      <c r="AW1516" s="37"/>
    </row>
    <row r="1517" spans="29:49" x14ac:dyDescent="0.25">
      <c r="AC1517" s="37"/>
      <c r="AD1517" s="37"/>
      <c r="AE1517" s="37"/>
      <c r="AF1517" s="37"/>
      <c r="AG1517" s="37"/>
      <c r="AH1517" s="37"/>
      <c r="AI1517" s="37"/>
      <c r="AJ1517" s="37"/>
      <c r="AK1517" s="37"/>
      <c r="AL1517" s="37"/>
      <c r="AM1517" s="37"/>
      <c r="AN1517" s="37"/>
      <c r="AO1517" s="37"/>
      <c r="AP1517" s="37"/>
      <c r="AQ1517" s="37"/>
      <c r="AR1517" s="37"/>
      <c r="AS1517" s="37"/>
      <c r="AT1517" s="37"/>
      <c r="AU1517" s="37"/>
      <c r="AV1517" s="37"/>
      <c r="AW1517" s="37"/>
    </row>
    <row r="1518" spans="29:49" x14ac:dyDescent="0.25">
      <c r="AC1518" s="37"/>
      <c r="AD1518" s="37"/>
      <c r="AE1518" s="37"/>
      <c r="AF1518" s="37"/>
      <c r="AG1518" s="37"/>
      <c r="AH1518" s="37"/>
      <c r="AI1518" s="37"/>
      <c r="AJ1518" s="37"/>
      <c r="AK1518" s="37"/>
      <c r="AL1518" s="37"/>
      <c r="AM1518" s="37"/>
      <c r="AN1518" s="37"/>
      <c r="AO1518" s="37"/>
      <c r="AP1518" s="37"/>
      <c r="AQ1518" s="37"/>
      <c r="AR1518" s="37"/>
      <c r="AS1518" s="37"/>
      <c r="AT1518" s="37"/>
      <c r="AU1518" s="37"/>
      <c r="AV1518" s="37"/>
      <c r="AW1518" s="37"/>
    </row>
    <row r="1519" spans="29:49" x14ac:dyDescent="0.25">
      <c r="AC1519" s="37"/>
      <c r="AD1519" s="37"/>
      <c r="AE1519" s="37"/>
      <c r="AF1519" s="37"/>
      <c r="AG1519" s="37"/>
      <c r="AH1519" s="37"/>
      <c r="AI1519" s="37"/>
      <c r="AJ1519" s="37"/>
      <c r="AK1519" s="37"/>
      <c r="AL1519" s="37"/>
      <c r="AM1519" s="37"/>
      <c r="AN1519" s="37"/>
      <c r="AO1519" s="37"/>
      <c r="AP1519" s="37"/>
      <c r="AQ1519" s="37"/>
      <c r="AR1519" s="37"/>
      <c r="AS1519" s="37"/>
      <c r="AT1519" s="37"/>
      <c r="AU1519" s="37"/>
      <c r="AV1519" s="37"/>
      <c r="AW1519" s="37"/>
    </row>
    <row r="1520" spans="29:49" x14ac:dyDescent="0.25">
      <c r="AC1520" s="37"/>
      <c r="AD1520" s="37"/>
      <c r="AE1520" s="37"/>
      <c r="AF1520" s="37"/>
      <c r="AG1520" s="37"/>
      <c r="AH1520" s="37"/>
      <c r="AI1520" s="37"/>
      <c r="AJ1520" s="37"/>
      <c r="AK1520" s="37"/>
      <c r="AL1520" s="37"/>
      <c r="AM1520" s="37"/>
      <c r="AN1520" s="37"/>
      <c r="AO1520" s="37"/>
      <c r="AP1520" s="37"/>
      <c r="AQ1520" s="37"/>
      <c r="AR1520" s="37"/>
      <c r="AS1520" s="37"/>
      <c r="AT1520" s="37"/>
      <c r="AU1520" s="37"/>
      <c r="AV1520" s="37"/>
      <c r="AW1520" s="37"/>
    </row>
    <row r="1521" spans="29:49" x14ac:dyDescent="0.25">
      <c r="AC1521" s="37"/>
      <c r="AD1521" s="37"/>
      <c r="AE1521" s="37"/>
      <c r="AF1521" s="37"/>
      <c r="AG1521" s="37"/>
      <c r="AH1521" s="37"/>
      <c r="AI1521" s="37"/>
      <c r="AJ1521" s="37"/>
      <c r="AK1521" s="37"/>
      <c r="AL1521" s="37"/>
      <c r="AM1521" s="37"/>
      <c r="AN1521" s="37"/>
      <c r="AO1521" s="37"/>
      <c r="AP1521" s="37"/>
      <c r="AQ1521" s="37"/>
      <c r="AR1521" s="37"/>
      <c r="AS1521" s="37"/>
      <c r="AT1521" s="37"/>
      <c r="AU1521" s="37"/>
      <c r="AV1521" s="37"/>
      <c r="AW1521" s="37"/>
    </row>
    <row r="1522" spans="29:49" x14ac:dyDescent="0.25">
      <c r="AC1522" s="37"/>
      <c r="AD1522" s="37"/>
      <c r="AE1522" s="37"/>
      <c r="AF1522" s="37"/>
      <c r="AG1522" s="37"/>
      <c r="AH1522" s="37"/>
      <c r="AI1522" s="37"/>
      <c r="AJ1522" s="37"/>
      <c r="AK1522" s="37"/>
      <c r="AL1522" s="37"/>
      <c r="AM1522" s="37"/>
      <c r="AN1522" s="37"/>
      <c r="AO1522" s="37"/>
      <c r="AP1522" s="37"/>
      <c r="AQ1522" s="37"/>
      <c r="AR1522" s="37"/>
      <c r="AS1522" s="37"/>
      <c r="AT1522" s="37"/>
      <c r="AU1522" s="37"/>
      <c r="AV1522" s="37"/>
      <c r="AW1522" s="37"/>
    </row>
    <row r="1523" spans="29:49" x14ac:dyDescent="0.25">
      <c r="AC1523" s="37"/>
      <c r="AD1523" s="37"/>
      <c r="AE1523" s="37"/>
      <c r="AF1523" s="37"/>
      <c r="AG1523" s="37"/>
      <c r="AH1523" s="37"/>
      <c r="AI1523" s="37"/>
      <c r="AJ1523" s="37"/>
      <c r="AK1523" s="37"/>
      <c r="AL1523" s="37"/>
      <c r="AM1523" s="37"/>
      <c r="AN1523" s="37"/>
      <c r="AO1523" s="37"/>
      <c r="AP1523" s="37"/>
      <c r="AQ1523" s="37"/>
      <c r="AR1523" s="37"/>
      <c r="AS1523" s="37"/>
      <c r="AT1523" s="37"/>
      <c r="AU1523" s="37"/>
      <c r="AV1523" s="37"/>
      <c r="AW1523" s="37"/>
    </row>
    <row r="1524" spans="29:49" x14ac:dyDescent="0.25">
      <c r="AC1524" s="37"/>
      <c r="AD1524" s="37"/>
      <c r="AE1524" s="37"/>
      <c r="AF1524" s="37"/>
      <c r="AG1524" s="37"/>
      <c r="AH1524" s="37"/>
      <c r="AI1524" s="37"/>
      <c r="AJ1524" s="37"/>
      <c r="AK1524" s="37"/>
      <c r="AL1524" s="37"/>
      <c r="AM1524" s="37"/>
      <c r="AN1524" s="37"/>
      <c r="AO1524" s="37"/>
      <c r="AP1524" s="37"/>
      <c r="AQ1524" s="37"/>
      <c r="AR1524" s="37"/>
      <c r="AS1524" s="37"/>
      <c r="AT1524" s="37"/>
      <c r="AU1524" s="37"/>
      <c r="AV1524" s="37"/>
      <c r="AW1524" s="37"/>
    </row>
    <row r="1525" spans="29:49" x14ac:dyDescent="0.25">
      <c r="AC1525" s="37"/>
      <c r="AD1525" s="37"/>
      <c r="AE1525" s="37"/>
      <c r="AF1525" s="37"/>
      <c r="AG1525" s="37"/>
      <c r="AH1525" s="37"/>
      <c r="AI1525" s="37"/>
      <c r="AJ1525" s="37"/>
      <c r="AK1525" s="37"/>
      <c r="AL1525" s="37"/>
      <c r="AM1525" s="37"/>
      <c r="AN1525" s="37"/>
      <c r="AO1525" s="37"/>
      <c r="AP1525" s="37"/>
      <c r="AQ1525" s="37"/>
      <c r="AR1525" s="37"/>
      <c r="AS1525" s="37"/>
      <c r="AT1525" s="37"/>
      <c r="AU1525" s="37"/>
      <c r="AV1525" s="37"/>
      <c r="AW1525" s="37"/>
    </row>
    <row r="1526" spans="29:49" x14ac:dyDescent="0.25">
      <c r="AC1526" s="37"/>
      <c r="AD1526" s="37"/>
      <c r="AE1526" s="37"/>
      <c r="AF1526" s="37"/>
      <c r="AG1526" s="37"/>
      <c r="AH1526" s="37"/>
      <c r="AI1526" s="37"/>
      <c r="AJ1526" s="37"/>
      <c r="AK1526" s="37"/>
      <c r="AL1526" s="37"/>
      <c r="AM1526" s="37"/>
      <c r="AN1526" s="37"/>
      <c r="AO1526" s="37"/>
      <c r="AP1526" s="37"/>
      <c r="AQ1526" s="37"/>
      <c r="AR1526" s="37"/>
      <c r="AS1526" s="37"/>
      <c r="AT1526" s="37"/>
      <c r="AU1526" s="37"/>
      <c r="AV1526" s="37"/>
      <c r="AW1526" s="37"/>
    </row>
    <row r="1527" spans="29:49" x14ac:dyDescent="0.25">
      <c r="AC1527" s="37"/>
      <c r="AD1527" s="37"/>
      <c r="AE1527" s="37"/>
      <c r="AF1527" s="37"/>
      <c r="AG1527" s="37"/>
      <c r="AH1527" s="37"/>
      <c r="AI1527" s="37"/>
      <c r="AJ1527" s="37"/>
      <c r="AK1527" s="37"/>
      <c r="AL1527" s="37"/>
      <c r="AM1527" s="37"/>
      <c r="AN1527" s="37"/>
      <c r="AO1527" s="37"/>
      <c r="AP1527" s="37"/>
      <c r="AQ1527" s="37"/>
      <c r="AR1527" s="37"/>
      <c r="AS1527" s="37"/>
      <c r="AT1527" s="37"/>
      <c r="AU1527" s="37"/>
      <c r="AV1527" s="37"/>
      <c r="AW1527" s="37"/>
    </row>
    <row r="1528" spans="29:49" x14ac:dyDescent="0.25">
      <c r="AC1528" s="37"/>
      <c r="AD1528" s="37"/>
      <c r="AE1528" s="37"/>
      <c r="AF1528" s="37"/>
      <c r="AG1528" s="37"/>
      <c r="AH1528" s="37"/>
      <c r="AI1528" s="37"/>
      <c r="AJ1528" s="37"/>
      <c r="AK1528" s="37"/>
      <c r="AL1528" s="37"/>
      <c r="AM1528" s="37"/>
      <c r="AN1528" s="37"/>
      <c r="AO1528" s="37"/>
      <c r="AP1528" s="37"/>
      <c r="AQ1528" s="37"/>
      <c r="AR1528" s="37"/>
      <c r="AS1528" s="37"/>
      <c r="AT1528" s="37"/>
      <c r="AU1528" s="37"/>
      <c r="AV1528" s="37"/>
      <c r="AW1528" s="37"/>
    </row>
    <row r="1529" spans="29:49" x14ac:dyDescent="0.25">
      <c r="AC1529" s="37"/>
      <c r="AD1529" s="37"/>
      <c r="AE1529" s="37"/>
      <c r="AF1529" s="37"/>
      <c r="AG1529" s="37"/>
      <c r="AH1529" s="37"/>
      <c r="AI1529" s="37"/>
      <c r="AJ1529" s="37"/>
      <c r="AK1529" s="37"/>
      <c r="AL1529" s="37"/>
      <c r="AM1529" s="37"/>
      <c r="AN1529" s="37"/>
      <c r="AO1529" s="37"/>
      <c r="AP1529" s="37"/>
      <c r="AQ1529" s="37"/>
      <c r="AR1529" s="37"/>
      <c r="AS1529" s="37"/>
      <c r="AT1529" s="37"/>
      <c r="AU1529" s="37"/>
      <c r="AV1529" s="37"/>
      <c r="AW1529" s="37"/>
    </row>
    <row r="1530" spans="29:49" x14ac:dyDescent="0.25">
      <c r="AC1530" s="37"/>
      <c r="AD1530" s="37"/>
      <c r="AE1530" s="37"/>
      <c r="AF1530" s="37"/>
      <c r="AG1530" s="37"/>
      <c r="AH1530" s="37"/>
      <c r="AI1530" s="37"/>
      <c r="AJ1530" s="37"/>
      <c r="AK1530" s="37"/>
      <c r="AL1530" s="37"/>
      <c r="AM1530" s="37"/>
      <c r="AN1530" s="37"/>
      <c r="AO1530" s="37"/>
      <c r="AP1530" s="37"/>
      <c r="AQ1530" s="37"/>
      <c r="AR1530" s="37"/>
      <c r="AS1530" s="37"/>
      <c r="AT1530" s="37"/>
      <c r="AU1530" s="37"/>
      <c r="AV1530" s="37"/>
      <c r="AW1530" s="37"/>
    </row>
    <row r="1531" spans="29:49" x14ac:dyDescent="0.25">
      <c r="AC1531" s="37"/>
      <c r="AD1531" s="37"/>
      <c r="AE1531" s="37"/>
      <c r="AF1531" s="37"/>
      <c r="AG1531" s="37"/>
      <c r="AH1531" s="37"/>
      <c r="AI1531" s="37"/>
      <c r="AJ1531" s="37"/>
      <c r="AK1531" s="37"/>
      <c r="AL1531" s="37"/>
      <c r="AM1531" s="37"/>
      <c r="AN1531" s="37"/>
      <c r="AO1531" s="37"/>
      <c r="AP1531" s="37"/>
      <c r="AQ1531" s="37"/>
      <c r="AR1531" s="37"/>
      <c r="AS1531" s="37"/>
      <c r="AT1531" s="37"/>
      <c r="AU1531" s="37"/>
      <c r="AV1531" s="37"/>
      <c r="AW1531" s="37"/>
    </row>
    <row r="1532" spans="29:49" x14ac:dyDescent="0.25">
      <c r="AC1532" s="37"/>
      <c r="AD1532" s="37"/>
      <c r="AE1532" s="37"/>
      <c r="AF1532" s="37"/>
      <c r="AG1532" s="37"/>
      <c r="AH1532" s="37"/>
      <c r="AI1532" s="37"/>
      <c r="AJ1532" s="37"/>
      <c r="AK1532" s="37"/>
      <c r="AL1532" s="37"/>
      <c r="AM1532" s="37"/>
      <c r="AN1532" s="37"/>
      <c r="AO1532" s="37"/>
      <c r="AP1532" s="37"/>
      <c r="AQ1532" s="37"/>
      <c r="AR1532" s="37"/>
      <c r="AS1532" s="37"/>
      <c r="AT1532" s="37"/>
      <c r="AU1532" s="37"/>
      <c r="AV1532" s="37"/>
      <c r="AW1532" s="37"/>
    </row>
    <row r="1533" spans="29:49" x14ac:dyDescent="0.25">
      <c r="AC1533" s="37"/>
      <c r="AD1533" s="37"/>
      <c r="AE1533" s="37"/>
      <c r="AF1533" s="37"/>
      <c r="AG1533" s="37"/>
      <c r="AH1533" s="37"/>
      <c r="AI1533" s="37"/>
      <c r="AJ1533" s="37"/>
      <c r="AK1533" s="37"/>
      <c r="AL1533" s="37"/>
      <c r="AM1533" s="37"/>
      <c r="AN1533" s="37"/>
      <c r="AO1533" s="37"/>
      <c r="AP1533" s="37"/>
      <c r="AQ1533" s="37"/>
      <c r="AR1533" s="37"/>
      <c r="AS1533" s="37"/>
      <c r="AT1533" s="37"/>
      <c r="AU1533" s="37"/>
      <c r="AV1533" s="37"/>
      <c r="AW1533" s="37"/>
    </row>
    <row r="1534" spans="29:49" x14ac:dyDescent="0.25">
      <c r="AC1534" s="37"/>
      <c r="AD1534" s="37"/>
      <c r="AE1534" s="37"/>
      <c r="AF1534" s="37"/>
      <c r="AG1534" s="37"/>
      <c r="AH1534" s="37"/>
      <c r="AI1534" s="37"/>
      <c r="AJ1534" s="37"/>
      <c r="AK1534" s="37"/>
      <c r="AL1534" s="37"/>
      <c r="AM1534" s="37"/>
      <c r="AN1534" s="37"/>
      <c r="AO1534" s="37"/>
      <c r="AP1534" s="37"/>
      <c r="AQ1534" s="37"/>
      <c r="AR1534" s="37"/>
      <c r="AS1534" s="37"/>
      <c r="AT1534" s="37"/>
      <c r="AU1534" s="37"/>
      <c r="AV1534" s="37"/>
      <c r="AW1534" s="37"/>
    </row>
    <row r="1535" spans="29:49" x14ac:dyDescent="0.25">
      <c r="AC1535" s="37"/>
      <c r="AD1535" s="37"/>
      <c r="AE1535" s="37"/>
      <c r="AF1535" s="37"/>
      <c r="AG1535" s="37"/>
      <c r="AH1535" s="37"/>
      <c r="AI1535" s="37"/>
      <c r="AJ1535" s="37"/>
      <c r="AK1535" s="37"/>
      <c r="AL1535" s="37"/>
      <c r="AM1535" s="37"/>
      <c r="AN1535" s="37"/>
      <c r="AO1535" s="37"/>
      <c r="AP1535" s="37"/>
      <c r="AQ1535" s="37"/>
      <c r="AR1535" s="37"/>
      <c r="AS1535" s="37"/>
      <c r="AT1535" s="37"/>
      <c r="AU1535" s="37"/>
      <c r="AV1535" s="37"/>
      <c r="AW1535" s="37"/>
    </row>
    <row r="1536" spans="29:49" x14ac:dyDescent="0.25">
      <c r="AC1536" s="37"/>
      <c r="AD1536" s="37"/>
      <c r="AE1536" s="37"/>
      <c r="AF1536" s="37"/>
      <c r="AG1536" s="37"/>
      <c r="AH1536" s="37"/>
      <c r="AI1536" s="37"/>
      <c r="AJ1536" s="37"/>
      <c r="AK1536" s="37"/>
      <c r="AL1536" s="37"/>
      <c r="AM1536" s="37"/>
      <c r="AN1536" s="37"/>
      <c r="AO1536" s="37"/>
      <c r="AP1536" s="37"/>
      <c r="AQ1536" s="37"/>
      <c r="AR1536" s="37"/>
      <c r="AS1536" s="37"/>
      <c r="AT1536" s="37"/>
      <c r="AU1536" s="37"/>
      <c r="AV1536" s="37"/>
      <c r="AW1536" s="37"/>
    </row>
    <row r="1537" spans="29:49" x14ac:dyDescent="0.25">
      <c r="AC1537" s="37"/>
      <c r="AD1537" s="37"/>
      <c r="AE1537" s="37"/>
      <c r="AF1537" s="37"/>
      <c r="AG1537" s="37"/>
      <c r="AH1537" s="37"/>
      <c r="AI1537" s="37"/>
      <c r="AJ1537" s="37"/>
      <c r="AK1537" s="37"/>
      <c r="AL1537" s="37"/>
      <c r="AM1537" s="37"/>
      <c r="AN1537" s="37"/>
      <c r="AO1537" s="37"/>
      <c r="AP1537" s="37"/>
      <c r="AQ1537" s="37"/>
      <c r="AR1537" s="37"/>
      <c r="AS1537" s="37"/>
      <c r="AT1537" s="37"/>
      <c r="AU1537" s="37"/>
      <c r="AV1537" s="37"/>
      <c r="AW1537" s="37"/>
    </row>
    <row r="1538" spans="29:49" x14ac:dyDescent="0.25">
      <c r="AC1538" s="37"/>
      <c r="AD1538" s="37"/>
      <c r="AE1538" s="37"/>
      <c r="AF1538" s="37"/>
      <c r="AG1538" s="37"/>
      <c r="AH1538" s="37"/>
      <c r="AI1538" s="37"/>
      <c r="AJ1538" s="37"/>
      <c r="AK1538" s="37"/>
      <c r="AL1538" s="37"/>
      <c r="AM1538" s="37"/>
      <c r="AN1538" s="37"/>
      <c r="AO1538" s="37"/>
      <c r="AP1538" s="37"/>
      <c r="AQ1538" s="37"/>
      <c r="AR1538" s="37"/>
      <c r="AS1538" s="37"/>
      <c r="AT1538" s="37"/>
      <c r="AU1538" s="37"/>
      <c r="AV1538" s="37"/>
      <c r="AW1538" s="37"/>
    </row>
    <row r="1539" spans="29:49" x14ac:dyDescent="0.25">
      <c r="AC1539" s="37"/>
      <c r="AD1539" s="37"/>
      <c r="AE1539" s="37"/>
      <c r="AF1539" s="37"/>
      <c r="AG1539" s="37"/>
      <c r="AH1539" s="37"/>
      <c r="AI1539" s="37"/>
      <c r="AJ1539" s="37"/>
      <c r="AK1539" s="37"/>
      <c r="AL1539" s="37"/>
      <c r="AM1539" s="37"/>
      <c r="AN1539" s="37"/>
      <c r="AO1539" s="37"/>
      <c r="AP1539" s="37"/>
      <c r="AQ1539" s="37"/>
      <c r="AR1539" s="37"/>
      <c r="AS1539" s="37"/>
      <c r="AT1539" s="37"/>
      <c r="AU1539" s="37"/>
      <c r="AV1539" s="37"/>
      <c r="AW1539" s="37"/>
    </row>
    <row r="1540" spans="29:49" x14ac:dyDescent="0.25">
      <c r="AC1540" s="37"/>
      <c r="AD1540" s="37"/>
      <c r="AE1540" s="37"/>
      <c r="AF1540" s="37"/>
      <c r="AG1540" s="37"/>
      <c r="AH1540" s="37"/>
      <c r="AI1540" s="37"/>
      <c r="AJ1540" s="37"/>
      <c r="AK1540" s="37"/>
      <c r="AL1540" s="37"/>
      <c r="AM1540" s="37"/>
      <c r="AN1540" s="37"/>
      <c r="AO1540" s="37"/>
      <c r="AP1540" s="37"/>
      <c r="AQ1540" s="37"/>
      <c r="AR1540" s="37"/>
      <c r="AS1540" s="37"/>
      <c r="AT1540" s="37"/>
      <c r="AU1540" s="37"/>
      <c r="AV1540" s="37"/>
      <c r="AW1540" s="37"/>
    </row>
    <row r="1541" spans="29:49" x14ac:dyDescent="0.25">
      <c r="AC1541" s="37"/>
      <c r="AD1541" s="37"/>
      <c r="AE1541" s="37"/>
      <c r="AF1541" s="37"/>
      <c r="AG1541" s="37"/>
      <c r="AH1541" s="37"/>
      <c r="AI1541" s="37"/>
      <c r="AJ1541" s="37"/>
      <c r="AK1541" s="37"/>
      <c r="AL1541" s="37"/>
      <c r="AM1541" s="37"/>
      <c r="AN1541" s="37"/>
      <c r="AO1541" s="37"/>
      <c r="AP1541" s="37"/>
      <c r="AQ1541" s="37"/>
      <c r="AR1541" s="37"/>
      <c r="AS1541" s="37"/>
      <c r="AT1541" s="37"/>
      <c r="AU1541" s="37"/>
      <c r="AV1541" s="37"/>
      <c r="AW1541" s="37"/>
    </row>
    <row r="1542" spans="29:49" x14ac:dyDescent="0.25">
      <c r="AC1542" s="37"/>
      <c r="AD1542" s="37"/>
      <c r="AE1542" s="37"/>
      <c r="AF1542" s="37"/>
      <c r="AG1542" s="37"/>
      <c r="AH1542" s="37"/>
      <c r="AI1542" s="37"/>
      <c r="AJ1542" s="37"/>
      <c r="AK1542" s="37"/>
      <c r="AL1542" s="37"/>
      <c r="AM1542" s="37"/>
      <c r="AN1542" s="37"/>
      <c r="AO1542" s="37"/>
      <c r="AP1542" s="37"/>
      <c r="AQ1542" s="37"/>
      <c r="AR1542" s="37"/>
      <c r="AS1542" s="37"/>
      <c r="AT1542" s="37"/>
      <c r="AU1542" s="37"/>
      <c r="AV1542" s="37"/>
      <c r="AW1542" s="37"/>
    </row>
    <row r="1543" spans="29:49" x14ac:dyDescent="0.25">
      <c r="AC1543" s="37"/>
      <c r="AD1543" s="37"/>
      <c r="AE1543" s="37"/>
      <c r="AF1543" s="37"/>
      <c r="AG1543" s="37"/>
      <c r="AH1543" s="37"/>
      <c r="AI1543" s="37"/>
      <c r="AJ1543" s="37"/>
      <c r="AK1543" s="37"/>
      <c r="AL1543" s="37"/>
      <c r="AM1543" s="37"/>
      <c r="AN1543" s="37"/>
      <c r="AO1543" s="37"/>
      <c r="AP1543" s="37"/>
      <c r="AQ1543" s="37"/>
      <c r="AR1543" s="37"/>
      <c r="AS1543" s="37"/>
      <c r="AT1543" s="37"/>
      <c r="AU1543" s="37"/>
      <c r="AV1543" s="37"/>
      <c r="AW1543" s="37"/>
    </row>
    <row r="1544" spans="29:49" x14ac:dyDescent="0.25">
      <c r="AC1544" s="37"/>
      <c r="AD1544" s="37"/>
      <c r="AE1544" s="37"/>
      <c r="AF1544" s="37"/>
      <c r="AG1544" s="37"/>
      <c r="AH1544" s="37"/>
      <c r="AI1544" s="37"/>
      <c r="AJ1544" s="37"/>
      <c r="AK1544" s="37"/>
      <c r="AL1544" s="37"/>
      <c r="AM1544" s="37"/>
      <c r="AN1544" s="37"/>
      <c r="AO1544" s="37"/>
      <c r="AP1544" s="37"/>
      <c r="AQ1544" s="37"/>
      <c r="AR1544" s="37"/>
      <c r="AS1544" s="37"/>
      <c r="AT1544" s="37"/>
      <c r="AU1544" s="37"/>
      <c r="AV1544" s="37"/>
      <c r="AW1544" s="37"/>
    </row>
    <row r="1545" spans="29:49" x14ac:dyDescent="0.25">
      <c r="AC1545" s="37"/>
      <c r="AD1545" s="37"/>
      <c r="AE1545" s="37"/>
      <c r="AF1545" s="37"/>
      <c r="AG1545" s="37"/>
      <c r="AH1545" s="37"/>
      <c r="AI1545" s="37"/>
      <c r="AJ1545" s="37"/>
      <c r="AK1545" s="37"/>
      <c r="AL1545" s="37"/>
      <c r="AM1545" s="37"/>
      <c r="AN1545" s="37"/>
      <c r="AO1545" s="37"/>
      <c r="AP1545" s="37"/>
      <c r="AQ1545" s="37"/>
      <c r="AR1545" s="37"/>
      <c r="AS1545" s="37"/>
      <c r="AT1545" s="37"/>
      <c r="AU1545" s="37"/>
      <c r="AV1545" s="37"/>
      <c r="AW1545" s="37"/>
    </row>
    <row r="1546" spans="29:49" x14ac:dyDescent="0.25">
      <c r="AC1546" s="37"/>
      <c r="AD1546" s="37"/>
      <c r="AE1546" s="37"/>
      <c r="AF1546" s="37"/>
      <c r="AG1546" s="37"/>
      <c r="AH1546" s="37"/>
      <c r="AI1546" s="37"/>
      <c r="AJ1546" s="37"/>
      <c r="AK1546" s="37"/>
      <c r="AL1546" s="37"/>
      <c r="AM1546" s="37"/>
      <c r="AN1546" s="37"/>
      <c r="AO1546" s="37"/>
      <c r="AP1546" s="37"/>
      <c r="AQ1546" s="37"/>
      <c r="AR1546" s="37"/>
      <c r="AS1546" s="37"/>
      <c r="AT1546" s="37"/>
      <c r="AU1546" s="37"/>
      <c r="AV1546" s="37"/>
      <c r="AW1546" s="37"/>
    </row>
    <row r="1547" spans="29:49" x14ac:dyDescent="0.25">
      <c r="AC1547" s="37"/>
      <c r="AD1547" s="37"/>
      <c r="AE1547" s="37"/>
      <c r="AF1547" s="37"/>
      <c r="AG1547" s="37"/>
      <c r="AH1547" s="37"/>
      <c r="AI1547" s="37"/>
      <c r="AJ1547" s="37"/>
      <c r="AK1547" s="37"/>
      <c r="AL1547" s="37"/>
      <c r="AM1547" s="37"/>
      <c r="AN1547" s="37"/>
      <c r="AO1547" s="37"/>
      <c r="AP1547" s="37"/>
      <c r="AQ1547" s="37"/>
      <c r="AR1547" s="37"/>
      <c r="AS1547" s="37"/>
      <c r="AT1547" s="37"/>
      <c r="AU1547" s="37"/>
      <c r="AV1547" s="37"/>
      <c r="AW1547" s="37"/>
    </row>
    <row r="1548" spans="29:49" x14ac:dyDescent="0.25">
      <c r="AC1548" s="37"/>
      <c r="AD1548" s="37"/>
      <c r="AE1548" s="37"/>
      <c r="AF1548" s="37"/>
      <c r="AG1548" s="37"/>
      <c r="AH1548" s="37"/>
      <c r="AI1548" s="37"/>
      <c r="AJ1548" s="37"/>
      <c r="AK1548" s="37"/>
      <c r="AL1548" s="37"/>
      <c r="AM1548" s="37"/>
      <c r="AN1548" s="37"/>
      <c r="AO1548" s="37"/>
      <c r="AP1548" s="37"/>
      <c r="AQ1548" s="37"/>
      <c r="AR1548" s="37"/>
      <c r="AS1548" s="37"/>
      <c r="AT1548" s="37"/>
      <c r="AU1548" s="37"/>
      <c r="AV1548" s="37"/>
      <c r="AW1548" s="37"/>
    </row>
    <row r="1549" spans="29:49" x14ac:dyDescent="0.25">
      <c r="AC1549" s="37"/>
      <c r="AD1549" s="37"/>
      <c r="AE1549" s="37"/>
      <c r="AF1549" s="37"/>
      <c r="AG1549" s="37"/>
      <c r="AH1549" s="37"/>
      <c r="AI1549" s="37"/>
      <c r="AJ1549" s="37"/>
      <c r="AK1549" s="37"/>
      <c r="AL1549" s="37"/>
      <c r="AM1549" s="37"/>
      <c r="AN1549" s="37"/>
      <c r="AO1549" s="37"/>
      <c r="AP1549" s="37"/>
      <c r="AQ1549" s="37"/>
      <c r="AR1549" s="37"/>
      <c r="AS1549" s="37"/>
      <c r="AT1549" s="37"/>
      <c r="AU1549" s="37"/>
      <c r="AV1549" s="37"/>
      <c r="AW1549" s="37"/>
    </row>
    <row r="1550" spans="29:49" x14ac:dyDescent="0.25">
      <c r="AC1550" s="37"/>
      <c r="AD1550" s="37"/>
      <c r="AE1550" s="37"/>
      <c r="AF1550" s="37"/>
      <c r="AG1550" s="37"/>
      <c r="AH1550" s="37"/>
      <c r="AI1550" s="37"/>
      <c r="AJ1550" s="37"/>
      <c r="AK1550" s="37"/>
      <c r="AL1550" s="37"/>
      <c r="AM1550" s="37"/>
      <c r="AN1550" s="37"/>
      <c r="AO1550" s="37"/>
      <c r="AP1550" s="37"/>
      <c r="AQ1550" s="37"/>
      <c r="AR1550" s="37"/>
      <c r="AS1550" s="37"/>
      <c r="AT1550" s="37"/>
      <c r="AU1550" s="37"/>
      <c r="AV1550" s="37"/>
      <c r="AW1550" s="37"/>
    </row>
    <row r="1551" spans="29:49" x14ac:dyDescent="0.25">
      <c r="AC1551" s="37"/>
      <c r="AD1551" s="37"/>
      <c r="AE1551" s="37"/>
      <c r="AF1551" s="37"/>
      <c r="AG1551" s="37"/>
      <c r="AH1551" s="37"/>
      <c r="AI1551" s="37"/>
      <c r="AJ1551" s="37"/>
      <c r="AK1551" s="37"/>
      <c r="AL1551" s="37"/>
      <c r="AM1551" s="37"/>
      <c r="AN1551" s="37"/>
      <c r="AO1551" s="37"/>
      <c r="AP1551" s="37"/>
      <c r="AQ1551" s="37"/>
      <c r="AR1551" s="37"/>
      <c r="AS1551" s="37"/>
      <c r="AT1551" s="37"/>
      <c r="AU1551" s="37"/>
      <c r="AV1551" s="37"/>
      <c r="AW1551" s="37"/>
    </row>
    <row r="1552" spans="29:49" x14ac:dyDescent="0.25">
      <c r="AC1552" s="37"/>
      <c r="AD1552" s="37"/>
      <c r="AE1552" s="37"/>
      <c r="AF1552" s="37"/>
      <c r="AG1552" s="37"/>
      <c r="AH1552" s="37"/>
      <c r="AI1552" s="37"/>
      <c r="AJ1552" s="37"/>
      <c r="AK1552" s="37"/>
      <c r="AL1552" s="37"/>
      <c r="AM1552" s="37"/>
      <c r="AN1552" s="37"/>
      <c r="AO1552" s="37"/>
      <c r="AP1552" s="37"/>
      <c r="AQ1552" s="37"/>
      <c r="AR1552" s="37"/>
      <c r="AS1552" s="37"/>
      <c r="AT1552" s="37"/>
      <c r="AU1552" s="37"/>
      <c r="AV1552" s="37"/>
      <c r="AW1552" s="37"/>
    </row>
    <row r="1553" spans="29:49" x14ac:dyDescent="0.25">
      <c r="AC1553" s="37"/>
      <c r="AD1553" s="37"/>
      <c r="AE1553" s="37"/>
      <c r="AF1553" s="37"/>
      <c r="AG1553" s="37"/>
      <c r="AH1553" s="37"/>
      <c r="AI1553" s="37"/>
      <c r="AJ1553" s="37"/>
      <c r="AK1553" s="37"/>
      <c r="AL1553" s="37"/>
      <c r="AM1553" s="37"/>
      <c r="AN1553" s="37"/>
      <c r="AO1553" s="37"/>
      <c r="AP1553" s="37"/>
      <c r="AQ1553" s="37"/>
      <c r="AR1553" s="37"/>
      <c r="AS1553" s="37"/>
      <c r="AT1553" s="37"/>
      <c r="AU1553" s="37"/>
      <c r="AV1553" s="37"/>
      <c r="AW1553" s="37"/>
    </row>
    <row r="1554" spans="29:49" x14ac:dyDescent="0.25">
      <c r="AC1554" s="37"/>
      <c r="AD1554" s="37"/>
      <c r="AE1554" s="37"/>
      <c r="AF1554" s="37"/>
      <c r="AG1554" s="37"/>
      <c r="AH1554" s="37"/>
      <c r="AI1554" s="37"/>
      <c r="AJ1554" s="37"/>
      <c r="AK1554" s="37"/>
      <c r="AL1554" s="37"/>
      <c r="AM1554" s="37"/>
      <c r="AN1554" s="37"/>
      <c r="AO1554" s="37"/>
      <c r="AP1554" s="37"/>
      <c r="AQ1554" s="37"/>
      <c r="AR1554" s="37"/>
      <c r="AS1554" s="37"/>
      <c r="AT1554" s="37"/>
      <c r="AU1554" s="37"/>
      <c r="AV1554" s="37"/>
      <c r="AW1554" s="37"/>
    </row>
    <row r="1555" spans="29:49" x14ac:dyDescent="0.25">
      <c r="AC1555" s="37"/>
      <c r="AD1555" s="37"/>
      <c r="AE1555" s="37"/>
      <c r="AF1555" s="37"/>
      <c r="AG1555" s="37"/>
      <c r="AH1555" s="37"/>
      <c r="AI1555" s="37"/>
      <c r="AJ1555" s="37"/>
      <c r="AK1555" s="37"/>
      <c r="AL1555" s="37"/>
      <c r="AM1555" s="37"/>
      <c r="AN1555" s="37"/>
      <c r="AO1555" s="37"/>
      <c r="AP1555" s="37"/>
      <c r="AQ1555" s="37"/>
      <c r="AR1555" s="37"/>
      <c r="AS1555" s="37"/>
      <c r="AT1555" s="37"/>
      <c r="AU1555" s="37"/>
      <c r="AV1555" s="37"/>
      <c r="AW1555" s="37"/>
    </row>
    <row r="1556" spans="29:49" x14ac:dyDescent="0.25">
      <c r="AC1556" s="37"/>
      <c r="AD1556" s="37"/>
      <c r="AE1556" s="37"/>
      <c r="AF1556" s="37"/>
      <c r="AG1556" s="37"/>
      <c r="AH1556" s="37"/>
      <c r="AI1556" s="37"/>
      <c r="AJ1556" s="37"/>
      <c r="AK1556" s="37"/>
      <c r="AL1556" s="37"/>
      <c r="AM1556" s="37"/>
      <c r="AN1556" s="37"/>
      <c r="AO1556" s="37"/>
      <c r="AP1556" s="37"/>
      <c r="AQ1556" s="37"/>
      <c r="AR1556" s="37"/>
      <c r="AS1556" s="37"/>
      <c r="AT1556" s="37"/>
      <c r="AU1556" s="37"/>
      <c r="AV1556" s="37"/>
      <c r="AW1556" s="37"/>
    </row>
    <row r="1557" spans="29:49" x14ac:dyDescent="0.25">
      <c r="AC1557" s="37"/>
      <c r="AD1557" s="37"/>
      <c r="AE1557" s="37"/>
      <c r="AF1557" s="37"/>
      <c r="AG1557" s="37"/>
      <c r="AH1557" s="37"/>
      <c r="AI1557" s="37"/>
      <c r="AJ1557" s="37"/>
      <c r="AK1557" s="37"/>
      <c r="AL1557" s="37"/>
      <c r="AM1557" s="37"/>
      <c r="AN1557" s="37"/>
      <c r="AO1557" s="37"/>
      <c r="AP1557" s="37"/>
      <c r="AQ1557" s="37"/>
      <c r="AR1557" s="37"/>
      <c r="AS1557" s="37"/>
      <c r="AT1557" s="37"/>
      <c r="AU1557" s="37"/>
      <c r="AV1557" s="37"/>
      <c r="AW1557" s="37"/>
    </row>
    <row r="1558" spans="29:49" x14ac:dyDescent="0.25">
      <c r="AC1558" s="37"/>
      <c r="AD1558" s="37"/>
      <c r="AE1558" s="37"/>
      <c r="AF1558" s="37"/>
      <c r="AG1558" s="37"/>
      <c r="AH1558" s="37"/>
      <c r="AI1558" s="37"/>
      <c r="AJ1558" s="37"/>
      <c r="AK1558" s="37"/>
      <c r="AL1558" s="37"/>
      <c r="AM1558" s="37"/>
      <c r="AN1558" s="37"/>
      <c r="AO1558" s="37"/>
      <c r="AP1558" s="37"/>
      <c r="AQ1558" s="37"/>
      <c r="AR1558" s="37"/>
      <c r="AS1558" s="37"/>
      <c r="AT1558" s="37"/>
      <c r="AU1558" s="37"/>
      <c r="AV1558" s="37"/>
      <c r="AW1558" s="37"/>
    </row>
    <row r="1559" spans="29:49" x14ac:dyDescent="0.25">
      <c r="AC1559" s="37"/>
      <c r="AD1559" s="37"/>
      <c r="AE1559" s="37"/>
      <c r="AF1559" s="37"/>
      <c r="AG1559" s="37"/>
      <c r="AH1559" s="37"/>
      <c r="AI1559" s="37"/>
      <c r="AJ1559" s="37"/>
      <c r="AK1559" s="37"/>
      <c r="AL1559" s="37"/>
      <c r="AM1559" s="37"/>
      <c r="AN1559" s="37"/>
      <c r="AO1559" s="37"/>
      <c r="AP1559" s="37"/>
      <c r="AQ1559" s="37"/>
      <c r="AR1559" s="37"/>
      <c r="AS1559" s="37"/>
      <c r="AT1559" s="37"/>
      <c r="AU1559" s="37"/>
      <c r="AV1559" s="37"/>
      <c r="AW1559" s="37"/>
    </row>
    <row r="1560" spans="29:49" x14ac:dyDescent="0.25">
      <c r="AC1560" s="37"/>
      <c r="AD1560" s="37"/>
      <c r="AE1560" s="37"/>
      <c r="AF1560" s="37"/>
      <c r="AG1560" s="37"/>
      <c r="AH1560" s="37"/>
      <c r="AI1560" s="37"/>
      <c r="AJ1560" s="37"/>
      <c r="AK1560" s="37"/>
      <c r="AL1560" s="37"/>
      <c r="AM1560" s="37"/>
      <c r="AN1560" s="37"/>
      <c r="AO1560" s="37"/>
      <c r="AP1560" s="37"/>
      <c r="AQ1560" s="37"/>
      <c r="AR1560" s="37"/>
      <c r="AS1560" s="37"/>
      <c r="AT1560" s="37"/>
      <c r="AU1560" s="37"/>
      <c r="AV1560" s="37"/>
      <c r="AW1560" s="37"/>
    </row>
    <row r="1561" spans="29:49" x14ac:dyDescent="0.25">
      <c r="AC1561" s="37"/>
      <c r="AD1561" s="37"/>
      <c r="AE1561" s="37"/>
      <c r="AF1561" s="37"/>
      <c r="AG1561" s="37"/>
      <c r="AH1561" s="37"/>
      <c r="AI1561" s="37"/>
      <c r="AJ1561" s="37"/>
      <c r="AK1561" s="37"/>
      <c r="AL1561" s="37"/>
      <c r="AM1561" s="37"/>
      <c r="AN1561" s="37"/>
      <c r="AO1561" s="37"/>
      <c r="AP1561" s="37"/>
      <c r="AQ1561" s="37"/>
      <c r="AR1561" s="37"/>
      <c r="AS1561" s="37"/>
      <c r="AT1561" s="37"/>
      <c r="AU1561" s="37"/>
      <c r="AV1561" s="37"/>
      <c r="AW1561" s="37"/>
    </row>
    <row r="1562" spans="29:49" x14ac:dyDescent="0.25">
      <c r="AC1562" s="37"/>
      <c r="AD1562" s="37"/>
      <c r="AE1562" s="37"/>
      <c r="AF1562" s="37"/>
      <c r="AG1562" s="37"/>
      <c r="AH1562" s="37"/>
      <c r="AI1562" s="37"/>
      <c r="AJ1562" s="37"/>
      <c r="AK1562" s="37"/>
      <c r="AL1562" s="37"/>
      <c r="AM1562" s="37"/>
      <c r="AN1562" s="37"/>
      <c r="AO1562" s="37"/>
      <c r="AP1562" s="37"/>
      <c r="AQ1562" s="37"/>
      <c r="AR1562" s="37"/>
      <c r="AS1562" s="37"/>
      <c r="AT1562" s="37"/>
      <c r="AU1562" s="37"/>
      <c r="AV1562" s="37"/>
      <c r="AW1562" s="37"/>
    </row>
    <row r="1563" spans="29:49" x14ac:dyDescent="0.25">
      <c r="AC1563" s="37"/>
      <c r="AD1563" s="37"/>
      <c r="AE1563" s="37"/>
      <c r="AF1563" s="37"/>
      <c r="AG1563" s="37"/>
      <c r="AH1563" s="37"/>
      <c r="AI1563" s="37"/>
      <c r="AJ1563" s="37"/>
      <c r="AK1563" s="37"/>
      <c r="AL1563" s="37"/>
      <c r="AM1563" s="37"/>
      <c r="AN1563" s="37"/>
      <c r="AO1563" s="37"/>
      <c r="AP1563" s="37"/>
      <c r="AQ1563" s="37"/>
      <c r="AR1563" s="37"/>
      <c r="AS1563" s="37"/>
      <c r="AT1563" s="37"/>
      <c r="AU1563" s="37"/>
      <c r="AV1563" s="37"/>
      <c r="AW1563" s="37"/>
    </row>
    <row r="1564" spans="29:49" x14ac:dyDescent="0.25">
      <c r="AC1564" s="37"/>
      <c r="AD1564" s="37"/>
      <c r="AE1564" s="37"/>
      <c r="AF1564" s="37"/>
      <c r="AG1564" s="37"/>
      <c r="AH1564" s="37"/>
      <c r="AI1564" s="37"/>
      <c r="AJ1564" s="37"/>
      <c r="AK1564" s="37"/>
      <c r="AL1564" s="37"/>
      <c r="AM1564" s="37"/>
      <c r="AN1564" s="37"/>
      <c r="AO1564" s="37"/>
      <c r="AP1564" s="37"/>
      <c r="AQ1564" s="37"/>
      <c r="AR1564" s="37"/>
      <c r="AS1564" s="37"/>
      <c r="AT1564" s="37"/>
      <c r="AU1564" s="37"/>
      <c r="AV1564" s="37"/>
      <c r="AW1564" s="37"/>
    </row>
    <row r="1565" spans="29:49" x14ac:dyDescent="0.25">
      <c r="AC1565" s="37"/>
      <c r="AD1565" s="37"/>
      <c r="AE1565" s="37"/>
      <c r="AF1565" s="37"/>
      <c r="AG1565" s="37"/>
      <c r="AH1565" s="37"/>
      <c r="AI1565" s="37"/>
      <c r="AJ1565" s="37"/>
      <c r="AK1565" s="37"/>
      <c r="AL1565" s="37"/>
      <c r="AM1565" s="37"/>
      <c r="AN1565" s="37"/>
      <c r="AO1565" s="37"/>
      <c r="AP1565" s="37"/>
      <c r="AQ1565" s="37"/>
      <c r="AR1565" s="37"/>
      <c r="AS1565" s="37"/>
      <c r="AT1565" s="37"/>
      <c r="AU1565" s="37"/>
      <c r="AV1565" s="37"/>
      <c r="AW1565" s="37"/>
    </row>
    <row r="1566" spans="29:49" x14ac:dyDescent="0.25">
      <c r="AC1566" s="37"/>
      <c r="AD1566" s="37"/>
      <c r="AE1566" s="37"/>
      <c r="AF1566" s="37"/>
      <c r="AG1566" s="37"/>
      <c r="AH1566" s="37"/>
      <c r="AI1566" s="37"/>
      <c r="AJ1566" s="37"/>
      <c r="AK1566" s="37"/>
      <c r="AL1566" s="37"/>
      <c r="AM1566" s="37"/>
      <c r="AN1566" s="37"/>
      <c r="AO1566" s="37"/>
      <c r="AP1566" s="37"/>
      <c r="AQ1566" s="37"/>
      <c r="AR1566" s="37"/>
      <c r="AS1566" s="37"/>
      <c r="AT1566" s="37"/>
      <c r="AU1566" s="37"/>
      <c r="AV1566" s="37"/>
      <c r="AW1566" s="37"/>
    </row>
    <row r="1567" spans="29:49" x14ac:dyDescent="0.25">
      <c r="AC1567" s="37"/>
      <c r="AD1567" s="37"/>
      <c r="AE1567" s="37"/>
      <c r="AF1567" s="37"/>
      <c r="AG1567" s="37"/>
      <c r="AH1567" s="37"/>
      <c r="AI1567" s="37"/>
      <c r="AJ1567" s="37"/>
      <c r="AK1567" s="37"/>
      <c r="AL1567" s="37"/>
      <c r="AM1567" s="37"/>
      <c r="AN1567" s="37"/>
      <c r="AO1567" s="37"/>
      <c r="AP1567" s="37"/>
      <c r="AQ1567" s="37"/>
      <c r="AR1567" s="37"/>
      <c r="AS1567" s="37"/>
      <c r="AT1567" s="37"/>
      <c r="AU1567" s="37"/>
      <c r="AV1567" s="37"/>
      <c r="AW1567" s="37"/>
    </row>
    <row r="1568" spans="29:49" x14ac:dyDescent="0.25">
      <c r="AC1568" s="37"/>
      <c r="AD1568" s="37"/>
      <c r="AE1568" s="37"/>
      <c r="AF1568" s="37"/>
      <c r="AG1568" s="37"/>
      <c r="AH1568" s="37"/>
      <c r="AI1568" s="37"/>
      <c r="AJ1568" s="37"/>
      <c r="AK1568" s="37"/>
      <c r="AL1568" s="37"/>
      <c r="AM1568" s="37"/>
      <c r="AN1568" s="37"/>
      <c r="AO1568" s="37"/>
      <c r="AP1568" s="37"/>
      <c r="AQ1568" s="37"/>
      <c r="AR1568" s="37"/>
      <c r="AS1568" s="37"/>
      <c r="AT1568" s="37"/>
      <c r="AU1568" s="37"/>
      <c r="AV1568" s="37"/>
      <c r="AW1568" s="37"/>
    </row>
    <row r="1569" spans="29:49" x14ac:dyDescent="0.25">
      <c r="AC1569" s="37"/>
      <c r="AD1569" s="37"/>
      <c r="AE1569" s="37"/>
      <c r="AF1569" s="37"/>
      <c r="AG1569" s="37"/>
      <c r="AH1569" s="37"/>
      <c r="AI1569" s="37"/>
      <c r="AJ1569" s="37"/>
      <c r="AK1569" s="37"/>
      <c r="AL1569" s="37"/>
      <c r="AM1569" s="37"/>
      <c r="AN1569" s="37"/>
      <c r="AO1569" s="37"/>
      <c r="AP1569" s="37"/>
      <c r="AQ1569" s="37"/>
      <c r="AR1569" s="37"/>
      <c r="AS1569" s="37"/>
      <c r="AT1569" s="37"/>
      <c r="AU1569" s="37"/>
      <c r="AV1569" s="37"/>
      <c r="AW1569" s="37"/>
    </row>
    <row r="1570" spans="29:49" x14ac:dyDescent="0.25">
      <c r="AC1570" s="37"/>
      <c r="AD1570" s="37"/>
      <c r="AE1570" s="37"/>
      <c r="AF1570" s="37"/>
      <c r="AG1570" s="37"/>
      <c r="AH1570" s="37"/>
      <c r="AI1570" s="37"/>
      <c r="AJ1570" s="37"/>
      <c r="AK1570" s="37"/>
      <c r="AL1570" s="37"/>
      <c r="AM1570" s="37"/>
      <c r="AN1570" s="37"/>
      <c r="AO1570" s="37"/>
      <c r="AP1570" s="37"/>
      <c r="AQ1570" s="37"/>
      <c r="AR1570" s="37"/>
      <c r="AS1570" s="37"/>
      <c r="AT1570" s="37"/>
      <c r="AU1570" s="37"/>
      <c r="AV1570" s="37"/>
      <c r="AW1570" s="37"/>
    </row>
    <row r="1571" spans="29:49" x14ac:dyDescent="0.25">
      <c r="AC1571" s="37"/>
      <c r="AD1571" s="37"/>
      <c r="AE1571" s="37"/>
      <c r="AF1571" s="37"/>
      <c r="AG1571" s="37"/>
      <c r="AH1571" s="37"/>
      <c r="AI1571" s="37"/>
      <c r="AJ1571" s="37"/>
      <c r="AK1571" s="37"/>
      <c r="AL1571" s="37"/>
      <c r="AM1571" s="37"/>
      <c r="AN1571" s="37"/>
      <c r="AO1571" s="37"/>
      <c r="AP1571" s="37"/>
      <c r="AQ1571" s="37"/>
      <c r="AR1571" s="37"/>
      <c r="AS1571" s="37"/>
      <c r="AT1571" s="37"/>
      <c r="AU1571" s="37"/>
      <c r="AV1571" s="37"/>
      <c r="AW1571" s="37"/>
    </row>
    <row r="1572" spans="29:49" x14ac:dyDescent="0.25">
      <c r="AC1572" s="37"/>
      <c r="AD1572" s="37"/>
      <c r="AE1572" s="37"/>
      <c r="AF1572" s="37"/>
      <c r="AG1572" s="37"/>
      <c r="AH1572" s="37"/>
      <c r="AI1572" s="37"/>
      <c r="AJ1572" s="37"/>
      <c r="AK1572" s="37"/>
      <c r="AL1572" s="37"/>
      <c r="AM1572" s="37"/>
      <c r="AN1572" s="37"/>
      <c r="AO1572" s="37"/>
      <c r="AP1572" s="37"/>
      <c r="AQ1572" s="37"/>
      <c r="AR1572" s="37"/>
      <c r="AS1572" s="37"/>
      <c r="AT1572" s="37"/>
      <c r="AU1572" s="37"/>
      <c r="AV1572" s="37"/>
      <c r="AW1572" s="37"/>
    </row>
    <row r="1573" spans="29:49" x14ac:dyDescent="0.25">
      <c r="AC1573" s="37"/>
      <c r="AD1573" s="37"/>
      <c r="AE1573" s="37"/>
      <c r="AF1573" s="37"/>
      <c r="AG1573" s="37"/>
      <c r="AH1573" s="37"/>
      <c r="AI1573" s="37"/>
      <c r="AJ1573" s="37"/>
      <c r="AK1573" s="37"/>
      <c r="AL1573" s="37"/>
      <c r="AM1573" s="37"/>
      <c r="AN1573" s="37"/>
      <c r="AO1573" s="37"/>
      <c r="AP1573" s="37"/>
      <c r="AQ1573" s="37"/>
      <c r="AR1573" s="37"/>
      <c r="AS1573" s="37"/>
      <c r="AT1573" s="37"/>
      <c r="AU1573" s="37"/>
      <c r="AV1573" s="37"/>
      <c r="AW1573" s="37"/>
    </row>
    <row r="1574" spans="29:49" x14ac:dyDescent="0.25">
      <c r="AC1574" s="37"/>
      <c r="AD1574" s="37"/>
      <c r="AE1574" s="37"/>
      <c r="AF1574" s="37"/>
      <c r="AG1574" s="37"/>
      <c r="AH1574" s="37"/>
      <c r="AI1574" s="37"/>
      <c r="AJ1574" s="37"/>
      <c r="AK1574" s="37"/>
      <c r="AL1574" s="37"/>
      <c r="AM1574" s="37"/>
      <c r="AN1574" s="37"/>
      <c r="AO1574" s="37"/>
      <c r="AP1574" s="37"/>
      <c r="AQ1574" s="37"/>
      <c r="AR1574" s="37"/>
      <c r="AS1574" s="37"/>
      <c r="AT1574" s="37"/>
      <c r="AU1574" s="37"/>
      <c r="AV1574" s="37"/>
      <c r="AW1574" s="37"/>
    </row>
    <row r="1575" spans="29:49" x14ac:dyDescent="0.25">
      <c r="AC1575" s="37"/>
      <c r="AD1575" s="37"/>
      <c r="AE1575" s="37"/>
      <c r="AF1575" s="37"/>
      <c r="AG1575" s="37"/>
      <c r="AH1575" s="37"/>
      <c r="AI1575" s="37"/>
      <c r="AJ1575" s="37"/>
      <c r="AK1575" s="37"/>
      <c r="AL1575" s="37"/>
      <c r="AM1575" s="37"/>
      <c r="AN1575" s="37"/>
      <c r="AO1575" s="37"/>
      <c r="AP1575" s="37"/>
      <c r="AQ1575" s="37"/>
      <c r="AR1575" s="37"/>
      <c r="AS1575" s="37"/>
      <c r="AT1575" s="37"/>
      <c r="AU1575" s="37"/>
      <c r="AV1575" s="37"/>
      <c r="AW1575" s="37"/>
    </row>
    <row r="1576" spans="29:49" x14ac:dyDescent="0.25">
      <c r="AC1576" s="37"/>
      <c r="AD1576" s="37"/>
      <c r="AE1576" s="37"/>
      <c r="AF1576" s="37"/>
      <c r="AG1576" s="37"/>
      <c r="AH1576" s="37"/>
      <c r="AI1576" s="37"/>
      <c r="AJ1576" s="37"/>
      <c r="AK1576" s="37"/>
      <c r="AL1576" s="37"/>
      <c r="AM1576" s="37"/>
      <c r="AN1576" s="37"/>
      <c r="AO1576" s="37"/>
      <c r="AP1576" s="37"/>
      <c r="AQ1576" s="37"/>
      <c r="AR1576" s="37"/>
      <c r="AS1576" s="37"/>
      <c r="AT1576" s="37"/>
      <c r="AU1576" s="37"/>
      <c r="AV1576" s="37"/>
      <c r="AW1576" s="37"/>
    </row>
    <row r="1577" spans="29:49" x14ac:dyDescent="0.25">
      <c r="AC1577" s="37"/>
      <c r="AD1577" s="37"/>
      <c r="AE1577" s="37"/>
      <c r="AF1577" s="37"/>
      <c r="AG1577" s="37"/>
      <c r="AH1577" s="37"/>
      <c r="AI1577" s="37"/>
      <c r="AJ1577" s="37"/>
      <c r="AK1577" s="37"/>
      <c r="AL1577" s="37"/>
      <c r="AM1577" s="37"/>
      <c r="AN1577" s="37"/>
      <c r="AO1577" s="37"/>
      <c r="AP1577" s="37"/>
      <c r="AQ1577" s="37"/>
      <c r="AR1577" s="37"/>
      <c r="AS1577" s="37"/>
      <c r="AT1577" s="37"/>
      <c r="AU1577" s="37"/>
      <c r="AV1577" s="37"/>
      <c r="AW1577" s="37"/>
    </row>
    <row r="1578" spans="29:49" x14ac:dyDescent="0.25">
      <c r="AC1578" s="37"/>
      <c r="AD1578" s="37"/>
      <c r="AE1578" s="37"/>
      <c r="AF1578" s="37"/>
      <c r="AG1578" s="37"/>
      <c r="AH1578" s="37"/>
      <c r="AI1578" s="37"/>
      <c r="AJ1578" s="37"/>
      <c r="AK1578" s="37"/>
      <c r="AL1578" s="37"/>
      <c r="AM1578" s="37"/>
      <c r="AN1578" s="37"/>
      <c r="AO1578" s="37"/>
      <c r="AP1578" s="37"/>
      <c r="AQ1578" s="37"/>
      <c r="AR1578" s="37"/>
      <c r="AS1578" s="37"/>
      <c r="AT1578" s="37"/>
      <c r="AU1578" s="37"/>
      <c r="AV1578" s="37"/>
      <c r="AW1578" s="37"/>
    </row>
    <row r="1579" spans="29:49" x14ac:dyDescent="0.25">
      <c r="AC1579" s="37"/>
      <c r="AD1579" s="37"/>
      <c r="AE1579" s="37"/>
      <c r="AF1579" s="37"/>
      <c r="AG1579" s="37"/>
      <c r="AH1579" s="37"/>
      <c r="AI1579" s="37"/>
      <c r="AJ1579" s="37"/>
      <c r="AK1579" s="37"/>
      <c r="AL1579" s="37"/>
      <c r="AM1579" s="37"/>
      <c r="AN1579" s="37"/>
      <c r="AO1579" s="37"/>
      <c r="AP1579" s="37"/>
      <c r="AQ1579" s="37"/>
      <c r="AR1579" s="37"/>
      <c r="AS1579" s="37"/>
      <c r="AT1579" s="37"/>
      <c r="AU1579" s="37"/>
      <c r="AV1579" s="37"/>
      <c r="AW1579" s="37"/>
    </row>
    <row r="1580" spans="29:49" x14ac:dyDescent="0.25">
      <c r="AC1580" s="37"/>
      <c r="AD1580" s="37"/>
      <c r="AE1580" s="37"/>
      <c r="AF1580" s="37"/>
      <c r="AG1580" s="37"/>
      <c r="AH1580" s="37"/>
      <c r="AI1580" s="37"/>
      <c r="AJ1580" s="37"/>
      <c r="AK1580" s="37"/>
      <c r="AL1580" s="37"/>
      <c r="AM1580" s="37"/>
      <c r="AN1580" s="37"/>
      <c r="AO1580" s="37"/>
      <c r="AP1580" s="37"/>
      <c r="AQ1580" s="37"/>
      <c r="AR1580" s="37"/>
      <c r="AS1580" s="37"/>
      <c r="AT1580" s="37"/>
      <c r="AU1580" s="37"/>
      <c r="AV1580" s="37"/>
      <c r="AW1580" s="37"/>
    </row>
    <row r="1581" spans="29:49" x14ac:dyDescent="0.25">
      <c r="AC1581" s="37"/>
      <c r="AD1581" s="37"/>
      <c r="AE1581" s="37"/>
      <c r="AF1581" s="37"/>
      <c r="AG1581" s="37"/>
      <c r="AH1581" s="37"/>
      <c r="AI1581" s="37"/>
      <c r="AJ1581" s="37"/>
      <c r="AK1581" s="37"/>
      <c r="AL1581" s="37"/>
      <c r="AM1581" s="37"/>
      <c r="AN1581" s="37"/>
      <c r="AO1581" s="37"/>
      <c r="AP1581" s="37"/>
      <c r="AQ1581" s="37"/>
      <c r="AR1581" s="37"/>
      <c r="AS1581" s="37"/>
      <c r="AT1581" s="37"/>
      <c r="AU1581" s="37"/>
      <c r="AV1581" s="37"/>
      <c r="AW1581" s="37"/>
    </row>
    <row r="1582" spans="29:49" x14ac:dyDescent="0.25">
      <c r="AC1582" s="37"/>
      <c r="AD1582" s="37"/>
      <c r="AE1582" s="37"/>
      <c r="AF1582" s="37"/>
      <c r="AG1582" s="37"/>
      <c r="AH1582" s="37"/>
      <c r="AI1582" s="37"/>
      <c r="AJ1582" s="37"/>
      <c r="AK1582" s="37"/>
      <c r="AL1582" s="37"/>
      <c r="AM1582" s="37"/>
      <c r="AN1582" s="37"/>
      <c r="AO1582" s="37"/>
      <c r="AP1582" s="37"/>
      <c r="AQ1582" s="37"/>
      <c r="AR1582" s="37"/>
      <c r="AS1582" s="37"/>
      <c r="AT1582" s="37"/>
      <c r="AU1582" s="37"/>
      <c r="AV1582" s="37"/>
      <c r="AW1582" s="37"/>
    </row>
    <row r="1583" spans="29:49" x14ac:dyDescent="0.25">
      <c r="AC1583" s="37"/>
      <c r="AD1583" s="37"/>
      <c r="AE1583" s="37"/>
      <c r="AF1583" s="37"/>
      <c r="AG1583" s="37"/>
      <c r="AH1583" s="37"/>
      <c r="AI1583" s="37"/>
      <c r="AJ1583" s="37"/>
      <c r="AK1583" s="37"/>
      <c r="AL1583" s="37"/>
      <c r="AM1583" s="37"/>
      <c r="AN1583" s="37"/>
      <c r="AO1583" s="37"/>
      <c r="AP1583" s="37"/>
      <c r="AQ1583" s="37"/>
      <c r="AR1583" s="37"/>
      <c r="AS1583" s="37"/>
      <c r="AT1583" s="37"/>
      <c r="AU1583" s="37"/>
      <c r="AV1583" s="37"/>
      <c r="AW1583" s="37"/>
    </row>
    <row r="1584" spans="29:49" x14ac:dyDescent="0.25">
      <c r="AC1584" s="37"/>
      <c r="AD1584" s="37"/>
      <c r="AE1584" s="37"/>
      <c r="AF1584" s="37"/>
      <c r="AG1584" s="37"/>
      <c r="AH1584" s="37"/>
      <c r="AI1584" s="37"/>
      <c r="AJ1584" s="37"/>
      <c r="AK1584" s="37"/>
      <c r="AL1584" s="37"/>
      <c r="AM1584" s="37"/>
      <c r="AN1584" s="37"/>
      <c r="AO1584" s="37"/>
      <c r="AP1584" s="37"/>
      <c r="AQ1584" s="37"/>
      <c r="AR1584" s="37"/>
      <c r="AS1584" s="37"/>
      <c r="AT1584" s="37"/>
      <c r="AU1584" s="37"/>
      <c r="AV1584" s="37"/>
      <c r="AW1584" s="37"/>
    </row>
    <row r="1585" spans="29:49" x14ac:dyDescent="0.25">
      <c r="AC1585" s="37"/>
      <c r="AD1585" s="37"/>
      <c r="AE1585" s="37"/>
      <c r="AF1585" s="37"/>
      <c r="AG1585" s="37"/>
      <c r="AH1585" s="37"/>
      <c r="AI1585" s="37"/>
      <c r="AJ1585" s="37"/>
      <c r="AK1585" s="37"/>
      <c r="AL1585" s="37"/>
      <c r="AM1585" s="37"/>
      <c r="AN1585" s="37"/>
      <c r="AO1585" s="37"/>
      <c r="AP1585" s="37"/>
      <c r="AQ1585" s="37"/>
      <c r="AR1585" s="37"/>
      <c r="AS1585" s="37"/>
      <c r="AT1585" s="37"/>
      <c r="AU1585" s="37"/>
      <c r="AV1585" s="37"/>
      <c r="AW1585" s="37"/>
    </row>
  </sheetData>
  <phoneticPr fontId="2" type="noConversion"/>
  <conditionalFormatting sqref="F1:Z1048576">
    <cfRule type="cellIs" dxfId="4" priority="1423" operator="greaterThan">
      <formula>0.5</formula>
    </cfRule>
  </conditionalFormatting>
  <conditionalFormatting sqref="AC3:AW3">
    <cfRule type="colorScale" priority="1422">
      <colorScale>
        <cfvo type="min"/>
        <cfvo type="max"/>
        <color rgb="FFFCFCFF"/>
        <color rgb="FF63BE7B"/>
      </colorScale>
    </cfRule>
  </conditionalFormatting>
  <conditionalFormatting sqref="AC5:AW5">
    <cfRule type="colorScale" priority="1421">
      <colorScale>
        <cfvo type="min"/>
        <cfvo type="max"/>
        <color rgb="FFFCFCFF"/>
        <color rgb="FF63BE7B"/>
      </colorScale>
    </cfRule>
  </conditionalFormatting>
  <conditionalFormatting sqref="AC7:AW7">
    <cfRule type="colorScale" priority="1420">
      <colorScale>
        <cfvo type="min"/>
        <cfvo type="max"/>
        <color rgb="FFFCFCFF"/>
        <color rgb="FF63BE7B"/>
      </colorScale>
    </cfRule>
  </conditionalFormatting>
  <conditionalFormatting sqref="AC9:AW9">
    <cfRule type="colorScale" priority="1419">
      <colorScale>
        <cfvo type="min"/>
        <cfvo type="max"/>
        <color rgb="FFFCFCFF"/>
        <color rgb="FF63BE7B"/>
      </colorScale>
    </cfRule>
  </conditionalFormatting>
  <conditionalFormatting sqref="AC11:AW11">
    <cfRule type="colorScale" priority="1418">
      <colorScale>
        <cfvo type="min"/>
        <cfvo type="max"/>
        <color rgb="FFFCFCFF"/>
        <color rgb="FF63BE7B"/>
      </colorScale>
    </cfRule>
  </conditionalFormatting>
  <conditionalFormatting sqref="AC13:AW13">
    <cfRule type="colorScale" priority="1417">
      <colorScale>
        <cfvo type="min"/>
        <cfvo type="max"/>
        <color rgb="FFFCFCFF"/>
        <color rgb="FF63BE7B"/>
      </colorScale>
    </cfRule>
  </conditionalFormatting>
  <conditionalFormatting sqref="AC15:AW15">
    <cfRule type="colorScale" priority="1416">
      <colorScale>
        <cfvo type="min"/>
        <cfvo type="max"/>
        <color rgb="FFFCFCFF"/>
        <color rgb="FF63BE7B"/>
      </colorScale>
    </cfRule>
  </conditionalFormatting>
  <conditionalFormatting sqref="AC17:AW17">
    <cfRule type="colorScale" priority="1415">
      <colorScale>
        <cfvo type="min"/>
        <cfvo type="max"/>
        <color rgb="FFFCFCFF"/>
        <color rgb="FF63BE7B"/>
      </colorScale>
    </cfRule>
  </conditionalFormatting>
  <conditionalFormatting sqref="AC19:AW19">
    <cfRule type="colorScale" priority="1414">
      <colorScale>
        <cfvo type="min"/>
        <cfvo type="max"/>
        <color rgb="FFFCFCFF"/>
        <color rgb="FF63BE7B"/>
      </colorScale>
    </cfRule>
  </conditionalFormatting>
  <conditionalFormatting sqref="AC21:AW21">
    <cfRule type="colorScale" priority="1413">
      <colorScale>
        <cfvo type="min"/>
        <cfvo type="max"/>
        <color rgb="FFFCFCFF"/>
        <color rgb="FF63BE7B"/>
      </colorScale>
    </cfRule>
  </conditionalFormatting>
  <conditionalFormatting sqref="AC23:AW23">
    <cfRule type="colorScale" priority="1412">
      <colorScale>
        <cfvo type="min"/>
        <cfvo type="max"/>
        <color rgb="FFFCFCFF"/>
        <color rgb="FF63BE7B"/>
      </colorScale>
    </cfRule>
  </conditionalFormatting>
  <conditionalFormatting sqref="AC25:AW25">
    <cfRule type="colorScale" priority="1411">
      <colorScale>
        <cfvo type="min"/>
        <cfvo type="max"/>
        <color rgb="FFFCFCFF"/>
        <color rgb="FF63BE7B"/>
      </colorScale>
    </cfRule>
  </conditionalFormatting>
  <conditionalFormatting sqref="AC27:AW27">
    <cfRule type="colorScale" priority="1410">
      <colorScale>
        <cfvo type="min"/>
        <cfvo type="max"/>
        <color rgb="FFFCFCFF"/>
        <color rgb="FF63BE7B"/>
      </colorScale>
    </cfRule>
  </conditionalFormatting>
  <conditionalFormatting sqref="AC29:AW29">
    <cfRule type="colorScale" priority="1409">
      <colorScale>
        <cfvo type="min"/>
        <cfvo type="max"/>
        <color rgb="FFFCFCFF"/>
        <color rgb="FF63BE7B"/>
      </colorScale>
    </cfRule>
  </conditionalFormatting>
  <conditionalFormatting sqref="AC31:AW31">
    <cfRule type="colorScale" priority="1408">
      <colorScale>
        <cfvo type="min"/>
        <cfvo type="max"/>
        <color rgb="FFFCFCFF"/>
        <color rgb="FF63BE7B"/>
      </colorScale>
    </cfRule>
  </conditionalFormatting>
  <conditionalFormatting sqref="AC33:AW33">
    <cfRule type="colorScale" priority="1407">
      <colorScale>
        <cfvo type="min"/>
        <cfvo type="max"/>
        <color rgb="FFFCFCFF"/>
        <color rgb="FF63BE7B"/>
      </colorScale>
    </cfRule>
  </conditionalFormatting>
  <conditionalFormatting sqref="AC35:AW35">
    <cfRule type="colorScale" priority="1406">
      <colorScale>
        <cfvo type="min"/>
        <cfvo type="max"/>
        <color rgb="FFFCFCFF"/>
        <color rgb="FF63BE7B"/>
      </colorScale>
    </cfRule>
  </conditionalFormatting>
  <conditionalFormatting sqref="AC37:AW37">
    <cfRule type="colorScale" priority="1405">
      <colorScale>
        <cfvo type="min"/>
        <cfvo type="max"/>
        <color rgb="FFFCFCFF"/>
        <color rgb="FF63BE7B"/>
      </colorScale>
    </cfRule>
  </conditionalFormatting>
  <conditionalFormatting sqref="AC39:AW39">
    <cfRule type="colorScale" priority="1404">
      <colorScale>
        <cfvo type="min"/>
        <cfvo type="max"/>
        <color rgb="FFFCFCFF"/>
        <color rgb="FF63BE7B"/>
      </colorScale>
    </cfRule>
  </conditionalFormatting>
  <conditionalFormatting sqref="AC41:AW41">
    <cfRule type="colorScale" priority="1403">
      <colorScale>
        <cfvo type="min"/>
        <cfvo type="max"/>
        <color rgb="FFFCFCFF"/>
        <color rgb="FF63BE7B"/>
      </colorScale>
    </cfRule>
  </conditionalFormatting>
  <conditionalFormatting sqref="AC43:AW43">
    <cfRule type="colorScale" priority="1402">
      <colorScale>
        <cfvo type="min"/>
        <cfvo type="max"/>
        <color rgb="FFFCFCFF"/>
        <color rgb="FF63BE7B"/>
      </colorScale>
    </cfRule>
  </conditionalFormatting>
  <conditionalFormatting sqref="AC45:AW45">
    <cfRule type="colorScale" priority="1401">
      <colorScale>
        <cfvo type="min"/>
        <cfvo type="max"/>
        <color rgb="FFFCFCFF"/>
        <color rgb="FF63BE7B"/>
      </colorScale>
    </cfRule>
  </conditionalFormatting>
  <conditionalFormatting sqref="AC47:AW47">
    <cfRule type="colorScale" priority="1400">
      <colorScale>
        <cfvo type="min"/>
        <cfvo type="max"/>
        <color rgb="FFFCFCFF"/>
        <color rgb="FF63BE7B"/>
      </colorScale>
    </cfRule>
  </conditionalFormatting>
  <conditionalFormatting sqref="AC49:AW49">
    <cfRule type="colorScale" priority="1399">
      <colorScale>
        <cfvo type="min"/>
        <cfvo type="max"/>
        <color rgb="FFFCFCFF"/>
        <color rgb="FF63BE7B"/>
      </colorScale>
    </cfRule>
  </conditionalFormatting>
  <conditionalFormatting sqref="AC51:AW51">
    <cfRule type="colorScale" priority="1398">
      <colorScale>
        <cfvo type="min"/>
        <cfvo type="max"/>
        <color rgb="FFFCFCFF"/>
        <color rgb="FF63BE7B"/>
      </colorScale>
    </cfRule>
  </conditionalFormatting>
  <conditionalFormatting sqref="AC53:AW53">
    <cfRule type="colorScale" priority="1397">
      <colorScale>
        <cfvo type="min"/>
        <cfvo type="max"/>
        <color rgb="FFFCFCFF"/>
        <color rgb="FF63BE7B"/>
      </colorScale>
    </cfRule>
  </conditionalFormatting>
  <conditionalFormatting sqref="AC55:AW55">
    <cfRule type="colorScale" priority="1396">
      <colorScale>
        <cfvo type="min"/>
        <cfvo type="max"/>
        <color rgb="FFFCFCFF"/>
        <color rgb="FF63BE7B"/>
      </colorScale>
    </cfRule>
  </conditionalFormatting>
  <conditionalFormatting sqref="AC57:AW57">
    <cfRule type="colorScale" priority="1395">
      <colorScale>
        <cfvo type="min"/>
        <cfvo type="max"/>
        <color rgb="FFFCFCFF"/>
        <color rgb="FF63BE7B"/>
      </colorScale>
    </cfRule>
  </conditionalFormatting>
  <conditionalFormatting sqref="AC59:AW59">
    <cfRule type="colorScale" priority="1394">
      <colorScale>
        <cfvo type="min"/>
        <cfvo type="max"/>
        <color rgb="FFFCFCFF"/>
        <color rgb="FF63BE7B"/>
      </colorScale>
    </cfRule>
  </conditionalFormatting>
  <conditionalFormatting sqref="AC61:AW61">
    <cfRule type="colorScale" priority="1393">
      <colorScale>
        <cfvo type="min"/>
        <cfvo type="max"/>
        <color rgb="FFFCFCFF"/>
        <color rgb="FF63BE7B"/>
      </colorScale>
    </cfRule>
  </conditionalFormatting>
  <conditionalFormatting sqref="AC63:AW63">
    <cfRule type="colorScale" priority="1392">
      <colorScale>
        <cfvo type="min"/>
        <cfvo type="max"/>
        <color rgb="FFFCFCFF"/>
        <color rgb="FF63BE7B"/>
      </colorScale>
    </cfRule>
  </conditionalFormatting>
  <conditionalFormatting sqref="AC65:AW65">
    <cfRule type="colorScale" priority="1391">
      <colorScale>
        <cfvo type="min"/>
        <cfvo type="max"/>
        <color rgb="FFFCFCFF"/>
        <color rgb="FF63BE7B"/>
      </colorScale>
    </cfRule>
  </conditionalFormatting>
  <conditionalFormatting sqref="AC67:AW67">
    <cfRule type="colorScale" priority="1390">
      <colorScale>
        <cfvo type="min"/>
        <cfvo type="max"/>
        <color rgb="FFFCFCFF"/>
        <color rgb="FF63BE7B"/>
      </colorScale>
    </cfRule>
  </conditionalFormatting>
  <conditionalFormatting sqref="AC69:AW69">
    <cfRule type="colorScale" priority="1389">
      <colorScale>
        <cfvo type="min"/>
        <cfvo type="max"/>
        <color rgb="FFFCFCFF"/>
        <color rgb="FF63BE7B"/>
      </colorScale>
    </cfRule>
  </conditionalFormatting>
  <conditionalFormatting sqref="AC71:AW71">
    <cfRule type="colorScale" priority="1388">
      <colorScale>
        <cfvo type="min"/>
        <cfvo type="max"/>
        <color rgb="FFFCFCFF"/>
        <color rgb="FF63BE7B"/>
      </colorScale>
    </cfRule>
  </conditionalFormatting>
  <conditionalFormatting sqref="AC73:AW73">
    <cfRule type="colorScale" priority="1387">
      <colorScale>
        <cfvo type="min"/>
        <cfvo type="max"/>
        <color rgb="FFFCFCFF"/>
        <color rgb="FF63BE7B"/>
      </colorScale>
    </cfRule>
  </conditionalFormatting>
  <conditionalFormatting sqref="AC75:AW75">
    <cfRule type="colorScale" priority="1386">
      <colorScale>
        <cfvo type="min"/>
        <cfvo type="max"/>
        <color rgb="FFFCFCFF"/>
        <color rgb="FF63BE7B"/>
      </colorScale>
    </cfRule>
  </conditionalFormatting>
  <conditionalFormatting sqref="AC77:AW77">
    <cfRule type="colorScale" priority="1385">
      <colorScale>
        <cfvo type="min"/>
        <cfvo type="max"/>
        <color rgb="FFFCFCFF"/>
        <color rgb="FF63BE7B"/>
      </colorScale>
    </cfRule>
  </conditionalFormatting>
  <conditionalFormatting sqref="AC79:AW79">
    <cfRule type="colorScale" priority="1384">
      <colorScale>
        <cfvo type="min"/>
        <cfvo type="max"/>
        <color rgb="FFFCFCFF"/>
        <color rgb="FF63BE7B"/>
      </colorScale>
    </cfRule>
  </conditionalFormatting>
  <conditionalFormatting sqref="AC81:AW81">
    <cfRule type="colorScale" priority="1383">
      <colorScale>
        <cfvo type="min"/>
        <cfvo type="max"/>
        <color rgb="FFFCFCFF"/>
        <color rgb="FF63BE7B"/>
      </colorScale>
    </cfRule>
  </conditionalFormatting>
  <conditionalFormatting sqref="AC83:AW83">
    <cfRule type="colorScale" priority="1382">
      <colorScale>
        <cfvo type="min"/>
        <cfvo type="max"/>
        <color rgb="FFFCFCFF"/>
        <color rgb="FF63BE7B"/>
      </colorScale>
    </cfRule>
  </conditionalFormatting>
  <conditionalFormatting sqref="AC85:AW85">
    <cfRule type="colorScale" priority="1381">
      <colorScale>
        <cfvo type="min"/>
        <cfvo type="max"/>
        <color rgb="FFFCFCFF"/>
        <color rgb="FF63BE7B"/>
      </colorScale>
    </cfRule>
  </conditionalFormatting>
  <conditionalFormatting sqref="AC87:AW87">
    <cfRule type="colorScale" priority="1380">
      <colorScale>
        <cfvo type="min"/>
        <cfvo type="max"/>
        <color rgb="FFFCFCFF"/>
        <color rgb="FF63BE7B"/>
      </colorScale>
    </cfRule>
  </conditionalFormatting>
  <conditionalFormatting sqref="AC89:AW89">
    <cfRule type="colorScale" priority="1379">
      <colorScale>
        <cfvo type="min"/>
        <cfvo type="max"/>
        <color rgb="FFFCFCFF"/>
        <color rgb="FF63BE7B"/>
      </colorScale>
    </cfRule>
  </conditionalFormatting>
  <conditionalFormatting sqref="AC91:AW91">
    <cfRule type="colorScale" priority="1378">
      <colorScale>
        <cfvo type="min"/>
        <cfvo type="max"/>
        <color rgb="FFFCFCFF"/>
        <color rgb="FF63BE7B"/>
      </colorScale>
    </cfRule>
  </conditionalFormatting>
  <conditionalFormatting sqref="AC93:AW93">
    <cfRule type="colorScale" priority="1377">
      <colorScale>
        <cfvo type="min"/>
        <cfvo type="max"/>
        <color rgb="FFFCFCFF"/>
        <color rgb="FF63BE7B"/>
      </colorScale>
    </cfRule>
  </conditionalFormatting>
  <conditionalFormatting sqref="AC95:AW95">
    <cfRule type="colorScale" priority="1376">
      <colorScale>
        <cfvo type="min"/>
        <cfvo type="max"/>
        <color rgb="FFFCFCFF"/>
        <color rgb="FF63BE7B"/>
      </colorScale>
    </cfRule>
  </conditionalFormatting>
  <conditionalFormatting sqref="AC97:AW97">
    <cfRule type="colorScale" priority="1375">
      <colorScale>
        <cfvo type="min"/>
        <cfvo type="max"/>
        <color rgb="FFFCFCFF"/>
        <color rgb="FF63BE7B"/>
      </colorScale>
    </cfRule>
  </conditionalFormatting>
  <conditionalFormatting sqref="AC99:AW99">
    <cfRule type="colorScale" priority="1374">
      <colorScale>
        <cfvo type="min"/>
        <cfvo type="max"/>
        <color rgb="FFFCFCFF"/>
        <color rgb="FF63BE7B"/>
      </colorScale>
    </cfRule>
  </conditionalFormatting>
  <conditionalFormatting sqref="AC101:AW101">
    <cfRule type="colorScale" priority="1373">
      <colorScale>
        <cfvo type="min"/>
        <cfvo type="max"/>
        <color rgb="FFFCFCFF"/>
        <color rgb="FF63BE7B"/>
      </colorScale>
    </cfRule>
  </conditionalFormatting>
  <conditionalFormatting sqref="AC103:AW103">
    <cfRule type="colorScale" priority="1372">
      <colorScale>
        <cfvo type="min"/>
        <cfvo type="max"/>
        <color rgb="FFFCFCFF"/>
        <color rgb="FF63BE7B"/>
      </colorScale>
    </cfRule>
  </conditionalFormatting>
  <conditionalFormatting sqref="AC105:AW105">
    <cfRule type="colorScale" priority="1371">
      <colorScale>
        <cfvo type="min"/>
        <cfvo type="max"/>
        <color rgb="FFFCFCFF"/>
        <color rgb="FF63BE7B"/>
      </colorScale>
    </cfRule>
  </conditionalFormatting>
  <conditionalFormatting sqref="AC107:AW107">
    <cfRule type="colorScale" priority="1370">
      <colorScale>
        <cfvo type="min"/>
        <cfvo type="max"/>
        <color rgb="FFFCFCFF"/>
        <color rgb="FF63BE7B"/>
      </colorScale>
    </cfRule>
  </conditionalFormatting>
  <conditionalFormatting sqref="AC109:AW109">
    <cfRule type="colorScale" priority="1369">
      <colorScale>
        <cfvo type="min"/>
        <cfvo type="max"/>
        <color rgb="FFFCFCFF"/>
        <color rgb="FF63BE7B"/>
      </colorScale>
    </cfRule>
  </conditionalFormatting>
  <conditionalFormatting sqref="AC111:AW111">
    <cfRule type="colorScale" priority="1368">
      <colorScale>
        <cfvo type="min"/>
        <cfvo type="max"/>
        <color rgb="FFFCFCFF"/>
        <color rgb="FF63BE7B"/>
      </colorScale>
    </cfRule>
  </conditionalFormatting>
  <conditionalFormatting sqref="AC113:AW113">
    <cfRule type="colorScale" priority="1367">
      <colorScale>
        <cfvo type="min"/>
        <cfvo type="max"/>
        <color rgb="FFFCFCFF"/>
        <color rgb="FF63BE7B"/>
      </colorScale>
    </cfRule>
  </conditionalFormatting>
  <conditionalFormatting sqref="AC115:AW115">
    <cfRule type="colorScale" priority="1366">
      <colorScale>
        <cfvo type="min"/>
        <cfvo type="max"/>
        <color rgb="FFFCFCFF"/>
        <color rgb="FF63BE7B"/>
      </colorScale>
    </cfRule>
  </conditionalFormatting>
  <conditionalFormatting sqref="AC117:AW117">
    <cfRule type="colorScale" priority="1365">
      <colorScale>
        <cfvo type="min"/>
        <cfvo type="max"/>
        <color rgb="FFFCFCFF"/>
        <color rgb="FF63BE7B"/>
      </colorScale>
    </cfRule>
  </conditionalFormatting>
  <conditionalFormatting sqref="AC119:AW119">
    <cfRule type="colorScale" priority="1364">
      <colorScale>
        <cfvo type="min"/>
        <cfvo type="max"/>
        <color rgb="FFFCFCFF"/>
        <color rgb="FF63BE7B"/>
      </colorScale>
    </cfRule>
  </conditionalFormatting>
  <conditionalFormatting sqref="AC121:AW121">
    <cfRule type="colorScale" priority="1363">
      <colorScale>
        <cfvo type="min"/>
        <cfvo type="max"/>
        <color rgb="FFFCFCFF"/>
        <color rgb="FF63BE7B"/>
      </colorScale>
    </cfRule>
  </conditionalFormatting>
  <conditionalFormatting sqref="AC123:AW123">
    <cfRule type="colorScale" priority="1362">
      <colorScale>
        <cfvo type="min"/>
        <cfvo type="max"/>
        <color rgb="FFFCFCFF"/>
        <color rgb="FF63BE7B"/>
      </colorScale>
    </cfRule>
  </conditionalFormatting>
  <conditionalFormatting sqref="AC125:AW125">
    <cfRule type="colorScale" priority="1361">
      <colorScale>
        <cfvo type="min"/>
        <cfvo type="max"/>
        <color rgb="FFFCFCFF"/>
        <color rgb="FF63BE7B"/>
      </colorScale>
    </cfRule>
  </conditionalFormatting>
  <conditionalFormatting sqref="AC127:AW127">
    <cfRule type="colorScale" priority="1360">
      <colorScale>
        <cfvo type="min"/>
        <cfvo type="max"/>
        <color rgb="FFFCFCFF"/>
        <color rgb="FF63BE7B"/>
      </colorScale>
    </cfRule>
  </conditionalFormatting>
  <conditionalFormatting sqref="AC129:AW129">
    <cfRule type="colorScale" priority="1359">
      <colorScale>
        <cfvo type="min"/>
        <cfvo type="max"/>
        <color rgb="FFFCFCFF"/>
        <color rgb="FF63BE7B"/>
      </colorScale>
    </cfRule>
  </conditionalFormatting>
  <conditionalFormatting sqref="AC131:AW131">
    <cfRule type="colorScale" priority="1358">
      <colorScale>
        <cfvo type="min"/>
        <cfvo type="max"/>
        <color rgb="FFFCFCFF"/>
        <color rgb="FF63BE7B"/>
      </colorScale>
    </cfRule>
  </conditionalFormatting>
  <conditionalFormatting sqref="AC133:AW133">
    <cfRule type="colorScale" priority="1357">
      <colorScale>
        <cfvo type="min"/>
        <cfvo type="max"/>
        <color rgb="FFFCFCFF"/>
        <color rgb="FF63BE7B"/>
      </colorScale>
    </cfRule>
  </conditionalFormatting>
  <conditionalFormatting sqref="AC135:AW135">
    <cfRule type="colorScale" priority="1356">
      <colorScale>
        <cfvo type="min"/>
        <cfvo type="max"/>
        <color rgb="FFFCFCFF"/>
        <color rgb="FF63BE7B"/>
      </colorScale>
    </cfRule>
  </conditionalFormatting>
  <conditionalFormatting sqref="AC137:AW137">
    <cfRule type="colorScale" priority="1355">
      <colorScale>
        <cfvo type="min"/>
        <cfvo type="max"/>
        <color rgb="FFFCFCFF"/>
        <color rgb="FF63BE7B"/>
      </colorScale>
    </cfRule>
  </conditionalFormatting>
  <conditionalFormatting sqref="AC139:AW139">
    <cfRule type="colorScale" priority="1354">
      <colorScale>
        <cfvo type="min"/>
        <cfvo type="max"/>
        <color rgb="FFFCFCFF"/>
        <color rgb="FF63BE7B"/>
      </colorScale>
    </cfRule>
  </conditionalFormatting>
  <conditionalFormatting sqref="AC141:AW141">
    <cfRule type="colorScale" priority="1353">
      <colorScale>
        <cfvo type="min"/>
        <cfvo type="max"/>
        <color rgb="FFFCFCFF"/>
        <color rgb="FF63BE7B"/>
      </colorScale>
    </cfRule>
  </conditionalFormatting>
  <conditionalFormatting sqref="AC143:AW143">
    <cfRule type="colorScale" priority="1352">
      <colorScale>
        <cfvo type="min"/>
        <cfvo type="max"/>
        <color rgb="FFFCFCFF"/>
        <color rgb="FF63BE7B"/>
      </colorScale>
    </cfRule>
  </conditionalFormatting>
  <conditionalFormatting sqref="AC145:AW145">
    <cfRule type="colorScale" priority="1351">
      <colorScale>
        <cfvo type="min"/>
        <cfvo type="max"/>
        <color rgb="FFFCFCFF"/>
        <color rgb="FF63BE7B"/>
      </colorScale>
    </cfRule>
  </conditionalFormatting>
  <conditionalFormatting sqref="AC147:AW147">
    <cfRule type="colorScale" priority="1350">
      <colorScale>
        <cfvo type="min"/>
        <cfvo type="max"/>
        <color rgb="FFFCFCFF"/>
        <color rgb="FF63BE7B"/>
      </colorScale>
    </cfRule>
  </conditionalFormatting>
  <conditionalFormatting sqref="AC149:AW149">
    <cfRule type="colorScale" priority="1349">
      <colorScale>
        <cfvo type="min"/>
        <cfvo type="max"/>
        <color rgb="FFFCFCFF"/>
        <color rgb="FF63BE7B"/>
      </colorScale>
    </cfRule>
  </conditionalFormatting>
  <conditionalFormatting sqref="AC151:AW151">
    <cfRule type="colorScale" priority="1348">
      <colorScale>
        <cfvo type="min"/>
        <cfvo type="max"/>
        <color rgb="FFFCFCFF"/>
        <color rgb="FF63BE7B"/>
      </colorScale>
    </cfRule>
  </conditionalFormatting>
  <conditionalFormatting sqref="AC153:AW153">
    <cfRule type="colorScale" priority="1347">
      <colorScale>
        <cfvo type="min"/>
        <cfvo type="max"/>
        <color rgb="FFFCFCFF"/>
        <color rgb="FF63BE7B"/>
      </colorScale>
    </cfRule>
  </conditionalFormatting>
  <conditionalFormatting sqref="AC155:AW155">
    <cfRule type="colorScale" priority="1346">
      <colorScale>
        <cfvo type="min"/>
        <cfvo type="max"/>
        <color rgb="FFFCFCFF"/>
        <color rgb="FF63BE7B"/>
      </colorScale>
    </cfRule>
  </conditionalFormatting>
  <conditionalFormatting sqref="AC157:AW157">
    <cfRule type="colorScale" priority="1345">
      <colorScale>
        <cfvo type="min"/>
        <cfvo type="max"/>
        <color rgb="FFFCFCFF"/>
        <color rgb="FF63BE7B"/>
      </colorScale>
    </cfRule>
  </conditionalFormatting>
  <conditionalFormatting sqref="AC159:AW159">
    <cfRule type="colorScale" priority="1344">
      <colorScale>
        <cfvo type="min"/>
        <cfvo type="max"/>
        <color rgb="FFFCFCFF"/>
        <color rgb="FF63BE7B"/>
      </colorScale>
    </cfRule>
  </conditionalFormatting>
  <conditionalFormatting sqref="AC161:AW161">
    <cfRule type="colorScale" priority="1343">
      <colorScale>
        <cfvo type="min"/>
        <cfvo type="max"/>
        <color rgb="FFFCFCFF"/>
        <color rgb="FF63BE7B"/>
      </colorScale>
    </cfRule>
  </conditionalFormatting>
  <conditionalFormatting sqref="AC163:AW163">
    <cfRule type="colorScale" priority="1342">
      <colorScale>
        <cfvo type="min"/>
        <cfvo type="max"/>
        <color rgb="FFFCFCFF"/>
        <color rgb="FF63BE7B"/>
      </colorScale>
    </cfRule>
  </conditionalFormatting>
  <conditionalFormatting sqref="AC165:AW165">
    <cfRule type="colorScale" priority="1341">
      <colorScale>
        <cfvo type="min"/>
        <cfvo type="max"/>
        <color rgb="FFFCFCFF"/>
        <color rgb="FF63BE7B"/>
      </colorScale>
    </cfRule>
  </conditionalFormatting>
  <conditionalFormatting sqref="AC167:AW167">
    <cfRule type="colorScale" priority="1340">
      <colorScale>
        <cfvo type="min"/>
        <cfvo type="max"/>
        <color rgb="FFFCFCFF"/>
        <color rgb="FF63BE7B"/>
      </colorScale>
    </cfRule>
  </conditionalFormatting>
  <conditionalFormatting sqref="AC169:AW169">
    <cfRule type="colorScale" priority="1339">
      <colorScale>
        <cfvo type="min"/>
        <cfvo type="max"/>
        <color rgb="FFFCFCFF"/>
        <color rgb="FF63BE7B"/>
      </colorScale>
    </cfRule>
  </conditionalFormatting>
  <conditionalFormatting sqref="AC171:AW171">
    <cfRule type="colorScale" priority="1338">
      <colorScale>
        <cfvo type="min"/>
        <cfvo type="max"/>
        <color rgb="FFFCFCFF"/>
        <color rgb="FF63BE7B"/>
      </colorScale>
    </cfRule>
  </conditionalFormatting>
  <conditionalFormatting sqref="AC173:AW173">
    <cfRule type="colorScale" priority="1337">
      <colorScale>
        <cfvo type="min"/>
        <cfvo type="max"/>
        <color rgb="FFFCFCFF"/>
        <color rgb="FF63BE7B"/>
      </colorScale>
    </cfRule>
  </conditionalFormatting>
  <conditionalFormatting sqref="AC175:AW175">
    <cfRule type="colorScale" priority="1336">
      <colorScale>
        <cfvo type="min"/>
        <cfvo type="max"/>
        <color rgb="FFFCFCFF"/>
        <color rgb="FF63BE7B"/>
      </colorScale>
    </cfRule>
  </conditionalFormatting>
  <conditionalFormatting sqref="AC177:AW177">
    <cfRule type="colorScale" priority="1335">
      <colorScale>
        <cfvo type="min"/>
        <cfvo type="max"/>
        <color rgb="FFFCFCFF"/>
        <color rgb="FF63BE7B"/>
      </colorScale>
    </cfRule>
  </conditionalFormatting>
  <conditionalFormatting sqref="AC179:AW179">
    <cfRule type="colorScale" priority="1334">
      <colorScale>
        <cfvo type="min"/>
        <cfvo type="max"/>
        <color rgb="FFFCFCFF"/>
        <color rgb="FF63BE7B"/>
      </colorScale>
    </cfRule>
  </conditionalFormatting>
  <conditionalFormatting sqref="AC181:AW181">
    <cfRule type="colorScale" priority="1333">
      <colorScale>
        <cfvo type="min"/>
        <cfvo type="max"/>
        <color rgb="FFFCFCFF"/>
        <color rgb="FF63BE7B"/>
      </colorScale>
    </cfRule>
  </conditionalFormatting>
  <conditionalFormatting sqref="AC183:AW183">
    <cfRule type="colorScale" priority="1332">
      <colorScale>
        <cfvo type="min"/>
        <cfvo type="max"/>
        <color rgb="FFFCFCFF"/>
        <color rgb="FF63BE7B"/>
      </colorScale>
    </cfRule>
  </conditionalFormatting>
  <conditionalFormatting sqref="AC185:AW185">
    <cfRule type="colorScale" priority="1331">
      <colorScale>
        <cfvo type="min"/>
        <cfvo type="max"/>
        <color rgb="FFFCFCFF"/>
        <color rgb="FF63BE7B"/>
      </colorScale>
    </cfRule>
  </conditionalFormatting>
  <conditionalFormatting sqref="AC187:AW187">
    <cfRule type="colorScale" priority="1330">
      <colorScale>
        <cfvo type="min"/>
        <cfvo type="max"/>
        <color rgb="FFFCFCFF"/>
        <color rgb="FF63BE7B"/>
      </colorScale>
    </cfRule>
  </conditionalFormatting>
  <conditionalFormatting sqref="AC189:AW189">
    <cfRule type="colorScale" priority="1329">
      <colorScale>
        <cfvo type="min"/>
        <cfvo type="max"/>
        <color rgb="FFFCFCFF"/>
        <color rgb="FF63BE7B"/>
      </colorScale>
    </cfRule>
  </conditionalFormatting>
  <conditionalFormatting sqref="AC191:AW191">
    <cfRule type="colorScale" priority="1328">
      <colorScale>
        <cfvo type="min"/>
        <cfvo type="max"/>
        <color rgb="FFFCFCFF"/>
        <color rgb="FF63BE7B"/>
      </colorScale>
    </cfRule>
  </conditionalFormatting>
  <conditionalFormatting sqref="AC193:AW193">
    <cfRule type="colorScale" priority="1327">
      <colorScale>
        <cfvo type="min"/>
        <cfvo type="max"/>
        <color rgb="FFFCFCFF"/>
        <color rgb="FF63BE7B"/>
      </colorScale>
    </cfRule>
  </conditionalFormatting>
  <conditionalFormatting sqref="AC195:AW195">
    <cfRule type="colorScale" priority="1326">
      <colorScale>
        <cfvo type="min"/>
        <cfvo type="max"/>
        <color rgb="FFFCFCFF"/>
        <color rgb="FF63BE7B"/>
      </colorScale>
    </cfRule>
  </conditionalFormatting>
  <conditionalFormatting sqref="AC197:AW197">
    <cfRule type="colorScale" priority="1325">
      <colorScale>
        <cfvo type="min"/>
        <cfvo type="max"/>
        <color rgb="FFFCFCFF"/>
        <color rgb="FF63BE7B"/>
      </colorScale>
    </cfRule>
  </conditionalFormatting>
  <conditionalFormatting sqref="AC199:AW199">
    <cfRule type="colorScale" priority="1324">
      <colorScale>
        <cfvo type="min"/>
        <cfvo type="max"/>
        <color rgb="FFFCFCFF"/>
        <color rgb="FF63BE7B"/>
      </colorScale>
    </cfRule>
  </conditionalFormatting>
  <conditionalFormatting sqref="AC201:AW201">
    <cfRule type="colorScale" priority="1323">
      <colorScale>
        <cfvo type="min"/>
        <cfvo type="max"/>
        <color rgb="FFFCFCFF"/>
        <color rgb="FF63BE7B"/>
      </colorScale>
    </cfRule>
  </conditionalFormatting>
  <conditionalFormatting sqref="AC203:AW203">
    <cfRule type="colorScale" priority="1322">
      <colorScale>
        <cfvo type="min"/>
        <cfvo type="max"/>
        <color rgb="FFFCFCFF"/>
        <color rgb="FF63BE7B"/>
      </colorScale>
    </cfRule>
  </conditionalFormatting>
  <conditionalFormatting sqref="AC205:AW205">
    <cfRule type="colorScale" priority="1321">
      <colorScale>
        <cfvo type="min"/>
        <cfvo type="max"/>
        <color rgb="FFFCFCFF"/>
        <color rgb="FF63BE7B"/>
      </colorScale>
    </cfRule>
  </conditionalFormatting>
  <conditionalFormatting sqref="AC207:AW207">
    <cfRule type="colorScale" priority="1320">
      <colorScale>
        <cfvo type="min"/>
        <cfvo type="max"/>
        <color rgb="FFFCFCFF"/>
        <color rgb="FF63BE7B"/>
      </colorScale>
    </cfRule>
  </conditionalFormatting>
  <conditionalFormatting sqref="AC209:AW209">
    <cfRule type="colorScale" priority="1319">
      <colorScale>
        <cfvo type="min"/>
        <cfvo type="max"/>
        <color rgb="FFFCFCFF"/>
        <color rgb="FF63BE7B"/>
      </colorScale>
    </cfRule>
  </conditionalFormatting>
  <conditionalFormatting sqref="AC211:AW211">
    <cfRule type="colorScale" priority="1318">
      <colorScale>
        <cfvo type="min"/>
        <cfvo type="max"/>
        <color rgb="FFFCFCFF"/>
        <color rgb="FF63BE7B"/>
      </colorScale>
    </cfRule>
  </conditionalFormatting>
  <conditionalFormatting sqref="AC213:AW213">
    <cfRule type="colorScale" priority="1317">
      <colorScale>
        <cfvo type="min"/>
        <cfvo type="max"/>
        <color rgb="FFFCFCFF"/>
        <color rgb="FF63BE7B"/>
      </colorScale>
    </cfRule>
  </conditionalFormatting>
  <conditionalFormatting sqref="AC215:AW215">
    <cfRule type="colorScale" priority="1316">
      <colorScale>
        <cfvo type="min"/>
        <cfvo type="max"/>
        <color rgb="FFFCFCFF"/>
        <color rgb="FF63BE7B"/>
      </colorScale>
    </cfRule>
  </conditionalFormatting>
  <conditionalFormatting sqref="AC217:AW217">
    <cfRule type="colorScale" priority="1315">
      <colorScale>
        <cfvo type="min"/>
        <cfvo type="max"/>
        <color rgb="FFFCFCFF"/>
        <color rgb="FF63BE7B"/>
      </colorScale>
    </cfRule>
  </conditionalFormatting>
  <conditionalFormatting sqref="AC219:AW219">
    <cfRule type="colorScale" priority="1314">
      <colorScale>
        <cfvo type="min"/>
        <cfvo type="max"/>
        <color rgb="FFFCFCFF"/>
        <color rgb="FF63BE7B"/>
      </colorScale>
    </cfRule>
  </conditionalFormatting>
  <conditionalFormatting sqref="AC221:AW221">
    <cfRule type="colorScale" priority="1313">
      <colorScale>
        <cfvo type="min"/>
        <cfvo type="max"/>
        <color rgb="FFFCFCFF"/>
        <color rgb="FF63BE7B"/>
      </colorScale>
    </cfRule>
  </conditionalFormatting>
  <conditionalFormatting sqref="AC223:AW223">
    <cfRule type="colorScale" priority="1312">
      <colorScale>
        <cfvo type="min"/>
        <cfvo type="max"/>
        <color rgb="FFFCFCFF"/>
        <color rgb="FF63BE7B"/>
      </colorScale>
    </cfRule>
  </conditionalFormatting>
  <conditionalFormatting sqref="AC225:AW225">
    <cfRule type="colorScale" priority="1311">
      <colorScale>
        <cfvo type="min"/>
        <cfvo type="max"/>
        <color rgb="FFFCFCFF"/>
        <color rgb="FF63BE7B"/>
      </colorScale>
    </cfRule>
  </conditionalFormatting>
  <conditionalFormatting sqref="AC227:AW227">
    <cfRule type="colorScale" priority="1310">
      <colorScale>
        <cfvo type="min"/>
        <cfvo type="max"/>
        <color rgb="FFFCFCFF"/>
        <color rgb="FF63BE7B"/>
      </colorScale>
    </cfRule>
  </conditionalFormatting>
  <conditionalFormatting sqref="AC229:AW229">
    <cfRule type="colorScale" priority="1309">
      <colorScale>
        <cfvo type="min"/>
        <cfvo type="max"/>
        <color rgb="FFFCFCFF"/>
        <color rgb="FF63BE7B"/>
      </colorScale>
    </cfRule>
  </conditionalFormatting>
  <conditionalFormatting sqref="AC231:AW231">
    <cfRule type="colorScale" priority="1308">
      <colorScale>
        <cfvo type="min"/>
        <cfvo type="max"/>
        <color rgb="FFFCFCFF"/>
        <color rgb="FF63BE7B"/>
      </colorScale>
    </cfRule>
  </conditionalFormatting>
  <conditionalFormatting sqref="AC233:AW233">
    <cfRule type="colorScale" priority="1307">
      <colorScale>
        <cfvo type="min"/>
        <cfvo type="max"/>
        <color rgb="FFFCFCFF"/>
        <color rgb="FF63BE7B"/>
      </colorScale>
    </cfRule>
  </conditionalFormatting>
  <conditionalFormatting sqref="AC235:AW235">
    <cfRule type="colorScale" priority="1306">
      <colorScale>
        <cfvo type="min"/>
        <cfvo type="max"/>
        <color rgb="FFFCFCFF"/>
        <color rgb="FF63BE7B"/>
      </colorScale>
    </cfRule>
  </conditionalFormatting>
  <conditionalFormatting sqref="AC237:AW237">
    <cfRule type="colorScale" priority="1305">
      <colorScale>
        <cfvo type="min"/>
        <cfvo type="max"/>
        <color rgb="FFFCFCFF"/>
        <color rgb="FF63BE7B"/>
      </colorScale>
    </cfRule>
  </conditionalFormatting>
  <conditionalFormatting sqref="AC239:AW239">
    <cfRule type="colorScale" priority="1304">
      <colorScale>
        <cfvo type="min"/>
        <cfvo type="max"/>
        <color rgb="FFFCFCFF"/>
        <color rgb="FF63BE7B"/>
      </colorScale>
    </cfRule>
  </conditionalFormatting>
  <conditionalFormatting sqref="AC241:AW241">
    <cfRule type="colorScale" priority="1303">
      <colorScale>
        <cfvo type="min"/>
        <cfvo type="max"/>
        <color rgb="FFFCFCFF"/>
        <color rgb="FF63BE7B"/>
      </colorScale>
    </cfRule>
  </conditionalFormatting>
  <conditionalFormatting sqref="AC243:AW243">
    <cfRule type="colorScale" priority="1302">
      <colorScale>
        <cfvo type="min"/>
        <cfvo type="max"/>
        <color rgb="FFFCFCFF"/>
        <color rgb="FF63BE7B"/>
      </colorScale>
    </cfRule>
  </conditionalFormatting>
  <conditionalFormatting sqref="AC245:AW245">
    <cfRule type="colorScale" priority="1301">
      <colorScale>
        <cfvo type="min"/>
        <cfvo type="max"/>
        <color rgb="FFFCFCFF"/>
        <color rgb="FF63BE7B"/>
      </colorScale>
    </cfRule>
  </conditionalFormatting>
  <conditionalFormatting sqref="AC247:AW247">
    <cfRule type="colorScale" priority="1300">
      <colorScale>
        <cfvo type="min"/>
        <cfvo type="max"/>
        <color rgb="FFFCFCFF"/>
        <color rgb="FF63BE7B"/>
      </colorScale>
    </cfRule>
  </conditionalFormatting>
  <conditionalFormatting sqref="AC249:AW249">
    <cfRule type="colorScale" priority="1299">
      <colorScale>
        <cfvo type="min"/>
        <cfvo type="max"/>
        <color rgb="FFFCFCFF"/>
        <color rgb="FF63BE7B"/>
      </colorScale>
    </cfRule>
  </conditionalFormatting>
  <conditionalFormatting sqref="AC251:AW251">
    <cfRule type="colorScale" priority="1298">
      <colorScale>
        <cfvo type="min"/>
        <cfvo type="max"/>
        <color rgb="FFFCFCFF"/>
        <color rgb="FF63BE7B"/>
      </colorScale>
    </cfRule>
  </conditionalFormatting>
  <conditionalFormatting sqref="AC253:AW253">
    <cfRule type="colorScale" priority="1297">
      <colorScale>
        <cfvo type="min"/>
        <cfvo type="max"/>
        <color rgb="FFFCFCFF"/>
        <color rgb="FF63BE7B"/>
      </colorScale>
    </cfRule>
  </conditionalFormatting>
  <conditionalFormatting sqref="AC255:AW255">
    <cfRule type="colorScale" priority="1296">
      <colorScale>
        <cfvo type="min"/>
        <cfvo type="max"/>
        <color rgb="FFFCFCFF"/>
        <color rgb="FF63BE7B"/>
      </colorScale>
    </cfRule>
  </conditionalFormatting>
  <conditionalFormatting sqref="AC257:AW257">
    <cfRule type="colorScale" priority="1295">
      <colorScale>
        <cfvo type="min"/>
        <cfvo type="max"/>
        <color rgb="FFFCFCFF"/>
        <color rgb="FF63BE7B"/>
      </colorScale>
    </cfRule>
  </conditionalFormatting>
  <conditionalFormatting sqref="AC259:AW259">
    <cfRule type="colorScale" priority="1294">
      <colorScale>
        <cfvo type="min"/>
        <cfvo type="max"/>
        <color rgb="FFFCFCFF"/>
        <color rgb="FF63BE7B"/>
      </colorScale>
    </cfRule>
  </conditionalFormatting>
  <conditionalFormatting sqref="AC261:AW261">
    <cfRule type="colorScale" priority="1293">
      <colorScale>
        <cfvo type="min"/>
        <cfvo type="max"/>
        <color rgb="FFFCFCFF"/>
        <color rgb="FF63BE7B"/>
      </colorScale>
    </cfRule>
  </conditionalFormatting>
  <conditionalFormatting sqref="AC263:AW263">
    <cfRule type="colorScale" priority="1292">
      <colorScale>
        <cfvo type="min"/>
        <cfvo type="max"/>
        <color rgb="FFFCFCFF"/>
        <color rgb="FF63BE7B"/>
      </colorScale>
    </cfRule>
  </conditionalFormatting>
  <conditionalFormatting sqref="AC265:AW265">
    <cfRule type="colorScale" priority="1291">
      <colorScale>
        <cfvo type="min"/>
        <cfvo type="max"/>
        <color rgb="FFFCFCFF"/>
        <color rgb="FF63BE7B"/>
      </colorScale>
    </cfRule>
  </conditionalFormatting>
  <conditionalFormatting sqref="AC267:AW267">
    <cfRule type="colorScale" priority="1290">
      <colorScale>
        <cfvo type="min"/>
        <cfvo type="max"/>
        <color rgb="FFFCFCFF"/>
        <color rgb="FF63BE7B"/>
      </colorScale>
    </cfRule>
  </conditionalFormatting>
  <conditionalFormatting sqref="AC269:AW269">
    <cfRule type="colorScale" priority="1289">
      <colorScale>
        <cfvo type="min"/>
        <cfvo type="max"/>
        <color rgb="FFFCFCFF"/>
        <color rgb="FF63BE7B"/>
      </colorScale>
    </cfRule>
  </conditionalFormatting>
  <conditionalFormatting sqref="AC271:AW271">
    <cfRule type="colorScale" priority="1288">
      <colorScale>
        <cfvo type="min"/>
        <cfvo type="max"/>
        <color rgb="FFFCFCFF"/>
        <color rgb="FF63BE7B"/>
      </colorScale>
    </cfRule>
  </conditionalFormatting>
  <conditionalFormatting sqref="AC273:AW273">
    <cfRule type="colorScale" priority="1287">
      <colorScale>
        <cfvo type="min"/>
        <cfvo type="max"/>
        <color rgb="FFFCFCFF"/>
        <color rgb="FF63BE7B"/>
      </colorScale>
    </cfRule>
  </conditionalFormatting>
  <conditionalFormatting sqref="AC275:AW275">
    <cfRule type="colorScale" priority="1286">
      <colorScale>
        <cfvo type="min"/>
        <cfvo type="max"/>
        <color rgb="FFFCFCFF"/>
        <color rgb="FF63BE7B"/>
      </colorScale>
    </cfRule>
  </conditionalFormatting>
  <conditionalFormatting sqref="AC277:AW277">
    <cfRule type="colorScale" priority="1285">
      <colorScale>
        <cfvo type="min"/>
        <cfvo type="max"/>
        <color rgb="FFFCFCFF"/>
        <color rgb="FF63BE7B"/>
      </colorScale>
    </cfRule>
  </conditionalFormatting>
  <conditionalFormatting sqref="AC279:AW279">
    <cfRule type="colorScale" priority="1284">
      <colorScale>
        <cfvo type="min"/>
        <cfvo type="max"/>
        <color rgb="FFFCFCFF"/>
        <color rgb="FF63BE7B"/>
      </colorScale>
    </cfRule>
  </conditionalFormatting>
  <conditionalFormatting sqref="AC281:AW281">
    <cfRule type="colorScale" priority="1283">
      <colorScale>
        <cfvo type="min"/>
        <cfvo type="max"/>
        <color rgb="FFFCFCFF"/>
        <color rgb="FF63BE7B"/>
      </colorScale>
    </cfRule>
  </conditionalFormatting>
  <conditionalFormatting sqref="AC283:AW283">
    <cfRule type="colorScale" priority="1282">
      <colorScale>
        <cfvo type="min"/>
        <cfvo type="max"/>
        <color rgb="FFFCFCFF"/>
        <color rgb="FF63BE7B"/>
      </colorScale>
    </cfRule>
  </conditionalFormatting>
  <conditionalFormatting sqref="AC285:AW285">
    <cfRule type="colorScale" priority="1281">
      <colorScale>
        <cfvo type="min"/>
        <cfvo type="max"/>
        <color rgb="FFFCFCFF"/>
        <color rgb="FF63BE7B"/>
      </colorScale>
    </cfRule>
  </conditionalFormatting>
  <conditionalFormatting sqref="AC287:AW287">
    <cfRule type="colorScale" priority="1280">
      <colorScale>
        <cfvo type="min"/>
        <cfvo type="max"/>
        <color rgb="FFFCFCFF"/>
        <color rgb="FF63BE7B"/>
      </colorScale>
    </cfRule>
  </conditionalFormatting>
  <conditionalFormatting sqref="AC289:AW289">
    <cfRule type="colorScale" priority="1279">
      <colorScale>
        <cfvo type="min"/>
        <cfvo type="max"/>
        <color rgb="FFFCFCFF"/>
        <color rgb="FF63BE7B"/>
      </colorScale>
    </cfRule>
  </conditionalFormatting>
  <conditionalFormatting sqref="AC291:AW291">
    <cfRule type="colorScale" priority="1278">
      <colorScale>
        <cfvo type="min"/>
        <cfvo type="max"/>
        <color rgb="FFFCFCFF"/>
        <color rgb="FF63BE7B"/>
      </colorScale>
    </cfRule>
  </conditionalFormatting>
  <conditionalFormatting sqref="AC293:AW293">
    <cfRule type="colorScale" priority="1277">
      <colorScale>
        <cfvo type="min"/>
        <cfvo type="max"/>
        <color rgb="FFFCFCFF"/>
        <color rgb="FF63BE7B"/>
      </colorScale>
    </cfRule>
  </conditionalFormatting>
  <conditionalFormatting sqref="AC295:AW295">
    <cfRule type="colorScale" priority="1276">
      <colorScale>
        <cfvo type="min"/>
        <cfvo type="max"/>
        <color rgb="FFFCFCFF"/>
        <color rgb="FF63BE7B"/>
      </colorScale>
    </cfRule>
  </conditionalFormatting>
  <conditionalFormatting sqref="AC297:AW297">
    <cfRule type="colorScale" priority="1275">
      <colorScale>
        <cfvo type="min"/>
        <cfvo type="max"/>
        <color rgb="FFFCFCFF"/>
        <color rgb="FF63BE7B"/>
      </colorScale>
    </cfRule>
  </conditionalFormatting>
  <conditionalFormatting sqref="AC299:AW299">
    <cfRule type="colorScale" priority="1274">
      <colorScale>
        <cfvo type="min"/>
        <cfvo type="max"/>
        <color rgb="FFFCFCFF"/>
        <color rgb="FF63BE7B"/>
      </colorScale>
    </cfRule>
  </conditionalFormatting>
  <conditionalFormatting sqref="AC301:AW301">
    <cfRule type="colorScale" priority="1273">
      <colorScale>
        <cfvo type="min"/>
        <cfvo type="max"/>
        <color rgb="FFFCFCFF"/>
        <color rgb="FF63BE7B"/>
      </colorScale>
    </cfRule>
  </conditionalFormatting>
  <conditionalFormatting sqref="AC303:AW303">
    <cfRule type="colorScale" priority="1272">
      <colorScale>
        <cfvo type="min"/>
        <cfvo type="max"/>
        <color rgb="FFFCFCFF"/>
        <color rgb="FF63BE7B"/>
      </colorScale>
    </cfRule>
  </conditionalFormatting>
  <conditionalFormatting sqref="AC305:AW305">
    <cfRule type="colorScale" priority="1271">
      <colorScale>
        <cfvo type="min"/>
        <cfvo type="max"/>
        <color rgb="FFFCFCFF"/>
        <color rgb="FF63BE7B"/>
      </colorScale>
    </cfRule>
  </conditionalFormatting>
  <conditionalFormatting sqref="AC307:AW307">
    <cfRule type="colorScale" priority="1270">
      <colorScale>
        <cfvo type="min"/>
        <cfvo type="max"/>
        <color rgb="FFFCFCFF"/>
        <color rgb="FF63BE7B"/>
      </colorScale>
    </cfRule>
  </conditionalFormatting>
  <conditionalFormatting sqref="AC309:AW309">
    <cfRule type="colorScale" priority="1269">
      <colorScale>
        <cfvo type="min"/>
        <cfvo type="max"/>
        <color rgb="FFFCFCFF"/>
        <color rgb="FF63BE7B"/>
      </colorScale>
    </cfRule>
  </conditionalFormatting>
  <conditionalFormatting sqref="AC311:AW311">
    <cfRule type="colorScale" priority="1268">
      <colorScale>
        <cfvo type="min"/>
        <cfvo type="max"/>
        <color rgb="FFFCFCFF"/>
        <color rgb="FF63BE7B"/>
      </colorScale>
    </cfRule>
  </conditionalFormatting>
  <conditionalFormatting sqref="AC313:AW313">
    <cfRule type="colorScale" priority="1267">
      <colorScale>
        <cfvo type="min"/>
        <cfvo type="max"/>
        <color rgb="FFFCFCFF"/>
        <color rgb="FF63BE7B"/>
      </colorScale>
    </cfRule>
  </conditionalFormatting>
  <conditionalFormatting sqref="AC315:AW315">
    <cfRule type="colorScale" priority="1266">
      <colorScale>
        <cfvo type="min"/>
        <cfvo type="max"/>
        <color rgb="FFFCFCFF"/>
        <color rgb="FF63BE7B"/>
      </colorScale>
    </cfRule>
  </conditionalFormatting>
  <conditionalFormatting sqref="AC317:AW317">
    <cfRule type="colorScale" priority="1265">
      <colorScale>
        <cfvo type="min"/>
        <cfvo type="max"/>
        <color rgb="FFFCFCFF"/>
        <color rgb="FF63BE7B"/>
      </colorScale>
    </cfRule>
  </conditionalFormatting>
  <conditionalFormatting sqref="AC319:AW319">
    <cfRule type="colorScale" priority="1264">
      <colorScale>
        <cfvo type="min"/>
        <cfvo type="max"/>
        <color rgb="FFFCFCFF"/>
        <color rgb="FF63BE7B"/>
      </colorScale>
    </cfRule>
  </conditionalFormatting>
  <conditionalFormatting sqref="AC321:AW321">
    <cfRule type="colorScale" priority="1263">
      <colorScale>
        <cfvo type="min"/>
        <cfvo type="max"/>
        <color rgb="FFFCFCFF"/>
        <color rgb="FF63BE7B"/>
      </colorScale>
    </cfRule>
  </conditionalFormatting>
  <conditionalFormatting sqref="AC323:AW323">
    <cfRule type="colorScale" priority="1262">
      <colorScale>
        <cfvo type="min"/>
        <cfvo type="max"/>
        <color rgb="FFFCFCFF"/>
        <color rgb="FF63BE7B"/>
      </colorScale>
    </cfRule>
  </conditionalFormatting>
  <conditionalFormatting sqref="AC325:AW325">
    <cfRule type="colorScale" priority="1261">
      <colorScale>
        <cfvo type="min"/>
        <cfvo type="max"/>
        <color rgb="FFFCFCFF"/>
        <color rgb="FF63BE7B"/>
      </colorScale>
    </cfRule>
  </conditionalFormatting>
  <conditionalFormatting sqref="AC327:AW327">
    <cfRule type="colorScale" priority="1260">
      <colorScale>
        <cfvo type="min"/>
        <cfvo type="max"/>
        <color rgb="FFFCFCFF"/>
        <color rgb="FF63BE7B"/>
      </colorScale>
    </cfRule>
  </conditionalFormatting>
  <conditionalFormatting sqref="AC329:AW329">
    <cfRule type="colorScale" priority="1259">
      <colorScale>
        <cfvo type="min"/>
        <cfvo type="max"/>
        <color rgb="FFFCFCFF"/>
        <color rgb="FF63BE7B"/>
      </colorScale>
    </cfRule>
  </conditionalFormatting>
  <conditionalFormatting sqref="AC331:AW331">
    <cfRule type="colorScale" priority="1258">
      <colorScale>
        <cfvo type="min"/>
        <cfvo type="max"/>
        <color rgb="FFFCFCFF"/>
        <color rgb="FF63BE7B"/>
      </colorScale>
    </cfRule>
  </conditionalFormatting>
  <conditionalFormatting sqref="AC333:AW333">
    <cfRule type="colorScale" priority="1257">
      <colorScale>
        <cfvo type="min"/>
        <cfvo type="max"/>
        <color rgb="FFFCFCFF"/>
        <color rgb="FF63BE7B"/>
      </colorScale>
    </cfRule>
  </conditionalFormatting>
  <conditionalFormatting sqref="AC335:AW335">
    <cfRule type="colorScale" priority="1256">
      <colorScale>
        <cfvo type="min"/>
        <cfvo type="max"/>
        <color rgb="FFFCFCFF"/>
        <color rgb="FF63BE7B"/>
      </colorScale>
    </cfRule>
  </conditionalFormatting>
  <conditionalFormatting sqref="AC337:AW337">
    <cfRule type="colorScale" priority="1255">
      <colorScale>
        <cfvo type="min"/>
        <cfvo type="max"/>
        <color rgb="FFFCFCFF"/>
        <color rgb="FF63BE7B"/>
      </colorScale>
    </cfRule>
  </conditionalFormatting>
  <conditionalFormatting sqref="AC339:AW339">
    <cfRule type="colorScale" priority="1254">
      <colorScale>
        <cfvo type="min"/>
        <cfvo type="max"/>
        <color rgb="FFFCFCFF"/>
        <color rgb="FF63BE7B"/>
      </colorScale>
    </cfRule>
  </conditionalFormatting>
  <conditionalFormatting sqref="AC341:AW341">
    <cfRule type="colorScale" priority="1253">
      <colorScale>
        <cfvo type="min"/>
        <cfvo type="max"/>
        <color rgb="FFFCFCFF"/>
        <color rgb="FF63BE7B"/>
      </colorScale>
    </cfRule>
  </conditionalFormatting>
  <conditionalFormatting sqref="AC343:AW343">
    <cfRule type="colorScale" priority="1252">
      <colorScale>
        <cfvo type="min"/>
        <cfvo type="max"/>
        <color rgb="FFFCFCFF"/>
        <color rgb="FF63BE7B"/>
      </colorScale>
    </cfRule>
  </conditionalFormatting>
  <conditionalFormatting sqref="AC345:AW345">
    <cfRule type="colorScale" priority="1251">
      <colorScale>
        <cfvo type="min"/>
        <cfvo type="max"/>
        <color rgb="FFFCFCFF"/>
        <color rgb="FF63BE7B"/>
      </colorScale>
    </cfRule>
  </conditionalFormatting>
  <conditionalFormatting sqref="AC347:AW347">
    <cfRule type="colorScale" priority="1250">
      <colorScale>
        <cfvo type="min"/>
        <cfvo type="max"/>
        <color rgb="FFFCFCFF"/>
        <color rgb="FF63BE7B"/>
      </colorScale>
    </cfRule>
  </conditionalFormatting>
  <conditionalFormatting sqref="AC349:AW349">
    <cfRule type="colorScale" priority="1249">
      <colorScale>
        <cfvo type="min"/>
        <cfvo type="max"/>
        <color rgb="FFFCFCFF"/>
        <color rgb="FF63BE7B"/>
      </colorScale>
    </cfRule>
  </conditionalFormatting>
  <conditionalFormatting sqref="AC351:AW351">
    <cfRule type="colorScale" priority="1248">
      <colorScale>
        <cfvo type="min"/>
        <cfvo type="max"/>
        <color rgb="FFFCFCFF"/>
        <color rgb="FF63BE7B"/>
      </colorScale>
    </cfRule>
  </conditionalFormatting>
  <conditionalFormatting sqref="AC353:AW353">
    <cfRule type="colorScale" priority="1247">
      <colorScale>
        <cfvo type="min"/>
        <cfvo type="max"/>
        <color rgb="FFFCFCFF"/>
        <color rgb="FF63BE7B"/>
      </colorScale>
    </cfRule>
  </conditionalFormatting>
  <conditionalFormatting sqref="AC355:AW355">
    <cfRule type="colorScale" priority="1246">
      <colorScale>
        <cfvo type="min"/>
        <cfvo type="max"/>
        <color rgb="FFFCFCFF"/>
        <color rgb="FF63BE7B"/>
      </colorScale>
    </cfRule>
  </conditionalFormatting>
  <conditionalFormatting sqref="AC357:AW357">
    <cfRule type="colorScale" priority="1245">
      <colorScale>
        <cfvo type="min"/>
        <cfvo type="max"/>
        <color rgb="FFFCFCFF"/>
        <color rgb="FF63BE7B"/>
      </colorScale>
    </cfRule>
  </conditionalFormatting>
  <conditionalFormatting sqref="AC359:AW359">
    <cfRule type="colorScale" priority="1244">
      <colorScale>
        <cfvo type="min"/>
        <cfvo type="max"/>
        <color rgb="FFFCFCFF"/>
        <color rgb="FF63BE7B"/>
      </colorScale>
    </cfRule>
  </conditionalFormatting>
  <conditionalFormatting sqref="AC361:AW361">
    <cfRule type="colorScale" priority="1243">
      <colorScale>
        <cfvo type="min"/>
        <cfvo type="max"/>
        <color rgb="FFFCFCFF"/>
        <color rgb="FF63BE7B"/>
      </colorScale>
    </cfRule>
  </conditionalFormatting>
  <conditionalFormatting sqref="AC363:AW363">
    <cfRule type="colorScale" priority="1242">
      <colorScale>
        <cfvo type="min"/>
        <cfvo type="max"/>
        <color rgb="FFFCFCFF"/>
        <color rgb="FF63BE7B"/>
      </colorScale>
    </cfRule>
  </conditionalFormatting>
  <conditionalFormatting sqref="AC365:AW365">
    <cfRule type="colorScale" priority="1241">
      <colorScale>
        <cfvo type="min"/>
        <cfvo type="max"/>
        <color rgb="FFFCFCFF"/>
        <color rgb="FF63BE7B"/>
      </colorScale>
    </cfRule>
  </conditionalFormatting>
  <conditionalFormatting sqref="AC367:AW367">
    <cfRule type="colorScale" priority="1240">
      <colorScale>
        <cfvo type="min"/>
        <cfvo type="max"/>
        <color rgb="FFFCFCFF"/>
        <color rgb="FF63BE7B"/>
      </colorScale>
    </cfRule>
  </conditionalFormatting>
  <conditionalFormatting sqref="AC369:AW369">
    <cfRule type="colorScale" priority="1239">
      <colorScale>
        <cfvo type="min"/>
        <cfvo type="max"/>
        <color rgb="FFFCFCFF"/>
        <color rgb="FF63BE7B"/>
      </colorScale>
    </cfRule>
  </conditionalFormatting>
  <conditionalFormatting sqref="AC371:AW371">
    <cfRule type="colorScale" priority="1238">
      <colorScale>
        <cfvo type="min"/>
        <cfvo type="max"/>
        <color rgb="FFFCFCFF"/>
        <color rgb="FF63BE7B"/>
      </colorScale>
    </cfRule>
  </conditionalFormatting>
  <conditionalFormatting sqref="AC373:AW373">
    <cfRule type="colorScale" priority="1237">
      <colorScale>
        <cfvo type="min"/>
        <cfvo type="max"/>
        <color rgb="FFFCFCFF"/>
        <color rgb="FF63BE7B"/>
      </colorScale>
    </cfRule>
  </conditionalFormatting>
  <conditionalFormatting sqref="AC375:AW375">
    <cfRule type="colorScale" priority="1236">
      <colorScale>
        <cfvo type="min"/>
        <cfvo type="max"/>
        <color rgb="FFFCFCFF"/>
        <color rgb="FF63BE7B"/>
      </colorScale>
    </cfRule>
  </conditionalFormatting>
  <conditionalFormatting sqref="AC377:AW377">
    <cfRule type="colorScale" priority="1235">
      <colorScale>
        <cfvo type="min"/>
        <cfvo type="max"/>
        <color rgb="FFFCFCFF"/>
        <color rgb="FF63BE7B"/>
      </colorScale>
    </cfRule>
  </conditionalFormatting>
  <conditionalFormatting sqref="AC379:AW379">
    <cfRule type="colorScale" priority="1234">
      <colorScale>
        <cfvo type="min"/>
        <cfvo type="max"/>
        <color rgb="FFFCFCFF"/>
        <color rgb="FF63BE7B"/>
      </colorScale>
    </cfRule>
  </conditionalFormatting>
  <conditionalFormatting sqref="AC381:AW381">
    <cfRule type="colorScale" priority="1233">
      <colorScale>
        <cfvo type="min"/>
        <cfvo type="max"/>
        <color rgb="FFFCFCFF"/>
        <color rgb="FF63BE7B"/>
      </colorScale>
    </cfRule>
  </conditionalFormatting>
  <conditionalFormatting sqref="AC383:AW383">
    <cfRule type="colorScale" priority="1232">
      <colorScale>
        <cfvo type="min"/>
        <cfvo type="max"/>
        <color rgb="FFFCFCFF"/>
        <color rgb="FF63BE7B"/>
      </colorScale>
    </cfRule>
  </conditionalFormatting>
  <conditionalFormatting sqref="AC385:AW385">
    <cfRule type="colorScale" priority="1231">
      <colorScale>
        <cfvo type="min"/>
        <cfvo type="max"/>
        <color rgb="FFFCFCFF"/>
        <color rgb="FF63BE7B"/>
      </colorScale>
    </cfRule>
  </conditionalFormatting>
  <conditionalFormatting sqref="AC387:AW387">
    <cfRule type="colorScale" priority="1230">
      <colorScale>
        <cfvo type="min"/>
        <cfvo type="max"/>
        <color rgb="FFFCFCFF"/>
        <color rgb="FF63BE7B"/>
      </colorScale>
    </cfRule>
  </conditionalFormatting>
  <conditionalFormatting sqref="AC389:AW389">
    <cfRule type="colorScale" priority="1229">
      <colorScale>
        <cfvo type="min"/>
        <cfvo type="max"/>
        <color rgb="FFFCFCFF"/>
        <color rgb="FF63BE7B"/>
      </colorScale>
    </cfRule>
  </conditionalFormatting>
  <conditionalFormatting sqref="AC391:AW391">
    <cfRule type="colorScale" priority="1228">
      <colorScale>
        <cfvo type="min"/>
        <cfvo type="max"/>
        <color rgb="FFFCFCFF"/>
        <color rgb="FF63BE7B"/>
      </colorScale>
    </cfRule>
  </conditionalFormatting>
  <conditionalFormatting sqref="AC393:AW393">
    <cfRule type="colorScale" priority="1227">
      <colorScale>
        <cfvo type="min"/>
        <cfvo type="max"/>
        <color rgb="FFFCFCFF"/>
        <color rgb="FF63BE7B"/>
      </colorScale>
    </cfRule>
  </conditionalFormatting>
  <conditionalFormatting sqref="AC395:AW395">
    <cfRule type="colorScale" priority="1226">
      <colorScale>
        <cfvo type="min"/>
        <cfvo type="max"/>
        <color rgb="FFFCFCFF"/>
        <color rgb="FF63BE7B"/>
      </colorScale>
    </cfRule>
  </conditionalFormatting>
  <conditionalFormatting sqref="AC397:AW397">
    <cfRule type="colorScale" priority="1225">
      <colorScale>
        <cfvo type="min"/>
        <cfvo type="max"/>
        <color rgb="FFFCFCFF"/>
        <color rgb="FF63BE7B"/>
      </colorScale>
    </cfRule>
  </conditionalFormatting>
  <conditionalFormatting sqref="AC399:AW399">
    <cfRule type="colorScale" priority="1224">
      <colorScale>
        <cfvo type="min"/>
        <cfvo type="max"/>
        <color rgb="FFFCFCFF"/>
        <color rgb="FF63BE7B"/>
      </colorScale>
    </cfRule>
  </conditionalFormatting>
  <conditionalFormatting sqref="AC401:AW401">
    <cfRule type="colorScale" priority="1223">
      <colorScale>
        <cfvo type="min"/>
        <cfvo type="max"/>
        <color rgb="FFFCFCFF"/>
        <color rgb="FF63BE7B"/>
      </colorScale>
    </cfRule>
  </conditionalFormatting>
  <conditionalFormatting sqref="AC403:AW403">
    <cfRule type="colorScale" priority="1222">
      <colorScale>
        <cfvo type="min"/>
        <cfvo type="max"/>
        <color rgb="FFFCFCFF"/>
        <color rgb="FF63BE7B"/>
      </colorScale>
    </cfRule>
  </conditionalFormatting>
  <conditionalFormatting sqref="AC405:AW405">
    <cfRule type="colorScale" priority="1221">
      <colorScale>
        <cfvo type="min"/>
        <cfvo type="max"/>
        <color rgb="FFFCFCFF"/>
        <color rgb="FF63BE7B"/>
      </colorScale>
    </cfRule>
  </conditionalFormatting>
  <conditionalFormatting sqref="AC407:AW407">
    <cfRule type="colorScale" priority="1220">
      <colorScale>
        <cfvo type="min"/>
        <cfvo type="max"/>
        <color rgb="FFFCFCFF"/>
        <color rgb="FF63BE7B"/>
      </colorScale>
    </cfRule>
  </conditionalFormatting>
  <conditionalFormatting sqref="AC409:AW409">
    <cfRule type="colorScale" priority="1219">
      <colorScale>
        <cfvo type="min"/>
        <cfvo type="max"/>
        <color rgb="FFFCFCFF"/>
        <color rgb="FF63BE7B"/>
      </colorScale>
    </cfRule>
  </conditionalFormatting>
  <conditionalFormatting sqref="AC411:AW411">
    <cfRule type="colorScale" priority="1218">
      <colorScale>
        <cfvo type="min"/>
        <cfvo type="max"/>
        <color rgb="FFFCFCFF"/>
        <color rgb="FF63BE7B"/>
      </colorScale>
    </cfRule>
  </conditionalFormatting>
  <conditionalFormatting sqref="AC413:AW413">
    <cfRule type="colorScale" priority="1217">
      <colorScale>
        <cfvo type="min"/>
        <cfvo type="max"/>
        <color rgb="FFFCFCFF"/>
        <color rgb="FF63BE7B"/>
      </colorScale>
    </cfRule>
  </conditionalFormatting>
  <conditionalFormatting sqref="AC415:AW415">
    <cfRule type="colorScale" priority="1216">
      <colorScale>
        <cfvo type="min"/>
        <cfvo type="max"/>
        <color rgb="FFFCFCFF"/>
        <color rgb="FF63BE7B"/>
      </colorScale>
    </cfRule>
  </conditionalFormatting>
  <conditionalFormatting sqref="AC417:AW417">
    <cfRule type="colorScale" priority="1215">
      <colorScale>
        <cfvo type="min"/>
        <cfvo type="max"/>
        <color rgb="FFFCFCFF"/>
        <color rgb="FF63BE7B"/>
      </colorScale>
    </cfRule>
  </conditionalFormatting>
  <conditionalFormatting sqref="AC419:AW419">
    <cfRule type="colorScale" priority="1214">
      <colorScale>
        <cfvo type="min"/>
        <cfvo type="max"/>
        <color rgb="FFFCFCFF"/>
        <color rgb="FF63BE7B"/>
      </colorScale>
    </cfRule>
  </conditionalFormatting>
  <conditionalFormatting sqref="AC421:AW421">
    <cfRule type="colorScale" priority="1213">
      <colorScale>
        <cfvo type="min"/>
        <cfvo type="max"/>
        <color rgb="FFFCFCFF"/>
        <color rgb="FF63BE7B"/>
      </colorScale>
    </cfRule>
  </conditionalFormatting>
  <conditionalFormatting sqref="AC423:AW423">
    <cfRule type="colorScale" priority="1212">
      <colorScale>
        <cfvo type="min"/>
        <cfvo type="max"/>
        <color rgb="FFFCFCFF"/>
        <color rgb="FF63BE7B"/>
      </colorScale>
    </cfRule>
  </conditionalFormatting>
  <conditionalFormatting sqref="AC425:AW425">
    <cfRule type="colorScale" priority="1211">
      <colorScale>
        <cfvo type="min"/>
        <cfvo type="max"/>
        <color rgb="FFFCFCFF"/>
        <color rgb="FF63BE7B"/>
      </colorScale>
    </cfRule>
  </conditionalFormatting>
  <conditionalFormatting sqref="AC427:AW427">
    <cfRule type="colorScale" priority="1210">
      <colorScale>
        <cfvo type="min"/>
        <cfvo type="max"/>
        <color rgb="FFFCFCFF"/>
        <color rgb="FF63BE7B"/>
      </colorScale>
    </cfRule>
  </conditionalFormatting>
  <conditionalFormatting sqref="AC429:AW429">
    <cfRule type="colorScale" priority="1209">
      <colorScale>
        <cfvo type="min"/>
        <cfvo type="max"/>
        <color rgb="FFFCFCFF"/>
        <color rgb="FF63BE7B"/>
      </colorScale>
    </cfRule>
  </conditionalFormatting>
  <conditionalFormatting sqref="AC431:AW431">
    <cfRule type="colorScale" priority="1208">
      <colorScale>
        <cfvo type="min"/>
        <cfvo type="max"/>
        <color rgb="FFFCFCFF"/>
        <color rgb="FF63BE7B"/>
      </colorScale>
    </cfRule>
  </conditionalFormatting>
  <conditionalFormatting sqref="AC433:AW433">
    <cfRule type="colorScale" priority="1207">
      <colorScale>
        <cfvo type="min"/>
        <cfvo type="max"/>
        <color rgb="FFFCFCFF"/>
        <color rgb="FF63BE7B"/>
      </colorScale>
    </cfRule>
  </conditionalFormatting>
  <conditionalFormatting sqref="AC435:AW435">
    <cfRule type="colorScale" priority="1206">
      <colorScale>
        <cfvo type="min"/>
        <cfvo type="max"/>
        <color rgb="FFFCFCFF"/>
        <color rgb="FF63BE7B"/>
      </colorScale>
    </cfRule>
  </conditionalFormatting>
  <conditionalFormatting sqref="AC437:AW437">
    <cfRule type="colorScale" priority="1205">
      <colorScale>
        <cfvo type="min"/>
        <cfvo type="max"/>
        <color rgb="FFFCFCFF"/>
        <color rgb="FF63BE7B"/>
      </colorScale>
    </cfRule>
  </conditionalFormatting>
  <conditionalFormatting sqref="AC439:AW439">
    <cfRule type="colorScale" priority="1204">
      <colorScale>
        <cfvo type="min"/>
        <cfvo type="max"/>
        <color rgb="FFFCFCFF"/>
        <color rgb="FF63BE7B"/>
      </colorScale>
    </cfRule>
  </conditionalFormatting>
  <conditionalFormatting sqref="AC441:AW441">
    <cfRule type="colorScale" priority="1203">
      <colorScale>
        <cfvo type="min"/>
        <cfvo type="max"/>
        <color rgb="FFFCFCFF"/>
        <color rgb="FF63BE7B"/>
      </colorScale>
    </cfRule>
  </conditionalFormatting>
  <conditionalFormatting sqref="AC443:AW443">
    <cfRule type="colorScale" priority="1202">
      <colorScale>
        <cfvo type="min"/>
        <cfvo type="max"/>
        <color rgb="FFFCFCFF"/>
        <color rgb="FF63BE7B"/>
      </colorScale>
    </cfRule>
  </conditionalFormatting>
  <conditionalFormatting sqref="AC445:AW445">
    <cfRule type="colorScale" priority="1201">
      <colorScale>
        <cfvo type="min"/>
        <cfvo type="max"/>
        <color rgb="FFFCFCFF"/>
        <color rgb="FF63BE7B"/>
      </colorScale>
    </cfRule>
  </conditionalFormatting>
  <conditionalFormatting sqref="AC447:AW447">
    <cfRule type="colorScale" priority="1200">
      <colorScale>
        <cfvo type="min"/>
        <cfvo type="max"/>
        <color rgb="FFFCFCFF"/>
        <color rgb="FF63BE7B"/>
      </colorScale>
    </cfRule>
  </conditionalFormatting>
  <conditionalFormatting sqref="AC449:AW449">
    <cfRule type="colorScale" priority="1199">
      <colorScale>
        <cfvo type="min"/>
        <cfvo type="max"/>
        <color rgb="FFFCFCFF"/>
        <color rgb="FF63BE7B"/>
      </colorScale>
    </cfRule>
  </conditionalFormatting>
  <conditionalFormatting sqref="AC451:AW451">
    <cfRule type="colorScale" priority="1198">
      <colorScale>
        <cfvo type="min"/>
        <cfvo type="max"/>
        <color rgb="FFFCFCFF"/>
        <color rgb="FF63BE7B"/>
      </colorScale>
    </cfRule>
  </conditionalFormatting>
  <conditionalFormatting sqref="AC453:AW453">
    <cfRule type="colorScale" priority="1197">
      <colorScale>
        <cfvo type="min"/>
        <cfvo type="max"/>
        <color rgb="FFFCFCFF"/>
        <color rgb="FF63BE7B"/>
      </colorScale>
    </cfRule>
  </conditionalFormatting>
  <conditionalFormatting sqref="AC455:AW455">
    <cfRule type="colorScale" priority="1196">
      <colorScale>
        <cfvo type="min"/>
        <cfvo type="max"/>
        <color rgb="FFFCFCFF"/>
        <color rgb="FF63BE7B"/>
      </colorScale>
    </cfRule>
  </conditionalFormatting>
  <conditionalFormatting sqref="AC457:AW457">
    <cfRule type="colorScale" priority="1195">
      <colorScale>
        <cfvo type="min"/>
        <cfvo type="max"/>
        <color rgb="FFFCFCFF"/>
        <color rgb="FF63BE7B"/>
      </colorScale>
    </cfRule>
  </conditionalFormatting>
  <conditionalFormatting sqref="AC459:AW459">
    <cfRule type="colorScale" priority="1194">
      <colorScale>
        <cfvo type="min"/>
        <cfvo type="max"/>
        <color rgb="FFFCFCFF"/>
        <color rgb="FF63BE7B"/>
      </colorScale>
    </cfRule>
  </conditionalFormatting>
  <conditionalFormatting sqref="AC461:AW461">
    <cfRule type="colorScale" priority="1193">
      <colorScale>
        <cfvo type="min"/>
        <cfvo type="max"/>
        <color rgb="FFFCFCFF"/>
        <color rgb="FF63BE7B"/>
      </colorScale>
    </cfRule>
  </conditionalFormatting>
  <conditionalFormatting sqref="AC463:AW463">
    <cfRule type="colorScale" priority="1192">
      <colorScale>
        <cfvo type="min"/>
        <cfvo type="max"/>
        <color rgb="FFFCFCFF"/>
        <color rgb="FF63BE7B"/>
      </colorScale>
    </cfRule>
  </conditionalFormatting>
  <conditionalFormatting sqref="AC465:AW465">
    <cfRule type="colorScale" priority="1191">
      <colorScale>
        <cfvo type="min"/>
        <cfvo type="max"/>
        <color rgb="FFFCFCFF"/>
        <color rgb="FF63BE7B"/>
      </colorScale>
    </cfRule>
  </conditionalFormatting>
  <conditionalFormatting sqref="AC467:AW467">
    <cfRule type="colorScale" priority="1190">
      <colorScale>
        <cfvo type="min"/>
        <cfvo type="max"/>
        <color rgb="FFFCFCFF"/>
        <color rgb="FF63BE7B"/>
      </colorScale>
    </cfRule>
  </conditionalFormatting>
  <conditionalFormatting sqref="AC469:AW469">
    <cfRule type="colorScale" priority="1189">
      <colorScale>
        <cfvo type="min"/>
        <cfvo type="max"/>
        <color rgb="FFFCFCFF"/>
        <color rgb="FF63BE7B"/>
      </colorScale>
    </cfRule>
  </conditionalFormatting>
  <conditionalFormatting sqref="AC471:AW471">
    <cfRule type="colorScale" priority="1188">
      <colorScale>
        <cfvo type="min"/>
        <cfvo type="max"/>
        <color rgb="FFFCFCFF"/>
        <color rgb="FF63BE7B"/>
      </colorScale>
    </cfRule>
  </conditionalFormatting>
  <conditionalFormatting sqref="AC473:AW473">
    <cfRule type="colorScale" priority="1187">
      <colorScale>
        <cfvo type="min"/>
        <cfvo type="max"/>
        <color rgb="FFFCFCFF"/>
        <color rgb="FF63BE7B"/>
      </colorScale>
    </cfRule>
  </conditionalFormatting>
  <conditionalFormatting sqref="AC475:AW475">
    <cfRule type="colorScale" priority="1186">
      <colorScale>
        <cfvo type="min"/>
        <cfvo type="max"/>
        <color rgb="FFFCFCFF"/>
        <color rgb="FF63BE7B"/>
      </colorScale>
    </cfRule>
  </conditionalFormatting>
  <conditionalFormatting sqref="AC477:AW477">
    <cfRule type="colorScale" priority="1185">
      <colorScale>
        <cfvo type="min"/>
        <cfvo type="max"/>
        <color rgb="FFFCFCFF"/>
        <color rgb="FF63BE7B"/>
      </colorScale>
    </cfRule>
  </conditionalFormatting>
  <conditionalFormatting sqref="AC479:AW479">
    <cfRule type="colorScale" priority="1184">
      <colorScale>
        <cfvo type="min"/>
        <cfvo type="max"/>
        <color rgb="FFFCFCFF"/>
        <color rgb="FF63BE7B"/>
      </colorScale>
    </cfRule>
  </conditionalFormatting>
  <conditionalFormatting sqref="AC481:AW481">
    <cfRule type="colorScale" priority="1183">
      <colorScale>
        <cfvo type="min"/>
        <cfvo type="max"/>
        <color rgb="FFFCFCFF"/>
        <color rgb="FF63BE7B"/>
      </colorScale>
    </cfRule>
  </conditionalFormatting>
  <conditionalFormatting sqref="AC483:AW483">
    <cfRule type="colorScale" priority="1182">
      <colorScale>
        <cfvo type="min"/>
        <cfvo type="max"/>
        <color rgb="FFFCFCFF"/>
        <color rgb="FF63BE7B"/>
      </colorScale>
    </cfRule>
  </conditionalFormatting>
  <conditionalFormatting sqref="AC485:AW485">
    <cfRule type="colorScale" priority="1181">
      <colorScale>
        <cfvo type="min"/>
        <cfvo type="max"/>
        <color rgb="FFFCFCFF"/>
        <color rgb="FF63BE7B"/>
      </colorScale>
    </cfRule>
  </conditionalFormatting>
  <conditionalFormatting sqref="AC487:AW487">
    <cfRule type="colorScale" priority="1180">
      <colorScale>
        <cfvo type="min"/>
        <cfvo type="max"/>
        <color rgb="FFFCFCFF"/>
        <color rgb="FF63BE7B"/>
      </colorScale>
    </cfRule>
  </conditionalFormatting>
  <conditionalFormatting sqref="AC489:AW489">
    <cfRule type="colorScale" priority="1179">
      <colorScale>
        <cfvo type="min"/>
        <cfvo type="max"/>
        <color rgb="FFFCFCFF"/>
        <color rgb="FF63BE7B"/>
      </colorScale>
    </cfRule>
  </conditionalFormatting>
  <conditionalFormatting sqref="AC491:AW491">
    <cfRule type="colorScale" priority="1178">
      <colorScale>
        <cfvo type="min"/>
        <cfvo type="max"/>
        <color rgb="FFFCFCFF"/>
        <color rgb="FF63BE7B"/>
      </colorScale>
    </cfRule>
  </conditionalFormatting>
  <conditionalFormatting sqref="AC493:AW493">
    <cfRule type="colorScale" priority="1177">
      <colorScale>
        <cfvo type="min"/>
        <cfvo type="max"/>
        <color rgb="FFFCFCFF"/>
        <color rgb="FF63BE7B"/>
      </colorScale>
    </cfRule>
  </conditionalFormatting>
  <conditionalFormatting sqref="AC495:AW495">
    <cfRule type="colorScale" priority="1176">
      <colorScale>
        <cfvo type="min"/>
        <cfvo type="max"/>
        <color rgb="FFFCFCFF"/>
        <color rgb="FF63BE7B"/>
      </colorScale>
    </cfRule>
  </conditionalFormatting>
  <conditionalFormatting sqref="AC497:AW497">
    <cfRule type="colorScale" priority="1175">
      <colorScale>
        <cfvo type="min"/>
        <cfvo type="max"/>
        <color rgb="FFFCFCFF"/>
        <color rgb="FF63BE7B"/>
      </colorScale>
    </cfRule>
  </conditionalFormatting>
  <conditionalFormatting sqref="AC499:AW499">
    <cfRule type="colorScale" priority="1174">
      <colorScale>
        <cfvo type="min"/>
        <cfvo type="max"/>
        <color rgb="FFFCFCFF"/>
        <color rgb="FF63BE7B"/>
      </colorScale>
    </cfRule>
  </conditionalFormatting>
  <conditionalFormatting sqref="AC501:AW501">
    <cfRule type="colorScale" priority="1173">
      <colorScale>
        <cfvo type="min"/>
        <cfvo type="max"/>
        <color rgb="FFFCFCFF"/>
        <color rgb="FF63BE7B"/>
      </colorScale>
    </cfRule>
  </conditionalFormatting>
  <conditionalFormatting sqref="AC503:AW503">
    <cfRule type="colorScale" priority="1172">
      <colorScale>
        <cfvo type="min"/>
        <cfvo type="max"/>
        <color rgb="FFFCFCFF"/>
        <color rgb="FF63BE7B"/>
      </colorScale>
    </cfRule>
  </conditionalFormatting>
  <conditionalFormatting sqref="AC505:AW505">
    <cfRule type="colorScale" priority="1171">
      <colorScale>
        <cfvo type="min"/>
        <cfvo type="max"/>
        <color rgb="FFFCFCFF"/>
        <color rgb="FF63BE7B"/>
      </colorScale>
    </cfRule>
  </conditionalFormatting>
  <conditionalFormatting sqref="AC507:AW507">
    <cfRule type="colorScale" priority="1170">
      <colorScale>
        <cfvo type="min"/>
        <cfvo type="max"/>
        <color rgb="FFFCFCFF"/>
        <color rgb="FF63BE7B"/>
      </colorScale>
    </cfRule>
  </conditionalFormatting>
  <conditionalFormatting sqref="AC509:AW509">
    <cfRule type="colorScale" priority="1169">
      <colorScale>
        <cfvo type="min"/>
        <cfvo type="max"/>
        <color rgb="FFFCFCFF"/>
        <color rgb="FF63BE7B"/>
      </colorScale>
    </cfRule>
  </conditionalFormatting>
  <conditionalFormatting sqref="AC511:AW511">
    <cfRule type="colorScale" priority="1168">
      <colorScale>
        <cfvo type="min"/>
        <cfvo type="max"/>
        <color rgb="FFFCFCFF"/>
        <color rgb="FF63BE7B"/>
      </colorScale>
    </cfRule>
  </conditionalFormatting>
  <conditionalFormatting sqref="AC513:AW513">
    <cfRule type="colorScale" priority="1167">
      <colorScale>
        <cfvo type="min"/>
        <cfvo type="max"/>
        <color rgb="FFFCFCFF"/>
        <color rgb="FF63BE7B"/>
      </colorScale>
    </cfRule>
  </conditionalFormatting>
  <conditionalFormatting sqref="AC515:AW515">
    <cfRule type="colorScale" priority="1166">
      <colorScale>
        <cfvo type="min"/>
        <cfvo type="max"/>
        <color rgb="FFFCFCFF"/>
        <color rgb="FF63BE7B"/>
      </colorScale>
    </cfRule>
  </conditionalFormatting>
  <conditionalFormatting sqref="AC517:AW517">
    <cfRule type="colorScale" priority="1165">
      <colorScale>
        <cfvo type="min"/>
        <cfvo type="max"/>
        <color rgb="FFFCFCFF"/>
        <color rgb="FF63BE7B"/>
      </colorScale>
    </cfRule>
  </conditionalFormatting>
  <conditionalFormatting sqref="AC519:AW519">
    <cfRule type="colorScale" priority="1164">
      <colorScale>
        <cfvo type="min"/>
        <cfvo type="max"/>
        <color rgb="FFFCFCFF"/>
        <color rgb="FF63BE7B"/>
      </colorScale>
    </cfRule>
  </conditionalFormatting>
  <conditionalFormatting sqref="AC521:AW521">
    <cfRule type="colorScale" priority="1163">
      <colorScale>
        <cfvo type="min"/>
        <cfvo type="max"/>
        <color rgb="FFFCFCFF"/>
        <color rgb="FF63BE7B"/>
      </colorScale>
    </cfRule>
  </conditionalFormatting>
  <conditionalFormatting sqref="AC523:AW523">
    <cfRule type="colorScale" priority="1162">
      <colorScale>
        <cfvo type="min"/>
        <cfvo type="max"/>
        <color rgb="FFFCFCFF"/>
        <color rgb="FF63BE7B"/>
      </colorScale>
    </cfRule>
  </conditionalFormatting>
  <conditionalFormatting sqref="AC525:AW525">
    <cfRule type="colorScale" priority="1161">
      <colorScale>
        <cfvo type="min"/>
        <cfvo type="max"/>
        <color rgb="FFFCFCFF"/>
        <color rgb="FF63BE7B"/>
      </colorScale>
    </cfRule>
  </conditionalFormatting>
  <conditionalFormatting sqref="AC527:AW527">
    <cfRule type="colorScale" priority="1160">
      <colorScale>
        <cfvo type="min"/>
        <cfvo type="max"/>
        <color rgb="FFFCFCFF"/>
        <color rgb="FF63BE7B"/>
      </colorScale>
    </cfRule>
  </conditionalFormatting>
  <conditionalFormatting sqref="AC529:AW529">
    <cfRule type="colorScale" priority="1159">
      <colorScale>
        <cfvo type="min"/>
        <cfvo type="max"/>
        <color rgb="FFFCFCFF"/>
        <color rgb="FF63BE7B"/>
      </colorScale>
    </cfRule>
  </conditionalFormatting>
  <conditionalFormatting sqref="AC531:AW531">
    <cfRule type="colorScale" priority="1158">
      <colorScale>
        <cfvo type="min"/>
        <cfvo type="max"/>
        <color rgb="FFFCFCFF"/>
        <color rgb="FF63BE7B"/>
      </colorScale>
    </cfRule>
  </conditionalFormatting>
  <conditionalFormatting sqref="AC533:AW533">
    <cfRule type="colorScale" priority="1157">
      <colorScale>
        <cfvo type="min"/>
        <cfvo type="max"/>
        <color rgb="FFFCFCFF"/>
        <color rgb="FF63BE7B"/>
      </colorScale>
    </cfRule>
  </conditionalFormatting>
  <conditionalFormatting sqref="AC535:AW535">
    <cfRule type="colorScale" priority="1156">
      <colorScale>
        <cfvo type="min"/>
        <cfvo type="max"/>
        <color rgb="FFFCFCFF"/>
        <color rgb="FF63BE7B"/>
      </colorScale>
    </cfRule>
  </conditionalFormatting>
  <conditionalFormatting sqref="AC537:AW537">
    <cfRule type="colorScale" priority="1155">
      <colorScale>
        <cfvo type="min"/>
        <cfvo type="max"/>
        <color rgb="FFFCFCFF"/>
        <color rgb="FF63BE7B"/>
      </colorScale>
    </cfRule>
  </conditionalFormatting>
  <conditionalFormatting sqref="AC539:AW539">
    <cfRule type="colorScale" priority="1154">
      <colorScale>
        <cfvo type="min"/>
        <cfvo type="max"/>
        <color rgb="FFFCFCFF"/>
        <color rgb="FF63BE7B"/>
      </colorScale>
    </cfRule>
  </conditionalFormatting>
  <conditionalFormatting sqref="AC541:AW541">
    <cfRule type="colorScale" priority="1153">
      <colorScale>
        <cfvo type="min"/>
        <cfvo type="max"/>
        <color rgb="FFFCFCFF"/>
        <color rgb="FF63BE7B"/>
      </colorScale>
    </cfRule>
  </conditionalFormatting>
  <conditionalFormatting sqref="AC543:AW543">
    <cfRule type="colorScale" priority="1152">
      <colorScale>
        <cfvo type="min"/>
        <cfvo type="max"/>
        <color rgb="FFFCFCFF"/>
        <color rgb="FF63BE7B"/>
      </colorScale>
    </cfRule>
  </conditionalFormatting>
  <conditionalFormatting sqref="AC545:AW545">
    <cfRule type="colorScale" priority="1151">
      <colorScale>
        <cfvo type="min"/>
        <cfvo type="max"/>
        <color rgb="FFFCFCFF"/>
        <color rgb="FF63BE7B"/>
      </colorScale>
    </cfRule>
  </conditionalFormatting>
  <conditionalFormatting sqref="AC547:AW547">
    <cfRule type="colorScale" priority="1150">
      <colorScale>
        <cfvo type="min"/>
        <cfvo type="max"/>
        <color rgb="FFFCFCFF"/>
        <color rgb="FF63BE7B"/>
      </colorScale>
    </cfRule>
  </conditionalFormatting>
  <conditionalFormatting sqref="AC549:AW549">
    <cfRule type="colorScale" priority="1149">
      <colorScale>
        <cfvo type="min"/>
        <cfvo type="max"/>
        <color rgb="FFFCFCFF"/>
        <color rgb="FF63BE7B"/>
      </colorScale>
    </cfRule>
  </conditionalFormatting>
  <conditionalFormatting sqref="AC551:AW551">
    <cfRule type="colorScale" priority="1148">
      <colorScale>
        <cfvo type="min"/>
        <cfvo type="max"/>
        <color rgb="FFFCFCFF"/>
        <color rgb="FF63BE7B"/>
      </colorScale>
    </cfRule>
  </conditionalFormatting>
  <conditionalFormatting sqref="AC553:AW553">
    <cfRule type="colorScale" priority="1147">
      <colorScale>
        <cfvo type="min"/>
        <cfvo type="max"/>
        <color rgb="FFFCFCFF"/>
        <color rgb="FF63BE7B"/>
      </colorScale>
    </cfRule>
  </conditionalFormatting>
  <conditionalFormatting sqref="AC555:AW555">
    <cfRule type="colorScale" priority="1146">
      <colorScale>
        <cfvo type="min"/>
        <cfvo type="max"/>
        <color rgb="FFFCFCFF"/>
        <color rgb="FF63BE7B"/>
      </colorScale>
    </cfRule>
  </conditionalFormatting>
  <conditionalFormatting sqref="AC557:AW557">
    <cfRule type="colorScale" priority="1145">
      <colorScale>
        <cfvo type="min"/>
        <cfvo type="max"/>
        <color rgb="FFFCFCFF"/>
        <color rgb="FF63BE7B"/>
      </colorScale>
    </cfRule>
  </conditionalFormatting>
  <conditionalFormatting sqref="AC559:AW559">
    <cfRule type="colorScale" priority="1144">
      <colorScale>
        <cfvo type="min"/>
        <cfvo type="max"/>
        <color rgb="FFFCFCFF"/>
        <color rgb="FF63BE7B"/>
      </colorScale>
    </cfRule>
  </conditionalFormatting>
  <conditionalFormatting sqref="AC561:AW561">
    <cfRule type="colorScale" priority="1143">
      <colorScale>
        <cfvo type="min"/>
        <cfvo type="max"/>
        <color rgb="FFFCFCFF"/>
        <color rgb="FF63BE7B"/>
      </colorScale>
    </cfRule>
  </conditionalFormatting>
  <conditionalFormatting sqref="AC563:AW563">
    <cfRule type="colorScale" priority="1142">
      <colorScale>
        <cfvo type="min"/>
        <cfvo type="max"/>
        <color rgb="FFFCFCFF"/>
        <color rgb="FF63BE7B"/>
      </colorScale>
    </cfRule>
  </conditionalFormatting>
  <conditionalFormatting sqref="AC565:AW565">
    <cfRule type="colorScale" priority="1141">
      <colorScale>
        <cfvo type="min"/>
        <cfvo type="max"/>
        <color rgb="FFFCFCFF"/>
        <color rgb="FF63BE7B"/>
      </colorScale>
    </cfRule>
  </conditionalFormatting>
  <conditionalFormatting sqref="AC567:AW567">
    <cfRule type="colorScale" priority="1140">
      <colorScale>
        <cfvo type="min"/>
        <cfvo type="max"/>
        <color rgb="FFFCFCFF"/>
        <color rgb="FF63BE7B"/>
      </colorScale>
    </cfRule>
  </conditionalFormatting>
  <conditionalFormatting sqref="AC569:AW569">
    <cfRule type="colorScale" priority="1139">
      <colorScale>
        <cfvo type="min"/>
        <cfvo type="max"/>
        <color rgb="FFFCFCFF"/>
        <color rgb="FF63BE7B"/>
      </colorScale>
    </cfRule>
  </conditionalFormatting>
  <conditionalFormatting sqref="AC571:AW571">
    <cfRule type="colorScale" priority="1138">
      <colorScale>
        <cfvo type="min"/>
        <cfvo type="max"/>
        <color rgb="FFFCFCFF"/>
        <color rgb="FF63BE7B"/>
      </colorScale>
    </cfRule>
  </conditionalFormatting>
  <conditionalFormatting sqref="AC573:AW573">
    <cfRule type="colorScale" priority="1137">
      <colorScale>
        <cfvo type="min"/>
        <cfvo type="max"/>
        <color rgb="FFFCFCFF"/>
        <color rgb="FF63BE7B"/>
      </colorScale>
    </cfRule>
  </conditionalFormatting>
  <conditionalFormatting sqref="AC575:AW575">
    <cfRule type="colorScale" priority="1136">
      <colorScale>
        <cfvo type="min"/>
        <cfvo type="max"/>
        <color rgb="FFFCFCFF"/>
        <color rgb="FF63BE7B"/>
      </colorScale>
    </cfRule>
  </conditionalFormatting>
  <conditionalFormatting sqref="AC577:AW577">
    <cfRule type="colorScale" priority="1135">
      <colorScale>
        <cfvo type="min"/>
        <cfvo type="max"/>
        <color rgb="FFFCFCFF"/>
        <color rgb="FF63BE7B"/>
      </colorScale>
    </cfRule>
  </conditionalFormatting>
  <conditionalFormatting sqref="AC579:AW579">
    <cfRule type="colorScale" priority="1134">
      <colorScale>
        <cfvo type="min"/>
        <cfvo type="max"/>
        <color rgb="FFFCFCFF"/>
        <color rgb="FF63BE7B"/>
      </colorScale>
    </cfRule>
  </conditionalFormatting>
  <conditionalFormatting sqref="AC581:AW581">
    <cfRule type="colorScale" priority="1133">
      <colorScale>
        <cfvo type="min"/>
        <cfvo type="max"/>
        <color rgb="FFFCFCFF"/>
        <color rgb="FF63BE7B"/>
      </colorScale>
    </cfRule>
  </conditionalFormatting>
  <conditionalFormatting sqref="AC583:AW583">
    <cfRule type="colorScale" priority="1132">
      <colorScale>
        <cfvo type="min"/>
        <cfvo type="max"/>
        <color rgb="FFFCFCFF"/>
        <color rgb="FF63BE7B"/>
      </colorScale>
    </cfRule>
  </conditionalFormatting>
  <conditionalFormatting sqref="AC585:AW585">
    <cfRule type="colorScale" priority="1131">
      <colorScale>
        <cfvo type="min"/>
        <cfvo type="max"/>
        <color rgb="FFFCFCFF"/>
        <color rgb="FF63BE7B"/>
      </colorScale>
    </cfRule>
  </conditionalFormatting>
  <conditionalFormatting sqref="AC587:AW587">
    <cfRule type="colorScale" priority="1130">
      <colorScale>
        <cfvo type="min"/>
        <cfvo type="max"/>
        <color rgb="FFFCFCFF"/>
        <color rgb="FF63BE7B"/>
      </colorScale>
    </cfRule>
  </conditionalFormatting>
  <conditionalFormatting sqref="AC589:AW589">
    <cfRule type="colorScale" priority="1129">
      <colorScale>
        <cfvo type="min"/>
        <cfvo type="max"/>
        <color rgb="FFFCFCFF"/>
        <color rgb="FF63BE7B"/>
      </colorScale>
    </cfRule>
  </conditionalFormatting>
  <conditionalFormatting sqref="AC591:AW591">
    <cfRule type="colorScale" priority="1128">
      <colorScale>
        <cfvo type="min"/>
        <cfvo type="max"/>
        <color rgb="FFFCFCFF"/>
        <color rgb="FF63BE7B"/>
      </colorScale>
    </cfRule>
  </conditionalFormatting>
  <conditionalFormatting sqref="AC593:AW593">
    <cfRule type="colorScale" priority="1127">
      <colorScale>
        <cfvo type="min"/>
        <cfvo type="max"/>
        <color rgb="FFFCFCFF"/>
        <color rgb="FF63BE7B"/>
      </colorScale>
    </cfRule>
  </conditionalFormatting>
  <conditionalFormatting sqref="AC595:AW595">
    <cfRule type="colorScale" priority="1126">
      <colorScale>
        <cfvo type="min"/>
        <cfvo type="max"/>
        <color rgb="FFFCFCFF"/>
        <color rgb="FF63BE7B"/>
      </colorScale>
    </cfRule>
  </conditionalFormatting>
  <conditionalFormatting sqref="AC597:AW597">
    <cfRule type="colorScale" priority="1125">
      <colorScale>
        <cfvo type="min"/>
        <cfvo type="max"/>
        <color rgb="FFFCFCFF"/>
        <color rgb="FF63BE7B"/>
      </colorScale>
    </cfRule>
  </conditionalFormatting>
  <conditionalFormatting sqref="AC599:AW599">
    <cfRule type="colorScale" priority="1124">
      <colorScale>
        <cfvo type="min"/>
        <cfvo type="max"/>
        <color rgb="FFFCFCFF"/>
        <color rgb="FF63BE7B"/>
      </colorScale>
    </cfRule>
  </conditionalFormatting>
  <conditionalFormatting sqref="AC601:AW601">
    <cfRule type="colorScale" priority="1123">
      <colorScale>
        <cfvo type="min"/>
        <cfvo type="max"/>
        <color rgb="FFFCFCFF"/>
        <color rgb="FF63BE7B"/>
      </colorScale>
    </cfRule>
  </conditionalFormatting>
  <conditionalFormatting sqref="AC603:AW603">
    <cfRule type="colorScale" priority="1122">
      <colorScale>
        <cfvo type="min"/>
        <cfvo type="max"/>
        <color rgb="FFFCFCFF"/>
        <color rgb="FF63BE7B"/>
      </colorScale>
    </cfRule>
  </conditionalFormatting>
  <conditionalFormatting sqref="AC605:AW605">
    <cfRule type="colorScale" priority="1121">
      <colorScale>
        <cfvo type="min"/>
        <cfvo type="max"/>
        <color rgb="FFFCFCFF"/>
        <color rgb="FF63BE7B"/>
      </colorScale>
    </cfRule>
  </conditionalFormatting>
  <conditionalFormatting sqref="AC607:AW607">
    <cfRule type="colorScale" priority="1120">
      <colorScale>
        <cfvo type="min"/>
        <cfvo type="max"/>
        <color rgb="FFFCFCFF"/>
        <color rgb="FF63BE7B"/>
      </colorScale>
    </cfRule>
  </conditionalFormatting>
  <conditionalFormatting sqref="AC609:AW609">
    <cfRule type="colorScale" priority="1119">
      <colorScale>
        <cfvo type="min"/>
        <cfvo type="max"/>
        <color rgb="FFFCFCFF"/>
        <color rgb="FF63BE7B"/>
      </colorScale>
    </cfRule>
  </conditionalFormatting>
  <conditionalFormatting sqref="AC611:AW611">
    <cfRule type="colorScale" priority="1118">
      <colorScale>
        <cfvo type="min"/>
        <cfvo type="max"/>
        <color rgb="FFFCFCFF"/>
        <color rgb="FF63BE7B"/>
      </colorScale>
    </cfRule>
  </conditionalFormatting>
  <conditionalFormatting sqref="AC613:AW613">
    <cfRule type="colorScale" priority="1117">
      <colorScale>
        <cfvo type="min"/>
        <cfvo type="max"/>
        <color rgb="FFFCFCFF"/>
        <color rgb="FF63BE7B"/>
      </colorScale>
    </cfRule>
  </conditionalFormatting>
  <conditionalFormatting sqref="AC615:AW615">
    <cfRule type="colorScale" priority="1116">
      <colorScale>
        <cfvo type="min"/>
        <cfvo type="max"/>
        <color rgb="FFFCFCFF"/>
        <color rgb="FF63BE7B"/>
      </colorScale>
    </cfRule>
  </conditionalFormatting>
  <conditionalFormatting sqref="AC617:AW617">
    <cfRule type="colorScale" priority="1115">
      <colorScale>
        <cfvo type="min"/>
        <cfvo type="max"/>
        <color rgb="FFFCFCFF"/>
        <color rgb="FF63BE7B"/>
      </colorScale>
    </cfRule>
  </conditionalFormatting>
  <conditionalFormatting sqref="AC619:AW619">
    <cfRule type="colorScale" priority="1114">
      <colorScale>
        <cfvo type="min"/>
        <cfvo type="max"/>
        <color rgb="FFFCFCFF"/>
        <color rgb="FF63BE7B"/>
      </colorScale>
    </cfRule>
  </conditionalFormatting>
  <conditionalFormatting sqref="AC621:AW621">
    <cfRule type="colorScale" priority="1113">
      <colorScale>
        <cfvo type="min"/>
        <cfvo type="max"/>
        <color rgb="FFFCFCFF"/>
        <color rgb="FF63BE7B"/>
      </colorScale>
    </cfRule>
  </conditionalFormatting>
  <conditionalFormatting sqref="AC623:AW623">
    <cfRule type="colorScale" priority="1112">
      <colorScale>
        <cfvo type="min"/>
        <cfvo type="max"/>
        <color rgb="FFFCFCFF"/>
        <color rgb="FF63BE7B"/>
      </colorScale>
    </cfRule>
  </conditionalFormatting>
  <conditionalFormatting sqref="AC625:AW625">
    <cfRule type="colorScale" priority="1111">
      <colorScale>
        <cfvo type="min"/>
        <cfvo type="max"/>
        <color rgb="FFFCFCFF"/>
        <color rgb="FF63BE7B"/>
      </colorScale>
    </cfRule>
  </conditionalFormatting>
  <conditionalFormatting sqref="AC627:AW627">
    <cfRule type="colorScale" priority="1110">
      <colorScale>
        <cfvo type="min"/>
        <cfvo type="max"/>
        <color rgb="FFFCFCFF"/>
        <color rgb="FF63BE7B"/>
      </colorScale>
    </cfRule>
  </conditionalFormatting>
  <conditionalFormatting sqref="AC629:AW629">
    <cfRule type="colorScale" priority="1109">
      <colorScale>
        <cfvo type="min"/>
        <cfvo type="max"/>
        <color rgb="FFFCFCFF"/>
        <color rgb="FF63BE7B"/>
      </colorScale>
    </cfRule>
  </conditionalFormatting>
  <conditionalFormatting sqref="AC631:AW631">
    <cfRule type="colorScale" priority="1108">
      <colorScale>
        <cfvo type="min"/>
        <cfvo type="max"/>
        <color rgb="FFFCFCFF"/>
        <color rgb="FF63BE7B"/>
      </colorScale>
    </cfRule>
  </conditionalFormatting>
  <conditionalFormatting sqref="AC633:AW633">
    <cfRule type="colorScale" priority="1107">
      <colorScale>
        <cfvo type="min"/>
        <cfvo type="max"/>
        <color rgb="FFFCFCFF"/>
        <color rgb="FF63BE7B"/>
      </colorScale>
    </cfRule>
  </conditionalFormatting>
  <conditionalFormatting sqref="AC635:AW635">
    <cfRule type="colorScale" priority="1106">
      <colorScale>
        <cfvo type="min"/>
        <cfvo type="max"/>
        <color rgb="FFFCFCFF"/>
        <color rgb="FF63BE7B"/>
      </colorScale>
    </cfRule>
  </conditionalFormatting>
  <conditionalFormatting sqref="AC637:AW637">
    <cfRule type="colorScale" priority="1105">
      <colorScale>
        <cfvo type="min"/>
        <cfvo type="max"/>
        <color rgb="FFFCFCFF"/>
        <color rgb="FF63BE7B"/>
      </colorScale>
    </cfRule>
  </conditionalFormatting>
  <conditionalFormatting sqref="AC639:AW639">
    <cfRule type="colorScale" priority="1104">
      <colorScale>
        <cfvo type="min"/>
        <cfvo type="max"/>
        <color rgb="FFFCFCFF"/>
        <color rgb="FF63BE7B"/>
      </colorScale>
    </cfRule>
  </conditionalFormatting>
  <conditionalFormatting sqref="AC641:AW641">
    <cfRule type="colorScale" priority="1103">
      <colorScale>
        <cfvo type="min"/>
        <cfvo type="max"/>
        <color rgb="FFFCFCFF"/>
        <color rgb="FF63BE7B"/>
      </colorScale>
    </cfRule>
  </conditionalFormatting>
  <conditionalFormatting sqref="AC643:AW643">
    <cfRule type="colorScale" priority="1102">
      <colorScale>
        <cfvo type="min"/>
        <cfvo type="max"/>
        <color rgb="FFFCFCFF"/>
        <color rgb="FF63BE7B"/>
      </colorScale>
    </cfRule>
  </conditionalFormatting>
  <conditionalFormatting sqref="AC645:AW645">
    <cfRule type="colorScale" priority="1101">
      <colorScale>
        <cfvo type="min"/>
        <cfvo type="max"/>
        <color rgb="FFFCFCFF"/>
        <color rgb="FF63BE7B"/>
      </colorScale>
    </cfRule>
  </conditionalFormatting>
  <conditionalFormatting sqref="AC647:AW647">
    <cfRule type="colorScale" priority="1100">
      <colorScale>
        <cfvo type="min"/>
        <cfvo type="max"/>
        <color rgb="FFFCFCFF"/>
        <color rgb="FF63BE7B"/>
      </colorScale>
    </cfRule>
  </conditionalFormatting>
  <conditionalFormatting sqref="AC649:AW649">
    <cfRule type="colorScale" priority="1099">
      <colorScale>
        <cfvo type="min"/>
        <cfvo type="max"/>
        <color rgb="FFFCFCFF"/>
        <color rgb="FF63BE7B"/>
      </colorScale>
    </cfRule>
  </conditionalFormatting>
  <conditionalFormatting sqref="AC651:AW651">
    <cfRule type="colorScale" priority="1098">
      <colorScale>
        <cfvo type="min"/>
        <cfvo type="max"/>
        <color rgb="FFFCFCFF"/>
        <color rgb="FF63BE7B"/>
      </colorScale>
    </cfRule>
  </conditionalFormatting>
  <conditionalFormatting sqref="AC653:AW653">
    <cfRule type="colorScale" priority="1097">
      <colorScale>
        <cfvo type="min"/>
        <cfvo type="max"/>
        <color rgb="FFFCFCFF"/>
        <color rgb="FF63BE7B"/>
      </colorScale>
    </cfRule>
  </conditionalFormatting>
  <conditionalFormatting sqref="AC655:AW655">
    <cfRule type="colorScale" priority="1096">
      <colorScale>
        <cfvo type="min"/>
        <cfvo type="max"/>
        <color rgb="FFFCFCFF"/>
        <color rgb="FF63BE7B"/>
      </colorScale>
    </cfRule>
  </conditionalFormatting>
  <conditionalFormatting sqref="AC657:AW657">
    <cfRule type="colorScale" priority="1095">
      <colorScale>
        <cfvo type="min"/>
        <cfvo type="max"/>
        <color rgb="FFFCFCFF"/>
        <color rgb="FF63BE7B"/>
      </colorScale>
    </cfRule>
  </conditionalFormatting>
  <conditionalFormatting sqref="AC659:AW659">
    <cfRule type="colorScale" priority="1094">
      <colorScale>
        <cfvo type="min"/>
        <cfvo type="max"/>
        <color rgb="FFFCFCFF"/>
        <color rgb="FF63BE7B"/>
      </colorScale>
    </cfRule>
  </conditionalFormatting>
  <conditionalFormatting sqref="AC661:AW661">
    <cfRule type="colorScale" priority="1093">
      <colorScale>
        <cfvo type="min"/>
        <cfvo type="max"/>
        <color rgb="FFFCFCFF"/>
        <color rgb="FF63BE7B"/>
      </colorScale>
    </cfRule>
  </conditionalFormatting>
  <conditionalFormatting sqref="AC663:AW663">
    <cfRule type="colorScale" priority="1092">
      <colorScale>
        <cfvo type="min"/>
        <cfvo type="max"/>
        <color rgb="FFFCFCFF"/>
        <color rgb="FF63BE7B"/>
      </colorScale>
    </cfRule>
  </conditionalFormatting>
  <conditionalFormatting sqref="AC665:AW665">
    <cfRule type="colorScale" priority="1091">
      <colorScale>
        <cfvo type="min"/>
        <cfvo type="max"/>
        <color rgb="FFFCFCFF"/>
        <color rgb="FF63BE7B"/>
      </colorScale>
    </cfRule>
  </conditionalFormatting>
  <conditionalFormatting sqref="AC667:AW667">
    <cfRule type="colorScale" priority="1090">
      <colorScale>
        <cfvo type="min"/>
        <cfvo type="max"/>
        <color rgb="FFFCFCFF"/>
        <color rgb="FF63BE7B"/>
      </colorScale>
    </cfRule>
  </conditionalFormatting>
  <conditionalFormatting sqref="AC669:AW669">
    <cfRule type="colorScale" priority="1089">
      <colorScale>
        <cfvo type="min"/>
        <cfvo type="max"/>
        <color rgb="FFFCFCFF"/>
        <color rgb="FF63BE7B"/>
      </colorScale>
    </cfRule>
  </conditionalFormatting>
  <conditionalFormatting sqref="AC671:AW671">
    <cfRule type="colorScale" priority="1088">
      <colorScale>
        <cfvo type="min"/>
        <cfvo type="max"/>
        <color rgb="FFFCFCFF"/>
        <color rgb="FF63BE7B"/>
      </colorScale>
    </cfRule>
  </conditionalFormatting>
  <conditionalFormatting sqref="AC673:AW673">
    <cfRule type="colorScale" priority="1087">
      <colorScale>
        <cfvo type="min"/>
        <cfvo type="max"/>
        <color rgb="FFFCFCFF"/>
        <color rgb="FF63BE7B"/>
      </colorScale>
    </cfRule>
  </conditionalFormatting>
  <conditionalFormatting sqref="AC675:AW675">
    <cfRule type="colorScale" priority="1086">
      <colorScale>
        <cfvo type="min"/>
        <cfvo type="max"/>
        <color rgb="FFFCFCFF"/>
        <color rgb="FF63BE7B"/>
      </colorScale>
    </cfRule>
  </conditionalFormatting>
  <conditionalFormatting sqref="AC677:AW677">
    <cfRule type="colorScale" priority="1085">
      <colorScale>
        <cfvo type="min"/>
        <cfvo type="max"/>
        <color rgb="FFFCFCFF"/>
        <color rgb="FF63BE7B"/>
      </colorScale>
    </cfRule>
  </conditionalFormatting>
  <conditionalFormatting sqref="AC679:AW679">
    <cfRule type="colorScale" priority="1084">
      <colorScale>
        <cfvo type="min"/>
        <cfvo type="max"/>
        <color rgb="FFFCFCFF"/>
        <color rgb="FF63BE7B"/>
      </colorScale>
    </cfRule>
  </conditionalFormatting>
  <conditionalFormatting sqref="AC681:AW681">
    <cfRule type="colorScale" priority="1083">
      <colorScale>
        <cfvo type="min"/>
        <cfvo type="max"/>
        <color rgb="FFFCFCFF"/>
        <color rgb="FF63BE7B"/>
      </colorScale>
    </cfRule>
  </conditionalFormatting>
  <conditionalFormatting sqref="AC683:AW683">
    <cfRule type="colorScale" priority="1082">
      <colorScale>
        <cfvo type="min"/>
        <cfvo type="max"/>
        <color rgb="FFFCFCFF"/>
        <color rgb="FF63BE7B"/>
      </colorScale>
    </cfRule>
  </conditionalFormatting>
  <conditionalFormatting sqref="AC685:AW685">
    <cfRule type="colorScale" priority="1081">
      <colorScale>
        <cfvo type="min"/>
        <cfvo type="max"/>
        <color rgb="FFFCFCFF"/>
        <color rgb="FF63BE7B"/>
      </colorScale>
    </cfRule>
  </conditionalFormatting>
  <conditionalFormatting sqref="AC687:AW687">
    <cfRule type="colorScale" priority="1080">
      <colorScale>
        <cfvo type="min"/>
        <cfvo type="max"/>
        <color rgb="FFFCFCFF"/>
        <color rgb="FF63BE7B"/>
      </colorScale>
    </cfRule>
  </conditionalFormatting>
  <conditionalFormatting sqref="AC689:AW689">
    <cfRule type="colorScale" priority="1079">
      <colorScale>
        <cfvo type="min"/>
        <cfvo type="max"/>
        <color rgb="FFFCFCFF"/>
        <color rgb="FF63BE7B"/>
      </colorScale>
    </cfRule>
  </conditionalFormatting>
  <conditionalFormatting sqref="AC691:AW691">
    <cfRule type="colorScale" priority="1078">
      <colorScale>
        <cfvo type="min"/>
        <cfvo type="max"/>
        <color rgb="FFFCFCFF"/>
        <color rgb="FF63BE7B"/>
      </colorScale>
    </cfRule>
  </conditionalFormatting>
  <conditionalFormatting sqref="AC693:AW693">
    <cfRule type="colorScale" priority="1077">
      <colorScale>
        <cfvo type="min"/>
        <cfvo type="max"/>
        <color rgb="FFFCFCFF"/>
        <color rgb="FF63BE7B"/>
      </colorScale>
    </cfRule>
  </conditionalFormatting>
  <conditionalFormatting sqref="AC695:AW695">
    <cfRule type="colorScale" priority="1076">
      <colorScale>
        <cfvo type="min"/>
        <cfvo type="max"/>
        <color rgb="FFFCFCFF"/>
        <color rgb="FF63BE7B"/>
      </colorScale>
    </cfRule>
  </conditionalFormatting>
  <conditionalFormatting sqref="AC697:AW697">
    <cfRule type="colorScale" priority="1075">
      <colorScale>
        <cfvo type="min"/>
        <cfvo type="max"/>
        <color rgb="FFFCFCFF"/>
        <color rgb="FF63BE7B"/>
      </colorScale>
    </cfRule>
  </conditionalFormatting>
  <conditionalFormatting sqref="AC699:AW699">
    <cfRule type="colorScale" priority="1074">
      <colorScale>
        <cfvo type="min"/>
        <cfvo type="max"/>
        <color rgb="FFFCFCFF"/>
        <color rgb="FF63BE7B"/>
      </colorScale>
    </cfRule>
  </conditionalFormatting>
  <conditionalFormatting sqref="AC701:AW701">
    <cfRule type="colorScale" priority="1073">
      <colorScale>
        <cfvo type="min"/>
        <cfvo type="max"/>
        <color rgb="FFFCFCFF"/>
        <color rgb="FF63BE7B"/>
      </colorScale>
    </cfRule>
  </conditionalFormatting>
  <conditionalFormatting sqref="AC703:AW703">
    <cfRule type="colorScale" priority="1072">
      <colorScale>
        <cfvo type="min"/>
        <cfvo type="max"/>
        <color rgb="FFFCFCFF"/>
        <color rgb="FF63BE7B"/>
      </colorScale>
    </cfRule>
  </conditionalFormatting>
  <conditionalFormatting sqref="AC705:AW705">
    <cfRule type="colorScale" priority="1071">
      <colorScale>
        <cfvo type="min"/>
        <cfvo type="max"/>
        <color rgb="FFFCFCFF"/>
        <color rgb="FF63BE7B"/>
      </colorScale>
    </cfRule>
  </conditionalFormatting>
  <conditionalFormatting sqref="AC707:AW707">
    <cfRule type="colorScale" priority="1070">
      <colorScale>
        <cfvo type="min"/>
        <cfvo type="max"/>
        <color rgb="FFFCFCFF"/>
        <color rgb="FF63BE7B"/>
      </colorScale>
    </cfRule>
  </conditionalFormatting>
  <conditionalFormatting sqref="AC709:AW709">
    <cfRule type="colorScale" priority="1069">
      <colorScale>
        <cfvo type="min"/>
        <cfvo type="max"/>
        <color rgb="FFFCFCFF"/>
        <color rgb="FF63BE7B"/>
      </colorScale>
    </cfRule>
  </conditionalFormatting>
  <conditionalFormatting sqref="AC711:AW711">
    <cfRule type="colorScale" priority="1068">
      <colorScale>
        <cfvo type="min"/>
        <cfvo type="max"/>
        <color rgb="FFFCFCFF"/>
        <color rgb="FF63BE7B"/>
      </colorScale>
    </cfRule>
  </conditionalFormatting>
  <conditionalFormatting sqref="AC713:AW713">
    <cfRule type="colorScale" priority="1067">
      <colorScale>
        <cfvo type="min"/>
        <cfvo type="max"/>
        <color rgb="FFFCFCFF"/>
        <color rgb="FF63BE7B"/>
      </colorScale>
    </cfRule>
  </conditionalFormatting>
  <conditionalFormatting sqref="AC715:AW715">
    <cfRule type="colorScale" priority="1066">
      <colorScale>
        <cfvo type="min"/>
        <cfvo type="max"/>
        <color rgb="FFFCFCFF"/>
        <color rgb="FF63BE7B"/>
      </colorScale>
    </cfRule>
  </conditionalFormatting>
  <conditionalFormatting sqref="AC717:AW717">
    <cfRule type="colorScale" priority="1065">
      <colorScale>
        <cfvo type="min"/>
        <cfvo type="max"/>
        <color rgb="FFFCFCFF"/>
        <color rgb="FF63BE7B"/>
      </colorScale>
    </cfRule>
  </conditionalFormatting>
  <conditionalFormatting sqref="AC719:AW719">
    <cfRule type="colorScale" priority="1064">
      <colorScale>
        <cfvo type="min"/>
        <cfvo type="max"/>
        <color rgb="FFFCFCFF"/>
        <color rgb="FF63BE7B"/>
      </colorScale>
    </cfRule>
  </conditionalFormatting>
  <conditionalFormatting sqref="AC721:AW721">
    <cfRule type="colorScale" priority="1063">
      <colorScale>
        <cfvo type="min"/>
        <cfvo type="max"/>
        <color rgb="FFFCFCFF"/>
        <color rgb="FF63BE7B"/>
      </colorScale>
    </cfRule>
  </conditionalFormatting>
  <conditionalFormatting sqref="AC723:AW723">
    <cfRule type="colorScale" priority="1062">
      <colorScale>
        <cfvo type="min"/>
        <cfvo type="max"/>
        <color rgb="FFFCFCFF"/>
        <color rgb="FF63BE7B"/>
      </colorScale>
    </cfRule>
  </conditionalFormatting>
  <conditionalFormatting sqref="AC725:AW725">
    <cfRule type="colorScale" priority="1061">
      <colorScale>
        <cfvo type="min"/>
        <cfvo type="max"/>
        <color rgb="FFFCFCFF"/>
        <color rgb="FF63BE7B"/>
      </colorScale>
    </cfRule>
  </conditionalFormatting>
  <conditionalFormatting sqref="AC727:AW727">
    <cfRule type="colorScale" priority="1060">
      <colorScale>
        <cfvo type="min"/>
        <cfvo type="max"/>
        <color rgb="FFFCFCFF"/>
        <color rgb="FF63BE7B"/>
      </colorScale>
    </cfRule>
  </conditionalFormatting>
  <conditionalFormatting sqref="AC729:AW729">
    <cfRule type="colorScale" priority="1059">
      <colorScale>
        <cfvo type="min"/>
        <cfvo type="max"/>
        <color rgb="FFFCFCFF"/>
        <color rgb="FF63BE7B"/>
      </colorScale>
    </cfRule>
  </conditionalFormatting>
  <conditionalFormatting sqref="AC731:AW731">
    <cfRule type="colorScale" priority="1058">
      <colorScale>
        <cfvo type="min"/>
        <cfvo type="max"/>
        <color rgb="FFFCFCFF"/>
        <color rgb="FF63BE7B"/>
      </colorScale>
    </cfRule>
  </conditionalFormatting>
  <conditionalFormatting sqref="AC733:AW733">
    <cfRule type="colorScale" priority="1057">
      <colorScale>
        <cfvo type="min"/>
        <cfvo type="max"/>
        <color rgb="FFFCFCFF"/>
        <color rgb="FF63BE7B"/>
      </colorScale>
    </cfRule>
  </conditionalFormatting>
  <conditionalFormatting sqref="AC735:AW735">
    <cfRule type="colorScale" priority="1056">
      <colorScale>
        <cfvo type="min"/>
        <cfvo type="max"/>
        <color rgb="FFFCFCFF"/>
        <color rgb="FF63BE7B"/>
      </colorScale>
    </cfRule>
  </conditionalFormatting>
  <conditionalFormatting sqref="AC737:AW737">
    <cfRule type="colorScale" priority="1055">
      <colorScale>
        <cfvo type="min"/>
        <cfvo type="max"/>
        <color rgb="FFFCFCFF"/>
        <color rgb="FF63BE7B"/>
      </colorScale>
    </cfRule>
  </conditionalFormatting>
  <conditionalFormatting sqref="AC739:AW739">
    <cfRule type="colorScale" priority="1054">
      <colorScale>
        <cfvo type="min"/>
        <cfvo type="max"/>
        <color rgb="FFFCFCFF"/>
        <color rgb="FF63BE7B"/>
      </colorScale>
    </cfRule>
  </conditionalFormatting>
  <conditionalFormatting sqref="AC741:AW741">
    <cfRule type="colorScale" priority="1053">
      <colorScale>
        <cfvo type="min"/>
        <cfvo type="max"/>
        <color rgb="FFFCFCFF"/>
        <color rgb="FF63BE7B"/>
      </colorScale>
    </cfRule>
  </conditionalFormatting>
  <conditionalFormatting sqref="AC743:AW743">
    <cfRule type="colorScale" priority="1052">
      <colorScale>
        <cfvo type="min"/>
        <cfvo type="max"/>
        <color rgb="FFFCFCFF"/>
        <color rgb="FF63BE7B"/>
      </colorScale>
    </cfRule>
  </conditionalFormatting>
  <conditionalFormatting sqref="AC745:AW745">
    <cfRule type="colorScale" priority="1051">
      <colorScale>
        <cfvo type="min"/>
        <cfvo type="max"/>
        <color rgb="FFFCFCFF"/>
        <color rgb="FF63BE7B"/>
      </colorScale>
    </cfRule>
  </conditionalFormatting>
  <conditionalFormatting sqref="AC747:AW747">
    <cfRule type="colorScale" priority="1050">
      <colorScale>
        <cfvo type="min"/>
        <cfvo type="max"/>
        <color rgb="FFFCFCFF"/>
        <color rgb="FF63BE7B"/>
      </colorScale>
    </cfRule>
  </conditionalFormatting>
  <conditionalFormatting sqref="AC749:AW749">
    <cfRule type="colorScale" priority="1049">
      <colorScale>
        <cfvo type="min"/>
        <cfvo type="max"/>
        <color rgb="FFFCFCFF"/>
        <color rgb="FF63BE7B"/>
      </colorScale>
    </cfRule>
  </conditionalFormatting>
  <conditionalFormatting sqref="AC751:AW751">
    <cfRule type="colorScale" priority="1048">
      <colorScale>
        <cfvo type="min"/>
        <cfvo type="max"/>
        <color rgb="FFFCFCFF"/>
        <color rgb="FF63BE7B"/>
      </colorScale>
    </cfRule>
  </conditionalFormatting>
  <conditionalFormatting sqref="AC753:AW753">
    <cfRule type="colorScale" priority="1047">
      <colorScale>
        <cfvo type="min"/>
        <cfvo type="max"/>
        <color rgb="FFFCFCFF"/>
        <color rgb="FF63BE7B"/>
      </colorScale>
    </cfRule>
  </conditionalFormatting>
  <conditionalFormatting sqref="AC755:AW755">
    <cfRule type="colorScale" priority="1046">
      <colorScale>
        <cfvo type="min"/>
        <cfvo type="max"/>
        <color rgb="FFFCFCFF"/>
        <color rgb="FF63BE7B"/>
      </colorScale>
    </cfRule>
  </conditionalFormatting>
  <conditionalFormatting sqref="AC757:AW757">
    <cfRule type="colorScale" priority="1045">
      <colorScale>
        <cfvo type="min"/>
        <cfvo type="max"/>
        <color rgb="FFFCFCFF"/>
        <color rgb="FF63BE7B"/>
      </colorScale>
    </cfRule>
  </conditionalFormatting>
  <conditionalFormatting sqref="AC759:AW759">
    <cfRule type="colorScale" priority="1044">
      <colorScale>
        <cfvo type="min"/>
        <cfvo type="max"/>
        <color rgb="FFFCFCFF"/>
        <color rgb="FF63BE7B"/>
      </colorScale>
    </cfRule>
  </conditionalFormatting>
  <conditionalFormatting sqref="AC761:AW761">
    <cfRule type="colorScale" priority="1043">
      <colorScale>
        <cfvo type="min"/>
        <cfvo type="max"/>
        <color rgb="FFFCFCFF"/>
        <color rgb="FF63BE7B"/>
      </colorScale>
    </cfRule>
  </conditionalFormatting>
  <conditionalFormatting sqref="AC763:AW763">
    <cfRule type="colorScale" priority="1042">
      <colorScale>
        <cfvo type="min"/>
        <cfvo type="max"/>
        <color rgb="FFFCFCFF"/>
        <color rgb="FF63BE7B"/>
      </colorScale>
    </cfRule>
  </conditionalFormatting>
  <conditionalFormatting sqref="AC765:AW765">
    <cfRule type="colorScale" priority="1041">
      <colorScale>
        <cfvo type="min"/>
        <cfvo type="max"/>
        <color rgb="FFFCFCFF"/>
        <color rgb="FF63BE7B"/>
      </colorScale>
    </cfRule>
  </conditionalFormatting>
  <conditionalFormatting sqref="AC767:AW767">
    <cfRule type="colorScale" priority="1040">
      <colorScale>
        <cfvo type="min"/>
        <cfvo type="max"/>
        <color rgb="FFFCFCFF"/>
        <color rgb="FF63BE7B"/>
      </colorScale>
    </cfRule>
  </conditionalFormatting>
  <conditionalFormatting sqref="AC769:AW769">
    <cfRule type="colorScale" priority="1039">
      <colorScale>
        <cfvo type="min"/>
        <cfvo type="max"/>
        <color rgb="FFFCFCFF"/>
        <color rgb="FF63BE7B"/>
      </colorScale>
    </cfRule>
  </conditionalFormatting>
  <conditionalFormatting sqref="AC771:AW771">
    <cfRule type="colorScale" priority="1038">
      <colorScale>
        <cfvo type="min"/>
        <cfvo type="max"/>
        <color rgb="FFFCFCFF"/>
        <color rgb="FF63BE7B"/>
      </colorScale>
    </cfRule>
  </conditionalFormatting>
  <conditionalFormatting sqref="AC773:AW773">
    <cfRule type="colorScale" priority="1037">
      <colorScale>
        <cfvo type="min"/>
        <cfvo type="max"/>
        <color rgb="FFFCFCFF"/>
        <color rgb="FF63BE7B"/>
      </colorScale>
    </cfRule>
  </conditionalFormatting>
  <conditionalFormatting sqref="AC775:AW775">
    <cfRule type="colorScale" priority="1036">
      <colorScale>
        <cfvo type="min"/>
        <cfvo type="max"/>
        <color rgb="FFFCFCFF"/>
        <color rgb="FF63BE7B"/>
      </colorScale>
    </cfRule>
  </conditionalFormatting>
  <conditionalFormatting sqref="AC777:AW777">
    <cfRule type="colorScale" priority="1035">
      <colorScale>
        <cfvo type="min"/>
        <cfvo type="max"/>
        <color rgb="FFFCFCFF"/>
        <color rgb="FF63BE7B"/>
      </colorScale>
    </cfRule>
  </conditionalFormatting>
  <conditionalFormatting sqref="AC779:AW779">
    <cfRule type="colorScale" priority="1034">
      <colorScale>
        <cfvo type="min"/>
        <cfvo type="max"/>
        <color rgb="FFFCFCFF"/>
        <color rgb="FF63BE7B"/>
      </colorScale>
    </cfRule>
  </conditionalFormatting>
  <conditionalFormatting sqref="AC781:AW781">
    <cfRule type="colorScale" priority="1033">
      <colorScale>
        <cfvo type="min"/>
        <cfvo type="max"/>
        <color rgb="FFFCFCFF"/>
        <color rgb="FF63BE7B"/>
      </colorScale>
    </cfRule>
  </conditionalFormatting>
  <conditionalFormatting sqref="AC783:AW783">
    <cfRule type="colorScale" priority="1032">
      <colorScale>
        <cfvo type="min"/>
        <cfvo type="max"/>
        <color rgb="FFFCFCFF"/>
        <color rgb="FF63BE7B"/>
      </colorScale>
    </cfRule>
  </conditionalFormatting>
  <conditionalFormatting sqref="AC785:AW785">
    <cfRule type="colorScale" priority="1031">
      <colorScale>
        <cfvo type="min"/>
        <cfvo type="max"/>
        <color rgb="FFFCFCFF"/>
        <color rgb="FF63BE7B"/>
      </colorScale>
    </cfRule>
  </conditionalFormatting>
  <conditionalFormatting sqref="AC787:AW787">
    <cfRule type="colorScale" priority="1030">
      <colorScale>
        <cfvo type="min"/>
        <cfvo type="max"/>
        <color rgb="FFFCFCFF"/>
        <color rgb="FF63BE7B"/>
      </colorScale>
    </cfRule>
  </conditionalFormatting>
  <conditionalFormatting sqref="AC789:AW789">
    <cfRule type="colorScale" priority="1029">
      <colorScale>
        <cfvo type="min"/>
        <cfvo type="max"/>
        <color rgb="FFFCFCFF"/>
        <color rgb="FF63BE7B"/>
      </colorScale>
    </cfRule>
  </conditionalFormatting>
  <conditionalFormatting sqref="AC791:AW791">
    <cfRule type="colorScale" priority="1028">
      <colorScale>
        <cfvo type="min"/>
        <cfvo type="max"/>
        <color rgb="FFFCFCFF"/>
        <color rgb="FF63BE7B"/>
      </colorScale>
    </cfRule>
  </conditionalFormatting>
  <conditionalFormatting sqref="AC793:AW793">
    <cfRule type="colorScale" priority="1027">
      <colorScale>
        <cfvo type="min"/>
        <cfvo type="max"/>
        <color rgb="FFFCFCFF"/>
        <color rgb="FF63BE7B"/>
      </colorScale>
    </cfRule>
  </conditionalFormatting>
  <conditionalFormatting sqref="AC795:AW795">
    <cfRule type="colorScale" priority="1026">
      <colorScale>
        <cfvo type="min"/>
        <cfvo type="max"/>
        <color rgb="FFFCFCFF"/>
        <color rgb="FF63BE7B"/>
      </colorScale>
    </cfRule>
  </conditionalFormatting>
  <conditionalFormatting sqref="AC797:AW797">
    <cfRule type="colorScale" priority="1025">
      <colorScale>
        <cfvo type="min"/>
        <cfvo type="max"/>
        <color rgb="FFFCFCFF"/>
        <color rgb="FF63BE7B"/>
      </colorScale>
    </cfRule>
  </conditionalFormatting>
  <conditionalFormatting sqref="AC799:AW799">
    <cfRule type="colorScale" priority="1024">
      <colorScale>
        <cfvo type="min"/>
        <cfvo type="max"/>
        <color rgb="FFFCFCFF"/>
        <color rgb="FF63BE7B"/>
      </colorScale>
    </cfRule>
  </conditionalFormatting>
  <conditionalFormatting sqref="AC801:AW801">
    <cfRule type="colorScale" priority="1023">
      <colorScale>
        <cfvo type="min"/>
        <cfvo type="max"/>
        <color rgb="FFFCFCFF"/>
        <color rgb="FF63BE7B"/>
      </colorScale>
    </cfRule>
  </conditionalFormatting>
  <conditionalFormatting sqref="AC803:AW803">
    <cfRule type="colorScale" priority="1022">
      <colorScale>
        <cfvo type="min"/>
        <cfvo type="max"/>
        <color rgb="FFFCFCFF"/>
        <color rgb="FF63BE7B"/>
      </colorScale>
    </cfRule>
  </conditionalFormatting>
  <conditionalFormatting sqref="AC805:AW805">
    <cfRule type="colorScale" priority="1021">
      <colorScale>
        <cfvo type="min"/>
        <cfvo type="max"/>
        <color rgb="FFFCFCFF"/>
        <color rgb="FF63BE7B"/>
      </colorScale>
    </cfRule>
  </conditionalFormatting>
  <conditionalFormatting sqref="AC807:AW807">
    <cfRule type="colorScale" priority="1020">
      <colorScale>
        <cfvo type="min"/>
        <cfvo type="max"/>
        <color rgb="FFFCFCFF"/>
        <color rgb="FF63BE7B"/>
      </colorScale>
    </cfRule>
  </conditionalFormatting>
  <conditionalFormatting sqref="AC809:AW809">
    <cfRule type="colorScale" priority="1019">
      <colorScale>
        <cfvo type="min"/>
        <cfvo type="max"/>
        <color rgb="FFFCFCFF"/>
        <color rgb="FF63BE7B"/>
      </colorScale>
    </cfRule>
  </conditionalFormatting>
  <conditionalFormatting sqref="AC811:AW811">
    <cfRule type="colorScale" priority="1018">
      <colorScale>
        <cfvo type="min"/>
        <cfvo type="max"/>
        <color rgb="FFFCFCFF"/>
        <color rgb="FF63BE7B"/>
      </colorScale>
    </cfRule>
  </conditionalFormatting>
  <conditionalFormatting sqref="AC813:AW813">
    <cfRule type="colorScale" priority="1017">
      <colorScale>
        <cfvo type="min"/>
        <cfvo type="max"/>
        <color rgb="FFFCFCFF"/>
        <color rgb="FF63BE7B"/>
      </colorScale>
    </cfRule>
  </conditionalFormatting>
  <conditionalFormatting sqref="AC815:AW815">
    <cfRule type="colorScale" priority="1016">
      <colorScale>
        <cfvo type="min"/>
        <cfvo type="max"/>
        <color rgb="FFFCFCFF"/>
        <color rgb="FF63BE7B"/>
      </colorScale>
    </cfRule>
  </conditionalFormatting>
  <conditionalFormatting sqref="AC817:AW817">
    <cfRule type="colorScale" priority="1015">
      <colorScale>
        <cfvo type="min"/>
        <cfvo type="max"/>
        <color rgb="FFFCFCFF"/>
        <color rgb="FF63BE7B"/>
      </colorScale>
    </cfRule>
  </conditionalFormatting>
  <conditionalFormatting sqref="AC819:AW819">
    <cfRule type="colorScale" priority="1014">
      <colorScale>
        <cfvo type="min"/>
        <cfvo type="max"/>
        <color rgb="FFFCFCFF"/>
        <color rgb="FF63BE7B"/>
      </colorScale>
    </cfRule>
  </conditionalFormatting>
  <conditionalFormatting sqref="AC821:AW821">
    <cfRule type="colorScale" priority="1013">
      <colorScale>
        <cfvo type="min"/>
        <cfvo type="max"/>
        <color rgb="FFFCFCFF"/>
        <color rgb="FF63BE7B"/>
      </colorScale>
    </cfRule>
  </conditionalFormatting>
  <conditionalFormatting sqref="AC823:AW823">
    <cfRule type="colorScale" priority="1012">
      <colorScale>
        <cfvo type="min"/>
        <cfvo type="max"/>
        <color rgb="FFFCFCFF"/>
        <color rgb="FF63BE7B"/>
      </colorScale>
    </cfRule>
  </conditionalFormatting>
  <conditionalFormatting sqref="AC825:AW825">
    <cfRule type="colorScale" priority="1011">
      <colorScale>
        <cfvo type="min"/>
        <cfvo type="max"/>
        <color rgb="FFFCFCFF"/>
        <color rgb="FF63BE7B"/>
      </colorScale>
    </cfRule>
  </conditionalFormatting>
  <conditionalFormatting sqref="AC827:AW827">
    <cfRule type="colorScale" priority="1010">
      <colorScale>
        <cfvo type="min"/>
        <cfvo type="max"/>
        <color rgb="FFFCFCFF"/>
        <color rgb="FF63BE7B"/>
      </colorScale>
    </cfRule>
  </conditionalFormatting>
  <conditionalFormatting sqref="AC829:AW829">
    <cfRule type="colorScale" priority="1009">
      <colorScale>
        <cfvo type="min"/>
        <cfvo type="max"/>
        <color rgb="FFFCFCFF"/>
        <color rgb="FF63BE7B"/>
      </colorScale>
    </cfRule>
  </conditionalFormatting>
  <conditionalFormatting sqref="AC831:AW831">
    <cfRule type="colorScale" priority="1008">
      <colorScale>
        <cfvo type="min"/>
        <cfvo type="max"/>
        <color rgb="FFFCFCFF"/>
        <color rgb="FF63BE7B"/>
      </colorScale>
    </cfRule>
  </conditionalFormatting>
  <conditionalFormatting sqref="AC833:AW833">
    <cfRule type="colorScale" priority="1007">
      <colorScale>
        <cfvo type="min"/>
        <cfvo type="max"/>
        <color rgb="FFFCFCFF"/>
        <color rgb="FF63BE7B"/>
      </colorScale>
    </cfRule>
  </conditionalFormatting>
  <conditionalFormatting sqref="AC835:AW835">
    <cfRule type="colorScale" priority="1006">
      <colorScale>
        <cfvo type="min"/>
        <cfvo type="max"/>
        <color rgb="FFFCFCFF"/>
        <color rgb="FF63BE7B"/>
      </colorScale>
    </cfRule>
  </conditionalFormatting>
  <conditionalFormatting sqref="AC837:AW837">
    <cfRule type="colorScale" priority="1005">
      <colorScale>
        <cfvo type="min"/>
        <cfvo type="max"/>
        <color rgb="FFFCFCFF"/>
        <color rgb="FF63BE7B"/>
      </colorScale>
    </cfRule>
  </conditionalFormatting>
  <conditionalFormatting sqref="AC839:AW839">
    <cfRule type="colorScale" priority="1004">
      <colorScale>
        <cfvo type="min"/>
        <cfvo type="max"/>
        <color rgb="FFFCFCFF"/>
        <color rgb="FF63BE7B"/>
      </colorScale>
    </cfRule>
  </conditionalFormatting>
  <conditionalFormatting sqref="AC841:AW841">
    <cfRule type="colorScale" priority="1003">
      <colorScale>
        <cfvo type="min"/>
        <cfvo type="max"/>
        <color rgb="FFFCFCFF"/>
        <color rgb="FF63BE7B"/>
      </colorScale>
    </cfRule>
  </conditionalFormatting>
  <conditionalFormatting sqref="AC843:AW843">
    <cfRule type="colorScale" priority="1002">
      <colorScale>
        <cfvo type="min"/>
        <cfvo type="max"/>
        <color rgb="FFFCFCFF"/>
        <color rgb="FF63BE7B"/>
      </colorScale>
    </cfRule>
  </conditionalFormatting>
  <conditionalFormatting sqref="AC845:AW845">
    <cfRule type="colorScale" priority="1001">
      <colorScale>
        <cfvo type="min"/>
        <cfvo type="max"/>
        <color rgb="FFFCFCFF"/>
        <color rgb="FF63BE7B"/>
      </colorScale>
    </cfRule>
  </conditionalFormatting>
  <conditionalFormatting sqref="AC847:AW847">
    <cfRule type="colorScale" priority="1000">
      <colorScale>
        <cfvo type="min"/>
        <cfvo type="max"/>
        <color rgb="FFFCFCFF"/>
        <color rgb="FF63BE7B"/>
      </colorScale>
    </cfRule>
  </conditionalFormatting>
  <conditionalFormatting sqref="AC849:AW849">
    <cfRule type="colorScale" priority="999">
      <colorScale>
        <cfvo type="min"/>
        <cfvo type="max"/>
        <color rgb="FFFCFCFF"/>
        <color rgb="FF63BE7B"/>
      </colorScale>
    </cfRule>
  </conditionalFormatting>
  <conditionalFormatting sqref="AC851:AW851">
    <cfRule type="colorScale" priority="998">
      <colorScale>
        <cfvo type="min"/>
        <cfvo type="max"/>
        <color rgb="FFFCFCFF"/>
        <color rgb="FF63BE7B"/>
      </colorScale>
    </cfRule>
  </conditionalFormatting>
  <conditionalFormatting sqref="AC853:AW853">
    <cfRule type="colorScale" priority="997">
      <colorScale>
        <cfvo type="min"/>
        <cfvo type="max"/>
        <color rgb="FFFCFCFF"/>
        <color rgb="FF63BE7B"/>
      </colorScale>
    </cfRule>
  </conditionalFormatting>
  <conditionalFormatting sqref="AC855:AW855">
    <cfRule type="colorScale" priority="996">
      <colorScale>
        <cfvo type="min"/>
        <cfvo type="max"/>
        <color rgb="FFFCFCFF"/>
        <color rgb="FF63BE7B"/>
      </colorScale>
    </cfRule>
  </conditionalFormatting>
  <conditionalFormatting sqref="AC857:AW857">
    <cfRule type="colorScale" priority="995">
      <colorScale>
        <cfvo type="min"/>
        <cfvo type="max"/>
        <color rgb="FFFCFCFF"/>
        <color rgb="FF63BE7B"/>
      </colorScale>
    </cfRule>
  </conditionalFormatting>
  <conditionalFormatting sqref="AC859:AW859">
    <cfRule type="colorScale" priority="994">
      <colorScale>
        <cfvo type="min"/>
        <cfvo type="max"/>
        <color rgb="FFFCFCFF"/>
        <color rgb="FF63BE7B"/>
      </colorScale>
    </cfRule>
  </conditionalFormatting>
  <conditionalFormatting sqref="AC861:AW861">
    <cfRule type="colorScale" priority="993">
      <colorScale>
        <cfvo type="min"/>
        <cfvo type="max"/>
        <color rgb="FFFCFCFF"/>
        <color rgb="FF63BE7B"/>
      </colorScale>
    </cfRule>
  </conditionalFormatting>
  <conditionalFormatting sqref="AC863:AW863">
    <cfRule type="colorScale" priority="992">
      <colorScale>
        <cfvo type="min"/>
        <cfvo type="max"/>
        <color rgb="FFFCFCFF"/>
        <color rgb="FF63BE7B"/>
      </colorScale>
    </cfRule>
  </conditionalFormatting>
  <conditionalFormatting sqref="AC865:AW865">
    <cfRule type="colorScale" priority="991">
      <colorScale>
        <cfvo type="min"/>
        <cfvo type="max"/>
        <color rgb="FFFCFCFF"/>
        <color rgb="FF63BE7B"/>
      </colorScale>
    </cfRule>
  </conditionalFormatting>
  <conditionalFormatting sqref="AC867:AW867">
    <cfRule type="colorScale" priority="990">
      <colorScale>
        <cfvo type="min"/>
        <cfvo type="max"/>
        <color rgb="FFFCFCFF"/>
        <color rgb="FF63BE7B"/>
      </colorScale>
    </cfRule>
  </conditionalFormatting>
  <conditionalFormatting sqref="AC869:AW869">
    <cfRule type="colorScale" priority="989">
      <colorScale>
        <cfvo type="min"/>
        <cfvo type="max"/>
        <color rgb="FFFCFCFF"/>
        <color rgb="FF63BE7B"/>
      </colorScale>
    </cfRule>
  </conditionalFormatting>
  <conditionalFormatting sqref="AC871:AW871">
    <cfRule type="colorScale" priority="988">
      <colorScale>
        <cfvo type="min"/>
        <cfvo type="max"/>
        <color rgb="FFFCFCFF"/>
        <color rgb="FF63BE7B"/>
      </colorScale>
    </cfRule>
  </conditionalFormatting>
  <conditionalFormatting sqref="AC873:AW873">
    <cfRule type="colorScale" priority="987">
      <colorScale>
        <cfvo type="min"/>
        <cfvo type="max"/>
        <color rgb="FFFCFCFF"/>
        <color rgb="FF63BE7B"/>
      </colorScale>
    </cfRule>
  </conditionalFormatting>
  <conditionalFormatting sqref="AC875:AW875">
    <cfRule type="colorScale" priority="986">
      <colorScale>
        <cfvo type="min"/>
        <cfvo type="max"/>
        <color rgb="FFFCFCFF"/>
        <color rgb="FF63BE7B"/>
      </colorScale>
    </cfRule>
  </conditionalFormatting>
  <conditionalFormatting sqref="AC877:AW877">
    <cfRule type="colorScale" priority="985">
      <colorScale>
        <cfvo type="min"/>
        <cfvo type="max"/>
        <color rgb="FFFCFCFF"/>
        <color rgb="FF63BE7B"/>
      </colorScale>
    </cfRule>
  </conditionalFormatting>
  <conditionalFormatting sqref="AC879:AW879">
    <cfRule type="colorScale" priority="984">
      <colorScale>
        <cfvo type="min"/>
        <cfvo type="max"/>
        <color rgb="FFFCFCFF"/>
        <color rgb="FF63BE7B"/>
      </colorScale>
    </cfRule>
  </conditionalFormatting>
  <conditionalFormatting sqref="AC881:AW881">
    <cfRule type="colorScale" priority="983">
      <colorScale>
        <cfvo type="min"/>
        <cfvo type="max"/>
        <color rgb="FFFCFCFF"/>
        <color rgb="FF63BE7B"/>
      </colorScale>
    </cfRule>
  </conditionalFormatting>
  <conditionalFormatting sqref="AC883:AW883">
    <cfRule type="colorScale" priority="982">
      <colorScale>
        <cfvo type="min"/>
        <cfvo type="max"/>
        <color rgb="FFFCFCFF"/>
        <color rgb="FF63BE7B"/>
      </colorScale>
    </cfRule>
  </conditionalFormatting>
  <conditionalFormatting sqref="AC885:AW885">
    <cfRule type="colorScale" priority="981">
      <colorScale>
        <cfvo type="min"/>
        <cfvo type="max"/>
        <color rgb="FFFCFCFF"/>
        <color rgb="FF63BE7B"/>
      </colorScale>
    </cfRule>
  </conditionalFormatting>
  <conditionalFormatting sqref="AC887:AW887">
    <cfRule type="colorScale" priority="980">
      <colorScale>
        <cfvo type="min"/>
        <cfvo type="max"/>
        <color rgb="FFFCFCFF"/>
        <color rgb="FF63BE7B"/>
      </colorScale>
    </cfRule>
  </conditionalFormatting>
  <conditionalFormatting sqref="AC889:AW889">
    <cfRule type="colorScale" priority="979">
      <colorScale>
        <cfvo type="min"/>
        <cfvo type="max"/>
        <color rgb="FFFCFCFF"/>
        <color rgb="FF63BE7B"/>
      </colorScale>
    </cfRule>
  </conditionalFormatting>
  <conditionalFormatting sqref="AC891:AW891">
    <cfRule type="colorScale" priority="978">
      <colorScale>
        <cfvo type="min"/>
        <cfvo type="max"/>
        <color rgb="FFFCFCFF"/>
        <color rgb="FF63BE7B"/>
      </colorScale>
    </cfRule>
  </conditionalFormatting>
  <conditionalFormatting sqref="AC893:AW893">
    <cfRule type="colorScale" priority="977">
      <colorScale>
        <cfvo type="min"/>
        <cfvo type="max"/>
        <color rgb="FFFCFCFF"/>
        <color rgb="FF63BE7B"/>
      </colorScale>
    </cfRule>
  </conditionalFormatting>
  <conditionalFormatting sqref="AC895:AW895">
    <cfRule type="colorScale" priority="976">
      <colorScale>
        <cfvo type="min"/>
        <cfvo type="max"/>
        <color rgb="FFFCFCFF"/>
        <color rgb="FF63BE7B"/>
      </colorScale>
    </cfRule>
  </conditionalFormatting>
  <conditionalFormatting sqref="AC897:AW897">
    <cfRule type="colorScale" priority="975">
      <colorScale>
        <cfvo type="min"/>
        <cfvo type="max"/>
        <color rgb="FFFCFCFF"/>
        <color rgb="FF63BE7B"/>
      </colorScale>
    </cfRule>
  </conditionalFormatting>
  <conditionalFormatting sqref="AC899:AW899">
    <cfRule type="colorScale" priority="974">
      <colorScale>
        <cfvo type="min"/>
        <cfvo type="max"/>
        <color rgb="FFFCFCFF"/>
        <color rgb="FF63BE7B"/>
      </colorScale>
    </cfRule>
  </conditionalFormatting>
  <conditionalFormatting sqref="AC901:AW901">
    <cfRule type="colorScale" priority="973">
      <colorScale>
        <cfvo type="min"/>
        <cfvo type="max"/>
        <color rgb="FFFCFCFF"/>
        <color rgb="FF63BE7B"/>
      </colorScale>
    </cfRule>
  </conditionalFormatting>
  <conditionalFormatting sqref="AC903:AW903">
    <cfRule type="colorScale" priority="972">
      <colorScale>
        <cfvo type="min"/>
        <cfvo type="max"/>
        <color rgb="FFFCFCFF"/>
        <color rgb="FF63BE7B"/>
      </colorScale>
    </cfRule>
  </conditionalFormatting>
  <conditionalFormatting sqref="AC905:AW905">
    <cfRule type="colorScale" priority="971">
      <colorScale>
        <cfvo type="min"/>
        <cfvo type="max"/>
        <color rgb="FFFCFCFF"/>
        <color rgb="FF63BE7B"/>
      </colorScale>
    </cfRule>
  </conditionalFormatting>
  <conditionalFormatting sqref="AC907:AW907">
    <cfRule type="colorScale" priority="970">
      <colorScale>
        <cfvo type="min"/>
        <cfvo type="max"/>
        <color rgb="FFFCFCFF"/>
        <color rgb="FF63BE7B"/>
      </colorScale>
    </cfRule>
  </conditionalFormatting>
  <conditionalFormatting sqref="AC909:AW909">
    <cfRule type="colorScale" priority="969">
      <colorScale>
        <cfvo type="min"/>
        <cfvo type="max"/>
        <color rgb="FFFCFCFF"/>
        <color rgb="FF63BE7B"/>
      </colorScale>
    </cfRule>
  </conditionalFormatting>
  <conditionalFormatting sqref="AC911:AW911">
    <cfRule type="colorScale" priority="968">
      <colorScale>
        <cfvo type="min"/>
        <cfvo type="max"/>
        <color rgb="FFFCFCFF"/>
        <color rgb="FF63BE7B"/>
      </colorScale>
    </cfRule>
  </conditionalFormatting>
  <conditionalFormatting sqref="AC913:AW913">
    <cfRule type="colorScale" priority="967">
      <colorScale>
        <cfvo type="min"/>
        <cfvo type="max"/>
        <color rgb="FFFCFCFF"/>
        <color rgb="FF63BE7B"/>
      </colorScale>
    </cfRule>
  </conditionalFormatting>
  <conditionalFormatting sqref="AC915:AW915">
    <cfRule type="colorScale" priority="966">
      <colorScale>
        <cfvo type="min"/>
        <cfvo type="max"/>
        <color rgb="FFFCFCFF"/>
        <color rgb="FF63BE7B"/>
      </colorScale>
    </cfRule>
  </conditionalFormatting>
  <conditionalFormatting sqref="AC917:AW917">
    <cfRule type="colorScale" priority="965">
      <colorScale>
        <cfvo type="min"/>
        <cfvo type="max"/>
        <color rgb="FFFCFCFF"/>
        <color rgb="FF63BE7B"/>
      </colorScale>
    </cfRule>
  </conditionalFormatting>
  <conditionalFormatting sqref="AC919:AW919">
    <cfRule type="colorScale" priority="964">
      <colorScale>
        <cfvo type="min"/>
        <cfvo type="max"/>
        <color rgb="FFFCFCFF"/>
        <color rgb="FF63BE7B"/>
      </colorScale>
    </cfRule>
  </conditionalFormatting>
  <conditionalFormatting sqref="AC921:AW921">
    <cfRule type="colorScale" priority="963">
      <colorScale>
        <cfvo type="min"/>
        <cfvo type="max"/>
        <color rgb="FFFCFCFF"/>
        <color rgb="FF63BE7B"/>
      </colorScale>
    </cfRule>
  </conditionalFormatting>
  <conditionalFormatting sqref="AC923:AW923">
    <cfRule type="colorScale" priority="962">
      <colorScale>
        <cfvo type="min"/>
        <cfvo type="max"/>
        <color rgb="FFFCFCFF"/>
        <color rgb="FF63BE7B"/>
      </colorScale>
    </cfRule>
  </conditionalFormatting>
  <conditionalFormatting sqref="AC925:AW925">
    <cfRule type="colorScale" priority="961">
      <colorScale>
        <cfvo type="min"/>
        <cfvo type="max"/>
        <color rgb="FFFCFCFF"/>
        <color rgb="FF63BE7B"/>
      </colorScale>
    </cfRule>
  </conditionalFormatting>
  <conditionalFormatting sqref="AC927:AW927">
    <cfRule type="colorScale" priority="960">
      <colorScale>
        <cfvo type="min"/>
        <cfvo type="max"/>
        <color rgb="FFFCFCFF"/>
        <color rgb="FF63BE7B"/>
      </colorScale>
    </cfRule>
  </conditionalFormatting>
  <conditionalFormatting sqref="AC929:AW929">
    <cfRule type="colorScale" priority="959">
      <colorScale>
        <cfvo type="min"/>
        <cfvo type="max"/>
        <color rgb="FFFCFCFF"/>
        <color rgb="FF63BE7B"/>
      </colorScale>
    </cfRule>
  </conditionalFormatting>
  <conditionalFormatting sqref="AC931:AW931">
    <cfRule type="colorScale" priority="958">
      <colorScale>
        <cfvo type="min"/>
        <cfvo type="max"/>
        <color rgb="FFFCFCFF"/>
        <color rgb="FF63BE7B"/>
      </colorScale>
    </cfRule>
  </conditionalFormatting>
  <conditionalFormatting sqref="AC933:AW933">
    <cfRule type="colorScale" priority="957">
      <colorScale>
        <cfvo type="min"/>
        <cfvo type="max"/>
        <color rgb="FFFCFCFF"/>
        <color rgb="FF63BE7B"/>
      </colorScale>
    </cfRule>
  </conditionalFormatting>
  <conditionalFormatting sqref="AC935:AW935">
    <cfRule type="colorScale" priority="956">
      <colorScale>
        <cfvo type="min"/>
        <cfvo type="max"/>
        <color rgb="FFFCFCFF"/>
        <color rgb="FF63BE7B"/>
      </colorScale>
    </cfRule>
  </conditionalFormatting>
  <conditionalFormatting sqref="AC937:AW937">
    <cfRule type="colorScale" priority="955">
      <colorScale>
        <cfvo type="min"/>
        <cfvo type="max"/>
        <color rgb="FFFCFCFF"/>
        <color rgb="FF63BE7B"/>
      </colorScale>
    </cfRule>
  </conditionalFormatting>
  <conditionalFormatting sqref="AC939:AW939">
    <cfRule type="colorScale" priority="954">
      <colorScale>
        <cfvo type="min"/>
        <cfvo type="max"/>
        <color rgb="FFFCFCFF"/>
        <color rgb="FF63BE7B"/>
      </colorScale>
    </cfRule>
  </conditionalFormatting>
  <conditionalFormatting sqref="AC941:AW941">
    <cfRule type="colorScale" priority="953">
      <colorScale>
        <cfvo type="min"/>
        <cfvo type="max"/>
        <color rgb="FFFCFCFF"/>
        <color rgb="FF63BE7B"/>
      </colorScale>
    </cfRule>
  </conditionalFormatting>
  <conditionalFormatting sqref="AC943:AW943">
    <cfRule type="colorScale" priority="952">
      <colorScale>
        <cfvo type="min"/>
        <cfvo type="max"/>
        <color rgb="FFFCFCFF"/>
        <color rgb="FF63BE7B"/>
      </colorScale>
    </cfRule>
  </conditionalFormatting>
  <conditionalFormatting sqref="AC945:AW945">
    <cfRule type="colorScale" priority="951">
      <colorScale>
        <cfvo type="min"/>
        <cfvo type="max"/>
        <color rgb="FFFCFCFF"/>
        <color rgb="FF63BE7B"/>
      </colorScale>
    </cfRule>
  </conditionalFormatting>
  <conditionalFormatting sqref="AC947:AW947">
    <cfRule type="colorScale" priority="950">
      <colorScale>
        <cfvo type="min"/>
        <cfvo type="max"/>
        <color rgb="FFFCFCFF"/>
        <color rgb="FF63BE7B"/>
      </colorScale>
    </cfRule>
  </conditionalFormatting>
  <conditionalFormatting sqref="AC949:AW949">
    <cfRule type="colorScale" priority="949">
      <colorScale>
        <cfvo type="min"/>
        <cfvo type="max"/>
        <color rgb="FFFCFCFF"/>
        <color rgb="FF63BE7B"/>
      </colorScale>
    </cfRule>
  </conditionalFormatting>
  <conditionalFormatting sqref="AC951:AW951">
    <cfRule type="colorScale" priority="948">
      <colorScale>
        <cfvo type="min"/>
        <cfvo type="max"/>
        <color rgb="FFFCFCFF"/>
        <color rgb="FF63BE7B"/>
      </colorScale>
    </cfRule>
  </conditionalFormatting>
  <conditionalFormatting sqref="AC953:AW953">
    <cfRule type="colorScale" priority="947">
      <colorScale>
        <cfvo type="min"/>
        <cfvo type="max"/>
        <color rgb="FFFCFCFF"/>
        <color rgb="FF63BE7B"/>
      </colorScale>
    </cfRule>
  </conditionalFormatting>
  <conditionalFormatting sqref="AC955:AW955">
    <cfRule type="colorScale" priority="946">
      <colorScale>
        <cfvo type="min"/>
        <cfvo type="max"/>
        <color rgb="FFFCFCFF"/>
        <color rgb="FF63BE7B"/>
      </colorScale>
    </cfRule>
  </conditionalFormatting>
  <conditionalFormatting sqref="AC957:AW957">
    <cfRule type="colorScale" priority="945">
      <colorScale>
        <cfvo type="min"/>
        <cfvo type="max"/>
        <color rgb="FFFCFCFF"/>
        <color rgb="FF63BE7B"/>
      </colorScale>
    </cfRule>
  </conditionalFormatting>
  <conditionalFormatting sqref="AC959:AW959">
    <cfRule type="colorScale" priority="944">
      <colorScale>
        <cfvo type="min"/>
        <cfvo type="max"/>
        <color rgb="FFFCFCFF"/>
        <color rgb="FF63BE7B"/>
      </colorScale>
    </cfRule>
  </conditionalFormatting>
  <conditionalFormatting sqref="AC961:AW961">
    <cfRule type="colorScale" priority="943">
      <colorScale>
        <cfvo type="min"/>
        <cfvo type="max"/>
        <color rgb="FFFCFCFF"/>
        <color rgb="FF63BE7B"/>
      </colorScale>
    </cfRule>
  </conditionalFormatting>
  <conditionalFormatting sqref="AC963:AW963">
    <cfRule type="colorScale" priority="942">
      <colorScale>
        <cfvo type="min"/>
        <cfvo type="max"/>
        <color rgb="FFFCFCFF"/>
        <color rgb="FF63BE7B"/>
      </colorScale>
    </cfRule>
  </conditionalFormatting>
  <conditionalFormatting sqref="AC965:AW965">
    <cfRule type="colorScale" priority="941">
      <colorScale>
        <cfvo type="min"/>
        <cfvo type="max"/>
        <color rgb="FFFCFCFF"/>
        <color rgb="FF63BE7B"/>
      </colorScale>
    </cfRule>
  </conditionalFormatting>
  <conditionalFormatting sqref="AC967:AW967">
    <cfRule type="colorScale" priority="940">
      <colorScale>
        <cfvo type="min"/>
        <cfvo type="max"/>
        <color rgb="FFFCFCFF"/>
        <color rgb="FF63BE7B"/>
      </colorScale>
    </cfRule>
  </conditionalFormatting>
  <conditionalFormatting sqref="AC969:AW969">
    <cfRule type="colorScale" priority="939">
      <colorScale>
        <cfvo type="min"/>
        <cfvo type="max"/>
        <color rgb="FFFCFCFF"/>
        <color rgb="FF63BE7B"/>
      </colorScale>
    </cfRule>
  </conditionalFormatting>
  <conditionalFormatting sqref="AC971:AW971">
    <cfRule type="colorScale" priority="938">
      <colorScale>
        <cfvo type="min"/>
        <cfvo type="max"/>
        <color rgb="FFFCFCFF"/>
        <color rgb="FF63BE7B"/>
      </colorScale>
    </cfRule>
  </conditionalFormatting>
  <conditionalFormatting sqref="AC973:AW973">
    <cfRule type="colorScale" priority="937">
      <colorScale>
        <cfvo type="min"/>
        <cfvo type="max"/>
        <color rgb="FFFCFCFF"/>
        <color rgb="FF63BE7B"/>
      </colorScale>
    </cfRule>
  </conditionalFormatting>
  <conditionalFormatting sqref="AC975:AW975">
    <cfRule type="colorScale" priority="936">
      <colorScale>
        <cfvo type="min"/>
        <cfvo type="max"/>
        <color rgb="FFFCFCFF"/>
        <color rgb="FF63BE7B"/>
      </colorScale>
    </cfRule>
  </conditionalFormatting>
  <conditionalFormatting sqref="AC977:AW977">
    <cfRule type="colorScale" priority="935">
      <colorScale>
        <cfvo type="min"/>
        <cfvo type="max"/>
        <color rgb="FFFCFCFF"/>
        <color rgb="FF63BE7B"/>
      </colorScale>
    </cfRule>
  </conditionalFormatting>
  <conditionalFormatting sqref="AC979:AW979">
    <cfRule type="colorScale" priority="934">
      <colorScale>
        <cfvo type="min"/>
        <cfvo type="max"/>
        <color rgb="FFFCFCFF"/>
        <color rgb="FF63BE7B"/>
      </colorScale>
    </cfRule>
  </conditionalFormatting>
  <conditionalFormatting sqref="AC981:AW981">
    <cfRule type="colorScale" priority="933">
      <colorScale>
        <cfvo type="min"/>
        <cfvo type="max"/>
        <color rgb="FFFCFCFF"/>
        <color rgb="FF63BE7B"/>
      </colorScale>
    </cfRule>
  </conditionalFormatting>
  <conditionalFormatting sqref="AC983:AW983">
    <cfRule type="colorScale" priority="932">
      <colorScale>
        <cfvo type="min"/>
        <cfvo type="max"/>
        <color rgb="FFFCFCFF"/>
        <color rgb="FF63BE7B"/>
      </colorScale>
    </cfRule>
  </conditionalFormatting>
  <conditionalFormatting sqref="AC985:AW985">
    <cfRule type="colorScale" priority="931">
      <colorScale>
        <cfvo type="min"/>
        <cfvo type="max"/>
        <color rgb="FFFCFCFF"/>
        <color rgb="FF63BE7B"/>
      </colorScale>
    </cfRule>
  </conditionalFormatting>
  <conditionalFormatting sqref="AC987:AW987">
    <cfRule type="colorScale" priority="930">
      <colorScale>
        <cfvo type="min"/>
        <cfvo type="max"/>
        <color rgb="FFFCFCFF"/>
        <color rgb="FF63BE7B"/>
      </colorScale>
    </cfRule>
  </conditionalFormatting>
  <conditionalFormatting sqref="AC989:AW989">
    <cfRule type="colorScale" priority="929">
      <colorScale>
        <cfvo type="min"/>
        <cfvo type="max"/>
        <color rgb="FFFCFCFF"/>
        <color rgb="FF63BE7B"/>
      </colorScale>
    </cfRule>
  </conditionalFormatting>
  <conditionalFormatting sqref="AC991:AW991">
    <cfRule type="colorScale" priority="928">
      <colorScale>
        <cfvo type="min"/>
        <cfvo type="max"/>
        <color rgb="FFFCFCFF"/>
        <color rgb="FF63BE7B"/>
      </colorScale>
    </cfRule>
  </conditionalFormatting>
  <conditionalFormatting sqref="AC993:AW993">
    <cfRule type="colorScale" priority="927">
      <colorScale>
        <cfvo type="min"/>
        <cfvo type="max"/>
        <color rgb="FFFCFCFF"/>
        <color rgb="FF63BE7B"/>
      </colorScale>
    </cfRule>
  </conditionalFormatting>
  <conditionalFormatting sqref="AC995:AW995">
    <cfRule type="colorScale" priority="926">
      <colorScale>
        <cfvo type="min"/>
        <cfvo type="max"/>
        <color rgb="FFFCFCFF"/>
        <color rgb="FF63BE7B"/>
      </colorScale>
    </cfRule>
  </conditionalFormatting>
  <conditionalFormatting sqref="AC997:AW997">
    <cfRule type="colorScale" priority="925">
      <colorScale>
        <cfvo type="min"/>
        <cfvo type="max"/>
        <color rgb="FFFCFCFF"/>
        <color rgb="FF63BE7B"/>
      </colorScale>
    </cfRule>
  </conditionalFormatting>
  <conditionalFormatting sqref="AC999:AW999">
    <cfRule type="colorScale" priority="924">
      <colorScale>
        <cfvo type="min"/>
        <cfvo type="max"/>
        <color rgb="FFFCFCFF"/>
        <color rgb="FF63BE7B"/>
      </colorScale>
    </cfRule>
  </conditionalFormatting>
  <conditionalFormatting sqref="AC1001:AW1001">
    <cfRule type="colorScale" priority="923">
      <colorScale>
        <cfvo type="min"/>
        <cfvo type="max"/>
        <color rgb="FFFCFCFF"/>
        <color rgb="FF63BE7B"/>
      </colorScale>
    </cfRule>
  </conditionalFormatting>
  <conditionalFormatting sqref="AC1003:AW1003">
    <cfRule type="colorScale" priority="922">
      <colorScale>
        <cfvo type="min"/>
        <cfvo type="max"/>
        <color rgb="FFFCFCFF"/>
        <color rgb="FF63BE7B"/>
      </colorScale>
    </cfRule>
  </conditionalFormatting>
  <conditionalFormatting sqref="AC1005:AW1005">
    <cfRule type="colorScale" priority="921">
      <colorScale>
        <cfvo type="min"/>
        <cfvo type="max"/>
        <color rgb="FFFCFCFF"/>
        <color rgb="FF63BE7B"/>
      </colorScale>
    </cfRule>
  </conditionalFormatting>
  <conditionalFormatting sqref="AC1007:AW1007">
    <cfRule type="colorScale" priority="920">
      <colorScale>
        <cfvo type="min"/>
        <cfvo type="max"/>
        <color rgb="FFFCFCFF"/>
        <color rgb="FF63BE7B"/>
      </colorScale>
    </cfRule>
  </conditionalFormatting>
  <conditionalFormatting sqref="AC1009:AW1009">
    <cfRule type="colorScale" priority="919">
      <colorScale>
        <cfvo type="min"/>
        <cfvo type="max"/>
        <color rgb="FFFCFCFF"/>
        <color rgb="FF63BE7B"/>
      </colorScale>
    </cfRule>
  </conditionalFormatting>
  <conditionalFormatting sqref="AC1011:AW1011">
    <cfRule type="colorScale" priority="918">
      <colorScale>
        <cfvo type="min"/>
        <cfvo type="max"/>
        <color rgb="FFFCFCFF"/>
        <color rgb="FF63BE7B"/>
      </colorScale>
    </cfRule>
  </conditionalFormatting>
  <conditionalFormatting sqref="AC1013:AW1013">
    <cfRule type="colorScale" priority="917">
      <colorScale>
        <cfvo type="min"/>
        <cfvo type="max"/>
        <color rgb="FFFCFCFF"/>
        <color rgb="FF63BE7B"/>
      </colorScale>
    </cfRule>
  </conditionalFormatting>
  <conditionalFormatting sqref="AC1015:AW1015">
    <cfRule type="colorScale" priority="916">
      <colorScale>
        <cfvo type="min"/>
        <cfvo type="max"/>
        <color rgb="FFFCFCFF"/>
        <color rgb="FF63BE7B"/>
      </colorScale>
    </cfRule>
  </conditionalFormatting>
  <conditionalFormatting sqref="AC1017:AW1017">
    <cfRule type="colorScale" priority="915">
      <colorScale>
        <cfvo type="min"/>
        <cfvo type="max"/>
        <color rgb="FFFCFCFF"/>
        <color rgb="FF63BE7B"/>
      </colorScale>
    </cfRule>
  </conditionalFormatting>
  <conditionalFormatting sqref="AC1019:AW1019">
    <cfRule type="colorScale" priority="914">
      <colorScale>
        <cfvo type="min"/>
        <cfvo type="max"/>
        <color rgb="FFFCFCFF"/>
        <color rgb="FF63BE7B"/>
      </colorScale>
    </cfRule>
  </conditionalFormatting>
  <conditionalFormatting sqref="AC1021:AW1021">
    <cfRule type="colorScale" priority="913">
      <colorScale>
        <cfvo type="min"/>
        <cfvo type="max"/>
        <color rgb="FFFCFCFF"/>
        <color rgb="FF63BE7B"/>
      </colorScale>
    </cfRule>
  </conditionalFormatting>
  <conditionalFormatting sqref="AC1023:AW1023">
    <cfRule type="colorScale" priority="912">
      <colorScale>
        <cfvo type="min"/>
        <cfvo type="max"/>
        <color rgb="FFFCFCFF"/>
        <color rgb="FF63BE7B"/>
      </colorScale>
    </cfRule>
  </conditionalFormatting>
  <conditionalFormatting sqref="AC1025:AW1025">
    <cfRule type="colorScale" priority="911">
      <colorScale>
        <cfvo type="min"/>
        <cfvo type="max"/>
        <color rgb="FFFCFCFF"/>
        <color rgb="FF63BE7B"/>
      </colorScale>
    </cfRule>
  </conditionalFormatting>
  <conditionalFormatting sqref="AC1027:AW1027">
    <cfRule type="colorScale" priority="910">
      <colorScale>
        <cfvo type="min"/>
        <cfvo type="max"/>
        <color rgb="FFFCFCFF"/>
        <color rgb="FF63BE7B"/>
      </colorScale>
    </cfRule>
  </conditionalFormatting>
  <conditionalFormatting sqref="AC1029:AW1029">
    <cfRule type="colorScale" priority="909">
      <colorScale>
        <cfvo type="min"/>
        <cfvo type="max"/>
        <color rgb="FFFCFCFF"/>
        <color rgb="FF63BE7B"/>
      </colorScale>
    </cfRule>
  </conditionalFormatting>
  <conditionalFormatting sqref="AC1031:AW1031">
    <cfRule type="colorScale" priority="908">
      <colorScale>
        <cfvo type="min"/>
        <cfvo type="max"/>
        <color rgb="FFFCFCFF"/>
        <color rgb="FF63BE7B"/>
      </colorScale>
    </cfRule>
  </conditionalFormatting>
  <conditionalFormatting sqref="AC1033:AW1033">
    <cfRule type="colorScale" priority="907">
      <colorScale>
        <cfvo type="min"/>
        <cfvo type="max"/>
        <color rgb="FFFCFCFF"/>
        <color rgb="FF63BE7B"/>
      </colorScale>
    </cfRule>
  </conditionalFormatting>
  <conditionalFormatting sqref="AC1035:AW1035">
    <cfRule type="colorScale" priority="906">
      <colorScale>
        <cfvo type="min"/>
        <cfvo type="max"/>
        <color rgb="FFFCFCFF"/>
        <color rgb="FF63BE7B"/>
      </colorScale>
    </cfRule>
  </conditionalFormatting>
  <conditionalFormatting sqref="AC1037:AW1037">
    <cfRule type="colorScale" priority="905">
      <colorScale>
        <cfvo type="min"/>
        <cfvo type="max"/>
        <color rgb="FFFCFCFF"/>
        <color rgb="FF63BE7B"/>
      </colorScale>
    </cfRule>
  </conditionalFormatting>
  <conditionalFormatting sqref="AC1039:AW1039">
    <cfRule type="colorScale" priority="904">
      <colorScale>
        <cfvo type="min"/>
        <cfvo type="max"/>
        <color rgb="FFFCFCFF"/>
        <color rgb="FF63BE7B"/>
      </colorScale>
    </cfRule>
  </conditionalFormatting>
  <conditionalFormatting sqref="AC1041:AW1041">
    <cfRule type="colorScale" priority="903">
      <colorScale>
        <cfvo type="min"/>
        <cfvo type="max"/>
        <color rgb="FFFCFCFF"/>
        <color rgb="FF63BE7B"/>
      </colorScale>
    </cfRule>
  </conditionalFormatting>
  <conditionalFormatting sqref="AC1043:AW1043">
    <cfRule type="colorScale" priority="902">
      <colorScale>
        <cfvo type="min"/>
        <cfvo type="max"/>
        <color rgb="FFFCFCFF"/>
        <color rgb="FF63BE7B"/>
      </colorScale>
    </cfRule>
  </conditionalFormatting>
  <conditionalFormatting sqref="AC1045:AW1045">
    <cfRule type="colorScale" priority="901">
      <colorScale>
        <cfvo type="min"/>
        <cfvo type="max"/>
        <color rgb="FFFCFCFF"/>
        <color rgb="FF63BE7B"/>
      </colorScale>
    </cfRule>
  </conditionalFormatting>
  <conditionalFormatting sqref="AC1047:AW1047">
    <cfRule type="colorScale" priority="900">
      <colorScale>
        <cfvo type="min"/>
        <cfvo type="max"/>
        <color rgb="FFFCFCFF"/>
        <color rgb="FF63BE7B"/>
      </colorScale>
    </cfRule>
  </conditionalFormatting>
  <conditionalFormatting sqref="AC1049:AW1049">
    <cfRule type="colorScale" priority="899">
      <colorScale>
        <cfvo type="min"/>
        <cfvo type="max"/>
        <color rgb="FFFCFCFF"/>
        <color rgb="FF63BE7B"/>
      </colorScale>
    </cfRule>
  </conditionalFormatting>
  <conditionalFormatting sqref="AC1051:AW1051">
    <cfRule type="colorScale" priority="898">
      <colorScale>
        <cfvo type="min"/>
        <cfvo type="max"/>
        <color rgb="FFFCFCFF"/>
        <color rgb="FF63BE7B"/>
      </colorScale>
    </cfRule>
  </conditionalFormatting>
  <conditionalFormatting sqref="AC1053:AW1053">
    <cfRule type="colorScale" priority="897">
      <colorScale>
        <cfvo type="min"/>
        <cfvo type="max"/>
        <color rgb="FFFCFCFF"/>
        <color rgb="FF63BE7B"/>
      </colorScale>
    </cfRule>
  </conditionalFormatting>
  <conditionalFormatting sqref="AC1055:AW1055">
    <cfRule type="colorScale" priority="896">
      <colorScale>
        <cfvo type="min"/>
        <cfvo type="max"/>
        <color rgb="FFFCFCFF"/>
        <color rgb="FF63BE7B"/>
      </colorScale>
    </cfRule>
  </conditionalFormatting>
  <conditionalFormatting sqref="AC1057:AW1057">
    <cfRule type="colorScale" priority="895">
      <colorScale>
        <cfvo type="min"/>
        <cfvo type="max"/>
        <color rgb="FFFCFCFF"/>
        <color rgb="FF63BE7B"/>
      </colorScale>
    </cfRule>
  </conditionalFormatting>
  <conditionalFormatting sqref="AC1059:AW1059">
    <cfRule type="colorScale" priority="894">
      <colorScale>
        <cfvo type="min"/>
        <cfvo type="max"/>
        <color rgb="FFFCFCFF"/>
        <color rgb="FF63BE7B"/>
      </colorScale>
    </cfRule>
  </conditionalFormatting>
  <conditionalFormatting sqref="AC1061:AW1061">
    <cfRule type="colorScale" priority="893">
      <colorScale>
        <cfvo type="min"/>
        <cfvo type="max"/>
        <color rgb="FFFCFCFF"/>
        <color rgb="FF63BE7B"/>
      </colorScale>
    </cfRule>
  </conditionalFormatting>
  <conditionalFormatting sqref="AC1063:AW1063">
    <cfRule type="colorScale" priority="892">
      <colorScale>
        <cfvo type="min"/>
        <cfvo type="max"/>
        <color rgb="FFFCFCFF"/>
        <color rgb="FF63BE7B"/>
      </colorScale>
    </cfRule>
  </conditionalFormatting>
  <conditionalFormatting sqref="AC1065:AW1065">
    <cfRule type="colorScale" priority="891">
      <colorScale>
        <cfvo type="min"/>
        <cfvo type="max"/>
        <color rgb="FFFCFCFF"/>
        <color rgb="FF63BE7B"/>
      </colorScale>
    </cfRule>
  </conditionalFormatting>
  <conditionalFormatting sqref="AC1067:AW1067">
    <cfRule type="colorScale" priority="890">
      <colorScale>
        <cfvo type="min"/>
        <cfvo type="max"/>
        <color rgb="FFFCFCFF"/>
        <color rgb="FF63BE7B"/>
      </colorScale>
    </cfRule>
  </conditionalFormatting>
  <conditionalFormatting sqref="AC1069:AW1069">
    <cfRule type="colorScale" priority="889">
      <colorScale>
        <cfvo type="min"/>
        <cfvo type="max"/>
        <color rgb="FFFCFCFF"/>
        <color rgb="FF63BE7B"/>
      </colorScale>
    </cfRule>
  </conditionalFormatting>
  <conditionalFormatting sqref="AC1071:AW1071">
    <cfRule type="colorScale" priority="888">
      <colorScale>
        <cfvo type="min"/>
        <cfvo type="max"/>
        <color rgb="FFFCFCFF"/>
        <color rgb="FF63BE7B"/>
      </colorScale>
    </cfRule>
  </conditionalFormatting>
  <conditionalFormatting sqref="AC1073:AW1073">
    <cfRule type="colorScale" priority="887">
      <colorScale>
        <cfvo type="min"/>
        <cfvo type="max"/>
        <color rgb="FFFCFCFF"/>
        <color rgb="FF63BE7B"/>
      </colorScale>
    </cfRule>
  </conditionalFormatting>
  <conditionalFormatting sqref="AC1075:AW1075">
    <cfRule type="colorScale" priority="886">
      <colorScale>
        <cfvo type="min"/>
        <cfvo type="max"/>
        <color rgb="FFFCFCFF"/>
        <color rgb="FF63BE7B"/>
      </colorScale>
    </cfRule>
  </conditionalFormatting>
  <conditionalFormatting sqref="AC1077:AW1077">
    <cfRule type="colorScale" priority="885">
      <colorScale>
        <cfvo type="min"/>
        <cfvo type="max"/>
        <color rgb="FFFCFCFF"/>
        <color rgb="FF63BE7B"/>
      </colorScale>
    </cfRule>
  </conditionalFormatting>
  <conditionalFormatting sqref="AC1079:AW1079">
    <cfRule type="colorScale" priority="884">
      <colorScale>
        <cfvo type="min"/>
        <cfvo type="max"/>
        <color rgb="FFFCFCFF"/>
        <color rgb="FF63BE7B"/>
      </colorScale>
    </cfRule>
  </conditionalFormatting>
  <conditionalFormatting sqref="AC1081:AW1081">
    <cfRule type="colorScale" priority="883">
      <colorScale>
        <cfvo type="min"/>
        <cfvo type="max"/>
        <color rgb="FFFCFCFF"/>
        <color rgb="FF63BE7B"/>
      </colorScale>
    </cfRule>
  </conditionalFormatting>
  <conditionalFormatting sqref="AC1083:AW1083">
    <cfRule type="colorScale" priority="882">
      <colorScale>
        <cfvo type="min"/>
        <cfvo type="max"/>
        <color rgb="FFFCFCFF"/>
        <color rgb="FF63BE7B"/>
      </colorScale>
    </cfRule>
  </conditionalFormatting>
  <conditionalFormatting sqref="AC1085:AW1085">
    <cfRule type="colorScale" priority="881">
      <colorScale>
        <cfvo type="min"/>
        <cfvo type="max"/>
        <color rgb="FFFCFCFF"/>
        <color rgb="FF63BE7B"/>
      </colorScale>
    </cfRule>
  </conditionalFormatting>
  <conditionalFormatting sqref="AC1087:AW1087">
    <cfRule type="colorScale" priority="880">
      <colorScale>
        <cfvo type="min"/>
        <cfvo type="max"/>
        <color rgb="FFFCFCFF"/>
        <color rgb="FF63BE7B"/>
      </colorScale>
    </cfRule>
  </conditionalFormatting>
  <conditionalFormatting sqref="AC1089:AW1089">
    <cfRule type="colorScale" priority="879">
      <colorScale>
        <cfvo type="min"/>
        <cfvo type="max"/>
        <color rgb="FFFCFCFF"/>
        <color rgb="FF63BE7B"/>
      </colorScale>
    </cfRule>
  </conditionalFormatting>
  <conditionalFormatting sqref="AC1091:AW1091">
    <cfRule type="colorScale" priority="878">
      <colorScale>
        <cfvo type="min"/>
        <cfvo type="max"/>
        <color rgb="FFFCFCFF"/>
        <color rgb="FF63BE7B"/>
      </colorScale>
    </cfRule>
  </conditionalFormatting>
  <conditionalFormatting sqref="AC1093:AW1093">
    <cfRule type="colorScale" priority="877">
      <colorScale>
        <cfvo type="min"/>
        <cfvo type="max"/>
        <color rgb="FFFCFCFF"/>
        <color rgb="FF63BE7B"/>
      </colorScale>
    </cfRule>
  </conditionalFormatting>
  <conditionalFormatting sqref="AC1095:AW1095">
    <cfRule type="colorScale" priority="876">
      <colorScale>
        <cfvo type="min"/>
        <cfvo type="max"/>
        <color rgb="FFFCFCFF"/>
        <color rgb="FF63BE7B"/>
      </colorScale>
    </cfRule>
  </conditionalFormatting>
  <conditionalFormatting sqref="AC1097:AW1097">
    <cfRule type="colorScale" priority="875">
      <colorScale>
        <cfvo type="min"/>
        <cfvo type="max"/>
        <color rgb="FFFCFCFF"/>
        <color rgb="FF63BE7B"/>
      </colorScale>
    </cfRule>
  </conditionalFormatting>
  <conditionalFormatting sqref="AC1099:AW1099">
    <cfRule type="colorScale" priority="874">
      <colorScale>
        <cfvo type="min"/>
        <cfvo type="max"/>
        <color rgb="FFFCFCFF"/>
        <color rgb="FF63BE7B"/>
      </colorScale>
    </cfRule>
  </conditionalFormatting>
  <conditionalFormatting sqref="AC1101:AW1101">
    <cfRule type="colorScale" priority="873">
      <colorScale>
        <cfvo type="min"/>
        <cfvo type="max"/>
        <color rgb="FFFCFCFF"/>
        <color rgb="FF63BE7B"/>
      </colorScale>
    </cfRule>
  </conditionalFormatting>
  <conditionalFormatting sqref="AC1103:AW1103">
    <cfRule type="colorScale" priority="872">
      <colorScale>
        <cfvo type="min"/>
        <cfvo type="max"/>
        <color rgb="FFFCFCFF"/>
        <color rgb="FF63BE7B"/>
      </colorScale>
    </cfRule>
  </conditionalFormatting>
  <conditionalFormatting sqref="AC1105:AW1105">
    <cfRule type="colorScale" priority="871">
      <colorScale>
        <cfvo type="min"/>
        <cfvo type="max"/>
        <color rgb="FFFCFCFF"/>
        <color rgb="FF63BE7B"/>
      </colorScale>
    </cfRule>
  </conditionalFormatting>
  <conditionalFormatting sqref="AC1107:AW1107">
    <cfRule type="colorScale" priority="870">
      <colorScale>
        <cfvo type="min"/>
        <cfvo type="max"/>
        <color rgb="FFFCFCFF"/>
        <color rgb="FF63BE7B"/>
      </colorScale>
    </cfRule>
  </conditionalFormatting>
  <conditionalFormatting sqref="AC1109:AW1109">
    <cfRule type="colorScale" priority="869">
      <colorScale>
        <cfvo type="min"/>
        <cfvo type="max"/>
        <color rgb="FFFCFCFF"/>
        <color rgb="FF63BE7B"/>
      </colorScale>
    </cfRule>
  </conditionalFormatting>
  <conditionalFormatting sqref="AC1111:AW1111">
    <cfRule type="colorScale" priority="868">
      <colorScale>
        <cfvo type="min"/>
        <cfvo type="max"/>
        <color rgb="FFFCFCFF"/>
        <color rgb="FF63BE7B"/>
      </colorScale>
    </cfRule>
  </conditionalFormatting>
  <conditionalFormatting sqref="AC1113:AW1113">
    <cfRule type="colorScale" priority="867">
      <colorScale>
        <cfvo type="min"/>
        <cfvo type="max"/>
        <color rgb="FFFCFCFF"/>
        <color rgb="FF63BE7B"/>
      </colorScale>
    </cfRule>
  </conditionalFormatting>
  <conditionalFormatting sqref="AC1115:AW1115">
    <cfRule type="colorScale" priority="866">
      <colorScale>
        <cfvo type="min"/>
        <cfvo type="max"/>
        <color rgb="FFFCFCFF"/>
        <color rgb="FF63BE7B"/>
      </colorScale>
    </cfRule>
  </conditionalFormatting>
  <conditionalFormatting sqref="AC1117:AW1117">
    <cfRule type="colorScale" priority="865">
      <colorScale>
        <cfvo type="min"/>
        <cfvo type="max"/>
        <color rgb="FFFCFCFF"/>
        <color rgb="FF63BE7B"/>
      </colorScale>
    </cfRule>
  </conditionalFormatting>
  <conditionalFormatting sqref="AC1119:AW1119">
    <cfRule type="colorScale" priority="864">
      <colorScale>
        <cfvo type="min"/>
        <cfvo type="max"/>
        <color rgb="FFFCFCFF"/>
        <color rgb="FF63BE7B"/>
      </colorScale>
    </cfRule>
  </conditionalFormatting>
  <conditionalFormatting sqref="AC1121:AW1121">
    <cfRule type="colorScale" priority="863">
      <colorScale>
        <cfvo type="min"/>
        <cfvo type="max"/>
        <color rgb="FFFCFCFF"/>
        <color rgb="FF63BE7B"/>
      </colorScale>
    </cfRule>
  </conditionalFormatting>
  <conditionalFormatting sqref="AC1123:AW1123">
    <cfRule type="colorScale" priority="862">
      <colorScale>
        <cfvo type="min"/>
        <cfvo type="max"/>
        <color rgb="FFFCFCFF"/>
        <color rgb="FF63BE7B"/>
      </colorScale>
    </cfRule>
  </conditionalFormatting>
  <conditionalFormatting sqref="AC1125:AW1125">
    <cfRule type="colorScale" priority="861">
      <colorScale>
        <cfvo type="min"/>
        <cfvo type="max"/>
        <color rgb="FFFCFCFF"/>
        <color rgb="FF63BE7B"/>
      </colorScale>
    </cfRule>
  </conditionalFormatting>
  <conditionalFormatting sqref="AC1127:AW1127">
    <cfRule type="colorScale" priority="860">
      <colorScale>
        <cfvo type="min"/>
        <cfvo type="max"/>
        <color rgb="FFFCFCFF"/>
        <color rgb="FF63BE7B"/>
      </colorScale>
    </cfRule>
  </conditionalFormatting>
  <conditionalFormatting sqref="AC1129:AW1129">
    <cfRule type="colorScale" priority="859">
      <colorScale>
        <cfvo type="min"/>
        <cfvo type="max"/>
        <color rgb="FFFCFCFF"/>
        <color rgb="FF63BE7B"/>
      </colorScale>
    </cfRule>
  </conditionalFormatting>
  <conditionalFormatting sqref="AC1131:AW1131">
    <cfRule type="colorScale" priority="858">
      <colorScale>
        <cfvo type="min"/>
        <cfvo type="max"/>
        <color rgb="FFFCFCFF"/>
        <color rgb="FF63BE7B"/>
      </colorScale>
    </cfRule>
  </conditionalFormatting>
  <conditionalFormatting sqref="AC1133:AW1133">
    <cfRule type="colorScale" priority="857">
      <colorScale>
        <cfvo type="min"/>
        <cfvo type="max"/>
        <color rgb="FFFCFCFF"/>
        <color rgb="FF63BE7B"/>
      </colorScale>
    </cfRule>
  </conditionalFormatting>
  <conditionalFormatting sqref="AC1135:AW1135">
    <cfRule type="colorScale" priority="856">
      <colorScale>
        <cfvo type="min"/>
        <cfvo type="max"/>
        <color rgb="FFFCFCFF"/>
        <color rgb="FF63BE7B"/>
      </colorScale>
    </cfRule>
  </conditionalFormatting>
  <conditionalFormatting sqref="AC1137:AW1137">
    <cfRule type="colorScale" priority="855">
      <colorScale>
        <cfvo type="min"/>
        <cfvo type="max"/>
        <color rgb="FFFCFCFF"/>
        <color rgb="FF63BE7B"/>
      </colorScale>
    </cfRule>
  </conditionalFormatting>
  <conditionalFormatting sqref="AC1139:AW1139">
    <cfRule type="colorScale" priority="854">
      <colorScale>
        <cfvo type="min"/>
        <cfvo type="max"/>
        <color rgb="FFFCFCFF"/>
        <color rgb="FF63BE7B"/>
      </colorScale>
    </cfRule>
  </conditionalFormatting>
  <conditionalFormatting sqref="AC1141:AW1141">
    <cfRule type="colorScale" priority="853">
      <colorScale>
        <cfvo type="min"/>
        <cfvo type="max"/>
        <color rgb="FFFCFCFF"/>
        <color rgb="FF63BE7B"/>
      </colorScale>
    </cfRule>
  </conditionalFormatting>
  <conditionalFormatting sqref="AC1143:AW1143">
    <cfRule type="colorScale" priority="852">
      <colorScale>
        <cfvo type="min"/>
        <cfvo type="max"/>
        <color rgb="FFFCFCFF"/>
        <color rgb="FF63BE7B"/>
      </colorScale>
    </cfRule>
  </conditionalFormatting>
  <conditionalFormatting sqref="AC1145:AW1145">
    <cfRule type="colorScale" priority="851">
      <colorScale>
        <cfvo type="min"/>
        <cfvo type="max"/>
        <color rgb="FFFCFCFF"/>
        <color rgb="FF63BE7B"/>
      </colorScale>
    </cfRule>
  </conditionalFormatting>
  <conditionalFormatting sqref="AC1147:AW1147">
    <cfRule type="colorScale" priority="850">
      <colorScale>
        <cfvo type="min"/>
        <cfvo type="max"/>
        <color rgb="FFFCFCFF"/>
        <color rgb="FF63BE7B"/>
      </colorScale>
    </cfRule>
  </conditionalFormatting>
  <conditionalFormatting sqref="AC1149:AW1149">
    <cfRule type="colorScale" priority="849">
      <colorScale>
        <cfvo type="min"/>
        <cfvo type="max"/>
        <color rgb="FFFCFCFF"/>
        <color rgb="FF63BE7B"/>
      </colorScale>
    </cfRule>
  </conditionalFormatting>
  <conditionalFormatting sqref="AC1151:AW1151">
    <cfRule type="colorScale" priority="848">
      <colorScale>
        <cfvo type="min"/>
        <cfvo type="max"/>
        <color rgb="FFFCFCFF"/>
        <color rgb="FF63BE7B"/>
      </colorScale>
    </cfRule>
  </conditionalFormatting>
  <conditionalFormatting sqref="AC1153:AW1153">
    <cfRule type="colorScale" priority="847">
      <colorScale>
        <cfvo type="min"/>
        <cfvo type="max"/>
        <color rgb="FFFCFCFF"/>
        <color rgb="FF63BE7B"/>
      </colorScale>
    </cfRule>
  </conditionalFormatting>
  <conditionalFormatting sqref="AC1155:AW1155">
    <cfRule type="colorScale" priority="846">
      <colorScale>
        <cfvo type="min"/>
        <cfvo type="max"/>
        <color rgb="FFFCFCFF"/>
        <color rgb="FF63BE7B"/>
      </colorScale>
    </cfRule>
  </conditionalFormatting>
  <conditionalFormatting sqref="AC1157:AW1157">
    <cfRule type="colorScale" priority="845">
      <colorScale>
        <cfvo type="min"/>
        <cfvo type="max"/>
        <color rgb="FFFCFCFF"/>
        <color rgb="FF63BE7B"/>
      </colorScale>
    </cfRule>
  </conditionalFormatting>
  <conditionalFormatting sqref="AC1159:AW1159">
    <cfRule type="colorScale" priority="844">
      <colorScale>
        <cfvo type="min"/>
        <cfvo type="max"/>
        <color rgb="FFFCFCFF"/>
        <color rgb="FF63BE7B"/>
      </colorScale>
    </cfRule>
  </conditionalFormatting>
  <conditionalFormatting sqref="AC1161:AW1161">
    <cfRule type="colorScale" priority="843">
      <colorScale>
        <cfvo type="min"/>
        <cfvo type="max"/>
        <color rgb="FFFCFCFF"/>
        <color rgb="FF63BE7B"/>
      </colorScale>
    </cfRule>
  </conditionalFormatting>
  <conditionalFormatting sqref="AC1163:AW1163">
    <cfRule type="colorScale" priority="842">
      <colorScale>
        <cfvo type="min"/>
        <cfvo type="max"/>
        <color rgb="FFFCFCFF"/>
        <color rgb="FF63BE7B"/>
      </colorScale>
    </cfRule>
  </conditionalFormatting>
  <conditionalFormatting sqref="AC1165:AW1165">
    <cfRule type="colorScale" priority="841">
      <colorScale>
        <cfvo type="min"/>
        <cfvo type="max"/>
        <color rgb="FFFCFCFF"/>
        <color rgb="FF63BE7B"/>
      </colorScale>
    </cfRule>
  </conditionalFormatting>
  <conditionalFormatting sqref="AC1167:AW1167">
    <cfRule type="colorScale" priority="840">
      <colorScale>
        <cfvo type="min"/>
        <cfvo type="max"/>
        <color rgb="FFFCFCFF"/>
        <color rgb="FF63BE7B"/>
      </colorScale>
    </cfRule>
  </conditionalFormatting>
  <conditionalFormatting sqref="AC1169:AW1169">
    <cfRule type="colorScale" priority="839">
      <colorScale>
        <cfvo type="min"/>
        <cfvo type="max"/>
        <color rgb="FFFCFCFF"/>
        <color rgb="FF63BE7B"/>
      </colorScale>
    </cfRule>
  </conditionalFormatting>
  <conditionalFormatting sqref="AC1171:AW1171">
    <cfRule type="colorScale" priority="838">
      <colorScale>
        <cfvo type="min"/>
        <cfvo type="max"/>
        <color rgb="FFFCFCFF"/>
        <color rgb="FF63BE7B"/>
      </colorScale>
    </cfRule>
  </conditionalFormatting>
  <conditionalFormatting sqref="AC1173:AW1173">
    <cfRule type="colorScale" priority="837">
      <colorScale>
        <cfvo type="min"/>
        <cfvo type="max"/>
        <color rgb="FFFCFCFF"/>
        <color rgb="FF63BE7B"/>
      </colorScale>
    </cfRule>
  </conditionalFormatting>
  <conditionalFormatting sqref="AC1175:AW1175">
    <cfRule type="colorScale" priority="836">
      <colorScale>
        <cfvo type="min"/>
        <cfvo type="max"/>
        <color rgb="FFFCFCFF"/>
        <color rgb="FF63BE7B"/>
      </colorScale>
    </cfRule>
  </conditionalFormatting>
  <conditionalFormatting sqref="AC1177:AW1177">
    <cfRule type="colorScale" priority="835">
      <colorScale>
        <cfvo type="min"/>
        <cfvo type="max"/>
        <color rgb="FFFCFCFF"/>
        <color rgb="FF63BE7B"/>
      </colorScale>
    </cfRule>
  </conditionalFormatting>
  <conditionalFormatting sqref="AC1179:AW1179">
    <cfRule type="colorScale" priority="834">
      <colorScale>
        <cfvo type="min"/>
        <cfvo type="max"/>
        <color rgb="FFFCFCFF"/>
        <color rgb="FF63BE7B"/>
      </colorScale>
    </cfRule>
  </conditionalFormatting>
  <conditionalFormatting sqref="AC1181:AW1181">
    <cfRule type="colorScale" priority="833">
      <colorScale>
        <cfvo type="min"/>
        <cfvo type="max"/>
        <color rgb="FFFCFCFF"/>
        <color rgb="FF63BE7B"/>
      </colorScale>
    </cfRule>
  </conditionalFormatting>
  <conditionalFormatting sqref="AC1183:AW1183">
    <cfRule type="colorScale" priority="832">
      <colorScale>
        <cfvo type="min"/>
        <cfvo type="max"/>
        <color rgb="FFFCFCFF"/>
        <color rgb="FF63BE7B"/>
      </colorScale>
    </cfRule>
  </conditionalFormatting>
  <conditionalFormatting sqref="AC1185:AW1185">
    <cfRule type="colorScale" priority="831">
      <colorScale>
        <cfvo type="min"/>
        <cfvo type="max"/>
        <color rgb="FFFCFCFF"/>
        <color rgb="FF63BE7B"/>
      </colorScale>
    </cfRule>
  </conditionalFormatting>
  <conditionalFormatting sqref="AC1187:AW1187">
    <cfRule type="colorScale" priority="830">
      <colorScale>
        <cfvo type="min"/>
        <cfvo type="max"/>
        <color rgb="FFFCFCFF"/>
        <color rgb="FF63BE7B"/>
      </colorScale>
    </cfRule>
  </conditionalFormatting>
  <conditionalFormatting sqref="AC1189:AW1189">
    <cfRule type="colorScale" priority="829">
      <colorScale>
        <cfvo type="min"/>
        <cfvo type="max"/>
        <color rgb="FFFCFCFF"/>
        <color rgb="FF63BE7B"/>
      </colorScale>
    </cfRule>
  </conditionalFormatting>
  <conditionalFormatting sqref="AC1191:AW1191">
    <cfRule type="colorScale" priority="828">
      <colorScale>
        <cfvo type="min"/>
        <cfvo type="max"/>
        <color rgb="FFFCFCFF"/>
        <color rgb="FF63BE7B"/>
      </colorScale>
    </cfRule>
  </conditionalFormatting>
  <conditionalFormatting sqref="AC1193:AW1193">
    <cfRule type="colorScale" priority="827">
      <colorScale>
        <cfvo type="min"/>
        <cfvo type="max"/>
        <color rgb="FFFCFCFF"/>
        <color rgb="FF63BE7B"/>
      </colorScale>
    </cfRule>
  </conditionalFormatting>
  <conditionalFormatting sqref="AC1195:AW1195">
    <cfRule type="colorScale" priority="826">
      <colorScale>
        <cfvo type="min"/>
        <cfvo type="max"/>
        <color rgb="FFFCFCFF"/>
        <color rgb="FF63BE7B"/>
      </colorScale>
    </cfRule>
  </conditionalFormatting>
  <conditionalFormatting sqref="AC1197:AW1197">
    <cfRule type="colorScale" priority="825">
      <colorScale>
        <cfvo type="min"/>
        <cfvo type="max"/>
        <color rgb="FFFCFCFF"/>
        <color rgb="FF63BE7B"/>
      </colorScale>
    </cfRule>
  </conditionalFormatting>
  <conditionalFormatting sqref="AC1199:AW1199">
    <cfRule type="colorScale" priority="824">
      <colorScale>
        <cfvo type="min"/>
        <cfvo type="max"/>
        <color rgb="FFFCFCFF"/>
        <color rgb="FF63BE7B"/>
      </colorScale>
    </cfRule>
  </conditionalFormatting>
  <conditionalFormatting sqref="AC1201:AW1201">
    <cfRule type="colorScale" priority="823">
      <colorScale>
        <cfvo type="min"/>
        <cfvo type="max"/>
        <color rgb="FFFCFCFF"/>
        <color rgb="FF63BE7B"/>
      </colorScale>
    </cfRule>
  </conditionalFormatting>
  <conditionalFormatting sqref="AC1203:AW1203">
    <cfRule type="colorScale" priority="822">
      <colorScale>
        <cfvo type="min"/>
        <cfvo type="max"/>
        <color rgb="FFFCFCFF"/>
        <color rgb="FF63BE7B"/>
      </colorScale>
    </cfRule>
  </conditionalFormatting>
  <conditionalFormatting sqref="AC1205:AW1205">
    <cfRule type="colorScale" priority="821">
      <colorScale>
        <cfvo type="min"/>
        <cfvo type="max"/>
        <color rgb="FFFCFCFF"/>
        <color rgb="FF63BE7B"/>
      </colorScale>
    </cfRule>
  </conditionalFormatting>
  <conditionalFormatting sqref="AC1207:AW1207">
    <cfRule type="colorScale" priority="820">
      <colorScale>
        <cfvo type="min"/>
        <cfvo type="max"/>
        <color rgb="FFFCFCFF"/>
        <color rgb="FF63BE7B"/>
      </colorScale>
    </cfRule>
  </conditionalFormatting>
  <conditionalFormatting sqref="AC1209:AW1209">
    <cfRule type="colorScale" priority="819">
      <colorScale>
        <cfvo type="min"/>
        <cfvo type="max"/>
        <color rgb="FFFCFCFF"/>
        <color rgb="FF63BE7B"/>
      </colorScale>
    </cfRule>
  </conditionalFormatting>
  <conditionalFormatting sqref="AC1211:AW1211">
    <cfRule type="colorScale" priority="818">
      <colorScale>
        <cfvo type="min"/>
        <cfvo type="max"/>
        <color rgb="FFFCFCFF"/>
        <color rgb="FF63BE7B"/>
      </colorScale>
    </cfRule>
  </conditionalFormatting>
  <conditionalFormatting sqref="AC1213:AW1213">
    <cfRule type="colorScale" priority="817">
      <colorScale>
        <cfvo type="min"/>
        <cfvo type="max"/>
        <color rgb="FFFCFCFF"/>
        <color rgb="FF63BE7B"/>
      </colorScale>
    </cfRule>
  </conditionalFormatting>
  <conditionalFormatting sqref="AC1215:AW1215">
    <cfRule type="colorScale" priority="816">
      <colorScale>
        <cfvo type="min"/>
        <cfvo type="max"/>
        <color rgb="FFFCFCFF"/>
        <color rgb="FF63BE7B"/>
      </colorScale>
    </cfRule>
  </conditionalFormatting>
  <conditionalFormatting sqref="AC1217:AW1217">
    <cfRule type="colorScale" priority="815">
      <colorScale>
        <cfvo type="min"/>
        <cfvo type="max"/>
        <color rgb="FFFCFCFF"/>
        <color rgb="FF63BE7B"/>
      </colorScale>
    </cfRule>
  </conditionalFormatting>
  <conditionalFormatting sqref="AC1219:AW1219">
    <cfRule type="colorScale" priority="814">
      <colorScale>
        <cfvo type="min"/>
        <cfvo type="max"/>
        <color rgb="FFFCFCFF"/>
        <color rgb="FF63BE7B"/>
      </colorScale>
    </cfRule>
  </conditionalFormatting>
  <conditionalFormatting sqref="AC1221:AW1221">
    <cfRule type="colorScale" priority="813">
      <colorScale>
        <cfvo type="min"/>
        <cfvo type="max"/>
        <color rgb="FFFCFCFF"/>
        <color rgb="FF63BE7B"/>
      </colorScale>
    </cfRule>
  </conditionalFormatting>
  <conditionalFormatting sqref="AC1223:AW1223">
    <cfRule type="colorScale" priority="812">
      <colorScale>
        <cfvo type="min"/>
        <cfvo type="max"/>
        <color rgb="FFFCFCFF"/>
        <color rgb="FF63BE7B"/>
      </colorScale>
    </cfRule>
  </conditionalFormatting>
  <conditionalFormatting sqref="AC1225:AW1225">
    <cfRule type="colorScale" priority="811">
      <colorScale>
        <cfvo type="min"/>
        <cfvo type="max"/>
        <color rgb="FFFCFCFF"/>
        <color rgb="FF63BE7B"/>
      </colorScale>
    </cfRule>
  </conditionalFormatting>
  <conditionalFormatting sqref="AC1227:AW1227">
    <cfRule type="colorScale" priority="810">
      <colorScale>
        <cfvo type="min"/>
        <cfvo type="max"/>
        <color rgb="FFFCFCFF"/>
        <color rgb="FF63BE7B"/>
      </colorScale>
    </cfRule>
  </conditionalFormatting>
  <conditionalFormatting sqref="AC1229:AW1229">
    <cfRule type="colorScale" priority="809">
      <colorScale>
        <cfvo type="min"/>
        <cfvo type="max"/>
        <color rgb="FFFCFCFF"/>
        <color rgb="FF63BE7B"/>
      </colorScale>
    </cfRule>
  </conditionalFormatting>
  <conditionalFormatting sqref="AC1231:AW1231">
    <cfRule type="colorScale" priority="808">
      <colorScale>
        <cfvo type="min"/>
        <cfvo type="max"/>
        <color rgb="FFFCFCFF"/>
        <color rgb="FF63BE7B"/>
      </colorScale>
    </cfRule>
  </conditionalFormatting>
  <conditionalFormatting sqref="AC1233:AW1233">
    <cfRule type="colorScale" priority="807">
      <colorScale>
        <cfvo type="min"/>
        <cfvo type="max"/>
        <color rgb="FFFCFCFF"/>
        <color rgb="FF63BE7B"/>
      </colorScale>
    </cfRule>
  </conditionalFormatting>
  <conditionalFormatting sqref="AC1235:AW1235">
    <cfRule type="colorScale" priority="806">
      <colorScale>
        <cfvo type="min"/>
        <cfvo type="max"/>
        <color rgb="FFFCFCFF"/>
        <color rgb="FF63BE7B"/>
      </colorScale>
    </cfRule>
  </conditionalFormatting>
  <conditionalFormatting sqref="AC1237:AW1237">
    <cfRule type="colorScale" priority="805">
      <colorScale>
        <cfvo type="min"/>
        <cfvo type="max"/>
        <color rgb="FFFCFCFF"/>
        <color rgb="FF63BE7B"/>
      </colorScale>
    </cfRule>
  </conditionalFormatting>
  <conditionalFormatting sqref="AC1239:AW1239">
    <cfRule type="colorScale" priority="804">
      <colorScale>
        <cfvo type="min"/>
        <cfvo type="max"/>
        <color rgb="FFFCFCFF"/>
        <color rgb="FF63BE7B"/>
      </colorScale>
    </cfRule>
  </conditionalFormatting>
  <conditionalFormatting sqref="AC1241:AW1241">
    <cfRule type="colorScale" priority="803">
      <colorScale>
        <cfvo type="min"/>
        <cfvo type="max"/>
        <color rgb="FFFCFCFF"/>
        <color rgb="FF63BE7B"/>
      </colorScale>
    </cfRule>
  </conditionalFormatting>
  <conditionalFormatting sqref="AC1243:AW1243">
    <cfRule type="colorScale" priority="802">
      <colorScale>
        <cfvo type="min"/>
        <cfvo type="max"/>
        <color rgb="FFFCFCFF"/>
        <color rgb="FF63BE7B"/>
      </colorScale>
    </cfRule>
  </conditionalFormatting>
  <conditionalFormatting sqref="AC1245:AW1245">
    <cfRule type="colorScale" priority="801">
      <colorScale>
        <cfvo type="min"/>
        <cfvo type="max"/>
        <color rgb="FFFCFCFF"/>
        <color rgb="FF63BE7B"/>
      </colorScale>
    </cfRule>
  </conditionalFormatting>
  <conditionalFormatting sqref="AC1247:AW1247">
    <cfRule type="colorScale" priority="800">
      <colorScale>
        <cfvo type="min"/>
        <cfvo type="max"/>
        <color rgb="FFFCFCFF"/>
        <color rgb="FF63BE7B"/>
      </colorScale>
    </cfRule>
  </conditionalFormatting>
  <conditionalFormatting sqref="AC1249:AW1249">
    <cfRule type="colorScale" priority="799">
      <colorScale>
        <cfvo type="min"/>
        <cfvo type="max"/>
        <color rgb="FFFCFCFF"/>
        <color rgb="FF63BE7B"/>
      </colorScale>
    </cfRule>
  </conditionalFormatting>
  <conditionalFormatting sqref="AC1251:AW1251">
    <cfRule type="colorScale" priority="798">
      <colorScale>
        <cfvo type="min"/>
        <cfvo type="max"/>
        <color rgb="FFFCFCFF"/>
        <color rgb="FF63BE7B"/>
      </colorScale>
    </cfRule>
  </conditionalFormatting>
  <conditionalFormatting sqref="AC1253:AW1253">
    <cfRule type="colorScale" priority="797">
      <colorScale>
        <cfvo type="min"/>
        <cfvo type="max"/>
        <color rgb="FFFCFCFF"/>
        <color rgb="FF63BE7B"/>
      </colorScale>
    </cfRule>
  </conditionalFormatting>
  <conditionalFormatting sqref="AC1255:AW1255">
    <cfRule type="colorScale" priority="796">
      <colorScale>
        <cfvo type="min"/>
        <cfvo type="max"/>
        <color rgb="FFFCFCFF"/>
        <color rgb="FF63BE7B"/>
      </colorScale>
    </cfRule>
  </conditionalFormatting>
  <conditionalFormatting sqref="AC1257:AW1257">
    <cfRule type="colorScale" priority="795">
      <colorScale>
        <cfvo type="min"/>
        <cfvo type="max"/>
        <color rgb="FFFCFCFF"/>
        <color rgb="FF63BE7B"/>
      </colorScale>
    </cfRule>
  </conditionalFormatting>
  <conditionalFormatting sqref="AC1259:AW1259">
    <cfRule type="colorScale" priority="794">
      <colorScale>
        <cfvo type="min"/>
        <cfvo type="max"/>
        <color rgb="FFFCFCFF"/>
        <color rgb="FF63BE7B"/>
      </colorScale>
    </cfRule>
  </conditionalFormatting>
  <conditionalFormatting sqref="AC1261:AW1261">
    <cfRule type="colorScale" priority="793">
      <colorScale>
        <cfvo type="min"/>
        <cfvo type="max"/>
        <color rgb="FFFCFCFF"/>
        <color rgb="FF63BE7B"/>
      </colorScale>
    </cfRule>
  </conditionalFormatting>
  <conditionalFormatting sqref="AC1263:AW1263">
    <cfRule type="colorScale" priority="792">
      <colorScale>
        <cfvo type="min"/>
        <cfvo type="max"/>
        <color rgb="FFFCFCFF"/>
        <color rgb="FF63BE7B"/>
      </colorScale>
    </cfRule>
  </conditionalFormatting>
  <conditionalFormatting sqref="AC1265:AW1265">
    <cfRule type="colorScale" priority="791">
      <colorScale>
        <cfvo type="min"/>
        <cfvo type="max"/>
        <color rgb="FFFCFCFF"/>
        <color rgb="FF63BE7B"/>
      </colorScale>
    </cfRule>
  </conditionalFormatting>
  <conditionalFormatting sqref="AC1267:AW1267">
    <cfRule type="colorScale" priority="790">
      <colorScale>
        <cfvo type="min"/>
        <cfvo type="max"/>
        <color rgb="FFFCFCFF"/>
        <color rgb="FF63BE7B"/>
      </colorScale>
    </cfRule>
  </conditionalFormatting>
  <conditionalFormatting sqref="AC1269:AW1269">
    <cfRule type="colorScale" priority="789">
      <colorScale>
        <cfvo type="min"/>
        <cfvo type="max"/>
        <color rgb="FFFCFCFF"/>
        <color rgb="FF63BE7B"/>
      </colorScale>
    </cfRule>
  </conditionalFormatting>
  <conditionalFormatting sqref="AC1271:AW1271">
    <cfRule type="colorScale" priority="788">
      <colorScale>
        <cfvo type="min"/>
        <cfvo type="max"/>
        <color rgb="FFFCFCFF"/>
        <color rgb="FF63BE7B"/>
      </colorScale>
    </cfRule>
  </conditionalFormatting>
  <conditionalFormatting sqref="AC1273:AW1273">
    <cfRule type="colorScale" priority="787">
      <colorScale>
        <cfvo type="min"/>
        <cfvo type="max"/>
        <color rgb="FFFCFCFF"/>
        <color rgb="FF63BE7B"/>
      </colorScale>
    </cfRule>
  </conditionalFormatting>
  <conditionalFormatting sqref="AC1275:AW1275">
    <cfRule type="colorScale" priority="786">
      <colorScale>
        <cfvo type="min"/>
        <cfvo type="max"/>
        <color rgb="FFFCFCFF"/>
        <color rgb="FF63BE7B"/>
      </colorScale>
    </cfRule>
  </conditionalFormatting>
  <conditionalFormatting sqref="AC1277:AW1277">
    <cfRule type="colorScale" priority="785">
      <colorScale>
        <cfvo type="min"/>
        <cfvo type="max"/>
        <color rgb="FFFCFCFF"/>
        <color rgb="FF63BE7B"/>
      </colorScale>
    </cfRule>
  </conditionalFormatting>
  <conditionalFormatting sqref="AC1279:AW1279">
    <cfRule type="colorScale" priority="784">
      <colorScale>
        <cfvo type="min"/>
        <cfvo type="max"/>
        <color rgb="FFFCFCFF"/>
        <color rgb="FF63BE7B"/>
      </colorScale>
    </cfRule>
  </conditionalFormatting>
  <conditionalFormatting sqref="AC1281:AW1281">
    <cfRule type="colorScale" priority="783">
      <colorScale>
        <cfvo type="min"/>
        <cfvo type="max"/>
        <color rgb="FFFCFCFF"/>
        <color rgb="FF63BE7B"/>
      </colorScale>
    </cfRule>
  </conditionalFormatting>
  <conditionalFormatting sqref="AC1283:AW1283">
    <cfRule type="colorScale" priority="782">
      <colorScale>
        <cfvo type="min"/>
        <cfvo type="max"/>
        <color rgb="FFFCFCFF"/>
        <color rgb="FF63BE7B"/>
      </colorScale>
    </cfRule>
  </conditionalFormatting>
  <conditionalFormatting sqref="AC1285:AW1285">
    <cfRule type="colorScale" priority="781">
      <colorScale>
        <cfvo type="min"/>
        <cfvo type="max"/>
        <color rgb="FFFCFCFF"/>
        <color rgb="FF63BE7B"/>
      </colorScale>
    </cfRule>
  </conditionalFormatting>
  <conditionalFormatting sqref="AC1287:AW1287">
    <cfRule type="colorScale" priority="780">
      <colorScale>
        <cfvo type="min"/>
        <cfvo type="max"/>
        <color rgb="FFFCFCFF"/>
        <color rgb="FF63BE7B"/>
      </colorScale>
    </cfRule>
  </conditionalFormatting>
  <conditionalFormatting sqref="AC1289:AW1289">
    <cfRule type="colorScale" priority="779">
      <colorScale>
        <cfvo type="min"/>
        <cfvo type="max"/>
        <color rgb="FFFCFCFF"/>
        <color rgb="FF63BE7B"/>
      </colorScale>
    </cfRule>
  </conditionalFormatting>
  <conditionalFormatting sqref="AC1291:AW1291">
    <cfRule type="colorScale" priority="778">
      <colorScale>
        <cfvo type="min"/>
        <cfvo type="max"/>
        <color rgb="FFFCFCFF"/>
        <color rgb="FF63BE7B"/>
      </colorScale>
    </cfRule>
  </conditionalFormatting>
  <conditionalFormatting sqref="AC1293:AW1293">
    <cfRule type="colorScale" priority="777">
      <colorScale>
        <cfvo type="min"/>
        <cfvo type="max"/>
        <color rgb="FFFCFCFF"/>
        <color rgb="FF63BE7B"/>
      </colorScale>
    </cfRule>
  </conditionalFormatting>
  <conditionalFormatting sqref="AC1295:AW1295">
    <cfRule type="colorScale" priority="776">
      <colorScale>
        <cfvo type="min"/>
        <cfvo type="max"/>
        <color rgb="FFFCFCFF"/>
        <color rgb="FF63BE7B"/>
      </colorScale>
    </cfRule>
  </conditionalFormatting>
  <conditionalFormatting sqref="AC1297:AW1297">
    <cfRule type="colorScale" priority="775">
      <colorScale>
        <cfvo type="min"/>
        <cfvo type="max"/>
        <color rgb="FFFCFCFF"/>
        <color rgb="FF63BE7B"/>
      </colorScale>
    </cfRule>
  </conditionalFormatting>
  <conditionalFormatting sqref="AC1299:AW1299">
    <cfRule type="colorScale" priority="774">
      <colorScale>
        <cfvo type="min"/>
        <cfvo type="max"/>
        <color rgb="FFFCFCFF"/>
        <color rgb="FF63BE7B"/>
      </colorScale>
    </cfRule>
  </conditionalFormatting>
  <conditionalFormatting sqref="AC1301:AW1301">
    <cfRule type="colorScale" priority="773">
      <colorScale>
        <cfvo type="min"/>
        <cfvo type="max"/>
        <color rgb="FFFCFCFF"/>
        <color rgb="FF63BE7B"/>
      </colorScale>
    </cfRule>
  </conditionalFormatting>
  <conditionalFormatting sqref="AC1303:AW1303">
    <cfRule type="colorScale" priority="772">
      <colorScale>
        <cfvo type="min"/>
        <cfvo type="max"/>
        <color rgb="FFFCFCFF"/>
        <color rgb="FF63BE7B"/>
      </colorScale>
    </cfRule>
  </conditionalFormatting>
  <conditionalFormatting sqref="AC1305:AW1305">
    <cfRule type="colorScale" priority="771">
      <colorScale>
        <cfvo type="min"/>
        <cfvo type="max"/>
        <color rgb="FFFCFCFF"/>
        <color rgb="FF63BE7B"/>
      </colorScale>
    </cfRule>
  </conditionalFormatting>
  <conditionalFormatting sqref="AC1307:AW1307">
    <cfRule type="colorScale" priority="770">
      <colorScale>
        <cfvo type="min"/>
        <cfvo type="max"/>
        <color rgb="FFFCFCFF"/>
        <color rgb="FF63BE7B"/>
      </colorScale>
    </cfRule>
  </conditionalFormatting>
  <conditionalFormatting sqref="AC1309:AW1309">
    <cfRule type="colorScale" priority="769">
      <colorScale>
        <cfvo type="min"/>
        <cfvo type="max"/>
        <color rgb="FFFCFCFF"/>
        <color rgb="FF63BE7B"/>
      </colorScale>
    </cfRule>
  </conditionalFormatting>
  <conditionalFormatting sqref="AC1311:AW1311">
    <cfRule type="colorScale" priority="768">
      <colorScale>
        <cfvo type="min"/>
        <cfvo type="max"/>
        <color rgb="FFFCFCFF"/>
        <color rgb="FF63BE7B"/>
      </colorScale>
    </cfRule>
  </conditionalFormatting>
  <conditionalFormatting sqref="AC1313:AW1313">
    <cfRule type="colorScale" priority="767">
      <colorScale>
        <cfvo type="min"/>
        <cfvo type="max"/>
        <color rgb="FFFCFCFF"/>
        <color rgb="FF63BE7B"/>
      </colorScale>
    </cfRule>
  </conditionalFormatting>
  <conditionalFormatting sqref="AC1315:AW1315">
    <cfRule type="colorScale" priority="766">
      <colorScale>
        <cfvo type="min"/>
        <cfvo type="max"/>
        <color rgb="FFFCFCFF"/>
        <color rgb="FF63BE7B"/>
      </colorScale>
    </cfRule>
  </conditionalFormatting>
  <conditionalFormatting sqref="AC1317:AW1317">
    <cfRule type="colorScale" priority="765">
      <colorScale>
        <cfvo type="min"/>
        <cfvo type="max"/>
        <color rgb="FFFCFCFF"/>
        <color rgb="FF63BE7B"/>
      </colorScale>
    </cfRule>
  </conditionalFormatting>
  <conditionalFormatting sqref="AC1319:AW1319">
    <cfRule type="colorScale" priority="764">
      <colorScale>
        <cfvo type="min"/>
        <cfvo type="max"/>
        <color rgb="FFFCFCFF"/>
        <color rgb="FF63BE7B"/>
      </colorScale>
    </cfRule>
  </conditionalFormatting>
  <conditionalFormatting sqref="AC1321:AW1321">
    <cfRule type="colorScale" priority="763">
      <colorScale>
        <cfvo type="min"/>
        <cfvo type="max"/>
        <color rgb="FFFCFCFF"/>
        <color rgb="FF63BE7B"/>
      </colorScale>
    </cfRule>
  </conditionalFormatting>
  <conditionalFormatting sqref="AC1323:AW1323">
    <cfRule type="colorScale" priority="762">
      <colorScale>
        <cfvo type="min"/>
        <cfvo type="max"/>
        <color rgb="FFFCFCFF"/>
        <color rgb="FF63BE7B"/>
      </colorScale>
    </cfRule>
  </conditionalFormatting>
  <conditionalFormatting sqref="AC1325:AW1325">
    <cfRule type="colorScale" priority="761">
      <colorScale>
        <cfvo type="min"/>
        <cfvo type="max"/>
        <color rgb="FFFCFCFF"/>
        <color rgb="FF63BE7B"/>
      </colorScale>
    </cfRule>
  </conditionalFormatting>
  <conditionalFormatting sqref="AC1327:AW1327">
    <cfRule type="colorScale" priority="760">
      <colorScale>
        <cfvo type="min"/>
        <cfvo type="max"/>
        <color rgb="FFFCFCFF"/>
        <color rgb="FF63BE7B"/>
      </colorScale>
    </cfRule>
  </conditionalFormatting>
  <conditionalFormatting sqref="AC1329:AW1329">
    <cfRule type="colorScale" priority="759">
      <colorScale>
        <cfvo type="min"/>
        <cfvo type="max"/>
        <color rgb="FFFCFCFF"/>
        <color rgb="FF63BE7B"/>
      </colorScale>
    </cfRule>
  </conditionalFormatting>
  <conditionalFormatting sqref="AC1331:AW1331">
    <cfRule type="colorScale" priority="758">
      <colorScale>
        <cfvo type="min"/>
        <cfvo type="max"/>
        <color rgb="FFFCFCFF"/>
        <color rgb="FF63BE7B"/>
      </colorScale>
    </cfRule>
  </conditionalFormatting>
  <conditionalFormatting sqref="AC1333:AW1333">
    <cfRule type="colorScale" priority="757">
      <colorScale>
        <cfvo type="min"/>
        <cfvo type="max"/>
        <color rgb="FFFCFCFF"/>
        <color rgb="FF63BE7B"/>
      </colorScale>
    </cfRule>
  </conditionalFormatting>
  <conditionalFormatting sqref="AC1335:AW1335">
    <cfRule type="colorScale" priority="756">
      <colorScale>
        <cfvo type="min"/>
        <cfvo type="max"/>
        <color rgb="FFFCFCFF"/>
        <color rgb="FF63BE7B"/>
      </colorScale>
    </cfRule>
  </conditionalFormatting>
  <conditionalFormatting sqref="AC1337:AW1337">
    <cfRule type="colorScale" priority="755">
      <colorScale>
        <cfvo type="min"/>
        <cfvo type="max"/>
        <color rgb="FFFCFCFF"/>
        <color rgb="FF63BE7B"/>
      </colorScale>
    </cfRule>
  </conditionalFormatting>
  <conditionalFormatting sqref="AC1339:AW1339">
    <cfRule type="colorScale" priority="754">
      <colorScale>
        <cfvo type="min"/>
        <cfvo type="max"/>
        <color rgb="FFFCFCFF"/>
        <color rgb="FF63BE7B"/>
      </colorScale>
    </cfRule>
  </conditionalFormatting>
  <conditionalFormatting sqref="AC1341:AW1341">
    <cfRule type="colorScale" priority="753">
      <colorScale>
        <cfvo type="min"/>
        <cfvo type="max"/>
        <color rgb="FFFCFCFF"/>
        <color rgb="FF63BE7B"/>
      </colorScale>
    </cfRule>
  </conditionalFormatting>
  <conditionalFormatting sqref="AC1343:AW1343">
    <cfRule type="colorScale" priority="752">
      <colorScale>
        <cfvo type="min"/>
        <cfvo type="max"/>
        <color rgb="FFFCFCFF"/>
        <color rgb="FF63BE7B"/>
      </colorScale>
    </cfRule>
  </conditionalFormatting>
  <conditionalFormatting sqref="AC1345:AW1345">
    <cfRule type="colorScale" priority="751">
      <colorScale>
        <cfvo type="min"/>
        <cfvo type="max"/>
        <color rgb="FFFCFCFF"/>
        <color rgb="FF63BE7B"/>
      </colorScale>
    </cfRule>
  </conditionalFormatting>
  <conditionalFormatting sqref="AC1347:AW1347">
    <cfRule type="colorScale" priority="750">
      <colorScale>
        <cfvo type="min"/>
        <cfvo type="max"/>
        <color rgb="FFFCFCFF"/>
        <color rgb="FF63BE7B"/>
      </colorScale>
    </cfRule>
  </conditionalFormatting>
  <conditionalFormatting sqref="AC1349:AW1349">
    <cfRule type="colorScale" priority="749">
      <colorScale>
        <cfvo type="min"/>
        <cfvo type="max"/>
        <color rgb="FFFCFCFF"/>
        <color rgb="FF63BE7B"/>
      </colorScale>
    </cfRule>
  </conditionalFormatting>
  <conditionalFormatting sqref="AC1351:AW1351">
    <cfRule type="colorScale" priority="748">
      <colorScale>
        <cfvo type="min"/>
        <cfvo type="max"/>
        <color rgb="FFFCFCFF"/>
        <color rgb="FF63BE7B"/>
      </colorScale>
    </cfRule>
  </conditionalFormatting>
  <conditionalFormatting sqref="AC1353:AW1353">
    <cfRule type="colorScale" priority="747">
      <colorScale>
        <cfvo type="min"/>
        <cfvo type="max"/>
        <color rgb="FFFCFCFF"/>
        <color rgb="FF63BE7B"/>
      </colorScale>
    </cfRule>
  </conditionalFormatting>
  <conditionalFormatting sqref="AC1355:AW1355">
    <cfRule type="colorScale" priority="746">
      <colorScale>
        <cfvo type="min"/>
        <cfvo type="max"/>
        <color rgb="FFFCFCFF"/>
        <color rgb="FF63BE7B"/>
      </colorScale>
    </cfRule>
  </conditionalFormatting>
  <conditionalFormatting sqref="AC1357:AW1357">
    <cfRule type="colorScale" priority="745">
      <colorScale>
        <cfvo type="min"/>
        <cfvo type="max"/>
        <color rgb="FFFCFCFF"/>
        <color rgb="FF63BE7B"/>
      </colorScale>
    </cfRule>
  </conditionalFormatting>
  <conditionalFormatting sqref="AC1359:AW1359">
    <cfRule type="colorScale" priority="744">
      <colorScale>
        <cfvo type="min"/>
        <cfvo type="max"/>
        <color rgb="FFFCFCFF"/>
        <color rgb="FF63BE7B"/>
      </colorScale>
    </cfRule>
  </conditionalFormatting>
  <conditionalFormatting sqref="AC1361:AW1361">
    <cfRule type="colorScale" priority="743">
      <colorScale>
        <cfvo type="min"/>
        <cfvo type="max"/>
        <color rgb="FFFCFCFF"/>
        <color rgb="FF63BE7B"/>
      </colorScale>
    </cfRule>
  </conditionalFormatting>
  <conditionalFormatting sqref="AC1363:AW1363">
    <cfRule type="colorScale" priority="742">
      <colorScale>
        <cfvo type="min"/>
        <cfvo type="max"/>
        <color rgb="FFFCFCFF"/>
        <color rgb="FF63BE7B"/>
      </colorScale>
    </cfRule>
  </conditionalFormatting>
  <conditionalFormatting sqref="AC1365:AW1365">
    <cfRule type="colorScale" priority="741">
      <colorScale>
        <cfvo type="min"/>
        <cfvo type="max"/>
        <color rgb="FFFCFCFF"/>
        <color rgb="FF63BE7B"/>
      </colorScale>
    </cfRule>
  </conditionalFormatting>
  <conditionalFormatting sqref="AC1367:AW1367">
    <cfRule type="colorScale" priority="740">
      <colorScale>
        <cfvo type="min"/>
        <cfvo type="max"/>
        <color rgb="FFFCFCFF"/>
        <color rgb="FF63BE7B"/>
      </colorScale>
    </cfRule>
  </conditionalFormatting>
  <conditionalFormatting sqref="AC1369:AW1369">
    <cfRule type="colorScale" priority="739">
      <colorScale>
        <cfvo type="min"/>
        <cfvo type="max"/>
        <color rgb="FFFCFCFF"/>
        <color rgb="FF63BE7B"/>
      </colorScale>
    </cfRule>
  </conditionalFormatting>
  <conditionalFormatting sqref="AC1371:AW1371">
    <cfRule type="colorScale" priority="738">
      <colorScale>
        <cfvo type="min"/>
        <cfvo type="max"/>
        <color rgb="FFFCFCFF"/>
        <color rgb="FF63BE7B"/>
      </colorScale>
    </cfRule>
  </conditionalFormatting>
  <conditionalFormatting sqref="AC1373:AW1373">
    <cfRule type="colorScale" priority="737">
      <colorScale>
        <cfvo type="min"/>
        <cfvo type="max"/>
        <color rgb="FFFCFCFF"/>
        <color rgb="FF63BE7B"/>
      </colorScale>
    </cfRule>
  </conditionalFormatting>
  <conditionalFormatting sqref="AC1375:AW1375">
    <cfRule type="colorScale" priority="736">
      <colorScale>
        <cfvo type="min"/>
        <cfvo type="max"/>
        <color rgb="FFFCFCFF"/>
        <color rgb="FF63BE7B"/>
      </colorScale>
    </cfRule>
  </conditionalFormatting>
  <conditionalFormatting sqref="AC1377:AW1377">
    <cfRule type="colorScale" priority="735">
      <colorScale>
        <cfvo type="min"/>
        <cfvo type="max"/>
        <color rgb="FFFCFCFF"/>
        <color rgb="FF63BE7B"/>
      </colorScale>
    </cfRule>
  </conditionalFormatting>
  <conditionalFormatting sqref="AC1379:AW1379">
    <cfRule type="colorScale" priority="734">
      <colorScale>
        <cfvo type="min"/>
        <cfvo type="max"/>
        <color rgb="FFFCFCFF"/>
        <color rgb="FF63BE7B"/>
      </colorScale>
    </cfRule>
  </conditionalFormatting>
  <conditionalFormatting sqref="AC1381:AW1381">
    <cfRule type="colorScale" priority="733">
      <colorScale>
        <cfvo type="min"/>
        <cfvo type="max"/>
        <color rgb="FFFCFCFF"/>
        <color rgb="FF63BE7B"/>
      </colorScale>
    </cfRule>
  </conditionalFormatting>
  <conditionalFormatting sqref="AC1383:AW1383">
    <cfRule type="colorScale" priority="732">
      <colorScale>
        <cfvo type="min"/>
        <cfvo type="max"/>
        <color rgb="FFFCFCFF"/>
        <color rgb="FF63BE7B"/>
      </colorScale>
    </cfRule>
  </conditionalFormatting>
  <conditionalFormatting sqref="AC1385:AW1385">
    <cfRule type="colorScale" priority="731">
      <colorScale>
        <cfvo type="min"/>
        <cfvo type="max"/>
        <color rgb="FFFCFCFF"/>
        <color rgb="FF63BE7B"/>
      </colorScale>
    </cfRule>
  </conditionalFormatting>
  <conditionalFormatting sqref="AC1387:AW1387">
    <cfRule type="colorScale" priority="730">
      <colorScale>
        <cfvo type="min"/>
        <cfvo type="max"/>
        <color rgb="FFFCFCFF"/>
        <color rgb="FF63BE7B"/>
      </colorScale>
    </cfRule>
  </conditionalFormatting>
  <conditionalFormatting sqref="AC1389:AW1389">
    <cfRule type="colorScale" priority="729">
      <colorScale>
        <cfvo type="min"/>
        <cfvo type="max"/>
        <color rgb="FFFCFCFF"/>
        <color rgb="FF63BE7B"/>
      </colorScale>
    </cfRule>
  </conditionalFormatting>
  <conditionalFormatting sqref="AC1391:AW1391">
    <cfRule type="colorScale" priority="728">
      <colorScale>
        <cfvo type="min"/>
        <cfvo type="max"/>
        <color rgb="FFFCFCFF"/>
        <color rgb="FF63BE7B"/>
      </colorScale>
    </cfRule>
  </conditionalFormatting>
  <conditionalFormatting sqref="AC1393:AW1393">
    <cfRule type="colorScale" priority="727">
      <colorScale>
        <cfvo type="min"/>
        <cfvo type="max"/>
        <color rgb="FFFCFCFF"/>
        <color rgb="FF63BE7B"/>
      </colorScale>
    </cfRule>
  </conditionalFormatting>
  <conditionalFormatting sqref="AC1395:AW1395">
    <cfRule type="colorScale" priority="726">
      <colorScale>
        <cfvo type="min"/>
        <cfvo type="max"/>
        <color rgb="FFFCFCFF"/>
        <color rgb="FF63BE7B"/>
      </colorScale>
    </cfRule>
  </conditionalFormatting>
  <conditionalFormatting sqref="AC1397:AW1397">
    <cfRule type="colorScale" priority="725">
      <colorScale>
        <cfvo type="min"/>
        <cfvo type="max"/>
        <color rgb="FFFCFCFF"/>
        <color rgb="FF63BE7B"/>
      </colorScale>
    </cfRule>
  </conditionalFormatting>
  <conditionalFormatting sqref="AC1399:AW1399">
    <cfRule type="colorScale" priority="724">
      <colorScale>
        <cfvo type="min"/>
        <cfvo type="max"/>
        <color rgb="FFFCFCFF"/>
        <color rgb="FF63BE7B"/>
      </colorScale>
    </cfRule>
  </conditionalFormatting>
  <conditionalFormatting sqref="AC1401:AW1401">
    <cfRule type="colorScale" priority="723">
      <colorScale>
        <cfvo type="min"/>
        <cfvo type="max"/>
        <color rgb="FFFCFCFF"/>
        <color rgb="FF63BE7B"/>
      </colorScale>
    </cfRule>
  </conditionalFormatting>
  <conditionalFormatting sqref="AC1403:AW1403">
    <cfRule type="colorScale" priority="722">
      <colorScale>
        <cfvo type="min"/>
        <cfvo type="max"/>
        <color rgb="FFFCFCFF"/>
        <color rgb="FF63BE7B"/>
      </colorScale>
    </cfRule>
  </conditionalFormatting>
  <conditionalFormatting sqref="AC1405:AW1405">
    <cfRule type="colorScale" priority="721">
      <colorScale>
        <cfvo type="min"/>
        <cfvo type="max"/>
        <color rgb="FFFCFCFF"/>
        <color rgb="FF63BE7B"/>
      </colorScale>
    </cfRule>
  </conditionalFormatting>
  <conditionalFormatting sqref="AC1407:AW1407">
    <cfRule type="colorScale" priority="720">
      <colorScale>
        <cfvo type="min"/>
        <cfvo type="max"/>
        <color rgb="FFFCFCFF"/>
        <color rgb="FF63BE7B"/>
      </colorScale>
    </cfRule>
  </conditionalFormatting>
  <conditionalFormatting sqref="AC1409:AW1409">
    <cfRule type="colorScale" priority="719">
      <colorScale>
        <cfvo type="min"/>
        <cfvo type="max"/>
        <color rgb="FFFCFCFF"/>
        <color rgb="FF63BE7B"/>
      </colorScale>
    </cfRule>
  </conditionalFormatting>
  <conditionalFormatting sqref="AC1411:AW1411">
    <cfRule type="colorScale" priority="718">
      <colorScale>
        <cfvo type="min"/>
        <cfvo type="max"/>
        <color rgb="FFFCFCFF"/>
        <color rgb="FF63BE7B"/>
      </colorScale>
    </cfRule>
  </conditionalFormatting>
  <conditionalFormatting sqref="AC1413:AW1413">
    <cfRule type="colorScale" priority="717">
      <colorScale>
        <cfvo type="min"/>
        <cfvo type="max"/>
        <color rgb="FFFCFCFF"/>
        <color rgb="FF63BE7B"/>
      </colorScale>
    </cfRule>
  </conditionalFormatting>
  <conditionalFormatting sqref="AC1415:AW1415">
    <cfRule type="colorScale" priority="716">
      <colorScale>
        <cfvo type="min"/>
        <cfvo type="max"/>
        <color rgb="FFFCFCFF"/>
        <color rgb="FF63BE7B"/>
      </colorScale>
    </cfRule>
  </conditionalFormatting>
  <conditionalFormatting sqref="AC1417:AW1417">
    <cfRule type="colorScale" priority="715">
      <colorScale>
        <cfvo type="min"/>
        <cfvo type="max"/>
        <color rgb="FFFCFCFF"/>
        <color rgb="FF63BE7B"/>
      </colorScale>
    </cfRule>
  </conditionalFormatting>
  <conditionalFormatting sqref="AC1419:AW1419">
    <cfRule type="colorScale" priority="714">
      <colorScale>
        <cfvo type="min"/>
        <cfvo type="max"/>
        <color rgb="FFFCFCFF"/>
        <color rgb="FF63BE7B"/>
      </colorScale>
    </cfRule>
  </conditionalFormatting>
  <conditionalFormatting sqref="AC1421:AW1421">
    <cfRule type="colorScale" priority="713">
      <colorScale>
        <cfvo type="min"/>
        <cfvo type="max"/>
        <color rgb="FFFCFCFF"/>
        <color rgb="FF63BE7B"/>
      </colorScale>
    </cfRule>
  </conditionalFormatting>
  <conditionalFormatting sqref="AC1423:AW1423">
    <cfRule type="colorScale" priority="712">
      <colorScale>
        <cfvo type="min"/>
        <cfvo type="max"/>
        <color rgb="FFFCFCFF"/>
        <color rgb="FF63BE7B"/>
      </colorScale>
    </cfRule>
  </conditionalFormatting>
  <conditionalFormatting sqref="AC1425:AW1425">
    <cfRule type="colorScale" priority="711">
      <colorScale>
        <cfvo type="min"/>
        <cfvo type="max"/>
        <color rgb="FFFCFCFF"/>
        <color rgb="FF63BE7B"/>
      </colorScale>
    </cfRule>
  </conditionalFormatting>
  <conditionalFormatting sqref="AC1427:AW1427">
    <cfRule type="colorScale" priority="710">
      <colorScale>
        <cfvo type="min"/>
        <cfvo type="max"/>
        <color rgb="FFFCFCFF"/>
        <color rgb="FF63BE7B"/>
      </colorScale>
    </cfRule>
  </conditionalFormatting>
  <conditionalFormatting sqref="AC1429:AW1429">
    <cfRule type="colorScale" priority="709">
      <colorScale>
        <cfvo type="min"/>
        <cfvo type="max"/>
        <color rgb="FFFCFCFF"/>
        <color rgb="FF63BE7B"/>
      </colorScale>
    </cfRule>
  </conditionalFormatting>
  <conditionalFormatting sqref="AC1431:AW1431">
    <cfRule type="colorScale" priority="708">
      <colorScale>
        <cfvo type="min"/>
        <cfvo type="max"/>
        <color rgb="FFFCFCFF"/>
        <color rgb="FF63BE7B"/>
      </colorScale>
    </cfRule>
  </conditionalFormatting>
  <conditionalFormatting sqref="AC1433:AW1433">
    <cfRule type="colorScale" priority="707">
      <colorScale>
        <cfvo type="min"/>
        <cfvo type="max"/>
        <color rgb="FFFCFCFF"/>
        <color rgb="FF63BE7B"/>
      </colorScale>
    </cfRule>
  </conditionalFormatting>
  <conditionalFormatting sqref="AC1435:AW1435">
    <cfRule type="colorScale" priority="706">
      <colorScale>
        <cfvo type="min"/>
        <cfvo type="max"/>
        <color rgb="FFFCFCFF"/>
        <color rgb="FF63BE7B"/>
      </colorScale>
    </cfRule>
  </conditionalFormatting>
  <conditionalFormatting sqref="AC1437:AW1437">
    <cfRule type="colorScale" priority="705">
      <colorScale>
        <cfvo type="min"/>
        <cfvo type="max"/>
        <color rgb="FFFCFCFF"/>
        <color rgb="FF63BE7B"/>
      </colorScale>
    </cfRule>
  </conditionalFormatting>
  <conditionalFormatting sqref="AC1439:AW1439">
    <cfRule type="colorScale" priority="704">
      <colorScale>
        <cfvo type="min"/>
        <cfvo type="max"/>
        <color rgb="FFFCFCFF"/>
        <color rgb="FF63BE7B"/>
      </colorScale>
    </cfRule>
  </conditionalFormatting>
  <conditionalFormatting sqref="AC1441:AW1441">
    <cfRule type="colorScale" priority="703">
      <colorScale>
        <cfvo type="min"/>
        <cfvo type="max"/>
        <color rgb="FFFCFCFF"/>
        <color rgb="FF63BE7B"/>
      </colorScale>
    </cfRule>
  </conditionalFormatting>
  <conditionalFormatting sqref="AC1443:AW1443">
    <cfRule type="colorScale" priority="702">
      <colorScale>
        <cfvo type="min"/>
        <cfvo type="max"/>
        <color rgb="FFFCFCFF"/>
        <color rgb="FF63BE7B"/>
      </colorScale>
    </cfRule>
  </conditionalFormatting>
  <conditionalFormatting sqref="AC1445:AW1445">
    <cfRule type="colorScale" priority="701">
      <colorScale>
        <cfvo type="min"/>
        <cfvo type="max"/>
        <color rgb="FFFCFCFF"/>
        <color rgb="FF63BE7B"/>
      </colorScale>
    </cfRule>
  </conditionalFormatting>
  <conditionalFormatting sqref="AC1447:AW1447">
    <cfRule type="colorScale" priority="700">
      <colorScale>
        <cfvo type="min"/>
        <cfvo type="max"/>
        <color rgb="FFFCFCFF"/>
        <color rgb="FF63BE7B"/>
      </colorScale>
    </cfRule>
  </conditionalFormatting>
  <conditionalFormatting sqref="AC1449:AW1449">
    <cfRule type="colorScale" priority="699">
      <colorScale>
        <cfvo type="min"/>
        <cfvo type="max"/>
        <color rgb="FFFCFCFF"/>
        <color rgb="FF63BE7B"/>
      </colorScale>
    </cfRule>
  </conditionalFormatting>
  <conditionalFormatting sqref="AC1451:AW1451">
    <cfRule type="colorScale" priority="698">
      <colorScale>
        <cfvo type="min"/>
        <cfvo type="max"/>
        <color rgb="FFFCFCFF"/>
        <color rgb="FF63BE7B"/>
      </colorScale>
    </cfRule>
  </conditionalFormatting>
  <conditionalFormatting sqref="AC1453:AW1453">
    <cfRule type="colorScale" priority="697">
      <colorScale>
        <cfvo type="min"/>
        <cfvo type="max"/>
        <color rgb="FFFCFCFF"/>
        <color rgb="FF63BE7B"/>
      </colorScale>
    </cfRule>
  </conditionalFormatting>
  <conditionalFormatting sqref="AC1455:AW1455">
    <cfRule type="colorScale" priority="696">
      <colorScale>
        <cfvo type="min"/>
        <cfvo type="max"/>
        <color rgb="FFFCFCFF"/>
        <color rgb="FF63BE7B"/>
      </colorScale>
    </cfRule>
  </conditionalFormatting>
  <conditionalFormatting sqref="AC1457:AW1457">
    <cfRule type="colorScale" priority="695">
      <colorScale>
        <cfvo type="min"/>
        <cfvo type="max"/>
        <color rgb="FFFCFCFF"/>
        <color rgb="FF63BE7B"/>
      </colorScale>
    </cfRule>
  </conditionalFormatting>
  <conditionalFormatting sqref="AC1459:AW1459">
    <cfRule type="colorScale" priority="694">
      <colorScale>
        <cfvo type="min"/>
        <cfvo type="max"/>
        <color rgb="FFFCFCFF"/>
        <color rgb="FF63BE7B"/>
      </colorScale>
    </cfRule>
  </conditionalFormatting>
  <conditionalFormatting sqref="AC1461:AW1461">
    <cfRule type="colorScale" priority="693">
      <colorScale>
        <cfvo type="min"/>
        <cfvo type="max"/>
        <color rgb="FFFCFCFF"/>
        <color rgb="FF63BE7B"/>
      </colorScale>
    </cfRule>
  </conditionalFormatting>
  <conditionalFormatting sqref="AC1463:AW1463">
    <cfRule type="colorScale" priority="692">
      <colorScale>
        <cfvo type="min"/>
        <cfvo type="max"/>
        <color rgb="FFFCFCFF"/>
        <color rgb="FF63BE7B"/>
      </colorScale>
    </cfRule>
  </conditionalFormatting>
  <conditionalFormatting sqref="AC1465:AW1465">
    <cfRule type="colorScale" priority="691">
      <colorScale>
        <cfvo type="min"/>
        <cfvo type="max"/>
        <color rgb="FFFCFCFF"/>
        <color rgb="FF63BE7B"/>
      </colorScale>
    </cfRule>
  </conditionalFormatting>
  <conditionalFormatting sqref="AC1467:AW1467">
    <cfRule type="colorScale" priority="690">
      <colorScale>
        <cfvo type="min"/>
        <cfvo type="max"/>
        <color rgb="FFFCFCFF"/>
        <color rgb="FF63BE7B"/>
      </colorScale>
    </cfRule>
  </conditionalFormatting>
  <conditionalFormatting sqref="AC1469:AW1469">
    <cfRule type="colorScale" priority="689">
      <colorScale>
        <cfvo type="min"/>
        <cfvo type="max"/>
        <color rgb="FFFCFCFF"/>
        <color rgb="FF63BE7B"/>
      </colorScale>
    </cfRule>
  </conditionalFormatting>
  <conditionalFormatting sqref="AC1471:AW1471">
    <cfRule type="colorScale" priority="688">
      <colorScale>
        <cfvo type="min"/>
        <cfvo type="max"/>
        <color rgb="FFFCFCFF"/>
        <color rgb="FF63BE7B"/>
      </colorScale>
    </cfRule>
  </conditionalFormatting>
  <conditionalFormatting sqref="AC1473:AW1473">
    <cfRule type="colorScale" priority="687">
      <colorScale>
        <cfvo type="min"/>
        <cfvo type="max"/>
        <color rgb="FFFCFCFF"/>
        <color rgb="FF63BE7B"/>
      </colorScale>
    </cfRule>
  </conditionalFormatting>
  <conditionalFormatting sqref="AC1475:AW1475">
    <cfRule type="colorScale" priority="686">
      <colorScale>
        <cfvo type="min"/>
        <cfvo type="max"/>
        <color rgb="FFFCFCFF"/>
        <color rgb="FF63BE7B"/>
      </colorScale>
    </cfRule>
  </conditionalFormatting>
  <conditionalFormatting sqref="AC1477:AW1477">
    <cfRule type="colorScale" priority="685">
      <colorScale>
        <cfvo type="min"/>
        <cfvo type="max"/>
        <color rgb="FFFCFCFF"/>
        <color rgb="FF63BE7B"/>
      </colorScale>
    </cfRule>
  </conditionalFormatting>
  <conditionalFormatting sqref="AC1479:AW1479">
    <cfRule type="colorScale" priority="684">
      <colorScale>
        <cfvo type="min"/>
        <cfvo type="max"/>
        <color rgb="FFFCFCFF"/>
        <color rgb="FF63BE7B"/>
      </colorScale>
    </cfRule>
  </conditionalFormatting>
  <conditionalFormatting sqref="AC1481:AW1481">
    <cfRule type="colorScale" priority="683">
      <colorScale>
        <cfvo type="min"/>
        <cfvo type="max"/>
        <color rgb="FFFCFCFF"/>
        <color rgb="FF63BE7B"/>
      </colorScale>
    </cfRule>
  </conditionalFormatting>
  <conditionalFormatting sqref="AC1483:AW1483">
    <cfRule type="colorScale" priority="682">
      <colorScale>
        <cfvo type="min"/>
        <cfvo type="max"/>
        <color rgb="FFFCFCFF"/>
        <color rgb="FF63BE7B"/>
      </colorScale>
    </cfRule>
  </conditionalFormatting>
  <conditionalFormatting sqref="AC1485:AW1485">
    <cfRule type="colorScale" priority="681">
      <colorScale>
        <cfvo type="min"/>
        <cfvo type="max"/>
        <color rgb="FFFCFCFF"/>
        <color rgb="FF63BE7B"/>
      </colorScale>
    </cfRule>
  </conditionalFormatting>
  <conditionalFormatting sqref="AC1487:AW1487">
    <cfRule type="colorScale" priority="680">
      <colorScale>
        <cfvo type="min"/>
        <cfvo type="max"/>
        <color rgb="FFFCFCFF"/>
        <color rgb="FF63BE7B"/>
      </colorScale>
    </cfRule>
  </conditionalFormatting>
  <conditionalFormatting sqref="AC1489:AW1489">
    <cfRule type="colorScale" priority="679">
      <colorScale>
        <cfvo type="min"/>
        <cfvo type="max"/>
        <color rgb="FFFCFCFF"/>
        <color rgb="FF63BE7B"/>
      </colorScale>
    </cfRule>
  </conditionalFormatting>
  <conditionalFormatting sqref="AC1491:AW1491">
    <cfRule type="colorScale" priority="678">
      <colorScale>
        <cfvo type="min"/>
        <cfvo type="max"/>
        <color rgb="FFFCFCFF"/>
        <color rgb="FF63BE7B"/>
      </colorScale>
    </cfRule>
  </conditionalFormatting>
  <conditionalFormatting sqref="AC1493:AW1493">
    <cfRule type="colorScale" priority="677">
      <colorScale>
        <cfvo type="min"/>
        <cfvo type="max"/>
        <color rgb="FFFCFCFF"/>
        <color rgb="FF63BE7B"/>
      </colorScale>
    </cfRule>
  </conditionalFormatting>
  <conditionalFormatting sqref="AC1495:AW1495">
    <cfRule type="colorScale" priority="676">
      <colorScale>
        <cfvo type="min"/>
        <cfvo type="max"/>
        <color rgb="FFFCFCFF"/>
        <color rgb="FF63BE7B"/>
      </colorScale>
    </cfRule>
  </conditionalFormatting>
  <conditionalFormatting sqref="AC1497:AW1497">
    <cfRule type="colorScale" priority="675">
      <colorScale>
        <cfvo type="min"/>
        <cfvo type="max"/>
        <color rgb="FFFCFCFF"/>
        <color rgb="FF63BE7B"/>
      </colorScale>
    </cfRule>
  </conditionalFormatting>
  <conditionalFormatting sqref="AC1499:AW1499">
    <cfRule type="colorScale" priority="674">
      <colorScale>
        <cfvo type="min"/>
        <cfvo type="max"/>
        <color rgb="FFFCFCFF"/>
        <color rgb="FF63BE7B"/>
      </colorScale>
    </cfRule>
  </conditionalFormatting>
  <conditionalFormatting sqref="AC1501:AW1501">
    <cfRule type="colorScale" priority="673">
      <colorScale>
        <cfvo type="min"/>
        <cfvo type="max"/>
        <color rgb="FFFCFCFF"/>
        <color rgb="FF63BE7B"/>
      </colorScale>
    </cfRule>
  </conditionalFormatting>
  <conditionalFormatting sqref="AC1503:AW1503">
    <cfRule type="colorScale" priority="672">
      <colorScale>
        <cfvo type="min"/>
        <cfvo type="max"/>
        <color rgb="FFFCFCFF"/>
        <color rgb="FF63BE7B"/>
      </colorScale>
    </cfRule>
  </conditionalFormatting>
  <conditionalFormatting sqref="AC1505:AW1505">
    <cfRule type="colorScale" priority="671">
      <colorScale>
        <cfvo type="min"/>
        <cfvo type="max"/>
        <color rgb="FFFCFCFF"/>
        <color rgb="FF63BE7B"/>
      </colorScale>
    </cfRule>
  </conditionalFormatting>
  <conditionalFormatting sqref="AC1507:AW1507">
    <cfRule type="colorScale" priority="670">
      <colorScale>
        <cfvo type="min"/>
        <cfvo type="max"/>
        <color rgb="FFFCFCFF"/>
        <color rgb="FF63BE7B"/>
      </colorScale>
    </cfRule>
  </conditionalFormatting>
  <conditionalFormatting sqref="AC1509:AW1509">
    <cfRule type="colorScale" priority="669">
      <colorScale>
        <cfvo type="min"/>
        <cfvo type="max"/>
        <color rgb="FFFCFCFF"/>
        <color rgb="FF63BE7B"/>
      </colorScale>
    </cfRule>
  </conditionalFormatting>
  <conditionalFormatting sqref="AC1511:AW1511">
    <cfRule type="colorScale" priority="668">
      <colorScale>
        <cfvo type="min"/>
        <cfvo type="max"/>
        <color rgb="FFFCFCFF"/>
        <color rgb="FF63BE7B"/>
      </colorScale>
    </cfRule>
  </conditionalFormatting>
  <conditionalFormatting sqref="AC1513:AW1513">
    <cfRule type="colorScale" priority="667">
      <colorScale>
        <cfvo type="min"/>
        <cfvo type="max"/>
        <color rgb="FFFCFCFF"/>
        <color rgb="FF63BE7B"/>
      </colorScale>
    </cfRule>
  </conditionalFormatting>
  <conditionalFormatting sqref="AC1515:AW1515">
    <cfRule type="colorScale" priority="666">
      <colorScale>
        <cfvo type="min"/>
        <cfvo type="max"/>
        <color rgb="FFFCFCFF"/>
        <color rgb="FF63BE7B"/>
      </colorScale>
    </cfRule>
  </conditionalFormatting>
  <conditionalFormatting sqref="AC1517:AW1517">
    <cfRule type="colorScale" priority="665">
      <colorScale>
        <cfvo type="min"/>
        <cfvo type="max"/>
        <color rgb="FFFCFCFF"/>
        <color rgb="FF63BE7B"/>
      </colorScale>
    </cfRule>
  </conditionalFormatting>
  <conditionalFormatting sqref="AC1519:AW1519">
    <cfRule type="colorScale" priority="664">
      <colorScale>
        <cfvo type="min"/>
        <cfvo type="max"/>
        <color rgb="FFFCFCFF"/>
        <color rgb="FF63BE7B"/>
      </colorScale>
    </cfRule>
  </conditionalFormatting>
  <conditionalFormatting sqref="AC1521:AW1521">
    <cfRule type="colorScale" priority="663">
      <colorScale>
        <cfvo type="min"/>
        <cfvo type="max"/>
        <color rgb="FFFCFCFF"/>
        <color rgb="FF63BE7B"/>
      </colorScale>
    </cfRule>
  </conditionalFormatting>
  <conditionalFormatting sqref="AC1523:AW1523">
    <cfRule type="colorScale" priority="662">
      <colorScale>
        <cfvo type="min"/>
        <cfvo type="max"/>
        <color rgb="FFFCFCFF"/>
        <color rgb="FF63BE7B"/>
      </colorScale>
    </cfRule>
  </conditionalFormatting>
  <conditionalFormatting sqref="AC1525:AW1525">
    <cfRule type="colorScale" priority="661">
      <colorScale>
        <cfvo type="min"/>
        <cfvo type="max"/>
        <color rgb="FFFCFCFF"/>
        <color rgb="FF63BE7B"/>
      </colorScale>
    </cfRule>
  </conditionalFormatting>
  <conditionalFormatting sqref="AC1527:AW1527">
    <cfRule type="colorScale" priority="660">
      <colorScale>
        <cfvo type="min"/>
        <cfvo type="max"/>
        <color rgb="FFFCFCFF"/>
        <color rgb="FF63BE7B"/>
      </colorScale>
    </cfRule>
  </conditionalFormatting>
  <conditionalFormatting sqref="AC1529:AW1529">
    <cfRule type="colorScale" priority="659">
      <colorScale>
        <cfvo type="min"/>
        <cfvo type="max"/>
        <color rgb="FFFCFCFF"/>
        <color rgb="FF63BE7B"/>
      </colorScale>
    </cfRule>
  </conditionalFormatting>
  <conditionalFormatting sqref="AC1531:AW1531">
    <cfRule type="colorScale" priority="658">
      <colorScale>
        <cfvo type="min"/>
        <cfvo type="max"/>
        <color rgb="FFFCFCFF"/>
        <color rgb="FF63BE7B"/>
      </colorScale>
    </cfRule>
  </conditionalFormatting>
  <conditionalFormatting sqref="AC1533:AW1533">
    <cfRule type="colorScale" priority="657">
      <colorScale>
        <cfvo type="min"/>
        <cfvo type="max"/>
        <color rgb="FFFCFCFF"/>
        <color rgb="FF63BE7B"/>
      </colorScale>
    </cfRule>
  </conditionalFormatting>
  <conditionalFormatting sqref="AC1535:AW1535">
    <cfRule type="colorScale" priority="656">
      <colorScale>
        <cfvo type="min"/>
        <cfvo type="max"/>
        <color rgb="FFFCFCFF"/>
        <color rgb="FF63BE7B"/>
      </colorScale>
    </cfRule>
  </conditionalFormatting>
  <conditionalFormatting sqref="AC1537:AW1537">
    <cfRule type="colorScale" priority="655">
      <colorScale>
        <cfvo type="min"/>
        <cfvo type="max"/>
        <color rgb="FFFCFCFF"/>
        <color rgb="FF63BE7B"/>
      </colorScale>
    </cfRule>
  </conditionalFormatting>
  <conditionalFormatting sqref="AC1539:AW1539">
    <cfRule type="colorScale" priority="654">
      <colorScale>
        <cfvo type="min"/>
        <cfvo type="max"/>
        <color rgb="FFFCFCFF"/>
        <color rgb="FF63BE7B"/>
      </colorScale>
    </cfRule>
  </conditionalFormatting>
  <conditionalFormatting sqref="AC1541:AW1541">
    <cfRule type="colorScale" priority="653">
      <colorScale>
        <cfvo type="min"/>
        <cfvo type="max"/>
        <color rgb="FFFCFCFF"/>
        <color rgb="FF63BE7B"/>
      </colorScale>
    </cfRule>
  </conditionalFormatting>
  <conditionalFormatting sqref="AC1543:AW1543">
    <cfRule type="colorScale" priority="652">
      <colorScale>
        <cfvo type="min"/>
        <cfvo type="max"/>
        <color rgb="FFFCFCFF"/>
        <color rgb="FF63BE7B"/>
      </colorScale>
    </cfRule>
  </conditionalFormatting>
  <conditionalFormatting sqref="AC1545:AW1545">
    <cfRule type="colorScale" priority="651">
      <colorScale>
        <cfvo type="min"/>
        <cfvo type="max"/>
        <color rgb="FFFCFCFF"/>
        <color rgb="FF63BE7B"/>
      </colorScale>
    </cfRule>
  </conditionalFormatting>
  <conditionalFormatting sqref="AC1547:AW1547">
    <cfRule type="colorScale" priority="650">
      <colorScale>
        <cfvo type="min"/>
        <cfvo type="max"/>
        <color rgb="FFFCFCFF"/>
        <color rgb="FF63BE7B"/>
      </colorScale>
    </cfRule>
  </conditionalFormatting>
  <conditionalFormatting sqref="AC1549:AW1549">
    <cfRule type="colorScale" priority="649">
      <colorScale>
        <cfvo type="min"/>
        <cfvo type="max"/>
        <color rgb="FFFCFCFF"/>
        <color rgb="FF63BE7B"/>
      </colorScale>
    </cfRule>
  </conditionalFormatting>
  <conditionalFormatting sqref="AC1551:AW1551">
    <cfRule type="colorScale" priority="648">
      <colorScale>
        <cfvo type="min"/>
        <cfvo type="max"/>
        <color rgb="FFFCFCFF"/>
        <color rgb="FF63BE7B"/>
      </colorScale>
    </cfRule>
  </conditionalFormatting>
  <conditionalFormatting sqref="AC1553:AW1553">
    <cfRule type="colorScale" priority="647">
      <colorScale>
        <cfvo type="min"/>
        <cfvo type="max"/>
        <color rgb="FFFCFCFF"/>
        <color rgb="FF63BE7B"/>
      </colorScale>
    </cfRule>
  </conditionalFormatting>
  <conditionalFormatting sqref="AC1555:AW1555">
    <cfRule type="colorScale" priority="646">
      <colorScale>
        <cfvo type="min"/>
        <cfvo type="max"/>
        <color rgb="FFFCFCFF"/>
        <color rgb="FF63BE7B"/>
      </colorScale>
    </cfRule>
  </conditionalFormatting>
  <conditionalFormatting sqref="AC1557:AW1557">
    <cfRule type="colorScale" priority="645">
      <colorScale>
        <cfvo type="min"/>
        <cfvo type="max"/>
        <color rgb="FFFCFCFF"/>
        <color rgb="FF63BE7B"/>
      </colorScale>
    </cfRule>
  </conditionalFormatting>
  <conditionalFormatting sqref="AC1559:AW1559">
    <cfRule type="colorScale" priority="644">
      <colorScale>
        <cfvo type="min"/>
        <cfvo type="max"/>
        <color rgb="FFFCFCFF"/>
        <color rgb="FF63BE7B"/>
      </colorScale>
    </cfRule>
  </conditionalFormatting>
  <conditionalFormatting sqref="AC1561:AW1561">
    <cfRule type="colorScale" priority="643">
      <colorScale>
        <cfvo type="min"/>
        <cfvo type="max"/>
        <color rgb="FFFCFCFF"/>
        <color rgb="FF63BE7B"/>
      </colorScale>
    </cfRule>
  </conditionalFormatting>
  <conditionalFormatting sqref="AC1563:AW1563">
    <cfRule type="colorScale" priority="642">
      <colorScale>
        <cfvo type="min"/>
        <cfvo type="max"/>
        <color rgb="FFFCFCFF"/>
        <color rgb="FF63BE7B"/>
      </colorScale>
    </cfRule>
  </conditionalFormatting>
  <conditionalFormatting sqref="AC1565:AW1565">
    <cfRule type="colorScale" priority="641">
      <colorScale>
        <cfvo type="min"/>
        <cfvo type="max"/>
        <color rgb="FFFCFCFF"/>
        <color rgb="FF63BE7B"/>
      </colorScale>
    </cfRule>
  </conditionalFormatting>
  <conditionalFormatting sqref="AC1567:AW1567">
    <cfRule type="colorScale" priority="640">
      <colorScale>
        <cfvo type="min"/>
        <cfvo type="max"/>
        <color rgb="FFFCFCFF"/>
        <color rgb="FF63BE7B"/>
      </colorScale>
    </cfRule>
  </conditionalFormatting>
  <conditionalFormatting sqref="AC1569:AW1569">
    <cfRule type="colorScale" priority="639">
      <colorScale>
        <cfvo type="min"/>
        <cfvo type="max"/>
        <color rgb="FFFCFCFF"/>
        <color rgb="FF63BE7B"/>
      </colorScale>
    </cfRule>
  </conditionalFormatting>
  <conditionalFormatting sqref="AC1571:AW1571">
    <cfRule type="colorScale" priority="638">
      <colorScale>
        <cfvo type="min"/>
        <cfvo type="max"/>
        <color rgb="FFFCFCFF"/>
        <color rgb="FF63BE7B"/>
      </colorScale>
    </cfRule>
  </conditionalFormatting>
  <conditionalFormatting sqref="AC1573:AW1573">
    <cfRule type="colorScale" priority="637">
      <colorScale>
        <cfvo type="min"/>
        <cfvo type="max"/>
        <color rgb="FFFCFCFF"/>
        <color rgb="FF63BE7B"/>
      </colorScale>
    </cfRule>
  </conditionalFormatting>
  <conditionalFormatting sqref="AC1575:AW1575">
    <cfRule type="colorScale" priority="636">
      <colorScale>
        <cfvo type="min"/>
        <cfvo type="max"/>
        <color rgb="FFFCFCFF"/>
        <color rgb="FF63BE7B"/>
      </colorScale>
    </cfRule>
  </conditionalFormatting>
  <conditionalFormatting sqref="AC1577:AW1577">
    <cfRule type="colorScale" priority="635">
      <colorScale>
        <cfvo type="min"/>
        <cfvo type="max"/>
        <color rgb="FFFCFCFF"/>
        <color rgb="FF63BE7B"/>
      </colorScale>
    </cfRule>
  </conditionalFormatting>
  <conditionalFormatting sqref="AC1579:AW1579">
    <cfRule type="colorScale" priority="634">
      <colorScale>
        <cfvo type="min"/>
        <cfvo type="max"/>
        <color rgb="FFFCFCFF"/>
        <color rgb="FF63BE7B"/>
      </colorScale>
    </cfRule>
  </conditionalFormatting>
  <conditionalFormatting sqref="AC1581:AW1581">
    <cfRule type="colorScale" priority="633">
      <colorScale>
        <cfvo type="min"/>
        <cfvo type="max"/>
        <color rgb="FFFCFCFF"/>
        <color rgb="FF63BE7B"/>
      </colorScale>
    </cfRule>
  </conditionalFormatting>
  <conditionalFormatting sqref="AC1583:AW1583">
    <cfRule type="colorScale" priority="632">
      <colorScale>
        <cfvo type="min"/>
        <cfvo type="max"/>
        <color rgb="FFFCFCFF"/>
        <color rgb="FF63BE7B"/>
      </colorScale>
    </cfRule>
  </conditionalFormatting>
  <conditionalFormatting sqref="AC1585:AW1585">
    <cfRule type="colorScale" priority="631">
      <colorScale>
        <cfvo type="min"/>
        <cfvo type="max"/>
        <color rgb="FFFCFCFF"/>
        <color rgb="FF63BE7B"/>
      </colorScale>
    </cfRule>
  </conditionalFormatting>
  <conditionalFormatting sqref="AZ3:BT3">
    <cfRule type="colorScale" priority="630">
      <colorScale>
        <cfvo type="min"/>
        <cfvo type="max"/>
        <color rgb="FFFCFCFF"/>
        <color rgb="FF63BE7B"/>
      </colorScale>
    </cfRule>
  </conditionalFormatting>
  <conditionalFormatting sqref="AZ5:BT5">
    <cfRule type="colorScale" priority="629">
      <colorScale>
        <cfvo type="min"/>
        <cfvo type="max"/>
        <color rgb="FFFCFCFF"/>
        <color rgb="FF63BE7B"/>
      </colorScale>
    </cfRule>
  </conditionalFormatting>
  <conditionalFormatting sqref="AZ7:BT7">
    <cfRule type="colorScale" priority="628">
      <colorScale>
        <cfvo type="min"/>
        <cfvo type="max"/>
        <color rgb="FFFCFCFF"/>
        <color rgb="FF63BE7B"/>
      </colorScale>
    </cfRule>
  </conditionalFormatting>
  <conditionalFormatting sqref="AZ9:BT9">
    <cfRule type="colorScale" priority="627">
      <colorScale>
        <cfvo type="min"/>
        <cfvo type="max"/>
        <color rgb="FFFCFCFF"/>
        <color rgb="FF63BE7B"/>
      </colorScale>
    </cfRule>
  </conditionalFormatting>
  <conditionalFormatting sqref="AZ11:BT11">
    <cfRule type="colorScale" priority="626">
      <colorScale>
        <cfvo type="min"/>
        <cfvo type="max"/>
        <color rgb="FFFCFCFF"/>
        <color rgb="FF63BE7B"/>
      </colorScale>
    </cfRule>
  </conditionalFormatting>
  <conditionalFormatting sqref="AZ13:BT13">
    <cfRule type="colorScale" priority="625">
      <colorScale>
        <cfvo type="min"/>
        <cfvo type="max"/>
        <color rgb="FFFCFCFF"/>
        <color rgb="FF63BE7B"/>
      </colorScale>
    </cfRule>
  </conditionalFormatting>
  <conditionalFormatting sqref="AZ15:BT15">
    <cfRule type="colorScale" priority="624">
      <colorScale>
        <cfvo type="min"/>
        <cfvo type="max"/>
        <color rgb="FFFCFCFF"/>
        <color rgb="FF63BE7B"/>
      </colorScale>
    </cfRule>
  </conditionalFormatting>
  <conditionalFormatting sqref="AZ17:BT17">
    <cfRule type="colorScale" priority="623">
      <colorScale>
        <cfvo type="min"/>
        <cfvo type="max"/>
        <color rgb="FFFCFCFF"/>
        <color rgb="FF63BE7B"/>
      </colorScale>
    </cfRule>
  </conditionalFormatting>
  <conditionalFormatting sqref="AZ19:BT19">
    <cfRule type="colorScale" priority="622">
      <colorScale>
        <cfvo type="min"/>
        <cfvo type="max"/>
        <color rgb="FFFCFCFF"/>
        <color rgb="FF63BE7B"/>
      </colorScale>
    </cfRule>
  </conditionalFormatting>
  <conditionalFormatting sqref="AZ21:BT21">
    <cfRule type="colorScale" priority="621">
      <colorScale>
        <cfvo type="min"/>
        <cfvo type="max"/>
        <color rgb="FFFCFCFF"/>
        <color rgb="FF63BE7B"/>
      </colorScale>
    </cfRule>
  </conditionalFormatting>
  <conditionalFormatting sqref="AZ23:BT23">
    <cfRule type="colorScale" priority="620">
      <colorScale>
        <cfvo type="min"/>
        <cfvo type="max"/>
        <color rgb="FFFCFCFF"/>
        <color rgb="FF63BE7B"/>
      </colorScale>
    </cfRule>
  </conditionalFormatting>
  <conditionalFormatting sqref="AZ25:BT25">
    <cfRule type="colorScale" priority="619">
      <colorScale>
        <cfvo type="min"/>
        <cfvo type="max"/>
        <color rgb="FFFCFCFF"/>
        <color rgb="FF63BE7B"/>
      </colorScale>
    </cfRule>
  </conditionalFormatting>
  <conditionalFormatting sqref="AZ27:BT27">
    <cfRule type="colorScale" priority="618">
      <colorScale>
        <cfvo type="min"/>
        <cfvo type="max"/>
        <color rgb="FFFCFCFF"/>
        <color rgb="FF63BE7B"/>
      </colorScale>
    </cfRule>
  </conditionalFormatting>
  <conditionalFormatting sqref="AZ29:BT29">
    <cfRule type="colorScale" priority="617">
      <colorScale>
        <cfvo type="min"/>
        <cfvo type="max"/>
        <color rgb="FFFCFCFF"/>
        <color rgb="FF63BE7B"/>
      </colorScale>
    </cfRule>
  </conditionalFormatting>
  <conditionalFormatting sqref="AZ31:BT31">
    <cfRule type="colorScale" priority="616">
      <colorScale>
        <cfvo type="min"/>
        <cfvo type="max"/>
        <color rgb="FFFCFCFF"/>
        <color rgb="FF63BE7B"/>
      </colorScale>
    </cfRule>
  </conditionalFormatting>
  <conditionalFormatting sqref="AZ33:BT33">
    <cfRule type="colorScale" priority="615">
      <colorScale>
        <cfvo type="min"/>
        <cfvo type="max"/>
        <color rgb="FFFCFCFF"/>
        <color rgb="FF63BE7B"/>
      </colorScale>
    </cfRule>
  </conditionalFormatting>
  <conditionalFormatting sqref="AZ35:BT35">
    <cfRule type="colorScale" priority="614">
      <colorScale>
        <cfvo type="min"/>
        <cfvo type="max"/>
        <color rgb="FFFCFCFF"/>
        <color rgb="FF63BE7B"/>
      </colorScale>
    </cfRule>
  </conditionalFormatting>
  <conditionalFormatting sqref="AZ37:BT37">
    <cfRule type="colorScale" priority="613">
      <colorScale>
        <cfvo type="min"/>
        <cfvo type="max"/>
        <color rgb="FFFCFCFF"/>
        <color rgb="FF63BE7B"/>
      </colorScale>
    </cfRule>
  </conditionalFormatting>
  <conditionalFormatting sqref="AZ39:BT39">
    <cfRule type="colorScale" priority="612">
      <colorScale>
        <cfvo type="min"/>
        <cfvo type="max"/>
        <color rgb="FFFCFCFF"/>
        <color rgb="FF63BE7B"/>
      </colorScale>
    </cfRule>
  </conditionalFormatting>
  <conditionalFormatting sqref="AZ41:BT41">
    <cfRule type="colorScale" priority="611">
      <colorScale>
        <cfvo type="min"/>
        <cfvo type="max"/>
        <color rgb="FFFCFCFF"/>
        <color rgb="FF63BE7B"/>
      </colorScale>
    </cfRule>
  </conditionalFormatting>
  <conditionalFormatting sqref="AZ43:BT43">
    <cfRule type="colorScale" priority="610">
      <colorScale>
        <cfvo type="min"/>
        <cfvo type="max"/>
        <color rgb="FFFCFCFF"/>
        <color rgb="FF63BE7B"/>
      </colorScale>
    </cfRule>
  </conditionalFormatting>
  <conditionalFormatting sqref="AZ45:BT45">
    <cfRule type="colorScale" priority="609">
      <colorScale>
        <cfvo type="min"/>
        <cfvo type="max"/>
        <color rgb="FFFCFCFF"/>
        <color rgb="FF63BE7B"/>
      </colorScale>
    </cfRule>
  </conditionalFormatting>
  <conditionalFormatting sqref="AZ47:BT47">
    <cfRule type="colorScale" priority="608">
      <colorScale>
        <cfvo type="min"/>
        <cfvo type="max"/>
        <color rgb="FFFCFCFF"/>
        <color rgb="FF63BE7B"/>
      </colorScale>
    </cfRule>
  </conditionalFormatting>
  <conditionalFormatting sqref="AZ49:BT49">
    <cfRule type="colorScale" priority="607">
      <colorScale>
        <cfvo type="min"/>
        <cfvo type="max"/>
        <color rgb="FFFCFCFF"/>
        <color rgb="FF63BE7B"/>
      </colorScale>
    </cfRule>
  </conditionalFormatting>
  <conditionalFormatting sqref="AZ51:BT51">
    <cfRule type="colorScale" priority="606">
      <colorScale>
        <cfvo type="min"/>
        <cfvo type="max"/>
        <color rgb="FFFCFCFF"/>
        <color rgb="FF63BE7B"/>
      </colorScale>
    </cfRule>
  </conditionalFormatting>
  <conditionalFormatting sqref="AZ53:BT53">
    <cfRule type="colorScale" priority="605">
      <colorScale>
        <cfvo type="min"/>
        <cfvo type="max"/>
        <color rgb="FFFCFCFF"/>
        <color rgb="FF63BE7B"/>
      </colorScale>
    </cfRule>
  </conditionalFormatting>
  <conditionalFormatting sqref="AZ55:BT55">
    <cfRule type="colorScale" priority="604">
      <colorScale>
        <cfvo type="min"/>
        <cfvo type="max"/>
        <color rgb="FFFCFCFF"/>
        <color rgb="FF63BE7B"/>
      </colorScale>
    </cfRule>
  </conditionalFormatting>
  <conditionalFormatting sqref="AZ57:BT57">
    <cfRule type="colorScale" priority="603">
      <colorScale>
        <cfvo type="min"/>
        <cfvo type="max"/>
        <color rgb="FFFCFCFF"/>
        <color rgb="FF63BE7B"/>
      </colorScale>
    </cfRule>
  </conditionalFormatting>
  <conditionalFormatting sqref="AZ59:BT59">
    <cfRule type="colorScale" priority="602">
      <colorScale>
        <cfvo type="min"/>
        <cfvo type="max"/>
        <color rgb="FFFCFCFF"/>
        <color rgb="FF63BE7B"/>
      </colorScale>
    </cfRule>
  </conditionalFormatting>
  <conditionalFormatting sqref="AZ61:BT61">
    <cfRule type="colorScale" priority="601">
      <colorScale>
        <cfvo type="min"/>
        <cfvo type="max"/>
        <color rgb="FFFCFCFF"/>
        <color rgb="FF63BE7B"/>
      </colorScale>
    </cfRule>
  </conditionalFormatting>
  <conditionalFormatting sqref="AZ63:BT63">
    <cfRule type="colorScale" priority="600">
      <colorScale>
        <cfvo type="min"/>
        <cfvo type="max"/>
        <color rgb="FFFCFCFF"/>
        <color rgb="FF63BE7B"/>
      </colorScale>
    </cfRule>
  </conditionalFormatting>
  <conditionalFormatting sqref="AZ65:BT65">
    <cfRule type="colorScale" priority="599">
      <colorScale>
        <cfvo type="min"/>
        <cfvo type="max"/>
        <color rgb="FFFCFCFF"/>
        <color rgb="FF63BE7B"/>
      </colorScale>
    </cfRule>
  </conditionalFormatting>
  <conditionalFormatting sqref="AZ67:BT67">
    <cfRule type="colorScale" priority="598">
      <colorScale>
        <cfvo type="min"/>
        <cfvo type="max"/>
        <color rgb="FFFCFCFF"/>
        <color rgb="FF63BE7B"/>
      </colorScale>
    </cfRule>
  </conditionalFormatting>
  <conditionalFormatting sqref="AZ69:BT69">
    <cfRule type="colorScale" priority="597">
      <colorScale>
        <cfvo type="min"/>
        <cfvo type="max"/>
        <color rgb="FFFCFCFF"/>
        <color rgb="FF63BE7B"/>
      </colorScale>
    </cfRule>
  </conditionalFormatting>
  <conditionalFormatting sqref="AZ71:BT71">
    <cfRule type="colorScale" priority="596">
      <colorScale>
        <cfvo type="min"/>
        <cfvo type="max"/>
        <color rgb="FFFCFCFF"/>
        <color rgb="FF63BE7B"/>
      </colorScale>
    </cfRule>
  </conditionalFormatting>
  <conditionalFormatting sqref="AZ73:BT73">
    <cfRule type="colorScale" priority="595">
      <colorScale>
        <cfvo type="min"/>
        <cfvo type="max"/>
        <color rgb="FFFCFCFF"/>
        <color rgb="FF63BE7B"/>
      </colorScale>
    </cfRule>
  </conditionalFormatting>
  <conditionalFormatting sqref="AZ75:BT75">
    <cfRule type="colorScale" priority="594">
      <colorScale>
        <cfvo type="min"/>
        <cfvo type="max"/>
        <color rgb="FFFCFCFF"/>
        <color rgb="FF63BE7B"/>
      </colorScale>
    </cfRule>
  </conditionalFormatting>
  <conditionalFormatting sqref="AZ77:BT77">
    <cfRule type="colorScale" priority="593">
      <colorScale>
        <cfvo type="min"/>
        <cfvo type="max"/>
        <color rgb="FFFCFCFF"/>
        <color rgb="FF63BE7B"/>
      </colorScale>
    </cfRule>
  </conditionalFormatting>
  <conditionalFormatting sqref="AZ79:BT79">
    <cfRule type="colorScale" priority="592">
      <colorScale>
        <cfvo type="min"/>
        <cfvo type="max"/>
        <color rgb="FFFCFCFF"/>
        <color rgb="FF63BE7B"/>
      </colorScale>
    </cfRule>
  </conditionalFormatting>
  <conditionalFormatting sqref="AZ81:BT81">
    <cfRule type="colorScale" priority="591">
      <colorScale>
        <cfvo type="min"/>
        <cfvo type="max"/>
        <color rgb="FFFCFCFF"/>
        <color rgb="FF63BE7B"/>
      </colorScale>
    </cfRule>
  </conditionalFormatting>
  <conditionalFormatting sqref="AZ83:BT83">
    <cfRule type="colorScale" priority="590">
      <colorScale>
        <cfvo type="min"/>
        <cfvo type="max"/>
        <color rgb="FFFCFCFF"/>
        <color rgb="FF63BE7B"/>
      </colorScale>
    </cfRule>
  </conditionalFormatting>
  <conditionalFormatting sqref="AZ85:BT85">
    <cfRule type="colorScale" priority="589">
      <colorScale>
        <cfvo type="min"/>
        <cfvo type="max"/>
        <color rgb="FFFCFCFF"/>
        <color rgb="FF63BE7B"/>
      </colorScale>
    </cfRule>
  </conditionalFormatting>
  <conditionalFormatting sqref="AZ87:BT87">
    <cfRule type="colorScale" priority="588">
      <colorScale>
        <cfvo type="min"/>
        <cfvo type="max"/>
        <color rgb="FFFCFCFF"/>
        <color rgb="FF63BE7B"/>
      </colorScale>
    </cfRule>
  </conditionalFormatting>
  <conditionalFormatting sqref="AZ89:BT89">
    <cfRule type="colorScale" priority="587">
      <colorScale>
        <cfvo type="min"/>
        <cfvo type="max"/>
        <color rgb="FFFCFCFF"/>
        <color rgb="FF63BE7B"/>
      </colorScale>
    </cfRule>
  </conditionalFormatting>
  <conditionalFormatting sqref="AZ91:BT91">
    <cfRule type="colorScale" priority="586">
      <colorScale>
        <cfvo type="min"/>
        <cfvo type="max"/>
        <color rgb="FFFCFCFF"/>
        <color rgb="FF63BE7B"/>
      </colorScale>
    </cfRule>
  </conditionalFormatting>
  <conditionalFormatting sqref="AZ93:BT93">
    <cfRule type="colorScale" priority="585">
      <colorScale>
        <cfvo type="min"/>
        <cfvo type="max"/>
        <color rgb="FFFCFCFF"/>
        <color rgb="FF63BE7B"/>
      </colorScale>
    </cfRule>
  </conditionalFormatting>
  <conditionalFormatting sqref="AZ95:BT95">
    <cfRule type="colorScale" priority="584">
      <colorScale>
        <cfvo type="min"/>
        <cfvo type="max"/>
        <color rgb="FFFCFCFF"/>
        <color rgb="FF63BE7B"/>
      </colorScale>
    </cfRule>
  </conditionalFormatting>
  <conditionalFormatting sqref="AZ97:BT97">
    <cfRule type="colorScale" priority="583">
      <colorScale>
        <cfvo type="min"/>
        <cfvo type="max"/>
        <color rgb="FFFCFCFF"/>
        <color rgb="FF63BE7B"/>
      </colorScale>
    </cfRule>
  </conditionalFormatting>
  <conditionalFormatting sqref="AZ99:BT99">
    <cfRule type="colorScale" priority="582">
      <colorScale>
        <cfvo type="min"/>
        <cfvo type="max"/>
        <color rgb="FFFCFCFF"/>
        <color rgb="FF63BE7B"/>
      </colorScale>
    </cfRule>
  </conditionalFormatting>
  <conditionalFormatting sqref="AZ101:BT101">
    <cfRule type="colorScale" priority="581">
      <colorScale>
        <cfvo type="min"/>
        <cfvo type="max"/>
        <color rgb="FFFCFCFF"/>
        <color rgb="FF63BE7B"/>
      </colorScale>
    </cfRule>
  </conditionalFormatting>
  <conditionalFormatting sqref="AZ103:BT103">
    <cfRule type="colorScale" priority="580">
      <colorScale>
        <cfvo type="min"/>
        <cfvo type="max"/>
        <color rgb="FFFCFCFF"/>
        <color rgb="FF63BE7B"/>
      </colorScale>
    </cfRule>
  </conditionalFormatting>
  <conditionalFormatting sqref="AZ105:BT105">
    <cfRule type="colorScale" priority="579">
      <colorScale>
        <cfvo type="min"/>
        <cfvo type="max"/>
        <color rgb="FFFCFCFF"/>
        <color rgb="FF63BE7B"/>
      </colorScale>
    </cfRule>
  </conditionalFormatting>
  <conditionalFormatting sqref="AZ107:BT107">
    <cfRule type="colorScale" priority="578">
      <colorScale>
        <cfvo type="min"/>
        <cfvo type="max"/>
        <color rgb="FFFCFCFF"/>
        <color rgb="FF63BE7B"/>
      </colorScale>
    </cfRule>
  </conditionalFormatting>
  <conditionalFormatting sqref="AZ109:BT109">
    <cfRule type="colorScale" priority="577">
      <colorScale>
        <cfvo type="min"/>
        <cfvo type="max"/>
        <color rgb="FFFCFCFF"/>
        <color rgb="FF63BE7B"/>
      </colorScale>
    </cfRule>
  </conditionalFormatting>
  <conditionalFormatting sqref="AZ111:BT111">
    <cfRule type="colorScale" priority="576">
      <colorScale>
        <cfvo type="min"/>
        <cfvo type="max"/>
        <color rgb="FFFCFCFF"/>
        <color rgb="FF63BE7B"/>
      </colorScale>
    </cfRule>
  </conditionalFormatting>
  <conditionalFormatting sqref="AZ113:BT113">
    <cfRule type="colorScale" priority="575">
      <colorScale>
        <cfvo type="min"/>
        <cfvo type="max"/>
        <color rgb="FFFCFCFF"/>
        <color rgb="FF63BE7B"/>
      </colorScale>
    </cfRule>
  </conditionalFormatting>
  <conditionalFormatting sqref="AZ115:BT115">
    <cfRule type="colorScale" priority="574">
      <colorScale>
        <cfvo type="min"/>
        <cfvo type="max"/>
        <color rgb="FFFCFCFF"/>
        <color rgb="FF63BE7B"/>
      </colorScale>
    </cfRule>
  </conditionalFormatting>
  <conditionalFormatting sqref="AZ117:BT117">
    <cfRule type="colorScale" priority="573">
      <colorScale>
        <cfvo type="min"/>
        <cfvo type="max"/>
        <color rgb="FFFCFCFF"/>
        <color rgb="FF63BE7B"/>
      </colorScale>
    </cfRule>
  </conditionalFormatting>
  <conditionalFormatting sqref="AZ119:BT119">
    <cfRule type="colorScale" priority="572">
      <colorScale>
        <cfvo type="min"/>
        <cfvo type="max"/>
        <color rgb="FFFCFCFF"/>
        <color rgb="FF63BE7B"/>
      </colorScale>
    </cfRule>
  </conditionalFormatting>
  <conditionalFormatting sqref="AZ121:BT121">
    <cfRule type="colorScale" priority="571">
      <colorScale>
        <cfvo type="min"/>
        <cfvo type="max"/>
        <color rgb="FFFCFCFF"/>
        <color rgb="FF63BE7B"/>
      </colorScale>
    </cfRule>
  </conditionalFormatting>
  <conditionalFormatting sqref="AZ123:BT123">
    <cfRule type="colorScale" priority="570">
      <colorScale>
        <cfvo type="min"/>
        <cfvo type="max"/>
        <color rgb="FFFCFCFF"/>
        <color rgb="FF63BE7B"/>
      </colorScale>
    </cfRule>
  </conditionalFormatting>
  <conditionalFormatting sqref="AZ125:BT125">
    <cfRule type="colorScale" priority="569">
      <colorScale>
        <cfvo type="min"/>
        <cfvo type="max"/>
        <color rgb="FFFCFCFF"/>
        <color rgb="FF63BE7B"/>
      </colorScale>
    </cfRule>
  </conditionalFormatting>
  <conditionalFormatting sqref="AZ127:BT127">
    <cfRule type="colorScale" priority="568">
      <colorScale>
        <cfvo type="min"/>
        <cfvo type="max"/>
        <color rgb="FFFCFCFF"/>
        <color rgb="FF63BE7B"/>
      </colorScale>
    </cfRule>
  </conditionalFormatting>
  <conditionalFormatting sqref="AZ129:BT129">
    <cfRule type="colorScale" priority="567">
      <colorScale>
        <cfvo type="min"/>
        <cfvo type="max"/>
        <color rgb="FFFCFCFF"/>
        <color rgb="FF63BE7B"/>
      </colorScale>
    </cfRule>
  </conditionalFormatting>
  <conditionalFormatting sqref="AZ131:BT131">
    <cfRule type="colorScale" priority="566">
      <colorScale>
        <cfvo type="min"/>
        <cfvo type="max"/>
        <color rgb="FFFCFCFF"/>
        <color rgb="FF63BE7B"/>
      </colorScale>
    </cfRule>
  </conditionalFormatting>
  <conditionalFormatting sqref="AZ133:BT133">
    <cfRule type="colorScale" priority="565">
      <colorScale>
        <cfvo type="min"/>
        <cfvo type="max"/>
        <color rgb="FFFCFCFF"/>
        <color rgb="FF63BE7B"/>
      </colorScale>
    </cfRule>
  </conditionalFormatting>
  <conditionalFormatting sqref="AZ135:BT135">
    <cfRule type="colorScale" priority="564">
      <colorScale>
        <cfvo type="min"/>
        <cfvo type="max"/>
        <color rgb="FFFCFCFF"/>
        <color rgb="FF63BE7B"/>
      </colorScale>
    </cfRule>
  </conditionalFormatting>
  <conditionalFormatting sqref="AZ137:BT137">
    <cfRule type="colorScale" priority="563">
      <colorScale>
        <cfvo type="min"/>
        <cfvo type="max"/>
        <color rgb="FFFCFCFF"/>
        <color rgb="FF63BE7B"/>
      </colorScale>
    </cfRule>
  </conditionalFormatting>
  <conditionalFormatting sqref="AZ139:BT139">
    <cfRule type="colorScale" priority="562">
      <colorScale>
        <cfvo type="min"/>
        <cfvo type="max"/>
        <color rgb="FFFCFCFF"/>
        <color rgb="FF63BE7B"/>
      </colorScale>
    </cfRule>
  </conditionalFormatting>
  <conditionalFormatting sqref="AZ141:BT141">
    <cfRule type="colorScale" priority="561">
      <colorScale>
        <cfvo type="min"/>
        <cfvo type="max"/>
        <color rgb="FFFCFCFF"/>
        <color rgb="FF63BE7B"/>
      </colorScale>
    </cfRule>
  </conditionalFormatting>
  <conditionalFormatting sqref="AZ143:BT143">
    <cfRule type="colorScale" priority="560">
      <colorScale>
        <cfvo type="min"/>
        <cfvo type="max"/>
        <color rgb="FFFCFCFF"/>
        <color rgb="FF63BE7B"/>
      </colorScale>
    </cfRule>
  </conditionalFormatting>
  <conditionalFormatting sqref="AZ145:BT145">
    <cfRule type="colorScale" priority="559">
      <colorScale>
        <cfvo type="min"/>
        <cfvo type="max"/>
        <color rgb="FFFCFCFF"/>
        <color rgb="FF63BE7B"/>
      </colorScale>
    </cfRule>
  </conditionalFormatting>
  <conditionalFormatting sqref="AZ147:BT147">
    <cfRule type="colorScale" priority="558">
      <colorScale>
        <cfvo type="min"/>
        <cfvo type="max"/>
        <color rgb="FFFCFCFF"/>
        <color rgb="FF63BE7B"/>
      </colorScale>
    </cfRule>
  </conditionalFormatting>
  <conditionalFormatting sqref="AZ149:BT149">
    <cfRule type="colorScale" priority="557">
      <colorScale>
        <cfvo type="min"/>
        <cfvo type="max"/>
        <color rgb="FFFCFCFF"/>
        <color rgb="FF63BE7B"/>
      </colorScale>
    </cfRule>
  </conditionalFormatting>
  <conditionalFormatting sqref="AZ151:BT151">
    <cfRule type="colorScale" priority="556">
      <colorScale>
        <cfvo type="min"/>
        <cfvo type="max"/>
        <color rgb="FFFCFCFF"/>
        <color rgb="FF63BE7B"/>
      </colorScale>
    </cfRule>
  </conditionalFormatting>
  <conditionalFormatting sqref="AZ153:BT153">
    <cfRule type="colorScale" priority="555">
      <colorScale>
        <cfvo type="min"/>
        <cfvo type="max"/>
        <color rgb="FFFCFCFF"/>
        <color rgb="FF63BE7B"/>
      </colorScale>
    </cfRule>
  </conditionalFormatting>
  <conditionalFormatting sqref="AZ155:BT155">
    <cfRule type="colorScale" priority="554">
      <colorScale>
        <cfvo type="min"/>
        <cfvo type="max"/>
        <color rgb="FFFCFCFF"/>
        <color rgb="FF63BE7B"/>
      </colorScale>
    </cfRule>
  </conditionalFormatting>
  <conditionalFormatting sqref="AZ157:BT157">
    <cfRule type="colorScale" priority="553">
      <colorScale>
        <cfvo type="min"/>
        <cfvo type="max"/>
        <color rgb="FFFCFCFF"/>
        <color rgb="FF63BE7B"/>
      </colorScale>
    </cfRule>
  </conditionalFormatting>
  <conditionalFormatting sqref="AZ159:BT159">
    <cfRule type="colorScale" priority="552">
      <colorScale>
        <cfvo type="min"/>
        <cfvo type="max"/>
        <color rgb="FFFCFCFF"/>
        <color rgb="FF63BE7B"/>
      </colorScale>
    </cfRule>
  </conditionalFormatting>
  <conditionalFormatting sqref="AZ161:BT161">
    <cfRule type="colorScale" priority="551">
      <colorScale>
        <cfvo type="min"/>
        <cfvo type="max"/>
        <color rgb="FFFCFCFF"/>
        <color rgb="FF63BE7B"/>
      </colorScale>
    </cfRule>
  </conditionalFormatting>
  <conditionalFormatting sqref="AZ163:BT163">
    <cfRule type="colorScale" priority="550">
      <colorScale>
        <cfvo type="min"/>
        <cfvo type="max"/>
        <color rgb="FFFCFCFF"/>
        <color rgb="FF63BE7B"/>
      </colorScale>
    </cfRule>
  </conditionalFormatting>
  <conditionalFormatting sqref="AZ165:BT165">
    <cfRule type="colorScale" priority="549">
      <colorScale>
        <cfvo type="min"/>
        <cfvo type="max"/>
        <color rgb="FFFCFCFF"/>
        <color rgb="FF63BE7B"/>
      </colorScale>
    </cfRule>
  </conditionalFormatting>
  <conditionalFormatting sqref="AZ167:BT167">
    <cfRule type="colorScale" priority="548">
      <colorScale>
        <cfvo type="min"/>
        <cfvo type="max"/>
        <color rgb="FFFCFCFF"/>
        <color rgb="FF63BE7B"/>
      </colorScale>
    </cfRule>
  </conditionalFormatting>
  <conditionalFormatting sqref="AZ169:BT169">
    <cfRule type="colorScale" priority="547">
      <colorScale>
        <cfvo type="min"/>
        <cfvo type="max"/>
        <color rgb="FFFCFCFF"/>
        <color rgb="FF63BE7B"/>
      </colorScale>
    </cfRule>
  </conditionalFormatting>
  <conditionalFormatting sqref="AZ171:BT171">
    <cfRule type="colorScale" priority="546">
      <colorScale>
        <cfvo type="min"/>
        <cfvo type="max"/>
        <color rgb="FFFCFCFF"/>
        <color rgb="FF63BE7B"/>
      </colorScale>
    </cfRule>
  </conditionalFormatting>
  <conditionalFormatting sqref="AZ173:BT173">
    <cfRule type="colorScale" priority="545">
      <colorScale>
        <cfvo type="min"/>
        <cfvo type="max"/>
        <color rgb="FFFCFCFF"/>
        <color rgb="FF63BE7B"/>
      </colorScale>
    </cfRule>
  </conditionalFormatting>
  <conditionalFormatting sqref="AZ175:BT175">
    <cfRule type="colorScale" priority="544">
      <colorScale>
        <cfvo type="min"/>
        <cfvo type="max"/>
        <color rgb="FFFCFCFF"/>
        <color rgb="FF63BE7B"/>
      </colorScale>
    </cfRule>
  </conditionalFormatting>
  <conditionalFormatting sqref="AZ177:BT177">
    <cfRule type="colorScale" priority="543">
      <colorScale>
        <cfvo type="min"/>
        <cfvo type="max"/>
        <color rgb="FFFCFCFF"/>
        <color rgb="FF63BE7B"/>
      </colorScale>
    </cfRule>
  </conditionalFormatting>
  <conditionalFormatting sqref="AZ179:BT179">
    <cfRule type="colorScale" priority="542">
      <colorScale>
        <cfvo type="min"/>
        <cfvo type="max"/>
        <color rgb="FFFCFCFF"/>
        <color rgb="FF63BE7B"/>
      </colorScale>
    </cfRule>
  </conditionalFormatting>
  <conditionalFormatting sqref="AZ181:BT181">
    <cfRule type="colorScale" priority="541">
      <colorScale>
        <cfvo type="min"/>
        <cfvo type="max"/>
        <color rgb="FFFCFCFF"/>
        <color rgb="FF63BE7B"/>
      </colorScale>
    </cfRule>
  </conditionalFormatting>
  <conditionalFormatting sqref="AZ183:BT183">
    <cfRule type="colorScale" priority="540">
      <colorScale>
        <cfvo type="min"/>
        <cfvo type="max"/>
        <color rgb="FFFCFCFF"/>
        <color rgb="FF63BE7B"/>
      </colorScale>
    </cfRule>
  </conditionalFormatting>
  <conditionalFormatting sqref="AZ185:BT185">
    <cfRule type="colorScale" priority="539">
      <colorScale>
        <cfvo type="min"/>
        <cfvo type="max"/>
        <color rgb="FFFCFCFF"/>
        <color rgb="FF63BE7B"/>
      </colorScale>
    </cfRule>
  </conditionalFormatting>
  <conditionalFormatting sqref="AZ187:BT187">
    <cfRule type="colorScale" priority="538">
      <colorScale>
        <cfvo type="min"/>
        <cfvo type="max"/>
        <color rgb="FFFCFCFF"/>
        <color rgb="FF63BE7B"/>
      </colorScale>
    </cfRule>
  </conditionalFormatting>
  <conditionalFormatting sqref="AZ189:BT189">
    <cfRule type="colorScale" priority="537">
      <colorScale>
        <cfvo type="min"/>
        <cfvo type="max"/>
        <color rgb="FFFCFCFF"/>
        <color rgb="FF63BE7B"/>
      </colorScale>
    </cfRule>
  </conditionalFormatting>
  <conditionalFormatting sqref="AZ191:BT191">
    <cfRule type="colorScale" priority="536">
      <colorScale>
        <cfvo type="min"/>
        <cfvo type="max"/>
        <color rgb="FFFCFCFF"/>
        <color rgb="FF63BE7B"/>
      </colorScale>
    </cfRule>
  </conditionalFormatting>
  <conditionalFormatting sqref="AZ193:BT193">
    <cfRule type="colorScale" priority="535">
      <colorScale>
        <cfvo type="min"/>
        <cfvo type="max"/>
        <color rgb="FFFCFCFF"/>
        <color rgb="FF63BE7B"/>
      </colorScale>
    </cfRule>
  </conditionalFormatting>
  <conditionalFormatting sqref="AZ195:BT195">
    <cfRule type="colorScale" priority="534">
      <colorScale>
        <cfvo type="min"/>
        <cfvo type="max"/>
        <color rgb="FFFCFCFF"/>
        <color rgb="FF63BE7B"/>
      </colorScale>
    </cfRule>
  </conditionalFormatting>
  <conditionalFormatting sqref="AZ197:BT197">
    <cfRule type="colorScale" priority="533">
      <colorScale>
        <cfvo type="min"/>
        <cfvo type="max"/>
        <color rgb="FFFCFCFF"/>
        <color rgb="FF63BE7B"/>
      </colorScale>
    </cfRule>
  </conditionalFormatting>
  <conditionalFormatting sqref="AZ199:BT199">
    <cfRule type="colorScale" priority="532">
      <colorScale>
        <cfvo type="min"/>
        <cfvo type="max"/>
        <color rgb="FFFCFCFF"/>
        <color rgb="FF63BE7B"/>
      </colorScale>
    </cfRule>
  </conditionalFormatting>
  <conditionalFormatting sqref="AZ201:BT201">
    <cfRule type="colorScale" priority="531">
      <colorScale>
        <cfvo type="min"/>
        <cfvo type="max"/>
        <color rgb="FFFCFCFF"/>
        <color rgb="FF63BE7B"/>
      </colorScale>
    </cfRule>
  </conditionalFormatting>
  <conditionalFormatting sqref="AZ203:BT203">
    <cfRule type="colorScale" priority="530">
      <colorScale>
        <cfvo type="min"/>
        <cfvo type="max"/>
        <color rgb="FFFCFCFF"/>
        <color rgb="FF63BE7B"/>
      </colorScale>
    </cfRule>
  </conditionalFormatting>
  <conditionalFormatting sqref="AZ205:BT205">
    <cfRule type="colorScale" priority="529">
      <colorScale>
        <cfvo type="min"/>
        <cfvo type="max"/>
        <color rgb="FFFCFCFF"/>
        <color rgb="FF63BE7B"/>
      </colorScale>
    </cfRule>
  </conditionalFormatting>
  <conditionalFormatting sqref="AZ207:BT207">
    <cfRule type="colorScale" priority="528">
      <colorScale>
        <cfvo type="min"/>
        <cfvo type="max"/>
        <color rgb="FFFCFCFF"/>
        <color rgb="FF63BE7B"/>
      </colorScale>
    </cfRule>
  </conditionalFormatting>
  <conditionalFormatting sqref="AZ209:BT209">
    <cfRule type="colorScale" priority="527">
      <colorScale>
        <cfvo type="min"/>
        <cfvo type="max"/>
        <color rgb="FFFCFCFF"/>
        <color rgb="FF63BE7B"/>
      </colorScale>
    </cfRule>
  </conditionalFormatting>
  <conditionalFormatting sqref="AZ211:BT211">
    <cfRule type="colorScale" priority="526">
      <colorScale>
        <cfvo type="min"/>
        <cfvo type="max"/>
        <color rgb="FFFCFCFF"/>
        <color rgb="FF63BE7B"/>
      </colorScale>
    </cfRule>
  </conditionalFormatting>
  <conditionalFormatting sqref="AZ213:BT213">
    <cfRule type="colorScale" priority="525">
      <colorScale>
        <cfvo type="min"/>
        <cfvo type="max"/>
        <color rgb="FFFCFCFF"/>
        <color rgb="FF63BE7B"/>
      </colorScale>
    </cfRule>
  </conditionalFormatting>
  <conditionalFormatting sqref="AZ215:BT215">
    <cfRule type="colorScale" priority="524">
      <colorScale>
        <cfvo type="min"/>
        <cfvo type="max"/>
        <color rgb="FFFCFCFF"/>
        <color rgb="FF63BE7B"/>
      </colorScale>
    </cfRule>
  </conditionalFormatting>
  <conditionalFormatting sqref="AZ217:BT217">
    <cfRule type="colorScale" priority="523">
      <colorScale>
        <cfvo type="min"/>
        <cfvo type="max"/>
        <color rgb="FFFCFCFF"/>
        <color rgb="FF63BE7B"/>
      </colorScale>
    </cfRule>
  </conditionalFormatting>
  <conditionalFormatting sqref="AZ219:BT219">
    <cfRule type="colorScale" priority="522">
      <colorScale>
        <cfvo type="min"/>
        <cfvo type="max"/>
        <color rgb="FFFCFCFF"/>
        <color rgb="FF63BE7B"/>
      </colorScale>
    </cfRule>
  </conditionalFormatting>
  <conditionalFormatting sqref="AZ221:BT221">
    <cfRule type="colorScale" priority="521">
      <colorScale>
        <cfvo type="min"/>
        <cfvo type="max"/>
        <color rgb="FFFCFCFF"/>
        <color rgb="FF63BE7B"/>
      </colorScale>
    </cfRule>
  </conditionalFormatting>
  <conditionalFormatting sqref="AZ223:BT223">
    <cfRule type="colorScale" priority="520">
      <colorScale>
        <cfvo type="min"/>
        <cfvo type="max"/>
        <color rgb="FFFCFCFF"/>
        <color rgb="FF63BE7B"/>
      </colorScale>
    </cfRule>
  </conditionalFormatting>
  <conditionalFormatting sqref="AZ225:BT225">
    <cfRule type="colorScale" priority="519">
      <colorScale>
        <cfvo type="min"/>
        <cfvo type="max"/>
        <color rgb="FFFCFCFF"/>
        <color rgb="FF63BE7B"/>
      </colorScale>
    </cfRule>
  </conditionalFormatting>
  <conditionalFormatting sqref="AZ227:BT227">
    <cfRule type="colorScale" priority="518">
      <colorScale>
        <cfvo type="min"/>
        <cfvo type="max"/>
        <color rgb="FFFCFCFF"/>
        <color rgb="FF63BE7B"/>
      </colorScale>
    </cfRule>
  </conditionalFormatting>
  <conditionalFormatting sqref="AZ229:BT229">
    <cfRule type="colorScale" priority="517">
      <colorScale>
        <cfvo type="min"/>
        <cfvo type="max"/>
        <color rgb="FFFCFCFF"/>
        <color rgb="FF63BE7B"/>
      </colorScale>
    </cfRule>
  </conditionalFormatting>
  <conditionalFormatting sqref="AZ231:BT231">
    <cfRule type="colorScale" priority="516">
      <colorScale>
        <cfvo type="min"/>
        <cfvo type="max"/>
        <color rgb="FFFCFCFF"/>
        <color rgb="FF63BE7B"/>
      </colorScale>
    </cfRule>
  </conditionalFormatting>
  <conditionalFormatting sqref="AZ233:BT233">
    <cfRule type="colorScale" priority="515">
      <colorScale>
        <cfvo type="min"/>
        <cfvo type="max"/>
        <color rgb="FFFCFCFF"/>
        <color rgb="FF63BE7B"/>
      </colorScale>
    </cfRule>
  </conditionalFormatting>
  <conditionalFormatting sqref="AZ235:BT235">
    <cfRule type="colorScale" priority="514">
      <colorScale>
        <cfvo type="min"/>
        <cfvo type="max"/>
        <color rgb="FFFCFCFF"/>
        <color rgb="FF63BE7B"/>
      </colorScale>
    </cfRule>
  </conditionalFormatting>
  <conditionalFormatting sqref="AZ237:BT237">
    <cfRule type="colorScale" priority="513">
      <colorScale>
        <cfvo type="min"/>
        <cfvo type="max"/>
        <color rgb="FFFCFCFF"/>
        <color rgb="FF63BE7B"/>
      </colorScale>
    </cfRule>
  </conditionalFormatting>
  <conditionalFormatting sqref="AZ239:BT239">
    <cfRule type="colorScale" priority="512">
      <colorScale>
        <cfvo type="min"/>
        <cfvo type="max"/>
        <color rgb="FFFCFCFF"/>
        <color rgb="FF63BE7B"/>
      </colorScale>
    </cfRule>
  </conditionalFormatting>
  <conditionalFormatting sqref="AZ241:BT241">
    <cfRule type="colorScale" priority="511">
      <colorScale>
        <cfvo type="min"/>
        <cfvo type="max"/>
        <color rgb="FFFCFCFF"/>
        <color rgb="FF63BE7B"/>
      </colorScale>
    </cfRule>
  </conditionalFormatting>
  <conditionalFormatting sqref="AZ243:BT243">
    <cfRule type="colorScale" priority="510">
      <colorScale>
        <cfvo type="min"/>
        <cfvo type="max"/>
        <color rgb="FFFCFCFF"/>
        <color rgb="FF63BE7B"/>
      </colorScale>
    </cfRule>
  </conditionalFormatting>
  <conditionalFormatting sqref="AZ245:BT245">
    <cfRule type="colorScale" priority="509">
      <colorScale>
        <cfvo type="min"/>
        <cfvo type="max"/>
        <color rgb="FFFCFCFF"/>
        <color rgb="FF63BE7B"/>
      </colorScale>
    </cfRule>
  </conditionalFormatting>
  <conditionalFormatting sqref="AZ247:BT247">
    <cfRule type="colorScale" priority="508">
      <colorScale>
        <cfvo type="min"/>
        <cfvo type="max"/>
        <color rgb="FFFCFCFF"/>
        <color rgb="FF63BE7B"/>
      </colorScale>
    </cfRule>
  </conditionalFormatting>
  <conditionalFormatting sqref="AZ249:BT249">
    <cfRule type="colorScale" priority="507">
      <colorScale>
        <cfvo type="min"/>
        <cfvo type="max"/>
        <color rgb="FFFCFCFF"/>
        <color rgb="FF63BE7B"/>
      </colorScale>
    </cfRule>
  </conditionalFormatting>
  <conditionalFormatting sqref="AZ251:BT251">
    <cfRule type="colorScale" priority="506">
      <colorScale>
        <cfvo type="min"/>
        <cfvo type="max"/>
        <color rgb="FFFCFCFF"/>
        <color rgb="FF63BE7B"/>
      </colorScale>
    </cfRule>
  </conditionalFormatting>
  <conditionalFormatting sqref="AZ253:BT253">
    <cfRule type="colorScale" priority="505">
      <colorScale>
        <cfvo type="min"/>
        <cfvo type="max"/>
        <color rgb="FFFCFCFF"/>
        <color rgb="FF63BE7B"/>
      </colorScale>
    </cfRule>
  </conditionalFormatting>
  <conditionalFormatting sqref="AZ255:BT255">
    <cfRule type="colorScale" priority="504">
      <colorScale>
        <cfvo type="min"/>
        <cfvo type="max"/>
        <color rgb="FFFCFCFF"/>
        <color rgb="FF63BE7B"/>
      </colorScale>
    </cfRule>
  </conditionalFormatting>
  <conditionalFormatting sqref="AZ257:BT257">
    <cfRule type="colorScale" priority="503">
      <colorScale>
        <cfvo type="min"/>
        <cfvo type="max"/>
        <color rgb="FFFCFCFF"/>
        <color rgb="FF63BE7B"/>
      </colorScale>
    </cfRule>
  </conditionalFormatting>
  <conditionalFormatting sqref="AZ259:BT259">
    <cfRule type="colorScale" priority="502">
      <colorScale>
        <cfvo type="min"/>
        <cfvo type="max"/>
        <color rgb="FFFCFCFF"/>
        <color rgb="FF63BE7B"/>
      </colorScale>
    </cfRule>
  </conditionalFormatting>
  <conditionalFormatting sqref="AZ261:BT261">
    <cfRule type="colorScale" priority="501">
      <colorScale>
        <cfvo type="min"/>
        <cfvo type="max"/>
        <color rgb="FFFCFCFF"/>
        <color rgb="FF63BE7B"/>
      </colorScale>
    </cfRule>
  </conditionalFormatting>
  <conditionalFormatting sqref="AZ263:BT263">
    <cfRule type="colorScale" priority="500">
      <colorScale>
        <cfvo type="min"/>
        <cfvo type="max"/>
        <color rgb="FFFCFCFF"/>
        <color rgb="FF63BE7B"/>
      </colorScale>
    </cfRule>
  </conditionalFormatting>
  <conditionalFormatting sqref="AZ265:BT265">
    <cfRule type="colorScale" priority="499">
      <colorScale>
        <cfvo type="min"/>
        <cfvo type="max"/>
        <color rgb="FFFCFCFF"/>
        <color rgb="FF63BE7B"/>
      </colorScale>
    </cfRule>
  </conditionalFormatting>
  <conditionalFormatting sqref="AZ267:BT267">
    <cfRule type="colorScale" priority="498">
      <colorScale>
        <cfvo type="min"/>
        <cfvo type="max"/>
        <color rgb="FFFCFCFF"/>
        <color rgb="FF63BE7B"/>
      </colorScale>
    </cfRule>
  </conditionalFormatting>
  <conditionalFormatting sqref="AZ269:BT269">
    <cfRule type="colorScale" priority="497">
      <colorScale>
        <cfvo type="min"/>
        <cfvo type="max"/>
        <color rgb="FFFCFCFF"/>
        <color rgb="FF63BE7B"/>
      </colorScale>
    </cfRule>
  </conditionalFormatting>
  <conditionalFormatting sqref="AZ271:BT271">
    <cfRule type="colorScale" priority="496">
      <colorScale>
        <cfvo type="min"/>
        <cfvo type="max"/>
        <color rgb="FFFCFCFF"/>
        <color rgb="FF63BE7B"/>
      </colorScale>
    </cfRule>
  </conditionalFormatting>
  <conditionalFormatting sqref="AZ273:BT273">
    <cfRule type="colorScale" priority="495">
      <colorScale>
        <cfvo type="min"/>
        <cfvo type="max"/>
        <color rgb="FFFCFCFF"/>
        <color rgb="FF63BE7B"/>
      </colorScale>
    </cfRule>
  </conditionalFormatting>
  <conditionalFormatting sqref="AZ275:BT275">
    <cfRule type="colorScale" priority="494">
      <colorScale>
        <cfvo type="min"/>
        <cfvo type="max"/>
        <color rgb="FFFCFCFF"/>
        <color rgb="FF63BE7B"/>
      </colorScale>
    </cfRule>
  </conditionalFormatting>
  <conditionalFormatting sqref="AZ277:BT277">
    <cfRule type="colorScale" priority="493">
      <colorScale>
        <cfvo type="min"/>
        <cfvo type="max"/>
        <color rgb="FFFCFCFF"/>
        <color rgb="FF63BE7B"/>
      </colorScale>
    </cfRule>
  </conditionalFormatting>
  <conditionalFormatting sqref="AZ279:BT279">
    <cfRule type="colorScale" priority="492">
      <colorScale>
        <cfvo type="min"/>
        <cfvo type="max"/>
        <color rgb="FFFCFCFF"/>
        <color rgb="FF63BE7B"/>
      </colorScale>
    </cfRule>
  </conditionalFormatting>
  <conditionalFormatting sqref="AZ281:BT281">
    <cfRule type="colorScale" priority="491">
      <colorScale>
        <cfvo type="min"/>
        <cfvo type="max"/>
        <color rgb="FFFCFCFF"/>
        <color rgb="FF63BE7B"/>
      </colorScale>
    </cfRule>
  </conditionalFormatting>
  <conditionalFormatting sqref="AZ283:BT283">
    <cfRule type="colorScale" priority="490">
      <colorScale>
        <cfvo type="min"/>
        <cfvo type="max"/>
        <color rgb="FFFCFCFF"/>
        <color rgb="FF63BE7B"/>
      </colorScale>
    </cfRule>
  </conditionalFormatting>
  <conditionalFormatting sqref="AZ285:BT285">
    <cfRule type="colorScale" priority="489">
      <colorScale>
        <cfvo type="min"/>
        <cfvo type="max"/>
        <color rgb="FFFCFCFF"/>
        <color rgb="FF63BE7B"/>
      </colorScale>
    </cfRule>
  </conditionalFormatting>
  <conditionalFormatting sqref="AZ287:BT287">
    <cfRule type="colorScale" priority="488">
      <colorScale>
        <cfvo type="min"/>
        <cfvo type="max"/>
        <color rgb="FFFCFCFF"/>
        <color rgb="FF63BE7B"/>
      </colorScale>
    </cfRule>
  </conditionalFormatting>
  <conditionalFormatting sqref="AZ289:BT289">
    <cfRule type="colorScale" priority="487">
      <colorScale>
        <cfvo type="min"/>
        <cfvo type="max"/>
        <color rgb="FFFCFCFF"/>
        <color rgb="FF63BE7B"/>
      </colorScale>
    </cfRule>
  </conditionalFormatting>
  <conditionalFormatting sqref="AZ291:BT291">
    <cfRule type="colorScale" priority="486">
      <colorScale>
        <cfvo type="min"/>
        <cfvo type="max"/>
        <color rgb="FFFCFCFF"/>
        <color rgb="FF63BE7B"/>
      </colorScale>
    </cfRule>
  </conditionalFormatting>
  <conditionalFormatting sqref="AZ293:BT293">
    <cfRule type="colorScale" priority="485">
      <colorScale>
        <cfvo type="min"/>
        <cfvo type="max"/>
        <color rgb="FFFCFCFF"/>
        <color rgb="FF63BE7B"/>
      </colorScale>
    </cfRule>
  </conditionalFormatting>
  <conditionalFormatting sqref="AZ295:BT295">
    <cfRule type="colorScale" priority="484">
      <colorScale>
        <cfvo type="min"/>
        <cfvo type="max"/>
        <color rgb="FFFCFCFF"/>
        <color rgb="FF63BE7B"/>
      </colorScale>
    </cfRule>
  </conditionalFormatting>
  <conditionalFormatting sqref="AZ297:BT297">
    <cfRule type="colorScale" priority="483">
      <colorScale>
        <cfvo type="min"/>
        <cfvo type="max"/>
        <color rgb="FFFCFCFF"/>
        <color rgb="FF63BE7B"/>
      </colorScale>
    </cfRule>
  </conditionalFormatting>
  <conditionalFormatting sqref="AZ299:BT299">
    <cfRule type="colorScale" priority="482">
      <colorScale>
        <cfvo type="min"/>
        <cfvo type="max"/>
        <color rgb="FFFCFCFF"/>
        <color rgb="FF63BE7B"/>
      </colorScale>
    </cfRule>
  </conditionalFormatting>
  <conditionalFormatting sqref="AZ301:BT301">
    <cfRule type="colorScale" priority="481">
      <colorScale>
        <cfvo type="min"/>
        <cfvo type="max"/>
        <color rgb="FFFCFCFF"/>
        <color rgb="FF63BE7B"/>
      </colorScale>
    </cfRule>
  </conditionalFormatting>
  <conditionalFormatting sqref="AZ303:BT303">
    <cfRule type="colorScale" priority="480">
      <colorScale>
        <cfvo type="min"/>
        <cfvo type="max"/>
        <color rgb="FFFCFCFF"/>
        <color rgb="FF63BE7B"/>
      </colorScale>
    </cfRule>
  </conditionalFormatting>
  <conditionalFormatting sqref="AZ305:BT305">
    <cfRule type="colorScale" priority="479">
      <colorScale>
        <cfvo type="min"/>
        <cfvo type="max"/>
        <color rgb="FFFCFCFF"/>
        <color rgb="FF63BE7B"/>
      </colorScale>
    </cfRule>
  </conditionalFormatting>
  <conditionalFormatting sqref="AZ307:BT307">
    <cfRule type="colorScale" priority="478">
      <colorScale>
        <cfvo type="min"/>
        <cfvo type="max"/>
        <color rgb="FFFCFCFF"/>
        <color rgb="FF63BE7B"/>
      </colorScale>
    </cfRule>
  </conditionalFormatting>
  <conditionalFormatting sqref="AZ309:BT309">
    <cfRule type="colorScale" priority="477">
      <colorScale>
        <cfvo type="min"/>
        <cfvo type="max"/>
        <color rgb="FFFCFCFF"/>
        <color rgb="FF63BE7B"/>
      </colorScale>
    </cfRule>
  </conditionalFormatting>
  <conditionalFormatting sqref="AZ311:BT311">
    <cfRule type="colorScale" priority="476">
      <colorScale>
        <cfvo type="min"/>
        <cfvo type="max"/>
        <color rgb="FFFCFCFF"/>
        <color rgb="FF63BE7B"/>
      </colorScale>
    </cfRule>
  </conditionalFormatting>
  <conditionalFormatting sqref="AZ313:BT313">
    <cfRule type="colorScale" priority="475">
      <colorScale>
        <cfvo type="min"/>
        <cfvo type="max"/>
        <color rgb="FFFCFCFF"/>
        <color rgb="FF63BE7B"/>
      </colorScale>
    </cfRule>
  </conditionalFormatting>
  <conditionalFormatting sqref="AZ315:BT315">
    <cfRule type="colorScale" priority="474">
      <colorScale>
        <cfvo type="min"/>
        <cfvo type="max"/>
        <color rgb="FFFCFCFF"/>
        <color rgb="FF63BE7B"/>
      </colorScale>
    </cfRule>
  </conditionalFormatting>
  <conditionalFormatting sqref="AZ317:BT317">
    <cfRule type="colorScale" priority="473">
      <colorScale>
        <cfvo type="min"/>
        <cfvo type="max"/>
        <color rgb="FFFCFCFF"/>
        <color rgb="FF63BE7B"/>
      </colorScale>
    </cfRule>
  </conditionalFormatting>
  <conditionalFormatting sqref="AZ319:BT319">
    <cfRule type="colorScale" priority="472">
      <colorScale>
        <cfvo type="min"/>
        <cfvo type="max"/>
        <color rgb="FFFCFCFF"/>
        <color rgb="FF63BE7B"/>
      </colorScale>
    </cfRule>
  </conditionalFormatting>
  <conditionalFormatting sqref="AZ321:BT321">
    <cfRule type="colorScale" priority="471">
      <colorScale>
        <cfvo type="min"/>
        <cfvo type="max"/>
        <color rgb="FFFCFCFF"/>
        <color rgb="FF63BE7B"/>
      </colorScale>
    </cfRule>
  </conditionalFormatting>
  <conditionalFormatting sqref="AZ323:BT323">
    <cfRule type="colorScale" priority="470">
      <colorScale>
        <cfvo type="min"/>
        <cfvo type="max"/>
        <color rgb="FFFCFCFF"/>
        <color rgb="FF63BE7B"/>
      </colorScale>
    </cfRule>
  </conditionalFormatting>
  <conditionalFormatting sqref="AZ325:BT325">
    <cfRule type="colorScale" priority="469">
      <colorScale>
        <cfvo type="min"/>
        <cfvo type="max"/>
        <color rgb="FFFCFCFF"/>
        <color rgb="FF63BE7B"/>
      </colorScale>
    </cfRule>
  </conditionalFormatting>
  <conditionalFormatting sqref="AZ327:BT327">
    <cfRule type="colorScale" priority="468">
      <colorScale>
        <cfvo type="min"/>
        <cfvo type="max"/>
        <color rgb="FFFCFCFF"/>
        <color rgb="FF63BE7B"/>
      </colorScale>
    </cfRule>
  </conditionalFormatting>
  <conditionalFormatting sqref="AZ329:BT329">
    <cfRule type="colorScale" priority="467">
      <colorScale>
        <cfvo type="min"/>
        <cfvo type="max"/>
        <color rgb="FFFCFCFF"/>
        <color rgb="FF63BE7B"/>
      </colorScale>
    </cfRule>
  </conditionalFormatting>
  <conditionalFormatting sqref="AZ331:BT331">
    <cfRule type="colorScale" priority="466">
      <colorScale>
        <cfvo type="min"/>
        <cfvo type="max"/>
        <color rgb="FFFCFCFF"/>
        <color rgb="FF63BE7B"/>
      </colorScale>
    </cfRule>
  </conditionalFormatting>
  <conditionalFormatting sqref="AZ333:BT333">
    <cfRule type="colorScale" priority="465">
      <colorScale>
        <cfvo type="min"/>
        <cfvo type="max"/>
        <color rgb="FFFCFCFF"/>
        <color rgb="FF63BE7B"/>
      </colorScale>
    </cfRule>
  </conditionalFormatting>
  <conditionalFormatting sqref="AZ335:BT335">
    <cfRule type="colorScale" priority="464">
      <colorScale>
        <cfvo type="min"/>
        <cfvo type="max"/>
        <color rgb="FFFCFCFF"/>
        <color rgb="FF63BE7B"/>
      </colorScale>
    </cfRule>
  </conditionalFormatting>
  <conditionalFormatting sqref="AZ337:BT337">
    <cfRule type="colorScale" priority="463">
      <colorScale>
        <cfvo type="min"/>
        <cfvo type="max"/>
        <color rgb="FFFCFCFF"/>
        <color rgb="FF63BE7B"/>
      </colorScale>
    </cfRule>
  </conditionalFormatting>
  <conditionalFormatting sqref="AZ339:BT339">
    <cfRule type="colorScale" priority="462">
      <colorScale>
        <cfvo type="min"/>
        <cfvo type="max"/>
        <color rgb="FFFCFCFF"/>
        <color rgb="FF63BE7B"/>
      </colorScale>
    </cfRule>
  </conditionalFormatting>
  <conditionalFormatting sqref="AZ341:BT341">
    <cfRule type="colorScale" priority="461">
      <colorScale>
        <cfvo type="min"/>
        <cfvo type="max"/>
        <color rgb="FFFCFCFF"/>
        <color rgb="FF63BE7B"/>
      </colorScale>
    </cfRule>
  </conditionalFormatting>
  <conditionalFormatting sqref="AZ343:BT343">
    <cfRule type="colorScale" priority="460">
      <colorScale>
        <cfvo type="min"/>
        <cfvo type="max"/>
        <color rgb="FFFCFCFF"/>
        <color rgb="FF63BE7B"/>
      </colorScale>
    </cfRule>
  </conditionalFormatting>
  <conditionalFormatting sqref="AZ345:BT345">
    <cfRule type="colorScale" priority="459">
      <colorScale>
        <cfvo type="min"/>
        <cfvo type="max"/>
        <color rgb="FFFCFCFF"/>
        <color rgb="FF63BE7B"/>
      </colorScale>
    </cfRule>
  </conditionalFormatting>
  <conditionalFormatting sqref="AZ347:BT347">
    <cfRule type="colorScale" priority="458">
      <colorScale>
        <cfvo type="min"/>
        <cfvo type="max"/>
        <color rgb="FFFCFCFF"/>
        <color rgb="FF63BE7B"/>
      </colorScale>
    </cfRule>
  </conditionalFormatting>
  <conditionalFormatting sqref="AZ349:BT349">
    <cfRule type="colorScale" priority="457">
      <colorScale>
        <cfvo type="min"/>
        <cfvo type="max"/>
        <color rgb="FFFCFCFF"/>
        <color rgb="FF63BE7B"/>
      </colorScale>
    </cfRule>
  </conditionalFormatting>
  <conditionalFormatting sqref="AZ351:BT351">
    <cfRule type="colorScale" priority="456">
      <colorScale>
        <cfvo type="min"/>
        <cfvo type="max"/>
        <color rgb="FFFCFCFF"/>
        <color rgb="FF63BE7B"/>
      </colorScale>
    </cfRule>
  </conditionalFormatting>
  <conditionalFormatting sqref="AZ353:BT353">
    <cfRule type="colorScale" priority="455">
      <colorScale>
        <cfvo type="min"/>
        <cfvo type="max"/>
        <color rgb="FFFCFCFF"/>
        <color rgb="FF63BE7B"/>
      </colorScale>
    </cfRule>
  </conditionalFormatting>
  <conditionalFormatting sqref="AZ355:BT355">
    <cfRule type="colorScale" priority="454">
      <colorScale>
        <cfvo type="min"/>
        <cfvo type="max"/>
        <color rgb="FFFCFCFF"/>
        <color rgb="FF63BE7B"/>
      </colorScale>
    </cfRule>
  </conditionalFormatting>
  <conditionalFormatting sqref="AZ357:BT357">
    <cfRule type="colorScale" priority="453">
      <colorScale>
        <cfvo type="min"/>
        <cfvo type="max"/>
        <color rgb="FFFCFCFF"/>
        <color rgb="FF63BE7B"/>
      </colorScale>
    </cfRule>
  </conditionalFormatting>
  <conditionalFormatting sqref="AZ359:BT359">
    <cfRule type="colorScale" priority="452">
      <colorScale>
        <cfvo type="min"/>
        <cfvo type="max"/>
        <color rgb="FFFCFCFF"/>
        <color rgb="FF63BE7B"/>
      </colorScale>
    </cfRule>
  </conditionalFormatting>
  <conditionalFormatting sqref="AZ361:BT361">
    <cfRule type="colorScale" priority="451">
      <colorScale>
        <cfvo type="min"/>
        <cfvo type="max"/>
        <color rgb="FFFCFCFF"/>
        <color rgb="FF63BE7B"/>
      </colorScale>
    </cfRule>
  </conditionalFormatting>
  <conditionalFormatting sqref="AZ363:BT363">
    <cfRule type="colorScale" priority="450">
      <colorScale>
        <cfvo type="min"/>
        <cfvo type="max"/>
        <color rgb="FFFCFCFF"/>
        <color rgb="FF63BE7B"/>
      </colorScale>
    </cfRule>
  </conditionalFormatting>
  <conditionalFormatting sqref="AZ365:BT365">
    <cfRule type="colorScale" priority="449">
      <colorScale>
        <cfvo type="min"/>
        <cfvo type="max"/>
        <color rgb="FFFCFCFF"/>
        <color rgb="FF63BE7B"/>
      </colorScale>
    </cfRule>
  </conditionalFormatting>
  <conditionalFormatting sqref="AZ367:BT367">
    <cfRule type="colorScale" priority="448">
      <colorScale>
        <cfvo type="min"/>
        <cfvo type="max"/>
        <color rgb="FFFCFCFF"/>
        <color rgb="FF63BE7B"/>
      </colorScale>
    </cfRule>
  </conditionalFormatting>
  <conditionalFormatting sqref="AZ369:BT369">
    <cfRule type="colorScale" priority="447">
      <colorScale>
        <cfvo type="min"/>
        <cfvo type="max"/>
        <color rgb="FFFCFCFF"/>
        <color rgb="FF63BE7B"/>
      </colorScale>
    </cfRule>
  </conditionalFormatting>
  <conditionalFormatting sqref="AZ371:BT371">
    <cfRule type="colorScale" priority="446">
      <colorScale>
        <cfvo type="min"/>
        <cfvo type="max"/>
        <color rgb="FFFCFCFF"/>
        <color rgb="FF63BE7B"/>
      </colorScale>
    </cfRule>
  </conditionalFormatting>
  <conditionalFormatting sqref="AZ373:BT373">
    <cfRule type="colorScale" priority="445">
      <colorScale>
        <cfvo type="min"/>
        <cfvo type="max"/>
        <color rgb="FFFCFCFF"/>
        <color rgb="FF63BE7B"/>
      </colorScale>
    </cfRule>
  </conditionalFormatting>
  <conditionalFormatting sqref="AZ375:BT375">
    <cfRule type="colorScale" priority="444">
      <colorScale>
        <cfvo type="min"/>
        <cfvo type="max"/>
        <color rgb="FFFCFCFF"/>
        <color rgb="FF63BE7B"/>
      </colorScale>
    </cfRule>
  </conditionalFormatting>
  <conditionalFormatting sqref="AZ377:BT377">
    <cfRule type="colorScale" priority="443">
      <colorScale>
        <cfvo type="min"/>
        <cfvo type="max"/>
        <color rgb="FFFCFCFF"/>
        <color rgb="FF63BE7B"/>
      </colorScale>
    </cfRule>
  </conditionalFormatting>
  <conditionalFormatting sqref="AZ379:BT379">
    <cfRule type="colorScale" priority="442">
      <colorScale>
        <cfvo type="min"/>
        <cfvo type="max"/>
        <color rgb="FFFCFCFF"/>
        <color rgb="FF63BE7B"/>
      </colorScale>
    </cfRule>
  </conditionalFormatting>
  <conditionalFormatting sqref="AZ381:BT381">
    <cfRule type="colorScale" priority="441">
      <colorScale>
        <cfvo type="min"/>
        <cfvo type="max"/>
        <color rgb="FFFCFCFF"/>
        <color rgb="FF63BE7B"/>
      </colorScale>
    </cfRule>
  </conditionalFormatting>
  <conditionalFormatting sqref="AZ383:BT383">
    <cfRule type="colorScale" priority="440">
      <colorScale>
        <cfvo type="min"/>
        <cfvo type="max"/>
        <color rgb="FFFCFCFF"/>
        <color rgb="FF63BE7B"/>
      </colorScale>
    </cfRule>
  </conditionalFormatting>
  <conditionalFormatting sqref="AZ385:BT385">
    <cfRule type="colorScale" priority="439">
      <colorScale>
        <cfvo type="min"/>
        <cfvo type="max"/>
        <color rgb="FFFCFCFF"/>
        <color rgb="FF63BE7B"/>
      </colorScale>
    </cfRule>
  </conditionalFormatting>
  <conditionalFormatting sqref="AZ387:BT387">
    <cfRule type="colorScale" priority="438">
      <colorScale>
        <cfvo type="min"/>
        <cfvo type="max"/>
        <color rgb="FFFCFCFF"/>
        <color rgb="FF63BE7B"/>
      </colorScale>
    </cfRule>
  </conditionalFormatting>
  <conditionalFormatting sqref="AZ389:BT389">
    <cfRule type="colorScale" priority="437">
      <colorScale>
        <cfvo type="min"/>
        <cfvo type="max"/>
        <color rgb="FFFCFCFF"/>
        <color rgb="FF63BE7B"/>
      </colorScale>
    </cfRule>
  </conditionalFormatting>
  <conditionalFormatting sqref="AZ391:BT391">
    <cfRule type="colorScale" priority="436">
      <colorScale>
        <cfvo type="min"/>
        <cfvo type="max"/>
        <color rgb="FFFCFCFF"/>
        <color rgb="FF63BE7B"/>
      </colorScale>
    </cfRule>
  </conditionalFormatting>
  <conditionalFormatting sqref="AZ393:BT393">
    <cfRule type="colorScale" priority="435">
      <colorScale>
        <cfvo type="min"/>
        <cfvo type="max"/>
        <color rgb="FFFCFCFF"/>
        <color rgb="FF63BE7B"/>
      </colorScale>
    </cfRule>
  </conditionalFormatting>
  <conditionalFormatting sqref="AZ395:BT395">
    <cfRule type="colorScale" priority="434">
      <colorScale>
        <cfvo type="min"/>
        <cfvo type="max"/>
        <color rgb="FFFCFCFF"/>
        <color rgb="FF63BE7B"/>
      </colorScale>
    </cfRule>
  </conditionalFormatting>
  <conditionalFormatting sqref="AZ397:BT397">
    <cfRule type="colorScale" priority="433">
      <colorScale>
        <cfvo type="min"/>
        <cfvo type="max"/>
        <color rgb="FFFCFCFF"/>
        <color rgb="FF63BE7B"/>
      </colorScale>
    </cfRule>
  </conditionalFormatting>
  <conditionalFormatting sqref="AZ399:BT399">
    <cfRule type="colorScale" priority="432">
      <colorScale>
        <cfvo type="min"/>
        <cfvo type="max"/>
        <color rgb="FFFCFCFF"/>
        <color rgb="FF63BE7B"/>
      </colorScale>
    </cfRule>
  </conditionalFormatting>
  <conditionalFormatting sqref="AZ401:BT401">
    <cfRule type="colorScale" priority="431">
      <colorScale>
        <cfvo type="min"/>
        <cfvo type="max"/>
        <color rgb="FFFCFCFF"/>
        <color rgb="FF63BE7B"/>
      </colorScale>
    </cfRule>
  </conditionalFormatting>
  <conditionalFormatting sqref="AZ403:BT403">
    <cfRule type="colorScale" priority="430">
      <colorScale>
        <cfvo type="min"/>
        <cfvo type="max"/>
        <color rgb="FFFCFCFF"/>
        <color rgb="FF63BE7B"/>
      </colorScale>
    </cfRule>
  </conditionalFormatting>
  <conditionalFormatting sqref="AZ405:BT405">
    <cfRule type="colorScale" priority="429">
      <colorScale>
        <cfvo type="min"/>
        <cfvo type="max"/>
        <color rgb="FFFCFCFF"/>
        <color rgb="FF63BE7B"/>
      </colorScale>
    </cfRule>
  </conditionalFormatting>
  <conditionalFormatting sqref="AZ407:BT407">
    <cfRule type="colorScale" priority="428">
      <colorScale>
        <cfvo type="min"/>
        <cfvo type="max"/>
        <color rgb="FFFCFCFF"/>
        <color rgb="FF63BE7B"/>
      </colorScale>
    </cfRule>
  </conditionalFormatting>
  <conditionalFormatting sqref="AZ409:BT409">
    <cfRule type="colorScale" priority="427">
      <colorScale>
        <cfvo type="min"/>
        <cfvo type="max"/>
        <color rgb="FFFCFCFF"/>
        <color rgb="FF63BE7B"/>
      </colorScale>
    </cfRule>
  </conditionalFormatting>
  <conditionalFormatting sqref="AZ411:BT411">
    <cfRule type="colorScale" priority="426">
      <colorScale>
        <cfvo type="min"/>
        <cfvo type="max"/>
        <color rgb="FFFCFCFF"/>
        <color rgb="FF63BE7B"/>
      </colorScale>
    </cfRule>
  </conditionalFormatting>
  <conditionalFormatting sqref="AZ413:BT413">
    <cfRule type="colorScale" priority="425">
      <colorScale>
        <cfvo type="min"/>
        <cfvo type="max"/>
        <color rgb="FFFCFCFF"/>
        <color rgb="FF63BE7B"/>
      </colorScale>
    </cfRule>
  </conditionalFormatting>
  <conditionalFormatting sqref="AZ415:BT415">
    <cfRule type="colorScale" priority="424">
      <colorScale>
        <cfvo type="min"/>
        <cfvo type="max"/>
        <color rgb="FFFCFCFF"/>
        <color rgb="FF63BE7B"/>
      </colorScale>
    </cfRule>
  </conditionalFormatting>
  <conditionalFormatting sqref="AZ417:BT417">
    <cfRule type="colorScale" priority="423">
      <colorScale>
        <cfvo type="min"/>
        <cfvo type="max"/>
        <color rgb="FFFCFCFF"/>
        <color rgb="FF63BE7B"/>
      </colorScale>
    </cfRule>
  </conditionalFormatting>
  <conditionalFormatting sqref="AZ419:BT419">
    <cfRule type="colorScale" priority="422">
      <colorScale>
        <cfvo type="min"/>
        <cfvo type="max"/>
        <color rgb="FFFCFCFF"/>
        <color rgb="FF63BE7B"/>
      </colorScale>
    </cfRule>
  </conditionalFormatting>
  <conditionalFormatting sqref="AZ421:BT421">
    <cfRule type="colorScale" priority="421">
      <colorScale>
        <cfvo type="min"/>
        <cfvo type="max"/>
        <color rgb="FFFCFCFF"/>
        <color rgb="FF63BE7B"/>
      </colorScale>
    </cfRule>
  </conditionalFormatting>
  <conditionalFormatting sqref="AZ423:BT423">
    <cfRule type="colorScale" priority="420">
      <colorScale>
        <cfvo type="min"/>
        <cfvo type="max"/>
        <color rgb="FFFCFCFF"/>
        <color rgb="FF63BE7B"/>
      </colorScale>
    </cfRule>
  </conditionalFormatting>
  <conditionalFormatting sqref="AZ425:BT425">
    <cfRule type="colorScale" priority="419">
      <colorScale>
        <cfvo type="min"/>
        <cfvo type="max"/>
        <color rgb="FFFCFCFF"/>
        <color rgb="FF63BE7B"/>
      </colorScale>
    </cfRule>
  </conditionalFormatting>
  <conditionalFormatting sqref="AZ427:BT427">
    <cfRule type="colorScale" priority="418">
      <colorScale>
        <cfvo type="min"/>
        <cfvo type="max"/>
        <color rgb="FFFCFCFF"/>
        <color rgb="FF63BE7B"/>
      </colorScale>
    </cfRule>
  </conditionalFormatting>
  <conditionalFormatting sqref="AZ429:BT429">
    <cfRule type="colorScale" priority="417">
      <colorScale>
        <cfvo type="min"/>
        <cfvo type="max"/>
        <color rgb="FFFCFCFF"/>
        <color rgb="FF63BE7B"/>
      </colorScale>
    </cfRule>
  </conditionalFormatting>
  <conditionalFormatting sqref="AZ431:BT431">
    <cfRule type="colorScale" priority="416">
      <colorScale>
        <cfvo type="min"/>
        <cfvo type="max"/>
        <color rgb="FFFCFCFF"/>
        <color rgb="FF63BE7B"/>
      </colorScale>
    </cfRule>
  </conditionalFormatting>
  <conditionalFormatting sqref="AZ433:BT433">
    <cfRule type="colorScale" priority="415">
      <colorScale>
        <cfvo type="min"/>
        <cfvo type="max"/>
        <color rgb="FFFCFCFF"/>
        <color rgb="FF63BE7B"/>
      </colorScale>
    </cfRule>
  </conditionalFormatting>
  <conditionalFormatting sqref="AZ435:BT435">
    <cfRule type="colorScale" priority="414">
      <colorScale>
        <cfvo type="min"/>
        <cfvo type="max"/>
        <color rgb="FFFCFCFF"/>
        <color rgb="FF63BE7B"/>
      </colorScale>
    </cfRule>
  </conditionalFormatting>
  <conditionalFormatting sqref="AZ437:BT437">
    <cfRule type="colorScale" priority="413">
      <colorScale>
        <cfvo type="min"/>
        <cfvo type="max"/>
        <color rgb="FFFCFCFF"/>
        <color rgb="FF63BE7B"/>
      </colorScale>
    </cfRule>
  </conditionalFormatting>
  <conditionalFormatting sqref="AZ439:BT439">
    <cfRule type="colorScale" priority="412">
      <colorScale>
        <cfvo type="min"/>
        <cfvo type="max"/>
        <color rgb="FFFCFCFF"/>
        <color rgb="FF63BE7B"/>
      </colorScale>
    </cfRule>
  </conditionalFormatting>
  <conditionalFormatting sqref="AZ441:BT441">
    <cfRule type="colorScale" priority="411">
      <colorScale>
        <cfvo type="min"/>
        <cfvo type="max"/>
        <color rgb="FFFCFCFF"/>
        <color rgb="FF63BE7B"/>
      </colorScale>
    </cfRule>
  </conditionalFormatting>
  <conditionalFormatting sqref="AZ443:BT443">
    <cfRule type="colorScale" priority="410">
      <colorScale>
        <cfvo type="min"/>
        <cfvo type="max"/>
        <color rgb="FFFCFCFF"/>
        <color rgb="FF63BE7B"/>
      </colorScale>
    </cfRule>
  </conditionalFormatting>
  <conditionalFormatting sqref="AZ445:BT445">
    <cfRule type="colorScale" priority="409">
      <colorScale>
        <cfvo type="min"/>
        <cfvo type="max"/>
        <color rgb="FFFCFCFF"/>
        <color rgb="FF63BE7B"/>
      </colorScale>
    </cfRule>
  </conditionalFormatting>
  <conditionalFormatting sqref="AZ447:BT447">
    <cfRule type="colorScale" priority="408">
      <colorScale>
        <cfvo type="min"/>
        <cfvo type="max"/>
        <color rgb="FFFCFCFF"/>
        <color rgb="FF63BE7B"/>
      </colorScale>
    </cfRule>
  </conditionalFormatting>
  <conditionalFormatting sqref="AZ449:BT449">
    <cfRule type="colorScale" priority="407">
      <colorScale>
        <cfvo type="min"/>
        <cfvo type="max"/>
        <color rgb="FFFCFCFF"/>
        <color rgb="FF63BE7B"/>
      </colorScale>
    </cfRule>
  </conditionalFormatting>
  <conditionalFormatting sqref="AZ451:BT451">
    <cfRule type="colorScale" priority="406">
      <colorScale>
        <cfvo type="min"/>
        <cfvo type="max"/>
        <color rgb="FFFCFCFF"/>
        <color rgb="FF63BE7B"/>
      </colorScale>
    </cfRule>
  </conditionalFormatting>
  <conditionalFormatting sqref="AZ453:BT453">
    <cfRule type="colorScale" priority="405">
      <colorScale>
        <cfvo type="min"/>
        <cfvo type="max"/>
        <color rgb="FFFCFCFF"/>
        <color rgb="FF63BE7B"/>
      </colorScale>
    </cfRule>
  </conditionalFormatting>
  <conditionalFormatting sqref="AZ455:BT455">
    <cfRule type="colorScale" priority="404">
      <colorScale>
        <cfvo type="min"/>
        <cfvo type="max"/>
        <color rgb="FFFCFCFF"/>
        <color rgb="FF63BE7B"/>
      </colorScale>
    </cfRule>
  </conditionalFormatting>
  <conditionalFormatting sqref="AZ457:BT457">
    <cfRule type="colorScale" priority="403">
      <colorScale>
        <cfvo type="min"/>
        <cfvo type="max"/>
        <color rgb="FFFCFCFF"/>
        <color rgb="FF63BE7B"/>
      </colorScale>
    </cfRule>
  </conditionalFormatting>
  <conditionalFormatting sqref="AZ459:BT459">
    <cfRule type="colorScale" priority="402">
      <colorScale>
        <cfvo type="min"/>
        <cfvo type="max"/>
        <color rgb="FFFCFCFF"/>
        <color rgb="FF63BE7B"/>
      </colorScale>
    </cfRule>
  </conditionalFormatting>
  <conditionalFormatting sqref="AZ461:BT461">
    <cfRule type="colorScale" priority="401">
      <colorScale>
        <cfvo type="min"/>
        <cfvo type="max"/>
        <color rgb="FFFCFCFF"/>
        <color rgb="FF63BE7B"/>
      </colorScale>
    </cfRule>
  </conditionalFormatting>
  <conditionalFormatting sqref="AZ463:BT463">
    <cfRule type="colorScale" priority="400">
      <colorScale>
        <cfvo type="min"/>
        <cfvo type="max"/>
        <color rgb="FFFCFCFF"/>
        <color rgb="FF63BE7B"/>
      </colorScale>
    </cfRule>
  </conditionalFormatting>
  <conditionalFormatting sqref="AZ465:BT465">
    <cfRule type="colorScale" priority="399">
      <colorScale>
        <cfvo type="min"/>
        <cfvo type="max"/>
        <color rgb="FFFCFCFF"/>
        <color rgb="FF63BE7B"/>
      </colorScale>
    </cfRule>
  </conditionalFormatting>
  <conditionalFormatting sqref="AZ467:BT467">
    <cfRule type="colorScale" priority="398">
      <colorScale>
        <cfvo type="min"/>
        <cfvo type="max"/>
        <color rgb="FFFCFCFF"/>
        <color rgb="FF63BE7B"/>
      </colorScale>
    </cfRule>
  </conditionalFormatting>
  <conditionalFormatting sqref="AZ469:BT469">
    <cfRule type="colorScale" priority="397">
      <colorScale>
        <cfvo type="min"/>
        <cfvo type="max"/>
        <color rgb="FFFCFCFF"/>
        <color rgb="FF63BE7B"/>
      </colorScale>
    </cfRule>
  </conditionalFormatting>
  <conditionalFormatting sqref="AZ471:BT471">
    <cfRule type="colorScale" priority="396">
      <colorScale>
        <cfvo type="min"/>
        <cfvo type="max"/>
        <color rgb="FFFCFCFF"/>
        <color rgb="FF63BE7B"/>
      </colorScale>
    </cfRule>
  </conditionalFormatting>
  <conditionalFormatting sqref="AZ473:BT473">
    <cfRule type="colorScale" priority="395">
      <colorScale>
        <cfvo type="min"/>
        <cfvo type="max"/>
        <color rgb="FFFCFCFF"/>
        <color rgb="FF63BE7B"/>
      </colorScale>
    </cfRule>
  </conditionalFormatting>
  <conditionalFormatting sqref="AZ475:BT475">
    <cfRule type="colorScale" priority="394">
      <colorScale>
        <cfvo type="min"/>
        <cfvo type="max"/>
        <color rgb="FFFCFCFF"/>
        <color rgb="FF63BE7B"/>
      </colorScale>
    </cfRule>
  </conditionalFormatting>
  <conditionalFormatting sqref="AZ477:BT477">
    <cfRule type="colorScale" priority="393">
      <colorScale>
        <cfvo type="min"/>
        <cfvo type="max"/>
        <color rgb="FFFCFCFF"/>
        <color rgb="FF63BE7B"/>
      </colorScale>
    </cfRule>
  </conditionalFormatting>
  <conditionalFormatting sqref="AZ479:BT479">
    <cfRule type="colorScale" priority="392">
      <colorScale>
        <cfvo type="min"/>
        <cfvo type="max"/>
        <color rgb="FFFCFCFF"/>
        <color rgb="FF63BE7B"/>
      </colorScale>
    </cfRule>
  </conditionalFormatting>
  <conditionalFormatting sqref="AZ481:BT481">
    <cfRule type="colorScale" priority="391">
      <colorScale>
        <cfvo type="min"/>
        <cfvo type="max"/>
        <color rgb="FFFCFCFF"/>
        <color rgb="FF63BE7B"/>
      </colorScale>
    </cfRule>
  </conditionalFormatting>
  <conditionalFormatting sqref="AZ483:BT483">
    <cfRule type="colorScale" priority="390">
      <colorScale>
        <cfvo type="min"/>
        <cfvo type="max"/>
        <color rgb="FFFCFCFF"/>
        <color rgb="FF63BE7B"/>
      </colorScale>
    </cfRule>
  </conditionalFormatting>
  <conditionalFormatting sqref="AZ485:BT485">
    <cfRule type="colorScale" priority="389">
      <colorScale>
        <cfvo type="min"/>
        <cfvo type="max"/>
        <color rgb="FFFCFCFF"/>
        <color rgb="FF63BE7B"/>
      </colorScale>
    </cfRule>
  </conditionalFormatting>
  <conditionalFormatting sqref="AZ487:BT487">
    <cfRule type="colorScale" priority="388">
      <colorScale>
        <cfvo type="min"/>
        <cfvo type="max"/>
        <color rgb="FFFCFCFF"/>
        <color rgb="FF63BE7B"/>
      </colorScale>
    </cfRule>
  </conditionalFormatting>
  <conditionalFormatting sqref="AZ489:BT489">
    <cfRule type="colorScale" priority="387">
      <colorScale>
        <cfvo type="min"/>
        <cfvo type="max"/>
        <color rgb="FFFCFCFF"/>
        <color rgb="FF63BE7B"/>
      </colorScale>
    </cfRule>
  </conditionalFormatting>
  <conditionalFormatting sqref="AZ491:BT491">
    <cfRule type="colorScale" priority="386">
      <colorScale>
        <cfvo type="min"/>
        <cfvo type="max"/>
        <color rgb="FFFCFCFF"/>
        <color rgb="FF63BE7B"/>
      </colorScale>
    </cfRule>
  </conditionalFormatting>
  <conditionalFormatting sqref="AZ493:BT493">
    <cfRule type="colorScale" priority="385">
      <colorScale>
        <cfvo type="min"/>
        <cfvo type="max"/>
        <color rgb="FFFCFCFF"/>
        <color rgb="FF63BE7B"/>
      </colorScale>
    </cfRule>
  </conditionalFormatting>
  <conditionalFormatting sqref="AZ495:BT495">
    <cfRule type="colorScale" priority="384">
      <colorScale>
        <cfvo type="min"/>
        <cfvo type="max"/>
        <color rgb="FFFCFCFF"/>
        <color rgb="FF63BE7B"/>
      </colorScale>
    </cfRule>
  </conditionalFormatting>
  <conditionalFormatting sqref="AZ497:BT497">
    <cfRule type="colorScale" priority="383">
      <colorScale>
        <cfvo type="min"/>
        <cfvo type="max"/>
        <color rgb="FFFCFCFF"/>
        <color rgb="FF63BE7B"/>
      </colorScale>
    </cfRule>
  </conditionalFormatting>
  <conditionalFormatting sqref="AZ499:BT499">
    <cfRule type="colorScale" priority="382">
      <colorScale>
        <cfvo type="min"/>
        <cfvo type="max"/>
        <color rgb="FFFCFCFF"/>
        <color rgb="FF63BE7B"/>
      </colorScale>
    </cfRule>
  </conditionalFormatting>
  <conditionalFormatting sqref="AZ501:BT501">
    <cfRule type="colorScale" priority="381">
      <colorScale>
        <cfvo type="min"/>
        <cfvo type="max"/>
        <color rgb="FFFCFCFF"/>
        <color rgb="FF63BE7B"/>
      </colorScale>
    </cfRule>
  </conditionalFormatting>
  <conditionalFormatting sqref="AZ503:BT503">
    <cfRule type="colorScale" priority="380">
      <colorScale>
        <cfvo type="min"/>
        <cfvo type="max"/>
        <color rgb="FFFCFCFF"/>
        <color rgb="FF63BE7B"/>
      </colorScale>
    </cfRule>
  </conditionalFormatting>
  <conditionalFormatting sqref="AZ505:BT505">
    <cfRule type="colorScale" priority="379">
      <colorScale>
        <cfvo type="min"/>
        <cfvo type="max"/>
        <color rgb="FFFCFCFF"/>
        <color rgb="FF63BE7B"/>
      </colorScale>
    </cfRule>
  </conditionalFormatting>
  <conditionalFormatting sqref="AZ507:BT507">
    <cfRule type="colorScale" priority="378">
      <colorScale>
        <cfvo type="min"/>
        <cfvo type="max"/>
        <color rgb="FFFCFCFF"/>
        <color rgb="FF63BE7B"/>
      </colorScale>
    </cfRule>
  </conditionalFormatting>
  <conditionalFormatting sqref="AZ509:BT509">
    <cfRule type="colorScale" priority="377">
      <colorScale>
        <cfvo type="min"/>
        <cfvo type="max"/>
        <color rgb="FFFCFCFF"/>
        <color rgb="FF63BE7B"/>
      </colorScale>
    </cfRule>
  </conditionalFormatting>
  <conditionalFormatting sqref="AZ511:BT511">
    <cfRule type="colorScale" priority="376">
      <colorScale>
        <cfvo type="min"/>
        <cfvo type="max"/>
        <color rgb="FFFCFCFF"/>
        <color rgb="FF63BE7B"/>
      </colorScale>
    </cfRule>
  </conditionalFormatting>
  <conditionalFormatting sqref="AZ513:BT513">
    <cfRule type="colorScale" priority="375">
      <colorScale>
        <cfvo type="min"/>
        <cfvo type="max"/>
        <color rgb="FFFCFCFF"/>
        <color rgb="FF63BE7B"/>
      </colorScale>
    </cfRule>
  </conditionalFormatting>
  <conditionalFormatting sqref="AZ515:BT515">
    <cfRule type="colorScale" priority="374">
      <colorScale>
        <cfvo type="min"/>
        <cfvo type="max"/>
        <color rgb="FFFCFCFF"/>
        <color rgb="FF63BE7B"/>
      </colorScale>
    </cfRule>
  </conditionalFormatting>
  <conditionalFormatting sqref="AZ517:BT517">
    <cfRule type="colorScale" priority="373">
      <colorScale>
        <cfvo type="min"/>
        <cfvo type="max"/>
        <color rgb="FFFCFCFF"/>
        <color rgb="FF63BE7B"/>
      </colorScale>
    </cfRule>
  </conditionalFormatting>
  <conditionalFormatting sqref="AZ519:BT519">
    <cfRule type="colorScale" priority="372">
      <colorScale>
        <cfvo type="min"/>
        <cfvo type="max"/>
        <color rgb="FFFCFCFF"/>
        <color rgb="FF63BE7B"/>
      </colorScale>
    </cfRule>
  </conditionalFormatting>
  <conditionalFormatting sqref="AZ521:BT521">
    <cfRule type="colorScale" priority="371">
      <colorScale>
        <cfvo type="min"/>
        <cfvo type="max"/>
        <color rgb="FFFCFCFF"/>
        <color rgb="FF63BE7B"/>
      </colorScale>
    </cfRule>
  </conditionalFormatting>
  <conditionalFormatting sqref="AZ523:BT523">
    <cfRule type="colorScale" priority="370">
      <colorScale>
        <cfvo type="min"/>
        <cfvo type="max"/>
        <color rgb="FFFCFCFF"/>
        <color rgb="FF63BE7B"/>
      </colorScale>
    </cfRule>
  </conditionalFormatting>
  <conditionalFormatting sqref="AZ525:BT525">
    <cfRule type="colorScale" priority="369">
      <colorScale>
        <cfvo type="min"/>
        <cfvo type="max"/>
        <color rgb="FFFCFCFF"/>
        <color rgb="FF63BE7B"/>
      </colorScale>
    </cfRule>
  </conditionalFormatting>
  <conditionalFormatting sqref="AZ527:BT527">
    <cfRule type="colorScale" priority="368">
      <colorScale>
        <cfvo type="min"/>
        <cfvo type="max"/>
        <color rgb="FFFCFCFF"/>
        <color rgb="FF63BE7B"/>
      </colorScale>
    </cfRule>
  </conditionalFormatting>
  <conditionalFormatting sqref="AZ529:BT529">
    <cfRule type="colorScale" priority="367">
      <colorScale>
        <cfvo type="min"/>
        <cfvo type="max"/>
        <color rgb="FFFCFCFF"/>
        <color rgb="FF63BE7B"/>
      </colorScale>
    </cfRule>
  </conditionalFormatting>
  <conditionalFormatting sqref="AZ531:BT531">
    <cfRule type="colorScale" priority="366">
      <colorScale>
        <cfvo type="min"/>
        <cfvo type="max"/>
        <color rgb="FFFCFCFF"/>
        <color rgb="FF63BE7B"/>
      </colorScale>
    </cfRule>
  </conditionalFormatting>
  <conditionalFormatting sqref="AZ533:BT533">
    <cfRule type="colorScale" priority="365">
      <colorScale>
        <cfvo type="min"/>
        <cfvo type="max"/>
        <color rgb="FFFCFCFF"/>
        <color rgb="FF63BE7B"/>
      </colorScale>
    </cfRule>
  </conditionalFormatting>
  <conditionalFormatting sqref="AZ535:BT535">
    <cfRule type="colorScale" priority="364">
      <colorScale>
        <cfvo type="min"/>
        <cfvo type="max"/>
        <color rgb="FFFCFCFF"/>
        <color rgb="FF63BE7B"/>
      </colorScale>
    </cfRule>
  </conditionalFormatting>
  <conditionalFormatting sqref="AZ537:BT537">
    <cfRule type="colorScale" priority="363">
      <colorScale>
        <cfvo type="min"/>
        <cfvo type="max"/>
        <color rgb="FFFCFCFF"/>
        <color rgb="FF63BE7B"/>
      </colorScale>
    </cfRule>
  </conditionalFormatting>
  <conditionalFormatting sqref="AZ539:BT539">
    <cfRule type="colorScale" priority="362">
      <colorScale>
        <cfvo type="min"/>
        <cfvo type="max"/>
        <color rgb="FFFCFCFF"/>
        <color rgb="FF63BE7B"/>
      </colorScale>
    </cfRule>
  </conditionalFormatting>
  <conditionalFormatting sqref="AZ541:BT541">
    <cfRule type="colorScale" priority="361">
      <colorScale>
        <cfvo type="min"/>
        <cfvo type="max"/>
        <color rgb="FFFCFCFF"/>
        <color rgb="FF63BE7B"/>
      </colorScale>
    </cfRule>
  </conditionalFormatting>
  <conditionalFormatting sqref="AZ543:BT543">
    <cfRule type="colorScale" priority="360">
      <colorScale>
        <cfvo type="min"/>
        <cfvo type="max"/>
        <color rgb="FFFCFCFF"/>
        <color rgb="FF63BE7B"/>
      </colorScale>
    </cfRule>
  </conditionalFormatting>
  <conditionalFormatting sqref="AZ545:BT545">
    <cfRule type="colorScale" priority="359">
      <colorScale>
        <cfvo type="min"/>
        <cfvo type="max"/>
        <color rgb="FFFCFCFF"/>
        <color rgb="FF63BE7B"/>
      </colorScale>
    </cfRule>
  </conditionalFormatting>
  <conditionalFormatting sqref="AZ547:BT547">
    <cfRule type="colorScale" priority="358">
      <colorScale>
        <cfvo type="min"/>
        <cfvo type="max"/>
        <color rgb="FFFCFCFF"/>
        <color rgb="FF63BE7B"/>
      </colorScale>
    </cfRule>
  </conditionalFormatting>
  <conditionalFormatting sqref="AZ549:BT549">
    <cfRule type="colorScale" priority="357">
      <colorScale>
        <cfvo type="min"/>
        <cfvo type="max"/>
        <color rgb="FFFCFCFF"/>
        <color rgb="FF63BE7B"/>
      </colorScale>
    </cfRule>
  </conditionalFormatting>
  <conditionalFormatting sqref="AZ551:BT551">
    <cfRule type="colorScale" priority="356">
      <colorScale>
        <cfvo type="min"/>
        <cfvo type="max"/>
        <color rgb="FFFCFCFF"/>
        <color rgb="FF63BE7B"/>
      </colorScale>
    </cfRule>
  </conditionalFormatting>
  <conditionalFormatting sqref="AZ553:BT553">
    <cfRule type="colorScale" priority="355">
      <colorScale>
        <cfvo type="min"/>
        <cfvo type="max"/>
        <color rgb="FFFCFCFF"/>
        <color rgb="FF63BE7B"/>
      </colorScale>
    </cfRule>
  </conditionalFormatting>
  <conditionalFormatting sqref="AZ555:BT555">
    <cfRule type="colorScale" priority="354">
      <colorScale>
        <cfvo type="min"/>
        <cfvo type="max"/>
        <color rgb="FFFCFCFF"/>
        <color rgb="FF63BE7B"/>
      </colorScale>
    </cfRule>
  </conditionalFormatting>
  <conditionalFormatting sqref="AZ557:BT557">
    <cfRule type="colorScale" priority="353">
      <colorScale>
        <cfvo type="min"/>
        <cfvo type="max"/>
        <color rgb="FFFCFCFF"/>
        <color rgb="FF63BE7B"/>
      </colorScale>
    </cfRule>
  </conditionalFormatting>
  <conditionalFormatting sqref="AZ559:BT559">
    <cfRule type="colorScale" priority="352">
      <colorScale>
        <cfvo type="min"/>
        <cfvo type="max"/>
        <color rgb="FFFCFCFF"/>
        <color rgb="FF63BE7B"/>
      </colorScale>
    </cfRule>
  </conditionalFormatting>
  <conditionalFormatting sqref="AZ561:BT561">
    <cfRule type="colorScale" priority="351">
      <colorScale>
        <cfvo type="min"/>
        <cfvo type="max"/>
        <color rgb="FFFCFCFF"/>
        <color rgb="FF63BE7B"/>
      </colorScale>
    </cfRule>
  </conditionalFormatting>
  <conditionalFormatting sqref="AZ563:BT563">
    <cfRule type="colorScale" priority="350">
      <colorScale>
        <cfvo type="min"/>
        <cfvo type="max"/>
        <color rgb="FFFCFCFF"/>
        <color rgb="FF63BE7B"/>
      </colorScale>
    </cfRule>
  </conditionalFormatting>
  <conditionalFormatting sqref="AZ565:BT565">
    <cfRule type="colorScale" priority="349">
      <colorScale>
        <cfvo type="min"/>
        <cfvo type="max"/>
        <color rgb="FFFCFCFF"/>
        <color rgb="FF63BE7B"/>
      </colorScale>
    </cfRule>
  </conditionalFormatting>
  <conditionalFormatting sqref="AZ567:BT567">
    <cfRule type="colorScale" priority="348">
      <colorScale>
        <cfvo type="min"/>
        <cfvo type="max"/>
        <color rgb="FFFCFCFF"/>
        <color rgb="FF63BE7B"/>
      </colorScale>
    </cfRule>
  </conditionalFormatting>
  <conditionalFormatting sqref="AZ569:BT569">
    <cfRule type="colorScale" priority="347">
      <colorScale>
        <cfvo type="min"/>
        <cfvo type="max"/>
        <color rgb="FFFCFCFF"/>
        <color rgb="FF63BE7B"/>
      </colorScale>
    </cfRule>
  </conditionalFormatting>
  <conditionalFormatting sqref="AZ571:BT571">
    <cfRule type="colorScale" priority="346">
      <colorScale>
        <cfvo type="min"/>
        <cfvo type="max"/>
        <color rgb="FFFCFCFF"/>
        <color rgb="FF63BE7B"/>
      </colorScale>
    </cfRule>
  </conditionalFormatting>
  <conditionalFormatting sqref="AZ573:BT573">
    <cfRule type="colorScale" priority="345">
      <colorScale>
        <cfvo type="min"/>
        <cfvo type="max"/>
        <color rgb="FFFCFCFF"/>
        <color rgb="FF63BE7B"/>
      </colorScale>
    </cfRule>
  </conditionalFormatting>
  <conditionalFormatting sqref="AZ575:BT575">
    <cfRule type="colorScale" priority="344">
      <colorScale>
        <cfvo type="min"/>
        <cfvo type="max"/>
        <color rgb="FFFCFCFF"/>
        <color rgb="FF63BE7B"/>
      </colorScale>
    </cfRule>
  </conditionalFormatting>
  <conditionalFormatting sqref="AZ577:BT577">
    <cfRule type="colorScale" priority="343">
      <colorScale>
        <cfvo type="min"/>
        <cfvo type="max"/>
        <color rgb="FFFCFCFF"/>
        <color rgb="FF63BE7B"/>
      </colorScale>
    </cfRule>
  </conditionalFormatting>
  <conditionalFormatting sqref="AZ579:BT579">
    <cfRule type="colorScale" priority="342">
      <colorScale>
        <cfvo type="min"/>
        <cfvo type="max"/>
        <color rgb="FFFCFCFF"/>
        <color rgb="FF63BE7B"/>
      </colorScale>
    </cfRule>
  </conditionalFormatting>
  <conditionalFormatting sqref="AZ581:BT581">
    <cfRule type="colorScale" priority="341">
      <colorScale>
        <cfvo type="min"/>
        <cfvo type="max"/>
        <color rgb="FFFCFCFF"/>
        <color rgb="FF63BE7B"/>
      </colorScale>
    </cfRule>
  </conditionalFormatting>
  <conditionalFormatting sqref="AZ583:BT583">
    <cfRule type="colorScale" priority="340">
      <colorScale>
        <cfvo type="min"/>
        <cfvo type="max"/>
        <color rgb="FFFCFCFF"/>
        <color rgb="FF63BE7B"/>
      </colorScale>
    </cfRule>
  </conditionalFormatting>
  <conditionalFormatting sqref="AZ585:BT585">
    <cfRule type="colorScale" priority="339">
      <colorScale>
        <cfvo type="min"/>
        <cfvo type="max"/>
        <color rgb="FFFCFCFF"/>
        <color rgb="FF63BE7B"/>
      </colorScale>
    </cfRule>
  </conditionalFormatting>
  <conditionalFormatting sqref="AZ587:BT587">
    <cfRule type="colorScale" priority="338">
      <colorScale>
        <cfvo type="min"/>
        <cfvo type="max"/>
        <color rgb="FFFCFCFF"/>
        <color rgb="FF63BE7B"/>
      </colorScale>
    </cfRule>
  </conditionalFormatting>
  <conditionalFormatting sqref="AZ589:BT589">
    <cfRule type="colorScale" priority="337">
      <colorScale>
        <cfvo type="min"/>
        <cfvo type="max"/>
        <color rgb="FFFCFCFF"/>
        <color rgb="FF63BE7B"/>
      </colorScale>
    </cfRule>
  </conditionalFormatting>
  <conditionalFormatting sqref="AZ591:BT591">
    <cfRule type="colorScale" priority="336">
      <colorScale>
        <cfvo type="min"/>
        <cfvo type="max"/>
        <color rgb="FFFCFCFF"/>
        <color rgb="FF63BE7B"/>
      </colorScale>
    </cfRule>
  </conditionalFormatting>
  <conditionalFormatting sqref="AZ593:BT593">
    <cfRule type="colorScale" priority="335">
      <colorScale>
        <cfvo type="min"/>
        <cfvo type="max"/>
        <color rgb="FFFCFCFF"/>
        <color rgb="FF63BE7B"/>
      </colorScale>
    </cfRule>
  </conditionalFormatting>
  <conditionalFormatting sqref="AZ595:BT595">
    <cfRule type="colorScale" priority="334">
      <colorScale>
        <cfvo type="min"/>
        <cfvo type="max"/>
        <color rgb="FFFCFCFF"/>
        <color rgb="FF63BE7B"/>
      </colorScale>
    </cfRule>
  </conditionalFormatting>
  <conditionalFormatting sqref="AZ597:BT597">
    <cfRule type="colorScale" priority="333">
      <colorScale>
        <cfvo type="min"/>
        <cfvo type="max"/>
        <color rgb="FFFCFCFF"/>
        <color rgb="FF63BE7B"/>
      </colorScale>
    </cfRule>
  </conditionalFormatting>
  <conditionalFormatting sqref="AZ599:BT599">
    <cfRule type="colorScale" priority="332">
      <colorScale>
        <cfvo type="min"/>
        <cfvo type="max"/>
        <color rgb="FFFCFCFF"/>
        <color rgb="FF63BE7B"/>
      </colorScale>
    </cfRule>
  </conditionalFormatting>
  <conditionalFormatting sqref="AZ601:BT601">
    <cfRule type="colorScale" priority="331">
      <colorScale>
        <cfvo type="min"/>
        <cfvo type="max"/>
        <color rgb="FFFCFCFF"/>
        <color rgb="FF63BE7B"/>
      </colorScale>
    </cfRule>
  </conditionalFormatting>
  <conditionalFormatting sqref="AZ603:BT603">
    <cfRule type="colorScale" priority="330">
      <colorScale>
        <cfvo type="min"/>
        <cfvo type="max"/>
        <color rgb="FFFCFCFF"/>
        <color rgb="FF63BE7B"/>
      </colorScale>
    </cfRule>
  </conditionalFormatting>
  <conditionalFormatting sqref="AZ605:BT605">
    <cfRule type="colorScale" priority="329">
      <colorScale>
        <cfvo type="min"/>
        <cfvo type="max"/>
        <color rgb="FFFCFCFF"/>
        <color rgb="FF63BE7B"/>
      </colorScale>
    </cfRule>
  </conditionalFormatting>
  <conditionalFormatting sqref="AZ607:BT607">
    <cfRule type="colorScale" priority="328">
      <colorScale>
        <cfvo type="min"/>
        <cfvo type="max"/>
        <color rgb="FFFCFCFF"/>
        <color rgb="FF63BE7B"/>
      </colorScale>
    </cfRule>
  </conditionalFormatting>
  <conditionalFormatting sqref="AZ609:BT609">
    <cfRule type="colorScale" priority="327">
      <colorScale>
        <cfvo type="min"/>
        <cfvo type="max"/>
        <color rgb="FFFCFCFF"/>
        <color rgb="FF63BE7B"/>
      </colorScale>
    </cfRule>
  </conditionalFormatting>
  <conditionalFormatting sqref="AZ611:BT611">
    <cfRule type="colorScale" priority="326">
      <colorScale>
        <cfvo type="min"/>
        <cfvo type="max"/>
        <color rgb="FFFCFCFF"/>
        <color rgb="FF63BE7B"/>
      </colorScale>
    </cfRule>
  </conditionalFormatting>
  <conditionalFormatting sqref="AZ613:BT613">
    <cfRule type="colorScale" priority="325">
      <colorScale>
        <cfvo type="min"/>
        <cfvo type="max"/>
        <color rgb="FFFCFCFF"/>
        <color rgb="FF63BE7B"/>
      </colorScale>
    </cfRule>
  </conditionalFormatting>
  <conditionalFormatting sqref="AZ615:BT615">
    <cfRule type="colorScale" priority="324">
      <colorScale>
        <cfvo type="min"/>
        <cfvo type="max"/>
        <color rgb="FFFCFCFF"/>
        <color rgb="FF63BE7B"/>
      </colorScale>
    </cfRule>
  </conditionalFormatting>
  <conditionalFormatting sqref="AZ617:BT617">
    <cfRule type="colorScale" priority="323">
      <colorScale>
        <cfvo type="min"/>
        <cfvo type="max"/>
        <color rgb="FFFCFCFF"/>
        <color rgb="FF63BE7B"/>
      </colorScale>
    </cfRule>
  </conditionalFormatting>
  <conditionalFormatting sqref="AZ619:BT619">
    <cfRule type="colorScale" priority="322">
      <colorScale>
        <cfvo type="min"/>
        <cfvo type="max"/>
        <color rgb="FFFCFCFF"/>
        <color rgb="FF63BE7B"/>
      </colorScale>
    </cfRule>
  </conditionalFormatting>
  <conditionalFormatting sqref="AZ621:BT621">
    <cfRule type="colorScale" priority="321">
      <colorScale>
        <cfvo type="min"/>
        <cfvo type="max"/>
        <color rgb="FFFCFCFF"/>
        <color rgb="FF63BE7B"/>
      </colorScale>
    </cfRule>
  </conditionalFormatting>
  <conditionalFormatting sqref="AZ623:BT623">
    <cfRule type="colorScale" priority="320">
      <colorScale>
        <cfvo type="min"/>
        <cfvo type="max"/>
        <color rgb="FFFCFCFF"/>
        <color rgb="FF63BE7B"/>
      </colorScale>
    </cfRule>
  </conditionalFormatting>
  <conditionalFormatting sqref="AZ625:BT625">
    <cfRule type="colorScale" priority="319">
      <colorScale>
        <cfvo type="min"/>
        <cfvo type="max"/>
        <color rgb="FFFCFCFF"/>
        <color rgb="FF63BE7B"/>
      </colorScale>
    </cfRule>
  </conditionalFormatting>
  <conditionalFormatting sqref="AZ627:BT627">
    <cfRule type="colorScale" priority="318">
      <colorScale>
        <cfvo type="min"/>
        <cfvo type="max"/>
        <color rgb="FFFCFCFF"/>
        <color rgb="FF63BE7B"/>
      </colorScale>
    </cfRule>
  </conditionalFormatting>
  <conditionalFormatting sqref="AZ629:BT629">
    <cfRule type="colorScale" priority="317">
      <colorScale>
        <cfvo type="min"/>
        <cfvo type="max"/>
        <color rgb="FFFCFCFF"/>
        <color rgb="FF63BE7B"/>
      </colorScale>
    </cfRule>
  </conditionalFormatting>
  <conditionalFormatting sqref="AZ631:BT631">
    <cfRule type="colorScale" priority="316">
      <colorScale>
        <cfvo type="min"/>
        <cfvo type="max"/>
        <color rgb="FFFCFCFF"/>
        <color rgb="FF63BE7B"/>
      </colorScale>
    </cfRule>
  </conditionalFormatting>
  <conditionalFormatting sqref="AZ633:BT633">
    <cfRule type="colorScale" priority="315">
      <colorScale>
        <cfvo type="min"/>
        <cfvo type="max"/>
        <color rgb="FFFCFCFF"/>
        <color rgb="FF63BE7B"/>
      </colorScale>
    </cfRule>
  </conditionalFormatting>
  <conditionalFormatting sqref="AZ635:BT635">
    <cfRule type="colorScale" priority="314">
      <colorScale>
        <cfvo type="min"/>
        <cfvo type="max"/>
        <color rgb="FFFCFCFF"/>
        <color rgb="FF63BE7B"/>
      </colorScale>
    </cfRule>
  </conditionalFormatting>
  <conditionalFormatting sqref="AZ637:BT637">
    <cfRule type="colorScale" priority="313">
      <colorScale>
        <cfvo type="min"/>
        <cfvo type="max"/>
        <color rgb="FFFCFCFF"/>
        <color rgb="FF63BE7B"/>
      </colorScale>
    </cfRule>
  </conditionalFormatting>
  <conditionalFormatting sqref="AZ639:BT639">
    <cfRule type="colorScale" priority="312">
      <colorScale>
        <cfvo type="min"/>
        <cfvo type="max"/>
        <color rgb="FFFCFCFF"/>
        <color rgb="FF63BE7B"/>
      </colorScale>
    </cfRule>
  </conditionalFormatting>
  <conditionalFormatting sqref="AZ641:BT641">
    <cfRule type="colorScale" priority="311">
      <colorScale>
        <cfvo type="min"/>
        <cfvo type="max"/>
        <color rgb="FFFCFCFF"/>
        <color rgb="FF63BE7B"/>
      </colorScale>
    </cfRule>
  </conditionalFormatting>
  <conditionalFormatting sqref="AZ643:BT643">
    <cfRule type="colorScale" priority="310">
      <colorScale>
        <cfvo type="min"/>
        <cfvo type="max"/>
        <color rgb="FFFCFCFF"/>
        <color rgb="FF63BE7B"/>
      </colorScale>
    </cfRule>
  </conditionalFormatting>
  <conditionalFormatting sqref="AZ645:BT645">
    <cfRule type="colorScale" priority="309">
      <colorScale>
        <cfvo type="min"/>
        <cfvo type="max"/>
        <color rgb="FFFCFCFF"/>
        <color rgb="FF63BE7B"/>
      </colorScale>
    </cfRule>
  </conditionalFormatting>
  <conditionalFormatting sqref="AZ647:BT647">
    <cfRule type="colorScale" priority="308">
      <colorScale>
        <cfvo type="min"/>
        <cfvo type="max"/>
        <color rgb="FFFCFCFF"/>
        <color rgb="FF63BE7B"/>
      </colorScale>
    </cfRule>
  </conditionalFormatting>
  <conditionalFormatting sqref="AZ649:BT649">
    <cfRule type="colorScale" priority="307">
      <colorScale>
        <cfvo type="min"/>
        <cfvo type="max"/>
        <color rgb="FFFCFCFF"/>
        <color rgb="FF63BE7B"/>
      </colorScale>
    </cfRule>
  </conditionalFormatting>
  <conditionalFormatting sqref="AZ651:BT651">
    <cfRule type="colorScale" priority="306">
      <colorScale>
        <cfvo type="min"/>
        <cfvo type="max"/>
        <color rgb="FFFCFCFF"/>
        <color rgb="FF63BE7B"/>
      </colorScale>
    </cfRule>
  </conditionalFormatting>
  <conditionalFormatting sqref="AZ653:BT653">
    <cfRule type="colorScale" priority="305">
      <colorScale>
        <cfvo type="min"/>
        <cfvo type="max"/>
        <color rgb="FFFCFCFF"/>
        <color rgb="FF63BE7B"/>
      </colorScale>
    </cfRule>
  </conditionalFormatting>
  <conditionalFormatting sqref="AZ655:BT655">
    <cfRule type="colorScale" priority="304">
      <colorScale>
        <cfvo type="min"/>
        <cfvo type="max"/>
        <color rgb="FFFCFCFF"/>
        <color rgb="FF63BE7B"/>
      </colorScale>
    </cfRule>
  </conditionalFormatting>
  <conditionalFormatting sqref="AZ657:BT657">
    <cfRule type="colorScale" priority="303">
      <colorScale>
        <cfvo type="min"/>
        <cfvo type="max"/>
        <color rgb="FFFCFCFF"/>
        <color rgb="FF63BE7B"/>
      </colorScale>
    </cfRule>
  </conditionalFormatting>
  <conditionalFormatting sqref="AZ659:BT659">
    <cfRule type="colorScale" priority="302">
      <colorScale>
        <cfvo type="min"/>
        <cfvo type="max"/>
        <color rgb="FFFCFCFF"/>
        <color rgb="FF63BE7B"/>
      </colorScale>
    </cfRule>
  </conditionalFormatting>
  <conditionalFormatting sqref="AZ661:BT661">
    <cfRule type="colorScale" priority="301">
      <colorScale>
        <cfvo type="min"/>
        <cfvo type="max"/>
        <color rgb="FFFCFCFF"/>
        <color rgb="FF63BE7B"/>
      </colorScale>
    </cfRule>
  </conditionalFormatting>
  <conditionalFormatting sqref="AZ663:BT663">
    <cfRule type="colorScale" priority="300">
      <colorScale>
        <cfvo type="min"/>
        <cfvo type="max"/>
        <color rgb="FFFCFCFF"/>
        <color rgb="FF63BE7B"/>
      </colorScale>
    </cfRule>
  </conditionalFormatting>
  <conditionalFormatting sqref="AZ665:BT665">
    <cfRule type="colorScale" priority="299">
      <colorScale>
        <cfvo type="min"/>
        <cfvo type="max"/>
        <color rgb="FFFCFCFF"/>
        <color rgb="FF63BE7B"/>
      </colorScale>
    </cfRule>
  </conditionalFormatting>
  <conditionalFormatting sqref="AZ667:BT667">
    <cfRule type="colorScale" priority="298">
      <colorScale>
        <cfvo type="min"/>
        <cfvo type="max"/>
        <color rgb="FFFCFCFF"/>
        <color rgb="FF63BE7B"/>
      </colorScale>
    </cfRule>
  </conditionalFormatting>
  <conditionalFormatting sqref="AZ669:BT669">
    <cfRule type="colorScale" priority="297">
      <colorScale>
        <cfvo type="min"/>
        <cfvo type="max"/>
        <color rgb="FFFCFCFF"/>
        <color rgb="FF63BE7B"/>
      </colorScale>
    </cfRule>
  </conditionalFormatting>
  <conditionalFormatting sqref="AZ671:BT671">
    <cfRule type="colorScale" priority="296">
      <colorScale>
        <cfvo type="min"/>
        <cfvo type="max"/>
        <color rgb="FFFCFCFF"/>
        <color rgb="FF63BE7B"/>
      </colorScale>
    </cfRule>
  </conditionalFormatting>
  <conditionalFormatting sqref="AZ673:BT673">
    <cfRule type="colorScale" priority="295">
      <colorScale>
        <cfvo type="min"/>
        <cfvo type="max"/>
        <color rgb="FFFCFCFF"/>
        <color rgb="FF63BE7B"/>
      </colorScale>
    </cfRule>
  </conditionalFormatting>
  <conditionalFormatting sqref="AZ675:BT675">
    <cfRule type="colorScale" priority="294">
      <colorScale>
        <cfvo type="min"/>
        <cfvo type="max"/>
        <color rgb="FFFCFCFF"/>
        <color rgb="FF63BE7B"/>
      </colorScale>
    </cfRule>
  </conditionalFormatting>
  <conditionalFormatting sqref="AZ677:BT677">
    <cfRule type="colorScale" priority="293">
      <colorScale>
        <cfvo type="min"/>
        <cfvo type="max"/>
        <color rgb="FFFCFCFF"/>
        <color rgb="FF63BE7B"/>
      </colorScale>
    </cfRule>
  </conditionalFormatting>
  <conditionalFormatting sqref="AZ679:BT679">
    <cfRule type="colorScale" priority="292">
      <colorScale>
        <cfvo type="min"/>
        <cfvo type="max"/>
        <color rgb="FFFCFCFF"/>
        <color rgb="FF63BE7B"/>
      </colorScale>
    </cfRule>
  </conditionalFormatting>
  <conditionalFormatting sqref="AZ681:BT681">
    <cfRule type="colorScale" priority="291">
      <colorScale>
        <cfvo type="min"/>
        <cfvo type="max"/>
        <color rgb="FFFCFCFF"/>
        <color rgb="FF63BE7B"/>
      </colorScale>
    </cfRule>
  </conditionalFormatting>
  <conditionalFormatting sqref="AZ683:BT683">
    <cfRule type="colorScale" priority="290">
      <colorScale>
        <cfvo type="min"/>
        <cfvo type="max"/>
        <color rgb="FFFCFCFF"/>
        <color rgb="FF63BE7B"/>
      </colorScale>
    </cfRule>
  </conditionalFormatting>
  <conditionalFormatting sqref="AZ685:BT685">
    <cfRule type="colorScale" priority="289">
      <colorScale>
        <cfvo type="min"/>
        <cfvo type="max"/>
        <color rgb="FFFCFCFF"/>
        <color rgb="FF63BE7B"/>
      </colorScale>
    </cfRule>
  </conditionalFormatting>
  <conditionalFormatting sqref="AZ687:BT687">
    <cfRule type="colorScale" priority="288">
      <colorScale>
        <cfvo type="min"/>
        <cfvo type="max"/>
        <color rgb="FFFCFCFF"/>
        <color rgb="FF63BE7B"/>
      </colorScale>
    </cfRule>
  </conditionalFormatting>
  <conditionalFormatting sqref="AZ689:BT689">
    <cfRule type="colorScale" priority="287">
      <colorScale>
        <cfvo type="min"/>
        <cfvo type="max"/>
        <color rgb="FFFCFCFF"/>
        <color rgb="FF63BE7B"/>
      </colorScale>
    </cfRule>
  </conditionalFormatting>
  <conditionalFormatting sqref="AZ691:BT691">
    <cfRule type="colorScale" priority="286">
      <colorScale>
        <cfvo type="min"/>
        <cfvo type="max"/>
        <color rgb="FFFCFCFF"/>
        <color rgb="FF63BE7B"/>
      </colorScale>
    </cfRule>
  </conditionalFormatting>
  <conditionalFormatting sqref="AZ693:BT693">
    <cfRule type="colorScale" priority="285">
      <colorScale>
        <cfvo type="min"/>
        <cfvo type="max"/>
        <color rgb="FFFCFCFF"/>
        <color rgb="FF63BE7B"/>
      </colorScale>
    </cfRule>
  </conditionalFormatting>
  <conditionalFormatting sqref="AZ695:BT695">
    <cfRule type="colorScale" priority="284">
      <colorScale>
        <cfvo type="min"/>
        <cfvo type="max"/>
        <color rgb="FFFCFCFF"/>
        <color rgb="FF63BE7B"/>
      </colorScale>
    </cfRule>
  </conditionalFormatting>
  <conditionalFormatting sqref="AZ697:BT697">
    <cfRule type="colorScale" priority="283">
      <colorScale>
        <cfvo type="min"/>
        <cfvo type="max"/>
        <color rgb="FFFCFCFF"/>
        <color rgb="FF63BE7B"/>
      </colorScale>
    </cfRule>
  </conditionalFormatting>
  <conditionalFormatting sqref="AZ699:BT699">
    <cfRule type="colorScale" priority="282">
      <colorScale>
        <cfvo type="min"/>
        <cfvo type="max"/>
        <color rgb="FFFCFCFF"/>
        <color rgb="FF63BE7B"/>
      </colorScale>
    </cfRule>
  </conditionalFormatting>
  <conditionalFormatting sqref="AZ701:BT701">
    <cfRule type="colorScale" priority="281">
      <colorScale>
        <cfvo type="min"/>
        <cfvo type="max"/>
        <color rgb="FFFCFCFF"/>
        <color rgb="FF63BE7B"/>
      </colorScale>
    </cfRule>
  </conditionalFormatting>
  <conditionalFormatting sqref="AZ703:BT703">
    <cfRule type="colorScale" priority="280">
      <colorScale>
        <cfvo type="min"/>
        <cfvo type="max"/>
        <color rgb="FFFCFCFF"/>
        <color rgb="FF63BE7B"/>
      </colorScale>
    </cfRule>
  </conditionalFormatting>
  <conditionalFormatting sqref="AZ705:BT705">
    <cfRule type="colorScale" priority="279">
      <colorScale>
        <cfvo type="min"/>
        <cfvo type="max"/>
        <color rgb="FFFCFCFF"/>
        <color rgb="FF63BE7B"/>
      </colorScale>
    </cfRule>
  </conditionalFormatting>
  <conditionalFormatting sqref="AZ707:BT707">
    <cfRule type="colorScale" priority="278">
      <colorScale>
        <cfvo type="min"/>
        <cfvo type="max"/>
        <color rgb="FFFCFCFF"/>
        <color rgb="FF63BE7B"/>
      </colorScale>
    </cfRule>
  </conditionalFormatting>
  <conditionalFormatting sqref="AZ709:BT709">
    <cfRule type="colorScale" priority="277">
      <colorScale>
        <cfvo type="min"/>
        <cfvo type="max"/>
        <color rgb="FFFCFCFF"/>
        <color rgb="FF63BE7B"/>
      </colorScale>
    </cfRule>
  </conditionalFormatting>
  <conditionalFormatting sqref="AZ711:BT711">
    <cfRule type="colorScale" priority="276">
      <colorScale>
        <cfvo type="min"/>
        <cfvo type="max"/>
        <color rgb="FFFCFCFF"/>
        <color rgb="FF63BE7B"/>
      </colorScale>
    </cfRule>
  </conditionalFormatting>
  <conditionalFormatting sqref="AZ713:BT713">
    <cfRule type="colorScale" priority="275">
      <colorScale>
        <cfvo type="min"/>
        <cfvo type="max"/>
        <color rgb="FFFCFCFF"/>
        <color rgb="FF63BE7B"/>
      </colorScale>
    </cfRule>
  </conditionalFormatting>
  <conditionalFormatting sqref="AZ715:BT715">
    <cfRule type="colorScale" priority="274">
      <colorScale>
        <cfvo type="min"/>
        <cfvo type="max"/>
        <color rgb="FFFCFCFF"/>
        <color rgb="FF63BE7B"/>
      </colorScale>
    </cfRule>
  </conditionalFormatting>
  <conditionalFormatting sqref="AZ717:BT717">
    <cfRule type="colorScale" priority="273">
      <colorScale>
        <cfvo type="min"/>
        <cfvo type="max"/>
        <color rgb="FFFCFCFF"/>
        <color rgb="FF63BE7B"/>
      </colorScale>
    </cfRule>
  </conditionalFormatting>
  <conditionalFormatting sqref="AZ719:BT719">
    <cfRule type="colorScale" priority="272">
      <colorScale>
        <cfvo type="min"/>
        <cfvo type="max"/>
        <color rgb="FFFCFCFF"/>
        <color rgb="FF63BE7B"/>
      </colorScale>
    </cfRule>
  </conditionalFormatting>
  <conditionalFormatting sqref="AZ721:BT721">
    <cfRule type="colorScale" priority="271">
      <colorScale>
        <cfvo type="min"/>
        <cfvo type="max"/>
        <color rgb="FFFCFCFF"/>
        <color rgb="FF63BE7B"/>
      </colorScale>
    </cfRule>
  </conditionalFormatting>
  <conditionalFormatting sqref="AZ723:BT723">
    <cfRule type="colorScale" priority="270">
      <colorScale>
        <cfvo type="min"/>
        <cfvo type="max"/>
        <color rgb="FFFCFCFF"/>
        <color rgb="FF63BE7B"/>
      </colorScale>
    </cfRule>
  </conditionalFormatting>
  <conditionalFormatting sqref="AZ725:BT725">
    <cfRule type="colorScale" priority="269">
      <colorScale>
        <cfvo type="min"/>
        <cfvo type="max"/>
        <color rgb="FFFCFCFF"/>
        <color rgb="FF63BE7B"/>
      </colorScale>
    </cfRule>
  </conditionalFormatting>
  <conditionalFormatting sqref="AZ727:BT727">
    <cfRule type="colorScale" priority="268">
      <colorScale>
        <cfvo type="min"/>
        <cfvo type="max"/>
        <color rgb="FFFCFCFF"/>
        <color rgb="FF63BE7B"/>
      </colorScale>
    </cfRule>
  </conditionalFormatting>
  <conditionalFormatting sqref="AZ729:BT729">
    <cfRule type="colorScale" priority="267">
      <colorScale>
        <cfvo type="min"/>
        <cfvo type="max"/>
        <color rgb="FFFCFCFF"/>
        <color rgb="FF63BE7B"/>
      </colorScale>
    </cfRule>
  </conditionalFormatting>
  <conditionalFormatting sqref="AZ731:BT731">
    <cfRule type="colorScale" priority="266">
      <colorScale>
        <cfvo type="min"/>
        <cfvo type="max"/>
        <color rgb="FFFCFCFF"/>
        <color rgb="FF63BE7B"/>
      </colorScale>
    </cfRule>
  </conditionalFormatting>
  <conditionalFormatting sqref="AZ733:BT733">
    <cfRule type="colorScale" priority="265">
      <colorScale>
        <cfvo type="min"/>
        <cfvo type="max"/>
        <color rgb="FFFCFCFF"/>
        <color rgb="FF63BE7B"/>
      </colorScale>
    </cfRule>
  </conditionalFormatting>
  <conditionalFormatting sqref="AZ735:BT735">
    <cfRule type="colorScale" priority="264">
      <colorScale>
        <cfvo type="min"/>
        <cfvo type="max"/>
        <color rgb="FFFCFCFF"/>
        <color rgb="FF63BE7B"/>
      </colorScale>
    </cfRule>
  </conditionalFormatting>
  <conditionalFormatting sqref="AZ737:BT737">
    <cfRule type="colorScale" priority="263">
      <colorScale>
        <cfvo type="min"/>
        <cfvo type="max"/>
        <color rgb="FFFCFCFF"/>
        <color rgb="FF63BE7B"/>
      </colorScale>
    </cfRule>
  </conditionalFormatting>
  <conditionalFormatting sqref="AZ739:BT739">
    <cfRule type="colorScale" priority="262">
      <colorScale>
        <cfvo type="min"/>
        <cfvo type="max"/>
        <color rgb="FFFCFCFF"/>
        <color rgb="FF63BE7B"/>
      </colorScale>
    </cfRule>
  </conditionalFormatting>
  <conditionalFormatting sqref="AZ741:BT741">
    <cfRule type="colorScale" priority="261">
      <colorScale>
        <cfvo type="min"/>
        <cfvo type="max"/>
        <color rgb="FFFCFCFF"/>
        <color rgb="FF63BE7B"/>
      </colorScale>
    </cfRule>
  </conditionalFormatting>
  <conditionalFormatting sqref="AZ743:BT743">
    <cfRule type="colorScale" priority="260">
      <colorScale>
        <cfvo type="min"/>
        <cfvo type="max"/>
        <color rgb="FFFCFCFF"/>
        <color rgb="FF63BE7B"/>
      </colorScale>
    </cfRule>
  </conditionalFormatting>
  <conditionalFormatting sqref="AZ745:BT745">
    <cfRule type="colorScale" priority="259">
      <colorScale>
        <cfvo type="min"/>
        <cfvo type="max"/>
        <color rgb="FFFCFCFF"/>
        <color rgb="FF63BE7B"/>
      </colorScale>
    </cfRule>
  </conditionalFormatting>
  <conditionalFormatting sqref="AZ747:BT747">
    <cfRule type="colorScale" priority="258">
      <colorScale>
        <cfvo type="min"/>
        <cfvo type="max"/>
        <color rgb="FFFCFCFF"/>
        <color rgb="FF63BE7B"/>
      </colorScale>
    </cfRule>
  </conditionalFormatting>
  <conditionalFormatting sqref="AZ749:BT749">
    <cfRule type="colorScale" priority="257">
      <colorScale>
        <cfvo type="min"/>
        <cfvo type="max"/>
        <color rgb="FFFCFCFF"/>
        <color rgb="FF63BE7B"/>
      </colorScale>
    </cfRule>
  </conditionalFormatting>
  <conditionalFormatting sqref="AZ751:BT751">
    <cfRule type="colorScale" priority="256">
      <colorScale>
        <cfvo type="min"/>
        <cfvo type="max"/>
        <color rgb="FFFCFCFF"/>
        <color rgb="FF63BE7B"/>
      </colorScale>
    </cfRule>
  </conditionalFormatting>
  <conditionalFormatting sqref="AZ753:BT753">
    <cfRule type="colorScale" priority="255">
      <colorScale>
        <cfvo type="min"/>
        <cfvo type="max"/>
        <color rgb="FFFCFCFF"/>
        <color rgb="FF63BE7B"/>
      </colorScale>
    </cfRule>
  </conditionalFormatting>
  <conditionalFormatting sqref="AZ755:BT755">
    <cfRule type="colorScale" priority="254">
      <colorScale>
        <cfvo type="min"/>
        <cfvo type="max"/>
        <color rgb="FFFCFCFF"/>
        <color rgb="FF63BE7B"/>
      </colorScale>
    </cfRule>
  </conditionalFormatting>
  <conditionalFormatting sqref="AZ757:BT757">
    <cfRule type="colorScale" priority="253">
      <colorScale>
        <cfvo type="min"/>
        <cfvo type="max"/>
        <color rgb="FFFCFCFF"/>
        <color rgb="FF63BE7B"/>
      </colorScale>
    </cfRule>
  </conditionalFormatting>
  <conditionalFormatting sqref="AZ759:BT759">
    <cfRule type="colorScale" priority="252">
      <colorScale>
        <cfvo type="min"/>
        <cfvo type="max"/>
        <color rgb="FFFCFCFF"/>
        <color rgb="FF63BE7B"/>
      </colorScale>
    </cfRule>
  </conditionalFormatting>
  <conditionalFormatting sqref="AZ761:BT761">
    <cfRule type="colorScale" priority="251">
      <colorScale>
        <cfvo type="min"/>
        <cfvo type="max"/>
        <color rgb="FFFCFCFF"/>
        <color rgb="FF63BE7B"/>
      </colorScale>
    </cfRule>
  </conditionalFormatting>
  <conditionalFormatting sqref="AZ763:BT763">
    <cfRule type="colorScale" priority="250">
      <colorScale>
        <cfvo type="min"/>
        <cfvo type="max"/>
        <color rgb="FFFCFCFF"/>
        <color rgb="FF63BE7B"/>
      </colorScale>
    </cfRule>
  </conditionalFormatting>
  <conditionalFormatting sqref="AZ765:BT765">
    <cfRule type="colorScale" priority="249">
      <colorScale>
        <cfvo type="min"/>
        <cfvo type="max"/>
        <color rgb="FFFCFCFF"/>
        <color rgb="FF63BE7B"/>
      </colorScale>
    </cfRule>
  </conditionalFormatting>
  <conditionalFormatting sqref="AZ767:BT767">
    <cfRule type="colorScale" priority="248">
      <colorScale>
        <cfvo type="min"/>
        <cfvo type="max"/>
        <color rgb="FFFCFCFF"/>
        <color rgb="FF63BE7B"/>
      </colorScale>
    </cfRule>
  </conditionalFormatting>
  <conditionalFormatting sqref="AZ769:BT769">
    <cfRule type="colorScale" priority="247">
      <colorScale>
        <cfvo type="min"/>
        <cfvo type="max"/>
        <color rgb="FFFCFCFF"/>
        <color rgb="FF63BE7B"/>
      </colorScale>
    </cfRule>
  </conditionalFormatting>
  <conditionalFormatting sqref="AZ771:BT771">
    <cfRule type="colorScale" priority="246">
      <colorScale>
        <cfvo type="min"/>
        <cfvo type="max"/>
        <color rgb="FFFCFCFF"/>
        <color rgb="FF63BE7B"/>
      </colorScale>
    </cfRule>
  </conditionalFormatting>
  <conditionalFormatting sqref="AZ773:BT773">
    <cfRule type="colorScale" priority="245">
      <colorScale>
        <cfvo type="min"/>
        <cfvo type="max"/>
        <color rgb="FFFCFCFF"/>
        <color rgb="FF63BE7B"/>
      </colorScale>
    </cfRule>
  </conditionalFormatting>
  <conditionalFormatting sqref="AZ775:BT775">
    <cfRule type="colorScale" priority="244">
      <colorScale>
        <cfvo type="min"/>
        <cfvo type="max"/>
        <color rgb="FFFCFCFF"/>
        <color rgb="FF63BE7B"/>
      </colorScale>
    </cfRule>
  </conditionalFormatting>
  <conditionalFormatting sqref="AZ777:BT777">
    <cfRule type="colorScale" priority="243">
      <colorScale>
        <cfvo type="min"/>
        <cfvo type="max"/>
        <color rgb="FFFCFCFF"/>
        <color rgb="FF63BE7B"/>
      </colorScale>
    </cfRule>
  </conditionalFormatting>
  <conditionalFormatting sqref="AZ779:BT779">
    <cfRule type="colorScale" priority="242">
      <colorScale>
        <cfvo type="min"/>
        <cfvo type="max"/>
        <color rgb="FFFCFCFF"/>
        <color rgb="FF63BE7B"/>
      </colorScale>
    </cfRule>
  </conditionalFormatting>
  <conditionalFormatting sqref="AZ781:BT781">
    <cfRule type="colorScale" priority="241">
      <colorScale>
        <cfvo type="min"/>
        <cfvo type="max"/>
        <color rgb="FFFCFCFF"/>
        <color rgb="FF63BE7B"/>
      </colorScale>
    </cfRule>
  </conditionalFormatting>
  <conditionalFormatting sqref="AZ783:BT783">
    <cfRule type="colorScale" priority="240">
      <colorScale>
        <cfvo type="min"/>
        <cfvo type="max"/>
        <color rgb="FFFCFCFF"/>
        <color rgb="FF63BE7B"/>
      </colorScale>
    </cfRule>
  </conditionalFormatting>
  <conditionalFormatting sqref="AZ785:BT785">
    <cfRule type="colorScale" priority="239">
      <colorScale>
        <cfvo type="min"/>
        <cfvo type="max"/>
        <color rgb="FFFCFCFF"/>
        <color rgb="FF63BE7B"/>
      </colorScale>
    </cfRule>
  </conditionalFormatting>
  <conditionalFormatting sqref="AZ787:BT787">
    <cfRule type="colorScale" priority="238">
      <colorScale>
        <cfvo type="min"/>
        <cfvo type="max"/>
        <color rgb="FFFCFCFF"/>
        <color rgb="FF63BE7B"/>
      </colorScale>
    </cfRule>
  </conditionalFormatting>
  <conditionalFormatting sqref="AZ789:BT789">
    <cfRule type="colorScale" priority="237">
      <colorScale>
        <cfvo type="min"/>
        <cfvo type="max"/>
        <color rgb="FFFCFCFF"/>
        <color rgb="FF63BE7B"/>
      </colorScale>
    </cfRule>
  </conditionalFormatting>
  <conditionalFormatting sqref="AZ791:BT791">
    <cfRule type="colorScale" priority="236">
      <colorScale>
        <cfvo type="min"/>
        <cfvo type="max"/>
        <color rgb="FFFCFCFF"/>
        <color rgb="FF63BE7B"/>
      </colorScale>
    </cfRule>
  </conditionalFormatting>
  <conditionalFormatting sqref="AZ793:BT793">
    <cfRule type="colorScale" priority="235">
      <colorScale>
        <cfvo type="min"/>
        <cfvo type="max"/>
        <color rgb="FFFCFCFF"/>
        <color rgb="FF63BE7B"/>
      </colorScale>
    </cfRule>
  </conditionalFormatting>
  <conditionalFormatting sqref="AZ795:BT795">
    <cfRule type="colorScale" priority="234">
      <colorScale>
        <cfvo type="min"/>
        <cfvo type="max"/>
        <color rgb="FFFCFCFF"/>
        <color rgb="FF63BE7B"/>
      </colorScale>
    </cfRule>
  </conditionalFormatting>
  <conditionalFormatting sqref="AZ797:BT797">
    <cfRule type="colorScale" priority="233">
      <colorScale>
        <cfvo type="min"/>
        <cfvo type="max"/>
        <color rgb="FFFCFCFF"/>
        <color rgb="FF63BE7B"/>
      </colorScale>
    </cfRule>
  </conditionalFormatting>
  <conditionalFormatting sqref="AZ799:BT799">
    <cfRule type="colorScale" priority="232">
      <colorScale>
        <cfvo type="min"/>
        <cfvo type="max"/>
        <color rgb="FFFCFCFF"/>
        <color rgb="FF63BE7B"/>
      </colorScale>
    </cfRule>
  </conditionalFormatting>
  <conditionalFormatting sqref="AZ801:BT801">
    <cfRule type="colorScale" priority="231">
      <colorScale>
        <cfvo type="min"/>
        <cfvo type="max"/>
        <color rgb="FFFCFCFF"/>
        <color rgb="FF63BE7B"/>
      </colorScale>
    </cfRule>
  </conditionalFormatting>
  <conditionalFormatting sqref="AZ803:BT803">
    <cfRule type="colorScale" priority="230">
      <colorScale>
        <cfvo type="min"/>
        <cfvo type="max"/>
        <color rgb="FFFCFCFF"/>
        <color rgb="FF63BE7B"/>
      </colorScale>
    </cfRule>
  </conditionalFormatting>
  <conditionalFormatting sqref="AZ805:BT805">
    <cfRule type="colorScale" priority="229">
      <colorScale>
        <cfvo type="min"/>
        <cfvo type="max"/>
        <color rgb="FFFCFCFF"/>
        <color rgb="FF63BE7B"/>
      </colorScale>
    </cfRule>
  </conditionalFormatting>
  <conditionalFormatting sqref="AZ807:BT807">
    <cfRule type="colorScale" priority="228">
      <colorScale>
        <cfvo type="min"/>
        <cfvo type="max"/>
        <color rgb="FFFCFCFF"/>
        <color rgb="FF63BE7B"/>
      </colorScale>
    </cfRule>
  </conditionalFormatting>
  <conditionalFormatting sqref="AZ809:BT809">
    <cfRule type="colorScale" priority="227">
      <colorScale>
        <cfvo type="min"/>
        <cfvo type="max"/>
        <color rgb="FFFCFCFF"/>
        <color rgb="FF63BE7B"/>
      </colorScale>
    </cfRule>
  </conditionalFormatting>
  <conditionalFormatting sqref="AZ811:BT811">
    <cfRule type="colorScale" priority="226">
      <colorScale>
        <cfvo type="min"/>
        <cfvo type="max"/>
        <color rgb="FFFCFCFF"/>
        <color rgb="FF63BE7B"/>
      </colorScale>
    </cfRule>
  </conditionalFormatting>
  <conditionalFormatting sqref="AZ813:BT813">
    <cfRule type="colorScale" priority="225">
      <colorScale>
        <cfvo type="min"/>
        <cfvo type="max"/>
        <color rgb="FFFCFCFF"/>
        <color rgb="FF63BE7B"/>
      </colorScale>
    </cfRule>
  </conditionalFormatting>
  <conditionalFormatting sqref="AZ815:BT815">
    <cfRule type="colorScale" priority="224">
      <colorScale>
        <cfvo type="min"/>
        <cfvo type="max"/>
        <color rgb="FFFCFCFF"/>
        <color rgb="FF63BE7B"/>
      </colorScale>
    </cfRule>
  </conditionalFormatting>
  <conditionalFormatting sqref="AZ817:BT817">
    <cfRule type="colorScale" priority="223">
      <colorScale>
        <cfvo type="min"/>
        <cfvo type="max"/>
        <color rgb="FFFCFCFF"/>
        <color rgb="FF63BE7B"/>
      </colorScale>
    </cfRule>
  </conditionalFormatting>
  <conditionalFormatting sqref="AZ819:BT819">
    <cfRule type="colorScale" priority="222">
      <colorScale>
        <cfvo type="min"/>
        <cfvo type="max"/>
        <color rgb="FFFCFCFF"/>
        <color rgb="FF63BE7B"/>
      </colorScale>
    </cfRule>
  </conditionalFormatting>
  <conditionalFormatting sqref="AZ821:BT821">
    <cfRule type="colorScale" priority="221">
      <colorScale>
        <cfvo type="min"/>
        <cfvo type="max"/>
        <color rgb="FFFCFCFF"/>
        <color rgb="FF63BE7B"/>
      </colorScale>
    </cfRule>
  </conditionalFormatting>
  <conditionalFormatting sqref="AZ823:BT823">
    <cfRule type="colorScale" priority="220">
      <colorScale>
        <cfvo type="min"/>
        <cfvo type="max"/>
        <color rgb="FFFCFCFF"/>
        <color rgb="FF63BE7B"/>
      </colorScale>
    </cfRule>
  </conditionalFormatting>
  <conditionalFormatting sqref="AZ825:BT825">
    <cfRule type="colorScale" priority="219">
      <colorScale>
        <cfvo type="min"/>
        <cfvo type="max"/>
        <color rgb="FFFCFCFF"/>
        <color rgb="FF63BE7B"/>
      </colorScale>
    </cfRule>
  </conditionalFormatting>
  <conditionalFormatting sqref="AZ827:BT827">
    <cfRule type="colorScale" priority="218">
      <colorScale>
        <cfvo type="min"/>
        <cfvo type="max"/>
        <color rgb="FFFCFCFF"/>
        <color rgb="FF63BE7B"/>
      </colorScale>
    </cfRule>
  </conditionalFormatting>
  <conditionalFormatting sqref="AZ829:BT829">
    <cfRule type="colorScale" priority="217">
      <colorScale>
        <cfvo type="min"/>
        <cfvo type="max"/>
        <color rgb="FFFCFCFF"/>
        <color rgb="FF63BE7B"/>
      </colorScale>
    </cfRule>
  </conditionalFormatting>
  <conditionalFormatting sqref="AZ831:BT831">
    <cfRule type="colorScale" priority="216">
      <colorScale>
        <cfvo type="min"/>
        <cfvo type="max"/>
        <color rgb="FFFCFCFF"/>
        <color rgb="FF63BE7B"/>
      </colorScale>
    </cfRule>
  </conditionalFormatting>
  <conditionalFormatting sqref="AZ833:BT833">
    <cfRule type="colorScale" priority="215">
      <colorScale>
        <cfvo type="min"/>
        <cfvo type="max"/>
        <color rgb="FFFCFCFF"/>
        <color rgb="FF63BE7B"/>
      </colorScale>
    </cfRule>
  </conditionalFormatting>
  <conditionalFormatting sqref="AZ835:BT835">
    <cfRule type="colorScale" priority="214">
      <colorScale>
        <cfvo type="min"/>
        <cfvo type="max"/>
        <color rgb="FFFCFCFF"/>
        <color rgb="FF63BE7B"/>
      </colorScale>
    </cfRule>
  </conditionalFormatting>
  <conditionalFormatting sqref="AZ837:BT837">
    <cfRule type="colorScale" priority="213">
      <colorScale>
        <cfvo type="min"/>
        <cfvo type="max"/>
        <color rgb="FFFCFCFF"/>
        <color rgb="FF63BE7B"/>
      </colorScale>
    </cfRule>
  </conditionalFormatting>
  <conditionalFormatting sqref="AZ839:BT839">
    <cfRule type="colorScale" priority="212">
      <colorScale>
        <cfvo type="min"/>
        <cfvo type="max"/>
        <color rgb="FFFCFCFF"/>
        <color rgb="FF63BE7B"/>
      </colorScale>
    </cfRule>
  </conditionalFormatting>
  <conditionalFormatting sqref="AZ841:BT841">
    <cfRule type="colorScale" priority="211">
      <colorScale>
        <cfvo type="min"/>
        <cfvo type="max"/>
        <color rgb="FFFCFCFF"/>
        <color rgb="FF63BE7B"/>
      </colorScale>
    </cfRule>
  </conditionalFormatting>
  <conditionalFormatting sqref="AZ843:BT843">
    <cfRule type="colorScale" priority="210">
      <colorScale>
        <cfvo type="min"/>
        <cfvo type="max"/>
        <color rgb="FFFCFCFF"/>
        <color rgb="FF63BE7B"/>
      </colorScale>
    </cfRule>
  </conditionalFormatting>
  <conditionalFormatting sqref="AZ845:BT845">
    <cfRule type="colorScale" priority="209">
      <colorScale>
        <cfvo type="min"/>
        <cfvo type="max"/>
        <color rgb="FFFCFCFF"/>
        <color rgb="FF63BE7B"/>
      </colorScale>
    </cfRule>
  </conditionalFormatting>
  <conditionalFormatting sqref="AZ847:BT847">
    <cfRule type="colorScale" priority="208">
      <colorScale>
        <cfvo type="min"/>
        <cfvo type="max"/>
        <color rgb="FFFCFCFF"/>
        <color rgb="FF63BE7B"/>
      </colorScale>
    </cfRule>
  </conditionalFormatting>
  <conditionalFormatting sqref="AZ849:BT849">
    <cfRule type="colorScale" priority="207">
      <colorScale>
        <cfvo type="min"/>
        <cfvo type="max"/>
        <color rgb="FFFCFCFF"/>
        <color rgb="FF63BE7B"/>
      </colorScale>
    </cfRule>
  </conditionalFormatting>
  <conditionalFormatting sqref="AZ851:BT851">
    <cfRule type="colorScale" priority="206">
      <colorScale>
        <cfvo type="min"/>
        <cfvo type="max"/>
        <color rgb="FFFCFCFF"/>
        <color rgb="FF63BE7B"/>
      </colorScale>
    </cfRule>
  </conditionalFormatting>
  <conditionalFormatting sqref="AZ853:BT853">
    <cfRule type="colorScale" priority="205">
      <colorScale>
        <cfvo type="min"/>
        <cfvo type="max"/>
        <color rgb="FFFCFCFF"/>
        <color rgb="FF63BE7B"/>
      </colorScale>
    </cfRule>
  </conditionalFormatting>
  <conditionalFormatting sqref="AZ855:BT855">
    <cfRule type="colorScale" priority="204">
      <colorScale>
        <cfvo type="min"/>
        <cfvo type="max"/>
        <color rgb="FFFCFCFF"/>
        <color rgb="FF63BE7B"/>
      </colorScale>
    </cfRule>
  </conditionalFormatting>
  <conditionalFormatting sqref="AZ857:BT857">
    <cfRule type="colorScale" priority="203">
      <colorScale>
        <cfvo type="min"/>
        <cfvo type="max"/>
        <color rgb="FFFCFCFF"/>
        <color rgb="FF63BE7B"/>
      </colorScale>
    </cfRule>
  </conditionalFormatting>
  <conditionalFormatting sqref="AZ859:BT859">
    <cfRule type="colorScale" priority="202">
      <colorScale>
        <cfvo type="min"/>
        <cfvo type="max"/>
        <color rgb="FFFCFCFF"/>
        <color rgb="FF63BE7B"/>
      </colorScale>
    </cfRule>
  </conditionalFormatting>
  <conditionalFormatting sqref="AZ861:BT861">
    <cfRule type="colorScale" priority="201">
      <colorScale>
        <cfvo type="min"/>
        <cfvo type="max"/>
        <color rgb="FFFCFCFF"/>
        <color rgb="FF63BE7B"/>
      </colorScale>
    </cfRule>
  </conditionalFormatting>
  <conditionalFormatting sqref="AZ863:BT863">
    <cfRule type="colorScale" priority="200">
      <colorScale>
        <cfvo type="min"/>
        <cfvo type="max"/>
        <color rgb="FFFCFCFF"/>
        <color rgb="FF63BE7B"/>
      </colorScale>
    </cfRule>
  </conditionalFormatting>
  <conditionalFormatting sqref="AZ865:BT865">
    <cfRule type="colorScale" priority="199">
      <colorScale>
        <cfvo type="min"/>
        <cfvo type="max"/>
        <color rgb="FFFCFCFF"/>
        <color rgb="FF63BE7B"/>
      </colorScale>
    </cfRule>
  </conditionalFormatting>
  <conditionalFormatting sqref="AZ867:BT867">
    <cfRule type="colorScale" priority="198">
      <colorScale>
        <cfvo type="min"/>
        <cfvo type="max"/>
        <color rgb="FFFCFCFF"/>
        <color rgb="FF63BE7B"/>
      </colorScale>
    </cfRule>
  </conditionalFormatting>
  <conditionalFormatting sqref="AZ869:BT869">
    <cfRule type="colorScale" priority="197">
      <colorScale>
        <cfvo type="min"/>
        <cfvo type="max"/>
        <color rgb="FFFCFCFF"/>
        <color rgb="FF63BE7B"/>
      </colorScale>
    </cfRule>
  </conditionalFormatting>
  <conditionalFormatting sqref="AZ871:BT871">
    <cfRule type="colorScale" priority="196">
      <colorScale>
        <cfvo type="min"/>
        <cfvo type="max"/>
        <color rgb="FFFCFCFF"/>
        <color rgb="FF63BE7B"/>
      </colorScale>
    </cfRule>
  </conditionalFormatting>
  <conditionalFormatting sqref="AZ873:BT873">
    <cfRule type="colorScale" priority="195">
      <colorScale>
        <cfvo type="min"/>
        <cfvo type="max"/>
        <color rgb="FFFCFCFF"/>
        <color rgb="FF63BE7B"/>
      </colorScale>
    </cfRule>
  </conditionalFormatting>
  <conditionalFormatting sqref="AZ875:BT875">
    <cfRule type="colorScale" priority="194">
      <colorScale>
        <cfvo type="min"/>
        <cfvo type="max"/>
        <color rgb="FFFCFCFF"/>
        <color rgb="FF63BE7B"/>
      </colorScale>
    </cfRule>
  </conditionalFormatting>
  <conditionalFormatting sqref="AZ877:BT877">
    <cfRule type="colorScale" priority="193">
      <colorScale>
        <cfvo type="min"/>
        <cfvo type="max"/>
        <color rgb="FFFCFCFF"/>
        <color rgb="FF63BE7B"/>
      </colorScale>
    </cfRule>
  </conditionalFormatting>
  <conditionalFormatting sqref="AZ879:BT879">
    <cfRule type="colorScale" priority="192">
      <colorScale>
        <cfvo type="min"/>
        <cfvo type="max"/>
        <color rgb="FFFCFCFF"/>
        <color rgb="FF63BE7B"/>
      </colorScale>
    </cfRule>
  </conditionalFormatting>
  <conditionalFormatting sqref="AZ881:BT881">
    <cfRule type="colorScale" priority="191">
      <colorScale>
        <cfvo type="min"/>
        <cfvo type="max"/>
        <color rgb="FFFCFCFF"/>
        <color rgb="FF63BE7B"/>
      </colorScale>
    </cfRule>
  </conditionalFormatting>
  <conditionalFormatting sqref="AZ883:BT883">
    <cfRule type="colorScale" priority="190">
      <colorScale>
        <cfvo type="min"/>
        <cfvo type="max"/>
        <color rgb="FFFCFCFF"/>
        <color rgb="FF63BE7B"/>
      </colorScale>
    </cfRule>
  </conditionalFormatting>
  <conditionalFormatting sqref="AZ885:BT885">
    <cfRule type="colorScale" priority="189">
      <colorScale>
        <cfvo type="min"/>
        <cfvo type="max"/>
        <color rgb="FFFCFCFF"/>
        <color rgb="FF63BE7B"/>
      </colorScale>
    </cfRule>
  </conditionalFormatting>
  <conditionalFormatting sqref="AZ887:BT887">
    <cfRule type="colorScale" priority="188">
      <colorScale>
        <cfvo type="min"/>
        <cfvo type="max"/>
        <color rgb="FFFCFCFF"/>
        <color rgb="FF63BE7B"/>
      </colorScale>
    </cfRule>
  </conditionalFormatting>
  <conditionalFormatting sqref="AZ889:BT889">
    <cfRule type="colorScale" priority="187">
      <colorScale>
        <cfvo type="min"/>
        <cfvo type="max"/>
        <color rgb="FFFCFCFF"/>
        <color rgb="FF63BE7B"/>
      </colorScale>
    </cfRule>
  </conditionalFormatting>
  <conditionalFormatting sqref="AZ891:BT891">
    <cfRule type="colorScale" priority="186">
      <colorScale>
        <cfvo type="min"/>
        <cfvo type="max"/>
        <color rgb="FFFCFCFF"/>
        <color rgb="FF63BE7B"/>
      </colorScale>
    </cfRule>
  </conditionalFormatting>
  <conditionalFormatting sqref="AZ893:BT893">
    <cfRule type="colorScale" priority="185">
      <colorScale>
        <cfvo type="min"/>
        <cfvo type="max"/>
        <color rgb="FFFCFCFF"/>
        <color rgb="FF63BE7B"/>
      </colorScale>
    </cfRule>
  </conditionalFormatting>
  <conditionalFormatting sqref="AZ895:BT895">
    <cfRule type="colorScale" priority="184">
      <colorScale>
        <cfvo type="min"/>
        <cfvo type="max"/>
        <color rgb="FFFCFCFF"/>
        <color rgb="FF63BE7B"/>
      </colorScale>
    </cfRule>
  </conditionalFormatting>
  <conditionalFormatting sqref="AZ897:BT897">
    <cfRule type="colorScale" priority="183">
      <colorScale>
        <cfvo type="min"/>
        <cfvo type="max"/>
        <color rgb="FFFCFCFF"/>
        <color rgb="FF63BE7B"/>
      </colorScale>
    </cfRule>
  </conditionalFormatting>
  <conditionalFormatting sqref="AZ899:BT899">
    <cfRule type="colorScale" priority="182">
      <colorScale>
        <cfvo type="min"/>
        <cfvo type="max"/>
        <color rgb="FFFCFCFF"/>
        <color rgb="FF63BE7B"/>
      </colorScale>
    </cfRule>
  </conditionalFormatting>
  <conditionalFormatting sqref="AZ901:BT901">
    <cfRule type="colorScale" priority="181">
      <colorScale>
        <cfvo type="min"/>
        <cfvo type="max"/>
        <color rgb="FFFCFCFF"/>
        <color rgb="FF63BE7B"/>
      </colorScale>
    </cfRule>
  </conditionalFormatting>
  <conditionalFormatting sqref="AZ903:BT903">
    <cfRule type="colorScale" priority="180">
      <colorScale>
        <cfvo type="min"/>
        <cfvo type="max"/>
        <color rgb="FFFCFCFF"/>
        <color rgb="FF63BE7B"/>
      </colorScale>
    </cfRule>
  </conditionalFormatting>
  <conditionalFormatting sqref="AZ905:BT905">
    <cfRule type="colorScale" priority="179">
      <colorScale>
        <cfvo type="min"/>
        <cfvo type="max"/>
        <color rgb="FFFCFCFF"/>
        <color rgb="FF63BE7B"/>
      </colorScale>
    </cfRule>
  </conditionalFormatting>
  <conditionalFormatting sqref="AZ907:BT907">
    <cfRule type="colorScale" priority="178">
      <colorScale>
        <cfvo type="min"/>
        <cfvo type="max"/>
        <color rgb="FFFCFCFF"/>
        <color rgb="FF63BE7B"/>
      </colorScale>
    </cfRule>
  </conditionalFormatting>
  <conditionalFormatting sqref="AZ909:BT909">
    <cfRule type="colorScale" priority="177">
      <colorScale>
        <cfvo type="min"/>
        <cfvo type="max"/>
        <color rgb="FFFCFCFF"/>
        <color rgb="FF63BE7B"/>
      </colorScale>
    </cfRule>
  </conditionalFormatting>
  <conditionalFormatting sqref="AZ911:BT911">
    <cfRule type="colorScale" priority="176">
      <colorScale>
        <cfvo type="min"/>
        <cfvo type="max"/>
        <color rgb="FFFCFCFF"/>
        <color rgb="FF63BE7B"/>
      </colorScale>
    </cfRule>
  </conditionalFormatting>
  <conditionalFormatting sqref="AZ913:BT913">
    <cfRule type="colorScale" priority="175">
      <colorScale>
        <cfvo type="min"/>
        <cfvo type="max"/>
        <color rgb="FFFCFCFF"/>
        <color rgb="FF63BE7B"/>
      </colorScale>
    </cfRule>
  </conditionalFormatting>
  <conditionalFormatting sqref="AZ915:BT915">
    <cfRule type="colorScale" priority="174">
      <colorScale>
        <cfvo type="min"/>
        <cfvo type="max"/>
        <color rgb="FFFCFCFF"/>
        <color rgb="FF63BE7B"/>
      </colorScale>
    </cfRule>
  </conditionalFormatting>
  <conditionalFormatting sqref="AZ917:BT917">
    <cfRule type="colorScale" priority="173">
      <colorScale>
        <cfvo type="min"/>
        <cfvo type="max"/>
        <color rgb="FFFCFCFF"/>
        <color rgb="FF63BE7B"/>
      </colorScale>
    </cfRule>
  </conditionalFormatting>
  <conditionalFormatting sqref="AZ919:BT919">
    <cfRule type="colorScale" priority="172">
      <colorScale>
        <cfvo type="min"/>
        <cfvo type="max"/>
        <color rgb="FFFCFCFF"/>
        <color rgb="FF63BE7B"/>
      </colorScale>
    </cfRule>
  </conditionalFormatting>
  <conditionalFormatting sqref="AZ921:BT921">
    <cfRule type="colorScale" priority="171">
      <colorScale>
        <cfvo type="min"/>
        <cfvo type="max"/>
        <color rgb="FFFCFCFF"/>
        <color rgb="FF63BE7B"/>
      </colorScale>
    </cfRule>
  </conditionalFormatting>
  <conditionalFormatting sqref="AZ923:BT923">
    <cfRule type="colorScale" priority="170">
      <colorScale>
        <cfvo type="min"/>
        <cfvo type="max"/>
        <color rgb="FFFCFCFF"/>
        <color rgb="FF63BE7B"/>
      </colorScale>
    </cfRule>
  </conditionalFormatting>
  <conditionalFormatting sqref="AZ925:BT925">
    <cfRule type="colorScale" priority="169">
      <colorScale>
        <cfvo type="min"/>
        <cfvo type="max"/>
        <color rgb="FFFCFCFF"/>
        <color rgb="FF63BE7B"/>
      </colorScale>
    </cfRule>
  </conditionalFormatting>
  <conditionalFormatting sqref="AZ927:BT927">
    <cfRule type="colorScale" priority="168">
      <colorScale>
        <cfvo type="min"/>
        <cfvo type="max"/>
        <color rgb="FFFCFCFF"/>
        <color rgb="FF63BE7B"/>
      </colorScale>
    </cfRule>
  </conditionalFormatting>
  <conditionalFormatting sqref="AZ929:BT929">
    <cfRule type="colorScale" priority="167">
      <colorScale>
        <cfvo type="min"/>
        <cfvo type="max"/>
        <color rgb="FFFCFCFF"/>
        <color rgb="FF63BE7B"/>
      </colorScale>
    </cfRule>
  </conditionalFormatting>
  <conditionalFormatting sqref="AZ931:BT931">
    <cfRule type="colorScale" priority="166">
      <colorScale>
        <cfvo type="min"/>
        <cfvo type="max"/>
        <color rgb="FFFCFCFF"/>
        <color rgb="FF63BE7B"/>
      </colorScale>
    </cfRule>
  </conditionalFormatting>
  <conditionalFormatting sqref="AZ933:BT933">
    <cfRule type="colorScale" priority="165">
      <colorScale>
        <cfvo type="min"/>
        <cfvo type="max"/>
        <color rgb="FFFCFCFF"/>
        <color rgb="FF63BE7B"/>
      </colorScale>
    </cfRule>
  </conditionalFormatting>
  <conditionalFormatting sqref="AZ935:BT935">
    <cfRule type="colorScale" priority="164">
      <colorScale>
        <cfvo type="min"/>
        <cfvo type="max"/>
        <color rgb="FFFCFCFF"/>
        <color rgb="FF63BE7B"/>
      </colorScale>
    </cfRule>
  </conditionalFormatting>
  <conditionalFormatting sqref="AZ937:BT937">
    <cfRule type="colorScale" priority="163">
      <colorScale>
        <cfvo type="min"/>
        <cfvo type="max"/>
        <color rgb="FFFCFCFF"/>
        <color rgb="FF63BE7B"/>
      </colorScale>
    </cfRule>
  </conditionalFormatting>
  <conditionalFormatting sqref="AZ939:BT939">
    <cfRule type="colorScale" priority="162">
      <colorScale>
        <cfvo type="min"/>
        <cfvo type="max"/>
        <color rgb="FFFCFCFF"/>
        <color rgb="FF63BE7B"/>
      </colorScale>
    </cfRule>
  </conditionalFormatting>
  <conditionalFormatting sqref="AZ941:BT941">
    <cfRule type="colorScale" priority="161">
      <colorScale>
        <cfvo type="min"/>
        <cfvo type="max"/>
        <color rgb="FFFCFCFF"/>
        <color rgb="FF63BE7B"/>
      </colorScale>
    </cfRule>
  </conditionalFormatting>
  <conditionalFormatting sqref="AZ943:BT943">
    <cfRule type="colorScale" priority="160">
      <colorScale>
        <cfvo type="min"/>
        <cfvo type="max"/>
        <color rgb="FFFCFCFF"/>
        <color rgb="FF63BE7B"/>
      </colorScale>
    </cfRule>
  </conditionalFormatting>
  <conditionalFormatting sqref="AZ945:BT945">
    <cfRule type="colorScale" priority="159">
      <colorScale>
        <cfvo type="min"/>
        <cfvo type="max"/>
        <color rgb="FFFCFCFF"/>
        <color rgb="FF63BE7B"/>
      </colorScale>
    </cfRule>
  </conditionalFormatting>
  <conditionalFormatting sqref="AZ947:BT947">
    <cfRule type="colorScale" priority="158">
      <colorScale>
        <cfvo type="min"/>
        <cfvo type="max"/>
        <color rgb="FFFCFCFF"/>
        <color rgb="FF63BE7B"/>
      </colorScale>
    </cfRule>
  </conditionalFormatting>
  <conditionalFormatting sqref="AZ949:BT949">
    <cfRule type="colorScale" priority="157">
      <colorScale>
        <cfvo type="min"/>
        <cfvo type="max"/>
        <color rgb="FFFCFCFF"/>
        <color rgb="FF63BE7B"/>
      </colorScale>
    </cfRule>
  </conditionalFormatting>
  <conditionalFormatting sqref="AZ951:BT951">
    <cfRule type="colorScale" priority="156">
      <colorScale>
        <cfvo type="min"/>
        <cfvo type="max"/>
        <color rgb="FFFCFCFF"/>
        <color rgb="FF63BE7B"/>
      </colorScale>
    </cfRule>
  </conditionalFormatting>
  <conditionalFormatting sqref="AZ953:BT953">
    <cfRule type="colorScale" priority="155">
      <colorScale>
        <cfvo type="min"/>
        <cfvo type="max"/>
        <color rgb="FFFCFCFF"/>
        <color rgb="FF63BE7B"/>
      </colorScale>
    </cfRule>
  </conditionalFormatting>
  <conditionalFormatting sqref="AZ955:BT955">
    <cfRule type="colorScale" priority="154">
      <colorScale>
        <cfvo type="min"/>
        <cfvo type="max"/>
        <color rgb="FFFCFCFF"/>
        <color rgb="FF63BE7B"/>
      </colorScale>
    </cfRule>
  </conditionalFormatting>
  <conditionalFormatting sqref="AZ957:BT957">
    <cfRule type="colorScale" priority="153">
      <colorScale>
        <cfvo type="min"/>
        <cfvo type="max"/>
        <color rgb="FFFCFCFF"/>
        <color rgb="FF63BE7B"/>
      </colorScale>
    </cfRule>
  </conditionalFormatting>
  <conditionalFormatting sqref="AZ959:BT959">
    <cfRule type="colorScale" priority="152">
      <colorScale>
        <cfvo type="min"/>
        <cfvo type="max"/>
        <color rgb="FFFCFCFF"/>
        <color rgb="FF63BE7B"/>
      </colorScale>
    </cfRule>
  </conditionalFormatting>
  <conditionalFormatting sqref="AZ961:BT961">
    <cfRule type="colorScale" priority="151">
      <colorScale>
        <cfvo type="min"/>
        <cfvo type="max"/>
        <color rgb="FFFCFCFF"/>
        <color rgb="FF63BE7B"/>
      </colorScale>
    </cfRule>
  </conditionalFormatting>
  <conditionalFormatting sqref="AZ963:BT963">
    <cfRule type="colorScale" priority="150">
      <colorScale>
        <cfvo type="min"/>
        <cfvo type="max"/>
        <color rgb="FFFCFCFF"/>
        <color rgb="FF63BE7B"/>
      </colorScale>
    </cfRule>
  </conditionalFormatting>
  <conditionalFormatting sqref="AZ965:BT965">
    <cfRule type="colorScale" priority="149">
      <colorScale>
        <cfvo type="min"/>
        <cfvo type="max"/>
        <color rgb="FFFCFCFF"/>
        <color rgb="FF63BE7B"/>
      </colorScale>
    </cfRule>
  </conditionalFormatting>
  <conditionalFormatting sqref="AZ967:BT967">
    <cfRule type="colorScale" priority="148">
      <colorScale>
        <cfvo type="min"/>
        <cfvo type="max"/>
        <color rgb="FFFCFCFF"/>
        <color rgb="FF63BE7B"/>
      </colorScale>
    </cfRule>
  </conditionalFormatting>
  <conditionalFormatting sqref="AZ969:BT969">
    <cfRule type="colorScale" priority="147">
      <colorScale>
        <cfvo type="min"/>
        <cfvo type="max"/>
        <color rgb="FFFCFCFF"/>
        <color rgb="FF63BE7B"/>
      </colorScale>
    </cfRule>
  </conditionalFormatting>
  <conditionalFormatting sqref="AZ971:BT971">
    <cfRule type="colorScale" priority="146">
      <colorScale>
        <cfvo type="min"/>
        <cfvo type="max"/>
        <color rgb="FFFCFCFF"/>
        <color rgb="FF63BE7B"/>
      </colorScale>
    </cfRule>
  </conditionalFormatting>
  <conditionalFormatting sqref="AZ973:BT973">
    <cfRule type="colorScale" priority="145">
      <colorScale>
        <cfvo type="min"/>
        <cfvo type="max"/>
        <color rgb="FFFCFCFF"/>
        <color rgb="FF63BE7B"/>
      </colorScale>
    </cfRule>
  </conditionalFormatting>
  <conditionalFormatting sqref="AZ975:BT975">
    <cfRule type="colorScale" priority="144">
      <colorScale>
        <cfvo type="min"/>
        <cfvo type="max"/>
        <color rgb="FFFCFCFF"/>
        <color rgb="FF63BE7B"/>
      </colorScale>
    </cfRule>
  </conditionalFormatting>
  <conditionalFormatting sqref="AZ977:BT977">
    <cfRule type="colorScale" priority="143">
      <colorScale>
        <cfvo type="min"/>
        <cfvo type="max"/>
        <color rgb="FFFCFCFF"/>
        <color rgb="FF63BE7B"/>
      </colorScale>
    </cfRule>
  </conditionalFormatting>
  <conditionalFormatting sqref="AZ979:BT979">
    <cfRule type="colorScale" priority="142">
      <colorScale>
        <cfvo type="min"/>
        <cfvo type="max"/>
        <color rgb="FFFCFCFF"/>
        <color rgb="FF63BE7B"/>
      </colorScale>
    </cfRule>
  </conditionalFormatting>
  <conditionalFormatting sqref="AZ981:BT981">
    <cfRule type="colorScale" priority="141">
      <colorScale>
        <cfvo type="min"/>
        <cfvo type="max"/>
        <color rgb="FFFCFCFF"/>
        <color rgb="FF63BE7B"/>
      </colorScale>
    </cfRule>
  </conditionalFormatting>
  <conditionalFormatting sqref="AZ983:BT983">
    <cfRule type="colorScale" priority="140">
      <colorScale>
        <cfvo type="min"/>
        <cfvo type="max"/>
        <color rgb="FFFCFCFF"/>
        <color rgb="FF63BE7B"/>
      </colorScale>
    </cfRule>
  </conditionalFormatting>
  <conditionalFormatting sqref="AZ985:BT985">
    <cfRule type="colorScale" priority="139">
      <colorScale>
        <cfvo type="min"/>
        <cfvo type="max"/>
        <color rgb="FFFCFCFF"/>
        <color rgb="FF63BE7B"/>
      </colorScale>
    </cfRule>
  </conditionalFormatting>
  <conditionalFormatting sqref="AZ987:BT987">
    <cfRule type="colorScale" priority="138">
      <colorScale>
        <cfvo type="min"/>
        <cfvo type="max"/>
        <color rgb="FFFCFCFF"/>
        <color rgb="FF63BE7B"/>
      </colorScale>
    </cfRule>
  </conditionalFormatting>
  <conditionalFormatting sqref="AZ989:BT989">
    <cfRule type="colorScale" priority="137">
      <colorScale>
        <cfvo type="min"/>
        <cfvo type="max"/>
        <color rgb="FFFCFCFF"/>
        <color rgb="FF63BE7B"/>
      </colorScale>
    </cfRule>
  </conditionalFormatting>
  <conditionalFormatting sqref="AZ991:BT991">
    <cfRule type="colorScale" priority="136">
      <colorScale>
        <cfvo type="min"/>
        <cfvo type="max"/>
        <color rgb="FFFCFCFF"/>
        <color rgb="FF63BE7B"/>
      </colorScale>
    </cfRule>
  </conditionalFormatting>
  <conditionalFormatting sqref="AZ993:BT993">
    <cfRule type="colorScale" priority="135">
      <colorScale>
        <cfvo type="min"/>
        <cfvo type="max"/>
        <color rgb="FFFCFCFF"/>
        <color rgb="FF63BE7B"/>
      </colorScale>
    </cfRule>
  </conditionalFormatting>
  <conditionalFormatting sqref="AZ995:BT995">
    <cfRule type="colorScale" priority="134">
      <colorScale>
        <cfvo type="min"/>
        <cfvo type="max"/>
        <color rgb="FFFCFCFF"/>
        <color rgb="FF63BE7B"/>
      </colorScale>
    </cfRule>
  </conditionalFormatting>
  <conditionalFormatting sqref="AZ997:BT997">
    <cfRule type="colorScale" priority="133">
      <colorScale>
        <cfvo type="min"/>
        <cfvo type="max"/>
        <color rgb="FFFCFCFF"/>
        <color rgb="FF63BE7B"/>
      </colorScale>
    </cfRule>
  </conditionalFormatting>
  <conditionalFormatting sqref="AZ999:BT999">
    <cfRule type="colorScale" priority="132">
      <colorScale>
        <cfvo type="min"/>
        <cfvo type="max"/>
        <color rgb="FFFCFCFF"/>
        <color rgb="FF63BE7B"/>
      </colorScale>
    </cfRule>
  </conditionalFormatting>
  <conditionalFormatting sqref="AZ1001:BT1001">
    <cfRule type="colorScale" priority="131">
      <colorScale>
        <cfvo type="min"/>
        <cfvo type="max"/>
        <color rgb="FFFCFCFF"/>
        <color rgb="FF63BE7B"/>
      </colorScale>
    </cfRule>
  </conditionalFormatting>
  <conditionalFormatting sqref="AZ1003:BT1003">
    <cfRule type="colorScale" priority="130">
      <colorScale>
        <cfvo type="min"/>
        <cfvo type="max"/>
        <color rgb="FFFCFCFF"/>
        <color rgb="FF63BE7B"/>
      </colorScale>
    </cfRule>
  </conditionalFormatting>
  <conditionalFormatting sqref="AZ1005:BT1005">
    <cfRule type="colorScale" priority="129">
      <colorScale>
        <cfvo type="min"/>
        <cfvo type="max"/>
        <color rgb="FFFCFCFF"/>
        <color rgb="FF63BE7B"/>
      </colorScale>
    </cfRule>
  </conditionalFormatting>
  <conditionalFormatting sqref="AZ1007:BT1007">
    <cfRule type="colorScale" priority="128">
      <colorScale>
        <cfvo type="min"/>
        <cfvo type="max"/>
        <color rgb="FFFCFCFF"/>
        <color rgb="FF63BE7B"/>
      </colorScale>
    </cfRule>
  </conditionalFormatting>
  <conditionalFormatting sqref="AZ1009:BT1009">
    <cfRule type="colorScale" priority="127">
      <colorScale>
        <cfvo type="min"/>
        <cfvo type="max"/>
        <color rgb="FFFCFCFF"/>
        <color rgb="FF63BE7B"/>
      </colorScale>
    </cfRule>
  </conditionalFormatting>
  <conditionalFormatting sqref="AZ1011:BT1011">
    <cfRule type="colorScale" priority="126">
      <colorScale>
        <cfvo type="min"/>
        <cfvo type="max"/>
        <color rgb="FFFCFCFF"/>
        <color rgb="FF63BE7B"/>
      </colorScale>
    </cfRule>
  </conditionalFormatting>
  <conditionalFormatting sqref="AZ1013:BT1013">
    <cfRule type="colorScale" priority="125">
      <colorScale>
        <cfvo type="min"/>
        <cfvo type="max"/>
        <color rgb="FFFCFCFF"/>
        <color rgb="FF63BE7B"/>
      </colorScale>
    </cfRule>
  </conditionalFormatting>
  <conditionalFormatting sqref="AZ1015:BT1015">
    <cfRule type="colorScale" priority="124">
      <colorScale>
        <cfvo type="min"/>
        <cfvo type="max"/>
        <color rgb="FFFCFCFF"/>
        <color rgb="FF63BE7B"/>
      </colorScale>
    </cfRule>
  </conditionalFormatting>
  <conditionalFormatting sqref="AZ1017:BT1017">
    <cfRule type="colorScale" priority="123">
      <colorScale>
        <cfvo type="min"/>
        <cfvo type="max"/>
        <color rgb="FFFCFCFF"/>
        <color rgb="FF63BE7B"/>
      </colorScale>
    </cfRule>
  </conditionalFormatting>
  <conditionalFormatting sqref="AZ1019:BT1019">
    <cfRule type="colorScale" priority="122">
      <colorScale>
        <cfvo type="min"/>
        <cfvo type="max"/>
        <color rgb="FFFCFCFF"/>
        <color rgb="FF63BE7B"/>
      </colorScale>
    </cfRule>
  </conditionalFormatting>
  <conditionalFormatting sqref="AZ1021:BT1021">
    <cfRule type="colorScale" priority="121">
      <colorScale>
        <cfvo type="min"/>
        <cfvo type="max"/>
        <color rgb="FFFCFCFF"/>
        <color rgb="FF63BE7B"/>
      </colorScale>
    </cfRule>
  </conditionalFormatting>
  <conditionalFormatting sqref="AZ1023:BT1023">
    <cfRule type="colorScale" priority="120">
      <colorScale>
        <cfvo type="min"/>
        <cfvo type="max"/>
        <color rgb="FFFCFCFF"/>
        <color rgb="FF63BE7B"/>
      </colorScale>
    </cfRule>
  </conditionalFormatting>
  <conditionalFormatting sqref="AZ1025:BT1025">
    <cfRule type="colorScale" priority="119">
      <colorScale>
        <cfvo type="min"/>
        <cfvo type="max"/>
        <color rgb="FFFCFCFF"/>
        <color rgb="FF63BE7B"/>
      </colorScale>
    </cfRule>
  </conditionalFormatting>
  <conditionalFormatting sqref="AZ1027:BT1027">
    <cfRule type="colorScale" priority="118">
      <colorScale>
        <cfvo type="min"/>
        <cfvo type="max"/>
        <color rgb="FFFCFCFF"/>
        <color rgb="FF63BE7B"/>
      </colorScale>
    </cfRule>
  </conditionalFormatting>
  <conditionalFormatting sqref="AZ1029:BT1029">
    <cfRule type="colorScale" priority="117">
      <colorScale>
        <cfvo type="min"/>
        <cfvo type="max"/>
        <color rgb="FFFCFCFF"/>
        <color rgb="FF63BE7B"/>
      </colorScale>
    </cfRule>
  </conditionalFormatting>
  <conditionalFormatting sqref="AZ1031:BT1031">
    <cfRule type="colorScale" priority="116">
      <colorScale>
        <cfvo type="min"/>
        <cfvo type="max"/>
        <color rgb="FFFCFCFF"/>
        <color rgb="FF63BE7B"/>
      </colorScale>
    </cfRule>
  </conditionalFormatting>
  <conditionalFormatting sqref="AZ1033:BT1033">
    <cfRule type="colorScale" priority="115">
      <colorScale>
        <cfvo type="min"/>
        <cfvo type="max"/>
        <color rgb="FFFCFCFF"/>
        <color rgb="FF63BE7B"/>
      </colorScale>
    </cfRule>
  </conditionalFormatting>
  <conditionalFormatting sqref="AZ1035:BT1035">
    <cfRule type="colorScale" priority="114">
      <colorScale>
        <cfvo type="min"/>
        <cfvo type="max"/>
        <color rgb="FFFCFCFF"/>
        <color rgb="FF63BE7B"/>
      </colorScale>
    </cfRule>
  </conditionalFormatting>
  <conditionalFormatting sqref="AZ1037:BT1037">
    <cfRule type="colorScale" priority="113">
      <colorScale>
        <cfvo type="min"/>
        <cfvo type="max"/>
        <color rgb="FFFCFCFF"/>
        <color rgb="FF63BE7B"/>
      </colorScale>
    </cfRule>
  </conditionalFormatting>
  <conditionalFormatting sqref="AZ1039:BT1039">
    <cfRule type="colorScale" priority="112">
      <colorScale>
        <cfvo type="min"/>
        <cfvo type="max"/>
        <color rgb="FFFCFCFF"/>
        <color rgb="FF63BE7B"/>
      </colorScale>
    </cfRule>
  </conditionalFormatting>
  <conditionalFormatting sqref="AZ1041:BT1041">
    <cfRule type="colorScale" priority="111">
      <colorScale>
        <cfvo type="min"/>
        <cfvo type="max"/>
        <color rgb="FFFCFCFF"/>
        <color rgb="FF63BE7B"/>
      </colorScale>
    </cfRule>
  </conditionalFormatting>
  <conditionalFormatting sqref="AZ1043:BT1043">
    <cfRule type="colorScale" priority="110">
      <colorScale>
        <cfvo type="min"/>
        <cfvo type="max"/>
        <color rgb="FFFCFCFF"/>
        <color rgb="FF63BE7B"/>
      </colorScale>
    </cfRule>
  </conditionalFormatting>
  <conditionalFormatting sqref="AZ1045:BT1045">
    <cfRule type="colorScale" priority="109">
      <colorScale>
        <cfvo type="min"/>
        <cfvo type="max"/>
        <color rgb="FFFCFCFF"/>
        <color rgb="FF63BE7B"/>
      </colorScale>
    </cfRule>
  </conditionalFormatting>
  <conditionalFormatting sqref="AZ1047:BT1047">
    <cfRule type="colorScale" priority="108">
      <colorScale>
        <cfvo type="min"/>
        <cfvo type="max"/>
        <color rgb="FFFCFCFF"/>
        <color rgb="FF63BE7B"/>
      </colorScale>
    </cfRule>
  </conditionalFormatting>
  <conditionalFormatting sqref="AZ1049:BT1049">
    <cfRule type="colorScale" priority="107">
      <colorScale>
        <cfvo type="min"/>
        <cfvo type="max"/>
        <color rgb="FFFCFCFF"/>
        <color rgb="FF63BE7B"/>
      </colorScale>
    </cfRule>
  </conditionalFormatting>
  <conditionalFormatting sqref="AZ1051:BT1051">
    <cfRule type="colorScale" priority="106">
      <colorScale>
        <cfvo type="min"/>
        <cfvo type="max"/>
        <color rgb="FFFCFCFF"/>
        <color rgb="FF63BE7B"/>
      </colorScale>
    </cfRule>
  </conditionalFormatting>
  <conditionalFormatting sqref="AZ1053:BT1053">
    <cfRule type="colorScale" priority="105">
      <colorScale>
        <cfvo type="min"/>
        <cfvo type="max"/>
        <color rgb="FFFCFCFF"/>
        <color rgb="FF63BE7B"/>
      </colorScale>
    </cfRule>
  </conditionalFormatting>
  <conditionalFormatting sqref="AZ1055:BT1055">
    <cfRule type="colorScale" priority="104">
      <colorScale>
        <cfvo type="min"/>
        <cfvo type="max"/>
        <color rgb="FFFCFCFF"/>
        <color rgb="FF63BE7B"/>
      </colorScale>
    </cfRule>
  </conditionalFormatting>
  <conditionalFormatting sqref="AZ1057:BT1057">
    <cfRule type="colorScale" priority="103">
      <colorScale>
        <cfvo type="min"/>
        <cfvo type="max"/>
        <color rgb="FFFCFCFF"/>
        <color rgb="FF63BE7B"/>
      </colorScale>
    </cfRule>
  </conditionalFormatting>
  <conditionalFormatting sqref="AZ1059:BT1059">
    <cfRule type="colorScale" priority="102">
      <colorScale>
        <cfvo type="min"/>
        <cfvo type="max"/>
        <color rgb="FFFCFCFF"/>
        <color rgb="FF63BE7B"/>
      </colorScale>
    </cfRule>
  </conditionalFormatting>
  <conditionalFormatting sqref="AZ1061:BT1061">
    <cfRule type="colorScale" priority="101">
      <colorScale>
        <cfvo type="min"/>
        <cfvo type="max"/>
        <color rgb="FFFCFCFF"/>
        <color rgb="FF63BE7B"/>
      </colorScale>
    </cfRule>
  </conditionalFormatting>
  <conditionalFormatting sqref="AZ1063:BT1063">
    <cfRule type="colorScale" priority="100">
      <colorScale>
        <cfvo type="min"/>
        <cfvo type="max"/>
        <color rgb="FFFCFCFF"/>
        <color rgb="FF63BE7B"/>
      </colorScale>
    </cfRule>
  </conditionalFormatting>
  <conditionalFormatting sqref="AZ1065:BT1065">
    <cfRule type="colorScale" priority="99">
      <colorScale>
        <cfvo type="min"/>
        <cfvo type="max"/>
        <color rgb="FFFCFCFF"/>
        <color rgb="FF63BE7B"/>
      </colorScale>
    </cfRule>
  </conditionalFormatting>
  <conditionalFormatting sqref="AZ1067:BT1067">
    <cfRule type="colorScale" priority="98">
      <colorScale>
        <cfvo type="min"/>
        <cfvo type="max"/>
        <color rgb="FFFCFCFF"/>
        <color rgb="FF63BE7B"/>
      </colorScale>
    </cfRule>
  </conditionalFormatting>
  <conditionalFormatting sqref="AZ1069:BT1069">
    <cfRule type="colorScale" priority="97">
      <colorScale>
        <cfvo type="min"/>
        <cfvo type="max"/>
        <color rgb="FFFCFCFF"/>
        <color rgb="FF63BE7B"/>
      </colorScale>
    </cfRule>
  </conditionalFormatting>
  <conditionalFormatting sqref="AZ1071:BT1071">
    <cfRule type="colorScale" priority="96">
      <colorScale>
        <cfvo type="min"/>
        <cfvo type="max"/>
        <color rgb="FFFCFCFF"/>
        <color rgb="FF63BE7B"/>
      </colorScale>
    </cfRule>
  </conditionalFormatting>
  <conditionalFormatting sqref="AZ1073:BT1073">
    <cfRule type="colorScale" priority="95">
      <colorScale>
        <cfvo type="min"/>
        <cfvo type="max"/>
        <color rgb="FFFCFCFF"/>
        <color rgb="FF63BE7B"/>
      </colorScale>
    </cfRule>
  </conditionalFormatting>
  <conditionalFormatting sqref="AZ1075:BT1075">
    <cfRule type="colorScale" priority="94">
      <colorScale>
        <cfvo type="min"/>
        <cfvo type="max"/>
        <color rgb="FFFCFCFF"/>
        <color rgb="FF63BE7B"/>
      </colorScale>
    </cfRule>
  </conditionalFormatting>
  <conditionalFormatting sqref="AZ1077:BT1077">
    <cfRule type="colorScale" priority="93">
      <colorScale>
        <cfvo type="min"/>
        <cfvo type="max"/>
        <color rgb="FFFCFCFF"/>
        <color rgb="FF63BE7B"/>
      </colorScale>
    </cfRule>
  </conditionalFormatting>
  <conditionalFormatting sqref="AZ1079:BT1079">
    <cfRule type="colorScale" priority="92">
      <colorScale>
        <cfvo type="min"/>
        <cfvo type="max"/>
        <color rgb="FFFCFCFF"/>
        <color rgb="FF63BE7B"/>
      </colorScale>
    </cfRule>
  </conditionalFormatting>
  <conditionalFormatting sqref="AZ1081:BT1081">
    <cfRule type="colorScale" priority="91">
      <colorScale>
        <cfvo type="min"/>
        <cfvo type="max"/>
        <color rgb="FFFCFCFF"/>
        <color rgb="FF63BE7B"/>
      </colorScale>
    </cfRule>
  </conditionalFormatting>
  <conditionalFormatting sqref="AZ1083:BT1083">
    <cfRule type="colorScale" priority="90">
      <colorScale>
        <cfvo type="min"/>
        <cfvo type="max"/>
        <color rgb="FFFCFCFF"/>
        <color rgb="FF63BE7B"/>
      </colorScale>
    </cfRule>
  </conditionalFormatting>
  <conditionalFormatting sqref="AZ1085:BT1085">
    <cfRule type="colorScale" priority="89">
      <colorScale>
        <cfvo type="min"/>
        <cfvo type="max"/>
        <color rgb="FFFCFCFF"/>
        <color rgb="FF63BE7B"/>
      </colorScale>
    </cfRule>
  </conditionalFormatting>
  <conditionalFormatting sqref="AZ1087:BT1087">
    <cfRule type="colorScale" priority="88">
      <colorScale>
        <cfvo type="min"/>
        <cfvo type="max"/>
        <color rgb="FFFCFCFF"/>
        <color rgb="FF63BE7B"/>
      </colorScale>
    </cfRule>
  </conditionalFormatting>
  <conditionalFormatting sqref="AZ1089:BT1089">
    <cfRule type="colorScale" priority="87">
      <colorScale>
        <cfvo type="min"/>
        <cfvo type="max"/>
        <color rgb="FFFCFCFF"/>
        <color rgb="FF63BE7B"/>
      </colorScale>
    </cfRule>
  </conditionalFormatting>
  <conditionalFormatting sqref="AZ1091:BT1091">
    <cfRule type="colorScale" priority="86">
      <colorScale>
        <cfvo type="min"/>
        <cfvo type="max"/>
        <color rgb="FFFCFCFF"/>
        <color rgb="FF63BE7B"/>
      </colorScale>
    </cfRule>
  </conditionalFormatting>
  <conditionalFormatting sqref="AZ1093:BT1093">
    <cfRule type="colorScale" priority="85">
      <colorScale>
        <cfvo type="min"/>
        <cfvo type="max"/>
        <color rgb="FFFCFCFF"/>
        <color rgb="FF63BE7B"/>
      </colorScale>
    </cfRule>
  </conditionalFormatting>
  <conditionalFormatting sqref="AZ1095:BT1095">
    <cfRule type="colorScale" priority="84">
      <colorScale>
        <cfvo type="min"/>
        <cfvo type="max"/>
        <color rgb="FFFCFCFF"/>
        <color rgb="FF63BE7B"/>
      </colorScale>
    </cfRule>
  </conditionalFormatting>
  <conditionalFormatting sqref="AZ1097:BT1097">
    <cfRule type="colorScale" priority="83">
      <colorScale>
        <cfvo type="min"/>
        <cfvo type="max"/>
        <color rgb="FFFCFCFF"/>
        <color rgb="FF63BE7B"/>
      </colorScale>
    </cfRule>
  </conditionalFormatting>
  <conditionalFormatting sqref="AZ1099:BT1099">
    <cfRule type="colorScale" priority="82">
      <colorScale>
        <cfvo type="min"/>
        <cfvo type="max"/>
        <color rgb="FFFCFCFF"/>
        <color rgb="FF63BE7B"/>
      </colorScale>
    </cfRule>
  </conditionalFormatting>
  <conditionalFormatting sqref="AZ1101:BT1101">
    <cfRule type="colorScale" priority="81">
      <colorScale>
        <cfvo type="min"/>
        <cfvo type="max"/>
        <color rgb="FFFCFCFF"/>
        <color rgb="FF63BE7B"/>
      </colorScale>
    </cfRule>
  </conditionalFormatting>
  <conditionalFormatting sqref="AZ1103:BT1103">
    <cfRule type="colorScale" priority="80">
      <colorScale>
        <cfvo type="min"/>
        <cfvo type="max"/>
        <color rgb="FFFCFCFF"/>
        <color rgb="FF63BE7B"/>
      </colorScale>
    </cfRule>
  </conditionalFormatting>
  <conditionalFormatting sqref="AZ1105:BT1105">
    <cfRule type="colorScale" priority="79">
      <colorScale>
        <cfvo type="min"/>
        <cfvo type="max"/>
        <color rgb="FFFCFCFF"/>
        <color rgb="FF63BE7B"/>
      </colorScale>
    </cfRule>
  </conditionalFormatting>
  <conditionalFormatting sqref="AZ1107:BT1107">
    <cfRule type="colorScale" priority="78">
      <colorScale>
        <cfvo type="min"/>
        <cfvo type="max"/>
        <color rgb="FFFCFCFF"/>
        <color rgb="FF63BE7B"/>
      </colorScale>
    </cfRule>
  </conditionalFormatting>
  <conditionalFormatting sqref="AZ1109:BT1109">
    <cfRule type="colorScale" priority="77">
      <colorScale>
        <cfvo type="min"/>
        <cfvo type="max"/>
        <color rgb="FFFCFCFF"/>
        <color rgb="FF63BE7B"/>
      </colorScale>
    </cfRule>
  </conditionalFormatting>
  <conditionalFormatting sqref="AZ1111:BT1111">
    <cfRule type="colorScale" priority="76">
      <colorScale>
        <cfvo type="min"/>
        <cfvo type="max"/>
        <color rgb="FFFCFCFF"/>
        <color rgb="FF63BE7B"/>
      </colorScale>
    </cfRule>
  </conditionalFormatting>
  <conditionalFormatting sqref="AZ1113:BT1113">
    <cfRule type="colorScale" priority="75">
      <colorScale>
        <cfvo type="min"/>
        <cfvo type="max"/>
        <color rgb="FFFCFCFF"/>
        <color rgb="FF63BE7B"/>
      </colorScale>
    </cfRule>
  </conditionalFormatting>
  <conditionalFormatting sqref="AZ1115:BT1115">
    <cfRule type="colorScale" priority="74">
      <colorScale>
        <cfvo type="min"/>
        <cfvo type="max"/>
        <color rgb="FFFCFCFF"/>
        <color rgb="FF63BE7B"/>
      </colorScale>
    </cfRule>
  </conditionalFormatting>
  <conditionalFormatting sqref="AZ1117:BT1117">
    <cfRule type="colorScale" priority="73">
      <colorScale>
        <cfvo type="min"/>
        <cfvo type="max"/>
        <color rgb="FFFCFCFF"/>
        <color rgb="FF63BE7B"/>
      </colorScale>
    </cfRule>
  </conditionalFormatting>
  <conditionalFormatting sqref="AZ1119:BT1119">
    <cfRule type="colorScale" priority="72">
      <colorScale>
        <cfvo type="min"/>
        <cfvo type="max"/>
        <color rgb="FFFCFCFF"/>
        <color rgb="FF63BE7B"/>
      </colorScale>
    </cfRule>
  </conditionalFormatting>
  <conditionalFormatting sqref="AZ1121:BT1121">
    <cfRule type="colorScale" priority="71">
      <colorScale>
        <cfvo type="min"/>
        <cfvo type="max"/>
        <color rgb="FFFCFCFF"/>
        <color rgb="FF63BE7B"/>
      </colorScale>
    </cfRule>
  </conditionalFormatting>
  <conditionalFormatting sqref="AZ1123:BT1123">
    <cfRule type="colorScale" priority="70">
      <colorScale>
        <cfvo type="min"/>
        <cfvo type="max"/>
        <color rgb="FFFCFCFF"/>
        <color rgb="FF63BE7B"/>
      </colorScale>
    </cfRule>
  </conditionalFormatting>
  <conditionalFormatting sqref="AZ1125:BT1125">
    <cfRule type="colorScale" priority="69">
      <colorScale>
        <cfvo type="min"/>
        <cfvo type="max"/>
        <color rgb="FFFCFCFF"/>
        <color rgb="FF63BE7B"/>
      </colorScale>
    </cfRule>
  </conditionalFormatting>
  <conditionalFormatting sqref="AZ1127:BT1127">
    <cfRule type="colorScale" priority="68">
      <colorScale>
        <cfvo type="min"/>
        <cfvo type="max"/>
        <color rgb="FFFCFCFF"/>
        <color rgb="FF63BE7B"/>
      </colorScale>
    </cfRule>
  </conditionalFormatting>
  <conditionalFormatting sqref="AZ1129:BT1129">
    <cfRule type="colorScale" priority="67">
      <colorScale>
        <cfvo type="min"/>
        <cfvo type="max"/>
        <color rgb="FFFCFCFF"/>
        <color rgb="FF63BE7B"/>
      </colorScale>
    </cfRule>
  </conditionalFormatting>
  <conditionalFormatting sqref="AZ1131:BT1131">
    <cfRule type="colorScale" priority="66">
      <colorScale>
        <cfvo type="min"/>
        <cfvo type="max"/>
        <color rgb="FFFCFCFF"/>
        <color rgb="FF63BE7B"/>
      </colorScale>
    </cfRule>
  </conditionalFormatting>
  <conditionalFormatting sqref="AZ1133:BT1133">
    <cfRule type="colorScale" priority="65">
      <colorScale>
        <cfvo type="min"/>
        <cfvo type="max"/>
        <color rgb="FFFCFCFF"/>
        <color rgb="FF63BE7B"/>
      </colorScale>
    </cfRule>
  </conditionalFormatting>
  <conditionalFormatting sqref="AZ1135:BT1135">
    <cfRule type="colorScale" priority="64">
      <colorScale>
        <cfvo type="min"/>
        <cfvo type="max"/>
        <color rgb="FFFCFCFF"/>
        <color rgb="FF63BE7B"/>
      </colorScale>
    </cfRule>
  </conditionalFormatting>
  <conditionalFormatting sqref="AZ1137:BT1137">
    <cfRule type="colorScale" priority="63">
      <colorScale>
        <cfvo type="min"/>
        <cfvo type="max"/>
        <color rgb="FFFCFCFF"/>
        <color rgb="FF63BE7B"/>
      </colorScale>
    </cfRule>
  </conditionalFormatting>
  <conditionalFormatting sqref="AZ1139:BT1139">
    <cfRule type="colorScale" priority="62">
      <colorScale>
        <cfvo type="min"/>
        <cfvo type="max"/>
        <color rgb="FFFCFCFF"/>
        <color rgb="FF63BE7B"/>
      </colorScale>
    </cfRule>
  </conditionalFormatting>
  <conditionalFormatting sqref="AZ1141:BT1141">
    <cfRule type="colorScale" priority="61">
      <colorScale>
        <cfvo type="min"/>
        <cfvo type="max"/>
        <color rgb="FFFCFCFF"/>
        <color rgb="FF63BE7B"/>
      </colorScale>
    </cfRule>
  </conditionalFormatting>
  <conditionalFormatting sqref="AZ1143:BT1143">
    <cfRule type="colorScale" priority="60">
      <colorScale>
        <cfvo type="min"/>
        <cfvo type="max"/>
        <color rgb="FFFCFCFF"/>
        <color rgb="FF63BE7B"/>
      </colorScale>
    </cfRule>
  </conditionalFormatting>
  <conditionalFormatting sqref="AZ1145:BT1145">
    <cfRule type="colorScale" priority="59">
      <colorScale>
        <cfvo type="min"/>
        <cfvo type="max"/>
        <color rgb="FFFCFCFF"/>
        <color rgb="FF63BE7B"/>
      </colorScale>
    </cfRule>
  </conditionalFormatting>
  <conditionalFormatting sqref="AZ1147:BT1147">
    <cfRule type="colorScale" priority="58">
      <colorScale>
        <cfvo type="min"/>
        <cfvo type="max"/>
        <color rgb="FFFCFCFF"/>
        <color rgb="FF63BE7B"/>
      </colorScale>
    </cfRule>
  </conditionalFormatting>
  <conditionalFormatting sqref="AZ1149:BT1149">
    <cfRule type="colorScale" priority="57">
      <colorScale>
        <cfvo type="min"/>
        <cfvo type="max"/>
        <color rgb="FFFCFCFF"/>
        <color rgb="FF63BE7B"/>
      </colorScale>
    </cfRule>
  </conditionalFormatting>
  <conditionalFormatting sqref="AZ1151:BT1151">
    <cfRule type="colorScale" priority="56">
      <colorScale>
        <cfvo type="min"/>
        <cfvo type="max"/>
        <color rgb="FFFCFCFF"/>
        <color rgb="FF63BE7B"/>
      </colorScale>
    </cfRule>
  </conditionalFormatting>
  <conditionalFormatting sqref="AZ1153:BT1153">
    <cfRule type="colorScale" priority="55">
      <colorScale>
        <cfvo type="min"/>
        <cfvo type="max"/>
        <color rgb="FFFCFCFF"/>
        <color rgb="FF63BE7B"/>
      </colorScale>
    </cfRule>
  </conditionalFormatting>
  <conditionalFormatting sqref="AZ1155:BT1155">
    <cfRule type="colorScale" priority="54">
      <colorScale>
        <cfvo type="min"/>
        <cfvo type="max"/>
        <color rgb="FFFCFCFF"/>
        <color rgb="FF63BE7B"/>
      </colorScale>
    </cfRule>
  </conditionalFormatting>
  <conditionalFormatting sqref="AZ1157:BT1157">
    <cfRule type="colorScale" priority="53">
      <colorScale>
        <cfvo type="min"/>
        <cfvo type="max"/>
        <color rgb="FFFCFCFF"/>
        <color rgb="FF63BE7B"/>
      </colorScale>
    </cfRule>
  </conditionalFormatting>
  <conditionalFormatting sqref="AZ1159:BT1159">
    <cfRule type="colorScale" priority="52">
      <colorScale>
        <cfvo type="min"/>
        <cfvo type="max"/>
        <color rgb="FFFCFCFF"/>
        <color rgb="FF63BE7B"/>
      </colorScale>
    </cfRule>
  </conditionalFormatting>
  <conditionalFormatting sqref="AZ1161:BT1161">
    <cfRule type="colorScale" priority="51">
      <colorScale>
        <cfvo type="min"/>
        <cfvo type="max"/>
        <color rgb="FFFCFCFF"/>
        <color rgb="FF63BE7B"/>
      </colorScale>
    </cfRule>
  </conditionalFormatting>
  <conditionalFormatting sqref="AZ1163:BT1163">
    <cfRule type="colorScale" priority="50">
      <colorScale>
        <cfvo type="min"/>
        <cfvo type="max"/>
        <color rgb="FFFCFCFF"/>
        <color rgb="FF63BE7B"/>
      </colorScale>
    </cfRule>
  </conditionalFormatting>
  <conditionalFormatting sqref="AZ1165:BT1165">
    <cfRule type="colorScale" priority="49">
      <colorScale>
        <cfvo type="min"/>
        <cfvo type="max"/>
        <color rgb="FFFCFCFF"/>
        <color rgb="FF63BE7B"/>
      </colorScale>
    </cfRule>
  </conditionalFormatting>
  <conditionalFormatting sqref="AZ1167:BT1167">
    <cfRule type="colorScale" priority="48">
      <colorScale>
        <cfvo type="min"/>
        <cfvo type="max"/>
        <color rgb="FFFCFCFF"/>
        <color rgb="FF63BE7B"/>
      </colorScale>
    </cfRule>
  </conditionalFormatting>
  <conditionalFormatting sqref="AZ1169:BT1169">
    <cfRule type="colorScale" priority="47">
      <colorScale>
        <cfvo type="min"/>
        <cfvo type="max"/>
        <color rgb="FFFCFCFF"/>
        <color rgb="FF63BE7B"/>
      </colorScale>
    </cfRule>
  </conditionalFormatting>
  <conditionalFormatting sqref="AZ1171:BT1171">
    <cfRule type="colorScale" priority="46">
      <colorScale>
        <cfvo type="min"/>
        <cfvo type="max"/>
        <color rgb="FFFCFCFF"/>
        <color rgb="FF63BE7B"/>
      </colorScale>
    </cfRule>
  </conditionalFormatting>
  <conditionalFormatting sqref="AZ1173:BT1173">
    <cfRule type="colorScale" priority="45">
      <colorScale>
        <cfvo type="min"/>
        <cfvo type="max"/>
        <color rgb="FFFCFCFF"/>
        <color rgb="FF63BE7B"/>
      </colorScale>
    </cfRule>
  </conditionalFormatting>
  <conditionalFormatting sqref="AZ1175:BT1175">
    <cfRule type="colorScale" priority="44">
      <colorScale>
        <cfvo type="min"/>
        <cfvo type="max"/>
        <color rgb="FFFCFCFF"/>
        <color rgb="FF63BE7B"/>
      </colorScale>
    </cfRule>
  </conditionalFormatting>
  <conditionalFormatting sqref="AZ1177:BT1177">
    <cfRule type="colorScale" priority="43">
      <colorScale>
        <cfvo type="min"/>
        <cfvo type="max"/>
        <color rgb="FFFCFCFF"/>
        <color rgb="FF63BE7B"/>
      </colorScale>
    </cfRule>
  </conditionalFormatting>
  <conditionalFormatting sqref="AZ1179:BT1179">
    <cfRule type="colorScale" priority="42">
      <colorScale>
        <cfvo type="min"/>
        <cfvo type="max"/>
        <color rgb="FFFCFCFF"/>
        <color rgb="FF63BE7B"/>
      </colorScale>
    </cfRule>
  </conditionalFormatting>
  <conditionalFormatting sqref="AZ1181:BT1181">
    <cfRule type="colorScale" priority="41">
      <colorScale>
        <cfvo type="min"/>
        <cfvo type="max"/>
        <color rgb="FFFCFCFF"/>
        <color rgb="FF63BE7B"/>
      </colorScale>
    </cfRule>
  </conditionalFormatting>
  <conditionalFormatting sqref="AZ1183:BT1183">
    <cfRule type="colorScale" priority="40">
      <colorScale>
        <cfvo type="min"/>
        <cfvo type="max"/>
        <color rgb="FFFCFCFF"/>
        <color rgb="FF63BE7B"/>
      </colorScale>
    </cfRule>
  </conditionalFormatting>
  <conditionalFormatting sqref="AZ1185:BT1185">
    <cfRule type="colorScale" priority="39">
      <colorScale>
        <cfvo type="min"/>
        <cfvo type="max"/>
        <color rgb="FFFCFCFF"/>
        <color rgb="FF63BE7B"/>
      </colorScale>
    </cfRule>
  </conditionalFormatting>
  <conditionalFormatting sqref="AZ1187:BT1187">
    <cfRule type="colorScale" priority="38">
      <colorScale>
        <cfvo type="min"/>
        <cfvo type="max"/>
        <color rgb="FFFCFCFF"/>
        <color rgb="FF63BE7B"/>
      </colorScale>
    </cfRule>
  </conditionalFormatting>
  <conditionalFormatting sqref="AZ1189:BT1189">
    <cfRule type="colorScale" priority="37">
      <colorScale>
        <cfvo type="min"/>
        <cfvo type="max"/>
        <color rgb="FFFCFCFF"/>
        <color rgb="FF63BE7B"/>
      </colorScale>
    </cfRule>
  </conditionalFormatting>
  <conditionalFormatting sqref="AZ1191:BT1191">
    <cfRule type="colorScale" priority="36">
      <colorScale>
        <cfvo type="min"/>
        <cfvo type="max"/>
        <color rgb="FFFCFCFF"/>
        <color rgb="FF63BE7B"/>
      </colorScale>
    </cfRule>
  </conditionalFormatting>
  <conditionalFormatting sqref="AZ1193:BT1193">
    <cfRule type="colorScale" priority="35">
      <colorScale>
        <cfvo type="min"/>
        <cfvo type="max"/>
        <color rgb="FFFCFCFF"/>
        <color rgb="FF63BE7B"/>
      </colorScale>
    </cfRule>
  </conditionalFormatting>
  <conditionalFormatting sqref="AZ1195:BT1195">
    <cfRule type="colorScale" priority="34">
      <colorScale>
        <cfvo type="min"/>
        <cfvo type="max"/>
        <color rgb="FFFCFCFF"/>
        <color rgb="FF63BE7B"/>
      </colorScale>
    </cfRule>
  </conditionalFormatting>
  <conditionalFormatting sqref="AZ1197:BT1197">
    <cfRule type="colorScale" priority="33">
      <colorScale>
        <cfvo type="min"/>
        <cfvo type="max"/>
        <color rgb="FFFCFCFF"/>
        <color rgb="FF63BE7B"/>
      </colorScale>
    </cfRule>
  </conditionalFormatting>
  <conditionalFormatting sqref="AZ1199:BT1199">
    <cfRule type="colorScale" priority="32">
      <colorScale>
        <cfvo type="min"/>
        <cfvo type="max"/>
        <color rgb="FFFCFCFF"/>
        <color rgb="FF63BE7B"/>
      </colorScale>
    </cfRule>
  </conditionalFormatting>
  <conditionalFormatting sqref="AZ1201:BT1201">
    <cfRule type="colorScale" priority="31">
      <colorScale>
        <cfvo type="min"/>
        <cfvo type="max"/>
        <color rgb="FFFCFCFF"/>
        <color rgb="FF63BE7B"/>
      </colorScale>
    </cfRule>
  </conditionalFormatting>
  <conditionalFormatting sqref="AZ1203:BT1203">
    <cfRule type="colorScale" priority="30">
      <colorScale>
        <cfvo type="min"/>
        <cfvo type="max"/>
        <color rgb="FFFCFCFF"/>
        <color rgb="FF63BE7B"/>
      </colorScale>
    </cfRule>
  </conditionalFormatting>
  <conditionalFormatting sqref="AZ1205:BT1205">
    <cfRule type="colorScale" priority="29">
      <colorScale>
        <cfvo type="min"/>
        <cfvo type="max"/>
        <color rgb="FFFCFCFF"/>
        <color rgb="FF63BE7B"/>
      </colorScale>
    </cfRule>
  </conditionalFormatting>
  <conditionalFormatting sqref="AZ1207:BT1207">
    <cfRule type="colorScale" priority="28">
      <colorScale>
        <cfvo type="min"/>
        <cfvo type="max"/>
        <color rgb="FFFCFCFF"/>
        <color rgb="FF63BE7B"/>
      </colorScale>
    </cfRule>
  </conditionalFormatting>
  <conditionalFormatting sqref="AZ1209:BT1209">
    <cfRule type="colorScale" priority="27">
      <colorScale>
        <cfvo type="min"/>
        <cfvo type="max"/>
        <color rgb="FFFCFCFF"/>
        <color rgb="FF63BE7B"/>
      </colorScale>
    </cfRule>
  </conditionalFormatting>
  <conditionalFormatting sqref="AZ1211:BT1211">
    <cfRule type="colorScale" priority="26">
      <colorScale>
        <cfvo type="min"/>
        <cfvo type="max"/>
        <color rgb="FFFCFCFF"/>
        <color rgb="FF63BE7B"/>
      </colorScale>
    </cfRule>
  </conditionalFormatting>
  <conditionalFormatting sqref="AZ1213:BT1213">
    <cfRule type="colorScale" priority="25">
      <colorScale>
        <cfvo type="min"/>
        <cfvo type="max"/>
        <color rgb="FFFCFCFF"/>
        <color rgb="FF63BE7B"/>
      </colorScale>
    </cfRule>
  </conditionalFormatting>
  <conditionalFormatting sqref="AZ1215:BT1215">
    <cfRule type="colorScale" priority="24">
      <colorScale>
        <cfvo type="min"/>
        <cfvo type="max"/>
        <color rgb="FFFCFCFF"/>
        <color rgb="FF63BE7B"/>
      </colorScale>
    </cfRule>
  </conditionalFormatting>
  <conditionalFormatting sqref="AZ1217:BT1217">
    <cfRule type="colorScale" priority="23">
      <colorScale>
        <cfvo type="min"/>
        <cfvo type="max"/>
        <color rgb="FFFCFCFF"/>
        <color rgb="FF63BE7B"/>
      </colorScale>
    </cfRule>
  </conditionalFormatting>
  <conditionalFormatting sqref="AZ1219:BT1219">
    <cfRule type="colorScale" priority="22">
      <colorScale>
        <cfvo type="min"/>
        <cfvo type="max"/>
        <color rgb="FFFCFCFF"/>
        <color rgb="FF63BE7B"/>
      </colorScale>
    </cfRule>
  </conditionalFormatting>
  <conditionalFormatting sqref="AZ1221:BT1221">
    <cfRule type="colorScale" priority="21">
      <colorScale>
        <cfvo type="min"/>
        <cfvo type="max"/>
        <color rgb="FFFCFCFF"/>
        <color rgb="FF63BE7B"/>
      </colorScale>
    </cfRule>
  </conditionalFormatting>
  <conditionalFormatting sqref="AZ1223:BT1223">
    <cfRule type="colorScale" priority="20">
      <colorScale>
        <cfvo type="min"/>
        <cfvo type="max"/>
        <color rgb="FFFCFCFF"/>
        <color rgb="FF63BE7B"/>
      </colorScale>
    </cfRule>
  </conditionalFormatting>
  <conditionalFormatting sqref="AZ1225:BT1225">
    <cfRule type="colorScale" priority="19">
      <colorScale>
        <cfvo type="min"/>
        <cfvo type="max"/>
        <color rgb="FFFCFCFF"/>
        <color rgb="FF63BE7B"/>
      </colorScale>
    </cfRule>
  </conditionalFormatting>
  <conditionalFormatting sqref="AZ1227:BT1227">
    <cfRule type="colorScale" priority="18">
      <colorScale>
        <cfvo type="min"/>
        <cfvo type="max"/>
        <color rgb="FFFCFCFF"/>
        <color rgb="FF63BE7B"/>
      </colorScale>
    </cfRule>
  </conditionalFormatting>
  <conditionalFormatting sqref="AZ1229:BT1229">
    <cfRule type="colorScale" priority="17">
      <colorScale>
        <cfvo type="min"/>
        <cfvo type="max"/>
        <color rgb="FFFCFCFF"/>
        <color rgb="FF63BE7B"/>
      </colorScale>
    </cfRule>
  </conditionalFormatting>
  <conditionalFormatting sqref="AZ1231:BT1231">
    <cfRule type="colorScale" priority="16">
      <colorScale>
        <cfvo type="min"/>
        <cfvo type="max"/>
        <color rgb="FFFCFCFF"/>
        <color rgb="FF63BE7B"/>
      </colorScale>
    </cfRule>
  </conditionalFormatting>
  <conditionalFormatting sqref="AZ1233:BT1233">
    <cfRule type="colorScale" priority="15">
      <colorScale>
        <cfvo type="min"/>
        <cfvo type="max"/>
        <color rgb="FFFCFCFF"/>
        <color rgb="FF63BE7B"/>
      </colorScale>
    </cfRule>
  </conditionalFormatting>
  <conditionalFormatting sqref="AZ1235:BT1235">
    <cfRule type="colorScale" priority="14">
      <colorScale>
        <cfvo type="min"/>
        <cfvo type="max"/>
        <color rgb="FFFCFCFF"/>
        <color rgb="FF63BE7B"/>
      </colorScale>
    </cfRule>
  </conditionalFormatting>
  <conditionalFormatting sqref="AZ1237:BT1237">
    <cfRule type="colorScale" priority="13">
      <colorScale>
        <cfvo type="min"/>
        <cfvo type="max"/>
        <color rgb="FFFCFCFF"/>
        <color rgb="FF63BE7B"/>
      </colorScale>
    </cfRule>
  </conditionalFormatting>
  <conditionalFormatting sqref="AZ1239:BT1239">
    <cfRule type="colorScale" priority="12">
      <colorScale>
        <cfvo type="min"/>
        <cfvo type="max"/>
        <color rgb="FFFCFCFF"/>
        <color rgb="FF63BE7B"/>
      </colorScale>
    </cfRule>
  </conditionalFormatting>
  <conditionalFormatting sqref="AZ1241:BT1241">
    <cfRule type="colorScale" priority="11">
      <colorScale>
        <cfvo type="min"/>
        <cfvo type="max"/>
        <color rgb="FFFCFCFF"/>
        <color rgb="FF63BE7B"/>
      </colorScale>
    </cfRule>
  </conditionalFormatting>
  <conditionalFormatting sqref="AZ1243:BT1243">
    <cfRule type="colorScale" priority="10">
      <colorScale>
        <cfvo type="min"/>
        <cfvo type="max"/>
        <color rgb="FFFCFCFF"/>
        <color rgb="FF63BE7B"/>
      </colorScale>
    </cfRule>
  </conditionalFormatting>
  <conditionalFormatting sqref="AZ1245:BT1245">
    <cfRule type="colorScale" priority="9">
      <colorScale>
        <cfvo type="min"/>
        <cfvo type="max"/>
        <color rgb="FFFCFCFF"/>
        <color rgb="FF63BE7B"/>
      </colorScale>
    </cfRule>
  </conditionalFormatting>
  <conditionalFormatting sqref="AZ1247:BT1247">
    <cfRule type="colorScale" priority="8">
      <colorScale>
        <cfvo type="min"/>
        <cfvo type="max"/>
        <color rgb="FFFCFCFF"/>
        <color rgb="FF63BE7B"/>
      </colorScale>
    </cfRule>
  </conditionalFormatting>
  <conditionalFormatting sqref="AZ1249:BT1249">
    <cfRule type="colorScale" priority="7">
      <colorScale>
        <cfvo type="min"/>
        <cfvo type="max"/>
        <color rgb="FFFCFCFF"/>
        <color rgb="FF63BE7B"/>
      </colorScale>
    </cfRule>
  </conditionalFormatting>
  <conditionalFormatting sqref="AZ1251:BT1251">
    <cfRule type="colorScale" priority="6">
      <colorScale>
        <cfvo type="min"/>
        <cfvo type="max"/>
        <color rgb="FFFCFCFF"/>
        <color rgb="FF63BE7B"/>
      </colorScale>
    </cfRule>
  </conditionalFormatting>
  <conditionalFormatting sqref="AZ1253:BT1253">
    <cfRule type="colorScale" priority="5">
      <colorScale>
        <cfvo type="min"/>
        <cfvo type="max"/>
        <color rgb="FFFCFCFF"/>
        <color rgb="FF63BE7B"/>
      </colorScale>
    </cfRule>
  </conditionalFormatting>
  <conditionalFormatting sqref="AZ1255:BT1255">
    <cfRule type="colorScale" priority="4">
      <colorScale>
        <cfvo type="min"/>
        <cfvo type="max"/>
        <color rgb="FFFCFCFF"/>
        <color rgb="FF63BE7B"/>
      </colorScale>
    </cfRule>
  </conditionalFormatting>
  <conditionalFormatting sqref="AZ1257:BT1257">
    <cfRule type="colorScale" priority="3">
      <colorScale>
        <cfvo type="min"/>
        <cfvo type="max"/>
        <color rgb="FFFCFCFF"/>
        <color rgb="FF63BE7B"/>
      </colorScale>
    </cfRule>
  </conditionalFormatting>
  <conditionalFormatting sqref="AZ1259:BT1259">
    <cfRule type="colorScale" priority="2">
      <colorScale>
        <cfvo type="min"/>
        <cfvo type="max"/>
        <color rgb="FFFCFCFF"/>
        <color rgb="FF63BE7B"/>
      </colorScale>
    </cfRule>
  </conditionalFormatting>
  <conditionalFormatting sqref="AZ1261:BT1261">
    <cfRule type="colorScale" priority="1">
      <colorScale>
        <cfvo type="min"/>
        <cfvo type="max"/>
        <color rgb="FFFCFCFF"/>
        <color rgb="FF63BE7B"/>
      </colorScale>
    </cfRule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BE6AE5-CD2E-4EE8-A2F7-687D4A5F4A43}">
  <sheetPr codeName="工作表12"/>
  <dimension ref="A1:Q23"/>
  <sheetViews>
    <sheetView zoomScale="85" zoomScaleNormal="85" workbookViewId="0">
      <selection activeCell="G32" sqref="G32"/>
    </sheetView>
  </sheetViews>
  <sheetFormatPr defaultColWidth="9" defaultRowHeight="15.75" x14ac:dyDescent="0.25"/>
  <cols>
    <col min="1" max="1" width="10.125" style="7" bestFit="1" customWidth="1"/>
    <col min="2" max="2" width="12.875" style="7" bestFit="1" customWidth="1"/>
    <col min="3" max="3" width="11.5" style="7" customWidth="1"/>
    <col min="4" max="4" width="16.75" style="11" customWidth="1"/>
    <col min="5" max="7" width="16.75" style="12" customWidth="1"/>
    <col min="8" max="11" width="16.75" style="32" customWidth="1"/>
    <col min="12" max="12" width="16.75" style="13" customWidth="1"/>
    <col min="13" max="13" width="9" style="7"/>
    <col min="14" max="14" width="9.125" style="7" bestFit="1" customWidth="1"/>
    <col min="15" max="15" width="44.125" style="7" bestFit="1" customWidth="1"/>
    <col min="16" max="16384" width="9" style="7"/>
  </cols>
  <sheetData>
    <row r="1" spans="1:17" ht="18.75" thickBot="1" x14ac:dyDescent="0.3">
      <c r="A1" s="7" t="s">
        <v>3</v>
      </c>
      <c r="B1" s="8">
        <f ca="1">NOW()</f>
        <v>43319.576662615742</v>
      </c>
      <c r="C1" s="8"/>
      <c r="D1" s="9" t="s">
        <v>12</v>
      </c>
      <c r="E1" s="10" t="s">
        <v>204</v>
      </c>
      <c r="F1" s="10" t="s">
        <v>205</v>
      </c>
      <c r="G1" s="10" t="s">
        <v>206</v>
      </c>
      <c r="H1" s="10" t="s">
        <v>207</v>
      </c>
      <c r="I1" s="10" t="s">
        <v>209</v>
      </c>
      <c r="J1" s="10" t="s">
        <v>208</v>
      </c>
      <c r="K1" s="10" t="s">
        <v>210</v>
      </c>
      <c r="L1" s="31" t="s">
        <v>211</v>
      </c>
      <c r="N1" s="42" t="s">
        <v>13</v>
      </c>
      <c r="O1" s="43"/>
    </row>
    <row r="2" spans="1:17" ht="16.5" thickTop="1" x14ac:dyDescent="0.25">
      <c r="A2" s="7" t="s">
        <v>4</v>
      </c>
      <c r="D2" s="11" t="s">
        <v>76</v>
      </c>
      <c r="E2" s="12">
        <v>4200</v>
      </c>
      <c r="F2" s="12">
        <v>4200</v>
      </c>
      <c r="G2" s="12">
        <v>245</v>
      </c>
      <c r="H2" s="32">
        <v>0.17399999999999999</v>
      </c>
      <c r="I2" s="32">
        <v>0.3</v>
      </c>
      <c r="J2" s="32">
        <v>6</v>
      </c>
      <c r="K2" s="32">
        <v>0.15</v>
      </c>
      <c r="L2" s="13">
        <v>4</v>
      </c>
      <c r="N2" s="14">
        <v>1</v>
      </c>
      <c r="O2" s="15" t="s">
        <v>14</v>
      </c>
    </row>
    <row r="3" spans="1:17" x14ac:dyDescent="0.25">
      <c r="A3" s="7" t="s">
        <v>5</v>
      </c>
      <c r="D3" s="11" t="s">
        <v>89</v>
      </c>
      <c r="E3" s="12">
        <v>4200</v>
      </c>
      <c r="F3" s="12">
        <v>4200</v>
      </c>
      <c r="G3" s="12">
        <v>245</v>
      </c>
      <c r="H3" s="32">
        <v>0.29599999999999999</v>
      </c>
      <c r="I3" s="32">
        <v>1</v>
      </c>
      <c r="J3" s="32">
        <v>6</v>
      </c>
      <c r="K3" s="32">
        <v>0.15</v>
      </c>
      <c r="L3" s="13">
        <v>4</v>
      </c>
      <c r="N3" s="14">
        <v>2</v>
      </c>
      <c r="O3" s="15" t="s">
        <v>184</v>
      </c>
    </row>
    <row r="4" spans="1:17" x14ac:dyDescent="0.25">
      <c r="D4" s="11" t="s">
        <v>94</v>
      </c>
      <c r="E4" s="12">
        <v>4200</v>
      </c>
      <c r="F4" s="12">
        <v>4200</v>
      </c>
      <c r="G4" s="12">
        <v>245</v>
      </c>
      <c r="H4" s="32">
        <v>0.68400000000000005</v>
      </c>
      <c r="I4" s="32">
        <v>0.5</v>
      </c>
      <c r="J4" s="32">
        <v>6</v>
      </c>
      <c r="K4" s="32">
        <v>0.15</v>
      </c>
      <c r="L4" s="13">
        <v>4</v>
      </c>
      <c r="M4" s="16"/>
      <c r="N4" s="18">
        <v>3</v>
      </c>
      <c r="O4" s="19" t="s">
        <v>185</v>
      </c>
    </row>
    <row r="5" spans="1:17" x14ac:dyDescent="0.25">
      <c r="D5" s="11" t="s">
        <v>96</v>
      </c>
      <c r="E5" s="12">
        <v>4200</v>
      </c>
      <c r="F5" s="12">
        <v>4200</v>
      </c>
      <c r="G5" s="12">
        <v>350</v>
      </c>
      <c r="H5" s="32">
        <v>0.5</v>
      </c>
      <c r="I5" s="32">
        <v>0.3</v>
      </c>
      <c r="J5" s="32">
        <v>6</v>
      </c>
      <c r="K5" s="32">
        <v>0.18</v>
      </c>
      <c r="L5" s="13">
        <v>4</v>
      </c>
      <c r="N5" s="17"/>
      <c r="O5" s="20"/>
      <c r="P5" s="17"/>
      <c r="Q5" s="17"/>
    </row>
    <row r="6" spans="1:17" ht="16.5" thickBot="1" x14ac:dyDescent="0.3">
      <c r="D6" s="11" t="s">
        <v>119</v>
      </c>
      <c r="E6" s="12">
        <v>4200</v>
      </c>
      <c r="F6" s="12">
        <v>4200</v>
      </c>
      <c r="G6" s="12">
        <v>280</v>
      </c>
      <c r="H6" s="32">
        <v>0.35199999999999998</v>
      </c>
      <c r="I6" s="32">
        <v>0.2</v>
      </c>
      <c r="J6" s="32">
        <v>6</v>
      </c>
      <c r="K6" s="32">
        <v>0.18</v>
      </c>
      <c r="L6" s="13">
        <v>4</v>
      </c>
      <c r="N6" s="44" t="s">
        <v>15</v>
      </c>
      <c r="O6" s="45"/>
    </row>
    <row r="7" spans="1:17" ht="16.5" thickTop="1" x14ac:dyDescent="0.25">
      <c r="D7" s="11" t="s">
        <v>122</v>
      </c>
      <c r="E7" s="12">
        <v>4200</v>
      </c>
      <c r="F7" s="12">
        <v>4200</v>
      </c>
      <c r="G7" s="12">
        <v>280</v>
      </c>
      <c r="H7" s="32">
        <v>0.32</v>
      </c>
      <c r="I7" s="32">
        <v>0.2</v>
      </c>
      <c r="J7" s="32">
        <v>6</v>
      </c>
      <c r="K7" s="32">
        <v>0.18</v>
      </c>
      <c r="L7" s="13">
        <v>4</v>
      </c>
      <c r="N7" s="14">
        <v>1</v>
      </c>
      <c r="O7" s="15" t="s">
        <v>16</v>
      </c>
    </row>
    <row r="8" spans="1:17" x14ac:dyDescent="0.25">
      <c r="D8" s="11" t="s">
        <v>123</v>
      </c>
      <c r="E8" s="12">
        <v>4200</v>
      </c>
      <c r="F8" s="12">
        <v>4200</v>
      </c>
      <c r="G8" s="12">
        <v>280</v>
      </c>
      <c r="H8" s="32">
        <v>0.35599999999999998</v>
      </c>
      <c r="I8" s="32">
        <v>0.2</v>
      </c>
      <c r="J8" s="32">
        <v>6</v>
      </c>
      <c r="K8" s="32">
        <v>0.18</v>
      </c>
      <c r="L8" s="13">
        <v>4</v>
      </c>
      <c r="N8" s="33"/>
      <c r="O8" s="19"/>
    </row>
    <row r="9" spans="1:17" x14ac:dyDescent="0.25">
      <c r="D9" s="11" t="s">
        <v>58</v>
      </c>
      <c r="E9" s="12">
        <v>4200</v>
      </c>
      <c r="F9" s="12">
        <v>4200</v>
      </c>
      <c r="G9" s="12">
        <v>280</v>
      </c>
      <c r="H9" s="32">
        <v>0.35599999999999998</v>
      </c>
      <c r="I9" s="32">
        <v>0.2</v>
      </c>
      <c r="J9" s="32">
        <v>6</v>
      </c>
      <c r="K9" s="32">
        <v>0.18</v>
      </c>
      <c r="L9" s="13">
        <v>4</v>
      </c>
    </row>
    <row r="10" spans="1:17" x14ac:dyDescent="0.25">
      <c r="D10" s="11" t="s">
        <v>59</v>
      </c>
      <c r="E10" s="12">
        <v>4200</v>
      </c>
      <c r="F10" s="12">
        <v>4200</v>
      </c>
      <c r="G10" s="12">
        <v>280</v>
      </c>
      <c r="H10" s="32">
        <v>0.35599999999999998</v>
      </c>
      <c r="I10" s="32">
        <v>0.2</v>
      </c>
      <c r="J10" s="32">
        <v>6</v>
      </c>
      <c r="K10" s="32">
        <v>0.18</v>
      </c>
      <c r="L10" s="13">
        <v>4</v>
      </c>
    </row>
    <row r="11" spans="1:17" x14ac:dyDescent="0.25">
      <c r="D11" s="11" t="s">
        <v>60</v>
      </c>
      <c r="E11" s="12">
        <v>4200</v>
      </c>
      <c r="F11" s="12">
        <v>4200</v>
      </c>
      <c r="G11" s="12">
        <v>280</v>
      </c>
      <c r="H11" s="32">
        <v>0.35599999999999998</v>
      </c>
      <c r="I11" s="32">
        <v>0.2</v>
      </c>
      <c r="J11" s="32">
        <v>6</v>
      </c>
      <c r="K11" s="32">
        <v>0.18</v>
      </c>
      <c r="L11" s="13">
        <v>4</v>
      </c>
    </row>
    <row r="12" spans="1:17" x14ac:dyDescent="0.25">
      <c r="D12" s="11" t="s">
        <v>61</v>
      </c>
      <c r="E12" s="12">
        <v>4200</v>
      </c>
      <c r="F12" s="12">
        <v>4200</v>
      </c>
      <c r="G12" s="12">
        <v>280</v>
      </c>
      <c r="H12" s="32">
        <v>0.33700000000000002</v>
      </c>
      <c r="I12" s="32">
        <v>0.2</v>
      </c>
      <c r="J12" s="32">
        <v>6</v>
      </c>
      <c r="K12" s="32">
        <v>0.18</v>
      </c>
      <c r="L12" s="13">
        <v>4</v>
      </c>
    </row>
    <row r="13" spans="1:17" x14ac:dyDescent="0.25">
      <c r="D13" s="11" t="s">
        <v>62</v>
      </c>
      <c r="E13" s="12">
        <v>4200</v>
      </c>
      <c r="F13" s="12">
        <v>4200</v>
      </c>
      <c r="G13" s="12">
        <v>280</v>
      </c>
      <c r="H13" s="32">
        <v>0.33700000000000002</v>
      </c>
      <c r="I13" s="32">
        <v>0.2</v>
      </c>
      <c r="J13" s="32">
        <v>6</v>
      </c>
      <c r="K13" s="32">
        <v>0.18</v>
      </c>
      <c r="L13" s="13">
        <v>4</v>
      </c>
    </row>
    <row r="14" spans="1:17" x14ac:dyDescent="0.25">
      <c r="D14" s="11" t="s">
        <v>63</v>
      </c>
      <c r="E14" s="12">
        <v>4200</v>
      </c>
      <c r="F14" s="12">
        <v>4200</v>
      </c>
      <c r="G14" s="12">
        <v>280</v>
      </c>
      <c r="H14" s="32">
        <v>0.33700000000000002</v>
      </c>
      <c r="I14" s="32">
        <v>0.2</v>
      </c>
      <c r="J14" s="32">
        <v>6</v>
      </c>
      <c r="K14" s="32">
        <v>0.18</v>
      </c>
      <c r="L14" s="13">
        <v>4</v>
      </c>
    </row>
    <row r="15" spans="1:17" x14ac:dyDescent="0.25">
      <c r="D15" s="11" t="s">
        <v>64</v>
      </c>
      <c r="E15" s="12">
        <v>4200</v>
      </c>
      <c r="F15" s="12">
        <v>4200</v>
      </c>
      <c r="G15" s="12">
        <v>350</v>
      </c>
      <c r="H15" s="32">
        <v>0.33700000000000002</v>
      </c>
      <c r="I15" s="32">
        <v>0.2</v>
      </c>
      <c r="J15" s="32">
        <v>6</v>
      </c>
      <c r="K15" s="32">
        <v>0.18</v>
      </c>
      <c r="L15" s="13">
        <v>4</v>
      </c>
    </row>
    <row r="16" spans="1:17" x14ac:dyDescent="0.25">
      <c r="D16" s="11" t="s">
        <v>9</v>
      </c>
      <c r="E16" s="12">
        <v>4200</v>
      </c>
      <c r="F16" s="12">
        <v>4200</v>
      </c>
      <c r="G16" s="12">
        <v>350</v>
      </c>
      <c r="H16" s="32">
        <v>0.33700000000000002</v>
      </c>
      <c r="I16" s="32">
        <v>0.2</v>
      </c>
      <c r="J16" s="32">
        <v>6</v>
      </c>
      <c r="K16" s="32">
        <v>0.18</v>
      </c>
      <c r="L16" s="13">
        <v>4</v>
      </c>
    </row>
    <row r="17" spans="4:12" x14ac:dyDescent="0.25">
      <c r="D17" s="11" t="s">
        <v>10</v>
      </c>
      <c r="E17" s="12">
        <v>4200</v>
      </c>
      <c r="F17" s="12">
        <v>4200</v>
      </c>
      <c r="G17" s="12">
        <v>350</v>
      </c>
      <c r="H17" s="32">
        <v>0.33400000000000002</v>
      </c>
      <c r="I17" s="32">
        <v>0.2</v>
      </c>
      <c r="J17" s="32">
        <v>6</v>
      </c>
      <c r="K17" s="32">
        <v>0.18</v>
      </c>
      <c r="L17" s="13">
        <v>4</v>
      </c>
    </row>
    <row r="18" spans="4:12" x14ac:dyDescent="0.25">
      <c r="D18" s="11" t="s">
        <v>11</v>
      </c>
      <c r="E18" s="12">
        <v>4200</v>
      </c>
      <c r="F18" s="12">
        <v>4200</v>
      </c>
      <c r="G18" s="12">
        <v>350</v>
      </c>
      <c r="H18" s="32">
        <v>0.25600000000000001</v>
      </c>
      <c r="I18" s="32">
        <v>0.2</v>
      </c>
      <c r="J18" s="32">
        <v>6</v>
      </c>
      <c r="K18" s="32">
        <v>0.18</v>
      </c>
      <c r="L18" s="13">
        <v>4</v>
      </c>
    </row>
    <row r="19" spans="4:12" x14ac:dyDescent="0.25">
      <c r="D19" s="11" t="s">
        <v>137</v>
      </c>
      <c r="E19" s="12">
        <v>4200</v>
      </c>
      <c r="F19" s="12">
        <v>4200</v>
      </c>
      <c r="G19" s="12">
        <v>350</v>
      </c>
      <c r="H19" s="32">
        <v>0.3</v>
      </c>
      <c r="I19" s="32">
        <v>0.3</v>
      </c>
      <c r="J19" s="32">
        <v>6</v>
      </c>
      <c r="K19" s="32">
        <v>0.18</v>
      </c>
      <c r="L19" s="13">
        <v>4</v>
      </c>
    </row>
    <row r="20" spans="4:12" x14ac:dyDescent="0.25">
      <c r="D20" s="11" t="s">
        <v>17</v>
      </c>
      <c r="E20" s="12">
        <v>4200</v>
      </c>
      <c r="F20" s="12">
        <v>4200</v>
      </c>
      <c r="G20" s="12">
        <v>350</v>
      </c>
      <c r="H20" s="32">
        <v>0.3</v>
      </c>
      <c r="I20" s="32">
        <v>0.3</v>
      </c>
      <c r="J20" s="32">
        <v>6</v>
      </c>
      <c r="K20" s="32">
        <v>0.24</v>
      </c>
      <c r="L20" s="13">
        <v>4</v>
      </c>
    </row>
    <row r="21" spans="4:12" x14ac:dyDescent="0.25">
      <c r="D21" s="11" t="s">
        <v>18</v>
      </c>
      <c r="E21" s="12">
        <v>4200</v>
      </c>
      <c r="F21" s="12">
        <v>4200</v>
      </c>
      <c r="G21" s="12">
        <v>280</v>
      </c>
      <c r="H21" s="32">
        <v>0.2</v>
      </c>
      <c r="I21" s="32">
        <v>1</v>
      </c>
      <c r="J21" s="32">
        <v>6</v>
      </c>
      <c r="K21" s="32">
        <v>0.35</v>
      </c>
      <c r="L21" s="13">
        <v>4</v>
      </c>
    </row>
    <row r="22" spans="4:12" x14ac:dyDescent="0.25">
      <c r="D22" s="11" t="s">
        <v>19</v>
      </c>
      <c r="E22" s="12">
        <v>4200</v>
      </c>
      <c r="F22" s="12">
        <v>4200</v>
      </c>
      <c r="G22" s="12">
        <v>280</v>
      </c>
      <c r="H22" s="32">
        <v>0.2</v>
      </c>
      <c r="I22" s="32">
        <v>1</v>
      </c>
      <c r="J22" s="32">
        <v>6</v>
      </c>
      <c r="K22" s="32">
        <v>0.18</v>
      </c>
      <c r="L22" s="13">
        <v>4</v>
      </c>
    </row>
    <row r="23" spans="4:12" x14ac:dyDescent="0.25">
      <c r="D23" s="11" t="s">
        <v>167</v>
      </c>
      <c r="E23" s="12">
        <v>4200</v>
      </c>
      <c r="F23" s="12">
        <v>4200</v>
      </c>
      <c r="G23" s="12">
        <v>280</v>
      </c>
      <c r="H23" s="32">
        <v>0.63</v>
      </c>
      <c r="I23" s="32">
        <v>1.5</v>
      </c>
      <c r="J23" s="32">
        <v>6</v>
      </c>
      <c r="K23" s="32">
        <v>1</v>
      </c>
      <c r="L23" s="13">
        <v>4</v>
      </c>
    </row>
  </sheetData>
  <mergeCells count="2">
    <mergeCell ref="N1:O1"/>
    <mergeCell ref="N6:O6"/>
  </mergeCells>
  <phoneticPr fontId="2" type="noConversion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64A6FF-4463-4603-978A-B002BB0FECA4}">
  <sheetPr codeName="工作表11"/>
  <dimension ref="A1:S6"/>
  <sheetViews>
    <sheetView workbookViewId="0">
      <selection activeCell="R14" sqref="R14"/>
    </sheetView>
  </sheetViews>
  <sheetFormatPr defaultRowHeight="16.5" x14ac:dyDescent="0.25"/>
  <cols>
    <col min="5" max="5" width="12.25" bestFit="1" customWidth="1"/>
  </cols>
  <sheetData>
    <row r="1" spans="1:19" x14ac:dyDescent="0.25">
      <c r="A1" s="29" t="s">
        <v>172</v>
      </c>
      <c r="B1" s="29" t="s">
        <v>173</v>
      </c>
      <c r="C1" s="29" t="s">
        <v>174</v>
      </c>
      <c r="D1" s="29" t="s">
        <v>175</v>
      </c>
      <c r="E1" s="29" t="s">
        <v>176</v>
      </c>
      <c r="F1" s="29" t="s">
        <v>176</v>
      </c>
      <c r="G1" s="29"/>
      <c r="H1" s="29"/>
      <c r="I1" s="29" t="s">
        <v>177</v>
      </c>
      <c r="J1" s="29" t="s">
        <v>178</v>
      </c>
      <c r="K1" s="29"/>
      <c r="L1" s="29"/>
      <c r="M1" s="29" t="s">
        <v>179</v>
      </c>
      <c r="N1" s="29" t="s">
        <v>180</v>
      </c>
      <c r="O1" s="29" t="s">
        <v>6</v>
      </c>
    </row>
    <row r="2" spans="1:19" x14ac:dyDescent="0.25">
      <c r="A2" s="29"/>
      <c r="B2" s="29"/>
      <c r="C2" s="29"/>
      <c r="D2" s="29"/>
      <c r="E2" s="29"/>
      <c r="F2" s="29" t="s">
        <v>181</v>
      </c>
      <c r="G2" s="29" t="s">
        <v>182</v>
      </c>
      <c r="H2" s="29" t="s">
        <v>183</v>
      </c>
      <c r="I2" s="29"/>
      <c r="J2" s="29" t="s">
        <v>181</v>
      </c>
      <c r="K2" s="29" t="s">
        <v>182</v>
      </c>
      <c r="L2" s="29" t="s">
        <v>183</v>
      </c>
      <c r="M2" s="29"/>
      <c r="N2" s="29"/>
      <c r="O2" s="29"/>
    </row>
    <row r="3" spans="1:19" x14ac:dyDescent="0.25">
      <c r="A3" s="22" t="s">
        <v>193</v>
      </c>
      <c r="B3" s="22" t="s">
        <v>116</v>
      </c>
      <c r="C3" s="22">
        <v>60</v>
      </c>
      <c r="D3" s="22">
        <v>80</v>
      </c>
      <c r="E3" s="22" t="s">
        <v>165</v>
      </c>
      <c r="F3" s="22" t="s">
        <v>127</v>
      </c>
      <c r="G3" s="22" t="s">
        <v>128</v>
      </c>
      <c r="H3" s="22" t="s">
        <v>127</v>
      </c>
      <c r="I3" s="22" t="s">
        <v>65</v>
      </c>
      <c r="J3" s="22" t="s">
        <v>93</v>
      </c>
      <c r="K3" s="22" t="s">
        <v>93</v>
      </c>
      <c r="L3" s="22" t="s">
        <v>93</v>
      </c>
      <c r="M3" s="22">
        <v>1000</v>
      </c>
      <c r="N3" s="22">
        <v>115</v>
      </c>
      <c r="Q3" s="22"/>
      <c r="R3" s="22"/>
      <c r="S3" s="22"/>
    </row>
    <row r="4" spans="1:19" x14ac:dyDescent="0.25">
      <c r="A4" s="22"/>
      <c r="B4" s="22"/>
      <c r="C4" s="22"/>
      <c r="D4" s="22"/>
      <c r="E4" s="22" t="s">
        <v>166</v>
      </c>
      <c r="F4" s="22" t="s">
        <v>125</v>
      </c>
      <c r="G4" s="22">
        <v>0</v>
      </c>
      <c r="H4" s="22" t="s">
        <v>128</v>
      </c>
      <c r="I4" s="22"/>
      <c r="J4" s="22"/>
      <c r="K4" s="22"/>
      <c r="L4" s="22"/>
      <c r="M4" s="22"/>
      <c r="N4" s="22"/>
      <c r="Q4" s="22"/>
      <c r="R4" s="22"/>
      <c r="S4" s="22"/>
    </row>
    <row r="5" spans="1:19" x14ac:dyDescent="0.25">
      <c r="A5" s="22"/>
      <c r="B5" s="22"/>
      <c r="C5" s="22"/>
      <c r="D5" s="22"/>
      <c r="E5" s="22" t="s">
        <v>165</v>
      </c>
      <c r="F5" s="22" t="s">
        <v>78</v>
      </c>
      <c r="G5" s="22">
        <v>0</v>
      </c>
      <c r="H5" s="22" t="s">
        <v>78</v>
      </c>
      <c r="I5" s="22"/>
      <c r="J5" s="22"/>
      <c r="K5" s="22"/>
      <c r="L5" s="22"/>
      <c r="M5" s="22"/>
      <c r="N5" s="22"/>
      <c r="Q5" s="22"/>
      <c r="R5" s="22"/>
      <c r="S5" s="22"/>
    </row>
    <row r="6" spans="1:19" x14ac:dyDescent="0.25">
      <c r="A6" s="22"/>
      <c r="B6" s="22"/>
      <c r="C6" s="22"/>
      <c r="D6" s="22"/>
      <c r="E6" s="22" t="s">
        <v>166</v>
      </c>
      <c r="F6" s="22" t="s">
        <v>102</v>
      </c>
      <c r="G6" s="22" t="s">
        <v>203</v>
      </c>
      <c r="H6" s="22" t="s">
        <v>113</v>
      </c>
      <c r="I6" s="22"/>
      <c r="J6" s="22"/>
      <c r="K6" s="22"/>
      <c r="L6" s="22"/>
      <c r="M6" s="22"/>
      <c r="N6" s="22"/>
      <c r="Q6" s="22"/>
      <c r="R6" s="22"/>
      <c r="S6" s="22"/>
    </row>
  </sheetData>
  <dataConsolidate/>
  <phoneticPr fontId="2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2C9A19-6382-4360-A6A4-395E90C4A774}">
  <sheetPr codeName="工作表3"/>
  <dimension ref="C1:BT34"/>
  <sheetViews>
    <sheetView tabSelected="1" workbookViewId="0">
      <pane xSplit="3" topLeftCell="D1" activePane="topRight" state="frozen"/>
      <selection pane="topRight" activeCell="C11" sqref="C11:C14"/>
    </sheetView>
  </sheetViews>
  <sheetFormatPr defaultRowHeight="15.75" x14ac:dyDescent="0.25"/>
  <cols>
    <col min="1" max="2" width="3.5" style="37" customWidth="1"/>
    <col min="3" max="3" width="25.5" style="37" bestFit="1" customWidth="1"/>
    <col min="4" max="4" width="8.875" style="37" customWidth="1"/>
    <col min="5" max="5" width="5.5" style="37" customWidth="1"/>
    <col min="6" max="6" width="3.5" style="37" customWidth="1"/>
    <col min="7" max="15" width="2.5" style="37" customWidth="1"/>
    <col min="16" max="16" width="3.5" style="37" customWidth="1"/>
    <col min="17" max="25" width="2.5" style="37" customWidth="1"/>
    <col min="26" max="26" width="3.5" style="37" customWidth="1"/>
    <col min="27" max="27" width="8.875" style="37" customWidth="1"/>
    <col min="28" max="28" width="9.625" style="37" bestFit="1" customWidth="1"/>
    <col min="29" max="29" width="5.625" style="37" customWidth="1"/>
    <col min="30" max="30" width="5" style="37" customWidth="1"/>
    <col min="31" max="31" width="7.125" style="37" bestFit="1" customWidth="1"/>
    <col min="32" max="35" width="4.625" style="37" bestFit="1" customWidth="1"/>
    <col min="36" max="36" width="4.375" style="37" bestFit="1" customWidth="1"/>
    <col min="37" max="41" width="4.25" style="37" bestFit="1" customWidth="1"/>
    <col min="42" max="49" width="4.625" style="37" bestFit="1" customWidth="1"/>
    <col min="50" max="50" width="8.875" style="37" customWidth="1"/>
    <col min="51" max="51" width="5.5" style="37" customWidth="1"/>
    <col min="52" max="52" width="5.625" style="37" customWidth="1"/>
    <col min="53" max="53" width="5" style="37" customWidth="1"/>
    <col min="54" max="54" width="7.125" style="37" bestFit="1" customWidth="1"/>
    <col min="55" max="58" width="4.625" style="37" bestFit="1" customWidth="1"/>
    <col min="59" max="59" width="4.375" style="37" bestFit="1" customWidth="1"/>
    <col min="60" max="64" width="4.25" style="37" bestFit="1" customWidth="1"/>
    <col min="65" max="72" width="4.625" style="37" bestFit="1" customWidth="1"/>
    <col min="73" max="16384" width="9" style="37"/>
  </cols>
  <sheetData>
    <row r="1" spans="3:72" x14ac:dyDescent="0.25">
      <c r="C1" s="37" t="s">
        <v>202</v>
      </c>
      <c r="D1" s="37">
        <f>SUM(AC31:AW34)/SUM(AC11:AW14)</f>
        <v>0.92920353982300885</v>
      </c>
      <c r="AY1" s="37" t="s">
        <v>74</v>
      </c>
    </row>
    <row r="2" spans="3:72" x14ac:dyDescent="0.25">
      <c r="C2" s="37" t="s">
        <v>66</v>
      </c>
      <c r="D2" s="23">
        <f>SUM(F15:Z608)</f>
        <v>0</v>
      </c>
      <c r="F2" s="37" t="s">
        <v>71</v>
      </c>
      <c r="P2" s="37" t="s">
        <v>72</v>
      </c>
      <c r="Z2" s="37" t="s">
        <v>73</v>
      </c>
      <c r="AZ2" s="37" t="s">
        <v>71</v>
      </c>
      <c r="BJ2" s="37" t="s">
        <v>72</v>
      </c>
      <c r="BT2" s="37" t="s">
        <v>73</v>
      </c>
    </row>
    <row r="3" spans="3:72" s="38" customFormat="1" x14ac:dyDescent="0.25">
      <c r="C3" s="47" t="s">
        <v>192</v>
      </c>
      <c r="D3" s="22"/>
      <c r="E3" s="38" t="s">
        <v>20</v>
      </c>
      <c r="F3" s="38">
        <f>IF(AC3=AZ3,0,1)</f>
        <v>0</v>
      </c>
      <c r="G3" s="38">
        <f t="shared" ref="G3:G6" si="0">IF(AD3=BA3,0,1)</f>
        <v>0</v>
      </c>
      <c r="H3" s="38">
        <f t="shared" ref="H3:H6" si="1">IF(AE3=BB3,0,1)</f>
        <v>0</v>
      </c>
      <c r="I3" s="38">
        <f t="shared" ref="I3:I6" si="2">IF(AF3=BC3,0,1)</f>
        <v>0</v>
      </c>
      <c r="J3" s="38">
        <f t="shared" ref="J3:J6" si="3">IF(AG3=BD3,0,1)</f>
        <v>0</v>
      </c>
      <c r="K3" s="38">
        <f t="shared" ref="K3:K6" si="4">IF(AH3=BE3,0,1)</f>
        <v>0</v>
      </c>
      <c r="L3" s="38">
        <f t="shared" ref="L3:L6" si="5">IF(AI3=BF3,0,1)</f>
        <v>0</v>
      </c>
      <c r="M3" s="38">
        <f t="shared" ref="M3:M6" si="6">IF(AJ3=BG3,0,1)</f>
        <v>0</v>
      </c>
      <c r="N3" s="38">
        <f t="shared" ref="N3:N6" si="7">IF(AK3=BH3,0,1)</f>
        <v>0</v>
      </c>
      <c r="O3" s="38">
        <f t="shared" ref="O3:O6" si="8">IF(AL3=BI3,0,1)</f>
        <v>0</v>
      </c>
      <c r="P3" s="38">
        <f t="shared" ref="P3:P6" si="9">IF(AM3=BJ3,0,1)</f>
        <v>0</v>
      </c>
      <c r="Q3" s="38">
        <f t="shared" ref="Q3:Q6" si="10">IF(AN3=BK3,0,1)</f>
        <v>0</v>
      </c>
      <c r="R3" s="38">
        <f t="shared" ref="R3:R6" si="11">IF(AO3=BL3,0,1)</f>
        <v>0</v>
      </c>
      <c r="S3" s="38">
        <f t="shared" ref="S3:S6" si="12">IF(AP3=BM3,0,1)</f>
        <v>0</v>
      </c>
      <c r="T3" s="38">
        <f t="shared" ref="T3:T6" si="13">IF(AQ3=BN3,0,1)</f>
        <v>0</v>
      </c>
      <c r="U3" s="38">
        <f t="shared" ref="U3:U6" si="14">IF(AR3=BO3,0,1)</f>
        <v>0</v>
      </c>
      <c r="V3" s="38">
        <f t="shared" ref="V3:V6" si="15">IF(AS3=BP3,0,1)</f>
        <v>0</v>
      </c>
      <c r="W3" s="38">
        <f t="shared" ref="W3:W6" si="16">IF(AT3=BQ3,0,1)</f>
        <v>0</v>
      </c>
      <c r="X3" s="38">
        <f t="shared" ref="X3:X6" si="17">IF(AU3=BR3,0,1)</f>
        <v>0</v>
      </c>
      <c r="Y3" s="38">
        <f t="shared" ref="Y3:Y6" si="18">IF(AV3=BS3,0,1)</f>
        <v>0</v>
      </c>
      <c r="Z3" s="38">
        <f t="shared" ref="Z3:Z6" si="19">IF(AW3=BT3,0,1)</f>
        <v>0</v>
      </c>
      <c r="AC3" s="38">
        <v>9</v>
      </c>
      <c r="AD3" s="38">
        <v>4</v>
      </c>
      <c r="AE3" s="38">
        <v>10</v>
      </c>
      <c r="AZ3" s="38">
        <v>9</v>
      </c>
      <c r="BA3" s="38">
        <v>4</v>
      </c>
      <c r="BB3" s="38">
        <v>10</v>
      </c>
    </row>
    <row r="4" spans="3:72" s="38" customFormat="1" x14ac:dyDescent="0.25">
      <c r="C4" s="47"/>
      <c r="D4" s="22"/>
      <c r="F4" s="38">
        <f t="shared" ref="F4:F6" si="20">IF(AC4=AZ4,0,1)</f>
        <v>0</v>
      </c>
      <c r="G4" s="38">
        <f t="shared" si="0"/>
        <v>0</v>
      </c>
      <c r="H4" s="38">
        <f t="shared" si="1"/>
        <v>0</v>
      </c>
      <c r="I4" s="38">
        <f t="shared" si="2"/>
        <v>0</v>
      </c>
      <c r="J4" s="38">
        <f t="shared" si="3"/>
        <v>0</v>
      </c>
      <c r="K4" s="38">
        <f t="shared" si="4"/>
        <v>0</v>
      </c>
      <c r="L4" s="38">
        <f t="shared" si="5"/>
        <v>0</v>
      </c>
      <c r="M4" s="38">
        <f t="shared" si="6"/>
        <v>0</v>
      </c>
      <c r="N4" s="38">
        <f t="shared" si="7"/>
        <v>0</v>
      </c>
      <c r="O4" s="38">
        <f t="shared" si="8"/>
        <v>0</v>
      </c>
      <c r="P4" s="38">
        <f t="shared" si="9"/>
        <v>0</v>
      </c>
      <c r="Q4" s="38">
        <f t="shared" si="10"/>
        <v>0</v>
      </c>
      <c r="R4" s="38">
        <f t="shared" si="11"/>
        <v>0</v>
      </c>
      <c r="S4" s="38">
        <f t="shared" si="12"/>
        <v>0</v>
      </c>
      <c r="T4" s="38">
        <f t="shared" si="13"/>
        <v>0</v>
      </c>
      <c r="U4" s="38">
        <f t="shared" si="14"/>
        <v>0</v>
      </c>
      <c r="V4" s="38">
        <f t="shared" si="15"/>
        <v>0</v>
      </c>
      <c r="W4" s="38">
        <f t="shared" si="16"/>
        <v>0</v>
      </c>
      <c r="X4" s="38">
        <f t="shared" si="17"/>
        <v>0</v>
      </c>
      <c r="Y4" s="38">
        <f t="shared" si="18"/>
        <v>0</v>
      </c>
      <c r="Z4" s="38">
        <f t="shared" si="19"/>
        <v>0</v>
      </c>
      <c r="AC4" s="38">
        <v>0</v>
      </c>
      <c r="AD4" s="38">
        <v>0</v>
      </c>
      <c r="AE4" s="38">
        <v>0</v>
      </c>
      <c r="AZ4" s="38">
        <v>0</v>
      </c>
      <c r="BA4" s="38">
        <v>0</v>
      </c>
      <c r="BB4" s="38">
        <v>0</v>
      </c>
    </row>
    <row r="5" spans="3:72" s="38" customFormat="1" x14ac:dyDescent="0.25">
      <c r="C5" s="47"/>
      <c r="D5" s="22"/>
      <c r="E5" s="38" t="s">
        <v>21</v>
      </c>
      <c r="F5" s="38">
        <f t="shared" si="20"/>
        <v>0</v>
      </c>
      <c r="G5" s="38">
        <f t="shared" si="0"/>
        <v>0</v>
      </c>
      <c r="H5" s="38">
        <f t="shared" si="1"/>
        <v>0</v>
      </c>
      <c r="I5" s="38">
        <f t="shared" si="2"/>
        <v>0</v>
      </c>
      <c r="J5" s="38">
        <f t="shared" si="3"/>
        <v>0</v>
      </c>
      <c r="K5" s="38">
        <f t="shared" si="4"/>
        <v>0</v>
      </c>
      <c r="L5" s="38">
        <f t="shared" si="5"/>
        <v>0</v>
      </c>
      <c r="M5" s="38">
        <f t="shared" si="6"/>
        <v>0</v>
      </c>
      <c r="N5" s="38">
        <f t="shared" si="7"/>
        <v>0</v>
      </c>
      <c r="O5" s="38">
        <f t="shared" si="8"/>
        <v>0</v>
      </c>
      <c r="P5" s="38">
        <f t="shared" si="9"/>
        <v>0</v>
      </c>
      <c r="Q5" s="38">
        <f t="shared" si="10"/>
        <v>0</v>
      </c>
      <c r="R5" s="38">
        <f t="shared" si="11"/>
        <v>0</v>
      </c>
      <c r="S5" s="38">
        <f t="shared" si="12"/>
        <v>0</v>
      </c>
      <c r="T5" s="38">
        <f t="shared" si="13"/>
        <v>0</v>
      </c>
      <c r="U5" s="38">
        <f t="shared" si="14"/>
        <v>0</v>
      </c>
      <c r="V5" s="38">
        <f t="shared" si="15"/>
        <v>0</v>
      </c>
      <c r="W5" s="38">
        <f t="shared" si="16"/>
        <v>0</v>
      </c>
      <c r="X5" s="38">
        <f t="shared" si="17"/>
        <v>0</v>
      </c>
      <c r="Y5" s="38">
        <f t="shared" si="18"/>
        <v>0</v>
      </c>
      <c r="Z5" s="38">
        <f t="shared" si="19"/>
        <v>0</v>
      </c>
      <c r="AC5" s="38">
        <v>10</v>
      </c>
      <c r="AD5" s="38">
        <v>5</v>
      </c>
      <c r="AE5" s="38">
        <v>9</v>
      </c>
      <c r="AZ5" s="38">
        <v>10</v>
      </c>
      <c r="BA5" s="38">
        <v>5</v>
      </c>
      <c r="BB5" s="38">
        <v>9</v>
      </c>
    </row>
    <row r="6" spans="3:72" s="40" customFormat="1" x14ac:dyDescent="0.25">
      <c r="C6" s="48"/>
      <c r="D6" s="39"/>
      <c r="F6" s="40">
        <f t="shared" si="20"/>
        <v>0</v>
      </c>
      <c r="G6" s="40">
        <f t="shared" si="0"/>
        <v>0</v>
      </c>
      <c r="H6" s="40">
        <f t="shared" si="1"/>
        <v>0</v>
      </c>
      <c r="I6" s="40">
        <f t="shared" si="2"/>
        <v>0</v>
      </c>
      <c r="J6" s="40">
        <f t="shared" si="3"/>
        <v>0</v>
      </c>
      <c r="K6" s="40">
        <f t="shared" si="4"/>
        <v>0</v>
      </c>
      <c r="L6" s="40">
        <f t="shared" si="5"/>
        <v>0</v>
      </c>
      <c r="M6" s="40">
        <f t="shared" si="6"/>
        <v>0</v>
      </c>
      <c r="N6" s="40">
        <f t="shared" si="7"/>
        <v>0</v>
      </c>
      <c r="O6" s="40">
        <f t="shared" si="8"/>
        <v>0</v>
      </c>
      <c r="P6" s="40">
        <f t="shared" si="9"/>
        <v>0</v>
      </c>
      <c r="Q6" s="40">
        <f t="shared" si="10"/>
        <v>0</v>
      </c>
      <c r="R6" s="40">
        <f t="shared" si="11"/>
        <v>0</v>
      </c>
      <c r="S6" s="40">
        <f t="shared" si="12"/>
        <v>0</v>
      </c>
      <c r="T6" s="40">
        <f t="shared" si="13"/>
        <v>0</v>
      </c>
      <c r="U6" s="40">
        <f t="shared" si="14"/>
        <v>0</v>
      </c>
      <c r="V6" s="40">
        <f t="shared" si="15"/>
        <v>0</v>
      </c>
      <c r="W6" s="40">
        <f t="shared" si="16"/>
        <v>0</v>
      </c>
      <c r="X6" s="40">
        <f t="shared" si="17"/>
        <v>0</v>
      </c>
      <c r="Y6" s="40">
        <f t="shared" si="18"/>
        <v>0</v>
      </c>
      <c r="Z6" s="40">
        <f t="shared" si="19"/>
        <v>0</v>
      </c>
      <c r="AC6" s="40">
        <v>0</v>
      </c>
      <c r="AD6" s="40">
        <v>0</v>
      </c>
      <c r="AE6" s="40">
        <v>0</v>
      </c>
      <c r="AZ6" s="40">
        <v>0</v>
      </c>
      <c r="BA6" s="40">
        <v>0</v>
      </c>
      <c r="BB6" s="40">
        <v>0</v>
      </c>
    </row>
    <row r="7" spans="3:72" s="41" customFormat="1" ht="16.5" customHeight="1" x14ac:dyDescent="0.25">
      <c r="C7" s="49" t="s">
        <v>212</v>
      </c>
      <c r="E7" s="41" t="s">
        <v>20</v>
      </c>
      <c r="F7" s="41">
        <f>IF(AC7=AZ7,0,1)</f>
        <v>0</v>
      </c>
      <c r="G7" s="41">
        <f>IF(AD7=BA7,0,1)</f>
        <v>1</v>
      </c>
      <c r="H7" s="41">
        <f>IF(AE7=BB7,0,1)</f>
        <v>0</v>
      </c>
      <c r="I7" s="41">
        <f>IF(AF7=BC7,0,1)</f>
        <v>0</v>
      </c>
      <c r="J7" s="41">
        <f>IF(AG7=BD7,0,1)</f>
        <v>0</v>
      </c>
      <c r="K7" s="41">
        <f>IF(AH7=BE7,0,1)</f>
        <v>0</v>
      </c>
      <c r="L7" s="41">
        <f>IF(AI7=BF7,0,1)</f>
        <v>0</v>
      </c>
      <c r="M7" s="41">
        <f>IF(AJ7=BG7,0,1)</f>
        <v>0</v>
      </c>
      <c r="N7" s="41">
        <f>IF(AK7=BH7,0,1)</f>
        <v>0</v>
      </c>
      <c r="O7" s="41">
        <f>IF(AL7=BI7,0,1)</f>
        <v>0</v>
      </c>
      <c r="P7" s="41">
        <f>IF(AM7=BJ7,0,1)</f>
        <v>0</v>
      </c>
      <c r="Q7" s="41">
        <f>IF(AN7=BK7,0,1)</f>
        <v>0</v>
      </c>
      <c r="R7" s="41">
        <f>IF(AO7=BL7,0,1)</f>
        <v>0</v>
      </c>
      <c r="S7" s="41">
        <f>IF(AP7=BM7,0,1)</f>
        <v>0</v>
      </c>
      <c r="T7" s="41">
        <f>IF(AQ7=BN7,0,1)</f>
        <v>0</v>
      </c>
      <c r="U7" s="41">
        <f>IF(AR7=BO7,0,1)</f>
        <v>0</v>
      </c>
      <c r="V7" s="41">
        <f>IF(AS7=BP7,0,1)</f>
        <v>0</v>
      </c>
      <c r="W7" s="41">
        <f>IF(AT7=BQ7,0,1)</f>
        <v>0</v>
      </c>
      <c r="X7" s="41">
        <f>IF(AU7=BR7,0,1)</f>
        <v>0</v>
      </c>
      <c r="Y7" s="41">
        <f>IF(AV7=BS7,0,1)</f>
        <v>0</v>
      </c>
      <c r="Z7" s="41">
        <f>IF(AW7=BT7,0,1)</f>
        <v>0</v>
      </c>
      <c r="AC7" s="41">
        <v>73.709999999999994</v>
      </c>
      <c r="AD7" s="41">
        <v>32.76</v>
      </c>
      <c r="AE7" s="41">
        <v>81.899999999999991</v>
      </c>
      <c r="AZ7" s="41">
        <v>73.709999999999994</v>
      </c>
      <c r="BA7" s="41">
        <v>0</v>
      </c>
      <c r="BB7" s="41">
        <v>81.899999999999991</v>
      </c>
    </row>
    <row r="8" spans="3:72" s="38" customFormat="1" x14ac:dyDescent="0.25">
      <c r="C8" s="47"/>
      <c r="F8" s="38">
        <f>IF(AC8=AZ8,0,1)</f>
        <v>0</v>
      </c>
      <c r="G8" s="38">
        <f>IF(AD8=BA8,0,1)</f>
        <v>0</v>
      </c>
      <c r="H8" s="38">
        <f>IF(AE8=BB8,0,1)</f>
        <v>0</v>
      </c>
      <c r="I8" s="38">
        <f>IF(AF8=BC8,0,1)</f>
        <v>0</v>
      </c>
      <c r="J8" s="38">
        <f>IF(AG8=BD8,0,1)</f>
        <v>0</v>
      </c>
      <c r="K8" s="38">
        <f>IF(AH8=BE8,0,1)</f>
        <v>0</v>
      </c>
      <c r="L8" s="38">
        <f>IF(AI8=BF8,0,1)</f>
        <v>0</v>
      </c>
      <c r="M8" s="38">
        <f>IF(AJ8=BG8,0,1)</f>
        <v>0</v>
      </c>
      <c r="N8" s="38">
        <f>IF(AK8=BH8,0,1)</f>
        <v>0</v>
      </c>
      <c r="O8" s="38">
        <f>IF(AL8=BI8,0,1)</f>
        <v>0</v>
      </c>
      <c r="P8" s="38">
        <f>IF(AM8=BJ8,0,1)</f>
        <v>0</v>
      </c>
      <c r="Q8" s="38">
        <f>IF(AN8=BK8,0,1)</f>
        <v>0</v>
      </c>
      <c r="R8" s="38">
        <f>IF(AO8=BL8,0,1)</f>
        <v>0</v>
      </c>
      <c r="S8" s="38">
        <f>IF(AP8=BM8,0,1)</f>
        <v>0</v>
      </c>
      <c r="T8" s="38">
        <f>IF(AQ8=BN8,0,1)</f>
        <v>0</v>
      </c>
      <c r="U8" s="38">
        <f>IF(AR8=BO8,0,1)</f>
        <v>0</v>
      </c>
      <c r="V8" s="38">
        <f>IF(AS8=BP8,0,1)</f>
        <v>0</v>
      </c>
      <c r="W8" s="38">
        <f>IF(AT8=BQ8,0,1)</f>
        <v>0</v>
      </c>
      <c r="X8" s="38">
        <f>IF(AU8=BR8,0,1)</f>
        <v>0</v>
      </c>
      <c r="Y8" s="38">
        <f>IF(AV8=BS8,0,1)</f>
        <v>0</v>
      </c>
      <c r="Z8" s="38">
        <f>IF(AW8=BT8,0,1)</f>
        <v>0</v>
      </c>
      <c r="AC8" s="38">
        <v>0</v>
      </c>
      <c r="AD8" s="38">
        <v>0</v>
      </c>
      <c r="AE8" s="38">
        <v>0</v>
      </c>
      <c r="AZ8" s="38">
        <v>0</v>
      </c>
      <c r="BA8" s="38">
        <v>0</v>
      </c>
      <c r="BB8" s="38">
        <v>0</v>
      </c>
    </row>
    <row r="9" spans="3:72" s="38" customFormat="1" x14ac:dyDescent="0.25">
      <c r="C9" s="47"/>
      <c r="E9" s="38" t="s">
        <v>21</v>
      </c>
      <c r="F9" s="38">
        <f>IF(AC9=AZ9,0,1)</f>
        <v>0</v>
      </c>
      <c r="G9" s="38">
        <f>IF(AD9=BA9,0,1)</f>
        <v>1</v>
      </c>
      <c r="H9" s="38">
        <f>IF(AE9=BB9,0,1)</f>
        <v>0</v>
      </c>
      <c r="I9" s="38">
        <f>IF(AF9=BC9,0,1)</f>
        <v>0</v>
      </c>
      <c r="J9" s="38">
        <f>IF(AG9=BD9,0,1)</f>
        <v>0</v>
      </c>
      <c r="K9" s="38">
        <f>IF(AH9=BE9,0,1)</f>
        <v>0</v>
      </c>
      <c r="L9" s="38">
        <f>IF(AI9=BF9,0,1)</f>
        <v>0</v>
      </c>
      <c r="M9" s="38">
        <f>IF(AJ9=BG9,0,1)</f>
        <v>0</v>
      </c>
      <c r="N9" s="38">
        <f>IF(AK9=BH9,0,1)</f>
        <v>0</v>
      </c>
      <c r="O9" s="38">
        <f>IF(AL9=BI9,0,1)</f>
        <v>0</v>
      </c>
      <c r="P9" s="38">
        <f>IF(AM9=BJ9,0,1)</f>
        <v>0</v>
      </c>
      <c r="Q9" s="38">
        <f>IF(AN9=BK9,0,1)</f>
        <v>0</v>
      </c>
      <c r="R9" s="38">
        <f>IF(AO9=BL9,0,1)</f>
        <v>0</v>
      </c>
      <c r="S9" s="38">
        <f>IF(AP9=BM9,0,1)</f>
        <v>0</v>
      </c>
      <c r="T9" s="38">
        <f>IF(AQ9=BN9,0,1)</f>
        <v>0</v>
      </c>
      <c r="U9" s="38">
        <f>IF(AR9=BO9,0,1)</f>
        <v>0</v>
      </c>
      <c r="V9" s="38">
        <f>IF(AS9=BP9,0,1)</f>
        <v>0</v>
      </c>
      <c r="W9" s="38">
        <f>IF(AT9=BQ9,0,1)</f>
        <v>0</v>
      </c>
      <c r="X9" s="38">
        <f>IF(AU9=BR9,0,1)</f>
        <v>0</v>
      </c>
      <c r="Y9" s="38">
        <f>IF(AV9=BS9,0,1)</f>
        <v>0</v>
      </c>
      <c r="Z9" s="38">
        <f>IF(AW9=BT9,0,1)</f>
        <v>0</v>
      </c>
      <c r="AC9" s="38">
        <v>50.9</v>
      </c>
      <c r="AD9" s="38">
        <v>25.45</v>
      </c>
      <c r="AE9" s="38">
        <v>45.81</v>
      </c>
      <c r="AZ9" s="38">
        <v>50.9</v>
      </c>
      <c r="BA9" s="38">
        <v>0</v>
      </c>
      <c r="BB9" s="38">
        <v>45.81</v>
      </c>
    </row>
    <row r="10" spans="3:72" s="40" customFormat="1" x14ac:dyDescent="0.25">
      <c r="C10" s="48"/>
      <c r="F10" s="40">
        <f>IF(AC10=AZ10,0,1)</f>
        <v>0</v>
      </c>
      <c r="G10" s="40">
        <f>IF(AD10=BA10,0,1)</f>
        <v>0</v>
      </c>
      <c r="H10" s="40">
        <f>IF(AE10=BB10,0,1)</f>
        <v>0</v>
      </c>
      <c r="I10" s="40">
        <f>IF(AF10=BC10,0,1)</f>
        <v>0</v>
      </c>
      <c r="J10" s="40">
        <f>IF(AG10=BD10,0,1)</f>
        <v>0</v>
      </c>
      <c r="K10" s="40">
        <f>IF(AH10=BE10,0,1)</f>
        <v>0</v>
      </c>
      <c r="L10" s="40">
        <f>IF(AI10=BF10,0,1)</f>
        <v>0</v>
      </c>
      <c r="M10" s="40">
        <f>IF(AJ10=BG10,0,1)</f>
        <v>0</v>
      </c>
      <c r="N10" s="40">
        <f>IF(AK10=BH10,0,1)</f>
        <v>0</v>
      </c>
      <c r="O10" s="40">
        <f>IF(AL10=BI10,0,1)</f>
        <v>0</v>
      </c>
      <c r="P10" s="40">
        <f>IF(AM10=BJ10,0,1)</f>
        <v>0</v>
      </c>
      <c r="Q10" s="40">
        <f>IF(AN10=BK10,0,1)</f>
        <v>0</v>
      </c>
      <c r="R10" s="40">
        <f>IF(AO10=BL10,0,1)</f>
        <v>0</v>
      </c>
      <c r="S10" s="40">
        <f>IF(AP10=BM10,0,1)</f>
        <v>0</v>
      </c>
      <c r="T10" s="40">
        <f>IF(AQ10=BN10,0,1)</f>
        <v>0</v>
      </c>
      <c r="U10" s="40">
        <f>IF(AR10=BO10,0,1)</f>
        <v>0</v>
      </c>
      <c r="V10" s="40">
        <f>IF(AS10=BP10,0,1)</f>
        <v>0</v>
      </c>
      <c r="W10" s="40">
        <f>IF(AT10=BQ10,0,1)</f>
        <v>0</v>
      </c>
      <c r="X10" s="40">
        <f>IF(AU10=BR10,0,1)</f>
        <v>0</v>
      </c>
      <c r="Y10" s="40">
        <f>IF(AV10=BS10,0,1)</f>
        <v>0</v>
      </c>
      <c r="Z10" s="40">
        <f>IF(AW10=BT10,0,1)</f>
        <v>0</v>
      </c>
      <c r="AC10" s="40">
        <v>0</v>
      </c>
      <c r="AD10" s="40">
        <v>0</v>
      </c>
      <c r="AE10" s="40">
        <v>0</v>
      </c>
      <c r="AZ10" s="40">
        <v>0</v>
      </c>
      <c r="BA10" s="40">
        <v>0</v>
      </c>
      <c r="BB10" s="40">
        <v>0</v>
      </c>
    </row>
    <row r="11" spans="3:72" s="41" customFormat="1" ht="16.5" customHeight="1" x14ac:dyDescent="0.25">
      <c r="C11" s="46" t="s">
        <v>190</v>
      </c>
      <c r="E11" s="41" t="s">
        <v>20</v>
      </c>
      <c r="F11" s="41">
        <f>IF(AC11=AZ11,0,1)</f>
        <v>0</v>
      </c>
      <c r="G11" s="41">
        <f>IF(AD11=BA11,0,1)</f>
        <v>0</v>
      </c>
      <c r="H11" s="41">
        <f>IF(AE11=BB11,0,1)</f>
        <v>0</v>
      </c>
      <c r="I11" s="41">
        <f>IF(AF11=BC11,0,1)</f>
        <v>0</v>
      </c>
      <c r="J11" s="41">
        <f>IF(AG11=BD11,0,1)</f>
        <v>0</v>
      </c>
      <c r="K11" s="41">
        <f>IF(AH11=BE11,0,1)</f>
        <v>0</v>
      </c>
      <c r="L11" s="41">
        <f>IF(AI11=BF11,0,1)</f>
        <v>0</v>
      </c>
      <c r="M11" s="41">
        <f>IF(AJ11=BG11,0,1)</f>
        <v>0</v>
      </c>
      <c r="N11" s="41">
        <f>IF(AK11=BH11,0,1)</f>
        <v>0</v>
      </c>
      <c r="O11" s="41">
        <f>IF(AL11=BI11,0,1)</f>
        <v>0</v>
      </c>
      <c r="P11" s="41">
        <f>IF(AM11=BJ11,0,1)</f>
        <v>0</v>
      </c>
      <c r="Q11" s="41">
        <f>IF(AN11=BK11,0,1)</f>
        <v>0</v>
      </c>
      <c r="R11" s="41">
        <f>IF(AO11=BL11,0,1)</f>
        <v>0</v>
      </c>
      <c r="S11" s="41">
        <f>IF(AP11=BM11,0,1)</f>
        <v>0</v>
      </c>
      <c r="T11" s="41">
        <f>IF(AQ11=BN11,0,1)</f>
        <v>0</v>
      </c>
      <c r="U11" s="41">
        <f>IF(AR11=BO11,0,1)</f>
        <v>0</v>
      </c>
      <c r="V11" s="41">
        <f>IF(AS11=BP11,0,1)</f>
        <v>0</v>
      </c>
      <c r="W11" s="41">
        <f>IF(AT11=BQ11,0,1)</f>
        <v>0</v>
      </c>
      <c r="X11" s="41">
        <f>IF(AU11=BR11,0,1)</f>
        <v>0</v>
      </c>
      <c r="Y11" s="41">
        <f>IF(AV11=BS11,0,1)</f>
        <v>0</v>
      </c>
      <c r="Z11" s="41">
        <f>IF(AW11=BT11,0,1)</f>
        <v>0</v>
      </c>
      <c r="AC11" s="41">
        <v>9</v>
      </c>
      <c r="AD11" s="41">
        <v>9</v>
      </c>
      <c r="AE11" s="41">
        <v>9</v>
      </c>
      <c r="AF11" s="41">
        <v>9</v>
      </c>
      <c r="AG11" s="41">
        <v>9</v>
      </c>
      <c r="AH11" s="41">
        <v>9</v>
      </c>
      <c r="AI11" s="41">
        <v>9</v>
      </c>
      <c r="AJ11" s="41">
        <v>4</v>
      </c>
      <c r="AK11" s="41">
        <v>4</v>
      </c>
      <c r="AL11" s="41">
        <v>4</v>
      </c>
      <c r="AM11" s="41">
        <v>4</v>
      </c>
      <c r="AN11" s="41">
        <v>4</v>
      </c>
      <c r="AO11" s="41">
        <v>4</v>
      </c>
      <c r="AP11" s="41">
        <v>10</v>
      </c>
      <c r="AQ11" s="41">
        <v>10</v>
      </c>
      <c r="AR11" s="41">
        <v>10</v>
      </c>
      <c r="AS11" s="41">
        <v>10</v>
      </c>
      <c r="AT11" s="41">
        <v>10</v>
      </c>
      <c r="AU11" s="41">
        <v>10</v>
      </c>
      <c r="AV11" s="41">
        <v>10</v>
      </c>
      <c r="AW11" s="41">
        <v>10</v>
      </c>
      <c r="AZ11" s="41">
        <v>9</v>
      </c>
      <c r="BA11" s="41">
        <v>9</v>
      </c>
      <c r="BB11" s="41">
        <v>9</v>
      </c>
      <c r="BC11" s="41">
        <v>9</v>
      </c>
      <c r="BD11" s="41">
        <v>9</v>
      </c>
      <c r="BE11" s="41">
        <v>9</v>
      </c>
      <c r="BF11" s="41">
        <v>9</v>
      </c>
      <c r="BG11" s="41">
        <v>4</v>
      </c>
      <c r="BH11" s="41">
        <v>4</v>
      </c>
      <c r="BI11" s="41">
        <v>4</v>
      </c>
      <c r="BJ11" s="41">
        <v>4</v>
      </c>
      <c r="BK11" s="41">
        <v>4</v>
      </c>
      <c r="BL11" s="41">
        <v>4</v>
      </c>
      <c r="BM11" s="41">
        <v>10</v>
      </c>
      <c r="BN11" s="41">
        <v>10</v>
      </c>
      <c r="BO11" s="41">
        <v>10</v>
      </c>
      <c r="BP11" s="41">
        <v>10</v>
      </c>
      <c r="BQ11" s="41">
        <v>10</v>
      </c>
      <c r="BR11" s="41">
        <v>10</v>
      </c>
      <c r="BS11" s="41">
        <v>10</v>
      </c>
      <c r="BT11" s="41">
        <v>10</v>
      </c>
    </row>
    <row r="12" spans="3:72" s="38" customFormat="1" x14ac:dyDescent="0.25">
      <c r="C12" s="47"/>
      <c r="F12" s="38">
        <f>IF(AC12=AZ12,0,1)</f>
        <v>0</v>
      </c>
      <c r="G12" s="38">
        <f>IF(AD12=BA12,0,1)</f>
        <v>0</v>
      </c>
      <c r="H12" s="38">
        <f>IF(AE12=BB12,0,1)</f>
        <v>0</v>
      </c>
      <c r="I12" s="38">
        <f>IF(AF12=BC12,0,1)</f>
        <v>0</v>
      </c>
      <c r="J12" s="38">
        <f>IF(AG12=BD12,0,1)</f>
        <v>0</v>
      </c>
      <c r="K12" s="38">
        <f>IF(AH12=BE12,0,1)</f>
        <v>0</v>
      </c>
      <c r="L12" s="38">
        <f>IF(AI12=BF12,0,1)</f>
        <v>0</v>
      </c>
      <c r="M12" s="38">
        <f>IF(AJ12=BG12,0,1)</f>
        <v>0</v>
      </c>
      <c r="N12" s="38">
        <f>IF(AK12=BH12,0,1)</f>
        <v>0</v>
      </c>
      <c r="O12" s="38">
        <f>IF(AL12=BI12,0,1)</f>
        <v>0</v>
      </c>
      <c r="P12" s="38">
        <f>IF(AM12=BJ12,0,1)</f>
        <v>0</v>
      </c>
      <c r="Q12" s="38">
        <f>IF(AN12=BK12,0,1)</f>
        <v>0</v>
      </c>
      <c r="R12" s="38">
        <f>IF(AO12=BL12,0,1)</f>
        <v>0</v>
      </c>
      <c r="S12" s="38">
        <f>IF(AP12=BM12,0,1)</f>
        <v>0</v>
      </c>
      <c r="T12" s="38">
        <f>IF(AQ12=BN12,0,1)</f>
        <v>0</v>
      </c>
      <c r="U12" s="38">
        <f>IF(AR12=BO12,0,1)</f>
        <v>0</v>
      </c>
      <c r="V12" s="38">
        <f>IF(AS12=BP12,0,1)</f>
        <v>0</v>
      </c>
      <c r="W12" s="38">
        <f>IF(AT12=BQ12,0,1)</f>
        <v>0</v>
      </c>
      <c r="X12" s="38">
        <f>IF(AU12=BR12,0,1)</f>
        <v>0</v>
      </c>
      <c r="Y12" s="38">
        <f>IF(AV12=BS12,0,1)</f>
        <v>0</v>
      </c>
      <c r="Z12" s="38">
        <f>IF(AW12=BT12,0,1)</f>
        <v>0</v>
      </c>
    </row>
    <row r="13" spans="3:72" s="38" customFormat="1" x14ac:dyDescent="0.25">
      <c r="C13" s="47"/>
      <c r="E13" s="38" t="s">
        <v>21</v>
      </c>
      <c r="F13" s="38">
        <f>IF(AC13=AZ13,0,1)</f>
        <v>0</v>
      </c>
      <c r="G13" s="38">
        <f>IF(AD13=BA13,0,1)</f>
        <v>0</v>
      </c>
      <c r="H13" s="38">
        <f>IF(AE13=BB13,0,1)</f>
        <v>0</v>
      </c>
      <c r="I13" s="38">
        <f>IF(AF13=BC13,0,1)</f>
        <v>0</v>
      </c>
      <c r="J13" s="38">
        <f>IF(AG13=BD13,0,1)</f>
        <v>0</v>
      </c>
      <c r="K13" s="38">
        <f>IF(AH13=BE13,0,1)</f>
        <v>0</v>
      </c>
      <c r="L13" s="38">
        <f>IF(AI13=BF13,0,1)</f>
        <v>0</v>
      </c>
      <c r="M13" s="38">
        <f>IF(AJ13=BG13,0,1)</f>
        <v>0</v>
      </c>
      <c r="N13" s="38">
        <f>IF(AK13=BH13,0,1)</f>
        <v>0</v>
      </c>
      <c r="O13" s="38">
        <f>IF(AL13=BI13,0,1)</f>
        <v>0</v>
      </c>
      <c r="P13" s="38">
        <f>IF(AM13=BJ13,0,1)</f>
        <v>0</v>
      </c>
      <c r="Q13" s="38">
        <f>IF(AN13=BK13,0,1)</f>
        <v>0</v>
      </c>
      <c r="R13" s="38">
        <f>IF(AO13=BL13,0,1)</f>
        <v>0</v>
      </c>
      <c r="S13" s="38">
        <f>IF(AP13=BM13,0,1)</f>
        <v>0</v>
      </c>
      <c r="T13" s="38">
        <f>IF(AQ13=BN13,0,1)</f>
        <v>0</v>
      </c>
      <c r="U13" s="38">
        <f>IF(AR13=BO13,0,1)</f>
        <v>0</v>
      </c>
      <c r="V13" s="38">
        <f>IF(AS13=BP13,0,1)</f>
        <v>0</v>
      </c>
      <c r="W13" s="38">
        <f>IF(AT13=BQ13,0,1)</f>
        <v>0</v>
      </c>
      <c r="X13" s="38">
        <f>IF(AU13=BR13,0,1)</f>
        <v>0</v>
      </c>
      <c r="Y13" s="38">
        <f>IF(AV13=BS13,0,1)</f>
        <v>0</v>
      </c>
      <c r="Z13" s="38">
        <f>IF(AW13=BT13,0,1)</f>
        <v>0</v>
      </c>
      <c r="AC13" s="38">
        <v>10</v>
      </c>
      <c r="AD13" s="38">
        <v>10</v>
      </c>
      <c r="AE13" s="38">
        <v>10</v>
      </c>
      <c r="AF13" s="38">
        <v>10</v>
      </c>
      <c r="AG13" s="38">
        <v>10</v>
      </c>
      <c r="AH13" s="38">
        <v>10</v>
      </c>
      <c r="AI13" s="38">
        <v>10</v>
      </c>
      <c r="AJ13" s="38">
        <v>5</v>
      </c>
      <c r="AK13" s="38">
        <v>5</v>
      </c>
      <c r="AL13" s="38">
        <v>5</v>
      </c>
      <c r="AM13" s="38">
        <v>5</v>
      </c>
      <c r="AN13" s="38">
        <v>5</v>
      </c>
      <c r="AO13" s="38">
        <v>5</v>
      </c>
      <c r="AP13" s="38">
        <v>9</v>
      </c>
      <c r="AQ13" s="38">
        <v>9</v>
      </c>
      <c r="AR13" s="38">
        <v>9</v>
      </c>
      <c r="AS13" s="38">
        <v>9</v>
      </c>
      <c r="AT13" s="38">
        <v>9</v>
      </c>
      <c r="AU13" s="38">
        <v>9</v>
      </c>
      <c r="AV13" s="38">
        <v>9</v>
      </c>
      <c r="AW13" s="38">
        <v>9</v>
      </c>
      <c r="AZ13" s="38">
        <v>10</v>
      </c>
      <c r="BA13" s="38">
        <v>10</v>
      </c>
      <c r="BB13" s="38">
        <v>10</v>
      </c>
      <c r="BC13" s="38">
        <v>10</v>
      </c>
      <c r="BD13" s="38">
        <v>10</v>
      </c>
      <c r="BE13" s="38">
        <v>10</v>
      </c>
      <c r="BF13" s="38">
        <v>10</v>
      </c>
      <c r="BG13" s="38">
        <v>5</v>
      </c>
      <c r="BH13" s="38">
        <v>5</v>
      </c>
      <c r="BI13" s="38">
        <v>5</v>
      </c>
      <c r="BJ13" s="38">
        <v>5</v>
      </c>
      <c r="BK13" s="38">
        <v>5</v>
      </c>
      <c r="BL13" s="38">
        <v>5</v>
      </c>
      <c r="BM13" s="38">
        <v>9</v>
      </c>
      <c r="BN13" s="38">
        <v>9</v>
      </c>
      <c r="BO13" s="38">
        <v>9</v>
      </c>
      <c r="BP13" s="38">
        <v>9</v>
      </c>
      <c r="BQ13" s="38">
        <v>9</v>
      </c>
      <c r="BR13" s="38">
        <v>9</v>
      </c>
      <c r="BS13" s="38">
        <v>9</v>
      </c>
      <c r="BT13" s="38">
        <v>9</v>
      </c>
    </row>
    <row r="14" spans="3:72" s="40" customFormat="1" x14ac:dyDescent="0.25">
      <c r="C14" s="48"/>
      <c r="F14" s="40">
        <f>IF(AC14=AZ14,0,1)</f>
        <v>0</v>
      </c>
      <c r="G14" s="40">
        <f>IF(AD14=BA14,0,1)</f>
        <v>0</v>
      </c>
      <c r="H14" s="40">
        <f>IF(AE14=BB14,0,1)</f>
        <v>0</v>
      </c>
      <c r="I14" s="40">
        <f>IF(AF14=BC14,0,1)</f>
        <v>0</v>
      </c>
      <c r="J14" s="40">
        <f>IF(AG14=BD14,0,1)</f>
        <v>0</v>
      </c>
      <c r="K14" s="40">
        <f>IF(AH14=BE14,0,1)</f>
        <v>0</v>
      </c>
      <c r="L14" s="40">
        <f>IF(AI14=BF14,0,1)</f>
        <v>0</v>
      </c>
      <c r="M14" s="40">
        <f>IF(AJ14=BG14,0,1)</f>
        <v>0</v>
      </c>
      <c r="N14" s="40">
        <f>IF(AK14=BH14,0,1)</f>
        <v>0</v>
      </c>
      <c r="O14" s="40">
        <f>IF(AL14=BI14,0,1)</f>
        <v>0</v>
      </c>
      <c r="P14" s="40">
        <f>IF(AM14=BJ14,0,1)</f>
        <v>0</v>
      </c>
      <c r="Q14" s="40">
        <f>IF(AN14=BK14,0,1)</f>
        <v>0</v>
      </c>
      <c r="R14" s="40">
        <f>IF(AO14=BL14,0,1)</f>
        <v>0</v>
      </c>
      <c r="S14" s="40">
        <f>IF(AP14=BM14,0,1)</f>
        <v>0</v>
      </c>
      <c r="T14" s="40">
        <f>IF(AQ14=BN14,0,1)</f>
        <v>0</v>
      </c>
      <c r="U14" s="40">
        <f>IF(AR14=BO14,0,1)</f>
        <v>0</v>
      </c>
      <c r="V14" s="40">
        <f>IF(AS14=BP14,0,1)</f>
        <v>0</v>
      </c>
      <c r="W14" s="40">
        <f>IF(AT14=BQ14,0,1)</f>
        <v>0</v>
      </c>
      <c r="X14" s="40">
        <f>IF(AU14=BR14,0,1)</f>
        <v>0</v>
      </c>
      <c r="Y14" s="40">
        <f>IF(AV14=BS14,0,1)</f>
        <v>0</v>
      </c>
      <c r="Z14" s="40">
        <f>IF(AW14=BT14,0,1)</f>
        <v>0</v>
      </c>
    </row>
    <row r="15" spans="3:72" s="41" customFormat="1" x14ac:dyDescent="0.25">
      <c r="C15" s="46" t="s">
        <v>187</v>
      </c>
      <c r="E15" s="41" t="s">
        <v>20</v>
      </c>
      <c r="F15" s="41">
        <f>IF(AC15=AZ15,0,1)</f>
        <v>0</v>
      </c>
      <c r="G15" s="41">
        <f t="shared" ref="G15:G18" si="21">IF(AD15=BA15,0,1)</f>
        <v>0</v>
      </c>
      <c r="H15" s="41">
        <f t="shared" ref="H15:H18" si="22">IF(AE15=BB15,0,1)</f>
        <v>0</v>
      </c>
      <c r="I15" s="41">
        <f t="shared" ref="I15:I18" si="23">IF(AF15=BC15,0,1)</f>
        <v>0</v>
      </c>
      <c r="J15" s="41">
        <f t="shared" ref="J15:J18" si="24">IF(AG15=BD15,0,1)</f>
        <v>0</v>
      </c>
      <c r="K15" s="41">
        <f t="shared" ref="K15:K18" si="25">IF(AH15=BE15,0,1)</f>
        <v>0</v>
      </c>
      <c r="L15" s="41">
        <f t="shared" ref="L15:L18" si="26">IF(AI15=BF15,0,1)</f>
        <v>0</v>
      </c>
      <c r="M15" s="41">
        <f t="shared" ref="M15:M18" si="27">IF(AJ15=BG15,0,1)</f>
        <v>0</v>
      </c>
      <c r="N15" s="41">
        <f t="shared" ref="N15:N18" si="28">IF(AK15=BH15,0,1)</f>
        <v>0</v>
      </c>
      <c r="O15" s="41">
        <f t="shared" ref="O15:O18" si="29">IF(AL15=BI15,0,1)</f>
        <v>0</v>
      </c>
      <c r="P15" s="41">
        <f t="shared" ref="P15:P18" si="30">IF(AM15=BJ15,0,1)</f>
        <v>0</v>
      </c>
      <c r="Q15" s="41">
        <f t="shared" ref="Q15:Q18" si="31">IF(AN15=BK15,0,1)</f>
        <v>0</v>
      </c>
      <c r="R15" s="41">
        <f t="shared" ref="R15:R18" si="32">IF(AO15=BL15,0,1)</f>
        <v>0</v>
      </c>
      <c r="S15" s="41">
        <f t="shared" ref="S15:S18" si="33">IF(AP15=BM15,0,1)</f>
        <v>0</v>
      </c>
      <c r="T15" s="41">
        <f t="shared" ref="T15:T18" si="34">IF(AQ15=BN15,0,1)</f>
        <v>0</v>
      </c>
      <c r="U15" s="41">
        <f t="shared" ref="U15:U18" si="35">IF(AR15=BO15,0,1)</f>
        <v>0</v>
      </c>
      <c r="V15" s="41">
        <f t="shared" ref="V15:V18" si="36">IF(AS15=BP15,0,1)</f>
        <v>0</v>
      </c>
      <c r="W15" s="41">
        <f t="shared" ref="W15:W18" si="37">IF(AT15=BQ15,0,1)</f>
        <v>0</v>
      </c>
      <c r="X15" s="41">
        <f t="shared" ref="X15:X18" si="38">IF(AU15=BR15,0,1)</f>
        <v>0</v>
      </c>
      <c r="Y15" s="41">
        <f t="shared" ref="Y15:Y18" si="39">IF(AV15=BS15,0,1)</f>
        <v>0</v>
      </c>
      <c r="Z15" s="41">
        <f t="shared" ref="Z15:Z18" si="40">IF(AW15=BT15,0,1)</f>
        <v>0</v>
      </c>
      <c r="AB15" s="41" t="s">
        <v>20</v>
      </c>
      <c r="AC15" s="41">
        <v>9</v>
      </c>
      <c r="AD15" s="41">
        <v>9</v>
      </c>
      <c r="AE15" s="41">
        <v>8</v>
      </c>
      <c r="AF15" s="41">
        <v>7</v>
      </c>
      <c r="AG15" s="41">
        <v>6</v>
      </c>
      <c r="AH15" s="41">
        <v>5</v>
      </c>
      <c r="AI15" s="41">
        <v>5</v>
      </c>
      <c r="AJ15" s="41">
        <v>4</v>
      </c>
      <c r="AK15" s="41">
        <v>3</v>
      </c>
      <c r="AL15" s="41">
        <v>2</v>
      </c>
      <c r="AM15" s="41">
        <v>2</v>
      </c>
      <c r="AN15" s="41">
        <v>2</v>
      </c>
      <c r="AO15" s="41">
        <v>2</v>
      </c>
      <c r="AP15" s="41">
        <v>3</v>
      </c>
      <c r="AQ15" s="41">
        <v>4</v>
      </c>
      <c r="AR15" s="41">
        <v>5</v>
      </c>
      <c r="AS15" s="41">
        <v>6</v>
      </c>
      <c r="AT15" s="41">
        <v>7</v>
      </c>
      <c r="AU15" s="41">
        <v>8</v>
      </c>
      <c r="AV15" s="41">
        <v>9</v>
      </c>
      <c r="AW15" s="41">
        <v>10</v>
      </c>
      <c r="AY15" s="41" t="s">
        <v>20</v>
      </c>
      <c r="AZ15" s="41">
        <v>9</v>
      </c>
      <c r="BA15" s="41">
        <v>9</v>
      </c>
      <c r="BB15" s="41">
        <v>8</v>
      </c>
      <c r="BC15" s="41">
        <v>7</v>
      </c>
      <c r="BD15" s="41">
        <v>6</v>
      </c>
      <c r="BE15" s="41">
        <v>5</v>
      </c>
      <c r="BF15" s="41">
        <v>5</v>
      </c>
      <c r="BG15" s="41">
        <v>4</v>
      </c>
      <c r="BH15" s="41">
        <v>3</v>
      </c>
      <c r="BI15" s="41">
        <v>2</v>
      </c>
      <c r="BJ15" s="41">
        <v>2</v>
      </c>
      <c r="BK15" s="41">
        <v>2</v>
      </c>
      <c r="BL15" s="41">
        <v>2</v>
      </c>
      <c r="BM15" s="41">
        <v>3</v>
      </c>
      <c r="BN15" s="41">
        <v>4</v>
      </c>
      <c r="BO15" s="41">
        <v>5</v>
      </c>
      <c r="BP15" s="41">
        <v>6</v>
      </c>
      <c r="BQ15" s="41">
        <v>7</v>
      </c>
      <c r="BR15" s="41">
        <v>8</v>
      </c>
      <c r="BS15" s="41">
        <v>9</v>
      </c>
      <c r="BT15" s="41">
        <v>10</v>
      </c>
    </row>
    <row r="16" spans="3:72" s="38" customFormat="1" x14ac:dyDescent="0.25">
      <c r="C16" s="47"/>
      <c r="F16" s="38">
        <f t="shared" ref="F16:F23" si="41">IF(AC16=AZ16,0,1)</f>
        <v>0</v>
      </c>
      <c r="G16" s="38">
        <f t="shared" si="21"/>
        <v>0</v>
      </c>
      <c r="H16" s="38">
        <f t="shared" si="22"/>
        <v>0</v>
      </c>
      <c r="I16" s="38">
        <f t="shared" si="23"/>
        <v>0</v>
      </c>
      <c r="J16" s="38">
        <f t="shared" si="24"/>
        <v>0</v>
      </c>
      <c r="K16" s="38">
        <f t="shared" si="25"/>
        <v>0</v>
      </c>
      <c r="L16" s="38">
        <f t="shared" si="26"/>
        <v>0</v>
      </c>
      <c r="M16" s="38">
        <f t="shared" si="27"/>
        <v>0</v>
      </c>
      <c r="N16" s="38">
        <f t="shared" si="28"/>
        <v>0</v>
      </c>
      <c r="O16" s="38">
        <f t="shared" si="29"/>
        <v>0</v>
      </c>
      <c r="P16" s="38">
        <f t="shared" si="30"/>
        <v>0</v>
      </c>
      <c r="Q16" s="38">
        <f t="shared" si="31"/>
        <v>0</v>
      </c>
      <c r="R16" s="38">
        <f t="shared" si="32"/>
        <v>0</v>
      </c>
      <c r="S16" s="38">
        <f t="shared" si="33"/>
        <v>0</v>
      </c>
      <c r="T16" s="38">
        <f t="shared" si="34"/>
        <v>0</v>
      </c>
      <c r="U16" s="38">
        <f t="shared" si="35"/>
        <v>0</v>
      </c>
      <c r="V16" s="38">
        <f t="shared" si="36"/>
        <v>0</v>
      </c>
      <c r="W16" s="38">
        <f t="shared" si="37"/>
        <v>0</v>
      </c>
      <c r="X16" s="38">
        <f t="shared" si="38"/>
        <v>0</v>
      </c>
      <c r="Y16" s="38">
        <f t="shared" si="39"/>
        <v>0</v>
      </c>
      <c r="Z16" s="38">
        <f t="shared" si="40"/>
        <v>0</v>
      </c>
    </row>
    <row r="17" spans="3:72" s="38" customFormat="1" x14ac:dyDescent="0.25">
      <c r="C17" s="47"/>
      <c r="E17" s="38" t="s">
        <v>21</v>
      </c>
      <c r="F17" s="38">
        <f t="shared" si="41"/>
        <v>0</v>
      </c>
      <c r="G17" s="38">
        <f t="shared" si="21"/>
        <v>0</v>
      </c>
      <c r="H17" s="38">
        <f t="shared" si="22"/>
        <v>0</v>
      </c>
      <c r="I17" s="38">
        <f t="shared" si="23"/>
        <v>0</v>
      </c>
      <c r="J17" s="38">
        <f t="shared" si="24"/>
        <v>0</v>
      </c>
      <c r="K17" s="38">
        <f t="shared" si="25"/>
        <v>0</v>
      </c>
      <c r="L17" s="38">
        <f t="shared" si="26"/>
        <v>0</v>
      </c>
      <c r="M17" s="38">
        <f t="shared" si="27"/>
        <v>0</v>
      </c>
      <c r="N17" s="38">
        <f t="shared" si="28"/>
        <v>0</v>
      </c>
      <c r="O17" s="38">
        <f t="shared" si="29"/>
        <v>0</v>
      </c>
      <c r="P17" s="38">
        <f t="shared" si="30"/>
        <v>0</v>
      </c>
      <c r="Q17" s="38">
        <f t="shared" si="31"/>
        <v>0</v>
      </c>
      <c r="R17" s="38">
        <f t="shared" si="32"/>
        <v>0</v>
      </c>
      <c r="S17" s="38">
        <f t="shared" si="33"/>
        <v>0</v>
      </c>
      <c r="T17" s="38">
        <f t="shared" si="34"/>
        <v>0</v>
      </c>
      <c r="U17" s="38">
        <f t="shared" si="35"/>
        <v>0</v>
      </c>
      <c r="V17" s="38">
        <f t="shared" si="36"/>
        <v>0</v>
      </c>
      <c r="W17" s="38">
        <f t="shared" si="37"/>
        <v>0</v>
      </c>
      <c r="X17" s="38">
        <f t="shared" si="38"/>
        <v>0</v>
      </c>
      <c r="Y17" s="38">
        <f t="shared" si="39"/>
        <v>0</v>
      </c>
      <c r="Z17" s="38">
        <f t="shared" si="40"/>
        <v>0</v>
      </c>
      <c r="AB17" s="38" t="s">
        <v>21</v>
      </c>
      <c r="AC17" s="38">
        <v>10</v>
      </c>
      <c r="AD17" s="38">
        <v>10</v>
      </c>
      <c r="AE17" s="38">
        <v>9</v>
      </c>
      <c r="AF17" s="38">
        <v>8</v>
      </c>
      <c r="AG17" s="38">
        <v>7</v>
      </c>
      <c r="AH17" s="38">
        <v>6</v>
      </c>
      <c r="AI17" s="38">
        <v>5</v>
      </c>
      <c r="AJ17" s="38">
        <v>5</v>
      </c>
      <c r="AK17" s="38">
        <v>5</v>
      </c>
      <c r="AL17" s="38">
        <v>5</v>
      </c>
      <c r="AM17" s="38">
        <v>5</v>
      </c>
      <c r="AN17" s="38">
        <v>5</v>
      </c>
      <c r="AO17" s="38">
        <v>5</v>
      </c>
      <c r="AP17" s="38">
        <v>5</v>
      </c>
      <c r="AQ17" s="38">
        <v>5</v>
      </c>
      <c r="AR17" s="38">
        <v>5</v>
      </c>
      <c r="AS17" s="38">
        <v>5</v>
      </c>
      <c r="AT17" s="38">
        <v>6</v>
      </c>
      <c r="AU17" s="38">
        <v>7</v>
      </c>
      <c r="AV17" s="38">
        <v>8</v>
      </c>
      <c r="AW17" s="38">
        <v>9</v>
      </c>
      <c r="AY17" s="38" t="s">
        <v>21</v>
      </c>
      <c r="AZ17" s="38">
        <v>10</v>
      </c>
      <c r="BA17" s="38">
        <v>10</v>
      </c>
      <c r="BB17" s="38">
        <v>9</v>
      </c>
      <c r="BC17" s="38">
        <v>8</v>
      </c>
      <c r="BD17" s="38">
        <v>7</v>
      </c>
      <c r="BE17" s="38">
        <v>6</v>
      </c>
      <c r="BF17" s="38">
        <v>5</v>
      </c>
      <c r="BG17" s="38">
        <v>5</v>
      </c>
      <c r="BH17" s="38">
        <v>5</v>
      </c>
      <c r="BI17" s="38">
        <v>5</v>
      </c>
      <c r="BJ17" s="38">
        <v>5</v>
      </c>
      <c r="BK17" s="38">
        <v>5</v>
      </c>
      <c r="BL17" s="38">
        <v>5</v>
      </c>
      <c r="BM17" s="38">
        <v>5</v>
      </c>
      <c r="BN17" s="38">
        <v>5</v>
      </c>
      <c r="BO17" s="38">
        <v>5</v>
      </c>
      <c r="BP17" s="38">
        <v>5</v>
      </c>
      <c r="BQ17" s="38">
        <v>6</v>
      </c>
      <c r="BR17" s="38">
        <v>7</v>
      </c>
      <c r="BS17" s="38">
        <v>8</v>
      </c>
      <c r="BT17" s="38">
        <v>9</v>
      </c>
    </row>
    <row r="18" spans="3:72" s="40" customFormat="1" x14ac:dyDescent="0.25">
      <c r="C18" s="48"/>
      <c r="F18" s="40">
        <f t="shared" si="41"/>
        <v>0</v>
      </c>
      <c r="G18" s="40">
        <f t="shared" si="21"/>
        <v>0</v>
      </c>
      <c r="H18" s="40">
        <f t="shared" si="22"/>
        <v>0</v>
      </c>
      <c r="I18" s="40">
        <f t="shared" si="23"/>
        <v>0</v>
      </c>
      <c r="J18" s="40">
        <f t="shared" si="24"/>
        <v>0</v>
      </c>
      <c r="K18" s="40">
        <f t="shared" si="25"/>
        <v>0</v>
      </c>
      <c r="L18" s="40">
        <f t="shared" si="26"/>
        <v>0</v>
      </c>
      <c r="M18" s="40">
        <f t="shared" si="27"/>
        <v>0</v>
      </c>
      <c r="N18" s="40">
        <f t="shared" si="28"/>
        <v>0</v>
      </c>
      <c r="O18" s="40">
        <f t="shared" si="29"/>
        <v>0</v>
      </c>
      <c r="P18" s="40">
        <f t="shared" si="30"/>
        <v>0</v>
      </c>
      <c r="Q18" s="40">
        <f t="shared" si="31"/>
        <v>0</v>
      </c>
      <c r="R18" s="40">
        <f t="shared" si="32"/>
        <v>0</v>
      </c>
      <c r="S18" s="40">
        <f t="shared" si="33"/>
        <v>0</v>
      </c>
      <c r="T18" s="40">
        <f t="shared" si="34"/>
        <v>0</v>
      </c>
      <c r="U18" s="40">
        <f t="shared" si="35"/>
        <v>0</v>
      </c>
      <c r="V18" s="40">
        <f t="shared" si="36"/>
        <v>0</v>
      </c>
      <c r="W18" s="40">
        <f t="shared" si="37"/>
        <v>0</v>
      </c>
      <c r="X18" s="40">
        <f t="shared" si="38"/>
        <v>0</v>
      </c>
      <c r="Y18" s="40">
        <f t="shared" si="39"/>
        <v>0</v>
      </c>
      <c r="Z18" s="40">
        <f t="shared" si="40"/>
        <v>0</v>
      </c>
    </row>
    <row r="19" spans="3:72" s="41" customFormat="1" x14ac:dyDescent="0.25">
      <c r="C19" s="46" t="s">
        <v>188</v>
      </c>
      <c r="E19" s="41" t="s">
        <v>20</v>
      </c>
      <c r="F19" s="41">
        <f>IF(AC19=AZ19,0,1)</f>
        <v>0</v>
      </c>
      <c r="G19" s="41">
        <f t="shared" ref="G19:Z22" si="42">IF(AD19=BA19,0,1)</f>
        <v>0</v>
      </c>
      <c r="H19" s="41">
        <f t="shared" si="42"/>
        <v>0</v>
      </c>
      <c r="I19" s="41">
        <f t="shared" si="42"/>
        <v>0</v>
      </c>
      <c r="J19" s="41">
        <f t="shared" si="42"/>
        <v>0</v>
      </c>
      <c r="K19" s="41">
        <f t="shared" si="42"/>
        <v>0</v>
      </c>
      <c r="L19" s="41">
        <f t="shared" si="42"/>
        <v>0</v>
      </c>
      <c r="M19" s="41">
        <f t="shared" si="42"/>
        <v>0</v>
      </c>
      <c r="N19" s="41">
        <f t="shared" si="42"/>
        <v>0</v>
      </c>
      <c r="O19" s="41">
        <f t="shared" si="42"/>
        <v>0</v>
      </c>
      <c r="P19" s="41">
        <f t="shared" si="42"/>
        <v>0</v>
      </c>
      <c r="Q19" s="41">
        <f t="shared" si="42"/>
        <v>0</v>
      </c>
      <c r="R19" s="41">
        <f t="shared" si="42"/>
        <v>0</v>
      </c>
      <c r="S19" s="41">
        <f t="shared" si="42"/>
        <v>0</v>
      </c>
      <c r="T19" s="41">
        <f t="shared" si="42"/>
        <v>0</v>
      </c>
      <c r="U19" s="41">
        <f t="shared" si="42"/>
        <v>0</v>
      </c>
      <c r="V19" s="41">
        <f t="shared" si="42"/>
        <v>0</v>
      </c>
      <c r="W19" s="41">
        <f t="shared" si="42"/>
        <v>0</v>
      </c>
      <c r="X19" s="41">
        <f t="shared" si="42"/>
        <v>0</v>
      </c>
      <c r="Y19" s="41">
        <f t="shared" si="42"/>
        <v>0</v>
      </c>
      <c r="Z19" s="41">
        <f t="shared" si="42"/>
        <v>0</v>
      </c>
      <c r="AC19" s="41">
        <v>0.14799999999999999</v>
      </c>
      <c r="AD19" s="41">
        <v>0.106</v>
      </c>
      <c r="AE19" s="41">
        <v>0.14799999999999999</v>
      </c>
      <c r="AZ19" s="41">
        <v>0.14799999999999999</v>
      </c>
      <c r="BA19" s="41">
        <v>0.106</v>
      </c>
      <c r="BB19" s="41">
        <v>0.14799999999999999</v>
      </c>
    </row>
    <row r="20" spans="3:72" s="38" customFormat="1" x14ac:dyDescent="0.25">
      <c r="C20" s="47"/>
      <c r="F20" s="38">
        <f t="shared" ref="F20:F22" si="43">IF(AC20=AZ20,0,1)</f>
        <v>0</v>
      </c>
      <c r="G20" s="38">
        <f t="shared" si="42"/>
        <v>0</v>
      </c>
      <c r="H20" s="38">
        <f t="shared" si="42"/>
        <v>0</v>
      </c>
      <c r="I20" s="38">
        <f t="shared" si="42"/>
        <v>0</v>
      </c>
      <c r="J20" s="38">
        <f t="shared" si="42"/>
        <v>0</v>
      </c>
      <c r="K20" s="38">
        <f t="shared" si="42"/>
        <v>0</v>
      </c>
      <c r="L20" s="38">
        <f t="shared" si="42"/>
        <v>0</v>
      </c>
      <c r="M20" s="38">
        <f t="shared" si="42"/>
        <v>0</v>
      </c>
      <c r="N20" s="38">
        <f t="shared" si="42"/>
        <v>0</v>
      </c>
      <c r="O20" s="38">
        <f t="shared" si="42"/>
        <v>0</v>
      </c>
      <c r="P20" s="38">
        <f t="shared" si="42"/>
        <v>0</v>
      </c>
      <c r="Q20" s="38">
        <f t="shared" si="42"/>
        <v>0</v>
      </c>
      <c r="R20" s="38">
        <f t="shared" si="42"/>
        <v>0</v>
      </c>
      <c r="S20" s="38">
        <f t="shared" si="42"/>
        <v>0</v>
      </c>
      <c r="T20" s="38">
        <f t="shared" si="42"/>
        <v>0</v>
      </c>
      <c r="U20" s="38">
        <f t="shared" si="42"/>
        <v>0</v>
      </c>
      <c r="V20" s="38">
        <f t="shared" si="42"/>
        <v>0</v>
      </c>
      <c r="W20" s="38">
        <f t="shared" si="42"/>
        <v>0</v>
      </c>
      <c r="X20" s="38">
        <f t="shared" si="42"/>
        <v>0</v>
      </c>
      <c r="Y20" s="38">
        <f t="shared" si="42"/>
        <v>0</v>
      </c>
      <c r="Z20" s="38">
        <f t="shared" si="42"/>
        <v>0</v>
      </c>
      <c r="AC20" s="38">
        <v>0.106</v>
      </c>
      <c r="AD20" s="38">
        <v>0</v>
      </c>
      <c r="AE20" s="38">
        <v>0.106</v>
      </c>
      <c r="AZ20" s="38">
        <v>0.106</v>
      </c>
      <c r="BA20" s="38">
        <v>0</v>
      </c>
      <c r="BB20" s="38">
        <v>0.106</v>
      </c>
    </row>
    <row r="21" spans="3:72" s="38" customFormat="1" x14ac:dyDescent="0.25">
      <c r="C21" s="47"/>
      <c r="E21" s="38" t="s">
        <v>21</v>
      </c>
      <c r="F21" s="38">
        <f t="shared" si="43"/>
        <v>0</v>
      </c>
      <c r="G21" s="38">
        <f t="shared" si="42"/>
        <v>0</v>
      </c>
      <c r="H21" s="38">
        <f t="shared" si="42"/>
        <v>0</v>
      </c>
      <c r="I21" s="38">
        <f t="shared" si="42"/>
        <v>0</v>
      </c>
      <c r="J21" s="38">
        <f t="shared" si="42"/>
        <v>0</v>
      </c>
      <c r="K21" s="38">
        <f t="shared" si="42"/>
        <v>0</v>
      </c>
      <c r="L21" s="38">
        <f t="shared" si="42"/>
        <v>0</v>
      </c>
      <c r="M21" s="38">
        <f t="shared" si="42"/>
        <v>0</v>
      </c>
      <c r="N21" s="38">
        <f t="shared" si="42"/>
        <v>0</v>
      </c>
      <c r="O21" s="38">
        <f t="shared" si="42"/>
        <v>0</v>
      </c>
      <c r="P21" s="38">
        <f t="shared" si="42"/>
        <v>0</v>
      </c>
      <c r="Q21" s="38">
        <f t="shared" si="42"/>
        <v>0</v>
      </c>
      <c r="R21" s="38">
        <f t="shared" si="42"/>
        <v>0</v>
      </c>
      <c r="S21" s="38">
        <f t="shared" si="42"/>
        <v>0</v>
      </c>
      <c r="T21" s="38">
        <f t="shared" si="42"/>
        <v>0</v>
      </c>
      <c r="U21" s="38">
        <f t="shared" si="42"/>
        <v>0</v>
      </c>
      <c r="V21" s="38">
        <f t="shared" si="42"/>
        <v>0</v>
      </c>
      <c r="W21" s="38">
        <f t="shared" si="42"/>
        <v>0</v>
      </c>
      <c r="X21" s="38">
        <f t="shared" si="42"/>
        <v>0</v>
      </c>
      <c r="Y21" s="38">
        <f t="shared" si="42"/>
        <v>0</v>
      </c>
      <c r="Z21" s="38">
        <f t="shared" si="42"/>
        <v>0</v>
      </c>
      <c r="AC21" s="38">
        <v>6.4000000000000001E-2</v>
      </c>
      <c r="AD21" s="38">
        <v>0</v>
      </c>
      <c r="AE21" s="38">
        <v>6.4000000000000001E-2</v>
      </c>
      <c r="AZ21" s="38">
        <v>6.4000000000000001E-2</v>
      </c>
      <c r="BA21" s="38">
        <v>0</v>
      </c>
      <c r="BB21" s="38">
        <v>6.4000000000000001E-2</v>
      </c>
    </row>
    <row r="22" spans="3:72" s="40" customFormat="1" x14ac:dyDescent="0.25">
      <c r="C22" s="48"/>
      <c r="F22" s="40">
        <f t="shared" si="43"/>
        <v>0</v>
      </c>
      <c r="G22" s="40">
        <f t="shared" si="42"/>
        <v>0</v>
      </c>
      <c r="H22" s="40">
        <f t="shared" si="42"/>
        <v>0</v>
      </c>
      <c r="I22" s="40">
        <f t="shared" si="42"/>
        <v>0</v>
      </c>
      <c r="J22" s="40">
        <f t="shared" si="42"/>
        <v>0</v>
      </c>
      <c r="K22" s="40">
        <f t="shared" si="42"/>
        <v>0</v>
      </c>
      <c r="L22" s="40">
        <f t="shared" si="42"/>
        <v>0</v>
      </c>
      <c r="M22" s="40">
        <f t="shared" si="42"/>
        <v>0</v>
      </c>
      <c r="N22" s="40">
        <f t="shared" si="42"/>
        <v>0</v>
      </c>
      <c r="O22" s="40">
        <f t="shared" si="42"/>
        <v>0</v>
      </c>
      <c r="P22" s="40">
        <f t="shared" si="42"/>
        <v>0</v>
      </c>
      <c r="Q22" s="40">
        <f t="shared" si="42"/>
        <v>0</v>
      </c>
      <c r="R22" s="40">
        <f t="shared" si="42"/>
        <v>0</v>
      </c>
      <c r="S22" s="40">
        <f t="shared" si="42"/>
        <v>0</v>
      </c>
      <c r="T22" s="40">
        <f t="shared" si="42"/>
        <v>0</v>
      </c>
      <c r="U22" s="40">
        <f t="shared" si="42"/>
        <v>0</v>
      </c>
      <c r="V22" s="40">
        <f t="shared" si="42"/>
        <v>0</v>
      </c>
      <c r="W22" s="40">
        <f t="shared" si="42"/>
        <v>0</v>
      </c>
      <c r="X22" s="40">
        <f t="shared" si="42"/>
        <v>0</v>
      </c>
      <c r="Y22" s="40">
        <f t="shared" si="42"/>
        <v>0</v>
      </c>
      <c r="Z22" s="40">
        <f t="shared" si="42"/>
        <v>0</v>
      </c>
      <c r="AC22" s="40">
        <v>9.7000000000000003E-2</v>
      </c>
      <c r="AD22" s="40">
        <v>6.4000000000000001E-2</v>
      </c>
      <c r="AE22" s="40">
        <v>8.4000000000000005E-2</v>
      </c>
      <c r="AZ22" s="40">
        <v>9.7000000000000003E-2</v>
      </c>
      <c r="BA22" s="40">
        <v>6.4000000000000001E-2</v>
      </c>
      <c r="BB22" s="40">
        <v>8.4000000000000005E-2</v>
      </c>
    </row>
    <row r="23" spans="3:72" s="41" customFormat="1" ht="16.5" customHeight="1" x14ac:dyDescent="0.25">
      <c r="C23" s="46" t="s">
        <v>189</v>
      </c>
      <c r="E23" s="41" t="s">
        <v>20</v>
      </c>
      <c r="F23" s="41">
        <f t="shared" si="41"/>
        <v>0</v>
      </c>
      <c r="G23" s="41">
        <f t="shared" ref="G23:G34" si="44">IF(AD23=BA23,0,1)</f>
        <v>0</v>
      </c>
      <c r="H23" s="41">
        <f t="shared" ref="H23:H34" si="45">IF(AE23=BB23,0,1)</f>
        <v>0</v>
      </c>
      <c r="I23" s="41">
        <f t="shared" ref="I23:I34" si="46">IF(AF23=BC23,0,1)</f>
        <v>0</v>
      </c>
      <c r="J23" s="41">
        <f t="shared" ref="J23:J34" si="47">IF(AG23=BD23,0,1)</f>
        <v>0</v>
      </c>
      <c r="K23" s="41">
        <f t="shared" ref="K23:K34" si="48">IF(AH23=BE23,0,1)</f>
        <v>0</v>
      </c>
      <c r="L23" s="41">
        <f t="shared" ref="L23:L34" si="49">IF(AI23=BF23,0,1)</f>
        <v>0</v>
      </c>
      <c r="M23" s="41">
        <f t="shared" ref="M23:M34" si="50">IF(AJ23=BG23,0,1)</f>
        <v>0</v>
      </c>
      <c r="N23" s="41">
        <f t="shared" ref="N23:N34" si="51">IF(AK23=BH23,0,1)</f>
        <v>0</v>
      </c>
      <c r="O23" s="41">
        <f t="shared" ref="O23:O34" si="52">IF(AL23=BI23,0,1)</f>
        <v>0</v>
      </c>
      <c r="P23" s="41">
        <f t="shared" ref="P23:P34" si="53">IF(AM23=BJ23,0,1)</f>
        <v>0</v>
      </c>
      <c r="Q23" s="41">
        <f t="shared" ref="Q23:Q34" si="54">IF(AN23=BK23,0,1)</f>
        <v>0</v>
      </c>
      <c r="R23" s="41">
        <f t="shared" ref="R23:R34" si="55">IF(AO23=BL23,0,1)</f>
        <v>0</v>
      </c>
      <c r="S23" s="41">
        <f t="shared" ref="S23:S34" si="56">IF(AP23=BM23,0,1)</f>
        <v>0</v>
      </c>
      <c r="T23" s="41">
        <f t="shared" ref="T23:T34" si="57">IF(AQ23=BN23,0,1)</f>
        <v>0</v>
      </c>
      <c r="U23" s="41">
        <f t="shared" ref="U23:U34" si="58">IF(AR23=BO23,0,1)</f>
        <v>0</v>
      </c>
      <c r="V23" s="41">
        <f t="shared" ref="V23:V34" si="59">IF(AS23=BP23,0,1)</f>
        <v>0</v>
      </c>
      <c r="W23" s="41">
        <f t="shared" ref="W23:W34" si="60">IF(AT23=BQ23,0,1)</f>
        <v>0</v>
      </c>
      <c r="X23" s="41">
        <f t="shared" ref="X23:X34" si="61">IF(AU23=BR23,0,1)</f>
        <v>0</v>
      </c>
      <c r="Y23" s="41">
        <f t="shared" ref="Y23:Y34" si="62">IF(AV23=BS23,0,1)</f>
        <v>0</v>
      </c>
      <c r="Z23" s="41">
        <f t="shared" ref="Z23:Z34" si="63">IF(AW23=BT23,0,1)</f>
        <v>0</v>
      </c>
      <c r="AC23" s="41">
        <v>4</v>
      </c>
      <c r="AD23" s="41">
        <v>4</v>
      </c>
      <c r="AE23" s="41">
        <v>4</v>
      </c>
      <c r="AF23" s="41">
        <v>4</v>
      </c>
      <c r="AG23" s="41">
        <v>4</v>
      </c>
      <c r="AH23" s="41">
        <v>4</v>
      </c>
      <c r="AI23" s="41">
        <v>4</v>
      </c>
      <c r="AJ23" s="41">
        <v>3</v>
      </c>
      <c r="AK23" s="41">
        <v>3</v>
      </c>
      <c r="AL23" s="41">
        <v>3</v>
      </c>
      <c r="AM23" s="41">
        <v>3</v>
      </c>
      <c r="AN23" s="41">
        <v>3</v>
      </c>
      <c r="AO23" s="41">
        <v>3</v>
      </c>
      <c r="AP23" s="41">
        <v>3</v>
      </c>
      <c r="AQ23" s="41">
        <v>4</v>
      </c>
      <c r="AR23" s="41">
        <v>4</v>
      </c>
      <c r="AS23" s="41">
        <v>4</v>
      </c>
      <c r="AT23" s="41">
        <v>4</v>
      </c>
      <c r="AU23" s="41">
        <v>4</v>
      </c>
      <c r="AV23" s="41">
        <v>4</v>
      </c>
      <c r="AW23" s="41">
        <v>4</v>
      </c>
      <c r="AZ23" s="41">
        <v>4</v>
      </c>
      <c r="BA23" s="41">
        <v>4</v>
      </c>
      <c r="BB23" s="41">
        <v>4</v>
      </c>
      <c r="BC23" s="41">
        <v>4</v>
      </c>
      <c r="BD23" s="41">
        <v>4</v>
      </c>
      <c r="BE23" s="41">
        <v>4</v>
      </c>
      <c r="BF23" s="41">
        <v>4</v>
      </c>
      <c r="BG23" s="41">
        <v>3</v>
      </c>
      <c r="BH23" s="41">
        <v>3</v>
      </c>
      <c r="BI23" s="41">
        <v>3</v>
      </c>
      <c r="BJ23" s="41">
        <v>3</v>
      </c>
      <c r="BK23" s="41">
        <v>3</v>
      </c>
      <c r="BL23" s="41">
        <v>3</v>
      </c>
      <c r="BM23" s="41">
        <v>3</v>
      </c>
      <c r="BN23" s="41">
        <v>4</v>
      </c>
      <c r="BO23" s="41">
        <v>4</v>
      </c>
      <c r="BP23" s="41">
        <v>4</v>
      </c>
      <c r="BQ23" s="41">
        <v>4</v>
      </c>
      <c r="BR23" s="41">
        <v>4</v>
      </c>
      <c r="BS23" s="41">
        <v>4</v>
      </c>
      <c r="BT23" s="41">
        <v>4</v>
      </c>
    </row>
    <row r="24" spans="3:72" s="38" customFormat="1" x14ac:dyDescent="0.25">
      <c r="C24" s="47"/>
      <c r="F24" s="38">
        <f t="shared" ref="F24:F34" si="64">IF(AC24=AZ24,0,1)</f>
        <v>0</v>
      </c>
      <c r="G24" s="38">
        <f t="shared" si="44"/>
        <v>0</v>
      </c>
      <c r="H24" s="38">
        <f t="shared" si="45"/>
        <v>0</v>
      </c>
      <c r="I24" s="38">
        <f t="shared" si="46"/>
        <v>0</v>
      </c>
      <c r="J24" s="38">
        <f t="shared" si="47"/>
        <v>0</v>
      </c>
      <c r="K24" s="38">
        <f t="shared" si="48"/>
        <v>0</v>
      </c>
      <c r="L24" s="38">
        <f t="shared" si="49"/>
        <v>0</v>
      </c>
      <c r="M24" s="38">
        <f t="shared" si="50"/>
        <v>0</v>
      </c>
      <c r="N24" s="38">
        <f t="shared" si="51"/>
        <v>0</v>
      </c>
      <c r="O24" s="38">
        <f t="shared" si="52"/>
        <v>0</v>
      </c>
      <c r="P24" s="38">
        <f t="shared" si="53"/>
        <v>0</v>
      </c>
      <c r="Q24" s="38">
        <f t="shared" si="54"/>
        <v>0</v>
      </c>
      <c r="R24" s="38">
        <f t="shared" si="55"/>
        <v>0</v>
      </c>
      <c r="S24" s="38">
        <f t="shared" si="56"/>
        <v>0</v>
      </c>
      <c r="T24" s="38">
        <f t="shared" si="57"/>
        <v>0</v>
      </c>
      <c r="U24" s="38">
        <f t="shared" si="58"/>
        <v>0</v>
      </c>
      <c r="V24" s="38">
        <f t="shared" si="59"/>
        <v>0</v>
      </c>
      <c r="W24" s="38">
        <f t="shared" si="60"/>
        <v>0</v>
      </c>
      <c r="X24" s="38">
        <f t="shared" si="61"/>
        <v>0</v>
      </c>
      <c r="Y24" s="38">
        <f t="shared" si="62"/>
        <v>0</v>
      </c>
      <c r="Z24" s="38">
        <f t="shared" si="63"/>
        <v>0</v>
      </c>
    </row>
    <row r="25" spans="3:72" s="38" customFormat="1" x14ac:dyDescent="0.25">
      <c r="C25" s="47"/>
      <c r="E25" s="38" t="s">
        <v>21</v>
      </c>
      <c r="F25" s="38">
        <f t="shared" si="64"/>
        <v>0</v>
      </c>
      <c r="G25" s="38">
        <f t="shared" si="44"/>
        <v>0</v>
      </c>
      <c r="H25" s="38">
        <f t="shared" si="45"/>
        <v>0</v>
      </c>
      <c r="I25" s="38">
        <f t="shared" si="46"/>
        <v>0</v>
      </c>
      <c r="J25" s="38">
        <f t="shared" si="47"/>
        <v>0</v>
      </c>
      <c r="K25" s="38">
        <f t="shared" si="48"/>
        <v>0</v>
      </c>
      <c r="L25" s="38">
        <f t="shared" si="49"/>
        <v>0</v>
      </c>
      <c r="M25" s="38">
        <f t="shared" si="50"/>
        <v>0</v>
      </c>
      <c r="N25" s="38">
        <f t="shared" si="51"/>
        <v>0</v>
      </c>
      <c r="O25" s="38">
        <f t="shared" si="52"/>
        <v>0</v>
      </c>
      <c r="P25" s="38">
        <f t="shared" si="53"/>
        <v>0</v>
      </c>
      <c r="Q25" s="38">
        <f t="shared" si="54"/>
        <v>0</v>
      </c>
      <c r="R25" s="38">
        <f t="shared" si="55"/>
        <v>0</v>
      </c>
      <c r="S25" s="38">
        <f t="shared" si="56"/>
        <v>0</v>
      </c>
      <c r="T25" s="38">
        <f t="shared" si="57"/>
        <v>0</v>
      </c>
      <c r="U25" s="38">
        <f t="shared" si="58"/>
        <v>0</v>
      </c>
      <c r="V25" s="38">
        <f t="shared" si="59"/>
        <v>0</v>
      </c>
      <c r="W25" s="38">
        <f t="shared" si="60"/>
        <v>0</v>
      </c>
      <c r="X25" s="38">
        <f t="shared" si="61"/>
        <v>0</v>
      </c>
      <c r="Y25" s="38">
        <f t="shared" si="62"/>
        <v>0</v>
      </c>
      <c r="Z25" s="38">
        <f t="shared" si="63"/>
        <v>0</v>
      </c>
      <c r="AC25" s="38">
        <v>3</v>
      </c>
      <c r="AD25" s="38">
        <v>3</v>
      </c>
      <c r="AE25" s="38">
        <v>3</v>
      </c>
      <c r="AF25" s="38">
        <v>3</v>
      </c>
      <c r="AG25" s="38">
        <v>3</v>
      </c>
      <c r="AH25" s="38">
        <v>3</v>
      </c>
      <c r="AI25" s="38">
        <v>3</v>
      </c>
      <c r="AJ25" s="38">
        <v>2</v>
      </c>
      <c r="AK25" s="38">
        <v>2</v>
      </c>
      <c r="AL25" s="38">
        <v>2</v>
      </c>
      <c r="AM25" s="38">
        <v>2</v>
      </c>
      <c r="AN25" s="38">
        <v>2</v>
      </c>
      <c r="AO25" s="38">
        <v>2</v>
      </c>
      <c r="AP25" s="38">
        <v>2</v>
      </c>
      <c r="AQ25" s="38">
        <v>2</v>
      </c>
      <c r="AR25" s="38">
        <v>2</v>
      </c>
      <c r="AS25" s="38">
        <v>2</v>
      </c>
      <c r="AT25" s="38">
        <v>2</v>
      </c>
      <c r="AU25" s="38">
        <v>2</v>
      </c>
      <c r="AV25" s="38">
        <v>2</v>
      </c>
      <c r="AW25" s="38">
        <v>2</v>
      </c>
      <c r="AZ25" s="38">
        <v>3</v>
      </c>
      <c r="BA25" s="38">
        <v>3</v>
      </c>
      <c r="BB25" s="38">
        <v>3</v>
      </c>
      <c r="BC25" s="38">
        <v>3</v>
      </c>
      <c r="BD25" s="38">
        <v>3</v>
      </c>
      <c r="BE25" s="38">
        <v>3</v>
      </c>
      <c r="BF25" s="38">
        <v>3</v>
      </c>
      <c r="BG25" s="38">
        <v>2</v>
      </c>
      <c r="BH25" s="38">
        <v>2</v>
      </c>
      <c r="BI25" s="38">
        <v>2</v>
      </c>
      <c r="BJ25" s="38">
        <v>2</v>
      </c>
      <c r="BK25" s="38">
        <v>2</v>
      </c>
      <c r="BL25" s="38">
        <v>2</v>
      </c>
      <c r="BM25" s="38">
        <v>2</v>
      </c>
      <c r="BN25" s="38">
        <v>2</v>
      </c>
      <c r="BO25" s="38">
        <v>2</v>
      </c>
      <c r="BP25" s="38">
        <v>2</v>
      </c>
      <c r="BQ25" s="38">
        <v>2</v>
      </c>
      <c r="BR25" s="38">
        <v>2</v>
      </c>
      <c r="BS25" s="38">
        <v>2</v>
      </c>
      <c r="BT25" s="38">
        <v>2</v>
      </c>
    </row>
    <row r="26" spans="3:72" s="40" customFormat="1" x14ac:dyDescent="0.25">
      <c r="C26" s="48"/>
      <c r="F26" s="40">
        <f t="shared" si="64"/>
        <v>0</v>
      </c>
      <c r="G26" s="40">
        <f t="shared" si="44"/>
        <v>0</v>
      </c>
      <c r="H26" s="40">
        <f t="shared" si="45"/>
        <v>0</v>
      </c>
      <c r="I26" s="40">
        <f t="shared" si="46"/>
        <v>0</v>
      </c>
      <c r="J26" s="40">
        <f t="shared" si="47"/>
        <v>0</v>
      </c>
      <c r="K26" s="40">
        <f t="shared" si="48"/>
        <v>0</v>
      </c>
      <c r="L26" s="40">
        <f t="shared" si="49"/>
        <v>0</v>
      </c>
      <c r="M26" s="40">
        <f t="shared" si="50"/>
        <v>0</v>
      </c>
      <c r="N26" s="40">
        <f t="shared" si="51"/>
        <v>0</v>
      </c>
      <c r="O26" s="40">
        <f t="shared" si="52"/>
        <v>0</v>
      </c>
      <c r="P26" s="40">
        <f t="shared" si="53"/>
        <v>0</v>
      </c>
      <c r="Q26" s="40">
        <f t="shared" si="54"/>
        <v>0</v>
      </c>
      <c r="R26" s="40">
        <f t="shared" si="55"/>
        <v>0</v>
      </c>
      <c r="S26" s="40">
        <f t="shared" si="56"/>
        <v>0</v>
      </c>
      <c r="T26" s="40">
        <f t="shared" si="57"/>
        <v>0</v>
      </c>
      <c r="U26" s="40">
        <f t="shared" si="58"/>
        <v>0</v>
      </c>
      <c r="V26" s="40">
        <f t="shared" si="59"/>
        <v>0</v>
      </c>
      <c r="W26" s="40">
        <f t="shared" si="60"/>
        <v>0</v>
      </c>
      <c r="X26" s="40">
        <f t="shared" si="61"/>
        <v>0</v>
      </c>
      <c r="Y26" s="40">
        <f t="shared" si="62"/>
        <v>0</v>
      </c>
      <c r="Z26" s="40">
        <f t="shared" si="63"/>
        <v>0</v>
      </c>
    </row>
    <row r="27" spans="3:72" s="41" customFormat="1" ht="16.5" customHeight="1" x14ac:dyDescent="0.25">
      <c r="C27" s="46" t="s">
        <v>191</v>
      </c>
      <c r="E27" s="41" t="s">
        <v>20</v>
      </c>
      <c r="F27" s="41">
        <f t="shared" si="64"/>
        <v>0</v>
      </c>
      <c r="G27" s="41">
        <f t="shared" si="44"/>
        <v>0</v>
      </c>
      <c r="H27" s="41">
        <f t="shared" si="45"/>
        <v>0</v>
      </c>
      <c r="I27" s="41">
        <f t="shared" si="46"/>
        <v>0</v>
      </c>
      <c r="J27" s="41">
        <f t="shared" si="47"/>
        <v>0</v>
      </c>
      <c r="K27" s="41">
        <f t="shared" si="48"/>
        <v>0</v>
      </c>
      <c r="L27" s="41">
        <f t="shared" si="49"/>
        <v>0</v>
      </c>
      <c r="M27" s="41">
        <f t="shared" si="50"/>
        <v>0</v>
      </c>
      <c r="N27" s="41">
        <f t="shared" si="51"/>
        <v>0</v>
      </c>
      <c r="O27" s="41">
        <f t="shared" si="52"/>
        <v>0</v>
      </c>
      <c r="P27" s="41">
        <f t="shared" si="53"/>
        <v>0</v>
      </c>
      <c r="Q27" s="41">
        <f t="shared" si="54"/>
        <v>0</v>
      </c>
      <c r="R27" s="41">
        <f t="shared" si="55"/>
        <v>0</v>
      </c>
      <c r="S27" s="41">
        <f t="shared" si="56"/>
        <v>0</v>
      </c>
      <c r="T27" s="41">
        <f t="shared" si="57"/>
        <v>0</v>
      </c>
      <c r="U27" s="41">
        <f t="shared" si="58"/>
        <v>0</v>
      </c>
      <c r="V27" s="41">
        <f t="shared" si="59"/>
        <v>0</v>
      </c>
      <c r="W27" s="41">
        <f t="shared" si="60"/>
        <v>0</v>
      </c>
      <c r="X27" s="41">
        <f t="shared" si="61"/>
        <v>0</v>
      </c>
      <c r="Y27" s="41">
        <f t="shared" si="62"/>
        <v>0</v>
      </c>
      <c r="Z27" s="41">
        <f t="shared" si="63"/>
        <v>0</v>
      </c>
      <c r="AB27" s="41" t="s">
        <v>20</v>
      </c>
      <c r="AC27" s="41">
        <v>9</v>
      </c>
      <c r="AD27" s="41">
        <v>9</v>
      </c>
      <c r="AE27" s="41">
        <v>9</v>
      </c>
      <c r="AF27" s="41">
        <v>9</v>
      </c>
      <c r="AG27" s="41">
        <v>9</v>
      </c>
      <c r="AH27" s="41">
        <v>9</v>
      </c>
      <c r="AI27" s="41">
        <v>8</v>
      </c>
      <c r="AJ27" s="41">
        <v>7</v>
      </c>
      <c r="AK27" s="41">
        <v>6</v>
      </c>
      <c r="AL27" s="41">
        <v>5</v>
      </c>
      <c r="AM27" s="41">
        <v>5</v>
      </c>
      <c r="AN27" s="41">
        <v>5</v>
      </c>
      <c r="AO27" s="41">
        <v>6</v>
      </c>
      <c r="AP27" s="41">
        <v>7</v>
      </c>
      <c r="AQ27" s="41">
        <v>8</v>
      </c>
      <c r="AR27" s="41">
        <v>9</v>
      </c>
      <c r="AS27" s="41">
        <v>10</v>
      </c>
      <c r="AT27" s="41">
        <v>10</v>
      </c>
      <c r="AU27" s="41">
        <v>10</v>
      </c>
      <c r="AV27" s="41">
        <v>10</v>
      </c>
      <c r="AW27" s="41">
        <v>10</v>
      </c>
      <c r="AY27" s="41" t="s">
        <v>20</v>
      </c>
      <c r="AZ27" s="41">
        <v>9</v>
      </c>
      <c r="BA27" s="41">
        <v>9</v>
      </c>
      <c r="BB27" s="41">
        <v>9</v>
      </c>
      <c r="BC27" s="41">
        <v>9</v>
      </c>
      <c r="BD27" s="41">
        <v>9</v>
      </c>
      <c r="BE27" s="41">
        <v>9</v>
      </c>
      <c r="BF27" s="41">
        <v>8</v>
      </c>
      <c r="BG27" s="41">
        <v>7</v>
      </c>
      <c r="BH27" s="41">
        <v>6</v>
      </c>
      <c r="BI27" s="41">
        <v>5</v>
      </c>
      <c r="BJ27" s="41">
        <v>5</v>
      </c>
      <c r="BK27" s="41">
        <v>5</v>
      </c>
      <c r="BL27" s="41">
        <v>6</v>
      </c>
      <c r="BM27" s="41">
        <v>7</v>
      </c>
      <c r="BN27" s="41">
        <v>8</v>
      </c>
      <c r="BO27" s="41">
        <v>9</v>
      </c>
      <c r="BP27" s="41">
        <v>10</v>
      </c>
      <c r="BQ27" s="41">
        <v>10</v>
      </c>
      <c r="BR27" s="41">
        <v>10</v>
      </c>
      <c r="BS27" s="41">
        <v>10</v>
      </c>
      <c r="BT27" s="41">
        <v>10</v>
      </c>
    </row>
    <row r="28" spans="3:72" s="38" customFormat="1" x14ac:dyDescent="0.25">
      <c r="C28" s="47"/>
      <c r="F28" s="38">
        <f t="shared" si="64"/>
        <v>0</v>
      </c>
      <c r="G28" s="38">
        <f t="shared" si="44"/>
        <v>0</v>
      </c>
      <c r="H28" s="38">
        <f t="shared" si="45"/>
        <v>0</v>
      </c>
      <c r="I28" s="38">
        <f t="shared" si="46"/>
        <v>0</v>
      </c>
      <c r="J28" s="38">
        <f t="shared" si="47"/>
        <v>0</v>
      </c>
      <c r="K28" s="38">
        <f t="shared" si="48"/>
        <v>0</v>
      </c>
      <c r="L28" s="38">
        <f t="shared" si="49"/>
        <v>0</v>
      </c>
      <c r="M28" s="38">
        <f t="shared" si="50"/>
        <v>0</v>
      </c>
      <c r="N28" s="38">
        <f t="shared" si="51"/>
        <v>0</v>
      </c>
      <c r="O28" s="38">
        <f t="shared" si="52"/>
        <v>0</v>
      </c>
      <c r="P28" s="38">
        <f t="shared" si="53"/>
        <v>0</v>
      </c>
      <c r="Q28" s="38">
        <f t="shared" si="54"/>
        <v>0</v>
      </c>
      <c r="R28" s="38">
        <f t="shared" si="55"/>
        <v>0</v>
      </c>
      <c r="S28" s="38">
        <f t="shared" si="56"/>
        <v>0</v>
      </c>
      <c r="T28" s="38">
        <f t="shared" si="57"/>
        <v>0</v>
      </c>
      <c r="U28" s="38">
        <f t="shared" si="58"/>
        <v>0</v>
      </c>
      <c r="V28" s="38">
        <f t="shared" si="59"/>
        <v>0</v>
      </c>
      <c r="W28" s="38">
        <f t="shared" si="60"/>
        <v>0</v>
      </c>
      <c r="X28" s="38">
        <f t="shared" si="61"/>
        <v>0</v>
      </c>
      <c r="Y28" s="38">
        <f t="shared" si="62"/>
        <v>0</v>
      </c>
      <c r="Z28" s="38">
        <f t="shared" si="63"/>
        <v>0</v>
      </c>
    </row>
    <row r="29" spans="3:72" s="38" customFormat="1" x14ac:dyDescent="0.25">
      <c r="C29" s="47"/>
      <c r="E29" s="38" t="s">
        <v>21</v>
      </c>
      <c r="F29" s="38">
        <f t="shared" si="64"/>
        <v>0</v>
      </c>
      <c r="G29" s="38">
        <f t="shared" si="44"/>
        <v>0</v>
      </c>
      <c r="H29" s="38">
        <f t="shared" si="45"/>
        <v>0</v>
      </c>
      <c r="I29" s="38">
        <f t="shared" si="46"/>
        <v>0</v>
      </c>
      <c r="J29" s="38">
        <f t="shared" si="47"/>
        <v>0</v>
      </c>
      <c r="K29" s="38">
        <f t="shared" si="48"/>
        <v>0</v>
      </c>
      <c r="L29" s="38">
        <f t="shared" si="49"/>
        <v>0</v>
      </c>
      <c r="M29" s="38">
        <f t="shared" si="50"/>
        <v>0</v>
      </c>
      <c r="N29" s="38">
        <f t="shared" si="51"/>
        <v>0</v>
      </c>
      <c r="O29" s="38">
        <f t="shared" si="52"/>
        <v>0</v>
      </c>
      <c r="P29" s="38">
        <f t="shared" si="53"/>
        <v>0</v>
      </c>
      <c r="Q29" s="38">
        <f t="shared" si="54"/>
        <v>0</v>
      </c>
      <c r="R29" s="38">
        <f t="shared" si="55"/>
        <v>0</v>
      </c>
      <c r="S29" s="38">
        <f t="shared" si="56"/>
        <v>0</v>
      </c>
      <c r="T29" s="38">
        <f t="shared" si="57"/>
        <v>0</v>
      </c>
      <c r="U29" s="38">
        <f t="shared" si="58"/>
        <v>0</v>
      </c>
      <c r="V29" s="38">
        <f t="shared" si="59"/>
        <v>0</v>
      </c>
      <c r="W29" s="38">
        <f t="shared" si="60"/>
        <v>0</v>
      </c>
      <c r="X29" s="38">
        <f t="shared" si="61"/>
        <v>0</v>
      </c>
      <c r="Y29" s="38">
        <f t="shared" si="62"/>
        <v>0</v>
      </c>
      <c r="Z29" s="38">
        <f t="shared" si="63"/>
        <v>0</v>
      </c>
      <c r="AB29" s="38" t="s">
        <v>21</v>
      </c>
      <c r="AC29" s="38">
        <v>10</v>
      </c>
      <c r="AD29" s="38">
        <v>10</v>
      </c>
      <c r="AE29" s="38">
        <v>10</v>
      </c>
      <c r="AF29" s="38">
        <v>10</v>
      </c>
      <c r="AG29" s="38">
        <v>10</v>
      </c>
      <c r="AH29" s="38">
        <v>9</v>
      </c>
      <c r="AI29" s="38">
        <v>8</v>
      </c>
      <c r="AJ29" s="38">
        <v>7</v>
      </c>
      <c r="AK29" s="38">
        <v>6</v>
      </c>
      <c r="AL29" s="38">
        <v>5</v>
      </c>
      <c r="AM29" s="38">
        <v>5</v>
      </c>
      <c r="AN29" s="38">
        <v>5</v>
      </c>
      <c r="AO29" s="38">
        <v>5</v>
      </c>
      <c r="AP29" s="38">
        <v>5</v>
      </c>
      <c r="AQ29" s="38">
        <v>5</v>
      </c>
      <c r="AR29" s="38">
        <v>6</v>
      </c>
      <c r="AS29" s="38">
        <v>7</v>
      </c>
      <c r="AT29" s="38">
        <v>8</v>
      </c>
      <c r="AU29" s="38">
        <v>9</v>
      </c>
      <c r="AV29" s="38">
        <v>9</v>
      </c>
      <c r="AW29" s="38">
        <v>9</v>
      </c>
      <c r="AY29" s="38" t="s">
        <v>21</v>
      </c>
      <c r="AZ29" s="38">
        <v>10</v>
      </c>
      <c r="BA29" s="38">
        <v>10</v>
      </c>
      <c r="BB29" s="38">
        <v>10</v>
      </c>
      <c r="BC29" s="38">
        <v>10</v>
      </c>
      <c r="BD29" s="38">
        <v>10</v>
      </c>
      <c r="BE29" s="38">
        <v>9</v>
      </c>
      <c r="BF29" s="38">
        <v>8</v>
      </c>
      <c r="BG29" s="38">
        <v>7</v>
      </c>
      <c r="BH29" s="38">
        <v>6</v>
      </c>
      <c r="BI29" s="38">
        <v>5</v>
      </c>
      <c r="BJ29" s="38">
        <v>5</v>
      </c>
      <c r="BK29" s="38">
        <v>5</v>
      </c>
      <c r="BL29" s="38">
        <v>5</v>
      </c>
      <c r="BM29" s="38">
        <v>5</v>
      </c>
      <c r="BN29" s="38">
        <v>5</v>
      </c>
      <c r="BO29" s="38">
        <v>6</v>
      </c>
      <c r="BP29" s="38">
        <v>7</v>
      </c>
      <c r="BQ29" s="38">
        <v>8</v>
      </c>
      <c r="BR29" s="38">
        <v>9</v>
      </c>
      <c r="BS29" s="38">
        <v>9</v>
      </c>
      <c r="BT29" s="38">
        <v>9</v>
      </c>
    </row>
    <row r="30" spans="3:72" s="40" customFormat="1" x14ac:dyDescent="0.25">
      <c r="C30" s="48"/>
      <c r="F30" s="40">
        <f t="shared" si="64"/>
        <v>0</v>
      </c>
      <c r="G30" s="40">
        <f t="shared" si="44"/>
        <v>0</v>
      </c>
      <c r="H30" s="40">
        <f t="shared" si="45"/>
        <v>0</v>
      </c>
      <c r="I30" s="40">
        <f t="shared" si="46"/>
        <v>0</v>
      </c>
      <c r="J30" s="40">
        <f t="shared" si="47"/>
        <v>0</v>
      </c>
      <c r="K30" s="40">
        <f t="shared" si="48"/>
        <v>0</v>
      </c>
      <c r="L30" s="40">
        <f t="shared" si="49"/>
        <v>0</v>
      </c>
      <c r="M30" s="40">
        <f t="shared" si="50"/>
        <v>0</v>
      </c>
      <c r="N30" s="40">
        <f t="shared" si="51"/>
        <v>0</v>
      </c>
      <c r="O30" s="40">
        <f t="shared" si="52"/>
        <v>0</v>
      </c>
      <c r="P30" s="40">
        <f t="shared" si="53"/>
        <v>0</v>
      </c>
      <c r="Q30" s="40">
        <f t="shared" si="54"/>
        <v>0</v>
      </c>
      <c r="R30" s="40">
        <f t="shared" si="55"/>
        <v>0</v>
      </c>
      <c r="S30" s="40">
        <f t="shared" si="56"/>
        <v>0</v>
      </c>
      <c r="T30" s="40">
        <f t="shared" si="57"/>
        <v>0</v>
      </c>
      <c r="U30" s="40">
        <f t="shared" si="58"/>
        <v>0</v>
      </c>
      <c r="V30" s="40">
        <f t="shared" si="59"/>
        <v>0</v>
      </c>
      <c r="W30" s="40">
        <f t="shared" si="60"/>
        <v>0</v>
      </c>
      <c r="X30" s="40">
        <f t="shared" si="61"/>
        <v>0</v>
      </c>
      <c r="Y30" s="40">
        <f t="shared" si="62"/>
        <v>0</v>
      </c>
      <c r="Z30" s="40">
        <f t="shared" si="63"/>
        <v>0</v>
      </c>
    </row>
    <row r="31" spans="3:72" s="41" customFormat="1" x14ac:dyDescent="0.25">
      <c r="C31" s="46" t="s">
        <v>201</v>
      </c>
      <c r="E31" s="41" t="s">
        <v>20</v>
      </c>
      <c r="F31" s="41">
        <f t="shared" si="64"/>
        <v>0</v>
      </c>
      <c r="G31" s="41">
        <f t="shared" si="44"/>
        <v>0</v>
      </c>
      <c r="H31" s="41">
        <f t="shared" si="45"/>
        <v>0</v>
      </c>
      <c r="I31" s="41">
        <f t="shared" si="46"/>
        <v>0</v>
      </c>
      <c r="J31" s="41">
        <f t="shared" si="47"/>
        <v>0</v>
      </c>
      <c r="K31" s="41">
        <f t="shared" si="48"/>
        <v>0</v>
      </c>
      <c r="L31" s="41">
        <f t="shared" si="49"/>
        <v>0</v>
      </c>
      <c r="M31" s="41">
        <f t="shared" si="50"/>
        <v>0</v>
      </c>
      <c r="N31" s="41">
        <f t="shared" si="51"/>
        <v>0</v>
      </c>
      <c r="O31" s="41">
        <f t="shared" si="52"/>
        <v>0</v>
      </c>
      <c r="P31" s="41">
        <f t="shared" si="53"/>
        <v>0</v>
      </c>
      <c r="Q31" s="41">
        <f t="shared" si="54"/>
        <v>0</v>
      </c>
      <c r="R31" s="41">
        <f t="shared" si="55"/>
        <v>0</v>
      </c>
      <c r="S31" s="41">
        <f t="shared" si="56"/>
        <v>0</v>
      </c>
      <c r="T31" s="41">
        <f t="shared" si="57"/>
        <v>0</v>
      </c>
      <c r="U31" s="41">
        <f t="shared" si="58"/>
        <v>0</v>
      </c>
      <c r="V31" s="41">
        <f t="shared" si="59"/>
        <v>0</v>
      </c>
      <c r="W31" s="41">
        <f t="shared" si="60"/>
        <v>0</v>
      </c>
      <c r="X31" s="41">
        <f t="shared" si="61"/>
        <v>0</v>
      </c>
      <c r="Y31" s="41">
        <f t="shared" si="62"/>
        <v>0</v>
      </c>
      <c r="Z31" s="41">
        <f t="shared" si="63"/>
        <v>0</v>
      </c>
      <c r="AB31" s="41" t="s">
        <v>20</v>
      </c>
      <c r="AC31" s="41">
        <v>9</v>
      </c>
      <c r="AD31" s="41">
        <v>9</v>
      </c>
      <c r="AE31" s="41">
        <v>9</v>
      </c>
      <c r="AF31" s="41">
        <v>9</v>
      </c>
      <c r="AG31" s="41">
        <v>9</v>
      </c>
      <c r="AH31" s="41">
        <v>9</v>
      </c>
      <c r="AI31" s="41">
        <v>8</v>
      </c>
      <c r="AJ31" s="41">
        <v>4</v>
      </c>
      <c r="AK31" s="41">
        <v>4</v>
      </c>
      <c r="AL31" s="41">
        <v>4</v>
      </c>
      <c r="AM31" s="41">
        <v>4</v>
      </c>
      <c r="AN31" s="41">
        <v>4</v>
      </c>
      <c r="AO31" s="41">
        <v>4</v>
      </c>
      <c r="AP31" s="41">
        <v>7</v>
      </c>
      <c r="AQ31" s="41">
        <v>8</v>
      </c>
      <c r="AR31" s="41">
        <v>9</v>
      </c>
      <c r="AS31" s="41">
        <v>10</v>
      </c>
      <c r="AT31" s="41">
        <v>10</v>
      </c>
      <c r="AU31" s="41">
        <v>10</v>
      </c>
      <c r="AV31" s="41">
        <v>10</v>
      </c>
      <c r="AW31" s="41">
        <v>10</v>
      </c>
      <c r="AY31" s="41" t="s">
        <v>20</v>
      </c>
      <c r="AZ31" s="41">
        <v>9</v>
      </c>
      <c r="BA31" s="41">
        <v>9</v>
      </c>
      <c r="BB31" s="41">
        <v>9</v>
      </c>
      <c r="BC31" s="41">
        <v>9</v>
      </c>
      <c r="BD31" s="41">
        <v>9</v>
      </c>
      <c r="BE31" s="41">
        <v>9</v>
      </c>
      <c r="BF31" s="41">
        <v>8</v>
      </c>
      <c r="BG31" s="41">
        <v>4</v>
      </c>
      <c r="BH31" s="41">
        <v>4</v>
      </c>
      <c r="BI31" s="41">
        <v>4</v>
      </c>
      <c r="BJ31" s="41">
        <v>4</v>
      </c>
      <c r="BK31" s="41">
        <v>4</v>
      </c>
      <c r="BL31" s="41">
        <v>4</v>
      </c>
      <c r="BM31" s="41">
        <v>7</v>
      </c>
      <c r="BN31" s="41">
        <v>8</v>
      </c>
      <c r="BO31" s="41">
        <v>9</v>
      </c>
      <c r="BP31" s="41">
        <v>10</v>
      </c>
      <c r="BQ31" s="41">
        <v>10</v>
      </c>
      <c r="BR31" s="41">
        <v>10</v>
      </c>
      <c r="BS31" s="41">
        <v>10</v>
      </c>
      <c r="BT31" s="41">
        <v>10</v>
      </c>
    </row>
    <row r="32" spans="3:72" s="38" customFormat="1" x14ac:dyDescent="0.25">
      <c r="C32" s="47"/>
      <c r="F32" s="38">
        <f t="shared" si="64"/>
        <v>0</v>
      </c>
      <c r="G32" s="38">
        <f t="shared" si="44"/>
        <v>0</v>
      </c>
      <c r="H32" s="38">
        <f t="shared" si="45"/>
        <v>0</v>
      </c>
      <c r="I32" s="38">
        <f t="shared" si="46"/>
        <v>0</v>
      </c>
      <c r="J32" s="38">
        <f t="shared" si="47"/>
        <v>0</v>
      </c>
      <c r="K32" s="38">
        <f t="shared" si="48"/>
        <v>0</v>
      </c>
      <c r="L32" s="38">
        <f t="shared" si="49"/>
        <v>0</v>
      </c>
      <c r="M32" s="38">
        <f t="shared" si="50"/>
        <v>0</v>
      </c>
      <c r="N32" s="38">
        <f t="shared" si="51"/>
        <v>0</v>
      </c>
      <c r="O32" s="38">
        <f t="shared" si="52"/>
        <v>0</v>
      </c>
      <c r="P32" s="38">
        <f t="shared" si="53"/>
        <v>0</v>
      </c>
      <c r="Q32" s="38">
        <f t="shared" si="54"/>
        <v>0</v>
      </c>
      <c r="R32" s="38">
        <f t="shared" si="55"/>
        <v>0</v>
      </c>
      <c r="S32" s="38">
        <f t="shared" si="56"/>
        <v>0</v>
      </c>
      <c r="T32" s="38">
        <f t="shared" si="57"/>
        <v>0</v>
      </c>
      <c r="U32" s="38">
        <f t="shared" si="58"/>
        <v>0</v>
      </c>
      <c r="V32" s="38">
        <f t="shared" si="59"/>
        <v>0</v>
      </c>
      <c r="W32" s="38">
        <f t="shared" si="60"/>
        <v>0</v>
      </c>
      <c r="X32" s="38">
        <f t="shared" si="61"/>
        <v>0</v>
      </c>
      <c r="Y32" s="38">
        <f t="shared" si="62"/>
        <v>0</v>
      </c>
      <c r="Z32" s="38">
        <f t="shared" si="63"/>
        <v>0</v>
      </c>
    </row>
    <row r="33" spans="3:72" s="38" customFormat="1" x14ac:dyDescent="0.25">
      <c r="C33" s="47"/>
      <c r="E33" s="38" t="s">
        <v>21</v>
      </c>
      <c r="F33" s="38">
        <f t="shared" si="64"/>
        <v>0</v>
      </c>
      <c r="G33" s="38">
        <f t="shared" si="44"/>
        <v>0</v>
      </c>
      <c r="H33" s="38">
        <f t="shared" si="45"/>
        <v>0</v>
      </c>
      <c r="I33" s="38">
        <f t="shared" si="46"/>
        <v>0</v>
      </c>
      <c r="J33" s="38">
        <f t="shared" si="47"/>
        <v>0</v>
      </c>
      <c r="K33" s="38">
        <f t="shared" si="48"/>
        <v>0</v>
      </c>
      <c r="L33" s="38">
        <f t="shared" si="49"/>
        <v>0</v>
      </c>
      <c r="M33" s="38">
        <f t="shared" si="50"/>
        <v>0</v>
      </c>
      <c r="N33" s="38">
        <f t="shared" si="51"/>
        <v>0</v>
      </c>
      <c r="O33" s="38">
        <f t="shared" si="52"/>
        <v>0</v>
      </c>
      <c r="P33" s="38">
        <f t="shared" si="53"/>
        <v>0</v>
      </c>
      <c r="Q33" s="38">
        <f t="shared" si="54"/>
        <v>0</v>
      </c>
      <c r="R33" s="38">
        <f t="shared" si="55"/>
        <v>0</v>
      </c>
      <c r="S33" s="38">
        <f t="shared" si="56"/>
        <v>0</v>
      </c>
      <c r="T33" s="38">
        <f t="shared" si="57"/>
        <v>0</v>
      </c>
      <c r="U33" s="38">
        <f t="shared" si="58"/>
        <v>0</v>
      </c>
      <c r="V33" s="38">
        <f t="shared" si="59"/>
        <v>0</v>
      </c>
      <c r="W33" s="38">
        <f t="shared" si="60"/>
        <v>0</v>
      </c>
      <c r="X33" s="38">
        <f t="shared" si="61"/>
        <v>0</v>
      </c>
      <c r="Y33" s="38">
        <f t="shared" si="62"/>
        <v>0</v>
      </c>
      <c r="Z33" s="38">
        <f t="shared" si="63"/>
        <v>0</v>
      </c>
      <c r="AB33" s="38" t="s">
        <v>21</v>
      </c>
      <c r="AC33" s="38">
        <v>10</v>
      </c>
      <c r="AD33" s="38">
        <v>10</v>
      </c>
      <c r="AE33" s="38">
        <v>10</v>
      </c>
      <c r="AF33" s="38">
        <v>10</v>
      </c>
      <c r="AG33" s="38">
        <v>10</v>
      </c>
      <c r="AH33" s="38">
        <v>9</v>
      </c>
      <c r="AI33" s="38">
        <v>8</v>
      </c>
      <c r="AJ33" s="38">
        <v>5</v>
      </c>
      <c r="AK33" s="38">
        <v>5</v>
      </c>
      <c r="AL33" s="38">
        <v>5</v>
      </c>
      <c r="AM33" s="38">
        <v>5</v>
      </c>
      <c r="AN33" s="38">
        <v>5</v>
      </c>
      <c r="AO33" s="38">
        <v>5</v>
      </c>
      <c r="AP33" s="38">
        <v>5</v>
      </c>
      <c r="AQ33" s="38">
        <v>5</v>
      </c>
      <c r="AR33" s="38">
        <v>6</v>
      </c>
      <c r="AS33" s="38">
        <v>7</v>
      </c>
      <c r="AT33" s="38">
        <v>8</v>
      </c>
      <c r="AU33" s="38">
        <v>9</v>
      </c>
      <c r="AV33" s="38">
        <v>9</v>
      </c>
      <c r="AW33" s="38">
        <v>9</v>
      </c>
      <c r="AY33" s="38" t="s">
        <v>21</v>
      </c>
      <c r="AZ33" s="38">
        <v>10</v>
      </c>
      <c r="BA33" s="38">
        <v>10</v>
      </c>
      <c r="BB33" s="38">
        <v>10</v>
      </c>
      <c r="BC33" s="38">
        <v>10</v>
      </c>
      <c r="BD33" s="38">
        <v>10</v>
      </c>
      <c r="BE33" s="38">
        <v>9</v>
      </c>
      <c r="BF33" s="38">
        <v>8</v>
      </c>
      <c r="BG33" s="38">
        <v>5</v>
      </c>
      <c r="BH33" s="38">
        <v>5</v>
      </c>
      <c r="BI33" s="38">
        <v>5</v>
      </c>
      <c r="BJ33" s="38">
        <v>5</v>
      </c>
      <c r="BK33" s="38">
        <v>5</v>
      </c>
      <c r="BL33" s="38">
        <v>5</v>
      </c>
      <c r="BM33" s="38">
        <v>5</v>
      </c>
      <c r="BN33" s="38">
        <v>5</v>
      </c>
      <c r="BO33" s="38">
        <v>6</v>
      </c>
      <c r="BP33" s="38">
        <v>7</v>
      </c>
      <c r="BQ33" s="38">
        <v>8</v>
      </c>
      <c r="BR33" s="38">
        <v>9</v>
      </c>
      <c r="BS33" s="38">
        <v>9</v>
      </c>
      <c r="BT33" s="38">
        <v>9</v>
      </c>
    </row>
    <row r="34" spans="3:72" s="40" customFormat="1" x14ac:dyDescent="0.25">
      <c r="C34" s="48"/>
      <c r="F34" s="40">
        <f t="shared" si="64"/>
        <v>0</v>
      </c>
      <c r="G34" s="40">
        <f t="shared" si="44"/>
        <v>0</v>
      </c>
      <c r="H34" s="40">
        <f t="shared" si="45"/>
        <v>0</v>
      </c>
      <c r="I34" s="40">
        <f t="shared" si="46"/>
        <v>0</v>
      </c>
      <c r="J34" s="40">
        <f t="shared" si="47"/>
        <v>0</v>
      </c>
      <c r="K34" s="40">
        <f t="shared" si="48"/>
        <v>0</v>
      </c>
      <c r="L34" s="40">
        <f t="shared" si="49"/>
        <v>0</v>
      </c>
      <c r="M34" s="40">
        <f t="shared" si="50"/>
        <v>0</v>
      </c>
      <c r="N34" s="40">
        <f t="shared" si="51"/>
        <v>0</v>
      </c>
      <c r="O34" s="40">
        <f t="shared" si="52"/>
        <v>0</v>
      </c>
      <c r="P34" s="40">
        <f t="shared" si="53"/>
        <v>0</v>
      </c>
      <c r="Q34" s="40">
        <f t="shared" si="54"/>
        <v>0</v>
      </c>
      <c r="R34" s="40">
        <f t="shared" si="55"/>
        <v>0</v>
      </c>
      <c r="S34" s="40">
        <f t="shared" si="56"/>
        <v>0</v>
      </c>
      <c r="T34" s="40">
        <f t="shared" si="57"/>
        <v>0</v>
      </c>
      <c r="U34" s="40">
        <f t="shared" si="58"/>
        <v>0</v>
      </c>
      <c r="V34" s="40">
        <f t="shared" si="59"/>
        <v>0</v>
      </c>
      <c r="W34" s="40">
        <f t="shared" si="60"/>
        <v>0</v>
      </c>
      <c r="X34" s="40">
        <f t="shared" si="61"/>
        <v>0</v>
      </c>
      <c r="Y34" s="40">
        <f t="shared" si="62"/>
        <v>0</v>
      </c>
      <c r="Z34" s="40">
        <f t="shared" si="63"/>
        <v>0</v>
      </c>
    </row>
  </sheetData>
  <mergeCells count="8">
    <mergeCell ref="C31:C34"/>
    <mergeCell ref="C11:C14"/>
    <mergeCell ref="C3:C6"/>
    <mergeCell ref="C19:C22"/>
    <mergeCell ref="C15:C18"/>
    <mergeCell ref="C23:C26"/>
    <mergeCell ref="C27:C30"/>
    <mergeCell ref="C7:C10"/>
  </mergeCells>
  <phoneticPr fontId="2" type="noConversion"/>
  <conditionalFormatting sqref="F1:Z2 F11:Z34">
    <cfRule type="cellIs" dxfId="3" priority="309" operator="greaterThan">
      <formula>0.5</formula>
    </cfRule>
  </conditionalFormatting>
  <conditionalFormatting sqref="F3:Z6 F11:Z14">
    <cfRule type="cellIs" dxfId="2" priority="301" operator="greaterThan">
      <formula>0.5</formula>
    </cfRule>
  </conditionalFormatting>
  <conditionalFormatting sqref="AC19:AW22">
    <cfRule type="colorScale" priority="139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C15:AW18">
    <cfRule type="colorScale" priority="92">
      <colorScale>
        <cfvo type="min"/>
        <cfvo type="max"/>
        <color rgb="FFFCFCFF"/>
        <color rgb="FFF8696B"/>
      </colorScale>
    </cfRule>
    <cfRule type="colorScale" priority="138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C3:AE3 AC5:AE5">
    <cfRule type="colorScale" priority="114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C3:AE6">
    <cfRule type="colorScale" priority="94">
      <colorScale>
        <cfvo type="min"/>
        <cfvo type="max"/>
        <color rgb="FFFCFCFF"/>
        <color rgb="FFF8696B"/>
      </colorScale>
    </cfRule>
  </conditionalFormatting>
  <conditionalFormatting sqref="AC19:AE22">
    <cfRule type="colorScale" priority="93">
      <colorScale>
        <cfvo type="min"/>
        <cfvo type="max"/>
        <color rgb="FFFCFCFF"/>
        <color rgb="FFF8696B"/>
      </colorScale>
    </cfRule>
  </conditionalFormatting>
  <conditionalFormatting sqref="AC3:AW4">
    <cfRule type="colorScale" priority="69">
      <colorScale>
        <cfvo type="min"/>
        <cfvo type="max"/>
        <color rgb="FFFCFCFF"/>
        <color rgb="FFF8696B"/>
      </colorScale>
    </cfRule>
  </conditionalFormatting>
  <conditionalFormatting sqref="AC3:AW3">
    <cfRule type="colorScale" priority="65">
      <colorScale>
        <cfvo type="min"/>
        <cfvo type="max"/>
        <color rgb="FFFCFCFF"/>
        <color rgb="FF63BE7B"/>
      </colorScale>
    </cfRule>
  </conditionalFormatting>
  <conditionalFormatting sqref="AC5:AW5">
    <cfRule type="colorScale" priority="64">
      <colorScale>
        <cfvo type="min"/>
        <cfvo type="max"/>
        <color rgb="FFFCFCFF"/>
        <color rgb="FF63BE7B"/>
      </colorScale>
    </cfRule>
  </conditionalFormatting>
  <conditionalFormatting sqref="AC19:AW20">
    <cfRule type="colorScale" priority="63">
      <colorScale>
        <cfvo type="min"/>
        <cfvo type="max"/>
        <color rgb="FFFCFCFF"/>
        <color rgb="FF63BE7B"/>
      </colorScale>
    </cfRule>
  </conditionalFormatting>
  <conditionalFormatting sqref="AC21:AW22">
    <cfRule type="colorScale" priority="62">
      <colorScale>
        <cfvo type="min"/>
        <cfvo type="max"/>
        <color rgb="FFFCFCFF"/>
        <color rgb="FF63BE7B"/>
      </colorScale>
    </cfRule>
  </conditionalFormatting>
  <conditionalFormatting sqref="AC15:AW15">
    <cfRule type="colorScale" priority="61">
      <colorScale>
        <cfvo type="min"/>
        <cfvo type="max"/>
        <color rgb="FFFCFCFF"/>
        <color rgb="FF63BE7B"/>
      </colorScale>
    </cfRule>
  </conditionalFormatting>
  <conditionalFormatting sqref="AC17:AW17">
    <cfRule type="colorScale" priority="60">
      <colorScale>
        <cfvo type="min"/>
        <cfvo type="max"/>
        <color rgb="FFFCFCFF"/>
        <color rgb="FF63BE7B"/>
      </colorScale>
    </cfRule>
  </conditionalFormatting>
  <conditionalFormatting sqref="AC23:AW26">
    <cfRule type="colorScale" priority="58">
      <colorScale>
        <cfvo type="min"/>
        <cfvo type="max"/>
        <color rgb="FFFCFCFF"/>
        <color rgb="FFF8696B"/>
      </colorScale>
    </cfRule>
    <cfRule type="colorScale" priority="59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C23:AW23">
    <cfRule type="colorScale" priority="57">
      <colorScale>
        <cfvo type="min"/>
        <cfvo type="max"/>
        <color rgb="FFFCFCFF"/>
        <color rgb="FF63BE7B"/>
      </colorScale>
    </cfRule>
  </conditionalFormatting>
  <conditionalFormatting sqref="AC25:AW25">
    <cfRule type="colorScale" priority="56">
      <colorScale>
        <cfvo type="min"/>
        <cfvo type="max"/>
        <color rgb="FFFCFCFF"/>
        <color rgb="FF63BE7B"/>
      </colorScale>
    </cfRule>
  </conditionalFormatting>
  <conditionalFormatting sqref="AC27:AW30">
    <cfRule type="colorScale" priority="54">
      <colorScale>
        <cfvo type="min"/>
        <cfvo type="max"/>
        <color rgb="FFFCFCFF"/>
        <color rgb="FFF8696B"/>
      </colorScale>
    </cfRule>
    <cfRule type="colorScale" priority="55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C27:AW27">
    <cfRule type="colorScale" priority="53">
      <colorScale>
        <cfvo type="min"/>
        <cfvo type="max"/>
        <color rgb="FFFCFCFF"/>
        <color rgb="FF63BE7B"/>
      </colorScale>
    </cfRule>
  </conditionalFormatting>
  <conditionalFormatting sqref="AC29:AW29">
    <cfRule type="colorScale" priority="52">
      <colorScale>
        <cfvo type="min"/>
        <cfvo type="max"/>
        <color rgb="FFFCFCFF"/>
        <color rgb="FF63BE7B"/>
      </colorScale>
    </cfRule>
  </conditionalFormatting>
  <conditionalFormatting sqref="AC11:AW14">
    <cfRule type="colorScale" priority="50">
      <colorScale>
        <cfvo type="min"/>
        <cfvo type="max"/>
        <color rgb="FFFCFCFF"/>
        <color rgb="FFF8696B"/>
      </colorScale>
    </cfRule>
    <cfRule type="colorScale" priority="51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C11:AW11">
    <cfRule type="colorScale" priority="49">
      <colorScale>
        <cfvo type="min"/>
        <cfvo type="max"/>
        <color rgb="FFFCFCFF"/>
        <color rgb="FF63BE7B"/>
      </colorScale>
    </cfRule>
  </conditionalFormatting>
  <conditionalFormatting sqref="AC13:AW13">
    <cfRule type="colorScale" priority="48">
      <colorScale>
        <cfvo type="min"/>
        <cfvo type="max"/>
        <color rgb="FFFCFCFF"/>
        <color rgb="FF63BE7B"/>
      </colorScale>
    </cfRule>
  </conditionalFormatting>
  <conditionalFormatting sqref="AC31:AW34">
    <cfRule type="colorScale" priority="46">
      <colorScale>
        <cfvo type="min"/>
        <cfvo type="max"/>
        <color rgb="FFFCFCFF"/>
        <color rgb="FFF8696B"/>
      </colorScale>
    </cfRule>
    <cfRule type="colorScale" priority="47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C31:AW31">
    <cfRule type="colorScale" priority="45">
      <colorScale>
        <cfvo type="min"/>
        <cfvo type="max"/>
        <color rgb="FFFCFCFF"/>
        <color rgb="FF63BE7B"/>
      </colorScale>
    </cfRule>
  </conditionalFormatting>
  <conditionalFormatting sqref="AC33:AW33">
    <cfRule type="colorScale" priority="44">
      <colorScale>
        <cfvo type="min"/>
        <cfvo type="max"/>
        <color rgb="FFFCFCFF"/>
        <color rgb="FF63BE7B"/>
      </colorScale>
    </cfRule>
  </conditionalFormatting>
  <conditionalFormatting sqref="AZ19:BT22">
    <cfRule type="colorScale" priority="43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Z15:BT18">
    <cfRule type="colorScale" priority="38">
      <colorScale>
        <cfvo type="min"/>
        <cfvo type="max"/>
        <color rgb="FFFCFCFF"/>
        <color rgb="FFF8696B"/>
      </colorScale>
    </cfRule>
    <cfRule type="colorScale" priority="42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Z3:BB3 AZ5:BB5">
    <cfRule type="colorScale" priority="41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Z3:BB6">
    <cfRule type="colorScale" priority="40">
      <colorScale>
        <cfvo type="min"/>
        <cfvo type="max"/>
        <color rgb="FFFCFCFF"/>
        <color rgb="FFF8696B"/>
      </colorScale>
    </cfRule>
  </conditionalFormatting>
  <conditionalFormatting sqref="AZ19:BB22">
    <cfRule type="colorScale" priority="39">
      <colorScale>
        <cfvo type="min"/>
        <cfvo type="max"/>
        <color rgb="FFFCFCFF"/>
        <color rgb="FFF8696B"/>
      </colorScale>
    </cfRule>
  </conditionalFormatting>
  <conditionalFormatting sqref="AZ3:BT4">
    <cfRule type="colorScale" priority="37">
      <colorScale>
        <cfvo type="min"/>
        <cfvo type="max"/>
        <color rgb="FFFCFCFF"/>
        <color rgb="FFF8696B"/>
      </colorScale>
    </cfRule>
  </conditionalFormatting>
  <conditionalFormatting sqref="AZ3:BT3">
    <cfRule type="colorScale" priority="36">
      <colorScale>
        <cfvo type="min"/>
        <cfvo type="max"/>
        <color rgb="FFFCFCFF"/>
        <color rgb="FF63BE7B"/>
      </colorScale>
    </cfRule>
  </conditionalFormatting>
  <conditionalFormatting sqref="AZ5:BT5">
    <cfRule type="colorScale" priority="35">
      <colorScale>
        <cfvo type="min"/>
        <cfvo type="max"/>
        <color rgb="FFFCFCFF"/>
        <color rgb="FF63BE7B"/>
      </colorScale>
    </cfRule>
  </conditionalFormatting>
  <conditionalFormatting sqref="AZ19:BT20">
    <cfRule type="colorScale" priority="34">
      <colorScale>
        <cfvo type="min"/>
        <cfvo type="max"/>
        <color rgb="FFFCFCFF"/>
        <color rgb="FF63BE7B"/>
      </colorScale>
    </cfRule>
  </conditionalFormatting>
  <conditionalFormatting sqref="AZ21:BT22">
    <cfRule type="colorScale" priority="33">
      <colorScale>
        <cfvo type="min"/>
        <cfvo type="max"/>
        <color rgb="FFFCFCFF"/>
        <color rgb="FF63BE7B"/>
      </colorScale>
    </cfRule>
  </conditionalFormatting>
  <conditionalFormatting sqref="AZ15:BT15">
    <cfRule type="colorScale" priority="32">
      <colorScale>
        <cfvo type="min"/>
        <cfvo type="max"/>
        <color rgb="FFFCFCFF"/>
        <color rgb="FF63BE7B"/>
      </colorScale>
    </cfRule>
  </conditionalFormatting>
  <conditionalFormatting sqref="AZ17:BT17">
    <cfRule type="colorScale" priority="31">
      <colorScale>
        <cfvo type="min"/>
        <cfvo type="max"/>
        <color rgb="FFFCFCFF"/>
        <color rgb="FF63BE7B"/>
      </colorScale>
    </cfRule>
  </conditionalFormatting>
  <conditionalFormatting sqref="AZ23:BT26">
    <cfRule type="colorScale" priority="29">
      <colorScale>
        <cfvo type="min"/>
        <cfvo type="max"/>
        <color rgb="FFFCFCFF"/>
        <color rgb="FFF8696B"/>
      </colorScale>
    </cfRule>
    <cfRule type="colorScale" priority="30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Z23:BT23">
    <cfRule type="colorScale" priority="28">
      <colorScale>
        <cfvo type="min"/>
        <cfvo type="max"/>
        <color rgb="FFFCFCFF"/>
        <color rgb="FF63BE7B"/>
      </colorScale>
    </cfRule>
  </conditionalFormatting>
  <conditionalFormatting sqref="AZ25:BT25">
    <cfRule type="colorScale" priority="27">
      <colorScale>
        <cfvo type="min"/>
        <cfvo type="max"/>
        <color rgb="FFFCFCFF"/>
        <color rgb="FF63BE7B"/>
      </colorScale>
    </cfRule>
  </conditionalFormatting>
  <conditionalFormatting sqref="AZ27:BT30">
    <cfRule type="colorScale" priority="25">
      <colorScale>
        <cfvo type="min"/>
        <cfvo type="max"/>
        <color rgb="FFFCFCFF"/>
        <color rgb="FFF8696B"/>
      </colorScale>
    </cfRule>
    <cfRule type="colorScale" priority="26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Z27:BT27">
    <cfRule type="colorScale" priority="24">
      <colorScale>
        <cfvo type="min"/>
        <cfvo type="max"/>
        <color rgb="FFFCFCFF"/>
        <color rgb="FF63BE7B"/>
      </colorScale>
    </cfRule>
  </conditionalFormatting>
  <conditionalFormatting sqref="AZ29:BT29">
    <cfRule type="colorScale" priority="23">
      <colorScale>
        <cfvo type="min"/>
        <cfvo type="max"/>
        <color rgb="FFFCFCFF"/>
        <color rgb="FF63BE7B"/>
      </colorScale>
    </cfRule>
  </conditionalFormatting>
  <conditionalFormatting sqref="AZ11:BT14">
    <cfRule type="colorScale" priority="21">
      <colorScale>
        <cfvo type="min"/>
        <cfvo type="max"/>
        <color rgb="FFFCFCFF"/>
        <color rgb="FFF8696B"/>
      </colorScale>
    </cfRule>
    <cfRule type="colorScale" priority="22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Z11:BT11">
    <cfRule type="colorScale" priority="20">
      <colorScale>
        <cfvo type="min"/>
        <cfvo type="max"/>
        <color rgb="FFFCFCFF"/>
        <color rgb="FF63BE7B"/>
      </colorScale>
    </cfRule>
  </conditionalFormatting>
  <conditionalFormatting sqref="AZ13:BT13">
    <cfRule type="colorScale" priority="19">
      <colorScale>
        <cfvo type="min"/>
        <cfvo type="max"/>
        <color rgb="FFFCFCFF"/>
        <color rgb="FF63BE7B"/>
      </colorScale>
    </cfRule>
  </conditionalFormatting>
  <conditionalFormatting sqref="AZ31:BT34">
    <cfRule type="colorScale" priority="17">
      <colorScale>
        <cfvo type="min"/>
        <cfvo type="max"/>
        <color rgb="FFFCFCFF"/>
        <color rgb="FFF8696B"/>
      </colorScale>
    </cfRule>
    <cfRule type="colorScale" priority="18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Z31:BT31">
    <cfRule type="colorScale" priority="16">
      <colorScale>
        <cfvo type="min"/>
        <cfvo type="max"/>
        <color rgb="FFFCFCFF"/>
        <color rgb="FF63BE7B"/>
      </colorScale>
    </cfRule>
  </conditionalFormatting>
  <conditionalFormatting sqref="AZ33:BT33">
    <cfRule type="colorScale" priority="15">
      <colorScale>
        <cfvo type="min"/>
        <cfvo type="max"/>
        <color rgb="FFFCFCFF"/>
        <color rgb="FF63BE7B"/>
      </colorScale>
    </cfRule>
  </conditionalFormatting>
  <conditionalFormatting sqref="F7:Z10">
    <cfRule type="cellIs" dxfId="1" priority="14" operator="greaterThan">
      <formula>0.5</formula>
    </cfRule>
  </conditionalFormatting>
  <conditionalFormatting sqref="F7:Z10">
    <cfRule type="cellIs" dxfId="0" priority="13" operator="greaterThan">
      <formula>0.5</formula>
    </cfRule>
  </conditionalFormatting>
  <conditionalFormatting sqref="AC7:AW10">
    <cfRule type="colorScale" priority="11">
      <colorScale>
        <cfvo type="min"/>
        <cfvo type="max"/>
        <color rgb="FFFCFCFF"/>
        <color rgb="FFF8696B"/>
      </colorScale>
    </cfRule>
    <cfRule type="colorScale" priority="12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C7:AW7">
    <cfRule type="colorScale" priority="10">
      <colorScale>
        <cfvo type="min"/>
        <cfvo type="max"/>
        <color rgb="FFFCFCFF"/>
        <color rgb="FF63BE7B"/>
      </colorScale>
    </cfRule>
  </conditionalFormatting>
  <conditionalFormatting sqref="AC9:AW9">
    <cfRule type="colorScale" priority="9">
      <colorScale>
        <cfvo type="min"/>
        <cfvo type="max"/>
        <color rgb="FFFCFCFF"/>
        <color rgb="FF63BE7B"/>
      </colorScale>
    </cfRule>
  </conditionalFormatting>
  <conditionalFormatting sqref="BC7:BT10">
    <cfRule type="colorScale" priority="7">
      <colorScale>
        <cfvo type="min"/>
        <cfvo type="max"/>
        <color rgb="FFFCFCFF"/>
        <color rgb="FFF8696B"/>
      </colorScale>
    </cfRule>
    <cfRule type="colorScale" priority="8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C7:BT7">
    <cfRule type="colorScale" priority="6">
      <colorScale>
        <cfvo type="min"/>
        <cfvo type="max"/>
        <color rgb="FFFCFCFF"/>
        <color rgb="FF63BE7B"/>
      </colorScale>
    </cfRule>
  </conditionalFormatting>
  <conditionalFormatting sqref="BC9:BT9">
    <cfRule type="colorScale" priority="5">
      <colorScale>
        <cfvo type="min"/>
        <cfvo type="max"/>
        <color rgb="FFFCFCFF"/>
        <color rgb="FF63BE7B"/>
      </colorScale>
    </cfRule>
  </conditionalFormatting>
  <conditionalFormatting sqref="AZ7:BB10">
    <cfRule type="colorScale" priority="3">
      <colorScale>
        <cfvo type="min"/>
        <cfvo type="max"/>
        <color rgb="FFFCFCFF"/>
        <color rgb="FFF8696B"/>
      </colorScale>
    </cfRule>
    <cfRule type="colorScale" priority="4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Z7:BB7">
    <cfRule type="colorScale" priority="2">
      <colorScale>
        <cfvo type="min"/>
        <cfvo type="max"/>
        <color rgb="FFFCFCFF"/>
        <color rgb="FF63BE7B"/>
      </colorScale>
    </cfRule>
  </conditionalFormatting>
  <conditionalFormatting sqref="AZ9:BB9">
    <cfRule type="colorScale" priority="1">
      <colorScale>
        <cfvo type="min"/>
        <cfvo type="max"/>
        <color rgb="FFFCFCFF"/>
        <color rgb="FF63BE7B"/>
      </colorScale>
    </cfRule>
  </conditionalFormatting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工作表10"/>
  <dimension ref="A1:J13"/>
  <sheetViews>
    <sheetView workbookViewId="0">
      <selection activeCell="F13" sqref="F13"/>
    </sheetView>
  </sheetViews>
  <sheetFormatPr defaultColWidth="9" defaultRowHeight="15.75" x14ac:dyDescent="0.25"/>
  <cols>
    <col min="1" max="1" width="9.875" style="29" bestFit="1" customWidth="1"/>
    <col min="2" max="2" width="15.875" style="29" bestFit="1" customWidth="1"/>
    <col min="3" max="3" width="14.125" style="29" bestFit="1" customWidth="1"/>
    <col min="4" max="4" width="15.375" style="29" bestFit="1" customWidth="1"/>
    <col min="5" max="5" width="12.625" style="29" bestFit="1" customWidth="1"/>
    <col min="6" max="7" width="13.875" style="29" bestFit="1" customWidth="1"/>
    <col min="8" max="8" width="14.625" style="29" bestFit="1" customWidth="1"/>
    <col min="9" max="9" width="16.875" style="29" bestFit="1" customWidth="1"/>
    <col min="10" max="10" width="19.875" style="29" bestFit="1" customWidth="1"/>
    <col min="11" max="16384" width="9" style="29"/>
  </cols>
  <sheetData>
    <row r="1" spans="1:10" ht="16.5" x14ac:dyDescent="0.25">
      <c r="A1" s="30" t="s">
        <v>168</v>
      </c>
      <c r="B1" s="29" t="s">
        <v>22</v>
      </c>
      <c r="C1" s="29" t="s">
        <v>23</v>
      </c>
      <c r="D1" s="29" t="s">
        <v>24</v>
      </c>
      <c r="E1" s="29" t="s">
        <v>25</v>
      </c>
      <c r="F1" s="29" t="s">
        <v>26</v>
      </c>
      <c r="G1" s="30" t="s">
        <v>169</v>
      </c>
      <c r="H1" s="29" t="s">
        <v>27</v>
      </c>
      <c r="I1" s="29" t="s">
        <v>28</v>
      </c>
      <c r="J1" s="30" t="s">
        <v>170</v>
      </c>
    </row>
    <row r="2" spans="1:10" x14ac:dyDescent="0.25">
      <c r="A2" s="30" t="s">
        <v>29</v>
      </c>
      <c r="B2" s="29" t="s">
        <v>30</v>
      </c>
      <c r="C2" s="29">
        <v>0.376</v>
      </c>
      <c r="D2" s="29">
        <v>0.56100000000000005</v>
      </c>
      <c r="E2" s="29" t="s">
        <v>31</v>
      </c>
      <c r="F2" s="29">
        <v>9.5250000000000004</v>
      </c>
      <c r="G2" s="30">
        <f>F2/10</f>
        <v>0.95250000000000001</v>
      </c>
      <c r="H2" s="29">
        <v>0.11</v>
      </c>
      <c r="I2" s="29">
        <v>71</v>
      </c>
      <c r="J2" s="30">
        <f>I2/100</f>
        <v>0.71</v>
      </c>
    </row>
    <row r="3" spans="1:10" x14ac:dyDescent="0.25">
      <c r="A3" s="30" t="s">
        <v>32</v>
      </c>
      <c r="B3" s="29" t="s">
        <v>33</v>
      </c>
      <c r="C3" s="29">
        <v>0.66800000000000004</v>
      </c>
      <c r="D3" s="29">
        <v>0.996</v>
      </c>
      <c r="E3" s="29" t="s">
        <v>34</v>
      </c>
      <c r="F3" s="29">
        <v>12.7</v>
      </c>
      <c r="G3" s="30">
        <f t="shared" ref="G3:G13" si="0">F3/10</f>
        <v>1.27</v>
      </c>
      <c r="H3" s="29">
        <v>0.2</v>
      </c>
      <c r="I3" s="29">
        <v>127</v>
      </c>
      <c r="J3" s="30">
        <f t="shared" ref="J3:J13" si="1">I3/100</f>
        <v>1.27</v>
      </c>
    </row>
    <row r="4" spans="1:10" x14ac:dyDescent="0.25">
      <c r="A4" s="30" t="s">
        <v>35</v>
      </c>
      <c r="B4" s="29" t="s">
        <v>36</v>
      </c>
      <c r="C4" s="29">
        <v>1.0429999999999999</v>
      </c>
      <c r="D4" s="29">
        <v>1.556</v>
      </c>
      <c r="E4" s="29" t="s">
        <v>37</v>
      </c>
      <c r="F4" s="29">
        <v>15.875</v>
      </c>
      <c r="G4" s="30">
        <f t="shared" si="0"/>
        <v>1.5874999999999999</v>
      </c>
      <c r="H4" s="29">
        <v>0.31</v>
      </c>
      <c r="I4" s="29">
        <v>200</v>
      </c>
      <c r="J4" s="30">
        <f t="shared" si="1"/>
        <v>2</v>
      </c>
    </row>
    <row r="5" spans="1:10" x14ac:dyDescent="0.25">
      <c r="A5" s="30" t="s">
        <v>38</v>
      </c>
      <c r="B5" s="29" t="s">
        <v>39</v>
      </c>
      <c r="C5" s="29">
        <v>1.502</v>
      </c>
      <c r="D5" s="29">
        <v>2.2400000000000002</v>
      </c>
      <c r="E5" s="29" t="s">
        <v>40</v>
      </c>
      <c r="F5" s="29">
        <v>19.05</v>
      </c>
      <c r="G5" s="30">
        <f t="shared" si="0"/>
        <v>1.905</v>
      </c>
      <c r="H5" s="29">
        <v>0.44</v>
      </c>
      <c r="I5" s="29">
        <v>284</v>
      </c>
      <c r="J5" s="30">
        <f t="shared" si="1"/>
        <v>2.84</v>
      </c>
    </row>
    <row r="6" spans="1:10" x14ac:dyDescent="0.25">
      <c r="A6" s="30" t="s">
        <v>41</v>
      </c>
      <c r="B6" s="29" t="s">
        <v>42</v>
      </c>
      <c r="C6" s="29">
        <v>2.044</v>
      </c>
      <c r="D6" s="29">
        <v>3.0489999999999999</v>
      </c>
      <c r="E6" s="29" t="s">
        <v>43</v>
      </c>
      <c r="F6" s="29">
        <v>22.225000000000001</v>
      </c>
      <c r="G6" s="30">
        <f t="shared" si="0"/>
        <v>2.2225000000000001</v>
      </c>
      <c r="H6" s="29">
        <v>0.6</v>
      </c>
      <c r="I6" s="29">
        <v>387</v>
      </c>
      <c r="J6" s="30">
        <f t="shared" si="1"/>
        <v>3.87</v>
      </c>
    </row>
    <row r="7" spans="1:10" x14ac:dyDescent="0.25">
      <c r="A7" s="30" t="s">
        <v>44</v>
      </c>
      <c r="B7" s="29" t="s">
        <v>45</v>
      </c>
      <c r="C7" s="29">
        <v>2.67</v>
      </c>
      <c r="D7" s="29">
        <v>3.9820000000000002</v>
      </c>
      <c r="E7" s="29" t="s">
        <v>46</v>
      </c>
      <c r="F7" s="29">
        <v>25.4</v>
      </c>
      <c r="G7" s="30">
        <f t="shared" si="0"/>
        <v>2.54</v>
      </c>
      <c r="H7" s="29">
        <v>0.79</v>
      </c>
      <c r="I7" s="29">
        <v>509</v>
      </c>
      <c r="J7" s="30">
        <f t="shared" si="1"/>
        <v>5.09</v>
      </c>
    </row>
    <row r="8" spans="1:10" x14ac:dyDescent="0.25">
      <c r="A8" s="30" t="s">
        <v>47</v>
      </c>
      <c r="B8" s="29" t="s">
        <v>48</v>
      </c>
      <c r="C8" s="29">
        <v>3.4</v>
      </c>
      <c r="D8" s="29">
        <v>5.0709999999999997</v>
      </c>
      <c r="E8" s="29">
        <v>1.1279999999999999</v>
      </c>
      <c r="F8" s="29">
        <v>28.65</v>
      </c>
      <c r="G8" s="30">
        <f t="shared" si="0"/>
        <v>2.8649999999999998</v>
      </c>
      <c r="H8" s="29">
        <v>1</v>
      </c>
      <c r="I8" s="29">
        <v>645</v>
      </c>
      <c r="J8" s="30">
        <f t="shared" si="1"/>
        <v>6.45</v>
      </c>
    </row>
    <row r="9" spans="1:10" x14ac:dyDescent="0.25">
      <c r="A9" s="30" t="s">
        <v>30</v>
      </c>
      <c r="B9" s="29" t="s">
        <v>49</v>
      </c>
      <c r="C9" s="29">
        <v>4.3029999999999999</v>
      </c>
      <c r="D9" s="29">
        <v>6.4180000000000001</v>
      </c>
      <c r="E9" s="29">
        <v>1.27</v>
      </c>
      <c r="F9" s="29">
        <v>32.26</v>
      </c>
      <c r="G9" s="30">
        <f t="shared" si="0"/>
        <v>3.226</v>
      </c>
      <c r="H9" s="29">
        <v>1.27</v>
      </c>
      <c r="I9" s="29">
        <v>819</v>
      </c>
      <c r="J9" s="30">
        <f t="shared" si="1"/>
        <v>8.19</v>
      </c>
    </row>
    <row r="10" spans="1:10" x14ac:dyDescent="0.25">
      <c r="A10" s="30" t="s">
        <v>50</v>
      </c>
      <c r="B10" s="29" t="s">
        <v>51</v>
      </c>
      <c r="C10" s="29">
        <v>5.3129999999999997</v>
      </c>
      <c r="D10" s="29">
        <v>7.9240000000000004</v>
      </c>
      <c r="E10" s="29">
        <v>1.41</v>
      </c>
      <c r="F10" s="29">
        <v>35.81</v>
      </c>
      <c r="G10" s="30">
        <f t="shared" si="0"/>
        <v>3.5810000000000004</v>
      </c>
      <c r="H10" s="29">
        <v>1.56</v>
      </c>
      <c r="I10" s="29">
        <v>1006</v>
      </c>
      <c r="J10" s="30">
        <f t="shared" si="1"/>
        <v>10.06</v>
      </c>
    </row>
    <row r="11" spans="1:10" x14ac:dyDescent="0.25">
      <c r="A11" s="30" t="s">
        <v>52</v>
      </c>
      <c r="B11" s="29" t="s">
        <v>53</v>
      </c>
      <c r="C11" s="29">
        <v>6.4240000000000004</v>
      </c>
      <c r="D11" s="29">
        <v>9.6189999999999998</v>
      </c>
      <c r="E11" s="29">
        <v>1.5</v>
      </c>
      <c r="F11" s="29">
        <v>38.1</v>
      </c>
      <c r="G11" s="30">
        <f t="shared" si="0"/>
        <v>3.81</v>
      </c>
      <c r="H11" s="29">
        <v>1.76</v>
      </c>
      <c r="I11" s="29">
        <v>1140</v>
      </c>
      <c r="J11" s="30">
        <f t="shared" si="1"/>
        <v>11.4</v>
      </c>
    </row>
    <row r="12" spans="1:10" x14ac:dyDescent="0.25">
      <c r="A12" s="30" t="s">
        <v>54</v>
      </c>
      <c r="B12" s="29" t="s">
        <v>55</v>
      </c>
      <c r="C12" s="29">
        <v>7.65</v>
      </c>
      <c r="D12" s="29">
        <v>11.41</v>
      </c>
      <c r="E12" s="29">
        <v>1.6930000000000001</v>
      </c>
      <c r="F12" s="29">
        <v>43</v>
      </c>
      <c r="G12" s="30">
        <f t="shared" si="0"/>
        <v>4.3</v>
      </c>
      <c r="H12" s="29">
        <v>2.25</v>
      </c>
      <c r="I12" s="29">
        <v>1452</v>
      </c>
      <c r="J12" s="30">
        <f t="shared" si="1"/>
        <v>14.52</v>
      </c>
    </row>
    <row r="13" spans="1:10" x14ac:dyDescent="0.25">
      <c r="A13" s="30" t="s">
        <v>56</v>
      </c>
      <c r="B13" s="29" t="s">
        <v>57</v>
      </c>
      <c r="C13" s="29">
        <v>13.6</v>
      </c>
      <c r="D13" s="29">
        <v>20.283999999999999</v>
      </c>
      <c r="E13" s="29">
        <v>2.2570000000000001</v>
      </c>
      <c r="F13" s="29">
        <v>57.33</v>
      </c>
      <c r="G13" s="30">
        <f t="shared" si="0"/>
        <v>5.7329999999999997</v>
      </c>
      <c r="H13" s="29">
        <v>4</v>
      </c>
      <c r="I13" s="29">
        <v>2581</v>
      </c>
      <c r="J13" s="30">
        <f t="shared" si="1"/>
        <v>25.81</v>
      </c>
    </row>
  </sheetData>
  <sheetProtection algorithmName="SHA-512" hashValue="6GGbxfkOpSS2JnZuZnHcVsQE06c6FsD6zisi8TQJHdAk7RkXBEEhzBbezQcaDH0wvwdPxBvCL0hU9Q1eJWBMbQ==" saltValue="xRHtIeSZC1lwkEJRW7nFFw==" spinCount="100000" sheet="1" objects="1" scenarios="1"/>
  <phoneticPr fontId="2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General Information</vt:lpstr>
      <vt:lpstr>大梁配筋</vt:lpstr>
      <vt:lpstr>最佳化斷筋點</vt:lpstr>
      <vt:lpstr>Release Notes</vt:lpstr>
      <vt:lpstr>TEST</vt:lpstr>
      <vt:lpstr>General Information TEST</vt:lpstr>
      <vt:lpstr>大梁配筋 TEST</vt:lpstr>
      <vt:lpstr>最佳化斷筋點 TEST</vt:lpstr>
      <vt:lpstr>Rebar Size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使用者</dc:creator>
  <cp:lastModifiedBy>bohao6</cp:lastModifiedBy>
  <dcterms:created xsi:type="dcterms:W3CDTF">2018-01-26T10:07:17Z</dcterms:created>
  <dcterms:modified xsi:type="dcterms:W3CDTF">2018-08-07T05:50:30Z</dcterms:modified>
</cp:coreProperties>
</file>